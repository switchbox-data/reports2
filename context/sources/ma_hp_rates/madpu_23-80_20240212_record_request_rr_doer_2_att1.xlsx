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\Documents\AuditBoardSync\t(2c7d7ae9310091c7dbfd49ca2a524451645a7355)\2583-427e-4b62-8be9-ef75e4f1e09d\16052\"/>
    </mc:Choice>
  </mc:AlternateContent>
  <xr:revisionPtr revIDLastSave="0" documentId="13_ncr:1_{53030077-5778-4C60-8081-FE35FBD37AF0}" xr6:coauthVersionLast="36" xr6:coauthVersionMax="47" xr10:uidLastSave="{00000000-0000-0000-0000-000000000000}"/>
  <bookViews>
    <workbookView xWindow="-108" yWindow="-108" windowWidth="23256" windowHeight="13896" xr2:uid="{7D783571-578F-46DC-A236-7485BC4F1BFA}"/>
  </bookViews>
  <sheets>
    <sheet name="Heat Pump Rate w All Riders" sheetId="1" r:id="rId1"/>
  </sheets>
  <externalReferences>
    <externalReference r:id="rId2"/>
  </externalReferences>
  <definedNames>
    <definedName name="_Key1" hidden="1">#REF!</definedName>
    <definedName name="_Order1" hidden="1">255</definedName>
    <definedName name="_Sort" hidden="1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0">'Heat Pump Rate w All Riders'!$A$1:$G$44</definedName>
  </definedNames>
  <calcPr calcId="191029" iterateDelta="10000" calcOnSave="0" concurrentManualCount="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8" i="1"/>
  <c r="A48" i="1" l="1"/>
  <c r="A49" i="1"/>
  <c r="A50" i="1"/>
  <c r="Q47" i="1"/>
  <c r="P47" i="1"/>
  <c r="I47" i="1"/>
  <c r="H47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4" i="1"/>
  <c r="A39" i="1"/>
  <c r="A36" i="1"/>
  <c r="A33" i="1"/>
  <c r="C31" i="1"/>
  <c r="C32" i="1" s="1"/>
  <c r="K29" i="1"/>
  <c r="A29" i="1"/>
  <c r="C28" i="1"/>
  <c r="A28" i="1"/>
  <c r="K27" i="1"/>
  <c r="N27" i="1" s="1"/>
  <c r="O27" i="1" s="1"/>
  <c r="G27" i="1" s="1"/>
  <c r="F27" i="1"/>
  <c r="E27" i="1"/>
  <c r="D27" i="1"/>
  <c r="K26" i="1"/>
  <c r="N26" i="1" s="1"/>
  <c r="O26" i="1" s="1"/>
  <c r="G26" i="1" s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K19" i="1"/>
  <c r="N19" i="1" s="1"/>
  <c r="O19" i="1" s="1"/>
  <c r="G19" i="1" s="1"/>
  <c r="F19" i="1"/>
  <c r="E19" i="1"/>
  <c r="D19" i="1"/>
  <c r="D28" i="1" s="1"/>
  <c r="N18" i="1"/>
  <c r="O18" i="1" s="1"/>
  <c r="G18" i="1" s="1"/>
  <c r="K18" i="1"/>
  <c r="F18" i="1"/>
  <c r="E18" i="1"/>
  <c r="E28" i="1" s="1"/>
  <c r="D18" i="1"/>
  <c r="O17" i="1"/>
  <c r="N17" i="1"/>
  <c r="K17" i="1"/>
  <c r="G17" i="1"/>
  <c r="F17" i="1"/>
  <c r="E17" i="1"/>
  <c r="D17" i="1"/>
  <c r="K16" i="1"/>
  <c r="N16" i="1" s="1"/>
  <c r="O16" i="1" s="1"/>
  <c r="F16" i="1"/>
  <c r="F28" i="1" s="1"/>
  <c r="E16" i="1"/>
  <c r="C34" i="1" s="1"/>
  <c r="D16" i="1"/>
  <c r="A14" i="1"/>
  <c r="V13" i="1"/>
  <c r="V47" i="1" s="1"/>
  <c r="U13" i="1"/>
  <c r="U47" i="1" s="1"/>
  <c r="T13" i="1"/>
  <c r="T47" i="1" s="1"/>
  <c r="S13" i="1"/>
  <c r="S47" i="1" s="1"/>
  <c r="R13" i="1"/>
  <c r="R47" i="1" s="1"/>
  <c r="Q13" i="1"/>
  <c r="P13" i="1"/>
  <c r="O13" i="1"/>
  <c r="O47" i="1" s="1"/>
  <c r="N13" i="1"/>
  <c r="N47" i="1" s="1"/>
  <c r="M13" i="1"/>
  <c r="M47" i="1" s="1"/>
  <c r="L13" i="1"/>
  <c r="L47" i="1" s="1"/>
  <c r="K13" i="1"/>
  <c r="K47" i="1" s="1"/>
  <c r="J13" i="1"/>
  <c r="J47" i="1" s="1"/>
  <c r="I13" i="1"/>
  <c r="H13" i="1"/>
  <c r="G13" i="1"/>
  <c r="G47" i="1" s="1"/>
  <c r="F13" i="1"/>
  <c r="F47" i="1" s="1"/>
  <c r="E13" i="1"/>
  <c r="E47" i="1" s="1"/>
  <c r="D13" i="1"/>
  <c r="C13" i="1" s="1"/>
  <c r="A8" i="1"/>
  <c r="A51" i="1" l="1"/>
  <c r="A52" i="1" s="1"/>
  <c r="O28" i="1"/>
  <c r="G16" i="1"/>
  <c r="G28" i="1" s="1"/>
  <c r="E61" i="1"/>
  <c r="E53" i="1"/>
  <c r="H23" i="1"/>
  <c r="E56" i="1"/>
  <c r="E58" i="1"/>
  <c r="E55" i="1"/>
  <c r="H24" i="1"/>
  <c r="H20" i="1"/>
  <c r="E51" i="1"/>
  <c r="H22" i="1"/>
  <c r="E60" i="1"/>
  <c r="E52" i="1"/>
  <c r="H19" i="1"/>
  <c r="H26" i="1"/>
  <c r="E57" i="1"/>
  <c r="C47" i="1"/>
  <c r="H25" i="1"/>
  <c r="H21" i="1"/>
  <c r="H18" i="1"/>
  <c r="E59" i="1"/>
  <c r="E62" i="1"/>
  <c r="E54" i="1"/>
  <c r="H27" i="1"/>
  <c r="H17" i="1"/>
  <c r="H16" i="1"/>
  <c r="C42" i="1"/>
  <c r="D47" i="1"/>
  <c r="A9" i="1"/>
  <c r="A53" i="1" l="1"/>
  <c r="A54" i="1" s="1"/>
  <c r="A10" i="1"/>
  <c r="C37" i="1"/>
  <c r="C46" i="1" s="1"/>
  <c r="F46" i="1" s="1"/>
  <c r="H28" i="1"/>
  <c r="E63" i="1"/>
  <c r="X47" i="1"/>
  <c r="F58" i="1"/>
  <c r="G58" i="1" s="1"/>
  <c r="F55" i="1"/>
  <c r="G55" i="1" s="1"/>
  <c r="F60" i="1"/>
  <c r="G60" i="1" s="1"/>
  <c r="F57" i="1"/>
  <c r="G57" i="1" s="1"/>
  <c r="F59" i="1"/>
  <c r="G59" i="1" s="1"/>
  <c r="F56" i="1"/>
  <c r="G56" i="1" s="1"/>
  <c r="A11" i="1"/>
  <c r="C43" i="1"/>
  <c r="F61" i="1" l="1"/>
  <c r="G61" i="1" s="1"/>
  <c r="A55" i="1"/>
  <c r="A56" i="1"/>
  <c r="F51" i="1"/>
  <c r="U46" i="1"/>
  <c r="M46" i="1"/>
  <c r="E46" i="1"/>
  <c r="T46" i="1"/>
  <c r="L46" i="1"/>
  <c r="D46" i="1"/>
  <c r="G46" i="1"/>
  <c r="S46" i="1"/>
  <c r="K46" i="1"/>
  <c r="O46" i="1"/>
  <c r="R46" i="1"/>
  <c r="J46" i="1"/>
  <c r="Q46" i="1"/>
  <c r="I46" i="1"/>
  <c r="V46" i="1"/>
  <c r="P46" i="1"/>
  <c r="H46" i="1"/>
  <c r="N46" i="1"/>
  <c r="F62" i="1"/>
  <c r="G62" i="1" s="1"/>
  <c r="F53" i="1"/>
  <c r="G53" i="1" s="1"/>
  <c r="A12" i="1"/>
  <c r="F54" i="1"/>
  <c r="G54" i="1" s="1"/>
  <c r="F52" i="1"/>
  <c r="G52" i="1" s="1"/>
  <c r="X46" i="1" l="1"/>
  <c r="A57" i="1"/>
  <c r="A58" i="1" s="1"/>
  <c r="A13" i="1"/>
  <c r="F63" i="1"/>
  <c r="G51" i="1"/>
  <c r="G63" i="1" s="1"/>
  <c r="A59" i="1" l="1"/>
  <c r="A60" i="1" s="1"/>
  <c r="A15" i="1"/>
  <c r="A16" i="1"/>
  <c r="A17" i="1" s="1"/>
  <c r="A61" i="1" l="1"/>
  <c r="A62" i="1" s="1"/>
  <c r="A63" i="1" s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30" i="1" s="1"/>
  <c r="A31" i="1" s="1"/>
  <c r="A32" i="1" s="1"/>
  <c r="A34" i="1" s="1"/>
  <c r="A35" i="1" s="1"/>
  <c r="A37" i="1" s="1"/>
  <c r="A38" i="1" s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<sst xmlns="http://schemas.openxmlformats.org/spreadsheetml/2006/main" count="92" uniqueCount="76">
  <si>
    <t>Fitchburg Gas and Electric Light Company</t>
  </si>
  <si>
    <t>Residential Heat Pump Rate Design with Seasonal Reconciling Mechanisms</t>
  </si>
  <si>
    <t xml:space="preserve"> (Feb 1, 2024 update)</t>
  </si>
  <si>
    <t>Line</t>
  </si>
  <si>
    <t>Assumptions:</t>
  </si>
  <si>
    <t>RD-1: Residential</t>
  </si>
  <si>
    <t>Proposed Rate</t>
  </si>
  <si>
    <t>Customer Charge</t>
  </si>
  <si>
    <t>Distribution Charge</t>
  </si>
  <si>
    <t>Reconciling Mechanisms</t>
  </si>
  <si>
    <t>Internal Transmission</t>
  </si>
  <si>
    <t>External Transmission</t>
  </si>
  <si>
    <t>Pension/PBOP Adjustment Factor</t>
  </si>
  <si>
    <t xml:space="preserve">Advanced Metering Infrastructure Factor </t>
  </si>
  <si>
    <t>Residential Assistance Adjustment Factor</t>
  </si>
  <si>
    <t>Net Metering Recovery Surcharge</t>
  </si>
  <si>
    <t>Revenue Decoupling Adjustment Factor</t>
  </si>
  <si>
    <t>Attorney General Consultant Expense Factor</t>
  </si>
  <si>
    <t>L-T Renewable Contract Adjustment Factor</t>
  </si>
  <si>
    <t>Capital Cost Adjustment Factor</t>
  </si>
  <si>
    <t xml:space="preserve">Solar Cost Adjustment </t>
  </si>
  <si>
    <t>Grid Modernization Factor</t>
  </si>
  <si>
    <t>Basic Service Adjustment</t>
  </si>
  <si>
    <t>Storm Reserve Adjustment Factor</t>
  </si>
  <si>
    <t>Exogenous Cost Adjustment Factor</t>
  </si>
  <si>
    <t>Renewable Resources Charge</t>
  </si>
  <si>
    <t>Energy Efficiency Charge</t>
  </si>
  <si>
    <t>Energy Efficiency Reconciliation Factor ***</t>
  </si>
  <si>
    <t>SMART Factor</t>
  </si>
  <si>
    <t>Reconciling Mechanisms Rates</t>
  </si>
  <si>
    <t>Average Monthly UPC</t>
  </si>
  <si>
    <t>RD-1 Average Monthly Use</t>
  </si>
  <si>
    <t>Cost Recovery per Month</t>
  </si>
  <si>
    <t>Fixed Cost Recovery in Volumetric Rate</t>
  </si>
  <si>
    <t>Fixed Cost Recovery in Fixed Charge</t>
  </si>
  <si>
    <t>Avg. Monthly Use with Heat Pump (kWh)</t>
  </si>
  <si>
    <t xml:space="preserve">Reconciling Mechanism Recovery </t>
  </si>
  <si>
    <t xml:space="preserve">Normal Therm UPC </t>
  </si>
  <si>
    <t>Therms (Heating Load)</t>
  </si>
  <si>
    <t>Avg. Temp.</t>
  </si>
  <si>
    <t>Avg. Temp COP</t>
  </si>
  <si>
    <t xml:space="preserve">kWh Conversion </t>
  </si>
  <si>
    <t>kWh Usage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</si>
  <si>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</si>
  <si>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</si>
  <si>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</si>
  <si>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</si>
  <si>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</si>
  <si>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</si>
  <si>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</si>
  <si>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</si>
  <si>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</si>
  <si>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</si>
  <si>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</si>
  <si>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</si>
  <si>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Summer Base Load</t>
  </si>
  <si>
    <t>Derivation of Heat Pump Rate</t>
  </si>
  <si>
    <t>Therm to kWH Factor</t>
  </si>
  <si>
    <t xml:space="preserve">Customer Charge Revenue </t>
  </si>
  <si>
    <t>Winter Volumetric Charge Revenue</t>
  </si>
  <si>
    <t>per customer, November through April</t>
  </si>
  <si>
    <t>Volumetric Fixed Cost Recovery Charge</t>
  </si>
  <si>
    <t>Line 21 divided by Heat Pump kWh for Nov. through Apr.</t>
  </si>
  <si>
    <t>Winter Reconciling Mechanism Revenue</t>
  </si>
  <si>
    <t>Winter Reconciling Mechanism Rates</t>
  </si>
  <si>
    <t>Results</t>
  </si>
  <si>
    <t>HP-RES: Residential Heat Pump Service</t>
  </si>
  <si>
    <t>Distribution Charge - Winter</t>
  </si>
  <si>
    <t>Distribution Charge - Summer</t>
  </si>
  <si>
    <t>Reconciling Mechanisms Rates - Winter</t>
  </si>
  <si>
    <t>Reconciling Mechanisms Rates - Summer</t>
  </si>
  <si>
    <t>PROOF:</t>
  </si>
  <si>
    <t>RD-1</t>
  </si>
  <si>
    <t>Heat Pump</t>
  </si>
  <si>
    <t>Difference</t>
  </si>
  <si>
    <t>DPU 23-80 RR-DOER-02 Attachment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</si>
</sst>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0000_);_(&quot;$&quot;* \(#,##0.00000\);_(&quot;$&quot;* &quot;-&quot;??_);_(@_)"/>
    <numFmt numFmtId="166" formatCode="[$-409]mmm\-yy;@"/>
    <numFmt numFmtId="167" formatCode="_(* #,##0.0_);_(* \(#,##0.0\);_(* &quot;-&quot;??_);_(@_)"/>
    <numFmt numFmtId="168" formatCode="_(&quot;$&quot;* #,##0.0000_);_(&quot;$&quot;* \(#,##0.0000\);_(&quot;$&quot;* &quot;-&quot;??_);_(@_)"/>
    <numFmt numFmtId="169" formatCode="_(* #,##0.00000_);_(* \(#,##0.00000\);_(* &quot;-&quot;??_);_(@_)"/>
  </numFmts>
  <fonts count="11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u val="singleAccounting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0" fontId="1" fillId="0" borderId="0"/>
  </cellStyleXfs>
  <cellXfs count="38">
    <xf numFmtId="0" fontId="0" fillId="0" borderId="0" xfId="0"/>
    <xf numFmtId="0" fontId="6" fillId="0" borderId="0" xfId="0" applyFont="1" applyAlignment="1">
      <alignment horizontal="center"/>
    </xf>
    <xf numFmtId="164" fontId="6" fillId="0" borderId="0" xfId="1" applyNumberFormat="1" applyFont="1" applyFill="1" applyBorder="1"/>
    <xf numFmtId="164" fontId="6" fillId="0" borderId="0" xfId="2" applyNumberFormat="1" applyFont="1" applyFill="1" applyBorder="1"/>
    <xf numFmtId="43" fontId="6" fillId="0" borderId="0" xfId="1" applyFont="1" applyFill="1" applyBorder="1"/>
    <xf numFmtId="167" fontId="6" fillId="0" borderId="0" xfId="1" applyNumberFormat="1" applyFont="1" applyFill="1"/>
    <xf numFmtId="37" fontId="4" fillId="0" borderId="0" xfId="3" applyNumberFormat="1" applyFont="1"/>
    <xf numFmtId="0" fontId="6" fillId="0" borderId="0" xfId="0" applyFont="1"/>
    <xf numFmtId="0" fontId="7" fillId="0" borderId="0" xfId="0" applyFont="1"/>
    <xf numFmtId="0" fontId="4" fillId="0" borderId="0" xfId="3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4" fillId="0" borderId="0" xfId="0" applyFont="1"/>
    <xf numFmtId="0" fontId="6" fillId="0" borderId="0" xfId="4" applyFont="1" applyAlignment="1">
      <alignment horizontal="left" indent="2"/>
    </xf>
    <xf numFmtId="44" fontId="6" fillId="0" borderId="0" xfId="0" applyNumberFormat="1" applyFont="1"/>
    <xf numFmtId="165" fontId="6" fillId="0" borderId="0" xfId="0" applyNumberFormat="1" applyFont="1"/>
    <xf numFmtId="0" fontId="6" fillId="0" borderId="0" xfId="0" applyFont="1" applyAlignment="1">
      <alignment horizont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 wrapText="1"/>
    </xf>
    <xf numFmtId="166" fontId="6" fillId="0" borderId="0" xfId="5" applyNumberFormat="1" applyFont="1"/>
    <xf numFmtId="43" fontId="6" fillId="0" borderId="0" xfId="0" applyNumberFormat="1" applyFont="1"/>
    <xf numFmtId="43" fontId="6" fillId="0" borderId="0" xfId="1" applyFont="1" applyFill="1"/>
    <xf numFmtId="44" fontId="6" fillId="0" borderId="1" xfId="0" applyNumberFormat="1" applyFont="1" applyBorder="1"/>
    <xf numFmtId="43" fontId="6" fillId="0" borderId="1" xfId="0" applyNumberFormat="1" applyFont="1" applyBorder="1"/>
    <xf numFmtId="43" fontId="6" fillId="0" borderId="1" xfId="1" applyFont="1" applyFill="1" applyBorder="1"/>
    <xf numFmtId="43" fontId="6" fillId="0" borderId="2" xfId="0" applyNumberFormat="1" applyFont="1" applyBorder="1"/>
    <xf numFmtId="44" fontId="6" fillId="0" borderId="2" xfId="0" applyNumberFormat="1" applyFont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4" fontId="6" fillId="0" borderId="0" xfId="2" applyFont="1" applyFill="1"/>
    <xf numFmtId="165" fontId="6" fillId="0" borderId="0" xfId="2" applyNumberFormat="1" applyFont="1" applyFill="1"/>
    <xf numFmtId="0" fontId="10" fillId="0" borderId="0" xfId="0" applyFont="1" applyAlignment="1">
      <alignment horizontal="center"/>
    </xf>
    <xf numFmtId="168" fontId="6" fillId="0" borderId="0" xfId="2" applyNumberFormat="1" applyFont="1" applyFill="1"/>
    <xf numFmtId="7" fontId="6" fillId="0" borderId="0" xfId="0" applyNumberFormat="1" applyFont="1" applyAlignment="1">
      <alignment horizontal="center"/>
    </xf>
    <xf numFmtId="7" fontId="6" fillId="0" borderId="1" xfId="0" applyNumberFormat="1" applyFont="1" applyBorder="1" applyAlignment="1">
      <alignment horizontal="center"/>
    </xf>
    <xf numFmtId="169" fontId="6" fillId="0" borderId="0" xfId="1" applyNumberFormat="1" applyFont="1" applyFill="1"/>
  </cellXfs>
  <cellStyles count="6">
    <cellStyle name="Comma" xfId="1" builtinId="3"/>
    <cellStyle name="Currency" xfId="2" builtinId="4"/>
    <cellStyle name="Normal" xfId="0" builtinId="0"/>
    <cellStyle name="Normal 2" xfId="3" xr:uid="{1D8F01FE-A909-4E36-8667-4BDBCD738878}"/>
    <cellStyle name="Normal 2 6" xfId="4" xr:uid="{E2827904-455A-4EE6-B4DC-061A3577480A}"/>
    <cellStyle name="Normal 27" xfId="5" xr:uid="{02D9026B-03A4-434B-89CC-2F22D9D21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riumeconcom.sharepoint.com/sites/0595-Fitchburg2023RateCase/Shared%20Documents/General/Hearings_Record%20Requests/RR%20DOER-1and2%20workpapaer%20(heat%20pump%20ra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at Pump Rate w Transmission"/>
      <sheetName val="Heat Pump Rate w All Riders"/>
      <sheetName val="Heat Pump Rate Design"/>
      <sheetName val="RD-1"/>
    </sheetNames>
    <sheetDataSet>
      <sheetData sheetId="0" refreshError="1"/>
      <sheetData sheetId="1"/>
      <sheetData sheetId="2" refreshError="1"/>
      <sheetData sheetId="3">
        <row r="32">
          <cell r="P32" t="str">
            <v>kWh</v>
          </cell>
        </row>
        <row r="33">
          <cell r="K33" t="str">
            <v>Internal Transmission</v>
          </cell>
          <cell r="P33">
            <v>6.0546024597124722E-3</v>
          </cell>
        </row>
        <row r="34">
          <cell r="K34" t="str">
            <v>External Transmission</v>
          </cell>
          <cell r="P34">
            <v>3.0282806977656646E-2</v>
          </cell>
        </row>
        <row r="35">
          <cell r="P35">
            <v>3.6337409437369114E-2</v>
          </cell>
        </row>
        <row r="37">
          <cell r="K37" t="str">
            <v>Distribution</v>
          </cell>
          <cell r="P37">
            <v>9.9970000000000003E-2</v>
          </cell>
        </row>
        <row r="39">
          <cell r="K39" t="str">
            <v>Pension/PBOP Adjustment Factor</v>
          </cell>
          <cell r="P39">
            <v>3.6362024099319545E-3</v>
          </cell>
        </row>
        <row r="40">
          <cell r="K40" t="str">
            <v xml:space="preserve">Advanced Metering Infrastructure Factor </v>
          </cell>
          <cell r="P40">
            <v>5.9807106819533586E-3</v>
          </cell>
        </row>
        <row r="41">
          <cell r="K41" t="str">
            <v>Residential Assistance Adjustment Factor</v>
          </cell>
          <cell r="P41">
            <v>3.0319549461567945E-2</v>
          </cell>
        </row>
        <row r="42">
          <cell r="K42" t="str">
            <v>Net Metering Recovery Surcharge</v>
          </cell>
          <cell r="P42">
            <v>1.6266564762918406E-2</v>
          </cell>
        </row>
        <row r="43">
          <cell r="K43" t="str">
            <v>Revenue Decoupling Adjustment Factor</v>
          </cell>
          <cell r="P43">
            <v>0</v>
          </cell>
        </row>
        <row r="44">
          <cell r="K44" t="str">
            <v>Attorney General Consultant Expense Factor</v>
          </cell>
          <cell r="P44">
            <v>5.6110505759983734E-4</v>
          </cell>
        </row>
        <row r="45">
          <cell r="K45" t="str">
            <v>L-T Renewable Contract Adjustment Factor</v>
          </cell>
          <cell r="P45">
            <v>-2.7499999999999994E-3</v>
          </cell>
        </row>
        <row r="46">
          <cell r="K46" t="str">
            <v>Capital Cost Adjustment Factor</v>
          </cell>
          <cell r="P46">
            <v>0</v>
          </cell>
        </row>
        <row r="47">
          <cell r="K47" t="str">
            <v xml:space="preserve">Solar Cost Adjustment </v>
          </cell>
          <cell r="P47">
            <v>0</v>
          </cell>
        </row>
        <row r="48">
          <cell r="K48" t="str">
            <v>Grid Modernization Factor</v>
          </cell>
          <cell r="P48">
            <v>3.9837240529752935E-3</v>
          </cell>
        </row>
        <row r="49">
          <cell r="K49" t="str">
            <v>Basic Service Adjustment</v>
          </cell>
          <cell r="P49">
            <v>-4.2812784729693779E-4</v>
          </cell>
        </row>
        <row r="50">
          <cell r="K50" t="str">
            <v>Storm Reserve Adjustment Factor</v>
          </cell>
          <cell r="P50">
            <v>5.4476846357357162E-4</v>
          </cell>
        </row>
        <row r="51">
          <cell r="K51" t="str">
            <v>Exogenous Cost Adjustment Factor</v>
          </cell>
          <cell r="P51">
            <v>2.0472135470126769E-3</v>
          </cell>
        </row>
        <row r="52">
          <cell r="P52">
            <v>0.16013171059023612</v>
          </cell>
        </row>
        <row r="54">
          <cell r="K54" t="str">
            <v>Renewable Resources Charge</v>
          </cell>
          <cell r="P54">
            <v>5.0000000000000001E-4</v>
          </cell>
        </row>
        <row r="56">
          <cell r="K56" t="str">
            <v>Energy Efficiency Charge</v>
          </cell>
          <cell r="P56">
            <v>2.5000000000000005E-3</v>
          </cell>
        </row>
        <row r="57">
          <cell r="K57" t="str">
            <v>Energy Efficiency Reconciliation Factor ***</v>
          </cell>
          <cell r="P57">
            <v>2.0969999999999999E-2</v>
          </cell>
        </row>
        <row r="58">
          <cell r="P58">
            <v>2.3469999999999998E-2</v>
          </cell>
        </row>
        <row r="60">
          <cell r="K60" t="str">
            <v>SMART Factor</v>
          </cell>
          <cell r="P60">
            <v>5.3058405097328558E-3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3DF8-B9FF-4ACE-981A-A525A83B6231}">
  <dimension ref="A1:AC63"/>
  <sheetViews>
    <sheetView tabSelected="1" zoomScaleNormal="100" workbookViewId="0">
      <selection activeCell="A2" sqref="A2"/>
    </sheetView>
  </sheetViews>
  <sheetFormatPr defaultColWidth="9.109375" defaultRowHeight="13.05" customHeight="1" x14ac:dyDescent="0.3"/>
  <cols>
    <col min="1" max="1" width="5.77734375" style="8" customWidth="1"/>
    <col min="2" max="2" width="39.44140625" style="8" customWidth="1"/>
    <col min="3" max="3" width="13.77734375" style="8" bestFit="1" customWidth="1"/>
    <col min="4" max="4" width="14" style="8" bestFit="1" customWidth="1"/>
    <col min="5" max="5" width="15.21875" style="8" bestFit="1" customWidth="1"/>
    <col min="6" max="20" width="15" style="8" customWidth="1"/>
    <col min="21" max="22" width="14.77734375" style="8" customWidth="1"/>
    <col min="23" max="16384" width="9.109375" style="8"/>
  </cols>
  <sheetData>
    <row r="1" spans="1:29" ht="14.4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4.4" x14ac:dyDescent="0.3">
      <c r="A2" s="9" t="s">
        <v>75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4.4" x14ac:dyDescent="0.3">
      <c r="A3" s="10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4.4" x14ac:dyDescent="0.3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4.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6.2" x14ac:dyDescent="0.45">
      <c r="A6" s="11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4.4" x14ac:dyDescent="0.3">
      <c r="A7" s="1">
        <v>1</v>
      </c>
      <c r="B7" s="12" t="s">
        <v>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4.4" x14ac:dyDescent="0.3">
      <c r="A8" s="1" t="str">
        <f>IF(ISBLANK(B8),"",MAX($A$6:A7)+1)</f>
        <v/>
      </c>
      <c r="B8" s="7"/>
      <c r="C8" s="7"/>
      <c r="D8" s="7"/>
      <c r="E8" s="13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6.2" x14ac:dyDescent="0.45">
      <c r="A9" s="1">
        <f>IF(ISBLANK(B9),"",MAX($A$6:A8)+1)</f>
        <v>2</v>
      </c>
      <c r="B9" s="14" t="s">
        <v>5</v>
      </c>
      <c r="C9" s="11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4.4" x14ac:dyDescent="0.3">
      <c r="A10" s="1">
        <f>IF(ISBLANK(B10),"",MAX($A$6:A9)+1)</f>
        <v>3</v>
      </c>
      <c r="B10" s="15" t="s">
        <v>7</v>
      </c>
      <c r="C10" s="16">
        <v>8.5</v>
      </c>
      <c r="D10" s="7"/>
      <c r="E10" s="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4.4" x14ac:dyDescent="0.3">
      <c r="A11" s="1">
        <f>IF(ISBLANK(B11),"",MAX($A$6:A10)+1)</f>
        <v>4</v>
      </c>
      <c r="B11" s="15" t="s">
        <v>8</v>
      </c>
      <c r="C11" s="17">
        <v>9.9970000000000003E-2</v>
      </c>
      <c r="D11" s="7"/>
      <c r="E11" s="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57.6" x14ac:dyDescent="0.3">
      <c r="A12" s="1">
        <f>IF(ISBLANK(B12),"",MAX($A$6:A11)+1)</f>
        <v>5</v>
      </c>
      <c r="B12" s="15" t="s">
        <v>9</v>
      </c>
      <c r="C12" s="17"/>
      <c r="D12" s="18" t="s">
        <v>10</v>
      </c>
      <c r="E12" s="18" t="s">
        <v>11</v>
      </c>
      <c r="F12" s="18" t="s">
        <v>12</v>
      </c>
      <c r="G12" s="18" t="s">
        <v>13</v>
      </c>
      <c r="H12" s="18" t="s">
        <v>14</v>
      </c>
      <c r="I12" s="18" t="s">
        <v>15</v>
      </c>
      <c r="J12" s="18" t="s">
        <v>16</v>
      </c>
      <c r="K12" s="18" t="s">
        <v>17</v>
      </c>
      <c r="L12" s="18" t="s">
        <v>18</v>
      </c>
      <c r="M12" s="18" t="s">
        <v>19</v>
      </c>
      <c r="N12" s="18" t="s">
        <v>20</v>
      </c>
      <c r="O12" s="18" t="s">
        <v>21</v>
      </c>
      <c r="P12" s="18" t="s">
        <v>22</v>
      </c>
      <c r="Q12" s="18" t="s">
        <v>23</v>
      </c>
      <c r="R12" s="18" t="s">
        <v>24</v>
      </c>
      <c r="S12" s="18" t="s">
        <v>25</v>
      </c>
      <c r="T12" s="18" t="s">
        <v>26</v>
      </c>
      <c r="U12" s="18" t="s">
        <v>27</v>
      </c>
      <c r="V12" s="18" t="s">
        <v>28</v>
      </c>
      <c r="W12" s="18"/>
      <c r="Z12" s="7"/>
      <c r="AA12" s="7"/>
      <c r="AB12" s="7"/>
      <c r="AC12" s="7"/>
    </row>
    <row r="13" spans="1:29" ht="14.4" x14ac:dyDescent="0.3">
      <c r="A13" s="1">
        <f>IF(ISBLANK(B13),"",MAX($A$6:A12)+1)</f>
        <v>6</v>
      </c>
      <c r="B13" s="15" t="s">
        <v>29</v>
      </c>
      <c r="C13" s="17">
        <f>SUM(D13:V13)</f>
        <v>0.12577496053733805</v>
      </c>
      <c r="D13" s="37">
        <f>INDEX('[1]RD-1'!$P$32:$P$60,MATCH(D12,'[1]RD-1'!$K$32:$K$60,0))</f>
        <v>6.0546024597124722E-3</v>
      </c>
      <c r="E13" s="37">
        <f>INDEX('[1]RD-1'!$P$32:$P$60,MATCH(E12,'[1]RD-1'!$K$32:$K$60,0))</f>
        <v>3.0282806977656646E-2</v>
      </c>
      <c r="F13" s="37">
        <f>INDEX('[1]RD-1'!$P$32:$P$60,MATCH(F12,'[1]RD-1'!$K$32:$K$60,0))</f>
        <v>3.6362024099319545E-3</v>
      </c>
      <c r="G13" s="37">
        <f>INDEX('[1]RD-1'!$P$32:$P$60,MATCH(G12,'[1]RD-1'!$K$32:$K$60,0))</f>
        <v>5.9807106819533586E-3</v>
      </c>
      <c r="H13" s="37">
        <f>INDEX('[1]RD-1'!$P$32:$P$60,MATCH(H12,'[1]RD-1'!$K$32:$K$60,0))</f>
        <v>3.0319549461567945E-2</v>
      </c>
      <c r="I13" s="37">
        <f>INDEX('[1]RD-1'!$P$32:$P$60,MATCH(I12,'[1]RD-1'!$K$32:$K$60,0))</f>
        <v>1.6266564762918406E-2</v>
      </c>
      <c r="J13" s="37">
        <f>INDEX('[1]RD-1'!$P$32:$P$60,MATCH(J12,'[1]RD-1'!$K$32:$K$60,0))</f>
        <v>0</v>
      </c>
      <c r="K13" s="37">
        <f>INDEX('[1]RD-1'!$P$32:$P$60,MATCH(K12,'[1]RD-1'!$K$32:$K$60,0))</f>
        <v>5.6110505759983734E-4</v>
      </c>
      <c r="L13" s="37">
        <f>INDEX('[1]RD-1'!$P$32:$P$60,MATCH(L12,'[1]RD-1'!$K$32:$K$60,0))</f>
        <v>-2.7499999999999994E-3</v>
      </c>
      <c r="M13" s="37">
        <f>INDEX('[1]RD-1'!$P$32:$P$60,MATCH(M12,'[1]RD-1'!$K$32:$K$60,0))</f>
        <v>0</v>
      </c>
      <c r="N13" s="37">
        <f>INDEX('[1]RD-1'!$P$32:$P$60,MATCH(N12,'[1]RD-1'!$K$32:$K$60,0))</f>
        <v>0</v>
      </c>
      <c r="O13" s="37">
        <f>INDEX('[1]RD-1'!$P$32:$P$60,MATCH(O12,'[1]RD-1'!$K$32:$K$60,0))</f>
        <v>3.9837240529752935E-3</v>
      </c>
      <c r="P13" s="37">
        <f>INDEX('[1]RD-1'!$P$32:$P$60,MATCH(P12,'[1]RD-1'!$K$32:$K$60,0))</f>
        <v>-4.2812784729693779E-4</v>
      </c>
      <c r="Q13" s="37">
        <f>INDEX('[1]RD-1'!$P$32:$P$60,MATCH(Q12,'[1]RD-1'!$K$32:$K$60,0))</f>
        <v>5.4476846357357162E-4</v>
      </c>
      <c r="R13" s="37">
        <f>INDEX('[1]RD-1'!$P$32:$P$60,MATCH(R12,'[1]RD-1'!$K$32:$K$60,0))</f>
        <v>2.0472135470126769E-3</v>
      </c>
      <c r="S13" s="37">
        <f>INDEX('[1]RD-1'!$P$32:$P$60,MATCH(S12,'[1]RD-1'!$K$32:$K$60,0))</f>
        <v>5.0000000000000001E-4</v>
      </c>
      <c r="T13" s="37">
        <f>INDEX('[1]RD-1'!$P$32:$P$60,MATCH(T12,'[1]RD-1'!$K$32:$K$60,0))</f>
        <v>2.5000000000000005E-3</v>
      </c>
      <c r="U13" s="37">
        <f>INDEX('[1]RD-1'!$P$32:$P$60,MATCH(U12,'[1]RD-1'!$K$32:$K$60,0))</f>
        <v>2.0969999999999999E-2</v>
      </c>
      <c r="V13" s="37">
        <f>INDEX('[1]RD-1'!$P$32:$P$60,MATCH(V12,'[1]RD-1'!$K$32:$K$60,0))</f>
        <v>5.3058405097328558E-3</v>
      </c>
      <c r="W13" s="7"/>
      <c r="X13" s="7"/>
      <c r="Y13" s="7"/>
      <c r="Z13" s="7"/>
      <c r="AA13" s="7"/>
      <c r="AB13" s="7"/>
      <c r="AC13" s="7"/>
    </row>
    <row r="14" spans="1:29" ht="14.4" x14ac:dyDescent="0.3">
      <c r="A14" s="1" t="str">
        <f>IF(ISBLANK(B14),"",MAX($A$6:A13)+1)</f>
        <v/>
      </c>
      <c r="B14" s="7"/>
      <c r="C14" s="7"/>
      <c r="D14" s="7"/>
      <c r="E14" s="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43.2" x14ac:dyDescent="0.3">
      <c r="A15" s="1">
        <f>IF(ISBLANK(B15),"",MAX($A$6:A14)+1)</f>
        <v>7</v>
      </c>
      <c r="B15" s="19" t="s">
        <v>30</v>
      </c>
      <c r="C15" s="20" t="s">
        <v>31</v>
      </c>
      <c r="D15" s="20" t="s">
        <v>32</v>
      </c>
      <c r="E15" s="20" t="s">
        <v>33</v>
      </c>
      <c r="F15" s="20" t="s">
        <v>34</v>
      </c>
      <c r="G15" s="20" t="s">
        <v>35</v>
      </c>
      <c r="H15" s="20" t="s">
        <v>36</v>
      </c>
      <c r="I15" s="7"/>
      <c r="J15" s="20" t="s">
        <v>37</v>
      </c>
      <c r="K15" s="20" t="s">
        <v>38</v>
      </c>
      <c r="L15" s="20" t="s">
        <v>39</v>
      </c>
      <c r="M15" s="20" t="s">
        <v>40</v>
      </c>
      <c r="N15" s="20" t="s">
        <v>41</v>
      </c>
      <c r="O15" s="20" t="s">
        <v>42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4.4" x14ac:dyDescent="0.3">
      <c r="A16" s="1">
        <f>IF(ISBLANK(B16),"",MAX($A$6:A15)+1)</f>
        <v>8</v>
      </c>
      <c r="B16" s="21" t="s">
        <v>43</v>
      </c>
      <c r="C16" s="4">
        <v>684.49087368276753</v>
      </c>
      <c r="D16" s="16">
        <f>$C$10+$C$11*C16</f>
        <v>76.928552642066279</v>
      </c>
      <c r="E16" s="16">
        <f t="shared" ref="E16:E27" si="0">($C$11-$C$50)*C16</f>
        <v>68.428552642066279</v>
      </c>
      <c r="F16" s="16">
        <f t="shared" ref="F16:F27" si="1">$C$10</f>
        <v>8.5</v>
      </c>
      <c r="G16" s="22">
        <f t="shared" ref="G16:G27" si="2">C16+O16</f>
        <v>2137.0376248573143</v>
      </c>
      <c r="H16" s="16">
        <f>$C$13*C16</f>
        <v>86.091812625618132</v>
      </c>
      <c r="I16" s="7"/>
      <c r="J16" s="23">
        <v>139.19505263396809</v>
      </c>
      <c r="K16" s="22">
        <f>J16-$K$29</f>
        <v>123.93743610704325</v>
      </c>
      <c r="L16" s="5">
        <v>26.802553763440859</v>
      </c>
      <c r="M16" s="23">
        <v>2.5</v>
      </c>
      <c r="N16" s="23">
        <f>K16*$K$30</f>
        <v>3631.3668779363675</v>
      </c>
      <c r="O16" s="23">
        <f>N16/M16</f>
        <v>1452.5467511745469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4.4" x14ac:dyDescent="0.3">
      <c r="A17" s="1">
        <f>IF(ISBLANK(B17),"",MAX($A$6:A16)+1)</f>
        <v>9</v>
      </c>
      <c r="B17" s="21" t="s">
        <v>44</v>
      </c>
      <c r="C17" s="4">
        <v>634.5000575842148</v>
      </c>
      <c r="D17" s="16">
        <f t="shared" ref="D17:D27" si="3">$C$10+$C$11*C17</f>
        <v>71.930970756693952</v>
      </c>
      <c r="E17" s="16">
        <f t="shared" si="0"/>
        <v>63.430970756693952</v>
      </c>
      <c r="F17" s="16">
        <f t="shared" si="1"/>
        <v>8.5</v>
      </c>
      <c r="G17" s="22">
        <f t="shared" si="2"/>
        <v>2019.8549775385916</v>
      </c>
      <c r="H17" s="16">
        <f t="shared" ref="H17:H27" si="4">$C$13*C17</f>
        <v>79.804219703593333</v>
      </c>
      <c r="I17" s="7"/>
      <c r="J17" s="23">
        <v>145.28239570353017</v>
      </c>
      <c r="K17" s="22">
        <f>J17-$K$29</f>
        <v>130.02477917660534</v>
      </c>
      <c r="L17" s="5">
        <v>28.677306547619043</v>
      </c>
      <c r="M17" s="23">
        <v>2.75</v>
      </c>
      <c r="N17" s="23">
        <f>K17*$K$30</f>
        <v>3809.7260298745364</v>
      </c>
      <c r="O17" s="23">
        <f>N17/M17</f>
        <v>1385.3549199543768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4.4" x14ac:dyDescent="0.3">
      <c r="A18" s="1">
        <f>IF(ISBLANK(B18),"",MAX($A$6:A17)+1)</f>
        <v>10</v>
      </c>
      <c r="B18" s="21" t="s">
        <v>45</v>
      </c>
      <c r="C18" s="4">
        <v>552.57366439382577</v>
      </c>
      <c r="D18" s="16">
        <f t="shared" si="3"/>
        <v>63.740789229450762</v>
      </c>
      <c r="E18" s="16">
        <f t="shared" si="0"/>
        <v>55.240789229450762</v>
      </c>
      <c r="F18" s="16">
        <f t="shared" si="1"/>
        <v>8.5</v>
      </c>
      <c r="G18" s="22">
        <f t="shared" si="2"/>
        <v>1632.7634702975233</v>
      </c>
      <c r="H18" s="16">
        <f t="shared" si="4"/>
        <v>69.499930833105722</v>
      </c>
      <c r="I18" s="7"/>
      <c r="J18" s="23">
        <v>125.85725535665496</v>
      </c>
      <c r="K18" s="22">
        <f>J18-$K$29</f>
        <v>110.59963882973013</v>
      </c>
      <c r="L18" s="5">
        <v>35.62822580645161</v>
      </c>
      <c r="M18" s="23">
        <v>3</v>
      </c>
      <c r="N18" s="23">
        <f>K18*$K$30</f>
        <v>3240.5694177110927</v>
      </c>
      <c r="O18" s="23">
        <f>N18/M18</f>
        <v>1080.1898059036976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4.4" x14ac:dyDescent="0.3">
      <c r="A19" s="1">
        <f>IF(ISBLANK(B19),"",MAX($A$6:A18)+1)</f>
        <v>11</v>
      </c>
      <c r="B19" s="21" t="s">
        <v>46</v>
      </c>
      <c r="C19" s="4">
        <v>441.967890555216</v>
      </c>
      <c r="D19" s="16">
        <f t="shared" si="3"/>
        <v>52.683530018804944</v>
      </c>
      <c r="E19" s="16">
        <f t="shared" si="0"/>
        <v>44.183530018804944</v>
      </c>
      <c r="F19" s="16">
        <f t="shared" si="1"/>
        <v>8.5</v>
      </c>
      <c r="G19" s="22">
        <f t="shared" si="2"/>
        <v>1130.1593105250315</v>
      </c>
      <c r="H19" s="16">
        <f t="shared" si="4"/>
        <v>55.588493993352834</v>
      </c>
      <c r="I19" s="7"/>
      <c r="J19" s="23">
        <v>97.464782734923276</v>
      </c>
      <c r="K19" s="22">
        <f>J19-$K$29</f>
        <v>82.207166207998441</v>
      </c>
      <c r="L19" s="5">
        <v>46.415833333333332</v>
      </c>
      <c r="M19" s="23">
        <v>3.5</v>
      </c>
      <c r="N19" s="23">
        <f>K19*$K$30</f>
        <v>2408.6699698943544</v>
      </c>
      <c r="O19" s="23">
        <f>N19/M19</f>
        <v>688.19141996981557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4.4" x14ac:dyDescent="0.3">
      <c r="A20" s="1">
        <f>IF(ISBLANK(B20),"",MAX($A$6:A19)+1)</f>
        <v>12</v>
      </c>
      <c r="B20" s="21" t="s">
        <v>47</v>
      </c>
      <c r="C20" s="4">
        <v>434.81857483085071</v>
      </c>
      <c r="D20" s="16">
        <f t="shared" si="3"/>
        <v>51.968812925840147</v>
      </c>
      <c r="E20" s="16">
        <f t="shared" si="0"/>
        <v>43.468812925840147</v>
      </c>
      <c r="F20" s="16">
        <f t="shared" si="1"/>
        <v>8.5</v>
      </c>
      <c r="G20" s="22">
        <f t="shared" si="2"/>
        <v>434.81857483085071</v>
      </c>
      <c r="H20" s="16">
        <f t="shared" si="4"/>
        <v>54.689289090251819</v>
      </c>
      <c r="I20" s="7"/>
      <c r="J20" s="23">
        <v>51.100960435385332</v>
      </c>
      <c r="K20" s="22"/>
      <c r="L20" s="5"/>
      <c r="M20" s="23"/>
      <c r="N20" s="23"/>
      <c r="O20" s="23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4.4" x14ac:dyDescent="0.3">
      <c r="A21" s="1">
        <f>IF(ISBLANK(B21),"",MAX($A$6:A20)+1)</f>
        <v>13</v>
      </c>
      <c r="B21" s="21" t="s">
        <v>48</v>
      </c>
      <c r="C21" s="4">
        <v>472.29002313520965</v>
      </c>
      <c r="D21" s="16">
        <f t="shared" si="3"/>
        <v>55.714833612826908</v>
      </c>
      <c r="E21" s="16">
        <f t="shared" si="0"/>
        <v>47.214833612826908</v>
      </c>
      <c r="F21" s="16">
        <f t="shared" si="1"/>
        <v>8.5</v>
      </c>
      <c r="G21" s="22">
        <f t="shared" si="2"/>
        <v>472.29002313520965</v>
      </c>
      <c r="H21" s="16">
        <f t="shared" si="4"/>
        <v>59.402259022009467</v>
      </c>
      <c r="I21" s="7"/>
      <c r="J21" s="23">
        <v>15.105046026803759</v>
      </c>
      <c r="K21" s="22"/>
      <c r="L21" s="5"/>
      <c r="M21" s="23"/>
      <c r="N21" s="23"/>
      <c r="O21" s="23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4.4" x14ac:dyDescent="0.3">
      <c r="A22" s="1">
        <f>IF(ISBLANK(B22),"",MAX($A$6:A21)+1)</f>
        <v>14</v>
      </c>
      <c r="B22" s="21" t="s">
        <v>49</v>
      </c>
      <c r="C22" s="4">
        <v>596.22825580066763</v>
      </c>
      <c r="D22" s="16">
        <f t="shared" si="3"/>
        <v>68.104938732392753</v>
      </c>
      <c r="E22" s="16">
        <f t="shared" si="0"/>
        <v>59.604938732392746</v>
      </c>
      <c r="F22" s="16">
        <f t="shared" si="1"/>
        <v>8.5</v>
      </c>
      <c r="G22" s="22">
        <f t="shared" si="2"/>
        <v>596.22825580066763</v>
      </c>
      <c r="H22" s="16">
        <f t="shared" si="4"/>
        <v>74.990585344574868</v>
      </c>
      <c r="I22" s="7"/>
      <c r="J22" s="23">
        <v>16.015967979488103</v>
      </c>
      <c r="K22" s="22"/>
      <c r="L22" s="5"/>
      <c r="M22" s="23"/>
      <c r="N22" s="23"/>
      <c r="O22" s="2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4.4" x14ac:dyDescent="0.3">
      <c r="A23" s="1">
        <f>IF(ISBLANK(B23),"",MAX($A$6:A22)+1)</f>
        <v>15</v>
      </c>
      <c r="B23" s="21" t="s">
        <v>50</v>
      </c>
      <c r="C23" s="4">
        <v>717.36073899271003</v>
      </c>
      <c r="D23" s="16">
        <f t="shared" si="3"/>
        <v>80.214553077101229</v>
      </c>
      <c r="E23" s="16">
        <f t="shared" si="0"/>
        <v>71.714553077101229</v>
      </c>
      <c r="F23" s="16">
        <f t="shared" si="1"/>
        <v>8.5</v>
      </c>
      <c r="G23" s="22">
        <f t="shared" si="2"/>
        <v>717.36073899271003</v>
      </c>
      <c r="H23" s="16">
        <f t="shared" si="4"/>
        <v>90.226018637843765</v>
      </c>
      <c r="I23" s="7"/>
      <c r="J23" s="23">
        <v>11.958408035004172</v>
      </c>
      <c r="K23" s="22"/>
      <c r="L23" s="5"/>
      <c r="M23" s="23"/>
      <c r="N23" s="23"/>
      <c r="O23" s="23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4.4" x14ac:dyDescent="0.3">
      <c r="A24" s="1">
        <f>IF(ISBLANK(B24),"",MAX($A$6:A23)+1)</f>
        <v>16</v>
      </c>
      <c r="B24" s="21" t="s">
        <v>51</v>
      </c>
      <c r="C24" s="4">
        <v>537.72135733258426</v>
      </c>
      <c r="D24" s="16">
        <f t="shared" si="3"/>
        <v>62.256004092538447</v>
      </c>
      <c r="E24" s="16">
        <f t="shared" si="0"/>
        <v>53.756004092538447</v>
      </c>
      <c r="F24" s="16">
        <f t="shared" si="1"/>
        <v>8.5</v>
      </c>
      <c r="G24" s="22">
        <f t="shared" si="2"/>
        <v>537.72135733258426</v>
      </c>
      <c r="H24" s="16">
        <f t="shared" si="4"/>
        <v>67.631882498589647</v>
      </c>
      <c r="I24" s="7"/>
      <c r="J24" s="23">
        <v>17.951044066403327</v>
      </c>
      <c r="K24" s="22"/>
      <c r="L24" s="5"/>
      <c r="M24" s="23"/>
      <c r="N24" s="23"/>
      <c r="O24" s="23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4.4" x14ac:dyDescent="0.3">
      <c r="A25" s="1">
        <f>IF(ISBLANK(B25),"",MAX($A$6:A24)+1)</f>
        <v>17</v>
      </c>
      <c r="B25" s="21" t="s">
        <v>52</v>
      </c>
      <c r="C25" s="4">
        <v>405.51164151555383</v>
      </c>
      <c r="D25" s="16">
        <f t="shared" si="3"/>
        <v>49.038998802309919</v>
      </c>
      <c r="E25" s="16">
        <f t="shared" si="0"/>
        <v>40.538998802309919</v>
      </c>
      <c r="F25" s="16">
        <f t="shared" si="1"/>
        <v>8.5</v>
      </c>
      <c r="G25" s="22">
        <f t="shared" si="2"/>
        <v>405.51164151555383</v>
      </c>
      <c r="H25" s="16">
        <f t="shared" si="4"/>
        <v>51.003210709049959</v>
      </c>
      <c r="I25" s="7"/>
      <c r="J25" s="23">
        <v>22.802519280957966</v>
      </c>
      <c r="K25" s="22"/>
      <c r="L25" s="5"/>
      <c r="M25" s="23"/>
      <c r="N25" s="23"/>
      <c r="O25" s="23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4.4" x14ac:dyDescent="0.3">
      <c r="A26" s="1">
        <f>IF(ISBLANK(B26),"",MAX($A$6:A25)+1)</f>
        <v>18</v>
      </c>
      <c r="B26" s="21" t="s">
        <v>53</v>
      </c>
      <c r="C26" s="4">
        <v>427.77897043879136</v>
      </c>
      <c r="D26" s="16">
        <f t="shared" si="3"/>
        <v>51.265063674765976</v>
      </c>
      <c r="E26" s="16">
        <f t="shared" si="0"/>
        <v>42.765063674765976</v>
      </c>
      <c r="F26" s="16">
        <f t="shared" si="1"/>
        <v>8.5</v>
      </c>
      <c r="G26" s="22">
        <f t="shared" si="2"/>
        <v>864.75714251629961</v>
      </c>
      <c r="H26" s="16">
        <f t="shared" si="4"/>
        <v>53.803883125642088</v>
      </c>
      <c r="I26" s="7"/>
      <c r="J26" s="23">
        <v>63.727891586716716</v>
      </c>
      <c r="K26" s="22">
        <f>J26-$K$29</f>
        <v>48.470275059791874</v>
      </c>
      <c r="L26" s="5">
        <v>40.179305555555558</v>
      </c>
      <c r="M26" s="23">
        <v>3.25</v>
      </c>
      <c r="N26" s="23">
        <f>K26*$K$30</f>
        <v>1420.1790592519019</v>
      </c>
      <c r="O26" s="23">
        <f>N26/M26</f>
        <v>436.97817207750825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4.4" x14ac:dyDescent="0.3">
      <c r="A27" s="1">
        <f>IF(ISBLANK(B27),"",MAX($A$6:A26)+1)</f>
        <v>19</v>
      </c>
      <c r="B27" s="21" t="s">
        <v>54</v>
      </c>
      <c r="C27" s="4">
        <v>550.49742468730665</v>
      </c>
      <c r="D27" s="24">
        <f t="shared" si="3"/>
        <v>63.533227545990044</v>
      </c>
      <c r="E27" s="24">
        <f t="shared" si="0"/>
        <v>55.033227545990044</v>
      </c>
      <c r="F27" s="24">
        <f t="shared" si="1"/>
        <v>8.5</v>
      </c>
      <c r="G27" s="25">
        <f t="shared" si="2"/>
        <v>1434.6296334243525</v>
      </c>
      <c r="H27" s="16">
        <f t="shared" si="4"/>
        <v>69.238791865952223</v>
      </c>
      <c r="I27" s="7"/>
      <c r="J27" s="23">
        <v>105.78309865017184</v>
      </c>
      <c r="K27" s="22">
        <f>J27-$K$29</f>
        <v>90.525482123247002</v>
      </c>
      <c r="L27" s="5">
        <v>32.670026881720425</v>
      </c>
      <c r="M27" s="23">
        <v>3</v>
      </c>
      <c r="N27" s="23">
        <f>K27*$K$30</f>
        <v>2652.3966262111371</v>
      </c>
      <c r="O27" s="26">
        <f>N27/M27</f>
        <v>884.13220873704574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4.4" x14ac:dyDescent="0.3">
      <c r="A28" s="1" t="str">
        <f>IF(ISBLANK(B28),"",MAX($A$6:A27)+1)</f>
        <v/>
      </c>
      <c r="B28" s="7"/>
      <c r="C28" s="27">
        <f>SUM(C16:C27)</f>
        <v>6455.7394729496973</v>
      </c>
      <c r="D28" s="16">
        <f>SUM(D16:D27)</f>
        <v>747.38027511078133</v>
      </c>
      <c r="E28" s="16">
        <f t="shared" ref="E28:H28" si="5">SUM(E16:E27)</f>
        <v>645.38027511078133</v>
      </c>
      <c r="F28" s="16">
        <f t="shared" si="5"/>
        <v>102</v>
      </c>
      <c r="G28" s="22">
        <f>SUM(G16:G27)</f>
        <v>12383.132750766687</v>
      </c>
      <c r="H28" s="28">
        <f t="shared" si="5"/>
        <v>811.97037744958379</v>
      </c>
      <c r="I28" s="7"/>
      <c r="J28" s="7"/>
      <c r="K28" s="7"/>
      <c r="L28" s="7"/>
      <c r="M28" s="7"/>
      <c r="N28" s="22"/>
      <c r="O28" s="22">
        <f>SUM(O16:O27)</f>
        <v>5927.3932778169901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4.4" x14ac:dyDescent="0.3">
      <c r="A29" s="1" t="str">
        <f>IF(ISBLANK(B29),"",MAX($A$6:A28)+1)</f>
        <v/>
      </c>
      <c r="B29" s="7"/>
      <c r="C29" s="7"/>
      <c r="D29" s="7"/>
      <c r="E29" s="7"/>
      <c r="F29" s="7"/>
      <c r="G29" s="7"/>
      <c r="H29" s="7"/>
      <c r="I29" s="7"/>
      <c r="J29" s="29" t="s">
        <v>55</v>
      </c>
      <c r="K29" s="22">
        <f>AVERAGE(J21:J24)</f>
        <v>15.25761652692484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4.4" x14ac:dyDescent="0.3">
      <c r="A30" s="1">
        <f>IF(ISBLANK(B30),"",MAX($A$6:A29)+1)</f>
        <v>20</v>
      </c>
      <c r="B30" s="14" t="s">
        <v>56</v>
      </c>
      <c r="C30" s="7"/>
      <c r="D30" s="7"/>
      <c r="E30" s="7"/>
      <c r="F30" s="7"/>
      <c r="G30" s="7"/>
      <c r="H30" s="7"/>
      <c r="I30" s="7"/>
      <c r="J30" s="29" t="s">
        <v>57</v>
      </c>
      <c r="K30" s="22">
        <v>29.3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4.4" x14ac:dyDescent="0.3">
      <c r="A31" s="1">
        <f>IF(ISBLANK(B31),"",MAX($A$6:A30)+1)</f>
        <v>21</v>
      </c>
      <c r="B31" s="30" t="s">
        <v>7</v>
      </c>
      <c r="C31" s="16">
        <f>C10</f>
        <v>8.5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4.4" x14ac:dyDescent="0.3">
      <c r="A32" s="1">
        <f>IF(ISBLANK(B32),"",MAX($A$6:A31)+1)</f>
        <v>22</v>
      </c>
      <c r="B32" s="30" t="s">
        <v>58</v>
      </c>
      <c r="C32" s="31">
        <f>C31*12</f>
        <v>102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4.4" x14ac:dyDescent="0.3">
      <c r="A33" s="1" t="str">
        <f>IF(ISBLANK(B33),"",MAX($A$6:A32)+1)</f>
        <v/>
      </c>
      <c r="B33" s="3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4.4" x14ac:dyDescent="0.3">
      <c r="A34" s="1">
        <f>IF(ISBLANK(B34),"",MAX($A$6:A33)+1)</f>
        <v>23</v>
      </c>
      <c r="B34" s="30" t="s">
        <v>59</v>
      </c>
      <c r="C34" s="16">
        <f>SUM(E16:E19,E26:E27)</f>
        <v>329.08213386777197</v>
      </c>
      <c r="D34" s="7" t="s">
        <v>60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4.4" x14ac:dyDescent="0.3">
      <c r="A35" s="1">
        <f>IF(ISBLANK(B35),"",MAX($A$6:A34)+1)</f>
        <v>24</v>
      </c>
      <c r="B35" s="30" t="s">
        <v>61</v>
      </c>
      <c r="C35" s="32">
        <f>TRUNC(C34/SUM(G16:G19,G26:G27),5)</f>
        <v>3.569E-2</v>
      </c>
      <c r="D35" s="7" t="s">
        <v>62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4.4" x14ac:dyDescent="0.3">
      <c r="A36" s="1" t="str">
        <f>IF(ISBLANK(B36),"",MAX($A$6:A35)+1)</f>
        <v/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4.4" x14ac:dyDescent="0.3">
      <c r="A37" s="1">
        <f>IF(ISBLANK(B37),"",MAX($A$6:A36)+1)</f>
        <v>25</v>
      </c>
      <c r="B37" s="7" t="s">
        <v>63</v>
      </c>
      <c r="C37" s="16">
        <f>SUM(H16:H19,H26:H27)</f>
        <v>414.0271321472643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4.4" x14ac:dyDescent="0.3">
      <c r="A38" s="1">
        <f>IF(ISBLANK(B38),"",MAX($A$6:A37)+1)</f>
        <v>26</v>
      </c>
      <c r="B38" s="7" t="s">
        <v>64</v>
      </c>
      <c r="C38" s="32">
        <f>TRUNC(C37/SUM(G16:G19,G26:G27),5)</f>
        <v>4.4900000000000002E-2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4.4" x14ac:dyDescent="0.3">
      <c r="A39" s="1" t="str">
        <f>IF(ISBLANK(B39),"",MAX($A$6:A38)+1)</f>
        <v/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4.4" x14ac:dyDescent="0.3">
      <c r="A40" s="1">
        <f>IF(ISBLANK(B40),"",MAX($A$6:A39)+1)</f>
        <v>27</v>
      </c>
      <c r="B40" s="14" t="s">
        <v>65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4.4" x14ac:dyDescent="0.3">
      <c r="A41" s="1">
        <f>IF(ISBLANK(B41),"",MAX($A$6:A40)+1)</f>
        <v>28</v>
      </c>
      <c r="B41" s="14" t="s">
        <v>66</v>
      </c>
      <c r="C41" s="33" t="s">
        <v>6</v>
      </c>
      <c r="D41" s="7"/>
      <c r="E41" s="7"/>
      <c r="F41" s="29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4.4" x14ac:dyDescent="0.3">
      <c r="A42" s="1">
        <f>IF(ISBLANK(B42),"",MAX($A$6:A41)+1)</f>
        <v>29</v>
      </c>
      <c r="B42" s="15" t="s">
        <v>7</v>
      </c>
      <c r="C42" s="16">
        <f>C31</f>
        <v>8.5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4.4" x14ac:dyDescent="0.3">
      <c r="A43" s="1">
        <f>IF(ISBLANK(B43),"",MAX($A$6:A42)+1)</f>
        <v>30</v>
      </c>
      <c r="B43" s="15" t="s">
        <v>67</v>
      </c>
      <c r="C43" s="17">
        <f>C35</f>
        <v>3.569E-2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4.4" x14ac:dyDescent="0.3">
      <c r="A44" s="1">
        <f>IF(ISBLANK(B44),"",MAX($A$6:A43)+1)</f>
        <v>31</v>
      </c>
      <c r="B44" s="15" t="s">
        <v>68</v>
      </c>
      <c r="C44" s="17">
        <f>C11</f>
        <v>9.9970000000000003E-2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57.6" x14ac:dyDescent="0.3">
      <c r="A45" s="1">
        <f>IF(ISBLANK(B45),"",MAX($A$6:A44)+1)</f>
        <v>32</v>
      </c>
      <c r="B45" s="15" t="s">
        <v>9</v>
      </c>
      <c r="C45" s="7"/>
      <c r="D45" s="18" t="str">
        <f>D12</f>
        <v>Internal Transmission</v>
      </c>
      <c r="E45" s="18" t="str">
        <f t="shared" ref="E45:V45" si="6">E12</f>
        <v>External Transmission</v>
      </c>
      <c r="F45" s="18" t="str">
        <f t="shared" si="6"/>
        <v>Pension/PBOP Adjustment Factor</v>
      </c>
      <c r="G45" s="18" t="str">
        <f t="shared" si="6"/>
        <v xml:space="preserve">Advanced Metering Infrastructure Factor </v>
      </c>
      <c r="H45" s="18" t="str">
        <f t="shared" si="6"/>
        <v>Residential Assistance Adjustment Factor</v>
      </c>
      <c r="I45" s="18" t="str">
        <f t="shared" si="6"/>
        <v>Net Metering Recovery Surcharge</v>
      </c>
      <c r="J45" s="18" t="str">
        <f t="shared" si="6"/>
        <v>Revenue Decoupling Adjustment Factor</v>
      </c>
      <c r="K45" s="18" t="str">
        <f t="shared" si="6"/>
        <v>Attorney General Consultant Expense Factor</v>
      </c>
      <c r="L45" s="18" t="str">
        <f t="shared" si="6"/>
        <v>L-T Renewable Contract Adjustment Factor</v>
      </c>
      <c r="M45" s="18" t="str">
        <f t="shared" si="6"/>
        <v>Capital Cost Adjustment Factor</v>
      </c>
      <c r="N45" s="18" t="str">
        <f t="shared" si="6"/>
        <v xml:space="preserve">Solar Cost Adjustment </v>
      </c>
      <c r="O45" s="18" t="str">
        <f t="shared" si="6"/>
        <v>Grid Modernization Factor</v>
      </c>
      <c r="P45" s="18" t="str">
        <f t="shared" si="6"/>
        <v>Basic Service Adjustment</v>
      </c>
      <c r="Q45" s="18" t="str">
        <f t="shared" si="6"/>
        <v>Storm Reserve Adjustment Factor</v>
      </c>
      <c r="R45" s="18" t="str">
        <f t="shared" si="6"/>
        <v>Exogenous Cost Adjustment Factor</v>
      </c>
      <c r="S45" s="18" t="str">
        <f t="shared" si="6"/>
        <v>Renewable Resources Charge</v>
      </c>
      <c r="T45" s="18" t="str">
        <f t="shared" si="6"/>
        <v>Energy Efficiency Charge</v>
      </c>
      <c r="U45" s="18" t="str">
        <f t="shared" si="6"/>
        <v>Energy Efficiency Reconciliation Factor ***</v>
      </c>
      <c r="V45" s="18" t="str">
        <f t="shared" si="6"/>
        <v>SMART Factor</v>
      </c>
      <c r="W45" s="7"/>
      <c r="X45" s="7"/>
      <c r="Y45" s="7"/>
      <c r="Z45" s="7"/>
      <c r="AA45" s="7"/>
      <c r="AB45" s="7"/>
      <c r="AC45" s="7"/>
    </row>
    <row r="46" spans="1:29" ht="14.4" x14ac:dyDescent="0.3">
      <c r="A46" s="1">
        <f>IF(ISBLANK(B46),"",MAX($A$6:A45)+1)</f>
        <v>33</v>
      </c>
      <c r="B46" s="15" t="s">
        <v>69</v>
      </c>
      <c r="C46" s="17">
        <f>C38</f>
        <v>4.4900000000000002E-2</v>
      </c>
      <c r="D46" s="17">
        <f>$C$46/$C$47*D47</f>
        <v>2.1614131245176345E-3</v>
      </c>
      <c r="E46" s="17">
        <f t="shared" ref="E46:V46" si="7">$C$46/$C$47*E47</f>
        <v>1.0810562193681931E-2</v>
      </c>
      <c r="F46" s="17">
        <f>$C$46/$C$47*F47</f>
        <v>1.298076242746879E-3</v>
      </c>
      <c r="G46" s="17">
        <f t="shared" si="7"/>
        <v>2.1350347356299728E-3</v>
      </c>
      <c r="H46" s="17">
        <f t="shared" si="7"/>
        <v>1.0823678775238143E-2</v>
      </c>
      <c r="I46" s="17">
        <f t="shared" si="7"/>
        <v>5.8069488134581152E-3</v>
      </c>
      <c r="J46" s="17">
        <f t="shared" si="7"/>
        <v>0</v>
      </c>
      <c r="K46" s="17">
        <f t="shared" si="7"/>
        <v>2.0030709593229107E-4</v>
      </c>
      <c r="L46" s="17">
        <f t="shared" si="7"/>
        <v>-9.8171368508078133E-4</v>
      </c>
      <c r="M46" s="17">
        <f t="shared" si="7"/>
        <v>0</v>
      </c>
      <c r="N46" s="17">
        <f t="shared" si="7"/>
        <v>0</v>
      </c>
      <c r="O46" s="17">
        <f t="shared" si="7"/>
        <v>1.4221368801422987E-3</v>
      </c>
      <c r="P46" s="17">
        <f t="shared" si="7"/>
        <v>-1.5283598787475597E-4</v>
      </c>
      <c r="Q46" s="17">
        <f t="shared" si="7"/>
        <v>1.9447514759658418E-4</v>
      </c>
      <c r="R46" s="17">
        <f t="shared" si="7"/>
        <v>7.3082820195822281E-4</v>
      </c>
      <c r="S46" s="17">
        <f t="shared" si="7"/>
        <v>1.7849339728741483E-4</v>
      </c>
      <c r="T46" s="17">
        <f t="shared" si="7"/>
        <v>8.9246698643707424E-4</v>
      </c>
      <c r="U46" s="17">
        <f t="shared" si="7"/>
        <v>7.4860130822341766E-3</v>
      </c>
      <c r="V46" s="17">
        <f t="shared" si="7"/>
        <v>1.8941149960948122E-3</v>
      </c>
      <c r="W46" s="7"/>
      <c r="X46" s="7" t="b">
        <f>SUM(D46:V46)=C46</f>
        <v>1</v>
      </c>
      <c r="Y46" s="7"/>
      <c r="Z46" s="7"/>
      <c r="AA46" s="7"/>
      <c r="AB46" s="7"/>
      <c r="AC46" s="7"/>
    </row>
    <row r="47" spans="1:29" ht="14.4" x14ac:dyDescent="0.3">
      <c r="A47" s="1">
        <f>IF(ISBLANK(B47),"",MAX($A$6:A46)+1)</f>
        <v>34</v>
      </c>
      <c r="B47" s="15" t="s">
        <v>70</v>
      </c>
      <c r="C47" s="17">
        <f>C13</f>
        <v>0.12577496053733805</v>
      </c>
      <c r="D47" s="17">
        <f>D13</f>
        <v>6.0546024597124722E-3</v>
      </c>
      <c r="E47" s="17">
        <f t="shared" ref="E47:V47" si="8">E13</f>
        <v>3.0282806977656646E-2</v>
      </c>
      <c r="F47" s="17">
        <f t="shared" si="8"/>
        <v>3.6362024099319545E-3</v>
      </c>
      <c r="G47" s="17">
        <f t="shared" si="8"/>
        <v>5.9807106819533586E-3</v>
      </c>
      <c r="H47" s="17">
        <f t="shared" si="8"/>
        <v>3.0319549461567945E-2</v>
      </c>
      <c r="I47" s="17">
        <f t="shared" si="8"/>
        <v>1.6266564762918406E-2</v>
      </c>
      <c r="J47" s="17">
        <f t="shared" si="8"/>
        <v>0</v>
      </c>
      <c r="K47" s="17">
        <f t="shared" si="8"/>
        <v>5.6110505759983734E-4</v>
      </c>
      <c r="L47" s="17">
        <f t="shared" si="8"/>
        <v>-2.7499999999999994E-3</v>
      </c>
      <c r="M47" s="17">
        <f t="shared" si="8"/>
        <v>0</v>
      </c>
      <c r="N47" s="17">
        <f t="shared" si="8"/>
        <v>0</v>
      </c>
      <c r="O47" s="17">
        <f t="shared" si="8"/>
        <v>3.9837240529752935E-3</v>
      </c>
      <c r="P47" s="17">
        <f t="shared" si="8"/>
        <v>-4.2812784729693779E-4</v>
      </c>
      <c r="Q47" s="17">
        <f t="shared" si="8"/>
        <v>5.4476846357357162E-4</v>
      </c>
      <c r="R47" s="17">
        <f t="shared" si="8"/>
        <v>2.0472135470126769E-3</v>
      </c>
      <c r="S47" s="17">
        <f t="shared" si="8"/>
        <v>5.0000000000000001E-4</v>
      </c>
      <c r="T47" s="17">
        <f t="shared" si="8"/>
        <v>2.5000000000000005E-3</v>
      </c>
      <c r="U47" s="17">
        <f t="shared" si="8"/>
        <v>2.0969999999999999E-2</v>
      </c>
      <c r="V47" s="17">
        <f t="shared" si="8"/>
        <v>5.3058405097328558E-3</v>
      </c>
      <c r="W47" s="7"/>
      <c r="X47" s="7" t="b">
        <f>SUM(D47:V47)=C47</f>
        <v>1</v>
      </c>
      <c r="Y47" s="7"/>
      <c r="Z47" s="7"/>
      <c r="AA47" s="7"/>
      <c r="AB47" s="7"/>
      <c r="AC47" s="7"/>
    </row>
    <row r="48" spans="1:29" ht="14.4" x14ac:dyDescent="0.3">
      <c r="A48" s="1" t="str">
        <f>IF(ISBLANK(B48),"",MAX($A$6:A47)+1)</f>
        <v/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4.4" x14ac:dyDescent="0.3">
      <c r="A49" s="1" t="str">
        <f>IF(ISBLANK(B49),"",MAX($A$6:A48)+1)</f>
        <v/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4.4" x14ac:dyDescent="0.3">
      <c r="A50" s="1">
        <f>IF(ISBLANK(E50),"",MAX($A$6:A49)+1)</f>
        <v>35</v>
      </c>
      <c r="B50" s="14" t="s">
        <v>71</v>
      </c>
      <c r="C50" s="34"/>
      <c r="D50" s="7"/>
      <c r="E50" s="20" t="s">
        <v>72</v>
      </c>
      <c r="F50" s="20" t="s">
        <v>73</v>
      </c>
      <c r="G50" s="20" t="s">
        <v>74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4.4" x14ac:dyDescent="0.3">
      <c r="A51" s="1">
        <f>IF(ISBLANK(E51),"",MAX($A$6:A50)+1)</f>
        <v>36</v>
      </c>
      <c r="B51" s="7"/>
      <c r="C51" s="31"/>
      <c r="D51" s="7" t="s">
        <v>43</v>
      </c>
      <c r="E51" s="16">
        <f t="shared" ref="E51:E62" si="9">$C$10+($C$11+$C$13)*C16</f>
        <v>163.02036526768441</v>
      </c>
      <c r="F51" s="16">
        <f>$C$42+($C$43+$C$46)*G16</f>
        <v>180.72386218725094</v>
      </c>
      <c r="G51" s="35">
        <f t="shared" ref="G51:G62" si="10">F51-E51</f>
        <v>17.703496919566533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4.4" x14ac:dyDescent="0.3">
      <c r="A52" s="1">
        <f>IF(ISBLANK(E52),"",MAX($A$6:A51)+1)</f>
        <v>37</v>
      </c>
      <c r="B52" s="7"/>
      <c r="C52" s="31"/>
      <c r="D52" s="7" t="s">
        <v>44</v>
      </c>
      <c r="E52" s="16">
        <f t="shared" si="9"/>
        <v>151.7351904602873</v>
      </c>
      <c r="F52" s="16">
        <f>$C$42+($C$43+$C$46)*G17</f>
        <v>171.2801126398351</v>
      </c>
      <c r="G52" s="35">
        <f t="shared" si="10"/>
        <v>19.544922179547797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4.4" x14ac:dyDescent="0.3">
      <c r="A53" s="1">
        <f>IF(ISBLANK(E53),"",MAX($A$6:A52)+1)</f>
        <v>38</v>
      </c>
      <c r="B53" s="7"/>
      <c r="C53" s="31"/>
      <c r="D53" s="7" t="s">
        <v>45</v>
      </c>
      <c r="E53" s="16">
        <f t="shared" si="9"/>
        <v>133.24072006255648</v>
      </c>
      <c r="F53" s="16">
        <f>$C$42+($C$43+$C$46)*G18</f>
        <v>140.08440807127741</v>
      </c>
      <c r="G53" s="35">
        <f t="shared" si="10"/>
        <v>6.8436880087209317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4.4" x14ac:dyDescent="0.3">
      <c r="A54" s="1">
        <f>IF(ISBLANK(E54),"",MAX($A$6:A53)+1)</f>
        <v>39</v>
      </c>
      <c r="B54" s="7"/>
      <c r="C54" s="7"/>
      <c r="D54" s="7" t="s">
        <v>46</v>
      </c>
      <c r="E54" s="16">
        <f t="shared" si="9"/>
        <v>108.27202401215779</v>
      </c>
      <c r="F54" s="16">
        <f>$C$42+($C$43+$C$46)*G19</f>
        <v>99.57953883521229</v>
      </c>
      <c r="G54" s="35">
        <f t="shared" si="10"/>
        <v>-8.6924851769454961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4.4" x14ac:dyDescent="0.3">
      <c r="A55" s="1">
        <f>IF(ISBLANK(E55),"",MAX($A$6:A54)+1)</f>
        <v>40</v>
      </c>
      <c r="B55" s="7"/>
      <c r="C55" s="16"/>
      <c r="D55" s="7" t="s">
        <v>47</v>
      </c>
      <c r="E55" s="16">
        <f t="shared" si="9"/>
        <v>106.65810201609197</v>
      </c>
      <c r="F55" s="16">
        <f t="shared" ref="F55:F60" si="11">$C$42+($C$44+$C$47)*G20</f>
        <v>106.65810201609197</v>
      </c>
      <c r="G55" s="35">
        <f t="shared" si="10"/>
        <v>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4.4" x14ac:dyDescent="0.3">
      <c r="A56" s="1">
        <f>IF(ISBLANK(E56),"",MAX($A$6:A55)+1)</f>
        <v>41</v>
      </c>
      <c r="B56" s="7"/>
      <c r="C56" s="7"/>
      <c r="D56" s="7" t="s">
        <v>48</v>
      </c>
      <c r="E56" s="16">
        <f t="shared" si="9"/>
        <v>115.11709263483638</v>
      </c>
      <c r="F56" s="16">
        <f t="shared" si="11"/>
        <v>115.11709263483638</v>
      </c>
      <c r="G56" s="35">
        <f t="shared" si="10"/>
        <v>0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4.4" x14ac:dyDescent="0.3">
      <c r="A57" s="1">
        <f>IF(ISBLANK(E57),"",MAX($A$6:A56)+1)</f>
        <v>42</v>
      </c>
      <c r="B57" s="7"/>
      <c r="C57" s="7"/>
      <c r="D57" s="7" t="s">
        <v>49</v>
      </c>
      <c r="E57" s="16">
        <f t="shared" si="9"/>
        <v>143.09552407696762</v>
      </c>
      <c r="F57" s="16">
        <f t="shared" si="11"/>
        <v>143.09552407696762</v>
      </c>
      <c r="G57" s="35">
        <f t="shared" si="10"/>
        <v>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4.4" x14ac:dyDescent="0.3">
      <c r="A58" s="1">
        <f>IF(ISBLANK(E58),"",MAX($A$6:A57)+1)</f>
        <v>43</v>
      </c>
      <c r="B58" s="7"/>
      <c r="C58" s="7"/>
      <c r="D58" s="7" t="s">
        <v>50</v>
      </c>
      <c r="E58" s="16">
        <f t="shared" si="9"/>
        <v>170.44057171494498</v>
      </c>
      <c r="F58" s="16">
        <f t="shared" si="11"/>
        <v>170.44057171494498</v>
      </c>
      <c r="G58" s="35">
        <f t="shared" si="10"/>
        <v>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4.4" x14ac:dyDescent="0.3">
      <c r="A59" s="1">
        <f>IF(ISBLANK(E59),"",MAX($A$6:A58)+1)</f>
        <v>44</v>
      </c>
      <c r="B59" s="7"/>
      <c r="C59" s="7"/>
      <c r="D59" s="7" t="s">
        <v>51</v>
      </c>
      <c r="E59" s="16">
        <f t="shared" si="9"/>
        <v>129.88788659112811</v>
      </c>
      <c r="F59" s="16">
        <f t="shared" si="11"/>
        <v>129.88788659112811</v>
      </c>
      <c r="G59" s="35">
        <f t="shared" si="10"/>
        <v>0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4.4" x14ac:dyDescent="0.3">
      <c r="A60" s="1">
        <f>IF(ISBLANK(E60),"",MAX($A$6:A59)+1)</f>
        <v>45</v>
      </c>
      <c r="B60" s="7"/>
      <c r="C60" s="7"/>
      <c r="D60" s="7" t="s">
        <v>52</v>
      </c>
      <c r="E60" s="16">
        <f t="shared" si="9"/>
        <v>100.04220951135987</v>
      </c>
      <c r="F60" s="16">
        <f t="shared" si="11"/>
        <v>100.04220951135987</v>
      </c>
      <c r="G60" s="35">
        <f t="shared" si="10"/>
        <v>0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4.4" x14ac:dyDescent="0.3">
      <c r="A61" s="1">
        <f>IF(ISBLANK(E61),"",MAX($A$6:A60)+1)</f>
        <v>46</v>
      </c>
      <c r="B61" s="7"/>
      <c r="C61" s="7"/>
      <c r="D61" s="7" t="s">
        <v>53</v>
      </c>
      <c r="E61" s="16">
        <f t="shared" si="9"/>
        <v>105.06894680040806</v>
      </c>
      <c r="F61" s="16">
        <f>$C$42+($C$43+$C$46)*G26</f>
        <v>78.190778115388582</v>
      </c>
      <c r="G61" s="35">
        <f t="shared" si="10"/>
        <v>-26.878168685019475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4.4" x14ac:dyDescent="0.3">
      <c r="A62" s="1">
        <f>IF(ISBLANK(E62),"",MAX($A$6:A61)+1)</f>
        <v>47</v>
      </c>
      <c r="B62" s="7"/>
      <c r="C62" s="7"/>
      <c r="D62" s="7" t="s">
        <v>54</v>
      </c>
      <c r="E62" s="16">
        <f t="shared" si="9"/>
        <v>132.77201941194227</v>
      </c>
      <c r="F62" s="16">
        <f>$C$42+($C$43+$C$46)*G27</f>
        <v>124.11680215766856</v>
      </c>
      <c r="G62" s="36">
        <f t="shared" si="10"/>
        <v>-8.6552172542737082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4.4" x14ac:dyDescent="0.3">
      <c r="A63" s="1">
        <f>IF(ISBLANK(E63),"",MAX($A$6:A62)+1)</f>
        <v>48</v>
      </c>
      <c r="B63" s="7"/>
      <c r="C63" s="7"/>
      <c r="D63" s="7"/>
      <c r="E63" s="28">
        <f>SUM(E51:E62)</f>
        <v>1559.3506525603652</v>
      </c>
      <c r="F63" s="28">
        <f>SUM(F51:F62)</f>
        <v>1559.216888551962</v>
      </c>
      <c r="G63" s="35">
        <f>SUM(G51:G62)</f>
        <v>-0.13376400840341773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</sheetData>
  <pageMargins left="0.7" right="0.7" top="0.75" bottom="0.75" header="0.3" footer="0.3"/>
  <pageSetup scale="85" orientation="portrait" horizontalDpi="1200" verticalDpi="1200" r:id="rId1"/>
  <headerFooter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b8eca7-947c-4ce3-b27a-ae65d5bd536c">
      <Terms xmlns="http://schemas.microsoft.com/office/infopath/2007/PartnerControls"/>
    </lcf76f155ced4ddcb4097134ff3c332f>
    <TaxCatchAll xmlns="717ccf4b-b59a-4600-8941-e3113e3338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1FC13D8496949BFCCB7FF1ED14DC9" ma:contentTypeVersion="18" ma:contentTypeDescription="Create a new document." ma:contentTypeScope="" ma:versionID="df47c0aabbbd43a91e3c32749c767843">
  <xsd:schema xmlns:xsd="http://www.w3.org/2001/XMLSchema" xmlns:xs="http://www.w3.org/2001/XMLSchema" xmlns:p="http://schemas.microsoft.com/office/2006/metadata/properties" xmlns:ns2="b2b8eca7-947c-4ce3-b27a-ae65d5bd536c" xmlns:ns3="717ccf4b-b59a-4600-8941-e3113e3338db" targetNamespace="http://schemas.microsoft.com/office/2006/metadata/properties" ma:root="true" ma:fieldsID="1225f534d72ed9fb1082cc002dfec3fe" ns2:_="" ns3:_="">
    <xsd:import namespace="b2b8eca7-947c-4ce3-b27a-ae65d5bd536c"/>
    <xsd:import namespace="717ccf4b-b59a-4600-8941-e3113e333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8eca7-947c-4ce3-b27a-ae65d5bd5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41da8db-2bdd-4807-9008-293542b60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ccf4b-b59a-4600-8941-e3113e333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745b0d3-7a31-48fd-a0a2-8593cd3d1d11}" ma:internalName="TaxCatchAll" ma:showField="CatchAllData" ma:web="717ccf4b-b59a-4600-8941-e3113e333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204CAB-35CC-432F-BDD0-AB460FB06A84}">
  <ds:schemaRefs>
    <ds:schemaRef ds:uri="http://purl.org/dc/dcmitype/"/>
    <ds:schemaRef ds:uri="a85d746a-3823-4c81-a9c2-48b12b867147"/>
    <ds:schemaRef ds:uri="http://schemas.microsoft.com/office/2006/documentManagement/types"/>
    <ds:schemaRef ds:uri="http://purl.org/dc/elements/1.1/"/>
    <ds:schemaRef ds:uri="79eaea71-09fe-4467-9f96-5226d6d4c6ef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9EF682F-165D-46FE-9B1A-B2E80B6982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4F5D23-F78D-4FC1-9F30-F7484DD06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Heat Pump Rate w All Riders</vt:lpstr>
      <vt:lpstr>'Heat Pump Rate w All Riders'!Print_Area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Macias</dc:creator>
  <cp:lastModifiedBy>Main, Dan</cp:lastModifiedBy>
  <dcterms:created xsi:type="dcterms:W3CDTF">2024-02-08T03:30:34Z</dcterms:created>
  <dcterms:modified xsi:type="dcterms:W3CDTF">2024-02-12T19:14:25Z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0x010100BAC1FC13D8496949BFCCB7FF1ED14DC9</vt:lpwstr>
  </property>
  <property fmtid="{D5CDD505-2E9C-101B-9397-08002B2CF9AE}" pid="3" name="MediaServiceImageTags">
    <vt:lpwstr/>
  </property>
</Properties>
</file>