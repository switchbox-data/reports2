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energy\10. NATIONAL GRID MA\23-150 MECO Electric Rate Case\Discovery\KW Review\DPU Set 39\Finals 4-3-24\"/>
    </mc:Choice>
  </mc:AlternateContent>
  <xr:revisionPtr revIDLastSave="0" documentId="8_{8BA1C249-188C-4F65-9735-BF06DDCC03E4}" xr6:coauthVersionLast="47" xr6:coauthVersionMax="47" xr10:uidLastSave="{00000000-0000-0000-0000-000000000000}"/>
  <bookViews>
    <workbookView xWindow="-120" yWindow="-120" windowWidth="29040" windowHeight="15840" xr2:uid="{0B10535A-A771-47AB-AB79-39CCD0A07792}"/>
  </bookViews>
  <sheets>
    <sheet name="Bill Impacts Calculation R1" sheetId="37" r:id="rId1"/>
    <sheet name="Bill Frequency Data R1" sheetId="36" r:id="rId2"/>
  </sheets>
  <externalReferences>
    <externalReference r:id="rId3"/>
    <externalReference r:id="rId4"/>
  </externalReferences>
  <definedNames>
    <definedName name="__123Graph_A" hidden="1">#REF!</definedName>
    <definedName name="__123Graph_ACITYGATE" hidden="1">#REF!</definedName>
    <definedName name="__123Graph_ACNG" hidden="1">#REF!</definedName>
    <definedName name="__123Graph_AGRAPH2" hidden="1">#REF!</definedName>
    <definedName name="__123Graph_AMARGIN" hidden="1">#REF!</definedName>
    <definedName name="__123Graph_AMINBD" hidden="1">#REF!</definedName>
    <definedName name="__123Graph_AMINTAKE" hidden="1">#REF!</definedName>
    <definedName name="__123Graph_ASTORE" hidden="1">#REF!</definedName>
    <definedName name="__123Graph_ASTOREBD" hidden="1">#REF!</definedName>
    <definedName name="__123Graph_ATENN" hidden="1">#REF!</definedName>
    <definedName name="__123Graph_ATETCO" hidden="1">#REF!</definedName>
    <definedName name="__123Graph_ATOTAL" hidden="1">#REF!</definedName>
    <definedName name="__123Graph_ATRANSCO" hidden="1">#REF!</definedName>
    <definedName name="__123Graph_B" hidden="1">#REF!</definedName>
    <definedName name="__123Graph_BCITYGATE" hidden="1">#REF!</definedName>
    <definedName name="__123Graph_BCNG" hidden="1">#REF!</definedName>
    <definedName name="__123Graph_BGRAPH2" hidden="1">#REF!</definedName>
    <definedName name="__123Graph_BSTOREBD" hidden="1">#REF!</definedName>
    <definedName name="__123Graph_BTENN" hidden="1">#REF!</definedName>
    <definedName name="__123Graph_BTETCO" hidden="1">#REF!</definedName>
    <definedName name="__123Graph_BTOTAL" hidden="1">#REF!</definedName>
    <definedName name="__123Graph_BTRANSCO" hidden="1">#REF!</definedName>
    <definedName name="__123Graph_C" hidden="1">#REF!</definedName>
    <definedName name="__123Graph_CCITYGATE" hidden="1">#REF!</definedName>
    <definedName name="__123Graph_CGRAPH2" hidden="1">#REF!</definedName>
    <definedName name="__123Graph_CMINBD" hidden="1">#REF!</definedName>
    <definedName name="__123Graph_CSTOREBD" hidden="1">#REF!</definedName>
    <definedName name="__123Graph_D" hidden="1">#REF!</definedName>
    <definedName name="__123Graph_DCITYGATE" hidden="1">#REF!</definedName>
    <definedName name="__123Graph_DSTOREBD" hidden="1">#REF!</definedName>
    <definedName name="__123Graph_ECITYGATE" hidden="1">#REF!</definedName>
    <definedName name="__123Graph_X" hidden="1">#REF!</definedName>
    <definedName name="__123Graph_XCITYGATE" hidden="1">#REF!</definedName>
    <definedName name="__123Graph_XCNG" hidden="1">#REF!</definedName>
    <definedName name="__123Graph_XGRAPH2" hidden="1">#REF!</definedName>
    <definedName name="__123Graph_XMARGIN" hidden="1">#REF!</definedName>
    <definedName name="__123Graph_XMINBD" hidden="1">#REF!</definedName>
    <definedName name="__123Graph_XMINTAKE" hidden="1">#REF!</definedName>
    <definedName name="__123Graph_XSTORE" hidden="1">#REF!</definedName>
    <definedName name="__123Graph_XSTOREBD" hidden="1">#REF!</definedName>
    <definedName name="__123Graph_XTENN" hidden="1">#REF!</definedName>
    <definedName name="__123Graph_XTETCO" hidden="1">#REF!</definedName>
    <definedName name="__123Graph_XTOTAL" hidden="1">#REF!</definedName>
    <definedName name="__123Graph_XTRANSCO" hidden="1">#REF!</definedName>
    <definedName name="_1__123Graph_ACHART_1" hidden="1">#REF!</definedName>
    <definedName name="_12__123Graph_CCHART_1" hidden="1">#REF!</definedName>
    <definedName name="_16__123Graph_XCHART_1" hidden="1">#REF!</definedName>
    <definedName name="_18__123Graph_BCHART_1" hidden="1">#REF!</definedName>
    <definedName name="_2__123Graph_ACHART_1" hidden="1">#REF!</definedName>
    <definedName name="_2__123Graph_BCHART_1" hidden="1">#REF!</definedName>
    <definedName name="_27__123Graph_CCHART_1" hidden="1">#REF!</definedName>
    <definedName name="_3__123Graph_CCHART_1" hidden="1">#REF!</definedName>
    <definedName name="_36__123Graph_XCHART_1" hidden="1">#REF!</definedName>
    <definedName name="_4__123Graph_ACHART_1" hidden="1">#REF!</definedName>
    <definedName name="_4__123Graph_BCHART_1" hidden="1">#REF!</definedName>
    <definedName name="_4__123Graph_XCHART_1" hidden="1">#REF!</definedName>
    <definedName name="_6__123Graph_CCHART_1" hidden="1">#REF!</definedName>
    <definedName name="_8__123Graph_BCHART_1" hidden="1">#REF!</definedName>
    <definedName name="_8__123Graph_XCHART_1" hidden="1">#REF!</definedName>
    <definedName name="_9__123Graph_ACHART_1" hidden="1">#REF!</definedName>
    <definedName name="_Fill" hidden="1">#REF!</definedName>
    <definedName name="_Key1" hidden="1">#REF!</definedName>
    <definedName name="_Mar1" hidden="1">#REF!</definedName>
    <definedName name="_Order1" hidden="1">255</definedName>
    <definedName name="_Order2" hidden="1">255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AccessDatabase" hidden="1">"S:\SHARED\HUMANRES\EXCEL.97\Job Tracking\Req input form.mdb"</definedName>
    <definedName name="AG" hidden="1">{#N/A,#N/A,FALSE,"OIT summ";#N/A,#N/A,FALSE,"otb summ-dental";#N/A,#N/A,FALSE,"otb summ-vision"}</definedName>
    <definedName name="Alloc00">[1]Allocators!$B$37</definedName>
    <definedName name="anscount" hidden="1">1</definedName>
    <definedName name="AS2DocOpenMode" hidden="1">"AS2DocumentEdit"</definedName>
    <definedName name="AS2HasNoAutoHeaderFooter" hidden="1">" "</definedName>
    <definedName name="AS2NamedRange" hidden="1">12</definedName>
    <definedName name="ch1CPNCP">'[1]Demand-1'!$D$2</definedName>
    <definedName name="Classes1">[1]Allocators!$D$4</definedName>
    <definedName name="colOffset">[1]Allocators!$O$2</definedName>
    <definedName name="crap" hidden="1">{#N/A,#N/A,FALSE,"OIT summ";#N/A,#N/A,FALSE,"otb summ-dental";#N/A,#N/A,FALSE,"otb summ-vision"}</definedName>
    <definedName name="dddddddddddd" hidden="1">{#N/A,#N/A,FALSE,"OIT summ";#N/A,#N/A,FALSE,"otb summ-dental";#N/A,#N/A,FALSE,"otb summ-vision"}</definedName>
    <definedName name="EV__LASTREFTIME__" hidden="1">42136.6929976852</definedName>
    <definedName name="HTML_CodePage" hidden="1">1252</definedName>
    <definedName name="HTML_Control" hidden="1">{"'Worksheet'!$A$3:$R$184"}</definedName>
    <definedName name="HTML_Description" hidden="1">""</definedName>
    <definedName name="HTML_Email" hidden="1">""</definedName>
    <definedName name="HTML_Header" hidden="1">"Worksheet"</definedName>
    <definedName name="HTML_LastUpdate" hidden="1">"3/19/1999"</definedName>
    <definedName name="HTML_LineAfter" hidden="1">FALSE</definedName>
    <definedName name="HTML_LineBefore" hidden="1">FALSE</definedName>
    <definedName name="HTML_Name" hidden="1">"Al Kinne"</definedName>
    <definedName name="HTML_OBDlg2" hidden="1">TRUE</definedName>
    <definedName name="HTML_OBDlg4" hidden="1">TRUE</definedName>
    <definedName name="HTML_OS" hidden="1">0</definedName>
    <definedName name="HTML_PathFile" hidden="1">"N:\excel\work\MyHTML.htm"</definedName>
    <definedName name="HTML_Title" hidden="1">"Interconnection Rev's &amp; Purch's for 1999"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l" hidden="1">0</definedName>
    <definedName name="newAG" hidden="1">{#N/A,#N/A,FALSE,"OIT summ";#N/A,#N/A,FALSE,"otb summ-dental";#N/A,#N/A,FALSE,"otb summ-vision"}</definedName>
    <definedName name="newname" hidden="1">{"'Worksheet'!$A$3:$R$184"}</definedName>
    <definedName name="optAdders">#REF!</definedName>
    <definedName name="PageOff">'[2]6P1_Index'!$J$5</definedName>
    <definedName name="PopCache_GL_INTERFACE_REFERENCE7" hidden="1">#REF!</definedName>
    <definedName name="_xlnm.Print_Area" localSheetId="1">'Bill Frequency Data R1'!$A$1:$J$50</definedName>
    <definedName name="_xlnm.Print_Area" localSheetId="0">'Bill Impacts Calculation R1'!$A$1:$F$41</definedName>
    <definedName name="rCapEx">'[2]Inputs SL'!$B$2</definedName>
    <definedName name="rDate">[2]Global!$C$16</definedName>
    <definedName name="rDocket">[2]Global!$C$7</definedName>
    <definedName name="Ref_Xfmr_Cost">[1]Xfmr_Cost!$B$3:$D$36</definedName>
    <definedName name="rExh">[1]Index!$H$3</definedName>
    <definedName name="rExh4">[2]Global!$C$9</definedName>
    <definedName name="rExh5">[2]Global!$C$10</definedName>
    <definedName name="rExh6">[2]Global!$C$11</definedName>
    <definedName name="rExhRRP5">[2]Global!$C$14</definedName>
    <definedName name="rge1CPList">'[1]Demand-1'!$F$4:$J$4</definedName>
    <definedName name="rgeClasses1">[1]Allocators!$G$4:$M$4</definedName>
    <definedName name="rgeClasses2">[1]Allocators!$G$5:$M$5</definedName>
    <definedName name="rgeNCPList">'[1]Demand-1'!$F$14:$J$14</definedName>
    <definedName name="rHO_Name">[2]Global!$C$18</definedName>
    <definedName name="rMECO">[2]Global!$C$20</definedName>
    <definedName name="rNECO">[2]Global!$C$21</definedName>
    <definedName name="rPages">[1]Index!$H$6:$I$26</definedName>
    <definedName name="rSL_Inc">'[2]Inputs SL'!$B$10</definedName>
    <definedName name="rSL_Inc1">'[2]Inputs SL'!$B$15</definedName>
    <definedName name="rSmart">'[2]Inputs SL'!$B$4</definedName>
    <definedName name="rSolar">'[2]Inputs SL'!$B$3</definedName>
    <definedName name="rTitle1">[2]Global!$C$4</definedName>
    <definedName name="rTitle2">[2]Global!$C$5</definedName>
    <definedName name="rTitle3">[2]Global!$C$6</definedName>
    <definedName name="rTitleGrid">[2]Global!$C$23</definedName>
    <definedName name="rTotRates">'[2]6P1_Index'!$H$2</definedName>
    <definedName name="rVer">[1]Index!$H$4</definedName>
    <definedName name="tblNCP_C">[1]Xfmr_Detail!$C$126:$E$131</definedName>
    <definedName name="tblPages">'[2]6P1_Index'!$B$14:$F$57</definedName>
    <definedName name="temporary" hidden="1">#REF!</definedName>
    <definedName name="temporary2" hidden="1">#REF!</definedName>
    <definedName name="USV" hidden="1">{#N/A,#N/A,FALSE,"OIT ee contribs 00";#N/A,#N/A,FALSE,"OITeecontribs-DentalVision";#N/A,#N/A,FALSE,"OIT-pc01";#N/A,#N/A,FALSE,"pc-dent&amp;vision01";#N/A,#N/A,FALSE,"OIT-tc01";#N/A,#N/A,FALSE,"tc-dent&amp;vision01"}</definedName>
    <definedName name="wrn.2004._.Feb.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5.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6.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7.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All." hidden="1">{"Main",#N/A,FALSE,"Main";"Input Data",#N/A,FALSE,"Input Data";"Sendout",#N/A,FALSE,"Sendout";"Sales",#N/A,FALSE,"Sales";"Commodity",#N/A,FALSE,"Commodity";"Demand",#N/A,FALSE,"Demand";"Base",#N/A,FALSE,"Base";"Remaining",#N/A,FALSE,"Remaining";"NewCGA",#N/A,FALSE,"NewCGA";"Approx Old CGA",#N/A,FALSE,"Approx Old CGA";"Comparison of Results",#N/A,FALSE,"Comparison of Results"}</definedName>
    <definedName name="wrn.All._.Sheets.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pr._.2003.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il._.2003._.Report.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ugust._.2003.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CGAC." hidden="1">{"FormII",#N/A,FALSE,"Main";"GAF Summary",#N/A,FALSE,"Main";"Sendout",#N/A,FALSE,"Main";"Sales",#N/A,FALSE,"Main";"Commodity",#N/A,FALSE,"Main";"Remaining",#N/A,FALSE,"Main";"Demand",#N/A,FALSE,"Main";"Base",#N/A,FALSE,"Main";"NewCGA",#N/A,FALSE,"Main";"Working Capital",#N/A,FALSE,"Main";"IS&amp;CR",#N/A,FALSE,"Main";"IS&amp;CR Margin Cr.",#N/A,FALSE,"Main";"Sept CGA",#N/A,FALSE,"Main";"Adders",#N/A,FALSE,"Main";"IFC",#N/A,FALSE,"Main";"Refunds",#N/A,FALSE,"Main";"Bad Debt",#N/A,FALSE,"Main"}</definedName>
    <definedName name="wrn.Client._.Deliverable._.Jen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1.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._.Scenario._.2." hidden="1">{#N/A,#N/A,FALSE,"OIT ee contribs 00";#N/A,#N/A,FALSE,"OITeecontribs-DentalVision";#N/A,#N/A,FALSE,"OIT-pc01";#N/A,#N/A,FALSE,"pc-dent&amp;vision01";#N/A,#N/A,FALSE,"OIT-tc01";#N/A,#N/A,FALSE,"tc-dent&amp;vision01"}</definedName>
    <definedName name="wrn.Client._.Deliverables._.Baseline." hidden="1">{#N/A,#N/A,FALSE,"OIT ee contribs 00";#N/A,#N/A,FALSE,"OITeecontribs-DentalVision";#N/A,#N/A,FALSE,"OIT-pc00";#N/A,#N/A,FALSE,"OIT-pc01";#N/A,#N/A,FALSE,"pc-dent&amp;vision00";#N/A,#N/A,FALSE,"pc-dent&amp;vision01";#N/A,#N/A,FALSE,"OIT-tc00";#N/A,#N/A,FALSE,"OIT-tc01";#N/A,#N/A,FALSE,"tc-dent&amp;vision00";#N/A,#N/A,FALSE,"tc-dent&amp;vision01"}</definedName>
    <definedName name="wrn.Dec._.2003.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DFR._.IV._.A._.Future._.Revenue." hidden="1">{"Page_1A",#N/A,FALSE,"Page 1 A";"Page_1B",#N/A,FALSE,"Page 1 B";"Page_1C",#N/A,FALSE,"Page 1 C";"Page 2",#N/A,FALSE,"Page 2";"Page 3",#N/A,FALSE,"Page 3";"Page 4",#N/A,FALSE,"Page 4";"Page 5",#N/A,FALSE,"Page 5";"Page 6",#N/A,FALSE,"Page 6";"Page 7",#N/A,FALSE,"Page 7";"Page 8",#N/A,FALSE,"Page 8";"Page 9",#N/A,FALSE,"Page 9";"Page 10",#N/A,FALSE,"Page 10";"Page 11",#N/A,FALSE,"Page 11"}</definedName>
    <definedName name="wrn.Explanations." hidden="1">{"exp SC1",#N/A,FALSE,"Mar";"exp SC2",#N/A,FALSE,"Mar";"exp SC2MB",#N/A,FALSE,"Mar";"exp SC1MB",#N/A,FALSE,"Mar";"exp roll up for tables",#N/A,FALSE,"Mar"}</definedName>
    <definedName name="wrn.Feb._.all._.sheets.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Package.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GAC._.RECO.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oals._.Backup.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Jan._.2004.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Package._.2003.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uly._.2003.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ne._.2003.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March._.2003.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Package.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y._.2003.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ISC.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Nov._.2003.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Oct._.2003.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OIT._.Sum._.Pages.Manual._.Input._.First." hidden="1">{#N/A,#N/A,FALSE,"OIT summ";#N/A,#N/A,FALSE,"otb summ-dental";#N/A,#N/A,FALSE,"otb summ-vision"}</definedName>
    <definedName name="wrn.PRINT._.ALL." hidden="1">{#N/A,#N/A,FALSE,"JV167";#N/A,#N/A,FALSE,"INPUT AREA"}</definedName>
    <definedName name="wrn.Print._.Report." hidden="1">{#N/A,#N/A,FALSE,"COG Reco";#N/A,#N/A,FALSE,"Gas Cost Accrual Analysis";#N/A,#N/A,FALSE,"Analysis of Unbilled Adjustment"}</definedName>
    <definedName name="wrn.Schedule._.JLH_3." hidden="1">{"3-1",#N/A,FALSE,"Main";"3-2",#N/A,FALSE,"Sendout";"3-5",#N/A,FALSE,"Commodity";"3-7",#N/A,FALSE,"Demand";"3-8",#N/A,FALSE,"Base";"3-9",#N/A,FALSE,"Remaining";"3-12",#N/A,FALSE,"NewCGA"}</definedName>
    <definedName name="wrn.Sep._.2003.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lide._.Add._.Ons." hidden="1">{"Sec2Sch1",#N/A,FALSE,"Sheet1";"Sec2Sch2",#N/A,FALSE,"Sheet1";"Sec2Sch3",#N/A,FALSE,"Sheet1"}</definedName>
    <definedName name="wrn.Storage." hidden="1">{"Storage",#N/A,FALSE,"Storage"}</definedName>
    <definedName name="wrn.Temp." hidden="1">{"Working Capital",#N/A,FALSE,"Main";"Sept CGA",#N/A,FALSE,"Main";"Adders",#N/A,FALSE,"Main";"Bad Debt",#N/A,FALSE,"Main"}</definedName>
    <definedName name="wrn.year._.2004.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TD._.2003._.2004.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x" hidden="1">{#N/A,#N/A,FALSE,"OIT ee contribs 00";#N/A,#N/A,FALSE,"OITeecontribs-DentalVision";#N/A,#N/A,FALSE,"OIT-pc01";#N/A,#N/A,FALSE,"pc-dent&amp;vision01";#N/A,#N/A,FALSE,"OIT-tc01";#N/A,#N/A,FALSE,"tc-dent&amp;vision01"}</definedName>
    <definedName name="xx" hidden="1">{#N/A,#N/A,FALSE,"OIT ee contribs 00";#N/A,#N/A,FALSE,"OITeecontribs-DentalVision";#N/A,#N/A,FALSE,"OIT-pc01";#N/A,#N/A,FALSE,"pc-dent&amp;vision01";#N/A,#N/A,FALSE,"OIT-tc01";#N/A,#N/A,FALSE,"tc-dent&amp;vision01"}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7" l="1"/>
  <c r="B16" i="37"/>
  <c r="B15" i="37"/>
  <c r="J22" i="36"/>
  <c r="J23" i="36"/>
  <c r="J24" i="36"/>
  <c r="J25" i="36"/>
  <c r="J26" i="36"/>
  <c r="J27" i="36"/>
  <c r="J28" i="36"/>
  <c r="J29" i="36"/>
  <c r="J30" i="36"/>
  <c r="J31" i="36"/>
  <c r="J32" i="36"/>
  <c r="J33" i="36"/>
  <c r="J34" i="36"/>
  <c r="J35" i="36"/>
  <c r="J36" i="36"/>
  <c r="J37" i="36"/>
  <c r="J38" i="36"/>
  <c r="J39" i="36"/>
  <c r="J40" i="36"/>
  <c r="J41" i="36"/>
  <c r="J42" i="36"/>
  <c r="J43" i="36"/>
  <c r="J44" i="36"/>
  <c r="J45" i="36"/>
  <c r="J46" i="36"/>
  <c r="J47" i="36"/>
  <c r="J48" i="36"/>
  <c r="J49" i="36"/>
  <c r="J21" i="36"/>
  <c r="J15" i="36"/>
  <c r="J16" i="36"/>
  <c r="J17" i="36"/>
  <c r="J18" i="36"/>
  <c r="J19" i="36"/>
  <c r="J20" i="36"/>
  <c r="J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45" i="36"/>
  <c r="I46" i="36"/>
  <c r="I47" i="36"/>
  <c r="I48" i="36"/>
  <c r="I49" i="36"/>
  <c r="I14" i="36"/>
  <c r="G4" i="36" l="1"/>
  <c r="G5" i="36"/>
  <c r="G6" i="36"/>
  <c r="G7" i="36" s="1"/>
  <c r="G8" i="36" s="1"/>
  <c r="G9" i="36" s="1"/>
  <c r="G10" i="36" s="1"/>
  <c r="G11" i="36" s="1"/>
  <c r="G12" i="36" s="1"/>
  <c r="G13" i="36" s="1"/>
  <c r="G14" i="36" s="1"/>
  <c r="G15" i="36" s="1"/>
  <c r="G16" i="36" s="1"/>
  <c r="G17" i="36" s="1"/>
  <c r="G18" i="36" s="1"/>
  <c r="G19" i="36" s="1"/>
  <c r="G20" i="36" s="1"/>
  <c r="G21" i="36" s="1"/>
  <c r="G22" i="36" s="1"/>
  <c r="G23" i="36" s="1"/>
  <c r="G24" i="36" s="1"/>
  <c r="G25" i="36" s="1"/>
  <c r="G26" i="36" s="1"/>
  <c r="G27" i="36" s="1"/>
  <c r="G28" i="36" s="1"/>
  <c r="G29" i="36" s="1"/>
  <c r="G30" i="36" s="1"/>
  <c r="G31" i="36" s="1"/>
  <c r="G32" i="36" s="1"/>
  <c r="G33" i="36" s="1"/>
  <c r="G34" i="36" s="1"/>
  <c r="G35" i="36" s="1"/>
  <c r="G36" i="36" s="1"/>
  <c r="G37" i="36" s="1"/>
  <c r="G38" i="36" s="1"/>
  <c r="G39" i="36" s="1"/>
  <c r="G40" i="36" s="1"/>
  <c r="G41" i="36" s="1"/>
  <c r="G42" i="36" s="1"/>
  <c r="G43" i="36" s="1"/>
  <c r="G44" i="36" s="1"/>
  <c r="G45" i="36" s="1"/>
  <c r="G46" i="36" s="1"/>
  <c r="G47" i="36" s="1"/>
  <c r="G48" i="36" s="1"/>
  <c r="G49" i="36" s="1"/>
  <c r="G3" i="36"/>
  <c r="G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2" i="36"/>
  <c r="E50" i="36"/>
  <c r="D3" i="36"/>
  <c r="D4" i="36"/>
  <c r="D5" i="36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2" i="36"/>
  <c r="B3" i="36"/>
  <c r="C3" i="36" s="1"/>
  <c r="B4" i="36" s="1"/>
  <c r="C4" i="36" s="1"/>
  <c r="B5" i="36" s="1"/>
  <c r="C5" i="36" s="1"/>
  <c r="B6" i="36" s="1"/>
  <c r="C6" i="36" s="1"/>
  <c r="B7" i="36" s="1"/>
  <c r="C7" i="36" s="1"/>
  <c r="B8" i="36" s="1"/>
  <c r="C8" i="36" s="1"/>
  <c r="B9" i="36" s="1"/>
  <c r="C9" i="36" s="1"/>
  <c r="B10" i="36" s="1"/>
  <c r="C10" i="36" s="1"/>
  <c r="B11" i="36" s="1"/>
  <c r="C11" i="36" s="1"/>
  <c r="B12" i="36" s="1"/>
  <c r="C12" i="36" s="1"/>
  <c r="B13" i="36" s="1"/>
  <c r="C13" i="36" s="1"/>
  <c r="B14" i="36" s="1"/>
  <c r="C14" i="36" s="1"/>
  <c r="B15" i="36" s="1"/>
  <c r="C15" i="36" s="1"/>
  <c r="B16" i="36" s="1"/>
  <c r="C16" i="36" s="1"/>
  <c r="B17" i="36" s="1"/>
  <c r="C17" i="36" s="1"/>
  <c r="B18" i="36" s="1"/>
  <c r="C18" i="36" s="1"/>
  <c r="B19" i="36" s="1"/>
  <c r="C19" i="36" s="1"/>
  <c r="B20" i="36" s="1"/>
  <c r="C20" i="36" s="1"/>
  <c r="B21" i="36" s="1"/>
  <c r="C21" i="36" s="1"/>
  <c r="B22" i="36" s="1"/>
  <c r="C22" i="36" s="1"/>
  <c r="B23" i="36" s="1"/>
  <c r="C23" i="36" s="1"/>
  <c r="B24" i="36" s="1"/>
  <c r="C24" i="36" s="1"/>
  <c r="B25" i="36" s="1"/>
  <c r="C25" i="36" s="1"/>
  <c r="B26" i="36" s="1"/>
  <c r="C26" i="36" s="1"/>
  <c r="B27" i="36" s="1"/>
  <c r="C27" i="36" s="1"/>
  <c r="B28" i="36" s="1"/>
  <c r="C28" i="36" s="1"/>
  <c r="B29" i="36" s="1"/>
  <c r="C29" i="36" s="1"/>
  <c r="B30" i="36" s="1"/>
  <c r="C30" i="36" s="1"/>
  <c r="B31" i="36" s="1"/>
  <c r="C31" i="36" s="1"/>
  <c r="B32" i="36" s="1"/>
  <c r="C32" i="36" s="1"/>
  <c r="B33" i="36" s="1"/>
  <c r="C33" i="36" s="1"/>
  <c r="B34" i="36" s="1"/>
  <c r="C34" i="36" s="1"/>
  <c r="B35" i="36" s="1"/>
  <c r="C35" i="36" s="1"/>
  <c r="B36" i="36" s="1"/>
  <c r="C36" i="36" s="1"/>
  <c r="B37" i="36" s="1"/>
  <c r="C37" i="36" s="1"/>
  <c r="B38" i="36" s="1"/>
  <c r="C38" i="36" s="1"/>
  <c r="B39" i="36" s="1"/>
  <c r="C39" i="36" s="1"/>
  <c r="B40" i="36" s="1"/>
  <c r="C40" i="36" s="1"/>
  <c r="B41" i="36" s="1"/>
  <c r="C41" i="36" s="1"/>
  <c r="B42" i="36" s="1"/>
  <c r="D36" i="37"/>
  <c r="C36" i="37"/>
  <c r="B36" i="37"/>
  <c r="B21" i="37"/>
  <c r="D31" i="37"/>
  <c r="B43" i="36" l="1"/>
  <c r="C42" i="36"/>
  <c r="D30" i="37"/>
  <c r="B23" i="37"/>
  <c r="B22" i="37"/>
  <c r="B31" i="37"/>
  <c r="C31" i="37"/>
  <c r="B24" i="37" l="1"/>
  <c r="C43" i="36"/>
  <c r="B44" i="36"/>
  <c r="C32" i="37"/>
  <c r="C33" i="37" s="1"/>
  <c r="C34" i="37" s="1"/>
  <c r="C35" i="37" s="1"/>
  <c r="C37" i="37" s="1"/>
  <c r="C30" i="37"/>
  <c r="B32" i="37"/>
  <c r="B33" i="37" s="1"/>
  <c r="B34" i="37" s="1"/>
  <c r="B35" i="37" s="1"/>
  <c r="B37" i="37" s="1"/>
  <c r="B30" i="37"/>
  <c r="B25" i="37"/>
  <c r="B26" i="37"/>
  <c r="D32" i="37"/>
  <c r="D33" i="37" s="1"/>
  <c r="D34" i="37" s="1"/>
  <c r="D35" i="37" s="1"/>
  <c r="D37" i="37" s="1"/>
  <c r="B45" i="36" l="1"/>
  <c r="C44" i="36"/>
  <c r="B46" i="36" l="1"/>
  <c r="C45" i="36"/>
  <c r="B47" i="36" l="1"/>
  <c r="C46" i="36"/>
  <c r="B48" i="36" l="1"/>
  <c r="C48" i="36" s="1"/>
  <c r="B49" i="36" s="1"/>
  <c r="C49" i="36" s="1"/>
  <c r="C47" i="36"/>
</calcChain>
</file>

<file path=xl/sharedStrings.xml><?xml version="1.0" encoding="utf-8"?>
<sst xmlns="http://schemas.openxmlformats.org/spreadsheetml/2006/main" count="116" uniqueCount="93">
  <si>
    <t>kWh/month</t>
  </si>
  <si>
    <t>R1 Default Total Bill ($/month)</t>
  </si>
  <si>
    <t>EP Total Bill ($/month)</t>
  </si>
  <si>
    <t>EP Savings ($/month)</t>
  </si>
  <si>
    <t>EP Savings ($/year)</t>
  </si>
  <si>
    <t>EP Savings
(% of Total Bill)</t>
  </si>
  <si>
    <t>Inputs</t>
  </si>
  <si>
    <t>Electrification Pricing RDM Impact Calculation</t>
  </si>
  <si>
    <t>Opt-In Accounts</t>
  </si>
  <si>
    <t>Revenue Shift -  All Customers ($/month)</t>
  </si>
  <si>
    <t>Opt-In Rate - % of All R1/R2 Customer Accounts</t>
  </si>
  <si>
    <t>Revenue Shift - All R1/R2 Customers ($/month)</t>
  </si>
  <si>
    <t>Revenue Shift - R1/R2 Average Customer ($/month)</t>
  </si>
  <si>
    <t>Revenue Shift - R1/R2 Average Customer ($/year)</t>
  </si>
  <si>
    <t>Electrification Pricing Savings Calculation - Residential Accounts &gt;=600 kWh/month</t>
  </si>
  <si>
    <t>Proposed R1 Customer Charge ($/month)</t>
  </si>
  <si>
    <t>Proposed R1 Base Distribution Charge ($/kWh)</t>
  </si>
  <si>
    <t>Proposed R1 Base Distribution Charge ($/month) - Electrification Pricing</t>
  </si>
  <si>
    <t>Proposed R1 Total Volumetric Charges ($/kWh)</t>
  </si>
  <si>
    <t>R1/R2 Customer Accounts as of 9/1/2023</t>
  </si>
  <si>
    <t>R1/R2 Customer Accounts w/&gt;=600 kWh/month</t>
  </si>
  <si>
    <t>R1/R2 Customer Accounts w/&gt;=600 kWh/month - Weighted Average Usage (kWh/month)</t>
  </si>
  <si>
    <t>EP Savings - R1/R2 Weighted Average Usage All Accounts &gt;=600 kWh</t>
  </si>
  <si>
    <t>Opt-In Rate - % of R1/R2 Customer Accounts &gt;=600 kWh</t>
  </si>
  <si>
    <t>Range Min</t>
  </si>
  <si>
    <t>Range Max</t>
  </si>
  <si>
    <t>&lt;/&gt; Average Usage</t>
  </si>
  <si>
    <t>NUM_ACCTS</t>
  </si>
  <si>
    <t>PERCENT OF TOTAL</t>
  </si>
  <si>
    <t>Cumulative Percent</t>
  </si>
  <si>
    <t>Percent of High Usage</t>
  </si>
  <si>
    <t>Weighted Consumption by Frequency in High Consumption Group</t>
  </si>
  <si>
    <t>49</t>
  </si>
  <si>
    <t>N/A</t>
  </si>
  <si>
    <t xml:space="preserve"> &gt;=100 and &lt;150</t>
  </si>
  <si>
    <t xml:space="preserve"> &gt;=150 and &lt;200</t>
  </si>
  <si>
    <t xml:space="preserve"> &gt;=200 and &lt;250</t>
  </si>
  <si>
    <t xml:space="preserve"> &gt;=250 and &lt;300</t>
  </si>
  <si>
    <t xml:space="preserve"> &gt;=300 and &lt;350</t>
  </si>
  <si>
    <t xml:space="preserve"> &gt;=350 and &lt;400</t>
  </si>
  <si>
    <t xml:space="preserve"> &gt;=400 and &lt;450</t>
  </si>
  <si>
    <t xml:space="preserve"> &gt;=450 and &lt;500</t>
  </si>
  <si>
    <t xml:space="preserve"> &gt;=500 and &lt;550</t>
  </si>
  <si>
    <t xml:space="preserve"> &gt;=550 and &lt;600</t>
  </si>
  <si>
    <t xml:space="preserve"> &gt;=600 and &lt;650</t>
  </si>
  <si>
    <t xml:space="preserve"> &gt;=650 and &lt;700</t>
  </si>
  <si>
    <t xml:space="preserve"> &gt;=700 and &lt;750</t>
  </si>
  <si>
    <t xml:space="preserve"> &gt;=750 and &lt;800</t>
  </si>
  <si>
    <t xml:space="preserve"> &gt;=800 and &lt;850</t>
  </si>
  <si>
    <t xml:space="preserve"> &gt;=850 and &lt;900</t>
  </si>
  <si>
    <t xml:space="preserve"> &gt;=900 and &lt;950</t>
  </si>
  <si>
    <t xml:space="preserve"> &gt;=950 and &lt;1000</t>
  </si>
  <si>
    <t>&gt;=1000 and &lt;1050</t>
  </si>
  <si>
    <t>&gt;=1050 and &lt;1100</t>
  </si>
  <si>
    <t>&gt;=1100 and &lt;1150</t>
  </si>
  <si>
    <t>&gt;=1150 and &lt;1200</t>
  </si>
  <si>
    <t>&gt;=1200 and &lt;1250</t>
  </si>
  <si>
    <t>&gt;=1250 and &lt;1300</t>
  </si>
  <si>
    <t>&gt;=1300 and &lt;1350</t>
  </si>
  <si>
    <t>&gt;=1350 and &lt;1400</t>
  </si>
  <si>
    <t>&gt;=1400 and &lt;1450</t>
  </si>
  <si>
    <t>&gt;=1450 and &lt;1500</t>
  </si>
  <si>
    <t>&gt;=1500 and &lt;1550</t>
  </si>
  <si>
    <t>&gt;=1550 and &lt;1600</t>
  </si>
  <si>
    <t>&gt;=1600 and &lt;1650</t>
  </si>
  <si>
    <t>&gt;=1650 and &lt;1700</t>
  </si>
  <si>
    <t>&gt;=1700 and &lt;1750</t>
  </si>
  <si>
    <t>&gt;=1750 and &lt;1800</t>
  </si>
  <si>
    <t>&gt;=1800 and &lt;1850</t>
  </si>
  <si>
    <t>&gt;=1850 and &lt;1900</t>
  </si>
  <si>
    <t>&gt;=1900 and &lt;1950</t>
  </si>
  <si>
    <t>&gt;=1950 and &lt;2000</t>
  </si>
  <si>
    <t>&gt;=2000 and &lt;2500</t>
  </si>
  <si>
    <t>&gt;=2500 and &lt;3000</t>
  </si>
  <si>
    <t>&gt;=3000 and &lt;3500</t>
  </si>
  <si>
    <t>&gt;=3500 and &lt;4000</t>
  </si>
  <si>
    <t>&gt;=4000 and &lt;4500</t>
  </si>
  <si>
    <t>&gt;=4500 and &lt;5000</t>
  </si>
  <si>
    <t>&gt;=5000 and &lt;5500</t>
  </si>
  <si>
    <t>&gt;=5500</t>
  </si>
  <si>
    <t>Average Residential Usage (kWh)</t>
  </si>
  <si>
    <t>Average Residential Customer Total Bill ($/year)</t>
  </si>
  <si>
    <t>Average Residential Customer Percent Annual Bill Impact</t>
  </si>
  <si>
    <r>
      <t>Proposed R1 All Other kWh Charges on Delivery Bill ($/kWh)</t>
    </r>
    <r>
      <rPr>
        <vertAlign val="superscript"/>
        <sz val="12"/>
        <rFont val="Times New Roman"/>
        <family val="1"/>
      </rPr>
      <t>1</t>
    </r>
  </si>
  <si>
    <r>
      <t>Proposed R1 Basic Service Supply Charge ($/kWh)</t>
    </r>
    <r>
      <rPr>
        <vertAlign val="superscript"/>
        <sz val="12"/>
        <rFont val="Times New Roman"/>
        <family val="1"/>
      </rPr>
      <t>2</t>
    </r>
  </si>
  <si>
    <r>
      <t>Proposed RDM Distribution Revenue Allocator - R1/R2</t>
    </r>
    <r>
      <rPr>
        <vertAlign val="superscript"/>
        <sz val="12"/>
        <rFont val="Times New Roman"/>
        <family val="1"/>
      </rPr>
      <t>3</t>
    </r>
  </si>
  <si>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See Massachusetts Electric Company Nantucket Electric Company each d.b.a. National Grid, D.P.U. 23-150, Exhibits NG-PP-13, and NG-PP-14, filed November 16, 2023.   </t>
    </r>
  </si>
  <si>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>All other kWh charges on delivery bill includes transmission charge, non-base distribution charges billed in distribution line item on the bill, transition charge, energy efficiency charge, renewables charge, distributed solar charge, electric vehicle program charge, effective on November 1, 2023.</t>
    </r>
  </si>
  <si>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Rate R-1/R-2 Basic Service Supply Charge effective 11/1/2023-7/31/2024, https://www.nationalgridus.com/media/pdfs/billing-payments/electric-rates/ma/resitable.pdf .</t>
    </r>
  </si>
  <si>
    <t>USAGE_GROUP
(kWh)</t>
  </si>
  <si>
    <t>Average Usage By Group (kWh)</t>
  </si>
  <si>
    <t xml:space="preserve">  &gt;= 0 and &lt;50</t>
  </si>
  <si>
    <t xml:space="preserve"> &gt;= 50 and &lt;100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</si>
</sst>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&quot;$&quot;#,##0.00000"/>
    <numFmt numFmtId="167" formatCode="&quot;$&quot;#,##0"/>
    <numFmt numFmtId="168" formatCode="_(* #,##0_);_(* \(#,##0\);_(* &quot;-&quot;??_);_(@_)"/>
    <numFmt numFmtId="169" formatCode="&quot;$&quot;#,##0.000"/>
  </numFmts>
  <fonts count="1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color theme="0"/>
      <name val="Times New Roman"/>
      <family val="1"/>
    </font>
    <font>
      <sz val="10"/>
      <color indexed="64"/>
      <name val="Arial"/>
      <family val="2"/>
    </font>
    <font>
      <b/>
      <sz val="10"/>
      <name val="Arial"/>
      <family val="2"/>
    </font>
    <font>
      <sz val="12"/>
      <color rgb="FFFF0000"/>
      <name val="Times New Roman"/>
      <family val="1"/>
    </font>
    <font>
      <b/>
      <sz val="12"/>
      <color indexed="64"/>
      <name val="Times New Roman"/>
      <family val="1"/>
    </font>
    <font>
      <sz val="12"/>
      <color indexed="64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7">
    <xf numFmtId="37" fontId="0" fillId="0" borderId="0">
      <alignment vertical="center" wrapText="1"/>
    </xf>
    <xf numFmtId="9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7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2" fillId="0" borderId="0"/>
  </cellStyleXfs>
  <cellXfs count="56">
    <xf numFmtId="37" fontId="0" fillId="0" borderId="0" xfId="0">
      <alignment vertical="center" wrapText="1"/>
    </xf>
    <xf numFmtId="37" fontId="9" fillId="0" borderId="0" xfId="0" applyFont="1" applyAlignment="1">
      <alignment vertical="center"/>
    </xf>
    <xf numFmtId="37" fontId="9" fillId="0" borderId="0" xfId="0" applyFont="1">
      <alignment vertical="center" wrapText="1"/>
    </xf>
    <xf numFmtId="37" fontId="8" fillId="2" borderId="5" xfId="0" applyFont="1" applyFill="1" applyBorder="1" applyAlignment="1">
      <alignment wrapText="1"/>
    </xf>
    <xf numFmtId="37" fontId="9" fillId="2" borderId="6" xfId="0" applyFont="1" applyFill="1" applyBorder="1" applyAlignment="1">
      <alignment wrapText="1"/>
    </xf>
    <xf numFmtId="37" fontId="9" fillId="0" borderId="4" xfId="0" applyFont="1" applyBorder="1" applyAlignment="1">
      <alignment vertical="center"/>
    </xf>
    <xf numFmtId="165" fontId="9" fillId="0" borderId="2" xfId="0" applyNumberFormat="1" applyFont="1" applyBorder="1" applyAlignment="1">
      <alignment vertical="center"/>
    </xf>
    <xf numFmtId="165" fontId="9" fillId="0" borderId="0" xfId="0" applyNumberFormat="1" applyFont="1" applyAlignment="1">
      <alignment vertical="center"/>
    </xf>
    <xf numFmtId="37" fontId="9" fillId="0" borderId="3" xfId="0" applyFont="1" applyBorder="1" applyAlignment="1">
      <alignment vertical="center"/>
    </xf>
    <xf numFmtId="37" fontId="9" fillId="0" borderId="2" xfId="0" applyFont="1" applyBorder="1" applyAlignment="1">
      <alignment vertical="center"/>
    </xf>
    <xf numFmtId="37" fontId="11" fillId="0" borderId="0" xfId="0" applyFont="1" applyAlignment="1">
      <alignment horizontal="center" vertical="center"/>
    </xf>
    <xf numFmtId="37" fontId="9" fillId="0" borderId="10" xfId="0" applyFont="1" applyBorder="1" applyAlignment="1">
      <alignment vertical="center"/>
    </xf>
    <xf numFmtId="37" fontId="8" fillId="2" borderId="5" xfId="0" applyFont="1" applyFill="1" applyBorder="1" applyAlignment="1">
      <alignment vertical="center"/>
    </xf>
    <xf numFmtId="37" fontId="9" fillId="2" borderId="6" xfId="0" applyFont="1" applyFill="1" applyBorder="1" applyAlignment="1">
      <alignment vertical="center"/>
    </xf>
    <xf numFmtId="37" fontId="8" fillId="0" borderId="0" xfId="0" applyFont="1" applyAlignment="1">
      <alignment horizontal="center" vertical="center"/>
    </xf>
    <xf numFmtId="37" fontId="9" fillId="0" borderId="7" xfId="0" applyFont="1" applyBorder="1" applyAlignment="1">
      <alignment horizontal="center" vertical="center"/>
    </xf>
    <xf numFmtId="37" fontId="9" fillId="0" borderId="0" xfId="0" applyFont="1" applyAlignment="1">
      <alignment horizontal="center" vertical="center" wrapText="1"/>
    </xf>
    <xf numFmtId="37" fontId="9" fillId="0" borderId="3" xfId="0" applyFont="1" applyBorder="1" applyAlignment="1">
      <alignment horizontal="left" vertical="center" wrapText="1"/>
    </xf>
    <xf numFmtId="10" fontId="9" fillId="0" borderId="0" xfId="1" applyNumberFormat="1" applyFont="1" applyAlignment="1">
      <alignment vertical="center"/>
    </xf>
    <xf numFmtId="167" fontId="9" fillId="0" borderId="2" xfId="0" applyNumberFormat="1" applyFont="1" applyBorder="1" applyAlignment="1">
      <alignment vertical="center"/>
    </xf>
    <xf numFmtId="37" fontId="9" fillId="0" borderId="10" xfId="0" applyFont="1" applyBorder="1" applyAlignment="1">
      <alignment horizontal="left" vertical="center"/>
    </xf>
    <xf numFmtId="9" fontId="9" fillId="0" borderId="9" xfId="1" applyFont="1" applyBorder="1" applyAlignment="1">
      <alignment vertical="center"/>
    </xf>
    <xf numFmtId="9" fontId="9" fillId="0" borderId="0" xfId="1" applyFont="1" applyFill="1" applyAlignment="1">
      <alignment vertical="center"/>
    </xf>
    <xf numFmtId="37" fontId="9" fillId="0" borderId="0" xfId="0" applyFont="1" applyAlignment="1">
      <alignment horizontal="left" vertical="center"/>
    </xf>
    <xf numFmtId="9" fontId="9" fillId="0" borderId="0" xfId="1" applyFont="1" applyFill="1" applyBorder="1" applyAlignment="1">
      <alignment vertical="center"/>
    </xf>
    <xf numFmtId="37" fontId="9" fillId="2" borderId="8" xfId="0" applyFont="1" applyFill="1" applyBorder="1" applyAlignment="1">
      <alignment vertical="center"/>
    </xf>
    <xf numFmtId="9" fontId="9" fillId="0" borderId="0" xfId="1" applyFont="1" applyBorder="1" applyAlignment="1">
      <alignment vertical="center"/>
    </xf>
    <xf numFmtId="9" fontId="9" fillId="0" borderId="2" xfId="1" applyFont="1" applyFill="1" applyBorder="1" applyAlignment="1">
      <alignment vertical="center"/>
    </xf>
    <xf numFmtId="9" fontId="9" fillId="0" borderId="5" xfId="1" applyFont="1" applyBorder="1" applyAlignment="1">
      <alignment horizontal="center" vertical="center"/>
    </xf>
    <xf numFmtId="9" fontId="9" fillId="0" borderId="8" xfId="1" applyFont="1" applyBorder="1" applyAlignment="1">
      <alignment horizontal="center" vertical="center"/>
    </xf>
    <xf numFmtId="9" fontId="9" fillId="0" borderId="6" xfId="1" applyFont="1" applyBorder="1" applyAlignment="1">
      <alignment horizontal="center" vertical="center"/>
    </xf>
    <xf numFmtId="164" fontId="9" fillId="0" borderId="1" xfId="1" applyNumberFormat="1" applyFont="1" applyBorder="1" applyAlignment="1">
      <alignment vertical="center"/>
    </xf>
    <xf numFmtId="164" fontId="9" fillId="0" borderId="9" xfId="1" applyNumberFormat="1" applyFont="1" applyBorder="1" applyAlignment="1">
      <alignment vertical="center"/>
    </xf>
    <xf numFmtId="0" fontId="12" fillId="0" borderId="0" xfId="16"/>
    <xf numFmtId="49" fontId="12" fillId="0" borderId="0" xfId="16" applyNumberFormat="1"/>
    <xf numFmtId="37" fontId="13" fillId="0" borderId="0" xfId="0" applyFont="1">
      <alignment vertical="center" wrapText="1"/>
    </xf>
    <xf numFmtId="165" fontId="9" fillId="0" borderId="3" xfId="0" applyNumberFormat="1" applyFont="1" applyBorder="1" applyAlignment="1">
      <alignment vertical="center"/>
    </xf>
    <xf numFmtId="166" fontId="9" fillId="0" borderId="3" xfId="0" applyNumberFormat="1" applyFont="1" applyBorder="1" applyAlignment="1">
      <alignment vertical="center"/>
    </xf>
    <xf numFmtId="164" fontId="9" fillId="0" borderId="3" xfId="1" applyNumberFormat="1" applyFont="1" applyFill="1" applyBorder="1" applyAlignment="1">
      <alignment vertical="center"/>
    </xf>
    <xf numFmtId="37" fontId="14" fillId="0" borderId="0" xfId="0" applyFont="1" applyAlignment="1">
      <alignment vertical="center"/>
    </xf>
    <xf numFmtId="169" fontId="9" fillId="0" borderId="0" xfId="0" applyNumberFormat="1" applyFont="1" applyAlignment="1">
      <alignment vertical="center"/>
    </xf>
    <xf numFmtId="169" fontId="0" fillId="0" borderId="0" xfId="0" applyNumberFormat="1">
      <alignment vertical="center" wrapText="1"/>
    </xf>
    <xf numFmtId="49" fontId="15" fillId="0" borderId="11" xfId="11" applyNumberFormat="1" applyFont="1" applyBorder="1" applyAlignment="1">
      <alignment horizontal="center" vertical="center" wrapText="1"/>
    </xf>
    <xf numFmtId="168" fontId="15" fillId="0" borderId="11" xfId="12" applyNumberFormat="1" applyFont="1" applyBorder="1" applyAlignment="1">
      <alignment horizontal="center" vertical="center" wrapText="1"/>
    </xf>
    <xf numFmtId="0" fontId="15" fillId="0" borderId="11" xfId="11" applyFont="1" applyBorder="1" applyAlignment="1">
      <alignment horizontal="center" vertical="center" wrapText="1"/>
    </xf>
    <xf numFmtId="49" fontId="16" fillId="0" borderId="0" xfId="16" applyNumberFormat="1" applyFont="1"/>
    <xf numFmtId="0" fontId="16" fillId="0" borderId="0" xfId="11" applyFont="1" applyAlignment="1">
      <alignment horizontal="right"/>
    </xf>
    <xf numFmtId="0" fontId="16" fillId="0" borderId="0" xfId="16" applyFont="1"/>
    <xf numFmtId="10" fontId="9" fillId="0" borderId="0" xfId="1" applyNumberFormat="1" applyFont="1" applyAlignment="1">
      <alignment vertical="center" wrapText="1"/>
    </xf>
    <xf numFmtId="9" fontId="16" fillId="0" borderId="0" xfId="16" applyNumberFormat="1" applyFont="1"/>
    <xf numFmtId="0" fontId="17" fillId="0" borderId="0" xfId="11" applyFont="1" applyAlignment="1">
      <alignment horizontal="right"/>
    </xf>
    <xf numFmtId="0" fontId="16" fillId="0" borderId="0" xfId="11" applyFont="1"/>
    <xf numFmtId="164" fontId="16" fillId="0" borderId="0" xfId="1" applyNumberFormat="1" applyFont="1"/>
    <xf numFmtId="168" fontId="9" fillId="0" borderId="0" xfId="12" applyNumberFormat="1" applyFont="1" applyFill="1" applyAlignment="1">
      <alignment horizontal="right"/>
    </xf>
    <xf numFmtId="0" fontId="9" fillId="0" borderId="0" xfId="11" applyFont="1"/>
    <xf numFmtId="37" fontId="9" fillId="0" borderId="0" xfId="0" applyFont="1" applyAlignment="1">
      <alignment horizontal="left" wrapText="1"/>
    </xf>
  </cellXfs>
  <cellStyles count="17">
    <cellStyle name="Comma 2" xfId="3" xr:uid="{1F166574-38D2-4EE7-AE9C-B2438523F26F}"/>
    <cellStyle name="Comma 2 2" xfId="12" xr:uid="{B3ECCE56-E08A-46F6-806A-4AC0E6AF5049}"/>
    <cellStyle name="Currency 2" xfId="5" xr:uid="{D11A69FB-F597-4770-8783-84C1FF87D97E}"/>
    <cellStyle name="Currency 2 2" xfId="14" xr:uid="{F600FBEC-2C51-40F4-BC16-245392A229B9}"/>
    <cellStyle name="Currency 3" xfId="7" xr:uid="{389F0187-9F4C-4320-ABFC-3F9192C07C49}"/>
    <cellStyle name="Normal" xfId="0" builtinId="0"/>
    <cellStyle name="Normal 2" xfId="2" xr:uid="{26DAFD91-A0A7-4DEF-93C9-B39E960E4A60}"/>
    <cellStyle name="Normal 2 2" xfId="11" xr:uid="{FF94339B-EC7A-4670-9F00-C123A07E05F1}"/>
    <cellStyle name="Normal 3" xfId="6" xr:uid="{E03C4D96-2862-4A0A-90C1-DB672C63FA7A}"/>
    <cellStyle name="Normal 4" xfId="9" xr:uid="{8C305705-C663-440E-BF8A-840D8386E815}"/>
    <cellStyle name="Normal 5" xfId="10" xr:uid="{D17C104A-6217-48EA-8817-F86346F85C3E}"/>
    <cellStyle name="Normal 6" xfId="15" xr:uid="{FBB7ADF9-E44B-4E5A-B265-67FA5BD781A0}"/>
    <cellStyle name="Normal 7" xfId="16" xr:uid="{91A26EBF-C328-4369-AA5E-2A20E698BF4E}"/>
    <cellStyle name="Percent" xfId="1" builtinId="5"/>
    <cellStyle name="Percent 2" xfId="4" xr:uid="{37BD1830-3005-42C9-B5C7-A851B0456CB6}"/>
    <cellStyle name="Percent 2 2" xfId="13" xr:uid="{D7802DF2-D834-489E-8104-B0009FA823BE}"/>
    <cellStyle name="Percent 3" xfId="8" xr:uid="{E98E73C5-F71F-4AC6-999F-6917AF20F804}"/>
  </cellStyles>
  <dxfs count="0"/>
  <tableStyles count="0" defaultTableStyle="TableStyleMedium2" defaultPivotStyle="PivotStyleLight16"/>
  <colors>
    <mruColors>
      <color rgb="FF00FF99"/>
      <color rgb="FFFF99FF"/>
      <color rgb="FFFFFF99"/>
      <color rgb="FFFF7171"/>
      <color rgb="FF5780C9"/>
      <color rgb="FF6699FF"/>
      <color rgb="FF6666FF"/>
      <color rgb="FFFF66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gorm\Documents%20Laptop\MA-23\MA-23%20Allocator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cil\AppData\Local\Microsoft\Windows\INetCache\Content.Outlook\IFXD58CL\MA-23%20Rev_Rates_NoV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llocators"/>
      <sheetName val="Functions"/>
      <sheetName val="Bills"/>
      <sheetName val="Sales"/>
      <sheetName val="Revenue"/>
      <sheetName val="R5 HLF"/>
      <sheetName val="Rates"/>
      <sheetName val="OtherRev"/>
      <sheetName val="Xfmrs"/>
      <sheetName val="Xfmr_Detail"/>
      <sheetName val="Xfmr_Cost"/>
      <sheetName val="Services"/>
      <sheetName val="Services_Detail"/>
      <sheetName val="Meters"/>
      <sheetName val="Meter_Detail"/>
      <sheetName val="Meter_Cost"/>
      <sheetName val="CustDep"/>
      <sheetName val="WOffs"/>
      <sheetName val="Acct903"/>
      <sheetName val="Demand-1"/>
      <sheetName val="Demand-1_NOT_USED"/>
      <sheetName val="Demand-2"/>
      <sheetName val="Demand-3"/>
      <sheetName val="Demand-4"/>
      <sheetName val="Dem-1 NOT USED"/>
      <sheetName val="Func 364-368 MA"/>
      <sheetName val="EndPrint"/>
      <sheetName val="Demand"/>
      <sheetName val="Deposits"/>
      <sheetName val="WP=&gt;"/>
      <sheetName val="P-3"/>
      <sheetName val="COS"/>
      <sheetName val="CustServ"/>
      <sheetName val="Acct903_NOT_USED"/>
    </sheetNames>
    <sheetDataSet>
      <sheetData sheetId="0">
        <row r="3">
          <cell r="H3" t="str">
            <v>NG-HSG-3</v>
          </cell>
        </row>
        <row r="4">
          <cell r="H4"/>
        </row>
        <row r="6">
          <cell r="H6" t="str">
            <v>Index</v>
          </cell>
          <cell r="I6" t="str">
            <v>NG-HSG-3 Index</v>
          </cell>
        </row>
        <row r="7">
          <cell r="H7" t="str">
            <v>Allocators</v>
          </cell>
          <cell r="I7" t="str">
            <v>NG-HSG-3A</v>
          </cell>
        </row>
        <row r="8">
          <cell r="H8" t="str">
            <v>Functions</v>
          </cell>
          <cell r="I8" t="str">
            <v>NG-HSG-3B</v>
          </cell>
        </row>
        <row r="9">
          <cell r="H9" t="str">
            <v>Bills</v>
          </cell>
          <cell r="I9" t="str">
            <v>NG-HSG-3C</v>
          </cell>
        </row>
        <row r="10">
          <cell r="H10" t="str">
            <v>Sales</v>
          </cell>
          <cell r="I10" t="str">
            <v>NG-HSG-3D</v>
          </cell>
        </row>
        <row r="11">
          <cell r="H11" t="str">
            <v>Revenue</v>
          </cell>
          <cell r="I11" t="str">
            <v>NG-HSG-3E</v>
          </cell>
        </row>
        <row r="12">
          <cell r="H12" t="str">
            <v>OtherRev</v>
          </cell>
          <cell r="I12" t="str">
            <v>NG-HSG-3F</v>
          </cell>
        </row>
        <row r="13">
          <cell r="H13" t="str">
            <v>Xfmrs</v>
          </cell>
          <cell r="I13" t="str">
            <v>NG-HSG-3G</v>
          </cell>
        </row>
        <row r="14">
          <cell r="H14" t="str">
            <v>Xfmr_Detail</v>
          </cell>
          <cell r="I14" t="str">
            <v>NG-HSG-3H</v>
          </cell>
        </row>
        <row r="15">
          <cell r="H15" t="str">
            <v>Xfmr_Cost</v>
          </cell>
          <cell r="I15" t="str">
            <v>NG-HSG-3I</v>
          </cell>
        </row>
        <row r="16">
          <cell r="H16" t="str">
            <v>Services</v>
          </cell>
          <cell r="I16" t="str">
            <v>NG-HSG-3J</v>
          </cell>
        </row>
        <row r="17">
          <cell r="H17" t="str">
            <v>Meters</v>
          </cell>
          <cell r="I17" t="str">
            <v>NG-HSG-3K</v>
          </cell>
        </row>
        <row r="18">
          <cell r="H18" t="str">
            <v>Meter_Detail</v>
          </cell>
          <cell r="I18" t="str">
            <v>NG-HSG-3L</v>
          </cell>
        </row>
        <row r="19">
          <cell r="H19" t="str">
            <v>CustDep</v>
          </cell>
          <cell r="I19" t="str">
            <v>NG-HSG-3M</v>
          </cell>
        </row>
        <row r="20">
          <cell r="H20" t="str">
            <v>WOffs</v>
          </cell>
          <cell r="I20" t="str">
            <v>NG-HSG-3N</v>
          </cell>
        </row>
        <row r="21">
          <cell r="H21" t="str">
            <v>Demand-1</v>
          </cell>
          <cell r="I21" t="str">
            <v>NG-HSG-3O</v>
          </cell>
        </row>
        <row r="22">
          <cell r="H22" t="str">
            <v>Demand-2</v>
          </cell>
          <cell r="I22" t="str">
            <v>NG-HSG-3P</v>
          </cell>
        </row>
        <row r="23">
          <cell r="H23" t="str">
            <v>Demand-3</v>
          </cell>
          <cell r="I23" t="str">
            <v>NG-HSG-3R</v>
          </cell>
        </row>
        <row r="24">
          <cell r="H24" t="str">
            <v>Demand-4</v>
          </cell>
          <cell r="I24" t="str">
            <v>NG-HSG-3S</v>
          </cell>
        </row>
        <row r="25">
          <cell r="H25" t="str">
            <v>Func 364-368 MA</v>
          </cell>
          <cell r="I25" t="str">
            <v>NG-HSG-3T</v>
          </cell>
        </row>
        <row r="26">
          <cell r="H26"/>
          <cell r="I26"/>
        </row>
      </sheetData>
      <sheetData sheetId="1">
        <row r="2">
          <cell r="O2">
            <v>-2</v>
          </cell>
        </row>
        <row r="4">
          <cell r="D4" t="str">
            <v>Total</v>
          </cell>
          <cell r="G4" t="str">
            <v>Residential Reg./Low Inc.</v>
          </cell>
          <cell r="H4" t="str">
            <v>C&amp;I Small</v>
          </cell>
          <cell r="I4" t="str">
            <v>C&amp;I Demand</v>
          </cell>
          <cell r="J4" t="str">
            <v>C&amp;I TOU</v>
          </cell>
          <cell r="K4" t="str">
            <v>StLight All</v>
          </cell>
          <cell r="L4" t="str">
            <v>OPEN1</v>
          </cell>
        </row>
        <row r="5">
          <cell r="G5" t="str">
            <v>R-1/R-2</v>
          </cell>
          <cell r="H5" t="str">
            <v>G-1</v>
          </cell>
          <cell r="I5" t="str">
            <v>G-2</v>
          </cell>
          <cell r="J5" t="str">
            <v>G-3</v>
          </cell>
          <cell r="K5" t="str">
            <v>SL-All</v>
          </cell>
          <cell r="L5" t="str">
            <v>OPEN1</v>
          </cell>
        </row>
        <row r="37">
          <cell r="B37" t="str">
            <v>ALLOCATION FACTORS</v>
          </cell>
        </row>
      </sheetData>
      <sheetData sheetId="2"/>
      <sheetData sheetId="3">
        <row r="5">
          <cell r="B5" t="str">
            <v>Residential</v>
          </cell>
        </row>
      </sheetData>
      <sheetData sheetId="4"/>
      <sheetData sheetId="5">
        <row r="5">
          <cell r="D5">
            <v>14180780</v>
          </cell>
        </row>
      </sheetData>
      <sheetData sheetId="6"/>
      <sheetData sheetId="7">
        <row r="16">
          <cell r="G16">
            <v>12.47</v>
          </cell>
        </row>
      </sheetData>
      <sheetData sheetId="8"/>
      <sheetData sheetId="9"/>
      <sheetData sheetId="10">
        <row r="126">
          <cell r="C126" t="str">
            <v>Rate</v>
          </cell>
          <cell r="D126"/>
          <cell r="E126" t="str">
            <v>NCP/ Cust</v>
          </cell>
        </row>
        <row r="127">
          <cell r="C127" t="str">
            <v>R1/R2</v>
          </cell>
          <cell r="E127">
            <v>2.2861988785887819</v>
          </cell>
        </row>
        <row r="128">
          <cell r="C128" t="str">
            <v>G1</v>
          </cell>
          <cell r="E128">
            <v>3.6201848250721276</v>
          </cell>
        </row>
        <row r="129">
          <cell r="C129" t="str">
            <v>G2</v>
          </cell>
          <cell r="E129">
            <v>57.298090119684304</v>
          </cell>
        </row>
        <row r="130">
          <cell r="C130" t="str">
            <v>G3</v>
          </cell>
          <cell r="E130">
            <v>455.90832301375525</v>
          </cell>
        </row>
        <row r="131">
          <cell r="C131"/>
          <cell r="D131"/>
          <cell r="E131"/>
        </row>
      </sheetData>
      <sheetData sheetId="11">
        <row r="3">
          <cell r="B3" t="str">
            <v>Transformer Type</v>
          </cell>
          <cell r="C3" t="str">
            <v>Number</v>
          </cell>
          <cell r="D3" t="str">
            <v>Total Cost</v>
          </cell>
        </row>
        <row r="4">
          <cell r="B4" t="str">
            <v>OH_1_10</v>
          </cell>
          <cell r="C4">
            <v>8347</v>
          </cell>
          <cell r="D4">
            <v>5819908.5653074291</v>
          </cell>
        </row>
        <row r="5">
          <cell r="B5" t="str">
            <v>OH_1_100</v>
          </cell>
          <cell r="C5">
            <v>467</v>
          </cell>
          <cell r="D5">
            <v>654381.6695817142</v>
          </cell>
        </row>
        <row r="6">
          <cell r="B6" t="str">
            <v>OH_1_167</v>
          </cell>
          <cell r="C6">
            <v>10</v>
          </cell>
          <cell r="D6">
            <v>38382.45545142857</v>
          </cell>
        </row>
        <row r="7">
          <cell r="B7" t="str">
            <v>OH_1_25</v>
          </cell>
          <cell r="C7">
            <v>64138</v>
          </cell>
          <cell r="D7">
            <v>62139174.194372572</v>
          </cell>
        </row>
        <row r="8">
          <cell r="B8" t="str">
            <v>OH_1_50</v>
          </cell>
          <cell r="C8">
            <v>43763</v>
          </cell>
          <cell r="D8">
            <v>46136947.792086855</v>
          </cell>
        </row>
        <row r="9">
          <cell r="B9" t="str">
            <v>OH_1_667</v>
          </cell>
          <cell r="C9"/>
          <cell r="D9">
            <v>0</v>
          </cell>
        </row>
        <row r="10">
          <cell r="B10" t="str">
            <v>OH_1_75</v>
          </cell>
          <cell r="C10">
            <v>113</v>
          </cell>
          <cell r="D10">
            <v>195517.74660114283</v>
          </cell>
        </row>
        <row r="11">
          <cell r="B11" t="str">
            <v>OH_3_1000</v>
          </cell>
          <cell r="C11">
            <v>4</v>
          </cell>
          <cell r="D11">
            <v>47503.205664437926</v>
          </cell>
        </row>
        <row r="12">
          <cell r="B12" t="str">
            <v>OH_3_150</v>
          </cell>
          <cell r="C12">
            <v>547</v>
          </cell>
          <cell r="D12">
            <v>771060.12453942851</v>
          </cell>
        </row>
        <row r="13">
          <cell r="B13" t="str">
            <v>OH_3_1500</v>
          </cell>
          <cell r="C13"/>
          <cell r="D13">
            <v>0</v>
          </cell>
        </row>
        <row r="14">
          <cell r="B14" t="str">
            <v>OH_3_2000</v>
          </cell>
          <cell r="C14">
            <v>1</v>
          </cell>
          <cell r="D14">
            <v>16615.616315428571</v>
          </cell>
        </row>
        <row r="15">
          <cell r="B15" t="str">
            <v>OH_3_30</v>
          </cell>
          <cell r="C15">
            <v>12127</v>
          </cell>
          <cell r="D15">
            <v>11258604.572854858</v>
          </cell>
        </row>
        <row r="16">
          <cell r="B16" t="str">
            <v>OH_3_300</v>
          </cell>
          <cell r="C16">
            <v>57</v>
          </cell>
          <cell r="D16">
            <v>100127.12997942857</v>
          </cell>
        </row>
        <row r="17">
          <cell r="B17" t="str">
            <v>OH_3_500</v>
          </cell>
          <cell r="C17">
            <v>18</v>
          </cell>
          <cell r="D17">
            <v>59159.093677714285</v>
          </cell>
        </row>
        <row r="18">
          <cell r="B18" t="str">
            <v>OH_3_75</v>
          </cell>
          <cell r="C18">
            <v>5230</v>
          </cell>
          <cell r="D18">
            <v>6700348.6749989549</v>
          </cell>
        </row>
        <row r="19">
          <cell r="B19" t="str">
            <v>OH_3_750</v>
          </cell>
          <cell r="C19">
            <v>4</v>
          </cell>
          <cell r="D19">
            <v>47503.205664437926</v>
          </cell>
        </row>
        <row r="20">
          <cell r="B20" t="str">
            <v>UG_1_100</v>
          </cell>
          <cell r="C20">
            <v>1216</v>
          </cell>
          <cell r="D20">
            <v>5044277.2531199995</v>
          </cell>
        </row>
        <row r="21">
          <cell r="B21" t="str">
            <v>UG_1_167</v>
          </cell>
          <cell r="C21">
            <v>275</v>
          </cell>
          <cell r="D21">
            <v>898651.68799999997</v>
          </cell>
        </row>
        <row r="22">
          <cell r="B22" t="str">
            <v>UG_1_25</v>
          </cell>
          <cell r="C22">
            <v>9403</v>
          </cell>
          <cell r="D22">
            <v>21615845.080959998</v>
          </cell>
        </row>
        <row r="23">
          <cell r="B23" t="str">
            <v>UG_1_250</v>
          </cell>
          <cell r="C23">
            <v>14</v>
          </cell>
          <cell r="D23">
            <v>171094.13188953273</v>
          </cell>
        </row>
        <row r="24">
          <cell r="B24" t="str">
            <v>UG_1_50</v>
          </cell>
          <cell r="C24">
            <v>10493</v>
          </cell>
          <cell r="D24">
            <v>27773127.589759998</v>
          </cell>
        </row>
        <row r="25">
          <cell r="B25" t="str">
            <v>UG_1_75</v>
          </cell>
          <cell r="C25">
            <v>1856</v>
          </cell>
          <cell r="D25">
            <v>4912505.9379199995</v>
          </cell>
        </row>
        <row r="26">
          <cell r="B26" t="str">
            <v>UG_1_500</v>
          </cell>
          <cell r="C26">
            <v>22</v>
          </cell>
          <cell r="D26">
            <v>268862.20725497999</v>
          </cell>
        </row>
        <row r="27">
          <cell r="B27" t="str">
            <v>UG_3_1000</v>
          </cell>
          <cell r="C27">
            <v>612</v>
          </cell>
          <cell r="D27">
            <v>8949679.3520640004</v>
          </cell>
        </row>
        <row r="28">
          <cell r="B28" t="str">
            <v>UG_3_150</v>
          </cell>
          <cell r="C28">
            <v>4197</v>
          </cell>
          <cell r="D28">
            <v>26175258.125184003</v>
          </cell>
        </row>
        <row r="29">
          <cell r="B29" t="str">
            <v>UG_3_1500</v>
          </cell>
          <cell r="C29">
            <v>446</v>
          </cell>
          <cell r="D29">
            <v>9164701.9461119995</v>
          </cell>
        </row>
        <row r="30">
          <cell r="B30" t="str">
            <v>UG_3_2000</v>
          </cell>
          <cell r="C30">
            <v>143</v>
          </cell>
          <cell r="D30">
            <v>3435669.2472959999</v>
          </cell>
        </row>
        <row r="31">
          <cell r="B31" t="str">
            <v>UG_3_2500</v>
          </cell>
          <cell r="C31">
            <v>96</v>
          </cell>
          <cell r="D31">
            <v>2801823.270912</v>
          </cell>
        </row>
        <row r="32">
          <cell r="B32" t="str">
            <v>UG_3_300</v>
          </cell>
          <cell r="C32">
            <v>3444</v>
          </cell>
          <cell r="D32">
            <v>32770552.243968002</v>
          </cell>
        </row>
        <row r="33">
          <cell r="B33" t="str">
            <v>UG_3_3000</v>
          </cell>
          <cell r="C33"/>
          <cell r="D33">
            <v>0</v>
          </cell>
        </row>
        <row r="34">
          <cell r="B34" t="str">
            <v>UG_3_500</v>
          </cell>
          <cell r="C34">
            <v>1903</v>
          </cell>
          <cell r="D34">
            <v>30557725.214016002</v>
          </cell>
        </row>
        <row r="35">
          <cell r="B35" t="str">
            <v>UG_3_75</v>
          </cell>
          <cell r="C35">
            <v>1577</v>
          </cell>
          <cell r="D35">
            <v>7166927.356544001</v>
          </cell>
        </row>
        <row r="36">
          <cell r="B36" t="str">
            <v>UG_3_750</v>
          </cell>
          <cell r="C36">
            <v>978</v>
          </cell>
          <cell r="D36">
            <v>13526795.332416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F4" t="str">
            <v>April System Peak</v>
          </cell>
          <cell r="G4" t="str">
            <v>May System Peak</v>
          </cell>
          <cell r="H4" t="str">
            <v>June System Peak</v>
          </cell>
          <cell r="I4" t="str">
            <v>July System Peak</v>
          </cell>
          <cell r="J4" t="str">
            <v>August System Peak</v>
          </cell>
        </row>
        <row r="14">
          <cell r="F14" t="str">
            <v>2023 Sum of NCPs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RevAlloc=&gt;"/>
      <sheetName val="4_RevAlloc"/>
      <sheetName val="Schedule 10"/>
      <sheetName val="5Sum=&gt;"/>
      <sheetName val="RateDesign=&gt;"/>
      <sheetName val="6P1_Index"/>
      <sheetName val="6P2_R1R2"/>
      <sheetName val="6P3_R5"/>
      <sheetName val="6P4_G1"/>
      <sheetName val="6P5_G2"/>
      <sheetName val="6P6_G2_EV_A"/>
      <sheetName val="6P7_G2_EV_B"/>
      <sheetName val="6P8_G2_EV_C"/>
      <sheetName val="6P9_G3"/>
      <sheetName val="6P10_G3_EV_A"/>
      <sheetName val="6P11_G3_EV_B"/>
      <sheetName val="6P12_G3_EV_C"/>
      <sheetName val="6P13_SL_Sum"/>
      <sheetName val="6P14_SL_S1"/>
      <sheetName val="6P17_SL_S2"/>
      <sheetName val="6P18_SL_S3"/>
      <sheetName val="6P19_SL_S5"/>
      <sheetName val="6P20_SL_S6"/>
      <sheetName val="XX6P21_SL"/>
      <sheetName val="XXX_6P14-15_SL"/>
      <sheetName val="G3 Temp=&gt;"/>
      <sheetName val="Temp_6P6_G3_SamekWh"/>
      <sheetName val="Temp_6P6_G3ZerokWh"/>
      <sheetName val="Revenue"/>
      <sheetName val="5_SumRates"/>
      <sheetName val="Inputs SL"/>
      <sheetName val="HVD=&gt;"/>
      <sheetName val="7_HVD"/>
    </sheetNames>
    <sheetDataSet>
      <sheetData sheetId="0">
        <row r="4">
          <cell r="C4" t="str">
            <v>Massachusetts Electric Company</v>
          </cell>
        </row>
        <row r="5">
          <cell r="C5" t="str">
            <v>Nantucket Electric Company</v>
          </cell>
        </row>
        <row r="6">
          <cell r="C6" t="str">
            <v>each d/b/a National Grid</v>
          </cell>
        </row>
        <row r="7">
          <cell r="C7" t="str">
            <v>D.P.U. 23-150</v>
          </cell>
        </row>
        <row r="9">
          <cell r="C9" t="str">
            <v>Exhibit NG-PP-4</v>
          </cell>
        </row>
        <row r="10">
          <cell r="C10" t="str">
            <v>Exhibit NG-PP-5</v>
          </cell>
        </row>
        <row r="11">
          <cell r="C11" t="str">
            <v>Exhibit NG-PP-6</v>
          </cell>
        </row>
        <row r="14">
          <cell r="C14" t="str">
            <v>Exhibit NG-RRP-5</v>
          </cell>
        </row>
        <row r="16">
          <cell r="C16">
            <v>45246</v>
          </cell>
        </row>
        <row r="18">
          <cell r="C18" t="str">
            <v>H.O. Tassone</v>
          </cell>
        </row>
        <row r="20">
          <cell r="C20" t="str">
            <v>Massachusetts Electric Company</v>
          </cell>
        </row>
        <row r="21">
          <cell r="C21" t="str">
            <v>Nantucket Electric Company</v>
          </cell>
        </row>
        <row r="23">
          <cell r="C23" t="str">
            <v>Massachusetts Electric Company and Nantucket Electric Company each d/b/a National Grid</v>
          </cell>
        </row>
      </sheetData>
      <sheetData sheetId="1"/>
      <sheetData sheetId="2">
        <row r="81">
          <cell r="D81">
            <v>697091.31430023292</v>
          </cell>
        </row>
      </sheetData>
      <sheetData sheetId="3"/>
      <sheetData sheetId="4"/>
      <sheetData sheetId="5"/>
      <sheetData sheetId="6">
        <row r="2">
          <cell r="H2" t="str">
            <v xml:space="preserve"> of 20</v>
          </cell>
        </row>
        <row r="5">
          <cell r="J5">
            <v>20</v>
          </cell>
        </row>
        <row r="14">
          <cell r="B14" t="str">
            <v>Rate Design</v>
          </cell>
          <cell r="E14" t="str">
            <v>Page 1 of 20</v>
          </cell>
          <cell r="F14">
            <v>1</v>
          </cell>
        </row>
        <row r="16">
          <cell r="B16" t="str">
            <v>Rate Design for Rate R-1 / R-2</v>
          </cell>
          <cell r="E16" t="str">
            <v>Page 2 of 20</v>
          </cell>
          <cell r="F16">
            <v>2</v>
          </cell>
        </row>
        <row r="18">
          <cell r="B18" t="str">
            <v>Rate Design for Proposed R-1 Optional Electrification Pricing</v>
          </cell>
          <cell r="E18" t="str">
            <v>Page 3 of 20</v>
          </cell>
          <cell r="F18">
            <v>3</v>
          </cell>
        </row>
        <row r="20">
          <cell r="B20" t="str">
            <v>Rate Design for Rate G-1</v>
          </cell>
          <cell r="E20" t="str">
            <v>Page 4 of 20</v>
          </cell>
          <cell r="F20">
            <v>4</v>
          </cell>
        </row>
        <row r="22">
          <cell r="B22" t="str">
            <v>Rate Design for Rate G-2 and G-2 EV Price Schedule D: LF &gt; 15%</v>
          </cell>
          <cell r="E22" t="str">
            <v>Page 5 of 20</v>
          </cell>
          <cell r="F22">
            <v>5</v>
          </cell>
        </row>
        <row r="24">
          <cell r="B24" t="str">
            <v xml:space="preserve">Rate Design for G-2 EV Price Schedule A: 0% ≤ LF ≤ 5% </v>
          </cell>
          <cell r="E24" t="str">
            <v>Page 6 of 20</v>
          </cell>
          <cell r="F24">
            <v>6</v>
          </cell>
        </row>
        <row r="26">
          <cell r="B26" t="str">
            <v>Rate Design for G-2 EV Price Schedule B: 5% &lt; LF ≤ 10%</v>
          </cell>
          <cell r="E26" t="str">
            <v>Page 7 of 20</v>
          </cell>
          <cell r="F26">
            <v>7</v>
          </cell>
        </row>
        <row r="28">
          <cell r="B28" t="str">
            <v>Rate Design for G-2 EV Price Schedule C: 10% &lt; LF ≤ 15%</v>
          </cell>
          <cell r="E28" t="str">
            <v>Page 8 of 20</v>
          </cell>
          <cell r="F28">
            <v>8</v>
          </cell>
        </row>
        <row r="30">
          <cell r="B30" t="str">
            <v>Rate Design for G-3 and Rate Design G-3 EV Price Schedule D: LF &gt; 15%</v>
          </cell>
          <cell r="E30" t="str">
            <v>Page 9 of 20</v>
          </cell>
          <cell r="F30">
            <v>9</v>
          </cell>
        </row>
        <row r="32">
          <cell r="B32" t="str">
            <v xml:space="preserve">Rate Design for G-3 EV Price Schedule A: 0% ≤ LF ≤ 5% </v>
          </cell>
          <cell r="E32" t="str">
            <v>Page 10 of 20</v>
          </cell>
          <cell r="F32">
            <v>10</v>
          </cell>
        </row>
        <row r="34">
          <cell r="B34" t="str">
            <v>Rate Design for G-3 EV Price Schedule B: 5% &lt; LF ≤ 10%</v>
          </cell>
          <cell r="E34" t="str">
            <v>Page 11 of 20</v>
          </cell>
          <cell r="F34">
            <v>11</v>
          </cell>
        </row>
        <row r="36">
          <cell r="B36" t="str">
            <v>Rate Design for G-3 EV Price Schedule C: 10% &lt; LF ≤ 15%</v>
          </cell>
          <cell r="E36" t="str">
            <v>Page 12 of 20</v>
          </cell>
          <cell r="F36">
            <v>12</v>
          </cell>
        </row>
        <row r="38">
          <cell r="B38" t="str">
            <v>Rate Design for Rate Street Lighting - Summary</v>
          </cell>
          <cell r="E38" t="str">
            <v>Page 13 of 20</v>
          </cell>
          <cell r="F38">
            <v>13</v>
          </cell>
        </row>
        <row r="40">
          <cell r="B40" t="str">
            <v>Streetlighting - Full Service (Rate S-1)- Part 1</v>
          </cell>
          <cell r="E40" t="str">
            <v>Page 14 of 20</v>
          </cell>
          <cell r="F40">
            <v>14</v>
          </cell>
        </row>
        <row r="41">
          <cell r="B41" t="str">
            <v>Streetlighting - Full Service (Rate S-1)- Part 2</v>
          </cell>
          <cell r="E41" t="str">
            <v>Page 15 of 20</v>
          </cell>
          <cell r="F41">
            <v>15</v>
          </cell>
        </row>
        <row r="42">
          <cell r="B42" t="str">
            <v>Streetlighting - Full Service (Rate S-1)- Part 3</v>
          </cell>
          <cell r="E42" t="str">
            <v>Page 16 of 20</v>
          </cell>
          <cell r="F42">
            <v>16</v>
          </cell>
        </row>
        <row r="44">
          <cell r="B44" t="str">
            <v>Streetlighting - Full Service (Rate S-2)</v>
          </cell>
          <cell r="E44" t="str">
            <v>Page 17 of 20</v>
          </cell>
          <cell r="F44">
            <v>17</v>
          </cell>
        </row>
        <row r="46">
          <cell r="B46" t="str">
            <v>Streetlighting - Full Service (Rate S-3)</v>
          </cell>
          <cell r="E46" t="str">
            <v>Page 18 of 20</v>
          </cell>
          <cell r="F46">
            <v>18</v>
          </cell>
        </row>
        <row r="48">
          <cell r="B48" t="str">
            <v>Streetlighting - Energy Only (Rate S-5)</v>
          </cell>
          <cell r="E48" t="str">
            <v>Page 19 of 20</v>
          </cell>
          <cell r="F48">
            <v>19</v>
          </cell>
        </row>
        <row r="50">
          <cell r="B50" t="str">
            <v>Streetlighting - Street and Area Decorative Lighting (S-6)</v>
          </cell>
          <cell r="E50" t="str">
            <v>Page 20 of 20</v>
          </cell>
          <cell r="F50">
            <v>20</v>
          </cell>
        </row>
        <row r="55">
          <cell r="B55" t="str">
            <v>Streetlighting Capital Tracker, Solar Cost Recovery and Smart Grid Cost Recovery Factors</v>
          </cell>
          <cell r="E55" t="str">
            <v>Page 21 of 20</v>
          </cell>
          <cell r="F55">
            <v>21</v>
          </cell>
        </row>
      </sheetData>
      <sheetData sheetId="7">
        <row r="19">
          <cell r="D19">
            <v>11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6">
          <cell r="D6">
            <v>14180780</v>
          </cell>
        </row>
      </sheetData>
      <sheetData sheetId="30"/>
      <sheetData sheetId="31">
        <row r="2">
          <cell r="B2" t="e">
            <v>#REF!</v>
          </cell>
        </row>
        <row r="3">
          <cell r="B3" t="e">
            <v>#REF!</v>
          </cell>
        </row>
        <row r="4">
          <cell r="B4" t="e">
            <v>#REF!</v>
          </cell>
        </row>
        <row r="10">
          <cell r="B10">
            <v>0.22590254492756184</v>
          </cell>
        </row>
        <row r="15">
          <cell r="B15">
            <v>1.2259025449275618</v>
          </cell>
        </row>
      </sheetData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40E1-2847-4151-8697-1C0194AF6B77}">
  <dimension ref="A3:G41"/>
  <sheetViews>
    <sheetView tabSelected="1" view="pageLayout" zoomScaleNormal="100" workbookViewId="0">
      <selection activeCell="D3" sqref="D3"/>
    </sheetView>
  </sheetViews>
  <sheetFormatPr defaultRowHeight="12.75" x14ac:dyDescent="0.2"/>
  <cols>
    <col min="1" max="1" width="81.85546875" customWidth="1"/>
    <col min="2" max="2" width="20.42578125" customWidth="1"/>
    <col min="3" max="3" width="22.28515625" customWidth="1"/>
    <col min="4" max="5" width="24.7109375" customWidth="1"/>
    <col min="6" max="6" width="14.5703125" customWidth="1"/>
  </cols>
  <sheetData>
    <row r="3" spans="1:6" ht="15.75" x14ac:dyDescent="0.25">
      <c r="A3" s="3" t="s">
        <v>6</v>
      </c>
      <c r="B3" s="4"/>
      <c r="C3" s="2"/>
      <c r="D3" s="2"/>
      <c r="E3" s="2"/>
      <c r="F3" s="2"/>
    </row>
    <row r="4" spans="1:6" ht="15.75" x14ac:dyDescent="0.2">
      <c r="A4" s="8" t="s">
        <v>80</v>
      </c>
      <c r="B4" s="5">
        <v>600</v>
      </c>
      <c r="C4" s="1"/>
      <c r="D4" s="1"/>
      <c r="E4" s="1"/>
      <c r="F4" s="2"/>
    </row>
    <row r="5" spans="1:6" ht="15.75" x14ac:dyDescent="0.2">
      <c r="A5" s="8"/>
      <c r="B5" s="8"/>
      <c r="C5" s="1"/>
      <c r="D5" s="1"/>
      <c r="E5" s="1"/>
      <c r="F5" s="2"/>
    </row>
    <row r="6" spans="1:6" ht="15.75" x14ac:dyDescent="0.2">
      <c r="A6" s="8" t="s">
        <v>15</v>
      </c>
      <c r="B6" s="36">
        <v>11</v>
      </c>
      <c r="C6" s="2"/>
      <c r="D6" s="2"/>
      <c r="E6" s="2"/>
      <c r="F6" s="2"/>
    </row>
    <row r="7" spans="1:6" ht="15.75" x14ac:dyDescent="0.2">
      <c r="A7" s="8" t="s">
        <v>16</v>
      </c>
      <c r="B7" s="37">
        <v>6.6470000000000001E-2</v>
      </c>
      <c r="C7" s="2"/>
      <c r="D7" s="2"/>
      <c r="E7" s="2"/>
      <c r="F7" s="2"/>
    </row>
    <row r="8" spans="1:6" ht="15.75" x14ac:dyDescent="0.2">
      <c r="A8" s="8" t="s">
        <v>17</v>
      </c>
      <c r="B8" s="36">
        <v>38.15</v>
      </c>
      <c r="C8" s="2"/>
      <c r="D8" s="2"/>
      <c r="E8" s="2"/>
      <c r="F8" s="2"/>
    </row>
    <row r="9" spans="1:6" ht="18.75" x14ac:dyDescent="0.2">
      <c r="A9" s="8" t="s">
        <v>83</v>
      </c>
      <c r="B9" s="37">
        <v>0.10094000000000002</v>
      </c>
      <c r="C9" s="2"/>
      <c r="D9" s="2"/>
      <c r="E9" s="2"/>
      <c r="F9" s="2"/>
    </row>
    <row r="10" spans="1:6" ht="18.75" x14ac:dyDescent="0.2">
      <c r="A10" s="8" t="s">
        <v>84</v>
      </c>
      <c r="B10" s="37">
        <v>0.18212999999999999</v>
      </c>
      <c r="C10" s="2"/>
      <c r="D10" s="2"/>
      <c r="E10" s="2"/>
      <c r="F10" s="2"/>
    </row>
    <row r="11" spans="1:6" ht="15.75" x14ac:dyDescent="0.2">
      <c r="A11" s="8" t="s">
        <v>18</v>
      </c>
      <c r="B11" s="37">
        <v>0.34953999999999996</v>
      </c>
      <c r="C11" s="2"/>
      <c r="D11" s="2"/>
      <c r="E11" s="2"/>
      <c r="F11" s="2"/>
    </row>
    <row r="12" spans="1:6" ht="15.75" x14ac:dyDescent="0.2">
      <c r="A12" s="8"/>
      <c r="B12" s="8"/>
      <c r="C12" s="2"/>
      <c r="D12" s="2"/>
      <c r="E12" s="2"/>
      <c r="F12" s="2"/>
    </row>
    <row r="13" spans="1:6" ht="18.75" x14ac:dyDescent="0.2">
      <c r="A13" s="8" t="s">
        <v>85</v>
      </c>
      <c r="B13" s="38">
        <v>0.60599999999999998</v>
      </c>
      <c r="C13" s="2"/>
      <c r="D13" s="2"/>
      <c r="E13" s="2"/>
      <c r="F13" s="1"/>
    </row>
    <row r="14" spans="1:6" ht="15.75" x14ac:dyDescent="0.2">
      <c r="A14" s="8"/>
      <c r="B14" s="8"/>
      <c r="C14" s="1"/>
      <c r="D14" s="1"/>
      <c r="E14" s="1"/>
      <c r="F14" s="1"/>
    </row>
    <row r="15" spans="1:6" ht="15.75" x14ac:dyDescent="0.2">
      <c r="A15" s="8" t="s">
        <v>19</v>
      </c>
      <c r="B15" s="8">
        <f>SUM('Bill Frequency Data R1'!$E$2:$E$49)</f>
        <v>1089873</v>
      </c>
      <c r="C15" s="39"/>
      <c r="D15" s="39"/>
      <c r="E15" s="39"/>
      <c r="F15" s="1"/>
    </row>
    <row r="16" spans="1:6" ht="15.75" x14ac:dyDescent="0.2">
      <c r="A16" s="8" t="s">
        <v>20</v>
      </c>
      <c r="B16" s="8">
        <f>SUMIF('Bill Frequency Data R1'!$D$2:$D$49,"higher",'Bill Frequency Data R1'!$E$2:$E$49)</f>
        <v>405546</v>
      </c>
      <c r="C16" s="39"/>
      <c r="D16" s="39"/>
      <c r="E16" s="39"/>
      <c r="F16" s="10"/>
    </row>
    <row r="17" spans="1:6" ht="15.75" x14ac:dyDescent="0.2">
      <c r="A17" s="11" t="s">
        <v>21</v>
      </c>
      <c r="B17" s="11">
        <f>SUMIF('Bill Frequency Data R1'!$D$2:$D$49,"Higher",'Bill Frequency Data R1'!$J$2:$J$49)</f>
        <v>1198.1691965892894</v>
      </c>
      <c r="C17" s="39"/>
      <c r="D17" s="39"/>
      <c r="E17" s="39"/>
      <c r="F17" s="1"/>
    </row>
    <row r="18" spans="1:6" ht="15.75" x14ac:dyDescent="0.2">
      <c r="A18" s="1"/>
      <c r="B18" s="1"/>
      <c r="C18" s="1"/>
      <c r="D18" s="1"/>
      <c r="E18" s="1"/>
      <c r="F18" s="1"/>
    </row>
    <row r="19" spans="1:6" ht="15.75" x14ac:dyDescent="0.2">
      <c r="A19" s="12" t="s">
        <v>14</v>
      </c>
      <c r="B19" s="13"/>
      <c r="C19" s="1"/>
      <c r="D19" s="14"/>
      <c r="E19" s="14"/>
      <c r="F19" s="1"/>
    </row>
    <row r="20" spans="1:6" ht="15.75" x14ac:dyDescent="0.2">
      <c r="A20" s="5"/>
      <c r="B20" s="15" t="s">
        <v>0</v>
      </c>
      <c r="C20" s="16"/>
      <c r="D20" s="1"/>
      <c r="E20" s="1"/>
      <c r="F20" s="1"/>
    </row>
    <row r="21" spans="1:6" ht="15.75" x14ac:dyDescent="0.2">
      <c r="A21" s="8" t="s">
        <v>22</v>
      </c>
      <c r="B21" s="9">
        <f>B$17</f>
        <v>1198.1691965892894</v>
      </c>
      <c r="C21" s="7"/>
      <c r="D21" s="1"/>
      <c r="E21" s="1"/>
      <c r="F21" s="1"/>
    </row>
    <row r="22" spans="1:6" ht="15.75" x14ac:dyDescent="0.2">
      <c r="A22" s="17" t="s">
        <v>1</v>
      </c>
      <c r="B22" s="6">
        <f>($B21*B$11)+B$6</f>
        <v>429.80806097582018</v>
      </c>
      <c r="C22" s="1"/>
      <c r="D22" s="1"/>
      <c r="E22" s="1"/>
      <c r="F22" s="1"/>
    </row>
    <row r="23" spans="1:6" ht="15.75" x14ac:dyDescent="0.2">
      <c r="A23" s="17" t="s">
        <v>2</v>
      </c>
      <c r="B23" s="6">
        <f>($B21*B$9)+($B21*B$10)+B$6+B$8</f>
        <v>388.31575447853015</v>
      </c>
      <c r="C23" s="1"/>
      <c r="D23" s="1"/>
      <c r="E23" s="1"/>
      <c r="F23" s="1"/>
    </row>
    <row r="24" spans="1:6" ht="15.75" x14ac:dyDescent="0.2">
      <c r="A24" s="17" t="s">
        <v>3</v>
      </c>
      <c r="B24" s="6">
        <f>B22-B23</f>
        <v>41.492306497290031</v>
      </c>
      <c r="C24" s="18"/>
      <c r="D24" s="1"/>
      <c r="E24" s="1"/>
      <c r="F24" s="1"/>
    </row>
    <row r="25" spans="1:6" ht="15.75" x14ac:dyDescent="0.2">
      <c r="A25" s="17" t="s">
        <v>4</v>
      </c>
      <c r="B25" s="19">
        <f>B24*12</f>
        <v>497.90767796748037</v>
      </c>
      <c r="C25" s="1"/>
      <c r="D25" s="1"/>
      <c r="E25" s="1"/>
      <c r="F25" s="10"/>
    </row>
    <row r="26" spans="1:6" ht="15.75" x14ac:dyDescent="0.2">
      <c r="A26" s="20" t="s">
        <v>5</v>
      </c>
      <c r="B26" s="21">
        <f>B24/B22</f>
        <v>9.653682716672983E-2</v>
      </c>
      <c r="C26" s="1"/>
      <c r="D26" s="1"/>
      <c r="E26" s="1"/>
      <c r="F26" s="22"/>
    </row>
    <row r="27" spans="1:6" ht="15.75" x14ac:dyDescent="0.2">
      <c r="A27" s="23"/>
      <c r="B27" s="1"/>
      <c r="C27" s="1"/>
      <c r="D27" s="1"/>
      <c r="E27" s="1"/>
      <c r="F27" s="24"/>
    </row>
    <row r="28" spans="1:6" ht="15.75" x14ac:dyDescent="0.2">
      <c r="A28" s="12" t="s">
        <v>7</v>
      </c>
      <c r="B28" s="25"/>
      <c r="C28" s="25"/>
      <c r="D28" s="13"/>
      <c r="E28" s="1"/>
      <c r="F28" s="1"/>
    </row>
    <row r="29" spans="1:6" ht="15.75" x14ac:dyDescent="0.2">
      <c r="A29" s="5" t="s">
        <v>23</v>
      </c>
      <c r="B29" s="28">
        <v>1</v>
      </c>
      <c r="C29" s="29">
        <v>0.3</v>
      </c>
      <c r="D29" s="30">
        <v>0.15</v>
      </c>
      <c r="E29" s="26"/>
      <c r="F29" s="7"/>
    </row>
    <row r="30" spans="1:6" ht="15.75" x14ac:dyDescent="0.2">
      <c r="A30" s="8" t="s">
        <v>10</v>
      </c>
      <c r="B30" s="24">
        <f>B$31/$B$15</f>
        <v>0.37210390568442381</v>
      </c>
      <c r="C30" s="24">
        <f>C$31/$B$15</f>
        <v>0.11163117170532712</v>
      </c>
      <c r="D30" s="27">
        <f>D$31/$B$15</f>
        <v>5.5815585852663559E-2</v>
      </c>
      <c r="E30" s="24"/>
      <c r="F30" s="7"/>
    </row>
    <row r="31" spans="1:6" ht="15.75" x14ac:dyDescent="0.2">
      <c r="A31" s="8" t="s">
        <v>8</v>
      </c>
      <c r="B31" s="1">
        <f>$B$16*B$29</f>
        <v>405546</v>
      </c>
      <c r="C31" s="1">
        <f>$B$16*C$29</f>
        <v>121663.79999999999</v>
      </c>
      <c r="D31" s="9">
        <f>$B$16*D$29</f>
        <v>60831.899999999994</v>
      </c>
      <c r="E31" s="1"/>
      <c r="F31" s="7"/>
    </row>
    <row r="32" spans="1:6" ht="15.75" x14ac:dyDescent="0.2">
      <c r="A32" s="8" t="s">
        <v>9</v>
      </c>
      <c r="B32" s="7">
        <f>B$31*$B$24</f>
        <v>16827038.930749983</v>
      </c>
      <c r="C32" s="7">
        <f>C$31*$B$24</f>
        <v>5048111.679224994</v>
      </c>
      <c r="D32" s="6">
        <f>D$31*$B$24</f>
        <v>2524055.839612497</v>
      </c>
      <c r="E32" s="7"/>
      <c r="F32" s="7"/>
    </row>
    <row r="33" spans="1:7" ht="15.75" x14ac:dyDescent="0.2">
      <c r="A33" s="8" t="s">
        <v>11</v>
      </c>
      <c r="B33" s="7">
        <f>B$32*$B$13</f>
        <v>10197185.592034489</v>
      </c>
      <c r="C33" s="7">
        <f>C$32*$B$13</f>
        <v>3059155.6776103461</v>
      </c>
      <c r="D33" s="6">
        <f>D$32*$B$13</f>
        <v>1529577.8388051731</v>
      </c>
      <c r="E33" s="7"/>
      <c r="F33" s="1"/>
    </row>
    <row r="34" spans="1:7" ht="15.75" x14ac:dyDescent="0.2">
      <c r="A34" s="8" t="s">
        <v>12</v>
      </c>
      <c r="B34" s="7">
        <f>B$33/$B$15</f>
        <v>9.3563062779190691</v>
      </c>
      <c r="C34" s="7">
        <f>C$33/$B$15</f>
        <v>2.8068918833757199</v>
      </c>
      <c r="D34" s="6">
        <f>D$33/$B$15</f>
        <v>1.40344594168786</v>
      </c>
      <c r="E34" s="7"/>
      <c r="F34" s="1"/>
    </row>
    <row r="35" spans="1:7" ht="15.75" x14ac:dyDescent="0.2">
      <c r="A35" s="8" t="s">
        <v>13</v>
      </c>
      <c r="B35" s="7">
        <f>B$34*12</f>
        <v>112.27567533502884</v>
      </c>
      <c r="C35" s="7">
        <f>C$34*12</f>
        <v>33.682702600508641</v>
      </c>
      <c r="D35" s="6">
        <f>D$34*12</f>
        <v>16.84135130025432</v>
      </c>
      <c r="E35" s="40"/>
      <c r="F35" s="40"/>
      <c r="G35" s="41"/>
    </row>
    <row r="36" spans="1:7" ht="15.75" x14ac:dyDescent="0.2">
      <c r="A36" s="8" t="s">
        <v>81</v>
      </c>
      <c r="B36" s="7">
        <f>($B$6+($B$4*$B$11))*12</f>
        <v>2648.6880000000001</v>
      </c>
      <c r="C36" s="7">
        <f t="shared" ref="C36:D36" si="0">($B$6+($B$4*$B$11))*12</f>
        <v>2648.6880000000001</v>
      </c>
      <c r="D36" s="6">
        <f t="shared" si="0"/>
        <v>2648.6880000000001</v>
      </c>
      <c r="E36" s="1"/>
      <c r="F36" s="1"/>
    </row>
    <row r="37" spans="1:7" ht="15.75" x14ac:dyDescent="0.2">
      <c r="A37" s="11" t="s">
        <v>82</v>
      </c>
      <c r="B37" s="31">
        <f>B35/B36</f>
        <v>4.2389166007860808E-2</v>
      </c>
      <c r="C37" s="31">
        <f t="shared" ref="C37:D37" si="1">C35/C36</f>
        <v>1.2716749802358238E-2</v>
      </c>
      <c r="D37" s="32">
        <f t="shared" si="1"/>
        <v>6.3583749011791191E-3</v>
      </c>
      <c r="E37" s="1"/>
      <c r="F37" s="1"/>
    </row>
    <row r="38" spans="1:7" ht="15.75" x14ac:dyDescent="0.2">
      <c r="A38" s="1"/>
      <c r="B38" s="1"/>
      <c r="C38" s="1"/>
      <c r="D38" s="1"/>
      <c r="E38" s="1"/>
      <c r="F38" s="1"/>
    </row>
    <row r="39" spans="1:7" ht="37.5" customHeight="1" x14ac:dyDescent="0.25">
      <c r="A39" s="55" t="s">
        <v>87</v>
      </c>
      <c r="B39" s="55"/>
      <c r="C39" s="55"/>
      <c r="D39" s="55"/>
      <c r="E39" s="55"/>
      <c r="F39" s="55"/>
    </row>
    <row r="40" spans="1:7" ht="27.75" customHeight="1" x14ac:dyDescent="0.25">
      <c r="A40" s="55" t="s">
        <v>88</v>
      </c>
      <c r="B40" s="55"/>
      <c r="C40" s="55"/>
      <c r="D40" s="55"/>
      <c r="E40" s="55"/>
      <c r="F40" s="55"/>
    </row>
    <row r="41" spans="1:7" ht="33.75" customHeight="1" x14ac:dyDescent="0.25">
      <c r="A41" s="55" t="s">
        <v>86</v>
      </c>
      <c r="B41" s="55"/>
      <c r="C41" s="55"/>
      <c r="D41" s="55"/>
      <c r="E41" s="55"/>
      <c r="F41" s="55"/>
    </row>
  </sheetData>
  <mergeCells count="3">
    <mergeCell ref="A39:F39"/>
    <mergeCell ref="A40:F40"/>
    <mergeCell ref="A41:F41"/>
  </mergeCells>
  <pageMargins left="0.7" right="0.7" top="0.75" bottom="0.75" header="0.3" footer="0.3"/>
  <pageSetup scale="49" orientation="portrait" r:id="rId1"/>
  <headerFooter>
    <oddHeader>&amp;C&amp;A&amp;RMassachusetts Electric Company
Nantucket Electric Company
each d/b/a National Grid
D.P.U. 23-150
Attachment DPU-39-8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9624-4F79-4C92-A0F0-60E02BD629F1}">
  <sheetPr>
    <pageSetUpPr autoPageBreaks="0"/>
  </sheetPr>
  <dimension ref="A1:J55"/>
  <sheetViews>
    <sheetView view="pageLayout" zoomScaleNormal="100" workbookViewId="0">
      <selection activeCell="L4" sqref="L4"/>
    </sheetView>
  </sheetViews>
  <sheetFormatPr defaultRowHeight="12.75" x14ac:dyDescent="0.2"/>
  <cols>
    <col min="1" max="1" width="18" style="34" customWidth="1"/>
    <col min="2" max="2" width="10.28515625" style="33" customWidth="1"/>
    <col min="3" max="3" width="9.140625" style="33"/>
    <col min="4" max="4" width="12.5703125" style="33" customWidth="1"/>
    <col min="5" max="5" width="16.28515625" style="33" customWidth="1"/>
    <col min="6" max="6" width="13.7109375" style="33" customWidth="1"/>
    <col min="7" max="7" width="12.42578125" style="33" customWidth="1"/>
    <col min="8" max="8" width="15.42578125" style="33" customWidth="1"/>
    <col min="9" max="9" width="18.140625" style="33" customWidth="1"/>
    <col min="10" max="10" width="19.7109375" style="33" customWidth="1"/>
    <col min="11" max="255" width="9.140625" style="33"/>
    <col min="256" max="256" width="13.7109375" style="33" customWidth="1"/>
    <col min="257" max="257" width="16.85546875" style="33" customWidth="1"/>
    <col min="258" max="258" width="14" style="33" customWidth="1"/>
    <col min="259" max="511" width="9.140625" style="33"/>
    <col min="512" max="512" width="13.7109375" style="33" customWidth="1"/>
    <col min="513" max="513" width="16.85546875" style="33" customWidth="1"/>
    <col min="514" max="514" width="14" style="33" customWidth="1"/>
    <col min="515" max="767" width="9.140625" style="33"/>
    <col min="768" max="768" width="13.7109375" style="33" customWidth="1"/>
    <col min="769" max="769" width="16.85546875" style="33" customWidth="1"/>
    <col min="770" max="770" width="14" style="33" customWidth="1"/>
    <col min="771" max="1023" width="9.140625" style="33"/>
    <col min="1024" max="1024" width="13.7109375" style="33" customWidth="1"/>
    <col min="1025" max="1025" width="16.85546875" style="33" customWidth="1"/>
    <col min="1026" max="1026" width="14" style="33" customWidth="1"/>
    <col min="1027" max="1279" width="9.140625" style="33"/>
    <col min="1280" max="1280" width="13.7109375" style="33" customWidth="1"/>
    <col min="1281" max="1281" width="16.85546875" style="33" customWidth="1"/>
    <col min="1282" max="1282" width="14" style="33" customWidth="1"/>
    <col min="1283" max="1535" width="9.140625" style="33"/>
    <col min="1536" max="1536" width="13.7109375" style="33" customWidth="1"/>
    <col min="1537" max="1537" width="16.85546875" style="33" customWidth="1"/>
    <col min="1538" max="1538" width="14" style="33" customWidth="1"/>
    <col min="1539" max="1791" width="9.140625" style="33"/>
    <col min="1792" max="1792" width="13.7109375" style="33" customWidth="1"/>
    <col min="1793" max="1793" width="16.85546875" style="33" customWidth="1"/>
    <col min="1794" max="1794" width="14" style="33" customWidth="1"/>
    <col min="1795" max="2047" width="9.140625" style="33"/>
    <col min="2048" max="2048" width="13.7109375" style="33" customWidth="1"/>
    <col min="2049" max="2049" width="16.85546875" style="33" customWidth="1"/>
    <col min="2050" max="2050" width="14" style="33" customWidth="1"/>
    <col min="2051" max="2303" width="9.140625" style="33"/>
    <col min="2304" max="2304" width="13.7109375" style="33" customWidth="1"/>
    <col min="2305" max="2305" width="16.85546875" style="33" customWidth="1"/>
    <col min="2306" max="2306" width="14" style="33" customWidth="1"/>
    <col min="2307" max="2559" width="9.140625" style="33"/>
    <col min="2560" max="2560" width="13.7109375" style="33" customWidth="1"/>
    <col min="2561" max="2561" width="16.85546875" style="33" customWidth="1"/>
    <col min="2562" max="2562" width="14" style="33" customWidth="1"/>
    <col min="2563" max="2815" width="9.140625" style="33"/>
    <col min="2816" max="2816" width="13.7109375" style="33" customWidth="1"/>
    <col min="2817" max="2817" width="16.85546875" style="33" customWidth="1"/>
    <col min="2818" max="2818" width="14" style="33" customWidth="1"/>
    <col min="2819" max="3071" width="9.140625" style="33"/>
    <col min="3072" max="3072" width="13.7109375" style="33" customWidth="1"/>
    <col min="3073" max="3073" width="16.85546875" style="33" customWidth="1"/>
    <col min="3074" max="3074" width="14" style="33" customWidth="1"/>
    <col min="3075" max="3327" width="9.140625" style="33"/>
    <col min="3328" max="3328" width="13.7109375" style="33" customWidth="1"/>
    <col min="3329" max="3329" width="16.85546875" style="33" customWidth="1"/>
    <col min="3330" max="3330" width="14" style="33" customWidth="1"/>
    <col min="3331" max="3583" width="9.140625" style="33"/>
    <col min="3584" max="3584" width="13.7109375" style="33" customWidth="1"/>
    <col min="3585" max="3585" width="16.85546875" style="33" customWidth="1"/>
    <col min="3586" max="3586" width="14" style="33" customWidth="1"/>
    <col min="3587" max="3839" width="9.140625" style="33"/>
    <col min="3840" max="3840" width="13.7109375" style="33" customWidth="1"/>
    <col min="3841" max="3841" width="16.85546875" style="33" customWidth="1"/>
    <col min="3842" max="3842" width="14" style="33" customWidth="1"/>
    <col min="3843" max="4095" width="9.140625" style="33"/>
    <col min="4096" max="4096" width="13.7109375" style="33" customWidth="1"/>
    <col min="4097" max="4097" width="16.85546875" style="33" customWidth="1"/>
    <col min="4098" max="4098" width="14" style="33" customWidth="1"/>
    <col min="4099" max="4351" width="9.140625" style="33"/>
    <col min="4352" max="4352" width="13.7109375" style="33" customWidth="1"/>
    <col min="4353" max="4353" width="16.85546875" style="33" customWidth="1"/>
    <col min="4354" max="4354" width="14" style="33" customWidth="1"/>
    <col min="4355" max="4607" width="9.140625" style="33"/>
    <col min="4608" max="4608" width="13.7109375" style="33" customWidth="1"/>
    <col min="4609" max="4609" width="16.85546875" style="33" customWidth="1"/>
    <col min="4610" max="4610" width="14" style="33" customWidth="1"/>
    <col min="4611" max="4863" width="9.140625" style="33"/>
    <col min="4864" max="4864" width="13.7109375" style="33" customWidth="1"/>
    <col min="4865" max="4865" width="16.85546875" style="33" customWidth="1"/>
    <col min="4866" max="4866" width="14" style="33" customWidth="1"/>
    <col min="4867" max="5119" width="9.140625" style="33"/>
    <col min="5120" max="5120" width="13.7109375" style="33" customWidth="1"/>
    <col min="5121" max="5121" width="16.85546875" style="33" customWidth="1"/>
    <col min="5122" max="5122" width="14" style="33" customWidth="1"/>
    <col min="5123" max="5375" width="9.140625" style="33"/>
    <col min="5376" max="5376" width="13.7109375" style="33" customWidth="1"/>
    <col min="5377" max="5377" width="16.85546875" style="33" customWidth="1"/>
    <col min="5378" max="5378" width="14" style="33" customWidth="1"/>
    <col min="5379" max="5631" width="9.140625" style="33"/>
    <col min="5632" max="5632" width="13.7109375" style="33" customWidth="1"/>
    <col min="5633" max="5633" width="16.85546875" style="33" customWidth="1"/>
    <col min="5634" max="5634" width="14" style="33" customWidth="1"/>
    <col min="5635" max="5887" width="9.140625" style="33"/>
    <col min="5888" max="5888" width="13.7109375" style="33" customWidth="1"/>
    <col min="5889" max="5889" width="16.85546875" style="33" customWidth="1"/>
    <col min="5890" max="5890" width="14" style="33" customWidth="1"/>
    <col min="5891" max="6143" width="9.140625" style="33"/>
    <col min="6144" max="6144" width="13.7109375" style="33" customWidth="1"/>
    <col min="6145" max="6145" width="16.85546875" style="33" customWidth="1"/>
    <col min="6146" max="6146" width="14" style="33" customWidth="1"/>
    <col min="6147" max="6399" width="9.140625" style="33"/>
    <col min="6400" max="6400" width="13.7109375" style="33" customWidth="1"/>
    <col min="6401" max="6401" width="16.85546875" style="33" customWidth="1"/>
    <col min="6402" max="6402" width="14" style="33" customWidth="1"/>
    <col min="6403" max="6655" width="9.140625" style="33"/>
    <col min="6656" max="6656" width="13.7109375" style="33" customWidth="1"/>
    <col min="6657" max="6657" width="16.85546875" style="33" customWidth="1"/>
    <col min="6658" max="6658" width="14" style="33" customWidth="1"/>
    <col min="6659" max="6911" width="9.140625" style="33"/>
    <col min="6912" max="6912" width="13.7109375" style="33" customWidth="1"/>
    <col min="6913" max="6913" width="16.85546875" style="33" customWidth="1"/>
    <col min="6914" max="6914" width="14" style="33" customWidth="1"/>
    <col min="6915" max="7167" width="9.140625" style="33"/>
    <col min="7168" max="7168" width="13.7109375" style="33" customWidth="1"/>
    <col min="7169" max="7169" width="16.85546875" style="33" customWidth="1"/>
    <col min="7170" max="7170" width="14" style="33" customWidth="1"/>
    <col min="7171" max="7423" width="9.140625" style="33"/>
    <col min="7424" max="7424" width="13.7109375" style="33" customWidth="1"/>
    <col min="7425" max="7425" width="16.85546875" style="33" customWidth="1"/>
    <col min="7426" max="7426" width="14" style="33" customWidth="1"/>
    <col min="7427" max="7679" width="9.140625" style="33"/>
    <col min="7680" max="7680" width="13.7109375" style="33" customWidth="1"/>
    <col min="7681" max="7681" width="16.85546875" style="33" customWidth="1"/>
    <col min="7682" max="7682" width="14" style="33" customWidth="1"/>
    <col min="7683" max="7935" width="9.140625" style="33"/>
    <col min="7936" max="7936" width="13.7109375" style="33" customWidth="1"/>
    <col min="7937" max="7937" width="16.85546875" style="33" customWidth="1"/>
    <col min="7938" max="7938" width="14" style="33" customWidth="1"/>
    <col min="7939" max="8191" width="9.140625" style="33"/>
    <col min="8192" max="8192" width="13.7109375" style="33" customWidth="1"/>
    <col min="8193" max="8193" width="16.85546875" style="33" customWidth="1"/>
    <col min="8194" max="8194" width="14" style="33" customWidth="1"/>
    <col min="8195" max="8447" width="9.140625" style="33"/>
    <col min="8448" max="8448" width="13.7109375" style="33" customWidth="1"/>
    <col min="8449" max="8449" width="16.85546875" style="33" customWidth="1"/>
    <col min="8450" max="8450" width="14" style="33" customWidth="1"/>
    <col min="8451" max="8703" width="9.140625" style="33"/>
    <col min="8704" max="8704" width="13.7109375" style="33" customWidth="1"/>
    <col min="8705" max="8705" width="16.85546875" style="33" customWidth="1"/>
    <col min="8706" max="8706" width="14" style="33" customWidth="1"/>
    <col min="8707" max="8959" width="9.140625" style="33"/>
    <col min="8960" max="8960" width="13.7109375" style="33" customWidth="1"/>
    <col min="8961" max="8961" width="16.85546875" style="33" customWidth="1"/>
    <col min="8962" max="8962" width="14" style="33" customWidth="1"/>
    <col min="8963" max="9215" width="9.140625" style="33"/>
    <col min="9216" max="9216" width="13.7109375" style="33" customWidth="1"/>
    <col min="9217" max="9217" width="16.85546875" style="33" customWidth="1"/>
    <col min="9218" max="9218" width="14" style="33" customWidth="1"/>
    <col min="9219" max="9471" width="9.140625" style="33"/>
    <col min="9472" max="9472" width="13.7109375" style="33" customWidth="1"/>
    <col min="9473" max="9473" width="16.85546875" style="33" customWidth="1"/>
    <col min="9474" max="9474" width="14" style="33" customWidth="1"/>
    <col min="9475" max="9727" width="9.140625" style="33"/>
    <col min="9728" max="9728" width="13.7109375" style="33" customWidth="1"/>
    <col min="9729" max="9729" width="16.85546875" style="33" customWidth="1"/>
    <col min="9730" max="9730" width="14" style="33" customWidth="1"/>
    <col min="9731" max="9983" width="9.140625" style="33"/>
    <col min="9984" max="9984" width="13.7109375" style="33" customWidth="1"/>
    <col min="9985" max="9985" width="16.85546875" style="33" customWidth="1"/>
    <col min="9986" max="9986" width="14" style="33" customWidth="1"/>
    <col min="9987" max="10239" width="9.140625" style="33"/>
    <col min="10240" max="10240" width="13.7109375" style="33" customWidth="1"/>
    <col min="10241" max="10241" width="16.85546875" style="33" customWidth="1"/>
    <col min="10242" max="10242" width="14" style="33" customWidth="1"/>
    <col min="10243" max="10495" width="9.140625" style="33"/>
    <col min="10496" max="10496" width="13.7109375" style="33" customWidth="1"/>
    <col min="10497" max="10497" width="16.85546875" style="33" customWidth="1"/>
    <col min="10498" max="10498" width="14" style="33" customWidth="1"/>
    <col min="10499" max="10751" width="9.140625" style="33"/>
    <col min="10752" max="10752" width="13.7109375" style="33" customWidth="1"/>
    <col min="10753" max="10753" width="16.85546875" style="33" customWidth="1"/>
    <col min="10754" max="10754" width="14" style="33" customWidth="1"/>
    <col min="10755" max="11007" width="9.140625" style="33"/>
    <col min="11008" max="11008" width="13.7109375" style="33" customWidth="1"/>
    <col min="11009" max="11009" width="16.85546875" style="33" customWidth="1"/>
    <col min="11010" max="11010" width="14" style="33" customWidth="1"/>
    <col min="11011" max="11263" width="9.140625" style="33"/>
    <col min="11264" max="11264" width="13.7109375" style="33" customWidth="1"/>
    <col min="11265" max="11265" width="16.85546875" style="33" customWidth="1"/>
    <col min="11266" max="11266" width="14" style="33" customWidth="1"/>
    <col min="11267" max="11519" width="9.140625" style="33"/>
    <col min="11520" max="11520" width="13.7109375" style="33" customWidth="1"/>
    <col min="11521" max="11521" width="16.85546875" style="33" customWidth="1"/>
    <col min="11522" max="11522" width="14" style="33" customWidth="1"/>
    <col min="11523" max="11775" width="9.140625" style="33"/>
    <col min="11776" max="11776" width="13.7109375" style="33" customWidth="1"/>
    <col min="11777" max="11777" width="16.85546875" style="33" customWidth="1"/>
    <col min="11778" max="11778" width="14" style="33" customWidth="1"/>
    <col min="11779" max="12031" width="9.140625" style="33"/>
    <col min="12032" max="12032" width="13.7109375" style="33" customWidth="1"/>
    <col min="12033" max="12033" width="16.85546875" style="33" customWidth="1"/>
    <col min="12034" max="12034" width="14" style="33" customWidth="1"/>
    <col min="12035" max="12287" width="9.140625" style="33"/>
    <col min="12288" max="12288" width="13.7109375" style="33" customWidth="1"/>
    <col min="12289" max="12289" width="16.85546875" style="33" customWidth="1"/>
    <col min="12290" max="12290" width="14" style="33" customWidth="1"/>
    <col min="12291" max="12543" width="9.140625" style="33"/>
    <col min="12544" max="12544" width="13.7109375" style="33" customWidth="1"/>
    <col min="12545" max="12545" width="16.85546875" style="33" customWidth="1"/>
    <col min="12546" max="12546" width="14" style="33" customWidth="1"/>
    <col min="12547" max="12799" width="9.140625" style="33"/>
    <col min="12800" max="12800" width="13.7109375" style="33" customWidth="1"/>
    <col min="12801" max="12801" width="16.85546875" style="33" customWidth="1"/>
    <col min="12802" max="12802" width="14" style="33" customWidth="1"/>
    <col min="12803" max="13055" width="9.140625" style="33"/>
    <col min="13056" max="13056" width="13.7109375" style="33" customWidth="1"/>
    <col min="13057" max="13057" width="16.85546875" style="33" customWidth="1"/>
    <col min="13058" max="13058" width="14" style="33" customWidth="1"/>
    <col min="13059" max="13311" width="9.140625" style="33"/>
    <col min="13312" max="13312" width="13.7109375" style="33" customWidth="1"/>
    <col min="13313" max="13313" width="16.85546875" style="33" customWidth="1"/>
    <col min="13314" max="13314" width="14" style="33" customWidth="1"/>
    <col min="13315" max="13567" width="9.140625" style="33"/>
    <col min="13568" max="13568" width="13.7109375" style="33" customWidth="1"/>
    <col min="13569" max="13569" width="16.85546875" style="33" customWidth="1"/>
    <col min="13570" max="13570" width="14" style="33" customWidth="1"/>
    <col min="13571" max="13823" width="9.140625" style="33"/>
    <col min="13824" max="13824" width="13.7109375" style="33" customWidth="1"/>
    <col min="13825" max="13825" width="16.85546875" style="33" customWidth="1"/>
    <col min="13826" max="13826" width="14" style="33" customWidth="1"/>
    <col min="13827" max="14079" width="9.140625" style="33"/>
    <col min="14080" max="14080" width="13.7109375" style="33" customWidth="1"/>
    <col min="14081" max="14081" width="16.85546875" style="33" customWidth="1"/>
    <col min="14082" max="14082" width="14" style="33" customWidth="1"/>
    <col min="14083" max="14335" width="9.140625" style="33"/>
    <col min="14336" max="14336" width="13.7109375" style="33" customWidth="1"/>
    <col min="14337" max="14337" width="16.85546875" style="33" customWidth="1"/>
    <col min="14338" max="14338" width="14" style="33" customWidth="1"/>
    <col min="14339" max="14591" width="9.140625" style="33"/>
    <col min="14592" max="14592" width="13.7109375" style="33" customWidth="1"/>
    <col min="14593" max="14593" width="16.85546875" style="33" customWidth="1"/>
    <col min="14594" max="14594" width="14" style="33" customWidth="1"/>
    <col min="14595" max="14847" width="9.140625" style="33"/>
    <col min="14848" max="14848" width="13.7109375" style="33" customWidth="1"/>
    <col min="14849" max="14849" width="16.85546875" style="33" customWidth="1"/>
    <col min="14850" max="14850" width="14" style="33" customWidth="1"/>
    <col min="14851" max="15103" width="9.140625" style="33"/>
    <col min="15104" max="15104" width="13.7109375" style="33" customWidth="1"/>
    <col min="15105" max="15105" width="16.85546875" style="33" customWidth="1"/>
    <col min="15106" max="15106" width="14" style="33" customWidth="1"/>
    <col min="15107" max="15359" width="9.140625" style="33"/>
    <col min="15360" max="15360" width="13.7109375" style="33" customWidth="1"/>
    <col min="15361" max="15361" width="16.85546875" style="33" customWidth="1"/>
    <col min="15362" max="15362" width="14" style="33" customWidth="1"/>
    <col min="15363" max="15615" width="9.140625" style="33"/>
    <col min="15616" max="15616" width="13.7109375" style="33" customWidth="1"/>
    <col min="15617" max="15617" width="16.85546875" style="33" customWidth="1"/>
    <col min="15618" max="15618" width="14" style="33" customWidth="1"/>
    <col min="15619" max="15871" width="9.140625" style="33"/>
    <col min="15872" max="15872" width="13.7109375" style="33" customWidth="1"/>
    <col min="15873" max="15873" width="16.85546875" style="33" customWidth="1"/>
    <col min="15874" max="15874" width="14" style="33" customWidth="1"/>
    <col min="15875" max="16127" width="9.140625" style="33"/>
    <col min="16128" max="16128" width="13.7109375" style="33" customWidth="1"/>
    <col min="16129" max="16129" width="16.85546875" style="33" customWidth="1"/>
    <col min="16130" max="16130" width="14" style="33" customWidth="1"/>
    <col min="16131" max="16384" width="9.140625" style="33"/>
  </cols>
  <sheetData>
    <row r="1" spans="1:10" ht="79.5" thickBot="1" x14ac:dyDescent="0.25">
      <c r="A1" s="42" t="s">
        <v>89</v>
      </c>
      <c r="B1" s="42" t="s">
        <v>24</v>
      </c>
      <c r="C1" s="42" t="s">
        <v>25</v>
      </c>
      <c r="D1" s="42" t="s">
        <v>26</v>
      </c>
      <c r="E1" s="43" t="s">
        <v>27</v>
      </c>
      <c r="F1" s="44" t="s">
        <v>28</v>
      </c>
      <c r="G1" s="44" t="s">
        <v>29</v>
      </c>
      <c r="H1" s="44" t="s">
        <v>90</v>
      </c>
      <c r="I1" s="44" t="s">
        <v>30</v>
      </c>
      <c r="J1" s="44" t="s">
        <v>31</v>
      </c>
    </row>
    <row r="2" spans="1:10" ht="15.75" x14ac:dyDescent="0.25">
      <c r="A2" s="45" t="s">
        <v>91</v>
      </c>
      <c r="B2" s="46">
        <v>0</v>
      </c>
      <c r="C2" s="46" t="s">
        <v>32</v>
      </c>
      <c r="D2" s="2" t="str">
        <f>IF(B2&lt;$B$14, "Lower","Higher")</f>
        <v>Lower</v>
      </c>
      <c r="E2" s="47">
        <v>27724</v>
      </c>
      <c r="F2" s="48">
        <f>E2/$E$50</f>
        <v>2.5437826242140138E-2</v>
      </c>
      <c r="G2" s="49">
        <f>F2</f>
        <v>2.5437826242140138E-2</v>
      </c>
      <c r="H2" s="50">
        <v>25</v>
      </c>
      <c r="I2" s="46" t="s">
        <v>33</v>
      </c>
      <c r="J2" s="46" t="s">
        <v>33</v>
      </c>
    </row>
    <row r="3" spans="1:10" ht="15.75" x14ac:dyDescent="0.25">
      <c r="A3" s="45" t="s">
        <v>92</v>
      </c>
      <c r="B3" s="51">
        <f>C2+1</f>
        <v>50</v>
      </c>
      <c r="C3" s="51">
        <f>B3+49</f>
        <v>99</v>
      </c>
      <c r="D3" s="2" t="str">
        <f t="shared" ref="D3:D49" si="0">IF(B3&lt;$B$14, "Lower","Higher")</f>
        <v>Lower</v>
      </c>
      <c r="E3" s="47">
        <v>27794</v>
      </c>
      <c r="F3" s="48">
        <f t="shared" ref="F3:F49" si="1">E3/$E$50</f>
        <v>2.5502053909033439E-2</v>
      </c>
      <c r="G3" s="49">
        <f>G2+F3</f>
        <v>5.093988015117358E-2</v>
      </c>
      <c r="H3" s="50">
        <v>75</v>
      </c>
      <c r="I3" s="46" t="s">
        <v>33</v>
      </c>
      <c r="J3" s="46" t="s">
        <v>33</v>
      </c>
    </row>
    <row r="4" spans="1:10" ht="15.75" x14ac:dyDescent="0.25">
      <c r="A4" s="45" t="s">
        <v>34</v>
      </c>
      <c r="B4" s="51">
        <f t="shared" ref="B4:B42" si="2">C3+1</f>
        <v>100</v>
      </c>
      <c r="C4" s="51">
        <f t="shared" ref="C4:C41" si="3">B4+49</f>
        <v>149</v>
      </c>
      <c r="D4" s="2" t="str">
        <f t="shared" si="0"/>
        <v>Lower</v>
      </c>
      <c r="E4" s="47">
        <v>43817</v>
      </c>
      <c r="F4" s="48">
        <f t="shared" si="1"/>
        <v>4.0203766860909484E-2</v>
      </c>
      <c r="G4" s="49">
        <f t="shared" ref="G4:G49" si="4">G3+F4</f>
        <v>9.1143647012083065E-2</v>
      </c>
      <c r="H4" s="50">
        <v>125</v>
      </c>
      <c r="I4" s="46" t="s">
        <v>33</v>
      </c>
      <c r="J4" s="46" t="s">
        <v>33</v>
      </c>
    </row>
    <row r="5" spans="1:10" ht="15.75" x14ac:dyDescent="0.25">
      <c r="A5" s="45" t="s">
        <v>35</v>
      </c>
      <c r="B5" s="51">
        <f t="shared" si="2"/>
        <v>150</v>
      </c>
      <c r="C5" s="51">
        <f t="shared" si="3"/>
        <v>199</v>
      </c>
      <c r="D5" s="2" t="str">
        <f t="shared" si="0"/>
        <v>Lower</v>
      </c>
      <c r="E5" s="47">
        <v>57713</v>
      </c>
      <c r="F5" s="48">
        <f t="shared" si="1"/>
        <v>5.2953876277327727E-2</v>
      </c>
      <c r="G5" s="49">
        <f t="shared" si="4"/>
        <v>0.14409752328941078</v>
      </c>
      <c r="H5" s="50">
        <v>175</v>
      </c>
      <c r="I5" s="46" t="s">
        <v>33</v>
      </c>
      <c r="J5" s="46" t="s">
        <v>33</v>
      </c>
    </row>
    <row r="6" spans="1:10" ht="15.75" x14ac:dyDescent="0.25">
      <c r="A6" s="45" t="s">
        <v>36</v>
      </c>
      <c r="B6" s="51">
        <f t="shared" si="2"/>
        <v>200</v>
      </c>
      <c r="C6" s="51">
        <f t="shared" si="3"/>
        <v>249</v>
      </c>
      <c r="D6" s="2" t="str">
        <f t="shared" si="0"/>
        <v>Lower</v>
      </c>
      <c r="E6" s="47">
        <v>66481</v>
      </c>
      <c r="F6" s="48">
        <f t="shared" si="1"/>
        <v>6.0998850324762613E-2</v>
      </c>
      <c r="G6" s="49">
        <f t="shared" si="4"/>
        <v>0.20509637361417338</v>
      </c>
      <c r="H6" s="50">
        <v>225</v>
      </c>
      <c r="I6" s="46" t="s">
        <v>33</v>
      </c>
      <c r="J6" s="46" t="s">
        <v>33</v>
      </c>
    </row>
    <row r="7" spans="1:10" ht="15.75" x14ac:dyDescent="0.25">
      <c r="A7" s="45" t="s">
        <v>37</v>
      </c>
      <c r="B7" s="51">
        <f t="shared" si="2"/>
        <v>250</v>
      </c>
      <c r="C7" s="51">
        <f t="shared" si="3"/>
        <v>299</v>
      </c>
      <c r="D7" s="2" t="str">
        <f t="shared" si="0"/>
        <v>Lower</v>
      </c>
      <c r="E7" s="47">
        <v>70882</v>
      </c>
      <c r="F7" s="48">
        <f t="shared" si="1"/>
        <v>6.5036935496154136E-2</v>
      </c>
      <c r="G7" s="49">
        <f t="shared" si="4"/>
        <v>0.27013330911032751</v>
      </c>
      <c r="H7" s="50">
        <v>275</v>
      </c>
      <c r="I7" s="46" t="s">
        <v>33</v>
      </c>
      <c r="J7" s="46" t="s">
        <v>33</v>
      </c>
    </row>
    <row r="8" spans="1:10" ht="15.75" x14ac:dyDescent="0.25">
      <c r="A8" s="45" t="s">
        <v>38</v>
      </c>
      <c r="B8" s="51">
        <f t="shared" si="2"/>
        <v>300</v>
      </c>
      <c r="C8" s="51">
        <f t="shared" si="3"/>
        <v>349</v>
      </c>
      <c r="D8" s="2" t="str">
        <f t="shared" si="0"/>
        <v>Lower</v>
      </c>
      <c r="E8" s="47">
        <v>72062</v>
      </c>
      <c r="F8" s="48">
        <f t="shared" si="1"/>
        <v>6.6119630452355457E-2</v>
      </c>
      <c r="G8" s="49">
        <f t="shared" si="4"/>
        <v>0.33625293956268298</v>
      </c>
      <c r="H8" s="50">
        <v>325</v>
      </c>
      <c r="I8" s="46" t="s">
        <v>33</v>
      </c>
      <c r="J8" s="46" t="s">
        <v>33</v>
      </c>
    </row>
    <row r="9" spans="1:10" ht="15.75" x14ac:dyDescent="0.25">
      <c r="A9" s="45" t="s">
        <v>39</v>
      </c>
      <c r="B9" s="51">
        <f t="shared" si="2"/>
        <v>350</v>
      </c>
      <c r="C9" s="51">
        <f t="shared" si="3"/>
        <v>399</v>
      </c>
      <c r="D9" s="2" t="str">
        <f t="shared" si="0"/>
        <v>Lower</v>
      </c>
      <c r="E9" s="47">
        <v>71358</v>
      </c>
      <c r="F9" s="48">
        <f t="shared" si="1"/>
        <v>6.5473683631028567E-2</v>
      </c>
      <c r="G9" s="49">
        <f t="shared" si="4"/>
        <v>0.40172662319371155</v>
      </c>
      <c r="H9" s="50">
        <v>375</v>
      </c>
      <c r="I9" s="46" t="s">
        <v>33</v>
      </c>
      <c r="J9" s="46" t="s">
        <v>33</v>
      </c>
    </row>
    <row r="10" spans="1:10" ht="15.75" x14ac:dyDescent="0.25">
      <c r="A10" s="45" t="s">
        <v>40</v>
      </c>
      <c r="B10" s="51">
        <f t="shared" si="2"/>
        <v>400</v>
      </c>
      <c r="C10" s="51">
        <f t="shared" si="3"/>
        <v>449</v>
      </c>
      <c r="D10" s="2" t="str">
        <f t="shared" si="0"/>
        <v>Lower</v>
      </c>
      <c r="E10" s="47">
        <v>68182</v>
      </c>
      <c r="F10" s="48">
        <f t="shared" si="1"/>
        <v>6.2559582630269769E-2</v>
      </c>
      <c r="G10" s="49">
        <f t="shared" si="4"/>
        <v>0.46428620582398133</v>
      </c>
      <c r="H10" s="50">
        <v>425</v>
      </c>
      <c r="I10" s="46" t="s">
        <v>33</v>
      </c>
      <c r="J10" s="46" t="s">
        <v>33</v>
      </c>
    </row>
    <row r="11" spans="1:10" ht="15.75" x14ac:dyDescent="0.25">
      <c r="A11" s="45" t="s">
        <v>41</v>
      </c>
      <c r="B11" s="51">
        <f t="shared" si="2"/>
        <v>450</v>
      </c>
      <c r="C11" s="51">
        <f t="shared" si="3"/>
        <v>499</v>
      </c>
      <c r="D11" s="2" t="str">
        <f t="shared" si="0"/>
        <v>Lower</v>
      </c>
      <c r="E11" s="47">
        <v>64349</v>
      </c>
      <c r="F11" s="48">
        <f t="shared" si="1"/>
        <v>5.9042659098812428E-2</v>
      </c>
      <c r="G11" s="49">
        <f t="shared" si="4"/>
        <v>0.52332886492279374</v>
      </c>
      <c r="H11" s="50">
        <v>475</v>
      </c>
      <c r="I11" s="46" t="s">
        <v>33</v>
      </c>
      <c r="J11" s="46" t="s">
        <v>33</v>
      </c>
    </row>
    <row r="12" spans="1:10" ht="15.75" x14ac:dyDescent="0.25">
      <c r="A12" s="45" t="s">
        <v>42</v>
      </c>
      <c r="B12" s="51">
        <f t="shared" si="2"/>
        <v>500</v>
      </c>
      <c r="C12" s="51">
        <f t="shared" si="3"/>
        <v>549</v>
      </c>
      <c r="D12" s="2" t="str">
        <f t="shared" si="0"/>
        <v>Lower</v>
      </c>
      <c r="E12" s="47">
        <v>59451</v>
      </c>
      <c r="F12" s="48">
        <f t="shared" si="1"/>
        <v>5.4548557492478479E-2</v>
      </c>
      <c r="G12" s="49">
        <f t="shared" si="4"/>
        <v>0.57787742241527218</v>
      </c>
      <c r="H12" s="50">
        <v>525</v>
      </c>
      <c r="I12" s="46" t="s">
        <v>33</v>
      </c>
      <c r="J12" s="46" t="s">
        <v>33</v>
      </c>
    </row>
    <row r="13" spans="1:10" ht="15.75" x14ac:dyDescent="0.25">
      <c r="A13" s="45" t="s">
        <v>43</v>
      </c>
      <c r="B13" s="51">
        <f t="shared" si="2"/>
        <v>550</v>
      </c>
      <c r="C13" s="51">
        <f t="shared" si="3"/>
        <v>599</v>
      </c>
      <c r="D13" s="2" t="str">
        <f t="shared" si="0"/>
        <v>Lower</v>
      </c>
      <c r="E13" s="47">
        <v>54514</v>
      </c>
      <c r="F13" s="48">
        <f t="shared" si="1"/>
        <v>5.0018671900303978E-2</v>
      </c>
      <c r="G13" s="49">
        <f t="shared" si="4"/>
        <v>0.62789609431557614</v>
      </c>
      <c r="H13" s="50">
        <v>575</v>
      </c>
      <c r="I13" s="46" t="s">
        <v>33</v>
      </c>
      <c r="J13" s="46" t="s">
        <v>33</v>
      </c>
    </row>
    <row r="14" spans="1:10" ht="15.75" x14ac:dyDescent="0.25">
      <c r="A14" s="45" t="s">
        <v>44</v>
      </c>
      <c r="B14" s="51">
        <f t="shared" si="2"/>
        <v>600</v>
      </c>
      <c r="C14" s="51">
        <f t="shared" si="3"/>
        <v>649</v>
      </c>
      <c r="D14" s="2" t="str">
        <f t="shared" si="0"/>
        <v>Higher</v>
      </c>
      <c r="E14" s="47">
        <v>49101</v>
      </c>
      <c r="F14" s="48">
        <f t="shared" si="1"/>
        <v>4.5052038173255052E-2</v>
      </c>
      <c r="G14" s="49">
        <f t="shared" si="4"/>
        <v>0.67294813248883123</v>
      </c>
      <c r="H14" s="50">
        <v>625</v>
      </c>
      <c r="I14" s="52">
        <f>E14/SUMIF('Bill Frequency Data R1'!$D$2:$D$49,"higher",'Bill Frequency Data R1'!$E$2:$E$49)</f>
        <v>0.12107381160213639</v>
      </c>
      <c r="J14" s="53">
        <f>I14*H14</f>
        <v>75.671132251335237</v>
      </c>
    </row>
    <row r="15" spans="1:10" ht="15.75" x14ac:dyDescent="0.25">
      <c r="A15" s="45" t="s">
        <v>45</v>
      </c>
      <c r="B15" s="51">
        <f t="shared" si="2"/>
        <v>650</v>
      </c>
      <c r="C15" s="51">
        <f t="shared" si="3"/>
        <v>699</v>
      </c>
      <c r="D15" s="2" t="str">
        <f t="shared" si="0"/>
        <v>Higher</v>
      </c>
      <c r="E15" s="47">
        <v>43774</v>
      </c>
      <c r="F15" s="48">
        <f t="shared" si="1"/>
        <v>4.0164312722675025E-2</v>
      </c>
      <c r="G15" s="49">
        <f t="shared" si="4"/>
        <v>0.7131124452115063</v>
      </c>
      <c r="H15" s="50">
        <v>675</v>
      </c>
      <c r="I15" s="52">
        <f>E15/SUMIF('Bill Frequency Data R1'!$D$2:$D$49,"higher",'Bill Frequency Data R1'!$E$2:$E$49)</f>
        <v>0.10793843361788798</v>
      </c>
      <c r="J15" s="53">
        <f t="shared" ref="J15:J49" si="5">I15*H15</f>
        <v>72.858442692074391</v>
      </c>
    </row>
    <row r="16" spans="1:10" ht="15.75" x14ac:dyDescent="0.25">
      <c r="A16" s="45" t="s">
        <v>46</v>
      </c>
      <c r="B16" s="51">
        <f t="shared" si="2"/>
        <v>700</v>
      </c>
      <c r="C16" s="51">
        <f t="shared" si="3"/>
        <v>749</v>
      </c>
      <c r="D16" s="2" t="str">
        <f t="shared" si="0"/>
        <v>Higher</v>
      </c>
      <c r="E16" s="47">
        <v>38186</v>
      </c>
      <c r="F16" s="48">
        <f t="shared" si="1"/>
        <v>3.5037109828392851E-2</v>
      </c>
      <c r="G16" s="49">
        <f t="shared" si="4"/>
        <v>0.74814955503989911</v>
      </c>
      <c r="H16" s="50">
        <v>725</v>
      </c>
      <c r="I16" s="52">
        <f>E16/SUMIF('Bill Frequency Data R1'!$D$2:$D$49,"higher",'Bill Frequency Data R1'!$E$2:$E$49)</f>
        <v>9.4159478826076448E-2</v>
      </c>
      <c r="J16" s="53">
        <f t="shared" si="5"/>
        <v>68.265622148905422</v>
      </c>
    </row>
    <row r="17" spans="1:10" ht="15.75" x14ac:dyDescent="0.25">
      <c r="A17" s="45" t="s">
        <v>47</v>
      </c>
      <c r="B17" s="51">
        <f t="shared" si="2"/>
        <v>750</v>
      </c>
      <c r="C17" s="51">
        <f t="shared" si="3"/>
        <v>799</v>
      </c>
      <c r="D17" s="2" t="str">
        <f t="shared" si="0"/>
        <v>Higher</v>
      </c>
      <c r="E17" s="47">
        <v>33570</v>
      </c>
      <c r="F17" s="48">
        <f t="shared" si="1"/>
        <v>3.0801753965829046E-2</v>
      </c>
      <c r="G17" s="49">
        <f t="shared" si="4"/>
        <v>0.77895130900572818</v>
      </c>
      <c r="H17" s="50">
        <v>775</v>
      </c>
      <c r="I17" s="52">
        <f>E17/SUMIF('Bill Frequency Data R1'!$D$2:$D$49,"higher",'Bill Frequency Data R1'!$E$2:$E$49)</f>
        <v>8.2777292834844876E-2</v>
      </c>
      <c r="J17" s="53">
        <f t="shared" si="5"/>
        <v>64.152401947004776</v>
      </c>
    </row>
    <row r="18" spans="1:10" ht="15.75" x14ac:dyDescent="0.25">
      <c r="A18" s="45" t="s">
        <v>48</v>
      </c>
      <c r="B18" s="51">
        <f t="shared" si="2"/>
        <v>800</v>
      </c>
      <c r="C18" s="51">
        <f t="shared" si="3"/>
        <v>849</v>
      </c>
      <c r="D18" s="2" t="str">
        <f t="shared" si="0"/>
        <v>Higher</v>
      </c>
      <c r="E18" s="47">
        <v>29408</v>
      </c>
      <c r="F18" s="48">
        <f t="shared" si="1"/>
        <v>2.6982960399973208E-2</v>
      </c>
      <c r="G18" s="49">
        <f t="shared" si="4"/>
        <v>0.80593426940570134</v>
      </c>
      <c r="H18" s="50">
        <v>825</v>
      </c>
      <c r="I18" s="52">
        <f>E18/SUMIF('Bill Frequency Data R1'!$D$2:$D$49,"higher",'Bill Frequency Data R1'!$E$2:$E$49)</f>
        <v>7.2514585275159901E-2</v>
      </c>
      <c r="J18" s="53">
        <f t="shared" si="5"/>
        <v>59.824532852006918</v>
      </c>
    </row>
    <row r="19" spans="1:10" ht="15.75" x14ac:dyDescent="0.25">
      <c r="A19" s="45" t="s">
        <v>49</v>
      </c>
      <c r="B19" s="51">
        <f t="shared" si="2"/>
        <v>850</v>
      </c>
      <c r="C19" s="51">
        <f t="shared" si="3"/>
        <v>899</v>
      </c>
      <c r="D19" s="2" t="str">
        <f t="shared" si="0"/>
        <v>Higher</v>
      </c>
      <c r="E19" s="47">
        <v>25363</v>
      </c>
      <c r="F19" s="48">
        <f t="shared" si="1"/>
        <v>2.3271518791639027E-2</v>
      </c>
      <c r="G19" s="49">
        <f t="shared" si="4"/>
        <v>0.82920578819734037</v>
      </c>
      <c r="H19" s="50">
        <v>875</v>
      </c>
      <c r="I19" s="52">
        <f>E19/SUMIF('Bill Frequency Data R1'!$D$2:$D$49,"higher",'Bill Frequency Data R1'!$E$2:$E$49)</f>
        <v>6.25403776636929E-2</v>
      </c>
      <c r="J19" s="53">
        <f t="shared" si="5"/>
        <v>54.722830455731291</v>
      </c>
    </row>
    <row r="20" spans="1:10" ht="15.75" x14ac:dyDescent="0.25">
      <c r="A20" s="45" t="s">
        <v>50</v>
      </c>
      <c r="B20" s="51">
        <f t="shared" si="2"/>
        <v>900</v>
      </c>
      <c r="C20" s="51">
        <f t="shared" si="3"/>
        <v>949</v>
      </c>
      <c r="D20" s="2" t="str">
        <f t="shared" si="0"/>
        <v>Higher</v>
      </c>
      <c r="E20" s="47">
        <v>22014</v>
      </c>
      <c r="F20" s="48">
        <f t="shared" si="1"/>
        <v>2.0198683699843928E-2</v>
      </c>
      <c r="G20" s="49">
        <f t="shared" si="4"/>
        <v>0.84940447189718427</v>
      </c>
      <c r="H20" s="50">
        <v>925</v>
      </c>
      <c r="I20" s="52">
        <f>E20/SUMIF('Bill Frequency Data R1'!$D$2:$D$49,"higher",'Bill Frequency Data R1'!$E$2:$E$49)</f>
        <v>5.4282374872394255E-2</v>
      </c>
      <c r="J20" s="53">
        <f t="shared" si="5"/>
        <v>50.211196756964689</v>
      </c>
    </row>
    <row r="21" spans="1:10" ht="15.75" x14ac:dyDescent="0.25">
      <c r="A21" s="45" t="s">
        <v>51</v>
      </c>
      <c r="B21" s="51">
        <f t="shared" si="2"/>
        <v>950</v>
      </c>
      <c r="C21" s="51">
        <f t="shared" si="3"/>
        <v>999</v>
      </c>
      <c r="D21" s="2" t="str">
        <f t="shared" si="0"/>
        <v>Higher</v>
      </c>
      <c r="E21" s="47">
        <v>19253</v>
      </c>
      <c r="F21" s="48">
        <f t="shared" si="1"/>
        <v>1.7665361009952536E-2</v>
      </c>
      <c r="G21" s="49">
        <f t="shared" si="4"/>
        <v>0.86706983290713679</v>
      </c>
      <c r="H21" s="50">
        <v>975</v>
      </c>
      <c r="I21" s="52">
        <f>E21/SUMIF('Bill Frequency Data R1'!$D$2:$D$49,"higher",'Bill Frequency Data R1'!$E$2:$E$49)</f>
        <v>4.7474269256755089E-2</v>
      </c>
      <c r="J21" s="53">
        <f t="shared" si="5"/>
        <v>46.287412525336215</v>
      </c>
    </row>
    <row r="22" spans="1:10" ht="15.75" x14ac:dyDescent="0.25">
      <c r="A22" s="45" t="s">
        <v>52</v>
      </c>
      <c r="B22" s="51">
        <f t="shared" si="2"/>
        <v>1000</v>
      </c>
      <c r="C22" s="51">
        <f t="shared" si="3"/>
        <v>1049</v>
      </c>
      <c r="D22" s="2" t="str">
        <f t="shared" si="0"/>
        <v>Higher</v>
      </c>
      <c r="E22" s="47">
        <v>16251</v>
      </c>
      <c r="F22" s="48">
        <f t="shared" si="1"/>
        <v>1.4910911638328502E-2</v>
      </c>
      <c r="G22" s="49">
        <f t="shared" si="4"/>
        <v>0.88198074454546527</v>
      </c>
      <c r="H22" s="50">
        <v>1025</v>
      </c>
      <c r="I22" s="52">
        <f>E22/SUMIF('Bill Frequency Data R1'!$D$2:$D$49,"higher",'Bill Frequency Data R1'!$E$2:$E$49)</f>
        <v>4.0071903064017401E-2</v>
      </c>
      <c r="J22" s="53">
        <f t="shared" si="5"/>
        <v>41.073700640617837</v>
      </c>
    </row>
    <row r="23" spans="1:10" ht="15.75" x14ac:dyDescent="0.25">
      <c r="A23" s="45" t="s">
        <v>53</v>
      </c>
      <c r="B23" s="51">
        <f t="shared" si="2"/>
        <v>1050</v>
      </c>
      <c r="C23" s="51">
        <f t="shared" si="3"/>
        <v>1099</v>
      </c>
      <c r="D23" s="2" t="str">
        <f t="shared" si="0"/>
        <v>Higher</v>
      </c>
      <c r="E23" s="47">
        <v>14288</v>
      </c>
      <c r="F23" s="48">
        <f t="shared" si="1"/>
        <v>1.3109784351020715E-2</v>
      </c>
      <c r="G23" s="49">
        <f t="shared" si="4"/>
        <v>0.89509052889648599</v>
      </c>
      <c r="H23" s="50">
        <v>1075</v>
      </c>
      <c r="I23" s="52">
        <f>E23/SUMIF('Bill Frequency Data R1'!$D$2:$D$49,"higher",'Bill Frequency Data R1'!$E$2:$E$49)</f>
        <v>3.5231515043916105E-2</v>
      </c>
      <c r="J23" s="53">
        <f t="shared" si="5"/>
        <v>37.873878672209813</v>
      </c>
    </row>
    <row r="24" spans="1:10" ht="15.75" x14ac:dyDescent="0.25">
      <c r="A24" s="45" t="s">
        <v>54</v>
      </c>
      <c r="B24" s="51">
        <f t="shared" si="2"/>
        <v>1100</v>
      </c>
      <c r="C24" s="51">
        <f t="shared" si="3"/>
        <v>1149</v>
      </c>
      <c r="D24" s="2" t="str">
        <f t="shared" si="0"/>
        <v>Higher</v>
      </c>
      <c r="E24" s="47">
        <v>12126</v>
      </c>
      <c r="F24" s="48">
        <f t="shared" si="1"/>
        <v>1.1126066982116265E-2</v>
      </c>
      <c r="G24" s="49">
        <f t="shared" si="4"/>
        <v>0.90621659587860226</v>
      </c>
      <c r="H24" s="50">
        <v>1125</v>
      </c>
      <c r="I24" s="52">
        <f>E24/SUMIF('Bill Frequency Data R1'!$D$2:$D$49,"higher",'Bill Frequency Data R1'!$E$2:$E$49)</f>
        <v>2.9900430530691954E-2</v>
      </c>
      <c r="J24" s="53">
        <f t="shared" si="5"/>
        <v>33.63798434702845</v>
      </c>
    </row>
    <row r="25" spans="1:10" ht="15.75" x14ac:dyDescent="0.25">
      <c r="A25" s="45" t="s">
        <v>55</v>
      </c>
      <c r="B25" s="51">
        <f t="shared" si="2"/>
        <v>1150</v>
      </c>
      <c r="C25" s="51">
        <f t="shared" si="3"/>
        <v>1199</v>
      </c>
      <c r="D25" s="2" t="str">
        <f t="shared" si="0"/>
        <v>Higher</v>
      </c>
      <c r="E25" s="47">
        <v>10492</v>
      </c>
      <c r="F25" s="48">
        <f t="shared" si="1"/>
        <v>9.6268097292069813E-3</v>
      </c>
      <c r="G25" s="49">
        <f t="shared" si="4"/>
        <v>0.91584340560780919</v>
      </c>
      <c r="H25" s="50">
        <v>1175</v>
      </c>
      <c r="I25" s="52">
        <f>E25/SUMIF('Bill Frequency Data R1'!$D$2:$D$49,"higher",'Bill Frequency Data R1'!$E$2:$E$49)</f>
        <v>2.5871294501733467E-2</v>
      </c>
      <c r="J25" s="53">
        <f t="shared" si="5"/>
        <v>30.398771039536822</v>
      </c>
    </row>
    <row r="26" spans="1:10" ht="15.75" x14ac:dyDescent="0.25">
      <c r="A26" s="45" t="s">
        <v>56</v>
      </c>
      <c r="B26" s="51">
        <f t="shared" si="2"/>
        <v>1200</v>
      </c>
      <c r="C26" s="51">
        <f t="shared" si="3"/>
        <v>1249</v>
      </c>
      <c r="D26" s="2" t="str">
        <f t="shared" si="0"/>
        <v>Higher</v>
      </c>
      <c r="E26" s="47">
        <v>8894</v>
      </c>
      <c r="F26" s="48">
        <f t="shared" si="1"/>
        <v>8.1605838478428228E-3</v>
      </c>
      <c r="G26" s="49">
        <f t="shared" si="4"/>
        <v>0.92400398945565199</v>
      </c>
      <c r="H26" s="50">
        <v>1225</v>
      </c>
      <c r="I26" s="52">
        <f>E26/SUMIF('Bill Frequency Data R1'!$D$2:$D$49,"higher",'Bill Frequency Data R1'!$E$2:$E$49)</f>
        <v>2.1930927687611269E-2</v>
      </c>
      <c r="J26" s="53">
        <f t="shared" si="5"/>
        <v>26.865386417323805</v>
      </c>
    </row>
    <row r="27" spans="1:10" ht="15.75" x14ac:dyDescent="0.25">
      <c r="A27" s="45" t="s">
        <v>57</v>
      </c>
      <c r="B27" s="51">
        <f t="shared" si="2"/>
        <v>1250</v>
      </c>
      <c r="C27" s="51">
        <f t="shared" si="3"/>
        <v>1299</v>
      </c>
      <c r="D27" s="2" t="str">
        <f t="shared" si="0"/>
        <v>Higher</v>
      </c>
      <c r="E27" s="47">
        <v>7742</v>
      </c>
      <c r="F27" s="48">
        <f t="shared" si="1"/>
        <v>7.1035799583988226E-3</v>
      </c>
      <c r="G27" s="49">
        <f t="shared" si="4"/>
        <v>0.93110756941405082</v>
      </c>
      <c r="H27" s="50">
        <v>1275</v>
      </c>
      <c r="I27" s="52">
        <f>E27/SUMIF('Bill Frequency Data R1'!$D$2:$D$49,"higher",'Bill Frequency Data R1'!$E$2:$E$49)</f>
        <v>1.9090312812849838E-2</v>
      </c>
      <c r="J27" s="53">
        <f t="shared" si="5"/>
        <v>24.340148836383545</v>
      </c>
    </row>
    <row r="28" spans="1:10" ht="15.75" x14ac:dyDescent="0.25">
      <c r="A28" s="45" t="s">
        <v>58</v>
      </c>
      <c r="B28" s="51">
        <f t="shared" si="2"/>
        <v>1300</v>
      </c>
      <c r="C28" s="51">
        <f t="shared" si="3"/>
        <v>1349</v>
      </c>
      <c r="D28" s="2" t="str">
        <f t="shared" si="0"/>
        <v>Higher</v>
      </c>
      <c r="E28" s="47">
        <v>6650</v>
      </c>
      <c r="F28" s="48">
        <f t="shared" si="1"/>
        <v>6.1016283548633648E-3</v>
      </c>
      <c r="G28" s="49">
        <f t="shared" si="4"/>
        <v>0.9372091977689142</v>
      </c>
      <c r="H28" s="50">
        <v>1325</v>
      </c>
      <c r="I28" s="52">
        <f>E28/SUMIF('Bill Frequency Data R1'!$D$2:$D$49,"higher",'Bill Frequency Data R1'!$E$2:$E$49)</f>
        <v>1.6397646629482229E-2</v>
      </c>
      <c r="J28" s="53">
        <f t="shared" si="5"/>
        <v>21.726881784063952</v>
      </c>
    </row>
    <row r="29" spans="1:10" ht="15.75" x14ac:dyDescent="0.25">
      <c r="A29" s="45" t="s">
        <v>59</v>
      </c>
      <c r="B29" s="51">
        <f t="shared" si="2"/>
        <v>1350</v>
      </c>
      <c r="C29" s="51">
        <f t="shared" si="3"/>
        <v>1399</v>
      </c>
      <c r="D29" s="2" t="str">
        <f t="shared" si="0"/>
        <v>Higher</v>
      </c>
      <c r="E29" s="47">
        <v>5930</v>
      </c>
      <c r="F29" s="48">
        <f t="shared" si="1"/>
        <v>5.4410009239608649E-3</v>
      </c>
      <c r="G29" s="49">
        <f t="shared" si="4"/>
        <v>0.94265019869287503</v>
      </c>
      <c r="H29" s="50">
        <v>1375</v>
      </c>
      <c r="I29" s="52">
        <f>E29/SUMIF('Bill Frequency Data R1'!$D$2:$D$49,"higher",'Bill Frequency Data R1'!$E$2:$E$49)</f>
        <v>1.4622262332756333E-2</v>
      </c>
      <c r="J29" s="53">
        <f t="shared" si="5"/>
        <v>20.105610707539959</v>
      </c>
    </row>
    <row r="30" spans="1:10" ht="15.75" x14ac:dyDescent="0.25">
      <c r="A30" s="45" t="s">
        <v>60</v>
      </c>
      <c r="B30" s="51">
        <f t="shared" si="2"/>
        <v>1400</v>
      </c>
      <c r="C30" s="51">
        <f t="shared" si="3"/>
        <v>1449</v>
      </c>
      <c r="D30" s="2" t="str">
        <f t="shared" si="0"/>
        <v>Higher</v>
      </c>
      <c r="E30" s="47">
        <v>4973</v>
      </c>
      <c r="F30" s="48">
        <f t="shared" si="1"/>
        <v>4.562916963719626E-3</v>
      </c>
      <c r="G30" s="49">
        <f t="shared" si="4"/>
        <v>0.94721311565659461</v>
      </c>
      <c r="H30" s="50">
        <v>1425</v>
      </c>
      <c r="I30" s="52">
        <f>E30/SUMIF('Bill Frequency Data R1'!$D$2:$D$49,"higher",'Bill Frequency Data R1'!$E$2:$E$49)</f>
        <v>1.2262480705024831E-2</v>
      </c>
      <c r="J30" s="53">
        <f t="shared" si="5"/>
        <v>17.474035004660383</v>
      </c>
    </row>
    <row r="31" spans="1:10" ht="15.75" x14ac:dyDescent="0.25">
      <c r="A31" s="45" t="s">
        <v>61</v>
      </c>
      <c r="B31" s="51">
        <f t="shared" si="2"/>
        <v>1450</v>
      </c>
      <c r="C31" s="51">
        <f t="shared" si="3"/>
        <v>1499</v>
      </c>
      <c r="D31" s="2" t="str">
        <f t="shared" si="0"/>
        <v>Higher</v>
      </c>
      <c r="E31" s="47">
        <v>4387</v>
      </c>
      <c r="F31" s="48">
        <f t="shared" si="1"/>
        <v>4.025239638012869E-3</v>
      </c>
      <c r="G31" s="49">
        <f t="shared" si="4"/>
        <v>0.95123835529460743</v>
      </c>
      <c r="H31" s="50">
        <v>1475</v>
      </c>
      <c r="I31" s="52">
        <f>E31/SUMIF('Bill Frequency Data R1'!$D$2:$D$49,"higher",'Bill Frequency Data R1'!$E$2:$E$49)</f>
        <v>1.081751515241181E-2</v>
      </c>
      <c r="J31" s="53">
        <f t="shared" si="5"/>
        <v>15.95583484980742</v>
      </c>
    </row>
    <row r="32" spans="1:10" ht="15.75" x14ac:dyDescent="0.25">
      <c r="A32" s="45" t="s">
        <v>62</v>
      </c>
      <c r="B32" s="51">
        <f t="shared" si="2"/>
        <v>1500</v>
      </c>
      <c r="C32" s="51">
        <f t="shared" si="3"/>
        <v>1549</v>
      </c>
      <c r="D32" s="2" t="str">
        <f t="shared" si="0"/>
        <v>Higher</v>
      </c>
      <c r="E32" s="47">
        <v>3799</v>
      </c>
      <c r="F32" s="48">
        <f t="shared" si="1"/>
        <v>3.4857272361091614E-3</v>
      </c>
      <c r="G32" s="49">
        <f t="shared" si="4"/>
        <v>0.95472408253071661</v>
      </c>
      <c r="H32" s="50">
        <v>1525</v>
      </c>
      <c r="I32" s="52">
        <f>E32/SUMIF('Bill Frequency Data R1'!$D$2:$D$49,"higher",'Bill Frequency Data R1'!$E$2:$E$49)</f>
        <v>9.3676179767523283E-3</v>
      </c>
      <c r="J32" s="53">
        <f t="shared" si="5"/>
        <v>14.2856174145473</v>
      </c>
    </row>
    <row r="33" spans="1:10" ht="15.75" x14ac:dyDescent="0.25">
      <c r="A33" s="45" t="s">
        <v>63</v>
      </c>
      <c r="B33" s="51">
        <f t="shared" si="2"/>
        <v>1550</v>
      </c>
      <c r="C33" s="51">
        <f t="shared" si="3"/>
        <v>1599</v>
      </c>
      <c r="D33" s="2" t="str">
        <f t="shared" si="0"/>
        <v>Higher</v>
      </c>
      <c r="E33" s="47">
        <v>3318</v>
      </c>
      <c r="F33" s="48">
        <f t="shared" si="1"/>
        <v>3.0443914107423525E-3</v>
      </c>
      <c r="G33" s="49">
        <f t="shared" si="4"/>
        <v>0.95776847394145892</v>
      </c>
      <c r="H33" s="50">
        <v>1575</v>
      </c>
      <c r="I33" s="52">
        <f>E33/SUMIF('Bill Frequency Data R1'!$D$2:$D$49,"higher",'Bill Frequency Data R1'!$E$2:$E$49)</f>
        <v>8.1815626340785014E-3</v>
      </c>
      <c r="J33" s="53">
        <f t="shared" si="5"/>
        <v>12.885961148673641</v>
      </c>
    </row>
    <row r="34" spans="1:10" ht="15.75" x14ac:dyDescent="0.25">
      <c r="A34" s="45" t="s">
        <v>64</v>
      </c>
      <c r="B34" s="51">
        <f t="shared" si="2"/>
        <v>1600</v>
      </c>
      <c r="C34" s="51">
        <f t="shared" si="3"/>
        <v>1649</v>
      </c>
      <c r="D34" s="2" t="str">
        <f t="shared" si="0"/>
        <v>Higher</v>
      </c>
      <c r="E34" s="47">
        <v>2863</v>
      </c>
      <c r="F34" s="48">
        <f t="shared" si="1"/>
        <v>2.6269115759359118E-3</v>
      </c>
      <c r="G34" s="49">
        <f t="shared" si="4"/>
        <v>0.96039538551739478</v>
      </c>
      <c r="H34" s="50">
        <v>1625</v>
      </c>
      <c r="I34" s="52">
        <f>E34/SUMIF('Bill Frequency Data R1'!$D$2:$D$49,"higher",'Bill Frequency Data R1'!$E$2:$E$49)</f>
        <v>7.0596183910086648E-3</v>
      </c>
      <c r="J34" s="53">
        <f t="shared" si="5"/>
        <v>11.471879885389081</v>
      </c>
    </row>
    <row r="35" spans="1:10" ht="15.75" x14ac:dyDescent="0.25">
      <c r="A35" s="45" t="s">
        <v>65</v>
      </c>
      <c r="B35" s="51">
        <f t="shared" si="2"/>
        <v>1650</v>
      </c>
      <c r="C35" s="51">
        <f t="shared" si="3"/>
        <v>1699</v>
      </c>
      <c r="D35" s="2" t="str">
        <f t="shared" si="0"/>
        <v>Higher</v>
      </c>
      <c r="E35" s="47">
        <v>2463</v>
      </c>
      <c r="F35" s="48">
        <f t="shared" si="1"/>
        <v>2.2598963365456342E-3</v>
      </c>
      <c r="G35" s="49">
        <f t="shared" si="4"/>
        <v>0.96265528185394045</v>
      </c>
      <c r="H35" s="50">
        <v>1675</v>
      </c>
      <c r="I35" s="52">
        <f>E35/SUMIF('Bill Frequency Data R1'!$D$2:$D$49,"higher",'Bill Frequency Data R1'!$E$2:$E$49)</f>
        <v>6.073293781716501E-3</v>
      </c>
      <c r="J35" s="53">
        <f t="shared" si="5"/>
        <v>10.172767084375138</v>
      </c>
    </row>
    <row r="36" spans="1:10" ht="15.75" x14ac:dyDescent="0.25">
      <c r="A36" s="45" t="s">
        <v>66</v>
      </c>
      <c r="B36" s="51">
        <f t="shared" si="2"/>
        <v>1700</v>
      </c>
      <c r="C36" s="51">
        <f t="shared" si="3"/>
        <v>1749</v>
      </c>
      <c r="D36" s="2" t="str">
        <f t="shared" si="0"/>
        <v>Higher</v>
      </c>
      <c r="E36" s="47">
        <v>2290</v>
      </c>
      <c r="F36" s="48">
        <f t="shared" si="1"/>
        <v>2.1011622455093392E-3</v>
      </c>
      <c r="G36" s="49">
        <f t="shared" si="4"/>
        <v>0.96475644409944983</v>
      </c>
      <c r="H36" s="50">
        <v>1725</v>
      </c>
      <c r="I36" s="52">
        <f>E36/SUMIF('Bill Frequency Data R1'!$D$2:$D$49,"higher",'Bill Frequency Data R1'!$E$2:$E$49)</f>
        <v>5.6467083881976401E-3</v>
      </c>
      <c r="J36" s="53">
        <f t="shared" si="5"/>
        <v>9.7405719696409285</v>
      </c>
    </row>
    <row r="37" spans="1:10" ht="15.75" x14ac:dyDescent="0.25">
      <c r="A37" s="45" t="s">
        <v>67</v>
      </c>
      <c r="B37" s="51">
        <f t="shared" si="2"/>
        <v>1750</v>
      </c>
      <c r="C37" s="51">
        <f t="shared" si="3"/>
        <v>1799</v>
      </c>
      <c r="D37" s="2" t="str">
        <f t="shared" si="0"/>
        <v>Higher</v>
      </c>
      <c r="E37" s="47">
        <v>1943</v>
      </c>
      <c r="F37" s="48">
        <f t="shared" si="1"/>
        <v>1.7827765253382733E-3</v>
      </c>
      <c r="G37" s="49">
        <f t="shared" si="4"/>
        <v>0.96653922062478814</v>
      </c>
      <c r="H37" s="50">
        <v>1775</v>
      </c>
      <c r="I37" s="52">
        <f>E37/SUMIF('Bill Frequency Data R1'!$D$2:$D$49,"higher",'Bill Frequency Data R1'!$E$2:$E$49)</f>
        <v>4.7910717896366877E-3</v>
      </c>
      <c r="J37" s="53">
        <f t="shared" si="5"/>
        <v>8.5041524266051205</v>
      </c>
    </row>
    <row r="38" spans="1:10" ht="15.75" x14ac:dyDescent="0.25">
      <c r="A38" s="45" t="s">
        <v>68</v>
      </c>
      <c r="B38" s="51">
        <f t="shared" si="2"/>
        <v>1800</v>
      </c>
      <c r="C38" s="51">
        <f t="shared" si="3"/>
        <v>1849</v>
      </c>
      <c r="D38" s="2" t="str">
        <f t="shared" si="0"/>
        <v>Higher</v>
      </c>
      <c r="E38" s="47">
        <v>1650</v>
      </c>
      <c r="F38" s="48">
        <f t="shared" si="1"/>
        <v>1.5139378624848951E-3</v>
      </c>
      <c r="G38" s="49">
        <f t="shared" si="4"/>
        <v>0.96805315848727302</v>
      </c>
      <c r="H38" s="50">
        <v>1825</v>
      </c>
      <c r="I38" s="52">
        <f>E38/SUMIF('Bill Frequency Data R1'!$D$2:$D$49,"higher",'Bill Frequency Data R1'!$E$2:$E$49)</f>
        <v>4.0685890133301773E-3</v>
      </c>
      <c r="J38" s="53">
        <f t="shared" si="5"/>
        <v>7.4251749493275732</v>
      </c>
    </row>
    <row r="39" spans="1:10" ht="15.75" x14ac:dyDescent="0.25">
      <c r="A39" s="45" t="s">
        <v>69</v>
      </c>
      <c r="B39" s="51">
        <f t="shared" si="2"/>
        <v>1850</v>
      </c>
      <c r="C39" s="51">
        <f t="shared" si="3"/>
        <v>1899</v>
      </c>
      <c r="D39" s="2" t="str">
        <f t="shared" si="0"/>
        <v>Higher</v>
      </c>
      <c r="E39" s="47">
        <v>1486</v>
      </c>
      <c r="F39" s="48">
        <f t="shared" si="1"/>
        <v>1.3634616143348812E-3</v>
      </c>
      <c r="G39" s="49">
        <f t="shared" si="4"/>
        <v>0.9694166201016079</v>
      </c>
      <c r="H39" s="50">
        <v>1875</v>
      </c>
      <c r="I39" s="52">
        <f>E39/SUMIF('Bill Frequency Data R1'!$D$2:$D$49,"higher",'Bill Frequency Data R1'!$E$2:$E$49)</f>
        <v>3.6641959235203898E-3</v>
      </c>
      <c r="J39" s="53">
        <f t="shared" si="5"/>
        <v>6.8703673566007311</v>
      </c>
    </row>
    <row r="40" spans="1:10" ht="15.75" x14ac:dyDescent="0.25">
      <c r="A40" s="45" t="s">
        <v>70</v>
      </c>
      <c r="B40" s="51">
        <f t="shared" si="2"/>
        <v>1900</v>
      </c>
      <c r="C40" s="51">
        <f t="shared" si="3"/>
        <v>1949</v>
      </c>
      <c r="D40" s="2" t="str">
        <f t="shared" si="0"/>
        <v>Higher</v>
      </c>
      <c r="E40" s="47">
        <v>1299</v>
      </c>
      <c r="F40" s="48">
        <f t="shared" si="1"/>
        <v>1.1918819899199265E-3</v>
      </c>
      <c r="G40" s="49">
        <f t="shared" si="4"/>
        <v>0.97060850209152782</v>
      </c>
      <c r="H40" s="50">
        <v>1925</v>
      </c>
      <c r="I40" s="52">
        <f>E40/SUMIF('Bill Frequency Data R1'!$D$2:$D$49,"higher",'Bill Frequency Data R1'!$E$2:$E$49)</f>
        <v>3.2030891686763031E-3</v>
      </c>
      <c r="J40" s="53">
        <f t="shared" si="5"/>
        <v>6.1659466497018833</v>
      </c>
    </row>
    <row r="41" spans="1:10" ht="15.75" x14ac:dyDescent="0.25">
      <c r="A41" s="45" t="s">
        <v>71</v>
      </c>
      <c r="B41" s="51">
        <f t="shared" si="2"/>
        <v>1950</v>
      </c>
      <c r="C41" s="51">
        <f t="shared" si="3"/>
        <v>1999</v>
      </c>
      <c r="D41" s="2" t="str">
        <f t="shared" si="0"/>
        <v>Higher</v>
      </c>
      <c r="E41" s="47">
        <v>1198</v>
      </c>
      <c r="F41" s="48">
        <f t="shared" si="1"/>
        <v>1.0992106419738814E-3</v>
      </c>
      <c r="G41" s="49">
        <f t="shared" si="4"/>
        <v>0.97170771273350176</v>
      </c>
      <c r="H41" s="50">
        <v>1975</v>
      </c>
      <c r="I41" s="52">
        <f>E41/SUMIF('Bill Frequency Data R1'!$D$2:$D$49,"higher",'Bill Frequency Data R1'!$E$2:$E$49)</f>
        <v>2.9540422048300314E-3</v>
      </c>
      <c r="J41" s="53">
        <f t="shared" si="5"/>
        <v>5.8342333545393119</v>
      </c>
    </row>
    <row r="42" spans="1:10" ht="15.75" x14ac:dyDescent="0.25">
      <c r="A42" s="45" t="s">
        <v>72</v>
      </c>
      <c r="B42" s="54">
        <f t="shared" si="2"/>
        <v>2000</v>
      </c>
      <c r="C42" s="54">
        <f>B42+499</f>
        <v>2499</v>
      </c>
      <c r="D42" s="2" t="str">
        <f t="shared" si="0"/>
        <v>Higher</v>
      </c>
      <c r="E42" s="47">
        <v>6251</v>
      </c>
      <c r="F42" s="48">
        <f t="shared" si="1"/>
        <v>5.7355306535715632E-3</v>
      </c>
      <c r="G42" s="49">
        <f t="shared" si="4"/>
        <v>0.97744324338707333</v>
      </c>
      <c r="H42" s="50">
        <v>2250</v>
      </c>
      <c r="I42" s="52">
        <f>E42/SUMIF('Bill Frequency Data R1'!$D$2:$D$49,"higher",'Bill Frequency Data R1'!$E$2:$E$49)</f>
        <v>1.5413787831713295E-2</v>
      </c>
      <c r="J42" s="53">
        <f t="shared" si="5"/>
        <v>34.681022621354913</v>
      </c>
    </row>
    <row r="43" spans="1:10" ht="15.75" x14ac:dyDescent="0.25">
      <c r="A43" s="45" t="s">
        <v>73</v>
      </c>
      <c r="B43" s="54">
        <f>B42+500</f>
        <v>2500</v>
      </c>
      <c r="C43" s="54">
        <f t="shared" ref="C43:C49" si="6">B43+499</f>
        <v>2999</v>
      </c>
      <c r="D43" s="2" t="str">
        <f t="shared" si="0"/>
        <v>Higher</v>
      </c>
      <c r="E43" s="47">
        <v>2289</v>
      </c>
      <c r="F43" s="48">
        <f t="shared" si="1"/>
        <v>2.1002447074108636E-3</v>
      </c>
      <c r="G43" s="49">
        <f t="shared" si="4"/>
        <v>0.97954348809448422</v>
      </c>
      <c r="H43" s="50">
        <v>2750</v>
      </c>
      <c r="I43" s="52">
        <f>E43/SUMIF('Bill Frequency Data R1'!$D$2:$D$49,"higher",'Bill Frequency Data R1'!$E$2:$E$49)</f>
        <v>5.6442425766744094E-3</v>
      </c>
      <c r="J43" s="53">
        <f t="shared" si="5"/>
        <v>15.521667085854626</v>
      </c>
    </row>
    <row r="44" spans="1:10" ht="15.75" x14ac:dyDescent="0.25">
      <c r="A44" s="45" t="s">
        <v>74</v>
      </c>
      <c r="B44" s="54">
        <f t="shared" ref="B44:B48" si="7">B43+500</f>
        <v>3000</v>
      </c>
      <c r="C44" s="54">
        <f t="shared" si="6"/>
        <v>3499</v>
      </c>
      <c r="D44" s="2" t="str">
        <f t="shared" si="0"/>
        <v>Higher</v>
      </c>
      <c r="E44" s="47">
        <v>1010</v>
      </c>
      <c r="F44" s="48">
        <f t="shared" si="1"/>
        <v>9.2671347946045085E-4</v>
      </c>
      <c r="G44" s="49">
        <f t="shared" si="4"/>
        <v>0.98047020157394471</v>
      </c>
      <c r="H44" s="50">
        <v>3250</v>
      </c>
      <c r="I44" s="52">
        <f>E44/SUMIF('Bill Frequency Data R1'!$D$2:$D$49,"higher",'Bill Frequency Data R1'!$E$2:$E$49)</f>
        <v>2.4904696384627145E-3</v>
      </c>
      <c r="J44" s="53">
        <f t="shared" si="5"/>
        <v>8.0940263250038225</v>
      </c>
    </row>
    <row r="45" spans="1:10" ht="15.75" x14ac:dyDescent="0.25">
      <c r="A45" s="45" t="s">
        <v>75</v>
      </c>
      <c r="B45" s="54">
        <f t="shared" si="7"/>
        <v>3500</v>
      </c>
      <c r="C45" s="54">
        <f t="shared" si="6"/>
        <v>3999</v>
      </c>
      <c r="D45" s="2" t="str">
        <f t="shared" si="0"/>
        <v>Higher</v>
      </c>
      <c r="E45" s="47">
        <v>520</v>
      </c>
      <c r="F45" s="48">
        <f t="shared" si="1"/>
        <v>4.7711981120736086E-4</v>
      </c>
      <c r="G45" s="49">
        <f t="shared" si="4"/>
        <v>0.98094732138515206</v>
      </c>
      <c r="H45" s="50">
        <v>3750</v>
      </c>
      <c r="I45" s="52">
        <f>E45/SUMIF('Bill Frequency Data R1'!$D$2:$D$49,"higher",'Bill Frequency Data R1'!$E$2:$E$49)</f>
        <v>1.2822219920798133E-3</v>
      </c>
      <c r="J45" s="53">
        <f t="shared" si="5"/>
        <v>4.8083324702993</v>
      </c>
    </row>
    <row r="46" spans="1:10" ht="15.75" x14ac:dyDescent="0.25">
      <c r="A46" s="45" t="s">
        <v>76</v>
      </c>
      <c r="B46" s="54">
        <f t="shared" si="7"/>
        <v>4000</v>
      </c>
      <c r="C46" s="54">
        <f t="shared" si="6"/>
        <v>4499</v>
      </c>
      <c r="D46" s="2" t="str">
        <f t="shared" si="0"/>
        <v>Higher</v>
      </c>
      <c r="E46" s="47">
        <v>300</v>
      </c>
      <c r="F46" s="48">
        <f t="shared" si="1"/>
        <v>2.7526142954270821E-4</v>
      </c>
      <c r="G46" s="49">
        <f t="shared" si="4"/>
        <v>0.98122258281469477</v>
      </c>
      <c r="H46" s="50">
        <v>4250</v>
      </c>
      <c r="I46" s="52">
        <f>E46/SUMIF('Bill Frequency Data R1'!$D$2:$D$49,"higher",'Bill Frequency Data R1'!$E$2:$E$49)</f>
        <v>7.3974345696912309E-4</v>
      </c>
      <c r="J46" s="53">
        <f t="shared" si="5"/>
        <v>3.1439096921187732</v>
      </c>
    </row>
    <row r="47" spans="1:10" ht="15.75" x14ac:dyDescent="0.25">
      <c r="A47" s="45" t="s">
        <v>77</v>
      </c>
      <c r="B47" s="54">
        <f t="shared" si="7"/>
        <v>4500</v>
      </c>
      <c r="C47" s="54">
        <f t="shared" si="6"/>
        <v>4999</v>
      </c>
      <c r="D47" s="2" t="str">
        <f t="shared" si="0"/>
        <v>Higher</v>
      </c>
      <c r="E47" s="47">
        <v>193</v>
      </c>
      <c r="F47" s="48">
        <f t="shared" si="1"/>
        <v>1.7708485300580893E-4</v>
      </c>
      <c r="G47" s="49">
        <f t="shared" si="4"/>
        <v>0.98139966766770059</v>
      </c>
      <c r="H47" s="50">
        <v>4750</v>
      </c>
      <c r="I47" s="52">
        <f>E47/SUMIF('Bill Frequency Data R1'!$D$2:$D$49,"higher",'Bill Frequency Data R1'!$E$2:$E$49)</f>
        <v>4.7590162398346921E-4</v>
      </c>
      <c r="J47" s="53">
        <f t="shared" si="5"/>
        <v>2.2605327139214788</v>
      </c>
    </row>
    <row r="48" spans="1:10" ht="15.75" x14ac:dyDescent="0.25">
      <c r="A48" s="45" t="s">
        <v>78</v>
      </c>
      <c r="B48" s="54">
        <f t="shared" si="7"/>
        <v>5000</v>
      </c>
      <c r="C48" s="54">
        <f t="shared" si="6"/>
        <v>5499</v>
      </c>
      <c r="D48" s="2" t="str">
        <f t="shared" si="0"/>
        <v>Higher</v>
      </c>
      <c r="E48" s="47">
        <v>115</v>
      </c>
      <c r="F48" s="48">
        <f t="shared" si="1"/>
        <v>1.0551688132470481E-4</v>
      </c>
      <c r="G48" s="49">
        <f t="shared" si="4"/>
        <v>0.98150518454902524</v>
      </c>
      <c r="H48" s="50">
        <v>5250</v>
      </c>
      <c r="I48" s="52">
        <f>E48/SUMIF('Bill Frequency Data R1'!$D$2:$D$49,"higher",'Bill Frequency Data R1'!$E$2:$E$49)</f>
        <v>2.835683251714972E-4</v>
      </c>
      <c r="J48" s="53">
        <f t="shared" si="5"/>
        <v>1.4887337071503604</v>
      </c>
    </row>
    <row r="49" spans="1:10" ht="15.75" x14ac:dyDescent="0.25">
      <c r="A49" s="45" t="s">
        <v>79</v>
      </c>
      <c r="B49" s="54">
        <f>C48+1</f>
        <v>5500</v>
      </c>
      <c r="C49" s="54">
        <f t="shared" si="6"/>
        <v>5999</v>
      </c>
      <c r="D49" s="2" t="str">
        <f t="shared" si="0"/>
        <v>Higher</v>
      </c>
      <c r="E49" s="47">
        <v>20157</v>
      </c>
      <c r="F49" s="48">
        <f t="shared" si="1"/>
        <v>1.8494815450974565E-2</v>
      </c>
      <c r="G49" s="49">
        <f t="shared" si="4"/>
        <v>0.99999999999999978</v>
      </c>
      <c r="H49" s="50">
        <v>5500</v>
      </c>
      <c r="I49" s="52">
        <f>E49/SUMIF('Bill Frequency Data R1'!$D$2:$D$49,"higher",'Bill Frequency Data R1'!$E$2:$E$49)</f>
        <v>4.9703362873755381E-2</v>
      </c>
      <c r="J49" s="53">
        <f t="shared" si="5"/>
        <v>273.36849580565462</v>
      </c>
    </row>
    <row r="50" spans="1:10" x14ac:dyDescent="0.2">
      <c r="B50"/>
      <c r="C50"/>
      <c r="D50"/>
      <c r="E50" s="35">
        <f>SUM(E2:E49)</f>
        <v>1089873</v>
      </c>
      <c r="F50"/>
      <c r="G50"/>
      <c r="H50"/>
    </row>
    <row r="51" spans="1:10" x14ac:dyDescent="0.2">
      <c r="B51"/>
      <c r="C51"/>
      <c r="D51"/>
      <c r="E51"/>
      <c r="F51"/>
      <c r="G51"/>
      <c r="H51"/>
    </row>
    <row r="52" spans="1:10" x14ac:dyDescent="0.2">
      <c r="B52"/>
      <c r="C52"/>
      <c r="D52"/>
      <c r="E52"/>
      <c r="F52"/>
      <c r="G52"/>
      <c r="H52"/>
    </row>
    <row r="53" spans="1:10" x14ac:dyDescent="0.2">
      <c r="B53"/>
      <c r="C53"/>
      <c r="D53"/>
      <c r="E53"/>
      <c r="F53"/>
      <c r="G53"/>
      <c r="H53"/>
    </row>
    <row r="54" spans="1:10" x14ac:dyDescent="0.2">
      <c r="B54"/>
      <c r="C54"/>
      <c r="D54"/>
      <c r="E54"/>
      <c r="F54"/>
      <c r="G54"/>
      <c r="H54"/>
    </row>
    <row r="55" spans="1:10" x14ac:dyDescent="0.2">
      <c r="B55"/>
      <c r="C55"/>
      <c r="D55"/>
      <c r="E55"/>
      <c r="F55"/>
      <c r="G55"/>
      <c r="H55"/>
    </row>
  </sheetData>
  <printOptions horizontalCentered="1"/>
  <pageMargins left="0.25" right="0.25" top="0.75" bottom="0.75" header="0.3" footer="0.3"/>
  <pageSetup scale="62" firstPageNumber="4294967295" orientation="portrait" r:id="rId1"/>
  <headerFooter>
    <oddHeader>&amp;C&amp;A&amp;RMassachusetts Electric Company
Nantucket Electric Company
each d/b/a National Grid
D.P.U. 23-150
Attachment DPU-39-8
Page &amp;P of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1FC13D8496949BFCCB7FF1ED14DC9" ma:contentTypeVersion="18" ma:contentTypeDescription="Create a new document." ma:contentTypeScope="" ma:versionID="df47c0aabbbd43a91e3c32749c767843">
  <xsd:schema xmlns:xsd="http://www.w3.org/2001/XMLSchema" xmlns:xs="http://www.w3.org/2001/XMLSchema" xmlns:p="http://schemas.microsoft.com/office/2006/metadata/properties" xmlns:ns2="b2b8eca7-947c-4ce3-b27a-ae65d5bd536c" xmlns:ns3="717ccf4b-b59a-4600-8941-e3113e3338db" targetNamespace="http://schemas.microsoft.com/office/2006/metadata/properties" ma:root="true" ma:fieldsID="1225f534d72ed9fb1082cc002dfec3fe" ns2:_="" ns3:_="">
    <xsd:import namespace="b2b8eca7-947c-4ce3-b27a-ae65d5bd536c"/>
    <xsd:import namespace="717ccf4b-b59a-4600-8941-e3113e3338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8eca7-947c-4ce3-b27a-ae65d5bd53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41da8db-2bdd-4807-9008-293542b601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ccf4b-b59a-4600-8941-e3113e3338d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745b0d3-7a31-48fd-a0a2-8593cd3d1d11}" ma:internalName="TaxCatchAll" ma:showField="CatchAllData" ma:web="717ccf4b-b59a-4600-8941-e3113e3338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b8eca7-947c-4ce3-b27a-ae65d5bd536c">
      <Terms xmlns="http://schemas.microsoft.com/office/infopath/2007/PartnerControls"/>
    </lcf76f155ced4ddcb4097134ff3c332f>
    <TaxCatchAll xmlns="717ccf4b-b59a-4600-8941-e3113e3338db" xsi:nil="true"/>
  </documentManagement>
</p:properties>
</file>

<file path=customXml/itemProps1.xml><?xml version="1.0" encoding="utf-8"?>
<ds:datastoreItem xmlns:ds="http://schemas.openxmlformats.org/officeDocument/2006/customXml" ds:itemID="{23FCB100-2C7F-477F-93C4-90B4B648D8A8}"/>
</file>

<file path=customXml/itemProps2.xml><?xml version="1.0" encoding="utf-8"?>
<ds:datastoreItem xmlns:ds="http://schemas.openxmlformats.org/officeDocument/2006/customXml" ds:itemID="{D54AAE1F-1CE9-4362-9AD7-85BBF342D83D}"/>
</file>

<file path=customXml/itemProps3.xml><?xml version="1.0" encoding="utf-8"?>
<ds:datastoreItem xmlns:ds="http://schemas.openxmlformats.org/officeDocument/2006/customXml" ds:itemID="{6CF05CDD-7662-43BC-A08E-5E3AC10EB9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Bill Impacts Calculation R1</vt:lpstr>
      <vt:lpstr>Bill Frequency Data R1</vt:lpstr>
      <vt:lpstr>'Bill Frequency Data R1'!Print_Area</vt:lpstr>
      <vt:lpstr>'Bill Impacts Calculation R1'!Print_Area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Gorman</dc:creator>
  <cp:lastModifiedBy>Michael Hershberg</cp:lastModifiedBy>
  <cp:lastPrinted>2024-03-26T20:07:44Z</cp:lastPrinted>
  <dcterms:created xsi:type="dcterms:W3CDTF">2023-09-06T02:24:43Z</dcterms:created>
  <dcterms:modified xsi:type="dcterms:W3CDTF">2024-04-03T13:34:00Z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0x010100BAC1FC13D8496949BFCCB7FF1ED14DC9</vt:lpwstr>
  </property>
</Properties>
</file>