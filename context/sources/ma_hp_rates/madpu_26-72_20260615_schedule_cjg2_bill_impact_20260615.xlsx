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Z:\FinReg\MA Gas and Electric\DPU 25-08 DOER Heat Pump Petition\Compliance Filing 06.15.26\Filing Support\"/>
    </mc:Choice>
  </mc:AlternateContent>
  <xr:revisionPtr revIDLastSave="0" documentId="13_ncr:1_{98A93184-530B-44D5-BE87-F64FD591C4C8}" xr6:coauthVersionLast="47" xr6:coauthVersionMax="47" xr10:uidLastSave="{00000000-0000-0000-0000-000000000000}"/>
  <bookViews>
    <workbookView xWindow="-120" yWindow="-120" windowWidth="38640" windowHeight="15720" firstSheet="1" activeTab="1" xr2:uid="{8899EE51-4CA0-4541-BA63-5C74B60980CD}"/>
  </bookViews>
  <sheets>
    <sheet name=" Rate Change Summary" sheetId="121" state="veryHidden" r:id="rId1"/>
    <sheet name="HP-RES" sheetId="126" r:id="rId2"/>
    <sheet name="HP-RES LI" sheetId="153" r:id="rId3"/>
    <sheet name="Part A Delivery Rates " sheetId="147" state="veryHidden" r:id="rId4"/>
    <sheet name="Part B Reconciling Rates " sheetId="148" state="veryHidden" r:id="rId5"/>
    <sheet name="Part B Outdoor Lighting " sheetId="149" state="veryHidden" r:id="rId6"/>
    <sheet name="Part C Basic Service " sheetId="150" state="veryHidden" r:id="rId7"/>
    <sheet name="Part D EV-DCA" sheetId="151" state="veryHidden" r:id="rId8"/>
    <sheet name="Part E Appendix " sheetId="152" state="veryHidden" r:id="rId9"/>
  </sheets>
  <definedNames>
    <definedName name="_Key1" hidden="1">#REF!</definedName>
    <definedName name="_Order1" hidden="1">255</definedName>
    <definedName name="_Sort" hidden="1">#REF!</definedName>
    <definedName name="A_Print_All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 Rate Change Summary'!$B$1:$J$35</definedName>
    <definedName name="_xlnm.Print_Area" localSheetId="1">'HP-RES'!$B$3:$U$69</definedName>
    <definedName name="_xlnm.Print_Area" localSheetId="2">'HP-RES LI'!$B$3:$U$73</definedName>
    <definedName name="_xlnm.Print_Area" localSheetId="3">'Part A Delivery Rates '!$A$1:$T$73</definedName>
    <definedName name="_xlnm.Print_Area" localSheetId="5">'Part B Outdoor Lighting '!$A$1:$K$64</definedName>
    <definedName name="_xlnm.Print_Area" localSheetId="4">'Part B Reconciling Rates '!$A$1:$O$34</definedName>
    <definedName name="_xlnm.Print_Area" localSheetId="6">'Part C Basic Service '!$A$1:$J$48</definedName>
    <definedName name="_xlnm.Print_Area" localSheetId="7">'Part D EV-DCA'!$A$1:$Y$90</definedName>
    <definedName name="_xlnm.Print_Area" localSheetId="8">'Part E Appendix '!$A$1:$E$37</definedName>
    <definedName name="shading">#REF!,#REF!,#REF!,#REF!,#REF!,#REF!,#REF!</definedName>
    <definedName name="shading2">#REF!,#REF!,#REF!,#REF!</definedName>
    <definedName name="tariff20">#REF!</definedName>
    <definedName name="tariff20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53" l="1"/>
  <c r="T77" i="153"/>
  <c r="Q77" i="153"/>
  <c r="P77" i="153"/>
  <c r="I77" i="153"/>
  <c r="H77" i="153"/>
  <c r="Q71" i="153"/>
  <c r="P71" i="153"/>
  <c r="S69" i="153"/>
  <c r="S68" i="153"/>
  <c r="T69" i="153"/>
  <c r="T68" i="153"/>
  <c r="S65" i="153"/>
  <c r="Q69" i="153"/>
  <c r="P69" i="153"/>
  <c r="Q68" i="153"/>
  <c r="P68" i="153"/>
  <c r="I68" i="153"/>
  <c r="H68" i="153"/>
  <c r="P65" i="153"/>
  <c r="I65" i="153"/>
  <c r="Q65" i="153" s="1"/>
  <c r="T65" i="153" s="1"/>
  <c r="P61" i="153"/>
  <c r="S61" i="153" s="1"/>
  <c r="I61" i="153"/>
  <c r="Q61" i="153" s="1"/>
  <c r="T61" i="153" s="1"/>
  <c r="H59" i="153"/>
  <c r="P58" i="153"/>
  <c r="S58" i="153" s="1"/>
  <c r="I58" i="153"/>
  <c r="Q58" i="153" s="1"/>
  <c r="T58" i="153" s="1"/>
  <c r="P57" i="153"/>
  <c r="S57" i="153" s="1"/>
  <c r="I57" i="153"/>
  <c r="I59" i="153" s="1"/>
  <c r="T54" i="153"/>
  <c r="S54" i="153"/>
  <c r="Q53" i="153"/>
  <c r="P53" i="153"/>
  <c r="I53" i="153"/>
  <c r="I55" i="153" s="1"/>
  <c r="H53" i="153"/>
  <c r="H55" i="153" s="1"/>
  <c r="H51" i="153"/>
  <c r="P51" i="153" s="1"/>
  <c r="S51" i="153" s="1"/>
  <c r="P50" i="153"/>
  <c r="S50" i="153" s="1"/>
  <c r="I50" i="153"/>
  <c r="Q50" i="153" s="1"/>
  <c r="T50" i="153" s="1"/>
  <c r="P49" i="153"/>
  <c r="S49" i="153" s="1"/>
  <c r="I49" i="153"/>
  <c r="Q49" i="153" s="1"/>
  <c r="T49" i="153" s="1"/>
  <c r="H46" i="153"/>
  <c r="H47" i="153" s="1"/>
  <c r="P45" i="153"/>
  <c r="S45" i="153" s="1"/>
  <c r="I45" i="153"/>
  <c r="Q45" i="153" s="1"/>
  <c r="T45" i="153" s="1"/>
  <c r="P44" i="153"/>
  <c r="S44" i="153" s="1"/>
  <c r="I44" i="153"/>
  <c r="Q44" i="153" s="1"/>
  <c r="T44" i="153" s="1"/>
  <c r="P43" i="153"/>
  <c r="S43" i="153" s="1"/>
  <c r="I43" i="153"/>
  <c r="Q43" i="153" s="1"/>
  <c r="T43" i="153" s="1"/>
  <c r="P42" i="153"/>
  <c r="S42" i="153" s="1"/>
  <c r="I42" i="153"/>
  <c r="Q42" i="153" s="1"/>
  <c r="T42" i="153" s="1"/>
  <c r="P41" i="153"/>
  <c r="S41" i="153" s="1"/>
  <c r="I41" i="153"/>
  <c r="Q41" i="153" s="1"/>
  <c r="T41" i="153" s="1"/>
  <c r="P40" i="153"/>
  <c r="S40" i="153" s="1"/>
  <c r="I40" i="153"/>
  <c r="Q40" i="153" s="1"/>
  <c r="T40" i="153" s="1"/>
  <c r="P39" i="153"/>
  <c r="S39" i="153" s="1"/>
  <c r="I39" i="153"/>
  <c r="Q39" i="153" s="1"/>
  <c r="T39" i="153" s="1"/>
  <c r="P38" i="153"/>
  <c r="S38" i="153" s="1"/>
  <c r="I38" i="153"/>
  <c r="Q36" i="153"/>
  <c r="T36" i="153" s="1"/>
  <c r="P36" i="153"/>
  <c r="Q34" i="153"/>
  <c r="T34" i="153" s="1"/>
  <c r="P34" i="153"/>
  <c r="S34" i="153" s="1"/>
  <c r="F27" i="153"/>
  <c r="F26" i="153"/>
  <c r="F25" i="153"/>
  <c r="T34" i="126"/>
  <c r="S34" i="126"/>
  <c r="T36" i="126"/>
  <c r="S36" i="126"/>
  <c r="T54" i="126"/>
  <c r="Q53" i="126"/>
  <c r="T53" i="153" l="1"/>
  <c r="S53" i="153"/>
  <c r="P59" i="153"/>
  <c r="S59" i="153" s="1"/>
  <c r="P55" i="153"/>
  <c r="S55" i="153" s="1"/>
  <c r="I46" i="153"/>
  <c r="I47" i="153" s="1"/>
  <c r="Q55" i="153"/>
  <c r="H62" i="153"/>
  <c r="S36" i="153"/>
  <c r="Q38" i="153"/>
  <c r="I51" i="153"/>
  <c r="Q51" i="153" s="1"/>
  <c r="T51" i="153" s="1"/>
  <c r="Q57" i="153"/>
  <c r="P46" i="153"/>
  <c r="S46" i="153" s="1"/>
  <c r="T55" i="153"/>
  <c r="H69" i="153" l="1"/>
  <c r="Q59" i="153"/>
  <c r="T59" i="153" s="1"/>
  <c r="T57" i="153"/>
  <c r="P47" i="153"/>
  <c r="I62" i="153"/>
  <c r="I69" i="153" s="1"/>
  <c r="I71" i="153" s="1"/>
  <c r="Q46" i="153"/>
  <c r="T38" i="153"/>
  <c r="H71" i="153" l="1"/>
  <c r="H18" i="153" s="1"/>
  <c r="H23" i="153"/>
  <c r="H22" i="153"/>
  <c r="H13" i="153"/>
  <c r="H15" i="153"/>
  <c r="H14" i="153"/>
  <c r="H12" i="153"/>
  <c r="T46" i="153"/>
  <c r="Q47" i="153"/>
  <c r="S47" i="153"/>
  <c r="P62" i="153"/>
  <c r="H21" i="153" l="1"/>
  <c r="H17" i="153"/>
  <c r="H20" i="153"/>
  <c r="H27" i="153"/>
  <c r="H16" i="153"/>
  <c r="H19" i="153"/>
  <c r="H25" i="153"/>
  <c r="H26" i="153"/>
  <c r="T47" i="153"/>
  <c r="Q62" i="153"/>
  <c r="S62" i="153"/>
  <c r="S71" i="153" l="1"/>
  <c r="I19" i="153"/>
  <c r="I20" i="153"/>
  <c r="I16" i="153"/>
  <c r="I18" i="153"/>
  <c r="I21" i="153"/>
  <c r="I17" i="153"/>
  <c r="T62" i="153"/>
  <c r="T71" i="153" l="1"/>
  <c r="I23" i="153"/>
  <c r="I22" i="153"/>
  <c r="I13" i="153"/>
  <c r="I15" i="153"/>
  <c r="I12" i="153"/>
  <c r="I14" i="153"/>
  <c r="I27" i="153"/>
  <c r="M17" i="153"/>
  <c r="K17" i="153"/>
  <c r="M21" i="153"/>
  <c r="K21" i="153"/>
  <c r="M18" i="153"/>
  <c r="K18" i="153"/>
  <c r="K16" i="153"/>
  <c r="M16" i="153"/>
  <c r="I25" i="153"/>
  <c r="K20" i="153"/>
  <c r="M20" i="153"/>
  <c r="K19" i="153"/>
  <c r="M19" i="153"/>
  <c r="I26" i="153" l="1"/>
  <c r="M12" i="153"/>
  <c r="K12" i="153"/>
  <c r="M25" i="153"/>
  <c r="K25" i="153"/>
  <c r="M15" i="153"/>
  <c r="K15" i="153"/>
  <c r="M22" i="153"/>
  <c r="K22" i="153"/>
  <c r="M27" i="153"/>
  <c r="K27" i="153"/>
  <c r="M14" i="153"/>
  <c r="K14" i="153"/>
  <c r="M13" i="153"/>
  <c r="K13" i="153"/>
  <c r="K23" i="153"/>
  <c r="M23" i="153"/>
  <c r="K26" i="153" l="1"/>
  <c r="M26" i="153"/>
  <c r="P65" i="126"/>
  <c r="P61" i="126"/>
  <c r="Q57" i="126"/>
  <c r="T57" i="126" s="1"/>
  <c r="P58" i="126"/>
  <c r="P57" i="126"/>
  <c r="P55" i="126"/>
  <c r="P53" i="126"/>
  <c r="P50" i="126"/>
  <c r="P49" i="126"/>
  <c r="Q44" i="126"/>
  <c r="T44" i="126" s="1"/>
  <c r="Q42" i="126"/>
  <c r="T42" i="126" s="1"/>
  <c r="Q41" i="126"/>
  <c r="T41" i="126" s="1"/>
  <c r="Q36" i="126"/>
  <c r="Q34" i="126"/>
  <c r="P34" i="126"/>
  <c r="P36" i="126"/>
  <c r="P45" i="126"/>
  <c r="P44" i="126"/>
  <c r="P43" i="126"/>
  <c r="P42" i="126"/>
  <c r="P41" i="126"/>
  <c r="P40" i="126"/>
  <c r="P39" i="126"/>
  <c r="P38" i="126"/>
  <c r="F25" i="126"/>
  <c r="F27" i="126"/>
  <c r="F26" i="126"/>
  <c r="I65" i="126"/>
  <c r="Q65" i="126" s="1"/>
  <c r="T65" i="126" s="1"/>
  <c r="I61" i="126"/>
  <c r="Q61" i="126" s="1"/>
  <c r="T61" i="126" s="1"/>
  <c r="I58" i="126"/>
  <c r="Q58" i="126" s="1"/>
  <c r="T58" i="126" s="1"/>
  <c r="I57" i="126"/>
  <c r="I53" i="126"/>
  <c r="T53" i="126" s="1"/>
  <c r="I50" i="126"/>
  <c r="Q50" i="126" s="1"/>
  <c r="T50" i="126" s="1"/>
  <c r="I49" i="126"/>
  <c r="Q49" i="126" s="1"/>
  <c r="T49" i="126" s="1"/>
  <c r="I45" i="126"/>
  <c r="Q45" i="126" s="1"/>
  <c r="T45" i="126" s="1"/>
  <c r="I44" i="126"/>
  <c r="I43" i="126"/>
  <c r="Q43" i="126" s="1"/>
  <c r="T43" i="126" s="1"/>
  <c r="I42" i="126"/>
  <c r="I41" i="126"/>
  <c r="I40" i="126"/>
  <c r="Q40" i="126" s="1"/>
  <c r="T40" i="126" s="1"/>
  <c r="I39" i="126"/>
  <c r="Q39" i="126" s="1"/>
  <c r="T39" i="126" s="1"/>
  <c r="I38" i="126"/>
  <c r="Q38" i="126" s="1"/>
  <c r="T38" i="126" s="1"/>
  <c r="H53" i="126"/>
  <c r="H46" i="126"/>
  <c r="H47" i="126" s="1"/>
  <c r="Q47" i="126" l="1"/>
  <c r="Q59" i="126"/>
  <c r="Q55" i="126"/>
  <c r="I46" i="126"/>
  <c r="I47" i="126" s="1"/>
  <c r="I55" i="126"/>
  <c r="I59" i="126"/>
  <c r="Q46" i="126"/>
  <c r="M13" i="148"/>
  <c r="H13" i="148"/>
  <c r="F13" i="148"/>
  <c r="E13" i="148"/>
  <c r="D13" i="148"/>
  <c r="N13" i="148" s="1"/>
  <c r="T55" i="126" l="1"/>
  <c r="T47" i="126"/>
  <c r="T59" i="126"/>
  <c r="T46" i="126"/>
  <c r="H51" i="126"/>
  <c r="P51" i="126" s="1"/>
  <c r="C23" i="152"/>
  <c r="C24" i="152" s="1"/>
  <c r="C25" i="152" s="1"/>
  <c r="C26" i="152" s="1"/>
  <c r="C28" i="152" s="1"/>
  <c r="C29" i="152" s="1"/>
  <c r="B31" i="151"/>
  <c r="B38" i="151" s="1"/>
  <c r="B24" i="150"/>
  <c r="B26" i="150" s="1"/>
  <c r="B27" i="150" s="1"/>
  <c r="B14" i="150"/>
  <c r="B16" i="150" s="1"/>
  <c r="B17" i="150" s="1"/>
  <c r="B19" i="150" s="1"/>
  <c r="B20" i="150" s="1"/>
  <c r="Z23" i="147"/>
  <c r="Z18" i="147"/>
  <c r="S15" i="147"/>
  <c r="P15" i="147"/>
  <c r="U15" i="147" s="1"/>
  <c r="I51" i="126" l="1"/>
  <c r="Q51" i="126" s="1"/>
  <c r="T51" i="126" s="1"/>
  <c r="Y18" i="147"/>
  <c r="Z26" i="147"/>
  <c r="Z29" i="147" s="1"/>
  <c r="Q62" i="126" l="1"/>
  <c r="I62" i="126"/>
  <c r="I67" i="126" s="1"/>
  <c r="Y23" i="147"/>
  <c r="Y26" i="147" s="1"/>
  <c r="Y29" i="147" s="1"/>
  <c r="Q67" i="126" l="1"/>
  <c r="T67" i="126" s="1"/>
  <c r="T62" i="126"/>
  <c r="H22" i="126"/>
  <c r="H14" i="126"/>
  <c r="H13" i="126"/>
  <c r="H15" i="126"/>
  <c r="H12" i="126"/>
  <c r="H23" i="126"/>
  <c r="I15" i="126"/>
  <c r="I22" i="126"/>
  <c r="I14" i="126"/>
  <c r="I12" i="126"/>
  <c r="I23" i="126" l="1"/>
  <c r="H26" i="126"/>
  <c r="I13" i="126"/>
  <c r="M12" i="126"/>
  <c r="I26" i="126"/>
  <c r="K12" i="126"/>
  <c r="M13" i="126"/>
  <c r="K13" i="126"/>
  <c r="M14" i="126"/>
  <c r="K14" i="126"/>
  <c r="M22" i="126"/>
  <c r="K22" i="126"/>
  <c r="M15" i="126"/>
  <c r="K15" i="126"/>
  <c r="M23" i="126"/>
  <c r="K23" i="126"/>
  <c r="K26" i="126" l="1"/>
  <c r="M26" i="126"/>
  <c r="S44" i="126"/>
  <c r="P46" i="126" l="1"/>
  <c r="P47" i="126" s="1"/>
  <c r="S46" i="126" l="1"/>
  <c r="H59" i="126" l="1"/>
  <c r="S58" i="126"/>
  <c r="S57" i="126"/>
  <c r="S61" i="126"/>
  <c r="S41" i="126"/>
  <c r="H55" i="126"/>
  <c r="H62" i="126" l="1"/>
  <c r="H67" i="126" s="1"/>
  <c r="P59" i="126"/>
  <c r="H16" i="126" l="1"/>
  <c r="H21" i="126"/>
  <c r="H20" i="126"/>
  <c r="H19" i="126"/>
  <c r="H18" i="126"/>
  <c r="H17" i="126"/>
  <c r="H27" i="126"/>
  <c r="S65" i="126"/>
  <c r="S59" i="126"/>
  <c r="H25" i="126" l="1"/>
  <c r="S54" i="126" l="1"/>
  <c r="P62" i="126"/>
  <c r="S55" i="126" l="1"/>
  <c r="S62" i="126" l="1"/>
  <c r="P67" i="126"/>
  <c r="I21" i="126" l="1"/>
  <c r="I16" i="126"/>
  <c r="I17" i="126"/>
  <c r="I19" i="126"/>
  <c r="I18" i="126"/>
  <c r="I20" i="126"/>
  <c r="I27" i="126"/>
  <c r="S38" i="126"/>
  <c r="K27" i="126" l="1"/>
  <c r="M27" i="126"/>
  <c r="M20" i="126"/>
  <c r="K20" i="126"/>
  <c r="M18" i="126"/>
  <c r="K18" i="126"/>
  <c r="M19" i="126"/>
  <c r="K19" i="126"/>
  <c r="K17" i="126"/>
  <c r="M17" i="126"/>
  <c r="K16" i="126"/>
  <c r="I25" i="126"/>
  <c r="M16" i="126"/>
  <c r="M21" i="126"/>
  <c r="K21" i="126"/>
  <c r="S39" i="126"/>
  <c r="S51" i="126"/>
  <c r="S49" i="126"/>
  <c r="S40" i="126"/>
  <c r="S43" i="126"/>
  <c r="S42" i="126"/>
  <c r="S45" i="126"/>
  <c r="S50" i="126"/>
  <c r="M25" i="126" l="1"/>
  <c r="K25" i="126"/>
  <c r="S53" i="126" l="1"/>
  <c r="S47" i="126" l="1"/>
  <c r="S67" i="126" l="1"/>
</calcChain>
</file>

<file path=xl/sharedStrings.xml><?xml version="1.0" encoding="utf-8"?>
<sst xmlns="http://schemas.openxmlformats.org/spreadsheetml/2006/main" count="882" uniqueCount="348">
  <si>
    <t>Customer Charge</t>
  </si>
  <si>
    <t>Description</t>
  </si>
  <si>
    <t>Residential</t>
  </si>
  <si>
    <t>Total</t>
  </si>
  <si>
    <t>Class</t>
  </si>
  <si>
    <t>Rate</t>
  </si>
  <si>
    <t>Distribution</t>
  </si>
  <si>
    <t>Customer</t>
  </si>
  <si>
    <t>Charge</t>
  </si>
  <si>
    <t>RD-1</t>
  </si>
  <si>
    <t>RD-2</t>
  </si>
  <si>
    <t>GD-1</t>
  </si>
  <si>
    <t>GD-2</t>
  </si>
  <si>
    <t>Regular General</t>
  </si>
  <si>
    <t>GD-3</t>
  </si>
  <si>
    <t>Large General</t>
  </si>
  <si>
    <t>GD-4</t>
  </si>
  <si>
    <t>GD-5</t>
  </si>
  <si>
    <t>SD</t>
  </si>
  <si>
    <t>SDC</t>
  </si>
  <si>
    <t>Revenue</t>
  </si>
  <si>
    <t>Rates</t>
  </si>
  <si>
    <t/>
  </si>
  <si>
    <t>Lumens</t>
  </si>
  <si>
    <t>Luminaire</t>
  </si>
  <si>
    <t>Street and Highway Type</t>
  </si>
  <si>
    <t>Flood Light Type</t>
  </si>
  <si>
    <t>Power Bracket Included</t>
  </si>
  <si>
    <t>Cobra Head Type</t>
  </si>
  <si>
    <t>Light Emitting Diode (LED):</t>
  </si>
  <si>
    <t>Ornamental Lighting:</t>
  </si>
  <si>
    <t>Fitchburg Gas and Electric Light Company d/b/a Unitil</t>
  </si>
  <si>
    <t>All kWh</t>
  </si>
  <si>
    <t>GD-1 Small General Service</t>
  </si>
  <si>
    <t>GD-3 Large General Service</t>
  </si>
  <si>
    <t>On Peak kWh</t>
  </si>
  <si>
    <t>Off Peak kWh</t>
  </si>
  <si>
    <t>Energy</t>
  </si>
  <si>
    <t>Component</t>
  </si>
  <si>
    <t>Difference</t>
  </si>
  <si>
    <t>Current Rates</t>
  </si>
  <si>
    <t>Proposed Rates</t>
  </si>
  <si>
    <t>%</t>
  </si>
  <si>
    <t>Monthly</t>
  </si>
  <si>
    <t xml:space="preserve">Total </t>
  </si>
  <si>
    <t xml:space="preserve">Delivery </t>
  </si>
  <si>
    <t>kWh</t>
  </si>
  <si>
    <t>Delivery Charges:</t>
  </si>
  <si>
    <t>Internal Transmission</t>
  </si>
  <si>
    <t>External Transmission</t>
  </si>
  <si>
    <t>Pension/PBOP Adjustment Factor</t>
  </si>
  <si>
    <t>Residential Assistance Adjustment Factor</t>
  </si>
  <si>
    <t>Net Metering Recovery Surcharge</t>
  </si>
  <si>
    <t>Revenue Decoupling Adjustment Factor</t>
  </si>
  <si>
    <t>Attorney General Consultant Expense Factor</t>
  </si>
  <si>
    <t>L-T Renewable Contract Adjustment Factor</t>
  </si>
  <si>
    <t>Capital Cost Adjustment Factor</t>
  </si>
  <si>
    <t>Grid Modernization Factor</t>
  </si>
  <si>
    <t>Basic Service Adjustment</t>
  </si>
  <si>
    <t>Storm Reserve Adjustment Factor</t>
  </si>
  <si>
    <t>SMART Factor</t>
  </si>
  <si>
    <t>Supplier Charges:</t>
  </si>
  <si>
    <t>Discount</t>
  </si>
  <si>
    <t>Fixed Charges</t>
  </si>
  <si>
    <t>Volumetric Charges - All kWh</t>
  </si>
  <si>
    <t>All kW</t>
  </si>
  <si>
    <t>TOTAL</t>
  </si>
  <si>
    <t>40.0% Low Income Discount</t>
  </si>
  <si>
    <t>.</t>
  </si>
  <si>
    <t>Base</t>
  </si>
  <si>
    <t>Transmission</t>
  </si>
  <si>
    <t>No.</t>
  </si>
  <si>
    <t>Current rates:</t>
  </si>
  <si>
    <t>GD-2,</t>
  </si>
  <si>
    <t xml:space="preserve">GD-4, GD-5, </t>
  </si>
  <si>
    <t>Internal</t>
  </si>
  <si>
    <t>Transition</t>
  </si>
  <si>
    <t>M.D.P.U.</t>
  </si>
  <si>
    <t>Service Cost</t>
  </si>
  <si>
    <t>External</t>
  </si>
  <si>
    <t>Renewable</t>
  </si>
  <si>
    <t>Service</t>
  </si>
  <si>
    <t>Blocks</t>
  </si>
  <si>
    <t>Surcharge</t>
  </si>
  <si>
    <t>Adjustment</t>
  </si>
  <si>
    <t xml:space="preserve">Transmission </t>
  </si>
  <si>
    <t>Resource</t>
  </si>
  <si>
    <t>Efficiency</t>
  </si>
  <si>
    <t xml:space="preserve">Farm Credit </t>
  </si>
  <si>
    <t>Last Change</t>
  </si>
  <si>
    <t>On Peak kVA</t>
  </si>
  <si>
    <t>ALL</t>
  </si>
  <si>
    <t>Transformer Ownership Credit of $0.19 may apply to all kW for schedules GD-2 and GD-4.</t>
  </si>
  <si>
    <t>GENERAL</t>
  </si>
  <si>
    <t>High Voltage Metering and No Transformation, 3% Discount at 4,160 Volts or Over may apply to all kW / kVA and kWh.</t>
  </si>
  <si>
    <t>Farm Credit</t>
  </si>
  <si>
    <t>Exogenous</t>
  </si>
  <si>
    <t>Decoupling</t>
  </si>
  <si>
    <t xml:space="preserve">Cost </t>
  </si>
  <si>
    <t>Basic</t>
  </si>
  <si>
    <t>Company Owned Outdoor Lighting Delivery Service - Luminaire Charges</t>
  </si>
  <si>
    <t>Lamp Size</t>
  </si>
  <si>
    <t>Type of</t>
  </si>
  <si>
    <t>Per Month</t>
  </si>
  <si>
    <t>Per Year</t>
  </si>
  <si>
    <t>Mercury Vapor*:</t>
  </si>
  <si>
    <t>Last Change - All Luminaires</t>
  </si>
  <si>
    <t>* Mercury Vapor Lighting is not available for new lighting installations, effective January 1, 1991.</t>
  </si>
  <si>
    <t>Last change</t>
  </si>
  <si>
    <t>Fixed</t>
  </si>
  <si>
    <t>Variable</t>
  </si>
  <si>
    <t>RD-1 Farm Credit</t>
  </si>
  <si>
    <t>GD-2, GD-4, GD-5, SD</t>
  </si>
  <si>
    <t>Large General - GD-3</t>
  </si>
  <si>
    <t>N/A</t>
  </si>
  <si>
    <t>MARKET</t>
  </si>
  <si>
    <t>Energy Efficiency Reconciliation Factor</t>
  </si>
  <si>
    <t xml:space="preserve">Difference </t>
  </si>
  <si>
    <t>Generation Charge</t>
  </si>
  <si>
    <t>PART A - TOTAL DELIVERY RATES</t>
  </si>
  <si>
    <t>(1) Reconciling Rates = Sum of Part B Rates</t>
  </si>
  <si>
    <t>Distribution Charges</t>
  </si>
  <si>
    <t>Distributed Solar (SMART)</t>
  </si>
  <si>
    <t>Transmission Charges</t>
  </si>
  <si>
    <t>Energy Efficiency Charge (EEC)</t>
  </si>
  <si>
    <t>MDPU</t>
  </si>
  <si>
    <t>System Benefits</t>
  </si>
  <si>
    <t>Recon. Factor</t>
  </si>
  <si>
    <t>Schedule</t>
  </si>
  <si>
    <t>Code</t>
  </si>
  <si>
    <t>Area</t>
  </si>
  <si>
    <t>ITSCA</t>
  </si>
  <si>
    <t>Total EEC</t>
  </si>
  <si>
    <t>MDPU No. 304</t>
  </si>
  <si>
    <t>MDPU No. 305</t>
  </si>
  <si>
    <t>MDPU No. 436</t>
  </si>
  <si>
    <t>MDTE No. 37</t>
  </si>
  <si>
    <t>Energy (kWh)</t>
  </si>
  <si>
    <t>Residential Assistance</t>
  </si>
  <si>
    <t>40.0% Low Income</t>
  </si>
  <si>
    <t>Small General Service</t>
  </si>
  <si>
    <t>Medium General Service</t>
  </si>
  <si>
    <t>Demand (All kW)</t>
  </si>
  <si>
    <t>Large General Service</t>
  </si>
  <si>
    <t>Demand (On-Peak kVA)</t>
  </si>
  <si>
    <t>Peak kWh</t>
  </si>
  <si>
    <t>Optional Time of Use</t>
  </si>
  <si>
    <t>Demand (On-Peak kW)</t>
  </si>
  <si>
    <t xml:space="preserve">Water Heating and/or </t>
  </si>
  <si>
    <t>Space Heating</t>
  </si>
  <si>
    <t>Fixture Charge/Customer Charge</t>
  </si>
  <si>
    <t>Per Rate Schedule, Part B Outdoor Lighting</t>
  </si>
  <si>
    <t>Per Rate Schedule</t>
  </si>
  <si>
    <t>Street Lighting</t>
  </si>
  <si>
    <t>PART B - RECONCILING RATES</t>
  </si>
  <si>
    <t>All Rates are in $/kWh across all hours and usage levels; totals appear in Part A</t>
  </si>
  <si>
    <t>Sector</t>
  </si>
  <si>
    <t>Service Area</t>
  </si>
  <si>
    <t>Pension Adjustment Factor 
(PAF)</t>
  </si>
  <si>
    <t>Residential Assistance Adjustment Factor
(RAAF)</t>
  </si>
  <si>
    <t>Attorney General Consulting Expense
(AGCE)</t>
  </si>
  <si>
    <t>Long Term Renewable Contract Adjustment
(LTRCA)</t>
  </si>
  <si>
    <t>Solar Cost Adjustment Factor (SCA)</t>
  </si>
  <si>
    <t>Basic Service Adjustment
(BSA)</t>
  </si>
  <si>
    <t xml:space="preserve">Grid Modernization Factor (GMF) </t>
  </si>
  <si>
    <t>Capital Cost Adjustment Factor (CCA)</t>
  </si>
  <si>
    <t>Advanced Metering Infrastructure Factor (AMIF)</t>
  </si>
  <si>
    <t>Storm Resiliency Program Adjustment Factor (SRPAF)</t>
  </si>
  <si>
    <t>Storm Reserve Adjustment Factor (SRAF)</t>
  </si>
  <si>
    <t>MDPU No. 446</t>
  </si>
  <si>
    <t>MDPU No. 444</t>
  </si>
  <si>
    <t>MDPU No. 447</t>
  </si>
  <si>
    <t>MDPU No. 435</t>
  </si>
  <si>
    <t>MDPU No. 438</t>
  </si>
  <si>
    <t>MDPU No. 361</t>
  </si>
  <si>
    <t>Small General Service GD-1</t>
  </si>
  <si>
    <t>Regular General Service GD-2, GD-4, GD-5</t>
  </si>
  <si>
    <t>Large General Service GD-3</t>
  </si>
  <si>
    <t>Outdoor Lighting SD</t>
  </si>
  <si>
    <t>Outdoor Lighting Customer Owned - SDC</t>
  </si>
  <si>
    <t>PART B - OUTDOOR LIGHTING DELIVERY RATES</t>
  </si>
  <si>
    <t>High Pressure Sodium**:</t>
  </si>
  <si>
    <t>Wattage Ranges</t>
  </si>
  <si>
    <t>20-30</t>
  </si>
  <si>
    <t>31-40</t>
  </si>
  <si>
    <t>41-50</t>
  </si>
  <si>
    <t>51-60</t>
  </si>
  <si>
    <t>61-80</t>
  </si>
  <si>
    <t>81-110</t>
  </si>
  <si>
    <t>111-150</t>
  </si>
  <si>
    <t>40-60</t>
  </si>
  <si>
    <t>Flood Light Type - CREE</t>
  </si>
  <si>
    <t>350-390</t>
  </si>
  <si>
    <t>Yard Light Type</t>
  </si>
  <si>
    <t>**High Pressure Sodium Lighting is not available for new lighting installations, effective September 1, 2023.</t>
  </si>
  <si>
    <t>All Rates are in $/kWh across all hours and usage levels</t>
  </si>
  <si>
    <t>Type</t>
  </si>
  <si>
    <t>Small General Service - GD-1</t>
  </si>
  <si>
    <t>Medium General and Outdoor Lighting</t>
  </si>
  <si>
    <t>PART D - EV &amp; DEMAND CHARGE ALTERNATIVE RATES</t>
  </si>
  <si>
    <t>Electric Vehicle Rates - Delivery and Supply</t>
  </si>
  <si>
    <t xml:space="preserve">Reconciling </t>
  </si>
  <si>
    <t>Costs</t>
  </si>
  <si>
    <t>Delivery and</t>
  </si>
  <si>
    <t>Adjustments</t>
  </si>
  <si>
    <t>Adder</t>
  </si>
  <si>
    <t>Supply</t>
  </si>
  <si>
    <t>EV-RES</t>
  </si>
  <si>
    <t>Off-Peak kWh</t>
  </si>
  <si>
    <t>Mid-Peak kWh</t>
  </si>
  <si>
    <t>On-Peak kWh</t>
  </si>
  <si>
    <t>GD-2 Electric Vehicle</t>
  </si>
  <si>
    <t>Price Schedule A</t>
  </si>
  <si>
    <t>0% &lt;= Load Factor &lt;=5%</t>
  </si>
  <si>
    <t>Price Schedule B</t>
  </si>
  <si>
    <t>5% &lt; Load Factor &lt;=10%</t>
  </si>
  <si>
    <t>Price Schedule C</t>
  </si>
  <si>
    <t>10% &lt; Load Factor &lt;=15%</t>
  </si>
  <si>
    <t>Price Schedule D</t>
  </si>
  <si>
    <t>Load Factor &gt;15%</t>
  </si>
  <si>
    <t>GD-3 Electric Vehicle</t>
  </si>
  <si>
    <t>GD-2, GD-3 Last Change</t>
  </si>
  <si>
    <t>Transformer Ownership Credit of $0.19 may apply to all kW for schedule GD-2.</t>
  </si>
  <si>
    <t>EV-RES:</t>
  </si>
  <si>
    <t>Off-Peak kWh:  Monday - Friday 8 P.M. - 6 A.M. and All Day Weekends and Weekday Holidays</t>
  </si>
  <si>
    <t>DEFINITIONS</t>
  </si>
  <si>
    <t>Mid-Peak kWh:  Monday – Friday 6 A.M. - 3 P.M., excluding Weekday Holidays</t>
  </si>
  <si>
    <t>On-Peak kWh:  Monday - Friday 3 P.M. - 8 P.M., excluding Weekday Holidays</t>
  </si>
  <si>
    <t>PART E - APPENDIX</t>
  </si>
  <si>
    <t>Service Territories/Areas</t>
  </si>
  <si>
    <t>Fitchburg, Ashby, Lunenburg, Townsend</t>
  </si>
  <si>
    <t>Sectors</t>
  </si>
  <si>
    <t>MDPU No.</t>
  </si>
  <si>
    <t xml:space="preserve">Residential </t>
  </si>
  <si>
    <t>RD-1 Residential</t>
  </si>
  <si>
    <t>RD-2 Residential Assistance</t>
  </si>
  <si>
    <t>EV-RES Residential Electric Vehicle</t>
  </si>
  <si>
    <t>GD-2 Medium General Service</t>
  </si>
  <si>
    <t>GD-4 Optional Time of Use</t>
  </si>
  <si>
    <t>GD-5 Water Heating and/or Space Heating</t>
  </si>
  <si>
    <t>GD-2 Medium General Electric Vehicle Demand Charge Alternative</t>
  </si>
  <si>
    <t>GD-3 Large General Electric Vehicle Demand Charge Alternative</t>
  </si>
  <si>
    <t>SD Street and Security Lighting</t>
  </si>
  <si>
    <t>SDC Street and Security Lighting-Customer Owned</t>
  </si>
  <si>
    <t xml:space="preserve">Distribution </t>
  </si>
  <si>
    <t>Fitchburg Gas and Electric Light Company</t>
  </si>
  <si>
    <t>d/b/a Unitil</t>
  </si>
  <si>
    <t>Summary of Electric Service Rates</t>
  </si>
  <si>
    <t>Sheet 1</t>
  </si>
  <si>
    <t>Street Lighting - Customer Owned</t>
  </si>
  <si>
    <t>Issued by:   Daniel Hurstak</t>
  </si>
  <si>
    <t xml:space="preserve">                     Vice President and Treasurer</t>
  </si>
  <si>
    <t>Sheet 2</t>
  </si>
  <si>
    <t>Sheet 3</t>
  </si>
  <si>
    <t>Sheet 4</t>
  </si>
  <si>
    <t>PART C - BASIC SERVICE RATES (1)</t>
  </si>
  <si>
    <t>Residential RD-2</t>
  </si>
  <si>
    <t>(1) Pursuant to Basic Service Schedule BS (M.D.P.U. 440), effective July 1, 2024.</t>
  </si>
  <si>
    <t>Sheet 5</t>
  </si>
  <si>
    <t>Sheet 6</t>
  </si>
  <si>
    <t>Summary of Rate Changes Reflected in Bill Impacts</t>
  </si>
  <si>
    <t>Rate Component</t>
  </si>
  <si>
    <t>Notes:</t>
  </si>
  <si>
    <t>Rate Component Changes Reflected in Bill Impacts</t>
  </si>
  <si>
    <t>Total Delivery</t>
  </si>
  <si>
    <t xml:space="preserve">                  Total Energy Efficiency Charge </t>
  </si>
  <si>
    <t xml:space="preserve">Total Distribution </t>
  </si>
  <si>
    <t xml:space="preserve">Total Transmission  </t>
  </si>
  <si>
    <t>Total Reconciling Rate Adjustments</t>
  </si>
  <si>
    <t>System Benefits Charge</t>
  </si>
  <si>
    <t>Renewable Energy Charge</t>
  </si>
  <si>
    <t>Total Transmission</t>
  </si>
  <si>
    <t>Total Distribution</t>
  </si>
  <si>
    <t>Energy Efficiency Reconciliation Factor (Exhibits 2, 3, 4)</t>
  </si>
  <si>
    <t>M.D.P.U. No. 312-25-C</t>
  </si>
  <si>
    <t>Canceling M.D.P.U. No. 312-25-B</t>
  </si>
  <si>
    <t>Informational Purposes Only</t>
  </si>
  <si>
    <t xml:space="preserve">Net Metering </t>
  </si>
  <si>
    <t>NBP SMART</t>
  </si>
  <si>
    <t>Recovery</t>
  </si>
  <si>
    <t>Delivery less SMART</t>
  </si>
  <si>
    <t>Base Distribution</t>
  </si>
  <si>
    <t>Exogenous Cost Adjust</t>
  </si>
  <si>
    <t>Reconciling Rate Adjust (1)</t>
  </si>
  <si>
    <t>Revenue Decoupling</t>
  </si>
  <si>
    <t>Surcharge (NMRS)</t>
  </si>
  <si>
    <t>Renewable Energy</t>
  </si>
  <si>
    <t>MDPU No. 461</t>
  </si>
  <si>
    <t>MDPU No. 454</t>
  </si>
  <si>
    <t>MDPU No. 465</t>
  </si>
  <si>
    <t>MDPU No. 464</t>
  </si>
  <si>
    <t>HP-RES</t>
  </si>
  <si>
    <t>Energy - Nov - Apr (kWh)</t>
  </si>
  <si>
    <t>Energy - May - Oct (kWh)</t>
  </si>
  <si>
    <t>HP-RES LI</t>
  </si>
  <si>
    <t>Issued:            January 30, 2025</t>
  </si>
  <si>
    <t>Effective:   March 1, 2025</t>
  </si>
  <si>
    <t>MDPU No. 463</t>
  </si>
  <si>
    <t>MDPU No. 450</t>
  </si>
  <si>
    <t>MDPU No. 449</t>
  </si>
  <si>
    <t>MDPU No. 462</t>
  </si>
  <si>
    <t>M.D.P.U. No. 458</t>
  </si>
  <si>
    <t>1/1.25</t>
  </si>
  <si>
    <t>Residential - RD-1, RD-2, HP-RES, HP-RES LI</t>
  </si>
  <si>
    <t xml:space="preserve">Net </t>
  </si>
  <si>
    <t xml:space="preserve">Metering </t>
  </si>
  <si>
    <t>Distributed</t>
  </si>
  <si>
    <t xml:space="preserve">Recovery </t>
  </si>
  <si>
    <t>Solar</t>
  </si>
  <si>
    <t xml:space="preserve">Surcharge </t>
  </si>
  <si>
    <t>(SMART)</t>
  </si>
  <si>
    <t>(NMRS)</t>
  </si>
  <si>
    <t xml:space="preserve">HP-RES Residential Heat Pump </t>
  </si>
  <si>
    <t xml:space="preserve">HP-RES LI Residential Assistance Heat Pump </t>
  </si>
  <si>
    <t>M.D.P.U. No. 312-25-B</t>
  </si>
  <si>
    <t>Canceling M.D.P.U. No. 312-25-A</t>
  </si>
  <si>
    <t>M.D.P.U. 312-26-B</t>
  </si>
  <si>
    <t>Canceling M.D.P.U. 312-26-A</t>
  </si>
  <si>
    <t xml:space="preserve">      Rates include Basic Service Costs Adder of $0.00991/kWh effective February 1, 2026.</t>
  </si>
  <si>
    <t>Issued: February 2, 2026</t>
  </si>
  <si>
    <t>Effective: February 1, 2026</t>
  </si>
  <si>
    <t>Current rates: February 1, 2026</t>
  </si>
  <si>
    <t>Proposed rates: July 1, 2026</t>
  </si>
  <si>
    <t xml:space="preserve">Residential RD-1, RD-2, RES-EV </t>
  </si>
  <si>
    <t>Basic Service Customer Typical Bill Impacts</t>
  </si>
  <si>
    <t xml:space="preserve"> Impact on HP-RES Rate Customers</t>
  </si>
  <si>
    <t>Assumed</t>
  </si>
  <si>
    <t>Usage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</si>
  <si>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</si>
  <si>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</si>
  <si>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</si>
  <si>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</si>
  <si>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</si>
  <si>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</si>
  <si>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</si>
  <si>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</si>
  <si>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</si>
  <si>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</si>
  <si>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</si>
  <si>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</si>
  <si>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</si>
  <si>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HP-Res</t>
  </si>
  <si>
    <t>Current rates: June 1, 2026</t>
  </si>
  <si>
    <t>Summer</t>
  </si>
  <si>
    <t>Winter</t>
  </si>
  <si>
    <t xml:space="preserve"> Impact on HP-RES LI Rate Customers</t>
  </si>
  <si>
    <t>HP-Res LI</t>
  </si>
  <si>
    <t>Illustrative rates: November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</si>
</sst>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."/>
    <numFmt numFmtId="165" formatCode="mmmm\ d\,\ yyyy"/>
    <numFmt numFmtId="166" formatCode="_(&quot;$&quot;* #,##0.0000_);_(&quot;$&quot;* \(#,##0.0000\);_(&quot;$&quot;* &quot;-&quot;????_);_(@_)"/>
    <numFmt numFmtId="167" formatCode="&quot;$&quot;#,##0.00"/>
    <numFmt numFmtId="168" formatCode="[$-409]mmmm\-yy;@"/>
    <numFmt numFmtId="169" formatCode="_(&quot;$&quot;* #,##0.00000_);_(&quot;$&quot;* \(#,##0.00000\);_(&quot;$&quot;* &quot;-&quot;?????_);_(@_)"/>
    <numFmt numFmtId="170" formatCode="0.0%"/>
    <numFmt numFmtId="171" formatCode="&quot;$&quot;#,##0.00000"/>
    <numFmt numFmtId="172" formatCode="&quot;$&quot;#,##0.00000_);\(&quot;$&quot;#,##0.00000\)"/>
    <numFmt numFmtId="173" formatCode="#,##0.0"/>
    <numFmt numFmtId="174" formatCode="0.000%"/>
    <numFmt numFmtId="175" formatCode="&quot;$&quot;#,##0.00000_);[Red]\(&quot;$&quot;#,##0.00000\)"/>
    <numFmt numFmtId="176" formatCode="0.000000"/>
    <numFmt numFmtId="177" formatCode="m/d/yy;@"/>
    <numFmt numFmtId="178" formatCode="m/d/yy"/>
    <numFmt numFmtId="179" formatCode="[$-409]mmmm\ d\,\ yyyy;@"/>
  </numFmts>
  <fonts count="100"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Helv"/>
    </font>
    <font>
      <sz val="12"/>
      <name val="Times"/>
      <family val="1"/>
    </font>
    <font>
      <sz val="1"/>
      <color indexed="16"/>
      <name val="Courier"/>
      <family val="3"/>
    </font>
    <font>
      <sz val="10"/>
      <color indexed="12"/>
      <name val="Arial"/>
      <family val="2"/>
    </font>
    <font>
      <sz val="10"/>
      <color indexed="60"/>
      <name val="Arial"/>
      <family val="2"/>
    </font>
    <font>
      <b/>
      <sz val="12"/>
      <color indexed="20"/>
      <name val="Arial"/>
      <family val="2"/>
    </font>
    <font>
      <sz val="12"/>
      <color indexed="10"/>
      <name val="Arial"/>
      <family val="2"/>
    </font>
    <font>
      <sz val="12"/>
      <color indexed="10"/>
      <name val="Times"/>
      <family val="1"/>
    </font>
    <font>
      <b/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color indexed="56"/>
      <name val="Arial"/>
      <family val="2"/>
    </font>
    <font>
      <b/>
      <sz val="14"/>
      <color indexed="56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Arial Unicode MS"/>
      <family val="2"/>
    </font>
    <font>
      <sz val="10"/>
      <color theme="1"/>
      <name val="Tahoma"/>
      <family val="2"/>
    </font>
    <font>
      <sz val="12"/>
      <name val="Arial MT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2"/>
    </font>
    <font>
      <sz val="10"/>
      <name val="Times New Roman"/>
      <family val="1"/>
    </font>
    <font>
      <b/>
      <sz val="12"/>
      <name val="Tech"/>
    </font>
    <font>
      <u/>
      <sz val="8.6999999999999993"/>
      <color indexed="12"/>
      <name val="Arial"/>
      <family val="2"/>
    </font>
    <font>
      <sz val="12"/>
      <name val="SWISS"/>
    </font>
    <font>
      <sz val="10"/>
      <color indexed="8"/>
      <name val="Calibri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u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0"/>
      <color indexed="0"/>
      <name val="Arial"/>
      <family val="2"/>
    </font>
    <font>
      <b/>
      <u/>
      <sz val="10"/>
      <name val="Arial"/>
      <family val="2"/>
    </font>
    <font>
      <sz val="10"/>
      <color indexed="8"/>
      <name val="Times New Roman"/>
      <family val="1"/>
    </font>
    <font>
      <b/>
      <i/>
      <sz val="9"/>
      <name val="Arial"/>
      <family val="2"/>
    </font>
    <font>
      <sz val="10"/>
      <color rgb="FFFF0000"/>
      <name val="Arial"/>
      <family val="2"/>
    </font>
    <font>
      <sz val="10"/>
      <color theme="0" tint="-0.499984740745262"/>
      <name val="Arial"/>
      <family val="2"/>
    </font>
    <font>
      <i/>
      <sz val="9"/>
      <name val="Arial"/>
      <family val="2"/>
    </font>
    <font>
      <b/>
      <sz val="10"/>
      <color theme="0"/>
      <name val="Arial"/>
      <family val="2"/>
    </font>
    <font>
      <i/>
      <u/>
      <sz val="10"/>
      <name val="Arial"/>
      <family val="2"/>
    </font>
    <font>
      <strike/>
      <sz val="11"/>
      <color theme="1"/>
      <name val="Arial"/>
      <family val="2"/>
    </font>
    <font>
      <strike/>
      <sz val="10"/>
      <color theme="1"/>
      <name val="Arial"/>
      <family val="2"/>
    </font>
    <font>
      <sz val="10"/>
      <name val="Calibri"/>
      <family val="2"/>
    </font>
    <font>
      <b/>
      <sz val="12"/>
      <name val="Arial"/>
      <family val="2"/>
    </font>
    <font>
      <sz val="9"/>
      <color theme="1"/>
      <name val="Arial"/>
      <family val="2"/>
    </font>
    <font>
      <sz val="11"/>
      <color rgb="FFFF0000"/>
      <name val="Arial"/>
      <family val="2"/>
    </font>
    <font>
      <i/>
      <sz val="10"/>
      <color indexed="8"/>
      <name val="Times New Roman"/>
      <family val="1"/>
    </font>
    <font>
      <u/>
      <sz val="10"/>
      <color indexed="8"/>
      <name val="Times New Roman"/>
      <family val="1"/>
    </font>
    <font>
      <b/>
      <sz val="10"/>
      <color indexed="8"/>
      <name val="Arial"/>
      <family val="2"/>
    </font>
    <font>
      <i/>
      <sz val="10"/>
      <color rgb="FFFF0000"/>
      <name val="Arial"/>
      <family val="2"/>
    </font>
    <font>
      <sz val="10"/>
      <color indexed="8"/>
      <name val="Arial"/>
      <family val="2"/>
    </font>
    <font>
      <strike/>
      <sz val="10"/>
      <color indexed="8"/>
      <name val="Arial"/>
      <family val="2"/>
    </font>
    <font>
      <strike/>
      <sz val="10"/>
      <name val="Arial"/>
      <family val="2"/>
    </font>
    <font>
      <b/>
      <sz val="10"/>
      <color rgb="FFFF0000"/>
      <name val="Arial"/>
      <family val="2"/>
    </font>
    <font>
      <sz val="12"/>
      <color rgb="FFFF000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trike/>
      <sz val="12"/>
      <name val="Arial"/>
      <family val="2"/>
    </font>
    <font>
      <i/>
      <sz val="12"/>
      <color rgb="FFFF0000"/>
      <name val="Arial"/>
      <family val="2"/>
    </font>
    <font>
      <i/>
      <sz val="12"/>
      <name val="Arial"/>
      <family val="2"/>
    </font>
    <font>
      <i/>
      <sz val="12"/>
      <color indexed="12"/>
      <name val="Arial"/>
      <family val="2"/>
    </font>
    <font>
      <sz val="12"/>
      <color indexed="12"/>
      <name val="Arial"/>
      <family val="2"/>
    </font>
    <font>
      <b/>
      <sz val="12"/>
      <color rgb="FFFF0000"/>
      <name val="Arial"/>
      <family val="2"/>
    </font>
    <font>
      <b/>
      <sz val="10"/>
      <color theme="1"/>
      <name val="Arial"/>
      <family val="2"/>
    </font>
    <font>
      <i/>
      <sz val="10"/>
      <color rgb="FF0000FF"/>
      <name val="Arial"/>
      <family val="2"/>
    </font>
    <font>
      <sz val="10"/>
      <color rgb="FF0000FF"/>
      <name val="Arial"/>
      <family val="2"/>
    </font>
    <font>
      <b/>
      <strike/>
      <sz val="10"/>
      <name val="Arial"/>
      <family val="2"/>
    </font>
    <font>
      <sz val="10"/>
      <color indexed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210">
    <xf numFmtId="0" fontId="0" fillId="0" borderId="0"/>
    <xf numFmtId="41" fontId="24" fillId="2" borderId="0"/>
    <xf numFmtId="41" fontId="24" fillId="3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25" fillId="0" borderId="0" applyFill="0" applyBorder="0" applyAlignment="0" applyProtection="0"/>
    <xf numFmtId="0" fontId="26" fillId="0" borderId="0"/>
    <xf numFmtId="0" fontId="27" fillId="0" borderId="0"/>
    <xf numFmtId="164" fontId="28" fillId="0" borderId="0">
      <protection locked="0"/>
    </xf>
    <xf numFmtId="0" fontId="27" fillId="0" borderId="0"/>
    <xf numFmtId="0" fontId="27" fillId="0" borderId="0"/>
    <xf numFmtId="0" fontId="27" fillId="0" borderId="0"/>
    <xf numFmtId="44" fontId="24" fillId="0" borderId="0" applyFont="0" applyFill="0" applyBorder="0" applyAlignment="0" applyProtection="0"/>
    <xf numFmtId="5" fontId="25" fillId="0" borderId="0" applyFill="0" applyBorder="0" applyAlignment="0" applyProtection="0"/>
    <xf numFmtId="165" fontId="25" fillId="0" borderId="0" applyFill="0" applyBorder="0" applyAlignment="0" applyProtection="0"/>
    <xf numFmtId="2" fontId="25" fillId="0" borderId="0" applyFill="0" applyBorder="0" applyAlignment="0" applyProtection="0"/>
    <xf numFmtId="41" fontId="29" fillId="4" borderId="3">
      <alignment horizontal="left"/>
      <protection locked="0"/>
    </xf>
    <xf numFmtId="10" fontId="29" fillId="4" borderId="3">
      <alignment horizontal="right"/>
      <protection locked="0"/>
    </xf>
    <xf numFmtId="41" fontId="30" fillId="5" borderId="3">
      <alignment horizontal="left"/>
      <protection locked="0"/>
    </xf>
    <xf numFmtId="3" fontId="31" fillId="0" borderId="0" applyFill="0" applyBorder="0" applyAlignment="0" applyProtection="0"/>
    <xf numFmtId="0" fontId="24" fillId="0" borderId="0"/>
    <xf numFmtId="0" fontId="24" fillId="2" borderId="0"/>
    <xf numFmtId="0" fontId="26" fillId="0" borderId="0"/>
    <xf numFmtId="0" fontId="27" fillId="0" borderId="0"/>
    <xf numFmtId="9" fontId="24" fillId="0" borderId="0" applyFont="0" applyFill="0" applyBorder="0" applyAlignment="0" applyProtection="0"/>
    <xf numFmtId="10" fontId="24" fillId="0" borderId="3"/>
    <xf numFmtId="41" fontId="24" fillId="6" borderId="3"/>
    <xf numFmtId="0" fontId="27" fillId="0" borderId="0"/>
    <xf numFmtId="3" fontId="32" fillId="0" borderId="0" applyFill="0" applyBorder="0" applyAlignment="0" applyProtection="0"/>
    <xf numFmtId="0" fontId="33" fillId="0" borderId="0"/>
    <xf numFmtId="42" fontId="24" fillId="2" borderId="0"/>
    <xf numFmtId="42" fontId="34" fillId="5" borderId="4">
      <alignment vertical="center"/>
    </xf>
    <xf numFmtId="0" fontId="35" fillId="2" borderId="2" applyNumberFormat="0">
      <alignment horizontal="center" vertical="center" wrapText="1"/>
    </xf>
    <xf numFmtId="10" fontId="24" fillId="2" borderId="0"/>
    <xf numFmtId="166" fontId="24" fillId="2" borderId="0"/>
    <xf numFmtId="42" fontId="36" fillId="2" borderId="1">
      <alignment horizontal="left"/>
    </xf>
    <xf numFmtId="166" fontId="36" fillId="2" borderId="1">
      <alignment horizontal="left"/>
    </xf>
    <xf numFmtId="41" fontId="34" fillId="2" borderId="0">
      <alignment horizontal="left"/>
    </xf>
    <xf numFmtId="167" fontId="37" fillId="2" borderId="0">
      <alignment horizontal="left" vertical="center"/>
    </xf>
    <xf numFmtId="0" fontId="35" fillId="2" borderId="0">
      <alignment horizontal="left" wrapText="1"/>
    </xf>
    <xf numFmtId="0" fontId="38" fillId="0" borderId="0">
      <alignment horizontal="left" vertical="center"/>
    </xf>
    <xf numFmtId="0" fontId="27" fillId="0" borderId="5"/>
    <xf numFmtId="0" fontId="39" fillId="2" borderId="0"/>
    <xf numFmtId="4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0" fontId="39" fillId="0" borderId="3"/>
    <xf numFmtId="41" fontId="39" fillId="2" borderId="0"/>
    <xf numFmtId="166" fontId="39" fillId="2" borderId="0"/>
    <xf numFmtId="0" fontId="22" fillId="0" borderId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1" fillId="0" borderId="0"/>
    <xf numFmtId="0" fontId="22" fillId="0" borderId="0"/>
    <xf numFmtId="9" fontId="22" fillId="0" borderId="0" applyFont="0" applyFill="0" applyBorder="0" applyAlignment="0" applyProtection="0"/>
    <xf numFmtId="0" fontId="42" fillId="0" borderId="0"/>
    <xf numFmtId="168" fontId="43" fillId="0" borderId="2"/>
    <xf numFmtId="0" fontId="25" fillId="0" borderId="0"/>
    <xf numFmtId="168" fontId="43" fillId="0" borderId="2"/>
    <xf numFmtId="168" fontId="43" fillId="0" borderId="7"/>
    <xf numFmtId="0" fontId="44" fillId="0" borderId="0"/>
    <xf numFmtId="0" fontId="24" fillId="0" borderId="0"/>
    <xf numFmtId="43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6" fillId="0" borderId="0"/>
    <xf numFmtId="43" fontId="45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7" fillId="0" borderId="0"/>
    <xf numFmtId="43" fontId="24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43" fillId="0" borderId="8"/>
    <xf numFmtId="168" fontId="43" fillId="0" borderId="6"/>
    <xf numFmtId="168" fontId="43" fillId="0" borderId="6"/>
    <xf numFmtId="168" fontId="43" fillId="0" borderId="7"/>
    <xf numFmtId="168" fontId="43" fillId="0" borderId="8"/>
    <xf numFmtId="168" fontId="43" fillId="0" borderId="9"/>
    <xf numFmtId="168" fontId="43" fillId="0" borderId="9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1" fontId="24" fillId="3" borderId="0"/>
    <xf numFmtId="43" fontId="2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7" fillId="0" borderId="0"/>
    <xf numFmtId="3" fontId="25" fillId="0" borderId="0" applyFill="0" applyBorder="0" applyAlignment="0" applyProtection="0"/>
    <xf numFmtId="0" fontId="27" fillId="0" borderId="0"/>
    <xf numFmtId="0" fontId="48" fillId="0" borderId="0">
      <alignment horizontal="centerContinuous"/>
    </xf>
    <xf numFmtId="0" fontId="27" fillId="0" borderId="0"/>
    <xf numFmtId="0" fontId="27" fillId="0" borderId="0"/>
    <xf numFmtId="44" fontId="24" fillId="0" borderId="0" applyFont="0" applyFill="0" applyBorder="0" applyAlignment="0" applyProtection="0"/>
    <xf numFmtId="5" fontId="25" fillId="0" borderId="0" applyFill="0" applyBorder="0" applyAlignment="0" applyProtection="0"/>
    <xf numFmtId="165" fontId="25" fillId="0" borderId="0" applyFill="0" applyBorder="0" applyAlignment="0" applyProtection="0"/>
    <xf numFmtId="2" fontId="25" fillId="0" borderId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41" fontId="29" fillId="4" borderId="3">
      <alignment horizontal="left"/>
      <protection locked="0"/>
    </xf>
    <xf numFmtId="10" fontId="29" fillId="4" borderId="3">
      <alignment horizontal="right"/>
      <protection locked="0"/>
    </xf>
    <xf numFmtId="0" fontId="24" fillId="0" borderId="0"/>
    <xf numFmtId="0" fontId="24" fillId="0" borderId="0"/>
    <xf numFmtId="0" fontId="20" fillId="0" borderId="0"/>
    <xf numFmtId="0" fontId="24" fillId="2" borderId="0"/>
    <xf numFmtId="0" fontId="24" fillId="2" borderId="0"/>
    <xf numFmtId="0" fontId="24" fillId="0" borderId="0"/>
    <xf numFmtId="0" fontId="24" fillId="0" borderId="0"/>
    <xf numFmtId="0" fontId="25" fillId="0" borderId="0"/>
    <xf numFmtId="4" fontId="5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7" fillId="0" borderId="0"/>
    <xf numFmtId="9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0" fillId="0" borderId="0" applyFont="0" applyFill="0" applyBorder="0" applyAlignment="0" applyProtection="0"/>
    <xf numFmtId="41" fontId="24" fillId="6" borderId="3"/>
    <xf numFmtId="0" fontId="27" fillId="0" borderId="0"/>
    <xf numFmtId="0" fontId="33" fillId="0" borderId="0"/>
    <xf numFmtId="42" fontId="24" fillId="2" borderId="0"/>
    <xf numFmtId="42" fontId="34" fillId="5" borderId="4">
      <alignment vertical="center"/>
    </xf>
    <xf numFmtId="42" fontId="36" fillId="2" borderId="1">
      <alignment horizontal="left"/>
    </xf>
    <xf numFmtId="0" fontId="24" fillId="0" borderId="0" applyNumberFormat="0" applyBorder="0" applyAlignment="0"/>
    <xf numFmtId="0" fontId="24" fillId="0" borderId="0" applyNumberFormat="0" applyBorder="0" applyAlignment="0"/>
    <xf numFmtId="41" fontId="35" fillId="2" borderId="0">
      <alignment horizontal="left"/>
    </xf>
    <xf numFmtId="0" fontId="27" fillId="0" borderId="5"/>
    <xf numFmtId="0" fontId="19" fillId="0" borderId="0"/>
    <xf numFmtId="0" fontId="51" fillId="0" borderId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7" fillId="0" borderId="0"/>
    <xf numFmtId="43" fontId="53" fillId="0" borderId="0" applyFont="0" applyFill="0" applyBorder="0" applyAlignment="0" applyProtection="0"/>
    <xf numFmtId="44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45" fillId="0" borderId="0"/>
    <xf numFmtId="0" fontId="52" fillId="0" borderId="0"/>
    <xf numFmtId="43" fontId="52" fillId="0" borderId="0" applyFont="0" applyFill="0" applyBorder="0" applyAlignment="0" applyProtection="0"/>
    <xf numFmtId="0" fontId="16" fillId="0" borderId="0"/>
    <xf numFmtId="0" fontId="23" fillId="0" borderId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4" fontId="14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2" fillId="0" borderId="0"/>
    <xf numFmtId="9" fontId="45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0" fontId="10" fillId="0" borderId="0"/>
    <xf numFmtId="0" fontId="60" fillId="0" borderId="0"/>
    <xf numFmtId="9" fontId="60" fillId="0" borderId="0" applyFont="0" applyFill="0" applyBorder="0" applyAlignment="0" applyProtection="0"/>
    <xf numFmtId="0" fontId="61" fillId="0" borderId="0"/>
    <xf numFmtId="0" fontId="9" fillId="0" borderId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0" fontId="6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0" borderId="0"/>
    <xf numFmtId="0" fontId="4" fillId="0" borderId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63" fillId="0" borderId="0"/>
    <xf numFmtId="44" fontId="6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63" fillId="0" borderId="0" applyFont="0" applyFill="0" applyBorder="0" applyAlignment="0" applyProtection="0"/>
    <xf numFmtId="0" fontId="26" fillId="0" borderId="0"/>
    <xf numFmtId="8" fontId="26" fillId="0" borderId="0" applyFont="0" applyFill="0" applyBorder="0" applyAlignment="0" applyProtection="0"/>
    <xf numFmtId="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4" fillId="0" borderId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557">
    <xf numFmtId="0" fontId="0" fillId="0" borderId="0" xfId="0"/>
    <xf numFmtId="0" fontId="54" fillId="0" borderId="0" xfId="100" applyFont="1"/>
    <xf numFmtId="0" fontId="55" fillId="0" borderId="0" xfId="100" applyFont="1"/>
    <xf numFmtId="0" fontId="55" fillId="0" borderId="0" xfId="100" applyFont="1" applyAlignment="1">
      <alignment horizontal="center"/>
    </xf>
    <xf numFmtId="0" fontId="24" fillId="0" borderId="0" xfId="100"/>
    <xf numFmtId="0" fontId="55" fillId="0" borderId="14" xfId="100" applyFont="1" applyBorder="1" applyAlignment="1">
      <alignment horizontal="centerContinuous"/>
    </xf>
    <xf numFmtId="0" fontId="55" fillId="0" borderId="1" xfId="100" applyFont="1" applyBorder="1" applyAlignment="1">
      <alignment horizontal="centerContinuous"/>
    </xf>
    <xf numFmtId="0" fontId="54" fillId="0" borderId="1" xfId="100" applyFont="1" applyBorder="1" applyAlignment="1">
      <alignment horizontal="centerContinuous"/>
    </xf>
    <xf numFmtId="0" fontId="54" fillId="0" borderId="15" xfId="100" applyFont="1" applyBorder="1" applyAlignment="1">
      <alignment horizontal="centerContinuous"/>
    </xf>
    <xf numFmtId="0" fontId="54" fillId="0" borderId="0" xfId="100" applyFont="1" applyAlignment="1">
      <alignment horizontal="left"/>
    </xf>
    <xf numFmtId="0" fontId="55" fillId="0" borderId="0" xfId="100" applyFont="1" applyAlignment="1">
      <alignment horizontal="centerContinuous"/>
    </xf>
    <xf numFmtId="0" fontId="54" fillId="0" borderId="0" xfId="100" applyFont="1" applyAlignment="1">
      <alignment horizontal="centerContinuous"/>
    </xf>
    <xf numFmtId="0" fontId="54" fillId="0" borderId="17" xfId="100" applyFont="1" applyBorder="1" applyAlignment="1">
      <alignment horizontal="centerContinuous"/>
    </xf>
    <xf numFmtId="0" fontId="55" fillId="0" borderId="18" xfId="100" applyFont="1" applyBorder="1" applyAlignment="1">
      <alignment horizontal="centerContinuous"/>
    </xf>
    <xf numFmtId="0" fontId="55" fillId="0" borderId="12" xfId="100" applyFont="1" applyBorder="1" applyAlignment="1">
      <alignment horizontal="centerContinuous"/>
    </xf>
    <xf numFmtId="0" fontId="54" fillId="0" borderId="12" xfId="100" applyFont="1" applyBorder="1" applyAlignment="1">
      <alignment horizontal="centerContinuous"/>
    </xf>
    <xf numFmtId="0" fontId="54" fillId="0" borderId="19" xfId="100" applyFont="1" applyBorder="1" applyAlignment="1">
      <alignment horizontal="centerContinuous"/>
    </xf>
    <xf numFmtId="0" fontId="54" fillId="0" borderId="16" xfId="100" applyFont="1" applyBorder="1"/>
    <xf numFmtId="0" fontId="54" fillId="0" borderId="14" xfId="100" applyFont="1" applyBorder="1"/>
    <xf numFmtId="0" fontId="54" fillId="0" borderId="1" xfId="100" applyFont="1" applyBorder="1"/>
    <xf numFmtId="0" fontId="55" fillId="0" borderId="20" xfId="100" quotePrefix="1" applyFont="1" applyBorder="1" applyAlignment="1">
      <alignment horizontal="center"/>
    </xf>
    <xf numFmtId="0" fontId="54" fillId="0" borderId="21" xfId="100" applyFont="1" applyBorder="1"/>
    <xf numFmtId="0" fontId="54" fillId="0" borderId="20" xfId="100" applyFont="1" applyBorder="1"/>
    <xf numFmtId="0" fontId="54" fillId="0" borderId="15" xfId="100" applyFont="1" applyBorder="1"/>
    <xf numFmtId="0" fontId="55" fillId="0" borderId="22" xfId="100" applyFont="1" applyBorder="1" applyAlignment="1">
      <alignment horizontal="center"/>
    </xf>
    <xf numFmtId="0" fontId="54" fillId="0" borderId="22" xfId="100" applyFont="1" applyBorder="1" applyAlignment="1">
      <alignment horizontal="center"/>
    </xf>
    <xf numFmtId="0" fontId="55" fillId="0" borderId="23" xfId="100" applyFont="1" applyBorder="1" applyAlignment="1">
      <alignment horizontal="center"/>
    </xf>
    <xf numFmtId="0" fontId="55" fillId="0" borderId="17" xfId="100" applyFont="1" applyBorder="1" applyAlignment="1">
      <alignment horizontal="center"/>
    </xf>
    <xf numFmtId="0" fontId="54" fillId="0" borderId="0" xfId="100" quotePrefix="1" applyFont="1" applyAlignment="1">
      <alignment horizontal="right"/>
    </xf>
    <xf numFmtId="0" fontId="55" fillId="0" borderId="0" xfId="100" quotePrefix="1" applyFont="1" applyAlignment="1">
      <alignment horizontal="center"/>
    </xf>
    <xf numFmtId="0" fontId="54" fillId="0" borderId="23" xfId="100" applyFont="1" applyBorder="1" applyAlignment="1">
      <alignment horizontal="center"/>
    </xf>
    <xf numFmtId="0" fontId="56" fillId="0" borderId="0" xfId="100" applyFont="1"/>
    <xf numFmtId="0" fontId="56" fillId="0" borderId="0" xfId="100" applyFont="1" applyAlignment="1">
      <alignment horizontal="center"/>
    </xf>
    <xf numFmtId="0" fontId="56" fillId="0" borderId="22" xfId="100" applyFont="1" applyBorder="1" applyAlignment="1">
      <alignment horizontal="center"/>
    </xf>
    <xf numFmtId="0" fontId="56" fillId="0" borderId="17" xfId="100" applyFont="1" applyBorder="1" applyAlignment="1">
      <alignment horizontal="center"/>
    </xf>
    <xf numFmtId="0" fontId="54" fillId="0" borderId="17" xfId="100" applyFont="1" applyBorder="1"/>
    <xf numFmtId="173" fontId="54" fillId="0" borderId="22" xfId="100" applyNumberFormat="1" applyFont="1" applyBorder="1" applyAlignment="1">
      <alignment horizontal="center"/>
    </xf>
    <xf numFmtId="7" fontId="54" fillId="0" borderId="22" xfId="100" applyNumberFormat="1" applyFont="1" applyBorder="1" applyAlignment="1">
      <alignment horizontal="center"/>
    </xf>
    <xf numFmtId="170" fontId="54" fillId="0" borderId="22" xfId="100" applyNumberFormat="1" applyFont="1" applyBorder="1" applyAlignment="1">
      <alignment horizontal="center"/>
    </xf>
    <xf numFmtId="174" fontId="54" fillId="0" borderId="0" xfId="100" quotePrefix="1" applyNumberFormat="1" applyFont="1"/>
    <xf numFmtId="0" fontId="54" fillId="0" borderId="0" xfId="100" quotePrefix="1" applyFont="1" applyAlignment="1">
      <alignment horizontal="left"/>
    </xf>
    <xf numFmtId="0" fontId="54" fillId="0" borderId="18" xfId="100" applyFont="1" applyBorder="1"/>
    <xf numFmtId="0" fontId="54" fillId="0" borderId="19" xfId="100" applyFont="1" applyBorder="1"/>
    <xf numFmtId="0" fontId="55" fillId="0" borderId="1" xfId="100" applyFont="1" applyBorder="1" applyAlignment="1">
      <alignment horizontal="center"/>
    </xf>
    <xf numFmtId="0" fontId="55" fillId="0" borderId="15" xfId="100" applyFont="1" applyBorder="1" applyAlignment="1">
      <alignment horizontal="center"/>
    </xf>
    <xf numFmtId="0" fontId="55" fillId="0" borderId="0" xfId="100" applyFont="1" applyAlignment="1">
      <alignment horizontal="left"/>
    </xf>
    <xf numFmtId="0" fontId="54" fillId="0" borderId="16" xfId="100" applyFont="1" applyBorder="1" applyAlignment="1">
      <alignment horizontal="center"/>
    </xf>
    <xf numFmtId="0" fontId="54" fillId="0" borderId="0" xfId="100" applyFont="1" applyAlignment="1">
      <alignment horizontal="center"/>
    </xf>
    <xf numFmtId="0" fontId="56" fillId="0" borderId="16" xfId="100" applyFont="1" applyBorder="1" applyAlignment="1">
      <alignment horizontal="left"/>
    </xf>
    <xf numFmtId="7" fontId="54" fillId="0" borderId="0" xfId="100" applyNumberFormat="1" applyFont="1"/>
    <xf numFmtId="7" fontId="54" fillId="0" borderId="0" xfId="100" applyNumberFormat="1" applyFont="1" applyAlignment="1">
      <alignment horizontal="center"/>
    </xf>
    <xf numFmtId="0" fontId="56" fillId="0" borderId="0" xfId="100" applyFont="1" applyAlignment="1">
      <alignment horizontal="left"/>
    </xf>
    <xf numFmtId="7" fontId="54" fillId="0" borderId="17" xfId="100" applyNumberFormat="1" applyFont="1" applyBorder="1" applyAlignment="1">
      <alignment horizontal="center"/>
    </xf>
    <xf numFmtId="0" fontId="54" fillId="0" borderId="16" xfId="100" applyFont="1" applyBorder="1" applyAlignment="1">
      <alignment horizontal="left"/>
    </xf>
    <xf numFmtId="7" fontId="56" fillId="0" borderId="0" xfId="100" applyNumberFormat="1" applyFont="1" applyAlignment="1">
      <alignment horizontal="center"/>
    </xf>
    <xf numFmtId="7" fontId="56" fillId="0" borderId="17" xfId="100" applyNumberFormat="1" applyFont="1" applyBorder="1" applyAlignment="1">
      <alignment horizontal="center"/>
    </xf>
    <xf numFmtId="172" fontId="54" fillId="0" borderId="0" xfId="100" applyNumberFormat="1" applyFont="1" applyAlignment="1">
      <alignment horizontal="right"/>
    </xf>
    <xf numFmtId="172" fontId="54" fillId="0" borderId="0" xfId="100" applyNumberFormat="1" applyFont="1" applyAlignment="1">
      <alignment horizontal="center"/>
    </xf>
    <xf numFmtId="172" fontId="54" fillId="0" borderId="17" xfId="100" applyNumberFormat="1" applyFont="1" applyBorder="1" applyAlignment="1">
      <alignment horizontal="center"/>
    </xf>
    <xf numFmtId="172" fontId="57" fillId="0" borderId="0" xfId="100" applyNumberFormat="1" applyFont="1" applyAlignment="1">
      <alignment horizontal="center"/>
    </xf>
    <xf numFmtId="172" fontId="57" fillId="0" borderId="17" xfId="100" applyNumberFormat="1" applyFont="1" applyBorder="1" applyAlignment="1">
      <alignment horizontal="center"/>
    </xf>
    <xf numFmtId="0" fontId="54" fillId="0" borderId="16" xfId="100" quotePrefix="1" applyFont="1" applyBorder="1" applyAlignment="1">
      <alignment horizontal="left"/>
    </xf>
    <xf numFmtId="172" fontId="54" fillId="0" borderId="0" xfId="100" applyNumberFormat="1" applyFont="1"/>
    <xf numFmtId="172" fontId="54" fillId="0" borderId="0" xfId="100" quotePrefix="1" applyNumberFormat="1" applyFont="1" applyAlignment="1">
      <alignment horizontal="right"/>
    </xf>
    <xf numFmtId="0" fontId="56" fillId="0" borderId="16" xfId="100" applyFont="1" applyBorder="1"/>
    <xf numFmtId="0" fontId="55" fillId="0" borderId="16" xfId="100" applyFont="1" applyBorder="1"/>
    <xf numFmtId="7" fontId="54" fillId="0" borderId="0" xfId="100" quotePrefix="1" applyNumberFormat="1" applyFont="1" applyAlignment="1">
      <alignment horizontal="right"/>
    </xf>
    <xf numFmtId="0" fontId="24" fillId="0" borderId="17" xfId="100" applyBorder="1"/>
    <xf numFmtId="0" fontId="55" fillId="0" borderId="18" xfId="100" applyFont="1" applyBorder="1"/>
    <xf numFmtId="0" fontId="54" fillId="0" borderId="12" xfId="100" applyFont="1" applyBorder="1"/>
    <xf numFmtId="7" fontId="54" fillId="0" borderId="12" xfId="100" applyNumberFormat="1" applyFont="1" applyBorder="1" applyAlignment="1">
      <alignment horizontal="right"/>
    </xf>
    <xf numFmtId="172" fontId="54" fillId="0" borderId="12" xfId="100" applyNumberFormat="1" applyFont="1" applyBorder="1" applyAlignment="1">
      <alignment horizontal="center"/>
    </xf>
    <xf numFmtId="0" fontId="55" fillId="0" borderId="12" xfId="100" applyFont="1" applyBorder="1"/>
    <xf numFmtId="172" fontId="54" fillId="0" borderId="19" xfId="100" applyNumberFormat="1" applyFont="1" applyBorder="1" applyAlignment="1">
      <alignment horizontal="center"/>
    </xf>
    <xf numFmtId="0" fontId="54" fillId="0" borderId="0" xfId="100" quotePrefix="1" applyFont="1" applyAlignment="1">
      <alignment horizontal="left" vertical="center"/>
    </xf>
    <xf numFmtId="0" fontId="55" fillId="0" borderId="16" xfId="100" quotePrefix="1" applyFont="1" applyBorder="1" applyAlignment="1">
      <alignment horizontal="left"/>
    </xf>
    <xf numFmtId="0" fontId="55" fillId="0" borderId="0" xfId="100" quotePrefix="1" applyFont="1" applyAlignment="1">
      <alignment horizontal="left"/>
    </xf>
    <xf numFmtId="0" fontId="56" fillId="0" borderId="16" xfId="100" quotePrefix="1" applyFont="1" applyBorder="1" applyAlignment="1">
      <alignment horizontal="left"/>
    </xf>
    <xf numFmtId="170" fontId="54" fillId="0" borderId="0" xfId="100" applyNumberFormat="1" applyFont="1"/>
    <xf numFmtId="0" fontId="55" fillId="0" borderId="16" xfId="100" applyFont="1" applyBorder="1" applyAlignment="1">
      <alignment horizontal="centerContinuous"/>
    </xf>
    <xf numFmtId="0" fontId="54" fillId="0" borderId="0" xfId="100" applyFont="1" applyAlignment="1">
      <alignment horizontal="right"/>
    </xf>
    <xf numFmtId="3" fontId="54" fillId="0" borderId="22" xfId="100" applyNumberFormat="1" applyFont="1" applyBorder="1" applyAlignment="1">
      <alignment horizontal="center"/>
    </xf>
    <xf numFmtId="0" fontId="66" fillId="0" borderId="22" xfId="100" quotePrefix="1" applyFont="1" applyBorder="1" applyAlignment="1">
      <alignment horizontal="center"/>
    </xf>
    <xf numFmtId="0" fontId="55" fillId="0" borderId="12" xfId="100" quotePrefix="1" applyFont="1" applyBorder="1" applyAlignment="1">
      <alignment horizontal="left"/>
    </xf>
    <xf numFmtId="0" fontId="55" fillId="0" borderId="24" xfId="100" applyFont="1" applyBorder="1"/>
    <xf numFmtId="3" fontId="55" fillId="0" borderId="24" xfId="100" applyNumberFormat="1" applyFont="1" applyBorder="1" applyAlignment="1">
      <alignment horizontal="center"/>
    </xf>
    <xf numFmtId="167" fontId="55" fillId="0" borderId="24" xfId="100" applyNumberFormat="1" applyFont="1" applyBorder="1" applyAlignment="1">
      <alignment horizontal="center"/>
    </xf>
    <xf numFmtId="0" fontId="55" fillId="0" borderId="25" xfId="100" applyFont="1" applyBorder="1"/>
    <xf numFmtId="0" fontId="24" fillId="0" borderId="0" xfId="20"/>
    <xf numFmtId="0" fontId="67" fillId="0" borderId="0" xfId="20" applyFont="1"/>
    <xf numFmtId="172" fontId="24" fillId="0" borderId="0" xfId="20" applyNumberFormat="1"/>
    <xf numFmtId="0" fontId="35" fillId="0" borderId="0" xfId="20" applyFont="1"/>
    <xf numFmtId="0" fontId="68" fillId="0" borderId="0" xfId="20" applyFont="1"/>
    <xf numFmtId="0" fontId="35" fillId="7" borderId="13" xfId="20" applyFont="1" applyFill="1" applyBorder="1"/>
    <xf numFmtId="0" fontId="35" fillId="0" borderId="13" xfId="20" applyFont="1" applyBorder="1" applyAlignment="1">
      <alignment horizontal="center"/>
    </xf>
    <xf numFmtId="0" fontId="35" fillId="7" borderId="13" xfId="20" applyFont="1" applyFill="1" applyBorder="1" applyAlignment="1">
      <alignment horizontal="center"/>
    </xf>
    <xf numFmtId="0" fontId="35" fillId="7" borderId="13" xfId="20" applyFont="1" applyFill="1" applyBorder="1" applyAlignment="1">
      <alignment horizontal="left"/>
    </xf>
    <xf numFmtId="0" fontId="35" fillId="7" borderId="28" xfId="20" applyFont="1" applyFill="1" applyBorder="1"/>
    <xf numFmtId="0" fontId="35" fillId="0" borderId="28" xfId="20" applyFont="1" applyBorder="1" applyAlignment="1">
      <alignment horizontal="center"/>
    </xf>
    <xf numFmtId="0" fontId="35" fillId="7" borderId="28" xfId="20" applyFont="1" applyFill="1" applyBorder="1" applyAlignment="1">
      <alignment horizontal="center"/>
    </xf>
    <xf numFmtId="0" fontId="35" fillId="7" borderId="28" xfId="20" applyFont="1" applyFill="1" applyBorder="1" applyAlignment="1">
      <alignment horizontal="left"/>
    </xf>
    <xf numFmtId="0" fontId="69" fillId="0" borderId="26" xfId="20" applyFont="1" applyBorder="1" applyAlignment="1">
      <alignment horizontal="left"/>
    </xf>
    <xf numFmtId="0" fontId="69" fillId="0" borderId="4" xfId="20" applyFont="1" applyBorder="1" applyAlignment="1">
      <alignment horizontal="center"/>
    </xf>
    <xf numFmtId="0" fontId="69" fillId="0" borderId="27" xfId="20" applyFont="1" applyBorder="1" applyAlignment="1">
      <alignment horizontal="left"/>
    </xf>
    <xf numFmtId="0" fontId="69" fillId="0" borderId="10" xfId="20" applyFont="1" applyBorder="1" applyAlignment="1">
      <alignment horizontal="center"/>
    </xf>
    <xf numFmtId="0" fontId="69" fillId="0" borderId="0" xfId="20" applyFont="1"/>
    <xf numFmtId="0" fontId="35" fillId="0" borderId="16" xfId="20" applyFont="1" applyBorder="1" applyAlignment="1">
      <alignment horizontal="left"/>
    </xf>
    <xf numFmtId="0" fontId="35" fillId="0" borderId="0" xfId="20" applyFont="1" applyAlignment="1">
      <alignment horizontal="center"/>
    </xf>
    <xf numFmtId="0" fontId="35" fillId="0" borderId="17" xfId="20" applyFont="1" applyBorder="1" applyAlignment="1">
      <alignment horizontal="left"/>
    </xf>
    <xf numFmtId="0" fontId="36" fillId="0" borderId="16" xfId="20" applyFont="1" applyBorder="1"/>
    <xf numFmtId="0" fontId="36" fillId="0" borderId="0" xfId="20" applyFont="1" applyAlignment="1">
      <alignment horizontal="center"/>
    </xf>
    <xf numFmtId="0" fontId="24" fillId="0" borderId="0" xfId="20" quotePrefix="1" applyAlignment="1">
      <alignment horizontal="center"/>
    </xf>
    <xf numFmtId="0" fontId="36" fillId="0" borderId="17" xfId="20" applyFont="1" applyBorder="1"/>
    <xf numFmtId="178" fontId="36" fillId="0" borderId="28" xfId="20" applyNumberFormat="1" applyFont="1" applyBorder="1" applyAlignment="1">
      <alignment horizontal="center"/>
    </xf>
    <xf numFmtId="178" fontId="36" fillId="0" borderId="28" xfId="20" quotePrefix="1" applyNumberFormat="1" applyFont="1" applyBorder="1" applyAlignment="1">
      <alignment horizontal="center"/>
    </xf>
    <xf numFmtId="0" fontId="35" fillId="0" borderId="18" xfId="20" applyFont="1" applyBorder="1" applyAlignment="1">
      <alignment horizontal="left"/>
    </xf>
    <xf numFmtId="0" fontId="35" fillId="0" borderId="12" xfId="20" applyFont="1" applyBorder="1" applyAlignment="1">
      <alignment horizontal="center"/>
    </xf>
    <xf numFmtId="0" fontId="35" fillId="0" borderId="19" xfId="20" applyFont="1" applyBorder="1" applyAlignment="1">
      <alignment horizontal="left"/>
    </xf>
    <xf numFmtId="0" fontId="24" fillId="0" borderId="28" xfId="20" applyBorder="1"/>
    <xf numFmtId="0" fontId="24" fillId="0" borderId="28" xfId="20" applyBorder="1" applyAlignment="1">
      <alignment horizontal="center"/>
    </xf>
    <xf numFmtId="7" fontId="24" fillId="0" borderId="28" xfId="20" applyNumberFormat="1" applyBorder="1" applyAlignment="1">
      <alignment horizontal="center"/>
    </xf>
    <xf numFmtId="17" fontId="24" fillId="0" borderId="28" xfId="20" quotePrefix="1" applyNumberFormat="1" applyBorder="1" applyAlignment="1">
      <alignment horizontal="center"/>
    </xf>
    <xf numFmtId="172" fontId="24" fillId="0" borderId="28" xfId="20" applyNumberFormat="1" applyBorder="1" applyAlignment="1">
      <alignment horizontal="center"/>
    </xf>
    <xf numFmtId="0" fontId="24" fillId="0" borderId="28" xfId="20" quotePrefix="1" applyBorder="1" applyAlignment="1">
      <alignment horizontal="center"/>
    </xf>
    <xf numFmtId="0" fontId="24" fillId="0" borderId="11" xfId="20" applyBorder="1"/>
    <xf numFmtId="0" fontId="24" fillId="0" borderId="11" xfId="20" applyBorder="1" applyAlignment="1">
      <alignment horizontal="center"/>
    </xf>
    <xf numFmtId="172" fontId="24" fillId="0" borderId="11" xfId="20" applyNumberFormat="1" applyBorder="1" applyAlignment="1">
      <alignment horizontal="center"/>
    </xf>
    <xf numFmtId="9" fontId="24" fillId="0" borderId="28" xfId="20" applyNumberFormat="1" applyBorder="1" applyAlignment="1">
      <alignment horizontal="center"/>
    </xf>
    <xf numFmtId="172" fontId="68" fillId="0" borderId="0" xfId="20" applyNumberFormat="1" applyFont="1"/>
    <xf numFmtId="0" fontId="24" fillId="0" borderId="11" xfId="20" quotePrefix="1" applyBorder="1" applyAlignment="1">
      <alignment horizontal="center"/>
    </xf>
    <xf numFmtId="169" fontId="24" fillId="0" borderId="28" xfId="20" applyNumberFormat="1" applyBorder="1"/>
    <xf numFmtId="44" fontId="24" fillId="0" borderId="11" xfId="20" applyNumberFormat="1" applyBorder="1"/>
    <xf numFmtId="0" fontId="24" fillId="0" borderId="13" xfId="20" applyBorder="1"/>
    <xf numFmtId="0" fontId="24" fillId="0" borderId="28" xfId="20" quotePrefix="1" applyBorder="1"/>
    <xf numFmtId="0" fontId="36" fillId="0" borderId="28" xfId="20" quotePrefix="1" applyFont="1" applyBorder="1" applyAlignment="1">
      <alignment horizontal="center"/>
    </xf>
    <xf numFmtId="0" fontId="36" fillId="0" borderId="28" xfId="20" applyFont="1" applyBorder="1"/>
    <xf numFmtId="177" fontId="36" fillId="0" borderId="28" xfId="20" quotePrefix="1" applyNumberFormat="1" applyFont="1" applyBorder="1" applyAlignment="1">
      <alignment horizontal="center"/>
    </xf>
    <xf numFmtId="0" fontId="24" fillId="0" borderId="11" xfId="20" quotePrefix="1" applyBorder="1"/>
    <xf numFmtId="0" fontId="36" fillId="0" borderId="11" xfId="20" quotePrefix="1" applyFont="1" applyBorder="1" applyAlignment="1">
      <alignment horizontal="center"/>
    </xf>
    <xf numFmtId="177" fontId="36" fillId="0" borderId="11" xfId="20" quotePrefix="1" applyNumberFormat="1" applyFont="1" applyBorder="1" applyAlignment="1">
      <alignment horizontal="center"/>
    </xf>
    <xf numFmtId="7" fontId="24" fillId="0" borderId="28" xfId="20" applyNumberFormat="1" applyBorder="1" applyAlignment="1">
      <alignment horizontal="center" vertical="center" wrapText="1"/>
    </xf>
    <xf numFmtId="0" fontId="24" fillId="0" borderId="13" xfId="20" quotePrefix="1" applyBorder="1" applyAlignment="1">
      <alignment horizontal="center"/>
    </xf>
    <xf numFmtId="0" fontId="58" fillId="0" borderId="0" xfId="20" applyFont="1"/>
    <xf numFmtId="0" fontId="69" fillId="7" borderId="14" xfId="20" applyFont="1" applyFill="1" applyBorder="1" applyAlignment="1">
      <alignment horizontal="left"/>
    </xf>
    <xf numFmtId="0" fontId="69" fillId="7" borderId="15" xfId="20" applyFont="1" applyFill="1" applyBorder="1" applyAlignment="1">
      <alignment horizontal="center"/>
    </xf>
    <xf numFmtId="0" fontId="69" fillId="0" borderId="28" xfId="20" applyFont="1" applyBorder="1" applyAlignment="1">
      <alignment horizontal="center"/>
    </xf>
    <xf numFmtId="0" fontId="69" fillId="7" borderId="28" xfId="20" applyFont="1" applyFill="1" applyBorder="1" applyAlignment="1">
      <alignment horizontal="center"/>
    </xf>
    <xf numFmtId="0" fontId="69" fillId="0" borderId="28" xfId="20" applyFont="1" applyBorder="1" applyAlignment="1">
      <alignment horizontal="center" wrapText="1"/>
    </xf>
    <xf numFmtId="0" fontId="69" fillId="7" borderId="28" xfId="20" applyFont="1" applyFill="1" applyBorder="1" applyAlignment="1">
      <alignment horizontal="center" wrapText="1"/>
    </xf>
    <xf numFmtId="0" fontId="24" fillId="0" borderId="14" xfId="20" applyBorder="1"/>
    <xf numFmtId="0" fontId="24" fillId="0" borderId="15" xfId="20" applyBorder="1" applyAlignment="1">
      <alignment horizontal="center"/>
    </xf>
    <xf numFmtId="0" fontId="36" fillId="0" borderId="17" xfId="20" applyFont="1" applyBorder="1" applyAlignment="1">
      <alignment horizontal="center"/>
    </xf>
    <xf numFmtId="178" fontId="36" fillId="0" borderId="17" xfId="20" applyNumberFormat="1" applyFont="1" applyBorder="1" applyAlignment="1">
      <alignment horizontal="center"/>
    </xf>
    <xf numFmtId="178" fontId="36" fillId="0" borderId="16" xfId="20" applyNumberFormat="1" applyFont="1" applyBorder="1" applyAlignment="1">
      <alignment horizontal="center"/>
    </xf>
    <xf numFmtId="0" fontId="24" fillId="0" borderId="18" xfId="20" applyBorder="1"/>
    <xf numFmtId="0" fontId="24" fillId="0" borderId="19" xfId="20" applyBorder="1" applyAlignment="1">
      <alignment horizontal="center"/>
    </xf>
    <xf numFmtId="0" fontId="24" fillId="0" borderId="0" xfId="20" applyAlignment="1">
      <alignment horizontal="center"/>
    </xf>
    <xf numFmtId="0" fontId="24" fillId="0" borderId="16" xfId="20" applyBorder="1"/>
    <xf numFmtId="171" fontId="24" fillId="0" borderId="28" xfId="20" applyNumberFormat="1" applyBorder="1" applyAlignment="1">
      <alignment horizontal="center"/>
    </xf>
    <xf numFmtId="172" fontId="24" fillId="0" borderId="0" xfId="20" applyNumberFormat="1" applyAlignment="1">
      <alignment horizontal="center"/>
    </xf>
    <xf numFmtId="171" fontId="24" fillId="0" borderId="16" xfId="20" applyNumberFormat="1" applyBorder="1" applyAlignment="1">
      <alignment horizontal="center"/>
    </xf>
    <xf numFmtId="0" fontId="35" fillId="0" borderId="16" xfId="20" applyFont="1" applyBorder="1" applyAlignment="1">
      <alignment horizontal="center"/>
    </xf>
    <xf numFmtId="0" fontId="24" fillId="0" borderId="17" xfId="20" applyBorder="1"/>
    <xf numFmtId="44" fontId="24" fillId="0" borderId="28" xfId="20" applyNumberFormat="1" applyBorder="1"/>
    <xf numFmtId="44" fontId="24" fillId="0" borderId="0" xfId="20" applyNumberFormat="1"/>
    <xf numFmtId="171" fontId="24" fillId="0" borderId="0" xfId="20" applyNumberFormat="1" applyAlignment="1">
      <alignment horizontal="center"/>
    </xf>
    <xf numFmtId="172" fontId="24" fillId="0" borderId="17" xfId="20" applyNumberFormat="1" applyBorder="1" applyAlignment="1">
      <alignment horizontal="center"/>
    </xf>
    <xf numFmtId="172" fontId="24" fillId="0" borderId="19" xfId="20" applyNumberFormat="1" applyBorder="1" applyAlignment="1">
      <alignment horizontal="center"/>
    </xf>
    <xf numFmtId="171" fontId="24" fillId="0" borderId="11" xfId="20" applyNumberFormat="1" applyBorder="1" applyAlignment="1">
      <alignment horizontal="center"/>
    </xf>
    <xf numFmtId="171" fontId="24" fillId="0" borderId="12" xfId="20" applyNumberFormat="1" applyBorder="1" applyAlignment="1">
      <alignment horizontal="center"/>
    </xf>
    <xf numFmtId="171" fontId="24" fillId="0" borderId="18" xfId="20" applyNumberFormat="1" applyBorder="1" applyAlignment="1">
      <alignment horizontal="center"/>
    </xf>
    <xf numFmtId="0" fontId="64" fillId="0" borderId="14" xfId="20" applyFont="1" applyBorder="1"/>
    <xf numFmtId="0" fontId="64" fillId="0" borderId="1" xfId="20" applyFont="1" applyBorder="1" applyAlignment="1">
      <alignment horizontal="left"/>
    </xf>
    <xf numFmtId="15" fontId="64" fillId="0" borderId="1" xfId="20" applyNumberFormat="1" applyFont="1" applyBorder="1"/>
    <xf numFmtId="15" fontId="71" fillId="0" borderId="15" xfId="20" applyNumberFormat="1" applyFont="1" applyBorder="1" applyAlignment="1">
      <alignment horizontal="center"/>
    </xf>
    <xf numFmtId="169" fontId="24" fillId="0" borderId="0" xfId="20" quotePrefix="1" applyNumberFormat="1"/>
    <xf numFmtId="0" fontId="24" fillId="0" borderId="12" xfId="20" applyBorder="1"/>
    <xf numFmtId="169" fontId="24" fillId="0" borderId="12" xfId="20" quotePrefix="1" applyNumberFormat="1" applyBorder="1"/>
    <xf numFmtId="178" fontId="36" fillId="0" borderId="19" xfId="20" applyNumberFormat="1" applyFont="1" applyBorder="1" applyAlignment="1">
      <alignment horizontal="center"/>
    </xf>
    <xf numFmtId="0" fontId="24" fillId="0" borderId="1" xfId="20" applyBorder="1"/>
    <xf numFmtId="169" fontId="24" fillId="0" borderId="1" xfId="20" quotePrefix="1" applyNumberFormat="1" applyBorder="1"/>
    <xf numFmtId="178" fontId="36" fillId="0" borderId="15" xfId="20" applyNumberFormat="1" applyFont="1" applyBorder="1" applyAlignment="1">
      <alignment horizontal="center"/>
    </xf>
    <xf numFmtId="169" fontId="24" fillId="0" borderId="0" xfId="20" applyNumberFormat="1"/>
    <xf numFmtId="169" fontId="24" fillId="0" borderId="12" xfId="20" applyNumberFormat="1" applyBorder="1"/>
    <xf numFmtId="0" fontId="45" fillId="0" borderId="0" xfId="111" applyFont="1"/>
    <xf numFmtId="0" fontId="24" fillId="0" borderId="0" xfId="111"/>
    <xf numFmtId="0" fontId="24" fillId="0" borderId="17" xfId="111" applyBorder="1"/>
    <xf numFmtId="0" fontId="73" fillId="0" borderId="0" xfId="111" applyFont="1"/>
    <xf numFmtId="0" fontId="45" fillId="0" borderId="18" xfId="111" applyFont="1" applyBorder="1"/>
    <xf numFmtId="0" fontId="45" fillId="0" borderId="12" xfId="111" applyFont="1" applyBorder="1"/>
    <xf numFmtId="0" fontId="24" fillId="0" borderId="12" xfId="111" applyBorder="1"/>
    <xf numFmtId="0" fontId="24" fillId="0" borderId="19" xfId="111" applyBorder="1"/>
    <xf numFmtId="0" fontId="35" fillId="11" borderId="16" xfId="20" applyFont="1" applyFill="1" applyBorder="1"/>
    <xf numFmtId="0" fontId="35" fillId="11" borderId="0" xfId="20" applyFont="1" applyFill="1"/>
    <xf numFmtId="0" fontId="64" fillId="0" borderId="0" xfId="20" applyFont="1" applyAlignment="1">
      <alignment horizontal="left"/>
    </xf>
    <xf numFmtId="0" fontId="64" fillId="0" borderId="12" xfId="20" applyFont="1" applyBorder="1" applyAlignment="1">
      <alignment horizontal="left"/>
    </xf>
    <xf numFmtId="0" fontId="64" fillId="0" borderId="16" xfId="20" applyFont="1" applyBorder="1"/>
    <xf numFmtId="0" fontId="64" fillId="0" borderId="0" xfId="20" applyFont="1" applyAlignment="1">
      <alignment horizontal="center" wrapText="1"/>
    </xf>
    <xf numFmtId="0" fontId="24" fillId="0" borderId="16" xfId="20" applyBorder="1" applyAlignment="1">
      <alignment vertical="top" wrapText="1"/>
    </xf>
    <xf numFmtId="0" fontId="24" fillId="0" borderId="0" xfId="20" applyAlignment="1">
      <alignment wrapText="1"/>
    </xf>
    <xf numFmtId="0" fontId="24" fillId="0" borderId="0" xfId="20" applyAlignment="1">
      <alignment horizontal="right"/>
    </xf>
    <xf numFmtId="0" fontId="0" fillId="0" borderId="12" xfId="0" applyBorder="1"/>
    <xf numFmtId="0" fontId="24" fillId="0" borderId="0" xfId="194" applyFont="1"/>
    <xf numFmtId="0" fontId="45" fillId="0" borderId="0" xfId="0" applyFont="1"/>
    <xf numFmtId="0" fontId="75" fillId="0" borderId="29" xfId="194" applyFont="1" applyBorder="1" applyAlignment="1">
      <alignment horizontal="left" vertical="center"/>
    </xf>
    <xf numFmtId="0" fontId="25" fillId="0" borderId="30" xfId="194" applyFont="1" applyBorder="1" applyAlignment="1">
      <alignment horizontal="center" vertical="center"/>
    </xf>
    <xf numFmtId="0" fontId="24" fillId="0" borderId="30" xfId="194" applyFont="1" applyBorder="1"/>
    <xf numFmtId="0" fontId="24" fillId="0" borderId="31" xfId="194" applyFont="1" applyBorder="1"/>
    <xf numFmtId="0" fontId="75" fillId="0" borderId="0" xfId="194" applyFont="1" applyAlignment="1">
      <alignment horizontal="left" vertical="center"/>
    </xf>
    <xf numFmtId="179" fontId="25" fillId="0" borderId="0" xfId="194" applyNumberFormat="1" applyFont="1" applyAlignment="1">
      <alignment horizontal="left" vertical="center"/>
    </xf>
    <xf numFmtId="0" fontId="25" fillId="0" borderId="0" xfId="194" applyFont="1" applyAlignment="1">
      <alignment horizontal="left" vertical="center"/>
    </xf>
    <xf numFmtId="0" fontId="24" fillId="0" borderId="0" xfId="194" applyFont="1" applyAlignment="1">
      <alignment horizontal="center"/>
    </xf>
    <xf numFmtId="0" fontId="25" fillId="0" borderId="12" xfId="194" applyFont="1" applyBorder="1" applyAlignment="1">
      <alignment horizontal="left" vertical="center"/>
    </xf>
    <xf numFmtId="0" fontId="24" fillId="7" borderId="12" xfId="194" applyFont="1" applyFill="1" applyBorder="1" applyAlignment="1">
      <alignment horizontal="center"/>
    </xf>
    <xf numFmtId="175" fontId="45" fillId="0" borderId="0" xfId="195" applyNumberFormat="1" applyFont="1" applyFill="1"/>
    <xf numFmtId="0" fontId="0" fillId="0" borderId="16" xfId="0" applyBorder="1"/>
    <xf numFmtId="0" fontId="0" fillId="0" borderId="0" xfId="0" applyAlignment="1">
      <alignment horizontal="right"/>
    </xf>
    <xf numFmtId="0" fontId="76" fillId="0" borderId="0" xfId="0" applyFont="1" applyAlignment="1">
      <alignment horizontal="right"/>
    </xf>
    <xf numFmtId="0" fontId="24" fillId="0" borderId="0" xfId="100" applyAlignment="1">
      <alignment horizontal="center" vertical="top"/>
    </xf>
    <xf numFmtId="0" fontId="0" fillId="0" borderId="17" xfId="0" applyBorder="1"/>
    <xf numFmtId="7" fontId="54" fillId="0" borderId="0" xfId="100" applyNumberFormat="1" applyFont="1" applyAlignment="1">
      <alignment horizontal="right"/>
    </xf>
    <xf numFmtId="0" fontId="45" fillId="0" borderId="0" xfId="0" applyFont="1" applyAlignment="1">
      <alignment horizontal="right"/>
    </xf>
    <xf numFmtId="0" fontId="25" fillId="0" borderId="0" xfId="194" applyFont="1" applyAlignment="1">
      <alignment vertical="center"/>
    </xf>
    <xf numFmtId="0" fontId="45" fillId="0" borderId="12" xfId="0" applyFont="1" applyBorder="1"/>
    <xf numFmtId="0" fontId="35" fillId="7" borderId="28" xfId="20" applyFont="1" applyFill="1" applyBorder="1" applyAlignment="1">
      <alignment horizontal="center" wrapText="1"/>
    </xf>
    <xf numFmtId="0" fontId="35" fillId="7" borderId="11" xfId="20" applyFont="1" applyFill="1" applyBorder="1" applyAlignment="1">
      <alignment horizontal="center" wrapText="1"/>
    </xf>
    <xf numFmtId="0" fontId="35" fillId="0" borderId="11" xfId="20" applyFont="1" applyBorder="1" applyAlignment="1">
      <alignment horizontal="center" wrapText="1"/>
    </xf>
    <xf numFmtId="0" fontId="35" fillId="7" borderId="11" xfId="20" applyFont="1" applyFill="1" applyBorder="1" applyAlignment="1">
      <alignment horizontal="left"/>
    </xf>
    <xf numFmtId="0" fontId="35" fillId="7" borderId="11" xfId="20" applyFont="1" applyFill="1" applyBorder="1" applyAlignment="1">
      <alignment horizontal="center"/>
    </xf>
    <xf numFmtId="0" fontId="35" fillId="0" borderId="11" xfId="20" applyFont="1" applyBorder="1" applyAlignment="1">
      <alignment horizontal="center"/>
    </xf>
    <xf numFmtId="0" fontId="35" fillId="7" borderId="14" xfId="20" applyFont="1" applyFill="1" applyBorder="1" applyAlignment="1">
      <alignment horizontal="center" wrapText="1"/>
    </xf>
    <xf numFmtId="0" fontId="65" fillId="0" borderId="0" xfId="0" applyFont="1" applyAlignment="1">
      <alignment horizontal="center" vertical="center"/>
    </xf>
    <xf numFmtId="0" fontId="79" fillId="0" borderId="0" xfId="0" quotePrefix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54" fillId="0" borderId="10" xfId="20" applyFont="1" applyBorder="1" applyAlignment="1">
      <alignment horizontal="center"/>
    </xf>
    <xf numFmtId="178" fontId="24" fillId="0" borderId="28" xfId="20" applyNumberFormat="1" applyBorder="1" applyAlignment="1">
      <alignment horizontal="center"/>
    </xf>
    <xf numFmtId="9" fontId="24" fillId="0" borderId="28" xfId="209" applyFont="1" applyFill="1" applyBorder="1" applyAlignment="1">
      <alignment horizontal="center"/>
    </xf>
    <xf numFmtId="4" fontId="24" fillId="0" borderId="28" xfId="209" applyNumberFormat="1" applyFont="1" applyFill="1" applyBorder="1" applyAlignment="1">
      <alignment horizontal="center"/>
    </xf>
    <xf numFmtId="9" fontId="24" fillId="0" borderId="16" xfId="20" applyNumberFormat="1" applyBorder="1" applyAlignment="1">
      <alignment horizontal="center"/>
    </xf>
    <xf numFmtId="172" fontId="24" fillId="0" borderId="16" xfId="20" applyNumberFormat="1" applyBorder="1" applyAlignment="1">
      <alignment horizontal="center"/>
    </xf>
    <xf numFmtId="177" fontId="24" fillId="0" borderId="28" xfId="20" quotePrefix="1" applyNumberFormat="1" applyBorder="1" applyAlignment="1">
      <alignment horizontal="center"/>
    </xf>
    <xf numFmtId="177" fontId="24" fillId="0" borderId="11" xfId="20" quotePrefix="1" applyNumberFormat="1" applyBorder="1" applyAlignment="1">
      <alignment horizontal="center"/>
    </xf>
    <xf numFmtId="0" fontId="80" fillId="0" borderId="16" xfId="0" quotePrefix="1" applyFont="1" applyBorder="1" applyAlignment="1">
      <alignment horizontal="center" vertical="center"/>
    </xf>
    <xf numFmtId="0" fontId="80" fillId="0" borderId="0" xfId="0" quotePrefix="1" applyFont="1" applyAlignment="1">
      <alignment horizontal="center" vertical="center"/>
    </xf>
    <xf numFmtId="0" fontId="81" fillId="0" borderId="0" xfId="0" quotePrefix="1" applyFont="1" applyAlignment="1">
      <alignment horizontal="center" vertical="center"/>
    </xf>
    <xf numFmtId="0" fontId="82" fillId="0" borderId="0" xfId="0" quotePrefix="1" applyFont="1" applyAlignment="1">
      <alignment horizontal="left" vertical="center"/>
    </xf>
    <xf numFmtId="0" fontId="83" fillId="0" borderId="0" xfId="0" applyFont="1" applyAlignment="1">
      <alignment vertical="center"/>
    </xf>
    <xf numFmtId="172" fontId="84" fillId="0" borderId="0" xfId="0" applyNumberFormat="1" applyFont="1" applyAlignment="1">
      <alignment vertical="center"/>
    </xf>
    <xf numFmtId="172" fontId="24" fillId="0" borderId="0" xfId="0" applyNumberFormat="1" applyFont="1" applyAlignment="1">
      <alignment vertical="center"/>
    </xf>
    <xf numFmtId="172" fontId="81" fillId="0" borderId="0" xfId="0" applyNumberFormat="1" applyFont="1" applyAlignment="1">
      <alignment vertical="center"/>
    </xf>
    <xf numFmtId="172" fontId="81" fillId="0" borderId="17" xfId="0" applyNumberFormat="1" applyFont="1" applyBorder="1" applyAlignment="1">
      <alignment vertical="center"/>
    </xf>
    <xf numFmtId="0" fontId="8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172" fontId="83" fillId="0" borderId="0" xfId="0" applyNumberFormat="1" applyFont="1" applyAlignment="1">
      <alignment vertical="center"/>
    </xf>
    <xf numFmtId="172" fontId="82" fillId="0" borderId="0" xfId="0" applyNumberFormat="1" applyFont="1" applyAlignment="1">
      <alignment vertical="center"/>
    </xf>
    <xf numFmtId="176" fontId="82" fillId="0" borderId="0" xfId="207" applyNumberFormat="1" applyFont="1" applyAlignment="1">
      <alignment vertical="center"/>
    </xf>
    <xf numFmtId="0" fontId="80" fillId="0" borderId="18" xfId="0" quotePrefix="1" applyFont="1" applyBorder="1" applyAlignment="1">
      <alignment horizontal="center" vertical="center"/>
    </xf>
    <xf numFmtId="0" fontId="80" fillId="0" borderId="12" xfId="0" quotePrefix="1" applyFont="1" applyBorder="1" applyAlignment="1">
      <alignment horizontal="center" vertical="center"/>
    </xf>
    <xf numFmtId="0" fontId="81" fillId="0" borderId="12" xfId="0" quotePrefix="1" applyFont="1" applyBorder="1" applyAlignment="1">
      <alignment horizontal="center" vertical="center"/>
    </xf>
    <xf numFmtId="0" fontId="82" fillId="0" borderId="12" xfId="0" quotePrefix="1" applyFont="1" applyBorder="1" applyAlignment="1">
      <alignment horizontal="left" vertical="center"/>
    </xf>
    <xf numFmtId="0" fontId="83" fillId="0" borderId="12" xfId="0" applyFont="1" applyBorder="1" applyAlignment="1">
      <alignment vertical="center"/>
    </xf>
    <xf numFmtId="172" fontId="84" fillId="0" borderId="12" xfId="0" applyNumberFormat="1" applyFont="1" applyBorder="1" applyAlignment="1">
      <alignment vertical="center"/>
    </xf>
    <xf numFmtId="172" fontId="24" fillId="0" borderId="12" xfId="0" applyNumberFormat="1" applyFont="1" applyBorder="1" applyAlignment="1">
      <alignment vertical="center"/>
    </xf>
    <xf numFmtId="172" fontId="81" fillId="0" borderId="12" xfId="0" applyNumberFormat="1" applyFont="1" applyBorder="1" applyAlignment="1">
      <alignment vertical="center"/>
    </xf>
    <xf numFmtId="172" fontId="81" fillId="0" borderId="19" xfId="0" applyNumberFormat="1" applyFont="1" applyBorder="1" applyAlignment="1">
      <alignment vertical="center"/>
    </xf>
    <xf numFmtId="0" fontId="82" fillId="0" borderId="12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vertical="center"/>
    </xf>
    <xf numFmtId="0" fontId="75" fillId="0" borderId="0" xfId="0" applyFont="1" applyAlignment="1">
      <alignment horizontal="left" vertical="center"/>
    </xf>
    <xf numFmtId="0" fontId="87" fillId="0" borderId="0" xfId="0" applyFont="1" applyAlignment="1">
      <alignment horizontal="centerContinuous" vertical="center"/>
    </xf>
    <xf numFmtId="0" fontId="25" fillId="0" borderId="0" xfId="0" applyFont="1" applyAlignment="1">
      <alignment horizontal="centerContinuous" vertical="center"/>
    </xf>
    <xf numFmtId="172" fontId="88" fillId="0" borderId="0" xfId="0" applyNumberFormat="1" applyFont="1" applyAlignment="1">
      <alignment horizontal="centerContinuous" vertical="center"/>
    </xf>
    <xf numFmtId="0" fontId="75" fillId="0" borderId="0" xfId="0" quotePrefix="1" applyFont="1" applyAlignment="1">
      <alignment horizontal="left" vertical="center"/>
    </xf>
    <xf numFmtId="0" fontId="87" fillId="0" borderId="0" xfId="0" applyFont="1" applyAlignment="1">
      <alignment vertical="center"/>
    </xf>
    <xf numFmtId="0" fontId="25" fillId="0" borderId="0" xfId="0" quotePrefix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87" fillId="0" borderId="12" xfId="0" applyFont="1" applyBorder="1" applyAlignment="1">
      <alignment horizontal="center" vertical="center"/>
    </xf>
    <xf numFmtId="0" fontId="87" fillId="0" borderId="14" xfId="0" applyFont="1" applyBorder="1" applyAlignment="1">
      <alignment horizontal="left" vertical="center"/>
    </xf>
    <xf numFmtId="0" fontId="87" fillId="0" borderId="15" xfId="0" applyFont="1" applyBorder="1" applyAlignment="1">
      <alignment horizontal="center" vertical="center"/>
    </xf>
    <xf numFmtId="0" fontId="25" fillId="0" borderId="15" xfId="0" applyFont="1" applyBorder="1" applyAlignment="1">
      <alignment vertical="center"/>
    </xf>
    <xf numFmtId="0" fontId="89" fillId="0" borderId="13" xfId="0" applyFont="1" applyBorder="1" applyAlignment="1">
      <alignment horizontal="center" vertical="center"/>
    </xf>
    <xf numFmtId="3" fontId="87" fillId="0" borderId="16" xfId="207" applyNumberFormat="1" applyFont="1" applyFill="1" applyBorder="1" applyAlignment="1">
      <alignment horizontal="right" vertical="center"/>
    </xf>
    <xf numFmtId="7" fontId="87" fillId="0" borderId="17" xfId="0" applyNumberFormat="1" applyFont="1" applyBorder="1" applyAlignment="1">
      <alignment horizontal="center" vertical="center"/>
    </xf>
    <xf numFmtId="44" fontId="25" fillId="0" borderId="28" xfId="208" applyFont="1" applyFill="1" applyBorder="1" applyAlignment="1">
      <alignment vertical="center"/>
    </xf>
    <xf numFmtId="7" fontId="25" fillId="0" borderId="0" xfId="208" applyNumberFormat="1" applyFont="1" applyFill="1" applyBorder="1" applyAlignment="1">
      <alignment vertical="center"/>
    </xf>
    <xf numFmtId="167" fontId="25" fillId="0" borderId="0" xfId="0" applyNumberFormat="1" applyFont="1"/>
    <xf numFmtId="3" fontId="25" fillId="0" borderId="16" xfId="207" applyNumberFormat="1" applyFont="1" applyFill="1" applyBorder="1" applyAlignment="1">
      <alignment horizontal="right" vertical="center"/>
    </xf>
    <xf numFmtId="172" fontId="87" fillId="0" borderId="17" xfId="0" applyNumberFormat="1" applyFont="1" applyBorder="1" applyAlignment="1">
      <alignment horizontal="center" vertical="center"/>
    </xf>
    <xf numFmtId="7" fontId="25" fillId="0" borderId="28" xfId="208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center" vertical="center"/>
    </xf>
    <xf numFmtId="7" fontId="25" fillId="0" borderId="11" xfId="0" applyNumberFormat="1" applyFont="1" applyBorder="1" applyAlignment="1">
      <alignment vertical="center"/>
    </xf>
    <xf numFmtId="44" fontId="87" fillId="0" borderId="11" xfId="208" applyFont="1" applyFill="1" applyBorder="1" applyAlignment="1">
      <alignment vertical="center"/>
    </xf>
    <xf numFmtId="44" fontId="90" fillId="0" borderId="11" xfId="208" applyFont="1" applyFill="1" applyBorder="1" applyAlignment="1">
      <alignment vertical="center"/>
    </xf>
    <xf numFmtId="7" fontId="90" fillId="0" borderId="11" xfId="208" applyNumberFormat="1" applyFont="1" applyFill="1" applyBorder="1" applyAlignment="1">
      <alignment vertical="center"/>
    </xf>
    <xf numFmtId="3" fontId="25" fillId="0" borderId="14" xfId="207" quotePrefix="1" applyNumberFormat="1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7" fontId="25" fillId="0" borderId="13" xfId="0" applyNumberFormat="1" applyFont="1" applyBorder="1" applyAlignment="1">
      <alignment vertical="center"/>
    </xf>
    <xf numFmtId="44" fontId="87" fillId="0" borderId="13" xfId="208" applyFont="1" applyFill="1" applyBorder="1" applyAlignment="1">
      <alignment vertical="center"/>
    </xf>
    <xf numFmtId="44" fontId="90" fillId="0" borderId="13" xfId="208" applyFont="1" applyFill="1" applyBorder="1" applyAlignment="1">
      <alignment vertical="center"/>
    </xf>
    <xf numFmtId="7" fontId="90" fillId="0" borderId="13" xfId="208" applyNumberFormat="1" applyFont="1" applyFill="1" applyBorder="1" applyAlignment="1">
      <alignment vertical="center"/>
    </xf>
    <xf numFmtId="7" fontId="25" fillId="0" borderId="0" xfId="0" applyNumberFormat="1" applyFont="1"/>
    <xf numFmtId="3" fontId="91" fillId="0" borderId="16" xfId="207" quotePrefix="1" applyNumberFormat="1" applyFont="1" applyFill="1" applyBorder="1" applyAlignment="1">
      <alignment horizontal="left" vertical="center"/>
    </xf>
    <xf numFmtId="7" fontId="25" fillId="0" borderId="28" xfId="0" applyNumberFormat="1" applyFont="1" applyBorder="1" applyAlignment="1">
      <alignment vertical="center"/>
    </xf>
    <xf numFmtId="44" fontId="87" fillId="0" borderId="28" xfId="208" applyFont="1" applyFill="1" applyBorder="1" applyAlignment="1">
      <alignment vertical="center"/>
    </xf>
    <xf numFmtId="44" fontId="90" fillId="0" borderId="28" xfId="208" applyFont="1" applyFill="1" applyBorder="1" applyAlignment="1">
      <alignment vertical="center"/>
    </xf>
    <xf numFmtId="7" fontId="90" fillId="0" borderId="28" xfId="208" applyNumberFormat="1" applyFont="1" applyFill="1" applyBorder="1" applyAlignment="1">
      <alignment vertical="center"/>
    </xf>
    <xf numFmtId="44" fontId="91" fillId="0" borderId="28" xfId="208" applyFont="1" applyFill="1" applyBorder="1" applyAlignment="1">
      <alignment vertical="center"/>
    </xf>
    <xf numFmtId="8" fontId="25" fillId="0" borderId="0" xfId="0" applyNumberFormat="1" applyFont="1"/>
    <xf numFmtId="8" fontId="0" fillId="0" borderId="0" xfId="0" applyNumberFormat="1"/>
    <xf numFmtId="44" fontId="91" fillId="0" borderId="16" xfId="208" applyFont="1" applyFill="1" applyBorder="1" applyAlignment="1">
      <alignment vertical="center"/>
    </xf>
    <xf numFmtId="7" fontId="25" fillId="0" borderId="16" xfId="208" applyNumberFormat="1" applyFont="1" applyFill="1" applyBorder="1" applyAlignment="1">
      <alignment vertical="center"/>
    </xf>
    <xf numFmtId="0" fontId="25" fillId="0" borderId="16" xfId="0" applyFont="1" applyBorder="1"/>
    <xf numFmtId="44" fontId="25" fillId="0" borderId="11" xfId="208" applyFont="1" applyFill="1" applyBorder="1" applyAlignment="1">
      <alignment vertical="center"/>
    </xf>
    <xf numFmtId="44" fontId="25" fillId="0" borderId="18" xfId="208" applyFont="1" applyFill="1" applyBorder="1" applyAlignment="1">
      <alignment vertical="center"/>
    </xf>
    <xf numFmtId="44" fontId="25" fillId="0" borderId="0" xfId="208" applyFont="1" applyFill="1" applyBorder="1" applyAlignment="1">
      <alignment vertical="center"/>
    </xf>
    <xf numFmtId="44" fontId="91" fillId="0" borderId="12" xfId="208" applyFont="1" applyFill="1" applyBorder="1" applyAlignment="1">
      <alignment vertical="center"/>
    </xf>
    <xf numFmtId="44" fontId="25" fillId="0" borderId="16" xfId="208" applyFont="1" applyFill="1" applyBorder="1" applyAlignment="1">
      <alignment vertical="center"/>
    </xf>
    <xf numFmtId="44" fontId="91" fillId="0" borderId="0" xfId="208" applyFont="1" applyFill="1" applyBorder="1" applyAlignment="1">
      <alignment vertical="center"/>
    </xf>
    <xf numFmtId="3" fontId="25" fillId="0" borderId="18" xfId="207" applyNumberFormat="1" applyFont="1" applyFill="1" applyBorder="1" applyAlignment="1">
      <alignment horizontal="right" vertical="center"/>
    </xf>
    <xf numFmtId="44" fontId="25" fillId="0" borderId="12" xfId="208" applyFont="1" applyFill="1" applyBorder="1" applyAlignment="1">
      <alignment vertical="center"/>
    </xf>
    <xf numFmtId="7" fontId="25" fillId="0" borderId="18" xfId="208" applyNumberFormat="1" applyFont="1" applyFill="1" applyBorder="1" applyAlignment="1">
      <alignment vertical="center"/>
    </xf>
    <xf numFmtId="0" fontId="90" fillId="0" borderId="28" xfId="0" applyFont="1" applyBorder="1" applyAlignment="1">
      <alignment vertical="center"/>
    </xf>
    <xf numFmtId="0" fontId="90" fillId="0" borderId="28" xfId="0" applyFont="1" applyBorder="1" applyAlignment="1">
      <alignment horizontal="center" vertical="center"/>
    </xf>
    <xf numFmtId="3" fontId="92" fillId="0" borderId="18" xfId="207" applyNumberFormat="1" applyFont="1" applyFill="1" applyBorder="1" applyAlignment="1">
      <alignment horizontal="left" vertical="center"/>
    </xf>
    <xf numFmtId="172" fontId="93" fillId="0" borderId="19" xfId="0" applyNumberFormat="1" applyFont="1" applyBorder="1" applyAlignment="1">
      <alignment horizontal="center" vertical="center"/>
    </xf>
    <xf numFmtId="177" fontId="92" fillId="0" borderId="11" xfId="0" applyNumberFormat="1" applyFont="1" applyBorder="1" applyAlignment="1">
      <alignment vertical="center"/>
    </xf>
    <xf numFmtId="0" fontId="24" fillId="0" borderId="16" xfId="20" applyBorder="1" applyAlignment="1">
      <alignment wrapText="1"/>
    </xf>
    <xf numFmtId="172" fontId="24" fillId="0" borderId="0" xfId="208" applyNumberFormat="1" applyFont="1" applyFill="1" applyBorder="1" applyAlignment="1">
      <alignment horizontal="center" vertical="center"/>
    </xf>
    <xf numFmtId="0" fontId="24" fillId="0" borderId="0" xfId="0" quotePrefix="1" applyFont="1" applyAlignment="1">
      <alignment horizontal="left"/>
    </xf>
    <xf numFmtId="0" fontId="58" fillId="0" borderId="0" xfId="0" applyFont="1"/>
    <xf numFmtId="0" fontId="24" fillId="0" borderId="0" xfId="0" applyFont="1" applyAlignment="1">
      <alignment horizontal="right"/>
    </xf>
    <xf numFmtId="0" fontId="24" fillId="0" borderId="0" xfId="0" applyFont="1"/>
    <xf numFmtId="0" fontId="62" fillId="0" borderId="0" xfId="0" applyFont="1"/>
    <xf numFmtId="0" fontId="72" fillId="0" borderId="0" xfId="0" applyFont="1"/>
    <xf numFmtId="0" fontId="94" fillId="0" borderId="0" xfId="0" applyFont="1" applyAlignment="1">
      <alignment horizontal="centerContinuous" vertical="center"/>
    </xf>
    <xf numFmtId="0" fontId="75" fillId="0" borderId="0" xfId="0" applyFont="1" applyAlignment="1">
      <alignment horizontal="centerContinuous" vertical="center"/>
    </xf>
    <xf numFmtId="172" fontId="75" fillId="0" borderId="0" xfId="0" applyNumberFormat="1" applyFont="1" applyAlignment="1">
      <alignment horizontal="centerContinuous" vertical="center"/>
    </xf>
    <xf numFmtId="172" fontId="94" fillId="0" borderId="0" xfId="0" applyNumberFormat="1" applyFont="1" applyAlignment="1">
      <alignment horizontal="centerContinuous" vertical="center"/>
    </xf>
    <xf numFmtId="0" fontId="88" fillId="0" borderId="0" xfId="0" applyFont="1" applyAlignment="1">
      <alignment horizontal="centerContinuous" vertical="center"/>
    </xf>
    <xf numFmtId="0" fontId="75" fillId="0" borderId="0" xfId="0" quotePrefix="1" applyFont="1" applyAlignment="1">
      <alignment horizontal="right" vertical="center"/>
    </xf>
    <xf numFmtId="0" fontId="75" fillId="0" borderId="12" xfId="0" applyFont="1" applyBorder="1" applyAlignment="1">
      <alignment horizontal="left" vertical="top"/>
    </xf>
    <xf numFmtId="0" fontId="35" fillId="0" borderId="0" xfId="0" applyFont="1" applyAlignment="1">
      <alignment horizontal="centerContinuous" vertical="center"/>
    </xf>
    <xf numFmtId="0" fontId="24" fillId="0" borderId="0" xfId="0" applyFont="1" applyAlignment="1">
      <alignment horizontal="centerContinuous" vertical="center"/>
    </xf>
    <xf numFmtId="172" fontId="35" fillId="0" borderId="0" xfId="0" applyNumberFormat="1" applyFont="1" applyAlignment="1">
      <alignment horizontal="centerContinuous" vertical="center"/>
    </xf>
    <xf numFmtId="0" fontId="80" fillId="0" borderId="0" xfId="0" applyFont="1" applyAlignment="1">
      <alignment horizontal="centerContinuous" vertical="center"/>
    </xf>
    <xf numFmtId="0" fontId="6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72" fontId="62" fillId="0" borderId="0" xfId="0" applyNumberFormat="1" applyFont="1"/>
    <xf numFmtId="0" fontId="75" fillId="0" borderId="26" xfId="0" applyFont="1" applyBorder="1" applyAlignment="1">
      <alignment horizontal="left" vertical="center"/>
    </xf>
    <xf numFmtId="0" fontId="0" fillId="0" borderId="4" xfId="0" applyBorder="1"/>
    <xf numFmtId="0" fontId="35" fillId="0" borderId="4" xfId="0" applyFont="1" applyBorder="1" applyAlignment="1">
      <alignment horizontal="centerContinuous" vertical="center"/>
    </xf>
    <xf numFmtId="0" fontId="35" fillId="0" borderId="2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75" fillId="0" borderId="14" xfId="0" applyFont="1" applyBorder="1" applyAlignment="1">
      <alignment horizontal="left" vertical="center"/>
    </xf>
    <xf numFmtId="0" fontId="0" fillId="0" borderId="1" xfId="0" applyBorder="1"/>
    <xf numFmtId="0" fontId="35" fillId="0" borderId="15" xfId="0" applyFont="1" applyBorder="1" applyAlignment="1">
      <alignment horizontal="centerContinuous" vertical="center"/>
    </xf>
    <xf numFmtId="0" fontId="35" fillId="0" borderId="14" xfId="0" applyFont="1" applyBorder="1" applyAlignment="1">
      <alignment horizontal="center"/>
    </xf>
    <xf numFmtId="0" fontId="35" fillId="0" borderId="0" xfId="0" applyFont="1" applyAlignment="1">
      <alignment horizontal="center"/>
    </xf>
    <xf numFmtId="172" fontId="24" fillId="0" borderId="14" xfId="0" quotePrefix="1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/>
    </xf>
    <xf numFmtId="0" fontId="80" fillId="0" borderId="16" xfId="0" applyFont="1" applyBorder="1" applyAlignment="1">
      <alignment horizontal="centerContinuous" vertical="center"/>
    </xf>
    <xf numFmtId="0" fontId="82" fillId="0" borderId="0" xfId="0" applyFont="1" applyAlignment="1">
      <alignment horizontal="center" vertical="center"/>
    </xf>
    <xf numFmtId="0" fontId="82" fillId="0" borderId="1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72" fontId="24" fillId="0" borderId="28" xfId="0" applyNumberFormat="1" applyFont="1" applyBorder="1" applyAlignment="1">
      <alignment horizontal="center" vertical="center"/>
    </xf>
    <xf numFmtId="172" fontId="24" fillId="0" borderId="0" xfId="0" quotePrefix="1" applyNumberFormat="1" applyFont="1" applyAlignment="1">
      <alignment horizontal="center" vertical="center"/>
    </xf>
    <xf numFmtId="172" fontId="24" fillId="0" borderId="16" xfId="0" quotePrefix="1" applyNumberFormat="1" applyFont="1" applyBorder="1" applyAlignment="1">
      <alignment horizontal="center" vertical="center"/>
    </xf>
    <xf numFmtId="0" fontId="82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45" fillId="0" borderId="16" xfId="111" applyFont="1" applyBorder="1" applyAlignment="1">
      <alignment horizontal="center"/>
    </xf>
    <xf numFmtId="0" fontId="45" fillId="0" borderId="0" xfId="111" applyFont="1" applyAlignment="1">
      <alignment horizontal="center"/>
    </xf>
    <xf numFmtId="0" fontId="45" fillId="0" borderId="17" xfId="111" applyFont="1" applyBorder="1" applyAlignment="1">
      <alignment horizontal="center"/>
    </xf>
    <xf numFmtId="0" fontId="24" fillId="0" borderId="28" xfId="111" applyBorder="1" applyAlignment="1">
      <alignment horizontal="center"/>
    </xf>
    <xf numFmtId="0" fontId="82" fillId="0" borderId="17" xfId="0" applyFont="1" applyBorder="1" applyAlignment="1">
      <alignment horizontal="left" vertical="center"/>
    </xf>
    <xf numFmtId="172" fontId="24" fillId="0" borderId="1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17" xfId="0" applyFont="1" applyBorder="1" applyAlignment="1">
      <alignment horizontal="center"/>
    </xf>
    <xf numFmtId="0" fontId="24" fillId="0" borderId="28" xfId="111" quotePrefix="1" applyBorder="1" applyAlignment="1">
      <alignment horizontal="center"/>
    </xf>
    <xf numFmtId="0" fontId="82" fillId="0" borderId="16" xfId="0" quotePrefix="1" applyFont="1" applyBorder="1" applyAlignment="1">
      <alignment horizontal="center" vertical="center"/>
    </xf>
    <xf numFmtId="0" fontId="82" fillId="0" borderId="0" xfId="0" quotePrefix="1" applyFont="1" applyAlignment="1">
      <alignment horizontal="center" vertical="center"/>
    </xf>
    <xf numFmtId="172" fontId="24" fillId="0" borderId="17" xfId="0" applyNumberFormat="1" applyFont="1" applyBorder="1" applyAlignment="1">
      <alignment horizontal="center" vertical="center"/>
    </xf>
    <xf numFmtId="0" fontId="82" fillId="0" borderId="18" xfId="0" applyFont="1" applyBorder="1" applyAlignment="1">
      <alignment horizontal="center" vertical="center"/>
    </xf>
    <xf numFmtId="0" fontId="82" fillId="0" borderId="12" xfId="0" quotePrefix="1" applyFont="1" applyBorder="1" applyAlignment="1">
      <alignment horizontal="center" vertical="center" wrapText="1"/>
    </xf>
    <xf numFmtId="0" fontId="82" fillId="0" borderId="19" xfId="0" applyFont="1" applyBorder="1" applyAlignment="1">
      <alignment horizontal="center" vertical="center"/>
    </xf>
    <xf numFmtId="0" fontId="24" fillId="0" borderId="11" xfId="0" quotePrefix="1" applyFont="1" applyBorder="1" applyAlignment="1">
      <alignment horizontal="center" vertical="center"/>
    </xf>
    <xf numFmtId="0" fontId="24" fillId="0" borderId="12" xfId="0" quotePrefix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72" fontId="24" fillId="0" borderId="12" xfId="0" applyNumberFormat="1" applyFont="1" applyBorder="1" applyAlignment="1">
      <alignment horizontal="center" vertical="center"/>
    </xf>
    <xf numFmtId="172" fontId="24" fillId="0" borderId="11" xfId="0" applyNumberFormat="1" applyFont="1" applyBorder="1" applyAlignment="1">
      <alignment horizontal="center" vertical="center"/>
    </xf>
    <xf numFmtId="172" fontId="24" fillId="0" borderId="12" xfId="0" quotePrefix="1" applyNumberFormat="1" applyFont="1" applyBorder="1" applyAlignment="1">
      <alignment horizontal="center" vertical="center"/>
    </xf>
    <xf numFmtId="172" fontId="24" fillId="0" borderId="18" xfId="0" applyNumberFormat="1" applyFont="1" applyBorder="1" applyAlignment="1">
      <alignment horizontal="center" vertical="center"/>
    </xf>
    <xf numFmtId="172" fontId="24" fillId="0" borderId="18" xfId="0" quotePrefix="1" applyNumberFormat="1" applyFont="1" applyBorder="1" applyAlignment="1">
      <alignment horizontal="center" vertical="center"/>
    </xf>
    <xf numFmtId="172" fontId="24" fillId="0" borderId="19" xfId="0" quotePrefix="1" applyNumberFormat="1" applyFont="1" applyBorder="1" applyAlignment="1">
      <alignment horizontal="center" vertical="center"/>
    </xf>
    <xf numFmtId="172" fontId="24" fillId="0" borderId="11" xfId="0" quotePrefix="1" applyNumberFormat="1" applyFont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7" fontId="24" fillId="0" borderId="28" xfId="0" applyNumberFormat="1" applyFont="1" applyBorder="1" applyAlignment="1">
      <alignment vertical="center"/>
    </xf>
    <xf numFmtId="7" fontId="24" fillId="0" borderId="28" xfId="0" applyNumberFormat="1" applyFont="1" applyBorder="1" applyAlignment="1">
      <alignment horizontal="right" vertical="center"/>
    </xf>
    <xf numFmtId="7" fontId="24" fillId="0" borderId="0" xfId="0" applyNumberFormat="1" applyFont="1" applyAlignment="1">
      <alignment vertical="center"/>
    </xf>
    <xf numFmtId="7" fontId="24" fillId="0" borderId="16" xfId="0" applyNumberFormat="1" applyFont="1" applyBorder="1" applyAlignment="1">
      <alignment vertical="center"/>
    </xf>
    <xf numFmtId="172" fontId="24" fillId="0" borderId="14" xfId="0" applyNumberFormat="1" applyFont="1" applyBorder="1" applyAlignment="1">
      <alignment vertical="center"/>
    </xf>
    <xf numFmtId="172" fontId="24" fillId="0" borderId="1" xfId="0" applyNumberFormat="1" applyFont="1" applyBorder="1" applyAlignment="1">
      <alignment vertical="center"/>
    </xf>
    <xf numFmtId="172" fontId="24" fillId="0" borderId="1" xfId="0" applyNumberFormat="1" applyFont="1" applyBorder="1" applyAlignment="1">
      <alignment horizontal="center" vertical="center"/>
    </xf>
    <xf numFmtId="172" fontId="24" fillId="0" borderId="15" xfId="0" applyNumberFormat="1" applyFont="1" applyBorder="1" applyAlignment="1">
      <alignment horizontal="center" vertical="center"/>
    </xf>
    <xf numFmtId="172" fontId="82" fillId="0" borderId="17" xfId="0" applyNumberFormat="1" applyFont="1" applyBorder="1" applyAlignment="1">
      <alignment vertical="center"/>
    </xf>
    <xf numFmtId="172" fontId="24" fillId="0" borderId="28" xfId="0" applyNumberFormat="1" applyFont="1" applyBorder="1" applyAlignment="1">
      <alignment vertical="center"/>
    </xf>
    <xf numFmtId="172" fontId="45" fillId="0" borderId="16" xfId="111" applyNumberFormat="1" applyFont="1" applyBorder="1"/>
    <xf numFmtId="172" fontId="45" fillId="0" borderId="0" xfId="111" applyNumberFormat="1" applyFont="1"/>
    <xf numFmtId="172" fontId="45" fillId="0" borderId="17" xfId="111" applyNumberFormat="1" applyFont="1" applyBorder="1"/>
    <xf numFmtId="7" fontId="24" fillId="0" borderId="13" xfId="111" applyNumberFormat="1" applyBorder="1" applyAlignment="1">
      <alignment horizontal="center"/>
    </xf>
    <xf numFmtId="0" fontId="24" fillId="0" borderId="0" xfId="0" quotePrefix="1" applyFont="1" applyAlignment="1">
      <alignment horizontal="center" vertical="center"/>
    </xf>
    <xf numFmtId="0" fontId="45" fillId="0" borderId="17" xfId="111" applyFont="1" applyBorder="1" applyAlignment="1">
      <alignment horizontal="left"/>
    </xf>
    <xf numFmtId="172" fontId="24" fillId="0" borderId="17" xfId="0" applyNumberFormat="1" applyFont="1" applyBorder="1" applyAlignment="1">
      <alignment vertical="center"/>
    </xf>
    <xf numFmtId="172" fontId="24" fillId="0" borderId="16" xfId="0" applyNumberFormat="1" applyFont="1" applyBorder="1" applyAlignment="1">
      <alignment vertical="center"/>
    </xf>
    <xf numFmtId="172" fontId="24" fillId="0" borderId="16" xfId="111" applyNumberFormat="1" applyBorder="1"/>
    <xf numFmtId="172" fontId="24" fillId="0" borderId="0" xfId="111" applyNumberFormat="1"/>
    <xf numFmtId="172" fontId="45" fillId="0" borderId="17" xfId="111" applyNumberFormat="1" applyFont="1" applyBorder="1" applyAlignment="1">
      <alignment horizontal="center"/>
    </xf>
    <xf numFmtId="172" fontId="24" fillId="0" borderId="28" xfId="111" applyNumberFormat="1" applyBorder="1" applyAlignment="1">
      <alignment horizontal="center"/>
    </xf>
    <xf numFmtId="175" fontId="0" fillId="0" borderId="0" xfId="208" applyNumberFormat="1" applyFont="1"/>
    <xf numFmtId="0" fontId="45" fillId="0" borderId="17" xfId="111" quotePrefix="1" applyFont="1" applyBorder="1" applyAlignment="1">
      <alignment horizontal="left"/>
    </xf>
    <xf numFmtId="0" fontId="82" fillId="0" borderId="0" xfId="0" applyFont="1" applyAlignment="1">
      <alignment horizontal="left" vertical="center"/>
    </xf>
    <xf numFmtId="172" fontId="82" fillId="0" borderId="16" xfId="0" applyNumberFormat="1" applyFont="1" applyBorder="1" applyAlignment="1">
      <alignment vertical="center"/>
    </xf>
    <xf numFmtId="7" fontId="24" fillId="0" borderId="28" xfId="111" applyNumberFormat="1" applyBorder="1" applyAlignment="1">
      <alignment horizontal="center"/>
    </xf>
    <xf numFmtId="172" fontId="95" fillId="0" borderId="17" xfId="111" applyNumberFormat="1" applyFont="1" applyBorder="1"/>
    <xf numFmtId="7" fontId="95" fillId="0" borderId="28" xfId="111" applyNumberFormat="1" applyFont="1" applyBorder="1" applyAlignment="1">
      <alignment horizontal="center"/>
    </xf>
    <xf numFmtId="0" fontId="96" fillId="0" borderId="18" xfId="0" applyFont="1" applyBorder="1" applyAlignment="1">
      <alignment horizontal="center" vertical="center"/>
    </xf>
    <xf numFmtId="0" fontId="97" fillId="0" borderId="12" xfId="0" applyFont="1" applyBorder="1" applyAlignment="1">
      <alignment vertical="center"/>
    </xf>
    <xf numFmtId="177" fontId="96" fillId="0" borderId="18" xfId="0" applyNumberFormat="1" applyFont="1" applyBorder="1" applyAlignment="1">
      <alignment vertical="center"/>
    </xf>
    <xf numFmtId="177" fontId="96" fillId="0" borderId="12" xfId="0" applyNumberFormat="1" applyFont="1" applyBorder="1" applyAlignment="1">
      <alignment vertical="center"/>
    </xf>
    <xf numFmtId="177" fontId="96" fillId="0" borderId="19" xfId="0" applyNumberFormat="1" applyFont="1" applyBorder="1" applyAlignment="1">
      <alignment vertical="center"/>
    </xf>
    <xf numFmtId="177" fontId="96" fillId="0" borderId="11" xfId="0" applyNumberFormat="1" applyFont="1" applyBorder="1" applyAlignment="1">
      <alignment vertical="center"/>
    </xf>
    <xf numFmtId="0" fontId="35" fillId="0" borderId="16" xfId="0" applyFont="1" applyBorder="1" applyAlignment="1">
      <alignment horizontal="center" vertical="center"/>
    </xf>
    <xf numFmtId="172" fontId="36" fillId="0" borderId="17" xfId="0" applyNumberFormat="1" applyFont="1" applyBorder="1" applyAlignment="1">
      <alignment vertical="center"/>
    </xf>
    <xf numFmtId="7" fontId="24" fillId="0" borderId="14" xfId="0" applyNumberFormat="1" applyFont="1" applyBorder="1" applyAlignment="1">
      <alignment vertical="center"/>
    </xf>
    <xf numFmtId="172" fontId="84" fillId="0" borderId="0" xfId="111" applyNumberFormat="1" applyFont="1"/>
    <xf numFmtId="172" fontId="98" fillId="0" borderId="0" xfId="111" applyNumberFormat="1" applyFont="1"/>
    <xf numFmtId="7" fontId="95" fillId="0" borderId="0" xfId="111" applyNumberFormat="1" applyFont="1" applyAlignment="1">
      <alignment horizontal="center"/>
    </xf>
    <xf numFmtId="0" fontId="35" fillId="0" borderId="16" xfId="0" quotePrefix="1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7" fontId="24" fillId="0" borderId="17" xfId="0" applyNumberFormat="1" applyFont="1" applyBorder="1" applyAlignment="1">
      <alignment horizontal="right" vertical="center"/>
    </xf>
    <xf numFmtId="7" fontId="24" fillId="0" borderId="0" xfId="0" applyNumberFormat="1" applyFont="1" applyAlignment="1">
      <alignment horizontal="right" vertical="center"/>
    </xf>
    <xf numFmtId="7" fontId="24" fillId="0" borderId="16" xfId="0" applyNumberFormat="1" applyFont="1" applyBorder="1" applyAlignment="1">
      <alignment horizontal="right" vertical="center"/>
    </xf>
    <xf numFmtId="7" fontId="24" fillId="0" borderId="17" xfId="0" applyNumberFormat="1" applyFont="1" applyBorder="1" applyAlignment="1">
      <alignment vertical="center"/>
    </xf>
    <xf numFmtId="172" fontId="45" fillId="0" borderId="0" xfId="111" applyNumberFormat="1" applyFont="1" applyAlignment="1">
      <alignment horizontal="center"/>
    </xf>
    <xf numFmtId="7" fontId="45" fillId="0" borderId="0" xfId="111" applyNumberFormat="1" applyFont="1" applyAlignment="1">
      <alignment horizontal="center"/>
    </xf>
    <xf numFmtId="172" fontId="24" fillId="0" borderId="17" xfId="0" applyNumberFormat="1" applyFont="1" applyBorder="1" applyAlignment="1">
      <alignment horizontal="right" vertical="center"/>
    </xf>
    <xf numFmtId="172" fontId="24" fillId="0" borderId="28" xfId="0" applyNumberFormat="1" applyFont="1" applyBorder="1" applyAlignment="1">
      <alignment horizontal="right" vertical="center"/>
    </xf>
    <xf numFmtId="172" fontId="24" fillId="0" borderId="0" xfId="0" applyNumberFormat="1" applyFont="1" applyAlignment="1">
      <alignment horizontal="right" vertical="center"/>
    </xf>
    <xf numFmtId="172" fontId="24" fillId="0" borderId="16" xfId="0" applyNumberFormat="1" applyFont="1" applyBorder="1" applyAlignment="1">
      <alignment horizontal="right" vertical="center"/>
    </xf>
    <xf numFmtId="7" fontId="84" fillId="0" borderId="0" xfId="0" applyNumberFormat="1" applyFont="1" applyAlignment="1">
      <alignment vertical="center"/>
    </xf>
    <xf numFmtId="0" fontId="35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left" vertical="center"/>
    </xf>
    <xf numFmtId="172" fontId="24" fillId="0" borderId="19" xfId="0" applyNumberFormat="1" applyFont="1" applyBorder="1" applyAlignment="1">
      <alignment vertical="center"/>
    </xf>
    <xf numFmtId="172" fontId="24" fillId="0" borderId="11" xfId="0" applyNumberFormat="1" applyFont="1" applyBorder="1" applyAlignment="1">
      <alignment vertical="center"/>
    </xf>
    <xf numFmtId="172" fontId="24" fillId="0" borderId="12" xfId="0" applyNumberFormat="1" applyFont="1" applyBorder="1" applyAlignment="1">
      <alignment horizontal="right" vertical="center"/>
    </xf>
    <xf numFmtId="172" fontId="24" fillId="0" borderId="18" xfId="0" applyNumberFormat="1" applyFont="1" applyBorder="1" applyAlignment="1">
      <alignment vertical="center"/>
    </xf>
    <xf numFmtId="172" fontId="24" fillId="0" borderId="18" xfId="0" applyNumberFormat="1" applyFont="1" applyBorder="1" applyAlignment="1">
      <alignment horizontal="right" vertical="center"/>
    </xf>
    <xf numFmtId="172" fontId="81" fillId="0" borderId="0" xfId="111" applyNumberFormat="1" applyFont="1"/>
    <xf numFmtId="0" fontId="24" fillId="0" borderId="0" xfId="0" quotePrefix="1" applyFont="1" applyAlignment="1">
      <alignment horizontal="left" vertical="center"/>
    </xf>
    <xf numFmtId="0" fontId="24" fillId="0" borderId="18" xfId="0" applyFont="1" applyBorder="1" applyAlignment="1">
      <alignment horizontal="center" vertical="center"/>
    </xf>
    <xf numFmtId="0" fontId="24" fillId="0" borderId="19" xfId="0" quotePrefix="1" applyFont="1" applyBorder="1" applyAlignment="1">
      <alignment horizontal="left" vertical="center"/>
    </xf>
    <xf numFmtId="0" fontId="24" fillId="0" borderId="11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7" fontId="24" fillId="0" borderId="1" xfId="0" applyNumberFormat="1" applyFont="1" applyBorder="1" applyAlignment="1">
      <alignment vertical="center"/>
    </xf>
    <xf numFmtId="172" fontId="24" fillId="0" borderId="15" xfId="0" applyNumberFormat="1" applyFont="1" applyBorder="1" applyAlignment="1">
      <alignment vertical="center"/>
    </xf>
    <xf numFmtId="0" fontId="24" fillId="0" borderId="17" xfId="0" quotePrefix="1" applyFont="1" applyBorder="1" applyAlignment="1">
      <alignment horizontal="left" vertical="center"/>
    </xf>
    <xf numFmtId="0" fontId="24" fillId="0" borderId="28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96" fillId="0" borderId="16" xfId="0" applyFont="1" applyBorder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97" fillId="0" borderId="0" xfId="0" applyFont="1" applyAlignment="1">
      <alignment vertical="center"/>
    </xf>
    <xf numFmtId="172" fontId="73" fillId="0" borderId="0" xfId="111" applyNumberFormat="1" applyFont="1"/>
    <xf numFmtId="0" fontId="35" fillId="0" borderId="14" xfId="0" quotePrefix="1" applyFont="1" applyBorder="1" applyAlignment="1">
      <alignment horizontal="center" vertical="center"/>
    </xf>
    <xf numFmtId="0" fontId="35" fillId="0" borderId="1" xfId="0" quotePrefix="1" applyFont="1" applyBorder="1" applyAlignment="1">
      <alignment horizontal="center" vertical="center"/>
    </xf>
    <xf numFmtId="0" fontId="24" fillId="0" borderId="1" xfId="0" quotePrefix="1" applyFont="1" applyBorder="1" applyAlignment="1">
      <alignment horizontal="left" vertical="center"/>
    </xf>
    <xf numFmtId="0" fontId="24" fillId="0" borderId="1" xfId="0" applyFont="1" applyBorder="1" applyAlignment="1">
      <alignment vertical="center"/>
    </xf>
    <xf numFmtId="0" fontId="62" fillId="0" borderId="1" xfId="0" applyFont="1" applyBorder="1"/>
    <xf numFmtId="0" fontId="62" fillId="0" borderId="15" xfId="0" applyFont="1" applyBorder="1"/>
    <xf numFmtId="0" fontId="35" fillId="0" borderId="18" xfId="0" quotePrefix="1" applyFont="1" applyBorder="1" applyAlignment="1">
      <alignment horizontal="center" vertical="center"/>
    </xf>
    <xf numFmtId="0" fontId="35" fillId="0" borderId="12" xfId="0" quotePrefix="1" applyFont="1" applyBorder="1" applyAlignment="1">
      <alignment horizontal="center" vertical="center"/>
    </xf>
    <xf numFmtId="0" fontId="24" fillId="0" borderId="12" xfId="0" quotePrefix="1" applyFont="1" applyBorder="1" applyAlignment="1">
      <alignment horizontal="left" vertical="center"/>
    </xf>
    <xf numFmtId="0" fontId="62" fillId="0" borderId="12" xfId="0" applyFont="1" applyBorder="1"/>
    <xf numFmtId="0" fontId="62" fillId="0" borderId="19" xfId="0" applyFont="1" applyBorder="1"/>
    <xf numFmtId="0" fontId="45" fillId="0" borderId="16" xfId="111" applyFont="1" applyBorder="1"/>
    <xf numFmtId="0" fontId="24" fillId="0" borderId="0" xfId="111" quotePrefix="1" applyAlignment="1">
      <alignment horizontal="left"/>
    </xf>
    <xf numFmtId="0" fontId="45" fillId="0" borderId="0" xfId="111" quotePrefix="1" applyFont="1" applyAlignment="1">
      <alignment horizontal="left"/>
    </xf>
    <xf numFmtId="10" fontId="24" fillId="0" borderId="0" xfId="111" applyNumberFormat="1" applyAlignment="1">
      <alignment horizontal="center"/>
    </xf>
    <xf numFmtId="10" fontId="45" fillId="0" borderId="0" xfId="111" applyNumberFormat="1" applyFont="1" applyAlignment="1">
      <alignment horizontal="center"/>
    </xf>
    <xf numFmtId="0" fontId="95" fillId="0" borderId="16" xfId="111" quotePrefix="1" applyFont="1" applyBorder="1" applyAlignment="1">
      <alignment horizontal="center"/>
    </xf>
    <xf numFmtId="10" fontId="24" fillId="0" borderId="0" xfId="111" applyNumberFormat="1"/>
    <xf numFmtId="0" fontId="45" fillId="0" borderId="12" xfId="111" quotePrefix="1" applyFont="1" applyBorder="1" applyAlignment="1">
      <alignment horizontal="left"/>
    </xf>
    <xf numFmtId="0" fontId="24" fillId="0" borderId="12" xfId="111" quotePrefix="1" applyBorder="1" applyAlignment="1">
      <alignment horizontal="left"/>
    </xf>
    <xf numFmtId="10" fontId="24" fillId="0" borderId="12" xfId="111" applyNumberFormat="1" applyBorder="1"/>
    <xf numFmtId="10" fontId="45" fillId="0" borderId="12" xfId="111" applyNumberFormat="1" applyFont="1" applyBorder="1" applyAlignment="1">
      <alignment horizontal="center"/>
    </xf>
    <xf numFmtId="10" fontId="24" fillId="0" borderId="12" xfId="111" applyNumberFormat="1" applyBorder="1" applyAlignment="1">
      <alignment horizontal="center"/>
    </xf>
    <xf numFmtId="0" fontId="99" fillId="0" borderId="0" xfId="0" quotePrefix="1" applyFont="1" applyAlignment="1">
      <alignment horizontal="left" vertical="center"/>
    </xf>
    <xf numFmtId="0" fontId="25" fillId="0" borderId="0" xfId="0" quotePrefix="1" applyFont="1" applyAlignment="1">
      <alignment horizontal="left" vertical="center"/>
    </xf>
    <xf numFmtId="0" fontId="81" fillId="0" borderId="0" xfId="20" applyFont="1"/>
    <xf numFmtId="0" fontId="0" fillId="0" borderId="15" xfId="0" applyBorder="1"/>
    <xf numFmtId="0" fontId="0" fillId="0" borderId="19" xfId="0" applyBorder="1"/>
    <xf numFmtId="0" fontId="0" fillId="0" borderId="0" xfId="0" applyAlignment="1">
      <alignment horizontal="center"/>
    </xf>
    <xf numFmtId="0" fontId="62" fillId="0" borderId="0" xfId="0" applyFont="1" applyAlignment="1">
      <alignment horizontal="center"/>
    </xf>
    <xf numFmtId="0" fontId="62" fillId="0" borderId="17" xfId="0" applyFont="1" applyBorder="1"/>
    <xf numFmtId="0" fontId="81" fillId="0" borderId="0" xfId="0" applyFont="1" applyAlignment="1">
      <alignment vertical="center"/>
    </xf>
    <xf numFmtId="7" fontId="0" fillId="0" borderId="0" xfId="0" applyNumberFormat="1"/>
    <xf numFmtId="0" fontId="55" fillId="0" borderId="32" xfId="100" applyFont="1" applyBorder="1" applyAlignment="1">
      <alignment horizontal="center"/>
    </xf>
    <xf numFmtId="0" fontId="56" fillId="0" borderId="32" xfId="100" applyFont="1" applyBorder="1" applyAlignment="1">
      <alignment horizontal="center"/>
    </xf>
    <xf numFmtId="0" fontId="54" fillId="0" borderId="33" xfId="100" applyFont="1" applyBorder="1"/>
    <xf numFmtId="9" fontId="54" fillId="0" borderId="0" xfId="100" quotePrefix="1" applyNumberFormat="1" applyFont="1" applyAlignment="1">
      <alignment horizontal="center"/>
    </xf>
    <xf numFmtId="0" fontId="0" fillId="12" borderId="0" xfId="0" applyFill="1"/>
    <xf numFmtId="0" fontId="56" fillId="0" borderId="0" xfId="100" quotePrefix="1" applyFont="1" applyAlignment="1">
      <alignment horizontal="left"/>
    </xf>
    <xf numFmtId="0" fontId="25" fillId="0" borderId="0" xfId="194" applyFont="1" applyAlignment="1">
      <alignment horizontal="center" vertical="center"/>
    </xf>
    <xf numFmtId="0" fontId="24" fillId="0" borderId="12" xfId="194" applyFont="1" applyBorder="1" applyAlignment="1">
      <alignment horizontal="center"/>
    </xf>
    <xf numFmtId="0" fontId="67" fillId="0" borderId="0" xfId="20" applyFont="1" applyAlignment="1">
      <alignment horizontal="center"/>
    </xf>
    <xf numFmtId="0" fontId="35" fillId="8" borderId="26" xfId="20" applyFont="1" applyFill="1" applyBorder="1" applyAlignment="1">
      <alignment horizontal="center"/>
    </xf>
    <xf numFmtId="0" fontId="35" fillId="8" borderId="4" xfId="20" applyFont="1" applyFill="1" applyBorder="1" applyAlignment="1">
      <alignment horizontal="center"/>
    </xf>
    <xf numFmtId="0" fontId="35" fillId="8" borderId="27" xfId="20" applyFont="1" applyFill="1" applyBorder="1" applyAlignment="1">
      <alignment horizontal="center"/>
    </xf>
    <xf numFmtId="0" fontId="78" fillId="0" borderId="0" xfId="0" applyFont="1" applyAlignment="1">
      <alignment horizontal="center" vertical="center"/>
    </xf>
    <xf numFmtId="0" fontId="35" fillId="7" borderId="26" xfId="20" applyFont="1" applyFill="1" applyBorder="1" applyAlignment="1">
      <alignment horizontal="center"/>
    </xf>
    <xf numFmtId="0" fontId="35" fillId="7" borderId="4" xfId="20" applyFont="1" applyFill="1" applyBorder="1" applyAlignment="1">
      <alignment horizontal="center"/>
    </xf>
    <xf numFmtId="0" fontId="35" fillId="7" borderId="27" xfId="20" applyFont="1" applyFill="1" applyBorder="1" applyAlignment="1">
      <alignment horizontal="center"/>
    </xf>
    <xf numFmtId="0" fontId="35" fillId="0" borderId="10" xfId="20" applyFont="1" applyBorder="1" applyAlignment="1">
      <alignment horizontal="center"/>
    </xf>
    <xf numFmtId="0" fontId="35" fillId="0" borderId="26" xfId="20" applyFont="1" applyBorder="1" applyAlignment="1">
      <alignment horizontal="center"/>
    </xf>
    <xf numFmtId="0" fontId="35" fillId="0" borderId="4" xfId="20" applyFont="1" applyBorder="1" applyAlignment="1">
      <alignment horizontal="center"/>
    </xf>
    <xf numFmtId="0" fontId="35" fillId="0" borderId="27" xfId="20" applyFont="1" applyBorder="1" applyAlignment="1">
      <alignment horizontal="center"/>
    </xf>
    <xf numFmtId="0" fontId="35" fillId="0" borderId="13" xfId="20" applyFont="1" applyBorder="1" applyAlignment="1">
      <alignment horizontal="center" wrapText="1"/>
    </xf>
    <xf numFmtId="0" fontId="35" fillId="0" borderId="28" xfId="20" applyFont="1" applyBorder="1" applyAlignment="1">
      <alignment horizontal="center" wrapText="1"/>
    </xf>
    <xf numFmtId="0" fontId="35" fillId="0" borderId="11" xfId="20" applyFont="1" applyBorder="1" applyAlignment="1">
      <alignment horizontal="center" wrapText="1"/>
    </xf>
    <xf numFmtId="0" fontId="35" fillId="7" borderId="13" xfId="20" applyFont="1" applyFill="1" applyBorder="1" applyAlignment="1">
      <alignment horizontal="center" wrapText="1"/>
    </xf>
    <xf numFmtId="0" fontId="35" fillId="7" borderId="11" xfId="20" applyFont="1" applyFill="1" applyBorder="1" applyAlignment="1">
      <alignment horizontal="center" wrapText="1"/>
    </xf>
    <xf numFmtId="0" fontId="85" fillId="0" borderId="0" xfId="20" applyFont="1" applyAlignment="1">
      <alignment horizontal="center"/>
    </xf>
    <xf numFmtId="0" fontId="70" fillId="9" borderId="26" xfId="20" applyFont="1" applyFill="1" applyBorder="1" applyAlignment="1">
      <alignment horizontal="center"/>
    </xf>
    <xf numFmtId="0" fontId="70" fillId="9" borderId="4" xfId="20" applyFont="1" applyFill="1" applyBorder="1" applyAlignment="1">
      <alignment horizontal="center"/>
    </xf>
    <xf numFmtId="0" fontId="70" fillId="9" borderId="1" xfId="20" applyFont="1" applyFill="1" applyBorder="1" applyAlignment="1">
      <alignment horizontal="center"/>
    </xf>
    <xf numFmtId="0" fontId="70" fillId="9" borderId="27" xfId="20" applyFont="1" applyFill="1" applyBorder="1" applyAlignment="1">
      <alignment horizontal="center"/>
    </xf>
    <xf numFmtId="0" fontId="35" fillId="7" borderId="13" xfId="20" applyFont="1" applyFill="1" applyBorder="1" applyAlignment="1">
      <alignment horizontal="left" wrapText="1"/>
    </xf>
    <xf numFmtId="0" fontId="35" fillId="7" borderId="11" xfId="20" applyFont="1" applyFill="1" applyBorder="1" applyAlignment="1">
      <alignment horizontal="left" wrapText="1"/>
    </xf>
    <xf numFmtId="0" fontId="86" fillId="0" borderId="0" xfId="0" applyFont="1" applyAlignment="1">
      <alignment horizontal="center" vertical="center"/>
    </xf>
    <xf numFmtId="0" fontId="35" fillId="10" borderId="26" xfId="20" applyFont="1" applyFill="1" applyBorder="1" applyAlignment="1">
      <alignment horizontal="center"/>
    </xf>
    <xf numFmtId="0" fontId="35" fillId="10" borderId="4" xfId="20" applyFont="1" applyFill="1" applyBorder="1" applyAlignment="1">
      <alignment horizontal="center"/>
    </xf>
    <xf numFmtId="0" fontId="35" fillId="10" borderId="27" xfId="20" applyFont="1" applyFill="1" applyBorder="1" applyAlignment="1">
      <alignment horizontal="center"/>
    </xf>
    <xf numFmtId="0" fontId="77" fillId="0" borderId="0" xfId="0" applyFont="1" applyAlignment="1">
      <alignment horizontal="center"/>
    </xf>
    <xf numFmtId="0" fontId="35" fillId="0" borderId="4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172" fontId="54" fillId="0" borderId="0" xfId="100" applyNumberFormat="1" applyFont="1" applyFill="1" applyAlignment="1">
      <alignment horizontal="center"/>
    </xf>
    <xf numFmtId="172" fontId="57" fillId="0" borderId="0" xfId="100" applyNumberFormat="1" applyFont="1" applyFill="1" applyAlignment="1">
      <alignment horizontal="center"/>
    </xf>
  </cellXfs>
  <cellStyles count="210">
    <cellStyle name="Calculation 2" xfId="1" xr:uid="{00000000-0005-0000-0000-000000000000}"/>
    <cellStyle name="Calculation 3" xfId="46" xr:uid="{00000000-0005-0000-0000-000001000000}"/>
    <cellStyle name="CheckCell" xfId="2" xr:uid="{00000000-0005-0000-0000-000002000000}"/>
    <cellStyle name="CheckCell 2" xfId="83" xr:uid="{00000000-0005-0000-0000-000003000000}"/>
    <cellStyle name="Comma" xfId="207" builtinId="3"/>
    <cellStyle name="Comma 10" xfId="143" xr:uid="{8E810CE3-9422-46A7-B8C0-A53F4D60729B}"/>
    <cellStyle name="Comma 10 3" xfId="73" xr:uid="{00000000-0005-0000-0000-000005000000}"/>
    <cellStyle name="Comma 11" xfId="148" xr:uid="{2CB57E8B-CD0B-48A7-B866-EB4613E6D02B}"/>
    <cellStyle name="Comma 11 2" xfId="185" xr:uid="{4D53358B-F1E6-4D49-A7FF-08B0BABA32BC}"/>
    <cellStyle name="Comma 12" xfId="151" xr:uid="{FF15A2B0-072C-48DB-8335-F433D0BF721E}"/>
    <cellStyle name="Comma 13" xfId="155" xr:uid="{B1E10849-F706-4D48-BDEE-DBA7301D6B1E}"/>
    <cellStyle name="Comma 14" xfId="169" xr:uid="{EF8DE0F9-526E-4DF6-A67B-4374745BEBD9}"/>
    <cellStyle name="Comma 15" xfId="171" xr:uid="{E7C95321-4356-4565-AD2D-99E4B2A025BC}"/>
    <cellStyle name="Comma 16" xfId="196" xr:uid="{2E6216DA-0FC6-4CC6-AAE4-DD58C4CA4F28}"/>
    <cellStyle name="Comma 17" xfId="200" xr:uid="{70624EA3-7604-4682-82C4-B1A2C608389F}"/>
    <cellStyle name="Comma 18" xfId="204" xr:uid="{E363860F-A51F-46F2-AEE3-21D30DEA209B}"/>
    <cellStyle name="Comma 2" xfId="3" xr:uid="{00000000-0005-0000-0000-000006000000}"/>
    <cellStyle name="Comma 2 2" xfId="69" xr:uid="{00000000-0005-0000-0000-000007000000}"/>
    <cellStyle name="Comma 2 2 2" xfId="84" xr:uid="{00000000-0005-0000-0000-000008000000}"/>
    <cellStyle name="Comma 2 3" xfId="52" xr:uid="{00000000-0005-0000-0000-000009000000}"/>
    <cellStyle name="Comma 2 4" xfId="177" xr:uid="{6A39752C-B58C-4FD3-969F-A807F1D2CE5A}"/>
    <cellStyle name="Comma 3" xfId="4" xr:uid="{00000000-0005-0000-0000-00000A000000}"/>
    <cellStyle name="Comma 3 2" xfId="85" xr:uid="{00000000-0005-0000-0000-00000B000000}"/>
    <cellStyle name="Comma 3 3" xfId="170" xr:uid="{9E0728FB-B3F8-46DF-8693-32BC74C94EBD}"/>
    <cellStyle name="Comma 4" xfId="44" xr:uid="{00000000-0005-0000-0000-00000C000000}"/>
    <cellStyle name="Comma 4 2" xfId="63" xr:uid="{00000000-0005-0000-0000-00000D000000}"/>
    <cellStyle name="Comma 4 3" xfId="173" xr:uid="{5B691BF4-B281-44BA-8723-17C5175CFBE9}"/>
    <cellStyle name="Comma 4 4" xfId="184" xr:uid="{CA1AFC71-5A93-4485-B65A-4188AAF582C5}"/>
    <cellStyle name="Comma 5" xfId="66" xr:uid="{00000000-0005-0000-0000-00000E000000}"/>
    <cellStyle name="Comma 5 2" xfId="192" xr:uid="{AC3D7B6D-0512-4FF5-9298-3F68D472AA37}"/>
    <cellStyle name="Comma 6" xfId="49" xr:uid="{00000000-0005-0000-0000-00000F000000}"/>
    <cellStyle name="Comma 7" xfId="86" xr:uid="{00000000-0005-0000-0000-000010000000}"/>
    <cellStyle name="Comma 8" xfId="134" xr:uid="{00000000-0005-0000-0000-000011000000}"/>
    <cellStyle name="Comma 9" xfId="138" xr:uid="{033E7769-D443-482A-9ADC-E4D2DACE70D9}"/>
    <cellStyle name="Comma0" xfId="5" xr:uid="{00000000-0005-0000-0000-000012000000}"/>
    <cellStyle name="Comma0 - Style2" xfId="6" xr:uid="{00000000-0005-0000-0000-000013000000}"/>
    <cellStyle name="Comma0 - Style5" xfId="7" xr:uid="{00000000-0005-0000-0000-000014000000}"/>
    <cellStyle name="Comma0 - Style5 2" xfId="87" xr:uid="{00000000-0005-0000-0000-000015000000}"/>
    <cellStyle name="Comma0 2" xfId="88" xr:uid="{00000000-0005-0000-0000-000016000000}"/>
    <cellStyle name="Comma0_00COS Ind Allocators" xfId="8" xr:uid="{00000000-0005-0000-0000-000017000000}"/>
    <cellStyle name="Comma1 - Style1" xfId="9" xr:uid="{00000000-0005-0000-0000-000018000000}"/>
    <cellStyle name="Comma1 - Style1 2" xfId="89" xr:uid="{00000000-0005-0000-0000-000019000000}"/>
    <cellStyle name="COPY" xfId="90" xr:uid="{00000000-0005-0000-0000-00001A000000}"/>
    <cellStyle name="Curren - Style2" xfId="10" xr:uid="{00000000-0005-0000-0000-00001B000000}"/>
    <cellStyle name="Curren - Style2 2" xfId="91" xr:uid="{00000000-0005-0000-0000-00001C000000}"/>
    <cellStyle name="Curren - Style6" xfId="11" xr:uid="{00000000-0005-0000-0000-00001D000000}"/>
    <cellStyle name="Curren - Style6 2" xfId="92" xr:uid="{00000000-0005-0000-0000-00001E000000}"/>
    <cellStyle name="Currency" xfId="208" builtinId="4"/>
    <cellStyle name="Currency 10" xfId="72" xr:uid="{00000000-0005-0000-0000-000020000000}"/>
    <cellStyle name="Currency 11" xfId="157" xr:uid="{9096A9FF-0884-4203-9134-A29AB511B7C2}"/>
    <cellStyle name="Currency 12" xfId="162" xr:uid="{3AB1F6DA-96F2-4535-83DA-6C4B878F5B34}"/>
    <cellStyle name="Currency 13" xfId="168" xr:uid="{CB0FD5AD-FF1F-419C-B486-899F2A781A2C}"/>
    <cellStyle name="Currency 14" xfId="172" xr:uid="{030CCED7-E2D3-4661-9230-B9FF55831755}"/>
    <cellStyle name="Currency 15" xfId="195" xr:uid="{CC3A321F-B98B-408F-9A9E-4D076089AFA3}"/>
    <cellStyle name="Currency 16" xfId="201" xr:uid="{311DA43D-7E59-45A7-A049-9FB98FB730B6}"/>
    <cellStyle name="Currency 17" xfId="205" xr:uid="{9F0F5F94-E9CF-4164-A7C8-511BA1B83597}"/>
    <cellStyle name="Currency 2" xfId="12" xr:uid="{00000000-0005-0000-0000-000021000000}"/>
    <cellStyle name="Currency 2 2" xfId="93" xr:uid="{00000000-0005-0000-0000-000022000000}"/>
    <cellStyle name="Currency 2 3" xfId="175" xr:uid="{28C2A279-9706-4146-BF84-A6B22B70F566}"/>
    <cellStyle name="Currency 2 4" xfId="186" xr:uid="{EE3BBFCB-D974-40B2-9662-188EAE2206AF}"/>
    <cellStyle name="Currency 3" xfId="43" xr:uid="{00000000-0005-0000-0000-000023000000}"/>
    <cellStyle name="Currency 3 2" xfId="64" xr:uid="{00000000-0005-0000-0000-000024000000}"/>
    <cellStyle name="Currency 3 3" xfId="81" xr:uid="{00000000-0005-0000-0000-000025000000}"/>
    <cellStyle name="Currency 3 3 2" xfId="158" xr:uid="{2C968A64-3C02-4884-8446-B51B4617FE50}"/>
    <cellStyle name="Currency 4" xfId="70" xr:uid="{00000000-0005-0000-0000-000026000000}"/>
    <cellStyle name="Currency 5" xfId="50" xr:uid="{00000000-0005-0000-0000-000027000000}"/>
    <cellStyle name="Currency 6" xfId="136" xr:uid="{00000000-0005-0000-0000-000028000000}"/>
    <cellStyle name="Currency 7" xfId="139" xr:uid="{8CE00853-C424-4408-A3E7-AC5407ECB3C7}"/>
    <cellStyle name="Currency 7 2" xfId="191" xr:uid="{D98B2D9E-E6A8-4ABD-911B-5F0CAD95B228}"/>
    <cellStyle name="Currency 8" xfId="146" xr:uid="{33FCD6E7-F8FE-4451-9571-063D7CDF444E}"/>
    <cellStyle name="Currency 9" xfId="152" xr:uid="{AD7DDA4C-79E4-4D0D-B6C6-B7117DA0F87B}"/>
    <cellStyle name="Currency0" xfId="13" xr:uid="{00000000-0005-0000-0000-000029000000}"/>
    <cellStyle name="Currency0 2" xfId="94" xr:uid="{00000000-0005-0000-0000-00002A000000}"/>
    <cellStyle name="Date" xfId="14" xr:uid="{00000000-0005-0000-0000-00002B000000}"/>
    <cellStyle name="Date 2" xfId="95" xr:uid="{00000000-0005-0000-0000-00002C000000}"/>
    <cellStyle name="Fixed" xfId="15" xr:uid="{00000000-0005-0000-0000-00002D000000}"/>
    <cellStyle name="Fixed 2" xfId="96" xr:uid="{00000000-0005-0000-0000-00002E000000}"/>
    <cellStyle name="Hyperlink 2" xfId="97" xr:uid="{00000000-0005-0000-0000-000030000000}"/>
    <cellStyle name="Hyperlink 3" xfId="149" xr:uid="{A9468AA9-629C-4044-B931-E36E84E2B972}"/>
    <cellStyle name="Input Cells" xfId="16" xr:uid="{00000000-0005-0000-0000-000031000000}"/>
    <cellStyle name="Input Cells 2" xfId="98" xr:uid="{00000000-0005-0000-0000-000032000000}"/>
    <cellStyle name="Input Cells Percent" xfId="17" xr:uid="{00000000-0005-0000-0000-000033000000}"/>
    <cellStyle name="Input Cells Percent 2" xfId="99" xr:uid="{00000000-0005-0000-0000-000034000000}"/>
    <cellStyle name="Input Cells_ACCOUNTALLOC" xfId="18" xr:uid="{00000000-0005-0000-0000-000035000000}"/>
    <cellStyle name="LINKED" xfId="19" xr:uid="{00000000-0005-0000-0000-000036000000}"/>
    <cellStyle name="Normal" xfId="0" builtinId="0"/>
    <cellStyle name="Normal 10" xfId="100" xr:uid="{00000000-0005-0000-0000-000038000000}"/>
    <cellStyle name="Normal 10 3" xfId="190" xr:uid="{523380C3-9BD5-4668-B0DC-BA866CE25CC0}"/>
    <cellStyle name="Normal 11" xfId="101" xr:uid="{00000000-0005-0000-0000-000039000000}"/>
    <cellStyle name="Normal 11 2 2" xfId="159" xr:uid="{0330FDD3-73AD-4E58-AEC0-CC515A52CA86}"/>
    <cellStyle name="Normal 12" xfId="102" xr:uid="{00000000-0005-0000-0000-00003A000000}"/>
    <cellStyle name="Normal 13" xfId="103" xr:uid="{00000000-0005-0000-0000-00003B000000}"/>
    <cellStyle name="Normal 14" xfId="104" xr:uid="{00000000-0005-0000-0000-00003C000000}"/>
    <cellStyle name="Normal 15" xfId="105" xr:uid="{00000000-0005-0000-0000-00003D000000}"/>
    <cellStyle name="Normal 16" xfId="106" xr:uid="{00000000-0005-0000-0000-00003E000000}"/>
    <cellStyle name="Normal 17" xfId="107" xr:uid="{00000000-0005-0000-0000-00003F000000}"/>
    <cellStyle name="Normal 18" xfId="108" xr:uid="{00000000-0005-0000-0000-000040000000}"/>
    <cellStyle name="Normal 19" xfId="109" xr:uid="{00000000-0005-0000-0000-000041000000}"/>
    <cellStyle name="Normal 2" xfId="20" xr:uid="{00000000-0005-0000-0000-000042000000}"/>
    <cellStyle name="Normal 2 2" xfId="54" xr:uid="{00000000-0005-0000-0000-000043000000}"/>
    <cellStyle name="Normal 2 2 2" xfId="110" xr:uid="{00000000-0005-0000-0000-000044000000}"/>
    <cellStyle name="Normal 2 2 3" xfId="111" xr:uid="{00000000-0005-0000-0000-000045000000}"/>
    <cellStyle name="Normal 2 3" xfId="51" xr:uid="{00000000-0005-0000-0000-000046000000}"/>
    <cellStyle name="Normal 2 4" xfId="112" xr:uid="{00000000-0005-0000-0000-000047000000}"/>
    <cellStyle name="Normal 2 5" xfId="113" xr:uid="{00000000-0005-0000-0000-000048000000}"/>
    <cellStyle name="Normal 2 6" xfId="145" xr:uid="{BF27B8A1-BAA0-47D7-A1F9-A1963ECDEDBB}"/>
    <cellStyle name="Normal 2 7" xfId="156" xr:uid="{54756DCC-F4B0-4871-8BC9-6C6A4E2309BA}"/>
    <cellStyle name="Normal 2 8" xfId="166" xr:uid="{BB58DFDF-0DC6-4654-A973-4C732DF65A60}"/>
    <cellStyle name="Normal 2 9" xfId="174" xr:uid="{99978AB2-8964-4735-8F8B-C379F1529340}"/>
    <cellStyle name="Normal 20" xfId="114" xr:uid="{00000000-0005-0000-0000-000049000000}"/>
    <cellStyle name="Normal 20 2" xfId="131" xr:uid="{00000000-0005-0000-0000-00004A000000}"/>
    <cellStyle name="Normal 21" xfId="132" xr:uid="{00000000-0005-0000-0000-00004B000000}"/>
    <cellStyle name="Normal 22" xfId="133" xr:uid="{00000000-0005-0000-0000-00004C000000}"/>
    <cellStyle name="Normal 23" xfId="137" xr:uid="{0DDD06DA-2D9D-435B-BB8D-2200F5499F4E}"/>
    <cellStyle name="Normal 24" xfId="141" xr:uid="{F168400E-B21C-4F2D-89CE-8A61534801D4}"/>
    <cellStyle name="Normal 25" xfId="142" xr:uid="{1FFB4020-A798-4A9B-A82F-E9B9FF0FEA1B}"/>
    <cellStyle name="Normal 26" xfId="144" xr:uid="{4534D200-C321-4C2E-BE4E-35399D027F44}"/>
    <cellStyle name="Normal 27" xfId="150" xr:uid="{90D21E39-3517-45D5-A9D9-03205F6D8CEF}"/>
    <cellStyle name="Normal 27 2" xfId="183" xr:uid="{353F39EF-8038-4605-970A-8D80F6352B43}"/>
    <cellStyle name="Normal 28" xfId="154" xr:uid="{5E0B794A-03EC-44F2-933C-0EC981F61A47}"/>
    <cellStyle name="Normal 28 2" xfId="178" xr:uid="{2C25CF47-7F2B-490D-8F94-9AF9EBEB5527}"/>
    <cellStyle name="Normal 29" xfId="161" xr:uid="{B3DE8142-7067-4B84-8DBC-15B3DC11C68F}"/>
    <cellStyle name="Normal 3" xfId="21" xr:uid="{00000000-0005-0000-0000-00004D000000}"/>
    <cellStyle name="Normal 3 2" xfId="71" xr:uid="{00000000-0005-0000-0000-00004E000000}"/>
    <cellStyle name="Normal 3 3" xfId="53" xr:uid="{00000000-0005-0000-0000-00004F000000}"/>
    <cellStyle name="Normal 3 4" xfId="182" xr:uid="{DDACF3E0-948A-4115-92FD-9E4149B3A47A}"/>
    <cellStyle name="Normal 30" xfId="163" xr:uid="{F31559E8-8FED-49AD-B46A-6CECFD6789E2}"/>
    <cellStyle name="Normal 31" xfId="164" xr:uid="{7D7E458E-3466-4F40-86BD-B552161F3701}"/>
    <cellStyle name="Normal 32" xfId="167" xr:uid="{C02961F5-D7E5-4783-B22A-29536668CD51}"/>
    <cellStyle name="Normal 33" xfId="179" xr:uid="{A0CF4788-780A-4958-AE87-16FA887D2B19}"/>
    <cellStyle name="Normal 338" xfId="57" xr:uid="{00000000-0005-0000-0000-000050000000}"/>
    <cellStyle name="Normal 338 2" xfId="76" xr:uid="{00000000-0005-0000-0000-000051000000}"/>
    <cellStyle name="Normal 338 3" xfId="60" xr:uid="{00000000-0005-0000-0000-000052000000}"/>
    <cellStyle name="Normal 338 4" xfId="78" xr:uid="{00000000-0005-0000-0000-000053000000}"/>
    <cellStyle name="Normal 338 5" xfId="79" xr:uid="{00000000-0005-0000-0000-000054000000}"/>
    <cellStyle name="Normal 34" xfId="189" xr:uid="{DC236F9F-81DA-42C3-9465-A7A6C931F7AB}"/>
    <cellStyle name="Normal 35" xfId="194" xr:uid="{EFFAC4E9-9844-45BB-AE7F-09A78A002C88}"/>
    <cellStyle name="Normal 36" xfId="199" xr:uid="{3DE3B55C-9082-41B0-9711-32CC412F7AD3}"/>
    <cellStyle name="Normal 37" xfId="203" xr:uid="{6A85AE23-37EF-4C4B-97E6-203DB187EA83}"/>
    <cellStyle name="Normal 38" xfId="206" xr:uid="{6C74252F-9C5B-4A28-B158-47C52917E075}"/>
    <cellStyle name="Normal 4" xfId="42" xr:uid="{00000000-0005-0000-0000-000055000000}"/>
    <cellStyle name="Normal 4 2" xfId="68" xr:uid="{00000000-0005-0000-0000-000056000000}"/>
    <cellStyle name="Normal 4 2 2" xfId="115" xr:uid="{00000000-0005-0000-0000-000057000000}"/>
    <cellStyle name="Normal 4 3" xfId="56" xr:uid="{00000000-0005-0000-0000-000058000000}"/>
    <cellStyle name="Normal 4 5" xfId="59" xr:uid="{00000000-0005-0000-0000-000059000000}"/>
    <cellStyle name="Normal 4 5 2" xfId="75" xr:uid="{00000000-0005-0000-0000-00005A000000}"/>
    <cellStyle name="Normal 4 5 3" xfId="77" xr:uid="{00000000-0005-0000-0000-00005B000000}"/>
    <cellStyle name="Normal 4 5 4" xfId="74" xr:uid="{00000000-0005-0000-0000-00005C000000}"/>
    <cellStyle name="Normal 4 5 5" xfId="80" xr:uid="{00000000-0005-0000-0000-00005D000000}"/>
    <cellStyle name="Normal 5" xfId="58" xr:uid="{00000000-0005-0000-0000-00005E000000}"/>
    <cellStyle name="Normal 5 2" xfId="116" xr:uid="{00000000-0005-0000-0000-00005F000000}"/>
    <cellStyle name="Normal 6" xfId="61" xr:uid="{00000000-0005-0000-0000-000060000000}"/>
    <cellStyle name="Normal 7" xfId="62" xr:uid="{00000000-0005-0000-0000-000061000000}"/>
    <cellStyle name="Normal 8" xfId="65" xr:uid="{00000000-0005-0000-0000-000062000000}"/>
    <cellStyle name="Normal 9" xfId="48" xr:uid="{00000000-0005-0000-0000-000063000000}"/>
    <cellStyle name="Percen - Style1" xfId="22" xr:uid="{00000000-0005-0000-0000-000064000000}"/>
    <cellStyle name="Percen - Style3" xfId="23" xr:uid="{00000000-0005-0000-0000-000065000000}"/>
    <cellStyle name="Percen - Style3 2" xfId="117" xr:uid="{00000000-0005-0000-0000-000066000000}"/>
    <cellStyle name="Percent" xfId="209" builtinId="5"/>
    <cellStyle name="Percent 10" xfId="147" xr:uid="{9A4461A7-9AB8-4D3D-9199-D25FF1953FFA}"/>
    <cellStyle name="Percent 11" xfId="153" xr:uid="{FF36D007-8F84-4ABE-9163-E52F24BCF11D}"/>
    <cellStyle name="Percent 12" xfId="160" xr:uid="{552B4507-D49A-4F27-A8AB-92CA183230AE}"/>
    <cellStyle name="Percent 13" xfId="165" xr:uid="{03FB7C3A-2C29-4EDA-B607-CD6E9803E0A6}"/>
    <cellStyle name="Percent 14" xfId="180" xr:uid="{FFDF8CCF-B7BD-4F4D-94EA-0DAB450A319F}"/>
    <cellStyle name="Percent 15" xfId="181" xr:uid="{87B99365-BE02-47CB-953A-0C1E27E49E28}"/>
    <cellStyle name="Percent 16" xfId="188" xr:uid="{66DEF8F8-ED33-4249-A800-FE52155465EC}"/>
    <cellStyle name="Percent 17" xfId="197" xr:uid="{8BB0C96A-CE00-4791-A863-35C2F98AFE59}"/>
    <cellStyle name="Percent 18" xfId="198" xr:uid="{6E2F71BD-AEF9-4907-8BBF-744823303438}"/>
    <cellStyle name="Percent 19" xfId="202" xr:uid="{4E7ED2D9-D0CE-4C39-8FE3-6277F3D2F7B0}"/>
    <cellStyle name="Percent 2" xfId="24" xr:uid="{00000000-0005-0000-0000-000068000000}"/>
    <cellStyle name="Percent 2 2" xfId="118" xr:uid="{00000000-0005-0000-0000-000069000000}"/>
    <cellStyle name="Percent 2 3" xfId="176" xr:uid="{60D130BF-7E61-4364-B776-DB502B2AD817}"/>
    <cellStyle name="Percent 3" xfId="25" xr:uid="{00000000-0005-0000-0000-00006A000000}"/>
    <cellStyle name="Percent 3 2" xfId="67" xr:uid="{00000000-0005-0000-0000-00006B000000}"/>
    <cellStyle name="Percent 4" xfId="45" xr:uid="{00000000-0005-0000-0000-00006C000000}"/>
    <cellStyle name="Percent 4 2" xfId="82" xr:uid="{00000000-0005-0000-0000-00006D000000}"/>
    <cellStyle name="Percent 4 3" xfId="187" xr:uid="{C9525A83-4D8E-4178-BBD2-8D01D569190B}"/>
    <cellStyle name="Percent 5" xfId="55" xr:uid="{00000000-0005-0000-0000-00006E000000}"/>
    <cellStyle name="Percent 5 2" xfId="193" xr:uid="{B5E86073-A318-48EF-B729-BEBA13C61E89}"/>
    <cellStyle name="Percent 6" xfId="119" xr:uid="{00000000-0005-0000-0000-00006F000000}"/>
    <cellStyle name="Percent 7" xfId="120" xr:uid="{00000000-0005-0000-0000-000070000000}"/>
    <cellStyle name="Percent 8" xfId="135" xr:uid="{00000000-0005-0000-0000-000071000000}"/>
    <cellStyle name="Percent 9" xfId="140" xr:uid="{AE4066DF-2E22-43AE-B495-6AE27F98C93E}"/>
    <cellStyle name="Processing" xfId="26" xr:uid="{00000000-0005-0000-0000-000072000000}"/>
    <cellStyle name="Processing 2" xfId="121" xr:uid="{00000000-0005-0000-0000-000073000000}"/>
    <cellStyle name="purple - Style8" xfId="27" xr:uid="{00000000-0005-0000-0000-000074000000}"/>
    <cellStyle name="purple - Style8 2" xfId="122" xr:uid="{00000000-0005-0000-0000-000075000000}"/>
    <cellStyle name="RED" xfId="28" xr:uid="{00000000-0005-0000-0000-000076000000}"/>
    <cellStyle name="Red - Style7" xfId="29" xr:uid="{00000000-0005-0000-0000-000077000000}"/>
    <cellStyle name="Red - Style7 2" xfId="123" xr:uid="{00000000-0005-0000-0000-000078000000}"/>
    <cellStyle name="Report" xfId="30" xr:uid="{00000000-0005-0000-0000-000079000000}"/>
    <cellStyle name="Report 2" xfId="124" xr:uid="{00000000-0005-0000-0000-00007A000000}"/>
    <cellStyle name="Report Bar" xfId="31" xr:uid="{00000000-0005-0000-0000-00007B000000}"/>
    <cellStyle name="Report Bar 2" xfId="125" xr:uid="{00000000-0005-0000-0000-00007C000000}"/>
    <cellStyle name="Report Heading" xfId="32" xr:uid="{00000000-0005-0000-0000-00007D000000}"/>
    <cellStyle name="Report Percent" xfId="33" xr:uid="{00000000-0005-0000-0000-00007E000000}"/>
    <cellStyle name="Report Unit Cost" xfId="34" xr:uid="{00000000-0005-0000-0000-00007F000000}"/>
    <cellStyle name="Report Unit Cost 2" xfId="47" xr:uid="{00000000-0005-0000-0000-000080000000}"/>
    <cellStyle name="Reports Total" xfId="35" xr:uid="{00000000-0005-0000-0000-000081000000}"/>
    <cellStyle name="Reports Total 2" xfId="126" xr:uid="{00000000-0005-0000-0000-000082000000}"/>
    <cellStyle name="Reports Unit Cost Total" xfId="36" xr:uid="{00000000-0005-0000-0000-000083000000}"/>
    <cellStyle name="Sub-total" xfId="37" xr:uid="{00000000-0005-0000-0000-000084000000}"/>
    <cellStyle name="Test" xfId="127" xr:uid="{00000000-0005-0000-0000-000085000000}"/>
    <cellStyle name="Test 2" xfId="128" xr:uid="{00000000-0005-0000-0000-000086000000}"/>
    <cellStyle name="Title: Major" xfId="38" xr:uid="{00000000-0005-0000-0000-000087000000}"/>
    <cellStyle name="Title: Minor" xfId="39" xr:uid="{00000000-0005-0000-0000-000088000000}"/>
    <cellStyle name="Title: Worksheet" xfId="40" xr:uid="{00000000-0005-0000-0000-000089000000}"/>
    <cellStyle name="Total 2" xfId="129" xr:uid="{00000000-0005-0000-0000-00008A000000}"/>
    <cellStyle name="Total4 - Style4" xfId="41" xr:uid="{00000000-0005-0000-0000-00008B000000}"/>
    <cellStyle name="Total4 - Style4 2" xfId="130" xr:uid="{00000000-0005-0000-0000-00008C000000}"/>
  </cellStyles>
  <dxfs count="0"/>
  <tableStyles count="0" defaultTableStyle="TableStyleMedium9" defaultPivotStyle="PivotStyleLight16"/>
  <colors>
    <mruColors>
      <color rgb="FFFFFFCC"/>
      <color rgb="FF006600"/>
      <color rgb="FFFFCCCC"/>
      <color rgb="FFFF9999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8754-6E25-4F4B-AF43-9D9F8FB26197}">
  <sheetPr codeName="Sheet38">
    <tabColor theme="9"/>
    <pageSetUpPr fitToPage="1"/>
  </sheetPr>
  <dimension ref="A1:J35"/>
  <sheetViews>
    <sheetView view="pageLayout" zoomScaleNormal="60" workbookViewId="0">
      <selection activeCell="B21" sqref="B21"/>
    </sheetView>
  </sheetViews>
  <sheetFormatPr defaultColWidth="8.85546875" defaultRowHeight="13.15" customHeight="1"/>
  <cols>
    <col min="1" max="1" width="6" style="203" customWidth="1"/>
    <col min="2" max="2" width="67.42578125" style="203" customWidth="1"/>
    <col min="3" max="5" width="11.7109375" style="203" customWidth="1"/>
    <col min="6" max="6" width="14.28515625" style="203" customWidth="1"/>
    <col min="7" max="7" width="11.7109375" style="203" customWidth="1"/>
    <col min="8" max="8" width="12.7109375" style="203" customWidth="1"/>
    <col min="9" max="9" width="10.28515625" style="203" bestFit="1" customWidth="1"/>
    <col min="10" max="16384" width="8.85546875" style="203"/>
  </cols>
  <sheetData>
    <row r="1" spans="1:10" ht="15.6" customHeight="1">
      <c r="B1" s="522" t="s">
        <v>31</v>
      </c>
      <c r="C1" s="522"/>
      <c r="D1" s="522"/>
      <c r="E1" s="522"/>
      <c r="F1" s="522"/>
      <c r="G1" s="522"/>
      <c r="H1" s="522"/>
      <c r="I1" s="222"/>
    </row>
    <row r="2" spans="1:10" ht="15.6" customHeight="1">
      <c r="B2" s="522" t="s">
        <v>260</v>
      </c>
      <c r="C2" s="522"/>
      <c r="D2" s="522"/>
      <c r="E2" s="522"/>
      <c r="F2" s="522"/>
      <c r="G2" s="522"/>
      <c r="H2" s="522"/>
      <c r="I2" s="222"/>
      <c r="J2" s="221"/>
    </row>
    <row r="3" spans="1:10" ht="15.6" customHeight="1">
      <c r="B3" s="522"/>
      <c r="C3" s="522"/>
      <c r="D3" s="522"/>
      <c r="E3" s="522"/>
      <c r="F3" s="522"/>
      <c r="G3" s="522"/>
      <c r="H3" s="522"/>
      <c r="I3" s="202"/>
      <c r="J3" s="221"/>
    </row>
    <row r="4" spans="1:10" ht="15.75" thickBot="1">
      <c r="B4" s="522"/>
      <c r="C4" s="522"/>
      <c r="D4" s="522"/>
      <c r="E4" s="202"/>
      <c r="F4" s="202"/>
      <c r="G4" s="202"/>
      <c r="H4" s="202"/>
      <c r="I4" s="202"/>
    </row>
    <row r="5" spans="1:10" ht="16.5" thickBot="1">
      <c r="B5" s="204" t="s">
        <v>72</v>
      </c>
      <c r="C5" s="205"/>
      <c r="D5" s="205"/>
      <c r="E5" s="206"/>
      <c r="F5" s="206"/>
      <c r="G5" s="206"/>
      <c r="H5" s="207"/>
      <c r="I5" s="202"/>
    </row>
    <row r="6" spans="1:10" ht="12.75">
      <c r="B6" s="202"/>
      <c r="C6" s="202"/>
      <c r="D6" s="202"/>
      <c r="E6" s="202"/>
      <c r="F6" s="202"/>
      <c r="G6" s="202"/>
      <c r="H6" s="202"/>
      <c r="I6" s="202"/>
    </row>
    <row r="7" spans="1:10" ht="15.75">
      <c r="B7" s="208" t="s">
        <v>321</v>
      </c>
      <c r="C7" s="202"/>
      <c r="D7" s="202"/>
      <c r="E7" s="202"/>
      <c r="F7" s="202"/>
      <c r="G7" s="202"/>
      <c r="H7" s="202"/>
      <c r="I7" s="202"/>
    </row>
    <row r="8" spans="1:10" ht="15">
      <c r="B8" s="209"/>
      <c r="C8" s="202"/>
      <c r="D8" s="202"/>
      <c r="E8" s="202"/>
      <c r="F8" s="202"/>
      <c r="G8" s="202"/>
      <c r="H8" s="202"/>
      <c r="I8" s="202"/>
    </row>
    <row r="9" spans="1:10" ht="13.5" thickBot="1">
      <c r="B9" s="202"/>
      <c r="C9" s="202"/>
      <c r="D9" s="202"/>
      <c r="E9" s="202"/>
      <c r="F9" s="202"/>
      <c r="G9" s="202"/>
      <c r="H9" s="202"/>
      <c r="I9" s="202"/>
    </row>
    <row r="10" spans="1:10" ht="16.5" thickBot="1">
      <c r="B10" s="204" t="s">
        <v>322</v>
      </c>
      <c r="C10" s="206"/>
      <c r="D10" s="206"/>
      <c r="E10" s="206"/>
      <c r="F10" s="206"/>
      <c r="G10" s="206"/>
      <c r="H10" s="207"/>
      <c r="I10" s="202"/>
    </row>
    <row r="11" spans="1:10" ht="12.75">
      <c r="B11" s="202"/>
      <c r="C11" s="202"/>
      <c r="D11" s="202"/>
      <c r="E11" s="202"/>
      <c r="F11" s="202"/>
      <c r="G11" s="202"/>
      <c r="H11" s="202"/>
      <c r="I11" s="202"/>
    </row>
    <row r="12" spans="1:10" ht="15.75">
      <c r="B12" s="208"/>
      <c r="C12" s="202"/>
      <c r="D12" s="202"/>
      <c r="E12" s="202"/>
      <c r="F12" s="202"/>
      <c r="G12" s="202"/>
      <c r="H12" s="202"/>
      <c r="I12" s="202"/>
    </row>
    <row r="13" spans="1:10" ht="15">
      <c r="B13" s="210" t="s">
        <v>263</v>
      </c>
      <c r="C13" s="202"/>
      <c r="D13" s="202"/>
      <c r="E13" s="202"/>
      <c r="F13" s="202"/>
      <c r="G13" s="202"/>
      <c r="H13" s="202"/>
      <c r="I13" s="202"/>
    </row>
    <row r="14" spans="1:10" ht="15">
      <c r="B14" s="210"/>
      <c r="C14" s="523" t="s">
        <v>41</v>
      </c>
      <c r="D14" s="523"/>
      <c r="E14" s="523"/>
      <c r="F14" s="523"/>
      <c r="G14" s="523"/>
      <c r="H14" s="523"/>
      <c r="I14" s="523"/>
    </row>
    <row r="15" spans="1:10" ht="15">
      <c r="B15" s="210"/>
      <c r="C15" s="211"/>
      <c r="D15" s="211"/>
      <c r="E15" s="211"/>
      <c r="F15" s="211" t="s">
        <v>73</v>
      </c>
      <c r="G15" s="211"/>
      <c r="H15" s="211"/>
      <c r="I15" s="202"/>
    </row>
    <row r="16" spans="1:10" ht="15">
      <c r="A16" s="223"/>
      <c r="B16" s="212" t="s">
        <v>261</v>
      </c>
      <c r="C16" s="213" t="s">
        <v>9</v>
      </c>
      <c r="D16" s="213" t="s">
        <v>10</v>
      </c>
      <c r="E16" s="213" t="s">
        <v>11</v>
      </c>
      <c r="F16" s="213" t="s">
        <v>74</v>
      </c>
      <c r="G16" s="213" t="s">
        <v>14</v>
      </c>
      <c r="H16" s="213" t="s">
        <v>18</v>
      </c>
      <c r="I16" s="213" t="s">
        <v>19</v>
      </c>
    </row>
    <row r="17" spans="1:9" ht="15">
      <c r="A17" s="203">
        <v>1</v>
      </c>
      <c r="B17" s="210" t="s">
        <v>273</v>
      </c>
      <c r="C17" s="214">
        <v>0</v>
      </c>
      <c r="D17" s="214">
        <v>0</v>
      </c>
      <c r="E17" s="214">
        <v>0</v>
      </c>
      <c r="F17" s="214">
        <v>0</v>
      </c>
      <c r="G17" s="214">
        <v>0</v>
      </c>
      <c r="H17" s="214">
        <v>0</v>
      </c>
      <c r="I17" s="214">
        <v>0</v>
      </c>
    </row>
    <row r="18" spans="1:9" ht="15">
      <c r="B18" s="210"/>
      <c r="C18" s="214"/>
      <c r="D18" s="214"/>
      <c r="E18" s="214"/>
      <c r="F18" s="214"/>
      <c r="G18" s="214"/>
      <c r="H18" s="214"/>
      <c r="I18" s="214"/>
    </row>
    <row r="19" spans="1:9" ht="15">
      <c r="B19" s="210"/>
      <c r="C19" s="214"/>
      <c r="D19" s="214"/>
      <c r="E19" s="214"/>
      <c r="F19" s="214"/>
      <c r="G19" s="214"/>
      <c r="H19" s="214"/>
      <c r="I19" s="214"/>
    </row>
    <row r="20" spans="1:9" ht="15">
      <c r="B20" s="210"/>
      <c r="C20" s="214"/>
      <c r="D20" s="214"/>
      <c r="E20" s="214"/>
      <c r="F20" s="214"/>
      <c r="G20" s="214"/>
      <c r="H20" s="214"/>
      <c r="I20" s="214"/>
    </row>
    <row r="21" spans="1:9" ht="15">
      <c r="B21" s="210"/>
      <c r="C21" s="214"/>
      <c r="D21" s="214"/>
      <c r="E21" s="214"/>
      <c r="F21" s="214"/>
      <c r="G21" s="214"/>
      <c r="H21" s="214"/>
      <c r="I21" s="214"/>
    </row>
    <row r="22" spans="1:9" ht="15">
      <c r="B22" s="210"/>
      <c r="C22" s="214"/>
      <c r="D22" s="214"/>
      <c r="E22" s="214"/>
      <c r="F22" s="214"/>
      <c r="G22" s="214"/>
      <c r="H22" s="214"/>
      <c r="I22" s="214"/>
    </row>
    <row r="23" spans="1:9" ht="15">
      <c r="B23" s="210"/>
      <c r="C23" s="214"/>
      <c r="D23" s="214"/>
      <c r="E23" s="214"/>
      <c r="F23" s="214"/>
      <c r="G23" s="214"/>
      <c r="H23" s="214"/>
      <c r="I23" s="214"/>
    </row>
    <row r="24" spans="1:9" ht="15">
      <c r="B24" s="210"/>
      <c r="C24" s="214"/>
      <c r="D24" s="214"/>
      <c r="E24" s="214"/>
      <c r="F24" s="214"/>
      <c r="G24" s="214"/>
      <c r="H24" s="214"/>
      <c r="I24" s="214"/>
    </row>
    <row r="25" spans="1:9" ht="15">
      <c r="B25" s="210"/>
      <c r="C25" s="214"/>
      <c r="D25" s="214"/>
      <c r="E25" s="214"/>
      <c r="F25" s="214"/>
      <c r="G25" s="214"/>
      <c r="H25" s="214"/>
      <c r="I25" s="214"/>
    </row>
    <row r="26" spans="1:9" ht="15">
      <c r="B26" s="210"/>
      <c r="C26" s="214"/>
      <c r="D26" s="214"/>
      <c r="E26" s="214"/>
      <c r="F26" s="214"/>
      <c r="G26" s="214"/>
      <c r="H26" s="214"/>
      <c r="I26" s="214"/>
    </row>
    <row r="27" spans="1:9" ht="15">
      <c r="B27" s="210"/>
      <c r="C27" s="214"/>
      <c r="D27" s="214"/>
      <c r="E27" s="214"/>
      <c r="F27" s="214"/>
      <c r="G27" s="214"/>
      <c r="H27" s="214"/>
      <c r="I27" s="214"/>
    </row>
    <row r="28" spans="1:9" ht="15">
      <c r="B28" s="210"/>
      <c r="C28" s="214"/>
      <c r="D28" s="214"/>
      <c r="E28" s="214"/>
      <c r="F28" s="214"/>
      <c r="G28" s="214"/>
      <c r="H28" s="214"/>
      <c r="I28" s="214"/>
    </row>
    <row r="29" spans="1:9" ht="15">
      <c r="B29" s="210"/>
      <c r="C29" s="214"/>
      <c r="D29" s="214"/>
      <c r="E29" s="214"/>
      <c r="F29" s="214"/>
      <c r="G29" s="214"/>
      <c r="H29" s="214"/>
      <c r="I29" s="214"/>
    </row>
    <row r="30" spans="1:9" ht="15">
      <c r="B30" s="210"/>
      <c r="C30" s="214"/>
      <c r="D30" s="214"/>
      <c r="E30" s="214"/>
      <c r="F30" s="214"/>
      <c r="G30" s="214"/>
      <c r="H30" s="214"/>
      <c r="I30" s="214"/>
    </row>
    <row r="31" spans="1:9" ht="15">
      <c r="B31" s="210" t="s">
        <v>262</v>
      </c>
      <c r="C31" s="202"/>
      <c r="D31" s="202"/>
      <c r="E31" s="202"/>
      <c r="F31" s="202"/>
      <c r="G31" s="202"/>
      <c r="H31" s="202"/>
      <c r="I31" s="202"/>
    </row>
    <row r="32" spans="1:9" ht="15">
      <c r="B32" s="210"/>
      <c r="C32" s="202"/>
      <c r="D32" s="202"/>
      <c r="E32" s="202"/>
      <c r="F32" s="202"/>
      <c r="G32" s="202"/>
      <c r="H32" s="202"/>
      <c r="I32" s="202"/>
    </row>
    <row r="33" spans="2:9" ht="15">
      <c r="B33" s="210"/>
      <c r="C33" s="202"/>
      <c r="D33" s="202"/>
      <c r="E33" s="202"/>
      <c r="F33" s="202"/>
      <c r="G33" s="202"/>
      <c r="H33" s="202"/>
      <c r="I33" s="202"/>
    </row>
    <row r="34" spans="2:9" ht="15">
      <c r="B34" s="210"/>
      <c r="C34" s="202"/>
      <c r="D34" s="202"/>
      <c r="E34" s="202"/>
      <c r="F34" s="202"/>
      <c r="G34" s="202"/>
      <c r="H34" s="202"/>
      <c r="I34" s="202"/>
    </row>
    <row r="35" spans="2:9" ht="15">
      <c r="B35" s="210"/>
      <c r="C35" s="202"/>
      <c r="D35" s="202"/>
      <c r="E35" s="202"/>
      <c r="F35" s="202"/>
      <c r="G35" s="202"/>
      <c r="H35" s="202"/>
      <c r="I35" s="202"/>
    </row>
  </sheetData>
  <mergeCells count="5">
    <mergeCell ref="B3:H3"/>
    <mergeCell ref="B4:D4"/>
    <mergeCell ref="C14:I14"/>
    <mergeCell ref="B1:H1"/>
    <mergeCell ref="B2:H2"/>
  </mergeCells>
  <pageMargins left="0.7" right="0.7" top="0.75" bottom="0.75" header="0.3" footer="0.3"/>
  <pageSetup scale="86" orientation="landscape" horizontalDpi="1200" verticalDpi="1200" r:id="rId1"/>
  <headerFooter>
    <oddHeader>&amp;RExhibit 5
Electric Bill Impacts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A3FC-448E-4F24-8DD4-A7A76B870F27}">
  <sheetPr codeName="Sheet39">
    <tabColor theme="9" tint="0.59999389629810485"/>
    <pageSetUpPr fitToPage="1"/>
  </sheetPr>
  <dimension ref="A1:W72"/>
  <sheetViews>
    <sheetView tabSelected="1" topLeftCell="A26" zoomScaleNormal="100" zoomScaleSheetLayoutView="100" workbookViewId="0">
      <selection activeCell="G44" sqref="G44"/>
    </sheetView>
  </sheetViews>
  <sheetFormatPr defaultColWidth="9.140625" defaultRowHeight="13.15" customHeight="1"/>
  <cols>
    <col min="1" max="2" width="3.7109375" customWidth="1"/>
    <col min="3" max="3" width="11.7109375" customWidth="1"/>
    <col min="4" max="4" width="3.7109375" customWidth="1"/>
    <col min="5" max="5" width="15.7109375" customWidth="1"/>
    <col min="6" max="6" width="12.5703125" customWidth="1"/>
    <col min="7" max="7" width="3.7109375" customWidth="1"/>
    <col min="8" max="9" width="14.42578125" customWidth="1"/>
    <col min="10" max="10" width="3.7109375" customWidth="1"/>
    <col min="11" max="11" width="15.28515625" customWidth="1"/>
    <col min="12" max="12" width="3.7109375" customWidth="1"/>
    <col min="13" max="13" width="11" customWidth="1"/>
    <col min="14" max="14" width="3.7109375" customWidth="1"/>
    <col min="15" max="15" width="10.7109375" customWidth="1"/>
    <col min="16" max="17" width="12.42578125" customWidth="1"/>
    <col min="18" max="18" width="1.7109375" customWidth="1"/>
    <col min="19" max="20" width="10.7109375" customWidth="1"/>
    <col min="21" max="21" width="3.7109375" customWidth="1"/>
    <col min="22" max="22" width="2.42578125" customWidth="1"/>
    <col min="23" max="23" width="9.42578125" bestFit="1" customWidth="1"/>
  </cols>
  <sheetData>
    <row r="1" spans="1:23" ht="12.4" customHeight="1">
      <c r="A1" s="1"/>
      <c r="B1" s="1"/>
      <c r="C1" s="1"/>
      <c r="D1" s="1"/>
      <c r="E1" s="1"/>
      <c r="F1" s="1"/>
      <c r="G1" s="2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.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2.4" customHeight="1">
      <c r="A3" s="1"/>
      <c r="B3" s="5" t="s">
        <v>31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9"/>
      <c r="W3" s="9"/>
    </row>
    <row r="4" spans="1:23" ht="12.4" customHeight="1">
      <c r="A4" s="1"/>
      <c r="B4" s="79" t="s">
        <v>324</v>
      </c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9"/>
      <c r="W4" s="9"/>
    </row>
    <row r="5" spans="1:23" ht="12.4" customHeight="1">
      <c r="A5" s="1"/>
      <c r="B5" s="13" t="s">
        <v>325</v>
      </c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6"/>
      <c r="V5" s="9"/>
      <c r="W5" s="9"/>
    </row>
    <row r="6" spans="1:23" ht="12.4" customHeight="1">
      <c r="A6" s="1"/>
      <c r="B6" s="1"/>
      <c r="C6" s="1"/>
      <c r="D6" s="1"/>
      <c r="E6" s="1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2.4" customHeight="1">
      <c r="A7" s="1"/>
      <c r="B7" s="18"/>
      <c r="C7" s="19"/>
      <c r="D7" s="19"/>
      <c r="E7" s="362"/>
      <c r="F7" s="20"/>
      <c r="G7" s="21"/>
      <c r="H7" s="22"/>
      <c r="I7" s="22"/>
      <c r="J7" s="22"/>
      <c r="K7" s="22"/>
      <c r="L7" s="22"/>
      <c r="M7" s="22"/>
      <c r="N7" s="518"/>
      <c r="O7" s="19"/>
      <c r="P7" s="19"/>
      <c r="Q7" s="19"/>
      <c r="R7" s="19"/>
      <c r="S7" s="19"/>
      <c r="T7" s="19"/>
      <c r="U7" s="23"/>
      <c r="V7" s="1"/>
      <c r="W7" s="1"/>
    </row>
    <row r="8" spans="1:23" ht="12.4" customHeight="1">
      <c r="A8" s="2"/>
      <c r="B8" s="17"/>
      <c r="C8" s="1"/>
      <c r="D8" s="2"/>
      <c r="F8" s="24"/>
      <c r="G8" s="24"/>
      <c r="H8" s="24" t="s">
        <v>40</v>
      </c>
      <c r="I8" s="24" t="s">
        <v>41</v>
      </c>
      <c r="J8" s="24"/>
      <c r="K8" s="24"/>
      <c r="L8" s="24"/>
      <c r="M8" s="24" t="s">
        <v>42</v>
      </c>
      <c r="N8" s="26"/>
      <c r="O8" s="2"/>
      <c r="P8" s="2"/>
      <c r="Q8" s="2"/>
      <c r="R8" s="1"/>
      <c r="S8" s="2"/>
      <c r="T8" s="2"/>
      <c r="U8" s="27"/>
      <c r="V8" s="2"/>
      <c r="W8" s="2"/>
    </row>
    <row r="9" spans="1:23" ht="12.4" customHeight="1">
      <c r="A9" s="2"/>
      <c r="B9" s="17"/>
      <c r="C9" s="29"/>
      <c r="D9" s="2"/>
      <c r="E9" s="516" t="s">
        <v>326</v>
      </c>
      <c r="F9" s="24" t="s">
        <v>43</v>
      </c>
      <c r="G9" s="24"/>
      <c r="H9" s="24" t="s">
        <v>44</v>
      </c>
      <c r="I9" s="24" t="s">
        <v>44</v>
      </c>
      <c r="J9" s="24"/>
      <c r="K9" s="24" t="s">
        <v>3</v>
      </c>
      <c r="L9" s="24"/>
      <c r="M9" s="24" t="s">
        <v>3</v>
      </c>
      <c r="N9" s="30"/>
      <c r="O9" s="2"/>
      <c r="P9" s="2"/>
      <c r="Q9" s="2"/>
      <c r="R9" s="29"/>
      <c r="S9" s="2"/>
      <c r="T9" s="2"/>
      <c r="U9" s="27"/>
      <c r="V9" s="2"/>
      <c r="W9" s="2"/>
    </row>
    <row r="10" spans="1:23" ht="12.4" customHeight="1">
      <c r="A10" s="31"/>
      <c r="B10" s="17"/>
      <c r="C10" s="32"/>
      <c r="D10" s="31"/>
      <c r="E10" s="517" t="s">
        <v>327</v>
      </c>
      <c r="F10" s="33" t="s">
        <v>46</v>
      </c>
      <c r="G10" s="33"/>
      <c r="H10" s="33" t="s">
        <v>20</v>
      </c>
      <c r="I10" s="33" t="s">
        <v>20</v>
      </c>
      <c r="J10" s="33"/>
      <c r="K10" s="33" t="s">
        <v>39</v>
      </c>
      <c r="L10" s="33"/>
      <c r="M10" s="33" t="s">
        <v>39</v>
      </c>
      <c r="N10" s="30"/>
      <c r="O10" s="2"/>
      <c r="P10" s="31"/>
      <c r="Q10" s="31"/>
      <c r="R10" s="32"/>
      <c r="S10" s="31"/>
      <c r="T10" s="31"/>
      <c r="U10" s="34"/>
      <c r="V10" s="31"/>
      <c r="W10" s="31"/>
    </row>
    <row r="11" spans="1:23" ht="12.4" customHeight="1">
      <c r="A11" s="1"/>
      <c r="B11" s="17"/>
      <c r="C11" s="1"/>
      <c r="D11" s="1"/>
      <c r="F11" s="25"/>
      <c r="G11" s="25"/>
      <c r="H11" s="82"/>
      <c r="I11" s="82"/>
      <c r="J11" s="25"/>
      <c r="K11" s="25"/>
      <c r="L11" s="25"/>
      <c r="M11" s="25"/>
      <c r="N11" s="30"/>
      <c r="O11" s="2"/>
      <c r="P11" s="1"/>
      <c r="Q11" s="1"/>
      <c r="R11" s="1"/>
      <c r="S11" s="1"/>
      <c r="T11" s="1"/>
      <c r="U11" s="35"/>
      <c r="V11" s="1"/>
      <c r="W11" s="1"/>
    </row>
    <row r="12" spans="1:23" ht="12.4" customHeight="1">
      <c r="A12" s="1"/>
      <c r="B12" s="17"/>
      <c r="C12" s="519"/>
      <c r="D12" s="1"/>
      <c r="E12" s="520" t="s">
        <v>328</v>
      </c>
      <c r="F12" s="81">
        <v>2137.04</v>
      </c>
      <c r="G12" s="25"/>
      <c r="H12" s="37">
        <f>$I$34+F12*$I$67</f>
        <v>801.08539519999999</v>
      </c>
      <c r="I12" s="37">
        <f>$Q$34+F12*$Q$67</f>
        <v>743.34257439999999</v>
      </c>
      <c r="J12" s="25"/>
      <c r="K12" s="37">
        <f>I12-H12</f>
        <v>-57.742820800000004</v>
      </c>
      <c r="L12" s="25"/>
      <c r="M12" s="38">
        <f>I12/H12-1</f>
        <v>-7.2080730900834666E-2</v>
      </c>
      <c r="N12" s="30"/>
      <c r="O12" s="2"/>
      <c r="P12" s="1"/>
      <c r="Q12" s="1"/>
      <c r="R12" s="519"/>
      <c r="S12" s="1"/>
      <c r="T12" s="1"/>
      <c r="U12" s="35"/>
      <c r="V12" s="1"/>
      <c r="W12" s="39"/>
    </row>
    <row r="13" spans="1:23" ht="12.4" customHeight="1">
      <c r="A13" s="1"/>
      <c r="B13" s="17"/>
      <c r="C13" s="519"/>
      <c r="D13" s="1"/>
      <c r="E13" s="520" t="s">
        <v>329</v>
      </c>
      <c r="F13" s="81">
        <v>2019.85</v>
      </c>
      <c r="G13" s="25"/>
      <c r="H13" s="37">
        <f>$I$34+F13*$I$67</f>
        <v>757.62196799999992</v>
      </c>
      <c r="I13" s="37">
        <f t="shared" ref="I13:I15" si="0">$Q$34+F13*$Q$67</f>
        <v>703.04562099999998</v>
      </c>
      <c r="J13" s="25"/>
      <c r="K13" s="37">
        <f t="shared" ref="K13:K27" si="1">I13-H13</f>
        <v>-54.576346999999942</v>
      </c>
      <c r="L13" s="25"/>
      <c r="M13" s="38">
        <f t="shared" ref="M13:M27" si="2">I13/H13-1</f>
        <v>-7.2036383981938568E-2</v>
      </c>
      <c r="N13" s="30"/>
      <c r="O13" s="2"/>
      <c r="P13" s="1"/>
      <c r="Q13" s="1"/>
      <c r="R13" s="519"/>
      <c r="S13" s="1"/>
      <c r="T13" s="1"/>
      <c r="U13" s="35"/>
      <c r="V13" s="1"/>
      <c r="W13" s="39"/>
    </row>
    <row r="14" spans="1:23" ht="12.4" customHeight="1">
      <c r="A14" s="1"/>
      <c r="B14" s="17"/>
      <c r="C14" s="519"/>
      <c r="D14" s="1"/>
      <c r="E14" s="520" t="s">
        <v>330</v>
      </c>
      <c r="F14" s="81">
        <v>1632.76</v>
      </c>
      <c r="G14" s="25"/>
      <c r="H14" s="37">
        <f>$I$34+F14*$I$67</f>
        <v>614.05802879999999</v>
      </c>
      <c r="I14" s="37">
        <f t="shared" si="0"/>
        <v>569.94085359999997</v>
      </c>
      <c r="J14" s="25"/>
      <c r="K14" s="37">
        <f t="shared" si="1"/>
        <v>-44.11717520000002</v>
      </c>
      <c r="L14" s="25"/>
      <c r="M14" s="38">
        <f t="shared" si="2"/>
        <v>-7.1845286814691378E-2</v>
      </c>
      <c r="N14" s="30"/>
      <c r="O14" s="2"/>
      <c r="P14" s="1"/>
      <c r="Q14" s="1"/>
      <c r="R14" s="519"/>
      <c r="S14" s="1"/>
      <c r="T14" s="1"/>
      <c r="U14" s="35"/>
      <c r="V14" s="1"/>
      <c r="W14" s="1"/>
    </row>
    <row r="15" spans="1:23" ht="12.4" customHeight="1">
      <c r="A15" s="1"/>
      <c r="B15" s="17"/>
      <c r="C15" s="519"/>
      <c r="D15" s="1"/>
      <c r="E15" s="520" t="s">
        <v>331</v>
      </c>
      <c r="F15" s="81">
        <v>1130.1600000000001</v>
      </c>
      <c r="G15" s="25"/>
      <c r="H15" s="37">
        <f>$I$34+F15*$I$67</f>
        <v>427.65374080000004</v>
      </c>
      <c r="I15" s="37">
        <f t="shared" si="0"/>
        <v>397.11681760000005</v>
      </c>
      <c r="J15" s="25"/>
      <c r="K15" s="37">
        <f t="shared" si="1"/>
        <v>-30.53692319999999</v>
      </c>
      <c r="L15" s="25"/>
      <c r="M15" s="38">
        <f t="shared" si="2"/>
        <v>-7.1405719830429648E-2</v>
      </c>
      <c r="N15" s="30"/>
      <c r="O15" s="2"/>
      <c r="P15" s="1"/>
      <c r="Q15" s="1"/>
      <c r="R15" s="519"/>
      <c r="S15" s="1"/>
      <c r="T15" s="1"/>
      <c r="U15" s="35"/>
      <c r="V15" s="1"/>
      <c r="W15" s="1"/>
    </row>
    <row r="16" spans="1:23" ht="12.4" customHeight="1">
      <c r="A16" s="1"/>
      <c r="B16" s="17"/>
      <c r="C16" s="519"/>
      <c r="D16" s="1"/>
      <c r="E16" t="s">
        <v>332</v>
      </c>
      <c r="F16" s="81">
        <v>434.82</v>
      </c>
      <c r="G16" s="25"/>
      <c r="H16" s="37">
        <f t="shared" ref="H16:H21" si="3">$H$34+F16*$H$67</f>
        <v>198.2163142</v>
      </c>
      <c r="I16" s="37">
        <f>$P$34+F16*$P$67</f>
        <v>198.2163142</v>
      </c>
      <c r="J16" s="25"/>
      <c r="K16" s="37">
        <f t="shared" si="1"/>
        <v>0</v>
      </c>
      <c r="L16" s="25"/>
      <c r="M16" s="38">
        <f t="shared" si="2"/>
        <v>0</v>
      </c>
      <c r="N16" s="30"/>
      <c r="O16" s="2"/>
      <c r="P16" s="1"/>
      <c r="Q16" s="1"/>
      <c r="R16" s="519"/>
      <c r="S16" s="1"/>
      <c r="T16" s="1"/>
      <c r="U16" s="35"/>
      <c r="V16" s="1"/>
      <c r="W16" s="1"/>
    </row>
    <row r="17" spans="1:23" ht="12.4" customHeight="1">
      <c r="A17" s="1"/>
      <c r="B17" s="17"/>
      <c r="C17" s="519"/>
      <c r="D17" s="1"/>
      <c r="E17" t="s">
        <v>333</v>
      </c>
      <c r="F17" s="81">
        <v>472.29</v>
      </c>
      <c r="G17" s="25"/>
      <c r="H17" s="37">
        <f t="shared" si="3"/>
        <v>214.56484989999998</v>
      </c>
      <c r="I17" s="37">
        <f t="shared" ref="I17:I21" si="4">$P$34+F17*$P$67</f>
        <v>214.56484989999998</v>
      </c>
      <c r="J17" s="25"/>
      <c r="K17" s="37">
        <f t="shared" si="1"/>
        <v>0</v>
      </c>
      <c r="L17" s="25"/>
      <c r="M17" s="38">
        <f t="shared" si="2"/>
        <v>0</v>
      </c>
      <c r="N17" s="30"/>
      <c r="O17" s="2"/>
      <c r="P17" s="1"/>
      <c r="Q17" s="1"/>
      <c r="R17" s="519"/>
      <c r="S17" s="1"/>
      <c r="T17" s="1"/>
      <c r="U17" s="35"/>
      <c r="V17" s="1"/>
      <c r="W17" s="1"/>
    </row>
    <row r="18" spans="1:23" ht="12.4" customHeight="1">
      <c r="A18" s="1"/>
      <c r="B18" s="17"/>
      <c r="C18" s="519"/>
      <c r="D18" s="1"/>
      <c r="E18" t="s">
        <v>334</v>
      </c>
      <c r="F18" s="81">
        <v>596.23</v>
      </c>
      <c r="G18" s="25"/>
      <c r="H18" s="37">
        <f t="shared" si="3"/>
        <v>268.64111129999998</v>
      </c>
      <c r="I18" s="37">
        <f t="shared" si="4"/>
        <v>268.64111129999998</v>
      </c>
      <c r="J18" s="25"/>
      <c r="K18" s="37">
        <f t="shared" si="1"/>
        <v>0</v>
      </c>
      <c r="L18" s="25"/>
      <c r="M18" s="38">
        <f t="shared" si="2"/>
        <v>0</v>
      </c>
      <c r="N18" s="30"/>
      <c r="O18" s="2"/>
      <c r="P18" s="1"/>
      <c r="Q18" s="1"/>
      <c r="R18" s="519"/>
      <c r="S18" s="1"/>
      <c r="T18" s="1"/>
      <c r="U18" s="35"/>
      <c r="V18" s="1"/>
      <c r="W18" s="1"/>
    </row>
    <row r="19" spans="1:23" ht="12.4" customHeight="1">
      <c r="A19" s="1"/>
      <c r="B19" s="17"/>
      <c r="C19" s="519"/>
      <c r="D19" s="1"/>
      <c r="E19" t="s">
        <v>335</v>
      </c>
      <c r="F19" s="81">
        <v>717.36</v>
      </c>
      <c r="G19" s="25"/>
      <c r="H19" s="37">
        <f t="shared" si="3"/>
        <v>321.4913416</v>
      </c>
      <c r="I19" s="37">
        <f t="shared" si="4"/>
        <v>321.4913416</v>
      </c>
      <c r="J19" s="25"/>
      <c r="K19" s="37">
        <f t="shared" si="1"/>
        <v>0</v>
      </c>
      <c r="L19" s="25"/>
      <c r="M19" s="38">
        <f t="shared" si="2"/>
        <v>0</v>
      </c>
      <c r="N19" s="30"/>
      <c r="O19" s="2"/>
      <c r="P19" s="1"/>
      <c r="Q19" s="1"/>
      <c r="R19" s="519"/>
      <c r="S19" s="1"/>
      <c r="T19" s="1"/>
      <c r="U19" s="35"/>
      <c r="V19" s="1"/>
      <c r="W19" s="1"/>
    </row>
    <row r="20" spans="1:23" ht="12.4" customHeight="1">
      <c r="A20" s="1"/>
      <c r="B20" s="17"/>
      <c r="C20" s="519"/>
      <c r="D20" s="1"/>
      <c r="E20" t="s">
        <v>336</v>
      </c>
      <c r="F20" s="81">
        <v>537.72</v>
      </c>
      <c r="G20" s="25"/>
      <c r="H20" s="37">
        <f t="shared" si="3"/>
        <v>243.1126132</v>
      </c>
      <c r="I20" s="37">
        <f t="shared" si="4"/>
        <v>243.1126132</v>
      </c>
      <c r="J20" s="25"/>
      <c r="K20" s="37">
        <f t="shared" si="1"/>
        <v>0</v>
      </c>
      <c r="L20" s="25"/>
      <c r="M20" s="38">
        <f t="shared" si="2"/>
        <v>0</v>
      </c>
      <c r="N20" s="30"/>
      <c r="O20" s="2"/>
      <c r="P20" s="1"/>
      <c r="Q20" s="1"/>
      <c r="R20" s="519"/>
      <c r="S20" s="1"/>
      <c r="T20" s="1"/>
      <c r="U20" s="35"/>
      <c r="V20" s="1"/>
      <c r="W20" s="1"/>
    </row>
    <row r="21" spans="1:23" ht="12.4" customHeight="1">
      <c r="A21" s="1"/>
      <c r="B21" s="17"/>
      <c r="C21" s="519"/>
      <c r="D21" s="1"/>
      <c r="E21" t="s">
        <v>337</v>
      </c>
      <c r="F21" s="81">
        <v>405.51</v>
      </c>
      <c r="G21" s="25"/>
      <c r="H21" s="37">
        <f t="shared" si="3"/>
        <v>185.42806809999999</v>
      </c>
      <c r="I21" s="37">
        <f t="shared" si="4"/>
        <v>185.42806809999999</v>
      </c>
      <c r="J21" s="25"/>
      <c r="K21" s="37">
        <f t="shared" si="1"/>
        <v>0</v>
      </c>
      <c r="L21" s="25"/>
      <c r="M21" s="38">
        <f t="shared" si="2"/>
        <v>0</v>
      </c>
      <c r="N21" s="30"/>
      <c r="O21" s="2"/>
      <c r="P21" s="1"/>
      <c r="Q21" s="1"/>
      <c r="R21" s="519"/>
      <c r="S21" s="1"/>
      <c r="T21" s="1"/>
      <c r="U21" s="35"/>
      <c r="V21" s="1"/>
      <c r="W21" s="1"/>
    </row>
    <row r="22" spans="1:23" ht="12.4" customHeight="1">
      <c r="A22" s="1"/>
      <c r="B22" s="17"/>
      <c r="C22" s="519"/>
      <c r="D22" s="1"/>
      <c r="E22" s="520" t="s">
        <v>338</v>
      </c>
      <c r="F22" s="81">
        <v>864.76</v>
      </c>
      <c r="G22" s="25"/>
      <c r="H22" s="37">
        <f>$I$34+F22*$I$67</f>
        <v>329.22218879999997</v>
      </c>
      <c r="I22" s="37">
        <f t="shared" ref="I22:I23" si="5">$Q$34+F22*$Q$67</f>
        <v>305.85637359999998</v>
      </c>
      <c r="J22" s="25"/>
      <c r="K22" s="37">
        <f t="shared" si="1"/>
        <v>-23.365815199999986</v>
      </c>
      <c r="L22" s="25"/>
      <c r="M22" s="38">
        <f t="shared" si="2"/>
        <v>-7.0972783715360532E-2</v>
      </c>
      <c r="N22" s="30"/>
      <c r="O22" s="2"/>
      <c r="P22" s="1"/>
      <c r="Q22" s="1"/>
      <c r="R22" s="519"/>
      <c r="S22" s="1"/>
      <c r="T22" s="1"/>
      <c r="U22" s="35"/>
      <c r="V22" s="1"/>
      <c r="W22" s="1"/>
    </row>
    <row r="23" spans="1:23" ht="12.4" customHeight="1">
      <c r="A23" s="1"/>
      <c r="B23" s="17"/>
      <c r="C23" s="519"/>
      <c r="D23" s="1"/>
      <c r="E23" s="520" t="s">
        <v>339</v>
      </c>
      <c r="F23" s="81">
        <v>1434.63</v>
      </c>
      <c r="G23" s="25"/>
      <c r="H23" s="37">
        <f>$I$34+F23*$I$67</f>
        <v>540.57557440000005</v>
      </c>
      <c r="I23" s="37">
        <f t="shared" si="5"/>
        <v>501.81187180000006</v>
      </c>
      <c r="J23" s="25"/>
      <c r="K23" s="37">
        <f t="shared" si="1"/>
        <v>-38.763702599999988</v>
      </c>
      <c r="L23" s="25"/>
      <c r="M23" s="38">
        <f t="shared" si="2"/>
        <v>-7.1708202212104943E-2</v>
      </c>
      <c r="N23" s="30"/>
      <c r="O23" s="2"/>
      <c r="P23" s="1"/>
      <c r="Q23" s="1"/>
      <c r="R23" s="519"/>
      <c r="S23" s="1"/>
      <c r="T23" s="1"/>
      <c r="U23" s="35"/>
      <c r="V23" s="1"/>
      <c r="W23" s="1"/>
    </row>
    <row r="24" spans="1:23" ht="12.4" customHeight="1">
      <c r="A24" s="1"/>
      <c r="B24" s="17"/>
      <c r="C24" s="40"/>
      <c r="D24" s="1"/>
      <c r="F24" s="36"/>
      <c r="G24" s="25"/>
      <c r="H24" s="37"/>
      <c r="I24" s="37"/>
      <c r="J24" s="25"/>
      <c r="K24" s="37"/>
      <c r="L24" s="25"/>
      <c r="M24" s="38"/>
      <c r="N24" s="30"/>
      <c r="O24" s="2"/>
      <c r="P24" s="1"/>
      <c r="Q24" s="1"/>
      <c r="R24" s="40"/>
      <c r="S24" s="1"/>
      <c r="T24" s="1"/>
      <c r="U24" s="35"/>
      <c r="V24" s="1"/>
      <c r="W24" s="1"/>
    </row>
    <row r="25" spans="1:23" ht="12.4" customHeight="1">
      <c r="A25" s="1"/>
      <c r="B25" s="17"/>
      <c r="C25" s="40"/>
      <c r="D25" s="1"/>
      <c r="E25" t="s">
        <v>343</v>
      </c>
      <c r="F25" s="81">
        <f>SUM(F16:F21)</f>
        <v>3163.9300000000003</v>
      </c>
      <c r="G25" s="25"/>
      <c r="H25" s="37">
        <f>SUM(H16:H21)</f>
        <v>1431.4542982999999</v>
      </c>
      <c r="I25" s="37">
        <f>SUM(I16:I21)</f>
        <v>1431.4542982999999</v>
      </c>
      <c r="J25" s="25"/>
      <c r="K25" s="37">
        <f t="shared" si="1"/>
        <v>0</v>
      </c>
      <c r="L25" s="25"/>
      <c r="M25" s="38">
        <f t="shared" si="2"/>
        <v>0</v>
      </c>
      <c r="N25" s="30"/>
      <c r="O25" s="2"/>
      <c r="P25" s="1"/>
      <c r="Q25" s="1"/>
      <c r="R25" s="40"/>
      <c r="S25" s="1"/>
      <c r="T25" s="1"/>
      <c r="U25" s="35"/>
      <c r="V25" s="1"/>
      <c r="W25" s="1"/>
    </row>
    <row r="26" spans="1:23" ht="12.4" customHeight="1">
      <c r="A26" s="1"/>
      <c r="B26" s="17"/>
      <c r="C26" s="40"/>
      <c r="D26" s="1"/>
      <c r="E26" t="s">
        <v>344</v>
      </c>
      <c r="F26" s="81">
        <f>SUM(F12:F15)+SUM(F22:F23)</f>
        <v>9219.2000000000007</v>
      </c>
      <c r="G26" s="25"/>
      <c r="H26" s="37">
        <f>SUM(H12:H15)+SUM(H22:H23)</f>
        <v>3470.2168959999999</v>
      </c>
      <c r="I26" s="37">
        <f>SUM(I12:I15)+SUM(I22:I23)</f>
        <v>3221.1141120000002</v>
      </c>
      <c r="J26" s="25"/>
      <c r="K26" s="37">
        <f t="shared" si="1"/>
        <v>-249.1027839999997</v>
      </c>
      <c r="L26" s="25"/>
      <c r="M26" s="38">
        <f t="shared" si="2"/>
        <v>-7.1783058945719458E-2</v>
      </c>
      <c r="N26" s="30"/>
      <c r="O26" s="2"/>
      <c r="P26" s="1"/>
      <c r="Q26" s="1"/>
      <c r="R26" s="40"/>
      <c r="S26" s="1"/>
      <c r="T26" s="1"/>
      <c r="U26" s="35"/>
      <c r="V26" s="1"/>
      <c r="W26" s="1"/>
    </row>
    <row r="27" spans="1:23" ht="12.4" customHeight="1">
      <c r="A27" s="1"/>
      <c r="B27" s="17"/>
      <c r="D27" s="1"/>
      <c r="E27" s="40" t="s">
        <v>340</v>
      </c>
      <c r="F27" s="81">
        <f>SUM(F12:F23)</f>
        <v>12383.130000000001</v>
      </c>
      <c r="G27" s="25"/>
      <c r="H27" s="37">
        <f>$H$34*6+F25*$H$67+I34*6+F26*I67</f>
        <v>4901.6711943000009</v>
      </c>
      <c r="I27" s="37">
        <f>$P$34*6+F25*$P$67+Q34*6+F26*Q67</f>
        <v>4652.5684103000003</v>
      </c>
      <c r="J27" s="25"/>
      <c r="K27" s="37">
        <f t="shared" si="1"/>
        <v>-249.10278400000061</v>
      </c>
      <c r="L27" s="25"/>
      <c r="M27" s="38">
        <f t="shared" si="2"/>
        <v>-5.0819970194996844E-2</v>
      </c>
      <c r="N27" s="30"/>
      <c r="O27" s="2"/>
      <c r="P27" s="1"/>
      <c r="Q27" s="1"/>
      <c r="S27" s="1"/>
      <c r="T27" s="1"/>
      <c r="U27" s="35"/>
      <c r="V27" s="1"/>
      <c r="W27" s="1"/>
    </row>
    <row r="28" spans="1:23" ht="12.4" customHeight="1">
      <c r="A28" s="1"/>
      <c r="B28" s="41"/>
      <c r="C28" s="83"/>
      <c r="D28" s="83"/>
      <c r="E28" s="83"/>
      <c r="F28" s="85"/>
      <c r="G28" s="84"/>
      <c r="H28" s="86"/>
      <c r="I28" s="86"/>
      <c r="J28" s="84"/>
      <c r="K28" s="86"/>
      <c r="L28" s="84"/>
      <c r="M28" s="86"/>
      <c r="N28" s="87"/>
      <c r="O28" s="72"/>
      <c r="P28" s="83"/>
      <c r="Q28" s="83"/>
      <c r="R28" s="83"/>
      <c r="S28" s="83"/>
      <c r="T28" s="83"/>
      <c r="U28" s="42"/>
      <c r="V28" s="1"/>
      <c r="W28" s="1"/>
    </row>
    <row r="29" spans="1:23" ht="12.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2.4" customHeight="1">
      <c r="A30" s="1"/>
      <c r="B30" s="18"/>
      <c r="C30" s="19"/>
      <c r="D30" s="43"/>
      <c r="E30" s="43"/>
      <c r="F30" s="43"/>
      <c r="G30" s="43"/>
      <c r="H30" s="43"/>
      <c r="I30" s="43"/>
      <c r="J30" s="43"/>
      <c r="K30" s="43"/>
      <c r="L30" s="19"/>
      <c r="M30" s="19"/>
      <c r="N30" s="19"/>
      <c r="O30" s="19"/>
      <c r="P30" s="43"/>
      <c r="Q30" s="43"/>
      <c r="R30" s="43"/>
      <c r="S30" s="43"/>
      <c r="T30" s="43"/>
      <c r="U30" s="44"/>
      <c r="V30" s="1"/>
      <c r="W30" s="1"/>
    </row>
    <row r="31" spans="1:23" ht="12.4" customHeight="1">
      <c r="A31" s="1"/>
      <c r="B31" s="75" t="s">
        <v>342</v>
      </c>
      <c r="C31" s="45"/>
      <c r="D31" s="218"/>
      <c r="E31" s="3"/>
      <c r="F31" s="1"/>
      <c r="G31" s="4"/>
      <c r="H31" s="3" t="s">
        <v>343</v>
      </c>
      <c r="I31" s="3" t="s">
        <v>344</v>
      </c>
      <c r="J31" s="1"/>
      <c r="K31" s="76" t="s">
        <v>347</v>
      </c>
      <c r="L31" s="1"/>
      <c r="M31" s="4"/>
      <c r="N31" s="1"/>
      <c r="O31" s="4"/>
      <c r="P31" s="3" t="s">
        <v>343</v>
      </c>
      <c r="Q31" s="3" t="s">
        <v>344</v>
      </c>
      <c r="R31" s="3"/>
      <c r="S31" s="3" t="s">
        <v>343</v>
      </c>
      <c r="T31" s="3" t="s">
        <v>344</v>
      </c>
      <c r="U31" s="27"/>
      <c r="V31" s="1"/>
      <c r="W31" s="1"/>
    </row>
    <row r="32" spans="1:23" ht="12.4" customHeight="1">
      <c r="A32" s="1"/>
      <c r="B32" s="46"/>
      <c r="C32" s="9"/>
      <c r="D32" s="47"/>
      <c r="E32" s="47"/>
      <c r="F32" s="1"/>
      <c r="G32" s="47"/>
      <c r="H32" s="29" t="s">
        <v>341</v>
      </c>
      <c r="I32" s="29" t="s">
        <v>341</v>
      </c>
      <c r="J32" s="1"/>
      <c r="K32" s="47"/>
      <c r="L32" s="47"/>
      <c r="M32" s="47"/>
      <c r="N32" s="47"/>
      <c r="O32" s="47"/>
      <c r="P32" s="29" t="s">
        <v>341</v>
      </c>
      <c r="Q32" s="29" t="s">
        <v>341</v>
      </c>
      <c r="R32" s="29"/>
      <c r="S32" s="32" t="s">
        <v>117</v>
      </c>
      <c r="T32" s="32" t="s">
        <v>117</v>
      </c>
      <c r="U32" s="27"/>
      <c r="V32" s="4"/>
      <c r="W32" s="1"/>
    </row>
    <row r="33" spans="1:23" ht="12.4" customHeight="1">
      <c r="A33" s="1"/>
      <c r="B33" s="48" t="s">
        <v>47</v>
      </c>
      <c r="C33" s="9"/>
      <c r="D33" s="47"/>
      <c r="E33" s="47"/>
      <c r="F33" s="49"/>
      <c r="G33" s="49"/>
      <c r="H33" s="50"/>
      <c r="I33" s="50"/>
      <c r="J33" s="1"/>
      <c r="K33" s="51" t="s">
        <v>47</v>
      </c>
      <c r="L33" s="47"/>
      <c r="M33" s="47"/>
      <c r="N33" s="47"/>
      <c r="O33" s="49"/>
      <c r="P33" s="50"/>
      <c r="Q33" s="50"/>
      <c r="R33" s="50"/>
      <c r="S33" s="1"/>
      <c r="T33" s="1"/>
      <c r="U33" s="52"/>
      <c r="V33" s="4"/>
      <c r="W33" s="1"/>
    </row>
    <row r="34" spans="1:23" ht="12.4" customHeight="1">
      <c r="A34" s="1"/>
      <c r="B34" s="53" t="s">
        <v>0</v>
      </c>
      <c r="C34" s="9"/>
      <c r="D34" s="47"/>
      <c r="E34" s="47"/>
      <c r="F34" s="49"/>
      <c r="G34" s="49"/>
      <c r="H34" s="50">
        <v>8.5</v>
      </c>
      <c r="I34" s="50">
        <v>8.5</v>
      </c>
      <c r="J34" s="1"/>
      <c r="K34" s="9" t="s">
        <v>0</v>
      </c>
      <c r="L34" s="47"/>
      <c r="M34" s="47"/>
      <c r="N34" s="47"/>
      <c r="O34" s="49"/>
      <c r="P34" s="50">
        <f>H34</f>
        <v>8.5</v>
      </c>
      <c r="Q34" s="50">
        <f>I34</f>
        <v>8.5</v>
      </c>
      <c r="R34" s="50"/>
      <c r="S34" s="50">
        <f>+P34-H34</f>
        <v>0</v>
      </c>
      <c r="T34" s="50">
        <f>+Q34-I34</f>
        <v>0</v>
      </c>
      <c r="U34" s="52"/>
      <c r="V34" s="4"/>
      <c r="W34" s="1"/>
    </row>
    <row r="35" spans="1:23" ht="12.6" customHeight="1">
      <c r="A35" s="1"/>
      <c r="B35" s="53"/>
      <c r="C35" s="9"/>
      <c r="D35" s="47"/>
      <c r="E35" s="47"/>
      <c r="F35" s="49"/>
      <c r="G35" s="49"/>
      <c r="H35" s="54" t="s">
        <v>46</v>
      </c>
      <c r="I35" s="54" t="s">
        <v>46</v>
      </c>
      <c r="J35" s="1"/>
      <c r="K35" s="9"/>
      <c r="L35" s="47"/>
      <c r="M35" s="47"/>
      <c r="N35" s="47"/>
      <c r="O35" s="49"/>
      <c r="P35" s="54" t="s">
        <v>46</v>
      </c>
      <c r="Q35" s="54" t="s">
        <v>46</v>
      </c>
      <c r="R35" s="54"/>
      <c r="S35" s="54" t="s">
        <v>46</v>
      </c>
      <c r="T35" s="54" t="s">
        <v>46</v>
      </c>
      <c r="U35" s="55"/>
      <c r="V35" s="4"/>
      <c r="W35" s="1"/>
    </row>
    <row r="36" spans="1:23" ht="12.4" customHeight="1">
      <c r="A36" s="1"/>
      <c r="B36" s="61" t="s">
        <v>244</v>
      </c>
      <c r="C36" s="9"/>
      <c r="D36" s="1"/>
      <c r="E36" s="1"/>
      <c r="F36" s="56"/>
      <c r="G36" s="56"/>
      <c r="H36" s="57">
        <v>0.10176</v>
      </c>
      <c r="I36" s="57">
        <v>3.6330000000000001E-2</v>
      </c>
      <c r="J36" s="1"/>
      <c r="K36" s="40" t="s">
        <v>6</v>
      </c>
      <c r="L36" s="1"/>
      <c r="M36" s="1"/>
      <c r="N36" s="1"/>
      <c r="O36" s="62"/>
      <c r="P36" s="57">
        <f>H36</f>
        <v>0.10176</v>
      </c>
      <c r="Q36" s="57">
        <f>I36</f>
        <v>3.6330000000000001E-2</v>
      </c>
      <c r="R36" s="57"/>
      <c r="S36" s="57">
        <f>+P36-H36</f>
        <v>0</v>
      </c>
      <c r="T36" s="57">
        <f>+Q36-I36</f>
        <v>0</v>
      </c>
      <c r="U36" s="58"/>
      <c r="V36" s="4"/>
      <c r="W36" s="49"/>
    </row>
    <row r="37" spans="1:23" ht="12.4" customHeight="1">
      <c r="A37" s="1"/>
      <c r="B37" s="61"/>
      <c r="C37" s="9"/>
      <c r="D37" s="1"/>
      <c r="E37" s="1"/>
      <c r="F37" s="56"/>
      <c r="G37" s="56"/>
      <c r="H37" s="57"/>
      <c r="I37" s="57"/>
      <c r="J37" s="1"/>
      <c r="K37" s="40"/>
      <c r="L37" s="1"/>
      <c r="M37" s="1"/>
      <c r="N37" s="1"/>
      <c r="O37" s="62"/>
      <c r="P37" s="57"/>
      <c r="Q37" s="57"/>
      <c r="R37" s="57"/>
      <c r="S37" s="57"/>
      <c r="T37" s="57"/>
      <c r="U37" s="58"/>
      <c r="V37" s="4"/>
      <c r="W37" s="1"/>
    </row>
    <row r="38" spans="1:23" ht="12.4" customHeight="1">
      <c r="A38" s="1"/>
      <c r="B38" s="61" t="s">
        <v>50</v>
      </c>
      <c r="C38" s="9"/>
      <c r="D38" s="1"/>
      <c r="E38" s="1"/>
      <c r="F38" s="56"/>
      <c r="G38" s="56"/>
      <c r="H38" s="57">
        <v>2.2100000000000002E-3</v>
      </c>
      <c r="I38" s="57">
        <f t="shared" ref="I38:I45" si="6">H38</f>
        <v>2.2100000000000002E-3</v>
      </c>
      <c r="J38" s="1"/>
      <c r="K38" s="40" t="s">
        <v>50</v>
      </c>
      <c r="L38" s="1"/>
      <c r="M38" s="1"/>
      <c r="N38" s="1"/>
      <c r="O38" s="62"/>
      <c r="P38" s="57">
        <f t="shared" ref="P38:Q45" si="7">H38</f>
        <v>2.2100000000000002E-3</v>
      </c>
      <c r="Q38" s="57">
        <f t="shared" si="7"/>
        <v>2.2100000000000002E-3</v>
      </c>
      <c r="R38" s="57"/>
      <c r="S38" s="57">
        <f>+P38-H38</f>
        <v>0</v>
      </c>
      <c r="T38" s="57">
        <f>+Q38-I38</f>
        <v>0</v>
      </c>
      <c r="U38" s="58"/>
      <c r="V38" s="4"/>
      <c r="W38" s="1"/>
    </row>
    <row r="39" spans="1:23" ht="12.4" customHeight="1">
      <c r="A39" s="1"/>
      <c r="B39" s="61" t="s">
        <v>51</v>
      </c>
      <c r="C39" s="9"/>
      <c r="D39" s="1"/>
      <c r="E39" s="1"/>
      <c r="F39" s="56"/>
      <c r="G39" s="56"/>
      <c r="H39" s="57">
        <v>3.1130000000000001E-2</v>
      </c>
      <c r="I39" s="57">
        <f t="shared" si="6"/>
        <v>3.1130000000000001E-2</v>
      </c>
      <c r="J39" s="1"/>
      <c r="K39" s="40" t="s">
        <v>51</v>
      </c>
      <c r="L39" s="1"/>
      <c r="M39" s="1"/>
      <c r="N39" s="1"/>
      <c r="O39" s="62"/>
      <c r="P39" s="57">
        <f t="shared" si="7"/>
        <v>3.1130000000000001E-2</v>
      </c>
      <c r="Q39" s="57">
        <f t="shared" si="7"/>
        <v>3.1130000000000001E-2</v>
      </c>
      <c r="R39" s="57"/>
      <c r="S39" s="57">
        <f t="shared" ref="S39:T45" si="8">+P39-H39</f>
        <v>0</v>
      </c>
      <c r="T39" s="57">
        <f t="shared" si="8"/>
        <v>0</v>
      </c>
      <c r="U39" s="58"/>
      <c r="V39" s="4"/>
      <c r="W39" s="1"/>
    </row>
    <row r="40" spans="1:23" ht="12.4" customHeight="1">
      <c r="A40" s="1"/>
      <c r="B40" s="53" t="s">
        <v>54</v>
      </c>
      <c r="C40" s="9"/>
      <c r="D40" s="1"/>
      <c r="E40" s="1"/>
      <c r="F40" s="56"/>
      <c r="G40" s="56"/>
      <c r="H40" s="57">
        <v>3.2000000000000003E-4</v>
      </c>
      <c r="I40" s="57">
        <f t="shared" si="6"/>
        <v>3.2000000000000003E-4</v>
      </c>
      <c r="J40" s="1"/>
      <c r="K40" s="9" t="s">
        <v>54</v>
      </c>
      <c r="L40" s="1"/>
      <c r="M40" s="1"/>
      <c r="N40" s="1"/>
      <c r="O40" s="62"/>
      <c r="P40" s="57">
        <f t="shared" si="7"/>
        <v>3.2000000000000003E-4</v>
      </c>
      <c r="Q40" s="57">
        <f t="shared" si="7"/>
        <v>3.2000000000000003E-4</v>
      </c>
      <c r="R40" s="57"/>
      <c r="S40" s="57">
        <f t="shared" si="8"/>
        <v>0</v>
      </c>
      <c r="T40" s="57">
        <f t="shared" si="8"/>
        <v>0</v>
      </c>
      <c r="U40" s="58"/>
      <c r="V40" s="4"/>
      <c r="W40" s="1"/>
    </row>
    <row r="41" spans="1:23" ht="12.4" customHeight="1">
      <c r="A41" s="1"/>
      <c r="B41" s="17" t="s">
        <v>55</v>
      </c>
      <c r="C41" s="9"/>
      <c r="D41" s="1"/>
      <c r="E41" s="1"/>
      <c r="F41" s="56"/>
      <c r="G41" s="56"/>
      <c r="H41" s="57">
        <v>1.2700000000000001E-3</v>
      </c>
      <c r="I41" s="57">
        <f t="shared" si="6"/>
        <v>1.2700000000000001E-3</v>
      </c>
      <c r="J41" s="1"/>
      <c r="K41" s="1" t="s">
        <v>55</v>
      </c>
      <c r="L41" s="1"/>
      <c r="M41" s="1"/>
      <c r="N41" s="1"/>
      <c r="O41" s="62"/>
      <c r="P41" s="57">
        <f t="shared" si="7"/>
        <v>1.2700000000000001E-3</v>
      </c>
      <c r="Q41" s="57">
        <f t="shared" si="7"/>
        <v>1.2700000000000001E-3</v>
      </c>
      <c r="R41" s="57"/>
      <c r="S41" s="57">
        <f t="shared" si="8"/>
        <v>0</v>
      </c>
      <c r="T41" s="57">
        <f t="shared" si="8"/>
        <v>0</v>
      </c>
      <c r="U41" s="58"/>
      <c r="V41" s="4"/>
      <c r="W41" s="1"/>
    </row>
    <row r="42" spans="1:23" ht="12.4" customHeight="1">
      <c r="A42" s="1"/>
      <c r="B42" s="53" t="s">
        <v>58</v>
      </c>
      <c r="C42" s="9"/>
      <c r="D42" s="1"/>
      <c r="E42" s="1"/>
      <c r="F42" s="56"/>
      <c r="G42" s="56"/>
      <c r="H42" s="57">
        <v>1.6199999999999999E-3</v>
      </c>
      <c r="I42" s="57">
        <f t="shared" si="6"/>
        <v>1.6199999999999999E-3</v>
      </c>
      <c r="J42" s="1"/>
      <c r="K42" s="9" t="s">
        <v>58</v>
      </c>
      <c r="L42" s="1"/>
      <c r="M42" s="1"/>
      <c r="N42" s="1"/>
      <c r="O42" s="62"/>
      <c r="P42" s="57">
        <f t="shared" si="7"/>
        <v>1.6199999999999999E-3</v>
      </c>
      <c r="Q42" s="57">
        <f t="shared" si="7"/>
        <v>1.6199999999999999E-3</v>
      </c>
      <c r="R42" s="57"/>
      <c r="S42" s="57">
        <f>+P42-H42</f>
        <v>0</v>
      </c>
      <c r="T42" s="57">
        <f>+Q42-I42</f>
        <v>0</v>
      </c>
      <c r="U42" s="60"/>
      <c r="V42" s="4"/>
      <c r="W42" s="1"/>
    </row>
    <row r="43" spans="1:23" ht="12.4" customHeight="1">
      <c r="A43" s="1"/>
      <c r="B43" s="17" t="s">
        <v>57</v>
      </c>
      <c r="C43" s="1"/>
      <c r="D43" s="1"/>
      <c r="E43" s="1"/>
      <c r="F43" s="1"/>
      <c r="G43" s="1"/>
      <c r="H43" s="57">
        <v>1.4109999999999999E-2</v>
      </c>
      <c r="I43" s="57">
        <f t="shared" si="6"/>
        <v>1.4109999999999999E-2</v>
      </c>
      <c r="J43" s="1"/>
      <c r="K43" s="1" t="s">
        <v>57</v>
      </c>
      <c r="L43" s="1"/>
      <c r="M43" s="1"/>
      <c r="N43" s="1"/>
      <c r="O43" s="1"/>
      <c r="P43" s="57">
        <f t="shared" si="7"/>
        <v>1.4109999999999999E-2</v>
      </c>
      <c r="Q43" s="57">
        <f t="shared" si="7"/>
        <v>1.4109999999999999E-2</v>
      </c>
      <c r="R43" s="57"/>
      <c r="S43" s="57">
        <f>+P43-H43</f>
        <v>0</v>
      </c>
      <c r="T43" s="57">
        <f>+Q43-I43</f>
        <v>0</v>
      </c>
      <c r="U43" s="58"/>
      <c r="V43" s="4"/>
      <c r="W43" s="1"/>
    </row>
    <row r="44" spans="1:23" ht="12.4" customHeight="1">
      <c r="A44" s="1"/>
      <c r="B44" s="17" t="s">
        <v>56</v>
      </c>
      <c r="C44" s="9"/>
      <c r="D44" s="1"/>
      <c r="E44" s="1"/>
      <c r="F44" s="56"/>
      <c r="G44" s="56"/>
      <c r="H44" s="57">
        <v>8.8000000000000003E-4</v>
      </c>
      <c r="I44" s="57">
        <f t="shared" si="6"/>
        <v>8.8000000000000003E-4</v>
      </c>
      <c r="J44" s="1"/>
      <c r="K44" s="1" t="s">
        <v>56</v>
      </c>
      <c r="L44" s="1"/>
      <c r="M44" s="1"/>
      <c r="N44" s="1"/>
      <c r="O44" s="62"/>
      <c r="P44" s="57">
        <f t="shared" si="7"/>
        <v>8.8000000000000003E-4</v>
      </c>
      <c r="Q44" s="57">
        <f t="shared" si="7"/>
        <v>8.8000000000000003E-4</v>
      </c>
      <c r="R44" s="57"/>
      <c r="S44" s="57">
        <f t="shared" si="8"/>
        <v>0</v>
      </c>
      <c r="T44" s="57">
        <f t="shared" si="8"/>
        <v>0</v>
      </c>
      <c r="U44" s="58"/>
      <c r="V44" s="4"/>
      <c r="W44" s="1"/>
    </row>
    <row r="45" spans="1:23" ht="12.4" customHeight="1">
      <c r="A45" s="1"/>
      <c r="B45" s="17" t="s">
        <v>59</v>
      </c>
      <c r="C45" s="1"/>
      <c r="D45" s="1"/>
      <c r="E45" s="1"/>
      <c r="F45" s="1"/>
      <c r="G45" s="1"/>
      <c r="H45" s="59">
        <v>3.64E-3</v>
      </c>
      <c r="I45" s="59">
        <f t="shared" si="6"/>
        <v>3.64E-3</v>
      </c>
      <c r="J45" s="1"/>
      <c r="K45" s="1" t="s">
        <v>59</v>
      </c>
      <c r="L45" s="1"/>
      <c r="M45" s="1"/>
      <c r="N45" s="1"/>
      <c r="O45" s="1"/>
      <c r="P45" s="59">
        <f t="shared" si="7"/>
        <v>3.64E-3</v>
      </c>
      <c r="Q45" s="59">
        <f t="shared" si="7"/>
        <v>3.64E-3</v>
      </c>
      <c r="R45" s="59"/>
      <c r="S45" s="59">
        <f t="shared" si="8"/>
        <v>0</v>
      </c>
      <c r="T45" s="59">
        <f t="shared" si="8"/>
        <v>0</v>
      </c>
      <c r="U45" s="60"/>
      <c r="V45" s="4"/>
      <c r="W45" s="1"/>
    </row>
    <row r="46" spans="1:23" ht="12.4" customHeight="1">
      <c r="A46" s="1"/>
      <c r="B46" s="17"/>
      <c r="C46" s="1"/>
      <c r="D46" s="1"/>
      <c r="E46" s="1"/>
      <c r="F46" s="1"/>
      <c r="G46" s="80" t="s">
        <v>268</v>
      </c>
      <c r="H46" s="59">
        <f>+SUM(H38:H45)</f>
        <v>5.5179999999999993E-2</v>
      </c>
      <c r="I46" s="59">
        <f>+SUM(I38:I45)</f>
        <v>5.5179999999999993E-2</v>
      </c>
      <c r="J46" s="1"/>
      <c r="K46" s="1"/>
      <c r="L46" s="1"/>
      <c r="M46" s="1"/>
      <c r="N46" s="1"/>
      <c r="O46" s="80" t="s">
        <v>268</v>
      </c>
      <c r="P46" s="59">
        <f>+SUM(P38:P45)</f>
        <v>5.5179999999999993E-2</v>
      </c>
      <c r="Q46" s="59">
        <f>+SUM(Q38:Q45)</f>
        <v>5.5179999999999993E-2</v>
      </c>
      <c r="R46" s="59"/>
      <c r="S46" s="59">
        <f>+P46-H46</f>
        <v>0</v>
      </c>
      <c r="T46" s="59">
        <f>+Q46-I46</f>
        <v>0</v>
      </c>
      <c r="U46" s="60"/>
      <c r="V46" s="4"/>
      <c r="W46" s="1"/>
    </row>
    <row r="47" spans="1:23" ht="12.4" customHeight="1">
      <c r="A47" s="1"/>
      <c r="B47" s="17"/>
      <c r="C47" s="9"/>
      <c r="D47" s="1"/>
      <c r="E47" s="1"/>
      <c r="F47" s="56"/>
      <c r="G47" s="63" t="s">
        <v>266</v>
      </c>
      <c r="H47" s="57">
        <f>+H36+H46</f>
        <v>0.15694</v>
      </c>
      <c r="I47" s="57">
        <f>+I36+I46</f>
        <v>9.1509999999999994E-2</v>
      </c>
      <c r="J47" s="1"/>
      <c r="K47" s="1"/>
      <c r="L47" s="1"/>
      <c r="M47" s="1"/>
      <c r="N47" s="1"/>
      <c r="O47" s="63" t="s">
        <v>266</v>
      </c>
      <c r="P47" s="57">
        <f>+P36+P46</f>
        <v>0.15694</v>
      </c>
      <c r="Q47" s="57">
        <f>+Q36+Q46</f>
        <v>9.1509999999999994E-2</v>
      </c>
      <c r="R47" s="57"/>
      <c r="S47" s="57">
        <f>+P47-H47</f>
        <v>0</v>
      </c>
      <c r="T47" s="57">
        <f>+Q47-I47</f>
        <v>0</v>
      </c>
      <c r="U47" s="58"/>
      <c r="V47" s="4"/>
      <c r="W47" s="1"/>
    </row>
    <row r="48" spans="1:23" ht="12.4" customHeight="1">
      <c r="A48" s="1"/>
      <c r="B48" s="17"/>
      <c r="C48" s="9"/>
      <c r="D48" s="1"/>
      <c r="E48" s="1"/>
      <c r="F48" s="56"/>
      <c r="G48" s="63"/>
      <c r="H48" s="57"/>
      <c r="I48" s="57"/>
      <c r="J48" s="1"/>
      <c r="K48" s="1"/>
      <c r="L48" s="1"/>
      <c r="M48" s="1"/>
      <c r="N48" s="1"/>
      <c r="O48" s="63"/>
      <c r="P48" s="57"/>
      <c r="Q48" s="57"/>
      <c r="R48" s="57"/>
      <c r="S48" s="57"/>
      <c r="T48" s="57"/>
      <c r="U48" s="58"/>
      <c r="V48" s="4"/>
      <c r="W48" s="1"/>
    </row>
    <row r="49" spans="1:23" ht="12.4" customHeight="1">
      <c r="A49" s="1"/>
      <c r="B49" s="53" t="s">
        <v>53</v>
      </c>
      <c r="C49" s="9"/>
      <c r="D49" s="1"/>
      <c r="E49" s="1"/>
      <c r="F49" s="56"/>
      <c r="G49" s="56"/>
      <c r="H49" s="57">
        <v>6.6299999999999996E-3</v>
      </c>
      <c r="I49" s="57">
        <f>H49</f>
        <v>6.6299999999999996E-3</v>
      </c>
      <c r="J49" s="1"/>
      <c r="K49" s="9" t="s">
        <v>53</v>
      </c>
      <c r="L49" s="1"/>
      <c r="M49" s="1"/>
      <c r="N49" s="1"/>
      <c r="O49" s="62"/>
      <c r="P49" s="57">
        <f t="shared" ref="P49:Q51" si="9">H49</f>
        <v>6.6299999999999996E-3</v>
      </c>
      <c r="Q49" s="57">
        <f t="shared" si="9"/>
        <v>6.6299999999999996E-3</v>
      </c>
      <c r="R49" s="57"/>
      <c r="S49" s="57">
        <f t="shared" ref="S49:T51" si="10">+P49-H49</f>
        <v>0</v>
      </c>
      <c r="T49" s="57">
        <f t="shared" si="10"/>
        <v>0</v>
      </c>
      <c r="U49" s="58"/>
      <c r="V49" s="4"/>
      <c r="W49" s="1"/>
    </row>
    <row r="50" spans="1:23" ht="12.4" customHeight="1">
      <c r="A50" s="1"/>
      <c r="B50" s="61" t="s">
        <v>122</v>
      </c>
      <c r="C50" s="1"/>
      <c r="D50" s="1"/>
      <c r="E50" s="1"/>
      <c r="F50" s="1"/>
      <c r="G50" s="56"/>
      <c r="H50" s="57">
        <v>1.4370000000000001E-2</v>
      </c>
      <c r="I50" s="57">
        <f>H50</f>
        <v>1.4370000000000001E-2</v>
      </c>
      <c r="J50" s="1"/>
      <c r="K50" s="40" t="s">
        <v>122</v>
      </c>
      <c r="L50" s="1"/>
      <c r="M50" s="1"/>
      <c r="N50" s="1"/>
      <c r="O50" s="1"/>
      <c r="P50" s="57">
        <f t="shared" si="9"/>
        <v>1.4370000000000001E-2</v>
      </c>
      <c r="Q50" s="57">
        <f t="shared" si="9"/>
        <v>1.4370000000000001E-2</v>
      </c>
      <c r="R50" s="57"/>
      <c r="S50" s="57">
        <f t="shared" si="10"/>
        <v>0</v>
      </c>
      <c r="T50" s="57">
        <f t="shared" si="10"/>
        <v>0</v>
      </c>
      <c r="U50" s="58"/>
      <c r="V50" s="4"/>
      <c r="W50" s="1"/>
    </row>
    <row r="51" spans="1:23" ht="12.4" customHeight="1">
      <c r="A51" s="1"/>
      <c r="B51" s="53" t="s">
        <v>52</v>
      </c>
      <c r="C51" s="9"/>
      <c r="D51" s="1"/>
      <c r="E51" s="1"/>
      <c r="F51" s="56"/>
      <c r="G51" s="56"/>
      <c r="H51" s="57">
        <f>+'Part A Delivery Rates '!L18</f>
        <v>2.717E-2</v>
      </c>
      <c r="I51" s="57">
        <f>H51</f>
        <v>2.717E-2</v>
      </c>
      <c r="J51" s="1"/>
      <c r="K51" s="9" t="s">
        <v>52</v>
      </c>
      <c r="L51" s="1"/>
      <c r="M51" s="1"/>
      <c r="N51" s="1"/>
      <c r="O51" s="62"/>
      <c r="P51" s="57">
        <f t="shared" si="9"/>
        <v>2.717E-2</v>
      </c>
      <c r="Q51" s="57">
        <f t="shared" si="9"/>
        <v>2.717E-2</v>
      </c>
      <c r="R51" s="57"/>
      <c r="S51" s="57">
        <f t="shared" si="10"/>
        <v>0</v>
      </c>
      <c r="T51" s="57">
        <f t="shared" si="10"/>
        <v>0</v>
      </c>
      <c r="U51" s="58"/>
      <c r="V51" s="4"/>
      <c r="W51" s="1"/>
    </row>
    <row r="52" spans="1:23" ht="12.4" customHeight="1">
      <c r="A52" s="1"/>
      <c r="B52" s="61"/>
      <c r="C52" s="1"/>
      <c r="D52" s="1"/>
      <c r="E52" s="1"/>
      <c r="F52" s="1"/>
      <c r="G52" s="56"/>
      <c r="H52" s="57"/>
      <c r="I52" s="57"/>
      <c r="J52" s="1"/>
      <c r="K52" s="40"/>
      <c r="L52" s="1"/>
      <c r="M52" s="1"/>
      <c r="N52" s="1"/>
      <c r="O52" s="1"/>
      <c r="P52" s="57"/>
      <c r="Q52" s="57"/>
      <c r="R52" s="57"/>
      <c r="S52" s="57"/>
      <c r="T52" s="57"/>
      <c r="U52" s="58"/>
      <c r="V52" s="4"/>
      <c r="W52" s="1"/>
    </row>
    <row r="53" spans="1:23" ht="12.4" customHeight="1">
      <c r="A53" s="1"/>
      <c r="B53" s="53" t="s">
        <v>48</v>
      </c>
      <c r="C53" s="9"/>
      <c r="D53" s="1"/>
      <c r="E53" s="1"/>
      <c r="F53" s="56"/>
      <c r="G53" s="56"/>
      <c r="H53" s="57">
        <f>0.00394-0.00211</f>
        <v>1.83E-3</v>
      </c>
      <c r="I53" s="57">
        <f>0.00394-0.00211</f>
        <v>1.83E-3</v>
      </c>
      <c r="J53" s="1"/>
      <c r="K53" s="40" t="s">
        <v>48</v>
      </c>
      <c r="L53" s="1"/>
      <c r="M53" s="1"/>
      <c r="N53" s="1"/>
      <c r="O53" s="56"/>
      <c r="P53" s="57">
        <f>0.00394-0.00211</f>
        <v>1.83E-3</v>
      </c>
      <c r="Q53" s="555">
        <f>0.0014-0.00075</f>
        <v>6.4999999999999997E-4</v>
      </c>
      <c r="R53" s="57"/>
      <c r="S53" s="57">
        <f t="shared" ref="S53:T55" si="11">+P53-H53</f>
        <v>0</v>
      </c>
      <c r="T53" s="57">
        <f t="shared" si="11"/>
        <v>-1.1800000000000001E-3</v>
      </c>
      <c r="U53" s="58"/>
      <c r="V53" s="4"/>
      <c r="W53" s="1"/>
    </row>
    <row r="54" spans="1:23" ht="12.4" customHeight="1">
      <c r="A54" s="1"/>
      <c r="B54" s="17" t="s">
        <v>49</v>
      </c>
      <c r="C54" s="1"/>
      <c r="D54" s="1"/>
      <c r="E54" s="1"/>
      <c r="F54" s="1"/>
      <c r="G54" s="1"/>
      <c r="H54" s="59">
        <v>4.018E-2</v>
      </c>
      <c r="I54" s="59">
        <v>4.018E-2</v>
      </c>
      <c r="J54" s="1"/>
      <c r="K54" s="1" t="s">
        <v>49</v>
      </c>
      <c r="L54" s="1"/>
      <c r="M54" s="1"/>
      <c r="N54" s="1"/>
      <c r="O54" s="1"/>
      <c r="P54" s="59">
        <v>4.018E-2</v>
      </c>
      <c r="Q54" s="556">
        <v>1.434E-2</v>
      </c>
      <c r="R54" s="59"/>
      <c r="S54" s="59">
        <f t="shared" si="11"/>
        <v>0</v>
      </c>
      <c r="T54" s="59">
        <f t="shared" si="11"/>
        <v>-2.5840000000000002E-2</v>
      </c>
      <c r="U54" s="60"/>
      <c r="V54" s="4"/>
      <c r="W54" s="1"/>
    </row>
    <row r="55" spans="1:23" ht="12.4" customHeight="1">
      <c r="A55" s="1"/>
      <c r="B55" s="17"/>
      <c r="C55" s="1"/>
      <c r="D55" s="1"/>
      <c r="E55" s="1"/>
      <c r="F55" s="1"/>
      <c r="G55" s="28" t="s">
        <v>267</v>
      </c>
      <c r="H55" s="57">
        <f>+H54+H53</f>
        <v>4.2009999999999999E-2</v>
      </c>
      <c r="I55" s="57">
        <f>+I54+I53</f>
        <v>4.2009999999999999E-2</v>
      </c>
      <c r="J55" s="1"/>
      <c r="K55" s="1"/>
      <c r="L55" s="1"/>
      <c r="M55" s="1"/>
      <c r="N55" s="1"/>
      <c r="O55" s="28" t="s">
        <v>267</v>
      </c>
      <c r="P55" s="57">
        <f>+P54+P53</f>
        <v>4.2009999999999999E-2</v>
      </c>
      <c r="Q55" s="555">
        <f>+Q54+Q53</f>
        <v>1.499E-2</v>
      </c>
      <c r="R55" s="57"/>
      <c r="S55" s="57">
        <f t="shared" si="11"/>
        <v>0</v>
      </c>
      <c r="T55" s="57">
        <f t="shared" si="11"/>
        <v>-2.7019999999999999E-2</v>
      </c>
      <c r="U55" s="58"/>
      <c r="V55" s="4"/>
      <c r="W55" s="1"/>
    </row>
    <row r="56" spans="1:23" ht="12.4" customHeight="1">
      <c r="A56" s="1"/>
      <c r="B56" s="61"/>
      <c r="C56" s="1"/>
      <c r="D56" s="1"/>
      <c r="E56" s="1"/>
      <c r="F56" s="1"/>
      <c r="G56" s="56"/>
      <c r="H56" s="57"/>
      <c r="I56" s="57"/>
      <c r="J56" s="1"/>
      <c r="K56" s="40"/>
      <c r="L56" s="1"/>
      <c r="M56" s="1"/>
      <c r="N56" s="1"/>
      <c r="O56" s="1"/>
      <c r="P56" s="57"/>
      <c r="Q56" s="57"/>
      <c r="R56" s="57"/>
      <c r="S56" s="57"/>
      <c r="T56" s="57"/>
      <c r="U56" s="58"/>
      <c r="V56" s="4"/>
      <c r="W56" s="1"/>
    </row>
    <row r="57" spans="1:23" ht="12.4" customHeight="1">
      <c r="A57" s="1"/>
      <c r="B57" s="53" t="s">
        <v>269</v>
      </c>
      <c r="C57" s="1"/>
      <c r="D57" s="1"/>
      <c r="E57" s="1"/>
      <c r="F57" s="1"/>
      <c r="G57" s="56"/>
      <c r="H57" s="57">
        <v>2.5000000000000001E-3</v>
      </c>
      <c r="I57" s="57">
        <f>H57</f>
        <v>2.5000000000000001E-3</v>
      </c>
      <c r="J57" s="1"/>
      <c r="K57" s="9" t="s">
        <v>269</v>
      </c>
      <c r="L57" s="1"/>
      <c r="M57" s="1"/>
      <c r="N57" s="1"/>
      <c r="O57" s="1"/>
      <c r="P57" s="57">
        <f>H57</f>
        <v>2.5000000000000001E-3</v>
      </c>
      <c r="Q57" s="57">
        <f>I57</f>
        <v>2.5000000000000001E-3</v>
      </c>
      <c r="R57" s="57"/>
      <c r="S57" s="57">
        <f t="shared" ref="S57:T59" si="12">+P57-H57</f>
        <v>0</v>
      </c>
      <c r="T57" s="57">
        <f t="shared" si="12"/>
        <v>0</v>
      </c>
      <c r="U57" s="58"/>
      <c r="V57" s="4"/>
      <c r="W57" s="1"/>
    </row>
    <row r="58" spans="1:23" ht="12.4" customHeight="1">
      <c r="A58" s="1"/>
      <c r="B58" s="61" t="s">
        <v>116</v>
      </c>
      <c r="C58" s="9"/>
      <c r="D58" s="1"/>
      <c r="E58" s="1"/>
      <c r="F58" s="56"/>
      <c r="G58" s="56"/>
      <c r="H58" s="59">
        <v>2.3720000000000001E-2</v>
      </c>
      <c r="I58" s="59">
        <f>H58</f>
        <v>2.3720000000000001E-2</v>
      </c>
      <c r="J58" s="1"/>
      <c r="K58" s="40" t="s">
        <v>116</v>
      </c>
      <c r="L58" s="1"/>
      <c r="M58" s="1"/>
      <c r="N58" s="1"/>
      <c r="O58" s="62"/>
      <c r="P58" s="59">
        <f>H58</f>
        <v>2.3720000000000001E-2</v>
      </c>
      <c r="Q58" s="59">
        <f>I58</f>
        <v>2.3720000000000001E-2</v>
      </c>
      <c r="R58" s="4"/>
      <c r="S58" s="59">
        <f t="shared" si="12"/>
        <v>0</v>
      </c>
      <c r="T58" s="59">
        <f t="shared" si="12"/>
        <v>0</v>
      </c>
      <c r="U58" s="58"/>
      <c r="V58" s="4"/>
      <c r="W58" s="1"/>
    </row>
    <row r="59" spans="1:23" ht="12.4" customHeight="1">
      <c r="A59" s="1"/>
      <c r="B59" s="61"/>
      <c r="C59" s="4"/>
      <c r="D59" s="4"/>
      <c r="E59" s="4"/>
      <c r="F59" s="4"/>
      <c r="G59" s="56" t="s">
        <v>265</v>
      </c>
      <c r="H59" s="57">
        <f>SUM(H57:H58)</f>
        <v>2.622E-2</v>
      </c>
      <c r="I59" s="57">
        <f>SUM(I57:I58)</f>
        <v>2.622E-2</v>
      </c>
      <c r="J59" s="4"/>
      <c r="K59" s="4"/>
      <c r="L59" s="4"/>
      <c r="M59" s="4"/>
      <c r="N59" s="4"/>
      <c r="O59" s="56" t="s">
        <v>265</v>
      </c>
      <c r="P59" s="57">
        <f>SUM(P57:P58)</f>
        <v>2.622E-2</v>
      </c>
      <c r="Q59" s="57">
        <f>SUM(Q57:Q58)</f>
        <v>2.622E-2</v>
      </c>
      <c r="R59" s="57"/>
      <c r="S59" s="57">
        <f t="shared" si="12"/>
        <v>0</v>
      </c>
      <c r="T59" s="57">
        <f t="shared" si="12"/>
        <v>0</v>
      </c>
      <c r="U59" s="58"/>
      <c r="V59" s="4"/>
      <c r="W59" s="1"/>
    </row>
    <row r="60" spans="1:23" ht="12.4" customHeight="1">
      <c r="A60" s="1"/>
      <c r="B60" s="61"/>
      <c r="C60" s="4"/>
      <c r="D60" s="4"/>
      <c r="E60" s="4"/>
      <c r="F60" s="4"/>
      <c r="G60" s="56"/>
      <c r="H60" s="57"/>
      <c r="I60" s="57"/>
      <c r="J60" s="4"/>
      <c r="K60" s="4"/>
      <c r="L60" s="4"/>
      <c r="M60" s="4"/>
      <c r="N60" s="4"/>
      <c r="O60" s="56"/>
      <c r="P60" s="57"/>
      <c r="Q60" s="57"/>
      <c r="R60" s="57"/>
      <c r="S60" s="57"/>
      <c r="T60" s="57"/>
      <c r="U60" s="58"/>
      <c r="V60" s="4"/>
      <c r="W60" s="1"/>
    </row>
    <row r="61" spans="1:23" ht="12.4" customHeight="1">
      <c r="A61" s="1"/>
      <c r="B61" s="53" t="s">
        <v>270</v>
      </c>
      <c r="C61" s="9"/>
      <c r="D61" s="1"/>
      <c r="E61" s="1"/>
      <c r="F61" s="56"/>
      <c r="G61" s="56"/>
      <c r="H61" s="59">
        <v>5.0000000000000001E-4</v>
      </c>
      <c r="I61" s="59">
        <f>H61</f>
        <v>5.0000000000000001E-4</v>
      </c>
      <c r="J61" s="1"/>
      <c r="K61" s="9" t="s">
        <v>270</v>
      </c>
      <c r="L61" s="1"/>
      <c r="M61" s="1"/>
      <c r="N61" s="1"/>
      <c r="O61" s="62"/>
      <c r="P61" s="59">
        <f>H61</f>
        <v>5.0000000000000001E-4</v>
      </c>
      <c r="Q61" s="59">
        <f>I61</f>
        <v>5.0000000000000001E-4</v>
      </c>
      <c r="R61" s="59"/>
      <c r="S61" s="59">
        <f t="shared" ref="S61:T62" si="13">+P61-H61</f>
        <v>0</v>
      </c>
      <c r="T61" s="59">
        <f t="shared" si="13"/>
        <v>0</v>
      </c>
      <c r="U61" s="58"/>
      <c r="V61" s="4"/>
      <c r="W61" s="1"/>
    </row>
    <row r="62" spans="1:23" ht="13.15" customHeight="1">
      <c r="B62" s="215"/>
      <c r="G62" s="217" t="s">
        <v>264</v>
      </c>
      <c r="H62" s="57">
        <f>+H55+H47+H49+H50+H59+H61+H51</f>
        <v>0.27383999999999997</v>
      </c>
      <c r="I62" s="57">
        <f>+I55+I47+I49+I50+I59+I61+I51</f>
        <v>0.20840999999999998</v>
      </c>
      <c r="O62" s="217" t="s">
        <v>264</v>
      </c>
      <c r="P62" s="57">
        <f>+P55+P47+P49+P50+P59+P61+P51</f>
        <v>0.27383999999999997</v>
      </c>
      <c r="Q62" s="57">
        <f>+Q55+Q47+Q49+Q50+Q59+Q61+Q51</f>
        <v>0.18139</v>
      </c>
      <c r="S62" s="57">
        <f t="shared" si="13"/>
        <v>0</v>
      </c>
      <c r="T62" s="57">
        <f t="shared" si="13"/>
        <v>-2.7019999999999988E-2</v>
      </c>
      <c r="U62" s="219"/>
      <c r="V62" s="215"/>
    </row>
    <row r="63" spans="1:23" ht="12.4" customHeight="1">
      <c r="A63" s="1"/>
      <c r="B63" s="61"/>
      <c r="C63" s="1"/>
      <c r="D63" s="1"/>
      <c r="E63" s="1"/>
      <c r="F63" s="1"/>
      <c r="G63" s="56"/>
      <c r="H63" s="57"/>
      <c r="I63" s="57"/>
      <c r="J63" s="1"/>
      <c r="K63" s="1"/>
      <c r="L63" s="1"/>
      <c r="M63" s="1"/>
      <c r="N63" s="1"/>
      <c r="O63" s="62"/>
      <c r="P63" s="57"/>
      <c r="Q63" s="57"/>
      <c r="R63" s="57"/>
      <c r="S63" s="57"/>
      <c r="T63" s="57"/>
      <c r="U63" s="58"/>
      <c r="V63" s="4"/>
      <c r="W63" s="1"/>
    </row>
    <row r="64" spans="1:23" ht="12.4" customHeight="1">
      <c r="A64" s="1"/>
      <c r="B64" s="64" t="s">
        <v>61</v>
      </c>
      <c r="C64" s="1"/>
      <c r="D64" s="1"/>
      <c r="E64" s="1"/>
      <c r="F64" s="56"/>
      <c r="G64" s="56"/>
      <c r="H64" s="57"/>
      <c r="I64" s="57"/>
      <c r="J64" s="1"/>
      <c r="K64" s="31" t="s">
        <v>61</v>
      </c>
      <c r="L64" s="1"/>
      <c r="M64" s="1"/>
      <c r="N64" s="1"/>
      <c r="O64" s="62"/>
      <c r="P64" s="57"/>
      <c r="Q64" s="57"/>
      <c r="R64" s="57"/>
      <c r="S64" s="57"/>
      <c r="T64" s="57"/>
      <c r="U64" s="58"/>
      <c r="V64" s="4"/>
      <c r="W64" s="1"/>
    </row>
    <row r="65" spans="1:23" ht="12.4" customHeight="1">
      <c r="A65" s="1"/>
      <c r="B65" s="17" t="s">
        <v>118</v>
      </c>
      <c r="C65" s="1"/>
      <c r="D65" s="1"/>
      <c r="E65" s="1"/>
      <c r="F65" s="49"/>
      <c r="G65" s="56"/>
      <c r="H65" s="59">
        <v>0.16247</v>
      </c>
      <c r="I65" s="59">
        <f>H65</f>
        <v>0.16247</v>
      </c>
      <c r="J65" s="1"/>
      <c r="K65" s="1" t="s">
        <v>118</v>
      </c>
      <c r="L65" s="1"/>
      <c r="M65" s="1"/>
      <c r="N65" s="1"/>
      <c r="O65" s="49"/>
      <c r="P65" s="59">
        <f>H65</f>
        <v>0.16247</v>
      </c>
      <c r="Q65" s="59">
        <f>I65</f>
        <v>0.16247</v>
      </c>
      <c r="R65" s="57"/>
      <c r="S65" s="57">
        <f>+P65-H65</f>
        <v>0</v>
      </c>
      <c r="T65" s="57">
        <f>+Q65-I65</f>
        <v>0</v>
      </c>
      <c r="U65" s="58"/>
      <c r="V65" s="4"/>
      <c r="W65" s="62"/>
    </row>
    <row r="66" spans="1:23" ht="12.4" customHeight="1">
      <c r="A66" s="1"/>
      <c r="B66" s="65"/>
      <c r="C66" s="1"/>
      <c r="D66" s="1"/>
      <c r="E66" s="1"/>
      <c r="F66" s="220"/>
      <c r="G66" s="1"/>
      <c r="H66" s="50"/>
      <c r="I66" s="50"/>
      <c r="J66" s="1"/>
      <c r="K66" s="1"/>
      <c r="L66" s="1"/>
      <c r="M66" s="1"/>
      <c r="N66" s="1"/>
      <c r="O66" s="66"/>
      <c r="P66" s="50"/>
      <c r="Q66" s="50"/>
      <c r="R66" s="50"/>
      <c r="S66" s="50"/>
      <c r="T66" s="50"/>
      <c r="U66" s="67"/>
      <c r="V66" s="4"/>
      <c r="W66" s="1"/>
    </row>
    <row r="67" spans="1:23" ht="12.4" customHeight="1">
      <c r="A67" s="1"/>
      <c r="B67" s="17"/>
      <c r="C67" s="4"/>
      <c r="D67" s="1"/>
      <c r="E67" s="1"/>
      <c r="F67" s="1"/>
      <c r="G67" s="66" t="s">
        <v>3</v>
      </c>
      <c r="H67" s="57">
        <f>+H62+H65</f>
        <v>0.43630999999999998</v>
      </c>
      <c r="I67" s="57">
        <f>+I62+I65</f>
        <v>0.37087999999999999</v>
      </c>
      <c r="J67" s="1"/>
      <c r="K67" s="1"/>
      <c r="L67" s="1"/>
      <c r="M67" s="1"/>
      <c r="N67" s="1"/>
      <c r="O67" s="66" t="s">
        <v>3</v>
      </c>
      <c r="P67" s="57">
        <f>+P62+P65</f>
        <v>0.43630999999999998</v>
      </c>
      <c r="Q67" s="57">
        <f>+Q62+Q65</f>
        <v>0.34386</v>
      </c>
      <c r="R67" s="57"/>
      <c r="S67" s="57">
        <f>+P67-H67</f>
        <v>0</v>
      </c>
      <c r="T67" s="57">
        <f>+Q67-I67</f>
        <v>-2.7019999999999988E-2</v>
      </c>
      <c r="U67" s="58"/>
      <c r="V67" s="4"/>
      <c r="W67" s="62"/>
    </row>
    <row r="68" spans="1:23" ht="12.4" customHeight="1">
      <c r="A68" s="1"/>
      <c r="B68" s="68"/>
      <c r="C68" s="69"/>
      <c r="D68" s="69"/>
      <c r="E68" s="69"/>
      <c r="F68" s="70"/>
      <c r="G68" s="70"/>
      <c r="H68" s="71"/>
      <c r="I68" s="71"/>
      <c r="J68" s="69"/>
      <c r="K68" s="72"/>
      <c r="L68" s="69"/>
      <c r="M68" s="69"/>
      <c r="N68" s="69"/>
      <c r="O68" s="70"/>
      <c r="P68" s="71"/>
      <c r="Q68" s="71"/>
      <c r="R68" s="71"/>
      <c r="S68" s="71"/>
      <c r="T68" s="71"/>
      <c r="U68" s="73"/>
      <c r="V68" s="1"/>
      <c r="W68" s="1"/>
    </row>
    <row r="69" spans="1:23" ht="12.4" customHeight="1">
      <c r="A69" s="1"/>
      <c r="B69" s="4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57"/>
      <c r="T69" s="57"/>
      <c r="U69" s="1"/>
      <c r="V69" s="1"/>
      <c r="W69" s="1"/>
    </row>
    <row r="70" spans="1:23" ht="12.4" hidden="1" customHeight="1">
      <c r="A70" s="1"/>
      <c r="B70" s="74" t="s">
        <v>22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57"/>
      <c r="T70" s="57"/>
      <c r="U70" s="1"/>
      <c r="V70" s="1"/>
      <c r="W70" s="1"/>
    </row>
    <row r="71" spans="1:23" ht="12.4" hidden="1" customHeight="1">
      <c r="A71" s="1"/>
      <c r="B71" s="40" t="s">
        <v>22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57"/>
      <c r="T71" s="57"/>
      <c r="U71" s="1"/>
      <c r="V71" s="1"/>
      <c r="W71" s="1"/>
    </row>
    <row r="72" spans="1:23" ht="12.4" hidden="1" customHeight="1">
      <c r="A72" s="1"/>
      <c r="B72" s="40" t="s">
        <v>22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57"/>
      <c r="T72" s="57"/>
      <c r="U72" s="1"/>
      <c r="V72" s="1"/>
      <c r="W72" s="1"/>
    </row>
  </sheetData>
  <pageMargins left="0.7" right="0.7" top="0.75" bottom="0.75" header="0.3" footer="0.3"/>
  <pageSetup scale="56" orientation="portrait" horizontalDpi="1200" verticalDpi="1200" r:id="rId1"/>
  <headerFooter>
    <oddHeader>&amp;RFitchburg Gas &amp; Electric Light Company
(Electric Division)
D.P.U. 25-08
&amp;F
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A09B-E737-477C-AC6A-5AB30D48CF91}">
  <sheetPr codeName="Sheet41">
    <tabColor theme="9" tint="0.59999389629810485"/>
    <pageSetUpPr fitToPage="1"/>
  </sheetPr>
  <dimension ref="A1:X77"/>
  <sheetViews>
    <sheetView tabSelected="1" zoomScaleNormal="100" zoomScaleSheetLayoutView="100" workbookViewId="0">
      <selection activeCell="G44" sqref="G44"/>
    </sheetView>
  </sheetViews>
  <sheetFormatPr defaultColWidth="9.140625" defaultRowHeight="13.15" customHeight="1"/>
  <cols>
    <col min="1" max="2" width="3.7109375" customWidth="1"/>
    <col min="3" max="3" width="11.7109375" customWidth="1"/>
    <col min="4" max="4" width="3.7109375" customWidth="1"/>
    <col min="5" max="5" width="15.7109375" customWidth="1"/>
    <col min="6" max="6" width="12.5703125" customWidth="1"/>
    <col min="7" max="7" width="3.7109375" customWidth="1"/>
    <col min="8" max="9" width="14.42578125" customWidth="1"/>
    <col min="10" max="10" width="3.7109375" customWidth="1"/>
    <col min="11" max="11" width="15.28515625" customWidth="1"/>
    <col min="12" max="12" width="3.7109375" customWidth="1"/>
    <col min="13" max="13" width="11" customWidth="1"/>
    <col min="14" max="14" width="3.7109375" customWidth="1"/>
    <col min="15" max="15" width="10.7109375" customWidth="1"/>
    <col min="16" max="17" width="12.42578125" customWidth="1"/>
    <col min="18" max="18" width="1.7109375" customWidth="1"/>
    <col min="19" max="20" width="10.7109375" customWidth="1"/>
    <col min="21" max="21" width="3.7109375" customWidth="1"/>
    <col min="22" max="22" width="2.42578125" customWidth="1"/>
    <col min="23" max="23" width="9.42578125" bestFit="1" customWidth="1"/>
  </cols>
  <sheetData>
    <row r="1" spans="1:23" ht="12.4" customHeight="1">
      <c r="A1" s="1"/>
      <c r="B1" s="1"/>
      <c r="C1" s="1"/>
      <c r="D1" s="1"/>
      <c r="E1" s="1"/>
      <c r="F1" s="1"/>
      <c r="G1" s="2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.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2.4" customHeight="1">
      <c r="A3" s="1"/>
      <c r="B3" s="5" t="s">
        <v>31</v>
      </c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9"/>
      <c r="W3" s="9"/>
    </row>
    <row r="4" spans="1:23" ht="12.4" customHeight="1">
      <c r="A4" s="1"/>
      <c r="B4" s="79" t="s">
        <v>324</v>
      </c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9"/>
      <c r="W4" s="9"/>
    </row>
    <row r="5" spans="1:23" ht="12.4" customHeight="1">
      <c r="A5" s="1"/>
      <c r="B5" s="13" t="s">
        <v>345</v>
      </c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6"/>
      <c r="V5" s="9"/>
      <c r="W5" s="9"/>
    </row>
    <row r="6" spans="1:23" ht="12.4" customHeight="1">
      <c r="A6" s="1"/>
      <c r="B6" s="1"/>
      <c r="C6" s="1"/>
      <c r="D6" s="1"/>
      <c r="E6" s="1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2.4" customHeight="1">
      <c r="A7" s="1"/>
      <c r="B7" s="18"/>
      <c r="C7" s="19"/>
      <c r="D7" s="19"/>
      <c r="E7" s="362"/>
      <c r="F7" s="20"/>
      <c r="G7" s="21"/>
      <c r="H7" s="22"/>
      <c r="I7" s="22"/>
      <c r="J7" s="22"/>
      <c r="K7" s="22"/>
      <c r="L7" s="22"/>
      <c r="M7" s="22"/>
      <c r="N7" s="518"/>
      <c r="O7" s="19"/>
      <c r="P7" s="19"/>
      <c r="Q7" s="19"/>
      <c r="R7" s="19"/>
      <c r="S7" s="19"/>
      <c r="T7" s="19"/>
      <c r="U7" s="23"/>
      <c r="V7" s="1"/>
      <c r="W7" s="1"/>
    </row>
    <row r="8" spans="1:23" ht="12.4" customHeight="1">
      <c r="A8" s="2"/>
      <c r="B8" s="17"/>
      <c r="C8" s="1"/>
      <c r="D8" s="2"/>
      <c r="F8" s="24"/>
      <c r="G8" s="24"/>
      <c r="H8" s="24" t="s">
        <v>40</v>
      </c>
      <c r="I8" s="24" t="s">
        <v>41</v>
      </c>
      <c r="J8" s="24"/>
      <c r="K8" s="24"/>
      <c r="L8" s="24"/>
      <c r="M8" s="24" t="s">
        <v>42</v>
      </c>
      <c r="N8" s="26"/>
      <c r="O8" s="2"/>
      <c r="P8" s="2"/>
      <c r="Q8" s="2"/>
      <c r="R8" s="1"/>
      <c r="S8" s="2"/>
      <c r="T8" s="2"/>
      <c r="U8" s="27"/>
      <c r="V8" s="2"/>
      <c r="W8" s="2"/>
    </row>
    <row r="9" spans="1:23" ht="12.4" customHeight="1">
      <c r="A9" s="2"/>
      <c r="B9" s="17"/>
      <c r="C9" s="29"/>
      <c r="D9" s="2"/>
      <c r="E9" s="516" t="s">
        <v>326</v>
      </c>
      <c r="F9" s="24" t="s">
        <v>43</v>
      </c>
      <c r="G9" s="24"/>
      <c r="H9" s="24" t="s">
        <v>44</v>
      </c>
      <c r="I9" s="24" t="s">
        <v>44</v>
      </c>
      <c r="J9" s="24"/>
      <c r="K9" s="24" t="s">
        <v>3</v>
      </c>
      <c r="L9" s="24"/>
      <c r="M9" s="24" t="s">
        <v>3</v>
      </c>
      <c r="N9" s="30"/>
      <c r="O9" s="2"/>
      <c r="P9" s="2"/>
      <c r="Q9" s="2"/>
      <c r="R9" s="29"/>
      <c r="S9" s="2"/>
      <c r="T9" s="2"/>
      <c r="U9" s="27"/>
      <c r="V9" s="2"/>
      <c r="W9" s="2"/>
    </row>
    <row r="10" spans="1:23" ht="12.4" customHeight="1">
      <c r="A10" s="31"/>
      <c r="B10" s="17"/>
      <c r="C10" s="32"/>
      <c r="D10" s="31"/>
      <c r="E10" s="517" t="s">
        <v>327</v>
      </c>
      <c r="F10" s="33" t="s">
        <v>46</v>
      </c>
      <c r="G10" s="33"/>
      <c r="H10" s="33" t="s">
        <v>20</v>
      </c>
      <c r="I10" s="33" t="s">
        <v>20</v>
      </c>
      <c r="J10" s="33"/>
      <c r="K10" s="33" t="s">
        <v>39</v>
      </c>
      <c r="L10" s="33"/>
      <c r="M10" s="33" t="s">
        <v>39</v>
      </c>
      <c r="N10" s="30"/>
      <c r="O10" s="2"/>
      <c r="P10" s="31"/>
      <c r="Q10" s="31"/>
      <c r="R10" s="32"/>
      <c r="S10" s="31"/>
      <c r="T10" s="31"/>
      <c r="U10" s="34"/>
      <c r="V10" s="31"/>
      <c r="W10" s="31"/>
    </row>
    <row r="11" spans="1:23" ht="12.4" customHeight="1">
      <c r="A11" s="1"/>
      <c r="B11" s="17"/>
      <c r="C11" s="1"/>
      <c r="D11" s="1"/>
      <c r="F11" s="25"/>
      <c r="G11" s="25"/>
      <c r="H11" s="82"/>
      <c r="I11" s="82"/>
      <c r="J11" s="25"/>
      <c r="K11" s="25"/>
      <c r="L11" s="25"/>
      <c r="M11" s="25"/>
      <c r="N11" s="30"/>
      <c r="O11" s="2"/>
      <c r="P11" s="1"/>
      <c r="Q11" s="1"/>
      <c r="R11" s="1"/>
      <c r="S11" s="1"/>
      <c r="T11" s="1"/>
      <c r="U11" s="35"/>
      <c r="V11" s="1"/>
      <c r="W11" s="1"/>
    </row>
    <row r="12" spans="1:23" ht="12.4" customHeight="1">
      <c r="A12" s="1"/>
      <c r="B12" s="17"/>
      <c r="C12" s="519"/>
      <c r="D12" s="1"/>
      <c r="E12" s="520" t="s">
        <v>328</v>
      </c>
      <c r="F12" s="81">
        <v>2137.04</v>
      </c>
      <c r="G12" s="25"/>
      <c r="H12" s="37">
        <f>$I$34+F12*$I$71</f>
        <v>484.05123711999994</v>
      </c>
      <c r="I12" s="37">
        <f>$Q$34+F12*$Q$71</f>
        <v>449.40554464000002</v>
      </c>
      <c r="J12" s="25"/>
      <c r="K12" s="37">
        <f>I12-H12</f>
        <v>-34.645692479999923</v>
      </c>
      <c r="L12" s="25"/>
      <c r="M12" s="38">
        <f>I12/H12-1</f>
        <v>-7.1574432256664156E-2</v>
      </c>
      <c r="N12" s="30"/>
      <c r="O12" s="2"/>
      <c r="P12" s="1"/>
      <c r="Q12" s="1"/>
      <c r="R12" s="519"/>
      <c r="S12" s="1"/>
      <c r="T12" s="1"/>
      <c r="U12" s="35"/>
      <c r="V12" s="1"/>
      <c r="W12" s="39"/>
    </row>
    <row r="13" spans="1:23" ht="12.4" customHeight="1">
      <c r="A13" s="1"/>
      <c r="B13" s="17"/>
      <c r="C13" s="519"/>
      <c r="D13" s="1"/>
      <c r="E13" s="520" t="s">
        <v>329</v>
      </c>
      <c r="F13" s="81">
        <v>2019.85</v>
      </c>
      <c r="G13" s="25"/>
      <c r="H13" s="37">
        <f>$I$34+F13*$I$71</f>
        <v>457.97318079999991</v>
      </c>
      <c r="I13" s="37">
        <f t="shared" ref="I13:I15" si="0">$Q$34+F13*$Q$71</f>
        <v>425.22737259999997</v>
      </c>
      <c r="J13" s="25"/>
      <c r="K13" s="37">
        <f t="shared" ref="K13:K27" si="1">I13-H13</f>
        <v>-32.745808199999942</v>
      </c>
      <c r="L13" s="25"/>
      <c r="M13" s="38">
        <f t="shared" ref="M13:M27" si="2">I13/H13-1</f>
        <v>-7.1501584749566915E-2</v>
      </c>
      <c r="N13" s="30"/>
      <c r="O13" s="2"/>
      <c r="P13" s="1"/>
      <c r="Q13" s="1"/>
      <c r="R13" s="519"/>
      <c r="S13" s="1"/>
      <c r="T13" s="1"/>
      <c r="U13" s="35"/>
      <c r="V13" s="1"/>
      <c r="W13" s="39"/>
    </row>
    <row r="14" spans="1:23" ht="12.4" customHeight="1">
      <c r="A14" s="1"/>
      <c r="B14" s="17"/>
      <c r="C14" s="519"/>
      <c r="D14" s="1"/>
      <c r="E14" s="520" t="s">
        <v>330</v>
      </c>
      <c r="F14" s="81">
        <v>1632.76</v>
      </c>
      <c r="G14" s="25"/>
      <c r="H14" s="37">
        <f>$I$34+F14*$I$71</f>
        <v>371.83481727999998</v>
      </c>
      <c r="I14" s="37">
        <f t="shared" si="0"/>
        <v>345.36451216</v>
      </c>
      <c r="J14" s="25"/>
      <c r="K14" s="37">
        <f t="shared" si="1"/>
        <v>-26.470305119999978</v>
      </c>
      <c r="L14" s="25"/>
      <c r="M14" s="38">
        <f t="shared" si="2"/>
        <v>-7.1188344635481626E-2</v>
      </c>
      <c r="N14" s="30"/>
      <c r="O14" s="2"/>
      <c r="P14" s="1"/>
      <c r="Q14" s="1"/>
      <c r="R14" s="519"/>
      <c r="S14" s="1"/>
      <c r="T14" s="1"/>
      <c r="U14" s="35"/>
      <c r="V14" s="1"/>
      <c r="W14" s="1"/>
    </row>
    <row r="15" spans="1:23" ht="12.4" customHeight="1">
      <c r="A15" s="1"/>
      <c r="B15" s="17"/>
      <c r="C15" s="519"/>
      <c r="D15" s="1"/>
      <c r="E15" s="520" t="s">
        <v>331</v>
      </c>
      <c r="F15" s="81">
        <v>1130.1600000000001</v>
      </c>
      <c r="G15" s="25"/>
      <c r="H15" s="37">
        <f>$I$34+F15*$I$71</f>
        <v>259.99224447999995</v>
      </c>
      <c r="I15" s="37">
        <f t="shared" si="0"/>
        <v>241.67009056000001</v>
      </c>
      <c r="J15" s="25"/>
      <c r="K15" s="37">
        <f t="shared" si="1"/>
        <v>-18.322153919999948</v>
      </c>
      <c r="L15" s="25"/>
      <c r="M15" s="38">
        <f t="shared" si="2"/>
        <v>-7.0471924870856628E-2</v>
      </c>
      <c r="N15" s="30"/>
      <c r="O15" s="2"/>
      <c r="P15" s="1"/>
      <c r="Q15" s="1"/>
      <c r="R15" s="519"/>
      <c r="S15" s="1"/>
      <c r="T15" s="1"/>
      <c r="U15" s="35"/>
      <c r="V15" s="1"/>
      <c r="W15" s="1"/>
    </row>
    <row r="16" spans="1:23" ht="12.4" customHeight="1">
      <c r="A16" s="1"/>
      <c r="B16" s="17"/>
      <c r="C16" s="519"/>
      <c r="D16" s="1"/>
      <c r="E16" t="s">
        <v>332</v>
      </c>
      <c r="F16" s="81">
        <v>434.82</v>
      </c>
      <c r="G16" s="25"/>
      <c r="H16" s="37">
        <f t="shared" ref="H16:H21" si="3">$H$34+F16*$H$71</f>
        <v>122.32978851999998</v>
      </c>
      <c r="I16" s="37">
        <f>$P$34+F16*$P$71</f>
        <v>122.32978851999998</v>
      </c>
      <c r="J16" s="25"/>
      <c r="K16" s="37">
        <f t="shared" si="1"/>
        <v>0</v>
      </c>
      <c r="L16" s="25"/>
      <c r="M16" s="38">
        <f t="shared" si="2"/>
        <v>0</v>
      </c>
      <c r="N16" s="30"/>
      <c r="O16" s="2"/>
      <c r="P16" s="1"/>
      <c r="Q16" s="1"/>
      <c r="R16" s="519"/>
      <c r="S16" s="1"/>
      <c r="T16" s="1"/>
      <c r="U16" s="35"/>
      <c r="V16" s="1"/>
      <c r="W16" s="1"/>
    </row>
    <row r="17" spans="1:24" ht="12.4" customHeight="1">
      <c r="A17" s="1"/>
      <c r="B17" s="17"/>
      <c r="C17" s="519"/>
      <c r="D17" s="1"/>
      <c r="E17" t="s">
        <v>333</v>
      </c>
      <c r="F17" s="81">
        <v>472.29</v>
      </c>
      <c r="G17" s="25"/>
      <c r="H17" s="37">
        <f t="shared" si="3"/>
        <v>132.13890993999999</v>
      </c>
      <c r="I17" s="37">
        <f t="shared" ref="I17:I21" si="4">$P$34+F17*$P$71</f>
        <v>132.13890993999999</v>
      </c>
      <c r="J17" s="25"/>
      <c r="K17" s="37">
        <f t="shared" si="1"/>
        <v>0</v>
      </c>
      <c r="L17" s="25"/>
      <c r="M17" s="38">
        <f t="shared" si="2"/>
        <v>0</v>
      </c>
      <c r="N17" s="30"/>
      <c r="O17" s="2"/>
      <c r="P17" s="1"/>
      <c r="Q17" s="1"/>
      <c r="R17" s="519"/>
      <c r="S17" s="1"/>
      <c r="T17" s="1"/>
      <c r="U17" s="35"/>
      <c r="V17" s="1"/>
      <c r="W17" s="1"/>
    </row>
    <row r="18" spans="1:24" ht="12.4" customHeight="1">
      <c r="A18" s="1"/>
      <c r="B18" s="17"/>
      <c r="C18" s="519"/>
      <c r="D18" s="1"/>
      <c r="E18" t="s">
        <v>334</v>
      </c>
      <c r="F18" s="81">
        <v>596.23</v>
      </c>
      <c r="G18" s="25"/>
      <c r="H18" s="37">
        <f t="shared" si="3"/>
        <v>164.58466677999999</v>
      </c>
      <c r="I18" s="37">
        <f t="shared" si="4"/>
        <v>164.58466677999999</v>
      </c>
      <c r="J18" s="25"/>
      <c r="K18" s="37">
        <f t="shared" si="1"/>
        <v>0</v>
      </c>
      <c r="L18" s="25"/>
      <c r="M18" s="38">
        <f t="shared" si="2"/>
        <v>0</v>
      </c>
      <c r="N18" s="30"/>
      <c r="O18" s="2"/>
      <c r="P18" s="1"/>
      <c r="Q18" s="1"/>
      <c r="R18" s="519"/>
      <c r="S18" s="1"/>
      <c r="T18" s="1"/>
      <c r="U18" s="35"/>
      <c r="V18" s="1"/>
      <c r="W18" s="1"/>
    </row>
    <row r="19" spans="1:24" ht="12.4" customHeight="1">
      <c r="A19" s="1"/>
      <c r="B19" s="17"/>
      <c r="C19" s="519"/>
      <c r="D19" s="1"/>
      <c r="E19" t="s">
        <v>335</v>
      </c>
      <c r="F19" s="81">
        <v>717.36</v>
      </c>
      <c r="G19" s="25"/>
      <c r="H19" s="37">
        <f t="shared" si="3"/>
        <v>196.29480495999996</v>
      </c>
      <c r="I19" s="37">
        <f t="shared" si="4"/>
        <v>196.29480495999996</v>
      </c>
      <c r="J19" s="25"/>
      <c r="K19" s="37">
        <f t="shared" si="1"/>
        <v>0</v>
      </c>
      <c r="L19" s="25"/>
      <c r="M19" s="38">
        <f t="shared" si="2"/>
        <v>0</v>
      </c>
      <c r="N19" s="30"/>
      <c r="O19" s="2"/>
      <c r="P19" s="1"/>
      <c r="Q19" s="1"/>
      <c r="R19" s="519"/>
      <c r="S19" s="1"/>
      <c r="T19" s="1"/>
      <c r="U19" s="35"/>
      <c r="V19" s="1"/>
      <c r="W19" s="1"/>
    </row>
    <row r="20" spans="1:24" ht="12.4" customHeight="1">
      <c r="A20" s="1"/>
      <c r="B20" s="17"/>
      <c r="C20" s="519"/>
      <c r="D20" s="1"/>
      <c r="E20" t="s">
        <v>336</v>
      </c>
      <c r="F20" s="81">
        <v>537.72</v>
      </c>
      <c r="G20" s="25"/>
      <c r="H20" s="37">
        <f t="shared" si="3"/>
        <v>149.26756791999998</v>
      </c>
      <c r="I20" s="37">
        <f t="shared" si="4"/>
        <v>149.26756791999998</v>
      </c>
      <c r="J20" s="25"/>
      <c r="K20" s="37">
        <f t="shared" si="1"/>
        <v>0</v>
      </c>
      <c r="L20" s="25"/>
      <c r="M20" s="38">
        <f t="shared" si="2"/>
        <v>0</v>
      </c>
      <c r="N20" s="30"/>
      <c r="O20" s="2"/>
      <c r="P20" s="1"/>
      <c r="Q20" s="1"/>
      <c r="R20" s="519"/>
      <c r="S20" s="1"/>
      <c r="T20" s="1"/>
      <c r="U20" s="35"/>
      <c r="V20" s="1"/>
      <c r="W20" s="1"/>
    </row>
    <row r="21" spans="1:24" ht="12.4" customHeight="1">
      <c r="A21" s="1"/>
      <c r="B21" s="17"/>
      <c r="C21" s="519"/>
      <c r="D21" s="1"/>
      <c r="E21" t="s">
        <v>337</v>
      </c>
      <c r="F21" s="81">
        <v>405.51</v>
      </c>
      <c r="G21" s="25"/>
      <c r="H21" s="37">
        <f t="shared" si="3"/>
        <v>114.65684085999999</v>
      </c>
      <c r="I21" s="37">
        <f t="shared" si="4"/>
        <v>114.65684085999999</v>
      </c>
      <c r="J21" s="25"/>
      <c r="K21" s="37">
        <f t="shared" si="1"/>
        <v>0</v>
      </c>
      <c r="L21" s="25"/>
      <c r="M21" s="38">
        <f t="shared" si="2"/>
        <v>0</v>
      </c>
      <c r="N21" s="30"/>
      <c r="O21" s="2"/>
      <c r="P21" s="1"/>
      <c r="Q21" s="1"/>
      <c r="R21" s="519"/>
      <c r="S21" s="1"/>
      <c r="T21" s="1"/>
      <c r="U21" s="35"/>
      <c r="V21" s="1"/>
      <c r="W21" s="1"/>
    </row>
    <row r="22" spans="1:24" ht="12.4" customHeight="1">
      <c r="A22" s="1"/>
      <c r="B22" s="17"/>
      <c r="C22" s="519"/>
      <c r="D22" s="1"/>
      <c r="E22" s="520" t="s">
        <v>338</v>
      </c>
      <c r="F22" s="81">
        <v>864.76</v>
      </c>
      <c r="G22" s="25"/>
      <c r="H22" s="37">
        <f>$I$34+F22*$I$71</f>
        <v>200.93331327999996</v>
      </c>
      <c r="I22" s="37">
        <f t="shared" ref="I22:I23" si="5">$Q$34+F22*$Q$71</f>
        <v>186.91382415999999</v>
      </c>
      <c r="J22" s="25"/>
      <c r="K22" s="37">
        <f t="shared" si="1"/>
        <v>-14.019489119999974</v>
      </c>
      <c r="L22" s="25"/>
      <c r="M22" s="38">
        <f t="shared" si="2"/>
        <v>-6.9771850626201837E-2</v>
      </c>
      <c r="N22" s="30"/>
      <c r="O22" s="2"/>
      <c r="P22" s="1"/>
      <c r="Q22" s="1"/>
      <c r="R22" s="519"/>
      <c r="S22" s="1"/>
      <c r="T22" s="1"/>
      <c r="U22" s="35"/>
      <c r="V22" s="1"/>
      <c r="W22" s="1"/>
    </row>
    <row r="23" spans="1:24" ht="12.4" customHeight="1">
      <c r="A23" s="1"/>
      <c r="B23" s="17"/>
      <c r="C23" s="519"/>
      <c r="D23" s="1"/>
      <c r="E23" s="520" t="s">
        <v>339</v>
      </c>
      <c r="F23" s="81">
        <v>1434.63</v>
      </c>
      <c r="G23" s="25"/>
      <c r="H23" s="37">
        <f>$I$34+F23*$I$71</f>
        <v>327.74534463999998</v>
      </c>
      <c r="I23" s="37">
        <f t="shared" si="5"/>
        <v>304.48712308</v>
      </c>
      <c r="J23" s="25"/>
      <c r="K23" s="37">
        <f t="shared" si="1"/>
        <v>-23.258221559999981</v>
      </c>
      <c r="L23" s="25"/>
      <c r="M23" s="38">
        <f t="shared" si="2"/>
        <v>-7.0964307931046688E-2</v>
      </c>
      <c r="N23" s="30"/>
      <c r="O23" s="2"/>
      <c r="P23" s="1"/>
      <c r="Q23" s="1"/>
      <c r="R23" s="519"/>
      <c r="S23" s="1"/>
      <c r="T23" s="1"/>
      <c r="U23" s="35"/>
      <c r="V23" s="1"/>
      <c r="W23" s="1"/>
    </row>
    <row r="24" spans="1:24" ht="12.4" customHeight="1">
      <c r="A24" s="1"/>
      <c r="B24" s="17"/>
      <c r="C24" s="40"/>
      <c r="D24" s="1"/>
      <c r="F24" s="36"/>
      <c r="G24" s="25"/>
      <c r="H24" s="37"/>
      <c r="I24" s="37"/>
      <c r="J24" s="25"/>
      <c r="K24" s="37"/>
      <c r="L24" s="25"/>
      <c r="M24" s="38"/>
      <c r="N24" s="30"/>
      <c r="O24" s="2"/>
      <c r="P24" s="1"/>
      <c r="Q24" s="1"/>
      <c r="R24" s="40"/>
      <c r="S24" s="1"/>
      <c r="T24" s="1"/>
      <c r="U24" s="35"/>
      <c r="V24" s="1"/>
      <c r="W24" s="1"/>
    </row>
    <row r="25" spans="1:24" ht="12.4" customHeight="1">
      <c r="A25" s="1"/>
      <c r="B25" s="17"/>
      <c r="C25" s="40"/>
      <c r="D25" s="1"/>
      <c r="E25" t="s">
        <v>343</v>
      </c>
      <c r="F25" s="81">
        <f>SUM(F16:F21)</f>
        <v>3163.9300000000003</v>
      </c>
      <c r="G25" s="25"/>
      <c r="H25" s="37">
        <f>SUM(H16:H21)</f>
        <v>879.27257897999982</v>
      </c>
      <c r="I25" s="37">
        <f>SUM(I16:I21)</f>
        <v>879.27257897999982</v>
      </c>
      <c r="J25" s="25"/>
      <c r="K25" s="37">
        <f t="shared" si="1"/>
        <v>0</v>
      </c>
      <c r="L25" s="25"/>
      <c r="M25" s="38">
        <f t="shared" si="2"/>
        <v>0</v>
      </c>
      <c r="N25" s="30"/>
      <c r="O25" s="2"/>
      <c r="P25" s="1"/>
      <c r="Q25" s="1"/>
      <c r="R25" s="40"/>
      <c r="S25" s="1"/>
      <c r="T25" s="1"/>
      <c r="U25" s="35"/>
      <c r="V25" s="1"/>
      <c r="W25" s="1"/>
    </row>
    <row r="26" spans="1:24" ht="12.4" customHeight="1">
      <c r="A26" s="1"/>
      <c r="B26" s="17"/>
      <c r="C26" s="40"/>
      <c r="D26" s="1"/>
      <c r="E26" t="s">
        <v>344</v>
      </c>
      <c r="F26" s="81">
        <f>SUM(F12:F15)+SUM(F22:F23)</f>
        <v>9219.2000000000007</v>
      </c>
      <c r="G26" s="25"/>
      <c r="H26" s="37">
        <f>SUM(H12:H15)+SUM(H22:H23)</f>
        <v>2102.5301375999998</v>
      </c>
      <c r="I26" s="37">
        <f>SUM(I12:I15)+SUM(I22:I23)</f>
        <v>1953.0684672</v>
      </c>
      <c r="J26" s="25"/>
      <c r="K26" s="37">
        <f t="shared" si="1"/>
        <v>-149.46167039999978</v>
      </c>
      <c r="L26" s="25"/>
      <c r="M26" s="38">
        <f t="shared" si="2"/>
        <v>-7.1086576942296587E-2</v>
      </c>
      <c r="N26" s="30"/>
      <c r="O26" s="2"/>
      <c r="P26" s="1"/>
      <c r="Q26" s="1"/>
      <c r="R26" s="40"/>
      <c r="S26" s="1"/>
      <c r="T26" s="1"/>
      <c r="U26" s="35"/>
      <c r="V26" s="1"/>
      <c r="W26" s="1"/>
    </row>
    <row r="27" spans="1:24" ht="12.4" customHeight="1">
      <c r="A27" s="1"/>
      <c r="B27" s="17"/>
      <c r="D27" s="1"/>
      <c r="E27" s="40" t="s">
        <v>340</v>
      </c>
      <c r="F27" s="81">
        <f>SUM(F12:F23)</f>
        <v>12383.130000000001</v>
      </c>
      <c r="G27" s="25"/>
      <c r="H27" s="37">
        <f>$H$34*6+F25*$H$71+I34*6+F26*I71</f>
        <v>2981.8027165799995</v>
      </c>
      <c r="I27" s="37">
        <f>$P$34*6+F25*$P$71+Q34*6+F26*Q71</f>
        <v>2832.3410461800004</v>
      </c>
      <c r="J27" s="25"/>
      <c r="K27" s="37">
        <f t="shared" si="1"/>
        <v>-149.46167039999909</v>
      </c>
      <c r="L27" s="25"/>
      <c r="M27" s="38">
        <f t="shared" si="2"/>
        <v>-5.0124600654809615E-2</v>
      </c>
      <c r="N27" s="30"/>
      <c r="O27" s="2"/>
      <c r="P27" s="1"/>
      <c r="Q27" s="1"/>
      <c r="S27" s="1"/>
      <c r="T27" s="1"/>
      <c r="U27" s="35"/>
      <c r="V27" s="1"/>
      <c r="W27" s="1"/>
      <c r="X27" s="515">
        <f>'HP-RES'!K27*0.6-K27</f>
        <v>-1.2789769243681803E-12</v>
      </c>
    </row>
    <row r="28" spans="1:24" ht="12.4" customHeight="1">
      <c r="A28" s="1"/>
      <c r="B28" s="41"/>
      <c r="C28" s="83"/>
      <c r="D28" s="83"/>
      <c r="E28" s="83"/>
      <c r="F28" s="85"/>
      <c r="G28" s="84"/>
      <c r="H28" s="86"/>
      <c r="I28" s="86"/>
      <c r="J28" s="84"/>
      <c r="K28" s="86"/>
      <c r="L28" s="84"/>
      <c r="M28" s="86"/>
      <c r="N28" s="87"/>
      <c r="O28" s="72"/>
      <c r="P28" s="83"/>
      <c r="Q28" s="83"/>
      <c r="R28" s="83"/>
      <c r="S28" s="83"/>
      <c r="T28" s="83"/>
      <c r="U28" s="42"/>
      <c r="V28" s="1"/>
      <c r="W28" s="1"/>
    </row>
    <row r="29" spans="1:24" ht="12.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4" ht="12.4" customHeight="1">
      <c r="A30" s="1"/>
      <c r="B30" s="18"/>
      <c r="C30" s="19"/>
      <c r="D30" s="43"/>
      <c r="E30" s="43"/>
      <c r="F30" s="43"/>
      <c r="G30" s="43"/>
      <c r="H30" s="43"/>
      <c r="I30" s="43"/>
      <c r="J30" s="43"/>
      <c r="K30" s="43"/>
      <c r="L30" s="19"/>
      <c r="M30" s="19"/>
      <c r="N30" s="19"/>
      <c r="O30" s="19"/>
      <c r="P30" s="43"/>
      <c r="Q30" s="43"/>
      <c r="R30" s="43"/>
      <c r="S30" s="43"/>
      <c r="T30" s="43"/>
      <c r="U30" s="44"/>
      <c r="V30" s="1"/>
      <c r="W30" s="1"/>
    </row>
    <row r="31" spans="1:24" ht="12.4" customHeight="1">
      <c r="A31" s="1"/>
      <c r="B31" s="75" t="s">
        <v>342</v>
      </c>
      <c r="C31" s="45"/>
      <c r="D31" s="218"/>
      <c r="E31" s="3"/>
      <c r="F31" s="1"/>
      <c r="G31" s="4"/>
      <c r="H31" s="3" t="s">
        <v>343</v>
      </c>
      <c r="I31" s="3" t="s">
        <v>344</v>
      </c>
      <c r="J31" s="1"/>
      <c r="K31" s="76" t="s">
        <v>347</v>
      </c>
      <c r="L31" s="1"/>
      <c r="M31" s="4"/>
      <c r="N31" s="1"/>
      <c r="O31" s="4"/>
      <c r="P31" s="3" t="s">
        <v>343</v>
      </c>
      <c r="Q31" s="3" t="s">
        <v>344</v>
      </c>
      <c r="R31" s="3"/>
      <c r="S31" s="3" t="s">
        <v>343</v>
      </c>
      <c r="T31" s="3" t="s">
        <v>344</v>
      </c>
      <c r="U31" s="27"/>
      <c r="V31" s="1"/>
      <c r="W31" s="1"/>
    </row>
    <row r="32" spans="1:24" ht="12.4" customHeight="1">
      <c r="A32" s="1"/>
      <c r="B32" s="46"/>
      <c r="C32" s="9"/>
      <c r="D32" s="47"/>
      <c r="E32" s="47"/>
      <c r="F32" s="1"/>
      <c r="G32" s="47"/>
      <c r="H32" s="29" t="s">
        <v>346</v>
      </c>
      <c r="I32" s="29" t="s">
        <v>346</v>
      </c>
      <c r="J32" s="1"/>
      <c r="K32" s="47"/>
      <c r="L32" s="47"/>
      <c r="M32" s="47"/>
      <c r="N32" s="47"/>
      <c r="O32" s="47"/>
      <c r="P32" s="29" t="s">
        <v>346</v>
      </c>
      <c r="Q32" s="29" t="s">
        <v>346</v>
      </c>
      <c r="R32" s="29"/>
      <c r="S32" s="32" t="s">
        <v>117</v>
      </c>
      <c r="T32" s="32" t="s">
        <v>117</v>
      </c>
      <c r="U32" s="27"/>
      <c r="V32" s="4"/>
      <c r="W32" s="1"/>
    </row>
    <row r="33" spans="1:23" ht="12.4" customHeight="1">
      <c r="A33" s="1"/>
      <c r="B33" s="48" t="s">
        <v>47</v>
      </c>
      <c r="C33" s="9"/>
      <c r="D33" s="47"/>
      <c r="E33" s="47"/>
      <c r="F33" s="49"/>
      <c r="G33" s="49"/>
      <c r="H33" s="50"/>
      <c r="I33" s="50"/>
      <c r="J33" s="1"/>
      <c r="K33" s="51" t="s">
        <v>47</v>
      </c>
      <c r="L33" s="47"/>
      <c r="M33" s="47"/>
      <c r="N33" s="47"/>
      <c r="O33" s="49"/>
      <c r="P33" s="50"/>
      <c r="Q33" s="50"/>
      <c r="R33" s="50"/>
      <c r="S33" s="1"/>
      <c r="T33" s="1"/>
      <c r="U33" s="52"/>
      <c r="V33" s="4"/>
      <c r="W33" s="1"/>
    </row>
    <row r="34" spans="1:23" ht="12.4" customHeight="1">
      <c r="A34" s="1"/>
      <c r="B34" s="53" t="s">
        <v>0</v>
      </c>
      <c r="C34" s="9"/>
      <c r="D34" s="47"/>
      <c r="E34" s="47"/>
      <c r="F34" s="49"/>
      <c r="G34" s="49"/>
      <c r="H34" s="50">
        <v>8.5</v>
      </c>
      <c r="I34" s="50">
        <v>8.5</v>
      </c>
      <c r="J34" s="1"/>
      <c r="K34" s="9" t="s">
        <v>0</v>
      </c>
      <c r="L34" s="47"/>
      <c r="M34" s="47"/>
      <c r="N34" s="47"/>
      <c r="O34" s="49"/>
      <c r="P34" s="50">
        <f>H34</f>
        <v>8.5</v>
      </c>
      <c r="Q34" s="50">
        <f>I34</f>
        <v>8.5</v>
      </c>
      <c r="R34" s="50"/>
      <c r="S34" s="50">
        <f>+P34-H34</f>
        <v>0</v>
      </c>
      <c r="T34" s="50">
        <f>+Q34-I34</f>
        <v>0</v>
      </c>
      <c r="U34" s="52"/>
      <c r="V34" s="4"/>
      <c r="W34" s="1"/>
    </row>
    <row r="35" spans="1:23" ht="12.6" customHeight="1">
      <c r="A35" s="1"/>
      <c r="B35" s="53"/>
      <c r="C35" s="9"/>
      <c r="D35" s="47"/>
      <c r="E35" s="47"/>
      <c r="F35" s="49"/>
      <c r="G35" s="49"/>
      <c r="H35" s="54" t="s">
        <v>46</v>
      </c>
      <c r="I35" s="54" t="s">
        <v>46</v>
      </c>
      <c r="J35" s="1"/>
      <c r="K35" s="9"/>
      <c r="L35" s="47"/>
      <c r="M35" s="47"/>
      <c r="N35" s="47"/>
      <c r="O35" s="49"/>
      <c r="P35" s="54" t="s">
        <v>46</v>
      </c>
      <c r="Q35" s="54" t="s">
        <v>46</v>
      </c>
      <c r="R35" s="54"/>
      <c r="S35" s="54" t="s">
        <v>46</v>
      </c>
      <c r="T35" s="54" t="s">
        <v>46</v>
      </c>
      <c r="U35" s="55"/>
      <c r="V35" s="4"/>
      <c r="W35" s="1"/>
    </row>
    <row r="36" spans="1:23" ht="12.4" customHeight="1">
      <c r="A36" s="1"/>
      <c r="B36" s="61" t="s">
        <v>244</v>
      </c>
      <c r="C36" s="9"/>
      <c r="D36" s="1"/>
      <c r="E36" s="1"/>
      <c r="F36" s="56"/>
      <c r="G36" s="56"/>
      <c r="H36" s="57">
        <v>0.10176</v>
      </c>
      <c r="I36" s="57">
        <v>3.6330000000000001E-2</v>
      </c>
      <c r="J36" s="1"/>
      <c r="K36" s="40" t="s">
        <v>6</v>
      </c>
      <c r="L36" s="1"/>
      <c r="M36" s="1"/>
      <c r="N36" s="1"/>
      <c r="O36" s="62"/>
      <c r="P36" s="57">
        <f>H36</f>
        <v>0.10176</v>
      </c>
      <c r="Q36" s="57">
        <f>I36</f>
        <v>3.6330000000000001E-2</v>
      </c>
      <c r="R36" s="57"/>
      <c r="S36" s="57">
        <f>+P36-H36</f>
        <v>0</v>
      </c>
      <c r="T36" s="57">
        <f>+Q36-I36</f>
        <v>0</v>
      </c>
      <c r="U36" s="58"/>
      <c r="V36" s="4"/>
      <c r="W36" s="49"/>
    </row>
    <row r="37" spans="1:23" ht="12.4" customHeight="1">
      <c r="A37" s="1"/>
      <c r="B37" s="61"/>
      <c r="C37" s="9"/>
      <c r="D37" s="1"/>
      <c r="E37" s="1"/>
      <c r="F37" s="56"/>
      <c r="G37" s="56"/>
      <c r="H37" s="57"/>
      <c r="I37" s="57"/>
      <c r="J37" s="1"/>
      <c r="K37" s="40"/>
      <c r="L37" s="1"/>
      <c r="M37" s="1"/>
      <c r="N37" s="1"/>
      <c r="O37" s="62"/>
      <c r="P37" s="57"/>
      <c r="Q37" s="57"/>
      <c r="R37" s="57"/>
      <c r="S37" s="57"/>
      <c r="T37" s="57"/>
      <c r="U37" s="58"/>
      <c r="V37" s="4"/>
      <c r="W37" s="1"/>
    </row>
    <row r="38" spans="1:23" ht="12.4" customHeight="1">
      <c r="A38" s="1"/>
      <c r="B38" s="61" t="s">
        <v>50</v>
      </c>
      <c r="C38" s="9"/>
      <c r="D38" s="1"/>
      <c r="E38" s="1"/>
      <c r="F38" s="56"/>
      <c r="G38" s="56"/>
      <c r="H38" s="57">
        <v>2.2100000000000002E-3</v>
      </c>
      <c r="I38" s="57">
        <f t="shared" ref="I38:I45" si="6">H38</f>
        <v>2.2100000000000002E-3</v>
      </c>
      <c r="J38" s="1"/>
      <c r="K38" s="40" t="s">
        <v>50</v>
      </c>
      <c r="L38" s="1"/>
      <c r="M38" s="1"/>
      <c r="N38" s="1"/>
      <c r="O38" s="62"/>
      <c r="P38" s="57">
        <f t="shared" ref="P38:Q45" si="7">H38</f>
        <v>2.2100000000000002E-3</v>
      </c>
      <c r="Q38" s="57">
        <f t="shared" si="7"/>
        <v>2.2100000000000002E-3</v>
      </c>
      <c r="R38" s="57"/>
      <c r="S38" s="57">
        <f>+P38-H38</f>
        <v>0</v>
      </c>
      <c r="T38" s="57">
        <f>+Q38-I38</f>
        <v>0</v>
      </c>
      <c r="U38" s="58"/>
      <c r="V38" s="4"/>
      <c r="W38" s="1"/>
    </row>
    <row r="39" spans="1:23" ht="12.4" customHeight="1">
      <c r="A39" s="1"/>
      <c r="B39" s="61" t="s">
        <v>51</v>
      </c>
      <c r="C39" s="9"/>
      <c r="D39" s="1"/>
      <c r="E39" s="1"/>
      <c r="F39" s="56"/>
      <c r="G39" s="56"/>
      <c r="H39" s="57">
        <v>3.1130000000000001E-2</v>
      </c>
      <c r="I39" s="57">
        <f t="shared" si="6"/>
        <v>3.1130000000000001E-2</v>
      </c>
      <c r="J39" s="1"/>
      <c r="K39" s="40" t="s">
        <v>51</v>
      </c>
      <c r="L39" s="1"/>
      <c r="M39" s="1"/>
      <c r="N39" s="1"/>
      <c r="O39" s="62"/>
      <c r="P39" s="57">
        <f t="shared" si="7"/>
        <v>3.1130000000000001E-2</v>
      </c>
      <c r="Q39" s="57">
        <f t="shared" si="7"/>
        <v>3.1130000000000001E-2</v>
      </c>
      <c r="R39" s="57"/>
      <c r="S39" s="57">
        <f t="shared" ref="S39:T45" si="8">+P39-H39</f>
        <v>0</v>
      </c>
      <c r="T39" s="57">
        <f t="shared" si="8"/>
        <v>0</v>
      </c>
      <c r="U39" s="58"/>
      <c r="V39" s="4"/>
      <c r="W39" s="1"/>
    </row>
    <row r="40" spans="1:23" ht="12.4" customHeight="1">
      <c r="A40" s="1"/>
      <c r="B40" s="53" t="s">
        <v>54</v>
      </c>
      <c r="C40" s="9"/>
      <c r="D40" s="1"/>
      <c r="E40" s="1"/>
      <c r="F40" s="56"/>
      <c r="G40" s="56"/>
      <c r="H40" s="57">
        <v>3.2000000000000003E-4</v>
      </c>
      <c r="I40" s="57">
        <f t="shared" si="6"/>
        <v>3.2000000000000003E-4</v>
      </c>
      <c r="J40" s="1"/>
      <c r="K40" s="9" t="s">
        <v>54</v>
      </c>
      <c r="L40" s="1"/>
      <c r="M40" s="1"/>
      <c r="N40" s="1"/>
      <c r="O40" s="62"/>
      <c r="P40" s="57">
        <f t="shared" si="7"/>
        <v>3.2000000000000003E-4</v>
      </c>
      <c r="Q40" s="57">
        <f t="shared" si="7"/>
        <v>3.2000000000000003E-4</v>
      </c>
      <c r="R40" s="57"/>
      <c r="S40" s="57">
        <f t="shared" si="8"/>
        <v>0</v>
      </c>
      <c r="T40" s="57">
        <f t="shared" si="8"/>
        <v>0</v>
      </c>
      <c r="U40" s="58"/>
      <c r="V40" s="4"/>
      <c r="W40" s="1"/>
    </row>
    <row r="41" spans="1:23" ht="12.4" customHeight="1">
      <c r="A41" s="1"/>
      <c r="B41" s="17" t="s">
        <v>55</v>
      </c>
      <c r="C41" s="9"/>
      <c r="D41" s="1"/>
      <c r="E41" s="1"/>
      <c r="F41" s="56"/>
      <c r="G41" s="56"/>
      <c r="H41" s="57">
        <v>1.2700000000000001E-3</v>
      </c>
      <c r="I41" s="57">
        <f t="shared" si="6"/>
        <v>1.2700000000000001E-3</v>
      </c>
      <c r="J41" s="1"/>
      <c r="K41" s="1" t="s">
        <v>55</v>
      </c>
      <c r="L41" s="1"/>
      <c r="M41" s="1"/>
      <c r="N41" s="1"/>
      <c r="O41" s="62"/>
      <c r="P41" s="57">
        <f t="shared" si="7"/>
        <v>1.2700000000000001E-3</v>
      </c>
      <c r="Q41" s="57">
        <f t="shared" si="7"/>
        <v>1.2700000000000001E-3</v>
      </c>
      <c r="R41" s="57"/>
      <c r="S41" s="57">
        <f t="shared" si="8"/>
        <v>0</v>
      </c>
      <c r="T41" s="57">
        <f t="shared" si="8"/>
        <v>0</v>
      </c>
      <c r="U41" s="58"/>
      <c r="V41" s="4"/>
      <c r="W41" s="1"/>
    </row>
    <row r="42" spans="1:23" ht="12.4" customHeight="1">
      <c r="A42" s="1"/>
      <c r="B42" s="53" t="s">
        <v>58</v>
      </c>
      <c r="C42" s="9"/>
      <c r="D42" s="1"/>
      <c r="E42" s="1"/>
      <c r="F42" s="56"/>
      <c r="G42" s="56"/>
      <c r="H42" s="57">
        <v>1.6199999999999999E-3</v>
      </c>
      <c r="I42" s="57">
        <f t="shared" si="6"/>
        <v>1.6199999999999999E-3</v>
      </c>
      <c r="J42" s="1"/>
      <c r="K42" s="9" t="s">
        <v>58</v>
      </c>
      <c r="L42" s="1"/>
      <c r="M42" s="1"/>
      <c r="N42" s="1"/>
      <c r="O42" s="62"/>
      <c r="P42" s="57">
        <f t="shared" si="7"/>
        <v>1.6199999999999999E-3</v>
      </c>
      <c r="Q42" s="57">
        <f t="shared" si="7"/>
        <v>1.6199999999999999E-3</v>
      </c>
      <c r="R42" s="57"/>
      <c r="S42" s="57">
        <f>+P42-H42</f>
        <v>0</v>
      </c>
      <c r="T42" s="57">
        <f>+Q42-I42</f>
        <v>0</v>
      </c>
      <c r="U42" s="60"/>
      <c r="V42" s="4"/>
      <c r="W42" s="1"/>
    </row>
    <row r="43" spans="1:23" ht="12.4" customHeight="1">
      <c r="A43" s="1"/>
      <c r="B43" s="17" t="s">
        <v>57</v>
      </c>
      <c r="C43" s="1"/>
      <c r="D43" s="1"/>
      <c r="E43" s="1"/>
      <c r="F43" s="1"/>
      <c r="G43" s="1"/>
      <c r="H43" s="57">
        <v>1.4109999999999999E-2</v>
      </c>
      <c r="I43" s="57">
        <f t="shared" si="6"/>
        <v>1.4109999999999999E-2</v>
      </c>
      <c r="J43" s="1"/>
      <c r="K43" s="1" t="s">
        <v>57</v>
      </c>
      <c r="L43" s="1"/>
      <c r="M43" s="1"/>
      <c r="N43" s="1"/>
      <c r="O43" s="1"/>
      <c r="P43" s="57">
        <f t="shared" si="7"/>
        <v>1.4109999999999999E-2</v>
      </c>
      <c r="Q43" s="57">
        <f t="shared" si="7"/>
        <v>1.4109999999999999E-2</v>
      </c>
      <c r="R43" s="57"/>
      <c r="S43" s="57">
        <f>+P43-H43</f>
        <v>0</v>
      </c>
      <c r="T43" s="57">
        <f>+Q43-I43</f>
        <v>0</v>
      </c>
      <c r="U43" s="58"/>
      <c r="V43" s="4"/>
      <c r="W43" s="1"/>
    </row>
    <row r="44" spans="1:23" ht="12.4" customHeight="1">
      <c r="A44" s="1"/>
      <c r="B44" s="17" t="s">
        <v>56</v>
      </c>
      <c r="C44" s="9"/>
      <c r="D44" s="1"/>
      <c r="E44" s="1"/>
      <c r="F44" s="56"/>
      <c r="G44" s="56"/>
      <c r="H44" s="57">
        <v>8.8000000000000003E-4</v>
      </c>
      <c r="I44" s="57">
        <f t="shared" si="6"/>
        <v>8.8000000000000003E-4</v>
      </c>
      <c r="J44" s="1"/>
      <c r="K44" s="1" t="s">
        <v>56</v>
      </c>
      <c r="L44" s="1"/>
      <c r="M44" s="1"/>
      <c r="N44" s="1"/>
      <c r="O44" s="62"/>
      <c r="P44" s="57">
        <f t="shared" si="7"/>
        <v>8.8000000000000003E-4</v>
      </c>
      <c r="Q44" s="57">
        <f t="shared" si="7"/>
        <v>8.8000000000000003E-4</v>
      </c>
      <c r="R44" s="57"/>
      <c r="S44" s="57">
        <f t="shared" si="8"/>
        <v>0</v>
      </c>
      <c r="T44" s="57">
        <f t="shared" si="8"/>
        <v>0</v>
      </c>
      <c r="U44" s="58"/>
      <c r="V44" s="4"/>
      <c r="W44" s="1"/>
    </row>
    <row r="45" spans="1:23" ht="12.4" customHeight="1">
      <c r="A45" s="1"/>
      <c r="B45" s="17" t="s">
        <v>59</v>
      </c>
      <c r="C45" s="1"/>
      <c r="D45" s="1"/>
      <c r="E45" s="1"/>
      <c r="F45" s="1"/>
      <c r="G45" s="1"/>
      <c r="H45" s="59">
        <v>3.64E-3</v>
      </c>
      <c r="I45" s="59">
        <f t="shared" si="6"/>
        <v>3.64E-3</v>
      </c>
      <c r="J45" s="1"/>
      <c r="K45" s="1" t="s">
        <v>59</v>
      </c>
      <c r="L45" s="1"/>
      <c r="M45" s="1"/>
      <c r="N45" s="1"/>
      <c r="O45" s="1"/>
      <c r="P45" s="59">
        <f t="shared" si="7"/>
        <v>3.64E-3</v>
      </c>
      <c r="Q45" s="59">
        <f t="shared" si="7"/>
        <v>3.64E-3</v>
      </c>
      <c r="R45" s="59"/>
      <c r="S45" s="59">
        <f t="shared" si="8"/>
        <v>0</v>
      </c>
      <c r="T45" s="59">
        <f t="shared" si="8"/>
        <v>0</v>
      </c>
      <c r="U45" s="60"/>
      <c r="V45" s="4"/>
      <c r="W45" s="1"/>
    </row>
    <row r="46" spans="1:23" ht="12.4" customHeight="1">
      <c r="A46" s="1"/>
      <c r="B46" s="17"/>
      <c r="C46" s="1"/>
      <c r="D46" s="1"/>
      <c r="E46" s="1"/>
      <c r="F46" s="1"/>
      <c r="G46" s="80" t="s">
        <v>268</v>
      </c>
      <c r="H46" s="59">
        <f>+SUM(H38:H45)</f>
        <v>5.5179999999999993E-2</v>
      </c>
      <c r="I46" s="59">
        <f>+SUM(I38:I45)</f>
        <v>5.5179999999999993E-2</v>
      </c>
      <c r="J46" s="1"/>
      <c r="K46" s="1"/>
      <c r="L46" s="1"/>
      <c r="M46" s="1"/>
      <c r="N46" s="1"/>
      <c r="O46" s="80" t="s">
        <v>268</v>
      </c>
      <c r="P46" s="59">
        <f>+SUM(P38:P45)</f>
        <v>5.5179999999999993E-2</v>
      </c>
      <c r="Q46" s="59">
        <f>+SUM(Q38:Q45)</f>
        <v>5.5179999999999993E-2</v>
      </c>
      <c r="R46" s="59"/>
      <c r="S46" s="59">
        <f>+P46-H46</f>
        <v>0</v>
      </c>
      <c r="T46" s="59">
        <f>+Q46-I46</f>
        <v>0</v>
      </c>
      <c r="U46" s="60"/>
      <c r="V46" s="4"/>
      <c r="W46" s="1"/>
    </row>
    <row r="47" spans="1:23" ht="12.4" customHeight="1">
      <c r="A47" s="1"/>
      <c r="B47" s="17"/>
      <c r="C47" s="9"/>
      <c r="D47" s="1"/>
      <c r="E47" s="1"/>
      <c r="F47" s="56"/>
      <c r="G47" s="63" t="s">
        <v>266</v>
      </c>
      <c r="H47" s="57">
        <f>+H36+H46</f>
        <v>0.15694</v>
      </c>
      <c r="I47" s="57">
        <f>+I36+I46</f>
        <v>9.1509999999999994E-2</v>
      </c>
      <c r="J47" s="1"/>
      <c r="K47" s="1"/>
      <c r="L47" s="1"/>
      <c r="M47" s="1"/>
      <c r="N47" s="1"/>
      <c r="O47" s="63" t="s">
        <v>266</v>
      </c>
      <c r="P47" s="57">
        <f>+P36+P46</f>
        <v>0.15694</v>
      </c>
      <c r="Q47" s="57">
        <f>+Q36+Q46</f>
        <v>9.1509999999999994E-2</v>
      </c>
      <c r="R47" s="57"/>
      <c r="S47" s="57">
        <f>+P47-H47</f>
        <v>0</v>
      </c>
      <c r="T47" s="57">
        <f>+Q47-I47</f>
        <v>0</v>
      </c>
      <c r="U47" s="58"/>
      <c r="V47" s="4"/>
      <c r="W47" s="1"/>
    </row>
    <row r="48" spans="1:23" ht="12.4" customHeight="1">
      <c r="A48" s="1"/>
      <c r="B48" s="17"/>
      <c r="C48" s="9"/>
      <c r="D48" s="1"/>
      <c r="E48" s="1"/>
      <c r="F48" s="56"/>
      <c r="G48" s="63"/>
      <c r="H48" s="57"/>
      <c r="I48" s="57"/>
      <c r="J48" s="1"/>
      <c r="K48" s="1"/>
      <c r="L48" s="1"/>
      <c r="M48" s="1"/>
      <c r="N48" s="1"/>
      <c r="O48" s="63"/>
      <c r="P48" s="57"/>
      <c r="Q48" s="57"/>
      <c r="R48" s="57"/>
      <c r="S48" s="57"/>
      <c r="T48" s="57"/>
      <c r="U48" s="58"/>
      <c r="V48" s="4"/>
      <c r="W48" s="1"/>
    </row>
    <row r="49" spans="1:23" ht="12.4" customHeight="1">
      <c r="A49" s="1"/>
      <c r="B49" s="53" t="s">
        <v>53</v>
      </c>
      <c r="C49" s="9"/>
      <c r="D49" s="1"/>
      <c r="E49" s="1"/>
      <c r="F49" s="56"/>
      <c r="G49" s="56"/>
      <c r="H49" s="57">
        <v>6.6299999999999996E-3</v>
      </c>
      <c r="I49" s="57">
        <f>H49</f>
        <v>6.6299999999999996E-3</v>
      </c>
      <c r="J49" s="1"/>
      <c r="K49" s="9" t="s">
        <v>53</v>
      </c>
      <c r="L49" s="1"/>
      <c r="M49" s="1"/>
      <c r="N49" s="1"/>
      <c r="O49" s="62"/>
      <c r="P49" s="57">
        <f t="shared" ref="P49:Q51" si="9">H49</f>
        <v>6.6299999999999996E-3</v>
      </c>
      <c r="Q49" s="57">
        <f t="shared" si="9"/>
        <v>6.6299999999999996E-3</v>
      </c>
      <c r="R49" s="57"/>
      <c r="S49" s="57">
        <f t="shared" ref="S49:T51" si="10">+P49-H49</f>
        <v>0</v>
      </c>
      <c r="T49" s="57">
        <f t="shared" si="10"/>
        <v>0</v>
      </c>
      <c r="U49" s="58"/>
      <c r="V49" s="4"/>
      <c r="W49" s="1"/>
    </row>
    <row r="50" spans="1:23" ht="12.4" customHeight="1">
      <c r="A50" s="1"/>
      <c r="B50" s="61" t="s">
        <v>122</v>
      </c>
      <c r="C50" s="1"/>
      <c r="D50" s="1"/>
      <c r="E50" s="1"/>
      <c r="F50" s="1"/>
      <c r="G50" s="56"/>
      <c r="H50" s="57">
        <v>1.4370000000000001E-2</v>
      </c>
      <c r="I50" s="57">
        <f>H50</f>
        <v>1.4370000000000001E-2</v>
      </c>
      <c r="J50" s="1"/>
      <c r="K50" s="40" t="s">
        <v>122</v>
      </c>
      <c r="L50" s="1"/>
      <c r="M50" s="1"/>
      <c r="N50" s="1"/>
      <c r="O50" s="1"/>
      <c r="P50" s="57">
        <f t="shared" si="9"/>
        <v>1.4370000000000001E-2</v>
      </c>
      <c r="Q50" s="57">
        <f t="shared" si="9"/>
        <v>1.4370000000000001E-2</v>
      </c>
      <c r="R50" s="57"/>
      <c r="S50" s="57">
        <f t="shared" si="10"/>
        <v>0</v>
      </c>
      <c r="T50" s="57">
        <f t="shared" si="10"/>
        <v>0</v>
      </c>
      <c r="U50" s="58"/>
      <c r="V50" s="4"/>
      <c r="W50" s="1"/>
    </row>
    <row r="51" spans="1:23" ht="12.4" customHeight="1">
      <c r="A51" s="1"/>
      <c r="B51" s="53" t="s">
        <v>52</v>
      </c>
      <c r="C51" s="9"/>
      <c r="D51" s="1"/>
      <c r="E51" s="1"/>
      <c r="F51" s="56"/>
      <c r="G51" s="56"/>
      <c r="H51" s="57">
        <f>+'Part A Delivery Rates '!L18</f>
        <v>2.717E-2</v>
      </c>
      <c r="I51" s="57">
        <f>H51</f>
        <v>2.717E-2</v>
      </c>
      <c r="J51" s="1"/>
      <c r="K51" s="9" t="s">
        <v>52</v>
      </c>
      <c r="L51" s="1"/>
      <c r="M51" s="1"/>
      <c r="N51" s="1"/>
      <c r="O51" s="62"/>
      <c r="P51" s="57">
        <f t="shared" si="9"/>
        <v>2.717E-2</v>
      </c>
      <c r="Q51" s="57">
        <f t="shared" si="9"/>
        <v>2.717E-2</v>
      </c>
      <c r="R51" s="57"/>
      <c r="S51" s="57">
        <f t="shared" si="10"/>
        <v>0</v>
      </c>
      <c r="T51" s="57">
        <f t="shared" si="10"/>
        <v>0</v>
      </c>
      <c r="U51" s="58"/>
      <c r="V51" s="4"/>
      <c r="W51" s="1"/>
    </row>
    <row r="52" spans="1:23" ht="12.4" customHeight="1">
      <c r="A52" s="1"/>
      <c r="B52" s="61"/>
      <c r="C52" s="1"/>
      <c r="D52" s="1"/>
      <c r="E52" s="1"/>
      <c r="F52" s="1"/>
      <c r="G52" s="56"/>
      <c r="H52" s="57"/>
      <c r="I52" s="57"/>
      <c r="J52" s="1"/>
      <c r="K52" s="40"/>
      <c r="L52" s="1"/>
      <c r="M52" s="1"/>
      <c r="N52" s="1"/>
      <c r="O52" s="1"/>
      <c r="P52" s="57"/>
      <c r="Q52" s="57"/>
      <c r="R52" s="57"/>
      <c r="S52" s="57"/>
      <c r="T52" s="57"/>
      <c r="U52" s="58"/>
      <c r="V52" s="4"/>
      <c r="W52" s="1"/>
    </row>
    <row r="53" spans="1:23" ht="12.4" customHeight="1">
      <c r="A53" s="1"/>
      <c r="B53" s="53" t="s">
        <v>48</v>
      </c>
      <c r="C53" s="9"/>
      <c r="D53" s="1"/>
      <c r="E53" s="1"/>
      <c r="F53" s="56"/>
      <c r="G53" s="56"/>
      <c r="H53" s="57">
        <f>0.00394-0.00211</f>
        <v>1.83E-3</v>
      </c>
      <c r="I53" s="57">
        <f>0.00394-0.00211</f>
        <v>1.83E-3</v>
      </c>
      <c r="J53" s="1"/>
      <c r="K53" s="40" t="s">
        <v>48</v>
      </c>
      <c r="L53" s="1"/>
      <c r="M53" s="1"/>
      <c r="N53" s="1"/>
      <c r="O53" s="56"/>
      <c r="P53" s="57">
        <f>0.00394-0.00211</f>
        <v>1.83E-3</v>
      </c>
      <c r="Q53" s="57">
        <f>0.0014-0.00075</f>
        <v>6.4999999999999997E-4</v>
      </c>
      <c r="R53" s="57"/>
      <c r="S53" s="57">
        <f t="shared" ref="S53:T55" si="11">+P53-H53</f>
        <v>0</v>
      </c>
      <c r="T53" s="57">
        <f t="shared" si="11"/>
        <v>-1.1800000000000001E-3</v>
      </c>
      <c r="U53" s="58"/>
      <c r="V53" s="4"/>
      <c r="W53" s="1"/>
    </row>
    <row r="54" spans="1:23" ht="12.4" customHeight="1">
      <c r="A54" s="1"/>
      <c r="B54" s="17" t="s">
        <v>49</v>
      </c>
      <c r="C54" s="1"/>
      <c r="D54" s="1"/>
      <c r="E54" s="1"/>
      <c r="F54" s="1"/>
      <c r="G54" s="1"/>
      <c r="H54" s="59">
        <v>4.018E-2</v>
      </c>
      <c r="I54" s="59">
        <v>4.018E-2</v>
      </c>
      <c r="J54" s="1"/>
      <c r="K54" s="1" t="s">
        <v>49</v>
      </c>
      <c r="L54" s="1"/>
      <c r="M54" s="1"/>
      <c r="N54" s="1"/>
      <c r="O54" s="1"/>
      <c r="P54" s="59">
        <v>4.018E-2</v>
      </c>
      <c r="Q54" s="59">
        <v>1.434E-2</v>
      </c>
      <c r="R54" s="59"/>
      <c r="S54" s="59">
        <f t="shared" si="11"/>
        <v>0</v>
      </c>
      <c r="T54" s="59">
        <f t="shared" si="11"/>
        <v>-2.5840000000000002E-2</v>
      </c>
      <c r="U54" s="60"/>
      <c r="V54" s="4"/>
      <c r="W54" s="1"/>
    </row>
    <row r="55" spans="1:23" ht="12.4" customHeight="1">
      <c r="A55" s="1"/>
      <c r="B55" s="17"/>
      <c r="C55" s="1"/>
      <c r="D55" s="1"/>
      <c r="E55" s="1"/>
      <c r="F55" s="1"/>
      <c r="G55" s="28" t="s">
        <v>267</v>
      </c>
      <c r="H55" s="57">
        <f>+H54+H53</f>
        <v>4.2009999999999999E-2</v>
      </c>
      <c r="I55" s="57">
        <f>+I54+I53</f>
        <v>4.2009999999999999E-2</v>
      </c>
      <c r="J55" s="1"/>
      <c r="K55" s="1"/>
      <c r="L55" s="1"/>
      <c r="M55" s="1"/>
      <c r="N55" s="1"/>
      <c r="O55" s="28" t="s">
        <v>267</v>
      </c>
      <c r="P55" s="57">
        <f>+P54+P53</f>
        <v>4.2009999999999999E-2</v>
      </c>
      <c r="Q55" s="57">
        <f>+Q54+Q53</f>
        <v>1.499E-2</v>
      </c>
      <c r="R55" s="57"/>
      <c r="S55" s="57">
        <f t="shared" si="11"/>
        <v>0</v>
      </c>
      <c r="T55" s="57">
        <f t="shared" si="11"/>
        <v>-2.7019999999999999E-2</v>
      </c>
      <c r="U55" s="58"/>
      <c r="V55" s="4"/>
      <c r="W55" s="1"/>
    </row>
    <row r="56" spans="1:23" ht="12.4" customHeight="1">
      <c r="A56" s="1"/>
      <c r="B56" s="61"/>
      <c r="C56" s="1"/>
      <c r="D56" s="1"/>
      <c r="E56" s="1"/>
      <c r="F56" s="1"/>
      <c r="G56" s="56"/>
      <c r="H56" s="57"/>
      <c r="I56" s="57"/>
      <c r="J56" s="1"/>
      <c r="K56" s="40"/>
      <c r="L56" s="1"/>
      <c r="M56" s="1"/>
      <c r="N56" s="1"/>
      <c r="O56" s="1"/>
      <c r="P56" s="57"/>
      <c r="Q56" s="57"/>
      <c r="R56" s="57"/>
      <c r="S56" s="57"/>
      <c r="T56" s="57"/>
      <c r="U56" s="58"/>
      <c r="V56" s="4"/>
      <c r="W56" s="1"/>
    </row>
    <row r="57" spans="1:23" ht="12.4" customHeight="1">
      <c r="A57" s="1"/>
      <c r="B57" s="53" t="s">
        <v>269</v>
      </c>
      <c r="C57" s="1"/>
      <c r="D57" s="1"/>
      <c r="E57" s="1"/>
      <c r="F57" s="1"/>
      <c r="G57" s="56"/>
      <c r="H57" s="57">
        <v>2.5000000000000001E-3</v>
      </c>
      <c r="I57" s="57">
        <f>H57</f>
        <v>2.5000000000000001E-3</v>
      </c>
      <c r="J57" s="1"/>
      <c r="K57" s="9" t="s">
        <v>269</v>
      </c>
      <c r="L57" s="1"/>
      <c r="M57" s="1"/>
      <c r="N57" s="1"/>
      <c r="O57" s="1"/>
      <c r="P57" s="57">
        <f>H57</f>
        <v>2.5000000000000001E-3</v>
      </c>
      <c r="Q57" s="57">
        <f>I57</f>
        <v>2.5000000000000001E-3</v>
      </c>
      <c r="R57" s="57"/>
      <c r="S57" s="57">
        <f t="shared" ref="S57:T59" si="12">+P57-H57</f>
        <v>0</v>
      </c>
      <c r="T57" s="57">
        <f t="shared" si="12"/>
        <v>0</v>
      </c>
      <c r="U57" s="58"/>
      <c r="V57" s="4"/>
      <c r="W57" s="1"/>
    </row>
    <row r="58" spans="1:23" ht="12.4" customHeight="1">
      <c r="A58" s="1"/>
      <c r="B58" s="61" t="s">
        <v>116</v>
      </c>
      <c r="C58" s="9"/>
      <c r="D58" s="1"/>
      <c r="E58" s="1"/>
      <c r="F58" s="56"/>
      <c r="G58" s="56"/>
      <c r="H58" s="59">
        <v>2.3720000000000001E-2</v>
      </c>
      <c r="I58" s="59">
        <f>H58</f>
        <v>2.3720000000000001E-2</v>
      </c>
      <c r="J58" s="1"/>
      <c r="K58" s="40" t="s">
        <v>116</v>
      </c>
      <c r="L58" s="1"/>
      <c r="M58" s="1"/>
      <c r="N58" s="1"/>
      <c r="O58" s="62"/>
      <c r="P58" s="59">
        <f>H58</f>
        <v>2.3720000000000001E-2</v>
      </c>
      <c r="Q58" s="59">
        <f>I58</f>
        <v>2.3720000000000001E-2</v>
      </c>
      <c r="R58" s="4"/>
      <c r="S58" s="59">
        <f t="shared" si="12"/>
        <v>0</v>
      </c>
      <c r="T58" s="59">
        <f t="shared" si="12"/>
        <v>0</v>
      </c>
      <c r="U58" s="58"/>
      <c r="V58" s="4"/>
      <c r="W58" s="1"/>
    </row>
    <row r="59" spans="1:23" ht="12.4" customHeight="1">
      <c r="A59" s="1"/>
      <c r="B59" s="61"/>
      <c r="C59" s="4"/>
      <c r="D59" s="4"/>
      <c r="E59" s="4"/>
      <c r="F59" s="4"/>
      <c r="G59" s="56" t="s">
        <v>265</v>
      </c>
      <c r="H59" s="57">
        <f>SUM(H57:H58)</f>
        <v>2.622E-2</v>
      </c>
      <c r="I59" s="57">
        <f>SUM(I57:I58)</f>
        <v>2.622E-2</v>
      </c>
      <c r="J59" s="4"/>
      <c r="K59" s="4"/>
      <c r="L59" s="4"/>
      <c r="M59" s="4"/>
      <c r="N59" s="4"/>
      <c r="O59" s="56" t="s">
        <v>265</v>
      </c>
      <c r="P59" s="57">
        <f>SUM(P57:P58)</f>
        <v>2.622E-2</v>
      </c>
      <c r="Q59" s="57">
        <f>SUM(Q57:Q58)</f>
        <v>2.622E-2</v>
      </c>
      <c r="R59" s="57"/>
      <c r="S59" s="57">
        <f t="shared" si="12"/>
        <v>0</v>
      </c>
      <c r="T59" s="57">
        <f t="shared" si="12"/>
        <v>0</v>
      </c>
      <c r="U59" s="58"/>
      <c r="V59" s="4"/>
      <c r="W59" s="1"/>
    </row>
    <row r="60" spans="1:23" ht="12.4" customHeight="1">
      <c r="A60" s="1"/>
      <c r="B60" s="61"/>
      <c r="C60" s="4"/>
      <c r="D60" s="4"/>
      <c r="E60" s="4"/>
      <c r="F60" s="4"/>
      <c r="G60" s="56"/>
      <c r="H60" s="57"/>
      <c r="I60" s="57"/>
      <c r="J60" s="4"/>
      <c r="K60" s="4"/>
      <c r="L60" s="4"/>
      <c r="M60" s="4"/>
      <c r="N60" s="4"/>
      <c r="O60" s="56"/>
      <c r="P60" s="57"/>
      <c r="Q60" s="57"/>
      <c r="R60" s="57"/>
      <c r="S60" s="57"/>
      <c r="T60" s="57"/>
      <c r="U60" s="58"/>
      <c r="V60" s="4"/>
      <c r="W60" s="1"/>
    </row>
    <row r="61" spans="1:23" ht="12.4" customHeight="1">
      <c r="A61" s="1"/>
      <c r="B61" s="53" t="s">
        <v>270</v>
      </c>
      <c r="C61" s="9"/>
      <c r="D61" s="1"/>
      <c r="E61" s="1"/>
      <c r="F61" s="56"/>
      <c r="G61" s="56"/>
      <c r="H61" s="59">
        <v>5.0000000000000001E-4</v>
      </c>
      <c r="I61" s="59">
        <f>H61</f>
        <v>5.0000000000000001E-4</v>
      </c>
      <c r="J61" s="1"/>
      <c r="K61" s="9" t="s">
        <v>270</v>
      </c>
      <c r="L61" s="1"/>
      <c r="M61" s="1"/>
      <c r="N61" s="1"/>
      <c r="O61" s="62"/>
      <c r="P61" s="59">
        <f>H61</f>
        <v>5.0000000000000001E-4</v>
      </c>
      <c r="Q61" s="59">
        <f>I61</f>
        <v>5.0000000000000001E-4</v>
      </c>
      <c r="R61" s="59"/>
      <c r="S61" s="59">
        <f t="shared" ref="S61:T62" si="13">+P61-H61</f>
        <v>0</v>
      </c>
      <c r="T61" s="59">
        <f t="shared" si="13"/>
        <v>0</v>
      </c>
      <c r="U61" s="58"/>
      <c r="V61" s="4"/>
      <c r="W61" s="1"/>
    </row>
    <row r="62" spans="1:23" ht="13.15" customHeight="1">
      <c r="B62" s="215"/>
      <c r="G62" s="217" t="s">
        <v>264</v>
      </c>
      <c r="H62" s="57">
        <f>+H55+H47+H49+H50+H59+H61+H51</f>
        <v>0.27383999999999997</v>
      </c>
      <c r="I62" s="57">
        <f>+I55+I47+I49+I50+I59+I61+I51</f>
        <v>0.20840999999999998</v>
      </c>
      <c r="O62" s="217" t="s">
        <v>264</v>
      </c>
      <c r="P62" s="57">
        <f>+P55+P47+P49+P50+P59+P61+P51</f>
        <v>0.27383999999999997</v>
      </c>
      <c r="Q62" s="57">
        <f>+Q55+Q47+Q49+Q50+Q59+Q61+Q51</f>
        <v>0.18139</v>
      </c>
      <c r="S62" s="57">
        <f t="shared" si="13"/>
        <v>0</v>
      </c>
      <c r="T62" s="57">
        <f t="shared" si="13"/>
        <v>-2.7019999999999988E-2</v>
      </c>
      <c r="U62" s="219"/>
    </row>
    <row r="63" spans="1:23" ht="12.4" customHeight="1">
      <c r="A63" s="1"/>
      <c r="B63" s="61"/>
      <c r="C63" s="1"/>
      <c r="D63" s="1"/>
      <c r="E63" s="1"/>
      <c r="F63" s="1"/>
      <c r="G63" s="56"/>
      <c r="H63" s="57"/>
      <c r="I63" s="57"/>
      <c r="J63" s="1"/>
      <c r="K63" s="1"/>
      <c r="L63" s="1"/>
      <c r="M63" s="1"/>
      <c r="N63" s="1"/>
      <c r="O63" s="62"/>
      <c r="P63" s="57"/>
      <c r="Q63" s="57"/>
      <c r="R63" s="57"/>
      <c r="S63" s="57"/>
      <c r="T63" s="57"/>
      <c r="U63" s="58"/>
      <c r="V63" s="4"/>
      <c r="W63" s="1"/>
    </row>
    <row r="64" spans="1:23" ht="12.4" customHeight="1">
      <c r="A64" s="1"/>
      <c r="B64" s="64" t="s">
        <v>61</v>
      </c>
      <c r="C64" s="1"/>
      <c r="D64" s="1"/>
      <c r="E64" s="1"/>
      <c r="F64" s="56"/>
      <c r="G64" s="56"/>
      <c r="H64" s="57"/>
      <c r="I64" s="57"/>
      <c r="J64" s="1"/>
      <c r="K64" s="31" t="s">
        <v>61</v>
      </c>
      <c r="L64" s="1"/>
      <c r="M64" s="1"/>
      <c r="N64" s="1"/>
      <c r="O64" s="62"/>
      <c r="P64" s="57"/>
      <c r="Q64" s="57"/>
      <c r="R64" s="57"/>
      <c r="S64" s="57"/>
      <c r="T64" s="57"/>
      <c r="U64" s="58"/>
      <c r="V64" s="4"/>
      <c r="W64" s="1"/>
    </row>
    <row r="65" spans="1:23" ht="12.4" customHeight="1">
      <c r="A65" s="1"/>
      <c r="B65" s="17" t="s">
        <v>118</v>
      </c>
      <c r="C65" s="1"/>
      <c r="D65" s="1"/>
      <c r="E65" s="1"/>
      <c r="F65" s="49"/>
      <c r="G65" s="56"/>
      <c r="H65" s="59">
        <v>0.16247</v>
      </c>
      <c r="I65" s="59">
        <f>H65</f>
        <v>0.16247</v>
      </c>
      <c r="J65" s="1"/>
      <c r="K65" s="1" t="s">
        <v>118</v>
      </c>
      <c r="L65" s="1"/>
      <c r="M65" s="1"/>
      <c r="N65" s="1"/>
      <c r="O65" s="49"/>
      <c r="P65" s="59">
        <f>H65</f>
        <v>0.16247</v>
      </c>
      <c r="Q65" s="59">
        <f>I65</f>
        <v>0.16247</v>
      </c>
      <c r="R65" s="57"/>
      <c r="S65" s="57">
        <f>+P65-H65</f>
        <v>0</v>
      </c>
      <c r="T65" s="57">
        <f>+Q65-I65</f>
        <v>0</v>
      </c>
      <c r="U65" s="58"/>
      <c r="V65" s="4"/>
      <c r="W65" s="62"/>
    </row>
    <row r="66" spans="1:23" ht="12.4" customHeight="1">
      <c r="A66" s="1"/>
      <c r="B66" s="65"/>
      <c r="C66" s="1"/>
      <c r="D66" s="1"/>
      <c r="E66" s="1"/>
      <c r="F66" s="220"/>
      <c r="G66" s="1"/>
      <c r="H66" s="50"/>
      <c r="I66" s="50"/>
      <c r="J66" s="1"/>
      <c r="K66" s="1"/>
      <c r="L66" s="1"/>
      <c r="M66" s="1"/>
      <c r="N66" s="1"/>
      <c r="O66" s="66"/>
      <c r="P66" s="50"/>
      <c r="Q66" s="50"/>
      <c r="R66" s="50"/>
      <c r="S66" s="50"/>
      <c r="T66" s="50"/>
      <c r="U66" s="67"/>
      <c r="V66" s="4"/>
      <c r="W66" s="1"/>
    </row>
    <row r="67" spans="1:23" ht="12.4" customHeight="1">
      <c r="A67" s="1"/>
      <c r="B67" s="77" t="s">
        <v>67</v>
      </c>
      <c r="C67" s="1"/>
      <c r="D67" s="1"/>
      <c r="E67" s="1"/>
      <c r="F67" s="56"/>
      <c r="G67" s="57"/>
      <c r="H67" s="4"/>
      <c r="I67" s="3"/>
      <c r="J67" s="3"/>
      <c r="K67" s="521" t="s">
        <v>67</v>
      </c>
      <c r="L67" s="1"/>
      <c r="M67" s="1"/>
      <c r="N67" s="1"/>
      <c r="O67" s="56"/>
      <c r="P67" s="57"/>
      <c r="Q67" s="57"/>
      <c r="R67" s="57"/>
      <c r="S67" s="57"/>
      <c r="T67" s="57"/>
      <c r="U67" s="58"/>
      <c r="V67" s="1"/>
      <c r="W67" s="1"/>
    </row>
    <row r="68" spans="1:23" ht="12.4" customHeight="1">
      <c r="A68" s="1"/>
      <c r="B68" s="61" t="s">
        <v>63</v>
      </c>
      <c r="C68" s="1"/>
      <c r="D68" s="1"/>
      <c r="E68" s="1"/>
      <c r="F68" s="56"/>
      <c r="G68" s="50"/>
      <c r="H68" s="50">
        <f>ROUND(H34*-0.4,2)</f>
        <v>-3.4</v>
      </c>
      <c r="I68" s="50">
        <f>ROUND(I34*-0.4,2)</f>
        <v>-3.4</v>
      </c>
      <c r="J68" s="3"/>
      <c r="K68" s="9" t="s">
        <v>63</v>
      </c>
      <c r="L68" s="1"/>
      <c r="M68" s="1"/>
      <c r="N68" s="1"/>
      <c r="O68" s="56"/>
      <c r="P68" s="50">
        <f>ROUND(P34*-0.4,2)</f>
        <v>-3.4</v>
      </c>
      <c r="Q68" s="50">
        <f>ROUND(Q34*-0.4,2)</f>
        <v>-3.4</v>
      </c>
      <c r="R68" s="50"/>
      <c r="S68" s="50">
        <f>+P68-H68</f>
        <v>0</v>
      </c>
      <c r="T68" s="50">
        <f>+Q68-I68</f>
        <v>0</v>
      </c>
      <c r="U68" s="52"/>
      <c r="V68" s="1"/>
      <c r="W68" s="1"/>
    </row>
    <row r="69" spans="1:23" ht="13.15" customHeight="1">
      <c r="A69" s="1"/>
      <c r="B69" s="61" t="s">
        <v>64</v>
      </c>
      <c r="C69" s="1"/>
      <c r="D69" s="1"/>
      <c r="E69" s="1"/>
      <c r="F69" s="56"/>
      <c r="G69" s="57"/>
      <c r="H69" s="57">
        <f>(H62+H65)*-0.4</f>
        <v>-0.17452400000000001</v>
      </c>
      <c r="I69" s="57">
        <f>(I62+I65)*-0.4</f>
        <v>-0.14835200000000001</v>
      </c>
      <c r="J69" s="3"/>
      <c r="K69" s="40" t="s">
        <v>64</v>
      </c>
      <c r="L69" s="1"/>
      <c r="M69" s="1"/>
      <c r="N69" s="1"/>
      <c r="O69" s="56"/>
      <c r="P69" s="57">
        <f>(P62+P65)*-0.4</f>
        <v>-0.17452400000000001</v>
      </c>
      <c r="Q69" s="57">
        <f>(Q62+Q65)*-0.4</f>
        <v>-0.137544</v>
      </c>
      <c r="R69" s="57"/>
      <c r="S69" s="57">
        <f>+P69-H69</f>
        <v>0</v>
      </c>
      <c r="T69" s="57">
        <f>+Q69-I69</f>
        <v>1.0808000000000012E-2</v>
      </c>
      <c r="U69" s="58"/>
      <c r="V69" s="1"/>
      <c r="W69" s="1"/>
    </row>
    <row r="70" spans="1:23" ht="13.15" customHeight="1">
      <c r="A70" s="1"/>
      <c r="B70" s="61"/>
      <c r="C70" s="1"/>
      <c r="D70" s="1"/>
      <c r="E70" s="1"/>
      <c r="F70" s="56"/>
      <c r="G70" s="57"/>
      <c r="H70" s="57"/>
      <c r="I70" s="3"/>
      <c r="J70" s="3"/>
      <c r="K70" s="40"/>
      <c r="L70" s="1"/>
      <c r="M70" s="1"/>
      <c r="N70" s="1"/>
      <c r="O70" s="56"/>
      <c r="P70" s="57"/>
      <c r="Q70" s="3"/>
      <c r="R70" s="57"/>
      <c r="S70" s="57"/>
      <c r="T70" s="1"/>
      <c r="U70" s="35"/>
      <c r="V70" s="78"/>
      <c r="W70" s="78"/>
    </row>
    <row r="71" spans="1:23" ht="12.4" customHeight="1">
      <c r="A71" s="1"/>
      <c r="B71" s="17"/>
      <c r="C71" s="4"/>
      <c r="D71" s="1"/>
      <c r="E71" s="1"/>
      <c r="F71" s="1"/>
      <c r="G71" s="66" t="s">
        <v>3</v>
      </c>
      <c r="H71" s="57">
        <f>H62+H65+H69</f>
        <v>0.26178599999999996</v>
      </c>
      <c r="I71" s="57">
        <f>I62+I65+I69</f>
        <v>0.22252799999999998</v>
      </c>
      <c r="J71" s="1"/>
      <c r="K71" s="1"/>
      <c r="L71" s="1"/>
      <c r="M71" s="1"/>
      <c r="N71" s="1"/>
      <c r="O71" s="66" t="s">
        <v>3</v>
      </c>
      <c r="P71" s="57">
        <f>P62+P65+P69</f>
        <v>0.26178599999999996</v>
      </c>
      <c r="Q71" s="57">
        <f>Q62+Q65+Q69</f>
        <v>0.206316</v>
      </c>
      <c r="R71" s="57"/>
      <c r="S71" s="57">
        <f>+P71-H71</f>
        <v>0</v>
      </c>
      <c r="T71" s="57">
        <f>+Q71-I71</f>
        <v>-1.6211999999999976E-2</v>
      </c>
      <c r="U71" s="58"/>
      <c r="V71" s="4"/>
      <c r="W71" s="62"/>
    </row>
    <row r="72" spans="1:23" ht="12.4" customHeight="1">
      <c r="A72" s="1"/>
      <c r="B72" s="68"/>
      <c r="C72" s="69"/>
      <c r="D72" s="69"/>
      <c r="E72" s="69"/>
      <c r="F72" s="70"/>
      <c r="G72" s="70"/>
      <c r="H72" s="71"/>
      <c r="I72" s="71"/>
      <c r="J72" s="69"/>
      <c r="K72" s="72"/>
      <c r="L72" s="69"/>
      <c r="M72" s="69"/>
      <c r="N72" s="69"/>
      <c r="O72" s="70"/>
      <c r="P72" s="71"/>
      <c r="Q72" s="71"/>
      <c r="R72" s="71"/>
      <c r="S72" s="71"/>
      <c r="T72" s="71"/>
      <c r="U72" s="73"/>
      <c r="V72" s="1"/>
      <c r="W72" s="1"/>
    </row>
    <row r="73" spans="1:23" ht="12.4" customHeight="1">
      <c r="A73" s="1"/>
      <c r="B73" s="4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57"/>
      <c r="T73" s="57"/>
      <c r="U73" s="1"/>
      <c r="V73" s="1"/>
      <c r="W73" s="1"/>
    </row>
    <row r="74" spans="1:23" ht="12.4" hidden="1" customHeight="1">
      <c r="A74" s="1"/>
      <c r="B74" s="74" t="s">
        <v>22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57"/>
      <c r="T74" s="57"/>
      <c r="U74" s="1"/>
      <c r="V74" s="1"/>
      <c r="W74" s="1"/>
    </row>
    <row r="75" spans="1:23" ht="12.4" hidden="1" customHeight="1">
      <c r="A75" s="1"/>
      <c r="B75" s="40" t="s">
        <v>22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57"/>
      <c r="T75" s="57"/>
      <c r="U75" s="1"/>
      <c r="V75" s="1"/>
      <c r="W75" s="1"/>
    </row>
    <row r="76" spans="1:23" ht="12.4" hidden="1" customHeight="1">
      <c r="A76" s="1"/>
      <c r="B76" s="40" t="s">
        <v>22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57"/>
      <c r="T76" s="57"/>
      <c r="U76" s="1"/>
      <c r="V76" s="1"/>
      <c r="W76" s="1"/>
    </row>
    <row r="77" spans="1:23" ht="13.15" customHeight="1">
      <c r="H77" s="57">
        <f>'HP-RES'!H67-H71+H69</f>
        <v>0</v>
      </c>
      <c r="I77" s="57">
        <f>'HP-RES'!I67-I71+I69</f>
        <v>0</v>
      </c>
      <c r="P77" s="57">
        <f>'HP-RES'!P67-P71+P69</f>
        <v>0</v>
      </c>
      <c r="Q77" s="57">
        <f>'HP-RES'!Q67-Q71+Q69</f>
        <v>0</v>
      </c>
      <c r="T77" s="57">
        <f>'HP-RES'!T67*0.6-T71</f>
        <v>0</v>
      </c>
    </row>
  </sheetData>
  <pageMargins left="0.7" right="0.7" top="0.75" bottom="0.75" header="0.3" footer="0.3"/>
  <pageSetup scale="56" orientation="portrait" horizontalDpi="1200" verticalDpi="1200" r:id="rId1"/>
  <headerFooter>
    <oddHeader>&amp;RFitchburg Gas &amp; Electric Light Company
(Electric Division)
D.P.U. 25-08
&amp;F
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5C87-07A8-414F-ABC8-37106DDC62FD}">
  <sheetPr codeName="Sheet5">
    <pageSetUpPr fitToPage="1"/>
  </sheetPr>
  <dimension ref="A1:AK137"/>
  <sheetViews>
    <sheetView topLeftCell="A3" zoomScale="85" zoomScaleNormal="85" workbookViewId="0">
      <selection activeCell="F18" sqref="F18"/>
    </sheetView>
  </sheetViews>
  <sheetFormatPr defaultColWidth="9.140625" defaultRowHeight="12.75"/>
  <cols>
    <col min="1" max="1" width="29.7109375" style="88" customWidth="1"/>
    <col min="2" max="2" width="6.5703125" style="88" customWidth="1"/>
    <col min="3" max="3" width="10.5703125" style="88" customWidth="1"/>
    <col min="4" max="4" width="7.42578125" style="88" bestFit="1" customWidth="1"/>
    <col min="5" max="5" width="35.28515625" style="88" bestFit="1" customWidth="1"/>
    <col min="6" max="6" width="12.7109375" style="88" bestFit="1" customWidth="1"/>
    <col min="7" max="7" width="14.7109375" style="88" customWidth="1"/>
    <col min="8" max="8" width="17.7109375" style="88" customWidth="1"/>
    <col min="9" max="9" width="12.7109375" style="88" bestFit="1" customWidth="1"/>
    <col min="10" max="10" width="13.7109375" style="88" customWidth="1"/>
    <col min="11" max="12" width="15.28515625" style="88" customWidth="1"/>
    <col min="13" max="13" width="17.7109375" style="88" customWidth="1"/>
    <col min="14" max="14" width="13.5703125" style="88" customWidth="1"/>
    <col min="15" max="15" width="16.5703125" style="88" customWidth="1"/>
    <col min="16" max="16" width="15.28515625" style="88" customWidth="1"/>
    <col min="17" max="17" width="15.5703125" style="88" bestFit="1" customWidth="1"/>
    <col min="18" max="18" width="13.7109375" style="88" bestFit="1" customWidth="1"/>
    <col min="19" max="19" width="13.7109375" style="88" customWidth="1"/>
    <col min="20" max="20" width="13.5703125" style="88" customWidth="1"/>
    <col min="21" max="21" width="12.7109375" style="88" customWidth="1"/>
    <col min="22" max="23" width="12.5703125" style="88" customWidth="1"/>
    <col min="24" max="24" width="9.140625" style="88"/>
    <col min="25" max="25" width="18" style="88" bestFit="1" customWidth="1"/>
    <col min="26" max="26" width="12.7109375" style="88" customWidth="1"/>
    <col min="27" max="16384" width="9.140625" style="88"/>
  </cols>
  <sheetData>
    <row r="1" spans="1:26">
      <c r="A1" s="88" t="s">
        <v>245</v>
      </c>
      <c r="U1" s="200" t="s">
        <v>316</v>
      </c>
    </row>
    <row r="2" spans="1:26">
      <c r="A2" s="88" t="s">
        <v>246</v>
      </c>
      <c r="U2" s="200" t="s">
        <v>317</v>
      </c>
    </row>
    <row r="3" spans="1:26">
      <c r="A3" s="88" t="s">
        <v>247</v>
      </c>
      <c r="U3" s="200" t="s">
        <v>248</v>
      </c>
    </row>
    <row r="4" spans="1:26">
      <c r="E4" s="89"/>
    </row>
    <row r="5" spans="1:26">
      <c r="A5" s="524"/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</row>
    <row r="6" spans="1:26">
      <c r="A6" s="91" t="s">
        <v>119</v>
      </c>
      <c r="F6" s="91"/>
      <c r="G6" s="91"/>
      <c r="S6" s="90"/>
    </row>
    <row r="7" spans="1:26">
      <c r="A7" s="91" t="s">
        <v>120</v>
      </c>
    </row>
    <row r="8" spans="1:26">
      <c r="A8" s="91"/>
      <c r="Y8" s="92"/>
    </row>
    <row r="9" spans="1:26">
      <c r="A9" s="525"/>
      <c r="B9" s="526"/>
      <c r="C9" s="526"/>
      <c r="D9" s="526"/>
      <c r="E9" s="526"/>
      <c r="F9" s="526"/>
      <c r="G9" s="526"/>
      <c r="H9" s="526"/>
      <c r="I9" s="526"/>
      <c r="J9" s="526"/>
      <c r="K9" s="526"/>
      <c r="L9" s="526"/>
      <c r="M9" s="526"/>
      <c r="N9" s="526"/>
      <c r="O9" s="526"/>
      <c r="P9" s="526"/>
      <c r="Q9" s="526"/>
      <c r="R9" s="526"/>
      <c r="S9" s="526"/>
      <c r="T9" s="526"/>
      <c r="U9" s="527"/>
      <c r="Y9" s="528" t="s">
        <v>276</v>
      </c>
      <c r="Z9" s="528"/>
    </row>
    <row r="10" spans="1:26" ht="13.9" customHeight="1">
      <c r="A10" s="93"/>
      <c r="B10" s="94"/>
      <c r="C10" s="95"/>
      <c r="D10" s="95"/>
      <c r="E10" s="96"/>
      <c r="F10" s="533" t="s">
        <v>121</v>
      </c>
      <c r="G10" s="534"/>
      <c r="H10" s="534"/>
      <c r="I10" s="535"/>
      <c r="J10" s="94"/>
      <c r="K10" s="536" t="s">
        <v>122</v>
      </c>
      <c r="L10" s="230" t="s">
        <v>277</v>
      </c>
      <c r="M10" s="529" t="s">
        <v>123</v>
      </c>
      <c r="N10" s="530"/>
      <c r="O10" s="530"/>
      <c r="P10" s="531"/>
      <c r="Q10" s="532" t="s">
        <v>124</v>
      </c>
      <c r="R10" s="532"/>
      <c r="S10" s="532"/>
      <c r="T10" s="95"/>
      <c r="U10" s="95"/>
      <c r="Y10" s="231" t="s">
        <v>278</v>
      </c>
      <c r="Z10" s="231" t="s">
        <v>278</v>
      </c>
    </row>
    <row r="11" spans="1:26" ht="13.9" customHeight="1">
      <c r="A11" s="97"/>
      <c r="B11" s="98" t="s">
        <v>125</v>
      </c>
      <c r="C11" s="99" t="s">
        <v>5</v>
      </c>
      <c r="D11" s="99" t="s">
        <v>81</v>
      </c>
      <c r="E11" s="100" t="s">
        <v>5</v>
      </c>
      <c r="F11" s="94"/>
      <c r="G11" s="94"/>
      <c r="H11" s="95"/>
      <c r="I11" s="95"/>
      <c r="J11" s="98"/>
      <c r="K11" s="537"/>
      <c r="L11" s="224" t="s">
        <v>279</v>
      </c>
      <c r="M11" s="99"/>
      <c r="N11" s="99"/>
      <c r="O11" s="99"/>
      <c r="P11" s="98"/>
      <c r="Q11" s="539" t="s">
        <v>126</v>
      </c>
      <c r="R11" s="536" t="s">
        <v>127</v>
      </c>
      <c r="S11" s="94"/>
      <c r="T11" s="99"/>
      <c r="U11" s="99"/>
      <c r="Y11" s="232" t="s">
        <v>280</v>
      </c>
      <c r="Z11" s="233" t="s">
        <v>60</v>
      </c>
    </row>
    <row r="12" spans="1:26" ht="25.5">
      <c r="A12" s="227" t="s">
        <v>128</v>
      </c>
      <c r="B12" s="229" t="s">
        <v>71</v>
      </c>
      <c r="C12" s="228" t="s">
        <v>129</v>
      </c>
      <c r="D12" s="228" t="s">
        <v>130</v>
      </c>
      <c r="E12" s="227" t="s">
        <v>38</v>
      </c>
      <c r="F12" s="226" t="s">
        <v>281</v>
      </c>
      <c r="G12" s="226" t="s">
        <v>282</v>
      </c>
      <c r="H12" s="225" t="s">
        <v>283</v>
      </c>
      <c r="I12" s="225" t="s">
        <v>272</v>
      </c>
      <c r="J12" s="226" t="s">
        <v>284</v>
      </c>
      <c r="K12" s="538"/>
      <c r="L12" s="225" t="s">
        <v>285</v>
      </c>
      <c r="M12" s="225" t="s">
        <v>48</v>
      </c>
      <c r="N12" s="228" t="s">
        <v>131</v>
      </c>
      <c r="O12" s="225" t="s">
        <v>49</v>
      </c>
      <c r="P12" s="225" t="s">
        <v>271</v>
      </c>
      <c r="Q12" s="540"/>
      <c r="R12" s="538"/>
      <c r="S12" s="229" t="s">
        <v>132</v>
      </c>
      <c r="T12" s="225" t="s">
        <v>286</v>
      </c>
      <c r="U12" s="225" t="s">
        <v>264</v>
      </c>
      <c r="Y12" s="92"/>
    </row>
    <row r="13" spans="1:26" s="105" customFormat="1">
      <c r="A13" s="101"/>
      <c r="B13" s="102"/>
      <c r="C13" s="102"/>
      <c r="D13" s="102"/>
      <c r="E13" s="103"/>
      <c r="F13" s="104"/>
      <c r="G13" s="104" t="s">
        <v>287</v>
      </c>
      <c r="H13" s="104"/>
      <c r="I13" s="104"/>
      <c r="J13" s="104" t="s">
        <v>288</v>
      </c>
      <c r="K13" s="104" t="s">
        <v>289</v>
      </c>
      <c r="L13" s="234" t="s">
        <v>290</v>
      </c>
      <c r="M13" s="104"/>
      <c r="N13" s="104" t="s">
        <v>133</v>
      </c>
      <c r="O13" s="104" t="s">
        <v>134</v>
      </c>
      <c r="P13" s="104"/>
      <c r="Q13" s="104"/>
      <c r="R13" s="104" t="s">
        <v>135</v>
      </c>
      <c r="S13" s="104"/>
      <c r="T13" s="104" t="s">
        <v>136</v>
      </c>
      <c r="U13" s="104"/>
      <c r="Y13" s="92"/>
    </row>
    <row r="14" spans="1:26" ht="6" customHeight="1">
      <c r="A14" s="106"/>
      <c r="B14" s="107"/>
      <c r="C14" s="107"/>
      <c r="D14" s="107"/>
      <c r="E14" s="10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Y14" s="92"/>
    </row>
    <row r="15" spans="1:26">
      <c r="A15" s="109" t="s">
        <v>108</v>
      </c>
      <c r="B15" s="110"/>
      <c r="C15" s="111"/>
      <c r="D15" s="110"/>
      <c r="E15" s="112"/>
      <c r="F15" s="113">
        <v>45658</v>
      </c>
      <c r="G15" s="113">
        <v>45658</v>
      </c>
      <c r="H15" s="113">
        <v>45658</v>
      </c>
      <c r="I15" s="113">
        <v>45658</v>
      </c>
      <c r="J15" s="113">
        <v>45658</v>
      </c>
      <c r="K15" s="113">
        <v>45658</v>
      </c>
      <c r="L15" s="235">
        <v>45658</v>
      </c>
      <c r="M15" s="113">
        <v>41791</v>
      </c>
      <c r="N15" s="113">
        <v>45658</v>
      </c>
      <c r="O15" s="113">
        <v>45658</v>
      </c>
      <c r="P15" s="113">
        <f>MAX(M15:O15)</f>
        <v>45658</v>
      </c>
      <c r="Q15" s="114">
        <v>37257</v>
      </c>
      <c r="R15" s="113">
        <v>45474</v>
      </c>
      <c r="S15" s="113">
        <f>R15</f>
        <v>45474</v>
      </c>
      <c r="T15" s="113">
        <v>37622</v>
      </c>
      <c r="U15" s="113">
        <f>+MAX(F15:T15)</f>
        <v>45658</v>
      </c>
      <c r="Y15" s="92"/>
    </row>
    <row r="16" spans="1:26" ht="6" customHeight="1">
      <c r="A16" s="115"/>
      <c r="B16" s="116"/>
      <c r="C16" s="116"/>
      <c r="D16" s="116"/>
      <c r="E16" s="117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Y16" s="92"/>
    </row>
    <row r="17" spans="1:26">
      <c r="A17" s="118" t="s">
        <v>9</v>
      </c>
      <c r="B17" s="119">
        <v>455</v>
      </c>
      <c r="C17" s="119"/>
      <c r="D17" s="119" t="s">
        <v>91</v>
      </c>
      <c r="E17" s="88" t="s">
        <v>0</v>
      </c>
      <c r="F17" s="120">
        <v>6.38</v>
      </c>
      <c r="G17" s="120"/>
      <c r="H17" s="118"/>
      <c r="I17" s="120">
        <v>6.38</v>
      </c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20">
        <v>6.38</v>
      </c>
      <c r="Y17" s="92"/>
    </row>
    <row r="18" spans="1:26">
      <c r="A18" s="118" t="s">
        <v>2</v>
      </c>
      <c r="B18" s="119"/>
      <c r="C18" s="121"/>
      <c r="D18" s="119"/>
      <c r="E18" s="118" t="s">
        <v>137</v>
      </c>
      <c r="F18" s="122">
        <v>0.10176</v>
      </c>
      <c r="G18" s="122">
        <v>0</v>
      </c>
      <c r="H18" s="122">
        <v>-6.4519999999999994E-2</v>
      </c>
      <c r="I18" s="122">
        <v>3.7240000000000009E-2</v>
      </c>
      <c r="J18" s="122">
        <v>6.6299999999999996E-3</v>
      </c>
      <c r="K18" s="122">
        <v>1.4370000000000001E-2</v>
      </c>
      <c r="L18" s="122">
        <v>2.717E-2</v>
      </c>
      <c r="M18" s="122">
        <v>3.9399999999999999E-3</v>
      </c>
      <c r="N18" s="122">
        <v>-2.1099999999999999E-3</v>
      </c>
      <c r="O18" s="122">
        <v>4.018E-2</v>
      </c>
      <c r="P18" s="122">
        <v>4.2009999999999999E-2</v>
      </c>
      <c r="Q18" s="122">
        <v>2.5000000000000001E-3</v>
      </c>
      <c r="R18" s="122">
        <v>2.4240000000000001E-2</v>
      </c>
      <c r="S18" s="122">
        <v>2.674E-2</v>
      </c>
      <c r="T18" s="122">
        <v>5.0000000000000001E-4</v>
      </c>
      <c r="U18" s="122">
        <v>0.15465999999999999</v>
      </c>
      <c r="Y18" s="90">
        <f>U18-K18</f>
        <v>0.14029</v>
      </c>
      <c r="Z18" s="90">
        <f>K18</f>
        <v>1.4370000000000001E-2</v>
      </c>
    </row>
    <row r="19" spans="1:26">
      <c r="A19" s="118"/>
      <c r="B19" s="119"/>
      <c r="C19" s="123"/>
      <c r="D19" s="119"/>
      <c r="E19" s="118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Y19" s="92"/>
      <c r="Z19" s="90"/>
    </row>
    <row r="20" spans="1:26">
      <c r="A20" s="118" t="s">
        <v>95</v>
      </c>
      <c r="B20" s="119"/>
      <c r="C20" s="119"/>
      <c r="D20" s="119"/>
      <c r="E20" s="88" t="s">
        <v>0</v>
      </c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0">
        <v>-0.63800000000000001</v>
      </c>
      <c r="Y20" s="92"/>
      <c r="Z20" s="90"/>
    </row>
    <row r="21" spans="1:26">
      <c r="A21" s="124"/>
      <c r="B21" s="125"/>
      <c r="C21" s="125"/>
      <c r="D21" s="125"/>
      <c r="E21" s="124" t="s">
        <v>137</v>
      </c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6">
        <v>-1.5466000000000001E-2</v>
      </c>
      <c r="Y21" s="92"/>
    </row>
    <row r="22" spans="1:26">
      <c r="A22" s="118" t="s">
        <v>10</v>
      </c>
      <c r="B22" s="119">
        <v>456</v>
      </c>
      <c r="C22" s="119"/>
      <c r="D22" s="119" t="s">
        <v>91</v>
      </c>
      <c r="E22" s="118" t="s">
        <v>7</v>
      </c>
      <c r="F22" s="120">
        <v>6.38</v>
      </c>
      <c r="G22" s="120"/>
      <c r="H22" s="118"/>
      <c r="I22" s="120">
        <v>6.38</v>
      </c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20">
        <v>6.38</v>
      </c>
      <c r="Y22" s="92"/>
    </row>
    <row r="23" spans="1:26">
      <c r="A23" s="118" t="s">
        <v>138</v>
      </c>
      <c r="B23" s="119"/>
      <c r="C23" s="123"/>
      <c r="D23" s="119"/>
      <c r="E23" s="118" t="s">
        <v>137</v>
      </c>
      <c r="F23" s="122">
        <v>0.10176</v>
      </c>
      <c r="G23" s="122">
        <v>0</v>
      </c>
      <c r="H23" s="122">
        <v>-6.4519999999999994E-2</v>
      </c>
      <c r="I23" s="122">
        <v>3.7240000000000009E-2</v>
      </c>
      <c r="J23" s="122">
        <v>6.6299999999999996E-3</v>
      </c>
      <c r="K23" s="122">
        <v>1.4370000000000001E-2</v>
      </c>
      <c r="L23" s="122">
        <v>2.717E-2</v>
      </c>
      <c r="M23" s="122">
        <v>3.9399999999999999E-3</v>
      </c>
      <c r="N23" s="122">
        <v>-2.1099999999999999E-3</v>
      </c>
      <c r="O23" s="122">
        <v>4.018E-2</v>
      </c>
      <c r="P23" s="122">
        <v>4.2009999999999999E-2</v>
      </c>
      <c r="Q23" s="122">
        <v>2.5000000000000001E-3</v>
      </c>
      <c r="R23" s="122">
        <v>2.4240000000000001E-2</v>
      </c>
      <c r="S23" s="122">
        <v>2.674E-2</v>
      </c>
      <c r="T23" s="122">
        <v>5.0000000000000001E-4</v>
      </c>
      <c r="U23" s="122">
        <v>0.15465999999999999</v>
      </c>
      <c r="Y23" s="90">
        <f>U23-K23</f>
        <v>0.14029</v>
      </c>
      <c r="Z23" s="90">
        <f>K23</f>
        <v>1.4370000000000001E-2</v>
      </c>
    </row>
    <row r="24" spans="1:26">
      <c r="A24" s="118"/>
      <c r="B24" s="119"/>
      <c r="C24" s="119"/>
      <c r="D24" s="119"/>
      <c r="E24" s="118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Y24" s="92"/>
      <c r="Z24" s="90"/>
    </row>
    <row r="25" spans="1:26">
      <c r="A25" s="118" t="s">
        <v>139</v>
      </c>
      <c r="B25" s="119"/>
      <c r="C25" s="119"/>
      <c r="D25" s="119"/>
      <c r="E25" s="118" t="s">
        <v>7</v>
      </c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0">
        <v>-2.552</v>
      </c>
      <c r="Y25" s="92"/>
      <c r="Z25" s="90"/>
    </row>
    <row r="26" spans="1:26">
      <c r="A26" s="118" t="s">
        <v>62</v>
      </c>
      <c r="B26" s="119"/>
      <c r="C26" s="119"/>
      <c r="D26" s="119"/>
      <c r="E26" s="118" t="s">
        <v>137</v>
      </c>
      <c r="F26" s="236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2">
        <v>-6.1859999999999998E-2</v>
      </c>
      <c r="Y26" s="90">
        <f>-ROUND(Y18*(0.4),5)+Y18-Y23</f>
        <v>-5.6120000000000003E-2</v>
      </c>
      <c r="Z26" s="90">
        <f>-ROUND(Z18*(0.4),5)+Z18-Z23</f>
        <v>-5.7499999999999999E-3</v>
      </c>
    </row>
    <row r="27" spans="1:26">
      <c r="A27" s="118"/>
      <c r="B27" s="119"/>
      <c r="C27" s="119"/>
      <c r="D27" s="119"/>
      <c r="E27" s="118"/>
      <c r="F27" s="236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237"/>
      <c r="Y27" s="128"/>
    </row>
    <row r="28" spans="1:26">
      <c r="A28" s="118" t="s">
        <v>95</v>
      </c>
      <c r="B28" s="119"/>
      <c r="C28" s="119"/>
      <c r="D28" s="119"/>
      <c r="E28" s="118" t="s">
        <v>7</v>
      </c>
      <c r="F28" s="236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0">
        <v>-0.38280000000000003</v>
      </c>
      <c r="Y28" s="92"/>
    </row>
    <row r="29" spans="1:26">
      <c r="A29" s="124"/>
      <c r="B29" s="125"/>
      <c r="C29" s="125"/>
      <c r="D29" s="125"/>
      <c r="E29" s="124" t="s">
        <v>137</v>
      </c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6">
        <v>-9.2800000000000001E-3</v>
      </c>
      <c r="Y29" s="90">
        <f>-ROUND((Y26+Y23)/10,5)</f>
        <v>-8.4200000000000004E-3</v>
      </c>
      <c r="Z29" s="90">
        <f>-ROUND((Z26+Z23)/10,5)</f>
        <v>-8.5999999999999998E-4</v>
      </c>
    </row>
    <row r="30" spans="1:26">
      <c r="A30" s="118" t="s">
        <v>291</v>
      </c>
      <c r="B30" s="119">
        <v>466</v>
      </c>
      <c r="C30" s="119"/>
      <c r="D30" s="119" t="s">
        <v>91</v>
      </c>
      <c r="E30" s="88" t="s">
        <v>0</v>
      </c>
      <c r="F30" s="120">
        <v>6.38</v>
      </c>
      <c r="G30" s="120"/>
      <c r="H30" s="118"/>
      <c r="I30" s="120">
        <v>6.38</v>
      </c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20">
        <v>6.38</v>
      </c>
    </row>
    <row r="31" spans="1:26">
      <c r="A31" s="118" t="s">
        <v>2</v>
      </c>
      <c r="B31" s="119"/>
      <c r="C31" s="121"/>
      <c r="D31" s="119"/>
      <c r="E31" s="118" t="s">
        <v>292</v>
      </c>
      <c r="F31" s="122">
        <v>3.6330000000000001E-2</v>
      </c>
      <c r="G31" s="122">
        <v>0</v>
      </c>
      <c r="H31" s="122">
        <v>-4.8489999999999998E-2</v>
      </c>
      <c r="I31" s="122">
        <v>-1.2159999999999997E-2</v>
      </c>
      <c r="J31" s="122">
        <v>6.6299999999999996E-3</v>
      </c>
      <c r="K31" s="122">
        <v>1.4370000000000001E-2</v>
      </c>
      <c r="L31" s="122">
        <v>2.717E-2</v>
      </c>
      <c r="M31" s="122">
        <v>3.9399999999999999E-3</v>
      </c>
      <c r="N31" s="122">
        <v>-2.1099999999999999E-3</v>
      </c>
      <c r="O31" s="122">
        <v>4.018E-2</v>
      </c>
      <c r="P31" s="122">
        <v>4.2009999999999999E-2</v>
      </c>
      <c r="Q31" s="122">
        <v>2.5000000000000001E-3</v>
      </c>
      <c r="R31" s="122">
        <v>2.4240000000000001E-2</v>
      </c>
      <c r="S31" s="122">
        <v>2.674E-2</v>
      </c>
      <c r="T31" s="122">
        <v>5.0000000000000001E-4</v>
      </c>
      <c r="U31" s="122">
        <v>0.10526000000000001</v>
      </c>
      <c r="Z31" s="90"/>
    </row>
    <row r="32" spans="1:26">
      <c r="A32" s="118"/>
      <c r="B32" s="119"/>
      <c r="C32" s="123"/>
      <c r="D32" s="119"/>
      <c r="E32" s="118" t="s">
        <v>293</v>
      </c>
      <c r="F32" s="122">
        <v>0.10176</v>
      </c>
      <c r="G32" s="122">
        <v>0</v>
      </c>
      <c r="H32" s="122">
        <v>4.1189999999999997E-2</v>
      </c>
      <c r="I32" s="122">
        <v>0.14294999999999999</v>
      </c>
      <c r="J32" s="122">
        <v>6.6299999999999996E-3</v>
      </c>
      <c r="K32" s="122">
        <v>1.4370000000000001E-2</v>
      </c>
      <c r="L32" s="122">
        <v>2.717E-2</v>
      </c>
      <c r="M32" s="122">
        <v>3.9399999999999999E-3</v>
      </c>
      <c r="N32" s="122">
        <v>-2.1099999999999999E-3</v>
      </c>
      <c r="O32" s="122">
        <v>4.018E-2</v>
      </c>
      <c r="P32" s="122">
        <v>4.2009999999999999E-2</v>
      </c>
      <c r="Q32" s="122">
        <v>2.5000000000000001E-3</v>
      </c>
      <c r="R32" s="122">
        <v>2.4240000000000001E-2</v>
      </c>
      <c r="S32" s="122">
        <v>2.674E-2</v>
      </c>
      <c r="T32" s="122">
        <v>5.0000000000000001E-4</v>
      </c>
      <c r="U32" s="122">
        <v>0.26036999999999999</v>
      </c>
      <c r="Z32" s="90"/>
    </row>
    <row r="33" spans="1:26">
      <c r="A33" s="118" t="s">
        <v>95</v>
      </c>
      <c r="B33" s="119"/>
      <c r="C33" s="119"/>
      <c r="D33" s="119"/>
      <c r="E33" s="88" t="s">
        <v>0</v>
      </c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0">
        <v>-0.63800000000000001</v>
      </c>
      <c r="Z33" s="90"/>
    </row>
    <row r="34" spans="1:26">
      <c r="A34" s="118"/>
      <c r="B34" s="119"/>
      <c r="C34" s="119"/>
      <c r="D34" s="119"/>
      <c r="E34" s="118" t="s">
        <v>292</v>
      </c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>
        <v>-1.0526000000000001E-2</v>
      </c>
      <c r="Z34" s="90"/>
    </row>
    <row r="35" spans="1:26">
      <c r="A35" s="124"/>
      <c r="B35" s="125"/>
      <c r="C35" s="125"/>
      <c r="D35" s="125"/>
      <c r="E35" s="124" t="s">
        <v>293</v>
      </c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6">
        <v>-2.6037000000000001E-2</v>
      </c>
    </row>
    <row r="36" spans="1:26">
      <c r="A36" s="118" t="s">
        <v>294</v>
      </c>
      <c r="B36" s="119">
        <v>467</v>
      </c>
      <c r="C36" s="119"/>
      <c r="D36" s="119" t="s">
        <v>91</v>
      </c>
      <c r="E36" s="118" t="s">
        <v>7</v>
      </c>
      <c r="F36" s="120">
        <v>6.38</v>
      </c>
      <c r="G36" s="120"/>
      <c r="H36" s="118"/>
      <c r="I36" s="120">
        <v>6.38</v>
      </c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20">
        <v>6.38</v>
      </c>
    </row>
    <row r="37" spans="1:26">
      <c r="A37" s="118" t="s">
        <v>138</v>
      </c>
      <c r="B37" s="119"/>
      <c r="C37" s="123"/>
      <c r="D37" s="119"/>
      <c r="E37" s="118" t="s">
        <v>292</v>
      </c>
      <c r="F37" s="122">
        <v>3.6330000000000001E-2</v>
      </c>
      <c r="G37" s="122">
        <v>0</v>
      </c>
      <c r="H37" s="122">
        <v>-4.8489999999999998E-2</v>
      </c>
      <c r="I37" s="122">
        <v>-1.2159999999999997E-2</v>
      </c>
      <c r="J37" s="122">
        <v>6.6299999999999996E-3</v>
      </c>
      <c r="K37" s="122">
        <v>1.4370000000000001E-2</v>
      </c>
      <c r="L37" s="122">
        <v>2.717E-2</v>
      </c>
      <c r="M37" s="122">
        <v>3.9399999999999999E-3</v>
      </c>
      <c r="N37" s="122">
        <v>-2.1099999999999999E-3</v>
      </c>
      <c r="O37" s="122">
        <v>4.018E-2</v>
      </c>
      <c r="P37" s="122">
        <v>4.2009999999999999E-2</v>
      </c>
      <c r="Q37" s="122">
        <v>2.5000000000000001E-3</v>
      </c>
      <c r="R37" s="122">
        <v>2.4240000000000001E-2</v>
      </c>
      <c r="S37" s="122">
        <v>2.674E-2</v>
      </c>
      <c r="T37" s="122">
        <v>5.0000000000000001E-4</v>
      </c>
      <c r="U37" s="122">
        <v>0.10526000000000001</v>
      </c>
      <c r="Z37" s="90"/>
    </row>
    <row r="38" spans="1:26">
      <c r="A38" s="118"/>
      <c r="B38" s="119"/>
      <c r="C38" s="119"/>
      <c r="D38" s="119"/>
      <c r="E38" s="118" t="s">
        <v>293</v>
      </c>
      <c r="F38" s="122">
        <v>0.10176</v>
      </c>
      <c r="G38" s="122">
        <v>0</v>
      </c>
      <c r="H38" s="122">
        <v>4.1189999999999997E-2</v>
      </c>
      <c r="I38" s="122">
        <v>0.14294999999999999</v>
      </c>
      <c r="J38" s="122">
        <v>6.6299999999999996E-3</v>
      </c>
      <c r="K38" s="122">
        <v>1.4370000000000001E-2</v>
      </c>
      <c r="L38" s="122">
        <v>2.717E-2</v>
      </c>
      <c r="M38" s="122">
        <v>3.9399999999999999E-3</v>
      </c>
      <c r="N38" s="122">
        <v>-2.1099999999999999E-3</v>
      </c>
      <c r="O38" s="122">
        <v>4.018E-2</v>
      </c>
      <c r="P38" s="122">
        <v>4.2009999999999999E-2</v>
      </c>
      <c r="Q38" s="122">
        <v>2.5000000000000001E-3</v>
      </c>
      <c r="R38" s="122">
        <v>2.4240000000000001E-2</v>
      </c>
      <c r="S38" s="122">
        <v>2.674E-2</v>
      </c>
      <c r="T38" s="122">
        <v>5.0000000000000001E-4</v>
      </c>
      <c r="U38" s="122">
        <v>0.26036999999999999</v>
      </c>
      <c r="Z38" s="90"/>
    </row>
    <row r="39" spans="1:26">
      <c r="A39" s="118"/>
      <c r="B39" s="119"/>
      <c r="C39" s="119"/>
      <c r="D39" s="119"/>
      <c r="E39" s="118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Z39" s="90"/>
    </row>
    <row r="40" spans="1:26">
      <c r="A40" s="118" t="s">
        <v>139</v>
      </c>
      <c r="B40" s="119"/>
      <c r="C40" s="119"/>
      <c r="D40" s="119"/>
      <c r="E40" s="118" t="s">
        <v>7</v>
      </c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0">
        <v>-2.552</v>
      </c>
      <c r="Z40" s="90"/>
    </row>
    <row r="41" spans="1:26">
      <c r="A41" s="118" t="s">
        <v>62</v>
      </c>
      <c r="B41" s="119"/>
      <c r="C41" s="119"/>
      <c r="D41" s="119"/>
      <c r="E41" s="118" t="s">
        <v>292</v>
      </c>
      <c r="F41" s="236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2">
        <v>-4.2099999999999999E-2</v>
      </c>
    </row>
    <row r="42" spans="1:26">
      <c r="A42" s="118"/>
      <c r="B42" s="119"/>
      <c r="C42" s="119"/>
      <c r="D42" s="119"/>
      <c r="E42" s="118" t="s">
        <v>293</v>
      </c>
      <c r="F42" s="236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2">
        <v>-0.10415000000000001</v>
      </c>
    </row>
    <row r="43" spans="1:26">
      <c r="A43" s="118" t="s">
        <v>95</v>
      </c>
      <c r="B43" s="119"/>
      <c r="C43" s="119"/>
      <c r="D43" s="119"/>
      <c r="E43" s="118" t="s">
        <v>7</v>
      </c>
      <c r="F43" s="236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0">
        <v>-0.38280000000000003</v>
      </c>
    </row>
    <row r="44" spans="1:26">
      <c r="A44" s="118"/>
      <c r="B44" s="119"/>
      <c r="C44" s="119"/>
      <c r="D44" s="119"/>
      <c r="E44" s="118" t="s">
        <v>292</v>
      </c>
      <c r="F44" s="236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238"/>
      <c r="U44" s="239">
        <v>-6.3160000000000013E-3</v>
      </c>
    </row>
    <row r="45" spans="1:26">
      <c r="A45" s="124"/>
      <c r="B45" s="125"/>
      <c r="C45" s="125"/>
      <c r="D45" s="125"/>
      <c r="E45" s="124" t="s">
        <v>293</v>
      </c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6">
        <v>-1.5621999999999997E-2</v>
      </c>
    </row>
    <row r="46" spans="1:26">
      <c r="A46" s="118" t="s">
        <v>11</v>
      </c>
      <c r="B46" s="119">
        <v>457</v>
      </c>
      <c r="C46" s="119"/>
      <c r="D46" s="119" t="s">
        <v>91</v>
      </c>
      <c r="E46" s="88" t="s">
        <v>0</v>
      </c>
      <c r="F46" s="120">
        <v>12</v>
      </c>
      <c r="G46" s="120"/>
      <c r="H46" s="118"/>
      <c r="I46" s="120">
        <v>12</v>
      </c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20">
        <v>12</v>
      </c>
      <c r="Y46" s="92"/>
    </row>
    <row r="47" spans="1:26">
      <c r="A47" s="118" t="s">
        <v>140</v>
      </c>
      <c r="B47" s="119"/>
      <c r="C47" s="119"/>
      <c r="D47" s="119"/>
      <c r="E47" s="118" t="s">
        <v>137</v>
      </c>
      <c r="F47" s="122">
        <v>7.6780000000000001E-2</v>
      </c>
      <c r="G47" s="122">
        <v>0</v>
      </c>
      <c r="H47" s="122">
        <v>2.3439999999999999E-2</v>
      </c>
      <c r="I47" s="122">
        <v>0.10022</v>
      </c>
      <c r="J47" s="122">
        <v>3.5899999999999999E-3</v>
      </c>
      <c r="K47" s="122">
        <v>7.79E-3</v>
      </c>
      <c r="L47" s="122">
        <v>1.473E-2</v>
      </c>
      <c r="M47" s="122">
        <v>3.2299999999999998E-3</v>
      </c>
      <c r="N47" s="122">
        <v>-1.75E-3</v>
      </c>
      <c r="O47" s="122">
        <v>3.3369999999999997E-2</v>
      </c>
      <c r="P47" s="122">
        <v>3.4849999999999999E-2</v>
      </c>
      <c r="Q47" s="122">
        <v>2.5000000000000001E-3</v>
      </c>
      <c r="R47" s="122">
        <v>4.7999999999999996E-3</v>
      </c>
      <c r="S47" s="122">
        <v>7.2999999999999992E-3</v>
      </c>
      <c r="T47" s="122">
        <v>5.0000000000000001E-4</v>
      </c>
      <c r="U47" s="122">
        <v>0.16897999999999999</v>
      </c>
      <c r="Y47" s="92"/>
      <c r="Z47" s="90"/>
    </row>
    <row r="48" spans="1:26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Y48" s="92"/>
    </row>
    <row r="49" spans="1:26">
      <c r="A49" s="118" t="s">
        <v>95</v>
      </c>
      <c r="B49" s="119"/>
      <c r="C49" s="123"/>
      <c r="D49" s="119"/>
      <c r="E49" s="118" t="s">
        <v>7</v>
      </c>
      <c r="F49" s="120"/>
      <c r="G49" s="118"/>
      <c r="H49" s="118"/>
      <c r="I49" s="120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20">
        <v>-1.2000000000000002</v>
      </c>
      <c r="Y49" s="92"/>
    </row>
    <row r="50" spans="1:26">
      <c r="A50" s="124"/>
      <c r="B50" s="125"/>
      <c r="C50" s="129"/>
      <c r="D50" s="125"/>
      <c r="E50" s="124" t="s">
        <v>137</v>
      </c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>
        <v>-1.6898E-2</v>
      </c>
      <c r="Y50" s="92"/>
      <c r="Z50" s="90"/>
    </row>
    <row r="51" spans="1:26">
      <c r="A51" s="118" t="s">
        <v>12</v>
      </c>
      <c r="B51" s="119">
        <v>457</v>
      </c>
      <c r="C51" s="119"/>
      <c r="D51" s="119" t="s">
        <v>91</v>
      </c>
      <c r="E51" s="88" t="s">
        <v>0</v>
      </c>
      <c r="F51" s="120">
        <v>12</v>
      </c>
      <c r="G51" s="120"/>
      <c r="H51" s="118"/>
      <c r="I51" s="120">
        <v>12</v>
      </c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20">
        <v>12</v>
      </c>
      <c r="Y51" s="92"/>
    </row>
    <row r="52" spans="1:26">
      <c r="A52" s="118" t="s">
        <v>141</v>
      </c>
      <c r="B52" s="119"/>
      <c r="C52" s="119"/>
      <c r="D52" s="119"/>
      <c r="E52" s="118" t="s">
        <v>142</v>
      </c>
      <c r="F52" s="120">
        <v>10.51</v>
      </c>
      <c r="G52" s="120"/>
      <c r="H52" s="118"/>
      <c r="I52" s="120">
        <v>10.51</v>
      </c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20">
        <v>10.51</v>
      </c>
      <c r="Y52" s="92"/>
    </row>
    <row r="53" spans="1:26">
      <c r="A53" s="118"/>
      <c r="B53" s="119"/>
      <c r="C53" s="119"/>
      <c r="D53" s="119"/>
      <c r="E53" s="118" t="s">
        <v>32</v>
      </c>
      <c r="F53" s="122">
        <v>2.4490000000000001E-2</v>
      </c>
      <c r="G53" s="122">
        <v>0</v>
      </c>
      <c r="H53" s="122">
        <v>2.3200000000000002E-2</v>
      </c>
      <c r="I53" s="122">
        <v>4.7690000000000003E-2</v>
      </c>
      <c r="J53" s="122">
        <v>3.5899999999999999E-3</v>
      </c>
      <c r="K53" s="122">
        <v>7.79E-3</v>
      </c>
      <c r="L53" s="122">
        <v>1.473E-2</v>
      </c>
      <c r="M53" s="122">
        <v>3.2299999999999998E-3</v>
      </c>
      <c r="N53" s="122">
        <v>-1.75E-3</v>
      </c>
      <c r="O53" s="122">
        <v>3.3369999999999997E-2</v>
      </c>
      <c r="P53" s="119">
        <v>3.4849999999999999E-2</v>
      </c>
      <c r="Q53" s="122">
        <v>2.5000000000000001E-3</v>
      </c>
      <c r="R53" s="122">
        <v>4.7999999999999996E-3</v>
      </c>
      <c r="S53" s="119">
        <v>7.2999999999999992E-3</v>
      </c>
      <c r="T53" s="122">
        <v>5.0000000000000001E-4</v>
      </c>
      <c r="U53" s="122">
        <v>0.11645</v>
      </c>
      <c r="Y53" s="92"/>
    </row>
    <row r="54" spans="1:26">
      <c r="A54" s="118" t="s">
        <v>95</v>
      </c>
      <c r="B54" s="119"/>
      <c r="C54" s="119"/>
      <c r="D54" s="119"/>
      <c r="E54" s="118" t="s">
        <v>0</v>
      </c>
      <c r="F54" s="120"/>
      <c r="G54" s="120"/>
      <c r="H54" s="118"/>
      <c r="I54" s="120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20">
        <v>-1.2000000000000002</v>
      </c>
      <c r="Y54" s="92"/>
    </row>
    <row r="55" spans="1:26">
      <c r="A55" s="118"/>
      <c r="B55" s="119"/>
      <c r="C55" s="119"/>
      <c r="D55" s="119"/>
      <c r="E55" s="118" t="s">
        <v>142</v>
      </c>
      <c r="F55" s="120"/>
      <c r="G55" s="120"/>
      <c r="H55" s="118"/>
      <c r="I55" s="120"/>
      <c r="J55" s="118"/>
      <c r="K55" s="118"/>
      <c r="L55" s="118"/>
      <c r="M55" s="118"/>
      <c r="N55" s="118"/>
      <c r="O55" s="118"/>
      <c r="P55" s="120"/>
      <c r="Q55" s="120"/>
      <c r="R55" s="120"/>
      <c r="S55" s="120"/>
      <c r="T55" s="130"/>
      <c r="U55" s="120">
        <v>-1.0509999999999999</v>
      </c>
      <c r="Y55" s="92"/>
    </row>
    <row r="56" spans="1:26">
      <c r="A56" s="124"/>
      <c r="B56" s="125"/>
      <c r="C56" s="125"/>
      <c r="D56" s="125"/>
      <c r="E56" s="124" t="s">
        <v>32</v>
      </c>
      <c r="F56" s="131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6">
        <v>-1.1645000000000001E-2</v>
      </c>
      <c r="Y56" s="92"/>
    </row>
    <row r="57" spans="1:26">
      <c r="A57" s="118" t="s">
        <v>14</v>
      </c>
      <c r="B57" s="119">
        <v>457</v>
      </c>
      <c r="C57" s="119"/>
      <c r="D57" s="119" t="s">
        <v>91</v>
      </c>
      <c r="E57" s="118" t="s">
        <v>0</v>
      </c>
      <c r="F57" s="120">
        <v>370</v>
      </c>
      <c r="G57" s="120"/>
      <c r="H57" s="118"/>
      <c r="I57" s="120">
        <v>370</v>
      </c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20">
        <v>370</v>
      </c>
      <c r="Y57" s="92"/>
    </row>
    <row r="58" spans="1:26">
      <c r="A58" s="118" t="s">
        <v>143</v>
      </c>
      <c r="B58" s="119"/>
      <c r="C58" s="119"/>
      <c r="D58" s="119"/>
      <c r="E58" s="118" t="s">
        <v>144</v>
      </c>
      <c r="F58" s="120">
        <v>10.5</v>
      </c>
      <c r="G58" s="120"/>
      <c r="H58" s="118"/>
      <c r="I58" s="120">
        <v>10.5</v>
      </c>
      <c r="J58" s="118"/>
      <c r="K58" s="118"/>
      <c r="L58" s="118"/>
      <c r="M58" s="118"/>
      <c r="N58" s="118"/>
      <c r="O58" s="118"/>
      <c r="P58" s="120"/>
      <c r="Q58" s="120"/>
      <c r="R58" s="120"/>
      <c r="S58" s="120"/>
      <c r="T58" s="130"/>
      <c r="U58" s="120">
        <v>10.5</v>
      </c>
      <c r="Y58" s="92"/>
    </row>
    <row r="59" spans="1:26">
      <c r="A59" s="118"/>
      <c r="B59" s="119"/>
      <c r="C59" s="119"/>
      <c r="D59" s="119"/>
      <c r="E59" s="118" t="s">
        <v>145</v>
      </c>
      <c r="F59" s="122">
        <v>2.775E-2</v>
      </c>
      <c r="G59" s="122">
        <v>0</v>
      </c>
      <c r="H59" s="122">
        <v>1.9009999999999999E-2</v>
      </c>
      <c r="I59" s="122">
        <v>4.6759999999999996E-2</v>
      </c>
      <c r="J59" s="122">
        <v>2.9499999999999999E-3</v>
      </c>
      <c r="K59" s="122">
        <v>6.3800000000000003E-3</v>
      </c>
      <c r="L59" s="122">
        <v>1.2070000000000001E-2</v>
      </c>
      <c r="M59" s="122">
        <v>3.0999999999999999E-3</v>
      </c>
      <c r="N59" s="122">
        <v>-2.2100000000000002E-3</v>
      </c>
      <c r="O59" s="122">
        <v>4.2020000000000002E-2</v>
      </c>
      <c r="P59" s="122">
        <v>4.2910000000000004E-2</v>
      </c>
      <c r="Q59" s="122">
        <v>2.5000000000000001E-3</v>
      </c>
      <c r="R59" s="122">
        <v>4.7999999999999996E-3</v>
      </c>
      <c r="S59" s="122">
        <v>7.2999999999999992E-3</v>
      </c>
      <c r="T59" s="122">
        <v>5.0000000000000001E-4</v>
      </c>
      <c r="U59" s="122">
        <v>0.11887</v>
      </c>
      <c r="Y59" s="92"/>
      <c r="Z59" s="90"/>
    </row>
    <row r="60" spans="1:26">
      <c r="A60" s="118"/>
      <c r="B60" s="119"/>
      <c r="C60" s="119"/>
      <c r="D60" s="119"/>
      <c r="E60" s="118" t="s">
        <v>36</v>
      </c>
      <c r="F60" s="122">
        <v>6.1700000000000001E-3</v>
      </c>
      <c r="G60" s="122">
        <v>0</v>
      </c>
      <c r="H60" s="122">
        <v>1.9009999999999999E-2</v>
      </c>
      <c r="I60" s="122">
        <v>2.5180000000000001E-2</v>
      </c>
      <c r="J60" s="122">
        <v>2.9499999999999999E-3</v>
      </c>
      <c r="K60" s="122">
        <v>6.3800000000000003E-3</v>
      </c>
      <c r="L60" s="122">
        <v>1.2070000000000001E-2</v>
      </c>
      <c r="M60" s="122">
        <v>3.0999999999999999E-3</v>
      </c>
      <c r="N60" s="122">
        <v>-2.2100000000000002E-3</v>
      </c>
      <c r="O60" s="122">
        <v>4.2020000000000002E-2</v>
      </c>
      <c r="P60" s="122">
        <v>4.2910000000000004E-2</v>
      </c>
      <c r="Q60" s="122">
        <v>2.5000000000000001E-3</v>
      </c>
      <c r="R60" s="122">
        <v>4.7999999999999996E-3</v>
      </c>
      <c r="S60" s="122">
        <v>7.2999999999999992E-3</v>
      </c>
      <c r="T60" s="122">
        <v>5.0000000000000001E-4</v>
      </c>
      <c r="U60" s="122">
        <v>9.7290000000000001E-2</v>
      </c>
      <c r="Y60" s="92"/>
      <c r="Z60" s="90"/>
    </row>
    <row r="61" spans="1:26">
      <c r="A61" s="118" t="s">
        <v>95</v>
      </c>
      <c r="B61" s="119"/>
      <c r="C61" s="119"/>
      <c r="D61" s="119"/>
      <c r="E61" s="118" t="s">
        <v>0</v>
      </c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0">
        <v>-37</v>
      </c>
      <c r="Y61" s="92"/>
      <c r="Z61" s="90"/>
    </row>
    <row r="62" spans="1:26">
      <c r="A62" s="118"/>
      <c r="B62" s="119"/>
      <c r="C62" s="119"/>
      <c r="D62" s="119"/>
      <c r="E62" s="118" t="s">
        <v>144</v>
      </c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0">
        <v>-1.05</v>
      </c>
      <c r="Y62" s="92"/>
      <c r="Z62" s="90"/>
    </row>
    <row r="63" spans="1:26">
      <c r="A63" s="118"/>
      <c r="B63" s="119"/>
      <c r="C63" s="119"/>
      <c r="D63" s="119"/>
      <c r="E63" s="118" t="s">
        <v>145</v>
      </c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>
        <v>-1.1887000000000002E-2</v>
      </c>
      <c r="Y63" s="92"/>
      <c r="Z63" s="90"/>
    </row>
    <row r="64" spans="1:26">
      <c r="A64" s="124"/>
      <c r="B64" s="125"/>
      <c r="C64" s="125"/>
      <c r="D64" s="125"/>
      <c r="E64" s="124" t="s">
        <v>36</v>
      </c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>
        <v>-9.7290000000000015E-3</v>
      </c>
      <c r="Y64" s="92"/>
      <c r="Z64" s="90"/>
    </row>
    <row r="65" spans="1:37">
      <c r="A65" s="118" t="s">
        <v>16</v>
      </c>
      <c r="B65" s="119">
        <v>457</v>
      </c>
      <c r="C65" s="119"/>
      <c r="D65" s="119" t="s">
        <v>91</v>
      </c>
      <c r="E65" s="118" t="s">
        <v>0</v>
      </c>
      <c r="F65" s="120">
        <v>12</v>
      </c>
      <c r="G65" s="120"/>
      <c r="H65" s="120"/>
      <c r="I65" s="120">
        <v>12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>
        <v>12</v>
      </c>
      <c r="Y65" s="92"/>
    </row>
    <row r="66" spans="1:37">
      <c r="A66" s="118" t="s">
        <v>146</v>
      </c>
      <c r="B66" s="119"/>
      <c r="C66" s="119"/>
      <c r="D66" s="119"/>
      <c r="E66" s="118" t="s">
        <v>147</v>
      </c>
      <c r="F66" s="120">
        <v>5</v>
      </c>
      <c r="G66" s="120"/>
      <c r="H66" s="120"/>
      <c r="I66" s="120">
        <v>5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>
        <v>5</v>
      </c>
      <c r="Y66" s="92"/>
    </row>
    <row r="67" spans="1:37">
      <c r="A67" s="118"/>
      <c r="B67" s="123"/>
      <c r="C67" s="123"/>
      <c r="D67" s="123"/>
      <c r="E67" s="118" t="s">
        <v>145</v>
      </c>
      <c r="F67" s="122">
        <v>0</v>
      </c>
      <c r="G67" s="122">
        <v>0</v>
      </c>
      <c r="H67" s="122">
        <v>2.3200000000000002E-2</v>
      </c>
      <c r="I67" s="122">
        <v>2.3200000000000002E-2</v>
      </c>
      <c r="J67" s="122">
        <v>3.5899999999999999E-3</v>
      </c>
      <c r="K67" s="122">
        <v>7.79E-3</v>
      </c>
      <c r="L67" s="122">
        <v>1.473E-2</v>
      </c>
      <c r="M67" s="122">
        <v>3.2299999999999998E-3</v>
      </c>
      <c r="N67" s="122">
        <v>-1.75E-3</v>
      </c>
      <c r="O67" s="122">
        <v>3.3369999999999997E-2</v>
      </c>
      <c r="P67" s="122">
        <v>3.4849999999999999E-2</v>
      </c>
      <c r="Q67" s="122">
        <v>2.5000000000000001E-3</v>
      </c>
      <c r="R67" s="122">
        <v>4.7999999999999996E-3</v>
      </c>
      <c r="S67" s="122">
        <v>7.2999999999999992E-3</v>
      </c>
      <c r="T67" s="122">
        <v>5.0000000000000001E-4</v>
      </c>
      <c r="U67" s="122">
        <v>9.1959999999999986E-2</v>
      </c>
      <c r="Y67" s="92"/>
      <c r="Z67" s="90"/>
    </row>
    <row r="68" spans="1:37">
      <c r="A68" s="118"/>
      <c r="B68" s="123"/>
      <c r="C68" s="123"/>
      <c r="D68" s="123"/>
      <c r="E68" s="118" t="s">
        <v>36</v>
      </c>
      <c r="F68" s="122">
        <v>0</v>
      </c>
      <c r="G68" s="122">
        <v>0</v>
      </c>
      <c r="H68" s="122">
        <v>2.3200000000000002E-2</v>
      </c>
      <c r="I68" s="122">
        <v>2.3200000000000002E-2</v>
      </c>
      <c r="J68" s="122">
        <v>3.5899999999999999E-3</v>
      </c>
      <c r="K68" s="122">
        <v>7.79E-3</v>
      </c>
      <c r="L68" s="122">
        <v>1.473E-2</v>
      </c>
      <c r="M68" s="122">
        <v>3.2299999999999998E-3</v>
      </c>
      <c r="N68" s="122">
        <v>-1.75E-3</v>
      </c>
      <c r="O68" s="122">
        <v>3.3369999999999997E-2</v>
      </c>
      <c r="P68" s="122">
        <v>3.4849999999999999E-2</v>
      </c>
      <c r="Q68" s="122">
        <v>2.5000000000000001E-3</v>
      </c>
      <c r="R68" s="122">
        <v>4.7999999999999996E-3</v>
      </c>
      <c r="S68" s="122">
        <v>7.2999999999999992E-3</v>
      </c>
      <c r="T68" s="122">
        <v>5.0000000000000001E-4</v>
      </c>
      <c r="U68" s="122">
        <v>9.1959999999999986E-2</v>
      </c>
      <c r="Y68" s="92"/>
      <c r="Z68" s="90"/>
    </row>
    <row r="69" spans="1:37">
      <c r="A69" s="118" t="s">
        <v>95</v>
      </c>
      <c r="B69" s="123"/>
      <c r="C69" s="123"/>
      <c r="D69" s="123"/>
      <c r="E69" s="118" t="s">
        <v>0</v>
      </c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0">
        <v>-1.2000000000000002</v>
      </c>
      <c r="Y69" s="92"/>
      <c r="Z69" s="90"/>
    </row>
    <row r="70" spans="1:37">
      <c r="A70" s="118"/>
      <c r="B70" s="123"/>
      <c r="C70" s="123"/>
      <c r="D70" s="123"/>
      <c r="E70" s="118" t="s">
        <v>147</v>
      </c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0">
        <v>-0.5</v>
      </c>
      <c r="Y70" s="92"/>
      <c r="Z70" s="90"/>
    </row>
    <row r="71" spans="1:37">
      <c r="A71" s="118"/>
      <c r="B71" s="123"/>
      <c r="C71" s="123"/>
      <c r="D71" s="123"/>
      <c r="E71" s="118" t="s">
        <v>145</v>
      </c>
      <c r="F71" s="120"/>
      <c r="G71" s="122"/>
      <c r="H71" s="122"/>
      <c r="I71" s="120">
        <v>0</v>
      </c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>
        <v>-9.1959999999999993E-3</v>
      </c>
      <c r="Y71" s="92"/>
    </row>
    <row r="72" spans="1:37">
      <c r="A72" s="124"/>
      <c r="B72" s="125"/>
      <c r="C72" s="125"/>
      <c r="D72" s="125"/>
      <c r="E72" s="124" t="s">
        <v>36</v>
      </c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6">
        <v>-9.1959999999999993E-3</v>
      </c>
      <c r="Y72" s="92"/>
    </row>
    <row r="73" spans="1:37">
      <c r="A73" s="132" t="s">
        <v>17</v>
      </c>
      <c r="B73" s="119">
        <v>457</v>
      </c>
      <c r="C73" s="123"/>
      <c r="D73" s="119" t="s">
        <v>91</v>
      </c>
      <c r="E73" s="118" t="s">
        <v>0</v>
      </c>
      <c r="F73" s="120">
        <v>0</v>
      </c>
      <c r="G73" s="118"/>
      <c r="H73" s="118"/>
      <c r="I73" s="120">
        <v>0</v>
      </c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20">
        <v>0</v>
      </c>
      <c r="Y73" s="92"/>
    </row>
    <row r="74" spans="1:37">
      <c r="A74" s="133" t="s">
        <v>148</v>
      </c>
      <c r="B74" s="119"/>
      <c r="C74" s="119"/>
      <c r="D74" s="119"/>
      <c r="E74" s="118" t="s">
        <v>137</v>
      </c>
      <c r="F74" s="122">
        <v>6.4360000000000001E-2</v>
      </c>
      <c r="G74" s="122">
        <v>0</v>
      </c>
      <c r="H74" s="122">
        <v>2.3200000000000002E-2</v>
      </c>
      <c r="I74" s="122">
        <v>8.7559999999999999E-2</v>
      </c>
      <c r="J74" s="122">
        <v>3.5899999999999999E-3</v>
      </c>
      <c r="K74" s="122">
        <v>7.79E-3</v>
      </c>
      <c r="L74" s="122">
        <v>1.473E-2</v>
      </c>
      <c r="M74" s="122">
        <v>3.2299999999999998E-3</v>
      </c>
      <c r="N74" s="122">
        <v>-1.75E-3</v>
      </c>
      <c r="O74" s="122">
        <v>3.3369999999999997E-2</v>
      </c>
      <c r="P74" s="122">
        <v>3.4849999999999999E-2</v>
      </c>
      <c r="Q74" s="122">
        <v>2.5000000000000001E-3</v>
      </c>
      <c r="R74" s="122">
        <v>4.7999999999999996E-3</v>
      </c>
      <c r="S74" s="122">
        <v>7.2999999999999992E-3</v>
      </c>
      <c r="T74" s="122">
        <v>5.0000000000000001E-4</v>
      </c>
      <c r="U74" s="122">
        <v>0.15631999999999999</v>
      </c>
      <c r="Y74" s="92"/>
      <c r="Z74" s="90"/>
    </row>
    <row r="75" spans="1:37">
      <c r="A75" s="133" t="s">
        <v>149</v>
      </c>
      <c r="B75" s="123"/>
      <c r="C75" s="123"/>
      <c r="D75" s="123"/>
      <c r="E75" s="118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Y75" s="92"/>
    </row>
    <row r="76" spans="1:37">
      <c r="A76" s="133"/>
      <c r="B76" s="134"/>
      <c r="C76" s="134"/>
      <c r="D76" s="134"/>
      <c r="E76" s="135"/>
      <c r="F76" s="136"/>
      <c r="G76" s="136"/>
      <c r="H76" s="136"/>
      <c r="I76" s="136"/>
      <c r="J76" s="136"/>
      <c r="K76" s="136"/>
      <c r="L76" s="240"/>
      <c r="M76" s="136"/>
      <c r="N76" s="136"/>
      <c r="O76" s="136"/>
      <c r="P76" s="136"/>
      <c r="Q76" s="136"/>
      <c r="R76" s="136"/>
      <c r="S76" s="136"/>
      <c r="T76" s="136"/>
      <c r="U76" s="136"/>
      <c r="Y76" s="92"/>
    </row>
    <row r="77" spans="1:37">
      <c r="A77" s="133" t="s">
        <v>95</v>
      </c>
      <c r="B77" s="134"/>
      <c r="C77" s="134"/>
      <c r="D77" s="134"/>
      <c r="E77" s="118" t="s">
        <v>0</v>
      </c>
      <c r="F77" s="136"/>
      <c r="G77" s="136"/>
      <c r="H77" s="136"/>
      <c r="I77" s="136"/>
      <c r="J77" s="136"/>
      <c r="K77" s="136"/>
      <c r="L77" s="240"/>
      <c r="M77" s="136"/>
      <c r="N77" s="136"/>
      <c r="O77" s="136"/>
      <c r="P77" s="136"/>
      <c r="Q77" s="136"/>
      <c r="R77" s="136"/>
      <c r="S77" s="136"/>
      <c r="T77" s="136"/>
      <c r="U77" s="120">
        <v>0</v>
      </c>
      <c r="Y77" s="92"/>
    </row>
    <row r="78" spans="1:37">
      <c r="A78" s="137"/>
      <c r="B78" s="138"/>
      <c r="C78" s="138"/>
      <c r="D78" s="138"/>
      <c r="E78" s="124" t="s">
        <v>137</v>
      </c>
      <c r="F78" s="139"/>
      <c r="G78" s="139"/>
      <c r="H78" s="139"/>
      <c r="I78" s="139"/>
      <c r="J78" s="139"/>
      <c r="K78" s="139"/>
      <c r="L78" s="241"/>
      <c r="M78" s="139"/>
      <c r="N78" s="139"/>
      <c r="O78" s="139"/>
      <c r="P78" s="139"/>
      <c r="Q78" s="139"/>
      <c r="R78" s="139"/>
      <c r="S78" s="139"/>
      <c r="T78" s="139"/>
      <c r="U78" s="126">
        <v>-1.5632E-2</v>
      </c>
      <c r="Y78" s="92"/>
    </row>
    <row r="79" spans="1:37" s="251" customFormat="1" ht="13.15" customHeight="1">
      <c r="A79" s="242" t="s">
        <v>91</v>
      </c>
      <c r="B79" s="243"/>
      <c r="C79" s="243"/>
      <c r="D79" s="244"/>
      <c r="E79" s="245" t="s">
        <v>92</v>
      </c>
      <c r="F79" s="246"/>
      <c r="G79" s="247"/>
      <c r="H79" s="248"/>
      <c r="I79" s="247"/>
      <c r="J79" s="249"/>
      <c r="K79" s="248"/>
      <c r="L79" s="248"/>
      <c r="M79" s="248"/>
      <c r="N79" s="248"/>
      <c r="O79" s="248"/>
      <c r="P79" s="248"/>
      <c r="Q79" s="250"/>
      <c r="R79" s="249"/>
      <c r="S79" s="249"/>
      <c r="U79" s="252"/>
      <c r="V79" s="88"/>
      <c r="W79" s="88"/>
      <c r="X79" s="514"/>
      <c r="Y79" s="253"/>
      <c r="Z79" s="249"/>
      <c r="AA79" s="248"/>
      <c r="AB79" s="254"/>
      <c r="AC79" s="255"/>
      <c r="AD79" s="255"/>
      <c r="AE79" s="255"/>
      <c r="AF79" s="255"/>
      <c r="AG79" s="247"/>
      <c r="AH79" s="249"/>
      <c r="AI79" s="247"/>
      <c r="AJ79" s="250"/>
      <c r="AK79" s="256"/>
    </row>
    <row r="80" spans="1:37" s="251" customFormat="1" ht="13.15" customHeight="1">
      <c r="A80" s="257" t="s">
        <v>93</v>
      </c>
      <c r="B80" s="258"/>
      <c r="C80" s="258"/>
      <c r="D80" s="259"/>
      <c r="E80" s="260" t="s">
        <v>94</v>
      </c>
      <c r="F80" s="261"/>
      <c r="G80" s="262"/>
      <c r="H80" s="263"/>
      <c r="I80" s="262"/>
      <c r="J80" s="264"/>
      <c r="K80" s="263"/>
      <c r="L80" s="263"/>
      <c r="M80" s="263"/>
      <c r="N80" s="263"/>
      <c r="O80" s="263"/>
      <c r="P80" s="263"/>
      <c r="Q80" s="265"/>
      <c r="R80" s="264"/>
      <c r="S80" s="264"/>
      <c r="T80" s="266"/>
      <c r="U80" s="267"/>
      <c r="V80" s="88"/>
      <c r="W80" s="88"/>
      <c r="X80" s="514"/>
      <c r="Y80" s="253"/>
      <c r="Z80" s="249"/>
      <c r="AA80" s="248"/>
      <c r="AB80" s="254"/>
      <c r="AC80" s="255"/>
      <c r="AD80" s="255"/>
      <c r="AE80" s="255"/>
      <c r="AF80" s="255"/>
      <c r="AG80" s="247"/>
      <c r="AH80" s="249"/>
      <c r="AI80" s="247"/>
      <c r="AJ80" s="250"/>
      <c r="AK80" s="256"/>
    </row>
    <row r="81" spans="1:26" ht="63.75">
      <c r="A81" s="118" t="s">
        <v>18</v>
      </c>
      <c r="B81" s="123">
        <v>458</v>
      </c>
      <c r="C81" s="123"/>
      <c r="D81" s="119" t="s">
        <v>91</v>
      </c>
      <c r="E81" s="118" t="s">
        <v>150</v>
      </c>
      <c r="F81" s="140" t="s">
        <v>151</v>
      </c>
      <c r="G81" s="118"/>
      <c r="H81" s="118"/>
      <c r="I81" s="140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40" t="s">
        <v>152</v>
      </c>
      <c r="Y81" s="92"/>
    </row>
    <row r="82" spans="1:26">
      <c r="A82" s="118" t="s">
        <v>153</v>
      </c>
      <c r="B82" s="123"/>
      <c r="C82" s="123"/>
      <c r="D82" s="119"/>
      <c r="E82" s="118" t="s">
        <v>137</v>
      </c>
      <c r="F82" s="122">
        <v>0</v>
      </c>
      <c r="G82" s="122">
        <v>0</v>
      </c>
      <c r="H82" s="122">
        <v>6.6809999999999994E-2</v>
      </c>
      <c r="I82" s="122">
        <v>6.6809999999999994E-2</v>
      </c>
      <c r="J82" s="122">
        <v>9.4199999999999996E-3</v>
      </c>
      <c r="K82" s="122">
        <v>2.0279999999999999E-2</v>
      </c>
      <c r="L82" s="122">
        <v>3.8330000000000003E-2</v>
      </c>
      <c r="M82" s="122">
        <v>3.1800000000000001E-3</v>
      </c>
      <c r="N82" s="122">
        <v>-3.5999999999999999E-3</v>
      </c>
      <c r="O82" s="122">
        <v>6.8440000000000001E-2</v>
      </c>
      <c r="P82" s="122">
        <v>6.8019999999999997E-2</v>
      </c>
      <c r="Q82" s="122">
        <v>2.5000000000000001E-3</v>
      </c>
      <c r="R82" s="122">
        <v>4.7999999999999996E-3</v>
      </c>
      <c r="S82" s="122">
        <v>7.2999999999999992E-3</v>
      </c>
      <c r="T82" s="122">
        <v>5.0000000000000001E-4</v>
      </c>
      <c r="U82" s="122">
        <v>0.21065999999999999</v>
      </c>
      <c r="Y82" s="92"/>
      <c r="Z82" s="90"/>
    </row>
    <row r="83" spans="1:26">
      <c r="A83" s="124" t="s">
        <v>95</v>
      </c>
      <c r="B83" s="123"/>
      <c r="C83" s="123"/>
      <c r="D83" s="119"/>
      <c r="E83" s="118" t="s">
        <v>137</v>
      </c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>
        <v>-2.1066000000000001E-2</v>
      </c>
      <c r="Y83" s="92"/>
      <c r="Z83" s="90"/>
    </row>
    <row r="84" spans="1:26">
      <c r="A84" s="132" t="s">
        <v>19</v>
      </c>
      <c r="B84" s="141">
        <v>459</v>
      </c>
      <c r="C84" s="141"/>
      <c r="D84" s="141" t="s">
        <v>91</v>
      </c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Y84" s="92"/>
    </row>
    <row r="85" spans="1:26">
      <c r="A85" s="118" t="s">
        <v>249</v>
      </c>
      <c r="B85" s="123"/>
      <c r="C85" s="123"/>
      <c r="D85" s="119"/>
      <c r="E85" s="118" t="s">
        <v>137</v>
      </c>
      <c r="F85" s="122">
        <v>8.6209999999999995E-2</v>
      </c>
      <c r="G85" s="122">
        <v>0</v>
      </c>
      <c r="H85" s="122">
        <v>6.6779999999999992E-2</v>
      </c>
      <c r="I85" s="122">
        <v>0.15298999999999999</v>
      </c>
      <c r="J85" s="122">
        <v>9.4199999999999996E-3</v>
      </c>
      <c r="K85" s="122">
        <v>2.0279999999999999E-2</v>
      </c>
      <c r="L85" s="122">
        <v>3.8330000000000003E-2</v>
      </c>
      <c r="M85" s="122">
        <v>3.1800000000000001E-3</v>
      </c>
      <c r="N85" s="122">
        <v>-3.5999999999999999E-3</v>
      </c>
      <c r="O85" s="122">
        <v>6.8440000000000001E-2</v>
      </c>
      <c r="P85" s="122">
        <v>6.8019999999999997E-2</v>
      </c>
      <c r="Q85" s="122">
        <v>2.5000000000000001E-3</v>
      </c>
      <c r="R85" s="122">
        <v>4.7999999999999996E-3</v>
      </c>
      <c r="S85" s="122">
        <v>7.2999999999999992E-3</v>
      </c>
      <c r="T85" s="122">
        <v>5.0000000000000001E-4</v>
      </c>
      <c r="U85" s="122">
        <v>0.29683999999999999</v>
      </c>
      <c r="Y85" s="92"/>
      <c r="Z85" s="90"/>
    </row>
    <row r="86" spans="1:26">
      <c r="A86" s="124" t="s">
        <v>95</v>
      </c>
      <c r="B86" s="129"/>
      <c r="C86" s="129"/>
      <c r="D86" s="129"/>
      <c r="E86" s="124" t="s">
        <v>137</v>
      </c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>
        <v>-2.9684000000000002E-2</v>
      </c>
      <c r="Y86" s="92"/>
      <c r="Z86" s="90"/>
    </row>
    <row r="87" spans="1:26">
      <c r="B87" s="156"/>
      <c r="C87" s="156"/>
      <c r="D87" s="156"/>
      <c r="Y87" s="92"/>
    </row>
    <row r="88" spans="1:26">
      <c r="A88" s="88" t="s">
        <v>250</v>
      </c>
      <c r="B88" s="156"/>
      <c r="C88" s="156"/>
      <c r="D88" s="156"/>
      <c r="U88" s="200" t="s">
        <v>319</v>
      </c>
      <c r="Y88" s="92"/>
    </row>
    <row r="89" spans="1:26">
      <c r="A89" s="88" t="s">
        <v>251</v>
      </c>
      <c r="U89" s="200" t="s">
        <v>320</v>
      </c>
      <c r="Y89" s="92"/>
    </row>
    <row r="90" spans="1:26">
      <c r="Y90" s="92"/>
    </row>
    <row r="91" spans="1:26">
      <c r="Y91" s="92"/>
    </row>
    <row r="92" spans="1:26">
      <c r="A92" s="142"/>
      <c r="Y92" s="92"/>
    </row>
    <row r="93" spans="1:26">
      <c r="Y93" s="92"/>
    </row>
    <row r="94" spans="1:26">
      <c r="Y94" s="92"/>
    </row>
    <row r="95" spans="1:26">
      <c r="Y95" s="92"/>
    </row>
    <row r="96" spans="1:26">
      <c r="Y96" s="92"/>
    </row>
    <row r="97" spans="25:25">
      <c r="Y97" s="92"/>
    </row>
    <row r="98" spans="25:25">
      <c r="Y98" s="92"/>
    </row>
    <row r="99" spans="25:25">
      <c r="Y99" s="92"/>
    </row>
    <row r="100" spans="25:25">
      <c r="Y100" s="92"/>
    </row>
    <row r="101" spans="25:25">
      <c r="Y101" s="92"/>
    </row>
    <row r="102" spans="25:25">
      <c r="Y102" s="92"/>
    </row>
    <row r="103" spans="25:25">
      <c r="Y103" s="92"/>
    </row>
    <row r="104" spans="25:25">
      <c r="Y104" s="92"/>
    </row>
    <row r="105" spans="25:25">
      <c r="Y105" s="92"/>
    </row>
    <row r="106" spans="25:25">
      <c r="Y106" s="92"/>
    </row>
    <row r="107" spans="25:25">
      <c r="Y107" s="92"/>
    </row>
    <row r="108" spans="25:25">
      <c r="Y108" s="92"/>
    </row>
    <row r="109" spans="25:25">
      <c r="Y109" s="92"/>
    </row>
    <row r="110" spans="25:25">
      <c r="Y110" s="92"/>
    </row>
    <row r="111" spans="25:25">
      <c r="Y111" s="92"/>
    </row>
    <row r="112" spans="25:25">
      <c r="Y112" s="92"/>
    </row>
    <row r="113" spans="25:25">
      <c r="Y113" s="92"/>
    </row>
    <row r="114" spans="25:25">
      <c r="Y114" s="92"/>
    </row>
    <row r="115" spans="25:25">
      <c r="Y115" s="92"/>
    </row>
    <row r="116" spans="25:25">
      <c r="Y116" s="92"/>
    </row>
    <row r="117" spans="25:25">
      <c r="Y117" s="92"/>
    </row>
    <row r="118" spans="25:25">
      <c r="Y118" s="92"/>
    </row>
    <row r="119" spans="25:25">
      <c r="Y119" s="92"/>
    </row>
    <row r="120" spans="25:25">
      <c r="Y120" s="92"/>
    </row>
    <row r="121" spans="25:25">
      <c r="Y121" s="92"/>
    </row>
    <row r="122" spans="25:25">
      <c r="Y122" s="92"/>
    </row>
    <row r="123" spans="25:25">
      <c r="Y123" s="92"/>
    </row>
    <row r="124" spans="25:25">
      <c r="Y124" s="92"/>
    </row>
    <row r="125" spans="25:25">
      <c r="Y125" s="92"/>
    </row>
    <row r="126" spans="25:25">
      <c r="Y126" s="92"/>
    </row>
    <row r="127" spans="25:25">
      <c r="Y127" s="92"/>
    </row>
    <row r="128" spans="25:25">
      <c r="Y128" s="92"/>
    </row>
    <row r="129" spans="25:25">
      <c r="Y129" s="92"/>
    </row>
    <row r="130" spans="25:25">
      <c r="Y130" s="92"/>
    </row>
    <row r="131" spans="25:25">
      <c r="Y131" s="92"/>
    </row>
    <row r="132" spans="25:25">
      <c r="Y132" s="92"/>
    </row>
    <row r="133" spans="25:25">
      <c r="Y133" s="92"/>
    </row>
    <row r="134" spans="25:25">
      <c r="Y134" s="92"/>
    </row>
    <row r="135" spans="25:25">
      <c r="Y135" s="92"/>
    </row>
    <row r="136" spans="25:25">
      <c r="Y136" s="92"/>
    </row>
    <row r="137" spans="25:25">
      <c r="Y137" s="92"/>
    </row>
  </sheetData>
  <mergeCells count="9">
    <mergeCell ref="A5:U5"/>
    <mergeCell ref="A9:U9"/>
    <mergeCell ref="Y9:Z9"/>
    <mergeCell ref="M10:P10"/>
    <mergeCell ref="Q10:S10"/>
    <mergeCell ref="F10:I10"/>
    <mergeCell ref="K10:K12"/>
    <mergeCell ref="Q11:Q12"/>
    <mergeCell ref="R11:R12"/>
  </mergeCells>
  <pageMargins left="0.7" right="0.7" top="0.75" bottom="0.75" header="0.3" footer="0.3"/>
  <pageSetup scale="42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B859-6373-41B3-9545-21E1D7860023}">
  <sheetPr codeName="Sheet6">
    <pageSetUpPr fitToPage="1"/>
  </sheetPr>
  <dimension ref="A1:P34"/>
  <sheetViews>
    <sheetView zoomScaleNormal="100" zoomScaleSheetLayoutView="100" zoomScalePageLayoutView="82" workbookViewId="0">
      <selection activeCell="J34" sqref="J34"/>
    </sheetView>
  </sheetViews>
  <sheetFormatPr defaultColWidth="9.140625" defaultRowHeight="12.75" outlineLevelCol="1"/>
  <cols>
    <col min="1" max="1" width="36.5703125" style="88" customWidth="1"/>
    <col min="2" max="2" width="10.7109375" style="88" customWidth="1"/>
    <col min="3" max="8" width="13.28515625" style="88" customWidth="1"/>
    <col min="9" max="9" width="16.28515625" style="88" customWidth="1"/>
    <col min="10" max="10" width="14" style="88" customWidth="1"/>
    <col min="11" max="12" width="14" style="88" hidden="1" customWidth="1" outlineLevel="1"/>
    <col min="13" max="13" width="14" style="88" customWidth="1" collapsed="1"/>
    <col min="14" max="14" width="10.7109375" style="88" customWidth="1"/>
    <col min="15" max="15" width="9.140625" style="88"/>
    <col min="16" max="16" width="11.28515625" style="88" customWidth="1"/>
    <col min="17" max="16384" width="9.140625" style="88"/>
  </cols>
  <sheetData>
    <row r="1" spans="1:16">
      <c r="A1" s="88" t="s">
        <v>245</v>
      </c>
      <c r="N1" s="200" t="s">
        <v>314</v>
      </c>
    </row>
    <row r="2" spans="1:16">
      <c r="A2" s="88" t="s">
        <v>246</v>
      </c>
      <c r="N2" s="200" t="s">
        <v>315</v>
      </c>
    </row>
    <row r="3" spans="1:16">
      <c r="A3" s="88" t="s">
        <v>247</v>
      </c>
      <c r="N3" s="200" t="s">
        <v>252</v>
      </c>
    </row>
    <row r="4" spans="1:16">
      <c r="A4" s="541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  <c r="M4" s="541"/>
      <c r="N4" s="541"/>
    </row>
    <row r="5" spans="1:16">
      <c r="A5" s="91" t="s">
        <v>154</v>
      </c>
    </row>
    <row r="6" spans="1:16">
      <c r="A6" s="91" t="s">
        <v>155</v>
      </c>
    </row>
    <row r="7" spans="1:16">
      <c r="A7" s="91"/>
    </row>
    <row r="8" spans="1:16">
      <c r="A8" s="542"/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4"/>
      <c r="N8" s="545"/>
    </row>
    <row r="9" spans="1:16" ht="12.75" customHeight="1">
      <c r="A9" s="546" t="s">
        <v>156</v>
      </c>
      <c r="B9" s="539" t="s">
        <v>157</v>
      </c>
      <c r="C9" s="536" t="s">
        <v>158</v>
      </c>
      <c r="D9" s="539" t="s">
        <v>159</v>
      </c>
      <c r="E9" s="536" t="s">
        <v>160</v>
      </c>
      <c r="F9" s="536" t="s">
        <v>161</v>
      </c>
      <c r="G9" s="536" t="s">
        <v>162</v>
      </c>
      <c r="H9" s="536" t="s">
        <v>163</v>
      </c>
      <c r="I9" s="536" t="s">
        <v>164</v>
      </c>
      <c r="J9" s="536" t="s">
        <v>165</v>
      </c>
      <c r="K9" s="536" t="s">
        <v>166</v>
      </c>
      <c r="L9" s="536" t="s">
        <v>167</v>
      </c>
      <c r="M9" s="539" t="s">
        <v>168</v>
      </c>
      <c r="N9" s="539" t="s">
        <v>3</v>
      </c>
    </row>
    <row r="10" spans="1:16" ht="53.45" customHeight="1">
      <c r="A10" s="547"/>
      <c r="B10" s="540"/>
      <c r="C10" s="538"/>
      <c r="D10" s="540"/>
      <c r="E10" s="538"/>
      <c r="F10" s="538"/>
      <c r="G10" s="538"/>
      <c r="H10" s="538"/>
      <c r="I10" s="538"/>
      <c r="J10" s="538"/>
      <c r="K10" s="538"/>
      <c r="L10" s="538"/>
      <c r="M10" s="540"/>
      <c r="N10" s="540"/>
    </row>
    <row r="11" spans="1:16" s="105" customFormat="1" ht="11.45" customHeight="1">
      <c r="A11" s="143"/>
      <c r="B11" s="144"/>
      <c r="C11" s="145" t="s">
        <v>169</v>
      </c>
      <c r="D11" s="146" t="s">
        <v>297</v>
      </c>
      <c r="E11" s="145" t="s">
        <v>298</v>
      </c>
      <c r="F11" s="145" t="s">
        <v>170</v>
      </c>
      <c r="G11" s="145" t="s">
        <v>171</v>
      </c>
      <c r="H11" s="145" t="s">
        <v>299</v>
      </c>
      <c r="I11" s="147" t="s">
        <v>172</v>
      </c>
      <c r="J11" s="147" t="s">
        <v>173</v>
      </c>
      <c r="K11" s="145"/>
      <c r="L11" s="148" t="s">
        <v>174</v>
      </c>
      <c r="M11" s="148" t="s">
        <v>300</v>
      </c>
      <c r="N11" s="146"/>
    </row>
    <row r="12" spans="1:16">
      <c r="A12" s="149"/>
      <c r="B12" s="150"/>
      <c r="C12" s="132"/>
      <c r="D12" s="132"/>
      <c r="E12" s="132"/>
      <c r="F12" s="132"/>
      <c r="G12" s="132"/>
      <c r="H12" s="132"/>
      <c r="I12" s="132"/>
      <c r="J12" s="132"/>
      <c r="K12" s="132"/>
      <c r="L12" s="149"/>
      <c r="M12" s="149"/>
      <c r="N12" s="132"/>
    </row>
    <row r="13" spans="1:16">
      <c r="A13" s="109" t="s">
        <v>108</v>
      </c>
      <c r="B13" s="151"/>
      <c r="C13" s="152">
        <v>45658</v>
      </c>
      <c r="D13" s="113">
        <f>+$C13</f>
        <v>45658</v>
      </c>
      <c r="E13" s="113">
        <f t="shared" ref="E13:M13" si="0">+$C13</f>
        <v>45658</v>
      </c>
      <c r="F13" s="113">
        <f t="shared" si="0"/>
        <v>45658</v>
      </c>
      <c r="G13" s="113">
        <v>45474</v>
      </c>
      <c r="H13" s="113">
        <f t="shared" si="0"/>
        <v>45658</v>
      </c>
      <c r="I13" s="113">
        <v>45444</v>
      </c>
      <c r="J13" s="113">
        <v>45658</v>
      </c>
      <c r="K13" s="152">
        <v>45474</v>
      </c>
      <c r="L13" s="113"/>
      <c r="M13" s="153">
        <f t="shared" si="0"/>
        <v>45658</v>
      </c>
      <c r="N13" s="113">
        <f>+MAX(C13:M13)</f>
        <v>45658</v>
      </c>
    </row>
    <row r="14" spans="1:16">
      <c r="A14" s="154"/>
      <c r="B14" s="155"/>
      <c r="C14" s="124"/>
      <c r="D14" s="124"/>
      <c r="E14" s="124"/>
      <c r="F14" s="124"/>
      <c r="G14" s="124"/>
      <c r="H14" s="124"/>
      <c r="I14" s="124"/>
      <c r="J14" s="124"/>
      <c r="K14" s="124"/>
      <c r="L14" s="154"/>
      <c r="M14" s="154"/>
      <c r="N14" s="124"/>
    </row>
    <row r="15" spans="1:16">
      <c r="A15" s="118"/>
      <c r="B15" s="156"/>
      <c r="C15" s="118"/>
      <c r="D15" s="118"/>
      <c r="E15" s="118"/>
      <c r="F15" s="118"/>
      <c r="G15" s="118"/>
      <c r="H15" s="118"/>
      <c r="I15" s="118"/>
      <c r="J15" s="118"/>
      <c r="K15" s="118"/>
      <c r="L15" s="157"/>
      <c r="M15" s="157"/>
      <c r="N15" s="118"/>
    </row>
    <row r="16" spans="1:16">
      <c r="A16" s="118" t="s">
        <v>323</v>
      </c>
      <c r="B16" s="156" t="s">
        <v>91</v>
      </c>
      <c r="C16" s="122">
        <v>2.2100000000000002E-3</v>
      </c>
      <c r="D16" s="158">
        <v>-8.5400000000000004E-2</v>
      </c>
      <c r="E16" s="158">
        <v>3.2000000000000003E-4</v>
      </c>
      <c r="F16" s="122">
        <v>1.2700000000000001E-3</v>
      </c>
      <c r="G16" s="122">
        <v>0</v>
      </c>
      <c r="H16" s="122">
        <v>1.6199999999999999E-3</v>
      </c>
      <c r="I16" s="158">
        <v>1.094E-2</v>
      </c>
      <c r="J16" s="158">
        <v>8.8000000000000003E-4</v>
      </c>
      <c r="K16" s="122"/>
      <c r="L16" s="159"/>
      <c r="M16" s="160">
        <v>3.64E-3</v>
      </c>
      <c r="N16" s="158">
        <v>-6.4519999999999994E-2</v>
      </c>
      <c r="P16" s="90"/>
    </row>
    <row r="17" spans="1:16">
      <c r="A17" s="98"/>
      <c r="B17" s="107"/>
      <c r="C17" s="98"/>
      <c r="D17" s="98"/>
      <c r="E17" s="98"/>
      <c r="F17" s="98"/>
      <c r="G17" s="98"/>
      <c r="H17" s="98"/>
      <c r="I17" s="98"/>
      <c r="J17" s="98"/>
      <c r="K17" s="98"/>
      <c r="L17" s="107"/>
      <c r="M17" s="161"/>
      <c r="N17" s="98"/>
    </row>
    <row r="18" spans="1:16">
      <c r="A18" s="118" t="s">
        <v>175</v>
      </c>
      <c r="B18" s="156" t="s">
        <v>91</v>
      </c>
      <c r="C18" s="122">
        <v>1.17E-3</v>
      </c>
      <c r="D18" s="158">
        <v>1.1010000000000001E-2</v>
      </c>
      <c r="E18" s="158">
        <v>1.7000000000000001E-4</v>
      </c>
      <c r="F18" s="122">
        <v>1.2700000000000001E-3</v>
      </c>
      <c r="G18" s="122">
        <v>0</v>
      </c>
      <c r="H18" s="122">
        <v>8.7000000000000001E-4</v>
      </c>
      <c r="I18" s="122">
        <v>6.1799999999999997E-3</v>
      </c>
      <c r="J18" s="122">
        <v>8.0000000000000004E-4</v>
      </c>
      <c r="K18" s="122"/>
      <c r="L18" s="159"/>
      <c r="M18" s="160">
        <v>1.97E-3</v>
      </c>
      <c r="N18" s="158">
        <v>2.3439999999999999E-2</v>
      </c>
      <c r="P18" s="90"/>
    </row>
    <row r="19" spans="1:16">
      <c r="A19" s="118"/>
      <c r="B19" s="119"/>
      <c r="C19" s="162"/>
      <c r="D19" s="163"/>
      <c r="E19" s="118"/>
      <c r="F19" s="118"/>
      <c r="G19" s="118"/>
      <c r="H19" s="163"/>
      <c r="I19" s="163"/>
      <c r="J19" s="163"/>
      <c r="K19" s="162"/>
      <c r="L19" s="164"/>
      <c r="M19" s="157"/>
      <c r="N19" s="163"/>
    </row>
    <row r="20" spans="1:16">
      <c r="A20" s="118" t="s">
        <v>176</v>
      </c>
      <c r="B20" s="156" t="s">
        <v>91</v>
      </c>
      <c r="C20" s="122">
        <v>1.17E-3</v>
      </c>
      <c r="D20" s="158">
        <v>1.1010000000000001E-2</v>
      </c>
      <c r="E20" s="158">
        <v>1.7000000000000001E-4</v>
      </c>
      <c r="F20" s="122">
        <v>1.2700000000000001E-3</v>
      </c>
      <c r="G20" s="122">
        <v>0</v>
      </c>
      <c r="H20" s="122">
        <v>8.7000000000000001E-4</v>
      </c>
      <c r="I20" s="122">
        <v>6.1799999999999997E-3</v>
      </c>
      <c r="J20" s="122">
        <v>5.5999999999999995E-4</v>
      </c>
      <c r="K20" s="122"/>
      <c r="L20" s="165"/>
      <c r="M20" s="160">
        <v>1.97E-3</v>
      </c>
      <c r="N20" s="158">
        <v>2.3200000000000002E-2</v>
      </c>
      <c r="P20" s="90"/>
    </row>
    <row r="21" spans="1:16">
      <c r="A21" s="118"/>
      <c r="B21" s="119"/>
      <c r="C21" s="122"/>
      <c r="D21" s="158"/>
      <c r="E21" s="158"/>
      <c r="F21" s="122"/>
      <c r="G21" s="122"/>
      <c r="H21" s="122"/>
      <c r="I21" s="122"/>
      <c r="J21" s="122"/>
      <c r="K21" s="122"/>
      <c r="L21" s="165"/>
      <c r="M21" s="160"/>
      <c r="N21" s="158"/>
      <c r="P21" s="90"/>
    </row>
    <row r="22" spans="1:16">
      <c r="A22" s="118" t="s">
        <v>177</v>
      </c>
      <c r="B22" s="156" t="s">
        <v>91</v>
      </c>
      <c r="C22" s="122">
        <v>7.7999999999999999E-4</v>
      </c>
      <c r="D22" s="158">
        <v>9.0200000000000002E-3</v>
      </c>
      <c r="E22" s="158">
        <v>1.3999999999999999E-4</v>
      </c>
      <c r="F22" s="122">
        <v>1.2700000000000001E-3</v>
      </c>
      <c r="G22" s="122">
        <v>0</v>
      </c>
      <c r="H22" s="122">
        <v>7.2000000000000005E-4</v>
      </c>
      <c r="I22" s="122">
        <v>5.0499999999999998E-3</v>
      </c>
      <c r="J22" s="122">
        <v>4.0999999999999999E-4</v>
      </c>
      <c r="K22" s="122"/>
      <c r="L22" s="165"/>
      <c r="M22" s="160">
        <v>1.6199999999999999E-3</v>
      </c>
      <c r="N22" s="158">
        <v>1.9009999999999999E-2</v>
      </c>
      <c r="P22" s="90"/>
    </row>
    <row r="23" spans="1:16">
      <c r="A23" s="118"/>
      <c r="B23" s="156"/>
      <c r="C23" s="122"/>
      <c r="D23" s="158"/>
      <c r="E23" s="158"/>
      <c r="F23" s="122"/>
      <c r="G23" s="166"/>
      <c r="H23" s="166"/>
      <c r="I23" s="166"/>
      <c r="J23" s="166"/>
      <c r="K23" s="122"/>
      <c r="L23" s="165"/>
      <c r="M23" s="160"/>
      <c r="N23" s="158"/>
      <c r="P23" s="90"/>
    </row>
    <row r="24" spans="1:16">
      <c r="A24" s="118" t="s">
        <v>178</v>
      </c>
      <c r="B24" s="156" t="s">
        <v>91</v>
      </c>
      <c r="C24" s="122">
        <v>1.316E-2</v>
      </c>
      <c r="D24" s="158">
        <v>2.8649999999999998E-2</v>
      </c>
      <c r="E24" s="158">
        <v>4.4999999999999999E-4</v>
      </c>
      <c r="F24" s="122">
        <v>1.2700000000000001E-3</v>
      </c>
      <c r="G24" s="166">
        <v>0</v>
      </c>
      <c r="H24" s="166">
        <v>2.2799999999999999E-3</v>
      </c>
      <c r="I24" s="166">
        <v>1.221E-2</v>
      </c>
      <c r="J24" s="166">
        <v>3.65E-3</v>
      </c>
      <c r="K24" s="122"/>
      <c r="L24" s="165"/>
      <c r="M24" s="160">
        <v>5.1399999999999996E-3</v>
      </c>
      <c r="N24" s="158">
        <v>6.6809999999999994E-2</v>
      </c>
      <c r="P24" s="90"/>
    </row>
    <row r="25" spans="1:16">
      <c r="A25" s="118"/>
      <c r="B25" s="156"/>
      <c r="C25" s="122"/>
      <c r="D25" s="158"/>
      <c r="E25" s="158"/>
      <c r="F25" s="122"/>
      <c r="G25" s="166"/>
      <c r="H25" s="166"/>
      <c r="I25" s="166"/>
      <c r="J25" s="166"/>
      <c r="K25" s="122"/>
      <c r="L25" s="165"/>
      <c r="M25" s="160"/>
      <c r="N25" s="158"/>
      <c r="P25" s="90"/>
    </row>
    <row r="26" spans="1:16">
      <c r="A26" s="124" t="s">
        <v>179</v>
      </c>
      <c r="B26" s="125" t="s">
        <v>91</v>
      </c>
      <c r="C26" s="167">
        <v>1.316E-2</v>
      </c>
      <c r="D26" s="168">
        <v>2.8649999999999998E-2</v>
      </c>
      <c r="E26" s="168">
        <v>4.4999999999999999E-4</v>
      </c>
      <c r="F26" s="126">
        <v>1.2700000000000001E-3</v>
      </c>
      <c r="G26" s="167">
        <v>0</v>
      </c>
      <c r="H26" s="167">
        <v>2.2799999999999999E-3</v>
      </c>
      <c r="I26" s="167">
        <v>1.221E-2</v>
      </c>
      <c r="J26" s="126">
        <v>3.62E-3</v>
      </c>
      <c r="K26" s="167"/>
      <c r="L26" s="169"/>
      <c r="M26" s="170">
        <v>5.1399999999999996E-3</v>
      </c>
      <c r="N26" s="168">
        <v>6.6779999999999992E-2</v>
      </c>
    </row>
    <row r="27" spans="1:16">
      <c r="B27" s="156"/>
      <c r="C27" s="159"/>
      <c r="D27" s="165"/>
      <c r="E27" s="165"/>
      <c r="F27" s="159"/>
      <c r="G27" s="159"/>
      <c r="H27" s="159"/>
      <c r="I27" s="159"/>
      <c r="J27" s="159"/>
      <c r="K27" s="159"/>
      <c r="L27" s="165"/>
      <c r="M27" s="165"/>
      <c r="N27" s="165"/>
    </row>
    <row r="28" spans="1:16">
      <c r="B28" s="156"/>
      <c r="C28" s="159"/>
      <c r="D28" s="165"/>
      <c r="E28" s="165"/>
      <c r="F28" s="159"/>
      <c r="G28" s="159"/>
      <c r="H28" s="159"/>
      <c r="I28" s="159"/>
      <c r="J28" s="159"/>
      <c r="K28" s="159"/>
      <c r="L28" s="165"/>
      <c r="M28" s="165"/>
      <c r="N28" s="165"/>
    </row>
    <row r="29" spans="1:16">
      <c r="B29" s="156"/>
      <c r="C29" s="159"/>
      <c r="D29" s="165"/>
      <c r="E29" s="165"/>
      <c r="F29" s="159"/>
      <c r="G29" s="159"/>
      <c r="H29" s="159"/>
      <c r="I29" s="159"/>
      <c r="J29" s="159"/>
      <c r="K29" s="159"/>
      <c r="L29" s="165"/>
      <c r="M29" s="165"/>
      <c r="N29" s="165"/>
    </row>
    <row r="30" spans="1:16">
      <c r="B30" s="156"/>
      <c r="C30" s="159"/>
      <c r="D30" s="165"/>
      <c r="E30" s="165"/>
      <c r="F30" s="159"/>
      <c r="G30" s="159"/>
      <c r="H30" s="159"/>
      <c r="I30" s="159"/>
      <c r="J30" s="159"/>
      <c r="K30" s="159"/>
      <c r="L30" s="165"/>
      <c r="M30" s="165"/>
      <c r="N30" s="165"/>
    </row>
    <row r="31" spans="1:16">
      <c r="B31" s="156"/>
      <c r="C31" s="159"/>
      <c r="D31" s="165"/>
      <c r="E31" s="165"/>
      <c r="F31" s="159"/>
      <c r="G31" s="159"/>
      <c r="H31" s="159"/>
      <c r="I31" s="159"/>
      <c r="J31" s="159"/>
      <c r="K31" s="159"/>
      <c r="L31" s="165"/>
      <c r="M31" s="165"/>
      <c r="N31" s="165"/>
    </row>
    <row r="32" spans="1:16">
      <c r="C32" s="88" t="s">
        <v>68</v>
      </c>
    </row>
    <row r="33" spans="1:14">
      <c r="A33" s="88" t="s">
        <v>250</v>
      </c>
      <c r="N33" s="200" t="s">
        <v>319</v>
      </c>
    </row>
    <row r="34" spans="1:14">
      <c r="A34" s="88" t="s">
        <v>251</v>
      </c>
      <c r="N34" s="200" t="s">
        <v>320</v>
      </c>
    </row>
  </sheetData>
  <mergeCells count="16">
    <mergeCell ref="A4:N4"/>
    <mergeCell ref="A8:N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</mergeCells>
  <pageMargins left="0.7" right="0.7" top="0.75" bottom="0.75" header="0.3" footer="0.3"/>
  <pageSetup scale="71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E997-B3F3-425F-A545-38FD28AA4337}">
  <sheetPr codeName="Sheet7">
    <pageSetUpPr fitToPage="1"/>
  </sheetPr>
  <dimension ref="A1:X71"/>
  <sheetViews>
    <sheetView view="pageBreakPreview" topLeftCell="A19" zoomScale="85" zoomScaleNormal="100" zoomScaleSheetLayoutView="85" zoomScalePageLayoutView="58" workbookViewId="0">
      <selection activeCell="K63" sqref="K63:K64"/>
    </sheetView>
  </sheetViews>
  <sheetFormatPr defaultColWidth="10" defaultRowHeight="12.75"/>
  <cols>
    <col min="1" max="1" width="11.7109375" customWidth="1"/>
    <col min="2" max="2" width="32.7109375" customWidth="1"/>
    <col min="3" max="3" width="15.7109375" customWidth="1"/>
    <col min="4" max="7" width="15.7109375" hidden="1" customWidth="1"/>
    <col min="8" max="8" width="15.7109375" customWidth="1"/>
    <col min="9" max="9" width="15.7109375" hidden="1" customWidth="1"/>
    <col min="10" max="10" width="15.7109375" customWidth="1"/>
    <col min="11" max="11" width="21.85546875" customWidth="1"/>
  </cols>
  <sheetData>
    <row r="1" spans="1:13">
      <c r="A1" t="s">
        <v>245</v>
      </c>
      <c r="K1" s="200" t="s">
        <v>316</v>
      </c>
    </row>
    <row r="2" spans="1:13">
      <c r="A2" t="s">
        <v>246</v>
      </c>
      <c r="K2" s="200" t="s">
        <v>317</v>
      </c>
    </row>
    <row r="3" spans="1:13">
      <c r="A3" t="s">
        <v>247</v>
      </c>
      <c r="K3" s="216" t="s">
        <v>253</v>
      </c>
    </row>
    <row r="4" spans="1:13" ht="15">
      <c r="A4" s="548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268"/>
      <c r="M4" s="268"/>
    </row>
    <row r="5" spans="1:13" ht="6" customHeight="1">
      <c r="A5" s="269"/>
      <c r="B5" s="269"/>
      <c r="C5" s="269"/>
      <c r="D5" s="269"/>
      <c r="E5" s="269"/>
      <c r="F5" s="269"/>
      <c r="G5" s="269"/>
      <c r="H5" s="269"/>
      <c r="I5" s="269"/>
      <c r="J5" s="269"/>
      <c r="K5" s="268"/>
      <c r="L5" s="268"/>
      <c r="M5" s="268"/>
    </row>
    <row r="6" spans="1:13" ht="15.75">
      <c r="A6" s="270" t="s">
        <v>180</v>
      </c>
      <c r="B6" s="271"/>
      <c r="C6" s="272"/>
      <c r="D6" s="272"/>
      <c r="E6" s="272"/>
      <c r="F6" s="272"/>
      <c r="G6" s="272"/>
      <c r="H6" s="272"/>
      <c r="I6" s="272"/>
      <c r="J6" s="273"/>
      <c r="K6" s="268"/>
      <c r="L6" s="268"/>
      <c r="M6" s="268"/>
    </row>
    <row r="7" spans="1:13" ht="15.75">
      <c r="A7" s="274" t="s">
        <v>100</v>
      </c>
      <c r="B7" s="271"/>
      <c r="C7" s="272"/>
      <c r="D7" s="272"/>
      <c r="E7" s="272"/>
      <c r="F7" s="272"/>
      <c r="G7" s="272"/>
      <c r="H7" s="272"/>
      <c r="I7" s="272"/>
      <c r="J7" s="269"/>
      <c r="K7" s="268"/>
      <c r="L7" s="268"/>
      <c r="M7" s="268"/>
    </row>
    <row r="8" spans="1:13" ht="15.75">
      <c r="A8" s="274" t="s">
        <v>301</v>
      </c>
      <c r="B8" s="275"/>
      <c r="C8" s="269"/>
      <c r="D8" s="269"/>
      <c r="E8" s="269"/>
      <c r="F8" s="269"/>
      <c r="G8" s="269"/>
      <c r="H8" s="269"/>
      <c r="I8" s="269"/>
      <c r="J8" s="269"/>
      <c r="K8" s="268"/>
      <c r="L8" s="268"/>
      <c r="M8" s="268"/>
    </row>
    <row r="9" spans="1:13" ht="6" customHeight="1">
      <c r="A9" s="270"/>
      <c r="B9" s="275"/>
      <c r="C9" s="269"/>
      <c r="D9" s="269"/>
      <c r="E9" s="269"/>
      <c r="F9" s="269"/>
      <c r="G9" s="269"/>
      <c r="H9" s="269"/>
      <c r="I9" s="269"/>
      <c r="J9" s="269"/>
      <c r="K9" s="268"/>
      <c r="L9" s="268"/>
      <c r="M9" s="268"/>
    </row>
    <row r="10" spans="1:13" ht="15.75">
      <c r="A10" s="270"/>
      <c r="B10" s="275"/>
      <c r="C10" s="272"/>
      <c r="D10" s="272"/>
      <c r="E10" s="272"/>
      <c r="F10" s="272"/>
      <c r="G10" s="272"/>
      <c r="H10" s="272"/>
      <c r="I10" s="272"/>
      <c r="J10" s="276" t="s">
        <v>3</v>
      </c>
      <c r="K10" s="268"/>
      <c r="L10" s="268"/>
      <c r="M10" s="268"/>
    </row>
    <row r="11" spans="1:13" ht="15">
      <c r="A11" s="277" t="s">
        <v>101</v>
      </c>
      <c r="B11" s="277" t="s">
        <v>102</v>
      </c>
      <c r="C11" s="272"/>
      <c r="D11" s="272"/>
      <c r="E11" s="272"/>
      <c r="F11" s="272"/>
      <c r="G11" s="272"/>
      <c r="H11" s="272"/>
      <c r="I11" s="272"/>
      <c r="J11" s="278" t="s">
        <v>95</v>
      </c>
      <c r="K11" s="268"/>
      <c r="L11" s="268"/>
      <c r="M11" s="268"/>
    </row>
    <row r="12" spans="1:13" ht="15">
      <c r="A12" s="279" t="s">
        <v>23</v>
      </c>
      <c r="B12" s="277" t="s">
        <v>24</v>
      </c>
      <c r="C12" s="278" t="s">
        <v>103</v>
      </c>
      <c r="D12" s="278"/>
      <c r="E12" s="278"/>
      <c r="F12" s="278"/>
      <c r="G12" s="278"/>
      <c r="H12" s="278" t="s">
        <v>104</v>
      </c>
      <c r="I12" s="278"/>
      <c r="J12" s="278" t="s">
        <v>103</v>
      </c>
      <c r="K12" s="268"/>
      <c r="L12" s="268"/>
      <c r="M12" s="268"/>
    </row>
    <row r="13" spans="1:13" ht="15">
      <c r="A13" s="280" t="s">
        <v>105</v>
      </c>
      <c r="B13" s="281"/>
      <c r="C13" s="282"/>
      <c r="D13" s="282"/>
      <c r="E13" s="282"/>
      <c r="F13" s="282"/>
      <c r="G13" s="282"/>
      <c r="H13" s="282"/>
      <c r="I13" s="282"/>
      <c r="J13" s="283"/>
      <c r="K13" s="268"/>
      <c r="L13" s="268"/>
      <c r="M13" s="268"/>
    </row>
    <row r="14" spans="1:13" ht="15" hidden="1">
      <c r="A14" s="284"/>
      <c r="B14" s="285"/>
      <c r="C14" s="286"/>
      <c r="D14" s="286"/>
      <c r="E14" s="286"/>
      <c r="F14" s="286"/>
      <c r="G14" s="286"/>
      <c r="H14" s="286"/>
      <c r="I14" s="286"/>
      <c r="J14" s="287"/>
      <c r="K14" s="268"/>
      <c r="L14" s="268"/>
      <c r="M14" s="288"/>
    </row>
    <row r="15" spans="1:13" ht="15" hidden="1">
      <c r="A15" s="289"/>
      <c r="B15" s="285"/>
      <c r="C15" s="286"/>
      <c r="D15" s="286"/>
      <c r="E15" s="286"/>
      <c r="F15" s="286"/>
      <c r="G15" s="286"/>
      <c r="H15" s="286"/>
      <c r="I15" s="286"/>
      <c r="J15" s="287"/>
      <c r="K15" s="268"/>
      <c r="L15" s="268"/>
      <c r="M15" s="288"/>
    </row>
    <row r="16" spans="1:13" ht="15">
      <c r="A16" s="289">
        <v>3500</v>
      </c>
      <c r="B16" s="290" t="s">
        <v>25</v>
      </c>
      <c r="C16" s="286">
        <v>17.739999999999998</v>
      </c>
      <c r="D16" s="286"/>
      <c r="E16" s="286"/>
      <c r="F16" s="286"/>
      <c r="G16" s="286"/>
      <c r="H16" s="286">
        <v>212.88</v>
      </c>
      <c r="I16" s="286"/>
      <c r="J16" s="291">
        <v>-1.77</v>
      </c>
      <c r="K16" s="268"/>
      <c r="L16" s="268"/>
      <c r="M16" s="288"/>
    </row>
    <row r="17" spans="1:13" ht="15">
      <c r="A17" s="289">
        <v>7000</v>
      </c>
      <c r="B17" s="290" t="s">
        <v>25</v>
      </c>
      <c r="C17" s="286">
        <v>19.68</v>
      </c>
      <c r="D17" s="286"/>
      <c r="E17" s="286"/>
      <c r="F17" s="286"/>
      <c r="G17" s="286"/>
      <c r="H17" s="286">
        <v>236.16</v>
      </c>
      <c r="I17" s="286"/>
      <c r="J17" s="291">
        <v>-1.97</v>
      </c>
      <c r="K17" s="268"/>
      <c r="L17" s="268"/>
      <c r="M17" s="288"/>
    </row>
    <row r="18" spans="1:13" ht="15">
      <c r="A18" s="289">
        <v>20000</v>
      </c>
      <c r="B18" s="290" t="s">
        <v>25</v>
      </c>
      <c r="C18" s="286">
        <v>35.770000000000003</v>
      </c>
      <c r="D18" s="286"/>
      <c r="E18" s="286"/>
      <c r="F18" s="286"/>
      <c r="G18" s="286"/>
      <c r="H18" s="286">
        <v>429.24</v>
      </c>
      <c r="I18" s="286"/>
      <c r="J18" s="291">
        <v>-3.58</v>
      </c>
      <c r="K18" s="268"/>
      <c r="L18" s="268"/>
      <c r="M18" s="288"/>
    </row>
    <row r="19" spans="1:13" ht="15">
      <c r="A19" s="289">
        <v>60000</v>
      </c>
      <c r="B19" s="290" t="s">
        <v>25</v>
      </c>
      <c r="C19" s="286">
        <v>68.400000000000006</v>
      </c>
      <c r="D19" s="286"/>
      <c r="E19" s="286"/>
      <c r="F19" s="286"/>
      <c r="G19" s="286"/>
      <c r="H19" s="286">
        <v>820.80000000000007</v>
      </c>
      <c r="I19" s="286"/>
      <c r="J19" s="291">
        <v>-6.84</v>
      </c>
      <c r="K19" s="268"/>
      <c r="L19" s="268"/>
      <c r="M19" s="288"/>
    </row>
    <row r="20" spans="1:13" ht="15">
      <c r="A20" s="289">
        <v>20000</v>
      </c>
      <c r="B20" s="292" t="s">
        <v>26</v>
      </c>
      <c r="C20" s="286">
        <v>39.56</v>
      </c>
      <c r="D20" s="286"/>
      <c r="E20" s="286"/>
      <c r="F20" s="286"/>
      <c r="G20" s="286"/>
      <c r="H20" s="286">
        <v>474.72</v>
      </c>
      <c r="I20" s="286"/>
      <c r="J20" s="291">
        <v>-3.96</v>
      </c>
      <c r="K20" s="268"/>
      <c r="L20" s="268"/>
      <c r="M20" s="288"/>
    </row>
    <row r="21" spans="1:13" ht="15">
      <c r="A21" s="289">
        <v>3500</v>
      </c>
      <c r="B21" s="292" t="s">
        <v>27</v>
      </c>
      <c r="C21" s="286">
        <v>18.579999999999998</v>
      </c>
      <c r="D21" s="286"/>
      <c r="E21" s="286"/>
      <c r="F21" s="286"/>
      <c r="G21" s="286"/>
      <c r="H21" s="286">
        <v>222.95999999999998</v>
      </c>
      <c r="I21" s="286"/>
      <c r="J21" s="291">
        <v>-1.86</v>
      </c>
      <c r="K21" s="268"/>
      <c r="L21" s="268"/>
      <c r="M21" s="288"/>
    </row>
    <row r="22" spans="1:13" ht="15">
      <c r="A22" s="289">
        <v>7000</v>
      </c>
      <c r="B22" s="292" t="s">
        <v>27</v>
      </c>
      <c r="C22" s="286">
        <v>20.92</v>
      </c>
      <c r="D22" s="286"/>
      <c r="E22" s="286"/>
      <c r="F22" s="286"/>
      <c r="G22" s="286"/>
      <c r="H22" s="286">
        <v>251.04000000000002</v>
      </c>
      <c r="I22" s="286"/>
      <c r="J22" s="291">
        <v>-2.09</v>
      </c>
      <c r="K22" s="268"/>
      <c r="L22" s="268"/>
      <c r="M22" s="288"/>
    </row>
    <row r="23" spans="1:13" ht="15">
      <c r="A23" s="293"/>
      <c r="B23" s="292"/>
      <c r="C23" s="294"/>
      <c r="D23" s="294"/>
      <c r="E23" s="294"/>
      <c r="F23" s="294"/>
      <c r="G23" s="294"/>
      <c r="H23" s="294"/>
      <c r="I23" s="294"/>
      <c r="J23" s="295"/>
      <c r="K23" s="268"/>
      <c r="L23" s="268"/>
      <c r="M23" s="268"/>
    </row>
    <row r="24" spans="1:13" ht="15">
      <c r="A24" s="280" t="s">
        <v>181</v>
      </c>
      <c r="B24" s="281"/>
      <c r="C24" s="296"/>
      <c r="D24" s="296"/>
      <c r="E24" s="296"/>
      <c r="F24" s="296"/>
      <c r="G24" s="296"/>
      <c r="H24" s="296"/>
      <c r="I24" s="296"/>
      <c r="J24" s="297"/>
      <c r="K24" s="268"/>
      <c r="L24" s="268"/>
      <c r="M24" s="268"/>
    </row>
    <row r="25" spans="1:13" ht="15" hidden="1">
      <c r="A25" s="284"/>
      <c r="B25" s="285"/>
      <c r="C25" s="286"/>
      <c r="D25" s="286"/>
      <c r="E25" s="286"/>
      <c r="F25" s="286"/>
      <c r="G25" s="286"/>
      <c r="H25" s="286"/>
      <c r="I25" s="286"/>
      <c r="J25" s="291"/>
      <c r="K25" s="268"/>
      <c r="L25" s="268"/>
      <c r="M25" s="288"/>
    </row>
    <row r="26" spans="1:13" ht="15" hidden="1">
      <c r="A26" s="289"/>
      <c r="B26" s="285"/>
      <c r="C26" s="286"/>
      <c r="D26" s="286"/>
      <c r="E26" s="286"/>
      <c r="F26" s="286"/>
      <c r="G26" s="286"/>
      <c r="H26" s="286"/>
      <c r="I26" s="286"/>
      <c r="J26" s="291"/>
      <c r="K26" s="268"/>
      <c r="L26" s="268"/>
      <c r="M26" s="288"/>
    </row>
    <row r="27" spans="1:13" ht="15">
      <c r="A27" s="289">
        <v>3300</v>
      </c>
      <c r="B27" s="290" t="s">
        <v>25</v>
      </c>
      <c r="C27" s="286">
        <v>15.39</v>
      </c>
      <c r="D27" s="286"/>
      <c r="E27" s="286"/>
      <c r="F27" s="286"/>
      <c r="G27" s="286"/>
      <c r="H27" s="286">
        <v>184.68</v>
      </c>
      <c r="I27" s="286"/>
      <c r="J27" s="291">
        <v>-1.54</v>
      </c>
      <c r="K27" s="268"/>
      <c r="L27" s="268"/>
      <c r="M27" s="288"/>
    </row>
    <row r="28" spans="1:13" ht="15">
      <c r="A28" s="289">
        <v>9500</v>
      </c>
      <c r="B28" s="290" t="s">
        <v>25</v>
      </c>
      <c r="C28" s="286">
        <v>18.3</v>
      </c>
      <c r="D28" s="286"/>
      <c r="E28" s="286"/>
      <c r="F28" s="286"/>
      <c r="G28" s="286"/>
      <c r="H28" s="286">
        <v>219.60000000000002</v>
      </c>
      <c r="I28" s="286"/>
      <c r="J28" s="291">
        <v>-1.83</v>
      </c>
      <c r="K28" s="268"/>
      <c r="L28" s="268"/>
      <c r="M28" s="288"/>
    </row>
    <row r="29" spans="1:13" ht="15">
      <c r="A29" s="289">
        <v>20000</v>
      </c>
      <c r="B29" s="290" t="s">
        <v>25</v>
      </c>
      <c r="C29" s="286">
        <v>27.3</v>
      </c>
      <c r="D29" s="286"/>
      <c r="E29" s="286"/>
      <c r="F29" s="286"/>
      <c r="G29" s="286"/>
      <c r="H29" s="286">
        <v>327.60000000000002</v>
      </c>
      <c r="I29" s="286"/>
      <c r="J29" s="291">
        <v>-2.73</v>
      </c>
      <c r="K29" s="268"/>
      <c r="L29" s="268"/>
      <c r="M29" s="288"/>
    </row>
    <row r="30" spans="1:13" ht="15">
      <c r="A30" s="289">
        <v>50000</v>
      </c>
      <c r="B30" s="290" t="s">
        <v>25</v>
      </c>
      <c r="C30" s="286">
        <v>38.82</v>
      </c>
      <c r="D30" s="286"/>
      <c r="E30" s="286"/>
      <c r="F30" s="286"/>
      <c r="G30" s="286"/>
      <c r="H30" s="286">
        <v>465.84000000000003</v>
      </c>
      <c r="I30" s="286"/>
      <c r="J30" s="291">
        <v>-3.88</v>
      </c>
      <c r="K30" s="268"/>
      <c r="L30" s="268"/>
      <c r="M30" s="288"/>
    </row>
    <row r="31" spans="1:13" ht="15">
      <c r="A31" s="289">
        <v>140000</v>
      </c>
      <c r="B31" s="290" t="s">
        <v>25</v>
      </c>
      <c r="C31" s="286">
        <v>79.66</v>
      </c>
      <c r="D31" s="286"/>
      <c r="E31" s="286"/>
      <c r="F31" s="286"/>
      <c r="G31" s="286"/>
      <c r="H31" s="286">
        <v>955.92</v>
      </c>
      <c r="I31" s="286"/>
      <c r="J31" s="291">
        <v>-7.97</v>
      </c>
      <c r="K31" s="268"/>
      <c r="L31" s="268"/>
      <c r="M31" s="288"/>
    </row>
    <row r="32" spans="1:13" ht="15">
      <c r="A32" s="289">
        <v>50000</v>
      </c>
      <c r="B32" s="292" t="s">
        <v>26</v>
      </c>
      <c r="C32" s="286">
        <v>45.07</v>
      </c>
      <c r="D32" s="286"/>
      <c r="E32" s="286"/>
      <c r="F32" s="286"/>
      <c r="G32" s="286"/>
      <c r="H32" s="286">
        <v>540.84</v>
      </c>
      <c r="I32" s="286"/>
      <c r="J32" s="291">
        <v>-4.51</v>
      </c>
      <c r="K32" s="268"/>
      <c r="L32" s="268"/>
      <c r="M32" s="288"/>
    </row>
    <row r="33" spans="1:24" ht="15">
      <c r="A33" s="289"/>
      <c r="B33" s="292"/>
      <c r="C33" s="298"/>
      <c r="D33" s="299"/>
      <c r="E33" s="299"/>
      <c r="F33" s="299"/>
      <c r="G33" s="299"/>
      <c r="H33" s="300"/>
      <c r="I33" s="300"/>
      <c r="J33" s="301"/>
      <c r="K33" s="268"/>
      <c r="L33" s="268"/>
      <c r="M33" s="268"/>
    </row>
    <row r="34" spans="1:24" ht="15">
      <c r="A34" s="302" t="s">
        <v>29</v>
      </c>
      <c r="B34" s="303"/>
      <c r="C34" s="304"/>
      <c r="D34" s="305"/>
      <c r="E34" s="305"/>
      <c r="F34" s="305"/>
      <c r="G34" s="305"/>
      <c r="H34" s="306"/>
      <c r="I34" s="306"/>
      <c r="J34" s="307"/>
      <c r="K34" s="268"/>
      <c r="L34" s="308"/>
      <c r="M34" s="268"/>
    </row>
    <row r="35" spans="1:24" ht="15">
      <c r="A35" s="309" t="s">
        <v>182</v>
      </c>
      <c r="B35" s="278"/>
      <c r="C35" s="310"/>
      <c r="D35" s="311"/>
      <c r="E35" s="311"/>
      <c r="F35" s="311"/>
      <c r="G35" s="311"/>
      <c r="H35" s="312"/>
      <c r="I35" s="312"/>
      <c r="J35" s="313"/>
      <c r="K35" s="268"/>
      <c r="L35" s="308"/>
      <c r="M35" s="268"/>
    </row>
    <row r="36" spans="1:24" ht="15">
      <c r="A36" s="289" t="s">
        <v>183</v>
      </c>
      <c r="B36" s="278" t="s">
        <v>28</v>
      </c>
      <c r="C36" s="310">
        <v>9.9700000000000006</v>
      </c>
      <c r="D36" s="286"/>
      <c r="E36" s="286"/>
      <c r="F36" s="286"/>
      <c r="G36" s="286"/>
      <c r="H36" s="286">
        <v>119.64000000000001</v>
      </c>
      <c r="I36" s="314"/>
      <c r="J36" s="291">
        <v>-1</v>
      </c>
      <c r="K36" s="268"/>
      <c r="L36" s="308"/>
      <c r="M36" s="315"/>
      <c r="N36" s="316"/>
      <c r="O36" s="316"/>
      <c r="P36" s="316"/>
      <c r="Q36" s="316"/>
      <c r="R36" s="316"/>
      <c r="S36" s="316"/>
      <c r="T36" s="316"/>
      <c r="U36" s="316"/>
      <c r="V36" s="316"/>
      <c r="W36" s="316"/>
      <c r="X36" s="316"/>
    </row>
    <row r="37" spans="1:24" ht="15">
      <c r="A37" s="289" t="s">
        <v>184</v>
      </c>
      <c r="B37" s="278" t="s">
        <v>28</v>
      </c>
      <c r="C37" s="310">
        <v>10.75</v>
      </c>
      <c r="D37" s="286"/>
      <c r="E37" s="286"/>
      <c r="F37" s="286"/>
      <c r="G37" s="286"/>
      <c r="H37" s="286">
        <v>129</v>
      </c>
      <c r="I37" s="314"/>
      <c r="J37" s="291">
        <v>-1.08</v>
      </c>
      <c r="K37" s="268"/>
      <c r="L37" s="308"/>
      <c r="M37" s="268"/>
    </row>
    <row r="38" spans="1:24" ht="15">
      <c r="A38" s="289" t="s">
        <v>185</v>
      </c>
      <c r="B38" s="278" t="s">
        <v>28</v>
      </c>
      <c r="C38" s="310">
        <v>11.54</v>
      </c>
      <c r="D38" s="286"/>
      <c r="E38" s="286"/>
      <c r="F38" s="286"/>
      <c r="G38" s="286"/>
      <c r="H38" s="286">
        <v>138.47999999999999</v>
      </c>
      <c r="I38" s="314"/>
      <c r="J38" s="291">
        <v>-1.1499999999999999</v>
      </c>
      <c r="K38" s="268"/>
      <c r="L38" s="308"/>
      <c r="M38" s="268"/>
    </row>
    <row r="39" spans="1:24" ht="15">
      <c r="A39" s="289" t="s">
        <v>186</v>
      </c>
      <c r="B39" s="278" t="s">
        <v>28</v>
      </c>
      <c r="C39" s="310">
        <v>12.07</v>
      </c>
      <c r="D39" s="286"/>
      <c r="E39" s="286"/>
      <c r="F39" s="286"/>
      <c r="G39" s="286"/>
      <c r="H39" s="286">
        <v>144.84</v>
      </c>
      <c r="I39" s="314"/>
      <c r="J39" s="291">
        <v>-1.21</v>
      </c>
      <c r="K39" s="268"/>
      <c r="L39" s="308"/>
      <c r="M39" s="268"/>
    </row>
    <row r="40" spans="1:24" ht="15">
      <c r="A40" s="289" t="s">
        <v>187</v>
      </c>
      <c r="B40" s="278" t="s">
        <v>28</v>
      </c>
      <c r="C40" s="310">
        <v>17.309999999999999</v>
      </c>
      <c r="D40" s="286"/>
      <c r="E40" s="286"/>
      <c r="F40" s="286"/>
      <c r="G40" s="286"/>
      <c r="H40" s="286">
        <v>207.71999999999997</v>
      </c>
      <c r="I40" s="314"/>
      <c r="J40" s="291">
        <v>-1.73</v>
      </c>
      <c r="K40" s="268"/>
      <c r="L40" s="308"/>
      <c r="M40" s="268"/>
    </row>
    <row r="41" spans="1:24" ht="15">
      <c r="A41" s="289" t="s">
        <v>188</v>
      </c>
      <c r="B41" s="278" t="s">
        <v>28</v>
      </c>
      <c r="C41" s="310">
        <v>19.940000000000001</v>
      </c>
      <c r="D41" s="286"/>
      <c r="E41" s="286"/>
      <c r="F41" s="286"/>
      <c r="G41" s="286"/>
      <c r="H41" s="286">
        <v>239.28000000000003</v>
      </c>
      <c r="I41" s="314"/>
      <c r="J41" s="291">
        <v>-1.99</v>
      </c>
      <c r="K41" s="268"/>
      <c r="L41" s="308"/>
      <c r="M41" s="268"/>
    </row>
    <row r="42" spans="1:24" ht="15">
      <c r="A42" s="289" t="s">
        <v>189</v>
      </c>
      <c r="B42" s="278" t="s">
        <v>28</v>
      </c>
      <c r="C42" s="310">
        <v>22.04</v>
      </c>
      <c r="D42" s="286"/>
      <c r="E42" s="286"/>
      <c r="F42" s="286"/>
      <c r="G42" s="286"/>
      <c r="H42" s="286">
        <v>264.48</v>
      </c>
      <c r="I42" s="314"/>
      <c r="J42" s="291">
        <v>-2.2000000000000002</v>
      </c>
      <c r="K42" s="268"/>
      <c r="L42" s="308"/>
      <c r="M42" s="268"/>
    </row>
    <row r="43" spans="1:24" ht="15">
      <c r="A43" s="289" t="s">
        <v>190</v>
      </c>
      <c r="B43" s="278" t="s">
        <v>26</v>
      </c>
      <c r="C43" s="310">
        <v>17.309999999999999</v>
      </c>
      <c r="D43" s="286"/>
      <c r="E43" s="286"/>
      <c r="F43" s="286"/>
      <c r="G43" s="286"/>
      <c r="H43" s="286">
        <v>207.71999999999997</v>
      </c>
      <c r="I43" s="314"/>
      <c r="J43" s="291">
        <v>-1.73</v>
      </c>
      <c r="K43" s="268"/>
      <c r="L43" s="308"/>
      <c r="M43" s="268"/>
    </row>
    <row r="44" spans="1:24" ht="15">
      <c r="A44" s="289" t="s">
        <v>187</v>
      </c>
      <c r="B44" s="278" t="s">
        <v>26</v>
      </c>
      <c r="C44" s="310">
        <v>18.89</v>
      </c>
      <c r="D44" s="286"/>
      <c r="E44" s="286"/>
      <c r="F44" s="286"/>
      <c r="G44" s="286"/>
      <c r="H44" s="286">
        <v>226.68</v>
      </c>
      <c r="I44" s="314"/>
      <c r="J44" s="291">
        <v>-1.89</v>
      </c>
      <c r="K44" s="268"/>
      <c r="L44" s="308"/>
      <c r="M44" s="268"/>
    </row>
    <row r="45" spans="1:24" ht="15">
      <c r="A45" s="289" t="s">
        <v>188</v>
      </c>
      <c r="B45" s="278" t="s">
        <v>26</v>
      </c>
      <c r="C45" s="310">
        <v>19.940000000000001</v>
      </c>
      <c r="D45" s="286"/>
      <c r="E45" s="286"/>
      <c r="F45" s="286"/>
      <c r="G45" s="286"/>
      <c r="H45" s="286">
        <v>239.28000000000003</v>
      </c>
      <c r="I45" s="314"/>
      <c r="J45" s="291">
        <v>-1.99</v>
      </c>
      <c r="K45" s="268"/>
      <c r="L45" s="308"/>
      <c r="M45" s="268"/>
    </row>
    <row r="46" spans="1:24" ht="15">
      <c r="A46" s="289">
        <v>110</v>
      </c>
      <c r="B46" s="278" t="s">
        <v>191</v>
      </c>
      <c r="C46" s="310">
        <v>27.07</v>
      </c>
      <c r="D46" s="286"/>
      <c r="E46" s="286"/>
      <c r="F46" s="286"/>
      <c r="G46" s="286"/>
      <c r="H46" s="286">
        <v>324.84000000000003</v>
      </c>
      <c r="I46" s="314"/>
      <c r="J46" s="291">
        <v>-2.71</v>
      </c>
      <c r="K46" s="268"/>
      <c r="L46" s="308"/>
      <c r="M46" s="268"/>
    </row>
    <row r="47" spans="1:24" ht="15">
      <c r="A47" s="289" t="s">
        <v>189</v>
      </c>
      <c r="B47" s="278" t="s">
        <v>26</v>
      </c>
      <c r="C47" s="310">
        <v>25.19</v>
      </c>
      <c r="D47" s="286"/>
      <c r="E47" s="286"/>
      <c r="F47" s="286"/>
      <c r="G47" s="286"/>
      <c r="H47" s="286">
        <v>302.28000000000003</v>
      </c>
      <c r="I47" s="314"/>
      <c r="J47" s="291">
        <v>-2.52</v>
      </c>
      <c r="K47" s="268"/>
      <c r="L47" s="308"/>
      <c r="M47" s="268"/>
    </row>
    <row r="48" spans="1:24" ht="15">
      <c r="A48" s="289" t="s">
        <v>192</v>
      </c>
      <c r="B48" s="278" t="s">
        <v>26</v>
      </c>
      <c r="C48" s="310">
        <v>31.48</v>
      </c>
      <c r="D48" s="286"/>
      <c r="E48" s="286"/>
      <c r="F48" s="286"/>
      <c r="G48" s="286"/>
      <c r="H48" s="286">
        <v>377.76</v>
      </c>
      <c r="I48" s="317"/>
      <c r="J48" s="318">
        <v>-3.15</v>
      </c>
      <c r="K48" s="319"/>
      <c r="L48" s="308"/>
      <c r="M48" s="268"/>
    </row>
    <row r="49" spans="1:16" ht="15">
      <c r="A49" s="289" t="s">
        <v>183</v>
      </c>
      <c r="B49" s="278" t="s">
        <v>193</v>
      </c>
      <c r="C49" s="310">
        <v>11.02</v>
      </c>
      <c r="D49" s="320"/>
      <c r="E49" s="320"/>
      <c r="F49" s="320"/>
      <c r="G49" s="321"/>
      <c r="H49" s="322">
        <v>132.24</v>
      </c>
      <c r="I49" s="323"/>
      <c r="J49" s="318">
        <v>-1.1000000000000001</v>
      </c>
      <c r="K49" s="319"/>
      <c r="L49" s="308"/>
      <c r="M49" s="268"/>
    </row>
    <row r="50" spans="1:16" ht="15">
      <c r="A50" s="289" t="s">
        <v>184</v>
      </c>
      <c r="B50" s="278" t="s">
        <v>193</v>
      </c>
      <c r="C50" s="310">
        <v>11.8</v>
      </c>
      <c r="D50" s="286"/>
      <c r="E50" s="286"/>
      <c r="F50" s="286"/>
      <c r="G50" s="324"/>
      <c r="H50" s="322">
        <v>141.60000000000002</v>
      </c>
      <c r="I50" s="325"/>
      <c r="J50" s="318">
        <v>-1.18</v>
      </c>
      <c r="K50" s="319"/>
      <c r="L50" s="268"/>
      <c r="M50" s="268"/>
    </row>
    <row r="51" spans="1:16" ht="15">
      <c r="A51" s="289" t="s">
        <v>185</v>
      </c>
      <c r="B51" s="278" t="s">
        <v>193</v>
      </c>
      <c r="C51" s="310">
        <v>12.59</v>
      </c>
      <c r="D51" s="286"/>
      <c r="E51" s="286"/>
      <c r="F51" s="286"/>
      <c r="G51" s="324"/>
      <c r="H51" s="322">
        <v>151.07999999999998</v>
      </c>
      <c r="I51" s="325"/>
      <c r="J51" s="318">
        <v>-1.26</v>
      </c>
      <c r="K51" s="319"/>
      <c r="L51" s="268"/>
      <c r="M51" s="268"/>
    </row>
    <row r="52" spans="1:16" ht="15">
      <c r="A52" s="289" t="s">
        <v>186</v>
      </c>
      <c r="B52" s="278" t="s">
        <v>193</v>
      </c>
      <c r="C52" s="310">
        <v>13.12</v>
      </c>
      <c r="D52" s="286"/>
      <c r="E52" s="286"/>
      <c r="F52" s="286"/>
      <c r="G52" s="324"/>
      <c r="H52" s="322">
        <v>157.44</v>
      </c>
      <c r="I52" s="325"/>
      <c r="J52" s="318">
        <v>-1.31</v>
      </c>
      <c r="K52" s="319"/>
      <c r="L52" s="268"/>
      <c r="M52" s="268"/>
    </row>
    <row r="53" spans="1:16" ht="15">
      <c r="A53" s="289" t="s">
        <v>187</v>
      </c>
      <c r="B53" s="278" t="s">
        <v>193</v>
      </c>
      <c r="C53" s="310">
        <v>18.36</v>
      </c>
      <c r="D53" s="286"/>
      <c r="E53" s="286"/>
      <c r="F53" s="286"/>
      <c r="G53" s="324"/>
      <c r="H53" s="322">
        <v>220.32</v>
      </c>
      <c r="I53" s="325"/>
      <c r="J53" s="318">
        <v>-1.84</v>
      </c>
      <c r="K53" s="319"/>
      <c r="L53" s="268"/>
      <c r="M53" s="268"/>
    </row>
    <row r="54" spans="1:16" ht="15">
      <c r="A54" s="289" t="s">
        <v>188</v>
      </c>
      <c r="B54" s="278" t="s">
        <v>193</v>
      </c>
      <c r="C54" s="310">
        <v>20.99</v>
      </c>
      <c r="D54" s="286"/>
      <c r="E54" s="286"/>
      <c r="F54" s="286"/>
      <c r="G54" s="324"/>
      <c r="H54" s="322">
        <v>251.88</v>
      </c>
      <c r="I54" s="325"/>
      <c r="J54" s="318">
        <v>-2.1</v>
      </c>
      <c r="K54" s="319"/>
      <c r="L54" s="268"/>
      <c r="M54" s="268"/>
    </row>
    <row r="55" spans="1:16" ht="15">
      <c r="A55" s="326" t="s">
        <v>189</v>
      </c>
      <c r="B55" s="278" t="s">
        <v>193</v>
      </c>
      <c r="C55" s="310">
        <v>23.09</v>
      </c>
      <c r="D55" s="286"/>
      <c r="E55" s="286"/>
      <c r="F55" s="286"/>
      <c r="G55" s="324"/>
      <c r="H55" s="327">
        <v>277.08</v>
      </c>
      <c r="I55" s="323"/>
      <c r="J55" s="328">
        <v>-2.31</v>
      </c>
      <c r="K55" s="319"/>
      <c r="L55" s="268"/>
      <c r="M55" s="268"/>
    </row>
    <row r="56" spans="1:16" ht="15">
      <c r="A56" s="280" t="s">
        <v>30</v>
      </c>
      <c r="B56" s="281"/>
      <c r="C56" s="296"/>
      <c r="D56" s="295"/>
      <c r="E56" s="295"/>
      <c r="F56" s="295"/>
      <c r="G56" s="295"/>
      <c r="H56" s="329"/>
      <c r="I56" s="329"/>
      <c r="J56" s="330"/>
      <c r="K56" s="268"/>
      <c r="L56" s="268"/>
      <c r="M56" s="268"/>
    </row>
    <row r="57" spans="1:16" ht="15">
      <c r="A57" s="284">
        <v>3300</v>
      </c>
      <c r="B57" s="290" t="s">
        <v>25</v>
      </c>
      <c r="C57" s="286">
        <v>12.35</v>
      </c>
      <c r="D57" s="286"/>
      <c r="E57" s="286"/>
      <c r="F57" s="286"/>
      <c r="G57" s="286"/>
      <c r="H57" s="286">
        <v>148.19999999999999</v>
      </c>
      <c r="I57" s="286"/>
      <c r="J57" s="291">
        <v>-1.24</v>
      </c>
      <c r="K57" s="268"/>
      <c r="L57" s="268"/>
      <c r="M57" s="268"/>
    </row>
    <row r="58" spans="1:16" ht="15">
      <c r="A58" s="331" t="s">
        <v>106</v>
      </c>
      <c r="B58" s="332"/>
      <c r="C58" s="333" t="s">
        <v>302</v>
      </c>
      <c r="D58" s="333"/>
      <c r="E58" s="333"/>
      <c r="F58" s="333"/>
      <c r="G58" s="333"/>
      <c r="H58" s="333">
        <v>45658</v>
      </c>
      <c r="I58" s="333"/>
      <c r="J58" s="333">
        <v>45658</v>
      </c>
      <c r="K58" s="268"/>
      <c r="L58" s="268"/>
      <c r="M58" s="268"/>
    </row>
    <row r="59" spans="1:16" ht="15">
      <c r="A59" s="269"/>
      <c r="B59" s="269"/>
      <c r="C59" s="269"/>
      <c r="D59" s="269"/>
      <c r="E59" s="269"/>
      <c r="F59" s="269"/>
      <c r="G59" s="269"/>
      <c r="H59" s="269"/>
      <c r="I59" s="269"/>
      <c r="J59" s="269"/>
    </row>
    <row r="60" spans="1:16" ht="15">
      <c r="A60" s="269" t="s">
        <v>107</v>
      </c>
      <c r="B60" s="269"/>
      <c r="C60" s="269"/>
      <c r="D60" s="269"/>
      <c r="E60" s="269"/>
      <c r="F60" s="269"/>
      <c r="G60" s="269"/>
      <c r="H60" s="269"/>
      <c r="I60" s="269"/>
      <c r="J60" s="269"/>
    </row>
    <row r="61" spans="1:16" ht="15">
      <c r="A61" s="269" t="s">
        <v>194</v>
      </c>
      <c r="B61" s="269"/>
      <c r="C61" s="269"/>
      <c r="D61" s="269"/>
      <c r="E61" s="269"/>
      <c r="F61" s="269"/>
      <c r="G61" s="269"/>
      <c r="H61" s="269"/>
      <c r="I61" s="269"/>
      <c r="J61" s="269"/>
    </row>
    <row r="62" spans="1:16" ht="15">
      <c r="A62" s="269"/>
      <c r="B62" s="269"/>
      <c r="C62" s="269"/>
      <c r="D62" s="269"/>
      <c r="E62" s="269"/>
      <c r="F62" s="269"/>
      <c r="G62" s="269"/>
      <c r="H62" s="269"/>
      <c r="I62" s="269"/>
      <c r="J62" s="269"/>
    </row>
    <row r="63" spans="1:16" ht="15">
      <c r="A63" s="88" t="s">
        <v>250</v>
      </c>
      <c r="B63" s="269"/>
      <c r="K63" s="200" t="s">
        <v>319</v>
      </c>
    </row>
    <row r="64" spans="1:16" ht="15">
      <c r="A64" s="88" t="s">
        <v>251</v>
      </c>
      <c r="B64" s="269"/>
      <c r="K64" s="200" t="s">
        <v>320</v>
      </c>
      <c r="L64" s="269"/>
      <c r="M64" s="269"/>
      <c r="N64" s="269"/>
      <c r="O64" s="269"/>
      <c r="P64" s="269"/>
    </row>
    <row r="65" spans="10:16" ht="15">
      <c r="K65" s="269"/>
      <c r="L65" s="269"/>
      <c r="M65" s="269"/>
      <c r="N65" s="269"/>
      <c r="O65" s="269"/>
      <c r="P65" s="269"/>
    </row>
    <row r="70" spans="10:16" ht="15">
      <c r="J70" s="269"/>
    </row>
    <row r="71" spans="10:16" ht="15">
      <c r="J71" s="269"/>
    </row>
  </sheetData>
  <mergeCells count="1">
    <mergeCell ref="A4:K4"/>
  </mergeCells>
  <pageMargins left="0.7" right="0.7" top="0.75" bottom="0.75" header="0.3" footer="0.3"/>
  <pageSetup scale="75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872A-EC15-45DD-A3AF-E4B99728334E}">
  <sheetPr codeName="Sheet8">
    <pageSetUpPr fitToPage="1"/>
  </sheetPr>
  <dimension ref="A1:J51"/>
  <sheetViews>
    <sheetView view="pageBreakPreview" zoomScale="85" zoomScaleNormal="100" zoomScaleSheetLayoutView="85" zoomScalePageLayoutView="90" workbookViewId="0">
      <selection activeCell="E10" sqref="E10"/>
    </sheetView>
  </sheetViews>
  <sheetFormatPr defaultColWidth="9.7109375" defaultRowHeight="12.75"/>
  <cols>
    <col min="1" max="1" width="38.85546875" customWidth="1"/>
    <col min="2" max="2" width="12.7109375" bestFit="1" customWidth="1"/>
    <col min="3" max="3" width="11.7109375" customWidth="1"/>
    <col min="4" max="9" width="11" bestFit="1" customWidth="1"/>
    <col min="10" max="10" width="11.7109375" bestFit="1" customWidth="1"/>
  </cols>
  <sheetData>
    <row r="1" spans="1:10">
      <c r="A1" t="s">
        <v>245</v>
      </c>
      <c r="J1" s="200" t="s">
        <v>316</v>
      </c>
    </row>
    <row r="2" spans="1:10">
      <c r="A2" t="s">
        <v>246</v>
      </c>
      <c r="J2" s="200" t="s">
        <v>317</v>
      </c>
    </row>
    <row r="3" spans="1:10">
      <c r="A3" t="s">
        <v>247</v>
      </c>
      <c r="J3" s="216" t="s">
        <v>254</v>
      </c>
    </row>
    <row r="4" spans="1:10" ht="14.25">
      <c r="A4" s="552"/>
      <c r="B4" s="552"/>
      <c r="C4" s="552"/>
      <c r="D4" s="552"/>
      <c r="E4" s="552"/>
      <c r="F4" s="552"/>
      <c r="G4" s="552"/>
      <c r="H4" s="552"/>
      <c r="I4" s="552"/>
      <c r="J4" s="552"/>
    </row>
    <row r="5" spans="1:10">
      <c r="A5" s="91" t="s">
        <v>255</v>
      </c>
      <c r="B5" s="88"/>
      <c r="C5" s="88"/>
      <c r="D5" s="88"/>
      <c r="E5" s="88"/>
      <c r="F5" s="88"/>
      <c r="G5" s="88"/>
      <c r="H5" s="88"/>
      <c r="I5" s="88"/>
      <c r="J5" s="88"/>
    </row>
    <row r="6" spans="1:10">
      <c r="A6" s="91" t="s">
        <v>195</v>
      </c>
      <c r="B6" s="88"/>
      <c r="C6" s="88"/>
      <c r="D6" s="88"/>
      <c r="E6" s="88"/>
      <c r="F6" s="88"/>
      <c r="G6" s="88"/>
      <c r="H6" s="88"/>
      <c r="I6" s="88"/>
      <c r="J6" s="88"/>
    </row>
    <row r="7" spans="1:10">
      <c r="A7" s="88"/>
      <c r="B7" s="88"/>
      <c r="C7" s="88"/>
      <c r="D7" s="88"/>
      <c r="E7" s="88"/>
      <c r="F7" s="88"/>
      <c r="G7" s="88"/>
      <c r="H7" s="88"/>
      <c r="I7" s="88"/>
      <c r="J7" s="88"/>
    </row>
    <row r="8" spans="1:10">
      <c r="A8" s="549"/>
      <c r="B8" s="550"/>
      <c r="C8" s="550"/>
      <c r="D8" s="550"/>
      <c r="E8" s="550"/>
      <c r="F8" s="550"/>
      <c r="G8" s="550"/>
      <c r="H8" s="550"/>
      <c r="I8" s="550"/>
      <c r="J8" s="551"/>
    </row>
    <row r="9" spans="1:10">
      <c r="A9" s="171" t="s">
        <v>156</v>
      </c>
      <c r="B9" s="172" t="s">
        <v>157</v>
      </c>
      <c r="C9" s="172" t="s">
        <v>196</v>
      </c>
      <c r="D9" s="173">
        <v>46054</v>
      </c>
      <c r="E9" s="173">
        <v>46082</v>
      </c>
      <c r="F9" s="173">
        <v>46113</v>
      </c>
      <c r="G9" s="173">
        <v>46143</v>
      </c>
      <c r="H9" s="173">
        <v>46174</v>
      </c>
      <c r="I9" s="173">
        <v>46204</v>
      </c>
      <c r="J9" s="174" t="s">
        <v>89</v>
      </c>
    </row>
    <row r="10" spans="1:10" ht="25.5">
      <c r="A10" s="334" t="s">
        <v>303</v>
      </c>
      <c r="B10" s="88" t="s">
        <v>91</v>
      </c>
      <c r="C10" s="88" t="s">
        <v>109</v>
      </c>
      <c r="D10" s="175">
        <v>0.16247</v>
      </c>
      <c r="E10" s="175">
        <v>0.16247</v>
      </c>
      <c r="F10" s="175">
        <v>0.16247</v>
      </c>
      <c r="G10" s="175">
        <v>0.16247</v>
      </c>
      <c r="H10" s="175">
        <v>0.16247</v>
      </c>
      <c r="I10" s="175">
        <v>0.16247</v>
      </c>
      <c r="J10" s="152">
        <v>46054</v>
      </c>
    </row>
    <row r="11" spans="1:10">
      <c r="A11" s="157"/>
      <c r="B11" s="88" t="s">
        <v>91</v>
      </c>
      <c r="C11" s="88" t="s">
        <v>110</v>
      </c>
      <c r="D11" s="175">
        <v>0.23366999999999999</v>
      </c>
      <c r="E11" s="175">
        <v>0.15115000000000001</v>
      </c>
      <c r="F11" s="175">
        <v>0.13453999999999999</v>
      </c>
      <c r="G11" s="175">
        <v>0.12967000000000001</v>
      </c>
      <c r="H11" s="175">
        <v>0.13627</v>
      </c>
      <c r="I11" s="175">
        <v>0.16303999999999999</v>
      </c>
      <c r="J11" s="152">
        <v>46054</v>
      </c>
    </row>
    <row r="12" spans="1:10">
      <c r="A12" s="157"/>
      <c r="B12" s="88"/>
      <c r="C12" s="88"/>
      <c r="D12" s="175"/>
      <c r="E12" s="175"/>
      <c r="F12" s="175"/>
      <c r="G12" s="175"/>
      <c r="H12" s="175"/>
      <c r="I12" s="175"/>
      <c r="J12" s="152"/>
    </row>
    <row r="13" spans="1:10">
      <c r="A13" s="157" t="s">
        <v>111</v>
      </c>
      <c r="B13" s="88" t="s">
        <v>91</v>
      </c>
      <c r="C13" s="88" t="s">
        <v>109</v>
      </c>
      <c r="D13" s="175">
        <v>-1.6250000000000001E-2</v>
      </c>
      <c r="E13" s="175">
        <v>-1.6250000000000001E-2</v>
      </c>
      <c r="F13" s="175">
        <v>-1.6250000000000001E-2</v>
      </c>
      <c r="G13" s="175">
        <v>-1.6250000000000001E-2</v>
      </c>
      <c r="H13" s="175">
        <v>-1.6250000000000001E-2</v>
      </c>
      <c r="I13" s="175">
        <v>-1.6250000000000001E-2</v>
      </c>
      <c r="J13" s="152">
        <v>46054</v>
      </c>
    </row>
    <row r="14" spans="1:10">
      <c r="A14" s="157"/>
      <c r="B14" s="88" t="str">
        <f>+B13</f>
        <v>ALL</v>
      </c>
      <c r="C14" s="88" t="s">
        <v>110</v>
      </c>
      <c r="D14" s="175">
        <v>-2.3369999999999998E-2</v>
      </c>
      <c r="E14" s="175">
        <v>-1.512E-2</v>
      </c>
      <c r="F14" s="175">
        <v>-1.345E-2</v>
      </c>
      <c r="G14" s="175">
        <v>-1.2970000000000001E-2</v>
      </c>
      <c r="H14" s="175">
        <v>-1.363E-2</v>
      </c>
      <c r="I14" s="175">
        <v>-1.6299999999999999E-2</v>
      </c>
      <c r="J14" s="152">
        <v>46054</v>
      </c>
    </row>
    <row r="15" spans="1:10">
      <c r="A15" s="215"/>
      <c r="B15" s="88"/>
      <c r="C15" s="88"/>
      <c r="D15" s="175"/>
      <c r="E15" s="175"/>
      <c r="F15" s="175"/>
      <c r="G15" s="175"/>
      <c r="H15" s="175"/>
      <c r="I15" s="175"/>
      <c r="J15" s="152"/>
    </row>
    <row r="16" spans="1:10">
      <c r="A16" s="157" t="s">
        <v>256</v>
      </c>
      <c r="B16" s="88" t="str">
        <f>+B14</f>
        <v>ALL</v>
      </c>
      <c r="C16" s="88" t="s">
        <v>109</v>
      </c>
      <c r="D16" s="175">
        <v>-6.4990000000000006E-2</v>
      </c>
      <c r="E16" s="175">
        <v>-6.4990000000000006E-2</v>
      </c>
      <c r="F16" s="175">
        <v>-6.4990000000000006E-2</v>
      </c>
      <c r="G16" s="175">
        <v>-6.4990000000000006E-2</v>
      </c>
      <c r="H16" s="175">
        <v>-6.4990000000000006E-2</v>
      </c>
      <c r="I16" s="175">
        <v>-6.4990000000000006E-2</v>
      </c>
      <c r="J16" s="152">
        <v>46054</v>
      </c>
    </row>
    <row r="17" spans="1:10">
      <c r="A17" s="157" t="s">
        <v>67</v>
      </c>
      <c r="B17" s="88" t="str">
        <f>+B16</f>
        <v>ALL</v>
      </c>
      <c r="C17" s="88" t="s">
        <v>110</v>
      </c>
      <c r="D17" s="175">
        <v>-9.3469999999999998E-2</v>
      </c>
      <c r="E17" s="175">
        <v>-6.046E-2</v>
      </c>
      <c r="F17" s="175">
        <v>-5.382E-2</v>
      </c>
      <c r="G17" s="175">
        <v>-5.1869999999999999E-2</v>
      </c>
      <c r="H17" s="175">
        <v>-5.4510000000000003E-2</v>
      </c>
      <c r="I17" s="175">
        <v>-6.522E-2</v>
      </c>
      <c r="J17" s="152">
        <v>46054</v>
      </c>
    </row>
    <row r="18" spans="1:10">
      <c r="A18" s="157"/>
      <c r="B18" s="88"/>
      <c r="C18" s="88"/>
      <c r="D18" s="175"/>
      <c r="E18" s="175"/>
      <c r="F18" s="175"/>
      <c r="G18" s="175"/>
      <c r="H18" s="175"/>
      <c r="I18" s="175"/>
      <c r="J18" s="152"/>
    </row>
    <row r="19" spans="1:10">
      <c r="A19" s="157" t="s">
        <v>256</v>
      </c>
      <c r="B19" s="88" t="str">
        <f>+B17</f>
        <v>ALL</v>
      </c>
      <c r="C19" s="88" t="s">
        <v>109</v>
      </c>
      <c r="D19" s="175">
        <v>-9.75E-3</v>
      </c>
      <c r="E19" s="175">
        <v>-9.75E-3</v>
      </c>
      <c r="F19" s="175">
        <v>-9.75E-3</v>
      </c>
      <c r="G19" s="175">
        <v>-9.75E-3</v>
      </c>
      <c r="H19" s="175">
        <v>-9.75E-3</v>
      </c>
      <c r="I19" s="175">
        <v>-9.75E-3</v>
      </c>
      <c r="J19" s="152">
        <v>46054</v>
      </c>
    </row>
    <row r="20" spans="1:10">
      <c r="A20" s="157" t="s">
        <v>95</v>
      </c>
      <c r="B20" s="88" t="str">
        <f>+B19</f>
        <v>ALL</v>
      </c>
      <c r="C20" s="88" t="s">
        <v>110</v>
      </c>
      <c r="D20" s="175">
        <v>-1.4019999999999999E-2</v>
      </c>
      <c r="E20" s="175">
        <v>-9.0699999999999999E-3</v>
      </c>
      <c r="F20" s="175">
        <v>-8.0700000000000008E-3</v>
      </c>
      <c r="G20" s="175">
        <v>-7.7799999999999996E-3</v>
      </c>
      <c r="H20" s="175">
        <v>-8.1799999999999998E-3</v>
      </c>
      <c r="I20" s="175">
        <v>-9.7800000000000005E-3</v>
      </c>
      <c r="J20" s="152">
        <v>46054</v>
      </c>
    </row>
    <row r="21" spans="1:10">
      <c r="A21" s="154"/>
      <c r="B21" s="176"/>
      <c r="C21" s="176"/>
      <c r="D21" s="177"/>
      <c r="E21" s="177"/>
      <c r="F21" s="177"/>
      <c r="G21" s="177"/>
      <c r="H21" s="177"/>
      <c r="I21" s="177"/>
      <c r="J21" s="178"/>
    </row>
    <row r="22" spans="1:10">
      <c r="A22" s="149"/>
      <c r="B22" s="179"/>
      <c r="C22" s="179"/>
      <c r="D22" s="180"/>
      <c r="E22" s="180"/>
      <c r="F22" s="180"/>
      <c r="G22" s="180"/>
      <c r="H22" s="180"/>
      <c r="I22" s="180"/>
      <c r="J22" s="181"/>
    </row>
    <row r="23" spans="1:10">
      <c r="A23" s="157" t="s">
        <v>197</v>
      </c>
      <c r="B23" s="88" t="s">
        <v>91</v>
      </c>
      <c r="C23" s="88" t="s">
        <v>109</v>
      </c>
      <c r="D23" s="175">
        <v>0.16247</v>
      </c>
      <c r="E23" s="175">
        <v>0.16247</v>
      </c>
      <c r="F23" s="175">
        <v>0.16247</v>
      </c>
      <c r="G23" s="175">
        <v>0.16247</v>
      </c>
      <c r="H23" s="175">
        <v>0.16247</v>
      </c>
      <c r="I23" s="175">
        <v>0.16247</v>
      </c>
      <c r="J23" s="152">
        <v>46054</v>
      </c>
    </row>
    <row r="24" spans="1:10">
      <c r="A24" s="157"/>
      <c r="B24" s="88" t="str">
        <f>+B23</f>
        <v>ALL</v>
      </c>
      <c r="C24" s="88" t="s">
        <v>110</v>
      </c>
      <c r="D24" s="175">
        <v>0.23366999999999999</v>
      </c>
      <c r="E24" s="175">
        <v>0.15115000000000001</v>
      </c>
      <c r="F24" s="175">
        <v>0.13453999999999999</v>
      </c>
      <c r="G24" s="175">
        <v>0.12967000000000001</v>
      </c>
      <c r="H24" s="175">
        <v>0.13627</v>
      </c>
      <c r="I24" s="175">
        <v>0.16303999999999999</v>
      </c>
      <c r="J24" s="152">
        <v>46054</v>
      </c>
    </row>
    <row r="25" spans="1:10">
      <c r="A25" s="157"/>
      <c r="B25" s="88"/>
      <c r="C25" s="88"/>
      <c r="D25" s="175"/>
      <c r="E25" s="175"/>
      <c r="F25" s="175"/>
      <c r="G25" s="175"/>
      <c r="H25" s="175"/>
      <c r="I25" s="175"/>
      <c r="J25" s="152"/>
    </row>
    <row r="26" spans="1:10">
      <c r="A26" s="157" t="s">
        <v>197</v>
      </c>
      <c r="B26" s="88" t="str">
        <f>+B24</f>
        <v>ALL</v>
      </c>
      <c r="C26" s="88" t="s">
        <v>109</v>
      </c>
      <c r="D26" s="175">
        <v>-1.6250000000000001E-2</v>
      </c>
      <c r="E26" s="175">
        <v>-1.6250000000000001E-2</v>
      </c>
      <c r="F26" s="175">
        <v>-1.6250000000000001E-2</v>
      </c>
      <c r="G26" s="175">
        <v>-1.6250000000000001E-2</v>
      </c>
      <c r="H26" s="175">
        <v>-1.6250000000000001E-2</v>
      </c>
      <c r="I26" s="175">
        <v>-1.6250000000000001E-2</v>
      </c>
      <c r="J26" s="152">
        <v>46054</v>
      </c>
    </row>
    <row r="27" spans="1:10">
      <c r="A27" s="157" t="s">
        <v>95</v>
      </c>
      <c r="B27" s="88" t="str">
        <f>+B26</f>
        <v>ALL</v>
      </c>
      <c r="C27" s="88" t="s">
        <v>110</v>
      </c>
      <c r="D27" s="175">
        <v>-2.3369999999999998E-2</v>
      </c>
      <c r="E27" s="175">
        <v>-1.512E-2</v>
      </c>
      <c r="F27" s="175">
        <v>-1.345E-2</v>
      </c>
      <c r="G27" s="175">
        <v>-1.2970000000000001E-2</v>
      </c>
      <c r="H27" s="175">
        <v>-1.363E-2</v>
      </c>
      <c r="I27" s="175">
        <v>-1.6299999999999999E-2</v>
      </c>
      <c r="J27" s="152">
        <v>46054</v>
      </c>
    </row>
    <row r="28" spans="1:10">
      <c r="A28" s="154"/>
      <c r="B28" s="176"/>
      <c r="C28" s="176"/>
      <c r="D28" s="177"/>
      <c r="E28" s="177"/>
      <c r="F28" s="177"/>
      <c r="G28" s="177"/>
      <c r="H28" s="177"/>
      <c r="I28" s="177"/>
      <c r="J28" s="178"/>
    </row>
    <row r="29" spans="1:10">
      <c r="A29" s="149"/>
      <c r="B29" s="179"/>
      <c r="C29" s="179"/>
      <c r="D29" s="180"/>
      <c r="E29" s="180"/>
      <c r="F29" s="180"/>
      <c r="G29" s="180"/>
      <c r="H29" s="180"/>
      <c r="I29" s="180"/>
      <c r="J29" s="181"/>
    </row>
    <row r="30" spans="1:10">
      <c r="A30" s="157" t="s">
        <v>198</v>
      </c>
      <c r="B30" s="88" t="s">
        <v>91</v>
      </c>
      <c r="C30" s="88" t="s">
        <v>109</v>
      </c>
      <c r="D30" s="175">
        <v>0.16066</v>
      </c>
      <c r="E30" s="175">
        <v>0.16066</v>
      </c>
      <c r="F30" s="175">
        <v>0.16066</v>
      </c>
      <c r="G30" s="175">
        <v>0.16066</v>
      </c>
      <c r="H30" s="175">
        <v>0.16066</v>
      </c>
      <c r="I30" s="175">
        <v>0.16066</v>
      </c>
      <c r="J30" s="152">
        <v>46054</v>
      </c>
    </row>
    <row r="31" spans="1:10">
      <c r="A31" s="157" t="s">
        <v>112</v>
      </c>
      <c r="B31" s="88" t="s">
        <v>91</v>
      </c>
      <c r="C31" s="88" t="s">
        <v>110</v>
      </c>
      <c r="D31" s="175">
        <v>0.2382</v>
      </c>
      <c r="E31" s="175">
        <v>0.15336</v>
      </c>
      <c r="F31" s="175">
        <v>0.13308999999999999</v>
      </c>
      <c r="G31" s="175">
        <v>0.12936999999999999</v>
      </c>
      <c r="H31" s="175">
        <v>0.13514999999999999</v>
      </c>
      <c r="I31" s="175">
        <v>0.16747999999999999</v>
      </c>
      <c r="J31" s="152">
        <v>46054</v>
      </c>
    </row>
    <row r="32" spans="1:10">
      <c r="A32" s="157"/>
      <c r="B32" s="88"/>
      <c r="C32" s="88"/>
      <c r="D32" s="175"/>
      <c r="E32" s="175"/>
      <c r="F32" s="175"/>
      <c r="G32" s="175"/>
      <c r="H32" s="175"/>
      <c r="I32" s="175"/>
      <c r="J32" s="152"/>
    </row>
    <row r="33" spans="1:10">
      <c r="A33" s="157" t="s">
        <v>198</v>
      </c>
      <c r="B33" s="88" t="s">
        <v>91</v>
      </c>
      <c r="C33" s="88" t="s">
        <v>109</v>
      </c>
      <c r="D33" s="182">
        <v>-1.6070000000000001E-2</v>
      </c>
      <c r="E33" s="182">
        <v>-1.6070000000000001E-2</v>
      </c>
      <c r="F33" s="182">
        <v>-1.6070000000000001E-2</v>
      </c>
      <c r="G33" s="182">
        <v>-1.6070000000000001E-2</v>
      </c>
      <c r="H33" s="182">
        <v>-1.6070000000000001E-2</v>
      </c>
      <c r="I33" s="182">
        <v>-1.6070000000000001E-2</v>
      </c>
      <c r="J33" s="152">
        <v>46054</v>
      </c>
    </row>
    <row r="34" spans="1:10">
      <c r="A34" s="157" t="s">
        <v>95</v>
      </c>
      <c r="B34" s="88" t="s">
        <v>91</v>
      </c>
      <c r="C34" s="88" t="s">
        <v>110</v>
      </c>
      <c r="D34" s="182">
        <v>-2.3820000000000001E-2</v>
      </c>
      <c r="E34" s="182">
        <v>-1.5339999999999999E-2</v>
      </c>
      <c r="F34" s="182">
        <v>-1.3310000000000001E-2</v>
      </c>
      <c r="G34" s="182">
        <v>-1.294E-2</v>
      </c>
      <c r="H34" s="182">
        <v>-1.3520000000000001E-2</v>
      </c>
      <c r="I34" s="182">
        <v>-1.6750000000000001E-2</v>
      </c>
      <c r="J34" s="152">
        <v>46054</v>
      </c>
    </row>
    <row r="35" spans="1:10">
      <c r="A35" s="154"/>
      <c r="B35" s="176"/>
      <c r="C35" s="176"/>
      <c r="D35" s="183"/>
      <c r="E35" s="183"/>
      <c r="F35" s="177"/>
      <c r="G35" s="177"/>
      <c r="H35" s="177"/>
      <c r="I35" s="177"/>
      <c r="J35" s="178"/>
    </row>
    <row r="36" spans="1:10">
      <c r="A36" s="157"/>
      <c r="B36" s="88"/>
      <c r="C36" s="88"/>
      <c r="D36" s="182"/>
      <c r="E36" s="182"/>
      <c r="F36" s="175"/>
      <c r="G36" s="175"/>
      <c r="H36" s="175"/>
      <c r="I36" s="175"/>
      <c r="J36" s="152"/>
    </row>
    <row r="37" spans="1:10">
      <c r="A37" s="157" t="s">
        <v>113</v>
      </c>
      <c r="B37" s="88" t="s">
        <v>91</v>
      </c>
      <c r="C37" s="88" t="s">
        <v>109</v>
      </c>
      <c r="D37" s="335" t="s">
        <v>114</v>
      </c>
      <c r="E37" s="335" t="s">
        <v>114</v>
      </c>
      <c r="F37" s="335" t="s">
        <v>114</v>
      </c>
      <c r="G37" s="335" t="s">
        <v>114</v>
      </c>
      <c r="H37" s="335" t="s">
        <v>114</v>
      </c>
      <c r="I37" s="335" t="s">
        <v>114</v>
      </c>
      <c r="J37" s="152">
        <v>46054</v>
      </c>
    </row>
    <row r="38" spans="1:10">
      <c r="A38" s="157"/>
      <c r="B38" s="88" t="s">
        <v>91</v>
      </c>
      <c r="C38" s="88" t="s">
        <v>110</v>
      </c>
      <c r="D38" s="335" t="s">
        <v>115</v>
      </c>
      <c r="E38" s="335" t="s">
        <v>115</v>
      </c>
      <c r="F38" s="335" t="s">
        <v>115</v>
      </c>
      <c r="G38" s="335" t="s">
        <v>115</v>
      </c>
      <c r="H38" s="335" t="s">
        <v>115</v>
      </c>
      <c r="I38" s="335" t="s">
        <v>115</v>
      </c>
      <c r="J38" s="152">
        <v>46054</v>
      </c>
    </row>
    <row r="39" spans="1:10">
      <c r="A39" s="157"/>
      <c r="B39" s="88"/>
      <c r="C39" s="88"/>
      <c r="D39" s="335"/>
      <c r="E39" s="335"/>
      <c r="F39" s="335"/>
      <c r="G39" s="335"/>
      <c r="H39" s="335"/>
      <c r="I39" s="335"/>
      <c r="J39" s="152"/>
    </row>
    <row r="40" spans="1:10">
      <c r="A40" s="157"/>
      <c r="B40" s="88" t="s">
        <v>91</v>
      </c>
      <c r="C40" s="88" t="s">
        <v>109</v>
      </c>
      <c r="D40" s="335" t="s">
        <v>114</v>
      </c>
      <c r="E40" s="335" t="s">
        <v>114</v>
      </c>
      <c r="F40" s="335" t="s">
        <v>114</v>
      </c>
      <c r="G40" s="335" t="s">
        <v>114</v>
      </c>
      <c r="H40" s="335" t="s">
        <v>114</v>
      </c>
      <c r="I40" s="335" t="s">
        <v>114</v>
      </c>
      <c r="J40" s="152">
        <v>46054</v>
      </c>
    </row>
    <row r="41" spans="1:10">
      <c r="A41" s="157"/>
      <c r="B41" s="88" t="s">
        <v>91</v>
      </c>
      <c r="C41" s="88" t="s">
        <v>110</v>
      </c>
      <c r="D41" s="335" t="s">
        <v>115</v>
      </c>
      <c r="E41" s="335" t="s">
        <v>115</v>
      </c>
      <c r="F41" s="335" t="s">
        <v>115</v>
      </c>
      <c r="G41" s="335" t="s">
        <v>115</v>
      </c>
      <c r="H41" s="335" t="s">
        <v>115</v>
      </c>
      <c r="I41" s="335" t="s">
        <v>115</v>
      </c>
      <c r="J41" s="152">
        <v>46054</v>
      </c>
    </row>
    <row r="42" spans="1:10">
      <c r="A42" s="154"/>
      <c r="B42" s="176"/>
      <c r="C42" s="176"/>
      <c r="D42" s="177"/>
      <c r="E42" s="177"/>
      <c r="F42" s="177"/>
      <c r="G42" s="177"/>
      <c r="H42" s="177"/>
      <c r="I42" s="177"/>
      <c r="J42" s="178"/>
    </row>
    <row r="44" spans="1:10">
      <c r="A44" s="336" t="s">
        <v>257</v>
      </c>
    </row>
    <row r="45" spans="1:10">
      <c r="A45" s="336" t="s">
        <v>318</v>
      </c>
    </row>
    <row r="46" spans="1:10">
      <c r="A46" s="337"/>
    </row>
    <row r="47" spans="1:10">
      <c r="A47" s="88" t="s">
        <v>250</v>
      </c>
      <c r="J47" s="200" t="s">
        <v>319</v>
      </c>
    </row>
    <row r="48" spans="1:10">
      <c r="A48" s="88" t="s">
        <v>251</v>
      </c>
      <c r="C48" s="338"/>
      <c r="J48" s="200" t="s">
        <v>320</v>
      </c>
    </row>
    <row r="49" spans="1:3">
      <c r="A49" s="339"/>
      <c r="C49" s="338"/>
    </row>
    <row r="50" spans="1:3">
      <c r="C50" s="338"/>
    </row>
    <row r="51" spans="1:3">
      <c r="C51" s="338"/>
    </row>
  </sheetData>
  <mergeCells count="2">
    <mergeCell ref="A8:J8"/>
    <mergeCell ref="A4:J4"/>
  </mergeCells>
  <pageMargins left="0.7" right="0.7" top="0.75" bottom="0.75" header="0.3" footer="0.3"/>
  <pageSetup scale="77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C5A2-A609-46AF-A346-C47E25A3DECB}">
  <sheetPr codeName="Sheet9">
    <pageSetUpPr fitToPage="1"/>
  </sheetPr>
  <dimension ref="A1:AD91"/>
  <sheetViews>
    <sheetView view="pageBreakPreview" topLeftCell="A8" zoomScale="55" zoomScaleNormal="100" zoomScaleSheetLayoutView="55" zoomScalePageLayoutView="62" workbookViewId="0">
      <selection activeCell="Q84" sqref="Q84"/>
    </sheetView>
  </sheetViews>
  <sheetFormatPr defaultColWidth="10" defaultRowHeight="14.25" outlineLevelCol="1"/>
  <cols>
    <col min="1" max="1" width="25" customWidth="1"/>
    <col min="2" max="2" width="11.28515625" customWidth="1"/>
    <col min="3" max="3" width="16.5703125" customWidth="1"/>
    <col min="4" max="4" width="11.7109375" style="339" customWidth="1"/>
    <col min="5" max="6" width="16.140625" style="340" customWidth="1"/>
    <col min="7" max="7" width="15.28515625" style="340" customWidth="1"/>
    <col min="8" max="9" width="9.140625" hidden="1" customWidth="1" outlineLevel="1"/>
    <col min="10" max="10" width="9.28515625" hidden="1" customWidth="1" outlineLevel="1"/>
    <col min="11" max="11" width="10.7109375" customWidth="1" outlineLevel="1"/>
    <col min="12" max="12" width="9.28515625" hidden="1" customWidth="1" outlineLevel="1"/>
    <col min="13" max="13" width="14.140625" bestFit="1" customWidth="1" outlineLevel="1"/>
    <col min="14" max="14" width="14.140625" customWidth="1" outlineLevel="1"/>
    <col min="15" max="15" width="11.85546875" customWidth="1"/>
    <col min="16" max="16" width="11.140625" customWidth="1"/>
    <col min="17" max="17" width="13" style="340" customWidth="1"/>
    <col min="18" max="18" width="11.28515625" style="340" customWidth="1"/>
    <col min="19" max="19" width="10.7109375" customWidth="1"/>
    <col min="20" max="20" width="12.7109375" style="340" customWidth="1"/>
    <col min="21" max="21" width="13.28515625" style="340" customWidth="1"/>
    <col min="22" max="22" width="13.5703125" bestFit="1" customWidth="1"/>
    <col min="23" max="23" width="10.7109375" style="341" customWidth="1"/>
    <col min="24" max="24" width="13.85546875" style="341" customWidth="1"/>
    <col min="25" max="25" width="15" customWidth="1"/>
  </cols>
  <sheetData>
    <row r="1" spans="1:28">
      <c r="A1" t="s">
        <v>245</v>
      </c>
      <c r="Y1" s="200" t="s">
        <v>316</v>
      </c>
    </row>
    <row r="2" spans="1:28">
      <c r="A2" t="s">
        <v>246</v>
      </c>
      <c r="Y2" s="200" t="s">
        <v>317</v>
      </c>
    </row>
    <row r="3" spans="1:28">
      <c r="A3" t="s">
        <v>247</v>
      </c>
      <c r="Y3" s="216" t="s">
        <v>258</v>
      </c>
    </row>
    <row r="4" spans="1:28" ht="15.75">
      <c r="A4" s="342"/>
      <c r="B4" s="343"/>
      <c r="C4" s="343"/>
      <c r="D4" s="343"/>
      <c r="E4" s="343"/>
      <c r="F4" s="343"/>
      <c r="G4" s="272"/>
      <c r="H4" s="344"/>
      <c r="I4" s="344"/>
      <c r="J4" s="344"/>
      <c r="K4" s="345"/>
      <c r="L4" s="344"/>
      <c r="M4" s="344"/>
      <c r="N4" s="344"/>
      <c r="O4" s="346"/>
      <c r="P4" s="272"/>
      <c r="Q4" s="272"/>
      <c r="R4" s="272"/>
      <c r="S4" s="343"/>
      <c r="T4" s="343"/>
      <c r="Y4" s="347"/>
    </row>
    <row r="5" spans="1:28" ht="15.75">
      <c r="A5" s="348" t="s">
        <v>199</v>
      </c>
      <c r="B5" s="349"/>
      <c r="C5" s="349"/>
      <c r="D5" s="349"/>
      <c r="E5" s="349"/>
      <c r="F5" s="349"/>
      <c r="G5" s="350"/>
      <c r="H5" s="351"/>
      <c r="I5" s="351"/>
      <c r="J5" s="351"/>
      <c r="K5" s="351"/>
      <c r="L5" s="351"/>
      <c r="M5" s="351"/>
      <c r="N5" s="351"/>
      <c r="O5" s="352"/>
      <c r="P5" s="350"/>
      <c r="Q5" s="353"/>
      <c r="R5" s="353"/>
      <c r="S5" s="354"/>
      <c r="T5" s="353"/>
      <c r="U5" s="355"/>
    </row>
    <row r="6" spans="1:28" ht="24.6" customHeight="1">
      <c r="A6" s="356" t="s">
        <v>200</v>
      </c>
      <c r="B6" s="357"/>
      <c r="C6" s="358"/>
      <c r="D6" s="553"/>
      <c r="E6" s="553"/>
      <c r="F6" s="553"/>
      <c r="G6" s="553"/>
      <c r="H6" s="553"/>
      <c r="I6" s="553"/>
      <c r="J6" s="553"/>
      <c r="K6" s="553"/>
      <c r="L6" s="553"/>
      <c r="M6" s="553"/>
      <c r="N6" s="553"/>
      <c r="O6" s="553"/>
      <c r="P6" s="553"/>
      <c r="Q6" s="553"/>
      <c r="R6" s="553"/>
      <c r="S6" s="553"/>
      <c r="T6" s="553"/>
      <c r="U6" s="359"/>
      <c r="V6" s="554"/>
      <c r="W6" s="554"/>
      <c r="X6" s="554"/>
      <c r="Y6" s="360" t="s">
        <v>66</v>
      </c>
    </row>
    <row r="7" spans="1:28" ht="15.75">
      <c r="A7" s="361"/>
      <c r="B7" s="362"/>
      <c r="C7" s="363"/>
      <c r="D7" s="364"/>
      <c r="E7" s="364"/>
      <c r="F7" s="364"/>
      <c r="G7" s="364"/>
      <c r="H7" s="365"/>
      <c r="I7" s="365"/>
      <c r="J7" s="365"/>
      <c r="K7" s="364"/>
      <c r="L7" s="365"/>
      <c r="M7" s="364"/>
      <c r="N7" s="366" t="s">
        <v>304</v>
      </c>
      <c r="O7" s="364"/>
      <c r="P7" s="365"/>
      <c r="Q7" s="365"/>
      <c r="R7" s="365"/>
      <c r="S7" s="364"/>
      <c r="T7" s="364"/>
      <c r="U7" s="364"/>
      <c r="V7" s="364"/>
      <c r="W7" s="365"/>
      <c r="X7" s="365"/>
      <c r="Y7" s="367"/>
    </row>
    <row r="8" spans="1:28" ht="12.75">
      <c r="A8" s="368"/>
      <c r="B8" s="369"/>
      <c r="C8" s="370"/>
      <c r="D8" s="371"/>
      <c r="E8" s="372"/>
      <c r="F8" s="371"/>
      <c r="G8" s="372"/>
      <c r="H8" s="373"/>
      <c r="I8" s="373"/>
      <c r="J8" s="373"/>
      <c r="K8" s="374"/>
      <c r="L8" s="373"/>
      <c r="M8" s="375"/>
      <c r="N8" s="376" t="s">
        <v>305</v>
      </c>
      <c r="O8" s="377"/>
      <c r="P8" s="372" t="s">
        <v>75</v>
      </c>
      <c r="Q8" s="372"/>
      <c r="R8" s="378"/>
      <c r="S8" s="373"/>
      <c r="T8" s="371"/>
      <c r="U8" s="379"/>
      <c r="V8" s="380"/>
      <c r="W8" s="381" t="s">
        <v>99</v>
      </c>
      <c r="X8" s="382" t="s">
        <v>3</v>
      </c>
      <c r="Y8" s="383"/>
    </row>
    <row r="9" spans="1:28" ht="12.75">
      <c r="A9" s="377"/>
      <c r="B9" s="369"/>
      <c r="C9" s="384"/>
      <c r="D9" s="371"/>
      <c r="E9" s="372"/>
      <c r="F9" s="371" t="s">
        <v>96</v>
      </c>
      <c r="G9" s="372" t="s">
        <v>44</v>
      </c>
      <c r="H9" s="373"/>
      <c r="I9" s="373" t="s">
        <v>76</v>
      </c>
      <c r="J9" s="373"/>
      <c r="K9" s="374" t="s">
        <v>20</v>
      </c>
      <c r="L9" s="373" t="s">
        <v>3</v>
      </c>
      <c r="M9" s="375" t="s">
        <v>306</v>
      </c>
      <c r="N9" s="385" t="s">
        <v>307</v>
      </c>
      <c r="O9" s="377"/>
      <c r="P9" s="372" t="s">
        <v>70</v>
      </c>
      <c r="Q9" s="386"/>
      <c r="R9" s="387"/>
      <c r="S9" s="373"/>
      <c r="T9" s="371"/>
      <c r="U9" s="379"/>
      <c r="V9" s="380" t="s">
        <v>99</v>
      </c>
      <c r="W9" s="381" t="s">
        <v>81</v>
      </c>
      <c r="X9" s="382" t="s">
        <v>99</v>
      </c>
      <c r="Y9" s="388" t="s">
        <v>3</v>
      </c>
    </row>
    <row r="10" spans="1:28" ht="12.75">
      <c r="A10" s="389"/>
      <c r="B10" s="390" t="s">
        <v>77</v>
      </c>
      <c r="C10" s="370"/>
      <c r="D10" s="371" t="s">
        <v>7</v>
      </c>
      <c r="E10" s="372" t="s">
        <v>69</v>
      </c>
      <c r="F10" s="371" t="s">
        <v>98</v>
      </c>
      <c r="G10" s="372" t="s">
        <v>201</v>
      </c>
      <c r="H10" s="373" t="s">
        <v>76</v>
      </c>
      <c r="I10" s="373" t="s">
        <v>8</v>
      </c>
      <c r="J10" s="373"/>
      <c r="K10" s="374" t="s">
        <v>97</v>
      </c>
      <c r="L10" s="373" t="s">
        <v>76</v>
      </c>
      <c r="M10" s="373" t="s">
        <v>308</v>
      </c>
      <c r="N10" s="385" t="s">
        <v>309</v>
      </c>
      <c r="O10" s="377" t="s">
        <v>75</v>
      </c>
      <c r="P10" s="372" t="s">
        <v>78</v>
      </c>
      <c r="Q10" s="373" t="s">
        <v>79</v>
      </c>
      <c r="R10" s="391" t="s">
        <v>3</v>
      </c>
      <c r="S10" s="375" t="s">
        <v>80</v>
      </c>
      <c r="T10" s="374" t="s">
        <v>37</v>
      </c>
      <c r="U10" s="385" t="s">
        <v>3</v>
      </c>
      <c r="V10" s="380" t="s">
        <v>81</v>
      </c>
      <c r="W10" s="381" t="s">
        <v>202</v>
      </c>
      <c r="X10" s="382" t="s">
        <v>81</v>
      </c>
      <c r="Y10" s="383" t="s">
        <v>203</v>
      </c>
    </row>
    <row r="11" spans="1:28" ht="12.75">
      <c r="A11" s="392" t="s">
        <v>4</v>
      </c>
      <c r="B11" s="393" t="s">
        <v>71</v>
      </c>
      <c r="C11" s="394" t="s">
        <v>82</v>
      </c>
      <c r="D11" s="395" t="s">
        <v>8</v>
      </c>
      <c r="E11" s="396" t="s">
        <v>6</v>
      </c>
      <c r="F11" s="397" t="s">
        <v>84</v>
      </c>
      <c r="G11" s="398" t="s">
        <v>204</v>
      </c>
      <c r="H11" s="399" t="s">
        <v>8</v>
      </c>
      <c r="I11" s="399" t="s">
        <v>83</v>
      </c>
      <c r="J11" s="399"/>
      <c r="K11" s="400" t="s">
        <v>84</v>
      </c>
      <c r="L11" s="401" t="s">
        <v>8</v>
      </c>
      <c r="M11" s="399" t="s">
        <v>310</v>
      </c>
      <c r="N11" s="402" t="s">
        <v>311</v>
      </c>
      <c r="O11" s="403" t="s">
        <v>70</v>
      </c>
      <c r="P11" s="399" t="s">
        <v>84</v>
      </c>
      <c r="Q11" s="401" t="s">
        <v>85</v>
      </c>
      <c r="R11" s="404" t="s">
        <v>85</v>
      </c>
      <c r="S11" s="399" t="s">
        <v>86</v>
      </c>
      <c r="T11" s="405" t="s">
        <v>87</v>
      </c>
      <c r="U11" s="403" t="s">
        <v>45</v>
      </c>
      <c r="V11" s="403" t="s">
        <v>8</v>
      </c>
      <c r="W11" s="401" t="s">
        <v>205</v>
      </c>
      <c r="X11" s="404" t="s">
        <v>8</v>
      </c>
      <c r="Y11" s="405" t="s">
        <v>206</v>
      </c>
    </row>
    <row r="12" spans="1:28" ht="12.75">
      <c r="A12" s="242" t="s">
        <v>207</v>
      </c>
      <c r="B12" s="406"/>
      <c r="C12" s="252" t="s">
        <v>0</v>
      </c>
      <c r="D12" s="407">
        <v>4.79</v>
      </c>
      <c r="E12" s="391"/>
      <c r="F12" s="391"/>
      <c r="G12" s="408"/>
      <c r="H12" s="409"/>
      <c r="I12" s="409"/>
      <c r="J12" s="409"/>
      <c r="K12" s="409"/>
      <c r="L12" s="409"/>
      <c r="M12" s="410"/>
      <c r="N12" s="410"/>
      <c r="O12" s="411"/>
      <c r="P12" s="412"/>
      <c r="Q12" s="413"/>
      <c r="R12" s="414"/>
      <c r="S12" s="415"/>
      <c r="T12" s="416"/>
      <c r="U12" s="410">
        <v>4.79</v>
      </c>
      <c r="V12" s="417"/>
      <c r="W12" s="418"/>
      <c r="X12" s="419"/>
      <c r="Y12" s="420">
        <v>4.79</v>
      </c>
    </row>
    <row r="13" spans="1:28" ht="12.75">
      <c r="A13" s="242"/>
      <c r="B13" s="421">
        <v>460</v>
      </c>
      <c r="C13" s="422" t="s">
        <v>208</v>
      </c>
      <c r="D13" s="374"/>
      <c r="E13" s="423">
        <v>5.0880000000000002E-2</v>
      </c>
      <c r="F13" s="423">
        <v>0</v>
      </c>
      <c r="G13" s="416">
        <v>-6.4519999999999994E-2</v>
      </c>
      <c r="H13" s="248">
        <v>0</v>
      </c>
      <c r="I13" s="248">
        <v>0</v>
      </c>
      <c r="J13" s="248"/>
      <c r="K13" s="248">
        <v>6.6299999999999996E-3</v>
      </c>
      <c r="L13" s="248">
        <v>0</v>
      </c>
      <c r="M13" s="416">
        <v>1.4370000000000001E-2</v>
      </c>
      <c r="N13" s="424">
        <v>2.717E-2</v>
      </c>
      <c r="O13" s="424">
        <v>3.9399999999999999E-3</v>
      </c>
      <c r="P13" s="248">
        <v>-2.1099999999999999E-3</v>
      </c>
      <c r="Q13" s="248">
        <v>1.2800000000000001E-3</v>
      </c>
      <c r="R13" s="423">
        <v>3.1099999999999999E-3</v>
      </c>
      <c r="S13" s="423">
        <v>5.0000000000000001E-4</v>
      </c>
      <c r="T13" s="416">
        <v>2.674E-2</v>
      </c>
      <c r="U13" s="424">
        <v>6.4880000000000007E-2</v>
      </c>
      <c r="V13" s="425">
        <v>0.14161000000000001</v>
      </c>
      <c r="W13" s="426">
        <v>9.9100000000000004E-3</v>
      </c>
      <c r="X13" s="427">
        <v>0.15152000000000002</v>
      </c>
      <c r="Y13" s="428">
        <v>0.21640000000000004</v>
      </c>
      <c r="Z13" s="429"/>
      <c r="AA13" s="429"/>
      <c r="AB13" s="429"/>
    </row>
    <row r="14" spans="1:28" ht="12.75">
      <c r="A14" s="242"/>
      <c r="B14" s="421"/>
      <c r="C14" s="430" t="s">
        <v>209</v>
      </c>
      <c r="D14" s="374"/>
      <c r="E14" s="423">
        <v>0.13793</v>
      </c>
      <c r="F14" s="423">
        <v>0</v>
      </c>
      <c r="G14" s="416">
        <v>-6.4519999999999994E-2</v>
      </c>
      <c r="H14" s="248"/>
      <c r="I14" s="248"/>
      <c r="J14" s="248"/>
      <c r="K14" s="248">
        <v>6.6299999999999996E-3</v>
      </c>
      <c r="L14" s="248"/>
      <c r="M14" s="416">
        <v>1.4370000000000001E-2</v>
      </c>
      <c r="N14" s="424">
        <v>2.717E-2</v>
      </c>
      <c r="O14" s="424">
        <v>3.9399999999999999E-3</v>
      </c>
      <c r="P14" s="248">
        <v>-2.1099999999999999E-3</v>
      </c>
      <c r="Q14" s="248">
        <v>3.2640000000000002E-2</v>
      </c>
      <c r="R14" s="423">
        <v>3.4470000000000001E-2</v>
      </c>
      <c r="S14" s="423">
        <v>5.0000000000000001E-4</v>
      </c>
      <c r="T14" s="416">
        <v>2.674E-2</v>
      </c>
      <c r="U14" s="424">
        <v>0.18328999999999998</v>
      </c>
      <c r="V14" s="425">
        <v>0.15812000000000001</v>
      </c>
      <c r="W14" s="426">
        <v>9.9100000000000004E-3</v>
      </c>
      <c r="X14" s="427">
        <v>0.16803000000000001</v>
      </c>
      <c r="Y14" s="428">
        <v>0.35131999999999997</v>
      </c>
      <c r="Z14" s="429"/>
      <c r="AA14" s="429"/>
      <c r="AB14" s="429"/>
    </row>
    <row r="15" spans="1:28" ht="12.75">
      <c r="A15" s="242"/>
      <c r="B15" s="421"/>
      <c r="C15" s="430" t="s">
        <v>210</v>
      </c>
      <c r="D15" s="374"/>
      <c r="E15" s="423">
        <v>0.21504000000000001</v>
      </c>
      <c r="F15" s="423">
        <v>0</v>
      </c>
      <c r="G15" s="416">
        <v>-6.4519999999999994E-2</v>
      </c>
      <c r="H15" s="248"/>
      <c r="I15" s="248"/>
      <c r="J15" s="248"/>
      <c r="K15" s="248">
        <v>6.6299999999999996E-3</v>
      </c>
      <c r="L15" s="248"/>
      <c r="M15" s="416">
        <v>1.4370000000000001E-2</v>
      </c>
      <c r="N15" s="424">
        <v>2.717E-2</v>
      </c>
      <c r="O15" s="424">
        <v>3.9399999999999999E-3</v>
      </c>
      <c r="P15" s="248">
        <v>-2.1099999999999999E-3</v>
      </c>
      <c r="Q15" s="248">
        <v>0.17202999999999999</v>
      </c>
      <c r="R15" s="423">
        <v>0.17385999999999999</v>
      </c>
      <c r="S15" s="423">
        <v>5.0000000000000001E-4</v>
      </c>
      <c r="T15" s="416">
        <v>2.674E-2</v>
      </c>
      <c r="U15" s="424">
        <v>0.39978999999999998</v>
      </c>
      <c r="V15" s="425">
        <v>0.17983000000000002</v>
      </c>
      <c r="W15" s="426">
        <v>9.9100000000000004E-3</v>
      </c>
      <c r="X15" s="427">
        <v>0.18974000000000002</v>
      </c>
      <c r="Y15" s="428">
        <v>0.58953</v>
      </c>
      <c r="Z15" s="429"/>
      <c r="AA15" s="429"/>
      <c r="AB15" s="429"/>
    </row>
    <row r="16" spans="1:28" ht="12.75">
      <c r="A16" s="242"/>
      <c r="B16" s="421"/>
      <c r="C16" s="431"/>
      <c r="D16" s="374"/>
      <c r="E16" s="423"/>
      <c r="F16" s="423"/>
      <c r="G16" s="416"/>
      <c r="H16" s="248"/>
      <c r="I16" s="248"/>
      <c r="J16" s="248"/>
      <c r="K16" s="248"/>
      <c r="L16" s="248"/>
      <c r="M16" s="416"/>
      <c r="O16" s="432"/>
      <c r="P16" s="248"/>
      <c r="Q16" s="248"/>
      <c r="R16" s="423"/>
      <c r="S16" s="415"/>
      <c r="T16" s="416"/>
      <c r="U16" s="410"/>
      <c r="V16" s="425"/>
      <c r="W16" s="418"/>
      <c r="X16" s="419"/>
      <c r="Y16" s="428"/>
    </row>
    <row r="17" spans="1:30" ht="12.75">
      <c r="A17" s="242" t="s">
        <v>88</v>
      </c>
      <c r="B17" s="421"/>
      <c r="C17" s="251" t="s">
        <v>0</v>
      </c>
      <c r="D17" s="407"/>
      <c r="E17" s="423"/>
      <c r="F17" s="423"/>
      <c r="G17" s="416"/>
      <c r="H17" s="409"/>
      <c r="I17" s="248"/>
      <c r="J17" s="248"/>
      <c r="K17" s="248"/>
      <c r="L17" s="409"/>
      <c r="M17" s="416"/>
      <c r="N17" s="424"/>
      <c r="O17" s="432"/>
      <c r="P17" s="248"/>
      <c r="Q17" s="248"/>
      <c r="R17" s="423"/>
      <c r="S17" s="415"/>
      <c r="T17" s="416"/>
      <c r="U17" s="410">
        <v>-0.48</v>
      </c>
      <c r="V17" s="425"/>
      <c r="W17" s="418"/>
      <c r="X17" s="419"/>
      <c r="Y17" s="433">
        <v>-0.48</v>
      </c>
    </row>
    <row r="18" spans="1:30" ht="12.75">
      <c r="A18" s="377"/>
      <c r="B18" s="372"/>
      <c r="C18" s="422" t="s">
        <v>208</v>
      </c>
      <c r="D18" s="374"/>
      <c r="E18" s="423"/>
      <c r="F18" s="423"/>
      <c r="G18" s="416"/>
      <c r="H18" s="248"/>
      <c r="I18" s="248"/>
      <c r="J18" s="248"/>
      <c r="K18" s="248"/>
      <c r="L18" s="248"/>
      <c r="M18" s="416"/>
      <c r="N18" s="424"/>
      <c r="O18" s="432"/>
      <c r="P18" s="248"/>
      <c r="Q18" s="248"/>
      <c r="R18" s="423"/>
      <c r="S18" s="415"/>
      <c r="T18" s="416"/>
      <c r="U18" s="424">
        <v>-6.4900000000000001E-3</v>
      </c>
      <c r="V18" s="425"/>
      <c r="W18" s="418"/>
      <c r="X18" s="423">
        <v>-1.515E-2</v>
      </c>
      <c r="Y18" s="428">
        <v>-2.164E-2</v>
      </c>
    </row>
    <row r="19" spans="1:30" ht="12.75">
      <c r="A19" s="377"/>
      <c r="B19" s="372"/>
      <c r="C19" s="430" t="s">
        <v>209</v>
      </c>
      <c r="D19" s="374"/>
      <c r="E19" s="423"/>
      <c r="F19" s="423"/>
      <c r="G19" s="416"/>
      <c r="H19" s="248"/>
      <c r="I19" s="248"/>
      <c r="J19" s="248"/>
      <c r="K19" s="248"/>
      <c r="L19" s="248"/>
      <c r="M19" s="416"/>
      <c r="N19" s="424"/>
      <c r="O19" s="432"/>
      <c r="P19" s="248"/>
      <c r="Q19" s="248"/>
      <c r="R19" s="423"/>
      <c r="S19" s="415"/>
      <c r="T19" s="416"/>
      <c r="U19" s="424">
        <v>-1.8329999999999999E-2</v>
      </c>
      <c r="V19" s="425"/>
      <c r="W19" s="418"/>
      <c r="X19" s="423">
        <v>-1.6799999999999999E-2</v>
      </c>
      <c r="Y19" s="428">
        <v>-3.5129999999999995E-2</v>
      </c>
    </row>
    <row r="20" spans="1:30" ht="12.75">
      <c r="A20" s="377"/>
      <c r="B20" s="372"/>
      <c r="C20" s="430" t="s">
        <v>210</v>
      </c>
      <c r="D20" s="374"/>
      <c r="E20" s="423"/>
      <c r="F20" s="423"/>
      <c r="G20" s="416"/>
      <c r="H20" s="248"/>
      <c r="I20" s="248"/>
      <c r="J20" s="248"/>
      <c r="K20" s="248"/>
      <c r="L20" s="248"/>
      <c r="M20" s="416"/>
      <c r="N20" s="424"/>
      <c r="O20" s="432"/>
      <c r="P20" s="248"/>
      <c r="Q20" s="248"/>
      <c r="R20" s="423"/>
      <c r="S20" s="415"/>
      <c r="T20" s="416"/>
      <c r="U20" s="424">
        <v>-3.9980000000000002E-2</v>
      </c>
      <c r="V20" s="425"/>
      <c r="W20" s="418"/>
      <c r="X20" s="423">
        <v>-1.8970000000000001E-2</v>
      </c>
      <c r="Y20" s="428">
        <v>-5.8950000000000002E-2</v>
      </c>
    </row>
    <row r="21" spans="1:30" ht="12.75">
      <c r="A21" s="377"/>
      <c r="B21" s="372"/>
      <c r="C21" s="431"/>
      <c r="D21" s="374"/>
      <c r="E21" s="423"/>
      <c r="F21" s="423"/>
      <c r="G21" s="416"/>
      <c r="H21" s="248"/>
      <c r="I21" s="248"/>
      <c r="J21" s="248"/>
      <c r="K21" s="248"/>
      <c r="L21" s="248"/>
      <c r="M21" s="416"/>
      <c r="N21" s="424"/>
      <c r="O21" s="432"/>
      <c r="P21" s="248"/>
      <c r="Q21" s="248"/>
      <c r="R21" s="423"/>
      <c r="S21" s="415"/>
      <c r="T21" s="416"/>
      <c r="U21" s="424"/>
      <c r="V21" s="425"/>
      <c r="W21" s="418"/>
      <c r="X21" s="434"/>
      <c r="Y21" s="435"/>
    </row>
    <row r="22" spans="1:30" ht="12.75">
      <c r="A22" s="436" t="s">
        <v>89</v>
      </c>
      <c r="B22" s="398"/>
      <c r="C22" s="437"/>
      <c r="D22" s="438">
        <v>46054</v>
      </c>
      <c r="E22" s="438">
        <v>45839</v>
      </c>
      <c r="F22" s="438">
        <v>45658</v>
      </c>
      <c r="G22" s="438">
        <v>46054</v>
      </c>
      <c r="H22" s="438">
        <v>44197</v>
      </c>
      <c r="I22" s="438">
        <v>41518</v>
      </c>
      <c r="J22" s="438"/>
      <c r="K22" s="438">
        <v>45658</v>
      </c>
      <c r="L22" s="438">
        <v>44197</v>
      </c>
      <c r="M22" s="438">
        <v>45658</v>
      </c>
      <c r="N22" s="438">
        <v>45658</v>
      </c>
      <c r="O22" s="438">
        <v>41791</v>
      </c>
      <c r="P22" s="439">
        <v>46023</v>
      </c>
      <c r="Q22" s="439">
        <v>46023</v>
      </c>
      <c r="R22" s="440">
        <v>46023</v>
      </c>
      <c r="S22" s="438">
        <v>37622</v>
      </c>
      <c r="T22" s="438">
        <v>45839</v>
      </c>
      <c r="U22" s="438">
        <v>46054</v>
      </c>
      <c r="V22" s="438">
        <v>46054</v>
      </c>
      <c r="W22" s="439">
        <v>46054</v>
      </c>
      <c r="X22" s="440">
        <v>46054</v>
      </c>
      <c r="Y22" s="441">
        <v>46054</v>
      </c>
    </row>
    <row r="23" spans="1:30" ht="12.75">
      <c r="A23" s="442" t="s">
        <v>13</v>
      </c>
      <c r="B23" s="372"/>
      <c r="C23" s="252" t="s">
        <v>0</v>
      </c>
      <c r="D23" s="407">
        <v>12</v>
      </c>
      <c r="E23" s="443"/>
      <c r="F23" s="443"/>
      <c r="G23" s="407"/>
      <c r="H23" s="409"/>
      <c r="I23" s="409"/>
      <c r="J23" s="409"/>
      <c r="K23" s="409"/>
      <c r="L23" s="409"/>
      <c r="M23" s="416"/>
      <c r="N23" s="424"/>
      <c r="O23" s="410"/>
      <c r="P23" s="409"/>
      <c r="Q23" s="409"/>
      <c r="R23" s="423"/>
      <c r="S23" s="423"/>
      <c r="T23" s="416"/>
      <c r="U23" s="444">
        <v>12</v>
      </c>
      <c r="V23" s="425"/>
      <c r="W23" s="445"/>
      <c r="X23" s="446"/>
      <c r="Y23" s="447"/>
    </row>
    <row r="24" spans="1:30" ht="12.75">
      <c r="A24" s="448" t="s">
        <v>211</v>
      </c>
      <c r="B24" s="421">
        <v>457</v>
      </c>
      <c r="C24" s="449" t="s">
        <v>65</v>
      </c>
      <c r="D24" s="374"/>
      <c r="E24" s="450">
        <v>0</v>
      </c>
      <c r="F24" s="450"/>
      <c r="G24" s="407"/>
      <c r="H24" s="409"/>
      <c r="I24" s="451"/>
      <c r="J24" s="451"/>
      <c r="K24" s="451"/>
      <c r="L24" s="409"/>
      <c r="M24" s="407"/>
      <c r="N24" s="410"/>
      <c r="O24" s="452"/>
      <c r="P24" s="451"/>
      <c r="Q24" s="451"/>
      <c r="R24" s="450"/>
      <c r="S24" s="453"/>
      <c r="T24" s="407"/>
      <c r="U24" s="410">
        <v>0</v>
      </c>
      <c r="V24" s="425"/>
      <c r="W24" s="445"/>
      <c r="X24" s="446"/>
      <c r="Y24" s="447"/>
    </row>
    <row r="25" spans="1:30" ht="12.75">
      <c r="A25" s="442" t="s">
        <v>212</v>
      </c>
      <c r="B25" s="372"/>
      <c r="C25" s="449" t="s">
        <v>32</v>
      </c>
      <c r="D25" s="374"/>
      <c r="E25" s="423">
        <v>6.3659999999999994E-2</v>
      </c>
      <c r="F25" s="423">
        <v>0</v>
      </c>
      <c r="G25" s="416">
        <v>2.3200000000000002E-2</v>
      </c>
      <c r="H25" s="248">
        <v>0</v>
      </c>
      <c r="I25" s="248">
        <v>0</v>
      </c>
      <c r="J25" s="248"/>
      <c r="K25" s="248">
        <v>3.5899999999999999E-3</v>
      </c>
      <c r="L25" s="248">
        <v>0</v>
      </c>
      <c r="M25" s="416">
        <v>7.79E-3</v>
      </c>
      <c r="N25" s="424">
        <v>1.473E-2</v>
      </c>
      <c r="O25" s="424">
        <v>3.2299999999999998E-3</v>
      </c>
      <c r="P25" s="248">
        <v>-1.75E-3</v>
      </c>
      <c r="Q25" s="248">
        <v>3.3369999999999997E-2</v>
      </c>
      <c r="R25" s="423">
        <v>3.4849999999999999E-2</v>
      </c>
      <c r="S25" s="423">
        <v>5.0000000000000001E-4</v>
      </c>
      <c r="T25" s="416">
        <v>7.2999999999999992E-3</v>
      </c>
      <c r="U25" s="424">
        <v>0.15561999999999998</v>
      </c>
      <c r="V25" s="425"/>
      <c r="W25" s="426"/>
      <c r="X25" s="426"/>
      <c r="Y25" s="454"/>
    </row>
    <row r="26" spans="1:30" ht="12.75">
      <c r="A26" s="379" t="s">
        <v>213</v>
      </c>
      <c r="B26" s="372"/>
      <c r="C26" s="449"/>
      <c r="D26" s="374"/>
      <c r="E26" s="423"/>
      <c r="F26" s="423"/>
      <c r="G26" s="416"/>
      <c r="H26" s="248"/>
      <c r="I26" s="248"/>
      <c r="J26" s="248"/>
      <c r="K26" s="248"/>
      <c r="L26" s="248"/>
      <c r="M26" s="416"/>
      <c r="N26" s="424"/>
      <c r="O26" s="424"/>
      <c r="P26" s="248"/>
      <c r="Q26" s="248"/>
      <c r="R26" s="423"/>
      <c r="S26" s="423"/>
      <c r="T26" s="416"/>
      <c r="U26" s="424"/>
      <c r="V26" s="425"/>
      <c r="W26" s="426"/>
      <c r="X26" s="426"/>
      <c r="Y26" s="455"/>
    </row>
    <row r="27" spans="1:30" ht="12.75">
      <c r="A27" s="448" t="s">
        <v>88</v>
      </c>
      <c r="B27" s="421"/>
      <c r="C27" s="252" t="s">
        <v>0</v>
      </c>
      <c r="D27" s="407"/>
      <c r="E27" s="456"/>
      <c r="F27" s="456"/>
      <c r="G27" s="457"/>
      <c r="H27" s="451"/>
      <c r="I27" s="458"/>
      <c r="J27" s="458"/>
      <c r="K27" s="458"/>
      <c r="L27" s="409"/>
      <c r="M27" s="416"/>
      <c r="N27" s="424"/>
      <c r="O27" s="459"/>
      <c r="P27" s="458"/>
      <c r="Q27" s="458"/>
      <c r="R27" s="456"/>
      <c r="S27" s="423"/>
      <c r="T27" s="416"/>
      <c r="U27" s="410">
        <v>-1.2</v>
      </c>
      <c r="V27" s="425"/>
      <c r="W27" s="445"/>
      <c r="X27" s="460"/>
      <c r="Y27" s="455"/>
    </row>
    <row r="28" spans="1:30" ht="12.75">
      <c r="A28" s="442"/>
      <c r="B28" s="372"/>
      <c r="C28" s="449" t="s">
        <v>65</v>
      </c>
      <c r="D28" s="374"/>
      <c r="E28" s="450"/>
      <c r="F28" s="450"/>
      <c r="G28" s="408"/>
      <c r="H28" s="451"/>
      <c r="I28" s="451"/>
      <c r="J28" s="451"/>
      <c r="K28" s="451"/>
      <c r="L28" s="451"/>
      <c r="M28" s="407"/>
      <c r="N28" s="410"/>
      <c r="O28" s="452"/>
      <c r="P28" s="451"/>
      <c r="Q28" s="451"/>
      <c r="R28" s="450"/>
      <c r="S28" s="453"/>
      <c r="T28" s="407"/>
      <c r="U28" s="410">
        <v>0</v>
      </c>
      <c r="V28" s="425"/>
      <c r="W28" s="445"/>
      <c r="X28" s="460"/>
      <c r="Y28" s="455"/>
    </row>
    <row r="29" spans="1:30" s="201" customFormat="1" ht="12.75">
      <c r="A29" s="461"/>
      <c r="B29" s="398"/>
      <c r="C29" s="462" t="s">
        <v>32</v>
      </c>
      <c r="D29" s="400"/>
      <c r="E29" s="463"/>
      <c r="F29" s="463"/>
      <c r="G29" s="464"/>
      <c r="H29" s="263"/>
      <c r="I29" s="263"/>
      <c r="J29" s="263"/>
      <c r="K29" s="263"/>
      <c r="L29" s="465"/>
      <c r="M29" s="464"/>
      <c r="N29" s="466"/>
      <c r="O29" s="466"/>
      <c r="P29" s="263"/>
      <c r="Q29" s="263"/>
      <c r="R29" s="463"/>
      <c r="S29" s="463"/>
      <c r="T29" s="464"/>
      <c r="U29" s="467">
        <v>-1.5559999999999999E-2</v>
      </c>
      <c r="V29" s="425"/>
      <c r="W29" s="445"/>
      <c r="X29" s="460"/>
      <c r="Y29" s="468"/>
      <c r="Z29"/>
      <c r="AA29"/>
      <c r="AB29"/>
      <c r="AC29"/>
      <c r="AD29"/>
    </row>
    <row r="30" spans="1:30" ht="12.75">
      <c r="A30" s="442" t="s">
        <v>13</v>
      </c>
      <c r="B30" s="372"/>
      <c r="C30" s="252" t="s">
        <v>0</v>
      </c>
      <c r="D30" s="407">
        <v>12</v>
      </c>
      <c r="E30" s="423"/>
      <c r="F30" s="423"/>
      <c r="G30" s="407"/>
      <c r="H30" s="409"/>
      <c r="I30" s="409"/>
      <c r="J30" s="409"/>
      <c r="K30" s="409"/>
      <c r="L30" s="409"/>
      <c r="M30" s="416"/>
      <c r="N30" s="424"/>
      <c r="O30" s="410"/>
      <c r="P30" s="409"/>
      <c r="Q30" s="409"/>
      <c r="R30" s="423"/>
      <c r="S30" s="423"/>
      <c r="T30" s="416"/>
      <c r="U30" s="444">
        <v>12</v>
      </c>
      <c r="V30" s="425"/>
      <c r="W30" s="445"/>
      <c r="X30" s="446"/>
      <c r="Y30" s="447"/>
    </row>
    <row r="31" spans="1:30" ht="12.75">
      <c r="A31" s="448" t="s">
        <v>211</v>
      </c>
      <c r="B31" s="421">
        <f>+B24</f>
        <v>457</v>
      </c>
      <c r="C31" s="449" t="s">
        <v>65</v>
      </c>
      <c r="D31" s="374"/>
      <c r="E31" s="450">
        <v>2.62</v>
      </c>
      <c r="F31" s="450"/>
      <c r="G31" s="407"/>
      <c r="H31" s="409"/>
      <c r="I31" s="451"/>
      <c r="J31" s="451"/>
      <c r="K31" s="451"/>
      <c r="L31" s="409"/>
      <c r="M31" s="407"/>
      <c r="N31" s="410"/>
      <c r="O31" s="452"/>
      <c r="P31" s="451"/>
      <c r="Q31" s="451"/>
      <c r="R31" s="450"/>
      <c r="S31" s="453"/>
      <c r="T31" s="407"/>
      <c r="U31" s="410">
        <v>2.62</v>
      </c>
      <c r="V31" s="425"/>
      <c r="W31" s="445"/>
      <c r="X31" s="446"/>
      <c r="Y31" s="447"/>
    </row>
    <row r="32" spans="1:30" ht="12.75">
      <c r="A32" s="442" t="s">
        <v>214</v>
      </c>
      <c r="B32" s="372"/>
      <c r="C32" s="449" t="s">
        <v>32</v>
      </c>
      <c r="D32" s="374"/>
      <c r="E32" s="423">
        <v>5.389E-2</v>
      </c>
      <c r="F32" s="423">
        <v>0</v>
      </c>
      <c r="G32" s="416">
        <v>2.3200000000000002E-2</v>
      </c>
      <c r="H32" s="248">
        <v>0</v>
      </c>
      <c r="I32" s="248">
        <v>0</v>
      </c>
      <c r="J32" s="248"/>
      <c r="K32" s="248">
        <v>3.5899999999999999E-3</v>
      </c>
      <c r="L32" s="248">
        <v>0</v>
      </c>
      <c r="M32" s="416">
        <v>7.79E-3</v>
      </c>
      <c r="N32" s="424">
        <v>1.473E-2</v>
      </c>
      <c r="O32" s="424">
        <v>3.2299999999999998E-3</v>
      </c>
      <c r="P32" s="248">
        <v>-1.75E-3</v>
      </c>
      <c r="Q32" s="248">
        <v>3.3369999999999997E-2</v>
      </c>
      <c r="R32" s="423">
        <v>3.4849999999999999E-2</v>
      </c>
      <c r="S32" s="423">
        <v>5.0000000000000001E-4</v>
      </c>
      <c r="T32" s="416">
        <v>7.2999999999999992E-3</v>
      </c>
      <c r="U32" s="424">
        <v>0.14584999999999998</v>
      </c>
      <c r="V32" s="425"/>
      <c r="W32" s="426"/>
      <c r="X32" s="426"/>
      <c r="Y32" s="454"/>
    </row>
    <row r="33" spans="1:30" ht="12.75">
      <c r="A33" s="379" t="s">
        <v>215</v>
      </c>
      <c r="B33" s="372"/>
      <c r="C33" s="449"/>
      <c r="D33" s="374"/>
      <c r="E33" s="423"/>
      <c r="F33" s="423"/>
      <c r="G33" s="416"/>
      <c r="H33" s="248"/>
      <c r="I33" s="248"/>
      <c r="J33" s="248"/>
      <c r="K33" s="248"/>
      <c r="L33" s="248"/>
      <c r="M33" s="416"/>
      <c r="N33" s="424"/>
      <c r="O33" s="424"/>
      <c r="P33" s="248"/>
      <c r="Q33" s="248"/>
      <c r="R33" s="423"/>
      <c r="S33" s="423"/>
      <c r="T33" s="416"/>
      <c r="U33" s="424"/>
      <c r="V33" s="425"/>
      <c r="W33" s="426"/>
      <c r="X33" s="426"/>
      <c r="Y33" s="455"/>
    </row>
    <row r="34" spans="1:30" ht="12.75">
      <c r="A34" s="448" t="s">
        <v>88</v>
      </c>
      <c r="B34" s="421"/>
      <c r="C34" s="252" t="s">
        <v>0</v>
      </c>
      <c r="D34" s="407"/>
      <c r="E34" s="456"/>
      <c r="F34" s="456"/>
      <c r="G34" s="457"/>
      <c r="H34" s="451"/>
      <c r="I34" s="458"/>
      <c r="J34" s="458"/>
      <c r="K34" s="458"/>
      <c r="L34" s="409"/>
      <c r="M34" s="416"/>
      <c r="N34" s="424"/>
      <c r="O34" s="459"/>
      <c r="P34" s="458"/>
      <c r="Q34" s="458"/>
      <c r="R34" s="456"/>
      <c r="S34" s="423"/>
      <c r="T34" s="416"/>
      <c r="U34" s="410">
        <v>-1.2</v>
      </c>
      <c r="V34" s="425"/>
      <c r="W34" s="445"/>
      <c r="X34" s="460"/>
      <c r="Y34" s="455"/>
    </row>
    <row r="35" spans="1:30" ht="12.75">
      <c r="A35" s="442"/>
      <c r="B35" s="372"/>
      <c r="C35" s="449" t="s">
        <v>65</v>
      </c>
      <c r="D35" s="374"/>
      <c r="E35" s="450"/>
      <c r="F35" s="450"/>
      <c r="G35" s="408"/>
      <c r="H35" s="451"/>
      <c r="I35" s="451"/>
      <c r="J35" s="451"/>
      <c r="K35" s="451"/>
      <c r="L35" s="451"/>
      <c r="M35" s="407"/>
      <c r="N35" s="410"/>
      <c r="O35" s="452"/>
      <c r="P35" s="451"/>
      <c r="Q35" s="451"/>
      <c r="R35" s="450"/>
      <c r="S35" s="453"/>
      <c r="T35" s="407"/>
      <c r="U35" s="410">
        <v>-0.26</v>
      </c>
      <c r="V35" s="425"/>
      <c r="W35" s="445"/>
      <c r="X35" s="460"/>
      <c r="Y35" s="455"/>
    </row>
    <row r="36" spans="1:30" s="201" customFormat="1" ht="12.75">
      <c r="A36" s="461"/>
      <c r="B36" s="398"/>
      <c r="C36" s="462" t="s">
        <v>32</v>
      </c>
      <c r="D36" s="400"/>
      <c r="E36" s="463"/>
      <c r="F36" s="463"/>
      <c r="G36" s="464"/>
      <c r="H36" s="263"/>
      <c r="I36" s="263"/>
      <c r="J36" s="263"/>
      <c r="K36" s="263"/>
      <c r="L36" s="465"/>
      <c r="M36" s="464"/>
      <c r="N36" s="466"/>
      <c r="O36" s="466"/>
      <c r="P36" s="263"/>
      <c r="Q36" s="263"/>
      <c r="R36" s="463"/>
      <c r="S36" s="463"/>
      <c r="T36" s="464"/>
      <c r="U36" s="467">
        <v>-1.4590000000000001E-2</v>
      </c>
      <c r="V36" s="425"/>
      <c r="W36" s="445"/>
      <c r="X36" s="460"/>
      <c r="Y36" s="454"/>
      <c r="Z36"/>
      <c r="AA36"/>
      <c r="AB36"/>
      <c r="AC36"/>
      <c r="AD36"/>
    </row>
    <row r="37" spans="1:30" ht="12.75">
      <c r="A37" s="442" t="s">
        <v>13</v>
      </c>
      <c r="B37" s="372"/>
      <c r="C37" s="252" t="s">
        <v>0</v>
      </c>
      <c r="D37" s="407">
        <v>12</v>
      </c>
      <c r="E37" s="423"/>
      <c r="F37" s="423"/>
      <c r="G37" s="407"/>
      <c r="H37" s="409"/>
      <c r="I37" s="409"/>
      <c r="J37" s="409"/>
      <c r="K37" s="409"/>
      <c r="L37" s="409"/>
      <c r="M37" s="416"/>
      <c r="N37" s="424"/>
      <c r="O37" s="410"/>
      <c r="P37" s="409"/>
      <c r="Q37" s="409"/>
      <c r="R37" s="423"/>
      <c r="S37" s="423"/>
      <c r="T37" s="416"/>
      <c r="U37" s="444">
        <v>12</v>
      </c>
      <c r="V37" s="425"/>
      <c r="W37" s="445"/>
      <c r="X37" s="446"/>
      <c r="Y37" s="447"/>
    </row>
    <row r="38" spans="1:30" ht="12.75">
      <c r="A38" s="448" t="s">
        <v>211</v>
      </c>
      <c r="B38" s="421">
        <f>+B31</f>
        <v>457</v>
      </c>
      <c r="C38" s="449" t="s">
        <v>65</v>
      </c>
      <c r="D38" s="374"/>
      <c r="E38" s="450">
        <v>5.25</v>
      </c>
      <c r="F38" s="450"/>
      <c r="G38" s="407"/>
      <c r="H38" s="409"/>
      <c r="I38" s="451"/>
      <c r="J38" s="451"/>
      <c r="K38" s="451"/>
      <c r="L38" s="409"/>
      <c r="M38" s="407"/>
      <c r="N38" s="410"/>
      <c r="O38" s="452"/>
      <c r="P38" s="451"/>
      <c r="Q38" s="451"/>
      <c r="R38" s="450"/>
      <c r="S38" s="453"/>
      <c r="T38" s="407"/>
      <c r="U38" s="410">
        <v>5.25</v>
      </c>
      <c r="V38" s="425"/>
      <c r="W38" s="445"/>
      <c r="X38" s="446"/>
      <c r="Y38" s="447"/>
    </row>
    <row r="39" spans="1:30" ht="12.75">
      <c r="A39" s="442" t="s">
        <v>216</v>
      </c>
      <c r="B39" s="372"/>
      <c r="C39" s="449" t="s">
        <v>32</v>
      </c>
      <c r="D39" s="374"/>
      <c r="E39" s="423">
        <v>4.4089999999999997E-2</v>
      </c>
      <c r="F39" s="423">
        <v>0</v>
      </c>
      <c r="G39" s="416">
        <v>2.3200000000000002E-2</v>
      </c>
      <c r="H39" s="248">
        <v>0</v>
      </c>
      <c r="I39" s="248">
        <v>0</v>
      </c>
      <c r="J39" s="248"/>
      <c r="K39" s="248">
        <v>3.5899999999999999E-3</v>
      </c>
      <c r="L39" s="248">
        <v>0</v>
      </c>
      <c r="M39" s="416">
        <v>7.79E-3</v>
      </c>
      <c r="N39" s="424">
        <v>1.473E-2</v>
      </c>
      <c r="O39" s="424">
        <v>3.2299999999999998E-3</v>
      </c>
      <c r="P39" s="248">
        <v>-1.75E-3</v>
      </c>
      <c r="Q39" s="248">
        <v>3.3369999999999997E-2</v>
      </c>
      <c r="R39" s="423">
        <v>3.4849999999999999E-2</v>
      </c>
      <c r="S39" s="423">
        <v>5.0000000000000001E-4</v>
      </c>
      <c r="T39" s="416">
        <v>7.2999999999999992E-3</v>
      </c>
      <c r="U39" s="424">
        <v>0.13605</v>
      </c>
      <c r="V39" s="425"/>
      <c r="W39" s="426"/>
      <c r="X39" s="426"/>
      <c r="Y39" s="454"/>
    </row>
    <row r="40" spans="1:30" ht="12.75">
      <c r="A40" s="379" t="s">
        <v>217</v>
      </c>
      <c r="B40" s="372"/>
      <c r="C40" s="449"/>
      <c r="D40" s="374"/>
      <c r="E40" s="423"/>
      <c r="F40" s="423"/>
      <c r="G40" s="416"/>
      <c r="H40" s="248"/>
      <c r="I40" s="248"/>
      <c r="J40" s="248"/>
      <c r="K40" s="248"/>
      <c r="L40" s="248"/>
      <c r="M40" s="416"/>
      <c r="N40" s="424"/>
      <c r="O40" s="424"/>
      <c r="P40" s="248"/>
      <c r="Q40" s="248"/>
      <c r="R40" s="423"/>
      <c r="S40" s="423"/>
      <c r="T40" s="416"/>
      <c r="U40" s="424"/>
      <c r="V40" s="425"/>
      <c r="W40" s="426"/>
      <c r="X40" s="426"/>
      <c r="Y40" s="455"/>
    </row>
    <row r="41" spans="1:30" ht="12.75">
      <c r="A41" s="448" t="s">
        <v>88</v>
      </c>
      <c r="B41" s="421"/>
      <c r="C41" s="252" t="s">
        <v>0</v>
      </c>
      <c r="D41" s="407"/>
      <c r="E41" s="456"/>
      <c r="F41" s="456"/>
      <c r="G41" s="457"/>
      <c r="H41" s="451"/>
      <c r="I41" s="458"/>
      <c r="J41" s="458"/>
      <c r="K41" s="458"/>
      <c r="L41" s="409"/>
      <c r="M41" s="416"/>
      <c r="N41" s="424"/>
      <c r="O41" s="459"/>
      <c r="P41" s="458"/>
      <c r="Q41" s="458"/>
      <c r="R41" s="456"/>
      <c r="S41" s="423"/>
      <c r="T41" s="416"/>
      <c r="U41" s="410">
        <v>-1.2</v>
      </c>
      <c r="V41" s="425"/>
      <c r="W41" s="445"/>
      <c r="X41" s="460"/>
      <c r="Y41" s="455"/>
    </row>
    <row r="42" spans="1:30" ht="12.75">
      <c r="A42" s="442"/>
      <c r="B42" s="372"/>
      <c r="C42" s="449" t="s">
        <v>65</v>
      </c>
      <c r="D42" s="374"/>
      <c r="E42" s="450"/>
      <c r="F42" s="450"/>
      <c r="G42" s="408"/>
      <c r="H42" s="451"/>
      <c r="I42" s="451"/>
      <c r="J42" s="451"/>
      <c r="K42" s="451"/>
      <c r="L42" s="451"/>
      <c r="M42" s="407"/>
      <c r="N42" s="410"/>
      <c r="O42" s="452"/>
      <c r="P42" s="451"/>
      <c r="Q42" s="451"/>
      <c r="R42" s="450"/>
      <c r="S42" s="453"/>
      <c r="T42" s="407"/>
      <c r="U42" s="410">
        <v>-0.53</v>
      </c>
      <c r="V42" s="425"/>
      <c r="W42" s="445"/>
      <c r="X42" s="460"/>
      <c r="Y42" s="455"/>
    </row>
    <row r="43" spans="1:30" s="201" customFormat="1" ht="12.75">
      <c r="A43" s="461"/>
      <c r="B43" s="398"/>
      <c r="C43" s="462" t="s">
        <v>32</v>
      </c>
      <c r="D43" s="400"/>
      <c r="E43" s="463"/>
      <c r="F43" s="463"/>
      <c r="G43" s="464"/>
      <c r="H43" s="263"/>
      <c r="I43" s="263"/>
      <c r="J43" s="263"/>
      <c r="K43" s="263"/>
      <c r="L43" s="465"/>
      <c r="M43" s="464"/>
      <c r="N43" s="466"/>
      <c r="O43" s="466"/>
      <c r="P43" s="263"/>
      <c r="Q43" s="263"/>
      <c r="R43" s="463"/>
      <c r="S43" s="463"/>
      <c r="T43" s="464"/>
      <c r="U43" s="467">
        <v>-1.3610000000000001E-2</v>
      </c>
      <c r="V43" s="425"/>
      <c r="W43" s="445"/>
      <c r="X43" s="460"/>
      <c r="Y43" s="454"/>
      <c r="Z43"/>
      <c r="AA43"/>
      <c r="AB43"/>
      <c r="AC43"/>
      <c r="AD43"/>
    </row>
    <row r="44" spans="1:30" ht="12.75">
      <c r="A44" s="442" t="s">
        <v>13</v>
      </c>
      <c r="B44" s="372"/>
      <c r="C44" s="252" t="s">
        <v>0</v>
      </c>
      <c r="D44" s="407">
        <v>12</v>
      </c>
      <c r="E44" s="423"/>
      <c r="F44" s="423"/>
      <c r="G44" s="407"/>
      <c r="H44" s="409"/>
      <c r="I44" s="409"/>
      <c r="J44" s="409"/>
      <c r="K44" s="409"/>
      <c r="L44" s="409"/>
      <c r="M44" s="416"/>
      <c r="N44" s="424"/>
      <c r="O44" s="410"/>
      <c r="P44" s="409"/>
      <c r="Q44" s="409"/>
      <c r="R44" s="423"/>
      <c r="S44" s="423"/>
      <c r="T44" s="416"/>
      <c r="U44" s="444">
        <v>12</v>
      </c>
      <c r="V44" s="425"/>
      <c r="W44" s="445"/>
      <c r="X44" s="446"/>
      <c r="Y44" s="447"/>
    </row>
    <row r="45" spans="1:30" ht="12.75">
      <c r="A45" s="448" t="s">
        <v>211</v>
      </c>
      <c r="B45" s="421">
        <v>457</v>
      </c>
      <c r="C45" s="449" t="s">
        <v>65</v>
      </c>
      <c r="D45" s="374"/>
      <c r="E45" s="450">
        <v>10.51</v>
      </c>
      <c r="F45" s="450"/>
      <c r="G45" s="407"/>
      <c r="H45" s="409"/>
      <c r="I45" s="451"/>
      <c r="J45" s="451"/>
      <c r="K45" s="451"/>
      <c r="L45" s="409"/>
      <c r="M45" s="407"/>
      <c r="N45" s="410"/>
      <c r="O45" s="452"/>
      <c r="P45" s="451"/>
      <c r="Q45" s="451"/>
      <c r="R45" s="450"/>
      <c r="S45" s="453"/>
      <c r="T45" s="407"/>
      <c r="U45" s="410">
        <v>10.51</v>
      </c>
      <c r="V45" s="425"/>
      <c r="W45" s="445"/>
      <c r="X45" s="446"/>
      <c r="Y45" s="447"/>
    </row>
    <row r="46" spans="1:30" ht="12.75">
      <c r="A46" s="442" t="s">
        <v>218</v>
      </c>
      <c r="B46" s="372"/>
      <c r="C46" s="449" t="s">
        <v>32</v>
      </c>
      <c r="D46" s="374"/>
      <c r="E46" s="423">
        <v>2.4490000000000001E-2</v>
      </c>
      <c r="F46" s="423">
        <v>0</v>
      </c>
      <c r="G46" s="416">
        <v>2.3200000000000002E-2</v>
      </c>
      <c r="H46" s="248">
        <v>0</v>
      </c>
      <c r="I46" s="248">
        <v>0</v>
      </c>
      <c r="J46" s="248"/>
      <c r="K46" s="248">
        <v>3.5899999999999999E-3</v>
      </c>
      <c r="L46" s="248">
        <v>0</v>
      </c>
      <c r="M46" s="416">
        <v>7.79E-3</v>
      </c>
      <c r="N46" s="424">
        <v>1.473E-2</v>
      </c>
      <c r="O46" s="424">
        <v>3.2299999999999998E-3</v>
      </c>
      <c r="P46" s="248">
        <v>-1.75E-3</v>
      </c>
      <c r="Q46" s="248">
        <v>3.3369999999999997E-2</v>
      </c>
      <c r="R46" s="423">
        <v>3.4849999999999999E-2</v>
      </c>
      <c r="S46" s="423">
        <v>5.0000000000000001E-4</v>
      </c>
      <c r="T46" s="416">
        <v>7.2999999999999992E-3</v>
      </c>
      <c r="U46" s="424">
        <v>0.11645</v>
      </c>
      <c r="V46" s="425"/>
      <c r="W46" s="426"/>
      <c r="X46" s="426"/>
      <c r="Y46" s="454"/>
    </row>
    <row r="47" spans="1:30" ht="12.75">
      <c r="A47" s="379" t="s">
        <v>219</v>
      </c>
      <c r="B47" s="372"/>
      <c r="C47" s="449"/>
      <c r="D47" s="374"/>
      <c r="E47" s="423"/>
      <c r="F47" s="423"/>
      <c r="G47" s="416"/>
      <c r="H47" s="248"/>
      <c r="I47" s="248"/>
      <c r="J47" s="248"/>
      <c r="K47" s="248"/>
      <c r="L47" s="248"/>
      <c r="M47" s="416"/>
      <c r="N47" s="424"/>
      <c r="O47" s="424"/>
      <c r="P47" s="248"/>
      <c r="Q47" s="248"/>
      <c r="R47" s="423"/>
      <c r="S47" s="423"/>
      <c r="T47" s="416"/>
      <c r="U47" s="424"/>
      <c r="V47" s="425"/>
      <c r="W47" s="426"/>
      <c r="X47" s="426"/>
      <c r="Y47" s="455"/>
    </row>
    <row r="48" spans="1:30" ht="12.75">
      <c r="A48" s="448" t="s">
        <v>88</v>
      </c>
      <c r="B48" s="421"/>
      <c r="C48" s="252" t="s">
        <v>0</v>
      </c>
      <c r="D48" s="407"/>
      <c r="E48" s="456"/>
      <c r="F48" s="456"/>
      <c r="G48" s="457"/>
      <c r="H48" s="451"/>
      <c r="I48" s="458"/>
      <c r="J48" s="458"/>
      <c r="K48" s="458"/>
      <c r="L48" s="409"/>
      <c r="M48" s="416"/>
      <c r="N48" s="424"/>
      <c r="O48" s="459"/>
      <c r="P48" s="458"/>
      <c r="Q48" s="458"/>
      <c r="R48" s="456"/>
      <c r="S48" s="423"/>
      <c r="T48" s="416"/>
      <c r="U48" s="410">
        <v>-1.2</v>
      </c>
      <c r="V48" s="425"/>
      <c r="W48" s="445"/>
      <c r="X48" s="460"/>
      <c r="Y48" s="455"/>
    </row>
    <row r="49" spans="1:30" ht="12.75">
      <c r="A49" s="442"/>
      <c r="B49" s="372"/>
      <c r="C49" s="449" t="s">
        <v>65</v>
      </c>
      <c r="D49" s="374"/>
      <c r="E49" s="450"/>
      <c r="F49" s="450"/>
      <c r="G49" s="408"/>
      <c r="H49" s="451"/>
      <c r="I49" s="451"/>
      <c r="J49" s="451"/>
      <c r="K49" s="451"/>
      <c r="L49" s="451"/>
      <c r="M49" s="407"/>
      <c r="N49" s="410"/>
      <c r="O49" s="452"/>
      <c r="P49" s="451"/>
      <c r="Q49" s="451"/>
      <c r="R49" s="450"/>
      <c r="S49" s="453"/>
      <c r="T49" s="407"/>
      <c r="U49" s="410">
        <v>-1.05</v>
      </c>
      <c r="V49" s="425"/>
      <c r="W49" s="445"/>
      <c r="X49" s="460"/>
      <c r="Y49" s="455"/>
    </row>
    <row r="50" spans="1:30" s="201" customFormat="1" ht="12.75">
      <c r="A50" s="461"/>
      <c r="B50" s="398"/>
      <c r="C50" s="462" t="s">
        <v>32</v>
      </c>
      <c r="D50" s="400"/>
      <c r="E50" s="463"/>
      <c r="F50" s="463"/>
      <c r="G50" s="464"/>
      <c r="H50" s="263"/>
      <c r="I50" s="263"/>
      <c r="J50" s="263"/>
      <c r="K50" s="263"/>
      <c r="L50" s="465"/>
      <c r="M50" s="464"/>
      <c r="N50" s="466"/>
      <c r="O50" s="466"/>
      <c r="P50" s="263"/>
      <c r="Q50" s="263"/>
      <c r="R50" s="463"/>
      <c r="S50" s="463"/>
      <c r="T50" s="464"/>
      <c r="U50" s="467">
        <v>-1.1650000000000001E-2</v>
      </c>
      <c r="V50" s="425"/>
      <c r="W50" s="445"/>
      <c r="X50" s="460"/>
      <c r="Y50" s="454"/>
      <c r="Z50"/>
      <c r="AA50"/>
      <c r="AB50"/>
      <c r="AC50"/>
      <c r="AD50"/>
    </row>
    <row r="51" spans="1:30" ht="12.75">
      <c r="A51" s="442" t="s">
        <v>15</v>
      </c>
      <c r="B51" s="372"/>
      <c r="C51" s="252" t="s">
        <v>0</v>
      </c>
      <c r="D51" s="407">
        <v>370</v>
      </c>
      <c r="E51" s="423"/>
      <c r="F51" s="423"/>
      <c r="G51" s="407"/>
      <c r="H51" s="409"/>
      <c r="I51" s="409"/>
      <c r="J51" s="409"/>
      <c r="K51" s="409"/>
      <c r="L51" s="409"/>
      <c r="M51" s="416"/>
      <c r="N51" s="424"/>
      <c r="O51" s="410"/>
      <c r="P51" s="409"/>
      <c r="Q51" s="409"/>
      <c r="R51" s="423"/>
      <c r="S51" s="423"/>
      <c r="T51" s="416"/>
      <c r="U51" s="444">
        <v>370</v>
      </c>
      <c r="V51" s="425"/>
      <c r="W51" s="445"/>
      <c r="X51" s="446"/>
      <c r="Y51" s="447"/>
    </row>
    <row r="52" spans="1:30" ht="12.75">
      <c r="A52" s="448" t="s">
        <v>220</v>
      </c>
      <c r="B52" s="421">
        <v>457</v>
      </c>
      <c r="C52" s="252" t="s">
        <v>90</v>
      </c>
      <c r="D52" s="407"/>
      <c r="E52" s="453">
        <v>0</v>
      </c>
      <c r="F52" s="453"/>
      <c r="G52" s="407"/>
      <c r="H52" s="409"/>
      <c r="I52" s="409"/>
      <c r="J52" s="409"/>
      <c r="K52" s="409"/>
      <c r="L52" s="409"/>
      <c r="M52" s="407"/>
      <c r="N52" s="410"/>
      <c r="O52" s="410"/>
      <c r="P52" s="409"/>
      <c r="Q52" s="409"/>
      <c r="R52" s="453"/>
      <c r="S52" s="453"/>
      <c r="T52" s="407"/>
      <c r="U52" s="410">
        <v>0</v>
      </c>
      <c r="V52" s="425"/>
      <c r="W52" s="445"/>
      <c r="X52" s="446"/>
      <c r="Y52" s="447"/>
    </row>
    <row r="53" spans="1:30" ht="12.75">
      <c r="A53" s="379" t="s">
        <v>212</v>
      </c>
      <c r="B53" s="372"/>
      <c r="C53" s="469" t="s">
        <v>35</v>
      </c>
      <c r="D53" s="416"/>
      <c r="E53" s="423">
        <v>5.21E-2</v>
      </c>
      <c r="F53" s="423">
        <v>0</v>
      </c>
      <c r="G53" s="416">
        <v>1.9009999999999999E-2</v>
      </c>
      <c r="H53" s="248">
        <v>0</v>
      </c>
      <c r="I53" s="248">
        <v>0</v>
      </c>
      <c r="J53" s="248"/>
      <c r="K53" s="248">
        <v>2.9499999999999999E-3</v>
      </c>
      <c r="L53" s="248">
        <v>0</v>
      </c>
      <c r="M53" s="416">
        <v>6.3800000000000003E-3</v>
      </c>
      <c r="N53" s="424">
        <v>1.2070000000000001E-2</v>
      </c>
      <c r="O53" s="424">
        <v>3.0999999999999999E-3</v>
      </c>
      <c r="P53" s="248">
        <v>-2.2100000000000002E-3</v>
      </c>
      <c r="Q53" s="248">
        <v>4.2020000000000002E-2</v>
      </c>
      <c r="R53" s="423">
        <v>4.2910000000000004E-2</v>
      </c>
      <c r="S53" s="423">
        <v>5.0000000000000001E-4</v>
      </c>
      <c r="T53" s="416">
        <v>7.2999999999999992E-3</v>
      </c>
      <c r="U53" s="424">
        <v>0.14322000000000001</v>
      </c>
      <c r="V53" s="425"/>
      <c r="W53" s="445"/>
      <c r="X53" s="446"/>
      <c r="Y53" s="447"/>
    </row>
    <row r="54" spans="1:30" ht="12.75">
      <c r="A54" s="379" t="s">
        <v>213</v>
      </c>
      <c r="B54" s="372"/>
      <c r="C54" s="469" t="s">
        <v>36</v>
      </c>
      <c r="D54" s="416"/>
      <c r="E54" s="423">
        <v>3.0519999999999999E-2</v>
      </c>
      <c r="F54" s="423">
        <v>0</v>
      </c>
      <c r="G54" s="416">
        <v>1.9009999999999999E-2</v>
      </c>
      <c r="H54" s="248">
        <v>0</v>
      </c>
      <c r="I54" s="248">
        <v>0</v>
      </c>
      <c r="J54" s="248"/>
      <c r="K54" s="248">
        <v>2.9499999999999999E-3</v>
      </c>
      <c r="L54" s="248">
        <v>0</v>
      </c>
      <c r="M54" s="416">
        <v>6.3800000000000003E-3</v>
      </c>
      <c r="N54" s="424">
        <v>1.2070000000000001E-2</v>
      </c>
      <c r="O54" s="424">
        <v>3.0999999999999999E-3</v>
      </c>
      <c r="P54" s="248">
        <v>-2.2100000000000002E-3</v>
      </c>
      <c r="Q54" s="248">
        <v>4.2020000000000002E-2</v>
      </c>
      <c r="R54" s="423">
        <v>4.2910000000000004E-2</v>
      </c>
      <c r="S54" s="423">
        <v>5.0000000000000001E-4</v>
      </c>
      <c r="T54" s="416">
        <v>7.2999999999999992E-3</v>
      </c>
      <c r="U54" s="424">
        <v>0.12164</v>
      </c>
      <c r="V54" s="425"/>
      <c r="W54" s="445"/>
      <c r="X54" s="446"/>
      <c r="Y54" s="447"/>
    </row>
    <row r="55" spans="1:30" ht="12.75">
      <c r="A55" s="448" t="s">
        <v>88</v>
      </c>
      <c r="B55" s="421"/>
      <c r="C55" s="252" t="s">
        <v>0</v>
      </c>
      <c r="D55" s="407"/>
      <c r="E55" s="423"/>
      <c r="F55" s="423"/>
      <c r="G55" s="416"/>
      <c r="H55" s="409"/>
      <c r="I55" s="248"/>
      <c r="J55" s="248"/>
      <c r="K55" s="248"/>
      <c r="L55" s="409"/>
      <c r="M55" s="416"/>
      <c r="N55" s="424"/>
      <c r="O55" s="424"/>
      <c r="P55" s="248"/>
      <c r="Q55" s="248"/>
      <c r="R55" s="423"/>
      <c r="S55" s="423"/>
      <c r="T55" s="416"/>
      <c r="U55" s="410">
        <v>-37</v>
      </c>
      <c r="V55" s="425"/>
      <c r="W55" s="445"/>
      <c r="X55" s="446"/>
      <c r="Y55" s="447"/>
    </row>
    <row r="56" spans="1:30" ht="12.75">
      <c r="A56" s="379"/>
      <c r="B56" s="372"/>
      <c r="C56" s="252" t="s">
        <v>90</v>
      </c>
      <c r="D56" s="416"/>
      <c r="E56" s="423"/>
      <c r="F56" s="423"/>
      <c r="G56" s="416"/>
      <c r="H56" s="409"/>
      <c r="I56" s="248"/>
      <c r="J56" s="248"/>
      <c r="K56" s="248"/>
      <c r="L56" s="451"/>
      <c r="M56" s="416"/>
      <c r="N56" s="424"/>
      <c r="O56" s="424"/>
      <c r="P56" s="248"/>
      <c r="Q56" s="248"/>
      <c r="R56" s="423"/>
      <c r="S56" s="423"/>
      <c r="T56" s="416"/>
      <c r="U56" s="410">
        <v>0</v>
      </c>
      <c r="V56" s="425"/>
      <c r="W56" s="445"/>
      <c r="X56" s="446"/>
      <c r="Y56" s="447"/>
    </row>
    <row r="57" spans="1:30" ht="12.75">
      <c r="A57" s="379"/>
      <c r="B57" s="372"/>
      <c r="C57" s="469" t="s">
        <v>35</v>
      </c>
      <c r="D57" s="416"/>
      <c r="E57" s="423"/>
      <c r="F57" s="423"/>
      <c r="G57" s="416"/>
      <c r="H57" s="248"/>
      <c r="I57" s="248"/>
      <c r="J57" s="248"/>
      <c r="K57" s="248"/>
      <c r="L57" s="248"/>
      <c r="M57" s="416"/>
      <c r="N57" s="424"/>
      <c r="O57" s="424"/>
      <c r="P57" s="248"/>
      <c r="Q57" s="248"/>
      <c r="R57" s="423"/>
      <c r="S57" s="423"/>
      <c r="T57" s="416"/>
      <c r="U57" s="424">
        <v>-1.4319999999999999E-2</v>
      </c>
      <c r="V57" s="425"/>
      <c r="W57" s="445"/>
      <c r="X57" s="446"/>
      <c r="Y57" s="447"/>
    </row>
    <row r="58" spans="1:30" s="201" customFormat="1" ht="12.75">
      <c r="A58" s="470"/>
      <c r="B58" s="398"/>
      <c r="C58" s="471" t="s">
        <v>36</v>
      </c>
      <c r="D58" s="472"/>
      <c r="E58" s="463"/>
      <c r="F58" s="463"/>
      <c r="G58" s="464"/>
      <c r="H58" s="263"/>
      <c r="I58" s="267"/>
      <c r="J58" s="267"/>
      <c r="K58" s="267"/>
      <c r="L58" s="263"/>
      <c r="M58" s="464"/>
      <c r="N58" s="466"/>
      <c r="O58" s="473"/>
      <c r="P58" s="267"/>
      <c r="Q58" s="267"/>
      <c r="R58" s="463"/>
      <c r="S58" s="463"/>
      <c r="T58" s="464"/>
      <c r="U58" s="466">
        <v>-1.2160000000000001E-2</v>
      </c>
      <c r="V58" s="425"/>
      <c r="W58" s="445"/>
      <c r="X58" s="446"/>
      <c r="Y58" s="447"/>
      <c r="Z58"/>
      <c r="AA58"/>
      <c r="AB58"/>
      <c r="AC58"/>
      <c r="AD58"/>
    </row>
    <row r="59" spans="1:30" ht="12.75">
      <c r="A59" s="442" t="s">
        <v>15</v>
      </c>
      <c r="B59" s="372"/>
      <c r="C59" s="252" t="s">
        <v>0</v>
      </c>
      <c r="D59" s="407">
        <v>370</v>
      </c>
      <c r="E59" s="423"/>
      <c r="F59" s="423"/>
      <c r="G59" s="407"/>
      <c r="H59" s="409"/>
      <c r="I59" s="409"/>
      <c r="J59" s="409"/>
      <c r="K59" s="409"/>
      <c r="L59" s="409"/>
      <c r="M59" s="416"/>
      <c r="N59" s="424"/>
      <c r="O59" s="410"/>
      <c r="P59" s="409"/>
      <c r="Q59" s="409"/>
      <c r="R59" s="423"/>
      <c r="S59" s="423"/>
      <c r="T59" s="416"/>
      <c r="U59" s="444">
        <v>370</v>
      </c>
      <c r="V59" s="425"/>
      <c r="W59" s="445"/>
      <c r="X59" s="446"/>
      <c r="Y59" s="447"/>
    </row>
    <row r="60" spans="1:30" ht="12.75">
      <c r="A60" s="448" t="s">
        <v>220</v>
      </c>
      <c r="B60" s="421">
        <v>457</v>
      </c>
      <c r="C60" s="252" t="s">
        <v>90</v>
      </c>
      <c r="D60" s="407"/>
      <c r="E60" s="453">
        <v>2.62</v>
      </c>
      <c r="F60" s="453"/>
      <c r="G60" s="407"/>
      <c r="H60" s="409"/>
      <c r="I60" s="409"/>
      <c r="J60" s="409"/>
      <c r="K60" s="409"/>
      <c r="L60" s="409"/>
      <c r="M60" s="407"/>
      <c r="N60" s="410"/>
      <c r="O60" s="410"/>
      <c r="P60" s="409"/>
      <c r="Q60" s="409"/>
      <c r="R60" s="453"/>
      <c r="S60" s="453"/>
      <c r="T60" s="407"/>
      <c r="U60" s="410">
        <v>2.62</v>
      </c>
      <c r="V60" s="425"/>
      <c r="W60" s="445"/>
      <c r="X60" s="446"/>
      <c r="Y60" s="447"/>
    </row>
    <row r="61" spans="1:30" ht="12.75">
      <c r="A61" s="379" t="s">
        <v>214</v>
      </c>
      <c r="B61" s="372"/>
      <c r="C61" s="469" t="s">
        <v>35</v>
      </c>
      <c r="D61" s="416"/>
      <c r="E61" s="423">
        <v>4.6019999999999998E-2</v>
      </c>
      <c r="F61" s="423">
        <v>0</v>
      </c>
      <c r="G61" s="416">
        <v>1.9009999999999999E-2</v>
      </c>
      <c r="H61" s="248">
        <v>0</v>
      </c>
      <c r="I61" s="248">
        <v>0</v>
      </c>
      <c r="J61" s="248"/>
      <c r="K61" s="248">
        <v>2.9499999999999999E-3</v>
      </c>
      <c r="L61" s="248">
        <v>0</v>
      </c>
      <c r="M61" s="416">
        <v>6.3800000000000003E-3</v>
      </c>
      <c r="N61" s="424">
        <v>1.2070000000000001E-2</v>
      </c>
      <c r="O61" s="424">
        <v>3.0999999999999999E-3</v>
      </c>
      <c r="P61" s="248">
        <v>-2.2100000000000002E-3</v>
      </c>
      <c r="Q61" s="248">
        <v>4.2020000000000002E-2</v>
      </c>
      <c r="R61" s="423">
        <v>4.2910000000000004E-2</v>
      </c>
      <c r="S61" s="423">
        <v>5.0000000000000001E-4</v>
      </c>
      <c r="T61" s="416">
        <v>7.2999999999999992E-3</v>
      </c>
      <c r="U61" s="424">
        <v>0.13714000000000001</v>
      </c>
      <c r="V61" s="425"/>
      <c r="W61" s="445"/>
      <c r="X61" s="446"/>
      <c r="Y61" s="447"/>
    </row>
    <row r="62" spans="1:30" ht="12.75">
      <c r="A62" s="379" t="s">
        <v>215</v>
      </c>
      <c r="B62" s="372"/>
      <c r="C62" s="469" t="s">
        <v>36</v>
      </c>
      <c r="D62" s="416"/>
      <c r="E62" s="423">
        <v>2.444E-2</v>
      </c>
      <c r="F62" s="423">
        <v>0</v>
      </c>
      <c r="G62" s="416">
        <v>1.9009999999999999E-2</v>
      </c>
      <c r="H62" s="248">
        <v>0</v>
      </c>
      <c r="I62" s="248">
        <v>0</v>
      </c>
      <c r="J62" s="248"/>
      <c r="K62" s="248">
        <v>2.9499999999999999E-3</v>
      </c>
      <c r="L62" s="248">
        <v>0</v>
      </c>
      <c r="M62" s="416">
        <v>6.3800000000000003E-3</v>
      </c>
      <c r="N62" s="424">
        <v>1.2070000000000001E-2</v>
      </c>
      <c r="O62" s="424">
        <v>3.0999999999999999E-3</v>
      </c>
      <c r="P62" s="248">
        <v>-2.2100000000000002E-3</v>
      </c>
      <c r="Q62" s="248">
        <v>4.2020000000000002E-2</v>
      </c>
      <c r="R62" s="423">
        <v>4.2910000000000004E-2</v>
      </c>
      <c r="S62" s="423">
        <v>5.0000000000000001E-4</v>
      </c>
      <c r="T62" s="416">
        <v>7.2999999999999992E-3</v>
      </c>
      <c r="U62" s="424">
        <v>0.11556000000000001</v>
      </c>
      <c r="V62" s="425"/>
      <c r="W62" s="445"/>
      <c r="X62" s="446"/>
      <c r="Y62" s="447"/>
    </row>
    <row r="63" spans="1:30" ht="12.75">
      <c r="A63" s="448" t="s">
        <v>88</v>
      </c>
      <c r="B63" s="421"/>
      <c r="C63" s="252" t="s">
        <v>0</v>
      </c>
      <c r="D63" s="407"/>
      <c r="E63" s="423"/>
      <c r="F63" s="423"/>
      <c r="G63" s="416"/>
      <c r="H63" s="409"/>
      <c r="I63" s="248"/>
      <c r="J63" s="248"/>
      <c r="K63" s="248"/>
      <c r="L63" s="409"/>
      <c r="M63" s="416"/>
      <c r="N63" s="424"/>
      <c r="O63" s="424"/>
      <c r="P63" s="248"/>
      <c r="Q63" s="248"/>
      <c r="R63" s="423"/>
      <c r="S63" s="423"/>
      <c r="T63" s="416"/>
      <c r="U63" s="410">
        <v>-37</v>
      </c>
      <c r="V63" s="425"/>
      <c r="W63" s="445"/>
      <c r="X63" s="446"/>
      <c r="Y63" s="447"/>
    </row>
    <row r="64" spans="1:30" ht="12.75">
      <c r="A64" s="379"/>
      <c r="B64" s="372"/>
      <c r="C64" s="252" t="s">
        <v>90</v>
      </c>
      <c r="D64" s="416"/>
      <c r="E64" s="423"/>
      <c r="F64" s="423"/>
      <c r="G64" s="416"/>
      <c r="H64" s="409"/>
      <c r="I64" s="248"/>
      <c r="J64" s="248"/>
      <c r="K64" s="248"/>
      <c r="L64" s="451"/>
      <c r="M64" s="416"/>
      <c r="N64" s="424"/>
      <c r="O64" s="424"/>
      <c r="P64" s="248"/>
      <c r="Q64" s="248"/>
      <c r="R64" s="423"/>
      <c r="S64" s="423"/>
      <c r="T64" s="416"/>
      <c r="U64" s="410">
        <v>-0.26</v>
      </c>
      <c r="V64" s="425"/>
      <c r="W64" s="445"/>
      <c r="X64" s="446"/>
      <c r="Y64" s="447"/>
    </row>
    <row r="65" spans="1:30" ht="12.75">
      <c r="A65" s="379"/>
      <c r="B65" s="372"/>
      <c r="C65" s="469" t="s">
        <v>35</v>
      </c>
      <c r="D65" s="416"/>
      <c r="E65" s="423"/>
      <c r="F65" s="423"/>
      <c r="G65" s="416"/>
      <c r="H65" s="248"/>
      <c r="I65" s="248"/>
      <c r="J65" s="248"/>
      <c r="K65" s="248"/>
      <c r="L65" s="248"/>
      <c r="M65" s="416"/>
      <c r="N65" s="424"/>
      <c r="O65" s="424"/>
      <c r="P65" s="248"/>
      <c r="Q65" s="248"/>
      <c r="R65" s="423"/>
      <c r="S65" s="423"/>
      <c r="T65" s="416"/>
      <c r="U65" s="424">
        <v>-1.371E-2</v>
      </c>
      <c r="V65" s="425"/>
      <c r="W65" s="445"/>
      <c r="X65" s="446"/>
      <c r="Y65" s="447"/>
    </row>
    <row r="66" spans="1:30" s="201" customFormat="1" ht="12.75">
      <c r="A66" s="470"/>
      <c r="B66" s="398"/>
      <c r="C66" s="471" t="s">
        <v>36</v>
      </c>
      <c r="D66" s="472"/>
      <c r="E66" s="463"/>
      <c r="F66" s="463"/>
      <c r="G66" s="464"/>
      <c r="H66" s="263"/>
      <c r="I66" s="267"/>
      <c r="J66" s="267"/>
      <c r="K66" s="267"/>
      <c r="L66" s="263"/>
      <c r="M66" s="464"/>
      <c r="N66" s="466"/>
      <c r="O66" s="473"/>
      <c r="P66" s="267"/>
      <c r="Q66" s="267"/>
      <c r="R66" s="463"/>
      <c r="S66" s="463"/>
      <c r="T66" s="464"/>
      <c r="U66" s="466">
        <v>-1.1560000000000001E-2</v>
      </c>
      <c r="V66" s="425"/>
      <c r="W66" s="445"/>
      <c r="X66" s="446"/>
      <c r="Y66" s="447"/>
      <c r="Z66"/>
      <c r="AA66"/>
      <c r="AB66"/>
      <c r="AC66"/>
      <c r="AD66"/>
    </row>
    <row r="67" spans="1:30">
      <c r="A67" s="442" t="s">
        <v>15</v>
      </c>
      <c r="B67" s="372"/>
      <c r="C67" s="252" t="s">
        <v>0</v>
      </c>
      <c r="D67" s="407">
        <v>370</v>
      </c>
      <c r="E67" s="423"/>
      <c r="F67" s="423"/>
      <c r="G67" s="407"/>
      <c r="H67" s="409"/>
      <c r="I67" s="409"/>
      <c r="J67" s="409"/>
      <c r="K67" s="409"/>
      <c r="L67" s="409"/>
      <c r="M67" s="416"/>
      <c r="N67" s="424"/>
      <c r="O67" s="410"/>
      <c r="P67" s="409"/>
      <c r="Q67" s="409"/>
      <c r="R67" s="423"/>
      <c r="S67" s="423"/>
      <c r="T67" s="416"/>
      <c r="U67" s="444">
        <v>370</v>
      </c>
      <c r="V67" s="425"/>
      <c r="W67" s="445"/>
      <c r="Y67" s="447"/>
    </row>
    <row r="68" spans="1:30">
      <c r="A68" s="448" t="s">
        <v>220</v>
      </c>
      <c r="B68" s="421">
        <v>457</v>
      </c>
      <c r="C68" s="252" t="s">
        <v>90</v>
      </c>
      <c r="D68" s="407"/>
      <c r="E68" s="453">
        <v>5.25</v>
      </c>
      <c r="F68" s="453"/>
      <c r="G68" s="407"/>
      <c r="H68" s="409"/>
      <c r="I68" s="409"/>
      <c r="J68" s="409"/>
      <c r="K68" s="409"/>
      <c r="L68" s="409"/>
      <c r="M68" s="407"/>
      <c r="N68" s="410"/>
      <c r="O68" s="410"/>
      <c r="P68" s="409"/>
      <c r="Q68" s="409"/>
      <c r="R68" s="453"/>
      <c r="S68" s="453"/>
      <c r="T68" s="407"/>
      <c r="U68" s="410">
        <v>5.25</v>
      </c>
      <c r="V68" s="425"/>
      <c r="W68" s="445"/>
      <c r="Y68" s="447"/>
    </row>
    <row r="69" spans="1:30">
      <c r="A69" s="379" t="s">
        <v>216</v>
      </c>
      <c r="B69" s="372"/>
      <c r="C69" s="469" t="s">
        <v>35</v>
      </c>
      <c r="D69" s="416"/>
      <c r="E69" s="423">
        <v>3.9919999999999997E-2</v>
      </c>
      <c r="F69" s="423">
        <v>0</v>
      </c>
      <c r="G69" s="416">
        <v>1.9009999999999999E-2</v>
      </c>
      <c r="H69" s="248">
        <v>0</v>
      </c>
      <c r="I69" s="248">
        <v>0</v>
      </c>
      <c r="J69" s="248"/>
      <c r="K69" s="248">
        <v>2.9499999999999999E-3</v>
      </c>
      <c r="L69" s="248">
        <v>0</v>
      </c>
      <c r="M69" s="416">
        <v>6.3800000000000003E-3</v>
      </c>
      <c r="N69" s="424">
        <v>1.2070000000000001E-2</v>
      </c>
      <c r="O69" s="424">
        <v>3.0999999999999999E-3</v>
      </c>
      <c r="P69" s="248">
        <v>-2.2100000000000002E-3</v>
      </c>
      <c r="Q69" s="248">
        <v>4.2020000000000002E-2</v>
      </c>
      <c r="R69" s="423">
        <v>4.2910000000000004E-2</v>
      </c>
      <c r="S69" s="423">
        <v>5.0000000000000001E-4</v>
      </c>
      <c r="T69" s="416">
        <v>7.2999999999999992E-3</v>
      </c>
      <c r="U69" s="424">
        <v>0.13104000000000002</v>
      </c>
      <c r="V69" s="425"/>
      <c r="W69" s="445"/>
      <c r="Y69" s="447"/>
    </row>
    <row r="70" spans="1:30">
      <c r="A70" s="379" t="s">
        <v>217</v>
      </c>
      <c r="B70" s="372"/>
      <c r="C70" s="469" t="s">
        <v>36</v>
      </c>
      <c r="D70" s="416"/>
      <c r="E70" s="423">
        <v>1.8339999999999999E-2</v>
      </c>
      <c r="F70" s="423">
        <v>0</v>
      </c>
      <c r="G70" s="416">
        <v>1.9009999999999999E-2</v>
      </c>
      <c r="H70" s="248">
        <v>0</v>
      </c>
      <c r="I70" s="248">
        <v>0</v>
      </c>
      <c r="J70" s="248"/>
      <c r="K70" s="248">
        <v>2.9499999999999999E-3</v>
      </c>
      <c r="L70" s="248">
        <v>0</v>
      </c>
      <c r="M70" s="416">
        <v>6.3800000000000003E-3</v>
      </c>
      <c r="N70" s="424">
        <v>1.2070000000000001E-2</v>
      </c>
      <c r="O70" s="424">
        <v>3.0999999999999999E-3</v>
      </c>
      <c r="P70" s="248">
        <v>-2.2100000000000002E-3</v>
      </c>
      <c r="Q70" s="248">
        <v>4.2020000000000002E-2</v>
      </c>
      <c r="R70" s="423">
        <v>4.2910000000000004E-2</v>
      </c>
      <c r="S70" s="423">
        <v>5.0000000000000001E-4</v>
      </c>
      <c r="T70" s="416">
        <v>7.2999999999999992E-3</v>
      </c>
      <c r="U70" s="424">
        <v>0.10946</v>
      </c>
      <c r="V70" s="425"/>
      <c r="W70" s="445"/>
      <c r="Y70" s="447"/>
    </row>
    <row r="71" spans="1:30">
      <c r="A71" s="448" t="s">
        <v>88</v>
      </c>
      <c r="B71" s="421"/>
      <c r="C71" s="252" t="s">
        <v>0</v>
      </c>
      <c r="D71" s="407"/>
      <c r="E71" s="423"/>
      <c r="F71" s="423"/>
      <c r="G71" s="416"/>
      <c r="H71" s="409"/>
      <c r="I71" s="248"/>
      <c r="J71" s="248"/>
      <c r="K71" s="248"/>
      <c r="L71" s="409"/>
      <c r="M71" s="416"/>
      <c r="N71" s="424"/>
      <c r="O71" s="424"/>
      <c r="P71" s="248"/>
      <c r="Q71" s="248"/>
      <c r="R71" s="423"/>
      <c r="S71" s="423"/>
      <c r="T71" s="416"/>
      <c r="U71" s="410">
        <v>-37</v>
      </c>
      <c r="V71" s="425"/>
      <c r="W71" s="445"/>
      <c r="Y71" s="447"/>
    </row>
    <row r="72" spans="1:30">
      <c r="A72" s="379"/>
      <c r="B72" s="372"/>
      <c r="C72" s="252" t="s">
        <v>90</v>
      </c>
      <c r="D72" s="416"/>
      <c r="E72" s="423"/>
      <c r="F72" s="423"/>
      <c r="G72" s="416"/>
      <c r="H72" s="409"/>
      <c r="I72" s="248"/>
      <c r="J72" s="248"/>
      <c r="K72" s="248"/>
      <c r="L72" s="451"/>
      <c r="M72" s="416"/>
      <c r="N72" s="424"/>
      <c r="O72" s="424"/>
      <c r="P72" s="248"/>
      <c r="Q72" s="248"/>
      <c r="R72" s="423"/>
      <c r="S72" s="423"/>
      <c r="T72" s="416"/>
      <c r="U72" s="410">
        <v>-0.53</v>
      </c>
      <c r="V72" s="425"/>
      <c r="W72" s="445"/>
      <c r="Y72" s="447"/>
    </row>
    <row r="73" spans="1:30">
      <c r="A73" s="379"/>
      <c r="B73" s="372"/>
      <c r="C73" s="469" t="s">
        <v>35</v>
      </c>
      <c r="D73" s="416"/>
      <c r="E73" s="423"/>
      <c r="F73" s="423"/>
      <c r="G73" s="416"/>
      <c r="H73" s="248"/>
      <c r="I73" s="248"/>
      <c r="J73" s="248"/>
      <c r="K73" s="248"/>
      <c r="L73" s="248"/>
      <c r="M73" s="416"/>
      <c r="N73" s="424"/>
      <c r="O73" s="424"/>
      <c r="P73" s="248"/>
      <c r="Q73" s="248"/>
      <c r="R73" s="423"/>
      <c r="S73" s="423"/>
      <c r="T73" s="416"/>
      <c r="U73" s="424">
        <v>-1.3100000000000001E-2</v>
      </c>
      <c r="V73" s="425"/>
      <c r="W73" s="445"/>
      <c r="Y73" s="447"/>
    </row>
    <row r="74" spans="1:30">
      <c r="A74" s="470"/>
      <c r="B74" s="398"/>
      <c r="C74" s="471" t="s">
        <v>36</v>
      </c>
      <c r="D74" s="472"/>
      <c r="E74" s="463"/>
      <c r="F74" s="463"/>
      <c r="G74" s="464"/>
      <c r="H74" s="263"/>
      <c r="I74" s="267"/>
      <c r="J74" s="267"/>
      <c r="K74" s="267"/>
      <c r="L74" s="263"/>
      <c r="M74" s="464"/>
      <c r="N74" s="466"/>
      <c r="O74" s="473"/>
      <c r="P74" s="267"/>
      <c r="Q74" s="267"/>
      <c r="R74" s="463"/>
      <c r="S74" s="463"/>
      <c r="T74" s="464"/>
      <c r="U74" s="466">
        <v>-1.095E-2</v>
      </c>
      <c r="V74" s="425"/>
      <c r="W74" s="445"/>
      <c r="Y74" s="447"/>
    </row>
    <row r="75" spans="1:30">
      <c r="A75" s="442" t="s">
        <v>15</v>
      </c>
      <c r="B75" s="372"/>
      <c r="C75" s="252" t="s">
        <v>0</v>
      </c>
      <c r="D75" s="407">
        <v>370</v>
      </c>
      <c r="E75" s="423"/>
      <c r="F75" s="423"/>
      <c r="G75" s="407"/>
      <c r="H75" s="409"/>
      <c r="I75" s="409"/>
      <c r="J75" s="409"/>
      <c r="K75" s="409"/>
      <c r="L75" s="409"/>
      <c r="M75" s="416"/>
      <c r="N75" s="424"/>
      <c r="O75" s="444"/>
      <c r="P75" s="474"/>
      <c r="Q75" s="474"/>
      <c r="R75" s="475"/>
      <c r="S75" s="423"/>
      <c r="T75" s="416"/>
      <c r="U75" s="444">
        <v>370</v>
      </c>
      <c r="V75" s="425"/>
      <c r="W75" s="445"/>
      <c r="Y75" s="447"/>
    </row>
    <row r="76" spans="1:30">
      <c r="A76" s="448" t="s">
        <v>220</v>
      </c>
      <c r="B76" s="421">
        <v>457</v>
      </c>
      <c r="C76" s="252" t="s">
        <v>90</v>
      </c>
      <c r="D76" s="407"/>
      <c r="E76" s="453">
        <v>10.5</v>
      </c>
      <c r="F76" s="453"/>
      <c r="G76" s="407"/>
      <c r="H76" s="409"/>
      <c r="I76" s="409"/>
      <c r="J76" s="409"/>
      <c r="K76" s="409"/>
      <c r="L76" s="409"/>
      <c r="M76" s="407"/>
      <c r="N76" s="410"/>
      <c r="O76" s="410"/>
      <c r="P76" s="409"/>
      <c r="Q76" s="409"/>
      <c r="R76" s="453"/>
      <c r="S76" s="453"/>
      <c r="T76" s="407"/>
      <c r="U76" s="410">
        <v>10.5</v>
      </c>
      <c r="V76" s="425"/>
      <c r="W76" s="445"/>
      <c r="Y76" s="447"/>
    </row>
    <row r="77" spans="1:30">
      <c r="A77" s="379" t="s">
        <v>218</v>
      </c>
      <c r="B77" s="372"/>
      <c r="C77" s="469" t="s">
        <v>35</v>
      </c>
      <c r="D77" s="416"/>
      <c r="E77" s="423">
        <v>2.775E-2</v>
      </c>
      <c r="F77" s="423">
        <v>0</v>
      </c>
      <c r="G77" s="416">
        <v>1.9009999999999999E-2</v>
      </c>
      <c r="H77" s="248">
        <v>0</v>
      </c>
      <c r="I77" s="248">
        <v>0</v>
      </c>
      <c r="J77" s="248"/>
      <c r="K77" s="248">
        <v>2.9499999999999999E-3</v>
      </c>
      <c r="L77" s="248">
        <v>0</v>
      </c>
      <c r="M77" s="416">
        <v>6.3800000000000003E-3</v>
      </c>
      <c r="N77" s="424">
        <v>1.2070000000000001E-2</v>
      </c>
      <c r="O77" s="424">
        <v>3.0999999999999999E-3</v>
      </c>
      <c r="P77" s="248">
        <v>-2.2100000000000002E-3</v>
      </c>
      <c r="Q77" s="248">
        <v>4.2020000000000002E-2</v>
      </c>
      <c r="R77" s="423">
        <v>4.2910000000000004E-2</v>
      </c>
      <c r="S77" s="423">
        <v>5.0000000000000001E-4</v>
      </c>
      <c r="T77" s="416">
        <v>7.2999999999999992E-3</v>
      </c>
      <c r="U77" s="424">
        <v>0.11887</v>
      </c>
      <c r="V77" s="425"/>
      <c r="W77" s="445"/>
      <c r="Y77" s="447"/>
    </row>
    <row r="78" spans="1:30">
      <c r="A78" s="379" t="s">
        <v>219</v>
      </c>
      <c r="B78" s="372"/>
      <c r="C78" s="469" t="s">
        <v>36</v>
      </c>
      <c r="D78" s="416"/>
      <c r="E78" s="423">
        <v>6.1700000000000001E-3</v>
      </c>
      <c r="F78" s="423">
        <v>0</v>
      </c>
      <c r="G78" s="416">
        <v>1.9009999999999999E-2</v>
      </c>
      <c r="H78" s="248">
        <v>0</v>
      </c>
      <c r="I78" s="248">
        <v>0</v>
      </c>
      <c r="J78" s="248"/>
      <c r="K78" s="248">
        <v>2.9499999999999999E-3</v>
      </c>
      <c r="L78" s="248">
        <v>0</v>
      </c>
      <c r="M78" s="416">
        <v>6.3800000000000003E-3</v>
      </c>
      <c r="N78" s="424">
        <v>1.2070000000000001E-2</v>
      </c>
      <c r="O78" s="424">
        <v>3.0999999999999999E-3</v>
      </c>
      <c r="P78" s="248">
        <v>-2.2100000000000002E-3</v>
      </c>
      <c r="Q78" s="248">
        <v>4.2020000000000002E-2</v>
      </c>
      <c r="R78" s="423">
        <v>4.2910000000000004E-2</v>
      </c>
      <c r="S78" s="423">
        <v>5.0000000000000001E-4</v>
      </c>
      <c r="T78" s="416">
        <v>7.2999999999999992E-3</v>
      </c>
      <c r="U78" s="424">
        <v>9.7290000000000001E-2</v>
      </c>
      <c r="V78" s="425"/>
      <c r="W78" s="445"/>
      <c r="Y78" s="447"/>
    </row>
    <row r="79" spans="1:30">
      <c r="A79" s="448" t="s">
        <v>88</v>
      </c>
      <c r="B79" s="421"/>
      <c r="C79" s="252" t="s">
        <v>0</v>
      </c>
      <c r="D79" s="407"/>
      <c r="E79" s="443"/>
      <c r="F79" s="443"/>
      <c r="G79" s="416"/>
      <c r="H79" s="409"/>
      <c r="I79" s="248"/>
      <c r="J79" s="248"/>
      <c r="K79" s="248"/>
      <c r="L79" s="409"/>
      <c r="M79" s="416"/>
      <c r="N79" s="424"/>
      <c r="O79" s="424"/>
      <c r="P79" s="248"/>
      <c r="Q79" s="248"/>
      <c r="R79" s="423"/>
      <c r="S79" s="423"/>
      <c r="T79" s="416"/>
      <c r="U79" s="410">
        <v>-37</v>
      </c>
      <c r="V79" s="425"/>
      <c r="W79" s="445"/>
      <c r="Y79" s="447"/>
    </row>
    <row r="80" spans="1:30">
      <c r="A80" s="379"/>
      <c r="B80" s="372"/>
      <c r="C80" s="252" t="s">
        <v>90</v>
      </c>
      <c r="D80" s="416"/>
      <c r="E80" s="443"/>
      <c r="F80" s="443"/>
      <c r="G80" s="416"/>
      <c r="H80" s="409"/>
      <c r="I80" s="248"/>
      <c r="J80" s="248"/>
      <c r="K80" s="248"/>
      <c r="L80" s="451"/>
      <c r="M80" s="416"/>
      <c r="N80" s="424"/>
      <c r="O80" s="424"/>
      <c r="P80" s="248"/>
      <c r="Q80" s="248"/>
      <c r="R80" s="423"/>
      <c r="S80" s="423"/>
      <c r="T80" s="416"/>
      <c r="U80" s="410">
        <v>-1.05</v>
      </c>
      <c r="V80" s="425"/>
      <c r="W80" s="445"/>
      <c r="Y80" s="447"/>
    </row>
    <row r="81" spans="1:25">
      <c r="A81" s="379"/>
      <c r="B81" s="372"/>
      <c r="C81" s="469" t="s">
        <v>35</v>
      </c>
      <c r="D81" s="416"/>
      <c r="E81" s="443"/>
      <c r="F81" s="443"/>
      <c r="G81" s="416"/>
      <c r="H81" s="248"/>
      <c r="I81" s="248"/>
      <c r="J81" s="248"/>
      <c r="K81" s="248"/>
      <c r="L81" s="248"/>
      <c r="M81" s="416"/>
      <c r="N81" s="424"/>
      <c r="O81" s="424"/>
      <c r="P81" s="248"/>
      <c r="Q81" s="248"/>
      <c r="R81" s="423"/>
      <c r="S81" s="423"/>
      <c r="T81" s="416"/>
      <c r="U81" s="424">
        <v>-1.189E-2</v>
      </c>
      <c r="V81" s="425"/>
      <c r="W81" s="445"/>
      <c r="Y81" s="447"/>
    </row>
    <row r="82" spans="1:25">
      <c r="A82" s="379"/>
      <c r="B82" s="372"/>
      <c r="C82" s="476" t="s">
        <v>36</v>
      </c>
      <c r="D82" s="477"/>
      <c r="E82" s="443"/>
      <c r="F82" s="443"/>
      <c r="G82" s="416"/>
      <c r="H82" s="248"/>
      <c r="I82" s="252"/>
      <c r="J82" s="252"/>
      <c r="K82" s="252"/>
      <c r="L82" s="248"/>
      <c r="M82" s="416"/>
      <c r="N82" s="424"/>
      <c r="O82" s="478"/>
      <c r="P82" s="252"/>
      <c r="Q82" s="252"/>
      <c r="R82" s="423"/>
      <c r="S82" s="423"/>
      <c r="T82" s="416"/>
      <c r="U82" s="424">
        <v>-9.7300000000000008E-3</v>
      </c>
      <c r="V82" s="425"/>
      <c r="W82" s="445"/>
      <c r="Y82" s="447"/>
    </row>
    <row r="83" spans="1:25" ht="17.45" customHeight="1">
      <c r="A83" s="479" t="s">
        <v>221</v>
      </c>
      <c r="B83" s="480"/>
      <c r="C83" s="481"/>
      <c r="D83" s="438">
        <v>45474</v>
      </c>
      <c r="E83" s="438">
        <v>45839</v>
      </c>
      <c r="F83" s="438">
        <v>45658</v>
      </c>
      <c r="G83" s="438">
        <v>46023</v>
      </c>
      <c r="H83" s="438">
        <v>44197</v>
      </c>
      <c r="I83" s="438">
        <v>41518</v>
      </c>
      <c r="J83" s="438"/>
      <c r="K83" s="438">
        <v>46023</v>
      </c>
      <c r="L83" s="438">
        <v>44197</v>
      </c>
      <c r="M83" s="438">
        <v>46023</v>
      </c>
      <c r="N83" s="438">
        <v>46023</v>
      </c>
      <c r="O83" s="438">
        <v>41791</v>
      </c>
      <c r="P83" s="439">
        <v>46023</v>
      </c>
      <c r="Q83" s="439">
        <v>46023</v>
      </c>
      <c r="R83" s="440">
        <v>45658</v>
      </c>
      <c r="S83" s="439">
        <v>37622</v>
      </c>
      <c r="T83" s="438">
        <v>45839</v>
      </c>
      <c r="U83" s="438">
        <v>46023</v>
      </c>
      <c r="V83" s="417"/>
      <c r="W83" s="482"/>
      <c r="Y83" s="447"/>
    </row>
    <row r="84" spans="1:25">
      <c r="A84" s="483" t="s">
        <v>91</v>
      </c>
      <c r="B84" s="484"/>
      <c r="C84" s="485" t="s">
        <v>222</v>
      </c>
      <c r="D84" s="486"/>
      <c r="E84" s="412"/>
      <c r="F84" s="412"/>
      <c r="G84" s="412"/>
      <c r="H84" s="412"/>
      <c r="I84" s="412"/>
      <c r="J84" s="412"/>
      <c r="K84" s="412"/>
      <c r="L84" s="362"/>
      <c r="S84" s="362"/>
      <c r="T84" s="487"/>
      <c r="U84" s="488"/>
    </row>
    <row r="85" spans="1:25">
      <c r="A85" s="489" t="s">
        <v>93</v>
      </c>
      <c r="B85" s="490"/>
      <c r="C85" s="491" t="s">
        <v>94</v>
      </c>
      <c r="D85" s="267"/>
      <c r="E85" s="263"/>
      <c r="F85" s="263"/>
      <c r="G85" s="263"/>
      <c r="H85" s="263"/>
      <c r="I85" s="263"/>
      <c r="J85" s="263"/>
      <c r="K85" s="263"/>
      <c r="L85" s="201"/>
      <c r="M85" s="201"/>
      <c r="N85" s="201"/>
      <c r="O85" s="201"/>
      <c r="P85" s="201"/>
      <c r="Q85" s="492"/>
      <c r="R85" s="492"/>
      <c r="S85" s="201"/>
      <c r="T85" s="492"/>
      <c r="U85" s="493"/>
    </row>
    <row r="86" spans="1:25" s="184" customFormat="1" ht="12.75">
      <c r="A86" s="494"/>
      <c r="B86" s="495" t="s">
        <v>223</v>
      </c>
      <c r="C86" s="496" t="s">
        <v>224</v>
      </c>
      <c r="D86" s="185"/>
      <c r="E86" s="185"/>
      <c r="F86" s="185"/>
      <c r="G86" s="185"/>
      <c r="Q86" s="495"/>
      <c r="R86" s="497"/>
      <c r="S86" s="498"/>
      <c r="T86" s="497"/>
      <c r="U86" s="186"/>
      <c r="W86" s="187"/>
      <c r="X86" s="187"/>
    </row>
    <row r="87" spans="1:25" s="184" customFormat="1" ht="12.75">
      <c r="A87" s="499" t="s">
        <v>225</v>
      </c>
      <c r="B87" s="496"/>
      <c r="C87" s="496" t="s">
        <v>226</v>
      </c>
      <c r="D87" s="185"/>
      <c r="E87" s="185"/>
      <c r="F87" s="185"/>
      <c r="G87" s="185"/>
      <c r="Q87" s="495"/>
      <c r="R87" s="500"/>
      <c r="S87" s="498"/>
      <c r="T87" s="497"/>
      <c r="U87" s="186"/>
      <c r="W87" s="187"/>
      <c r="X87" s="187"/>
    </row>
    <row r="88" spans="1:25" s="184" customFormat="1" ht="12.75">
      <c r="A88" s="188"/>
      <c r="B88" s="501"/>
      <c r="C88" s="501" t="s">
        <v>227</v>
      </c>
      <c r="D88" s="190"/>
      <c r="E88" s="190"/>
      <c r="F88" s="190"/>
      <c r="G88" s="190"/>
      <c r="H88" s="189"/>
      <c r="I88" s="189"/>
      <c r="J88" s="189"/>
      <c r="K88" s="189"/>
      <c r="L88" s="189"/>
      <c r="M88" s="189"/>
      <c r="N88" s="189"/>
      <c r="O88" s="189"/>
      <c r="P88" s="189"/>
      <c r="Q88" s="502"/>
      <c r="R88" s="503"/>
      <c r="S88" s="504"/>
      <c r="T88" s="505"/>
      <c r="U88" s="191"/>
      <c r="W88" s="187"/>
      <c r="X88" s="187"/>
    </row>
    <row r="89" spans="1:25" s="184" customFormat="1" ht="12.75">
      <c r="B89" s="496"/>
      <c r="D89" s="185"/>
      <c r="E89" s="185"/>
      <c r="F89" s="185"/>
      <c r="G89" s="185"/>
      <c r="Q89" s="185"/>
      <c r="R89" s="185"/>
      <c r="S89" s="498"/>
      <c r="T89" s="497"/>
      <c r="U89" s="185"/>
      <c r="W89" s="187"/>
      <c r="X89" s="187"/>
    </row>
    <row r="90" spans="1:25" ht="15">
      <c r="A90" s="88" t="s">
        <v>250</v>
      </c>
      <c r="B90" s="506"/>
      <c r="C90" s="369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69"/>
      <c r="P90" s="372"/>
      <c r="Q90" s="372"/>
      <c r="R90" s="372"/>
      <c r="S90" s="277"/>
      <c r="T90" s="278"/>
      <c r="Y90" s="200" t="s">
        <v>319</v>
      </c>
    </row>
    <row r="91" spans="1:25" ht="15">
      <c r="A91" s="88" t="s">
        <v>251</v>
      </c>
      <c r="B91" s="507"/>
      <c r="C91" s="277"/>
      <c r="D91" s="278"/>
      <c r="E91" s="278"/>
      <c r="F91" s="278"/>
      <c r="G91" s="278"/>
      <c r="H91" s="278"/>
      <c r="I91" s="278"/>
      <c r="J91" s="278"/>
      <c r="K91" s="278"/>
      <c r="L91" s="278"/>
      <c r="M91" s="278"/>
      <c r="N91" s="278"/>
      <c r="O91" s="277"/>
      <c r="P91" s="278"/>
      <c r="Q91" s="278"/>
      <c r="R91" s="278"/>
      <c r="S91" s="277"/>
      <c r="T91" s="278"/>
      <c r="Y91" s="200" t="s">
        <v>320</v>
      </c>
    </row>
  </sheetData>
  <mergeCells count="2">
    <mergeCell ref="D6:T6"/>
    <mergeCell ref="V6:X6"/>
  </mergeCells>
  <pageMargins left="0.7" right="0.7" top="0.75" bottom="0.75" header="0.3" footer="0.3"/>
  <pageSetup scale="40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043B-8E9A-4788-8798-AF8B35A8BDFD}">
  <sheetPr codeName="Sheet10">
    <pageSetUpPr fitToPage="1"/>
  </sheetPr>
  <dimension ref="A1:E45"/>
  <sheetViews>
    <sheetView view="pageBreakPreview" zoomScale="60" zoomScaleNormal="100" zoomScalePageLayoutView="66" workbookViewId="0"/>
  </sheetViews>
  <sheetFormatPr defaultColWidth="10" defaultRowHeight="12.75"/>
  <cols>
    <col min="1" max="1" width="24.5703125" bestFit="1" customWidth="1"/>
    <col min="2" max="2" width="46" customWidth="1"/>
    <col min="3" max="3" width="12.28515625" customWidth="1"/>
    <col min="4" max="5" width="14.140625" customWidth="1"/>
  </cols>
  <sheetData>
    <row r="1" spans="1:5">
      <c r="A1" t="s">
        <v>245</v>
      </c>
      <c r="E1" s="200" t="s">
        <v>274</v>
      </c>
    </row>
    <row r="2" spans="1:5">
      <c r="A2" t="s">
        <v>246</v>
      </c>
      <c r="E2" s="200" t="s">
        <v>275</v>
      </c>
    </row>
    <row r="3" spans="1:5">
      <c r="A3" t="s">
        <v>247</v>
      </c>
      <c r="E3" s="216" t="s">
        <v>259</v>
      </c>
    </row>
    <row r="4" spans="1:5" ht="14.25">
      <c r="A4" s="552"/>
      <c r="B4" s="552"/>
      <c r="C4" s="552"/>
      <c r="D4" s="552"/>
      <c r="E4" s="552"/>
    </row>
    <row r="5" spans="1:5">
      <c r="A5" s="91" t="s">
        <v>228</v>
      </c>
      <c r="B5" s="88"/>
      <c r="C5" s="88"/>
    </row>
    <row r="6" spans="1:5">
      <c r="A6" s="91"/>
      <c r="B6" s="508"/>
      <c r="C6" s="88"/>
    </row>
    <row r="7" spans="1:5">
      <c r="A7" s="88"/>
      <c r="B7" s="88"/>
      <c r="C7" s="88"/>
    </row>
    <row r="8" spans="1:5">
      <c r="A8" s="192"/>
      <c r="B8" s="193"/>
      <c r="C8" s="193"/>
      <c r="D8" s="193"/>
      <c r="E8" s="193"/>
    </row>
    <row r="9" spans="1:5">
      <c r="A9" s="171" t="s">
        <v>229</v>
      </c>
      <c r="B9" s="172" t="s">
        <v>1</v>
      </c>
      <c r="C9" s="172"/>
      <c r="D9" s="362"/>
      <c r="E9" s="509"/>
    </row>
    <row r="10" spans="1:5">
      <c r="A10" s="157" t="s">
        <v>91</v>
      </c>
      <c r="B10" s="339" t="s">
        <v>230</v>
      </c>
      <c r="C10" s="194"/>
      <c r="E10" s="219"/>
    </row>
    <row r="11" spans="1:5" ht="7.5" customHeight="1">
      <c r="A11" s="157"/>
      <c r="B11" s="194"/>
      <c r="C11" s="194"/>
      <c r="E11" s="219"/>
    </row>
    <row r="12" spans="1:5" ht="7.5" customHeight="1">
      <c r="A12" s="154"/>
      <c r="B12" s="195"/>
      <c r="C12" s="195"/>
      <c r="D12" s="201"/>
      <c r="E12" s="510"/>
    </row>
    <row r="13" spans="1:5" ht="7.5" customHeight="1">
      <c r="A13" s="149"/>
      <c r="B13" s="172"/>
      <c r="C13" s="172"/>
      <c r="D13" s="362"/>
      <c r="E13" s="509"/>
    </row>
    <row r="14" spans="1:5">
      <c r="A14" s="196" t="s">
        <v>231</v>
      </c>
      <c r="B14" s="194" t="s">
        <v>21</v>
      </c>
      <c r="C14" s="197" t="s">
        <v>232</v>
      </c>
      <c r="D14" s="197" t="s">
        <v>157</v>
      </c>
      <c r="E14" s="219"/>
    </row>
    <row r="15" spans="1:5">
      <c r="A15" s="157" t="s">
        <v>233</v>
      </c>
      <c r="B15" s="88" t="s">
        <v>234</v>
      </c>
      <c r="C15" s="156">
        <v>455</v>
      </c>
      <c r="D15" s="511" t="s">
        <v>91</v>
      </c>
      <c r="E15" s="219"/>
    </row>
    <row r="16" spans="1:5">
      <c r="A16" s="157"/>
      <c r="B16" s="88" t="s">
        <v>235</v>
      </c>
      <c r="C16" s="156">
        <v>456</v>
      </c>
      <c r="D16" s="511" t="s">
        <v>91</v>
      </c>
      <c r="E16" s="219"/>
    </row>
    <row r="17" spans="1:5">
      <c r="A17" s="157"/>
      <c r="B17" s="88" t="s">
        <v>236</v>
      </c>
      <c r="C17" s="156">
        <v>460</v>
      </c>
      <c r="D17" s="511" t="s">
        <v>91</v>
      </c>
      <c r="E17" s="219"/>
    </row>
    <row r="18" spans="1:5" ht="14.25">
      <c r="A18" s="157"/>
      <c r="B18" s="88" t="s">
        <v>312</v>
      </c>
      <c r="C18" s="156">
        <v>466</v>
      </c>
      <c r="D18" s="512" t="s">
        <v>91</v>
      </c>
      <c r="E18" s="513"/>
    </row>
    <row r="19" spans="1:5" ht="14.25">
      <c r="A19" s="157"/>
      <c r="B19" s="88" t="s">
        <v>313</v>
      </c>
      <c r="C19" s="156">
        <v>467</v>
      </c>
      <c r="D19" s="512" t="s">
        <v>91</v>
      </c>
      <c r="E19" s="513"/>
    </row>
    <row r="20" spans="1:5">
      <c r="A20" s="157"/>
      <c r="B20" s="88"/>
      <c r="C20" s="88"/>
      <c r="E20" s="219"/>
    </row>
    <row r="21" spans="1:5">
      <c r="A21" s="198" t="s">
        <v>140</v>
      </c>
      <c r="B21" s="88" t="s">
        <v>33</v>
      </c>
      <c r="C21" s="156">
        <v>457</v>
      </c>
      <c r="D21" s="511" t="s">
        <v>91</v>
      </c>
      <c r="E21" s="219"/>
    </row>
    <row r="22" spans="1:5">
      <c r="A22" s="157"/>
      <c r="B22" s="88"/>
      <c r="C22" s="88"/>
      <c r="E22" s="219"/>
    </row>
    <row r="23" spans="1:5">
      <c r="A23" s="157" t="s">
        <v>141</v>
      </c>
      <c r="B23" s="88" t="s">
        <v>237</v>
      </c>
      <c r="C23" s="156">
        <f>+C21</f>
        <v>457</v>
      </c>
      <c r="D23" s="511" t="s">
        <v>91</v>
      </c>
      <c r="E23" s="219"/>
    </row>
    <row r="24" spans="1:5">
      <c r="A24" s="157"/>
      <c r="B24" s="88" t="s">
        <v>238</v>
      </c>
      <c r="C24" s="156">
        <f>+C23</f>
        <v>457</v>
      </c>
      <c r="D24" s="511" t="s">
        <v>91</v>
      </c>
      <c r="E24" s="219"/>
    </row>
    <row r="25" spans="1:5">
      <c r="A25" s="157"/>
      <c r="B25" s="88" t="s">
        <v>239</v>
      </c>
      <c r="C25" s="156">
        <f>+C24</f>
        <v>457</v>
      </c>
      <c r="D25" s="511" t="s">
        <v>91</v>
      </c>
      <c r="E25" s="219"/>
    </row>
    <row r="26" spans="1:5" ht="25.5">
      <c r="A26" s="157"/>
      <c r="B26" s="199" t="s">
        <v>240</v>
      </c>
      <c r="C26" s="156">
        <f>+C25</f>
        <v>457</v>
      </c>
      <c r="D26" s="511" t="s">
        <v>91</v>
      </c>
      <c r="E26" s="219"/>
    </row>
    <row r="27" spans="1:5">
      <c r="A27" s="157"/>
      <c r="B27" s="88"/>
      <c r="C27" s="88"/>
      <c r="E27" s="219"/>
    </row>
    <row r="28" spans="1:5">
      <c r="A28" s="157" t="s">
        <v>143</v>
      </c>
      <c r="B28" s="88" t="s">
        <v>34</v>
      </c>
      <c r="C28" s="156">
        <f>+C26</f>
        <v>457</v>
      </c>
      <c r="D28" s="511" t="s">
        <v>91</v>
      </c>
      <c r="E28" s="219"/>
    </row>
    <row r="29" spans="1:5" ht="25.5">
      <c r="A29" s="157"/>
      <c r="B29" s="199" t="s">
        <v>241</v>
      </c>
      <c r="C29" s="156">
        <f>+C28</f>
        <v>457</v>
      </c>
      <c r="D29" s="511" t="s">
        <v>91</v>
      </c>
      <c r="E29" s="219"/>
    </row>
    <row r="30" spans="1:5">
      <c r="A30" s="157"/>
      <c r="B30" s="88"/>
      <c r="C30" s="88"/>
      <c r="E30" s="219"/>
    </row>
    <row r="31" spans="1:5" ht="5.65" customHeight="1">
      <c r="A31" s="157" t="s">
        <v>153</v>
      </c>
      <c r="B31" s="88" t="s">
        <v>242</v>
      </c>
      <c r="C31" s="156">
        <v>458</v>
      </c>
      <c r="D31" s="511" t="s">
        <v>91</v>
      </c>
      <c r="E31" s="219"/>
    </row>
    <row r="32" spans="1:5">
      <c r="A32" s="157"/>
      <c r="B32" s="88" t="s">
        <v>243</v>
      </c>
      <c r="C32" s="156">
        <v>459</v>
      </c>
      <c r="D32" s="511" t="s">
        <v>91</v>
      </c>
      <c r="E32" s="219"/>
    </row>
    <row r="33" spans="1:5">
      <c r="A33" s="154"/>
      <c r="B33" s="176"/>
      <c r="C33" s="176"/>
      <c r="D33" s="201"/>
      <c r="E33" s="510"/>
    </row>
    <row r="34" spans="1:5">
      <c r="A34" s="179"/>
      <c r="B34" s="179"/>
      <c r="C34" s="179"/>
      <c r="D34" s="362"/>
      <c r="E34" s="362"/>
    </row>
    <row r="35" spans="1:5">
      <c r="A35" s="88" t="s">
        <v>250</v>
      </c>
      <c r="B35" s="88"/>
      <c r="C35" s="88"/>
      <c r="E35" s="200" t="s">
        <v>295</v>
      </c>
    </row>
    <row r="36" spans="1:5">
      <c r="A36" s="88" t="s">
        <v>251</v>
      </c>
      <c r="B36" s="88"/>
      <c r="C36" s="88"/>
      <c r="E36" s="200" t="s">
        <v>296</v>
      </c>
    </row>
    <row r="38" spans="1:5">
      <c r="A38" s="339"/>
    </row>
    <row r="42" spans="1:5">
      <c r="C42" s="338"/>
    </row>
    <row r="43" spans="1:5">
      <c r="C43" s="338"/>
    </row>
    <row r="44" spans="1:5">
      <c r="C44" s="338"/>
    </row>
    <row r="45" spans="1:5">
      <c r="C45" s="338"/>
    </row>
  </sheetData>
  <mergeCells count="1">
    <mergeCell ref="A4:E4"/>
  </mergeCells>
  <pageMargins left="0.7" right="0.7" top="0.75" bottom="0.75" header="0.3" footer="0.3"/>
  <pageSetup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A938013A761D4D866CDD96FD68364E" ma:contentTypeVersion="3" ma:contentTypeDescription="Create a new document." ma:contentTypeScope="" ma:versionID="8a7e6af27f25f169cc000d6f2dd3ce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cc10a156eb2aa295318eab019ded2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9ABF58-9A77-4FF9-A60D-9759908C74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BE53D87-D574-4CE2-8C66-BE2A86539389}">
  <ds:schemaRefs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9F96F55-DD8F-4DD5-9889-4155DD2C96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HP-RES</vt:lpstr>
      <vt:lpstr>HP-RES LI</vt:lpstr>
      <vt:lpstr>' Rate Change Summary'!Print_Area</vt:lpstr>
      <vt:lpstr>'HP-RES'!Print_Area</vt:lpstr>
      <vt:lpstr>'HP-RES LI'!Print_Area</vt:lpstr>
      <vt:lpstr>'Part A Delivery Rates '!Print_Area</vt:lpstr>
      <vt:lpstr>'Part B Outdoor Lighting '!Print_Area</vt:lpstr>
      <vt:lpstr>'Part B Reconciling Rates '!Print_Area</vt:lpstr>
      <vt:lpstr>'Part C Basic Service '!Print_Area</vt:lpstr>
      <vt:lpstr>'Part D EV-DCA'!Print_Area</vt:lpstr>
      <vt:lpstr>'Part E Appendix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David Heintz</dc:creator>
  <cp:lastModifiedBy>Goulding, Christopher</cp:lastModifiedBy>
  <cp:lastPrinted>2026-02-27T20:33:59Z</cp:lastPrinted>
  <dcterms:created xsi:type="dcterms:W3CDTF">2010-01-19T18:40:51Z</dcterms:created>
  <dcterms:modified xsi:type="dcterms:W3CDTF">2026-06-12T19:41:37Z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{3C299F93-4024-4040-889A-64EDB4C8B649}</vt:lpwstr>
  </property>
  <property fmtid="{D5CDD505-2E9C-101B-9397-08002B2CF9AE}" pid="3" name="ContentTypeId">
    <vt:lpwstr>0x01010047A938013A761D4D866CDD96FD68364E</vt:lpwstr>
  </property>
  <property fmtid="{D5CDD505-2E9C-101B-9397-08002B2CF9AE}" pid="4" name="MediaServiceImageTags">
    <vt:lpwstr/>
  </property>
</Properties>
</file>