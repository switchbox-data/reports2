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xr:revisionPtr revIDLastSave="0" documentId="8_{7525AC2C-7D85-4607-B782-4B6D2051BE56}" xr6:coauthVersionLast="36" xr6:coauthVersionMax="36" xr10:uidLastSave="{00000000-0000-0000-0000-000000000000}"/>
  <bookViews>
    <workbookView xWindow="-108" yWindow="-108" windowWidth="23256" windowHeight="13896" xr2:uid="{4973391D-8EF4-4D32-B34F-F72871047F21}"/>
  </bookViews>
  <sheets>
    <sheet name="Summary Electric Increase" sheetId="9" r:id="rId1"/>
    <sheet name="Data==&gt;" sheetId="11" r:id="rId2"/>
    <sheet name="Electric" sheetId="2" r:id="rId3"/>
    <sheet name="Data Org ==&gt;" sheetId="12" r:id="rId4"/>
    <sheet name="Electric Calendarize" sheetId="10" r:id="rId5"/>
    <sheet name="lookups" sheetId="7" r:id="rId6"/>
  </sheets>
  <definedNames>
    <definedName name="_xlnm._FilterDatabase" localSheetId="2" hidden="1">Electric!$A$1:$AJ$265</definedName>
    <definedName name="BeforeUseE">Electric!$M$2:$X$265</definedName>
    <definedName name="_xlnm.Print_Area" localSheetId="0">'Summary Electric Increase'!$A$1:$R$50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9" l="1"/>
  <c r="H29" i="9"/>
  <c r="J29" i="9"/>
  <c r="E30" i="9"/>
  <c r="H30" i="9"/>
  <c r="J30" i="9"/>
  <c r="E31" i="9"/>
  <c r="H31" i="9"/>
  <c r="J31" i="9"/>
  <c r="E32" i="9"/>
  <c r="H32" i="9"/>
  <c r="J32" i="9"/>
  <c r="E33" i="9"/>
  <c r="H33" i="9"/>
  <c r="J33" i="9"/>
  <c r="E34" i="9"/>
  <c r="H34" i="9"/>
  <c r="J34" i="9"/>
  <c r="E35" i="9"/>
  <c r="H35" i="9"/>
  <c r="J35" i="9"/>
  <c r="E36" i="9"/>
  <c r="H36" i="9"/>
  <c r="J36" i="9"/>
  <c r="E37" i="9"/>
  <c r="H37" i="9"/>
  <c r="J37" i="9"/>
  <c r="E38" i="9"/>
  <c r="H38" i="9"/>
  <c r="J38" i="9"/>
  <c r="E39" i="9"/>
  <c r="H39" i="9"/>
  <c r="J39" i="9"/>
  <c r="E7" i="9"/>
  <c r="H7" i="9"/>
  <c r="J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1" i="9" s="1"/>
  <c r="A42" i="9" s="1"/>
  <c r="E8" i="9"/>
  <c r="H8" i="9"/>
  <c r="J8" i="9"/>
  <c r="E9" i="9"/>
  <c r="H9" i="9"/>
  <c r="J9" i="9"/>
  <c r="E10" i="9"/>
  <c r="H10" i="9"/>
  <c r="J10" i="9"/>
  <c r="E11" i="9"/>
  <c r="H11" i="9"/>
  <c r="J11" i="9"/>
  <c r="E12" i="9"/>
  <c r="H12" i="9"/>
  <c r="J12" i="9"/>
  <c r="J7" i="7"/>
  <c r="J13" i="7"/>
  <c r="J19" i="7"/>
  <c r="J25" i="7"/>
  <c r="O6" i="7"/>
  <c r="N6" i="7"/>
  <c r="O5" i="7"/>
  <c r="N5" i="7"/>
  <c r="O4" i="7"/>
  <c r="N4" i="7"/>
  <c r="J16" i="7"/>
  <c r="J10" i="7"/>
  <c r="J4" i="7"/>
  <c r="J23" i="7"/>
  <c r="J17" i="7"/>
  <c r="J11" i="7"/>
  <c r="J5" i="7"/>
  <c r="J24" i="7"/>
  <c r="J18" i="7"/>
  <c r="J12" i="7"/>
  <c r="J6" i="7"/>
  <c r="J26" i="7"/>
  <c r="J20" i="7"/>
  <c r="J14" i="7"/>
  <c r="J8" i="7"/>
  <c r="J27" i="7"/>
  <c r="J21" i="7"/>
  <c r="J15" i="7"/>
  <c r="J9" i="7"/>
  <c r="J22" i="7"/>
  <c r="H13" i="9"/>
  <c r="J13" i="9"/>
  <c r="H14" i="9"/>
  <c r="J14" i="9"/>
  <c r="H15" i="9"/>
  <c r="J15" i="9"/>
  <c r="H16" i="9"/>
  <c r="J16" i="9"/>
  <c r="H17" i="9"/>
  <c r="J17" i="9"/>
  <c r="H18" i="9"/>
  <c r="J18" i="9"/>
  <c r="H19" i="9"/>
  <c r="J19" i="9"/>
  <c r="H20" i="9"/>
  <c r="J20" i="9"/>
  <c r="H21" i="9"/>
  <c r="J21" i="9"/>
  <c r="H22" i="9"/>
  <c r="J22" i="9"/>
  <c r="H23" i="9"/>
  <c r="J23" i="9"/>
  <c r="H24" i="9"/>
  <c r="J24" i="9"/>
  <c r="H25" i="9"/>
  <c r="J25" i="9"/>
  <c r="H26" i="9"/>
  <c r="J26" i="9"/>
  <c r="H27" i="9"/>
  <c r="J27" i="9"/>
  <c r="H28" i="9"/>
  <c r="J28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GU274" i="10"/>
  <c r="GT274" i="10"/>
  <c r="GS274" i="10"/>
  <c r="GR274" i="10"/>
  <c r="GQ274" i="10"/>
  <c r="GP274" i="10"/>
  <c r="GO274" i="10"/>
  <c r="GN274" i="10"/>
  <c r="GM274" i="10"/>
  <c r="GL274" i="10"/>
  <c r="GK274" i="10"/>
  <c r="GJ274" i="10"/>
  <c r="GI274" i="10"/>
  <c r="GH274" i="10"/>
  <c r="GG274" i="10"/>
  <c r="GF274" i="10"/>
  <c r="GE274" i="10"/>
  <c r="GD274" i="10"/>
  <c r="GC274" i="10"/>
  <c r="GB274" i="10"/>
  <c r="GA274" i="10"/>
  <c r="FZ274" i="10"/>
  <c r="FY274" i="10"/>
  <c r="FX274" i="10"/>
  <c r="FW274" i="10"/>
  <c r="FV274" i="10"/>
  <c r="FU274" i="10"/>
  <c r="FT274" i="10"/>
  <c r="FS274" i="10"/>
  <c r="FR274" i="10"/>
  <c r="FQ274" i="10"/>
  <c r="FP274" i="10"/>
  <c r="FO274" i="10"/>
  <c r="FN274" i="10"/>
  <c r="FM274" i="10"/>
  <c r="FL274" i="10"/>
  <c r="FK274" i="10"/>
  <c r="FJ274" i="10"/>
  <c r="FI274" i="10"/>
  <c r="FH274" i="10"/>
  <c r="FG274" i="10"/>
  <c r="FF274" i="10"/>
  <c r="FE274" i="10"/>
  <c r="FD274" i="10"/>
  <c r="FC274" i="10"/>
  <c r="GU273" i="10"/>
  <c r="GT273" i="10"/>
  <c r="GS273" i="10"/>
  <c r="GR273" i="10"/>
  <c r="GQ273" i="10"/>
  <c r="GP273" i="10"/>
  <c r="GO273" i="10"/>
  <c r="GN273" i="10"/>
  <c r="GM273" i="10"/>
  <c r="GL273" i="10"/>
  <c r="GK273" i="10"/>
  <c r="GJ273" i="10"/>
  <c r="GI273" i="10"/>
  <c r="GH273" i="10"/>
  <c r="GG273" i="10"/>
  <c r="GF273" i="10"/>
  <c r="GE273" i="10"/>
  <c r="GD273" i="10"/>
  <c r="GC273" i="10"/>
  <c r="GB273" i="10"/>
  <c r="GA273" i="10"/>
  <c r="FZ273" i="10"/>
  <c r="FY273" i="10"/>
  <c r="FX273" i="10"/>
  <c r="FW273" i="10"/>
  <c r="FV273" i="10"/>
  <c r="FU273" i="10"/>
  <c r="FT273" i="10"/>
  <c r="FS273" i="10"/>
  <c r="FR273" i="10"/>
  <c r="FQ273" i="10"/>
  <c r="FP273" i="10"/>
  <c r="FO273" i="10"/>
  <c r="FN273" i="10"/>
  <c r="FM273" i="10"/>
  <c r="FL273" i="10"/>
  <c r="FK273" i="10"/>
  <c r="FJ273" i="10"/>
  <c r="FI273" i="10"/>
  <c r="FH273" i="10"/>
  <c r="FG273" i="10"/>
  <c r="FF273" i="10"/>
  <c r="FE273" i="10"/>
  <c r="FD273" i="10"/>
  <c r="FC273" i="10"/>
  <c r="GU272" i="10"/>
  <c r="GT272" i="10"/>
  <c r="GS272" i="10"/>
  <c r="GR272" i="10"/>
  <c r="GQ272" i="10"/>
  <c r="GP272" i="10"/>
  <c r="GO272" i="10"/>
  <c r="GN272" i="10"/>
  <c r="GM272" i="10"/>
  <c r="GL272" i="10"/>
  <c r="GK272" i="10"/>
  <c r="GJ272" i="10"/>
  <c r="GI272" i="10"/>
  <c r="GH272" i="10"/>
  <c r="GG272" i="10"/>
  <c r="GF272" i="10"/>
  <c r="GE272" i="10"/>
  <c r="GD272" i="10"/>
  <c r="GC272" i="10"/>
  <c r="GB272" i="10"/>
  <c r="GA272" i="10"/>
  <c r="FZ272" i="10"/>
  <c r="FY272" i="10"/>
  <c r="FX272" i="10"/>
  <c r="FW272" i="10"/>
  <c r="FV272" i="10"/>
  <c r="FU272" i="10"/>
  <c r="FT272" i="10"/>
  <c r="FS272" i="10"/>
  <c r="FR272" i="10"/>
  <c r="FQ272" i="10"/>
  <c r="FP272" i="10"/>
  <c r="FO272" i="10"/>
  <c r="FN272" i="10"/>
  <c r="FM272" i="10"/>
  <c r="FL272" i="10"/>
  <c r="FK272" i="10"/>
  <c r="FJ272" i="10"/>
  <c r="FI272" i="10"/>
  <c r="FH272" i="10"/>
  <c r="FG272" i="10"/>
  <c r="FF272" i="10"/>
  <c r="FE272" i="10"/>
  <c r="FD272" i="10"/>
  <c r="FC272" i="10"/>
  <c r="GU271" i="10"/>
  <c r="GT271" i="10"/>
  <c r="GS271" i="10"/>
  <c r="GR271" i="10"/>
  <c r="GQ271" i="10"/>
  <c r="GP271" i="10"/>
  <c r="GO271" i="10"/>
  <c r="GN271" i="10"/>
  <c r="GM271" i="10"/>
  <c r="GL271" i="10"/>
  <c r="GK271" i="10"/>
  <c r="GJ271" i="10"/>
  <c r="GI271" i="10"/>
  <c r="GH271" i="10"/>
  <c r="GG271" i="10"/>
  <c r="GF271" i="10"/>
  <c r="GE271" i="10"/>
  <c r="GD271" i="10"/>
  <c r="GC271" i="10"/>
  <c r="GB271" i="10"/>
  <c r="GA271" i="10"/>
  <c r="FZ271" i="10"/>
  <c r="FY271" i="10"/>
  <c r="FX271" i="10"/>
  <c r="FW271" i="10"/>
  <c r="FV271" i="10"/>
  <c r="FU271" i="10"/>
  <c r="FT271" i="10"/>
  <c r="FS271" i="10"/>
  <c r="FR271" i="10"/>
  <c r="FQ271" i="10"/>
  <c r="FP271" i="10"/>
  <c r="FO271" i="10"/>
  <c r="FN271" i="10"/>
  <c r="FM271" i="10"/>
  <c r="FL271" i="10"/>
  <c r="FK271" i="10"/>
  <c r="FJ271" i="10"/>
  <c r="FI271" i="10"/>
  <c r="FH271" i="10"/>
  <c r="FG271" i="10"/>
  <c r="FF271" i="10"/>
  <c r="FE271" i="10"/>
  <c r="FD271" i="10"/>
  <c r="FC271" i="10"/>
  <c r="GU270" i="10"/>
  <c r="GT270" i="10"/>
  <c r="GS270" i="10"/>
  <c r="GR270" i="10"/>
  <c r="GQ270" i="10"/>
  <c r="GP270" i="10"/>
  <c r="GO270" i="10"/>
  <c r="GN270" i="10"/>
  <c r="GM270" i="10"/>
  <c r="GL270" i="10"/>
  <c r="GK270" i="10"/>
  <c r="GJ270" i="10"/>
  <c r="GI270" i="10"/>
  <c r="GH270" i="10"/>
  <c r="GG270" i="10"/>
  <c r="GF270" i="10"/>
  <c r="GE270" i="10"/>
  <c r="GD270" i="10"/>
  <c r="GC270" i="10"/>
  <c r="GB270" i="10"/>
  <c r="GA270" i="10"/>
  <c r="FZ270" i="10"/>
  <c r="FY270" i="10"/>
  <c r="FX270" i="10"/>
  <c r="FW270" i="10"/>
  <c r="FV270" i="10"/>
  <c r="FU270" i="10"/>
  <c r="FT270" i="10"/>
  <c r="FS270" i="10"/>
  <c r="FR270" i="10"/>
  <c r="FQ270" i="10"/>
  <c r="FP270" i="10"/>
  <c r="FO270" i="10"/>
  <c r="FN270" i="10"/>
  <c r="FM270" i="10"/>
  <c r="FL270" i="10"/>
  <c r="FK270" i="10"/>
  <c r="FJ270" i="10"/>
  <c r="FI270" i="10"/>
  <c r="FH270" i="10"/>
  <c r="FG270" i="10"/>
  <c r="FF270" i="10"/>
  <c r="FE270" i="10"/>
  <c r="FD270" i="10"/>
  <c r="FC270" i="10"/>
  <c r="GU269" i="10"/>
  <c r="GT269" i="10"/>
  <c r="GS269" i="10"/>
  <c r="GR269" i="10"/>
  <c r="GQ269" i="10"/>
  <c r="GP269" i="10"/>
  <c r="GO269" i="10"/>
  <c r="GN269" i="10"/>
  <c r="GM269" i="10"/>
  <c r="GL269" i="10"/>
  <c r="GK269" i="10"/>
  <c r="GJ269" i="10"/>
  <c r="GI269" i="10"/>
  <c r="GH269" i="10"/>
  <c r="GG269" i="10"/>
  <c r="GF269" i="10"/>
  <c r="GE269" i="10"/>
  <c r="GD269" i="10"/>
  <c r="GC269" i="10"/>
  <c r="GB269" i="10"/>
  <c r="GA269" i="10"/>
  <c r="FZ269" i="10"/>
  <c r="FY269" i="10"/>
  <c r="FX269" i="10"/>
  <c r="FW269" i="10"/>
  <c r="FV269" i="10"/>
  <c r="FU269" i="10"/>
  <c r="FT269" i="10"/>
  <c r="FS269" i="10"/>
  <c r="FR269" i="10"/>
  <c r="FQ269" i="10"/>
  <c r="FP269" i="10"/>
  <c r="FO269" i="10"/>
  <c r="FN269" i="10"/>
  <c r="FM269" i="10"/>
  <c r="FL269" i="10"/>
  <c r="FK269" i="10"/>
  <c r="FJ269" i="10"/>
  <c r="FI269" i="10"/>
  <c r="FH269" i="10"/>
  <c r="FG269" i="10"/>
  <c r="FF269" i="10"/>
  <c r="FE269" i="10"/>
  <c r="FD269" i="10"/>
  <c r="FC269" i="10"/>
  <c r="GU268" i="10"/>
  <c r="GT268" i="10"/>
  <c r="GS268" i="10"/>
  <c r="GR268" i="10"/>
  <c r="GQ268" i="10"/>
  <c r="GP268" i="10"/>
  <c r="GO268" i="10"/>
  <c r="GN268" i="10"/>
  <c r="GM268" i="10"/>
  <c r="GL268" i="10"/>
  <c r="GK268" i="10"/>
  <c r="GJ268" i="10"/>
  <c r="GI268" i="10"/>
  <c r="GH268" i="10"/>
  <c r="GG268" i="10"/>
  <c r="GF268" i="10"/>
  <c r="GE268" i="10"/>
  <c r="GD268" i="10"/>
  <c r="GC268" i="10"/>
  <c r="GB268" i="10"/>
  <c r="GA268" i="10"/>
  <c r="FZ268" i="10"/>
  <c r="FY268" i="10"/>
  <c r="FX268" i="10"/>
  <c r="FW268" i="10"/>
  <c r="FV268" i="10"/>
  <c r="FU268" i="10"/>
  <c r="FT268" i="10"/>
  <c r="FS268" i="10"/>
  <c r="FR268" i="10"/>
  <c r="FQ268" i="10"/>
  <c r="FP268" i="10"/>
  <c r="FO268" i="10"/>
  <c r="FN268" i="10"/>
  <c r="FM268" i="10"/>
  <c r="FL268" i="10"/>
  <c r="FK268" i="10"/>
  <c r="FJ268" i="10"/>
  <c r="FI268" i="10"/>
  <c r="FH268" i="10"/>
  <c r="FG268" i="10"/>
  <c r="FF268" i="10"/>
  <c r="FE268" i="10"/>
  <c r="FD268" i="10"/>
  <c r="FC268" i="10"/>
  <c r="GU267" i="10"/>
  <c r="GT267" i="10"/>
  <c r="GS267" i="10"/>
  <c r="GR267" i="10"/>
  <c r="GQ267" i="10"/>
  <c r="GP267" i="10"/>
  <c r="GO267" i="10"/>
  <c r="GN267" i="10"/>
  <c r="GM267" i="10"/>
  <c r="GL267" i="10"/>
  <c r="GK267" i="10"/>
  <c r="GJ267" i="10"/>
  <c r="GI267" i="10"/>
  <c r="GH267" i="10"/>
  <c r="GG267" i="10"/>
  <c r="GF267" i="10"/>
  <c r="GE267" i="10"/>
  <c r="GD267" i="10"/>
  <c r="GC267" i="10"/>
  <c r="GB267" i="10"/>
  <c r="GA267" i="10"/>
  <c r="FZ267" i="10"/>
  <c r="FY267" i="10"/>
  <c r="FX267" i="10"/>
  <c r="FW267" i="10"/>
  <c r="FV267" i="10"/>
  <c r="FU267" i="10"/>
  <c r="FT267" i="10"/>
  <c r="FS267" i="10"/>
  <c r="FR267" i="10"/>
  <c r="FQ267" i="10"/>
  <c r="FP267" i="10"/>
  <c r="FO267" i="10"/>
  <c r="FN267" i="10"/>
  <c r="FM267" i="10"/>
  <c r="FL267" i="10"/>
  <c r="FK267" i="10"/>
  <c r="FJ267" i="10"/>
  <c r="FI267" i="10"/>
  <c r="FH267" i="10"/>
  <c r="FG267" i="10"/>
  <c r="FF267" i="10"/>
  <c r="FE267" i="10"/>
  <c r="FD267" i="10"/>
  <c r="FC267" i="10"/>
  <c r="GU266" i="10"/>
  <c r="GT266" i="10"/>
  <c r="GS266" i="10"/>
  <c r="GR266" i="10"/>
  <c r="GQ266" i="10"/>
  <c r="GP266" i="10"/>
  <c r="GO266" i="10"/>
  <c r="GN266" i="10"/>
  <c r="GM266" i="10"/>
  <c r="GL266" i="10"/>
  <c r="GK266" i="10"/>
  <c r="GJ266" i="10"/>
  <c r="GI266" i="10"/>
  <c r="GH266" i="10"/>
  <c r="GG266" i="10"/>
  <c r="GF266" i="10"/>
  <c r="GE266" i="10"/>
  <c r="GD266" i="10"/>
  <c r="GC266" i="10"/>
  <c r="GB266" i="10"/>
  <c r="GA266" i="10"/>
  <c r="FZ266" i="10"/>
  <c r="FY266" i="10"/>
  <c r="FX266" i="10"/>
  <c r="FW266" i="10"/>
  <c r="FV266" i="10"/>
  <c r="FU266" i="10"/>
  <c r="FT266" i="10"/>
  <c r="FS266" i="10"/>
  <c r="FR266" i="10"/>
  <c r="FQ266" i="10"/>
  <c r="FP266" i="10"/>
  <c r="FO266" i="10"/>
  <c r="FN266" i="10"/>
  <c r="FM266" i="10"/>
  <c r="FL266" i="10"/>
  <c r="FK266" i="10"/>
  <c r="FJ266" i="10"/>
  <c r="FI266" i="10"/>
  <c r="FH266" i="10"/>
  <c r="FG266" i="10"/>
  <c r="FF266" i="10"/>
  <c r="FE266" i="10"/>
  <c r="FD266" i="10"/>
  <c r="FC266" i="10"/>
  <c r="GU265" i="10"/>
  <c r="GT265" i="10"/>
  <c r="GS265" i="10"/>
  <c r="GR265" i="10"/>
  <c r="GQ265" i="10"/>
  <c r="GP265" i="10"/>
  <c r="GO265" i="10"/>
  <c r="GN265" i="10"/>
  <c r="GM265" i="10"/>
  <c r="GL265" i="10"/>
  <c r="GK265" i="10"/>
  <c r="GJ265" i="10"/>
  <c r="GI265" i="10"/>
  <c r="GH265" i="10"/>
  <c r="GG265" i="10"/>
  <c r="GF265" i="10"/>
  <c r="GE265" i="10"/>
  <c r="GD265" i="10"/>
  <c r="GC265" i="10"/>
  <c r="GB265" i="10"/>
  <c r="GA265" i="10"/>
  <c r="FZ265" i="10"/>
  <c r="FY265" i="10"/>
  <c r="FX265" i="10"/>
  <c r="FW265" i="10"/>
  <c r="FV265" i="10"/>
  <c r="FU265" i="10"/>
  <c r="FT265" i="10"/>
  <c r="FS265" i="10"/>
  <c r="FR265" i="10"/>
  <c r="FQ265" i="10"/>
  <c r="FP265" i="10"/>
  <c r="FO265" i="10"/>
  <c r="FN265" i="10"/>
  <c r="FM265" i="10"/>
  <c r="FL265" i="10"/>
  <c r="FK265" i="10"/>
  <c r="FJ265" i="10"/>
  <c r="FI265" i="10"/>
  <c r="FH265" i="10"/>
  <c r="FG265" i="10"/>
  <c r="FF265" i="10"/>
  <c r="FE265" i="10"/>
  <c r="FD265" i="10"/>
  <c r="FC265" i="10"/>
  <c r="GU264" i="10"/>
  <c r="GT264" i="10"/>
  <c r="GS264" i="10"/>
  <c r="GR264" i="10"/>
  <c r="GQ264" i="10"/>
  <c r="GP264" i="10"/>
  <c r="GO264" i="10"/>
  <c r="GN264" i="10"/>
  <c r="GM264" i="10"/>
  <c r="GL264" i="10"/>
  <c r="GK264" i="10"/>
  <c r="GJ264" i="10"/>
  <c r="GI264" i="10"/>
  <c r="GH264" i="10"/>
  <c r="GG264" i="10"/>
  <c r="GF264" i="10"/>
  <c r="GE264" i="10"/>
  <c r="GD264" i="10"/>
  <c r="GC264" i="10"/>
  <c r="GB264" i="10"/>
  <c r="GA264" i="10"/>
  <c r="FZ264" i="10"/>
  <c r="FY264" i="10"/>
  <c r="FX264" i="10"/>
  <c r="FW264" i="10"/>
  <c r="FV264" i="10"/>
  <c r="FU264" i="10"/>
  <c r="FT264" i="10"/>
  <c r="FS264" i="10"/>
  <c r="FR264" i="10"/>
  <c r="FQ264" i="10"/>
  <c r="FP264" i="10"/>
  <c r="FO264" i="10"/>
  <c r="FN264" i="10"/>
  <c r="FM264" i="10"/>
  <c r="FL264" i="10"/>
  <c r="FK264" i="10"/>
  <c r="FJ264" i="10"/>
  <c r="FI264" i="10"/>
  <c r="FH264" i="10"/>
  <c r="FG264" i="10"/>
  <c r="FF264" i="10"/>
  <c r="FE264" i="10"/>
  <c r="FD264" i="10"/>
  <c r="FC264" i="10"/>
  <c r="GU263" i="10"/>
  <c r="GT263" i="10"/>
  <c r="GS263" i="10"/>
  <c r="GR263" i="10"/>
  <c r="GQ263" i="10"/>
  <c r="GP263" i="10"/>
  <c r="GO263" i="10"/>
  <c r="GN263" i="10"/>
  <c r="GM263" i="10"/>
  <c r="GL263" i="10"/>
  <c r="GK263" i="10"/>
  <c r="GJ263" i="10"/>
  <c r="GI263" i="10"/>
  <c r="GH263" i="10"/>
  <c r="GG263" i="10"/>
  <c r="GF263" i="10"/>
  <c r="GE263" i="10"/>
  <c r="GD263" i="10"/>
  <c r="GC263" i="10"/>
  <c r="GB263" i="10"/>
  <c r="GA263" i="10"/>
  <c r="FZ263" i="10"/>
  <c r="FY263" i="10"/>
  <c r="FX263" i="10"/>
  <c r="FW263" i="10"/>
  <c r="FV263" i="10"/>
  <c r="FU263" i="10"/>
  <c r="FT263" i="10"/>
  <c r="FS263" i="10"/>
  <c r="FR263" i="10"/>
  <c r="FQ263" i="10"/>
  <c r="FP263" i="10"/>
  <c r="FO263" i="10"/>
  <c r="FN263" i="10"/>
  <c r="FM263" i="10"/>
  <c r="FL263" i="10"/>
  <c r="FK263" i="10"/>
  <c r="FJ263" i="10"/>
  <c r="FI263" i="10"/>
  <c r="FH263" i="10"/>
  <c r="FG263" i="10"/>
  <c r="FF263" i="10"/>
  <c r="FE263" i="10"/>
  <c r="FD263" i="10"/>
  <c r="FC263" i="10"/>
  <c r="GU262" i="10"/>
  <c r="GT262" i="10"/>
  <c r="GS262" i="10"/>
  <c r="GR262" i="10"/>
  <c r="GQ262" i="10"/>
  <c r="GP262" i="10"/>
  <c r="GO262" i="10"/>
  <c r="GN262" i="10"/>
  <c r="GM262" i="10"/>
  <c r="GL262" i="10"/>
  <c r="GK262" i="10"/>
  <c r="GJ262" i="10"/>
  <c r="GI262" i="10"/>
  <c r="GH262" i="10"/>
  <c r="GG262" i="10"/>
  <c r="GF262" i="10"/>
  <c r="GE262" i="10"/>
  <c r="GD262" i="10"/>
  <c r="GC262" i="10"/>
  <c r="GB262" i="10"/>
  <c r="GA262" i="10"/>
  <c r="FZ262" i="10"/>
  <c r="FY262" i="10"/>
  <c r="FX262" i="10"/>
  <c r="FW262" i="10"/>
  <c r="FV262" i="10"/>
  <c r="FU262" i="10"/>
  <c r="FT262" i="10"/>
  <c r="FS262" i="10"/>
  <c r="FR262" i="10"/>
  <c r="FQ262" i="10"/>
  <c r="FP262" i="10"/>
  <c r="FO262" i="10"/>
  <c r="FN262" i="10"/>
  <c r="FM262" i="10"/>
  <c r="FL262" i="10"/>
  <c r="FK262" i="10"/>
  <c r="FJ262" i="10"/>
  <c r="FI262" i="10"/>
  <c r="FH262" i="10"/>
  <c r="FG262" i="10"/>
  <c r="FF262" i="10"/>
  <c r="FE262" i="10"/>
  <c r="FD262" i="10"/>
  <c r="FC262" i="10"/>
  <c r="GU261" i="10"/>
  <c r="GT261" i="10"/>
  <c r="GS261" i="10"/>
  <c r="GR261" i="10"/>
  <c r="GQ261" i="10"/>
  <c r="GP261" i="10"/>
  <c r="GO261" i="10"/>
  <c r="GN261" i="10"/>
  <c r="GM261" i="10"/>
  <c r="GL261" i="10"/>
  <c r="GK261" i="10"/>
  <c r="GJ261" i="10"/>
  <c r="GI261" i="10"/>
  <c r="GH261" i="10"/>
  <c r="GG261" i="10"/>
  <c r="GF261" i="10"/>
  <c r="GE261" i="10"/>
  <c r="GD261" i="10"/>
  <c r="GC261" i="10"/>
  <c r="GB261" i="10"/>
  <c r="GA261" i="10"/>
  <c r="FZ261" i="10"/>
  <c r="FY261" i="10"/>
  <c r="FX261" i="10"/>
  <c r="FW261" i="10"/>
  <c r="FV261" i="10"/>
  <c r="FU261" i="10"/>
  <c r="FT261" i="10"/>
  <c r="FS261" i="10"/>
  <c r="FR261" i="10"/>
  <c r="FQ261" i="10"/>
  <c r="FP261" i="10"/>
  <c r="FO261" i="10"/>
  <c r="FN261" i="10"/>
  <c r="FM261" i="10"/>
  <c r="FL261" i="10"/>
  <c r="FK261" i="10"/>
  <c r="FJ261" i="10"/>
  <c r="FI261" i="10"/>
  <c r="FH261" i="10"/>
  <c r="FG261" i="10"/>
  <c r="FF261" i="10"/>
  <c r="FE261" i="10"/>
  <c r="FD261" i="10"/>
  <c r="FC261" i="10"/>
  <c r="GU260" i="10"/>
  <c r="GT260" i="10"/>
  <c r="GS260" i="10"/>
  <c r="GR260" i="10"/>
  <c r="GQ260" i="10"/>
  <c r="GP260" i="10"/>
  <c r="GO260" i="10"/>
  <c r="GN260" i="10"/>
  <c r="GM260" i="10"/>
  <c r="GL260" i="10"/>
  <c r="GK260" i="10"/>
  <c r="GJ260" i="10"/>
  <c r="GI260" i="10"/>
  <c r="GH260" i="10"/>
  <c r="GG260" i="10"/>
  <c r="GF260" i="10"/>
  <c r="GE260" i="10"/>
  <c r="GD260" i="10"/>
  <c r="GC260" i="10"/>
  <c r="GB260" i="10"/>
  <c r="GA260" i="10"/>
  <c r="FZ260" i="10"/>
  <c r="FY260" i="10"/>
  <c r="FX260" i="10"/>
  <c r="FW260" i="10"/>
  <c r="FV260" i="10"/>
  <c r="FU260" i="10"/>
  <c r="FT260" i="10"/>
  <c r="FS260" i="10"/>
  <c r="FR260" i="10"/>
  <c r="FQ260" i="10"/>
  <c r="FP260" i="10"/>
  <c r="FO260" i="10"/>
  <c r="FN260" i="10"/>
  <c r="FM260" i="10"/>
  <c r="FL260" i="10"/>
  <c r="FK260" i="10"/>
  <c r="FJ260" i="10"/>
  <c r="FI260" i="10"/>
  <c r="FH260" i="10"/>
  <c r="FG260" i="10"/>
  <c r="FF260" i="10"/>
  <c r="FE260" i="10"/>
  <c r="FD260" i="10"/>
  <c r="FC260" i="10"/>
  <c r="GU259" i="10"/>
  <c r="GT259" i="10"/>
  <c r="GS259" i="10"/>
  <c r="GR259" i="10"/>
  <c r="GQ259" i="10"/>
  <c r="GP259" i="10"/>
  <c r="GO259" i="10"/>
  <c r="GN259" i="10"/>
  <c r="GM259" i="10"/>
  <c r="GL259" i="10"/>
  <c r="GK259" i="10"/>
  <c r="GJ259" i="10"/>
  <c r="GI259" i="10"/>
  <c r="GH259" i="10"/>
  <c r="GG259" i="10"/>
  <c r="GF259" i="10"/>
  <c r="GE259" i="10"/>
  <c r="GD259" i="10"/>
  <c r="GC259" i="10"/>
  <c r="GB259" i="10"/>
  <c r="GA259" i="10"/>
  <c r="FZ259" i="10"/>
  <c r="FY259" i="10"/>
  <c r="FX259" i="10"/>
  <c r="FW259" i="10"/>
  <c r="FV259" i="10"/>
  <c r="FU259" i="10"/>
  <c r="FT259" i="10"/>
  <c r="FS259" i="10"/>
  <c r="FR259" i="10"/>
  <c r="FQ259" i="10"/>
  <c r="FP259" i="10"/>
  <c r="FO259" i="10"/>
  <c r="FN259" i="10"/>
  <c r="FM259" i="10"/>
  <c r="FL259" i="10"/>
  <c r="FK259" i="10"/>
  <c r="FJ259" i="10"/>
  <c r="FI259" i="10"/>
  <c r="FH259" i="10"/>
  <c r="FG259" i="10"/>
  <c r="FF259" i="10"/>
  <c r="FE259" i="10"/>
  <c r="FD259" i="10"/>
  <c r="FC259" i="10"/>
  <c r="GU258" i="10"/>
  <c r="GT258" i="10"/>
  <c r="GS258" i="10"/>
  <c r="GR258" i="10"/>
  <c r="GQ258" i="10"/>
  <c r="GP258" i="10"/>
  <c r="GO258" i="10"/>
  <c r="GN258" i="10"/>
  <c r="GM258" i="10"/>
  <c r="GL258" i="10"/>
  <c r="GK258" i="10"/>
  <c r="GJ258" i="10"/>
  <c r="GI258" i="10"/>
  <c r="GH258" i="10"/>
  <c r="GG258" i="10"/>
  <c r="GF258" i="10"/>
  <c r="GE258" i="10"/>
  <c r="GD258" i="10"/>
  <c r="GC258" i="10"/>
  <c r="GB258" i="10"/>
  <c r="GA258" i="10"/>
  <c r="FZ258" i="10"/>
  <c r="FY258" i="10"/>
  <c r="FX258" i="10"/>
  <c r="FW258" i="10"/>
  <c r="FV258" i="10"/>
  <c r="FU258" i="10"/>
  <c r="FT258" i="10"/>
  <c r="FS258" i="10"/>
  <c r="FR258" i="10"/>
  <c r="FQ258" i="10"/>
  <c r="FP258" i="10"/>
  <c r="FO258" i="10"/>
  <c r="FN258" i="10"/>
  <c r="FM258" i="10"/>
  <c r="FL258" i="10"/>
  <c r="FK258" i="10"/>
  <c r="FJ258" i="10"/>
  <c r="FI258" i="10"/>
  <c r="FH258" i="10"/>
  <c r="FG258" i="10"/>
  <c r="FF258" i="10"/>
  <c r="FE258" i="10"/>
  <c r="FD258" i="10"/>
  <c r="FC258" i="10"/>
  <c r="GU257" i="10"/>
  <c r="GT257" i="10"/>
  <c r="GS257" i="10"/>
  <c r="GR257" i="10"/>
  <c r="GQ257" i="10"/>
  <c r="GP257" i="10"/>
  <c r="GO257" i="10"/>
  <c r="GN257" i="10"/>
  <c r="GM257" i="10"/>
  <c r="GL257" i="10"/>
  <c r="GK257" i="10"/>
  <c r="GJ257" i="10"/>
  <c r="GI257" i="10"/>
  <c r="GH257" i="10"/>
  <c r="GG257" i="10"/>
  <c r="GF257" i="10"/>
  <c r="GE257" i="10"/>
  <c r="GD257" i="10"/>
  <c r="GC257" i="10"/>
  <c r="GB257" i="10"/>
  <c r="GA257" i="10"/>
  <c r="FZ257" i="10"/>
  <c r="FY257" i="10"/>
  <c r="FX257" i="10"/>
  <c r="FW257" i="10"/>
  <c r="FV257" i="10"/>
  <c r="FU257" i="10"/>
  <c r="FT257" i="10"/>
  <c r="FS257" i="10"/>
  <c r="FR257" i="10"/>
  <c r="FQ257" i="10"/>
  <c r="FP257" i="10"/>
  <c r="FO257" i="10"/>
  <c r="FN257" i="10"/>
  <c r="FM257" i="10"/>
  <c r="FL257" i="10"/>
  <c r="FK257" i="10"/>
  <c r="FJ257" i="10"/>
  <c r="FI257" i="10"/>
  <c r="FH257" i="10"/>
  <c r="FG257" i="10"/>
  <c r="FF257" i="10"/>
  <c r="FE257" i="10"/>
  <c r="FD257" i="10"/>
  <c r="FC257" i="10"/>
  <c r="GU256" i="10"/>
  <c r="GT256" i="10"/>
  <c r="GS256" i="10"/>
  <c r="GR256" i="10"/>
  <c r="GQ256" i="10"/>
  <c r="GP256" i="10"/>
  <c r="GO256" i="10"/>
  <c r="GN256" i="10"/>
  <c r="GM256" i="10"/>
  <c r="GL256" i="10"/>
  <c r="GK256" i="10"/>
  <c r="GJ256" i="10"/>
  <c r="GI256" i="10"/>
  <c r="GH256" i="10"/>
  <c r="GG256" i="10"/>
  <c r="GF256" i="10"/>
  <c r="GE256" i="10"/>
  <c r="GD256" i="10"/>
  <c r="GC256" i="10"/>
  <c r="GB256" i="10"/>
  <c r="GA256" i="10"/>
  <c r="FZ256" i="10"/>
  <c r="FY256" i="10"/>
  <c r="FX256" i="10"/>
  <c r="FW256" i="10"/>
  <c r="FV256" i="10"/>
  <c r="FU256" i="10"/>
  <c r="FT256" i="10"/>
  <c r="FS256" i="10"/>
  <c r="FR256" i="10"/>
  <c r="FQ256" i="10"/>
  <c r="FP256" i="10"/>
  <c r="FO256" i="10"/>
  <c r="FN256" i="10"/>
  <c r="FM256" i="10"/>
  <c r="FL256" i="10"/>
  <c r="FK256" i="10"/>
  <c r="FJ256" i="10"/>
  <c r="FI256" i="10"/>
  <c r="FH256" i="10"/>
  <c r="FG256" i="10"/>
  <c r="FF256" i="10"/>
  <c r="FE256" i="10"/>
  <c r="FD256" i="10"/>
  <c r="FC256" i="10"/>
  <c r="GU255" i="10"/>
  <c r="GT255" i="10"/>
  <c r="GS255" i="10"/>
  <c r="GR255" i="10"/>
  <c r="GQ255" i="10"/>
  <c r="GP255" i="10"/>
  <c r="GO255" i="10"/>
  <c r="GN255" i="10"/>
  <c r="GM255" i="10"/>
  <c r="GL255" i="10"/>
  <c r="GK255" i="10"/>
  <c r="GJ255" i="10"/>
  <c r="GI255" i="10"/>
  <c r="GH255" i="10"/>
  <c r="GG255" i="10"/>
  <c r="GF255" i="10"/>
  <c r="GE255" i="10"/>
  <c r="GD255" i="10"/>
  <c r="GC255" i="10"/>
  <c r="GB255" i="10"/>
  <c r="GA255" i="10"/>
  <c r="FZ255" i="10"/>
  <c r="FY255" i="10"/>
  <c r="FX255" i="10"/>
  <c r="FW255" i="10"/>
  <c r="FV255" i="10"/>
  <c r="FU255" i="10"/>
  <c r="FT255" i="10"/>
  <c r="FS255" i="10"/>
  <c r="FR255" i="10"/>
  <c r="FQ255" i="10"/>
  <c r="FP255" i="10"/>
  <c r="FO255" i="10"/>
  <c r="FN255" i="10"/>
  <c r="FM255" i="10"/>
  <c r="FL255" i="10"/>
  <c r="FK255" i="10"/>
  <c r="FJ255" i="10"/>
  <c r="FI255" i="10"/>
  <c r="FH255" i="10"/>
  <c r="FG255" i="10"/>
  <c r="FF255" i="10"/>
  <c r="FE255" i="10"/>
  <c r="FD255" i="10"/>
  <c r="FC255" i="10"/>
  <c r="GU254" i="10"/>
  <c r="GT254" i="10"/>
  <c r="GS254" i="10"/>
  <c r="GR254" i="10"/>
  <c r="GQ254" i="10"/>
  <c r="GP254" i="10"/>
  <c r="GO254" i="10"/>
  <c r="GN254" i="10"/>
  <c r="GM254" i="10"/>
  <c r="GL254" i="10"/>
  <c r="GK254" i="10"/>
  <c r="GJ254" i="10"/>
  <c r="GI254" i="10"/>
  <c r="GH254" i="10"/>
  <c r="GG254" i="10"/>
  <c r="GF254" i="10"/>
  <c r="GE254" i="10"/>
  <c r="GD254" i="10"/>
  <c r="GC254" i="10"/>
  <c r="GB254" i="10"/>
  <c r="GA254" i="10"/>
  <c r="FZ254" i="10"/>
  <c r="FY254" i="10"/>
  <c r="FX254" i="10"/>
  <c r="FW254" i="10"/>
  <c r="FV254" i="10"/>
  <c r="FU254" i="10"/>
  <c r="FT254" i="10"/>
  <c r="FS254" i="10"/>
  <c r="FR254" i="10"/>
  <c r="FQ254" i="10"/>
  <c r="FP254" i="10"/>
  <c r="FO254" i="10"/>
  <c r="FN254" i="10"/>
  <c r="FM254" i="10"/>
  <c r="FL254" i="10"/>
  <c r="FK254" i="10"/>
  <c r="FJ254" i="10"/>
  <c r="FI254" i="10"/>
  <c r="FH254" i="10"/>
  <c r="FG254" i="10"/>
  <c r="FF254" i="10"/>
  <c r="FE254" i="10"/>
  <c r="FD254" i="10"/>
  <c r="FC254" i="10"/>
  <c r="GU253" i="10"/>
  <c r="GT253" i="10"/>
  <c r="GS253" i="10"/>
  <c r="GR253" i="10"/>
  <c r="GQ253" i="10"/>
  <c r="GP253" i="10"/>
  <c r="GO253" i="10"/>
  <c r="GN253" i="10"/>
  <c r="GM253" i="10"/>
  <c r="GL253" i="10"/>
  <c r="GK253" i="10"/>
  <c r="GJ253" i="10"/>
  <c r="GI253" i="10"/>
  <c r="GH253" i="10"/>
  <c r="GG253" i="10"/>
  <c r="GF253" i="10"/>
  <c r="GE253" i="10"/>
  <c r="GD253" i="10"/>
  <c r="GC253" i="10"/>
  <c r="GB253" i="10"/>
  <c r="GA253" i="10"/>
  <c r="FZ253" i="10"/>
  <c r="FY253" i="10"/>
  <c r="FX253" i="10"/>
  <c r="FW253" i="10"/>
  <c r="FV253" i="10"/>
  <c r="FU253" i="10"/>
  <c r="FT253" i="10"/>
  <c r="FS253" i="10"/>
  <c r="FR253" i="10"/>
  <c r="FQ253" i="10"/>
  <c r="FP253" i="10"/>
  <c r="FO253" i="10"/>
  <c r="FN253" i="10"/>
  <c r="FM253" i="10"/>
  <c r="FL253" i="10"/>
  <c r="FK253" i="10"/>
  <c r="FJ253" i="10"/>
  <c r="FI253" i="10"/>
  <c r="FH253" i="10"/>
  <c r="FG253" i="10"/>
  <c r="FF253" i="10"/>
  <c r="FE253" i="10"/>
  <c r="FD253" i="10"/>
  <c r="FC253" i="10"/>
  <c r="GU252" i="10"/>
  <c r="GT252" i="10"/>
  <c r="GS252" i="10"/>
  <c r="GR252" i="10"/>
  <c r="GQ252" i="10"/>
  <c r="GP252" i="10"/>
  <c r="GO252" i="10"/>
  <c r="GN252" i="10"/>
  <c r="GM252" i="10"/>
  <c r="GL252" i="10"/>
  <c r="GK252" i="10"/>
  <c r="GJ252" i="10"/>
  <c r="GI252" i="10"/>
  <c r="GH252" i="10"/>
  <c r="GG252" i="10"/>
  <c r="GF252" i="10"/>
  <c r="GE252" i="10"/>
  <c r="GD252" i="10"/>
  <c r="GC252" i="10"/>
  <c r="GB252" i="10"/>
  <c r="GA252" i="10"/>
  <c r="FZ252" i="10"/>
  <c r="FY252" i="10"/>
  <c r="FX252" i="10"/>
  <c r="FW252" i="10"/>
  <c r="FV252" i="10"/>
  <c r="FU252" i="10"/>
  <c r="FT252" i="10"/>
  <c r="FS252" i="10"/>
  <c r="FR252" i="10"/>
  <c r="FQ252" i="10"/>
  <c r="FP252" i="10"/>
  <c r="FO252" i="10"/>
  <c r="FN252" i="10"/>
  <c r="FM252" i="10"/>
  <c r="FL252" i="10"/>
  <c r="FK252" i="10"/>
  <c r="FJ252" i="10"/>
  <c r="FI252" i="10"/>
  <c r="FH252" i="10"/>
  <c r="FG252" i="10"/>
  <c r="FF252" i="10"/>
  <c r="FE252" i="10"/>
  <c r="FD252" i="10"/>
  <c r="FC252" i="10"/>
  <c r="GU251" i="10"/>
  <c r="GT251" i="10"/>
  <c r="GS251" i="10"/>
  <c r="GR251" i="10"/>
  <c r="GQ251" i="10"/>
  <c r="GP251" i="10"/>
  <c r="GO251" i="10"/>
  <c r="GN251" i="10"/>
  <c r="GM251" i="10"/>
  <c r="GL251" i="10"/>
  <c r="GK251" i="10"/>
  <c r="GJ251" i="10"/>
  <c r="GI251" i="10"/>
  <c r="GH251" i="10"/>
  <c r="GG251" i="10"/>
  <c r="GF251" i="10"/>
  <c r="GE251" i="10"/>
  <c r="GD251" i="10"/>
  <c r="GC251" i="10"/>
  <c r="GB251" i="10"/>
  <c r="GA251" i="10"/>
  <c r="FZ251" i="10"/>
  <c r="FY251" i="10"/>
  <c r="FX251" i="10"/>
  <c r="FW251" i="10"/>
  <c r="FV251" i="10"/>
  <c r="FU251" i="10"/>
  <c r="FT251" i="10"/>
  <c r="FS251" i="10"/>
  <c r="FR251" i="10"/>
  <c r="FQ251" i="10"/>
  <c r="FP251" i="10"/>
  <c r="FO251" i="10"/>
  <c r="FN251" i="10"/>
  <c r="FM251" i="10"/>
  <c r="FL251" i="10"/>
  <c r="FK251" i="10"/>
  <c r="FJ251" i="10"/>
  <c r="FI251" i="10"/>
  <c r="FH251" i="10"/>
  <c r="FG251" i="10"/>
  <c r="FF251" i="10"/>
  <c r="FE251" i="10"/>
  <c r="FD251" i="10"/>
  <c r="FC251" i="10"/>
  <c r="GU250" i="10"/>
  <c r="GT250" i="10"/>
  <c r="GS250" i="10"/>
  <c r="GR250" i="10"/>
  <c r="GQ250" i="10"/>
  <c r="GP250" i="10"/>
  <c r="GO250" i="10"/>
  <c r="GN250" i="10"/>
  <c r="GM250" i="10"/>
  <c r="GL250" i="10"/>
  <c r="GK250" i="10"/>
  <c r="GJ250" i="10"/>
  <c r="GI250" i="10"/>
  <c r="GH250" i="10"/>
  <c r="GG250" i="10"/>
  <c r="GF250" i="10"/>
  <c r="GE250" i="10"/>
  <c r="GD250" i="10"/>
  <c r="GC250" i="10"/>
  <c r="GB250" i="10"/>
  <c r="GA250" i="10"/>
  <c r="FZ250" i="10"/>
  <c r="FY250" i="10"/>
  <c r="FX250" i="10"/>
  <c r="FW250" i="10"/>
  <c r="FV250" i="10"/>
  <c r="FU250" i="10"/>
  <c r="FT250" i="10"/>
  <c r="FS250" i="10"/>
  <c r="FR250" i="10"/>
  <c r="FQ250" i="10"/>
  <c r="FP250" i="10"/>
  <c r="FO250" i="10"/>
  <c r="FN250" i="10"/>
  <c r="FM250" i="10"/>
  <c r="FL250" i="10"/>
  <c r="FK250" i="10"/>
  <c r="FJ250" i="10"/>
  <c r="FI250" i="10"/>
  <c r="FH250" i="10"/>
  <c r="FG250" i="10"/>
  <c r="FF250" i="10"/>
  <c r="FE250" i="10"/>
  <c r="FD250" i="10"/>
  <c r="FC250" i="10"/>
  <c r="GU249" i="10"/>
  <c r="GT249" i="10"/>
  <c r="GS249" i="10"/>
  <c r="GR249" i="10"/>
  <c r="GQ249" i="10"/>
  <c r="GP249" i="10"/>
  <c r="GO249" i="10"/>
  <c r="GN249" i="10"/>
  <c r="GM249" i="10"/>
  <c r="GL249" i="10"/>
  <c r="GK249" i="10"/>
  <c r="GJ249" i="10"/>
  <c r="GI249" i="10"/>
  <c r="GH249" i="10"/>
  <c r="GG249" i="10"/>
  <c r="GF249" i="10"/>
  <c r="GE249" i="10"/>
  <c r="GD249" i="10"/>
  <c r="GC249" i="10"/>
  <c r="GB249" i="10"/>
  <c r="GA249" i="10"/>
  <c r="FZ249" i="10"/>
  <c r="FY249" i="10"/>
  <c r="FX249" i="10"/>
  <c r="FW249" i="10"/>
  <c r="FV249" i="10"/>
  <c r="FU249" i="10"/>
  <c r="FT249" i="10"/>
  <c r="FS249" i="10"/>
  <c r="FR249" i="10"/>
  <c r="FQ249" i="10"/>
  <c r="FP249" i="10"/>
  <c r="FO249" i="10"/>
  <c r="FN249" i="10"/>
  <c r="FM249" i="10"/>
  <c r="FL249" i="10"/>
  <c r="FK249" i="10"/>
  <c r="FJ249" i="10"/>
  <c r="FI249" i="10"/>
  <c r="FH249" i="10"/>
  <c r="FG249" i="10"/>
  <c r="FF249" i="10"/>
  <c r="FE249" i="10"/>
  <c r="FD249" i="10"/>
  <c r="FC249" i="10"/>
  <c r="GU248" i="10"/>
  <c r="GT248" i="10"/>
  <c r="GS248" i="10"/>
  <c r="GR248" i="10"/>
  <c r="GQ248" i="10"/>
  <c r="GP248" i="10"/>
  <c r="GO248" i="10"/>
  <c r="GN248" i="10"/>
  <c r="GM248" i="10"/>
  <c r="GL248" i="10"/>
  <c r="GK248" i="10"/>
  <c r="GJ248" i="10"/>
  <c r="GI248" i="10"/>
  <c r="GH248" i="10"/>
  <c r="GG248" i="10"/>
  <c r="GF248" i="10"/>
  <c r="GE248" i="10"/>
  <c r="GD248" i="10"/>
  <c r="GC248" i="10"/>
  <c r="GB248" i="10"/>
  <c r="GA248" i="10"/>
  <c r="FZ248" i="10"/>
  <c r="FY248" i="10"/>
  <c r="FX248" i="10"/>
  <c r="FW248" i="10"/>
  <c r="FV248" i="10"/>
  <c r="FU248" i="10"/>
  <c r="FT248" i="10"/>
  <c r="FS248" i="10"/>
  <c r="FR248" i="10"/>
  <c r="FQ248" i="10"/>
  <c r="FP248" i="10"/>
  <c r="FO248" i="10"/>
  <c r="FN248" i="10"/>
  <c r="FM248" i="10"/>
  <c r="FL248" i="10"/>
  <c r="FK248" i="10"/>
  <c r="FJ248" i="10"/>
  <c r="FI248" i="10"/>
  <c r="FH248" i="10"/>
  <c r="FG248" i="10"/>
  <c r="FF248" i="10"/>
  <c r="FE248" i="10"/>
  <c r="FD248" i="10"/>
  <c r="FC248" i="10"/>
  <c r="GU247" i="10"/>
  <c r="GT247" i="10"/>
  <c r="GS247" i="10"/>
  <c r="GR247" i="10"/>
  <c r="GQ247" i="10"/>
  <c r="GP247" i="10"/>
  <c r="GO247" i="10"/>
  <c r="GN247" i="10"/>
  <c r="GM247" i="10"/>
  <c r="GL247" i="10"/>
  <c r="GK247" i="10"/>
  <c r="GJ247" i="10"/>
  <c r="GI247" i="10"/>
  <c r="GH247" i="10"/>
  <c r="GG247" i="10"/>
  <c r="GF247" i="10"/>
  <c r="GE247" i="10"/>
  <c r="GD247" i="10"/>
  <c r="GC247" i="10"/>
  <c r="GB247" i="10"/>
  <c r="GA247" i="10"/>
  <c r="FZ247" i="10"/>
  <c r="FY247" i="10"/>
  <c r="FX247" i="10"/>
  <c r="FW247" i="10"/>
  <c r="FV247" i="10"/>
  <c r="FU247" i="10"/>
  <c r="FT247" i="10"/>
  <c r="FS247" i="10"/>
  <c r="FR247" i="10"/>
  <c r="FQ247" i="10"/>
  <c r="FP247" i="10"/>
  <c r="FO247" i="10"/>
  <c r="FN247" i="10"/>
  <c r="FM247" i="10"/>
  <c r="FL247" i="10"/>
  <c r="FK247" i="10"/>
  <c r="FJ247" i="10"/>
  <c r="FI247" i="10"/>
  <c r="FH247" i="10"/>
  <c r="FG247" i="10"/>
  <c r="FF247" i="10"/>
  <c r="FE247" i="10"/>
  <c r="FD247" i="10"/>
  <c r="FC247" i="10"/>
  <c r="GU246" i="10"/>
  <c r="GT246" i="10"/>
  <c r="GS246" i="10"/>
  <c r="GR246" i="10"/>
  <c r="GQ246" i="10"/>
  <c r="GP246" i="10"/>
  <c r="GO246" i="10"/>
  <c r="GN246" i="10"/>
  <c r="GM246" i="10"/>
  <c r="GL246" i="10"/>
  <c r="GK246" i="10"/>
  <c r="GJ246" i="10"/>
  <c r="GI246" i="10"/>
  <c r="GH246" i="10"/>
  <c r="GG246" i="10"/>
  <c r="GF246" i="10"/>
  <c r="GE246" i="10"/>
  <c r="GD246" i="10"/>
  <c r="GC246" i="10"/>
  <c r="GB246" i="10"/>
  <c r="GA246" i="10"/>
  <c r="FZ246" i="10"/>
  <c r="FY246" i="10"/>
  <c r="FX246" i="10"/>
  <c r="FW246" i="10"/>
  <c r="FV246" i="10"/>
  <c r="FU246" i="10"/>
  <c r="FT246" i="10"/>
  <c r="FS246" i="10"/>
  <c r="FR246" i="10"/>
  <c r="FQ246" i="10"/>
  <c r="FP246" i="10"/>
  <c r="FO246" i="10"/>
  <c r="FN246" i="10"/>
  <c r="FM246" i="10"/>
  <c r="FL246" i="10"/>
  <c r="FK246" i="10"/>
  <c r="FJ246" i="10"/>
  <c r="FI246" i="10"/>
  <c r="FH246" i="10"/>
  <c r="FG246" i="10"/>
  <c r="FF246" i="10"/>
  <c r="FE246" i="10"/>
  <c r="FD246" i="10"/>
  <c r="FC246" i="10"/>
  <c r="GU245" i="10"/>
  <c r="GT245" i="10"/>
  <c r="GS245" i="10"/>
  <c r="GR245" i="10"/>
  <c r="GQ245" i="10"/>
  <c r="GP245" i="10"/>
  <c r="GO245" i="10"/>
  <c r="GN245" i="10"/>
  <c r="GM245" i="10"/>
  <c r="GL245" i="10"/>
  <c r="GK245" i="10"/>
  <c r="GJ245" i="10"/>
  <c r="GI245" i="10"/>
  <c r="GH245" i="10"/>
  <c r="GG245" i="10"/>
  <c r="GF245" i="10"/>
  <c r="GE245" i="10"/>
  <c r="GD245" i="10"/>
  <c r="GC245" i="10"/>
  <c r="GB245" i="10"/>
  <c r="GA245" i="10"/>
  <c r="FZ245" i="10"/>
  <c r="FY245" i="10"/>
  <c r="FX245" i="10"/>
  <c r="FW245" i="10"/>
  <c r="FV245" i="10"/>
  <c r="FU245" i="10"/>
  <c r="FT245" i="10"/>
  <c r="FS245" i="10"/>
  <c r="FR245" i="10"/>
  <c r="FQ245" i="10"/>
  <c r="FP245" i="10"/>
  <c r="FO245" i="10"/>
  <c r="FN245" i="10"/>
  <c r="FM245" i="10"/>
  <c r="FL245" i="10"/>
  <c r="FK245" i="10"/>
  <c r="FJ245" i="10"/>
  <c r="FI245" i="10"/>
  <c r="FH245" i="10"/>
  <c r="FG245" i="10"/>
  <c r="FF245" i="10"/>
  <c r="FE245" i="10"/>
  <c r="FD245" i="10"/>
  <c r="FC245" i="10"/>
  <c r="GU244" i="10"/>
  <c r="GT244" i="10"/>
  <c r="GS244" i="10"/>
  <c r="GR244" i="10"/>
  <c r="GQ244" i="10"/>
  <c r="GP244" i="10"/>
  <c r="GO244" i="10"/>
  <c r="GN244" i="10"/>
  <c r="GM244" i="10"/>
  <c r="GL244" i="10"/>
  <c r="GK244" i="10"/>
  <c r="GJ244" i="10"/>
  <c r="GI244" i="10"/>
  <c r="GH244" i="10"/>
  <c r="GG244" i="10"/>
  <c r="GF244" i="10"/>
  <c r="GE244" i="10"/>
  <c r="GD244" i="10"/>
  <c r="GC244" i="10"/>
  <c r="GB244" i="10"/>
  <c r="GA244" i="10"/>
  <c r="FZ244" i="10"/>
  <c r="FY244" i="10"/>
  <c r="FX244" i="10"/>
  <c r="FW244" i="10"/>
  <c r="FV244" i="10"/>
  <c r="FU244" i="10"/>
  <c r="FT244" i="10"/>
  <c r="FS244" i="10"/>
  <c r="FR244" i="10"/>
  <c r="FQ244" i="10"/>
  <c r="FP244" i="10"/>
  <c r="FO244" i="10"/>
  <c r="FN244" i="10"/>
  <c r="FM244" i="10"/>
  <c r="FL244" i="10"/>
  <c r="FK244" i="10"/>
  <c r="FJ244" i="10"/>
  <c r="FI244" i="10"/>
  <c r="FH244" i="10"/>
  <c r="FG244" i="10"/>
  <c r="FF244" i="10"/>
  <c r="FE244" i="10"/>
  <c r="FD244" i="10"/>
  <c r="FC244" i="10"/>
  <c r="GU243" i="10"/>
  <c r="GT243" i="10"/>
  <c r="GS243" i="10"/>
  <c r="GR243" i="10"/>
  <c r="GQ243" i="10"/>
  <c r="GP243" i="10"/>
  <c r="GO243" i="10"/>
  <c r="GN243" i="10"/>
  <c r="GM243" i="10"/>
  <c r="GL243" i="10"/>
  <c r="GK243" i="10"/>
  <c r="GJ243" i="10"/>
  <c r="GI243" i="10"/>
  <c r="GH243" i="10"/>
  <c r="GG243" i="10"/>
  <c r="GF243" i="10"/>
  <c r="GE243" i="10"/>
  <c r="GD243" i="10"/>
  <c r="GC243" i="10"/>
  <c r="GB243" i="10"/>
  <c r="GA243" i="10"/>
  <c r="FZ243" i="10"/>
  <c r="FY243" i="10"/>
  <c r="FX243" i="10"/>
  <c r="FW243" i="10"/>
  <c r="FV243" i="10"/>
  <c r="FU243" i="10"/>
  <c r="FT243" i="10"/>
  <c r="FS243" i="10"/>
  <c r="FR243" i="10"/>
  <c r="FQ243" i="10"/>
  <c r="FP243" i="10"/>
  <c r="FO243" i="10"/>
  <c r="FN243" i="10"/>
  <c r="FM243" i="10"/>
  <c r="FL243" i="10"/>
  <c r="FK243" i="10"/>
  <c r="FJ243" i="10"/>
  <c r="FI243" i="10"/>
  <c r="FH243" i="10"/>
  <c r="FG243" i="10"/>
  <c r="FF243" i="10"/>
  <c r="FE243" i="10"/>
  <c r="FD243" i="10"/>
  <c r="FC243" i="10"/>
  <c r="GU242" i="10"/>
  <c r="GT242" i="10"/>
  <c r="GS242" i="10"/>
  <c r="GR242" i="10"/>
  <c r="GQ242" i="10"/>
  <c r="GP242" i="10"/>
  <c r="GO242" i="10"/>
  <c r="GN242" i="10"/>
  <c r="GM242" i="10"/>
  <c r="GL242" i="10"/>
  <c r="GK242" i="10"/>
  <c r="GJ242" i="10"/>
  <c r="GI242" i="10"/>
  <c r="GH242" i="10"/>
  <c r="GG242" i="10"/>
  <c r="GF242" i="10"/>
  <c r="GE242" i="10"/>
  <c r="GD242" i="10"/>
  <c r="GC242" i="10"/>
  <c r="GB242" i="10"/>
  <c r="GA242" i="10"/>
  <c r="FZ242" i="10"/>
  <c r="FY242" i="10"/>
  <c r="FX242" i="10"/>
  <c r="FW242" i="10"/>
  <c r="FV242" i="10"/>
  <c r="FU242" i="10"/>
  <c r="FT242" i="10"/>
  <c r="FS242" i="10"/>
  <c r="FR242" i="10"/>
  <c r="FQ242" i="10"/>
  <c r="FP242" i="10"/>
  <c r="FO242" i="10"/>
  <c r="FN242" i="10"/>
  <c r="FM242" i="10"/>
  <c r="FL242" i="10"/>
  <c r="FK242" i="10"/>
  <c r="FJ242" i="10"/>
  <c r="FI242" i="10"/>
  <c r="FH242" i="10"/>
  <c r="FG242" i="10"/>
  <c r="FF242" i="10"/>
  <c r="FE242" i="10"/>
  <c r="FD242" i="10"/>
  <c r="FC242" i="10"/>
  <c r="GU241" i="10"/>
  <c r="GT241" i="10"/>
  <c r="GS241" i="10"/>
  <c r="GR241" i="10"/>
  <c r="GQ241" i="10"/>
  <c r="GP241" i="10"/>
  <c r="GO241" i="10"/>
  <c r="GN241" i="10"/>
  <c r="GM241" i="10"/>
  <c r="GL241" i="10"/>
  <c r="GK241" i="10"/>
  <c r="GJ241" i="10"/>
  <c r="GI241" i="10"/>
  <c r="GH241" i="10"/>
  <c r="GG241" i="10"/>
  <c r="GF241" i="10"/>
  <c r="GE241" i="10"/>
  <c r="GD241" i="10"/>
  <c r="GC241" i="10"/>
  <c r="GB241" i="10"/>
  <c r="GA241" i="10"/>
  <c r="FZ241" i="10"/>
  <c r="FY241" i="10"/>
  <c r="FX241" i="10"/>
  <c r="FW241" i="10"/>
  <c r="FV241" i="10"/>
  <c r="FU241" i="10"/>
  <c r="FT241" i="10"/>
  <c r="FS241" i="10"/>
  <c r="FR241" i="10"/>
  <c r="FQ241" i="10"/>
  <c r="FP241" i="10"/>
  <c r="FO241" i="10"/>
  <c r="FN241" i="10"/>
  <c r="FM241" i="10"/>
  <c r="FL241" i="10"/>
  <c r="FK241" i="10"/>
  <c r="FJ241" i="10"/>
  <c r="FI241" i="10"/>
  <c r="FH241" i="10"/>
  <c r="FG241" i="10"/>
  <c r="FF241" i="10"/>
  <c r="FE241" i="10"/>
  <c r="FD241" i="10"/>
  <c r="FC241" i="10"/>
  <c r="GU240" i="10"/>
  <c r="GT240" i="10"/>
  <c r="GS240" i="10"/>
  <c r="GR240" i="10"/>
  <c r="GQ240" i="10"/>
  <c r="GP240" i="10"/>
  <c r="GO240" i="10"/>
  <c r="GN240" i="10"/>
  <c r="GM240" i="10"/>
  <c r="GL240" i="10"/>
  <c r="GK240" i="10"/>
  <c r="GJ240" i="10"/>
  <c r="GI240" i="10"/>
  <c r="GH240" i="10"/>
  <c r="GG240" i="10"/>
  <c r="GF240" i="10"/>
  <c r="GE240" i="10"/>
  <c r="GD240" i="10"/>
  <c r="GC240" i="10"/>
  <c r="GB240" i="10"/>
  <c r="GA240" i="10"/>
  <c r="FZ240" i="10"/>
  <c r="FY240" i="10"/>
  <c r="FX240" i="10"/>
  <c r="FW240" i="10"/>
  <c r="FV240" i="10"/>
  <c r="FU240" i="10"/>
  <c r="FT240" i="10"/>
  <c r="FS240" i="10"/>
  <c r="FR240" i="10"/>
  <c r="FQ240" i="10"/>
  <c r="FP240" i="10"/>
  <c r="FO240" i="10"/>
  <c r="FN240" i="10"/>
  <c r="FM240" i="10"/>
  <c r="FL240" i="10"/>
  <c r="FK240" i="10"/>
  <c r="FJ240" i="10"/>
  <c r="FI240" i="10"/>
  <c r="FH240" i="10"/>
  <c r="FG240" i="10"/>
  <c r="FF240" i="10"/>
  <c r="FE240" i="10"/>
  <c r="FD240" i="10"/>
  <c r="FC240" i="10"/>
  <c r="GU239" i="10"/>
  <c r="GT239" i="10"/>
  <c r="GS239" i="10"/>
  <c r="GR239" i="10"/>
  <c r="GQ239" i="10"/>
  <c r="GP239" i="10"/>
  <c r="GO239" i="10"/>
  <c r="GN239" i="10"/>
  <c r="GM239" i="10"/>
  <c r="GL239" i="10"/>
  <c r="GK239" i="10"/>
  <c r="GJ239" i="10"/>
  <c r="GI239" i="10"/>
  <c r="GH239" i="10"/>
  <c r="GG239" i="10"/>
  <c r="GF239" i="10"/>
  <c r="GE239" i="10"/>
  <c r="GD239" i="10"/>
  <c r="GC239" i="10"/>
  <c r="GB239" i="10"/>
  <c r="GA239" i="10"/>
  <c r="FZ239" i="10"/>
  <c r="FY239" i="10"/>
  <c r="FX239" i="10"/>
  <c r="FW239" i="10"/>
  <c r="FV239" i="10"/>
  <c r="FU239" i="10"/>
  <c r="FT239" i="10"/>
  <c r="FS239" i="10"/>
  <c r="FR239" i="10"/>
  <c r="FQ239" i="10"/>
  <c r="FP239" i="10"/>
  <c r="FO239" i="10"/>
  <c r="FN239" i="10"/>
  <c r="FM239" i="10"/>
  <c r="FL239" i="10"/>
  <c r="FK239" i="10"/>
  <c r="FJ239" i="10"/>
  <c r="FI239" i="10"/>
  <c r="FH239" i="10"/>
  <c r="FG239" i="10"/>
  <c r="FF239" i="10"/>
  <c r="FE239" i="10"/>
  <c r="FD239" i="10"/>
  <c r="FC239" i="10"/>
  <c r="GU238" i="10"/>
  <c r="GT238" i="10"/>
  <c r="GS238" i="10"/>
  <c r="GR238" i="10"/>
  <c r="GQ238" i="10"/>
  <c r="GP238" i="10"/>
  <c r="GO238" i="10"/>
  <c r="GN238" i="10"/>
  <c r="GM238" i="10"/>
  <c r="GL238" i="10"/>
  <c r="GK238" i="10"/>
  <c r="GJ238" i="10"/>
  <c r="GI238" i="10"/>
  <c r="GH238" i="10"/>
  <c r="GG238" i="10"/>
  <c r="GF238" i="10"/>
  <c r="GE238" i="10"/>
  <c r="GD238" i="10"/>
  <c r="GC238" i="10"/>
  <c r="GB238" i="10"/>
  <c r="GA238" i="10"/>
  <c r="FZ238" i="10"/>
  <c r="FY238" i="10"/>
  <c r="FX238" i="10"/>
  <c r="FW238" i="10"/>
  <c r="FV238" i="10"/>
  <c r="FU238" i="10"/>
  <c r="FT238" i="10"/>
  <c r="FS238" i="10"/>
  <c r="FR238" i="10"/>
  <c r="FQ238" i="10"/>
  <c r="FP238" i="10"/>
  <c r="FO238" i="10"/>
  <c r="FN238" i="10"/>
  <c r="FM238" i="10"/>
  <c r="FL238" i="10"/>
  <c r="FK238" i="10"/>
  <c r="FJ238" i="10"/>
  <c r="FI238" i="10"/>
  <c r="FH238" i="10"/>
  <c r="FG238" i="10"/>
  <c r="FF238" i="10"/>
  <c r="FE238" i="10"/>
  <c r="FD238" i="10"/>
  <c r="FC238" i="10"/>
  <c r="GU237" i="10"/>
  <c r="GT237" i="10"/>
  <c r="GS237" i="10"/>
  <c r="GR237" i="10"/>
  <c r="GQ237" i="10"/>
  <c r="GP237" i="10"/>
  <c r="GO237" i="10"/>
  <c r="GN237" i="10"/>
  <c r="GM237" i="10"/>
  <c r="GL237" i="10"/>
  <c r="GK237" i="10"/>
  <c r="GJ237" i="10"/>
  <c r="GI237" i="10"/>
  <c r="GH237" i="10"/>
  <c r="GG237" i="10"/>
  <c r="GF237" i="10"/>
  <c r="GE237" i="10"/>
  <c r="GD237" i="10"/>
  <c r="GC237" i="10"/>
  <c r="GB237" i="10"/>
  <c r="GA237" i="10"/>
  <c r="FZ237" i="10"/>
  <c r="FY237" i="10"/>
  <c r="FX237" i="10"/>
  <c r="FW237" i="10"/>
  <c r="FV237" i="10"/>
  <c r="FU237" i="10"/>
  <c r="FT237" i="10"/>
  <c r="FS237" i="10"/>
  <c r="FR237" i="10"/>
  <c r="FQ237" i="10"/>
  <c r="FP237" i="10"/>
  <c r="FO237" i="10"/>
  <c r="FN237" i="10"/>
  <c r="FM237" i="10"/>
  <c r="FL237" i="10"/>
  <c r="FK237" i="10"/>
  <c r="FJ237" i="10"/>
  <c r="FI237" i="10"/>
  <c r="FH237" i="10"/>
  <c r="FG237" i="10"/>
  <c r="FF237" i="10"/>
  <c r="FE237" i="10"/>
  <c r="FD237" i="10"/>
  <c r="FC237" i="10"/>
  <c r="GU236" i="10"/>
  <c r="GT236" i="10"/>
  <c r="GS236" i="10"/>
  <c r="GR236" i="10"/>
  <c r="GQ236" i="10"/>
  <c r="GP236" i="10"/>
  <c r="GO236" i="10"/>
  <c r="GN236" i="10"/>
  <c r="GM236" i="10"/>
  <c r="GL236" i="10"/>
  <c r="GK236" i="10"/>
  <c r="GJ236" i="10"/>
  <c r="GI236" i="10"/>
  <c r="GH236" i="10"/>
  <c r="GG236" i="10"/>
  <c r="GF236" i="10"/>
  <c r="GE236" i="10"/>
  <c r="GD236" i="10"/>
  <c r="GC236" i="10"/>
  <c r="GB236" i="10"/>
  <c r="GA236" i="10"/>
  <c r="FZ236" i="10"/>
  <c r="FY236" i="10"/>
  <c r="FX236" i="10"/>
  <c r="FW236" i="10"/>
  <c r="FV236" i="10"/>
  <c r="FU236" i="10"/>
  <c r="FT236" i="10"/>
  <c r="FS236" i="10"/>
  <c r="FR236" i="10"/>
  <c r="FQ236" i="10"/>
  <c r="FP236" i="10"/>
  <c r="FO236" i="10"/>
  <c r="FN236" i="10"/>
  <c r="FM236" i="10"/>
  <c r="FL236" i="10"/>
  <c r="FK236" i="10"/>
  <c r="FJ236" i="10"/>
  <c r="FI236" i="10"/>
  <c r="FH236" i="10"/>
  <c r="FG236" i="10"/>
  <c r="FF236" i="10"/>
  <c r="FE236" i="10"/>
  <c r="FD236" i="10"/>
  <c r="FC236" i="10"/>
  <c r="GU235" i="10"/>
  <c r="GT235" i="10"/>
  <c r="GS235" i="10"/>
  <c r="GR235" i="10"/>
  <c r="GQ235" i="10"/>
  <c r="GP235" i="10"/>
  <c r="GO235" i="10"/>
  <c r="GN235" i="10"/>
  <c r="GM235" i="10"/>
  <c r="GL235" i="10"/>
  <c r="GK235" i="10"/>
  <c r="GJ235" i="10"/>
  <c r="GI235" i="10"/>
  <c r="GH235" i="10"/>
  <c r="GG235" i="10"/>
  <c r="GF235" i="10"/>
  <c r="GE235" i="10"/>
  <c r="GD235" i="10"/>
  <c r="GC235" i="10"/>
  <c r="GB235" i="10"/>
  <c r="GA235" i="10"/>
  <c r="FZ235" i="10"/>
  <c r="FY235" i="10"/>
  <c r="FX235" i="10"/>
  <c r="FW235" i="10"/>
  <c r="FV235" i="10"/>
  <c r="FU235" i="10"/>
  <c r="FT235" i="10"/>
  <c r="FS235" i="10"/>
  <c r="FR235" i="10"/>
  <c r="FQ235" i="10"/>
  <c r="FP235" i="10"/>
  <c r="FO235" i="10"/>
  <c r="FN235" i="10"/>
  <c r="FM235" i="10"/>
  <c r="FL235" i="10"/>
  <c r="FK235" i="10"/>
  <c r="FJ235" i="10"/>
  <c r="FI235" i="10"/>
  <c r="FH235" i="10"/>
  <c r="FG235" i="10"/>
  <c r="FF235" i="10"/>
  <c r="FE235" i="10"/>
  <c r="FD235" i="10"/>
  <c r="FC235" i="10"/>
  <c r="GU234" i="10"/>
  <c r="GT234" i="10"/>
  <c r="GS234" i="10"/>
  <c r="GR234" i="10"/>
  <c r="GQ234" i="10"/>
  <c r="GP234" i="10"/>
  <c r="GO234" i="10"/>
  <c r="GN234" i="10"/>
  <c r="GM234" i="10"/>
  <c r="GL234" i="10"/>
  <c r="GK234" i="10"/>
  <c r="GJ234" i="10"/>
  <c r="GI234" i="10"/>
  <c r="GH234" i="10"/>
  <c r="GG234" i="10"/>
  <c r="GF234" i="10"/>
  <c r="GE234" i="10"/>
  <c r="GD234" i="10"/>
  <c r="GC234" i="10"/>
  <c r="GB234" i="10"/>
  <c r="GA234" i="10"/>
  <c r="FZ234" i="10"/>
  <c r="FY234" i="10"/>
  <c r="FX234" i="10"/>
  <c r="FW234" i="10"/>
  <c r="FV234" i="10"/>
  <c r="FU234" i="10"/>
  <c r="FT234" i="10"/>
  <c r="FS234" i="10"/>
  <c r="FR234" i="10"/>
  <c r="FQ234" i="10"/>
  <c r="FP234" i="10"/>
  <c r="FO234" i="10"/>
  <c r="FN234" i="10"/>
  <c r="FM234" i="10"/>
  <c r="FL234" i="10"/>
  <c r="FK234" i="10"/>
  <c r="FJ234" i="10"/>
  <c r="FI234" i="10"/>
  <c r="FH234" i="10"/>
  <c r="FG234" i="10"/>
  <c r="FF234" i="10"/>
  <c r="FE234" i="10"/>
  <c r="FD234" i="10"/>
  <c r="FC234" i="10"/>
  <c r="GU233" i="10"/>
  <c r="GT233" i="10"/>
  <c r="GS233" i="10"/>
  <c r="GR233" i="10"/>
  <c r="GQ233" i="10"/>
  <c r="GP233" i="10"/>
  <c r="GO233" i="10"/>
  <c r="GN233" i="10"/>
  <c r="GM233" i="10"/>
  <c r="GL233" i="10"/>
  <c r="GK233" i="10"/>
  <c r="GJ233" i="10"/>
  <c r="GI233" i="10"/>
  <c r="GH233" i="10"/>
  <c r="GG233" i="10"/>
  <c r="GF233" i="10"/>
  <c r="GE233" i="10"/>
  <c r="GD233" i="10"/>
  <c r="GC233" i="10"/>
  <c r="GB233" i="10"/>
  <c r="GA233" i="10"/>
  <c r="FZ233" i="10"/>
  <c r="FY233" i="10"/>
  <c r="FX233" i="10"/>
  <c r="FW233" i="10"/>
  <c r="FV233" i="10"/>
  <c r="FU233" i="10"/>
  <c r="FT233" i="10"/>
  <c r="FS233" i="10"/>
  <c r="FR233" i="10"/>
  <c r="FQ233" i="10"/>
  <c r="FP233" i="10"/>
  <c r="FO233" i="10"/>
  <c r="FN233" i="10"/>
  <c r="FM233" i="10"/>
  <c r="FL233" i="10"/>
  <c r="FK233" i="10"/>
  <c r="FJ233" i="10"/>
  <c r="FI233" i="10"/>
  <c r="FH233" i="10"/>
  <c r="FG233" i="10"/>
  <c r="FF233" i="10"/>
  <c r="FE233" i="10"/>
  <c r="FD233" i="10"/>
  <c r="FC233" i="10"/>
  <c r="GU232" i="10"/>
  <c r="GT232" i="10"/>
  <c r="GS232" i="10"/>
  <c r="GR232" i="10"/>
  <c r="GQ232" i="10"/>
  <c r="GP232" i="10"/>
  <c r="GO232" i="10"/>
  <c r="GN232" i="10"/>
  <c r="GM232" i="10"/>
  <c r="GL232" i="10"/>
  <c r="GK232" i="10"/>
  <c r="GJ232" i="10"/>
  <c r="GI232" i="10"/>
  <c r="GH232" i="10"/>
  <c r="GG232" i="10"/>
  <c r="GF232" i="10"/>
  <c r="GE232" i="10"/>
  <c r="GD232" i="10"/>
  <c r="GC232" i="10"/>
  <c r="GB232" i="10"/>
  <c r="GA232" i="10"/>
  <c r="FZ232" i="10"/>
  <c r="FY232" i="10"/>
  <c r="FX232" i="10"/>
  <c r="FW232" i="10"/>
  <c r="FV232" i="10"/>
  <c r="FU232" i="10"/>
  <c r="FT232" i="10"/>
  <c r="FS232" i="10"/>
  <c r="FR232" i="10"/>
  <c r="FQ232" i="10"/>
  <c r="FP232" i="10"/>
  <c r="FO232" i="10"/>
  <c r="FN232" i="10"/>
  <c r="FM232" i="10"/>
  <c r="FL232" i="10"/>
  <c r="FK232" i="10"/>
  <c r="FJ232" i="10"/>
  <c r="FI232" i="10"/>
  <c r="FH232" i="10"/>
  <c r="FG232" i="10"/>
  <c r="FF232" i="10"/>
  <c r="FE232" i="10"/>
  <c r="FD232" i="10"/>
  <c r="FC232" i="10"/>
  <c r="GU231" i="10"/>
  <c r="GT231" i="10"/>
  <c r="GS231" i="10"/>
  <c r="GR231" i="10"/>
  <c r="GQ231" i="10"/>
  <c r="GP231" i="10"/>
  <c r="GO231" i="10"/>
  <c r="GN231" i="10"/>
  <c r="GM231" i="10"/>
  <c r="GL231" i="10"/>
  <c r="GK231" i="10"/>
  <c r="GJ231" i="10"/>
  <c r="GI231" i="10"/>
  <c r="GH231" i="10"/>
  <c r="GG231" i="10"/>
  <c r="GF231" i="10"/>
  <c r="GE231" i="10"/>
  <c r="GD231" i="10"/>
  <c r="GC231" i="10"/>
  <c r="GB231" i="10"/>
  <c r="GA231" i="10"/>
  <c r="FZ231" i="10"/>
  <c r="FY231" i="10"/>
  <c r="FX231" i="10"/>
  <c r="FW231" i="10"/>
  <c r="FV231" i="10"/>
  <c r="FU231" i="10"/>
  <c r="FT231" i="10"/>
  <c r="FS231" i="10"/>
  <c r="FR231" i="10"/>
  <c r="FQ231" i="10"/>
  <c r="FP231" i="10"/>
  <c r="FO231" i="10"/>
  <c r="FN231" i="10"/>
  <c r="FM231" i="10"/>
  <c r="FL231" i="10"/>
  <c r="FK231" i="10"/>
  <c r="FJ231" i="10"/>
  <c r="FI231" i="10"/>
  <c r="FH231" i="10"/>
  <c r="FG231" i="10"/>
  <c r="FF231" i="10"/>
  <c r="FE231" i="10"/>
  <c r="FD231" i="10"/>
  <c r="FC231" i="10"/>
  <c r="GU230" i="10"/>
  <c r="GT230" i="10"/>
  <c r="GS230" i="10"/>
  <c r="GR230" i="10"/>
  <c r="GQ230" i="10"/>
  <c r="GP230" i="10"/>
  <c r="GO230" i="10"/>
  <c r="GN230" i="10"/>
  <c r="GM230" i="10"/>
  <c r="GL230" i="10"/>
  <c r="GK230" i="10"/>
  <c r="GJ230" i="10"/>
  <c r="GI230" i="10"/>
  <c r="GH230" i="10"/>
  <c r="GG230" i="10"/>
  <c r="GF230" i="10"/>
  <c r="GE230" i="10"/>
  <c r="GD230" i="10"/>
  <c r="GC230" i="10"/>
  <c r="GB230" i="10"/>
  <c r="GA230" i="10"/>
  <c r="FZ230" i="10"/>
  <c r="FY230" i="10"/>
  <c r="FX230" i="10"/>
  <c r="FW230" i="10"/>
  <c r="FV230" i="10"/>
  <c r="FU230" i="10"/>
  <c r="FT230" i="10"/>
  <c r="FS230" i="10"/>
  <c r="FR230" i="10"/>
  <c r="FQ230" i="10"/>
  <c r="FP230" i="10"/>
  <c r="FO230" i="10"/>
  <c r="FN230" i="10"/>
  <c r="FM230" i="10"/>
  <c r="FL230" i="10"/>
  <c r="FK230" i="10"/>
  <c r="FJ230" i="10"/>
  <c r="FI230" i="10"/>
  <c r="FH230" i="10"/>
  <c r="FG230" i="10"/>
  <c r="FF230" i="10"/>
  <c r="FE230" i="10"/>
  <c r="FD230" i="10"/>
  <c r="FC230" i="10"/>
  <c r="GU229" i="10"/>
  <c r="GT229" i="10"/>
  <c r="GS229" i="10"/>
  <c r="GR229" i="10"/>
  <c r="GQ229" i="10"/>
  <c r="GP229" i="10"/>
  <c r="GO229" i="10"/>
  <c r="GN229" i="10"/>
  <c r="GM229" i="10"/>
  <c r="GL229" i="10"/>
  <c r="GK229" i="10"/>
  <c r="GJ229" i="10"/>
  <c r="GI229" i="10"/>
  <c r="GH229" i="10"/>
  <c r="GG229" i="10"/>
  <c r="GF229" i="10"/>
  <c r="GE229" i="10"/>
  <c r="GD229" i="10"/>
  <c r="GC229" i="10"/>
  <c r="GB229" i="10"/>
  <c r="GA229" i="10"/>
  <c r="FZ229" i="10"/>
  <c r="FY229" i="10"/>
  <c r="FX229" i="10"/>
  <c r="FW229" i="10"/>
  <c r="FV229" i="10"/>
  <c r="FU229" i="10"/>
  <c r="FT229" i="10"/>
  <c r="FS229" i="10"/>
  <c r="FR229" i="10"/>
  <c r="FQ229" i="10"/>
  <c r="FP229" i="10"/>
  <c r="FO229" i="10"/>
  <c r="FN229" i="10"/>
  <c r="FM229" i="10"/>
  <c r="FL229" i="10"/>
  <c r="FK229" i="10"/>
  <c r="FJ229" i="10"/>
  <c r="FI229" i="10"/>
  <c r="FH229" i="10"/>
  <c r="FG229" i="10"/>
  <c r="FF229" i="10"/>
  <c r="FE229" i="10"/>
  <c r="FD229" i="10"/>
  <c r="FC229" i="10"/>
  <c r="GU228" i="10"/>
  <c r="GT228" i="10"/>
  <c r="GS228" i="10"/>
  <c r="GR228" i="10"/>
  <c r="GQ228" i="10"/>
  <c r="GP228" i="10"/>
  <c r="GO228" i="10"/>
  <c r="GN228" i="10"/>
  <c r="GM228" i="10"/>
  <c r="GL228" i="10"/>
  <c r="GK228" i="10"/>
  <c r="GJ228" i="10"/>
  <c r="GI228" i="10"/>
  <c r="GH228" i="10"/>
  <c r="GG228" i="10"/>
  <c r="GF228" i="10"/>
  <c r="GE228" i="10"/>
  <c r="GD228" i="10"/>
  <c r="GC228" i="10"/>
  <c r="GB228" i="10"/>
  <c r="GA228" i="10"/>
  <c r="FZ228" i="10"/>
  <c r="FY228" i="10"/>
  <c r="FX228" i="10"/>
  <c r="FW228" i="10"/>
  <c r="FV228" i="10"/>
  <c r="FU228" i="10"/>
  <c r="FT228" i="10"/>
  <c r="FS228" i="10"/>
  <c r="FR228" i="10"/>
  <c r="FQ228" i="10"/>
  <c r="FP228" i="10"/>
  <c r="FO228" i="10"/>
  <c r="FN228" i="10"/>
  <c r="FM228" i="10"/>
  <c r="FL228" i="10"/>
  <c r="FK228" i="10"/>
  <c r="FJ228" i="10"/>
  <c r="FI228" i="10"/>
  <c r="FH228" i="10"/>
  <c r="FG228" i="10"/>
  <c r="FF228" i="10"/>
  <c r="FE228" i="10"/>
  <c r="FD228" i="10"/>
  <c r="FC228" i="10"/>
  <c r="GU227" i="10"/>
  <c r="GT227" i="10"/>
  <c r="GS227" i="10"/>
  <c r="GR227" i="10"/>
  <c r="GQ227" i="10"/>
  <c r="GP227" i="10"/>
  <c r="GO227" i="10"/>
  <c r="GN227" i="10"/>
  <c r="GM227" i="10"/>
  <c r="GL227" i="10"/>
  <c r="GK227" i="10"/>
  <c r="GJ227" i="10"/>
  <c r="GI227" i="10"/>
  <c r="GH227" i="10"/>
  <c r="GG227" i="10"/>
  <c r="GF227" i="10"/>
  <c r="GE227" i="10"/>
  <c r="GD227" i="10"/>
  <c r="GC227" i="10"/>
  <c r="GB227" i="10"/>
  <c r="GA227" i="10"/>
  <c r="FZ227" i="10"/>
  <c r="FY227" i="10"/>
  <c r="FX227" i="10"/>
  <c r="FW227" i="10"/>
  <c r="FV227" i="10"/>
  <c r="FU227" i="10"/>
  <c r="FT227" i="10"/>
  <c r="FS227" i="10"/>
  <c r="FR227" i="10"/>
  <c r="FQ227" i="10"/>
  <c r="FP227" i="10"/>
  <c r="FO227" i="10"/>
  <c r="FN227" i="10"/>
  <c r="FM227" i="10"/>
  <c r="FL227" i="10"/>
  <c r="FK227" i="10"/>
  <c r="FJ227" i="10"/>
  <c r="FI227" i="10"/>
  <c r="FH227" i="10"/>
  <c r="FG227" i="10"/>
  <c r="FF227" i="10"/>
  <c r="FE227" i="10"/>
  <c r="FD227" i="10"/>
  <c r="FC227" i="10"/>
  <c r="GU226" i="10"/>
  <c r="GT226" i="10"/>
  <c r="GS226" i="10"/>
  <c r="GR226" i="10"/>
  <c r="GQ226" i="10"/>
  <c r="GP226" i="10"/>
  <c r="GO226" i="10"/>
  <c r="GN226" i="10"/>
  <c r="GM226" i="10"/>
  <c r="GL226" i="10"/>
  <c r="GK226" i="10"/>
  <c r="GJ226" i="10"/>
  <c r="GI226" i="10"/>
  <c r="GH226" i="10"/>
  <c r="GG226" i="10"/>
  <c r="GF226" i="10"/>
  <c r="GE226" i="10"/>
  <c r="GD226" i="10"/>
  <c r="GC226" i="10"/>
  <c r="GB226" i="10"/>
  <c r="GA226" i="10"/>
  <c r="FZ226" i="10"/>
  <c r="FY226" i="10"/>
  <c r="FX226" i="10"/>
  <c r="FW226" i="10"/>
  <c r="FV226" i="10"/>
  <c r="FU226" i="10"/>
  <c r="FT226" i="10"/>
  <c r="FS226" i="10"/>
  <c r="FR226" i="10"/>
  <c r="FQ226" i="10"/>
  <c r="FP226" i="10"/>
  <c r="FO226" i="10"/>
  <c r="FN226" i="10"/>
  <c r="FM226" i="10"/>
  <c r="FL226" i="10"/>
  <c r="FK226" i="10"/>
  <c r="FJ226" i="10"/>
  <c r="FI226" i="10"/>
  <c r="FH226" i="10"/>
  <c r="FG226" i="10"/>
  <c r="FF226" i="10"/>
  <c r="FE226" i="10"/>
  <c r="FD226" i="10"/>
  <c r="FC226" i="10"/>
  <c r="GU225" i="10"/>
  <c r="GT225" i="10"/>
  <c r="GS225" i="10"/>
  <c r="GR225" i="10"/>
  <c r="GQ225" i="10"/>
  <c r="GP225" i="10"/>
  <c r="GO225" i="10"/>
  <c r="GN225" i="10"/>
  <c r="GM225" i="10"/>
  <c r="GL225" i="10"/>
  <c r="GK225" i="10"/>
  <c r="GJ225" i="10"/>
  <c r="GI225" i="10"/>
  <c r="GH225" i="10"/>
  <c r="GG225" i="10"/>
  <c r="GF225" i="10"/>
  <c r="GE225" i="10"/>
  <c r="GD225" i="10"/>
  <c r="GC225" i="10"/>
  <c r="GB225" i="10"/>
  <c r="GA225" i="10"/>
  <c r="FZ225" i="10"/>
  <c r="FY225" i="10"/>
  <c r="FX225" i="10"/>
  <c r="FW225" i="10"/>
  <c r="FV225" i="10"/>
  <c r="FU225" i="10"/>
  <c r="FT225" i="10"/>
  <c r="FS225" i="10"/>
  <c r="FR225" i="10"/>
  <c r="FQ225" i="10"/>
  <c r="FP225" i="10"/>
  <c r="FO225" i="10"/>
  <c r="FN225" i="10"/>
  <c r="FM225" i="10"/>
  <c r="FL225" i="10"/>
  <c r="FK225" i="10"/>
  <c r="FJ225" i="10"/>
  <c r="FI225" i="10"/>
  <c r="FH225" i="10"/>
  <c r="FG225" i="10"/>
  <c r="FF225" i="10"/>
  <c r="FE225" i="10"/>
  <c r="FD225" i="10"/>
  <c r="FC225" i="10"/>
  <c r="GU224" i="10"/>
  <c r="GT224" i="10"/>
  <c r="GS224" i="10"/>
  <c r="GR224" i="10"/>
  <c r="GQ224" i="10"/>
  <c r="GP224" i="10"/>
  <c r="GO224" i="10"/>
  <c r="GN224" i="10"/>
  <c r="GM224" i="10"/>
  <c r="GL224" i="10"/>
  <c r="GK224" i="10"/>
  <c r="GJ224" i="10"/>
  <c r="GI224" i="10"/>
  <c r="GH224" i="10"/>
  <c r="GG224" i="10"/>
  <c r="GF224" i="10"/>
  <c r="GE224" i="10"/>
  <c r="GD224" i="10"/>
  <c r="GC224" i="10"/>
  <c r="GB224" i="10"/>
  <c r="GA224" i="10"/>
  <c r="FZ224" i="10"/>
  <c r="FY224" i="10"/>
  <c r="FX224" i="10"/>
  <c r="FW224" i="10"/>
  <c r="FV224" i="10"/>
  <c r="FU224" i="10"/>
  <c r="FT224" i="10"/>
  <c r="FS224" i="10"/>
  <c r="FR224" i="10"/>
  <c r="FQ224" i="10"/>
  <c r="FP224" i="10"/>
  <c r="FO224" i="10"/>
  <c r="FN224" i="10"/>
  <c r="FM224" i="10"/>
  <c r="FL224" i="10"/>
  <c r="FK224" i="10"/>
  <c r="FJ224" i="10"/>
  <c r="FI224" i="10"/>
  <c r="FH224" i="10"/>
  <c r="FG224" i="10"/>
  <c r="FF224" i="10"/>
  <c r="FE224" i="10"/>
  <c r="FD224" i="10"/>
  <c r="FC224" i="10"/>
  <c r="GU223" i="10"/>
  <c r="GT223" i="10"/>
  <c r="GS223" i="10"/>
  <c r="GR223" i="10"/>
  <c r="GQ223" i="10"/>
  <c r="GP223" i="10"/>
  <c r="GO223" i="10"/>
  <c r="GN223" i="10"/>
  <c r="GM223" i="10"/>
  <c r="GL223" i="10"/>
  <c r="GK223" i="10"/>
  <c r="GJ223" i="10"/>
  <c r="GI223" i="10"/>
  <c r="GH223" i="10"/>
  <c r="GG223" i="10"/>
  <c r="GF223" i="10"/>
  <c r="GE223" i="10"/>
  <c r="GD223" i="10"/>
  <c r="GC223" i="10"/>
  <c r="GB223" i="10"/>
  <c r="GA223" i="10"/>
  <c r="FZ223" i="10"/>
  <c r="FY223" i="10"/>
  <c r="FX223" i="10"/>
  <c r="FW223" i="10"/>
  <c r="FV223" i="10"/>
  <c r="FU223" i="10"/>
  <c r="FT223" i="10"/>
  <c r="FS223" i="10"/>
  <c r="FR223" i="10"/>
  <c r="FQ223" i="10"/>
  <c r="FP223" i="10"/>
  <c r="FO223" i="10"/>
  <c r="FN223" i="10"/>
  <c r="FM223" i="10"/>
  <c r="FL223" i="10"/>
  <c r="FK223" i="10"/>
  <c r="FJ223" i="10"/>
  <c r="FI223" i="10"/>
  <c r="FH223" i="10"/>
  <c r="FG223" i="10"/>
  <c r="FF223" i="10"/>
  <c r="FE223" i="10"/>
  <c r="FD223" i="10"/>
  <c r="FC223" i="10"/>
  <c r="GU222" i="10"/>
  <c r="GT222" i="10"/>
  <c r="GS222" i="10"/>
  <c r="GR222" i="10"/>
  <c r="GQ222" i="10"/>
  <c r="GP222" i="10"/>
  <c r="GO222" i="10"/>
  <c r="GN222" i="10"/>
  <c r="GM222" i="10"/>
  <c r="GL222" i="10"/>
  <c r="GK222" i="10"/>
  <c r="GJ222" i="10"/>
  <c r="GI222" i="10"/>
  <c r="GH222" i="10"/>
  <c r="GG222" i="10"/>
  <c r="GF222" i="10"/>
  <c r="GE222" i="10"/>
  <c r="GD222" i="10"/>
  <c r="GC222" i="10"/>
  <c r="GB222" i="10"/>
  <c r="GA222" i="10"/>
  <c r="FZ222" i="10"/>
  <c r="FY222" i="10"/>
  <c r="FX222" i="10"/>
  <c r="FW222" i="10"/>
  <c r="FV222" i="10"/>
  <c r="FU222" i="10"/>
  <c r="FT222" i="10"/>
  <c r="FS222" i="10"/>
  <c r="FR222" i="10"/>
  <c r="FQ222" i="10"/>
  <c r="FP222" i="10"/>
  <c r="FO222" i="10"/>
  <c r="FN222" i="10"/>
  <c r="FM222" i="10"/>
  <c r="FL222" i="10"/>
  <c r="FK222" i="10"/>
  <c r="FJ222" i="10"/>
  <c r="FI222" i="10"/>
  <c r="FH222" i="10"/>
  <c r="FG222" i="10"/>
  <c r="FF222" i="10"/>
  <c r="FE222" i="10"/>
  <c r="FD222" i="10"/>
  <c r="FC222" i="10"/>
  <c r="GU221" i="10"/>
  <c r="GT221" i="10"/>
  <c r="GS221" i="10"/>
  <c r="GR221" i="10"/>
  <c r="GQ221" i="10"/>
  <c r="GP221" i="10"/>
  <c r="GO221" i="10"/>
  <c r="GN221" i="10"/>
  <c r="GM221" i="10"/>
  <c r="GL221" i="10"/>
  <c r="GK221" i="10"/>
  <c r="GJ221" i="10"/>
  <c r="GI221" i="10"/>
  <c r="GH221" i="10"/>
  <c r="GG221" i="10"/>
  <c r="GF221" i="10"/>
  <c r="GE221" i="10"/>
  <c r="GD221" i="10"/>
  <c r="GC221" i="10"/>
  <c r="GB221" i="10"/>
  <c r="GA221" i="10"/>
  <c r="FZ221" i="10"/>
  <c r="FY221" i="10"/>
  <c r="FX221" i="10"/>
  <c r="FW221" i="10"/>
  <c r="FV221" i="10"/>
  <c r="FU221" i="10"/>
  <c r="FT221" i="10"/>
  <c r="FS221" i="10"/>
  <c r="FR221" i="10"/>
  <c r="FQ221" i="10"/>
  <c r="FP221" i="10"/>
  <c r="FO221" i="10"/>
  <c r="FN221" i="10"/>
  <c r="FM221" i="10"/>
  <c r="FL221" i="10"/>
  <c r="FK221" i="10"/>
  <c r="FJ221" i="10"/>
  <c r="FI221" i="10"/>
  <c r="FH221" i="10"/>
  <c r="FG221" i="10"/>
  <c r="FF221" i="10"/>
  <c r="FE221" i="10"/>
  <c r="FD221" i="10"/>
  <c r="FC221" i="10"/>
  <c r="GU220" i="10"/>
  <c r="GT220" i="10"/>
  <c r="GS220" i="10"/>
  <c r="GR220" i="10"/>
  <c r="GQ220" i="10"/>
  <c r="GP220" i="10"/>
  <c r="GO220" i="10"/>
  <c r="GN220" i="10"/>
  <c r="GM220" i="10"/>
  <c r="GL220" i="10"/>
  <c r="GK220" i="10"/>
  <c r="GJ220" i="10"/>
  <c r="GI220" i="10"/>
  <c r="GH220" i="10"/>
  <c r="GG220" i="10"/>
  <c r="GF220" i="10"/>
  <c r="GE220" i="10"/>
  <c r="GD220" i="10"/>
  <c r="GC220" i="10"/>
  <c r="GB220" i="10"/>
  <c r="GA220" i="10"/>
  <c r="FZ220" i="10"/>
  <c r="FY220" i="10"/>
  <c r="FX220" i="10"/>
  <c r="FW220" i="10"/>
  <c r="FV220" i="10"/>
  <c r="FU220" i="10"/>
  <c r="FT220" i="10"/>
  <c r="FS220" i="10"/>
  <c r="FR220" i="10"/>
  <c r="FQ220" i="10"/>
  <c r="FP220" i="10"/>
  <c r="FO220" i="10"/>
  <c r="FN220" i="10"/>
  <c r="FM220" i="10"/>
  <c r="FL220" i="10"/>
  <c r="FK220" i="10"/>
  <c r="FJ220" i="10"/>
  <c r="FI220" i="10"/>
  <c r="FH220" i="10"/>
  <c r="FG220" i="10"/>
  <c r="FF220" i="10"/>
  <c r="FE220" i="10"/>
  <c r="FD220" i="10"/>
  <c r="FC220" i="10"/>
  <c r="GU219" i="10"/>
  <c r="GT219" i="10"/>
  <c r="GS219" i="10"/>
  <c r="GR219" i="10"/>
  <c r="GQ219" i="10"/>
  <c r="GP219" i="10"/>
  <c r="GO219" i="10"/>
  <c r="GN219" i="10"/>
  <c r="GM219" i="10"/>
  <c r="GL219" i="10"/>
  <c r="GK219" i="10"/>
  <c r="GJ219" i="10"/>
  <c r="GI219" i="10"/>
  <c r="GH219" i="10"/>
  <c r="GG219" i="10"/>
  <c r="GF219" i="10"/>
  <c r="GE219" i="10"/>
  <c r="GD219" i="10"/>
  <c r="GC219" i="10"/>
  <c r="GB219" i="10"/>
  <c r="GA219" i="10"/>
  <c r="FZ219" i="10"/>
  <c r="FY219" i="10"/>
  <c r="FX219" i="10"/>
  <c r="FW219" i="10"/>
  <c r="FV219" i="10"/>
  <c r="FU219" i="10"/>
  <c r="FT219" i="10"/>
  <c r="FS219" i="10"/>
  <c r="FR219" i="10"/>
  <c r="FQ219" i="10"/>
  <c r="FP219" i="10"/>
  <c r="FO219" i="10"/>
  <c r="FN219" i="10"/>
  <c r="FM219" i="10"/>
  <c r="FL219" i="10"/>
  <c r="FK219" i="10"/>
  <c r="FJ219" i="10"/>
  <c r="FI219" i="10"/>
  <c r="FH219" i="10"/>
  <c r="FG219" i="10"/>
  <c r="FF219" i="10"/>
  <c r="FE219" i="10"/>
  <c r="FD219" i="10"/>
  <c r="FC219" i="10"/>
  <c r="GU218" i="10"/>
  <c r="GT218" i="10"/>
  <c r="GS218" i="10"/>
  <c r="GR218" i="10"/>
  <c r="GQ218" i="10"/>
  <c r="GP218" i="10"/>
  <c r="GO218" i="10"/>
  <c r="GN218" i="10"/>
  <c r="GM218" i="10"/>
  <c r="GL218" i="10"/>
  <c r="GK218" i="10"/>
  <c r="GJ218" i="10"/>
  <c r="GI218" i="10"/>
  <c r="GH218" i="10"/>
  <c r="GG218" i="10"/>
  <c r="GF218" i="10"/>
  <c r="GE218" i="10"/>
  <c r="GD218" i="10"/>
  <c r="GC218" i="10"/>
  <c r="GB218" i="10"/>
  <c r="GA218" i="10"/>
  <c r="FZ218" i="10"/>
  <c r="FY218" i="10"/>
  <c r="FX218" i="10"/>
  <c r="FW218" i="10"/>
  <c r="FV218" i="10"/>
  <c r="FU218" i="10"/>
  <c r="FT218" i="10"/>
  <c r="FS218" i="10"/>
  <c r="FR218" i="10"/>
  <c r="FQ218" i="10"/>
  <c r="FP218" i="10"/>
  <c r="FO218" i="10"/>
  <c r="FN218" i="10"/>
  <c r="FM218" i="10"/>
  <c r="FL218" i="10"/>
  <c r="FK218" i="10"/>
  <c r="FJ218" i="10"/>
  <c r="FI218" i="10"/>
  <c r="FH218" i="10"/>
  <c r="FG218" i="10"/>
  <c r="FF218" i="10"/>
  <c r="FE218" i="10"/>
  <c r="FD218" i="10"/>
  <c r="FC218" i="10"/>
  <c r="GU217" i="10"/>
  <c r="GT217" i="10"/>
  <c r="GS217" i="10"/>
  <c r="GR217" i="10"/>
  <c r="GQ217" i="10"/>
  <c r="GP217" i="10"/>
  <c r="GO217" i="10"/>
  <c r="GN217" i="10"/>
  <c r="GM217" i="10"/>
  <c r="GL217" i="10"/>
  <c r="GK217" i="10"/>
  <c r="GJ217" i="10"/>
  <c r="GI217" i="10"/>
  <c r="GH217" i="10"/>
  <c r="GG217" i="10"/>
  <c r="GF217" i="10"/>
  <c r="GE217" i="10"/>
  <c r="GD217" i="10"/>
  <c r="GC217" i="10"/>
  <c r="GB217" i="10"/>
  <c r="GA217" i="10"/>
  <c r="FZ217" i="10"/>
  <c r="FY217" i="10"/>
  <c r="FX217" i="10"/>
  <c r="FW217" i="10"/>
  <c r="FV217" i="10"/>
  <c r="FU217" i="10"/>
  <c r="FT217" i="10"/>
  <c r="FS217" i="10"/>
  <c r="FR217" i="10"/>
  <c r="FQ217" i="10"/>
  <c r="FP217" i="10"/>
  <c r="FO217" i="10"/>
  <c r="FN217" i="10"/>
  <c r="FM217" i="10"/>
  <c r="FL217" i="10"/>
  <c r="FK217" i="10"/>
  <c r="FJ217" i="10"/>
  <c r="FI217" i="10"/>
  <c r="FH217" i="10"/>
  <c r="FG217" i="10"/>
  <c r="FF217" i="10"/>
  <c r="FE217" i="10"/>
  <c r="FD217" i="10"/>
  <c r="FC217" i="10"/>
  <c r="GU216" i="10"/>
  <c r="GT216" i="10"/>
  <c r="GS216" i="10"/>
  <c r="GR216" i="10"/>
  <c r="GQ216" i="10"/>
  <c r="GP216" i="10"/>
  <c r="GO216" i="10"/>
  <c r="GN216" i="10"/>
  <c r="GM216" i="10"/>
  <c r="GL216" i="10"/>
  <c r="GK216" i="10"/>
  <c r="GJ216" i="10"/>
  <c r="GI216" i="10"/>
  <c r="GH216" i="10"/>
  <c r="GG216" i="10"/>
  <c r="GF216" i="10"/>
  <c r="GE216" i="10"/>
  <c r="GD216" i="10"/>
  <c r="GC216" i="10"/>
  <c r="GB216" i="10"/>
  <c r="GA216" i="10"/>
  <c r="FZ216" i="10"/>
  <c r="FY216" i="10"/>
  <c r="FX216" i="10"/>
  <c r="FW216" i="10"/>
  <c r="FV216" i="10"/>
  <c r="FU216" i="10"/>
  <c r="FT216" i="10"/>
  <c r="FS216" i="10"/>
  <c r="FR216" i="10"/>
  <c r="FQ216" i="10"/>
  <c r="FP216" i="10"/>
  <c r="FO216" i="10"/>
  <c r="FN216" i="10"/>
  <c r="FM216" i="10"/>
  <c r="FL216" i="10"/>
  <c r="FK216" i="10"/>
  <c r="FJ216" i="10"/>
  <c r="FI216" i="10"/>
  <c r="FH216" i="10"/>
  <c r="FG216" i="10"/>
  <c r="FF216" i="10"/>
  <c r="FE216" i="10"/>
  <c r="FD216" i="10"/>
  <c r="FC216" i="10"/>
  <c r="GU215" i="10"/>
  <c r="GT215" i="10"/>
  <c r="GS215" i="10"/>
  <c r="GR215" i="10"/>
  <c r="GQ215" i="10"/>
  <c r="GP215" i="10"/>
  <c r="GO215" i="10"/>
  <c r="GN215" i="10"/>
  <c r="GM215" i="10"/>
  <c r="GL215" i="10"/>
  <c r="GK215" i="10"/>
  <c r="GJ215" i="10"/>
  <c r="GI215" i="10"/>
  <c r="GH215" i="10"/>
  <c r="GG215" i="10"/>
  <c r="GF215" i="10"/>
  <c r="GE215" i="10"/>
  <c r="GD215" i="10"/>
  <c r="GC215" i="10"/>
  <c r="GB215" i="10"/>
  <c r="GA215" i="10"/>
  <c r="FZ215" i="10"/>
  <c r="FY215" i="10"/>
  <c r="FX215" i="10"/>
  <c r="FW215" i="10"/>
  <c r="FV215" i="10"/>
  <c r="FU215" i="10"/>
  <c r="FT215" i="10"/>
  <c r="FS215" i="10"/>
  <c r="FR215" i="10"/>
  <c r="FQ215" i="10"/>
  <c r="FP215" i="10"/>
  <c r="FO215" i="10"/>
  <c r="FN215" i="10"/>
  <c r="FM215" i="10"/>
  <c r="FL215" i="10"/>
  <c r="FK215" i="10"/>
  <c r="FJ215" i="10"/>
  <c r="FI215" i="10"/>
  <c r="FH215" i="10"/>
  <c r="FG215" i="10"/>
  <c r="FF215" i="10"/>
  <c r="FE215" i="10"/>
  <c r="FD215" i="10"/>
  <c r="FC215" i="10"/>
  <c r="GU214" i="10"/>
  <c r="GT214" i="10"/>
  <c r="GS214" i="10"/>
  <c r="GR214" i="10"/>
  <c r="GQ214" i="10"/>
  <c r="GP214" i="10"/>
  <c r="GO214" i="10"/>
  <c r="GN214" i="10"/>
  <c r="GM214" i="10"/>
  <c r="GL214" i="10"/>
  <c r="GK214" i="10"/>
  <c r="GJ214" i="10"/>
  <c r="GI214" i="10"/>
  <c r="GH214" i="10"/>
  <c r="GG214" i="10"/>
  <c r="GF214" i="10"/>
  <c r="GE214" i="10"/>
  <c r="GD214" i="10"/>
  <c r="GC214" i="10"/>
  <c r="GB214" i="10"/>
  <c r="GA214" i="10"/>
  <c r="FZ214" i="10"/>
  <c r="FY214" i="10"/>
  <c r="FX214" i="10"/>
  <c r="FW214" i="10"/>
  <c r="FV214" i="10"/>
  <c r="FU214" i="10"/>
  <c r="FT214" i="10"/>
  <c r="FS214" i="10"/>
  <c r="FR214" i="10"/>
  <c r="FQ214" i="10"/>
  <c r="FP214" i="10"/>
  <c r="FO214" i="10"/>
  <c r="FN214" i="10"/>
  <c r="FM214" i="10"/>
  <c r="FL214" i="10"/>
  <c r="FK214" i="10"/>
  <c r="FJ214" i="10"/>
  <c r="FI214" i="10"/>
  <c r="FH214" i="10"/>
  <c r="FG214" i="10"/>
  <c r="FF214" i="10"/>
  <c r="FE214" i="10"/>
  <c r="FD214" i="10"/>
  <c r="FC214" i="10"/>
  <c r="GU213" i="10"/>
  <c r="GT213" i="10"/>
  <c r="GS213" i="10"/>
  <c r="GR213" i="10"/>
  <c r="GQ213" i="10"/>
  <c r="GP213" i="10"/>
  <c r="GO213" i="10"/>
  <c r="GN213" i="10"/>
  <c r="GM213" i="10"/>
  <c r="GL213" i="10"/>
  <c r="GK213" i="10"/>
  <c r="GJ213" i="10"/>
  <c r="GI213" i="10"/>
  <c r="GH213" i="10"/>
  <c r="GG213" i="10"/>
  <c r="GF213" i="10"/>
  <c r="GE213" i="10"/>
  <c r="GD213" i="10"/>
  <c r="GC213" i="10"/>
  <c r="GB213" i="10"/>
  <c r="GA213" i="10"/>
  <c r="FZ213" i="10"/>
  <c r="FY213" i="10"/>
  <c r="FX213" i="10"/>
  <c r="FW213" i="10"/>
  <c r="FV213" i="10"/>
  <c r="FU213" i="10"/>
  <c r="FT213" i="10"/>
  <c r="FS213" i="10"/>
  <c r="FR213" i="10"/>
  <c r="FQ213" i="10"/>
  <c r="FP213" i="10"/>
  <c r="FO213" i="10"/>
  <c r="FN213" i="10"/>
  <c r="FM213" i="10"/>
  <c r="FL213" i="10"/>
  <c r="FK213" i="10"/>
  <c r="FJ213" i="10"/>
  <c r="FI213" i="10"/>
  <c r="FH213" i="10"/>
  <c r="FG213" i="10"/>
  <c r="FF213" i="10"/>
  <c r="FE213" i="10"/>
  <c r="FD213" i="10"/>
  <c r="FC213" i="10"/>
  <c r="GU212" i="10"/>
  <c r="GT212" i="10"/>
  <c r="GS212" i="10"/>
  <c r="GR212" i="10"/>
  <c r="GQ212" i="10"/>
  <c r="GP212" i="10"/>
  <c r="GO212" i="10"/>
  <c r="GN212" i="10"/>
  <c r="GM212" i="10"/>
  <c r="GL212" i="10"/>
  <c r="GK212" i="10"/>
  <c r="GJ212" i="10"/>
  <c r="GI212" i="10"/>
  <c r="GH212" i="10"/>
  <c r="GG212" i="10"/>
  <c r="GF212" i="10"/>
  <c r="GE212" i="10"/>
  <c r="GD212" i="10"/>
  <c r="GC212" i="10"/>
  <c r="GB212" i="10"/>
  <c r="GA212" i="10"/>
  <c r="FZ212" i="10"/>
  <c r="FY212" i="10"/>
  <c r="FX212" i="10"/>
  <c r="FW212" i="10"/>
  <c r="FV212" i="10"/>
  <c r="FU212" i="10"/>
  <c r="FT212" i="10"/>
  <c r="FS212" i="10"/>
  <c r="FR212" i="10"/>
  <c r="FQ212" i="10"/>
  <c r="FP212" i="10"/>
  <c r="FO212" i="10"/>
  <c r="FN212" i="10"/>
  <c r="FM212" i="10"/>
  <c r="FL212" i="10"/>
  <c r="FK212" i="10"/>
  <c r="FJ212" i="10"/>
  <c r="FI212" i="10"/>
  <c r="FH212" i="10"/>
  <c r="FG212" i="10"/>
  <c r="FF212" i="10"/>
  <c r="FE212" i="10"/>
  <c r="FD212" i="10"/>
  <c r="FC212" i="10"/>
  <c r="GU211" i="10"/>
  <c r="GT211" i="10"/>
  <c r="GS211" i="10"/>
  <c r="GR211" i="10"/>
  <c r="GQ211" i="10"/>
  <c r="GP211" i="10"/>
  <c r="GO211" i="10"/>
  <c r="GN211" i="10"/>
  <c r="GM211" i="10"/>
  <c r="GL211" i="10"/>
  <c r="GK211" i="10"/>
  <c r="GJ211" i="10"/>
  <c r="GI211" i="10"/>
  <c r="GH211" i="10"/>
  <c r="GG211" i="10"/>
  <c r="GF211" i="10"/>
  <c r="GE211" i="10"/>
  <c r="GD211" i="10"/>
  <c r="GC211" i="10"/>
  <c r="GB211" i="10"/>
  <c r="GA211" i="10"/>
  <c r="FZ211" i="10"/>
  <c r="FY211" i="10"/>
  <c r="FX211" i="10"/>
  <c r="FW211" i="10"/>
  <c r="FV211" i="10"/>
  <c r="FU211" i="10"/>
  <c r="FT211" i="10"/>
  <c r="FS211" i="10"/>
  <c r="FR211" i="10"/>
  <c r="FQ211" i="10"/>
  <c r="FP211" i="10"/>
  <c r="FO211" i="10"/>
  <c r="FN211" i="10"/>
  <c r="FM211" i="10"/>
  <c r="FL211" i="10"/>
  <c r="FK211" i="10"/>
  <c r="FJ211" i="10"/>
  <c r="FI211" i="10"/>
  <c r="FH211" i="10"/>
  <c r="FG211" i="10"/>
  <c r="FF211" i="10"/>
  <c r="FE211" i="10"/>
  <c r="FD211" i="10"/>
  <c r="FC211" i="10"/>
  <c r="GU210" i="10"/>
  <c r="GT210" i="10"/>
  <c r="GS210" i="10"/>
  <c r="GR210" i="10"/>
  <c r="GQ210" i="10"/>
  <c r="GP210" i="10"/>
  <c r="GO210" i="10"/>
  <c r="GN210" i="10"/>
  <c r="GM210" i="10"/>
  <c r="GL210" i="10"/>
  <c r="GK210" i="10"/>
  <c r="GJ210" i="10"/>
  <c r="GI210" i="10"/>
  <c r="GH210" i="10"/>
  <c r="GG210" i="10"/>
  <c r="GF210" i="10"/>
  <c r="GE210" i="10"/>
  <c r="GD210" i="10"/>
  <c r="GC210" i="10"/>
  <c r="GB210" i="10"/>
  <c r="GA210" i="10"/>
  <c r="FZ210" i="10"/>
  <c r="FY210" i="10"/>
  <c r="FX210" i="10"/>
  <c r="FW210" i="10"/>
  <c r="FV210" i="10"/>
  <c r="FU210" i="10"/>
  <c r="FT210" i="10"/>
  <c r="FS210" i="10"/>
  <c r="FR210" i="10"/>
  <c r="FQ210" i="10"/>
  <c r="FP210" i="10"/>
  <c r="FO210" i="10"/>
  <c r="FN210" i="10"/>
  <c r="FM210" i="10"/>
  <c r="FL210" i="10"/>
  <c r="FK210" i="10"/>
  <c r="FJ210" i="10"/>
  <c r="FI210" i="10"/>
  <c r="FH210" i="10"/>
  <c r="FG210" i="10"/>
  <c r="FF210" i="10"/>
  <c r="FE210" i="10"/>
  <c r="FD210" i="10"/>
  <c r="FC210" i="10"/>
  <c r="GU209" i="10"/>
  <c r="GT209" i="10"/>
  <c r="GS209" i="10"/>
  <c r="GR209" i="10"/>
  <c r="GQ209" i="10"/>
  <c r="GP209" i="10"/>
  <c r="GO209" i="10"/>
  <c r="GN209" i="10"/>
  <c r="GM209" i="10"/>
  <c r="GL209" i="10"/>
  <c r="GK209" i="10"/>
  <c r="GJ209" i="10"/>
  <c r="GI209" i="10"/>
  <c r="GH209" i="10"/>
  <c r="GG209" i="10"/>
  <c r="GF209" i="10"/>
  <c r="GE209" i="10"/>
  <c r="GD209" i="10"/>
  <c r="GC209" i="10"/>
  <c r="GB209" i="10"/>
  <c r="GA209" i="10"/>
  <c r="FZ209" i="10"/>
  <c r="FY209" i="10"/>
  <c r="FX209" i="10"/>
  <c r="FW209" i="10"/>
  <c r="FV209" i="10"/>
  <c r="FU209" i="10"/>
  <c r="FT209" i="10"/>
  <c r="FS209" i="10"/>
  <c r="FR209" i="10"/>
  <c r="FQ209" i="10"/>
  <c r="FP209" i="10"/>
  <c r="FO209" i="10"/>
  <c r="FN209" i="10"/>
  <c r="FM209" i="10"/>
  <c r="FL209" i="10"/>
  <c r="FK209" i="10"/>
  <c r="FJ209" i="10"/>
  <c r="FI209" i="10"/>
  <c r="FH209" i="10"/>
  <c r="FG209" i="10"/>
  <c r="FF209" i="10"/>
  <c r="FE209" i="10"/>
  <c r="FD209" i="10"/>
  <c r="FC209" i="10"/>
  <c r="GU208" i="10"/>
  <c r="GT208" i="10"/>
  <c r="GS208" i="10"/>
  <c r="GR208" i="10"/>
  <c r="GQ208" i="10"/>
  <c r="GP208" i="10"/>
  <c r="GO208" i="10"/>
  <c r="GN208" i="10"/>
  <c r="GM208" i="10"/>
  <c r="GL208" i="10"/>
  <c r="GK208" i="10"/>
  <c r="GJ208" i="10"/>
  <c r="GI208" i="10"/>
  <c r="GH208" i="10"/>
  <c r="GG208" i="10"/>
  <c r="GF208" i="10"/>
  <c r="GE208" i="10"/>
  <c r="GD208" i="10"/>
  <c r="GC208" i="10"/>
  <c r="GB208" i="10"/>
  <c r="GA208" i="10"/>
  <c r="FZ208" i="10"/>
  <c r="FY208" i="10"/>
  <c r="FX208" i="10"/>
  <c r="FW208" i="10"/>
  <c r="FV208" i="10"/>
  <c r="FU208" i="10"/>
  <c r="FT208" i="10"/>
  <c r="FS208" i="10"/>
  <c r="FR208" i="10"/>
  <c r="FQ208" i="10"/>
  <c r="FP208" i="10"/>
  <c r="FO208" i="10"/>
  <c r="FN208" i="10"/>
  <c r="FM208" i="10"/>
  <c r="FL208" i="10"/>
  <c r="FK208" i="10"/>
  <c r="FJ208" i="10"/>
  <c r="FI208" i="10"/>
  <c r="FH208" i="10"/>
  <c r="FG208" i="10"/>
  <c r="FF208" i="10"/>
  <c r="FE208" i="10"/>
  <c r="FD208" i="10"/>
  <c r="FC208" i="10"/>
  <c r="GU207" i="10"/>
  <c r="GT207" i="10"/>
  <c r="GS207" i="10"/>
  <c r="GR207" i="10"/>
  <c r="GQ207" i="10"/>
  <c r="GP207" i="10"/>
  <c r="GO207" i="10"/>
  <c r="GN207" i="10"/>
  <c r="GM207" i="10"/>
  <c r="GL207" i="10"/>
  <c r="GK207" i="10"/>
  <c r="GJ207" i="10"/>
  <c r="GI207" i="10"/>
  <c r="GH207" i="10"/>
  <c r="GG207" i="10"/>
  <c r="GF207" i="10"/>
  <c r="GE207" i="10"/>
  <c r="GD207" i="10"/>
  <c r="GC207" i="10"/>
  <c r="GB207" i="10"/>
  <c r="GA207" i="10"/>
  <c r="FZ207" i="10"/>
  <c r="FY207" i="10"/>
  <c r="FX207" i="10"/>
  <c r="FW207" i="10"/>
  <c r="FV207" i="10"/>
  <c r="FU207" i="10"/>
  <c r="FT207" i="10"/>
  <c r="FS207" i="10"/>
  <c r="FR207" i="10"/>
  <c r="FQ207" i="10"/>
  <c r="FP207" i="10"/>
  <c r="FO207" i="10"/>
  <c r="FN207" i="10"/>
  <c r="FM207" i="10"/>
  <c r="FL207" i="10"/>
  <c r="FK207" i="10"/>
  <c r="FJ207" i="10"/>
  <c r="FI207" i="10"/>
  <c r="FH207" i="10"/>
  <c r="FG207" i="10"/>
  <c r="FF207" i="10"/>
  <c r="FE207" i="10"/>
  <c r="FD207" i="10"/>
  <c r="FC207" i="10"/>
  <c r="GU206" i="10"/>
  <c r="GT206" i="10"/>
  <c r="GS206" i="10"/>
  <c r="GR206" i="10"/>
  <c r="GQ206" i="10"/>
  <c r="GP206" i="10"/>
  <c r="GO206" i="10"/>
  <c r="GN206" i="10"/>
  <c r="GM206" i="10"/>
  <c r="GL206" i="10"/>
  <c r="GK206" i="10"/>
  <c r="GJ206" i="10"/>
  <c r="GI206" i="10"/>
  <c r="GH206" i="10"/>
  <c r="GG206" i="10"/>
  <c r="GF206" i="10"/>
  <c r="GE206" i="10"/>
  <c r="GD206" i="10"/>
  <c r="GC206" i="10"/>
  <c r="GB206" i="10"/>
  <c r="GA206" i="10"/>
  <c r="FZ206" i="10"/>
  <c r="FY206" i="10"/>
  <c r="FX206" i="10"/>
  <c r="FW206" i="10"/>
  <c r="FV206" i="10"/>
  <c r="FU206" i="10"/>
  <c r="FT206" i="10"/>
  <c r="FS206" i="10"/>
  <c r="FR206" i="10"/>
  <c r="FQ206" i="10"/>
  <c r="FP206" i="10"/>
  <c r="FO206" i="10"/>
  <c r="FN206" i="10"/>
  <c r="FM206" i="10"/>
  <c r="FL206" i="10"/>
  <c r="FK206" i="10"/>
  <c r="FJ206" i="10"/>
  <c r="FI206" i="10"/>
  <c r="FH206" i="10"/>
  <c r="FG206" i="10"/>
  <c r="FF206" i="10"/>
  <c r="FE206" i="10"/>
  <c r="FD206" i="10"/>
  <c r="FC206" i="10"/>
  <c r="GU205" i="10"/>
  <c r="GT205" i="10"/>
  <c r="GS205" i="10"/>
  <c r="GR205" i="10"/>
  <c r="GQ205" i="10"/>
  <c r="GP205" i="10"/>
  <c r="GO205" i="10"/>
  <c r="GN205" i="10"/>
  <c r="GM205" i="10"/>
  <c r="GL205" i="10"/>
  <c r="GK205" i="10"/>
  <c r="GJ205" i="10"/>
  <c r="GI205" i="10"/>
  <c r="GH205" i="10"/>
  <c r="GG205" i="10"/>
  <c r="GF205" i="10"/>
  <c r="GE205" i="10"/>
  <c r="GD205" i="10"/>
  <c r="GC205" i="10"/>
  <c r="GB205" i="10"/>
  <c r="GA205" i="10"/>
  <c r="FZ205" i="10"/>
  <c r="FY205" i="10"/>
  <c r="FX205" i="10"/>
  <c r="FW205" i="10"/>
  <c r="FV205" i="10"/>
  <c r="FU205" i="10"/>
  <c r="FT205" i="10"/>
  <c r="FS205" i="10"/>
  <c r="FR205" i="10"/>
  <c r="FQ205" i="10"/>
  <c r="FP205" i="10"/>
  <c r="FO205" i="10"/>
  <c r="FN205" i="10"/>
  <c r="FM205" i="10"/>
  <c r="FL205" i="10"/>
  <c r="FK205" i="10"/>
  <c r="FJ205" i="10"/>
  <c r="FI205" i="10"/>
  <c r="FH205" i="10"/>
  <c r="FG205" i="10"/>
  <c r="FF205" i="10"/>
  <c r="FE205" i="10"/>
  <c r="FD205" i="10"/>
  <c r="FC205" i="10"/>
  <c r="GU204" i="10"/>
  <c r="GT204" i="10"/>
  <c r="GS204" i="10"/>
  <c r="GR204" i="10"/>
  <c r="GQ204" i="10"/>
  <c r="GP204" i="10"/>
  <c r="GO204" i="10"/>
  <c r="GN204" i="10"/>
  <c r="GM204" i="10"/>
  <c r="GL204" i="10"/>
  <c r="GK204" i="10"/>
  <c r="GJ204" i="10"/>
  <c r="GI204" i="10"/>
  <c r="GH204" i="10"/>
  <c r="GG204" i="10"/>
  <c r="GF204" i="10"/>
  <c r="GE204" i="10"/>
  <c r="GD204" i="10"/>
  <c r="GC204" i="10"/>
  <c r="GB204" i="10"/>
  <c r="GA204" i="10"/>
  <c r="FZ204" i="10"/>
  <c r="FY204" i="10"/>
  <c r="FX204" i="10"/>
  <c r="FW204" i="10"/>
  <c r="FV204" i="10"/>
  <c r="FU204" i="10"/>
  <c r="FT204" i="10"/>
  <c r="FS204" i="10"/>
  <c r="FR204" i="10"/>
  <c r="FQ204" i="10"/>
  <c r="FP204" i="10"/>
  <c r="FO204" i="10"/>
  <c r="FN204" i="10"/>
  <c r="FM204" i="10"/>
  <c r="FL204" i="10"/>
  <c r="FK204" i="10"/>
  <c r="FJ204" i="10"/>
  <c r="FI204" i="10"/>
  <c r="FH204" i="10"/>
  <c r="FG204" i="10"/>
  <c r="FF204" i="10"/>
  <c r="FE204" i="10"/>
  <c r="FD204" i="10"/>
  <c r="FC204" i="10"/>
  <c r="GU203" i="10"/>
  <c r="GT203" i="10"/>
  <c r="GS203" i="10"/>
  <c r="GR203" i="10"/>
  <c r="GQ203" i="10"/>
  <c r="GP203" i="10"/>
  <c r="GO203" i="10"/>
  <c r="GN203" i="10"/>
  <c r="GM203" i="10"/>
  <c r="GL203" i="10"/>
  <c r="GK203" i="10"/>
  <c r="GJ203" i="10"/>
  <c r="GI203" i="10"/>
  <c r="GH203" i="10"/>
  <c r="GG203" i="10"/>
  <c r="GF203" i="10"/>
  <c r="GE203" i="10"/>
  <c r="GD203" i="10"/>
  <c r="GC203" i="10"/>
  <c r="GB203" i="10"/>
  <c r="GA203" i="10"/>
  <c r="FZ203" i="10"/>
  <c r="FY203" i="10"/>
  <c r="FX203" i="10"/>
  <c r="FW203" i="10"/>
  <c r="FV203" i="10"/>
  <c r="FU203" i="10"/>
  <c r="FT203" i="10"/>
  <c r="FS203" i="10"/>
  <c r="FR203" i="10"/>
  <c r="FQ203" i="10"/>
  <c r="FP203" i="10"/>
  <c r="FO203" i="10"/>
  <c r="FN203" i="10"/>
  <c r="FM203" i="10"/>
  <c r="FL203" i="10"/>
  <c r="FK203" i="10"/>
  <c r="FJ203" i="10"/>
  <c r="FI203" i="10"/>
  <c r="FH203" i="10"/>
  <c r="FG203" i="10"/>
  <c r="FF203" i="10"/>
  <c r="FE203" i="10"/>
  <c r="FD203" i="10"/>
  <c r="FC203" i="10"/>
  <c r="GU202" i="10"/>
  <c r="GT202" i="10"/>
  <c r="GS202" i="10"/>
  <c r="GR202" i="10"/>
  <c r="GQ202" i="10"/>
  <c r="GP202" i="10"/>
  <c r="GO202" i="10"/>
  <c r="GN202" i="10"/>
  <c r="GM202" i="10"/>
  <c r="GL202" i="10"/>
  <c r="GK202" i="10"/>
  <c r="GJ202" i="10"/>
  <c r="GI202" i="10"/>
  <c r="GH202" i="10"/>
  <c r="GG202" i="10"/>
  <c r="GF202" i="10"/>
  <c r="GE202" i="10"/>
  <c r="GD202" i="10"/>
  <c r="GC202" i="10"/>
  <c r="GB202" i="10"/>
  <c r="GA202" i="10"/>
  <c r="FZ202" i="10"/>
  <c r="FY202" i="10"/>
  <c r="FX202" i="10"/>
  <c r="FW202" i="10"/>
  <c r="FV202" i="10"/>
  <c r="FU202" i="10"/>
  <c r="FT202" i="10"/>
  <c r="FS202" i="10"/>
  <c r="FR202" i="10"/>
  <c r="FQ202" i="10"/>
  <c r="FP202" i="10"/>
  <c r="FO202" i="10"/>
  <c r="FN202" i="10"/>
  <c r="FM202" i="10"/>
  <c r="FL202" i="10"/>
  <c r="FK202" i="10"/>
  <c r="FJ202" i="10"/>
  <c r="FI202" i="10"/>
  <c r="FH202" i="10"/>
  <c r="FG202" i="10"/>
  <c r="FF202" i="10"/>
  <c r="FE202" i="10"/>
  <c r="FD202" i="10"/>
  <c r="FC202" i="10"/>
  <c r="GU201" i="10"/>
  <c r="GT201" i="10"/>
  <c r="GS201" i="10"/>
  <c r="GR201" i="10"/>
  <c r="GQ201" i="10"/>
  <c r="GP201" i="10"/>
  <c r="GO201" i="10"/>
  <c r="GN201" i="10"/>
  <c r="GM201" i="10"/>
  <c r="GL201" i="10"/>
  <c r="GK201" i="10"/>
  <c r="GJ201" i="10"/>
  <c r="GI201" i="10"/>
  <c r="GH201" i="10"/>
  <c r="GG201" i="10"/>
  <c r="GF201" i="10"/>
  <c r="GE201" i="10"/>
  <c r="GD201" i="10"/>
  <c r="GC201" i="10"/>
  <c r="GB201" i="10"/>
  <c r="GA201" i="10"/>
  <c r="FZ201" i="10"/>
  <c r="FY201" i="10"/>
  <c r="FX201" i="10"/>
  <c r="FW201" i="10"/>
  <c r="FV201" i="10"/>
  <c r="FU201" i="10"/>
  <c r="FT201" i="10"/>
  <c r="FS201" i="10"/>
  <c r="FR201" i="10"/>
  <c r="FQ201" i="10"/>
  <c r="FP201" i="10"/>
  <c r="FO201" i="10"/>
  <c r="FN201" i="10"/>
  <c r="FM201" i="10"/>
  <c r="FL201" i="10"/>
  <c r="FK201" i="10"/>
  <c r="FJ201" i="10"/>
  <c r="FI201" i="10"/>
  <c r="FH201" i="10"/>
  <c r="FG201" i="10"/>
  <c r="FF201" i="10"/>
  <c r="FE201" i="10"/>
  <c r="FD201" i="10"/>
  <c r="FC201" i="10"/>
  <c r="GU200" i="10"/>
  <c r="GT200" i="10"/>
  <c r="GS200" i="10"/>
  <c r="GR200" i="10"/>
  <c r="GQ200" i="10"/>
  <c r="GP200" i="10"/>
  <c r="GO200" i="10"/>
  <c r="GN200" i="10"/>
  <c r="GM200" i="10"/>
  <c r="GL200" i="10"/>
  <c r="GK200" i="10"/>
  <c r="GJ200" i="10"/>
  <c r="GI200" i="10"/>
  <c r="GH200" i="10"/>
  <c r="GG200" i="10"/>
  <c r="GF200" i="10"/>
  <c r="GE200" i="10"/>
  <c r="GD200" i="10"/>
  <c r="GC200" i="10"/>
  <c r="GB200" i="10"/>
  <c r="GA200" i="10"/>
  <c r="FZ200" i="10"/>
  <c r="FY200" i="10"/>
  <c r="FX200" i="10"/>
  <c r="FW200" i="10"/>
  <c r="FV200" i="10"/>
  <c r="FU200" i="10"/>
  <c r="FT200" i="10"/>
  <c r="FS200" i="10"/>
  <c r="FR200" i="10"/>
  <c r="FQ200" i="10"/>
  <c r="FP200" i="10"/>
  <c r="FO200" i="10"/>
  <c r="FN200" i="10"/>
  <c r="FM200" i="10"/>
  <c r="FL200" i="10"/>
  <c r="FK200" i="10"/>
  <c r="FJ200" i="10"/>
  <c r="FI200" i="10"/>
  <c r="FH200" i="10"/>
  <c r="FG200" i="10"/>
  <c r="FF200" i="10"/>
  <c r="FE200" i="10"/>
  <c r="FD200" i="10"/>
  <c r="FC200" i="10"/>
  <c r="GU199" i="10"/>
  <c r="GT199" i="10"/>
  <c r="GS199" i="10"/>
  <c r="GR199" i="10"/>
  <c r="GQ199" i="10"/>
  <c r="GP199" i="10"/>
  <c r="GO199" i="10"/>
  <c r="GN199" i="10"/>
  <c r="GM199" i="10"/>
  <c r="GL199" i="10"/>
  <c r="GK199" i="10"/>
  <c r="GJ199" i="10"/>
  <c r="GI199" i="10"/>
  <c r="GH199" i="10"/>
  <c r="GG199" i="10"/>
  <c r="GF199" i="10"/>
  <c r="GE199" i="10"/>
  <c r="GD199" i="10"/>
  <c r="GC199" i="10"/>
  <c r="GB199" i="10"/>
  <c r="GA199" i="10"/>
  <c r="FZ199" i="10"/>
  <c r="FY199" i="10"/>
  <c r="FX199" i="10"/>
  <c r="FW199" i="10"/>
  <c r="FV199" i="10"/>
  <c r="FU199" i="10"/>
  <c r="FT199" i="10"/>
  <c r="FS199" i="10"/>
  <c r="FR199" i="10"/>
  <c r="FQ199" i="10"/>
  <c r="FP199" i="10"/>
  <c r="FO199" i="10"/>
  <c r="FN199" i="10"/>
  <c r="FM199" i="10"/>
  <c r="FL199" i="10"/>
  <c r="FK199" i="10"/>
  <c r="FJ199" i="10"/>
  <c r="FI199" i="10"/>
  <c r="FH199" i="10"/>
  <c r="FG199" i="10"/>
  <c r="FF199" i="10"/>
  <c r="FE199" i="10"/>
  <c r="FD199" i="10"/>
  <c r="FC199" i="10"/>
  <c r="GU198" i="10"/>
  <c r="GT198" i="10"/>
  <c r="GS198" i="10"/>
  <c r="GR198" i="10"/>
  <c r="GQ198" i="10"/>
  <c r="GP198" i="10"/>
  <c r="GO198" i="10"/>
  <c r="GN198" i="10"/>
  <c r="GM198" i="10"/>
  <c r="GL198" i="10"/>
  <c r="GK198" i="10"/>
  <c r="GJ198" i="10"/>
  <c r="GI198" i="10"/>
  <c r="GH198" i="10"/>
  <c r="GG198" i="10"/>
  <c r="GF198" i="10"/>
  <c r="GE198" i="10"/>
  <c r="GD198" i="10"/>
  <c r="GC198" i="10"/>
  <c r="GB198" i="10"/>
  <c r="GA198" i="10"/>
  <c r="FZ198" i="10"/>
  <c r="FY198" i="10"/>
  <c r="FX198" i="10"/>
  <c r="FW198" i="10"/>
  <c r="FV198" i="10"/>
  <c r="FU198" i="10"/>
  <c r="FT198" i="10"/>
  <c r="FS198" i="10"/>
  <c r="FR198" i="10"/>
  <c r="FQ198" i="10"/>
  <c r="FP198" i="10"/>
  <c r="FO198" i="10"/>
  <c r="FN198" i="10"/>
  <c r="FM198" i="10"/>
  <c r="FL198" i="10"/>
  <c r="FK198" i="10"/>
  <c r="FJ198" i="10"/>
  <c r="FI198" i="10"/>
  <c r="FH198" i="10"/>
  <c r="FG198" i="10"/>
  <c r="FF198" i="10"/>
  <c r="FE198" i="10"/>
  <c r="FD198" i="10"/>
  <c r="FC198" i="10"/>
  <c r="GU197" i="10"/>
  <c r="GT197" i="10"/>
  <c r="GS197" i="10"/>
  <c r="GR197" i="10"/>
  <c r="GQ197" i="10"/>
  <c r="GP197" i="10"/>
  <c r="GO197" i="10"/>
  <c r="GN197" i="10"/>
  <c r="GM197" i="10"/>
  <c r="GL197" i="10"/>
  <c r="GK197" i="10"/>
  <c r="GJ197" i="10"/>
  <c r="GI197" i="10"/>
  <c r="GH197" i="10"/>
  <c r="GG197" i="10"/>
  <c r="GF197" i="10"/>
  <c r="GE197" i="10"/>
  <c r="GD197" i="10"/>
  <c r="GC197" i="10"/>
  <c r="GB197" i="10"/>
  <c r="GA197" i="10"/>
  <c r="FZ197" i="10"/>
  <c r="FY197" i="10"/>
  <c r="FX197" i="10"/>
  <c r="FW197" i="10"/>
  <c r="FV197" i="10"/>
  <c r="FU197" i="10"/>
  <c r="FT197" i="10"/>
  <c r="FS197" i="10"/>
  <c r="FR197" i="10"/>
  <c r="FQ197" i="10"/>
  <c r="FP197" i="10"/>
  <c r="FO197" i="10"/>
  <c r="FN197" i="10"/>
  <c r="FM197" i="10"/>
  <c r="FL197" i="10"/>
  <c r="FK197" i="10"/>
  <c r="FJ197" i="10"/>
  <c r="FI197" i="10"/>
  <c r="FH197" i="10"/>
  <c r="FG197" i="10"/>
  <c r="FF197" i="10"/>
  <c r="FE197" i="10"/>
  <c r="FD197" i="10"/>
  <c r="FC197" i="10"/>
  <c r="GU196" i="10"/>
  <c r="GT196" i="10"/>
  <c r="GS196" i="10"/>
  <c r="GR196" i="10"/>
  <c r="GQ196" i="10"/>
  <c r="GP196" i="10"/>
  <c r="GO196" i="10"/>
  <c r="GN196" i="10"/>
  <c r="GM196" i="10"/>
  <c r="GL196" i="10"/>
  <c r="GK196" i="10"/>
  <c r="GJ196" i="10"/>
  <c r="GI196" i="10"/>
  <c r="GH196" i="10"/>
  <c r="GG196" i="10"/>
  <c r="GF196" i="10"/>
  <c r="GE196" i="10"/>
  <c r="GD196" i="10"/>
  <c r="GC196" i="10"/>
  <c r="GB196" i="10"/>
  <c r="GA196" i="10"/>
  <c r="FZ196" i="10"/>
  <c r="FY196" i="10"/>
  <c r="FX196" i="10"/>
  <c r="FW196" i="10"/>
  <c r="FV196" i="10"/>
  <c r="FU196" i="10"/>
  <c r="FT196" i="10"/>
  <c r="FS196" i="10"/>
  <c r="FR196" i="10"/>
  <c r="FQ196" i="10"/>
  <c r="FP196" i="10"/>
  <c r="FO196" i="10"/>
  <c r="FN196" i="10"/>
  <c r="FM196" i="10"/>
  <c r="FL196" i="10"/>
  <c r="FK196" i="10"/>
  <c r="FJ196" i="10"/>
  <c r="FI196" i="10"/>
  <c r="FH196" i="10"/>
  <c r="FG196" i="10"/>
  <c r="FF196" i="10"/>
  <c r="FE196" i="10"/>
  <c r="FD196" i="10"/>
  <c r="FC196" i="10"/>
  <c r="GU195" i="10"/>
  <c r="GT195" i="10"/>
  <c r="GS195" i="10"/>
  <c r="GR195" i="10"/>
  <c r="GQ195" i="10"/>
  <c r="GP195" i="10"/>
  <c r="GO195" i="10"/>
  <c r="GN195" i="10"/>
  <c r="GM195" i="10"/>
  <c r="GL195" i="10"/>
  <c r="GK195" i="10"/>
  <c r="GJ195" i="10"/>
  <c r="GI195" i="10"/>
  <c r="GH195" i="10"/>
  <c r="GG195" i="10"/>
  <c r="GF195" i="10"/>
  <c r="GE195" i="10"/>
  <c r="GD195" i="10"/>
  <c r="GC195" i="10"/>
  <c r="GB195" i="10"/>
  <c r="GA195" i="10"/>
  <c r="FZ195" i="10"/>
  <c r="FY195" i="10"/>
  <c r="FX195" i="10"/>
  <c r="FW195" i="10"/>
  <c r="FV195" i="10"/>
  <c r="FU195" i="10"/>
  <c r="FT195" i="10"/>
  <c r="FS195" i="10"/>
  <c r="FR195" i="10"/>
  <c r="FQ195" i="10"/>
  <c r="FP195" i="10"/>
  <c r="FO195" i="10"/>
  <c r="FN195" i="10"/>
  <c r="FM195" i="10"/>
  <c r="FL195" i="10"/>
  <c r="FK195" i="10"/>
  <c r="FJ195" i="10"/>
  <c r="FI195" i="10"/>
  <c r="FH195" i="10"/>
  <c r="FG195" i="10"/>
  <c r="FF195" i="10"/>
  <c r="FE195" i="10"/>
  <c r="FD195" i="10"/>
  <c r="FC195" i="10"/>
  <c r="GU194" i="10"/>
  <c r="GT194" i="10"/>
  <c r="GS194" i="10"/>
  <c r="GR194" i="10"/>
  <c r="GQ194" i="10"/>
  <c r="GP194" i="10"/>
  <c r="GO194" i="10"/>
  <c r="GN194" i="10"/>
  <c r="GM194" i="10"/>
  <c r="GL194" i="10"/>
  <c r="GK194" i="10"/>
  <c r="GJ194" i="10"/>
  <c r="GI194" i="10"/>
  <c r="GH194" i="10"/>
  <c r="GG194" i="10"/>
  <c r="GF194" i="10"/>
  <c r="GE194" i="10"/>
  <c r="GD194" i="10"/>
  <c r="GC194" i="10"/>
  <c r="GB194" i="10"/>
  <c r="GA194" i="10"/>
  <c r="FZ194" i="10"/>
  <c r="FY194" i="10"/>
  <c r="FX194" i="10"/>
  <c r="FW194" i="10"/>
  <c r="FV194" i="10"/>
  <c r="FU194" i="10"/>
  <c r="FT194" i="10"/>
  <c r="FS194" i="10"/>
  <c r="FR194" i="10"/>
  <c r="FQ194" i="10"/>
  <c r="FP194" i="10"/>
  <c r="FO194" i="10"/>
  <c r="FN194" i="10"/>
  <c r="FM194" i="10"/>
  <c r="FL194" i="10"/>
  <c r="FK194" i="10"/>
  <c r="FJ194" i="10"/>
  <c r="FI194" i="10"/>
  <c r="FH194" i="10"/>
  <c r="FG194" i="10"/>
  <c r="FF194" i="10"/>
  <c r="FE194" i="10"/>
  <c r="FD194" i="10"/>
  <c r="FC194" i="10"/>
  <c r="GU193" i="10"/>
  <c r="GT193" i="10"/>
  <c r="GS193" i="10"/>
  <c r="GR193" i="10"/>
  <c r="GQ193" i="10"/>
  <c r="GP193" i="10"/>
  <c r="GO193" i="10"/>
  <c r="GN193" i="10"/>
  <c r="GM193" i="10"/>
  <c r="GL193" i="10"/>
  <c r="GK193" i="10"/>
  <c r="GJ193" i="10"/>
  <c r="GI193" i="10"/>
  <c r="GH193" i="10"/>
  <c r="GG193" i="10"/>
  <c r="GF193" i="10"/>
  <c r="GE193" i="10"/>
  <c r="GD193" i="10"/>
  <c r="GC193" i="10"/>
  <c r="GB193" i="10"/>
  <c r="GA193" i="10"/>
  <c r="FZ193" i="10"/>
  <c r="FY193" i="10"/>
  <c r="FX193" i="10"/>
  <c r="FW193" i="10"/>
  <c r="FV193" i="10"/>
  <c r="FU193" i="10"/>
  <c r="FT193" i="10"/>
  <c r="FS193" i="10"/>
  <c r="FR193" i="10"/>
  <c r="FQ193" i="10"/>
  <c r="FP193" i="10"/>
  <c r="FO193" i="10"/>
  <c r="FN193" i="10"/>
  <c r="FM193" i="10"/>
  <c r="FL193" i="10"/>
  <c r="FK193" i="10"/>
  <c r="FJ193" i="10"/>
  <c r="FI193" i="10"/>
  <c r="FH193" i="10"/>
  <c r="FG193" i="10"/>
  <c r="FF193" i="10"/>
  <c r="FE193" i="10"/>
  <c r="FD193" i="10"/>
  <c r="FC193" i="10"/>
  <c r="GU192" i="10"/>
  <c r="GT192" i="10"/>
  <c r="GS192" i="10"/>
  <c r="GR192" i="10"/>
  <c r="GQ192" i="10"/>
  <c r="GP192" i="10"/>
  <c r="GO192" i="10"/>
  <c r="GN192" i="10"/>
  <c r="GM192" i="10"/>
  <c r="GL192" i="10"/>
  <c r="GK192" i="10"/>
  <c r="GJ192" i="10"/>
  <c r="GI192" i="10"/>
  <c r="GH192" i="10"/>
  <c r="GG192" i="10"/>
  <c r="GF192" i="10"/>
  <c r="GE192" i="10"/>
  <c r="GD192" i="10"/>
  <c r="GC192" i="10"/>
  <c r="GB192" i="10"/>
  <c r="GA192" i="10"/>
  <c r="FZ192" i="10"/>
  <c r="FY192" i="10"/>
  <c r="FX192" i="10"/>
  <c r="FW192" i="10"/>
  <c r="FV192" i="10"/>
  <c r="FU192" i="10"/>
  <c r="FT192" i="10"/>
  <c r="FS192" i="10"/>
  <c r="FR192" i="10"/>
  <c r="FQ192" i="10"/>
  <c r="FP192" i="10"/>
  <c r="FO192" i="10"/>
  <c r="FN192" i="10"/>
  <c r="FM192" i="10"/>
  <c r="FL192" i="10"/>
  <c r="FK192" i="10"/>
  <c r="FJ192" i="10"/>
  <c r="FI192" i="10"/>
  <c r="FH192" i="10"/>
  <c r="FG192" i="10"/>
  <c r="FF192" i="10"/>
  <c r="FE192" i="10"/>
  <c r="FD192" i="10"/>
  <c r="FC192" i="10"/>
  <c r="GU191" i="10"/>
  <c r="GT191" i="10"/>
  <c r="GS191" i="10"/>
  <c r="GR191" i="10"/>
  <c r="GQ191" i="10"/>
  <c r="GP191" i="10"/>
  <c r="GO191" i="10"/>
  <c r="GN191" i="10"/>
  <c r="GM191" i="10"/>
  <c r="GL191" i="10"/>
  <c r="GK191" i="10"/>
  <c r="GJ191" i="10"/>
  <c r="GI191" i="10"/>
  <c r="GH191" i="10"/>
  <c r="GG191" i="10"/>
  <c r="GF191" i="10"/>
  <c r="GE191" i="10"/>
  <c r="GD191" i="10"/>
  <c r="GC191" i="10"/>
  <c r="GB191" i="10"/>
  <c r="GA191" i="10"/>
  <c r="FZ191" i="10"/>
  <c r="FY191" i="10"/>
  <c r="FX191" i="10"/>
  <c r="FW191" i="10"/>
  <c r="FV191" i="10"/>
  <c r="FU191" i="10"/>
  <c r="FT191" i="10"/>
  <c r="FS191" i="10"/>
  <c r="FR191" i="10"/>
  <c r="FQ191" i="10"/>
  <c r="FP191" i="10"/>
  <c r="FO191" i="10"/>
  <c r="FN191" i="10"/>
  <c r="FM191" i="10"/>
  <c r="FL191" i="10"/>
  <c r="FK191" i="10"/>
  <c r="FJ191" i="10"/>
  <c r="FI191" i="10"/>
  <c r="FH191" i="10"/>
  <c r="FG191" i="10"/>
  <c r="FF191" i="10"/>
  <c r="FE191" i="10"/>
  <c r="FD191" i="10"/>
  <c r="FC191" i="10"/>
  <c r="GU190" i="10"/>
  <c r="GT190" i="10"/>
  <c r="GS190" i="10"/>
  <c r="GR190" i="10"/>
  <c r="GQ190" i="10"/>
  <c r="GP190" i="10"/>
  <c r="GO190" i="10"/>
  <c r="GN190" i="10"/>
  <c r="GM190" i="10"/>
  <c r="GL190" i="10"/>
  <c r="GK190" i="10"/>
  <c r="GJ190" i="10"/>
  <c r="GI190" i="10"/>
  <c r="GH190" i="10"/>
  <c r="GG190" i="10"/>
  <c r="GF190" i="10"/>
  <c r="GE190" i="10"/>
  <c r="GD190" i="10"/>
  <c r="GC190" i="10"/>
  <c r="GB190" i="10"/>
  <c r="GA190" i="10"/>
  <c r="FZ190" i="10"/>
  <c r="FY190" i="10"/>
  <c r="FX190" i="10"/>
  <c r="FW190" i="10"/>
  <c r="FV190" i="10"/>
  <c r="FU190" i="10"/>
  <c r="FT190" i="10"/>
  <c r="FS190" i="10"/>
  <c r="FR190" i="10"/>
  <c r="FQ190" i="10"/>
  <c r="FP190" i="10"/>
  <c r="FO190" i="10"/>
  <c r="FN190" i="10"/>
  <c r="FM190" i="10"/>
  <c r="FL190" i="10"/>
  <c r="FK190" i="10"/>
  <c r="FJ190" i="10"/>
  <c r="FI190" i="10"/>
  <c r="FH190" i="10"/>
  <c r="FG190" i="10"/>
  <c r="FF190" i="10"/>
  <c r="FE190" i="10"/>
  <c r="FD190" i="10"/>
  <c r="FC190" i="10"/>
  <c r="GU189" i="10"/>
  <c r="GT189" i="10"/>
  <c r="GS189" i="10"/>
  <c r="GR189" i="10"/>
  <c r="GQ189" i="10"/>
  <c r="GP189" i="10"/>
  <c r="GO189" i="10"/>
  <c r="GN189" i="10"/>
  <c r="GM189" i="10"/>
  <c r="GL189" i="10"/>
  <c r="GK189" i="10"/>
  <c r="GJ189" i="10"/>
  <c r="GI189" i="10"/>
  <c r="GH189" i="10"/>
  <c r="GG189" i="10"/>
  <c r="GF189" i="10"/>
  <c r="GE189" i="10"/>
  <c r="GD189" i="10"/>
  <c r="GC189" i="10"/>
  <c r="GB189" i="10"/>
  <c r="GA189" i="10"/>
  <c r="FZ189" i="10"/>
  <c r="FY189" i="10"/>
  <c r="FX189" i="10"/>
  <c r="FW189" i="10"/>
  <c r="FV189" i="10"/>
  <c r="FU189" i="10"/>
  <c r="FT189" i="10"/>
  <c r="FS189" i="10"/>
  <c r="FR189" i="10"/>
  <c r="FQ189" i="10"/>
  <c r="FP189" i="10"/>
  <c r="FO189" i="10"/>
  <c r="FN189" i="10"/>
  <c r="FM189" i="10"/>
  <c r="FL189" i="10"/>
  <c r="FK189" i="10"/>
  <c r="FJ189" i="10"/>
  <c r="FI189" i="10"/>
  <c r="FH189" i="10"/>
  <c r="FG189" i="10"/>
  <c r="FF189" i="10"/>
  <c r="FE189" i="10"/>
  <c r="FD189" i="10"/>
  <c r="FC189" i="10"/>
  <c r="GU188" i="10"/>
  <c r="GT188" i="10"/>
  <c r="GS188" i="10"/>
  <c r="GR188" i="10"/>
  <c r="GQ188" i="10"/>
  <c r="GP188" i="10"/>
  <c r="GO188" i="10"/>
  <c r="GN188" i="10"/>
  <c r="GM188" i="10"/>
  <c r="GL188" i="10"/>
  <c r="GK188" i="10"/>
  <c r="GJ188" i="10"/>
  <c r="GI188" i="10"/>
  <c r="GH188" i="10"/>
  <c r="GG188" i="10"/>
  <c r="GF188" i="10"/>
  <c r="GE188" i="10"/>
  <c r="GD188" i="10"/>
  <c r="GC188" i="10"/>
  <c r="GB188" i="10"/>
  <c r="GA188" i="10"/>
  <c r="FZ188" i="10"/>
  <c r="FY188" i="10"/>
  <c r="FX188" i="10"/>
  <c r="FW188" i="10"/>
  <c r="FV188" i="10"/>
  <c r="FU188" i="10"/>
  <c r="FT188" i="10"/>
  <c r="FS188" i="10"/>
  <c r="FR188" i="10"/>
  <c r="FQ188" i="10"/>
  <c r="FP188" i="10"/>
  <c r="FO188" i="10"/>
  <c r="FN188" i="10"/>
  <c r="FM188" i="10"/>
  <c r="FL188" i="10"/>
  <c r="FK188" i="10"/>
  <c r="FJ188" i="10"/>
  <c r="FI188" i="10"/>
  <c r="FH188" i="10"/>
  <c r="FG188" i="10"/>
  <c r="FF188" i="10"/>
  <c r="FE188" i="10"/>
  <c r="FD188" i="10"/>
  <c r="FC188" i="10"/>
  <c r="GU187" i="10"/>
  <c r="GT187" i="10"/>
  <c r="GS187" i="10"/>
  <c r="GR187" i="10"/>
  <c r="GQ187" i="10"/>
  <c r="GP187" i="10"/>
  <c r="GO187" i="10"/>
  <c r="GN187" i="10"/>
  <c r="GM187" i="10"/>
  <c r="GL187" i="10"/>
  <c r="GK187" i="10"/>
  <c r="GJ187" i="10"/>
  <c r="GI187" i="10"/>
  <c r="GH187" i="10"/>
  <c r="GG187" i="10"/>
  <c r="GF187" i="10"/>
  <c r="GE187" i="10"/>
  <c r="GD187" i="10"/>
  <c r="GC187" i="10"/>
  <c r="GB187" i="10"/>
  <c r="GA187" i="10"/>
  <c r="FZ187" i="10"/>
  <c r="FY187" i="10"/>
  <c r="FX187" i="10"/>
  <c r="FW187" i="10"/>
  <c r="FV187" i="10"/>
  <c r="FU187" i="10"/>
  <c r="FT187" i="10"/>
  <c r="FS187" i="10"/>
  <c r="FR187" i="10"/>
  <c r="FQ187" i="10"/>
  <c r="FP187" i="10"/>
  <c r="FO187" i="10"/>
  <c r="FN187" i="10"/>
  <c r="FM187" i="10"/>
  <c r="FL187" i="10"/>
  <c r="FK187" i="10"/>
  <c r="FJ187" i="10"/>
  <c r="FI187" i="10"/>
  <c r="FH187" i="10"/>
  <c r="FG187" i="10"/>
  <c r="FF187" i="10"/>
  <c r="FE187" i="10"/>
  <c r="FD187" i="10"/>
  <c r="FC187" i="10"/>
  <c r="GU186" i="10"/>
  <c r="GT186" i="10"/>
  <c r="GS186" i="10"/>
  <c r="GR186" i="10"/>
  <c r="GQ186" i="10"/>
  <c r="GP186" i="10"/>
  <c r="GO186" i="10"/>
  <c r="GN186" i="10"/>
  <c r="GM186" i="10"/>
  <c r="GL186" i="10"/>
  <c r="GK186" i="10"/>
  <c r="GJ186" i="10"/>
  <c r="GI186" i="10"/>
  <c r="GH186" i="10"/>
  <c r="GG186" i="10"/>
  <c r="GF186" i="10"/>
  <c r="GE186" i="10"/>
  <c r="GD186" i="10"/>
  <c r="GC186" i="10"/>
  <c r="GB186" i="10"/>
  <c r="GA186" i="10"/>
  <c r="FZ186" i="10"/>
  <c r="FY186" i="10"/>
  <c r="FX186" i="10"/>
  <c r="FW186" i="10"/>
  <c r="FV186" i="10"/>
  <c r="FU186" i="10"/>
  <c r="FT186" i="10"/>
  <c r="FS186" i="10"/>
  <c r="FR186" i="10"/>
  <c r="FQ186" i="10"/>
  <c r="FP186" i="10"/>
  <c r="FO186" i="10"/>
  <c r="FN186" i="10"/>
  <c r="FM186" i="10"/>
  <c r="FL186" i="10"/>
  <c r="FK186" i="10"/>
  <c r="FJ186" i="10"/>
  <c r="FI186" i="10"/>
  <c r="FH186" i="10"/>
  <c r="FG186" i="10"/>
  <c r="FF186" i="10"/>
  <c r="FE186" i="10"/>
  <c r="FD186" i="10"/>
  <c r="FC186" i="10"/>
  <c r="GU185" i="10"/>
  <c r="GT185" i="10"/>
  <c r="GS185" i="10"/>
  <c r="GR185" i="10"/>
  <c r="GQ185" i="10"/>
  <c r="GP185" i="10"/>
  <c r="GO185" i="10"/>
  <c r="GN185" i="10"/>
  <c r="GM185" i="10"/>
  <c r="GL185" i="10"/>
  <c r="GK185" i="10"/>
  <c r="GJ185" i="10"/>
  <c r="GI185" i="10"/>
  <c r="GH185" i="10"/>
  <c r="GG185" i="10"/>
  <c r="GF185" i="10"/>
  <c r="GE185" i="10"/>
  <c r="GD185" i="10"/>
  <c r="GC185" i="10"/>
  <c r="GB185" i="10"/>
  <c r="GA185" i="10"/>
  <c r="FZ185" i="10"/>
  <c r="FY185" i="10"/>
  <c r="FX185" i="10"/>
  <c r="FW185" i="10"/>
  <c r="FV185" i="10"/>
  <c r="FU185" i="10"/>
  <c r="FT185" i="10"/>
  <c r="FS185" i="10"/>
  <c r="FR185" i="10"/>
  <c r="FQ185" i="10"/>
  <c r="FP185" i="10"/>
  <c r="FO185" i="10"/>
  <c r="FN185" i="10"/>
  <c r="FM185" i="10"/>
  <c r="FL185" i="10"/>
  <c r="FK185" i="10"/>
  <c r="FJ185" i="10"/>
  <c r="FI185" i="10"/>
  <c r="FH185" i="10"/>
  <c r="FG185" i="10"/>
  <c r="FF185" i="10"/>
  <c r="FE185" i="10"/>
  <c r="FD185" i="10"/>
  <c r="FC185" i="10"/>
  <c r="GU184" i="10"/>
  <c r="GT184" i="10"/>
  <c r="GS184" i="10"/>
  <c r="GR184" i="10"/>
  <c r="GQ184" i="10"/>
  <c r="GP184" i="10"/>
  <c r="GO184" i="10"/>
  <c r="GN184" i="10"/>
  <c r="GM184" i="10"/>
  <c r="GL184" i="10"/>
  <c r="GK184" i="10"/>
  <c r="GJ184" i="10"/>
  <c r="GI184" i="10"/>
  <c r="GH184" i="10"/>
  <c r="GG184" i="10"/>
  <c r="GF184" i="10"/>
  <c r="GE184" i="10"/>
  <c r="GD184" i="10"/>
  <c r="GC184" i="10"/>
  <c r="GB184" i="10"/>
  <c r="GA184" i="10"/>
  <c r="FZ184" i="10"/>
  <c r="FY184" i="10"/>
  <c r="FX184" i="10"/>
  <c r="FW184" i="10"/>
  <c r="FV184" i="10"/>
  <c r="FU184" i="10"/>
  <c r="FT184" i="10"/>
  <c r="FS184" i="10"/>
  <c r="FR184" i="10"/>
  <c r="FQ184" i="10"/>
  <c r="FP184" i="10"/>
  <c r="FO184" i="10"/>
  <c r="FN184" i="10"/>
  <c r="FM184" i="10"/>
  <c r="FL184" i="10"/>
  <c r="FK184" i="10"/>
  <c r="FJ184" i="10"/>
  <c r="FI184" i="10"/>
  <c r="FH184" i="10"/>
  <c r="FG184" i="10"/>
  <c r="FF184" i="10"/>
  <c r="FE184" i="10"/>
  <c r="FD184" i="10"/>
  <c r="FC184" i="10"/>
  <c r="GU183" i="10"/>
  <c r="GT183" i="10"/>
  <c r="GS183" i="10"/>
  <c r="GR183" i="10"/>
  <c r="GQ183" i="10"/>
  <c r="GP183" i="10"/>
  <c r="GO183" i="10"/>
  <c r="GN183" i="10"/>
  <c r="GM183" i="10"/>
  <c r="GL183" i="10"/>
  <c r="GK183" i="10"/>
  <c r="GJ183" i="10"/>
  <c r="GI183" i="10"/>
  <c r="GH183" i="10"/>
  <c r="GG183" i="10"/>
  <c r="GF183" i="10"/>
  <c r="GE183" i="10"/>
  <c r="GD183" i="10"/>
  <c r="GC183" i="10"/>
  <c r="GB183" i="10"/>
  <c r="GA183" i="10"/>
  <c r="FZ183" i="10"/>
  <c r="FY183" i="10"/>
  <c r="FX183" i="10"/>
  <c r="FW183" i="10"/>
  <c r="FV183" i="10"/>
  <c r="FU183" i="10"/>
  <c r="FT183" i="10"/>
  <c r="FS183" i="10"/>
  <c r="FR183" i="10"/>
  <c r="FQ183" i="10"/>
  <c r="FP183" i="10"/>
  <c r="FO183" i="10"/>
  <c r="FN183" i="10"/>
  <c r="FM183" i="10"/>
  <c r="FL183" i="10"/>
  <c r="FK183" i="10"/>
  <c r="FJ183" i="10"/>
  <c r="FI183" i="10"/>
  <c r="FH183" i="10"/>
  <c r="FG183" i="10"/>
  <c r="FF183" i="10"/>
  <c r="FE183" i="10"/>
  <c r="FD183" i="10"/>
  <c r="FC183" i="10"/>
  <c r="GU182" i="10"/>
  <c r="GT182" i="10"/>
  <c r="GS182" i="10"/>
  <c r="GR182" i="10"/>
  <c r="GQ182" i="10"/>
  <c r="GP182" i="10"/>
  <c r="GO182" i="10"/>
  <c r="GN182" i="10"/>
  <c r="GM182" i="10"/>
  <c r="GL182" i="10"/>
  <c r="GK182" i="10"/>
  <c r="GJ182" i="10"/>
  <c r="GI182" i="10"/>
  <c r="GH182" i="10"/>
  <c r="GG182" i="10"/>
  <c r="GF182" i="10"/>
  <c r="GE182" i="10"/>
  <c r="GD182" i="10"/>
  <c r="GC182" i="10"/>
  <c r="GB182" i="10"/>
  <c r="GA182" i="10"/>
  <c r="FZ182" i="10"/>
  <c r="FY182" i="10"/>
  <c r="FX182" i="10"/>
  <c r="FW182" i="10"/>
  <c r="FV182" i="10"/>
  <c r="FU182" i="10"/>
  <c r="FT182" i="10"/>
  <c r="FS182" i="10"/>
  <c r="FR182" i="10"/>
  <c r="FQ182" i="10"/>
  <c r="FP182" i="10"/>
  <c r="FO182" i="10"/>
  <c r="FN182" i="10"/>
  <c r="FM182" i="10"/>
  <c r="FL182" i="10"/>
  <c r="FK182" i="10"/>
  <c r="FJ182" i="10"/>
  <c r="FI182" i="10"/>
  <c r="FH182" i="10"/>
  <c r="FG182" i="10"/>
  <c r="FF182" i="10"/>
  <c r="FE182" i="10"/>
  <c r="FD182" i="10"/>
  <c r="FC182" i="10"/>
  <c r="GU181" i="10"/>
  <c r="GT181" i="10"/>
  <c r="GS181" i="10"/>
  <c r="GR181" i="10"/>
  <c r="GQ181" i="10"/>
  <c r="GP181" i="10"/>
  <c r="GO181" i="10"/>
  <c r="GN181" i="10"/>
  <c r="GM181" i="10"/>
  <c r="GL181" i="10"/>
  <c r="GK181" i="10"/>
  <c r="GJ181" i="10"/>
  <c r="GI181" i="10"/>
  <c r="GH181" i="10"/>
  <c r="GG181" i="10"/>
  <c r="GF181" i="10"/>
  <c r="GE181" i="10"/>
  <c r="GD181" i="10"/>
  <c r="GC181" i="10"/>
  <c r="GB181" i="10"/>
  <c r="GA181" i="10"/>
  <c r="FZ181" i="10"/>
  <c r="FY181" i="10"/>
  <c r="FX181" i="10"/>
  <c r="FW181" i="10"/>
  <c r="FV181" i="10"/>
  <c r="FU181" i="10"/>
  <c r="FT181" i="10"/>
  <c r="FS181" i="10"/>
  <c r="FR181" i="10"/>
  <c r="FQ181" i="10"/>
  <c r="FP181" i="10"/>
  <c r="FO181" i="10"/>
  <c r="FN181" i="10"/>
  <c r="FM181" i="10"/>
  <c r="FL181" i="10"/>
  <c r="FK181" i="10"/>
  <c r="FJ181" i="10"/>
  <c r="FI181" i="10"/>
  <c r="FH181" i="10"/>
  <c r="FG181" i="10"/>
  <c r="FF181" i="10"/>
  <c r="FE181" i="10"/>
  <c r="FD181" i="10"/>
  <c r="FC181" i="10"/>
  <c r="GU180" i="10"/>
  <c r="GT180" i="10"/>
  <c r="GS180" i="10"/>
  <c r="GR180" i="10"/>
  <c r="GQ180" i="10"/>
  <c r="GP180" i="10"/>
  <c r="GO180" i="10"/>
  <c r="GN180" i="10"/>
  <c r="GM180" i="10"/>
  <c r="GL180" i="10"/>
  <c r="GK180" i="10"/>
  <c r="GJ180" i="10"/>
  <c r="GI180" i="10"/>
  <c r="GH180" i="10"/>
  <c r="GG180" i="10"/>
  <c r="GF180" i="10"/>
  <c r="GE180" i="10"/>
  <c r="GD180" i="10"/>
  <c r="GC180" i="10"/>
  <c r="GB180" i="10"/>
  <c r="GA180" i="10"/>
  <c r="FZ180" i="10"/>
  <c r="FY180" i="10"/>
  <c r="FX180" i="10"/>
  <c r="FW180" i="10"/>
  <c r="FV180" i="10"/>
  <c r="FU180" i="10"/>
  <c r="FT180" i="10"/>
  <c r="FS180" i="10"/>
  <c r="FR180" i="10"/>
  <c r="FQ180" i="10"/>
  <c r="FP180" i="10"/>
  <c r="FO180" i="10"/>
  <c r="FN180" i="10"/>
  <c r="FM180" i="10"/>
  <c r="FL180" i="10"/>
  <c r="FK180" i="10"/>
  <c r="FJ180" i="10"/>
  <c r="FI180" i="10"/>
  <c r="FH180" i="10"/>
  <c r="FG180" i="10"/>
  <c r="FF180" i="10"/>
  <c r="FE180" i="10"/>
  <c r="FD180" i="10"/>
  <c r="FC180" i="10"/>
  <c r="GU179" i="10"/>
  <c r="GT179" i="10"/>
  <c r="GS179" i="10"/>
  <c r="GR179" i="10"/>
  <c r="GQ179" i="10"/>
  <c r="GP179" i="10"/>
  <c r="GO179" i="10"/>
  <c r="GN179" i="10"/>
  <c r="GM179" i="10"/>
  <c r="GL179" i="10"/>
  <c r="GK179" i="10"/>
  <c r="GJ179" i="10"/>
  <c r="GI179" i="10"/>
  <c r="GH179" i="10"/>
  <c r="GG179" i="10"/>
  <c r="GF179" i="10"/>
  <c r="GE179" i="10"/>
  <c r="GD179" i="10"/>
  <c r="GC179" i="10"/>
  <c r="GB179" i="10"/>
  <c r="GA179" i="10"/>
  <c r="FZ179" i="10"/>
  <c r="FY179" i="10"/>
  <c r="FX179" i="10"/>
  <c r="FW179" i="10"/>
  <c r="FV179" i="10"/>
  <c r="FU179" i="10"/>
  <c r="FT179" i="10"/>
  <c r="FS179" i="10"/>
  <c r="FR179" i="10"/>
  <c r="FQ179" i="10"/>
  <c r="FP179" i="10"/>
  <c r="FO179" i="10"/>
  <c r="FN179" i="10"/>
  <c r="FM179" i="10"/>
  <c r="FL179" i="10"/>
  <c r="FK179" i="10"/>
  <c r="FJ179" i="10"/>
  <c r="FI179" i="10"/>
  <c r="FH179" i="10"/>
  <c r="FG179" i="10"/>
  <c r="FF179" i="10"/>
  <c r="FE179" i="10"/>
  <c r="FD179" i="10"/>
  <c r="FC179" i="10"/>
  <c r="GU178" i="10"/>
  <c r="GT178" i="10"/>
  <c r="GS178" i="10"/>
  <c r="GR178" i="10"/>
  <c r="GQ178" i="10"/>
  <c r="GP178" i="10"/>
  <c r="GO178" i="10"/>
  <c r="GN178" i="10"/>
  <c r="GM178" i="10"/>
  <c r="GL178" i="10"/>
  <c r="GK178" i="10"/>
  <c r="GJ178" i="10"/>
  <c r="GI178" i="10"/>
  <c r="GH178" i="10"/>
  <c r="GG178" i="10"/>
  <c r="GF178" i="10"/>
  <c r="GE178" i="10"/>
  <c r="GD178" i="10"/>
  <c r="GC178" i="10"/>
  <c r="GB178" i="10"/>
  <c r="GA178" i="10"/>
  <c r="FZ178" i="10"/>
  <c r="FY178" i="10"/>
  <c r="FX178" i="10"/>
  <c r="FW178" i="10"/>
  <c r="FV178" i="10"/>
  <c r="FU178" i="10"/>
  <c r="FT178" i="10"/>
  <c r="FS178" i="10"/>
  <c r="FR178" i="10"/>
  <c r="FQ178" i="10"/>
  <c r="FP178" i="10"/>
  <c r="FO178" i="10"/>
  <c r="FN178" i="10"/>
  <c r="FM178" i="10"/>
  <c r="FL178" i="10"/>
  <c r="FK178" i="10"/>
  <c r="FJ178" i="10"/>
  <c r="FI178" i="10"/>
  <c r="FH178" i="10"/>
  <c r="FG178" i="10"/>
  <c r="FF178" i="10"/>
  <c r="FE178" i="10"/>
  <c r="FD178" i="10"/>
  <c r="FC178" i="10"/>
  <c r="GU177" i="10"/>
  <c r="GT177" i="10"/>
  <c r="GS177" i="10"/>
  <c r="GR177" i="10"/>
  <c r="GQ177" i="10"/>
  <c r="GP177" i="10"/>
  <c r="GO177" i="10"/>
  <c r="GN177" i="10"/>
  <c r="GM177" i="10"/>
  <c r="GL177" i="10"/>
  <c r="GK177" i="10"/>
  <c r="GJ177" i="10"/>
  <c r="GI177" i="10"/>
  <c r="GH177" i="10"/>
  <c r="GG177" i="10"/>
  <c r="GF177" i="10"/>
  <c r="GE177" i="10"/>
  <c r="GD177" i="10"/>
  <c r="GC177" i="10"/>
  <c r="GB177" i="10"/>
  <c r="GA177" i="10"/>
  <c r="FZ177" i="10"/>
  <c r="FY177" i="10"/>
  <c r="FX177" i="10"/>
  <c r="FW177" i="10"/>
  <c r="FV177" i="10"/>
  <c r="FU177" i="10"/>
  <c r="FT177" i="10"/>
  <c r="FS177" i="10"/>
  <c r="FR177" i="10"/>
  <c r="FQ177" i="10"/>
  <c r="FP177" i="10"/>
  <c r="FO177" i="10"/>
  <c r="FN177" i="10"/>
  <c r="FM177" i="10"/>
  <c r="FL177" i="10"/>
  <c r="FK177" i="10"/>
  <c r="FJ177" i="10"/>
  <c r="FI177" i="10"/>
  <c r="FH177" i="10"/>
  <c r="FG177" i="10"/>
  <c r="FF177" i="10"/>
  <c r="FE177" i="10"/>
  <c r="FD177" i="10"/>
  <c r="FC177" i="10"/>
  <c r="GU176" i="10"/>
  <c r="GT176" i="10"/>
  <c r="GS176" i="10"/>
  <c r="GR176" i="10"/>
  <c r="GQ176" i="10"/>
  <c r="GP176" i="10"/>
  <c r="GO176" i="10"/>
  <c r="GN176" i="10"/>
  <c r="GM176" i="10"/>
  <c r="GL176" i="10"/>
  <c r="GK176" i="10"/>
  <c r="GJ176" i="10"/>
  <c r="GI176" i="10"/>
  <c r="GH176" i="10"/>
  <c r="GG176" i="10"/>
  <c r="GF176" i="10"/>
  <c r="GE176" i="10"/>
  <c r="GD176" i="10"/>
  <c r="GC176" i="10"/>
  <c r="GB176" i="10"/>
  <c r="GA176" i="10"/>
  <c r="FZ176" i="10"/>
  <c r="FY176" i="10"/>
  <c r="FX176" i="10"/>
  <c r="FW176" i="10"/>
  <c r="FV176" i="10"/>
  <c r="FU176" i="10"/>
  <c r="FT176" i="10"/>
  <c r="FS176" i="10"/>
  <c r="FR176" i="10"/>
  <c r="FQ176" i="10"/>
  <c r="FP176" i="10"/>
  <c r="FO176" i="10"/>
  <c r="FN176" i="10"/>
  <c r="FM176" i="10"/>
  <c r="FL176" i="10"/>
  <c r="FK176" i="10"/>
  <c r="FJ176" i="10"/>
  <c r="FI176" i="10"/>
  <c r="FH176" i="10"/>
  <c r="FG176" i="10"/>
  <c r="FF176" i="10"/>
  <c r="FE176" i="10"/>
  <c r="FD176" i="10"/>
  <c r="FC176" i="10"/>
  <c r="GU175" i="10"/>
  <c r="GT175" i="10"/>
  <c r="GS175" i="10"/>
  <c r="GR175" i="10"/>
  <c r="GQ175" i="10"/>
  <c r="GP175" i="10"/>
  <c r="GO175" i="10"/>
  <c r="GN175" i="10"/>
  <c r="GM175" i="10"/>
  <c r="GL175" i="10"/>
  <c r="GK175" i="10"/>
  <c r="GJ175" i="10"/>
  <c r="GI175" i="10"/>
  <c r="GH175" i="10"/>
  <c r="GG175" i="10"/>
  <c r="GF175" i="10"/>
  <c r="GE175" i="10"/>
  <c r="GD175" i="10"/>
  <c r="GC175" i="10"/>
  <c r="GB175" i="10"/>
  <c r="GA175" i="10"/>
  <c r="FZ175" i="10"/>
  <c r="FY175" i="10"/>
  <c r="FX175" i="10"/>
  <c r="FW175" i="10"/>
  <c r="FV175" i="10"/>
  <c r="FU175" i="10"/>
  <c r="FT175" i="10"/>
  <c r="FS175" i="10"/>
  <c r="FR175" i="10"/>
  <c r="FQ175" i="10"/>
  <c r="FP175" i="10"/>
  <c r="FO175" i="10"/>
  <c r="FN175" i="10"/>
  <c r="FM175" i="10"/>
  <c r="FL175" i="10"/>
  <c r="FK175" i="10"/>
  <c r="FJ175" i="10"/>
  <c r="FI175" i="10"/>
  <c r="FH175" i="10"/>
  <c r="FG175" i="10"/>
  <c r="FF175" i="10"/>
  <c r="FE175" i="10"/>
  <c r="FD175" i="10"/>
  <c r="FC175" i="10"/>
  <c r="GU174" i="10"/>
  <c r="GT174" i="10"/>
  <c r="GS174" i="10"/>
  <c r="GR174" i="10"/>
  <c r="GQ174" i="10"/>
  <c r="GP174" i="10"/>
  <c r="GO174" i="10"/>
  <c r="GN174" i="10"/>
  <c r="GM174" i="10"/>
  <c r="GL174" i="10"/>
  <c r="GK174" i="10"/>
  <c r="GJ174" i="10"/>
  <c r="GI174" i="10"/>
  <c r="GH174" i="10"/>
  <c r="GG174" i="10"/>
  <c r="GF174" i="10"/>
  <c r="GE174" i="10"/>
  <c r="GD174" i="10"/>
  <c r="GC174" i="10"/>
  <c r="GB174" i="10"/>
  <c r="GA174" i="10"/>
  <c r="FZ174" i="10"/>
  <c r="FY174" i="10"/>
  <c r="FX174" i="10"/>
  <c r="FW174" i="10"/>
  <c r="FV174" i="10"/>
  <c r="FU174" i="10"/>
  <c r="FT174" i="10"/>
  <c r="FS174" i="10"/>
  <c r="FR174" i="10"/>
  <c r="FQ174" i="10"/>
  <c r="FP174" i="10"/>
  <c r="FO174" i="10"/>
  <c r="FN174" i="10"/>
  <c r="FM174" i="10"/>
  <c r="FL174" i="10"/>
  <c r="FK174" i="10"/>
  <c r="FJ174" i="10"/>
  <c r="FI174" i="10"/>
  <c r="FH174" i="10"/>
  <c r="FG174" i="10"/>
  <c r="FF174" i="10"/>
  <c r="FE174" i="10"/>
  <c r="FD174" i="10"/>
  <c r="FC174" i="10"/>
  <c r="GU173" i="10"/>
  <c r="GT173" i="10"/>
  <c r="GS173" i="10"/>
  <c r="GR173" i="10"/>
  <c r="GQ173" i="10"/>
  <c r="GP173" i="10"/>
  <c r="GO173" i="10"/>
  <c r="GN173" i="10"/>
  <c r="GM173" i="10"/>
  <c r="GL173" i="10"/>
  <c r="GK173" i="10"/>
  <c r="GJ173" i="10"/>
  <c r="GI173" i="10"/>
  <c r="GH173" i="10"/>
  <c r="GG173" i="10"/>
  <c r="GF173" i="10"/>
  <c r="GE173" i="10"/>
  <c r="GD173" i="10"/>
  <c r="GC173" i="10"/>
  <c r="GB173" i="10"/>
  <c r="GA173" i="10"/>
  <c r="FZ173" i="10"/>
  <c r="FY173" i="10"/>
  <c r="FX173" i="10"/>
  <c r="FW173" i="10"/>
  <c r="FV173" i="10"/>
  <c r="FU173" i="10"/>
  <c r="FT173" i="10"/>
  <c r="FS173" i="10"/>
  <c r="FR173" i="10"/>
  <c r="FQ173" i="10"/>
  <c r="FP173" i="10"/>
  <c r="FO173" i="10"/>
  <c r="FN173" i="10"/>
  <c r="FM173" i="10"/>
  <c r="FL173" i="10"/>
  <c r="FK173" i="10"/>
  <c r="FJ173" i="10"/>
  <c r="FI173" i="10"/>
  <c r="FH173" i="10"/>
  <c r="FG173" i="10"/>
  <c r="FF173" i="10"/>
  <c r="FE173" i="10"/>
  <c r="FD173" i="10"/>
  <c r="FC173" i="10"/>
  <c r="GU172" i="10"/>
  <c r="GT172" i="10"/>
  <c r="GS172" i="10"/>
  <c r="GR172" i="10"/>
  <c r="GQ172" i="10"/>
  <c r="GP172" i="10"/>
  <c r="GO172" i="10"/>
  <c r="GN172" i="10"/>
  <c r="GM172" i="10"/>
  <c r="GL172" i="10"/>
  <c r="GK172" i="10"/>
  <c r="GJ172" i="10"/>
  <c r="GI172" i="10"/>
  <c r="GH172" i="10"/>
  <c r="GG172" i="10"/>
  <c r="GF172" i="10"/>
  <c r="GE172" i="10"/>
  <c r="GD172" i="10"/>
  <c r="GC172" i="10"/>
  <c r="GB172" i="10"/>
  <c r="GA172" i="10"/>
  <c r="FZ172" i="10"/>
  <c r="FY172" i="10"/>
  <c r="FX172" i="10"/>
  <c r="FW172" i="10"/>
  <c r="FV172" i="10"/>
  <c r="FU172" i="10"/>
  <c r="FT172" i="10"/>
  <c r="FS172" i="10"/>
  <c r="FR172" i="10"/>
  <c r="FQ172" i="10"/>
  <c r="FP172" i="10"/>
  <c r="FO172" i="10"/>
  <c r="FN172" i="10"/>
  <c r="FM172" i="10"/>
  <c r="FL172" i="10"/>
  <c r="FK172" i="10"/>
  <c r="FJ172" i="10"/>
  <c r="FI172" i="10"/>
  <c r="FH172" i="10"/>
  <c r="FG172" i="10"/>
  <c r="FF172" i="10"/>
  <c r="FE172" i="10"/>
  <c r="FD172" i="10"/>
  <c r="FC172" i="10"/>
  <c r="GU171" i="10"/>
  <c r="GT171" i="10"/>
  <c r="GS171" i="10"/>
  <c r="GR171" i="10"/>
  <c r="GQ171" i="10"/>
  <c r="GP171" i="10"/>
  <c r="GO171" i="10"/>
  <c r="GN171" i="10"/>
  <c r="GM171" i="10"/>
  <c r="GL171" i="10"/>
  <c r="GK171" i="10"/>
  <c r="GJ171" i="10"/>
  <c r="GI171" i="10"/>
  <c r="GH171" i="10"/>
  <c r="GG171" i="10"/>
  <c r="GF171" i="10"/>
  <c r="GE171" i="10"/>
  <c r="GD171" i="10"/>
  <c r="GC171" i="10"/>
  <c r="GB171" i="10"/>
  <c r="GA171" i="10"/>
  <c r="FZ171" i="10"/>
  <c r="FY171" i="10"/>
  <c r="FX171" i="10"/>
  <c r="FW171" i="10"/>
  <c r="FV171" i="10"/>
  <c r="FU171" i="10"/>
  <c r="FT171" i="10"/>
  <c r="FS171" i="10"/>
  <c r="FR171" i="10"/>
  <c r="FQ171" i="10"/>
  <c r="FP171" i="10"/>
  <c r="FO171" i="10"/>
  <c r="FN171" i="10"/>
  <c r="FM171" i="10"/>
  <c r="FL171" i="10"/>
  <c r="FK171" i="10"/>
  <c r="FJ171" i="10"/>
  <c r="FI171" i="10"/>
  <c r="FH171" i="10"/>
  <c r="FG171" i="10"/>
  <c r="FF171" i="10"/>
  <c r="FE171" i="10"/>
  <c r="FD171" i="10"/>
  <c r="FC171" i="10"/>
  <c r="GU170" i="10"/>
  <c r="GT170" i="10"/>
  <c r="GS170" i="10"/>
  <c r="GR170" i="10"/>
  <c r="GQ170" i="10"/>
  <c r="GP170" i="10"/>
  <c r="GO170" i="10"/>
  <c r="GN170" i="10"/>
  <c r="GM170" i="10"/>
  <c r="GL170" i="10"/>
  <c r="GK170" i="10"/>
  <c r="GJ170" i="10"/>
  <c r="GI170" i="10"/>
  <c r="GH170" i="10"/>
  <c r="GG170" i="10"/>
  <c r="GF170" i="10"/>
  <c r="GE170" i="10"/>
  <c r="GD170" i="10"/>
  <c r="GC170" i="10"/>
  <c r="GB170" i="10"/>
  <c r="GA170" i="10"/>
  <c r="FZ170" i="10"/>
  <c r="FY170" i="10"/>
  <c r="FX170" i="10"/>
  <c r="FW170" i="10"/>
  <c r="FV170" i="10"/>
  <c r="FU170" i="10"/>
  <c r="FT170" i="10"/>
  <c r="FS170" i="10"/>
  <c r="FR170" i="10"/>
  <c r="FQ170" i="10"/>
  <c r="FP170" i="10"/>
  <c r="FO170" i="10"/>
  <c r="FN170" i="10"/>
  <c r="FM170" i="10"/>
  <c r="FL170" i="10"/>
  <c r="FK170" i="10"/>
  <c r="FJ170" i="10"/>
  <c r="FI170" i="10"/>
  <c r="FH170" i="10"/>
  <c r="FG170" i="10"/>
  <c r="FF170" i="10"/>
  <c r="FE170" i="10"/>
  <c r="FD170" i="10"/>
  <c r="FC170" i="10"/>
  <c r="GU169" i="10"/>
  <c r="GT169" i="10"/>
  <c r="GS169" i="10"/>
  <c r="GR169" i="10"/>
  <c r="GQ169" i="10"/>
  <c r="GP169" i="10"/>
  <c r="GO169" i="10"/>
  <c r="GN169" i="10"/>
  <c r="GM169" i="10"/>
  <c r="GL169" i="10"/>
  <c r="GK169" i="10"/>
  <c r="GJ169" i="10"/>
  <c r="GI169" i="10"/>
  <c r="GH169" i="10"/>
  <c r="GG169" i="10"/>
  <c r="GF169" i="10"/>
  <c r="GE169" i="10"/>
  <c r="GD169" i="10"/>
  <c r="GC169" i="10"/>
  <c r="GB169" i="10"/>
  <c r="GA169" i="10"/>
  <c r="FZ169" i="10"/>
  <c r="FY169" i="10"/>
  <c r="FX169" i="10"/>
  <c r="FW169" i="10"/>
  <c r="FV169" i="10"/>
  <c r="FU169" i="10"/>
  <c r="FT169" i="10"/>
  <c r="FS169" i="10"/>
  <c r="FR169" i="10"/>
  <c r="FQ169" i="10"/>
  <c r="FP169" i="10"/>
  <c r="FO169" i="10"/>
  <c r="FN169" i="10"/>
  <c r="FM169" i="10"/>
  <c r="FL169" i="10"/>
  <c r="FK169" i="10"/>
  <c r="FJ169" i="10"/>
  <c r="FI169" i="10"/>
  <c r="FH169" i="10"/>
  <c r="FG169" i="10"/>
  <c r="FF169" i="10"/>
  <c r="FE169" i="10"/>
  <c r="FD169" i="10"/>
  <c r="FC169" i="10"/>
  <c r="GU168" i="10"/>
  <c r="GT168" i="10"/>
  <c r="GS168" i="10"/>
  <c r="GR168" i="10"/>
  <c r="GQ168" i="10"/>
  <c r="GP168" i="10"/>
  <c r="GO168" i="10"/>
  <c r="GN168" i="10"/>
  <c r="GM168" i="10"/>
  <c r="GL168" i="10"/>
  <c r="GK168" i="10"/>
  <c r="GJ168" i="10"/>
  <c r="GI168" i="10"/>
  <c r="GH168" i="10"/>
  <c r="GG168" i="10"/>
  <c r="GF168" i="10"/>
  <c r="GE168" i="10"/>
  <c r="GD168" i="10"/>
  <c r="GC168" i="10"/>
  <c r="GB168" i="10"/>
  <c r="GA168" i="10"/>
  <c r="FZ168" i="10"/>
  <c r="FY168" i="10"/>
  <c r="FX168" i="10"/>
  <c r="FW168" i="10"/>
  <c r="FV168" i="10"/>
  <c r="FU168" i="10"/>
  <c r="FT168" i="10"/>
  <c r="FS168" i="10"/>
  <c r="FR168" i="10"/>
  <c r="FQ168" i="10"/>
  <c r="FP168" i="10"/>
  <c r="FO168" i="10"/>
  <c r="FN168" i="10"/>
  <c r="FM168" i="10"/>
  <c r="FL168" i="10"/>
  <c r="FK168" i="10"/>
  <c r="FJ168" i="10"/>
  <c r="FI168" i="10"/>
  <c r="FH168" i="10"/>
  <c r="FG168" i="10"/>
  <c r="FF168" i="10"/>
  <c r="FE168" i="10"/>
  <c r="FD168" i="10"/>
  <c r="FC168" i="10"/>
  <c r="GU167" i="10"/>
  <c r="GT167" i="10"/>
  <c r="GS167" i="10"/>
  <c r="GR167" i="10"/>
  <c r="GQ167" i="10"/>
  <c r="GP167" i="10"/>
  <c r="GO167" i="10"/>
  <c r="GN167" i="10"/>
  <c r="GM167" i="10"/>
  <c r="GL167" i="10"/>
  <c r="GK167" i="10"/>
  <c r="GJ167" i="10"/>
  <c r="GI167" i="10"/>
  <c r="GH167" i="10"/>
  <c r="GG167" i="10"/>
  <c r="GF167" i="10"/>
  <c r="GE167" i="10"/>
  <c r="GD167" i="10"/>
  <c r="GC167" i="10"/>
  <c r="GB167" i="10"/>
  <c r="GA167" i="10"/>
  <c r="FZ167" i="10"/>
  <c r="FY167" i="10"/>
  <c r="FX167" i="10"/>
  <c r="FW167" i="10"/>
  <c r="FV167" i="10"/>
  <c r="FU167" i="10"/>
  <c r="FT167" i="10"/>
  <c r="FS167" i="10"/>
  <c r="FR167" i="10"/>
  <c r="FQ167" i="10"/>
  <c r="FP167" i="10"/>
  <c r="FO167" i="10"/>
  <c r="FN167" i="10"/>
  <c r="FM167" i="10"/>
  <c r="FL167" i="10"/>
  <c r="FK167" i="10"/>
  <c r="FJ167" i="10"/>
  <c r="FI167" i="10"/>
  <c r="FH167" i="10"/>
  <c r="FG167" i="10"/>
  <c r="FF167" i="10"/>
  <c r="FE167" i="10"/>
  <c r="FD167" i="10"/>
  <c r="FC167" i="10"/>
  <c r="GU166" i="10"/>
  <c r="GT166" i="10"/>
  <c r="GS166" i="10"/>
  <c r="GR166" i="10"/>
  <c r="GQ166" i="10"/>
  <c r="GP166" i="10"/>
  <c r="GO166" i="10"/>
  <c r="GN166" i="10"/>
  <c r="GM166" i="10"/>
  <c r="GL166" i="10"/>
  <c r="GK166" i="10"/>
  <c r="GJ166" i="10"/>
  <c r="GI166" i="10"/>
  <c r="GH166" i="10"/>
  <c r="GG166" i="10"/>
  <c r="GF166" i="10"/>
  <c r="GE166" i="10"/>
  <c r="GD166" i="10"/>
  <c r="GC166" i="10"/>
  <c r="GB166" i="10"/>
  <c r="GA166" i="10"/>
  <c r="FZ166" i="10"/>
  <c r="FY166" i="10"/>
  <c r="FX166" i="10"/>
  <c r="FW166" i="10"/>
  <c r="FV166" i="10"/>
  <c r="FU166" i="10"/>
  <c r="FT166" i="10"/>
  <c r="FS166" i="10"/>
  <c r="FR166" i="10"/>
  <c r="FQ166" i="10"/>
  <c r="FP166" i="10"/>
  <c r="FO166" i="10"/>
  <c r="FN166" i="10"/>
  <c r="FM166" i="10"/>
  <c r="FL166" i="10"/>
  <c r="FK166" i="10"/>
  <c r="FJ166" i="10"/>
  <c r="FI166" i="10"/>
  <c r="FH166" i="10"/>
  <c r="FG166" i="10"/>
  <c r="FF166" i="10"/>
  <c r="FE166" i="10"/>
  <c r="FD166" i="10"/>
  <c r="FC166" i="10"/>
  <c r="GU165" i="10"/>
  <c r="GT165" i="10"/>
  <c r="GS165" i="10"/>
  <c r="GR165" i="10"/>
  <c r="GQ165" i="10"/>
  <c r="GP165" i="10"/>
  <c r="GO165" i="10"/>
  <c r="GN165" i="10"/>
  <c r="GM165" i="10"/>
  <c r="GL165" i="10"/>
  <c r="GK165" i="10"/>
  <c r="GJ165" i="10"/>
  <c r="GI165" i="10"/>
  <c r="GH165" i="10"/>
  <c r="GG165" i="10"/>
  <c r="GF165" i="10"/>
  <c r="GE165" i="10"/>
  <c r="GD165" i="10"/>
  <c r="GC165" i="10"/>
  <c r="GB165" i="10"/>
  <c r="GA165" i="10"/>
  <c r="FZ165" i="10"/>
  <c r="FY165" i="10"/>
  <c r="FX165" i="10"/>
  <c r="FW165" i="10"/>
  <c r="FV165" i="10"/>
  <c r="FU165" i="10"/>
  <c r="FT165" i="10"/>
  <c r="FS165" i="10"/>
  <c r="FR165" i="10"/>
  <c r="FQ165" i="10"/>
  <c r="FP165" i="10"/>
  <c r="FO165" i="10"/>
  <c r="FN165" i="10"/>
  <c r="FM165" i="10"/>
  <c r="FL165" i="10"/>
  <c r="FK165" i="10"/>
  <c r="FJ165" i="10"/>
  <c r="FI165" i="10"/>
  <c r="FH165" i="10"/>
  <c r="FG165" i="10"/>
  <c r="FF165" i="10"/>
  <c r="FE165" i="10"/>
  <c r="FD165" i="10"/>
  <c r="FC165" i="10"/>
  <c r="GU164" i="10"/>
  <c r="GT164" i="10"/>
  <c r="GS164" i="10"/>
  <c r="GR164" i="10"/>
  <c r="GQ164" i="10"/>
  <c r="GP164" i="10"/>
  <c r="GO164" i="10"/>
  <c r="GN164" i="10"/>
  <c r="GM164" i="10"/>
  <c r="GL164" i="10"/>
  <c r="GK164" i="10"/>
  <c r="GJ164" i="10"/>
  <c r="GI164" i="10"/>
  <c r="GH164" i="10"/>
  <c r="GG164" i="10"/>
  <c r="GF164" i="10"/>
  <c r="GE164" i="10"/>
  <c r="GD164" i="10"/>
  <c r="GC164" i="10"/>
  <c r="GB164" i="10"/>
  <c r="GA164" i="10"/>
  <c r="FZ164" i="10"/>
  <c r="FY164" i="10"/>
  <c r="FX164" i="10"/>
  <c r="FW164" i="10"/>
  <c r="FV164" i="10"/>
  <c r="FU164" i="10"/>
  <c r="FT164" i="10"/>
  <c r="FS164" i="10"/>
  <c r="FR164" i="10"/>
  <c r="FQ164" i="10"/>
  <c r="FP164" i="10"/>
  <c r="FO164" i="10"/>
  <c r="FN164" i="10"/>
  <c r="FM164" i="10"/>
  <c r="FL164" i="10"/>
  <c r="FK164" i="10"/>
  <c r="FJ164" i="10"/>
  <c r="FI164" i="10"/>
  <c r="FH164" i="10"/>
  <c r="FG164" i="10"/>
  <c r="FF164" i="10"/>
  <c r="FE164" i="10"/>
  <c r="FD164" i="10"/>
  <c r="FC164" i="10"/>
  <c r="GU163" i="10"/>
  <c r="GT163" i="10"/>
  <c r="GS163" i="10"/>
  <c r="GR163" i="10"/>
  <c r="GQ163" i="10"/>
  <c r="GP163" i="10"/>
  <c r="GO163" i="10"/>
  <c r="GN163" i="10"/>
  <c r="GM163" i="10"/>
  <c r="GL163" i="10"/>
  <c r="GK163" i="10"/>
  <c r="GJ163" i="10"/>
  <c r="GI163" i="10"/>
  <c r="GH163" i="10"/>
  <c r="GG163" i="10"/>
  <c r="GF163" i="10"/>
  <c r="GE163" i="10"/>
  <c r="GD163" i="10"/>
  <c r="GC163" i="10"/>
  <c r="GB163" i="10"/>
  <c r="GA163" i="10"/>
  <c r="FZ163" i="10"/>
  <c r="FY163" i="10"/>
  <c r="FX163" i="10"/>
  <c r="FW163" i="10"/>
  <c r="FV163" i="10"/>
  <c r="FU163" i="10"/>
  <c r="FT163" i="10"/>
  <c r="FS163" i="10"/>
  <c r="FR163" i="10"/>
  <c r="FQ163" i="10"/>
  <c r="FP163" i="10"/>
  <c r="FO163" i="10"/>
  <c r="FN163" i="10"/>
  <c r="FM163" i="10"/>
  <c r="FL163" i="10"/>
  <c r="FK163" i="10"/>
  <c r="FJ163" i="10"/>
  <c r="FI163" i="10"/>
  <c r="FH163" i="10"/>
  <c r="FG163" i="10"/>
  <c r="FF163" i="10"/>
  <c r="FE163" i="10"/>
  <c r="FD163" i="10"/>
  <c r="FC163" i="10"/>
  <c r="GU162" i="10"/>
  <c r="GT162" i="10"/>
  <c r="GS162" i="10"/>
  <c r="GR162" i="10"/>
  <c r="GQ162" i="10"/>
  <c r="GP162" i="10"/>
  <c r="GO162" i="10"/>
  <c r="GN162" i="10"/>
  <c r="GM162" i="10"/>
  <c r="GL162" i="10"/>
  <c r="GK162" i="10"/>
  <c r="GJ162" i="10"/>
  <c r="GI162" i="10"/>
  <c r="GH162" i="10"/>
  <c r="GG162" i="10"/>
  <c r="GF162" i="10"/>
  <c r="GE162" i="10"/>
  <c r="GD162" i="10"/>
  <c r="GC162" i="10"/>
  <c r="GB162" i="10"/>
  <c r="GA162" i="10"/>
  <c r="FZ162" i="10"/>
  <c r="FY162" i="10"/>
  <c r="FX162" i="10"/>
  <c r="FW162" i="10"/>
  <c r="FV162" i="10"/>
  <c r="FU162" i="10"/>
  <c r="FT162" i="10"/>
  <c r="FS162" i="10"/>
  <c r="FR162" i="10"/>
  <c r="FQ162" i="10"/>
  <c r="FP162" i="10"/>
  <c r="FO162" i="10"/>
  <c r="FN162" i="10"/>
  <c r="FM162" i="10"/>
  <c r="FL162" i="10"/>
  <c r="FK162" i="10"/>
  <c r="FJ162" i="10"/>
  <c r="FI162" i="10"/>
  <c r="FH162" i="10"/>
  <c r="FG162" i="10"/>
  <c r="FF162" i="10"/>
  <c r="FE162" i="10"/>
  <c r="FD162" i="10"/>
  <c r="FC162" i="10"/>
  <c r="GU161" i="10"/>
  <c r="GT161" i="10"/>
  <c r="GS161" i="10"/>
  <c r="GR161" i="10"/>
  <c r="GQ161" i="10"/>
  <c r="GP161" i="10"/>
  <c r="GO161" i="10"/>
  <c r="GN161" i="10"/>
  <c r="GM161" i="10"/>
  <c r="GL161" i="10"/>
  <c r="GK161" i="10"/>
  <c r="GJ161" i="10"/>
  <c r="GI161" i="10"/>
  <c r="GH161" i="10"/>
  <c r="GG161" i="10"/>
  <c r="GF161" i="10"/>
  <c r="GE161" i="10"/>
  <c r="GD161" i="10"/>
  <c r="GC161" i="10"/>
  <c r="GB161" i="10"/>
  <c r="GA161" i="10"/>
  <c r="FZ161" i="10"/>
  <c r="FY161" i="10"/>
  <c r="FX161" i="10"/>
  <c r="FW161" i="10"/>
  <c r="FV161" i="10"/>
  <c r="FU161" i="10"/>
  <c r="FT161" i="10"/>
  <c r="FS161" i="10"/>
  <c r="FR161" i="10"/>
  <c r="FQ161" i="10"/>
  <c r="FP161" i="10"/>
  <c r="FO161" i="10"/>
  <c r="FN161" i="10"/>
  <c r="FM161" i="10"/>
  <c r="FL161" i="10"/>
  <c r="FK161" i="10"/>
  <c r="FJ161" i="10"/>
  <c r="FI161" i="10"/>
  <c r="FH161" i="10"/>
  <c r="FG161" i="10"/>
  <c r="FF161" i="10"/>
  <c r="FE161" i="10"/>
  <c r="FD161" i="10"/>
  <c r="FC161" i="10"/>
  <c r="GU160" i="10"/>
  <c r="GT160" i="10"/>
  <c r="GS160" i="10"/>
  <c r="GR160" i="10"/>
  <c r="GQ160" i="10"/>
  <c r="GP160" i="10"/>
  <c r="GO160" i="10"/>
  <c r="GN160" i="10"/>
  <c r="GM160" i="10"/>
  <c r="GL160" i="10"/>
  <c r="GK160" i="10"/>
  <c r="GJ160" i="10"/>
  <c r="GI160" i="10"/>
  <c r="GH160" i="10"/>
  <c r="GG160" i="10"/>
  <c r="GF160" i="10"/>
  <c r="GE160" i="10"/>
  <c r="GD160" i="10"/>
  <c r="GC160" i="10"/>
  <c r="GB160" i="10"/>
  <c r="GA160" i="10"/>
  <c r="FZ160" i="10"/>
  <c r="FY160" i="10"/>
  <c r="FX160" i="10"/>
  <c r="FW160" i="10"/>
  <c r="FV160" i="10"/>
  <c r="FU160" i="10"/>
  <c r="FT160" i="10"/>
  <c r="FS160" i="10"/>
  <c r="FR160" i="10"/>
  <c r="FQ160" i="10"/>
  <c r="FP160" i="10"/>
  <c r="FO160" i="10"/>
  <c r="FN160" i="10"/>
  <c r="FM160" i="10"/>
  <c r="FL160" i="10"/>
  <c r="FK160" i="10"/>
  <c r="FJ160" i="10"/>
  <c r="FI160" i="10"/>
  <c r="FH160" i="10"/>
  <c r="FG160" i="10"/>
  <c r="FF160" i="10"/>
  <c r="FE160" i="10"/>
  <c r="FD160" i="10"/>
  <c r="FC160" i="10"/>
  <c r="GU159" i="10"/>
  <c r="GT159" i="10"/>
  <c r="GS159" i="10"/>
  <c r="GR159" i="10"/>
  <c r="GQ159" i="10"/>
  <c r="GP159" i="10"/>
  <c r="GO159" i="10"/>
  <c r="GN159" i="10"/>
  <c r="GM159" i="10"/>
  <c r="GL159" i="10"/>
  <c r="GK159" i="10"/>
  <c r="GJ159" i="10"/>
  <c r="GI159" i="10"/>
  <c r="GH159" i="10"/>
  <c r="GG159" i="10"/>
  <c r="GF159" i="10"/>
  <c r="GE159" i="10"/>
  <c r="GD159" i="10"/>
  <c r="GC159" i="10"/>
  <c r="GB159" i="10"/>
  <c r="GA159" i="10"/>
  <c r="FZ159" i="10"/>
  <c r="FY159" i="10"/>
  <c r="FX159" i="10"/>
  <c r="FW159" i="10"/>
  <c r="FV159" i="10"/>
  <c r="FU159" i="10"/>
  <c r="FT159" i="10"/>
  <c r="FS159" i="10"/>
  <c r="FR159" i="10"/>
  <c r="FQ159" i="10"/>
  <c r="FP159" i="10"/>
  <c r="FO159" i="10"/>
  <c r="FN159" i="10"/>
  <c r="FM159" i="10"/>
  <c r="FL159" i="10"/>
  <c r="FK159" i="10"/>
  <c r="FJ159" i="10"/>
  <c r="FI159" i="10"/>
  <c r="FH159" i="10"/>
  <c r="FG159" i="10"/>
  <c r="FF159" i="10"/>
  <c r="FE159" i="10"/>
  <c r="FD159" i="10"/>
  <c r="FC159" i="10"/>
  <c r="GU158" i="10"/>
  <c r="GT158" i="10"/>
  <c r="GS158" i="10"/>
  <c r="GR158" i="10"/>
  <c r="GQ158" i="10"/>
  <c r="GP158" i="10"/>
  <c r="GO158" i="10"/>
  <c r="GN158" i="10"/>
  <c r="GM158" i="10"/>
  <c r="GL158" i="10"/>
  <c r="GK158" i="10"/>
  <c r="GJ158" i="10"/>
  <c r="GI158" i="10"/>
  <c r="GH158" i="10"/>
  <c r="GG158" i="10"/>
  <c r="GF158" i="10"/>
  <c r="GE158" i="10"/>
  <c r="GD158" i="10"/>
  <c r="GC158" i="10"/>
  <c r="GB158" i="10"/>
  <c r="GA158" i="10"/>
  <c r="FZ158" i="10"/>
  <c r="FY158" i="10"/>
  <c r="FX158" i="10"/>
  <c r="FW158" i="10"/>
  <c r="FV158" i="10"/>
  <c r="FU158" i="10"/>
  <c r="FT158" i="10"/>
  <c r="FS158" i="10"/>
  <c r="FR158" i="10"/>
  <c r="FQ158" i="10"/>
  <c r="FP158" i="10"/>
  <c r="FO158" i="10"/>
  <c r="FN158" i="10"/>
  <c r="FM158" i="10"/>
  <c r="FL158" i="10"/>
  <c r="FK158" i="10"/>
  <c r="FJ158" i="10"/>
  <c r="FI158" i="10"/>
  <c r="FH158" i="10"/>
  <c r="FG158" i="10"/>
  <c r="FF158" i="10"/>
  <c r="FE158" i="10"/>
  <c r="FD158" i="10"/>
  <c r="FC158" i="10"/>
  <c r="GU157" i="10"/>
  <c r="GT157" i="10"/>
  <c r="GS157" i="10"/>
  <c r="GR157" i="10"/>
  <c r="GQ157" i="10"/>
  <c r="GP157" i="10"/>
  <c r="GO157" i="10"/>
  <c r="GN157" i="10"/>
  <c r="GM157" i="10"/>
  <c r="GL157" i="10"/>
  <c r="GK157" i="10"/>
  <c r="GJ157" i="10"/>
  <c r="GI157" i="10"/>
  <c r="GH157" i="10"/>
  <c r="GG157" i="10"/>
  <c r="GF157" i="10"/>
  <c r="GE157" i="10"/>
  <c r="GD157" i="10"/>
  <c r="GC157" i="10"/>
  <c r="GB157" i="10"/>
  <c r="GA157" i="10"/>
  <c r="FZ157" i="10"/>
  <c r="FY157" i="10"/>
  <c r="FX157" i="10"/>
  <c r="FW157" i="10"/>
  <c r="FV157" i="10"/>
  <c r="FU157" i="10"/>
  <c r="FT157" i="10"/>
  <c r="FS157" i="10"/>
  <c r="FR157" i="10"/>
  <c r="FQ157" i="10"/>
  <c r="FP157" i="10"/>
  <c r="FO157" i="10"/>
  <c r="FN157" i="10"/>
  <c r="FM157" i="10"/>
  <c r="FL157" i="10"/>
  <c r="FK157" i="10"/>
  <c r="FJ157" i="10"/>
  <c r="FI157" i="10"/>
  <c r="FH157" i="10"/>
  <c r="FG157" i="10"/>
  <c r="FF157" i="10"/>
  <c r="FE157" i="10"/>
  <c r="FD157" i="10"/>
  <c r="FC157" i="10"/>
  <c r="GU156" i="10"/>
  <c r="GT156" i="10"/>
  <c r="GS156" i="10"/>
  <c r="GR156" i="10"/>
  <c r="GQ156" i="10"/>
  <c r="GP156" i="10"/>
  <c r="GO156" i="10"/>
  <c r="GN156" i="10"/>
  <c r="GM156" i="10"/>
  <c r="GL156" i="10"/>
  <c r="GK156" i="10"/>
  <c r="GJ156" i="10"/>
  <c r="GI156" i="10"/>
  <c r="GH156" i="10"/>
  <c r="GG156" i="10"/>
  <c r="GF156" i="10"/>
  <c r="GE156" i="10"/>
  <c r="GD156" i="10"/>
  <c r="GC156" i="10"/>
  <c r="GB156" i="10"/>
  <c r="GA156" i="10"/>
  <c r="FZ156" i="10"/>
  <c r="FY156" i="10"/>
  <c r="FX156" i="10"/>
  <c r="FW156" i="10"/>
  <c r="FV156" i="10"/>
  <c r="FU156" i="10"/>
  <c r="FT156" i="10"/>
  <c r="FS156" i="10"/>
  <c r="FR156" i="10"/>
  <c r="FQ156" i="10"/>
  <c r="FP156" i="10"/>
  <c r="FO156" i="10"/>
  <c r="FN156" i="10"/>
  <c r="FM156" i="10"/>
  <c r="FL156" i="10"/>
  <c r="FK156" i="10"/>
  <c r="FJ156" i="10"/>
  <c r="FI156" i="10"/>
  <c r="FH156" i="10"/>
  <c r="FG156" i="10"/>
  <c r="FF156" i="10"/>
  <c r="FE156" i="10"/>
  <c r="FD156" i="10"/>
  <c r="FC156" i="10"/>
  <c r="GU155" i="10"/>
  <c r="GT155" i="10"/>
  <c r="GS155" i="10"/>
  <c r="GR155" i="10"/>
  <c r="GQ155" i="10"/>
  <c r="GP155" i="10"/>
  <c r="GO155" i="10"/>
  <c r="GN155" i="10"/>
  <c r="GM155" i="10"/>
  <c r="GL155" i="10"/>
  <c r="GK155" i="10"/>
  <c r="GJ155" i="10"/>
  <c r="GI155" i="10"/>
  <c r="GH155" i="10"/>
  <c r="GG155" i="10"/>
  <c r="GF155" i="10"/>
  <c r="GE155" i="10"/>
  <c r="GD155" i="10"/>
  <c r="GC155" i="10"/>
  <c r="GB155" i="10"/>
  <c r="GA155" i="10"/>
  <c r="FZ155" i="10"/>
  <c r="FY155" i="10"/>
  <c r="FX155" i="10"/>
  <c r="FW155" i="10"/>
  <c r="FV155" i="10"/>
  <c r="FU155" i="10"/>
  <c r="FT155" i="10"/>
  <c r="FS155" i="10"/>
  <c r="FR155" i="10"/>
  <c r="FQ155" i="10"/>
  <c r="FP155" i="10"/>
  <c r="FO155" i="10"/>
  <c r="FN155" i="10"/>
  <c r="FM155" i="10"/>
  <c r="FL155" i="10"/>
  <c r="FK155" i="10"/>
  <c r="FJ155" i="10"/>
  <c r="FI155" i="10"/>
  <c r="FH155" i="10"/>
  <c r="FG155" i="10"/>
  <c r="FF155" i="10"/>
  <c r="FE155" i="10"/>
  <c r="FD155" i="10"/>
  <c r="FC155" i="10"/>
  <c r="GU154" i="10"/>
  <c r="GT154" i="10"/>
  <c r="GS154" i="10"/>
  <c r="GR154" i="10"/>
  <c r="GQ154" i="10"/>
  <c r="GP154" i="10"/>
  <c r="GO154" i="10"/>
  <c r="GN154" i="10"/>
  <c r="GM154" i="10"/>
  <c r="GL154" i="10"/>
  <c r="GK154" i="10"/>
  <c r="GJ154" i="10"/>
  <c r="GI154" i="10"/>
  <c r="GH154" i="10"/>
  <c r="GG154" i="10"/>
  <c r="GF154" i="10"/>
  <c r="GE154" i="10"/>
  <c r="GD154" i="10"/>
  <c r="GC154" i="10"/>
  <c r="GB154" i="10"/>
  <c r="GA154" i="10"/>
  <c r="FZ154" i="10"/>
  <c r="FY154" i="10"/>
  <c r="FX154" i="10"/>
  <c r="FW154" i="10"/>
  <c r="FV154" i="10"/>
  <c r="FU154" i="10"/>
  <c r="FT154" i="10"/>
  <c r="FS154" i="10"/>
  <c r="FR154" i="10"/>
  <c r="FQ154" i="10"/>
  <c r="FP154" i="10"/>
  <c r="FO154" i="10"/>
  <c r="FN154" i="10"/>
  <c r="FM154" i="10"/>
  <c r="FL154" i="10"/>
  <c r="FK154" i="10"/>
  <c r="FJ154" i="10"/>
  <c r="FI154" i="10"/>
  <c r="FH154" i="10"/>
  <c r="FG154" i="10"/>
  <c r="FF154" i="10"/>
  <c r="FE154" i="10"/>
  <c r="FD154" i="10"/>
  <c r="FC154" i="10"/>
  <c r="GU153" i="10"/>
  <c r="GT153" i="10"/>
  <c r="GS153" i="10"/>
  <c r="GR153" i="10"/>
  <c r="GQ153" i="10"/>
  <c r="GP153" i="10"/>
  <c r="GO153" i="10"/>
  <c r="GN153" i="10"/>
  <c r="GM153" i="10"/>
  <c r="GL153" i="10"/>
  <c r="GK153" i="10"/>
  <c r="GJ153" i="10"/>
  <c r="GI153" i="10"/>
  <c r="GH153" i="10"/>
  <c r="GG153" i="10"/>
  <c r="GF153" i="10"/>
  <c r="GE153" i="10"/>
  <c r="GD153" i="10"/>
  <c r="GC153" i="10"/>
  <c r="GB153" i="10"/>
  <c r="GA153" i="10"/>
  <c r="FZ153" i="10"/>
  <c r="FY153" i="10"/>
  <c r="FX153" i="10"/>
  <c r="FW153" i="10"/>
  <c r="FV153" i="10"/>
  <c r="FU153" i="10"/>
  <c r="FT153" i="10"/>
  <c r="FS153" i="10"/>
  <c r="FR153" i="10"/>
  <c r="FQ153" i="10"/>
  <c r="FP153" i="10"/>
  <c r="FO153" i="10"/>
  <c r="FN153" i="10"/>
  <c r="FM153" i="10"/>
  <c r="FL153" i="10"/>
  <c r="FK153" i="10"/>
  <c r="FJ153" i="10"/>
  <c r="FI153" i="10"/>
  <c r="FH153" i="10"/>
  <c r="FG153" i="10"/>
  <c r="FF153" i="10"/>
  <c r="FE153" i="10"/>
  <c r="FD153" i="10"/>
  <c r="FC153" i="10"/>
  <c r="GU152" i="10"/>
  <c r="GT152" i="10"/>
  <c r="GS152" i="10"/>
  <c r="GR152" i="10"/>
  <c r="GQ152" i="10"/>
  <c r="GP152" i="10"/>
  <c r="GO152" i="10"/>
  <c r="GN152" i="10"/>
  <c r="GM152" i="10"/>
  <c r="GL152" i="10"/>
  <c r="GK152" i="10"/>
  <c r="GJ152" i="10"/>
  <c r="GI152" i="10"/>
  <c r="GH152" i="10"/>
  <c r="GG152" i="10"/>
  <c r="GF152" i="10"/>
  <c r="GE152" i="10"/>
  <c r="GD152" i="10"/>
  <c r="GC152" i="10"/>
  <c r="GB152" i="10"/>
  <c r="GA152" i="10"/>
  <c r="FZ152" i="10"/>
  <c r="FY152" i="10"/>
  <c r="FX152" i="10"/>
  <c r="FW152" i="10"/>
  <c r="FV152" i="10"/>
  <c r="FU152" i="10"/>
  <c r="FT152" i="10"/>
  <c r="FS152" i="10"/>
  <c r="FR152" i="10"/>
  <c r="FQ152" i="10"/>
  <c r="FP152" i="10"/>
  <c r="FO152" i="10"/>
  <c r="FN152" i="10"/>
  <c r="FM152" i="10"/>
  <c r="FL152" i="10"/>
  <c r="FK152" i="10"/>
  <c r="FJ152" i="10"/>
  <c r="FI152" i="10"/>
  <c r="FH152" i="10"/>
  <c r="FG152" i="10"/>
  <c r="FF152" i="10"/>
  <c r="FE152" i="10"/>
  <c r="FD152" i="10"/>
  <c r="FC152" i="10"/>
  <c r="GU151" i="10"/>
  <c r="GT151" i="10"/>
  <c r="GS151" i="10"/>
  <c r="GR151" i="10"/>
  <c r="GQ151" i="10"/>
  <c r="GP151" i="10"/>
  <c r="GO151" i="10"/>
  <c r="GN151" i="10"/>
  <c r="GM151" i="10"/>
  <c r="GL151" i="10"/>
  <c r="GK151" i="10"/>
  <c r="GJ151" i="10"/>
  <c r="GI151" i="10"/>
  <c r="GH151" i="10"/>
  <c r="GG151" i="10"/>
  <c r="GF151" i="10"/>
  <c r="GE151" i="10"/>
  <c r="GD151" i="10"/>
  <c r="GC151" i="10"/>
  <c r="GB151" i="10"/>
  <c r="GA151" i="10"/>
  <c r="FZ151" i="10"/>
  <c r="FY151" i="10"/>
  <c r="FX151" i="10"/>
  <c r="FW151" i="10"/>
  <c r="FV151" i="10"/>
  <c r="FU151" i="10"/>
  <c r="FT151" i="10"/>
  <c r="FS151" i="10"/>
  <c r="FR151" i="10"/>
  <c r="FQ151" i="10"/>
  <c r="FP151" i="10"/>
  <c r="FO151" i="10"/>
  <c r="FN151" i="10"/>
  <c r="FM151" i="10"/>
  <c r="FL151" i="10"/>
  <c r="FK151" i="10"/>
  <c r="FJ151" i="10"/>
  <c r="FI151" i="10"/>
  <c r="FH151" i="10"/>
  <c r="FG151" i="10"/>
  <c r="FF151" i="10"/>
  <c r="FE151" i="10"/>
  <c r="FD151" i="10"/>
  <c r="FC151" i="10"/>
  <c r="GU150" i="10"/>
  <c r="GT150" i="10"/>
  <c r="GS150" i="10"/>
  <c r="GR150" i="10"/>
  <c r="GQ150" i="10"/>
  <c r="GP150" i="10"/>
  <c r="GO150" i="10"/>
  <c r="GN150" i="10"/>
  <c r="GM150" i="10"/>
  <c r="GL150" i="10"/>
  <c r="GK150" i="10"/>
  <c r="GJ150" i="10"/>
  <c r="GI150" i="10"/>
  <c r="GH150" i="10"/>
  <c r="GG150" i="10"/>
  <c r="GF150" i="10"/>
  <c r="GE150" i="10"/>
  <c r="GD150" i="10"/>
  <c r="GC150" i="10"/>
  <c r="GB150" i="10"/>
  <c r="GA150" i="10"/>
  <c r="FZ150" i="10"/>
  <c r="FY150" i="10"/>
  <c r="FX150" i="10"/>
  <c r="FW150" i="10"/>
  <c r="FV150" i="10"/>
  <c r="FU150" i="10"/>
  <c r="FT150" i="10"/>
  <c r="FS150" i="10"/>
  <c r="FR150" i="10"/>
  <c r="FQ150" i="10"/>
  <c r="FP150" i="10"/>
  <c r="FO150" i="10"/>
  <c r="FN150" i="10"/>
  <c r="FM150" i="10"/>
  <c r="FL150" i="10"/>
  <c r="FK150" i="10"/>
  <c r="FJ150" i="10"/>
  <c r="FI150" i="10"/>
  <c r="FH150" i="10"/>
  <c r="FG150" i="10"/>
  <c r="FF150" i="10"/>
  <c r="FE150" i="10"/>
  <c r="FD150" i="10"/>
  <c r="FC150" i="10"/>
  <c r="GU149" i="10"/>
  <c r="GT149" i="10"/>
  <c r="GS149" i="10"/>
  <c r="GR149" i="10"/>
  <c r="GQ149" i="10"/>
  <c r="GP149" i="10"/>
  <c r="GO149" i="10"/>
  <c r="GN149" i="10"/>
  <c r="GM149" i="10"/>
  <c r="GL149" i="10"/>
  <c r="GK149" i="10"/>
  <c r="GJ149" i="10"/>
  <c r="GI149" i="10"/>
  <c r="GH149" i="10"/>
  <c r="GG149" i="10"/>
  <c r="GF149" i="10"/>
  <c r="GE149" i="10"/>
  <c r="GD149" i="10"/>
  <c r="GC149" i="10"/>
  <c r="GB149" i="10"/>
  <c r="GA149" i="10"/>
  <c r="FZ149" i="10"/>
  <c r="FY149" i="10"/>
  <c r="FX149" i="10"/>
  <c r="FW149" i="10"/>
  <c r="FV149" i="10"/>
  <c r="FU149" i="10"/>
  <c r="FT149" i="10"/>
  <c r="FS149" i="10"/>
  <c r="FR149" i="10"/>
  <c r="FQ149" i="10"/>
  <c r="FP149" i="10"/>
  <c r="FO149" i="10"/>
  <c r="FN149" i="10"/>
  <c r="FM149" i="10"/>
  <c r="FL149" i="10"/>
  <c r="FK149" i="10"/>
  <c r="FJ149" i="10"/>
  <c r="FI149" i="10"/>
  <c r="FH149" i="10"/>
  <c r="FG149" i="10"/>
  <c r="FF149" i="10"/>
  <c r="FE149" i="10"/>
  <c r="FD149" i="10"/>
  <c r="FC149" i="10"/>
  <c r="GU148" i="10"/>
  <c r="GT148" i="10"/>
  <c r="GS148" i="10"/>
  <c r="GR148" i="10"/>
  <c r="GQ148" i="10"/>
  <c r="GP148" i="10"/>
  <c r="GO148" i="10"/>
  <c r="GN148" i="10"/>
  <c r="GM148" i="10"/>
  <c r="GL148" i="10"/>
  <c r="GK148" i="10"/>
  <c r="GJ148" i="10"/>
  <c r="GI148" i="10"/>
  <c r="GH148" i="10"/>
  <c r="GG148" i="10"/>
  <c r="GF148" i="10"/>
  <c r="GE148" i="10"/>
  <c r="GD148" i="10"/>
  <c r="GC148" i="10"/>
  <c r="GB148" i="10"/>
  <c r="GA148" i="10"/>
  <c r="FZ148" i="10"/>
  <c r="FY148" i="10"/>
  <c r="FX148" i="10"/>
  <c r="FW148" i="10"/>
  <c r="FV148" i="10"/>
  <c r="FU148" i="10"/>
  <c r="FT148" i="10"/>
  <c r="FS148" i="10"/>
  <c r="FR148" i="10"/>
  <c r="FQ148" i="10"/>
  <c r="FP148" i="10"/>
  <c r="FO148" i="10"/>
  <c r="FN148" i="10"/>
  <c r="FM148" i="10"/>
  <c r="FL148" i="10"/>
  <c r="FK148" i="10"/>
  <c r="FJ148" i="10"/>
  <c r="FI148" i="10"/>
  <c r="FH148" i="10"/>
  <c r="FG148" i="10"/>
  <c r="FF148" i="10"/>
  <c r="FE148" i="10"/>
  <c r="FD148" i="10"/>
  <c r="FC148" i="10"/>
  <c r="GU147" i="10"/>
  <c r="GT147" i="10"/>
  <c r="GS147" i="10"/>
  <c r="GR147" i="10"/>
  <c r="GQ147" i="10"/>
  <c r="GP147" i="10"/>
  <c r="GO147" i="10"/>
  <c r="GN147" i="10"/>
  <c r="GM147" i="10"/>
  <c r="GL147" i="10"/>
  <c r="GK147" i="10"/>
  <c r="GJ147" i="10"/>
  <c r="GI147" i="10"/>
  <c r="GH147" i="10"/>
  <c r="GG147" i="10"/>
  <c r="GF147" i="10"/>
  <c r="GE147" i="10"/>
  <c r="GD147" i="10"/>
  <c r="GC147" i="10"/>
  <c r="GB147" i="10"/>
  <c r="GA147" i="10"/>
  <c r="FZ147" i="10"/>
  <c r="FY147" i="10"/>
  <c r="FX147" i="10"/>
  <c r="FW147" i="10"/>
  <c r="FV147" i="10"/>
  <c r="FU147" i="10"/>
  <c r="FT147" i="10"/>
  <c r="FS147" i="10"/>
  <c r="FR147" i="10"/>
  <c r="FQ147" i="10"/>
  <c r="FP147" i="10"/>
  <c r="FO147" i="10"/>
  <c r="FN147" i="10"/>
  <c r="FM147" i="10"/>
  <c r="FL147" i="10"/>
  <c r="FK147" i="10"/>
  <c r="FJ147" i="10"/>
  <c r="FI147" i="10"/>
  <c r="FH147" i="10"/>
  <c r="FG147" i="10"/>
  <c r="FF147" i="10"/>
  <c r="FE147" i="10"/>
  <c r="FD147" i="10"/>
  <c r="FC147" i="10"/>
  <c r="GU146" i="10"/>
  <c r="GT146" i="10"/>
  <c r="GS146" i="10"/>
  <c r="GR146" i="10"/>
  <c r="GQ146" i="10"/>
  <c r="GP146" i="10"/>
  <c r="GO146" i="10"/>
  <c r="GN146" i="10"/>
  <c r="GM146" i="10"/>
  <c r="GL146" i="10"/>
  <c r="GK146" i="10"/>
  <c r="GJ146" i="10"/>
  <c r="GI146" i="10"/>
  <c r="GH146" i="10"/>
  <c r="GG146" i="10"/>
  <c r="GF146" i="10"/>
  <c r="GE146" i="10"/>
  <c r="GD146" i="10"/>
  <c r="GC146" i="10"/>
  <c r="GB146" i="10"/>
  <c r="GA146" i="10"/>
  <c r="FZ146" i="10"/>
  <c r="FY146" i="10"/>
  <c r="FX146" i="10"/>
  <c r="FW146" i="10"/>
  <c r="FV146" i="10"/>
  <c r="FU146" i="10"/>
  <c r="FT146" i="10"/>
  <c r="FS146" i="10"/>
  <c r="FR146" i="10"/>
  <c r="FQ146" i="10"/>
  <c r="FP146" i="10"/>
  <c r="FO146" i="10"/>
  <c r="FN146" i="10"/>
  <c r="FM146" i="10"/>
  <c r="FL146" i="10"/>
  <c r="FK146" i="10"/>
  <c r="FJ146" i="10"/>
  <c r="FI146" i="10"/>
  <c r="FH146" i="10"/>
  <c r="FG146" i="10"/>
  <c r="FF146" i="10"/>
  <c r="FE146" i="10"/>
  <c r="FD146" i="10"/>
  <c r="FC146" i="10"/>
  <c r="GU145" i="10"/>
  <c r="GT145" i="10"/>
  <c r="GS145" i="10"/>
  <c r="GR145" i="10"/>
  <c r="GQ145" i="10"/>
  <c r="GP145" i="10"/>
  <c r="GO145" i="10"/>
  <c r="GN145" i="10"/>
  <c r="GM145" i="10"/>
  <c r="GL145" i="10"/>
  <c r="GK145" i="10"/>
  <c r="GJ145" i="10"/>
  <c r="GI145" i="10"/>
  <c r="GH145" i="10"/>
  <c r="GG145" i="10"/>
  <c r="GF145" i="10"/>
  <c r="GE145" i="10"/>
  <c r="GD145" i="10"/>
  <c r="GC145" i="10"/>
  <c r="GB145" i="10"/>
  <c r="GA145" i="10"/>
  <c r="FZ145" i="10"/>
  <c r="FY145" i="10"/>
  <c r="FX145" i="10"/>
  <c r="FW145" i="10"/>
  <c r="FV145" i="10"/>
  <c r="FU145" i="10"/>
  <c r="FT145" i="10"/>
  <c r="FS145" i="10"/>
  <c r="FR145" i="10"/>
  <c r="FQ145" i="10"/>
  <c r="FP145" i="10"/>
  <c r="FO145" i="10"/>
  <c r="FN145" i="10"/>
  <c r="FM145" i="10"/>
  <c r="FL145" i="10"/>
  <c r="FK145" i="10"/>
  <c r="FJ145" i="10"/>
  <c r="FI145" i="10"/>
  <c r="FH145" i="10"/>
  <c r="FG145" i="10"/>
  <c r="FF145" i="10"/>
  <c r="FE145" i="10"/>
  <c r="FD145" i="10"/>
  <c r="FC145" i="10"/>
  <c r="GU144" i="10"/>
  <c r="GT144" i="10"/>
  <c r="GS144" i="10"/>
  <c r="GR144" i="10"/>
  <c r="GQ144" i="10"/>
  <c r="GP144" i="10"/>
  <c r="GO144" i="10"/>
  <c r="GN144" i="10"/>
  <c r="GM144" i="10"/>
  <c r="GL144" i="10"/>
  <c r="GK144" i="10"/>
  <c r="GJ144" i="10"/>
  <c r="GI144" i="10"/>
  <c r="GH144" i="10"/>
  <c r="GG144" i="10"/>
  <c r="GF144" i="10"/>
  <c r="GE144" i="10"/>
  <c r="GD144" i="10"/>
  <c r="GC144" i="10"/>
  <c r="GB144" i="10"/>
  <c r="GA144" i="10"/>
  <c r="FZ144" i="10"/>
  <c r="FY144" i="10"/>
  <c r="FX144" i="10"/>
  <c r="FW144" i="10"/>
  <c r="FV144" i="10"/>
  <c r="FU144" i="10"/>
  <c r="FT144" i="10"/>
  <c r="FS144" i="10"/>
  <c r="FR144" i="10"/>
  <c r="FQ144" i="10"/>
  <c r="FP144" i="10"/>
  <c r="FO144" i="10"/>
  <c r="FN144" i="10"/>
  <c r="FM144" i="10"/>
  <c r="FL144" i="10"/>
  <c r="FK144" i="10"/>
  <c r="FJ144" i="10"/>
  <c r="FI144" i="10"/>
  <c r="FH144" i="10"/>
  <c r="FG144" i="10"/>
  <c r="FF144" i="10"/>
  <c r="FE144" i="10"/>
  <c r="FD144" i="10"/>
  <c r="FC144" i="10"/>
  <c r="GU143" i="10"/>
  <c r="GT143" i="10"/>
  <c r="GS143" i="10"/>
  <c r="GR143" i="10"/>
  <c r="GQ143" i="10"/>
  <c r="GP143" i="10"/>
  <c r="GO143" i="10"/>
  <c r="GN143" i="10"/>
  <c r="GM143" i="10"/>
  <c r="GL143" i="10"/>
  <c r="GK143" i="10"/>
  <c r="GJ143" i="10"/>
  <c r="GI143" i="10"/>
  <c r="GH143" i="10"/>
  <c r="GG143" i="10"/>
  <c r="GF143" i="10"/>
  <c r="GE143" i="10"/>
  <c r="GD143" i="10"/>
  <c r="GC143" i="10"/>
  <c r="GB143" i="10"/>
  <c r="GA143" i="10"/>
  <c r="FZ143" i="10"/>
  <c r="FY143" i="10"/>
  <c r="FX143" i="10"/>
  <c r="FW143" i="10"/>
  <c r="FV143" i="10"/>
  <c r="FU143" i="10"/>
  <c r="FT143" i="10"/>
  <c r="FS143" i="10"/>
  <c r="FR143" i="10"/>
  <c r="FQ143" i="10"/>
  <c r="FP143" i="10"/>
  <c r="FO143" i="10"/>
  <c r="FN143" i="10"/>
  <c r="FM143" i="10"/>
  <c r="FL143" i="10"/>
  <c r="FK143" i="10"/>
  <c r="FJ143" i="10"/>
  <c r="FI143" i="10"/>
  <c r="FH143" i="10"/>
  <c r="FG143" i="10"/>
  <c r="FF143" i="10"/>
  <c r="FE143" i="10"/>
  <c r="FD143" i="10"/>
  <c r="FC143" i="10"/>
  <c r="GU142" i="10"/>
  <c r="GT142" i="10"/>
  <c r="GS142" i="10"/>
  <c r="GR142" i="10"/>
  <c r="GQ142" i="10"/>
  <c r="GP142" i="10"/>
  <c r="GO142" i="10"/>
  <c r="GN142" i="10"/>
  <c r="GM142" i="10"/>
  <c r="GL142" i="10"/>
  <c r="GK142" i="10"/>
  <c r="GJ142" i="10"/>
  <c r="GI142" i="10"/>
  <c r="GH142" i="10"/>
  <c r="GG142" i="10"/>
  <c r="GF142" i="10"/>
  <c r="GE142" i="10"/>
  <c r="GD142" i="10"/>
  <c r="GC142" i="10"/>
  <c r="GB142" i="10"/>
  <c r="GA142" i="10"/>
  <c r="FZ142" i="10"/>
  <c r="FY142" i="10"/>
  <c r="FX142" i="10"/>
  <c r="FW142" i="10"/>
  <c r="FV142" i="10"/>
  <c r="FU142" i="10"/>
  <c r="FT142" i="10"/>
  <c r="FS142" i="10"/>
  <c r="FR142" i="10"/>
  <c r="FQ142" i="10"/>
  <c r="FP142" i="10"/>
  <c r="FO142" i="10"/>
  <c r="FN142" i="10"/>
  <c r="FM142" i="10"/>
  <c r="FL142" i="10"/>
  <c r="FK142" i="10"/>
  <c r="FJ142" i="10"/>
  <c r="FI142" i="10"/>
  <c r="FH142" i="10"/>
  <c r="FG142" i="10"/>
  <c r="FF142" i="10"/>
  <c r="FE142" i="10"/>
  <c r="FD142" i="10"/>
  <c r="FC142" i="10"/>
  <c r="GU141" i="10"/>
  <c r="GT141" i="10"/>
  <c r="GS141" i="10"/>
  <c r="GR141" i="10"/>
  <c r="GQ141" i="10"/>
  <c r="GP141" i="10"/>
  <c r="GO141" i="10"/>
  <c r="GN141" i="10"/>
  <c r="GM141" i="10"/>
  <c r="GL141" i="10"/>
  <c r="GK141" i="10"/>
  <c r="GJ141" i="10"/>
  <c r="GI141" i="10"/>
  <c r="GH141" i="10"/>
  <c r="GG141" i="10"/>
  <c r="GF141" i="10"/>
  <c r="GE141" i="10"/>
  <c r="GD141" i="10"/>
  <c r="GC141" i="10"/>
  <c r="GB141" i="10"/>
  <c r="GA141" i="10"/>
  <c r="FZ141" i="10"/>
  <c r="FY141" i="10"/>
  <c r="FX141" i="10"/>
  <c r="FW141" i="10"/>
  <c r="FV141" i="10"/>
  <c r="FU141" i="10"/>
  <c r="FT141" i="10"/>
  <c r="FS141" i="10"/>
  <c r="FR141" i="10"/>
  <c r="FQ141" i="10"/>
  <c r="FP141" i="10"/>
  <c r="FO141" i="10"/>
  <c r="FN141" i="10"/>
  <c r="FM141" i="10"/>
  <c r="FL141" i="10"/>
  <c r="FK141" i="10"/>
  <c r="FJ141" i="10"/>
  <c r="FI141" i="10"/>
  <c r="FH141" i="10"/>
  <c r="FG141" i="10"/>
  <c r="FF141" i="10"/>
  <c r="FE141" i="10"/>
  <c r="FD141" i="10"/>
  <c r="FC141" i="10"/>
  <c r="GU140" i="10"/>
  <c r="GT140" i="10"/>
  <c r="GS140" i="10"/>
  <c r="GR140" i="10"/>
  <c r="GQ140" i="10"/>
  <c r="GP140" i="10"/>
  <c r="GO140" i="10"/>
  <c r="GN140" i="10"/>
  <c r="GM140" i="10"/>
  <c r="GL140" i="10"/>
  <c r="GK140" i="10"/>
  <c r="GJ140" i="10"/>
  <c r="GI140" i="10"/>
  <c r="GH140" i="10"/>
  <c r="GG140" i="10"/>
  <c r="GF140" i="10"/>
  <c r="GE140" i="10"/>
  <c r="GD140" i="10"/>
  <c r="GC140" i="10"/>
  <c r="GB140" i="10"/>
  <c r="GA140" i="10"/>
  <c r="FZ140" i="10"/>
  <c r="FY140" i="10"/>
  <c r="FX140" i="10"/>
  <c r="FW140" i="10"/>
  <c r="FV140" i="10"/>
  <c r="FU140" i="10"/>
  <c r="FT140" i="10"/>
  <c r="FS140" i="10"/>
  <c r="FR140" i="10"/>
  <c r="FQ140" i="10"/>
  <c r="FP140" i="10"/>
  <c r="FO140" i="10"/>
  <c r="FN140" i="10"/>
  <c r="FM140" i="10"/>
  <c r="FL140" i="10"/>
  <c r="FK140" i="10"/>
  <c r="FJ140" i="10"/>
  <c r="FI140" i="10"/>
  <c r="FH140" i="10"/>
  <c r="FG140" i="10"/>
  <c r="FF140" i="10"/>
  <c r="FE140" i="10"/>
  <c r="FD140" i="10"/>
  <c r="FC140" i="10"/>
  <c r="GU139" i="10"/>
  <c r="GT139" i="10"/>
  <c r="GS139" i="10"/>
  <c r="GR139" i="10"/>
  <c r="GQ139" i="10"/>
  <c r="GP139" i="10"/>
  <c r="GO139" i="10"/>
  <c r="GN139" i="10"/>
  <c r="GM139" i="10"/>
  <c r="GL139" i="10"/>
  <c r="GK139" i="10"/>
  <c r="GJ139" i="10"/>
  <c r="GI139" i="10"/>
  <c r="GH139" i="10"/>
  <c r="GG139" i="10"/>
  <c r="GF139" i="10"/>
  <c r="GE139" i="10"/>
  <c r="GD139" i="10"/>
  <c r="GC139" i="10"/>
  <c r="GB139" i="10"/>
  <c r="GA139" i="10"/>
  <c r="FZ139" i="10"/>
  <c r="FY139" i="10"/>
  <c r="FX139" i="10"/>
  <c r="FW139" i="10"/>
  <c r="FV139" i="10"/>
  <c r="FU139" i="10"/>
  <c r="FT139" i="10"/>
  <c r="FS139" i="10"/>
  <c r="FR139" i="10"/>
  <c r="FQ139" i="10"/>
  <c r="FP139" i="10"/>
  <c r="FO139" i="10"/>
  <c r="FN139" i="10"/>
  <c r="FM139" i="10"/>
  <c r="FL139" i="10"/>
  <c r="FK139" i="10"/>
  <c r="FJ139" i="10"/>
  <c r="FI139" i="10"/>
  <c r="FH139" i="10"/>
  <c r="FG139" i="10"/>
  <c r="FF139" i="10"/>
  <c r="FE139" i="10"/>
  <c r="FD139" i="10"/>
  <c r="FC139" i="10"/>
  <c r="GU138" i="10"/>
  <c r="GT138" i="10"/>
  <c r="GS138" i="10"/>
  <c r="GR138" i="10"/>
  <c r="GQ138" i="10"/>
  <c r="GP138" i="10"/>
  <c r="GO138" i="10"/>
  <c r="GN138" i="10"/>
  <c r="GM138" i="10"/>
  <c r="GL138" i="10"/>
  <c r="GK138" i="10"/>
  <c r="GJ138" i="10"/>
  <c r="GI138" i="10"/>
  <c r="GH138" i="10"/>
  <c r="GG138" i="10"/>
  <c r="GF138" i="10"/>
  <c r="GE138" i="10"/>
  <c r="GD138" i="10"/>
  <c r="GC138" i="10"/>
  <c r="GB138" i="10"/>
  <c r="GA138" i="10"/>
  <c r="FZ138" i="10"/>
  <c r="FY138" i="10"/>
  <c r="FX138" i="10"/>
  <c r="FW138" i="10"/>
  <c r="FV138" i="10"/>
  <c r="FU138" i="10"/>
  <c r="FT138" i="10"/>
  <c r="FS138" i="10"/>
  <c r="FR138" i="10"/>
  <c r="FQ138" i="10"/>
  <c r="FP138" i="10"/>
  <c r="FO138" i="10"/>
  <c r="FN138" i="10"/>
  <c r="FM138" i="10"/>
  <c r="FL138" i="10"/>
  <c r="FK138" i="10"/>
  <c r="FJ138" i="10"/>
  <c r="FI138" i="10"/>
  <c r="FH138" i="10"/>
  <c r="FG138" i="10"/>
  <c r="FF138" i="10"/>
  <c r="FE138" i="10"/>
  <c r="FD138" i="10"/>
  <c r="FC138" i="10"/>
  <c r="GU137" i="10"/>
  <c r="GT137" i="10"/>
  <c r="GS137" i="10"/>
  <c r="GR137" i="10"/>
  <c r="GQ137" i="10"/>
  <c r="GP137" i="10"/>
  <c r="GO137" i="10"/>
  <c r="GN137" i="10"/>
  <c r="GM137" i="10"/>
  <c r="GL137" i="10"/>
  <c r="GK137" i="10"/>
  <c r="GJ137" i="10"/>
  <c r="GI137" i="10"/>
  <c r="GH137" i="10"/>
  <c r="GG137" i="10"/>
  <c r="GF137" i="10"/>
  <c r="GE137" i="10"/>
  <c r="GD137" i="10"/>
  <c r="GC137" i="10"/>
  <c r="GB137" i="10"/>
  <c r="GA137" i="10"/>
  <c r="FZ137" i="10"/>
  <c r="FY137" i="10"/>
  <c r="FX137" i="10"/>
  <c r="FW137" i="10"/>
  <c r="FV137" i="10"/>
  <c r="FU137" i="10"/>
  <c r="FT137" i="10"/>
  <c r="FS137" i="10"/>
  <c r="FR137" i="10"/>
  <c r="FQ137" i="10"/>
  <c r="FP137" i="10"/>
  <c r="FO137" i="10"/>
  <c r="FN137" i="10"/>
  <c r="FM137" i="10"/>
  <c r="FL137" i="10"/>
  <c r="FK137" i="10"/>
  <c r="FJ137" i="10"/>
  <c r="FI137" i="10"/>
  <c r="FH137" i="10"/>
  <c r="FG137" i="10"/>
  <c r="FF137" i="10"/>
  <c r="FE137" i="10"/>
  <c r="FD137" i="10"/>
  <c r="FC137" i="10"/>
  <c r="GU136" i="10"/>
  <c r="GT136" i="10"/>
  <c r="GS136" i="10"/>
  <c r="GR136" i="10"/>
  <c r="GQ136" i="10"/>
  <c r="GP136" i="10"/>
  <c r="GO136" i="10"/>
  <c r="GN136" i="10"/>
  <c r="GM136" i="10"/>
  <c r="GL136" i="10"/>
  <c r="GK136" i="10"/>
  <c r="GJ136" i="10"/>
  <c r="GI136" i="10"/>
  <c r="GH136" i="10"/>
  <c r="GG136" i="10"/>
  <c r="GF136" i="10"/>
  <c r="GE136" i="10"/>
  <c r="GD136" i="10"/>
  <c r="GC136" i="10"/>
  <c r="GB136" i="10"/>
  <c r="GA136" i="10"/>
  <c r="FZ136" i="10"/>
  <c r="FY136" i="10"/>
  <c r="FX136" i="10"/>
  <c r="FW136" i="10"/>
  <c r="FV136" i="10"/>
  <c r="FU136" i="10"/>
  <c r="FT136" i="10"/>
  <c r="FS136" i="10"/>
  <c r="FR136" i="10"/>
  <c r="FQ136" i="10"/>
  <c r="FP136" i="10"/>
  <c r="FO136" i="10"/>
  <c r="FN136" i="10"/>
  <c r="FM136" i="10"/>
  <c r="FL136" i="10"/>
  <c r="FK136" i="10"/>
  <c r="FJ136" i="10"/>
  <c r="FI136" i="10"/>
  <c r="FH136" i="10"/>
  <c r="FG136" i="10"/>
  <c r="FF136" i="10"/>
  <c r="FE136" i="10"/>
  <c r="FD136" i="10"/>
  <c r="FC136" i="10"/>
  <c r="GU135" i="10"/>
  <c r="GT135" i="10"/>
  <c r="GS135" i="10"/>
  <c r="GR135" i="10"/>
  <c r="GQ135" i="10"/>
  <c r="GP135" i="10"/>
  <c r="GO135" i="10"/>
  <c r="GN135" i="10"/>
  <c r="GM135" i="10"/>
  <c r="GL135" i="10"/>
  <c r="GK135" i="10"/>
  <c r="GJ135" i="10"/>
  <c r="GI135" i="10"/>
  <c r="GH135" i="10"/>
  <c r="GG135" i="10"/>
  <c r="GF135" i="10"/>
  <c r="GE135" i="10"/>
  <c r="GD135" i="10"/>
  <c r="GC135" i="10"/>
  <c r="GB135" i="10"/>
  <c r="GA135" i="10"/>
  <c r="FZ135" i="10"/>
  <c r="FY135" i="10"/>
  <c r="FX135" i="10"/>
  <c r="FW135" i="10"/>
  <c r="FV135" i="10"/>
  <c r="FU135" i="10"/>
  <c r="FT135" i="10"/>
  <c r="FS135" i="10"/>
  <c r="FR135" i="10"/>
  <c r="FQ135" i="10"/>
  <c r="FP135" i="10"/>
  <c r="FO135" i="10"/>
  <c r="FN135" i="10"/>
  <c r="FM135" i="10"/>
  <c r="FL135" i="10"/>
  <c r="FK135" i="10"/>
  <c r="FJ135" i="10"/>
  <c r="FI135" i="10"/>
  <c r="FH135" i="10"/>
  <c r="FG135" i="10"/>
  <c r="FF135" i="10"/>
  <c r="FE135" i="10"/>
  <c r="FD135" i="10"/>
  <c r="FC135" i="10"/>
  <c r="GU134" i="10"/>
  <c r="GT134" i="10"/>
  <c r="GS134" i="10"/>
  <c r="GR134" i="10"/>
  <c r="GQ134" i="10"/>
  <c r="GP134" i="10"/>
  <c r="GO134" i="10"/>
  <c r="GN134" i="10"/>
  <c r="GM134" i="10"/>
  <c r="GL134" i="10"/>
  <c r="GK134" i="10"/>
  <c r="GJ134" i="10"/>
  <c r="GI134" i="10"/>
  <c r="GH134" i="10"/>
  <c r="GG134" i="10"/>
  <c r="GF134" i="10"/>
  <c r="GE134" i="10"/>
  <c r="GD134" i="10"/>
  <c r="GC134" i="10"/>
  <c r="GB134" i="10"/>
  <c r="GA134" i="10"/>
  <c r="FZ134" i="10"/>
  <c r="FY134" i="10"/>
  <c r="FX134" i="10"/>
  <c r="FW134" i="10"/>
  <c r="FV134" i="10"/>
  <c r="FU134" i="10"/>
  <c r="FT134" i="10"/>
  <c r="FS134" i="10"/>
  <c r="FR134" i="10"/>
  <c r="FQ134" i="10"/>
  <c r="FP134" i="10"/>
  <c r="FO134" i="10"/>
  <c r="FN134" i="10"/>
  <c r="FM134" i="10"/>
  <c r="FL134" i="10"/>
  <c r="FK134" i="10"/>
  <c r="FJ134" i="10"/>
  <c r="FI134" i="10"/>
  <c r="FH134" i="10"/>
  <c r="FG134" i="10"/>
  <c r="FF134" i="10"/>
  <c r="FE134" i="10"/>
  <c r="FD134" i="10"/>
  <c r="FC134" i="10"/>
  <c r="GU133" i="10"/>
  <c r="GT133" i="10"/>
  <c r="GS133" i="10"/>
  <c r="GR133" i="10"/>
  <c r="GQ133" i="10"/>
  <c r="GP133" i="10"/>
  <c r="GO133" i="10"/>
  <c r="GN133" i="10"/>
  <c r="GM133" i="10"/>
  <c r="GL133" i="10"/>
  <c r="GK133" i="10"/>
  <c r="GJ133" i="10"/>
  <c r="GI133" i="10"/>
  <c r="GH133" i="10"/>
  <c r="GG133" i="10"/>
  <c r="GF133" i="10"/>
  <c r="GE133" i="10"/>
  <c r="GD133" i="10"/>
  <c r="GC133" i="10"/>
  <c r="GB133" i="10"/>
  <c r="GA133" i="10"/>
  <c r="FZ133" i="10"/>
  <c r="FY133" i="10"/>
  <c r="FX133" i="10"/>
  <c r="FW133" i="10"/>
  <c r="FV133" i="10"/>
  <c r="FU133" i="10"/>
  <c r="FT133" i="10"/>
  <c r="FS133" i="10"/>
  <c r="FR133" i="10"/>
  <c r="FQ133" i="10"/>
  <c r="FP133" i="10"/>
  <c r="FO133" i="10"/>
  <c r="FN133" i="10"/>
  <c r="FM133" i="10"/>
  <c r="FL133" i="10"/>
  <c r="FK133" i="10"/>
  <c r="FJ133" i="10"/>
  <c r="FI133" i="10"/>
  <c r="FH133" i="10"/>
  <c r="FG133" i="10"/>
  <c r="FF133" i="10"/>
  <c r="FE133" i="10"/>
  <c r="FD133" i="10"/>
  <c r="FC133" i="10"/>
  <c r="GU132" i="10"/>
  <c r="GT132" i="10"/>
  <c r="GS132" i="10"/>
  <c r="GR132" i="10"/>
  <c r="GQ132" i="10"/>
  <c r="GP132" i="10"/>
  <c r="GO132" i="10"/>
  <c r="GN132" i="10"/>
  <c r="GM132" i="10"/>
  <c r="GL132" i="10"/>
  <c r="GK132" i="10"/>
  <c r="GJ132" i="10"/>
  <c r="GI132" i="10"/>
  <c r="GH132" i="10"/>
  <c r="GG132" i="10"/>
  <c r="GF132" i="10"/>
  <c r="GE132" i="10"/>
  <c r="GD132" i="10"/>
  <c r="GC132" i="10"/>
  <c r="GB132" i="10"/>
  <c r="GA132" i="10"/>
  <c r="FZ132" i="10"/>
  <c r="FY132" i="10"/>
  <c r="FX132" i="10"/>
  <c r="FW132" i="10"/>
  <c r="FV132" i="10"/>
  <c r="FU132" i="10"/>
  <c r="FT132" i="10"/>
  <c r="FS132" i="10"/>
  <c r="FR132" i="10"/>
  <c r="FQ132" i="10"/>
  <c r="FP132" i="10"/>
  <c r="FO132" i="10"/>
  <c r="FN132" i="10"/>
  <c r="FM132" i="10"/>
  <c r="FL132" i="10"/>
  <c r="FK132" i="10"/>
  <c r="FJ132" i="10"/>
  <c r="FI132" i="10"/>
  <c r="FH132" i="10"/>
  <c r="FG132" i="10"/>
  <c r="FF132" i="10"/>
  <c r="FE132" i="10"/>
  <c r="FD132" i="10"/>
  <c r="FC132" i="10"/>
  <c r="GU131" i="10"/>
  <c r="GT131" i="10"/>
  <c r="GS131" i="10"/>
  <c r="GR131" i="10"/>
  <c r="GQ131" i="10"/>
  <c r="GP131" i="10"/>
  <c r="GO131" i="10"/>
  <c r="GN131" i="10"/>
  <c r="GM131" i="10"/>
  <c r="GL131" i="10"/>
  <c r="GK131" i="10"/>
  <c r="GJ131" i="10"/>
  <c r="GI131" i="10"/>
  <c r="GH131" i="10"/>
  <c r="GG131" i="10"/>
  <c r="GF131" i="10"/>
  <c r="GE131" i="10"/>
  <c r="GD131" i="10"/>
  <c r="GC131" i="10"/>
  <c r="GB131" i="10"/>
  <c r="GA131" i="10"/>
  <c r="FZ131" i="10"/>
  <c r="FY131" i="10"/>
  <c r="FX131" i="10"/>
  <c r="FW131" i="10"/>
  <c r="FV131" i="10"/>
  <c r="FU131" i="10"/>
  <c r="FT131" i="10"/>
  <c r="FS131" i="10"/>
  <c r="FR131" i="10"/>
  <c r="FQ131" i="10"/>
  <c r="FP131" i="10"/>
  <c r="FO131" i="10"/>
  <c r="FN131" i="10"/>
  <c r="FM131" i="10"/>
  <c r="FL131" i="10"/>
  <c r="FK131" i="10"/>
  <c r="FJ131" i="10"/>
  <c r="FI131" i="10"/>
  <c r="FH131" i="10"/>
  <c r="FG131" i="10"/>
  <c r="FF131" i="10"/>
  <c r="FE131" i="10"/>
  <c r="FD131" i="10"/>
  <c r="FC131" i="10"/>
  <c r="GU130" i="10"/>
  <c r="GT130" i="10"/>
  <c r="GS130" i="10"/>
  <c r="GR130" i="10"/>
  <c r="GQ130" i="10"/>
  <c r="GP130" i="10"/>
  <c r="GO130" i="10"/>
  <c r="GN130" i="10"/>
  <c r="GM130" i="10"/>
  <c r="GL130" i="10"/>
  <c r="GK130" i="10"/>
  <c r="GJ130" i="10"/>
  <c r="GI130" i="10"/>
  <c r="GH130" i="10"/>
  <c r="GG130" i="10"/>
  <c r="GF130" i="10"/>
  <c r="GE130" i="10"/>
  <c r="GD130" i="10"/>
  <c r="GC130" i="10"/>
  <c r="GB130" i="10"/>
  <c r="GA130" i="10"/>
  <c r="FZ130" i="10"/>
  <c r="FY130" i="10"/>
  <c r="FX130" i="10"/>
  <c r="FW130" i="10"/>
  <c r="FV130" i="10"/>
  <c r="FU130" i="10"/>
  <c r="FT130" i="10"/>
  <c r="FS130" i="10"/>
  <c r="FR130" i="10"/>
  <c r="FQ130" i="10"/>
  <c r="FP130" i="10"/>
  <c r="FO130" i="10"/>
  <c r="FN130" i="10"/>
  <c r="FM130" i="10"/>
  <c r="FL130" i="10"/>
  <c r="FK130" i="10"/>
  <c r="FJ130" i="10"/>
  <c r="FI130" i="10"/>
  <c r="FH130" i="10"/>
  <c r="FG130" i="10"/>
  <c r="FF130" i="10"/>
  <c r="FE130" i="10"/>
  <c r="FD130" i="10"/>
  <c r="FC130" i="10"/>
  <c r="GU129" i="10"/>
  <c r="GT129" i="10"/>
  <c r="GS129" i="10"/>
  <c r="GR129" i="10"/>
  <c r="GQ129" i="10"/>
  <c r="GP129" i="10"/>
  <c r="GO129" i="10"/>
  <c r="GN129" i="10"/>
  <c r="GM129" i="10"/>
  <c r="GL129" i="10"/>
  <c r="GK129" i="10"/>
  <c r="GJ129" i="10"/>
  <c r="GI129" i="10"/>
  <c r="GH129" i="10"/>
  <c r="GG129" i="10"/>
  <c r="GF129" i="10"/>
  <c r="GE129" i="10"/>
  <c r="GD129" i="10"/>
  <c r="GC129" i="10"/>
  <c r="GB129" i="10"/>
  <c r="GA129" i="10"/>
  <c r="FZ129" i="10"/>
  <c r="FY129" i="10"/>
  <c r="FX129" i="10"/>
  <c r="FW129" i="10"/>
  <c r="FV129" i="10"/>
  <c r="FU129" i="10"/>
  <c r="FT129" i="10"/>
  <c r="FS129" i="10"/>
  <c r="FR129" i="10"/>
  <c r="FQ129" i="10"/>
  <c r="FP129" i="10"/>
  <c r="FO129" i="10"/>
  <c r="FN129" i="10"/>
  <c r="FM129" i="10"/>
  <c r="FL129" i="10"/>
  <c r="FK129" i="10"/>
  <c r="FJ129" i="10"/>
  <c r="FI129" i="10"/>
  <c r="FH129" i="10"/>
  <c r="FG129" i="10"/>
  <c r="FF129" i="10"/>
  <c r="FE129" i="10"/>
  <c r="FD129" i="10"/>
  <c r="FC129" i="10"/>
  <c r="GU128" i="10"/>
  <c r="GT128" i="10"/>
  <c r="GS128" i="10"/>
  <c r="GR128" i="10"/>
  <c r="GQ128" i="10"/>
  <c r="GP128" i="10"/>
  <c r="GO128" i="10"/>
  <c r="GN128" i="10"/>
  <c r="GM128" i="10"/>
  <c r="GL128" i="10"/>
  <c r="GK128" i="10"/>
  <c r="GJ128" i="10"/>
  <c r="GI128" i="10"/>
  <c r="GH128" i="10"/>
  <c r="GG128" i="10"/>
  <c r="GF128" i="10"/>
  <c r="GE128" i="10"/>
  <c r="GD128" i="10"/>
  <c r="GC128" i="10"/>
  <c r="GB128" i="10"/>
  <c r="GA128" i="10"/>
  <c r="FZ128" i="10"/>
  <c r="FY128" i="10"/>
  <c r="FX128" i="10"/>
  <c r="FW128" i="10"/>
  <c r="FV128" i="10"/>
  <c r="FU128" i="10"/>
  <c r="FT128" i="10"/>
  <c r="FS128" i="10"/>
  <c r="FR128" i="10"/>
  <c r="FQ128" i="10"/>
  <c r="FP128" i="10"/>
  <c r="FO128" i="10"/>
  <c r="FN128" i="10"/>
  <c r="FM128" i="10"/>
  <c r="FL128" i="10"/>
  <c r="FK128" i="10"/>
  <c r="FJ128" i="10"/>
  <c r="FI128" i="10"/>
  <c r="FH128" i="10"/>
  <c r="FG128" i="10"/>
  <c r="FF128" i="10"/>
  <c r="FE128" i="10"/>
  <c r="FD128" i="10"/>
  <c r="FC128" i="10"/>
  <c r="GU127" i="10"/>
  <c r="GT127" i="10"/>
  <c r="GS127" i="10"/>
  <c r="GR127" i="10"/>
  <c r="GQ127" i="10"/>
  <c r="GP127" i="10"/>
  <c r="GO127" i="10"/>
  <c r="GN127" i="10"/>
  <c r="GM127" i="10"/>
  <c r="GL127" i="10"/>
  <c r="GK127" i="10"/>
  <c r="GJ127" i="10"/>
  <c r="GI127" i="10"/>
  <c r="GH127" i="10"/>
  <c r="GG127" i="10"/>
  <c r="GF127" i="10"/>
  <c r="GE127" i="10"/>
  <c r="GD127" i="10"/>
  <c r="GC127" i="10"/>
  <c r="GB127" i="10"/>
  <c r="GA127" i="10"/>
  <c r="FZ127" i="10"/>
  <c r="FY127" i="10"/>
  <c r="FX127" i="10"/>
  <c r="FW127" i="10"/>
  <c r="FV127" i="10"/>
  <c r="FU127" i="10"/>
  <c r="FT127" i="10"/>
  <c r="FS127" i="10"/>
  <c r="FR127" i="10"/>
  <c r="FQ127" i="10"/>
  <c r="FP127" i="10"/>
  <c r="FO127" i="10"/>
  <c r="FN127" i="10"/>
  <c r="FM127" i="10"/>
  <c r="FL127" i="10"/>
  <c r="FK127" i="10"/>
  <c r="FJ127" i="10"/>
  <c r="FI127" i="10"/>
  <c r="FH127" i="10"/>
  <c r="FG127" i="10"/>
  <c r="FF127" i="10"/>
  <c r="FE127" i="10"/>
  <c r="FD127" i="10"/>
  <c r="FC127" i="10"/>
  <c r="GU126" i="10"/>
  <c r="GT126" i="10"/>
  <c r="GS126" i="10"/>
  <c r="GR126" i="10"/>
  <c r="GQ126" i="10"/>
  <c r="GP126" i="10"/>
  <c r="GO126" i="10"/>
  <c r="GN126" i="10"/>
  <c r="GM126" i="10"/>
  <c r="GL126" i="10"/>
  <c r="GK126" i="10"/>
  <c r="GJ126" i="10"/>
  <c r="GI126" i="10"/>
  <c r="GH126" i="10"/>
  <c r="GG126" i="10"/>
  <c r="GF126" i="10"/>
  <c r="GE126" i="10"/>
  <c r="GD126" i="10"/>
  <c r="GC126" i="10"/>
  <c r="GB126" i="10"/>
  <c r="GA126" i="10"/>
  <c r="FZ126" i="10"/>
  <c r="FY126" i="10"/>
  <c r="FX126" i="10"/>
  <c r="FW126" i="10"/>
  <c r="FV126" i="10"/>
  <c r="FU126" i="10"/>
  <c r="FT126" i="10"/>
  <c r="FS126" i="10"/>
  <c r="FR126" i="10"/>
  <c r="FQ126" i="10"/>
  <c r="FP126" i="10"/>
  <c r="FO126" i="10"/>
  <c r="FN126" i="10"/>
  <c r="FM126" i="10"/>
  <c r="FL126" i="10"/>
  <c r="FK126" i="10"/>
  <c r="FJ126" i="10"/>
  <c r="FI126" i="10"/>
  <c r="FH126" i="10"/>
  <c r="FG126" i="10"/>
  <c r="FF126" i="10"/>
  <c r="FE126" i="10"/>
  <c r="FD126" i="10"/>
  <c r="FC126" i="10"/>
  <c r="GU125" i="10"/>
  <c r="GT125" i="10"/>
  <c r="GS125" i="10"/>
  <c r="GR125" i="10"/>
  <c r="GQ125" i="10"/>
  <c r="GP125" i="10"/>
  <c r="GO125" i="10"/>
  <c r="GN125" i="10"/>
  <c r="GM125" i="10"/>
  <c r="GL125" i="10"/>
  <c r="GK125" i="10"/>
  <c r="GJ125" i="10"/>
  <c r="GI125" i="10"/>
  <c r="GH125" i="10"/>
  <c r="GG125" i="10"/>
  <c r="GF125" i="10"/>
  <c r="GE125" i="10"/>
  <c r="GD125" i="10"/>
  <c r="GC125" i="10"/>
  <c r="GB125" i="10"/>
  <c r="GA125" i="10"/>
  <c r="FZ125" i="10"/>
  <c r="FY125" i="10"/>
  <c r="FX125" i="10"/>
  <c r="FW125" i="10"/>
  <c r="FV125" i="10"/>
  <c r="FU125" i="10"/>
  <c r="FT125" i="10"/>
  <c r="FS125" i="10"/>
  <c r="FR125" i="10"/>
  <c r="FQ125" i="10"/>
  <c r="FP125" i="10"/>
  <c r="FO125" i="10"/>
  <c r="FN125" i="10"/>
  <c r="FM125" i="10"/>
  <c r="FL125" i="10"/>
  <c r="FK125" i="10"/>
  <c r="FJ125" i="10"/>
  <c r="FI125" i="10"/>
  <c r="FH125" i="10"/>
  <c r="FG125" i="10"/>
  <c r="FF125" i="10"/>
  <c r="FE125" i="10"/>
  <c r="FD125" i="10"/>
  <c r="FC125" i="10"/>
  <c r="GU124" i="10"/>
  <c r="GT124" i="10"/>
  <c r="GS124" i="10"/>
  <c r="GR124" i="10"/>
  <c r="GQ124" i="10"/>
  <c r="GP124" i="10"/>
  <c r="GO124" i="10"/>
  <c r="GN124" i="10"/>
  <c r="GM124" i="10"/>
  <c r="GL124" i="10"/>
  <c r="GK124" i="10"/>
  <c r="GJ124" i="10"/>
  <c r="GI124" i="10"/>
  <c r="GH124" i="10"/>
  <c r="GG124" i="10"/>
  <c r="GF124" i="10"/>
  <c r="GE124" i="10"/>
  <c r="GD124" i="10"/>
  <c r="GC124" i="10"/>
  <c r="GB124" i="10"/>
  <c r="GA124" i="10"/>
  <c r="FZ124" i="10"/>
  <c r="FY124" i="10"/>
  <c r="FX124" i="10"/>
  <c r="FW124" i="10"/>
  <c r="FV124" i="10"/>
  <c r="FU124" i="10"/>
  <c r="FT124" i="10"/>
  <c r="FS124" i="10"/>
  <c r="FR124" i="10"/>
  <c r="FQ124" i="10"/>
  <c r="FP124" i="10"/>
  <c r="FO124" i="10"/>
  <c r="FN124" i="10"/>
  <c r="FM124" i="10"/>
  <c r="FL124" i="10"/>
  <c r="FK124" i="10"/>
  <c r="FJ124" i="10"/>
  <c r="FI124" i="10"/>
  <c r="FH124" i="10"/>
  <c r="FG124" i="10"/>
  <c r="FF124" i="10"/>
  <c r="FE124" i="10"/>
  <c r="FD124" i="10"/>
  <c r="FC124" i="10"/>
  <c r="GU123" i="10"/>
  <c r="GT123" i="10"/>
  <c r="GS123" i="10"/>
  <c r="GR123" i="10"/>
  <c r="GQ123" i="10"/>
  <c r="GP123" i="10"/>
  <c r="GO123" i="10"/>
  <c r="GN123" i="10"/>
  <c r="GM123" i="10"/>
  <c r="GL123" i="10"/>
  <c r="GK123" i="10"/>
  <c r="GJ123" i="10"/>
  <c r="GI123" i="10"/>
  <c r="GH123" i="10"/>
  <c r="GG123" i="10"/>
  <c r="GF123" i="10"/>
  <c r="GE123" i="10"/>
  <c r="GD123" i="10"/>
  <c r="GC123" i="10"/>
  <c r="GB123" i="10"/>
  <c r="GA123" i="10"/>
  <c r="FZ123" i="10"/>
  <c r="FY123" i="10"/>
  <c r="FX123" i="10"/>
  <c r="FW123" i="10"/>
  <c r="FV123" i="10"/>
  <c r="FU123" i="10"/>
  <c r="FT123" i="10"/>
  <c r="FS123" i="10"/>
  <c r="FR123" i="10"/>
  <c r="FQ123" i="10"/>
  <c r="FP123" i="10"/>
  <c r="FO123" i="10"/>
  <c r="FN123" i="10"/>
  <c r="FM123" i="10"/>
  <c r="FL123" i="10"/>
  <c r="FK123" i="10"/>
  <c r="FJ123" i="10"/>
  <c r="FI123" i="10"/>
  <c r="FH123" i="10"/>
  <c r="FG123" i="10"/>
  <c r="FF123" i="10"/>
  <c r="FE123" i="10"/>
  <c r="FD123" i="10"/>
  <c r="FC123" i="10"/>
  <c r="GU122" i="10"/>
  <c r="GT122" i="10"/>
  <c r="GS122" i="10"/>
  <c r="GR122" i="10"/>
  <c r="GQ122" i="10"/>
  <c r="GP122" i="10"/>
  <c r="GO122" i="10"/>
  <c r="GN122" i="10"/>
  <c r="GM122" i="10"/>
  <c r="GL122" i="10"/>
  <c r="GK122" i="10"/>
  <c r="GJ122" i="10"/>
  <c r="GI122" i="10"/>
  <c r="GH122" i="10"/>
  <c r="GG122" i="10"/>
  <c r="GF122" i="10"/>
  <c r="GE122" i="10"/>
  <c r="GD122" i="10"/>
  <c r="GC122" i="10"/>
  <c r="GB122" i="10"/>
  <c r="GA122" i="10"/>
  <c r="FZ122" i="10"/>
  <c r="FY122" i="10"/>
  <c r="FX122" i="10"/>
  <c r="FW122" i="10"/>
  <c r="FV122" i="10"/>
  <c r="FU122" i="10"/>
  <c r="FT122" i="10"/>
  <c r="FS122" i="10"/>
  <c r="FR122" i="10"/>
  <c r="FQ122" i="10"/>
  <c r="FP122" i="10"/>
  <c r="FO122" i="10"/>
  <c r="FN122" i="10"/>
  <c r="FM122" i="10"/>
  <c r="FL122" i="10"/>
  <c r="FK122" i="10"/>
  <c r="FJ122" i="10"/>
  <c r="FI122" i="10"/>
  <c r="FH122" i="10"/>
  <c r="FG122" i="10"/>
  <c r="FF122" i="10"/>
  <c r="FE122" i="10"/>
  <c r="FD122" i="10"/>
  <c r="FC122" i="10"/>
  <c r="GU121" i="10"/>
  <c r="GT121" i="10"/>
  <c r="GS121" i="10"/>
  <c r="GR121" i="10"/>
  <c r="GQ121" i="10"/>
  <c r="GP121" i="10"/>
  <c r="GO121" i="10"/>
  <c r="GN121" i="10"/>
  <c r="GM121" i="10"/>
  <c r="GL121" i="10"/>
  <c r="GK121" i="10"/>
  <c r="GJ121" i="10"/>
  <c r="GI121" i="10"/>
  <c r="GH121" i="10"/>
  <c r="GG121" i="10"/>
  <c r="GF121" i="10"/>
  <c r="GE121" i="10"/>
  <c r="GD121" i="10"/>
  <c r="GC121" i="10"/>
  <c r="GB121" i="10"/>
  <c r="GA121" i="10"/>
  <c r="FZ121" i="10"/>
  <c r="FY121" i="10"/>
  <c r="FX121" i="10"/>
  <c r="FW121" i="10"/>
  <c r="FV121" i="10"/>
  <c r="FU121" i="10"/>
  <c r="FT121" i="10"/>
  <c r="FS121" i="10"/>
  <c r="FR121" i="10"/>
  <c r="FQ121" i="10"/>
  <c r="FP121" i="10"/>
  <c r="FO121" i="10"/>
  <c r="FN121" i="10"/>
  <c r="FM121" i="10"/>
  <c r="FL121" i="10"/>
  <c r="FK121" i="10"/>
  <c r="FJ121" i="10"/>
  <c r="FI121" i="10"/>
  <c r="FH121" i="10"/>
  <c r="FG121" i="10"/>
  <c r="FF121" i="10"/>
  <c r="FE121" i="10"/>
  <c r="FD121" i="10"/>
  <c r="FC121" i="10"/>
  <c r="GU120" i="10"/>
  <c r="GT120" i="10"/>
  <c r="GS120" i="10"/>
  <c r="GR120" i="10"/>
  <c r="GQ120" i="10"/>
  <c r="GP120" i="10"/>
  <c r="GO120" i="10"/>
  <c r="GN120" i="10"/>
  <c r="GM120" i="10"/>
  <c r="GL120" i="10"/>
  <c r="GK120" i="10"/>
  <c r="GJ120" i="10"/>
  <c r="GI120" i="10"/>
  <c r="GH120" i="10"/>
  <c r="GG120" i="10"/>
  <c r="GF120" i="10"/>
  <c r="GE120" i="10"/>
  <c r="GD120" i="10"/>
  <c r="GC120" i="10"/>
  <c r="GB120" i="10"/>
  <c r="GA120" i="10"/>
  <c r="FZ120" i="10"/>
  <c r="FY120" i="10"/>
  <c r="FX120" i="10"/>
  <c r="FW120" i="10"/>
  <c r="FV120" i="10"/>
  <c r="FU120" i="10"/>
  <c r="FT120" i="10"/>
  <c r="FS120" i="10"/>
  <c r="FR120" i="10"/>
  <c r="FQ120" i="10"/>
  <c r="FP120" i="10"/>
  <c r="FO120" i="10"/>
  <c r="FN120" i="10"/>
  <c r="FM120" i="10"/>
  <c r="FL120" i="10"/>
  <c r="FK120" i="10"/>
  <c r="FJ120" i="10"/>
  <c r="FI120" i="10"/>
  <c r="FH120" i="10"/>
  <c r="FG120" i="10"/>
  <c r="FF120" i="10"/>
  <c r="FE120" i="10"/>
  <c r="FD120" i="10"/>
  <c r="FC120" i="10"/>
  <c r="GU119" i="10"/>
  <c r="GT119" i="10"/>
  <c r="GS119" i="10"/>
  <c r="GR119" i="10"/>
  <c r="GQ119" i="10"/>
  <c r="GP119" i="10"/>
  <c r="GO119" i="10"/>
  <c r="GN119" i="10"/>
  <c r="GM119" i="10"/>
  <c r="GL119" i="10"/>
  <c r="GK119" i="10"/>
  <c r="GJ119" i="10"/>
  <c r="GI119" i="10"/>
  <c r="GH119" i="10"/>
  <c r="GG119" i="10"/>
  <c r="GF119" i="10"/>
  <c r="GE119" i="10"/>
  <c r="GD119" i="10"/>
  <c r="GC119" i="10"/>
  <c r="GB119" i="10"/>
  <c r="GA119" i="10"/>
  <c r="FZ119" i="10"/>
  <c r="FY119" i="10"/>
  <c r="FX119" i="10"/>
  <c r="FW119" i="10"/>
  <c r="FV119" i="10"/>
  <c r="FU119" i="10"/>
  <c r="FT119" i="10"/>
  <c r="FS119" i="10"/>
  <c r="FR119" i="10"/>
  <c r="FQ119" i="10"/>
  <c r="FP119" i="10"/>
  <c r="FO119" i="10"/>
  <c r="FN119" i="10"/>
  <c r="FM119" i="10"/>
  <c r="FL119" i="10"/>
  <c r="FK119" i="10"/>
  <c r="FJ119" i="10"/>
  <c r="FI119" i="10"/>
  <c r="FH119" i="10"/>
  <c r="FG119" i="10"/>
  <c r="FF119" i="10"/>
  <c r="FE119" i="10"/>
  <c r="FD119" i="10"/>
  <c r="FC119" i="10"/>
  <c r="GU118" i="10"/>
  <c r="GT118" i="10"/>
  <c r="GS118" i="10"/>
  <c r="GR118" i="10"/>
  <c r="GQ118" i="10"/>
  <c r="GP118" i="10"/>
  <c r="GO118" i="10"/>
  <c r="GN118" i="10"/>
  <c r="GM118" i="10"/>
  <c r="GL118" i="10"/>
  <c r="GK118" i="10"/>
  <c r="GJ118" i="10"/>
  <c r="GI118" i="10"/>
  <c r="GH118" i="10"/>
  <c r="GG118" i="10"/>
  <c r="GF118" i="10"/>
  <c r="GE118" i="10"/>
  <c r="GD118" i="10"/>
  <c r="GC118" i="10"/>
  <c r="GB118" i="10"/>
  <c r="GA118" i="10"/>
  <c r="FZ118" i="10"/>
  <c r="FY118" i="10"/>
  <c r="FX118" i="10"/>
  <c r="FW118" i="10"/>
  <c r="FV118" i="10"/>
  <c r="FU118" i="10"/>
  <c r="FT118" i="10"/>
  <c r="FS118" i="10"/>
  <c r="FR118" i="10"/>
  <c r="FQ118" i="10"/>
  <c r="FP118" i="10"/>
  <c r="FO118" i="10"/>
  <c r="FN118" i="10"/>
  <c r="FM118" i="10"/>
  <c r="FL118" i="10"/>
  <c r="FK118" i="10"/>
  <c r="FJ118" i="10"/>
  <c r="FI118" i="10"/>
  <c r="FH118" i="10"/>
  <c r="FG118" i="10"/>
  <c r="FF118" i="10"/>
  <c r="FE118" i="10"/>
  <c r="FD118" i="10"/>
  <c r="FC118" i="10"/>
  <c r="GU117" i="10"/>
  <c r="GT117" i="10"/>
  <c r="GS117" i="10"/>
  <c r="GR117" i="10"/>
  <c r="GQ117" i="10"/>
  <c r="GP117" i="10"/>
  <c r="GO117" i="10"/>
  <c r="GN117" i="10"/>
  <c r="GM117" i="10"/>
  <c r="GL117" i="10"/>
  <c r="GK117" i="10"/>
  <c r="GJ117" i="10"/>
  <c r="GI117" i="10"/>
  <c r="GH117" i="10"/>
  <c r="GG117" i="10"/>
  <c r="GF117" i="10"/>
  <c r="GE117" i="10"/>
  <c r="GD117" i="10"/>
  <c r="GC117" i="10"/>
  <c r="GB117" i="10"/>
  <c r="GA117" i="10"/>
  <c r="FZ117" i="10"/>
  <c r="FY117" i="10"/>
  <c r="FX117" i="10"/>
  <c r="FW117" i="10"/>
  <c r="FV117" i="10"/>
  <c r="FU117" i="10"/>
  <c r="FT117" i="10"/>
  <c r="FS117" i="10"/>
  <c r="FR117" i="10"/>
  <c r="FQ117" i="10"/>
  <c r="FP117" i="10"/>
  <c r="FO117" i="10"/>
  <c r="FN117" i="10"/>
  <c r="FM117" i="10"/>
  <c r="FL117" i="10"/>
  <c r="FK117" i="10"/>
  <c r="FJ117" i="10"/>
  <c r="FI117" i="10"/>
  <c r="FH117" i="10"/>
  <c r="FG117" i="10"/>
  <c r="FF117" i="10"/>
  <c r="FE117" i="10"/>
  <c r="FD117" i="10"/>
  <c r="FC117" i="10"/>
  <c r="GU116" i="10"/>
  <c r="GT116" i="10"/>
  <c r="GS116" i="10"/>
  <c r="GR116" i="10"/>
  <c r="GQ116" i="10"/>
  <c r="GP116" i="10"/>
  <c r="GO116" i="10"/>
  <c r="GN116" i="10"/>
  <c r="GM116" i="10"/>
  <c r="GL116" i="10"/>
  <c r="GK116" i="10"/>
  <c r="GJ116" i="10"/>
  <c r="GI116" i="10"/>
  <c r="GH116" i="10"/>
  <c r="GG116" i="10"/>
  <c r="GF116" i="10"/>
  <c r="GE116" i="10"/>
  <c r="GD116" i="10"/>
  <c r="GC116" i="10"/>
  <c r="GB116" i="10"/>
  <c r="GA116" i="10"/>
  <c r="FZ116" i="10"/>
  <c r="FY116" i="10"/>
  <c r="FX116" i="10"/>
  <c r="FW116" i="10"/>
  <c r="FV116" i="10"/>
  <c r="FU116" i="10"/>
  <c r="FT116" i="10"/>
  <c r="FS116" i="10"/>
  <c r="FR116" i="10"/>
  <c r="FQ116" i="10"/>
  <c r="FP116" i="10"/>
  <c r="FO116" i="10"/>
  <c r="FN116" i="10"/>
  <c r="FM116" i="10"/>
  <c r="FL116" i="10"/>
  <c r="FK116" i="10"/>
  <c r="FJ116" i="10"/>
  <c r="FI116" i="10"/>
  <c r="FH116" i="10"/>
  <c r="FG116" i="10"/>
  <c r="FF116" i="10"/>
  <c r="FE116" i="10"/>
  <c r="FD116" i="10"/>
  <c r="FC116" i="10"/>
  <c r="GU115" i="10"/>
  <c r="GT115" i="10"/>
  <c r="GS115" i="10"/>
  <c r="GR115" i="10"/>
  <c r="GQ115" i="10"/>
  <c r="GP115" i="10"/>
  <c r="GO115" i="10"/>
  <c r="GN115" i="10"/>
  <c r="GM115" i="10"/>
  <c r="GL115" i="10"/>
  <c r="GK115" i="10"/>
  <c r="GJ115" i="10"/>
  <c r="GI115" i="10"/>
  <c r="GH115" i="10"/>
  <c r="GG115" i="10"/>
  <c r="GF115" i="10"/>
  <c r="GE115" i="10"/>
  <c r="GD115" i="10"/>
  <c r="GC115" i="10"/>
  <c r="GB115" i="10"/>
  <c r="GA115" i="10"/>
  <c r="FZ115" i="10"/>
  <c r="FY115" i="10"/>
  <c r="FX115" i="10"/>
  <c r="FW115" i="10"/>
  <c r="FV115" i="10"/>
  <c r="FU115" i="10"/>
  <c r="FT115" i="10"/>
  <c r="FS115" i="10"/>
  <c r="FR115" i="10"/>
  <c r="FQ115" i="10"/>
  <c r="FP115" i="10"/>
  <c r="FO115" i="10"/>
  <c r="FN115" i="10"/>
  <c r="FM115" i="10"/>
  <c r="FL115" i="10"/>
  <c r="FK115" i="10"/>
  <c r="FJ115" i="10"/>
  <c r="FI115" i="10"/>
  <c r="FH115" i="10"/>
  <c r="FG115" i="10"/>
  <c r="FF115" i="10"/>
  <c r="FE115" i="10"/>
  <c r="FD115" i="10"/>
  <c r="FC115" i="10"/>
  <c r="GU114" i="10"/>
  <c r="GT114" i="10"/>
  <c r="GS114" i="10"/>
  <c r="GR114" i="10"/>
  <c r="GQ114" i="10"/>
  <c r="GP114" i="10"/>
  <c r="GO114" i="10"/>
  <c r="GN114" i="10"/>
  <c r="GM114" i="10"/>
  <c r="GL114" i="10"/>
  <c r="GK114" i="10"/>
  <c r="GJ114" i="10"/>
  <c r="GI114" i="10"/>
  <c r="GH114" i="10"/>
  <c r="GG114" i="10"/>
  <c r="GF114" i="10"/>
  <c r="GE114" i="10"/>
  <c r="GD114" i="10"/>
  <c r="GC114" i="10"/>
  <c r="GB114" i="10"/>
  <c r="GA114" i="10"/>
  <c r="FZ114" i="10"/>
  <c r="FY114" i="10"/>
  <c r="FX114" i="10"/>
  <c r="FW114" i="10"/>
  <c r="FV114" i="10"/>
  <c r="FU114" i="10"/>
  <c r="FT114" i="10"/>
  <c r="FS114" i="10"/>
  <c r="FR114" i="10"/>
  <c r="FQ114" i="10"/>
  <c r="FP114" i="10"/>
  <c r="FO114" i="10"/>
  <c r="FN114" i="10"/>
  <c r="FM114" i="10"/>
  <c r="FL114" i="10"/>
  <c r="FK114" i="10"/>
  <c r="FJ114" i="10"/>
  <c r="FI114" i="10"/>
  <c r="FH114" i="10"/>
  <c r="FG114" i="10"/>
  <c r="FF114" i="10"/>
  <c r="FE114" i="10"/>
  <c r="FD114" i="10"/>
  <c r="FC114" i="10"/>
  <c r="GU113" i="10"/>
  <c r="GT113" i="10"/>
  <c r="GS113" i="10"/>
  <c r="GR113" i="10"/>
  <c r="GQ113" i="10"/>
  <c r="GP113" i="10"/>
  <c r="GO113" i="10"/>
  <c r="GN113" i="10"/>
  <c r="GM113" i="10"/>
  <c r="GL113" i="10"/>
  <c r="GK113" i="10"/>
  <c r="GJ113" i="10"/>
  <c r="GI113" i="10"/>
  <c r="GH113" i="10"/>
  <c r="GG113" i="10"/>
  <c r="GF113" i="10"/>
  <c r="GE113" i="10"/>
  <c r="GD113" i="10"/>
  <c r="GC113" i="10"/>
  <c r="GB113" i="10"/>
  <c r="GA113" i="10"/>
  <c r="FZ113" i="10"/>
  <c r="FY113" i="10"/>
  <c r="FX113" i="10"/>
  <c r="FW113" i="10"/>
  <c r="FV113" i="10"/>
  <c r="FU113" i="10"/>
  <c r="FT113" i="10"/>
  <c r="FS113" i="10"/>
  <c r="FR113" i="10"/>
  <c r="FQ113" i="10"/>
  <c r="FP113" i="10"/>
  <c r="FO113" i="10"/>
  <c r="FN113" i="10"/>
  <c r="FM113" i="10"/>
  <c r="FL113" i="10"/>
  <c r="FK113" i="10"/>
  <c r="FJ113" i="10"/>
  <c r="FI113" i="10"/>
  <c r="FH113" i="10"/>
  <c r="FG113" i="10"/>
  <c r="FF113" i="10"/>
  <c r="FE113" i="10"/>
  <c r="FD113" i="10"/>
  <c r="FC113" i="10"/>
  <c r="GU112" i="10"/>
  <c r="GT112" i="10"/>
  <c r="GS112" i="10"/>
  <c r="GR112" i="10"/>
  <c r="GQ112" i="10"/>
  <c r="GP112" i="10"/>
  <c r="GO112" i="10"/>
  <c r="GN112" i="10"/>
  <c r="GM112" i="10"/>
  <c r="GL112" i="10"/>
  <c r="GK112" i="10"/>
  <c r="GJ112" i="10"/>
  <c r="GI112" i="10"/>
  <c r="GH112" i="10"/>
  <c r="GG112" i="10"/>
  <c r="GF112" i="10"/>
  <c r="GE112" i="10"/>
  <c r="GD112" i="10"/>
  <c r="GC112" i="10"/>
  <c r="GB112" i="10"/>
  <c r="GA112" i="10"/>
  <c r="FZ112" i="10"/>
  <c r="FY112" i="10"/>
  <c r="FX112" i="10"/>
  <c r="FW112" i="10"/>
  <c r="FV112" i="10"/>
  <c r="FU112" i="10"/>
  <c r="FT112" i="10"/>
  <c r="FS112" i="10"/>
  <c r="FR112" i="10"/>
  <c r="FQ112" i="10"/>
  <c r="FP112" i="10"/>
  <c r="FO112" i="10"/>
  <c r="FN112" i="10"/>
  <c r="FM112" i="10"/>
  <c r="FL112" i="10"/>
  <c r="FK112" i="10"/>
  <c r="FJ112" i="10"/>
  <c r="FI112" i="10"/>
  <c r="FH112" i="10"/>
  <c r="FG112" i="10"/>
  <c r="FF112" i="10"/>
  <c r="FE112" i="10"/>
  <c r="FD112" i="10"/>
  <c r="FC112" i="10"/>
  <c r="GU111" i="10"/>
  <c r="GT111" i="10"/>
  <c r="GS111" i="10"/>
  <c r="GR111" i="10"/>
  <c r="GQ111" i="10"/>
  <c r="GP111" i="10"/>
  <c r="GO111" i="10"/>
  <c r="GN111" i="10"/>
  <c r="GM111" i="10"/>
  <c r="GL111" i="10"/>
  <c r="GK111" i="10"/>
  <c r="GJ111" i="10"/>
  <c r="GI111" i="10"/>
  <c r="GH111" i="10"/>
  <c r="GG111" i="10"/>
  <c r="GF111" i="10"/>
  <c r="GE111" i="10"/>
  <c r="GD111" i="10"/>
  <c r="GC111" i="10"/>
  <c r="GB111" i="10"/>
  <c r="GA111" i="10"/>
  <c r="FZ111" i="10"/>
  <c r="FY111" i="10"/>
  <c r="FX111" i="10"/>
  <c r="FW111" i="10"/>
  <c r="FV111" i="10"/>
  <c r="FU111" i="10"/>
  <c r="FT111" i="10"/>
  <c r="FS111" i="10"/>
  <c r="FR111" i="10"/>
  <c r="FQ111" i="10"/>
  <c r="FP111" i="10"/>
  <c r="FO111" i="10"/>
  <c r="FN111" i="10"/>
  <c r="FM111" i="10"/>
  <c r="FL111" i="10"/>
  <c r="FK111" i="10"/>
  <c r="FJ111" i="10"/>
  <c r="FI111" i="10"/>
  <c r="FH111" i="10"/>
  <c r="FG111" i="10"/>
  <c r="FF111" i="10"/>
  <c r="FE111" i="10"/>
  <c r="FD111" i="10"/>
  <c r="FC111" i="10"/>
  <c r="GU110" i="10"/>
  <c r="GT110" i="10"/>
  <c r="GS110" i="10"/>
  <c r="GR110" i="10"/>
  <c r="GQ110" i="10"/>
  <c r="GP110" i="10"/>
  <c r="GO110" i="10"/>
  <c r="GN110" i="10"/>
  <c r="GM110" i="10"/>
  <c r="GL110" i="10"/>
  <c r="GK110" i="10"/>
  <c r="GJ110" i="10"/>
  <c r="GI110" i="10"/>
  <c r="GH110" i="10"/>
  <c r="GG110" i="10"/>
  <c r="GF110" i="10"/>
  <c r="GE110" i="10"/>
  <c r="GD110" i="10"/>
  <c r="GC110" i="10"/>
  <c r="GB110" i="10"/>
  <c r="GA110" i="10"/>
  <c r="FZ110" i="10"/>
  <c r="FY110" i="10"/>
  <c r="FX110" i="10"/>
  <c r="FW110" i="10"/>
  <c r="FV110" i="10"/>
  <c r="FU110" i="10"/>
  <c r="FT110" i="10"/>
  <c r="FS110" i="10"/>
  <c r="FR110" i="10"/>
  <c r="FQ110" i="10"/>
  <c r="FP110" i="10"/>
  <c r="FO110" i="10"/>
  <c r="FN110" i="10"/>
  <c r="FM110" i="10"/>
  <c r="FL110" i="10"/>
  <c r="FK110" i="10"/>
  <c r="FJ110" i="10"/>
  <c r="FI110" i="10"/>
  <c r="FH110" i="10"/>
  <c r="FG110" i="10"/>
  <c r="FF110" i="10"/>
  <c r="FE110" i="10"/>
  <c r="FD110" i="10"/>
  <c r="FC110" i="10"/>
  <c r="GU109" i="10"/>
  <c r="GT109" i="10"/>
  <c r="GS109" i="10"/>
  <c r="GR109" i="10"/>
  <c r="GQ109" i="10"/>
  <c r="GP109" i="10"/>
  <c r="GO109" i="10"/>
  <c r="GN109" i="10"/>
  <c r="GM109" i="10"/>
  <c r="GL109" i="10"/>
  <c r="GK109" i="10"/>
  <c r="GJ109" i="10"/>
  <c r="GI109" i="10"/>
  <c r="GH109" i="10"/>
  <c r="GG109" i="10"/>
  <c r="GF109" i="10"/>
  <c r="GE109" i="10"/>
  <c r="GD109" i="10"/>
  <c r="GC109" i="10"/>
  <c r="GB109" i="10"/>
  <c r="GA109" i="10"/>
  <c r="FZ109" i="10"/>
  <c r="FY109" i="10"/>
  <c r="FX109" i="10"/>
  <c r="FW109" i="10"/>
  <c r="FV109" i="10"/>
  <c r="FU109" i="10"/>
  <c r="FT109" i="10"/>
  <c r="FS109" i="10"/>
  <c r="FR109" i="10"/>
  <c r="FQ109" i="10"/>
  <c r="FP109" i="10"/>
  <c r="FO109" i="10"/>
  <c r="FN109" i="10"/>
  <c r="FM109" i="10"/>
  <c r="FL109" i="10"/>
  <c r="FK109" i="10"/>
  <c r="FJ109" i="10"/>
  <c r="FI109" i="10"/>
  <c r="FH109" i="10"/>
  <c r="FG109" i="10"/>
  <c r="FF109" i="10"/>
  <c r="FE109" i="10"/>
  <c r="FD109" i="10"/>
  <c r="FC109" i="10"/>
  <c r="GU108" i="10"/>
  <c r="GT108" i="10"/>
  <c r="GS108" i="10"/>
  <c r="GR108" i="10"/>
  <c r="GQ108" i="10"/>
  <c r="GP108" i="10"/>
  <c r="GO108" i="10"/>
  <c r="GN108" i="10"/>
  <c r="GM108" i="10"/>
  <c r="GL108" i="10"/>
  <c r="GK108" i="10"/>
  <c r="GJ108" i="10"/>
  <c r="GI108" i="10"/>
  <c r="GH108" i="10"/>
  <c r="GG108" i="10"/>
  <c r="GF108" i="10"/>
  <c r="GE108" i="10"/>
  <c r="GD108" i="10"/>
  <c r="GC108" i="10"/>
  <c r="GB108" i="10"/>
  <c r="GA108" i="10"/>
  <c r="FZ108" i="10"/>
  <c r="FY108" i="10"/>
  <c r="FX108" i="10"/>
  <c r="FW108" i="10"/>
  <c r="FV108" i="10"/>
  <c r="FU108" i="10"/>
  <c r="FT108" i="10"/>
  <c r="FS108" i="10"/>
  <c r="FR108" i="10"/>
  <c r="FQ108" i="10"/>
  <c r="FP108" i="10"/>
  <c r="FO108" i="10"/>
  <c r="FN108" i="10"/>
  <c r="FM108" i="10"/>
  <c r="FL108" i="10"/>
  <c r="FK108" i="10"/>
  <c r="FJ108" i="10"/>
  <c r="FI108" i="10"/>
  <c r="FH108" i="10"/>
  <c r="FG108" i="10"/>
  <c r="FF108" i="10"/>
  <c r="FE108" i="10"/>
  <c r="FD108" i="10"/>
  <c r="FC108" i="10"/>
  <c r="GU107" i="10"/>
  <c r="GT107" i="10"/>
  <c r="GS107" i="10"/>
  <c r="GR107" i="10"/>
  <c r="GQ107" i="10"/>
  <c r="GP107" i="10"/>
  <c r="GO107" i="10"/>
  <c r="GN107" i="10"/>
  <c r="GM107" i="10"/>
  <c r="GL107" i="10"/>
  <c r="GK107" i="10"/>
  <c r="GJ107" i="10"/>
  <c r="GI107" i="10"/>
  <c r="GH107" i="10"/>
  <c r="GG107" i="10"/>
  <c r="GF107" i="10"/>
  <c r="GE107" i="10"/>
  <c r="GD107" i="10"/>
  <c r="GC107" i="10"/>
  <c r="GB107" i="10"/>
  <c r="GA107" i="10"/>
  <c r="FZ107" i="10"/>
  <c r="FY107" i="10"/>
  <c r="FX107" i="10"/>
  <c r="FW107" i="10"/>
  <c r="FV107" i="10"/>
  <c r="FU107" i="10"/>
  <c r="FT107" i="10"/>
  <c r="FS107" i="10"/>
  <c r="FR107" i="10"/>
  <c r="FQ107" i="10"/>
  <c r="FP107" i="10"/>
  <c r="FO107" i="10"/>
  <c r="FN107" i="10"/>
  <c r="FM107" i="10"/>
  <c r="FL107" i="10"/>
  <c r="FK107" i="10"/>
  <c r="FJ107" i="10"/>
  <c r="FI107" i="10"/>
  <c r="FH107" i="10"/>
  <c r="FG107" i="10"/>
  <c r="FF107" i="10"/>
  <c r="FE107" i="10"/>
  <c r="FD107" i="10"/>
  <c r="FC107" i="10"/>
  <c r="GU106" i="10"/>
  <c r="GT106" i="10"/>
  <c r="GS106" i="10"/>
  <c r="GR106" i="10"/>
  <c r="GQ106" i="10"/>
  <c r="GP106" i="10"/>
  <c r="GO106" i="10"/>
  <c r="GN106" i="10"/>
  <c r="GM106" i="10"/>
  <c r="GL106" i="10"/>
  <c r="GK106" i="10"/>
  <c r="GJ106" i="10"/>
  <c r="GI106" i="10"/>
  <c r="GH106" i="10"/>
  <c r="GG106" i="10"/>
  <c r="GF106" i="10"/>
  <c r="GE106" i="10"/>
  <c r="GD106" i="10"/>
  <c r="GC106" i="10"/>
  <c r="GB106" i="10"/>
  <c r="GA106" i="10"/>
  <c r="FZ106" i="10"/>
  <c r="FY106" i="10"/>
  <c r="FX106" i="10"/>
  <c r="FW106" i="10"/>
  <c r="FV106" i="10"/>
  <c r="FU106" i="10"/>
  <c r="FT106" i="10"/>
  <c r="FS106" i="10"/>
  <c r="FR106" i="10"/>
  <c r="FQ106" i="10"/>
  <c r="FP106" i="10"/>
  <c r="FO106" i="10"/>
  <c r="FN106" i="10"/>
  <c r="FM106" i="10"/>
  <c r="FL106" i="10"/>
  <c r="FK106" i="10"/>
  <c r="FJ106" i="10"/>
  <c r="FI106" i="10"/>
  <c r="FH106" i="10"/>
  <c r="FG106" i="10"/>
  <c r="FF106" i="10"/>
  <c r="FE106" i="10"/>
  <c r="FD106" i="10"/>
  <c r="FC106" i="10"/>
  <c r="GU105" i="10"/>
  <c r="GT105" i="10"/>
  <c r="GS105" i="10"/>
  <c r="GR105" i="10"/>
  <c r="GQ105" i="10"/>
  <c r="GP105" i="10"/>
  <c r="GO105" i="10"/>
  <c r="GN105" i="10"/>
  <c r="GM105" i="10"/>
  <c r="GL105" i="10"/>
  <c r="GK105" i="10"/>
  <c r="GJ105" i="10"/>
  <c r="GI105" i="10"/>
  <c r="GH105" i="10"/>
  <c r="GG105" i="10"/>
  <c r="GF105" i="10"/>
  <c r="GE105" i="10"/>
  <c r="GD105" i="10"/>
  <c r="GC105" i="10"/>
  <c r="GB105" i="10"/>
  <c r="GA105" i="10"/>
  <c r="FZ105" i="10"/>
  <c r="FY105" i="10"/>
  <c r="FX105" i="10"/>
  <c r="FW105" i="10"/>
  <c r="FV105" i="10"/>
  <c r="FU105" i="10"/>
  <c r="FT105" i="10"/>
  <c r="FS105" i="10"/>
  <c r="FR105" i="10"/>
  <c r="FQ105" i="10"/>
  <c r="FP105" i="10"/>
  <c r="FO105" i="10"/>
  <c r="FN105" i="10"/>
  <c r="FM105" i="10"/>
  <c r="FL105" i="10"/>
  <c r="FK105" i="10"/>
  <c r="FJ105" i="10"/>
  <c r="FI105" i="10"/>
  <c r="FH105" i="10"/>
  <c r="FG105" i="10"/>
  <c r="FF105" i="10"/>
  <c r="FE105" i="10"/>
  <c r="FD105" i="10"/>
  <c r="FC105" i="10"/>
  <c r="GU104" i="10"/>
  <c r="GT104" i="10"/>
  <c r="GS104" i="10"/>
  <c r="GR104" i="10"/>
  <c r="GQ104" i="10"/>
  <c r="GP104" i="10"/>
  <c r="GO104" i="10"/>
  <c r="GN104" i="10"/>
  <c r="GM104" i="10"/>
  <c r="GL104" i="10"/>
  <c r="GK104" i="10"/>
  <c r="GJ104" i="10"/>
  <c r="GI104" i="10"/>
  <c r="GH104" i="10"/>
  <c r="GG104" i="10"/>
  <c r="GF104" i="10"/>
  <c r="GE104" i="10"/>
  <c r="GD104" i="10"/>
  <c r="GC104" i="10"/>
  <c r="GB104" i="10"/>
  <c r="GA104" i="10"/>
  <c r="FZ104" i="10"/>
  <c r="FY104" i="10"/>
  <c r="FX104" i="10"/>
  <c r="FW104" i="10"/>
  <c r="FV104" i="10"/>
  <c r="FU104" i="10"/>
  <c r="FT104" i="10"/>
  <c r="FS104" i="10"/>
  <c r="FR104" i="10"/>
  <c r="FQ104" i="10"/>
  <c r="FP104" i="10"/>
  <c r="FO104" i="10"/>
  <c r="FN104" i="10"/>
  <c r="FM104" i="10"/>
  <c r="FL104" i="10"/>
  <c r="FK104" i="10"/>
  <c r="FJ104" i="10"/>
  <c r="FI104" i="10"/>
  <c r="FH104" i="10"/>
  <c r="FG104" i="10"/>
  <c r="FF104" i="10"/>
  <c r="FE104" i="10"/>
  <c r="FD104" i="10"/>
  <c r="FC104" i="10"/>
  <c r="GU103" i="10"/>
  <c r="GT103" i="10"/>
  <c r="GS103" i="10"/>
  <c r="GR103" i="10"/>
  <c r="GQ103" i="10"/>
  <c r="GP103" i="10"/>
  <c r="GO103" i="10"/>
  <c r="GN103" i="10"/>
  <c r="GM103" i="10"/>
  <c r="GL103" i="10"/>
  <c r="GK103" i="10"/>
  <c r="GJ103" i="10"/>
  <c r="GI103" i="10"/>
  <c r="GH103" i="10"/>
  <c r="GG103" i="10"/>
  <c r="GF103" i="10"/>
  <c r="GE103" i="10"/>
  <c r="GD103" i="10"/>
  <c r="GC103" i="10"/>
  <c r="GB103" i="10"/>
  <c r="GA103" i="10"/>
  <c r="FZ103" i="10"/>
  <c r="FY103" i="10"/>
  <c r="FX103" i="10"/>
  <c r="FW103" i="10"/>
  <c r="FV103" i="10"/>
  <c r="FU103" i="10"/>
  <c r="FT103" i="10"/>
  <c r="FS103" i="10"/>
  <c r="FR103" i="10"/>
  <c r="FQ103" i="10"/>
  <c r="FP103" i="10"/>
  <c r="FO103" i="10"/>
  <c r="FN103" i="10"/>
  <c r="FM103" i="10"/>
  <c r="FL103" i="10"/>
  <c r="FK103" i="10"/>
  <c r="FJ103" i="10"/>
  <c r="FI103" i="10"/>
  <c r="FH103" i="10"/>
  <c r="FG103" i="10"/>
  <c r="FF103" i="10"/>
  <c r="FE103" i="10"/>
  <c r="FD103" i="10"/>
  <c r="FC103" i="10"/>
  <c r="GU102" i="10"/>
  <c r="GT102" i="10"/>
  <c r="GS102" i="10"/>
  <c r="GR102" i="10"/>
  <c r="GQ102" i="10"/>
  <c r="GP102" i="10"/>
  <c r="GO102" i="10"/>
  <c r="GN102" i="10"/>
  <c r="GM102" i="10"/>
  <c r="GL102" i="10"/>
  <c r="GK102" i="10"/>
  <c r="GJ102" i="10"/>
  <c r="GI102" i="10"/>
  <c r="GH102" i="10"/>
  <c r="GG102" i="10"/>
  <c r="GF102" i="10"/>
  <c r="GE102" i="10"/>
  <c r="GD102" i="10"/>
  <c r="GC102" i="10"/>
  <c r="GB102" i="10"/>
  <c r="GA102" i="10"/>
  <c r="FZ102" i="10"/>
  <c r="FY102" i="10"/>
  <c r="FX102" i="10"/>
  <c r="FW102" i="10"/>
  <c r="FV102" i="10"/>
  <c r="FU102" i="10"/>
  <c r="FT102" i="10"/>
  <c r="FS102" i="10"/>
  <c r="FR102" i="10"/>
  <c r="FQ102" i="10"/>
  <c r="FP102" i="10"/>
  <c r="FO102" i="10"/>
  <c r="FN102" i="10"/>
  <c r="FM102" i="10"/>
  <c r="FL102" i="10"/>
  <c r="FK102" i="10"/>
  <c r="FJ102" i="10"/>
  <c r="FI102" i="10"/>
  <c r="FH102" i="10"/>
  <c r="FG102" i="10"/>
  <c r="FF102" i="10"/>
  <c r="FE102" i="10"/>
  <c r="FD102" i="10"/>
  <c r="FC102" i="10"/>
  <c r="GU101" i="10"/>
  <c r="GT101" i="10"/>
  <c r="GS101" i="10"/>
  <c r="GR101" i="10"/>
  <c r="GQ101" i="10"/>
  <c r="GP101" i="10"/>
  <c r="GO101" i="10"/>
  <c r="GN101" i="10"/>
  <c r="GM101" i="10"/>
  <c r="GL101" i="10"/>
  <c r="GK101" i="10"/>
  <c r="GJ101" i="10"/>
  <c r="GI101" i="10"/>
  <c r="GH101" i="10"/>
  <c r="GG101" i="10"/>
  <c r="GF101" i="10"/>
  <c r="GE101" i="10"/>
  <c r="GD101" i="10"/>
  <c r="GC101" i="10"/>
  <c r="GB101" i="10"/>
  <c r="GA101" i="10"/>
  <c r="FZ101" i="10"/>
  <c r="FY101" i="10"/>
  <c r="FX101" i="10"/>
  <c r="FW101" i="10"/>
  <c r="FV101" i="10"/>
  <c r="FU101" i="10"/>
  <c r="FT101" i="10"/>
  <c r="FS101" i="10"/>
  <c r="FR101" i="10"/>
  <c r="FQ101" i="10"/>
  <c r="FP101" i="10"/>
  <c r="FO101" i="10"/>
  <c r="FN101" i="10"/>
  <c r="FM101" i="10"/>
  <c r="FL101" i="10"/>
  <c r="FK101" i="10"/>
  <c r="FJ101" i="10"/>
  <c r="FI101" i="10"/>
  <c r="FH101" i="10"/>
  <c r="FG101" i="10"/>
  <c r="FF101" i="10"/>
  <c r="FE101" i="10"/>
  <c r="FD101" i="10"/>
  <c r="FC101" i="10"/>
  <c r="GU100" i="10"/>
  <c r="GT100" i="10"/>
  <c r="GS100" i="10"/>
  <c r="GR100" i="10"/>
  <c r="GQ100" i="10"/>
  <c r="GP100" i="10"/>
  <c r="GO100" i="10"/>
  <c r="GN100" i="10"/>
  <c r="GM100" i="10"/>
  <c r="GL100" i="10"/>
  <c r="GK100" i="10"/>
  <c r="GJ100" i="10"/>
  <c r="GI100" i="10"/>
  <c r="GH100" i="10"/>
  <c r="GG100" i="10"/>
  <c r="GF100" i="10"/>
  <c r="GE100" i="10"/>
  <c r="GD100" i="10"/>
  <c r="GC100" i="10"/>
  <c r="GB100" i="10"/>
  <c r="GA100" i="10"/>
  <c r="FZ100" i="10"/>
  <c r="FY100" i="10"/>
  <c r="FX100" i="10"/>
  <c r="FW100" i="10"/>
  <c r="FV100" i="10"/>
  <c r="FU100" i="10"/>
  <c r="FT100" i="10"/>
  <c r="FS100" i="10"/>
  <c r="FR100" i="10"/>
  <c r="FQ100" i="10"/>
  <c r="FP100" i="10"/>
  <c r="FO100" i="10"/>
  <c r="FN100" i="10"/>
  <c r="FM100" i="10"/>
  <c r="FL100" i="10"/>
  <c r="FK100" i="10"/>
  <c r="FJ100" i="10"/>
  <c r="FI100" i="10"/>
  <c r="FH100" i="10"/>
  <c r="FG100" i="10"/>
  <c r="FF100" i="10"/>
  <c r="FE100" i="10"/>
  <c r="FD100" i="10"/>
  <c r="FC100" i="10"/>
  <c r="GU99" i="10"/>
  <c r="GT99" i="10"/>
  <c r="GS99" i="10"/>
  <c r="GR99" i="10"/>
  <c r="GQ99" i="10"/>
  <c r="GP99" i="10"/>
  <c r="GO99" i="10"/>
  <c r="GN99" i="10"/>
  <c r="GM99" i="10"/>
  <c r="GL99" i="10"/>
  <c r="GK99" i="10"/>
  <c r="GJ99" i="10"/>
  <c r="GI99" i="10"/>
  <c r="GH99" i="10"/>
  <c r="GG99" i="10"/>
  <c r="GF99" i="10"/>
  <c r="GE99" i="10"/>
  <c r="GD99" i="10"/>
  <c r="GC99" i="10"/>
  <c r="GB99" i="10"/>
  <c r="GA99" i="10"/>
  <c r="FZ99" i="10"/>
  <c r="FY99" i="10"/>
  <c r="FX99" i="10"/>
  <c r="FW99" i="10"/>
  <c r="FV99" i="10"/>
  <c r="FU99" i="10"/>
  <c r="FT99" i="10"/>
  <c r="FS99" i="10"/>
  <c r="FR99" i="10"/>
  <c r="FQ99" i="10"/>
  <c r="FP99" i="10"/>
  <c r="FO99" i="10"/>
  <c r="FN99" i="10"/>
  <c r="FM99" i="10"/>
  <c r="FL99" i="10"/>
  <c r="FK99" i="10"/>
  <c r="FJ99" i="10"/>
  <c r="FI99" i="10"/>
  <c r="FH99" i="10"/>
  <c r="FG99" i="10"/>
  <c r="FF99" i="10"/>
  <c r="FE99" i="10"/>
  <c r="FD99" i="10"/>
  <c r="FC99" i="10"/>
  <c r="GU98" i="10"/>
  <c r="GT98" i="10"/>
  <c r="GS98" i="10"/>
  <c r="GR98" i="10"/>
  <c r="GQ98" i="10"/>
  <c r="GP98" i="10"/>
  <c r="GO98" i="10"/>
  <c r="GN98" i="10"/>
  <c r="GM98" i="10"/>
  <c r="GL98" i="10"/>
  <c r="GK98" i="10"/>
  <c r="GJ98" i="10"/>
  <c r="GI98" i="10"/>
  <c r="GH98" i="10"/>
  <c r="GG98" i="10"/>
  <c r="GF98" i="10"/>
  <c r="GE98" i="10"/>
  <c r="GD98" i="10"/>
  <c r="GC98" i="10"/>
  <c r="GB98" i="10"/>
  <c r="GA98" i="10"/>
  <c r="FZ98" i="10"/>
  <c r="FY98" i="10"/>
  <c r="FX98" i="10"/>
  <c r="FW98" i="10"/>
  <c r="FV98" i="10"/>
  <c r="FU98" i="10"/>
  <c r="FT98" i="10"/>
  <c r="FS98" i="10"/>
  <c r="FR98" i="10"/>
  <c r="FQ98" i="10"/>
  <c r="FP98" i="10"/>
  <c r="FO98" i="10"/>
  <c r="FN98" i="10"/>
  <c r="FM98" i="10"/>
  <c r="FL98" i="10"/>
  <c r="FK98" i="10"/>
  <c r="FJ98" i="10"/>
  <c r="FI98" i="10"/>
  <c r="FH98" i="10"/>
  <c r="FG98" i="10"/>
  <c r="FF98" i="10"/>
  <c r="FE98" i="10"/>
  <c r="FD98" i="10"/>
  <c r="FC98" i="10"/>
  <c r="GU97" i="10"/>
  <c r="GT97" i="10"/>
  <c r="GS97" i="10"/>
  <c r="GR97" i="10"/>
  <c r="GQ97" i="10"/>
  <c r="GP97" i="10"/>
  <c r="GO97" i="10"/>
  <c r="GN97" i="10"/>
  <c r="GM97" i="10"/>
  <c r="GL97" i="10"/>
  <c r="GK97" i="10"/>
  <c r="GJ97" i="10"/>
  <c r="GI97" i="10"/>
  <c r="GH97" i="10"/>
  <c r="GG97" i="10"/>
  <c r="GF97" i="10"/>
  <c r="GE97" i="10"/>
  <c r="GD97" i="10"/>
  <c r="GC97" i="10"/>
  <c r="GB97" i="10"/>
  <c r="GA97" i="10"/>
  <c r="FZ97" i="10"/>
  <c r="FY97" i="10"/>
  <c r="FX97" i="10"/>
  <c r="FW97" i="10"/>
  <c r="FV97" i="10"/>
  <c r="FU97" i="10"/>
  <c r="FT97" i="10"/>
  <c r="FS97" i="10"/>
  <c r="FR97" i="10"/>
  <c r="FQ97" i="10"/>
  <c r="FP97" i="10"/>
  <c r="FO97" i="10"/>
  <c r="FN97" i="10"/>
  <c r="FM97" i="10"/>
  <c r="FL97" i="10"/>
  <c r="FK97" i="10"/>
  <c r="FJ97" i="10"/>
  <c r="FI97" i="10"/>
  <c r="FH97" i="10"/>
  <c r="FG97" i="10"/>
  <c r="FF97" i="10"/>
  <c r="FE97" i="10"/>
  <c r="FD97" i="10"/>
  <c r="FC97" i="10"/>
  <c r="GU96" i="10"/>
  <c r="GT96" i="10"/>
  <c r="GS96" i="10"/>
  <c r="GR96" i="10"/>
  <c r="GQ96" i="10"/>
  <c r="GP96" i="10"/>
  <c r="GO96" i="10"/>
  <c r="GN96" i="10"/>
  <c r="GM96" i="10"/>
  <c r="GL96" i="10"/>
  <c r="GK96" i="10"/>
  <c r="GJ96" i="10"/>
  <c r="GI96" i="10"/>
  <c r="GH96" i="10"/>
  <c r="GG96" i="10"/>
  <c r="GF96" i="10"/>
  <c r="GE96" i="10"/>
  <c r="GD96" i="10"/>
  <c r="GC96" i="10"/>
  <c r="GB96" i="10"/>
  <c r="GA96" i="10"/>
  <c r="FZ96" i="10"/>
  <c r="FY96" i="10"/>
  <c r="FX96" i="10"/>
  <c r="FW96" i="10"/>
  <c r="FV96" i="10"/>
  <c r="FU96" i="10"/>
  <c r="FT96" i="10"/>
  <c r="FS96" i="10"/>
  <c r="FR96" i="10"/>
  <c r="FQ96" i="10"/>
  <c r="FP96" i="10"/>
  <c r="FO96" i="10"/>
  <c r="FN96" i="10"/>
  <c r="FM96" i="10"/>
  <c r="FL96" i="10"/>
  <c r="FK96" i="10"/>
  <c r="FJ96" i="10"/>
  <c r="FI96" i="10"/>
  <c r="FH96" i="10"/>
  <c r="FG96" i="10"/>
  <c r="FF96" i="10"/>
  <c r="FE96" i="10"/>
  <c r="FD96" i="10"/>
  <c r="FC96" i="10"/>
  <c r="GU95" i="10"/>
  <c r="GT95" i="10"/>
  <c r="GS95" i="10"/>
  <c r="GR95" i="10"/>
  <c r="GQ95" i="10"/>
  <c r="GP95" i="10"/>
  <c r="GO95" i="10"/>
  <c r="GN95" i="10"/>
  <c r="GM95" i="10"/>
  <c r="GL95" i="10"/>
  <c r="GK95" i="10"/>
  <c r="GJ95" i="10"/>
  <c r="GI95" i="10"/>
  <c r="GH95" i="10"/>
  <c r="GG95" i="10"/>
  <c r="GF95" i="10"/>
  <c r="GE95" i="10"/>
  <c r="GD95" i="10"/>
  <c r="GC95" i="10"/>
  <c r="GB95" i="10"/>
  <c r="GA95" i="10"/>
  <c r="FZ95" i="10"/>
  <c r="FY95" i="10"/>
  <c r="FX95" i="10"/>
  <c r="FW95" i="10"/>
  <c r="FV95" i="10"/>
  <c r="FU95" i="10"/>
  <c r="FT95" i="10"/>
  <c r="FS95" i="10"/>
  <c r="FR95" i="10"/>
  <c r="FQ95" i="10"/>
  <c r="FP95" i="10"/>
  <c r="FO95" i="10"/>
  <c r="FN95" i="10"/>
  <c r="FM95" i="10"/>
  <c r="FL95" i="10"/>
  <c r="FK95" i="10"/>
  <c r="FJ95" i="10"/>
  <c r="FI95" i="10"/>
  <c r="FH95" i="10"/>
  <c r="FG95" i="10"/>
  <c r="FF95" i="10"/>
  <c r="FE95" i="10"/>
  <c r="FD95" i="10"/>
  <c r="FC95" i="10"/>
  <c r="GU94" i="10"/>
  <c r="GT94" i="10"/>
  <c r="GS94" i="10"/>
  <c r="GR94" i="10"/>
  <c r="GQ94" i="10"/>
  <c r="GP94" i="10"/>
  <c r="GO94" i="10"/>
  <c r="GN94" i="10"/>
  <c r="GM94" i="10"/>
  <c r="GL94" i="10"/>
  <c r="GK94" i="10"/>
  <c r="GJ94" i="10"/>
  <c r="GI94" i="10"/>
  <c r="GH94" i="10"/>
  <c r="GG94" i="10"/>
  <c r="GF94" i="10"/>
  <c r="GE94" i="10"/>
  <c r="GD94" i="10"/>
  <c r="GC94" i="10"/>
  <c r="GB94" i="10"/>
  <c r="GA94" i="10"/>
  <c r="FZ94" i="10"/>
  <c r="FY94" i="10"/>
  <c r="FX94" i="10"/>
  <c r="FW94" i="10"/>
  <c r="FV94" i="10"/>
  <c r="FU94" i="10"/>
  <c r="FT94" i="10"/>
  <c r="FS94" i="10"/>
  <c r="FR94" i="10"/>
  <c r="FQ94" i="10"/>
  <c r="FP94" i="10"/>
  <c r="FO94" i="10"/>
  <c r="FN94" i="10"/>
  <c r="FM94" i="10"/>
  <c r="FL94" i="10"/>
  <c r="FK94" i="10"/>
  <c r="FJ94" i="10"/>
  <c r="FI94" i="10"/>
  <c r="FH94" i="10"/>
  <c r="FG94" i="10"/>
  <c r="FF94" i="10"/>
  <c r="FE94" i="10"/>
  <c r="FD94" i="10"/>
  <c r="FC94" i="10"/>
  <c r="GU93" i="10"/>
  <c r="GT93" i="10"/>
  <c r="GS93" i="10"/>
  <c r="GR93" i="10"/>
  <c r="GQ93" i="10"/>
  <c r="GP93" i="10"/>
  <c r="GO93" i="10"/>
  <c r="GN93" i="10"/>
  <c r="GM93" i="10"/>
  <c r="GL93" i="10"/>
  <c r="GK93" i="10"/>
  <c r="GJ93" i="10"/>
  <c r="GI93" i="10"/>
  <c r="GH93" i="10"/>
  <c r="GG93" i="10"/>
  <c r="GF93" i="10"/>
  <c r="GE93" i="10"/>
  <c r="GD93" i="10"/>
  <c r="GC93" i="10"/>
  <c r="GB93" i="10"/>
  <c r="GA93" i="10"/>
  <c r="FZ93" i="10"/>
  <c r="FY93" i="10"/>
  <c r="FX93" i="10"/>
  <c r="FW93" i="10"/>
  <c r="FV93" i="10"/>
  <c r="FU93" i="10"/>
  <c r="FT93" i="10"/>
  <c r="FS93" i="10"/>
  <c r="FR93" i="10"/>
  <c r="FQ93" i="10"/>
  <c r="FP93" i="10"/>
  <c r="FO93" i="10"/>
  <c r="FN93" i="10"/>
  <c r="FM93" i="10"/>
  <c r="FL93" i="10"/>
  <c r="FK93" i="10"/>
  <c r="FJ93" i="10"/>
  <c r="FI93" i="10"/>
  <c r="FH93" i="10"/>
  <c r="FG93" i="10"/>
  <c r="FF93" i="10"/>
  <c r="FE93" i="10"/>
  <c r="FD93" i="10"/>
  <c r="FC93" i="10"/>
  <c r="GU92" i="10"/>
  <c r="GT92" i="10"/>
  <c r="GS92" i="10"/>
  <c r="GR92" i="10"/>
  <c r="GQ92" i="10"/>
  <c r="GP92" i="10"/>
  <c r="GO92" i="10"/>
  <c r="GN92" i="10"/>
  <c r="GM92" i="10"/>
  <c r="GL92" i="10"/>
  <c r="GK92" i="10"/>
  <c r="GJ92" i="10"/>
  <c r="GI92" i="10"/>
  <c r="GH92" i="10"/>
  <c r="GG92" i="10"/>
  <c r="GF92" i="10"/>
  <c r="GE92" i="10"/>
  <c r="GD92" i="10"/>
  <c r="GC92" i="10"/>
  <c r="GB92" i="10"/>
  <c r="GA92" i="10"/>
  <c r="FZ92" i="10"/>
  <c r="FY92" i="10"/>
  <c r="FX92" i="10"/>
  <c r="FW92" i="10"/>
  <c r="FV92" i="10"/>
  <c r="FU92" i="10"/>
  <c r="FT92" i="10"/>
  <c r="FS92" i="10"/>
  <c r="FR92" i="10"/>
  <c r="FQ92" i="10"/>
  <c r="FP92" i="10"/>
  <c r="FO92" i="10"/>
  <c r="FN92" i="10"/>
  <c r="FM92" i="10"/>
  <c r="FL92" i="10"/>
  <c r="FK92" i="10"/>
  <c r="FJ92" i="10"/>
  <c r="FI92" i="10"/>
  <c r="FH92" i="10"/>
  <c r="FG92" i="10"/>
  <c r="FF92" i="10"/>
  <c r="FE92" i="10"/>
  <c r="FD92" i="10"/>
  <c r="FC92" i="10"/>
  <c r="GU91" i="10"/>
  <c r="GT91" i="10"/>
  <c r="GS91" i="10"/>
  <c r="GR91" i="10"/>
  <c r="GQ91" i="10"/>
  <c r="GP91" i="10"/>
  <c r="GO91" i="10"/>
  <c r="GN91" i="10"/>
  <c r="GM91" i="10"/>
  <c r="GL91" i="10"/>
  <c r="GK91" i="10"/>
  <c r="GJ91" i="10"/>
  <c r="GI91" i="10"/>
  <c r="GH91" i="10"/>
  <c r="GG91" i="10"/>
  <c r="GF91" i="10"/>
  <c r="GE91" i="10"/>
  <c r="GD91" i="10"/>
  <c r="GC91" i="10"/>
  <c r="GB91" i="10"/>
  <c r="GA91" i="10"/>
  <c r="FZ91" i="10"/>
  <c r="FY91" i="10"/>
  <c r="FX91" i="10"/>
  <c r="FW91" i="10"/>
  <c r="FV91" i="10"/>
  <c r="FU91" i="10"/>
  <c r="FT91" i="10"/>
  <c r="FS91" i="10"/>
  <c r="FR91" i="10"/>
  <c r="FQ91" i="10"/>
  <c r="FP91" i="10"/>
  <c r="FO91" i="10"/>
  <c r="FN91" i="10"/>
  <c r="FM91" i="10"/>
  <c r="FL91" i="10"/>
  <c r="FK91" i="10"/>
  <c r="FJ91" i="10"/>
  <c r="FI91" i="10"/>
  <c r="FH91" i="10"/>
  <c r="FG91" i="10"/>
  <c r="FF91" i="10"/>
  <c r="FE91" i="10"/>
  <c r="FD91" i="10"/>
  <c r="FC91" i="10"/>
  <c r="GU90" i="10"/>
  <c r="GT90" i="10"/>
  <c r="GS90" i="10"/>
  <c r="GR90" i="10"/>
  <c r="GQ90" i="10"/>
  <c r="GP90" i="10"/>
  <c r="GO90" i="10"/>
  <c r="GN90" i="10"/>
  <c r="GM90" i="10"/>
  <c r="GL90" i="10"/>
  <c r="GK90" i="10"/>
  <c r="GJ90" i="10"/>
  <c r="GI90" i="10"/>
  <c r="GH90" i="10"/>
  <c r="GG90" i="10"/>
  <c r="GF90" i="10"/>
  <c r="GE90" i="10"/>
  <c r="GD90" i="10"/>
  <c r="GC90" i="10"/>
  <c r="GB90" i="10"/>
  <c r="GA90" i="10"/>
  <c r="FZ90" i="10"/>
  <c r="FY90" i="10"/>
  <c r="FX90" i="10"/>
  <c r="FW90" i="10"/>
  <c r="FV90" i="10"/>
  <c r="FU90" i="10"/>
  <c r="FT90" i="10"/>
  <c r="FS90" i="10"/>
  <c r="FR90" i="10"/>
  <c r="FQ90" i="10"/>
  <c r="FP90" i="10"/>
  <c r="FO90" i="10"/>
  <c r="FN90" i="10"/>
  <c r="FM90" i="10"/>
  <c r="FL90" i="10"/>
  <c r="FK90" i="10"/>
  <c r="FJ90" i="10"/>
  <c r="FI90" i="10"/>
  <c r="FH90" i="10"/>
  <c r="FG90" i="10"/>
  <c r="FF90" i="10"/>
  <c r="FE90" i="10"/>
  <c r="FD90" i="10"/>
  <c r="FC90" i="10"/>
  <c r="GU89" i="10"/>
  <c r="GT89" i="10"/>
  <c r="GS89" i="10"/>
  <c r="GR89" i="10"/>
  <c r="GQ89" i="10"/>
  <c r="GP89" i="10"/>
  <c r="GO89" i="10"/>
  <c r="GN89" i="10"/>
  <c r="GM89" i="10"/>
  <c r="GL89" i="10"/>
  <c r="GK89" i="10"/>
  <c r="GJ89" i="10"/>
  <c r="GI89" i="10"/>
  <c r="GH89" i="10"/>
  <c r="GG89" i="10"/>
  <c r="GF89" i="10"/>
  <c r="GE89" i="10"/>
  <c r="GD89" i="10"/>
  <c r="GC89" i="10"/>
  <c r="GB89" i="10"/>
  <c r="GA89" i="10"/>
  <c r="FZ89" i="10"/>
  <c r="FY89" i="10"/>
  <c r="FX89" i="10"/>
  <c r="FW89" i="10"/>
  <c r="FV89" i="10"/>
  <c r="FU89" i="10"/>
  <c r="FT89" i="10"/>
  <c r="FS89" i="10"/>
  <c r="FR89" i="10"/>
  <c r="FQ89" i="10"/>
  <c r="FP89" i="10"/>
  <c r="FO89" i="10"/>
  <c r="FN89" i="10"/>
  <c r="FM89" i="10"/>
  <c r="FL89" i="10"/>
  <c r="FK89" i="10"/>
  <c r="FJ89" i="10"/>
  <c r="FI89" i="10"/>
  <c r="FH89" i="10"/>
  <c r="FG89" i="10"/>
  <c r="FF89" i="10"/>
  <c r="FE89" i="10"/>
  <c r="FD89" i="10"/>
  <c r="FC89" i="10"/>
  <c r="GU88" i="10"/>
  <c r="GT88" i="10"/>
  <c r="GS88" i="10"/>
  <c r="GR88" i="10"/>
  <c r="GQ88" i="10"/>
  <c r="GP88" i="10"/>
  <c r="GO88" i="10"/>
  <c r="GN88" i="10"/>
  <c r="GM88" i="10"/>
  <c r="GL88" i="10"/>
  <c r="GK88" i="10"/>
  <c r="GJ88" i="10"/>
  <c r="GI88" i="10"/>
  <c r="GH88" i="10"/>
  <c r="GG88" i="10"/>
  <c r="GF88" i="10"/>
  <c r="GE88" i="10"/>
  <c r="GD88" i="10"/>
  <c r="GC88" i="10"/>
  <c r="GB88" i="10"/>
  <c r="GA88" i="10"/>
  <c r="FZ88" i="10"/>
  <c r="FY88" i="10"/>
  <c r="FX88" i="10"/>
  <c r="FW88" i="10"/>
  <c r="FV88" i="10"/>
  <c r="FU88" i="10"/>
  <c r="FT88" i="10"/>
  <c r="FS88" i="10"/>
  <c r="FR88" i="10"/>
  <c r="FQ88" i="10"/>
  <c r="FP88" i="10"/>
  <c r="FO88" i="10"/>
  <c r="FN88" i="10"/>
  <c r="FM88" i="10"/>
  <c r="FL88" i="10"/>
  <c r="FK88" i="10"/>
  <c r="FJ88" i="10"/>
  <c r="FI88" i="10"/>
  <c r="FH88" i="10"/>
  <c r="FG88" i="10"/>
  <c r="FF88" i="10"/>
  <c r="FE88" i="10"/>
  <c r="FD88" i="10"/>
  <c r="FC88" i="10"/>
  <c r="GU87" i="10"/>
  <c r="GT87" i="10"/>
  <c r="GS87" i="10"/>
  <c r="GR87" i="10"/>
  <c r="GQ87" i="10"/>
  <c r="GP87" i="10"/>
  <c r="GO87" i="10"/>
  <c r="GN87" i="10"/>
  <c r="GM87" i="10"/>
  <c r="GL87" i="10"/>
  <c r="GK87" i="10"/>
  <c r="GJ87" i="10"/>
  <c r="GI87" i="10"/>
  <c r="GH87" i="10"/>
  <c r="GG87" i="10"/>
  <c r="GF87" i="10"/>
  <c r="GE87" i="10"/>
  <c r="GD87" i="10"/>
  <c r="GC87" i="10"/>
  <c r="GB87" i="10"/>
  <c r="GA87" i="10"/>
  <c r="FZ87" i="10"/>
  <c r="FY87" i="10"/>
  <c r="FX87" i="10"/>
  <c r="FW87" i="10"/>
  <c r="FV87" i="10"/>
  <c r="FU87" i="10"/>
  <c r="FT87" i="10"/>
  <c r="FS87" i="10"/>
  <c r="FR87" i="10"/>
  <c r="FQ87" i="10"/>
  <c r="FP87" i="10"/>
  <c r="FO87" i="10"/>
  <c r="FN87" i="10"/>
  <c r="FM87" i="10"/>
  <c r="FL87" i="10"/>
  <c r="FK87" i="10"/>
  <c r="FJ87" i="10"/>
  <c r="FI87" i="10"/>
  <c r="FH87" i="10"/>
  <c r="FG87" i="10"/>
  <c r="FF87" i="10"/>
  <c r="FE87" i="10"/>
  <c r="FD87" i="10"/>
  <c r="FC87" i="10"/>
  <c r="GU86" i="10"/>
  <c r="GT86" i="10"/>
  <c r="GS86" i="10"/>
  <c r="GR86" i="10"/>
  <c r="GQ86" i="10"/>
  <c r="GP86" i="10"/>
  <c r="GO86" i="10"/>
  <c r="GN86" i="10"/>
  <c r="GM86" i="10"/>
  <c r="GL86" i="10"/>
  <c r="GK86" i="10"/>
  <c r="GJ86" i="10"/>
  <c r="GI86" i="10"/>
  <c r="GH86" i="10"/>
  <c r="GG86" i="10"/>
  <c r="GF86" i="10"/>
  <c r="GE86" i="10"/>
  <c r="GD86" i="10"/>
  <c r="GC86" i="10"/>
  <c r="GB86" i="10"/>
  <c r="GA86" i="10"/>
  <c r="FZ86" i="10"/>
  <c r="FY86" i="10"/>
  <c r="FX86" i="10"/>
  <c r="FW86" i="10"/>
  <c r="FV86" i="10"/>
  <c r="FU86" i="10"/>
  <c r="FT86" i="10"/>
  <c r="FS86" i="10"/>
  <c r="FR86" i="10"/>
  <c r="FQ86" i="10"/>
  <c r="FP86" i="10"/>
  <c r="FO86" i="10"/>
  <c r="FN86" i="10"/>
  <c r="FM86" i="10"/>
  <c r="FL86" i="10"/>
  <c r="FK86" i="10"/>
  <c r="FJ86" i="10"/>
  <c r="FI86" i="10"/>
  <c r="FH86" i="10"/>
  <c r="FG86" i="10"/>
  <c r="FF86" i="10"/>
  <c r="FE86" i="10"/>
  <c r="FD86" i="10"/>
  <c r="FC86" i="10"/>
  <c r="GU85" i="10"/>
  <c r="GT85" i="10"/>
  <c r="GS85" i="10"/>
  <c r="GR85" i="10"/>
  <c r="GQ85" i="10"/>
  <c r="GP85" i="10"/>
  <c r="GO85" i="10"/>
  <c r="GN85" i="10"/>
  <c r="GM85" i="10"/>
  <c r="GL85" i="10"/>
  <c r="GK85" i="10"/>
  <c r="GJ85" i="10"/>
  <c r="GI85" i="10"/>
  <c r="GH85" i="10"/>
  <c r="GG85" i="10"/>
  <c r="GF85" i="10"/>
  <c r="GE85" i="10"/>
  <c r="GD85" i="10"/>
  <c r="GC85" i="10"/>
  <c r="GB85" i="10"/>
  <c r="GA85" i="10"/>
  <c r="FZ85" i="10"/>
  <c r="FY85" i="10"/>
  <c r="FX85" i="10"/>
  <c r="FW85" i="10"/>
  <c r="FV85" i="10"/>
  <c r="FU85" i="10"/>
  <c r="FT85" i="10"/>
  <c r="FS85" i="10"/>
  <c r="FR85" i="10"/>
  <c r="FQ85" i="10"/>
  <c r="FP85" i="10"/>
  <c r="FO85" i="10"/>
  <c r="FN85" i="10"/>
  <c r="FM85" i="10"/>
  <c r="FL85" i="10"/>
  <c r="FK85" i="10"/>
  <c r="FJ85" i="10"/>
  <c r="FI85" i="10"/>
  <c r="FH85" i="10"/>
  <c r="FG85" i="10"/>
  <c r="FF85" i="10"/>
  <c r="FE85" i="10"/>
  <c r="FD85" i="10"/>
  <c r="FC85" i="10"/>
  <c r="GU84" i="10"/>
  <c r="GT84" i="10"/>
  <c r="GS84" i="10"/>
  <c r="GR84" i="10"/>
  <c r="GQ84" i="10"/>
  <c r="GP84" i="10"/>
  <c r="GO84" i="10"/>
  <c r="GN84" i="10"/>
  <c r="GM84" i="10"/>
  <c r="GL84" i="10"/>
  <c r="GK84" i="10"/>
  <c r="GJ84" i="10"/>
  <c r="GI84" i="10"/>
  <c r="GH84" i="10"/>
  <c r="GG84" i="10"/>
  <c r="GF84" i="10"/>
  <c r="GE84" i="10"/>
  <c r="GD84" i="10"/>
  <c r="GC84" i="10"/>
  <c r="GB84" i="10"/>
  <c r="GA84" i="10"/>
  <c r="FZ84" i="10"/>
  <c r="FY84" i="10"/>
  <c r="FX84" i="10"/>
  <c r="FW84" i="10"/>
  <c r="FV84" i="10"/>
  <c r="FU84" i="10"/>
  <c r="FT84" i="10"/>
  <c r="FS84" i="10"/>
  <c r="FR84" i="10"/>
  <c r="FQ84" i="10"/>
  <c r="FP84" i="10"/>
  <c r="FO84" i="10"/>
  <c r="FN84" i="10"/>
  <c r="FM84" i="10"/>
  <c r="FL84" i="10"/>
  <c r="FK84" i="10"/>
  <c r="FJ84" i="10"/>
  <c r="FI84" i="10"/>
  <c r="FH84" i="10"/>
  <c r="FG84" i="10"/>
  <c r="FF84" i="10"/>
  <c r="FE84" i="10"/>
  <c r="FD84" i="10"/>
  <c r="FC84" i="10"/>
  <c r="GU83" i="10"/>
  <c r="GT83" i="10"/>
  <c r="GS83" i="10"/>
  <c r="GR83" i="10"/>
  <c r="GQ83" i="10"/>
  <c r="GP83" i="10"/>
  <c r="GO83" i="10"/>
  <c r="GN83" i="10"/>
  <c r="GM83" i="10"/>
  <c r="GL83" i="10"/>
  <c r="GK83" i="10"/>
  <c r="GJ83" i="10"/>
  <c r="GI83" i="10"/>
  <c r="GH83" i="10"/>
  <c r="GG83" i="10"/>
  <c r="GF83" i="10"/>
  <c r="GE83" i="10"/>
  <c r="GD83" i="10"/>
  <c r="GC83" i="10"/>
  <c r="GB83" i="10"/>
  <c r="GA83" i="10"/>
  <c r="FZ83" i="10"/>
  <c r="FY83" i="10"/>
  <c r="FX83" i="10"/>
  <c r="FW83" i="10"/>
  <c r="FV83" i="10"/>
  <c r="FU83" i="10"/>
  <c r="FT83" i="10"/>
  <c r="FS83" i="10"/>
  <c r="FR83" i="10"/>
  <c r="FQ83" i="10"/>
  <c r="FP83" i="10"/>
  <c r="FO83" i="10"/>
  <c r="FN83" i="10"/>
  <c r="FM83" i="10"/>
  <c r="FL83" i="10"/>
  <c r="FK83" i="10"/>
  <c r="FJ83" i="10"/>
  <c r="FI83" i="10"/>
  <c r="FH83" i="10"/>
  <c r="FG83" i="10"/>
  <c r="FF83" i="10"/>
  <c r="FE83" i="10"/>
  <c r="FD83" i="10"/>
  <c r="FC83" i="10"/>
  <c r="GU82" i="10"/>
  <c r="GT82" i="10"/>
  <c r="GS82" i="10"/>
  <c r="GR82" i="10"/>
  <c r="GQ82" i="10"/>
  <c r="GP82" i="10"/>
  <c r="GO82" i="10"/>
  <c r="GN82" i="10"/>
  <c r="GM82" i="10"/>
  <c r="GL82" i="10"/>
  <c r="GK82" i="10"/>
  <c r="GJ82" i="10"/>
  <c r="GI82" i="10"/>
  <c r="GH82" i="10"/>
  <c r="GG82" i="10"/>
  <c r="GF82" i="10"/>
  <c r="GE82" i="10"/>
  <c r="GD82" i="10"/>
  <c r="GC82" i="10"/>
  <c r="GB82" i="10"/>
  <c r="GA82" i="10"/>
  <c r="FZ82" i="10"/>
  <c r="FY82" i="10"/>
  <c r="FX82" i="10"/>
  <c r="FW82" i="10"/>
  <c r="FV82" i="10"/>
  <c r="FU82" i="10"/>
  <c r="FT82" i="10"/>
  <c r="FS82" i="10"/>
  <c r="FR82" i="10"/>
  <c r="FQ82" i="10"/>
  <c r="FP82" i="10"/>
  <c r="FO82" i="10"/>
  <c r="FN82" i="10"/>
  <c r="FM82" i="10"/>
  <c r="FL82" i="10"/>
  <c r="FK82" i="10"/>
  <c r="FJ82" i="10"/>
  <c r="FI82" i="10"/>
  <c r="FH82" i="10"/>
  <c r="FG82" i="10"/>
  <c r="FF82" i="10"/>
  <c r="FE82" i="10"/>
  <c r="FD82" i="10"/>
  <c r="FC82" i="10"/>
  <c r="GU81" i="10"/>
  <c r="GT81" i="10"/>
  <c r="GS81" i="10"/>
  <c r="GR81" i="10"/>
  <c r="GQ81" i="10"/>
  <c r="GP81" i="10"/>
  <c r="GO81" i="10"/>
  <c r="GN81" i="10"/>
  <c r="GM81" i="10"/>
  <c r="GL81" i="10"/>
  <c r="GK81" i="10"/>
  <c r="GJ81" i="10"/>
  <c r="GI81" i="10"/>
  <c r="GH81" i="10"/>
  <c r="GG81" i="10"/>
  <c r="GF81" i="10"/>
  <c r="GE81" i="10"/>
  <c r="GD81" i="10"/>
  <c r="GC81" i="10"/>
  <c r="GB81" i="10"/>
  <c r="GA81" i="10"/>
  <c r="FZ81" i="10"/>
  <c r="FY81" i="10"/>
  <c r="FX81" i="10"/>
  <c r="FW81" i="10"/>
  <c r="FV81" i="10"/>
  <c r="FU81" i="10"/>
  <c r="FT81" i="10"/>
  <c r="FS81" i="10"/>
  <c r="FR81" i="10"/>
  <c r="FQ81" i="10"/>
  <c r="FP81" i="10"/>
  <c r="FO81" i="10"/>
  <c r="FN81" i="10"/>
  <c r="FM81" i="10"/>
  <c r="FL81" i="10"/>
  <c r="FK81" i="10"/>
  <c r="FJ81" i="10"/>
  <c r="FI81" i="10"/>
  <c r="FH81" i="10"/>
  <c r="FG81" i="10"/>
  <c r="FF81" i="10"/>
  <c r="FE81" i="10"/>
  <c r="FD81" i="10"/>
  <c r="FC81" i="10"/>
  <c r="GU80" i="10"/>
  <c r="GT80" i="10"/>
  <c r="GS80" i="10"/>
  <c r="GR80" i="10"/>
  <c r="GQ80" i="10"/>
  <c r="GP80" i="10"/>
  <c r="GO80" i="10"/>
  <c r="GN80" i="10"/>
  <c r="GM80" i="10"/>
  <c r="GL80" i="10"/>
  <c r="GK80" i="10"/>
  <c r="GJ80" i="10"/>
  <c r="GI80" i="10"/>
  <c r="GH80" i="10"/>
  <c r="GG80" i="10"/>
  <c r="GF80" i="10"/>
  <c r="GE80" i="10"/>
  <c r="GD80" i="10"/>
  <c r="GC80" i="10"/>
  <c r="GB80" i="10"/>
  <c r="GA80" i="10"/>
  <c r="FZ80" i="10"/>
  <c r="FY80" i="10"/>
  <c r="FX80" i="10"/>
  <c r="FW80" i="10"/>
  <c r="FV80" i="10"/>
  <c r="FU80" i="10"/>
  <c r="FT80" i="10"/>
  <c r="FS80" i="10"/>
  <c r="FR80" i="10"/>
  <c r="FQ80" i="10"/>
  <c r="FP80" i="10"/>
  <c r="FO80" i="10"/>
  <c r="FN80" i="10"/>
  <c r="FM80" i="10"/>
  <c r="FL80" i="10"/>
  <c r="FK80" i="10"/>
  <c r="FJ80" i="10"/>
  <c r="FI80" i="10"/>
  <c r="FH80" i="10"/>
  <c r="FG80" i="10"/>
  <c r="FF80" i="10"/>
  <c r="FE80" i="10"/>
  <c r="FD80" i="10"/>
  <c r="FC80" i="10"/>
  <c r="GU79" i="10"/>
  <c r="GT79" i="10"/>
  <c r="GS79" i="10"/>
  <c r="GR79" i="10"/>
  <c r="GQ79" i="10"/>
  <c r="GP79" i="10"/>
  <c r="GO79" i="10"/>
  <c r="GN79" i="10"/>
  <c r="GM79" i="10"/>
  <c r="GL79" i="10"/>
  <c r="GK79" i="10"/>
  <c r="GJ79" i="10"/>
  <c r="GI79" i="10"/>
  <c r="GH79" i="10"/>
  <c r="GG79" i="10"/>
  <c r="GF79" i="10"/>
  <c r="GE79" i="10"/>
  <c r="GD79" i="10"/>
  <c r="GC79" i="10"/>
  <c r="GB79" i="10"/>
  <c r="GA79" i="10"/>
  <c r="FZ79" i="10"/>
  <c r="FY79" i="10"/>
  <c r="FX79" i="10"/>
  <c r="FW79" i="10"/>
  <c r="FV79" i="10"/>
  <c r="FU79" i="10"/>
  <c r="FT79" i="10"/>
  <c r="FS79" i="10"/>
  <c r="FR79" i="10"/>
  <c r="FQ79" i="10"/>
  <c r="FP79" i="10"/>
  <c r="FO79" i="10"/>
  <c r="FN79" i="10"/>
  <c r="FM79" i="10"/>
  <c r="FL79" i="10"/>
  <c r="FK79" i="10"/>
  <c r="FJ79" i="10"/>
  <c r="FI79" i="10"/>
  <c r="FH79" i="10"/>
  <c r="FG79" i="10"/>
  <c r="FF79" i="10"/>
  <c r="FE79" i="10"/>
  <c r="FD79" i="10"/>
  <c r="FC79" i="10"/>
  <c r="GU78" i="10"/>
  <c r="GT78" i="10"/>
  <c r="GS78" i="10"/>
  <c r="GR78" i="10"/>
  <c r="GQ78" i="10"/>
  <c r="GP78" i="10"/>
  <c r="GO78" i="10"/>
  <c r="GN78" i="10"/>
  <c r="GM78" i="10"/>
  <c r="GL78" i="10"/>
  <c r="GK78" i="10"/>
  <c r="GJ78" i="10"/>
  <c r="GI78" i="10"/>
  <c r="GH78" i="10"/>
  <c r="GG78" i="10"/>
  <c r="GF78" i="10"/>
  <c r="GE78" i="10"/>
  <c r="GD78" i="10"/>
  <c r="GC78" i="10"/>
  <c r="GB78" i="10"/>
  <c r="GA78" i="10"/>
  <c r="FZ78" i="10"/>
  <c r="FY78" i="10"/>
  <c r="FX78" i="10"/>
  <c r="FW78" i="10"/>
  <c r="FV78" i="10"/>
  <c r="FU78" i="10"/>
  <c r="FT78" i="10"/>
  <c r="FS78" i="10"/>
  <c r="FR78" i="10"/>
  <c r="FQ78" i="10"/>
  <c r="FP78" i="10"/>
  <c r="FO78" i="10"/>
  <c r="FN78" i="10"/>
  <c r="FM78" i="10"/>
  <c r="FL78" i="10"/>
  <c r="FK78" i="10"/>
  <c r="FJ78" i="10"/>
  <c r="FI78" i="10"/>
  <c r="FH78" i="10"/>
  <c r="FG78" i="10"/>
  <c r="FF78" i="10"/>
  <c r="FE78" i="10"/>
  <c r="FD78" i="10"/>
  <c r="FC78" i="10"/>
  <c r="GU77" i="10"/>
  <c r="GT77" i="10"/>
  <c r="GS77" i="10"/>
  <c r="GR77" i="10"/>
  <c r="GQ77" i="10"/>
  <c r="GP77" i="10"/>
  <c r="GO77" i="10"/>
  <c r="GN77" i="10"/>
  <c r="GM77" i="10"/>
  <c r="GL77" i="10"/>
  <c r="GK77" i="10"/>
  <c r="GJ77" i="10"/>
  <c r="GI77" i="10"/>
  <c r="GH77" i="10"/>
  <c r="GG77" i="10"/>
  <c r="GF77" i="10"/>
  <c r="GE77" i="10"/>
  <c r="GD77" i="10"/>
  <c r="GC77" i="10"/>
  <c r="GB77" i="10"/>
  <c r="GA77" i="10"/>
  <c r="FZ77" i="10"/>
  <c r="FY77" i="10"/>
  <c r="FX77" i="10"/>
  <c r="FW77" i="10"/>
  <c r="FV77" i="10"/>
  <c r="FU77" i="10"/>
  <c r="FT77" i="10"/>
  <c r="FS77" i="10"/>
  <c r="FR77" i="10"/>
  <c r="FQ77" i="10"/>
  <c r="FP77" i="10"/>
  <c r="FO77" i="10"/>
  <c r="FN77" i="10"/>
  <c r="FM77" i="10"/>
  <c r="FL77" i="10"/>
  <c r="FK77" i="10"/>
  <c r="FJ77" i="10"/>
  <c r="FI77" i="10"/>
  <c r="FH77" i="10"/>
  <c r="FG77" i="10"/>
  <c r="FF77" i="10"/>
  <c r="FE77" i="10"/>
  <c r="FD77" i="10"/>
  <c r="FC77" i="10"/>
  <c r="GU76" i="10"/>
  <c r="GT76" i="10"/>
  <c r="GS76" i="10"/>
  <c r="GR76" i="10"/>
  <c r="GQ76" i="10"/>
  <c r="GP76" i="10"/>
  <c r="GO76" i="10"/>
  <c r="GN76" i="10"/>
  <c r="GM76" i="10"/>
  <c r="GL76" i="10"/>
  <c r="GK76" i="10"/>
  <c r="GJ76" i="10"/>
  <c r="GI76" i="10"/>
  <c r="GH76" i="10"/>
  <c r="GG76" i="10"/>
  <c r="GF76" i="10"/>
  <c r="GE76" i="10"/>
  <c r="GD76" i="10"/>
  <c r="GC76" i="10"/>
  <c r="GB76" i="10"/>
  <c r="GA76" i="10"/>
  <c r="FZ76" i="10"/>
  <c r="FY76" i="10"/>
  <c r="FX76" i="10"/>
  <c r="FW76" i="10"/>
  <c r="FV76" i="10"/>
  <c r="FU76" i="10"/>
  <c r="FT76" i="10"/>
  <c r="FS76" i="10"/>
  <c r="FR76" i="10"/>
  <c r="FQ76" i="10"/>
  <c r="FP76" i="10"/>
  <c r="FO76" i="10"/>
  <c r="FN76" i="10"/>
  <c r="FM76" i="10"/>
  <c r="FL76" i="10"/>
  <c r="FK76" i="10"/>
  <c r="FJ76" i="10"/>
  <c r="FI76" i="10"/>
  <c r="FH76" i="10"/>
  <c r="FG76" i="10"/>
  <c r="FF76" i="10"/>
  <c r="FE76" i="10"/>
  <c r="FD76" i="10"/>
  <c r="FC76" i="10"/>
  <c r="GU75" i="10"/>
  <c r="GT75" i="10"/>
  <c r="GS75" i="10"/>
  <c r="GR75" i="10"/>
  <c r="GQ75" i="10"/>
  <c r="GP75" i="10"/>
  <c r="GO75" i="10"/>
  <c r="GN75" i="10"/>
  <c r="GM75" i="10"/>
  <c r="GL75" i="10"/>
  <c r="GK75" i="10"/>
  <c r="GJ75" i="10"/>
  <c r="GI75" i="10"/>
  <c r="GH75" i="10"/>
  <c r="GG75" i="10"/>
  <c r="GF75" i="10"/>
  <c r="GE75" i="10"/>
  <c r="GD75" i="10"/>
  <c r="GC75" i="10"/>
  <c r="GB75" i="10"/>
  <c r="GA75" i="10"/>
  <c r="FZ75" i="10"/>
  <c r="FY75" i="10"/>
  <c r="FX75" i="10"/>
  <c r="FW75" i="10"/>
  <c r="FV75" i="10"/>
  <c r="FU75" i="10"/>
  <c r="FT75" i="10"/>
  <c r="FS75" i="10"/>
  <c r="FR75" i="10"/>
  <c r="FQ75" i="10"/>
  <c r="FP75" i="10"/>
  <c r="FO75" i="10"/>
  <c r="FN75" i="10"/>
  <c r="FM75" i="10"/>
  <c r="FL75" i="10"/>
  <c r="FK75" i="10"/>
  <c r="FJ75" i="10"/>
  <c r="FI75" i="10"/>
  <c r="FH75" i="10"/>
  <c r="FG75" i="10"/>
  <c r="FF75" i="10"/>
  <c r="FE75" i="10"/>
  <c r="FD75" i="10"/>
  <c r="FC75" i="10"/>
  <c r="GU74" i="10"/>
  <c r="GT74" i="10"/>
  <c r="GS74" i="10"/>
  <c r="GR74" i="10"/>
  <c r="GQ74" i="10"/>
  <c r="GP74" i="10"/>
  <c r="GO74" i="10"/>
  <c r="GN74" i="10"/>
  <c r="GM74" i="10"/>
  <c r="GL74" i="10"/>
  <c r="GK74" i="10"/>
  <c r="GJ74" i="10"/>
  <c r="GI74" i="10"/>
  <c r="GH74" i="10"/>
  <c r="GG74" i="10"/>
  <c r="GF74" i="10"/>
  <c r="GE74" i="10"/>
  <c r="GD74" i="10"/>
  <c r="GC74" i="10"/>
  <c r="GB74" i="10"/>
  <c r="GA74" i="10"/>
  <c r="FZ74" i="10"/>
  <c r="FY74" i="10"/>
  <c r="FX74" i="10"/>
  <c r="FW74" i="10"/>
  <c r="FV74" i="10"/>
  <c r="FU74" i="10"/>
  <c r="FT74" i="10"/>
  <c r="FS74" i="10"/>
  <c r="FR74" i="10"/>
  <c r="FQ74" i="10"/>
  <c r="FP74" i="10"/>
  <c r="FO74" i="10"/>
  <c r="FN74" i="10"/>
  <c r="FM74" i="10"/>
  <c r="FL74" i="10"/>
  <c r="FK74" i="10"/>
  <c r="FJ74" i="10"/>
  <c r="FI74" i="10"/>
  <c r="FH74" i="10"/>
  <c r="FG74" i="10"/>
  <c r="FF74" i="10"/>
  <c r="FE74" i="10"/>
  <c r="FD74" i="10"/>
  <c r="FC74" i="10"/>
  <c r="GU73" i="10"/>
  <c r="GT73" i="10"/>
  <c r="GS73" i="10"/>
  <c r="GR73" i="10"/>
  <c r="GQ73" i="10"/>
  <c r="GP73" i="10"/>
  <c r="GO73" i="10"/>
  <c r="GN73" i="10"/>
  <c r="GM73" i="10"/>
  <c r="GL73" i="10"/>
  <c r="GK73" i="10"/>
  <c r="GJ73" i="10"/>
  <c r="GI73" i="10"/>
  <c r="GH73" i="10"/>
  <c r="GG73" i="10"/>
  <c r="GF73" i="10"/>
  <c r="GE73" i="10"/>
  <c r="GD73" i="10"/>
  <c r="GC73" i="10"/>
  <c r="GB73" i="10"/>
  <c r="GA73" i="10"/>
  <c r="FZ73" i="10"/>
  <c r="FY73" i="10"/>
  <c r="FX73" i="10"/>
  <c r="FW73" i="10"/>
  <c r="FV73" i="10"/>
  <c r="FU73" i="10"/>
  <c r="FT73" i="10"/>
  <c r="FS73" i="10"/>
  <c r="FR73" i="10"/>
  <c r="FQ73" i="10"/>
  <c r="FP73" i="10"/>
  <c r="FO73" i="10"/>
  <c r="FN73" i="10"/>
  <c r="FM73" i="10"/>
  <c r="FL73" i="10"/>
  <c r="FK73" i="10"/>
  <c r="FJ73" i="10"/>
  <c r="FI73" i="10"/>
  <c r="FH73" i="10"/>
  <c r="FG73" i="10"/>
  <c r="FF73" i="10"/>
  <c r="FE73" i="10"/>
  <c r="FD73" i="10"/>
  <c r="FC73" i="10"/>
  <c r="GU72" i="10"/>
  <c r="GT72" i="10"/>
  <c r="GS72" i="10"/>
  <c r="GR72" i="10"/>
  <c r="GQ72" i="10"/>
  <c r="GP72" i="10"/>
  <c r="GO72" i="10"/>
  <c r="GN72" i="10"/>
  <c r="GM72" i="10"/>
  <c r="GL72" i="10"/>
  <c r="GK72" i="10"/>
  <c r="GJ72" i="10"/>
  <c r="GI72" i="10"/>
  <c r="GH72" i="10"/>
  <c r="GG72" i="10"/>
  <c r="GF72" i="10"/>
  <c r="GE72" i="10"/>
  <c r="GD72" i="10"/>
  <c r="GC72" i="10"/>
  <c r="GB72" i="10"/>
  <c r="GA72" i="10"/>
  <c r="FZ72" i="10"/>
  <c r="FY72" i="10"/>
  <c r="FX72" i="10"/>
  <c r="FW72" i="10"/>
  <c r="FV72" i="10"/>
  <c r="FU72" i="10"/>
  <c r="FT72" i="10"/>
  <c r="FS72" i="10"/>
  <c r="FR72" i="10"/>
  <c r="FQ72" i="10"/>
  <c r="FP72" i="10"/>
  <c r="FO72" i="10"/>
  <c r="FN72" i="10"/>
  <c r="FM72" i="10"/>
  <c r="FL72" i="10"/>
  <c r="FK72" i="10"/>
  <c r="FJ72" i="10"/>
  <c r="FI72" i="10"/>
  <c r="FH72" i="10"/>
  <c r="FG72" i="10"/>
  <c r="FF72" i="10"/>
  <c r="FE72" i="10"/>
  <c r="FD72" i="10"/>
  <c r="FC72" i="10"/>
  <c r="GU71" i="10"/>
  <c r="GT71" i="10"/>
  <c r="GS71" i="10"/>
  <c r="GR71" i="10"/>
  <c r="GQ71" i="10"/>
  <c r="GP71" i="10"/>
  <c r="GO71" i="10"/>
  <c r="GN71" i="10"/>
  <c r="GM71" i="10"/>
  <c r="GL71" i="10"/>
  <c r="GK71" i="10"/>
  <c r="GJ71" i="10"/>
  <c r="GI71" i="10"/>
  <c r="GH71" i="10"/>
  <c r="GG71" i="10"/>
  <c r="GF71" i="10"/>
  <c r="GE71" i="10"/>
  <c r="GD71" i="10"/>
  <c r="GC71" i="10"/>
  <c r="GB71" i="10"/>
  <c r="GA71" i="10"/>
  <c r="FZ71" i="10"/>
  <c r="FY71" i="10"/>
  <c r="FX71" i="10"/>
  <c r="FW71" i="10"/>
  <c r="FV71" i="10"/>
  <c r="FU71" i="10"/>
  <c r="FT71" i="10"/>
  <c r="FS71" i="10"/>
  <c r="FR71" i="10"/>
  <c r="FQ71" i="10"/>
  <c r="FP71" i="10"/>
  <c r="FO71" i="10"/>
  <c r="FN71" i="10"/>
  <c r="FM71" i="10"/>
  <c r="FL71" i="10"/>
  <c r="FK71" i="10"/>
  <c r="FJ71" i="10"/>
  <c r="FI71" i="10"/>
  <c r="FH71" i="10"/>
  <c r="FG71" i="10"/>
  <c r="FF71" i="10"/>
  <c r="FE71" i="10"/>
  <c r="FD71" i="10"/>
  <c r="FC71" i="10"/>
  <c r="GU70" i="10"/>
  <c r="GT70" i="10"/>
  <c r="GS70" i="10"/>
  <c r="GR70" i="10"/>
  <c r="GQ70" i="10"/>
  <c r="GP70" i="10"/>
  <c r="GO70" i="10"/>
  <c r="GN70" i="10"/>
  <c r="GM70" i="10"/>
  <c r="GL70" i="10"/>
  <c r="GK70" i="10"/>
  <c r="GJ70" i="10"/>
  <c r="GI70" i="10"/>
  <c r="GH70" i="10"/>
  <c r="GG70" i="10"/>
  <c r="GF70" i="10"/>
  <c r="GE70" i="10"/>
  <c r="GD70" i="10"/>
  <c r="GC70" i="10"/>
  <c r="GB70" i="10"/>
  <c r="GA70" i="10"/>
  <c r="FZ70" i="10"/>
  <c r="FY70" i="10"/>
  <c r="FX70" i="10"/>
  <c r="FW70" i="10"/>
  <c r="FV70" i="10"/>
  <c r="FU70" i="10"/>
  <c r="FT70" i="10"/>
  <c r="FS70" i="10"/>
  <c r="FR70" i="10"/>
  <c r="FQ70" i="10"/>
  <c r="FP70" i="10"/>
  <c r="FO70" i="10"/>
  <c r="FN70" i="10"/>
  <c r="FM70" i="10"/>
  <c r="FL70" i="10"/>
  <c r="FK70" i="10"/>
  <c r="FJ70" i="10"/>
  <c r="FI70" i="10"/>
  <c r="FH70" i="10"/>
  <c r="FG70" i="10"/>
  <c r="FF70" i="10"/>
  <c r="FE70" i="10"/>
  <c r="FD70" i="10"/>
  <c r="FC70" i="10"/>
  <c r="GU69" i="10"/>
  <c r="GT69" i="10"/>
  <c r="GS69" i="10"/>
  <c r="GR69" i="10"/>
  <c r="GQ69" i="10"/>
  <c r="GP69" i="10"/>
  <c r="GO69" i="10"/>
  <c r="GN69" i="10"/>
  <c r="GM69" i="10"/>
  <c r="GL69" i="10"/>
  <c r="GK69" i="10"/>
  <c r="GJ69" i="10"/>
  <c r="GI69" i="10"/>
  <c r="GH69" i="10"/>
  <c r="GG69" i="10"/>
  <c r="GF69" i="10"/>
  <c r="GE69" i="10"/>
  <c r="GD69" i="10"/>
  <c r="GC69" i="10"/>
  <c r="GB69" i="10"/>
  <c r="GA69" i="10"/>
  <c r="FZ69" i="10"/>
  <c r="FY69" i="10"/>
  <c r="FX69" i="10"/>
  <c r="FW69" i="10"/>
  <c r="FV69" i="10"/>
  <c r="FU69" i="10"/>
  <c r="FT69" i="10"/>
  <c r="FS69" i="10"/>
  <c r="FR69" i="10"/>
  <c r="FQ69" i="10"/>
  <c r="FP69" i="10"/>
  <c r="FO69" i="10"/>
  <c r="FN69" i="10"/>
  <c r="FM69" i="10"/>
  <c r="FL69" i="10"/>
  <c r="FK69" i="10"/>
  <c r="FJ69" i="10"/>
  <c r="FI69" i="10"/>
  <c r="FH69" i="10"/>
  <c r="FG69" i="10"/>
  <c r="FF69" i="10"/>
  <c r="FE69" i="10"/>
  <c r="FD69" i="10"/>
  <c r="FC69" i="10"/>
  <c r="GU68" i="10"/>
  <c r="GT68" i="10"/>
  <c r="GS68" i="10"/>
  <c r="GR68" i="10"/>
  <c r="GQ68" i="10"/>
  <c r="GP68" i="10"/>
  <c r="GO68" i="10"/>
  <c r="GN68" i="10"/>
  <c r="GM68" i="10"/>
  <c r="GL68" i="10"/>
  <c r="GK68" i="10"/>
  <c r="GJ68" i="10"/>
  <c r="GI68" i="10"/>
  <c r="GH68" i="10"/>
  <c r="GG68" i="10"/>
  <c r="GF68" i="10"/>
  <c r="GE68" i="10"/>
  <c r="GD68" i="10"/>
  <c r="GC68" i="10"/>
  <c r="GB68" i="10"/>
  <c r="GA68" i="10"/>
  <c r="FZ68" i="10"/>
  <c r="FY68" i="10"/>
  <c r="FX68" i="10"/>
  <c r="FW68" i="10"/>
  <c r="FV68" i="10"/>
  <c r="FU68" i="10"/>
  <c r="FT68" i="10"/>
  <c r="FS68" i="10"/>
  <c r="FR68" i="10"/>
  <c r="FQ68" i="10"/>
  <c r="FP68" i="10"/>
  <c r="FO68" i="10"/>
  <c r="FN68" i="10"/>
  <c r="FM68" i="10"/>
  <c r="FL68" i="10"/>
  <c r="FK68" i="10"/>
  <c r="FJ68" i="10"/>
  <c r="FI68" i="10"/>
  <c r="FH68" i="10"/>
  <c r="FG68" i="10"/>
  <c r="FF68" i="10"/>
  <c r="FE68" i="10"/>
  <c r="FD68" i="10"/>
  <c r="FC68" i="10"/>
  <c r="GU67" i="10"/>
  <c r="GT67" i="10"/>
  <c r="GS67" i="10"/>
  <c r="GR67" i="10"/>
  <c r="GQ67" i="10"/>
  <c r="GP67" i="10"/>
  <c r="GO67" i="10"/>
  <c r="GN67" i="10"/>
  <c r="GM67" i="10"/>
  <c r="GL67" i="10"/>
  <c r="GK67" i="10"/>
  <c r="GJ67" i="10"/>
  <c r="GI67" i="10"/>
  <c r="GH67" i="10"/>
  <c r="GG67" i="10"/>
  <c r="GF67" i="10"/>
  <c r="GE67" i="10"/>
  <c r="GD67" i="10"/>
  <c r="GC67" i="10"/>
  <c r="GB67" i="10"/>
  <c r="GA67" i="10"/>
  <c r="FZ67" i="10"/>
  <c r="FY67" i="10"/>
  <c r="FX67" i="10"/>
  <c r="FW67" i="10"/>
  <c r="FV67" i="10"/>
  <c r="FU67" i="10"/>
  <c r="FT67" i="10"/>
  <c r="FS67" i="10"/>
  <c r="FR67" i="10"/>
  <c r="FQ67" i="10"/>
  <c r="FP67" i="10"/>
  <c r="FO67" i="10"/>
  <c r="FN67" i="10"/>
  <c r="FM67" i="10"/>
  <c r="FL67" i="10"/>
  <c r="FK67" i="10"/>
  <c r="FJ67" i="10"/>
  <c r="FI67" i="10"/>
  <c r="FH67" i="10"/>
  <c r="FG67" i="10"/>
  <c r="FF67" i="10"/>
  <c r="FE67" i="10"/>
  <c r="FD67" i="10"/>
  <c r="FC67" i="10"/>
  <c r="GU66" i="10"/>
  <c r="GT66" i="10"/>
  <c r="GS66" i="10"/>
  <c r="GR66" i="10"/>
  <c r="GQ66" i="10"/>
  <c r="GP66" i="10"/>
  <c r="GO66" i="10"/>
  <c r="GN66" i="10"/>
  <c r="GM66" i="10"/>
  <c r="GL66" i="10"/>
  <c r="GK66" i="10"/>
  <c r="GJ66" i="10"/>
  <c r="GI66" i="10"/>
  <c r="GH66" i="10"/>
  <c r="GG66" i="10"/>
  <c r="GF66" i="10"/>
  <c r="GE66" i="10"/>
  <c r="GD66" i="10"/>
  <c r="GC66" i="10"/>
  <c r="GB66" i="10"/>
  <c r="GA66" i="10"/>
  <c r="FZ66" i="10"/>
  <c r="FY66" i="10"/>
  <c r="FX66" i="10"/>
  <c r="FW66" i="10"/>
  <c r="FV66" i="10"/>
  <c r="FU66" i="10"/>
  <c r="FT66" i="10"/>
  <c r="FS66" i="10"/>
  <c r="FR66" i="10"/>
  <c r="FQ66" i="10"/>
  <c r="FP66" i="10"/>
  <c r="FO66" i="10"/>
  <c r="FN66" i="10"/>
  <c r="FM66" i="10"/>
  <c r="FL66" i="10"/>
  <c r="FK66" i="10"/>
  <c r="FJ66" i="10"/>
  <c r="FI66" i="10"/>
  <c r="FH66" i="10"/>
  <c r="FG66" i="10"/>
  <c r="FF66" i="10"/>
  <c r="FE66" i="10"/>
  <c r="FD66" i="10"/>
  <c r="FC66" i="10"/>
  <c r="GU65" i="10"/>
  <c r="GT65" i="10"/>
  <c r="GS65" i="10"/>
  <c r="GR65" i="10"/>
  <c r="GQ65" i="10"/>
  <c r="GP65" i="10"/>
  <c r="GO65" i="10"/>
  <c r="GN65" i="10"/>
  <c r="GM65" i="10"/>
  <c r="GL65" i="10"/>
  <c r="GK65" i="10"/>
  <c r="GJ65" i="10"/>
  <c r="GI65" i="10"/>
  <c r="GH65" i="10"/>
  <c r="GG65" i="10"/>
  <c r="GF65" i="10"/>
  <c r="GE65" i="10"/>
  <c r="GD65" i="10"/>
  <c r="GC65" i="10"/>
  <c r="GB65" i="10"/>
  <c r="GA65" i="10"/>
  <c r="FZ65" i="10"/>
  <c r="FY65" i="10"/>
  <c r="FX65" i="10"/>
  <c r="FW65" i="10"/>
  <c r="FV65" i="10"/>
  <c r="FU65" i="10"/>
  <c r="FT65" i="10"/>
  <c r="FS65" i="10"/>
  <c r="FR65" i="10"/>
  <c r="FQ65" i="10"/>
  <c r="FP65" i="10"/>
  <c r="FO65" i="10"/>
  <c r="FN65" i="10"/>
  <c r="FM65" i="10"/>
  <c r="FL65" i="10"/>
  <c r="FK65" i="10"/>
  <c r="FJ65" i="10"/>
  <c r="FI65" i="10"/>
  <c r="FH65" i="10"/>
  <c r="FG65" i="10"/>
  <c r="FF65" i="10"/>
  <c r="FE65" i="10"/>
  <c r="FD65" i="10"/>
  <c r="FC65" i="10"/>
  <c r="GU64" i="10"/>
  <c r="GT64" i="10"/>
  <c r="GS64" i="10"/>
  <c r="GR64" i="10"/>
  <c r="GQ64" i="10"/>
  <c r="GP64" i="10"/>
  <c r="GO64" i="10"/>
  <c r="GN64" i="10"/>
  <c r="GM64" i="10"/>
  <c r="GL64" i="10"/>
  <c r="GK64" i="10"/>
  <c r="GJ64" i="10"/>
  <c r="GI64" i="10"/>
  <c r="GH64" i="10"/>
  <c r="GG64" i="10"/>
  <c r="GF64" i="10"/>
  <c r="GE64" i="10"/>
  <c r="GD64" i="10"/>
  <c r="GC64" i="10"/>
  <c r="GB64" i="10"/>
  <c r="GA64" i="10"/>
  <c r="FZ64" i="10"/>
  <c r="FY64" i="10"/>
  <c r="FX64" i="10"/>
  <c r="FW64" i="10"/>
  <c r="FV64" i="10"/>
  <c r="FU64" i="10"/>
  <c r="FT64" i="10"/>
  <c r="FS64" i="10"/>
  <c r="FR64" i="10"/>
  <c r="FQ64" i="10"/>
  <c r="FP64" i="10"/>
  <c r="FO64" i="10"/>
  <c r="FN64" i="10"/>
  <c r="FM64" i="10"/>
  <c r="FL64" i="10"/>
  <c r="FK64" i="10"/>
  <c r="FJ64" i="10"/>
  <c r="FI64" i="10"/>
  <c r="FH64" i="10"/>
  <c r="FG64" i="10"/>
  <c r="FF64" i="10"/>
  <c r="FE64" i="10"/>
  <c r="FD64" i="10"/>
  <c r="FC64" i="10"/>
  <c r="GU63" i="10"/>
  <c r="GT63" i="10"/>
  <c r="GS63" i="10"/>
  <c r="GR63" i="10"/>
  <c r="GQ63" i="10"/>
  <c r="GP63" i="10"/>
  <c r="GO63" i="10"/>
  <c r="GN63" i="10"/>
  <c r="GM63" i="10"/>
  <c r="GL63" i="10"/>
  <c r="GK63" i="10"/>
  <c r="GJ63" i="10"/>
  <c r="GI63" i="10"/>
  <c r="GH63" i="10"/>
  <c r="GG63" i="10"/>
  <c r="GF63" i="10"/>
  <c r="GE63" i="10"/>
  <c r="GD63" i="10"/>
  <c r="GC63" i="10"/>
  <c r="GB63" i="10"/>
  <c r="GA63" i="10"/>
  <c r="FZ63" i="10"/>
  <c r="FY63" i="10"/>
  <c r="FX63" i="10"/>
  <c r="FW63" i="10"/>
  <c r="FV63" i="10"/>
  <c r="FU63" i="10"/>
  <c r="FT63" i="10"/>
  <c r="FS63" i="10"/>
  <c r="FR63" i="10"/>
  <c r="FQ63" i="10"/>
  <c r="FP63" i="10"/>
  <c r="FO63" i="10"/>
  <c r="FN63" i="10"/>
  <c r="FM63" i="10"/>
  <c r="FL63" i="10"/>
  <c r="FK63" i="10"/>
  <c r="FJ63" i="10"/>
  <c r="FI63" i="10"/>
  <c r="FH63" i="10"/>
  <c r="FG63" i="10"/>
  <c r="FF63" i="10"/>
  <c r="FE63" i="10"/>
  <c r="FD63" i="10"/>
  <c r="FC63" i="10"/>
  <c r="GU62" i="10"/>
  <c r="GT62" i="10"/>
  <c r="GS62" i="10"/>
  <c r="GR62" i="10"/>
  <c r="GQ62" i="10"/>
  <c r="GP62" i="10"/>
  <c r="GO62" i="10"/>
  <c r="GN62" i="10"/>
  <c r="GM62" i="10"/>
  <c r="GL62" i="10"/>
  <c r="GK62" i="10"/>
  <c r="GJ62" i="10"/>
  <c r="GI62" i="10"/>
  <c r="GH62" i="10"/>
  <c r="GG62" i="10"/>
  <c r="GF62" i="10"/>
  <c r="GE62" i="10"/>
  <c r="GD62" i="10"/>
  <c r="GC62" i="10"/>
  <c r="GB62" i="10"/>
  <c r="GA62" i="10"/>
  <c r="FZ62" i="10"/>
  <c r="FY62" i="10"/>
  <c r="FX62" i="10"/>
  <c r="FW62" i="10"/>
  <c r="FV62" i="10"/>
  <c r="FU62" i="10"/>
  <c r="FT62" i="10"/>
  <c r="FS62" i="10"/>
  <c r="FR62" i="10"/>
  <c r="FQ62" i="10"/>
  <c r="FP62" i="10"/>
  <c r="FO62" i="10"/>
  <c r="FN62" i="10"/>
  <c r="FM62" i="10"/>
  <c r="FL62" i="10"/>
  <c r="FK62" i="10"/>
  <c r="FJ62" i="10"/>
  <c r="FI62" i="10"/>
  <c r="FH62" i="10"/>
  <c r="FG62" i="10"/>
  <c r="FF62" i="10"/>
  <c r="FE62" i="10"/>
  <c r="FD62" i="10"/>
  <c r="FC62" i="10"/>
  <c r="GU61" i="10"/>
  <c r="GT61" i="10"/>
  <c r="GS61" i="10"/>
  <c r="GR61" i="10"/>
  <c r="GQ61" i="10"/>
  <c r="GP61" i="10"/>
  <c r="GO61" i="10"/>
  <c r="GN61" i="10"/>
  <c r="GM61" i="10"/>
  <c r="GL61" i="10"/>
  <c r="GK61" i="10"/>
  <c r="GJ61" i="10"/>
  <c r="GI61" i="10"/>
  <c r="GH61" i="10"/>
  <c r="GG61" i="10"/>
  <c r="GF61" i="10"/>
  <c r="GE61" i="10"/>
  <c r="GD61" i="10"/>
  <c r="GC61" i="10"/>
  <c r="GB61" i="10"/>
  <c r="GA61" i="10"/>
  <c r="FZ61" i="10"/>
  <c r="FY61" i="10"/>
  <c r="FX61" i="10"/>
  <c r="FW61" i="10"/>
  <c r="FV61" i="10"/>
  <c r="FU61" i="10"/>
  <c r="FT61" i="10"/>
  <c r="FS61" i="10"/>
  <c r="FR61" i="10"/>
  <c r="FQ61" i="10"/>
  <c r="FP61" i="10"/>
  <c r="FO61" i="10"/>
  <c r="FN61" i="10"/>
  <c r="FM61" i="10"/>
  <c r="FL61" i="10"/>
  <c r="FK61" i="10"/>
  <c r="FJ61" i="10"/>
  <c r="FI61" i="10"/>
  <c r="FH61" i="10"/>
  <c r="FG61" i="10"/>
  <c r="FF61" i="10"/>
  <c r="FE61" i="10"/>
  <c r="FD61" i="10"/>
  <c r="FC61" i="10"/>
  <c r="GU60" i="10"/>
  <c r="GT60" i="10"/>
  <c r="GS60" i="10"/>
  <c r="GR60" i="10"/>
  <c r="GQ60" i="10"/>
  <c r="GP60" i="10"/>
  <c r="GO60" i="10"/>
  <c r="GN60" i="10"/>
  <c r="GM60" i="10"/>
  <c r="GL60" i="10"/>
  <c r="GK60" i="10"/>
  <c r="GJ60" i="10"/>
  <c r="GI60" i="10"/>
  <c r="GH60" i="10"/>
  <c r="GG60" i="10"/>
  <c r="GF60" i="10"/>
  <c r="GE60" i="10"/>
  <c r="GD60" i="10"/>
  <c r="GC60" i="10"/>
  <c r="GB60" i="10"/>
  <c r="GA60" i="10"/>
  <c r="FZ60" i="10"/>
  <c r="FY60" i="10"/>
  <c r="FX60" i="10"/>
  <c r="FW60" i="10"/>
  <c r="FV60" i="10"/>
  <c r="FU60" i="10"/>
  <c r="FT60" i="10"/>
  <c r="FS60" i="10"/>
  <c r="FR60" i="10"/>
  <c r="FQ60" i="10"/>
  <c r="FP60" i="10"/>
  <c r="FO60" i="10"/>
  <c r="FN60" i="10"/>
  <c r="FM60" i="10"/>
  <c r="FL60" i="10"/>
  <c r="FK60" i="10"/>
  <c r="FJ60" i="10"/>
  <c r="FI60" i="10"/>
  <c r="FH60" i="10"/>
  <c r="FG60" i="10"/>
  <c r="FF60" i="10"/>
  <c r="FE60" i="10"/>
  <c r="FD60" i="10"/>
  <c r="FC60" i="10"/>
  <c r="GU59" i="10"/>
  <c r="GT59" i="10"/>
  <c r="GS59" i="10"/>
  <c r="GR59" i="10"/>
  <c r="GQ59" i="10"/>
  <c r="GP59" i="10"/>
  <c r="GO59" i="10"/>
  <c r="GN59" i="10"/>
  <c r="GM59" i="10"/>
  <c r="GL59" i="10"/>
  <c r="GK59" i="10"/>
  <c r="GJ59" i="10"/>
  <c r="GI59" i="10"/>
  <c r="GH59" i="10"/>
  <c r="GG59" i="10"/>
  <c r="GF59" i="10"/>
  <c r="GE59" i="10"/>
  <c r="GD59" i="10"/>
  <c r="GC59" i="10"/>
  <c r="GB59" i="10"/>
  <c r="GA59" i="10"/>
  <c r="FZ59" i="10"/>
  <c r="FY59" i="10"/>
  <c r="FX59" i="10"/>
  <c r="FW59" i="10"/>
  <c r="FV59" i="10"/>
  <c r="FU59" i="10"/>
  <c r="FT59" i="10"/>
  <c r="FS59" i="10"/>
  <c r="FR59" i="10"/>
  <c r="FQ59" i="10"/>
  <c r="FP59" i="10"/>
  <c r="FO59" i="10"/>
  <c r="FN59" i="10"/>
  <c r="FM59" i="10"/>
  <c r="FL59" i="10"/>
  <c r="FK59" i="10"/>
  <c r="FJ59" i="10"/>
  <c r="FI59" i="10"/>
  <c r="FH59" i="10"/>
  <c r="FG59" i="10"/>
  <c r="FF59" i="10"/>
  <c r="FE59" i="10"/>
  <c r="FD59" i="10"/>
  <c r="FC59" i="10"/>
  <c r="GU58" i="10"/>
  <c r="GT58" i="10"/>
  <c r="GS58" i="10"/>
  <c r="GR58" i="10"/>
  <c r="GQ58" i="10"/>
  <c r="GP58" i="10"/>
  <c r="GO58" i="10"/>
  <c r="GN58" i="10"/>
  <c r="GM58" i="10"/>
  <c r="GL58" i="10"/>
  <c r="GK58" i="10"/>
  <c r="GJ58" i="10"/>
  <c r="GI58" i="10"/>
  <c r="GH58" i="10"/>
  <c r="GG58" i="10"/>
  <c r="GF58" i="10"/>
  <c r="GE58" i="10"/>
  <c r="GD58" i="10"/>
  <c r="GC58" i="10"/>
  <c r="GB58" i="10"/>
  <c r="GA58" i="10"/>
  <c r="FZ58" i="10"/>
  <c r="FY58" i="10"/>
  <c r="FX58" i="10"/>
  <c r="FW58" i="10"/>
  <c r="FV58" i="10"/>
  <c r="FU58" i="10"/>
  <c r="FT58" i="10"/>
  <c r="FS58" i="10"/>
  <c r="FR58" i="10"/>
  <c r="FQ58" i="10"/>
  <c r="FP58" i="10"/>
  <c r="FO58" i="10"/>
  <c r="FN58" i="10"/>
  <c r="FM58" i="10"/>
  <c r="FL58" i="10"/>
  <c r="FK58" i="10"/>
  <c r="FJ58" i="10"/>
  <c r="FI58" i="10"/>
  <c r="FH58" i="10"/>
  <c r="FG58" i="10"/>
  <c r="FF58" i="10"/>
  <c r="FE58" i="10"/>
  <c r="FD58" i="10"/>
  <c r="FC58" i="10"/>
  <c r="GU57" i="10"/>
  <c r="GT57" i="10"/>
  <c r="GS57" i="10"/>
  <c r="GR57" i="10"/>
  <c r="GQ57" i="10"/>
  <c r="GP57" i="10"/>
  <c r="GO57" i="10"/>
  <c r="GN57" i="10"/>
  <c r="GM57" i="10"/>
  <c r="GL57" i="10"/>
  <c r="GK57" i="10"/>
  <c r="GJ57" i="10"/>
  <c r="GI57" i="10"/>
  <c r="GH57" i="10"/>
  <c r="GG57" i="10"/>
  <c r="GF57" i="10"/>
  <c r="GE57" i="10"/>
  <c r="GD57" i="10"/>
  <c r="GC57" i="10"/>
  <c r="GB57" i="10"/>
  <c r="GA57" i="10"/>
  <c r="FZ57" i="10"/>
  <c r="FY57" i="10"/>
  <c r="FX57" i="10"/>
  <c r="FW57" i="10"/>
  <c r="FV57" i="10"/>
  <c r="FU57" i="10"/>
  <c r="FT57" i="10"/>
  <c r="FS57" i="10"/>
  <c r="FR57" i="10"/>
  <c r="FQ57" i="10"/>
  <c r="FP57" i="10"/>
  <c r="FO57" i="10"/>
  <c r="FN57" i="10"/>
  <c r="FM57" i="10"/>
  <c r="FL57" i="10"/>
  <c r="FK57" i="10"/>
  <c r="FJ57" i="10"/>
  <c r="FI57" i="10"/>
  <c r="FH57" i="10"/>
  <c r="FG57" i="10"/>
  <c r="FF57" i="10"/>
  <c r="FE57" i="10"/>
  <c r="FD57" i="10"/>
  <c r="FC57" i="10"/>
  <c r="GU56" i="10"/>
  <c r="GT56" i="10"/>
  <c r="GS56" i="10"/>
  <c r="GR56" i="10"/>
  <c r="GQ56" i="10"/>
  <c r="GP56" i="10"/>
  <c r="GO56" i="10"/>
  <c r="GN56" i="10"/>
  <c r="GM56" i="10"/>
  <c r="GL56" i="10"/>
  <c r="GK56" i="10"/>
  <c r="GJ56" i="10"/>
  <c r="GI56" i="10"/>
  <c r="GH56" i="10"/>
  <c r="GG56" i="10"/>
  <c r="GF56" i="10"/>
  <c r="GE56" i="10"/>
  <c r="GD56" i="10"/>
  <c r="GC56" i="10"/>
  <c r="GB56" i="10"/>
  <c r="GA56" i="10"/>
  <c r="FZ56" i="10"/>
  <c r="FY56" i="10"/>
  <c r="FX56" i="10"/>
  <c r="FW56" i="10"/>
  <c r="FV56" i="10"/>
  <c r="FU56" i="10"/>
  <c r="FT56" i="10"/>
  <c r="FS56" i="10"/>
  <c r="FR56" i="10"/>
  <c r="FQ56" i="10"/>
  <c r="FP56" i="10"/>
  <c r="FO56" i="10"/>
  <c r="FN56" i="10"/>
  <c r="FM56" i="10"/>
  <c r="FL56" i="10"/>
  <c r="FK56" i="10"/>
  <c r="FJ56" i="10"/>
  <c r="FI56" i="10"/>
  <c r="FH56" i="10"/>
  <c r="FG56" i="10"/>
  <c r="FF56" i="10"/>
  <c r="FE56" i="10"/>
  <c r="FD56" i="10"/>
  <c r="FC56" i="10"/>
  <c r="GU55" i="10"/>
  <c r="GT55" i="10"/>
  <c r="GS55" i="10"/>
  <c r="GR55" i="10"/>
  <c r="GQ55" i="10"/>
  <c r="GP55" i="10"/>
  <c r="GO55" i="10"/>
  <c r="GN55" i="10"/>
  <c r="GM55" i="10"/>
  <c r="GL55" i="10"/>
  <c r="GK55" i="10"/>
  <c r="GJ55" i="10"/>
  <c r="GI55" i="10"/>
  <c r="GH55" i="10"/>
  <c r="GG55" i="10"/>
  <c r="GF55" i="10"/>
  <c r="GE55" i="10"/>
  <c r="GD55" i="10"/>
  <c r="GC55" i="10"/>
  <c r="GB55" i="10"/>
  <c r="GA55" i="10"/>
  <c r="FZ55" i="10"/>
  <c r="FY55" i="10"/>
  <c r="FX55" i="10"/>
  <c r="FW55" i="10"/>
  <c r="FV55" i="10"/>
  <c r="FU55" i="10"/>
  <c r="FT55" i="10"/>
  <c r="FS55" i="10"/>
  <c r="FR55" i="10"/>
  <c r="FQ55" i="10"/>
  <c r="FP55" i="10"/>
  <c r="FO55" i="10"/>
  <c r="FN55" i="10"/>
  <c r="FM55" i="10"/>
  <c r="FL55" i="10"/>
  <c r="FK55" i="10"/>
  <c r="FJ55" i="10"/>
  <c r="FI55" i="10"/>
  <c r="FH55" i="10"/>
  <c r="FG55" i="10"/>
  <c r="FF55" i="10"/>
  <c r="FE55" i="10"/>
  <c r="FD55" i="10"/>
  <c r="FC55" i="10"/>
  <c r="GU54" i="10"/>
  <c r="GT54" i="10"/>
  <c r="GS54" i="10"/>
  <c r="GR54" i="10"/>
  <c r="GQ54" i="10"/>
  <c r="GP54" i="10"/>
  <c r="GO54" i="10"/>
  <c r="GN54" i="10"/>
  <c r="GM54" i="10"/>
  <c r="GL54" i="10"/>
  <c r="GK54" i="10"/>
  <c r="GJ54" i="10"/>
  <c r="GI54" i="10"/>
  <c r="GH54" i="10"/>
  <c r="GG54" i="10"/>
  <c r="GF54" i="10"/>
  <c r="GE54" i="10"/>
  <c r="GD54" i="10"/>
  <c r="GC54" i="10"/>
  <c r="GB54" i="10"/>
  <c r="GA54" i="10"/>
  <c r="FZ54" i="10"/>
  <c r="FY54" i="10"/>
  <c r="FX54" i="10"/>
  <c r="FW54" i="10"/>
  <c r="FV54" i="10"/>
  <c r="FU54" i="10"/>
  <c r="FT54" i="10"/>
  <c r="FS54" i="10"/>
  <c r="FR54" i="10"/>
  <c r="FQ54" i="10"/>
  <c r="FP54" i="10"/>
  <c r="FO54" i="10"/>
  <c r="FN54" i="10"/>
  <c r="FM54" i="10"/>
  <c r="FL54" i="10"/>
  <c r="FK54" i="10"/>
  <c r="FJ54" i="10"/>
  <c r="FI54" i="10"/>
  <c r="FH54" i="10"/>
  <c r="FG54" i="10"/>
  <c r="FF54" i="10"/>
  <c r="FE54" i="10"/>
  <c r="FD54" i="10"/>
  <c r="FC54" i="10"/>
  <c r="GU53" i="10"/>
  <c r="GT53" i="10"/>
  <c r="GS53" i="10"/>
  <c r="GR53" i="10"/>
  <c r="GQ53" i="10"/>
  <c r="GP53" i="10"/>
  <c r="GO53" i="10"/>
  <c r="GN53" i="10"/>
  <c r="GM53" i="10"/>
  <c r="GL53" i="10"/>
  <c r="GK53" i="10"/>
  <c r="GJ53" i="10"/>
  <c r="GI53" i="10"/>
  <c r="GH53" i="10"/>
  <c r="GG53" i="10"/>
  <c r="GF53" i="10"/>
  <c r="GE53" i="10"/>
  <c r="GD53" i="10"/>
  <c r="GC53" i="10"/>
  <c r="GB53" i="10"/>
  <c r="GA53" i="10"/>
  <c r="FZ53" i="10"/>
  <c r="FY53" i="10"/>
  <c r="FX53" i="10"/>
  <c r="FW53" i="10"/>
  <c r="FV53" i="10"/>
  <c r="FU53" i="10"/>
  <c r="FT53" i="10"/>
  <c r="FS53" i="10"/>
  <c r="FR53" i="10"/>
  <c r="FQ53" i="10"/>
  <c r="FP53" i="10"/>
  <c r="FO53" i="10"/>
  <c r="FN53" i="10"/>
  <c r="FM53" i="10"/>
  <c r="FL53" i="10"/>
  <c r="FK53" i="10"/>
  <c r="FJ53" i="10"/>
  <c r="FI53" i="10"/>
  <c r="FH53" i="10"/>
  <c r="FG53" i="10"/>
  <c r="FF53" i="10"/>
  <c r="FE53" i="10"/>
  <c r="FD53" i="10"/>
  <c r="FC53" i="10"/>
  <c r="GU52" i="10"/>
  <c r="GT52" i="10"/>
  <c r="GS52" i="10"/>
  <c r="GR52" i="10"/>
  <c r="GQ52" i="10"/>
  <c r="GP52" i="10"/>
  <c r="GO52" i="10"/>
  <c r="GN52" i="10"/>
  <c r="GM52" i="10"/>
  <c r="GL52" i="10"/>
  <c r="GK52" i="10"/>
  <c r="GJ52" i="10"/>
  <c r="GI52" i="10"/>
  <c r="GH52" i="10"/>
  <c r="GG52" i="10"/>
  <c r="GF52" i="10"/>
  <c r="GE52" i="10"/>
  <c r="GD52" i="10"/>
  <c r="GC52" i="10"/>
  <c r="GB52" i="10"/>
  <c r="GA52" i="10"/>
  <c r="FZ52" i="10"/>
  <c r="FY52" i="10"/>
  <c r="FX52" i="10"/>
  <c r="FW52" i="10"/>
  <c r="FV52" i="10"/>
  <c r="FU52" i="10"/>
  <c r="FT52" i="10"/>
  <c r="FS52" i="10"/>
  <c r="FR52" i="10"/>
  <c r="FQ52" i="10"/>
  <c r="FP52" i="10"/>
  <c r="FO52" i="10"/>
  <c r="FN52" i="10"/>
  <c r="FM52" i="10"/>
  <c r="FL52" i="10"/>
  <c r="FK52" i="10"/>
  <c r="FJ52" i="10"/>
  <c r="FI52" i="10"/>
  <c r="FH52" i="10"/>
  <c r="FG52" i="10"/>
  <c r="FF52" i="10"/>
  <c r="FE52" i="10"/>
  <c r="FD52" i="10"/>
  <c r="FC52" i="10"/>
  <c r="GU51" i="10"/>
  <c r="GT51" i="10"/>
  <c r="GS51" i="10"/>
  <c r="GR51" i="10"/>
  <c r="GQ51" i="10"/>
  <c r="GP51" i="10"/>
  <c r="GO51" i="10"/>
  <c r="GN51" i="10"/>
  <c r="GM51" i="10"/>
  <c r="GL51" i="10"/>
  <c r="GK51" i="10"/>
  <c r="GJ51" i="10"/>
  <c r="GI51" i="10"/>
  <c r="GH51" i="10"/>
  <c r="GG51" i="10"/>
  <c r="GF51" i="10"/>
  <c r="GE51" i="10"/>
  <c r="GD51" i="10"/>
  <c r="GC51" i="10"/>
  <c r="GB51" i="10"/>
  <c r="GA51" i="10"/>
  <c r="FZ51" i="10"/>
  <c r="FY51" i="10"/>
  <c r="FX51" i="10"/>
  <c r="FW51" i="10"/>
  <c r="FV51" i="10"/>
  <c r="FU51" i="10"/>
  <c r="FT51" i="10"/>
  <c r="FS51" i="10"/>
  <c r="FR51" i="10"/>
  <c r="FQ51" i="10"/>
  <c r="FP51" i="10"/>
  <c r="FO51" i="10"/>
  <c r="FN51" i="10"/>
  <c r="FM51" i="10"/>
  <c r="FL51" i="10"/>
  <c r="FK51" i="10"/>
  <c r="FJ51" i="10"/>
  <c r="FI51" i="10"/>
  <c r="FH51" i="10"/>
  <c r="FG51" i="10"/>
  <c r="FF51" i="10"/>
  <c r="FE51" i="10"/>
  <c r="FD51" i="10"/>
  <c r="FC51" i="10"/>
  <c r="GU50" i="10"/>
  <c r="GT50" i="10"/>
  <c r="GS50" i="10"/>
  <c r="GR50" i="10"/>
  <c r="GQ50" i="10"/>
  <c r="GP50" i="10"/>
  <c r="GO50" i="10"/>
  <c r="GN50" i="10"/>
  <c r="GM50" i="10"/>
  <c r="GL50" i="10"/>
  <c r="GK50" i="10"/>
  <c r="GJ50" i="10"/>
  <c r="GI50" i="10"/>
  <c r="GH50" i="10"/>
  <c r="GG50" i="10"/>
  <c r="GF50" i="10"/>
  <c r="GE50" i="10"/>
  <c r="GD50" i="10"/>
  <c r="GC50" i="10"/>
  <c r="GB50" i="10"/>
  <c r="GA50" i="10"/>
  <c r="FZ50" i="10"/>
  <c r="FY50" i="10"/>
  <c r="FX50" i="10"/>
  <c r="FW50" i="10"/>
  <c r="FV50" i="10"/>
  <c r="FU50" i="10"/>
  <c r="FT50" i="10"/>
  <c r="FS50" i="10"/>
  <c r="FR50" i="10"/>
  <c r="FQ50" i="10"/>
  <c r="FP50" i="10"/>
  <c r="FO50" i="10"/>
  <c r="FN50" i="10"/>
  <c r="FM50" i="10"/>
  <c r="FL50" i="10"/>
  <c r="FK50" i="10"/>
  <c r="FJ50" i="10"/>
  <c r="FI50" i="10"/>
  <c r="FH50" i="10"/>
  <c r="FG50" i="10"/>
  <c r="FF50" i="10"/>
  <c r="FE50" i="10"/>
  <c r="FD50" i="10"/>
  <c r="FC50" i="10"/>
  <c r="GU49" i="10"/>
  <c r="GT49" i="10"/>
  <c r="GS49" i="10"/>
  <c r="GR49" i="10"/>
  <c r="GQ49" i="10"/>
  <c r="GP49" i="10"/>
  <c r="GO49" i="10"/>
  <c r="GN49" i="10"/>
  <c r="GM49" i="10"/>
  <c r="GL49" i="10"/>
  <c r="GK49" i="10"/>
  <c r="GJ49" i="10"/>
  <c r="GI49" i="10"/>
  <c r="GH49" i="10"/>
  <c r="GG49" i="10"/>
  <c r="GF49" i="10"/>
  <c r="GE49" i="10"/>
  <c r="GD49" i="10"/>
  <c r="GC49" i="10"/>
  <c r="GB49" i="10"/>
  <c r="GA49" i="10"/>
  <c r="FZ49" i="10"/>
  <c r="FY49" i="10"/>
  <c r="FX49" i="10"/>
  <c r="FW49" i="10"/>
  <c r="FV49" i="10"/>
  <c r="FU49" i="10"/>
  <c r="FT49" i="10"/>
  <c r="FS49" i="10"/>
  <c r="FR49" i="10"/>
  <c r="FQ49" i="10"/>
  <c r="FP49" i="10"/>
  <c r="FO49" i="10"/>
  <c r="FN49" i="10"/>
  <c r="FM49" i="10"/>
  <c r="FL49" i="10"/>
  <c r="FK49" i="10"/>
  <c r="FJ49" i="10"/>
  <c r="FI49" i="10"/>
  <c r="FH49" i="10"/>
  <c r="FG49" i="10"/>
  <c r="FF49" i="10"/>
  <c r="FE49" i="10"/>
  <c r="FD49" i="10"/>
  <c r="FC49" i="10"/>
  <c r="GU48" i="10"/>
  <c r="GT48" i="10"/>
  <c r="GS48" i="10"/>
  <c r="GR48" i="10"/>
  <c r="GQ48" i="10"/>
  <c r="GP48" i="10"/>
  <c r="GO48" i="10"/>
  <c r="GN48" i="10"/>
  <c r="GM48" i="10"/>
  <c r="GL48" i="10"/>
  <c r="GK48" i="10"/>
  <c r="GJ48" i="10"/>
  <c r="GI48" i="10"/>
  <c r="GH48" i="10"/>
  <c r="GG48" i="10"/>
  <c r="GF48" i="10"/>
  <c r="GE48" i="10"/>
  <c r="GD48" i="10"/>
  <c r="GC48" i="10"/>
  <c r="GB48" i="10"/>
  <c r="GA48" i="10"/>
  <c r="FZ48" i="10"/>
  <c r="FY48" i="10"/>
  <c r="FX48" i="10"/>
  <c r="FW48" i="10"/>
  <c r="FV48" i="10"/>
  <c r="FU48" i="10"/>
  <c r="FT48" i="10"/>
  <c r="FS48" i="10"/>
  <c r="FR48" i="10"/>
  <c r="FQ48" i="10"/>
  <c r="FP48" i="10"/>
  <c r="FO48" i="10"/>
  <c r="FN48" i="10"/>
  <c r="FM48" i="10"/>
  <c r="FL48" i="10"/>
  <c r="FK48" i="10"/>
  <c r="FJ48" i="10"/>
  <c r="FI48" i="10"/>
  <c r="FH48" i="10"/>
  <c r="FG48" i="10"/>
  <c r="FF48" i="10"/>
  <c r="FE48" i="10"/>
  <c r="FD48" i="10"/>
  <c r="FC48" i="10"/>
  <c r="GU47" i="10"/>
  <c r="GT47" i="10"/>
  <c r="GS47" i="10"/>
  <c r="GR47" i="10"/>
  <c r="GQ47" i="10"/>
  <c r="GP47" i="10"/>
  <c r="GO47" i="10"/>
  <c r="GN47" i="10"/>
  <c r="GM47" i="10"/>
  <c r="GL47" i="10"/>
  <c r="GK47" i="10"/>
  <c r="GJ47" i="10"/>
  <c r="GI47" i="10"/>
  <c r="GH47" i="10"/>
  <c r="GG47" i="10"/>
  <c r="GF47" i="10"/>
  <c r="GE47" i="10"/>
  <c r="GD47" i="10"/>
  <c r="GC47" i="10"/>
  <c r="GB47" i="10"/>
  <c r="GA47" i="10"/>
  <c r="FZ47" i="10"/>
  <c r="FY47" i="10"/>
  <c r="FX47" i="10"/>
  <c r="FW47" i="10"/>
  <c r="FV47" i="10"/>
  <c r="FU47" i="10"/>
  <c r="FT47" i="10"/>
  <c r="FS47" i="10"/>
  <c r="FR47" i="10"/>
  <c r="FQ47" i="10"/>
  <c r="FP47" i="10"/>
  <c r="FO47" i="10"/>
  <c r="FN47" i="10"/>
  <c r="FM47" i="10"/>
  <c r="FL47" i="10"/>
  <c r="FK47" i="10"/>
  <c r="FJ47" i="10"/>
  <c r="FI47" i="10"/>
  <c r="FH47" i="10"/>
  <c r="FG47" i="10"/>
  <c r="FF47" i="10"/>
  <c r="FE47" i="10"/>
  <c r="FD47" i="10"/>
  <c r="FC47" i="10"/>
  <c r="GU46" i="10"/>
  <c r="GT46" i="10"/>
  <c r="GS46" i="10"/>
  <c r="GR46" i="10"/>
  <c r="GQ46" i="10"/>
  <c r="GP46" i="10"/>
  <c r="GO46" i="10"/>
  <c r="GN46" i="10"/>
  <c r="GM46" i="10"/>
  <c r="GL46" i="10"/>
  <c r="GK46" i="10"/>
  <c r="GJ46" i="10"/>
  <c r="GI46" i="10"/>
  <c r="GH46" i="10"/>
  <c r="GG46" i="10"/>
  <c r="GF46" i="10"/>
  <c r="GE46" i="10"/>
  <c r="GD46" i="10"/>
  <c r="GC46" i="10"/>
  <c r="GB46" i="10"/>
  <c r="GA46" i="10"/>
  <c r="FZ46" i="10"/>
  <c r="FY46" i="10"/>
  <c r="FX46" i="10"/>
  <c r="FW46" i="10"/>
  <c r="FV46" i="10"/>
  <c r="FU46" i="10"/>
  <c r="FT46" i="10"/>
  <c r="FS46" i="10"/>
  <c r="FR46" i="10"/>
  <c r="FQ46" i="10"/>
  <c r="FP46" i="10"/>
  <c r="FO46" i="10"/>
  <c r="FN46" i="10"/>
  <c r="FM46" i="10"/>
  <c r="FL46" i="10"/>
  <c r="FK46" i="10"/>
  <c r="FJ46" i="10"/>
  <c r="FI46" i="10"/>
  <c r="FH46" i="10"/>
  <c r="FG46" i="10"/>
  <c r="FF46" i="10"/>
  <c r="FE46" i="10"/>
  <c r="FD46" i="10"/>
  <c r="FC46" i="10"/>
  <c r="GU45" i="10"/>
  <c r="GT45" i="10"/>
  <c r="GS45" i="10"/>
  <c r="GR45" i="10"/>
  <c r="GQ45" i="10"/>
  <c r="GP45" i="10"/>
  <c r="GO45" i="10"/>
  <c r="GN45" i="10"/>
  <c r="GM45" i="10"/>
  <c r="GL45" i="10"/>
  <c r="GK45" i="10"/>
  <c r="GJ45" i="10"/>
  <c r="GI45" i="10"/>
  <c r="GH45" i="10"/>
  <c r="GG45" i="10"/>
  <c r="GF45" i="10"/>
  <c r="GE45" i="10"/>
  <c r="GD45" i="10"/>
  <c r="GC45" i="10"/>
  <c r="GB45" i="10"/>
  <c r="GA45" i="10"/>
  <c r="FZ45" i="10"/>
  <c r="FY45" i="10"/>
  <c r="FX45" i="10"/>
  <c r="FW45" i="10"/>
  <c r="FV45" i="10"/>
  <c r="FU45" i="10"/>
  <c r="FT45" i="10"/>
  <c r="FS45" i="10"/>
  <c r="FR45" i="10"/>
  <c r="FQ45" i="10"/>
  <c r="FP45" i="10"/>
  <c r="FO45" i="10"/>
  <c r="FN45" i="10"/>
  <c r="FM45" i="10"/>
  <c r="FL45" i="10"/>
  <c r="FK45" i="10"/>
  <c r="FJ45" i="10"/>
  <c r="FI45" i="10"/>
  <c r="FH45" i="10"/>
  <c r="FG45" i="10"/>
  <c r="FF45" i="10"/>
  <c r="FE45" i="10"/>
  <c r="FD45" i="10"/>
  <c r="FC45" i="10"/>
  <c r="GU44" i="10"/>
  <c r="GT44" i="10"/>
  <c r="GS44" i="10"/>
  <c r="GR44" i="10"/>
  <c r="GQ44" i="10"/>
  <c r="GP44" i="10"/>
  <c r="GO44" i="10"/>
  <c r="GN44" i="10"/>
  <c r="GM44" i="10"/>
  <c r="GL44" i="10"/>
  <c r="GK44" i="10"/>
  <c r="GJ44" i="10"/>
  <c r="GI44" i="10"/>
  <c r="GH44" i="10"/>
  <c r="GG44" i="10"/>
  <c r="GF44" i="10"/>
  <c r="GE44" i="10"/>
  <c r="GD44" i="10"/>
  <c r="GC44" i="10"/>
  <c r="GB44" i="10"/>
  <c r="GA44" i="10"/>
  <c r="FZ44" i="10"/>
  <c r="FY44" i="10"/>
  <c r="FX44" i="10"/>
  <c r="FW44" i="10"/>
  <c r="FV44" i="10"/>
  <c r="FU44" i="10"/>
  <c r="FT44" i="10"/>
  <c r="FS44" i="10"/>
  <c r="FR44" i="10"/>
  <c r="FQ44" i="10"/>
  <c r="FP44" i="10"/>
  <c r="FO44" i="10"/>
  <c r="FN44" i="10"/>
  <c r="FM44" i="10"/>
  <c r="FL44" i="10"/>
  <c r="FK44" i="10"/>
  <c r="FJ44" i="10"/>
  <c r="FI44" i="10"/>
  <c r="FH44" i="10"/>
  <c r="FG44" i="10"/>
  <c r="FF44" i="10"/>
  <c r="FE44" i="10"/>
  <c r="FD44" i="10"/>
  <c r="FC44" i="10"/>
  <c r="GU43" i="10"/>
  <c r="GT43" i="10"/>
  <c r="GS43" i="10"/>
  <c r="GR43" i="10"/>
  <c r="GQ43" i="10"/>
  <c r="GP43" i="10"/>
  <c r="GO43" i="10"/>
  <c r="GN43" i="10"/>
  <c r="GM43" i="10"/>
  <c r="GL43" i="10"/>
  <c r="GK43" i="10"/>
  <c r="GJ43" i="10"/>
  <c r="GI43" i="10"/>
  <c r="GH43" i="10"/>
  <c r="GG43" i="10"/>
  <c r="GF43" i="10"/>
  <c r="GE43" i="10"/>
  <c r="GD43" i="10"/>
  <c r="GC43" i="10"/>
  <c r="GB43" i="10"/>
  <c r="GA43" i="10"/>
  <c r="FZ43" i="10"/>
  <c r="FY43" i="10"/>
  <c r="FX43" i="10"/>
  <c r="FW43" i="10"/>
  <c r="FV43" i="10"/>
  <c r="FU43" i="10"/>
  <c r="FT43" i="10"/>
  <c r="FS43" i="10"/>
  <c r="FR43" i="10"/>
  <c r="FQ43" i="10"/>
  <c r="FP43" i="10"/>
  <c r="FO43" i="10"/>
  <c r="FN43" i="10"/>
  <c r="FM43" i="10"/>
  <c r="FL43" i="10"/>
  <c r="FK43" i="10"/>
  <c r="FJ43" i="10"/>
  <c r="FI43" i="10"/>
  <c r="FH43" i="10"/>
  <c r="FG43" i="10"/>
  <c r="FF43" i="10"/>
  <c r="FE43" i="10"/>
  <c r="FD43" i="10"/>
  <c r="FC43" i="10"/>
  <c r="GU42" i="10"/>
  <c r="GT42" i="10"/>
  <c r="GS42" i="10"/>
  <c r="GR42" i="10"/>
  <c r="GQ42" i="10"/>
  <c r="GP42" i="10"/>
  <c r="GO42" i="10"/>
  <c r="GN42" i="10"/>
  <c r="GM42" i="10"/>
  <c r="GL42" i="10"/>
  <c r="GK42" i="10"/>
  <c r="GJ42" i="10"/>
  <c r="GI42" i="10"/>
  <c r="GH42" i="10"/>
  <c r="GG42" i="10"/>
  <c r="GF42" i="10"/>
  <c r="GE42" i="10"/>
  <c r="GD42" i="10"/>
  <c r="GC42" i="10"/>
  <c r="GB42" i="10"/>
  <c r="GA42" i="10"/>
  <c r="FZ42" i="10"/>
  <c r="FY42" i="10"/>
  <c r="FX42" i="10"/>
  <c r="FW42" i="10"/>
  <c r="FV42" i="10"/>
  <c r="FU42" i="10"/>
  <c r="FT42" i="10"/>
  <c r="FS42" i="10"/>
  <c r="FR42" i="10"/>
  <c r="FQ42" i="10"/>
  <c r="FP42" i="10"/>
  <c r="FO42" i="10"/>
  <c r="FN42" i="10"/>
  <c r="FM42" i="10"/>
  <c r="FL42" i="10"/>
  <c r="FK42" i="10"/>
  <c r="FJ42" i="10"/>
  <c r="FI42" i="10"/>
  <c r="FH42" i="10"/>
  <c r="FG42" i="10"/>
  <c r="FF42" i="10"/>
  <c r="FE42" i="10"/>
  <c r="FD42" i="10"/>
  <c r="FC42" i="10"/>
  <c r="GU41" i="10"/>
  <c r="GT41" i="10"/>
  <c r="GS41" i="10"/>
  <c r="GR41" i="10"/>
  <c r="GQ41" i="10"/>
  <c r="GP41" i="10"/>
  <c r="GO41" i="10"/>
  <c r="GN41" i="10"/>
  <c r="GM41" i="10"/>
  <c r="GL41" i="10"/>
  <c r="GK41" i="10"/>
  <c r="GJ41" i="10"/>
  <c r="GI41" i="10"/>
  <c r="GH41" i="10"/>
  <c r="GG41" i="10"/>
  <c r="GF41" i="10"/>
  <c r="GE41" i="10"/>
  <c r="GD41" i="10"/>
  <c r="GC41" i="10"/>
  <c r="GB41" i="10"/>
  <c r="GA41" i="10"/>
  <c r="FZ41" i="10"/>
  <c r="FY41" i="10"/>
  <c r="FX41" i="10"/>
  <c r="FW41" i="10"/>
  <c r="FV41" i="10"/>
  <c r="FU41" i="10"/>
  <c r="FT41" i="10"/>
  <c r="FS41" i="10"/>
  <c r="FR41" i="10"/>
  <c r="FQ41" i="10"/>
  <c r="FP41" i="10"/>
  <c r="FO41" i="10"/>
  <c r="FN41" i="10"/>
  <c r="FM41" i="10"/>
  <c r="FL41" i="10"/>
  <c r="FK41" i="10"/>
  <c r="FJ41" i="10"/>
  <c r="FI41" i="10"/>
  <c r="FH41" i="10"/>
  <c r="FG41" i="10"/>
  <c r="FF41" i="10"/>
  <c r="FE41" i="10"/>
  <c r="FD41" i="10"/>
  <c r="FC41" i="10"/>
  <c r="GU40" i="10"/>
  <c r="GT40" i="10"/>
  <c r="GS40" i="10"/>
  <c r="GR40" i="10"/>
  <c r="GQ40" i="10"/>
  <c r="GP40" i="10"/>
  <c r="GO40" i="10"/>
  <c r="GN40" i="10"/>
  <c r="GM40" i="10"/>
  <c r="GL40" i="10"/>
  <c r="GK40" i="10"/>
  <c r="GJ40" i="10"/>
  <c r="GI40" i="10"/>
  <c r="GH40" i="10"/>
  <c r="GG40" i="10"/>
  <c r="GF40" i="10"/>
  <c r="GE40" i="10"/>
  <c r="GD40" i="10"/>
  <c r="GC40" i="10"/>
  <c r="GB40" i="10"/>
  <c r="GA40" i="10"/>
  <c r="FZ40" i="10"/>
  <c r="FY40" i="10"/>
  <c r="FX40" i="10"/>
  <c r="FW40" i="10"/>
  <c r="FV40" i="10"/>
  <c r="FU40" i="10"/>
  <c r="FT40" i="10"/>
  <c r="FS40" i="10"/>
  <c r="FR40" i="10"/>
  <c r="FQ40" i="10"/>
  <c r="FP40" i="10"/>
  <c r="FO40" i="10"/>
  <c r="FN40" i="10"/>
  <c r="FM40" i="10"/>
  <c r="FL40" i="10"/>
  <c r="FK40" i="10"/>
  <c r="FJ40" i="10"/>
  <c r="FI40" i="10"/>
  <c r="FH40" i="10"/>
  <c r="FG40" i="10"/>
  <c r="FF40" i="10"/>
  <c r="FE40" i="10"/>
  <c r="FD40" i="10"/>
  <c r="FC40" i="10"/>
  <c r="GU39" i="10"/>
  <c r="GT39" i="10"/>
  <c r="GS39" i="10"/>
  <c r="GR39" i="10"/>
  <c r="GQ39" i="10"/>
  <c r="GP39" i="10"/>
  <c r="GO39" i="10"/>
  <c r="GN39" i="10"/>
  <c r="GM39" i="10"/>
  <c r="GL39" i="10"/>
  <c r="GK39" i="10"/>
  <c r="GJ39" i="10"/>
  <c r="GI39" i="10"/>
  <c r="GH39" i="10"/>
  <c r="GG39" i="10"/>
  <c r="GF39" i="10"/>
  <c r="GE39" i="10"/>
  <c r="GD39" i="10"/>
  <c r="GC39" i="10"/>
  <c r="GB39" i="10"/>
  <c r="GA39" i="10"/>
  <c r="FZ39" i="10"/>
  <c r="FY39" i="10"/>
  <c r="FX39" i="10"/>
  <c r="FW39" i="10"/>
  <c r="FV39" i="10"/>
  <c r="FU39" i="10"/>
  <c r="FT39" i="10"/>
  <c r="FS39" i="10"/>
  <c r="FR39" i="10"/>
  <c r="FQ39" i="10"/>
  <c r="FP39" i="10"/>
  <c r="FO39" i="10"/>
  <c r="FN39" i="10"/>
  <c r="FM39" i="10"/>
  <c r="FL39" i="10"/>
  <c r="FK39" i="10"/>
  <c r="FJ39" i="10"/>
  <c r="FI39" i="10"/>
  <c r="FH39" i="10"/>
  <c r="FG39" i="10"/>
  <c r="FF39" i="10"/>
  <c r="FE39" i="10"/>
  <c r="FD39" i="10"/>
  <c r="FC39" i="10"/>
  <c r="GU38" i="10"/>
  <c r="GT38" i="10"/>
  <c r="GS38" i="10"/>
  <c r="GR38" i="10"/>
  <c r="GQ38" i="10"/>
  <c r="GP38" i="10"/>
  <c r="GO38" i="10"/>
  <c r="GN38" i="10"/>
  <c r="GM38" i="10"/>
  <c r="GL38" i="10"/>
  <c r="GK38" i="10"/>
  <c r="GJ38" i="10"/>
  <c r="GI38" i="10"/>
  <c r="GH38" i="10"/>
  <c r="GG38" i="10"/>
  <c r="GF38" i="10"/>
  <c r="GE38" i="10"/>
  <c r="GD38" i="10"/>
  <c r="GC38" i="10"/>
  <c r="GB38" i="10"/>
  <c r="GA38" i="10"/>
  <c r="FZ38" i="10"/>
  <c r="FY38" i="10"/>
  <c r="FX38" i="10"/>
  <c r="FW38" i="10"/>
  <c r="FV38" i="10"/>
  <c r="FU38" i="10"/>
  <c r="FT38" i="10"/>
  <c r="FS38" i="10"/>
  <c r="FR38" i="10"/>
  <c r="FQ38" i="10"/>
  <c r="FP38" i="10"/>
  <c r="FO38" i="10"/>
  <c r="FN38" i="10"/>
  <c r="FM38" i="10"/>
  <c r="FL38" i="10"/>
  <c r="FK38" i="10"/>
  <c r="FJ38" i="10"/>
  <c r="FI38" i="10"/>
  <c r="FH38" i="10"/>
  <c r="FG38" i="10"/>
  <c r="FF38" i="10"/>
  <c r="FE38" i="10"/>
  <c r="FD38" i="10"/>
  <c r="FC38" i="10"/>
  <c r="GU37" i="10"/>
  <c r="GT37" i="10"/>
  <c r="GS37" i="10"/>
  <c r="GR37" i="10"/>
  <c r="GQ37" i="10"/>
  <c r="GP37" i="10"/>
  <c r="GO37" i="10"/>
  <c r="GN37" i="10"/>
  <c r="GM37" i="10"/>
  <c r="GL37" i="10"/>
  <c r="GK37" i="10"/>
  <c r="GJ37" i="10"/>
  <c r="GI37" i="10"/>
  <c r="GH37" i="10"/>
  <c r="GG37" i="10"/>
  <c r="GF37" i="10"/>
  <c r="GE37" i="10"/>
  <c r="GD37" i="10"/>
  <c r="GC37" i="10"/>
  <c r="GB37" i="10"/>
  <c r="GA37" i="10"/>
  <c r="FZ37" i="10"/>
  <c r="FY37" i="10"/>
  <c r="FX37" i="10"/>
  <c r="FW37" i="10"/>
  <c r="FV37" i="10"/>
  <c r="FU37" i="10"/>
  <c r="FT37" i="10"/>
  <c r="FS37" i="10"/>
  <c r="FR37" i="10"/>
  <c r="FQ37" i="10"/>
  <c r="FP37" i="10"/>
  <c r="FO37" i="10"/>
  <c r="FN37" i="10"/>
  <c r="FM37" i="10"/>
  <c r="FL37" i="10"/>
  <c r="FK37" i="10"/>
  <c r="FJ37" i="10"/>
  <c r="FI37" i="10"/>
  <c r="FH37" i="10"/>
  <c r="FG37" i="10"/>
  <c r="FF37" i="10"/>
  <c r="FE37" i="10"/>
  <c r="FD37" i="10"/>
  <c r="FC37" i="10"/>
  <c r="GU36" i="10"/>
  <c r="GT36" i="10"/>
  <c r="GS36" i="10"/>
  <c r="GR36" i="10"/>
  <c r="GQ36" i="10"/>
  <c r="GP36" i="10"/>
  <c r="GO36" i="10"/>
  <c r="GN36" i="10"/>
  <c r="GM36" i="10"/>
  <c r="GL36" i="10"/>
  <c r="GK36" i="10"/>
  <c r="GJ36" i="10"/>
  <c r="GI36" i="10"/>
  <c r="GH36" i="10"/>
  <c r="GG36" i="10"/>
  <c r="GF36" i="10"/>
  <c r="GE36" i="10"/>
  <c r="GD36" i="10"/>
  <c r="GC36" i="10"/>
  <c r="GB36" i="10"/>
  <c r="GA36" i="10"/>
  <c r="FZ36" i="10"/>
  <c r="FY36" i="10"/>
  <c r="FX36" i="10"/>
  <c r="FW36" i="10"/>
  <c r="FV36" i="10"/>
  <c r="FU36" i="10"/>
  <c r="FT36" i="10"/>
  <c r="FS36" i="10"/>
  <c r="FR36" i="10"/>
  <c r="FQ36" i="10"/>
  <c r="FP36" i="10"/>
  <c r="FO36" i="10"/>
  <c r="FN36" i="10"/>
  <c r="FM36" i="10"/>
  <c r="FL36" i="10"/>
  <c r="FK36" i="10"/>
  <c r="FJ36" i="10"/>
  <c r="FI36" i="10"/>
  <c r="FH36" i="10"/>
  <c r="FG36" i="10"/>
  <c r="FF36" i="10"/>
  <c r="FE36" i="10"/>
  <c r="FD36" i="10"/>
  <c r="FC36" i="10"/>
  <c r="GU35" i="10"/>
  <c r="GT35" i="10"/>
  <c r="GS35" i="10"/>
  <c r="GR35" i="10"/>
  <c r="GQ35" i="10"/>
  <c r="GP35" i="10"/>
  <c r="GO35" i="10"/>
  <c r="GN35" i="10"/>
  <c r="GM35" i="10"/>
  <c r="GL35" i="10"/>
  <c r="GK35" i="10"/>
  <c r="GJ35" i="10"/>
  <c r="GI35" i="10"/>
  <c r="GH35" i="10"/>
  <c r="GG35" i="10"/>
  <c r="GF35" i="10"/>
  <c r="GE35" i="10"/>
  <c r="GD35" i="10"/>
  <c r="GC35" i="10"/>
  <c r="GB35" i="10"/>
  <c r="GA35" i="10"/>
  <c r="FZ35" i="10"/>
  <c r="FY35" i="10"/>
  <c r="FX35" i="10"/>
  <c r="FW35" i="10"/>
  <c r="FV35" i="10"/>
  <c r="FU35" i="10"/>
  <c r="FT35" i="10"/>
  <c r="FS35" i="10"/>
  <c r="FR35" i="10"/>
  <c r="FQ35" i="10"/>
  <c r="FP35" i="10"/>
  <c r="FO35" i="10"/>
  <c r="FN35" i="10"/>
  <c r="FM35" i="10"/>
  <c r="FL35" i="10"/>
  <c r="FK35" i="10"/>
  <c r="FJ35" i="10"/>
  <c r="FI35" i="10"/>
  <c r="FH35" i="10"/>
  <c r="FG35" i="10"/>
  <c r="FF35" i="10"/>
  <c r="FE35" i="10"/>
  <c r="FD35" i="10"/>
  <c r="FC35" i="10"/>
  <c r="GU34" i="10"/>
  <c r="GT34" i="10"/>
  <c r="GS34" i="10"/>
  <c r="GR34" i="10"/>
  <c r="GQ34" i="10"/>
  <c r="GP34" i="10"/>
  <c r="GO34" i="10"/>
  <c r="GN34" i="10"/>
  <c r="GM34" i="10"/>
  <c r="GL34" i="10"/>
  <c r="GK34" i="10"/>
  <c r="GJ34" i="10"/>
  <c r="GI34" i="10"/>
  <c r="GH34" i="10"/>
  <c r="GG34" i="10"/>
  <c r="GF34" i="10"/>
  <c r="GE34" i="10"/>
  <c r="GD34" i="10"/>
  <c r="GC34" i="10"/>
  <c r="GB34" i="10"/>
  <c r="GA34" i="10"/>
  <c r="FZ34" i="10"/>
  <c r="FY34" i="10"/>
  <c r="FX34" i="10"/>
  <c r="FW34" i="10"/>
  <c r="FV34" i="10"/>
  <c r="FU34" i="10"/>
  <c r="FT34" i="10"/>
  <c r="FS34" i="10"/>
  <c r="FR34" i="10"/>
  <c r="FQ34" i="10"/>
  <c r="FP34" i="10"/>
  <c r="FO34" i="10"/>
  <c r="FN34" i="10"/>
  <c r="FM34" i="10"/>
  <c r="FL34" i="10"/>
  <c r="FK34" i="10"/>
  <c r="FJ34" i="10"/>
  <c r="FI34" i="10"/>
  <c r="FH34" i="10"/>
  <c r="FG34" i="10"/>
  <c r="FF34" i="10"/>
  <c r="FE34" i="10"/>
  <c r="FD34" i="10"/>
  <c r="FC34" i="10"/>
  <c r="GU33" i="10"/>
  <c r="GT33" i="10"/>
  <c r="GS33" i="10"/>
  <c r="GR33" i="10"/>
  <c r="GQ33" i="10"/>
  <c r="GP33" i="10"/>
  <c r="GO33" i="10"/>
  <c r="GN33" i="10"/>
  <c r="GM33" i="10"/>
  <c r="GL33" i="10"/>
  <c r="GK33" i="10"/>
  <c r="GJ33" i="10"/>
  <c r="GI33" i="10"/>
  <c r="GH33" i="10"/>
  <c r="GG33" i="10"/>
  <c r="GF33" i="10"/>
  <c r="GE33" i="10"/>
  <c r="GD33" i="10"/>
  <c r="GC33" i="10"/>
  <c r="GB33" i="10"/>
  <c r="GA33" i="10"/>
  <c r="FZ33" i="10"/>
  <c r="FY33" i="10"/>
  <c r="FX33" i="10"/>
  <c r="FW33" i="10"/>
  <c r="FV33" i="10"/>
  <c r="FU33" i="10"/>
  <c r="FT33" i="10"/>
  <c r="FS33" i="10"/>
  <c r="FR33" i="10"/>
  <c r="FQ33" i="10"/>
  <c r="FP33" i="10"/>
  <c r="FO33" i="10"/>
  <c r="FN33" i="10"/>
  <c r="FM33" i="10"/>
  <c r="FL33" i="10"/>
  <c r="FK33" i="10"/>
  <c r="FJ33" i="10"/>
  <c r="FI33" i="10"/>
  <c r="FH33" i="10"/>
  <c r="FG33" i="10"/>
  <c r="FF33" i="10"/>
  <c r="FE33" i="10"/>
  <c r="FD33" i="10"/>
  <c r="FC33" i="10"/>
  <c r="GU32" i="10"/>
  <c r="GT32" i="10"/>
  <c r="GS32" i="10"/>
  <c r="GR32" i="10"/>
  <c r="GQ32" i="10"/>
  <c r="GP32" i="10"/>
  <c r="GO32" i="10"/>
  <c r="GN32" i="10"/>
  <c r="GM32" i="10"/>
  <c r="GL32" i="10"/>
  <c r="GK32" i="10"/>
  <c r="GJ32" i="10"/>
  <c r="GI32" i="10"/>
  <c r="GH32" i="10"/>
  <c r="GG32" i="10"/>
  <c r="GF32" i="10"/>
  <c r="GE32" i="10"/>
  <c r="GD32" i="10"/>
  <c r="GC32" i="10"/>
  <c r="GB32" i="10"/>
  <c r="GA32" i="10"/>
  <c r="FZ32" i="10"/>
  <c r="FY32" i="10"/>
  <c r="FX32" i="10"/>
  <c r="FW32" i="10"/>
  <c r="FV32" i="10"/>
  <c r="FU32" i="10"/>
  <c r="FT32" i="10"/>
  <c r="FS32" i="10"/>
  <c r="FR32" i="10"/>
  <c r="FQ32" i="10"/>
  <c r="FP32" i="10"/>
  <c r="FO32" i="10"/>
  <c r="FN32" i="10"/>
  <c r="FM32" i="10"/>
  <c r="FL32" i="10"/>
  <c r="FK32" i="10"/>
  <c r="FJ32" i="10"/>
  <c r="FI32" i="10"/>
  <c r="FH32" i="10"/>
  <c r="FG32" i="10"/>
  <c r="FF32" i="10"/>
  <c r="FE32" i="10"/>
  <c r="FD32" i="10"/>
  <c r="FC32" i="10"/>
  <c r="GU31" i="10"/>
  <c r="GT31" i="10"/>
  <c r="GS31" i="10"/>
  <c r="GR31" i="10"/>
  <c r="GQ31" i="10"/>
  <c r="GP31" i="10"/>
  <c r="GO31" i="10"/>
  <c r="GN31" i="10"/>
  <c r="GM31" i="10"/>
  <c r="GL31" i="10"/>
  <c r="GK31" i="10"/>
  <c r="GJ31" i="10"/>
  <c r="GI31" i="10"/>
  <c r="GH31" i="10"/>
  <c r="GG31" i="10"/>
  <c r="GF31" i="10"/>
  <c r="GE31" i="10"/>
  <c r="GD31" i="10"/>
  <c r="GC31" i="10"/>
  <c r="GB31" i="10"/>
  <c r="GA31" i="10"/>
  <c r="FZ31" i="10"/>
  <c r="FY31" i="10"/>
  <c r="FX31" i="10"/>
  <c r="FW31" i="10"/>
  <c r="FV31" i="10"/>
  <c r="FU31" i="10"/>
  <c r="FT31" i="10"/>
  <c r="FS31" i="10"/>
  <c r="FR31" i="10"/>
  <c r="FQ31" i="10"/>
  <c r="FP31" i="10"/>
  <c r="FO31" i="10"/>
  <c r="FN31" i="10"/>
  <c r="FM31" i="10"/>
  <c r="FL31" i="10"/>
  <c r="FK31" i="10"/>
  <c r="FJ31" i="10"/>
  <c r="FI31" i="10"/>
  <c r="FH31" i="10"/>
  <c r="FG31" i="10"/>
  <c r="FF31" i="10"/>
  <c r="FE31" i="10"/>
  <c r="FD31" i="10"/>
  <c r="FC31" i="10"/>
  <c r="GU30" i="10"/>
  <c r="GT30" i="10"/>
  <c r="GS30" i="10"/>
  <c r="GR30" i="10"/>
  <c r="GQ30" i="10"/>
  <c r="GP30" i="10"/>
  <c r="GO30" i="10"/>
  <c r="GN30" i="10"/>
  <c r="GM30" i="10"/>
  <c r="GL30" i="10"/>
  <c r="GK30" i="10"/>
  <c r="GJ30" i="10"/>
  <c r="GI30" i="10"/>
  <c r="GH30" i="10"/>
  <c r="GG30" i="10"/>
  <c r="GF30" i="10"/>
  <c r="GE30" i="10"/>
  <c r="GD30" i="10"/>
  <c r="GC30" i="10"/>
  <c r="GB30" i="10"/>
  <c r="GA30" i="10"/>
  <c r="FZ30" i="10"/>
  <c r="FY30" i="10"/>
  <c r="FX30" i="10"/>
  <c r="FW30" i="10"/>
  <c r="FV30" i="10"/>
  <c r="FU30" i="10"/>
  <c r="FT30" i="10"/>
  <c r="FS30" i="10"/>
  <c r="FR30" i="10"/>
  <c r="FQ30" i="10"/>
  <c r="FP30" i="10"/>
  <c r="FO30" i="10"/>
  <c r="FN30" i="10"/>
  <c r="FM30" i="10"/>
  <c r="FL30" i="10"/>
  <c r="FK30" i="10"/>
  <c r="FJ30" i="10"/>
  <c r="FI30" i="10"/>
  <c r="FH30" i="10"/>
  <c r="FG30" i="10"/>
  <c r="FF30" i="10"/>
  <c r="FE30" i="10"/>
  <c r="FD30" i="10"/>
  <c r="FC30" i="10"/>
  <c r="GU29" i="10"/>
  <c r="GT29" i="10"/>
  <c r="GS29" i="10"/>
  <c r="GR29" i="10"/>
  <c r="GQ29" i="10"/>
  <c r="GP29" i="10"/>
  <c r="GO29" i="10"/>
  <c r="GN29" i="10"/>
  <c r="GM29" i="10"/>
  <c r="GL29" i="10"/>
  <c r="GK29" i="10"/>
  <c r="GJ29" i="10"/>
  <c r="GI29" i="10"/>
  <c r="GH29" i="10"/>
  <c r="GG29" i="10"/>
  <c r="GF29" i="10"/>
  <c r="GE29" i="10"/>
  <c r="GD29" i="10"/>
  <c r="GC29" i="10"/>
  <c r="GB29" i="10"/>
  <c r="GA29" i="10"/>
  <c r="FZ29" i="10"/>
  <c r="FY29" i="10"/>
  <c r="FX29" i="10"/>
  <c r="FW29" i="10"/>
  <c r="FV29" i="10"/>
  <c r="FU29" i="10"/>
  <c r="FT29" i="10"/>
  <c r="FS29" i="10"/>
  <c r="FR29" i="10"/>
  <c r="FQ29" i="10"/>
  <c r="FP29" i="10"/>
  <c r="FO29" i="10"/>
  <c r="FN29" i="10"/>
  <c r="FM29" i="10"/>
  <c r="FL29" i="10"/>
  <c r="FK29" i="10"/>
  <c r="FJ29" i="10"/>
  <c r="FI29" i="10"/>
  <c r="FH29" i="10"/>
  <c r="FG29" i="10"/>
  <c r="FF29" i="10"/>
  <c r="FE29" i="10"/>
  <c r="FD29" i="10"/>
  <c r="FC29" i="10"/>
  <c r="GU28" i="10"/>
  <c r="GT28" i="10"/>
  <c r="GS28" i="10"/>
  <c r="GR28" i="10"/>
  <c r="GQ28" i="10"/>
  <c r="GP28" i="10"/>
  <c r="GO28" i="10"/>
  <c r="GN28" i="10"/>
  <c r="GM28" i="10"/>
  <c r="GL28" i="10"/>
  <c r="GK28" i="10"/>
  <c r="GJ28" i="10"/>
  <c r="GI28" i="10"/>
  <c r="GH28" i="10"/>
  <c r="GG28" i="10"/>
  <c r="GF28" i="10"/>
  <c r="GE28" i="10"/>
  <c r="GD28" i="10"/>
  <c r="GC28" i="10"/>
  <c r="GB28" i="10"/>
  <c r="GA28" i="10"/>
  <c r="FZ28" i="10"/>
  <c r="FY28" i="10"/>
  <c r="FX28" i="10"/>
  <c r="FW28" i="10"/>
  <c r="FV28" i="10"/>
  <c r="FU28" i="10"/>
  <c r="FT28" i="10"/>
  <c r="FS28" i="10"/>
  <c r="FR28" i="10"/>
  <c r="FQ28" i="10"/>
  <c r="FP28" i="10"/>
  <c r="FO28" i="10"/>
  <c r="FN28" i="10"/>
  <c r="FM28" i="10"/>
  <c r="FL28" i="10"/>
  <c r="FK28" i="10"/>
  <c r="FJ28" i="10"/>
  <c r="FI28" i="10"/>
  <c r="FH28" i="10"/>
  <c r="FG28" i="10"/>
  <c r="FF28" i="10"/>
  <c r="FE28" i="10"/>
  <c r="FD28" i="10"/>
  <c r="FC28" i="10"/>
  <c r="GU27" i="10"/>
  <c r="GT27" i="10"/>
  <c r="GS27" i="10"/>
  <c r="GR27" i="10"/>
  <c r="GQ27" i="10"/>
  <c r="GP27" i="10"/>
  <c r="GO27" i="10"/>
  <c r="GN27" i="10"/>
  <c r="GM27" i="10"/>
  <c r="GL27" i="10"/>
  <c r="GK27" i="10"/>
  <c r="GJ27" i="10"/>
  <c r="GI27" i="10"/>
  <c r="GH27" i="10"/>
  <c r="GG27" i="10"/>
  <c r="GF27" i="10"/>
  <c r="GE27" i="10"/>
  <c r="GD27" i="10"/>
  <c r="GC27" i="10"/>
  <c r="GB27" i="10"/>
  <c r="GA27" i="10"/>
  <c r="FZ27" i="10"/>
  <c r="FY27" i="10"/>
  <c r="FX27" i="10"/>
  <c r="FW27" i="10"/>
  <c r="FV27" i="10"/>
  <c r="FU27" i="10"/>
  <c r="FT27" i="10"/>
  <c r="FS27" i="10"/>
  <c r="FR27" i="10"/>
  <c r="FQ27" i="10"/>
  <c r="FP27" i="10"/>
  <c r="FO27" i="10"/>
  <c r="FN27" i="10"/>
  <c r="FM27" i="10"/>
  <c r="FL27" i="10"/>
  <c r="FK27" i="10"/>
  <c r="FJ27" i="10"/>
  <c r="FI27" i="10"/>
  <c r="FH27" i="10"/>
  <c r="FG27" i="10"/>
  <c r="FF27" i="10"/>
  <c r="FE27" i="10"/>
  <c r="FD27" i="10"/>
  <c r="FC27" i="10"/>
  <c r="GU26" i="10"/>
  <c r="GT26" i="10"/>
  <c r="GS26" i="10"/>
  <c r="GR26" i="10"/>
  <c r="GQ26" i="10"/>
  <c r="GP26" i="10"/>
  <c r="GO26" i="10"/>
  <c r="GN26" i="10"/>
  <c r="GM26" i="10"/>
  <c r="GL26" i="10"/>
  <c r="GK26" i="10"/>
  <c r="GJ26" i="10"/>
  <c r="GI26" i="10"/>
  <c r="GH26" i="10"/>
  <c r="GG26" i="10"/>
  <c r="GF26" i="10"/>
  <c r="GE26" i="10"/>
  <c r="GD26" i="10"/>
  <c r="GC26" i="10"/>
  <c r="GB26" i="10"/>
  <c r="GA26" i="10"/>
  <c r="FZ26" i="10"/>
  <c r="FY26" i="10"/>
  <c r="FX26" i="10"/>
  <c r="FW26" i="10"/>
  <c r="FV26" i="10"/>
  <c r="FU26" i="10"/>
  <c r="FT26" i="10"/>
  <c r="FS26" i="10"/>
  <c r="FR26" i="10"/>
  <c r="FQ26" i="10"/>
  <c r="FP26" i="10"/>
  <c r="FO26" i="10"/>
  <c r="FN26" i="10"/>
  <c r="FM26" i="10"/>
  <c r="FL26" i="10"/>
  <c r="FK26" i="10"/>
  <c r="FJ26" i="10"/>
  <c r="FI26" i="10"/>
  <c r="FH26" i="10"/>
  <c r="FG26" i="10"/>
  <c r="FF26" i="10"/>
  <c r="FE26" i="10"/>
  <c r="FD26" i="10"/>
  <c r="FC26" i="10"/>
  <c r="GU25" i="10"/>
  <c r="GT25" i="10"/>
  <c r="GS25" i="10"/>
  <c r="GR25" i="10"/>
  <c r="GQ25" i="10"/>
  <c r="GP25" i="10"/>
  <c r="GO25" i="10"/>
  <c r="GN25" i="10"/>
  <c r="GM25" i="10"/>
  <c r="GL25" i="10"/>
  <c r="GK25" i="10"/>
  <c r="GJ25" i="10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FU25" i="10"/>
  <c r="FT25" i="10"/>
  <c r="FS25" i="10"/>
  <c r="FR25" i="10"/>
  <c r="FQ25" i="10"/>
  <c r="FP25" i="10"/>
  <c r="FO25" i="10"/>
  <c r="FN25" i="10"/>
  <c r="FM25" i="10"/>
  <c r="FL25" i="10"/>
  <c r="FK25" i="10"/>
  <c r="FJ25" i="10"/>
  <c r="FI25" i="10"/>
  <c r="FH25" i="10"/>
  <c r="FG25" i="10"/>
  <c r="FF25" i="10"/>
  <c r="FE25" i="10"/>
  <c r="FD25" i="10"/>
  <c r="FC25" i="10"/>
  <c r="GU24" i="10"/>
  <c r="GT24" i="10"/>
  <c r="GS24" i="10"/>
  <c r="GR24" i="10"/>
  <c r="GQ24" i="10"/>
  <c r="GP24" i="10"/>
  <c r="GO24" i="10"/>
  <c r="GN24" i="10"/>
  <c r="GM24" i="10"/>
  <c r="GL24" i="10"/>
  <c r="GK24" i="10"/>
  <c r="GJ24" i="10"/>
  <c r="GI24" i="10"/>
  <c r="GH24" i="10"/>
  <c r="GG24" i="10"/>
  <c r="GF24" i="10"/>
  <c r="GE24" i="10"/>
  <c r="GD24" i="10"/>
  <c r="GC24" i="10"/>
  <c r="GB24" i="10"/>
  <c r="GA24" i="10"/>
  <c r="FZ24" i="10"/>
  <c r="FY24" i="10"/>
  <c r="FX24" i="10"/>
  <c r="FW24" i="10"/>
  <c r="FV24" i="10"/>
  <c r="FU24" i="10"/>
  <c r="FT24" i="10"/>
  <c r="FS24" i="10"/>
  <c r="FR24" i="10"/>
  <c r="FQ24" i="10"/>
  <c r="FP24" i="10"/>
  <c r="FO24" i="10"/>
  <c r="FN24" i="10"/>
  <c r="FM24" i="10"/>
  <c r="FL24" i="10"/>
  <c r="FK24" i="10"/>
  <c r="FJ24" i="10"/>
  <c r="FI24" i="10"/>
  <c r="FH24" i="10"/>
  <c r="FG24" i="10"/>
  <c r="FF24" i="10"/>
  <c r="FE24" i="10"/>
  <c r="FD24" i="10"/>
  <c r="FC24" i="10"/>
  <c r="GU23" i="10"/>
  <c r="GT23" i="10"/>
  <c r="GS23" i="10"/>
  <c r="GR23" i="10"/>
  <c r="GQ23" i="10"/>
  <c r="GP23" i="10"/>
  <c r="GO23" i="10"/>
  <c r="GN23" i="10"/>
  <c r="GM23" i="10"/>
  <c r="GL23" i="10"/>
  <c r="GK23" i="10"/>
  <c r="GJ23" i="10"/>
  <c r="GI23" i="10"/>
  <c r="GH23" i="10"/>
  <c r="GG23" i="10"/>
  <c r="GF23" i="10"/>
  <c r="GE23" i="10"/>
  <c r="GD23" i="10"/>
  <c r="GC23" i="10"/>
  <c r="GB23" i="10"/>
  <c r="GA23" i="10"/>
  <c r="FZ23" i="10"/>
  <c r="FY23" i="10"/>
  <c r="FX23" i="10"/>
  <c r="FW23" i="10"/>
  <c r="FV23" i="10"/>
  <c r="FU23" i="10"/>
  <c r="FT23" i="10"/>
  <c r="FS23" i="10"/>
  <c r="FR23" i="10"/>
  <c r="FQ23" i="10"/>
  <c r="FP23" i="10"/>
  <c r="FO23" i="10"/>
  <c r="FN23" i="10"/>
  <c r="FM23" i="10"/>
  <c r="FL23" i="10"/>
  <c r="FK23" i="10"/>
  <c r="FJ23" i="10"/>
  <c r="FI23" i="10"/>
  <c r="FH23" i="10"/>
  <c r="FG23" i="10"/>
  <c r="FF23" i="10"/>
  <c r="FE23" i="10"/>
  <c r="FD23" i="10"/>
  <c r="FC23" i="10"/>
  <c r="GU22" i="10"/>
  <c r="GT22" i="10"/>
  <c r="GS22" i="10"/>
  <c r="GR22" i="10"/>
  <c r="GQ22" i="10"/>
  <c r="GP22" i="10"/>
  <c r="GO22" i="10"/>
  <c r="GN22" i="10"/>
  <c r="GM22" i="10"/>
  <c r="GL22" i="10"/>
  <c r="GK22" i="10"/>
  <c r="GJ22" i="10"/>
  <c r="GI22" i="10"/>
  <c r="GH22" i="10"/>
  <c r="GG22" i="10"/>
  <c r="GF22" i="10"/>
  <c r="GE22" i="10"/>
  <c r="GD22" i="10"/>
  <c r="GC22" i="10"/>
  <c r="GB22" i="10"/>
  <c r="GA22" i="10"/>
  <c r="FZ22" i="10"/>
  <c r="FY22" i="10"/>
  <c r="FX22" i="10"/>
  <c r="FW22" i="10"/>
  <c r="FV22" i="10"/>
  <c r="FU22" i="10"/>
  <c r="FT22" i="10"/>
  <c r="FS22" i="10"/>
  <c r="FR22" i="10"/>
  <c r="FQ22" i="10"/>
  <c r="FP22" i="10"/>
  <c r="FO22" i="10"/>
  <c r="FN22" i="10"/>
  <c r="FM22" i="10"/>
  <c r="FL22" i="10"/>
  <c r="FK22" i="10"/>
  <c r="FJ22" i="10"/>
  <c r="FI22" i="10"/>
  <c r="FH22" i="10"/>
  <c r="FG22" i="10"/>
  <c r="FF22" i="10"/>
  <c r="FE22" i="10"/>
  <c r="FD22" i="10"/>
  <c r="FC22" i="10"/>
  <c r="GU21" i="10"/>
  <c r="GT21" i="10"/>
  <c r="GS21" i="10"/>
  <c r="GR21" i="10"/>
  <c r="GQ21" i="10"/>
  <c r="GP21" i="10"/>
  <c r="GO21" i="10"/>
  <c r="GN21" i="10"/>
  <c r="GM21" i="10"/>
  <c r="GL21" i="10"/>
  <c r="GK21" i="10"/>
  <c r="GJ21" i="10"/>
  <c r="GI21" i="10"/>
  <c r="GH21" i="10"/>
  <c r="GG21" i="10"/>
  <c r="GF21" i="10"/>
  <c r="GE21" i="10"/>
  <c r="GD21" i="10"/>
  <c r="GC21" i="10"/>
  <c r="GB21" i="10"/>
  <c r="GA21" i="10"/>
  <c r="FZ21" i="10"/>
  <c r="FY21" i="10"/>
  <c r="FX21" i="10"/>
  <c r="FW21" i="10"/>
  <c r="FV21" i="10"/>
  <c r="FU21" i="10"/>
  <c r="FT21" i="10"/>
  <c r="FS21" i="10"/>
  <c r="FR21" i="10"/>
  <c r="FQ21" i="10"/>
  <c r="FP21" i="10"/>
  <c r="FO21" i="10"/>
  <c r="FN21" i="10"/>
  <c r="FM21" i="10"/>
  <c r="FL21" i="10"/>
  <c r="FK21" i="10"/>
  <c r="FJ21" i="10"/>
  <c r="FI21" i="10"/>
  <c r="FH21" i="10"/>
  <c r="FG21" i="10"/>
  <c r="FF21" i="10"/>
  <c r="FE21" i="10"/>
  <c r="FD21" i="10"/>
  <c r="FC21" i="10"/>
  <c r="GU20" i="10"/>
  <c r="GT20" i="10"/>
  <c r="GS20" i="10"/>
  <c r="GR20" i="10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GU19" i="10"/>
  <c r="GT19" i="10"/>
  <c r="GS19" i="10"/>
  <c r="GR19" i="10"/>
  <c r="GQ19" i="10"/>
  <c r="GP19" i="10"/>
  <c r="GO19" i="10"/>
  <c r="GN19" i="10"/>
  <c r="GM19" i="10"/>
  <c r="GL19" i="10"/>
  <c r="GK19" i="10"/>
  <c r="GJ19" i="10"/>
  <c r="GI19" i="10"/>
  <c r="GH19" i="10"/>
  <c r="GG19" i="10"/>
  <c r="GF19" i="10"/>
  <c r="GE19" i="10"/>
  <c r="GD19" i="10"/>
  <c r="GC19" i="10"/>
  <c r="GB19" i="10"/>
  <c r="GA19" i="10"/>
  <c r="FZ19" i="10"/>
  <c r="FY19" i="10"/>
  <c r="FX19" i="10"/>
  <c r="FW19" i="10"/>
  <c r="FV19" i="10"/>
  <c r="FU19" i="10"/>
  <c r="FT19" i="10"/>
  <c r="FS19" i="10"/>
  <c r="FR19" i="10"/>
  <c r="FQ19" i="10"/>
  <c r="FP19" i="10"/>
  <c r="FO19" i="10"/>
  <c r="FN19" i="10"/>
  <c r="FM19" i="10"/>
  <c r="FL19" i="10"/>
  <c r="FK19" i="10"/>
  <c r="FJ19" i="10"/>
  <c r="FI19" i="10"/>
  <c r="FH19" i="10"/>
  <c r="FG19" i="10"/>
  <c r="FF19" i="10"/>
  <c r="FE19" i="10"/>
  <c r="FD19" i="10"/>
  <c r="FC19" i="10"/>
  <c r="GU18" i="10"/>
  <c r="GT18" i="10"/>
  <c r="GS18" i="10"/>
  <c r="GR18" i="10"/>
  <c r="GQ18" i="10"/>
  <c r="GP18" i="10"/>
  <c r="GO18" i="10"/>
  <c r="GN18" i="10"/>
  <c r="GM18" i="10"/>
  <c r="GL18" i="10"/>
  <c r="GK18" i="10"/>
  <c r="GJ18" i="10"/>
  <c r="GI18" i="10"/>
  <c r="GH18" i="10"/>
  <c r="GG18" i="10"/>
  <c r="GF18" i="10"/>
  <c r="GE18" i="10"/>
  <c r="GD18" i="10"/>
  <c r="GC18" i="10"/>
  <c r="GB18" i="10"/>
  <c r="GA18" i="10"/>
  <c r="FZ18" i="10"/>
  <c r="FY18" i="10"/>
  <c r="FX18" i="10"/>
  <c r="FW18" i="10"/>
  <c r="FV18" i="10"/>
  <c r="FU18" i="10"/>
  <c r="FT18" i="10"/>
  <c r="FS18" i="10"/>
  <c r="FR18" i="10"/>
  <c r="FQ18" i="10"/>
  <c r="FP18" i="10"/>
  <c r="FO18" i="10"/>
  <c r="FN18" i="10"/>
  <c r="FM18" i="10"/>
  <c r="FL18" i="10"/>
  <c r="FK18" i="10"/>
  <c r="FJ18" i="10"/>
  <c r="FI18" i="10"/>
  <c r="FH18" i="10"/>
  <c r="FG18" i="10"/>
  <c r="FF18" i="10"/>
  <c r="FE18" i="10"/>
  <c r="FD18" i="10"/>
  <c r="FC18" i="10"/>
  <c r="GU17" i="10"/>
  <c r="GT17" i="10"/>
  <c r="GS17" i="10"/>
  <c r="GR17" i="10"/>
  <c r="GQ17" i="10"/>
  <c r="GP17" i="10"/>
  <c r="GO17" i="10"/>
  <c r="GN17" i="10"/>
  <c r="GM17" i="10"/>
  <c r="GL17" i="10"/>
  <c r="GK17" i="10"/>
  <c r="GJ17" i="10"/>
  <c r="GI17" i="10"/>
  <c r="GH17" i="10"/>
  <c r="GG17" i="10"/>
  <c r="GF17" i="10"/>
  <c r="GE17" i="10"/>
  <c r="GD17" i="10"/>
  <c r="GC17" i="10"/>
  <c r="GB17" i="10"/>
  <c r="GA17" i="10"/>
  <c r="FZ17" i="10"/>
  <c r="FY17" i="10"/>
  <c r="FX17" i="10"/>
  <c r="FW17" i="10"/>
  <c r="FV17" i="10"/>
  <c r="FU17" i="10"/>
  <c r="FT17" i="10"/>
  <c r="FS17" i="10"/>
  <c r="FR17" i="10"/>
  <c r="FQ17" i="10"/>
  <c r="FP17" i="10"/>
  <c r="FO17" i="10"/>
  <c r="FN17" i="10"/>
  <c r="FM17" i="10"/>
  <c r="FL17" i="10"/>
  <c r="FK17" i="10"/>
  <c r="FJ17" i="10"/>
  <c r="FI17" i="10"/>
  <c r="FH17" i="10"/>
  <c r="FG17" i="10"/>
  <c r="FF17" i="10"/>
  <c r="FE17" i="10"/>
  <c r="FD17" i="10"/>
  <c r="FC17" i="10"/>
  <c r="GU16" i="10"/>
  <c r="GT16" i="10"/>
  <c r="GS16" i="10"/>
  <c r="GR16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GA16" i="10"/>
  <c r="FZ16" i="10"/>
  <c r="FY16" i="10"/>
  <c r="FX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GU15" i="10"/>
  <c r="GT15" i="10"/>
  <c r="GS15" i="10"/>
  <c r="GR15" i="10"/>
  <c r="GQ15" i="10"/>
  <c r="GP15" i="10"/>
  <c r="GO15" i="10"/>
  <c r="GN15" i="10"/>
  <c r="GM15" i="10"/>
  <c r="GL15" i="10"/>
  <c r="GK15" i="10"/>
  <c r="GJ15" i="10"/>
  <c r="GI15" i="10"/>
  <c r="GH15" i="10"/>
  <c r="GG15" i="10"/>
  <c r="GF15" i="10"/>
  <c r="GE15" i="10"/>
  <c r="GD15" i="10"/>
  <c r="GC15" i="10"/>
  <c r="GB15" i="10"/>
  <c r="GA15" i="10"/>
  <c r="FZ15" i="10"/>
  <c r="FY15" i="10"/>
  <c r="FX15" i="10"/>
  <c r="FW15" i="10"/>
  <c r="FV15" i="10"/>
  <c r="FU15" i="10"/>
  <c r="FT15" i="10"/>
  <c r="FS15" i="10"/>
  <c r="FR15" i="10"/>
  <c r="FQ15" i="10"/>
  <c r="FP15" i="10"/>
  <c r="FO15" i="10"/>
  <c r="FN15" i="10"/>
  <c r="FM15" i="10"/>
  <c r="FL15" i="10"/>
  <c r="FK15" i="10"/>
  <c r="FJ15" i="10"/>
  <c r="FI15" i="10"/>
  <c r="FH15" i="10"/>
  <c r="FG15" i="10"/>
  <c r="FF15" i="10"/>
  <c r="FE15" i="10"/>
  <c r="FD15" i="10"/>
  <c r="FC15" i="10"/>
  <c r="GU14" i="10"/>
  <c r="GT14" i="10"/>
  <c r="GS14" i="10"/>
  <c r="GR14" i="10"/>
  <c r="GQ14" i="10"/>
  <c r="GP14" i="10"/>
  <c r="GO14" i="10"/>
  <c r="GN14" i="10"/>
  <c r="GM14" i="10"/>
  <c r="GL14" i="10"/>
  <c r="GK14" i="10"/>
  <c r="GJ14" i="10"/>
  <c r="GI14" i="10"/>
  <c r="GH14" i="10"/>
  <c r="GG14" i="10"/>
  <c r="GF14" i="10"/>
  <c r="GE14" i="10"/>
  <c r="GD14" i="10"/>
  <c r="GC14" i="10"/>
  <c r="GB14" i="10"/>
  <c r="GA14" i="10"/>
  <c r="FZ14" i="10"/>
  <c r="FY14" i="10"/>
  <c r="FX14" i="10"/>
  <c r="FW14" i="10"/>
  <c r="FV14" i="10"/>
  <c r="FU14" i="10"/>
  <c r="FT14" i="10"/>
  <c r="FS14" i="10"/>
  <c r="FR14" i="10"/>
  <c r="FQ14" i="10"/>
  <c r="FP14" i="10"/>
  <c r="FO14" i="10"/>
  <c r="FN14" i="10"/>
  <c r="FM14" i="10"/>
  <c r="FL14" i="10"/>
  <c r="FK14" i="10"/>
  <c r="FJ14" i="10"/>
  <c r="FI14" i="10"/>
  <c r="FH14" i="10"/>
  <c r="FG14" i="10"/>
  <c r="FF14" i="10"/>
  <c r="FE14" i="10"/>
  <c r="FD14" i="10"/>
  <c r="FC14" i="10"/>
  <c r="GU13" i="10"/>
  <c r="GT13" i="10"/>
  <c r="GS13" i="10"/>
  <c r="GR13" i="10"/>
  <c r="GQ13" i="10"/>
  <c r="GP13" i="10"/>
  <c r="GO13" i="10"/>
  <c r="GN13" i="10"/>
  <c r="GM13" i="10"/>
  <c r="GL13" i="10"/>
  <c r="GK13" i="10"/>
  <c r="GJ13" i="10"/>
  <c r="GI13" i="10"/>
  <c r="GH13" i="10"/>
  <c r="GG13" i="10"/>
  <c r="GF13" i="10"/>
  <c r="GE13" i="10"/>
  <c r="GD13" i="10"/>
  <c r="GC13" i="10"/>
  <c r="GB13" i="10"/>
  <c r="GA13" i="10"/>
  <c r="FZ13" i="10"/>
  <c r="FY13" i="10"/>
  <c r="FX13" i="10"/>
  <c r="FW13" i="10"/>
  <c r="FV13" i="10"/>
  <c r="FU13" i="10"/>
  <c r="FT13" i="10"/>
  <c r="FS13" i="10"/>
  <c r="FR13" i="10"/>
  <c r="FQ13" i="10"/>
  <c r="FP13" i="10"/>
  <c r="FO13" i="10"/>
  <c r="FN13" i="10"/>
  <c r="FM13" i="10"/>
  <c r="FL13" i="10"/>
  <c r="FK13" i="10"/>
  <c r="FJ13" i="10"/>
  <c r="FI13" i="10"/>
  <c r="FH13" i="10"/>
  <c r="FG13" i="10"/>
  <c r="FF13" i="10"/>
  <c r="FE13" i="10"/>
  <c r="FD13" i="10"/>
  <c r="FC13" i="10"/>
  <c r="GU12" i="10"/>
  <c r="GT12" i="10"/>
  <c r="GS12" i="10"/>
  <c r="GR12" i="10"/>
  <c r="GQ12" i="10"/>
  <c r="GP12" i="10"/>
  <c r="GO12" i="10"/>
  <c r="GN12" i="10"/>
  <c r="GM12" i="10"/>
  <c r="GL12" i="10"/>
  <c r="GK12" i="10"/>
  <c r="GJ12" i="10"/>
  <c r="GI12" i="10"/>
  <c r="GH12" i="10"/>
  <c r="GG12" i="10"/>
  <c r="GF12" i="10"/>
  <c r="GE12" i="10"/>
  <c r="GD12" i="10"/>
  <c r="GC12" i="10"/>
  <c r="GB12" i="10"/>
  <c r="GA12" i="10"/>
  <c r="FZ12" i="10"/>
  <c r="FY12" i="10"/>
  <c r="FX12" i="10"/>
  <c r="FW12" i="10"/>
  <c r="FV12" i="10"/>
  <c r="FU12" i="10"/>
  <c r="FT12" i="10"/>
  <c r="FS12" i="10"/>
  <c r="FR12" i="10"/>
  <c r="FQ12" i="10"/>
  <c r="FP12" i="10"/>
  <c r="FO12" i="10"/>
  <c r="FN12" i="10"/>
  <c r="FM12" i="10"/>
  <c r="FL12" i="10"/>
  <c r="FK12" i="10"/>
  <c r="FJ12" i="10"/>
  <c r="FI12" i="10"/>
  <c r="FH12" i="10"/>
  <c r="FG12" i="10"/>
  <c r="FF12" i="10"/>
  <c r="FE12" i="10"/>
  <c r="FD12" i="10"/>
  <c r="FC12" i="10"/>
  <c r="GU11" i="10"/>
  <c r="GT11" i="10"/>
  <c r="GS11" i="10"/>
  <c r="GR11" i="10"/>
  <c r="GQ11" i="10"/>
  <c r="GP11" i="10"/>
  <c r="GO11" i="10"/>
  <c r="GN11" i="10"/>
  <c r="GM11" i="10"/>
  <c r="GL11" i="10"/>
  <c r="GK11" i="10"/>
  <c r="GJ11" i="10"/>
  <c r="GI11" i="10"/>
  <c r="GH11" i="10"/>
  <c r="GG11" i="10"/>
  <c r="GF11" i="10"/>
  <c r="GE11" i="10"/>
  <c r="GD11" i="10"/>
  <c r="GC11" i="10"/>
  <c r="GB11" i="10"/>
  <c r="GA11" i="10"/>
  <c r="FZ11" i="10"/>
  <c r="FY11" i="10"/>
  <c r="FX11" i="10"/>
  <c r="FW11" i="10"/>
  <c r="FV11" i="10"/>
  <c r="FU11" i="10"/>
  <c r="FT11" i="10"/>
  <c r="FS11" i="10"/>
  <c r="FR11" i="10"/>
  <c r="FQ11" i="10"/>
  <c r="FP11" i="10"/>
  <c r="FO11" i="10"/>
  <c r="FN11" i="10"/>
  <c r="FM11" i="10"/>
  <c r="FL11" i="10"/>
  <c r="FK11" i="10"/>
  <c r="FJ11" i="10"/>
  <c r="FI11" i="10"/>
  <c r="FH11" i="10"/>
  <c r="FG11" i="10"/>
  <c r="FF11" i="10"/>
  <c r="FE11" i="10"/>
  <c r="FD11" i="10"/>
  <c r="FC11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11" i="10"/>
  <c r="DQ114" i="10"/>
  <c r="EL66" i="10"/>
  <c r="EG66" i="10"/>
  <c r="EX50" i="10"/>
  <c r="EA33" i="10"/>
  <c r="EQ18" i="10"/>
  <c r="EK18" i="10"/>
  <c r="CJ272" i="10"/>
  <c r="CV269" i="10"/>
  <c r="CV266" i="10"/>
  <c r="BK265" i="10"/>
  <c r="CV261" i="10"/>
  <c r="BK235" i="10"/>
  <c r="BK228" i="10"/>
  <c r="BK221" i="10"/>
  <c r="BX220" i="10"/>
  <c r="BK214" i="10"/>
  <c r="BK212" i="10"/>
  <c r="CJ210" i="10"/>
  <c r="BK201" i="10"/>
  <c r="BL194" i="10"/>
  <c r="CV191" i="10"/>
  <c r="CV187" i="10"/>
  <c r="BK187" i="10"/>
  <c r="CJ183" i="10"/>
  <c r="BK182" i="10"/>
  <c r="BX180" i="10"/>
  <c r="BX179" i="10"/>
  <c r="BK178" i="10"/>
  <c r="CJ177" i="10"/>
  <c r="BX176" i="10"/>
  <c r="BK168" i="10"/>
  <c r="CJ163" i="10"/>
  <c r="CJ162" i="10"/>
  <c r="CV158" i="10"/>
  <c r="BK155" i="10"/>
  <c r="BK154" i="10"/>
  <c r="BW153" i="10"/>
  <c r="CV151" i="10"/>
  <c r="BK149" i="10"/>
  <c r="BT148" i="10"/>
  <c r="CV138" i="10"/>
  <c r="BK138" i="10"/>
  <c r="BW135" i="10"/>
  <c r="CJ134" i="10"/>
  <c r="BK134" i="10"/>
  <c r="BK133" i="10"/>
  <c r="CJ132" i="10"/>
  <c r="BL132" i="10"/>
  <c r="BK126" i="10"/>
  <c r="BK124" i="10"/>
  <c r="CJ122" i="10"/>
  <c r="BT122" i="10"/>
  <c r="BT119" i="10"/>
  <c r="CJ117" i="10"/>
  <c r="BW116" i="10"/>
  <c r="CV112" i="10"/>
  <c r="BW112" i="10"/>
  <c r="BL112" i="10"/>
  <c r="CJ111" i="10"/>
  <c r="CV110" i="10"/>
  <c r="BL110" i="10"/>
  <c r="BK108" i="10"/>
  <c r="CJ105" i="10"/>
  <c r="BT105" i="10"/>
  <c r="CV104" i="10"/>
  <c r="BK104" i="10"/>
  <c r="CJ103" i="10"/>
  <c r="BK103" i="10"/>
  <c r="CV101" i="10"/>
  <c r="CJ101" i="10"/>
  <c r="BX101" i="10"/>
  <c r="CV99" i="10"/>
  <c r="BL99" i="10"/>
  <c r="CJ98" i="10"/>
  <c r="BW97" i="10"/>
  <c r="CJ95" i="10"/>
  <c r="CJ90" i="10"/>
  <c r="CV89" i="10"/>
  <c r="BK89" i="10"/>
  <c r="BT88" i="10"/>
  <c r="BK88" i="10"/>
  <c r="BX86" i="10"/>
  <c r="BT86" i="10"/>
  <c r="BK83" i="10"/>
  <c r="CJ81" i="10"/>
  <c r="BL81" i="10"/>
  <c r="BK81" i="10"/>
  <c r="BK79" i="10"/>
  <c r="BX77" i="10"/>
  <c r="BX75" i="10"/>
  <c r="BW75" i="10"/>
  <c r="CV74" i="10"/>
  <c r="BX74" i="10"/>
  <c r="BL73" i="10"/>
  <c r="BL71" i="10"/>
  <c r="BK71" i="10"/>
  <c r="CJ70" i="10"/>
  <c r="BK70" i="10"/>
  <c r="CV69" i="10"/>
  <c r="BL69" i="10"/>
  <c r="CJ68" i="10"/>
  <c r="CV67" i="10"/>
  <c r="BK66" i="10"/>
  <c r="CJ65" i="10"/>
  <c r="BK65" i="10"/>
  <c r="BW64" i="10"/>
  <c r="CV63" i="10"/>
  <c r="CJ62" i="10"/>
  <c r="BK62" i="10"/>
  <c r="BK61" i="10"/>
  <c r="BX60" i="10"/>
  <c r="BK59" i="10"/>
  <c r="CJ58" i="10"/>
  <c r="BK57" i="10"/>
  <c r="BL55" i="10"/>
  <c r="CJ54" i="10"/>
  <c r="BT54" i="10"/>
  <c r="BL54" i="10"/>
  <c r="CJ53" i="10"/>
  <c r="CV52" i="10"/>
  <c r="CV51" i="10"/>
  <c r="CJ50" i="10"/>
  <c r="BK50" i="10"/>
  <c r="BK49" i="10"/>
  <c r="CJ48" i="10"/>
  <c r="BW48" i="10"/>
  <c r="BK48" i="10"/>
  <c r="BL46" i="10"/>
  <c r="BK46" i="10"/>
  <c r="BK44" i="10"/>
  <c r="CJ43" i="10"/>
  <c r="BK43" i="10"/>
  <c r="CV42" i="10"/>
  <c r="BX42" i="10"/>
  <c r="BK42" i="10"/>
  <c r="BT41" i="10"/>
  <c r="BT40" i="10"/>
  <c r="CV39" i="10"/>
  <c r="BT39" i="10"/>
  <c r="BX38" i="10"/>
  <c r="BK38" i="10"/>
  <c r="CJ37" i="10"/>
  <c r="BT37" i="10"/>
  <c r="CV36" i="10"/>
  <c r="BT35" i="10"/>
  <c r="BK35" i="10"/>
  <c r="BK34" i="10"/>
  <c r="BL33" i="10"/>
  <c r="BK33" i="10"/>
  <c r="BT32" i="10"/>
  <c r="BK32" i="10"/>
  <c r="CJ31" i="10"/>
  <c r="BL31" i="10"/>
  <c r="BK31" i="10"/>
  <c r="BL30" i="10"/>
  <c r="BK30" i="10"/>
  <c r="BT29" i="10"/>
  <c r="BL28" i="10"/>
  <c r="BK28" i="10"/>
  <c r="BK27" i="10"/>
  <c r="CJ26" i="10"/>
  <c r="BK26" i="10"/>
  <c r="BT25" i="10"/>
  <c r="CV24" i="10"/>
  <c r="CJ24" i="10"/>
  <c r="BT24" i="10"/>
  <c r="BK24" i="10"/>
  <c r="BK23" i="10"/>
  <c r="CJ22" i="10"/>
  <c r="BL22" i="10"/>
  <c r="BK22" i="10"/>
  <c r="CV21" i="10"/>
  <c r="BK20" i="10"/>
  <c r="BX19" i="10"/>
  <c r="BW19" i="10"/>
  <c r="BT19" i="10"/>
  <c r="BK19" i="10"/>
  <c r="BT18" i="10"/>
  <c r="CV17" i="10"/>
  <c r="BT17" i="10"/>
  <c r="BL17" i="10"/>
  <c r="BK17" i="10"/>
  <c r="BX16" i="10"/>
  <c r="BK16" i="10"/>
  <c r="BK15" i="10"/>
  <c r="CV14" i="10"/>
  <c r="BK14" i="10"/>
  <c r="CJ12" i="10"/>
  <c r="BK12" i="10"/>
  <c r="BK11" i="10"/>
  <c r="AZ8" i="10"/>
  <c r="CV236" i="10" s="1"/>
  <c r="AN8" i="10"/>
  <c r="CJ188" i="10" s="1"/>
  <c r="AB8" i="10"/>
  <c r="BX123" i="10" s="1"/>
  <c r="AA8" i="10"/>
  <c r="BW36" i="10" s="1"/>
  <c r="X8" i="10"/>
  <c r="BT12" i="10" s="1"/>
  <c r="P8" i="10"/>
  <c r="BL45" i="10" s="1"/>
  <c r="O8" i="10"/>
  <c r="BK56" i="10" s="1"/>
  <c r="AJ5" i="10"/>
  <c r="AV5" i="10" s="1"/>
  <c r="Y5" i="10"/>
  <c r="AK5" i="10" s="1"/>
  <c r="AW5" i="10" s="1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P4" i="10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P7" i="10"/>
  <c r="O7" i="10"/>
  <c r="AJ6" i="10"/>
  <c r="AA6" i="10"/>
  <c r="Y6" i="10"/>
  <c r="P5" i="10"/>
  <c r="Q5" i="10" s="1"/>
  <c r="P6" i="10"/>
  <c r="AB6" i="10" s="1"/>
  <c r="AN6" i="10" s="1"/>
  <c r="AZ6" i="10" s="1"/>
  <c r="J274" i="10"/>
  <c r="I274" i="10"/>
  <c r="J273" i="10"/>
  <c r="I273" i="10"/>
  <c r="K273" i="10" s="1"/>
  <c r="J272" i="10"/>
  <c r="I272" i="10"/>
  <c r="K272" i="10" s="1"/>
  <c r="J271" i="10"/>
  <c r="I271" i="10"/>
  <c r="K271" i="10" s="1"/>
  <c r="J270" i="10"/>
  <c r="I270" i="10"/>
  <c r="J269" i="10"/>
  <c r="I269" i="10"/>
  <c r="J268" i="10"/>
  <c r="I268" i="10"/>
  <c r="J267" i="10"/>
  <c r="I267" i="10"/>
  <c r="J266" i="10"/>
  <c r="I266" i="10"/>
  <c r="J265" i="10"/>
  <c r="I265" i="10"/>
  <c r="J264" i="10"/>
  <c r="I264" i="10"/>
  <c r="K264" i="10" s="1"/>
  <c r="J263" i="10"/>
  <c r="I263" i="10"/>
  <c r="J262" i="10"/>
  <c r="I262" i="10"/>
  <c r="K262" i="10" s="1"/>
  <c r="J261" i="10"/>
  <c r="I261" i="10"/>
  <c r="J260" i="10"/>
  <c r="I260" i="10"/>
  <c r="J259" i="10"/>
  <c r="I259" i="10"/>
  <c r="J258" i="10"/>
  <c r="I258" i="10"/>
  <c r="J257" i="10"/>
  <c r="I257" i="10"/>
  <c r="K257" i="10" s="1"/>
  <c r="J256" i="10"/>
  <c r="I256" i="10"/>
  <c r="K256" i="10" s="1"/>
  <c r="J255" i="10"/>
  <c r="I255" i="10"/>
  <c r="K255" i="10" s="1"/>
  <c r="J254" i="10"/>
  <c r="I254" i="10"/>
  <c r="J253" i="10"/>
  <c r="I253" i="10"/>
  <c r="J252" i="10"/>
  <c r="I252" i="10"/>
  <c r="J251" i="10"/>
  <c r="I251" i="10"/>
  <c r="J250" i="10"/>
  <c r="I250" i="10"/>
  <c r="J249" i="10"/>
  <c r="I249" i="10"/>
  <c r="J248" i="10"/>
  <c r="I248" i="10"/>
  <c r="J247" i="10"/>
  <c r="I247" i="10"/>
  <c r="K247" i="10" s="1"/>
  <c r="J246" i="10"/>
  <c r="I246" i="10"/>
  <c r="K246" i="10" s="1"/>
  <c r="J245" i="10"/>
  <c r="I245" i="10"/>
  <c r="J244" i="10"/>
  <c r="I244" i="10"/>
  <c r="J243" i="10"/>
  <c r="I243" i="10"/>
  <c r="J242" i="10"/>
  <c r="I242" i="10"/>
  <c r="K242" i="10" s="1"/>
  <c r="J241" i="10"/>
  <c r="I241" i="10"/>
  <c r="K241" i="10" s="1"/>
  <c r="J240" i="10"/>
  <c r="I240" i="10"/>
  <c r="K240" i="10" s="1"/>
  <c r="J239" i="10"/>
  <c r="I239" i="10"/>
  <c r="K239" i="10" s="1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K232" i="10" s="1"/>
  <c r="J231" i="10"/>
  <c r="I231" i="10"/>
  <c r="K231" i="10" s="1"/>
  <c r="J230" i="10"/>
  <c r="I230" i="10"/>
  <c r="J229" i="10"/>
  <c r="I229" i="10"/>
  <c r="J228" i="10"/>
  <c r="I228" i="10"/>
  <c r="J227" i="10"/>
  <c r="I227" i="10"/>
  <c r="J226" i="10"/>
  <c r="I226" i="10"/>
  <c r="K226" i="10" s="1"/>
  <c r="J225" i="10"/>
  <c r="I225" i="10"/>
  <c r="K225" i="10" s="1"/>
  <c r="J224" i="10"/>
  <c r="I224" i="10"/>
  <c r="K224" i="10" s="1"/>
  <c r="J223" i="10"/>
  <c r="I223" i="10"/>
  <c r="J222" i="10"/>
  <c r="I222" i="10"/>
  <c r="J221" i="10"/>
  <c r="I221" i="10"/>
  <c r="J220" i="10"/>
  <c r="I220" i="10"/>
  <c r="J219" i="10"/>
  <c r="I219" i="10"/>
  <c r="J218" i="10"/>
  <c r="I218" i="10"/>
  <c r="J217" i="10"/>
  <c r="I217" i="10"/>
  <c r="J216" i="10"/>
  <c r="I216" i="10"/>
  <c r="K216" i="10" s="1"/>
  <c r="J215" i="10"/>
  <c r="I215" i="10"/>
  <c r="J214" i="10"/>
  <c r="I214" i="10"/>
  <c r="K214" i="10" s="1"/>
  <c r="J213" i="10"/>
  <c r="I213" i="10"/>
  <c r="J212" i="10"/>
  <c r="I212" i="10"/>
  <c r="J211" i="10"/>
  <c r="I211" i="10"/>
  <c r="J210" i="10"/>
  <c r="I210" i="10"/>
  <c r="K210" i="10" s="1"/>
  <c r="J209" i="10"/>
  <c r="I209" i="10"/>
  <c r="K209" i="10" s="1"/>
  <c r="J208" i="10"/>
  <c r="I208" i="10"/>
  <c r="K208" i="10" s="1"/>
  <c r="J207" i="10"/>
  <c r="I207" i="10"/>
  <c r="K207" i="10" s="1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K200" i="10" s="1"/>
  <c r="J199" i="10"/>
  <c r="I199" i="10"/>
  <c r="K199" i="10" s="1"/>
  <c r="J198" i="10"/>
  <c r="I198" i="10"/>
  <c r="K198" i="10" s="1"/>
  <c r="J197" i="10"/>
  <c r="I197" i="10"/>
  <c r="J196" i="10"/>
  <c r="I196" i="10"/>
  <c r="J195" i="10"/>
  <c r="I195" i="10"/>
  <c r="J194" i="10"/>
  <c r="I194" i="10"/>
  <c r="K194" i="10" s="1"/>
  <c r="J193" i="10"/>
  <c r="I193" i="10"/>
  <c r="J192" i="10"/>
  <c r="I192" i="10"/>
  <c r="K192" i="10" s="1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I185" i="10"/>
  <c r="J184" i="10"/>
  <c r="I184" i="10"/>
  <c r="K184" i="10" s="1"/>
  <c r="J183" i="10"/>
  <c r="I183" i="10"/>
  <c r="K183" i="10" s="1"/>
  <c r="J182" i="10"/>
  <c r="I182" i="10"/>
  <c r="K182" i="10" s="1"/>
  <c r="J181" i="10"/>
  <c r="I181" i="10"/>
  <c r="J180" i="10"/>
  <c r="I180" i="10"/>
  <c r="J179" i="10"/>
  <c r="I179" i="10"/>
  <c r="J178" i="10"/>
  <c r="I178" i="10"/>
  <c r="J177" i="10"/>
  <c r="I177" i="10"/>
  <c r="K177" i="10" s="1"/>
  <c r="J176" i="10"/>
  <c r="I176" i="10"/>
  <c r="K176" i="10" s="1"/>
  <c r="J175" i="10"/>
  <c r="I175" i="10"/>
  <c r="K175" i="10" s="1"/>
  <c r="J174" i="10"/>
  <c r="I174" i="10"/>
  <c r="J173" i="10"/>
  <c r="I173" i="10"/>
  <c r="J172" i="10"/>
  <c r="I172" i="10"/>
  <c r="J171" i="10"/>
  <c r="I171" i="10"/>
  <c r="J170" i="10"/>
  <c r="I170" i="10"/>
  <c r="J169" i="10"/>
  <c r="I169" i="10"/>
  <c r="J168" i="10"/>
  <c r="I168" i="10"/>
  <c r="K168" i="10" s="1"/>
  <c r="J167" i="10"/>
  <c r="I167" i="10"/>
  <c r="K167" i="10" s="1"/>
  <c r="J166" i="10"/>
  <c r="I166" i="10"/>
  <c r="K166" i="10" s="1"/>
  <c r="J165" i="10"/>
  <c r="I165" i="10"/>
  <c r="J164" i="10"/>
  <c r="I164" i="10"/>
  <c r="J163" i="10"/>
  <c r="I163" i="10"/>
  <c r="J162" i="10"/>
  <c r="I162" i="10"/>
  <c r="K162" i="10" s="1"/>
  <c r="J161" i="10"/>
  <c r="I161" i="10"/>
  <c r="J160" i="10"/>
  <c r="I160" i="10"/>
  <c r="J159" i="10"/>
  <c r="I159" i="10"/>
  <c r="K159" i="10" s="1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K152" i="10" s="1"/>
  <c r="J151" i="10"/>
  <c r="I151" i="10"/>
  <c r="K151" i="10" s="1"/>
  <c r="J150" i="10"/>
  <c r="I150" i="10"/>
  <c r="K150" i="10" s="1"/>
  <c r="J149" i="10"/>
  <c r="I149" i="10"/>
  <c r="J148" i="10"/>
  <c r="I148" i="10"/>
  <c r="J147" i="10"/>
  <c r="I147" i="10"/>
  <c r="J146" i="10"/>
  <c r="I146" i="10"/>
  <c r="J145" i="10"/>
  <c r="I145" i="10"/>
  <c r="K145" i="10" s="1"/>
  <c r="J144" i="10"/>
  <c r="I144" i="10"/>
  <c r="K144" i="10" s="1"/>
  <c r="J143" i="10"/>
  <c r="I143" i="10"/>
  <c r="K143" i="10" s="1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K136" i="10" s="1"/>
  <c r="J135" i="10"/>
  <c r="I135" i="10"/>
  <c r="K135" i="10" s="1"/>
  <c r="J134" i="10"/>
  <c r="I134" i="10"/>
  <c r="K134" i="10" s="1"/>
  <c r="J133" i="10"/>
  <c r="I133" i="10"/>
  <c r="J132" i="10"/>
  <c r="I132" i="10"/>
  <c r="J131" i="10"/>
  <c r="I131" i="10"/>
  <c r="J130" i="10"/>
  <c r="I130" i="10"/>
  <c r="J129" i="10"/>
  <c r="I129" i="10"/>
  <c r="K129" i="10" s="1"/>
  <c r="J128" i="10"/>
  <c r="I128" i="10"/>
  <c r="K128" i="10" s="1"/>
  <c r="J127" i="10"/>
  <c r="I127" i="10"/>
  <c r="J126" i="10"/>
  <c r="I126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K120" i="10" s="1"/>
  <c r="J119" i="10"/>
  <c r="I119" i="10"/>
  <c r="K119" i="10" s="1"/>
  <c r="J118" i="10"/>
  <c r="I118" i="10"/>
  <c r="J117" i="10"/>
  <c r="I117" i="10"/>
  <c r="J116" i="10"/>
  <c r="I116" i="10"/>
  <c r="J115" i="10"/>
  <c r="I115" i="10"/>
  <c r="J114" i="10"/>
  <c r="I114" i="10"/>
  <c r="K114" i="10" s="1"/>
  <c r="J113" i="10"/>
  <c r="I113" i="10"/>
  <c r="K113" i="10" s="1"/>
  <c r="J112" i="10"/>
  <c r="I112" i="10"/>
  <c r="K112" i="10" s="1"/>
  <c r="DZ112" i="10" s="1"/>
  <c r="J111" i="10"/>
  <c r="I111" i="10"/>
  <c r="K111" i="10" s="1"/>
  <c r="J110" i="10"/>
  <c r="I110" i="10"/>
  <c r="J109" i="10"/>
  <c r="I109" i="10"/>
  <c r="J108" i="10"/>
  <c r="I108" i="10"/>
  <c r="J107" i="10"/>
  <c r="I107" i="10"/>
  <c r="J106" i="10"/>
  <c r="I106" i="10"/>
  <c r="J105" i="10"/>
  <c r="I105" i="10"/>
  <c r="J104" i="10"/>
  <c r="I104" i="10"/>
  <c r="K104" i="10" s="1"/>
  <c r="J103" i="10"/>
  <c r="I103" i="10"/>
  <c r="J102" i="10"/>
  <c r="I102" i="10"/>
  <c r="K102" i="10" s="1"/>
  <c r="J101" i="10"/>
  <c r="I101" i="10"/>
  <c r="J100" i="10"/>
  <c r="I100" i="10"/>
  <c r="J99" i="10"/>
  <c r="I99" i="10"/>
  <c r="J98" i="10"/>
  <c r="I98" i="10"/>
  <c r="K98" i="10" s="1"/>
  <c r="J97" i="10"/>
  <c r="I97" i="10"/>
  <c r="J96" i="10"/>
  <c r="I96" i="10"/>
  <c r="J95" i="10"/>
  <c r="I95" i="10"/>
  <c r="K95" i="10" s="1"/>
  <c r="J94" i="10"/>
  <c r="I94" i="10"/>
  <c r="J93" i="10"/>
  <c r="I93" i="10"/>
  <c r="J92" i="10"/>
  <c r="I92" i="10"/>
  <c r="J91" i="10"/>
  <c r="I91" i="10"/>
  <c r="J90" i="10"/>
  <c r="I90" i="10"/>
  <c r="J89" i="10"/>
  <c r="I89" i="10"/>
  <c r="J88" i="10"/>
  <c r="I88" i="10"/>
  <c r="J87" i="10"/>
  <c r="I87" i="10"/>
  <c r="K87" i="10" s="1"/>
  <c r="J86" i="10"/>
  <c r="I86" i="10"/>
  <c r="J85" i="10"/>
  <c r="I85" i="10"/>
  <c r="J84" i="10"/>
  <c r="I84" i="10"/>
  <c r="J83" i="10"/>
  <c r="I83" i="10"/>
  <c r="J82" i="10"/>
  <c r="I82" i="10"/>
  <c r="J81" i="10"/>
  <c r="I81" i="10"/>
  <c r="K81" i="10" s="1"/>
  <c r="J80" i="10"/>
  <c r="I80" i="10"/>
  <c r="K80" i="10" s="1"/>
  <c r="J79" i="10"/>
  <c r="I79" i="10"/>
  <c r="K79" i="10" s="1"/>
  <c r="J78" i="10"/>
  <c r="I78" i="10"/>
  <c r="J77" i="10"/>
  <c r="I77" i="10"/>
  <c r="J76" i="10"/>
  <c r="I76" i="10"/>
  <c r="J75" i="10"/>
  <c r="I75" i="10"/>
  <c r="J74" i="10"/>
  <c r="I74" i="10"/>
  <c r="J73" i="10"/>
  <c r="I73" i="10"/>
  <c r="J72" i="10"/>
  <c r="I72" i="10"/>
  <c r="K72" i="10" s="1"/>
  <c r="J71" i="10"/>
  <c r="I71" i="10"/>
  <c r="J70" i="10"/>
  <c r="I70" i="10"/>
  <c r="J69" i="10"/>
  <c r="I69" i="10"/>
  <c r="J68" i="10"/>
  <c r="I68" i="10"/>
  <c r="J67" i="10"/>
  <c r="I67" i="10"/>
  <c r="J66" i="10"/>
  <c r="I66" i="10"/>
  <c r="K66" i="10" s="1"/>
  <c r="J65" i="10"/>
  <c r="I65" i="10"/>
  <c r="K65" i="10" s="1"/>
  <c r="J64" i="10"/>
  <c r="I64" i="10"/>
  <c r="J63" i="10"/>
  <c r="I63" i="10"/>
  <c r="K63" i="10" s="1"/>
  <c r="J62" i="10"/>
  <c r="I62" i="10"/>
  <c r="J61" i="10"/>
  <c r="I61" i="10"/>
  <c r="J60" i="10"/>
  <c r="I60" i="10"/>
  <c r="J59" i="10"/>
  <c r="I59" i="10"/>
  <c r="J58" i="10"/>
  <c r="I58" i="10"/>
  <c r="J57" i="10"/>
  <c r="I57" i="10"/>
  <c r="J56" i="10"/>
  <c r="I56" i="10"/>
  <c r="J55" i="10"/>
  <c r="I55" i="10"/>
  <c r="J54" i="10"/>
  <c r="I54" i="10"/>
  <c r="K54" i="10" s="1"/>
  <c r="J53" i="10"/>
  <c r="I53" i="10"/>
  <c r="J52" i="10"/>
  <c r="I52" i="10"/>
  <c r="J51" i="10"/>
  <c r="I51" i="10"/>
  <c r="J50" i="10"/>
  <c r="I50" i="10"/>
  <c r="K50" i="10" s="1"/>
  <c r="J49" i="10"/>
  <c r="I49" i="10"/>
  <c r="K49" i="10" s="1"/>
  <c r="J48" i="10"/>
  <c r="I48" i="10"/>
  <c r="K48" i="10" s="1"/>
  <c r="J47" i="10"/>
  <c r="I47" i="10"/>
  <c r="K47" i="10" s="1"/>
  <c r="J46" i="10"/>
  <c r="I46" i="10"/>
  <c r="J45" i="10"/>
  <c r="I45" i="10"/>
  <c r="J44" i="10"/>
  <c r="I44" i="10"/>
  <c r="J43" i="10"/>
  <c r="I43" i="10"/>
  <c r="J42" i="10"/>
  <c r="I42" i="10"/>
  <c r="J41" i="10"/>
  <c r="I41" i="10"/>
  <c r="J40" i="10"/>
  <c r="I40" i="10"/>
  <c r="K40" i="10" s="1"/>
  <c r="J39" i="10"/>
  <c r="I39" i="10"/>
  <c r="K39" i="10" s="1"/>
  <c r="J38" i="10"/>
  <c r="I38" i="10"/>
  <c r="K38" i="10" s="1"/>
  <c r="J37" i="10"/>
  <c r="I37" i="10"/>
  <c r="J36" i="10"/>
  <c r="I36" i="10"/>
  <c r="J35" i="10"/>
  <c r="I35" i="10"/>
  <c r="J34" i="10"/>
  <c r="I34" i="10"/>
  <c r="J33" i="10"/>
  <c r="I33" i="10"/>
  <c r="K33" i="10" s="1"/>
  <c r="J32" i="10"/>
  <c r="I32" i="10"/>
  <c r="K32" i="10" s="1"/>
  <c r="J31" i="10"/>
  <c r="I31" i="10"/>
  <c r="K31" i="10" s="1"/>
  <c r="J30" i="10"/>
  <c r="I30" i="10"/>
  <c r="J29" i="10"/>
  <c r="I29" i="10"/>
  <c r="J28" i="10"/>
  <c r="I28" i="10"/>
  <c r="J27" i="10"/>
  <c r="I27" i="10"/>
  <c r="J26" i="10"/>
  <c r="I26" i="10"/>
  <c r="J25" i="10"/>
  <c r="I25" i="10"/>
  <c r="J24" i="10"/>
  <c r="I24" i="10"/>
  <c r="K24" i="10" s="1"/>
  <c r="J23" i="10"/>
  <c r="I23" i="10"/>
  <c r="K23" i="10" s="1"/>
  <c r="EB23" i="10" s="1"/>
  <c r="J22" i="10"/>
  <c r="I22" i="10"/>
  <c r="J21" i="10"/>
  <c r="I21" i="10"/>
  <c r="J20" i="10"/>
  <c r="I20" i="10"/>
  <c r="J19" i="10"/>
  <c r="I19" i="10"/>
  <c r="J18" i="10"/>
  <c r="I18" i="10"/>
  <c r="K18" i="10" s="1"/>
  <c r="J17" i="10"/>
  <c r="I17" i="10"/>
  <c r="K17" i="10" s="1"/>
  <c r="J16" i="10"/>
  <c r="I16" i="10"/>
  <c r="K16" i="10" s="1"/>
  <c r="J15" i="10"/>
  <c r="I15" i="10"/>
  <c r="K15" i="10" s="1"/>
  <c r="J14" i="10"/>
  <c r="I14" i="10"/>
  <c r="J13" i="10"/>
  <c r="I13" i="10"/>
  <c r="J12" i="10"/>
  <c r="I12" i="10"/>
  <c r="J11" i="10"/>
  <c r="I11" i="10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K29" i="2" s="1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6" i="2"/>
  <c r="J46" i="2"/>
  <c r="I47" i="2"/>
  <c r="J47" i="2"/>
  <c r="I48" i="2"/>
  <c r="J48" i="2"/>
  <c r="I49" i="2"/>
  <c r="J49" i="2"/>
  <c r="I50" i="2"/>
  <c r="J50" i="2"/>
  <c r="I51" i="2"/>
  <c r="J51" i="2"/>
  <c r="I52" i="2"/>
  <c r="J52" i="2"/>
  <c r="I53" i="2"/>
  <c r="J53" i="2"/>
  <c r="I54" i="2"/>
  <c r="J54" i="2"/>
  <c r="I55" i="2"/>
  <c r="K55" i="2" s="1"/>
  <c r="J55" i="2"/>
  <c r="I56" i="2"/>
  <c r="J5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K67" i="2" s="1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K80" i="2" s="1"/>
  <c r="J80" i="2"/>
  <c r="I81" i="2"/>
  <c r="J81" i="2"/>
  <c r="I82" i="2"/>
  <c r="J82" i="2"/>
  <c r="K82" i="2"/>
  <c r="I83" i="2"/>
  <c r="J83" i="2"/>
  <c r="I84" i="2"/>
  <c r="J84" i="2"/>
  <c r="I85" i="2"/>
  <c r="J85" i="2"/>
  <c r="I86" i="2"/>
  <c r="J86" i="2"/>
  <c r="K86" i="2" s="1"/>
  <c r="I87" i="2"/>
  <c r="J87" i="2"/>
  <c r="I88" i="2"/>
  <c r="J88" i="2"/>
  <c r="I89" i="2"/>
  <c r="J89" i="2"/>
  <c r="I90" i="2"/>
  <c r="J90" i="2"/>
  <c r="I91" i="2"/>
  <c r="J91" i="2"/>
  <c r="I92" i="2"/>
  <c r="K92" i="2" s="1"/>
  <c r="J92" i="2"/>
  <c r="I93" i="2"/>
  <c r="J93" i="2"/>
  <c r="I94" i="2"/>
  <c r="J94" i="2"/>
  <c r="I95" i="2"/>
  <c r="J95" i="2"/>
  <c r="K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I105" i="2"/>
  <c r="J105" i="2"/>
  <c r="I106" i="2"/>
  <c r="J106" i="2"/>
  <c r="K106" i="2" s="1"/>
  <c r="I107" i="2"/>
  <c r="J107" i="2"/>
  <c r="I108" i="2"/>
  <c r="J108" i="2"/>
  <c r="I109" i="2"/>
  <c r="J109" i="2"/>
  <c r="I110" i="2"/>
  <c r="J110" i="2"/>
  <c r="K110" i="2"/>
  <c r="I111" i="2"/>
  <c r="J111" i="2"/>
  <c r="I112" i="2"/>
  <c r="J112" i="2"/>
  <c r="I113" i="2"/>
  <c r="J113" i="2"/>
  <c r="I114" i="2"/>
  <c r="J114" i="2"/>
  <c r="I115" i="2"/>
  <c r="J115" i="2"/>
  <c r="K115" i="2" s="1"/>
  <c r="I116" i="2"/>
  <c r="J116" i="2"/>
  <c r="I117" i="2"/>
  <c r="J117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K123" i="2" s="1"/>
  <c r="I124" i="2"/>
  <c r="J124" i="2"/>
  <c r="I125" i="2"/>
  <c r="J125" i="2"/>
  <c r="K125" i="2" s="1"/>
  <c r="I126" i="2"/>
  <c r="J126" i="2"/>
  <c r="I127" i="2"/>
  <c r="J127" i="2"/>
  <c r="K127" i="2"/>
  <c r="I128" i="2"/>
  <c r="J128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35" i="2"/>
  <c r="K135" i="2" s="1"/>
  <c r="J135" i="2"/>
  <c r="I136" i="2"/>
  <c r="K136" i="2" s="1"/>
  <c r="J136" i="2"/>
  <c r="I137" i="2"/>
  <c r="J137" i="2"/>
  <c r="I138" i="2"/>
  <c r="J138" i="2"/>
  <c r="I139" i="2"/>
  <c r="J139" i="2"/>
  <c r="I140" i="2"/>
  <c r="J140" i="2"/>
  <c r="K140" i="2"/>
  <c r="I141" i="2"/>
  <c r="J141" i="2"/>
  <c r="I142" i="2"/>
  <c r="J142" i="2"/>
  <c r="I143" i="2"/>
  <c r="J143" i="2"/>
  <c r="I144" i="2"/>
  <c r="J144" i="2"/>
  <c r="K144" i="2" s="1"/>
  <c r="I145" i="2"/>
  <c r="J145" i="2"/>
  <c r="I146" i="2"/>
  <c r="J146" i="2"/>
  <c r="I147" i="2"/>
  <c r="J147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54" i="2"/>
  <c r="J154" i="2"/>
  <c r="I155" i="2"/>
  <c r="J155" i="2"/>
  <c r="K155" i="2" s="1"/>
  <c r="I156" i="2"/>
  <c r="J156" i="2"/>
  <c r="I157" i="2"/>
  <c r="J157" i="2"/>
  <c r="I158" i="2"/>
  <c r="J158" i="2"/>
  <c r="I159" i="2"/>
  <c r="J159" i="2"/>
  <c r="I160" i="2"/>
  <c r="J160" i="2"/>
  <c r="I161" i="2"/>
  <c r="K161" i="2" s="1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K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K178" i="2" s="1"/>
  <c r="I179" i="2"/>
  <c r="K179" i="2" s="1"/>
  <c r="J179" i="2"/>
  <c r="I180" i="2"/>
  <c r="J180" i="2"/>
  <c r="I181" i="2"/>
  <c r="K181" i="2" s="1"/>
  <c r="J181" i="2"/>
  <c r="I182" i="2"/>
  <c r="J182" i="2"/>
  <c r="I183" i="2"/>
  <c r="J183" i="2"/>
  <c r="I184" i="2"/>
  <c r="J184" i="2"/>
  <c r="I185" i="2"/>
  <c r="J185" i="2"/>
  <c r="I186" i="2"/>
  <c r="J186" i="2"/>
  <c r="I187" i="2"/>
  <c r="K187" i="2" s="1"/>
  <c r="J187" i="2"/>
  <c r="I188" i="2"/>
  <c r="J188" i="2"/>
  <c r="I189" i="2"/>
  <c r="J189" i="2"/>
  <c r="I190" i="2"/>
  <c r="K190" i="2" s="1"/>
  <c r="J190" i="2"/>
  <c r="I191" i="2"/>
  <c r="J191" i="2"/>
  <c r="I192" i="2"/>
  <c r="J192" i="2"/>
  <c r="I193" i="2"/>
  <c r="J193" i="2"/>
  <c r="I194" i="2"/>
  <c r="J194" i="2"/>
  <c r="I195" i="2"/>
  <c r="J195" i="2"/>
  <c r="K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03" i="2"/>
  <c r="J203" i="2"/>
  <c r="I204" i="2"/>
  <c r="J204" i="2"/>
  <c r="I205" i="2"/>
  <c r="J205" i="2"/>
  <c r="I206" i="2"/>
  <c r="J206" i="2"/>
  <c r="I207" i="2"/>
  <c r="J207" i="2"/>
  <c r="I208" i="2"/>
  <c r="J208" i="2"/>
  <c r="I209" i="2"/>
  <c r="J209" i="2"/>
  <c r="I210" i="2"/>
  <c r="J210" i="2"/>
  <c r="I211" i="2"/>
  <c r="J211" i="2"/>
  <c r="I212" i="2"/>
  <c r="J212" i="2"/>
  <c r="I213" i="2"/>
  <c r="J213" i="2"/>
  <c r="I214" i="2"/>
  <c r="J214" i="2"/>
  <c r="I215" i="2"/>
  <c r="J215" i="2"/>
  <c r="I216" i="2"/>
  <c r="J216" i="2"/>
  <c r="I217" i="2"/>
  <c r="J217" i="2"/>
  <c r="K217" i="2" s="1"/>
  <c r="I218" i="2"/>
  <c r="J218" i="2"/>
  <c r="I219" i="2"/>
  <c r="J219" i="2"/>
  <c r="I220" i="2"/>
  <c r="J220" i="2"/>
  <c r="I221" i="2"/>
  <c r="J221" i="2"/>
  <c r="I222" i="2"/>
  <c r="J222" i="2"/>
  <c r="K222" i="2"/>
  <c r="I223" i="2"/>
  <c r="J223" i="2"/>
  <c r="K223" i="2" s="1"/>
  <c r="I224" i="2"/>
  <c r="J224" i="2"/>
  <c r="I225" i="2"/>
  <c r="J225" i="2"/>
  <c r="I226" i="2"/>
  <c r="J226" i="2"/>
  <c r="I227" i="2"/>
  <c r="J227" i="2"/>
  <c r="I228" i="2"/>
  <c r="J228" i="2"/>
  <c r="I229" i="2"/>
  <c r="J229" i="2"/>
  <c r="I230" i="2"/>
  <c r="J230" i="2"/>
  <c r="I231" i="2"/>
  <c r="J231" i="2"/>
  <c r="I232" i="2"/>
  <c r="J232" i="2"/>
  <c r="K232" i="2" s="1"/>
  <c r="I233" i="2"/>
  <c r="J233" i="2"/>
  <c r="I234" i="2"/>
  <c r="K234" i="2" s="1"/>
  <c r="J234" i="2"/>
  <c r="I235" i="2"/>
  <c r="J235" i="2"/>
  <c r="I236" i="2"/>
  <c r="J236" i="2"/>
  <c r="I237" i="2"/>
  <c r="J237" i="2"/>
  <c r="I238" i="2"/>
  <c r="J238" i="2"/>
  <c r="I239" i="2"/>
  <c r="K239" i="2" s="1"/>
  <c r="J239" i="2"/>
  <c r="I240" i="2"/>
  <c r="J240" i="2"/>
  <c r="I241" i="2"/>
  <c r="K241" i="2" s="1"/>
  <c r="J241" i="2"/>
  <c r="I242" i="2"/>
  <c r="J242" i="2"/>
  <c r="I243" i="2"/>
  <c r="J243" i="2"/>
  <c r="I244" i="2"/>
  <c r="J244" i="2"/>
  <c r="I245" i="2"/>
  <c r="J245" i="2"/>
  <c r="I246" i="2"/>
  <c r="J246" i="2"/>
  <c r="I247" i="2"/>
  <c r="J247" i="2"/>
  <c r="I248" i="2"/>
  <c r="J248" i="2"/>
  <c r="I249" i="2"/>
  <c r="J249" i="2"/>
  <c r="I250" i="2"/>
  <c r="J250" i="2"/>
  <c r="I251" i="2"/>
  <c r="K251" i="2" s="1"/>
  <c r="J251" i="2"/>
  <c r="I252" i="2"/>
  <c r="K252" i="2" s="1"/>
  <c r="J252" i="2"/>
  <c r="I253" i="2"/>
  <c r="J253" i="2"/>
  <c r="K253" i="2" s="1"/>
  <c r="I254" i="2"/>
  <c r="J254" i="2"/>
  <c r="I255" i="2"/>
  <c r="J255" i="2"/>
  <c r="I256" i="2"/>
  <c r="J256" i="2"/>
  <c r="I257" i="2"/>
  <c r="J257" i="2"/>
  <c r="K257" i="2" s="1"/>
  <c r="I258" i="2"/>
  <c r="J258" i="2"/>
  <c r="I259" i="2"/>
  <c r="J259" i="2"/>
  <c r="I260" i="2"/>
  <c r="J260" i="2"/>
  <c r="I261" i="2"/>
  <c r="J261" i="2"/>
  <c r="I262" i="2"/>
  <c r="J262" i="2"/>
  <c r="I263" i="2"/>
  <c r="J263" i="2"/>
  <c r="I264" i="2"/>
  <c r="J264" i="2"/>
  <c r="I265" i="2"/>
  <c r="J265" i="2"/>
  <c r="J2" i="2"/>
  <c r="I2" i="2"/>
  <c r="K254" i="2" l="1"/>
  <c r="K202" i="2"/>
  <c r="K116" i="2"/>
  <c r="K88" i="2"/>
  <c r="K76" i="2"/>
  <c r="K65" i="2"/>
  <c r="K47" i="2"/>
  <c r="K5" i="2"/>
  <c r="K264" i="2"/>
  <c r="K33" i="2"/>
  <c r="K206" i="2"/>
  <c r="K182" i="2"/>
  <c r="K142" i="2"/>
  <c r="K131" i="2"/>
  <c r="K114" i="2"/>
  <c r="K21" i="2"/>
  <c r="K245" i="2"/>
  <c r="K176" i="2"/>
  <c r="K158" i="2"/>
  <c r="K91" i="2"/>
  <c r="K73" i="2"/>
  <c r="K129" i="2"/>
  <c r="K72" i="2"/>
  <c r="K221" i="2"/>
  <c r="K12" i="2"/>
  <c r="K100" i="2"/>
  <c r="K94" i="2"/>
  <c r="K42" i="2"/>
  <c r="C32" i="9"/>
  <c r="C30" i="9"/>
  <c r="C39" i="9"/>
  <c r="C29" i="9"/>
  <c r="P4" i="7"/>
  <c r="P6" i="7"/>
  <c r="P5" i="7"/>
  <c r="K242" i="2"/>
  <c r="K64" i="2"/>
  <c r="K48" i="2"/>
  <c r="K167" i="2"/>
  <c r="K79" i="2"/>
  <c r="K63" i="2"/>
  <c r="K32" i="2"/>
  <c r="K213" i="2"/>
  <c r="K153" i="2"/>
  <c r="K31" i="2"/>
  <c r="K151" i="2"/>
  <c r="K165" i="2"/>
  <c r="K46" i="2"/>
  <c r="K60" i="2"/>
  <c r="K45" i="2"/>
  <c r="K13" i="2"/>
  <c r="K104" i="2"/>
  <c r="K59" i="2"/>
  <c r="K28" i="2"/>
  <c r="K89" i="2"/>
  <c r="K74" i="2"/>
  <c r="K27" i="2"/>
  <c r="K11" i="2"/>
  <c r="K2" i="2"/>
  <c r="K236" i="2"/>
  <c r="K146" i="2"/>
  <c r="K58" i="2"/>
  <c r="K10" i="2"/>
  <c r="K265" i="2"/>
  <c r="K235" i="2"/>
  <c r="K175" i="2"/>
  <c r="K8" i="2"/>
  <c r="K203" i="2"/>
  <c r="K188" i="2"/>
  <c r="K85" i="2"/>
  <c r="K23" i="2"/>
  <c r="K128" i="2"/>
  <c r="K22" i="2"/>
  <c r="K247" i="2"/>
  <c r="K157" i="2"/>
  <c r="K83" i="2"/>
  <c r="K52" i="2"/>
  <c r="K197" i="2"/>
  <c r="K199" i="2"/>
  <c r="K19" i="2"/>
  <c r="K231" i="2"/>
  <c r="K184" i="2"/>
  <c r="K81" i="2"/>
  <c r="K50" i="2"/>
  <c r="K200" i="2"/>
  <c r="K36" i="2"/>
  <c r="K258" i="2"/>
  <c r="E41" i="9"/>
  <c r="C35" i="9" s="1"/>
  <c r="Z6" i="10"/>
  <c r="Y8" i="10"/>
  <c r="EM38" i="10"/>
  <c r="DG38" i="10"/>
  <c r="ER38" i="10"/>
  <c r="DK38" i="10"/>
  <c r="EQ38" i="10"/>
  <c r="DJ38" i="10"/>
  <c r="EP38" i="10"/>
  <c r="DI38" i="10"/>
  <c r="EO38" i="10"/>
  <c r="DH38" i="10"/>
  <c r="EF38" i="10"/>
  <c r="DW38" i="10"/>
  <c r="EG38" i="10"/>
  <c r="EE38" i="10"/>
  <c r="ED38" i="10"/>
  <c r="EC38" i="10"/>
  <c r="EB38" i="10"/>
  <c r="DS38" i="10"/>
  <c r="DP38" i="10"/>
  <c r="EX38" i="10"/>
  <c r="EL38" i="10"/>
  <c r="EH38" i="10"/>
  <c r="DV38" i="10"/>
  <c r="EY38" i="10"/>
  <c r="EW38" i="10"/>
  <c r="EV38" i="10"/>
  <c r="EA38" i="10"/>
  <c r="DU38" i="10"/>
  <c r="DO38" i="10"/>
  <c r="DN38" i="10"/>
  <c r="DL38" i="10"/>
  <c r="EU38" i="10"/>
  <c r="ET38" i="10"/>
  <c r="ES38" i="10"/>
  <c r="DT38" i="10"/>
  <c r="EK38" i="10"/>
  <c r="EJ38" i="10"/>
  <c r="EI38" i="10"/>
  <c r="DZ38" i="10"/>
  <c r="DY38" i="10"/>
  <c r="EN38" i="10"/>
  <c r="DX38" i="10"/>
  <c r="DR38" i="10"/>
  <c r="DQ38" i="10"/>
  <c r="DM38" i="10"/>
  <c r="DW54" i="10"/>
  <c r="DV54" i="10"/>
  <c r="DT54" i="10"/>
  <c r="ES54" i="10"/>
  <c r="ED54" i="10"/>
  <c r="EC54" i="10"/>
  <c r="EB54" i="10"/>
  <c r="EA54" i="10"/>
  <c r="DZ54" i="10"/>
  <c r="DP54" i="10"/>
  <c r="EV54" i="10"/>
  <c r="DL54" i="10"/>
  <c r="EP54" i="10"/>
  <c r="DG54" i="10"/>
  <c r="DR54" i="10"/>
  <c r="DQ54" i="10"/>
  <c r="DO54" i="10"/>
  <c r="DN54" i="10"/>
  <c r="DM54" i="10"/>
  <c r="EW54" i="10"/>
  <c r="ER54" i="10"/>
  <c r="EL54" i="10"/>
  <c r="EU54" i="10"/>
  <c r="ET54" i="10"/>
  <c r="EQ54" i="10"/>
  <c r="EO54" i="10"/>
  <c r="EN54" i="10"/>
  <c r="EE54" i="10"/>
  <c r="DS54" i="10"/>
  <c r="EY54" i="10"/>
  <c r="EX54" i="10"/>
  <c r="EM54" i="10"/>
  <c r="EK54" i="10"/>
  <c r="EJ54" i="10"/>
  <c r="DK54" i="10"/>
  <c r="DY54" i="10"/>
  <c r="DX54" i="10"/>
  <c r="DU54" i="10"/>
  <c r="DJ54" i="10"/>
  <c r="DI54" i="10"/>
  <c r="EF54" i="10"/>
  <c r="DH54" i="10"/>
  <c r="EH54" i="10"/>
  <c r="EI54" i="10"/>
  <c r="EG54" i="10"/>
  <c r="EG102" i="10"/>
  <c r="EF102" i="10"/>
  <c r="EE102" i="10"/>
  <c r="ED102" i="10"/>
  <c r="DW102" i="10"/>
  <c r="DT102" i="10"/>
  <c r="ET102" i="10"/>
  <c r="DN102" i="10"/>
  <c r="EP102" i="10"/>
  <c r="EO102" i="10"/>
  <c r="EN102" i="10"/>
  <c r="EM102" i="10"/>
  <c r="EL102" i="10"/>
  <c r="EA102" i="10"/>
  <c r="DV102" i="10"/>
  <c r="DP102" i="10"/>
  <c r="DK102" i="10"/>
  <c r="DJ102" i="10"/>
  <c r="DI102" i="10"/>
  <c r="DH102" i="10"/>
  <c r="DG102" i="10"/>
  <c r="EV102" i="10"/>
  <c r="EQ102" i="10"/>
  <c r="EH102" i="10"/>
  <c r="EC102" i="10"/>
  <c r="DZ102" i="10"/>
  <c r="EU102" i="10"/>
  <c r="EK102" i="10"/>
  <c r="DY102" i="10"/>
  <c r="DX102" i="10"/>
  <c r="DS102" i="10"/>
  <c r="EY102" i="10"/>
  <c r="ER102" i="10"/>
  <c r="EJ102" i="10"/>
  <c r="DO102" i="10"/>
  <c r="DM102" i="10"/>
  <c r="DL102" i="10"/>
  <c r="EB102" i="10"/>
  <c r="EW102" i="10"/>
  <c r="EI102" i="10"/>
  <c r="DU102" i="10"/>
  <c r="DR102" i="10"/>
  <c r="DQ102" i="10"/>
  <c r="EX102" i="10"/>
  <c r="ES102" i="10"/>
  <c r="EE134" i="10"/>
  <c r="EF134" i="10"/>
  <c r="ED134" i="10"/>
  <c r="EB134" i="10"/>
  <c r="DV134" i="10"/>
  <c r="DQ134" i="10"/>
  <c r="EC134" i="10"/>
  <c r="EA134" i="10"/>
  <c r="DZ134" i="10"/>
  <c r="DY134" i="10"/>
  <c r="DP134" i="10"/>
  <c r="EY134" i="10"/>
  <c r="DM134" i="10"/>
  <c r="ES134" i="10"/>
  <c r="DG134" i="10"/>
  <c r="EV134" i="10"/>
  <c r="EU134" i="10"/>
  <c r="ET134" i="10"/>
  <c r="ER134" i="10"/>
  <c r="EQ134" i="10"/>
  <c r="EJ134" i="10"/>
  <c r="DX134" i="10"/>
  <c r="DS134" i="10"/>
  <c r="DR134" i="10"/>
  <c r="DN134" i="10"/>
  <c r="DI134" i="10"/>
  <c r="DH134" i="10"/>
  <c r="EW134" i="10"/>
  <c r="EM134" i="10"/>
  <c r="EL134" i="10"/>
  <c r="EI134" i="10"/>
  <c r="EO134" i="10"/>
  <c r="EN134" i="10"/>
  <c r="EK134" i="10"/>
  <c r="EH134" i="10"/>
  <c r="EG134" i="10"/>
  <c r="DW134" i="10"/>
  <c r="DL134" i="10"/>
  <c r="EP134" i="10"/>
  <c r="DU134" i="10"/>
  <c r="DT134" i="10"/>
  <c r="DO134" i="10"/>
  <c r="DK134" i="10"/>
  <c r="DJ134" i="10"/>
  <c r="EX134" i="10"/>
  <c r="EU150" i="10"/>
  <c r="DO150" i="10"/>
  <c r="EK150" i="10"/>
  <c r="EM150" i="10"/>
  <c r="EL150" i="10"/>
  <c r="EJ150" i="10"/>
  <c r="EI150" i="10"/>
  <c r="EC150" i="10"/>
  <c r="DY150" i="10"/>
  <c r="EV150" i="10"/>
  <c r="DG150" i="10"/>
  <c r="EQ150" i="10"/>
  <c r="EP150" i="10"/>
  <c r="EO150" i="10"/>
  <c r="EN150" i="10"/>
  <c r="EA150" i="10"/>
  <c r="DW150" i="10"/>
  <c r="DS150" i="10"/>
  <c r="DQ150" i="10"/>
  <c r="DN150" i="10"/>
  <c r="DM150" i="10"/>
  <c r="DL150" i="10"/>
  <c r="DK150" i="10"/>
  <c r="DJ150" i="10"/>
  <c r="EW150" i="10"/>
  <c r="EH150" i="10"/>
  <c r="EG150" i="10"/>
  <c r="EE150" i="10"/>
  <c r="EY150" i="10"/>
  <c r="EX150" i="10"/>
  <c r="DZ150" i="10"/>
  <c r="DT150" i="10"/>
  <c r="DH150" i="10"/>
  <c r="EF150" i="10"/>
  <c r="ED150" i="10"/>
  <c r="DX150" i="10"/>
  <c r="DU150" i="10"/>
  <c r="DR150" i="10"/>
  <c r="DP150" i="10"/>
  <c r="DI150" i="10"/>
  <c r="EB150" i="10"/>
  <c r="DV150" i="10"/>
  <c r="ET150" i="10"/>
  <c r="ES150" i="10"/>
  <c r="ER150" i="10"/>
  <c r="EE166" i="10"/>
  <c r="ER166" i="10"/>
  <c r="DK166" i="10"/>
  <c r="EP166" i="10"/>
  <c r="DI166" i="10"/>
  <c r="EI166" i="10"/>
  <c r="DV166" i="10"/>
  <c r="DU166" i="10"/>
  <c r="DT166" i="10"/>
  <c r="DS166" i="10"/>
  <c r="EW166" i="10"/>
  <c r="DM166" i="10"/>
  <c r="ES166" i="10"/>
  <c r="DG166" i="10"/>
  <c r="EK166" i="10"/>
  <c r="EG166" i="10"/>
  <c r="EF166" i="10"/>
  <c r="ED166" i="10"/>
  <c r="EB166" i="10"/>
  <c r="EA166" i="10"/>
  <c r="DZ166" i="10"/>
  <c r="DY166" i="10"/>
  <c r="DN166" i="10"/>
  <c r="DH166" i="10"/>
  <c r="EY166" i="10"/>
  <c r="EV166" i="10"/>
  <c r="DL166" i="10"/>
  <c r="DJ166" i="10"/>
  <c r="EX166" i="10"/>
  <c r="EO166" i="10"/>
  <c r="EN166" i="10"/>
  <c r="EL166" i="10"/>
  <c r="EU166" i="10"/>
  <c r="ET166" i="10"/>
  <c r="EM166" i="10"/>
  <c r="EQ166" i="10"/>
  <c r="EC166" i="10"/>
  <c r="DQ166" i="10"/>
  <c r="DP166" i="10"/>
  <c r="EH166" i="10"/>
  <c r="DO166" i="10"/>
  <c r="EJ166" i="10"/>
  <c r="DX166" i="10"/>
  <c r="DR166" i="10"/>
  <c r="DW166" i="10"/>
  <c r="EU182" i="10"/>
  <c r="DO182" i="10"/>
  <c r="EY182" i="10"/>
  <c r="DR182" i="10"/>
  <c r="EX182" i="10"/>
  <c r="DQ182" i="10"/>
  <c r="EW182" i="10"/>
  <c r="DP182" i="10"/>
  <c r="EV182" i="10"/>
  <c r="DN182" i="10"/>
  <c r="EO182" i="10"/>
  <c r="DH182" i="10"/>
  <c r="EL182" i="10"/>
  <c r="EJ182" i="10"/>
  <c r="EI182" i="10"/>
  <c r="EH182" i="10"/>
  <c r="EG182" i="10"/>
  <c r="EA182" i="10"/>
  <c r="DW182" i="10"/>
  <c r="DL182" i="10"/>
  <c r="EQ182" i="10"/>
  <c r="EM182" i="10"/>
  <c r="EB182" i="10"/>
  <c r="EE182" i="10"/>
  <c r="ED182" i="10"/>
  <c r="EC182" i="10"/>
  <c r="DZ182" i="10"/>
  <c r="DM182" i="10"/>
  <c r="DI182" i="10"/>
  <c r="ES182" i="10"/>
  <c r="ER182" i="10"/>
  <c r="EP182" i="10"/>
  <c r="EN182" i="10"/>
  <c r="EK182" i="10"/>
  <c r="DS182" i="10"/>
  <c r="DK182" i="10"/>
  <c r="DJ182" i="10"/>
  <c r="DG182" i="10"/>
  <c r="EF182" i="10"/>
  <c r="DV182" i="10"/>
  <c r="DX182" i="10"/>
  <c r="DU182" i="10"/>
  <c r="DY182" i="10"/>
  <c r="DT182" i="10"/>
  <c r="ET182" i="10"/>
  <c r="EX198" i="10"/>
  <c r="DR198" i="10"/>
  <c r="EE198" i="10"/>
  <c r="EB198" i="10"/>
  <c r="EA198" i="10"/>
  <c r="DZ198" i="10"/>
  <c r="DY198" i="10"/>
  <c r="DS198" i="10"/>
  <c r="EW198" i="10"/>
  <c r="DO198" i="10"/>
  <c r="EP198" i="10"/>
  <c r="DK198" i="10"/>
  <c r="DJ198" i="10"/>
  <c r="DI198" i="10"/>
  <c r="EY198" i="10"/>
  <c r="DH198" i="10"/>
  <c r="EQ198" i="10"/>
  <c r="EL198" i="10"/>
  <c r="EF198" i="10"/>
  <c r="DT198" i="10"/>
  <c r="DQ198" i="10"/>
  <c r="DP198" i="10"/>
  <c r="DN198" i="10"/>
  <c r="EV198" i="10"/>
  <c r="EN198" i="10"/>
  <c r="EU198" i="10"/>
  <c r="ET198" i="10"/>
  <c r="ES198" i="10"/>
  <c r="ER198" i="10"/>
  <c r="EG198" i="10"/>
  <c r="DX198" i="10"/>
  <c r="DM198" i="10"/>
  <c r="DG198" i="10"/>
  <c r="EK198" i="10"/>
  <c r="ED198" i="10"/>
  <c r="DU198" i="10"/>
  <c r="DL198" i="10"/>
  <c r="EM198" i="10"/>
  <c r="EC198" i="10"/>
  <c r="DW198" i="10"/>
  <c r="EO198" i="10"/>
  <c r="EJ198" i="10"/>
  <c r="EI198" i="10"/>
  <c r="EH198" i="10"/>
  <c r="DV198" i="10"/>
  <c r="EH214" i="10"/>
  <c r="EU214" i="10"/>
  <c r="DO214" i="10"/>
  <c r="EC214" i="10"/>
  <c r="EW214" i="10"/>
  <c r="DM214" i="10"/>
  <c r="ER214" i="10"/>
  <c r="DH214" i="10"/>
  <c r="EQ214" i="10"/>
  <c r="DG214" i="10"/>
  <c r="EP214" i="10"/>
  <c r="EO214" i="10"/>
  <c r="EI214" i="10"/>
  <c r="EE214" i="10"/>
  <c r="DW214" i="10"/>
  <c r="DJ214" i="10"/>
  <c r="DI214" i="10"/>
  <c r="EN214" i="10"/>
  <c r="EJ214" i="10"/>
  <c r="EB214" i="10"/>
  <c r="DZ214" i="10"/>
  <c r="DX214" i="10"/>
  <c r="DU214" i="10"/>
  <c r="DT214" i="10"/>
  <c r="DS214" i="10"/>
  <c r="DR214" i="10"/>
  <c r="EX214" i="10"/>
  <c r="EF214" i="10"/>
  <c r="ED214" i="10"/>
  <c r="EA214" i="10"/>
  <c r="DY214" i="10"/>
  <c r="EV214" i="10"/>
  <c r="ET214" i="10"/>
  <c r="EM214" i="10"/>
  <c r="DV214" i="10"/>
  <c r="DQ214" i="10"/>
  <c r="DP214" i="10"/>
  <c r="DN214" i="10"/>
  <c r="DL214" i="10"/>
  <c r="EL214" i="10"/>
  <c r="EK214" i="10"/>
  <c r="DK214" i="10"/>
  <c r="EY214" i="10"/>
  <c r="ES214" i="10"/>
  <c r="EG214" i="10"/>
  <c r="EH246" i="10"/>
  <c r="EU246" i="10"/>
  <c r="DO246" i="10"/>
  <c r="DW246" i="10"/>
  <c r="EL246" i="10"/>
  <c r="EG246" i="10"/>
  <c r="ED246" i="10"/>
  <c r="DV246" i="10"/>
  <c r="DU246" i="10"/>
  <c r="DT246" i="10"/>
  <c r="DS246" i="10"/>
  <c r="EY246" i="10"/>
  <c r="DL246" i="10"/>
  <c r="EV246" i="10"/>
  <c r="DI246" i="10"/>
  <c r="EO246" i="10"/>
  <c r="EN246" i="10"/>
  <c r="EM246" i="10"/>
  <c r="EK246" i="10"/>
  <c r="EB246" i="10"/>
  <c r="DY246" i="10"/>
  <c r="DP246" i="10"/>
  <c r="DK246" i="10"/>
  <c r="EW246" i="10"/>
  <c r="EQ246" i="10"/>
  <c r="EF246" i="10"/>
  <c r="EC246" i="10"/>
  <c r="DZ246" i="10"/>
  <c r="ET246" i="10"/>
  <c r="EP246" i="10"/>
  <c r="EA246" i="10"/>
  <c r="DR246" i="10"/>
  <c r="DN246" i="10"/>
  <c r="DM246" i="10"/>
  <c r="DJ246" i="10"/>
  <c r="DH246" i="10"/>
  <c r="DG246" i="10"/>
  <c r="EI246" i="10"/>
  <c r="EE246" i="10"/>
  <c r="DX246" i="10"/>
  <c r="DQ246" i="10"/>
  <c r="EJ246" i="10"/>
  <c r="EX246" i="10"/>
  <c r="ES246" i="10"/>
  <c r="ER246" i="10"/>
  <c r="EF262" i="10"/>
  <c r="ES262" i="10"/>
  <c r="DM262" i="10"/>
  <c r="DY262" i="10"/>
  <c r="EM262" i="10"/>
  <c r="EA262" i="10"/>
  <c r="ED262" i="10"/>
  <c r="EC262" i="10"/>
  <c r="EB262" i="10"/>
  <c r="DX262" i="10"/>
  <c r="DR262" i="10"/>
  <c r="DQ262" i="10"/>
  <c r="DP262" i="10"/>
  <c r="DO262" i="10"/>
  <c r="EY262" i="10"/>
  <c r="DI262" i="10"/>
  <c r="EV262" i="10"/>
  <c r="DW262" i="10"/>
  <c r="DV262" i="10"/>
  <c r="DU262" i="10"/>
  <c r="DT262" i="10"/>
  <c r="DH262" i="10"/>
  <c r="ET262" i="10"/>
  <c r="ER262" i="10"/>
  <c r="EQ262" i="10"/>
  <c r="EP262" i="10"/>
  <c r="EI262" i="10"/>
  <c r="EE262" i="10"/>
  <c r="DL262" i="10"/>
  <c r="DG262" i="10"/>
  <c r="EU262" i="10"/>
  <c r="EO262" i="10"/>
  <c r="EN262" i="10"/>
  <c r="EL262" i="10"/>
  <c r="DS262" i="10"/>
  <c r="EW262" i="10"/>
  <c r="EJ262" i="10"/>
  <c r="EH262" i="10"/>
  <c r="EG262" i="10"/>
  <c r="DZ262" i="10"/>
  <c r="DN262" i="10"/>
  <c r="EX262" i="10"/>
  <c r="DK262" i="10"/>
  <c r="DJ262" i="10"/>
  <c r="EK262" i="10"/>
  <c r="ES255" i="10"/>
  <c r="DM255" i="10"/>
  <c r="DZ255" i="10"/>
  <c r="EB255" i="10"/>
  <c r="DT255" i="10"/>
  <c r="DS255" i="10"/>
  <c r="DR255" i="10"/>
  <c r="EY255" i="10"/>
  <c r="ER255" i="10"/>
  <c r="EQ255" i="10"/>
  <c r="EP255" i="10"/>
  <c r="EO255" i="10"/>
  <c r="EJ255" i="10"/>
  <c r="EI255" i="10"/>
  <c r="EH255" i="10"/>
  <c r="EG255" i="10"/>
  <c r="EF255" i="10"/>
  <c r="DX255" i="10"/>
  <c r="DU255" i="10"/>
  <c r="EX255" i="10"/>
  <c r="EW255" i="10"/>
  <c r="EV255" i="10"/>
  <c r="EK255" i="10"/>
  <c r="EC255" i="10"/>
  <c r="DV255" i="10"/>
  <c r="DO255" i="10"/>
  <c r="DK255" i="10"/>
  <c r="DN255" i="10"/>
  <c r="DL255" i="10"/>
  <c r="DJ255" i="10"/>
  <c r="DI255" i="10"/>
  <c r="ET255" i="10"/>
  <c r="EL255" i="10"/>
  <c r="EA255" i="10"/>
  <c r="DP255" i="10"/>
  <c r="DG255" i="10"/>
  <c r="DW255" i="10"/>
  <c r="DQ255" i="10"/>
  <c r="DH255" i="10"/>
  <c r="ED255" i="10"/>
  <c r="DY255" i="10"/>
  <c r="EU255" i="10"/>
  <c r="EN255" i="10"/>
  <c r="EM255" i="10"/>
  <c r="EE255" i="10"/>
  <c r="AJ8" i="10"/>
  <c r="AV6" i="10"/>
  <c r="AV8" i="10" s="1"/>
  <c r="BW35" i="10"/>
  <c r="BW90" i="10"/>
  <c r="DU24" i="10"/>
  <c r="DT24" i="10"/>
  <c r="EY24" i="10"/>
  <c r="DS24" i="10"/>
  <c r="EG24" i="10"/>
  <c r="EX24" i="10"/>
  <c r="DN24" i="10"/>
  <c r="EW24" i="10"/>
  <c r="DM24" i="10"/>
  <c r="EV24" i="10"/>
  <c r="DL24" i="10"/>
  <c r="EU24" i="10"/>
  <c r="DK24" i="10"/>
  <c r="ET24" i="10"/>
  <c r="DJ24" i="10"/>
  <c r="EL24" i="10"/>
  <c r="EI24" i="10"/>
  <c r="EC24" i="10"/>
  <c r="DZ24" i="10"/>
  <c r="DY24" i="10"/>
  <c r="DX24" i="10"/>
  <c r="DW24" i="10"/>
  <c r="DV24" i="10"/>
  <c r="EH24" i="10"/>
  <c r="EF24" i="10"/>
  <c r="EE24" i="10"/>
  <c r="ED24" i="10"/>
  <c r="EB24" i="10"/>
  <c r="DG24" i="10"/>
  <c r="ES24" i="10"/>
  <c r="DQ24" i="10"/>
  <c r="DP24" i="10"/>
  <c r="DO24" i="10"/>
  <c r="DI24" i="10"/>
  <c r="DH24" i="10"/>
  <c r="EQ24" i="10"/>
  <c r="EP24" i="10"/>
  <c r="EM24" i="10"/>
  <c r="DR24" i="10"/>
  <c r="EJ24" i="10"/>
  <c r="EA24" i="10"/>
  <c r="ER24" i="10"/>
  <c r="EO24" i="10"/>
  <c r="EN24" i="10"/>
  <c r="EK24" i="10"/>
  <c r="ES40" i="10"/>
  <c r="DM40" i="10"/>
  <c r="DT40" i="10"/>
  <c r="DS40" i="10"/>
  <c r="EY40" i="10"/>
  <c r="DR40" i="10"/>
  <c r="EX40" i="10"/>
  <c r="DQ40" i="10"/>
  <c r="EO40" i="10"/>
  <c r="DH40" i="10"/>
  <c r="EF40" i="10"/>
  <c r="DZ40" i="10"/>
  <c r="DY40" i="10"/>
  <c r="DX40" i="10"/>
  <c r="DW40" i="10"/>
  <c r="DV40" i="10"/>
  <c r="EW40" i="10"/>
  <c r="DI40" i="10"/>
  <c r="ET40" i="10"/>
  <c r="EM40" i="10"/>
  <c r="EA40" i="10"/>
  <c r="DU40" i="10"/>
  <c r="DP40" i="10"/>
  <c r="DO40" i="10"/>
  <c r="DN40" i="10"/>
  <c r="EV40" i="10"/>
  <c r="EN40" i="10"/>
  <c r="EL40" i="10"/>
  <c r="EK40" i="10"/>
  <c r="EJ40" i="10"/>
  <c r="EI40" i="10"/>
  <c r="EH40" i="10"/>
  <c r="DJ40" i="10"/>
  <c r="EG40" i="10"/>
  <c r="EB40" i="10"/>
  <c r="EU40" i="10"/>
  <c r="EE40" i="10"/>
  <c r="DL40" i="10"/>
  <c r="DG40" i="10"/>
  <c r="ER40" i="10"/>
  <c r="EQ40" i="10"/>
  <c r="EP40" i="10"/>
  <c r="ED40" i="10"/>
  <c r="DK40" i="10"/>
  <c r="EC40" i="10"/>
  <c r="EM72" i="10"/>
  <c r="DG72" i="10"/>
  <c r="DS72" i="10"/>
  <c r="EY72" i="10"/>
  <c r="DR72" i="10"/>
  <c r="EX72" i="10"/>
  <c r="DQ72" i="10"/>
  <c r="EW72" i="10"/>
  <c r="DP72" i="10"/>
  <c r="EV72" i="10"/>
  <c r="DO72" i="10"/>
  <c r="EO72" i="10"/>
  <c r="DH72" i="10"/>
  <c r="EJ72" i="10"/>
  <c r="EE72" i="10"/>
  <c r="EA72" i="10"/>
  <c r="DZ72" i="10"/>
  <c r="DY72" i="10"/>
  <c r="DX72" i="10"/>
  <c r="DW72" i="10"/>
  <c r="DK72" i="10"/>
  <c r="EQ72" i="10"/>
  <c r="EF72" i="10"/>
  <c r="ED72" i="10"/>
  <c r="EC72" i="10"/>
  <c r="EB72" i="10"/>
  <c r="DV72" i="10"/>
  <c r="ET72" i="10"/>
  <c r="EK72" i="10"/>
  <c r="EI72" i="10"/>
  <c r="EH72" i="10"/>
  <c r="EG72" i="10"/>
  <c r="DU72" i="10"/>
  <c r="EU72" i="10"/>
  <c r="ES72" i="10"/>
  <c r="EP72" i="10"/>
  <c r="ER72" i="10"/>
  <c r="EN72" i="10"/>
  <c r="EL72" i="10"/>
  <c r="DT72" i="10"/>
  <c r="DN72" i="10"/>
  <c r="DI72" i="10"/>
  <c r="DL72" i="10"/>
  <c r="DJ72" i="10"/>
  <c r="DM72" i="10"/>
  <c r="EM104" i="10"/>
  <c r="DG104" i="10"/>
  <c r="EL104" i="10"/>
  <c r="EK104" i="10"/>
  <c r="EJ104" i="10"/>
  <c r="EC104" i="10"/>
  <c r="DZ104" i="10"/>
  <c r="DT104" i="10"/>
  <c r="EG104" i="10"/>
  <c r="EF104" i="10"/>
  <c r="EE104" i="10"/>
  <c r="ED104" i="10"/>
  <c r="EB104" i="10"/>
  <c r="DS104" i="10"/>
  <c r="DO104" i="10"/>
  <c r="EW104" i="10"/>
  <c r="DJ104" i="10"/>
  <c r="EA104" i="10"/>
  <c r="DY104" i="10"/>
  <c r="DX104" i="10"/>
  <c r="DW104" i="10"/>
  <c r="DV104" i="10"/>
  <c r="DL104" i="10"/>
  <c r="EY104" i="10"/>
  <c r="EX104" i="10"/>
  <c r="EU104" i="10"/>
  <c r="EO104" i="10"/>
  <c r="EH104" i="10"/>
  <c r="DP104" i="10"/>
  <c r="DN104" i="10"/>
  <c r="DK104" i="10"/>
  <c r="DR104" i="10"/>
  <c r="DQ104" i="10"/>
  <c r="DM104" i="10"/>
  <c r="DI104" i="10"/>
  <c r="DH104" i="10"/>
  <c r="EI104" i="10"/>
  <c r="EN104" i="10"/>
  <c r="DU104" i="10"/>
  <c r="ER104" i="10"/>
  <c r="EV104" i="10"/>
  <c r="ET104" i="10"/>
  <c r="EQ104" i="10"/>
  <c r="EP104" i="10"/>
  <c r="ES104" i="10"/>
  <c r="DU120" i="10"/>
  <c r="EH120" i="10"/>
  <c r="DR120" i="10"/>
  <c r="ER120" i="10"/>
  <c r="DI120" i="10"/>
  <c r="EQ120" i="10"/>
  <c r="DH120" i="10"/>
  <c r="EP120" i="10"/>
  <c r="DG120" i="10"/>
  <c r="EO120" i="10"/>
  <c r="EG120" i="10"/>
  <c r="ED120" i="10"/>
  <c r="DX120" i="10"/>
  <c r="EC120" i="10"/>
  <c r="EB120" i="10"/>
  <c r="EA120" i="10"/>
  <c r="DZ120" i="10"/>
  <c r="DY120" i="10"/>
  <c r="DO120" i="10"/>
  <c r="DK120" i="10"/>
  <c r="EV120" i="10"/>
  <c r="EN120" i="10"/>
  <c r="EM120" i="10"/>
  <c r="EL120" i="10"/>
  <c r="EK120" i="10"/>
  <c r="EJ120" i="10"/>
  <c r="DS120" i="10"/>
  <c r="DM120" i="10"/>
  <c r="EY120" i="10"/>
  <c r="EU120" i="10"/>
  <c r="EF120" i="10"/>
  <c r="EE120" i="10"/>
  <c r="DV120" i="10"/>
  <c r="DN120" i="10"/>
  <c r="DL120" i="10"/>
  <c r="DJ120" i="10"/>
  <c r="EX120" i="10"/>
  <c r="EW120" i="10"/>
  <c r="ET120" i="10"/>
  <c r="ES120" i="10"/>
  <c r="EI120" i="10"/>
  <c r="DW120" i="10"/>
  <c r="DT120" i="10"/>
  <c r="DQ120" i="10"/>
  <c r="DP120" i="10"/>
  <c r="EK136" i="10"/>
  <c r="EO136" i="10"/>
  <c r="DH136" i="10"/>
  <c r="EN136" i="10"/>
  <c r="DG136" i="10"/>
  <c r="EL136" i="10"/>
  <c r="EE136" i="10"/>
  <c r="EQ136" i="10"/>
  <c r="DR136" i="10"/>
  <c r="DQ136" i="10"/>
  <c r="DP136" i="10"/>
  <c r="DO136" i="10"/>
  <c r="ET136" i="10"/>
  <c r="EP136" i="10"/>
  <c r="EF136" i="10"/>
  <c r="DK136" i="10"/>
  <c r="DJ136" i="10"/>
  <c r="DI136" i="10"/>
  <c r="ER136" i="10"/>
  <c r="EH136" i="10"/>
  <c r="EB136" i="10"/>
  <c r="EA136" i="10"/>
  <c r="DY136" i="10"/>
  <c r="EY136" i="10"/>
  <c r="EJ136" i="10"/>
  <c r="EC136" i="10"/>
  <c r="DV136" i="10"/>
  <c r="DU136" i="10"/>
  <c r="DS136" i="10"/>
  <c r="EX136" i="10"/>
  <c r="EW136" i="10"/>
  <c r="EV136" i="10"/>
  <c r="EU136" i="10"/>
  <c r="ES136" i="10"/>
  <c r="DT136" i="10"/>
  <c r="DL136" i="10"/>
  <c r="EI136" i="10"/>
  <c r="DZ136" i="10"/>
  <c r="DX136" i="10"/>
  <c r="DN136" i="10"/>
  <c r="EM136" i="10"/>
  <c r="EG136" i="10"/>
  <c r="DW136" i="10"/>
  <c r="DM136" i="10"/>
  <c r="ED136" i="10"/>
  <c r="DU152" i="10"/>
  <c r="ET152" i="10"/>
  <c r="DM152" i="10"/>
  <c r="EY152" i="10"/>
  <c r="DQ152" i="10"/>
  <c r="EX152" i="10"/>
  <c r="DP152" i="10"/>
  <c r="EW152" i="10"/>
  <c r="DO152" i="10"/>
  <c r="EV152" i="10"/>
  <c r="DN152" i="10"/>
  <c r="EO152" i="10"/>
  <c r="DG152" i="10"/>
  <c r="EK152" i="10"/>
  <c r="EM152" i="10"/>
  <c r="EJ152" i="10"/>
  <c r="EI152" i="10"/>
  <c r="EH152" i="10"/>
  <c r="EG152" i="10"/>
  <c r="DZ152" i="10"/>
  <c r="DW152" i="10"/>
  <c r="DR152" i="10"/>
  <c r="DK152" i="10"/>
  <c r="DI152" i="10"/>
  <c r="ER152" i="10"/>
  <c r="EQ152" i="10"/>
  <c r="EP152" i="10"/>
  <c r="EN152" i="10"/>
  <c r="EL152" i="10"/>
  <c r="DY152" i="10"/>
  <c r="DS152" i="10"/>
  <c r="EU152" i="10"/>
  <c r="EA152" i="10"/>
  <c r="DL152" i="10"/>
  <c r="DX152" i="10"/>
  <c r="DV152" i="10"/>
  <c r="DT152" i="10"/>
  <c r="DJ152" i="10"/>
  <c r="DH152" i="10"/>
  <c r="ES152" i="10"/>
  <c r="EC152" i="10"/>
  <c r="EE152" i="10"/>
  <c r="ED152" i="10"/>
  <c r="EF152" i="10"/>
  <c r="EB152" i="10"/>
  <c r="EK168" i="10"/>
  <c r="DT168" i="10"/>
  <c r="EY168" i="10"/>
  <c r="DR168" i="10"/>
  <c r="ER168" i="10"/>
  <c r="DK168" i="10"/>
  <c r="EO168" i="10"/>
  <c r="EN168" i="10"/>
  <c r="EM168" i="10"/>
  <c r="EL168" i="10"/>
  <c r="EE168" i="10"/>
  <c r="EA168" i="10"/>
  <c r="DU168" i="10"/>
  <c r="EI168" i="10"/>
  <c r="EH168" i="10"/>
  <c r="EG168" i="10"/>
  <c r="DJ168" i="10"/>
  <c r="EV168" i="10"/>
  <c r="EU168" i="10"/>
  <c r="ET168" i="10"/>
  <c r="ES168" i="10"/>
  <c r="EB168" i="10"/>
  <c r="DX168" i="10"/>
  <c r="DQ168" i="10"/>
  <c r="DO168" i="10"/>
  <c r="DM168" i="10"/>
  <c r="EW168" i="10"/>
  <c r="EF168" i="10"/>
  <c r="DY168" i="10"/>
  <c r="DW168" i="10"/>
  <c r="DS168" i="10"/>
  <c r="DV168" i="10"/>
  <c r="DP168" i="10"/>
  <c r="DN168" i="10"/>
  <c r="DL168" i="10"/>
  <c r="DI168" i="10"/>
  <c r="DH168" i="10"/>
  <c r="DG168" i="10"/>
  <c r="EJ168" i="10"/>
  <c r="ED168" i="10"/>
  <c r="EC168" i="10"/>
  <c r="DZ168" i="10"/>
  <c r="EP168" i="10"/>
  <c r="EX168" i="10"/>
  <c r="EQ168" i="10"/>
  <c r="DU184" i="10"/>
  <c r="EA184" i="10"/>
  <c r="DZ184" i="10"/>
  <c r="DY184" i="10"/>
  <c r="DX184" i="10"/>
  <c r="EX184" i="10"/>
  <c r="DQ184" i="10"/>
  <c r="EU184" i="10"/>
  <c r="DN184" i="10"/>
  <c r="EE184" i="10"/>
  <c r="ED184" i="10"/>
  <c r="EC184" i="10"/>
  <c r="EB184" i="10"/>
  <c r="DP184" i="10"/>
  <c r="DK184" i="10"/>
  <c r="ER184" i="10"/>
  <c r="DS184" i="10"/>
  <c r="DR184" i="10"/>
  <c r="DO184" i="10"/>
  <c r="DM184" i="10"/>
  <c r="EW184" i="10"/>
  <c r="EO184" i="10"/>
  <c r="DH184" i="10"/>
  <c r="DG184" i="10"/>
  <c r="ET184" i="10"/>
  <c r="EN184" i="10"/>
  <c r="EL184" i="10"/>
  <c r="EJ184" i="10"/>
  <c r="ES184" i="10"/>
  <c r="EQ184" i="10"/>
  <c r="EP184" i="10"/>
  <c r="EM184" i="10"/>
  <c r="EK184" i="10"/>
  <c r="DT184" i="10"/>
  <c r="EY184" i="10"/>
  <c r="EV184" i="10"/>
  <c r="EI184" i="10"/>
  <c r="DJ184" i="10"/>
  <c r="DV184" i="10"/>
  <c r="DL184" i="10"/>
  <c r="DI184" i="10"/>
  <c r="EG184" i="10"/>
  <c r="EF184" i="10"/>
  <c r="DW184" i="10"/>
  <c r="EH184" i="10"/>
  <c r="DX200" i="10"/>
  <c r="EK200" i="10"/>
  <c r="EO200" i="10"/>
  <c r="DG200" i="10"/>
  <c r="EN200" i="10"/>
  <c r="EM200" i="10"/>
  <c r="EL200" i="10"/>
  <c r="EE200" i="10"/>
  <c r="EB200" i="10"/>
  <c r="DT200" i="10"/>
  <c r="DK200" i="10"/>
  <c r="EY200" i="10"/>
  <c r="DJ200" i="10"/>
  <c r="EX200" i="10"/>
  <c r="DI200" i="10"/>
  <c r="EW200" i="10"/>
  <c r="DH200" i="10"/>
  <c r="EQ200" i="10"/>
  <c r="EH200" i="10"/>
  <c r="DZ200" i="10"/>
  <c r="EP200" i="10"/>
  <c r="EJ200" i="10"/>
  <c r="EI200" i="10"/>
  <c r="EG200" i="10"/>
  <c r="DV200" i="10"/>
  <c r="DR200" i="10"/>
  <c r="DL200" i="10"/>
  <c r="ED200" i="10"/>
  <c r="EC200" i="10"/>
  <c r="EA200" i="10"/>
  <c r="DY200" i="10"/>
  <c r="DN200" i="10"/>
  <c r="ES200" i="10"/>
  <c r="DU200" i="10"/>
  <c r="DS200" i="10"/>
  <c r="DP200" i="10"/>
  <c r="DQ200" i="10"/>
  <c r="DO200" i="10"/>
  <c r="DM200" i="10"/>
  <c r="EF200" i="10"/>
  <c r="EV200" i="10"/>
  <c r="EU200" i="10"/>
  <c r="ET200" i="10"/>
  <c r="DW200" i="10"/>
  <c r="ER200" i="10"/>
  <c r="EN216" i="10"/>
  <c r="DH216" i="10"/>
  <c r="DU216" i="10"/>
  <c r="EP216" i="10"/>
  <c r="DG216" i="10"/>
  <c r="EC216" i="10"/>
  <c r="EA216" i="10"/>
  <c r="DZ216" i="10"/>
  <c r="DY216" i="10"/>
  <c r="DX216" i="10"/>
  <c r="DQ216" i="10"/>
  <c r="EX216" i="10"/>
  <c r="DN216" i="10"/>
  <c r="EQ216" i="10"/>
  <c r="DK216" i="10"/>
  <c r="DJ216" i="10"/>
  <c r="DI216" i="10"/>
  <c r="ES216" i="10"/>
  <c r="EL216" i="10"/>
  <c r="EH216" i="10"/>
  <c r="EF216" i="10"/>
  <c r="ED216" i="10"/>
  <c r="EO216" i="10"/>
  <c r="EJ216" i="10"/>
  <c r="EB216" i="10"/>
  <c r="DV216" i="10"/>
  <c r="DW216" i="10"/>
  <c r="DT216" i="10"/>
  <c r="DS216" i="10"/>
  <c r="DR216" i="10"/>
  <c r="EY216" i="10"/>
  <c r="EI216" i="10"/>
  <c r="EG216" i="10"/>
  <c r="EE216" i="10"/>
  <c r="DP216" i="10"/>
  <c r="DO216" i="10"/>
  <c r="EU216" i="10"/>
  <c r="EK216" i="10"/>
  <c r="EW216" i="10"/>
  <c r="ER216" i="10"/>
  <c r="EM216" i="10"/>
  <c r="DL216" i="10"/>
  <c r="DM216" i="10"/>
  <c r="ET216" i="10"/>
  <c r="EV216" i="10"/>
  <c r="DX232" i="10"/>
  <c r="EK232" i="10"/>
  <c r="EM232" i="10"/>
  <c r="EG232" i="10"/>
  <c r="ET232" i="10"/>
  <c r="DJ232" i="10"/>
  <c r="EV232" i="10"/>
  <c r="DK232" i="10"/>
  <c r="EU232" i="10"/>
  <c r="DI232" i="10"/>
  <c r="EI232" i="10"/>
  <c r="EH232" i="10"/>
  <c r="EF232" i="10"/>
  <c r="EE232" i="10"/>
  <c r="DY232" i="10"/>
  <c r="DU232" i="10"/>
  <c r="DQ232" i="10"/>
  <c r="DN232" i="10"/>
  <c r="EC232" i="10"/>
  <c r="EB232" i="10"/>
  <c r="EA232" i="10"/>
  <c r="DZ232" i="10"/>
  <c r="DP232" i="10"/>
  <c r="DH232" i="10"/>
  <c r="EX232" i="10"/>
  <c r="EJ232" i="10"/>
  <c r="ED232" i="10"/>
  <c r="DW232" i="10"/>
  <c r="DV232" i="10"/>
  <c r="DG232" i="10"/>
  <c r="EY232" i="10"/>
  <c r="EW232" i="10"/>
  <c r="ES232" i="10"/>
  <c r="DT232" i="10"/>
  <c r="DO232" i="10"/>
  <c r="EQ232" i="10"/>
  <c r="EP232" i="10"/>
  <c r="EN232" i="10"/>
  <c r="EO232" i="10"/>
  <c r="DM232" i="10"/>
  <c r="DL232" i="10"/>
  <c r="ER232" i="10"/>
  <c r="EL232" i="10"/>
  <c r="DS232" i="10"/>
  <c r="DR232" i="10"/>
  <c r="EL264" i="10"/>
  <c r="EY264" i="10"/>
  <c r="DS264" i="10"/>
  <c r="EK264" i="10"/>
  <c r="DQ264" i="10"/>
  <c r="ET264" i="10"/>
  <c r="DJ264" i="10"/>
  <c r="EQ264" i="10"/>
  <c r="DO264" i="10"/>
  <c r="DN264" i="10"/>
  <c r="DM264" i="10"/>
  <c r="EW264" i="10"/>
  <c r="DK264" i="10"/>
  <c r="DR264" i="10"/>
  <c r="DP264" i="10"/>
  <c r="DL264" i="10"/>
  <c r="DI264" i="10"/>
  <c r="EU264" i="10"/>
  <c r="EP264" i="10"/>
  <c r="EJ264" i="10"/>
  <c r="EI264" i="10"/>
  <c r="EH264" i="10"/>
  <c r="EG264" i="10"/>
  <c r="EA264" i="10"/>
  <c r="DX264" i="10"/>
  <c r="DY264" i="10"/>
  <c r="DW264" i="10"/>
  <c r="DV264" i="10"/>
  <c r="DU264" i="10"/>
  <c r="EX264" i="10"/>
  <c r="ER264" i="10"/>
  <c r="ES264" i="10"/>
  <c r="EO264" i="10"/>
  <c r="EN264" i="10"/>
  <c r="EM264" i="10"/>
  <c r="DZ264" i="10"/>
  <c r="EE264" i="10"/>
  <c r="ED264" i="10"/>
  <c r="EC264" i="10"/>
  <c r="EB264" i="10"/>
  <c r="DT264" i="10"/>
  <c r="DG264" i="10"/>
  <c r="DH264" i="10"/>
  <c r="EV264" i="10"/>
  <c r="EF264" i="10"/>
  <c r="BT79" i="10"/>
  <c r="BW211" i="10"/>
  <c r="EH23" i="10"/>
  <c r="EG23" i="10"/>
  <c r="EF23" i="10"/>
  <c r="ET23" i="10"/>
  <c r="DN23" i="10"/>
  <c r="DW23" i="10"/>
  <c r="DV23" i="10"/>
  <c r="DU23" i="10"/>
  <c r="DT23" i="10"/>
  <c r="DS23" i="10"/>
  <c r="EU23" i="10"/>
  <c r="DJ23" i="10"/>
  <c r="EQ23" i="10"/>
  <c r="DG23" i="10"/>
  <c r="EL23" i="10"/>
  <c r="DX23" i="10"/>
  <c r="DR23" i="10"/>
  <c r="DQ23" i="10"/>
  <c r="DP23" i="10"/>
  <c r="DO23" i="10"/>
  <c r="EY23" i="10"/>
  <c r="ES23" i="10"/>
  <c r="DL23" i="10"/>
  <c r="DK23" i="10"/>
  <c r="DI23" i="10"/>
  <c r="DH23" i="10"/>
  <c r="ER23" i="10"/>
  <c r="EM23" i="10"/>
  <c r="EK23" i="10"/>
  <c r="EI23" i="10"/>
  <c r="EE23" i="10"/>
  <c r="EA23" i="10"/>
  <c r="EV23" i="10"/>
  <c r="EO23" i="10"/>
  <c r="EN23" i="10"/>
  <c r="EJ23" i="10"/>
  <c r="EX23" i="10"/>
  <c r="EW23" i="10"/>
  <c r="EP23" i="10"/>
  <c r="DY23" i="10"/>
  <c r="ED23" i="10"/>
  <c r="EC23" i="10"/>
  <c r="DM23" i="10"/>
  <c r="DZ23" i="10"/>
  <c r="DZ39" i="10"/>
  <c r="EF39" i="10"/>
  <c r="EE39" i="10"/>
  <c r="ED39" i="10"/>
  <c r="EC39" i="10"/>
  <c r="DT39" i="10"/>
  <c r="ER39" i="10"/>
  <c r="DK39" i="10"/>
  <c r="EB39" i="10"/>
  <c r="EA39" i="10"/>
  <c r="DY39" i="10"/>
  <c r="DX39" i="10"/>
  <c r="DW39" i="10"/>
  <c r="DN39" i="10"/>
  <c r="EX39" i="10"/>
  <c r="DJ39" i="10"/>
  <c r="ES39" i="10"/>
  <c r="DM39" i="10"/>
  <c r="DL39" i="10"/>
  <c r="DI39" i="10"/>
  <c r="DH39" i="10"/>
  <c r="DG39" i="10"/>
  <c r="EU39" i="10"/>
  <c r="EO39" i="10"/>
  <c r="EJ39" i="10"/>
  <c r="DP39" i="10"/>
  <c r="DO39" i="10"/>
  <c r="EV39" i="10"/>
  <c r="EN39" i="10"/>
  <c r="EM39" i="10"/>
  <c r="EK39" i="10"/>
  <c r="DR39" i="10"/>
  <c r="DQ39" i="10"/>
  <c r="EY39" i="10"/>
  <c r="EW39" i="10"/>
  <c r="EQ39" i="10"/>
  <c r="EP39" i="10"/>
  <c r="ET39" i="10"/>
  <c r="EL39" i="10"/>
  <c r="DU39" i="10"/>
  <c r="DS39" i="10"/>
  <c r="EI39" i="10"/>
  <c r="EG39" i="10"/>
  <c r="DV39" i="10"/>
  <c r="EH39" i="10"/>
  <c r="EJ87" i="10"/>
  <c r="EI87" i="10"/>
  <c r="EG87" i="10"/>
  <c r="DZ87" i="10"/>
  <c r="DW87" i="10"/>
  <c r="EW87" i="10"/>
  <c r="DU87" i="10"/>
  <c r="DT87" i="10"/>
  <c r="DS87" i="10"/>
  <c r="DR87" i="10"/>
  <c r="DQ87" i="10"/>
  <c r="EU87" i="10"/>
  <c r="DJ87" i="10"/>
  <c r="EQ87" i="10"/>
  <c r="EL87" i="10"/>
  <c r="EE87" i="10"/>
  <c r="ED87" i="10"/>
  <c r="EC87" i="10"/>
  <c r="EB87" i="10"/>
  <c r="EA87" i="10"/>
  <c r="DM87" i="10"/>
  <c r="DH87" i="10"/>
  <c r="EY87" i="10"/>
  <c r="EX87" i="10"/>
  <c r="EN87" i="10"/>
  <c r="EM87" i="10"/>
  <c r="EK87" i="10"/>
  <c r="EH87" i="10"/>
  <c r="EF87" i="10"/>
  <c r="DK87" i="10"/>
  <c r="EV87" i="10"/>
  <c r="EP87" i="10"/>
  <c r="DP87" i="10"/>
  <c r="ET87" i="10"/>
  <c r="ES87" i="10"/>
  <c r="ER87" i="10"/>
  <c r="EO87" i="10"/>
  <c r="DG87" i="10"/>
  <c r="DN87" i="10"/>
  <c r="DV87" i="10"/>
  <c r="DL87" i="10"/>
  <c r="DI87" i="10"/>
  <c r="DX87" i="10"/>
  <c r="DY87" i="10"/>
  <c r="DO87" i="10"/>
  <c r="EH119" i="10"/>
  <c r="ET119" i="10"/>
  <c r="DM119" i="10"/>
  <c r="EC119" i="10"/>
  <c r="DS119" i="10"/>
  <c r="DR119" i="10"/>
  <c r="DQ119" i="10"/>
  <c r="EY119" i="10"/>
  <c r="DP119" i="10"/>
  <c r="EQ119" i="10"/>
  <c r="DH119" i="10"/>
  <c r="EN119" i="10"/>
  <c r="EG119" i="10"/>
  <c r="ED119" i="10"/>
  <c r="EB119" i="10"/>
  <c r="EA119" i="10"/>
  <c r="DZ119" i="10"/>
  <c r="DY119" i="10"/>
  <c r="DN119" i="10"/>
  <c r="DI119" i="10"/>
  <c r="EU119" i="10"/>
  <c r="DX119" i="10"/>
  <c r="DW119" i="10"/>
  <c r="DV119" i="10"/>
  <c r="DU119" i="10"/>
  <c r="DT119" i="10"/>
  <c r="EW119" i="10"/>
  <c r="EV119" i="10"/>
  <c r="ER119" i="10"/>
  <c r="EO119" i="10"/>
  <c r="EM119" i="10"/>
  <c r="EL119" i="10"/>
  <c r="EK119" i="10"/>
  <c r="EJ119" i="10"/>
  <c r="DG119" i="10"/>
  <c r="EX119" i="10"/>
  <c r="ES119" i="10"/>
  <c r="DJ119" i="10"/>
  <c r="DO119" i="10"/>
  <c r="EP119" i="10"/>
  <c r="EE119" i="10"/>
  <c r="DK119" i="10"/>
  <c r="EF119" i="10"/>
  <c r="DL119" i="10"/>
  <c r="EI119" i="10"/>
  <c r="EX135" i="10"/>
  <c r="DR135" i="10"/>
  <c r="DT135" i="10"/>
  <c r="DS135" i="10"/>
  <c r="EW135" i="10"/>
  <c r="DP135" i="10"/>
  <c r="EQ135" i="10"/>
  <c r="DJ135" i="10"/>
  <c r="EU135" i="10"/>
  <c r="DI135" i="10"/>
  <c r="DY135" i="10"/>
  <c r="DX135" i="10"/>
  <c r="DW135" i="10"/>
  <c r="DV135" i="10"/>
  <c r="EY135" i="10"/>
  <c r="DK135" i="10"/>
  <c r="ES135" i="10"/>
  <c r="EL135" i="10"/>
  <c r="EV135" i="10"/>
  <c r="ET135" i="10"/>
  <c r="EJ135" i="10"/>
  <c r="EF135" i="10"/>
  <c r="EB135" i="10"/>
  <c r="EA135" i="10"/>
  <c r="DU135" i="10"/>
  <c r="EI135" i="10"/>
  <c r="EH135" i="10"/>
  <c r="EG135" i="10"/>
  <c r="EE135" i="10"/>
  <c r="ED135" i="10"/>
  <c r="DL135" i="10"/>
  <c r="EN135" i="10"/>
  <c r="EM135" i="10"/>
  <c r="EC135" i="10"/>
  <c r="EP135" i="10"/>
  <c r="EO135" i="10"/>
  <c r="EK135" i="10"/>
  <c r="DZ135" i="10"/>
  <c r="DQ135" i="10"/>
  <c r="ER135" i="10"/>
  <c r="DO135" i="10"/>
  <c r="DN135" i="10"/>
  <c r="DM135" i="10"/>
  <c r="DH135" i="10"/>
  <c r="DG135" i="10"/>
  <c r="EH151" i="10"/>
  <c r="DY151" i="10"/>
  <c r="EB151" i="10"/>
  <c r="EA151" i="10"/>
  <c r="DZ151" i="10"/>
  <c r="DX151" i="10"/>
  <c r="DR151" i="10"/>
  <c r="EV151" i="10"/>
  <c r="DN151" i="10"/>
  <c r="EQ151" i="10"/>
  <c r="EN151" i="10"/>
  <c r="EM151" i="10"/>
  <c r="EL151" i="10"/>
  <c r="EK151" i="10"/>
  <c r="EC151" i="10"/>
  <c r="DU151" i="10"/>
  <c r="DP151" i="10"/>
  <c r="DM151" i="10"/>
  <c r="DK151" i="10"/>
  <c r="EE151" i="10"/>
  <c r="ED151" i="10"/>
  <c r="DW151" i="10"/>
  <c r="DV151" i="10"/>
  <c r="DT151" i="10"/>
  <c r="DH151" i="10"/>
  <c r="EY151" i="10"/>
  <c r="EX151" i="10"/>
  <c r="EU151" i="10"/>
  <c r="DJ151" i="10"/>
  <c r="DI151" i="10"/>
  <c r="DG151" i="10"/>
  <c r="ET151" i="10"/>
  <c r="ES151" i="10"/>
  <c r="EP151" i="10"/>
  <c r="DS151" i="10"/>
  <c r="DL151" i="10"/>
  <c r="EO151" i="10"/>
  <c r="EJ151" i="10"/>
  <c r="EG151" i="10"/>
  <c r="EW151" i="10"/>
  <c r="EI151" i="10"/>
  <c r="EF151" i="10"/>
  <c r="DQ151" i="10"/>
  <c r="DO151" i="10"/>
  <c r="ER151" i="10"/>
  <c r="EX167" i="10"/>
  <c r="DR167" i="10"/>
  <c r="EF167" i="10"/>
  <c r="ED167" i="10"/>
  <c r="DW167" i="10"/>
  <c r="EW167" i="10"/>
  <c r="DM167" i="10"/>
  <c r="EV167" i="10"/>
  <c r="DL167" i="10"/>
  <c r="EU167" i="10"/>
  <c r="DK167" i="10"/>
  <c r="ET167" i="10"/>
  <c r="DJ167" i="10"/>
  <c r="EN167" i="10"/>
  <c r="EJ167" i="10"/>
  <c r="EB167" i="10"/>
  <c r="EI167" i="10"/>
  <c r="EH167" i="10"/>
  <c r="EG167" i="10"/>
  <c r="DG167" i="10"/>
  <c r="EM167" i="10"/>
  <c r="EL167" i="10"/>
  <c r="EK167" i="10"/>
  <c r="EE167" i="10"/>
  <c r="DU167" i="10"/>
  <c r="DQ167" i="10"/>
  <c r="DI167" i="10"/>
  <c r="EQ167" i="10"/>
  <c r="EP167" i="10"/>
  <c r="EO167" i="10"/>
  <c r="EC167" i="10"/>
  <c r="EA167" i="10"/>
  <c r="DP167" i="10"/>
  <c r="DY167" i="10"/>
  <c r="DS167" i="10"/>
  <c r="EY167" i="10"/>
  <c r="ES167" i="10"/>
  <c r="ER167" i="10"/>
  <c r="DZ167" i="10"/>
  <c r="DT167" i="10"/>
  <c r="DX167" i="10"/>
  <c r="DV167" i="10"/>
  <c r="DO167" i="10"/>
  <c r="DN167" i="10"/>
  <c r="DH167" i="10"/>
  <c r="EH183" i="10"/>
  <c r="EM183" i="10"/>
  <c r="EL183" i="10"/>
  <c r="EK183" i="10"/>
  <c r="EJ183" i="10"/>
  <c r="EC183" i="10"/>
  <c r="DZ183" i="10"/>
  <c r="EF183" i="10"/>
  <c r="EE183" i="10"/>
  <c r="ED183" i="10"/>
  <c r="EB183" i="10"/>
  <c r="DU183" i="10"/>
  <c r="DQ183" i="10"/>
  <c r="EX183" i="10"/>
  <c r="DK183" i="10"/>
  <c r="DN183" i="10"/>
  <c r="DM183" i="10"/>
  <c r="DL183" i="10"/>
  <c r="DJ183" i="10"/>
  <c r="EW183" i="10"/>
  <c r="ET183" i="10"/>
  <c r="EN183" i="10"/>
  <c r="EY183" i="10"/>
  <c r="EV183" i="10"/>
  <c r="EI183" i="10"/>
  <c r="DY183" i="10"/>
  <c r="DT183" i="10"/>
  <c r="DR183" i="10"/>
  <c r="DO183" i="10"/>
  <c r="EU183" i="10"/>
  <c r="EP183" i="10"/>
  <c r="EO183" i="10"/>
  <c r="EA183" i="10"/>
  <c r="EQ183" i="10"/>
  <c r="DV183" i="10"/>
  <c r="DS183" i="10"/>
  <c r="DI183" i="10"/>
  <c r="ES183" i="10"/>
  <c r="ER183" i="10"/>
  <c r="EG183" i="10"/>
  <c r="DH183" i="10"/>
  <c r="DW183" i="10"/>
  <c r="DX183" i="10"/>
  <c r="DP183" i="10"/>
  <c r="DG183" i="10"/>
  <c r="EK199" i="10"/>
  <c r="EX199" i="10"/>
  <c r="DR199" i="10"/>
  <c r="DQ199" i="10"/>
  <c r="EY199" i="10"/>
  <c r="DP199" i="10"/>
  <c r="EW199" i="10"/>
  <c r="DO199" i="10"/>
  <c r="EV199" i="10"/>
  <c r="DN199" i="10"/>
  <c r="EP199" i="10"/>
  <c r="DH199" i="10"/>
  <c r="EM199" i="10"/>
  <c r="EE199" i="10"/>
  <c r="DJ199" i="10"/>
  <c r="DI199" i="10"/>
  <c r="DG199" i="10"/>
  <c r="EO199" i="10"/>
  <c r="EI199" i="10"/>
  <c r="EB199" i="10"/>
  <c r="EC199" i="10"/>
  <c r="EA199" i="10"/>
  <c r="DZ199" i="10"/>
  <c r="DY199" i="10"/>
  <c r="DM199" i="10"/>
  <c r="ET199" i="10"/>
  <c r="EN199" i="10"/>
  <c r="EJ199" i="10"/>
  <c r="EG199" i="10"/>
  <c r="ED199" i="10"/>
  <c r="DX199" i="10"/>
  <c r="DW199" i="10"/>
  <c r="DV199" i="10"/>
  <c r="DU199" i="10"/>
  <c r="EU199" i="10"/>
  <c r="ES199" i="10"/>
  <c r="DS199" i="10"/>
  <c r="EQ199" i="10"/>
  <c r="DT199" i="10"/>
  <c r="DL199" i="10"/>
  <c r="DK199" i="10"/>
  <c r="EH199" i="10"/>
  <c r="EF199" i="10"/>
  <c r="EL199" i="10"/>
  <c r="EK231" i="10"/>
  <c r="EX231" i="10"/>
  <c r="DR231" i="10"/>
  <c r="EW231" i="10"/>
  <c r="DO231" i="10"/>
  <c r="EQ231" i="10"/>
  <c r="DH231" i="10"/>
  <c r="DS231" i="10"/>
  <c r="DQ231" i="10"/>
  <c r="DP231" i="10"/>
  <c r="EN231" i="10"/>
  <c r="EM231" i="10"/>
  <c r="EL231" i="10"/>
  <c r="EJ231" i="10"/>
  <c r="ED231" i="10"/>
  <c r="EA231" i="10"/>
  <c r="DW231" i="10"/>
  <c r="DT231" i="10"/>
  <c r="DX231" i="10"/>
  <c r="DV231" i="10"/>
  <c r="DU231" i="10"/>
  <c r="DN231" i="10"/>
  <c r="DG231" i="10"/>
  <c r="EU231" i="10"/>
  <c r="ES231" i="10"/>
  <c r="EP231" i="10"/>
  <c r="ET231" i="10"/>
  <c r="EH231" i="10"/>
  <c r="EF231" i="10"/>
  <c r="EC231" i="10"/>
  <c r="EV231" i="10"/>
  <c r="EO231" i="10"/>
  <c r="EG231" i="10"/>
  <c r="EB231" i="10"/>
  <c r="DZ231" i="10"/>
  <c r="DY231" i="10"/>
  <c r="DM231" i="10"/>
  <c r="DL231" i="10"/>
  <c r="EI231" i="10"/>
  <c r="EE231" i="10"/>
  <c r="DK231" i="10"/>
  <c r="DJ231" i="10"/>
  <c r="DI231" i="10"/>
  <c r="EY231" i="10"/>
  <c r="ER231" i="10"/>
  <c r="DU247" i="10"/>
  <c r="EH247" i="10"/>
  <c r="ET247" i="10"/>
  <c r="DL247" i="10"/>
  <c r="EB247" i="10"/>
  <c r="DY247" i="10"/>
  <c r="DV247" i="10"/>
  <c r="DP247" i="10"/>
  <c r="DO247" i="10"/>
  <c r="DN247" i="10"/>
  <c r="EY247" i="10"/>
  <c r="DM247" i="10"/>
  <c r="ER247" i="10"/>
  <c r="EO247" i="10"/>
  <c r="EP247" i="10"/>
  <c r="EN247" i="10"/>
  <c r="EM247" i="10"/>
  <c r="EL247" i="10"/>
  <c r="EE247" i="10"/>
  <c r="EA247" i="10"/>
  <c r="DT247" i="10"/>
  <c r="DQ247" i="10"/>
  <c r="DW247" i="10"/>
  <c r="DS247" i="10"/>
  <c r="DR247" i="10"/>
  <c r="DK247" i="10"/>
  <c r="EX247" i="10"/>
  <c r="EV247" i="10"/>
  <c r="ES247" i="10"/>
  <c r="EF247" i="10"/>
  <c r="ED247" i="10"/>
  <c r="EC247" i="10"/>
  <c r="DZ247" i="10"/>
  <c r="EQ247" i="10"/>
  <c r="EG247" i="10"/>
  <c r="DJ247" i="10"/>
  <c r="DH247" i="10"/>
  <c r="EW247" i="10"/>
  <c r="EK247" i="10"/>
  <c r="EU247" i="10"/>
  <c r="EJ247" i="10"/>
  <c r="EI247" i="10"/>
  <c r="DX247" i="10"/>
  <c r="DI247" i="10"/>
  <c r="DG247" i="10"/>
  <c r="BW191" i="10"/>
  <c r="BW68" i="10"/>
  <c r="BW79" i="10"/>
  <c r="BW12" i="10"/>
  <c r="BL257" i="10"/>
  <c r="BL252" i="10"/>
  <c r="BL271" i="10"/>
  <c r="BL270" i="10"/>
  <c r="BL269" i="10"/>
  <c r="BL268" i="10"/>
  <c r="BL215" i="10"/>
  <c r="BL260" i="10"/>
  <c r="BL210" i="10"/>
  <c r="BL237" i="10"/>
  <c r="BL205" i="10"/>
  <c r="BL273" i="10"/>
  <c r="BL242" i="10"/>
  <c r="BL232" i="10"/>
  <c r="BL200" i="10"/>
  <c r="BL227" i="10"/>
  <c r="BL254" i="10"/>
  <c r="BL219" i="10"/>
  <c r="BL263" i="10"/>
  <c r="BL231" i="10"/>
  <c r="BL253" i="10"/>
  <c r="BL238" i="10"/>
  <c r="BL264" i="10"/>
  <c r="BL199" i="10"/>
  <c r="BL167" i="10"/>
  <c r="BL220" i="10"/>
  <c r="BL209" i="10"/>
  <c r="BL184" i="10"/>
  <c r="BL255" i="10"/>
  <c r="BL236" i="10"/>
  <c r="BL179" i="10"/>
  <c r="BL259" i="10"/>
  <c r="BL258" i="10"/>
  <c r="BL207" i="10"/>
  <c r="BL171" i="10"/>
  <c r="BL230" i="10"/>
  <c r="BL229" i="10"/>
  <c r="BL188" i="10"/>
  <c r="BL183" i="10"/>
  <c r="BL226" i="10"/>
  <c r="BL262" i="10"/>
  <c r="BL243" i="10"/>
  <c r="BL222" i="10"/>
  <c r="BL165" i="10"/>
  <c r="BL153" i="10"/>
  <c r="BL123" i="10"/>
  <c r="BL217" i="10"/>
  <c r="BL150" i="10"/>
  <c r="BL211" i="10"/>
  <c r="BL180" i="10"/>
  <c r="BL145" i="10"/>
  <c r="BL204" i="10"/>
  <c r="BL140" i="10"/>
  <c r="BL261" i="10"/>
  <c r="BL240" i="10"/>
  <c r="BL164" i="10"/>
  <c r="BL160" i="10"/>
  <c r="BL135" i="10"/>
  <c r="BL213" i="10"/>
  <c r="BL189" i="10"/>
  <c r="BL177" i="10"/>
  <c r="BL163" i="10"/>
  <c r="BL251" i="10"/>
  <c r="BL234" i="10"/>
  <c r="BL214" i="10"/>
  <c r="BL208" i="10"/>
  <c r="BL197" i="10"/>
  <c r="BL187" i="10"/>
  <c r="BL186" i="10"/>
  <c r="BL158" i="10"/>
  <c r="BL225" i="10"/>
  <c r="BL201" i="10"/>
  <c r="BL206" i="10"/>
  <c r="BL142" i="10"/>
  <c r="BL130" i="10"/>
  <c r="BL106" i="10"/>
  <c r="BL101" i="10"/>
  <c r="BL218" i="10"/>
  <c r="BL193" i="10"/>
  <c r="BL272" i="10"/>
  <c r="BL185" i="10"/>
  <c r="BL174" i="10"/>
  <c r="BL91" i="10"/>
  <c r="BL265" i="10"/>
  <c r="BL246" i="10"/>
  <c r="BL152" i="10"/>
  <c r="BL151" i="10"/>
  <c r="BL141" i="10"/>
  <c r="BL134" i="10"/>
  <c r="BL118" i="10"/>
  <c r="BL86" i="10"/>
  <c r="BL223" i="10"/>
  <c r="BL181" i="10"/>
  <c r="BL133" i="10"/>
  <c r="BL125" i="10"/>
  <c r="BL105" i="10"/>
  <c r="BL245" i="10"/>
  <c r="BL170" i="10"/>
  <c r="BL138" i="10"/>
  <c r="BL117" i="10"/>
  <c r="BL182" i="10"/>
  <c r="BL162" i="10"/>
  <c r="BL146" i="10"/>
  <c r="BL128" i="10"/>
  <c r="BL256" i="10"/>
  <c r="BL192" i="10"/>
  <c r="BL233" i="10"/>
  <c r="BL68" i="10"/>
  <c r="BL36" i="10"/>
  <c r="BL175" i="10"/>
  <c r="BL119" i="10"/>
  <c r="BL239" i="10"/>
  <c r="BL203" i="10"/>
  <c r="BL58" i="10"/>
  <c r="BL190" i="10"/>
  <c r="BL92" i="10"/>
  <c r="BL53" i="10"/>
  <c r="BL249" i="10"/>
  <c r="BL224" i="10"/>
  <c r="BL85" i="10"/>
  <c r="BL80" i="10"/>
  <c r="BL48" i="10"/>
  <c r="BL212" i="10"/>
  <c r="BL67" i="10"/>
  <c r="BL166" i="10"/>
  <c r="BL79" i="10"/>
  <c r="BL111" i="10"/>
  <c r="BL100" i="10"/>
  <c r="BL94" i="10"/>
  <c r="BL90" i="10"/>
  <c r="BL64" i="10"/>
  <c r="BL228" i="10"/>
  <c r="BL195" i="10"/>
  <c r="BL137" i="10"/>
  <c r="BL202" i="10"/>
  <c r="BL176" i="10"/>
  <c r="BL143" i="10"/>
  <c r="BL136" i="10"/>
  <c r="BL107" i="10"/>
  <c r="BL95" i="10"/>
  <c r="BL78" i="10"/>
  <c r="BL77" i="10"/>
  <c r="BL13" i="10"/>
  <c r="BL131" i="10"/>
  <c r="BL102" i="10"/>
  <c r="BL96" i="10"/>
  <c r="BL76" i="10"/>
  <c r="BL75" i="10"/>
  <c r="BL47" i="10"/>
  <c r="BL18" i="10"/>
  <c r="BL113" i="10"/>
  <c r="BL29" i="10"/>
  <c r="BL173" i="10"/>
  <c r="BL168" i="10"/>
  <c r="BL148" i="10"/>
  <c r="BL108" i="10"/>
  <c r="BL52" i="10"/>
  <c r="BL32" i="10"/>
  <c r="BL144" i="10"/>
  <c r="BL129" i="10"/>
  <c r="BL126" i="10"/>
  <c r="BL56" i="10"/>
  <c r="BL41" i="10"/>
  <c r="BL12" i="10"/>
  <c r="BL88" i="10"/>
  <c r="BL274" i="10"/>
  <c r="BL87" i="10"/>
  <c r="BL84" i="10"/>
  <c r="BL235" i="10"/>
  <c r="BL221" i="10"/>
  <c r="BL121" i="10"/>
  <c r="BL93" i="10"/>
  <c r="BL72" i="10"/>
  <c r="BL60" i="10"/>
  <c r="BL40" i="10"/>
  <c r="BL39" i="10"/>
  <c r="BL25" i="10"/>
  <c r="BL24" i="10"/>
  <c r="BL127" i="10"/>
  <c r="BL51" i="10"/>
  <c r="BL244" i="10"/>
  <c r="BL82" i="10"/>
  <c r="BL157" i="10"/>
  <c r="BL154" i="10"/>
  <c r="BL115" i="10"/>
  <c r="BL42" i="10"/>
  <c r="BL23" i="10"/>
  <c r="BL14" i="10"/>
  <c r="BL159" i="10"/>
  <c r="BL97" i="10"/>
  <c r="BL20" i="10"/>
  <c r="BL156" i="10"/>
  <c r="BL63" i="10"/>
  <c r="BL241" i="10"/>
  <c r="BL70" i="10"/>
  <c r="BL19" i="10"/>
  <c r="BL248" i="10"/>
  <c r="BL120" i="10"/>
  <c r="BL191" i="10"/>
  <c r="BL247" i="10"/>
  <c r="BL116" i="10"/>
  <c r="BL114" i="10"/>
  <c r="BL57" i="10"/>
  <c r="BL178" i="10"/>
  <c r="BL149" i="10"/>
  <c r="BL59" i="10"/>
  <c r="BL34" i="10"/>
  <c r="BL27" i="10"/>
  <c r="BL15" i="10"/>
  <c r="BL104" i="10"/>
  <c r="BL83" i="10"/>
  <c r="BL74" i="10"/>
  <c r="BL16" i="10"/>
  <c r="BL198" i="10"/>
  <c r="BL124" i="10"/>
  <c r="BL98" i="10"/>
  <c r="BL155" i="10"/>
  <c r="BL61" i="10"/>
  <c r="BL161" i="10"/>
  <c r="BL65" i="10"/>
  <c r="BL49" i="10"/>
  <c r="BL11" i="10"/>
  <c r="BL196" i="10"/>
  <c r="BL139" i="10"/>
  <c r="BL267" i="10"/>
  <c r="BL37" i="10"/>
  <c r="BL266" i="10"/>
  <c r="BL122" i="10"/>
  <c r="BL62" i="10"/>
  <c r="BL35" i="10"/>
  <c r="BL250" i="10"/>
  <c r="BL169" i="10"/>
  <c r="BL147" i="10"/>
  <c r="BL66" i="10"/>
  <c r="BL26" i="10"/>
  <c r="BT272" i="10"/>
  <c r="BT264" i="10"/>
  <c r="BT269" i="10"/>
  <c r="BT244" i="10"/>
  <c r="BT271" i="10"/>
  <c r="BT268" i="10"/>
  <c r="BT267" i="10"/>
  <c r="BT262" i="10"/>
  <c r="BT266" i="10"/>
  <c r="BT274" i="10"/>
  <c r="BT239" i="10"/>
  <c r="BT207" i="10"/>
  <c r="BT259" i="10"/>
  <c r="BT234" i="10"/>
  <c r="BT202" i="10"/>
  <c r="BT229" i="10"/>
  <c r="BT265" i="10"/>
  <c r="BT224" i="10"/>
  <c r="BT219" i="10"/>
  <c r="BT270" i="10"/>
  <c r="BT211" i="10"/>
  <c r="BT261" i="10"/>
  <c r="BT257" i="10"/>
  <c r="BT223" i="10"/>
  <c r="BT230" i="10"/>
  <c r="BT235" i="10"/>
  <c r="BT218" i="10"/>
  <c r="BT159" i="10"/>
  <c r="BT256" i="10"/>
  <c r="BT208" i="10"/>
  <c r="BT195" i="10"/>
  <c r="BT186" i="10"/>
  <c r="BT255" i="10"/>
  <c r="BT198" i="10"/>
  <c r="BT181" i="10"/>
  <c r="BT233" i="10"/>
  <c r="BT176" i="10"/>
  <c r="BT171" i="10"/>
  <c r="BT260" i="10"/>
  <c r="BT228" i="10"/>
  <c r="BT214" i="10"/>
  <c r="BT213" i="10"/>
  <c r="BT175" i="10"/>
  <c r="BT243" i="10"/>
  <c r="BT241" i="10"/>
  <c r="BT193" i="10"/>
  <c r="BT247" i="10"/>
  <c r="BT242" i="10"/>
  <c r="BT240" i="10"/>
  <c r="BT179" i="10"/>
  <c r="BT164" i="10"/>
  <c r="BT147" i="10"/>
  <c r="BT205" i="10"/>
  <c r="BT178" i="10"/>
  <c r="BT142" i="10"/>
  <c r="BT253" i="10"/>
  <c r="BT250" i="10"/>
  <c r="BT137" i="10"/>
  <c r="BT212" i="10"/>
  <c r="BT206" i="10"/>
  <c r="BT152" i="10"/>
  <c r="BT132" i="10"/>
  <c r="BT238" i="10"/>
  <c r="BT199" i="10"/>
  <c r="BT185" i="10"/>
  <c r="BT146" i="10"/>
  <c r="BT209" i="10"/>
  <c r="BT201" i="10"/>
  <c r="BT183" i="10"/>
  <c r="BT173" i="10"/>
  <c r="BT231" i="10"/>
  <c r="BT226" i="10"/>
  <c r="BT216" i="10"/>
  <c r="BT252" i="10"/>
  <c r="BT249" i="10"/>
  <c r="BT98" i="10"/>
  <c r="BT174" i="10"/>
  <c r="BT155" i="10"/>
  <c r="BT154" i="10"/>
  <c r="BT93" i="10"/>
  <c r="BT180" i="10"/>
  <c r="BT168" i="10"/>
  <c r="BT150" i="10"/>
  <c r="BT140" i="10"/>
  <c r="BT129" i="10"/>
  <c r="BT120" i="10"/>
  <c r="BT149" i="10"/>
  <c r="BT139" i="10"/>
  <c r="BT115" i="10"/>
  <c r="BT248" i="10"/>
  <c r="BT194" i="10"/>
  <c r="BT190" i="10"/>
  <c r="BT156" i="10"/>
  <c r="BT110" i="10"/>
  <c r="BT97" i="10"/>
  <c r="BT210" i="10"/>
  <c r="BT136" i="10"/>
  <c r="BT109" i="10"/>
  <c r="BT236" i="10"/>
  <c r="BT172" i="10"/>
  <c r="BT258" i="10"/>
  <c r="BT215" i="10"/>
  <c r="BT263" i="10"/>
  <c r="BT188" i="10"/>
  <c r="BT151" i="10"/>
  <c r="BT116" i="10"/>
  <c r="BT60" i="10"/>
  <c r="BT28" i="10"/>
  <c r="BT227" i="10"/>
  <c r="BT165" i="10"/>
  <c r="BT104" i="10"/>
  <c r="BT184" i="10"/>
  <c r="BT133" i="10"/>
  <c r="BT82" i="10"/>
  <c r="BT50" i="10"/>
  <c r="BT221" i="10"/>
  <c r="BT192" i="10"/>
  <c r="BT162" i="10"/>
  <c r="BT95" i="10"/>
  <c r="BT77" i="10"/>
  <c r="BT45" i="10"/>
  <c r="BT196" i="10"/>
  <c r="BT114" i="10"/>
  <c r="BT72" i="10"/>
  <c r="BT169" i="10"/>
  <c r="BT100" i="10"/>
  <c r="BT191" i="10"/>
  <c r="BT189" i="10"/>
  <c r="BT187" i="10"/>
  <c r="BT153" i="10"/>
  <c r="BT143" i="10"/>
  <c r="BT99" i="10"/>
  <c r="BT71" i="10"/>
  <c r="BT237" i="10"/>
  <c r="BT197" i="10"/>
  <c r="BT125" i="10"/>
  <c r="BT124" i="10"/>
  <c r="BT56" i="10"/>
  <c r="BT225" i="10"/>
  <c r="BT144" i="10"/>
  <c r="BT138" i="10"/>
  <c r="BT127" i="10"/>
  <c r="BT123" i="10"/>
  <c r="BT246" i="10"/>
  <c r="BT131" i="10"/>
  <c r="BT130" i="10"/>
  <c r="BT166" i="10"/>
  <c r="BT117" i="10"/>
  <c r="BT113" i="10"/>
  <c r="BT63" i="10"/>
  <c r="BT38" i="10"/>
  <c r="BT23" i="10"/>
  <c r="BT134" i="10"/>
  <c r="BT108" i="10"/>
  <c r="BT96" i="10"/>
  <c r="BT73" i="10"/>
  <c r="BT46" i="10"/>
  <c r="BT62" i="10"/>
  <c r="BT51" i="10"/>
  <c r="BT20" i="10"/>
  <c r="BT103" i="10"/>
  <c r="BT87" i="10"/>
  <c r="BT84" i="10"/>
  <c r="BT245" i="10"/>
  <c r="BT177" i="10"/>
  <c r="BT91" i="10"/>
  <c r="BT66" i="10"/>
  <c r="BT27" i="10"/>
  <c r="BT182" i="10"/>
  <c r="BT167" i="10"/>
  <c r="BT36" i="10"/>
  <c r="BT273" i="10"/>
  <c r="BT106" i="10"/>
  <c r="BT141" i="10"/>
  <c r="BT128" i="10"/>
  <c r="BT157" i="10"/>
  <c r="BT61" i="10"/>
  <c r="BT52" i="10"/>
  <c r="X10" i="10"/>
  <c r="BT10" i="10" s="1"/>
  <c r="DP10" i="10" s="1"/>
  <c r="FL10" i="10" s="1"/>
  <c r="BT163" i="10"/>
  <c r="BT42" i="10"/>
  <c r="BT22" i="10"/>
  <c r="BT21" i="10"/>
  <c r="BT68" i="10"/>
  <c r="BT83" i="10"/>
  <c r="BT160" i="10"/>
  <c r="BT43" i="10"/>
  <c r="BT44" i="10"/>
  <c r="BT251" i="10"/>
  <c r="BT78" i="10"/>
  <c r="BT53" i="10"/>
  <c r="BT13" i="10"/>
  <c r="BT217" i="10"/>
  <c r="BT135" i="10"/>
  <c r="BT126" i="10"/>
  <c r="BT107" i="10"/>
  <c r="BT47" i="10"/>
  <c r="BT92" i="10"/>
  <c r="BT80" i="10"/>
  <c r="BT57" i="10"/>
  <c r="BT48" i="10"/>
  <c r="BT112" i="10"/>
  <c r="BT75" i="10"/>
  <c r="BT85" i="10"/>
  <c r="BT65" i="10"/>
  <c r="BT49" i="10"/>
  <c r="BT16" i="10"/>
  <c r="BT204" i="10"/>
  <c r="BT161" i="10"/>
  <c r="BT89" i="10"/>
  <c r="BT58" i="10"/>
  <c r="BT31" i="10"/>
  <c r="BT30" i="10"/>
  <c r="BT203" i="10"/>
  <c r="BT170" i="10"/>
  <c r="BT121" i="10"/>
  <c r="BT74" i="10"/>
  <c r="BT59" i="10"/>
  <c r="BT232" i="10"/>
  <c r="BT90" i="10"/>
  <c r="BT34" i="10"/>
  <c r="BT101" i="10"/>
  <c r="BT76" i="10"/>
  <c r="BT55" i="10"/>
  <c r="BT67" i="10"/>
  <c r="BT145" i="10"/>
  <c r="BT14" i="10"/>
  <c r="BT11" i="10"/>
  <c r="BT94" i="10"/>
  <c r="BT158" i="10"/>
  <c r="BT15" i="10"/>
  <c r="BT64" i="10"/>
  <c r="BT33" i="10"/>
  <c r="BT102" i="10"/>
  <c r="BT118" i="10"/>
  <c r="BT111" i="10"/>
  <c r="BT70" i="10"/>
  <c r="BT222" i="10"/>
  <c r="BT200" i="10"/>
  <c r="BL216" i="10"/>
  <c r="BW269" i="10"/>
  <c r="BW249" i="10"/>
  <c r="BW266" i="10"/>
  <c r="BW261" i="10"/>
  <c r="BW258" i="10"/>
  <c r="BW265" i="10"/>
  <c r="BW224" i="10"/>
  <c r="BW192" i="10"/>
  <c r="BW219" i="10"/>
  <c r="BW214" i="10"/>
  <c r="BW264" i="10"/>
  <c r="BW209" i="10"/>
  <c r="BW268" i="10"/>
  <c r="BW267" i="10"/>
  <c r="BW254" i="10"/>
  <c r="BW244" i="10"/>
  <c r="BW241" i="10"/>
  <c r="BW236" i="10"/>
  <c r="BW262" i="10"/>
  <c r="BW228" i="10"/>
  <c r="BW240" i="10"/>
  <c r="BW176" i="10"/>
  <c r="BW234" i="10"/>
  <c r="BW233" i="10"/>
  <c r="BW171" i="10"/>
  <c r="BW257" i="10"/>
  <c r="BW166" i="10"/>
  <c r="BW232" i="10"/>
  <c r="BW231" i="10"/>
  <c r="BW217" i="10"/>
  <c r="BW202" i="10"/>
  <c r="BW161" i="10"/>
  <c r="BW216" i="10"/>
  <c r="BW156" i="10"/>
  <c r="BW272" i="10"/>
  <c r="BW227" i="10"/>
  <c r="BW226" i="10"/>
  <c r="BW180" i="10"/>
  <c r="BW205" i="10"/>
  <c r="BW247" i="10"/>
  <c r="BW246" i="10"/>
  <c r="BW242" i="10"/>
  <c r="BW250" i="10"/>
  <c r="BW245" i="10"/>
  <c r="BW222" i="10"/>
  <c r="BW221" i="10"/>
  <c r="BW199" i="10"/>
  <c r="BW251" i="10"/>
  <c r="BW273" i="10"/>
  <c r="BW253" i="10"/>
  <c r="BW223" i="10"/>
  <c r="BW152" i="10"/>
  <c r="BW132" i="10"/>
  <c r="BW212" i="10"/>
  <c r="BW206" i="10"/>
  <c r="BW127" i="10"/>
  <c r="BW271" i="10"/>
  <c r="BW177" i="10"/>
  <c r="BW163" i="10"/>
  <c r="BW159" i="10"/>
  <c r="BW218" i="10"/>
  <c r="BW169" i="10"/>
  <c r="BW149" i="10"/>
  <c r="BW237" i="10"/>
  <c r="BW155" i="10"/>
  <c r="BW144" i="10"/>
  <c r="BW248" i="10"/>
  <c r="BW220" i="10"/>
  <c r="BW184" i="10"/>
  <c r="BW174" i="10"/>
  <c r="BW143" i="10"/>
  <c r="BW239" i="10"/>
  <c r="BW172" i="10"/>
  <c r="BW252" i="10"/>
  <c r="BW139" i="10"/>
  <c r="BW115" i="10"/>
  <c r="BW201" i="10"/>
  <c r="BW194" i="10"/>
  <c r="BW190" i="10"/>
  <c r="BW110" i="10"/>
  <c r="BW255" i="10"/>
  <c r="BW175" i="10"/>
  <c r="BW133" i="10"/>
  <c r="BW105" i="10"/>
  <c r="BW158" i="10"/>
  <c r="BW157" i="10"/>
  <c r="BW100" i="10"/>
  <c r="BW204" i="10"/>
  <c r="BW125" i="10"/>
  <c r="BW95" i="10"/>
  <c r="BW195" i="10"/>
  <c r="BW162" i="10"/>
  <c r="BW137" i="10"/>
  <c r="BW124" i="10"/>
  <c r="BW114" i="10"/>
  <c r="BW238" i="10"/>
  <c r="BW230" i="10"/>
  <c r="BW165" i="10"/>
  <c r="BW164" i="10"/>
  <c r="BW263" i="10"/>
  <c r="BW213" i="10"/>
  <c r="BW200" i="10"/>
  <c r="BW173" i="10"/>
  <c r="BW260" i="10"/>
  <c r="BW146" i="10"/>
  <c r="BW77" i="10"/>
  <c r="BW45" i="10"/>
  <c r="BW168" i="10"/>
  <c r="BW140" i="10"/>
  <c r="BW72" i="10"/>
  <c r="BW274" i="10"/>
  <c r="BW256" i="10"/>
  <c r="BW91" i="10"/>
  <c r="BW67" i="10"/>
  <c r="BW198" i="10"/>
  <c r="BW196" i="10"/>
  <c r="BW182" i="10"/>
  <c r="BW134" i="10"/>
  <c r="BW62" i="10"/>
  <c r="BW30" i="10"/>
  <c r="BW210" i="10"/>
  <c r="BW207" i="10"/>
  <c r="BW113" i="10"/>
  <c r="BW103" i="10"/>
  <c r="BW57" i="10"/>
  <c r="BW160" i="10"/>
  <c r="BW76" i="10"/>
  <c r="BW185" i="10"/>
  <c r="BW126" i="10"/>
  <c r="BW108" i="10"/>
  <c r="BW98" i="10"/>
  <c r="BW73" i="10"/>
  <c r="BW41" i="10"/>
  <c r="BW128" i="10"/>
  <c r="BW188" i="10"/>
  <c r="BW229" i="10"/>
  <c r="BW20" i="10"/>
  <c r="BW181" i="10"/>
  <c r="BW51" i="10"/>
  <c r="BW71" i="10"/>
  <c r="BW122" i="10"/>
  <c r="BW109" i="10"/>
  <c r="BW56" i="10"/>
  <c r="BW17" i="10"/>
  <c r="BW270" i="10"/>
  <c r="BW189" i="10"/>
  <c r="BW31" i="10"/>
  <c r="BW28" i="10"/>
  <c r="BW215" i="10"/>
  <c r="BW142" i="10"/>
  <c r="BW123" i="10"/>
  <c r="BW119" i="10"/>
  <c r="BW83" i="10"/>
  <c r="BW167" i="10"/>
  <c r="BW92" i="10"/>
  <c r="BW39" i="10"/>
  <c r="BW24" i="10"/>
  <c r="BW235" i="10"/>
  <c r="BW138" i="10"/>
  <c r="BW130" i="10"/>
  <c r="BW43" i="10"/>
  <c r="BW145" i="10"/>
  <c r="BW120" i="10"/>
  <c r="BW101" i="10"/>
  <c r="BW94" i="10"/>
  <c r="BW243" i="10"/>
  <c r="BW117" i="10"/>
  <c r="BW225" i="10"/>
  <c r="BW99" i="10"/>
  <c r="BW87" i="10"/>
  <c r="BW53" i="10"/>
  <c r="BW13" i="10"/>
  <c r="BW131" i="10"/>
  <c r="BW78" i="10"/>
  <c r="BW21" i="10"/>
  <c r="BW259" i="10"/>
  <c r="BW193" i="10"/>
  <c r="BW154" i="10"/>
  <c r="BW151" i="10"/>
  <c r="BW104" i="10"/>
  <c r="BW44" i="10"/>
  <c r="BW111" i="10"/>
  <c r="BW69" i="10"/>
  <c r="BW54" i="10"/>
  <c r="BW118" i="10"/>
  <c r="BW88" i="10"/>
  <c r="BW18" i="10"/>
  <c r="BW183" i="10"/>
  <c r="BW85" i="10"/>
  <c r="BW16" i="10"/>
  <c r="BW58" i="10"/>
  <c r="BW49" i="10"/>
  <c r="BW147" i="10"/>
  <c r="BW89" i="10"/>
  <c r="BW34" i="10"/>
  <c r="BW29" i="10"/>
  <c r="BW66" i="10"/>
  <c r="BW37" i="10"/>
  <c r="BW32" i="10"/>
  <c r="BW27" i="10"/>
  <c r="BW186" i="10"/>
  <c r="BW178" i="10"/>
  <c r="BW59" i="10"/>
  <c r="BW33" i="10"/>
  <c r="BW208" i="10"/>
  <c r="BW106" i="10"/>
  <c r="BW96" i="10"/>
  <c r="BW42" i="10"/>
  <c r="BW22" i="10"/>
  <c r="BW141" i="10"/>
  <c r="BW136" i="10"/>
  <c r="BW129" i="10"/>
  <c r="BW107" i="10"/>
  <c r="BW61" i="10"/>
  <c r="BW55" i="10"/>
  <c r="BW63" i="10"/>
  <c r="BW47" i="10"/>
  <c r="BW197" i="10"/>
  <c r="BW14" i="10"/>
  <c r="BW65" i="10"/>
  <c r="BW80" i="10"/>
  <c r="BW187" i="10"/>
  <c r="BW179" i="10"/>
  <c r="BW84" i="10"/>
  <c r="BW82" i="10"/>
  <c r="BW203" i="10"/>
  <c r="BW170" i="10"/>
  <c r="BW52" i="10"/>
  <c r="BW86" i="10"/>
  <c r="BW46" i="10"/>
  <c r="BW81" i="10"/>
  <c r="BW93" i="10"/>
  <c r="BW38" i="10"/>
  <c r="BW15" i="10"/>
  <c r="BW148" i="10"/>
  <c r="BX244" i="10"/>
  <c r="BX261" i="10"/>
  <c r="BX256" i="10"/>
  <c r="BX270" i="10"/>
  <c r="BX266" i="10"/>
  <c r="BX219" i="10"/>
  <c r="BX214" i="10"/>
  <c r="BX264" i="10"/>
  <c r="BX209" i="10"/>
  <c r="BX268" i="10"/>
  <c r="BX267" i="10"/>
  <c r="BX254" i="10"/>
  <c r="BX241" i="10"/>
  <c r="BX236" i="10"/>
  <c r="BX204" i="10"/>
  <c r="BX263" i="10"/>
  <c r="BX258" i="10"/>
  <c r="BX231" i="10"/>
  <c r="BX257" i="10"/>
  <c r="BX223" i="10"/>
  <c r="BX235" i="10"/>
  <c r="BX272" i="10"/>
  <c r="BX260" i="10"/>
  <c r="BX234" i="10"/>
  <c r="BX233" i="10"/>
  <c r="BX171" i="10"/>
  <c r="BX166" i="10"/>
  <c r="BX265" i="10"/>
  <c r="BX232" i="10"/>
  <c r="BX217" i="10"/>
  <c r="BX202" i="10"/>
  <c r="BX161" i="10"/>
  <c r="BX216" i="10"/>
  <c r="BX156" i="10"/>
  <c r="BX274" i="10"/>
  <c r="BX207" i="10"/>
  <c r="BX188" i="10"/>
  <c r="BX183" i="10"/>
  <c r="BX151" i="10"/>
  <c r="BX175" i="10"/>
  <c r="BX190" i="10"/>
  <c r="BX187" i="10"/>
  <c r="BX250" i="10"/>
  <c r="BX245" i="10"/>
  <c r="BX240" i="10"/>
  <c r="BX249" i="10"/>
  <c r="BX248" i="10"/>
  <c r="BX273" i="10"/>
  <c r="BX253" i="10"/>
  <c r="BX252" i="10"/>
  <c r="BX239" i="10"/>
  <c r="BX212" i="10"/>
  <c r="BX206" i="10"/>
  <c r="BX127" i="10"/>
  <c r="BX271" i="10"/>
  <c r="BX228" i="10"/>
  <c r="BX177" i="10"/>
  <c r="BX163" i="10"/>
  <c r="BX159" i="10"/>
  <c r="BX247" i="10"/>
  <c r="BX218" i="10"/>
  <c r="BX169" i="10"/>
  <c r="BX149" i="10"/>
  <c r="BX237" i="10"/>
  <c r="BX155" i="10"/>
  <c r="BX144" i="10"/>
  <c r="BX213" i="10"/>
  <c r="BX168" i="10"/>
  <c r="BX139" i="10"/>
  <c r="BX230" i="10"/>
  <c r="BX225" i="10"/>
  <c r="BX200" i="10"/>
  <c r="BX173" i="10"/>
  <c r="BX154" i="10"/>
  <c r="BX182" i="10"/>
  <c r="BX210" i="10"/>
  <c r="BX165" i="10"/>
  <c r="BX153" i="10"/>
  <c r="BX203" i="10"/>
  <c r="BX246" i="10"/>
  <c r="BX201" i="10"/>
  <c r="BX194" i="10"/>
  <c r="BX110" i="10"/>
  <c r="BX255" i="10"/>
  <c r="BX133" i="10"/>
  <c r="BX105" i="10"/>
  <c r="BX158" i="10"/>
  <c r="BX157" i="10"/>
  <c r="BX100" i="10"/>
  <c r="BX125" i="10"/>
  <c r="BX95" i="10"/>
  <c r="BX186" i="10"/>
  <c r="BX148" i="10"/>
  <c r="BX122" i="10"/>
  <c r="BX90" i="10"/>
  <c r="BX109" i="10"/>
  <c r="BX205" i="10"/>
  <c r="BX121" i="10"/>
  <c r="BX215" i="10"/>
  <c r="BX208" i="10"/>
  <c r="BX178" i="10"/>
  <c r="BX143" i="10"/>
  <c r="BX135" i="10"/>
  <c r="BX184" i="10"/>
  <c r="BX251" i="10"/>
  <c r="BX226" i="10"/>
  <c r="BX269" i="10"/>
  <c r="BX224" i="10"/>
  <c r="BX189" i="10"/>
  <c r="BX140" i="10"/>
  <c r="BX72" i="10"/>
  <c r="BX40" i="10"/>
  <c r="BX221" i="10"/>
  <c r="BX162" i="10"/>
  <c r="BX115" i="10"/>
  <c r="BX114" i="10"/>
  <c r="BX91" i="10"/>
  <c r="BX67" i="10"/>
  <c r="BX198" i="10"/>
  <c r="BX196" i="10"/>
  <c r="BX192" i="10"/>
  <c r="BX134" i="10"/>
  <c r="BX62" i="10"/>
  <c r="BX242" i="10"/>
  <c r="BX113" i="10"/>
  <c r="BX103" i="10"/>
  <c r="BX57" i="10"/>
  <c r="BX141" i="10"/>
  <c r="BX112" i="10"/>
  <c r="BX102" i="10"/>
  <c r="BX87" i="10"/>
  <c r="BX84" i="10"/>
  <c r="BX52" i="10"/>
  <c r="BX262" i="10"/>
  <c r="BX191" i="10"/>
  <c r="BX71" i="10"/>
  <c r="BX137" i="10"/>
  <c r="BX124" i="10"/>
  <c r="BX93" i="10"/>
  <c r="BX83" i="10"/>
  <c r="BX199" i="10"/>
  <c r="BX181" i="10"/>
  <c r="BX172" i="10"/>
  <c r="BX107" i="10"/>
  <c r="BX97" i="10"/>
  <c r="BX68" i="10"/>
  <c r="BX211" i="10"/>
  <c r="BX167" i="10"/>
  <c r="BX164" i="10"/>
  <c r="BX227" i="10"/>
  <c r="BX238" i="10"/>
  <c r="BX51" i="10"/>
  <c r="BX12" i="10"/>
  <c r="BX56" i="10"/>
  <c r="BX41" i="10"/>
  <c r="BX17" i="10"/>
  <c r="BX146" i="10"/>
  <c r="BX31" i="10"/>
  <c r="BX28" i="10"/>
  <c r="BX70" i="10"/>
  <c r="BX69" i="10"/>
  <c r="BX34" i="10"/>
  <c r="BX89" i="10"/>
  <c r="BX54" i="10"/>
  <c r="BX30" i="10"/>
  <c r="BX185" i="10"/>
  <c r="BX106" i="10"/>
  <c r="BX80" i="10"/>
  <c r="BX79" i="10"/>
  <c r="BX48" i="10"/>
  <c r="BX65" i="10"/>
  <c r="BX53" i="10"/>
  <c r="BX174" i="10"/>
  <c r="BX116" i="10"/>
  <c r="BX131" i="10"/>
  <c r="BX108" i="10"/>
  <c r="BX160" i="10"/>
  <c r="BX99" i="10"/>
  <c r="BX43" i="10"/>
  <c r="BX13" i="10"/>
  <c r="BX78" i="10"/>
  <c r="BX21" i="10"/>
  <c r="BX259" i="10"/>
  <c r="BX193" i="10"/>
  <c r="BX104" i="10"/>
  <c r="BX73" i="10"/>
  <c r="BX44" i="10"/>
  <c r="BX197" i="10"/>
  <c r="BX111" i="10"/>
  <c r="BX138" i="10"/>
  <c r="BX94" i="10"/>
  <c r="BX45" i="10"/>
  <c r="BX145" i="10"/>
  <c r="BX120" i="10"/>
  <c r="BX128" i="10"/>
  <c r="BX130" i="10"/>
  <c r="BX58" i="10"/>
  <c r="BX49" i="10"/>
  <c r="BX195" i="10"/>
  <c r="BX147" i="10"/>
  <c r="BX142" i="10"/>
  <c r="BX98" i="10"/>
  <c r="BX29" i="10"/>
  <c r="BX66" i="10"/>
  <c r="BX37" i="10"/>
  <c r="BX32" i="10"/>
  <c r="BX27" i="10"/>
  <c r="BX76" i="10"/>
  <c r="BX59" i="10"/>
  <c r="BX33" i="10"/>
  <c r="BX132" i="10"/>
  <c r="BX81" i="10"/>
  <c r="BX50" i="10"/>
  <c r="BX36" i="10"/>
  <c r="BX35" i="10"/>
  <c r="BX25" i="10"/>
  <c r="BX136" i="10"/>
  <c r="BX129" i="10"/>
  <c r="BX82" i="10"/>
  <c r="BX23" i="10"/>
  <c r="BX61" i="10"/>
  <c r="BX55" i="10"/>
  <c r="BX117" i="10"/>
  <c r="BX85" i="10"/>
  <c r="BX63" i="10"/>
  <c r="BX47" i="10"/>
  <c r="BX22" i="10"/>
  <c r="BX14" i="10"/>
  <c r="BX243" i="10"/>
  <c r="BX150" i="10"/>
  <c r="BX11" i="10"/>
  <c r="BX92" i="10"/>
  <c r="BX39" i="10"/>
  <c r="BX229" i="10"/>
  <c r="BX126" i="10"/>
  <c r="BX119" i="10"/>
  <c r="BX64" i="10"/>
  <c r="BX26" i="10"/>
  <c r="BX18" i="10"/>
  <c r="BX152" i="10"/>
  <c r="BX118" i="10"/>
  <c r="BX96" i="10"/>
  <c r="BX88" i="10"/>
  <c r="BX24" i="10"/>
  <c r="BX15" i="10"/>
  <c r="BW102" i="10"/>
  <c r="BX20" i="10"/>
  <c r="BW25" i="10"/>
  <c r="BL43" i="10"/>
  <c r="BX46" i="10"/>
  <c r="BT69" i="10"/>
  <c r="BT220" i="10"/>
  <c r="EP15" i="10"/>
  <c r="DJ15" i="10"/>
  <c r="EO15" i="10"/>
  <c r="DI15" i="10"/>
  <c r="DV15" i="10"/>
  <c r="EA15" i="10"/>
  <c r="DZ15" i="10"/>
  <c r="DY15" i="10"/>
  <c r="DX15" i="10"/>
  <c r="DW15" i="10"/>
  <c r="EW15" i="10"/>
  <c r="DN15" i="10"/>
  <c r="ET15" i="10"/>
  <c r="DK15" i="10"/>
  <c r="EM15" i="10"/>
  <c r="EV15" i="10"/>
  <c r="EU15" i="10"/>
  <c r="ES15" i="10"/>
  <c r="ER15" i="10"/>
  <c r="EQ15" i="10"/>
  <c r="EF15" i="10"/>
  <c r="DU15" i="10"/>
  <c r="DT15" i="10"/>
  <c r="DS15" i="10"/>
  <c r="DR15" i="10"/>
  <c r="DQ15" i="10"/>
  <c r="EX15" i="10"/>
  <c r="EN15" i="10"/>
  <c r="EK15" i="10"/>
  <c r="EJ15" i="10"/>
  <c r="EE15" i="10"/>
  <c r="ED15" i="10"/>
  <c r="EB15" i="10"/>
  <c r="DP15" i="10"/>
  <c r="EH15" i="10"/>
  <c r="DO15" i="10"/>
  <c r="DL15" i="10"/>
  <c r="DH15" i="10"/>
  <c r="DG15" i="10"/>
  <c r="EI15" i="10"/>
  <c r="EG15" i="10"/>
  <c r="EC15" i="10"/>
  <c r="DM15" i="10"/>
  <c r="EY15" i="10"/>
  <c r="EL15" i="10"/>
  <c r="ER79" i="10"/>
  <c r="DL79" i="10"/>
  <c r="EH79" i="10"/>
  <c r="EG79" i="10"/>
  <c r="EF79" i="10"/>
  <c r="EE79" i="10"/>
  <c r="ED79" i="10"/>
  <c r="DW79" i="10"/>
  <c r="DS79" i="10"/>
  <c r="EU79" i="10"/>
  <c r="DN79" i="10"/>
  <c r="DT79" i="10"/>
  <c r="DR79" i="10"/>
  <c r="DQ79" i="10"/>
  <c r="DP79" i="10"/>
  <c r="DO79" i="10"/>
  <c r="EW79" i="10"/>
  <c r="EQ79" i="10"/>
  <c r="EM79" i="10"/>
  <c r="EL79" i="10"/>
  <c r="DI79" i="10"/>
  <c r="DH79" i="10"/>
  <c r="DG79" i="10"/>
  <c r="EV79" i="10"/>
  <c r="EP79" i="10"/>
  <c r="EJ79" i="10"/>
  <c r="EI79" i="10"/>
  <c r="EB79" i="10"/>
  <c r="EC79" i="10"/>
  <c r="DX79" i="10"/>
  <c r="DJ79" i="10"/>
  <c r="EK79" i="10"/>
  <c r="EA79" i="10"/>
  <c r="DZ79" i="10"/>
  <c r="DY79" i="10"/>
  <c r="DV79" i="10"/>
  <c r="EY79" i="10"/>
  <c r="DK79" i="10"/>
  <c r="ET79" i="10"/>
  <c r="ES79" i="10"/>
  <c r="EO79" i="10"/>
  <c r="EN79" i="10"/>
  <c r="DU79" i="10"/>
  <c r="EX79" i="10"/>
  <c r="DM79" i="10"/>
  <c r="EB95" i="10"/>
  <c r="EA95" i="10"/>
  <c r="DZ95" i="10"/>
  <c r="DY95" i="10"/>
  <c r="EX95" i="10"/>
  <c r="DR95" i="10"/>
  <c r="EU95" i="10"/>
  <c r="DO95" i="10"/>
  <c r="EO95" i="10"/>
  <c r="DI95" i="10"/>
  <c r="EE95" i="10"/>
  <c r="ED95" i="10"/>
  <c r="EC95" i="10"/>
  <c r="DX95" i="10"/>
  <c r="DW95" i="10"/>
  <c r="DN95" i="10"/>
  <c r="EY95" i="10"/>
  <c r="DJ95" i="10"/>
  <c r="ER95" i="10"/>
  <c r="EW95" i="10"/>
  <c r="EV95" i="10"/>
  <c r="ET95" i="10"/>
  <c r="ES95" i="10"/>
  <c r="EJ95" i="10"/>
  <c r="EF95" i="10"/>
  <c r="DS95" i="10"/>
  <c r="DQ95" i="10"/>
  <c r="DM95" i="10"/>
  <c r="EN95" i="10"/>
  <c r="EK95" i="10"/>
  <c r="DV95" i="10"/>
  <c r="DU95" i="10"/>
  <c r="DP95" i="10"/>
  <c r="EL95" i="10"/>
  <c r="DT95" i="10"/>
  <c r="DG95" i="10"/>
  <c r="EQ95" i="10"/>
  <c r="EP95" i="10"/>
  <c r="EM95" i="10"/>
  <c r="EH95" i="10"/>
  <c r="EG95" i="10"/>
  <c r="DK95" i="10"/>
  <c r="DH95" i="10"/>
  <c r="EI95" i="10"/>
  <c r="DL95" i="10"/>
  <c r="ER111" i="10"/>
  <c r="DL111" i="10"/>
  <c r="EQ111" i="10"/>
  <c r="DK111" i="10"/>
  <c r="EP111" i="10"/>
  <c r="DJ111" i="10"/>
  <c r="EO111" i="10"/>
  <c r="DI111" i="10"/>
  <c r="EH111" i="10"/>
  <c r="EE111" i="10"/>
  <c r="DY111" i="10"/>
  <c r="EV111" i="10"/>
  <c r="EU111" i="10"/>
  <c r="ET111" i="10"/>
  <c r="ES111" i="10"/>
  <c r="EN111" i="10"/>
  <c r="EF111" i="10"/>
  <c r="EA111" i="10"/>
  <c r="DU111" i="10"/>
  <c r="EM111" i="10"/>
  <c r="EL111" i="10"/>
  <c r="EK111" i="10"/>
  <c r="EJ111" i="10"/>
  <c r="EI111" i="10"/>
  <c r="DW111" i="10"/>
  <c r="DR111" i="10"/>
  <c r="DN111" i="10"/>
  <c r="DM111" i="10"/>
  <c r="DG111" i="10"/>
  <c r="EG111" i="10"/>
  <c r="EB111" i="10"/>
  <c r="DT111" i="10"/>
  <c r="DS111" i="10"/>
  <c r="DP111" i="10"/>
  <c r="EY111" i="10"/>
  <c r="EX111" i="10"/>
  <c r="EW111" i="10"/>
  <c r="DH111" i="10"/>
  <c r="DZ111" i="10"/>
  <c r="DO111" i="10"/>
  <c r="EC111" i="10"/>
  <c r="DX111" i="10"/>
  <c r="DQ111" i="10"/>
  <c r="ED111" i="10"/>
  <c r="DV111" i="10"/>
  <c r="EP143" i="10"/>
  <c r="DJ143" i="10"/>
  <c r="DW143" i="10"/>
  <c r="DV143" i="10"/>
  <c r="DU143" i="10"/>
  <c r="DT143" i="10"/>
  <c r="EU143" i="10"/>
  <c r="DN143" i="10"/>
  <c r="EQ143" i="10"/>
  <c r="DI143" i="10"/>
  <c r="EI143" i="10"/>
  <c r="DS143" i="10"/>
  <c r="DR143" i="10"/>
  <c r="DQ143" i="10"/>
  <c r="DP143" i="10"/>
  <c r="EW143" i="10"/>
  <c r="ES143" i="10"/>
  <c r="EK143" i="10"/>
  <c r="EY143" i="10"/>
  <c r="EX143" i="10"/>
  <c r="EV143" i="10"/>
  <c r="ET143" i="10"/>
  <c r="ER143" i="10"/>
  <c r="EG143" i="10"/>
  <c r="EC143" i="10"/>
  <c r="DY143" i="10"/>
  <c r="DX143" i="10"/>
  <c r="DM143" i="10"/>
  <c r="EO143" i="10"/>
  <c r="EN143" i="10"/>
  <c r="EM143" i="10"/>
  <c r="EL143" i="10"/>
  <c r="EJ143" i="10"/>
  <c r="DZ143" i="10"/>
  <c r="DH143" i="10"/>
  <c r="EB143" i="10"/>
  <c r="DL143" i="10"/>
  <c r="EH143" i="10"/>
  <c r="DG143" i="10"/>
  <c r="EF143" i="10"/>
  <c r="ED143" i="10"/>
  <c r="EA143" i="10"/>
  <c r="EE143" i="10"/>
  <c r="DO143" i="10"/>
  <c r="DK143" i="10"/>
  <c r="DZ159" i="10"/>
  <c r="EC159" i="10"/>
  <c r="DS159" i="10"/>
  <c r="ES159" i="10"/>
  <c r="DJ159" i="10"/>
  <c r="ER159" i="10"/>
  <c r="DI159" i="10"/>
  <c r="EQ159" i="10"/>
  <c r="DH159" i="10"/>
  <c r="EP159" i="10"/>
  <c r="DG159" i="10"/>
  <c r="EJ159" i="10"/>
  <c r="EF159" i="10"/>
  <c r="DX159" i="10"/>
  <c r="DV159" i="10"/>
  <c r="DT159" i="10"/>
  <c r="EL159" i="10"/>
  <c r="EK159" i="10"/>
  <c r="EI159" i="10"/>
  <c r="EH159" i="10"/>
  <c r="DW159" i="10"/>
  <c r="DQ159" i="10"/>
  <c r="DM159" i="10"/>
  <c r="DK159" i="10"/>
  <c r="ET159" i="10"/>
  <c r="EO159" i="10"/>
  <c r="EN159" i="10"/>
  <c r="EM159" i="10"/>
  <c r="EG159" i="10"/>
  <c r="DR159" i="10"/>
  <c r="DL159" i="10"/>
  <c r="DN159" i="10"/>
  <c r="EY159" i="10"/>
  <c r="EX159" i="10"/>
  <c r="EV159" i="10"/>
  <c r="EU159" i="10"/>
  <c r="EA159" i="10"/>
  <c r="DY159" i="10"/>
  <c r="DP159" i="10"/>
  <c r="ED159" i="10"/>
  <c r="EW159" i="10"/>
  <c r="EE159" i="10"/>
  <c r="EB159" i="10"/>
  <c r="DU159" i="10"/>
  <c r="DO159" i="10"/>
  <c r="EP175" i="10"/>
  <c r="DJ175" i="10"/>
  <c r="EI175" i="10"/>
  <c r="EG175" i="10"/>
  <c r="EF175" i="10"/>
  <c r="DZ175" i="10"/>
  <c r="DW175" i="10"/>
  <c r="EC175" i="10"/>
  <c r="EB175" i="10"/>
  <c r="EA175" i="10"/>
  <c r="DY175" i="10"/>
  <c r="DR175" i="10"/>
  <c r="DN175" i="10"/>
  <c r="ET175" i="10"/>
  <c r="DG175" i="10"/>
  <c r="DL175" i="10"/>
  <c r="DK175" i="10"/>
  <c r="DI175" i="10"/>
  <c r="DH175" i="10"/>
  <c r="EU175" i="10"/>
  <c r="EQ175" i="10"/>
  <c r="EJ175" i="10"/>
  <c r="DS175" i="10"/>
  <c r="DQ175" i="10"/>
  <c r="DP175" i="10"/>
  <c r="DO175" i="10"/>
  <c r="EV175" i="10"/>
  <c r="ER175" i="10"/>
  <c r="EN175" i="10"/>
  <c r="EX175" i="10"/>
  <c r="EM175" i="10"/>
  <c r="EE175" i="10"/>
  <c r="ED175" i="10"/>
  <c r="DV175" i="10"/>
  <c r="EY175" i="10"/>
  <c r="EW175" i="10"/>
  <c r="ES175" i="10"/>
  <c r="EO175" i="10"/>
  <c r="DM175" i="10"/>
  <c r="EH175" i="10"/>
  <c r="DX175" i="10"/>
  <c r="DU175" i="10"/>
  <c r="DT175" i="10"/>
  <c r="EK175" i="10"/>
  <c r="EL175" i="10"/>
  <c r="EC207" i="10"/>
  <c r="EP207" i="10"/>
  <c r="DJ207" i="10"/>
  <c r="EK207" i="10"/>
  <c r="EO207" i="10"/>
  <c r="EN207" i="10"/>
  <c r="EM207" i="10"/>
  <c r="EL207" i="10"/>
  <c r="EE207" i="10"/>
  <c r="EA207" i="10"/>
  <c r="DT207" i="10"/>
  <c r="DI207" i="10"/>
  <c r="EY207" i="10"/>
  <c r="DH207" i="10"/>
  <c r="EX207" i="10"/>
  <c r="DG207" i="10"/>
  <c r="EW207" i="10"/>
  <c r="EQ207" i="10"/>
  <c r="EG207" i="10"/>
  <c r="DZ207" i="10"/>
  <c r="DX207" i="10"/>
  <c r="DV207" i="10"/>
  <c r="DU207" i="10"/>
  <c r="DS207" i="10"/>
  <c r="DR207" i="10"/>
  <c r="DQ207" i="10"/>
  <c r="EV207" i="10"/>
  <c r="DY207" i="10"/>
  <c r="DW207" i="10"/>
  <c r="DP207" i="10"/>
  <c r="DO207" i="10"/>
  <c r="ER207" i="10"/>
  <c r="EF207" i="10"/>
  <c r="ED207" i="10"/>
  <c r="DN207" i="10"/>
  <c r="DL207" i="10"/>
  <c r="DK207" i="10"/>
  <c r="EB207" i="10"/>
  <c r="DM207" i="10"/>
  <c r="ES207" i="10"/>
  <c r="EJ207" i="10"/>
  <c r="EI207" i="10"/>
  <c r="EH207" i="10"/>
  <c r="EU207" i="10"/>
  <c r="ET207" i="10"/>
  <c r="EC239" i="10"/>
  <c r="EP239" i="10"/>
  <c r="DJ239" i="10"/>
  <c r="EE239" i="10"/>
  <c r="EJ239" i="10"/>
  <c r="DU239" i="10"/>
  <c r="EG239" i="10"/>
  <c r="EF239" i="10"/>
  <c r="ED239" i="10"/>
  <c r="EB239" i="10"/>
  <c r="DV239" i="10"/>
  <c r="DY239" i="10"/>
  <c r="DX239" i="10"/>
  <c r="DW239" i="10"/>
  <c r="DT239" i="10"/>
  <c r="DN239" i="10"/>
  <c r="DK239" i="10"/>
  <c r="EW239" i="10"/>
  <c r="ET239" i="10"/>
  <c r="DG239" i="10"/>
  <c r="EV239" i="10"/>
  <c r="EQ239" i="10"/>
  <c r="EL239" i="10"/>
  <c r="EI239" i="10"/>
  <c r="EA239" i="10"/>
  <c r="EO239" i="10"/>
  <c r="EN239" i="10"/>
  <c r="EM239" i="10"/>
  <c r="EK239" i="10"/>
  <c r="DO239" i="10"/>
  <c r="DI239" i="10"/>
  <c r="EX239" i="10"/>
  <c r="ER239" i="10"/>
  <c r="DR239" i="10"/>
  <c r="DP239" i="10"/>
  <c r="DL239" i="10"/>
  <c r="EU239" i="10"/>
  <c r="DZ239" i="10"/>
  <c r="DH239" i="10"/>
  <c r="DQ239" i="10"/>
  <c r="DS239" i="10"/>
  <c r="DM239" i="10"/>
  <c r="EY239" i="10"/>
  <c r="ES239" i="10"/>
  <c r="EH239" i="10"/>
  <c r="EQ271" i="10"/>
  <c r="DK271" i="10"/>
  <c r="DX271" i="10"/>
  <c r="ED271" i="10"/>
  <c r="ER271" i="10"/>
  <c r="DI271" i="10"/>
  <c r="DV271" i="10"/>
  <c r="EU271" i="10"/>
  <c r="DH271" i="10"/>
  <c r="EK271" i="10"/>
  <c r="EM271" i="10"/>
  <c r="DS271" i="10"/>
  <c r="DR271" i="10"/>
  <c r="DQ271" i="10"/>
  <c r="DP271" i="10"/>
  <c r="DO271" i="10"/>
  <c r="EE271" i="10"/>
  <c r="EC271" i="10"/>
  <c r="EB271" i="10"/>
  <c r="EA271" i="10"/>
  <c r="DT271" i="10"/>
  <c r="DL271" i="10"/>
  <c r="DM271" i="10"/>
  <c r="DJ271" i="10"/>
  <c r="DG271" i="10"/>
  <c r="EY271" i="10"/>
  <c r="ES271" i="10"/>
  <c r="EN271" i="10"/>
  <c r="EH271" i="10"/>
  <c r="DZ271" i="10"/>
  <c r="DU271" i="10"/>
  <c r="EI271" i="10"/>
  <c r="EG271" i="10"/>
  <c r="EF271" i="10"/>
  <c r="DY271" i="10"/>
  <c r="EW271" i="10"/>
  <c r="ET271" i="10"/>
  <c r="EX271" i="10"/>
  <c r="EV271" i="10"/>
  <c r="EP271" i="10"/>
  <c r="DN271" i="10"/>
  <c r="EO271" i="10"/>
  <c r="EL271" i="10"/>
  <c r="EJ271" i="10"/>
  <c r="DW271" i="10"/>
  <c r="BW23" i="10"/>
  <c r="BW40" i="10"/>
  <c r="EC16" i="10"/>
  <c r="EB16" i="10"/>
  <c r="EO16" i="10"/>
  <c r="DI16" i="10"/>
  <c r="DQ16" i="10"/>
  <c r="EY16" i="10"/>
  <c r="DP16" i="10"/>
  <c r="EX16" i="10"/>
  <c r="DO16" i="10"/>
  <c r="EW16" i="10"/>
  <c r="DN16" i="10"/>
  <c r="EV16" i="10"/>
  <c r="DM16" i="10"/>
  <c r="EM16" i="10"/>
  <c r="EJ16" i="10"/>
  <c r="EE16" i="10"/>
  <c r="EU16" i="10"/>
  <c r="ET16" i="10"/>
  <c r="ES16" i="10"/>
  <c r="ER16" i="10"/>
  <c r="EG16" i="10"/>
  <c r="EI16" i="10"/>
  <c r="EH16" i="10"/>
  <c r="EF16" i="10"/>
  <c r="ED16" i="10"/>
  <c r="EA16" i="10"/>
  <c r="DS16" i="10"/>
  <c r="DJ16" i="10"/>
  <c r="EL16" i="10"/>
  <c r="EK16" i="10"/>
  <c r="DZ16" i="10"/>
  <c r="DY16" i="10"/>
  <c r="DX16" i="10"/>
  <c r="DH16" i="10"/>
  <c r="EQ16" i="10"/>
  <c r="EP16" i="10"/>
  <c r="DG16" i="10"/>
  <c r="EN16" i="10"/>
  <c r="DW16" i="10"/>
  <c r="DV16" i="10"/>
  <c r="DL16" i="10"/>
  <c r="DK16" i="10"/>
  <c r="DT16" i="10"/>
  <c r="DU16" i="10"/>
  <c r="DR16" i="10"/>
  <c r="DU32" i="10"/>
  <c r="EW32" i="10"/>
  <c r="DP32" i="10"/>
  <c r="EV32" i="10"/>
  <c r="DO32" i="10"/>
  <c r="EU32" i="10"/>
  <c r="DN32" i="10"/>
  <c r="ET32" i="10"/>
  <c r="DM32" i="10"/>
  <c r="EC32" i="10"/>
  <c r="EA32" i="10"/>
  <c r="DZ32" i="10"/>
  <c r="DY32" i="10"/>
  <c r="DX32" i="10"/>
  <c r="DW32" i="10"/>
  <c r="DJ32" i="10"/>
  <c r="ES32" i="10"/>
  <c r="DG32" i="10"/>
  <c r="EN32" i="10"/>
  <c r="DI32" i="10"/>
  <c r="DH32" i="10"/>
  <c r="EP32" i="10"/>
  <c r="EK32" i="10"/>
  <c r="EY32" i="10"/>
  <c r="EX32" i="10"/>
  <c r="ER32" i="10"/>
  <c r="EQ32" i="10"/>
  <c r="EF32" i="10"/>
  <c r="DV32" i="10"/>
  <c r="DQ32" i="10"/>
  <c r="DL32" i="10"/>
  <c r="EG32" i="10"/>
  <c r="EE32" i="10"/>
  <c r="ED32" i="10"/>
  <c r="EB32" i="10"/>
  <c r="DT32" i="10"/>
  <c r="DK32" i="10"/>
  <c r="EO32" i="10"/>
  <c r="EM32" i="10"/>
  <c r="EI32" i="10"/>
  <c r="DS32" i="10"/>
  <c r="EH32" i="10"/>
  <c r="DR32" i="10"/>
  <c r="EK48" i="10"/>
  <c r="EH48" i="10"/>
  <c r="DY48" i="10"/>
  <c r="DX48" i="10"/>
  <c r="DW48" i="10"/>
  <c r="DV48" i="10"/>
  <c r="DU48" i="10"/>
  <c r="EV48" i="10"/>
  <c r="DN48" i="10"/>
  <c r="ER48" i="10"/>
  <c r="DJ48" i="10"/>
  <c r="EM48" i="10"/>
  <c r="DP48" i="10"/>
  <c r="DO48" i="10"/>
  <c r="DM48" i="10"/>
  <c r="DL48" i="10"/>
  <c r="DK48" i="10"/>
  <c r="ES48" i="10"/>
  <c r="EO48" i="10"/>
  <c r="EG48" i="10"/>
  <c r="DQ48" i="10"/>
  <c r="DI48" i="10"/>
  <c r="DH48" i="10"/>
  <c r="DG48" i="10"/>
  <c r="EX48" i="10"/>
  <c r="EQ48" i="10"/>
  <c r="EI48" i="10"/>
  <c r="EP48" i="10"/>
  <c r="EF48" i="10"/>
  <c r="EB48" i="10"/>
  <c r="EA48" i="10"/>
  <c r="DT48" i="10"/>
  <c r="EY48" i="10"/>
  <c r="EW48" i="10"/>
  <c r="EU48" i="10"/>
  <c r="ET48" i="10"/>
  <c r="DS48" i="10"/>
  <c r="EJ48" i="10"/>
  <c r="DZ48" i="10"/>
  <c r="ED48" i="10"/>
  <c r="EN48" i="10"/>
  <c r="EC48" i="10"/>
  <c r="DR48" i="10"/>
  <c r="EL48" i="10"/>
  <c r="EE48" i="10"/>
  <c r="EE80" i="10"/>
  <c r="DV80" i="10"/>
  <c r="DU80" i="10"/>
  <c r="DT80" i="10"/>
  <c r="DS80" i="10"/>
  <c r="EY80" i="10"/>
  <c r="DR80" i="10"/>
  <c r="ER80" i="10"/>
  <c r="DK80" i="10"/>
  <c r="EN80" i="10"/>
  <c r="DG80" i="10"/>
  <c r="EI80" i="10"/>
  <c r="DQ80" i="10"/>
  <c r="DP80" i="10"/>
  <c r="DO80" i="10"/>
  <c r="DN80" i="10"/>
  <c r="DM80" i="10"/>
  <c r="EU80" i="10"/>
  <c r="EP80" i="10"/>
  <c r="EK80" i="10"/>
  <c r="EJ80" i="10"/>
  <c r="EB80" i="10"/>
  <c r="EA80" i="10"/>
  <c r="DZ80" i="10"/>
  <c r="DY80" i="10"/>
  <c r="DX80" i="10"/>
  <c r="EW80" i="10"/>
  <c r="EV80" i="10"/>
  <c r="ES80" i="10"/>
  <c r="DW80" i="10"/>
  <c r="DL80" i="10"/>
  <c r="DJ80" i="10"/>
  <c r="DI80" i="10"/>
  <c r="DH80" i="10"/>
  <c r="EX80" i="10"/>
  <c r="ET80" i="10"/>
  <c r="EL80" i="10"/>
  <c r="EH80" i="10"/>
  <c r="EF80" i="10"/>
  <c r="EM80" i="10"/>
  <c r="EG80" i="10"/>
  <c r="ED80" i="10"/>
  <c r="EC80" i="10"/>
  <c r="EQ80" i="10"/>
  <c r="EO80" i="10"/>
  <c r="EE112" i="10"/>
  <c r="ED112" i="10"/>
  <c r="EC112" i="10"/>
  <c r="EB112" i="10"/>
  <c r="DU112" i="10"/>
  <c r="EX112" i="10"/>
  <c r="DR112" i="10"/>
  <c r="ER112" i="10"/>
  <c r="DL112" i="10"/>
  <c r="EP112" i="10"/>
  <c r="EO112" i="10"/>
  <c r="EN112" i="10"/>
  <c r="EM112" i="10"/>
  <c r="EL112" i="10"/>
  <c r="EA112" i="10"/>
  <c r="DW112" i="10"/>
  <c r="DP112" i="10"/>
  <c r="EY112" i="10"/>
  <c r="EW112" i="10"/>
  <c r="EV112" i="10"/>
  <c r="EU112" i="10"/>
  <c r="EH112" i="10"/>
  <c r="DY112" i="10"/>
  <c r="DS112" i="10"/>
  <c r="DQ112" i="10"/>
  <c r="DN112" i="10"/>
  <c r="DV112" i="10"/>
  <c r="DT112" i="10"/>
  <c r="DO112" i="10"/>
  <c r="DM112" i="10"/>
  <c r="DK112" i="10"/>
  <c r="ET112" i="10"/>
  <c r="DH112" i="10"/>
  <c r="DG112" i="10"/>
  <c r="ES112" i="10"/>
  <c r="EK112" i="10"/>
  <c r="EQ112" i="10"/>
  <c r="EJ112" i="10"/>
  <c r="EI112" i="10"/>
  <c r="EG112" i="10"/>
  <c r="DX112" i="10"/>
  <c r="DI112" i="10"/>
  <c r="DJ112" i="10"/>
  <c r="EF112" i="10"/>
  <c r="ES128" i="10"/>
  <c r="DM128" i="10"/>
  <c r="EK128" i="10"/>
  <c r="EG128" i="10"/>
  <c r="EJ128" i="10"/>
  <c r="EI128" i="10"/>
  <c r="EH128" i="10"/>
  <c r="EF128" i="10"/>
  <c r="DY128" i="10"/>
  <c r="DV128" i="10"/>
  <c r="EY128" i="10"/>
  <c r="DP128" i="10"/>
  <c r="EC128" i="10"/>
  <c r="EB128" i="10"/>
  <c r="EA128" i="10"/>
  <c r="DZ128" i="10"/>
  <c r="DX128" i="10"/>
  <c r="DO128" i="10"/>
  <c r="DJ128" i="10"/>
  <c r="EW128" i="10"/>
  <c r="EV128" i="10"/>
  <c r="ET128" i="10"/>
  <c r="ER128" i="10"/>
  <c r="EN128" i="10"/>
  <c r="ED128" i="10"/>
  <c r="DW128" i="10"/>
  <c r="DT128" i="10"/>
  <c r="DK128" i="10"/>
  <c r="DI128" i="10"/>
  <c r="DH128" i="10"/>
  <c r="DG128" i="10"/>
  <c r="EU128" i="10"/>
  <c r="EQ128" i="10"/>
  <c r="EO128" i="10"/>
  <c r="EX128" i="10"/>
  <c r="EP128" i="10"/>
  <c r="DN128" i="10"/>
  <c r="DQ128" i="10"/>
  <c r="EM128" i="10"/>
  <c r="EL128" i="10"/>
  <c r="DU128" i="10"/>
  <c r="DS128" i="10"/>
  <c r="DR128" i="10"/>
  <c r="EE128" i="10"/>
  <c r="DL128" i="10"/>
  <c r="EC144" i="10"/>
  <c r="ER144" i="10"/>
  <c r="DK144" i="10"/>
  <c r="EQ144" i="10"/>
  <c r="DJ144" i="10"/>
  <c r="EP144" i="10"/>
  <c r="DI144" i="10"/>
  <c r="EO144" i="10"/>
  <c r="DH144" i="10"/>
  <c r="EI144" i="10"/>
  <c r="EE144" i="10"/>
  <c r="ED144" i="10"/>
  <c r="DR144" i="10"/>
  <c r="DQ144" i="10"/>
  <c r="DP144" i="10"/>
  <c r="DO144" i="10"/>
  <c r="EV144" i="10"/>
  <c r="ES144" i="10"/>
  <c r="EH144" i="10"/>
  <c r="EN144" i="10"/>
  <c r="EJ144" i="10"/>
  <c r="EA144" i="10"/>
  <c r="DZ144" i="10"/>
  <c r="DX144" i="10"/>
  <c r="EY144" i="10"/>
  <c r="ET144" i="10"/>
  <c r="EG144" i="10"/>
  <c r="EF144" i="10"/>
  <c r="DY144" i="10"/>
  <c r="DV144" i="10"/>
  <c r="DU144" i="10"/>
  <c r="DT144" i="10"/>
  <c r="DS144" i="10"/>
  <c r="DN144" i="10"/>
  <c r="EX144" i="10"/>
  <c r="EL144" i="10"/>
  <c r="DM144" i="10"/>
  <c r="DL144" i="10"/>
  <c r="EU144" i="10"/>
  <c r="EM144" i="10"/>
  <c r="EK144" i="10"/>
  <c r="EB144" i="10"/>
  <c r="DW144" i="10"/>
  <c r="DG144" i="10"/>
  <c r="EW144" i="10"/>
  <c r="EC176" i="10"/>
  <c r="DW176" i="10"/>
  <c r="DU176" i="10"/>
  <c r="DT176" i="10"/>
  <c r="EU176" i="10"/>
  <c r="DN176" i="10"/>
  <c r="ER176" i="10"/>
  <c r="DK176" i="10"/>
  <c r="DY176" i="10"/>
  <c r="DX176" i="10"/>
  <c r="DV176" i="10"/>
  <c r="DS176" i="10"/>
  <c r="EY176" i="10"/>
  <c r="DL176" i="10"/>
  <c r="ET176" i="10"/>
  <c r="DG176" i="10"/>
  <c r="EM176" i="10"/>
  <c r="DP176" i="10"/>
  <c r="DO176" i="10"/>
  <c r="DM176" i="10"/>
  <c r="DJ176" i="10"/>
  <c r="EX176" i="10"/>
  <c r="ES176" i="10"/>
  <c r="EK176" i="10"/>
  <c r="EJ176" i="10"/>
  <c r="EI176" i="10"/>
  <c r="EH176" i="10"/>
  <c r="EG176" i="10"/>
  <c r="DR176" i="10"/>
  <c r="DH176" i="10"/>
  <c r="EN176" i="10"/>
  <c r="EL176" i="10"/>
  <c r="EF176" i="10"/>
  <c r="EE176" i="10"/>
  <c r="ED176" i="10"/>
  <c r="DI176" i="10"/>
  <c r="EV176" i="10"/>
  <c r="EP176" i="10"/>
  <c r="DZ176" i="10"/>
  <c r="DQ176" i="10"/>
  <c r="EW176" i="10"/>
  <c r="EQ176" i="10"/>
  <c r="EO176" i="10"/>
  <c r="EB176" i="10"/>
  <c r="EA176" i="10"/>
  <c r="ES192" i="10"/>
  <c r="DM192" i="10"/>
  <c r="ED192" i="10"/>
  <c r="EC192" i="10"/>
  <c r="EB192" i="10"/>
  <c r="EA192" i="10"/>
  <c r="DU192" i="10"/>
  <c r="EY192" i="10"/>
  <c r="DR192" i="10"/>
  <c r="EJ192" i="10"/>
  <c r="EI192" i="10"/>
  <c r="EH192" i="10"/>
  <c r="EG192" i="10"/>
  <c r="DW192" i="10"/>
  <c r="DQ192" i="10"/>
  <c r="EX192" i="10"/>
  <c r="DJ192" i="10"/>
  <c r="DX192" i="10"/>
  <c r="DV192" i="10"/>
  <c r="DT192" i="10"/>
  <c r="DS192" i="10"/>
  <c r="DH192" i="10"/>
  <c r="ET192" i="10"/>
  <c r="EV192" i="10"/>
  <c r="EU192" i="10"/>
  <c r="ER192" i="10"/>
  <c r="EQ192" i="10"/>
  <c r="EF192" i="10"/>
  <c r="DY192" i="10"/>
  <c r="DL192" i="10"/>
  <c r="DI192" i="10"/>
  <c r="EW192" i="10"/>
  <c r="EE192" i="10"/>
  <c r="DN192" i="10"/>
  <c r="EM192" i="10"/>
  <c r="DP192" i="10"/>
  <c r="DO192" i="10"/>
  <c r="DG192" i="10"/>
  <c r="EP192" i="10"/>
  <c r="EO192" i="10"/>
  <c r="EN192" i="10"/>
  <c r="EL192" i="10"/>
  <c r="EK192" i="10"/>
  <c r="DZ192" i="10"/>
  <c r="DK192" i="10"/>
  <c r="EV208" i="10"/>
  <c r="DP208" i="10"/>
  <c r="EC208" i="10"/>
  <c r="DZ208" i="10"/>
  <c r="EF208" i="10"/>
  <c r="EE208" i="10"/>
  <c r="ED208" i="10"/>
  <c r="EB208" i="10"/>
  <c r="DU208" i="10"/>
  <c r="DR208" i="10"/>
  <c r="ES208" i="10"/>
  <c r="DJ208" i="10"/>
  <c r="EY208" i="10"/>
  <c r="DG208" i="10"/>
  <c r="EX208" i="10"/>
  <c r="EW208" i="10"/>
  <c r="EU208" i="10"/>
  <c r="EN208" i="10"/>
  <c r="EJ208" i="10"/>
  <c r="EA208" i="10"/>
  <c r="DX208" i="10"/>
  <c r="DV208" i="10"/>
  <c r="EO208" i="10"/>
  <c r="EM208" i="10"/>
  <c r="EL208" i="10"/>
  <c r="EK208" i="10"/>
  <c r="DS208" i="10"/>
  <c r="DN208" i="10"/>
  <c r="EH208" i="10"/>
  <c r="DW208" i="10"/>
  <c r="DM208" i="10"/>
  <c r="DK208" i="10"/>
  <c r="DH208" i="10"/>
  <c r="ET208" i="10"/>
  <c r="ER208" i="10"/>
  <c r="EQ208" i="10"/>
  <c r="EP208" i="10"/>
  <c r="EI208" i="10"/>
  <c r="DI208" i="10"/>
  <c r="DY208" i="10"/>
  <c r="DT208" i="10"/>
  <c r="DO208" i="10"/>
  <c r="EG208" i="10"/>
  <c r="DL208" i="10"/>
  <c r="DQ208" i="10"/>
  <c r="EF224" i="10"/>
  <c r="ES224" i="10"/>
  <c r="DM224" i="10"/>
  <c r="DW224" i="10"/>
  <c r="EO224" i="10"/>
  <c r="EP224" i="10"/>
  <c r="EE224" i="10"/>
  <c r="EQ224" i="10"/>
  <c r="EN224" i="10"/>
  <c r="EM224" i="10"/>
  <c r="EL224" i="10"/>
  <c r="ED224" i="10"/>
  <c r="EA224" i="10"/>
  <c r="DS224" i="10"/>
  <c r="EH224" i="10"/>
  <c r="EG224" i="10"/>
  <c r="EC224" i="10"/>
  <c r="EB224" i="10"/>
  <c r="DT224" i="10"/>
  <c r="DO224" i="10"/>
  <c r="DJ224" i="10"/>
  <c r="DH224" i="10"/>
  <c r="EK224" i="10"/>
  <c r="EJ224" i="10"/>
  <c r="EI224" i="10"/>
  <c r="DZ224" i="10"/>
  <c r="DP224" i="10"/>
  <c r="DK224" i="10"/>
  <c r="DV224" i="10"/>
  <c r="DU224" i="10"/>
  <c r="DR224" i="10"/>
  <c r="DQ224" i="10"/>
  <c r="DN224" i="10"/>
  <c r="EY224" i="10"/>
  <c r="EX224" i="10"/>
  <c r="EW224" i="10"/>
  <c r="EV224" i="10"/>
  <c r="DI224" i="10"/>
  <c r="ET224" i="10"/>
  <c r="DL224" i="10"/>
  <c r="DG224" i="10"/>
  <c r="DY224" i="10"/>
  <c r="DX224" i="10"/>
  <c r="EU224" i="10"/>
  <c r="ER224" i="10"/>
  <c r="EV240" i="10"/>
  <c r="DP240" i="10"/>
  <c r="EC240" i="10"/>
  <c r="DT240" i="10"/>
  <c r="DZ240" i="10"/>
  <c r="EW240" i="10"/>
  <c r="DL240" i="10"/>
  <c r="DY240" i="10"/>
  <c r="DX240" i="10"/>
  <c r="DW240" i="10"/>
  <c r="DV240" i="10"/>
  <c r="DN240" i="10"/>
  <c r="EU240" i="10"/>
  <c r="DJ240" i="10"/>
  <c r="EE240" i="10"/>
  <c r="ED240" i="10"/>
  <c r="EB240" i="10"/>
  <c r="EA240" i="10"/>
  <c r="DM240" i="10"/>
  <c r="DH240" i="10"/>
  <c r="EX240" i="10"/>
  <c r="ER240" i="10"/>
  <c r="DS240" i="10"/>
  <c r="DR240" i="10"/>
  <c r="DQ240" i="10"/>
  <c r="DO240" i="10"/>
  <c r="ET240" i="10"/>
  <c r="EQ240" i="10"/>
  <c r="EO240" i="10"/>
  <c r="EP240" i="10"/>
  <c r="EK240" i="10"/>
  <c r="EI240" i="10"/>
  <c r="EG240" i="10"/>
  <c r="EN240" i="10"/>
  <c r="EM240" i="10"/>
  <c r="EL240" i="10"/>
  <c r="EJ240" i="10"/>
  <c r="EH240" i="10"/>
  <c r="ES240" i="10"/>
  <c r="DI240" i="10"/>
  <c r="DG240" i="10"/>
  <c r="DK240" i="10"/>
  <c r="EF240" i="10"/>
  <c r="DU240" i="10"/>
  <c r="EY240" i="10"/>
  <c r="EF256" i="10"/>
  <c r="ES256" i="10"/>
  <c r="DM256" i="10"/>
  <c r="EY256" i="10"/>
  <c r="DQ256" i="10"/>
  <c r="ET256" i="10"/>
  <c r="DJ256" i="10"/>
  <c r="ER256" i="10"/>
  <c r="DI256" i="10"/>
  <c r="EQ256" i="10"/>
  <c r="DH256" i="10"/>
  <c r="EO256" i="10"/>
  <c r="EM256" i="10"/>
  <c r="EL256" i="10"/>
  <c r="EK256" i="10"/>
  <c r="EJ256" i="10"/>
  <c r="ED256" i="10"/>
  <c r="EN256" i="10"/>
  <c r="EI256" i="10"/>
  <c r="EH256" i="10"/>
  <c r="EG256" i="10"/>
  <c r="DY256" i="10"/>
  <c r="DV256" i="10"/>
  <c r="DG256" i="10"/>
  <c r="EW256" i="10"/>
  <c r="EE256" i="10"/>
  <c r="EA256" i="10"/>
  <c r="DW256" i="10"/>
  <c r="EX256" i="10"/>
  <c r="DZ256" i="10"/>
  <c r="DS256" i="10"/>
  <c r="DN256" i="10"/>
  <c r="DK256" i="10"/>
  <c r="DX256" i="10"/>
  <c r="DU256" i="10"/>
  <c r="DT256" i="10"/>
  <c r="DR256" i="10"/>
  <c r="EV256" i="10"/>
  <c r="EP256" i="10"/>
  <c r="EB256" i="10"/>
  <c r="EC256" i="10"/>
  <c r="EU256" i="10"/>
  <c r="DP256" i="10"/>
  <c r="DO256" i="10"/>
  <c r="DL256" i="10"/>
  <c r="ED272" i="10"/>
  <c r="EQ272" i="10"/>
  <c r="DK272" i="10"/>
  <c r="DS272" i="10"/>
  <c r="EG272" i="10"/>
  <c r="EX272" i="10"/>
  <c r="DN272" i="10"/>
  <c r="EM272" i="10"/>
  <c r="EC272" i="10"/>
  <c r="EI272" i="10"/>
  <c r="DP272" i="10"/>
  <c r="DO272" i="10"/>
  <c r="DM272" i="10"/>
  <c r="DL272" i="10"/>
  <c r="DJ272" i="10"/>
  <c r="EH272" i="10"/>
  <c r="EF272" i="10"/>
  <c r="EE272" i="10"/>
  <c r="EB272" i="10"/>
  <c r="DW272" i="10"/>
  <c r="DT272" i="10"/>
  <c r="EJ272" i="10"/>
  <c r="EA272" i="10"/>
  <c r="DZ272" i="10"/>
  <c r="DY272" i="10"/>
  <c r="DI272" i="10"/>
  <c r="DU272" i="10"/>
  <c r="DR272" i="10"/>
  <c r="DQ272" i="10"/>
  <c r="DH272" i="10"/>
  <c r="EW272" i="10"/>
  <c r="ET272" i="10"/>
  <c r="EU272" i="10"/>
  <c r="EO272" i="10"/>
  <c r="EL272" i="10"/>
  <c r="DX272" i="10"/>
  <c r="EV272" i="10"/>
  <c r="EP272" i="10"/>
  <c r="DG272" i="10"/>
  <c r="EY272" i="10"/>
  <c r="ER272" i="10"/>
  <c r="EK272" i="10"/>
  <c r="EN272" i="10"/>
  <c r="DV272" i="10"/>
  <c r="ES272" i="10"/>
  <c r="CV252" i="10"/>
  <c r="CV264" i="10"/>
  <c r="CV268" i="10"/>
  <c r="CV259" i="10"/>
  <c r="CV274" i="10"/>
  <c r="CV272" i="10"/>
  <c r="CV273" i="10"/>
  <c r="CV271" i="10"/>
  <c r="CV227" i="10"/>
  <c r="CV195" i="10"/>
  <c r="CV260" i="10"/>
  <c r="CV242" i="10"/>
  <c r="CV222" i="10"/>
  <c r="CV190" i="10"/>
  <c r="CV217" i="10"/>
  <c r="CV245" i="10"/>
  <c r="CV212" i="10"/>
  <c r="CV248" i="10"/>
  <c r="CV239" i="10"/>
  <c r="CV207" i="10"/>
  <c r="CV254" i="10"/>
  <c r="CV244" i="10"/>
  <c r="CV241" i="10"/>
  <c r="CV231" i="10"/>
  <c r="CV250" i="10"/>
  <c r="CV211" i="10"/>
  <c r="CV253" i="10"/>
  <c r="CV223" i="10"/>
  <c r="CV204" i="10"/>
  <c r="CV179" i="10"/>
  <c r="CV262" i="10"/>
  <c r="CV174" i="10"/>
  <c r="CV243" i="10"/>
  <c r="CV169" i="10"/>
  <c r="CV251" i="10"/>
  <c r="CV247" i="10"/>
  <c r="CV246" i="10"/>
  <c r="CV240" i="10"/>
  <c r="CV221" i="10"/>
  <c r="CV189" i="10"/>
  <c r="CV164" i="10"/>
  <c r="CV249" i="10"/>
  <c r="CV192" i="10"/>
  <c r="CV159" i="10"/>
  <c r="CV255" i="10"/>
  <c r="CV183" i="10"/>
  <c r="CV194" i="10"/>
  <c r="CV265" i="10"/>
  <c r="CV258" i="10"/>
  <c r="CV201" i="10"/>
  <c r="CV182" i="10"/>
  <c r="CV135" i="10"/>
  <c r="CV181" i="10"/>
  <c r="CV172" i="10"/>
  <c r="CV165" i="10"/>
  <c r="CV130" i="10"/>
  <c r="CV230" i="10"/>
  <c r="CV225" i="10"/>
  <c r="CV215" i="10"/>
  <c r="CV202" i="10"/>
  <c r="CV171" i="10"/>
  <c r="CV160" i="10"/>
  <c r="CV156" i="10"/>
  <c r="CV147" i="10"/>
  <c r="CV163" i="10"/>
  <c r="CV232" i="10"/>
  <c r="CV205" i="10"/>
  <c r="CV176" i="10"/>
  <c r="CV168" i="10"/>
  <c r="CV146" i="10"/>
  <c r="CV228" i="10"/>
  <c r="CV237" i="10"/>
  <c r="CV233" i="10"/>
  <c r="CV219" i="10"/>
  <c r="CV118" i="10"/>
  <c r="CV86" i="10"/>
  <c r="CV177" i="10"/>
  <c r="CV123" i="10"/>
  <c r="CV113" i="10"/>
  <c r="CV143" i="10"/>
  <c r="CV108" i="10"/>
  <c r="CV199" i="10"/>
  <c r="CV142" i="10"/>
  <c r="CV103" i="10"/>
  <c r="CV210" i="10"/>
  <c r="CV188" i="10"/>
  <c r="CV134" i="10"/>
  <c r="CV126" i="10"/>
  <c r="CV98" i="10"/>
  <c r="CV226" i="10"/>
  <c r="CV150" i="10"/>
  <c r="CV140" i="10"/>
  <c r="CV133" i="10"/>
  <c r="CV117" i="10"/>
  <c r="CV97" i="10"/>
  <c r="CV186" i="10"/>
  <c r="CV175" i="10"/>
  <c r="CV157" i="10"/>
  <c r="CV114" i="10"/>
  <c r="CV216" i="10"/>
  <c r="CV209" i="10"/>
  <c r="CV198" i="10"/>
  <c r="CV200" i="10"/>
  <c r="CV124" i="10"/>
  <c r="CV80" i="10"/>
  <c r="CV48" i="10"/>
  <c r="CV16" i="10"/>
  <c r="CV125" i="10"/>
  <c r="CV122" i="10"/>
  <c r="CV75" i="10"/>
  <c r="CV153" i="10"/>
  <c r="CV149" i="10"/>
  <c r="CV107" i="10"/>
  <c r="CV92" i="10"/>
  <c r="CV85" i="10"/>
  <c r="CV70" i="10"/>
  <c r="CV263" i="10"/>
  <c r="CV235" i="10"/>
  <c r="CV229" i="10"/>
  <c r="CV121" i="10"/>
  <c r="CV120" i="10"/>
  <c r="CV65" i="10"/>
  <c r="CV33" i="10"/>
  <c r="CV238" i="10"/>
  <c r="CV127" i="10"/>
  <c r="CV88" i="10"/>
  <c r="CV60" i="10"/>
  <c r="CV214" i="10"/>
  <c r="CV132" i="10"/>
  <c r="CV131" i="10"/>
  <c r="CV84" i="10"/>
  <c r="CV79" i="10"/>
  <c r="CV270" i="10"/>
  <c r="CV208" i="10"/>
  <c r="CV141" i="10"/>
  <c r="CV94" i="10"/>
  <c r="CV76" i="10"/>
  <c r="CV44" i="10"/>
  <c r="CV256" i="10"/>
  <c r="CV218" i="10"/>
  <c r="CV166" i="10"/>
  <c r="CV220" i="10"/>
  <c r="CV155" i="10"/>
  <c r="CV115" i="10"/>
  <c r="CV170" i="10"/>
  <c r="CV91" i="10"/>
  <c r="CV53" i="10"/>
  <c r="CV29" i="10"/>
  <c r="CV100" i="10"/>
  <c r="CV32" i="10"/>
  <c r="CV15" i="10"/>
  <c r="CV257" i="10"/>
  <c r="CV161" i="10"/>
  <c r="CV111" i="10"/>
  <c r="CV93" i="10"/>
  <c r="CV58" i="10"/>
  <c r="CV47" i="10"/>
  <c r="CV35" i="10"/>
  <c r="CV26" i="10"/>
  <c r="CV224" i="10"/>
  <c r="CV106" i="10"/>
  <c r="CV78" i="10"/>
  <c r="CV77" i="10"/>
  <c r="CV64" i="10"/>
  <c r="CV145" i="10"/>
  <c r="CV102" i="10"/>
  <c r="CV96" i="10"/>
  <c r="CV73" i="10"/>
  <c r="CV72" i="10"/>
  <c r="CV62" i="10"/>
  <c r="CV41" i="10"/>
  <c r="CV31" i="10"/>
  <c r="CV136" i="10"/>
  <c r="CV61" i="10"/>
  <c r="CV55" i="10"/>
  <c r="CV206" i="10"/>
  <c r="CV162" i="10"/>
  <c r="CV148" i="10"/>
  <c r="CV109" i="10"/>
  <c r="CV178" i="10"/>
  <c r="CV119" i="10"/>
  <c r="CV197" i="10"/>
  <c r="CV267" i="10"/>
  <c r="CV25" i="10"/>
  <c r="CV180" i="10"/>
  <c r="CV30" i="10"/>
  <c r="CV28" i="10"/>
  <c r="CV128" i="10"/>
  <c r="CV27" i="10"/>
  <c r="CV37" i="10"/>
  <c r="CV184" i="10"/>
  <c r="CV95" i="10"/>
  <c r="CV49" i="10"/>
  <c r="CV38" i="10"/>
  <c r="CV34" i="10"/>
  <c r="CV71" i="10"/>
  <c r="CV13" i="10"/>
  <c r="CV90" i="10"/>
  <c r="CV68" i="10"/>
  <c r="CV43" i="10"/>
  <c r="CV167" i="10"/>
  <c r="CV144" i="10"/>
  <c r="CV45" i="10"/>
  <c r="CV19" i="10"/>
  <c r="CV129" i="10"/>
  <c r="CV87" i="10"/>
  <c r="CV54" i="10"/>
  <c r="CV57" i="10"/>
  <c r="CV213" i="10"/>
  <c r="CV193" i="10"/>
  <c r="CV23" i="10"/>
  <c r="CV116" i="10"/>
  <c r="CV173" i="10"/>
  <c r="CV82" i="10"/>
  <c r="CV12" i="10"/>
  <c r="CV196" i="10"/>
  <c r="CV154" i="10"/>
  <c r="CV50" i="10"/>
  <c r="CV139" i="10"/>
  <c r="CV66" i="10"/>
  <c r="CV56" i="10"/>
  <c r="CV46" i="10"/>
  <c r="CV18" i="10"/>
  <c r="CV203" i="10"/>
  <c r="CV105" i="10"/>
  <c r="CV81" i="10"/>
  <c r="CV152" i="10"/>
  <c r="CV83" i="10"/>
  <c r="CV137" i="10"/>
  <c r="CV22" i="10"/>
  <c r="CV11" i="10"/>
  <c r="CV234" i="10"/>
  <c r="CV20" i="10"/>
  <c r="BL50" i="10"/>
  <c r="BL103" i="10"/>
  <c r="BX170" i="10"/>
  <c r="EH31" i="10"/>
  <c r="EB31" i="10"/>
  <c r="EA31" i="10"/>
  <c r="DZ31" i="10"/>
  <c r="DY31" i="10"/>
  <c r="EO31" i="10"/>
  <c r="DH31" i="10"/>
  <c r="EG31" i="10"/>
  <c r="EF31" i="10"/>
  <c r="EE31" i="10"/>
  <c r="ED31" i="10"/>
  <c r="EC31" i="10"/>
  <c r="DQ31" i="10"/>
  <c r="DN31" i="10"/>
  <c r="EU31" i="10"/>
  <c r="DI31" i="10"/>
  <c r="EY31" i="10"/>
  <c r="EX31" i="10"/>
  <c r="EW31" i="10"/>
  <c r="EM31" i="10"/>
  <c r="EI31" i="10"/>
  <c r="EJ31" i="10"/>
  <c r="DX31" i="10"/>
  <c r="DW31" i="10"/>
  <c r="DV31" i="10"/>
  <c r="DU31" i="10"/>
  <c r="DK31" i="10"/>
  <c r="EV31" i="10"/>
  <c r="EP31" i="10"/>
  <c r="DT31" i="10"/>
  <c r="DO31" i="10"/>
  <c r="DM31" i="10"/>
  <c r="DJ31" i="10"/>
  <c r="DG31" i="10"/>
  <c r="ET31" i="10"/>
  <c r="ES31" i="10"/>
  <c r="ER31" i="10"/>
  <c r="EQ31" i="10"/>
  <c r="EN31" i="10"/>
  <c r="DR31" i="10"/>
  <c r="DS31" i="10"/>
  <c r="EL31" i="10"/>
  <c r="EK31" i="10"/>
  <c r="DP31" i="10"/>
  <c r="DL31" i="10"/>
  <c r="BX222" i="10"/>
  <c r="BL21" i="10"/>
  <c r="CV59" i="10"/>
  <c r="BT81" i="10"/>
  <c r="BL89" i="10"/>
  <c r="BL109" i="10"/>
  <c r="BW150" i="10"/>
  <c r="EJ32" i="10"/>
  <c r="BW70" i="10"/>
  <c r="BW121" i="10"/>
  <c r="EL32" i="10"/>
  <c r="EX47" i="10"/>
  <c r="DR47" i="10"/>
  <c r="EU47" i="10"/>
  <c r="DO47" i="10"/>
  <c r="EJ47" i="10"/>
  <c r="EI47" i="10"/>
  <c r="EH47" i="10"/>
  <c r="EG47" i="10"/>
  <c r="EF47" i="10"/>
  <c r="DY47" i="10"/>
  <c r="DU47" i="10"/>
  <c r="EW47" i="10"/>
  <c r="DN47" i="10"/>
  <c r="DP47" i="10"/>
  <c r="DM47" i="10"/>
  <c r="DL47" i="10"/>
  <c r="DK47" i="10"/>
  <c r="DJ47" i="10"/>
  <c r="ER47" i="10"/>
  <c r="EO47" i="10"/>
  <c r="EE47" i="10"/>
  <c r="EY47" i="10"/>
  <c r="EL47" i="10"/>
  <c r="EB47" i="10"/>
  <c r="DV47" i="10"/>
  <c r="EM47" i="10"/>
  <c r="EK47" i="10"/>
  <c r="ED47" i="10"/>
  <c r="EC47" i="10"/>
  <c r="EA47" i="10"/>
  <c r="DH47" i="10"/>
  <c r="ES47" i="10"/>
  <c r="DZ47" i="10"/>
  <c r="DX47" i="10"/>
  <c r="DT47" i="10"/>
  <c r="DS47" i="10"/>
  <c r="ET47" i="10"/>
  <c r="EP47" i="10"/>
  <c r="EN47" i="10"/>
  <c r="DW47" i="10"/>
  <c r="EQ47" i="10"/>
  <c r="DG47" i="10"/>
  <c r="EV47" i="10"/>
  <c r="DQ47" i="10"/>
  <c r="DI47" i="10"/>
  <c r="BT26" i="10"/>
  <c r="BW50" i="10"/>
  <c r="BL172" i="10"/>
  <c r="EH63" i="10"/>
  <c r="EG63" i="10"/>
  <c r="EE63" i="10"/>
  <c r="DX63" i="10"/>
  <c r="EU63" i="10"/>
  <c r="DO63" i="10"/>
  <c r="EB63" i="10"/>
  <c r="EA63" i="10"/>
  <c r="DZ63" i="10"/>
  <c r="DY63" i="10"/>
  <c r="DW63" i="10"/>
  <c r="DP63" i="10"/>
  <c r="EW63" i="10"/>
  <c r="DK63" i="10"/>
  <c r="EQ63" i="10"/>
  <c r="DG63" i="10"/>
  <c r="EY63" i="10"/>
  <c r="EX63" i="10"/>
  <c r="EM63" i="10"/>
  <c r="EJ63" i="10"/>
  <c r="EC63" i="10"/>
  <c r="DV63" i="10"/>
  <c r="ET63" i="10"/>
  <c r="ES63" i="10"/>
  <c r="ER63" i="10"/>
  <c r="EP63" i="10"/>
  <c r="EO63" i="10"/>
  <c r="DT63" i="10"/>
  <c r="DN63" i="10"/>
  <c r="DH63" i="10"/>
  <c r="EK63" i="10"/>
  <c r="EI63" i="10"/>
  <c r="ED63" i="10"/>
  <c r="DM63" i="10"/>
  <c r="DL63" i="10"/>
  <c r="DJ63" i="10"/>
  <c r="DI63" i="10"/>
  <c r="EV63" i="10"/>
  <c r="DR63" i="10"/>
  <c r="DQ63" i="10"/>
  <c r="EN63" i="10"/>
  <c r="EL63" i="10"/>
  <c r="EF63" i="10"/>
  <c r="DU63" i="10"/>
  <c r="DS63" i="10"/>
  <c r="P10" i="10"/>
  <c r="BL10" i="10" s="1"/>
  <c r="DH10" i="10" s="1"/>
  <c r="FD10" i="10" s="1"/>
  <c r="BW11" i="10"/>
  <c r="CV40" i="10"/>
  <c r="BL44" i="10"/>
  <c r="CV185" i="10"/>
  <c r="BW26" i="10"/>
  <c r="BL38" i="10"/>
  <c r="BW60" i="10"/>
  <c r="BW74" i="10"/>
  <c r="BT254" i="10"/>
  <c r="ER199" i="10"/>
  <c r="K12" i="10"/>
  <c r="K44" i="10"/>
  <c r="K60" i="10"/>
  <c r="K76" i="10"/>
  <c r="K92" i="10"/>
  <c r="K108" i="10"/>
  <c r="K124" i="10"/>
  <c r="K140" i="10"/>
  <c r="K156" i="10"/>
  <c r="K172" i="10"/>
  <c r="K204" i="10"/>
  <c r="K220" i="10"/>
  <c r="K236" i="10"/>
  <c r="K268" i="10"/>
  <c r="CJ15" i="10"/>
  <c r="CJ28" i="10"/>
  <c r="CJ106" i="10"/>
  <c r="CJ116" i="10"/>
  <c r="CJ20" i="10"/>
  <c r="EV17" i="10"/>
  <c r="DP17" i="10"/>
  <c r="EU17" i="10"/>
  <c r="DO17" i="10"/>
  <c r="EB17" i="10"/>
  <c r="EP17" i="10"/>
  <c r="DG17" i="10"/>
  <c r="EO17" i="10"/>
  <c r="EN17" i="10"/>
  <c r="EM17" i="10"/>
  <c r="EL17" i="10"/>
  <c r="ED17" i="10"/>
  <c r="DZ17" i="10"/>
  <c r="DU17" i="10"/>
  <c r="DH17" i="10"/>
  <c r="EY17" i="10"/>
  <c r="EX17" i="10"/>
  <c r="EW17" i="10"/>
  <c r="EH17" i="10"/>
  <c r="ET17" i="10"/>
  <c r="ES17" i="10"/>
  <c r="ER17" i="10"/>
  <c r="EQ17" i="10"/>
  <c r="EA17" i="10"/>
  <c r="DV17" i="10"/>
  <c r="DQ17" i="10"/>
  <c r="DN17" i="10"/>
  <c r="DL17" i="10"/>
  <c r="EK17" i="10"/>
  <c r="EF17" i="10"/>
  <c r="DX17" i="10"/>
  <c r="DW17" i="10"/>
  <c r="DS17" i="10"/>
  <c r="DR17" i="10"/>
  <c r="DK17" i="10"/>
  <c r="DJ17" i="10"/>
  <c r="DI17" i="10"/>
  <c r="EJ17" i="10"/>
  <c r="EE17" i="10"/>
  <c r="DT17" i="10"/>
  <c r="EC17" i="10"/>
  <c r="DY17" i="10"/>
  <c r="DM17" i="10"/>
  <c r="EI17" i="10"/>
  <c r="EG17" i="10"/>
  <c r="EN33" i="10"/>
  <c r="DH33" i="10"/>
  <c r="EK33" i="10"/>
  <c r="EJ33" i="10"/>
  <c r="EI33" i="10"/>
  <c r="EH33" i="10"/>
  <c r="EX33" i="10"/>
  <c r="DQ33" i="10"/>
  <c r="DU33" i="10"/>
  <c r="DT33" i="10"/>
  <c r="DS33" i="10"/>
  <c r="DR33" i="10"/>
  <c r="DP33" i="10"/>
  <c r="ET33" i="10"/>
  <c r="DG33" i="10"/>
  <c r="EQ33" i="10"/>
  <c r="EG33" i="10"/>
  <c r="DV33" i="10"/>
  <c r="DO33" i="10"/>
  <c r="DN33" i="10"/>
  <c r="DM33" i="10"/>
  <c r="DL33" i="10"/>
  <c r="EY33" i="10"/>
  <c r="ES33" i="10"/>
  <c r="DI33" i="10"/>
  <c r="EW33" i="10"/>
  <c r="EP33" i="10"/>
  <c r="EF33" i="10"/>
  <c r="EE33" i="10"/>
  <c r="EC33" i="10"/>
  <c r="EU33" i="10"/>
  <c r="EL33" i="10"/>
  <c r="DZ33" i="10"/>
  <c r="DY33" i="10"/>
  <c r="DW33" i="10"/>
  <c r="DK33" i="10"/>
  <c r="EO33" i="10"/>
  <c r="EB33" i="10"/>
  <c r="DX33" i="10"/>
  <c r="DJ33" i="10"/>
  <c r="EV33" i="10"/>
  <c r="ER33" i="10"/>
  <c r="EM33" i="10"/>
  <c r="ED33" i="10"/>
  <c r="DX49" i="10"/>
  <c r="DU49" i="10"/>
  <c r="EV49" i="10"/>
  <c r="DN49" i="10"/>
  <c r="EU49" i="10"/>
  <c r="DM49" i="10"/>
  <c r="ET49" i="10"/>
  <c r="DL49" i="10"/>
  <c r="ES49" i="10"/>
  <c r="DK49" i="10"/>
  <c r="ER49" i="10"/>
  <c r="DJ49" i="10"/>
  <c r="EK49" i="10"/>
  <c r="EG49" i="10"/>
  <c r="EB49" i="10"/>
  <c r="DR49" i="10"/>
  <c r="DQ49" i="10"/>
  <c r="DP49" i="10"/>
  <c r="DO49" i="10"/>
  <c r="DI49" i="10"/>
  <c r="EQ49" i="10"/>
  <c r="EN49" i="10"/>
  <c r="EH49" i="10"/>
  <c r="ED49" i="10"/>
  <c r="EC49" i="10"/>
  <c r="EA49" i="10"/>
  <c r="DZ49" i="10"/>
  <c r="DY49" i="10"/>
  <c r="EY49" i="10"/>
  <c r="EF49" i="10"/>
  <c r="EE49" i="10"/>
  <c r="DW49" i="10"/>
  <c r="DV49" i="10"/>
  <c r="DT49" i="10"/>
  <c r="DG49" i="10"/>
  <c r="EW49" i="10"/>
  <c r="EP49" i="10"/>
  <c r="EX49" i="10"/>
  <c r="EO49" i="10"/>
  <c r="EM49" i="10"/>
  <c r="EL49" i="10"/>
  <c r="DS49" i="10"/>
  <c r="EJ49" i="10"/>
  <c r="EI49" i="10"/>
  <c r="DH49" i="10"/>
  <c r="EN65" i="10"/>
  <c r="DH65" i="10"/>
  <c r="EM65" i="10"/>
  <c r="DG65" i="10"/>
  <c r="EK65" i="10"/>
  <c r="ED65" i="10"/>
  <c r="DZ65" i="10"/>
  <c r="DU65" i="10"/>
  <c r="DP65" i="10"/>
  <c r="DO65" i="10"/>
  <c r="DN65" i="10"/>
  <c r="EY65" i="10"/>
  <c r="DM65" i="10"/>
  <c r="EX65" i="10"/>
  <c r="DL65" i="10"/>
  <c r="EQ65" i="10"/>
  <c r="EJ65" i="10"/>
  <c r="EE65" i="10"/>
  <c r="DT65" i="10"/>
  <c r="DS65" i="10"/>
  <c r="DR65" i="10"/>
  <c r="DQ65" i="10"/>
  <c r="DK65" i="10"/>
  <c r="EW65" i="10"/>
  <c r="ET65" i="10"/>
  <c r="EO65" i="10"/>
  <c r="EL65" i="10"/>
  <c r="EH65" i="10"/>
  <c r="EF65" i="10"/>
  <c r="EC65" i="10"/>
  <c r="EB65" i="10"/>
  <c r="EA65" i="10"/>
  <c r="DY65" i="10"/>
  <c r="EU65" i="10"/>
  <c r="ES65" i="10"/>
  <c r="EP65" i="10"/>
  <c r="EV65" i="10"/>
  <c r="DI65" i="10"/>
  <c r="ER65" i="10"/>
  <c r="DW65" i="10"/>
  <c r="EI65" i="10"/>
  <c r="EG65" i="10"/>
  <c r="DX65" i="10"/>
  <c r="DV65" i="10"/>
  <c r="DJ65" i="10"/>
  <c r="EX81" i="10"/>
  <c r="DR81" i="10"/>
  <c r="EQ81" i="10"/>
  <c r="DJ81" i="10"/>
  <c r="EP81" i="10"/>
  <c r="DI81" i="10"/>
  <c r="EO81" i="10"/>
  <c r="DH81" i="10"/>
  <c r="EN81" i="10"/>
  <c r="DG81" i="10"/>
  <c r="EM81" i="10"/>
  <c r="EF81" i="10"/>
  <c r="EB81" i="10"/>
  <c r="DW81" i="10"/>
  <c r="DS81" i="10"/>
  <c r="DQ81" i="10"/>
  <c r="DP81" i="10"/>
  <c r="DO81" i="10"/>
  <c r="DN81" i="10"/>
  <c r="EV81" i="10"/>
  <c r="ER81" i="10"/>
  <c r="EI81" i="10"/>
  <c r="EH81" i="10"/>
  <c r="ES81" i="10"/>
  <c r="EL81" i="10"/>
  <c r="EK81" i="10"/>
  <c r="EJ81" i="10"/>
  <c r="EG81" i="10"/>
  <c r="DV81" i="10"/>
  <c r="DM81" i="10"/>
  <c r="EC81" i="10"/>
  <c r="DX81" i="10"/>
  <c r="EY81" i="10"/>
  <c r="EW81" i="10"/>
  <c r="DU81" i="10"/>
  <c r="EU81" i="10"/>
  <c r="ET81" i="10"/>
  <c r="ED81" i="10"/>
  <c r="EA81" i="10"/>
  <c r="EE81" i="10"/>
  <c r="DT81" i="10"/>
  <c r="DK81" i="10"/>
  <c r="DL81" i="10"/>
  <c r="DZ81" i="10"/>
  <c r="DY81" i="10"/>
  <c r="EX113" i="10"/>
  <c r="DR113" i="10"/>
  <c r="EW113" i="10"/>
  <c r="DQ113" i="10"/>
  <c r="EV113" i="10"/>
  <c r="DP113" i="10"/>
  <c r="EU113" i="10"/>
  <c r="DO113" i="10"/>
  <c r="EN113" i="10"/>
  <c r="DH113" i="10"/>
  <c r="EK113" i="10"/>
  <c r="EE113" i="10"/>
  <c r="EL113" i="10"/>
  <c r="EJ113" i="10"/>
  <c r="EI113" i="10"/>
  <c r="EH113" i="10"/>
  <c r="EG113" i="10"/>
  <c r="DY113" i="10"/>
  <c r="DU113" i="10"/>
  <c r="DL113" i="10"/>
  <c r="DG113" i="10"/>
  <c r="ER113" i="10"/>
  <c r="EM113" i="10"/>
  <c r="EB113" i="10"/>
  <c r="EA113" i="10"/>
  <c r="DX113" i="10"/>
  <c r="EY113" i="10"/>
  <c r="ET113" i="10"/>
  <c r="DZ113" i="10"/>
  <c r="DT113" i="10"/>
  <c r="DK113" i="10"/>
  <c r="DJ113" i="10"/>
  <c r="EF113" i="10"/>
  <c r="DV113" i="10"/>
  <c r="DI113" i="10"/>
  <c r="DM113" i="10"/>
  <c r="ES113" i="10"/>
  <c r="DS113" i="10"/>
  <c r="DN113" i="10"/>
  <c r="EP113" i="10"/>
  <c r="EO113" i="10"/>
  <c r="ED113" i="10"/>
  <c r="EC113" i="10"/>
  <c r="DW113" i="10"/>
  <c r="EQ113" i="10"/>
  <c r="EF129" i="10"/>
  <c r="DY129" i="10"/>
  <c r="EW129" i="10"/>
  <c r="DV129" i="10"/>
  <c r="EA129" i="10"/>
  <c r="DZ129" i="10"/>
  <c r="DX129" i="10"/>
  <c r="DW129" i="10"/>
  <c r="EY129" i="10"/>
  <c r="DO129" i="10"/>
  <c r="EU129" i="10"/>
  <c r="DL129" i="10"/>
  <c r="EO129" i="10"/>
  <c r="EG129" i="10"/>
  <c r="EE129" i="10"/>
  <c r="ED129" i="10"/>
  <c r="EC129" i="10"/>
  <c r="EB129" i="10"/>
  <c r="DN129" i="10"/>
  <c r="DI129" i="10"/>
  <c r="EV129" i="10"/>
  <c r="ET129" i="10"/>
  <c r="ER129" i="10"/>
  <c r="DS129" i="10"/>
  <c r="DR129" i="10"/>
  <c r="DQ129" i="10"/>
  <c r="DP129" i="10"/>
  <c r="DM129" i="10"/>
  <c r="EX129" i="10"/>
  <c r="ES129" i="10"/>
  <c r="EP129" i="10"/>
  <c r="EQ129" i="10"/>
  <c r="DU129" i="10"/>
  <c r="DJ129" i="10"/>
  <c r="DK129" i="10"/>
  <c r="DH129" i="10"/>
  <c r="DG129" i="10"/>
  <c r="EL129" i="10"/>
  <c r="EK129" i="10"/>
  <c r="EJ129" i="10"/>
  <c r="EI129" i="10"/>
  <c r="EH129" i="10"/>
  <c r="EN129" i="10"/>
  <c r="EM129" i="10"/>
  <c r="DT129" i="10"/>
  <c r="EV145" i="10"/>
  <c r="DP145" i="10"/>
  <c r="EF145" i="10"/>
  <c r="EE145" i="10"/>
  <c r="ED145" i="10"/>
  <c r="EC145" i="10"/>
  <c r="DW145" i="10"/>
  <c r="DS145" i="10"/>
  <c r="DZ145" i="10"/>
  <c r="DM145" i="10"/>
  <c r="DL145" i="10"/>
  <c r="DK145" i="10"/>
  <c r="EY145" i="10"/>
  <c r="DJ145" i="10"/>
  <c r="EQ145" i="10"/>
  <c r="EN145" i="10"/>
  <c r="EJ145" i="10"/>
  <c r="EH145" i="10"/>
  <c r="DQ145" i="10"/>
  <c r="DO145" i="10"/>
  <c r="DN145" i="10"/>
  <c r="DI145" i="10"/>
  <c r="DH145" i="10"/>
  <c r="EX145" i="10"/>
  <c r="ES145" i="10"/>
  <c r="EM145" i="10"/>
  <c r="EL145" i="10"/>
  <c r="EI145" i="10"/>
  <c r="EK145" i="10"/>
  <c r="EG145" i="10"/>
  <c r="EB145" i="10"/>
  <c r="EA145" i="10"/>
  <c r="DY145" i="10"/>
  <c r="EW145" i="10"/>
  <c r="ER145" i="10"/>
  <c r="DV145" i="10"/>
  <c r="DU145" i="10"/>
  <c r="DR145" i="10"/>
  <c r="EU145" i="10"/>
  <c r="DX145" i="10"/>
  <c r="ET145" i="10"/>
  <c r="DT145" i="10"/>
  <c r="DG145" i="10"/>
  <c r="EO145" i="10"/>
  <c r="EP145" i="10"/>
  <c r="EV177" i="10"/>
  <c r="DP177" i="10"/>
  <c r="ER177" i="10"/>
  <c r="DK177" i="10"/>
  <c r="EQ177" i="10"/>
  <c r="DJ177" i="10"/>
  <c r="EP177" i="10"/>
  <c r="DI177" i="10"/>
  <c r="EO177" i="10"/>
  <c r="DH177" i="10"/>
  <c r="EI177" i="10"/>
  <c r="EF177" i="10"/>
  <c r="DT177" i="10"/>
  <c r="DS177" i="10"/>
  <c r="DR177" i="10"/>
  <c r="DQ177" i="10"/>
  <c r="EX177" i="10"/>
  <c r="ES177" i="10"/>
  <c r="EH177" i="10"/>
  <c r="DY177" i="10"/>
  <c r="DX177" i="10"/>
  <c r="DW177" i="10"/>
  <c r="DV177" i="10"/>
  <c r="ET177" i="10"/>
  <c r="EK177" i="10"/>
  <c r="EE177" i="10"/>
  <c r="EA177" i="10"/>
  <c r="DU177" i="10"/>
  <c r="DN177" i="10"/>
  <c r="EY177" i="10"/>
  <c r="EM177" i="10"/>
  <c r="ED177" i="10"/>
  <c r="EC177" i="10"/>
  <c r="DZ177" i="10"/>
  <c r="EL177" i="10"/>
  <c r="DO177" i="10"/>
  <c r="DM177" i="10"/>
  <c r="DG177" i="10"/>
  <c r="EU177" i="10"/>
  <c r="EB177" i="10"/>
  <c r="DL177" i="10"/>
  <c r="EJ177" i="10"/>
  <c r="EW177" i="10"/>
  <c r="EN177" i="10"/>
  <c r="EG177" i="10"/>
  <c r="EI209" i="10"/>
  <c r="EV209" i="10"/>
  <c r="DP209" i="10"/>
  <c r="EX209" i="10"/>
  <c r="DO209" i="10"/>
  <c r="DV209" i="10"/>
  <c r="DU209" i="10"/>
  <c r="DT209" i="10"/>
  <c r="DS209" i="10"/>
  <c r="ET209" i="10"/>
  <c r="DK209" i="10"/>
  <c r="EQ209" i="10"/>
  <c r="DH209" i="10"/>
  <c r="EJ209" i="10"/>
  <c r="EY209" i="10"/>
  <c r="EW209" i="10"/>
  <c r="EU209" i="10"/>
  <c r="EM209" i="10"/>
  <c r="EG209" i="10"/>
  <c r="EC209" i="10"/>
  <c r="EA209" i="10"/>
  <c r="DY209" i="10"/>
  <c r="EL209" i="10"/>
  <c r="EF209" i="10"/>
  <c r="DW209" i="10"/>
  <c r="DM209" i="10"/>
  <c r="DL209" i="10"/>
  <c r="DJ209" i="10"/>
  <c r="DI209" i="10"/>
  <c r="ES209" i="10"/>
  <c r="EP209" i="10"/>
  <c r="EN209" i="10"/>
  <c r="ER209" i="10"/>
  <c r="EO209" i="10"/>
  <c r="EH209" i="10"/>
  <c r="EB209" i="10"/>
  <c r="DQ209" i="10"/>
  <c r="EK209" i="10"/>
  <c r="DX209" i="10"/>
  <c r="DR209" i="10"/>
  <c r="DG209" i="10"/>
  <c r="DN209" i="10"/>
  <c r="DZ209" i="10"/>
  <c r="ED209" i="10"/>
  <c r="EE209" i="10"/>
  <c r="EY225" i="10"/>
  <c r="DS225" i="10"/>
  <c r="EF225" i="10"/>
  <c r="ET225" i="10"/>
  <c r="DL225" i="10"/>
  <c r="EE225" i="10"/>
  <c r="EH225" i="10"/>
  <c r="DX225" i="10"/>
  <c r="EK225" i="10"/>
  <c r="EJ225" i="10"/>
  <c r="EI225" i="10"/>
  <c r="EG225" i="10"/>
  <c r="DY225" i="10"/>
  <c r="DU225" i="10"/>
  <c r="DM225" i="10"/>
  <c r="EO225" i="10"/>
  <c r="EN225" i="10"/>
  <c r="EM225" i="10"/>
  <c r="EL225" i="10"/>
  <c r="DW225" i="10"/>
  <c r="DQ225" i="10"/>
  <c r="DK225" i="10"/>
  <c r="DI225" i="10"/>
  <c r="DG225" i="10"/>
  <c r="EQ225" i="10"/>
  <c r="EC225" i="10"/>
  <c r="DV225" i="10"/>
  <c r="DR225" i="10"/>
  <c r="DO225" i="10"/>
  <c r="ES225" i="10"/>
  <c r="ED225" i="10"/>
  <c r="DT225" i="10"/>
  <c r="DN225" i="10"/>
  <c r="DH225" i="10"/>
  <c r="DJ225" i="10"/>
  <c r="EX225" i="10"/>
  <c r="EA225" i="10"/>
  <c r="EW225" i="10"/>
  <c r="EU225" i="10"/>
  <c r="EP225" i="10"/>
  <c r="EB225" i="10"/>
  <c r="DP225" i="10"/>
  <c r="ER225" i="10"/>
  <c r="EV225" i="10"/>
  <c r="DZ225" i="10"/>
  <c r="EI241" i="10"/>
  <c r="EV241" i="10"/>
  <c r="DP241" i="10"/>
  <c r="EQ241" i="10"/>
  <c r="DI241" i="10"/>
  <c r="DQ241" i="10"/>
  <c r="EN241" i="10"/>
  <c r="DS241" i="10"/>
  <c r="DR241" i="10"/>
  <c r="DO241" i="10"/>
  <c r="DN241" i="10"/>
  <c r="ES241" i="10"/>
  <c r="DG241" i="10"/>
  <c r="EO241" i="10"/>
  <c r="EC241" i="10"/>
  <c r="EB241" i="10"/>
  <c r="EA241" i="10"/>
  <c r="DZ241" i="10"/>
  <c r="DT241" i="10"/>
  <c r="DK241" i="10"/>
  <c r="EY241" i="10"/>
  <c r="EU241" i="10"/>
  <c r="EK241" i="10"/>
  <c r="EJ241" i="10"/>
  <c r="EH241" i="10"/>
  <c r="EG241" i="10"/>
  <c r="DW241" i="10"/>
  <c r="DL241" i="10"/>
  <c r="EL241" i="10"/>
  <c r="EF241" i="10"/>
  <c r="EE241" i="10"/>
  <c r="ED241" i="10"/>
  <c r="DH241" i="10"/>
  <c r="EX241" i="10"/>
  <c r="ET241" i="10"/>
  <c r="EP241" i="10"/>
  <c r="DU241" i="10"/>
  <c r="EW241" i="10"/>
  <c r="ER241" i="10"/>
  <c r="EM241" i="10"/>
  <c r="DY241" i="10"/>
  <c r="DX241" i="10"/>
  <c r="DM241" i="10"/>
  <c r="DJ241" i="10"/>
  <c r="EY257" i="10"/>
  <c r="DS257" i="10"/>
  <c r="EF257" i="10"/>
  <c r="EN257" i="10"/>
  <c r="EJ257" i="10"/>
  <c r="EI257" i="10"/>
  <c r="EH257" i="10"/>
  <c r="EE257" i="10"/>
  <c r="EL257" i="10"/>
  <c r="EK257" i="10"/>
  <c r="EG257" i="10"/>
  <c r="ED257" i="10"/>
  <c r="DY257" i="10"/>
  <c r="DV257" i="10"/>
  <c r="ET257" i="10"/>
  <c r="ES257" i="10"/>
  <c r="ER257" i="10"/>
  <c r="EQ257" i="10"/>
  <c r="EA257" i="10"/>
  <c r="DW257" i="10"/>
  <c r="DQ257" i="10"/>
  <c r="DP257" i="10"/>
  <c r="DO257" i="10"/>
  <c r="DN257" i="10"/>
  <c r="DH257" i="10"/>
  <c r="EW257" i="10"/>
  <c r="EP257" i="10"/>
  <c r="DJ257" i="10"/>
  <c r="DI257" i="10"/>
  <c r="DG257" i="10"/>
  <c r="EX257" i="10"/>
  <c r="EU257" i="10"/>
  <c r="EM257" i="10"/>
  <c r="EC257" i="10"/>
  <c r="DZ257" i="10"/>
  <c r="DU257" i="10"/>
  <c r="EB257" i="10"/>
  <c r="DR257" i="10"/>
  <c r="DT257" i="10"/>
  <c r="DM257" i="10"/>
  <c r="DK257" i="10"/>
  <c r="DX257" i="10"/>
  <c r="DL257" i="10"/>
  <c r="EO257" i="10"/>
  <c r="EV257" i="10"/>
  <c r="EW273" i="10"/>
  <c r="DQ273" i="10"/>
  <c r="ED273" i="10"/>
  <c r="EP273" i="10"/>
  <c r="DH273" i="10"/>
  <c r="DV273" i="10"/>
  <c r="EO273" i="10"/>
  <c r="EF273" i="10"/>
  <c r="DW273" i="10"/>
  <c r="EC273" i="10"/>
  <c r="DL273" i="10"/>
  <c r="DK273" i="10"/>
  <c r="EY273" i="10"/>
  <c r="DJ273" i="10"/>
  <c r="EX273" i="10"/>
  <c r="DI273" i="10"/>
  <c r="EV273" i="10"/>
  <c r="DG273" i="10"/>
  <c r="EK273" i="10"/>
  <c r="EJ273" i="10"/>
  <c r="EI273" i="10"/>
  <c r="EH273" i="10"/>
  <c r="DZ273" i="10"/>
  <c r="DU273" i="10"/>
  <c r="ET273" i="10"/>
  <c r="ES273" i="10"/>
  <c r="ER273" i="10"/>
  <c r="EQ273" i="10"/>
  <c r="EB273" i="10"/>
  <c r="DX273" i="10"/>
  <c r="EU273" i="10"/>
  <c r="EA273" i="10"/>
  <c r="DS273" i="10"/>
  <c r="DN273" i="10"/>
  <c r="EN273" i="10"/>
  <c r="EM273" i="10"/>
  <c r="EL273" i="10"/>
  <c r="EG273" i="10"/>
  <c r="DO273" i="10"/>
  <c r="EE273" i="10"/>
  <c r="DT273" i="10"/>
  <c r="DP273" i="10"/>
  <c r="DM273" i="10"/>
  <c r="DY273" i="10"/>
  <c r="DR273" i="10"/>
  <c r="CJ248" i="10"/>
  <c r="CJ265" i="10"/>
  <c r="CJ260" i="10"/>
  <c r="CJ269" i="10"/>
  <c r="CJ270" i="10"/>
  <c r="CJ253" i="10"/>
  <c r="CJ223" i="10"/>
  <c r="CJ191" i="10"/>
  <c r="CJ257" i="10"/>
  <c r="CJ218" i="10"/>
  <c r="CJ243" i="10"/>
  <c r="CJ213" i="10"/>
  <c r="CJ240" i="10"/>
  <c r="CJ208" i="10"/>
  <c r="CJ246" i="10"/>
  <c r="CJ235" i="10"/>
  <c r="CJ242" i="10"/>
  <c r="CJ227" i="10"/>
  <c r="CJ239" i="10"/>
  <c r="CJ206" i="10"/>
  <c r="CJ175" i="10"/>
  <c r="CJ214" i="10"/>
  <c r="CJ170" i="10"/>
  <c r="CJ228" i="10"/>
  <c r="CJ200" i="10"/>
  <c r="CJ165" i="10"/>
  <c r="CJ160" i="10"/>
  <c r="CJ266" i="10"/>
  <c r="CJ261" i="10"/>
  <c r="CJ226" i="10"/>
  <c r="CJ225" i="10"/>
  <c r="CJ205" i="10"/>
  <c r="CJ190" i="10"/>
  <c r="CJ187" i="10"/>
  <c r="CJ155" i="10"/>
  <c r="CJ267" i="10"/>
  <c r="CJ247" i="10"/>
  <c r="CJ211" i="10"/>
  <c r="CJ179" i="10"/>
  <c r="CJ238" i="10"/>
  <c r="CJ237" i="10"/>
  <c r="CJ192" i="10"/>
  <c r="CJ264" i="10"/>
  <c r="CJ255" i="10"/>
  <c r="CJ234" i="10"/>
  <c r="CJ256" i="10"/>
  <c r="CJ271" i="10"/>
  <c r="CJ241" i="10"/>
  <c r="CJ198" i="10"/>
  <c r="CJ196" i="10"/>
  <c r="CJ131" i="10"/>
  <c r="CJ194" i="10"/>
  <c r="CJ174" i="10"/>
  <c r="CJ154" i="10"/>
  <c r="CJ126" i="10"/>
  <c r="CJ259" i="10"/>
  <c r="CJ197" i="10"/>
  <c r="CJ229" i="10"/>
  <c r="CJ199" i="10"/>
  <c r="CJ185" i="10"/>
  <c r="CJ184" i="10"/>
  <c r="CJ148" i="10"/>
  <c r="CJ273" i="10"/>
  <c r="CJ220" i="10"/>
  <c r="CJ143" i="10"/>
  <c r="CJ216" i="10"/>
  <c r="CJ180" i="10"/>
  <c r="CJ142" i="10"/>
  <c r="CJ217" i="10"/>
  <c r="CJ232" i="10"/>
  <c r="CJ212" i="10"/>
  <c r="CJ258" i="10"/>
  <c r="CJ268" i="10"/>
  <c r="CJ262" i="10"/>
  <c r="CJ137" i="10"/>
  <c r="CJ114" i="10"/>
  <c r="CJ250" i="10"/>
  <c r="CJ233" i="10"/>
  <c r="CJ231" i="10"/>
  <c r="CJ182" i="10"/>
  <c r="CJ161" i="10"/>
  <c r="CJ109" i="10"/>
  <c r="CJ207" i="10"/>
  <c r="CJ176" i="10"/>
  <c r="CJ124" i="10"/>
  <c r="CJ104" i="10"/>
  <c r="CJ146" i="10"/>
  <c r="CJ99" i="10"/>
  <c r="CJ145" i="10"/>
  <c r="CJ94" i="10"/>
  <c r="CJ178" i="10"/>
  <c r="CJ113" i="10"/>
  <c r="CJ251" i="10"/>
  <c r="CJ224" i="10"/>
  <c r="CJ193" i="10"/>
  <c r="CJ150" i="10"/>
  <c r="CJ140" i="10"/>
  <c r="CJ263" i="10"/>
  <c r="CJ244" i="10"/>
  <c r="CJ249" i="10"/>
  <c r="CJ171" i="10"/>
  <c r="CJ147" i="10"/>
  <c r="CJ76" i="10"/>
  <c r="CJ44" i="10"/>
  <c r="CJ274" i="10"/>
  <c r="CJ252" i="10"/>
  <c r="CJ71" i="10"/>
  <c r="CJ245" i="10"/>
  <c r="CJ110" i="10"/>
  <c r="CJ100" i="10"/>
  <c r="CJ66" i="10"/>
  <c r="CJ166" i="10"/>
  <c r="CJ156" i="10"/>
  <c r="CJ86" i="10"/>
  <c r="CJ61" i="10"/>
  <c r="CJ29" i="10"/>
  <c r="CJ136" i="10"/>
  <c r="CJ56" i="10"/>
  <c r="CJ204" i="10"/>
  <c r="CJ195" i="10"/>
  <c r="CJ189" i="10"/>
  <c r="CJ172" i="10"/>
  <c r="CJ144" i="10"/>
  <c r="CJ120" i="10"/>
  <c r="CJ107" i="10"/>
  <c r="CJ97" i="10"/>
  <c r="CJ75" i="10"/>
  <c r="CJ254" i="10"/>
  <c r="CJ130" i="10"/>
  <c r="CJ119" i="10"/>
  <c r="CJ118" i="10"/>
  <c r="CJ222" i="10"/>
  <c r="CJ219" i="10"/>
  <c r="CJ72" i="10"/>
  <c r="CJ40" i="10"/>
  <c r="CJ201" i="10"/>
  <c r="CJ115" i="10"/>
  <c r="CJ236" i="10"/>
  <c r="CJ168" i="10"/>
  <c r="CJ159" i="10"/>
  <c r="CJ152" i="10"/>
  <c r="CJ141" i="10"/>
  <c r="CJ135" i="10"/>
  <c r="CJ60" i="10"/>
  <c r="CJ129" i="10"/>
  <c r="CJ67" i="10"/>
  <c r="CJ153" i="10"/>
  <c r="CJ85" i="10"/>
  <c r="CJ84" i="10"/>
  <c r="CJ83" i="10"/>
  <c r="CJ30" i="10"/>
  <c r="CJ16" i="10"/>
  <c r="CJ157" i="10"/>
  <c r="CJ89" i="10"/>
  <c r="CJ49" i="10"/>
  <c r="CJ33" i="10"/>
  <c r="CJ27" i="10"/>
  <c r="CJ151" i="10"/>
  <c r="CJ88" i="10"/>
  <c r="CJ87" i="10"/>
  <c r="CJ36" i="10"/>
  <c r="CJ203" i="10"/>
  <c r="CJ112" i="10"/>
  <c r="CJ63" i="10"/>
  <c r="CJ57" i="10"/>
  <c r="CJ46" i="10"/>
  <c r="CJ121" i="10"/>
  <c r="CJ96" i="10"/>
  <c r="CJ74" i="10"/>
  <c r="CJ73" i="10"/>
  <c r="CJ51" i="10"/>
  <c r="CJ128" i="10"/>
  <c r="CJ181" i="10"/>
  <c r="CJ19" i="10"/>
  <c r="CJ64" i="10"/>
  <c r="CJ173" i="10"/>
  <c r="CJ138" i="10"/>
  <c r="CJ69" i="10"/>
  <c r="CJ18" i="10"/>
  <c r="CJ169" i="10"/>
  <c r="CJ133" i="10"/>
  <c r="CJ79" i="10"/>
  <c r="CJ55" i="10"/>
  <c r="CJ11" i="10"/>
  <c r="CJ102" i="10"/>
  <c r="CJ47" i="10"/>
  <c r="CJ39" i="10"/>
  <c r="CJ35" i="10"/>
  <c r="CJ34" i="10"/>
  <c r="CJ59" i="10"/>
  <c r="CJ38" i="10"/>
  <c r="CJ41" i="10"/>
  <c r="CJ14" i="10"/>
  <c r="CJ215" i="10"/>
  <c r="CJ164" i="10"/>
  <c r="CJ108" i="10"/>
  <c r="CJ93" i="10"/>
  <c r="CJ23" i="10"/>
  <c r="CJ158" i="10"/>
  <c r="CJ123" i="10"/>
  <c r="CJ82" i="10"/>
  <c r="CJ77" i="10"/>
  <c r="CJ221" i="10"/>
  <c r="CJ186" i="10"/>
  <c r="CJ13" i="10"/>
  <c r="CJ209" i="10"/>
  <c r="CJ167" i="10"/>
  <c r="CJ149" i="10"/>
  <c r="CJ139" i="10"/>
  <c r="CJ125" i="10"/>
  <c r="CJ52" i="10"/>
  <c r="CJ42" i="10"/>
  <c r="CJ21" i="10"/>
  <c r="CJ91" i="10"/>
  <c r="CJ45" i="10"/>
  <c r="CJ202" i="10"/>
  <c r="CJ25" i="10"/>
  <c r="CJ80" i="10"/>
  <c r="CJ32" i="10"/>
  <c r="CJ92" i="10"/>
  <c r="CJ230" i="10"/>
  <c r="CJ127" i="10"/>
  <c r="DV241" i="10"/>
  <c r="CJ17" i="10"/>
  <c r="CJ78" i="10"/>
  <c r="BK144" i="10"/>
  <c r="BK198" i="10"/>
  <c r="BK80" i="10"/>
  <c r="BK116" i="10"/>
  <c r="BK240" i="10"/>
  <c r="K42" i="10"/>
  <c r="K74" i="10"/>
  <c r="K90" i="10"/>
  <c r="K106" i="10"/>
  <c r="K122" i="10"/>
  <c r="K138" i="10"/>
  <c r="K154" i="10"/>
  <c r="K170" i="10"/>
  <c r="K186" i="10"/>
  <c r="K202" i="10"/>
  <c r="K234" i="10"/>
  <c r="K250" i="10"/>
  <c r="K266" i="10"/>
  <c r="K11" i="10"/>
  <c r="K27" i="10"/>
  <c r="K43" i="10"/>
  <c r="K59" i="10"/>
  <c r="K75" i="10"/>
  <c r="K91" i="10"/>
  <c r="K107" i="10"/>
  <c r="K123" i="10"/>
  <c r="K139" i="10"/>
  <c r="K171" i="10"/>
  <c r="K203" i="10"/>
  <c r="K219" i="10"/>
  <c r="K235" i="10"/>
  <c r="K267" i="10"/>
  <c r="O10" i="10"/>
  <c r="BK10" i="10" s="1"/>
  <c r="DG10" i="10" s="1"/>
  <c r="FC10" i="10" s="1"/>
  <c r="BK270" i="10"/>
  <c r="BK245" i="10"/>
  <c r="BK267" i="10"/>
  <c r="BK262" i="10"/>
  <c r="BK257" i="10"/>
  <c r="BK269" i="10"/>
  <c r="BK266" i="10"/>
  <c r="BK263" i="10"/>
  <c r="BK220" i="10"/>
  <c r="BK215" i="10"/>
  <c r="BK260" i="10"/>
  <c r="BK210" i="10"/>
  <c r="BK237" i="10"/>
  <c r="BK205" i="10"/>
  <c r="BK273" i="10"/>
  <c r="BK242" i="10"/>
  <c r="BK232" i="10"/>
  <c r="BK224" i="10"/>
  <c r="BK258" i="10"/>
  <c r="BK247" i="10"/>
  <c r="BK241" i="10"/>
  <c r="BK236" i="10"/>
  <c r="BK268" i="10"/>
  <c r="BK252" i="10"/>
  <c r="BK172" i="10"/>
  <c r="BK264" i="10"/>
  <c r="BK253" i="10"/>
  <c r="BK238" i="10"/>
  <c r="BK199" i="10"/>
  <c r="BK167" i="10"/>
  <c r="BK254" i="10"/>
  <c r="BK162" i="10"/>
  <c r="BK157" i="10"/>
  <c r="BK271" i="10"/>
  <c r="BK219" i="10"/>
  <c r="BK209" i="10"/>
  <c r="BK184" i="10"/>
  <c r="BK152" i="10"/>
  <c r="BK176" i="10"/>
  <c r="BK261" i="10"/>
  <c r="BK246" i="10"/>
  <c r="BK128" i="10"/>
  <c r="BK243" i="10"/>
  <c r="BK227" i="10"/>
  <c r="BK222" i="10"/>
  <c r="BK171" i="10"/>
  <c r="BK165" i="10"/>
  <c r="BK153" i="10"/>
  <c r="BK217" i="10"/>
  <c r="BK150" i="10"/>
  <c r="BK211" i="10"/>
  <c r="BK180" i="10"/>
  <c r="BK145" i="10"/>
  <c r="BK204" i="10"/>
  <c r="BK179" i="10"/>
  <c r="BK140" i="10"/>
  <c r="BK194" i="10"/>
  <c r="BK200" i="10"/>
  <c r="BK196" i="10"/>
  <c r="BK185" i="10"/>
  <c r="BK174" i="10"/>
  <c r="BK230" i="10"/>
  <c r="BK225" i="10"/>
  <c r="BK203" i="10"/>
  <c r="BK173" i="10"/>
  <c r="BK166" i="10"/>
  <c r="BK143" i="10"/>
  <c r="BK111" i="10"/>
  <c r="BK206" i="10"/>
  <c r="BK142" i="10"/>
  <c r="BK130" i="10"/>
  <c r="BK106" i="10"/>
  <c r="BK197" i="10"/>
  <c r="BK101" i="10"/>
  <c r="BK255" i="10"/>
  <c r="BK218" i="10"/>
  <c r="BK193" i="10"/>
  <c r="BK96" i="10"/>
  <c r="BK272" i="10"/>
  <c r="BK123" i="10"/>
  <c r="BK91" i="10"/>
  <c r="BK159" i="10"/>
  <c r="BK110" i="10"/>
  <c r="BK195" i="10"/>
  <c r="BK191" i="10"/>
  <c r="BK147" i="10"/>
  <c r="BK122" i="10"/>
  <c r="BK274" i="10"/>
  <c r="BK137" i="10"/>
  <c r="BK183" i="10"/>
  <c r="BK177" i="10"/>
  <c r="BK256" i="10"/>
  <c r="BK234" i="10"/>
  <c r="BK192" i="10"/>
  <c r="BK188" i="10"/>
  <c r="BK139" i="10"/>
  <c r="BK129" i="10"/>
  <c r="BK121" i="10"/>
  <c r="BK120" i="10"/>
  <c r="BK97" i="10"/>
  <c r="BK73" i="10"/>
  <c r="BK41" i="10"/>
  <c r="BK233" i="10"/>
  <c r="BK158" i="10"/>
  <c r="BK68" i="10"/>
  <c r="BK175" i="10"/>
  <c r="BK151" i="10"/>
  <c r="BK119" i="10"/>
  <c r="BK118" i="10"/>
  <c r="BK63" i="10"/>
  <c r="BK239" i="10"/>
  <c r="BK58" i="10"/>
  <c r="BK213" i="10"/>
  <c r="BK190" i="10"/>
  <c r="BK186" i="10"/>
  <c r="BK92" i="10"/>
  <c r="BK53" i="10"/>
  <c r="BK248" i="10"/>
  <c r="BK229" i="10"/>
  <c r="BK226" i="10"/>
  <c r="BK156" i="10"/>
  <c r="BK72" i="10"/>
  <c r="BK169" i="10"/>
  <c r="BK163" i="10"/>
  <c r="BK87" i="10"/>
  <c r="BK84" i="10"/>
  <c r="BK244" i="10"/>
  <c r="BK189" i="10"/>
  <c r="BK148" i="10"/>
  <c r="BK136" i="10"/>
  <c r="BK69" i="10"/>
  <c r="BK231" i="10"/>
  <c r="BK216" i="10"/>
  <c r="BK208" i="10"/>
  <c r="BK161" i="10"/>
  <c r="BK164" i="10"/>
  <c r="BK21" i="10"/>
  <c r="BK202" i="10"/>
  <c r="BK141" i="10"/>
  <c r="BK107" i="10"/>
  <c r="BK95" i="10"/>
  <c r="BK78" i="10"/>
  <c r="BK77" i="10"/>
  <c r="BK13" i="10"/>
  <c r="BK117" i="10"/>
  <c r="BK64" i="10"/>
  <c r="BK131" i="10"/>
  <c r="BK102" i="10"/>
  <c r="BK76" i="10"/>
  <c r="BK75" i="10"/>
  <c r="BK47" i="10"/>
  <c r="BK18" i="10"/>
  <c r="BK125" i="10"/>
  <c r="BK113" i="10"/>
  <c r="BK29" i="10"/>
  <c r="BK251" i="10"/>
  <c r="BK170" i="10"/>
  <c r="BK132" i="10"/>
  <c r="BK114" i="10"/>
  <c r="BK98" i="10"/>
  <c r="BK207" i="10"/>
  <c r="BK135" i="10"/>
  <c r="BK105" i="10"/>
  <c r="BK85" i="10"/>
  <c r="BK55" i="10"/>
  <c r="BK37" i="10"/>
  <c r="BK25" i="10"/>
  <c r="BK250" i="10"/>
  <c r="BK115" i="10"/>
  <c r="BK99" i="10"/>
  <c r="BK86" i="10"/>
  <c r="BK67" i="10"/>
  <c r="BK60" i="10"/>
  <c r="BK40" i="10"/>
  <c r="BK160" i="10"/>
  <c r="BK112" i="10"/>
  <c r="BK100" i="10"/>
  <c r="BK45" i="10"/>
  <c r="BK54" i="10"/>
  <c r="BK74" i="10"/>
  <c r="BK94" i="10"/>
  <c r="BK109" i="10"/>
  <c r="BK223" i="10"/>
  <c r="BK249" i="10"/>
  <c r="EI18" i="10"/>
  <c r="EH18" i="10"/>
  <c r="EU18" i="10"/>
  <c r="DO18" i="10"/>
  <c r="EF18" i="10"/>
  <c r="EE18" i="10"/>
  <c r="ED18" i="10"/>
  <c r="EC18" i="10"/>
  <c r="EB18" i="10"/>
  <c r="DT18" i="10"/>
  <c r="DQ18" i="10"/>
  <c r="ET18" i="10"/>
  <c r="DK18" i="10"/>
  <c r="DH18" i="10"/>
  <c r="DG18" i="10"/>
  <c r="EY18" i="10"/>
  <c r="EX18" i="10"/>
  <c r="EW18" i="10"/>
  <c r="EM18" i="10"/>
  <c r="DI18" i="10"/>
  <c r="EO18" i="10"/>
  <c r="EJ18" i="10"/>
  <c r="DY18" i="10"/>
  <c r="DX18" i="10"/>
  <c r="DV18" i="10"/>
  <c r="EG18" i="10"/>
  <c r="EA18" i="10"/>
  <c r="DZ18" i="10"/>
  <c r="DW18" i="10"/>
  <c r="DU18" i="10"/>
  <c r="EV18" i="10"/>
  <c r="EP18" i="10"/>
  <c r="DS18" i="10"/>
  <c r="DN18" i="10"/>
  <c r="DL18" i="10"/>
  <c r="DJ18" i="10"/>
  <c r="DP18" i="10"/>
  <c r="ER18" i="10"/>
  <c r="EL18" i="10"/>
  <c r="DR18" i="10"/>
  <c r="ES18" i="10"/>
  <c r="EN18" i="10"/>
  <c r="DM18" i="10"/>
  <c r="EQ50" i="10"/>
  <c r="DK50" i="10"/>
  <c r="EN50" i="10"/>
  <c r="DH50" i="10"/>
  <c r="EK50" i="10"/>
  <c r="EJ50" i="10"/>
  <c r="EI50" i="10"/>
  <c r="EH50" i="10"/>
  <c r="EG50" i="10"/>
  <c r="DZ50" i="10"/>
  <c r="DV50" i="10"/>
  <c r="EY50" i="10"/>
  <c r="DQ50" i="10"/>
  <c r="DR50" i="10"/>
  <c r="DP50" i="10"/>
  <c r="DO50" i="10"/>
  <c r="DN50" i="10"/>
  <c r="DM50" i="10"/>
  <c r="EU50" i="10"/>
  <c r="ER50" i="10"/>
  <c r="EF50" i="10"/>
  <c r="ET50" i="10"/>
  <c r="ES50" i="10"/>
  <c r="EP50" i="10"/>
  <c r="EO50" i="10"/>
  <c r="EM50" i="10"/>
  <c r="DX50" i="10"/>
  <c r="DS50" i="10"/>
  <c r="ED50" i="10"/>
  <c r="DY50" i="10"/>
  <c r="DL50" i="10"/>
  <c r="DJ50" i="10"/>
  <c r="DG50" i="10"/>
  <c r="EV50" i="10"/>
  <c r="EB50" i="10"/>
  <c r="DT50" i="10"/>
  <c r="DI50" i="10"/>
  <c r="EA50" i="10"/>
  <c r="DW50" i="10"/>
  <c r="DU50" i="10"/>
  <c r="EW50" i="10"/>
  <c r="EL50" i="10"/>
  <c r="EE50" i="10"/>
  <c r="EC50" i="10"/>
  <c r="EA66" i="10"/>
  <c r="DZ66" i="10"/>
  <c r="DX66" i="10"/>
  <c r="EW66" i="10"/>
  <c r="DQ66" i="10"/>
  <c r="ES66" i="10"/>
  <c r="DM66" i="10"/>
  <c r="EN66" i="10"/>
  <c r="DH66" i="10"/>
  <c r="EX66" i="10"/>
  <c r="DJ66" i="10"/>
  <c r="EV66" i="10"/>
  <c r="DI66" i="10"/>
  <c r="EU66" i="10"/>
  <c r="DG66" i="10"/>
  <c r="ET66" i="10"/>
  <c r="ER66" i="10"/>
  <c r="EJ66" i="10"/>
  <c r="EF66" i="10"/>
  <c r="DY66" i="10"/>
  <c r="EB66" i="10"/>
  <c r="DW66" i="10"/>
  <c r="DV66" i="10"/>
  <c r="DU66" i="10"/>
  <c r="DT66" i="10"/>
  <c r="EY66" i="10"/>
  <c r="EQ66" i="10"/>
  <c r="EO66" i="10"/>
  <c r="EI66" i="10"/>
  <c r="ED66" i="10"/>
  <c r="DO66" i="10"/>
  <c r="EC66" i="10"/>
  <c r="DN66" i="10"/>
  <c r="DR66" i="10"/>
  <c r="DP66" i="10"/>
  <c r="DL66" i="10"/>
  <c r="DK66" i="10"/>
  <c r="EP66" i="10"/>
  <c r="EM66" i="10"/>
  <c r="EH66" i="10"/>
  <c r="EE66" i="10"/>
  <c r="DS66" i="10"/>
  <c r="EK66" i="10"/>
  <c r="DU98" i="10"/>
  <c r="DT98" i="10"/>
  <c r="EY98" i="10"/>
  <c r="DS98" i="10"/>
  <c r="EX98" i="10"/>
  <c r="DR98" i="10"/>
  <c r="EQ98" i="10"/>
  <c r="DK98" i="10"/>
  <c r="EN98" i="10"/>
  <c r="DH98" i="10"/>
  <c r="EH98" i="10"/>
  <c r="DP98" i="10"/>
  <c r="DO98" i="10"/>
  <c r="DN98" i="10"/>
  <c r="DM98" i="10"/>
  <c r="DL98" i="10"/>
  <c r="ER98" i="10"/>
  <c r="EL98" i="10"/>
  <c r="EF98" i="10"/>
  <c r="EB98" i="10"/>
  <c r="EA98" i="10"/>
  <c r="DZ98" i="10"/>
  <c r="DY98" i="10"/>
  <c r="DX98" i="10"/>
  <c r="EU98" i="10"/>
  <c r="ET98" i="10"/>
  <c r="EP98" i="10"/>
  <c r="DQ98" i="10"/>
  <c r="DJ98" i="10"/>
  <c r="DI98" i="10"/>
  <c r="DG98" i="10"/>
  <c r="EV98" i="10"/>
  <c r="ES98" i="10"/>
  <c r="EM98" i="10"/>
  <c r="EW98" i="10"/>
  <c r="EO98" i="10"/>
  <c r="DW98" i="10"/>
  <c r="EE98" i="10"/>
  <c r="ED98" i="10"/>
  <c r="EC98" i="10"/>
  <c r="DV98" i="10"/>
  <c r="EK98" i="10"/>
  <c r="EJ98" i="10"/>
  <c r="EI98" i="10"/>
  <c r="EO114" i="10"/>
  <c r="EK114" i="10"/>
  <c r="EJ114" i="10"/>
  <c r="EI114" i="10"/>
  <c r="EH114" i="10"/>
  <c r="EA114" i="10"/>
  <c r="DX114" i="10"/>
  <c r="EY114" i="10"/>
  <c r="DR114" i="10"/>
  <c r="EG114" i="10"/>
  <c r="EF114" i="10"/>
  <c r="EE114" i="10"/>
  <c r="ED114" i="10"/>
  <c r="EC114" i="10"/>
  <c r="DT114" i="10"/>
  <c r="DO114" i="10"/>
  <c r="EX114" i="10"/>
  <c r="DJ114" i="10"/>
  <c r="DP114" i="10"/>
  <c r="DN114" i="10"/>
  <c r="DM114" i="10"/>
  <c r="DL114" i="10"/>
  <c r="DK114" i="10"/>
  <c r="EU114" i="10"/>
  <c r="EQ114" i="10"/>
  <c r="EP114" i="10"/>
  <c r="EM114" i="10"/>
  <c r="DI114" i="10"/>
  <c r="DH114" i="10"/>
  <c r="DG114" i="10"/>
  <c r="ET114" i="10"/>
  <c r="ES114" i="10"/>
  <c r="EN114" i="10"/>
  <c r="EB114" i="10"/>
  <c r="DZ114" i="10"/>
  <c r="DY114" i="10"/>
  <c r="DW114" i="10"/>
  <c r="DV114" i="10"/>
  <c r="EW114" i="10"/>
  <c r="DU114" i="10"/>
  <c r="DS114" i="10"/>
  <c r="EV114" i="10"/>
  <c r="ER114" i="10"/>
  <c r="EL114" i="10"/>
  <c r="EY162" i="10"/>
  <c r="DS162" i="10"/>
  <c r="DZ162" i="10"/>
  <c r="DX162" i="10"/>
  <c r="EW162" i="10"/>
  <c r="DP162" i="10"/>
  <c r="DT162" i="10"/>
  <c r="DR162" i="10"/>
  <c r="DQ162" i="10"/>
  <c r="DO162" i="10"/>
  <c r="ES162" i="10"/>
  <c r="DI162" i="10"/>
  <c r="EO162" i="10"/>
  <c r="EI162" i="10"/>
  <c r="EC162" i="10"/>
  <c r="EA162" i="10"/>
  <c r="ER162" i="10"/>
  <c r="EX162" i="10"/>
  <c r="EV162" i="10"/>
  <c r="EU162" i="10"/>
  <c r="EK162" i="10"/>
  <c r="EG162" i="10"/>
  <c r="EB162" i="10"/>
  <c r="DW162" i="10"/>
  <c r="DU162" i="10"/>
  <c r="EQ162" i="10"/>
  <c r="EP162" i="10"/>
  <c r="EN162" i="10"/>
  <c r="EM162" i="10"/>
  <c r="EL162" i="10"/>
  <c r="DV162" i="10"/>
  <c r="DK162" i="10"/>
  <c r="ET162" i="10"/>
  <c r="EE162" i="10"/>
  <c r="DM162" i="10"/>
  <c r="DL162" i="10"/>
  <c r="DH162" i="10"/>
  <c r="EH162" i="10"/>
  <c r="EF162" i="10"/>
  <c r="DY162" i="10"/>
  <c r="EJ162" i="10"/>
  <c r="ED162" i="10"/>
  <c r="DN162" i="10"/>
  <c r="DJ162" i="10"/>
  <c r="DG162" i="10"/>
  <c r="EY194" i="10"/>
  <c r="DS194" i="10"/>
  <c r="EM194" i="10"/>
  <c r="EL194" i="10"/>
  <c r="EK194" i="10"/>
  <c r="EJ194" i="10"/>
  <c r="ED194" i="10"/>
  <c r="EA194" i="10"/>
  <c r="DY194" i="10"/>
  <c r="DX194" i="10"/>
  <c r="DW194" i="10"/>
  <c r="DV194" i="10"/>
  <c r="DO194" i="10"/>
  <c r="EX194" i="10"/>
  <c r="DK194" i="10"/>
  <c r="ER194" i="10"/>
  <c r="EO194" i="10"/>
  <c r="EN194" i="10"/>
  <c r="EI194" i="10"/>
  <c r="EH194" i="10"/>
  <c r="DU194" i="10"/>
  <c r="DQ194" i="10"/>
  <c r="DI194" i="10"/>
  <c r="EB194" i="10"/>
  <c r="DZ194" i="10"/>
  <c r="DT194" i="10"/>
  <c r="DR194" i="10"/>
  <c r="DG194" i="10"/>
  <c r="EW194" i="10"/>
  <c r="EV194" i="10"/>
  <c r="EF194" i="10"/>
  <c r="DN194" i="10"/>
  <c r="DH194" i="10"/>
  <c r="DL194" i="10"/>
  <c r="DJ194" i="10"/>
  <c r="EU194" i="10"/>
  <c r="EQ194" i="10"/>
  <c r="EP194" i="10"/>
  <c r="EE194" i="10"/>
  <c r="ET194" i="10"/>
  <c r="ES194" i="10"/>
  <c r="EC194" i="10"/>
  <c r="DM194" i="10"/>
  <c r="EG194" i="10"/>
  <c r="DP194" i="10"/>
  <c r="DV210" i="10"/>
  <c r="EI210" i="10"/>
  <c r="EM210" i="10"/>
  <c r="EU210" i="10"/>
  <c r="DL210" i="10"/>
  <c r="ET210" i="10"/>
  <c r="DK210" i="10"/>
  <c r="ES210" i="10"/>
  <c r="DJ210" i="10"/>
  <c r="ER210" i="10"/>
  <c r="DI210" i="10"/>
  <c r="EK210" i="10"/>
  <c r="EG210" i="10"/>
  <c r="DZ210" i="10"/>
  <c r="DG210" i="10"/>
  <c r="EY210" i="10"/>
  <c r="EX210" i="10"/>
  <c r="EN210" i="10"/>
  <c r="EF210" i="10"/>
  <c r="EB210" i="10"/>
  <c r="DY210" i="10"/>
  <c r="DW210" i="10"/>
  <c r="DP210" i="10"/>
  <c r="DO210" i="10"/>
  <c r="DN210" i="10"/>
  <c r="DM210" i="10"/>
  <c r="EL210" i="10"/>
  <c r="EV210" i="10"/>
  <c r="EQ210" i="10"/>
  <c r="EP210" i="10"/>
  <c r="EO210" i="10"/>
  <c r="DX210" i="10"/>
  <c r="DS210" i="10"/>
  <c r="ED210" i="10"/>
  <c r="DT210" i="10"/>
  <c r="EH210" i="10"/>
  <c r="EE210" i="10"/>
  <c r="EC210" i="10"/>
  <c r="EA210" i="10"/>
  <c r="DU210" i="10"/>
  <c r="DR210" i="10"/>
  <c r="DH210" i="10"/>
  <c r="EW210" i="10"/>
  <c r="DQ210" i="10"/>
  <c r="EJ210" i="10"/>
  <c r="EL226" i="10"/>
  <c r="EY226" i="10"/>
  <c r="DS226" i="10"/>
  <c r="EI226" i="10"/>
  <c r="DV226" i="10"/>
  <c r="DY226" i="10"/>
  <c r="DP226" i="10"/>
  <c r="ED226" i="10"/>
  <c r="EC226" i="10"/>
  <c r="EB226" i="10"/>
  <c r="EA226" i="10"/>
  <c r="DR226" i="10"/>
  <c r="DN226" i="10"/>
  <c r="ES226" i="10"/>
  <c r="DG226" i="10"/>
  <c r="EQ226" i="10"/>
  <c r="EP226" i="10"/>
  <c r="EO226" i="10"/>
  <c r="EN226" i="10"/>
  <c r="EF226" i="10"/>
  <c r="DW226" i="10"/>
  <c r="DO226" i="10"/>
  <c r="DL226" i="10"/>
  <c r="DJ226" i="10"/>
  <c r="DM226" i="10"/>
  <c r="DK226" i="10"/>
  <c r="DI226" i="10"/>
  <c r="DH226" i="10"/>
  <c r="EV226" i="10"/>
  <c r="ET226" i="10"/>
  <c r="EM226" i="10"/>
  <c r="EG226" i="10"/>
  <c r="EE226" i="10"/>
  <c r="DZ226" i="10"/>
  <c r="DX226" i="10"/>
  <c r="DU226" i="10"/>
  <c r="EU226" i="10"/>
  <c r="EH226" i="10"/>
  <c r="DT226" i="10"/>
  <c r="EW226" i="10"/>
  <c r="ER226" i="10"/>
  <c r="EK226" i="10"/>
  <c r="EJ226" i="10"/>
  <c r="DQ226" i="10"/>
  <c r="EX226" i="10"/>
  <c r="DV242" i="10"/>
  <c r="EI242" i="10"/>
  <c r="EF242" i="10"/>
  <c r="EP242" i="10"/>
  <c r="DG242" i="10"/>
  <c r="EE242" i="10"/>
  <c r="EV242" i="10"/>
  <c r="DK242" i="10"/>
  <c r="EU242" i="10"/>
  <c r="DJ242" i="10"/>
  <c r="ET242" i="10"/>
  <c r="DI242" i="10"/>
  <c r="ES242" i="10"/>
  <c r="DH242" i="10"/>
  <c r="EL242" i="10"/>
  <c r="EH242" i="10"/>
  <c r="EB242" i="10"/>
  <c r="EA242" i="10"/>
  <c r="DZ242" i="10"/>
  <c r="DY242" i="10"/>
  <c r="DR242" i="10"/>
  <c r="DO242" i="10"/>
  <c r="EY242" i="10"/>
  <c r="EX242" i="10"/>
  <c r="EM242" i="10"/>
  <c r="ED242" i="10"/>
  <c r="DU242" i="10"/>
  <c r="DS242" i="10"/>
  <c r="DP242" i="10"/>
  <c r="EW242" i="10"/>
  <c r="EO242" i="10"/>
  <c r="EG242" i="10"/>
  <c r="DX242" i="10"/>
  <c r="DT242" i="10"/>
  <c r="EJ242" i="10"/>
  <c r="DQ242" i="10"/>
  <c r="EC242" i="10"/>
  <c r="DW242" i="10"/>
  <c r="DN242" i="10"/>
  <c r="DM242" i="10"/>
  <c r="DL242" i="10"/>
  <c r="EQ242" i="10"/>
  <c r="ER242" i="10"/>
  <c r="EN242" i="10"/>
  <c r="EK242" i="10"/>
  <c r="K258" i="10"/>
  <c r="K274" i="10"/>
  <c r="BK52" i="10"/>
  <c r="BK82" i="10"/>
  <c r="BK259" i="10"/>
  <c r="BK51" i="10"/>
  <c r="BK90" i="10"/>
  <c r="BK127" i="10"/>
  <c r="BK39" i="10"/>
  <c r="EG98" i="10"/>
  <c r="BK93" i="10"/>
  <c r="BK146" i="10"/>
  <c r="BK181" i="10"/>
  <c r="Q6" i="10"/>
  <c r="BK36" i="10"/>
  <c r="K78" i="2"/>
  <c r="K121" i="2"/>
  <c r="K77" i="2"/>
  <c r="K15" i="2"/>
  <c r="K30" i="2"/>
  <c r="K164" i="2"/>
  <c r="K149" i="2"/>
  <c r="K134" i="2"/>
  <c r="K14" i="2"/>
  <c r="K163" i="2"/>
  <c r="K192" i="2"/>
  <c r="K44" i="2"/>
  <c r="K177" i="2"/>
  <c r="K173" i="2"/>
  <c r="K249" i="2"/>
  <c r="K143" i="2"/>
  <c r="K229" i="2"/>
  <c r="K214" i="2"/>
  <c r="K35" i="2"/>
  <c r="K4" i="2"/>
  <c r="K205" i="2"/>
  <c r="K263" i="2"/>
  <c r="K250" i="2"/>
  <c r="K70" i="2"/>
  <c r="K220" i="2"/>
  <c r="K56" i="2"/>
  <c r="K159" i="2"/>
  <c r="K233" i="2"/>
  <c r="K185" i="2"/>
  <c r="K49" i="2"/>
  <c r="K256" i="2"/>
  <c r="K218" i="2"/>
  <c r="K162" i="2"/>
  <c r="K147" i="2"/>
  <c r="K133" i="2"/>
  <c r="K119" i="2"/>
  <c r="K62" i="2"/>
  <c r="K204" i="2"/>
  <c r="K148" i="2"/>
  <c r="K105" i="2"/>
  <c r="K189" i="2"/>
  <c r="K132" i="2"/>
  <c r="K118" i="2"/>
  <c r="K260" i="2"/>
  <c r="K246" i="2"/>
  <c r="K103" i="2"/>
  <c r="K16" i="2"/>
  <c r="K216" i="2"/>
  <c r="K174" i="2"/>
  <c r="K160" i="2"/>
  <c r="K228" i="2"/>
  <c r="K186" i="2"/>
  <c r="K71" i="2"/>
  <c r="K227" i="2"/>
  <c r="K99" i="2"/>
  <c r="K240" i="2"/>
  <c r="K170" i="2"/>
  <c r="K156" i="2"/>
  <c r="K141" i="2"/>
  <c r="K112" i="2"/>
  <c r="K97" i="2"/>
  <c r="K40" i="2"/>
  <c r="K196" i="2"/>
  <c r="K126" i="2"/>
  <c r="K68" i="2"/>
  <c r="K96" i="2"/>
  <c r="K168" i="2"/>
  <c r="K139" i="2"/>
  <c r="K53" i="2"/>
  <c r="K238" i="2"/>
  <c r="K38" i="2"/>
  <c r="K224" i="2"/>
  <c r="K208" i="2"/>
  <c r="K194" i="2"/>
  <c r="K66" i="2"/>
  <c r="K211" i="2"/>
  <c r="K169" i="2"/>
  <c r="K152" i="2"/>
  <c r="K137" i="2"/>
  <c r="K51" i="2"/>
  <c r="K7" i="2"/>
  <c r="K183" i="2"/>
  <c r="K54" i="2"/>
  <c r="K207" i="2"/>
  <c r="K193" i="2"/>
  <c r="K166" i="2"/>
  <c r="K108" i="2"/>
  <c r="K20" i="10"/>
  <c r="K36" i="10"/>
  <c r="K68" i="10"/>
  <c r="K84" i="10"/>
  <c r="K132" i="10"/>
  <c r="K164" i="10"/>
  <c r="K180" i="10"/>
  <c r="K196" i="10"/>
  <c r="K212" i="10"/>
  <c r="K228" i="10"/>
  <c r="K244" i="10"/>
  <c r="K21" i="10"/>
  <c r="K53" i="10"/>
  <c r="K69" i="10"/>
  <c r="K117" i="10"/>
  <c r="K149" i="10"/>
  <c r="K165" i="10"/>
  <c r="K181" i="10"/>
  <c r="K197" i="10"/>
  <c r="K213" i="10"/>
  <c r="K229" i="10"/>
  <c r="K261" i="10"/>
  <c r="K57" i="10"/>
  <c r="K89" i="10"/>
  <c r="K121" i="10"/>
  <c r="K153" i="10"/>
  <c r="K217" i="10"/>
  <c r="K249" i="10"/>
  <c r="Z5" i="10"/>
  <c r="K14" i="10"/>
  <c r="K30" i="10"/>
  <c r="K46" i="10"/>
  <c r="K62" i="10"/>
  <c r="K78" i="10"/>
  <c r="K94" i="10"/>
  <c r="K110" i="10"/>
  <c r="K126" i="10"/>
  <c r="K142" i="10"/>
  <c r="K158" i="10"/>
  <c r="K174" i="10"/>
  <c r="K190" i="10"/>
  <c r="K206" i="10"/>
  <c r="K222" i="10"/>
  <c r="K238" i="10"/>
  <c r="K254" i="10"/>
  <c r="K270" i="10"/>
  <c r="K35" i="10"/>
  <c r="K51" i="10"/>
  <c r="K83" i="10"/>
  <c r="K99" i="10"/>
  <c r="K147" i="10"/>
  <c r="K179" i="10"/>
  <c r="K195" i="10"/>
  <c r="K211" i="10"/>
  <c r="K227" i="10"/>
  <c r="K243" i="10"/>
  <c r="K259" i="10"/>
  <c r="K13" i="10"/>
  <c r="K29" i="10"/>
  <c r="K45" i="10"/>
  <c r="K61" i="10"/>
  <c r="K77" i="10"/>
  <c r="K93" i="10"/>
  <c r="K109" i="10"/>
  <c r="K125" i="10"/>
  <c r="K141" i="10"/>
  <c r="K157" i="10"/>
  <c r="K173" i="10"/>
  <c r="K189" i="10"/>
  <c r="K205" i="10"/>
  <c r="K221" i="10"/>
  <c r="K237" i="10"/>
  <c r="K253" i="10"/>
  <c r="K269" i="10"/>
  <c r="R5" i="10"/>
  <c r="K25" i="10"/>
  <c r="K55" i="10"/>
  <c r="K70" i="10"/>
  <c r="K85" i="10"/>
  <c r="K100" i="10"/>
  <c r="K115" i="10"/>
  <c r="K130" i="10"/>
  <c r="K160" i="10"/>
  <c r="K251" i="10"/>
  <c r="K265" i="10"/>
  <c r="AK6" i="10"/>
  <c r="K26" i="10"/>
  <c r="K56" i="10"/>
  <c r="K71" i="10"/>
  <c r="K86" i="10"/>
  <c r="K101" i="10"/>
  <c r="K116" i="10"/>
  <c r="K131" i="10"/>
  <c r="K146" i="10"/>
  <c r="K161" i="10"/>
  <c r="K191" i="10"/>
  <c r="K252" i="10"/>
  <c r="AM6" i="10"/>
  <c r="K73" i="10"/>
  <c r="K233" i="10"/>
  <c r="K41" i="10"/>
  <c r="K28" i="10"/>
  <c r="K58" i="10"/>
  <c r="K88" i="10"/>
  <c r="K103" i="10"/>
  <c r="K118" i="10"/>
  <c r="K133" i="10"/>
  <c r="K148" i="10"/>
  <c r="K163" i="10"/>
  <c r="K178" i="10"/>
  <c r="K193" i="10"/>
  <c r="K223" i="10"/>
  <c r="K19" i="10"/>
  <c r="K34" i="10"/>
  <c r="K64" i="10"/>
  <c r="K155" i="10"/>
  <c r="K169" i="10"/>
  <c r="K185" i="10"/>
  <c r="K215" i="10"/>
  <c r="K230" i="10"/>
  <c r="K245" i="10"/>
  <c r="K260" i="10"/>
  <c r="K105" i="10"/>
  <c r="K96" i="10"/>
  <c r="K187" i="10"/>
  <c r="K201" i="10"/>
  <c r="K137" i="10"/>
  <c r="K22" i="10"/>
  <c r="K37" i="10"/>
  <c r="K52" i="10"/>
  <c r="K67" i="10"/>
  <c r="K82" i="10"/>
  <c r="K97" i="10"/>
  <c r="K127" i="10"/>
  <c r="K188" i="10"/>
  <c r="K218" i="10"/>
  <c r="K248" i="10"/>
  <c r="K263" i="10"/>
  <c r="K39" i="2"/>
  <c r="K210" i="2"/>
  <c r="K124" i="2"/>
  <c r="K150" i="2"/>
  <c r="K3" i="2"/>
  <c r="K18" i="2"/>
  <c r="K215" i="2"/>
  <c r="K57" i="2"/>
  <c r="K43" i="2"/>
  <c r="K226" i="2"/>
  <c r="K225" i="2"/>
  <c r="K107" i="2"/>
  <c r="K212" i="2"/>
  <c r="K120" i="2"/>
  <c r="K237" i="2"/>
  <c r="K198" i="2"/>
  <c r="K145" i="2"/>
  <c r="K26" i="2"/>
  <c r="K261" i="2"/>
  <c r="K171" i="2"/>
  <c r="K25" i="2"/>
  <c r="K130" i="2"/>
  <c r="K219" i="2"/>
  <c r="K180" i="2"/>
  <c r="K113" i="2"/>
  <c r="K87" i="2"/>
  <c r="K244" i="2"/>
  <c r="K20" i="2"/>
  <c r="K138" i="2"/>
  <c r="K6" i="2"/>
  <c r="K243" i="2"/>
  <c r="K191" i="2"/>
  <c r="K111" i="2"/>
  <c r="K98" i="2"/>
  <c r="K255" i="2"/>
  <c r="K101" i="2"/>
  <c r="K75" i="2"/>
  <c r="K201" i="2"/>
  <c r="K93" i="2"/>
  <c r="K41" i="2"/>
  <c r="K117" i="2"/>
  <c r="K17" i="2"/>
  <c r="K259" i="2"/>
  <c r="K209" i="2"/>
  <c r="K84" i="2"/>
  <c r="K109" i="2"/>
  <c r="K61" i="2"/>
  <c r="K24" i="2"/>
  <c r="K34" i="2"/>
  <c r="K248" i="2"/>
  <c r="K102" i="2"/>
  <c r="K90" i="2"/>
  <c r="K262" i="2"/>
  <c r="K154" i="2"/>
  <c r="K69" i="2"/>
  <c r="K9" i="2"/>
  <c r="K230" i="2"/>
  <c r="K122" i="2"/>
  <c r="K37" i="2"/>
  <c r="C33" i="9" l="1"/>
  <c r="C36" i="9"/>
  <c r="C37" i="9"/>
  <c r="C27" i="9"/>
  <c r="C34" i="9"/>
  <c r="C31" i="9"/>
  <c r="C38" i="9"/>
  <c r="C8" i="9"/>
  <c r="C12" i="9"/>
  <c r="C11" i="9"/>
  <c r="C9" i="9"/>
  <c r="C7" i="9"/>
  <c r="C10" i="9"/>
  <c r="C23" i="9"/>
  <c r="C22" i="9"/>
  <c r="C19" i="9"/>
  <c r="C18" i="9"/>
  <c r="C13" i="9"/>
  <c r="C26" i="9"/>
  <c r="C15" i="9"/>
  <c r="C25" i="9"/>
  <c r="C17" i="9"/>
  <c r="C20" i="9"/>
  <c r="C28" i="9"/>
  <c r="C14" i="9"/>
  <c r="C16" i="9"/>
  <c r="C21" i="9"/>
  <c r="C24" i="9"/>
  <c r="ET187" i="10"/>
  <c r="DN187" i="10"/>
  <c r="DX187" i="10"/>
  <c r="DW187" i="10"/>
  <c r="DV187" i="10"/>
  <c r="DU187" i="10"/>
  <c r="EV187" i="10"/>
  <c r="DO187" i="10"/>
  <c r="ER187" i="10"/>
  <c r="DK187" i="10"/>
  <c r="DP187" i="10"/>
  <c r="DM187" i="10"/>
  <c r="DL187" i="10"/>
  <c r="DJ187" i="10"/>
  <c r="EQ187" i="10"/>
  <c r="EM187" i="10"/>
  <c r="EG187" i="10"/>
  <c r="EN187" i="10"/>
  <c r="EL187" i="10"/>
  <c r="EK187" i="10"/>
  <c r="EJ187" i="10"/>
  <c r="EB187" i="10"/>
  <c r="DY187" i="10"/>
  <c r="DH187" i="10"/>
  <c r="EW187" i="10"/>
  <c r="EO187" i="10"/>
  <c r="EH187" i="10"/>
  <c r="EE187" i="10"/>
  <c r="DG187" i="10"/>
  <c r="ES187" i="10"/>
  <c r="EP187" i="10"/>
  <c r="EF187" i="10"/>
  <c r="EY187" i="10"/>
  <c r="EX187" i="10"/>
  <c r="EU187" i="10"/>
  <c r="EI187" i="10"/>
  <c r="DR187" i="10"/>
  <c r="DQ187" i="10"/>
  <c r="ED187" i="10"/>
  <c r="EC187" i="10"/>
  <c r="EA187" i="10"/>
  <c r="DZ187" i="10"/>
  <c r="DT187" i="10"/>
  <c r="DS187" i="10"/>
  <c r="DI187" i="10"/>
  <c r="EF161" i="10"/>
  <c r="EL161" i="10"/>
  <c r="EJ161" i="10"/>
  <c r="EB161" i="10"/>
  <c r="EA161" i="10"/>
  <c r="DZ161" i="10"/>
  <c r="DY161" i="10"/>
  <c r="DX161" i="10"/>
  <c r="DR161" i="10"/>
  <c r="EX161" i="10"/>
  <c r="DN161" i="10"/>
  <c r="ER161" i="10"/>
  <c r="DH161" i="10"/>
  <c r="DW161" i="10"/>
  <c r="DU161" i="10"/>
  <c r="EU161" i="10"/>
  <c r="ET161" i="10"/>
  <c r="ES161" i="10"/>
  <c r="EQ161" i="10"/>
  <c r="EH161" i="10"/>
  <c r="ED161" i="10"/>
  <c r="DS161" i="10"/>
  <c r="DP161" i="10"/>
  <c r="DM161" i="10"/>
  <c r="DT161" i="10"/>
  <c r="DQ161" i="10"/>
  <c r="DO161" i="10"/>
  <c r="DL161" i="10"/>
  <c r="DK161" i="10"/>
  <c r="EY161" i="10"/>
  <c r="EW161" i="10"/>
  <c r="EP161" i="10"/>
  <c r="EC161" i="10"/>
  <c r="DV161" i="10"/>
  <c r="DJ161" i="10"/>
  <c r="DI161" i="10"/>
  <c r="DG161" i="10"/>
  <c r="EG161" i="10"/>
  <c r="EE161" i="10"/>
  <c r="EN161" i="10"/>
  <c r="EM161" i="10"/>
  <c r="EK161" i="10"/>
  <c r="EI161" i="10"/>
  <c r="EV161" i="10"/>
  <c r="EO161" i="10"/>
  <c r="DT125" i="10"/>
  <c r="EN125" i="10"/>
  <c r="DG125" i="10"/>
  <c r="EF125" i="10"/>
  <c r="ED125" i="10"/>
  <c r="EC125" i="10"/>
  <c r="EB125" i="10"/>
  <c r="EA125" i="10"/>
  <c r="DS125" i="10"/>
  <c r="EY125" i="10"/>
  <c r="DP125" i="10"/>
  <c r="ES125" i="10"/>
  <c r="DJ125" i="10"/>
  <c r="EG125" i="10"/>
  <c r="EE125" i="10"/>
  <c r="DZ125" i="10"/>
  <c r="DY125" i="10"/>
  <c r="DX125" i="10"/>
  <c r="DN125" i="10"/>
  <c r="DI125" i="10"/>
  <c r="EV125" i="10"/>
  <c r="EU125" i="10"/>
  <c r="ER125" i="10"/>
  <c r="EW125" i="10"/>
  <c r="EO125" i="10"/>
  <c r="EJ125" i="10"/>
  <c r="EI125" i="10"/>
  <c r="DW125" i="10"/>
  <c r="ET125" i="10"/>
  <c r="EQ125" i="10"/>
  <c r="EP125" i="10"/>
  <c r="EM125" i="10"/>
  <c r="EL125" i="10"/>
  <c r="DM125" i="10"/>
  <c r="DH125" i="10"/>
  <c r="EX125" i="10"/>
  <c r="EK125" i="10"/>
  <c r="DK125" i="10"/>
  <c r="DQ125" i="10"/>
  <c r="DO125" i="10"/>
  <c r="DL125" i="10"/>
  <c r="DV125" i="10"/>
  <c r="DU125" i="10"/>
  <c r="DR125" i="10"/>
  <c r="EH125" i="10"/>
  <c r="EU62" i="10"/>
  <c r="DO62" i="10"/>
  <c r="ET62" i="10"/>
  <c r="DN62" i="10"/>
  <c r="ER62" i="10"/>
  <c r="DL62" i="10"/>
  <c r="EK62" i="10"/>
  <c r="EB62" i="10"/>
  <c r="EI62" i="10"/>
  <c r="EH62" i="10"/>
  <c r="EG62" i="10"/>
  <c r="EF62" i="10"/>
  <c r="EE62" i="10"/>
  <c r="DW62" i="10"/>
  <c r="DS62" i="10"/>
  <c r="EY62" i="10"/>
  <c r="DK62" i="10"/>
  <c r="EX62" i="10"/>
  <c r="EW62" i="10"/>
  <c r="EV62" i="10"/>
  <c r="ES62" i="10"/>
  <c r="ED62" i="10"/>
  <c r="DZ62" i="10"/>
  <c r="DU62" i="10"/>
  <c r="DT62" i="10"/>
  <c r="DX62" i="10"/>
  <c r="DV62" i="10"/>
  <c r="DR62" i="10"/>
  <c r="DQ62" i="10"/>
  <c r="DP62" i="10"/>
  <c r="EQ62" i="10"/>
  <c r="EP62" i="10"/>
  <c r="EO62" i="10"/>
  <c r="EN62" i="10"/>
  <c r="EM62" i="10"/>
  <c r="DI62" i="10"/>
  <c r="EL62" i="10"/>
  <c r="DG62" i="10"/>
  <c r="EJ62" i="10"/>
  <c r="EC62" i="10"/>
  <c r="EA62" i="10"/>
  <c r="DJ62" i="10"/>
  <c r="DH62" i="10"/>
  <c r="DY62" i="10"/>
  <c r="DM62" i="10"/>
  <c r="EO20" i="10"/>
  <c r="DI20" i="10"/>
  <c r="EN20" i="10"/>
  <c r="DH20" i="10"/>
  <c r="DU20" i="10"/>
  <c r="EW20" i="10"/>
  <c r="DN20" i="10"/>
  <c r="EV20" i="10"/>
  <c r="DM20" i="10"/>
  <c r="EU20" i="10"/>
  <c r="DL20" i="10"/>
  <c r="ET20" i="10"/>
  <c r="DK20" i="10"/>
  <c r="ES20" i="10"/>
  <c r="DJ20" i="10"/>
  <c r="EI20" i="10"/>
  <c r="EF20" i="10"/>
  <c r="EA20" i="10"/>
  <c r="DO20" i="10"/>
  <c r="DG20" i="10"/>
  <c r="EM20" i="10"/>
  <c r="ED20" i="10"/>
  <c r="EC20" i="10"/>
  <c r="EB20" i="10"/>
  <c r="DZ20" i="10"/>
  <c r="DY20" i="10"/>
  <c r="DP20" i="10"/>
  <c r="EY20" i="10"/>
  <c r="ER20" i="10"/>
  <c r="DX20" i="10"/>
  <c r="DW20" i="10"/>
  <c r="DV20" i="10"/>
  <c r="DT20" i="10"/>
  <c r="DS20" i="10"/>
  <c r="EX20" i="10"/>
  <c r="EQ20" i="10"/>
  <c r="EL20" i="10"/>
  <c r="EK20" i="10"/>
  <c r="EJ20" i="10"/>
  <c r="DQ20" i="10"/>
  <c r="EG20" i="10"/>
  <c r="EP20" i="10"/>
  <c r="EH20" i="10"/>
  <c r="EE20" i="10"/>
  <c r="DR20" i="10"/>
  <c r="EC90" i="10"/>
  <c r="EB90" i="10"/>
  <c r="EA90" i="10"/>
  <c r="DZ90" i="10"/>
  <c r="EY90" i="10"/>
  <c r="DS90" i="10"/>
  <c r="EV90" i="10"/>
  <c r="DP90" i="10"/>
  <c r="EP90" i="10"/>
  <c r="DJ90" i="10"/>
  <c r="EW90" i="10"/>
  <c r="DH90" i="10"/>
  <c r="EU90" i="10"/>
  <c r="DG90" i="10"/>
  <c r="ET90" i="10"/>
  <c r="ES90" i="10"/>
  <c r="ER90" i="10"/>
  <c r="EJ90" i="10"/>
  <c r="EF90" i="10"/>
  <c r="DW90" i="10"/>
  <c r="EM90" i="10"/>
  <c r="EH90" i="10"/>
  <c r="DY90" i="10"/>
  <c r="DX90" i="10"/>
  <c r="DU90" i="10"/>
  <c r="EX90" i="10"/>
  <c r="EE90" i="10"/>
  <c r="DT90" i="10"/>
  <c r="DN90" i="10"/>
  <c r="DM90" i="10"/>
  <c r="DK90" i="10"/>
  <c r="EG90" i="10"/>
  <c r="DQ90" i="10"/>
  <c r="EQ90" i="10"/>
  <c r="EO90" i="10"/>
  <c r="DO90" i="10"/>
  <c r="EK90" i="10"/>
  <c r="EI90" i="10"/>
  <c r="DV90" i="10"/>
  <c r="DR90" i="10"/>
  <c r="DI90" i="10"/>
  <c r="EN90" i="10"/>
  <c r="ED90" i="10"/>
  <c r="EL90" i="10"/>
  <c r="DL90" i="10"/>
  <c r="EG124" i="10"/>
  <c r="DS124" i="10"/>
  <c r="EQ124" i="10"/>
  <c r="DI124" i="10"/>
  <c r="EN124" i="10"/>
  <c r="EM124" i="10"/>
  <c r="EL124" i="10"/>
  <c r="EK124" i="10"/>
  <c r="EC124" i="10"/>
  <c r="DZ124" i="10"/>
  <c r="DT124" i="10"/>
  <c r="ED124" i="10"/>
  <c r="EB124" i="10"/>
  <c r="EA124" i="10"/>
  <c r="DY124" i="10"/>
  <c r="DX124" i="10"/>
  <c r="DO124" i="10"/>
  <c r="DK124" i="10"/>
  <c r="EW124" i="10"/>
  <c r="EV124" i="10"/>
  <c r="ET124" i="10"/>
  <c r="EY124" i="10"/>
  <c r="EX124" i="10"/>
  <c r="EU124" i="10"/>
  <c r="ES124" i="10"/>
  <c r="ER124" i="10"/>
  <c r="EE124" i="10"/>
  <c r="DR124" i="10"/>
  <c r="DM124" i="10"/>
  <c r="DL124" i="10"/>
  <c r="DH124" i="10"/>
  <c r="EI124" i="10"/>
  <c r="EH124" i="10"/>
  <c r="DW124" i="10"/>
  <c r="EF124" i="10"/>
  <c r="DP124" i="10"/>
  <c r="DN124" i="10"/>
  <c r="DG124" i="10"/>
  <c r="EP124" i="10"/>
  <c r="EO124" i="10"/>
  <c r="EJ124" i="10"/>
  <c r="DJ124" i="10"/>
  <c r="DV124" i="10"/>
  <c r="DU124" i="10"/>
  <c r="DQ124" i="10"/>
  <c r="EI146" i="10"/>
  <c r="DT146" i="10"/>
  <c r="DS146" i="10"/>
  <c r="EY146" i="10"/>
  <c r="DR146" i="10"/>
  <c r="EX146" i="10"/>
  <c r="DQ146" i="10"/>
  <c r="ER146" i="10"/>
  <c r="DK146" i="10"/>
  <c r="EN146" i="10"/>
  <c r="DG146" i="10"/>
  <c r="DX146" i="10"/>
  <c r="DJ146" i="10"/>
  <c r="DI146" i="10"/>
  <c r="EW146" i="10"/>
  <c r="DH146" i="10"/>
  <c r="EV146" i="10"/>
  <c r="EM146" i="10"/>
  <c r="EJ146" i="10"/>
  <c r="EE146" i="10"/>
  <c r="EC146" i="10"/>
  <c r="EA146" i="10"/>
  <c r="DZ146" i="10"/>
  <c r="DY146" i="10"/>
  <c r="DW146" i="10"/>
  <c r="DV146" i="10"/>
  <c r="EU146" i="10"/>
  <c r="ET146" i="10"/>
  <c r="EQ146" i="10"/>
  <c r="EP146" i="10"/>
  <c r="EH146" i="10"/>
  <c r="EB146" i="10"/>
  <c r="DU146" i="10"/>
  <c r="DO146" i="10"/>
  <c r="ES146" i="10"/>
  <c r="EO146" i="10"/>
  <c r="EL146" i="10"/>
  <c r="EK146" i="10"/>
  <c r="ED146" i="10"/>
  <c r="DP146" i="10"/>
  <c r="DN146" i="10"/>
  <c r="DM146" i="10"/>
  <c r="DL146" i="10"/>
  <c r="EF146" i="10"/>
  <c r="EG146" i="10"/>
  <c r="ES74" i="10"/>
  <c r="DM74" i="10"/>
  <c r="EB74" i="10"/>
  <c r="EA74" i="10"/>
  <c r="DZ74" i="10"/>
  <c r="DY74" i="10"/>
  <c r="DX74" i="10"/>
  <c r="EX74" i="10"/>
  <c r="DQ74" i="10"/>
  <c r="ET74" i="10"/>
  <c r="DL74" i="10"/>
  <c r="EN74" i="10"/>
  <c r="DG74" i="10"/>
  <c r="DW74" i="10"/>
  <c r="DV74" i="10"/>
  <c r="DU74" i="10"/>
  <c r="DT74" i="10"/>
  <c r="DS74" i="10"/>
  <c r="DI74" i="10"/>
  <c r="EV74" i="10"/>
  <c r="EO74" i="10"/>
  <c r="EY74" i="10"/>
  <c r="EW74" i="10"/>
  <c r="EJ74" i="10"/>
  <c r="EG74" i="10"/>
  <c r="EC74" i="10"/>
  <c r="DR74" i="10"/>
  <c r="DO74" i="10"/>
  <c r="EH74" i="10"/>
  <c r="EF74" i="10"/>
  <c r="EE74" i="10"/>
  <c r="ED74" i="10"/>
  <c r="DP74" i="10"/>
  <c r="EK74" i="10"/>
  <c r="EI74" i="10"/>
  <c r="DN74" i="10"/>
  <c r="DK74" i="10"/>
  <c r="DJ74" i="10"/>
  <c r="EU74" i="10"/>
  <c r="EM74" i="10"/>
  <c r="EL74" i="10"/>
  <c r="ER74" i="10"/>
  <c r="EQ74" i="10"/>
  <c r="DH74" i="10"/>
  <c r="EP74" i="10"/>
  <c r="EY108" i="10"/>
  <c r="DS108" i="10"/>
  <c r="EX108" i="10"/>
  <c r="DR108" i="10"/>
  <c r="EW108" i="10"/>
  <c r="DQ108" i="10"/>
  <c r="EV108" i="10"/>
  <c r="DP108" i="10"/>
  <c r="EO108" i="10"/>
  <c r="DI108" i="10"/>
  <c r="EL108" i="10"/>
  <c r="EF108" i="10"/>
  <c r="DT108" i="10"/>
  <c r="DO108" i="10"/>
  <c r="DN108" i="10"/>
  <c r="DM108" i="10"/>
  <c r="DL108" i="10"/>
  <c r="ER108" i="10"/>
  <c r="EM108" i="10"/>
  <c r="EG108" i="10"/>
  <c r="DK108" i="10"/>
  <c r="DJ108" i="10"/>
  <c r="DH108" i="10"/>
  <c r="DG108" i="10"/>
  <c r="EU108" i="10"/>
  <c r="EP108" i="10"/>
  <c r="EI108" i="10"/>
  <c r="EH108" i="10"/>
  <c r="ED108" i="10"/>
  <c r="EQ108" i="10"/>
  <c r="EN108" i="10"/>
  <c r="EK108" i="10"/>
  <c r="EJ108" i="10"/>
  <c r="EE108" i="10"/>
  <c r="DV108" i="10"/>
  <c r="EA108" i="10"/>
  <c r="DW108" i="10"/>
  <c r="ET108" i="10"/>
  <c r="ES108" i="10"/>
  <c r="EC108" i="10"/>
  <c r="EB108" i="10"/>
  <c r="DU108" i="10"/>
  <c r="DX108" i="10"/>
  <c r="DZ108" i="10"/>
  <c r="DY108" i="10"/>
  <c r="DZ105" i="10"/>
  <c r="DY105" i="10"/>
  <c r="DX105" i="10"/>
  <c r="DW105" i="10"/>
  <c r="EV105" i="10"/>
  <c r="DP105" i="10"/>
  <c r="ES105" i="10"/>
  <c r="DM105" i="10"/>
  <c r="EM105" i="10"/>
  <c r="DG105" i="10"/>
  <c r="EE105" i="10"/>
  <c r="ED105" i="10"/>
  <c r="EC105" i="10"/>
  <c r="EB105" i="10"/>
  <c r="EA105" i="10"/>
  <c r="DO105" i="10"/>
  <c r="EY105" i="10"/>
  <c r="DJ105" i="10"/>
  <c r="ER105" i="10"/>
  <c r="EN105" i="10"/>
  <c r="EL105" i="10"/>
  <c r="EK105" i="10"/>
  <c r="EJ105" i="10"/>
  <c r="EI105" i="10"/>
  <c r="DS105" i="10"/>
  <c r="DL105" i="10"/>
  <c r="DR105" i="10"/>
  <c r="DQ105" i="10"/>
  <c r="DN105" i="10"/>
  <c r="DK105" i="10"/>
  <c r="DI105" i="10"/>
  <c r="EX105" i="10"/>
  <c r="EW105" i="10"/>
  <c r="ET105" i="10"/>
  <c r="EU105" i="10"/>
  <c r="EH105" i="10"/>
  <c r="DU105" i="10"/>
  <c r="DT105" i="10"/>
  <c r="EO105" i="10"/>
  <c r="EG105" i="10"/>
  <c r="EF105" i="10"/>
  <c r="DV105" i="10"/>
  <c r="DH105" i="10"/>
  <c r="EQ105" i="10"/>
  <c r="EP105" i="10"/>
  <c r="EL131" i="10"/>
  <c r="EH131" i="10"/>
  <c r="EE131" i="10"/>
  <c r="DY131" i="10"/>
  <c r="EO131" i="10"/>
  <c r="EV131" i="10"/>
  <c r="DK131" i="10"/>
  <c r="EU131" i="10"/>
  <c r="DJ131" i="10"/>
  <c r="ET131" i="10"/>
  <c r="DI131" i="10"/>
  <c r="ES131" i="10"/>
  <c r="DH131" i="10"/>
  <c r="EJ131" i="10"/>
  <c r="EF131" i="10"/>
  <c r="DX131" i="10"/>
  <c r="EI131" i="10"/>
  <c r="EG131" i="10"/>
  <c r="ED131" i="10"/>
  <c r="EC131" i="10"/>
  <c r="EB131" i="10"/>
  <c r="DS131" i="10"/>
  <c r="DO131" i="10"/>
  <c r="DG131" i="10"/>
  <c r="EW131" i="10"/>
  <c r="EN131" i="10"/>
  <c r="DZ131" i="10"/>
  <c r="DW131" i="10"/>
  <c r="DU131" i="10"/>
  <c r="EK131" i="10"/>
  <c r="DT131" i="10"/>
  <c r="DN131" i="10"/>
  <c r="DM131" i="10"/>
  <c r="EY131" i="10"/>
  <c r="EX131" i="10"/>
  <c r="DQ131" i="10"/>
  <c r="ER131" i="10"/>
  <c r="EA131" i="10"/>
  <c r="DV131" i="10"/>
  <c r="DP131" i="10"/>
  <c r="EM131" i="10"/>
  <c r="EP131" i="10"/>
  <c r="EQ131" i="10"/>
  <c r="DR131" i="10"/>
  <c r="DL131" i="10"/>
  <c r="DV93" i="10"/>
  <c r="DU93" i="10"/>
  <c r="DT93" i="10"/>
  <c r="EY93" i="10"/>
  <c r="DS93" i="10"/>
  <c r="ER93" i="10"/>
  <c r="DL93" i="10"/>
  <c r="EO93" i="10"/>
  <c r="DI93" i="10"/>
  <c r="EI93" i="10"/>
  <c r="EK93" i="10"/>
  <c r="EJ93" i="10"/>
  <c r="EH93" i="10"/>
  <c r="EG93" i="10"/>
  <c r="EF93" i="10"/>
  <c r="DY93" i="10"/>
  <c r="DQ93" i="10"/>
  <c r="DK93" i="10"/>
  <c r="EE93" i="10"/>
  <c r="ED93" i="10"/>
  <c r="EC93" i="10"/>
  <c r="EB93" i="10"/>
  <c r="EA93" i="10"/>
  <c r="DN93" i="10"/>
  <c r="DG93" i="10"/>
  <c r="EW93" i="10"/>
  <c r="EX93" i="10"/>
  <c r="ET93" i="10"/>
  <c r="EN93" i="10"/>
  <c r="EM93" i="10"/>
  <c r="DZ93" i="10"/>
  <c r="EV93" i="10"/>
  <c r="EU93" i="10"/>
  <c r="ES93" i="10"/>
  <c r="EQ93" i="10"/>
  <c r="DM93" i="10"/>
  <c r="DX93" i="10"/>
  <c r="DO93" i="10"/>
  <c r="EP93" i="10"/>
  <c r="EL93" i="10"/>
  <c r="DW93" i="10"/>
  <c r="DR93" i="10"/>
  <c r="DP93" i="10"/>
  <c r="DJ93" i="10"/>
  <c r="DH93" i="10"/>
  <c r="EU30" i="10"/>
  <c r="DO30" i="10"/>
  <c r="EN30" i="10"/>
  <c r="DG30" i="10"/>
  <c r="EM30" i="10"/>
  <c r="EL30" i="10"/>
  <c r="DT30" i="10"/>
  <c r="EK30" i="10"/>
  <c r="EJ30" i="10"/>
  <c r="EI30" i="10"/>
  <c r="EH30" i="10"/>
  <c r="EG30" i="10"/>
  <c r="DY30" i="10"/>
  <c r="DV30" i="10"/>
  <c r="DP30" i="10"/>
  <c r="EX30" i="10"/>
  <c r="EW30" i="10"/>
  <c r="EV30" i="10"/>
  <c r="ET30" i="10"/>
  <c r="ES30" i="10"/>
  <c r="EC30" i="10"/>
  <c r="DX30" i="10"/>
  <c r="DM30" i="10"/>
  <c r="DL30" i="10"/>
  <c r="DK30" i="10"/>
  <c r="DJ30" i="10"/>
  <c r="DI30" i="10"/>
  <c r="ER30" i="10"/>
  <c r="EF30" i="10"/>
  <c r="EE30" i="10"/>
  <c r="EB30" i="10"/>
  <c r="DW30" i="10"/>
  <c r="DU30" i="10"/>
  <c r="DS30" i="10"/>
  <c r="DR30" i="10"/>
  <c r="DQ30" i="10"/>
  <c r="EQ30" i="10"/>
  <c r="EA30" i="10"/>
  <c r="DH30" i="10"/>
  <c r="EY30" i="10"/>
  <c r="EO30" i="10"/>
  <c r="ED30" i="10"/>
  <c r="DZ30" i="10"/>
  <c r="DN30" i="10"/>
  <c r="EP30" i="10"/>
  <c r="EY42" i="10"/>
  <c r="DS42" i="10"/>
  <c r="EC42" i="10"/>
  <c r="EB42" i="10"/>
  <c r="EA42" i="10"/>
  <c r="DZ42" i="10"/>
  <c r="DY42" i="10"/>
  <c r="EX42" i="10"/>
  <c r="DQ42" i="10"/>
  <c r="ET42" i="10"/>
  <c r="DM42" i="10"/>
  <c r="EO42" i="10"/>
  <c r="DH42" i="10"/>
  <c r="DT42" i="10"/>
  <c r="DR42" i="10"/>
  <c r="DP42" i="10"/>
  <c r="DO42" i="10"/>
  <c r="DN42" i="10"/>
  <c r="EU42" i="10"/>
  <c r="EQ42" i="10"/>
  <c r="EK42" i="10"/>
  <c r="ES42" i="10"/>
  <c r="ER42" i="10"/>
  <c r="EP42" i="10"/>
  <c r="EN42" i="10"/>
  <c r="EM42" i="10"/>
  <c r="ED42" i="10"/>
  <c r="DU42" i="10"/>
  <c r="DG42" i="10"/>
  <c r="EE42" i="10"/>
  <c r="DX42" i="10"/>
  <c r="DW42" i="10"/>
  <c r="DV42" i="10"/>
  <c r="DL42" i="10"/>
  <c r="EL42" i="10"/>
  <c r="EG42" i="10"/>
  <c r="EF42" i="10"/>
  <c r="DJ42" i="10"/>
  <c r="DI42" i="10"/>
  <c r="EI42" i="10"/>
  <c r="EH42" i="10"/>
  <c r="DK42" i="10"/>
  <c r="EJ42" i="10"/>
  <c r="EV42" i="10"/>
  <c r="EW42" i="10"/>
  <c r="EI92" i="10"/>
  <c r="EH92" i="10"/>
  <c r="EG92" i="10"/>
  <c r="EF92" i="10"/>
  <c r="DY92" i="10"/>
  <c r="DV92" i="10"/>
  <c r="EV92" i="10"/>
  <c r="DP92" i="10"/>
  <c r="EP92" i="10"/>
  <c r="EO92" i="10"/>
  <c r="EN92" i="10"/>
  <c r="EM92" i="10"/>
  <c r="EL92" i="10"/>
  <c r="EA92" i="10"/>
  <c r="DU92" i="10"/>
  <c r="DO92" i="10"/>
  <c r="DW92" i="10"/>
  <c r="DT92" i="10"/>
  <c r="DS92" i="10"/>
  <c r="DR92" i="10"/>
  <c r="DQ92" i="10"/>
  <c r="DH92" i="10"/>
  <c r="EU92" i="10"/>
  <c r="ET92" i="10"/>
  <c r="ER92" i="10"/>
  <c r="EX92" i="10"/>
  <c r="EW92" i="10"/>
  <c r="ES92" i="10"/>
  <c r="EQ92" i="10"/>
  <c r="EK92" i="10"/>
  <c r="DN92" i="10"/>
  <c r="DK92" i="10"/>
  <c r="EJ92" i="10"/>
  <c r="DZ92" i="10"/>
  <c r="EE92" i="10"/>
  <c r="ED92" i="10"/>
  <c r="EB92" i="10"/>
  <c r="DL92" i="10"/>
  <c r="DM92" i="10"/>
  <c r="DJ92" i="10"/>
  <c r="DI92" i="10"/>
  <c r="DG92" i="10"/>
  <c r="EY92" i="10"/>
  <c r="EC92" i="10"/>
  <c r="DX92" i="10"/>
  <c r="EM260" i="10"/>
  <c r="DG260" i="10"/>
  <c r="EV260" i="10"/>
  <c r="DO260" i="10"/>
  <c r="EB260" i="10"/>
  <c r="ES260" i="10"/>
  <c r="DJ260" i="10"/>
  <c r="ET260" i="10"/>
  <c r="DI260" i="10"/>
  <c r="ER260" i="10"/>
  <c r="DH260" i="10"/>
  <c r="EQ260" i="10"/>
  <c r="EO260" i="10"/>
  <c r="DY260" i="10"/>
  <c r="DX260" i="10"/>
  <c r="DW260" i="10"/>
  <c r="DV260" i="10"/>
  <c r="DQ260" i="10"/>
  <c r="DM260" i="10"/>
  <c r="DK260" i="10"/>
  <c r="EW260" i="10"/>
  <c r="EN260" i="10"/>
  <c r="DN260" i="10"/>
  <c r="DL260" i="10"/>
  <c r="EX260" i="10"/>
  <c r="EK260" i="10"/>
  <c r="EH260" i="10"/>
  <c r="EE260" i="10"/>
  <c r="EP260" i="10"/>
  <c r="EL260" i="10"/>
  <c r="EJ260" i="10"/>
  <c r="EI260" i="10"/>
  <c r="DZ260" i="10"/>
  <c r="DR260" i="10"/>
  <c r="EG260" i="10"/>
  <c r="EA260" i="10"/>
  <c r="DT260" i="10"/>
  <c r="DP260" i="10"/>
  <c r="ED260" i="10"/>
  <c r="DU260" i="10"/>
  <c r="EF260" i="10"/>
  <c r="EC260" i="10"/>
  <c r="DS260" i="10"/>
  <c r="EY260" i="10"/>
  <c r="EU260" i="10"/>
  <c r="EO116" i="10"/>
  <c r="DI116" i="10"/>
  <c r="EW116" i="10"/>
  <c r="DP116" i="10"/>
  <c r="EV116" i="10"/>
  <c r="DN116" i="10"/>
  <c r="EU116" i="10"/>
  <c r="DM116" i="10"/>
  <c r="ET116" i="10"/>
  <c r="DL116" i="10"/>
  <c r="ES116" i="10"/>
  <c r="DK116" i="10"/>
  <c r="EK116" i="10"/>
  <c r="EH116" i="10"/>
  <c r="EB116" i="10"/>
  <c r="ED116" i="10"/>
  <c r="EC116" i="10"/>
  <c r="EA116" i="10"/>
  <c r="DZ116" i="10"/>
  <c r="DY116" i="10"/>
  <c r="DR116" i="10"/>
  <c r="DH116" i="10"/>
  <c r="EX116" i="10"/>
  <c r="EN116" i="10"/>
  <c r="EM116" i="10"/>
  <c r="EL116" i="10"/>
  <c r="EJ116" i="10"/>
  <c r="EI116" i="10"/>
  <c r="DU116" i="10"/>
  <c r="DO116" i="10"/>
  <c r="EP116" i="10"/>
  <c r="EG116" i="10"/>
  <c r="EE116" i="10"/>
  <c r="DT116" i="10"/>
  <c r="DG116" i="10"/>
  <c r="EQ116" i="10"/>
  <c r="EF116" i="10"/>
  <c r="DX116" i="10"/>
  <c r="DW116" i="10"/>
  <c r="DV116" i="10"/>
  <c r="ER116" i="10"/>
  <c r="DS116" i="10"/>
  <c r="DJ116" i="10"/>
  <c r="EY116" i="10"/>
  <c r="DQ116" i="10"/>
  <c r="EL77" i="10"/>
  <c r="DY77" i="10"/>
  <c r="DX77" i="10"/>
  <c r="DW77" i="10"/>
  <c r="DV77" i="10"/>
  <c r="DU77" i="10"/>
  <c r="EU77" i="10"/>
  <c r="DN77" i="10"/>
  <c r="EQ77" i="10"/>
  <c r="DJ77" i="10"/>
  <c r="EK77" i="10"/>
  <c r="DT77" i="10"/>
  <c r="DS77" i="10"/>
  <c r="DR77" i="10"/>
  <c r="DQ77" i="10"/>
  <c r="DP77" i="10"/>
  <c r="EX77" i="10"/>
  <c r="DG77" i="10"/>
  <c r="ES77" i="10"/>
  <c r="EM77" i="10"/>
  <c r="EN77" i="10"/>
  <c r="EJ77" i="10"/>
  <c r="EI77" i="10"/>
  <c r="EH77" i="10"/>
  <c r="EG77" i="10"/>
  <c r="DO77" i="10"/>
  <c r="DK77" i="10"/>
  <c r="EF77" i="10"/>
  <c r="EB77" i="10"/>
  <c r="DI77" i="10"/>
  <c r="DH77" i="10"/>
  <c r="EV77" i="10"/>
  <c r="ET77" i="10"/>
  <c r="EP77" i="10"/>
  <c r="EY77" i="10"/>
  <c r="ER77" i="10"/>
  <c r="EO77" i="10"/>
  <c r="DL77" i="10"/>
  <c r="DM77" i="10"/>
  <c r="EE77" i="10"/>
  <c r="ED77" i="10"/>
  <c r="EC77" i="10"/>
  <c r="EA77" i="10"/>
  <c r="DZ77" i="10"/>
  <c r="EW77" i="10"/>
  <c r="DW14" i="10"/>
  <c r="DV14" i="10"/>
  <c r="EI14" i="10"/>
  <c r="EK14" i="10"/>
  <c r="EJ14" i="10"/>
  <c r="EH14" i="10"/>
  <c r="EG14" i="10"/>
  <c r="EF14" i="10"/>
  <c r="DX14" i="10"/>
  <c r="DS14" i="10"/>
  <c r="EW14" i="10"/>
  <c r="DN14" i="10"/>
  <c r="ET14" i="10"/>
  <c r="ES14" i="10"/>
  <c r="ER14" i="10"/>
  <c r="EQ14" i="10"/>
  <c r="EP14" i="10"/>
  <c r="EB14" i="10"/>
  <c r="DL14" i="10"/>
  <c r="DK14" i="10"/>
  <c r="DJ14" i="10"/>
  <c r="DI14" i="10"/>
  <c r="DH14" i="10"/>
  <c r="EX14" i="10"/>
  <c r="EN14" i="10"/>
  <c r="ED14" i="10"/>
  <c r="EC14" i="10"/>
  <c r="DZ14" i="10"/>
  <c r="EU14" i="10"/>
  <c r="EO14" i="10"/>
  <c r="EM14" i="10"/>
  <c r="EL14" i="10"/>
  <c r="EE14" i="10"/>
  <c r="DO14" i="10"/>
  <c r="DQ14" i="10"/>
  <c r="DP14" i="10"/>
  <c r="DM14" i="10"/>
  <c r="DG14" i="10"/>
  <c r="EY14" i="10"/>
  <c r="EV14" i="10"/>
  <c r="DU14" i="10"/>
  <c r="DT14" i="10"/>
  <c r="DR14" i="10"/>
  <c r="EA14" i="10"/>
  <c r="DY14" i="10"/>
  <c r="EY76" i="10"/>
  <c r="DS76" i="10"/>
  <c r="EK76" i="10"/>
  <c r="EJ76" i="10"/>
  <c r="EI76" i="10"/>
  <c r="EH76" i="10"/>
  <c r="EG76" i="10"/>
  <c r="DZ76" i="10"/>
  <c r="DV76" i="10"/>
  <c r="EW76" i="10"/>
  <c r="DP76" i="10"/>
  <c r="DW76" i="10"/>
  <c r="DU76" i="10"/>
  <c r="DT76" i="10"/>
  <c r="DR76" i="10"/>
  <c r="DQ76" i="10"/>
  <c r="DI76" i="10"/>
  <c r="ET76" i="10"/>
  <c r="EO76" i="10"/>
  <c r="EB76" i="10"/>
  <c r="EA76" i="10"/>
  <c r="DY76" i="10"/>
  <c r="DX76" i="10"/>
  <c r="DO76" i="10"/>
  <c r="EV76" i="10"/>
  <c r="EU76" i="10"/>
  <c r="ER76" i="10"/>
  <c r="ED76" i="10"/>
  <c r="EC76" i="10"/>
  <c r="DN76" i="10"/>
  <c r="DM76" i="10"/>
  <c r="DL76" i="10"/>
  <c r="EX76" i="10"/>
  <c r="ES76" i="10"/>
  <c r="EQ76" i="10"/>
  <c r="EP76" i="10"/>
  <c r="DH76" i="10"/>
  <c r="EN76" i="10"/>
  <c r="EM76" i="10"/>
  <c r="EL76" i="10"/>
  <c r="EF76" i="10"/>
  <c r="EE76" i="10"/>
  <c r="DK76" i="10"/>
  <c r="DJ76" i="10"/>
  <c r="DG76" i="10"/>
  <c r="CR270" i="10"/>
  <c r="CR240" i="10"/>
  <c r="CR267" i="10"/>
  <c r="CR257" i="10"/>
  <c r="CR252" i="10"/>
  <c r="CR269" i="10"/>
  <c r="CR266" i="10"/>
  <c r="CR274" i="10"/>
  <c r="CR271" i="10"/>
  <c r="CR215" i="10"/>
  <c r="CR210" i="10"/>
  <c r="CR256" i="10"/>
  <c r="CR237" i="10"/>
  <c r="CR205" i="10"/>
  <c r="CR232" i="10"/>
  <c r="CR200" i="10"/>
  <c r="CR242" i="10"/>
  <c r="CR227" i="10"/>
  <c r="CR219" i="10"/>
  <c r="CR254" i="10"/>
  <c r="CR244" i="10"/>
  <c r="CR241" i="10"/>
  <c r="CR231" i="10"/>
  <c r="CR268" i="10"/>
  <c r="CR263" i="10"/>
  <c r="CR238" i="10"/>
  <c r="CR212" i="10"/>
  <c r="CR196" i="10"/>
  <c r="CR167" i="10"/>
  <c r="CR261" i="10"/>
  <c r="CR225" i="10"/>
  <c r="CR224" i="10"/>
  <c r="CR223" i="10"/>
  <c r="CR222" i="10"/>
  <c r="CR204" i="10"/>
  <c r="CR199" i="10"/>
  <c r="CR184" i="10"/>
  <c r="CR262" i="10"/>
  <c r="CR211" i="10"/>
  <c r="CR179" i="10"/>
  <c r="CR253" i="10"/>
  <c r="CR236" i="10"/>
  <c r="CR171" i="10"/>
  <c r="CR255" i="10"/>
  <c r="CR217" i="10"/>
  <c r="CR183" i="10"/>
  <c r="CR197" i="10"/>
  <c r="CR265" i="10"/>
  <c r="CR258" i="10"/>
  <c r="CR251" i="10"/>
  <c r="CR157" i="10"/>
  <c r="CR123" i="10"/>
  <c r="CR264" i="10"/>
  <c r="CR248" i="10"/>
  <c r="CR234" i="10"/>
  <c r="CR150" i="10"/>
  <c r="CR245" i="10"/>
  <c r="CR220" i="10"/>
  <c r="CR209" i="10"/>
  <c r="CR145" i="10"/>
  <c r="CR273" i="10"/>
  <c r="CR201" i="10"/>
  <c r="CR153" i="10"/>
  <c r="CR140" i="10"/>
  <c r="CR182" i="10"/>
  <c r="CR135" i="10"/>
  <c r="CR249" i="10"/>
  <c r="CR170" i="10"/>
  <c r="CR159" i="10"/>
  <c r="CR163" i="10"/>
  <c r="CR177" i="10"/>
  <c r="CR247" i="10"/>
  <c r="CR218" i="10"/>
  <c r="CR250" i="10"/>
  <c r="CR228" i="10"/>
  <c r="CR207" i="10"/>
  <c r="CR221" i="10"/>
  <c r="CR214" i="10"/>
  <c r="CR195" i="10"/>
  <c r="CR191" i="10"/>
  <c r="CR187" i="10"/>
  <c r="CR162" i="10"/>
  <c r="CR106" i="10"/>
  <c r="CR144" i="10"/>
  <c r="CR101" i="10"/>
  <c r="CR202" i="10"/>
  <c r="CR164" i="10"/>
  <c r="CR243" i="10"/>
  <c r="CR91" i="10"/>
  <c r="CR259" i="10"/>
  <c r="CR130" i="10"/>
  <c r="CR118" i="10"/>
  <c r="CR86" i="10"/>
  <c r="CR208" i="10"/>
  <c r="CR173" i="10"/>
  <c r="CR151" i="10"/>
  <c r="CR129" i="10"/>
  <c r="CR105" i="10"/>
  <c r="CR174" i="10"/>
  <c r="CR149" i="10"/>
  <c r="CR139" i="10"/>
  <c r="CR133" i="10"/>
  <c r="CR117" i="10"/>
  <c r="CR168" i="10"/>
  <c r="CR260" i="10"/>
  <c r="CR181" i="10"/>
  <c r="CR246" i="10"/>
  <c r="CR190" i="10"/>
  <c r="CR186" i="10"/>
  <c r="CR175" i="10"/>
  <c r="CR148" i="10"/>
  <c r="CR109" i="10"/>
  <c r="CR99" i="10"/>
  <c r="CR68" i="10"/>
  <c r="CR36" i="10"/>
  <c r="CR166" i="10"/>
  <c r="CR136" i="10"/>
  <c r="CR108" i="10"/>
  <c r="CR98" i="10"/>
  <c r="CR89" i="10"/>
  <c r="CR169" i="10"/>
  <c r="CR58" i="10"/>
  <c r="CR176" i="10"/>
  <c r="CR143" i="10"/>
  <c r="CR137" i="10"/>
  <c r="CR125" i="10"/>
  <c r="CR53" i="10"/>
  <c r="CR160" i="10"/>
  <c r="CR124" i="10"/>
  <c r="CR122" i="10"/>
  <c r="CR80" i="10"/>
  <c r="CR48" i="10"/>
  <c r="CR193" i="10"/>
  <c r="CR67" i="10"/>
  <c r="CR131" i="10"/>
  <c r="CR103" i="10"/>
  <c r="CR84" i="10"/>
  <c r="CR79" i="10"/>
  <c r="CR165" i="10"/>
  <c r="CR64" i="10"/>
  <c r="CR233" i="10"/>
  <c r="CR132" i="10"/>
  <c r="CR43" i="10"/>
  <c r="CR21" i="10"/>
  <c r="CR13" i="10"/>
  <c r="CR216" i="10"/>
  <c r="CR155" i="10"/>
  <c r="CR119" i="10"/>
  <c r="CR90" i="10"/>
  <c r="CR81" i="10"/>
  <c r="CR198" i="10"/>
  <c r="CR65" i="10"/>
  <c r="CR142" i="10"/>
  <c r="CR115" i="10"/>
  <c r="CR92" i="10"/>
  <c r="CR18" i="10"/>
  <c r="CR185" i="10"/>
  <c r="CR74" i="10"/>
  <c r="CR63" i="10"/>
  <c r="CR12" i="10"/>
  <c r="CR158" i="10"/>
  <c r="CR156" i="10"/>
  <c r="CR128" i="10"/>
  <c r="CR113" i="10"/>
  <c r="CR97" i="10"/>
  <c r="CR56" i="10"/>
  <c r="CR45" i="10"/>
  <c r="CR34" i="10"/>
  <c r="CR25" i="10"/>
  <c r="CR226" i="10"/>
  <c r="CR50" i="10"/>
  <c r="CR70" i="10"/>
  <c r="CR126" i="10"/>
  <c r="CR107" i="10"/>
  <c r="CR88" i="10"/>
  <c r="CR75" i="10"/>
  <c r="CR28" i="10"/>
  <c r="CR213" i="10"/>
  <c r="CR57" i="10"/>
  <c r="CR32" i="10"/>
  <c r="CR26" i="10"/>
  <c r="CR188" i="10"/>
  <c r="CR120" i="10"/>
  <c r="CR16" i="10"/>
  <c r="CR230" i="10"/>
  <c r="CR180" i="10"/>
  <c r="CR172" i="10"/>
  <c r="CR100" i="10"/>
  <c r="CR29" i="10"/>
  <c r="CR15" i="10"/>
  <c r="CR147" i="10"/>
  <c r="CR60" i="10"/>
  <c r="CR24" i="10"/>
  <c r="CR51" i="10"/>
  <c r="CR134" i="10"/>
  <c r="CR96" i="10"/>
  <c r="CR61" i="10"/>
  <c r="CR152" i="10"/>
  <c r="CR82" i="10"/>
  <c r="CR20" i="10"/>
  <c r="CR178" i="10"/>
  <c r="CR127" i="10"/>
  <c r="CR121" i="10"/>
  <c r="CR62" i="10"/>
  <c r="CR44" i="10"/>
  <c r="CR272" i="10"/>
  <c r="CR239" i="10"/>
  <c r="CR47" i="10"/>
  <c r="CR17" i="10"/>
  <c r="CR138" i="10"/>
  <c r="CR161" i="10"/>
  <c r="CR87" i="10"/>
  <c r="CR30" i="10"/>
  <c r="CR71" i="10"/>
  <c r="CR39" i="10"/>
  <c r="CR189" i="10"/>
  <c r="CR37" i="10"/>
  <c r="CR206" i="10"/>
  <c r="CR229" i="10"/>
  <c r="CR154" i="10"/>
  <c r="CR94" i="10"/>
  <c r="CR194" i="10"/>
  <c r="CR66" i="10"/>
  <c r="CR42" i="10"/>
  <c r="CR31" i="10"/>
  <c r="CR192" i="10"/>
  <c r="CR93" i="10"/>
  <c r="CR72" i="10"/>
  <c r="CR235" i="10"/>
  <c r="CR114" i="10"/>
  <c r="CR83" i="10"/>
  <c r="CR95" i="10"/>
  <c r="CR76" i="10"/>
  <c r="CR59" i="10"/>
  <c r="CR49" i="10"/>
  <c r="CR14" i="10"/>
  <c r="CR203" i="10"/>
  <c r="CR77" i="10"/>
  <c r="CR40" i="10"/>
  <c r="CR69" i="10"/>
  <c r="CR73" i="10"/>
  <c r="CR141" i="10"/>
  <c r="CR46" i="10"/>
  <c r="CR102" i="10"/>
  <c r="CR52" i="10"/>
  <c r="CR33" i="10"/>
  <c r="CR55" i="10"/>
  <c r="CR22" i="10"/>
  <c r="CR112" i="10"/>
  <c r="CR27" i="10"/>
  <c r="CR19" i="10"/>
  <c r="CR146" i="10"/>
  <c r="CR111" i="10"/>
  <c r="CR38" i="10"/>
  <c r="CR35" i="10"/>
  <c r="CR116" i="10"/>
  <c r="CR54" i="10"/>
  <c r="AV10" i="10"/>
  <c r="CR10" i="10" s="1"/>
  <c r="EN10" i="10" s="1"/>
  <c r="GJ10" i="10" s="1"/>
  <c r="CR41" i="10"/>
  <c r="CR110" i="10"/>
  <c r="CR104" i="10"/>
  <c r="CR23" i="10"/>
  <c r="CR78" i="10"/>
  <c r="CR11" i="10"/>
  <c r="CR85" i="10"/>
  <c r="ET101" i="10"/>
  <c r="DN101" i="10"/>
  <c r="ES101" i="10"/>
  <c r="DM101" i="10"/>
  <c r="ER101" i="10"/>
  <c r="DL101" i="10"/>
  <c r="EQ101" i="10"/>
  <c r="DK101" i="10"/>
  <c r="EJ101" i="10"/>
  <c r="EG101" i="10"/>
  <c r="EA101" i="10"/>
  <c r="EV101" i="10"/>
  <c r="EU101" i="10"/>
  <c r="EP101" i="10"/>
  <c r="EO101" i="10"/>
  <c r="EN101" i="10"/>
  <c r="EE101" i="10"/>
  <c r="DZ101" i="10"/>
  <c r="DU101" i="10"/>
  <c r="EI101" i="10"/>
  <c r="EC101" i="10"/>
  <c r="DW101" i="10"/>
  <c r="DV101" i="10"/>
  <c r="DS101" i="10"/>
  <c r="EL101" i="10"/>
  <c r="EK101" i="10"/>
  <c r="EH101" i="10"/>
  <c r="EF101" i="10"/>
  <c r="ED101" i="10"/>
  <c r="DO101" i="10"/>
  <c r="DH101" i="10"/>
  <c r="EW101" i="10"/>
  <c r="EM101" i="10"/>
  <c r="EB101" i="10"/>
  <c r="DY101" i="10"/>
  <c r="DX101" i="10"/>
  <c r="EY101" i="10"/>
  <c r="EX101" i="10"/>
  <c r="DT101" i="10"/>
  <c r="DJ101" i="10"/>
  <c r="DI101" i="10"/>
  <c r="DR101" i="10"/>
  <c r="DQ101" i="10"/>
  <c r="DP101" i="10"/>
  <c r="DG101" i="10"/>
  <c r="R6" i="10"/>
  <c r="Q8" i="10"/>
  <c r="EW86" i="10"/>
  <c r="DQ86" i="10"/>
  <c r="EV86" i="10"/>
  <c r="ET86" i="10"/>
  <c r="DN86" i="10"/>
  <c r="EM86" i="10"/>
  <c r="DG86" i="10"/>
  <c r="EJ86" i="10"/>
  <c r="EC86" i="10"/>
  <c r="EB86" i="10"/>
  <c r="EA86" i="10"/>
  <c r="DZ86" i="10"/>
  <c r="DY86" i="10"/>
  <c r="DR86" i="10"/>
  <c r="EY86" i="10"/>
  <c r="DL86" i="10"/>
  <c r="EQ86" i="10"/>
  <c r="DX86" i="10"/>
  <c r="DW86" i="10"/>
  <c r="DV86" i="10"/>
  <c r="DU86" i="10"/>
  <c r="DT86" i="10"/>
  <c r="DI86" i="10"/>
  <c r="ES86" i="10"/>
  <c r="ER86" i="10"/>
  <c r="DK86" i="10"/>
  <c r="DJ86" i="10"/>
  <c r="DH86" i="10"/>
  <c r="EX86" i="10"/>
  <c r="EN86" i="10"/>
  <c r="EL86" i="10"/>
  <c r="EI86" i="10"/>
  <c r="EG86" i="10"/>
  <c r="EF86" i="10"/>
  <c r="EE86" i="10"/>
  <c r="ED86" i="10"/>
  <c r="DS86" i="10"/>
  <c r="EK86" i="10"/>
  <c r="DM86" i="10"/>
  <c r="EP86" i="10"/>
  <c r="DO86" i="10"/>
  <c r="EU86" i="10"/>
  <c r="EO86" i="10"/>
  <c r="EH86" i="10"/>
  <c r="DP86" i="10"/>
  <c r="EA249" i="10"/>
  <c r="EN249" i="10"/>
  <c r="DH249" i="10"/>
  <c r="DX249" i="10"/>
  <c r="ER249" i="10"/>
  <c r="DI249" i="10"/>
  <c r="EQ249" i="10"/>
  <c r="DG249" i="10"/>
  <c r="EU249" i="10"/>
  <c r="DJ249" i="10"/>
  <c r="ES249" i="10"/>
  <c r="EP249" i="10"/>
  <c r="EW249" i="10"/>
  <c r="EV249" i="10"/>
  <c r="ET249" i="10"/>
  <c r="EO249" i="10"/>
  <c r="EH249" i="10"/>
  <c r="EE249" i="10"/>
  <c r="EJ249" i="10"/>
  <c r="EF249" i="10"/>
  <c r="DZ249" i="10"/>
  <c r="DV249" i="10"/>
  <c r="EM249" i="10"/>
  <c r="EG249" i="10"/>
  <c r="DY249" i="10"/>
  <c r="DU249" i="10"/>
  <c r="DS249" i="10"/>
  <c r="EC249" i="10"/>
  <c r="EB249" i="10"/>
  <c r="DW249" i="10"/>
  <c r="DT249" i="10"/>
  <c r="DL249" i="10"/>
  <c r="DN249" i="10"/>
  <c r="DM249" i="10"/>
  <c r="DK249" i="10"/>
  <c r="EY249" i="10"/>
  <c r="DQ249" i="10"/>
  <c r="EX249" i="10"/>
  <c r="EK249" i="10"/>
  <c r="EI249" i="10"/>
  <c r="ED249" i="10"/>
  <c r="DP249" i="10"/>
  <c r="DR249" i="10"/>
  <c r="EL249" i="10"/>
  <c r="DO249" i="10"/>
  <c r="DY44" i="10"/>
  <c r="EL44" i="10"/>
  <c r="EK44" i="10"/>
  <c r="EJ44" i="10"/>
  <c r="EI44" i="10"/>
  <c r="EH44" i="10"/>
  <c r="EA44" i="10"/>
  <c r="DV44" i="10"/>
  <c r="EX44" i="10"/>
  <c r="DQ44" i="10"/>
  <c r="DR44" i="10"/>
  <c r="DP44" i="10"/>
  <c r="DO44" i="10"/>
  <c r="DN44" i="10"/>
  <c r="DM44" i="10"/>
  <c r="ET44" i="10"/>
  <c r="EQ44" i="10"/>
  <c r="EG44" i="10"/>
  <c r="DS44" i="10"/>
  <c r="DL44" i="10"/>
  <c r="DK44" i="10"/>
  <c r="DJ44" i="10"/>
  <c r="DI44" i="10"/>
  <c r="EY44" i="10"/>
  <c r="ES44" i="10"/>
  <c r="EM44" i="10"/>
  <c r="DU44" i="10"/>
  <c r="DT44" i="10"/>
  <c r="DH44" i="10"/>
  <c r="DG44" i="10"/>
  <c r="ER44" i="10"/>
  <c r="EP44" i="10"/>
  <c r="EN44" i="10"/>
  <c r="EW44" i="10"/>
  <c r="EV44" i="10"/>
  <c r="EO44" i="10"/>
  <c r="EF44" i="10"/>
  <c r="EU44" i="10"/>
  <c r="EB44" i="10"/>
  <c r="DW44" i="10"/>
  <c r="EE44" i="10"/>
  <c r="ED44" i="10"/>
  <c r="EC44" i="10"/>
  <c r="DZ44" i="10"/>
  <c r="DX44" i="10"/>
  <c r="DU215" i="10"/>
  <c r="EH215" i="10"/>
  <c r="DR215" i="10"/>
  <c r="EM215" i="10"/>
  <c r="EJ215" i="10"/>
  <c r="EI215" i="10"/>
  <c r="EG215" i="10"/>
  <c r="EF215" i="10"/>
  <c r="DZ215" i="10"/>
  <c r="DW215" i="10"/>
  <c r="EX215" i="10"/>
  <c r="DN215" i="10"/>
  <c r="DJ215" i="10"/>
  <c r="DI215" i="10"/>
  <c r="DH215" i="10"/>
  <c r="EY215" i="10"/>
  <c r="DG215" i="10"/>
  <c r="ER215" i="10"/>
  <c r="EN215" i="10"/>
  <c r="ED215" i="10"/>
  <c r="EB215" i="10"/>
  <c r="DY215" i="10"/>
  <c r="EQ215" i="10"/>
  <c r="EP215" i="10"/>
  <c r="EO215" i="10"/>
  <c r="EL215" i="10"/>
  <c r="DT215" i="10"/>
  <c r="DP215" i="10"/>
  <c r="DK215" i="10"/>
  <c r="EU215" i="10"/>
  <c r="EK215" i="10"/>
  <c r="DX215" i="10"/>
  <c r="DS215" i="10"/>
  <c r="DO215" i="10"/>
  <c r="EE215" i="10"/>
  <c r="DQ215" i="10"/>
  <c r="EV215" i="10"/>
  <c r="ET215" i="10"/>
  <c r="EC215" i="10"/>
  <c r="ES215" i="10"/>
  <c r="DM215" i="10"/>
  <c r="DL215" i="10"/>
  <c r="EA215" i="10"/>
  <c r="EW215" i="10"/>
  <c r="DV215" i="10"/>
  <c r="DT71" i="10"/>
  <c r="EE71" i="10"/>
  <c r="ED71" i="10"/>
  <c r="EC71" i="10"/>
  <c r="EA71" i="10"/>
  <c r="DS71" i="10"/>
  <c r="EV71" i="10"/>
  <c r="DO71" i="10"/>
  <c r="EQ71" i="10"/>
  <c r="DJ71" i="10"/>
  <c r="EB71" i="10"/>
  <c r="DZ71" i="10"/>
  <c r="DY71" i="10"/>
  <c r="DX71" i="10"/>
  <c r="DW71" i="10"/>
  <c r="DM71" i="10"/>
  <c r="EX71" i="10"/>
  <c r="DH71" i="10"/>
  <c r="ER71" i="10"/>
  <c r="DP71" i="10"/>
  <c r="DN71" i="10"/>
  <c r="DL71" i="10"/>
  <c r="DK71" i="10"/>
  <c r="DI71" i="10"/>
  <c r="EY71" i="10"/>
  <c r="ET71" i="10"/>
  <c r="EN71" i="10"/>
  <c r="EM71" i="10"/>
  <c r="EK71" i="10"/>
  <c r="EU71" i="10"/>
  <c r="EL71" i="10"/>
  <c r="EF71" i="10"/>
  <c r="EW71" i="10"/>
  <c r="ES71" i="10"/>
  <c r="EP71" i="10"/>
  <c r="EO71" i="10"/>
  <c r="EJ71" i="10"/>
  <c r="DG71" i="10"/>
  <c r="EI71" i="10"/>
  <c r="DU71" i="10"/>
  <c r="DR71" i="10"/>
  <c r="EH71" i="10"/>
  <c r="EG71" i="10"/>
  <c r="DV71" i="10"/>
  <c r="DQ71" i="10"/>
  <c r="DT29" i="10"/>
  <c r="EY29" i="10"/>
  <c r="DS29" i="10"/>
  <c r="EX29" i="10"/>
  <c r="DR29" i="10"/>
  <c r="EF29" i="10"/>
  <c r="ES29" i="10"/>
  <c r="DI29" i="10"/>
  <c r="ER29" i="10"/>
  <c r="DH29" i="10"/>
  <c r="EQ29" i="10"/>
  <c r="DG29" i="10"/>
  <c r="EP29" i="10"/>
  <c r="EO29" i="10"/>
  <c r="EG29" i="10"/>
  <c r="EC29" i="10"/>
  <c r="DX29" i="10"/>
  <c r="ET29" i="10"/>
  <c r="EN29" i="10"/>
  <c r="EM29" i="10"/>
  <c r="EL29" i="10"/>
  <c r="EK29" i="10"/>
  <c r="DZ29" i="10"/>
  <c r="DU29" i="10"/>
  <c r="EE29" i="10"/>
  <c r="DY29" i="10"/>
  <c r="DP29" i="10"/>
  <c r="DO29" i="10"/>
  <c r="DM29" i="10"/>
  <c r="EH29" i="10"/>
  <c r="DW29" i="10"/>
  <c r="DL29" i="10"/>
  <c r="DK29" i="10"/>
  <c r="DJ29" i="10"/>
  <c r="EV29" i="10"/>
  <c r="EU29" i="10"/>
  <c r="EJ29" i="10"/>
  <c r="DQ29" i="10"/>
  <c r="DN29" i="10"/>
  <c r="EI29" i="10"/>
  <c r="ED29" i="10"/>
  <c r="EB29" i="10"/>
  <c r="EA29" i="10"/>
  <c r="DV29" i="10"/>
  <c r="EW29" i="10"/>
  <c r="EA217" i="10"/>
  <c r="EN217" i="10"/>
  <c r="DH217" i="10"/>
  <c r="EE217" i="10"/>
  <c r="DS217" i="10"/>
  <c r="DR217" i="10"/>
  <c r="DQ217" i="10"/>
  <c r="DP217" i="10"/>
  <c r="EY217" i="10"/>
  <c r="DO217" i="10"/>
  <c r="ES217" i="10"/>
  <c r="DI217" i="10"/>
  <c r="EP217" i="10"/>
  <c r="EH217" i="10"/>
  <c r="DL217" i="10"/>
  <c r="DK217" i="10"/>
  <c r="DJ217" i="10"/>
  <c r="DG217" i="10"/>
  <c r="ET217" i="10"/>
  <c r="EM217" i="10"/>
  <c r="EI217" i="10"/>
  <c r="EF217" i="10"/>
  <c r="EC217" i="10"/>
  <c r="DU217" i="10"/>
  <c r="DT217" i="10"/>
  <c r="DN217" i="10"/>
  <c r="DM217" i="10"/>
  <c r="EU217" i="10"/>
  <c r="EQ217" i="10"/>
  <c r="EL217" i="10"/>
  <c r="EG217" i="10"/>
  <c r="DY217" i="10"/>
  <c r="DW217" i="10"/>
  <c r="EV217" i="10"/>
  <c r="EJ217" i="10"/>
  <c r="ED217" i="10"/>
  <c r="DZ217" i="10"/>
  <c r="EX217" i="10"/>
  <c r="EW217" i="10"/>
  <c r="ER217" i="10"/>
  <c r="EO217" i="10"/>
  <c r="EK217" i="10"/>
  <c r="EB217" i="10"/>
  <c r="DX217" i="10"/>
  <c r="DV217" i="10"/>
  <c r="EV12" i="10"/>
  <c r="DP12" i="10"/>
  <c r="DW12" i="10"/>
  <c r="DV12" i="10"/>
  <c r="DU12" i="10"/>
  <c r="DT12" i="10"/>
  <c r="DS12" i="10"/>
  <c r="EQ12" i="10"/>
  <c r="DJ12" i="10"/>
  <c r="EN12" i="10"/>
  <c r="DG12" i="10"/>
  <c r="EI12" i="10"/>
  <c r="EP12" i="10"/>
  <c r="EO12" i="10"/>
  <c r="EM12" i="10"/>
  <c r="EL12" i="10"/>
  <c r="EK12" i="10"/>
  <c r="EB12" i="10"/>
  <c r="ET12" i="10"/>
  <c r="ES12" i="10"/>
  <c r="ER12" i="10"/>
  <c r="EJ12" i="10"/>
  <c r="EH12" i="10"/>
  <c r="DY12" i="10"/>
  <c r="DO12" i="10"/>
  <c r="DK12" i="10"/>
  <c r="DI12" i="10"/>
  <c r="EY12" i="10"/>
  <c r="EX12" i="10"/>
  <c r="EW12" i="10"/>
  <c r="EU12" i="10"/>
  <c r="EG12" i="10"/>
  <c r="DR12" i="10"/>
  <c r="DL12" i="10"/>
  <c r="EE12" i="10"/>
  <c r="EA12" i="10"/>
  <c r="DX12" i="10"/>
  <c r="DQ12" i="10"/>
  <c r="DN12" i="10"/>
  <c r="ED12" i="10"/>
  <c r="EC12" i="10"/>
  <c r="DZ12" i="10"/>
  <c r="EF12" i="10"/>
  <c r="DH12" i="10"/>
  <c r="DM12" i="10"/>
  <c r="EO60" i="10"/>
  <c r="DI60" i="10"/>
  <c r="EN60" i="10"/>
  <c r="DH60" i="10"/>
  <c r="EL60" i="10"/>
  <c r="EE60" i="10"/>
  <c r="DP60" i="10"/>
  <c r="EY60" i="10"/>
  <c r="DO60" i="10"/>
  <c r="EX60" i="10"/>
  <c r="DN60" i="10"/>
  <c r="EW60" i="10"/>
  <c r="DM60" i="10"/>
  <c r="EV60" i="10"/>
  <c r="DL60" i="10"/>
  <c r="EM60" i="10"/>
  <c r="EH60" i="10"/>
  <c r="EB60" i="10"/>
  <c r="EQ60" i="10"/>
  <c r="EP60" i="10"/>
  <c r="EK60" i="10"/>
  <c r="EJ60" i="10"/>
  <c r="EI60" i="10"/>
  <c r="DX60" i="10"/>
  <c r="DU60" i="10"/>
  <c r="DQ60" i="10"/>
  <c r="DK60" i="10"/>
  <c r="EU60" i="10"/>
  <c r="ET60" i="10"/>
  <c r="ES60" i="10"/>
  <c r="ER60" i="10"/>
  <c r="EG60" i="10"/>
  <c r="DV60" i="10"/>
  <c r="DJ60" i="10"/>
  <c r="EF60" i="10"/>
  <c r="ED60" i="10"/>
  <c r="EC60" i="10"/>
  <c r="DG60" i="10"/>
  <c r="DR60" i="10"/>
  <c r="EA60" i="10"/>
  <c r="DW60" i="10"/>
  <c r="DS60" i="10"/>
  <c r="DY60" i="10"/>
  <c r="DZ60" i="10"/>
  <c r="DT60" i="10"/>
  <c r="EX230" i="10"/>
  <c r="DR230" i="10"/>
  <c r="EE230" i="10"/>
  <c r="DZ230" i="10"/>
  <c r="DQ230" i="10"/>
  <c r="EA230" i="10"/>
  <c r="DX230" i="10"/>
  <c r="DW230" i="10"/>
  <c r="ES230" i="10"/>
  <c r="ER230" i="10"/>
  <c r="EQ230" i="10"/>
  <c r="EP230" i="10"/>
  <c r="EJ230" i="10"/>
  <c r="EG230" i="10"/>
  <c r="EB230" i="10"/>
  <c r="DU230" i="10"/>
  <c r="DM230" i="10"/>
  <c r="DL230" i="10"/>
  <c r="DK230" i="10"/>
  <c r="DJ230" i="10"/>
  <c r="EU230" i="10"/>
  <c r="EM230" i="10"/>
  <c r="EK230" i="10"/>
  <c r="EH230" i="10"/>
  <c r="EV230" i="10"/>
  <c r="ET230" i="10"/>
  <c r="EO230" i="10"/>
  <c r="EN230" i="10"/>
  <c r="DV230" i="10"/>
  <c r="DP230" i="10"/>
  <c r="DH230" i="10"/>
  <c r="EY230" i="10"/>
  <c r="EW230" i="10"/>
  <c r="EL230" i="10"/>
  <c r="EI230" i="10"/>
  <c r="EF230" i="10"/>
  <c r="DN230" i="10"/>
  <c r="DT230" i="10"/>
  <c r="DG230" i="10"/>
  <c r="DY230" i="10"/>
  <c r="DS230" i="10"/>
  <c r="DO230" i="10"/>
  <c r="DI230" i="10"/>
  <c r="ED230" i="10"/>
  <c r="EC230" i="10"/>
  <c r="ER45" i="10"/>
  <c r="DL45" i="10"/>
  <c r="DZ45" i="10"/>
  <c r="DY45" i="10"/>
  <c r="DX45" i="10"/>
  <c r="DW45" i="10"/>
  <c r="DV45" i="10"/>
  <c r="EV45" i="10"/>
  <c r="DO45" i="10"/>
  <c r="EQ45" i="10"/>
  <c r="DJ45" i="10"/>
  <c r="EL45" i="10"/>
  <c r="DQ45" i="10"/>
  <c r="DP45" i="10"/>
  <c r="DN45" i="10"/>
  <c r="DM45" i="10"/>
  <c r="DK45" i="10"/>
  <c r="ES45" i="10"/>
  <c r="EN45" i="10"/>
  <c r="EH45" i="10"/>
  <c r="EE45" i="10"/>
  <c r="ED45" i="10"/>
  <c r="EC45" i="10"/>
  <c r="EB45" i="10"/>
  <c r="EA45" i="10"/>
  <c r="EW45" i="10"/>
  <c r="EU45" i="10"/>
  <c r="ET45" i="10"/>
  <c r="EP45" i="10"/>
  <c r="EO45" i="10"/>
  <c r="EM45" i="10"/>
  <c r="DS45" i="10"/>
  <c r="DG45" i="10"/>
  <c r="EI45" i="10"/>
  <c r="DT45" i="10"/>
  <c r="EY45" i="10"/>
  <c r="EX45" i="10"/>
  <c r="DH45" i="10"/>
  <c r="EJ45" i="10"/>
  <c r="EG45" i="10"/>
  <c r="EF45" i="10"/>
  <c r="DU45" i="10"/>
  <c r="DR45" i="10"/>
  <c r="DI45" i="10"/>
  <c r="EK45" i="10"/>
  <c r="EN185" i="10"/>
  <c r="DH185" i="10"/>
  <c r="EV185" i="10"/>
  <c r="DO185" i="10"/>
  <c r="EU185" i="10"/>
  <c r="DN185" i="10"/>
  <c r="ET185" i="10"/>
  <c r="DM185" i="10"/>
  <c r="ES185" i="10"/>
  <c r="DL185" i="10"/>
  <c r="EL185" i="10"/>
  <c r="EI185" i="10"/>
  <c r="DY185" i="10"/>
  <c r="DX185" i="10"/>
  <c r="DW185" i="10"/>
  <c r="DV185" i="10"/>
  <c r="DP185" i="10"/>
  <c r="EY185" i="10"/>
  <c r="DG185" i="10"/>
  <c r="EO185" i="10"/>
  <c r="EC185" i="10"/>
  <c r="EB185" i="10"/>
  <c r="EA185" i="10"/>
  <c r="DZ185" i="10"/>
  <c r="DJ185" i="10"/>
  <c r="EX185" i="10"/>
  <c r="EG185" i="10"/>
  <c r="EF185" i="10"/>
  <c r="EE185" i="10"/>
  <c r="ED185" i="10"/>
  <c r="DI185" i="10"/>
  <c r="EP185" i="10"/>
  <c r="EM185" i="10"/>
  <c r="EJ185" i="10"/>
  <c r="DQ185" i="10"/>
  <c r="DK185" i="10"/>
  <c r="EW185" i="10"/>
  <c r="ER185" i="10"/>
  <c r="EK185" i="10"/>
  <c r="EQ185" i="10"/>
  <c r="EH185" i="10"/>
  <c r="DU185" i="10"/>
  <c r="DS185" i="10"/>
  <c r="DR185" i="10"/>
  <c r="DT185" i="10"/>
  <c r="EC56" i="10"/>
  <c r="EB56" i="10"/>
  <c r="DZ56" i="10"/>
  <c r="EY56" i="10"/>
  <c r="DS56" i="10"/>
  <c r="EV56" i="10"/>
  <c r="DL56" i="10"/>
  <c r="EU56" i="10"/>
  <c r="DK56" i="10"/>
  <c r="ET56" i="10"/>
  <c r="DJ56" i="10"/>
  <c r="ES56" i="10"/>
  <c r="DI56" i="10"/>
  <c r="ER56" i="10"/>
  <c r="DH56" i="10"/>
  <c r="EK56" i="10"/>
  <c r="EG56" i="10"/>
  <c r="DY56" i="10"/>
  <c r="EA56" i="10"/>
  <c r="DX56" i="10"/>
  <c r="DW56" i="10"/>
  <c r="DV56" i="10"/>
  <c r="DU56" i="10"/>
  <c r="DG56" i="10"/>
  <c r="EQ56" i="10"/>
  <c r="ED56" i="10"/>
  <c r="DT56" i="10"/>
  <c r="DR56" i="10"/>
  <c r="DQ56" i="10"/>
  <c r="DP56" i="10"/>
  <c r="EW56" i="10"/>
  <c r="EP56" i="10"/>
  <c r="EO56" i="10"/>
  <c r="EN56" i="10"/>
  <c r="EM56" i="10"/>
  <c r="EL56" i="10"/>
  <c r="DM56" i="10"/>
  <c r="DN56" i="10"/>
  <c r="EJ56" i="10"/>
  <c r="EE56" i="10"/>
  <c r="EX56" i="10"/>
  <c r="EI56" i="10"/>
  <c r="EH56" i="10"/>
  <c r="EF56" i="10"/>
  <c r="DO56" i="10"/>
  <c r="EJ13" i="10"/>
  <c r="EI13" i="10"/>
  <c r="EV13" i="10"/>
  <c r="DP13" i="10"/>
  <c r="ET13" i="10"/>
  <c r="DK13" i="10"/>
  <c r="ES13" i="10"/>
  <c r="DJ13" i="10"/>
  <c r="ER13" i="10"/>
  <c r="DI13" i="10"/>
  <c r="EQ13" i="10"/>
  <c r="DH13" i="10"/>
  <c r="EP13" i="10"/>
  <c r="DG13" i="10"/>
  <c r="EF13" i="10"/>
  <c r="EC13" i="10"/>
  <c r="DX13" i="10"/>
  <c r="EU13" i="10"/>
  <c r="EO13" i="10"/>
  <c r="EN13" i="10"/>
  <c r="EM13" i="10"/>
  <c r="EL13" i="10"/>
  <c r="DZ13" i="10"/>
  <c r="EE13" i="10"/>
  <c r="DY13" i="10"/>
  <c r="DT13" i="10"/>
  <c r="DS13" i="10"/>
  <c r="DQ13" i="10"/>
  <c r="EX13" i="10"/>
  <c r="EG13" i="10"/>
  <c r="ED13" i="10"/>
  <c r="EA13" i="10"/>
  <c r="DW13" i="10"/>
  <c r="EY13" i="10"/>
  <c r="DN13" i="10"/>
  <c r="EH13" i="10"/>
  <c r="DR13" i="10"/>
  <c r="DL13" i="10"/>
  <c r="DV13" i="10"/>
  <c r="EW13" i="10"/>
  <c r="EK13" i="10"/>
  <c r="EB13" i="10"/>
  <c r="DU13" i="10"/>
  <c r="DO13" i="10"/>
  <c r="DM13" i="10"/>
  <c r="EN153" i="10"/>
  <c r="DH153" i="10"/>
  <c r="EH153" i="10"/>
  <c r="EO153" i="10"/>
  <c r="EM153" i="10"/>
  <c r="EL153" i="10"/>
  <c r="EK153" i="10"/>
  <c r="ED153" i="10"/>
  <c r="DZ153" i="10"/>
  <c r="EJ153" i="10"/>
  <c r="EI153" i="10"/>
  <c r="EG153" i="10"/>
  <c r="EF153" i="10"/>
  <c r="EE153" i="10"/>
  <c r="DV153" i="10"/>
  <c r="DS153" i="10"/>
  <c r="DO153" i="10"/>
  <c r="DM153" i="10"/>
  <c r="DK153" i="10"/>
  <c r="EY153" i="10"/>
  <c r="ER153" i="10"/>
  <c r="EB153" i="10"/>
  <c r="DW153" i="10"/>
  <c r="DU153" i="10"/>
  <c r="DR153" i="10"/>
  <c r="DL153" i="10"/>
  <c r="DJ153" i="10"/>
  <c r="DI153" i="10"/>
  <c r="DG153" i="10"/>
  <c r="EU153" i="10"/>
  <c r="ET153" i="10"/>
  <c r="EQ153" i="10"/>
  <c r="EV153" i="10"/>
  <c r="EA153" i="10"/>
  <c r="DY153" i="10"/>
  <c r="DT153" i="10"/>
  <c r="EX153" i="10"/>
  <c r="EW153" i="10"/>
  <c r="ES153" i="10"/>
  <c r="DQ153" i="10"/>
  <c r="EC153" i="10"/>
  <c r="EP153" i="10"/>
  <c r="DN153" i="10"/>
  <c r="DX153" i="10"/>
  <c r="DP153" i="10"/>
  <c r="EL109" i="10"/>
  <c r="EK109" i="10"/>
  <c r="EJ109" i="10"/>
  <c r="EI109" i="10"/>
  <c r="EB109" i="10"/>
  <c r="DY109" i="10"/>
  <c r="EY109" i="10"/>
  <c r="DS109" i="10"/>
  <c r="DN109" i="10"/>
  <c r="DM109" i="10"/>
  <c r="DL109" i="10"/>
  <c r="EX109" i="10"/>
  <c r="DK109" i="10"/>
  <c r="EW109" i="10"/>
  <c r="DJ109" i="10"/>
  <c r="EP109" i="10"/>
  <c r="EH109" i="10"/>
  <c r="EC109" i="10"/>
  <c r="DW109" i="10"/>
  <c r="DV109" i="10"/>
  <c r="DU109" i="10"/>
  <c r="DT109" i="10"/>
  <c r="DR109" i="10"/>
  <c r="ES109" i="10"/>
  <c r="ER109" i="10"/>
  <c r="EO109" i="10"/>
  <c r="EU109" i="10"/>
  <c r="EN109" i="10"/>
  <c r="EE109" i="10"/>
  <c r="ED109" i="10"/>
  <c r="DZ109" i="10"/>
  <c r="EA109" i="10"/>
  <c r="DX109" i="10"/>
  <c r="DQ109" i="10"/>
  <c r="DP109" i="10"/>
  <c r="DO109" i="10"/>
  <c r="DI109" i="10"/>
  <c r="DH109" i="10"/>
  <c r="DG109" i="10"/>
  <c r="EQ109" i="10"/>
  <c r="EM109" i="10"/>
  <c r="EG109" i="10"/>
  <c r="EF109" i="10"/>
  <c r="EV109" i="10"/>
  <c r="ET109" i="10"/>
  <c r="DX169" i="10"/>
  <c r="EO169" i="10"/>
  <c r="DH169" i="10"/>
  <c r="EM169" i="10"/>
  <c r="EF169" i="10"/>
  <c r="EG169" i="10"/>
  <c r="EE169" i="10"/>
  <c r="ED169" i="10"/>
  <c r="EC169" i="10"/>
  <c r="DV169" i="10"/>
  <c r="DR169" i="10"/>
  <c r="EV169" i="10"/>
  <c r="DL169" i="10"/>
  <c r="EN169" i="10"/>
  <c r="EL169" i="10"/>
  <c r="EK169" i="10"/>
  <c r="DK169" i="10"/>
  <c r="EY169" i="10"/>
  <c r="EX169" i="10"/>
  <c r="EP169" i="10"/>
  <c r="EH169" i="10"/>
  <c r="DY169" i="10"/>
  <c r="DU169" i="10"/>
  <c r="DS169" i="10"/>
  <c r="DW169" i="10"/>
  <c r="DT169" i="10"/>
  <c r="DQ169" i="10"/>
  <c r="DP169" i="10"/>
  <c r="DO169" i="10"/>
  <c r="EU169" i="10"/>
  <c r="ET169" i="10"/>
  <c r="EJ169" i="10"/>
  <c r="DZ169" i="10"/>
  <c r="DN169" i="10"/>
  <c r="DJ169" i="10"/>
  <c r="EW169" i="10"/>
  <c r="EI169" i="10"/>
  <c r="EB169" i="10"/>
  <c r="DM169" i="10"/>
  <c r="ES169" i="10"/>
  <c r="ER169" i="10"/>
  <c r="EQ169" i="10"/>
  <c r="EA169" i="10"/>
  <c r="DG169" i="10"/>
  <c r="DI169" i="10"/>
  <c r="EA26" i="10"/>
  <c r="DZ26" i="10"/>
  <c r="DY26" i="10"/>
  <c r="EM26" i="10"/>
  <c r="DG26" i="10"/>
  <c r="EI26" i="10"/>
  <c r="EH26" i="10"/>
  <c r="EG26" i="10"/>
  <c r="EF26" i="10"/>
  <c r="EE26" i="10"/>
  <c r="DT26" i="10"/>
  <c r="DQ26" i="10"/>
  <c r="EV26" i="10"/>
  <c r="DL26" i="10"/>
  <c r="EJ26" i="10"/>
  <c r="ED26" i="10"/>
  <c r="EC26" i="10"/>
  <c r="EB26" i="10"/>
  <c r="DX26" i="10"/>
  <c r="DN26" i="10"/>
  <c r="DI26" i="10"/>
  <c r="ES26" i="10"/>
  <c r="EO26" i="10"/>
  <c r="DW26" i="10"/>
  <c r="DV26" i="10"/>
  <c r="DS26" i="10"/>
  <c r="DR26" i="10"/>
  <c r="DP26" i="10"/>
  <c r="DO26" i="10"/>
  <c r="DM26" i="10"/>
  <c r="DK26" i="10"/>
  <c r="EY26" i="10"/>
  <c r="EX26" i="10"/>
  <c r="EU26" i="10"/>
  <c r="ET26" i="10"/>
  <c r="ER26" i="10"/>
  <c r="EQ26" i="10"/>
  <c r="EP26" i="10"/>
  <c r="EL26" i="10"/>
  <c r="DJ26" i="10"/>
  <c r="DU26" i="10"/>
  <c r="EK26" i="10"/>
  <c r="DH26" i="10"/>
  <c r="EW26" i="10"/>
  <c r="EN26" i="10"/>
  <c r="DT259" i="10"/>
  <c r="EA259" i="10"/>
  <c r="EN259" i="10"/>
  <c r="DG259" i="10"/>
  <c r="DS259" i="10"/>
  <c r="DQ259" i="10"/>
  <c r="DP259" i="10"/>
  <c r="EY259" i="10"/>
  <c r="DO259" i="10"/>
  <c r="EW259" i="10"/>
  <c r="DM259" i="10"/>
  <c r="ED259" i="10"/>
  <c r="EC259" i="10"/>
  <c r="EB259" i="10"/>
  <c r="DZ259" i="10"/>
  <c r="DU259" i="10"/>
  <c r="DL259" i="10"/>
  <c r="EX259" i="10"/>
  <c r="EV259" i="10"/>
  <c r="EU259" i="10"/>
  <c r="EO259" i="10"/>
  <c r="EK259" i="10"/>
  <c r="ET259" i="10"/>
  <c r="ES259" i="10"/>
  <c r="EJ259" i="10"/>
  <c r="EG259" i="10"/>
  <c r="DX259" i="10"/>
  <c r="DR259" i="10"/>
  <c r="DJ259" i="10"/>
  <c r="EP259" i="10"/>
  <c r="EL259" i="10"/>
  <c r="EH259" i="10"/>
  <c r="DK259" i="10"/>
  <c r="DI259" i="10"/>
  <c r="DH259" i="10"/>
  <c r="ER259" i="10"/>
  <c r="EQ259" i="10"/>
  <c r="EM259" i="10"/>
  <c r="DN259" i="10"/>
  <c r="DY259" i="10"/>
  <c r="EI259" i="10"/>
  <c r="EF259" i="10"/>
  <c r="DW259" i="10"/>
  <c r="EE259" i="10"/>
  <c r="DV259" i="10"/>
  <c r="EN121" i="10"/>
  <c r="DH121" i="10"/>
  <c r="DV121" i="10"/>
  <c r="EP121" i="10"/>
  <c r="DG121" i="10"/>
  <c r="EH121" i="10"/>
  <c r="EG121" i="10"/>
  <c r="EF121" i="10"/>
  <c r="EE121" i="10"/>
  <c r="DX121" i="10"/>
  <c r="DT121" i="10"/>
  <c r="EW121" i="10"/>
  <c r="DN121" i="10"/>
  <c r="EC121" i="10"/>
  <c r="EB121" i="10"/>
  <c r="EA121" i="10"/>
  <c r="DZ121" i="10"/>
  <c r="DY121" i="10"/>
  <c r="DO121" i="10"/>
  <c r="DJ121" i="10"/>
  <c r="EV121" i="10"/>
  <c r="EU121" i="10"/>
  <c r="EY121" i="10"/>
  <c r="EX121" i="10"/>
  <c r="EL121" i="10"/>
  <c r="ED121" i="10"/>
  <c r="DR121" i="10"/>
  <c r="DQ121" i="10"/>
  <c r="DM121" i="10"/>
  <c r="EO121" i="10"/>
  <c r="EM121" i="10"/>
  <c r="EK121" i="10"/>
  <c r="EJ121" i="10"/>
  <c r="EI121" i="10"/>
  <c r="ET121" i="10"/>
  <c r="DW121" i="10"/>
  <c r="DL121" i="10"/>
  <c r="DK121" i="10"/>
  <c r="DP121" i="10"/>
  <c r="DI121" i="10"/>
  <c r="ER121" i="10"/>
  <c r="DU121" i="10"/>
  <c r="DS121" i="10"/>
  <c r="ES121" i="10"/>
  <c r="EQ121" i="10"/>
  <c r="EE267" i="10"/>
  <c r="ER267" i="10"/>
  <c r="DL267" i="10"/>
  <c r="EM267" i="10"/>
  <c r="DS267" i="10"/>
  <c r="DU267" i="10"/>
  <c r="EL267" i="10"/>
  <c r="DX267" i="10"/>
  <c r="EK267" i="10"/>
  <c r="EJ267" i="10"/>
  <c r="EI267" i="10"/>
  <c r="EH267" i="10"/>
  <c r="EG267" i="10"/>
  <c r="DQ267" i="10"/>
  <c r="DP267" i="10"/>
  <c r="DO267" i="10"/>
  <c r="DN267" i="10"/>
  <c r="DH267" i="10"/>
  <c r="EX267" i="10"/>
  <c r="DV267" i="10"/>
  <c r="DT267" i="10"/>
  <c r="DR267" i="10"/>
  <c r="DM267" i="10"/>
  <c r="EC267" i="10"/>
  <c r="EB267" i="10"/>
  <c r="EA267" i="10"/>
  <c r="DZ267" i="10"/>
  <c r="DG267" i="10"/>
  <c r="EV267" i="10"/>
  <c r="DI267" i="10"/>
  <c r="EY267" i="10"/>
  <c r="EU267" i="10"/>
  <c r="ES267" i="10"/>
  <c r="EO267" i="10"/>
  <c r="EN267" i="10"/>
  <c r="EF267" i="10"/>
  <c r="ED267" i="10"/>
  <c r="EQ267" i="10"/>
  <c r="DK267" i="10"/>
  <c r="EP267" i="10"/>
  <c r="DY267" i="10"/>
  <c r="DW267" i="10"/>
  <c r="DJ267" i="10"/>
  <c r="EW267" i="10"/>
  <c r="ET267" i="10"/>
  <c r="ET155" i="10"/>
  <c r="DN155" i="10"/>
  <c r="EQ155" i="10"/>
  <c r="DJ155" i="10"/>
  <c r="DS155" i="10"/>
  <c r="DR155" i="10"/>
  <c r="EY155" i="10"/>
  <c r="DQ155" i="10"/>
  <c r="EX155" i="10"/>
  <c r="DP155" i="10"/>
  <c r="EP155" i="10"/>
  <c r="DH155" i="10"/>
  <c r="EL155" i="10"/>
  <c r="EE155" i="10"/>
  <c r="EC155" i="10"/>
  <c r="EH155" i="10"/>
  <c r="EG155" i="10"/>
  <c r="EF155" i="10"/>
  <c r="ED155" i="10"/>
  <c r="DV155" i="10"/>
  <c r="DO155" i="10"/>
  <c r="DI155" i="10"/>
  <c r="EW155" i="10"/>
  <c r="EB155" i="10"/>
  <c r="EA155" i="10"/>
  <c r="DZ155" i="10"/>
  <c r="DY155" i="10"/>
  <c r="DX155" i="10"/>
  <c r="DG155" i="10"/>
  <c r="EV155" i="10"/>
  <c r="ER155" i="10"/>
  <c r="EO155" i="10"/>
  <c r="EM155" i="10"/>
  <c r="DT155" i="10"/>
  <c r="DM155" i="10"/>
  <c r="DL155" i="10"/>
  <c r="DK155" i="10"/>
  <c r="EU155" i="10"/>
  <c r="ES155" i="10"/>
  <c r="EK155" i="10"/>
  <c r="EN155" i="10"/>
  <c r="EJ155" i="10"/>
  <c r="DU155" i="10"/>
  <c r="DW155" i="10"/>
  <c r="EI155" i="10"/>
  <c r="AW6" i="10"/>
  <c r="AW8" i="10" s="1"/>
  <c r="AK8" i="10"/>
  <c r="EO243" i="10"/>
  <c r="DI243" i="10"/>
  <c r="DV243" i="10"/>
  <c r="DU243" i="10"/>
  <c r="EF243" i="10"/>
  <c r="DX243" i="10"/>
  <c r="DS243" i="10"/>
  <c r="EP243" i="10"/>
  <c r="EN243" i="10"/>
  <c r="EM243" i="10"/>
  <c r="EL243" i="10"/>
  <c r="EE243" i="10"/>
  <c r="EB243" i="10"/>
  <c r="EG243" i="10"/>
  <c r="ED243" i="10"/>
  <c r="EC243" i="10"/>
  <c r="EA243" i="10"/>
  <c r="DQ243" i="10"/>
  <c r="DN243" i="10"/>
  <c r="DJ243" i="10"/>
  <c r="EY243" i="10"/>
  <c r="DK243" i="10"/>
  <c r="DH243" i="10"/>
  <c r="DG243" i="10"/>
  <c r="EV243" i="10"/>
  <c r="ER243" i="10"/>
  <c r="EK243" i="10"/>
  <c r="EI243" i="10"/>
  <c r="EH243" i="10"/>
  <c r="DZ243" i="10"/>
  <c r="DY243" i="10"/>
  <c r="DW243" i="10"/>
  <c r="EJ243" i="10"/>
  <c r="DT243" i="10"/>
  <c r="DR243" i="10"/>
  <c r="DP243" i="10"/>
  <c r="DO243" i="10"/>
  <c r="EX243" i="10"/>
  <c r="EU243" i="10"/>
  <c r="EW243" i="10"/>
  <c r="DM243" i="10"/>
  <c r="EQ243" i="10"/>
  <c r="DL243" i="10"/>
  <c r="ET243" i="10"/>
  <c r="ES243" i="10"/>
  <c r="EP89" i="10"/>
  <c r="DJ89" i="10"/>
  <c r="EO89" i="10"/>
  <c r="DI89" i="10"/>
  <c r="EN89" i="10"/>
  <c r="DH89" i="10"/>
  <c r="EM89" i="10"/>
  <c r="DG89" i="10"/>
  <c r="EF89" i="10"/>
  <c r="EC89" i="10"/>
  <c r="DW89" i="10"/>
  <c r="DN89" i="10"/>
  <c r="DM89" i="10"/>
  <c r="EY89" i="10"/>
  <c r="DL89" i="10"/>
  <c r="EX89" i="10"/>
  <c r="DK89" i="10"/>
  <c r="EW89" i="10"/>
  <c r="EL89" i="10"/>
  <c r="EH89" i="10"/>
  <c r="EA89" i="10"/>
  <c r="EV89" i="10"/>
  <c r="EU89" i="10"/>
  <c r="ET89" i="10"/>
  <c r="ES89" i="10"/>
  <c r="ER89" i="10"/>
  <c r="ED89" i="10"/>
  <c r="DX89" i="10"/>
  <c r="DS89" i="10"/>
  <c r="DR89" i="10"/>
  <c r="DP89" i="10"/>
  <c r="DY89" i="10"/>
  <c r="DV89" i="10"/>
  <c r="DU89" i="10"/>
  <c r="DT89" i="10"/>
  <c r="DQ89" i="10"/>
  <c r="EK89" i="10"/>
  <c r="EJ89" i="10"/>
  <c r="EB89" i="10"/>
  <c r="DZ89" i="10"/>
  <c r="EE89" i="10"/>
  <c r="EQ89" i="10"/>
  <c r="EI89" i="10"/>
  <c r="EG89" i="10"/>
  <c r="DO89" i="10"/>
  <c r="EW235" i="10"/>
  <c r="DQ235" i="10"/>
  <c r="ED235" i="10"/>
  <c r="EN235" i="10"/>
  <c r="EM235" i="10"/>
  <c r="DT235" i="10"/>
  <c r="DY235" i="10"/>
  <c r="DX235" i="10"/>
  <c r="DW235" i="10"/>
  <c r="DV235" i="10"/>
  <c r="DN235" i="10"/>
  <c r="EE235" i="10"/>
  <c r="EC235" i="10"/>
  <c r="EB235" i="10"/>
  <c r="EA235" i="10"/>
  <c r="DO235" i="10"/>
  <c r="DK235" i="10"/>
  <c r="EX235" i="10"/>
  <c r="DG235" i="10"/>
  <c r="ET235" i="10"/>
  <c r="DH235" i="10"/>
  <c r="EV235" i="10"/>
  <c r="EQ235" i="10"/>
  <c r="EK235" i="10"/>
  <c r="EI235" i="10"/>
  <c r="EG235" i="10"/>
  <c r="EY235" i="10"/>
  <c r="EU235" i="10"/>
  <c r="ES235" i="10"/>
  <c r="EF235" i="10"/>
  <c r="DS235" i="10"/>
  <c r="DL235" i="10"/>
  <c r="DI235" i="10"/>
  <c r="EL235" i="10"/>
  <c r="EJ235" i="10"/>
  <c r="EH235" i="10"/>
  <c r="DZ235" i="10"/>
  <c r="DU235" i="10"/>
  <c r="DJ235" i="10"/>
  <c r="DP235" i="10"/>
  <c r="EP235" i="10"/>
  <c r="EO235" i="10"/>
  <c r="DM235" i="10"/>
  <c r="DR235" i="10"/>
  <c r="ER235" i="10"/>
  <c r="DU64" i="10"/>
  <c r="DT64" i="10"/>
  <c r="EX64" i="10"/>
  <c r="DR64" i="10"/>
  <c r="EQ64" i="10"/>
  <c r="DK64" i="10"/>
  <c r="EM64" i="10"/>
  <c r="EH64" i="10"/>
  <c r="DW64" i="10"/>
  <c r="DV64" i="10"/>
  <c r="DS64" i="10"/>
  <c r="DQ64" i="10"/>
  <c r="DP64" i="10"/>
  <c r="EU64" i="10"/>
  <c r="DH64" i="10"/>
  <c r="EP64" i="10"/>
  <c r="EJ64" i="10"/>
  <c r="DJ64" i="10"/>
  <c r="DI64" i="10"/>
  <c r="DG64" i="10"/>
  <c r="ER64" i="10"/>
  <c r="EL64" i="10"/>
  <c r="EF64" i="10"/>
  <c r="EE64" i="10"/>
  <c r="EV64" i="10"/>
  <c r="EN64" i="10"/>
  <c r="EC64" i="10"/>
  <c r="EW64" i="10"/>
  <c r="ET64" i="10"/>
  <c r="ES64" i="10"/>
  <c r="EO64" i="10"/>
  <c r="EK64" i="10"/>
  <c r="DX64" i="10"/>
  <c r="DL64" i="10"/>
  <c r="ED64" i="10"/>
  <c r="DY64" i="10"/>
  <c r="DO64" i="10"/>
  <c r="DM64" i="10"/>
  <c r="EY64" i="10"/>
  <c r="EG64" i="10"/>
  <c r="EB64" i="10"/>
  <c r="EA64" i="10"/>
  <c r="EI64" i="10"/>
  <c r="DN64" i="10"/>
  <c r="DZ64" i="10"/>
  <c r="DY265" i="10"/>
  <c r="EL265" i="10"/>
  <c r="EA265" i="10"/>
  <c r="EO265" i="10"/>
  <c r="DG265" i="10"/>
  <c r="EK265" i="10"/>
  <c r="EI265" i="10"/>
  <c r="EV265" i="10"/>
  <c r="DJ265" i="10"/>
  <c r="EU265" i="10"/>
  <c r="DI265" i="10"/>
  <c r="ET265" i="10"/>
  <c r="DH265" i="10"/>
  <c r="ES265" i="10"/>
  <c r="ER265" i="10"/>
  <c r="DP265" i="10"/>
  <c r="DO265" i="10"/>
  <c r="DN265" i="10"/>
  <c r="DM265" i="10"/>
  <c r="EY265" i="10"/>
  <c r="EQ265" i="10"/>
  <c r="EX265" i="10"/>
  <c r="EW265" i="10"/>
  <c r="EP265" i="10"/>
  <c r="EF265" i="10"/>
  <c r="EC265" i="10"/>
  <c r="EN265" i="10"/>
  <c r="EM265" i="10"/>
  <c r="EJ265" i="10"/>
  <c r="EH265" i="10"/>
  <c r="DX265" i="10"/>
  <c r="DU265" i="10"/>
  <c r="DQ265" i="10"/>
  <c r="EG265" i="10"/>
  <c r="ED265" i="10"/>
  <c r="EB265" i="10"/>
  <c r="DT265" i="10"/>
  <c r="DL265" i="10"/>
  <c r="EE265" i="10"/>
  <c r="DZ265" i="10"/>
  <c r="DW265" i="10"/>
  <c r="DS265" i="10"/>
  <c r="DR265" i="10"/>
  <c r="DK265" i="10"/>
  <c r="DV265" i="10"/>
  <c r="DY227" i="10"/>
  <c r="EL227" i="10"/>
  <c r="DX227" i="10"/>
  <c r="EU227" i="10"/>
  <c r="DL227" i="10"/>
  <c r="DP227" i="10"/>
  <c r="ET227" i="10"/>
  <c r="DI227" i="10"/>
  <c r="DW227" i="10"/>
  <c r="DV227" i="10"/>
  <c r="DU227" i="10"/>
  <c r="DT227" i="10"/>
  <c r="EY227" i="10"/>
  <c r="DM227" i="10"/>
  <c r="EV227" i="10"/>
  <c r="DH227" i="10"/>
  <c r="EM227" i="10"/>
  <c r="ES227" i="10"/>
  <c r="ER227" i="10"/>
  <c r="EQ227" i="10"/>
  <c r="EP227" i="10"/>
  <c r="EH227" i="10"/>
  <c r="ED227" i="10"/>
  <c r="DZ227" i="10"/>
  <c r="DR227" i="10"/>
  <c r="DO227" i="10"/>
  <c r="EK227" i="10"/>
  <c r="EJ227" i="10"/>
  <c r="EI227" i="10"/>
  <c r="EG227" i="10"/>
  <c r="DQ227" i="10"/>
  <c r="DJ227" i="10"/>
  <c r="EO227" i="10"/>
  <c r="EC227" i="10"/>
  <c r="EA227" i="10"/>
  <c r="DN227" i="10"/>
  <c r="EX227" i="10"/>
  <c r="DK227" i="10"/>
  <c r="EW227" i="10"/>
  <c r="EE227" i="10"/>
  <c r="DS227" i="10"/>
  <c r="EF227" i="10"/>
  <c r="DG227" i="10"/>
  <c r="EN227" i="10"/>
  <c r="EB227" i="10"/>
  <c r="EV57" i="10"/>
  <c r="DP57" i="10"/>
  <c r="EU57" i="10"/>
  <c r="DO57" i="10"/>
  <c r="ES57" i="10"/>
  <c r="DM57" i="10"/>
  <c r="EL57" i="10"/>
  <c r="EN57" i="10"/>
  <c r="EM57" i="10"/>
  <c r="EK57" i="10"/>
  <c r="EJ57" i="10"/>
  <c r="EI57" i="10"/>
  <c r="EB57" i="10"/>
  <c r="DX57" i="10"/>
  <c r="DS57" i="10"/>
  <c r="ED57" i="10"/>
  <c r="EC57" i="10"/>
  <c r="EA57" i="10"/>
  <c r="DZ57" i="10"/>
  <c r="DY57" i="10"/>
  <c r="DL57" i="10"/>
  <c r="DI57" i="10"/>
  <c r="EY57" i="10"/>
  <c r="ET57" i="10"/>
  <c r="ER57" i="10"/>
  <c r="EQ57" i="10"/>
  <c r="EP57" i="10"/>
  <c r="EO57" i="10"/>
  <c r="DT57" i="10"/>
  <c r="DK57" i="10"/>
  <c r="EX57" i="10"/>
  <c r="EF57" i="10"/>
  <c r="EE57" i="10"/>
  <c r="DV57" i="10"/>
  <c r="DQ57" i="10"/>
  <c r="DN57" i="10"/>
  <c r="DJ57" i="10"/>
  <c r="DH57" i="10"/>
  <c r="DG57" i="10"/>
  <c r="DR57" i="10"/>
  <c r="EH57" i="10"/>
  <c r="EG57" i="10"/>
  <c r="DW57" i="10"/>
  <c r="DU57" i="10"/>
  <c r="EW57" i="10"/>
  <c r="EA34" i="10"/>
  <c r="DY34" i="10"/>
  <c r="DX34" i="10"/>
  <c r="DW34" i="10"/>
  <c r="DV34" i="10"/>
  <c r="EL34" i="10"/>
  <c r="DN34" i="10"/>
  <c r="EY34" i="10"/>
  <c r="DM34" i="10"/>
  <c r="EX34" i="10"/>
  <c r="DL34" i="10"/>
  <c r="EW34" i="10"/>
  <c r="DK34" i="10"/>
  <c r="EV34" i="10"/>
  <c r="DJ34" i="10"/>
  <c r="EN34" i="10"/>
  <c r="EJ34" i="10"/>
  <c r="EE34" i="10"/>
  <c r="EB34" i="10"/>
  <c r="DZ34" i="10"/>
  <c r="DU34" i="10"/>
  <c r="DT34" i="10"/>
  <c r="DS34" i="10"/>
  <c r="EH34" i="10"/>
  <c r="EG34" i="10"/>
  <c r="EF34" i="10"/>
  <c r="ED34" i="10"/>
  <c r="EC34" i="10"/>
  <c r="ET34" i="10"/>
  <c r="EO34" i="10"/>
  <c r="EM34" i="10"/>
  <c r="EK34" i="10"/>
  <c r="EI34" i="10"/>
  <c r="DR34" i="10"/>
  <c r="EU34" i="10"/>
  <c r="DH34" i="10"/>
  <c r="DG34" i="10"/>
  <c r="ES34" i="10"/>
  <c r="DP34" i="10"/>
  <c r="ER34" i="10"/>
  <c r="EQ34" i="10"/>
  <c r="EP34" i="10"/>
  <c r="DQ34" i="10"/>
  <c r="DO34" i="10"/>
  <c r="DI34" i="10"/>
  <c r="EG251" i="10"/>
  <c r="ET251" i="10"/>
  <c r="DN251" i="10"/>
  <c r="EK251" i="10"/>
  <c r="DX251" i="10"/>
  <c r="DW251" i="10"/>
  <c r="EE251" i="10"/>
  <c r="EC251" i="10"/>
  <c r="EB251" i="10"/>
  <c r="EO251" i="10"/>
  <c r="EN251" i="10"/>
  <c r="EM251" i="10"/>
  <c r="EL251" i="10"/>
  <c r="EA251" i="10"/>
  <c r="DV251" i="10"/>
  <c r="DM251" i="10"/>
  <c r="DL251" i="10"/>
  <c r="DK251" i="10"/>
  <c r="DJ251" i="10"/>
  <c r="EY251" i="10"/>
  <c r="EV251" i="10"/>
  <c r="EQ251" i="10"/>
  <c r="EI251" i="10"/>
  <c r="ED251" i="10"/>
  <c r="EU251" i="10"/>
  <c r="ES251" i="10"/>
  <c r="ER251" i="10"/>
  <c r="EP251" i="10"/>
  <c r="DU251" i="10"/>
  <c r="DQ251" i="10"/>
  <c r="DH251" i="10"/>
  <c r="EJ251" i="10"/>
  <c r="EH251" i="10"/>
  <c r="EF251" i="10"/>
  <c r="DZ251" i="10"/>
  <c r="DI251" i="10"/>
  <c r="EX251" i="10"/>
  <c r="EW251" i="10"/>
  <c r="DG251" i="10"/>
  <c r="DR251" i="10"/>
  <c r="DY251" i="10"/>
  <c r="DP251" i="10"/>
  <c r="DS251" i="10"/>
  <c r="DT251" i="10"/>
  <c r="DO251" i="10"/>
  <c r="EO211" i="10"/>
  <c r="DI211" i="10"/>
  <c r="DV211" i="10"/>
  <c r="EB211" i="10"/>
  <c r="EK211" i="10"/>
  <c r="EJ211" i="10"/>
  <c r="EI211" i="10"/>
  <c r="EH211" i="10"/>
  <c r="EA211" i="10"/>
  <c r="DX211" i="10"/>
  <c r="EY211" i="10"/>
  <c r="DP211" i="10"/>
  <c r="DH211" i="10"/>
  <c r="EX211" i="10"/>
  <c r="DG211" i="10"/>
  <c r="EW211" i="10"/>
  <c r="EV211" i="10"/>
  <c r="EP211" i="10"/>
  <c r="EG211" i="10"/>
  <c r="EC211" i="10"/>
  <c r="DY211" i="10"/>
  <c r="DU211" i="10"/>
  <c r="EE211" i="10"/>
  <c r="ED211" i="10"/>
  <c r="DZ211" i="10"/>
  <c r="DW211" i="10"/>
  <c r="DM211" i="10"/>
  <c r="DJ211" i="10"/>
  <c r="ER211" i="10"/>
  <c r="EN211" i="10"/>
  <c r="EL211" i="10"/>
  <c r="DS211" i="10"/>
  <c r="DR211" i="10"/>
  <c r="DQ211" i="10"/>
  <c r="DO211" i="10"/>
  <c r="DN211" i="10"/>
  <c r="ET211" i="10"/>
  <c r="EU211" i="10"/>
  <c r="ES211" i="10"/>
  <c r="EQ211" i="10"/>
  <c r="DK211" i="10"/>
  <c r="EF211" i="10"/>
  <c r="DT211" i="10"/>
  <c r="EM211" i="10"/>
  <c r="DL211" i="10"/>
  <c r="ES261" i="10"/>
  <c r="DZ261" i="10"/>
  <c r="EJ261" i="10"/>
  <c r="EX261" i="10"/>
  <c r="DP261" i="10"/>
  <c r="EI261" i="10"/>
  <c r="EL261" i="10"/>
  <c r="EK261" i="10"/>
  <c r="EH261" i="10"/>
  <c r="EF261" i="10"/>
  <c r="DU261" i="10"/>
  <c r="DT261" i="10"/>
  <c r="DS261" i="10"/>
  <c r="DR261" i="10"/>
  <c r="DL261" i="10"/>
  <c r="EY261" i="10"/>
  <c r="DI261" i="10"/>
  <c r="DO261" i="10"/>
  <c r="DN261" i="10"/>
  <c r="DM261" i="10"/>
  <c r="DK261" i="10"/>
  <c r="EV261" i="10"/>
  <c r="EC261" i="10"/>
  <c r="EB261" i="10"/>
  <c r="EA261" i="10"/>
  <c r="DY261" i="10"/>
  <c r="DH261" i="10"/>
  <c r="ET261" i="10"/>
  <c r="EW261" i="10"/>
  <c r="EP261" i="10"/>
  <c r="EN261" i="10"/>
  <c r="EG261" i="10"/>
  <c r="EQ261" i="10"/>
  <c r="EO261" i="10"/>
  <c r="EM261" i="10"/>
  <c r="EE261" i="10"/>
  <c r="DG261" i="10"/>
  <c r="DW261" i="10"/>
  <c r="DJ261" i="10"/>
  <c r="EU261" i="10"/>
  <c r="ER261" i="10"/>
  <c r="ED261" i="10"/>
  <c r="DX261" i="10"/>
  <c r="DV261" i="10"/>
  <c r="DQ261" i="10"/>
  <c r="EW203" i="10"/>
  <c r="DQ203" i="10"/>
  <c r="ED203" i="10"/>
  <c r="ET203" i="10"/>
  <c r="DL203" i="10"/>
  <c r="ER203" i="10"/>
  <c r="DI203" i="10"/>
  <c r="EQ203" i="10"/>
  <c r="DH203" i="10"/>
  <c r="EP203" i="10"/>
  <c r="DG203" i="10"/>
  <c r="EO203" i="10"/>
  <c r="EI203" i="10"/>
  <c r="EF203" i="10"/>
  <c r="DX203" i="10"/>
  <c r="EY203" i="10"/>
  <c r="EX203" i="10"/>
  <c r="EL203" i="10"/>
  <c r="EG203" i="10"/>
  <c r="EA203" i="10"/>
  <c r="DY203" i="10"/>
  <c r="DU203" i="10"/>
  <c r="DT203" i="10"/>
  <c r="DS203" i="10"/>
  <c r="DR203" i="10"/>
  <c r="EU203" i="10"/>
  <c r="EV203" i="10"/>
  <c r="ES203" i="10"/>
  <c r="EN203" i="10"/>
  <c r="EM203" i="10"/>
  <c r="DZ203" i="10"/>
  <c r="DP203" i="10"/>
  <c r="DK203" i="10"/>
  <c r="EK203" i="10"/>
  <c r="DV203" i="10"/>
  <c r="DJ203" i="10"/>
  <c r="EE203" i="10"/>
  <c r="EC203" i="10"/>
  <c r="EB203" i="10"/>
  <c r="DW203" i="10"/>
  <c r="DO203" i="10"/>
  <c r="EJ203" i="10"/>
  <c r="DN203" i="10"/>
  <c r="EH203" i="10"/>
  <c r="DM203" i="10"/>
  <c r="EG219" i="10"/>
  <c r="ET219" i="10"/>
  <c r="DN219" i="10"/>
  <c r="EQ219" i="10"/>
  <c r="DI219" i="10"/>
  <c r="DR219" i="10"/>
  <c r="EJ219" i="10"/>
  <c r="EM219" i="10"/>
  <c r="EL219" i="10"/>
  <c r="EK219" i="10"/>
  <c r="EI219" i="10"/>
  <c r="EB219" i="10"/>
  <c r="DY219" i="10"/>
  <c r="DQ219" i="10"/>
  <c r="DP219" i="10"/>
  <c r="DO219" i="10"/>
  <c r="DM219" i="10"/>
  <c r="DL219" i="10"/>
  <c r="EY219" i="10"/>
  <c r="EU219" i="10"/>
  <c r="EO219" i="10"/>
  <c r="EH219" i="10"/>
  <c r="EE219" i="10"/>
  <c r="EN219" i="10"/>
  <c r="EC219" i="10"/>
  <c r="DW219" i="10"/>
  <c r="DU219" i="10"/>
  <c r="EP219" i="10"/>
  <c r="EA219" i="10"/>
  <c r="DT219" i="10"/>
  <c r="DK219" i="10"/>
  <c r="DH219" i="10"/>
  <c r="DV219" i="10"/>
  <c r="DS219" i="10"/>
  <c r="DJ219" i="10"/>
  <c r="DG219" i="10"/>
  <c r="EV219" i="10"/>
  <c r="ES219" i="10"/>
  <c r="EF219" i="10"/>
  <c r="EX219" i="10"/>
  <c r="ER219" i="10"/>
  <c r="DX219" i="10"/>
  <c r="ED219" i="10"/>
  <c r="DZ219" i="10"/>
  <c r="EW219" i="10"/>
  <c r="DV19" i="10"/>
  <c r="DU19" i="10"/>
  <c r="EH19" i="10"/>
  <c r="DX19" i="10"/>
  <c r="DW19" i="10"/>
  <c r="DT19" i="10"/>
  <c r="DS19" i="10"/>
  <c r="DR19" i="10"/>
  <c r="ES19" i="10"/>
  <c r="DJ19" i="10"/>
  <c r="EP19" i="10"/>
  <c r="DG19" i="10"/>
  <c r="EK19" i="10"/>
  <c r="DI19" i="10"/>
  <c r="DH19" i="10"/>
  <c r="EY19" i="10"/>
  <c r="EX19" i="10"/>
  <c r="EW19" i="10"/>
  <c r="EM19" i="10"/>
  <c r="DQ19" i="10"/>
  <c r="DP19" i="10"/>
  <c r="DO19" i="10"/>
  <c r="DN19" i="10"/>
  <c r="DM19" i="10"/>
  <c r="ER19" i="10"/>
  <c r="EL19" i="10"/>
  <c r="EJ19" i="10"/>
  <c r="EG19" i="10"/>
  <c r="EN19" i="10"/>
  <c r="ED19" i="10"/>
  <c r="DZ19" i="10"/>
  <c r="DY19" i="10"/>
  <c r="DK19" i="10"/>
  <c r="ET19" i="10"/>
  <c r="EQ19" i="10"/>
  <c r="EO19" i="10"/>
  <c r="EI19" i="10"/>
  <c r="EF19" i="10"/>
  <c r="EU19" i="10"/>
  <c r="EE19" i="10"/>
  <c r="EC19" i="10"/>
  <c r="EB19" i="10"/>
  <c r="EA19" i="10"/>
  <c r="EV19" i="10"/>
  <c r="DL19" i="10"/>
  <c r="ES160" i="10"/>
  <c r="DM160" i="10"/>
  <c r="EX160" i="10"/>
  <c r="DQ160" i="10"/>
  <c r="EV160" i="10"/>
  <c r="DO160" i="10"/>
  <c r="EN160" i="10"/>
  <c r="DG160" i="10"/>
  <c r="EJ160" i="10"/>
  <c r="EI160" i="10"/>
  <c r="EH160" i="10"/>
  <c r="EG160" i="10"/>
  <c r="EA160" i="10"/>
  <c r="DW160" i="10"/>
  <c r="DP160" i="10"/>
  <c r="DX160" i="10"/>
  <c r="DU160" i="10"/>
  <c r="EQ160" i="10"/>
  <c r="EP160" i="10"/>
  <c r="EO160" i="10"/>
  <c r="EM160" i="10"/>
  <c r="EB160" i="10"/>
  <c r="DV160" i="10"/>
  <c r="DN160" i="10"/>
  <c r="DK160" i="10"/>
  <c r="DI160" i="10"/>
  <c r="ET160" i="10"/>
  <c r="EF160" i="10"/>
  <c r="DZ160" i="10"/>
  <c r="DY160" i="10"/>
  <c r="DS160" i="10"/>
  <c r="EE160" i="10"/>
  <c r="DR160" i="10"/>
  <c r="EY160" i="10"/>
  <c r="EW160" i="10"/>
  <c r="EU160" i="10"/>
  <c r="DJ160" i="10"/>
  <c r="ER160" i="10"/>
  <c r="EC160" i="10"/>
  <c r="DT160" i="10"/>
  <c r="DH160" i="10"/>
  <c r="ED160" i="10"/>
  <c r="EL160" i="10"/>
  <c r="EK160" i="10"/>
  <c r="DL160" i="10"/>
  <c r="EL195" i="10"/>
  <c r="EA195" i="10"/>
  <c r="DZ195" i="10"/>
  <c r="DY195" i="10"/>
  <c r="DX195" i="10"/>
  <c r="EY195" i="10"/>
  <c r="DR195" i="10"/>
  <c r="EV195" i="10"/>
  <c r="DO195" i="10"/>
  <c r="DU195" i="10"/>
  <c r="DT195" i="10"/>
  <c r="DS195" i="10"/>
  <c r="DQ195" i="10"/>
  <c r="EX195" i="10"/>
  <c r="DJ195" i="10"/>
  <c r="ES195" i="10"/>
  <c r="EM195" i="10"/>
  <c r="ER195" i="10"/>
  <c r="EQ195" i="10"/>
  <c r="EP195" i="10"/>
  <c r="EO195" i="10"/>
  <c r="EF195" i="10"/>
  <c r="EC195" i="10"/>
  <c r="DM195" i="10"/>
  <c r="EW195" i="10"/>
  <c r="EU195" i="10"/>
  <c r="ET195" i="10"/>
  <c r="EN195" i="10"/>
  <c r="ED195" i="10"/>
  <c r="DV195" i="10"/>
  <c r="DK195" i="10"/>
  <c r="DH195" i="10"/>
  <c r="DN195" i="10"/>
  <c r="DL195" i="10"/>
  <c r="DI195" i="10"/>
  <c r="DG195" i="10"/>
  <c r="EI195" i="10"/>
  <c r="EB195" i="10"/>
  <c r="DW195" i="10"/>
  <c r="EJ195" i="10"/>
  <c r="EE195" i="10"/>
  <c r="EK195" i="10"/>
  <c r="EH195" i="10"/>
  <c r="DP195" i="10"/>
  <c r="EG195" i="10"/>
  <c r="EE229" i="10"/>
  <c r="ER229" i="10"/>
  <c r="DL229" i="10"/>
  <c r="EK229" i="10"/>
  <c r="EA229" i="10"/>
  <c r="EI229" i="10"/>
  <c r="EF229" i="10"/>
  <c r="ED229" i="10"/>
  <c r="EY229" i="10"/>
  <c r="DK229" i="10"/>
  <c r="EX229" i="10"/>
  <c r="DJ229" i="10"/>
  <c r="EW229" i="10"/>
  <c r="DI229" i="10"/>
  <c r="EV229" i="10"/>
  <c r="DH229" i="10"/>
  <c r="EO229" i="10"/>
  <c r="EL229" i="10"/>
  <c r="DY229" i="10"/>
  <c r="DG229" i="10"/>
  <c r="ES229" i="10"/>
  <c r="EM229" i="10"/>
  <c r="EC229" i="10"/>
  <c r="DZ229" i="10"/>
  <c r="DW229" i="10"/>
  <c r="DS229" i="10"/>
  <c r="DR229" i="10"/>
  <c r="DQ229" i="10"/>
  <c r="DP229" i="10"/>
  <c r="EU229" i="10"/>
  <c r="EQ229" i="10"/>
  <c r="ET229" i="10"/>
  <c r="EH229" i="10"/>
  <c r="EB229" i="10"/>
  <c r="DV229" i="10"/>
  <c r="EG229" i="10"/>
  <c r="DX229" i="10"/>
  <c r="DT229" i="10"/>
  <c r="EP229" i="10"/>
  <c r="DO229" i="10"/>
  <c r="EN229" i="10"/>
  <c r="EJ229" i="10"/>
  <c r="DU229" i="10"/>
  <c r="DN229" i="10"/>
  <c r="DM229" i="10"/>
  <c r="ED171" i="10"/>
  <c r="EX171" i="10"/>
  <c r="DQ171" i="10"/>
  <c r="EV171" i="10"/>
  <c r="DO171" i="10"/>
  <c r="EU171" i="10"/>
  <c r="DN171" i="10"/>
  <c r="EO171" i="10"/>
  <c r="DH171" i="10"/>
  <c r="DR171" i="10"/>
  <c r="DP171" i="10"/>
  <c r="DM171" i="10"/>
  <c r="DL171" i="10"/>
  <c r="EQ171" i="10"/>
  <c r="EL171" i="10"/>
  <c r="EF171" i="10"/>
  <c r="EP171" i="10"/>
  <c r="EN171" i="10"/>
  <c r="EM171" i="10"/>
  <c r="DS171" i="10"/>
  <c r="DV171" i="10"/>
  <c r="DU171" i="10"/>
  <c r="DT171" i="10"/>
  <c r="DK171" i="10"/>
  <c r="ES171" i="10"/>
  <c r="EK171" i="10"/>
  <c r="EI171" i="10"/>
  <c r="DG171" i="10"/>
  <c r="EY171" i="10"/>
  <c r="EJ171" i="10"/>
  <c r="EH171" i="10"/>
  <c r="EE171" i="10"/>
  <c r="ER171" i="10"/>
  <c r="EG171" i="10"/>
  <c r="EB171" i="10"/>
  <c r="EC171" i="10"/>
  <c r="EA171" i="10"/>
  <c r="DZ171" i="10"/>
  <c r="DY171" i="10"/>
  <c r="DX171" i="10"/>
  <c r="EW171" i="10"/>
  <c r="DI171" i="10"/>
  <c r="ET171" i="10"/>
  <c r="DW171" i="10"/>
  <c r="DJ171" i="10"/>
  <c r="ES223" i="10"/>
  <c r="DM223" i="10"/>
  <c r="DZ223" i="10"/>
  <c r="EH223" i="10"/>
  <c r="EY223" i="10"/>
  <c r="DP223" i="10"/>
  <c r="EX223" i="10"/>
  <c r="DN223" i="10"/>
  <c r="EM223" i="10"/>
  <c r="EV223" i="10"/>
  <c r="DI223" i="10"/>
  <c r="EU223" i="10"/>
  <c r="DH223" i="10"/>
  <c r="ET223" i="10"/>
  <c r="DG223" i="10"/>
  <c r="ER223" i="10"/>
  <c r="EK223" i="10"/>
  <c r="EG223" i="10"/>
  <c r="DY223" i="10"/>
  <c r="EC223" i="10"/>
  <c r="EB223" i="10"/>
  <c r="EA223" i="10"/>
  <c r="DX223" i="10"/>
  <c r="DR223" i="10"/>
  <c r="DK223" i="10"/>
  <c r="EW223" i="10"/>
  <c r="DO223" i="10"/>
  <c r="DL223" i="10"/>
  <c r="DJ223" i="10"/>
  <c r="EP223" i="10"/>
  <c r="EN223" i="10"/>
  <c r="EJ223" i="10"/>
  <c r="EE223" i="10"/>
  <c r="DU223" i="10"/>
  <c r="DS223" i="10"/>
  <c r="EL223" i="10"/>
  <c r="DW223" i="10"/>
  <c r="DV223" i="10"/>
  <c r="DQ223" i="10"/>
  <c r="EO223" i="10"/>
  <c r="EQ223" i="10"/>
  <c r="EI223" i="10"/>
  <c r="EF223" i="10"/>
  <c r="ED223" i="10"/>
  <c r="DT223" i="10"/>
  <c r="EY130" i="10"/>
  <c r="DS130" i="10"/>
  <c r="ET130" i="10"/>
  <c r="DM130" i="10"/>
  <c r="EQ130" i="10"/>
  <c r="EK130" i="10"/>
  <c r="EW130" i="10"/>
  <c r="DL130" i="10"/>
  <c r="DR130" i="10"/>
  <c r="DQ130" i="10"/>
  <c r="DP130" i="10"/>
  <c r="DO130" i="10"/>
  <c r="EP130" i="10"/>
  <c r="EM130" i="10"/>
  <c r="EF130" i="10"/>
  <c r="EE130" i="10"/>
  <c r="ED130" i="10"/>
  <c r="EC130" i="10"/>
  <c r="EB130" i="10"/>
  <c r="EA130" i="10"/>
  <c r="DT130" i="10"/>
  <c r="DI130" i="10"/>
  <c r="EX130" i="10"/>
  <c r="EU130" i="10"/>
  <c r="ER130" i="10"/>
  <c r="EO130" i="10"/>
  <c r="EN130" i="10"/>
  <c r="EL130" i="10"/>
  <c r="EJ130" i="10"/>
  <c r="DW130" i="10"/>
  <c r="DK130" i="10"/>
  <c r="DN130" i="10"/>
  <c r="DJ130" i="10"/>
  <c r="DH130" i="10"/>
  <c r="DG130" i="10"/>
  <c r="EV130" i="10"/>
  <c r="EI130" i="10"/>
  <c r="DY130" i="10"/>
  <c r="DX130" i="10"/>
  <c r="DU130" i="10"/>
  <c r="EH130" i="10"/>
  <c r="EG130" i="10"/>
  <c r="ES130" i="10"/>
  <c r="DZ130" i="10"/>
  <c r="DV130" i="10"/>
  <c r="DV179" i="10"/>
  <c r="DT179" i="10"/>
  <c r="DS179" i="10"/>
  <c r="EY179" i="10"/>
  <c r="DR179" i="10"/>
  <c r="EX179" i="10"/>
  <c r="DQ179" i="10"/>
  <c r="ER179" i="10"/>
  <c r="DK179" i="10"/>
  <c r="EO179" i="10"/>
  <c r="DH179" i="10"/>
  <c r="EW179" i="10"/>
  <c r="DI179" i="10"/>
  <c r="EV179" i="10"/>
  <c r="DG179" i="10"/>
  <c r="EU179" i="10"/>
  <c r="ET179" i="10"/>
  <c r="EL179" i="10"/>
  <c r="EH179" i="10"/>
  <c r="EB179" i="10"/>
  <c r="EJ179" i="10"/>
  <c r="EI179" i="10"/>
  <c r="EG179" i="10"/>
  <c r="EF179" i="10"/>
  <c r="DX179" i="10"/>
  <c r="DP179" i="10"/>
  <c r="EK179" i="10"/>
  <c r="EE179" i="10"/>
  <c r="ED179" i="10"/>
  <c r="EC179" i="10"/>
  <c r="DN179" i="10"/>
  <c r="DJ179" i="10"/>
  <c r="ES179" i="10"/>
  <c r="EM179" i="10"/>
  <c r="EA179" i="10"/>
  <c r="DY179" i="10"/>
  <c r="DM179" i="10"/>
  <c r="DL179" i="10"/>
  <c r="EQ179" i="10"/>
  <c r="EP179" i="10"/>
  <c r="EN179" i="10"/>
  <c r="DZ179" i="10"/>
  <c r="DW179" i="10"/>
  <c r="DU179" i="10"/>
  <c r="DO179" i="10"/>
  <c r="EU213" i="10"/>
  <c r="DO213" i="10"/>
  <c r="EB213" i="10"/>
  <c r="EN213" i="10"/>
  <c r="DR213" i="10"/>
  <c r="DQ213" i="10"/>
  <c r="EY213" i="10"/>
  <c r="DP213" i="10"/>
  <c r="EX213" i="10"/>
  <c r="DN213" i="10"/>
  <c r="EQ213" i="10"/>
  <c r="DH213" i="10"/>
  <c r="EM213" i="10"/>
  <c r="EF213" i="10"/>
  <c r="DG213" i="10"/>
  <c r="EW213" i="10"/>
  <c r="EV213" i="10"/>
  <c r="EL213" i="10"/>
  <c r="EH213" i="10"/>
  <c r="EC213" i="10"/>
  <c r="DZ213" i="10"/>
  <c r="DX213" i="10"/>
  <c r="ES213" i="10"/>
  <c r="EO213" i="10"/>
  <c r="ED213" i="10"/>
  <c r="ET213" i="10"/>
  <c r="EK213" i="10"/>
  <c r="EE213" i="10"/>
  <c r="DY213" i="10"/>
  <c r="DV213" i="10"/>
  <c r="ER213" i="10"/>
  <c r="EP213" i="10"/>
  <c r="EJ213" i="10"/>
  <c r="EI213" i="10"/>
  <c r="EG213" i="10"/>
  <c r="DL213" i="10"/>
  <c r="DM213" i="10"/>
  <c r="DW213" i="10"/>
  <c r="DU213" i="10"/>
  <c r="DT213" i="10"/>
  <c r="DS213" i="10"/>
  <c r="DK213" i="10"/>
  <c r="DJ213" i="10"/>
  <c r="EA213" i="10"/>
  <c r="DI213" i="10"/>
  <c r="ED139" i="10"/>
  <c r="EL139" i="10"/>
  <c r="EK139" i="10"/>
  <c r="EI139" i="10"/>
  <c r="EB139" i="10"/>
  <c r="DS139" i="10"/>
  <c r="EN139" i="10"/>
  <c r="EM139" i="10"/>
  <c r="EJ139" i="10"/>
  <c r="EH139" i="10"/>
  <c r="DY139" i="10"/>
  <c r="DV139" i="10"/>
  <c r="DO139" i="10"/>
  <c r="DW139" i="10"/>
  <c r="DU139" i="10"/>
  <c r="DT139" i="10"/>
  <c r="DR139" i="10"/>
  <c r="DQ139" i="10"/>
  <c r="DI139" i="10"/>
  <c r="EX139" i="10"/>
  <c r="ET139" i="10"/>
  <c r="ES139" i="10"/>
  <c r="EQ139" i="10"/>
  <c r="EW139" i="10"/>
  <c r="EP139" i="10"/>
  <c r="EE139" i="10"/>
  <c r="EC139" i="10"/>
  <c r="DZ139" i="10"/>
  <c r="EA139" i="10"/>
  <c r="DX139" i="10"/>
  <c r="DP139" i="10"/>
  <c r="DN139" i="10"/>
  <c r="DM139" i="10"/>
  <c r="DL139" i="10"/>
  <c r="DK139" i="10"/>
  <c r="DJ139" i="10"/>
  <c r="DH139" i="10"/>
  <c r="DG139" i="10"/>
  <c r="ER139" i="10"/>
  <c r="EO139" i="10"/>
  <c r="EG139" i="10"/>
  <c r="EF139" i="10"/>
  <c r="EY139" i="10"/>
  <c r="EU139" i="10"/>
  <c r="EV139" i="10"/>
  <c r="EL163" i="10"/>
  <c r="EU163" i="10"/>
  <c r="DN163" i="10"/>
  <c r="ES163" i="10"/>
  <c r="DL163" i="10"/>
  <c r="EK163" i="10"/>
  <c r="EW163" i="10"/>
  <c r="DK163" i="10"/>
  <c r="EV163" i="10"/>
  <c r="DJ163" i="10"/>
  <c r="ET163" i="10"/>
  <c r="DI163" i="10"/>
  <c r="ER163" i="10"/>
  <c r="DH163" i="10"/>
  <c r="EJ163" i="10"/>
  <c r="EF163" i="10"/>
  <c r="DZ163" i="10"/>
  <c r="EB163" i="10"/>
  <c r="DY163" i="10"/>
  <c r="EY163" i="10"/>
  <c r="DG163" i="10"/>
  <c r="EP163" i="10"/>
  <c r="EM163" i="10"/>
  <c r="EE163" i="10"/>
  <c r="EC163" i="10"/>
  <c r="DX163" i="10"/>
  <c r="EN163" i="10"/>
  <c r="ED163" i="10"/>
  <c r="EA163" i="10"/>
  <c r="DV163" i="10"/>
  <c r="EH163" i="10"/>
  <c r="EG163" i="10"/>
  <c r="DW163" i="10"/>
  <c r="DU163" i="10"/>
  <c r="DT163" i="10"/>
  <c r="DS163" i="10"/>
  <c r="DP163" i="10"/>
  <c r="EI163" i="10"/>
  <c r="DR163" i="10"/>
  <c r="DQ163" i="10"/>
  <c r="DO163" i="10"/>
  <c r="DM163" i="10"/>
  <c r="EQ163" i="10"/>
  <c r="EO163" i="10"/>
  <c r="EX163" i="10"/>
  <c r="ED85" i="10"/>
  <c r="EA85" i="10"/>
  <c r="DT85" i="10"/>
  <c r="EW85" i="10"/>
  <c r="DQ85" i="10"/>
  <c r="EL85" i="10"/>
  <c r="EK85" i="10"/>
  <c r="EJ85" i="10"/>
  <c r="EI85" i="10"/>
  <c r="EH85" i="10"/>
  <c r="DY85" i="10"/>
  <c r="DU85" i="10"/>
  <c r="EY85" i="10"/>
  <c r="DN85" i="10"/>
  <c r="DV85" i="10"/>
  <c r="DS85" i="10"/>
  <c r="DR85" i="10"/>
  <c r="DP85" i="10"/>
  <c r="DO85" i="10"/>
  <c r="DG85" i="10"/>
  <c r="EU85" i="10"/>
  <c r="EQ85" i="10"/>
  <c r="EP85" i="10"/>
  <c r="EX85" i="10"/>
  <c r="EV85" i="10"/>
  <c r="EF85" i="10"/>
  <c r="EB85" i="10"/>
  <c r="DM85" i="10"/>
  <c r="DL85" i="10"/>
  <c r="DJ85" i="10"/>
  <c r="EN85" i="10"/>
  <c r="EC85" i="10"/>
  <c r="DI85" i="10"/>
  <c r="DH85" i="10"/>
  <c r="ET85" i="10"/>
  <c r="ER85" i="10"/>
  <c r="ES85" i="10"/>
  <c r="EM85" i="10"/>
  <c r="EG85" i="10"/>
  <c r="DW85" i="10"/>
  <c r="DK85" i="10"/>
  <c r="EO85" i="10"/>
  <c r="DZ85" i="10"/>
  <c r="DX85" i="10"/>
  <c r="EE85" i="10"/>
  <c r="DX83" i="10"/>
  <c r="DU83" i="10"/>
  <c r="ET83" i="10"/>
  <c r="DT83" i="10"/>
  <c r="DS83" i="10"/>
  <c r="DR83" i="10"/>
  <c r="DQ83" i="10"/>
  <c r="EY83" i="10"/>
  <c r="DP83" i="10"/>
  <c r="EQ83" i="10"/>
  <c r="DI83" i="10"/>
  <c r="EM83" i="10"/>
  <c r="EH83" i="10"/>
  <c r="DO83" i="10"/>
  <c r="DN83" i="10"/>
  <c r="DM83" i="10"/>
  <c r="DL83" i="10"/>
  <c r="DK83" i="10"/>
  <c r="EU83" i="10"/>
  <c r="EO83" i="10"/>
  <c r="EJ83" i="10"/>
  <c r="EI83" i="10"/>
  <c r="DV83" i="10"/>
  <c r="DJ83" i="10"/>
  <c r="DH83" i="10"/>
  <c r="DG83" i="10"/>
  <c r="EV83" i="10"/>
  <c r="EN83" i="10"/>
  <c r="EL83" i="10"/>
  <c r="EG83" i="10"/>
  <c r="EE83" i="10"/>
  <c r="EA83" i="10"/>
  <c r="ES83" i="10"/>
  <c r="EF83" i="10"/>
  <c r="DZ83" i="10"/>
  <c r="DY83" i="10"/>
  <c r="EX83" i="10"/>
  <c r="EW83" i="10"/>
  <c r="ER83" i="10"/>
  <c r="EP83" i="10"/>
  <c r="EC83" i="10"/>
  <c r="DW83" i="10"/>
  <c r="ED83" i="10"/>
  <c r="EK83" i="10"/>
  <c r="EB83" i="10"/>
  <c r="ER165" i="10"/>
  <c r="DL165" i="10"/>
  <c r="DW165" i="10"/>
  <c r="DU165" i="10"/>
  <c r="EU165" i="10"/>
  <c r="DN165" i="10"/>
  <c r="EE165" i="10"/>
  <c r="ED165" i="10"/>
  <c r="EC165" i="10"/>
  <c r="EB165" i="10"/>
  <c r="DT165" i="10"/>
  <c r="DP165" i="10"/>
  <c r="ES165" i="10"/>
  <c r="DH165" i="10"/>
  <c r="EH165" i="10"/>
  <c r="EG165" i="10"/>
  <c r="EF165" i="10"/>
  <c r="EX165" i="10"/>
  <c r="DS165" i="10"/>
  <c r="DR165" i="10"/>
  <c r="DQ165" i="10"/>
  <c r="DO165" i="10"/>
  <c r="ET165" i="10"/>
  <c r="EP165" i="10"/>
  <c r="EN165" i="10"/>
  <c r="EY165" i="10"/>
  <c r="EW165" i="10"/>
  <c r="EV165" i="10"/>
  <c r="EI165" i="10"/>
  <c r="DX165" i="10"/>
  <c r="DJ165" i="10"/>
  <c r="DI165" i="10"/>
  <c r="EQ165" i="10"/>
  <c r="EO165" i="10"/>
  <c r="EM165" i="10"/>
  <c r="EL165" i="10"/>
  <c r="EK165" i="10"/>
  <c r="DK165" i="10"/>
  <c r="EJ165" i="10"/>
  <c r="DV165" i="10"/>
  <c r="DM165" i="10"/>
  <c r="EA165" i="10"/>
  <c r="DZ165" i="10"/>
  <c r="DG165" i="10"/>
  <c r="DY165" i="10"/>
  <c r="EJ274" i="10"/>
  <c r="EW274" i="10"/>
  <c r="DQ274" i="10"/>
  <c r="EE274" i="10"/>
  <c r="ES274" i="10"/>
  <c r="DK274" i="10"/>
  <c r="EG274" i="10"/>
  <c r="DX274" i="10"/>
  <c r="DO274" i="10"/>
  <c r="DY274" i="10"/>
  <c r="EX274" i="10"/>
  <c r="DH274" i="10"/>
  <c r="EV274" i="10"/>
  <c r="DG274" i="10"/>
  <c r="EU274" i="10"/>
  <c r="ET274" i="10"/>
  <c r="ER274" i="10"/>
  <c r="EN274" i="10"/>
  <c r="EM274" i="10"/>
  <c r="EL274" i="10"/>
  <c r="EK274" i="10"/>
  <c r="EC274" i="10"/>
  <c r="DZ274" i="10"/>
  <c r="EY274" i="10"/>
  <c r="EO274" i="10"/>
  <c r="DL274" i="10"/>
  <c r="DJ274" i="10"/>
  <c r="DI274" i="10"/>
  <c r="EP274" i="10"/>
  <c r="EF274" i="10"/>
  <c r="EA274" i="10"/>
  <c r="EI274" i="10"/>
  <c r="ED274" i="10"/>
  <c r="DP274" i="10"/>
  <c r="DN274" i="10"/>
  <c r="DM274" i="10"/>
  <c r="EQ274" i="10"/>
  <c r="DS274" i="10"/>
  <c r="EH274" i="10"/>
  <c r="DW274" i="10"/>
  <c r="DV274" i="10"/>
  <c r="DU274" i="10"/>
  <c r="DR274" i="10"/>
  <c r="EB274" i="10"/>
  <c r="DT274" i="10"/>
  <c r="EV91" i="10"/>
  <c r="DP91" i="10"/>
  <c r="EU91" i="10"/>
  <c r="DO91" i="10"/>
  <c r="ET91" i="10"/>
  <c r="DN91" i="10"/>
  <c r="ES91" i="10"/>
  <c r="DM91" i="10"/>
  <c r="EL91" i="10"/>
  <c r="EI91" i="10"/>
  <c r="EC91" i="10"/>
  <c r="ER91" i="10"/>
  <c r="EQ91" i="10"/>
  <c r="EP91" i="10"/>
  <c r="EO91" i="10"/>
  <c r="EN91" i="10"/>
  <c r="EE91" i="10"/>
  <c r="DZ91" i="10"/>
  <c r="DU91" i="10"/>
  <c r="DQ91" i="10"/>
  <c r="DL91" i="10"/>
  <c r="DK91" i="10"/>
  <c r="DJ91" i="10"/>
  <c r="DI91" i="10"/>
  <c r="EW91" i="10"/>
  <c r="EH91" i="10"/>
  <c r="EG91" i="10"/>
  <c r="ED91" i="10"/>
  <c r="DS91" i="10"/>
  <c r="DR91" i="10"/>
  <c r="DH91" i="10"/>
  <c r="DG91" i="10"/>
  <c r="EY91" i="10"/>
  <c r="EX91" i="10"/>
  <c r="EK91" i="10"/>
  <c r="EA91" i="10"/>
  <c r="DY91" i="10"/>
  <c r="DX91" i="10"/>
  <c r="DW91" i="10"/>
  <c r="DV91" i="10"/>
  <c r="EF91" i="10"/>
  <c r="EB91" i="10"/>
  <c r="DT91" i="10"/>
  <c r="EM91" i="10"/>
  <c r="EJ91" i="10"/>
  <c r="EG70" i="10"/>
  <c r="EQ70" i="10"/>
  <c r="DJ70" i="10"/>
  <c r="EP70" i="10"/>
  <c r="DI70" i="10"/>
  <c r="EO70" i="10"/>
  <c r="DH70" i="10"/>
  <c r="EM70" i="10"/>
  <c r="EE70" i="10"/>
  <c r="EA70" i="10"/>
  <c r="DV70" i="10"/>
  <c r="ED70" i="10"/>
  <c r="EC70" i="10"/>
  <c r="EB70" i="10"/>
  <c r="DZ70" i="10"/>
  <c r="DY70" i="10"/>
  <c r="DQ70" i="10"/>
  <c r="DM70" i="10"/>
  <c r="EV70" i="10"/>
  <c r="ER70" i="10"/>
  <c r="EK70" i="10"/>
  <c r="EF70" i="10"/>
  <c r="DX70" i="10"/>
  <c r="DU70" i="10"/>
  <c r="ES70" i="10"/>
  <c r="EN70" i="10"/>
  <c r="EL70" i="10"/>
  <c r="EJ70" i="10"/>
  <c r="EI70" i="10"/>
  <c r="DN70" i="10"/>
  <c r="EU70" i="10"/>
  <c r="DT70" i="10"/>
  <c r="DS70" i="10"/>
  <c r="DP70" i="10"/>
  <c r="EX70" i="10"/>
  <c r="EW70" i="10"/>
  <c r="EH70" i="10"/>
  <c r="DW70" i="10"/>
  <c r="DR70" i="10"/>
  <c r="DK70" i="10"/>
  <c r="EY70" i="10"/>
  <c r="DL70" i="10"/>
  <c r="ET70" i="10"/>
  <c r="DO70" i="10"/>
  <c r="DG70" i="10"/>
  <c r="EB149" i="10"/>
  <c r="EX149" i="10"/>
  <c r="DQ149" i="10"/>
  <c r="EW149" i="10"/>
  <c r="DP149" i="10"/>
  <c r="EV149" i="10"/>
  <c r="DO149" i="10"/>
  <c r="EU149" i="10"/>
  <c r="DN149" i="10"/>
  <c r="EO149" i="10"/>
  <c r="DH149" i="10"/>
  <c r="EK149" i="10"/>
  <c r="DI149" i="10"/>
  <c r="EQ149" i="10"/>
  <c r="EP149" i="10"/>
  <c r="EN149" i="10"/>
  <c r="EM149" i="10"/>
  <c r="EE149" i="10"/>
  <c r="EA149" i="10"/>
  <c r="DW149" i="10"/>
  <c r="DU149" i="10"/>
  <c r="EL149" i="10"/>
  <c r="EG149" i="10"/>
  <c r="DZ149" i="10"/>
  <c r="DY149" i="10"/>
  <c r="DV149" i="10"/>
  <c r="DS149" i="10"/>
  <c r="DR149" i="10"/>
  <c r="DM149" i="10"/>
  <c r="DL149" i="10"/>
  <c r="DK149" i="10"/>
  <c r="EY149" i="10"/>
  <c r="ES149" i="10"/>
  <c r="EH149" i="10"/>
  <c r="EF149" i="10"/>
  <c r="ED149" i="10"/>
  <c r="EC149" i="10"/>
  <c r="DX149" i="10"/>
  <c r="ET149" i="10"/>
  <c r="ER149" i="10"/>
  <c r="EJ149" i="10"/>
  <c r="EI149" i="10"/>
  <c r="DG149" i="10"/>
  <c r="DT149" i="10"/>
  <c r="DJ149" i="10"/>
  <c r="EG258" i="10"/>
  <c r="EM258" i="10"/>
  <c r="DS258" i="10"/>
  <c r="EC258" i="10"/>
  <c r="DZ258" i="10"/>
  <c r="DY258" i="10"/>
  <c r="DX258" i="10"/>
  <c r="DV258" i="10"/>
  <c r="EH258" i="10"/>
  <c r="EF258" i="10"/>
  <c r="EE258" i="10"/>
  <c r="ED258" i="10"/>
  <c r="DT258" i="10"/>
  <c r="DP258" i="10"/>
  <c r="EV258" i="10"/>
  <c r="EU258" i="10"/>
  <c r="ET258" i="10"/>
  <c r="ES258" i="10"/>
  <c r="EL258" i="10"/>
  <c r="EI258" i="10"/>
  <c r="EN258" i="10"/>
  <c r="EK258" i="10"/>
  <c r="EJ258" i="10"/>
  <c r="EB258" i="10"/>
  <c r="DO258" i="10"/>
  <c r="DL258" i="10"/>
  <c r="DH258" i="10"/>
  <c r="EX258" i="10"/>
  <c r="EW258" i="10"/>
  <c r="ER258" i="10"/>
  <c r="EQ258" i="10"/>
  <c r="DR258" i="10"/>
  <c r="DK258" i="10"/>
  <c r="EY258" i="10"/>
  <c r="DN258" i="10"/>
  <c r="DI258" i="10"/>
  <c r="EP258" i="10"/>
  <c r="EO258" i="10"/>
  <c r="EA258" i="10"/>
  <c r="DW258" i="10"/>
  <c r="DU258" i="10"/>
  <c r="DG258" i="10"/>
  <c r="DM258" i="10"/>
  <c r="DQ258" i="10"/>
  <c r="DJ258" i="10"/>
  <c r="EF75" i="10"/>
  <c r="EW75" i="10"/>
  <c r="DP75" i="10"/>
  <c r="EV75" i="10"/>
  <c r="DO75" i="10"/>
  <c r="EU75" i="10"/>
  <c r="DN75" i="10"/>
  <c r="ET75" i="10"/>
  <c r="DM75" i="10"/>
  <c r="ES75" i="10"/>
  <c r="DL75" i="10"/>
  <c r="EL75" i="10"/>
  <c r="EH75" i="10"/>
  <c r="EB75" i="10"/>
  <c r="DX75" i="10"/>
  <c r="DW75" i="10"/>
  <c r="DV75" i="10"/>
  <c r="DU75" i="10"/>
  <c r="DT75" i="10"/>
  <c r="DH75" i="10"/>
  <c r="EX75" i="10"/>
  <c r="EN75" i="10"/>
  <c r="DJ75" i="10"/>
  <c r="DI75" i="10"/>
  <c r="DG75" i="10"/>
  <c r="EY75" i="10"/>
  <c r="EP75" i="10"/>
  <c r="EJ75" i="10"/>
  <c r="EI75" i="10"/>
  <c r="EE75" i="10"/>
  <c r="EM75" i="10"/>
  <c r="EC75" i="10"/>
  <c r="DR75" i="10"/>
  <c r="EO75" i="10"/>
  <c r="EA75" i="10"/>
  <c r="DZ75" i="10"/>
  <c r="DS75" i="10"/>
  <c r="ED75" i="10"/>
  <c r="ER75" i="10"/>
  <c r="EG75" i="10"/>
  <c r="DQ75" i="10"/>
  <c r="DK75" i="10"/>
  <c r="EQ75" i="10"/>
  <c r="DY75" i="10"/>
  <c r="EK75" i="10"/>
  <c r="EN248" i="10"/>
  <c r="DH248" i="10"/>
  <c r="DU248" i="10"/>
  <c r="EI248" i="10"/>
  <c r="DR248" i="10"/>
  <c r="DP248" i="10"/>
  <c r="EX248" i="10"/>
  <c r="EW248" i="10"/>
  <c r="DM248" i="10"/>
  <c r="EV248" i="10"/>
  <c r="DJ248" i="10"/>
  <c r="EU248" i="10"/>
  <c r="DI248" i="10"/>
  <c r="ET248" i="10"/>
  <c r="DG248" i="10"/>
  <c r="ES248" i="10"/>
  <c r="EL248" i="10"/>
  <c r="EH248" i="10"/>
  <c r="ER248" i="10"/>
  <c r="EQ248" i="10"/>
  <c r="EP248" i="10"/>
  <c r="EO248" i="10"/>
  <c r="EE248" i="10"/>
  <c r="EB248" i="10"/>
  <c r="DX248" i="10"/>
  <c r="DT248" i="10"/>
  <c r="EK248" i="10"/>
  <c r="EJ248" i="10"/>
  <c r="EG248" i="10"/>
  <c r="EF248" i="10"/>
  <c r="DW248" i="10"/>
  <c r="DO248" i="10"/>
  <c r="EM248" i="10"/>
  <c r="DZ248" i="10"/>
  <c r="DV248" i="10"/>
  <c r="DQ248" i="10"/>
  <c r="EY248" i="10"/>
  <c r="ED248" i="10"/>
  <c r="DK248" i="10"/>
  <c r="EA248" i="10"/>
  <c r="DL248" i="10"/>
  <c r="DS248" i="10"/>
  <c r="DN248" i="10"/>
  <c r="EC248" i="10"/>
  <c r="DY248" i="10"/>
  <c r="ET35" i="10"/>
  <c r="DN35" i="10"/>
  <c r="EU35" i="10"/>
  <c r="DM35" i="10"/>
  <c r="ES35" i="10"/>
  <c r="DL35" i="10"/>
  <c r="ER35" i="10"/>
  <c r="DK35" i="10"/>
  <c r="EQ35" i="10"/>
  <c r="DJ35" i="10"/>
  <c r="DZ35" i="10"/>
  <c r="EX35" i="10"/>
  <c r="DG35" i="10"/>
  <c r="EW35" i="10"/>
  <c r="EV35" i="10"/>
  <c r="EP35" i="10"/>
  <c r="EO35" i="10"/>
  <c r="EG35" i="10"/>
  <c r="ED35" i="10"/>
  <c r="DX35" i="10"/>
  <c r="EF35" i="10"/>
  <c r="EE35" i="10"/>
  <c r="EC35" i="10"/>
  <c r="EB35" i="10"/>
  <c r="EA35" i="10"/>
  <c r="DQ35" i="10"/>
  <c r="DH35" i="10"/>
  <c r="EY35" i="10"/>
  <c r="DY35" i="10"/>
  <c r="DT35" i="10"/>
  <c r="DO35" i="10"/>
  <c r="DI35" i="10"/>
  <c r="EL35" i="10"/>
  <c r="EH35" i="10"/>
  <c r="DW35" i="10"/>
  <c r="DU35" i="10"/>
  <c r="DS35" i="10"/>
  <c r="EI35" i="10"/>
  <c r="DV35" i="10"/>
  <c r="DR35" i="10"/>
  <c r="DP35" i="10"/>
  <c r="EN35" i="10"/>
  <c r="EK35" i="10"/>
  <c r="EJ35" i="10"/>
  <c r="EM35" i="10"/>
  <c r="EB117" i="10"/>
  <c r="EK117" i="10"/>
  <c r="EY117" i="10"/>
  <c r="DQ117" i="10"/>
  <c r="EM117" i="10"/>
  <c r="EL117" i="10"/>
  <c r="EJ117" i="10"/>
  <c r="EI117" i="10"/>
  <c r="EA117" i="10"/>
  <c r="DX117" i="10"/>
  <c r="DR117" i="10"/>
  <c r="ED117" i="10"/>
  <c r="EC117" i="10"/>
  <c r="DZ117" i="10"/>
  <c r="DY117" i="10"/>
  <c r="DW117" i="10"/>
  <c r="DN117" i="10"/>
  <c r="DJ117" i="10"/>
  <c r="EU117" i="10"/>
  <c r="EX117" i="10"/>
  <c r="EW117" i="10"/>
  <c r="EV117" i="10"/>
  <c r="EN117" i="10"/>
  <c r="EE117" i="10"/>
  <c r="DS117" i="10"/>
  <c r="DP117" i="10"/>
  <c r="DM117" i="10"/>
  <c r="ER117" i="10"/>
  <c r="EQ117" i="10"/>
  <c r="EP117" i="10"/>
  <c r="EO117" i="10"/>
  <c r="EH117" i="10"/>
  <c r="DK117" i="10"/>
  <c r="DG117" i="10"/>
  <c r="DT117" i="10"/>
  <c r="DO117" i="10"/>
  <c r="DL117" i="10"/>
  <c r="DI117" i="10"/>
  <c r="DH117" i="10"/>
  <c r="ET117" i="10"/>
  <c r="DV117" i="10"/>
  <c r="DU117" i="10"/>
  <c r="ES117" i="10"/>
  <c r="EG117" i="10"/>
  <c r="EF117" i="10"/>
  <c r="DV59" i="10"/>
  <c r="DU59" i="10"/>
  <c r="EY59" i="10"/>
  <c r="DS59" i="10"/>
  <c r="ER59" i="10"/>
  <c r="DL59" i="10"/>
  <c r="DY59" i="10"/>
  <c r="DX59" i="10"/>
  <c r="DW59" i="10"/>
  <c r="DT59" i="10"/>
  <c r="DR59" i="10"/>
  <c r="EU59" i="10"/>
  <c r="DJ59" i="10"/>
  <c r="EP59" i="10"/>
  <c r="EK59" i="10"/>
  <c r="EL59" i="10"/>
  <c r="EJ59" i="10"/>
  <c r="EI59" i="10"/>
  <c r="EH59" i="10"/>
  <c r="EG59" i="10"/>
  <c r="DQ59" i="10"/>
  <c r="DN59" i="10"/>
  <c r="DH59" i="10"/>
  <c r="DG59" i="10"/>
  <c r="EA59" i="10"/>
  <c r="DZ59" i="10"/>
  <c r="DP59" i="10"/>
  <c r="DO59" i="10"/>
  <c r="DM59" i="10"/>
  <c r="ET59" i="10"/>
  <c r="ES59" i="10"/>
  <c r="EM59" i="10"/>
  <c r="EF59" i="10"/>
  <c r="ED59" i="10"/>
  <c r="EX59" i="10"/>
  <c r="EW59" i="10"/>
  <c r="EV59" i="10"/>
  <c r="EQ59" i="10"/>
  <c r="EO59" i="10"/>
  <c r="EN59" i="10"/>
  <c r="EC59" i="10"/>
  <c r="DK59" i="10"/>
  <c r="DI59" i="10"/>
  <c r="EB59" i="10"/>
  <c r="EE59" i="10"/>
  <c r="ED51" i="10"/>
  <c r="EA51" i="10"/>
  <c r="DZ51" i="10"/>
  <c r="DY51" i="10"/>
  <c r="DX51" i="10"/>
  <c r="DW51" i="10"/>
  <c r="DV51" i="10"/>
  <c r="EW51" i="10"/>
  <c r="DO51" i="10"/>
  <c r="ES51" i="10"/>
  <c r="DK51" i="10"/>
  <c r="EN51" i="10"/>
  <c r="DQ51" i="10"/>
  <c r="DP51" i="10"/>
  <c r="DN51" i="10"/>
  <c r="DM51" i="10"/>
  <c r="DL51" i="10"/>
  <c r="ET51" i="10"/>
  <c r="EP51" i="10"/>
  <c r="EJ51" i="10"/>
  <c r="EY51" i="10"/>
  <c r="EL51" i="10"/>
  <c r="EG51" i="10"/>
  <c r="DU51" i="10"/>
  <c r="DT51" i="10"/>
  <c r="DS51" i="10"/>
  <c r="DR51" i="10"/>
  <c r="DJ51" i="10"/>
  <c r="DI51" i="10"/>
  <c r="EU51" i="10"/>
  <c r="ER51" i="10"/>
  <c r="EO51" i="10"/>
  <c r="EM51" i="10"/>
  <c r="EK51" i="10"/>
  <c r="EI51" i="10"/>
  <c r="EH51" i="10"/>
  <c r="EF51" i="10"/>
  <c r="EV51" i="10"/>
  <c r="EE51" i="10"/>
  <c r="EC51" i="10"/>
  <c r="EB51" i="10"/>
  <c r="EQ51" i="10"/>
  <c r="DG51" i="10"/>
  <c r="EX51" i="10"/>
  <c r="DH51" i="10"/>
  <c r="EP55" i="10"/>
  <c r="DJ55" i="10"/>
  <c r="EO55" i="10"/>
  <c r="DI55" i="10"/>
  <c r="EM55" i="10"/>
  <c r="DG55" i="10"/>
  <c r="EF55" i="10"/>
  <c r="DU55" i="10"/>
  <c r="DT55" i="10"/>
  <c r="DS55" i="10"/>
  <c r="DR55" i="10"/>
  <c r="DQ55" i="10"/>
  <c r="ET55" i="10"/>
  <c r="DH55" i="10"/>
  <c r="EN55" i="10"/>
  <c r="EH55" i="10"/>
  <c r="DY55" i="10"/>
  <c r="DX55" i="10"/>
  <c r="DW55" i="10"/>
  <c r="DV55" i="10"/>
  <c r="DP55" i="10"/>
  <c r="EW55" i="10"/>
  <c r="EQ55" i="10"/>
  <c r="ES55" i="10"/>
  <c r="EJ55" i="10"/>
  <c r="EC55" i="10"/>
  <c r="EU55" i="10"/>
  <c r="EI55" i="10"/>
  <c r="EG55" i="10"/>
  <c r="ED55" i="10"/>
  <c r="ER55" i="10"/>
  <c r="EB55" i="10"/>
  <c r="EA55" i="10"/>
  <c r="DO55" i="10"/>
  <c r="DN55" i="10"/>
  <c r="EX55" i="10"/>
  <c r="EL55" i="10"/>
  <c r="EK55" i="10"/>
  <c r="EE55" i="10"/>
  <c r="DM55" i="10"/>
  <c r="DL55" i="10"/>
  <c r="DK55" i="10"/>
  <c r="EV55" i="10"/>
  <c r="EY55" i="10"/>
  <c r="DZ55" i="10"/>
  <c r="ET218" i="10"/>
  <c r="DN218" i="10"/>
  <c r="EA218" i="10"/>
  <c r="DT218" i="10"/>
  <c r="ER218" i="10"/>
  <c r="DI218" i="10"/>
  <c r="EU218" i="10"/>
  <c r="DJ218" i="10"/>
  <c r="ES218" i="10"/>
  <c r="DH218" i="10"/>
  <c r="EQ218" i="10"/>
  <c r="DG218" i="10"/>
  <c r="EP218" i="10"/>
  <c r="EJ218" i="10"/>
  <c r="EG218" i="10"/>
  <c r="DY218" i="10"/>
  <c r="DP218" i="10"/>
  <c r="DO218" i="10"/>
  <c r="DM218" i="10"/>
  <c r="DL218" i="10"/>
  <c r="EX218" i="10"/>
  <c r="EN218" i="10"/>
  <c r="EI218" i="10"/>
  <c r="EF218" i="10"/>
  <c r="ED218" i="10"/>
  <c r="EK218" i="10"/>
  <c r="EH218" i="10"/>
  <c r="EE218" i="10"/>
  <c r="EC218" i="10"/>
  <c r="DS218" i="10"/>
  <c r="DK218" i="10"/>
  <c r="DX218" i="10"/>
  <c r="DW218" i="10"/>
  <c r="DV218" i="10"/>
  <c r="DU218" i="10"/>
  <c r="DR218" i="10"/>
  <c r="EY218" i="10"/>
  <c r="DZ218" i="10"/>
  <c r="DQ218" i="10"/>
  <c r="EW218" i="10"/>
  <c r="EL218" i="10"/>
  <c r="EV218" i="10"/>
  <c r="EO218" i="10"/>
  <c r="EM218" i="10"/>
  <c r="EB218" i="10"/>
  <c r="EU118" i="10"/>
  <c r="DO118" i="10"/>
  <c r="DY118" i="10"/>
  <c r="EN118" i="10"/>
  <c r="EC118" i="10"/>
  <c r="EB118" i="10"/>
  <c r="EA118" i="10"/>
  <c r="DZ118" i="10"/>
  <c r="DR118" i="10"/>
  <c r="EX118" i="10"/>
  <c r="DN118" i="10"/>
  <c r="EQ118" i="10"/>
  <c r="DH118" i="10"/>
  <c r="EF118" i="10"/>
  <c r="EE118" i="10"/>
  <c r="ED118" i="10"/>
  <c r="DX118" i="10"/>
  <c r="DW118" i="10"/>
  <c r="DM118" i="10"/>
  <c r="DI118" i="10"/>
  <c r="ET118" i="10"/>
  <c r="DJ118" i="10"/>
  <c r="DG118" i="10"/>
  <c r="EW118" i="10"/>
  <c r="EP118" i="10"/>
  <c r="EK118" i="10"/>
  <c r="EJ118" i="10"/>
  <c r="EH118" i="10"/>
  <c r="ES118" i="10"/>
  <c r="EL118" i="10"/>
  <c r="EI118" i="10"/>
  <c r="DV118" i="10"/>
  <c r="EO118" i="10"/>
  <c r="DT118" i="10"/>
  <c r="DS118" i="10"/>
  <c r="DP118" i="10"/>
  <c r="EV118" i="10"/>
  <c r="DU118" i="10"/>
  <c r="DQ118" i="10"/>
  <c r="DK118" i="10"/>
  <c r="ER118" i="10"/>
  <c r="EY118" i="10"/>
  <c r="EM118" i="10"/>
  <c r="EG118" i="10"/>
  <c r="DL118" i="10"/>
  <c r="EN25" i="10"/>
  <c r="DH25" i="10"/>
  <c r="EM25" i="10"/>
  <c r="DG25" i="10"/>
  <c r="EL25" i="10"/>
  <c r="DT25" i="10"/>
  <c r="ER25" i="10"/>
  <c r="EQ25" i="10"/>
  <c r="EP25" i="10"/>
  <c r="EO25" i="10"/>
  <c r="EK25" i="10"/>
  <c r="EC25" i="10"/>
  <c r="DZ25" i="10"/>
  <c r="DU25" i="10"/>
  <c r="EB25" i="10"/>
  <c r="EA25" i="10"/>
  <c r="DY25" i="10"/>
  <c r="DX25" i="10"/>
  <c r="DW25" i="10"/>
  <c r="DM25" i="10"/>
  <c r="DI25" i="10"/>
  <c r="EX25" i="10"/>
  <c r="EW25" i="10"/>
  <c r="EV25" i="10"/>
  <c r="EU25" i="10"/>
  <c r="ET25" i="10"/>
  <c r="ED25" i="10"/>
  <c r="DQ25" i="10"/>
  <c r="DL25" i="10"/>
  <c r="DK25" i="10"/>
  <c r="EG25" i="10"/>
  <c r="DS25" i="10"/>
  <c r="DN25" i="10"/>
  <c r="DJ25" i="10"/>
  <c r="ES25" i="10"/>
  <c r="EJ25" i="10"/>
  <c r="EI25" i="10"/>
  <c r="EH25" i="10"/>
  <c r="EF25" i="10"/>
  <c r="EY25" i="10"/>
  <c r="EE25" i="10"/>
  <c r="DV25" i="10"/>
  <c r="DP25" i="10"/>
  <c r="DR25" i="10"/>
  <c r="DO25" i="10"/>
  <c r="DX270" i="10"/>
  <c r="EK270" i="10"/>
  <c r="EO270" i="10"/>
  <c r="DG270" i="10"/>
  <c r="DT270" i="10"/>
  <c r="EE270" i="10"/>
  <c r="DP270" i="10"/>
  <c r="ES270" i="10"/>
  <c r="ER270" i="10"/>
  <c r="DW270" i="10"/>
  <c r="DV270" i="10"/>
  <c r="DU270" i="10"/>
  <c r="DS270" i="10"/>
  <c r="DR270" i="10"/>
  <c r="EB270" i="10"/>
  <c r="EA270" i="10"/>
  <c r="DZ270" i="10"/>
  <c r="DY270" i="10"/>
  <c r="DL270" i="10"/>
  <c r="DI270" i="10"/>
  <c r="EY270" i="10"/>
  <c r="EQ270" i="10"/>
  <c r="EM270" i="10"/>
  <c r="EJ270" i="10"/>
  <c r="EI270" i="10"/>
  <c r="EH270" i="10"/>
  <c r="EG270" i="10"/>
  <c r="DN270" i="10"/>
  <c r="DJ270" i="10"/>
  <c r="EU270" i="10"/>
  <c r="EL270" i="10"/>
  <c r="DQ270" i="10"/>
  <c r="DM270" i="10"/>
  <c r="DH270" i="10"/>
  <c r="EP270" i="10"/>
  <c r="EN270" i="10"/>
  <c r="EF270" i="10"/>
  <c r="ED270" i="10"/>
  <c r="EX270" i="10"/>
  <c r="EW270" i="10"/>
  <c r="EV270" i="10"/>
  <c r="ET270" i="10"/>
  <c r="EC270" i="10"/>
  <c r="DK270" i="10"/>
  <c r="DO270" i="10"/>
  <c r="ET69" i="10"/>
  <c r="DN69" i="10"/>
  <c r="DU69" i="10"/>
  <c r="DT69" i="10"/>
  <c r="EY69" i="10"/>
  <c r="DR69" i="10"/>
  <c r="EQ69" i="10"/>
  <c r="DJ69" i="10"/>
  <c r="EM69" i="10"/>
  <c r="EH69" i="10"/>
  <c r="EG69" i="10"/>
  <c r="EF69" i="10"/>
  <c r="EE69" i="10"/>
  <c r="ED69" i="10"/>
  <c r="EC69" i="10"/>
  <c r="DV69" i="10"/>
  <c r="DO69" i="10"/>
  <c r="EW69" i="10"/>
  <c r="DH69" i="10"/>
  <c r="EX69" i="10"/>
  <c r="EV69" i="10"/>
  <c r="EU69" i="10"/>
  <c r="ES69" i="10"/>
  <c r="ER69" i="10"/>
  <c r="EB69" i="10"/>
  <c r="DY69" i="10"/>
  <c r="DQ69" i="10"/>
  <c r="DP69" i="10"/>
  <c r="DL69" i="10"/>
  <c r="EP69" i="10"/>
  <c r="EJ69" i="10"/>
  <c r="EI69" i="10"/>
  <c r="EA69" i="10"/>
  <c r="DZ69" i="10"/>
  <c r="DX69" i="10"/>
  <c r="DW69" i="10"/>
  <c r="EL69" i="10"/>
  <c r="EK69" i="10"/>
  <c r="DS69" i="10"/>
  <c r="DM69" i="10"/>
  <c r="DK69" i="10"/>
  <c r="EO69" i="10"/>
  <c r="EN69" i="10"/>
  <c r="DI69" i="10"/>
  <c r="DG69" i="10"/>
  <c r="EL43" i="10"/>
  <c r="EX43" i="10"/>
  <c r="DQ43" i="10"/>
  <c r="EW43" i="10"/>
  <c r="DP43" i="10"/>
  <c r="EV43" i="10"/>
  <c r="DO43" i="10"/>
  <c r="EU43" i="10"/>
  <c r="DN43" i="10"/>
  <c r="ET43" i="10"/>
  <c r="DM43" i="10"/>
  <c r="EM43" i="10"/>
  <c r="EH43" i="10"/>
  <c r="EC43" i="10"/>
  <c r="DU43" i="10"/>
  <c r="DT43" i="10"/>
  <c r="DS43" i="10"/>
  <c r="DR43" i="10"/>
  <c r="DL43" i="10"/>
  <c r="ES43" i="10"/>
  <c r="EP43" i="10"/>
  <c r="EI43" i="10"/>
  <c r="EK43" i="10"/>
  <c r="EE43" i="10"/>
  <c r="DY43" i="10"/>
  <c r="EY43" i="10"/>
  <c r="ED43" i="10"/>
  <c r="DX43" i="10"/>
  <c r="DJ43" i="10"/>
  <c r="DI43" i="10"/>
  <c r="DG43" i="10"/>
  <c r="ER43" i="10"/>
  <c r="EQ43" i="10"/>
  <c r="EO43" i="10"/>
  <c r="EN43" i="10"/>
  <c r="EJ43" i="10"/>
  <c r="DK43" i="10"/>
  <c r="EF43" i="10"/>
  <c r="EB43" i="10"/>
  <c r="EA43" i="10"/>
  <c r="EG43" i="10"/>
  <c r="DZ43" i="10"/>
  <c r="DW43" i="10"/>
  <c r="DH43" i="10"/>
  <c r="DV43" i="10"/>
  <c r="EY263" i="10"/>
  <c r="DS263" i="10"/>
  <c r="EF263" i="10"/>
  <c r="EV263" i="10"/>
  <c r="DN263" i="10"/>
  <c r="EB263" i="10"/>
  <c r="DR263" i="10"/>
  <c r="DW263" i="10"/>
  <c r="DV263" i="10"/>
  <c r="DU263" i="10"/>
  <c r="DQ263" i="10"/>
  <c r="DO263" i="10"/>
  <c r="DM263" i="10"/>
  <c r="DL263" i="10"/>
  <c r="DK263" i="10"/>
  <c r="EU263" i="10"/>
  <c r="ER263" i="10"/>
  <c r="EH263" i="10"/>
  <c r="EG263" i="10"/>
  <c r="EE263" i="10"/>
  <c r="ED263" i="10"/>
  <c r="DT263" i="10"/>
  <c r="DI263" i="10"/>
  <c r="ET263" i="10"/>
  <c r="EP263" i="10"/>
  <c r="EL263" i="10"/>
  <c r="EI263" i="10"/>
  <c r="DZ263" i="10"/>
  <c r="EX263" i="10"/>
  <c r="EO263" i="10"/>
  <c r="EM263" i="10"/>
  <c r="EJ263" i="10"/>
  <c r="EN263" i="10"/>
  <c r="EA263" i="10"/>
  <c r="DJ263" i="10"/>
  <c r="DG263" i="10"/>
  <c r="ES263" i="10"/>
  <c r="EC263" i="10"/>
  <c r="DH263" i="10"/>
  <c r="DX263" i="10"/>
  <c r="DY263" i="10"/>
  <c r="DP263" i="10"/>
  <c r="EW263" i="10"/>
  <c r="EK263" i="10"/>
  <c r="EQ263" i="10"/>
  <c r="ER133" i="10"/>
  <c r="DL133" i="10"/>
  <c r="EQ133" i="10"/>
  <c r="DJ133" i="10"/>
  <c r="EP133" i="10"/>
  <c r="DI133" i="10"/>
  <c r="EN133" i="10"/>
  <c r="DG133" i="10"/>
  <c r="EH133" i="10"/>
  <c r="DY133" i="10"/>
  <c r="EI133" i="10"/>
  <c r="EG133" i="10"/>
  <c r="EF133" i="10"/>
  <c r="EE133" i="10"/>
  <c r="DW133" i="10"/>
  <c r="DT133" i="10"/>
  <c r="DN133" i="10"/>
  <c r="EU133" i="10"/>
  <c r="ET133" i="10"/>
  <c r="ES133" i="10"/>
  <c r="EO133" i="10"/>
  <c r="EM133" i="10"/>
  <c r="EA133" i="10"/>
  <c r="DU133" i="10"/>
  <c r="DP133" i="10"/>
  <c r="DO133" i="10"/>
  <c r="DK133" i="10"/>
  <c r="EY133" i="10"/>
  <c r="EX133" i="10"/>
  <c r="EW133" i="10"/>
  <c r="EB133" i="10"/>
  <c r="DS133" i="10"/>
  <c r="DH133" i="10"/>
  <c r="EV133" i="10"/>
  <c r="EJ133" i="10"/>
  <c r="DX133" i="10"/>
  <c r="DV133" i="10"/>
  <c r="DQ133" i="10"/>
  <c r="EK133" i="10"/>
  <c r="ED133" i="10"/>
  <c r="DZ133" i="10"/>
  <c r="EL133" i="10"/>
  <c r="EC133" i="10"/>
  <c r="DR133" i="10"/>
  <c r="DM133" i="10"/>
  <c r="EG188" i="10"/>
  <c r="ES188" i="10"/>
  <c r="DL188" i="10"/>
  <c r="ER188" i="10"/>
  <c r="DK188" i="10"/>
  <c r="EQ188" i="10"/>
  <c r="DJ188" i="10"/>
  <c r="EP188" i="10"/>
  <c r="DI188" i="10"/>
  <c r="EJ188" i="10"/>
  <c r="EF188" i="10"/>
  <c r="DN188" i="10"/>
  <c r="DM188" i="10"/>
  <c r="EY188" i="10"/>
  <c r="DH188" i="10"/>
  <c r="EX188" i="10"/>
  <c r="DG188" i="10"/>
  <c r="EN188" i="10"/>
  <c r="EI188" i="10"/>
  <c r="EA188" i="10"/>
  <c r="EW188" i="10"/>
  <c r="EV188" i="10"/>
  <c r="EU188" i="10"/>
  <c r="ET188" i="10"/>
  <c r="ED188" i="10"/>
  <c r="DZ188" i="10"/>
  <c r="DT188" i="10"/>
  <c r="EB188" i="10"/>
  <c r="DY188" i="10"/>
  <c r="DX188" i="10"/>
  <c r="DW188" i="10"/>
  <c r="DO188" i="10"/>
  <c r="EO188" i="10"/>
  <c r="EM188" i="10"/>
  <c r="DU188" i="10"/>
  <c r="DP188" i="10"/>
  <c r="DQ188" i="10"/>
  <c r="EH188" i="10"/>
  <c r="EE188" i="10"/>
  <c r="EC188" i="10"/>
  <c r="DV188" i="10"/>
  <c r="DS188" i="10"/>
  <c r="EL188" i="10"/>
  <c r="EK188" i="10"/>
  <c r="DR188" i="10"/>
  <c r="DT103" i="10"/>
  <c r="EY103" i="10"/>
  <c r="DS103" i="10"/>
  <c r="EX103" i="10"/>
  <c r="DR103" i="10"/>
  <c r="EW103" i="10"/>
  <c r="DQ103" i="10"/>
  <c r="EP103" i="10"/>
  <c r="DJ103" i="10"/>
  <c r="EM103" i="10"/>
  <c r="DG103" i="10"/>
  <c r="EG103" i="10"/>
  <c r="EK103" i="10"/>
  <c r="EJ103" i="10"/>
  <c r="EI103" i="10"/>
  <c r="EH103" i="10"/>
  <c r="EF103" i="10"/>
  <c r="DY103" i="10"/>
  <c r="DU103" i="10"/>
  <c r="DL103" i="10"/>
  <c r="DV103" i="10"/>
  <c r="DP103" i="10"/>
  <c r="DO103" i="10"/>
  <c r="DN103" i="10"/>
  <c r="DM103" i="10"/>
  <c r="EV103" i="10"/>
  <c r="ER103" i="10"/>
  <c r="EQ103" i="10"/>
  <c r="EN103" i="10"/>
  <c r="EC103" i="10"/>
  <c r="EB103" i="10"/>
  <c r="EA103" i="10"/>
  <c r="DZ103" i="10"/>
  <c r="DX103" i="10"/>
  <c r="DW103" i="10"/>
  <c r="ES103" i="10"/>
  <c r="ED103" i="10"/>
  <c r="DK103" i="10"/>
  <c r="DH103" i="10"/>
  <c r="EU103" i="10"/>
  <c r="ET103" i="10"/>
  <c r="EO103" i="10"/>
  <c r="EE103" i="10"/>
  <c r="EL103" i="10"/>
  <c r="DI103" i="10"/>
  <c r="DZ254" i="10"/>
  <c r="EM254" i="10"/>
  <c r="DG254" i="10"/>
  <c r="EL254" i="10"/>
  <c r="ED254" i="10"/>
  <c r="EC254" i="10"/>
  <c r="EB254" i="10"/>
  <c r="EY254" i="10"/>
  <c r="DM254" i="10"/>
  <c r="EX254" i="10"/>
  <c r="DL254" i="10"/>
  <c r="EW254" i="10"/>
  <c r="DK254" i="10"/>
  <c r="EV254" i="10"/>
  <c r="DJ254" i="10"/>
  <c r="EJ254" i="10"/>
  <c r="EI254" i="10"/>
  <c r="EH254" i="10"/>
  <c r="EG254" i="10"/>
  <c r="DW254" i="10"/>
  <c r="DT254" i="10"/>
  <c r="EP254" i="10"/>
  <c r="EO254" i="10"/>
  <c r="EN254" i="10"/>
  <c r="EK254" i="10"/>
  <c r="DV254" i="10"/>
  <c r="DR254" i="10"/>
  <c r="DN254" i="10"/>
  <c r="ER254" i="10"/>
  <c r="EA254" i="10"/>
  <c r="DS254" i="10"/>
  <c r="DP254" i="10"/>
  <c r="DI254" i="10"/>
  <c r="ET254" i="10"/>
  <c r="EU254" i="10"/>
  <c r="ES254" i="10"/>
  <c r="DQ254" i="10"/>
  <c r="EQ254" i="10"/>
  <c r="EF254" i="10"/>
  <c r="EE254" i="10"/>
  <c r="DU254" i="10"/>
  <c r="DO254" i="10"/>
  <c r="DH254" i="10"/>
  <c r="DY254" i="10"/>
  <c r="DX254" i="10"/>
  <c r="EJ53" i="10"/>
  <c r="EG53" i="10"/>
  <c r="EN53" i="10"/>
  <c r="EM53" i="10"/>
  <c r="EL53" i="10"/>
  <c r="EK53" i="10"/>
  <c r="EI53" i="10"/>
  <c r="EA53" i="10"/>
  <c r="DW53" i="10"/>
  <c r="DR53" i="10"/>
  <c r="DS53" i="10"/>
  <c r="DQ53" i="10"/>
  <c r="DP53" i="10"/>
  <c r="DO53" i="10"/>
  <c r="DN53" i="10"/>
  <c r="EV53" i="10"/>
  <c r="ES53" i="10"/>
  <c r="EH53" i="10"/>
  <c r="ED53" i="10"/>
  <c r="EC53" i="10"/>
  <c r="EB53" i="10"/>
  <c r="DZ53" i="10"/>
  <c r="DY53" i="10"/>
  <c r="DJ53" i="10"/>
  <c r="EY53" i="10"/>
  <c r="DK53" i="10"/>
  <c r="DI53" i="10"/>
  <c r="DH53" i="10"/>
  <c r="DG53" i="10"/>
  <c r="EX53" i="10"/>
  <c r="ER53" i="10"/>
  <c r="EQ53" i="10"/>
  <c r="EO53" i="10"/>
  <c r="DX53" i="10"/>
  <c r="DM53" i="10"/>
  <c r="EW53" i="10"/>
  <c r="EU53" i="10"/>
  <c r="ET53" i="10"/>
  <c r="EE53" i="10"/>
  <c r="DT53" i="10"/>
  <c r="DV53" i="10"/>
  <c r="DL53" i="10"/>
  <c r="EP53" i="10"/>
  <c r="EF53" i="10"/>
  <c r="DU53" i="10"/>
  <c r="ET27" i="10"/>
  <c r="DN27" i="10"/>
  <c r="ES27" i="10"/>
  <c r="DM27" i="10"/>
  <c r="ER27" i="10"/>
  <c r="DL27" i="10"/>
  <c r="DZ27" i="10"/>
  <c r="EA27" i="10"/>
  <c r="DY27" i="10"/>
  <c r="DX27" i="10"/>
  <c r="DW27" i="10"/>
  <c r="DV27" i="10"/>
  <c r="EX27" i="10"/>
  <c r="DK27" i="10"/>
  <c r="EU27" i="10"/>
  <c r="DH27" i="10"/>
  <c r="EM27" i="10"/>
  <c r="EJ27" i="10"/>
  <c r="EI27" i="10"/>
  <c r="EH27" i="10"/>
  <c r="EG27" i="10"/>
  <c r="EF27" i="10"/>
  <c r="DR27" i="10"/>
  <c r="DJ27" i="10"/>
  <c r="DT27" i="10"/>
  <c r="DS27" i="10"/>
  <c r="DQ27" i="10"/>
  <c r="DP27" i="10"/>
  <c r="DO27" i="10"/>
  <c r="EV27" i="10"/>
  <c r="EQ27" i="10"/>
  <c r="EO27" i="10"/>
  <c r="EK27" i="10"/>
  <c r="EB27" i="10"/>
  <c r="EN27" i="10"/>
  <c r="EC27" i="10"/>
  <c r="DG27" i="10"/>
  <c r="DU27" i="10"/>
  <c r="DI27" i="10"/>
  <c r="EY27" i="10"/>
  <c r="EP27" i="10"/>
  <c r="EW27" i="10"/>
  <c r="EE27" i="10"/>
  <c r="ED27" i="10"/>
  <c r="EL27" i="10"/>
  <c r="EP238" i="10"/>
  <c r="DJ238" i="10"/>
  <c r="DW238" i="10"/>
  <c r="EO238" i="10"/>
  <c r="DG238" i="10"/>
  <c r="ET238" i="10"/>
  <c r="DK238" i="10"/>
  <c r="ED238" i="10"/>
  <c r="EM238" i="10"/>
  <c r="EL238" i="10"/>
  <c r="EK238" i="10"/>
  <c r="EJ238" i="10"/>
  <c r="EC238" i="10"/>
  <c r="DZ238" i="10"/>
  <c r="DY238" i="10"/>
  <c r="DX238" i="10"/>
  <c r="DV238" i="10"/>
  <c r="DP238" i="10"/>
  <c r="DM238" i="10"/>
  <c r="EY238" i="10"/>
  <c r="EV238" i="10"/>
  <c r="EX238" i="10"/>
  <c r="EW238" i="10"/>
  <c r="EU238" i="10"/>
  <c r="EH238" i="10"/>
  <c r="EB238" i="10"/>
  <c r="DS238" i="10"/>
  <c r="DQ238" i="10"/>
  <c r="DN238" i="10"/>
  <c r="EQ238" i="10"/>
  <c r="EI238" i="10"/>
  <c r="EF238" i="10"/>
  <c r="DR238" i="10"/>
  <c r="DO238" i="10"/>
  <c r="DL238" i="10"/>
  <c r="DI238" i="10"/>
  <c r="DH238" i="10"/>
  <c r="EN238" i="10"/>
  <c r="EG238" i="10"/>
  <c r="EE238" i="10"/>
  <c r="EA238" i="10"/>
  <c r="DU238" i="10"/>
  <c r="ES238" i="10"/>
  <c r="DT238" i="10"/>
  <c r="ER238" i="10"/>
  <c r="EC11" i="10"/>
  <c r="EI11" i="10"/>
  <c r="EH11" i="10"/>
  <c r="EG11" i="10"/>
  <c r="EF11" i="10"/>
  <c r="EE11" i="10"/>
  <c r="DV11" i="10"/>
  <c r="DS11" i="10"/>
  <c r="EU11" i="10"/>
  <c r="DN11" i="10"/>
  <c r="ER11" i="10"/>
  <c r="EQ11" i="10"/>
  <c r="EP11" i="10"/>
  <c r="EO11" i="10"/>
  <c r="EN11" i="10"/>
  <c r="DZ11" i="10"/>
  <c r="EJ11" i="10"/>
  <c r="ED11" i="10"/>
  <c r="EB11" i="10"/>
  <c r="EA11" i="10"/>
  <c r="DY11" i="10"/>
  <c r="DO11" i="10"/>
  <c r="DJ11" i="10"/>
  <c r="EY11" i="10"/>
  <c r="DP11" i="10"/>
  <c r="DM11" i="10"/>
  <c r="DL11" i="10"/>
  <c r="DK11" i="10"/>
  <c r="DI11" i="10"/>
  <c r="EV11" i="10"/>
  <c r="ET11" i="10"/>
  <c r="EM11" i="10"/>
  <c r="EL11" i="10"/>
  <c r="DW11" i="10"/>
  <c r="DU11" i="10"/>
  <c r="DT11" i="10"/>
  <c r="DR11" i="10"/>
  <c r="DQ11" i="10"/>
  <c r="DH11" i="10"/>
  <c r="DG11" i="10"/>
  <c r="EX11" i="10"/>
  <c r="ES11" i="10"/>
  <c r="DX11" i="10"/>
  <c r="EK11" i="10"/>
  <c r="EW11" i="10"/>
  <c r="CF271" i="10"/>
  <c r="CF268" i="10"/>
  <c r="CF253" i="10"/>
  <c r="CF248" i="10"/>
  <c r="CF270" i="10"/>
  <c r="CF267" i="10"/>
  <c r="CF264" i="10"/>
  <c r="CF211" i="10"/>
  <c r="CF238" i="10"/>
  <c r="CF206" i="10"/>
  <c r="CF233" i="10"/>
  <c r="CF201" i="10"/>
  <c r="CF262" i="10"/>
  <c r="CF228" i="10"/>
  <c r="CF257" i="10"/>
  <c r="CF223" i="10"/>
  <c r="CF215" i="10"/>
  <c r="CF242" i="10"/>
  <c r="CF227" i="10"/>
  <c r="CF251" i="10"/>
  <c r="CF234" i="10"/>
  <c r="CF216" i="10"/>
  <c r="CF194" i="10"/>
  <c r="CF163" i="10"/>
  <c r="CF259" i="10"/>
  <c r="CF258" i="10"/>
  <c r="CF229" i="10"/>
  <c r="CF197" i="10"/>
  <c r="CF274" i="10"/>
  <c r="CF260" i="10"/>
  <c r="CF185" i="10"/>
  <c r="CF269" i="10"/>
  <c r="CF180" i="10"/>
  <c r="CF175" i="10"/>
  <c r="CF167" i="10"/>
  <c r="CF247" i="10"/>
  <c r="CF239" i="10"/>
  <c r="CF210" i="10"/>
  <c r="CF179" i="10"/>
  <c r="CF219" i="10"/>
  <c r="CF209" i="10"/>
  <c r="CF195" i="10"/>
  <c r="CF186" i="10"/>
  <c r="CF255" i="10"/>
  <c r="CF254" i="10"/>
  <c r="CF256" i="10"/>
  <c r="CF190" i="10"/>
  <c r="CF187" i="10"/>
  <c r="CF244" i="10"/>
  <c r="CF207" i="10"/>
  <c r="CF193" i="10"/>
  <c r="CF189" i="10"/>
  <c r="CF188" i="10"/>
  <c r="CF168" i="10"/>
  <c r="CF146" i="10"/>
  <c r="CF224" i="10"/>
  <c r="CF196" i="10"/>
  <c r="CF192" i="10"/>
  <c r="CF191" i="10"/>
  <c r="CF162" i="10"/>
  <c r="CF158" i="10"/>
  <c r="CF151" i="10"/>
  <c r="CF141" i="10"/>
  <c r="CF241" i="10"/>
  <c r="CF208" i="10"/>
  <c r="CF198" i="10"/>
  <c r="CF136" i="10"/>
  <c r="CF174" i="10"/>
  <c r="CF131" i="10"/>
  <c r="CF150" i="10"/>
  <c r="CF203" i="10"/>
  <c r="CF246" i="10"/>
  <c r="CF243" i="10"/>
  <c r="CF231" i="10"/>
  <c r="CF222" i="10"/>
  <c r="CF170" i="10"/>
  <c r="CF164" i="10"/>
  <c r="CF156" i="10"/>
  <c r="CF265" i="10"/>
  <c r="CF263" i="10"/>
  <c r="CF240" i="10"/>
  <c r="CF236" i="10"/>
  <c r="CF217" i="10"/>
  <c r="CF205" i="10"/>
  <c r="CF235" i="10"/>
  <c r="CF181" i="10"/>
  <c r="CF159" i="10"/>
  <c r="CF128" i="10"/>
  <c r="CF102" i="10"/>
  <c r="CF214" i="10"/>
  <c r="CF204" i="10"/>
  <c r="CF169" i="10"/>
  <c r="CF160" i="10"/>
  <c r="CF147" i="10"/>
  <c r="CF97" i="10"/>
  <c r="CF237" i="10"/>
  <c r="CF132" i="10"/>
  <c r="CF225" i="10"/>
  <c r="CF119" i="10"/>
  <c r="CF250" i="10"/>
  <c r="CF137" i="10"/>
  <c r="CF114" i="10"/>
  <c r="CF143" i="10"/>
  <c r="CF101" i="10"/>
  <c r="CF178" i="10"/>
  <c r="CF142" i="10"/>
  <c r="CF126" i="10"/>
  <c r="CF113" i="10"/>
  <c r="CF266" i="10"/>
  <c r="CF173" i="10"/>
  <c r="CF134" i="10"/>
  <c r="CF273" i="10"/>
  <c r="CF220" i="10"/>
  <c r="CF218" i="10"/>
  <c r="CF152" i="10"/>
  <c r="CF94" i="10"/>
  <c r="CF64" i="10"/>
  <c r="CF32" i="10"/>
  <c r="CF249" i="10"/>
  <c r="CF135" i="10"/>
  <c r="CF112" i="10"/>
  <c r="CF200" i="10"/>
  <c r="CF111" i="10"/>
  <c r="CF54" i="10"/>
  <c r="CF252" i="10"/>
  <c r="CF171" i="10"/>
  <c r="CF90" i="10"/>
  <c r="CF81" i="10"/>
  <c r="CF49" i="10"/>
  <c r="CF245" i="10"/>
  <c r="CF76" i="10"/>
  <c r="CF272" i="10"/>
  <c r="CF125" i="10"/>
  <c r="CF63" i="10"/>
  <c r="CF154" i="10"/>
  <c r="CF144" i="10"/>
  <c r="CF107" i="10"/>
  <c r="CF92" i="10"/>
  <c r="CF75" i="10"/>
  <c r="CF145" i="10"/>
  <c r="CF130" i="10"/>
  <c r="CF118" i="10"/>
  <c r="CF88" i="10"/>
  <c r="CF60" i="10"/>
  <c r="CF139" i="10"/>
  <c r="CF184" i="10"/>
  <c r="CF182" i="10"/>
  <c r="CF122" i="10"/>
  <c r="CF98" i="10"/>
  <c r="CF22" i="10"/>
  <c r="AJ10" i="10"/>
  <c r="CF10" i="10" s="1"/>
  <c r="EB10" i="10" s="1"/>
  <c r="FX10" i="10" s="1"/>
  <c r="CF104" i="10"/>
  <c r="CF69" i="10"/>
  <c r="CF68" i="10"/>
  <c r="CF55" i="10"/>
  <c r="CF212" i="10"/>
  <c r="CF40" i="10"/>
  <c r="CF44" i="10"/>
  <c r="CF19" i="10"/>
  <c r="CF153" i="10"/>
  <c r="CF129" i="10"/>
  <c r="CF110" i="10"/>
  <c r="CF99" i="10"/>
  <c r="CF86" i="10"/>
  <c r="CF261" i="10"/>
  <c r="CF106" i="10"/>
  <c r="CF65" i="10"/>
  <c r="CF53" i="10"/>
  <c r="CF138" i="10"/>
  <c r="CF133" i="10"/>
  <c r="CF47" i="10"/>
  <c r="CF26" i="10"/>
  <c r="CF52" i="10"/>
  <c r="CF42" i="10"/>
  <c r="CF38" i="10"/>
  <c r="CF96" i="10"/>
  <c r="CF213" i="10"/>
  <c r="CF166" i="10"/>
  <c r="CF12" i="10"/>
  <c r="CF45" i="10"/>
  <c r="CF79" i="10"/>
  <c r="CF202" i="10"/>
  <c r="CF91" i="10"/>
  <c r="CF46" i="10"/>
  <c r="CF109" i="10"/>
  <c r="CF74" i="10"/>
  <c r="CF18" i="10"/>
  <c r="CF11" i="10"/>
  <c r="CF148" i="10"/>
  <c r="CF84" i="10"/>
  <c r="CF183" i="10"/>
  <c r="CF95" i="10"/>
  <c r="CF58" i="10"/>
  <c r="CF30" i="10"/>
  <c r="CF29" i="10"/>
  <c r="CF27" i="10"/>
  <c r="CF89" i="10"/>
  <c r="CF71" i="10"/>
  <c r="CF66" i="10"/>
  <c r="CF33" i="10"/>
  <c r="CF161" i="10"/>
  <c r="CF103" i="10"/>
  <c r="CF50" i="10"/>
  <c r="CF37" i="10"/>
  <c r="CF24" i="10"/>
  <c r="CF155" i="10"/>
  <c r="CF67" i="10"/>
  <c r="CF51" i="10"/>
  <c r="CF25" i="10"/>
  <c r="CF199" i="10"/>
  <c r="CF108" i="10"/>
  <c r="CF221" i="10"/>
  <c r="CF93" i="10"/>
  <c r="CF72" i="10"/>
  <c r="CF41" i="10"/>
  <c r="CF23" i="10"/>
  <c r="CF14" i="10"/>
  <c r="CF177" i="10"/>
  <c r="CF87" i="10"/>
  <c r="CF43" i="10"/>
  <c r="CF120" i="10"/>
  <c r="CF127" i="10"/>
  <c r="CF78" i="10"/>
  <c r="CF17" i="10"/>
  <c r="CF230" i="10"/>
  <c r="CF140" i="10"/>
  <c r="CF123" i="10"/>
  <c r="CF39" i="10"/>
  <c r="CF82" i="10"/>
  <c r="CF80" i="10"/>
  <c r="CF35" i="10"/>
  <c r="CF226" i="10"/>
  <c r="CF176" i="10"/>
  <c r="CF70" i="10"/>
  <c r="CF157" i="10"/>
  <c r="CF83" i="10"/>
  <c r="CF36" i="10"/>
  <c r="CF121" i="10"/>
  <c r="CF115" i="10"/>
  <c r="CF85" i="10"/>
  <c r="CF20" i="10"/>
  <c r="CF77" i="10"/>
  <c r="CF56" i="10"/>
  <c r="CF13" i="10"/>
  <c r="CF59" i="10"/>
  <c r="CF149" i="10"/>
  <c r="CF73" i="10"/>
  <c r="CF31" i="10"/>
  <c r="CF28" i="10"/>
  <c r="CF34" i="10"/>
  <c r="CF15" i="10"/>
  <c r="CF62" i="10"/>
  <c r="CF124" i="10"/>
  <c r="CF165" i="10"/>
  <c r="CF48" i="10"/>
  <c r="CF61" i="10"/>
  <c r="CF117" i="10"/>
  <c r="CF105" i="10"/>
  <c r="CF100" i="10"/>
  <c r="CF116" i="10"/>
  <c r="CF57" i="10"/>
  <c r="CF16" i="10"/>
  <c r="CF172" i="10"/>
  <c r="CF21" i="10"/>
  <c r="CF232" i="10"/>
  <c r="EF193" i="10"/>
  <c r="EY193" i="10"/>
  <c r="DR193" i="10"/>
  <c r="EX193" i="10"/>
  <c r="DQ193" i="10"/>
  <c r="EW193" i="10"/>
  <c r="DP193" i="10"/>
  <c r="EV193" i="10"/>
  <c r="DO193" i="10"/>
  <c r="EP193" i="10"/>
  <c r="DI193" i="10"/>
  <c r="EM193" i="10"/>
  <c r="ED193" i="10"/>
  <c r="EC193" i="10"/>
  <c r="EB193" i="10"/>
  <c r="EA193" i="10"/>
  <c r="DU193" i="10"/>
  <c r="DM193" i="10"/>
  <c r="ET193" i="10"/>
  <c r="EH193" i="10"/>
  <c r="EG193" i="10"/>
  <c r="EE193" i="10"/>
  <c r="DZ193" i="10"/>
  <c r="DN193" i="10"/>
  <c r="DJ193" i="10"/>
  <c r="ER193" i="10"/>
  <c r="EL193" i="10"/>
  <c r="EJ193" i="10"/>
  <c r="DY193" i="10"/>
  <c r="DL193" i="10"/>
  <c r="DK193" i="10"/>
  <c r="DH193" i="10"/>
  <c r="DG193" i="10"/>
  <c r="EU193" i="10"/>
  <c r="EQ193" i="10"/>
  <c r="ES193" i="10"/>
  <c r="EO193" i="10"/>
  <c r="EN193" i="10"/>
  <c r="DS193" i="10"/>
  <c r="EK193" i="10"/>
  <c r="DV193" i="10"/>
  <c r="EI193" i="10"/>
  <c r="DX193" i="10"/>
  <c r="DW193" i="10"/>
  <c r="DT193" i="10"/>
  <c r="EI178" i="10"/>
  <c r="EF178" i="10"/>
  <c r="EE178" i="10"/>
  <c r="ED178" i="10"/>
  <c r="EC178" i="10"/>
  <c r="DW178" i="10"/>
  <c r="DT178" i="10"/>
  <c r="DN178" i="10"/>
  <c r="DM178" i="10"/>
  <c r="EY178" i="10"/>
  <c r="DL178" i="10"/>
  <c r="EX178" i="10"/>
  <c r="DK178" i="10"/>
  <c r="ER178" i="10"/>
  <c r="EN178" i="10"/>
  <c r="EG178" i="10"/>
  <c r="EB178" i="10"/>
  <c r="EA178" i="10"/>
  <c r="DZ178" i="10"/>
  <c r="DY178" i="10"/>
  <c r="DP178" i="10"/>
  <c r="DI178" i="10"/>
  <c r="EW178" i="10"/>
  <c r="DO178" i="10"/>
  <c r="DJ178" i="10"/>
  <c r="DH178" i="10"/>
  <c r="DG178" i="10"/>
  <c r="ES178" i="10"/>
  <c r="EP178" i="10"/>
  <c r="EM178" i="10"/>
  <c r="EO178" i="10"/>
  <c r="EL178" i="10"/>
  <c r="EK178" i="10"/>
  <c r="EJ178" i="10"/>
  <c r="EH178" i="10"/>
  <c r="EV178" i="10"/>
  <c r="EU178" i="10"/>
  <c r="ET178" i="10"/>
  <c r="DQ178" i="10"/>
  <c r="DS178" i="10"/>
  <c r="DV178" i="10"/>
  <c r="DU178" i="10"/>
  <c r="DR178" i="10"/>
  <c r="EQ178" i="10"/>
  <c r="DX178" i="10"/>
  <c r="EO148" i="10"/>
  <c r="DI148" i="10"/>
  <c r="EC148" i="10"/>
  <c r="EB148" i="10"/>
  <c r="EA148" i="10"/>
  <c r="DZ148" i="10"/>
  <c r="DT148" i="10"/>
  <c r="EW148" i="10"/>
  <c r="DP148" i="10"/>
  <c r="DM148" i="10"/>
  <c r="ET148" i="10"/>
  <c r="ES148" i="10"/>
  <c r="ER148" i="10"/>
  <c r="EQ148" i="10"/>
  <c r="EI148" i="10"/>
  <c r="EF148" i="10"/>
  <c r="DX148" i="10"/>
  <c r="DV148" i="10"/>
  <c r="EX148" i="10"/>
  <c r="EV148" i="10"/>
  <c r="EU148" i="10"/>
  <c r="EP148" i="10"/>
  <c r="EN148" i="10"/>
  <c r="EE148" i="10"/>
  <c r="DU148" i="10"/>
  <c r="DO148" i="10"/>
  <c r="DN148" i="10"/>
  <c r="DK148" i="10"/>
  <c r="EJ148" i="10"/>
  <c r="DY148" i="10"/>
  <c r="DQ148" i="10"/>
  <c r="DL148" i="10"/>
  <c r="DH148" i="10"/>
  <c r="EH148" i="10"/>
  <c r="DW148" i="10"/>
  <c r="DG148" i="10"/>
  <c r="EM148" i="10"/>
  <c r="ED148" i="10"/>
  <c r="DS148" i="10"/>
  <c r="EY148" i="10"/>
  <c r="EL148" i="10"/>
  <c r="EK148" i="10"/>
  <c r="EG148" i="10"/>
  <c r="DJ148" i="10"/>
  <c r="DR148" i="10"/>
  <c r="DZ127" i="10"/>
  <c r="EW127" i="10"/>
  <c r="DP127" i="10"/>
  <c r="ER127" i="10"/>
  <c r="DJ127" i="10"/>
  <c r="ET127" i="10"/>
  <c r="DK127" i="10"/>
  <c r="ES127" i="10"/>
  <c r="DI127" i="10"/>
  <c r="EQ127" i="10"/>
  <c r="DH127" i="10"/>
  <c r="EP127" i="10"/>
  <c r="DG127" i="10"/>
  <c r="EI127" i="10"/>
  <c r="EF127" i="10"/>
  <c r="DY127" i="10"/>
  <c r="ED127" i="10"/>
  <c r="EC127" i="10"/>
  <c r="EB127" i="10"/>
  <c r="EA127" i="10"/>
  <c r="DX127" i="10"/>
  <c r="DQ127" i="10"/>
  <c r="DL127" i="10"/>
  <c r="EY127" i="10"/>
  <c r="EX127" i="10"/>
  <c r="EU127" i="10"/>
  <c r="EV127" i="10"/>
  <c r="EO127" i="10"/>
  <c r="EN127" i="10"/>
  <c r="EM127" i="10"/>
  <c r="EL127" i="10"/>
  <c r="DV127" i="10"/>
  <c r="DR127" i="10"/>
  <c r="EK127" i="10"/>
  <c r="DS127" i="10"/>
  <c r="DM127" i="10"/>
  <c r="EG127" i="10"/>
  <c r="DT127" i="10"/>
  <c r="DO127" i="10"/>
  <c r="EE127" i="10"/>
  <c r="DW127" i="10"/>
  <c r="DU127" i="10"/>
  <c r="DN127" i="10"/>
  <c r="EJ127" i="10"/>
  <c r="EH127" i="10"/>
  <c r="Q7" i="10"/>
  <c r="EB21" i="10"/>
  <c r="EA21" i="10"/>
  <c r="DZ21" i="10"/>
  <c r="EN21" i="10"/>
  <c r="DH21" i="10"/>
  <c r="EO21" i="10"/>
  <c r="EM21" i="10"/>
  <c r="EL21" i="10"/>
  <c r="EK21" i="10"/>
  <c r="EJ21" i="10"/>
  <c r="DY21" i="10"/>
  <c r="DV21" i="10"/>
  <c r="DQ21" i="10"/>
  <c r="DN21" i="10"/>
  <c r="DM21" i="10"/>
  <c r="DL21" i="10"/>
  <c r="DK21" i="10"/>
  <c r="DJ21" i="10"/>
  <c r="ET21" i="10"/>
  <c r="ES21" i="10"/>
  <c r="ER21" i="10"/>
  <c r="EQ21" i="10"/>
  <c r="EP21" i="10"/>
  <c r="EI21" i="10"/>
  <c r="DW21" i="10"/>
  <c r="DR21" i="10"/>
  <c r="DG21" i="10"/>
  <c r="EF21" i="10"/>
  <c r="DX21" i="10"/>
  <c r="DP21" i="10"/>
  <c r="DO21" i="10"/>
  <c r="EG21" i="10"/>
  <c r="DU21" i="10"/>
  <c r="DI21" i="10"/>
  <c r="EV21" i="10"/>
  <c r="EE21" i="10"/>
  <c r="EC21" i="10"/>
  <c r="DT21" i="10"/>
  <c r="DS21" i="10"/>
  <c r="EY21" i="10"/>
  <c r="EX21" i="10"/>
  <c r="EW21" i="10"/>
  <c r="EU21" i="10"/>
  <c r="EH21" i="10"/>
  <c r="ED21" i="10"/>
  <c r="EH97" i="10"/>
  <c r="EG97" i="10"/>
  <c r="EF97" i="10"/>
  <c r="EE97" i="10"/>
  <c r="DX97" i="10"/>
  <c r="DU97" i="10"/>
  <c r="EU97" i="10"/>
  <c r="DO97" i="10"/>
  <c r="DT97" i="10"/>
  <c r="DS97" i="10"/>
  <c r="DR97" i="10"/>
  <c r="DQ97" i="10"/>
  <c r="DP97" i="10"/>
  <c r="EV97" i="10"/>
  <c r="DH97" i="10"/>
  <c r="EQ97" i="10"/>
  <c r="EL97" i="10"/>
  <c r="DN97" i="10"/>
  <c r="DM97" i="10"/>
  <c r="DL97" i="10"/>
  <c r="DK97" i="10"/>
  <c r="DJ97" i="10"/>
  <c r="EY97" i="10"/>
  <c r="ES97" i="10"/>
  <c r="EN97" i="10"/>
  <c r="EM97" i="10"/>
  <c r="EJ97" i="10"/>
  <c r="EX97" i="10"/>
  <c r="ED97" i="10"/>
  <c r="EA97" i="10"/>
  <c r="DV97" i="10"/>
  <c r="DI97" i="10"/>
  <c r="ER97" i="10"/>
  <c r="EI97" i="10"/>
  <c r="EC97" i="10"/>
  <c r="EW97" i="10"/>
  <c r="DW97" i="10"/>
  <c r="DY97" i="10"/>
  <c r="DZ97" i="10"/>
  <c r="ET97" i="10"/>
  <c r="EK97" i="10"/>
  <c r="EP97" i="10"/>
  <c r="EO97" i="10"/>
  <c r="EB97" i="10"/>
  <c r="DG97" i="10"/>
  <c r="EI58" i="10"/>
  <c r="EH58" i="10"/>
  <c r="EF58" i="10"/>
  <c r="DY58" i="10"/>
  <c r="EE58" i="10"/>
  <c r="ED58" i="10"/>
  <c r="EC58" i="10"/>
  <c r="EB58" i="10"/>
  <c r="EA58" i="10"/>
  <c r="DS58" i="10"/>
  <c r="EY58" i="10"/>
  <c r="DO58" i="10"/>
  <c r="ET58" i="10"/>
  <c r="DJ58" i="10"/>
  <c r="EL58" i="10"/>
  <c r="EK58" i="10"/>
  <c r="EJ58" i="10"/>
  <c r="EG58" i="10"/>
  <c r="DZ58" i="10"/>
  <c r="DP58" i="10"/>
  <c r="DL58" i="10"/>
  <c r="DG58" i="10"/>
  <c r="ER58" i="10"/>
  <c r="EN58" i="10"/>
  <c r="DU58" i="10"/>
  <c r="ES58" i="10"/>
  <c r="EQ58" i="10"/>
  <c r="EP58" i="10"/>
  <c r="EO58" i="10"/>
  <c r="EM58" i="10"/>
  <c r="DM58" i="10"/>
  <c r="EX58" i="10"/>
  <c r="DX58" i="10"/>
  <c r="DR58" i="10"/>
  <c r="DQ58" i="10"/>
  <c r="DK58" i="10"/>
  <c r="DI58" i="10"/>
  <c r="EU58" i="10"/>
  <c r="DW58" i="10"/>
  <c r="DV58" i="10"/>
  <c r="DT58" i="10"/>
  <c r="DN58" i="10"/>
  <c r="EW58" i="10"/>
  <c r="DH58" i="10"/>
  <c r="EV58" i="10"/>
  <c r="DZ222" i="10"/>
  <c r="EM222" i="10"/>
  <c r="DG222" i="10"/>
  <c r="ES222" i="10"/>
  <c r="DK222" i="10"/>
  <c r="DW222" i="10"/>
  <c r="EU222" i="10"/>
  <c r="DJ222" i="10"/>
  <c r="DQ222" i="10"/>
  <c r="DP222" i="10"/>
  <c r="DO222" i="10"/>
  <c r="EY222" i="10"/>
  <c r="DN222" i="10"/>
  <c r="EQ222" i="10"/>
  <c r="EN222" i="10"/>
  <c r="EF222" i="10"/>
  <c r="EA222" i="10"/>
  <c r="DY222" i="10"/>
  <c r="DX222" i="10"/>
  <c r="DV222" i="10"/>
  <c r="DL222" i="10"/>
  <c r="EV222" i="10"/>
  <c r="ER222" i="10"/>
  <c r="EO222" i="10"/>
  <c r="EX222" i="10"/>
  <c r="EI222" i="10"/>
  <c r="EE222" i="10"/>
  <c r="DU222" i="10"/>
  <c r="DS222" i="10"/>
  <c r="EB222" i="10"/>
  <c r="DT222" i="10"/>
  <c r="DR222" i="10"/>
  <c r="DM222" i="10"/>
  <c r="DI222" i="10"/>
  <c r="EW222" i="10"/>
  <c r="DH222" i="10"/>
  <c r="EH222" i="10"/>
  <c r="EG222" i="10"/>
  <c r="ED222" i="10"/>
  <c r="EC222" i="10"/>
  <c r="EJ222" i="10"/>
  <c r="EP222" i="10"/>
  <c r="EL222" i="10"/>
  <c r="EK222" i="10"/>
  <c r="ET222" i="10"/>
  <c r="EB244" i="10"/>
  <c r="EO244" i="10"/>
  <c r="DI244" i="10"/>
  <c r="ES244" i="10"/>
  <c r="DK244" i="10"/>
  <c r="DV244" i="10"/>
  <c r="EY244" i="10"/>
  <c r="DO244" i="10"/>
  <c r="EV244" i="10"/>
  <c r="DL244" i="10"/>
  <c r="EI244" i="10"/>
  <c r="EH244" i="10"/>
  <c r="EG244" i="10"/>
  <c r="EF244" i="10"/>
  <c r="DY244" i="10"/>
  <c r="DU244" i="10"/>
  <c r="EK244" i="10"/>
  <c r="EJ244" i="10"/>
  <c r="EE244" i="10"/>
  <c r="ED244" i="10"/>
  <c r="DT244" i="10"/>
  <c r="DQ244" i="10"/>
  <c r="DJ244" i="10"/>
  <c r="EA244" i="10"/>
  <c r="DZ244" i="10"/>
  <c r="DX244" i="10"/>
  <c r="DW244" i="10"/>
  <c r="DH244" i="10"/>
  <c r="EX244" i="10"/>
  <c r="EU244" i="10"/>
  <c r="EQ244" i="10"/>
  <c r="EL244" i="10"/>
  <c r="DS244" i="10"/>
  <c r="DP244" i="10"/>
  <c r="EP244" i="10"/>
  <c r="EM244" i="10"/>
  <c r="DR244" i="10"/>
  <c r="EN244" i="10"/>
  <c r="DG244" i="10"/>
  <c r="EC244" i="10"/>
  <c r="DN244" i="10"/>
  <c r="DM244" i="10"/>
  <c r="ER244" i="10"/>
  <c r="EW244" i="10"/>
  <c r="ET244" i="10"/>
  <c r="ER266" i="10"/>
  <c r="DL266" i="10"/>
  <c r="DY266" i="10"/>
  <c r="EX266" i="10"/>
  <c r="DP266" i="10"/>
  <c r="ED266" i="10"/>
  <c r="EC266" i="10"/>
  <c r="ET266" i="10"/>
  <c r="DH266" i="10"/>
  <c r="EE266" i="10"/>
  <c r="EP266" i="10"/>
  <c r="EO266" i="10"/>
  <c r="EN266" i="10"/>
  <c r="EM266" i="10"/>
  <c r="EL266" i="10"/>
  <c r="DQ266" i="10"/>
  <c r="DO266" i="10"/>
  <c r="DN266" i="10"/>
  <c r="DM266" i="10"/>
  <c r="EW266" i="10"/>
  <c r="DG266" i="10"/>
  <c r="EV266" i="10"/>
  <c r="EQ266" i="10"/>
  <c r="ES266" i="10"/>
  <c r="EH266" i="10"/>
  <c r="EB266" i="10"/>
  <c r="DX266" i="10"/>
  <c r="EY266" i="10"/>
  <c r="EU266" i="10"/>
  <c r="EK266" i="10"/>
  <c r="DZ266" i="10"/>
  <c r="DT266" i="10"/>
  <c r="DJ266" i="10"/>
  <c r="EG266" i="10"/>
  <c r="DW266" i="10"/>
  <c r="DR266" i="10"/>
  <c r="DI266" i="10"/>
  <c r="EI266" i="10"/>
  <c r="EF266" i="10"/>
  <c r="EA266" i="10"/>
  <c r="DV266" i="10"/>
  <c r="DU266" i="10"/>
  <c r="DS266" i="10"/>
  <c r="DK266" i="10"/>
  <c r="EJ266" i="10"/>
  <c r="EK82" i="10"/>
  <c r="EH82" i="10"/>
  <c r="EE82" i="10"/>
  <c r="ED82" i="10"/>
  <c r="EC82" i="10"/>
  <c r="EB82" i="10"/>
  <c r="EA82" i="10"/>
  <c r="DT82" i="10"/>
  <c r="EX82" i="10"/>
  <c r="DP82" i="10"/>
  <c r="ES82" i="10"/>
  <c r="DK82" i="10"/>
  <c r="DQ82" i="10"/>
  <c r="DO82" i="10"/>
  <c r="DN82" i="10"/>
  <c r="DM82" i="10"/>
  <c r="DL82" i="10"/>
  <c r="EU82" i="10"/>
  <c r="EP82" i="10"/>
  <c r="EL82" i="10"/>
  <c r="EJ82" i="10"/>
  <c r="EY82" i="10"/>
  <c r="EM82" i="10"/>
  <c r="EF82" i="10"/>
  <c r="DW82" i="10"/>
  <c r="DV82" i="10"/>
  <c r="DS82" i="10"/>
  <c r="DU82" i="10"/>
  <c r="DR82" i="10"/>
  <c r="DJ82" i="10"/>
  <c r="DI82" i="10"/>
  <c r="DH82" i="10"/>
  <c r="EV82" i="10"/>
  <c r="DY82" i="10"/>
  <c r="DX82" i="10"/>
  <c r="DG82" i="10"/>
  <c r="EW82" i="10"/>
  <c r="ET82" i="10"/>
  <c r="EN82" i="10"/>
  <c r="EO82" i="10"/>
  <c r="ER82" i="10"/>
  <c r="EQ82" i="10"/>
  <c r="EI82" i="10"/>
  <c r="EG82" i="10"/>
  <c r="DZ82" i="10"/>
  <c r="EG28" i="10"/>
  <c r="EF28" i="10"/>
  <c r="EE28" i="10"/>
  <c r="ES28" i="10"/>
  <c r="DM28" i="10"/>
  <c r="DR28" i="10"/>
  <c r="DQ28" i="10"/>
  <c r="DP28" i="10"/>
  <c r="EY28" i="10"/>
  <c r="DO28" i="10"/>
  <c r="EX28" i="10"/>
  <c r="DN28" i="10"/>
  <c r="EO28" i="10"/>
  <c r="EL28" i="10"/>
  <c r="ED28" i="10"/>
  <c r="EN28" i="10"/>
  <c r="EM28" i="10"/>
  <c r="EK28" i="10"/>
  <c r="EJ28" i="10"/>
  <c r="EI28" i="10"/>
  <c r="DW28" i="10"/>
  <c r="DS28" i="10"/>
  <c r="EQ28" i="10"/>
  <c r="EP28" i="10"/>
  <c r="EH28" i="10"/>
  <c r="EC28" i="10"/>
  <c r="EB28" i="10"/>
  <c r="DL28" i="10"/>
  <c r="DH28" i="10"/>
  <c r="DV28" i="10"/>
  <c r="DU28" i="10"/>
  <c r="DT28" i="10"/>
  <c r="DK28" i="10"/>
  <c r="DJ28" i="10"/>
  <c r="EW28" i="10"/>
  <c r="EV28" i="10"/>
  <c r="EU28" i="10"/>
  <c r="ET28" i="10"/>
  <c r="ER28" i="10"/>
  <c r="EA28" i="10"/>
  <c r="DZ28" i="10"/>
  <c r="DY28" i="10"/>
  <c r="DX28" i="10"/>
  <c r="DI28" i="10"/>
  <c r="DG28" i="10"/>
  <c r="EK269" i="10"/>
  <c r="EX269" i="10"/>
  <c r="DR269" i="10"/>
  <c r="DQ269" i="10"/>
  <c r="EE269" i="10"/>
  <c r="EN269" i="10"/>
  <c r="DX269" i="10"/>
  <c r="EW269" i="10"/>
  <c r="DK269" i="10"/>
  <c r="EB269" i="10"/>
  <c r="EA269" i="10"/>
  <c r="DZ269" i="10"/>
  <c r="DY269" i="10"/>
  <c r="DW269" i="10"/>
  <c r="DU269" i="10"/>
  <c r="DT269" i="10"/>
  <c r="DS269" i="10"/>
  <c r="DP269" i="10"/>
  <c r="DJ269" i="10"/>
  <c r="DG269" i="10"/>
  <c r="ES269" i="10"/>
  <c r="ER269" i="10"/>
  <c r="EQ269" i="10"/>
  <c r="EP269" i="10"/>
  <c r="EH269" i="10"/>
  <c r="ED269" i="10"/>
  <c r="DH269" i="10"/>
  <c r="EU269" i="10"/>
  <c r="EM269" i="10"/>
  <c r="EI269" i="10"/>
  <c r="DO269" i="10"/>
  <c r="DN269" i="10"/>
  <c r="DM269" i="10"/>
  <c r="DL269" i="10"/>
  <c r="EO269" i="10"/>
  <c r="EG269" i="10"/>
  <c r="DI269" i="10"/>
  <c r="EJ269" i="10"/>
  <c r="DV269" i="10"/>
  <c r="EL269" i="10"/>
  <c r="EY269" i="10"/>
  <c r="EV269" i="10"/>
  <c r="ET269" i="10"/>
  <c r="EF269" i="10"/>
  <c r="EC269" i="10"/>
  <c r="EP206" i="10"/>
  <c r="DJ206" i="10"/>
  <c r="DW206" i="10"/>
  <c r="EV206" i="10"/>
  <c r="DN206" i="10"/>
  <c r="EY206" i="10"/>
  <c r="DP206" i="10"/>
  <c r="EX206" i="10"/>
  <c r="DO206" i="10"/>
  <c r="EW206" i="10"/>
  <c r="DM206" i="10"/>
  <c r="EU206" i="10"/>
  <c r="DL206" i="10"/>
  <c r="EN206" i="10"/>
  <c r="EK206" i="10"/>
  <c r="ED206" i="10"/>
  <c r="ET206" i="10"/>
  <c r="EL206" i="10"/>
  <c r="EG206" i="10"/>
  <c r="EB206" i="10"/>
  <c r="DZ206" i="10"/>
  <c r="DH206" i="10"/>
  <c r="DG206" i="10"/>
  <c r="ES206" i="10"/>
  <c r="EO206" i="10"/>
  <c r="EE206" i="10"/>
  <c r="EM206" i="10"/>
  <c r="EH206" i="10"/>
  <c r="DY206" i="10"/>
  <c r="DV206" i="10"/>
  <c r="DT206" i="10"/>
  <c r="EA206" i="10"/>
  <c r="DX206" i="10"/>
  <c r="DU206" i="10"/>
  <c r="DS206" i="10"/>
  <c r="DR206" i="10"/>
  <c r="ER206" i="10"/>
  <c r="EQ206" i="10"/>
  <c r="EJ206" i="10"/>
  <c r="EI206" i="10"/>
  <c r="EF206" i="10"/>
  <c r="EC206" i="10"/>
  <c r="DI206" i="10"/>
  <c r="DQ206" i="10"/>
  <c r="DK206" i="10"/>
  <c r="ER228" i="10"/>
  <c r="DL228" i="10"/>
  <c r="DY228" i="10"/>
  <c r="EV228" i="10"/>
  <c r="DN228" i="10"/>
  <c r="EK228" i="10"/>
  <c r="EQ228" i="10"/>
  <c r="DG228" i="10"/>
  <c r="EM228" i="10"/>
  <c r="DR228" i="10"/>
  <c r="DQ228" i="10"/>
  <c r="DP228" i="10"/>
  <c r="DO228" i="10"/>
  <c r="ET228" i="10"/>
  <c r="EO228" i="10"/>
  <c r="EF228" i="10"/>
  <c r="EY228" i="10"/>
  <c r="EX228" i="10"/>
  <c r="EW228" i="10"/>
  <c r="EJ228" i="10"/>
  <c r="EE228" i="10"/>
  <c r="EA228" i="10"/>
  <c r="DX228" i="10"/>
  <c r="DV228" i="10"/>
  <c r="EN228" i="10"/>
  <c r="EH228" i="10"/>
  <c r="EB228" i="10"/>
  <c r="DW228" i="10"/>
  <c r="DT228" i="10"/>
  <c r="EI228" i="10"/>
  <c r="EG228" i="10"/>
  <c r="ED228" i="10"/>
  <c r="EC228" i="10"/>
  <c r="DZ228" i="10"/>
  <c r="DH228" i="10"/>
  <c r="DM228" i="10"/>
  <c r="DK228" i="10"/>
  <c r="DJ228" i="10"/>
  <c r="DI228" i="10"/>
  <c r="ES228" i="10"/>
  <c r="EP228" i="10"/>
  <c r="DU228" i="10"/>
  <c r="DS228" i="10"/>
  <c r="EL228" i="10"/>
  <c r="EU228" i="10"/>
  <c r="ET250" i="10"/>
  <c r="DN250" i="10"/>
  <c r="EA250" i="10"/>
  <c r="EV250" i="10"/>
  <c r="DM250" i="10"/>
  <c r="EH250" i="10"/>
  <c r="EG250" i="10"/>
  <c r="EM250" i="10"/>
  <c r="EK250" i="10"/>
  <c r="EJ250" i="10"/>
  <c r="ER250" i="10"/>
  <c r="EQ250" i="10"/>
  <c r="EP250" i="10"/>
  <c r="EO250" i="10"/>
  <c r="ED250" i="10"/>
  <c r="DZ250" i="10"/>
  <c r="DJ250" i="10"/>
  <c r="DI250" i="10"/>
  <c r="DH250" i="10"/>
  <c r="DG250" i="10"/>
  <c r="EW250" i="10"/>
  <c r="EN250" i="10"/>
  <c r="EE250" i="10"/>
  <c r="DY250" i="10"/>
  <c r="DV250" i="10"/>
  <c r="DS250" i="10"/>
  <c r="DR250" i="10"/>
  <c r="DQ250" i="10"/>
  <c r="DP250" i="10"/>
  <c r="EY250" i="10"/>
  <c r="EU250" i="10"/>
  <c r="ES250" i="10"/>
  <c r="EC250" i="10"/>
  <c r="DX250" i="10"/>
  <c r="DU250" i="10"/>
  <c r="EI250" i="10"/>
  <c r="DT250" i="10"/>
  <c r="DL250" i="10"/>
  <c r="EF250" i="10"/>
  <c r="EB250" i="10"/>
  <c r="DW250" i="10"/>
  <c r="DO250" i="10"/>
  <c r="DK250" i="10"/>
  <c r="EL250" i="10"/>
  <c r="EX250" i="10"/>
  <c r="EB61" i="10"/>
  <c r="EA61" i="10"/>
  <c r="DY61" i="10"/>
  <c r="EX61" i="10"/>
  <c r="DR61" i="10"/>
  <c r="EQ61" i="10"/>
  <c r="DG61" i="10"/>
  <c r="EP61" i="10"/>
  <c r="EO61" i="10"/>
  <c r="EN61" i="10"/>
  <c r="EM61" i="10"/>
  <c r="EF61" i="10"/>
  <c r="DZ61" i="10"/>
  <c r="DT61" i="10"/>
  <c r="EU61" i="10"/>
  <c r="ET61" i="10"/>
  <c r="ES61" i="10"/>
  <c r="ER61" i="10"/>
  <c r="EL61" i="10"/>
  <c r="EC61" i="10"/>
  <c r="DV61" i="10"/>
  <c r="DP61" i="10"/>
  <c r="DO61" i="10"/>
  <c r="EV61" i="10"/>
  <c r="EH61" i="10"/>
  <c r="DW61" i="10"/>
  <c r="DI61" i="10"/>
  <c r="DH61" i="10"/>
  <c r="EW61" i="10"/>
  <c r="EG61" i="10"/>
  <c r="EE61" i="10"/>
  <c r="DX61" i="10"/>
  <c r="EI61" i="10"/>
  <c r="DQ61" i="10"/>
  <c r="DN61" i="10"/>
  <c r="DL61" i="10"/>
  <c r="DK61" i="10"/>
  <c r="DU61" i="10"/>
  <c r="DS61" i="10"/>
  <c r="EJ61" i="10"/>
  <c r="EY61" i="10"/>
  <c r="EK61" i="10"/>
  <c r="ED61" i="10"/>
  <c r="DM61" i="10"/>
  <c r="DJ61" i="10"/>
  <c r="DV147" i="10"/>
  <c r="EO147" i="10"/>
  <c r="DH147" i="10"/>
  <c r="EN147" i="10"/>
  <c r="DG147" i="10"/>
  <c r="EM147" i="10"/>
  <c r="EL147" i="10"/>
  <c r="EF147" i="10"/>
  <c r="EB147" i="10"/>
  <c r="DR147" i="10"/>
  <c r="EX147" i="10"/>
  <c r="DJ147" i="10"/>
  <c r="EW147" i="10"/>
  <c r="DI147" i="10"/>
  <c r="EV147" i="10"/>
  <c r="EU147" i="10"/>
  <c r="EJ147" i="10"/>
  <c r="EG147" i="10"/>
  <c r="EA147" i="10"/>
  <c r="DY147" i="10"/>
  <c r="EK147" i="10"/>
  <c r="EI147" i="10"/>
  <c r="EH147" i="10"/>
  <c r="EE147" i="10"/>
  <c r="ED147" i="10"/>
  <c r="DS147" i="10"/>
  <c r="DN147" i="10"/>
  <c r="DX147" i="10"/>
  <c r="DW147" i="10"/>
  <c r="DU147" i="10"/>
  <c r="DT147" i="10"/>
  <c r="DQ147" i="10"/>
  <c r="DK147" i="10"/>
  <c r="EY147" i="10"/>
  <c r="ES147" i="10"/>
  <c r="ET147" i="10"/>
  <c r="ER147" i="10"/>
  <c r="EP147" i="10"/>
  <c r="EC147" i="10"/>
  <c r="DM147" i="10"/>
  <c r="DL147" i="10"/>
  <c r="DZ147" i="10"/>
  <c r="DP147" i="10"/>
  <c r="DO147" i="10"/>
  <c r="EQ147" i="10"/>
  <c r="EA100" i="10"/>
  <c r="DZ100" i="10"/>
  <c r="DY100" i="10"/>
  <c r="DX100" i="10"/>
  <c r="EW100" i="10"/>
  <c r="DQ100" i="10"/>
  <c r="ET100" i="10"/>
  <c r="DN100" i="10"/>
  <c r="EN100" i="10"/>
  <c r="DH100" i="10"/>
  <c r="EX100" i="10"/>
  <c r="DI100" i="10"/>
  <c r="EV100" i="10"/>
  <c r="DG100" i="10"/>
  <c r="EU100" i="10"/>
  <c r="ES100" i="10"/>
  <c r="ER100" i="10"/>
  <c r="EJ100" i="10"/>
  <c r="EF100" i="10"/>
  <c r="DW100" i="10"/>
  <c r="EQ100" i="10"/>
  <c r="EP100" i="10"/>
  <c r="EO100" i="10"/>
  <c r="EM100" i="10"/>
  <c r="EL100" i="10"/>
  <c r="EC100" i="10"/>
  <c r="DT100" i="10"/>
  <c r="DO100" i="10"/>
  <c r="DM100" i="10"/>
  <c r="DK100" i="10"/>
  <c r="EI100" i="10"/>
  <c r="EH100" i="10"/>
  <c r="EE100" i="10"/>
  <c r="EY100" i="10"/>
  <c r="EB100" i="10"/>
  <c r="DR100" i="10"/>
  <c r="DP100" i="10"/>
  <c r="EK100" i="10"/>
  <c r="DU100" i="10"/>
  <c r="EG100" i="10"/>
  <c r="ED100" i="10"/>
  <c r="DL100" i="10"/>
  <c r="DJ100" i="10"/>
  <c r="DS100" i="10"/>
  <c r="DV100" i="10"/>
  <c r="EM190" i="10"/>
  <c r="DG190" i="10"/>
  <c r="DU190" i="10"/>
  <c r="DT190" i="10"/>
  <c r="DS190" i="10"/>
  <c r="EY190" i="10"/>
  <c r="DR190" i="10"/>
  <c r="ES190" i="10"/>
  <c r="DL190" i="10"/>
  <c r="EP190" i="10"/>
  <c r="DI190" i="10"/>
  <c r="EQ190" i="10"/>
  <c r="EO190" i="10"/>
  <c r="EN190" i="10"/>
  <c r="EL190" i="10"/>
  <c r="EF190" i="10"/>
  <c r="EB190" i="10"/>
  <c r="DV190" i="10"/>
  <c r="DK190" i="10"/>
  <c r="DJ190" i="10"/>
  <c r="DH190" i="10"/>
  <c r="EV190" i="10"/>
  <c r="ER190" i="10"/>
  <c r="EE190" i="10"/>
  <c r="EU190" i="10"/>
  <c r="EI190" i="10"/>
  <c r="EG190" i="10"/>
  <c r="EC190" i="10"/>
  <c r="EX190" i="10"/>
  <c r="EW190" i="10"/>
  <c r="ET190" i="10"/>
  <c r="DY190" i="10"/>
  <c r="DP190" i="10"/>
  <c r="EK190" i="10"/>
  <c r="EJ190" i="10"/>
  <c r="EH190" i="10"/>
  <c r="DO190" i="10"/>
  <c r="DX190" i="10"/>
  <c r="DW190" i="10"/>
  <c r="DN190" i="10"/>
  <c r="DQ190" i="10"/>
  <c r="EA190" i="10"/>
  <c r="DM190" i="10"/>
  <c r="ED190" i="10"/>
  <c r="DZ190" i="10"/>
  <c r="ED234" i="10"/>
  <c r="EQ234" i="10"/>
  <c r="DK234" i="10"/>
  <c r="EY234" i="10"/>
  <c r="DQ234" i="10"/>
  <c r="EW234" i="10"/>
  <c r="DN234" i="10"/>
  <c r="EB234" i="10"/>
  <c r="EG234" i="10"/>
  <c r="EF234" i="10"/>
  <c r="EE234" i="10"/>
  <c r="EC234" i="10"/>
  <c r="EA234" i="10"/>
  <c r="DZ234" i="10"/>
  <c r="DY234" i="10"/>
  <c r="DX234" i="10"/>
  <c r="DR234" i="10"/>
  <c r="DM234" i="10"/>
  <c r="DH234" i="10"/>
  <c r="EU234" i="10"/>
  <c r="EX234" i="10"/>
  <c r="EV234" i="10"/>
  <c r="ET234" i="10"/>
  <c r="EM234" i="10"/>
  <c r="EI234" i="10"/>
  <c r="DU234" i="10"/>
  <c r="DS234" i="10"/>
  <c r="DO234" i="10"/>
  <c r="DP234" i="10"/>
  <c r="DL234" i="10"/>
  <c r="DJ234" i="10"/>
  <c r="DI234" i="10"/>
  <c r="ER234" i="10"/>
  <c r="EO234" i="10"/>
  <c r="EK234" i="10"/>
  <c r="DV234" i="10"/>
  <c r="DG234" i="10"/>
  <c r="ES234" i="10"/>
  <c r="EP234" i="10"/>
  <c r="EN234" i="10"/>
  <c r="EL234" i="10"/>
  <c r="EJ234" i="10"/>
  <c r="DW234" i="10"/>
  <c r="EH234" i="10"/>
  <c r="DT234" i="10"/>
  <c r="EW52" i="10"/>
  <c r="DQ52" i="10"/>
  <c r="ET52" i="10"/>
  <c r="DN52" i="10"/>
  <c r="EY52" i="10"/>
  <c r="DP52" i="10"/>
  <c r="EX52" i="10"/>
  <c r="DO52" i="10"/>
  <c r="EV52" i="10"/>
  <c r="DM52" i="10"/>
  <c r="EU52" i="10"/>
  <c r="DL52" i="10"/>
  <c r="ES52" i="10"/>
  <c r="DK52" i="10"/>
  <c r="EL52" i="10"/>
  <c r="EH52" i="10"/>
  <c r="EC52" i="10"/>
  <c r="DU52" i="10"/>
  <c r="DT52" i="10"/>
  <c r="DS52" i="10"/>
  <c r="DR52" i="10"/>
  <c r="DJ52" i="10"/>
  <c r="ER52" i="10"/>
  <c r="EO52" i="10"/>
  <c r="EI52" i="10"/>
  <c r="DV52" i="10"/>
  <c r="DI52" i="10"/>
  <c r="DH52" i="10"/>
  <c r="DG52" i="10"/>
  <c r="EQ52" i="10"/>
  <c r="EJ52" i="10"/>
  <c r="EP52" i="10"/>
  <c r="EB52" i="10"/>
  <c r="DX52" i="10"/>
  <c r="EK52" i="10"/>
  <c r="EG52" i="10"/>
  <c r="EE52" i="10"/>
  <c r="ED52" i="10"/>
  <c r="EM52" i="10"/>
  <c r="DY52" i="10"/>
  <c r="EN52" i="10"/>
  <c r="EF52" i="10"/>
  <c r="EA52" i="10"/>
  <c r="DW52" i="10"/>
  <c r="DZ52" i="10"/>
  <c r="EQ233" i="10"/>
  <c r="DK233" i="10"/>
  <c r="DX233" i="10"/>
  <c r="EB233" i="10"/>
  <c r="DW233" i="10"/>
  <c r="EK233" i="10"/>
  <c r="EN233" i="10"/>
  <c r="EM233" i="10"/>
  <c r="EL233" i="10"/>
  <c r="EJ233" i="10"/>
  <c r="EE233" i="10"/>
  <c r="ED233" i="10"/>
  <c r="EC233" i="10"/>
  <c r="EA233" i="10"/>
  <c r="DS233" i="10"/>
  <c r="DP233" i="10"/>
  <c r="DL233" i="10"/>
  <c r="EX233" i="10"/>
  <c r="DH233" i="10"/>
  <c r="ER233" i="10"/>
  <c r="EP233" i="10"/>
  <c r="EO233" i="10"/>
  <c r="EI233" i="10"/>
  <c r="DV233" i="10"/>
  <c r="DQ233" i="10"/>
  <c r="DJ233" i="10"/>
  <c r="DG233" i="10"/>
  <c r="ES233" i="10"/>
  <c r="EF233" i="10"/>
  <c r="DT233" i="10"/>
  <c r="DO233" i="10"/>
  <c r="DM233" i="10"/>
  <c r="DN233" i="10"/>
  <c r="DI233" i="10"/>
  <c r="EW233" i="10"/>
  <c r="ET233" i="10"/>
  <c r="DY233" i="10"/>
  <c r="EY233" i="10"/>
  <c r="EG233" i="10"/>
  <c r="DZ233" i="10"/>
  <c r="DR233" i="10"/>
  <c r="EH233" i="10"/>
  <c r="DU233" i="10"/>
  <c r="EU233" i="10"/>
  <c r="EV233" i="10"/>
  <c r="DW237" i="10"/>
  <c r="EJ237" i="10"/>
  <c r="DR237" i="10"/>
  <c r="DT237" i="10"/>
  <c r="EM237" i="10"/>
  <c r="EU237" i="10"/>
  <c r="DJ237" i="10"/>
  <c r="ET237" i="10"/>
  <c r="DI237" i="10"/>
  <c r="ES237" i="10"/>
  <c r="DH237" i="10"/>
  <c r="ER237" i="10"/>
  <c r="DG237" i="10"/>
  <c r="EK237" i="10"/>
  <c r="EB237" i="10"/>
  <c r="EA237" i="10"/>
  <c r="DZ237" i="10"/>
  <c r="DY237" i="10"/>
  <c r="DP237" i="10"/>
  <c r="DM237" i="10"/>
  <c r="EY237" i="10"/>
  <c r="EV237" i="10"/>
  <c r="EI237" i="10"/>
  <c r="EH237" i="10"/>
  <c r="EG237" i="10"/>
  <c r="EF237" i="10"/>
  <c r="DU237" i="10"/>
  <c r="DN237" i="10"/>
  <c r="EW237" i="10"/>
  <c r="EQ237" i="10"/>
  <c r="EP237" i="10"/>
  <c r="EO237" i="10"/>
  <c r="DV237" i="10"/>
  <c r="DO237" i="10"/>
  <c r="DX237" i="10"/>
  <c r="DL237" i="10"/>
  <c r="EC237" i="10"/>
  <c r="EN237" i="10"/>
  <c r="EL237" i="10"/>
  <c r="EE237" i="10"/>
  <c r="ED237" i="10"/>
  <c r="DS237" i="10"/>
  <c r="DQ237" i="10"/>
  <c r="EX237" i="10"/>
  <c r="DK237" i="10"/>
  <c r="DW174" i="10"/>
  <c r="EU174" i="10"/>
  <c r="DN174" i="10"/>
  <c r="ES174" i="10"/>
  <c r="DL174" i="10"/>
  <c r="ER174" i="10"/>
  <c r="DK174" i="10"/>
  <c r="EL174" i="10"/>
  <c r="EI174" i="10"/>
  <c r="EH174" i="10"/>
  <c r="EG174" i="10"/>
  <c r="EF174" i="10"/>
  <c r="EE174" i="10"/>
  <c r="DY174" i="10"/>
  <c r="DT174" i="10"/>
  <c r="DM174" i="10"/>
  <c r="DG174" i="10"/>
  <c r="EP174" i="10"/>
  <c r="EM174" i="10"/>
  <c r="EA174" i="10"/>
  <c r="EQ174" i="10"/>
  <c r="EK174" i="10"/>
  <c r="EB174" i="10"/>
  <c r="DX174" i="10"/>
  <c r="DU174" i="10"/>
  <c r="EN174" i="10"/>
  <c r="EJ174" i="10"/>
  <c r="ED174" i="10"/>
  <c r="EC174" i="10"/>
  <c r="DZ174" i="10"/>
  <c r="DJ174" i="10"/>
  <c r="EV174" i="10"/>
  <c r="DS174" i="10"/>
  <c r="DR174" i="10"/>
  <c r="DP174" i="10"/>
  <c r="EY174" i="10"/>
  <c r="DI174" i="10"/>
  <c r="EX174" i="10"/>
  <c r="DV174" i="10"/>
  <c r="DQ174" i="10"/>
  <c r="EW174" i="10"/>
  <c r="EO174" i="10"/>
  <c r="DO174" i="10"/>
  <c r="DH174" i="10"/>
  <c r="ET174" i="10"/>
  <c r="ER196" i="10"/>
  <c r="DL196" i="10"/>
  <c r="DY196" i="10"/>
  <c r="EX196" i="10"/>
  <c r="DP196" i="10"/>
  <c r="EW196" i="10"/>
  <c r="DO196" i="10"/>
  <c r="EV196" i="10"/>
  <c r="DN196" i="10"/>
  <c r="EU196" i="10"/>
  <c r="DM196" i="10"/>
  <c r="EN196" i="10"/>
  <c r="EK196" i="10"/>
  <c r="DT196" i="10"/>
  <c r="DS196" i="10"/>
  <c r="DR196" i="10"/>
  <c r="DQ196" i="10"/>
  <c r="EY196" i="10"/>
  <c r="EP196" i="10"/>
  <c r="EH196" i="10"/>
  <c r="EJ196" i="10"/>
  <c r="EF196" i="10"/>
  <c r="DZ196" i="10"/>
  <c r="ET196" i="10"/>
  <c r="EO196" i="10"/>
  <c r="EG196" i="10"/>
  <c r="ED196" i="10"/>
  <c r="EB196" i="10"/>
  <c r="EE196" i="10"/>
  <c r="DW196" i="10"/>
  <c r="DJ196" i="10"/>
  <c r="DI196" i="10"/>
  <c r="DG196" i="10"/>
  <c r="ES196" i="10"/>
  <c r="EQ196" i="10"/>
  <c r="EM196" i="10"/>
  <c r="EL196" i="10"/>
  <c r="DK196" i="10"/>
  <c r="EI196" i="10"/>
  <c r="DX196" i="10"/>
  <c r="EC196" i="10"/>
  <c r="EA196" i="10"/>
  <c r="DV196" i="10"/>
  <c r="DU196" i="10"/>
  <c r="DH196" i="10"/>
  <c r="ED202" i="10"/>
  <c r="EQ202" i="10"/>
  <c r="DK202" i="10"/>
  <c r="DW202" i="10"/>
  <c r="DS202" i="10"/>
  <c r="DR202" i="10"/>
  <c r="DQ202" i="10"/>
  <c r="EY202" i="10"/>
  <c r="DP202" i="10"/>
  <c r="ES202" i="10"/>
  <c r="DI202" i="10"/>
  <c r="EO202" i="10"/>
  <c r="EH202" i="10"/>
  <c r="EX202" i="10"/>
  <c r="EW202" i="10"/>
  <c r="EV202" i="10"/>
  <c r="EU202" i="10"/>
  <c r="EL202" i="10"/>
  <c r="EG202" i="10"/>
  <c r="EB202" i="10"/>
  <c r="DZ202" i="10"/>
  <c r="DH202" i="10"/>
  <c r="DG202" i="10"/>
  <c r="ET202" i="10"/>
  <c r="EN202" i="10"/>
  <c r="EE202" i="10"/>
  <c r="DT202" i="10"/>
  <c r="DO202" i="10"/>
  <c r="DN202" i="10"/>
  <c r="DM202" i="10"/>
  <c r="ER202" i="10"/>
  <c r="EM202" i="10"/>
  <c r="EI202" i="10"/>
  <c r="EF202" i="10"/>
  <c r="EA202" i="10"/>
  <c r="DY202" i="10"/>
  <c r="DL202" i="10"/>
  <c r="DU202" i="10"/>
  <c r="DJ202" i="10"/>
  <c r="EJ202" i="10"/>
  <c r="EC202" i="10"/>
  <c r="EP202" i="10"/>
  <c r="EK202" i="10"/>
  <c r="DX202" i="10"/>
  <c r="DV202" i="10"/>
  <c r="EX268" i="10"/>
  <c r="DR268" i="10"/>
  <c r="EE268" i="10"/>
  <c r="EB268" i="10"/>
  <c r="EP268" i="10"/>
  <c r="DH268" i="10"/>
  <c r="EV268" i="10"/>
  <c r="DL268" i="10"/>
  <c r="EF268" i="10"/>
  <c r="DQ268" i="10"/>
  <c r="EH268" i="10"/>
  <c r="EG268" i="10"/>
  <c r="ED268" i="10"/>
  <c r="EC268" i="10"/>
  <c r="EA268" i="10"/>
  <c r="DT268" i="10"/>
  <c r="DS268" i="10"/>
  <c r="DP268" i="10"/>
  <c r="DO268" i="10"/>
  <c r="DI268" i="10"/>
  <c r="EK268" i="10"/>
  <c r="EJ268" i="10"/>
  <c r="EI268" i="10"/>
  <c r="DZ268" i="10"/>
  <c r="DN268" i="10"/>
  <c r="DJ268" i="10"/>
  <c r="EY268" i="10"/>
  <c r="EW268" i="10"/>
  <c r="EU268" i="10"/>
  <c r="EN268" i="10"/>
  <c r="DY268" i="10"/>
  <c r="DU268" i="10"/>
  <c r="DG268" i="10"/>
  <c r="EO268" i="10"/>
  <c r="DW268" i="10"/>
  <c r="ES268" i="10"/>
  <c r="EQ268" i="10"/>
  <c r="EL268" i="10"/>
  <c r="DV268" i="10"/>
  <c r="DK268" i="10"/>
  <c r="ER268" i="10"/>
  <c r="EM268" i="10"/>
  <c r="DM268" i="10"/>
  <c r="ET268" i="10"/>
  <c r="DX268" i="10"/>
  <c r="EF107" i="10"/>
  <c r="EE107" i="10"/>
  <c r="ED107" i="10"/>
  <c r="EC107" i="10"/>
  <c r="DV107" i="10"/>
  <c r="EY107" i="10"/>
  <c r="DS107" i="10"/>
  <c r="ES107" i="10"/>
  <c r="DM107" i="10"/>
  <c r="DU107" i="10"/>
  <c r="DT107" i="10"/>
  <c r="DR107" i="10"/>
  <c r="DQ107" i="10"/>
  <c r="DP107" i="10"/>
  <c r="EV107" i="10"/>
  <c r="DH107" i="10"/>
  <c r="EQ107" i="10"/>
  <c r="EL107" i="10"/>
  <c r="EX107" i="10"/>
  <c r="EN107" i="10"/>
  <c r="EI107" i="10"/>
  <c r="EA107" i="10"/>
  <c r="DZ107" i="10"/>
  <c r="DX107" i="10"/>
  <c r="DJ107" i="10"/>
  <c r="DI107" i="10"/>
  <c r="DG107" i="10"/>
  <c r="EU107" i="10"/>
  <c r="EO107" i="10"/>
  <c r="EM107" i="10"/>
  <c r="EJ107" i="10"/>
  <c r="ER107" i="10"/>
  <c r="EP107" i="10"/>
  <c r="ET107" i="10"/>
  <c r="EB107" i="10"/>
  <c r="DN107" i="10"/>
  <c r="DL107" i="10"/>
  <c r="EH107" i="10"/>
  <c r="DO107" i="10"/>
  <c r="EW107" i="10"/>
  <c r="EK107" i="10"/>
  <c r="EG107" i="10"/>
  <c r="DY107" i="10"/>
  <c r="DW107" i="10"/>
  <c r="DK107" i="10"/>
  <c r="EF41" i="10"/>
  <c r="EO41" i="10"/>
  <c r="DH41" i="10"/>
  <c r="EN41" i="10"/>
  <c r="DG41" i="10"/>
  <c r="EM41" i="10"/>
  <c r="EL41" i="10"/>
  <c r="EK41" i="10"/>
  <c r="EC41" i="10"/>
  <c r="DY41" i="10"/>
  <c r="DT41" i="10"/>
  <c r="DU41" i="10"/>
  <c r="DS41" i="10"/>
  <c r="DR41" i="10"/>
  <c r="DQ41" i="10"/>
  <c r="DP41" i="10"/>
  <c r="EW41" i="10"/>
  <c r="ET41" i="10"/>
  <c r="EJ41" i="10"/>
  <c r="EG41" i="10"/>
  <c r="EE41" i="10"/>
  <c r="ED41" i="10"/>
  <c r="EB41" i="10"/>
  <c r="EA41" i="10"/>
  <c r="DL41" i="10"/>
  <c r="ES41" i="10"/>
  <c r="EI41" i="10"/>
  <c r="DW41" i="10"/>
  <c r="DV41" i="10"/>
  <c r="DN41" i="10"/>
  <c r="EH41" i="10"/>
  <c r="DZ41" i="10"/>
  <c r="DX41" i="10"/>
  <c r="DO41" i="10"/>
  <c r="DM41" i="10"/>
  <c r="EY41" i="10"/>
  <c r="EX41" i="10"/>
  <c r="EQ41" i="10"/>
  <c r="DJ41" i="10"/>
  <c r="EP41" i="10"/>
  <c r="DI41" i="10"/>
  <c r="EU41" i="10"/>
  <c r="ER41" i="10"/>
  <c r="EV41" i="10"/>
  <c r="DK41" i="10"/>
  <c r="DT37" i="10"/>
  <c r="DW37" i="10"/>
  <c r="DV37" i="10"/>
  <c r="DU37" i="10"/>
  <c r="DS37" i="10"/>
  <c r="ER37" i="10"/>
  <c r="DK37" i="10"/>
  <c r="EI37" i="10"/>
  <c r="EL37" i="10"/>
  <c r="EK37" i="10"/>
  <c r="EJ37" i="10"/>
  <c r="EH37" i="10"/>
  <c r="EG37" i="10"/>
  <c r="DY37" i="10"/>
  <c r="DQ37" i="10"/>
  <c r="EY37" i="10"/>
  <c r="DL37" i="10"/>
  <c r="EV37" i="10"/>
  <c r="EU37" i="10"/>
  <c r="ET37" i="10"/>
  <c r="ES37" i="10"/>
  <c r="EQ37" i="10"/>
  <c r="EC37" i="10"/>
  <c r="DX37" i="10"/>
  <c r="ED37" i="10"/>
  <c r="EB37" i="10"/>
  <c r="EA37" i="10"/>
  <c r="DZ37" i="10"/>
  <c r="DR37" i="10"/>
  <c r="DG37" i="10"/>
  <c r="EX37" i="10"/>
  <c r="EN37" i="10"/>
  <c r="EM37" i="10"/>
  <c r="EE37" i="10"/>
  <c r="DP37" i="10"/>
  <c r="DO37" i="10"/>
  <c r="DI37" i="10"/>
  <c r="DJ37" i="10"/>
  <c r="EF37" i="10"/>
  <c r="DN37" i="10"/>
  <c r="DM37" i="10"/>
  <c r="DH37" i="10"/>
  <c r="EP37" i="10"/>
  <c r="EW37" i="10"/>
  <c r="EO37" i="10"/>
  <c r="DZ73" i="10"/>
  <c r="EN73" i="10"/>
  <c r="DG73" i="10"/>
  <c r="EM73" i="10"/>
  <c r="EL73" i="10"/>
  <c r="EK73" i="10"/>
  <c r="EJ73" i="10"/>
  <c r="EC73" i="10"/>
  <c r="DX73" i="10"/>
  <c r="DS73" i="10"/>
  <c r="DY73" i="10"/>
  <c r="DW73" i="10"/>
  <c r="DV73" i="10"/>
  <c r="DU73" i="10"/>
  <c r="DT73" i="10"/>
  <c r="DL73" i="10"/>
  <c r="EW73" i="10"/>
  <c r="DH73" i="10"/>
  <c r="ER73" i="10"/>
  <c r="ES73" i="10"/>
  <c r="EQ73" i="10"/>
  <c r="EP73" i="10"/>
  <c r="EO73" i="10"/>
  <c r="EI73" i="10"/>
  <c r="DR73" i="10"/>
  <c r="DO73" i="10"/>
  <c r="DJ73" i="10"/>
  <c r="DI73" i="10"/>
  <c r="EU73" i="10"/>
  <c r="EF73" i="10"/>
  <c r="DQ73" i="10"/>
  <c r="EE73" i="10"/>
  <c r="DP73" i="10"/>
  <c r="DN73" i="10"/>
  <c r="DM73" i="10"/>
  <c r="DK73" i="10"/>
  <c r="EY73" i="10"/>
  <c r="EX73" i="10"/>
  <c r="ED73" i="10"/>
  <c r="EB73" i="10"/>
  <c r="EA73" i="10"/>
  <c r="EV73" i="10"/>
  <c r="ET73" i="10"/>
  <c r="EG73" i="10"/>
  <c r="EH73" i="10"/>
  <c r="EM221" i="10"/>
  <c r="DG221" i="10"/>
  <c r="DT221" i="10"/>
  <c r="DV221" i="10"/>
  <c r="EG221" i="10"/>
  <c r="DR221" i="10"/>
  <c r="DY221" i="10"/>
  <c r="DX221" i="10"/>
  <c r="DW221" i="10"/>
  <c r="DU221" i="10"/>
  <c r="EX221" i="10"/>
  <c r="DM221" i="10"/>
  <c r="EU221" i="10"/>
  <c r="DJ221" i="10"/>
  <c r="EN221" i="10"/>
  <c r="DZ221" i="10"/>
  <c r="DS221" i="10"/>
  <c r="DQ221" i="10"/>
  <c r="DP221" i="10"/>
  <c r="DH221" i="10"/>
  <c r="EW221" i="10"/>
  <c r="ER221" i="10"/>
  <c r="EP221" i="10"/>
  <c r="EL221" i="10"/>
  <c r="EI221" i="10"/>
  <c r="EH221" i="10"/>
  <c r="EF221" i="10"/>
  <c r="EE221" i="10"/>
  <c r="DL221" i="10"/>
  <c r="EO221" i="10"/>
  <c r="ED221" i="10"/>
  <c r="DO221" i="10"/>
  <c r="DK221" i="10"/>
  <c r="EY221" i="10"/>
  <c r="EV221" i="10"/>
  <c r="ET221" i="10"/>
  <c r="ES221" i="10"/>
  <c r="DN221" i="10"/>
  <c r="EQ221" i="10"/>
  <c r="EC221" i="10"/>
  <c r="DI221" i="10"/>
  <c r="EK221" i="10"/>
  <c r="EJ221" i="10"/>
  <c r="EB221" i="10"/>
  <c r="EA221" i="10"/>
  <c r="EM158" i="10"/>
  <c r="DG158" i="10"/>
  <c r="EO158" i="10"/>
  <c r="DH158" i="10"/>
  <c r="EE158" i="10"/>
  <c r="DT158" i="10"/>
  <c r="DS158" i="10"/>
  <c r="DR158" i="10"/>
  <c r="DQ158" i="10"/>
  <c r="ET158" i="10"/>
  <c r="DK158" i="10"/>
  <c r="EP158" i="10"/>
  <c r="EH158" i="10"/>
  <c r="DX158" i="10"/>
  <c r="DV158" i="10"/>
  <c r="EI158" i="10"/>
  <c r="EG158" i="10"/>
  <c r="EF158" i="10"/>
  <c r="ED158" i="10"/>
  <c r="DU158" i="10"/>
  <c r="DN158" i="10"/>
  <c r="DI158" i="10"/>
  <c r="EX158" i="10"/>
  <c r="DW158" i="10"/>
  <c r="DP158" i="10"/>
  <c r="DO158" i="10"/>
  <c r="DM158" i="10"/>
  <c r="DL158" i="10"/>
  <c r="EU158" i="10"/>
  <c r="ES158" i="10"/>
  <c r="EQ158" i="10"/>
  <c r="EY158" i="10"/>
  <c r="EW158" i="10"/>
  <c r="EV158" i="10"/>
  <c r="ER158" i="10"/>
  <c r="EA158" i="10"/>
  <c r="DJ158" i="10"/>
  <c r="EK158" i="10"/>
  <c r="EJ158" i="10"/>
  <c r="EC158" i="10"/>
  <c r="EB158" i="10"/>
  <c r="DZ158" i="10"/>
  <c r="EN158" i="10"/>
  <c r="EL158" i="10"/>
  <c r="DY158" i="10"/>
  <c r="EO180" i="10"/>
  <c r="DI180" i="10"/>
  <c r="EP180" i="10"/>
  <c r="DH180" i="10"/>
  <c r="EN180" i="10"/>
  <c r="DG180" i="10"/>
  <c r="EM180" i="10"/>
  <c r="EL180" i="10"/>
  <c r="EF180" i="10"/>
  <c r="EC180" i="10"/>
  <c r="EV180" i="10"/>
  <c r="EU180" i="10"/>
  <c r="ET180" i="10"/>
  <c r="ES180" i="10"/>
  <c r="EH180" i="10"/>
  <c r="EB180" i="10"/>
  <c r="DV180" i="10"/>
  <c r="EW180" i="10"/>
  <c r="ER180" i="10"/>
  <c r="EQ180" i="10"/>
  <c r="EK180" i="10"/>
  <c r="DZ180" i="10"/>
  <c r="DW180" i="10"/>
  <c r="DP180" i="10"/>
  <c r="EG180" i="10"/>
  <c r="EA180" i="10"/>
  <c r="DT180" i="10"/>
  <c r="DR180" i="10"/>
  <c r="DO180" i="10"/>
  <c r="EX180" i="10"/>
  <c r="EJ180" i="10"/>
  <c r="EI180" i="10"/>
  <c r="EE180" i="10"/>
  <c r="ED180" i="10"/>
  <c r="DM180" i="10"/>
  <c r="EY180" i="10"/>
  <c r="DS180" i="10"/>
  <c r="DQ180" i="10"/>
  <c r="DL180" i="10"/>
  <c r="DJ180" i="10"/>
  <c r="DN180" i="10"/>
  <c r="DK180" i="10"/>
  <c r="DY180" i="10"/>
  <c r="DX180" i="10"/>
  <c r="DU180" i="10"/>
  <c r="EA186" i="10"/>
  <c r="EJ186" i="10"/>
  <c r="EI186" i="10"/>
  <c r="EH186" i="10"/>
  <c r="EG186" i="10"/>
  <c r="DZ186" i="10"/>
  <c r="DW186" i="10"/>
  <c r="DS186" i="10"/>
  <c r="DR186" i="10"/>
  <c r="DQ186" i="10"/>
  <c r="DP186" i="10"/>
  <c r="EW186" i="10"/>
  <c r="DJ186" i="10"/>
  <c r="ES186" i="10"/>
  <c r="EM186" i="10"/>
  <c r="EK186" i="10"/>
  <c r="EF186" i="10"/>
  <c r="EE186" i="10"/>
  <c r="ED186" i="10"/>
  <c r="DT186" i="10"/>
  <c r="DM186" i="10"/>
  <c r="EY186" i="10"/>
  <c r="EX186" i="10"/>
  <c r="EV186" i="10"/>
  <c r="EU186" i="10"/>
  <c r="EL186" i="10"/>
  <c r="DY186" i="10"/>
  <c r="DO186" i="10"/>
  <c r="DL186" i="10"/>
  <c r="DI186" i="10"/>
  <c r="ET186" i="10"/>
  <c r="ER186" i="10"/>
  <c r="EQ186" i="10"/>
  <c r="EP186" i="10"/>
  <c r="DU186" i="10"/>
  <c r="DG186" i="10"/>
  <c r="EN186" i="10"/>
  <c r="DV186" i="10"/>
  <c r="DN186" i="10"/>
  <c r="DH186" i="10"/>
  <c r="EC186" i="10"/>
  <c r="DX186" i="10"/>
  <c r="DK186" i="10"/>
  <c r="EB186" i="10"/>
  <c r="EO186" i="10"/>
  <c r="EJ236" i="10"/>
  <c r="EW236" i="10"/>
  <c r="DQ236" i="10"/>
  <c r="EC236" i="10"/>
  <c r="ED236" i="10"/>
  <c r="EU236" i="10"/>
  <c r="DK236" i="10"/>
  <c r="DR236" i="10"/>
  <c r="DP236" i="10"/>
  <c r="DO236" i="10"/>
  <c r="DN236" i="10"/>
  <c r="ER236" i="10"/>
  <c r="DG236" i="10"/>
  <c r="EB236" i="10"/>
  <c r="EA236" i="10"/>
  <c r="DZ236" i="10"/>
  <c r="DY236" i="10"/>
  <c r="DS236" i="10"/>
  <c r="DJ236" i="10"/>
  <c r="EX236" i="10"/>
  <c r="ES236" i="10"/>
  <c r="DW236" i="10"/>
  <c r="DV236" i="10"/>
  <c r="DU236" i="10"/>
  <c r="DT236" i="10"/>
  <c r="EV236" i="10"/>
  <c r="EQ236" i="10"/>
  <c r="EO236" i="10"/>
  <c r="DH236" i="10"/>
  <c r="ET236" i="10"/>
  <c r="EN236" i="10"/>
  <c r="EL236" i="10"/>
  <c r="EM236" i="10"/>
  <c r="EI236" i="10"/>
  <c r="EG236" i="10"/>
  <c r="EY236" i="10"/>
  <c r="EF236" i="10"/>
  <c r="EE236" i="10"/>
  <c r="DM236" i="10"/>
  <c r="EK236" i="10"/>
  <c r="EH236" i="10"/>
  <c r="DX236" i="10"/>
  <c r="DL236" i="10"/>
  <c r="DI236" i="10"/>
  <c r="EP236" i="10"/>
  <c r="EU245" i="10"/>
  <c r="DO245" i="10"/>
  <c r="EB245" i="10"/>
  <c r="EH245" i="10"/>
  <c r="EV245" i="10"/>
  <c r="DL245" i="10"/>
  <c r="EP245" i="10"/>
  <c r="EM245" i="10"/>
  <c r="EC245" i="10"/>
  <c r="EA245" i="10"/>
  <c r="DZ245" i="10"/>
  <c r="DY245" i="10"/>
  <c r="DS245" i="10"/>
  <c r="DP245" i="10"/>
  <c r="EL245" i="10"/>
  <c r="EK245" i="10"/>
  <c r="EJ245" i="10"/>
  <c r="EI245" i="10"/>
  <c r="DW245" i="10"/>
  <c r="DT245" i="10"/>
  <c r="DM245" i="10"/>
  <c r="DI245" i="10"/>
  <c r="EW245" i="10"/>
  <c r="ET245" i="10"/>
  <c r="ES245" i="10"/>
  <c r="ER245" i="10"/>
  <c r="EE245" i="10"/>
  <c r="DU245" i="10"/>
  <c r="DK245" i="10"/>
  <c r="DH245" i="10"/>
  <c r="EF245" i="10"/>
  <c r="ED245" i="10"/>
  <c r="DX245" i="10"/>
  <c r="DV245" i="10"/>
  <c r="EY245" i="10"/>
  <c r="DQ245" i="10"/>
  <c r="DG245" i="10"/>
  <c r="EX245" i="10"/>
  <c r="DJ245" i="10"/>
  <c r="EO245" i="10"/>
  <c r="DN245" i="10"/>
  <c r="EQ245" i="10"/>
  <c r="EN245" i="10"/>
  <c r="EG245" i="10"/>
  <c r="DR245" i="10"/>
  <c r="EB115" i="10"/>
  <c r="DY115" i="10"/>
  <c r="DX115" i="10"/>
  <c r="DW115" i="10"/>
  <c r="DV115" i="10"/>
  <c r="EV115" i="10"/>
  <c r="DO115" i="10"/>
  <c r="ES115" i="10"/>
  <c r="DL115" i="10"/>
  <c r="EM115" i="10"/>
  <c r="EG115" i="10"/>
  <c r="EF115" i="10"/>
  <c r="EE115" i="10"/>
  <c r="ED115" i="10"/>
  <c r="EC115" i="10"/>
  <c r="DQ115" i="10"/>
  <c r="DK115" i="10"/>
  <c r="EU115" i="10"/>
  <c r="EA115" i="10"/>
  <c r="DZ115" i="10"/>
  <c r="DU115" i="10"/>
  <c r="DT115" i="10"/>
  <c r="DS115" i="10"/>
  <c r="DH115" i="10"/>
  <c r="EX115" i="10"/>
  <c r="EW115" i="10"/>
  <c r="ER115" i="10"/>
  <c r="ET115" i="10"/>
  <c r="EQ115" i="10"/>
  <c r="EP115" i="10"/>
  <c r="EO115" i="10"/>
  <c r="EN115" i="10"/>
  <c r="DN115" i="10"/>
  <c r="DI115" i="10"/>
  <c r="EJ115" i="10"/>
  <c r="EI115" i="10"/>
  <c r="DR115" i="10"/>
  <c r="DP115" i="10"/>
  <c r="DJ115" i="10"/>
  <c r="DG115" i="10"/>
  <c r="EY115" i="10"/>
  <c r="EL115" i="10"/>
  <c r="EK115" i="10"/>
  <c r="EH115" i="10"/>
  <c r="DM115" i="10"/>
  <c r="ET123" i="10"/>
  <c r="DN123" i="10"/>
  <c r="EE123" i="10"/>
  <c r="DT123" i="10"/>
  <c r="EX123" i="10"/>
  <c r="DO123" i="10"/>
  <c r="EW123" i="10"/>
  <c r="DM123" i="10"/>
  <c r="EV123" i="10"/>
  <c r="DL123" i="10"/>
  <c r="EU123" i="10"/>
  <c r="DK123" i="10"/>
  <c r="EM123" i="10"/>
  <c r="EJ123" i="10"/>
  <c r="EC123" i="10"/>
  <c r="ED123" i="10"/>
  <c r="EB123" i="10"/>
  <c r="EA123" i="10"/>
  <c r="DZ123" i="10"/>
  <c r="DY123" i="10"/>
  <c r="DQ123" i="10"/>
  <c r="DH123" i="10"/>
  <c r="EY123" i="10"/>
  <c r="ES123" i="10"/>
  <c r="EQ123" i="10"/>
  <c r="EG123" i="10"/>
  <c r="EF123" i="10"/>
  <c r="DX123" i="10"/>
  <c r="DW123" i="10"/>
  <c r="DV123" i="10"/>
  <c r="DG123" i="10"/>
  <c r="EO123" i="10"/>
  <c r="EN123" i="10"/>
  <c r="EL123" i="10"/>
  <c r="EK123" i="10"/>
  <c r="EI123" i="10"/>
  <c r="DI123" i="10"/>
  <c r="EH123" i="10"/>
  <c r="DP123" i="10"/>
  <c r="DS123" i="10"/>
  <c r="DR123" i="10"/>
  <c r="ER123" i="10"/>
  <c r="DU123" i="10"/>
  <c r="DJ123" i="10"/>
  <c r="EP123" i="10"/>
  <c r="EB181" i="10"/>
  <c r="ED181" i="10"/>
  <c r="EC181" i="10"/>
  <c r="EA181" i="10"/>
  <c r="DZ181" i="10"/>
  <c r="DT181" i="10"/>
  <c r="EX181" i="10"/>
  <c r="DQ181" i="10"/>
  <c r="EP181" i="10"/>
  <c r="EO181" i="10"/>
  <c r="EN181" i="10"/>
  <c r="EM181" i="10"/>
  <c r="EG181" i="10"/>
  <c r="DX181" i="10"/>
  <c r="DP181" i="10"/>
  <c r="EY181" i="10"/>
  <c r="EW181" i="10"/>
  <c r="EV181" i="10"/>
  <c r="EU181" i="10"/>
  <c r="EJ181" i="10"/>
  <c r="EF181" i="10"/>
  <c r="DS181" i="10"/>
  <c r="DL181" i="10"/>
  <c r="DK181" i="10"/>
  <c r="DJ181" i="10"/>
  <c r="DI181" i="10"/>
  <c r="ER181" i="10"/>
  <c r="EL181" i="10"/>
  <c r="EI181" i="10"/>
  <c r="ET181" i="10"/>
  <c r="EH181" i="10"/>
  <c r="EE181" i="10"/>
  <c r="DW181" i="10"/>
  <c r="ES181" i="10"/>
  <c r="EQ181" i="10"/>
  <c r="DN181" i="10"/>
  <c r="DY181" i="10"/>
  <c r="DV181" i="10"/>
  <c r="DR181" i="10"/>
  <c r="EK181" i="10"/>
  <c r="DO181" i="10"/>
  <c r="DG181" i="10"/>
  <c r="DH181" i="10"/>
  <c r="DM181" i="10"/>
  <c r="DU181" i="10"/>
  <c r="ET67" i="10"/>
  <c r="DN67" i="10"/>
  <c r="ES67" i="10"/>
  <c r="DM67" i="10"/>
  <c r="EQ67" i="10"/>
  <c r="DK67" i="10"/>
  <c r="EJ67" i="10"/>
  <c r="EF67" i="10"/>
  <c r="EA67" i="10"/>
  <c r="ER67" i="10"/>
  <c r="EP67" i="10"/>
  <c r="EO67" i="10"/>
  <c r="EN67" i="10"/>
  <c r="EM67" i="10"/>
  <c r="ED67" i="10"/>
  <c r="DY67" i="10"/>
  <c r="DT67" i="10"/>
  <c r="EG67" i="10"/>
  <c r="EE67" i="10"/>
  <c r="EC67" i="10"/>
  <c r="EB67" i="10"/>
  <c r="DZ67" i="10"/>
  <c r="DP67" i="10"/>
  <c r="DJ67" i="10"/>
  <c r="DS67" i="10"/>
  <c r="DR67" i="10"/>
  <c r="DQ67" i="10"/>
  <c r="DO67" i="10"/>
  <c r="DL67" i="10"/>
  <c r="EW67" i="10"/>
  <c r="DV67" i="10"/>
  <c r="DU67" i="10"/>
  <c r="DI67" i="10"/>
  <c r="DH67" i="10"/>
  <c r="DG67" i="10"/>
  <c r="EX67" i="10"/>
  <c r="EV67" i="10"/>
  <c r="EI67" i="10"/>
  <c r="EH67" i="10"/>
  <c r="DW67" i="10"/>
  <c r="EY67" i="10"/>
  <c r="EU67" i="10"/>
  <c r="EL67" i="10"/>
  <c r="EK67" i="10"/>
  <c r="DX67" i="10"/>
  <c r="EB212" i="10"/>
  <c r="EO212" i="10"/>
  <c r="DI212" i="10"/>
  <c r="EY212" i="10"/>
  <c r="DQ212" i="10"/>
  <c r="EA212" i="10"/>
  <c r="DZ212" i="10"/>
  <c r="DY212" i="10"/>
  <c r="DX212" i="10"/>
  <c r="DR212" i="10"/>
  <c r="EW212" i="10"/>
  <c r="DN212" i="10"/>
  <c r="EP212" i="10"/>
  <c r="DG212" i="10"/>
  <c r="EX212" i="10"/>
  <c r="EV212" i="10"/>
  <c r="EU212" i="10"/>
  <c r="EM212" i="10"/>
  <c r="EI212" i="10"/>
  <c r="EE212" i="10"/>
  <c r="EC212" i="10"/>
  <c r="DV212" i="10"/>
  <c r="ET212" i="10"/>
  <c r="ES212" i="10"/>
  <c r="ER212" i="10"/>
  <c r="EQ212" i="10"/>
  <c r="EF212" i="10"/>
  <c r="DU212" i="10"/>
  <c r="DL212" i="10"/>
  <c r="EK212" i="10"/>
  <c r="EJ212" i="10"/>
  <c r="EH212" i="10"/>
  <c r="EG212" i="10"/>
  <c r="DM212" i="10"/>
  <c r="DH212" i="10"/>
  <c r="EN212" i="10"/>
  <c r="DT212" i="10"/>
  <c r="DS212" i="10"/>
  <c r="DO212" i="10"/>
  <c r="EL212" i="10"/>
  <c r="DK212" i="10"/>
  <c r="DJ212" i="10"/>
  <c r="DW212" i="10"/>
  <c r="DP212" i="10"/>
  <c r="ED212" i="10"/>
  <c r="EU22" i="10"/>
  <c r="DO22" i="10"/>
  <c r="ET22" i="10"/>
  <c r="DN22" i="10"/>
  <c r="ES22" i="10"/>
  <c r="DM22" i="10"/>
  <c r="EA22" i="10"/>
  <c r="EF22" i="10"/>
  <c r="EE22" i="10"/>
  <c r="ED22" i="10"/>
  <c r="EC22" i="10"/>
  <c r="EB22" i="10"/>
  <c r="DS22" i="10"/>
  <c r="DP22" i="10"/>
  <c r="ER22" i="10"/>
  <c r="DH22" i="10"/>
  <c r="DR22" i="10"/>
  <c r="DQ22" i="10"/>
  <c r="DL22" i="10"/>
  <c r="DK22" i="10"/>
  <c r="DJ22" i="10"/>
  <c r="EW22" i="10"/>
  <c r="EY22" i="10"/>
  <c r="EL22" i="10"/>
  <c r="EH22" i="10"/>
  <c r="DX22" i="10"/>
  <c r="DW22" i="10"/>
  <c r="DU22" i="10"/>
  <c r="DY22" i="10"/>
  <c r="DV22" i="10"/>
  <c r="DT22" i="10"/>
  <c r="DI22" i="10"/>
  <c r="DG22" i="10"/>
  <c r="EX22" i="10"/>
  <c r="EV22" i="10"/>
  <c r="EP22" i="10"/>
  <c r="EO22" i="10"/>
  <c r="EN22" i="10"/>
  <c r="EM22" i="10"/>
  <c r="EK22" i="10"/>
  <c r="EJ22" i="10"/>
  <c r="EI22" i="10"/>
  <c r="DZ22" i="10"/>
  <c r="EQ22" i="10"/>
  <c r="EG22" i="10"/>
  <c r="DW205" i="10"/>
  <c r="EJ205" i="10"/>
  <c r="DY205" i="10"/>
  <c r="DZ205" i="10"/>
  <c r="DX205" i="10"/>
  <c r="DV205" i="10"/>
  <c r="DU205" i="10"/>
  <c r="EX205" i="10"/>
  <c r="DO205" i="10"/>
  <c r="EU205" i="10"/>
  <c r="DL205" i="10"/>
  <c r="EN205" i="10"/>
  <c r="EY205" i="10"/>
  <c r="DG205" i="10"/>
  <c r="EW205" i="10"/>
  <c r="EV205" i="10"/>
  <c r="ET205" i="10"/>
  <c r="EM205" i="10"/>
  <c r="EH205" i="10"/>
  <c r="ED205" i="10"/>
  <c r="EB205" i="10"/>
  <c r="ES205" i="10"/>
  <c r="ER205" i="10"/>
  <c r="EG205" i="10"/>
  <c r="EC205" i="10"/>
  <c r="DP205" i="10"/>
  <c r="EI205" i="10"/>
  <c r="EF205" i="10"/>
  <c r="EE205" i="10"/>
  <c r="EA205" i="10"/>
  <c r="DK205" i="10"/>
  <c r="DH205" i="10"/>
  <c r="EL205" i="10"/>
  <c r="DR205" i="10"/>
  <c r="DJ205" i="10"/>
  <c r="DI205" i="10"/>
  <c r="EQ205" i="10"/>
  <c r="DT205" i="10"/>
  <c r="DM205" i="10"/>
  <c r="DQ205" i="10"/>
  <c r="EP205" i="10"/>
  <c r="EO205" i="10"/>
  <c r="EK205" i="10"/>
  <c r="DS205" i="10"/>
  <c r="DN205" i="10"/>
  <c r="DW142" i="10"/>
  <c r="EI142" i="10"/>
  <c r="EH142" i="10"/>
  <c r="EF142" i="10"/>
  <c r="DZ142" i="10"/>
  <c r="DU142" i="10"/>
  <c r="EO142" i="10"/>
  <c r="DX142" i="10"/>
  <c r="DV142" i="10"/>
  <c r="DT142" i="10"/>
  <c r="DS142" i="10"/>
  <c r="EY142" i="10"/>
  <c r="DL142" i="10"/>
  <c r="EV142" i="10"/>
  <c r="DI142" i="10"/>
  <c r="EP142" i="10"/>
  <c r="ER142" i="10"/>
  <c r="EQ142" i="10"/>
  <c r="EN142" i="10"/>
  <c r="EM142" i="10"/>
  <c r="EL142" i="10"/>
  <c r="EB142" i="10"/>
  <c r="DQ142" i="10"/>
  <c r="DM142" i="10"/>
  <c r="DK142" i="10"/>
  <c r="DH142" i="10"/>
  <c r="DO142" i="10"/>
  <c r="DN142" i="10"/>
  <c r="DJ142" i="10"/>
  <c r="DG142" i="10"/>
  <c r="EU142" i="10"/>
  <c r="ET142" i="10"/>
  <c r="EK142" i="10"/>
  <c r="EW142" i="10"/>
  <c r="ES142" i="10"/>
  <c r="EG142" i="10"/>
  <c r="EJ142" i="10"/>
  <c r="EE142" i="10"/>
  <c r="ED142" i="10"/>
  <c r="EC142" i="10"/>
  <c r="EA142" i="10"/>
  <c r="DP142" i="10"/>
  <c r="EX142" i="10"/>
  <c r="DR142" i="10"/>
  <c r="DY142" i="10"/>
  <c r="DY164" i="10"/>
  <c r="EI164" i="10"/>
  <c r="EG164" i="10"/>
  <c r="DZ164" i="10"/>
  <c r="EN164" i="10"/>
  <c r="EM164" i="10"/>
  <c r="EL164" i="10"/>
  <c r="EK164" i="10"/>
  <c r="EC164" i="10"/>
  <c r="DW164" i="10"/>
  <c r="DQ164" i="10"/>
  <c r="ED164" i="10"/>
  <c r="EA164" i="10"/>
  <c r="EW164" i="10"/>
  <c r="DN164" i="10"/>
  <c r="DM164" i="10"/>
  <c r="DL164" i="10"/>
  <c r="DK164" i="10"/>
  <c r="EX164" i="10"/>
  <c r="ET164" i="10"/>
  <c r="EP164" i="10"/>
  <c r="EJ164" i="10"/>
  <c r="EF164" i="10"/>
  <c r="DX164" i="10"/>
  <c r="DV164" i="10"/>
  <c r="DU164" i="10"/>
  <c r="DT164" i="10"/>
  <c r="DS164" i="10"/>
  <c r="DG164" i="10"/>
  <c r="EY164" i="10"/>
  <c r="ES164" i="10"/>
  <c r="EH164" i="10"/>
  <c r="EE164" i="10"/>
  <c r="DR164" i="10"/>
  <c r="EQ164" i="10"/>
  <c r="EO164" i="10"/>
  <c r="EB164" i="10"/>
  <c r="DP164" i="10"/>
  <c r="DO164" i="10"/>
  <c r="EV164" i="10"/>
  <c r="DJ164" i="10"/>
  <c r="EU164" i="10"/>
  <c r="ER164" i="10"/>
  <c r="DI164" i="10"/>
  <c r="DH164" i="10"/>
  <c r="EQ170" i="10"/>
  <c r="DK170" i="10"/>
  <c r="EC170" i="10"/>
  <c r="EA170" i="10"/>
  <c r="DT170" i="10"/>
  <c r="DX170" i="10"/>
  <c r="DW170" i="10"/>
  <c r="DV170" i="10"/>
  <c r="DU170" i="10"/>
  <c r="EX170" i="10"/>
  <c r="DN170" i="10"/>
  <c r="ET170" i="10"/>
  <c r="DI170" i="10"/>
  <c r="EM170" i="10"/>
  <c r="EN170" i="10"/>
  <c r="EL170" i="10"/>
  <c r="EK170" i="10"/>
  <c r="DL170" i="10"/>
  <c r="DH170" i="10"/>
  <c r="DG170" i="10"/>
  <c r="EU170" i="10"/>
  <c r="EP170" i="10"/>
  <c r="EH170" i="10"/>
  <c r="EF170" i="10"/>
  <c r="ED170" i="10"/>
  <c r="EY170" i="10"/>
  <c r="EW170" i="10"/>
  <c r="EV170" i="10"/>
  <c r="ES170" i="10"/>
  <c r="EB170" i="10"/>
  <c r="DR170" i="10"/>
  <c r="DM170" i="10"/>
  <c r="DJ170" i="10"/>
  <c r="EJ170" i="10"/>
  <c r="EI170" i="10"/>
  <c r="EG170" i="10"/>
  <c r="EE170" i="10"/>
  <c r="DZ170" i="10"/>
  <c r="DQ170" i="10"/>
  <c r="DS170" i="10"/>
  <c r="DP170" i="10"/>
  <c r="DY170" i="10"/>
  <c r="DO170" i="10"/>
  <c r="ER170" i="10"/>
  <c r="EO170" i="10"/>
  <c r="DT220" i="10"/>
  <c r="EG220" i="10"/>
  <c r="EF220" i="10"/>
  <c r="EQ220" i="10"/>
  <c r="DH220" i="10"/>
  <c r="EA220" i="10"/>
  <c r="EE220" i="10"/>
  <c r="ED220" i="10"/>
  <c r="EC220" i="10"/>
  <c r="EB220" i="10"/>
  <c r="DU220" i="10"/>
  <c r="DQ220" i="10"/>
  <c r="EU220" i="10"/>
  <c r="DJ220" i="10"/>
  <c r="DR220" i="10"/>
  <c r="DP220" i="10"/>
  <c r="DO220" i="10"/>
  <c r="DN220" i="10"/>
  <c r="EV220" i="10"/>
  <c r="EP220" i="10"/>
  <c r="EN220" i="10"/>
  <c r="EL220" i="10"/>
  <c r="DL220" i="10"/>
  <c r="DK220" i="10"/>
  <c r="DI220" i="10"/>
  <c r="DG220" i="10"/>
  <c r="EY220" i="10"/>
  <c r="ES220" i="10"/>
  <c r="EO220" i="10"/>
  <c r="DY220" i="10"/>
  <c r="DX220" i="10"/>
  <c r="DW220" i="10"/>
  <c r="DV220" i="10"/>
  <c r="DS220" i="10"/>
  <c r="EX220" i="10"/>
  <c r="ER220" i="10"/>
  <c r="EI220" i="10"/>
  <c r="EH220" i="10"/>
  <c r="DM220" i="10"/>
  <c r="EW220" i="10"/>
  <c r="EJ220" i="10"/>
  <c r="DZ220" i="10"/>
  <c r="ET220" i="10"/>
  <c r="EM220" i="10"/>
  <c r="EK220" i="10"/>
  <c r="EU96" i="10"/>
  <c r="DO96" i="10"/>
  <c r="ET96" i="10"/>
  <c r="DN96" i="10"/>
  <c r="ES96" i="10"/>
  <c r="DM96" i="10"/>
  <c r="ER96" i="10"/>
  <c r="DL96" i="10"/>
  <c r="EK96" i="10"/>
  <c r="EH96" i="10"/>
  <c r="EB96" i="10"/>
  <c r="DY96" i="10"/>
  <c r="DX96" i="10"/>
  <c r="DW96" i="10"/>
  <c r="DV96" i="10"/>
  <c r="DU96" i="10"/>
  <c r="DJ96" i="10"/>
  <c r="EW96" i="10"/>
  <c r="EN96" i="10"/>
  <c r="DG96" i="10"/>
  <c r="EP96" i="10"/>
  <c r="EJ96" i="10"/>
  <c r="EE96" i="10"/>
  <c r="ED96" i="10"/>
  <c r="EA96" i="10"/>
  <c r="EC96" i="10"/>
  <c r="DZ96" i="10"/>
  <c r="DT96" i="10"/>
  <c r="DS96" i="10"/>
  <c r="DR96" i="10"/>
  <c r="EY96" i="10"/>
  <c r="EL96" i="10"/>
  <c r="EI96" i="10"/>
  <c r="EG96" i="10"/>
  <c r="EF96" i="10"/>
  <c r="DQ96" i="10"/>
  <c r="EQ96" i="10"/>
  <c r="DK96" i="10"/>
  <c r="DI96" i="10"/>
  <c r="EO96" i="10"/>
  <c r="EX96" i="10"/>
  <c r="DH96" i="10"/>
  <c r="DP96" i="10"/>
  <c r="EV96" i="10"/>
  <c r="EM96" i="10"/>
  <c r="EM253" i="10"/>
  <c r="DG253" i="10"/>
  <c r="DT253" i="10"/>
  <c r="EW253" i="10"/>
  <c r="DO253" i="10"/>
  <c r="EN253" i="10"/>
  <c r="EL253" i="10"/>
  <c r="EK253" i="10"/>
  <c r="DS253" i="10"/>
  <c r="DR253" i="10"/>
  <c r="DQ253" i="10"/>
  <c r="DP253" i="10"/>
  <c r="EI253" i="10"/>
  <c r="EH253" i="10"/>
  <c r="EG253" i="10"/>
  <c r="EF253" i="10"/>
  <c r="DZ253" i="10"/>
  <c r="DW253" i="10"/>
  <c r="EC253" i="10"/>
  <c r="EB253" i="10"/>
  <c r="EA253" i="10"/>
  <c r="DY253" i="10"/>
  <c r="DL253" i="10"/>
  <c r="DI253" i="10"/>
  <c r="EY253" i="10"/>
  <c r="EU253" i="10"/>
  <c r="EE253" i="10"/>
  <c r="ED253" i="10"/>
  <c r="DX253" i="10"/>
  <c r="DV253" i="10"/>
  <c r="DH253" i="10"/>
  <c r="EX253" i="10"/>
  <c r="EV253" i="10"/>
  <c r="ET253" i="10"/>
  <c r="ES253" i="10"/>
  <c r="DN253" i="10"/>
  <c r="DJ253" i="10"/>
  <c r="ER253" i="10"/>
  <c r="EJ253" i="10"/>
  <c r="DM253" i="10"/>
  <c r="EP253" i="10"/>
  <c r="EQ253" i="10"/>
  <c r="EO253" i="10"/>
  <c r="DU253" i="10"/>
  <c r="DK253" i="10"/>
  <c r="DT189" i="10"/>
  <c r="EG189" i="10"/>
  <c r="EF189" i="10"/>
  <c r="EE189" i="10"/>
  <c r="ED189" i="10"/>
  <c r="DX189" i="10"/>
  <c r="DU189" i="10"/>
  <c r="EU189" i="10"/>
  <c r="DH189" i="10"/>
  <c r="ET189" i="10"/>
  <c r="DG189" i="10"/>
  <c r="ES189" i="10"/>
  <c r="ER189" i="10"/>
  <c r="EL189" i="10"/>
  <c r="EH189" i="10"/>
  <c r="DW189" i="10"/>
  <c r="EY189" i="10"/>
  <c r="EN189" i="10"/>
  <c r="EJ189" i="10"/>
  <c r="DY189" i="10"/>
  <c r="EX189" i="10"/>
  <c r="EW189" i="10"/>
  <c r="EV189" i="10"/>
  <c r="EQ189" i="10"/>
  <c r="EB189" i="10"/>
  <c r="DV189" i="10"/>
  <c r="DP189" i="10"/>
  <c r="DN189" i="10"/>
  <c r="DL189" i="10"/>
  <c r="DK189" i="10"/>
  <c r="DJ189" i="10"/>
  <c r="DI189" i="10"/>
  <c r="EP189" i="10"/>
  <c r="EO189" i="10"/>
  <c r="EK189" i="10"/>
  <c r="EI189" i="10"/>
  <c r="DS189" i="10"/>
  <c r="DR189" i="10"/>
  <c r="DO189" i="10"/>
  <c r="EA189" i="10"/>
  <c r="DZ189" i="10"/>
  <c r="DM189" i="10"/>
  <c r="EC189" i="10"/>
  <c r="DQ189" i="10"/>
  <c r="EM189" i="10"/>
  <c r="EM126" i="10"/>
  <c r="DG126" i="10"/>
  <c r="EB126" i="10"/>
  <c r="DU126" i="10"/>
  <c r="DT126" i="10"/>
  <c r="DS126" i="10"/>
  <c r="DR126" i="10"/>
  <c r="DQ126" i="10"/>
  <c r="ES126" i="10"/>
  <c r="DJ126" i="10"/>
  <c r="EP126" i="10"/>
  <c r="EI126" i="10"/>
  <c r="EE126" i="10"/>
  <c r="ED126" i="10"/>
  <c r="EC126" i="10"/>
  <c r="EA126" i="10"/>
  <c r="DZ126" i="10"/>
  <c r="DN126" i="10"/>
  <c r="DI126" i="10"/>
  <c r="EV126" i="10"/>
  <c r="EU126" i="10"/>
  <c r="ER126" i="10"/>
  <c r="DY126" i="10"/>
  <c r="DX126" i="10"/>
  <c r="DW126" i="10"/>
  <c r="DV126" i="10"/>
  <c r="DP126" i="10"/>
  <c r="EY126" i="10"/>
  <c r="EX126" i="10"/>
  <c r="ET126" i="10"/>
  <c r="EN126" i="10"/>
  <c r="EL126" i="10"/>
  <c r="EJ126" i="10"/>
  <c r="DL126" i="10"/>
  <c r="DK126" i="10"/>
  <c r="DH126" i="10"/>
  <c r="EW126" i="10"/>
  <c r="EQ126" i="10"/>
  <c r="EO126" i="10"/>
  <c r="EH126" i="10"/>
  <c r="EK126" i="10"/>
  <c r="EG126" i="10"/>
  <c r="EF126" i="10"/>
  <c r="DO126" i="10"/>
  <c r="DM126" i="10"/>
  <c r="DY132" i="10"/>
  <c r="DV132" i="10"/>
  <c r="DU132" i="10"/>
  <c r="DS132" i="10"/>
  <c r="ET132" i="10"/>
  <c r="DM132" i="10"/>
  <c r="EG132" i="10"/>
  <c r="EO132" i="10"/>
  <c r="EN132" i="10"/>
  <c r="EM132" i="10"/>
  <c r="EL132" i="10"/>
  <c r="ED132" i="10"/>
  <c r="EA132" i="10"/>
  <c r="DQ132" i="10"/>
  <c r="EP132" i="10"/>
  <c r="EK132" i="10"/>
  <c r="EJ132" i="10"/>
  <c r="EI132" i="10"/>
  <c r="EH132" i="10"/>
  <c r="DW132" i="10"/>
  <c r="DO132" i="10"/>
  <c r="DJ132" i="10"/>
  <c r="DI132" i="10"/>
  <c r="DG132" i="10"/>
  <c r="DZ132" i="10"/>
  <c r="DX132" i="10"/>
  <c r="DT132" i="10"/>
  <c r="DR132" i="10"/>
  <c r="DP132" i="10"/>
  <c r="EY132" i="10"/>
  <c r="EW132" i="10"/>
  <c r="EC132" i="10"/>
  <c r="EB132" i="10"/>
  <c r="DN132" i="10"/>
  <c r="DL132" i="10"/>
  <c r="DK132" i="10"/>
  <c r="EF132" i="10"/>
  <c r="EE132" i="10"/>
  <c r="DH132" i="10"/>
  <c r="EU132" i="10"/>
  <c r="EV132" i="10"/>
  <c r="ES132" i="10"/>
  <c r="ER132" i="10"/>
  <c r="EX132" i="10"/>
  <c r="EQ132" i="10"/>
  <c r="EA154" i="10"/>
  <c r="DV154" i="10"/>
  <c r="ED154" i="10"/>
  <c r="EC154" i="10"/>
  <c r="EB154" i="10"/>
  <c r="DZ154" i="10"/>
  <c r="DS154" i="10"/>
  <c r="EW154" i="10"/>
  <c r="DO154" i="10"/>
  <c r="EJ154" i="10"/>
  <c r="EK154" i="10"/>
  <c r="EI154" i="10"/>
  <c r="EH154" i="10"/>
  <c r="EG154" i="10"/>
  <c r="DT154" i="10"/>
  <c r="DP154" i="10"/>
  <c r="DK154" i="10"/>
  <c r="EY154" i="10"/>
  <c r="DI154" i="10"/>
  <c r="EV154" i="10"/>
  <c r="DG154" i="10"/>
  <c r="DM154" i="10"/>
  <c r="DL154" i="10"/>
  <c r="DJ154" i="10"/>
  <c r="DH154" i="10"/>
  <c r="ES154" i="10"/>
  <c r="EO154" i="10"/>
  <c r="EN154" i="10"/>
  <c r="EL154" i="10"/>
  <c r="EX154" i="10"/>
  <c r="EU154" i="10"/>
  <c r="ET154" i="10"/>
  <c r="ER154" i="10"/>
  <c r="EQ154" i="10"/>
  <c r="DW154" i="10"/>
  <c r="DN154" i="10"/>
  <c r="EP154" i="10"/>
  <c r="DQ154" i="10"/>
  <c r="DX154" i="10"/>
  <c r="DU154" i="10"/>
  <c r="DR154" i="10"/>
  <c r="EF154" i="10"/>
  <c r="EM154" i="10"/>
  <c r="DY154" i="10"/>
  <c r="EE154" i="10"/>
  <c r="EJ204" i="10"/>
  <c r="EW204" i="10"/>
  <c r="DQ204" i="10"/>
  <c r="EI204" i="10"/>
  <c r="EH204" i="10"/>
  <c r="EG204" i="10"/>
  <c r="EF204" i="10"/>
  <c r="EE204" i="10"/>
  <c r="DY204" i="10"/>
  <c r="DV204" i="10"/>
  <c r="EX204" i="10"/>
  <c r="DN204" i="10"/>
  <c r="DH204" i="10"/>
  <c r="EY204" i="10"/>
  <c r="DG204" i="10"/>
  <c r="EV204" i="10"/>
  <c r="EU204" i="10"/>
  <c r="EO204" i="10"/>
  <c r="EK204" i="10"/>
  <c r="EA204" i="10"/>
  <c r="DX204" i="10"/>
  <c r="EM204" i="10"/>
  <c r="EL204" i="10"/>
  <c r="ED204" i="10"/>
  <c r="EC204" i="10"/>
  <c r="DR204" i="10"/>
  <c r="DM204" i="10"/>
  <c r="EQ204" i="10"/>
  <c r="EN204" i="10"/>
  <c r="DZ204" i="10"/>
  <c r="DL204" i="10"/>
  <c r="DK204" i="10"/>
  <c r="DJ204" i="10"/>
  <c r="DI204" i="10"/>
  <c r="ES204" i="10"/>
  <c r="ET204" i="10"/>
  <c r="EP204" i="10"/>
  <c r="EB204" i="10"/>
  <c r="DS204" i="10"/>
  <c r="DP204" i="10"/>
  <c r="DW204" i="10"/>
  <c r="DU204" i="10"/>
  <c r="DT204" i="10"/>
  <c r="ER204" i="10"/>
  <c r="DO204" i="10"/>
  <c r="DW88" i="10"/>
  <c r="DV88" i="10"/>
  <c r="DU88" i="10"/>
  <c r="DT88" i="10"/>
  <c r="ES88" i="10"/>
  <c r="DM88" i="10"/>
  <c r="EP88" i="10"/>
  <c r="DJ88" i="10"/>
  <c r="EJ88" i="10"/>
  <c r="DP88" i="10"/>
  <c r="DO88" i="10"/>
  <c r="DN88" i="10"/>
  <c r="DL88" i="10"/>
  <c r="EY88" i="10"/>
  <c r="DK88" i="10"/>
  <c r="EQ88" i="10"/>
  <c r="EL88" i="10"/>
  <c r="EF88" i="10"/>
  <c r="EM88" i="10"/>
  <c r="EK88" i="10"/>
  <c r="EI88" i="10"/>
  <c r="EH88" i="10"/>
  <c r="EG88" i="10"/>
  <c r="DY88" i="10"/>
  <c r="DQ88" i="10"/>
  <c r="EO88" i="10"/>
  <c r="ED88" i="10"/>
  <c r="DZ88" i="10"/>
  <c r="DX88" i="10"/>
  <c r="DR88" i="10"/>
  <c r="EU88" i="10"/>
  <c r="ET88" i="10"/>
  <c r="ER88" i="10"/>
  <c r="EN88" i="10"/>
  <c r="EE88" i="10"/>
  <c r="DG88" i="10"/>
  <c r="EX88" i="10"/>
  <c r="EW88" i="10"/>
  <c r="EV88" i="10"/>
  <c r="EC88" i="10"/>
  <c r="EB88" i="10"/>
  <c r="EA88" i="10"/>
  <c r="DH88" i="10"/>
  <c r="DI88" i="10"/>
  <c r="DS88" i="10"/>
  <c r="AY6" i="10"/>
  <c r="AY8" i="10" s="1"/>
  <c r="AM8" i="10"/>
  <c r="DY110" i="10"/>
  <c r="DX110" i="10"/>
  <c r="DW110" i="10"/>
  <c r="DV110" i="10"/>
  <c r="EU110" i="10"/>
  <c r="DO110" i="10"/>
  <c r="ER110" i="10"/>
  <c r="DL110" i="10"/>
  <c r="EL110" i="10"/>
  <c r="EX110" i="10"/>
  <c r="DI110" i="10"/>
  <c r="EW110" i="10"/>
  <c r="DH110" i="10"/>
  <c r="EV110" i="10"/>
  <c r="DG110" i="10"/>
  <c r="ET110" i="10"/>
  <c r="ES110" i="10"/>
  <c r="EJ110" i="10"/>
  <c r="EF110" i="10"/>
  <c r="EA110" i="10"/>
  <c r="EG110" i="10"/>
  <c r="EE110" i="10"/>
  <c r="ED110" i="10"/>
  <c r="EC110" i="10"/>
  <c r="EB110" i="10"/>
  <c r="DP110" i="10"/>
  <c r="DJ110" i="10"/>
  <c r="EI110" i="10"/>
  <c r="EH110" i="10"/>
  <c r="DZ110" i="10"/>
  <c r="DU110" i="10"/>
  <c r="DT110" i="10"/>
  <c r="EO110" i="10"/>
  <c r="DS110" i="10"/>
  <c r="DR110" i="10"/>
  <c r="DN110" i="10"/>
  <c r="EN110" i="10"/>
  <c r="EM110" i="10"/>
  <c r="DQ110" i="10"/>
  <c r="EY110" i="10"/>
  <c r="EQ110" i="10"/>
  <c r="EK110" i="10"/>
  <c r="DM110" i="10"/>
  <c r="DK110" i="10"/>
  <c r="EP110" i="10"/>
  <c r="EW172" i="10"/>
  <c r="DQ172" i="10"/>
  <c r="EL172" i="10"/>
  <c r="EJ172" i="10"/>
  <c r="EI172" i="10"/>
  <c r="EC172" i="10"/>
  <c r="EU172" i="10"/>
  <c r="DJ172" i="10"/>
  <c r="ET172" i="10"/>
  <c r="DI172" i="10"/>
  <c r="ES172" i="10"/>
  <c r="DH172" i="10"/>
  <c r="ER172" i="10"/>
  <c r="DG172" i="10"/>
  <c r="EK172" i="10"/>
  <c r="EE172" i="10"/>
  <c r="DX172" i="10"/>
  <c r="EX172" i="10"/>
  <c r="EV172" i="10"/>
  <c r="EQ172" i="10"/>
  <c r="ED172" i="10"/>
  <c r="DS172" i="10"/>
  <c r="EA172" i="10"/>
  <c r="DZ172" i="10"/>
  <c r="DY172" i="10"/>
  <c r="DW172" i="10"/>
  <c r="DN172" i="10"/>
  <c r="DK172" i="10"/>
  <c r="EO172" i="10"/>
  <c r="EN172" i="10"/>
  <c r="EM172" i="10"/>
  <c r="EH172" i="10"/>
  <c r="EG172" i="10"/>
  <c r="DP172" i="10"/>
  <c r="DU172" i="10"/>
  <c r="DM172" i="10"/>
  <c r="EP172" i="10"/>
  <c r="EY172" i="10"/>
  <c r="EF172" i="10"/>
  <c r="EB172" i="10"/>
  <c r="DT172" i="10"/>
  <c r="DR172" i="10"/>
  <c r="DO172" i="10"/>
  <c r="DV172" i="10"/>
  <c r="DL172" i="10"/>
  <c r="DT252" i="10"/>
  <c r="EG252" i="10"/>
  <c r="DZ252" i="10"/>
  <c r="EW252" i="10"/>
  <c r="DN252" i="10"/>
  <c r="EV252" i="10"/>
  <c r="DM252" i="10"/>
  <c r="EU252" i="10"/>
  <c r="DL252" i="10"/>
  <c r="DY252" i="10"/>
  <c r="DW252" i="10"/>
  <c r="DV252" i="10"/>
  <c r="EL252" i="10"/>
  <c r="EK252" i="10"/>
  <c r="EJ252" i="10"/>
  <c r="EI252" i="10"/>
  <c r="EB252" i="10"/>
  <c r="DU252" i="10"/>
  <c r="DR252" i="10"/>
  <c r="DQ252" i="10"/>
  <c r="DP252" i="10"/>
  <c r="DO252" i="10"/>
  <c r="ET252" i="10"/>
  <c r="EQ252" i="10"/>
  <c r="EN252" i="10"/>
  <c r="ER252" i="10"/>
  <c r="EH252" i="10"/>
  <c r="EE252" i="10"/>
  <c r="EC252" i="10"/>
  <c r="EP252" i="10"/>
  <c r="EM252" i="10"/>
  <c r="ED252" i="10"/>
  <c r="DI252" i="10"/>
  <c r="DH252" i="10"/>
  <c r="DG252" i="10"/>
  <c r="EY252" i="10"/>
  <c r="EX252" i="10"/>
  <c r="EA252" i="10"/>
  <c r="DX252" i="10"/>
  <c r="DK252" i="10"/>
  <c r="DJ252" i="10"/>
  <c r="ES252" i="10"/>
  <c r="EO252" i="10"/>
  <c r="EF252" i="10"/>
  <c r="DS252" i="10"/>
  <c r="DT157" i="10"/>
  <c r="DS157" i="10"/>
  <c r="EE157" i="10"/>
  <c r="ED157" i="10"/>
  <c r="EC157" i="10"/>
  <c r="EB157" i="10"/>
  <c r="DV157" i="10"/>
  <c r="EX157" i="10"/>
  <c r="DP157" i="10"/>
  <c r="DY157" i="10"/>
  <c r="DW157" i="10"/>
  <c r="EJ157" i="10"/>
  <c r="EI157" i="10"/>
  <c r="EH157" i="10"/>
  <c r="EG157" i="10"/>
  <c r="DQ157" i="10"/>
  <c r="DM157" i="10"/>
  <c r="DI157" i="10"/>
  <c r="EW157" i="10"/>
  <c r="DG157" i="10"/>
  <c r="EU157" i="10"/>
  <c r="EQ157" i="10"/>
  <c r="EM157" i="10"/>
  <c r="EA157" i="10"/>
  <c r="DZ157" i="10"/>
  <c r="DU157" i="10"/>
  <c r="DJ157" i="10"/>
  <c r="DH157" i="10"/>
  <c r="EY157" i="10"/>
  <c r="ER157" i="10"/>
  <c r="EP157" i="10"/>
  <c r="EN157" i="10"/>
  <c r="EV157" i="10"/>
  <c r="ET157" i="10"/>
  <c r="ES157" i="10"/>
  <c r="EO157" i="10"/>
  <c r="DL157" i="10"/>
  <c r="DN157" i="10"/>
  <c r="EL157" i="10"/>
  <c r="EK157" i="10"/>
  <c r="EF157" i="10"/>
  <c r="DX157" i="10"/>
  <c r="DR157" i="10"/>
  <c r="DO157" i="10"/>
  <c r="DK157" i="10"/>
  <c r="EO94" i="10"/>
  <c r="DI94" i="10"/>
  <c r="EN94" i="10"/>
  <c r="DH94" i="10"/>
  <c r="EM94" i="10"/>
  <c r="DG94" i="10"/>
  <c r="EL94" i="10"/>
  <c r="EE94" i="10"/>
  <c r="EB94" i="10"/>
  <c r="DV94" i="10"/>
  <c r="EG94" i="10"/>
  <c r="EF94" i="10"/>
  <c r="ED94" i="10"/>
  <c r="EC94" i="10"/>
  <c r="EA94" i="10"/>
  <c r="DS94" i="10"/>
  <c r="DO94" i="10"/>
  <c r="EW94" i="10"/>
  <c r="DJ94" i="10"/>
  <c r="ES94" i="10"/>
  <c r="ER94" i="10"/>
  <c r="EQ94" i="10"/>
  <c r="EP94" i="10"/>
  <c r="EK94" i="10"/>
  <c r="DW94" i="10"/>
  <c r="DQ94" i="10"/>
  <c r="DL94" i="10"/>
  <c r="DK94" i="10"/>
  <c r="EJ94" i="10"/>
  <c r="EI94" i="10"/>
  <c r="EH94" i="10"/>
  <c r="DZ94" i="10"/>
  <c r="DY94" i="10"/>
  <c r="DM94" i="10"/>
  <c r="EY94" i="10"/>
  <c r="EX94" i="10"/>
  <c r="EV94" i="10"/>
  <c r="EU94" i="10"/>
  <c r="ET94" i="10"/>
  <c r="DX94" i="10"/>
  <c r="DN94" i="10"/>
  <c r="DU94" i="10"/>
  <c r="DT94" i="10"/>
  <c r="DR94" i="10"/>
  <c r="DP94" i="10"/>
  <c r="EG68" i="10"/>
  <c r="EF68" i="10"/>
  <c r="ED68" i="10"/>
  <c r="DW68" i="10"/>
  <c r="EY68" i="10"/>
  <c r="DS68" i="10"/>
  <c r="ET68" i="10"/>
  <c r="DN68" i="10"/>
  <c r="EM68" i="10"/>
  <c r="EL68" i="10"/>
  <c r="EK68" i="10"/>
  <c r="EJ68" i="10"/>
  <c r="EI68" i="10"/>
  <c r="DY68" i="10"/>
  <c r="DT68" i="10"/>
  <c r="DM68" i="10"/>
  <c r="EQ68" i="10"/>
  <c r="EP68" i="10"/>
  <c r="EO68" i="10"/>
  <c r="EN68" i="10"/>
  <c r="EH68" i="10"/>
  <c r="DU68" i="10"/>
  <c r="DP68" i="10"/>
  <c r="DJ68" i="10"/>
  <c r="DI68" i="10"/>
  <c r="DG68" i="10"/>
  <c r="EX68" i="10"/>
  <c r="EW68" i="10"/>
  <c r="EV68" i="10"/>
  <c r="EU68" i="10"/>
  <c r="ES68" i="10"/>
  <c r="DV68" i="10"/>
  <c r="DL68" i="10"/>
  <c r="EC68" i="10"/>
  <c r="DX68" i="10"/>
  <c r="DK68" i="10"/>
  <c r="DH68" i="10"/>
  <c r="DR68" i="10"/>
  <c r="DO68" i="10"/>
  <c r="EA68" i="10"/>
  <c r="ER68" i="10"/>
  <c r="EB68" i="10"/>
  <c r="DQ68" i="10"/>
  <c r="DZ68" i="10"/>
  <c r="EE68" i="10"/>
  <c r="EA122" i="10"/>
  <c r="EQ122" i="10"/>
  <c r="DJ122" i="10"/>
  <c r="EE122" i="10"/>
  <c r="DX122" i="10"/>
  <c r="DW122" i="10"/>
  <c r="DV122" i="10"/>
  <c r="DU122" i="10"/>
  <c r="EW122" i="10"/>
  <c r="DN122" i="10"/>
  <c r="ET122" i="10"/>
  <c r="DK122" i="10"/>
  <c r="EM122" i="10"/>
  <c r="EF122" i="10"/>
  <c r="ED122" i="10"/>
  <c r="EC122" i="10"/>
  <c r="EB122" i="10"/>
  <c r="DZ122" i="10"/>
  <c r="DO122" i="10"/>
  <c r="DH122" i="10"/>
  <c r="EV122" i="10"/>
  <c r="EU122" i="10"/>
  <c r="DL122" i="10"/>
  <c r="DI122" i="10"/>
  <c r="DG122" i="10"/>
  <c r="ER122" i="10"/>
  <c r="EL122" i="10"/>
  <c r="EK122" i="10"/>
  <c r="EI122" i="10"/>
  <c r="EY122" i="10"/>
  <c r="EP122" i="10"/>
  <c r="EH122" i="10"/>
  <c r="EG122" i="10"/>
  <c r="DT122" i="10"/>
  <c r="EX122" i="10"/>
  <c r="ES122" i="10"/>
  <c r="EO122" i="10"/>
  <c r="EN122" i="10"/>
  <c r="DS122" i="10"/>
  <c r="DR122" i="10"/>
  <c r="DP122" i="10"/>
  <c r="EJ122" i="10"/>
  <c r="DY122" i="10"/>
  <c r="DQ122" i="10"/>
  <c r="DM122" i="10"/>
  <c r="EG156" i="10"/>
  <c r="EE156" i="10"/>
  <c r="EP156" i="10"/>
  <c r="DH156" i="10"/>
  <c r="EO156" i="10"/>
  <c r="DG156" i="10"/>
  <c r="EN156" i="10"/>
  <c r="EM156" i="10"/>
  <c r="EF156" i="10"/>
  <c r="EA156" i="10"/>
  <c r="DZ156" i="10"/>
  <c r="DX156" i="10"/>
  <c r="EI156" i="10"/>
  <c r="EH156" i="10"/>
  <c r="ED156" i="10"/>
  <c r="EC156" i="10"/>
  <c r="DS156" i="10"/>
  <c r="DP156" i="10"/>
  <c r="DL156" i="10"/>
  <c r="DJ156" i="10"/>
  <c r="EX156" i="10"/>
  <c r="EV156" i="10"/>
  <c r="EU156" i="10"/>
  <c r="ET156" i="10"/>
  <c r="ES156" i="10"/>
  <c r="ER156" i="10"/>
  <c r="DW156" i="10"/>
  <c r="DR156" i="10"/>
  <c r="DM156" i="10"/>
  <c r="DK156" i="10"/>
  <c r="EY156" i="10"/>
  <c r="EW156" i="10"/>
  <c r="EQ156" i="10"/>
  <c r="DU156" i="10"/>
  <c r="DN156" i="10"/>
  <c r="EK156" i="10"/>
  <c r="DV156" i="10"/>
  <c r="DT156" i="10"/>
  <c r="DO156" i="10"/>
  <c r="EB156" i="10"/>
  <c r="DY156" i="10"/>
  <c r="DQ156" i="10"/>
  <c r="DI156" i="10"/>
  <c r="EL156" i="10"/>
  <c r="EJ156" i="10"/>
  <c r="BU272" i="10"/>
  <c r="BU259" i="10"/>
  <c r="BU273" i="10"/>
  <c r="BU267" i="10"/>
  <c r="BU262" i="10"/>
  <c r="BU234" i="10"/>
  <c r="BU202" i="10"/>
  <c r="BU266" i="10"/>
  <c r="BU229" i="10"/>
  <c r="BU197" i="10"/>
  <c r="BU265" i="10"/>
  <c r="BU224" i="10"/>
  <c r="BU219" i="10"/>
  <c r="BU214" i="10"/>
  <c r="BU253" i="10"/>
  <c r="BU238" i="10"/>
  <c r="BU206" i="10"/>
  <c r="BU271" i="10"/>
  <c r="BU243" i="10"/>
  <c r="BU218" i="10"/>
  <c r="BU256" i="10"/>
  <c r="BU225" i="10"/>
  <c r="BU208" i="10"/>
  <c r="BU195" i="10"/>
  <c r="BU186" i="10"/>
  <c r="BU154" i="10"/>
  <c r="BU255" i="10"/>
  <c r="BU198" i="10"/>
  <c r="BU181" i="10"/>
  <c r="BU233" i="10"/>
  <c r="BU176" i="10"/>
  <c r="BU171" i="10"/>
  <c r="BU258" i="10"/>
  <c r="BU257" i="10"/>
  <c r="BU166" i="10"/>
  <c r="BU261" i="10"/>
  <c r="BU244" i="10"/>
  <c r="BU241" i="10"/>
  <c r="BU263" i="10"/>
  <c r="BU246" i="10"/>
  <c r="BU212" i="10"/>
  <c r="BU196" i="10"/>
  <c r="BU250" i="10"/>
  <c r="BU249" i="10"/>
  <c r="BU245" i="10"/>
  <c r="BU205" i="10"/>
  <c r="BU178" i="10"/>
  <c r="BU142" i="10"/>
  <c r="BU137" i="10"/>
  <c r="BU223" i="10"/>
  <c r="BU152" i="10"/>
  <c r="BU247" i="10"/>
  <c r="BU228" i="10"/>
  <c r="BU127" i="10"/>
  <c r="BU177" i="10"/>
  <c r="BU163" i="10"/>
  <c r="BU159" i="10"/>
  <c r="BU254" i="10"/>
  <c r="BU251" i="10"/>
  <c r="BU167" i="10"/>
  <c r="BU162" i="10"/>
  <c r="BU141" i="10"/>
  <c r="BU242" i="10"/>
  <c r="BU260" i="10"/>
  <c r="BU221" i="10"/>
  <c r="BU182" i="10"/>
  <c r="BU239" i="10"/>
  <c r="BU216" i="10"/>
  <c r="BU252" i="10"/>
  <c r="BU235" i="10"/>
  <c r="BU210" i="10"/>
  <c r="BU174" i="10"/>
  <c r="BU155" i="10"/>
  <c r="BU93" i="10"/>
  <c r="BU180" i="10"/>
  <c r="BU168" i="10"/>
  <c r="BU150" i="10"/>
  <c r="BU140" i="10"/>
  <c r="BU129" i="10"/>
  <c r="BU120" i="10"/>
  <c r="BU201" i="10"/>
  <c r="BU149" i="10"/>
  <c r="BU139" i="10"/>
  <c r="BU115" i="10"/>
  <c r="BU248" i="10"/>
  <c r="BU209" i="10"/>
  <c r="BU194" i="10"/>
  <c r="BU190" i="10"/>
  <c r="BU156" i="10"/>
  <c r="BU110" i="10"/>
  <c r="BU268" i="10"/>
  <c r="BU237" i="10"/>
  <c r="BU231" i="10"/>
  <c r="BU175" i="10"/>
  <c r="BU157" i="10"/>
  <c r="BU133" i="10"/>
  <c r="BU105" i="10"/>
  <c r="BU170" i="10"/>
  <c r="BU146" i="10"/>
  <c r="BU274" i="10"/>
  <c r="BU188" i="10"/>
  <c r="BU183" i="10"/>
  <c r="BU145" i="10"/>
  <c r="BU104" i="10"/>
  <c r="BU270" i="10"/>
  <c r="BU232" i="10"/>
  <c r="BU192" i="10"/>
  <c r="BU121" i="10"/>
  <c r="BU240" i="10"/>
  <c r="BU230" i="10"/>
  <c r="BU215" i="10"/>
  <c r="BU226" i="10"/>
  <c r="BU213" i="10"/>
  <c r="BU200" i="10"/>
  <c r="BU184" i="10"/>
  <c r="BU227" i="10"/>
  <c r="BU165" i="10"/>
  <c r="BU132" i="10"/>
  <c r="BU55" i="10"/>
  <c r="BU23" i="10"/>
  <c r="BU236" i="10"/>
  <c r="BU173" i="10"/>
  <c r="BU82" i="10"/>
  <c r="BU95" i="10"/>
  <c r="BU77" i="10"/>
  <c r="BU45" i="10"/>
  <c r="BU114" i="10"/>
  <c r="BU72" i="10"/>
  <c r="BU40" i="10"/>
  <c r="BU91" i="10"/>
  <c r="BU67" i="10"/>
  <c r="BU217" i="10"/>
  <c r="BU109" i="10"/>
  <c r="BU122" i="10"/>
  <c r="BU83" i="10"/>
  <c r="BU51" i="10"/>
  <c r="BU126" i="10"/>
  <c r="BU203" i="10"/>
  <c r="BU134" i="10"/>
  <c r="BU131" i="10"/>
  <c r="BU108" i="10"/>
  <c r="BU96" i="10"/>
  <c r="BU73" i="10"/>
  <c r="BU46" i="10"/>
  <c r="BU97" i="10"/>
  <c r="BU62" i="10"/>
  <c r="BU20" i="10"/>
  <c r="BU103" i="10"/>
  <c r="BU71" i="10"/>
  <c r="BU41" i="10"/>
  <c r="BU12" i="10"/>
  <c r="BU207" i="10"/>
  <c r="BU86" i="10"/>
  <c r="BU85" i="10"/>
  <c r="BU147" i="10"/>
  <c r="BU111" i="10"/>
  <c r="BU81" i="10"/>
  <c r="BU59" i="10"/>
  <c r="BU33" i="10"/>
  <c r="BU92" i="10"/>
  <c r="BU39" i="10"/>
  <c r="BU222" i="10"/>
  <c r="BU130" i="10"/>
  <c r="BU124" i="10"/>
  <c r="BU148" i="10"/>
  <c r="BU185" i="10"/>
  <c r="BU136" i="10"/>
  <c r="BU42" i="10"/>
  <c r="BU22" i="10"/>
  <c r="BU117" i="10"/>
  <c r="BU68" i="10"/>
  <c r="BU160" i="10"/>
  <c r="BU99" i="10"/>
  <c r="BU43" i="10"/>
  <c r="BU169" i="10"/>
  <c r="BU138" i="10"/>
  <c r="BU113" i="10"/>
  <c r="BU87" i="10"/>
  <c r="BU78" i="10"/>
  <c r="BU53" i="10"/>
  <c r="BU13" i="10"/>
  <c r="BU193" i="10"/>
  <c r="BU151" i="10"/>
  <c r="BU44" i="10"/>
  <c r="BU21" i="10"/>
  <c r="BU211" i="10"/>
  <c r="BU153" i="10"/>
  <c r="BU47" i="10"/>
  <c r="BU88" i="10"/>
  <c r="BU70" i="10"/>
  <c r="BU64" i="10"/>
  <c r="BU18" i="10"/>
  <c r="BU11" i="10"/>
  <c r="BU191" i="10"/>
  <c r="BU112" i="10"/>
  <c r="BU75" i="10"/>
  <c r="BU179" i="10"/>
  <c r="BU65" i="10"/>
  <c r="BU49" i="10"/>
  <c r="BU16" i="10"/>
  <c r="BU204" i="10"/>
  <c r="BU161" i="10"/>
  <c r="BU98" i="10"/>
  <c r="BU89" i="10"/>
  <c r="BU58" i="10"/>
  <c r="BU31" i="10"/>
  <c r="BU30" i="10"/>
  <c r="BU28" i="10"/>
  <c r="BU158" i="10"/>
  <c r="BU34" i="10"/>
  <c r="BU29" i="10"/>
  <c r="BU269" i="10"/>
  <c r="BU119" i="10"/>
  <c r="BU90" i="10"/>
  <c r="BU189" i="10"/>
  <c r="BU27" i="10"/>
  <c r="BU101" i="10"/>
  <c r="BU76" i="10"/>
  <c r="BU107" i="10"/>
  <c r="BU61" i="10"/>
  <c r="BU57" i="10"/>
  <c r="BU69" i="10"/>
  <c r="BU63" i="10"/>
  <c r="BU32" i="10"/>
  <c r="BU172" i="10"/>
  <c r="BU135" i="10"/>
  <c r="BU123" i="10"/>
  <c r="BU106" i="10"/>
  <c r="BU164" i="10"/>
  <c r="BU66" i="10"/>
  <c r="BU60" i="10"/>
  <c r="BU56" i="10"/>
  <c r="BU48" i="10"/>
  <c r="Y10" i="10"/>
  <c r="BU10" i="10" s="1"/>
  <c r="DQ10" i="10" s="1"/>
  <c r="FM10" i="10" s="1"/>
  <c r="BU125" i="10"/>
  <c r="BU264" i="10"/>
  <c r="BU26" i="10"/>
  <c r="BU74" i="10"/>
  <c r="BU84" i="10"/>
  <c r="BU50" i="10"/>
  <c r="BU220" i="10"/>
  <c r="BU17" i="10"/>
  <c r="BU199" i="10"/>
  <c r="BU37" i="10"/>
  <c r="BU25" i="10"/>
  <c r="BU102" i="10"/>
  <c r="BU80" i="10"/>
  <c r="BU15" i="10"/>
  <c r="BU52" i="10"/>
  <c r="BU118" i="10"/>
  <c r="BU36" i="10"/>
  <c r="BU79" i="10"/>
  <c r="BU100" i="10"/>
  <c r="BU14" i="10"/>
  <c r="BU54" i="10"/>
  <c r="BU24" i="10"/>
  <c r="BU35" i="10"/>
  <c r="BU116" i="10"/>
  <c r="BU143" i="10"/>
  <c r="BU128" i="10"/>
  <c r="BU187" i="10"/>
  <c r="BU19" i="10"/>
  <c r="BU94" i="10"/>
  <c r="BU144" i="10"/>
  <c r="BU38" i="10"/>
  <c r="EE46" i="10"/>
  <c r="EU46" i="10"/>
  <c r="DN46" i="10"/>
  <c r="ET46" i="10"/>
  <c r="DM46" i="10"/>
  <c r="ES46" i="10"/>
  <c r="DL46" i="10"/>
  <c r="ER46" i="10"/>
  <c r="DK46" i="10"/>
  <c r="EQ46" i="10"/>
  <c r="DJ46" i="10"/>
  <c r="EJ46" i="10"/>
  <c r="EF46" i="10"/>
  <c r="DZ46" i="10"/>
  <c r="DR46" i="10"/>
  <c r="DQ46" i="10"/>
  <c r="DP46" i="10"/>
  <c r="DO46" i="10"/>
  <c r="DI46" i="10"/>
  <c r="EP46" i="10"/>
  <c r="EM46" i="10"/>
  <c r="EG46" i="10"/>
  <c r="EO46" i="10"/>
  <c r="EN46" i="10"/>
  <c r="EL46" i="10"/>
  <c r="EK46" i="10"/>
  <c r="EI46" i="10"/>
  <c r="DW46" i="10"/>
  <c r="DS46" i="10"/>
  <c r="EW46" i="10"/>
  <c r="EC46" i="10"/>
  <c r="EB46" i="10"/>
  <c r="DY46" i="10"/>
  <c r="ED46" i="10"/>
  <c r="EA46" i="10"/>
  <c r="DX46" i="10"/>
  <c r="DV46" i="10"/>
  <c r="DU46" i="10"/>
  <c r="DT46" i="10"/>
  <c r="DH46" i="10"/>
  <c r="DG46" i="10"/>
  <c r="EX46" i="10"/>
  <c r="EV46" i="10"/>
  <c r="EH46" i="10"/>
  <c r="EY46" i="10"/>
  <c r="EE197" i="10"/>
  <c r="ER197" i="10"/>
  <c r="DL197" i="10"/>
  <c r="EM197" i="10"/>
  <c r="EL197" i="10"/>
  <c r="EK197" i="10"/>
  <c r="EJ197" i="10"/>
  <c r="EC197" i="10"/>
  <c r="DZ197" i="10"/>
  <c r="DP197" i="10"/>
  <c r="DO197" i="10"/>
  <c r="DN197" i="10"/>
  <c r="DM197" i="10"/>
  <c r="EU197" i="10"/>
  <c r="EP197" i="10"/>
  <c r="EF197" i="10"/>
  <c r="DJ197" i="10"/>
  <c r="DI197" i="10"/>
  <c r="DH197" i="10"/>
  <c r="DG197" i="10"/>
  <c r="EV197" i="10"/>
  <c r="EQ197" i="10"/>
  <c r="ED197" i="10"/>
  <c r="DY197" i="10"/>
  <c r="DX197" i="10"/>
  <c r="DW197" i="10"/>
  <c r="DV197" i="10"/>
  <c r="EX197" i="10"/>
  <c r="DU197" i="10"/>
  <c r="DT197" i="10"/>
  <c r="DS197" i="10"/>
  <c r="DR197" i="10"/>
  <c r="DQ197" i="10"/>
  <c r="EW197" i="10"/>
  <c r="DK197" i="10"/>
  <c r="EY197" i="10"/>
  <c r="EH197" i="10"/>
  <c r="EG197" i="10"/>
  <c r="EB197" i="10"/>
  <c r="EA197" i="10"/>
  <c r="EI197" i="10"/>
  <c r="ES197" i="10"/>
  <c r="EO197" i="10"/>
  <c r="ET197" i="10"/>
  <c r="EN197" i="10"/>
  <c r="EN99" i="10"/>
  <c r="DH99" i="10"/>
  <c r="EM99" i="10"/>
  <c r="DG99" i="10"/>
  <c r="EL99" i="10"/>
  <c r="EK99" i="10"/>
  <c r="ED99" i="10"/>
  <c r="EA99" i="10"/>
  <c r="DU99" i="10"/>
  <c r="DN99" i="10"/>
  <c r="DM99" i="10"/>
  <c r="EY99" i="10"/>
  <c r="DL99" i="10"/>
  <c r="EX99" i="10"/>
  <c r="DK99" i="10"/>
  <c r="EW99" i="10"/>
  <c r="DJ99" i="10"/>
  <c r="EP99" i="10"/>
  <c r="EH99" i="10"/>
  <c r="EB99" i="10"/>
  <c r="EI99" i="10"/>
  <c r="EG99" i="10"/>
  <c r="EF99" i="10"/>
  <c r="EE99" i="10"/>
  <c r="EC99" i="10"/>
  <c r="DS99" i="10"/>
  <c r="DO99" i="10"/>
  <c r="EV99" i="10"/>
  <c r="EU99" i="10"/>
  <c r="ET99" i="10"/>
  <c r="ES99" i="10"/>
  <c r="ER99" i="10"/>
  <c r="DV99" i="10"/>
  <c r="DQ99" i="10"/>
  <c r="DR99" i="10"/>
  <c r="DP99" i="10"/>
  <c r="DI99" i="10"/>
  <c r="EQ99" i="10"/>
  <c r="EO99" i="10"/>
  <c r="DZ99" i="10"/>
  <c r="DW99" i="10"/>
  <c r="DT99" i="10"/>
  <c r="EJ99" i="10"/>
  <c r="DY99" i="10"/>
  <c r="DX99" i="10"/>
  <c r="DX137" i="10"/>
  <c r="EC137" i="10"/>
  <c r="EB137" i="10"/>
  <c r="DZ137" i="10"/>
  <c r="DS137" i="10"/>
  <c r="EI137" i="10"/>
  <c r="EW137" i="10"/>
  <c r="DK137" i="10"/>
  <c r="EV137" i="10"/>
  <c r="DJ137" i="10"/>
  <c r="EU137" i="10"/>
  <c r="DI137" i="10"/>
  <c r="ET137" i="10"/>
  <c r="DH137" i="10"/>
  <c r="EM137" i="10"/>
  <c r="EJ137" i="10"/>
  <c r="EA137" i="10"/>
  <c r="DO137" i="10"/>
  <c r="DN137" i="10"/>
  <c r="DM137" i="10"/>
  <c r="DL137" i="10"/>
  <c r="DG137" i="10"/>
  <c r="ES137" i="10"/>
  <c r="EO137" i="10"/>
  <c r="EH137" i="10"/>
  <c r="EG137" i="10"/>
  <c r="EE137" i="10"/>
  <c r="DT137" i="10"/>
  <c r="DR137" i="10"/>
  <c r="DQ137" i="10"/>
  <c r="DP137" i="10"/>
  <c r="EX137" i="10"/>
  <c r="ER137" i="10"/>
  <c r="EP137" i="10"/>
  <c r="EQ137" i="10"/>
  <c r="EY137" i="10"/>
  <c r="EF137" i="10"/>
  <c r="DV137" i="10"/>
  <c r="DU137" i="10"/>
  <c r="EL137" i="10"/>
  <c r="DW137" i="10"/>
  <c r="EN137" i="10"/>
  <c r="DY137" i="10"/>
  <c r="ED137" i="10"/>
  <c r="EK137" i="10"/>
  <c r="EJ173" i="10"/>
  <c r="DZ173" i="10"/>
  <c r="DX173" i="10"/>
  <c r="DW173" i="10"/>
  <c r="EX173" i="10"/>
  <c r="DQ173" i="10"/>
  <c r="EU173" i="10"/>
  <c r="DN173" i="10"/>
  <c r="EO173" i="10"/>
  <c r="EN173" i="10"/>
  <c r="EM173" i="10"/>
  <c r="EL173" i="10"/>
  <c r="EE173" i="10"/>
  <c r="EA173" i="10"/>
  <c r="DR173" i="10"/>
  <c r="EY173" i="10"/>
  <c r="EW173" i="10"/>
  <c r="EV173" i="10"/>
  <c r="EI173" i="10"/>
  <c r="DU173" i="10"/>
  <c r="ER173" i="10"/>
  <c r="EQ173" i="10"/>
  <c r="EP173" i="10"/>
  <c r="EK173" i="10"/>
  <c r="DY173" i="10"/>
  <c r="DS173" i="10"/>
  <c r="DL173" i="10"/>
  <c r="DJ173" i="10"/>
  <c r="DH173" i="10"/>
  <c r="ES173" i="10"/>
  <c r="ED173" i="10"/>
  <c r="EC173" i="10"/>
  <c r="DV173" i="10"/>
  <c r="DP173" i="10"/>
  <c r="DO173" i="10"/>
  <c r="DM173" i="10"/>
  <c r="DK173" i="10"/>
  <c r="DI173" i="10"/>
  <c r="EH173" i="10"/>
  <c r="DT173" i="10"/>
  <c r="DG173" i="10"/>
  <c r="ET173" i="10"/>
  <c r="EG173" i="10"/>
  <c r="EF173" i="10"/>
  <c r="EB173" i="10"/>
  <c r="EQ84" i="10"/>
  <c r="DK84" i="10"/>
  <c r="EN84" i="10"/>
  <c r="DH84" i="10"/>
  <c r="EG84" i="10"/>
  <c r="EU84" i="10"/>
  <c r="DL84" i="10"/>
  <c r="ET84" i="10"/>
  <c r="DJ84" i="10"/>
  <c r="ES84" i="10"/>
  <c r="DI84" i="10"/>
  <c r="ER84" i="10"/>
  <c r="DG84" i="10"/>
  <c r="EP84" i="10"/>
  <c r="EH84" i="10"/>
  <c r="EC84" i="10"/>
  <c r="DX84" i="10"/>
  <c r="DT84" i="10"/>
  <c r="DS84" i="10"/>
  <c r="DR84" i="10"/>
  <c r="DQ84" i="10"/>
  <c r="DP84" i="10"/>
  <c r="EV84" i="10"/>
  <c r="EK84" i="10"/>
  <c r="EJ84" i="10"/>
  <c r="EF84" i="10"/>
  <c r="EE84" i="10"/>
  <c r="ED84" i="10"/>
  <c r="EB84" i="10"/>
  <c r="EA84" i="10"/>
  <c r="DM84" i="10"/>
  <c r="DW84" i="10"/>
  <c r="DV84" i="10"/>
  <c r="DU84" i="10"/>
  <c r="DO84" i="10"/>
  <c r="DN84" i="10"/>
  <c r="EY84" i="10"/>
  <c r="EX84" i="10"/>
  <c r="EW84" i="10"/>
  <c r="EO84" i="10"/>
  <c r="EI84" i="10"/>
  <c r="DZ84" i="10"/>
  <c r="DY84" i="10"/>
  <c r="EM84" i="10"/>
  <c r="EL84" i="10"/>
  <c r="EQ138" i="10"/>
  <c r="DK138" i="10"/>
  <c r="EX138" i="10"/>
  <c r="DQ138" i="10"/>
  <c r="EW138" i="10"/>
  <c r="DP138" i="10"/>
  <c r="EU138" i="10"/>
  <c r="DN138" i="10"/>
  <c r="EN138" i="10"/>
  <c r="DG138" i="10"/>
  <c r="EA138" i="10"/>
  <c r="ER138" i="10"/>
  <c r="EP138" i="10"/>
  <c r="EO138" i="10"/>
  <c r="EM138" i="10"/>
  <c r="EF138" i="10"/>
  <c r="EC138" i="10"/>
  <c r="DV138" i="10"/>
  <c r="DT138" i="10"/>
  <c r="DS138" i="10"/>
  <c r="DR138" i="10"/>
  <c r="DO138" i="10"/>
  <c r="DM138" i="10"/>
  <c r="EV138" i="10"/>
  <c r="EK138" i="10"/>
  <c r="EJ138" i="10"/>
  <c r="EH138" i="10"/>
  <c r="EY138" i="10"/>
  <c r="ET138" i="10"/>
  <c r="ES138" i="10"/>
  <c r="EL138" i="10"/>
  <c r="EI138" i="10"/>
  <c r="DX138" i="10"/>
  <c r="DJ138" i="10"/>
  <c r="ED138" i="10"/>
  <c r="DY138" i="10"/>
  <c r="DI138" i="10"/>
  <c r="DH138" i="10"/>
  <c r="EG138" i="10"/>
  <c r="DZ138" i="10"/>
  <c r="EE138" i="10"/>
  <c r="EB138" i="10"/>
  <c r="DU138" i="10"/>
  <c r="DW138" i="10"/>
  <c r="DL138" i="10"/>
  <c r="AC6" i="10"/>
  <c r="EQ201" i="10"/>
  <c r="DK201" i="10"/>
  <c r="DX201" i="10"/>
  <c r="ED201" i="10"/>
  <c r="EC201" i="10"/>
  <c r="EB201" i="10"/>
  <c r="EA201" i="10"/>
  <c r="DT201" i="10"/>
  <c r="EY201" i="10"/>
  <c r="DQ201" i="10"/>
  <c r="ER201" i="10"/>
  <c r="DI201" i="10"/>
  <c r="EX201" i="10"/>
  <c r="DG201" i="10"/>
  <c r="EW201" i="10"/>
  <c r="EV201" i="10"/>
  <c r="EU201" i="10"/>
  <c r="EM201" i="10"/>
  <c r="EI201" i="10"/>
  <c r="DY201" i="10"/>
  <c r="ET201" i="10"/>
  <c r="ES201" i="10"/>
  <c r="EH201" i="10"/>
  <c r="EE201" i="10"/>
  <c r="DR201" i="10"/>
  <c r="EK201" i="10"/>
  <c r="EF201" i="10"/>
  <c r="DU201" i="10"/>
  <c r="DP201" i="10"/>
  <c r="DN201" i="10"/>
  <c r="EL201" i="10"/>
  <c r="EJ201" i="10"/>
  <c r="EG201" i="10"/>
  <c r="DZ201" i="10"/>
  <c r="DW201" i="10"/>
  <c r="DH201" i="10"/>
  <c r="EN201" i="10"/>
  <c r="DV201" i="10"/>
  <c r="DO201" i="10"/>
  <c r="EP201" i="10"/>
  <c r="EO201" i="10"/>
  <c r="DS201" i="10"/>
  <c r="DM201" i="10"/>
  <c r="DL201" i="10"/>
  <c r="DJ201" i="10"/>
  <c r="DZ191" i="10"/>
  <c r="EP191" i="10"/>
  <c r="DI191" i="10"/>
  <c r="EO191" i="10"/>
  <c r="DH191" i="10"/>
  <c r="EN191" i="10"/>
  <c r="DG191" i="10"/>
  <c r="EM191" i="10"/>
  <c r="EG191" i="10"/>
  <c r="ED191" i="10"/>
  <c r="EL191" i="10"/>
  <c r="EK191" i="10"/>
  <c r="EJ191" i="10"/>
  <c r="EI191" i="10"/>
  <c r="EA191" i="10"/>
  <c r="DV191" i="10"/>
  <c r="DP191" i="10"/>
  <c r="DR191" i="10"/>
  <c r="DQ191" i="10"/>
  <c r="DO191" i="10"/>
  <c r="DN191" i="10"/>
  <c r="EX191" i="10"/>
  <c r="ER191" i="10"/>
  <c r="EB191" i="10"/>
  <c r="DY191" i="10"/>
  <c r="DX191" i="10"/>
  <c r="DW191" i="10"/>
  <c r="DJ191" i="10"/>
  <c r="EY191" i="10"/>
  <c r="DL191" i="10"/>
  <c r="DK191" i="10"/>
  <c r="EV191" i="10"/>
  <c r="EU191" i="10"/>
  <c r="ES191" i="10"/>
  <c r="DS191" i="10"/>
  <c r="DM191" i="10"/>
  <c r="EE191" i="10"/>
  <c r="DT191" i="10"/>
  <c r="EW191" i="10"/>
  <c r="ET191" i="10"/>
  <c r="EQ191" i="10"/>
  <c r="EC191" i="10"/>
  <c r="DU191" i="10"/>
  <c r="EH191" i="10"/>
  <c r="EF191" i="10"/>
  <c r="EJ141" i="10"/>
  <c r="EU141" i="10"/>
  <c r="DN141" i="10"/>
  <c r="ET141" i="10"/>
  <c r="DM141" i="10"/>
  <c r="ER141" i="10"/>
  <c r="DK141" i="10"/>
  <c r="EL141" i="10"/>
  <c r="EG141" i="10"/>
  <c r="EV141" i="10"/>
  <c r="DG141" i="10"/>
  <c r="EB141" i="10"/>
  <c r="EA141" i="10"/>
  <c r="DZ141" i="10"/>
  <c r="DY141" i="10"/>
  <c r="DR141" i="10"/>
  <c r="DO141" i="10"/>
  <c r="ES141" i="10"/>
  <c r="EK141" i="10"/>
  <c r="EI141" i="10"/>
  <c r="EH141" i="10"/>
  <c r="EF141" i="10"/>
  <c r="EE141" i="10"/>
  <c r="DT141" i="10"/>
  <c r="DL141" i="10"/>
  <c r="EY141" i="10"/>
  <c r="EM141" i="10"/>
  <c r="DW141" i="10"/>
  <c r="DQ141" i="10"/>
  <c r="DP141" i="10"/>
  <c r="DI141" i="10"/>
  <c r="EQ141" i="10"/>
  <c r="EP141" i="10"/>
  <c r="EO141" i="10"/>
  <c r="EN141" i="10"/>
  <c r="ED141" i="10"/>
  <c r="DV141" i="10"/>
  <c r="DH141" i="10"/>
  <c r="DX141" i="10"/>
  <c r="DU141" i="10"/>
  <c r="DJ141" i="10"/>
  <c r="EC141" i="10"/>
  <c r="DS141" i="10"/>
  <c r="EW141" i="10"/>
  <c r="EX141" i="10"/>
  <c r="DY78" i="10"/>
  <c r="ET78" i="10"/>
  <c r="DM78" i="10"/>
  <c r="ES78" i="10"/>
  <c r="DL78" i="10"/>
  <c r="ER78" i="10"/>
  <c r="DK78" i="10"/>
  <c r="EQ78" i="10"/>
  <c r="DJ78" i="10"/>
  <c r="EP78" i="10"/>
  <c r="DI78" i="10"/>
  <c r="EI78" i="10"/>
  <c r="EE78" i="10"/>
  <c r="DZ78" i="10"/>
  <c r="DU78" i="10"/>
  <c r="DT78" i="10"/>
  <c r="DS78" i="10"/>
  <c r="DR78" i="10"/>
  <c r="DQ78" i="10"/>
  <c r="EY78" i="10"/>
  <c r="EU78" i="10"/>
  <c r="EL78" i="10"/>
  <c r="EK78" i="10"/>
  <c r="EX78" i="10"/>
  <c r="EW78" i="10"/>
  <c r="EF78" i="10"/>
  <c r="EB78" i="10"/>
  <c r="DV78" i="10"/>
  <c r="DP78" i="10"/>
  <c r="DN78" i="10"/>
  <c r="DX78" i="10"/>
  <c r="DW78" i="10"/>
  <c r="DO78" i="10"/>
  <c r="DH78" i="10"/>
  <c r="DG78" i="10"/>
  <c r="EJ78" i="10"/>
  <c r="EC78" i="10"/>
  <c r="EM78" i="10"/>
  <c r="EA78" i="10"/>
  <c r="EV78" i="10"/>
  <c r="EO78" i="10"/>
  <c r="EN78" i="10"/>
  <c r="EH78" i="10"/>
  <c r="EG78" i="10"/>
  <c r="ED78" i="10"/>
  <c r="EG36" i="10"/>
  <c r="EI36" i="10"/>
  <c r="EH36" i="10"/>
  <c r="EF36" i="10"/>
  <c r="EE36" i="10"/>
  <c r="EU36" i="10"/>
  <c r="DN36" i="10"/>
  <c r="EQ36" i="10"/>
  <c r="EP36" i="10"/>
  <c r="EO36" i="10"/>
  <c r="EN36" i="10"/>
  <c r="EM36" i="10"/>
  <c r="DZ36" i="10"/>
  <c r="DW36" i="10"/>
  <c r="DR36" i="10"/>
  <c r="ER36" i="10"/>
  <c r="EL36" i="10"/>
  <c r="EK36" i="10"/>
  <c r="EJ36" i="10"/>
  <c r="ED36" i="10"/>
  <c r="DT36" i="10"/>
  <c r="DO36" i="10"/>
  <c r="DJ36" i="10"/>
  <c r="DI36" i="10"/>
  <c r="DH36" i="10"/>
  <c r="DG36" i="10"/>
  <c r="EV36" i="10"/>
  <c r="EB36" i="10"/>
  <c r="EA36" i="10"/>
  <c r="DX36" i="10"/>
  <c r="EX36" i="10"/>
  <c r="EW36" i="10"/>
  <c r="ET36" i="10"/>
  <c r="ES36" i="10"/>
  <c r="EC36" i="10"/>
  <c r="DL36" i="10"/>
  <c r="DY36" i="10"/>
  <c r="DU36" i="10"/>
  <c r="DS36" i="10"/>
  <c r="DQ36" i="10"/>
  <c r="DP36" i="10"/>
  <c r="EY36" i="10"/>
  <c r="DK36" i="10"/>
  <c r="DV36" i="10"/>
  <c r="DM36" i="10"/>
  <c r="ES106" i="10"/>
  <c r="DM106" i="10"/>
  <c r="ER106" i="10"/>
  <c r="DL106" i="10"/>
  <c r="EQ106" i="10"/>
  <c r="DK106" i="10"/>
  <c r="EP106" i="10"/>
  <c r="DJ106" i="10"/>
  <c r="EI106" i="10"/>
  <c r="EF106" i="10"/>
  <c r="DZ106" i="10"/>
  <c r="DY106" i="10"/>
  <c r="DX106" i="10"/>
  <c r="DW106" i="10"/>
  <c r="DV106" i="10"/>
  <c r="DU106" i="10"/>
  <c r="DN106" i="10"/>
  <c r="EW106" i="10"/>
  <c r="EN106" i="10"/>
  <c r="EX106" i="10"/>
  <c r="EV106" i="10"/>
  <c r="EU106" i="10"/>
  <c r="ET106" i="10"/>
  <c r="EO106" i="10"/>
  <c r="EE106" i="10"/>
  <c r="EA106" i="10"/>
  <c r="DQ106" i="10"/>
  <c r="DP106" i="10"/>
  <c r="DI106" i="10"/>
  <c r="EY106" i="10"/>
  <c r="EM106" i="10"/>
  <c r="EB106" i="10"/>
  <c r="DR106" i="10"/>
  <c r="EL106" i="10"/>
  <c r="EK106" i="10"/>
  <c r="EJ106" i="10"/>
  <c r="EH106" i="10"/>
  <c r="EG106" i="10"/>
  <c r="ED106" i="10"/>
  <c r="DS106" i="10"/>
  <c r="DO106" i="10"/>
  <c r="DG106" i="10"/>
  <c r="DT106" i="10"/>
  <c r="DH106" i="10"/>
  <c r="EC106" i="10"/>
  <c r="EW140" i="10"/>
  <c r="DQ140" i="10"/>
  <c r="DZ140" i="10"/>
  <c r="DY140" i="10"/>
  <c r="DW140" i="10"/>
  <c r="EX140" i="10"/>
  <c r="DP140" i="10"/>
  <c r="ES140" i="10"/>
  <c r="DL140" i="10"/>
  <c r="DK140" i="10"/>
  <c r="EH140" i="10"/>
  <c r="EG140" i="10"/>
  <c r="EF140" i="10"/>
  <c r="EE140" i="10"/>
  <c r="DU140" i="10"/>
  <c r="DR140" i="10"/>
  <c r="EV140" i="10"/>
  <c r="DH140" i="10"/>
  <c r="ED140" i="10"/>
  <c r="EC140" i="10"/>
  <c r="EB140" i="10"/>
  <c r="EA140" i="10"/>
  <c r="DX140" i="10"/>
  <c r="DJ140" i="10"/>
  <c r="EY140" i="10"/>
  <c r="EU140" i="10"/>
  <c r="ER140" i="10"/>
  <c r="EJ140" i="10"/>
  <c r="EI140" i="10"/>
  <c r="DV140" i="10"/>
  <c r="DT140" i="10"/>
  <c r="DS140" i="10"/>
  <c r="ET140" i="10"/>
  <c r="EO140" i="10"/>
  <c r="EK140" i="10"/>
  <c r="DO140" i="10"/>
  <c r="DM140" i="10"/>
  <c r="EM140" i="10"/>
  <c r="EL140" i="10"/>
  <c r="DI140" i="10"/>
  <c r="EQ140" i="10"/>
  <c r="EP140" i="10"/>
  <c r="EN140" i="10"/>
  <c r="DN140" i="10"/>
  <c r="DG140" i="10"/>
  <c r="AL6" i="10"/>
  <c r="Z8" i="10"/>
  <c r="AA5" i="10"/>
  <c r="AA10" i="10" s="1"/>
  <c r="BW10" i="10" s="1"/>
  <c r="DS10" i="10" s="1"/>
  <c r="FO10" i="10" s="1"/>
  <c r="AL5" i="10"/>
  <c r="AX5" i="10" s="1"/>
  <c r="R7" i="10"/>
  <c r="S5" i="10"/>
  <c r="C41" i="9" l="1"/>
  <c r="BV267" i="10"/>
  <c r="BV254" i="10"/>
  <c r="BV269" i="10"/>
  <c r="BV266" i="10"/>
  <c r="BV259" i="10"/>
  <c r="BV229" i="10"/>
  <c r="BV197" i="10"/>
  <c r="BV265" i="10"/>
  <c r="BV224" i="10"/>
  <c r="BV192" i="10"/>
  <c r="BV219" i="10"/>
  <c r="BV214" i="10"/>
  <c r="BV264" i="10"/>
  <c r="BV209" i="10"/>
  <c r="BV233" i="10"/>
  <c r="BV201" i="10"/>
  <c r="BV246" i="10"/>
  <c r="BV213" i="10"/>
  <c r="BV252" i="10"/>
  <c r="BV256" i="10"/>
  <c r="BV255" i="10"/>
  <c r="BV198" i="10"/>
  <c r="BV181" i="10"/>
  <c r="BV176" i="10"/>
  <c r="BV234" i="10"/>
  <c r="BV171" i="10"/>
  <c r="BV258" i="10"/>
  <c r="BV257" i="10"/>
  <c r="BV166" i="10"/>
  <c r="BV232" i="10"/>
  <c r="BV231" i="10"/>
  <c r="BV217" i="10"/>
  <c r="BV202" i="10"/>
  <c r="BV161" i="10"/>
  <c r="BV185" i="10"/>
  <c r="BV225" i="10"/>
  <c r="BV200" i="10"/>
  <c r="BV263" i="10"/>
  <c r="BV243" i="10"/>
  <c r="BV247" i="10"/>
  <c r="BV242" i="10"/>
  <c r="BV240" i="10"/>
  <c r="BV211" i="10"/>
  <c r="BV204" i="10"/>
  <c r="BV248" i="10"/>
  <c r="BV137" i="10"/>
  <c r="BV253" i="10"/>
  <c r="BV250" i="10"/>
  <c r="BV223" i="10"/>
  <c r="BV152" i="10"/>
  <c r="BV132" i="10"/>
  <c r="BV228" i="10"/>
  <c r="BV212" i="10"/>
  <c r="BV206" i="10"/>
  <c r="BV271" i="10"/>
  <c r="BV177" i="10"/>
  <c r="BV163" i="10"/>
  <c r="BV159" i="10"/>
  <c r="BV244" i="10"/>
  <c r="BV218" i="10"/>
  <c r="BV169" i="10"/>
  <c r="BV149" i="10"/>
  <c r="BV262" i="10"/>
  <c r="BV136" i="10"/>
  <c r="BV215" i="10"/>
  <c r="BV148" i="10"/>
  <c r="BV226" i="10"/>
  <c r="BV157" i="10"/>
  <c r="BV272" i="10"/>
  <c r="BV235" i="10"/>
  <c r="BV210" i="10"/>
  <c r="BV249" i="10"/>
  <c r="BV180" i="10"/>
  <c r="BV168" i="10"/>
  <c r="BV154" i="10"/>
  <c r="BV150" i="10"/>
  <c r="BV140" i="10"/>
  <c r="BV129" i="10"/>
  <c r="BV120" i="10"/>
  <c r="BV88" i="10"/>
  <c r="BV139" i="10"/>
  <c r="BV115" i="10"/>
  <c r="BV216" i="10"/>
  <c r="BV194" i="10"/>
  <c r="BV190" i="10"/>
  <c r="BV156" i="10"/>
  <c r="BV110" i="10"/>
  <c r="BV268" i="10"/>
  <c r="BV237" i="10"/>
  <c r="BV175" i="10"/>
  <c r="BV133" i="10"/>
  <c r="BV105" i="10"/>
  <c r="BV158" i="10"/>
  <c r="BV100" i="10"/>
  <c r="BV199" i="10"/>
  <c r="BV119" i="10"/>
  <c r="BV261" i="10"/>
  <c r="BV144" i="10"/>
  <c r="BV131" i="10"/>
  <c r="BV99" i="10"/>
  <c r="BV236" i="10"/>
  <c r="BV196" i="10"/>
  <c r="BV172" i="10"/>
  <c r="BV116" i="10"/>
  <c r="BV208" i="10"/>
  <c r="BV178" i="10"/>
  <c r="BV184" i="10"/>
  <c r="BV273" i="10"/>
  <c r="BV251" i="10"/>
  <c r="BV239" i="10"/>
  <c r="BV230" i="10"/>
  <c r="BV186" i="10"/>
  <c r="BV173" i="10"/>
  <c r="BV104" i="10"/>
  <c r="BV82" i="10"/>
  <c r="BV50" i="10"/>
  <c r="BV18" i="10"/>
  <c r="BV260" i="10"/>
  <c r="BV155" i="10"/>
  <c r="BV146" i="10"/>
  <c r="BV95" i="10"/>
  <c r="BV77" i="10"/>
  <c r="BV221" i="10"/>
  <c r="BV162" i="10"/>
  <c r="BV114" i="10"/>
  <c r="BV72" i="10"/>
  <c r="BV40" i="10"/>
  <c r="BV274" i="10"/>
  <c r="BV91" i="10"/>
  <c r="BV67" i="10"/>
  <c r="BV35" i="10"/>
  <c r="BV205" i="10"/>
  <c r="BV182" i="10"/>
  <c r="BV134" i="10"/>
  <c r="BV62" i="10"/>
  <c r="BV220" i="10"/>
  <c r="BV142" i="10"/>
  <c r="BV81" i="10"/>
  <c r="BV193" i="10"/>
  <c r="BV174" i="10"/>
  <c r="BV86" i="10"/>
  <c r="BV195" i="10"/>
  <c r="BV138" i="10"/>
  <c r="BV123" i="10"/>
  <c r="BV89" i="10"/>
  <c r="BV78" i="10"/>
  <c r="BV46" i="10"/>
  <c r="BV222" i="10"/>
  <c r="BV121" i="10"/>
  <c r="BV151" i="10"/>
  <c r="BV97" i="10"/>
  <c r="BV238" i="10"/>
  <c r="BV20" i="10"/>
  <c r="BV103" i="10"/>
  <c r="BV51" i="10"/>
  <c r="BV71" i="10"/>
  <c r="BV41" i="10"/>
  <c r="BV12" i="10"/>
  <c r="BV122" i="10"/>
  <c r="BV109" i="10"/>
  <c r="BV56" i="10"/>
  <c r="BV17" i="10"/>
  <c r="BV135" i="10"/>
  <c r="BV60" i="10"/>
  <c r="BV49" i="10"/>
  <c r="BV44" i="10"/>
  <c r="BV19" i="10"/>
  <c r="BV127" i="10"/>
  <c r="BV36" i="10"/>
  <c r="BV106" i="10"/>
  <c r="BV80" i="10"/>
  <c r="BV79" i="10"/>
  <c r="BV48" i="10"/>
  <c r="BV203" i="10"/>
  <c r="BV112" i="10"/>
  <c r="BV93" i="10"/>
  <c r="BV164" i="10"/>
  <c r="BV125" i="10"/>
  <c r="BV117" i="10"/>
  <c r="BV113" i="10"/>
  <c r="BV141" i="10"/>
  <c r="BV68" i="10"/>
  <c r="BV23" i="10"/>
  <c r="BV69" i="10"/>
  <c r="BV207" i="10"/>
  <c r="BV160" i="10"/>
  <c r="BV43" i="10"/>
  <c r="BV87" i="10"/>
  <c r="BV53" i="10"/>
  <c r="BV13" i="10"/>
  <c r="BV111" i="10"/>
  <c r="BV94" i="10"/>
  <c r="BV45" i="10"/>
  <c r="BV73" i="10"/>
  <c r="BV21" i="10"/>
  <c r="BV83" i="10"/>
  <c r="BV54" i="10"/>
  <c r="BV165" i="10"/>
  <c r="BV70" i="10"/>
  <c r="BV64" i="10"/>
  <c r="BV11" i="10"/>
  <c r="BV241" i="10"/>
  <c r="BV145" i="10"/>
  <c r="BV118" i="10"/>
  <c r="BV179" i="10"/>
  <c r="BV65" i="10"/>
  <c r="BV130" i="10"/>
  <c r="BV85" i="10"/>
  <c r="BV16" i="10"/>
  <c r="BV98" i="10"/>
  <c r="BV58" i="10"/>
  <c r="BV31" i="10"/>
  <c r="BV30" i="10"/>
  <c r="BV28" i="10"/>
  <c r="BV147" i="10"/>
  <c r="BV34" i="10"/>
  <c r="BV29" i="10"/>
  <c r="BV76" i="10"/>
  <c r="BV66" i="10"/>
  <c r="BV37" i="10"/>
  <c r="BV32" i="10"/>
  <c r="BV27" i="10"/>
  <c r="BV227" i="10"/>
  <c r="BV189" i="10"/>
  <c r="BV61" i="10"/>
  <c r="BV52" i="10"/>
  <c r="Z10" i="10"/>
  <c r="BV10" i="10" s="1"/>
  <c r="DR10" i="10" s="1"/>
  <c r="FN10" i="10" s="1"/>
  <c r="BV245" i="10"/>
  <c r="BV101" i="10"/>
  <c r="BV90" i="10"/>
  <c r="BV107" i="10"/>
  <c r="BV57" i="10"/>
  <c r="BV167" i="10"/>
  <c r="BV55" i="10"/>
  <c r="BV63" i="10"/>
  <c r="BV47" i="10"/>
  <c r="BV22" i="10"/>
  <c r="BV14" i="10"/>
  <c r="BV188" i="10"/>
  <c r="BV25" i="10"/>
  <c r="BV126" i="10"/>
  <c r="BV84" i="10"/>
  <c r="BV75" i="10"/>
  <c r="BV102" i="10"/>
  <c r="BV26" i="10"/>
  <c r="BV108" i="10"/>
  <c r="BV183" i="10"/>
  <c r="BV74" i="10"/>
  <c r="BV33" i="10"/>
  <c r="BV170" i="10"/>
  <c r="BV59" i="10"/>
  <c r="BV92" i="10"/>
  <c r="BV15" i="10"/>
  <c r="BV39" i="10"/>
  <c r="BV124" i="10"/>
  <c r="BV96" i="10"/>
  <c r="BV270" i="10"/>
  <c r="BV42" i="10"/>
  <c r="BV191" i="10"/>
  <c r="BV153" i="10"/>
  <c r="BV187" i="10"/>
  <c r="BV128" i="10"/>
  <c r="BV38" i="10"/>
  <c r="BV143" i="10"/>
  <c r="BV24" i="10"/>
  <c r="AX6" i="10"/>
  <c r="AX8" i="10" s="1"/>
  <c r="AL8" i="10"/>
  <c r="CI266" i="10"/>
  <c r="CI268" i="10"/>
  <c r="CI253" i="10"/>
  <c r="CI265" i="10"/>
  <c r="CI264" i="10"/>
  <c r="CI274" i="10"/>
  <c r="CI272" i="10"/>
  <c r="CI270" i="10"/>
  <c r="CI262" i="10"/>
  <c r="CI228" i="10"/>
  <c r="CI196" i="10"/>
  <c r="CI223" i="10"/>
  <c r="CI191" i="10"/>
  <c r="CI257" i="10"/>
  <c r="CI218" i="10"/>
  <c r="CI243" i="10"/>
  <c r="CI213" i="10"/>
  <c r="CI240" i="10"/>
  <c r="CI208" i="10"/>
  <c r="CI232" i="10"/>
  <c r="CI273" i="10"/>
  <c r="CI255" i="10"/>
  <c r="CI248" i="10"/>
  <c r="CI212" i="10"/>
  <c r="CI269" i="10"/>
  <c r="CI260" i="10"/>
  <c r="CI180" i="10"/>
  <c r="CI206" i="10"/>
  <c r="CI175" i="10"/>
  <c r="CI227" i="10"/>
  <c r="CI214" i="10"/>
  <c r="CI170" i="10"/>
  <c r="CI200" i="10"/>
  <c r="CI165" i="10"/>
  <c r="CI160" i="10"/>
  <c r="CI249" i="10"/>
  <c r="CI244" i="10"/>
  <c r="CI241" i="10"/>
  <c r="CI204" i="10"/>
  <c r="CI199" i="10"/>
  <c r="CI184" i="10"/>
  <c r="CI203" i="10"/>
  <c r="CI189" i="10"/>
  <c r="CI254" i="10"/>
  <c r="CI233" i="10"/>
  <c r="CI224" i="10"/>
  <c r="CI219" i="10"/>
  <c r="CI195" i="10"/>
  <c r="CI186" i="10"/>
  <c r="CI167" i="10"/>
  <c r="CI158" i="10"/>
  <c r="CI136" i="10"/>
  <c r="CI198" i="10"/>
  <c r="CI131" i="10"/>
  <c r="CI194" i="10"/>
  <c r="CI174" i="10"/>
  <c r="CI154" i="10"/>
  <c r="CI259" i="10"/>
  <c r="CI197" i="10"/>
  <c r="CI229" i="10"/>
  <c r="CI185" i="10"/>
  <c r="CI148" i="10"/>
  <c r="CI239" i="10"/>
  <c r="CI235" i="10"/>
  <c r="CI226" i="10"/>
  <c r="CI221" i="10"/>
  <c r="CI210" i="10"/>
  <c r="CI135" i="10"/>
  <c r="CI231" i="10"/>
  <c r="CI164" i="10"/>
  <c r="CI156" i="10"/>
  <c r="CI147" i="10"/>
  <c r="CI211" i="10"/>
  <c r="CI152" i="10"/>
  <c r="CI263" i="10"/>
  <c r="CI236" i="10"/>
  <c r="CI261" i="10"/>
  <c r="CI237" i="10"/>
  <c r="CI225" i="10"/>
  <c r="CI216" i="10"/>
  <c r="CI119" i="10"/>
  <c r="CI87" i="10"/>
  <c r="CI137" i="10"/>
  <c r="CI114" i="10"/>
  <c r="CI250" i="10"/>
  <c r="CI182" i="10"/>
  <c r="CI161" i="10"/>
  <c r="CI109" i="10"/>
  <c r="CI207" i="10"/>
  <c r="CI176" i="10"/>
  <c r="CI124" i="10"/>
  <c r="CI104" i="10"/>
  <c r="CI187" i="10"/>
  <c r="CI146" i="10"/>
  <c r="CI99" i="10"/>
  <c r="CI247" i="10"/>
  <c r="CI234" i="10"/>
  <c r="CI188" i="10"/>
  <c r="CI130" i="10"/>
  <c r="CI123" i="10"/>
  <c r="CI118" i="10"/>
  <c r="CI215" i="10"/>
  <c r="CI173" i="10"/>
  <c r="CI134" i="10"/>
  <c r="CI98" i="10"/>
  <c r="CI220" i="10"/>
  <c r="CI141" i="10"/>
  <c r="CI115" i="10"/>
  <c r="CI258" i="10"/>
  <c r="CI222" i="10"/>
  <c r="CI90" i="10"/>
  <c r="CI81" i="10"/>
  <c r="CI49" i="10"/>
  <c r="CI17" i="10"/>
  <c r="CI256" i="10"/>
  <c r="CI242" i="10"/>
  <c r="CI171" i="10"/>
  <c r="CI76" i="10"/>
  <c r="CI252" i="10"/>
  <c r="CI142" i="10"/>
  <c r="CI71" i="10"/>
  <c r="CI245" i="10"/>
  <c r="CI110" i="10"/>
  <c r="CI100" i="10"/>
  <c r="CI66" i="10"/>
  <c r="CI34" i="10"/>
  <c r="CI166" i="10"/>
  <c r="CI86" i="10"/>
  <c r="CI61" i="10"/>
  <c r="CI217" i="10"/>
  <c r="CI183" i="10"/>
  <c r="CI138" i="10"/>
  <c r="CI80" i="10"/>
  <c r="CI181" i="10"/>
  <c r="CI96" i="10"/>
  <c r="CI88" i="10"/>
  <c r="CI177" i="10"/>
  <c r="CI117" i="10"/>
  <c r="CI116" i="10"/>
  <c r="CI77" i="10"/>
  <c r="CI45" i="10"/>
  <c r="CI192" i="10"/>
  <c r="CI205" i="10"/>
  <c r="CI178" i="10"/>
  <c r="CI19" i="10"/>
  <c r="CI60" i="10"/>
  <c r="CI144" i="10"/>
  <c r="CI129" i="10"/>
  <c r="CI126" i="10"/>
  <c r="CI67" i="10"/>
  <c r="CI44" i="10"/>
  <c r="CI168" i="10"/>
  <c r="CI153" i="10"/>
  <c r="CI85" i="10"/>
  <c r="CI84" i="10"/>
  <c r="CI83" i="10"/>
  <c r="CI30" i="10"/>
  <c r="CI16" i="10"/>
  <c r="CI11" i="10"/>
  <c r="CI157" i="10"/>
  <c r="CI155" i="10"/>
  <c r="CI89" i="10"/>
  <c r="CI33" i="10"/>
  <c r="CI27" i="10"/>
  <c r="CI143" i="10"/>
  <c r="CI107" i="10"/>
  <c r="CI95" i="10"/>
  <c r="CI75" i="10"/>
  <c r="CI23" i="10"/>
  <c r="CI179" i="10"/>
  <c r="CI108" i="10"/>
  <c r="CI271" i="10"/>
  <c r="CI139" i="10"/>
  <c r="CI122" i="10"/>
  <c r="CI202" i="10"/>
  <c r="CI111" i="10"/>
  <c r="CI94" i="10"/>
  <c r="CI63" i="10"/>
  <c r="CI46" i="10"/>
  <c r="CI193" i="10"/>
  <c r="CI74" i="10"/>
  <c r="CI251" i="10"/>
  <c r="CI69" i="10"/>
  <c r="CI18" i="10"/>
  <c r="CI267" i="10"/>
  <c r="CI102" i="10"/>
  <c r="CI169" i="10"/>
  <c r="CI133" i="10"/>
  <c r="CI97" i="10"/>
  <c r="CI79" i="10"/>
  <c r="CI56" i="10"/>
  <c r="CI55" i="10"/>
  <c r="CI47" i="10"/>
  <c r="CI32" i="10"/>
  <c r="CI26" i="10"/>
  <c r="CI39" i="10"/>
  <c r="CI35" i="10"/>
  <c r="CI72" i="10"/>
  <c r="CI41" i="10"/>
  <c r="CI40" i="10"/>
  <c r="CI14" i="10"/>
  <c r="AM10" i="10"/>
  <c r="CI10" i="10" s="1"/>
  <c r="EE10" i="10" s="1"/>
  <c r="GA10" i="10" s="1"/>
  <c r="CI93" i="10"/>
  <c r="CI82" i="10"/>
  <c r="CI13" i="10"/>
  <c r="CI209" i="10"/>
  <c r="CI238" i="10"/>
  <c r="CI151" i="10"/>
  <c r="CI120" i="10"/>
  <c r="CI150" i="10"/>
  <c r="CI78" i="10"/>
  <c r="CI145" i="10"/>
  <c r="CI140" i="10"/>
  <c r="CI127" i="10"/>
  <c r="CI230" i="10"/>
  <c r="CI92" i="10"/>
  <c r="CI113" i="10"/>
  <c r="CI25" i="10"/>
  <c r="CI149" i="10"/>
  <c r="CI103" i="10"/>
  <c r="CI37" i="10"/>
  <c r="CI64" i="10"/>
  <c r="CI112" i="10"/>
  <c r="CI62" i="10"/>
  <c r="CI54" i="10"/>
  <c r="CI125" i="10"/>
  <c r="CI70" i="10"/>
  <c r="CI201" i="10"/>
  <c r="CI31" i="10"/>
  <c r="CI163" i="10"/>
  <c r="CI121" i="10"/>
  <c r="CI162" i="10"/>
  <c r="CI128" i="10"/>
  <c r="CI50" i="10"/>
  <c r="CI28" i="10"/>
  <c r="CI246" i="10"/>
  <c r="CI53" i="10"/>
  <c r="CI101" i="10"/>
  <c r="CI58" i="10"/>
  <c r="CI12" i="10"/>
  <c r="CI159" i="10"/>
  <c r="CI73" i="10"/>
  <c r="CI59" i="10"/>
  <c r="CI43" i="10"/>
  <c r="CI20" i="10"/>
  <c r="CI15" i="10"/>
  <c r="CI132" i="10"/>
  <c r="CI52" i="10"/>
  <c r="CI65" i="10"/>
  <c r="CI42" i="10"/>
  <c r="CI36" i="10"/>
  <c r="CI106" i="10"/>
  <c r="CI91" i="10"/>
  <c r="CI22" i="10"/>
  <c r="CI68" i="10"/>
  <c r="CI48" i="10"/>
  <c r="CI190" i="10"/>
  <c r="CI105" i="10"/>
  <c r="CI51" i="10"/>
  <c r="CI38" i="10"/>
  <c r="CI24" i="10"/>
  <c r="CI29" i="10"/>
  <c r="CI21" i="10"/>
  <c r="CI172" i="10"/>
  <c r="CI57" i="10"/>
  <c r="CU270" i="10"/>
  <c r="CU267" i="10"/>
  <c r="CU257" i="10"/>
  <c r="CU274" i="10"/>
  <c r="CU272" i="10"/>
  <c r="CU273" i="10"/>
  <c r="CU271" i="10"/>
  <c r="CU232" i="10"/>
  <c r="CU200" i="10"/>
  <c r="CU227" i="10"/>
  <c r="CU195" i="10"/>
  <c r="CU260" i="10"/>
  <c r="CU242" i="10"/>
  <c r="CU222" i="10"/>
  <c r="CU217" i="10"/>
  <c r="CU245" i="10"/>
  <c r="CU212" i="10"/>
  <c r="CU236" i="10"/>
  <c r="CU204" i="10"/>
  <c r="CU266" i="10"/>
  <c r="CU265" i="10"/>
  <c r="CU264" i="10"/>
  <c r="CU258" i="10"/>
  <c r="CU216" i="10"/>
  <c r="CU269" i="10"/>
  <c r="CU223" i="10"/>
  <c r="CU199" i="10"/>
  <c r="CU184" i="10"/>
  <c r="CU152" i="10"/>
  <c r="CU211" i="10"/>
  <c r="CU179" i="10"/>
  <c r="CU262" i="10"/>
  <c r="CU244" i="10"/>
  <c r="CU241" i="10"/>
  <c r="CU174" i="10"/>
  <c r="CU248" i="10"/>
  <c r="CU243" i="10"/>
  <c r="CU239" i="10"/>
  <c r="CU169" i="10"/>
  <c r="CU251" i="10"/>
  <c r="CU247" i="10"/>
  <c r="CU246" i="10"/>
  <c r="CU240" i="10"/>
  <c r="CU221" i="10"/>
  <c r="CU189" i="10"/>
  <c r="CU164" i="10"/>
  <c r="CU235" i="10"/>
  <c r="CU234" i="10"/>
  <c r="CU218" i="10"/>
  <c r="CU208" i="10"/>
  <c r="CU202" i="10"/>
  <c r="CU191" i="10"/>
  <c r="CU259" i="10"/>
  <c r="CU230" i="10"/>
  <c r="CU229" i="10"/>
  <c r="CU206" i="10"/>
  <c r="CU209" i="10"/>
  <c r="CU153" i="10"/>
  <c r="CU140" i="10"/>
  <c r="CU268" i="10"/>
  <c r="CU254" i="10"/>
  <c r="CU201" i="10"/>
  <c r="CU182" i="10"/>
  <c r="CU135" i="10"/>
  <c r="CU181" i="10"/>
  <c r="CU172" i="10"/>
  <c r="CU165" i="10"/>
  <c r="CU225" i="10"/>
  <c r="CU125" i="10"/>
  <c r="CU215" i="10"/>
  <c r="CU171" i="10"/>
  <c r="CU255" i="10"/>
  <c r="CU139" i="10"/>
  <c r="CU177" i="10"/>
  <c r="CU250" i="10"/>
  <c r="CU158" i="10"/>
  <c r="CU261" i="10"/>
  <c r="CU253" i="10"/>
  <c r="CU237" i="10"/>
  <c r="CU233" i="10"/>
  <c r="CU219" i="10"/>
  <c r="CU91" i="10"/>
  <c r="CU118" i="10"/>
  <c r="CU123" i="10"/>
  <c r="CU113" i="10"/>
  <c r="CU252" i="10"/>
  <c r="CU183" i="10"/>
  <c r="CU143" i="10"/>
  <c r="CU130" i="10"/>
  <c r="CU108" i="10"/>
  <c r="CU192" i="10"/>
  <c r="CU142" i="10"/>
  <c r="CU103" i="10"/>
  <c r="CU256" i="10"/>
  <c r="CU203" i="10"/>
  <c r="CU154" i="10"/>
  <c r="CU122" i="10"/>
  <c r="CU102" i="10"/>
  <c r="CU159" i="10"/>
  <c r="CU147" i="10"/>
  <c r="CU138" i="10"/>
  <c r="CU128" i="10"/>
  <c r="CU119" i="10"/>
  <c r="CU194" i="10"/>
  <c r="CU207" i="10"/>
  <c r="CU137" i="10"/>
  <c r="CU53" i="10"/>
  <c r="CU21" i="10"/>
  <c r="CU176" i="10"/>
  <c r="CU163" i="10"/>
  <c r="CU160" i="10"/>
  <c r="CU124" i="10"/>
  <c r="CU80" i="10"/>
  <c r="CU126" i="10"/>
  <c r="CU97" i="10"/>
  <c r="CU75" i="10"/>
  <c r="CU43" i="10"/>
  <c r="CU149" i="10"/>
  <c r="CU107" i="10"/>
  <c r="CU92" i="10"/>
  <c r="CU85" i="10"/>
  <c r="CU70" i="10"/>
  <c r="CU38" i="10"/>
  <c r="CU263" i="10"/>
  <c r="CU121" i="10"/>
  <c r="CU120" i="10"/>
  <c r="CU65" i="10"/>
  <c r="CU231" i="10"/>
  <c r="CU161" i="10"/>
  <c r="CU116" i="10"/>
  <c r="CU115" i="10"/>
  <c r="CU104" i="10"/>
  <c r="CU95" i="10"/>
  <c r="CU175" i="10"/>
  <c r="CU155" i="10"/>
  <c r="CU90" i="10"/>
  <c r="CU81" i="10"/>
  <c r="CU49" i="10"/>
  <c r="CU178" i="10"/>
  <c r="CU148" i="10"/>
  <c r="CU136" i="10"/>
  <c r="CU198" i="10"/>
  <c r="CU186" i="10"/>
  <c r="CU157" i="10"/>
  <c r="CU151" i="10"/>
  <c r="CU89" i="10"/>
  <c r="CU18" i="10"/>
  <c r="CU220" i="10"/>
  <c r="CU170" i="10"/>
  <c r="CU79" i="10"/>
  <c r="CU29" i="10"/>
  <c r="CU100" i="10"/>
  <c r="CU32" i="10"/>
  <c r="CU15" i="10"/>
  <c r="CU111" i="10"/>
  <c r="CU93" i="10"/>
  <c r="CU58" i="10"/>
  <c r="CU47" i="10"/>
  <c r="CU35" i="10"/>
  <c r="CU26" i="10"/>
  <c r="CU51" i="10"/>
  <c r="CU226" i="10"/>
  <c r="CU214" i="10"/>
  <c r="CU22" i="10"/>
  <c r="CU187" i="10"/>
  <c r="CU131" i="10"/>
  <c r="CU69" i="10"/>
  <c r="CU40" i="10"/>
  <c r="CU196" i="10"/>
  <c r="CU193" i="10"/>
  <c r="CU205" i="10"/>
  <c r="CU144" i="10"/>
  <c r="CU132" i="10"/>
  <c r="CU105" i="10"/>
  <c r="CU213" i="10"/>
  <c r="CU133" i="10"/>
  <c r="CU16" i="10"/>
  <c r="CU197" i="10"/>
  <c r="CU224" i="10"/>
  <c r="CU188" i="10"/>
  <c r="CU180" i="10"/>
  <c r="CU48" i="10"/>
  <c r="CU30" i="10"/>
  <c r="CU28" i="10"/>
  <c r="CU33" i="10"/>
  <c r="CU31" i="10"/>
  <c r="CU27" i="10"/>
  <c r="CU34" i="10"/>
  <c r="CU228" i="10"/>
  <c r="CU110" i="10"/>
  <c r="CU52" i="10"/>
  <c r="CU42" i="10"/>
  <c r="CU13" i="10"/>
  <c r="CU127" i="10"/>
  <c r="CU106" i="10"/>
  <c r="CU101" i="10"/>
  <c r="CU12" i="10"/>
  <c r="CU68" i="10"/>
  <c r="CU44" i="10"/>
  <c r="CU167" i="10"/>
  <c r="CU78" i="10"/>
  <c r="CU73" i="10"/>
  <c r="CU62" i="10"/>
  <c r="CU190" i="10"/>
  <c r="CU45" i="10"/>
  <c r="CU117" i="10"/>
  <c r="CU19" i="10"/>
  <c r="CU173" i="10"/>
  <c r="CU166" i="10"/>
  <c r="CU109" i="10"/>
  <c r="CU88" i="10"/>
  <c r="CU84" i="10"/>
  <c r="CU145" i="10"/>
  <c r="CU37" i="10"/>
  <c r="CU23" i="10"/>
  <c r="CU82" i="10"/>
  <c r="CU94" i="10"/>
  <c r="CU112" i="10"/>
  <c r="CU86" i="10"/>
  <c r="CU238" i="10"/>
  <c r="CU36" i="10"/>
  <c r="CU249" i="10"/>
  <c r="CU114" i="10"/>
  <c r="CU168" i="10"/>
  <c r="CU162" i="10"/>
  <c r="CU59" i="10"/>
  <c r="CU57" i="10"/>
  <c r="CU210" i="10"/>
  <c r="CU98" i="10"/>
  <c r="CU63" i="10"/>
  <c r="CU134" i="10"/>
  <c r="CU66" i="10"/>
  <c r="CU77" i="10"/>
  <c r="CU185" i="10"/>
  <c r="CU150" i="10"/>
  <c r="CU56" i="10"/>
  <c r="CU25" i="10"/>
  <c r="CU141" i="10"/>
  <c r="CU46" i="10"/>
  <c r="CU76" i="10"/>
  <c r="CU20" i="10"/>
  <c r="CU61" i="10"/>
  <c r="CU156" i="10"/>
  <c r="CU72" i="10"/>
  <c r="CU55" i="10"/>
  <c r="CU83" i="10"/>
  <c r="CU39" i="10"/>
  <c r="CU17" i="10"/>
  <c r="CU96" i="10"/>
  <c r="CU87" i="10"/>
  <c r="CU146" i="10"/>
  <c r="CU14" i="10"/>
  <c r="CU64" i="10"/>
  <c r="CU24" i="10"/>
  <c r="CU129" i="10"/>
  <c r="CU71" i="10"/>
  <c r="CU54" i="10"/>
  <c r="CU67" i="10"/>
  <c r="CU60" i="10"/>
  <c r="CU74" i="10"/>
  <c r="CU50" i="10"/>
  <c r="CU11" i="10"/>
  <c r="CU99" i="10"/>
  <c r="CU41" i="10"/>
  <c r="BM267" i="10"/>
  <c r="BM252" i="10"/>
  <c r="BM247" i="10"/>
  <c r="BM269" i="10"/>
  <c r="BM259" i="10"/>
  <c r="BM268" i="10"/>
  <c r="BM260" i="10"/>
  <c r="BM210" i="10"/>
  <c r="BM237" i="10"/>
  <c r="BM205" i="10"/>
  <c r="BM273" i="10"/>
  <c r="BM242" i="10"/>
  <c r="BM232" i="10"/>
  <c r="BM200" i="10"/>
  <c r="BM227" i="10"/>
  <c r="BM245" i="10"/>
  <c r="BM222" i="10"/>
  <c r="BM214" i="10"/>
  <c r="BM226" i="10"/>
  <c r="BM233" i="10"/>
  <c r="BM253" i="10"/>
  <c r="BM238" i="10"/>
  <c r="BM162" i="10"/>
  <c r="BM254" i="10"/>
  <c r="BM220" i="10"/>
  <c r="BM209" i="10"/>
  <c r="BM184" i="10"/>
  <c r="BM271" i="10"/>
  <c r="BM255" i="10"/>
  <c r="BM236" i="10"/>
  <c r="BM219" i="10"/>
  <c r="BM179" i="10"/>
  <c r="BM189" i="10"/>
  <c r="BM174" i="10"/>
  <c r="BM231" i="10"/>
  <c r="BM216" i="10"/>
  <c r="BM272" i="10"/>
  <c r="BM201" i="10"/>
  <c r="BM191" i="10"/>
  <c r="BM178" i="10"/>
  <c r="BM185" i="10"/>
  <c r="BM270" i="10"/>
  <c r="BM258" i="10"/>
  <c r="BM217" i="10"/>
  <c r="BM171" i="10"/>
  <c r="BM150" i="10"/>
  <c r="BM211" i="10"/>
  <c r="BM180" i="10"/>
  <c r="BM145" i="10"/>
  <c r="BM204" i="10"/>
  <c r="BM140" i="10"/>
  <c r="BM261" i="10"/>
  <c r="BM240" i="10"/>
  <c r="BM164" i="10"/>
  <c r="BM160" i="10"/>
  <c r="BM135" i="10"/>
  <c r="BM156" i="10"/>
  <c r="BM130" i="10"/>
  <c r="BM224" i="10"/>
  <c r="BM192" i="10"/>
  <c r="BM176" i="10"/>
  <c r="BM149" i="10"/>
  <c r="BM248" i="10"/>
  <c r="BM198" i="10"/>
  <c r="BM193" i="10"/>
  <c r="BM175" i="10"/>
  <c r="BM257" i="10"/>
  <c r="BM199" i="10"/>
  <c r="BM230" i="10"/>
  <c r="BM101" i="10"/>
  <c r="BM218" i="10"/>
  <c r="BM197" i="10"/>
  <c r="BM96" i="10"/>
  <c r="BM265" i="10"/>
  <c r="BM246" i="10"/>
  <c r="BM152" i="10"/>
  <c r="BM151" i="10"/>
  <c r="BM141" i="10"/>
  <c r="BM134" i="10"/>
  <c r="BM123" i="10"/>
  <c r="BM118" i="10"/>
  <c r="BM167" i="10"/>
  <c r="BM154" i="10"/>
  <c r="BM126" i="10"/>
  <c r="BM113" i="10"/>
  <c r="BM225" i="10"/>
  <c r="BM212" i="10"/>
  <c r="BM100" i="10"/>
  <c r="BM202" i="10"/>
  <c r="BM187" i="10"/>
  <c r="BM161" i="10"/>
  <c r="BM132" i="10"/>
  <c r="BM112" i="10"/>
  <c r="BM256" i="10"/>
  <c r="BM183" i="10"/>
  <c r="BM177" i="10"/>
  <c r="BM234" i="10"/>
  <c r="BM188" i="10"/>
  <c r="BM249" i="10"/>
  <c r="BM228" i="10"/>
  <c r="BM158" i="10"/>
  <c r="BM119" i="10"/>
  <c r="BM63" i="10"/>
  <c r="BM31" i="10"/>
  <c r="BM239" i="10"/>
  <c r="BM203" i="10"/>
  <c r="BM264" i="10"/>
  <c r="BM190" i="10"/>
  <c r="BM92" i="10"/>
  <c r="BM53" i="10"/>
  <c r="BM213" i="10"/>
  <c r="BM186" i="10"/>
  <c r="BM106" i="10"/>
  <c r="BM85" i="10"/>
  <c r="BM80" i="10"/>
  <c r="BM48" i="10"/>
  <c r="BM274" i="10"/>
  <c r="BM221" i="10"/>
  <c r="BM194" i="10"/>
  <c r="BM168" i="10"/>
  <c r="BM155" i="10"/>
  <c r="BM131" i="10"/>
  <c r="BM117" i="10"/>
  <c r="BM105" i="10"/>
  <c r="BM88" i="10"/>
  <c r="BM75" i="10"/>
  <c r="BM102" i="10"/>
  <c r="BM62" i="10"/>
  <c r="BM266" i="10"/>
  <c r="BM251" i="10"/>
  <c r="BM142" i="10"/>
  <c r="BM74" i="10"/>
  <c r="BM110" i="10"/>
  <c r="BM59" i="10"/>
  <c r="BM170" i="10"/>
  <c r="BM139" i="10"/>
  <c r="BM129" i="10"/>
  <c r="BM58" i="10"/>
  <c r="BM76" i="10"/>
  <c r="BM64" i="10"/>
  <c r="BM47" i="10"/>
  <c r="BM18" i="10"/>
  <c r="BM243" i="10"/>
  <c r="BM29" i="10"/>
  <c r="BM229" i="10"/>
  <c r="BM173" i="10"/>
  <c r="BM148" i="10"/>
  <c r="BM128" i="10"/>
  <c r="BM125" i="10"/>
  <c r="BM108" i="10"/>
  <c r="BM52" i="10"/>
  <c r="BM32" i="10"/>
  <c r="BM263" i="10"/>
  <c r="BM166" i="10"/>
  <c r="BM121" i="10"/>
  <c r="BM42" i="10"/>
  <c r="BM35" i="10"/>
  <c r="BM26" i="10"/>
  <c r="BM241" i="10"/>
  <c r="BM157" i="10"/>
  <c r="BM104" i="10"/>
  <c r="BM69" i="10"/>
  <c r="BM45" i="10"/>
  <c r="BM28" i="10"/>
  <c r="BM17" i="10"/>
  <c r="BM250" i="10"/>
  <c r="BM115" i="10"/>
  <c r="BM99" i="10"/>
  <c r="BM68" i="10"/>
  <c r="BM60" i="10"/>
  <c r="BM40" i="10"/>
  <c r="BM172" i="10"/>
  <c r="BM147" i="10"/>
  <c r="BM181" i="10"/>
  <c r="BM146" i="10"/>
  <c r="BM86" i="10"/>
  <c r="BM67" i="10"/>
  <c r="BM39" i="10"/>
  <c r="BM25" i="10"/>
  <c r="BM127" i="10"/>
  <c r="BM51" i="10"/>
  <c r="BM90" i="10"/>
  <c r="BM82" i="10"/>
  <c r="BM207" i="10"/>
  <c r="BM136" i="10"/>
  <c r="BM77" i="10"/>
  <c r="BM41" i="10"/>
  <c r="BM23" i="10"/>
  <c r="BM14" i="10"/>
  <c r="BM244" i="10"/>
  <c r="BM163" i="10"/>
  <c r="BM24" i="10"/>
  <c r="BM61" i="10"/>
  <c r="BM235" i="10"/>
  <c r="BM196" i="10"/>
  <c r="BM55" i="10"/>
  <c r="BM120" i="10"/>
  <c r="BM56" i="10"/>
  <c r="BM195" i="10"/>
  <c r="BM137" i="10"/>
  <c r="BM116" i="10"/>
  <c r="BM114" i="10"/>
  <c r="BM57" i="10"/>
  <c r="BM262" i="10"/>
  <c r="BM215" i="10"/>
  <c r="BM95" i="10"/>
  <c r="BM11" i="10"/>
  <c r="BM37" i="10"/>
  <c r="BM208" i="10"/>
  <c r="BM182" i="10"/>
  <c r="BM83" i="10"/>
  <c r="BM16" i="10"/>
  <c r="BM13" i="10"/>
  <c r="BM124" i="10"/>
  <c r="BM98" i="10"/>
  <c r="BM36" i="10"/>
  <c r="BM22" i="10"/>
  <c r="BM19" i="10"/>
  <c r="BM43" i="10"/>
  <c r="BM27" i="10"/>
  <c r="BM206" i="10"/>
  <c r="BM165" i="10"/>
  <c r="BM159" i="10"/>
  <c r="BM97" i="10"/>
  <c r="BM73" i="10"/>
  <c r="BM30" i="10"/>
  <c r="BM153" i="10"/>
  <c r="BM94" i="10"/>
  <c r="BM84" i="10"/>
  <c r="BM169" i="10"/>
  <c r="BM15" i="10"/>
  <c r="BM12" i="10"/>
  <c r="BM138" i="10"/>
  <c r="BM91" i="10"/>
  <c r="BM223" i="10"/>
  <c r="BM33" i="10"/>
  <c r="BM70" i="10"/>
  <c r="BM78" i="10"/>
  <c r="BM44" i="10"/>
  <c r="Q10" i="10"/>
  <c r="BM10" i="10" s="1"/>
  <c r="DI10" i="10" s="1"/>
  <c r="FE10" i="10" s="1"/>
  <c r="BM143" i="10"/>
  <c r="BM50" i="10"/>
  <c r="BM66" i="10"/>
  <c r="BM103" i="10"/>
  <c r="BM34" i="10"/>
  <c r="BM109" i="10"/>
  <c r="BM89" i="10"/>
  <c r="BM21" i="10"/>
  <c r="BM93" i="10"/>
  <c r="BM81" i="10"/>
  <c r="BM133" i="10"/>
  <c r="BM46" i="10"/>
  <c r="BM49" i="10"/>
  <c r="BM20" i="10"/>
  <c r="BM107" i="10"/>
  <c r="BM65" i="10"/>
  <c r="BM87" i="10"/>
  <c r="BM72" i="10"/>
  <c r="BM111" i="10"/>
  <c r="BM79" i="10"/>
  <c r="BM144" i="10"/>
  <c r="BM38" i="10"/>
  <c r="BM122" i="10"/>
  <c r="BM71" i="10"/>
  <c r="BM54" i="10"/>
  <c r="S6" i="10"/>
  <c r="R8" i="10"/>
  <c r="AD6" i="10"/>
  <c r="CG263" i="10"/>
  <c r="CG243" i="10"/>
  <c r="CG272" i="10"/>
  <c r="CG257" i="10"/>
  <c r="CG273" i="10"/>
  <c r="CG238" i="10"/>
  <c r="CG206" i="10"/>
  <c r="CG233" i="10"/>
  <c r="CG201" i="10"/>
  <c r="CG270" i="10"/>
  <c r="CG262" i="10"/>
  <c r="CG253" i="10"/>
  <c r="CG228" i="10"/>
  <c r="CG223" i="10"/>
  <c r="CG218" i="10"/>
  <c r="CG260" i="10"/>
  <c r="CG256" i="10"/>
  <c r="CG210" i="10"/>
  <c r="CG245" i="10"/>
  <c r="CG222" i="10"/>
  <c r="CG259" i="10"/>
  <c r="CG229" i="10"/>
  <c r="CG258" i="10"/>
  <c r="CG215" i="10"/>
  <c r="CG197" i="10"/>
  <c r="CG158" i="10"/>
  <c r="CG274" i="10"/>
  <c r="CG185" i="10"/>
  <c r="CG269" i="10"/>
  <c r="CG180" i="10"/>
  <c r="CG175" i="10"/>
  <c r="CG227" i="10"/>
  <c r="CG214" i="10"/>
  <c r="CG170" i="10"/>
  <c r="CG242" i="10"/>
  <c r="CG240" i="10"/>
  <c r="CG252" i="10"/>
  <c r="CG251" i="10"/>
  <c r="CG250" i="10"/>
  <c r="CG221" i="10"/>
  <c r="CG220" i="10"/>
  <c r="CG174" i="10"/>
  <c r="CG264" i="10"/>
  <c r="CG236" i="10"/>
  <c r="CG235" i="10"/>
  <c r="CG208" i="10"/>
  <c r="CG198" i="10"/>
  <c r="CG268" i="10"/>
  <c r="CG244" i="10"/>
  <c r="CG207" i="10"/>
  <c r="CG193" i="10"/>
  <c r="CG189" i="10"/>
  <c r="CG188" i="10"/>
  <c r="CG168" i="10"/>
  <c r="CG146" i="10"/>
  <c r="CG224" i="10"/>
  <c r="CG196" i="10"/>
  <c r="CG192" i="10"/>
  <c r="CG191" i="10"/>
  <c r="CG162" i="10"/>
  <c r="CG151" i="10"/>
  <c r="CG141" i="10"/>
  <c r="CG241" i="10"/>
  <c r="CG219" i="10"/>
  <c r="CG195" i="10"/>
  <c r="CG186" i="10"/>
  <c r="CG167" i="10"/>
  <c r="CG136" i="10"/>
  <c r="CG131" i="10"/>
  <c r="CG266" i="10"/>
  <c r="CG194" i="10"/>
  <c r="CG154" i="10"/>
  <c r="CG153" i="10"/>
  <c r="CG145" i="10"/>
  <c r="CG171" i="10"/>
  <c r="CG216" i="10"/>
  <c r="CG179" i="10"/>
  <c r="CG217" i="10"/>
  <c r="CG211" i="10"/>
  <c r="CG267" i="10"/>
  <c r="CG232" i="10"/>
  <c r="CG204" i="10"/>
  <c r="CG169" i="10"/>
  <c r="CG160" i="10"/>
  <c r="CG147" i="10"/>
  <c r="CG97" i="10"/>
  <c r="CG265" i="10"/>
  <c r="CG237" i="10"/>
  <c r="CG132" i="10"/>
  <c r="CG239" i="10"/>
  <c r="CG225" i="10"/>
  <c r="CG119" i="10"/>
  <c r="CG231" i="10"/>
  <c r="CG137" i="10"/>
  <c r="CG114" i="10"/>
  <c r="CG182" i="10"/>
  <c r="CG161" i="10"/>
  <c r="CG109" i="10"/>
  <c r="CG261" i="10"/>
  <c r="CG172" i="10"/>
  <c r="CG165" i="10"/>
  <c r="CG96" i="10"/>
  <c r="CG249" i="10"/>
  <c r="CG108" i="10"/>
  <c r="CG226" i="10"/>
  <c r="CG213" i="10"/>
  <c r="CG203" i="10"/>
  <c r="CG135" i="10"/>
  <c r="CG112" i="10"/>
  <c r="CG102" i="10"/>
  <c r="CG59" i="10"/>
  <c r="CG27" i="10"/>
  <c r="CG200" i="10"/>
  <c r="CG159" i="10"/>
  <c r="CG111" i="10"/>
  <c r="CG101" i="10"/>
  <c r="CG90" i="10"/>
  <c r="CG81" i="10"/>
  <c r="CG49" i="10"/>
  <c r="CG76" i="10"/>
  <c r="CG44" i="10"/>
  <c r="CG142" i="10"/>
  <c r="CG71" i="10"/>
  <c r="CG209" i="10"/>
  <c r="CG157" i="10"/>
  <c r="CG149" i="10"/>
  <c r="CG122" i="10"/>
  <c r="CG121" i="10"/>
  <c r="CG271" i="10"/>
  <c r="CG150" i="10"/>
  <c r="CG128" i="10"/>
  <c r="CG106" i="10"/>
  <c r="CG85" i="10"/>
  <c r="CG70" i="10"/>
  <c r="CG247" i="10"/>
  <c r="CG55" i="10"/>
  <c r="CG177" i="10"/>
  <c r="CG117" i="10"/>
  <c r="CG116" i="10"/>
  <c r="CG230" i="10"/>
  <c r="CG205" i="10"/>
  <c r="CG190" i="10"/>
  <c r="CG173" i="10"/>
  <c r="CG134" i="10"/>
  <c r="CG118" i="10"/>
  <c r="CG104" i="10"/>
  <c r="CG69" i="10"/>
  <c r="CG68" i="10"/>
  <c r="CG212" i="10"/>
  <c r="CG40" i="10"/>
  <c r="CG178" i="10"/>
  <c r="CG19" i="10"/>
  <c r="CG129" i="10"/>
  <c r="CG126" i="10"/>
  <c r="CG110" i="10"/>
  <c r="CG99" i="10"/>
  <c r="CG86" i="10"/>
  <c r="CG60" i="10"/>
  <c r="CG144" i="10"/>
  <c r="CG67" i="10"/>
  <c r="CG127" i="10"/>
  <c r="CG93" i="10"/>
  <c r="CG64" i="10"/>
  <c r="CG35" i="10"/>
  <c r="CG156" i="10"/>
  <c r="CG143" i="10"/>
  <c r="CG107" i="10"/>
  <c r="CG95" i="10"/>
  <c r="CG75" i="10"/>
  <c r="CG45" i="10"/>
  <c r="CG202" i="10"/>
  <c r="CG91" i="10"/>
  <c r="CG63" i="10"/>
  <c r="CG46" i="10"/>
  <c r="CG94" i="10"/>
  <c r="CG176" i="10"/>
  <c r="CG133" i="10"/>
  <c r="CG88" i="10"/>
  <c r="CG138" i="10"/>
  <c r="CG74" i="10"/>
  <c r="CG18" i="10"/>
  <c r="CG11" i="10"/>
  <c r="CG56" i="10"/>
  <c r="CG148" i="10"/>
  <c r="CG84" i="10"/>
  <c r="CG79" i="10"/>
  <c r="CG187" i="10"/>
  <c r="CG89" i="10"/>
  <c r="CG66" i="10"/>
  <c r="CG33" i="10"/>
  <c r="CG130" i="10"/>
  <c r="CG36" i="10"/>
  <c r="CG31" i="10"/>
  <c r="CG28" i="10"/>
  <c r="CG15" i="10"/>
  <c r="CG234" i="10"/>
  <c r="CG103" i="10"/>
  <c r="CG50" i="10"/>
  <c r="CG37" i="10"/>
  <c r="CG24" i="10"/>
  <c r="CG255" i="10"/>
  <c r="CG155" i="10"/>
  <c r="CG51" i="10"/>
  <c r="CG25" i="10"/>
  <c r="CG199" i="10"/>
  <c r="CG164" i="10"/>
  <c r="CG152" i="10"/>
  <c r="CG72" i="10"/>
  <c r="CG41" i="10"/>
  <c r="CG23" i="10"/>
  <c r="CG14" i="10"/>
  <c r="AK10" i="10"/>
  <c r="CG10" i="10" s="1"/>
  <c r="EC10" i="10" s="1"/>
  <c r="FY10" i="10" s="1"/>
  <c r="CG254" i="10"/>
  <c r="CG123" i="10"/>
  <c r="CG82" i="10"/>
  <c r="CG77" i="10"/>
  <c r="CG163" i="10"/>
  <c r="CG62" i="10"/>
  <c r="CG54" i="10"/>
  <c r="CG20" i="10"/>
  <c r="CG181" i="10"/>
  <c r="CG166" i="10"/>
  <c r="CG65" i="10"/>
  <c r="CG43" i="10"/>
  <c r="CG120" i="10"/>
  <c r="CG78" i="10"/>
  <c r="CG17" i="10"/>
  <c r="CG140" i="10"/>
  <c r="CG39" i="10"/>
  <c r="CG32" i="10"/>
  <c r="CG92" i="10"/>
  <c r="CG87" i="10"/>
  <c r="CG30" i="10"/>
  <c r="CG73" i="10"/>
  <c r="CG58" i="10"/>
  <c r="CG52" i="10"/>
  <c r="CG48" i="10"/>
  <c r="CG105" i="10"/>
  <c r="CG125" i="10"/>
  <c r="CG13" i="10"/>
  <c r="CG184" i="10"/>
  <c r="CG29" i="10"/>
  <c r="CG248" i="10"/>
  <c r="CG183" i="10"/>
  <c r="CG115" i="10"/>
  <c r="CG98" i="10"/>
  <c r="CG22" i="10"/>
  <c r="CG53" i="10"/>
  <c r="CG34" i="10"/>
  <c r="CG246" i="10"/>
  <c r="CG80" i="10"/>
  <c r="CG113" i="10"/>
  <c r="CG139" i="10"/>
  <c r="CG124" i="10"/>
  <c r="CG83" i="10"/>
  <c r="CG42" i="10"/>
  <c r="CG12" i="10"/>
  <c r="CG61" i="10"/>
  <c r="CG100" i="10"/>
  <c r="CG57" i="10"/>
  <c r="CG16" i="10"/>
  <c r="CG21" i="10"/>
  <c r="CG47" i="10"/>
  <c r="CG38" i="10"/>
  <c r="CG26" i="10"/>
  <c r="CS252" i="10"/>
  <c r="CS247" i="10"/>
  <c r="CS271" i="10"/>
  <c r="CS263" i="10"/>
  <c r="CS274" i="10"/>
  <c r="CS272" i="10"/>
  <c r="CS210" i="10"/>
  <c r="CS256" i="10"/>
  <c r="CS237" i="10"/>
  <c r="CS205" i="10"/>
  <c r="CS232" i="10"/>
  <c r="CS200" i="10"/>
  <c r="CS242" i="10"/>
  <c r="CS227" i="10"/>
  <c r="CS260" i="10"/>
  <c r="CS222" i="10"/>
  <c r="CS273" i="10"/>
  <c r="CS214" i="10"/>
  <c r="CS226" i="10"/>
  <c r="CS233" i="10"/>
  <c r="CS261" i="10"/>
  <c r="CS225" i="10"/>
  <c r="CS224" i="10"/>
  <c r="CS162" i="10"/>
  <c r="CS223" i="10"/>
  <c r="CS204" i="10"/>
  <c r="CS199" i="10"/>
  <c r="CS184" i="10"/>
  <c r="CS262" i="10"/>
  <c r="CS211" i="10"/>
  <c r="CS179" i="10"/>
  <c r="CS245" i="10"/>
  <c r="CS244" i="10"/>
  <c r="CS241" i="10"/>
  <c r="CS174" i="10"/>
  <c r="CS254" i="10"/>
  <c r="CS198" i="10"/>
  <c r="CS166" i="10"/>
  <c r="CS268" i="10"/>
  <c r="CS207" i="10"/>
  <c r="CS178" i="10"/>
  <c r="CS257" i="10"/>
  <c r="CS201" i="10"/>
  <c r="CS185" i="10"/>
  <c r="CS259" i="10"/>
  <c r="CS264" i="10"/>
  <c r="CS248" i="10"/>
  <c r="CS234" i="10"/>
  <c r="CS150" i="10"/>
  <c r="CS266" i="10"/>
  <c r="CS220" i="10"/>
  <c r="CS209" i="10"/>
  <c r="CS145" i="10"/>
  <c r="CS153" i="10"/>
  <c r="CS140" i="10"/>
  <c r="CS182" i="10"/>
  <c r="CS135" i="10"/>
  <c r="CS230" i="10"/>
  <c r="CS181" i="10"/>
  <c r="CS172" i="10"/>
  <c r="CS165" i="10"/>
  <c r="CS130" i="10"/>
  <c r="CS246" i="10"/>
  <c r="CS149" i="10"/>
  <c r="CS258" i="10"/>
  <c r="CS240" i="10"/>
  <c r="CS155" i="10"/>
  <c r="CS212" i="10"/>
  <c r="CS206" i="10"/>
  <c r="CS176" i="10"/>
  <c r="CS168" i="10"/>
  <c r="CS250" i="10"/>
  <c r="CS228" i="10"/>
  <c r="CS253" i="10"/>
  <c r="CS171" i="10"/>
  <c r="CS144" i="10"/>
  <c r="CS101" i="10"/>
  <c r="CS202" i="10"/>
  <c r="CS164" i="10"/>
  <c r="CS163" i="10"/>
  <c r="CS96" i="10"/>
  <c r="CS243" i="10"/>
  <c r="CS219" i="10"/>
  <c r="CS177" i="10"/>
  <c r="CS118" i="10"/>
  <c r="CS123" i="10"/>
  <c r="CS113" i="10"/>
  <c r="CS270" i="10"/>
  <c r="CS249" i="10"/>
  <c r="CS238" i="10"/>
  <c r="CS236" i="10"/>
  <c r="CS189" i="10"/>
  <c r="CS152" i="10"/>
  <c r="CS100" i="10"/>
  <c r="CS197" i="10"/>
  <c r="CS156" i="10"/>
  <c r="CS112" i="10"/>
  <c r="CS269" i="10"/>
  <c r="CS218" i="10"/>
  <c r="CS190" i="10"/>
  <c r="CS186" i="10"/>
  <c r="CS175" i="10"/>
  <c r="CS169" i="10"/>
  <c r="CS194" i="10"/>
  <c r="CS136" i="10"/>
  <c r="CS108" i="10"/>
  <c r="CS98" i="10"/>
  <c r="CS89" i="10"/>
  <c r="CS63" i="10"/>
  <c r="CS31" i="10"/>
  <c r="CS215" i="10"/>
  <c r="CS143" i="10"/>
  <c r="CS137" i="10"/>
  <c r="CS125" i="10"/>
  <c r="CS53" i="10"/>
  <c r="CS160" i="10"/>
  <c r="CS124" i="10"/>
  <c r="CS122" i="10"/>
  <c r="CS80" i="10"/>
  <c r="CS48" i="10"/>
  <c r="CS126" i="10"/>
  <c r="CS107" i="10"/>
  <c r="CS97" i="10"/>
  <c r="CS75" i="10"/>
  <c r="CS167" i="10"/>
  <c r="CS62" i="10"/>
  <c r="CS151" i="10"/>
  <c r="CS114" i="10"/>
  <c r="CS87" i="10"/>
  <c r="CS74" i="10"/>
  <c r="CS216" i="10"/>
  <c r="CS146" i="10"/>
  <c r="CS134" i="10"/>
  <c r="CS133" i="10"/>
  <c r="CS102" i="10"/>
  <c r="CS59" i="10"/>
  <c r="CS265" i="10"/>
  <c r="CS208" i="10"/>
  <c r="CS188" i="10"/>
  <c r="CS180" i="10"/>
  <c r="CS195" i="10"/>
  <c r="CS119" i="10"/>
  <c r="CS105" i="10"/>
  <c r="CS90" i="10"/>
  <c r="CS81" i="10"/>
  <c r="CS159" i="10"/>
  <c r="CS157" i="10"/>
  <c r="CS99" i="10"/>
  <c r="CS65" i="10"/>
  <c r="CS183" i="10"/>
  <c r="CS142" i="10"/>
  <c r="CS115" i="10"/>
  <c r="CS92" i="10"/>
  <c r="CS91" i="10"/>
  <c r="CS18" i="10"/>
  <c r="CS170" i="10"/>
  <c r="CS79" i="10"/>
  <c r="CS29" i="10"/>
  <c r="CS46" i="10"/>
  <c r="CS117" i="10"/>
  <c r="CS71" i="10"/>
  <c r="CS70" i="10"/>
  <c r="CS37" i="10"/>
  <c r="CS239" i="10"/>
  <c r="CS141" i="10"/>
  <c r="CS103" i="10"/>
  <c r="CS187" i="10"/>
  <c r="CS131" i="10"/>
  <c r="CS192" i="10"/>
  <c r="CS110" i="10"/>
  <c r="CS193" i="10"/>
  <c r="CS109" i="10"/>
  <c r="CS88" i="10"/>
  <c r="CS84" i="10"/>
  <c r="CS35" i="10"/>
  <c r="CS251" i="10"/>
  <c r="CS213" i="10"/>
  <c r="CS57" i="10"/>
  <c r="CS30" i="10"/>
  <c r="CS267" i="10"/>
  <c r="CS148" i="10"/>
  <c r="CS120" i="10"/>
  <c r="CS16" i="10"/>
  <c r="CS15" i="10"/>
  <c r="CS95" i="10"/>
  <c r="CS58" i="10"/>
  <c r="CS32" i="10"/>
  <c r="CS28" i="10"/>
  <c r="CS26" i="10"/>
  <c r="CS51" i="10"/>
  <c r="CS191" i="10"/>
  <c r="CS77" i="10"/>
  <c r="CS72" i="10"/>
  <c r="CS67" i="10"/>
  <c r="CS41" i="10"/>
  <c r="CS22" i="10"/>
  <c r="CS139" i="10"/>
  <c r="CS82" i="10"/>
  <c r="CS21" i="10"/>
  <c r="CS221" i="10"/>
  <c r="CS43" i="10"/>
  <c r="CS20" i="10"/>
  <c r="CS127" i="10"/>
  <c r="CS121" i="10"/>
  <c r="CS106" i="10"/>
  <c r="CS12" i="10"/>
  <c r="CS68" i="10"/>
  <c r="CS44" i="10"/>
  <c r="CS78" i="10"/>
  <c r="CS73" i="10"/>
  <c r="CS138" i="10"/>
  <c r="CS64" i="10"/>
  <c r="CS231" i="10"/>
  <c r="CS173" i="10"/>
  <c r="CS39" i="10"/>
  <c r="CS217" i="10"/>
  <c r="CS116" i="10"/>
  <c r="CS23" i="10"/>
  <c r="AW10" i="10"/>
  <c r="CS10" i="10" s="1"/>
  <c r="EO10" i="10" s="1"/>
  <c r="GK10" i="10" s="1"/>
  <c r="CS255" i="10"/>
  <c r="CS60" i="10"/>
  <c r="CS54" i="10"/>
  <c r="CS52" i="10"/>
  <c r="CS33" i="10"/>
  <c r="CS40" i="10"/>
  <c r="CS38" i="10"/>
  <c r="CS147" i="10"/>
  <c r="CS111" i="10"/>
  <c r="CS19" i="10"/>
  <c r="CS235" i="10"/>
  <c r="CS85" i="10"/>
  <c r="CS55" i="10"/>
  <c r="CS34" i="10"/>
  <c r="CS61" i="10"/>
  <c r="CS203" i="10"/>
  <c r="CS161" i="10"/>
  <c r="CS93" i="10"/>
  <c r="CS66" i="10"/>
  <c r="CS13" i="10"/>
  <c r="CS158" i="10"/>
  <c r="CS56" i="10"/>
  <c r="CS25" i="10"/>
  <c r="CS69" i="10"/>
  <c r="CS49" i="10"/>
  <c r="CS132" i="10"/>
  <c r="CS76" i="10"/>
  <c r="CS196" i="10"/>
  <c r="CS36" i="10"/>
  <c r="CS42" i="10"/>
  <c r="CS27" i="10"/>
  <c r="CS17" i="10"/>
  <c r="CS83" i="10"/>
  <c r="CS45" i="10"/>
  <c r="CS14" i="10"/>
  <c r="CS24" i="10"/>
  <c r="CS154" i="10"/>
  <c r="CS129" i="10"/>
  <c r="CS86" i="10"/>
  <c r="CS229" i="10"/>
  <c r="CS104" i="10"/>
  <c r="CS50" i="10"/>
  <c r="CS47" i="10"/>
  <c r="CS11" i="10"/>
  <c r="CS128" i="10"/>
  <c r="CS94" i="10"/>
  <c r="AO6" i="10"/>
  <c r="AC8" i="10"/>
  <c r="AM5" i="10"/>
  <c r="AB5" i="10"/>
  <c r="AB10" i="10" s="1"/>
  <c r="BX10" i="10" s="1"/>
  <c r="DT10" i="10" s="1"/>
  <c r="FP10" i="10" s="1"/>
  <c r="AA7" i="10"/>
  <c r="T5" i="10"/>
  <c r="S7" i="10"/>
  <c r="BA6" i="10" l="1"/>
  <c r="BA8" i="10" s="1"/>
  <c r="AO8" i="10"/>
  <c r="BY266" i="10"/>
  <c r="BY256" i="10"/>
  <c r="BY274" i="10"/>
  <c r="BY251" i="10"/>
  <c r="BY214" i="10"/>
  <c r="BY264" i="10"/>
  <c r="BY209" i="10"/>
  <c r="BY268" i="10"/>
  <c r="BY267" i="10"/>
  <c r="BY254" i="10"/>
  <c r="BY241" i="10"/>
  <c r="BY236" i="10"/>
  <c r="BY204" i="10"/>
  <c r="BY263" i="10"/>
  <c r="BY258" i="10"/>
  <c r="BY244" i="10"/>
  <c r="BY231" i="10"/>
  <c r="BY199" i="10"/>
  <c r="BY247" i="10"/>
  <c r="BY226" i="10"/>
  <c r="BY271" i="10"/>
  <c r="BY243" i="10"/>
  <c r="BY218" i="10"/>
  <c r="BY249" i="10"/>
  <c r="BY230" i="10"/>
  <c r="BY272" i="10"/>
  <c r="BY237" i="10"/>
  <c r="BY166" i="10"/>
  <c r="BY265" i="10"/>
  <c r="BY257" i="10"/>
  <c r="BY232" i="10"/>
  <c r="BY217" i="10"/>
  <c r="BY202" i="10"/>
  <c r="BY216" i="10"/>
  <c r="BY207" i="10"/>
  <c r="BY188" i="10"/>
  <c r="BY183" i="10"/>
  <c r="BY269" i="10"/>
  <c r="BY191" i="10"/>
  <c r="BY178" i="10"/>
  <c r="BY213" i="10"/>
  <c r="BY170" i="10"/>
  <c r="BY270" i="10"/>
  <c r="BY262" i="10"/>
  <c r="BY193" i="10"/>
  <c r="BY182" i="10"/>
  <c r="BY248" i="10"/>
  <c r="BY250" i="10"/>
  <c r="BY228" i="10"/>
  <c r="BY177" i="10"/>
  <c r="BY163" i="10"/>
  <c r="BY159" i="10"/>
  <c r="BY169" i="10"/>
  <c r="BY149" i="10"/>
  <c r="BY155" i="10"/>
  <c r="BY144" i="10"/>
  <c r="BY168" i="10"/>
  <c r="BY139" i="10"/>
  <c r="BY134" i="10"/>
  <c r="BY201" i="10"/>
  <c r="BY260" i="10"/>
  <c r="BY221" i="10"/>
  <c r="BY161" i="10"/>
  <c r="BY157" i="10"/>
  <c r="BY235" i="10"/>
  <c r="BY246" i="10"/>
  <c r="BY255" i="10"/>
  <c r="BY190" i="10"/>
  <c r="BY133" i="10"/>
  <c r="BY105" i="10"/>
  <c r="BY175" i="10"/>
  <c r="BY158" i="10"/>
  <c r="BY156" i="10"/>
  <c r="BY100" i="10"/>
  <c r="BY233" i="10"/>
  <c r="BY125" i="10"/>
  <c r="BY186" i="10"/>
  <c r="BY148" i="10"/>
  <c r="BY122" i="10"/>
  <c r="BY90" i="10"/>
  <c r="BY229" i="10"/>
  <c r="BY198" i="10"/>
  <c r="BY138" i="10"/>
  <c r="BY117" i="10"/>
  <c r="BY85" i="10"/>
  <c r="BY245" i="10"/>
  <c r="BY219" i="10"/>
  <c r="BY145" i="10"/>
  <c r="BY136" i="10"/>
  <c r="BY104" i="10"/>
  <c r="BY196" i="10"/>
  <c r="BY127" i="10"/>
  <c r="BY116" i="10"/>
  <c r="BY200" i="10"/>
  <c r="BY173" i="10"/>
  <c r="BY273" i="10"/>
  <c r="BY224" i="10"/>
  <c r="BY189" i="10"/>
  <c r="BY242" i="10"/>
  <c r="BY222" i="10"/>
  <c r="BY203" i="10"/>
  <c r="BY194" i="10"/>
  <c r="BY162" i="10"/>
  <c r="BY115" i="10"/>
  <c r="BY114" i="10"/>
  <c r="BY95" i="10"/>
  <c r="BY91" i="10"/>
  <c r="BY67" i="10"/>
  <c r="BY35" i="10"/>
  <c r="BY192" i="10"/>
  <c r="BY184" i="10"/>
  <c r="BY113" i="10"/>
  <c r="BY103" i="10"/>
  <c r="BY57" i="10"/>
  <c r="BY210" i="10"/>
  <c r="BY205" i="10"/>
  <c r="BY141" i="10"/>
  <c r="BY112" i="10"/>
  <c r="BY102" i="10"/>
  <c r="BY87" i="10"/>
  <c r="BY84" i="10"/>
  <c r="BY52" i="10"/>
  <c r="BY79" i="10"/>
  <c r="BY47" i="10"/>
  <c r="BY187" i="10"/>
  <c r="BY153" i="10"/>
  <c r="BY110" i="10"/>
  <c r="BY99" i="10"/>
  <c r="BY66" i="10"/>
  <c r="BY197" i="10"/>
  <c r="BY123" i="10"/>
  <c r="BY89" i="10"/>
  <c r="BY78" i="10"/>
  <c r="BY225" i="10"/>
  <c r="BY206" i="10"/>
  <c r="BY128" i="10"/>
  <c r="BY121" i="10"/>
  <c r="BY63" i="10"/>
  <c r="BY234" i="10"/>
  <c r="BY165" i="10"/>
  <c r="BY146" i="10"/>
  <c r="BY132" i="10"/>
  <c r="BY181" i="10"/>
  <c r="BY12" i="10"/>
  <c r="BY72" i="10"/>
  <c r="BY71" i="10"/>
  <c r="BY62" i="10"/>
  <c r="BY56" i="10"/>
  <c r="BY41" i="10"/>
  <c r="BY17" i="10"/>
  <c r="BY252" i="10"/>
  <c r="BY109" i="10"/>
  <c r="BY31" i="10"/>
  <c r="BY28" i="10"/>
  <c r="BY70" i="10"/>
  <c r="BY69" i="10"/>
  <c r="BY34" i="10"/>
  <c r="BY220" i="10"/>
  <c r="BY118" i="10"/>
  <c r="BY61" i="10"/>
  <c r="BY45" i="10"/>
  <c r="BY37" i="10"/>
  <c r="BY25" i="10"/>
  <c r="BY211" i="10"/>
  <c r="BY88" i="10"/>
  <c r="BY27" i="10"/>
  <c r="BY16" i="10"/>
  <c r="BY11" i="10"/>
  <c r="BY240" i="10"/>
  <c r="BY130" i="10"/>
  <c r="BY43" i="10"/>
  <c r="BY124" i="10"/>
  <c r="BY120" i="10"/>
  <c r="BY101" i="10"/>
  <c r="BY94" i="10"/>
  <c r="BY93" i="10"/>
  <c r="BY107" i="10"/>
  <c r="BY53" i="10"/>
  <c r="BY21" i="10"/>
  <c r="BY259" i="10"/>
  <c r="BY73" i="10"/>
  <c r="BY44" i="10"/>
  <c r="BY154" i="10"/>
  <c r="BY151" i="10"/>
  <c r="BY111" i="10"/>
  <c r="BY143" i="10"/>
  <c r="BY83" i="10"/>
  <c r="BY54" i="10"/>
  <c r="BY131" i="10"/>
  <c r="BY20" i="10"/>
  <c r="BY140" i="10"/>
  <c r="BY75" i="10"/>
  <c r="BY195" i="10"/>
  <c r="BY147" i="10"/>
  <c r="BY142" i="10"/>
  <c r="BY98" i="10"/>
  <c r="BY29" i="10"/>
  <c r="BY32" i="10"/>
  <c r="BY30" i="10"/>
  <c r="BY171" i="10"/>
  <c r="BY76" i="10"/>
  <c r="BY59" i="10"/>
  <c r="BY33" i="10"/>
  <c r="BY215" i="10"/>
  <c r="BY81" i="10"/>
  <c r="BY50" i="10"/>
  <c r="BY36" i="10"/>
  <c r="BY227" i="10"/>
  <c r="BY39" i="10"/>
  <c r="BY26" i="10"/>
  <c r="BY15" i="10"/>
  <c r="BY68" i="10"/>
  <c r="BY238" i="10"/>
  <c r="BY185" i="10"/>
  <c r="BY160" i="10"/>
  <c r="BY167" i="10"/>
  <c r="BY22" i="10"/>
  <c r="BY14" i="10"/>
  <c r="BY208" i="10"/>
  <c r="BY51" i="10"/>
  <c r="BY49" i="10"/>
  <c r="BY150" i="10"/>
  <c r="BY65" i="10"/>
  <c r="BY180" i="10"/>
  <c r="BY97" i="10"/>
  <c r="BY239" i="10"/>
  <c r="BY119" i="10"/>
  <c r="BY86" i="10"/>
  <c r="BY48" i="10"/>
  <c r="BY46" i="10"/>
  <c r="BY77" i="10"/>
  <c r="BY42" i="10"/>
  <c r="BY152" i="10"/>
  <c r="BY223" i="10"/>
  <c r="BY176" i="10"/>
  <c r="BY38" i="10"/>
  <c r="BY13" i="10"/>
  <c r="BY172" i="10"/>
  <c r="BY96" i="10"/>
  <c r="BY253" i="10"/>
  <c r="BY126" i="10"/>
  <c r="BY40" i="10"/>
  <c r="BY23" i="10"/>
  <c r="BY18" i="10"/>
  <c r="BY108" i="10"/>
  <c r="BY92" i="10"/>
  <c r="BY80" i="10"/>
  <c r="BY179" i="10"/>
  <c r="BY55" i="10"/>
  <c r="BY212" i="10"/>
  <c r="BY58" i="10"/>
  <c r="BY106" i="10"/>
  <c r="BY164" i="10"/>
  <c r="BY19" i="10"/>
  <c r="BY64" i="10"/>
  <c r="BY129" i="10"/>
  <c r="BY24" i="10"/>
  <c r="BY137" i="10"/>
  <c r="BY261" i="10"/>
  <c r="BY135" i="10"/>
  <c r="BY82" i="10"/>
  <c r="BY174" i="10"/>
  <c r="BY60" i="10"/>
  <c r="BY74" i="10"/>
  <c r="BN267" i="10"/>
  <c r="BN262" i="10"/>
  <c r="BN274" i="10"/>
  <c r="BN237" i="10"/>
  <c r="BN205" i="10"/>
  <c r="BN273" i="10"/>
  <c r="BN242" i="10"/>
  <c r="BN232" i="10"/>
  <c r="BN200" i="10"/>
  <c r="BN227" i="10"/>
  <c r="BN245" i="10"/>
  <c r="BN222" i="10"/>
  <c r="BN255" i="10"/>
  <c r="BN248" i="10"/>
  <c r="BN217" i="10"/>
  <c r="BN269" i="10"/>
  <c r="BN244" i="10"/>
  <c r="BN209" i="10"/>
  <c r="BN250" i="10"/>
  <c r="BN221" i="10"/>
  <c r="BN271" i="10"/>
  <c r="BN257" i="10"/>
  <c r="BN228" i="10"/>
  <c r="BN254" i="10"/>
  <c r="BN157" i="10"/>
  <c r="BN220" i="10"/>
  <c r="BN210" i="10"/>
  <c r="BN184" i="10"/>
  <c r="BN236" i="10"/>
  <c r="BN219" i="10"/>
  <c r="BN179" i="10"/>
  <c r="BN189" i="10"/>
  <c r="BN174" i="10"/>
  <c r="BN203" i="10"/>
  <c r="BN192" i="10"/>
  <c r="BN169" i="10"/>
  <c r="BN266" i="10"/>
  <c r="BN194" i="10"/>
  <c r="BN270" i="10"/>
  <c r="BN211" i="10"/>
  <c r="BN180" i="10"/>
  <c r="BN145" i="10"/>
  <c r="BN204" i="10"/>
  <c r="BN140" i="10"/>
  <c r="BN261" i="10"/>
  <c r="BN240" i="10"/>
  <c r="BN164" i="10"/>
  <c r="BN160" i="10"/>
  <c r="BN135" i="10"/>
  <c r="BN156" i="10"/>
  <c r="BN130" i="10"/>
  <c r="BN212" i="10"/>
  <c r="BN268" i="10"/>
  <c r="BN229" i="10"/>
  <c r="BN195" i="10"/>
  <c r="BN190" i="10"/>
  <c r="BN188" i="10"/>
  <c r="BN168" i="10"/>
  <c r="BN155" i="10"/>
  <c r="BN144" i="10"/>
  <c r="BN196" i="10"/>
  <c r="BN225" i="10"/>
  <c r="BN167" i="10"/>
  <c r="BN162" i="10"/>
  <c r="BN154" i="10"/>
  <c r="BN215" i="10"/>
  <c r="BN272" i="10"/>
  <c r="BN239" i="10"/>
  <c r="BN235" i="10"/>
  <c r="BN218" i="10"/>
  <c r="BN197" i="10"/>
  <c r="BN96" i="10"/>
  <c r="BN260" i="10"/>
  <c r="BN193" i="10"/>
  <c r="BN265" i="10"/>
  <c r="BN246" i="10"/>
  <c r="BN185" i="10"/>
  <c r="BN152" i="10"/>
  <c r="BN151" i="10"/>
  <c r="BN141" i="10"/>
  <c r="BN134" i="10"/>
  <c r="BN123" i="10"/>
  <c r="BN118" i="10"/>
  <c r="BN126" i="10"/>
  <c r="BN113" i="10"/>
  <c r="BN108" i="10"/>
  <c r="BN259" i="10"/>
  <c r="BN243" i="10"/>
  <c r="BN148" i="10"/>
  <c r="BN137" i="10"/>
  <c r="BN107" i="10"/>
  <c r="BN234" i="10"/>
  <c r="BN171" i="10"/>
  <c r="BN249" i="10"/>
  <c r="BN208" i="10"/>
  <c r="BN178" i="10"/>
  <c r="BN175" i="10"/>
  <c r="BN58" i="10"/>
  <c r="BN26" i="10"/>
  <c r="BN264" i="10"/>
  <c r="BN230" i="10"/>
  <c r="BN92" i="10"/>
  <c r="BN213" i="10"/>
  <c r="BN186" i="10"/>
  <c r="BN106" i="10"/>
  <c r="BN85" i="10"/>
  <c r="BN80" i="10"/>
  <c r="BN48" i="10"/>
  <c r="BN224" i="10"/>
  <c r="BN131" i="10"/>
  <c r="BN117" i="10"/>
  <c r="BN105" i="10"/>
  <c r="BN88" i="10"/>
  <c r="BN75" i="10"/>
  <c r="BN43" i="10"/>
  <c r="BN256" i="10"/>
  <c r="BN132" i="10"/>
  <c r="BN70" i="10"/>
  <c r="BN238" i="10"/>
  <c r="BN223" i="10"/>
  <c r="BN202" i="10"/>
  <c r="BN112" i="10"/>
  <c r="BN136" i="10"/>
  <c r="BN69" i="10"/>
  <c r="BN191" i="10"/>
  <c r="BN187" i="10"/>
  <c r="BN54" i="10"/>
  <c r="BN247" i="10"/>
  <c r="BN214" i="10"/>
  <c r="BN183" i="10"/>
  <c r="BN149" i="10"/>
  <c r="BN150" i="10"/>
  <c r="BN76" i="10"/>
  <c r="BN64" i="10"/>
  <c r="BN47" i="10"/>
  <c r="BN18" i="10"/>
  <c r="BN253" i="10"/>
  <c r="BN102" i="10"/>
  <c r="BN29" i="10"/>
  <c r="BN258" i="10"/>
  <c r="BN173" i="10"/>
  <c r="BN128" i="10"/>
  <c r="BN125" i="10"/>
  <c r="BN52" i="10"/>
  <c r="BN32" i="10"/>
  <c r="BN263" i="10"/>
  <c r="BN166" i="10"/>
  <c r="BN121" i="10"/>
  <c r="BN42" i="10"/>
  <c r="BN35" i="10"/>
  <c r="BN181" i="10"/>
  <c r="BN146" i="10"/>
  <c r="BN74" i="10"/>
  <c r="BN57" i="10"/>
  <c r="BN38" i="10"/>
  <c r="BN15" i="10"/>
  <c r="BN50" i="10"/>
  <c r="BN31" i="10"/>
  <c r="BN165" i="10"/>
  <c r="BN87" i="10"/>
  <c r="BN86" i="10"/>
  <c r="BN84" i="10"/>
  <c r="BN67" i="10"/>
  <c r="BN22" i="10"/>
  <c r="BN49" i="10"/>
  <c r="BN44" i="10"/>
  <c r="BN100" i="10"/>
  <c r="BN199" i="10"/>
  <c r="BN143" i="10"/>
  <c r="BN127" i="10"/>
  <c r="BN51" i="10"/>
  <c r="BN101" i="10"/>
  <c r="BN90" i="10"/>
  <c r="BN82" i="10"/>
  <c r="BN231" i="10"/>
  <c r="BN119" i="10"/>
  <c r="BN77" i="10"/>
  <c r="BN41" i="10"/>
  <c r="BN23" i="10"/>
  <c r="BN14" i="10"/>
  <c r="BN251" i="10"/>
  <c r="BN177" i="10"/>
  <c r="BN163" i="10"/>
  <c r="BN129" i="10"/>
  <c r="BN115" i="10"/>
  <c r="BN24" i="10"/>
  <c r="BN207" i="10"/>
  <c r="BN61" i="10"/>
  <c r="R10" i="10"/>
  <c r="BN10" i="10" s="1"/>
  <c r="DJ10" i="10" s="1"/>
  <c r="FF10" i="10" s="1"/>
  <c r="BN63" i="10"/>
  <c r="BN55" i="10"/>
  <c r="BN172" i="10"/>
  <c r="BN153" i="10"/>
  <c r="BN124" i="10"/>
  <c r="BN122" i="10"/>
  <c r="BN46" i="10"/>
  <c r="BN12" i="10"/>
  <c r="BN56" i="10"/>
  <c r="BN116" i="10"/>
  <c r="BN114" i="10"/>
  <c r="BN95" i="10"/>
  <c r="BN11" i="10"/>
  <c r="BN233" i="10"/>
  <c r="BN147" i="10"/>
  <c r="BN142" i="10"/>
  <c r="BN103" i="10"/>
  <c r="BN65" i="10"/>
  <c r="BN17" i="10"/>
  <c r="BN93" i="10"/>
  <c r="BN72" i="10"/>
  <c r="BN36" i="10"/>
  <c r="BN252" i="10"/>
  <c r="BN170" i="10"/>
  <c r="BN104" i="10"/>
  <c r="BN98" i="10"/>
  <c r="BN198" i="10"/>
  <c r="BN161" i="10"/>
  <c r="BN19" i="10"/>
  <c r="BN110" i="10"/>
  <c r="BN45" i="10"/>
  <c r="BN34" i="10"/>
  <c r="BN78" i="10"/>
  <c r="BN241" i="10"/>
  <c r="BN159" i="10"/>
  <c r="BN139" i="10"/>
  <c r="BN97" i="10"/>
  <c r="BN73" i="10"/>
  <c r="BN39" i="10"/>
  <c r="BN30" i="10"/>
  <c r="BN20" i="10"/>
  <c r="BN109" i="10"/>
  <c r="BN28" i="10"/>
  <c r="BN60" i="10"/>
  <c r="BN158" i="10"/>
  <c r="BN201" i="10"/>
  <c r="BN99" i="10"/>
  <c r="BN133" i="10"/>
  <c r="BN111" i="10"/>
  <c r="BN79" i="10"/>
  <c r="BN21" i="10"/>
  <c r="BN94" i="10"/>
  <c r="BN226" i="10"/>
  <c r="BN89" i="10"/>
  <c r="BN16" i="10"/>
  <c r="BN81" i="10"/>
  <c r="BN53" i="10"/>
  <c r="BN120" i="10"/>
  <c r="BN66" i="10"/>
  <c r="BN40" i="10"/>
  <c r="BN37" i="10"/>
  <c r="BN182" i="10"/>
  <c r="BN59" i="10"/>
  <c r="BN13" i="10"/>
  <c r="BN216" i="10"/>
  <c r="BN62" i="10"/>
  <c r="BN25" i="10"/>
  <c r="BN138" i="10"/>
  <c r="BN91" i="10"/>
  <c r="BN33" i="10"/>
  <c r="BN83" i="10"/>
  <c r="BN176" i="10"/>
  <c r="BN71" i="10"/>
  <c r="BN68" i="10"/>
  <c r="BN27" i="10"/>
  <c r="BN206" i="10"/>
  <c r="AP6" i="10"/>
  <c r="AD8" i="10"/>
  <c r="T6" i="10"/>
  <c r="S8" i="10"/>
  <c r="AE6" i="10"/>
  <c r="CH271" i="10"/>
  <c r="CH258" i="10"/>
  <c r="CH268" i="10"/>
  <c r="CH264" i="10"/>
  <c r="CH233" i="10"/>
  <c r="CH201" i="10"/>
  <c r="CH270" i="10"/>
  <c r="CH262" i="10"/>
  <c r="CH253" i="10"/>
  <c r="CH228" i="10"/>
  <c r="CH196" i="10"/>
  <c r="CH223" i="10"/>
  <c r="CH257" i="10"/>
  <c r="CH218" i="10"/>
  <c r="CH243" i="10"/>
  <c r="CH213" i="10"/>
  <c r="CH272" i="10"/>
  <c r="CH237" i="10"/>
  <c r="CH205" i="10"/>
  <c r="CH217" i="10"/>
  <c r="CH224" i="10"/>
  <c r="CH274" i="10"/>
  <c r="CH259" i="10"/>
  <c r="CH229" i="10"/>
  <c r="CH185" i="10"/>
  <c r="CH153" i="10"/>
  <c r="CH269" i="10"/>
  <c r="CH260" i="10"/>
  <c r="CH180" i="10"/>
  <c r="CH206" i="10"/>
  <c r="CH175" i="10"/>
  <c r="CH227" i="10"/>
  <c r="CH214" i="10"/>
  <c r="CH170" i="10"/>
  <c r="CH200" i="10"/>
  <c r="CH165" i="10"/>
  <c r="CH246" i="10"/>
  <c r="CH245" i="10"/>
  <c r="CH222" i="10"/>
  <c r="CH263" i="10"/>
  <c r="CH236" i="10"/>
  <c r="CH235" i="10"/>
  <c r="CH255" i="10"/>
  <c r="CH254" i="10"/>
  <c r="CH192" i="10"/>
  <c r="CH191" i="10"/>
  <c r="CH162" i="10"/>
  <c r="CH151" i="10"/>
  <c r="CH141" i="10"/>
  <c r="CH241" i="10"/>
  <c r="CH219" i="10"/>
  <c r="CH195" i="10"/>
  <c r="CH186" i="10"/>
  <c r="CH167" i="10"/>
  <c r="CH158" i="10"/>
  <c r="CH136" i="10"/>
  <c r="CH208" i="10"/>
  <c r="CH198" i="10"/>
  <c r="CH266" i="10"/>
  <c r="CH194" i="10"/>
  <c r="CH174" i="10"/>
  <c r="CH154" i="10"/>
  <c r="CH126" i="10"/>
  <c r="CH199" i="10"/>
  <c r="CH197" i="10"/>
  <c r="CH184" i="10"/>
  <c r="CH202" i="10"/>
  <c r="CH181" i="10"/>
  <c r="CH140" i="10"/>
  <c r="CH252" i="10"/>
  <c r="CH249" i="10"/>
  <c r="CH265" i="10"/>
  <c r="CH204" i="10"/>
  <c r="CH267" i="10"/>
  <c r="CH240" i="10"/>
  <c r="CH232" i="10"/>
  <c r="CH132" i="10"/>
  <c r="CH92" i="10"/>
  <c r="CH239" i="10"/>
  <c r="CH225" i="10"/>
  <c r="CH216" i="10"/>
  <c r="CH119" i="10"/>
  <c r="CH231" i="10"/>
  <c r="CH137" i="10"/>
  <c r="CH114" i="10"/>
  <c r="CH250" i="10"/>
  <c r="CH182" i="10"/>
  <c r="CH161" i="10"/>
  <c r="CH109" i="10"/>
  <c r="CH207" i="10"/>
  <c r="CH176" i="10"/>
  <c r="CH124" i="10"/>
  <c r="CH104" i="10"/>
  <c r="CH256" i="10"/>
  <c r="CH230" i="10"/>
  <c r="CH166" i="10"/>
  <c r="CH103" i="10"/>
  <c r="CH242" i="10"/>
  <c r="CH152" i="10"/>
  <c r="CH120" i="10"/>
  <c r="CH193" i="10"/>
  <c r="CH189" i="10"/>
  <c r="CH210" i="10"/>
  <c r="CH168" i="10"/>
  <c r="CH159" i="10"/>
  <c r="CH111" i="10"/>
  <c r="CH101" i="10"/>
  <c r="CH54" i="10"/>
  <c r="CH22" i="10"/>
  <c r="CH147" i="10"/>
  <c r="CH90" i="10"/>
  <c r="CH81" i="10"/>
  <c r="CH171" i="10"/>
  <c r="CH76" i="10"/>
  <c r="CH44" i="10"/>
  <c r="CH142" i="10"/>
  <c r="CH71" i="10"/>
  <c r="CH39" i="10"/>
  <c r="CH156" i="10"/>
  <c r="CH110" i="10"/>
  <c r="CH100" i="10"/>
  <c r="CH66" i="10"/>
  <c r="CH251" i="10"/>
  <c r="CH127" i="10"/>
  <c r="CH234" i="10"/>
  <c r="CH129" i="10"/>
  <c r="CH261" i="10"/>
  <c r="CH211" i="10"/>
  <c r="CH179" i="10"/>
  <c r="CH139" i="10"/>
  <c r="CH131" i="10"/>
  <c r="CH105" i="10"/>
  <c r="CH82" i="10"/>
  <c r="CH50" i="10"/>
  <c r="CH221" i="10"/>
  <c r="CH212" i="10"/>
  <c r="CH173" i="10"/>
  <c r="CH55" i="10"/>
  <c r="CH40" i="10"/>
  <c r="CH178" i="10"/>
  <c r="CH19" i="10"/>
  <c r="CH220" i="10"/>
  <c r="CH99" i="10"/>
  <c r="CH86" i="10"/>
  <c r="CH60" i="10"/>
  <c r="CH144" i="10"/>
  <c r="CH67" i="10"/>
  <c r="CH247" i="10"/>
  <c r="CH85" i="10"/>
  <c r="CH84" i="10"/>
  <c r="CH83" i="10"/>
  <c r="CH49" i="10"/>
  <c r="CH30" i="10"/>
  <c r="CH16" i="10"/>
  <c r="CH11" i="10"/>
  <c r="CH177" i="10"/>
  <c r="CH130" i="10"/>
  <c r="CH79" i="10"/>
  <c r="CH78" i="10"/>
  <c r="CH58" i="10"/>
  <c r="CH29" i="10"/>
  <c r="CH18" i="10"/>
  <c r="CH169" i="10"/>
  <c r="CH52" i="10"/>
  <c r="CH42" i="10"/>
  <c r="CH38" i="10"/>
  <c r="CH112" i="10"/>
  <c r="CH63" i="10"/>
  <c r="CH57" i="10"/>
  <c r="CH46" i="10"/>
  <c r="CH244" i="10"/>
  <c r="CH226" i="10"/>
  <c r="CH160" i="10"/>
  <c r="CH150" i="10"/>
  <c r="CH121" i="10"/>
  <c r="CH238" i="10"/>
  <c r="CH134" i="10"/>
  <c r="CH91" i="10"/>
  <c r="CH94" i="10"/>
  <c r="CH143" i="10"/>
  <c r="CH138" i="10"/>
  <c r="CH74" i="10"/>
  <c r="CH148" i="10"/>
  <c r="CH69" i="10"/>
  <c r="CH133" i="10"/>
  <c r="CH97" i="10"/>
  <c r="CH88" i="10"/>
  <c r="CH56" i="10"/>
  <c r="CH36" i="10"/>
  <c r="CH31" i="10"/>
  <c r="CH28" i="10"/>
  <c r="CH15" i="10"/>
  <c r="CH34" i="10"/>
  <c r="CH32" i="10"/>
  <c r="CH26" i="10"/>
  <c r="CH155" i="10"/>
  <c r="CH51" i="10"/>
  <c r="CH25" i="10"/>
  <c r="CH273" i="10"/>
  <c r="CH215" i="10"/>
  <c r="CH164" i="10"/>
  <c r="CH108" i="10"/>
  <c r="CH72" i="10"/>
  <c r="CH41" i="10"/>
  <c r="CH23" i="10"/>
  <c r="CH14" i="10"/>
  <c r="AL10" i="10"/>
  <c r="CH10" i="10" s="1"/>
  <c r="ED10" i="10" s="1"/>
  <c r="FZ10" i="10" s="1"/>
  <c r="CH123" i="10"/>
  <c r="CH93" i="10"/>
  <c r="CH77" i="10"/>
  <c r="CH96" i="10"/>
  <c r="CH113" i="10"/>
  <c r="CH12" i="10"/>
  <c r="CH146" i="10"/>
  <c r="CH95" i="10"/>
  <c r="CH45" i="10"/>
  <c r="CH17" i="10"/>
  <c r="CH145" i="10"/>
  <c r="CH87" i="10"/>
  <c r="CH80" i="10"/>
  <c r="CH172" i="10"/>
  <c r="CH20" i="10"/>
  <c r="CH187" i="10"/>
  <c r="CH48" i="10"/>
  <c r="CH64" i="10"/>
  <c r="CH102" i="10"/>
  <c r="CH68" i="10"/>
  <c r="CH163" i="10"/>
  <c r="CH70" i="10"/>
  <c r="CH149" i="10"/>
  <c r="CH37" i="10"/>
  <c r="CH203" i="10"/>
  <c r="CH248" i="10"/>
  <c r="CH13" i="10"/>
  <c r="CH73" i="10"/>
  <c r="CH118" i="10"/>
  <c r="CH106" i="10"/>
  <c r="CH98" i="10"/>
  <c r="CH53" i="10"/>
  <c r="CH183" i="10"/>
  <c r="CH59" i="10"/>
  <c r="CH43" i="10"/>
  <c r="CH125" i="10"/>
  <c r="CH62" i="10"/>
  <c r="CH157" i="10"/>
  <c r="CH107" i="10"/>
  <c r="CH33" i="10"/>
  <c r="CH65" i="10"/>
  <c r="CH27" i="10"/>
  <c r="CH61" i="10"/>
  <c r="CH75" i="10"/>
  <c r="CH117" i="10"/>
  <c r="CH24" i="10"/>
  <c r="CH190" i="10"/>
  <c r="CH209" i="10"/>
  <c r="CH135" i="10"/>
  <c r="CH122" i="10"/>
  <c r="CH21" i="10"/>
  <c r="CH128" i="10"/>
  <c r="CH115" i="10"/>
  <c r="CH89" i="10"/>
  <c r="CH47" i="10"/>
  <c r="CH188" i="10"/>
  <c r="CH116" i="10"/>
  <c r="CH35" i="10"/>
  <c r="CT262" i="10"/>
  <c r="CT267" i="10"/>
  <c r="CT242" i="10"/>
  <c r="CT263" i="10"/>
  <c r="CT274" i="10"/>
  <c r="CT272" i="10"/>
  <c r="CT256" i="10"/>
  <c r="CT237" i="10"/>
  <c r="CT205" i="10"/>
  <c r="CT232" i="10"/>
  <c r="CT200" i="10"/>
  <c r="CT227" i="10"/>
  <c r="CT260" i="10"/>
  <c r="CT222" i="10"/>
  <c r="CT217" i="10"/>
  <c r="CT209" i="10"/>
  <c r="CT247" i="10"/>
  <c r="CT221" i="10"/>
  <c r="CT269" i="10"/>
  <c r="CT228" i="10"/>
  <c r="CT157" i="10"/>
  <c r="CT223" i="10"/>
  <c r="CT204" i="10"/>
  <c r="CT199" i="10"/>
  <c r="CT184" i="10"/>
  <c r="CT211" i="10"/>
  <c r="CT179" i="10"/>
  <c r="CT245" i="10"/>
  <c r="CT244" i="10"/>
  <c r="CT241" i="10"/>
  <c r="CT174" i="10"/>
  <c r="CT248" i="10"/>
  <c r="CT243" i="10"/>
  <c r="CT239" i="10"/>
  <c r="CT169" i="10"/>
  <c r="CT233" i="10"/>
  <c r="CT188" i="10"/>
  <c r="CT173" i="10"/>
  <c r="CT257" i="10"/>
  <c r="CT271" i="10"/>
  <c r="CT265" i="10"/>
  <c r="CT258" i="10"/>
  <c r="CT266" i="10"/>
  <c r="CT220" i="10"/>
  <c r="CT145" i="10"/>
  <c r="CT153" i="10"/>
  <c r="CT140" i="10"/>
  <c r="CT273" i="10"/>
  <c r="CT268" i="10"/>
  <c r="CT254" i="10"/>
  <c r="CT201" i="10"/>
  <c r="CT182" i="10"/>
  <c r="CT135" i="10"/>
  <c r="CT230" i="10"/>
  <c r="CT181" i="10"/>
  <c r="CT172" i="10"/>
  <c r="CT165" i="10"/>
  <c r="CT130" i="10"/>
  <c r="CT225" i="10"/>
  <c r="CT202" i="10"/>
  <c r="CT252" i="10"/>
  <c r="CT178" i="10"/>
  <c r="CT144" i="10"/>
  <c r="CT218" i="10"/>
  <c r="CT151" i="10"/>
  <c r="CT207" i="10"/>
  <c r="CT261" i="10"/>
  <c r="CT253" i="10"/>
  <c r="CT164" i="10"/>
  <c r="CT163" i="10"/>
  <c r="CT96" i="10"/>
  <c r="CT219" i="10"/>
  <c r="CT177" i="10"/>
  <c r="CT118" i="10"/>
  <c r="CT259" i="10"/>
  <c r="CT212" i="10"/>
  <c r="CT123" i="10"/>
  <c r="CT113" i="10"/>
  <c r="CT183" i="10"/>
  <c r="CT143" i="10"/>
  <c r="CT108" i="10"/>
  <c r="CT125" i="10"/>
  <c r="CT95" i="10"/>
  <c r="CT224" i="10"/>
  <c r="CT213" i="10"/>
  <c r="CT206" i="10"/>
  <c r="CT193" i="10"/>
  <c r="CT185" i="10"/>
  <c r="CT180" i="10"/>
  <c r="CT167" i="10"/>
  <c r="CT155" i="10"/>
  <c r="CT107" i="10"/>
  <c r="CT158" i="10"/>
  <c r="CT148" i="10"/>
  <c r="CT132" i="10"/>
  <c r="CT190" i="10"/>
  <c r="CT186" i="10"/>
  <c r="CT175" i="10"/>
  <c r="CT246" i="10"/>
  <c r="CT194" i="10"/>
  <c r="CT216" i="10"/>
  <c r="CT166" i="10"/>
  <c r="CT58" i="10"/>
  <c r="CT26" i="10"/>
  <c r="CT215" i="10"/>
  <c r="CT137" i="10"/>
  <c r="CT176" i="10"/>
  <c r="CT160" i="10"/>
  <c r="CT124" i="10"/>
  <c r="CT122" i="10"/>
  <c r="CT80" i="10"/>
  <c r="CT48" i="10"/>
  <c r="CT126" i="10"/>
  <c r="CT97" i="10"/>
  <c r="CT75" i="10"/>
  <c r="CT43" i="10"/>
  <c r="CT235" i="10"/>
  <c r="CT229" i="10"/>
  <c r="CT149" i="10"/>
  <c r="CT92" i="10"/>
  <c r="CT85" i="10"/>
  <c r="CT70" i="10"/>
  <c r="CT91" i="10"/>
  <c r="CT170" i="10"/>
  <c r="CT69" i="10"/>
  <c r="CT250" i="10"/>
  <c r="CT112" i="10"/>
  <c r="CT54" i="10"/>
  <c r="CT203" i="10"/>
  <c r="CT192" i="10"/>
  <c r="CT168" i="10"/>
  <c r="CT141" i="10"/>
  <c r="CT159" i="10"/>
  <c r="CT99" i="10"/>
  <c r="CT65" i="10"/>
  <c r="CT270" i="10"/>
  <c r="CT198" i="10"/>
  <c r="CT142" i="10"/>
  <c r="CT115" i="10"/>
  <c r="CT89" i="10"/>
  <c r="CT18" i="10"/>
  <c r="CT53" i="10"/>
  <c r="CT208" i="10"/>
  <c r="CT79" i="10"/>
  <c r="CT29" i="10"/>
  <c r="CT161" i="10"/>
  <c r="CT100" i="10"/>
  <c r="CT32" i="10"/>
  <c r="CT15" i="10"/>
  <c r="CT255" i="10"/>
  <c r="CT28" i="10"/>
  <c r="CT17" i="10"/>
  <c r="CT210" i="10"/>
  <c r="CT150" i="10"/>
  <c r="CT50" i="10"/>
  <c r="CT61" i="10"/>
  <c r="CT55" i="10"/>
  <c r="CT249" i="10"/>
  <c r="CT171" i="10"/>
  <c r="CT162" i="10"/>
  <c r="CT134" i="10"/>
  <c r="CT189" i="10"/>
  <c r="CT251" i="10"/>
  <c r="CT57" i="10"/>
  <c r="CT49" i="10"/>
  <c r="CT133" i="10"/>
  <c r="CT120" i="10"/>
  <c r="CT16" i="10"/>
  <c r="CT33" i="10"/>
  <c r="CT197" i="10"/>
  <c r="CT38" i="10"/>
  <c r="CT31" i="10"/>
  <c r="CT35" i="10"/>
  <c r="CT30" i="10"/>
  <c r="CT27" i="10"/>
  <c r="CT191" i="10"/>
  <c r="CT77" i="10"/>
  <c r="CT72" i="10"/>
  <c r="CT67" i="10"/>
  <c r="CT41" i="10"/>
  <c r="CT22" i="10"/>
  <c r="CT110" i="10"/>
  <c r="CT93" i="10"/>
  <c r="CT52" i="10"/>
  <c r="CT42" i="10"/>
  <c r="CT152" i="10"/>
  <c r="CT20" i="10"/>
  <c r="CT240" i="10"/>
  <c r="CT127" i="10"/>
  <c r="CT121" i="10"/>
  <c r="CT106" i="10"/>
  <c r="CT101" i="10"/>
  <c r="CT90" i="10"/>
  <c r="CT12" i="10"/>
  <c r="CT68" i="10"/>
  <c r="CT44" i="10"/>
  <c r="CT119" i="10"/>
  <c r="CT78" i="10"/>
  <c r="CT73" i="10"/>
  <c r="CT62" i="10"/>
  <c r="CT45" i="10"/>
  <c r="CT231" i="10"/>
  <c r="CT102" i="10"/>
  <c r="CT56" i="10"/>
  <c r="CT71" i="10"/>
  <c r="CT37" i="10"/>
  <c r="CT116" i="10"/>
  <c r="CT23" i="10"/>
  <c r="CT131" i="10"/>
  <c r="CT196" i="10"/>
  <c r="CT109" i="10"/>
  <c r="CT84" i="10"/>
  <c r="CT40" i="10"/>
  <c r="CT21" i="10"/>
  <c r="CT86" i="10"/>
  <c r="CT236" i="10"/>
  <c r="CT24" i="10"/>
  <c r="CT128" i="10"/>
  <c r="CT264" i="10"/>
  <c r="CT76" i="10"/>
  <c r="CT14" i="10"/>
  <c r="CT156" i="10"/>
  <c r="CT117" i="10"/>
  <c r="CT104" i="10"/>
  <c r="CT51" i="10"/>
  <c r="CT47" i="10"/>
  <c r="CT11" i="10"/>
  <c r="CT81" i="10"/>
  <c r="CT46" i="10"/>
  <c r="CT98" i="10"/>
  <c r="CT66" i="10"/>
  <c r="CT34" i="10"/>
  <c r="CT13" i="10"/>
  <c r="CT59" i="10"/>
  <c r="CT103" i="10"/>
  <c r="CT138" i="10"/>
  <c r="CT114" i="10"/>
  <c r="CT88" i="10"/>
  <c r="CT25" i="10"/>
  <c r="CT139" i="10"/>
  <c r="CT36" i="10"/>
  <c r="CT195" i="10"/>
  <c r="CT147" i="10"/>
  <c r="CT83" i="10"/>
  <c r="CT39" i="10"/>
  <c r="CT214" i="10"/>
  <c r="CT87" i="10"/>
  <c r="CT238" i="10"/>
  <c r="CT19" i="10"/>
  <c r="CT146" i="10"/>
  <c r="CT154" i="10"/>
  <c r="CT111" i="10"/>
  <c r="CT64" i="10"/>
  <c r="CT105" i="10"/>
  <c r="AX10" i="10"/>
  <c r="CT10" i="10" s="1"/>
  <c r="EP10" i="10" s="1"/>
  <c r="GL10" i="10" s="1"/>
  <c r="CT234" i="10"/>
  <c r="CT82" i="10"/>
  <c r="CT94" i="10"/>
  <c r="CT129" i="10"/>
  <c r="CT187" i="10"/>
  <c r="CT74" i="10"/>
  <c r="CT226" i="10"/>
  <c r="CT63" i="10"/>
  <c r="CT60" i="10"/>
  <c r="CT136" i="10"/>
  <c r="AC5" i="10"/>
  <c r="AC10" i="10" s="1"/>
  <c r="BY10" i="10" s="1"/>
  <c r="DU10" i="10" s="1"/>
  <c r="FQ10" i="10" s="1"/>
  <c r="AN5" i="10"/>
  <c r="AN10" i="10" s="1"/>
  <c r="CJ10" i="10" s="1"/>
  <c r="EF10" i="10" s="1"/>
  <c r="GB10" i="10" s="1"/>
  <c r="AB7" i="10"/>
  <c r="AY5" i="10"/>
  <c r="AM7" i="10"/>
  <c r="U5" i="10"/>
  <c r="T7" i="10"/>
  <c r="BZ266" i="10" l="1"/>
  <c r="BZ274" i="10"/>
  <c r="BZ246" i="10"/>
  <c r="BZ273" i="10"/>
  <c r="BZ265" i="10"/>
  <c r="BZ264" i="10"/>
  <c r="BZ209" i="10"/>
  <c r="BZ268" i="10"/>
  <c r="BZ267" i="10"/>
  <c r="BZ254" i="10"/>
  <c r="BZ241" i="10"/>
  <c r="BZ236" i="10"/>
  <c r="BZ204" i="10"/>
  <c r="BZ263" i="10"/>
  <c r="BZ258" i="10"/>
  <c r="BZ244" i="10"/>
  <c r="BZ231" i="10"/>
  <c r="BZ247" i="10"/>
  <c r="BZ226" i="10"/>
  <c r="BZ269" i="10"/>
  <c r="BZ250" i="10"/>
  <c r="BZ221" i="10"/>
  <c r="BZ261" i="10"/>
  <c r="BZ213" i="10"/>
  <c r="BZ225" i="10"/>
  <c r="BZ232" i="10"/>
  <c r="BZ257" i="10"/>
  <c r="BZ217" i="10"/>
  <c r="BZ202" i="10"/>
  <c r="BZ161" i="10"/>
  <c r="BZ216" i="10"/>
  <c r="BZ207" i="10"/>
  <c r="BZ188" i="10"/>
  <c r="BZ183" i="10"/>
  <c r="BZ191" i="10"/>
  <c r="BZ178" i="10"/>
  <c r="BZ230" i="10"/>
  <c r="BZ201" i="10"/>
  <c r="BZ194" i="10"/>
  <c r="BZ173" i="10"/>
  <c r="BZ200" i="10"/>
  <c r="BZ224" i="10"/>
  <c r="BZ223" i="10"/>
  <c r="BZ212" i="10"/>
  <c r="BZ196" i="10"/>
  <c r="BZ177" i="10"/>
  <c r="BZ249" i="10"/>
  <c r="BZ253" i="10"/>
  <c r="BZ252" i="10"/>
  <c r="BZ251" i="10"/>
  <c r="BZ239" i="10"/>
  <c r="BZ238" i="10"/>
  <c r="BZ220" i="10"/>
  <c r="BZ210" i="10"/>
  <c r="BZ184" i="10"/>
  <c r="BZ271" i="10"/>
  <c r="BZ169" i="10"/>
  <c r="BZ149" i="10"/>
  <c r="BZ218" i="10"/>
  <c r="BZ155" i="10"/>
  <c r="BZ144" i="10"/>
  <c r="BZ237" i="10"/>
  <c r="BZ168" i="10"/>
  <c r="BZ139" i="10"/>
  <c r="BZ134" i="10"/>
  <c r="BZ256" i="10"/>
  <c r="BZ233" i="10"/>
  <c r="BZ189" i="10"/>
  <c r="BZ270" i="10"/>
  <c r="BZ245" i="10"/>
  <c r="BZ234" i="10"/>
  <c r="BZ215" i="10"/>
  <c r="BZ148" i="10"/>
  <c r="BZ172" i="10"/>
  <c r="BZ211" i="10"/>
  <c r="BZ255" i="10"/>
  <c r="BZ243" i="10"/>
  <c r="BZ222" i="10"/>
  <c r="BZ175" i="10"/>
  <c r="BZ158" i="10"/>
  <c r="BZ156" i="10"/>
  <c r="BZ100" i="10"/>
  <c r="BZ157" i="10"/>
  <c r="BZ125" i="10"/>
  <c r="BZ95" i="10"/>
  <c r="BZ272" i="10"/>
  <c r="BZ248" i="10"/>
  <c r="BZ186" i="10"/>
  <c r="BZ122" i="10"/>
  <c r="BZ229" i="10"/>
  <c r="BZ198" i="10"/>
  <c r="BZ138" i="10"/>
  <c r="BZ117" i="10"/>
  <c r="BZ262" i="10"/>
  <c r="BZ235" i="10"/>
  <c r="BZ227" i="10"/>
  <c r="BZ181" i="10"/>
  <c r="BZ112" i="10"/>
  <c r="BZ131" i="10"/>
  <c r="BZ99" i="10"/>
  <c r="BZ192" i="10"/>
  <c r="BZ164" i="10"/>
  <c r="BZ111" i="10"/>
  <c r="BZ240" i="10"/>
  <c r="BZ242" i="10"/>
  <c r="BZ203" i="10"/>
  <c r="BZ193" i="10"/>
  <c r="BZ62" i="10"/>
  <c r="BZ30" i="10"/>
  <c r="BZ133" i="10"/>
  <c r="BZ113" i="10"/>
  <c r="BZ103" i="10"/>
  <c r="BZ205" i="10"/>
  <c r="BZ182" i="10"/>
  <c r="BZ141" i="10"/>
  <c r="BZ102" i="10"/>
  <c r="BZ87" i="10"/>
  <c r="BZ84" i="10"/>
  <c r="BZ52" i="10"/>
  <c r="BZ159" i="10"/>
  <c r="BZ79" i="10"/>
  <c r="BZ47" i="10"/>
  <c r="BZ147" i="10"/>
  <c r="BZ74" i="10"/>
  <c r="BZ143" i="10"/>
  <c r="BZ109" i="10"/>
  <c r="BZ86" i="10"/>
  <c r="BZ61" i="10"/>
  <c r="BZ195" i="10"/>
  <c r="BZ126" i="10"/>
  <c r="BZ108" i="10"/>
  <c r="BZ98" i="10"/>
  <c r="BZ73" i="10"/>
  <c r="BZ167" i="10"/>
  <c r="BZ127" i="10"/>
  <c r="BZ58" i="10"/>
  <c r="BZ179" i="10"/>
  <c r="BZ150" i="10"/>
  <c r="BZ129" i="10"/>
  <c r="BZ120" i="10"/>
  <c r="BZ119" i="10"/>
  <c r="BZ140" i="10"/>
  <c r="BZ72" i="10"/>
  <c r="BZ71" i="10"/>
  <c r="BZ56" i="10"/>
  <c r="BZ41" i="10"/>
  <c r="BZ17" i="10"/>
  <c r="BZ31" i="10"/>
  <c r="BZ28" i="10"/>
  <c r="BZ146" i="10"/>
  <c r="BZ70" i="10"/>
  <c r="BZ69" i="10"/>
  <c r="BZ34" i="10"/>
  <c r="BZ118" i="10"/>
  <c r="BZ45" i="10"/>
  <c r="BZ37" i="10"/>
  <c r="BZ25" i="10"/>
  <c r="BZ219" i="10"/>
  <c r="BZ90" i="10"/>
  <c r="BZ66" i="10"/>
  <c r="BZ59" i="10"/>
  <c r="BZ33" i="10"/>
  <c r="BZ65" i="10"/>
  <c r="BZ53" i="10"/>
  <c r="BZ174" i="10"/>
  <c r="BZ145" i="10"/>
  <c r="BZ78" i="10"/>
  <c r="BZ259" i="10"/>
  <c r="BZ163" i="10"/>
  <c r="BZ44" i="10"/>
  <c r="BZ180" i="10"/>
  <c r="BZ154" i="10"/>
  <c r="BZ151" i="10"/>
  <c r="BZ115" i="10"/>
  <c r="BZ104" i="10"/>
  <c r="BZ83" i="10"/>
  <c r="BZ54" i="10"/>
  <c r="BZ19" i="10"/>
  <c r="BZ166" i="10"/>
  <c r="BZ94" i="10"/>
  <c r="BZ197" i="10"/>
  <c r="BZ20" i="10"/>
  <c r="BZ128" i="10"/>
  <c r="BZ75" i="10"/>
  <c r="BZ187" i="10"/>
  <c r="BZ92" i="10"/>
  <c r="BZ80" i="10"/>
  <c r="BZ48" i="10"/>
  <c r="BZ32" i="10"/>
  <c r="BZ171" i="10"/>
  <c r="BZ89" i="10"/>
  <c r="BZ76" i="10"/>
  <c r="BZ27" i="10"/>
  <c r="BZ81" i="10"/>
  <c r="BZ50" i="10"/>
  <c r="BZ36" i="10"/>
  <c r="BZ132" i="10"/>
  <c r="BZ110" i="10"/>
  <c r="BZ39" i="10"/>
  <c r="BZ35" i="10"/>
  <c r="BZ26" i="10"/>
  <c r="BZ15" i="10"/>
  <c r="BZ152" i="10"/>
  <c r="BZ38" i="10"/>
  <c r="BZ199" i="10"/>
  <c r="BZ185" i="10"/>
  <c r="BZ160" i="10"/>
  <c r="BZ13" i="10"/>
  <c r="BZ260" i="10"/>
  <c r="BZ85" i="10"/>
  <c r="BZ63" i="10"/>
  <c r="BZ57" i="10"/>
  <c r="BZ22" i="10"/>
  <c r="BZ14" i="10"/>
  <c r="BZ208" i="10"/>
  <c r="BZ51" i="10"/>
  <c r="BZ49" i="10"/>
  <c r="BZ136" i="10"/>
  <c r="BZ67" i="10"/>
  <c r="BZ11" i="10"/>
  <c r="BZ43" i="10"/>
  <c r="BZ206" i="10"/>
  <c r="BZ135" i="10"/>
  <c r="BZ116" i="10"/>
  <c r="BZ228" i="10"/>
  <c r="BZ12" i="10"/>
  <c r="BZ130" i="10"/>
  <c r="BZ60" i="10"/>
  <c r="BZ18" i="10"/>
  <c r="BZ68" i="10"/>
  <c r="BZ40" i="10"/>
  <c r="BZ176" i="10"/>
  <c r="BZ105" i="10"/>
  <c r="BZ96" i="10"/>
  <c r="BZ24" i="10"/>
  <c r="BZ137" i="10"/>
  <c r="BZ16" i="10"/>
  <c r="BZ170" i="10"/>
  <c r="BZ23" i="10"/>
  <c r="BZ55" i="10"/>
  <c r="BZ121" i="10"/>
  <c r="BZ142" i="10"/>
  <c r="BZ124" i="10"/>
  <c r="BZ93" i="10"/>
  <c r="BZ46" i="10"/>
  <c r="BZ114" i="10"/>
  <c r="BZ77" i="10"/>
  <c r="BZ97" i="10"/>
  <c r="BZ88" i="10"/>
  <c r="BZ107" i="10"/>
  <c r="BZ214" i="10"/>
  <c r="BZ101" i="10"/>
  <c r="BZ91" i="10"/>
  <c r="BZ42" i="10"/>
  <c r="BZ106" i="10"/>
  <c r="BZ165" i="10"/>
  <c r="BZ123" i="10"/>
  <c r="BZ64" i="10"/>
  <c r="BZ190" i="10"/>
  <c r="BZ153" i="10"/>
  <c r="BZ82" i="10"/>
  <c r="BZ21" i="10"/>
  <c r="BZ29" i="10"/>
  <c r="BZ162" i="10"/>
  <c r="BO270" i="10"/>
  <c r="BO257" i="10"/>
  <c r="BO268" i="10"/>
  <c r="BO273" i="10"/>
  <c r="BO242" i="10"/>
  <c r="BO232" i="10"/>
  <c r="BO200" i="10"/>
  <c r="BO227" i="10"/>
  <c r="BO195" i="10"/>
  <c r="BO245" i="10"/>
  <c r="BO222" i="10"/>
  <c r="BO255" i="10"/>
  <c r="BO248" i="10"/>
  <c r="BO217" i="10"/>
  <c r="BO274" i="10"/>
  <c r="BO259" i="10"/>
  <c r="BO251" i="10"/>
  <c r="BO212" i="10"/>
  <c r="BO258" i="10"/>
  <c r="BO241" i="10"/>
  <c r="BO236" i="10"/>
  <c r="BO204" i="10"/>
  <c r="BO216" i="10"/>
  <c r="BO271" i="10"/>
  <c r="BO261" i="10"/>
  <c r="BO223" i="10"/>
  <c r="BO220" i="10"/>
  <c r="BO210" i="10"/>
  <c r="BO184" i="10"/>
  <c r="BO152" i="10"/>
  <c r="BO219" i="10"/>
  <c r="BO209" i="10"/>
  <c r="BO179" i="10"/>
  <c r="BO237" i="10"/>
  <c r="BO189" i="10"/>
  <c r="BO174" i="10"/>
  <c r="BO203" i="10"/>
  <c r="BO192" i="10"/>
  <c r="BO169" i="10"/>
  <c r="BO235" i="10"/>
  <c r="BO234" i="10"/>
  <c r="BO164" i="10"/>
  <c r="BO228" i="10"/>
  <c r="BO215" i="10"/>
  <c r="BO206" i="10"/>
  <c r="BO197" i="10"/>
  <c r="BO267" i="10"/>
  <c r="BO262" i="10"/>
  <c r="BO213" i="10"/>
  <c r="BO140" i="10"/>
  <c r="BO240" i="10"/>
  <c r="BO160" i="10"/>
  <c r="BO135" i="10"/>
  <c r="BO156" i="10"/>
  <c r="BO125" i="10"/>
  <c r="BO170" i="10"/>
  <c r="BO191" i="10"/>
  <c r="BO139" i="10"/>
  <c r="BO254" i="10"/>
  <c r="BO238" i="10"/>
  <c r="BO185" i="10"/>
  <c r="BO158" i="10"/>
  <c r="BO151" i="10"/>
  <c r="BO230" i="10"/>
  <c r="BO272" i="10"/>
  <c r="BO239" i="10"/>
  <c r="BO202" i="10"/>
  <c r="BO265" i="10"/>
  <c r="BO260" i="10"/>
  <c r="BO193" i="10"/>
  <c r="BO91" i="10"/>
  <c r="BO246" i="10"/>
  <c r="BO141" i="10"/>
  <c r="BO134" i="10"/>
  <c r="BO123" i="10"/>
  <c r="BO118" i="10"/>
  <c r="BO211" i="10"/>
  <c r="BO126" i="10"/>
  <c r="BO113" i="10"/>
  <c r="BO167" i="10"/>
  <c r="BO154" i="10"/>
  <c r="BO108" i="10"/>
  <c r="BO153" i="10"/>
  <c r="BO103" i="10"/>
  <c r="BO252" i="10"/>
  <c r="BO221" i="10"/>
  <c r="BO176" i="10"/>
  <c r="BO147" i="10"/>
  <c r="BO122" i="10"/>
  <c r="BO247" i="10"/>
  <c r="BO182" i="10"/>
  <c r="BO146" i="10"/>
  <c r="BO128" i="10"/>
  <c r="BO102" i="10"/>
  <c r="BO256" i="10"/>
  <c r="BO183" i="10"/>
  <c r="BO177" i="10"/>
  <c r="BO163" i="10"/>
  <c r="BO119" i="10"/>
  <c r="BO249" i="10"/>
  <c r="BO188" i="10"/>
  <c r="BO208" i="10"/>
  <c r="BO178" i="10"/>
  <c r="BO266" i="10"/>
  <c r="BO269" i="10"/>
  <c r="BO264" i="10"/>
  <c r="BO92" i="10"/>
  <c r="BO53" i="10"/>
  <c r="BO21" i="10"/>
  <c r="BO190" i="10"/>
  <c r="BO186" i="10"/>
  <c r="BO145" i="10"/>
  <c r="BO130" i="10"/>
  <c r="BO106" i="10"/>
  <c r="BO85" i="10"/>
  <c r="BO80" i="10"/>
  <c r="BO224" i="10"/>
  <c r="BO131" i="10"/>
  <c r="BO117" i="10"/>
  <c r="BO105" i="10"/>
  <c r="BO88" i="10"/>
  <c r="BO75" i="10"/>
  <c r="BO43" i="10"/>
  <c r="BO194" i="10"/>
  <c r="BO168" i="10"/>
  <c r="BO155" i="10"/>
  <c r="BO132" i="10"/>
  <c r="BO70" i="10"/>
  <c r="BO38" i="10"/>
  <c r="BO173" i="10"/>
  <c r="BO96" i="10"/>
  <c r="BO65" i="10"/>
  <c r="BO87" i="10"/>
  <c r="BO84" i="10"/>
  <c r="BO244" i="10"/>
  <c r="BO148" i="10"/>
  <c r="BO111" i="10"/>
  <c r="BO101" i="10"/>
  <c r="BO94" i="10"/>
  <c r="BO90" i="10"/>
  <c r="BO231" i="10"/>
  <c r="BO137" i="10"/>
  <c r="BO81" i="10"/>
  <c r="BO49" i="10"/>
  <c r="BO143" i="10"/>
  <c r="BO253" i="10"/>
  <c r="BO233" i="10"/>
  <c r="BO29" i="10"/>
  <c r="BO243" i="10"/>
  <c r="BO52" i="10"/>
  <c r="BO32" i="10"/>
  <c r="BO263" i="10"/>
  <c r="BO229" i="10"/>
  <c r="BO225" i="10"/>
  <c r="BO205" i="10"/>
  <c r="BO166" i="10"/>
  <c r="BO121" i="10"/>
  <c r="BO42" i="10"/>
  <c r="BO35" i="10"/>
  <c r="BO181" i="10"/>
  <c r="BO74" i="10"/>
  <c r="BO57" i="10"/>
  <c r="BO26" i="10"/>
  <c r="BO15" i="10"/>
  <c r="BO198" i="10"/>
  <c r="BO61" i="10"/>
  <c r="BO34" i="10"/>
  <c r="BO172" i="10"/>
  <c r="BO218" i="10"/>
  <c r="BO83" i="10"/>
  <c r="BO82" i="10"/>
  <c r="BO127" i="10"/>
  <c r="BO187" i="10"/>
  <c r="BO171" i="10"/>
  <c r="BO136" i="10"/>
  <c r="BO107" i="10"/>
  <c r="BO22" i="10"/>
  <c r="BO77" i="10"/>
  <c r="BO41" i="10"/>
  <c r="BO23" i="10"/>
  <c r="BO14" i="10"/>
  <c r="BO99" i="10"/>
  <c r="BO129" i="10"/>
  <c r="BO115" i="10"/>
  <c r="BO24" i="10"/>
  <c r="BO207" i="10"/>
  <c r="BO157" i="10"/>
  <c r="BO73" i="10"/>
  <c r="S10" i="10"/>
  <c r="BO10" i="10" s="1"/>
  <c r="DK10" i="10" s="1"/>
  <c r="FG10" i="10" s="1"/>
  <c r="BO104" i="10"/>
  <c r="BO196" i="10"/>
  <c r="BO124" i="10"/>
  <c r="BO46" i="10"/>
  <c r="BO12" i="10"/>
  <c r="BO162" i="10"/>
  <c r="BO79" i="10"/>
  <c r="BO175" i="10"/>
  <c r="BO116" i="10"/>
  <c r="BO114" i="10"/>
  <c r="BO150" i="10"/>
  <c r="BO64" i="10"/>
  <c r="BO47" i="10"/>
  <c r="BO95" i="10"/>
  <c r="BO18" i="10"/>
  <c r="BO11" i="10"/>
  <c r="BO142" i="10"/>
  <c r="BO17" i="10"/>
  <c r="BO98" i="10"/>
  <c r="BO48" i="10"/>
  <c r="BO60" i="10"/>
  <c r="BO40" i="10"/>
  <c r="BO39" i="10"/>
  <c r="BO25" i="10"/>
  <c r="BO161" i="10"/>
  <c r="BO19" i="10"/>
  <c r="BO110" i="10"/>
  <c r="BO36" i="10"/>
  <c r="BO59" i="10"/>
  <c r="BO55" i="10"/>
  <c r="BO27" i="10"/>
  <c r="BO180" i="10"/>
  <c r="BO120" i="10"/>
  <c r="BO71" i="10"/>
  <c r="BO69" i="10"/>
  <c r="BO165" i="10"/>
  <c r="BO109" i="10"/>
  <c r="BO100" i="10"/>
  <c r="BO144" i="10"/>
  <c r="BO89" i="10"/>
  <c r="BO62" i="10"/>
  <c r="BO250" i="10"/>
  <c r="BO138" i="10"/>
  <c r="BO54" i="10"/>
  <c r="BO50" i="10"/>
  <c r="BO201" i="10"/>
  <c r="BO226" i="10"/>
  <c r="BO214" i="10"/>
  <c r="BO16" i="10"/>
  <c r="BO63" i="10"/>
  <c r="BO37" i="10"/>
  <c r="BO149" i="10"/>
  <c r="BO159" i="10"/>
  <c r="BO93" i="10"/>
  <c r="BO133" i="10"/>
  <c r="BO66" i="10"/>
  <c r="BO199" i="10"/>
  <c r="BO56" i="10"/>
  <c r="BO28" i="10"/>
  <c r="BO97" i="10"/>
  <c r="BO31" i="10"/>
  <c r="BO13" i="10"/>
  <c r="BO20" i="10"/>
  <c r="BO76" i="10"/>
  <c r="BO112" i="10"/>
  <c r="BO72" i="10"/>
  <c r="BO33" i="10"/>
  <c r="BO30" i="10"/>
  <c r="BO68" i="10"/>
  <c r="BO45" i="10"/>
  <c r="BO58" i="10"/>
  <c r="BO86" i="10"/>
  <c r="BO78" i="10"/>
  <c r="BO44" i="10"/>
  <c r="BO67" i="10"/>
  <c r="BO51" i="10"/>
  <c r="AY7" i="10"/>
  <c r="AY10" i="10"/>
  <c r="CU10" i="10" s="1"/>
  <c r="EQ10" i="10" s="1"/>
  <c r="GM10" i="10" s="1"/>
  <c r="AQ6" i="10"/>
  <c r="AE8" i="10"/>
  <c r="U6" i="10"/>
  <c r="T8" i="10"/>
  <c r="AF6" i="10"/>
  <c r="CK243" i="10"/>
  <c r="CK260" i="10"/>
  <c r="CK273" i="10"/>
  <c r="CK255" i="10"/>
  <c r="CK264" i="10"/>
  <c r="CK257" i="10"/>
  <c r="CK218" i="10"/>
  <c r="CK213" i="10"/>
  <c r="CK240" i="10"/>
  <c r="CK208" i="10"/>
  <c r="CK246" i="10"/>
  <c r="CK235" i="10"/>
  <c r="CK203" i="10"/>
  <c r="CK249" i="10"/>
  <c r="CK230" i="10"/>
  <c r="CK245" i="10"/>
  <c r="CK222" i="10"/>
  <c r="CK251" i="10"/>
  <c r="CK234" i="10"/>
  <c r="CK214" i="10"/>
  <c r="CK170" i="10"/>
  <c r="CK228" i="10"/>
  <c r="CK227" i="10"/>
  <c r="CK200" i="10"/>
  <c r="CK165" i="10"/>
  <c r="CK160" i="10"/>
  <c r="CK266" i="10"/>
  <c r="CK261" i="10"/>
  <c r="CK226" i="10"/>
  <c r="CK225" i="10"/>
  <c r="CK205" i="10"/>
  <c r="CK190" i="10"/>
  <c r="CK187" i="10"/>
  <c r="CK155" i="10"/>
  <c r="CK272" i="10"/>
  <c r="CK193" i="10"/>
  <c r="CK182" i="10"/>
  <c r="CK270" i="10"/>
  <c r="CK252" i="10"/>
  <c r="CK250" i="10"/>
  <c r="CK248" i="10"/>
  <c r="CK239" i="10"/>
  <c r="CK221" i="10"/>
  <c r="CK220" i="10"/>
  <c r="CK210" i="10"/>
  <c r="CK174" i="10"/>
  <c r="CK219" i="10"/>
  <c r="CK209" i="10"/>
  <c r="CK195" i="10"/>
  <c r="CK186" i="10"/>
  <c r="CK268" i="10"/>
  <c r="CK202" i="10"/>
  <c r="CK271" i="10"/>
  <c r="CK194" i="10"/>
  <c r="CK175" i="10"/>
  <c r="CK154" i="10"/>
  <c r="CK126" i="10"/>
  <c r="CK259" i="10"/>
  <c r="CK197" i="10"/>
  <c r="CK229" i="10"/>
  <c r="CK199" i="10"/>
  <c r="CK185" i="10"/>
  <c r="CK184" i="10"/>
  <c r="CK148" i="10"/>
  <c r="CK143" i="10"/>
  <c r="CK166" i="10"/>
  <c r="CK138" i="10"/>
  <c r="CK171" i="10"/>
  <c r="CK179" i="10"/>
  <c r="CK267" i="10"/>
  <c r="CK263" i="10"/>
  <c r="CK236" i="10"/>
  <c r="CK159" i="10"/>
  <c r="CK212" i="10"/>
  <c r="CK258" i="10"/>
  <c r="CK274" i="10"/>
  <c r="CK269" i="10"/>
  <c r="CK265" i="10"/>
  <c r="CK233" i="10"/>
  <c r="CK231" i="10"/>
  <c r="CK161" i="10"/>
  <c r="CK109" i="10"/>
  <c r="CK207" i="10"/>
  <c r="CK176" i="10"/>
  <c r="CK124" i="10"/>
  <c r="CK104" i="10"/>
  <c r="CK146" i="10"/>
  <c r="CK99" i="10"/>
  <c r="CK241" i="10"/>
  <c r="CK145" i="10"/>
  <c r="CK94" i="10"/>
  <c r="CK223" i="10"/>
  <c r="CK162" i="10"/>
  <c r="CK121" i="10"/>
  <c r="CK89" i="10"/>
  <c r="CK192" i="10"/>
  <c r="CK142" i="10"/>
  <c r="CK108" i="10"/>
  <c r="CK120" i="10"/>
  <c r="CK189" i="10"/>
  <c r="CK153" i="10"/>
  <c r="CK151" i="10"/>
  <c r="CK133" i="10"/>
  <c r="CK129" i="10"/>
  <c r="CK244" i="10"/>
  <c r="CK206" i="10"/>
  <c r="CK256" i="10"/>
  <c r="CK242" i="10"/>
  <c r="CK198" i="10"/>
  <c r="CK71" i="10"/>
  <c r="CK39" i="10"/>
  <c r="CK180" i="10"/>
  <c r="CK110" i="10"/>
  <c r="CK100" i="10"/>
  <c r="CK156" i="10"/>
  <c r="CK86" i="10"/>
  <c r="CK61" i="10"/>
  <c r="CK136" i="10"/>
  <c r="CK56" i="10"/>
  <c r="CK215" i="10"/>
  <c r="CK178" i="10"/>
  <c r="CK163" i="10"/>
  <c r="CK93" i="10"/>
  <c r="CK83" i="10"/>
  <c r="CK51" i="10"/>
  <c r="CK164" i="10"/>
  <c r="CK128" i="10"/>
  <c r="CK106" i="10"/>
  <c r="CK92" i="10"/>
  <c r="CK85" i="10"/>
  <c r="CK70" i="10"/>
  <c r="CK139" i="10"/>
  <c r="CK105" i="10"/>
  <c r="CK82" i="10"/>
  <c r="CK91" i="10"/>
  <c r="CK67" i="10"/>
  <c r="CK140" i="10"/>
  <c r="CK224" i="10"/>
  <c r="CK114" i="10"/>
  <c r="CK144" i="10"/>
  <c r="CK84" i="10"/>
  <c r="CK44" i="10"/>
  <c r="CK30" i="10"/>
  <c r="CK16" i="10"/>
  <c r="CK11" i="10"/>
  <c r="CK168" i="10"/>
  <c r="CK157" i="10"/>
  <c r="CK137" i="10"/>
  <c r="CK49" i="10"/>
  <c r="CK33" i="10"/>
  <c r="CK27" i="10"/>
  <c r="CK247" i="10"/>
  <c r="CK88" i="10"/>
  <c r="CK87" i="10"/>
  <c r="CK36" i="10"/>
  <c r="CK183" i="10"/>
  <c r="CK132" i="10"/>
  <c r="CK123" i="10"/>
  <c r="CK54" i="10"/>
  <c r="CK24" i="10"/>
  <c r="CK191" i="10"/>
  <c r="CK167" i="10"/>
  <c r="CK147" i="10"/>
  <c r="CK116" i="10"/>
  <c r="CK77" i="10"/>
  <c r="CK47" i="10"/>
  <c r="CK32" i="10"/>
  <c r="CK26" i="10"/>
  <c r="CK15" i="10"/>
  <c r="CK152" i="10"/>
  <c r="CK150" i="10"/>
  <c r="CK254" i="10"/>
  <c r="CK158" i="10"/>
  <c r="CK125" i="10"/>
  <c r="CK117" i="10"/>
  <c r="CK102" i="10"/>
  <c r="CK173" i="10"/>
  <c r="CK118" i="10"/>
  <c r="CK74" i="10"/>
  <c r="CK69" i="10"/>
  <c r="CK18" i="10"/>
  <c r="CK237" i="10"/>
  <c r="CK169" i="10"/>
  <c r="CK79" i="10"/>
  <c r="CK55" i="10"/>
  <c r="CK48" i="10"/>
  <c r="CK97" i="10"/>
  <c r="CK17" i="10"/>
  <c r="CK64" i="10"/>
  <c r="CK130" i="10"/>
  <c r="CK59" i="10"/>
  <c r="CK38" i="10"/>
  <c r="CK216" i="10"/>
  <c r="CK98" i="10"/>
  <c r="CK37" i="10"/>
  <c r="CK72" i="10"/>
  <c r="CK40" i="10"/>
  <c r="CK23" i="10"/>
  <c r="CK60" i="10"/>
  <c r="CK262" i="10"/>
  <c r="CK204" i="10"/>
  <c r="CK13" i="10"/>
  <c r="CK149" i="10"/>
  <c r="CK96" i="10"/>
  <c r="CK52" i="10"/>
  <c r="CK42" i="10"/>
  <c r="CK21" i="10"/>
  <c r="CK101" i="10"/>
  <c r="CK43" i="10"/>
  <c r="CK22" i="10"/>
  <c r="CK181" i="10"/>
  <c r="CK111" i="10"/>
  <c r="CK131" i="10"/>
  <c r="CK141" i="10"/>
  <c r="CK127" i="10"/>
  <c r="CK41" i="10"/>
  <c r="CK80" i="10"/>
  <c r="CK25" i="10"/>
  <c r="CK188" i="10"/>
  <c r="CK113" i="10"/>
  <c r="CK20" i="10"/>
  <c r="CK172" i="10"/>
  <c r="CK135" i="10"/>
  <c r="CK73" i="10"/>
  <c r="CK217" i="10"/>
  <c r="CK196" i="10"/>
  <c r="CK119" i="10"/>
  <c r="CK12" i="10"/>
  <c r="CK134" i="10"/>
  <c r="CK122" i="10"/>
  <c r="CK112" i="10"/>
  <c r="CK50" i="10"/>
  <c r="CK115" i="10"/>
  <c r="CK66" i="10"/>
  <c r="CK46" i="10"/>
  <c r="CK177" i="10"/>
  <c r="CK31" i="10"/>
  <c r="CK211" i="10"/>
  <c r="CK90" i="10"/>
  <c r="CK57" i="10"/>
  <c r="CK53" i="10"/>
  <c r="CK19" i="10"/>
  <c r="CK81" i="10"/>
  <c r="CK63" i="10"/>
  <c r="CK253" i="10"/>
  <c r="CK201" i="10"/>
  <c r="CK103" i="10"/>
  <c r="CK28" i="10"/>
  <c r="CK34" i="10"/>
  <c r="CK62" i="10"/>
  <c r="CK238" i="10"/>
  <c r="CK107" i="10"/>
  <c r="CK65" i="10"/>
  <c r="CK76" i="10"/>
  <c r="CK58" i="10"/>
  <c r="CK68" i="10"/>
  <c r="CK75" i="10"/>
  <c r="CK45" i="10"/>
  <c r="CK14" i="10"/>
  <c r="CK35" i="10"/>
  <c r="CK95" i="10"/>
  <c r="CK78" i="10"/>
  <c r="AO10" i="10"/>
  <c r="CK10" i="10" s="1"/>
  <c r="EG10" i="10" s="1"/>
  <c r="GC10" i="10" s="1"/>
  <c r="CK232" i="10"/>
  <c r="CK29" i="10"/>
  <c r="BB6" i="10"/>
  <c r="BB8" i="10" s="1"/>
  <c r="AP8" i="10"/>
  <c r="CW247" i="10"/>
  <c r="CW264" i="10"/>
  <c r="CW272" i="10"/>
  <c r="CW259" i="10"/>
  <c r="CW274" i="10"/>
  <c r="CW273" i="10"/>
  <c r="CW271" i="10"/>
  <c r="CW269" i="10"/>
  <c r="CW260" i="10"/>
  <c r="CW242" i="10"/>
  <c r="CW222" i="10"/>
  <c r="CW190" i="10"/>
  <c r="CW217" i="10"/>
  <c r="CW245" i="10"/>
  <c r="CW212" i="10"/>
  <c r="CW248" i="10"/>
  <c r="CW239" i="10"/>
  <c r="CW207" i="10"/>
  <c r="CW251" i="10"/>
  <c r="CW234" i="10"/>
  <c r="CW226" i="10"/>
  <c r="CW268" i="10"/>
  <c r="CW267" i="10"/>
  <c r="CW238" i="10"/>
  <c r="CW262" i="10"/>
  <c r="CW211" i="10"/>
  <c r="CW174" i="10"/>
  <c r="CW244" i="10"/>
  <c r="CW243" i="10"/>
  <c r="CW241" i="10"/>
  <c r="CW169" i="10"/>
  <c r="CW246" i="10"/>
  <c r="CW240" i="10"/>
  <c r="CW221" i="10"/>
  <c r="CW189" i="10"/>
  <c r="CW164" i="10"/>
  <c r="CW249" i="10"/>
  <c r="CW192" i="10"/>
  <c r="CW159" i="10"/>
  <c r="CW250" i="10"/>
  <c r="CW186" i="10"/>
  <c r="CW154" i="10"/>
  <c r="CW178" i="10"/>
  <c r="CW256" i="10"/>
  <c r="CW216" i="10"/>
  <c r="CW197" i="10"/>
  <c r="CW215" i="10"/>
  <c r="CW254" i="10"/>
  <c r="CW181" i="10"/>
  <c r="CW172" i="10"/>
  <c r="CW165" i="10"/>
  <c r="CW130" i="10"/>
  <c r="CW230" i="10"/>
  <c r="CW225" i="10"/>
  <c r="CW125" i="10"/>
  <c r="CW202" i="10"/>
  <c r="CW171" i="10"/>
  <c r="CW160" i="10"/>
  <c r="CW156" i="10"/>
  <c r="CW147" i="10"/>
  <c r="CW180" i="10"/>
  <c r="CW142" i="10"/>
  <c r="CW236" i="10"/>
  <c r="CW155" i="10"/>
  <c r="CW206" i="10"/>
  <c r="CW151" i="10"/>
  <c r="CW141" i="10"/>
  <c r="CW261" i="10"/>
  <c r="CW223" i="10"/>
  <c r="CW188" i="10"/>
  <c r="CW187" i="10"/>
  <c r="CW175" i="10"/>
  <c r="CW237" i="10"/>
  <c r="CW233" i="10"/>
  <c r="CW219" i="10"/>
  <c r="CW213" i="10"/>
  <c r="CW177" i="10"/>
  <c r="CW123" i="10"/>
  <c r="CW113" i="10"/>
  <c r="CW143" i="10"/>
  <c r="CW135" i="10"/>
  <c r="CW108" i="10"/>
  <c r="CW252" i="10"/>
  <c r="CW199" i="10"/>
  <c r="CW183" i="10"/>
  <c r="CW103" i="10"/>
  <c r="CW210" i="10"/>
  <c r="CW134" i="10"/>
  <c r="CW126" i="10"/>
  <c r="CW98" i="10"/>
  <c r="CW93" i="10"/>
  <c r="CW228" i="10"/>
  <c r="CW200" i="10"/>
  <c r="CW153" i="10"/>
  <c r="CW149" i="10"/>
  <c r="CW139" i="10"/>
  <c r="CW112" i="10"/>
  <c r="CW263" i="10"/>
  <c r="CW220" i="10"/>
  <c r="CW168" i="10"/>
  <c r="CW148" i="10"/>
  <c r="CW132" i="10"/>
  <c r="CW253" i="10"/>
  <c r="CW218" i="10"/>
  <c r="CW137" i="10"/>
  <c r="CW209" i="10"/>
  <c r="CW201" i="10"/>
  <c r="CW198" i="10"/>
  <c r="CW176" i="10"/>
  <c r="CW163" i="10"/>
  <c r="CW122" i="10"/>
  <c r="CW75" i="10"/>
  <c r="CW43" i="10"/>
  <c r="CW107" i="10"/>
  <c r="CW97" i="10"/>
  <c r="CW92" i="10"/>
  <c r="CW85" i="10"/>
  <c r="CW70" i="10"/>
  <c r="CW235" i="10"/>
  <c r="CW229" i="10"/>
  <c r="CW121" i="10"/>
  <c r="CW120" i="10"/>
  <c r="CW65" i="10"/>
  <c r="CW127" i="10"/>
  <c r="CW88" i="10"/>
  <c r="CW60" i="10"/>
  <c r="CW55" i="10"/>
  <c r="CW258" i="10"/>
  <c r="CW158" i="10"/>
  <c r="CW87" i="10"/>
  <c r="CW74" i="10"/>
  <c r="CW146" i="10"/>
  <c r="CW140" i="10"/>
  <c r="CW133" i="10"/>
  <c r="CW102" i="10"/>
  <c r="CW257" i="10"/>
  <c r="CW203" i="10"/>
  <c r="CW71" i="10"/>
  <c r="CW39" i="10"/>
  <c r="CW173" i="10"/>
  <c r="CW162" i="10"/>
  <c r="CW111" i="10"/>
  <c r="CW270" i="10"/>
  <c r="CW170" i="10"/>
  <c r="CW91" i="10"/>
  <c r="CW53" i="10"/>
  <c r="CW29" i="10"/>
  <c r="CW100" i="10"/>
  <c r="CW80" i="10"/>
  <c r="CW79" i="10"/>
  <c r="CW32" i="10"/>
  <c r="CW15" i="10"/>
  <c r="CW208" i="10"/>
  <c r="CW161" i="10"/>
  <c r="CW58" i="10"/>
  <c r="CW47" i="10"/>
  <c r="CW35" i="10"/>
  <c r="CW26" i="10"/>
  <c r="CW224" i="10"/>
  <c r="CW106" i="10"/>
  <c r="CW78" i="10"/>
  <c r="CW77" i="10"/>
  <c r="CW64" i="10"/>
  <c r="CW52" i="10"/>
  <c r="CW42" i="10"/>
  <c r="CW38" i="10"/>
  <c r="CW23" i="10"/>
  <c r="CW231" i="10"/>
  <c r="CW56" i="10"/>
  <c r="CW45" i="10"/>
  <c r="CW34" i="10"/>
  <c r="CW25" i="10"/>
  <c r="CW266" i="10"/>
  <c r="CW69" i="10"/>
  <c r="CW40" i="10"/>
  <c r="CW196" i="10"/>
  <c r="CW193" i="10"/>
  <c r="CW195" i="10"/>
  <c r="CW30" i="10"/>
  <c r="CW28" i="10"/>
  <c r="CW118" i="10"/>
  <c r="CW36" i="10"/>
  <c r="CW14" i="10"/>
  <c r="CW124" i="10"/>
  <c r="CW48" i="10"/>
  <c r="CW27" i="10"/>
  <c r="CW116" i="10"/>
  <c r="CW105" i="10"/>
  <c r="CW76" i="10"/>
  <c r="CW50" i="10"/>
  <c r="CW184" i="10"/>
  <c r="CW95" i="10"/>
  <c r="CW49" i="10"/>
  <c r="CW33" i="10"/>
  <c r="CW31" i="10"/>
  <c r="CW128" i="10"/>
  <c r="CW37" i="10"/>
  <c r="CW205" i="10"/>
  <c r="CW86" i="10"/>
  <c r="CW82" i="10"/>
  <c r="CW167" i="10"/>
  <c r="CW44" i="10"/>
  <c r="CW144" i="10"/>
  <c r="CW73" i="10"/>
  <c r="CW62" i="10"/>
  <c r="CW119" i="10"/>
  <c r="CW19" i="10"/>
  <c r="CW227" i="10"/>
  <c r="CW182" i="10"/>
  <c r="CW129" i="10"/>
  <c r="CW117" i="10"/>
  <c r="CW54" i="10"/>
  <c r="CW83" i="10"/>
  <c r="CW232" i="10"/>
  <c r="CW194" i="10"/>
  <c r="CW145" i="10"/>
  <c r="CW131" i="10"/>
  <c r="CW12" i="10"/>
  <c r="CW89" i="10"/>
  <c r="CW179" i="10"/>
  <c r="CW68" i="10"/>
  <c r="CW214" i="10"/>
  <c r="CW72" i="10"/>
  <c r="CW265" i="10"/>
  <c r="CW157" i="10"/>
  <c r="CW191" i="10"/>
  <c r="CW104" i="10"/>
  <c r="CW63" i="10"/>
  <c r="CW61" i="10"/>
  <c r="CW51" i="10"/>
  <c r="CW101" i="10"/>
  <c r="CW67" i="10"/>
  <c r="CW185" i="10"/>
  <c r="CW13" i="10"/>
  <c r="CW84" i="10"/>
  <c r="CW24" i="10"/>
  <c r="CW20" i="10"/>
  <c r="CW150" i="10"/>
  <c r="CW114" i="10"/>
  <c r="CW59" i="10"/>
  <c r="CW46" i="10"/>
  <c r="CW17" i="10"/>
  <c r="CW22" i="10"/>
  <c r="CW96" i="10"/>
  <c r="CW166" i="10"/>
  <c r="CW138" i="10"/>
  <c r="CW94" i="10"/>
  <c r="CW57" i="10"/>
  <c r="CW21" i="10"/>
  <c r="CW136" i="10"/>
  <c r="CW41" i="10"/>
  <c r="CW16" i="10"/>
  <c r="CW90" i="10"/>
  <c r="CW152" i="10"/>
  <c r="CW255" i="10"/>
  <c r="CW109" i="10"/>
  <c r="CW81" i="10"/>
  <c r="CW66" i="10"/>
  <c r="CW115" i="10"/>
  <c r="CW11" i="10"/>
  <c r="CW99" i="10"/>
  <c r="CW18" i="10"/>
  <c r="CW110" i="10"/>
  <c r="CW204" i="10"/>
  <c r="AZ5" i="10"/>
  <c r="AN7" i="10"/>
  <c r="AD5" i="10"/>
  <c r="AD10" i="10" s="1"/>
  <c r="BZ10" i="10" s="1"/>
  <c r="DV10" i="10" s="1"/>
  <c r="FR10" i="10" s="1"/>
  <c r="AO5" i="10"/>
  <c r="AC7" i="10"/>
  <c r="V5" i="10"/>
  <c r="U7" i="10"/>
  <c r="AR6" i="10" l="1"/>
  <c r="AF8" i="10"/>
  <c r="BP252" i="10"/>
  <c r="BP272" i="10"/>
  <c r="BP264" i="10"/>
  <c r="BP268" i="10"/>
  <c r="BP227" i="10"/>
  <c r="BP195" i="10"/>
  <c r="BP245" i="10"/>
  <c r="BP222" i="10"/>
  <c r="BP190" i="10"/>
  <c r="BP255" i="10"/>
  <c r="BP248" i="10"/>
  <c r="BP217" i="10"/>
  <c r="BP274" i="10"/>
  <c r="BP259" i="10"/>
  <c r="BP251" i="10"/>
  <c r="BP212" i="10"/>
  <c r="BP266" i="10"/>
  <c r="BP239" i="10"/>
  <c r="BP263" i="10"/>
  <c r="BP247" i="10"/>
  <c r="BP231" i="10"/>
  <c r="BP270" i="10"/>
  <c r="BP262" i="10"/>
  <c r="BP211" i="10"/>
  <c r="BP243" i="10"/>
  <c r="BP219" i="10"/>
  <c r="BP209" i="10"/>
  <c r="BP179" i="10"/>
  <c r="BP237" i="10"/>
  <c r="BP236" i="10"/>
  <c r="BP189" i="10"/>
  <c r="BP174" i="10"/>
  <c r="BP271" i="10"/>
  <c r="BP203" i="10"/>
  <c r="BP192" i="10"/>
  <c r="BP169" i="10"/>
  <c r="BP235" i="10"/>
  <c r="BP234" i="10"/>
  <c r="BP164" i="10"/>
  <c r="BP265" i="10"/>
  <c r="BP218" i="10"/>
  <c r="BP159" i="10"/>
  <c r="BP230" i="10"/>
  <c r="BP229" i="10"/>
  <c r="BP188" i="10"/>
  <c r="BP183" i="10"/>
  <c r="BP261" i="10"/>
  <c r="BP260" i="10"/>
  <c r="BP214" i="10"/>
  <c r="BP267" i="10"/>
  <c r="BP225" i="10"/>
  <c r="BP224" i="10"/>
  <c r="BP240" i="10"/>
  <c r="BP204" i="10"/>
  <c r="BP160" i="10"/>
  <c r="BP135" i="10"/>
  <c r="BP156" i="10"/>
  <c r="BP130" i="10"/>
  <c r="BP232" i="10"/>
  <c r="BP170" i="10"/>
  <c r="BP205" i="10"/>
  <c r="BP178" i="10"/>
  <c r="BP147" i="10"/>
  <c r="BP273" i="10"/>
  <c r="BP208" i="10"/>
  <c r="BP194" i="10"/>
  <c r="BP187" i="10"/>
  <c r="BP186" i="10"/>
  <c r="BP199" i="10"/>
  <c r="BP146" i="10"/>
  <c r="BP242" i="10"/>
  <c r="BP220" i="10"/>
  <c r="BP201" i="10"/>
  <c r="BP184" i="10"/>
  <c r="BP173" i="10"/>
  <c r="BP166" i="10"/>
  <c r="BP215" i="10"/>
  <c r="BP226" i="10"/>
  <c r="BP221" i="10"/>
  <c r="BP246" i="10"/>
  <c r="BP141" i="10"/>
  <c r="BP134" i="10"/>
  <c r="BP123" i="10"/>
  <c r="BP118" i="10"/>
  <c r="BP86" i="10"/>
  <c r="BP185" i="10"/>
  <c r="BP152" i="10"/>
  <c r="BP151" i="10"/>
  <c r="BP126" i="10"/>
  <c r="BP113" i="10"/>
  <c r="BP167" i="10"/>
  <c r="BP154" i="10"/>
  <c r="BP108" i="10"/>
  <c r="BP153" i="10"/>
  <c r="BP103" i="10"/>
  <c r="BP233" i="10"/>
  <c r="BP98" i="10"/>
  <c r="BP138" i="10"/>
  <c r="BP117" i="10"/>
  <c r="BP254" i="10"/>
  <c r="BP171" i="10"/>
  <c r="BP124" i="10"/>
  <c r="BP114" i="10"/>
  <c r="BP228" i="10"/>
  <c r="BP238" i="10"/>
  <c r="BP196" i="10"/>
  <c r="BP145" i="10"/>
  <c r="BP106" i="10"/>
  <c r="BP85" i="10"/>
  <c r="BP80" i="10"/>
  <c r="BP48" i="10"/>
  <c r="BP16" i="10"/>
  <c r="BP213" i="10"/>
  <c r="BP131" i="10"/>
  <c r="BP105" i="10"/>
  <c r="BP88" i="10"/>
  <c r="BP75" i="10"/>
  <c r="BP168" i="10"/>
  <c r="BP155" i="10"/>
  <c r="BP132" i="10"/>
  <c r="BP70" i="10"/>
  <c r="BP256" i="10"/>
  <c r="BP249" i="10"/>
  <c r="BP140" i="10"/>
  <c r="BP96" i="10"/>
  <c r="BP65" i="10"/>
  <c r="BP33" i="10"/>
  <c r="BP198" i="10"/>
  <c r="BP116" i="10"/>
  <c r="BP115" i="10"/>
  <c r="BP60" i="10"/>
  <c r="BP241" i="10"/>
  <c r="BP79" i="10"/>
  <c r="BP110" i="10"/>
  <c r="BP100" i="10"/>
  <c r="BP149" i="10"/>
  <c r="BP76" i="10"/>
  <c r="BP44" i="10"/>
  <c r="BP206" i="10"/>
  <c r="BP197" i="10"/>
  <c r="BP157" i="10"/>
  <c r="BP177" i="10"/>
  <c r="BP175" i="10"/>
  <c r="BP158" i="10"/>
  <c r="BP253" i="10"/>
  <c r="BP102" i="10"/>
  <c r="BP52" i="10"/>
  <c r="BP32" i="10"/>
  <c r="BP258" i="10"/>
  <c r="BP128" i="10"/>
  <c r="BP125" i="10"/>
  <c r="BP121" i="10"/>
  <c r="BP42" i="10"/>
  <c r="BP35" i="10"/>
  <c r="BP181" i="10"/>
  <c r="BP148" i="10"/>
  <c r="BP74" i="10"/>
  <c r="BP57" i="10"/>
  <c r="BP26" i="10"/>
  <c r="BP15" i="10"/>
  <c r="BP38" i="10"/>
  <c r="BP63" i="10"/>
  <c r="BP23" i="10"/>
  <c r="BP180" i="10"/>
  <c r="BP161" i="10"/>
  <c r="BP55" i="10"/>
  <c r="BP37" i="10"/>
  <c r="BP25" i="10"/>
  <c r="BP191" i="10"/>
  <c r="BP119" i="10"/>
  <c r="BP90" i="10"/>
  <c r="BP89" i="10"/>
  <c r="BP30" i="10"/>
  <c r="BP111" i="10"/>
  <c r="BP176" i="10"/>
  <c r="BP150" i="10"/>
  <c r="BP269" i="10"/>
  <c r="BP101" i="10"/>
  <c r="BP82" i="10"/>
  <c r="BP77" i="10"/>
  <c r="BP41" i="10"/>
  <c r="BP14" i="10"/>
  <c r="BP129" i="10"/>
  <c r="BP24" i="10"/>
  <c r="BP202" i="10"/>
  <c r="BP68" i="10"/>
  <c r="BP207" i="10"/>
  <c r="BP163" i="10"/>
  <c r="BP136" i="10"/>
  <c r="BP244" i="10"/>
  <c r="BP61" i="10"/>
  <c r="T10" i="10"/>
  <c r="BP10" i="10" s="1"/>
  <c r="DL10" i="10" s="1"/>
  <c r="FH10" i="10" s="1"/>
  <c r="BP104" i="10"/>
  <c r="BP99" i="10"/>
  <c r="BP73" i="10"/>
  <c r="BP22" i="10"/>
  <c r="BP172" i="10"/>
  <c r="BP162" i="10"/>
  <c r="BP122" i="10"/>
  <c r="BP165" i="10"/>
  <c r="BP19" i="10"/>
  <c r="BP64" i="10"/>
  <c r="BP47" i="10"/>
  <c r="BP210" i="10"/>
  <c r="BP137" i="10"/>
  <c r="BP95" i="10"/>
  <c r="BP18" i="10"/>
  <c r="BP11" i="10"/>
  <c r="BP142" i="10"/>
  <c r="BP17" i="10"/>
  <c r="BP92" i="10"/>
  <c r="BP112" i="10"/>
  <c r="BP71" i="10"/>
  <c r="BP67" i="10"/>
  <c r="BP51" i="10"/>
  <c r="BP29" i="10"/>
  <c r="BP36" i="10"/>
  <c r="BP59" i="10"/>
  <c r="BP27" i="10"/>
  <c r="BP107" i="10"/>
  <c r="BP53" i="10"/>
  <c r="BP49" i="10"/>
  <c r="BP45" i="10"/>
  <c r="BP257" i="10"/>
  <c r="BP216" i="10"/>
  <c r="BP144" i="10"/>
  <c r="BP143" i="10"/>
  <c r="BP91" i="10"/>
  <c r="BP66" i="10"/>
  <c r="BP58" i="10"/>
  <c r="BP56" i="10"/>
  <c r="BP133" i="10"/>
  <c r="BP40" i="10"/>
  <c r="BP81" i="10"/>
  <c r="BP127" i="10"/>
  <c r="BP109" i="10"/>
  <c r="BP21" i="10"/>
  <c r="BP43" i="10"/>
  <c r="BP28" i="10"/>
  <c r="BP250" i="10"/>
  <c r="BP93" i="10"/>
  <c r="BP200" i="10"/>
  <c r="BP87" i="10"/>
  <c r="BP223" i="10"/>
  <c r="BP50" i="10"/>
  <c r="BP120" i="10"/>
  <c r="BP34" i="10"/>
  <c r="BP182" i="10"/>
  <c r="BP97" i="10"/>
  <c r="BP31" i="10"/>
  <c r="BP13" i="10"/>
  <c r="BP84" i="10"/>
  <c r="BP46" i="10"/>
  <c r="BP69" i="10"/>
  <c r="BP62" i="10"/>
  <c r="BP20" i="10"/>
  <c r="BP139" i="10"/>
  <c r="BP193" i="10"/>
  <c r="BP72" i="10"/>
  <c r="BP83" i="10"/>
  <c r="BP39" i="10"/>
  <c r="BP12" i="10"/>
  <c r="BP94" i="10"/>
  <c r="BP78" i="10"/>
  <c r="BP54" i="10"/>
  <c r="V6" i="10"/>
  <c r="U8" i="10"/>
  <c r="AG6" i="10"/>
  <c r="CA274" i="10"/>
  <c r="CA261" i="10"/>
  <c r="CA267" i="10"/>
  <c r="CA266" i="10"/>
  <c r="CA265" i="10"/>
  <c r="CA268" i="10"/>
  <c r="CA254" i="10"/>
  <c r="CA241" i="10"/>
  <c r="CA236" i="10"/>
  <c r="CA204" i="10"/>
  <c r="CA263" i="10"/>
  <c r="CA258" i="10"/>
  <c r="CA244" i="10"/>
  <c r="CA231" i="10"/>
  <c r="CA199" i="10"/>
  <c r="CA247" i="10"/>
  <c r="CA226" i="10"/>
  <c r="CA269" i="10"/>
  <c r="CA250" i="10"/>
  <c r="CA221" i="10"/>
  <c r="CA216" i="10"/>
  <c r="CA246" i="10"/>
  <c r="CA240" i="10"/>
  <c r="CA208" i="10"/>
  <c r="CA252" i="10"/>
  <c r="CA220" i="10"/>
  <c r="CA242" i="10"/>
  <c r="CA227" i="10"/>
  <c r="CA232" i="10"/>
  <c r="CA156" i="10"/>
  <c r="CA207" i="10"/>
  <c r="CA188" i="10"/>
  <c r="CA183" i="10"/>
  <c r="CA191" i="10"/>
  <c r="CA178" i="10"/>
  <c r="CA230" i="10"/>
  <c r="CA201" i="10"/>
  <c r="CA194" i="10"/>
  <c r="CA173" i="10"/>
  <c r="CA215" i="10"/>
  <c r="CA168" i="10"/>
  <c r="CA225" i="10"/>
  <c r="CA205" i="10"/>
  <c r="CA243" i="10"/>
  <c r="CA211" i="10"/>
  <c r="CA253" i="10"/>
  <c r="CA251" i="10"/>
  <c r="CA239" i="10"/>
  <c r="CA238" i="10"/>
  <c r="CA273" i="10"/>
  <c r="CA218" i="10"/>
  <c r="CA155" i="10"/>
  <c r="CA144" i="10"/>
  <c r="CA237" i="10"/>
  <c r="CA139" i="10"/>
  <c r="CA256" i="10"/>
  <c r="CA233" i="10"/>
  <c r="CA213" i="10"/>
  <c r="CA189" i="10"/>
  <c r="CA129" i="10"/>
  <c r="CA190" i="10"/>
  <c r="CA187" i="10"/>
  <c r="CA176" i="10"/>
  <c r="CA143" i="10"/>
  <c r="CA165" i="10"/>
  <c r="CA153" i="10"/>
  <c r="CA272" i="10"/>
  <c r="CA203" i="10"/>
  <c r="CA202" i="10"/>
  <c r="CA181" i="10"/>
  <c r="CA249" i="10"/>
  <c r="CA255" i="10"/>
  <c r="CA222" i="10"/>
  <c r="CA157" i="10"/>
  <c r="CA125" i="10"/>
  <c r="CA95" i="10"/>
  <c r="CA248" i="10"/>
  <c r="CA186" i="10"/>
  <c r="CA149" i="10"/>
  <c r="CA122" i="10"/>
  <c r="CA229" i="10"/>
  <c r="CA209" i="10"/>
  <c r="CA198" i="10"/>
  <c r="CA148" i="10"/>
  <c r="CA138" i="10"/>
  <c r="CA117" i="10"/>
  <c r="CA262" i="10"/>
  <c r="CA235" i="10"/>
  <c r="CA112" i="10"/>
  <c r="CA160" i="10"/>
  <c r="CA107" i="10"/>
  <c r="CA163" i="10"/>
  <c r="CA270" i="10"/>
  <c r="CA217" i="10"/>
  <c r="CA172" i="10"/>
  <c r="CA135" i="10"/>
  <c r="CA106" i="10"/>
  <c r="CA234" i="10"/>
  <c r="CA228" i="10"/>
  <c r="CA184" i="10"/>
  <c r="CA224" i="10"/>
  <c r="CA193" i="10"/>
  <c r="CA197" i="10"/>
  <c r="CA179" i="10"/>
  <c r="CA192" i="10"/>
  <c r="CA133" i="10"/>
  <c r="CA113" i="10"/>
  <c r="CA103" i="10"/>
  <c r="CA57" i="10"/>
  <c r="CA25" i="10"/>
  <c r="CA196" i="10"/>
  <c r="CA182" i="10"/>
  <c r="CA141" i="10"/>
  <c r="CA134" i="10"/>
  <c r="CA102" i="10"/>
  <c r="CA87" i="10"/>
  <c r="CA84" i="10"/>
  <c r="CA210" i="10"/>
  <c r="CA159" i="10"/>
  <c r="CA79" i="10"/>
  <c r="CA47" i="10"/>
  <c r="CA147" i="10"/>
  <c r="CA74" i="10"/>
  <c r="CA42" i="10"/>
  <c r="CA180" i="10"/>
  <c r="CA69" i="10"/>
  <c r="CA185" i="10"/>
  <c r="CA174" i="10"/>
  <c r="CA214" i="10"/>
  <c r="CA97" i="10"/>
  <c r="CA164" i="10"/>
  <c r="CA92" i="10"/>
  <c r="CA53" i="10"/>
  <c r="CA161" i="10"/>
  <c r="CA154" i="10"/>
  <c r="CA264" i="10"/>
  <c r="CA260" i="10"/>
  <c r="CA162" i="10"/>
  <c r="CA62" i="10"/>
  <c r="CA31" i="10"/>
  <c r="CA28" i="10"/>
  <c r="CA146" i="10"/>
  <c r="CA109" i="10"/>
  <c r="CA70" i="10"/>
  <c r="CA34" i="10"/>
  <c r="CA118" i="10"/>
  <c r="CA45" i="10"/>
  <c r="CA37" i="10"/>
  <c r="CA61" i="10"/>
  <c r="CA195" i="10"/>
  <c r="CA98" i="10"/>
  <c r="CA50" i="10"/>
  <c r="CA14" i="10"/>
  <c r="CA223" i="10"/>
  <c r="CA111" i="10"/>
  <c r="CA105" i="10"/>
  <c r="CA82" i="10"/>
  <c r="CA81" i="10"/>
  <c r="CA36" i="10"/>
  <c r="CA124" i="10"/>
  <c r="CA101" i="10"/>
  <c r="CA94" i="10"/>
  <c r="CA93" i="10"/>
  <c r="CA169" i="10"/>
  <c r="CA116" i="10"/>
  <c r="CA64" i="10"/>
  <c r="CA58" i="10"/>
  <c r="CA29" i="10"/>
  <c r="CA259" i="10"/>
  <c r="CA152" i="10"/>
  <c r="CA166" i="10"/>
  <c r="CA151" i="10"/>
  <c r="CA115" i="10"/>
  <c r="CA104" i="10"/>
  <c r="CA78" i="10"/>
  <c r="CA73" i="10"/>
  <c r="CA55" i="10"/>
  <c r="CA177" i="10"/>
  <c r="CA83" i="10"/>
  <c r="CA54" i="10"/>
  <c r="CA12" i="10"/>
  <c r="CA212" i="10"/>
  <c r="CA131" i="10"/>
  <c r="CA20" i="10"/>
  <c r="CA19" i="10"/>
  <c r="CA80" i="10"/>
  <c r="CA48" i="10"/>
  <c r="CA200" i="10"/>
  <c r="CA150" i="10"/>
  <c r="CA114" i="10"/>
  <c r="CA100" i="10"/>
  <c r="CA17" i="10"/>
  <c r="CA171" i="10"/>
  <c r="CA89" i="10"/>
  <c r="CA76" i="10"/>
  <c r="CA30" i="10"/>
  <c r="CA27" i="10"/>
  <c r="CA71" i="10"/>
  <c r="CA66" i="10"/>
  <c r="CA59" i="10"/>
  <c r="CA33" i="10"/>
  <c r="CA132" i="10"/>
  <c r="CA110" i="10"/>
  <c r="CA39" i="10"/>
  <c r="CA35" i="10"/>
  <c r="CA26" i="10"/>
  <c r="CA15" i="10"/>
  <c r="CA158" i="10"/>
  <c r="CA38" i="10"/>
  <c r="CA40" i="10"/>
  <c r="CA245" i="10"/>
  <c r="CA43" i="10"/>
  <c r="CA21" i="10"/>
  <c r="CA219" i="10"/>
  <c r="CA167" i="10"/>
  <c r="CA51" i="10"/>
  <c r="CA49" i="10"/>
  <c r="CA136" i="10"/>
  <c r="CA67" i="10"/>
  <c r="CA65" i="10"/>
  <c r="CA11" i="10"/>
  <c r="CA257" i="10"/>
  <c r="CA120" i="10"/>
  <c r="CA127" i="10"/>
  <c r="CA123" i="10"/>
  <c r="CA41" i="10"/>
  <c r="CA130" i="10"/>
  <c r="CA60" i="10"/>
  <c r="CA23" i="10"/>
  <c r="CA271" i="10"/>
  <c r="CA77" i="10"/>
  <c r="CA44" i="10"/>
  <c r="CA108" i="10"/>
  <c r="CA142" i="10"/>
  <c r="CA88" i="10"/>
  <c r="CA121" i="10"/>
  <c r="CA18" i="10"/>
  <c r="CA72" i="10"/>
  <c r="CA85" i="10"/>
  <c r="CA63" i="10"/>
  <c r="CA126" i="10"/>
  <c r="CA91" i="10"/>
  <c r="CA170" i="10"/>
  <c r="CA13" i="10"/>
  <c r="CA56" i="10"/>
  <c r="CA46" i="10"/>
  <c r="CA140" i="10"/>
  <c r="CA119" i="10"/>
  <c r="CA52" i="10"/>
  <c r="CA96" i="10"/>
  <c r="CA22" i="10"/>
  <c r="CA68" i="10"/>
  <c r="CA137" i="10"/>
  <c r="CA145" i="10"/>
  <c r="CA86" i="10"/>
  <c r="CA24" i="10"/>
  <c r="CA175" i="10"/>
  <c r="CA75" i="10"/>
  <c r="CA206" i="10"/>
  <c r="CA32" i="10"/>
  <c r="AE10" i="10"/>
  <c r="CA10" i="10" s="1"/>
  <c r="DW10" i="10" s="1"/>
  <c r="FS10" i="10" s="1"/>
  <c r="CA128" i="10"/>
  <c r="CA99" i="10"/>
  <c r="CA90" i="10"/>
  <c r="CA16" i="10"/>
  <c r="AZ7" i="10"/>
  <c r="AZ10" i="10"/>
  <c r="CV10" i="10" s="1"/>
  <c r="ER10" i="10" s="1"/>
  <c r="GN10" i="10" s="1"/>
  <c r="CL265" i="10"/>
  <c r="CL273" i="10"/>
  <c r="CL255" i="10"/>
  <c r="CL250" i="10"/>
  <c r="CL272" i="10"/>
  <c r="CL264" i="10"/>
  <c r="CL253" i="10"/>
  <c r="CL271" i="10"/>
  <c r="CL213" i="10"/>
  <c r="CL243" i="10"/>
  <c r="CL240" i="10"/>
  <c r="CL208" i="10"/>
  <c r="CL246" i="10"/>
  <c r="CL235" i="10"/>
  <c r="CL203" i="10"/>
  <c r="CL249" i="10"/>
  <c r="CL230" i="10"/>
  <c r="CL198" i="10"/>
  <c r="CL261" i="10"/>
  <c r="CL225" i="10"/>
  <c r="CL217" i="10"/>
  <c r="CL259" i="10"/>
  <c r="CL229" i="10"/>
  <c r="CL274" i="10"/>
  <c r="CL236" i="10"/>
  <c r="CL228" i="10"/>
  <c r="CL227" i="10"/>
  <c r="CL200" i="10"/>
  <c r="CL165" i="10"/>
  <c r="CL266" i="10"/>
  <c r="CL226" i="10"/>
  <c r="CL205" i="10"/>
  <c r="CL190" i="10"/>
  <c r="CL187" i="10"/>
  <c r="CL193" i="10"/>
  <c r="CL182" i="10"/>
  <c r="CL177" i="10"/>
  <c r="CL263" i="10"/>
  <c r="CL251" i="10"/>
  <c r="CL169" i="10"/>
  <c r="CL181" i="10"/>
  <c r="CL268" i="10"/>
  <c r="CL234" i="10"/>
  <c r="CL256" i="10"/>
  <c r="CL218" i="10"/>
  <c r="CL197" i="10"/>
  <c r="CL174" i="10"/>
  <c r="CL199" i="10"/>
  <c r="CL185" i="10"/>
  <c r="CL184" i="10"/>
  <c r="CL148" i="10"/>
  <c r="CL143" i="10"/>
  <c r="CL220" i="10"/>
  <c r="CL166" i="10"/>
  <c r="CL138" i="10"/>
  <c r="CL238" i="10"/>
  <c r="CL214" i="10"/>
  <c r="CL183" i="10"/>
  <c r="CL173" i="10"/>
  <c r="CL157" i="10"/>
  <c r="CL133" i="10"/>
  <c r="CL260" i="10"/>
  <c r="CL160" i="10"/>
  <c r="CL222" i="10"/>
  <c r="CL204" i="10"/>
  <c r="CL152" i="10"/>
  <c r="CL232" i="10"/>
  <c r="CL178" i="10"/>
  <c r="CL258" i="10"/>
  <c r="CL269" i="10"/>
  <c r="CL239" i="10"/>
  <c r="CL207" i="10"/>
  <c r="CL176" i="10"/>
  <c r="CL124" i="10"/>
  <c r="CL104" i="10"/>
  <c r="CL146" i="10"/>
  <c r="CL99" i="10"/>
  <c r="CL257" i="10"/>
  <c r="CL241" i="10"/>
  <c r="CL145" i="10"/>
  <c r="CL223" i="10"/>
  <c r="CL170" i="10"/>
  <c r="CL162" i="10"/>
  <c r="CL121" i="10"/>
  <c r="CL89" i="10"/>
  <c r="CL252" i="10"/>
  <c r="CL212" i="10"/>
  <c r="CL127" i="10"/>
  <c r="CL116" i="10"/>
  <c r="CL196" i="10"/>
  <c r="CL103" i="10"/>
  <c r="CL242" i="10"/>
  <c r="CL179" i="10"/>
  <c r="CL141" i="10"/>
  <c r="CL115" i="10"/>
  <c r="CL167" i="10"/>
  <c r="CL244" i="10"/>
  <c r="CL206" i="10"/>
  <c r="CL211" i="10"/>
  <c r="CL180" i="10"/>
  <c r="CL110" i="10"/>
  <c r="CL100" i="10"/>
  <c r="CL66" i="10"/>
  <c r="CL34" i="10"/>
  <c r="CL245" i="10"/>
  <c r="CL156" i="10"/>
  <c r="CL142" i="10"/>
  <c r="CL86" i="10"/>
  <c r="CL136" i="10"/>
  <c r="CL56" i="10"/>
  <c r="CL215" i="10"/>
  <c r="CL163" i="10"/>
  <c r="CL93" i="10"/>
  <c r="CL83" i="10"/>
  <c r="CL51" i="10"/>
  <c r="CL202" i="10"/>
  <c r="CL78" i="10"/>
  <c r="CL46" i="10"/>
  <c r="CL150" i="10"/>
  <c r="CL65" i="10"/>
  <c r="CL247" i="10"/>
  <c r="CL161" i="10"/>
  <c r="CL117" i="10"/>
  <c r="CL77" i="10"/>
  <c r="CL201" i="10"/>
  <c r="CL62" i="10"/>
  <c r="CL158" i="10"/>
  <c r="CL151" i="10"/>
  <c r="CL132" i="10"/>
  <c r="CL210" i="10"/>
  <c r="CL147" i="10"/>
  <c r="CL144" i="10"/>
  <c r="CL129" i="10"/>
  <c r="CL84" i="10"/>
  <c r="CL67" i="10"/>
  <c r="CL44" i="10"/>
  <c r="CL30" i="10"/>
  <c r="CL16" i="10"/>
  <c r="CL11" i="10"/>
  <c r="CL195" i="10"/>
  <c r="CL168" i="10"/>
  <c r="CL153" i="10"/>
  <c r="CL137" i="10"/>
  <c r="CL126" i="10"/>
  <c r="CL85" i="10"/>
  <c r="CL49" i="10"/>
  <c r="CL33" i="10"/>
  <c r="CL27" i="10"/>
  <c r="CL270" i="10"/>
  <c r="CL88" i="10"/>
  <c r="CL87" i="10"/>
  <c r="CL36" i="10"/>
  <c r="CL189" i="10"/>
  <c r="CL155" i="10"/>
  <c r="CL123" i="10"/>
  <c r="CL54" i="10"/>
  <c r="CL24" i="10"/>
  <c r="CL233" i="10"/>
  <c r="CL216" i="10"/>
  <c r="CL192" i="10"/>
  <c r="CL105" i="10"/>
  <c r="CL82" i="10"/>
  <c r="CL188" i="10"/>
  <c r="CL120" i="10"/>
  <c r="CL64" i="10"/>
  <c r="CL35" i="10"/>
  <c r="CL96" i="10"/>
  <c r="CL74" i="10"/>
  <c r="CL73" i="10"/>
  <c r="CL154" i="10"/>
  <c r="CL108" i="10"/>
  <c r="CL41" i="10"/>
  <c r="CL113" i="10"/>
  <c r="CL237" i="10"/>
  <c r="CL79" i="10"/>
  <c r="CL55" i="10"/>
  <c r="CL231" i="10"/>
  <c r="CL97" i="10"/>
  <c r="CL109" i="10"/>
  <c r="CL172" i="10"/>
  <c r="CL70" i="10"/>
  <c r="CL224" i="10"/>
  <c r="CL102" i="10"/>
  <c r="CL47" i="10"/>
  <c r="CL267" i="10"/>
  <c r="CL48" i="10"/>
  <c r="CL17" i="10"/>
  <c r="CL114" i="10"/>
  <c r="CL98" i="10"/>
  <c r="CL71" i="10"/>
  <c r="CL37" i="10"/>
  <c r="CL175" i="10"/>
  <c r="CL112" i="10"/>
  <c r="CL81" i="10"/>
  <c r="CL76" i="10"/>
  <c r="CL50" i="10"/>
  <c r="CL25" i="10"/>
  <c r="CL164" i="10"/>
  <c r="CL60" i="10"/>
  <c r="CL262" i="10"/>
  <c r="CL13" i="10"/>
  <c r="CL221" i="10"/>
  <c r="CL186" i="10"/>
  <c r="CL149" i="10"/>
  <c r="CL52" i="10"/>
  <c r="CL42" i="10"/>
  <c r="CL21" i="10"/>
  <c r="CL254" i="10"/>
  <c r="CL209" i="10"/>
  <c r="CL139" i="10"/>
  <c r="CL125" i="10"/>
  <c r="CL101" i="10"/>
  <c r="CL43" i="10"/>
  <c r="CL22" i="10"/>
  <c r="CL134" i="10"/>
  <c r="CL106" i="10"/>
  <c r="CL90" i="10"/>
  <c r="CL53" i="10"/>
  <c r="CL131" i="10"/>
  <c r="CL63" i="10"/>
  <c r="CL19" i="10"/>
  <c r="CL140" i="10"/>
  <c r="CL92" i="10"/>
  <c r="CL80" i="10"/>
  <c r="CL32" i="10"/>
  <c r="CL219" i="10"/>
  <c r="CL39" i="10"/>
  <c r="CL20" i="10"/>
  <c r="CL135" i="10"/>
  <c r="CL69" i="10"/>
  <c r="CL159" i="10"/>
  <c r="CL75" i="10"/>
  <c r="CL58" i="10"/>
  <c r="CL26" i="10"/>
  <c r="CL18" i="10"/>
  <c r="CL91" i="10"/>
  <c r="CL68" i="10"/>
  <c r="CL118" i="10"/>
  <c r="CL38" i="10"/>
  <c r="CL111" i="10"/>
  <c r="CL248" i="10"/>
  <c r="CL191" i="10"/>
  <c r="CL23" i="10"/>
  <c r="CL171" i="10"/>
  <c r="CL28" i="10"/>
  <c r="CL40" i="10"/>
  <c r="CL31" i="10"/>
  <c r="CL119" i="10"/>
  <c r="CL59" i="10"/>
  <c r="CL15" i="10"/>
  <c r="CL107" i="10"/>
  <c r="CL72" i="10"/>
  <c r="CL12" i="10"/>
  <c r="CL194" i="10"/>
  <c r="CL61" i="10"/>
  <c r="CL130" i="10"/>
  <c r="CL45" i="10"/>
  <c r="CL95" i="10"/>
  <c r="CL14" i="10"/>
  <c r="CL122" i="10"/>
  <c r="CL57" i="10"/>
  <c r="CL29" i="10"/>
  <c r="AP10" i="10"/>
  <c r="CL10" i="10" s="1"/>
  <c r="EH10" i="10" s="1"/>
  <c r="GD10" i="10" s="1"/>
  <c r="CL128" i="10"/>
  <c r="CL94" i="10"/>
  <c r="CX242" i="10"/>
  <c r="CX272" i="10"/>
  <c r="CX259" i="10"/>
  <c r="CX254" i="10"/>
  <c r="CX274" i="10"/>
  <c r="CX271" i="10"/>
  <c r="CX273" i="10"/>
  <c r="CX269" i="10"/>
  <c r="CX270" i="10"/>
  <c r="CX217" i="10"/>
  <c r="CX245" i="10"/>
  <c r="CX212" i="10"/>
  <c r="CX248" i="10"/>
  <c r="CX239" i="10"/>
  <c r="CX207" i="10"/>
  <c r="CX251" i="10"/>
  <c r="CX234" i="10"/>
  <c r="CX202" i="10"/>
  <c r="CX255" i="10"/>
  <c r="CX229" i="10"/>
  <c r="CX221" i="10"/>
  <c r="CX233" i="10"/>
  <c r="CX243" i="10"/>
  <c r="CX262" i="10"/>
  <c r="CX244" i="10"/>
  <c r="CX241" i="10"/>
  <c r="CX169" i="10"/>
  <c r="CX246" i="10"/>
  <c r="CX240" i="10"/>
  <c r="CX189" i="10"/>
  <c r="CX164" i="10"/>
  <c r="CX249" i="10"/>
  <c r="CX247" i="10"/>
  <c r="CX222" i="10"/>
  <c r="CX192" i="10"/>
  <c r="CX159" i="10"/>
  <c r="CX250" i="10"/>
  <c r="CX186" i="10"/>
  <c r="CX154" i="10"/>
  <c r="CX267" i="10"/>
  <c r="CX238" i="10"/>
  <c r="CX220" i="10"/>
  <c r="CX210" i="10"/>
  <c r="CX181" i="10"/>
  <c r="CX264" i="10"/>
  <c r="CX188" i="10"/>
  <c r="CX173" i="10"/>
  <c r="CX232" i="10"/>
  <c r="CX231" i="10"/>
  <c r="CX201" i="10"/>
  <c r="CX185" i="10"/>
  <c r="CX228" i="10"/>
  <c r="CX214" i="10"/>
  <c r="CX268" i="10"/>
  <c r="CX230" i="10"/>
  <c r="CX225" i="10"/>
  <c r="CX125" i="10"/>
  <c r="CX171" i="10"/>
  <c r="CX215" i="10"/>
  <c r="CX160" i="10"/>
  <c r="CX156" i="10"/>
  <c r="CX147" i="10"/>
  <c r="CX180" i="10"/>
  <c r="CX142" i="10"/>
  <c r="CX257" i="10"/>
  <c r="CX137" i="10"/>
  <c r="CX263" i="10"/>
  <c r="CX218" i="10"/>
  <c r="CX158" i="10"/>
  <c r="CX253" i="10"/>
  <c r="CX191" i="10"/>
  <c r="CX162" i="10"/>
  <c r="CX213" i="10"/>
  <c r="CX224" i="10"/>
  <c r="CX143" i="10"/>
  <c r="CX135" i="10"/>
  <c r="CX108" i="10"/>
  <c r="CX252" i="10"/>
  <c r="CX223" i="10"/>
  <c r="CX219" i="10"/>
  <c r="CX199" i="10"/>
  <c r="CX183" i="10"/>
  <c r="CX103" i="10"/>
  <c r="CX134" i="10"/>
  <c r="CX130" i="10"/>
  <c r="CX126" i="10"/>
  <c r="CX98" i="10"/>
  <c r="CX93" i="10"/>
  <c r="CX178" i="10"/>
  <c r="CX120" i="10"/>
  <c r="CX88" i="10"/>
  <c r="CX197" i="10"/>
  <c r="CX193" i="10"/>
  <c r="CX167" i="10"/>
  <c r="CX107" i="10"/>
  <c r="CX266" i="10"/>
  <c r="CX258" i="10"/>
  <c r="CX138" i="10"/>
  <c r="CX128" i="10"/>
  <c r="CX119" i="10"/>
  <c r="CX211" i="10"/>
  <c r="CX194" i="10"/>
  <c r="CX190" i="10"/>
  <c r="CX124" i="10"/>
  <c r="CX260" i="10"/>
  <c r="CX216" i="10"/>
  <c r="CX209" i="10"/>
  <c r="CX198" i="10"/>
  <c r="CX235" i="10"/>
  <c r="CX176" i="10"/>
  <c r="CX97" i="10"/>
  <c r="CX92" i="10"/>
  <c r="CX85" i="10"/>
  <c r="CX70" i="10"/>
  <c r="CX38" i="10"/>
  <c r="CX153" i="10"/>
  <c r="CX149" i="10"/>
  <c r="CX123" i="10"/>
  <c r="CX121" i="10"/>
  <c r="CX127" i="10"/>
  <c r="CX60" i="10"/>
  <c r="CX55" i="10"/>
  <c r="CX226" i="10"/>
  <c r="CX129" i="10"/>
  <c r="CX82" i="10"/>
  <c r="CX50" i="10"/>
  <c r="CX206" i="10"/>
  <c r="CX170" i="10"/>
  <c r="CX145" i="10"/>
  <c r="CX114" i="10"/>
  <c r="CX69" i="10"/>
  <c r="CX177" i="10"/>
  <c r="CX113" i="10"/>
  <c r="CX112" i="10"/>
  <c r="CX90" i="10"/>
  <c r="CX81" i="10"/>
  <c r="CX265" i="10"/>
  <c r="CX168" i="10"/>
  <c r="CX66" i="10"/>
  <c r="CX152" i="10"/>
  <c r="CX110" i="10"/>
  <c r="CX100" i="10"/>
  <c r="CX80" i="10"/>
  <c r="CX79" i="10"/>
  <c r="CX32" i="10"/>
  <c r="CX15" i="10"/>
  <c r="CX208" i="10"/>
  <c r="CX161" i="10"/>
  <c r="CX58" i="10"/>
  <c r="CX47" i="10"/>
  <c r="CX35" i="10"/>
  <c r="CX26" i="10"/>
  <c r="CX175" i="10"/>
  <c r="CX111" i="10"/>
  <c r="CX106" i="10"/>
  <c r="CX78" i="10"/>
  <c r="CX77" i="10"/>
  <c r="CX64" i="10"/>
  <c r="CX237" i="10"/>
  <c r="CX52" i="10"/>
  <c r="CX42" i="10"/>
  <c r="CX23" i="10"/>
  <c r="CX204" i="10"/>
  <c r="CX200" i="10"/>
  <c r="CX174" i="10"/>
  <c r="CX37" i="10"/>
  <c r="CX14" i="10"/>
  <c r="CX187" i="10"/>
  <c r="CX179" i="10"/>
  <c r="CX141" i="10"/>
  <c r="CX131" i="10"/>
  <c r="CX109" i="10"/>
  <c r="CX68" i="10"/>
  <c r="CX30" i="10"/>
  <c r="CX139" i="10"/>
  <c r="CX157" i="10"/>
  <c r="CX151" i="10"/>
  <c r="CX115" i="10"/>
  <c r="CX75" i="10"/>
  <c r="CX28" i="10"/>
  <c r="CX148" i="10"/>
  <c r="CX48" i="10"/>
  <c r="CX27" i="10"/>
  <c r="CX165" i="10"/>
  <c r="CX184" i="10"/>
  <c r="CX122" i="10"/>
  <c r="CX95" i="10"/>
  <c r="CX49" i="10"/>
  <c r="CX33" i="10"/>
  <c r="CX31" i="10"/>
  <c r="CX236" i="10"/>
  <c r="CX172" i="10"/>
  <c r="CX140" i="10"/>
  <c r="CX65" i="10"/>
  <c r="CX34" i="10"/>
  <c r="CX29" i="10"/>
  <c r="CX118" i="10"/>
  <c r="CX116" i="10"/>
  <c r="CX105" i="10"/>
  <c r="CX76" i="10"/>
  <c r="CX71" i="10"/>
  <c r="CX36" i="10"/>
  <c r="CX25" i="10"/>
  <c r="CX256" i="10"/>
  <c r="CX205" i="10"/>
  <c r="CX86" i="10"/>
  <c r="CX132" i="10"/>
  <c r="CX61" i="10"/>
  <c r="CX21" i="10"/>
  <c r="CX20" i="10"/>
  <c r="CX144" i="10"/>
  <c r="CX73" i="10"/>
  <c r="CX62" i="10"/>
  <c r="CX53" i="10"/>
  <c r="CX45" i="10"/>
  <c r="CX19" i="10"/>
  <c r="CX227" i="10"/>
  <c r="CX182" i="10"/>
  <c r="CX117" i="10"/>
  <c r="CX54" i="10"/>
  <c r="CX87" i="10"/>
  <c r="CX83" i="10"/>
  <c r="CX104" i="10"/>
  <c r="CX11" i="10"/>
  <c r="CX16" i="10"/>
  <c r="CX133" i="10"/>
  <c r="CX155" i="10"/>
  <c r="CX12" i="10"/>
  <c r="CX166" i="10"/>
  <c r="CX94" i="10"/>
  <c r="CX203" i="10"/>
  <c r="CX99" i="10"/>
  <c r="CX74" i="10"/>
  <c r="CX146" i="10"/>
  <c r="CX17" i="10"/>
  <c r="CX40" i="10"/>
  <c r="CX150" i="10"/>
  <c r="CX43" i="10"/>
  <c r="CX59" i="10"/>
  <c r="CX56" i="10"/>
  <c r="CX46" i="10"/>
  <c r="CX102" i="10"/>
  <c r="CX84" i="10"/>
  <c r="CX196" i="10"/>
  <c r="CX72" i="10"/>
  <c r="CX39" i="10"/>
  <c r="CX22" i="10"/>
  <c r="CX96" i="10"/>
  <c r="CX195" i="10"/>
  <c r="CX101" i="10"/>
  <c r="CX91" i="10"/>
  <c r="CX24" i="10"/>
  <c r="CX51" i="10"/>
  <c r="CX67" i="10"/>
  <c r="CX57" i="10"/>
  <c r="CX163" i="10"/>
  <c r="CX136" i="10"/>
  <c r="CX44" i="10"/>
  <c r="CX41" i="10"/>
  <c r="CX89" i="10"/>
  <c r="CX63" i="10"/>
  <c r="CX13" i="10"/>
  <c r="CX261" i="10"/>
  <c r="CX18" i="10"/>
  <c r="BC6" i="10"/>
  <c r="BC8" i="10" s="1"/>
  <c r="AQ8" i="10"/>
  <c r="BA5" i="10"/>
  <c r="AO7" i="10"/>
  <c r="AE5" i="10"/>
  <c r="AP5" i="10"/>
  <c r="AD7" i="10"/>
  <c r="W5" i="10"/>
  <c r="V7" i="10"/>
  <c r="AS6" i="10" l="1"/>
  <c r="AG8" i="10"/>
  <c r="CY264" i="10"/>
  <c r="CY272" i="10"/>
  <c r="CY254" i="10"/>
  <c r="CY249" i="10"/>
  <c r="CY265" i="10"/>
  <c r="CY273" i="10"/>
  <c r="CY271" i="10"/>
  <c r="CY269" i="10"/>
  <c r="CY270" i="10"/>
  <c r="CY245" i="10"/>
  <c r="CY212" i="10"/>
  <c r="CY248" i="10"/>
  <c r="CY239" i="10"/>
  <c r="CY207" i="10"/>
  <c r="CY251" i="10"/>
  <c r="CY234" i="10"/>
  <c r="CY202" i="10"/>
  <c r="CY255" i="10"/>
  <c r="CY229" i="10"/>
  <c r="CY224" i="10"/>
  <c r="CY266" i="10"/>
  <c r="CY258" i="10"/>
  <c r="CY247" i="10"/>
  <c r="CY216" i="10"/>
  <c r="CY274" i="10"/>
  <c r="CY263" i="10"/>
  <c r="CY228" i="10"/>
  <c r="CY257" i="10"/>
  <c r="CY246" i="10"/>
  <c r="CY240" i="10"/>
  <c r="CY235" i="10"/>
  <c r="CY243" i="10"/>
  <c r="CY189" i="10"/>
  <c r="CY164" i="10"/>
  <c r="CY222" i="10"/>
  <c r="CY221" i="10"/>
  <c r="CY192" i="10"/>
  <c r="CY250" i="10"/>
  <c r="CY242" i="10"/>
  <c r="CY186" i="10"/>
  <c r="CY267" i="10"/>
  <c r="CY238" i="10"/>
  <c r="CY220" i="10"/>
  <c r="CY210" i="10"/>
  <c r="CY181" i="10"/>
  <c r="CY219" i="10"/>
  <c r="CY209" i="10"/>
  <c r="CY203" i="10"/>
  <c r="CY195" i="10"/>
  <c r="CY176" i="10"/>
  <c r="CY268" i="10"/>
  <c r="CY233" i="10"/>
  <c r="CY191" i="10"/>
  <c r="CY168" i="10"/>
  <c r="CY180" i="10"/>
  <c r="CY259" i="10"/>
  <c r="CY187" i="10"/>
  <c r="CY171" i="10"/>
  <c r="CY262" i="10"/>
  <c r="CY215" i="10"/>
  <c r="CY160" i="10"/>
  <c r="CY156" i="10"/>
  <c r="CY147" i="10"/>
  <c r="CY142" i="10"/>
  <c r="CY137" i="10"/>
  <c r="CY132" i="10"/>
  <c r="CY227" i="10"/>
  <c r="CY217" i="10"/>
  <c r="CY177" i="10"/>
  <c r="CY169" i="10"/>
  <c r="CY237" i="10"/>
  <c r="CY194" i="10"/>
  <c r="CY190" i="10"/>
  <c r="CY154" i="10"/>
  <c r="CY244" i="10"/>
  <c r="CY256" i="10"/>
  <c r="CY252" i="10"/>
  <c r="CY223" i="10"/>
  <c r="CY199" i="10"/>
  <c r="CY183" i="10"/>
  <c r="CY103" i="10"/>
  <c r="CY134" i="10"/>
  <c r="CY130" i="10"/>
  <c r="CY126" i="10"/>
  <c r="CY98" i="10"/>
  <c r="CY188" i="10"/>
  <c r="CY178" i="10"/>
  <c r="CY120" i="10"/>
  <c r="CY88" i="10"/>
  <c r="CY205" i="10"/>
  <c r="CY115" i="10"/>
  <c r="CY185" i="10"/>
  <c r="CY155" i="10"/>
  <c r="CY102" i="10"/>
  <c r="CY158" i="10"/>
  <c r="CY157" i="10"/>
  <c r="CY114" i="10"/>
  <c r="CY201" i="10"/>
  <c r="CY231" i="10"/>
  <c r="CY204" i="10"/>
  <c r="CY153" i="10"/>
  <c r="CY149" i="10"/>
  <c r="CY125" i="10"/>
  <c r="CY123" i="10"/>
  <c r="CY121" i="10"/>
  <c r="CY107" i="10"/>
  <c r="CY65" i="10"/>
  <c r="CY33" i="10"/>
  <c r="CY143" i="10"/>
  <c r="CY127" i="10"/>
  <c r="CY55" i="10"/>
  <c r="CY226" i="10"/>
  <c r="CY129" i="10"/>
  <c r="CY82" i="10"/>
  <c r="CY50" i="10"/>
  <c r="CY232" i="10"/>
  <c r="CY138" i="10"/>
  <c r="CY128" i="10"/>
  <c r="CY119" i="10"/>
  <c r="CY106" i="10"/>
  <c r="CY77" i="10"/>
  <c r="CY45" i="10"/>
  <c r="CY179" i="10"/>
  <c r="CY151" i="10"/>
  <c r="CY64" i="10"/>
  <c r="CY261" i="10"/>
  <c r="CY225" i="10"/>
  <c r="CY211" i="10"/>
  <c r="CY208" i="10"/>
  <c r="CY94" i="10"/>
  <c r="CY76" i="10"/>
  <c r="CY111" i="10"/>
  <c r="CY101" i="10"/>
  <c r="CY61" i="10"/>
  <c r="CY159" i="10"/>
  <c r="CY200" i="10"/>
  <c r="CY163" i="10"/>
  <c r="CY161" i="10"/>
  <c r="CY58" i="10"/>
  <c r="CY47" i="10"/>
  <c r="CY35" i="10"/>
  <c r="CY26" i="10"/>
  <c r="CY175" i="10"/>
  <c r="CY92" i="10"/>
  <c r="CY78" i="10"/>
  <c r="CY93" i="10"/>
  <c r="CY52" i="10"/>
  <c r="CY42" i="10"/>
  <c r="CY23" i="10"/>
  <c r="CY38" i="10"/>
  <c r="CY135" i="10"/>
  <c r="CY57" i="10"/>
  <c r="CY152" i="10"/>
  <c r="CY117" i="10"/>
  <c r="CY71" i="10"/>
  <c r="CY218" i="10"/>
  <c r="CY196" i="10"/>
  <c r="CY148" i="10"/>
  <c r="CY67" i="10"/>
  <c r="CY44" i="10"/>
  <c r="CY27" i="10"/>
  <c r="CY230" i="10"/>
  <c r="CY184" i="10"/>
  <c r="CY166" i="10"/>
  <c r="CY122" i="10"/>
  <c r="CY118" i="10"/>
  <c r="CY104" i="10"/>
  <c r="CY48" i="10"/>
  <c r="CY30" i="10"/>
  <c r="CY124" i="10"/>
  <c r="CY95" i="10"/>
  <c r="CY49" i="10"/>
  <c r="CY31" i="10"/>
  <c r="CY85" i="10"/>
  <c r="CY39" i="10"/>
  <c r="CY172" i="10"/>
  <c r="CY140" i="10"/>
  <c r="CY34" i="10"/>
  <c r="CY29" i="10"/>
  <c r="CY15" i="10"/>
  <c r="CY59" i="10"/>
  <c r="CY116" i="10"/>
  <c r="CY105" i="10"/>
  <c r="CY100" i="10"/>
  <c r="CY80" i="10"/>
  <c r="CY37" i="10"/>
  <c r="CY36" i="10"/>
  <c r="CY32" i="10"/>
  <c r="CY25" i="10"/>
  <c r="CY236" i="10"/>
  <c r="CY165" i="10"/>
  <c r="CY14" i="10"/>
  <c r="CY66" i="10"/>
  <c r="CY21" i="10"/>
  <c r="CY20" i="10"/>
  <c r="CY96" i="10"/>
  <c r="CY12" i="10"/>
  <c r="CY53" i="10"/>
  <c r="CY19" i="10"/>
  <c r="CY182" i="10"/>
  <c r="CY174" i="10"/>
  <c r="CY54" i="10"/>
  <c r="CY87" i="10"/>
  <c r="CY83" i="10"/>
  <c r="CY11" i="10"/>
  <c r="CY99" i="10"/>
  <c r="CY63" i="10"/>
  <c r="CY46" i="10"/>
  <c r="CY170" i="10"/>
  <c r="CY213" i="10"/>
  <c r="CY193" i="10"/>
  <c r="CY133" i="10"/>
  <c r="CY197" i="10"/>
  <c r="CY260" i="10"/>
  <c r="CY198" i="10"/>
  <c r="CY113" i="10"/>
  <c r="CY173" i="10"/>
  <c r="CY131" i="10"/>
  <c r="CY206" i="10"/>
  <c r="CY28" i="10"/>
  <c r="CY89" i="10"/>
  <c r="CY73" i="10"/>
  <c r="CY241" i="10"/>
  <c r="CY97" i="10"/>
  <c r="CY84" i="10"/>
  <c r="CY60" i="10"/>
  <c r="CY18" i="10"/>
  <c r="CY253" i="10"/>
  <c r="CY214" i="10"/>
  <c r="CY24" i="10"/>
  <c r="CY13" i="10"/>
  <c r="CY90" i="10"/>
  <c r="CY141" i="10"/>
  <c r="CY150" i="10"/>
  <c r="CY56" i="10"/>
  <c r="CY62" i="10"/>
  <c r="CY43" i="10"/>
  <c r="CY108" i="10"/>
  <c r="CY69" i="10"/>
  <c r="CY72" i="10"/>
  <c r="CY22" i="10"/>
  <c r="CY17" i="10"/>
  <c r="CY139" i="10"/>
  <c r="CY112" i="10"/>
  <c r="CY167" i="10"/>
  <c r="CY91" i="10"/>
  <c r="CY68" i="10"/>
  <c r="CY79" i="10"/>
  <c r="CY75" i="10"/>
  <c r="CY51" i="10"/>
  <c r="CY86" i="10"/>
  <c r="CY136" i="10"/>
  <c r="CY41" i="10"/>
  <c r="CY16" i="10"/>
  <c r="CY144" i="10"/>
  <c r="CY110" i="10"/>
  <c r="CY74" i="10"/>
  <c r="CY145" i="10"/>
  <c r="CY40" i="10"/>
  <c r="CY70" i="10"/>
  <c r="CY162" i="10"/>
  <c r="CY146" i="10"/>
  <c r="CY109" i="10"/>
  <c r="CY81" i="10"/>
  <c r="CM265" i="10"/>
  <c r="CM273" i="10"/>
  <c r="CM245" i="10"/>
  <c r="CM266" i="10"/>
  <c r="CM269" i="10"/>
  <c r="CM243" i="10"/>
  <c r="CM240" i="10"/>
  <c r="CM208" i="10"/>
  <c r="CM246" i="10"/>
  <c r="CM235" i="10"/>
  <c r="CM203" i="10"/>
  <c r="CM249" i="10"/>
  <c r="CM230" i="10"/>
  <c r="CM261" i="10"/>
  <c r="CM225" i="10"/>
  <c r="CM252" i="10"/>
  <c r="CM220" i="10"/>
  <c r="CM212" i="10"/>
  <c r="CM224" i="10"/>
  <c r="CM274" i="10"/>
  <c r="CM254" i="10"/>
  <c r="CM244" i="10"/>
  <c r="CM241" i="10"/>
  <c r="CM231" i="10"/>
  <c r="CM160" i="10"/>
  <c r="CM226" i="10"/>
  <c r="CM205" i="10"/>
  <c r="CM190" i="10"/>
  <c r="CM187" i="10"/>
  <c r="CM193" i="10"/>
  <c r="CM182" i="10"/>
  <c r="CM272" i="10"/>
  <c r="CM177" i="10"/>
  <c r="CM213" i="10"/>
  <c r="CM172" i="10"/>
  <c r="CM189" i="10"/>
  <c r="CM236" i="10"/>
  <c r="CM198" i="10"/>
  <c r="CM176" i="10"/>
  <c r="CM256" i="10"/>
  <c r="CM217" i="10"/>
  <c r="CM207" i="10"/>
  <c r="CM188" i="10"/>
  <c r="CM259" i="10"/>
  <c r="CM199" i="10"/>
  <c r="CM185" i="10"/>
  <c r="CM184" i="10"/>
  <c r="CM148" i="10"/>
  <c r="CM229" i="10"/>
  <c r="CM143" i="10"/>
  <c r="CM166" i="10"/>
  <c r="CM138" i="10"/>
  <c r="CM238" i="10"/>
  <c r="CM214" i="10"/>
  <c r="CM183" i="10"/>
  <c r="CM173" i="10"/>
  <c r="CM157" i="10"/>
  <c r="CM133" i="10"/>
  <c r="CM264" i="10"/>
  <c r="CM262" i="10"/>
  <c r="CM251" i="10"/>
  <c r="CM234" i="10"/>
  <c r="CM200" i="10"/>
  <c r="CM161" i="10"/>
  <c r="CM164" i="10"/>
  <c r="CM156" i="10"/>
  <c r="CM147" i="10"/>
  <c r="CM211" i="10"/>
  <c r="CM227" i="10"/>
  <c r="CM169" i="10"/>
  <c r="CM223" i="10"/>
  <c r="CM250" i="10"/>
  <c r="CM146" i="10"/>
  <c r="CM99" i="10"/>
  <c r="CM257" i="10"/>
  <c r="CM145" i="10"/>
  <c r="CM94" i="10"/>
  <c r="CM170" i="10"/>
  <c r="CM162" i="10"/>
  <c r="CM121" i="10"/>
  <c r="CM127" i="10"/>
  <c r="CM116" i="10"/>
  <c r="CM221" i="10"/>
  <c r="CM195" i="10"/>
  <c r="CM191" i="10"/>
  <c r="CM136" i="10"/>
  <c r="CM131" i="10"/>
  <c r="CM111" i="10"/>
  <c r="CM215" i="10"/>
  <c r="CM134" i="10"/>
  <c r="CM126" i="10"/>
  <c r="CM98" i="10"/>
  <c r="CM152" i="10"/>
  <c r="CM150" i="10"/>
  <c r="CM140" i="10"/>
  <c r="CM110" i="10"/>
  <c r="CM222" i="10"/>
  <c r="CM125" i="10"/>
  <c r="CM206" i="10"/>
  <c r="CM197" i="10"/>
  <c r="CM174" i="10"/>
  <c r="CM180" i="10"/>
  <c r="CM253" i="10"/>
  <c r="CM142" i="10"/>
  <c r="CM86" i="10"/>
  <c r="CM61" i="10"/>
  <c r="CM29" i="10"/>
  <c r="CM268" i="10"/>
  <c r="CM163" i="10"/>
  <c r="CM93" i="10"/>
  <c r="CM83" i="10"/>
  <c r="CM51" i="10"/>
  <c r="CM202" i="10"/>
  <c r="CM178" i="10"/>
  <c r="CM78" i="10"/>
  <c r="CM46" i="10"/>
  <c r="CM73" i="10"/>
  <c r="CM129" i="10"/>
  <c r="CM96" i="10"/>
  <c r="CM88" i="10"/>
  <c r="CM60" i="10"/>
  <c r="CM237" i="10"/>
  <c r="CM72" i="10"/>
  <c r="CM115" i="10"/>
  <c r="CM95" i="10"/>
  <c r="CM57" i="10"/>
  <c r="CM270" i="10"/>
  <c r="CM239" i="10"/>
  <c r="CM196" i="10"/>
  <c r="CM194" i="10"/>
  <c r="CM171" i="10"/>
  <c r="CM263" i="10"/>
  <c r="CM168" i="10"/>
  <c r="CM153" i="10"/>
  <c r="CM137" i="10"/>
  <c r="CM85" i="10"/>
  <c r="CM49" i="10"/>
  <c r="CM33" i="10"/>
  <c r="CM27" i="10"/>
  <c r="CM87" i="10"/>
  <c r="CM36" i="10"/>
  <c r="CM247" i="10"/>
  <c r="CM155" i="10"/>
  <c r="CM123" i="10"/>
  <c r="CM89" i="10"/>
  <c r="CM54" i="10"/>
  <c r="CM24" i="10"/>
  <c r="CM242" i="10"/>
  <c r="CM233" i="10"/>
  <c r="CM216" i="10"/>
  <c r="CM192" i="10"/>
  <c r="CM151" i="10"/>
  <c r="CM132" i="10"/>
  <c r="CM105" i="10"/>
  <c r="CM82" i="10"/>
  <c r="CM201" i="10"/>
  <c r="CM186" i="10"/>
  <c r="CM149" i="10"/>
  <c r="CM66" i="10"/>
  <c r="CM59" i="10"/>
  <c r="CM48" i="10"/>
  <c r="CM39" i="10"/>
  <c r="CM267" i="10"/>
  <c r="CM101" i="10"/>
  <c r="CM52" i="10"/>
  <c r="CM42" i="10"/>
  <c r="CM38" i="10"/>
  <c r="CM210" i="10"/>
  <c r="CM128" i="10"/>
  <c r="CM102" i="10"/>
  <c r="CM31" i="10"/>
  <c r="CM28" i="10"/>
  <c r="CM114" i="10"/>
  <c r="CM97" i="10"/>
  <c r="CM107" i="10"/>
  <c r="CM80" i="10"/>
  <c r="CM75" i="10"/>
  <c r="CM109" i="10"/>
  <c r="CM11" i="10"/>
  <c r="CM56" i="10"/>
  <c r="CM47" i="10"/>
  <c r="CM122" i="10"/>
  <c r="CM84" i="10"/>
  <c r="CM64" i="10"/>
  <c r="CM17" i="10"/>
  <c r="CM218" i="10"/>
  <c r="CM70" i="10"/>
  <c r="CM135" i="10"/>
  <c r="CM179" i="10"/>
  <c r="CM175" i="10"/>
  <c r="CM112" i="10"/>
  <c r="CM81" i="10"/>
  <c r="CM76" i="10"/>
  <c r="CM50" i="10"/>
  <c r="CM25" i="10"/>
  <c r="CM248" i="10"/>
  <c r="CM103" i="10"/>
  <c r="CM255" i="10"/>
  <c r="CM108" i="10"/>
  <c r="CM13" i="10"/>
  <c r="CM204" i="10"/>
  <c r="CM158" i="10"/>
  <c r="CM77" i="10"/>
  <c r="CM67" i="10"/>
  <c r="CM21" i="10"/>
  <c r="CM209" i="10"/>
  <c r="CM139" i="10"/>
  <c r="CM43" i="10"/>
  <c r="CM22" i="10"/>
  <c r="CM167" i="10"/>
  <c r="CM144" i="10"/>
  <c r="CM106" i="10"/>
  <c r="CM90" i="10"/>
  <c r="CM53" i="10"/>
  <c r="CM119" i="10"/>
  <c r="CM68" i="10"/>
  <c r="CM260" i="10"/>
  <c r="CM154" i="10"/>
  <c r="CM104" i="10"/>
  <c r="CM69" i="10"/>
  <c r="CM18" i="10"/>
  <c r="CM92" i="10"/>
  <c r="CM41" i="10"/>
  <c r="CM32" i="10"/>
  <c r="CM219" i="10"/>
  <c r="CM20" i="10"/>
  <c r="CM258" i="10"/>
  <c r="CM113" i="10"/>
  <c r="CM181" i="10"/>
  <c r="CM100" i="10"/>
  <c r="CM228" i="10"/>
  <c r="CM165" i="10"/>
  <c r="CM271" i="10"/>
  <c r="CM91" i="10"/>
  <c r="CM79" i="10"/>
  <c r="CM40" i="10"/>
  <c r="CM16" i="10"/>
  <c r="CM124" i="10"/>
  <c r="CM74" i="10"/>
  <c r="CM63" i="10"/>
  <c r="CM23" i="10"/>
  <c r="CM159" i="10"/>
  <c r="CM37" i="10"/>
  <c r="CM34" i="10"/>
  <c r="CM120" i="10"/>
  <c r="CM15" i="10"/>
  <c r="CM62" i="10"/>
  <c r="CM141" i="10"/>
  <c r="CM65" i="10"/>
  <c r="CM58" i="10"/>
  <c r="CM12" i="10"/>
  <c r="CM30" i="10"/>
  <c r="CM118" i="10"/>
  <c r="CM55" i="10"/>
  <c r="CM130" i="10"/>
  <c r="CM45" i="10"/>
  <c r="CM232" i="10"/>
  <c r="CM117" i="10"/>
  <c r="CM35" i="10"/>
  <c r="CM71" i="10"/>
  <c r="CM19" i="10"/>
  <c r="CM14" i="10"/>
  <c r="CM44" i="10"/>
  <c r="CM26" i="10"/>
  <c r="AH6" i="10"/>
  <c r="V8" i="10"/>
  <c r="W6" i="10"/>
  <c r="BA7" i="10"/>
  <c r="BA10" i="10"/>
  <c r="CW10" i="10" s="1"/>
  <c r="ES10" i="10" s="1"/>
  <c r="GO10" i="10" s="1"/>
  <c r="CB269" i="10"/>
  <c r="CB256" i="10"/>
  <c r="CB274" i="10"/>
  <c r="CB271" i="10"/>
  <c r="CB254" i="10"/>
  <c r="CB261" i="10"/>
  <c r="CB267" i="10"/>
  <c r="CB266" i="10"/>
  <c r="CB263" i="10"/>
  <c r="CB258" i="10"/>
  <c r="CB244" i="10"/>
  <c r="CB231" i="10"/>
  <c r="CB199" i="10"/>
  <c r="CB247" i="10"/>
  <c r="CB226" i="10"/>
  <c r="CB194" i="10"/>
  <c r="CB250" i="10"/>
  <c r="CB221" i="10"/>
  <c r="CB216" i="10"/>
  <c r="CB211" i="10"/>
  <c r="CB235" i="10"/>
  <c r="CB203" i="10"/>
  <c r="CB215" i="10"/>
  <c r="CB273" i="10"/>
  <c r="CB245" i="10"/>
  <c r="CB222" i="10"/>
  <c r="CB265" i="10"/>
  <c r="CB207" i="10"/>
  <c r="CB188" i="10"/>
  <c r="CB183" i="10"/>
  <c r="CB151" i="10"/>
  <c r="CB191" i="10"/>
  <c r="CB178" i="10"/>
  <c r="CB230" i="10"/>
  <c r="CB201" i="10"/>
  <c r="CB173" i="10"/>
  <c r="CB168" i="10"/>
  <c r="CB206" i="10"/>
  <c r="CB163" i="10"/>
  <c r="CB190" i="10"/>
  <c r="CB187" i="10"/>
  <c r="CB242" i="10"/>
  <c r="CB252" i="10"/>
  <c r="CB189" i="10"/>
  <c r="CB237" i="10"/>
  <c r="CB139" i="10"/>
  <c r="CB134" i="10"/>
  <c r="CB233" i="10"/>
  <c r="CB213" i="10"/>
  <c r="CB176" i="10"/>
  <c r="CB124" i="10"/>
  <c r="CB259" i="10"/>
  <c r="CB193" i="10"/>
  <c r="CB175" i="10"/>
  <c r="CB158" i="10"/>
  <c r="CB166" i="10"/>
  <c r="CB138" i="10"/>
  <c r="CB210" i="10"/>
  <c r="CB150" i="10"/>
  <c r="CB180" i="10"/>
  <c r="CB160" i="10"/>
  <c r="CB255" i="10"/>
  <c r="CB246" i="10"/>
  <c r="CB243" i="10"/>
  <c r="CB227" i="10"/>
  <c r="CB248" i="10"/>
  <c r="CB186" i="10"/>
  <c r="CB149" i="10"/>
  <c r="CB122" i="10"/>
  <c r="CB90" i="10"/>
  <c r="CB272" i="10"/>
  <c r="CB229" i="10"/>
  <c r="CB209" i="10"/>
  <c r="CB198" i="10"/>
  <c r="CB148" i="10"/>
  <c r="CB117" i="10"/>
  <c r="CB268" i="10"/>
  <c r="CB262" i="10"/>
  <c r="CB112" i="10"/>
  <c r="CB204" i="10"/>
  <c r="CB181" i="10"/>
  <c r="CB107" i="10"/>
  <c r="CB241" i="10"/>
  <c r="CB239" i="10"/>
  <c r="CB159" i="10"/>
  <c r="CB128" i="10"/>
  <c r="CB102" i="10"/>
  <c r="CB202" i="10"/>
  <c r="CB177" i="10"/>
  <c r="CB171" i="10"/>
  <c r="CB121" i="10"/>
  <c r="CB238" i="10"/>
  <c r="CB208" i="10"/>
  <c r="CB165" i="10"/>
  <c r="CB143" i="10"/>
  <c r="CB101" i="10"/>
  <c r="CB200" i="10"/>
  <c r="CB130" i="10"/>
  <c r="CB123" i="10"/>
  <c r="CB118" i="10"/>
  <c r="CB251" i="10"/>
  <c r="CB197" i="10"/>
  <c r="CB179" i="10"/>
  <c r="CB185" i="10"/>
  <c r="CB236" i="10"/>
  <c r="CB196" i="10"/>
  <c r="CB184" i="10"/>
  <c r="CB182" i="10"/>
  <c r="CB155" i="10"/>
  <c r="CB141" i="10"/>
  <c r="CB87" i="10"/>
  <c r="CB84" i="10"/>
  <c r="CB52" i="10"/>
  <c r="CB20" i="10"/>
  <c r="CB205" i="10"/>
  <c r="CB79" i="10"/>
  <c r="CB249" i="10"/>
  <c r="CB147" i="10"/>
  <c r="CB74" i="10"/>
  <c r="CB42" i="10"/>
  <c r="CB69" i="10"/>
  <c r="CB37" i="10"/>
  <c r="CB218" i="10"/>
  <c r="CB152" i="10"/>
  <c r="CB135" i="10"/>
  <c r="CB94" i="10"/>
  <c r="CB64" i="10"/>
  <c r="CB137" i="10"/>
  <c r="CB93" i="10"/>
  <c r="CB83" i="10"/>
  <c r="CB157" i="10"/>
  <c r="CB125" i="10"/>
  <c r="CB228" i="10"/>
  <c r="CB144" i="10"/>
  <c r="CB120" i="10"/>
  <c r="CB119" i="10"/>
  <c r="CB80" i="10"/>
  <c r="CB48" i="10"/>
  <c r="CB240" i="10"/>
  <c r="CB219" i="10"/>
  <c r="CB170" i="10"/>
  <c r="CB146" i="10"/>
  <c r="CB109" i="10"/>
  <c r="CB70" i="10"/>
  <c r="CB34" i="10"/>
  <c r="CB103" i="10"/>
  <c r="CB45" i="10"/>
  <c r="CB61" i="10"/>
  <c r="CB25" i="10"/>
  <c r="CB270" i="10"/>
  <c r="CB220" i="10"/>
  <c r="CB195" i="10"/>
  <c r="CB98" i="10"/>
  <c r="CB50" i="10"/>
  <c r="CB14" i="10"/>
  <c r="CB257" i="10"/>
  <c r="CB114" i="10"/>
  <c r="CB68" i="10"/>
  <c r="CB22" i="10"/>
  <c r="CB172" i="10"/>
  <c r="CB115" i="10"/>
  <c r="CB39" i="10"/>
  <c r="CB24" i="10"/>
  <c r="CB145" i="10"/>
  <c r="CB78" i="10"/>
  <c r="CB260" i="10"/>
  <c r="CB214" i="10"/>
  <c r="CB32" i="10"/>
  <c r="CB136" i="10"/>
  <c r="CB264" i="10"/>
  <c r="CB253" i="10"/>
  <c r="CB225" i="10"/>
  <c r="CB217" i="10"/>
  <c r="CB154" i="10"/>
  <c r="CB54" i="10"/>
  <c r="CB111" i="10"/>
  <c r="CB91" i="10"/>
  <c r="CB131" i="10"/>
  <c r="CB113" i="10"/>
  <c r="CB62" i="10"/>
  <c r="CB19" i="10"/>
  <c r="CB63" i="10"/>
  <c r="CB224" i="10"/>
  <c r="CB212" i="10"/>
  <c r="CB169" i="10"/>
  <c r="CB55" i="10"/>
  <c r="CB12" i="10"/>
  <c r="CB97" i="10"/>
  <c r="CB100" i="10"/>
  <c r="CB92" i="10"/>
  <c r="CB17" i="10"/>
  <c r="CB116" i="10"/>
  <c r="CB85" i="10"/>
  <c r="CB65" i="10"/>
  <c r="CB57" i="10"/>
  <c r="CB49" i="10"/>
  <c r="CB16" i="10"/>
  <c r="CB71" i="10"/>
  <c r="CB66" i="10"/>
  <c r="CB59" i="10"/>
  <c r="CB33" i="10"/>
  <c r="CB132" i="10"/>
  <c r="CB110" i="10"/>
  <c r="CB81" i="10"/>
  <c r="CB36" i="10"/>
  <c r="CB35" i="10"/>
  <c r="CB31" i="10"/>
  <c r="CB28" i="10"/>
  <c r="CB26" i="10"/>
  <c r="CB15" i="10"/>
  <c r="CB234" i="10"/>
  <c r="CB161" i="10"/>
  <c r="CB38" i="10"/>
  <c r="CB40" i="10"/>
  <c r="CB60" i="10"/>
  <c r="CB99" i="10"/>
  <c r="CB44" i="10"/>
  <c r="CB232" i="10"/>
  <c r="CB76" i="10"/>
  <c r="CB47" i="10"/>
  <c r="CB67" i="10"/>
  <c r="CB53" i="10"/>
  <c r="CB11" i="10"/>
  <c r="CB95" i="10"/>
  <c r="CB43" i="10"/>
  <c r="CB140" i="10"/>
  <c r="CB30" i="10"/>
  <c r="CB153" i="10"/>
  <c r="CB75" i="10"/>
  <c r="CB129" i="10"/>
  <c r="CB96" i="10"/>
  <c r="CB21" i="10"/>
  <c r="CB223" i="10"/>
  <c r="CB192" i="10"/>
  <c r="CB13" i="10"/>
  <c r="CB72" i="10"/>
  <c r="CB29" i="10"/>
  <c r="CB104" i="10"/>
  <c r="CB89" i="10"/>
  <c r="CB127" i="10"/>
  <c r="CB142" i="10"/>
  <c r="CB126" i="10"/>
  <c r="CB23" i="10"/>
  <c r="CB18" i="10"/>
  <c r="CB77" i="10"/>
  <c r="CB88" i="10"/>
  <c r="CB133" i="10"/>
  <c r="CB108" i="10"/>
  <c r="CB56" i="10"/>
  <c r="CB46" i="10"/>
  <c r="CB73" i="10"/>
  <c r="CB167" i="10"/>
  <c r="CB156" i="10"/>
  <c r="CB106" i="10"/>
  <c r="CB58" i="10"/>
  <c r="CB27" i="10"/>
  <c r="CB86" i="10"/>
  <c r="CB105" i="10"/>
  <c r="CB51" i="10"/>
  <c r="CB164" i="10"/>
  <c r="AF10" i="10"/>
  <c r="CB10" i="10" s="1"/>
  <c r="DX10" i="10" s="1"/>
  <c r="FT10" i="10" s="1"/>
  <c r="CB174" i="10"/>
  <c r="CB41" i="10"/>
  <c r="CB162" i="10"/>
  <c r="CB82" i="10"/>
  <c r="BQ247" i="10"/>
  <c r="BQ272" i="10"/>
  <c r="BQ264" i="10"/>
  <c r="BQ259" i="10"/>
  <c r="BQ274" i="10"/>
  <c r="BQ271" i="10"/>
  <c r="BQ268" i="10"/>
  <c r="BQ267" i="10"/>
  <c r="BQ245" i="10"/>
  <c r="BQ222" i="10"/>
  <c r="BQ190" i="10"/>
  <c r="BQ255" i="10"/>
  <c r="BQ248" i="10"/>
  <c r="BQ217" i="10"/>
  <c r="BQ251" i="10"/>
  <c r="BQ212" i="10"/>
  <c r="BQ266" i="10"/>
  <c r="BQ239" i="10"/>
  <c r="BQ207" i="10"/>
  <c r="BQ234" i="10"/>
  <c r="BQ226" i="10"/>
  <c r="BQ253" i="10"/>
  <c r="BQ238" i="10"/>
  <c r="BQ246" i="10"/>
  <c r="BQ237" i="10"/>
  <c r="BQ236" i="10"/>
  <c r="BQ189" i="10"/>
  <c r="BQ174" i="10"/>
  <c r="BQ203" i="10"/>
  <c r="BQ192" i="10"/>
  <c r="BQ169" i="10"/>
  <c r="BQ235" i="10"/>
  <c r="BQ164" i="10"/>
  <c r="BQ265" i="10"/>
  <c r="BQ218" i="10"/>
  <c r="BQ159" i="10"/>
  <c r="BQ256" i="10"/>
  <c r="BQ208" i="10"/>
  <c r="BQ195" i="10"/>
  <c r="BQ186" i="10"/>
  <c r="BQ154" i="10"/>
  <c r="BQ201" i="10"/>
  <c r="BQ191" i="10"/>
  <c r="BQ178" i="10"/>
  <c r="BQ262" i="10"/>
  <c r="BQ200" i="10"/>
  <c r="BQ244" i="10"/>
  <c r="BQ227" i="10"/>
  <c r="BQ156" i="10"/>
  <c r="BQ130" i="10"/>
  <c r="BQ261" i="10"/>
  <c r="BQ232" i="10"/>
  <c r="BQ170" i="10"/>
  <c r="BQ205" i="10"/>
  <c r="BQ179" i="10"/>
  <c r="BQ147" i="10"/>
  <c r="BQ250" i="10"/>
  <c r="BQ223" i="10"/>
  <c r="BQ142" i="10"/>
  <c r="BQ198" i="10"/>
  <c r="BQ197" i="10"/>
  <c r="BQ193" i="10"/>
  <c r="BQ175" i="10"/>
  <c r="BQ270" i="10"/>
  <c r="BQ167" i="10"/>
  <c r="BQ162" i="10"/>
  <c r="BQ141" i="10"/>
  <c r="BQ209" i="10"/>
  <c r="BQ183" i="10"/>
  <c r="BQ260" i="10"/>
  <c r="BQ221" i="10"/>
  <c r="BQ220" i="10"/>
  <c r="BQ185" i="10"/>
  <c r="BQ152" i="10"/>
  <c r="BQ151" i="10"/>
  <c r="BQ126" i="10"/>
  <c r="BQ113" i="10"/>
  <c r="BQ211" i="10"/>
  <c r="BQ108" i="10"/>
  <c r="BQ153" i="10"/>
  <c r="BQ103" i="10"/>
  <c r="BQ233" i="10"/>
  <c r="BQ98" i="10"/>
  <c r="BQ216" i="10"/>
  <c r="BQ180" i="10"/>
  <c r="BQ168" i="10"/>
  <c r="BQ155" i="10"/>
  <c r="BQ93" i="10"/>
  <c r="BQ161" i="10"/>
  <c r="BQ132" i="10"/>
  <c r="BQ112" i="10"/>
  <c r="BQ199" i="10"/>
  <c r="BQ249" i="10"/>
  <c r="BQ210" i="10"/>
  <c r="BQ136" i="10"/>
  <c r="BQ228" i="10"/>
  <c r="BQ196" i="10"/>
  <c r="BQ240" i="10"/>
  <c r="BQ230" i="10"/>
  <c r="BQ215" i="10"/>
  <c r="BQ213" i="10"/>
  <c r="BQ131" i="10"/>
  <c r="BQ105" i="10"/>
  <c r="BQ88" i="10"/>
  <c r="BQ75" i="10"/>
  <c r="BQ43" i="10"/>
  <c r="BQ224" i="10"/>
  <c r="BQ118" i="10"/>
  <c r="BQ117" i="10"/>
  <c r="BQ70" i="10"/>
  <c r="BQ194" i="10"/>
  <c r="BQ188" i="10"/>
  <c r="BQ140" i="10"/>
  <c r="BQ96" i="10"/>
  <c r="BQ65" i="10"/>
  <c r="BQ173" i="10"/>
  <c r="BQ116" i="10"/>
  <c r="BQ115" i="10"/>
  <c r="BQ60" i="10"/>
  <c r="BQ184" i="10"/>
  <c r="BQ165" i="10"/>
  <c r="BQ146" i="10"/>
  <c r="BQ104" i="10"/>
  <c r="BQ55" i="10"/>
  <c r="BQ176" i="10"/>
  <c r="BQ166" i="10"/>
  <c r="BQ163" i="10"/>
  <c r="BQ135" i="10"/>
  <c r="BQ74" i="10"/>
  <c r="BQ258" i="10"/>
  <c r="BQ214" i="10"/>
  <c r="BQ143" i="10"/>
  <c r="BQ109" i="10"/>
  <c r="BQ99" i="10"/>
  <c r="BQ71" i="10"/>
  <c r="BQ254" i="10"/>
  <c r="BQ181" i="10"/>
  <c r="BQ125" i="10"/>
  <c r="BQ124" i="10"/>
  <c r="BQ269" i="10"/>
  <c r="BQ243" i="10"/>
  <c r="BQ128" i="10"/>
  <c r="BQ121" i="10"/>
  <c r="BQ42" i="10"/>
  <c r="BQ35" i="10"/>
  <c r="BQ263" i="10"/>
  <c r="BQ229" i="10"/>
  <c r="BQ225" i="10"/>
  <c r="BQ148" i="10"/>
  <c r="BQ57" i="10"/>
  <c r="BQ26" i="10"/>
  <c r="BQ15" i="10"/>
  <c r="BQ38" i="10"/>
  <c r="BQ63" i="10"/>
  <c r="BQ23" i="10"/>
  <c r="BQ242" i="10"/>
  <c r="BQ139" i="10"/>
  <c r="BQ134" i="10"/>
  <c r="BQ97" i="10"/>
  <c r="BQ73" i="10"/>
  <c r="BQ72" i="10"/>
  <c r="BQ46" i="10"/>
  <c r="BQ204" i="10"/>
  <c r="BQ110" i="10"/>
  <c r="BQ231" i="10"/>
  <c r="BQ83" i="10"/>
  <c r="BQ82" i="10"/>
  <c r="BQ49" i="10"/>
  <c r="BQ44" i="10"/>
  <c r="BQ177" i="10"/>
  <c r="BQ127" i="10"/>
  <c r="BQ100" i="10"/>
  <c r="BQ66" i="10"/>
  <c r="BQ54" i="10"/>
  <c r="BQ182" i="10"/>
  <c r="BQ133" i="10"/>
  <c r="BQ202" i="10"/>
  <c r="BQ129" i="10"/>
  <c r="BQ90" i="10"/>
  <c r="BQ24" i="10"/>
  <c r="BQ119" i="10"/>
  <c r="BQ62" i="10"/>
  <c r="BQ219" i="10"/>
  <c r="BQ157" i="10"/>
  <c r="BQ106" i="10"/>
  <c r="BQ61" i="10"/>
  <c r="U10" i="10"/>
  <c r="BQ10" i="10" s="1"/>
  <c r="DM10" i="10" s="1"/>
  <c r="FI10" i="10" s="1"/>
  <c r="BQ52" i="10"/>
  <c r="BQ22" i="10"/>
  <c r="BQ160" i="10"/>
  <c r="BQ68" i="10"/>
  <c r="BQ79" i="10"/>
  <c r="BQ19" i="10"/>
  <c r="BQ120" i="10"/>
  <c r="BQ84" i="10"/>
  <c r="BQ187" i="10"/>
  <c r="BQ150" i="10"/>
  <c r="BQ137" i="10"/>
  <c r="BQ95" i="10"/>
  <c r="BQ18" i="10"/>
  <c r="BQ11" i="10"/>
  <c r="BQ17" i="10"/>
  <c r="BQ92" i="10"/>
  <c r="BQ80" i="10"/>
  <c r="BQ48" i="10"/>
  <c r="BQ273" i="10"/>
  <c r="BQ171" i="10"/>
  <c r="BQ252" i="10"/>
  <c r="BQ86" i="10"/>
  <c r="BQ36" i="10"/>
  <c r="BQ85" i="10"/>
  <c r="BQ59" i="10"/>
  <c r="BQ27" i="10"/>
  <c r="BQ107" i="10"/>
  <c r="BQ101" i="10"/>
  <c r="BQ53" i="10"/>
  <c r="BQ45" i="10"/>
  <c r="BQ76" i="10"/>
  <c r="BQ51" i="10"/>
  <c r="BQ34" i="10"/>
  <c r="BQ87" i="10"/>
  <c r="BQ78" i="10"/>
  <c r="BQ67" i="10"/>
  <c r="BQ47" i="10"/>
  <c r="BQ206" i="10"/>
  <c r="BQ241" i="10"/>
  <c r="BQ41" i="10"/>
  <c r="BQ89" i="10"/>
  <c r="BQ122" i="10"/>
  <c r="BQ50" i="10"/>
  <c r="BQ12" i="10"/>
  <c r="BQ158" i="10"/>
  <c r="BQ102" i="10"/>
  <c r="BQ21" i="10"/>
  <c r="BQ81" i="10"/>
  <c r="BQ31" i="10"/>
  <c r="BQ172" i="10"/>
  <c r="BQ29" i="10"/>
  <c r="BQ16" i="10"/>
  <c r="BQ40" i="10"/>
  <c r="BQ13" i="10"/>
  <c r="BQ56" i="10"/>
  <c r="BQ149" i="10"/>
  <c r="BQ114" i="10"/>
  <c r="BQ77" i="10"/>
  <c r="BQ37" i="10"/>
  <c r="BQ28" i="10"/>
  <c r="BQ69" i="10"/>
  <c r="BQ20" i="10"/>
  <c r="BQ25" i="10"/>
  <c r="BQ138" i="10"/>
  <c r="BQ33" i="10"/>
  <c r="BQ91" i="10"/>
  <c r="BQ39" i="10"/>
  <c r="BQ30" i="10"/>
  <c r="BQ58" i="10"/>
  <c r="BQ111" i="10"/>
  <c r="BQ145" i="10"/>
  <c r="BQ123" i="10"/>
  <c r="BQ64" i="10"/>
  <c r="BQ144" i="10"/>
  <c r="BQ32" i="10"/>
  <c r="BQ94" i="10"/>
  <c r="BQ257" i="10"/>
  <c r="BQ14" i="10"/>
  <c r="BD6" i="10"/>
  <c r="BD8" i="10" s="1"/>
  <c r="AR8" i="10"/>
  <c r="BB5" i="10"/>
  <c r="AP7" i="10"/>
  <c r="AF5" i="10"/>
  <c r="AQ5" i="10"/>
  <c r="AQ10" i="10" s="1"/>
  <c r="CM10" i="10" s="1"/>
  <c r="EI10" i="10" s="1"/>
  <c r="GE10" i="10" s="1"/>
  <c r="AE7" i="10"/>
  <c r="AI6" i="10" l="1"/>
  <c r="W8" i="10"/>
  <c r="BR242" i="10"/>
  <c r="BR272" i="10"/>
  <c r="BR259" i="10"/>
  <c r="BR254" i="10"/>
  <c r="BR255" i="10"/>
  <c r="BR267" i="10"/>
  <c r="BR262" i="10"/>
  <c r="BR248" i="10"/>
  <c r="BR217" i="10"/>
  <c r="BR251" i="10"/>
  <c r="BR212" i="10"/>
  <c r="BR274" i="10"/>
  <c r="BR266" i="10"/>
  <c r="BR239" i="10"/>
  <c r="BR207" i="10"/>
  <c r="BR234" i="10"/>
  <c r="BR202" i="10"/>
  <c r="BR265" i="10"/>
  <c r="BR229" i="10"/>
  <c r="BR250" i="10"/>
  <c r="BR221" i="10"/>
  <c r="BR233" i="10"/>
  <c r="BR249" i="10"/>
  <c r="BR240" i="10"/>
  <c r="BR203" i="10"/>
  <c r="BR192" i="10"/>
  <c r="BR169" i="10"/>
  <c r="BR271" i="10"/>
  <c r="BR235" i="10"/>
  <c r="BR218" i="10"/>
  <c r="BR256" i="10"/>
  <c r="BR208" i="10"/>
  <c r="BR195" i="10"/>
  <c r="BR186" i="10"/>
  <c r="BR154" i="10"/>
  <c r="BR198" i="10"/>
  <c r="BR181" i="10"/>
  <c r="BR194" i="10"/>
  <c r="BR173" i="10"/>
  <c r="BR185" i="10"/>
  <c r="BR270" i="10"/>
  <c r="BR205" i="10"/>
  <c r="BR243" i="10"/>
  <c r="BR241" i="10"/>
  <c r="BR263" i="10"/>
  <c r="BR261" i="10"/>
  <c r="BR236" i="10"/>
  <c r="BR232" i="10"/>
  <c r="BR125" i="10"/>
  <c r="BR170" i="10"/>
  <c r="BR164" i="10"/>
  <c r="BR179" i="10"/>
  <c r="BR147" i="10"/>
  <c r="BR223" i="10"/>
  <c r="BR178" i="10"/>
  <c r="BR142" i="10"/>
  <c r="BR253" i="10"/>
  <c r="BR228" i="10"/>
  <c r="BR206" i="10"/>
  <c r="BR137" i="10"/>
  <c r="BR214" i="10"/>
  <c r="BR196" i="10"/>
  <c r="BR257" i="10"/>
  <c r="BR225" i="10"/>
  <c r="BR215" i="10"/>
  <c r="BR260" i="10"/>
  <c r="BR226" i="10"/>
  <c r="BR231" i="10"/>
  <c r="BR211" i="10"/>
  <c r="BR108" i="10"/>
  <c r="BR167" i="10"/>
  <c r="BR153" i="10"/>
  <c r="BR103" i="10"/>
  <c r="BR174" i="10"/>
  <c r="BR98" i="10"/>
  <c r="BR216" i="10"/>
  <c r="BR180" i="10"/>
  <c r="BR168" i="10"/>
  <c r="BR155" i="10"/>
  <c r="BR93" i="10"/>
  <c r="BR201" i="10"/>
  <c r="BR150" i="10"/>
  <c r="BR140" i="10"/>
  <c r="BR129" i="10"/>
  <c r="BR120" i="10"/>
  <c r="BR88" i="10"/>
  <c r="BR264" i="10"/>
  <c r="BR191" i="10"/>
  <c r="BR187" i="10"/>
  <c r="BR160" i="10"/>
  <c r="BR107" i="10"/>
  <c r="BR177" i="10"/>
  <c r="BR163" i="10"/>
  <c r="BR162" i="10"/>
  <c r="BR119" i="10"/>
  <c r="BR188" i="10"/>
  <c r="BR145" i="10"/>
  <c r="BR238" i="10"/>
  <c r="BR230" i="10"/>
  <c r="BR224" i="10"/>
  <c r="BR190" i="10"/>
  <c r="BR130" i="10"/>
  <c r="BR118" i="10"/>
  <c r="BR117" i="10"/>
  <c r="BR70" i="10"/>
  <c r="BR38" i="10"/>
  <c r="BR151" i="10"/>
  <c r="BR132" i="10"/>
  <c r="BR96" i="10"/>
  <c r="BR227" i="10"/>
  <c r="BR116" i="10"/>
  <c r="BR115" i="10"/>
  <c r="BR60" i="10"/>
  <c r="BR184" i="10"/>
  <c r="BR165" i="10"/>
  <c r="BR146" i="10"/>
  <c r="BR104" i="10"/>
  <c r="BR55" i="10"/>
  <c r="BR268" i="10"/>
  <c r="BR133" i="10"/>
  <c r="BR82" i="10"/>
  <c r="BR50" i="10"/>
  <c r="BR69" i="10"/>
  <c r="BR204" i="10"/>
  <c r="BR81" i="10"/>
  <c r="BR193" i="10"/>
  <c r="BR157" i="10"/>
  <c r="BR66" i="10"/>
  <c r="BR237" i="10"/>
  <c r="BR172" i="10"/>
  <c r="BR258" i="10"/>
  <c r="BR148" i="10"/>
  <c r="BR141" i="10"/>
  <c r="BR57" i="10"/>
  <c r="BR26" i="10"/>
  <c r="BR15" i="10"/>
  <c r="BR166" i="10"/>
  <c r="BR131" i="10"/>
  <c r="BR75" i="10"/>
  <c r="BR74" i="10"/>
  <c r="BR113" i="10"/>
  <c r="BR63" i="10"/>
  <c r="BR23" i="10"/>
  <c r="BR139" i="10"/>
  <c r="BR134" i="10"/>
  <c r="BR97" i="10"/>
  <c r="BR73" i="10"/>
  <c r="BR72" i="10"/>
  <c r="BR46" i="10"/>
  <c r="BR252" i="10"/>
  <c r="BR246" i="10"/>
  <c r="BR149" i="10"/>
  <c r="BR68" i="10"/>
  <c r="BR40" i="10"/>
  <c r="BR14" i="10"/>
  <c r="BR90" i="10"/>
  <c r="BR89" i="10"/>
  <c r="BR30" i="10"/>
  <c r="BR111" i="10"/>
  <c r="BR91" i="10"/>
  <c r="BR33" i="10"/>
  <c r="BR27" i="10"/>
  <c r="BR245" i="10"/>
  <c r="BR87" i="10"/>
  <c r="BR43" i="10"/>
  <c r="BR219" i="10"/>
  <c r="BR189" i="10"/>
  <c r="BR136" i="10"/>
  <c r="BR106" i="10"/>
  <c r="BR61" i="10"/>
  <c r="V10" i="10"/>
  <c r="BR10" i="10" s="1"/>
  <c r="DN10" i="10" s="1"/>
  <c r="FJ10" i="10" s="1"/>
  <c r="BR244" i="10"/>
  <c r="BR52" i="10"/>
  <c r="BR22" i="10"/>
  <c r="BR213" i="10"/>
  <c r="BR99" i="10"/>
  <c r="BR42" i="10"/>
  <c r="BR62" i="10"/>
  <c r="BR156" i="10"/>
  <c r="BR84" i="10"/>
  <c r="BR56" i="10"/>
  <c r="BR222" i="10"/>
  <c r="BR210" i="10"/>
  <c r="BR17" i="10"/>
  <c r="BR105" i="10"/>
  <c r="BR92" i="10"/>
  <c r="BR247" i="10"/>
  <c r="BR80" i="10"/>
  <c r="BR48" i="10"/>
  <c r="BR273" i="10"/>
  <c r="BR171" i="10"/>
  <c r="BR112" i="10"/>
  <c r="BR71" i="10"/>
  <c r="BR65" i="10"/>
  <c r="BR85" i="10"/>
  <c r="BR182" i="10"/>
  <c r="BR127" i="10"/>
  <c r="BR123" i="10"/>
  <c r="BR101" i="10"/>
  <c r="BR77" i="10"/>
  <c r="BR41" i="10"/>
  <c r="BR269" i="10"/>
  <c r="BR220" i="10"/>
  <c r="BR124" i="10"/>
  <c r="BR36" i="10"/>
  <c r="BR161" i="10"/>
  <c r="BR59" i="10"/>
  <c r="BR19" i="10"/>
  <c r="BR110" i="10"/>
  <c r="BR53" i="10"/>
  <c r="BR45" i="10"/>
  <c r="BR95" i="10"/>
  <c r="BR76" i="10"/>
  <c r="BR51" i="10"/>
  <c r="BR49" i="10"/>
  <c r="BR34" i="10"/>
  <c r="BR197" i="10"/>
  <c r="BR32" i="10"/>
  <c r="BR20" i="10"/>
  <c r="BR94" i="10"/>
  <c r="BR37" i="10"/>
  <c r="BR28" i="10"/>
  <c r="BR138" i="10"/>
  <c r="BR58" i="10"/>
  <c r="BR54" i="10"/>
  <c r="BR44" i="10"/>
  <c r="BR176" i="10"/>
  <c r="BR143" i="10"/>
  <c r="BR128" i="10"/>
  <c r="BR29" i="10"/>
  <c r="BR16" i="10"/>
  <c r="BR109" i="10"/>
  <c r="BR47" i="10"/>
  <c r="BR21" i="10"/>
  <c r="BR183" i="10"/>
  <c r="BR11" i="10"/>
  <c r="BR121" i="10"/>
  <c r="BR159" i="10"/>
  <c r="BR199" i="10"/>
  <c r="BR31" i="10"/>
  <c r="BR18" i="10"/>
  <c r="BR200" i="10"/>
  <c r="BR126" i="10"/>
  <c r="BR114" i="10"/>
  <c r="BR13" i="10"/>
  <c r="BR158" i="10"/>
  <c r="BR102" i="10"/>
  <c r="BR25" i="10"/>
  <c r="BR39" i="10"/>
  <c r="BR83" i="10"/>
  <c r="BR79" i="10"/>
  <c r="BR100" i="10"/>
  <c r="BR12" i="10"/>
  <c r="BR175" i="10"/>
  <c r="BR144" i="10"/>
  <c r="BR86" i="10"/>
  <c r="BR152" i="10"/>
  <c r="BR122" i="10"/>
  <c r="BR135" i="10"/>
  <c r="BR78" i="10"/>
  <c r="BR64" i="10"/>
  <c r="BR35" i="10"/>
  <c r="BR209" i="10"/>
  <c r="BR67" i="10"/>
  <c r="BR24" i="10"/>
  <c r="AT6" i="10"/>
  <c r="AH8" i="10"/>
  <c r="W7" i="10"/>
  <c r="BB7" i="10"/>
  <c r="BB10" i="10"/>
  <c r="CX10" i="10" s="1"/>
  <c r="ET10" i="10" s="1"/>
  <c r="GP10" i="10" s="1"/>
  <c r="CN273" i="10"/>
  <c r="CN260" i="10"/>
  <c r="CN270" i="10"/>
  <c r="CN246" i="10"/>
  <c r="CN235" i="10"/>
  <c r="CN203" i="10"/>
  <c r="CN249" i="10"/>
  <c r="CN230" i="10"/>
  <c r="CN198" i="10"/>
  <c r="CN261" i="10"/>
  <c r="CN225" i="10"/>
  <c r="CN252" i="10"/>
  <c r="CN220" i="10"/>
  <c r="CN271" i="10"/>
  <c r="CN215" i="10"/>
  <c r="CN248" i="10"/>
  <c r="CN239" i="10"/>
  <c r="CN207" i="10"/>
  <c r="CN219" i="10"/>
  <c r="CN267" i="10"/>
  <c r="CN247" i="10"/>
  <c r="CN226" i="10"/>
  <c r="CN205" i="10"/>
  <c r="CN190" i="10"/>
  <c r="CN187" i="10"/>
  <c r="CN155" i="10"/>
  <c r="CN266" i="10"/>
  <c r="CN193" i="10"/>
  <c r="CN182" i="10"/>
  <c r="CN272" i="10"/>
  <c r="CN177" i="10"/>
  <c r="CN213" i="10"/>
  <c r="CN172" i="10"/>
  <c r="CN224" i="10"/>
  <c r="CN212" i="10"/>
  <c r="CN196" i="10"/>
  <c r="CN167" i="10"/>
  <c r="CN238" i="10"/>
  <c r="CN237" i="10"/>
  <c r="CN192" i="10"/>
  <c r="CN254" i="10"/>
  <c r="CN253" i="10"/>
  <c r="CN233" i="10"/>
  <c r="CN232" i="10"/>
  <c r="CN229" i="10"/>
  <c r="CN143" i="10"/>
  <c r="CN208" i="10"/>
  <c r="CN166" i="10"/>
  <c r="CN138" i="10"/>
  <c r="CN214" i="10"/>
  <c r="CN183" i="10"/>
  <c r="CN173" i="10"/>
  <c r="CN157" i="10"/>
  <c r="CN264" i="10"/>
  <c r="CN262" i="10"/>
  <c r="CN251" i="10"/>
  <c r="CN234" i="10"/>
  <c r="CN200" i="10"/>
  <c r="CN161" i="10"/>
  <c r="CN128" i="10"/>
  <c r="CN268" i="10"/>
  <c r="CN209" i="10"/>
  <c r="CN231" i="10"/>
  <c r="CN216" i="10"/>
  <c r="CN180" i="10"/>
  <c r="CN142" i="10"/>
  <c r="CN255" i="10"/>
  <c r="CN170" i="10"/>
  <c r="CN159" i="10"/>
  <c r="CN258" i="10"/>
  <c r="CN269" i="10"/>
  <c r="CN274" i="10"/>
  <c r="CN223" i="10"/>
  <c r="CN257" i="10"/>
  <c r="CN145" i="10"/>
  <c r="CN94" i="10"/>
  <c r="CN241" i="10"/>
  <c r="CN162" i="10"/>
  <c r="CN121" i="10"/>
  <c r="CN227" i="10"/>
  <c r="CN127" i="10"/>
  <c r="CN116" i="10"/>
  <c r="CN221" i="10"/>
  <c r="CN195" i="10"/>
  <c r="CN191" i="10"/>
  <c r="CN136" i="10"/>
  <c r="CN131" i="10"/>
  <c r="CN111" i="10"/>
  <c r="CN202" i="10"/>
  <c r="CN171" i="10"/>
  <c r="CN163" i="10"/>
  <c r="CN144" i="10"/>
  <c r="CN106" i="10"/>
  <c r="CN240" i="10"/>
  <c r="CN228" i="10"/>
  <c r="CN153" i="10"/>
  <c r="CN151" i="10"/>
  <c r="CN129" i="10"/>
  <c r="CN105" i="10"/>
  <c r="CN263" i="10"/>
  <c r="CN154" i="10"/>
  <c r="CN149" i="10"/>
  <c r="CN139" i="10"/>
  <c r="CN122" i="10"/>
  <c r="CN185" i="10"/>
  <c r="CN211" i="10"/>
  <c r="CN218" i="10"/>
  <c r="CN245" i="10"/>
  <c r="CN156" i="10"/>
  <c r="CN56" i="10"/>
  <c r="CN24" i="10"/>
  <c r="CN93" i="10"/>
  <c r="CN83" i="10"/>
  <c r="CN178" i="10"/>
  <c r="CN78" i="10"/>
  <c r="CN46" i="10"/>
  <c r="CN73" i="10"/>
  <c r="CN41" i="10"/>
  <c r="CN259" i="10"/>
  <c r="CN148" i="10"/>
  <c r="CN109" i="10"/>
  <c r="CN99" i="10"/>
  <c r="CN89" i="10"/>
  <c r="CN68" i="10"/>
  <c r="CN244" i="10"/>
  <c r="CN181" i="10"/>
  <c r="CN130" i="10"/>
  <c r="CN119" i="10"/>
  <c r="CN118" i="10"/>
  <c r="CN206" i="10"/>
  <c r="CN179" i="10"/>
  <c r="CN91" i="10"/>
  <c r="CN158" i="10"/>
  <c r="CN140" i="10"/>
  <c r="CN132" i="10"/>
  <c r="CN104" i="10"/>
  <c r="CN84" i="10"/>
  <c r="CN52" i="10"/>
  <c r="CN243" i="10"/>
  <c r="CN133" i="10"/>
  <c r="CN114" i="10"/>
  <c r="CN113" i="10"/>
  <c r="CN242" i="10"/>
  <c r="CN126" i="10"/>
  <c r="CN87" i="10"/>
  <c r="CN36" i="10"/>
  <c r="CN123" i="10"/>
  <c r="CN88" i="10"/>
  <c r="CN86" i="10"/>
  <c r="CN54" i="10"/>
  <c r="CN189" i="10"/>
  <c r="CN110" i="10"/>
  <c r="CN82" i="10"/>
  <c r="CN201" i="10"/>
  <c r="CN186" i="10"/>
  <c r="CN66" i="10"/>
  <c r="CN59" i="10"/>
  <c r="CN48" i="10"/>
  <c r="CN39" i="10"/>
  <c r="CN43" i="10"/>
  <c r="CN21" i="10"/>
  <c r="CN13" i="10"/>
  <c r="CN197" i="10"/>
  <c r="CN124" i="10"/>
  <c r="CN23" i="10"/>
  <c r="CN108" i="10"/>
  <c r="CN222" i="10"/>
  <c r="CN125" i="10"/>
  <c r="CN117" i="10"/>
  <c r="CN72" i="10"/>
  <c r="CN62" i="10"/>
  <c r="CN199" i="10"/>
  <c r="CN164" i="10"/>
  <c r="CN97" i="10"/>
  <c r="CN146" i="10"/>
  <c r="CN169" i="10"/>
  <c r="CN11" i="10"/>
  <c r="CN47" i="10"/>
  <c r="CN57" i="10"/>
  <c r="CN102" i="10"/>
  <c r="CN64" i="10"/>
  <c r="CN17" i="10"/>
  <c r="CN65" i="10"/>
  <c r="CN70" i="10"/>
  <c r="CN176" i="10"/>
  <c r="CN135" i="10"/>
  <c r="CN107" i="10"/>
  <c r="CN80" i="10"/>
  <c r="CN75" i="10"/>
  <c r="CN188" i="10"/>
  <c r="CN168" i="10"/>
  <c r="CN137" i="10"/>
  <c r="CN103" i="10"/>
  <c r="CN256" i="10"/>
  <c r="CN14" i="10"/>
  <c r="AR10" i="10"/>
  <c r="CN10" i="10" s="1"/>
  <c r="EJ10" i="10" s="1"/>
  <c r="GF10" i="10" s="1"/>
  <c r="CN204" i="10"/>
  <c r="CN77" i="10"/>
  <c r="CN67" i="10"/>
  <c r="CN42" i="10"/>
  <c r="CN22" i="10"/>
  <c r="CN152" i="10"/>
  <c r="CN101" i="10"/>
  <c r="CN96" i="10"/>
  <c r="CN90" i="10"/>
  <c r="CN53" i="10"/>
  <c r="CN134" i="10"/>
  <c r="CN174" i="10"/>
  <c r="CN61" i="10"/>
  <c r="CN79" i="10"/>
  <c r="CN74" i="10"/>
  <c r="CN55" i="10"/>
  <c r="CN150" i="10"/>
  <c r="CN20" i="10"/>
  <c r="CN25" i="10"/>
  <c r="CN69" i="10"/>
  <c r="CN71" i="10"/>
  <c r="CN30" i="10"/>
  <c r="CN217" i="10"/>
  <c r="CN37" i="10"/>
  <c r="CN28" i="10"/>
  <c r="CN15" i="10"/>
  <c r="CN12" i="10"/>
  <c r="CN35" i="10"/>
  <c r="CN115" i="10"/>
  <c r="CN44" i="10"/>
  <c r="CN33" i="10"/>
  <c r="CN250" i="10"/>
  <c r="CN184" i="10"/>
  <c r="CN81" i="10"/>
  <c r="CN29" i="10"/>
  <c r="CN265" i="10"/>
  <c r="CN19" i="10"/>
  <c r="CN175" i="10"/>
  <c r="CN85" i="10"/>
  <c r="CN92" i="10"/>
  <c r="CN18" i="10"/>
  <c r="CN27" i="10"/>
  <c r="CN160" i="10"/>
  <c r="CN98" i="10"/>
  <c r="CN34" i="10"/>
  <c r="CN31" i="10"/>
  <c r="CN45" i="10"/>
  <c r="CN40" i="10"/>
  <c r="CN120" i="10"/>
  <c r="CN141" i="10"/>
  <c r="CN49" i="10"/>
  <c r="CN76" i="10"/>
  <c r="CN58" i="10"/>
  <c r="CN194" i="10"/>
  <c r="CN147" i="10"/>
  <c r="CN112" i="10"/>
  <c r="CN165" i="10"/>
  <c r="CN236" i="10"/>
  <c r="CN100" i="10"/>
  <c r="CN95" i="10"/>
  <c r="CN210" i="10"/>
  <c r="CN38" i="10"/>
  <c r="CN51" i="10"/>
  <c r="CN32" i="10"/>
  <c r="CN63" i="10"/>
  <c r="CN50" i="10"/>
  <c r="CN60" i="10"/>
  <c r="CN26" i="10"/>
  <c r="CN16" i="10"/>
  <c r="CZ264" i="10"/>
  <c r="CZ272" i="10"/>
  <c r="CZ269" i="10"/>
  <c r="CZ244" i="10"/>
  <c r="CZ271" i="10"/>
  <c r="CZ270" i="10"/>
  <c r="CZ268" i="10"/>
  <c r="CZ248" i="10"/>
  <c r="CZ239" i="10"/>
  <c r="CZ207" i="10"/>
  <c r="CZ251" i="10"/>
  <c r="CZ234" i="10"/>
  <c r="CZ202" i="10"/>
  <c r="CZ255" i="10"/>
  <c r="CZ229" i="10"/>
  <c r="CZ224" i="10"/>
  <c r="CZ219" i="10"/>
  <c r="CZ265" i="10"/>
  <c r="CZ250" i="10"/>
  <c r="CZ211" i="10"/>
  <c r="CZ223" i="10"/>
  <c r="CZ230" i="10"/>
  <c r="CZ246" i="10"/>
  <c r="CZ240" i="10"/>
  <c r="CZ222" i="10"/>
  <c r="CZ221" i="10"/>
  <c r="CZ192" i="10"/>
  <c r="CZ159" i="10"/>
  <c r="CZ249" i="10"/>
  <c r="CZ247" i="10"/>
  <c r="CZ242" i="10"/>
  <c r="CZ186" i="10"/>
  <c r="CZ267" i="10"/>
  <c r="CZ245" i="10"/>
  <c r="CZ238" i="10"/>
  <c r="CZ220" i="10"/>
  <c r="CZ210" i="10"/>
  <c r="CZ181" i="10"/>
  <c r="CZ209" i="10"/>
  <c r="CZ203" i="10"/>
  <c r="CZ195" i="10"/>
  <c r="CZ176" i="10"/>
  <c r="CZ263" i="10"/>
  <c r="CZ171" i="10"/>
  <c r="CZ194" i="10"/>
  <c r="CZ257" i="10"/>
  <c r="CZ206" i="10"/>
  <c r="CZ175" i="10"/>
  <c r="CZ262" i="10"/>
  <c r="CZ215" i="10"/>
  <c r="CZ160" i="10"/>
  <c r="CZ156" i="10"/>
  <c r="CZ147" i="10"/>
  <c r="CZ273" i="10"/>
  <c r="CZ142" i="10"/>
  <c r="CZ180" i="10"/>
  <c r="CZ137" i="10"/>
  <c r="CZ132" i="10"/>
  <c r="CZ235" i="10"/>
  <c r="CZ226" i="10"/>
  <c r="CZ243" i="10"/>
  <c r="CZ205" i="10"/>
  <c r="CZ146" i="10"/>
  <c r="CZ261" i="10"/>
  <c r="CZ274" i="10"/>
  <c r="CZ213" i="10"/>
  <c r="CZ197" i="10"/>
  <c r="CZ193" i="10"/>
  <c r="CZ189" i="10"/>
  <c r="CZ167" i="10"/>
  <c r="CZ256" i="10"/>
  <c r="CZ208" i="10"/>
  <c r="CZ241" i="10"/>
  <c r="CZ134" i="10"/>
  <c r="CZ130" i="10"/>
  <c r="CZ126" i="10"/>
  <c r="CZ98" i="10"/>
  <c r="CZ93" i="10"/>
  <c r="CZ259" i="10"/>
  <c r="CZ212" i="10"/>
  <c r="CZ188" i="10"/>
  <c r="CZ178" i="10"/>
  <c r="CZ120" i="10"/>
  <c r="CZ115" i="10"/>
  <c r="CZ196" i="10"/>
  <c r="CZ172" i="10"/>
  <c r="CZ165" i="10"/>
  <c r="CZ141" i="10"/>
  <c r="CZ110" i="10"/>
  <c r="CZ97" i="10"/>
  <c r="CZ109" i="10"/>
  <c r="CZ260" i="10"/>
  <c r="CZ198" i="10"/>
  <c r="CZ169" i="10"/>
  <c r="CZ231" i="10"/>
  <c r="CZ204" i="10"/>
  <c r="CZ170" i="10"/>
  <c r="CZ252" i="10"/>
  <c r="CZ143" i="10"/>
  <c r="CZ127" i="10"/>
  <c r="CZ60" i="10"/>
  <c r="CZ28" i="10"/>
  <c r="CZ129" i="10"/>
  <c r="CZ88" i="10"/>
  <c r="CZ82" i="10"/>
  <c r="CZ50" i="10"/>
  <c r="CZ232" i="10"/>
  <c r="CZ138" i="10"/>
  <c r="CZ128" i="10"/>
  <c r="CZ119" i="10"/>
  <c r="CZ106" i="10"/>
  <c r="CZ77" i="10"/>
  <c r="CZ45" i="10"/>
  <c r="CZ187" i="10"/>
  <c r="CZ174" i="10"/>
  <c r="CZ157" i="10"/>
  <c r="CZ144" i="10"/>
  <c r="CZ105" i="10"/>
  <c r="CZ96" i="10"/>
  <c r="CZ72" i="10"/>
  <c r="CZ266" i="10"/>
  <c r="CZ254" i="10"/>
  <c r="CZ155" i="10"/>
  <c r="CZ71" i="10"/>
  <c r="CZ173" i="10"/>
  <c r="CZ162" i="10"/>
  <c r="CZ152" i="10"/>
  <c r="CZ100" i="10"/>
  <c r="CZ56" i="10"/>
  <c r="CZ184" i="10"/>
  <c r="CZ216" i="10"/>
  <c r="CZ123" i="10"/>
  <c r="CZ92" i="10"/>
  <c r="CZ78" i="10"/>
  <c r="CZ183" i="10"/>
  <c r="CZ149" i="10"/>
  <c r="CZ111" i="10"/>
  <c r="CZ64" i="10"/>
  <c r="CZ52" i="10"/>
  <c r="CZ42" i="10"/>
  <c r="CZ23" i="10"/>
  <c r="CZ237" i="10"/>
  <c r="CZ201" i="10"/>
  <c r="CZ38" i="10"/>
  <c r="CZ135" i="10"/>
  <c r="CZ57" i="10"/>
  <c r="CZ163" i="10"/>
  <c r="CZ140" i="10"/>
  <c r="CZ94" i="10"/>
  <c r="CZ76" i="10"/>
  <c r="CZ20" i="10"/>
  <c r="CZ227" i="10"/>
  <c r="CZ154" i="10"/>
  <c r="CZ150" i="10"/>
  <c r="CZ22" i="10"/>
  <c r="CZ125" i="10"/>
  <c r="CZ103" i="10"/>
  <c r="CZ68" i="10"/>
  <c r="CZ30" i="10"/>
  <c r="CZ190" i="10"/>
  <c r="CZ164" i="10"/>
  <c r="CZ139" i="10"/>
  <c r="CZ49" i="10"/>
  <c r="CZ217" i="10"/>
  <c r="CZ148" i="10"/>
  <c r="CZ124" i="10"/>
  <c r="CZ107" i="10"/>
  <c r="CZ95" i="10"/>
  <c r="CZ31" i="10"/>
  <c r="CZ27" i="10"/>
  <c r="CZ122" i="10"/>
  <c r="CZ34" i="10"/>
  <c r="CZ33" i="10"/>
  <c r="CZ29" i="10"/>
  <c r="CZ15" i="10"/>
  <c r="CZ145" i="10"/>
  <c r="CZ116" i="10"/>
  <c r="CZ80" i="10"/>
  <c r="CZ65" i="10"/>
  <c r="CZ37" i="10"/>
  <c r="CZ36" i="10"/>
  <c r="CZ32" i="10"/>
  <c r="CZ25" i="10"/>
  <c r="CZ236" i="10"/>
  <c r="CZ218" i="10"/>
  <c r="CZ118" i="10"/>
  <c r="CZ58" i="10"/>
  <c r="CZ35" i="10"/>
  <c r="CZ26" i="10"/>
  <c r="CZ14" i="10"/>
  <c r="CZ24" i="10"/>
  <c r="CZ85" i="10"/>
  <c r="CZ66" i="10"/>
  <c r="CZ59" i="10"/>
  <c r="CZ39" i="10"/>
  <c r="CZ40" i="10"/>
  <c r="CZ200" i="10"/>
  <c r="CZ61" i="10"/>
  <c r="CZ12" i="10"/>
  <c r="CZ101" i="10"/>
  <c r="CZ182" i="10"/>
  <c r="CZ121" i="10"/>
  <c r="CZ54" i="10"/>
  <c r="CZ199" i="10"/>
  <c r="CZ117" i="10"/>
  <c r="CZ87" i="10"/>
  <c r="CZ83" i="10"/>
  <c r="CZ11" i="10"/>
  <c r="CZ233" i="10"/>
  <c r="CZ104" i="10"/>
  <c r="CZ99" i="10"/>
  <c r="CZ63" i="10"/>
  <c r="CZ46" i="10"/>
  <c r="CZ136" i="10"/>
  <c r="CZ74" i="10"/>
  <c r="CZ69" i="10"/>
  <c r="CZ18" i="10"/>
  <c r="CZ214" i="10"/>
  <c r="CZ75" i="10"/>
  <c r="CZ70" i="10"/>
  <c r="CZ225" i="10"/>
  <c r="CZ258" i="10"/>
  <c r="CZ131" i="10"/>
  <c r="CZ166" i="10"/>
  <c r="CZ89" i="10"/>
  <c r="CZ73" i="10"/>
  <c r="CZ112" i="10"/>
  <c r="CZ179" i="10"/>
  <c r="CZ44" i="10"/>
  <c r="CZ185" i="10"/>
  <c r="CZ79" i="10"/>
  <c r="CZ108" i="10"/>
  <c r="CZ19" i="10"/>
  <c r="CZ114" i="10"/>
  <c r="CZ67" i="10"/>
  <c r="CZ17" i="10"/>
  <c r="CZ151" i="10"/>
  <c r="CZ43" i="10"/>
  <c r="CZ41" i="10"/>
  <c r="CZ48" i="10"/>
  <c r="CZ253" i="10"/>
  <c r="CZ53" i="10"/>
  <c r="CZ133" i="10"/>
  <c r="CZ168" i="10"/>
  <c r="CZ84" i="10"/>
  <c r="CZ51" i="10"/>
  <c r="CZ62" i="10"/>
  <c r="CZ158" i="10"/>
  <c r="CZ102" i="10"/>
  <c r="CZ113" i="10"/>
  <c r="CZ55" i="10"/>
  <c r="CZ91" i="10"/>
  <c r="CZ191" i="10"/>
  <c r="CZ86" i="10"/>
  <c r="CZ177" i="10"/>
  <c r="CZ90" i="10"/>
  <c r="CZ21" i="10"/>
  <c r="CZ16" i="10"/>
  <c r="CZ153" i="10"/>
  <c r="CZ47" i="10"/>
  <c r="CZ228" i="10"/>
  <c r="CZ161" i="10"/>
  <c r="CZ13" i="10"/>
  <c r="CZ81" i="10"/>
  <c r="CC251" i="10"/>
  <c r="CC274" i="10"/>
  <c r="CC271" i="10"/>
  <c r="CC263" i="10"/>
  <c r="CC273" i="10"/>
  <c r="CC270" i="10"/>
  <c r="CC265" i="10"/>
  <c r="CC247" i="10"/>
  <c r="CC226" i="10"/>
  <c r="CC194" i="10"/>
  <c r="CC250" i="10"/>
  <c r="CC221" i="10"/>
  <c r="CC189" i="10"/>
  <c r="CC269" i="10"/>
  <c r="CC216" i="10"/>
  <c r="CC211" i="10"/>
  <c r="CC253" i="10"/>
  <c r="CC238" i="10"/>
  <c r="CC249" i="10"/>
  <c r="CC230" i="10"/>
  <c r="CC272" i="10"/>
  <c r="CC260" i="10"/>
  <c r="CC256" i="10"/>
  <c r="CC210" i="10"/>
  <c r="CC248" i="10"/>
  <c r="CC191" i="10"/>
  <c r="CC178" i="10"/>
  <c r="CC201" i="10"/>
  <c r="CC173" i="10"/>
  <c r="CC258" i="10"/>
  <c r="CC231" i="10"/>
  <c r="CC168" i="10"/>
  <c r="CC215" i="10"/>
  <c r="CC206" i="10"/>
  <c r="CC163" i="10"/>
  <c r="CC259" i="10"/>
  <c r="CC229" i="10"/>
  <c r="CC228" i="10"/>
  <c r="CC197" i="10"/>
  <c r="CC158" i="10"/>
  <c r="CC262" i="10"/>
  <c r="CC193" i="10"/>
  <c r="CC182" i="10"/>
  <c r="CC246" i="10"/>
  <c r="CC245" i="10"/>
  <c r="CC240" i="10"/>
  <c r="CC222" i="10"/>
  <c r="CC237" i="10"/>
  <c r="CC264" i="10"/>
  <c r="CC134" i="10"/>
  <c r="CC233" i="10"/>
  <c r="CC213" i="10"/>
  <c r="CC129" i="10"/>
  <c r="CC176" i="10"/>
  <c r="CC244" i="10"/>
  <c r="CC190" i="10"/>
  <c r="CC187" i="10"/>
  <c r="CC175" i="10"/>
  <c r="CC241" i="10"/>
  <c r="CC224" i="10"/>
  <c r="CC207" i="10"/>
  <c r="CC196" i="10"/>
  <c r="CC192" i="10"/>
  <c r="CC188" i="10"/>
  <c r="CC146" i="10"/>
  <c r="CC257" i="10"/>
  <c r="CC242" i="10"/>
  <c r="CC209" i="10"/>
  <c r="CC183" i="10"/>
  <c r="CC157" i="10"/>
  <c r="CC239" i="10"/>
  <c r="CC235" i="10"/>
  <c r="CC145" i="10"/>
  <c r="CC252" i="10"/>
  <c r="CC243" i="10"/>
  <c r="CC227" i="10"/>
  <c r="CC198" i="10"/>
  <c r="CC148" i="10"/>
  <c r="CC117" i="10"/>
  <c r="CC85" i="10"/>
  <c r="CC268" i="10"/>
  <c r="CC138" i="10"/>
  <c r="CC112" i="10"/>
  <c r="CC204" i="10"/>
  <c r="CC181" i="10"/>
  <c r="CC107" i="10"/>
  <c r="CC160" i="10"/>
  <c r="CC159" i="10"/>
  <c r="CC128" i="10"/>
  <c r="CC102" i="10"/>
  <c r="CC214" i="10"/>
  <c r="CC169" i="10"/>
  <c r="CC147" i="10"/>
  <c r="CC97" i="10"/>
  <c r="CC267" i="10"/>
  <c r="CC205" i="10"/>
  <c r="CC127" i="10"/>
  <c r="CC116" i="10"/>
  <c r="CC142" i="10"/>
  <c r="CC126" i="10"/>
  <c r="CC113" i="10"/>
  <c r="CC203" i="10"/>
  <c r="CC179" i="10"/>
  <c r="CC266" i="10"/>
  <c r="CC185" i="10"/>
  <c r="CC220" i="10"/>
  <c r="CC79" i="10"/>
  <c r="CC47" i="10"/>
  <c r="CC74" i="10"/>
  <c r="CC69" i="10"/>
  <c r="CC218" i="10"/>
  <c r="CC180" i="10"/>
  <c r="CC152" i="10"/>
  <c r="CC135" i="10"/>
  <c r="CC94" i="10"/>
  <c r="CC64" i="10"/>
  <c r="CC32" i="10"/>
  <c r="CC200" i="10"/>
  <c r="CC111" i="10"/>
  <c r="CC101" i="10"/>
  <c r="CC59" i="10"/>
  <c r="CC124" i="10"/>
  <c r="CC89" i="10"/>
  <c r="CC78" i="10"/>
  <c r="CC172" i="10"/>
  <c r="CC167" i="10"/>
  <c r="CC149" i="10"/>
  <c r="CC122" i="10"/>
  <c r="CC121" i="10"/>
  <c r="CC254" i="10"/>
  <c r="CC234" i="10"/>
  <c r="CC161" i="10"/>
  <c r="CC154" i="10"/>
  <c r="CC150" i="10"/>
  <c r="CC106" i="10"/>
  <c r="CC75" i="10"/>
  <c r="CC43" i="10"/>
  <c r="CC261" i="10"/>
  <c r="CC130" i="10"/>
  <c r="CC118" i="10"/>
  <c r="CC186" i="10"/>
  <c r="CC133" i="10"/>
  <c r="CC103" i="10"/>
  <c r="CC45" i="10"/>
  <c r="CC61" i="10"/>
  <c r="CC37" i="10"/>
  <c r="CC25" i="10"/>
  <c r="CC195" i="10"/>
  <c r="CC139" i="10"/>
  <c r="CC98" i="10"/>
  <c r="CC50" i="10"/>
  <c r="CC14" i="10"/>
  <c r="CC114" i="10"/>
  <c r="CC68" i="10"/>
  <c r="CC22" i="10"/>
  <c r="CC212" i="10"/>
  <c r="CC104" i="10"/>
  <c r="CC55" i="10"/>
  <c r="CC165" i="10"/>
  <c r="CC92" i="10"/>
  <c r="CC255" i="10"/>
  <c r="CC174" i="10"/>
  <c r="CC120" i="10"/>
  <c r="CC58" i="10"/>
  <c r="CC29" i="10"/>
  <c r="CC77" i="10"/>
  <c r="CC76" i="10"/>
  <c r="CC225" i="10"/>
  <c r="CC177" i="10"/>
  <c r="CC87" i="10"/>
  <c r="CC83" i="10"/>
  <c r="CC131" i="10"/>
  <c r="CC109" i="10"/>
  <c r="CC46" i="10"/>
  <c r="CC166" i="10"/>
  <c r="CC62" i="10"/>
  <c r="CC20" i="10"/>
  <c r="CC19" i="10"/>
  <c r="CC12" i="10"/>
  <c r="CC202" i="10"/>
  <c r="CC143" i="10"/>
  <c r="CC91" i="10"/>
  <c r="CC63" i="10"/>
  <c r="CC65" i="10"/>
  <c r="CC57" i="10"/>
  <c r="CC49" i="10"/>
  <c r="CC16" i="10"/>
  <c r="CC137" i="10"/>
  <c r="CC105" i="10"/>
  <c r="CC132" i="10"/>
  <c r="CC110" i="10"/>
  <c r="CC81" i="10"/>
  <c r="CC36" i="10"/>
  <c r="CC35" i="10"/>
  <c r="CC31" i="10"/>
  <c r="CC28" i="10"/>
  <c r="CC26" i="10"/>
  <c r="CC15" i="10"/>
  <c r="CC39" i="10"/>
  <c r="CC38" i="10"/>
  <c r="CC34" i="10"/>
  <c r="CC40" i="10"/>
  <c r="CC60" i="10"/>
  <c r="CC199" i="10"/>
  <c r="CC164" i="10"/>
  <c r="CC155" i="10"/>
  <c r="CC86" i="10"/>
  <c r="CC24" i="10"/>
  <c r="CC219" i="10"/>
  <c r="CC141" i="10"/>
  <c r="CC73" i="10"/>
  <c r="CC53" i="10"/>
  <c r="CC151" i="10"/>
  <c r="CC208" i="10"/>
  <c r="CC136" i="10"/>
  <c r="CC67" i="10"/>
  <c r="CC11" i="10"/>
  <c r="CC95" i="10"/>
  <c r="CC41" i="10"/>
  <c r="CC17" i="10"/>
  <c r="CC217" i="10"/>
  <c r="CC144" i="10"/>
  <c r="CC82" i="10"/>
  <c r="CC171" i="10"/>
  <c r="CC153" i="10"/>
  <c r="CC170" i="10"/>
  <c r="CC42" i="10"/>
  <c r="CC33" i="10"/>
  <c r="CC236" i="10"/>
  <c r="CC223" i="10"/>
  <c r="CC108" i="10"/>
  <c r="CC99" i="10"/>
  <c r="CC184" i="10"/>
  <c r="CC93" i="10"/>
  <c r="CC115" i="10"/>
  <c r="CC70" i="10"/>
  <c r="CC140" i="10"/>
  <c r="CC23" i="10"/>
  <c r="CC18" i="10"/>
  <c r="CC30" i="10"/>
  <c r="CC66" i="10"/>
  <c r="CC56" i="10"/>
  <c r="CC13" i="10"/>
  <c r="CC88" i="10"/>
  <c r="CC84" i="10"/>
  <c r="CC119" i="10"/>
  <c r="CC80" i="10"/>
  <c r="CC125" i="10"/>
  <c r="CC52" i="10"/>
  <c r="CC156" i="10"/>
  <c r="CC96" i="10"/>
  <c r="CC72" i="10"/>
  <c r="CC123" i="10"/>
  <c r="CC27" i="10"/>
  <c r="CC100" i="10"/>
  <c r="CC71" i="10"/>
  <c r="CC51" i="10"/>
  <c r="CC90" i="10"/>
  <c r="CC48" i="10"/>
  <c r="CC232" i="10"/>
  <c r="CC162" i="10"/>
  <c r="CC54" i="10"/>
  <c r="CC21" i="10"/>
  <c r="CC44" i="10"/>
  <c r="BE6" i="10"/>
  <c r="BE8" i="10" s="1"/>
  <c r="AS8" i="10"/>
  <c r="BC5" i="10"/>
  <c r="AQ7" i="10"/>
  <c r="AG5" i="10"/>
  <c r="AG10" i="10" s="1"/>
  <c r="CC10" i="10" s="1"/>
  <c r="DY10" i="10" s="1"/>
  <c r="FU10" i="10" s="1"/>
  <c r="AR5" i="10"/>
  <c r="AF7" i="10"/>
  <c r="X7" i="10"/>
  <c r="BC7" i="10" l="1"/>
  <c r="BC10" i="10"/>
  <c r="CY10" i="10" s="1"/>
  <c r="EU10" i="10" s="1"/>
  <c r="GQ10" i="10" s="1"/>
  <c r="BF6" i="10"/>
  <c r="BF8" i="10" s="1"/>
  <c r="AT8" i="10"/>
  <c r="CO268" i="10"/>
  <c r="CO255" i="10"/>
  <c r="CO273" i="10"/>
  <c r="CO270" i="10"/>
  <c r="CO272" i="10"/>
  <c r="CO269" i="10"/>
  <c r="CO260" i="10"/>
  <c r="CO249" i="10"/>
  <c r="CO230" i="10"/>
  <c r="CO198" i="10"/>
  <c r="CO261" i="10"/>
  <c r="CO225" i="10"/>
  <c r="CO193" i="10"/>
  <c r="CO252" i="10"/>
  <c r="CO220" i="10"/>
  <c r="CO271" i="10"/>
  <c r="CO215" i="10"/>
  <c r="CO256" i="10"/>
  <c r="CO210" i="10"/>
  <c r="CO251" i="10"/>
  <c r="CO234" i="10"/>
  <c r="CO202" i="10"/>
  <c r="CO214" i="10"/>
  <c r="CO266" i="10"/>
  <c r="CO221" i="10"/>
  <c r="CO226" i="10"/>
  <c r="CO182" i="10"/>
  <c r="CO177" i="10"/>
  <c r="CO213" i="10"/>
  <c r="CO172" i="10"/>
  <c r="CO224" i="10"/>
  <c r="CO212" i="10"/>
  <c r="CO196" i="10"/>
  <c r="CO167" i="10"/>
  <c r="CO162" i="10"/>
  <c r="CO209" i="10"/>
  <c r="CO195" i="10"/>
  <c r="CO186" i="10"/>
  <c r="CO233" i="10"/>
  <c r="CO232" i="10"/>
  <c r="CO257" i="10"/>
  <c r="CO208" i="10"/>
  <c r="CO166" i="10"/>
  <c r="CO138" i="10"/>
  <c r="CO183" i="10"/>
  <c r="CO173" i="10"/>
  <c r="CO157" i="10"/>
  <c r="CO133" i="10"/>
  <c r="CO264" i="10"/>
  <c r="CO262" i="10"/>
  <c r="CO238" i="10"/>
  <c r="CO200" i="10"/>
  <c r="CO161" i="10"/>
  <c r="CO248" i="10"/>
  <c r="CO245" i="10"/>
  <c r="CO242" i="10"/>
  <c r="CO150" i="10"/>
  <c r="CO203" i="10"/>
  <c r="CO179" i="10"/>
  <c r="CO137" i="10"/>
  <c r="CO267" i="10"/>
  <c r="CO265" i="10"/>
  <c r="CO263" i="10"/>
  <c r="CO246" i="10"/>
  <c r="CO217" i="10"/>
  <c r="CO178" i="10"/>
  <c r="CO149" i="10"/>
  <c r="CO240" i="10"/>
  <c r="CO205" i="10"/>
  <c r="CO163" i="10"/>
  <c r="CO274" i="10"/>
  <c r="CO223" i="10"/>
  <c r="CO250" i="10"/>
  <c r="CO241" i="10"/>
  <c r="CO229" i="10"/>
  <c r="CO121" i="10"/>
  <c r="CO89" i="10"/>
  <c r="CO227" i="10"/>
  <c r="CO170" i="10"/>
  <c r="CO127" i="10"/>
  <c r="CO116" i="10"/>
  <c r="CO191" i="10"/>
  <c r="CO136" i="10"/>
  <c r="CO131" i="10"/>
  <c r="CO111" i="10"/>
  <c r="CO187" i="10"/>
  <c r="CO171" i="10"/>
  <c r="CO144" i="10"/>
  <c r="CO106" i="10"/>
  <c r="CO135" i="10"/>
  <c r="CO101" i="10"/>
  <c r="CO184" i="10"/>
  <c r="CO120" i="10"/>
  <c r="CO189" i="10"/>
  <c r="CO100" i="10"/>
  <c r="CO258" i="10"/>
  <c r="CO244" i="10"/>
  <c r="CO206" i="10"/>
  <c r="CO197" i="10"/>
  <c r="CO174" i="10"/>
  <c r="CO155" i="10"/>
  <c r="CO117" i="10"/>
  <c r="CO211" i="10"/>
  <c r="CO180" i="10"/>
  <c r="CO253" i="10"/>
  <c r="CO218" i="10"/>
  <c r="CO93" i="10"/>
  <c r="CO83" i="10"/>
  <c r="CO51" i="10"/>
  <c r="CO19" i="10"/>
  <c r="CO78" i="10"/>
  <c r="CO73" i="10"/>
  <c r="CO41" i="10"/>
  <c r="CO259" i="10"/>
  <c r="CO207" i="10"/>
  <c r="CO148" i="10"/>
  <c r="CO109" i="10"/>
  <c r="CO99" i="10"/>
  <c r="CO68" i="10"/>
  <c r="CO36" i="10"/>
  <c r="CO169" i="10"/>
  <c r="CO153" i="10"/>
  <c r="CO123" i="10"/>
  <c r="CO108" i="10"/>
  <c r="CO98" i="10"/>
  <c r="CO63" i="10"/>
  <c r="CO199" i="10"/>
  <c r="CO82" i="10"/>
  <c r="CO231" i="10"/>
  <c r="CO219" i="10"/>
  <c r="CO201" i="10"/>
  <c r="CO145" i="10"/>
  <c r="CO151" i="10"/>
  <c r="CO103" i="10"/>
  <c r="CO79" i="10"/>
  <c r="CO47" i="10"/>
  <c r="CO88" i="10"/>
  <c r="CO86" i="10"/>
  <c r="CO54" i="10"/>
  <c r="CO247" i="10"/>
  <c r="CO110" i="10"/>
  <c r="CO24" i="10"/>
  <c r="CO216" i="10"/>
  <c r="CO192" i="10"/>
  <c r="CO132" i="10"/>
  <c r="CO105" i="10"/>
  <c r="CO66" i="10"/>
  <c r="CO59" i="10"/>
  <c r="CO48" i="10"/>
  <c r="CO39" i="10"/>
  <c r="CO43" i="10"/>
  <c r="CO21" i="10"/>
  <c r="CO13" i="10"/>
  <c r="CO237" i="10"/>
  <c r="CO175" i="10"/>
  <c r="CO159" i="10"/>
  <c r="CO119" i="10"/>
  <c r="CO115" i="10"/>
  <c r="CO91" i="10"/>
  <c r="CO90" i="10"/>
  <c r="CO81" i="10"/>
  <c r="CO80" i="10"/>
  <c r="CO53" i="10"/>
  <c r="CO236" i="10"/>
  <c r="CO194" i="10"/>
  <c r="CO112" i="10"/>
  <c r="CO107" i="10"/>
  <c r="CO95" i="10"/>
  <c r="CO94" i="10"/>
  <c r="CO76" i="10"/>
  <c r="CO75" i="10"/>
  <c r="CO154" i="10"/>
  <c r="CO152" i="10"/>
  <c r="CO102" i="10"/>
  <c r="CO31" i="10"/>
  <c r="CO28" i="10"/>
  <c r="CO254" i="10"/>
  <c r="CO160" i="10"/>
  <c r="CO158" i="10"/>
  <c r="CO113" i="10"/>
  <c r="CO176" i="10"/>
  <c r="CO168" i="10"/>
  <c r="CO140" i="10"/>
  <c r="CO58" i="10"/>
  <c r="CO143" i="10"/>
  <c r="CO64" i="10"/>
  <c r="CO56" i="10"/>
  <c r="CO17" i="10"/>
  <c r="CO84" i="10"/>
  <c r="CO70" i="10"/>
  <c r="CO188" i="10"/>
  <c r="CO122" i="10"/>
  <c r="CO65" i="10"/>
  <c r="CO57" i="10"/>
  <c r="CO124" i="10"/>
  <c r="CO14" i="10"/>
  <c r="CO228" i="10"/>
  <c r="CO222" i="10"/>
  <c r="CO40" i="10"/>
  <c r="CO42" i="10"/>
  <c r="CO22" i="10"/>
  <c r="CO139" i="10"/>
  <c r="CO96" i="10"/>
  <c r="CO52" i="10"/>
  <c r="CO134" i="10"/>
  <c r="CO125" i="10"/>
  <c r="CO61" i="10"/>
  <c r="CO20" i="10"/>
  <c r="CO190" i="10"/>
  <c r="CO146" i="10"/>
  <c r="CO46" i="10"/>
  <c r="CO25" i="10"/>
  <c r="CO243" i="10"/>
  <c r="CO69" i="10"/>
  <c r="CO181" i="10"/>
  <c r="CO87" i="10"/>
  <c r="CO71" i="10"/>
  <c r="CO30" i="10"/>
  <c r="CO23" i="10"/>
  <c r="CO130" i="10"/>
  <c r="CO126" i="10"/>
  <c r="CO44" i="10"/>
  <c r="CO33" i="10"/>
  <c r="CO77" i="10"/>
  <c r="CO118" i="10"/>
  <c r="CO38" i="10"/>
  <c r="CO16" i="10"/>
  <c r="CO147" i="10"/>
  <c r="CO142" i="10"/>
  <c r="CO128" i="10"/>
  <c r="CO114" i="10"/>
  <c r="CO34" i="10"/>
  <c r="CO27" i="10"/>
  <c r="CO18" i="10"/>
  <c r="CO37" i="10"/>
  <c r="CO185" i="10"/>
  <c r="CO15" i="10"/>
  <c r="CO141" i="10"/>
  <c r="CO62" i="10"/>
  <c r="CO97" i="10"/>
  <c r="CO92" i="10"/>
  <c r="CO49" i="10"/>
  <c r="CO156" i="10"/>
  <c r="CO72" i="10"/>
  <c r="CO12" i="10"/>
  <c r="CO239" i="10"/>
  <c r="CO55" i="10"/>
  <c r="CO165" i="10"/>
  <c r="CO45" i="10"/>
  <c r="CO235" i="10"/>
  <c r="CO164" i="10"/>
  <c r="CO35" i="10"/>
  <c r="CO129" i="10"/>
  <c r="CO29" i="10"/>
  <c r="CO26" i="10"/>
  <c r="CO67" i="10"/>
  <c r="CO60" i="10"/>
  <c r="CO204" i="10"/>
  <c r="CO104" i="10"/>
  <c r="CO85" i="10"/>
  <c r="CO11" i="10"/>
  <c r="CO74" i="10"/>
  <c r="CO32" i="10"/>
  <c r="CO50" i="10"/>
  <c r="CD274" i="10"/>
  <c r="CD246" i="10"/>
  <c r="CD271" i="10"/>
  <c r="CD263" i="10"/>
  <c r="CD258" i="10"/>
  <c r="CD265" i="10"/>
  <c r="CD261" i="10"/>
  <c r="CD250" i="10"/>
  <c r="CD221" i="10"/>
  <c r="CD189" i="10"/>
  <c r="CD269" i="10"/>
  <c r="CD216" i="10"/>
  <c r="CD211" i="10"/>
  <c r="CD253" i="10"/>
  <c r="CD238" i="10"/>
  <c r="CD206" i="10"/>
  <c r="CD270" i="10"/>
  <c r="CD233" i="10"/>
  <c r="CD225" i="10"/>
  <c r="CD237" i="10"/>
  <c r="CD273" i="10"/>
  <c r="CD255" i="10"/>
  <c r="CD201" i="10"/>
  <c r="CD173" i="10"/>
  <c r="CD231" i="10"/>
  <c r="CD230" i="10"/>
  <c r="CD168" i="10"/>
  <c r="CD215" i="10"/>
  <c r="CD194" i="10"/>
  <c r="CD163" i="10"/>
  <c r="CD259" i="10"/>
  <c r="CD229" i="10"/>
  <c r="CD228" i="10"/>
  <c r="CD197" i="10"/>
  <c r="CD158" i="10"/>
  <c r="CD260" i="10"/>
  <c r="CD185" i="10"/>
  <c r="CD153" i="10"/>
  <c r="CD224" i="10"/>
  <c r="CD223" i="10"/>
  <c r="CD212" i="10"/>
  <c r="CD196" i="10"/>
  <c r="CD177" i="10"/>
  <c r="CD248" i="10"/>
  <c r="CD241" i="10"/>
  <c r="CD203" i="10"/>
  <c r="CD264" i="10"/>
  <c r="CD268" i="10"/>
  <c r="CD213" i="10"/>
  <c r="CD129" i="10"/>
  <c r="CD247" i="10"/>
  <c r="CD176" i="10"/>
  <c r="CD256" i="10"/>
  <c r="CD244" i="10"/>
  <c r="CD190" i="10"/>
  <c r="CD187" i="10"/>
  <c r="CD175" i="10"/>
  <c r="CD207" i="10"/>
  <c r="CD193" i="10"/>
  <c r="CD192" i="10"/>
  <c r="CD188" i="10"/>
  <c r="CD146" i="10"/>
  <c r="CD219" i="10"/>
  <c r="CD195" i="10"/>
  <c r="CD191" i="10"/>
  <c r="CD186" i="10"/>
  <c r="CD167" i="10"/>
  <c r="CD162" i="10"/>
  <c r="CD151" i="10"/>
  <c r="CD141" i="10"/>
  <c r="CD182" i="10"/>
  <c r="CD172" i="10"/>
  <c r="CD161" i="10"/>
  <c r="CD202" i="10"/>
  <c r="CD181" i="10"/>
  <c r="CD140" i="10"/>
  <c r="CD249" i="10"/>
  <c r="CD171" i="10"/>
  <c r="CD227" i="10"/>
  <c r="CD222" i="10"/>
  <c r="CD204" i="10"/>
  <c r="CD267" i="10"/>
  <c r="CD272" i="10"/>
  <c r="CD209" i="10"/>
  <c r="CD138" i="10"/>
  <c r="CD112" i="10"/>
  <c r="CD262" i="10"/>
  <c r="CD107" i="10"/>
  <c r="CD235" i="10"/>
  <c r="CD160" i="10"/>
  <c r="CD159" i="10"/>
  <c r="CD128" i="10"/>
  <c r="CD102" i="10"/>
  <c r="CD239" i="10"/>
  <c r="CD214" i="10"/>
  <c r="CD169" i="10"/>
  <c r="CD147" i="10"/>
  <c r="CD97" i="10"/>
  <c r="CD257" i="10"/>
  <c r="CD132" i="10"/>
  <c r="CD92" i="10"/>
  <c r="CD254" i="10"/>
  <c r="CD210" i="10"/>
  <c r="CD164" i="10"/>
  <c r="CD111" i="10"/>
  <c r="CD236" i="10"/>
  <c r="CD234" i="10"/>
  <c r="CD232" i="10"/>
  <c r="CD184" i="10"/>
  <c r="CD266" i="10"/>
  <c r="CD242" i="10"/>
  <c r="CD226" i="10"/>
  <c r="CD220" i="10"/>
  <c r="CD205" i="10"/>
  <c r="CD134" i="10"/>
  <c r="CD74" i="10"/>
  <c r="CD42" i="10"/>
  <c r="CD198" i="10"/>
  <c r="CD69" i="10"/>
  <c r="CD218" i="10"/>
  <c r="CD180" i="10"/>
  <c r="CD152" i="10"/>
  <c r="CD135" i="10"/>
  <c r="CD94" i="10"/>
  <c r="CD64" i="10"/>
  <c r="CD200" i="10"/>
  <c r="CD101" i="10"/>
  <c r="CD59" i="10"/>
  <c r="CD252" i="10"/>
  <c r="CD54" i="10"/>
  <c r="CD123" i="10"/>
  <c r="CD108" i="10"/>
  <c r="CD98" i="10"/>
  <c r="CD73" i="10"/>
  <c r="CD199" i="10"/>
  <c r="CD183" i="10"/>
  <c r="CD127" i="10"/>
  <c r="CD170" i="10"/>
  <c r="CD85" i="10"/>
  <c r="CD70" i="10"/>
  <c r="CD145" i="10"/>
  <c r="CD131" i="10"/>
  <c r="CD155" i="10"/>
  <c r="CD61" i="10"/>
  <c r="CD37" i="10"/>
  <c r="CD25" i="10"/>
  <c r="CD139" i="10"/>
  <c r="CD118" i="10"/>
  <c r="CD50" i="10"/>
  <c r="CD14" i="10"/>
  <c r="CD122" i="10"/>
  <c r="CD114" i="10"/>
  <c r="CD68" i="10"/>
  <c r="CD22" i="10"/>
  <c r="CD104" i="10"/>
  <c r="CD55" i="10"/>
  <c r="CD178" i="10"/>
  <c r="CD137" i="10"/>
  <c r="CD126" i="10"/>
  <c r="CD40" i="10"/>
  <c r="CD100" i="10"/>
  <c r="CD91" i="10"/>
  <c r="CD80" i="10"/>
  <c r="CD48" i="10"/>
  <c r="CD116" i="10"/>
  <c r="CD136" i="10"/>
  <c r="CD133" i="10"/>
  <c r="CD47" i="10"/>
  <c r="CD156" i="10"/>
  <c r="CD154" i="10"/>
  <c r="CD143" i="10"/>
  <c r="CD109" i="10"/>
  <c r="CD166" i="10"/>
  <c r="CD113" i="10"/>
  <c r="CD62" i="10"/>
  <c r="CD20" i="10"/>
  <c r="CD19" i="10"/>
  <c r="CD12" i="10"/>
  <c r="CD251" i="10"/>
  <c r="CD63" i="10"/>
  <c r="CD45" i="10"/>
  <c r="CD46" i="10"/>
  <c r="CD150" i="10"/>
  <c r="CD105" i="10"/>
  <c r="CD179" i="10"/>
  <c r="CD142" i="10"/>
  <c r="CD95" i="10"/>
  <c r="CD39" i="10"/>
  <c r="CD38" i="10"/>
  <c r="CD34" i="10"/>
  <c r="CD60" i="10"/>
  <c r="CD240" i="10"/>
  <c r="CD103" i="10"/>
  <c r="CD86" i="10"/>
  <c r="CD24" i="10"/>
  <c r="CD144" i="10"/>
  <c r="CD67" i="10"/>
  <c r="CD51" i="10"/>
  <c r="AH10" i="10"/>
  <c r="CD10" i="10" s="1"/>
  <c r="DZ10" i="10" s="1"/>
  <c r="FV10" i="10" s="1"/>
  <c r="CD174" i="10"/>
  <c r="CD117" i="10"/>
  <c r="CD115" i="10"/>
  <c r="CD157" i="10"/>
  <c r="CD245" i="10"/>
  <c r="CD53" i="10"/>
  <c r="CD110" i="10"/>
  <c r="CD65" i="10"/>
  <c r="CD243" i="10"/>
  <c r="CD43" i="10"/>
  <c r="CD120" i="10"/>
  <c r="CD41" i="10"/>
  <c r="CD78" i="10"/>
  <c r="CD32" i="10"/>
  <c r="CD106" i="10"/>
  <c r="CD75" i="10"/>
  <c r="CD28" i="10"/>
  <c r="CD15" i="10"/>
  <c r="CD58" i="10"/>
  <c r="CD56" i="10"/>
  <c r="CD35" i="10"/>
  <c r="CD96" i="10"/>
  <c r="CD21" i="10"/>
  <c r="CD79" i="10"/>
  <c r="CD125" i="10"/>
  <c r="CD72" i="10"/>
  <c r="CD16" i="10"/>
  <c r="CD11" i="10"/>
  <c r="CD121" i="10"/>
  <c r="CD13" i="10"/>
  <c r="CD23" i="10"/>
  <c r="CD18" i="10"/>
  <c r="CD93" i="10"/>
  <c r="CD81" i="10"/>
  <c r="CD83" i="10"/>
  <c r="CD36" i="10"/>
  <c r="CD77" i="10"/>
  <c r="CD66" i="10"/>
  <c r="CD149" i="10"/>
  <c r="CD88" i="10"/>
  <c r="CD84" i="10"/>
  <c r="CD31" i="10"/>
  <c r="CD119" i="10"/>
  <c r="CD148" i="10"/>
  <c r="CD217" i="10"/>
  <c r="CD52" i="10"/>
  <c r="CD49" i="10"/>
  <c r="CD76" i="10"/>
  <c r="CD124" i="10"/>
  <c r="CD87" i="10"/>
  <c r="CD33" i="10"/>
  <c r="CD30" i="10"/>
  <c r="CD17" i="10"/>
  <c r="CD165" i="10"/>
  <c r="CD27" i="10"/>
  <c r="CD130" i="10"/>
  <c r="CD71" i="10"/>
  <c r="CD90" i="10"/>
  <c r="CD82" i="10"/>
  <c r="CD208" i="10"/>
  <c r="CD44" i="10"/>
  <c r="CD29" i="10"/>
  <c r="CD99" i="10"/>
  <c r="CD89" i="10"/>
  <c r="CD26" i="10"/>
  <c r="CD57" i="10"/>
  <c r="BS272" i="10"/>
  <c r="BS264" i="10"/>
  <c r="BS254" i="10"/>
  <c r="BS269" i="10"/>
  <c r="BS249" i="10"/>
  <c r="BS265" i="10"/>
  <c r="BS266" i="10"/>
  <c r="BS255" i="10"/>
  <c r="BS251" i="10"/>
  <c r="BS212" i="10"/>
  <c r="BS274" i="10"/>
  <c r="BS239" i="10"/>
  <c r="BS207" i="10"/>
  <c r="BS259" i="10"/>
  <c r="BS234" i="10"/>
  <c r="BS202" i="10"/>
  <c r="BS229" i="10"/>
  <c r="BS224" i="10"/>
  <c r="BS216" i="10"/>
  <c r="BS228" i="10"/>
  <c r="BS235" i="10"/>
  <c r="BS271" i="10"/>
  <c r="BS164" i="10"/>
  <c r="BS218" i="10"/>
  <c r="BS256" i="10"/>
  <c r="BS208" i="10"/>
  <c r="BS195" i="10"/>
  <c r="BS186" i="10"/>
  <c r="BS198" i="10"/>
  <c r="BS181" i="10"/>
  <c r="BS233" i="10"/>
  <c r="BS176" i="10"/>
  <c r="BS215" i="10"/>
  <c r="BS206" i="10"/>
  <c r="BS197" i="10"/>
  <c r="BS168" i="10"/>
  <c r="BS227" i="10"/>
  <c r="BS226" i="10"/>
  <c r="BS180" i="10"/>
  <c r="BS270" i="10"/>
  <c r="BS244" i="10"/>
  <c r="BS223" i="10"/>
  <c r="BS190" i="10"/>
  <c r="BS187" i="10"/>
  <c r="BS263" i="10"/>
  <c r="BS246" i="10"/>
  <c r="BS170" i="10"/>
  <c r="BS179" i="10"/>
  <c r="BS147" i="10"/>
  <c r="BS205" i="10"/>
  <c r="BS178" i="10"/>
  <c r="BS142" i="10"/>
  <c r="BS253" i="10"/>
  <c r="BS250" i="10"/>
  <c r="BS137" i="10"/>
  <c r="BS247" i="10"/>
  <c r="BS152" i="10"/>
  <c r="BS132" i="10"/>
  <c r="BS158" i="10"/>
  <c r="BS151" i="10"/>
  <c r="BS245" i="10"/>
  <c r="BS230" i="10"/>
  <c r="BS220" i="10"/>
  <c r="BS200" i="10"/>
  <c r="BS184" i="10"/>
  <c r="BS174" i="10"/>
  <c r="BS166" i="10"/>
  <c r="BS154" i="10"/>
  <c r="BS161" i="10"/>
  <c r="BS221" i="10"/>
  <c r="BS231" i="10"/>
  <c r="BS260" i="10"/>
  <c r="BS167" i="10"/>
  <c r="BS153" i="10"/>
  <c r="BS103" i="10"/>
  <c r="BS98" i="10"/>
  <c r="BS155" i="10"/>
  <c r="BS201" i="10"/>
  <c r="BS150" i="10"/>
  <c r="BS140" i="10"/>
  <c r="BS129" i="10"/>
  <c r="BS120" i="10"/>
  <c r="BS88" i="10"/>
  <c r="BS209" i="10"/>
  <c r="BS149" i="10"/>
  <c r="BS139" i="10"/>
  <c r="BS115" i="10"/>
  <c r="BS182" i="10"/>
  <c r="BS128" i="10"/>
  <c r="BS102" i="10"/>
  <c r="BS171" i="10"/>
  <c r="BS124" i="10"/>
  <c r="BS114" i="10"/>
  <c r="BS217" i="10"/>
  <c r="BS144" i="10"/>
  <c r="BS131" i="10"/>
  <c r="BS127" i="10"/>
  <c r="BS238" i="10"/>
  <c r="BS232" i="10"/>
  <c r="BS196" i="10"/>
  <c r="BS192" i="10"/>
  <c r="BS240" i="10"/>
  <c r="BS236" i="10"/>
  <c r="BS172" i="10"/>
  <c r="BS258" i="10"/>
  <c r="BS203" i="10"/>
  <c r="BS96" i="10"/>
  <c r="BS65" i="10"/>
  <c r="BS33" i="10"/>
  <c r="BS194" i="10"/>
  <c r="BS188" i="10"/>
  <c r="BS116" i="10"/>
  <c r="BS173" i="10"/>
  <c r="BS165" i="10"/>
  <c r="BS146" i="10"/>
  <c r="BS104" i="10"/>
  <c r="BS55" i="10"/>
  <c r="BS268" i="10"/>
  <c r="BS133" i="10"/>
  <c r="BS82" i="10"/>
  <c r="BS50" i="10"/>
  <c r="BS242" i="10"/>
  <c r="BS162" i="10"/>
  <c r="BS159" i="10"/>
  <c r="BS95" i="10"/>
  <c r="BS77" i="10"/>
  <c r="BS148" i="10"/>
  <c r="BS136" i="10"/>
  <c r="BS111" i="10"/>
  <c r="BS101" i="10"/>
  <c r="BS94" i="10"/>
  <c r="BS90" i="10"/>
  <c r="BS64" i="10"/>
  <c r="BS160" i="10"/>
  <c r="BS76" i="10"/>
  <c r="BS183" i="10"/>
  <c r="BS93" i="10"/>
  <c r="BS86" i="10"/>
  <c r="BS61" i="10"/>
  <c r="BS199" i="10"/>
  <c r="BS122" i="10"/>
  <c r="BS213" i="10"/>
  <c r="BS145" i="10"/>
  <c r="BS225" i="10"/>
  <c r="BS125" i="10"/>
  <c r="BS75" i="10"/>
  <c r="BS74" i="10"/>
  <c r="BS117" i="10"/>
  <c r="BS113" i="10"/>
  <c r="BS63" i="10"/>
  <c r="BS38" i="10"/>
  <c r="BS23" i="10"/>
  <c r="BS134" i="10"/>
  <c r="BS108" i="10"/>
  <c r="BS97" i="10"/>
  <c r="BS73" i="10"/>
  <c r="BS72" i="10"/>
  <c r="BS46" i="10"/>
  <c r="BS252" i="10"/>
  <c r="BS62" i="10"/>
  <c r="BS51" i="10"/>
  <c r="BS20" i="10"/>
  <c r="BS163" i="10"/>
  <c r="BS99" i="10"/>
  <c r="BS67" i="10"/>
  <c r="BS22" i="10"/>
  <c r="W10" i="10"/>
  <c r="BS10" i="10" s="1"/>
  <c r="DO10" i="10" s="1"/>
  <c r="FK10" i="10" s="1"/>
  <c r="BS100" i="10"/>
  <c r="BS54" i="10"/>
  <c r="BS185" i="10"/>
  <c r="BS81" i="10"/>
  <c r="BS59" i="10"/>
  <c r="BS214" i="10"/>
  <c r="BS210" i="10"/>
  <c r="BS169" i="10"/>
  <c r="BS138" i="10"/>
  <c r="BS92" i="10"/>
  <c r="BS248" i="10"/>
  <c r="BS121" i="10"/>
  <c r="BS219" i="10"/>
  <c r="BS189" i="10"/>
  <c r="BS119" i="10"/>
  <c r="BS106" i="10"/>
  <c r="BS157" i="10"/>
  <c r="BS141" i="10"/>
  <c r="BS52" i="10"/>
  <c r="BS53" i="10"/>
  <c r="BS237" i="10"/>
  <c r="BS177" i="10"/>
  <c r="BS42" i="10"/>
  <c r="BS193" i="10"/>
  <c r="BS13" i="10"/>
  <c r="BS68" i="10"/>
  <c r="BS87" i="10"/>
  <c r="BS43" i="10"/>
  <c r="BS78" i="10"/>
  <c r="BS56" i="10"/>
  <c r="BS211" i="10"/>
  <c r="BS135" i="10"/>
  <c r="BS126" i="10"/>
  <c r="BS107" i="10"/>
  <c r="BS105" i="10"/>
  <c r="BS191" i="10"/>
  <c r="BS80" i="10"/>
  <c r="BS57" i="10"/>
  <c r="BS48" i="10"/>
  <c r="BS273" i="10"/>
  <c r="BS130" i="10"/>
  <c r="BS112" i="10"/>
  <c r="BS71" i="10"/>
  <c r="BS262" i="10"/>
  <c r="BS85" i="10"/>
  <c r="BS110" i="10"/>
  <c r="BS49" i="10"/>
  <c r="BS28" i="10"/>
  <c r="BS16" i="10"/>
  <c r="BS204" i="10"/>
  <c r="BS24" i="10"/>
  <c r="BS14" i="10"/>
  <c r="BS19" i="10"/>
  <c r="BS45" i="10"/>
  <c r="BS27" i="10"/>
  <c r="BS34" i="10"/>
  <c r="BS257" i="10"/>
  <c r="BS243" i="10"/>
  <c r="BS47" i="10"/>
  <c r="BS69" i="10"/>
  <c r="BS39" i="10"/>
  <c r="BS25" i="10"/>
  <c r="BS17" i="10"/>
  <c r="BS37" i="10"/>
  <c r="BS143" i="10"/>
  <c r="BS91" i="10"/>
  <c r="BS35" i="10"/>
  <c r="BS79" i="10"/>
  <c r="BS40" i="10"/>
  <c r="BS31" i="10"/>
  <c r="BS109" i="10"/>
  <c r="BS21" i="10"/>
  <c r="BS89" i="10"/>
  <c r="BS60" i="10"/>
  <c r="BS11" i="10"/>
  <c r="BS26" i="10"/>
  <c r="BS70" i="10"/>
  <c r="BS222" i="10"/>
  <c r="BS66" i="10"/>
  <c r="BS18" i="10"/>
  <c r="BS84" i="10"/>
  <c r="BS241" i="10"/>
  <c r="BS15" i="10"/>
  <c r="BS83" i="10"/>
  <c r="BS30" i="10"/>
  <c r="BS118" i="10"/>
  <c r="BS58" i="10"/>
  <c r="BS36" i="10"/>
  <c r="BS267" i="10"/>
  <c r="BS12" i="10"/>
  <c r="BS123" i="10"/>
  <c r="BS261" i="10"/>
  <c r="BS29" i="10"/>
  <c r="BS156" i="10"/>
  <c r="BS44" i="10"/>
  <c r="BS32" i="10"/>
  <c r="BS175" i="10"/>
  <c r="BS41" i="10"/>
  <c r="DA272" i="10"/>
  <c r="DA259" i="10"/>
  <c r="DA269" i="10"/>
  <c r="DA271" i="10"/>
  <c r="DA268" i="10"/>
  <c r="DA255" i="10"/>
  <c r="DA270" i="10"/>
  <c r="DA262" i="10"/>
  <c r="DA251" i="10"/>
  <c r="DA234" i="10"/>
  <c r="DA202" i="10"/>
  <c r="DA229" i="10"/>
  <c r="DA197" i="10"/>
  <c r="DA224" i="10"/>
  <c r="DA219" i="10"/>
  <c r="DA214" i="10"/>
  <c r="DA267" i="10"/>
  <c r="DA238" i="10"/>
  <c r="DA206" i="10"/>
  <c r="DA253" i="10"/>
  <c r="DA218" i="10"/>
  <c r="DA261" i="10"/>
  <c r="DA249" i="10"/>
  <c r="DA225" i="10"/>
  <c r="DA247" i="10"/>
  <c r="DA242" i="10"/>
  <c r="DA186" i="10"/>
  <c r="DA154" i="10"/>
  <c r="DA250" i="10"/>
  <c r="DA245" i="10"/>
  <c r="DA220" i="10"/>
  <c r="DA210" i="10"/>
  <c r="DA181" i="10"/>
  <c r="DA248" i="10"/>
  <c r="DA239" i="10"/>
  <c r="DA209" i="10"/>
  <c r="DA203" i="10"/>
  <c r="DA195" i="10"/>
  <c r="DA176" i="10"/>
  <c r="DA263" i="10"/>
  <c r="DA171" i="10"/>
  <c r="DA252" i="10"/>
  <c r="DA237" i="10"/>
  <c r="DA236" i="10"/>
  <c r="DA198" i="10"/>
  <c r="DA166" i="10"/>
  <c r="DA273" i="10"/>
  <c r="DA256" i="10"/>
  <c r="DA217" i="10"/>
  <c r="DA258" i="10"/>
  <c r="DA230" i="10"/>
  <c r="DA200" i="10"/>
  <c r="DA190" i="10"/>
  <c r="DA260" i="10"/>
  <c r="DA266" i="10"/>
  <c r="DA142" i="10"/>
  <c r="DA180" i="10"/>
  <c r="DA137" i="10"/>
  <c r="DA257" i="10"/>
  <c r="DA235" i="10"/>
  <c r="DA226" i="10"/>
  <c r="DA127" i="10"/>
  <c r="DA231" i="10"/>
  <c r="DA221" i="10"/>
  <c r="DA216" i="10"/>
  <c r="DA170" i="10"/>
  <c r="DA164" i="10"/>
  <c r="DA152" i="10"/>
  <c r="DA265" i="10"/>
  <c r="DA232" i="10"/>
  <c r="DA168" i="10"/>
  <c r="DA151" i="10"/>
  <c r="DA141" i="10"/>
  <c r="DA228" i="10"/>
  <c r="DA223" i="10"/>
  <c r="DA212" i="10"/>
  <c r="DA188" i="10"/>
  <c r="DA187" i="10"/>
  <c r="DA175" i="10"/>
  <c r="DA162" i="10"/>
  <c r="DA233" i="10"/>
  <c r="DA207" i="10"/>
  <c r="DA196" i="10"/>
  <c r="DA192" i="10"/>
  <c r="DA185" i="10"/>
  <c r="DA244" i="10"/>
  <c r="DA208" i="10"/>
  <c r="DA241" i="10"/>
  <c r="DA93" i="10"/>
  <c r="DA243" i="10"/>
  <c r="DA178" i="10"/>
  <c r="DA120" i="10"/>
  <c r="DA115" i="10"/>
  <c r="DA205" i="10"/>
  <c r="DA172" i="10"/>
  <c r="DA165" i="10"/>
  <c r="DA110" i="10"/>
  <c r="DA129" i="10"/>
  <c r="DA105" i="10"/>
  <c r="DA240" i="10"/>
  <c r="DA213" i="10"/>
  <c r="DA174" i="10"/>
  <c r="DA148" i="10"/>
  <c r="DA222" i="10"/>
  <c r="DA124" i="10"/>
  <c r="DA104" i="10"/>
  <c r="DA201" i="10"/>
  <c r="DA146" i="10"/>
  <c r="DA121" i="10"/>
  <c r="DA246" i="10"/>
  <c r="DA204" i="10"/>
  <c r="DA274" i="10"/>
  <c r="DA215" i="10"/>
  <c r="DA160" i="10"/>
  <c r="DA55" i="10"/>
  <c r="DA23" i="10"/>
  <c r="DA169" i="10"/>
  <c r="DA126" i="10"/>
  <c r="DA88" i="10"/>
  <c r="DA82" i="10"/>
  <c r="DA138" i="10"/>
  <c r="DA128" i="10"/>
  <c r="DA119" i="10"/>
  <c r="DA106" i="10"/>
  <c r="DA77" i="10"/>
  <c r="DA45" i="10"/>
  <c r="DA157" i="10"/>
  <c r="DA144" i="10"/>
  <c r="DA96" i="10"/>
  <c r="DA72" i="10"/>
  <c r="DA40" i="10"/>
  <c r="DA67" i="10"/>
  <c r="DA140" i="10"/>
  <c r="DA133" i="10"/>
  <c r="DA103" i="10"/>
  <c r="DA134" i="10"/>
  <c r="DA86" i="10"/>
  <c r="DA83" i="10"/>
  <c r="DA51" i="10"/>
  <c r="DA147" i="10"/>
  <c r="DA153" i="10"/>
  <c r="DA149" i="10"/>
  <c r="DA183" i="10"/>
  <c r="DA111" i="10"/>
  <c r="DA64" i="10"/>
  <c r="DA52" i="10"/>
  <c r="DA42" i="10"/>
  <c r="DA38" i="10"/>
  <c r="DA135" i="10"/>
  <c r="DA57" i="10"/>
  <c r="DA163" i="10"/>
  <c r="DA94" i="10"/>
  <c r="DA76" i="10"/>
  <c r="DA20" i="10"/>
  <c r="DA116" i="10"/>
  <c r="DA95" i="10"/>
  <c r="DA12" i="10"/>
  <c r="DA182" i="10"/>
  <c r="DA136" i="10"/>
  <c r="DA193" i="10"/>
  <c r="DA109" i="10"/>
  <c r="DA44" i="10"/>
  <c r="DA27" i="10"/>
  <c r="DA199" i="10"/>
  <c r="DA122" i="10"/>
  <c r="DA118" i="10"/>
  <c r="DA60" i="10"/>
  <c r="DA33" i="10"/>
  <c r="DA114" i="10"/>
  <c r="DA161" i="10"/>
  <c r="DA155" i="10"/>
  <c r="DA49" i="10"/>
  <c r="DA34" i="10"/>
  <c r="DA29" i="10"/>
  <c r="DA15" i="10"/>
  <c r="DA184" i="10"/>
  <c r="DA80" i="10"/>
  <c r="DA65" i="10"/>
  <c r="DA37" i="10"/>
  <c r="DA36" i="10"/>
  <c r="DA32" i="10"/>
  <c r="DA25" i="10"/>
  <c r="DA100" i="10"/>
  <c r="DA58" i="10"/>
  <c r="DA35" i="10"/>
  <c r="DA26" i="10"/>
  <c r="DA14" i="10"/>
  <c r="DA159" i="10"/>
  <c r="DA150" i="10"/>
  <c r="DA85" i="10"/>
  <c r="DA71" i="10"/>
  <c r="DA66" i="10"/>
  <c r="DA59" i="10"/>
  <c r="DA39" i="10"/>
  <c r="DA156" i="10"/>
  <c r="DA145" i="10"/>
  <c r="DA92" i="10"/>
  <c r="DA50" i="10"/>
  <c r="DA24" i="10"/>
  <c r="DA112" i="10"/>
  <c r="DA132" i="10"/>
  <c r="DA101" i="10"/>
  <c r="DA264" i="10"/>
  <c r="DA158" i="10"/>
  <c r="DA139" i="10"/>
  <c r="DA90" i="10"/>
  <c r="DA43" i="10"/>
  <c r="DA117" i="10"/>
  <c r="DA87" i="10"/>
  <c r="DA227" i="10"/>
  <c r="DA125" i="10"/>
  <c r="DA123" i="10"/>
  <c r="DA78" i="10"/>
  <c r="DA11" i="10"/>
  <c r="DA254" i="10"/>
  <c r="DA99" i="10"/>
  <c r="DA63" i="10"/>
  <c r="DA46" i="10"/>
  <c r="DA74" i="10"/>
  <c r="DA69" i="10"/>
  <c r="DA18" i="10"/>
  <c r="DA194" i="10"/>
  <c r="DA17" i="10"/>
  <c r="DA48" i="10"/>
  <c r="DA28" i="10"/>
  <c r="DA143" i="10"/>
  <c r="DA131" i="10"/>
  <c r="DA189" i="10"/>
  <c r="DA173" i="10"/>
  <c r="DA89" i="10"/>
  <c r="DA73" i="10"/>
  <c r="DA84" i="10"/>
  <c r="DA130" i="10"/>
  <c r="DA62" i="10"/>
  <c r="DA56" i="10"/>
  <c r="DA91" i="10"/>
  <c r="DA21" i="10"/>
  <c r="DA79" i="10"/>
  <c r="DA31" i="10"/>
  <c r="DA102" i="10"/>
  <c r="DA81" i="10"/>
  <c r="DA22" i="10"/>
  <c r="DA211" i="10"/>
  <c r="DA191" i="10"/>
  <c r="DA53" i="10"/>
  <c r="DA47" i="10"/>
  <c r="DA98" i="10"/>
  <c r="DA113" i="10"/>
  <c r="DA75" i="10"/>
  <c r="DA108" i="10"/>
  <c r="DA97" i="10"/>
  <c r="DA19" i="10"/>
  <c r="DA107" i="10"/>
  <c r="DA167" i="10"/>
  <c r="DA68" i="10"/>
  <c r="DA30" i="10"/>
  <c r="DA179" i="10"/>
  <c r="DA61" i="10"/>
  <c r="DA177" i="10"/>
  <c r="DA54" i="10"/>
  <c r="DA41" i="10"/>
  <c r="DA16" i="10"/>
  <c r="DA70" i="10"/>
  <c r="DA13" i="10"/>
  <c r="AU6" i="10"/>
  <c r="AI8" i="10"/>
  <c r="BD5" i="10"/>
  <c r="AR7" i="10"/>
  <c r="AH5" i="10"/>
  <c r="AS5" i="10"/>
  <c r="AS10" i="10" s="1"/>
  <c r="CO10" i="10" s="1"/>
  <c r="EK10" i="10" s="1"/>
  <c r="GG10" i="10" s="1"/>
  <c r="AG7" i="10"/>
  <c r="AV7" i="10"/>
  <c r="AJ7" i="10"/>
  <c r="Y7" i="10"/>
  <c r="BD7" i="10" l="1"/>
  <c r="BD10" i="10"/>
  <c r="CZ10" i="10" s="1"/>
  <c r="EV10" i="10" s="1"/>
  <c r="GR10" i="10" s="1"/>
  <c r="CE241" i="10"/>
  <c r="CE271" i="10"/>
  <c r="CE258" i="10"/>
  <c r="CE268" i="10"/>
  <c r="CE253" i="10"/>
  <c r="CE261" i="10"/>
  <c r="CE269" i="10"/>
  <c r="CE216" i="10"/>
  <c r="CE211" i="10"/>
  <c r="CE238" i="10"/>
  <c r="CE206" i="10"/>
  <c r="CE270" i="10"/>
  <c r="CE233" i="10"/>
  <c r="CE201" i="10"/>
  <c r="CE262" i="10"/>
  <c r="CE228" i="10"/>
  <c r="CE252" i="10"/>
  <c r="CE220" i="10"/>
  <c r="CE232" i="10"/>
  <c r="CE239" i="10"/>
  <c r="CE231" i="10"/>
  <c r="CE230" i="10"/>
  <c r="CE168" i="10"/>
  <c r="CE215" i="10"/>
  <c r="CE194" i="10"/>
  <c r="CE259" i="10"/>
  <c r="CE229" i="10"/>
  <c r="CE197" i="10"/>
  <c r="CE274" i="10"/>
  <c r="CE260" i="10"/>
  <c r="CE185" i="10"/>
  <c r="CE153" i="10"/>
  <c r="CE180" i="10"/>
  <c r="CE243" i="10"/>
  <c r="CE172" i="10"/>
  <c r="CE267" i="10"/>
  <c r="CE249" i="10"/>
  <c r="CE244" i="10"/>
  <c r="CE204" i="10"/>
  <c r="CE199" i="10"/>
  <c r="CE184" i="10"/>
  <c r="CE273" i="10"/>
  <c r="CE237" i="10"/>
  <c r="CE192" i="10"/>
  <c r="CE247" i="10"/>
  <c r="CE176" i="10"/>
  <c r="CE124" i="10"/>
  <c r="CE256" i="10"/>
  <c r="CE190" i="10"/>
  <c r="CE187" i="10"/>
  <c r="CE175" i="10"/>
  <c r="CE207" i="10"/>
  <c r="CE193" i="10"/>
  <c r="CE189" i="10"/>
  <c r="CE188" i="10"/>
  <c r="CE146" i="10"/>
  <c r="CE224" i="10"/>
  <c r="CE219" i="10"/>
  <c r="CE196" i="10"/>
  <c r="CE195" i="10"/>
  <c r="CE191" i="10"/>
  <c r="CE186" i="10"/>
  <c r="CE167" i="10"/>
  <c r="CE162" i="10"/>
  <c r="CE158" i="10"/>
  <c r="CE151" i="10"/>
  <c r="CE141" i="10"/>
  <c r="CE208" i="10"/>
  <c r="CE198" i="10"/>
  <c r="CE136" i="10"/>
  <c r="CE165" i="10"/>
  <c r="CE272" i="10"/>
  <c r="CE226" i="10"/>
  <c r="CE160" i="10"/>
  <c r="CE255" i="10"/>
  <c r="CE265" i="10"/>
  <c r="CE263" i="10"/>
  <c r="CE240" i="10"/>
  <c r="CE236" i="10"/>
  <c r="CE107" i="10"/>
  <c r="CE235" i="10"/>
  <c r="CE181" i="10"/>
  <c r="CE159" i="10"/>
  <c r="CE128" i="10"/>
  <c r="CE102" i="10"/>
  <c r="CE214" i="10"/>
  <c r="CE169" i="10"/>
  <c r="CE147" i="10"/>
  <c r="CE97" i="10"/>
  <c r="CE257" i="10"/>
  <c r="CE227" i="10"/>
  <c r="CE132" i="10"/>
  <c r="CE92" i="10"/>
  <c r="CE225" i="10"/>
  <c r="CE170" i="10"/>
  <c r="CE119" i="10"/>
  <c r="CE87" i="10"/>
  <c r="CE217" i="10"/>
  <c r="CE183" i="10"/>
  <c r="CE144" i="10"/>
  <c r="CE135" i="10"/>
  <c r="CE106" i="10"/>
  <c r="CE200" i="10"/>
  <c r="CE130" i="10"/>
  <c r="CE123" i="10"/>
  <c r="CE118" i="10"/>
  <c r="CE251" i="10"/>
  <c r="CE179" i="10"/>
  <c r="CE166" i="10"/>
  <c r="CE213" i="10"/>
  <c r="CE222" i="10"/>
  <c r="CE174" i="10"/>
  <c r="CE221" i="10"/>
  <c r="CE69" i="10"/>
  <c r="CE37" i="10"/>
  <c r="CE218" i="10"/>
  <c r="CE210" i="10"/>
  <c r="CE152" i="10"/>
  <c r="CE94" i="10"/>
  <c r="CE242" i="10"/>
  <c r="CE112" i="10"/>
  <c r="CE101" i="10"/>
  <c r="CE59" i="10"/>
  <c r="CE111" i="10"/>
  <c r="CE54" i="10"/>
  <c r="CE171" i="10"/>
  <c r="CE90" i="10"/>
  <c r="CE81" i="10"/>
  <c r="CE49" i="10"/>
  <c r="CE126" i="10"/>
  <c r="CE68" i="10"/>
  <c r="CE164" i="10"/>
  <c r="CE138" i="10"/>
  <c r="CE120" i="10"/>
  <c r="CE80" i="10"/>
  <c r="CE129" i="10"/>
  <c r="CE96" i="10"/>
  <c r="CE65" i="10"/>
  <c r="CE250" i="10"/>
  <c r="CE139" i="10"/>
  <c r="CE50" i="10"/>
  <c r="CE14" i="10"/>
  <c r="CE205" i="10"/>
  <c r="CE173" i="10"/>
  <c r="CE122" i="10"/>
  <c r="CE114" i="10"/>
  <c r="CE98" i="10"/>
  <c r="CE22" i="10"/>
  <c r="AI10" i="10"/>
  <c r="CE10" i="10" s="1"/>
  <c r="EA10" i="10" s="1"/>
  <c r="FW10" i="10" s="1"/>
  <c r="CE104" i="10"/>
  <c r="CE55" i="10"/>
  <c r="CE212" i="10"/>
  <c r="CE178" i="10"/>
  <c r="CE137" i="10"/>
  <c r="CE40" i="10"/>
  <c r="CE60" i="10"/>
  <c r="CE44" i="10"/>
  <c r="CE19" i="10"/>
  <c r="CE140" i="10"/>
  <c r="CE43" i="10"/>
  <c r="CE21" i="10"/>
  <c r="CE13" i="10"/>
  <c r="CE77" i="10"/>
  <c r="CE76" i="10"/>
  <c r="CE32" i="10"/>
  <c r="CE266" i="10"/>
  <c r="CE203" i="10"/>
  <c r="CE35" i="10"/>
  <c r="CE95" i="10"/>
  <c r="CE209" i="10"/>
  <c r="CE131" i="10"/>
  <c r="CE113" i="10"/>
  <c r="CE62" i="10"/>
  <c r="CE20" i="10"/>
  <c r="CE12" i="10"/>
  <c r="CE74" i="10"/>
  <c r="CE18" i="10"/>
  <c r="CE63" i="10"/>
  <c r="CE45" i="10"/>
  <c r="CE202" i="10"/>
  <c r="CE143" i="10"/>
  <c r="CE91" i="10"/>
  <c r="CE46" i="10"/>
  <c r="CE11" i="10"/>
  <c r="CE109" i="10"/>
  <c r="CE142" i="10"/>
  <c r="CE116" i="10"/>
  <c r="CE85" i="10"/>
  <c r="CE58" i="10"/>
  <c r="CE30" i="10"/>
  <c r="CE29" i="10"/>
  <c r="CE27" i="10"/>
  <c r="CE248" i="10"/>
  <c r="CE234" i="10"/>
  <c r="CE161" i="10"/>
  <c r="CE103" i="10"/>
  <c r="CE86" i="10"/>
  <c r="CE24" i="10"/>
  <c r="CE155" i="10"/>
  <c r="CE67" i="10"/>
  <c r="CE51" i="10"/>
  <c r="CE25" i="10"/>
  <c r="CE182" i="10"/>
  <c r="CE108" i="10"/>
  <c r="CE254" i="10"/>
  <c r="CE157" i="10"/>
  <c r="CE83" i="10"/>
  <c r="CE78" i="10"/>
  <c r="CE177" i="10"/>
  <c r="CE163" i="10"/>
  <c r="CE154" i="10"/>
  <c r="CE117" i="10"/>
  <c r="CE110" i="10"/>
  <c r="CE34" i="10"/>
  <c r="CE150" i="10"/>
  <c r="CE41" i="10"/>
  <c r="CE145" i="10"/>
  <c r="CE127" i="10"/>
  <c r="CE17" i="10"/>
  <c r="CE71" i="10"/>
  <c r="CE149" i="10"/>
  <c r="CE100" i="10"/>
  <c r="CE89" i="10"/>
  <c r="CE23" i="10"/>
  <c r="CE56" i="10"/>
  <c r="CE148" i="10"/>
  <c r="CE52" i="10"/>
  <c r="CE115" i="10"/>
  <c r="CE99" i="10"/>
  <c r="CE133" i="10"/>
  <c r="CE105" i="10"/>
  <c r="CE88" i="10"/>
  <c r="CE93" i="10"/>
  <c r="CE121" i="10"/>
  <c r="CE47" i="10"/>
  <c r="CE70" i="10"/>
  <c r="CE134" i="10"/>
  <c r="CE223" i="10"/>
  <c r="CE66" i="10"/>
  <c r="CE42" i="10"/>
  <c r="CE84" i="10"/>
  <c r="CE53" i="10"/>
  <c r="CE73" i="10"/>
  <c r="CE31" i="10"/>
  <c r="CE28" i="10"/>
  <c r="CE15" i="10"/>
  <c r="CE246" i="10"/>
  <c r="CE125" i="10"/>
  <c r="CE245" i="10"/>
  <c r="CE156" i="10"/>
  <c r="CE72" i="10"/>
  <c r="CE39" i="10"/>
  <c r="CE33" i="10"/>
  <c r="CE36" i="10"/>
  <c r="CE79" i="10"/>
  <c r="CE75" i="10"/>
  <c r="CE48" i="10"/>
  <c r="CE82" i="10"/>
  <c r="CE64" i="10"/>
  <c r="CE61" i="10"/>
  <c r="CE264" i="10"/>
  <c r="CE38" i="10"/>
  <c r="CE57" i="10"/>
  <c r="CE16" i="10"/>
  <c r="CE26" i="10"/>
  <c r="CP273" i="10"/>
  <c r="CP250" i="10"/>
  <c r="CP270" i="10"/>
  <c r="CP262" i="10"/>
  <c r="CP274" i="10"/>
  <c r="CP263" i="10"/>
  <c r="CP261" i="10"/>
  <c r="CP225" i="10"/>
  <c r="CP193" i="10"/>
  <c r="CP252" i="10"/>
  <c r="CP220" i="10"/>
  <c r="CP188" i="10"/>
  <c r="CP271" i="10"/>
  <c r="CP215" i="10"/>
  <c r="CP256" i="10"/>
  <c r="CP210" i="10"/>
  <c r="CP237" i="10"/>
  <c r="CP259" i="10"/>
  <c r="CP255" i="10"/>
  <c r="CP229" i="10"/>
  <c r="CP209" i="10"/>
  <c r="CP265" i="10"/>
  <c r="CP264" i="10"/>
  <c r="CP258" i="10"/>
  <c r="CP266" i="10"/>
  <c r="CP177" i="10"/>
  <c r="CP272" i="10"/>
  <c r="CP213" i="10"/>
  <c r="CP172" i="10"/>
  <c r="CP224" i="10"/>
  <c r="CP212" i="10"/>
  <c r="CP196" i="10"/>
  <c r="CP167" i="10"/>
  <c r="CP162" i="10"/>
  <c r="CP242" i="10"/>
  <c r="CP157" i="10"/>
  <c r="CP219" i="10"/>
  <c r="CP181" i="10"/>
  <c r="CP191" i="10"/>
  <c r="CP183" i="10"/>
  <c r="CP173" i="10"/>
  <c r="CP133" i="10"/>
  <c r="CP238" i="10"/>
  <c r="CP214" i="10"/>
  <c r="CP200" i="10"/>
  <c r="CP161" i="10"/>
  <c r="CP128" i="10"/>
  <c r="CP251" i="10"/>
  <c r="CP234" i="10"/>
  <c r="CP268" i="10"/>
  <c r="CP248" i="10"/>
  <c r="CP245" i="10"/>
  <c r="CP150" i="10"/>
  <c r="CP254" i="10"/>
  <c r="CP145" i="10"/>
  <c r="CP222" i="10"/>
  <c r="CP204" i="10"/>
  <c r="CP152" i="10"/>
  <c r="CP243" i="10"/>
  <c r="CP236" i="10"/>
  <c r="CP227" i="10"/>
  <c r="CP169" i="10"/>
  <c r="CP144" i="10"/>
  <c r="CP155" i="10"/>
  <c r="CP218" i="10"/>
  <c r="CP206" i="10"/>
  <c r="CP247" i="10"/>
  <c r="CP182" i="10"/>
  <c r="CP170" i="10"/>
  <c r="CP127" i="10"/>
  <c r="CP116" i="10"/>
  <c r="CP84" i="10"/>
  <c r="CP136" i="10"/>
  <c r="CP131" i="10"/>
  <c r="CP111" i="10"/>
  <c r="CP223" i="10"/>
  <c r="CP221" i="10"/>
  <c r="CP195" i="10"/>
  <c r="CP187" i="10"/>
  <c r="CP171" i="10"/>
  <c r="CP106" i="10"/>
  <c r="CP202" i="10"/>
  <c r="CP163" i="10"/>
  <c r="CP135" i="10"/>
  <c r="CP101" i="10"/>
  <c r="CP199" i="10"/>
  <c r="CP164" i="10"/>
  <c r="CP96" i="10"/>
  <c r="CP232" i="10"/>
  <c r="CP141" i="10"/>
  <c r="CP115" i="10"/>
  <c r="CP203" i="10"/>
  <c r="CP125" i="10"/>
  <c r="CP185" i="10"/>
  <c r="CP156" i="10"/>
  <c r="CP253" i="10"/>
  <c r="CP269" i="10"/>
  <c r="CP201" i="10"/>
  <c r="CP180" i="10"/>
  <c r="CP78" i="10"/>
  <c r="CP46" i="10"/>
  <c r="CP178" i="10"/>
  <c r="CP73" i="10"/>
  <c r="CP207" i="10"/>
  <c r="CP166" i="10"/>
  <c r="CP148" i="10"/>
  <c r="CP109" i="10"/>
  <c r="CP99" i="10"/>
  <c r="CP68" i="10"/>
  <c r="CP153" i="10"/>
  <c r="CP123" i="10"/>
  <c r="CP108" i="10"/>
  <c r="CP98" i="10"/>
  <c r="CP89" i="10"/>
  <c r="CP63" i="10"/>
  <c r="CP31" i="10"/>
  <c r="CP176" i="10"/>
  <c r="CP58" i="10"/>
  <c r="CP154" i="10"/>
  <c r="CP139" i="10"/>
  <c r="CP105" i="10"/>
  <c r="CP77" i="10"/>
  <c r="CP228" i="10"/>
  <c r="CP95" i="10"/>
  <c r="CP240" i="10"/>
  <c r="CP114" i="10"/>
  <c r="CP113" i="10"/>
  <c r="CP87" i="10"/>
  <c r="CP74" i="10"/>
  <c r="CP42" i="10"/>
  <c r="CP257" i="10"/>
  <c r="CP216" i="10"/>
  <c r="CP175" i="10"/>
  <c r="CP165" i="10"/>
  <c r="CP142" i="10"/>
  <c r="CP110" i="10"/>
  <c r="CP24" i="10"/>
  <c r="CP192" i="10"/>
  <c r="CP189" i="10"/>
  <c r="CP132" i="10"/>
  <c r="CP83" i="10"/>
  <c r="CP82" i="10"/>
  <c r="CP66" i="10"/>
  <c r="CP59" i="10"/>
  <c r="CP48" i="10"/>
  <c r="CP39" i="10"/>
  <c r="CP233" i="10"/>
  <c r="CP186" i="10"/>
  <c r="CP151" i="10"/>
  <c r="CP43" i="10"/>
  <c r="CP21" i="10"/>
  <c r="CP198" i="10"/>
  <c r="CP159" i="10"/>
  <c r="CP149" i="10"/>
  <c r="CP119" i="10"/>
  <c r="CP91" i="10"/>
  <c r="CP90" i="10"/>
  <c r="CP81" i="10"/>
  <c r="CP80" i="10"/>
  <c r="CP53" i="10"/>
  <c r="CP208" i="10"/>
  <c r="CP65" i="10"/>
  <c r="CP57" i="10"/>
  <c r="CP260" i="10"/>
  <c r="CP235" i="10"/>
  <c r="CP72" i="10"/>
  <c r="CP62" i="10"/>
  <c r="CP51" i="10"/>
  <c r="CP41" i="10"/>
  <c r="CP179" i="10"/>
  <c r="CP97" i="10"/>
  <c r="CP56" i="10"/>
  <c r="CP45" i="10"/>
  <c r="CP34" i="10"/>
  <c r="CP103" i="10"/>
  <c r="CP137" i="10"/>
  <c r="CP129" i="10"/>
  <c r="CP126" i="10"/>
  <c r="CP231" i="10"/>
  <c r="CP143" i="10"/>
  <c r="CP138" i="10"/>
  <c r="CP64" i="10"/>
  <c r="CP47" i="10"/>
  <c r="CP17" i="10"/>
  <c r="CP92" i="10"/>
  <c r="CP244" i="10"/>
  <c r="CP102" i="10"/>
  <c r="CP70" i="10"/>
  <c r="CP16" i="10"/>
  <c r="CP184" i="10"/>
  <c r="CP267" i="10"/>
  <c r="CP197" i="10"/>
  <c r="CP122" i="10"/>
  <c r="CP107" i="10"/>
  <c r="CP88" i="10"/>
  <c r="CP75" i="10"/>
  <c r="CP120" i="10"/>
  <c r="CP140" i="10"/>
  <c r="CP124" i="10"/>
  <c r="CP230" i="10"/>
  <c r="CP241" i="10"/>
  <c r="CP40" i="10"/>
  <c r="CP23" i="10"/>
  <c r="CP158" i="10"/>
  <c r="CP93" i="10"/>
  <c r="CP52" i="10"/>
  <c r="CP134" i="10"/>
  <c r="CP86" i="10"/>
  <c r="CP61" i="10"/>
  <c r="CP174" i="10"/>
  <c r="CP20" i="10"/>
  <c r="CP190" i="10"/>
  <c r="CP121" i="10"/>
  <c r="CP12" i="10"/>
  <c r="CP94" i="10"/>
  <c r="CP11" i="10"/>
  <c r="CP69" i="10"/>
  <c r="CP71" i="10"/>
  <c r="CP30" i="10"/>
  <c r="CP100" i="10"/>
  <c r="CP37" i="10"/>
  <c r="CP15" i="10"/>
  <c r="CP160" i="10"/>
  <c r="CP26" i="10"/>
  <c r="AT10" i="10"/>
  <c r="CP10" i="10" s="1"/>
  <c r="EL10" i="10" s="1"/>
  <c r="GH10" i="10" s="1"/>
  <c r="CP205" i="10"/>
  <c r="CP226" i="10"/>
  <c r="CP194" i="10"/>
  <c r="CP29" i="10"/>
  <c r="CP13" i="10"/>
  <c r="CP36" i="10"/>
  <c r="CP168" i="10"/>
  <c r="CP246" i="10"/>
  <c r="CP25" i="10"/>
  <c r="CP28" i="10"/>
  <c r="CP130" i="10"/>
  <c r="CP249" i="10"/>
  <c r="CP49" i="10"/>
  <c r="CP217" i="10"/>
  <c r="CP76" i="10"/>
  <c r="CP33" i="10"/>
  <c r="CP239" i="10"/>
  <c r="CP55" i="10"/>
  <c r="CP22" i="10"/>
  <c r="CP147" i="10"/>
  <c r="CP118" i="10"/>
  <c r="CP112" i="10"/>
  <c r="CP27" i="10"/>
  <c r="CP79" i="10"/>
  <c r="CP117" i="10"/>
  <c r="CP211" i="10"/>
  <c r="CP146" i="10"/>
  <c r="CP19" i="10"/>
  <c r="CP14" i="10"/>
  <c r="CP38" i="10"/>
  <c r="CP54" i="10"/>
  <c r="CP32" i="10"/>
  <c r="CP35" i="10"/>
  <c r="CP67" i="10"/>
  <c r="CP60" i="10"/>
  <c r="CP18" i="10"/>
  <c r="CP44" i="10"/>
  <c r="CP50" i="10"/>
  <c r="CP85" i="10"/>
  <c r="CP104" i="10"/>
  <c r="DB267" i="10"/>
  <c r="DB272" i="10"/>
  <c r="DB254" i="10"/>
  <c r="DB273" i="10"/>
  <c r="DB270" i="10"/>
  <c r="DB269" i="10"/>
  <c r="DB268" i="10"/>
  <c r="DB229" i="10"/>
  <c r="DB197" i="10"/>
  <c r="DB255" i="10"/>
  <c r="DB224" i="10"/>
  <c r="DB192" i="10"/>
  <c r="DB219" i="10"/>
  <c r="DB214" i="10"/>
  <c r="DB259" i="10"/>
  <c r="DB209" i="10"/>
  <c r="DB233" i="10"/>
  <c r="DB201" i="10"/>
  <c r="DB213" i="10"/>
  <c r="DB220" i="10"/>
  <c r="DB250" i="10"/>
  <c r="DB249" i="10"/>
  <c r="DB245" i="10"/>
  <c r="DB210" i="10"/>
  <c r="DB181" i="10"/>
  <c r="DB248" i="10"/>
  <c r="DB239" i="10"/>
  <c r="DB238" i="10"/>
  <c r="DB203" i="10"/>
  <c r="DB195" i="10"/>
  <c r="DB176" i="10"/>
  <c r="DB263" i="10"/>
  <c r="DB251" i="10"/>
  <c r="DB171" i="10"/>
  <c r="DB252" i="10"/>
  <c r="DB237" i="10"/>
  <c r="DB236" i="10"/>
  <c r="DB198" i="10"/>
  <c r="DB166" i="10"/>
  <c r="DB253" i="10"/>
  <c r="DB161" i="10"/>
  <c r="DB232" i="10"/>
  <c r="DB231" i="10"/>
  <c r="DB216" i="10"/>
  <c r="DB207" i="10"/>
  <c r="DB185" i="10"/>
  <c r="DB265" i="10"/>
  <c r="DB215" i="10"/>
  <c r="DB271" i="10"/>
  <c r="DB227" i="10"/>
  <c r="DB226" i="10"/>
  <c r="DB193" i="10"/>
  <c r="DB266" i="10"/>
  <c r="DB274" i="10"/>
  <c r="DB180" i="10"/>
  <c r="DB137" i="10"/>
  <c r="DB202" i="10"/>
  <c r="DB132" i="10"/>
  <c r="DB257" i="10"/>
  <c r="DB235" i="10"/>
  <c r="DB242" i="10"/>
  <c r="DB221" i="10"/>
  <c r="DB170" i="10"/>
  <c r="DB164" i="10"/>
  <c r="DB152" i="10"/>
  <c r="DB149" i="10"/>
  <c r="DB258" i="10"/>
  <c r="DB158" i="10"/>
  <c r="DB136" i="10"/>
  <c r="DB191" i="10"/>
  <c r="DB148" i="10"/>
  <c r="DB186" i="10"/>
  <c r="DB256" i="10"/>
  <c r="DB241" i="10"/>
  <c r="DB243" i="10"/>
  <c r="DB178" i="10"/>
  <c r="DB120" i="10"/>
  <c r="DB88" i="10"/>
  <c r="DB212" i="10"/>
  <c r="DB188" i="10"/>
  <c r="DB115" i="10"/>
  <c r="DB205" i="10"/>
  <c r="DB172" i="10"/>
  <c r="DB165" i="10"/>
  <c r="DB142" i="10"/>
  <c r="DB110" i="10"/>
  <c r="DB196" i="10"/>
  <c r="DB141" i="10"/>
  <c r="DB129" i="10"/>
  <c r="DB105" i="10"/>
  <c r="DB100" i="10"/>
  <c r="DB206" i="10"/>
  <c r="DB156" i="10"/>
  <c r="DB138" i="10"/>
  <c r="DB128" i="10"/>
  <c r="DB119" i="10"/>
  <c r="DB218" i="10"/>
  <c r="DB211" i="10"/>
  <c r="DB175" i="10"/>
  <c r="DB159" i="10"/>
  <c r="DB99" i="10"/>
  <c r="DB169" i="10"/>
  <c r="DB116" i="10"/>
  <c r="DB126" i="10"/>
  <c r="DB82" i="10"/>
  <c r="DB50" i="10"/>
  <c r="DB18" i="10"/>
  <c r="DB106" i="10"/>
  <c r="DB77" i="10"/>
  <c r="DB157" i="10"/>
  <c r="DB144" i="10"/>
  <c r="DB96" i="10"/>
  <c r="DB72" i="10"/>
  <c r="DB40" i="10"/>
  <c r="DB187" i="10"/>
  <c r="DB174" i="10"/>
  <c r="DB67" i="10"/>
  <c r="DB35" i="10"/>
  <c r="DB150" i="10"/>
  <c r="DB118" i="10"/>
  <c r="DB117" i="10"/>
  <c r="DB62" i="10"/>
  <c r="DB113" i="10"/>
  <c r="DB112" i="10"/>
  <c r="DB102" i="10"/>
  <c r="DB90" i="10"/>
  <c r="DB81" i="10"/>
  <c r="DB240" i="10"/>
  <c r="DB222" i="10"/>
  <c r="DB111" i="10"/>
  <c r="DB101" i="10"/>
  <c r="DB184" i="10"/>
  <c r="DB78" i="10"/>
  <c r="DB46" i="10"/>
  <c r="DB190" i="10"/>
  <c r="DB135" i="10"/>
  <c r="DB143" i="10"/>
  <c r="DB247" i="10"/>
  <c r="DB208" i="10"/>
  <c r="DB38" i="10"/>
  <c r="DB23" i="10"/>
  <c r="DB93" i="10"/>
  <c r="DB57" i="10"/>
  <c r="DB163" i="10"/>
  <c r="DB94" i="10"/>
  <c r="DB76" i="10"/>
  <c r="DB20" i="10"/>
  <c r="DB204" i="10"/>
  <c r="DB140" i="10"/>
  <c r="DB95" i="10"/>
  <c r="DB12" i="10"/>
  <c r="DB228" i="10"/>
  <c r="DB127" i="10"/>
  <c r="DB63" i="10"/>
  <c r="DB121" i="10"/>
  <c r="DB61" i="10"/>
  <c r="DB162" i="10"/>
  <c r="DB139" i="10"/>
  <c r="DB49" i="10"/>
  <c r="DB244" i="10"/>
  <c r="DB134" i="10"/>
  <c r="DB104" i="10"/>
  <c r="DB84" i="10"/>
  <c r="DB54" i="10"/>
  <c r="DB36" i="10"/>
  <c r="DB146" i="10"/>
  <c r="DB98" i="10"/>
  <c r="DB153" i="10"/>
  <c r="DB123" i="10"/>
  <c r="DB122" i="10"/>
  <c r="DB80" i="10"/>
  <c r="DB65" i="10"/>
  <c r="DB37" i="10"/>
  <c r="DB33" i="10"/>
  <c r="DB32" i="10"/>
  <c r="DB25" i="10"/>
  <c r="DB114" i="10"/>
  <c r="DB58" i="10"/>
  <c r="DB26" i="10"/>
  <c r="DB14" i="10"/>
  <c r="DB85" i="10"/>
  <c r="DB71" i="10"/>
  <c r="DB66" i="10"/>
  <c r="DB59" i="10"/>
  <c r="DB39" i="10"/>
  <c r="DB217" i="10"/>
  <c r="DB230" i="10"/>
  <c r="DB145" i="10"/>
  <c r="DB92" i="10"/>
  <c r="DB24" i="10"/>
  <c r="DB89" i="10"/>
  <c r="DB264" i="10"/>
  <c r="DB43" i="10"/>
  <c r="DB108" i="10"/>
  <c r="DB73" i="10"/>
  <c r="DB68" i="10"/>
  <c r="DB262" i="10"/>
  <c r="DB199" i="10"/>
  <c r="DB125" i="10"/>
  <c r="DB83" i="10"/>
  <c r="DB45" i="10"/>
  <c r="DB11" i="10"/>
  <c r="DB74" i="10"/>
  <c r="DB69" i="10"/>
  <c r="DB194" i="10"/>
  <c r="DB17" i="10"/>
  <c r="DB246" i="10"/>
  <c r="DB55" i="10"/>
  <c r="DB261" i="10"/>
  <c r="DB225" i="10"/>
  <c r="DB107" i="10"/>
  <c r="DB31" i="10"/>
  <c r="DB30" i="10"/>
  <c r="DB189" i="10"/>
  <c r="DB173" i="10"/>
  <c r="DB155" i="10"/>
  <c r="DB28" i="10"/>
  <c r="DB15" i="10"/>
  <c r="DB103" i="10"/>
  <c r="DB97" i="10"/>
  <c r="DB109" i="10"/>
  <c r="DB75" i="10"/>
  <c r="DB64" i="10"/>
  <c r="DB48" i="10"/>
  <c r="DB16" i="10"/>
  <c r="DB70" i="10"/>
  <c r="DB223" i="10"/>
  <c r="DB147" i="10"/>
  <c r="DB133" i="10"/>
  <c r="DB51" i="10"/>
  <c r="DB168" i="10"/>
  <c r="DB41" i="10"/>
  <c r="DB56" i="10"/>
  <c r="DB53" i="10"/>
  <c r="DB34" i="10"/>
  <c r="DB160" i="10"/>
  <c r="DB200" i="10"/>
  <c r="DB182" i="10"/>
  <c r="DB22" i="10"/>
  <c r="DB183" i="10"/>
  <c r="DB52" i="10"/>
  <c r="DB167" i="10"/>
  <c r="DB91" i="10"/>
  <c r="DB42" i="10"/>
  <c r="DB124" i="10"/>
  <c r="DB87" i="10"/>
  <c r="DB27" i="10"/>
  <c r="DB179" i="10"/>
  <c r="DB131" i="10"/>
  <c r="DB130" i="10"/>
  <c r="DB79" i="10"/>
  <c r="DB19" i="10"/>
  <c r="DB177" i="10"/>
  <c r="DB154" i="10"/>
  <c r="DB86" i="10"/>
  <c r="DB44" i="10"/>
  <c r="DB29" i="10"/>
  <c r="DB60" i="10"/>
  <c r="DB234" i="10"/>
  <c r="DB21" i="10"/>
  <c r="DB13" i="10"/>
  <c r="DB260" i="10"/>
  <c r="DB47" i="10"/>
  <c r="DB151" i="10"/>
  <c r="BG6" i="10"/>
  <c r="BG8" i="10" s="1"/>
  <c r="AU8" i="10"/>
  <c r="BE5" i="10"/>
  <c r="AS7" i="10"/>
  <c r="AI5" i="10"/>
  <c r="AT5" i="10"/>
  <c r="AH7" i="10"/>
  <c r="AW7" i="10"/>
  <c r="AK7" i="10"/>
  <c r="Z7" i="10"/>
  <c r="BE7" i="10" l="1"/>
  <c r="BE10" i="10"/>
  <c r="DA10" i="10" s="1"/>
  <c r="EW10" i="10" s="1"/>
  <c r="GS10" i="10" s="1"/>
  <c r="DC249" i="10"/>
  <c r="DC269" i="10"/>
  <c r="DC266" i="10"/>
  <c r="DC261" i="10"/>
  <c r="DC272" i="10"/>
  <c r="DC262" i="10"/>
  <c r="DC255" i="10"/>
  <c r="DC224" i="10"/>
  <c r="DC192" i="10"/>
  <c r="DC219" i="10"/>
  <c r="DC187" i="10"/>
  <c r="DC214" i="10"/>
  <c r="DC259" i="10"/>
  <c r="DC209" i="10"/>
  <c r="DC236" i="10"/>
  <c r="DC274" i="10"/>
  <c r="DC264" i="10"/>
  <c r="DC263" i="10"/>
  <c r="DC228" i="10"/>
  <c r="DC243" i="10"/>
  <c r="DC208" i="10"/>
  <c r="DC248" i="10"/>
  <c r="DC239" i="10"/>
  <c r="DC238" i="10"/>
  <c r="DC220" i="10"/>
  <c r="DC203" i="10"/>
  <c r="DC195" i="10"/>
  <c r="DC176" i="10"/>
  <c r="DC267" i="10"/>
  <c r="DC251" i="10"/>
  <c r="DC171" i="10"/>
  <c r="DC252" i="10"/>
  <c r="DC237" i="10"/>
  <c r="DC198" i="10"/>
  <c r="DC166" i="10"/>
  <c r="DC253" i="10"/>
  <c r="DC161" i="10"/>
  <c r="DC156" i="10"/>
  <c r="DC201" i="10"/>
  <c r="DC197" i="10"/>
  <c r="DC180" i="10"/>
  <c r="DC260" i="10"/>
  <c r="DC213" i="10"/>
  <c r="DC205" i="10"/>
  <c r="DC196" i="10"/>
  <c r="DC273" i="10"/>
  <c r="DC202" i="10"/>
  <c r="DC132" i="10"/>
  <c r="DC257" i="10"/>
  <c r="DC245" i="10"/>
  <c r="DC235" i="10"/>
  <c r="DC127" i="10"/>
  <c r="DC242" i="10"/>
  <c r="DC226" i="10"/>
  <c r="DC221" i="10"/>
  <c r="DC170" i="10"/>
  <c r="DC164" i="10"/>
  <c r="DC152" i="10"/>
  <c r="DC231" i="10"/>
  <c r="DC216" i="10"/>
  <c r="DC149" i="10"/>
  <c r="DC270" i="10"/>
  <c r="DC210" i="10"/>
  <c r="DC179" i="10"/>
  <c r="DC144" i="10"/>
  <c r="DC240" i="10"/>
  <c r="DC218" i="10"/>
  <c r="DC206" i="10"/>
  <c r="DC194" i="10"/>
  <c r="DC190" i="10"/>
  <c r="DC189" i="10"/>
  <c r="DC167" i="10"/>
  <c r="DC154" i="10"/>
  <c r="DC143" i="10"/>
  <c r="DC247" i="10"/>
  <c r="DC244" i="10"/>
  <c r="DC174" i="10"/>
  <c r="DC229" i="10"/>
  <c r="DC212" i="10"/>
  <c r="DC188" i="10"/>
  <c r="DC115" i="10"/>
  <c r="DC172" i="10"/>
  <c r="DC165" i="10"/>
  <c r="DC142" i="10"/>
  <c r="DC110" i="10"/>
  <c r="DC141" i="10"/>
  <c r="DC129" i="10"/>
  <c r="DC105" i="10"/>
  <c r="DC100" i="10"/>
  <c r="DC254" i="10"/>
  <c r="DC217" i="10"/>
  <c r="DC184" i="10"/>
  <c r="DC173" i="10"/>
  <c r="DC95" i="10"/>
  <c r="DC168" i="10"/>
  <c r="DC157" i="10"/>
  <c r="DC114" i="10"/>
  <c r="DC147" i="10"/>
  <c r="DC246" i="10"/>
  <c r="DC204" i="10"/>
  <c r="DC160" i="10"/>
  <c r="DC131" i="10"/>
  <c r="DC181" i="10"/>
  <c r="DC182" i="10"/>
  <c r="DC169" i="10"/>
  <c r="DC106" i="10"/>
  <c r="DC88" i="10"/>
  <c r="DC77" i="10"/>
  <c r="DC45" i="10"/>
  <c r="DC268" i="10"/>
  <c r="DC138" i="10"/>
  <c r="DC128" i="10"/>
  <c r="DC120" i="10"/>
  <c r="DC119" i="10"/>
  <c r="DC96" i="10"/>
  <c r="DC72" i="10"/>
  <c r="DC232" i="10"/>
  <c r="DC67" i="10"/>
  <c r="DC150" i="10"/>
  <c r="DC118" i="10"/>
  <c r="DC117" i="10"/>
  <c r="DC62" i="10"/>
  <c r="DC30" i="10"/>
  <c r="DC191" i="10"/>
  <c r="DC139" i="10"/>
  <c r="DC57" i="10"/>
  <c r="DC234" i="10"/>
  <c r="DC177" i="10"/>
  <c r="DC146" i="10"/>
  <c r="DC94" i="10"/>
  <c r="DC76" i="10"/>
  <c r="DC175" i="10"/>
  <c r="DC159" i="10"/>
  <c r="DC73" i="10"/>
  <c r="DC41" i="10"/>
  <c r="DC186" i="10"/>
  <c r="DC109" i="10"/>
  <c r="DC137" i="10"/>
  <c r="DC93" i="10"/>
  <c r="DC163" i="10"/>
  <c r="DC135" i="10"/>
  <c r="DC20" i="10"/>
  <c r="DC140" i="10"/>
  <c r="DC116" i="10"/>
  <c r="DC63" i="10"/>
  <c r="DC130" i="10"/>
  <c r="DC101" i="10"/>
  <c r="DC75" i="10"/>
  <c r="DC74" i="10"/>
  <c r="DC46" i="10"/>
  <c r="DC17" i="10"/>
  <c r="DC158" i="10"/>
  <c r="DC108" i="10"/>
  <c r="DC70" i="10"/>
  <c r="DC69" i="10"/>
  <c r="DC50" i="10"/>
  <c r="DC19" i="10"/>
  <c r="DC222" i="10"/>
  <c r="DC199" i="10"/>
  <c r="DC148" i="10"/>
  <c r="DC122" i="10"/>
  <c r="DC60" i="10"/>
  <c r="DC33" i="10"/>
  <c r="DC230" i="10"/>
  <c r="DC87" i="10"/>
  <c r="DC265" i="10"/>
  <c r="DC233" i="10"/>
  <c r="DC183" i="10"/>
  <c r="DC207" i="10"/>
  <c r="DC58" i="10"/>
  <c r="DC36" i="10"/>
  <c r="DC26" i="10"/>
  <c r="DC14" i="10"/>
  <c r="DC85" i="10"/>
  <c r="DC71" i="10"/>
  <c r="DC66" i="10"/>
  <c r="DC59" i="10"/>
  <c r="DC39" i="10"/>
  <c r="DC35" i="10"/>
  <c r="DC145" i="10"/>
  <c r="DC92" i="10"/>
  <c r="DC24" i="10"/>
  <c r="DC258" i="10"/>
  <c r="DC223" i="10"/>
  <c r="DC38" i="10"/>
  <c r="DC81" i="10"/>
  <c r="DC51" i="10"/>
  <c r="DC126" i="10"/>
  <c r="DC112" i="10"/>
  <c r="DC89" i="10"/>
  <c r="DC40" i="10"/>
  <c r="DC162" i="10"/>
  <c r="DC90" i="10"/>
  <c r="DC82" i="10"/>
  <c r="DC68" i="10"/>
  <c r="DC53" i="10"/>
  <c r="DC44" i="10"/>
  <c r="DC227" i="10"/>
  <c r="DC215" i="10"/>
  <c r="DC123" i="10"/>
  <c r="DC78" i="10"/>
  <c r="DC99" i="10"/>
  <c r="DC178" i="10"/>
  <c r="DC104" i="10"/>
  <c r="DC18" i="10"/>
  <c r="DC136" i="10"/>
  <c r="DC55" i="10"/>
  <c r="DC113" i="10"/>
  <c r="DC91" i="10"/>
  <c r="DC185" i="10"/>
  <c r="DC124" i="10"/>
  <c r="DC34" i="10"/>
  <c r="DC29" i="10"/>
  <c r="DC27" i="10"/>
  <c r="DC15" i="10"/>
  <c r="DC155" i="10"/>
  <c r="DC80" i="10"/>
  <c r="DC37" i="10"/>
  <c r="DC23" i="10"/>
  <c r="DC28" i="10"/>
  <c r="DC12" i="10"/>
  <c r="DC103" i="10"/>
  <c r="DC97" i="10"/>
  <c r="DC84" i="10"/>
  <c r="DC56" i="10"/>
  <c r="DC241" i="10"/>
  <c r="DC54" i="10"/>
  <c r="DC52" i="10"/>
  <c r="DC256" i="10"/>
  <c r="DC86" i="10"/>
  <c r="DC42" i="10"/>
  <c r="DC13" i="10"/>
  <c r="DC102" i="10"/>
  <c r="DC193" i="10"/>
  <c r="DC111" i="10"/>
  <c r="DC22" i="10"/>
  <c r="DC211" i="10"/>
  <c r="DC200" i="10"/>
  <c r="DC151" i="10"/>
  <c r="DC98" i="10"/>
  <c r="DC49" i="10"/>
  <c r="DC107" i="10"/>
  <c r="DC65" i="10"/>
  <c r="DC25" i="10"/>
  <c r="DC31" i="10"/>
  <c r="DC225" i="10"/>
  <c r="DC125" i="10"/>
  <c r="DC43" i="10"/>
  <c r="DC250" i="10"/>
  <c r="DC133" i="10"/>
  <c r="DC83" i="10"/>
  <c r="DC79" i="10"/>
  <c r="DC61" i="10"/>
  <c r="DC48" i="10"/>
  <c r="DC271" i="10"/>
  <c r="DC64" i="10"/>
  <c r="DC21" i="10"/>
  <c r="DC16" i="10"/>
  <c r="DC153" i="10"/>
  <c r="DC32" i="10"/>
  <c r="DC47" i="10"/>
  <c r="DC11" i="10"/>
  <c r="DC134" i="10"/>
  <c r="DC121" i="10"/>
  <c r="CQ245" i="10"/>
  <c r="CQ270" i="10"/>
  <c r="CQ262" i="10"/>
  <c r="CQ267" i="10"/>
  <c r="CQ257" i="10"/>
  <c r="CQ256" i="10"/>
  <c r="CQ263" i="10"/>
  <c r="CQ252" i="10"/>
  <c r="CQ220" i="10"/>
  <c r="CQ188" i="10"/>
  <c r="CQ271" i="10"/>
  <c r="CQ215" i="10"/>
  <c r="CQ210" i="10"/>
  <c r="CQ237" i="10"/>
  <c r="CQ205" i="10"/>
  <c r="CQ232" i="10"/>
  <c r="CQ224" i="10"/>
  <c r="CQ236" i="10"/>
  <c r="CQ268" i="10"/>
  <c r="CQ250" i="10"/>
  <c r="CQ272" i="10"/>
  <c r="CQ213" i="10"/>
  <c r="CQ193" i="10"/>
  <c r="CQ172" i="10"/>
  <c r="CQ212" i="10"/>
  <c r="CQ196" i="10"/>
  <c r="CQ167" i="10"/>
  <c r="CQ261" i="10"/>
  <c r="CQ225" i="10"/>
  <c r="CQ162" i="10"/>
  <c r="CQ242" i="10"/>
  <c r="CQ157" i="10"/>
  <c r="CQ223" i="10"/>
  <c r="CQ222" i="10"/>
  <c r="CQ204" i="10"/>
  <c r="CQ199" i="10"/>
  <c r="CQ184" i="10"/>
  <c r="CQ152" i="10"/>
  <c r="CQ203" i="10"/>
  <c r="CQ176" i="10"/>
  <c r="CQ273" i="10"/>
  <c r="CQ264" i="10"/>
  <c r="CQ235" i="10"/>
  <c r="CQ234" i="10"/>
  <c r="CQ218" i="10"/>
  <c r="CQ208" i="10"/>
  <c r="CQ202" i="10"/>
  <c r="CQ231" i="10"/>
  <c r="CQ216" i="10"/>
  <c r="CQ194" i="10"/>
  <c r="CQ265" i="10"/>
  <c r="CQ238" i="10"/>
  <c r="CQ214" i="10"/>
  <c r="CQ200" i="10"/>
  <c r="CQ161" i="10"/>
  <c r="CQ128" i="10"/>
  <c r="CQ251" i="10"/>
  <c r="CQ266" i="10"/>
  <c r="CQ248" i="10"/>
  <c r="CQ150" i="10"/>
  <c r="CQ254" i="10"/>
  <c r="CQ209" i="10"/>
  <c r="CQ145" i="10"/>
  <c r="CQ201" i="10"/>
  <c r="CQ153" i="10"/>
  <c r="CQ140" i="10"/>
  <c r="CQ211" i="10"/>
  <c r="CQ139" i="10"/>
  <c r="CQ269" i="10"/>
  <c r="CQ247" i="10"/>
  <c r="CQ244" i="10"/>
  <c r="CQ228" i="10"/>
  <c r="CQ227" i="10"/>
  <c r="CQ136" i="10"/>
  <c r="CQ131" i="10"/>
  <c r="CQ111" i="10"/>
  <c r="CQ221" i="10"/>
  <c r="CQ195" i="10"/>
  <c r="CQ191" i="10"/>
  <c r="CQ187" i="10"/>
  <c r="CQ171" i="10"/>
  <c r="CQ106" i="10"/>
  <c r="CQ163" i="10"/>
  <c r="CQ144" i="10"/>
  <c r="CQ135" i="10"/>
  <c r="CQ101" i="10"/>
  <c r="CQ164" i="10"/>
  <c r="CQ96" i="10"/>
  <c r="CQ243" i="10"/>
  <c r="CQ219" i="10"/>
  <c r="CQ177" i="10"/>
  <c r="CQ91" i="10"/>
  <c r="CQ274" i="10"/>
  <c r="CQ230" i="10"/>
  <c r="CQ179" i="10"/>
  <c r="CQ166" i="10"/>
  <c r="CQ110" i="10"/>
  <c r="CQ226" i="10"/>
  <c r="CQ154" i="10"/>
  <c r="CQ122" i="10"/>
  <c r="CQ180" i="10"/>
  <c r="CQ260" i="10"/>
  <c r="CQ181" i="10"/>
  <c r="CQ178" i="10"/>
  <c r="CQ73" i="10"/>
  <c r="CQ41" i="10"/>
  <c r="CQ207" i="10"/>
  <c r="CQ148" i="10"/>
  <c r="CQ109" i="10"/>
  <c r="CQ99" i="10"/>
  <c r="CQ68" i="10"/>
  <c r="CQ259" i="10"/>
  <c r="CQ123" i="10"/>
  <c r="CQ108" i="10"/>
  <c r="CQ98" i="10"/>
  <c r="CQ89" i="10"/>
  <c r="CQ63" i="10"/>
  <c r="CQ169" i="10"/>
  <c r="CQ58" i="10"/>
  <c r="CQ143" i="10"/>
  <c r="CQ137" i="10"/>
  <c r="CQ125" i="10"/>
  <c r="CQ53" i="10"/>
  <c r="CQ197" i="10"/>
  <c r="CQ117" i="10"/>
  <c r="CQ72" i="10"/>
  <c r="CQ158" i="10"/>
  <c r="CQ132" i="10"/>
  <c r="CQ116" i="10"/>
  <c r="CQ115" i="10"/>
  <c r="CQ104" i="10"/>
  <c r="CQ69" i="10"/>
  <c r="CQ155" i="10"/>
  <c r="CQ146" i="10"/>
  <c r="CQ134" i="10"/>
  <c r="CQ112" i="10"/>
  <c r="CQ249" i="10"/>
  <c r="CQ198" i="10"/>
  <c r="CQ156" i="10"/>
  <c r="CQ192" i="10"/>
  <c r="CQ189" i="10"/>
  <c r="CQ83" i="10"/>
  <c r="CQ82" i="10"/>
  <c r="CQ66" i="10"/>
  <c r="CQ59" i="10"/>
  <c r="CQ48" i="10"/>
  <c r="CQ39" i="10"/>
  <c r="CQ233" i="10"/>
  <c r="CQ186" i="10"/>
  <c r="CQ151" i="10"/>
  <c r="CQ105" i="10"/>
  <c r="CQ43" i="10"/>
  <c r="CQ21" i="10"/>
  <c r="CQ13" i="10"/>
  <c r="CQ159" i="10"/>
  <c r="CQ149" i="10"/>
  <c r="CQ119" i="10"/>
  <c r="CQ90" i="10"/>
  <c r="CQ81" i="10"/>
  <c r="CQ80" i="10"/>
  <c r="CQ183" i="10"/>
  <c r="CQ175" i="10"/>
  <c r="CQ65" i="10"/>
  <c r="CQ170" i="10"/>
  <c r="CQ142" i="10"/>
  <c r="CQ92" i="10"/>
  <c r="CQ18" i="10"/>
  <c r="CQ138" i="10"/>
  <c r="CQ133" i="10"/>
  <c r="CQ20" i="10"/>
  <c r="CQ182" i="10"/>
  <c r="CQ160" i="10"/>
  <c r="CQ121" i="10"/>
  <c r="CQ71" i="10"/>
  <c r="CQ70" i="10"/>
  <c r="CQ37" i="10"/>
  <c r="CQ239" i="10"/>
  <c r="CQ206" i="10"/>
  <c r="CQ190" i="10"/>
  <c r="CQ141" i="10"/>
  <c r="CQ258" i="10"/>
  <c r="CQ229" i="10"/>
  <c r="CQ173" i="10"/>
  <c r="CQ102" i="10"/>
  <c r="CQ56" i="10"/>
  <c r="CQ100" i="10"/>
  <c r="CQ29" i="10"/>
  <c r="CQ15" i="10"/>
  <c r="CQ84" i="10"/>
  <c r="CQ107" i="10"/>
  <c r="CQ88" i="10"/>
  <c r="CQ75" i="10"/>
  <c r="CQ124" i="10"/>
  <c r="CQ57" i="10"/>
  <c r="CQ120" i="10"/>
  <c r="CQ16" i="10"/>
  <c r="CQ23" i="10"/>
  <c r="CQ147" i="10"/>
  <c r="CQ60" i="10"/>
  <c r="CQ24" i="10"/>
  <c r="CQ86" i="10"/>
  <c r="CQ61" i="10"/>
  <c r="CQ240" i="10"/>
  <c r="CQ174" i="10"/>
  <c r="CQ12" i="10"/>
  <c r="CQ127" i="10"/>
  <c r="CQ246" i="10"/>
  <c r="CQ97" i="10"/>
  <c r="CQ113" i="10"/>
  <c r="CQ87" i="10"/>
  <c r="CQ30" i="10"/>
  <c r="CQ217" i="10"/>
  <c r="CQ28" i="10"/>
  <c r="CQ165" i="10"/>
  <c r="CQ103" i="10"/>
  <c r="CQ35" i="10"/>
  <c r="CQ241" i="10"/>
  <c r="CQ62" i="10"/>
  <c r="CQ50" i="10"/>
  <c r="CQ255" i="10"/>
  <c r="CQ77" i="10"/>
  <c r="CQ46" i="10"/>
  <c r="CQ253" i="10"/>
  <c r="CQ42" i="10"/>
  <c r="CQ185" i="10"/>
  <c r="CQ129" i="10"/>
  <c r="CQ74" i="10"/>
  <c r="CQ27" i="10"/>
  <c r="CQ85" i="10"/>
  <c r="CQ55" i="10"/>
  <c r="CQ45" i="10"/>
  <c r="CQ22" i="10"/>
  <c r="CQ49" i="10"/>
  <c r="CQ114" i="10"/>
  <c r="CQ93" i="10"/>
  <c r="CQ34" i="10"/>
  <c r="CQ31" i="10"/>
  <c r="CQ79" i="10"/>
  <c r="CQ126" i="10"/>
  <c r="CQ40" i="10"/>
  <c r="CQ25" i="10"/>
  <c r="CQ76" i="10"/>
  <c r="CQ52" i="10"/>
  <c r="CQ33" i="10"/>
  <c r="CQ118" i="10"/>
  <c r="CQ36" i="10"/>
  <c r="CQ17" i="10"/>
  <c r="CQ130" i="10"/>
  <c r="CQ95" i="10"/>
  <c r="CQ19" i="10"/>
  <c r="CQ14" i="10"/>
  <c r="CQ64" i="10"/>
  <c r="CQ51" i="10"/>
  <c r="CQ54" i="10"/>
  <c r="CQ32" i="10"/>
  <c r="CQ26" i="10"/>
  <c r="CQ44" i="10"/>
  <c r="CQ38" i="10"/>
  <c r="CQ94" i="10"/>
  <c r="CQ78" i="10"/>
  <c r="CQ168" i="10"/>
  <c r="CQ47" i="10"/>
  <c r="CQ11" i="10"/>
  <c r="CQ67" i="10"/>
  <c r="BF5" i="10"/>
  <c r="AT7" i="10"/>
  <c r="AU5" i="10"/>
  <c r="AU10" i="10" s="1"/>
  <c r="CQ10" i="10" s="1"/>
  <c r="EM10" i="10" s="1"/>
  <c r="GI10" i="10" s="1"/>
  <c r="AI7" i="10"/>
  <c r="AX7" i="10"/>
  <c r="AL7" i="10"/>
  <c r="BF7" i="10" l="1"/>
  <c r="BF10" i="10"/>
  <c r="DB10" i="10" s="1"/>
  <c r="EX10" i="10" s="1"/>
  <c r="GT10" i="10" s="1"/>
  <c r="BG5" i="10"/>
  <c r="AU7" i="10"/>
  <c r="BG7" i="10" l="1"/>
  <c r="BG10" i="10"/>
  <c r="DC10" i="10" s="1"/>
  <c r="EY10" i="10" s="1"/>
  <c r="GU10" i="10" s="1"/>
  <c r="A1" i="7" a="1"/>
  <c r="A27" i="7" l="1"/>
  <c r="A32" i="7"/>
  <c r="A2" i="7"/>
  <c r="A35" i="7"/>
  <c r="A19" i="7"/>
  <c r="A20" i="7"/>
  <c r="A21" i="7"/>
  <c r="A22" i="7"/>
  <c r="A28" i="7"/>
  <c r="A8" i="7"/>
  <c r="A9" i="7"/>
  <c r="A10" i="7"/>
  <c r="A11" i="7"/>
  <c r="A7" i="7"/>
  <c r="A12" i="7"/>
  <c r="A13" i="7"/>
  <c r="A14" i="7"/>
  <c r="A16" i="7"/>
  <c r="A15" i="7"/>
  <c r="A18" i="7"/>
  <c r="A25" i="7"/>
  <c r="A26" i="7"/>
  <c r="A29" i="7"/>
  <c r="A30" i="7"/>
  <c r="A37" i="7"/>
  <c r="A39" i="7"/>
  <c r="A40" i="7"/>
  <c r="A41" i="7"/>
  <c r="A45" i="7"/>
  <c r="A42" i="7"/>
  <c r="A43" i="7"/>
  <c r="A44" i="7"/>
  <c r="A4" i="7"/>
  <c r="A6" i="7"/>
  <c r="A1" i="7"/>
  <c r="A3" i="7"/>
  <c r="A5" i="7"/>
  <c r="A17" i="7"/>
  <c r="A24" i="7"/>
  <c r="A23" i="7"/>
  <c r="A31" i="7"/>
  <c r="A33" i="7"/>
  <c r="A34" i="7"/>
  <c r="A36" i="7"/>
  <c r="A38" i="7"/>
  <c r="L268" i="10" l="1"/>
  <c r="L236" i="10"/>
  <c r="L204" i="10"/>
  <c r="L172" i="10"/>
  <c r="L140" i="10"/>
  <c r="L108" i="10"/>
  <c r="L76" i="10"/>
  <c r="L44" i="10"/>
  <c r="L12" i="10"/>
  <c r="L256" i="10"/>
  <c r="L159" i="10"/>
  <c r="L190" i="10"/>
  <c r="L155" i="10"/>
  <c r="L58" i="10"/>
  <c r="L79" i="10"/>
  <c r="L270" i="10"/>
  <c r="L269" i="10"/>
  <c r="L267" i="10"/>
  <c r="L235" i="10"/>
  <c r="L203" i="10"/>
  <c r="L171" i="10"/>
  <c r="L139" i="10"/>
  <c r="L107" i="10"/>
  <c r="L75" i="10"/>
  <c r="L43" i="10"/>
  <c r="L11" i="10"/>
  <c r="O11" i="10" s="1"/>
  <c r="L166" i="10"/>
  <c r="L102" i="10"/>
  <c r="L38" i="10"/>
  <c r="L32" i="10"/>
  <c r="L127" i="10"/>
  <c r="L63" i="10"/>
  <c r="L31" i="10"/>
  <c r="L126" i="10"/>
  <c r="L62" i="10"/>
  <c r="L220" i="10"/>
  <c r="L156" i="10"/>
  <c r="L124" i="10"/>
  <c r="L60" i="10"/>
  <c r="L59" i="10"/>
  <c r="L218" i="10"/>
  <c r="L186" i="10"/>
  <c r="L154" i="10"/>
  <c r="L90" i="10"/>
  <c r="L89" i="10"/>
  <c r="L14" i="10"/>
  <c r="L173" i="10"/>
  <c r="L109" i="10"/>
  <c r="L77" i="10"/>
  <c r="L45" i="10"/>
  <c r="L266" i="10"/>
  <c r="L234" i="10"/>
  <c r="L202" i="10"/>
  <c r="L170" i="10"/>
  <c r="L138" i="10"/>
  <c r="L106" i="10"/>
  <c r="L74" i="10"/>
  <c r="L42" i="10"/>
  <c r="L134" i="10"/>
  <c r="L70" i="10"/>
  <c r="L95" i="10"/>
  <c r="L94" i="10"/>
  <c r="L30" i="10"/>
  <c r="L188" i="10"/>
  <c r="L92" i="10"/>
  <c r="L28" i="10"/>
  <c r="L27" i="10"/>
  <c r="L250" i="10"/>
  <c r="L122" i="10"/>
  <c r="L121" i="10"/>
  <c r="L206" i="10"/>
  <c r="L141" i="10"/>
  <c r="L13" i="10"/>
  <c r="L265" i="10"/>
  <c r="L233" i="10"/>
  <c r="L201" i="10"/>
  <c r="L169" i="10"/>
  <c r="L137" i="10"/>
  <c r="L105" i="10"/>
  <c r="L73" i="10"/>
  <c r="L41" i="10"/>
  <c r="L262" i="10"/>
  <c r="L224" i="10"/>
  <c r="L191" i="10"/>
  <c r="L123" i="10"/>
  <c r="L238" i="10"/>
  <c r="L264" i="10"/>
  <c r="L232" i="10"/>
  <c r="L200" i="10"/>
  <c r="L168" i="10"/>
  <c r="L136" i="10"/>
  <c r="L104" i="10"/>
  <c r="L72" i="10"/>
  <c r="L40" i="10"/>
  <c r="L198" i="10"/>
  <c r="L192" i="10"/>
  <c r="L255" i="10"/>
  <c r="L251" i="10"/>
  <c r="L185" i="10"/>
  <c r="L207" i="10"/>
  <c r="L237" i="10"/>
  <c r="L263" i="10"/>
  <c r="L231" i="10"/>
  <c r="L199" i="10"/>
  <c r="L167" i="10"/>
  <c r="L135" i="10"/>
  <c r="L103" i="10"/>
  <c r="L71" i="10"/>
  <c r="L39" i="10"/>
  <c r="L230" i="10"/>
  <c r="L160" i="10"/>
  <c r="L223" i="10"/>
  <c r="L158" i="10"/>
  <c r="L252" i="10"/>
  <c r="L26" i="10"/>
  <c r="L57" i="10"/>
  <c r="L15" i="10"/>
  <c r="L174" i="10"/>
  <c r="L205" i="10"/>
  <c r="L261" i="10"/>
  <c r="L229" i="10"/>
  <c r="L197" i="10"/>
  <c r="L165" i="10"/>
  <c r="L133" i="10"/>
  <c r="L101" i="10"/>
  <c r="L69" i="10"/>
  <c r="L37" i="10"/>
  <c r="L96" i="10"/>
  <c r="L91" i="10"/>
  <c r="L249" i="10"/>
  <c r="L111" i="10"/>
  <c r="L110" i="10"/>
  <c r="L260" i="10"/>
  <c r="L228" i="10"/>
  <c r="L196" i="10"/>
  <c r="L164" i="10"/>
  <c r="L132" i="10"/>
  <c r="L100" i="10"/>
  <c r="L68" i="10"/>
  <c r="L36" i="10"/>
  <c r="L153" i="10"/>
  <c r="L47" i="10"/>
  <c r="L259" i="10"/>
  <c r="L227" i="10"/>
  <c r="L195" i="10"/>
  <c r="L163" i="10"/>
  <c r="L131" i="10"/>
  <c r="L99" i="10"/>
  <c r="L67" i="10"/>
  <c r="L35" i="10"/>
  <c r="L128" i="10"/>
  <c r="L254" i="10"/>
  <c r="L187" i="10"/>
  <c r="L175" i="10"/>
  <c r="L46" i="10"/>
  <c r="L258" i="10"/>
  <c r="L226" i="10"/>
  <c r="L194" i="10"/>
  <c r="L162" i="10"/>
  <c r="L130" i="10"/>
  <c r="L98" i="10"/>
  <c r="L66" i="10"/>
  <c r="L34" i="10"/>
  <c r="L64" i="10"/>
  <c r="L222" i="10"/>
  <c r="L219" i="10"/>
  <c r="L217" i="10"/>
  <c r="L143" i="10"/>
  <c r="L257" i="10"/>
  <c r="L225" i="10"/>
  <c r="L193" i="10"/>
  <c r="L161" i="10"/>
  <c r="L129" i="10"/>
  <c r="L97" i="10"/>
  <c r="L65" i="10"/>
  <c r="L33" i="10"/>
  <c r="L239" i="10"/>
  <c r="L78" i="10"/>
  <c r="L253" i="10"/>
  <c r="L221" i="10"/>
  <c r="L189" i="10"/>
  <c r="L157" i="10"/>
  <c r="L125" i="10"/>
  <c r="L93" i="10"/>
  <c r="L61" i="10"/>
  <c r="L29" i="10"/>
  <c r="L25" i="10"/>
  <c r="L248" i="10"/>
  <c r="L216" i="10"/>
  <c r="L184" i="10"/>
  <c r="L152" i="10"/>
  <c r="L120" i="10"/>
  <c r="L88" i="10"/>
  <c r="L56" i="10"/>
  <c r="L24" i="10"/>
  <c r="L247" i="10"/>
  <c r="L215" i="10"/>
  <c r="L183" i="10"/>
  <c r="L151" i="10"/>
  <c r="L119" i="10"/>
  <c r="L87" i="10"/>
  <c r="L55" i="10"/>
  <c r="L23" i="10"/>
  <c r="L246" i="10"/>
  <c r="L214" i="10"/>
  <c r="L182" i="10"/>
  <c r="L150" i="10"/>
  <c r="L118" i="10"/>
  <c r="L86" i="10"/>
  <c r="L54" i="10"/>
  <c r="L22" i="10"/>
  <c r="L245" i="10"/>
  <c r="L213" i="10"/>
  <c r="L181" i="10"/>
  <c r="L149" i="10"/>
  <c r="L117" i="10"/>
  <c r="L85" i="10"/>
  <c r="L53" i="10"/>
  <c r="L21" i="10"/>
  <c r="L272" i="10"/>
  <c r="L240" i="10"/>
  <c r="L208" i="10"/>
  <c r="L176" i="10"/>
  <c r="L144" i="10"/>
  <c r="L112" i="10"/>
  <c r="L80" i="10"/>
  <c r="L48" i="10"/>
  <c r="L16" i="10"/>
  <c r="L244" i="10"/>
  <c r="L212" i="10"/>
  <c r="L180" i="10"/>
  <c r="L148" i="10"/>
  <c r="L116" i="10"/>
  <c r="L84" i="10"/>
  <c r="L52" i="10"/>
  <c r="L20" i="10"/>
  <c r="L243" i="10"/>
  <c r="L211" i="10"/>
  <c r="L179" i="10"/>
  <c r="L147" i="10"/>
  <c r="L115" i="10"/>
  <c r="L83" i="10"/>
  <c r="L51" i="10"/>
  <c r="L19" i="10"/>
  <c r="L274" i="10"/>
  <c r="L242" i="10"/>
  <c r="L210" i="10"/>
  <c r="L178" i="10"/>
  <c r="L146" i="10"/>
  <c r="L114" i="10"/>
  <c r="L82" i="10"/>
  <c r="L50" i="10"/>
  <c r="L18" i="10"/>
  <c r="L273" i="10"/>
  <c r="L241" i="10"/>
  <c r="L209" i="10"/>
  <c r="L177" i="10"/>
  <c r="L145" i="10"/>
  <c r="L113" i="10"/>
  <c r="L81" i="10"/>
  <c r="L49" i="10"/>
  <c r="L17" i="10"/>
  <c r="L271" i="10"/>
  <c r="L142" i="10"/>
  <c r="AQ146" i="10" l="1"/>
  <c r="AP146" i="10"/>
  <c r="AU146" i="10"/>
  <c r="AZ146" i="10"/>
  <c r="Q146" i="10"/>
  <c r="AN146" i="10"/>
  <c r="AM146" i="10"/>
  <c r="AG146" i="10"/>
  <c r="AF146" i="10"/>
  <c r="AL146" i="10"/>
  <c r="BF146" i="10"/>
  <c r="R146" i="10"/>
  <c r="Z146" i="10"/>
  <c r="AV146" i="10"/>
  <c r="AT146" i="10"/>
  <c r="AS146" i="10"/>
  <c r="AR146" i="10"/>
  <c r="P146" i="10"/>
  <c r="AE146" i="10"/>
  <c r="AD146" i="10"/>
  <c r="AC146" i="10"/>
  <c r="AB146" i="10"/>
  <c r="AI146" i="10"/>
  <c r="AH146" i="10"/>
  <c r="AA146" i="10"/>
  <c r="Y146" i="10"/>
  <c r="AW146" i="10"/>
  <c r="AO146" i="10"/>
  <c r="AK146" i="10"/>
  <c r="AJ146" i="10"/>
  <c r="BD146" i="10"/>
  <c r="U146" i="10"/>
  <c r="O146" i="10"/>
  <c r="AX146" i="10"/>
  <c r="X146" i="10"/>
  <c r="W146" i="10"/>
  <c r="V146" i="10"/>
  <c r="BC146" i="10"/>
  <c r="BA146" i="10"/>
  <c r="AY146" i="10"/>
  <c r="T146" i="10"/>
  <c r="S146" i="10"/>
  <c r="BE146" i="10"/>
  <c r="BG146" i="10"/>
  <c r="BB146" i="10"/>
  <c r="AJ172" i="10"/>
  <c r="AI172" i="10"/>
  <c r="AV172" i="10"/>
  <c r="AU172" i="10"/>
  <c r="BF172" i="10"/>
  <c r="V172" i="10"/>
  <c r="AA172" i="10"/>
  <c r="AR172" i="10"/>
  <c r="AC172" i="10"/>
  <c r="AB172" i="10"/>
  <c r="AP172" i="10"/>
  <c r="AO172" i="10"/>
  <c r="S172" i="10"/>
  <c r="R172" i="10"/>
  <c r="AF172" i="10"/>
  <c r="AN172" i="10"/>
  <c r="BG172" i="10"/>
  <c r="BE172" i="10"/>
  <c r="P172" i="10"/>
  <c r="AM172" i="10"/>
  <c r="AL172" i="10"/>
  <c r="AK172" i="10"/>
  <c r="AH172" i="10"/>
  <c r="Z172" i="10"/>
  <c r="W172" i="10"/>
  <c r="BB172" i="10"/>
  <c r="BA172" i="10"/>
  <c r="AZ172" i="10"/>
  <c r="AY172" i="10"/>
  <c r="Q172" i="10"/>
  <c r="O172" i="10"/>
  <c r="AX172" i="10"/>
  <c r="X172" i="10"/>
  <c r="AS172" i="10"/>
  <c r="AQ172" i="10"/>
  <c r="AG172" i="10"/>
  <c r="AE172" i="10"/>
  <c r="AD172" i="10"/>
  <c r="U172" i="10"/>
  <c r="T172" i="10"/>
  <c r="BD172" i="10"/>
  <c r="BC172" i="10"/>
  <c r="AW172" i="10"/>
  <c r="AT172" i="10"/>
  <c r="Y172" i="10"/>
  <c r="AD125" i="10"/>
  <c r="AL125" i="10"/>
  <c r="AG125" i="10"/>
  <c r="AT125" i="10"/>
  <c r="BD125" i="10"/>
  <c r="T125" i="10"/>
  <c r="AJ125" i="10"/>
  <c r="AI125" i="10"/>
  <c r="AH125" i="10"/>
  <c r="AF125" i="10"/>
  <c r="BG125" i="10"/>
  <c r="Q125" i="10"/>
  <c r="AN125" i="10"/>
  <c r="AM125" i="10"/>
  <c r="AK125" i="10"/>
  <c r="AE125" i="10"/>
  <c r="AW125" i="10"/>
  <c r="AS125" i="10"/>
  <c r="O125" i="10"/>
  <c r="AV125" i="10"/>
  <c r="AQ125" i="10"/>
  <c r="BF125" i="10"/>
  <c r="BE125" i="10"/>
  <c r="BC125" i="10"/>
  <c r="BB125" i="10"/>
  <c r="AU125" i="10"/>
  <c r="X125" i="10"/>
  <c r="U125" i="10"/>
  <c r="S125" i="10"/>
  <c r="R125" i="10"/>
  <c r="P125" i="10"/>
  <c r="AX125" i="10"/>
  <c r="AR125" i="10"/>
  <c r="AP125" i="10"/>
  <c r="AO125" i="10"/>
  <c r="AB125" i="10"/>
  <c r="W125" i="10"/>
  <c r="AZ125" i="10"/>
  <c r="AY125" i="10"/>
  <c r="AC125" i="10"/>
  <c r="AA125" i="10"/>
  <c r="Y125" i="10"/>
  <c r="Z125" i="10"/>
  <c r="BA125" i="10"/>
  <c r="V125" i="10"/>
  <c r="AK224" i="10"/>
  <c r="AZ224" i="10"/>
  <c r="S224" i="10"/>
  <c r="AH224" i="10"/>
  <c r="AW224" i="10"/>
  <c r="AV224" i="10"/>
  <c r="Y224" i="10"/>
  <c r="X224" i="10"/>
  <c r="AJ224" i="10"/>
  <c r="AI224" i="10"/>
  <c r="BE224" i="10"/>
  <c r="O224" i="10"/>
  <c r="BD224" i="10"/>
  <c r="AB224" i="10"/>
  <c r="AA224" i="10"/>
  <c r="AF224" i="10"/>
  <c r="AD224" i="10"/>
  <c r="AY224" i="10"/>
  <c r="AT224" i="10"/>
  <c r="V224" i="10"/>
  <c r="AX224" i="10"/>
  <c r="AR224" i="10"/>
  <c r="AN224" i="10"/>
  <c r="U224" i="10"/>
  <c r="T224" i="10"/>
  <c r="AS224" i="10"/>
  <c r="AQ224" i="10"/>
  <c r="AG224" i="10"/>
  <c r="AE224" i="10"/>
  <c r="W224" i="10"/>
  <c r="BF224" i="10"/>
  <c r="BC224" i="10"/>
  <c r="P224" i="10"/>
  <c r="BG224" i="10"/>
  <c r="BB224" i="10"/>
  <c r="AP224" i="10"/>
  <c r="AL224" i="10"/>
  <c r="BA224" i="10"/>
  <c r="AU224" i="10"/>
  <c r="R224" i="10"/>
  <c r="AO224" i="10"/>
  <c r="Q224" i="10"/>
  <c r="AM224" i="10"/>
  <c r="AC224" i="10"/>
  <c r="Z224" i="10"/>
  <c r="AT62" i="10"/>
  <c r="AF62" i="10"/>
  <c r="AV62" i="10"/>
  <c r="O62" i="10"/>
  <c r="AU62" i="10"/>
  <c r="AS62" i="10"/>
  <c r="AR62" i="10"/>
  <c r="AE62" i="10"/>
  <c r="AZ62" i="10"/>
  <c r="AY62" i="10"/>
  <c r="AX62" i="10"/>
  <c r="AW62" i="10"/>
  <c r="BF62" i="10"/>
  <c r="BE62" i="10"/>
  <c r="BD62" i="10"/>
  <c r="BC62" i="10"/>
  <c r="AD62" i="10"/>
  <c r="AA62" i="10"/>
  <c r="Z62" i="10"/>
  <c r="Y62" i="10"/>
  <c r="X62" i="10"/>
  <c r="AI62" i="10"/>
  <c r="AH62" i="10"/>
  <c r="AG62" i="10"/>
  <c r="AC62" i="10"/>
  <c r="W62" i="10"/>
  <c r="S62" i="10"/>
  <c r="BG62" i="10"/>
  <c r="BB62" i="10"/>
  <c r="BA62" i="10"/>
  <c r="AQ62" i="10"/>
  <c r="AP62" i="10"/>
  <c r="AK62" i="10"/>
  <c r="AB62" i="10"/>
  <c r="P62" i="10"/>
  <c r="V62" i="10"/>
  <c r="U62" i="10"/>
  <c r="T62" i="10"/>
  <c r="R62" i="10"/>
  <c r="Q62" i="10"/>
  <c r="AO62" i="10"/>
  <c r="AN62" i="10"/>
  <c r="AM62" i="10"/>
  <c r="AL62" i="10"/>
  <c r="AJ62" i="10"/>
  <c r="BE13" i="10"/>
  <c r="Y13" i="10"/>
  <c r="BF13" i="10"/>
  <c r="X13" i="10"/>
  <c r="BB13" i="10"/>
  <c r="U13" i="10"/>
  <c r="AK13" i="10"/>
  <c r="AJ13" i="10"/>
  <c r="AI13" i="10"/>
  <c r="AH13" i="10"/>
  <c r="T13" i="10"/>
  <c r="R13" i="10"/>
  <c r="AN13" i="10"/>
  <c r="AM13" i="10"/>
  <c r="AL13" i="10"/>
  <c r="AG13" i="10"/>
  <c r="BG13" i="10"/>
  <c r="BD13" i="10"/>
  <c r="BA13" i="10"/>
  <c r="BC13" i="10"/>
  <c r="AY13" i="10"/>
  <c r="AV13" i="10"/>
  <c r="AU13" i="10"/>
  <c r="AT13" i="10"/>
  <c r="AS13" i="10"/>
  <c r="AF13" i="10"/>
  <c r="AD13" i="10"/>
  <c r="V13" i="10"/>
  <c r="AC13" i="10"/>
  <c r="AB13" i="10"/>
  <c r="AA13" i="10"/>
  <c r="Z13" i="10"/>
  <c r="W13" i="10"/>
  <c r="P13" i="10"/>
  <c r="AZ13" i="10"/>
  <c r="AR13" i="10"/>
  <c r="Q13" i="10"/>
  <c r="AX13" i="10"/>
  <c r="AW13" i="10"/>
  <c r="O13" i="10"/>
  <c r="AQ13" i="10"/>
  <c r="AP13" i="10"/>
  <c r="AO13" i="10"/>
  <c r="AE13" i="10"/>
  <c r="S13" i="10"/>
  <c r="AK256" i="10"/>
  <c r="AZ256" i="10"/>
  <c r="T256" i="10"/>
  <c r="AI256" i="10"/>
  <c r="AY256" i="10"/>
  <c r="Q256" i="10"/>
  <c r="AT256" i="10"/>
  <c r="W256" i="10"/>
  <c r="BG256" i="10"/>
  <c r="V256" i="10"/>
  <c r="AF256" i="10"/>
  <c r="BF256" i="10"/>
  <c r="P256" i="10"/>
  <c r="BE256" i="10"/>
  <c r="O256" i="10"/>
  <c r="BB256" i="10"/>
  <c r="AD256" i="10"/>
  <c r="AC256" i="10"/>
  <c r="BD256" i="10"/>
  <c r="AX256" i="10"/>
  <c r="Z256" i="10"/>
  <c r="Y256" i="10"/>
  <c r="AE256" i="10"/>
  <c r="AA256" i="10"/>
  <c r="AV256" i="10"/>
  <c r="AR256" i="10"/>
  <c r="AP256" i="10"/>
  <c r="AJ256" i="10"/>
  <c r="AW256" i="10"/>
  <c r="AU256" i="10"/>
  <c r="AM256" i="10"/>
  <c r="U256" i="10"/>
  <c r="S256" i="10"/>
  <c r="BA256" i="10"/>
  <c r="AQ256" i="10"/>
  <c r="AN256" i="10"/>
  <c r="BC256" i="10"/>
  <c r="X256" i="10"/>
  <c r="AO256" i="10"/>
  <c r="AH256" i="10"/>
  <c r="R256" i="10"/>
  <c r="AG256" i="10"/>
  <c r="AL256" i="10"/>
  <c r="AS256" i="10"/>
  <c r="AB256" i="10"/>
  <c r="AK122" i="10"/>
  <c r="AO122" i="10"/>
  <c r="AE122" i="10"/>
  <c r="AN122" i="10"/>
  <c r="AU122" i="10"/>
  <c r="Y122" i="10"/>
  <c r="X122" i="10"/>
  <c r="BG122" i="10"/>
  <c r="W122" i="10"/>
  <c r="BF122" i="10"/>
  <c r="V122" i="10"/>
  <c r="U122" i="10"/>
  <c r="AR122" i="10"/>
  <c r="AQ122" i="10"/>
  <c r="AP122" i="10"/>
  <c r="AM122" i="10"/>
  <c r="AC122" i="10"/>
  <c r="Z122" i="10"/>
  <c r="AX122" i="10"/>
  <c r="AW122" i="10"/>
  <c r="AV122" i="10"/>
  <c r="AT122" i="10"/>
  <c r="BD122" i="10"/>
  <c r="BA122" i="10"/>
  <c r="P122" i="10"/>
  <c r="O122" i="10"/>
  <c r="AS122" i="10"/>
  <c r="AL122" i="10"/>
  <c r="AJ122" i="10"/>
  <c r="AI122" i="10"/>
  <c r="AB122" i="10"/>
  <c r="BE122" i="10"/>
  <c r="BB122" i="10"/>
  <c r="AZ122" i="10"/>
  <c r="AY122" i="10"/>
  <c r="AH122" i="10"/>
  <c r="AF122" i="10"/>
  <c r="S122" i="10"/>
  <c r="AA122" i="10"/>
  <c r="BC122" i="10"/>
  <c r="AG122" i="10"/>
  <c r="AD122" i="10"/>
  <c r="Q122" i="10"/>
  <c r="T122" i="10"/>
  <c r="R122" i="10"/>
  <c r="AU181" i="10"/>
  <c r="O181" i="10"/>
  <c r="AT181" i="10"/>
  <c r="BA181" i="10"/>
  <c r="S181" i="10"/>
  <c r="AZ181" i="10"/>
  <c r="R181" i="10"/>
  <c r="BC181" i="10"/>
  <c r="Q181" i="10"/>
  <c r="AI181" i="10"/>
  <c r="BB181" i="10"/>
  <c r="AW181" i="10"/>
  <c r="AH181" i="10"/>
  <c r="AG181" i="10"/>
  <c r="AV181" i="10"/>
  <c r="AS181" i="10"/>
  <c r="AK181" i="10"/>
  <c r="AJ181" i="10"/>
  <c r="AY181" i="10"/>
  <c r="AX181" i="10"/>
  <c r="AD181" i="10"/>
  <c r="AC181" i="10"/>
  <c r="AB181" i="10"/>
  <c r="AL181" i="10"/>
  <c r="BG181" i="10"/>
  <c r="BD181" i="10"/>
  <c r="P181" i="10"/>
  <c r="Y181" i="10"/>
  <c r="V181" i="10"/>
  <c r="BF181" i="10"/>
  <c r="BE181" i="10"/>
  <c r="AR181" i="10"/>
  <c r="AQ181" i="10"/>
  <c r="AF181" i="10"/>
  <c r="AE181" i="10"/>
  <c r="AA181" i="10"/>
  <c r="Z181" i="10"/>
  <c r="T181" i="10"/>
  <c r="U181" i="10"/>
  <c r="AP181" i="10"/>
  <c r="AN181" i="10"/>
  <c r="AM181" i="10"/>
  <c r="X181" i="10"/>
  <c r="W181" i="10"/>
  <c r="AO181" i="10"/>
  <c r="BG242" i="10"/>
  <c r="AA242" i="10"/>
  <c r="AP242" i="10"/>
  <c r="AY242" i="10"/>
  <c r="Q242" i="10"/>
  <c r="AG242" i="10"/>
  <c r="AD242" i="10"/>
  <c r="AC242" i="10"/>
  <c r="BE242" i="10"/>
  <c r="S242" i="10"/>
  <c r="BD242" i="10"/>
  <c r="R242" i="10"/>
  <c r="AF242" i="10"/>
  <c r="AE242" i="10"/>
  <c r="AL242" i="10"/>
  <c r="AK242" i="10"/>
  <c r="AH242" i="10"/>
  <c r="AW242" i="10"/>
  <c r="AV242" i="10"/>
  <c r="AZ242" i="10"/>
  <c r="AU242" i="10"/>
  <c r="T242" i="10"/>
  <c r="AQ242" i="10"/>
  <c r="BF242" i="10"/>
  <c r="X242" i="10"/>
  <c r="W242" i="10"/>
  <c r="AT242" i="10"/>
  <c r="AS242" i="10"/>
  <c r="Y242" i="10"/>
  <c r="V242" i="10"/>
  <c r="O242" i="10"/>
  <c r="AX242" i="10"/>
  <c r="AR242" i="10"/>
  <c r="BA242" i="10"/>
  <c r="P242" i="10"/>
  <c r="AO242" i="10"/>
  <c r="AJ242" i="10"/>
  <c r="Z242" i="10"/>
  <c r="U242" i="10"/>
  <c r="BC242" i="10"/>
  <c r="BB242" i="10"/>
  <c r="AN242" i="10"/>
  <c r="AI242" i="10"/>
  <c r="AM242" i="10"/>
  <c r="AB242" i="10"/>
  <c r="AU211" i="10"/>
  <c r="O211" i="10"/>
  <c r="AD211" i="10"/>
  <c r="AN211" i="10"/>
  <c r="AM211" i="10"/>
  <c r="AY211" i="10"/>
  <c r="AX211" i="10"/>
  <c r="Y211" i="10"/>
  <c r="BB211" i="10"/>
  <c r="BA211" i="10"/>
  <c r="Z211" i="10"/>
  <c r="X211" i="10"/>
  <c r="AO211" i="10"/>
  <c r="BG211" i="10"/>
  <c r="P211" i="10"/>
  <c r="BD211" i="10"/>
  <c r="AI211" i="10"/>
  <c r="AF211" i="10"/>
  <c r="AA211" i="10"/>
  <c r="AT211" i="10"/>
  <c r="AS211" i="10"/>
  <c r="AK211" i="10"/>
  <c r="AC211" i="10"/>
  <c r="AB211" i="10"/>
  <c r="U211" i="10"/>
  <c r="AV211" i="10"/>
  <c r="AR211" i="10"/>
  <c r="AG211" i="10"/>
  <c r="AE211" i="10"/>
  <c r="W211" i="10"/>
  <c r="V211" i="10"/>
  <c r="AQ211" i="10"/>
  <c r="AL211" i="10"/>
  <c r="T211" i="10"/>
  <c r="BE211" i="10"/>
  <c r="AZ211" i="10"/>
  <c r="AW211" i="10"/>
  <c r="AP211" i="10"/>
  <c r="AJ211" i="10"/>
  <c r="AH211" i="10"/>
  <c r="R211" i="10"/>
  <c r="Q211" i="10"/>
  <c r="BF211" i="10"/>
  <c r="BC211" i="10"/>
  <c r="S211" i="10"/>
  <c r="AY69" i="10"/>
  <c r="S69" i="10"/>
  <c r="AG69" i="10"/>
  <c r="AF69" i="10"/>
  <c r="AE69" i="10"/>
  <c r="X69" i="10"/>
  <c r="BD69" i="10"/>
  <c r="R69" i="10"/>
  <c r="AL69" i="10"/>
  <c r="AK69" i="10"/>
  <c r="AJ69" i="10"/>
  <c r="AI69" i="10"/>
  <c r="AN69" i="10"/>
  <c r="BE69" i="10"/>
  <c r="BC69" i="10"/>
  <c r="BB69" i="10"/>
  <c r="BA69" i="10"/>
  <c r="Y69" i="10"/>
  <c r="W69" i="10"/>
  <c r="V69" i="10"/>
  <c r="U69" i="10"/>
  <c r="AV69" i="10"/>
  <c r="AS69" i="10"/>
  <c r="AR69" i="10"/>
  <c r="AQ69" i="10"/>
  <c r="AP69" i="10"/>
  <c r="AH69" i="10"/>
  <c r="AD69" i="10"/>
  <c r="AB69" i="10"/>
  <c r="AA69" i="10"/>
  <c r="Z69" i="10"/>
  <c r="T69" i="10"/>
  <c r="BG69" i="10"/>
  <c r="BF69" i="10"/>
  <c r="AZ69" i="10"/>
  <c r="AX69" i="10"/>
  <c r="AM69" i="10"/>
  <c r="Q69" i="10"/>
  <c r="P69" i="10"/>
  <c r="O69" i="10"/>
  <c r="AU69" i="10"/>
  <c r="AW69" i="10"/>
  <c r="AT69" i="10"/>
  <c r="AO69" i="10"/>
  <c r="AC69" i="10"/>
  <c r="AT243" i="10"/>
  <c r="AC243" i="10"/>
  <c r="AN243" i="10"/>
  <c r="BD243" i="10"/>
  <c r="V243" i="10"/>
  <c r="BF243" i="10"/>
  <c r="U243" i="10"/>
  <c r="BE243" i="10"/>
  <c r="T243" i="10"/>
  <c r="AY243" i="10"/>
  <c r="AX243" i="10"/>
  <c r="AU243" i="10"/>
  <c r="Z243" i="10"/>
  <c r="Y243" i="10"/>
  <c r="AJ243" i="10"/>
  <c r="AI243" i="10"/>
  <c r="AF243" i="10"/>
  <c r="AW243" i="10"/>
  <c r="AV243" i="10"/>
  <c r="BG243" i="10"/>
  <c r="AB243" i="10"/>
  <c r="W243" i="10"/>
  <c r="AA243" i="10"/>
  <c r="R243" i="10"/>
  <c r="AS243" i="10"/>
  <c r="AR243" i="10"/>
  <c r="AL243" i="10"/>
  <c r="BA243" i="10"/>
  <c r="S243" i="10"/>
  <c r="BC243" i="10"/>
  <c r="BB243" i="10"/>
  <c r="AZ243" i="10"/>
  <c r="P243" i="10"/>
  <c r="AQ243" i="10"/>
  <c r="O243" i="10"/>
  <c r="AP243" i="10"/>
  <c r="AO243" i="10"/>
  <c r="AK243" i="10"/>
  <c r="AM243" i="10"/>
  <c r="AH243" i="10"/>
  <c r="AG243" i="10"/>
  <c r="AE243" i="10"/>
  <c r="AD243" i="10"/>
  <c r="Q243" i="10"/>
  <c r="X243" i="10"/>
  <c r="AQ19" i="10"/>
  <c r="AP19" i="10"/>
  <c r="AO19" i="10"/>
  <c r="AN19" i="10"/>
  <c r="AR19" i="10"/>
  <c r="AK19" i="10"/>
  <c r="BD19" i="10"/>
  <c r="T19" i="10"/>
  <c r="BC19" i="10"/>
  <c r="S19" i="10"/>
  <c r="BB19" i="10"/>
  <c r="R19" i="10"/>
  <c r="BA19" i="10"/>
  <c r="Q19" i="10"/>
  <c r="P19" i="10"/>
  <c r="AG19" i="10"/>
  <c r="AF19" i="10"/>
  <c r="AE19" i="10"/>
  <c r="AD19" i="10"/>
  <c r="BF19" i="10"/>
  <c r="AY19" i="10"/>
  <c r="AX19" i="10"/>
  <c r="AW19" i="10"/>
  <c r="AV19" i="10"/>
  <c r="AL19" i="10"/>
  <c r="AI19" i="10"/>
  <c r="AH19" i="10"/>
  <c r="Y19" i="10"/>
  <c r="AC19" i="10"/>
  <c r="AB19" i="10"/>
  <c r="AA19" i="10"/>
  <c r="Z19" i="10"/>
  <c r="V19" i="10"/>
  <c r="O19" i="10"/>
  <c r="AU19" i="10"/>
  <c r="AT19" i="10"/>
  <c r="AS19" i="10"/>
  <c r="AM19" i="10"/>
  <c r="AJ19" i="10"/>
  <c r="U19" i="10"/>
  <c r="X19" i="10"/>
  <c r="W19" i="10"/>
  <c r="BG19" i="10"/>
  <c r="BE19" i="10"/>
  <c r="AZ19" i="10"/>
  <c r="BD76" i="10"/>
  <c r="X76" i="10"/>
  <c r="AL76" i="10"/>
  <c r="AK76" i="10"/>
  <c r="AJ76" i="10"/>
  <c r="AI76" i="10"/>
  <c r="AO76" i="10"/>
  <c r="AH76" i="10"/>
  <c r="BB76" i="10"/>
  <c r="O76" i="10"/>
  <c r="AE76" i="10"/>
  <c r="AD76" i="10"/>
  <c r="AC76" i="10"/>
  <c r="AB76" i="10"/>
  <c r="AX76" i="10"/>
  <c r="AU76" i="10"/>
  <c r="S76" i="10"/>
  <c r="R76" i="10"/>
  <c r="Q76" i="10"/>
  <c r="P76" i="10"/>
  <c r="AT76" i="10"/>
  <c r="AS76" i="10"/>
  <c r="AR76" i="10"/>
  <c r="AQ76" i="10"/>
  <c r="AF76" i="10"/>
  <c r="BG76" i="10"/>
  <c r="BC76" i="10"/>
  <c r="BA76" i="10"/>
  <c r="AN76" i="10"/>
  <c r="AM76" i="10"/>
  <c r="AG76" i="10"/>
  <c r="AA76" i="10"/>
  <c r="Y76" i="10"/>
  <c r="T76" i="10"/>
  <c r="AY76" i="10"/>
  <c r="AW76" i="10"/>
  <c r="AV76" i="10"/>
  <c r="AP76" i="10"/>
  <c r="W76" i="10"/>
  <c r="Z76" i="10"/>
  <c r="U76" i="10"/>
  <c r="BF76" i="10"/>
  <c r="AZ76" i="10"/>
  <c r="V76" i="10"/>
  <c r="BE76" i="10"/>
  <c r="AB210" i="10"/>
  <c r="AY210" i="10"/>
  <c r="R210" i="10"/>
  <c r="AX210" i="10"/>
  <c r="Q210" i="10"/>
  <c r="BG210" i="10"/>
  <c r="X210" i="10"/>
  <c r="BF210" i="10"/>
  <c r="W210" i="10"/>
  <c r="AI210" i="10"/>
  <c r="BE210" i="10"/>
  <c r="S210" i="10"/>
  <c r="BD210" i="10"/>
  <c r="P210" i="10"/>
  <c r="AF210" i="10"/>
  <c r="AE210" i="10"/>
  <c r="AO210" i="10"/>
  <c r="BA210" i="10"/>
  <c r="BC210" i="10"/>
  <c r="AG210" i="10"/>
  <c r="AA210" i="10"/>
  <c r="U210" i="10"/>
  <c r="AL210" i="10"/>
  <c r="AK210" i="10"/>
  <c r="Z210" i="10"/>
  <c r="AZ210" i="10"/>
  <c r="AW210" i="10"/>
  <c r="Y210" i="10"/>
  <c r="V210" i="10"/>
  <c r="AQ210" i="10"/>
  <c r="AJ210" i="10"/>
  <c r="AH210" i="10"/>
  <c r="AD210" i="10"/>
  <c r="AC210" i="10"/>
  <c r="AN210" i="10"/>
  <c r="AM210" i="10"/>
  <c r="T210" i="10"/>
  <c r="O210" i="10"/>
  <c r="AR210" i="10"/>
  <c r="AP210" i="10"/>
  <c r="BB210" i="10"/>
  <c r="AU210" i="10"/>
  <c r="AT210" i="10"/>
  <c r="AV210" i="10"/>
  <c r="AS210" i="10"/>
  <c r="AP174" i="10"/>
  <c r="AO174" i="10"/>
  <c r="Z174" i="10"/>
  <c r="BG174" i="10"/>
  <c r="Y174" i="10"/>
  <c r="AN174" i="10"/>
  <c r="AX174" i="10"/>
  <c r="AD174" i="10"/>
  <c r="BF174" i="10"/>
  <c r="S174" i="10"/>
  <c r="BE174" i="10"/>
  <c r="R174" i="10"/>
  <c r="AG174" i="10"/>
  <c r="AF174" i="10"/>
  <c r="U174" i="10"/>
  <c r="T174" i="10"/>
  <c r="AI174" i="10"/>
  <c r="AH174" i="10"/>
  <c r="AZ174" i="10"/>
  <c r="W174" i="10"/>
  <c r="V174" i="10"/>
  <c r="Q174" i="10"/>
  <c r="AR174" i="10"/>
  <c r="AK174" i="10"/>
  <c r="AJ174" i="10"/>
  <c r="AE174" i="10"/>
  <c r="AC174" i="10"/>
  <c r="BB174" i="10"/>
  <c r="X174" i="10"/>
  <c r="P174" i="10"/>
  <c r="O174" i="10"/>
  <c r="AY174" i="10"/>
  <c r="AU174" i="10"/>
  <c r="AT174" i="10"/>
  <c r="AS174" i="10"/>
  <c r="AQ174" i="10"/>
  <c r="AL174" i="10"/>
  <c r="AB174" i="10"/>
  <c r="AA174" i="10"/>
  <c r="BC174" i="10"/>
  <c r="AM174" i="10"/>
  <c r="BA174" i="10"/>
  <c r="BD174" i="10"/>
  <c r="AV174" i="10"/>
  <c r="AW174" i="10"/>
  <c r="AN214" i="10"/>
  <c r="BC214" i="10"/>
  <c r="W214" i="10"/>
  <c r="AP214" i="10"/>
  <c r="AO214" i="10"/>
  <c r="Y214" i="10"/>
  <c r="X214" i="10"/>
  <c r="AI214" i="10"/>
  <c r="AL214" i="10"/>
  <c r="AK214" i="10"/>
  <c r="AY214" i="10"/>
  <c r="AX214" i="10"/>
  <c r="AS214" i="10"/>
  <c r="AQ214" i="10"/>
  <c r="Q214" i="10"/>
  <c r="BF214" i="10"/>
  <c r="AC214" i="10"/>
  <c r="BB214" i="10"/>
  <c r="AW214" i="10"/>
  <c r="AR214" i="10"/>
  <c r="AB214" i="10"/>
  <c r="AA214" i="10"/>
  <c r="S214" i="10"/>
  <c r="AZ214" i="10"/>
  <c r="AV214" i="10"/>
  <c r="AE214" i="10"/>
  <c r="AD214" i="10"/>
  <c r="U214" i="10"/>
  <c r="BD214" i="10"/>
  <c r="BA214" i="10"/>
  <c r="T214" i="10"/>
  <c r="BG214" i="10"/>
  <c r="AM214" i="10"/>
  <c r="AJ214" i="10"/>
  <c r="AH214" i="10"/>
  <c r="AG214" i="10"/>
  <c r="BE214" i="10"/>
  <c r="AU214" i="10"/>
  <c r="AT214" i="10"/>
  <c r="AF214" i="10"/>
  <c r="Z214" i="10"/>
  <c r="O214" i="10"/>
  <c r="V214" i="10"/>
  <c r="P214" i="10"/>
  <c r="R214" i="10"/>
  <c r="AX103" i="10"/>
  <c r="R103" i="10"/>
  <c r="AU103" i="10"/>
  <c r="AC103" i="10"/>
  <c r="AP103" i="10"/>
  <c r="BF103" i="10"/>
  <c r="W103" i="10"/>
  <c r="BE103" i="10"/>
  <c r="V103" i="10"/>
  <c r="BD103" i="10"/>
  <c r="U103" i="10"/>
  <c r="BC103" i="10"/>
  <c r="T103" i="10"/>
  <c r="AW103" i="10"/>
  <c r="AV103" i="10"/>
  <c r="AT103" i="10"/>
  <c r="AS103" i="10"/>
  <c r="BA103" i="10"/>
  <c r="AB103" i="10"/>
  <c r="AA103" i="10"/>
  <c r="Z103" i="10"/>
  <c r="Y103" i="10"/>
  <c r="AI103" i="10"/>
  <c r="AH103" i="10"/>
  <c r="AG103" i="10"/>
  <c r="AF103" i="10"/>
  <c r="O103" i="10"/>
  <c r="AY103" i="10"/>
  <c r="AO103" i="10"/>
  <c r="AN103" i="10"/>
  <c r="AM103" i="10"/>
  <c r="AL103" i="10"/>
  <c r="AJ103" i="10"/>
  <c r="AE103" i="10"/>
  <c r="AD103" i="10"/>
  <c r="AR103" i="10"/>
  <c r="AQ103" i="10"/>
  <c r="AK103" i="10"/>
  <c r="X103" i="10"/>
  <c r="Q103" i="10"/>
  <c r="S103" i="10"/>
  <c r="AZ103" i="10"/>
  <c r="BG103" i="10"/>
  <c r="BB103" i="10"/>
  <c r="P103" i="10"/>
  <c r="BD41" i="10"/>
  <c r="X41" i="10"/>
  <c r="AP41" i="10"/>
  <c r="BF41" i="10"/>
  <c r="Y41" i="10"/>
  <c r="BE41" i="10"/>
  <c r="W41" i="10"/>
  <c r="BC41" i="10"/>
  <c r="V41" i="10"/>
  <c r="BB41" i="10"/>
  <c r="U41" i="10"/>
  <c r="S41" i="10"/>
  <c r="BG41" i="10"/>
  <c r="P41" i="10"/>
  <c r="AJ41" i="10"/>
  <c r="AI41" i="10"/>
  <c r="AH41" i="10"/>
  <c r="AG41" i="10"/>
  <c r="AM41" i="10"/>
  <c r="AL41" i="10"/>
  <c r="AK41" i="10"/>
  <c r="AF41" i="10"/>
  <c r="AD41" i="10"/>
  <c r="Z41" i="10"/>
  <c r="AZ41" i="10"/>
  <c r="AY41" i="10"/>
  <c r="AX41" i="10"/>
  <c r="AW41" i="10"/>
  <c r="BA41" i="10"/>
  <c r="AS41" i="10"/>
  <c r="AV41" i="10"/>
  <c r="AU41" i="10"/>
  <c r="AT41" i="10"/>
  <c r="AQ41" i="10"/>
  <c r="AE41" i="10"/>
  <c r="AC41" i="10"/>
  <c r="AB41" i="10"/>
  <c r="AA41" i="10"/>
  <c r="Q41" i="10"/>
  <c r="O41" i="10"/>
  <c r="AR41" i="10"/>
  <c r="AO41" i="10"/>
  <c r="AN41" i="10"/>
  <c r="T41" i="10"/>
  <c r="R41" i="10"/>
  <c r="AC264" i="10"/>
  <c r="AR264" i="10"/>
  <c r="AY264" i="10"/>
  <c r="Q264" i="10"/>
  <c r="AG264" i="10"/>
  <c r="AA264" i="10"/>
  <c r="AM264" i="10"/>
  <c r="AL264" i="10"/>
  <c r="AW264" i="10"/>
  <c r="AE264" i="10"/>
  <c r="AD264" i="10"/>
  <c r="Y264" i="10"/>
  <c r="AS264" i="10"/>
  <c r="AQ264" i="10"/>
  <c r="AT264" i="10"/>
  <c r="AP264" i="10"/>
  <c r="AK264" i="10"/>
  <c r="BF264" i="10"/>
  <c r="BE264" i="10"/>
  <c r="S264" i="10"/>
  <c r="P264" i="10"/>
  <c r="AO264" i="10"/>
  <c r="AI264" i="10"/>
  <c r="R264" i="10"/>
  <c r="AZ264" i="10"/>
  <c r="AU264" i="10"/>
  <c r="AF264" i="10"/>
  <c r="AH264" i="10"/>
  <c r="AB264" i="10"/>
  <c r="AN264" i="10"/>
  <c r="AJ264" i="10"/>
  <c r="W264" i="10"/>
  <c r="AV264" i="10"/>
  <c r="Z264" i="10"/>
  <c r="X264" i="10"/>
  <c r="V264" i="10"/>
  <c r="BG264" i="10"/>
  <c r="BB264" i="10"/>
  <c r="BD264" i="10"/>
  <c r="BC264" i="10"/>
  <c r="BA264" i="10"/>
  <c r="AX264" i="10"/>
  <c r="U264" i="10"/>
  <c r="T264" i="10"/>
  <c r="O264" i="10"/>
  <c r="BD198" i="10"/>
  <c r="X198" i="10"/>
  <c r="AD198" i="10"/>
  <c r="AU198" i="10"/>
  <c r="AT198" i="10"/>
  <c r="AG198" i="10"/>
  <c r="AF198" i="10"/>
  <c r="AQ198" i="10"/>
  <c r="W198" i="10"/>
  <c r="AN198" i="10"/>
  <c r="AK198" i="10"/>
  <c r="AB198" i="10"/>
  <c r="AY198" i="10"/>
  <c r="AV198" i="10"/>
  <c r="AO198" i="10"/>
  <c r="AI198" i="10"/>
  <c r="AH198" i="10"/>
  <c r="BB198" i="10"/>
  <c r="BA198" i="10"/>
  <c r="AL198" i="10"/>
  <c r="AJ198" i="10"/>
  <c r="BE198" i="10"/>
  <c r="BC198" i="10"/>
  <c r="BF198" i="10"/>
  <c r="Q198" i="10"/>
  <c r="P198" i="10"/>
  <c r="O198" i="10"/>
  <c r="AM198" i="10"/>
  <c r="AE198" i="10"/>
  <c r="AC198" i="10"/>
  <c r="AA198" i="10"/>
  <c r="V198" i="10"/>
  <c r="U198" i="10"/>
  <c r="T198" i="10"/>
  <c r="S198" i="10"/>
  <c r="AZ198" i="10"/>
  <c r="AX198" i="10"/>
  <c r="AW198" i="10"/>
  <c r="AS198" i="10"/>
  <c r="AR198" i="10"/>
  <c r="AP198" i="10"/>
  <c r="Z198" i="10"/>
  <c r="Y198" i="10"/>
  <c r="BG198" i="10"/>
  <c r="R198" i="10"/>
  <c r="AL99" i="10"/>
  <c r="AP99" i="10"/>
  <c r="AX99" i="10"/>
  <c r="P99" i="10"/>
  <c r="AD99" i="10"/>
  <c r="AC99" i="10"/>
  <c r="AB99" i="10"/>
  <c r="AA99" i="10"/>
  <c r="X99" i="10"/>
  <c r="W99" i="10"/>
  <c r="V99" i="10"/>
  <c r="U99" i="10"/>
  <c r="AV99" i="10"/>
  <c r="AS99" i="10"/>
  <c r="R99" i="10"/>
  <c r="Q99" i="10"/>
  <c r="BG99" i="10"/>
  <c r="O99" i="10"/>
  <c r="BF99" i="10"/>
  <c r="T99" i="10"/>
  <c r="AO99" i="10"/>
  <c r="AN99" i="10"/>
  <c r="AM99" i="10"/>
  <c r="AK99" i="10"/>
  <c r="BA99" i="10"/>
  <c r="AZ99" i="10"/>
  <c r="AY99" i="10"/>
  <c r="AW99" i="10"/>
  <c r="AJ99" i="10"/>
  <c r="BE99" i="10"/>
  <c r="AF99" i="10"/>
  <c r="AE99" i="10"/>
  <c r="Z99" i="10"/>
  <c r="Y99" i="10"/>
  <c r="BD99" i="10"/>
  <c r="BC99" i="10"/>
  <c r="AQ99" i="10"/>
  <c r="AH99" i="10"/>
  <c r="AG99" i="10"/>
  <c r="S99" i="10"/>
  <c r="BB99" i="10"/>
  <c r="AU99" i="10"/>
  <c r="AI99" i="10"/>
  <c r="AT99" i="10"/>
  <c r="AR99" i="10"/>
  <c r="AK40" i="10"/>
  <c r="BB40" i="10"/>
  <c r="U40" i="10"/>
  <c r="AJ40" i="10"/>
  <c r="AI40" i="10"/>
  <c r="AH40" i="10"/>
  <c r="AG40" i="10"/>
  <c r="Z40" i="10"/>
  <c r="W40" i="10"/>
  <c r="AQ40" i="10"/>
  <c r="AP40" i="10"/>
  <c r="AO40" i="10"/>
  <c r="AN40" i="10"/>
  <c r="AE40" i="10"/>
  <c r="AD40" i="10"/>
  <c r="AC40" i="10"/>
  <c r="AB40" i="10"/>
  <c r="Y40" i="10"/>
  <c r="S40" i="10"/>
  <c r="AZ40" i="10"/>
  <c r="AY40" i="10"/>
  <c r="AX40" i="10"/>
  <c r="AW40" i="10"/>
  <c r="AA40" i="10"/>
  <c r="X40" i="10"/>
  <c r="V40" i="10"/>
  <c r="T40" i="10"/>
  <c r="Q40" i="10"/>
  <c r="R40" i="10"/>
  <c r="O40" i="10"/>
  <c r="BG40" i="10"/>
  <c r="BE40" i="10"/>
  <c r="BD40" i="10"/>
  <c r="BC40" i="10"/>
  <c r="BA40" i="10"/>
  <c r="AV40" i="10"/>
  <c r="AT40" i="10"/>
  <c r="AU40" i="10"/>
  <c r="AM40" i="10"/>
  <c r="AF40" i="10"/>
  <c r="AS40" i="10"/>
  <c r="AR40" i="10"/>
  <c r="AL40" i="10"/>
  <c r="P40" i="10"/>
  <c r="BF40" i="10"/>
  <c r="AY191" i="10"/>
  <c r="S191" i="10"/>
  <c r="BG191" i="10"/>
  <c r="Z191" i="10"/>
  <c r="BF191" i="10"/>
  <c r="Y191" i="10"/>
  <c r="X191" i="10"/>
  <c r="W191" i="10"/>
  <c r="AJ191" i="10"/>
  <c r="U191" i="10"/>
  <c r="AM191" i="10"/>
  <c r="AI191" i="10"/>
  <c r="AN191" i="10"/>
  <c r="BD191" i="10"/>
  <c r="BA191" i="10"/>
  <c r="AV191" i="10"/>
  <c r="AW191" i="10"/>
  <c r="AU191" i="10"/>
  <c r="Q191" i="10"/>
  <c r="P191" i="10"/>
  <c r="AC191" i="10"/>
  <c r="AB191" i="10"/>
  <c r="AP191" i="10"/>
  <c r="AQ191" i="10"/>
  <c r="AO191" i="10"/>
  <c r="AL191" i="10"/>
  <c r="AK191" i="10"/>
  <c r="AF191" i="10"/>
  <c r="AA191" i="10"/>
  <c r="BE191" i="10"/>
  <c r="BC191" i="10"/>
  <c r="V191" i="10"/>
  <c r="T191" i="10"/>
  <c r="R191" i="10"/>
  <c r="O191" i="10"/>
  <c r="AX191" i="10"/>
  <c r="AR191" i="10"/>
  <c r="AG191" i="10"/>
  <c r="BB191" i="10"/>
  <c r="AT191" i="10"/>
  <c r="AD191" i="10"/>
  <c r="AZ191" i="10"/>
  <c r="AS191" i="10"/>
  <c r="AE191" i="10"/>
  <c r="AH191" i="10"/>
  <c r="AT131" i="10"/>
  <c r="AY131" i="10"/>
  <c r="R131" i="10"/>
  <c r="AH131" i="10"/>
  <c r="AL131" i="10"/>
  <c r="AK131" i="10"/>
  <c r="X131" i="10"/>
  <c r="AR131" i="10"/>
  <c r="V131" i="10"/>
  <c r="BG131" i="10"/>
  <c r="U131" i="10"/>
  <c r="BF131" i="10"/>
  <c r="T131" i="10"/>
  <c r="BE131" i="10"/>
  <c r="S131" i="10"/>
  <c r="AZ131" i="10"/>
  <c r="AC131" i="10"/>
  <c r="AB131" i="10"/>
  <c r="AA131" i="10"/>
  <c r="Z131" i="10"/>
  <c r="AJ131" i="10"/>
  <c r="AF131" i="10"/>
  <c r="BB131" i="10"/>
  <c r="BA131" i="10"/>
  <c r="AX131" i="10"/>
  <c r="AW131" i="10"/>
  <c r="AE131" i="10"/>
  <c r="W131" i="10"/>
  <c r="BD131" i="10"/>
  <c r="BC131" i="10"/>
  <c r="AV131" i="10"/>
  <c r="AU131" i="10"/>
  <c r="AD131" i="10"/>
  <c r="Y131" i="10"/>
  <c r="Q131" i="10"/>
  <c r="P131" i="10"/>
  <c r="AQ131" i="10"/>
  <c r="AP131" i="10"/>
  <c r="AO131" i="10"/>
  <c r="AN131" i="10"/>
  <c r="AM131" i="10"/>
  <c r="AI131" i="10"/>
  <c r="AG131" i="10"/>
  <c r="AS131" i="10"/>
  <c r="O131" i="10"/>
  <c r="AQ169" i="10"/>
  <c r="AP169" i="10"/>
  <c r="AU169" i="10"/>
  <c r="AT169" i="10"/>
  <c r="AW169" i="10"/>
  <c r="AY169" i="10"/>
  <c r="AC169" i="10"/>
  <c r="AO169" i="10"/>
  <c r="AN169" i="10"/>
  <c r="BF169" i="10"/>
  <c r="S169" i="10"/>
  <c r="BE169" i="10"/>
  <c r="R169" i="10"/>
  <c r="T169" i="10"/>
  <c r="Q169" i="10"/>
  <c r="AD169" i="10"/>
  <c r="Y169" i="10"/>
  <c r="AS169" i="10"/>
  <c r="AR169" i="10"/>
  <c r="AM169" i="10"/>
  <c r="AG169" i="10"/>
  <c r="BG169" i="10"/>
  <c r="BD169" i="10"/>
  <c r="BC169" i="10"/>
  <c r="AA169" i="10"/>
  <c r="W169" i="10"/>
  <c r="BA169" i="10"/>
  <c r="AZ169" i="10"/>
  <c r="AX169" i="10"/>
  <c r="AV169" i="10"/>
  <c r="AH169" i="10"/>
  <c r="AB169" i="10"/>
  <c r="AF169" i="10"/>
  <c r="AE169" i="10"/>
  <c r="Z169" i="10"/>
  <c r="X169" i="10"/>
  <c r="U169" i="10"/>
  <c r="AK169" i="10"/>
  <c r="V169" i="10"/>
  <c r="P169" i="10"/>
  <c r="O169" i="10"/>
  <c r="AL169" i="10"/>
  <c r="AI169" i="10"/>
  <c r="BB169" i="10"/>
  <c r="AJ169" i="10"/>
  <c r="BC128" i="10"/>
  <c r="W128" i="10"/>
  <c r="AI128" i="10"/>
  <c r="AH128" i="10"/>
  <c r="AY128" i="10"/>
  <c r="P128" i="10"/>
  <c r="AD128" i="10"/>
  <c r="AT128" i="10"/>
  <c r="AS128" i="10"/>
  <c r="AR128" i="10"/>
  <c r="AQ128" i="10"/>
  <c r="BD128" i="10"/>
  <c r="AE128" i="10"/>
  <c r="AC128" i="10"/>
  <c r="AB128" i="10"/>
  <c r="AA128" i="10"/>
  <c r="O128" i="10"/>
  <c r="AJ128" i="10"/>
  <c r="AG128" i="10"/>
  <c r="AF128" i="10"/>
  <c r="Z128" i="10"/>
  <c r="AN128" i="10"/>
  <c r="AK128" i="10"/>
  <c r="BG128" i="10"/>
  <c r="BF128" i="10"/>
  <c r="BE128" i="10"/>
  <c r="BB128" i="10"/>
  <c r="AU128" i="10"/>
  <c r="AM128" i="10"/>
  <c r="AL128" i="10"/>
  <c r="Y128" i="10"/>
  <c r="X128" i="10"/>
  <c r="U128" i="10"/>
  <c r="T128" i="10"/>
  <c r="S128" i="10"/>
  <c r="AX128" i="10"/>
  <c r="AW128" i="10"/>
  <c r="AV128" i="10"/>
  <c r="AP128" i="10"/>
  <c r="V128" i="10"/>
  <c r="BA128" i="10"/>
  <c r="AZ128" i="10"/>
  <c r="AO128" i="10"/>
  <c r="R128" i="10"/>
  <c r="Q128" i="10"/>
  <c r="AQ199" i="10"/>
  <c r="AY199" i="10"/>
  <c r="R199" i="10"/>
  <c r="AJ199" i="10"/>
  <c r="AI199" i="10"/>
  <c r="X199" i="10"/>
  <c r="BG199" i="10"/>
  <c r="W199" i="10"/>
  <c r="AH199" i="10"/>
  <c r="BF199" i="10"/>
  <c r="S199" i="10"/>
  <c r="AK199" i="10"/>
  <c r="AE199" i="10"/>
  <c r="AB199" i="10"/>
  <c r="AW199" i="10"/>
  <c r="AT199" i="10"/>
  <c r="AO199" i="10"/>
  <c r="AP199" i="10"/>
  <c r="AN199" i="10"/>
  <c r="BE199" i="10"/>
  <c r="BD199" i="10"/>
  <c r="AZ199" i="10"/>
  <c r="AX199" i="10"/>
  <c r="AG199" i="10"/>
  <c r="AF199" i="10"/>
  <c r="AD199" i="10"/>
  <c r="AC199" i="10"/>
  <c r="AM199" i="10"/>
  <c r="AR199" i="10"/>
  <c r="Z199" i="10"/>
  <c r="U199" i="10"/>
  <c r="T199" i="10"/>
  <c r="Q199" i="10"/>
  <c r="P199" i="10"/>
  <c r="BC199" i="10"/>
  <c r="V199" i="10"/>
  <c r="AA199" i="10"/>
  <c r="Y199" i="10"/>
  <c r="O199" i="10"/>
  <c r="BA199" i="10"/>
  <c r="AV199" i="10"/>
  <c r="AS199" i="10"/>
  <c r="AL199" i="10"/>
  <c r="BB199" i="10"/>
  <c r="AU199" i="10"/>
  <c r="AW201" i="10"/>
  <c r="Q201" i="10"/>
  <c r="AA201" i="10"/>
  <c r="AV201" i="10"/>
  <c r="AU201" i="10"/>
  <c r="BG201" i="10"/>
  <c r="AP201" i="10"/>
  <c r="AO201" i="10"/>
  <c r="BC201" i="10"/>
  <c r="S201" i="10"/>
  <c r="BB201" i="10"/>
  <c r="R201" i="10"/>
  <c r="BA201" i="10"/>
  <c r="AC201" i="10"/>
  <c r="Y201" i="10"/>
  <c r="AE201" i="10"/>
  <c r="AY201" i="10"/>
  <c r="AS201" i="10"/>
  <c r="AM201" i="10"/>
  <c r="BF201" i="10"/>
  <c r="BE201" i="10"/>
  <c r="AR201" i="10"/>
  <c r="V201" i="10"/>
  <c r="U201" i="10"/>
  <c r="X201" i="10"/>
  <c r="W201" i="10"/>
  <c r="O201" i="10"/>
  <c r="AK201" i="10"/>
  <c r="AJ201" i="10"/>
  <c r="P201" i="10"/>
  <c r="AH201" i="10"/>
  <c r="AX201" i="10"/>
  <c r="AN201" i="10"/>
  <c r="AG201" i="10"/>
  <c r="AF201" i="10"/>
  <c r="AD201" i="10"/>
  <c r="AB201" i="10"/>
  <c r="Z201" i="10"/>
  <c r="T201" i="10"/>
  <c r="BD201" i="10"/>
  <c r="AZ201" i="10"/>
  <c r="AL201" i="10"/>
  <c r="AI201" i="10"/>
  <c r="AT201" i="10"/>
  <c r="AQ201" i="10"/>
  <c r="AG155" i="10"/>
  <c r="AF155" i="10"/>
  <c r="AA155" i="10"/>
  <c r="Z155" i="10"/>
  <c r="BE155" i="10"/>
  <c r="U155" i="10"/>
  <c r="AO155" i="10"/>
  <c r="AR155" i="10"/>
  <c r="AQ155" i="10"/>
  <c r="BB155" i="10"/>
  <c r="P155" i="10"/>
  <c r="AH155" i="10"/>
  <c r="AE155" i="10"/>
  <c r="AT155" i="10"/>
  <c r="W155" i="10"/>
  <c r="AU155" i="10"/>
  <c r="AS155" i="10"/>
  <c r="AP155" i="10"/>
  <c r="BC155" i="10"/>
  <c r="V155" i="10"/>
  <c r="T155" i="10"/>
  <c r="S155" i="10"/>
  <c r="R155" i="10"/>
  <c r="BG155" i="10"/>
  <c r="AB155" i="10"/>
  <c r="Y155" i="10"/>
  <c r="X155" i="10"/>
  <c r="Q155" i="10"/>
  <c r="O155" i="10"/>
  <c r="AY155" i="10"/>
  <c r="AX155" i="10"/>
  <c r="AW155" i="10"/>
  <c r="AV155" i="10"/>
  <c r="AJ155" i="10"/>
  <c r="AC155" i="10"/>
  <c r="AM155" i="10"/>
  <c r="AI155" i="10"/>
  <c r="AD155" i="10"/>
  <c r="BA155" i="10"/>
  <c r="AZ155" i="10"/>
  <c r="AN155" i="10"/>
  <c r="AL155" i="10"/>
  <c r="AK155" i="10"/>
  <c r="BD155" i="10"/>
  <c r="BF155" i="10"/>
  <c r="BG61" i="10"/>
  <c r="AA61" i="10"/>
  <c r="AR61" i="10"/>
  <c r="Z61" i="10"/>
  <c r="BF61" i="10"/>
  <c r="Y61" i="10"/>
  <c r="BE61" i="10"/>
  <c r="X61" i="10"/>
  <c r="BD61" i="10"/>
  <c r="W61" i="10"/>
  <c r="AL61" i="10"/>
  <c r="BB61" i="10"/>
  <c r="P61" i="10"/>
  <c r="BA61" i="10"/>
  <c r="O61" i="10"/>
  <c r="AZ61" i="10"/>
  <c r="AY61" i="10"/>
  <c r="BC61" i="10"/>
  <c r="AX61" i="10"/>
  <c r="AW61" i="10"/>
  <c r="AV61" i="10"/>
  <c r="AF61" i="10"/>
  <c r="AC61" i="10"/>
  <c r="AB61" i="10"/>
  <c r="V61" i="10"/>
  <c r="U61" i="10"/>
  <c r="AM61" i="10"/>
  <c r="AK61" i="10"/>
  <c r="AJ61" i="10"/>
  <c r="AI61" i="10"/>
  <c r="AO61" i="10"/>
  <c r="AN61" i="10"/>
  <c r="AH61" i="10"/>
  <c r="AG61" i="10"/>
  <c r="AD61" i="10"/>
  <c r="AE61" i="10"/>
  <c r="S61" i="10"/>
  <c r="AS61" i="10"/>
  <c r="AP61" i="10"/>
  <c r="R61" i="10"/>
  <c r="Q61" i="10"/>
  <c r="AT61" i="10"/>
  <c r="AQ61" i="10"/>
  <c r="AU61" i="10"/>
  <c r="T61" i="10"/>
  <c r="AK144" i="10"/>
  <c r="AJ144" i="10"/>
  <c r="AG144" i="10"/>
  <c r="AI144" i="10"/>
  <c r="BF144" i="10"/>
  <c r="V144" i="10"/>
  <c r="BE144" i="10"/>
  <c r="U144" i="10"/>
  <c r="AU144" i="10"/>
  <c r="AT144" i="10"/>
  <c r="AV144" i="10"/>
  <c r="X144" i="10"/>
  <c r="AB144" i="10"/>
  <c r="AW144" i="10"/>
  <c r="AS144" i="10"/>
  <c r="AR144" i="10"/>
  <c r="AQ144" i="10"/>
  <c r="BB144" i="10"/>
  <c r="AY144" i="10"/>
  <c r="S144" i="10"/>
  <c r="R144" i="10"/>
  <c r="Q144" i="10"/>
  <c r="P144" i="10"/>
  <c r="AH144" i="10"/>
  <c r="AD144" i="10"/>
  <c r="BG144" i="10"/>
  <c r="BD144" i="10"/>
  <c r="BC144" i="10"/>
  <c r="W144" i="10"/>
  <c r="AX144" i="10"/>
  <c r="AP144" i="10"/>
  <c r="AO144" i="10"/>
  <c r="AN144" i="10"/>
  <c r="AM144" i="10"/>
  <c r="O144" i="10"/>
  <c r="BA144" i="10"/>
  <c r="AZ144" i="10"/>
  <c r="AL144" i="10"/>
  <c r="AE144" i="10"/>
  <c r="Y144" i="10"/>
  <c r="AA144" i="10"/>
  <c r="Z144" i="10"/>
  <c r="T144" i="10"/>
  <c r="AC144" i="10"/>
  <c r="AF144" i="10"/>
  <c r="AO236" i="10"/>
  <c r="BD236" i="10"/>
  <c r="X236" i="10"/>
  <c r="AV236" i="10"/>
  <c r="AD236" i="10"/>
  <c r="AS236" i="10"/>
  <c r="AR236" i="10"/>
  <c r="BE236" i="10"/>
  <c r="R236" i="10"/>
  <c r="BC236" i="10"/>
  <c r="Q236" i="10"/>
  <c r="AC236" i="10"/>
  <c r="AB236" i="10"/>
  <c r="AM236" i="10"/>
  <c r="AL236" i="10"/>
  <c r="AI236" i="10"/>
  <c r="BA236" i="10"/>
  <c r="AZ236" i="10"/>
  <c r="BF236" i="10"/>
  <c r="Z236" i="10"/>
  <c r="V236" i="10"/>
  <c r="AN236" i="10"/>
  <c r="AH236" i="10"/>
  <c r="AA236" i="10"/>
  <c r="T236" i="10"/>
  <c r="S236" i="10"/>
  <c r="AT236" i="10"/>
  <c r="AQ236" i="10"/>
  <c r="AY236" i="10"/>
  <c r="AX236" i="10"/>
  <c r="AP236" i="10"/>
  <c r="AU236" i="10"/>
  <c r="AG236" i="10"/>
  <c r="AF236" i="10"/>
  <c r="AE236" i="10"/>
  <c r="Y236" i="10"/>
  <c r="BB236" i="10"/>
  <c r="AW236" i="10"/>
  <c r="W236" i="10"/>
  <c r="U236" i="10"/>
  <c r="P236" i="10"/>
  <c r="O236" i="10"/>
  <c r="AK236" i="10"/>
  <c r="AJ236" i="10"/>
  <c r="BG236" i="10"/>
  <c r="BG274" i="10"/>
  <c r="AA274" i="10"/>
  <c r="AP274" i="10"/>
  <c r="AJ274" i="10"/>
  <c r="AI274" i="10"/>
  <c r="BF274" i="10"/>
  <c r="V274" i="10"/>
  <c r="AN274" i="10"/>
  <c r="AH274" i="10"/>
  <c r="AG274" i="10"/>
  <c r="BE274" i="10"/>
  <c r="Q274" i="10"/>
  <c r="BD274" i="10"/>
  <c r="P274" i="10"/>
  <c r="AB274" i="10"/>
  <c r="Z274" i="10"/>
  <c r="BC274" i="10"/>
  <c r="BB274" i="10"/>
  <c r="AY274" i="10"/>
  <c r="X274" i="10"/>
  <c r="W274" i="10"/>
  <c r="BA274" i="10"/>
  <c r="AZ274" i="10"/>
  <c r="AV274" i="10"/>
  <c r="R274" i="10"/>
  <c r="O274" i="10"/>
  <c r="AX274" i="10"/>
  <c r="AU274" i="10"/>
  <c r="AW274" i="10"/>
  <c r="AO274" i="10"/>
  <c r="AT274" i="10"/>
  <c r="AS274" i="10"/>
  <c r="AK274" i="10"/>
  <c r="AR274" i="10"/>
  <c r="AQ274" i="10"/>
  <c r="AF274" i="10"/>
  <c r="AE274" i="10"/>
  <c r="AM274" i="10"/>
  <c r="AL274" i="10"/>
  <c r="AD274" i="10"/>
  <c r="AC274" i="10"/>
  <c r="T274" i="10"/>
  <c r="Y274" i="10"/>
  <c r="U274" i="10"/>
  <c r="S274" i="10"/>
  <c r="AJ109" i="10"/>
  <c r="AP109" i="10"/>
  <c r="AE109" i="10"/>
  <c r="BB109" i="10"/>
  <c r="S109" i="10"/>
  <c r="AH109" i="10"/>
  <c r="AG109" i="10"/>
  <c r="AF109" i="10"/>
  <c r="AD109" i="10"/>
  <c r="AB109" i="10"/>
  <c r="AA109" i="10"/>
  <c r="Z109" i="10"/>
  <c r="Y109" i="10"/>
  <c r="V109" i="10"/>
  <c r="R109" i="10"/>
  <c r="AS109" i="10"/>
  <c r="AR109" i="10"/>
  <c r="AQ109" i="10"/>
  <c r="AO109" i="10"/>
  <c r="AL109" i="10"/>
  <c r="AC109" i="10"/>
  <c r="BD109" i="10"/>
  <c r="BC109" i="10"/>
  <c r="BA109" i="10"/>
  <c r="AZ109" i="10"/>
  <c r="AK109" i="10"/>
  <c r="AI109" i="10"/>
  <c r="X109" i="10"/>
  <c r="W109" i="10"/>
  <c r="O109" i="10"/>
  <c r="BG109" i="10"/>
  <c r="BF109" i="10"/>
  <c r="BE109" i="10"/>
  <c r="AX109" i="10"/>
  <c r="AW109" i="10"/>
  <c r="AV109" i="10"/>
  <c r="AY109" i="10"/>
  <c r="AU109" i="10"/>
  <c r="AM109" i="10"/>
  <c r="U109" i="10"/>
  <c r="T109" i="10"/>
  <c r="Q109" i="10"/>
  <c r="P109" i="10"/>
  <c r="AN109" i="10"/>
  <c r="AT109" i="10"/>
  <c r="BF135" i="10"/>
  <c r="Z135" i="10"/>
  <c r="AJ135" i="10"/>
  <c r="BG135" i="10"/>
  <c r="X135" i="10"/>
  <c r="AH135" i="10"/>
  <c r="AG135" i="10"/>
  <c r="AE135" i="10"/>
  <c r="AD135" i="10"/>
  <c r="S135" i="10"/>
  <c r="AN135" i="10"/>
  <c r="AM135" i="10"/>
  <c r="AL135" i="10"/>
  <c r="AK135" i="10"/>
  <c r="BD135" i="10"/>
  <c r="AF135" i="10"/>
  <c r="AC135" i="10"/>
  <c r="AB135" i="10"/>
  <c r="AA135" i="10"/>
  <c r="Q135" i="10"/>
  <c r="AS135" i="10"/>
  <c r="AR135" i="10"/>
  <c r="AQ135" i="10"/>
  <c r="AP135" i="10"/>
  <c r="BA135" i="10"/>
  <c r="AX135" i="10"/>
  <c r="P135" i="10"/>
  <c r="O135" i="10"/>
  <c r="BB135" i="10"/>
  <c r="AW135" i="10"/>
  <c r="AV135" i="10"/>
  <c r="AU135" i="10"/>
  <c r="AT135" i="10"/>
  <c r="AI135" i="10"/>
  <c r="Y135" i="10"/>
  <c r="W135" i="10"/>
  <c r="BE135" i="10"/>
  <c r="BC135" i="10"/>
  <c r="AZ135" i="10"/>
  <c r="V135" i="10"/>
  <c r="AY135" i="10"/>
  <c r="AO135" i="10"/>
  <c r="R135" i="10"/>
  <c r="U135" i="10"/>
  <c r="T135" i="10"/>
  <c r="AR37" i="10"/>
  <c r="BE37" i="10"/>
  <c r="X37" i="10"/>
  <c r="AM37" i="10"/>
  <c r="AL37" i="10"/>
  <c r="AK37" i="10"/>
  <c r="AJ37" i="10"/>
  <c r="AT37" i="10"/>
  <c r="AP37" i="10"/>
  <c r="BG37" i="10"/>
  <c r="T37" i="10"/>
  <c r="BF37" i="10"/>
  <c r="S37" i="10"/>
  <c r="BD37" i="10"/>
  <c r="R37" i="10"/>
  <c r="BC37" i="10"/>
  <c r="Q37" i="10"/>
  <c r="Z37" i="10"/>
  <c r="Y37" i="10"/>
  <c r="W37" i="10"/>
  <c r="V37" i="10"/>
  <c r="P37" i="10"/>
  <c r="AQ37" i="10"/>
  <c r="AO37" i="10"/>
  <c r="AN37" i="10"/>
  <c r="AI37" i="10"/>
  <c r="AB37" i="10"/>
  <c r="AA37" i="10"/>
  <c r="U37" i="10"/>
  <c r="O37" i="10"/>
  <c r="BA37" i="10"/>
  <c r="AY37" i="10"/>
  <c r="AH37" i="10"/>
  <c r="AX37" i="10"/>
  <c r="AW37" i="10"/>
  <c r="AV37" i="10"/>
  <c r="AU37" i="10"/>
  <c r="AS37" i="10"/>
  <c r="AE37" i="10"/>
  <c r="AC37" i="10"/>
  <c r="BB37" i="10"/>
  <c r="AZ37" i="10"/>
  <c r="AG37" i="10"/>
  <c r="AF37" i="10"/>
  <c r="AD37" i="10"/>
  <c r="AZ156" i="10"/>
  <c r="T156" i="10"/>
  <c r="AY156" i="10"/>
  <c r="S156" i="10"/>
  <c r="AX156" i="10"/>
  <c r="P156" i="10"/>
  <c r="AW156" i="10"/>
  <c r="O156" i="10"/>
  <c r="AV156" i="10"/>
  <c r="AG156" i="10"/>
  <c r="AK156" i="10"/>
  <c r="AJ156" i="10"/>
  <c r="AU156" i="10"/>
  <c r="AD156" i="10"/>
  <c r="AC156" i="10"/>
  <c r="AP156" i="10"/>
  <c r="Z156" i="10"/>
  <c r="AT156" i="10"/>
  <c r="AS156" i="10"/>
  <c r="AR156" i="10"/>
  <c r="AF156" i="10"/>
  <c r="AE156" i="10"/>
  <c r="AB156" i="10"/>
  <c r="AA156" i="10"/>
  <c r="U156" i="10"/>
  <c r="BA156" i="10"/>
  <c r="AQ156" i="10"/>
  <c r="AO156" i="10"/>
  <c r="AN156" i="10"/>
  <c r="BG156" i="10"/>
  <c r="BD156" i="10"/>
  <c r="W156" i="10"/>
  <c r="V156" i="10"/>
  <c r="R156" i="10"/>
  <c r="Q156" i="10"/>
  <c r="BF156" i="10"/>
  <c r="BE156" i="10"/>
  <c r="AI156" i="10"/>
  <c r="BC156" i="10"/>
  <c r="BB156" i="10"/>
  <c r="AM156" i="10"/>
  <c r="AL156" i="10"/>
  <c r="Y156" i="10"/>
  <c r="X156" i="10"/>
  <c r="AH156" i="10"/>
  <c r="AK197" i="10"/>
  <c r="AP197" i="10"/>
  <c r="BF197" i="10"/>
  <c r="X197" i="10"/>
  <c r="BE197" i="10"/>
  <c r="W197" i="10"/>
  <c r="AO197" i="10"/>
  <c r="AN197" i="10"/>
  <c r="AZ197" i="10"/>
  <c r="P197" i="10"/>
  <c r="AC197" i="10"/>
  <c r="AT197" i="10"/>
  <c r="AQ197" i="10"/>
  <c r="AD197" i="10"/>
  <c r="AY197" i="10"/>
  <c r="AV197" i="10"/>
  <c r="AM197" i="10"/>
  <c r="AB197" i="10"/>
  <c r="AA197" i="10"/>
  <c r="AW197" i="10"/>
  <c r="AU197" i="10"/>
  <c r="V197" i="10"/>
  <c r="U197" i="10"/>
  <c r="AL197" i="10"/>
  <c r="AJ197" i="10"/>
  <c r="AF197" i="10"/>
  <c r="BG197" i="10"/>
  <c r="BA197" i="10"/>
  <c r="AH197" i="10"/>
  <c r="Z197" i="10"/>
  <c r="AX197" i="10"/>
  <c r="AI197" i="10"/>
  <c r="BC197" i="10"/>
  <c r="AR197" i="10"/>
  <c r="S197" i="10"/>
  <c r="R197" i="10"/>
  <c r="Q197" i="10"/>
  <c r="O197" i="10"/>
  <c r="BD197" i="10"/>
  <c r="BB197" i="10"/>
  <c r="AS197" i="10"/>
  <c r="AG197" i="10"/>
  <c r="AE197" i="10"/>
  <c r="Y197" i="10"/>
  <c r="T197" i="10"/>
  <c r="AE165" i="10"/>
  <c r="AD165" i="10"/>
  <c r="BC165" i="10"/>
  <c r="U165" i="10"/>
  <c r="BB165" i="10"/>
  <c r="T165" i="10"/>
  <c r="AS165" i="10"/>
  <c r="AO165" i="10"/>
  <c r="BG165" i="10"/>
  <c r="V165" i="10"/>
  <c r="X165" i="10"/>
  <c r="W165" i="10"/>
  <c r="AK165" i="10"/>
  <c r="AJ165" i="10"/>
  <c r="BF165" i="10"/>
  <c r="BE165" i="10"/>
  <c r="AA165" i="10"/>
  <c r="AX165" i="10"/>
  <c r="Y165" i="10"/>
  <c r="S165" i="10"/>
  <c r="R165" i="10"/>
  <c r="AP165" i="10"/>
  <c r="AF165" i="10"/>
  <c r="AC165" i="10"/>
  <c r="AB165" i="10"/>
  <c r="Z165" i="10"/>
  <c r="AU165" i="10"/>
  <c r="AQ165" i="10"/>
  <c r="BA165" i="10"/>
  <c r="Q165" i="10"/>
  <c r="P165" i="10"/>
  <c r="O165" i="10"/>
  <c r="AZ165" i="10"/>
  <c r="AY165" i="10"/>
  <c r="AW165" i="10"/>
  <c r="AV165" i="10"/>
  <c r="AR165" i="10"/>
  <c r="AN165" i="10"/>
  <c r="AM165" i="10"/>
  <c r="BD165" i="10"/>
  <c r="AT165" i="10"/>
  <c r="AL165" i="10"/>
  <c r="AH165" i="10"/>
  <c r="AI165" i="10"/>
  <c r="AG165" i="10"/>
  <c r="AO209" i="10"/>
  <c r="AD209" i="10"/>
  <c r="AC209" i="10"/>
  <c r="AH209" i="10"/>
  <c r="AG209" i="10"/>
  <c r="AS209" i="10"/>
  <c r="X209" i="10"/>
  <c r="W209" i="10"/>
  <c r="AL209" i="10"/>
  <c r="AK209" i="10"/>
  <c r="AQ209" i="10"/>
  <c r="BE209" i="10"/>
  <c r="O209" i="10"/>
  <c r="BB209" i="10"/>
  <c r="AZ209" i="10"/>
  <c r="Z209" i="10"/>
  <c r="U209" i="10"/>
  <c r="Q209" i="10"/>
  <c r="Y209" i="10"/>
  <c r="V209" i="10"/>
  <c r="AT209" i="10"/>
  <c r="AR209" i="10"/>
  <c r="AY209" i="10"/>
  <c r="AX209" i="10"/>
  <c r="AU209" i="10"/>
  <c r="AN209" i="10"/>
  <c r="AM209" i="10"/>
  <c r="AJ209" i="10"/>
  <c r="AI209" i="10"/>
  <c r="AF209" i="10"/>
  <c r="P209" i="10"/>
  <c r="BD209" i="10"/>
  <c r="BC209" i="10"/>
  <c r="BA209" i="10"/>
  <c r="AW209" i="10"/>
  <c r="S209" i="10"/>
  <c r="AV209" i="10"/>
  <c r="AP209" i="10"/>
  <c r="AE209" i="10"/>
  <c r="AB209" i="10"/>
  <c r="BG209" i="10"/>
  <c r="BF209" i="10"/>
  <c r="AA209" i="10"/>
  <c r="T209" i="10"/>
  <c r="R209" i="10"/>
  <c r="BF215" i="10"/>
  <c r="Z215" i="10"/>
  <c r="AB215" i="10"/>
  <c r="AQ215" i="10"/>
  <c r="AF215" i="10"/>
  <c r="AE215" i="10"/>
  <c r="BA215" i="10"/>
  <c r="P215" i="10"/>
  <c r="AZ215" i="10"/>
  <c r="O215" i="10"/>
  <c r="AA215" i="10"/>
  <c r="AJ215" i="10"/>
  <c r="AI215" i="10"/>
  <c r="AU215" i="10"/>
  <c r="AT215" i="10"/>
  <c r="AS215" i="10"/>
  <c r="AP215" i="10"/>
  <c r="R215" i="10"/>
  <c r="AL215" i="10"/>
  <c r="BE215" i="10"/>
  <c r="AY215" i="10"/>
  <c r="AR215" i="10"/>
  <c r="AO215" i="10"/>
  <c r="AG215" i="10"/>
  <c r="BG215" i="10"/>
  <c r="BD215" i="10"/>
  <c r="AX215" i="10"/>
  <c r="T215" i="10"/>
  <c r="S215" i="10"/>
  <c r="Q215" i="10"/>
  <c r="BC215" i="10"/>
  <c r="W215" i="10"/>
  <c r="V215" i="10"/>
  <c r="U215" i="10"/>
  <c r="AK215" i="10"/>
  <c r="AC215" i="10"/>
  <c r="AV215" i="10"/>
  <c r="AW215" i="10"/>
  <c r="AN215" i="10"/>
  <c r="AM215" i="10"/>
  <c r="BB215" i="10"/>
  <c r="AD215" i="10"/>
  <c r="AH215" i="10"/>
  <c r="Y215" i="10"/>
  <c r="X215" i="10"/>
  <c r="AE73" i="10"/>
  <c r="AS73" i="10"/>
  <c r="AR73" i="10"/>
  <c r="AQ73" i="10"/>
  <c r="AA73" i="10"/>
  <c r="X73" i="10"/>
  <c r="AG73" i="10"/>
  <c r="AY73" i="10"/>
  <c r="AX73" i="10"/>
  <c r="AW73" i="10"/>
  <c r="AV73" i="10"/>
  <c r="AP73" i="10"/>
  <c r="AM73" i="10"/>
  <c r="R73" i="10"/>
  <c r="Q73" i="10"/>
  <c r="BG73" i="10"/>
  <c r="P73" i="10"/>
  <c r="BF73" i="10"/>
  <c r="O73" i="10"/>
  <c r="BA73" i="10"/>
  <c r="AI73" i="10"/>
  <c r="AD73" i="10"/>
  <c r="AC73" i="10"/>
  <c r="AB73" i="10"/>
  <c r="Z73" i="10"/>
  <c r="V73" i="10"/>
  <c r="U73" i="10"/>
  <c r="BC73" i="10"/>
  <c r="AF73" i="10"/>
  <c r="Y73" i="10"/>
  <c r="W73" i="10"/>
  <c r="T73" i="10"/>
  <c r="AU73" i="10"/>
  <c r="AT73" i="10"/>
  <c r="AO73" i="10"/>
  <c r="AN73" i="10"/>
  <c r="AK73" i="10"/>
  <c r="AL73" i="10"/>
  <c r="AH73" i="10"/>
  <c r="BD73" i="10"/>
  <c r="AZ73" i="10"/>
  <c r="AJ73" i="10"/>
  <c r="BB73" i="10"/>
  <c r="BE73" i="10"/>
  <c r="S73" i="10"/>
  <c r="AR164" i="10"/>
  <c r="AQ164" i="10"/>
  <c r="AF164" i="10"/>
  <c r="AE164" i="10"/>
  <c r="BB164" i="10"/>
  <c r="R164" i="10"/>
  <c r="AW164" i="10"/>
  <c r="AB164" i="10"/>
  <c r="AA164" i="10"/>
  <c r="Z164" i="10"/>
  <c r="AN164" i="10"/>
  <c r="BF164" i="10"/>
  <c r="O164" i="10"/>
  <c r="BE164" i="10"/>
  <c r="Y164" i="10"/>
  <c r="AU164" i="10"/>
  <c r="T164" i="10"/>
  <c r="S164" i="10"/>
  <c r="Q164" i="10"/>
  <c r="AG164" i="10"/>
  <c r="AZ164" i="10"/>
  <c r="AY164" i="10"/>
  <c r="AX164" i="10"/>
  <c r="AV164" i="10"/>
  <c r="AS164" i="10"/>
  <c r="AM164" i="10"/>
  <c r="AL164" i="10"/>
  <c r="AK164" i="10"/>
  <c r="AJ164" i="10"/>
  <c r="AI164" i="10"/>
  <c r="U164" i="10"/>
  <c r="BD164" i="10"/>
  <c r="BC164" i="10"/>
  <c r="BA164" i="10"/>
  <c r="AT164" i="10"/>
  <c r="BG164" i="10"/>
  <c r="AC164" i="10"/>
  <c r="AH164" i="10"/>
  <c r="AP164" i="10"/>
  <c r="AD164" i="10"/>
  <c r="X164" i="10"/>
  <c r="W164" i="10"/>
  <c r="V164" i="10"/>
  <c r="P164" i="10"/>
  <c r="AO164" i="10"/>
  <c r="AR221" i="10"/>
  <c r="BC221" i="10"/>
  <c r="V221" i="10"/>
  <c r="AK221" i="10"/>
  <c r="AQ221" i="10"/>
  <c r="AP221" i="10"/>
  <c r="AV221" i="10"/>
  <c r="AU221" i="10"/>
  <c r="BG221" i="10"/>
  <c r="U221" i="10"/>
  <c r="BF221" i="10"/>
  <c r="T221" i="10"/>
  <c r="W221" i="10"/>
  <c r="S221" i="10"/>
  <c r="AG221" i="10"/>
  <c r="AF221" i="10"/>
  <c r="R221" i="10"/>
  <c r="P221" i="10"/>
  <c r="AM221" i="10"/>
  <c r="AI221" i="10"/>
  <c r="AW221" i="10"/>
  <c r="O221" i="10"/>
  <c r="AD221" i="10"/>
  <c r="AC221" i="10"/>
  <c r="X221" i="10"/>
  <c r="AZ221" i="10"/>
  <c r="AY221" i="10"/>
  <c r="AL221" i="10"/>
  <c r="AJ221" i="10"/>
  <c r="AX221" i="10"/>
  <c r="AT221" i="10"/>
  <c r="AS221" i="10"/>
  <c r="AO221" i="10"/>
  <c r="BE221" i="10"/>
  <c r="BD221" i="10"/>
  <c r="BB221" i="10"/>
  <c r="BA221" i="10"/>
  <c r="AN221" i="10"/>
  <c r="AH221" i="10"/>
  <c r="AE221" i="10"/>
  <c r="AA221" i="10"/>
  <c r="Z221" i="10"/>
  <c r="Y221" i="10"/>
  <c r="AB221" i="10"/>
  <c r="Q221" i="10"/>
  <c r="AE142" i="10"/>
  <c r="AD142" i="10"/>
  <c r="BC142" i="10"/>
  <c r="U142" i="10"/>
  <c r="BB142" i="10"/>
  <c r="S142" i="10"/>
  <c r="AN142" i="10"/>
  <c r="AM142" i="10"/>
  <c r="BG142" i="10"/>
  <c r="T142" i="10"/>
  <c r="BF142" i="10"/>
  <c r="R142" i="10"/>
  <c r="AF142" i="10"/>
  <c r="AG142" i="10"/>
  <c r="AW142" i="10"/>
  <c r="AV142" i="10"/>
  <c r="AU142" i="10"/>
  <c r="AT142" i="10"/>
  <c r="AL142" i="10"/>
  <c r="AI142" i="10"/>
  <c r="BE142" i="10"/>
  <c r="BD142" i="10"/>
  <c r="BA142" i="10"/>
  <c r="X142" i="10"/>
  <c r="W142" i="10"/>
  <c r="V142" i="10"/>
  <c r="Q142" i="10"/>
  <c r="AH142" i="10"/>
  <c r="AA142" i="10"/>
  <c r="AZ142" i="10"/>
  <c r="AY142" i="10"/>
  <c r="AX142" i="10"/>
  <c r="AS142" i="10"/>
  <c r="AK142" i="10"/>
  <c r="AP142" i="10"/>
  <c r="AO142" i="10"/>
  <c r="AJ142" i="10"/>
  <c r="AC142" i="10"/>
  <c r="AR142" i="10"/>
  <c r="AQ142" i="10"/>
  <c r="AB142" i="10"/>
  <c r="Z142" i="10"/>
  <c r="O142" i="10"/>
  <c r="Y142" i="10"/>
  <c r="P142" i="10"/>
  <c r="AV206" i="10"/>
  <c r="P206" i="10"/>
  <c r="AG206" i="10"/>
  <c r="AB206" i="10"/>
  <c r="AA206" i="10"/>
  <c r="AM206" i="10"/>
  <c r="AR206" i="10"/>
  <c r="AQ206" i="10"/>
  <c r="BC206" i="10"/>
  <c r="R206" i="10"/>
  <c r="BB206" i="10"/>
  <c r="Q206" i="10"/>
  <c r="AP206" i="10"/>
  <c r="S206" i="10"/>
  <c r="BE206" i="10"/>
  <c r="AN206" i="10"/>
  <c r="O206" i="10"/>
  <c r="BG206" i="10"/>
  <c r="AZ206" i="10"/>
  <c r="AU206" i="10"/>
  <c r="AT206" i="10"/>
  <c r="AJ206" i="10"/>
  <c r="BA206" i="10"/>
  <c r="AY206" i="10"/>
  <c r="AS206" i="10"/>
  <c r="X206" i="10"/>
  <c r="W206" i="10"/>
  <c r="V206" i="10"/>
  <c r="U206" i="10"/>
  <c r="AD206" i="10"/>
  <c r="AC206" i="10"/>
  <c r="Z206" i="10"/>
  <c r="Y206" i="10"/>
  <c r="AL206" i="10"/>
  <c r="AH206" i="10"/>
  <c r="T206" i="10"/>
  <c r="BF206" i="10"/>
  <c r="BD206" i="10"/>
  <c r="AX206" i="10"/>
  <c r="AO206" i="10"/>
  <c r="AK206" i="10"/>
  <c r="AI206" i="10"/>
  <c r="AE206" i="10"/>
  <c r="AW206" i="10"/>
  <c r="AF206" i="10"/>
  <c r="AX143" i="10"/>
  <c r="R143" i="10"/>
  <c r="AW143" i="10"/>
  <c r="Q143" i="10"/>
  <c r="AR143" i="10"/>
  <c r="AS143" i="10"/>
  <c r="AE143" i="10"/>
  <c r="AD143" i="10"/>
  <c r="BB143" i="10"/>
  <c r="BA143" i="10"/>
  <c r="AY143" i="10"/>
  <c r="AA143" i="10"/>
  <c r="AC143" i="10"/>
  <c r="AU143" i="10"/>
  <c r="AT143" i="10"/>
  <c r="AQ143" i="10"/>
  <c r="AP143" i="10"/>
  <c r="AO143" i="10"/>
  <c r="AL143" i="10"/>
  <c r="O143" i="10"/>
  <c r="U143" i="10"/>
  <c r="P143" i="10"/>
  <c r="AK143" i="10"/>
  <c r="AJ143" i="10"/>
  <c r="AI143" i="10"/>
  <c r="AH143" i="10"/>
  <c r="BG143" i="10"/>
  <c r="T143" i="10"/>
  <c r="S143" i="10"/>
  <c r="W143" i="10"/>
  <c r="V143" i="10"/>
  <c r="BD143" i="10"/>
  <c r="BC143" i="10"/>
  <c r="AZ143" i="10"/>
  <c r="AV143" i="10"/>
  <c r="AM143" i="10"/>
  <c r="AG143" i="10"/>
  <c r="AF143" i="10"/>
  <c r="AN143" i="10"/>
  <c r="BF143" i="10"/>
  <c r="BE143" i="10"/>
  <c r="Z143" i="10"/>
  <c r="AB143" i="10"/>
  <c r="Y143" i="10"/>
  <c r="X143" i="10"/>
  <c r="AD43" i="10"/>
  <c r="AY43" i="10"/>
  <c r="R43" i="10"/>
  <c r="AH43" i="10"/>
  <c r="AG43" i="10"/>
  <c r="AF43" i="10"/>
  <c r="AE43" i="10"/>
  <c r="AV43" i="10"/>
  <c r="AS43" i="10"/>
  <c r="W43" i="10"/>
  <c r="V43" i="10"/>
  <c r="BG43" i="10"/>
  <c r="U43" i="10"/>
  <c r="BF43" i="10"/>
  <c r="T43" i="10"/>
  <c r="AQ43" i="10"/>
  <c r="AP43" i="10"/>
  <c r="AO43" i="10"/>
  <c r="AN43" i="10"/>
  <c r="AL43" i="10"/>
  <c r="AC43" i="10"/>
  <c r="BE43" i="10"/>
  <c r="BD43" i="10"/>
  <c r="BC43" i="10"/>
  <c r="AJ43" i="10"/>
  <c r="AI43" i="10"/>
  <c r="AB43" i="10"/>
  <c r="AA43" i="10"/>
  <c r="Y43" i="10"/>
  <c r="Z43" i="10"/>
  <c r="S43" i="10"/>
  <c r="O43" i="10"/>
  <c r="AW43" i="10"/>
  <c r="BB43" i="10"/>
  <c r="BA43" i="10"/>
  <c r="AZ43" i="10"/>
  <c r="AX43" i="10"/>
  <c r="AR43" i="10"/>
  <c r="AK43" i="10"/>
  <c r="AT43" i="10"/>
  <c r="AU43" i="10"/>
  <c r="AM43" i="10"/>
  <c r="P43" i="10"/>
  <c r="X43" i="10"/>
  <c r="Q43" i="10"/>
  <c r="AS248" i="10"/>
  <c r="AB248" i="10"/>
  <c r="BB248" i="10"/>
  <c r="T248" i="10"/>
  <c r="AJ248" i="10"/>
  <c r="AY248" i="10"/>
  <c r="O248" i="10"/>
  <c r="AX248" i="10"/>
  <c r="V248" i="10"/>
  <c r="BG248" i="10"/>
  <c r="U248" i="10"/>
  <c r="BD248" i="10"/>
  <c r="Q248" i="10"/>
  <c r="AG248" i="10"/>
  <c r="AF248" i="10"/>
  <c r="AO248" i="10"/>
  <c r="AN248" i="10"/>
  <c r="AK248" i="10"/>
  <c r="BC248" i="10"/>
  <c r="BA248" i="10"/>
  <c r="AZ248" i="10"/>
  <c r="AV248" i="10"/>
  <c r="W248" i="10"/>
  <c r="P248" i="10"/>
  <c r="X248" i="10"/>
  <c r="AU248" i="10"/>
  <c r="AQ248" i="10"/>
  <c r="AI248" i="10"/>
  <c r="AL248" i="10"/>
  <c r="AH248" i="10"/>
  <c r="Z248" i="10"/>
  <c r="AC248" i="10"/>
  <c r="AA248" i="10"/>
  <c r="AP248" i="10"/>
  <c r="AM248" i="10"/>
  <c r="AE248" i="10"/>
  <c r="AD248" i="10"/>
  <c r="S248" i="10"/>
  <c r="BF248" i="10"/>
  <c r="BE248" i="10"/>
  <c r="AW248" i="10"/>
  <c r="AT248" i="10"/>
  <c r="AR248" i="10"/>
  <c r="Y248" i="10"/>
  <c r="R248" i="10"/>
  <c r="AL251" i="10"/>
  <c r="BA251" i="10"/>
  <c r="U251" i="10"/>
  <c r="BD251" i="10"/>
  <c r="V251" i="10"/>
  <c r="AK251" i="10"/>
  <c r="Z251" i="10"/>
  <c r="Y251" i="10"/>
  <c r="AP251" i="10"/>
  <c r="AO251" i="10"/>
  <c r="AJ251" i="10"/>
  <c r="AZ251" i="10"/>
  <c r="AY251" i="10"/>
  <c r="AS251" i="10"/>
  <c r="AR251" i="10"/>
  <c r="AM251" i="10"/>
  <c r="BG251" i="10"/>
  <c r="BF251" i="10"/>
  <c r="AB251" i="10"/>
  <c r="X251" i="10"/>
  <c r="AW251" i="10"/>
  <c r="AT251" i="10"/>
  <c r="AI251" i="10"/>
  <c r="AF251" i="10"/>
  <c r="AA251" i="10"/>
  <c r="AV251" i="10"/>
  <c r="AU251" i="10"/>
  <c r="AE251" i="10"/>
  <c r="AN251" i="10"/>
  <c r="AH251" i="10"/>
  <c r="AC251" i="10"/>
  <c r="P251" i="10"/>
  <c r="BE251" i="10"/>
  <c r="BC251" i="10"/>
  <c r="AX251" i="10"/>
  <c r="AD251" i="10"/>
  <c r="AG251" i="10"/>
  <c r="BB251" i="10"/>
  <c r="R251" i="10"/>
  <c r="Q251" i="10"/>
  <c r="O251" i="10"/>
  <c r="W251" i="10"/>
  <c r="AQ251" i="10"/>
  <c r="S251" i="10"/>
  <c r="T251" i="10"/>
  <c r="AQ77" i="10"/>
  <c r="BE77" i="10"/>
  <c r="Y77" i="10"/>
  <c r="BD77" i="10"/>
  <c r="X77" i="10"/>
  <c r="BC77" i="10"/>
  <c r="W77" i="10"/>
  <c r="BB77" i="10"/>
  <c r="V77" i="10"/>
  <c r="AG77" i="10"/>
  <c r="AD77" i="10"/>
  <c r="AW77" i="10"/>
  <c r="AC77" i="10"/>
  <c r="AB77" i="10"/>
  <c r="AA77" i="10"/>
  <c r="Z77" i="10"/>
  <c r="AY77" i="10"/>
  <c r="AU77" i="10"/>
  <c r="S77" i="10"/>
  <c r="R77" i="10"/>
  <c r="Q77" i="10"/>
  <c r="P77" i="10"/>
  <c r="BG77" i="10"/>
  <c r="BF77" i="10"/>
  <c r="BA77" i="10"/>
  <c r="AZ77" i="10"/>
  <c r="AR77" i="10"/>
  <c r="AH77" i="10"/>
  <c r="U77" i="10"/>
  <c r="T77" i="10"/>
  <c r="O77" i="10"/>
  <c r="AK77" i="10"/>
  <c r="AJ77" i="10"/>
  <c r="AI77" i="10"/>
  <c r="AF77" i="10"/>
  <c r="AV77" i="10"/>
  <c r="AM77" i="10"/>
  <c r="AT77" i="10"/>
  <c r="AS77" i="10"/>
  <c r="AP77" i="10"/>
  <c r="AO77" i="10"/>
  <c r="AN77" i="10"/>
  <c r="AX77" i="10"/>
  <c r="AL77" i="10"/>
  <c r="AE77" i="10"/>
  <c r="AR194" i="10"/>
  <c r="AS194" i="10"/>
  <c r="BE194" i="10"/>
  <c r="W194" i="10"/>
  <c r="BD194" i="10"/>
  <c r="V194" i="10"/>
  <c r="AE194" i="10"/>
  <c r="AD194" i="10"/>
  <c r="AO194" i="10"/>
  <c r="AQ194" i="10"/>
  <c r="S194" i="10"/>
  <c r="BC194" i="10"/>
  <c r="P194" i="10"/>
  <c r="AG194" i="10"/>
  <c r="AZ194" i="10"/>
  <c r="AW194" i="10"/>
  <c r="AP194" i="10"/>
  <c r="AC194" i="10"/>
  <c r="AB194" i="10"/>
  <c r="AT194" i="10"/>
  <c r="AN194" i="10"/>
  <c r="BG194" i="10"/>
  <c r="AI194" i="10"/>
  <c r="BF194" i="10"/>
  <c r="Z194" i="10"/>
  <c r="BB194" i="10"/>
  <c r="BA194" i="10"/>
  <c r="AY194" i="10"/>
  <c r="U194" i="10"/>
  <c r="T194" i="10"/>
  <c r="R194" i="10"/>
  <c r="Q194" i="10"/>
  <c r="AU194" i="10"/>
  <c r="AK194" i="10"/>
  <c r="AM194" i="10"/>
  <c r="AL194" i="10"/>
  <c r="AJ194" i="10"/>
  <c r="AH194" i="10"/>
  <c r="AA194" i="10"/>
  <c r="Y194" i="10"/>
  <c r="X194" i="10"/>
  <c r="AX194" i="10"/>
  <c r="AV194" i="10"/>
  <c r="AF194" i="10"/>
  <c r="O194" i="10"/>
  <c r="AX74" i="10"/>
  <c r="R74" i="10"/>
  <c r="AF74" i="10"/>
  <c r="AE74" i="10"/>
  <c r="AD74" i="10"/>
  <c r="BC74" i="10"/>
  <c r="S74" i="10"/>
  <c r="AZ74" i="10"/>
  <c r="O74" i="10"/>
  <c r="Z74" i="10"/>
  <c r="AR74" i="10"/>
  <c r="AQ74" i="10"/>
  <c r="AP74" i="10"/>
  <c r="AO74" i="10"/>
  <c r="AU74" i="10"/>
  <c r="AN74" i="10"/>
  <c r="Q74" i="10"/>
  <c r="P74" i="10"/>
  <c r="BG74" i="10"/>
  <c r="W74" i="10"/>
  <c r="V74" i="10"/>
  <c r="U74" i="10"/>
  <c r="T74" i="10"/>
  <c r="AV74" i="10"/>
  <c r="AM74" i="10"/>
  <c r="AL74" i="10"/>
  <c r="AK74" i="10"/>
  <c r="AJ74" i="10"/>
  <c r="AG74" i="10"/>
  <c r="AC74" i="10"/>
  <c r="AS74" i="10"/>
  <c r="AI74" i="10"/>
  <c r="AH74" i="10"/>
  <c r="AB74" i="10"/>
  <c r="Y74" i="10"/>
  <c r="BF74" i="10"/>
  <c r="BD74" i="10"/>
  <c r="BB74" i="10"/>
  <c r="AA74" i="10"/>
  <c r="BA74" i="10"/>
  <c r="AY74" i="10"/>
  <c r="AW74" i="10"/>
  <c r="AT74" i="10"/>
  <c r="BE74" i="10"/>
  <c r="X74" i="10"/>
  <c r="AU270" i="10"/>
  <c r="O270" i="10"/>
  <c r="AD270" i="10"/>
  <c r="BD270" i="10"/>
  <c r="X270" i="10"/>
  <c r="Z270" i="10"/>
  <c r="AP270" i="10"/>
  <c r="AK270" i="10"/>
  <c r="AM270" i="10"/>
  <c r="AL270" i="10"/>
  <c r="AX270" i="10"/>
  <c r="BG270" i="10"/>
  <c r="Q270" i="10"/>
  <c r="BF270" i="10"/>
  <c r="P270" i="10"/>
  <c r="BB270" i="10"/>
  <c r="AC270" i="10"/>
  <c r="AB270" i="10"/>
  <c r="Y270" i="10"/>
  <c r="W270" i="10"/>
  <c r="T270" i="10"/>
  <c r="AQ270" i="10"/>
  <c r="AO270" i="10"/>
  <c r="AV270" i="10"/>
  <c r="AS270" i="10"/>
  <c r="S270" i="10"/>
  <c r="AZ270" i="10"/>
  <c r="AT270" i="10"/>
  <c r="AI270" i="10"/>
  <c r="AW270" i="10"/>
  <c r="AE270" i="10"/>
  <c r="AA270" i="10"/>
  <c r="R270" i="10"/>
  <c r="BC270" i="10"/>
  <c r="BA270" i="10"/>
  <c r="AG270" i="10"/>
  <c r="AF270" i="10"/>
  <c r="V270" i="10"/>
  <c r="U270" i="10"/>
  <c r="AN270" i="10"/>
  <c r="BE270" i="10"/>
  <c r="AJ270" i="10"/>
  <c r="AH270" i="10"/>
  <c r="AR270" i="10"/>
  <c r="AY270" i="10"/>
  <c r="AF217" i="10"/>
  <c r="AK217" i="10"/>
  <c r="AZ217" i="10"/>
  <c r="S217" i="10"/>
  <c r="AU217" i="10"/>
  <c r="AT217" i="10"/>
  <c r="AM217" i="10"/>
  <c r="AL217" i="10"/>
  <c r="AY217" i="10"/>
  <c r="AX217" i="10"/>
  <c r="AB217" i="10"/>
  <c r="AA217" i="10"/>
  <c r="AP217" i="10"/>
  <c r="AO217" i="10"/>
  <c r="BC217" i="10"/>
  <c r="BA217" i="10"/>
  <c r="W217" i="10"/>
  <c r="T217" i="10"/>
  <c r="BG217" i="10"/>
  <c r="AC217" i="10"/>
  <c r="X217" i="10"/>
  <c r="Q217" i="10"/>
  <c r="R217" i="10"/>
  <c r="P217" i="10"/>
  <c r="AN217" i="10"/>
  <c r="AJ217" i="10"/>
  <c r="AS217" i="10"/>
  <c r="AR217" i="10"/>
  <c r="AH217" i="10"/>
  <c r="U217" i="10"/>
  <c r="O217" i="10"/>
  <c r="BB217" i="10"/>
  <c r="AW217" i="10"/>
  <c r="AV217" i="10"/>
  <c r="AQ217" i="10"/>
  <c r="BE217" i="10"/>
  <c r="BD217" i="10"/>
  <c r="AI217" i="10"/>
  <c r="AG217" i="10"/>
  <c r="AD217" i="10"/>
  <c r="V217" i="10"/>
  <c r="BF217" i="10"/>
  <c r="AE217" i="10"/>
  <c r="Z217" i="10"/>
  <c r="Y217" i="10"/>
  <c r="AG185" i="10"/>
  <c r="AE185" i="10"/>
  <c r="AD185" i="10"/>
  <c r="AV185" i="10"/>
  <c r="AU185" i="10"/>
  <c r="W185" i="10"/>
  <c r="AM185" i="10"/>
  <c r="BA185" i="10"/>
  <c r="AF185" i="10"/>
  <c r="AA185" i="10"/>
  <c r="V185" i="10"/>
  <c r="AC185" i="10"/>
  <c r="AB185" i="10"/>
  <c r="AS185" i="10"/>
  <c r="AR185" i="10"/>
  <c r="BE185" i="10"/>
  <c r="BD185" i="10"/>
  <c r="S185" i="10"/>
  <c r="R185" i="10"/>
  <c r="BC185" i="10"/>
  <c r="X185" i="10"/>
  <c r="U185" i="10"/>
  <c r="T185" i="10"/>
  <c r="Q185" i="10"/>
  <c r="AZ185" i="10"/>
  <c r="AN185" i="10"/>
  <c r="AJ185" i="10"/>
  <c r="BG185" i="10"/>
  <c r="BF185" i="10"/>
  <c r="AL185" i="10"/>
  <c r="AH185" i="10"/>
  <c r="AT185" i="10"/>
  <c r="AO185" i="10"/>
  <c r="AX185" i="10"/>
  <c r="AW185" i="10"/>
  <c r="AQ185" i="10"/>
  <c r="AP185" i="10"/>
  <c r="P185" i="10"/>
  <c r="BB185" i="10"/>
  <c r="AY185" i="10"/>
  <c r="AK185" i="10"/>
  <c r="AI185" i="10"/>
  <c r="Y185" i="10"/>
  <c r="Z185" i="10"/>
  <c r="O185" i="10"/>
  <c r="AM65" i="10"/>
  <c r="AC65" i="10"/>
  <c r="AS65" i="10"/>
  <c r="AR65" i="10"/>
  <c r="AQ65" i="10"/>
  <c r="AP65" i="10"/>
  <c r="BB65" i="10"/>
  <c r="P65" i="10"/>
  <c r="AF65" i="10"/>
  <c r="AE65" i="10"/>
  <c r="AD65" i="10"/>
  <c r="AB65" i="10"/>
  <c r="BG65" i="10"/>
  <c r="O65" i="10"/>
  <c r="BF65" i="10"/>
  <c r="BE65" i="10"/>
  <c r="BD65" i="10"/>
  <c r="AX65" i="10"/>
  <c r="AJ65" i="10"/>
  <c r="AG65" i="10"/>
  <c r="AA65" i="10"/>
  <c r="Z65" i="10"/>
  <c r="Y65" i="10"/>
  <c r="U65" i="10"/>
  <c r="AK65" i="10"/>
  <c r="AI65" i="10"/>
  <c r="AH65" i="10"/>
  <c r="X65" i="10"/>
  <c r="V65" i="10"/>
  <c r="Q65" i="10"/>
  <c r="BC65" i="10"/>
  <c r="BA65" i="10"/>
  <c r="AZ65" i="10"/>
  <c r="AY65" i="10"/>
  <c r="AW65" i="10"/>
  <c r="AO65" i="10"/>
  <c r="AV65" i="10"/>
  <c r="AU65" i="10"/>
  <c r="AT65" i="10"/>
  <c r="AL65" i="10"/>
  <c r="S65" i="10"/>
  <c r="R65" i="10"/>
  <c r="AN65" i="10"/>
  <c r="W65" i="10"/>
  <c r="T65" i="10"/>
  <c r="BF113" i="10"/>
  <c r="Z113" i="10"/>
  <c r="AW113" i="10"/>
  <c r="P113" i="10"/>
  <c r="AB113" i="10"/>
  <c r="BE113" i="10"/>
  <c r="V113" i="10"/>
  <c r="AY113" i="10"/>
  <c r="AF113" i="10"/>
  <c r="AE113" i="10"/>
  <c r="AD113" i="10"/>
  <c r="AC113" i="10"/>
  <c r="Q113" i="10"/>
  <c r="BG113" i="10"/>
  <c r="O113" i="10"/>
  <c r="BD113" i="10"/>
  <c r="BC113" i="10"/>
  <c r="AL113" i="10"/>
  <c r="AI113" i="10"/>
  <c r="AZ113" i="10"/>
  <c r="AX113" i="10"/>
  <c r="AV113" i="10"/>
  <c r="AU113" i="10"/>
  <c r="AH113" i="10"/>
  <c r="Y113" i="10"/>
  <c r="BB113" i="10"/>
  <c r="BA113" i="10"/>
  <c r="AT113" i="10"/>
  <c r="AS113" i="10"/>
  <c r="AJ113" i="10"/>
  <c r="X113" i="10"/>
  <c r="W113" i="10"/>
  <c r="U113" i="10"/>
  <c r="T113" i="10"/>
  <c r="R113" i="10"/>
  <c r="AP113" i="10"/>
  <c r="AM113" i="10"/>
  <c r="AK113" i="10"/>
  <c r="AG113" i="10"/>
  <c r="AA113" i="10"/>
  <c r="S113" i="10"/>
  <c r="AQ113" i="10"/>
  <c r="AN113" i="10"/>
  <c r="AR113" i="10"/>
  <c r="AO113" i="10"/>
  <c r="AF190" i="10"/>
  <c r="AL190" i="10"/>
  <c r="AK190" i="10"/>
  <c r="AH190" i="10"/>
  <c r="AG190" i="10"/>
  <c r="AT190" i="10"/>
  <c r="AA190" i="10"/>
  <c r="AS190" i="10"/>
  <c r="AP190" i="10"/>
  <c r="AO190" i="10"/>
  <c r="BG190" i="10"/>
  <c r="R190" i="10"/>
  <c r="BD190" i="10"/>
  <c r="O190" i="10"/>
  <c r="AZ190" i="10"/>
  <c r="AV190" i="10"/>
  <c r="AU190" i="10"/>
  <c r="P190" i="10"/>
  <c r="BC190" i="10"/>
  <c r="BB190" i="10"/>
  <c r="S190" i="10"/>
  <c r="Q190" i="10"/>
  <c r="X190" i="10"/>
  <c r="AX190" i="10"/>
  <c r="AW190" i="10"/>
  <c r="AR190" i="10"/>
  <c r="AQ190" i="10"/>
  <c r="BF190" i="10"/>
  <c r="Y190" i="10"/>
  <c r="W190" i="10"/>
  <c r="V190" i="10"/>
  <c r="U190" i="10"/>
  <c r="AD190" i="10"/>
  <c r="Z190" i="10"/>
  <c r="BE190" i="10"/>
  <c r="BA190" i="10"/>
  <c r="AY190" i="10"/>
  <c r="AN190" i="10"/>
  <c r="AJ190" i="10"/>
  <c r="AI190" i="10"/>
  <c r="AE190" i="10"/>
  <c r="AC190" i="10"/>
  <c r="AB190" i="10"/>
  <c r="T190" i="10"/>
  <c r="AM190" i="10"/>
  <c r="AN60" i="10"/>
  <c r="BD60" i="10"/>
  <c r="W60" i="10"/>
  <c r="AL60" i="10"/>
  <c r="AK60" i="10"/>
  <c r="AJ60" i="10"/>
  <c r="AI60" i="10"/>
  <c r="AS60" i="10"/>
  <c r="V60" i="10"/>
  <c r="U60" i="10"/>
  <c r="BG60" i="10"/>
  <c r="T60" i="10"/>
  <c r="BF60" i="10"/>
  <c r="S60" i="10"/>
  <c r="AZ60" i="10"/>
  <c r="AY60" i="10"/>
  <c r="AX60" i="10"/>
  <c r="AW60" i="10"/>
  <c r="Z60" i="10"/>
  <c r="Y60" i="10"/>
  <c r="X60" i="10"/>
  <c r="R60" i="10"/>
  <c r="BE60" i="10"/>
  <c r="BC60" i="10"/>
  <c r="BB60" i="10"/>
  <c r="BA60" i="10"/>
  <c r="AU60" i="10"/>
  <c r="AP60" i="10"/>
  <c r="Q60" i="10"/>
  <c r="P60" i="10"/>
  <c r="O60" i="10"/>
  <c r="AV60" i="10"/>
  <c r="AT60" i="10"/>
  <c r="AR60" i="10"/>
  <c r="AQ60" i="10"/>
  <c r="AF60" i="10"/>
  <c r="AD60" i="10"/>
  <c r="AC60" i="10"/>
  <c r="AB60" i="10"/>
  <c r="AA60" i="10"/>
  <c r="AO60" i="10"/>
  <c r="AM60" i="10"/>
  <c r="AH60" i="10"/>
  <c r="AG60" i="10"/>
  <c r="AE60" i="10"/>
  <c r="BF247" i="10"/>
  <c r="Z247" i="10"/>
  <c r="AO247" i="10"/>
  <c r="AE247" i="10"/>
  <c r="AU247" i="10"/>
  <c r="W247" i="10"/>
  <c r="BG247" i="10"/>
  <c r="V247" i="10"/>
  <c r="AB247" i="10"/>
  <c r="AA247" i="10"/>
  <c r="U247" i="10"/>
  <c r="AM247" i="10"/>
  <c r="AL247" i="10"/>
  <c r="AP247" i="10"/>
  <c r="AN247" i="10"/>
  <c r="AI247" i="10"/>
  <c r="BA247" i="10"/>
  <c r="AZ247" i="10"/>
  <c r="AS247" i="10"/>
  <c r="AQ247" i="10"/>
  <c r="AF247" i="10"/>
  <c r="Y247" i="10"/>
  <c r="R247" i="10"/>
  <c r="AJ247" i="10"/>
  <c r="AH247" i="10"/>
  <c r="AY247" i="10"/>
  <c r="AX247" i="10"/>
  <c r="AT247" i="10"/>
  <c r="AK247" i="10"/>
  <c r="AC247" i="10"/>
  <c r="X247" i="10"/>
  <c r="T247" i="10"/>
  <c r="S247" i="10"/>
  <c r="BD247" i="10"/>
  <c r="AW247" i="10"/>
  <c r="AG247" i="10"/>
  <c r="P247" i="10"/>
  <c r="AV247" i="10"/>
  <c r="AR247" i="10"/>
  <c r="AD247" i="10"/>
  <c r="Q247" i="10"/>
  <c r="BC247" i="10"/>
  <c r="BE247" i="10"/>
  <c r="BB247" i="10"/>
  <c r="O247" i="10"/>
  <c r="AZ93" i="10"/>
  <c r="T93" i="10"/>
  <c r="AU93" i="10"/>
  <c r="AT93" i="10"/>
  <c r="AB93" i="10"/>
  <c r="AA93" i="10"/>
  <c r="Z93" i="10"/>
  <c r="BG93" i="10"/>
  <c r="Y93" i="10"/>
  <c r="BA93" i="10"/>
  <c r="AY93" i="10"/>
  <c r="AX93" i="10"/>
  <c r="AW93" i="10"/>
  <c r="AK93" i="10"/>
  <c r="O93" i="10"/>
  <c r="BF93" i="10"/>
  <c r="BE93" i="10"/>
  <c r="BD93" i="10"/>
  <c r="Q93" i="10"/>
  <c r="AH93" i="10"/>
  <c r="AG93" i="10"/>
  <c r="AF93" i="10"/>
  <c r="AE93" i="10"/>
  <c r="AS93" i="10"/>
  <c r="AR93" i="10"/>
  <c r="AQ93" i="10"/>
  <c r="AP93" i="10"/>
  <c r="AJ93" i="10"/>
  <c r="R93" i="10"/>
  <c r="X93" i="10"/>
  <c r="W93" i="10"/>
  <c r="V93" i="10"/>
  <c r="U93" i="10"/>
  <c r="P93" i="10"/>
  <c r="BC93" i="10"/>
  <c r="BB93" i="10"/>
  <c r="AV93" i="10"/>
  <c r="AO93" i="10"/>
  <c r="AM93" i="10"/>
  <c r="AN93" i="10"/>
  <c r="AI93" i="10"/>
  <c r="S93" i="10"/>
  <c r="AC93" i="10"/>
  <c r="AD93" i="10"/>
  <c r="AL93" i="10"/>
  <c r="AL162" i="10"/>
  <c r="AK162" i="10"/>
  <c r="BB162" i="10"/>
  <c r="T162" i="10"/>
  <c r="BA162" i="10"/>
  <c r="S162" i="10"/>
  <c r="AH162" i="10"/>
  <c r="Z162" i="10"/>
  <c r="AN162" i="10"/>
  <c r="AM162" i="10"/>
  <c r="AX162" i="10"/>
  <c r="Q162" i="10"/>
  <c r="BG162" i="10"/>
  <c r="P162" i="10"/>
  <c r="AC162" i="10"/>
  <c r="AP162" i="10"/>
  <c r="BF162" i="10"/>
  <c r="BE162" i="10"/>
  <c r="AF162" i="10"/>
  <c r="AE162" i="10"/>
  <c r="AD162" i="10"/>
  <c r="AB162" i="10"/>
  <c r="AG162" i="10"/>
  <c r="AA162" i="10"/>
  <c r="Y162" i="10"/>
  <c r="X162" i="10"/>
  <c r="U162" i="10"/>
  <c r="AW162" i="10"/>
  <c r="AV162" i="10"/>
  <c r="AU162" i="10"/>
  <c r="AT162" i="10"/>
  <c r="AS162" i="10"/>
  <c r="AR162" i="10"/>
  <c r="AQ162" i="10"/>
  <c r="AO162" i="10"/>
  <c r="W162" i="10"/>
  <c r="V162" i="10"/>
  <c r="R162" i="10"/>
  <c r="O162" i="10"/>
  <c r="BD162" i="10"/>
  <c r="BC162" i="10"/>
  <c r="AZ162" i="10"/>
  <c r="AY162" i="10"/>
  <c r="AI162" i="10"/>
  <c r="AJ162" i="10"/>
  <c r="AJ45" i="10"/>
  <c r="AA45" i="10"/>
  <c r="AQ45" i="10"/>
  <c r="AP45" i="10"/>
  <c r="AO45" i="10"/>
  <c r="AN45" i="10"/>
  <c r="AI45" i="10"/>
  <c r="AF45" i="10"/>
  <c r="AZ45" i="10"/>
  <c r="AY45" i="10"/>
  <c r="AX45" i="10"/>
  <c r="AW45" i="10"/>
  <c r="BA45" i="10"/>
  <c r="AV45" i="10"/>
  <c r="AU45" i="10"/>
  <c r="AT45" i="10"/>
  <c r="AR45" i="10"/>
  <c r="AH45" i="10"/>
  <c r="U45" i="10"/>
  <c r="T45" i="10"/>
  <c r="S45" i="10"/>
  <c r="R45" i="10"/>
  <c r="Q45" i="10"/>
  <c r="P45" i="10"/>
  <c r="O45" i="10"/>
  <c r="BG45" i="10"/>
  <c r="BF45" i="10"/>
  <c r="AS45" i="10"/>
  <c r="AL45" i="10"/>
  <c r="AK45" i="10"/>
  <c r="AG45" i="10"/>
  <c r="AB45" i="10"/>
  <c r="AE45" i="10"/>
  <c r="AD45" i="10"/>
  <c r="AC45" i="10"/>
  <c r="X45" i="10"/>
  <c r="V45" i="10"/>
  <c r="Y45" i="10"/>
  <c r="W45" i="10"/>
  <c r="AM45" i="10"/>
  <c r="BB45" i="10"/>
  <c r="BE45" i="10"/>
  <c r="BD45" i="10"/>
  <c r="BC45" i="10"/>
  <c r="Z45" i="10"/>
  <c r="AU54" i="10"/>
  <c r="O54" i="10"/>
  <c r="AT54" i="10"/>
  <c r="AS54" i="10"/>
  <c r="AR54" i="10"/>
  <c r="AZ54" i="10"/>
  <c r="P54" i="10"/>
  <c r="AE54" i="10"/>
  <c r="AD54" i="10"/>
  <c r="AC54" i="10"/>
  <c r="AB54" i="10"/>
  <c r="BD54" i="10"/>
  <c r="BC54" i="10"/>
  <c r="BB54" i="10"/>
  <c r="BA54" i="10"/>
  <c r="AA54" i="10"/>
  <c r="Z54" i="10"/>
  <c r="Y54" i="10"/>
  <c r="X54" i="10"/>
  <c r="AI54" i="10"/>
  <c r="AH54" i="10"/>
  <c r="AG54" i="10"/>
  <c r="AF54" i="10"/>
  <c r="V54" i="10"/>
  <c r="R54" i="10"/>
  <c r="AY54" i="10"/>
  <c r="AX54" i="10"/>
  <c r="AW54" i="10"/>
  <c r="AV54" i="10"/>
  <c r="BG54" i="10"/>
  <c r="AO54" i="10"/>
  <c r="AM54" i="10"/>
  <c r="T54" i="10"/>
  <c r="AL54" i="10"/>
  <c r="AK54" i="10"/>
  <c r="AJ54" i="10"/>
  <c r="W54" i="10"/>
  <c r="U54" i="10"/>
  <c r="AN54" i="10"/>
  <c r="BF54" i="10"/>
  <c r="S54" i="10"/>
  <c r="BE54" i="10"/>
  <c r="AQ54" i="10"/>
  <c r="AP54" i="10"/>
  <c r="Q54" i="10"/>
  <c r="BD105" i="10"/>
  <c r="X105" i="10"/>
  <c r="BE105" i="10"/>
  <c r="W105" i="10"/>
  <c r="AO105" i="10"/>
  <c r="BG105" i="10"/>
  <c r="V105" i="10"/>
  <c r="AL105" i="10"/>
  <c r="AK105" i="10"/>
  <c r="AJ105" i="10"/>
  <c r="AI105" i="10"/>
  <c r="AS105" i="10"/>
  <c r="AR105" i="10"/>
  <c r="AQ105" i="10"/>
  <c r="AP105" i="10"/>
  <c r="O105" i="10"/>
  <c r="BF105" i="10"/>
  <c r="AD105" i="10"/>
  <c r="AC105" i="10"/>
  <c r="AB105" i="10"/>
  <c r="AA105" i="10"/>
  <c r="AN105" i="10"/>
  <c r="AG105" i="10"/>
  <c r="BC105" i="10"/>
  <c r="BB105" i="10"/>
  <c r="AY105" i="10"/>
  <c r="AE105" i="10"/>
  <c r="U105" i="10"/>
  <c r="T105" i="10"/>
  <c r="S105" i="10"/>
  <c r="R105" i="10"/>
  <c r="P105" i="10"/>
  <c r="BA105" i="10"/>
  <c r="AX105" i="10"/>
  <c r="AT105" i="10"/>
  <c r="AM105" i="10"/>
  <c r="AH105" i="10"/>
  <c r="AF105" i="10"/>
  <c r="Z105" i="10"/>
  <c r="Q105" i="10"/>
  <c r="Y105" i="10"/>
  <c r="AW105" i="10"/>
  <c r="AU105" i="10"/>
  <c r="AZ105" i="10"/>
  <c r="AV105" i="10"/>
  <c r="AP111" i="10"/>
  <c r="AY111" i="10"/>
  <c r="R111" i="10"/>
  <c r="AR111" i="10"/>
  <c r="AH111" i="10"/>
  <c r="AX111" i="10"/>
  <c r="O111" i="10"/>
  <c r="AW111" i="10"/>
  <c r="AV111" i="10"/>
  <c r="AU111" i="10"/>
  <c r="Y111" i="10"/>
  <c r="X111" i="10"/>
  <c r="W111" i="10"/>
  <c r="V111" i="10"/>
  <c r="AE111" i="10"/>
  <c r="AB111" i="10"/>
  <c r="AT111" i="10"/>
  <c r="AS111" i="10"/>
  <c r="AQ111" i="10"/>
  <c r="AO111" i="10"/>
  <c r="BF111" i="10"/>
  <c r="AA111" i="10"/>
  <c r="Z111" i="10"/>
  <c r="U111" i="10"/>
  <c r="T111" i="10"/>
  <c r="P111" i="10"/>
  <c r="BB111" i="10"/>
  <c r="AN111" i="10"/>
  <c r="AM111" i="10"/>
  <c r="AL111" i="10"/>
  <c r="AK111" i="10"/>
  <c r="AI111" i="10"/>
  <c r="AG111" i="10"/>
  <c r="AF111" i="10"/>
  <c r="BC111" i="10"/>
  <c r="BA111" i="10"/>
  <c r="AZ111" i="10"/>
  <c r="AJ111" i="10"/>
  <c r="AC111" i="10"/>
  <c r="BG111" i="10"/>
  <c r="Q111" i="10"/>
  <c r="BE111" i="10"/>
  <c r="BD111" i="10"/>
  <c r="AD111" i="10"/>
  <c r="S111" i="10"/>
  <c r="AH212" i="10"/>
  <c r="AW212" i="10"/>
  <c r="Q212" i="10"/>
  <c r="AC212" i="10"/>
  <c r="AB212" i="10"/>
  <c r="AP212" i="10"/>
  <c r="AO212" i="10"/>
  <c r="BA212" i="10"/>
  <c r="P212" i="10"/>
  <c r="AV212" i="10"/>
  <c r="AU212" i="10"/>
  <c r="U212" i="10"/>
  <c r="BG212" i="10"/>
  <c r="T212" i="10"/>
  <c r="AN212" i="10"/>
  <c r="BD212" i="10"/>
  <c r="S212" i="10"/>
  <c r="AM212" i="10"/>
  <c r="AJ212" i="10"/>
  <c r="AE212" i="10"/>
  <c r="BF212" i="10"/>
  <c r="AY212" i="10"/>
  <c r="X212" i="10"/>
  <c r="W212" i="10"/>
  <c r="AZ212" i="10"/>
  <c r="AX212" i="10"/>
  <c r="AR212" i="10"/>
  <c r="AF212" i="10"/>
  <c r="AI212" i="10"/>
  <c r="AG212" i="10"/>
  <c r="AD212" i="10"/>
  <c r="AA212" i="10"/>
  <c r="AK212" i="10"/>
  <c r="Z212" i="10"/>
  <c r="Y212" i="10"/>
  <c r="V212" i="10"/>
  <c r="R212" i="10"/>
  <c r="O212" i="10"/>
  <c r="AL212" i="10"/>
  <c r="BE212" i="10"/>
  <c r="BB212" i="10"/>
  <c r="BC212" i="10"/>
  <c r="AT212" i="10"/>
  <c r="AS212" i="10"/>
  <c r="AQ212" i="10"/>
  <c r="AN241" i="10"/>
  <c r="BC241" i="10"/>
  <c r="W241" i="10"/>
  <c r="AB241" i="10"/>
  <c r="AR241" i="10"/>
  <c r="AL241" i="10"/>
  <c r="AK241" i="10"/>
  <c r="Y241" i="10"/>
  <c r="X241" i="10"/>
  <c r="AJ241" i="10"/>
  <c r="AI241" i="10"/>
  <c r="AM241" i="10"/>
  <c r="AH241" i="10"/>
  <c r="AE241" i="10"/>
  <c r="AY241" i="10"/>
  <c r="AX241" i="10"/>
  <c r="AT241" i="10"/>
  <c r="AQ241" i="10"/>
  <c r="BG241" i="10"/>
  <c r="Z241" i="10"/>
  <c r="BD241" i="10"/>
  <c r="AZ241" i="10"/>
  <c r="AS241" i="10"/>
  <c r="BF241" i="10"/>
  <c r="U241" i="10"/>
  <c r="T241" i="10"/>
  <c r="O241" i="10"/>
  <c r="Q241" i="10"/>
  <c r="BA241" i="10"/>
  <c r="AW241" i="10"/>
  <c r="AV241" i="10"/>
  <c r="AU241" i="10"/>
  <c r="AG241" i="10"/>
  <c r="AF241" i="10"/>
  <c r="AD241" i="10"/>
  <c r="AC241" i="10"/>
  <c r="R241" i="10"/>
  <c r="P241" i="10"/>
  <c r="BE241" i="10"/>
  <c r="BB241" i="10"/>
  <c r="AP241" i="10"/>
  <c r="AO241" i="10"/>
  <c r="AA241" i="10"/>
  <c r="S241" i="10"/>
  <c r="V241" i="10"/>
  <c r="BD225" i="10"/>
  <c r="X225" i="10"/>
  <c r="AN225" i="10"/>
  <c r="BC225" i="10"/>
  <c r="V225" i="10"/>
  <c r="AM225" i="10"/>
  <c r="AL225" i="10"/>
  <c r="BB225" i="10"/>
  <c r="Q225" i="10"/>
  <c r="BA225" i="10"/>
  <c r="P225" i="10"/>
  <c r="AC225" i="10"/>
  <c r="AB225" i="10"/>
  <c r="BE225" i="10"/>
  <c r="AZ225" i="10"/>
  <c r="AW225" i="10"/>
  <c r="Z225" i="10"/>
  <c r="Y225" i="10"/>
  <c r="AJ225" i="10"/>
  <c r="AH225" i="10"/>
  <c r="BG225" i="10"/>
  <c r="AX225" i="10"/>
  <c r="AI225" i="10"/>
  <c r="AU225" i="10"/>
  <c r="AQ225" i="10"/>
  <c r="AP225" i="10"/>
  <c r="AE225" i="10"/>
  <c r="BF225" i="10"/>
  <c r="R225" i="10"/>
  <c r="O225" i="10"/>
  <c r="AG225" i="10"/>
  <c r="W225" i="10"/>
  <c r="S225" i="10"/>
  <c r="AY225" i="10"/>
  <c r="AV225" i="10"/>
  <c r="AR225" i="10"/>
  <c r="AF225" i="10"/>
  <c r="AT225" i="10"/>
  <c r="AS225" i="10"/>
  <c r="U225" i="10"/>
  <c r="T225" i="10"/>
  <c r="AK225" i="10"/>
  <c r="AD225" i="10"/>
  <c r="AA225" i="10"/>
  <c r="AO225" i="10"/>
  <c r="AI50" i="10"/>
  <c r="AH50" i="10"/>
  <c r="AG50" i="10"/>
  <c r="AF50" i="10"/>
  <c r="AV50" i="10"/>
  <c r="AA50" i="10"/>
  <c r="Z50" i="10"/>
  <c r="Y50" i="10"/>
  <c r="X50" i="10"/>
  <c r="BG50" i="10"/>
  <c r="R50" i="10"/>
  <c r="BF50" i="10"/>
  <c r="Q50" i="10"/>
  <c r="BE50" i="10"/>
  <c r="P50" i="10"/>
  <c r="BD50" i="10"/>
  <c r="O50" i="10"/>
  <c r="AL50" i="10"/>
  <c r="AK50" i="10"/>
  <c r="AJ50" i="10"/>
  <c r="AE50" i="10"/>
  <c r="AP50" i="10"/>
  <c r="AO50" i="10"/>
  <c r="AN50" i="10"/>
  <c r="AM50" i="10"/>
  <c r="AC50" i="10"/>
  <c r="U50" i="10"/>
  <c r="BC50" i="10"/>
  <c r="BB50" i="10"/>
  <c r="BA50" i="10"/>
  <c r="AZ50" i="10"/>
  <c r="AY50" i="10"/>
  <c r="AW50" i="10"/>
  <c r="AD50" i="10"/>
  <c r="AU50" i="10"/>
  <c r="AT50" i="10"/>
  <c r="AS50" i="10"/>
  <c r="AR50" i="10"/>
  <c r="AQ50" i="10"/>
  <c r="V50" i="10"/>
  <c r="S50" i="10"/>
  <c r="T50" i="10"/>
  <c r="AB50" i="10"/>
  <c r="AX50" i="10"/>
  <c r="W50" i="10"/>
  <c r="AP231" i="10"/>
  <c r="BE231" i="10"/>
  <c r="AH231" i="10"/>
  <c r="AX231" i="10"/>
  <c r="Q231" i="10"/>
  <c r="AZ231" i="10"/>
  <c r="P231" i="10"/>
  <c r="AY231" i="10"/>
  <c r="O231" i="10"/>
  <c r="AU231" i="10"/>
  <c r="AT231" i="10"/>
  <c r="W231" i="10"/>
  <c r="V231" i="10"/>
  <c r="AO231" i="10"/>
  <c r="AN231" i="10"/>
  <c r="AK231" i="10"/>
  <c r="BF231" i="10"/>
  <c r="BD231" i="10"/>
  <c r="X231" i="10"/>
  <c r="T231" i="10"/>
  <c r="AM231" i="10"/>
  <c r="AI231" i="10"/>
  <c r="BG231" i="10"/>
  <c r="AA231" i="10"/>
  <c r="U231" i="10"/>
  <c r="AL231" i="10"/>
  <c r="AJ231" i="10"/>
  <c r="AC231" i="10"/>
  <c r="AE231" i="10"/>
  <c r="AD231" i="10"/>
  <c r="Y231" i="10"/>
  <c r="BB231" i="10"/>
  <c r="BA231" i="10"/>
  <c r="S231" i="10"/>
  <c r="R231" i="10"/>
  <c r="AQ231" i="10"/>
  <c r="AG231" i="10"/>
  <c r="AF231" i="10"/>
  <c r="AB231" i="10"/>
  <c r="BC231" i="10"/>
  <c r="AW231" i="10"/>
  <c r="AV231" i="10"/>
  <c r="AS231" i="10"/>
  <c r="AR231" i="10"/>
  <c r="Z231" i="10"/>
  <c r="AB237" i="10"/>
  <c r="AQ237" i="10"/>
  <c r="AK237" i="10"/>
  <c r="BA237" i="10"/>
  <c r="S237" i="10"/>
  <c r="AJ237" i="10"/>
  <c r="AI237" i="10"/>
  <c r="AX237" i="10"/>
  <c r="AW237" i="10"/>
  <c r="W237" i="10"/>
  <c r="V237" i="10"/>
  <c r="AN237" i="10"/>
  <c r="AM237" i="10"/>
  <c r="AG237" i="10"/>
  <c r="BB237" i="10"/>
  <c r="AZ237" i="10"/>
  <c r="O237" i="10"/>
  <c r="AF237" i="10"/>
  <c r="AC237" i="10"/>
  <c r="Z237" i="10"/>
  <c r="BD237" i="10"/>
  <c r="AV237" i="10"/>
  <c r="AR237" i="10"/>
  <c r="AS237" i="10"/>
  <c r="AP237" i="10"/>
  <c r="AD237" i="10"/>
  <c r="Y237" i="10"/>
  <c r="X237" i="10"/>
  <c r="AT237" i="10"/>
  <c r="AO237" i="10"/>
  <c r="AL237" i="10"/>
  <c r="AH237" i="10"/>
  <c r="BG237" i="10"/>
  <c r="Q237" i="10"/>
  <c r="BF237" i="10"/>
  <c r="BE237" i="10"/>
  <c r="BC237" i="10"/>
  <c r="AY237" i="10"/>
  <c r="AE237" i="10"/>
  <c r="AU237" i="10"/>
  <c r="U237" i="10"/>
  <c r="T237" i="10"/>
  <c r="R237" i="10"/>
  <c r="P237" i="10"/>
  <c r="AA237" i="10"/>
  <c r="BC230" i="10"/>
  <c r="W230" i="10"/>
  <c r="AT230" i="10"/>
  <c r="AC230" i="10"/>
  <c r="Z230" i="10"/>
  <c r="Y230" i="10"/>
  <c r="BB230" i="10"/>
  <c r="Q230" i="10"/>
  <c r="BA230" i="10"/>
  <c r="P230" i="10"/>
  <c r="AE230" i="10"/>
  <c r="AD230" i="10"/>
  <c r="AR230" i="10"/>
  <c r="AQ230" i="10"/>
  <c r="AN230" i="10"/>
  <c r="BF230" i="10"/>
  <c r="BE230" i="10"/>
  <c r="O230" i="10"/>
  <c r="AJ230" i="10"/>
  <c r="AG230" i="10"/>
  <c r="AP230" i="10"/>
  <c r="BD230" i="10"/>
  <c r="T230" i="10"/>
  <c r="S230" i="10"/>
  <c r="AM230" i="10"/>
  <c r="AL230" i="10"/>
  <c r="V230" i="10"/>
  <c r="U230" i="10"/>
  <c r="AF230" i="10"/>
  <c r="BG230" i="10"/>
  <c r="AZ230" i="10"/>
  <c r="AH230" i="10"/>
  <c r="AW230" i="10"/>
  <c r="AS230" i="10"/>
  <c r="AO230" i="10"/>
  <c r="AK230" i="10"/>
  <c r="AI230" i="10"/>
  <c r="AB230" i="10"/>
  <c r="AV230" i="10"/>
  <c r="AU230" i="10"/>
  <c r="AA230" i="10"/>
  <c r="X230" i="10"/>
  <c r="AY230" i="10"/>
  <c r="AX230" i="10"/>
  <c r="R230" i="10"/>
  <c r="AR101" i="10"/>
  <c r="AY101" i="10"/>
  <c r="R101" i="10"/>
  <c r="AB101" i="10"/>
  <c r="AP101" i="10"/>
  <c r="AO101" i="10"/>
  <c r="AN101" i="10"/>
  <c r="AM101" i="10"/>
  <c r="BE101" i="10"/>
  <c r="Q101" i="10"/>
  <c r="BD101" i="10"/>
  <c r="P101" i="10"/>
  <c r="BC101" i="10"/>
  <c r="O101" i="10"/>
  <c r="BB101" i="10"/>
  <c r="AX101" i="10"/>
  <c r="AU101" i="10"/>
  <c r="X101" i="10"/>
  <c r="W101" i="10"/>
  <c r="V101" i="10"/>
  <c r="U101" i="10"/>
  <c r="AQ101" i="10"/>
  <c r="AJ101" i="10"/>
  <c r="AG101" i="10"/>
  <c r="AF101" i="10"/>
  <c r="AE101" i="10"/>
  <c r="AD101" i="10"/>
  <c r="T101" i="10"/>
  <c r="BG101" i="10"/>
  <c r="BF101" i="10"/>
  <c r="BA101" i="10"/>
  <c r="AZ101" i="10"/>
  <c r="AV101" i="10"/>
  <c r="AT101" i="10"/>
  <c r="AS101" i="10"/>
  <c r="AW101" i="10"/>
  <c r="AL101" i="10"/>
  <c r="AK101" i="10"/>
  <c r="AI101" i="10"/>
  <c r="AH101" i="10"/>
  <c r="AC101" i="10"/>
  <c r="AA101" i="10"/>
  <c r="Y101" i="10"/>
  <c r="Z101" i="10"/>
  <c r="S101" i="10"/>
  <c r="AL192" i="10"/>
  <c r="AU192" i="10"/>
  <c r="AT192" i="10"/>
  <c r="AY192" i="10"/>
  <c r="P192" i="10"/>
  <c r="AX192" i="10"/>
  <c r="O192" i="10"/>
  <c r="Z192" i="10"/>
  <c r="BD192" i="10"/>
  <c r="R192" i="10"/>
  <c r="AF192" i="10"/>
  <c r="AC192" i="10"/>
  <c r="AJ192" i="10"/>
  <c r="BE192" i="10"/>
  <c r="BA192" i="10"/>
  <c r="AS192" i="10"/>
  <c r="BC192" i="10"/>
  <c r="BB192" i="10"/>
  <c r="W192" i="10"/>
  <c r="V192" i="10"/>
  <c r="X192" i="10"/>
  <c r="U192" i="10"/>
  <c r="AK192" i="10"/>
  <c r="AI192" i="10"/>
  <c r="AA192" i="10"/>
  <c r="Y192" i="10"/>
  <c r="T192" i="10"/>
  <c r="S192" i="10"/>
  <c r="AP192" i="10"/>
  <c r="AB192" i="10"/>
  <c r="Q192" i="10"/>
  <c r="AV192" i="10"/>
  <c r="AO192" i="10"/>
  <c r="AZ192" i="10"/>
  <c r="AW192" i="10"/>
  <c r="AR192" i="10"/>
  <c r="AQ192" i="10"/>
  <c r="AH192" i="10"/>
  <c r="AG192" i="10"/>
  <c r="AE192" i="10"/>
  <c r="AD192" i="10"/>
  <c r="AN192" i="10"/>
  <c r="AM192" i="10"/>
  <c r="BF192" i="10"/>
  <c r="BG192" i="10"/>
  <c r="AW108" i="10"/>
  <c r="Q108" i="10"/>
  <c r="BB108" i="10"/>
  <c r="U108" i="10"/>
  <c r="AP108" i="10"/>
  <c r="AC108" i="10"/>
  <c r="AR108" i="10"/>
  <c r="AQ108" i="10"/>
  <c r="AO108" i="10"/>
  <c r="AN108" i="10"/>
  <c r="AG108" i="10"/>
  <c r="AF108" i="10"/>
  <c r="AE108" i="10"/>
  <c r="AD108" i="10"/>
  <c r="V108" i="10"/>
  <c r="R108" i="10"/>
  <c r="AM108" i="10"/>
  <c r="AL108" i="10"/>
  <c r="AK108" i="10"/>
  <c r="AJ108" i="10"/>
  <c r="T108" i="10"/>
  <c r="O108" i="10"/>
  <c r="AV108" i="10"/>
  <c r="AU108" i="10"/>
  <c r="AT108" i="10"/>
  <c r="AS108" i="10"/>
  <c r="AX108" i="10"/>
  <c r="AB108" i="10"/>
  <c r="AA108" i="10"/>
  <c r="Z108" i="10"/>
  <c r="Y108" i="10"/>
  <c r="W108" i="10"/>
  <c r="S108" i="10"/>
  <c r="P108" i="10"/>
  <c r="BF108" i="10"/>
  <c r="BE108" i="10"/>
  <c r="BD108" i="10"/>
  <c r="BC108" i="10"/>
  <c r="AZ108" i="10"/>
  <c r="X108" i="10"/>
  <c r="BG108" i="10"/>
  <c r="AY108" i="10"/>
  <c r="BA108" i="10"/>
  <c r="AI108" i="10"/>
  <c r="AH108" i="10"/>
  <c r="AJ229" i="10"/>
  <c r="BF229" i="10"/>
  <c r="Y229" i="10"/>
  <c r="AO229" i="10"/>
  <c r="AI229" i="10"/>
  <c r="AH229" i="10"/>
  <c r="X229" i="10"/>
  <c r="W229" i="10"/>
  <c r="AL229" i="10"/>
  <c r="AK229" i="10"/>
  <c r="AV229" i="10"/>
  <c r="AU229" i="10"/>
  <c r="AR229" i="10"/>
  <c r="BG229" i="10"/>
  <c r="Q229" i="10"/>
  <c r="BE229" i="10"/>
  <c r="P229" i="10"/>
  <c r="BC229" i="10"/>
  <c r="AC229" i="10"/>
  <c r="Z229" i="10"/>
  <c r="AD229" i="10"/>
  <c r="BB229" i="10"/>
  <c r="AY229" i="10"/>
  <c r="AS229" i="10"/>
  <c r="AX229" i="10"/>
  <c r="S229" i="10"/>
  <c r="R229" i="10"/>
  <c r="AP229" i="10"/>
  <c r="AN229" i="10"/>
  <c r="AF229" i="10"/>
  <c r="T229" i="10"/>
  <c r="O229" i="10"/>
  <c r="AB229" i="10"/>
  <c r="AA229" i="10"/>
  <c r="V229" i="10"/>
  <c r="U229" i="10"/>
  <c r="AQ229" i="10"/>
  <c r="AE229" i="10"/>
  <c r="BD229" i="10"/>
  <c r="AM229" i="10"/>
  <c r="AZ229" i="10"/>
  <c r="BA229" i="10"/>
  <c r="AW229" i="10"/>
  <c r="AT229" i="10"/>
  <c r="AG229" i="10"/>
  <c r="BG183" i="10"/>
  <c r="AA183" i="10"/>
  <c r="BC183" i="10"/>
  <c r="V183" i="10"/>
  <c r="BB183" i="10"/>
  <c r="U183" i="10"/>
  <c r="AG183" i="10"/>
  <c r="AF183" i="10"/>
  <c r="AM183" i="10"/>
  <c r="AZ183" i="10"/>
  <c r="O183" i="10"/>
  <c r="W183" i="10"/>
  <c r="AP183" i="10"/>
  <c r="AL183" i="10"/>
  <c r="AD183" i="10"/>
  <c r="AC183" i="10"/>
  <c r="AT183" i="10"/>
  <c r="AS183" i="10"/>
  <c r="AU183" i="10"/>
  <c r="AR183" i="10"/>
  <c r="BF183" i="10"/>
  <c r="AB183" i="10"/>
  <c r="BD183" i="10"/>
  <c r="BA183" i="10"/>
  <c r="AY183" i="10"/>
  <c r="AJ183" i="10"/>
  <c r="AI183" i="10"/>
  <c r="AH183" i="10"/>
  <c r="AE183" i="10"/>
  <c r="AV183" i="10"/>
  <c r="AN183" i="10"/>
  <c r="T183" i="10"/>
  <c r="Q183" i="10"/>
  <c r="BE183" i="10"/>
  <c r="P183" i="10"/>
  <c r="AX183" i="10"/>
  <c r="AW183" i="10"/>
  <c r="AQ183" i="10"/>
  <c r="AO183" i="10"/>
  <c r="AK183" i="10"/>
  <c r="Z183" i="10"/>
  <c r="X183" i="10"/>
  <c r="S183" i="10"/>
  <c r="R183" i="10"/>
  <c r="Y183" i="10"/>
  <c r="AJ261" i="10"/>
  <c r="AY261" i="10"/>
  <c r="S261" i="10"/>
  <c r="AW261" i="10"/>
  <c r="O261" i="10"/>
  <c r="AE261" i="10"/>
  <c r="Z261" i="10"/>
  <c r="W261" i="10"/>
  <c r="BG261" i="10"/>
  <c r="V261" i="10"/>
  <c r="AH261" i="10"/>
  <c r="AP261" i="10"/>
  <c r="AO261" i="10"/>
  <c r="AL261" i="10"/>
  <c r="BB261" i="10"/>
  <c r="BA261" i="10"/>
  <c r="AD261" i="10"/>
  <c r="AC261" i="10"/>
  <c r="Y261" i="10"/>
  <c r="AT261" i="10"/>
  <c r="AS261" i="10"/>
  <c r="AK261" i="10"/>
  <c r="AG261" i="10"/>
  <c r="BD261" i="10"/>
  <c r="Q261" i="10"/>
  <c r="AX261" i="10"/>
  <c r="AR261" i="10"/>
  <c r="AI261" i="10"/>
  <c r="AZ261" i="10"/>
  <c r="BC261" i="10"/>
  <c r="AV261" i="10"/>
  <c r="AN261" i="10"/>
  <c r="AU261" i="10"/>
  <c r="R261" i="10"/>
  <c r="P261" i="10"/>
  <c r="BF261" i="10"/>
  <c r="BE261" i="10"/>
  <c r="AM261" i="10"/>
  <c r="AF261" i="10"/>
  <c r="AB261" i="10"/>
  <c r="AQ261" i="10"/>
  <c r="AA261" i="10"/>
  <c r="X261" i="10"/>
  <c r="U261" i="10"/>
  <c r="T261" i="10"/>
  <c r="AH271" i="10"/>
  <c r="AW271" i="10"/>
  <c r="Q271" i="10"/>
  <c r="AQ271" i="10"/>
  <c r="AZ271" i="10"/>
  <c r="P271" i="10"/>
  <c r="AF271" i="10"/>
  <c r="AA271" i="10"/>
  <c r="AG271" i="10"/>
  <c r="AE271" i="10"/>
  <c r="AR271" i="10"/>
  <c r="BE271" i="10"/>
  <c r="BD271" i="10"/>
  <c r="BA271" i="10"/>
  <c r="Z271" i="10"/>
  <c r="Y271" i="10"/>
  <c r="AI271" i="10"/>
  <c r="AD271" i="10"/>
  <c r="X271" i="10"/>
  <c r="AU271" i="10"/>
  <c r="AT271" i="10"/>
  <c r="BG271" i="10"/>
  <c r="W271" i="10"/>
  <c r="T271" i="10"/>
  <c r="AP271" i="10"/>
  <c r="AK271" i="10"/>
  <c r="R271" i="10"/>
  <c r="O271" i="10"/>
  <c r="AS271" i="10"/>
  <c r="AO271" i="10"/>
  <c r="AY271" i="10"/>
  <c r="AM271" i="10"/>
  <c r="AJ271" i="10"/>
  <c r="AX271" i="10"/>
  <c r="AV271" i="10"/>
  <c r="AN271" i="10"/>
  <c r="AL271" i="10"/>
  <c r="V271" i="10"/>
  <c r="U271" i="10"/>
  <c r="S271" i="10"/>
  <c r="AC271" i="10"/>
  <c r="BF271" i="10"/>
  <c r="BC271" i="10"/>
  <c r="BB271" i="10"/>
  <c r="AB271" i="10"/>
  <c r="AF249" i="10"/>
  <c r="AU249" i="10"/>
  <c r="O249" i="10"/>
  <c r="AQ249" i="10"/>
  <c r="BG249" i="10"/>
  <c r="Y249" i="10"/>
  <c r="AP249" i="10"/>
  <c r="AO249" i="10"/>
  <c r="BB249" i="10"/>
  <c r="P249" i="10"/>
  <c r="BA249" i="10"/>
  <c r="AX249" i="10"/>
  <c r="AA249" i="10"/>
  <c r="Z249" i="10"/>
  <c r="AN249" i="10"/>
  <c r="AM249" i="10"/>
  <c r="AJ249" i="10"/>
  <c r="BE249" i="10"/>
  <c r="BD249" i="10"/>
  <c r="AD249" i="10"/>
  <c r="X249" i="10"/>
  <c r="AK249" i="10"/>
  <c r="AZ249" i="10"/>
  <c r="AW249" i="10"/>
  <c r="T249" i="10"/>
  <c r="S249" i="10"/>
  <c r="AS249" i="10"/>
  <c r="AR249" i="10"/>
  <c r="AH249" i="10"/>
  <c r="AV249" i="10"/>
  <c r="AE249" i="10"/>
  <c r="AC249" i="10"/>
  <c r="AB249" i="10"/>
  <c r="W249" i="10"/>
  <c r="V249" i="10"/>
  <c r="Q249" i="10"/>
  <c r="AI249" i="10"/>
  <c r="AG249" i="10"/>
  <c r="U249" i="10"/>
  <c r="R249" i="10"/>
  <c r="BF249" i="10"/>
  <c r="BC249" i="10"/>
  <c r="AY249" i="10"/>
  <c r="AL249" i="10"/>
  <c r="AT249" i="10"/>
  <c r="BC173" i="10"/>
  <c r="W173" i="10"/>
  <c r="BB173" i="10"/>
  <c r="V173" i="10"/>
  <c r="AK173" i="10"/>
  <c r="AJ173" i="10"/>
  <c r="AW173" i="10"/>
  <c r="BF173" i="10"/>
  <c r="S173" i="10"/>
  <c r="AL173" i="10"/>
  <c r="Y173" i="10"/>
  <c r="X173" i="10"/>
  <c r="AM173" i="10"/>
  <c r="AI173" i="10"/>
  <c r="R173" i="10"/>
  <c r="Q173" i="10"/>
  <c r="AF173" i="10"/>
  <c r="AT173" i="10"/>
  <c r="O173" i="10"/>
  <c r="AC173" i="10"/>
  <c r="AY173" i="10"/>
  <c r="AX173" i="10"/>
  <c r="AV173" i="10"/>
  <c r="AU173" i="10"/>
  <c r="BA173" i="10"/>
  <c r="AR173" i="10"/>
  <c r="AB173" i="10"/>
  <c r="U173" i="10"/>
  <c r="BE173" i="10"/>
  <c r="BD173" i="10"/>
  <c r="AZ173" i="10"/>
  <c r="AS173" i="10"/>
  <c r="AA173" i="10"/>
  <c r="P173" i="10"/>
  <c r="BG173" i="10"/>
  <c r="AH173" i="10"/>
  <c r="AG173" i="10"/>
  <c r="AE173" i="10"/>
  <c r="AD173" i="10"/>
  <c r="AQ173" i="10"/>
  <c r="AO173" i="10"/>
  <c r="AN173" i="10"/>
  <c r="Z173" i="10"/>
  <c r="T173" i="10"/>
  <c r="AP173" i="10"/>
  <c r="BB235" i="10"/>
  <c r="V235" i="10"/>
  <c r="AK235" i="10"/>
  <c r="BG235" i="10"/>
  <c r="Y235" i="10"/>
  <c r="AO235" i="10"/>
  <c r="BA235" i="10"/>
  <c r="Q235" i="10"/>
  <c r="AZ235" i="10"/>
  <c r="P235" i="10"/>
  <c r="X235" i="10"/>
  <c r="W235" i="10"/>
  <c r="AI235" i="10"/>
  <c r="AH235" i="10"/>
  <c r="AP235" i="10"/>
  <c r="AN235" i="10"/>
  <c r="AJ235" i="10"/>
  <c r="BC235" i="10"/>
  <c r="AY235" i="10"/>
  <c r="AW235" i="10"/>
  <c r="AU235" i="10"/>
  <c r="S235" i="10"/>
  <c r="BF235" i="10"/>
  <c r="AA235" i="10"/>
  <c r="T235" i="10"/>
  <c r="AX235" i="10"/>
  <c r="U235" i="10"/>
  <c r="R235" i="10"/>
  <c r="AL235" i="10"/>
  <c r="AG235" i="10"/>
  <c r="AM235" i="10"/>
  <c r="AF235" i="10"/>
  <c r="AE235" i="10"/>
  <c r="AD235" i="10"/>
  <c r="AQ235" i="10"/>
  <c r="O235" i="10"/>
  <c r="AR235" i="10"/>
  <c r="AC235" i="10"/>
  <c r="AB235" i="10"/>
  <c r="Z235" i="10"/>
  <c r="BE235" i="10"/>
  <c r="AS235" i="10"/>
  <c r="AV235" i="10"/>
  <c r="AT235" i="10"/>
  <c r="BD235" i="10"/>
  <c r="AE89" i="10"/>
  <c r="BE89" i="10"/>
  <c r="X89" i="10"/>
  <c r="AM89" i="10"/>
  <c r="AL89" i="10"/>
  <c r="AK89" i="10"/>
  <c r="AJ89" i="10"/>
  <c r="AF89" i="10"/>
  <c r="AD89" i="10"/>
  <c r="AC89" i="10"/>
  <c r="AB89" i="10"/>
  <c r="AI89" i="10"/>
  <c r="BB89" i="10"/>
  <c r="BA89" i="10"/>
  <c r="AZ89" i="10"/>
  <c r="AY89" i="10"/>
  <c r="AA89" i="10"/>
  <c r="W89" i="10"/>
  <c r="AW89" i="10"/>
  <c r="AV89" i="10"/>
  <c r="AU89" i="10"/>
  <c r="AT89" i="10"/>
  <c r="Z89" i="10"/>
  <c r="Y89" i="10"/>
  <c r="V89" i="10"/>
  <c r="U89" i="10"/>
  <c r="P89" i="10"/>
  <c r="BF89" i="10"/>
  <c r="BD89" i="10"/>
  <c r="BC89" i="10"/>
  <c r="AX89" i="10"/>
  <c r="AR89" i="10"/>
  <c r="AQ89" i="10"/>
  <c r="AP89" i="10"/>
  <c r="R89" i="10"/>
  <c r="Q89" i="10"/>
  <c r="O89" i="10"/>
  <c r="AS89" i="10"/>
  <c r="AH89" i="10"/>
  <c r="AG89" i="10"/>
  <c r="T89" i="10"/>
  <c r="S89" i="10"/>
  <c r="BG89" i="10"/>
  <c r="AO89" i="10"/>
  <c r="AN89" i="10"/>
  <c r="AY138" i="10"/>
  <c r="S138" i="10"/>
  <c r="AG138" i="10"/>
  <c r="Z138" i="10"/>
  <c r="AN138" i="10"/>
  <c r="AM138" i="10"/>
  <c r="AU138" i="10"/>
  <c r="AT138" i="10"/>
  <c r="AS138" i="10"/>
  <c r="W138" i="10"/>
  <c r="V138" i="10"/>
  <c r="U138" i="10"/>
  <c r="BG138" i="10"/>
  <c r="T138" i="10"/>
  <c r="Y138" i="10"/>
  <c r="Q138" i="10"/>
  <c r="AO138" i="10"/>
  <c r="AL138" i="10"/>
  <c r="AK138" i="10"/>
  <c r="AJ138" i="10"/>
  <c r="BE138" i="10"/>
  <c r="BB138" i="10"/>
  <c r="X138" i="10"/>
  <c r="R138" i="10"/>
  <c r="P138" i="10"/>
  <c r="O138" i="10"/>
  <c r="BC138" i="10"/>
  <c r="BA138" i="10"/>
  <c r="AZ138" i="10"/>
  <c r="AX138" i="10"/>
  <c r="AW138" i="10"/>
  <c r="AI138" i="10"/>
  <c r="AC138" i="10"/>
  <c r="AB138" i="10"/>
  <c r="AA138" i="10"/>
  <c r="BF138" i="10"/>
  <c r="BD138" i="10"/>
  <c r="AV138" i="10"/>
  <c r="AR138" i="10"/>
  <c r="AP138" i="10"/>
  <c r="AQ138" i="10"/>
  <c r="AF138" i="10"/>
  <c r="AH138" i="10"/>
  <c r="AE138" i="10"/>
  <c r="AD138" i="10"/>
  <c r="BF66" i="10"/>
  <c r="Z66" i="10"/>
  <c r="AX66" i="10"/>
  <c r="Q66" i="10"/>
  <c r="AG66" i="10"/>
  <c r="AF66" i="10"/>
  <c r="AE66" i="10"/>
  <c r="AD66" i="10"/>
  <c r="AU66" i="10"/>
  <c r="Y66" i="10"/>
  <c r="X66" i="10"/>
  <c r="W66" i="10"/>
  <c r="V66" i="10"/>
  <c r="BG66" i="10"/>
  <c r="BE66" i="10"/>
  <c r="BD66" i="10"/>
  <c r="BC66" i="10"/>
  <c r="AW66" i="10"/>
  <c r="AM66" i="10"/>
  <c r="AJ66" i="10"/>
  <c r="AI66" i="10"/>
  <c r="AH66" i="10"/>
  <c r="AC66" i="10"/>
  <c r="T66" i="10"/>
  <c r="BB66" i="10"/>
  <c r="BA66" i="10"/>
  <c r="AZ66" i="10"/>
  <c r="AY66" i="10"/>
  <c r="AT66" i="10"/>
  <c r="AP66" i="10"/>
  <c r="O66" i="10"/>
  <c r="AV66" i="10"/>
  <c r="AR66" i="10"/>
  <c r="AQ66" i="10"/>
  <c r="AB66" i="10"/>
  <c r="AO66" i="10"/>
  <c r="AN66" i="10"/>
  <c r="AL66" i="10"/>
  <c r="AK66" i="10"/>
  <c r="S66" i="10"/>
  <c r="P66" i="10"/>
  <c r="U66" i="10"/>
  <c r="R66" i="10"/>
  <c r="AS66" i="10"/>
  <c r="AA66" i="10"/>
  <c r="AU57" i="10"/>
  <c r="O57" i="10"/>
  <c r="AO57" i="10"/>
  <c r="AN57" i="10"/>
  <c r="AM57" i="10"/>
  <c r="AL57" i="10"/>
  <c r="Z57" i="10"/>
  <c r="AS57" i="10"/>
  <c r="AR57" i="10"/>
  <c r="AQ57" i="10"/>
  <c r="AP57" i="10"/>
  <c r="BB57" i="10"/>
  <c r="BA57" i="10"/>
  <c r="AZ57" i="10"/>
  <c r="AY57" i="10"/>
  <c r="X57" i="10"/>
  <c r="W57" i="10"/>
  <c r="V57" i="10"/>
  <c r="U57" i="10"/>
  <c r="P57" i="10"/>
  <c r="BE57" i="10"/>
  <c r="AG57" i="10"/>
  <c r="AF57" i="10"/>
  <c r="AE57" i="10"/>
  <c r="AD57" i="10"/>
  <c r="AK57" i="10"/>
  <c r="AJ57" i="10"/>
  <c r="AB57" i="10"/>
  <c r="AI57" i="10"/>
  <c r="AH57" i="10"/>
  <c r="AC57" i="10"/>
  <c r="Y57" i="10"/>
  <c r="R57" i="10"/>
  <c r="Q57" i="10"/>
  <c r="BG57" i="10"/>
  <c r="BF57" i="10"/>
  <c r="BD57" i="10"/>
  <c r="AW57" i="10"/>
  <c r="AT57" i="10"/>
  <c r="BC57" i="10"/>
  <c r="AX57" i="10"/>
  <c r="AV57" i="10"/>
  <c r="AA57" i="10"/>
  <c r="S57" i="10"/>
  <c r="T57" i="10"/>
  <c r="BF188" i="10"/>
  <c r="Z188" i="10"/>
  <c r="AC188" i="10"/>
  <c r="AB188" i="10"/>
  <c r="BA188" i="10"/>
  <c r="R188" i="10"/>
  <c r="AZ188" i="10"/>
  <c r="Q188" i="10"/>
  <c r="AE188" i="10"/>
  <c r="AO188" i="10"/>
  <c r="BD188" i="10"/>
  <c r="P188" i="10"/>
  <c r="AY188" i="10"/>
  <c r="AR188" i="10"/>
  <c r="V188" i="10"/>
  <c r="S188" i="10"/>
  <c r="BC188" i="10"/>
  <c r="AL188" i="10"/>
  <c r="AK188" i="10"/>
  <c r="BB188" i="10"/>
  <c r="AX188" i="10"/>
  <c r="AH188" i="10"/>
  <c r="AG188" i="10"/>
  <c r="AU188" i="10"/>
  <c r="AT188" i="10"/>
  <c r="AV188" i="10"/>
  <c r="AA188" i="10"/>
  <c r="Y188" i="10"/>
  <c r="X188" i="10"/>
  <c r="W188" i="10"/>
  <c r="U188" i="10"/>
  <c r="T188" i="10"/>
  <c r="O188" i="10"/>
  <c r="AW188" i="10"/>
  <c r="AS188" i="10"/>
  <c r="AQ188" i="10"/>
  <c r="AP188" i="10"/>
  <c r="BG188" i="10"/>
  <c r="AM188" i="10"/>
  <c r="BE188" i="10"/>
  <c r="AJ188" i="10"/>
  <c r="AI188" i="10"/>
  <c r="AF188" i="10"/>
  <c r="AD188" i="10"/>
  <c r="AN188" i="10"/>
  <c r="AR72" i="10"/>
  <c r="BF72" i="10"/>
  <c r="Z72" i="10"/>
  <c r="BE72" i="10"/>
  <c r="Y72" i="10"/>
  <c r="BD72" i="10"/>
  <c r="X72" i="10"/>
  <c r="AJ72" i="10"/>
  <c r="AG72" i="10"/>
  <c r="AM72" i="10"/>
  <c r="BC72" i="10"/>
  <c r="Q72" i="10"/>
  <c r="BB72" i="10"/>
  <c r="P72" i="10"/>
  <c r="BA72" i="10"/>
  <c r="O72" i="10"/>
  <c r="AZ72" i="10"/>
  <c r="AQ72" i="10"/>
  <c r="AN72" i="10"/>
  <c r="AX72" i="10"/>
  <c r="AW72" i="10"/>
  <c r="AV72" i="10"/>
  <c r="AU72" i="10"/>
  <c r="AL72" i="10"/>
  <c r="AA72" i="10"/>
  <c r="U72" i="10"/>
  <c r="T72" i="10"/>
  <c r="S72" i="10"/>
  <c r="R72" i="10"/>
  <c r="AI72" i="10"/>
  <c r="AH72" i="10"/>
  <c r="AF72" i="10"/>
  <c r="AE72" i="10"/>
  <c r="AC72" i="10"/>
  <c r="AY72" i="10"/>
  <c r="AT72" i="10"/>
  <c r="AS72" i="10"/>
  <c r="AP72" i="10"/>
  <c r="W72" i="10"/>
  <c r="AO72" i="10"/>
  <c r="BG72" i="10"/>
  <c r="AK72" i="10"/>
  <c r="AD72" i="10"/>
  <c r="AB72" i="10"/>
  <c r="V72" i="10"/>
  <c r="AD107" i="10"/>
  <c r="AG107" i="10"/>
  <c r="BA107" i="10"/>
  <c r="S107" i="10"/>
  <c r="AM107" i="10"/>
  <c r="BB107" i="10"/>
  <c r="R107" i="10"/>
  <c r="AZ107" i="10"/>
  <c r="Q107" i="10"/>
  <c r="AY107" i="10"/>
  <c r="P107" i="10"/>
  <c r="AX107" i="10"/>
  <c r="O107" i="10"/>
  <c r="AK107" i="10"/>
  <c r="AJ107" i="10"/>
  <c r="AI107" i="10"/>
  <c r="AH107" i="10"/>
  <c r="U107" i="10"/>
  <c r="AN107" i="10"/>
  <c r="AL107" i="10"/>
  <c r="AF107" i="10"/>
  <c r="AE107" i="10"/>
  <c r="AA107" i="10"/>
  <c r="Z107" i="10"/>
  <c r="Y107" i="10"/>
  <c r="X107" i="10"/>
  <c r="BC107" i="10"/>
  <c r="AW107" i="10"/>
  <c r="AV107" i="10"/>
  <c r="AU107" i="10"/>
  <c r="AP107" i="10"/>
  <c r="AB107" i="10"/>
  <c r="W107" i="10"/>
  <c r="V107" i="10"/>
  <c r="T107" i="10"/>
  <c r="BG107" i="10"/>
  <c r="BF107" i="10"/>
  <c r="BE107" i="10"/>
  <c r="BD107" i="10"/>
  <c r="AO107" i="10"/>
  <c r="AQ107" i="10"/>
  <c r="AC107" i="10"/>
  <c r="AT107" i="10"/>
  <c r="AS107" i="10"/>
  <c r="AR107" i="10"/>
  <c r="AX223" i="10"/>
  <c r="R223" i="10"/>
  <c r="AE223" i="10"/>
  <c r="AT223" i="10"/>
  <c r="BG223" i="10"/>
  <c r="X223" i="10"/>
  <c r="BF223" i="10"/>
  <c r="W223" i="10"/>
  <c r="AG223" i="10"/>
  <c r="AF223" i="10"/>
  <c r="AQ223" i="10"/>
  <c r="AP223" i="10"/>
  <c r="P223" i="10"/>
  <c r="BE223" i="10"/>
  <c r="O223" i="10"/>
  <c r="AC223" i="10"/>
  <c r="AB223" i="10"/>
  <c r="AA223" i="10"/>
  <c r="Y223" i="10"/>
  <c r="AV223" i="10"/>
  <c r="AR223" i="10"/>
  <c r="AM223" i="10"/>
  <c r="AJ223" i="10"/>
  <c r="Z223" i="10"/>
  <c r="BC223" i="10"/>
  <c r="V223" i="10"/>
  <c r="U223" i="10"/>
  <c r="T223" i="10"/>
  <c r="S223" i="10"/>
  <c r="AD223" i="10"/>
  <c r="BD223" i="10"/>
  <c r="BB223" i="10"/>
  <c r="BA223" i="10"/>
  <c r="AZ223" i="10"/>
  <c r="AL223" i="10"/>
  <c r="AK223" i="10"/>
  <c r="AI223" i="10"/>
  <c r="AH223" i="10"/>
  <c r="AU223" i="10"/>
  <c r="AS223" i="10"/>
  <c r="AO223" i="10"/>
  <c r="AN223" i="10"/>
  <c r="AW223" i="10"/>
  <c r="Q223" i="10"/>
  <c r="AY223" i="10"/>
  <c r="BB267" i="10"/>
  <c r="V267" i="10"/>
  <c r="AK267" i="10"/>
  <c r="AE267" i="10"/>
  <c r="BC267" i="10"/>
  <c r="S267" i="10"/>
  <c r="AJ267" i="10"/>
  <c r="AD267" i="10"/>
  <c r="BE267" i="10"/>
  <c r="Q267" i="10"/>
  <c r="BD267" i="10"/>
  <c r="P267" i="10"/>
  <c r="AB267" i="10"/>
  <c r="W267" i="10"/>
  <c r="U267" i="10"/>
  <c r="O267" i="10"/>
  <c r="AL267" i="10"/>
  <c r="AI267" i="10"/>
  <c r="BF267" i="10"/>
  <c r="BA267" i="10"/>
  <c r="AX267" i="10"/>
  <c r="Y267" i="10"/>
  <c r="X267" i="10"/>
  <c r="AZ267" i="10"/>
  <c r="AA267" i="10"/>
  <c r="R267" i="10"/>
  <c r="AT267" i="10"/>
  <c r="AQ267" i="10"/>
  <c r="AM267" i="10"/>
  <c r="AH267" i="10"/>
  <c r="AG267" i="10"/>
  <c r="BG267" i="10"/>
  <c r="AW267" i="10"/>
  <c r="AU267" i="10"/>
  <c r="AS267" i="10"/>
  <c r="AR267" i="10"/>
  <c r="AP267" i="10"/>
  <c r="AY267" i="10"/>
  <c r="AV267" i="10"/>
  <c r="Z267" i="10"/>
  <c r="T267" i="10"/>
  <c r="AO267" i="10"/>
  <c r="AF267" i="10"/>
  <c r="AC267" i="10"/>
  <c r="AN267" i="10"/>
  <c r="AF84" i="10"/>
  <c r="AY84" i="10"/>
  <c r="R84" i="10"/>
  <c r="AG84" i="10"/>
  <c r="AE84" i="10"/>
  <c r="AD84" i="10"/>
  <c r="AC84" i="10"/>
  <c r="V84" i="10"/>
  <c r="BG84" i="10"/>
  <c r="U84" i="10"/>
  <c r="BF84" i="10"/>
  <c r="T84" i="10"/>
  <c r="BE84" i="10"/>
  <c r="S84" i="10"/>
  <c r="AL84" i="10"/>
  <c r="BB84" i="10"/>
  <c r="BA84" i="10"/>
  <c r="AZ84" i="10"/>
  <c r="AX84" i="10"/>
  <c r="AQ84" i="10"/>
  <c r="AN84" i="10"/>
  <c r="BD84" i="10"/>
  <c r="BC84" i="10"/>
  <c r="AW84" i="10"/>
  <c r="AV84" i="10"/>
  <c r="AP84" i="10"/>
  <c r="Z84" i="10"/>
  <c r="W84" i="10"/>
  <c r="Q84" i="10"/>
  <c r="P84" i="10"/>
  <c r="O84" i="10"/>
  <c r="AH84" i="10"/>
  <c r="AB84" i="10"/>
  <c r="AA84" i="10"/>
  <c r="Y84" i="10"/>
  <c r="AT84" i="10"/>
  <c r="AR84" i="10"/>
  <c r="AO84" i="10"/>
  <c r="X84" i="10"/>
  <c r="AM84" i="10"/>
  <c r="AK84" i="10"/>
  <c r="AJ84" i="10"/>
  <c r="AI84" i="10"/>
  <c r="AU84" i="10"/>
  <c r="AS84" i="10"/>
  <c r="AC25" i="10"/>
  <c r="AB25" i="10"/>
  <c r="BG25" i="10"/>
  <c r="AA25" i="10"/>
  <c r="BF25" i="10"/>
  <c r="Z25" i="10"/>
  <c r="AD25" i="10"/>
  <c r="W25" i="10"/>
  <c r="AP25" i="10"/>
  <c r="AO25" i="10"/>
  <c r="AN25" i="10"/>
  <c r="AM25" i="10"/>
  <c r="Q25" i="10"/>
  <c r="P25" i="10"/>
  <c r="BE25" i="10"/>
  <c r="O25" i="10"/>
  <c r="BD25" i="10"/>
  <c r="BB25" i="10"/>
  <c r="AX25" i="10"/>
  <c r="AI25" i="10"/>
  <c r="AH25" i="10"/>
  <c r="AG25" i="10"/>
  <c r="AF25" i="10"/>
  <c r="AK25" i="10"/>
  <c r="AJ25" i="10"/>
  <c r="V25" i="10"/>
  <c r="AE25" i="10"/>
  <c r="Y25" i="10"/>
  <c r="X25" i="10"/>
  <c r="T25" i="10"/>
  <c r="BC25" i="10"/>
  <c r="AU25" i="10"/>
  <c r="BA25" i="10"/>
  <c r="AZ25" i="10"/>
  <c r="AY25" i="10"/>
  <c r="AW25" i="10"/>
  <c r="AV25" i="10"/>
  <c r="AR25" i="10"/>
  <c r="AL25" i="10"/>
  <c r="AS25" i="10"/>
  <c r="AQ25" i="10"/>
  <c r="AT25" i="10"/>
  <c r="S25" i="10"/>
  <c r="R25" i="10"/>
  <c r="U25" i="10"/>
  <c r="AY85" i="10"/>
  <c r="S85" i="10"/>
  <c r="AM85" i="10"/>
  <c r="BB85" i="10"/>
  <c r="U85" i="10"/>
  <c r="BA85" i="10"/>
  <c r="T85" i="10"/>
  <c r="AZ85" i="10"/>
  <c r="R85" i="10"/>
  <c r="AX85" i="10"/>
  <c r="Q85" i="10"/>
  <c r="BF85" i="10"/>
  <c r="O85" i="10"/>
  <c r="BE85" i="10"/>
  <c r="BD85" i="10"/>
  <c r="BC85" i="10"/>
  <c r="AI85" i="10"/>
  <c r="BG85" i="10"/>
  <c r="AW85" i="10"/>
  <c r="AV85" i="10"/>
  <c r="AT85" i="10"/>
  <c r="AQ85" i="10"/>
  <c r="X85" i="10"/>
  <c r="W85" i="10"/>
  <c r="V85" i="10"/>
  <c r="P85" i="10"/>
  <c r="AO85" i="10"/>
  <c r="AK85" i="10"/>
  <c r="AJ85" i="10"/>
  <c r="AH85" i="10"/>
  <c r="AG85" i="10"/>
  <c r="AE85" i="10"/>
  <c r="AD85" i="10"/>
  <c r="AC85" i="10"/>
  <c r="AU85" i="10"/>
  <c r="AS85" i="10"/>
  <c r="AR85" i="10"/>
  <c r="AP85" i="10"/>
  <c r="AL85" i="10"/>
  <c r="Z85" i="10"/>
  <c r="AN85" i="10"/>
  <c r="AF85" i="10"/>
  <c r="AA85" i="10"/>
  <c r="Y85" i="10"/>
  <c r="AB85" i="10"/>
  <c r="AC205" i="10"/>
  <c r="AS205" i="10"/>
  <c r="AM205" i="10"/>
  <c r="AL205" i="10"/>
  <c r="AX205" i="10"/>
  <c r="P205" i="10"/>
  <c r="AZ205" i="10"/>
  <c r="AY205" i="10"/>
  <c r="Y205" i="10"/>
  <c r="X205" i="10"/>
  <c r="AR205" i="10"/>
  <c r="T205" i="10"/>
  <c r="BF205" i="10"/>
  <c r="Q205" i="10"/>
  <c r="AK205" i="10"/>
  <c r="BD205" i="10"/>
  <c r="AW205" i="10"/>
  <c r="AJ205" i="10"/>
  <c r="AI205" i="10"/>
  <c r="AD205" i="10"/>
  <c r="BE205" i="10"/>
  <c r="BC205" i="10"/>
  <c r="AG205" i="10"/>
  <c r="AF205" i="10"/>
  <c r="AA205" i="10"/>
  <c r="BA205" i="10"/>
  <c r="AV205" i="10"/>
  <c r="AE205" i="10"/>
  <c r="AB205" i="10"/>
  <c r="S205" i="10"/>
  <c r="R205" i="10"/>
  <c r="O205" i="10"/>
  <c r="AU205" i="10"/>
  <c r="BG205" i="10"/>
  <c r="BB205" i="10"/>
  <c r="AT205" i="10"/>
  <c r="AQ205" i="10"/>
  <c r="AN205" i="10"/>
  <c r="AH205" i="10"/>
  <c r="Z205" i="10"/>
  <c r="W205" i="10"/>
  <c r="AP205" i="10"/>
  <c r="AO205" i="10"/>
  <c r="V205" i="10"/>
  <c r="U205" i="10"/>
  <c r="AC48" i="10"/>
  <c r="AB48" i="10"/>
  <c r="BG48" i="10"/>
  <c r="AA48" i="10"/>
  <c r="BF48" i="10"/>
  <c r="Z48" i="10"/>
  <c r="AD48" i="10"/>
  <c r="AS48" i="10"/>
  <c r="AR48" i="10"/>
  <c r="AQ48" i="10"/>
  <c r="AP48" i="10"/>
  <c r="U48" i="10"/>
  <c r="T48" i="10"/>
  <c r="R48" i="10"/>
  <c r="AL48" i="10"/>
  <c r="AK48" i="10"/>
  <c r="AJ48" i="10"/>
  <c r="AI48" i="10"/>
  <c r="BE48" i="10"/>
  <c r="BA48" i="10"/>
  <c r="AH48" i="10"/>
  <c r="AG48" i="10"/>
  <c r="AF48" i="10"/>
  <c r="AE48" i="10"/>
  <c r="W48" i="10"/>
  <c r="V48" i="10"/>
  <c r="O48" i="10"/>
  <c r="S48" i="10"/>
  <c r="Q48" i="10"/>
  <c r="P48" i="10"/>
  <c r="BC48" i="10"/>
  <c r="AZ48" i="10"/>
  <c r="AY48" i="10"/>
  <c r="AT48" i="10"/>
  <c r="AX48" i="10"/>
  <c r="AW48" i="10"/>
  <c r="AV48" i="10"/>
  <c r="AU48" i="10"/>
  <c r="AM48" i="10"/>
  <c r="X48" i="10"/>
  <c r="BD48" i="10"/>
  <c r="BB48" i="10"/>
  <c r="AO48" i="10"/>
  <c r="AN48" i="10"/>
  <c r="Y48" i="10"/>
  <c r="AV176" i="10"/>
  <c r="P176" i="10"/>
  <c r="AU176" i="10"/>
  <c r="O176" i="10"/>
  <c r="AL176" i="10"/>
  <c r="AK176" i="10"/>
  <c r="X176" i="10"/>
  <c r="AH176" i="10"/>
  <c r="BA176" i="10"/>
  <c r="AX176" i="10"/>
  <c r="BB176" i="10"/>
  <c r="AZ176" i="10"/>
  <c r="Z176" i="10"/>
  <c r="Y176" i="10"/>
  <c r="AA176" i="10"/>
  <c r="W176" i="10"/>
  <c r="AM176" i="10"/>
  <c r="AJ176" i="10"/>
  <c r="R176" i="10"/>
  <c r="AP176" i="10"/>
  <c r="AO176" i="10"/>
  <c r="AN176" i="10"/>
  <c r="AQ176" i="10"/>
  <c r="AI176" i="10"/>
  <c r="AG176" i="10"/>
  <c r="AF176" i="10"/>
  <c r="BF176" i="10"/>
  <c r="Q176" i="10"/>
  <c r="BG176" i="10"/>
  <c r="AS176" i="10"/>
  <c r="AR176" i="10"/>
  <c r="AE176" i="10"/>
  <c r="AD176" i="10"/>
  <c r="AW176" i="10"/>
  <c r="AT176" i="10"/>
  <c r="AC176" i="10"/>
  <c r="AB176" i="10"/>
  <c r="BE176" i="10"/>
  <c r="U176" i="10"/>
  <c r="T176" i="10"/>
  <c r="S176" i="10"/>
  <c r="BC176" i="10"/>
  <c r="V176" i="10"/>
  <c r="AY176" i="10"/>
  <c r="BD176" i="10"/>
  <c r="AE102" i="10"/>
  <c r="BG102" i="10"/>
  <c r="Z102" i="10"/>
  <c r="AN102" i="10"/>
  <c r="AZ102" i="10"/>
  <c r="Q102" i="10"/>
  <c r="AG102" i="10"/>
  <c r="AF102" i="10"/>
  <c r="AD102" i="10"/>
  <c r="AC102" i="10"/>
  <c r="BA102" i="10"/>
  <c r="AY102" i="10"/>
  <c r="AX102" i="10"/>
  <c r="AW102" i="10"/>
  <c r="BC102" i="10"/>
  <c r="AU102" i="10"/>
  <c r="W102" i="10"/>
  <c r="V102" i="10"/>
  <c r="U102" i="10"/>
  <c r="T102" i="10"/>
  <c r="BE102" i="10"/>
  <c r="AV102" i="10"/>
  <c r="S102" i="10"/>
  <c r="R102" i="10"/>
  <c r="P102" i="10"/>
  <c r="O102" i="10"/>
  <c r="BF102" i="10"/>
  <c r="BD102" i="10"/>
  <c r="BB102" i="10"/>
  <c r="AP102" i="10"/>
  <c r="AA102" i="10"/>
  <c r="AR102" i="10"/>
  <c r="X102" i="10"/>
  <c r="AT102" i="10"/>
  <c r="AK102" i="10"/>
  <c r="AS102" i="10"/>
  <c r="AQ102" i="10"/>
  <c r="AO102" i="10"/>
  <c r="AM102" i="10"/>
  <c r="AL102" i="10"/>
  <c r="AH102" i="10"/>
  <c r="Y102" i="10"/>
  <c r="AB102" i="10"/>
  <c r="AJ102" i="10"/>
  <c r="AI102" i="10"/>
  <c r="AI234" i="10"/>
  <c r="AX234" i="10"/>
  <c r="R234" i="10"/>
  <c r="AJ234" i="10"/>
  <c r="AZ234" i="10"/>
  <c r="Q234" i="10"/>
  <c r="Z234" i="10"/>
  <c r="Y234" i="10"/>
  <c r="AD234" i="10"/>
  <c r="AC234" i="10"/>
  <c r="AP234" i="10"/>
  <c r="AO234" i="10"/>
  <c r="AQ234" i="10"/>
  <c r="AN234" i="10"/>
  <c r="AK234" i="10"/>
  <c r="BC234" i="10"/>
  <c r="BB234" i="10"/>
  <c r="AS234" i="10"/>
  <c r="AM234" i="10"/>
  <c r="BG234" i="10"/>
  <c r="AR234" i="10"/>
  <c r="BE234" i="10"/>
  <c r="AL234" i="10"/>
  <c r="AH234" i="10"/>
  <c r="AA234" i="10"/>
  <c r="BF234" i="10"/>
  <c r="BD234" i="10"/>
  <c r="AW234" i="10"/>
  <c r="AF234" i="10"/>
  <c r="S234" i="10"/>
  <c r="P234" i="10"/>
  <c r="O234" i="10"/>
  <c r="U234" i="10"/>
  <c r="BA234" i="10"/>
  <c r="AY234" i="10"/>
  <c r="AV234" i="10"/>
  <c r="AB234" i="10"/>
  <c r="X234" i="10"/>
  <c r="W234" i="10"/>
  <c r="V234" i="10"/>
  <c r="AU234" i="10"/>
  <c r="AT234" i="10"/>
  <c r="AG234" i="10"/>
  <c r="AE234" i="10"/>
  <c r="T234" i="10"/>
  <c r="AM187" i="10"/>
  <c r="AO187" i="10"/>
  <c r="AN187" i="10"/>
  <c r="AB187" i="10"/>
  <c r="AA187" i="10"/>
  <c r="AL187" i="10"/>
  <c r="AV187" i="10"/>
  <c r="W187" i="10"/>
  <c r="BF187" i="10"/>
  <c r="T187" i="10"/>
  <c r="AU187" i="10"/>
  <c r="X187" i="10"/>
  <c r="S187" i="10"/>
  <c r="BD187" i="10"/>
  <c r="O187" i="10"/>
  <c r="AH187" i="10"/>
  <c r="AG187" i="10"/>
  <c r="AY187" i="10"/>
  <c r="AX187" i="10"/>
  <c r="V187" i="10"/>
  <c r="U187" i="10"/>
  <c r="AK187" i="10"/>
  <c r="AJ187" i="10"/>
  <c r="AD187" i="10"/>
  <c r="BE187" i="10"/>
  <c r="BC187" i="10"/>
  <c r="BB187" i="10"/>
  <c r="BA187" i="10"/>
  <c r="AP187" i="10"/>
  <c r="AE187" i="10"/>
  <c r="Y187" i="10"/>
  <c r="BG187" i="10"/>
  <c r="AT187" i="10"/>
  <c r="AQ187" i="10"/>
  <c r="AR187" i="10"/>
  <c r="AC187" i="10"/>
  <c r="Z187" i="10"/>
  <c r="R187" i="10"/>
  <c r="Q187" i="10"/>
  <c r="AS187" i="10"/>
  <c r="AF187" i="10"/>
  <c r="P187" i="10"/>
  <c r="AZ187" i="10"/>
  <c r="AW187" i="10"/>
  <c r="AI187" i="10"/>
  <c r="AH32" i="10"/>
  <c r="AG32" i="10"/>
  <c r="AF32" i="10"/>
  <c r="AE32" i="10"/>
  <c r="AQ32" i="10"/>
  <c r="AN32" i="10"/>
  <c r="BC32" i="10"/>
  <c r="S32" i="10"/>
  <c r="BB32" i="10"/>
  <c r="R32" i="10"/>
  <c r="BA32" i="10"/>
  <c r="Q32" i="10"/>
  <c r="AZ32" i="10"/>
  <c r="P32" i="10"/>
  <c r="T32" i="10"/>
  <c r="O32" i="10"/>
  <c r="BG32" i="10"/>
  <c r="BE32" i="10"/>
  <c r="AW32" i="10"/>
  <c r="AJ32" i="10"/>
  <c r="AI32" i="10"/>
  <c r="AD32" i="10"/>
  <c r="AC32" i="10"/>
  <c r="AT32" i="10"/>
  <c r="AS32" i="10"/>
  <c r="AM32" i="10"/>
  <c r="AR32" i="10"/>
  <c r="AP32" i="10"/>
  <c r="AO32" i="10"/>
  <c r="AK32" i="10"/>
  <c r="Z32" i="10"/>
  <c r="Y32" i="10"/>
  <c r="X32" i="10"/>
  <c r="W32" i="10"/>
  <c r="BF32" i="10"/>
  <c r="AX32" i="10"/>
  <c r="AU32" i="10"/>
  <c r="V32" i="10"/>
  <c r="U32" i="10"/>
  <c r="BD32" i="10"/>
  <c r="AY32" i="10"/>
  <c r="AV32" i="10"/>
  <c r="AL32" i="10"/>
  <c r="AB32" i="10"/>
  <c r="AA32" i="10"/>
  <c r="AD227" i="10"/>
  <c r="AW227" i="10"/>
  <c r="P227" i="10"/>
  <c r="AF227" i="10"/>
  <c r="BC227" i="10"/>
  <c r="T227" i="10"/>
  <c r="BB227" i="10"/>
  <c r="S227" i="10"/>
  <c r="AN227" i="10"/>
  <c r="AM227" i="10"/>
  <c r="AY227" i="10"/>
  <c r="AX227" i="10"/>
  <c r="AZ227" i="10"/>
  <c r="AV227" i="10"/>
  <c r="AS227" i="10"/>
  <c r="W227" i="10"/>
  <c r="V227" i="10"/>
  <c r="AT227" i="10"/>
  <c r="AQ227" i="10"/>
  <c r="R227" i="10"/>
  <c r="AE227" i="10"/>
  <c r="AA227" i="10"/>
  <c r="U227" i="10"/>
  <c r="X227" i="10"/>
  <c r="Q227" i="10"/>
  <c r="AO227" i="10"/>
  <c r="AL227" i="10"/>
  <c r="BE227" i="10"/>
  <c r="BD227" i="10"/>
  <c r="AR227" i="10"/>
  <c r="O227" i="10"/>
  <c r="BF227" i="10"/>
  <c r="AU227" i="10"/>
  <c r="AC227" i="10"/>
  <c r="AB227" i="10"/>
  <c r="Z227" i="10"/>
  <c r="Y227" i="10"/>
  <c r="BA227" i="10"/>
  <c r="AJ227" i="10"/>
  <c r="AI227" i="10"/>
  <c r="AH227" i="10"/>
  <c r="AG227" i="10"/>
  <c r="BG227" i="10"/>
  <c r="AK227" i="10"/>
  <c r="AP227" i="10"/>
  <c r="BB28" i="10"/>
  <c r="V28" i="10"/>
  <c r="BA28" i="10"/>
  <c r="U28" i="10"/>
  <c r="AZ28" i="10"/>
  <c r="T28" i="10"/>
  <c r="AY28" i="10"/>
  <c r="S28" i="10"/>
  <c r="AM28" i="10"/>
  <c r="AJ28" i="10"/>
  <c r="BC28" i="10"/>
  <c r="O28" i="10"/>
  <c r="AX28" i="10"/>
  <c r="AW28" i="10"/>
  <c r="AV28" i="10"/>
  <c r="R28" i="10"/>
  <c r="Q28" i="10"/>
  <c r="P28" i="10"/>
  <c r="BG28" i="10"/>
  <c r="AU28" i="10"/>
  <c r="AH28" i="10"/>
  <c r="AG28" i="10"/>
  <c r="AF28" i="10"/>
  <c r="AE28" i="10"/>
  <c r="AD28" i="10"/>
  <c r="AC28" i="10"/>
  <c r="AB28" i="10"/>
  <c r="AA28" i="10"/>
  <c r="Y28" i="10"/>
  <c r="Z28" i="10"/>
  <c r="W28" i="10"/>
  <c r="BE28" i="10"/>
  <c r="AP28" i="10"/>
  <c r="BD28" i="10"/>
  <c r="AT28" i="10"/>
  <c r="AS28" i="10"/>
  <c r="AR28" i="10"/>
  <c r="AQ28" i="10"/>
  <c r="AL28" i="10"/>
  <c r="AI28" i="10"/>
  <c r="BF28" i="10"/>
  <c r="AO28" i="10"/>
  <c r="AN28" i="10"/>
  <c r="AK28" i="10"/>
  <c r="X28" i="10"/>
  <c r="AW228" i="10"/>
  <c r="Q228" i="10"/>
  <c r="AK228" i="10"/>
  <c r="BA228" i="10"/>
  <c r="T228" i="10"/>
  <c r="AS228" i="10"/>
  <c r="AR228" i="10"/>
  <c r="AF228" i="10"/>
  <c r="AE228" i="10"/>
  <c r="AQ228" i="10"/>
  <c r="AP228" i="10"/>
  <c r="AY228" i="10"/>
  <c r="AX228" i="10"/>
  <c r="AT228" i="10"/>
  <c r="U228" i="10"/>
  <c r="S228" i="10"/>
  <c r="BD228" i="10"/>
  <c r="BB228" i="10"/>
  <c r="Y228" i="10"/>
  <c r="V228" i="10"/>
  <c r="P228" i="10"/>
  <c r="AN228" i="10"/>
  <c r="AJ228" i="10"/>
  <c r="AD228" i="10"/>
  <c r="AM228" i="10"/>
  <c r="AL228" i="10"/>
  <c r="AB228" i="10"/>
  <c r="AC228" i="10"/>
  <c r="AA228" i="10"/>
  <c r="X228" i="10"/>
  <c r="BG228" i="10"/>
  <c r="BF228" i="10"/>
  <c r="BE228" i="10"/>
  <c r="BC228" i="10"/>
  <c r="AZ228" i="10"/>
  <c r="AV228" i="10"/>
  <c r="O228" i="10"/>
  <c r="AU228" i="10"/>
  <c r="AH228" i="10"/>
  <c r="AO228" i="10"/>
  <c r="AI228" i="10"/>
  <c r="Z228" i="10"/>
  <c r="AG228" i="10"/>
  <c r="W228" i="10"/>
  <c r="R228" i="10"/>
  <c r="AR253" i="10"/>
  <c r="BG253" i="10"/>
  <c r="AA253" i="10"/>
  <c r="AH253" i="10"/>
  <c r="AX253" i="10"/>
  <c r="P253" i="10"/>
  <c r="AS253" i="10"/>
  <c r="AQ253" i="10"/>
  <c r="BC253" i="10"/>
  <c r="AC253" i="10"/>
  <c r="AB253" i="10"/>
  <c r="X253" i="10"/>
  <c r="AN253" i="10"/>
  <c r="AM253" i="10"/>
  <c r="AV253" i="10"/>
  <c r="AU253" i="10"/>
  <c r="AO253" i="10"/>
  <c r="O253" i="10"/>
  <c r="AW253" i="10"/>
  <c r="AP253" i="10"/>
  <c r="Q253" i="10"/>
  <c r="AT253" i="10"/>
  <c r="AG253" i="10"/>
  <c r="AD253" i="10"/>
  <c r="Z253" i="10"/>
  <c r="T253" i="10"/>
  <c r="BD253" i="10"/>
  <c r="BB253" i="10"/>
  <c r="AJ253" i="10"/>
  <c r="AI253" i="10"/>
  <c r="Y253" i="10"/>
  <c r="R253" i="10"/>
  <c r="BA253" i="10"/>
  <c r="AY253" i="10"/>
  <c r="AL253" i="10"/>
  <c r="AK253" i="10"/>
  <c r="AF253" i="10"/>
  <c r="AE253" i="10"/>
  <c r="W253" i="10"/>
  <c r="V253" i="10"/>
  <c r="U253" i="10"/>
  <c r="S253" i="10"/>
  <c r="BF253" i="10"/>
  <c r="BE253" i="10"/>
  <c r="AZ253" i="10"/>
  <c r="AO179" i="10"/>
  <c r="AN179" i="10"/>
  <c r="AM179" i="10"/>
  <c r="AL179" i="10"/>
  <c r="AG179" i="10"/>
  <c r="AY179" i="10"/>
  <c r="AC179" i="10"/>
  <c r="Z179" i="10"/>
  <c r="AR179" i="10"/>
  <c r="AQ179" i="10"/>
  <c r="BD179" i="10"/>
  <c r="P179" i="10"/>
  <c r="BC179" i="10"/>
  <c r="O179" i="10"/>
  <c r="AE179" i="10"/>
  <c r="AD179" i="10"/>
  <c r="AU179" i="10"/>
  <c r="AT179" i="10"/>
  <c r="AV179" i="10"/>
  <c r="Q179" i="10"/>
  <c r="AA179" i="10"/>
  <c r="Y179" i="10"/>
  <c r="X179" i="10"/>
  <c r="W179" i="10"/>
  <c r="AF179" i="10"/>
  <c r="AB179" i="10"/>
  <c r="V179" i="10"/>
  <c r="U179" i="10"/>
  <c r="T179" i="10"/>
  <c r="BE179" i="10"/>
  <c r="BB179" i="10"/>
  <c r="BA179" i="10"/>
  <c r="AZ179" i="10"/>
  <c r="AS179" i="10"/>
  <c r="AP179" i="10"/>
  <c r="AK179" i="10"/>
  <c r="AJ179" i="10"/>
  <c r="BF179" i="10"/>
  <c r="AH179" i="10"/>
  <c r="S179" i="10"/>
  <c r="BG179" i="10"/>
  <c r="AI179" i="10"/>
  <c r="AX179" i="10"/>
  <c r="AW179" i="10"/>
  <c r="R179" i="10"/>
  <c r="AI266" i="10"/>
  <c r="AX266" i="10"/>
  <c r="R266" i="10"/>
  <c r="AR266" i="10"/>
  <c r="AC266" i="10"/>
  <c r="AT266" i="10"/>
  <c r="AN266" i="10"/>
  <c r="X266" i="10"/>
  <c r="W266" i="10"/>
  <c r="AH266" i="10"/>
  <c r="Y266" i="10"/>
  <c r="V266" i="10"/>
  <c r="S266" i="10"/>
  <c r="AL266" i="10"/>
  <c r="AK266" i="10"/>
  <c r="BA266" i="10"/>
  <c r="AZ266" i="10"/>
  <c r="AV266" i="10"/>
  <c r="P266" i="10"/>
  <c r="O266" i="10"/>
  <c r="AS266" i="10"/>
  <c r="AP266" i="10"/>
  <c r="BF266" i="10"/>
  <c r="AY266" i="10"/>
  <c r="AA266" i="10"/>
  <c r="T266" i="10"/>
  <c r="BG266" i="10"/>
  <c r="AB266" i="10"/>
  <c r="Z266" i="10"/>
  <c r="AO266" i="10"/>
  <c r="AM266" i="10"/>
  <c r="AW266" i="10"/>
  <c r="AQ266" i="10"/>
  <c r="AJ266" i="10"/>
  <c r="AG266" i="10"/>
  <c r="AF266" i="10"/>
  <c r="BC266" i="10"/>
  <c r="AE266" i="10"/>
  <c r="BB266" i="10"/>
  <c r="AU266" i="10"/>
  <c r="AD266" i="10"/>
  <c r="U266" i="10"/>
  <c r="BE266" i="10"/>
  <c r="BD266" i="10"/>
  <c r="Q266" i="10"/>
  <c r="AL35" i="10"/>
  <c r="AD35" i="10"/>
  <c r="AC35" i="10"/>
  <c r="AB35" i="10"/>
  <c r="AA35" i="10"/>
  <c r="BD35" i="10"/>
  <c r="S35" i="10"/>
  <c r="BA35" i="10"/>
  <c r="P35" i="10"/>
  <c r="AI35" i="10"/>
  <c r="AH35" i="10"/>
  <c r="AG35" i="10"/>
  <c r="AF35" i="10"/>
  <c r="T35" i="10"/>
  <c r="R35" i="10"/>
  <c r="Q35" i="10"/>
  <c r="O35" i="10"/>
  <c r="BF35" i="10"/>
  <c r="AZ35" i="10"/>
  <c r="AO35" i="10"/>
  <c r="AN35" i="10"/>
  <c r="AM35" i="10"/>
  <c r="AK35" i="10"/>
  <c r="AU35" i="10"/>
  <c r="AP35" i="10"/>
  <c r="AT35" i="10"/>
  <c r="AS35" i="10"/>
  <c r="AR35" i="10"/>
  <c r="AQ35" i="10"/>
  <c r="AE35" i="10"/>
  <c r="X35" i="10"/>
  <c r="W35" i="10"/>
  <c r="V35" i="10"/>
  <c r="U35" i="10"/>
  <c r="BC35" i="10"/>
  <c r="BG35" i="10"/>
  <c r="BE35" i="10"/>
  <c r="AX35" i="10"/>
  <c r="AV35" i="10"/>
  <c r="BB35" i="10"/>
  <c r="AY35" i="10"/>
  <c r="AW35" i="10"/>
  <c r="AJ35" i="10"/>
  <c r="Z35" i="10"/>
  <c r="Y35" i="10"/>
  <c r="BE36" i="10"/>
  <c r="Y36" i="10"/>
  <c r="AY36" i="10"/>
  <c r="R36" i="10"/>
  <c r="AX36" i="10"/>
  <c r="Q36" i="10"/>
  <c r="AW36" i="10"/>
  <c r="P36" i="10"/>
  <c r="AV36" i="10"/>
  <c r="O36" i="10"/>
  <c r="AZ36" i="10"/>
  <c r="AS36" i="10"/>
  <c r="AB36" i="10"/>
  <c r="AA36" i="10"/>
  <c r="Z36" i="10"/>
  <c r="X36" i="10"/>
  <c r="V36" i="10"/>
  <c r="U36" i="10"/>
  <c r="T36" i="10"/>
  <c r="S36" i="10"/>
  <c r="BD36" i="10"/>
  <c r="AM36" i="10"/>
  <c r="AL36" i="10"/>
  <c r="AK36" i="10"/>
  <c r="AJ36" i="10"/>
  <c r="BF36" i="10"/>
  <c r="BG36" i="10"/>
  <c r="BB36" i="10"/>
  <c r="AT36" i="10"/>
  <c r="AR36" i="10"/>
  <c r="AQ36" i="10"/>
  <c r="AP36" i="10"/>
  <c r="AG36" i="10"/>
  <c r="AE36" i="10"/>
  <c r="AD36" i="10"/>
  <c r="AC36" i="10"/>
  <c r="W36" i="10"/>
  <c r="AF36" i="10"/>
  <c r="AN36" i="10"/>
  <c r="AI36" i="10"/>
  <c r="BC36" i="10"/>
  <c r="BA36" i="10"/>
  <c r="AU36" i="10"/>
  <c r="AO36" i="10"/>
  <c r="AH36" i="10"/>
  <c r="AH239" i="10"/>
  <c r="AW239" i="10"/>
  <c r="Q239" i="10"/>
  <c r="AX239" i="10"/>
  <c r="O239" i="10"/>
  <c r="AE239" i="10"/>
  <c r="BD239" i="10"/>
  <c r="T239" i="10"/>
  <c r="BC239" i="10"/>
  <c r="S239" i="10"/>
  <c r="AL239" i="10"/>
  <c r="AK239" i="10"/>
  <c r="AV239" i="10"/>
  <c r="AU239" i="10"/>
  <c r="AM239" i="10"/>
  <c r="AJ239" i="10"/>
  <c r="AF239" i="10"/>
  <c r="BA239" i="10"/>
  <c r="AZ239" i="10"/>
  <c r="AA239" i="10"/>
  <c r="Y239" i="10"/>
  <c r="AY239" i="10"/>
  <c r="AR239" i="10"/>
  <c r="X239" i="10"/>
  <c r="U239" i="10"/>
  <c r="W239" i="10"/>
  <c r="V239" i="10"/>
  <c r="AS239" i="10"/>
  <c r="AQ239" i="10"/>
  <c r="R239" i="10"/>
  <c r="P239" i="10"/>
  <c r="BB239" i="10"/>
  <c r="AT239" i="10"/>
  <c r="AP239" i="10"/>
  <c r="AO239" i="10"/>
  <c r="BF239" i="10"/>
  <c r="BE239" i="10"/>
  <c r="AN239" i="10"/>
  <c r="AI239" i="10"/>
  <c r="AG239" i="10"/>
  <c r="Z239" i="10"/>
  <c r="AB239" i="10"/>
  <c r="AD239" i="10"/>
  <c r="AC239" i="10"/>
  <c r="BG239" i="10"/>
  <c r="AF137" i="10"/>
  <c r="AS137" i="10"/>
  <c r="AK137" i="10"/>
  <c r="AX137" i="10"/>
  <c r="O137" i="10"/>
  <c r="AW137" i="10"/>
  <c r="BC137" i="10"/>
  <c r="R137" i="10"/>
  <c r="BB137" i="10"/>
  <c r="Q137" i="10"/>
  <c r="AY137" i="10"/>
  <c r="AB137" i="10"/>
  <c r="AA137" i="10"/>
  <c r="Z137" i="10"/>
  <c r="Y137" i="10"/>
  <c r="U137" i="10"/>
  <c r="P137" i="10"/>
  <c r="AM137" i="10"/>
  <c r="AL137" i="10"/>
  <c r="AJ137" i="10"/>
  <c r="AI137" i="10"/>
  <c r="AT137" i="10"/>
  <c r="AP137" i="10"/>
  <c r="AH137" i="10"/>
  <c r="AD137" i="10"/>
  <c r="BG137" i="10"/>
  <c r="BF137" i="10"/>
  <c r="BE137" i="10"/>
  <c r="BD137" i="10"/>
  <c r="AZ137" i="10"/>
  <c r="AR137" i="10"/>
  <c r="AQ137" i="10"/>
  <c r="AO137" i="10"/>
  <c r="AN137" i="10"/>
  <c r="AE137" i="10"/>
  <c r="AC137" i="10"/>
  <c r="X137" i="10"/>
  <c r="BA137" i="10"/>
  <c r="AU137" i="10"/>
  <c r="T137" i="10"/>
  <c r="AV137" i="10"/>
  <c r="AG137" i="10"/>
  <c r="W137" i="10"/>
  <c r="V137" i="10"/>
  <c r="S137" i="10"/>
  <c r="AQ42" i="10"/>
  <c r="AD42" i="10"/>
  <c r="AT42" i="10"/>
  <c r="AS42" i="10"/>
  <c r="AR42" i="10"/>
  <c r="AP42" i="10"/>
  <c r="BC42" i="10"/>
  <c r="Q42" i="10"/>
  <c r="AZ42" i="10"/>
  <c r="AC42" i="10"/>
  <c r="AB42" i="10"/>
  <c r="AA42" i="10"/>
  <c r="Z42" i="10"/>
  <c r="AM42" i="10"/>
  <c r="AL42" i="10"/>
  <c r="AK42" i="10"/>
  <c r="AJ42" i="10"/>
  <c r="AH42" i="10"/>
  <c r="Y42" i="10"/>
  <c r="BF42" i="10"/>
  <c r="BE42" i="10"/>
  <c r="BD42" i="10"/>
  <c r="BB42" i="10"/>
  <c r="O42" i="10"/>
  <c r="BG42" i="10"/>
  <c r="BA42" i="10"/>
  <c r="AY42" i="10"/>
  <c r="AO42" i="10"/>
  <c r="AI42" i="10"/>
  <c r="V42" i="10"/>
  <c r="AG42" i="10"/>
  <c r="AF42" i="10"/>
  <c r="AE42" i="10"/>
  <c r="X42" i="10"/>
  <c r="W42" i="10"/>
  <c r="S42" i="10"/>
  <c r="P42" i="10"/>
  <c r="AX42" i="10"/>
  <c r="AV42" i="10"/>
  <c r="AU42" i="10"/>
  <c r="AN42" i="10"/>
  <c r="U42" i="10"/>
  <c r="AW42" i="10"/>
  <c r="T42" i="10"/>
  <c r="R42" i="10"/>
  <c r="AY98" i="10"/>
  <c r="S98" i="10"/>
  <c r="BB98" i="10"/>
  <c r="U98" i="10"/>
  <c r="AA98" i="10"/>
  <c r="AO98" i="10"/>
  <c r="AN98" i="10"/>
  <c r="AM98" i="10"/>
  <c r="AL98" i="10"/>
  <c r="AD98" i="10"/>
  <c r="AC98" i="10"/>
  <c r="AB98" i="10"/>
  <c r="Z98" i="10"/>
  <c r="AV98" i="10"/>
  <c r="AS98" i="10"/>
  <c r="Q98" i="10"/>
  <c r="P98" i="10"/>
  <c r="O98" i="10"/>
  <c r="BG98" i="10"/>
  <c r="BE98" i="10"/>
  <c r="AF98" i="10"/>
  <c r="AE98" i="10"/>
  <c r="Y98" i="10"/>
  <c r="X98" i="10"/>
  <c r="AH98" i="10"/>
  <c r="AG98" i="10"/>
  <c r="W98" i="10"/>
  <c r="V98" i="10"/>
  <c r="BF98" i="10"/>
  <c r="BA98" i="10"/>
  <c r="AZ98" i="10"/>
  <c r="AX98" i="10"/>
  <c r="AW98" i="10"/>
  <c r="AT98" i="10"/>
  <c r="AR98" i="10"/>
  <c r="AQ98" i="10"/>
  <c r="T98" i="10"/>
  <c r="R98" i="10"/>
  <c r="AP98" i="10"/>
  <c r="BD98" i="10"/>
  <c r="BC98" i="10"/>
  <c r="AU98" i="10"/>
  <c r="AI98" i="10"/>
  <c r="AK98" i="10"/>
  <c r="AJ98" i="10"/>
  <c r="BA56" i="10"/>
  <c r="U56" i="10"/>
  <c r="AZ56" i="10"/>
  <c r="T56" i="10"/>
  <c r="AY56" i="10"/>
  <c r="S56" i="10"/>
  <c r="AX56" i="10"/>
  <c r="R56" i="10"/>
  <c r="AH56" i="10"/>
  <c r="AW56" i="10"/>
  <c r="AV56" i="10"/>
  <c r="AU56" i="10"/>
  <c r="AT56" i="10"/>
  <c r="BD56" i="10"/>
  <c r="BC56" i="10"/>
  <c r="BB56" i="10"/>
  <c r="AS56" i="10"/>
  <c r="AA56" i="10"/>
  <c r="Z56" i="10"/>
  <c r="Y56" i="10"/>
  <c r="X56" i="10"/>
  <c r="BG56" i="10"/>
  <c r="BF56" i="10"/>
  <c r="BE56" i="10"/>
  <c r="AQ56" i="10"/>
  <c r="AM56" i="10"/>
  <c r="W56" i="10"/>
  <c r="V56" i="10"/>
  <c r="Q56" i="10"/>
  <c r="P56" i="10"/>
  <c r="AR56" i="10"/>
  <c r="AP56" i="10"/>
  <c r="AJ56" i="10"/>
  <c r="AG56" i="10"/>
  <c r="AF56" i="10"/>
  <c r="O56" i="10"/>
  <c r="AE56" i="10"/>
  <c r="AD56" i="10"/>
  <c r="AC56" i="10"/>
  <c r="AB56" i="10"/>
  <c r="AO56" i="10"/>
  <c r="AN56" i="10"/>
  <c r="AL56" i="10"/>
  <c r="AK56" i="10"/>
  <c r="AI56" i="10"/>
  <c r="BD123" i="10"/>
  <c r="X123" i="10"/>
  <c r="AC123" i="10"/>
  <c r="BB123" i="10"/>
  <c r="T123" i="10"/>
  <c r="AE123" i="10"/>
  <c r="AL123" i="10"/>
  <c r="AZ123" i="10"/>
  <c r="P123" i="10"/>
  <c r="AY123" i="10"/>
  <c r="O123" i="10"/>
  <c r="AX123" i="10"/>
  <c r="AW123" i="10"/>
  <c r="V123" i="10"/>
  <c r="AO123" i="10"/>
  <c r="AN123" i="10"/>
  <c r="AM123" i="10"/>
  <c r="AK123" i="10"/>
  <c r="AH123" i="10"/>
  <c r="AD123" i="10"/>
  <c r="BE123" i="10"/>
  <c r="BC123" i="10"/>
  <c r="BA123" i="10"/>
  <c r="AV123" i="10"/>
  <c r="AG123" i="10"/>
  <c r="AF123" i="10"/>
  <c r="AB123" i="10"/>
  <c r="AA123" i="10"/>
  <c r="AP123" i="10"/>
  <c r="Z123" i="10"/>
  <c r="Y123" i="10"/>
  <c r="W123" i="10"/>
  <c r="U123" i="10"/>
  <c r="R123" i="10"/>
  <c r="Q123" i="10"/>
  <c r="BG123" i="10"/>
  <c r="BF123" i="10"/>
  <c r="AU123" i="10"/>
  <c r="AR123" i="10"/>
  <c r="AJ123" i="10"/>
  <c r="AI123" i="10"/>
  <c r="S123" i="10"/>
  <c r="AT123" i="10"/>
  <c r="AS123" i="10"/>
  <c r="AQ123" i="10"/>
  <c r="AO268" i="10"/>
  <c r="BD268" i="10"/>
  <c r="X268" i="10"/>
  <c r="AX268" i="10"/>
  <c r="R268" i="10"/>
  <c r="AS268" i="10"/>
  <c r="AA268" i="10"/>
  <c r="BE268" i="10"/>
  <c r="U268" i="10"/>
  <c r="AY268" i="10"/>
  <c r="AW268" i="10"/>
  <c r="W268" i="10"/>
  <c r="T268" i="10"/>
  <c r="S268" i="10"/>
  <c r="BG268" i="10"/>
  <c r="O268" i="10"/>
  <c r="AH268" i="10"/>
  <c r="AG268" i="10"/>
  <c r="BF268" i="10"/>
  <c r="AE268" i="10"/>
  <c r="AD268" i="10"/>
  <c r="P268" i="10"/>
  <c r="AN268" i="10"/>
  <c r="AK268" i="10"/>
  <c r="AP268" i="10"/>
  <c r="AF268" i="10"/>
  <c r="BB268" i="10"/>
  <c r="AZ268" i="10"/>
  <c r="Q268" i="10"/>
  <c r="Z268" i="10"/>
  <c r="Y268" i="10"/>
  <c r="AT268" i="10"/>
  <c r="AR268" i="10"/>
  <c r="AM268" i="10"/>
  <c r="AJ268" i="10"/>
  <c r="AB268" i="10"/>
  <c r="V268" i="10"/>
  <c r="AQ268" i="10"/>
  <c r="AC268" i="10"/>
  <c r="BC268" i="10"/>
  <c r="BA268" i="10"/>
  <c r="AV268" i="10"/>
  <c r="AU268" i="10"/>
  <c r="AL268" i="10"/>
  <c r="AI268" i="10"/>
  <c r="AN152" i="10"/>
  <c r="AD152" i="10"/>
  <c r="AC152" i="10"/>
  <c r="AY152" i="10"/>
  <c r="P152" i="10"/>
  <c r="AB152" i="10"/>
  <c r="Z152" i="10"/>
  <c r="Y152" i="10"/>
  <c r="AM152" i="10"/>
  <c r="AR152" i="10"/>
  <c r="AQ152" i="10"/>
  <c r="V152" i="10"/>
  <c r="AS152" i="10"/>
  <c r="AP152" i="10"/>
  <c r="AO152" i="10"/>
  <c r="AG152" i="10"/>
  <c r="BC152" i="10"/>
  <c r="BB152" i="10"/>
  <c r="BA152" i="10"/>
  <c r="AZ152" i="10"/>
  <c r="Q152" i="10"/>
  <c r="AJ152" i="10"/>
  <c r="AI152" i="10"/>
  <c r="AH152" i="10"/>
  <c r="AF152" i="10"/>
  <c r="AE152" i="10"/>
  <c r="AA152" i="10"/>
  <c r="X152" i="10"/>
  <c r="W152" i="10"/>
  <c r="O152" i="10"/>
  <c r="BG152" i="10"/>
  <c r="BD152" i="10"/>
  <c r="AX152" i="10"/>
  <c r="AW152" i="10"/>
  <c r="AV152" i="10"/>
  <c r="AT152" i="10"/>
  <c r="AL152" i="10"/>
  <c r="AK152" i="10"/>
  <c r="BE152" i="10"/>
  <c r="AU152" i="10"/>
  <c r="U152" i="10"/>
  <c r="T152" i="10"/>
  <c r="R152" i="10"/>
  <c r="S152" i="10"/>
  <c r="BF152" i="10"/>
  <c r="BC23" i="10"/>
  <c r="W23" i="10"/>
  <c r="BB23" i="10"/>
  <c r="V23" i="10"/>
  <c r="BA23" i="10"/>
  <c r="U23" i="10"/>
  <c r="AZ23" i="10"/>
  <c r="T23" i="10"/>
  <c r="AR23" i="10"/>
  <c r="AO23" i="10"/>
  <c r="X23" i="10"/>
  <c r="BG23" i="10"/>
  <c r="S23" i="10"/>
  <c r="BF23" i="10"/>
  <c r="R23" i="10"/>
  <c r="BE23" i="10"/>
  <c r="Q23" i="10"/>
  <c r="O23" i="10"/>
  <c r="AI23" i="10"/>
  <c r="AH23" i="10"/>
  <c r="AG23" i="10"/>
  <c r="AF23" i="10"/>
  <c r="BD23" i="10"/>
  <c r="AX23" i="10"/>
  <c r="AY23" i="10"/>
  <c r="AV23" i="10"/>
  <c r="AS23" i="10"/>
  <c r="AQ23" i="10"/>
  <c r="AP23" i="10"/>
  <c r="AN23" i="10"/>
  <c r="AE23" i="10"/>
  <c r="AC23" i="10"/>
  <c r="AB23" i="10"/>
  <c r="AA23" i="10"/>
  <c r="Z23" i="10"/>
  <c r="Y23" i="10"/>
  <c r="P23" i="10"/>
  <c r="AL23" i="10"/>
  <c r="AK23" i="10"/>
  <c r="AJ23" i="10"/>
  <c r="AD23" i="10"/>
  <c r="AU23" i="10"/>
  <c r="AT23" i="10"/>
  <c r="AW23" i="10"/>
  <c r="AM23" i="10"/>
  <c r="BE140" i="10"/>
  <c r="Y140" i="10"/>
  <c r="BD140" i="10"/>
  <c r="X140" i="10"/>
  <c r="AQ140" i="10"/>
  <c r="AM140" i="10"/>
  <c r="BF140" i="10"/>
  <c r="T140" i="10"/>
  <c r="BC140" i="10"/>
  <c r="S140" i="10"/>
  <c r="AG140" i="10"/>
  <c r="AF140" i="10"/>
  <c r="AK140" i="10"/>
  <c r="BA140" i="10"/>
  <c r="AZ140" i="10"/>
  <c r="AY140" i="10"/>
  <c r="AX140" i="10"/>
  <c r="AC140" i="10"/>
  <c r="Z140" i="10"/>
  <c r="AT140" i="10"/>
  <c r="AS140" i="10"/>
  <c r="AR140" i="10"/>
  <c r="AP140" i="10"/>
  <c r="AB140" i="10"/>
  <c r="V140" i="10"/>
  <c r="BB140" i="10"/>
  <c r="AW140" i="10"/>
  <c r="AV140" i="10"/>
  <c r="AU140" i="10"/>
  <c r="AO140" i="10"/>
  <c r="AJ140" i="10"/>
  <c r="BG140" i="10"/>
  <c r="AE140" i="10"/>
  <c r="AN140" i="10"/>
  <c r="AD140" i="10"/>
  <c r="AL140" i="10"/>
  <c r="AI140" i="10"/>
  <c r="U140" i="10"/>
  <c r="AH140" i="10"/>
  <c r="AA140" i="10"/>
  <c r="W140" i="10"/>
  <c r="P140" i="10"/>
  <c r="Q140" i="10"/>
  <c r="R140" i="10"/>
  <c r="O140" i="10"/>
  <c r="AV49" i="10"/>
  <c r="P49" i="10"/>
  <c r="AU49" i="10"/>
  <c r="O49" i="10"/>
  <c r="AT49" i="10"/>
  <c r="AS49" i="10"/>
  <c r="BE49" i="10"/>
  <c r="U49" i="10"/>
  <c r="AJ49" i="10"/>
  <c r="AI49" i="10"/>
  <c r="AH49" i="10"/>
  <c r="AG49" i="10"/>
  <c r="V49" i="10"/>
  <c r="T49" i="10"/>
  <c r="S49" i="10"/>
  <c r="R49" i="10"/>
  <c r="AL49" i="10"/>
  <c r="AK49" i="10"/>
  <c r="AF49" i="10"/>
  <c r="AE49" i="10"/>
  <c r="Z49" i="10"/>
  <c r="Y49" i="10"/>
  <c r="X49" i="10"/>
  <c r="W49" i="10"/>
  <c r="AX49" i="10"/>
  <c r="AW49" i="10"/>
  <c r="AR49" i="10"/>
  <c r="AQ49" i="10"/>
  <c r="BG49" i="10"/>
  <c r="BF49" i="10"/>
  <c r="BD49" i="10"/>
  <c r="BC49" i="10"/>
  <c r="BA49" i="10"/>
  <c r="BB49" i="10"/>
  <c r="AY49" i="10"/>
  <c r="AN49" i="10"/>
  <c r="AM49" i="10"/>
  <c r="AD49" i="10"/>
  <c r="AC49" i="10"/>
  <c r="AZ49" i="10"/>
  <c r="AP49" i="10"/>
  <c r="AO49" i="10"/>
  <c r="AB49" i="10"/>
  <c r="AA49" i="10"/>
  <c r="Q49" i="10"/>
  <c r="AQ226" i="10"/>
  <c r="AB226" i="10"/>
  <c r="AR226" i="10"/>
  <c r="AD226" i="10"/>
  <c r="AC226" i="10"/>
  <c r="AV226" i="10"/>
  <c r="AU226" i="10"/>
  <c r="BF226" i="10"/>
  <c r="U226" i="10"/>
  <c r="BE226" i="10"/>
  <c r="T226" i="10"/>
  <c r="BA226" i="10"/>
  <c r="AZ226" i="10"/>
  <c r="AW226" i="10"/>
  <c r="X226" i="10"/>
  <c r="W226" i="10"/>
  <c r="AN226" i="10"/>
  <c r="AL226" i="10"/>
  <c r="BG226" i="10"/>
  <c r="AT226" i="10"/>
  <c r="R226" i="10"/>
  <c r="O226" i="10"/>
  <c r="AY226" i="10"/>
  <c r="Y226" i="10"/>
  <c r="V226" i="10"/>
  <c r="Z226" i="10"/>
  <c r="S226" i="10"/>
  <c r="AM226" i="10"/>
  <c r="AK226" i="10"/>
  <c r="AA226" i="10"/>
  <c r="BD226" i="10"/>
  <c r="BC226" i="10"/>
  <c r="BB226" i="10"/>
  <c r="AI226" i="10"/>
  <c r="AH226" i="10"/>
  <c r="AG226" i="10"/>
  <c r="AF226" i="10"/>
  <c r="Q226" i="10"/>
  <c r="P226" i="10"/>
  <c r="AJ226" i="10"/>
  <c r="AE226" i="10"/>
  <c r="AS226" i="10"/>
  <c r="AP226" i="10"/>
  <c r="AO226" i="10"/>
  <c r="AX226" i="10"/>
  <c r="AM246" i="10"/>
  <c r="BB246" i="10"/>
  <c r="V246" i="10"/>
  <c r="AP246" i="10"/>
  <c r="BF246" i="10"/>
  <c r="X246" i="10"/>
  <c r="AF246" i="10"/>
  <c r="AE246" i="10"/>
  <c r="AH246" i="10"/>
  <c r="AG246" i="10"/>
  <c r="AB246" i="10"/>
  <c r="AT246" i="10"/>
  <c r="AS246" i="10"/>
  <c r="AN246" i="10"/>
  <c r="AL246" i="10"/>
  <c r="AI246" i="10"/>
  <c r="BA246" i="10"/>
  <c r="AZ246" i="10"/>
  <c r="AD246" i="10"/>
  <c r="AA246" i="10"/>
  <c r="BE246" i="10"/>
  <c r="AY246" i="10"/>
  <c r="AW246" i="10"/>
  <c r="P246" i="10"/>
  <c r="BG246" i="10"/>
  <c r="BD246" i="10"/>
  <c r="AR246" i="10"/>
  <c r="Q246" i="10"/>
  <c r="O246" i="10"/>
  <c r="AJ246" i="10"/>
  <c r="AC246" i="10"/>
  <c r="Y246" i="10"/>
  <c r="W246" i="10"/>
  <c r="U246" i="10"/>
  <c r="T246" i="10"/>
  <c r="BC246" i="10"/>
  <c r="AX246" i="10"/>
  <c r="AV246" i="10"/>
  <c r="AU246" i="10"/>
  <c r="R246" i="10"/>
  <c r="Z246" i="10"/>
  <c r="AQ246" i="10"/>
  <c r="S246" i="10"/>
  <c r="AO246" i="10"/>
  <c r="AK246" i="10"/>
  <c r="AY11" i="10"/>
  <c r="S11" i="10"/>
  <c r="AV11" i="10"/>
  <c r="AS11" i="10"/>
  <c r="AB11" i="10"/>
  <c r="AA11" i="10"/>
  <c r="BG11" i="10"/>
  <c r="Z11" i="10"/>
  <c r="BF11" i="10"/>
  <c r="Y11" i="10"/>
  <c r="AD11" i="10"/>
  <c r="AT11" i="10"/>
  <c r="AR11" i="10"/>
  <c r="AQ11" i="10"/>
  <c r="AP11" i="10"/>
  <c r="BB11" i="10"/>
  <c r="BA11" i="10"/>
  <c r="AZ11" i="10"/>
  <c r="AX11" i="10"/>
  <c r="AU11" i="10"/>
  <c r="AW11" i="10"/>
  <c r="AN11" i="10"/>
  <c r="AK11" i="10"/>
  <c r="AJ11" i="10"/>
  <c r="AI11" i="10"/>
  <c r="AH11" i="10"/>
  <c r="X11" i="10"/>
  <c r="V11" i="10"/>
  <c r="U11" i="10"/>
  <c r="T11" i="10"/>
  <c r="R11" i="10"/>
  <c r="Q11" i="10"/>
  <c r="P11" i="10"/>
  <c r="BE11" i="10"/>
  <c r="BC11" i="10"/>
  <c r="AM11" i="10"/>
  <c r="BD11" i="10"/>
  <c r="AO11" i="10"/>
  <c r="AL11" i="10"/>
  <c r="AE11" i="10"/>
  <c r="AC11" i="10"/>
  <c r="W11" i="10"/>
  <c r="AG11" i="10"/>
  <c r="AF11" i="10"/>
  <c r="AW148" i="10"/>
  <c r="Q148" i="10"/>
  <c r="AV148" i="10"/>
  <c r="P148" i="10"/>
  <c r="BG148" i="10"/>
  <c r="Y148" i="10"/>
  <c r="AF148" i="10"/>
  <c r="X148" i="10"/>
  <c r="W148" i="10"/>
  <c r="U148" i="10"/>
  <c r="BF148" i="10"/>
  <c r="T148" i="10"/>
  <c r="AH148" i="10"/>
  <c r="AX148" i="10"/>
  <c r="AA148" i="10"/>
  <c r="AQ148" i="10"/>
  <c r="AP148" i="10"/>
  <c r="AO148" i="10"/>
  <c r="AN148" i="10"/>
  <c r="AD148" i="10"/>
  <c r="Z148" i="10"/>
  <c r="AY148" i="10"/>
  <c r="AU148" i="10"/>
  <c r="AT148" i="10"/>
  <c r="AS148" i="10"/>
  <c r="BA148" i="10"/>
  <c r="AM148" i="10"/>
  <c r="AC148" i="10"/>
  <c r="AB148" i="10"/>
  <c r="V148" i="10"/>
  <c r="S148" i="10"/>
  <c r="BE148" i="10"/>
  <c r="AI148" i="10"/>
  <c r="R148" i="10"/>
  <c r="O148" i="10"/>
  <c r="AZ148" i="10"/>
  <c r="AR148" i="10"/>
  <c r="AL148" i="10"/>
  <c r="AK148" i="10"/>
  <c r="AG148" i="10"/>
  <c r="BD148" i="10"/>
  <c r="BB148" i="10"/>
  <c r="AJ148" i="10"/>
  <c r="BC148" i="10"/>
  <c r="AE148" i="10"/>
  <c r="AB269" i="10"/>
  <c r="AQ269" i="10"/>
  <c r="AK269" i="10"/>
  <c r="AI269" i="10"/>
  <c r="AZ269" i="10"/>
  <c r="Q269" i="10"/>
  <c r="AU269" i="10"/>
  <c r="AS269" i="10"/>
  <c r="AR269" i="10"/>
  <c r="BD269" i="10"/>
  <c r="R269" i="10"/>
  <c r="T269" i="10"/>
  <c r="S269" i="10"/>
  <c r="BE269" i="10"/>
  <c r="AE269" i="10"/>
  <c r="AD269" i="10"/>
  <c r="V269" i="10"/>
  <c r="U269" i="10"/>
  <c r="AJ269" i="10"/>
  <c r="AH269" i="10"/>
  <c r="AF269" i="10"/>
  <c r="AA269" i="10"/>
  <c r="BB269" i="10"/>
  <c r="AX269" i="10"/>
  <c r="BA269" i="10"/>
  <c r="Z269" i="10"/>
  <c r="W269" i="10"/>
  <c r="Y269" i="10"/>
  <c r="X269" i="10"/>
  <c r="AY269" i="10"/>
  <c r="AW269" i="10"/>
  <c r="AG269" i="10"/>
  <c r="AO269" i="10"/>
  <c r="AN269" i="10"/>
  <c r="AM269" i="10"/>
  <c r="AL269" i="10"/>
  <c r="BG269" i="10"/>
  <c r="AP269" i="10"/>
  <c r="O269" i="10"/>
  <c r="BF269" i="10"/>
  <c r="BC269" i="10"/>
  <c r="AC269" i="10"/>
  <c r="P269" i="10"/>
  <c r="AT269" i="10"/>
  <c r="AV269" i="10"/>
  <c r="AC112" i="10"/>
  <c r="AM112" i="10"/>
  <c r="AG112" i="10"/>
  <c r="BG112" i="10"/>
  <c r="X112" i="10"/>
  <c r="AO112" i="10"/>
  <c r="AN112" i="10"/>
  <c r="AL112" i="10"/>
  <c r="AK112" i="10"/>
  <c r="T112" i="10"/>
  <c r="S112" i="10"/>
  <c r="BF112" i="10"/>
  <c r="R112" i="10"/>
  <c r="BE112" i="10"/>
  <c r="Q112" i="10"/>
  <c r="AF112" i="10"/>
  <c r="AB112" i="10"/>
  <c r="AX112" i="10"/>
  <c r="AW112" i="10"/>
  <c r="AV112" i="10"/>
  <c r="AU112" i="10"/>
  <c r="P112" i="10"/>
  <c r="AP112" i="10"/>
  <c r="AJ112" i="10"/>
  <c r="AI112" i="10"/>
  <c r="AH112" i="10"/>
  <c r="AT112" i="10"/>
  <c r="AS112" i="10"/>
  <c r="AR112" i="10"/>
  <c r="AQ112" i="10"/>
  <c r="Y112" i="10"/>
  <c r="BD112" i="10"/>
  <c r="BC112" i="10"/>
  <c r="AY112" i="10"/>
  <c r="AE112" i="10"/>
  <c r="AD112" i="10"/>
  <c r="AA112" i="10"/>
  <c r="BB112" i="10"/>
  <c r="AZ112" i="10"/>
  <c r="V112" i="10"/>
  <c r="U112" i="10"/>
  <c r="O112" i="10"/>
  <c r="Z112" i="10"/>
  <c r="BA112" i="10"/>
  <c r="W112" i="10"/>
  <c r="BC46" i="10"/>
  <c r="W46" i="10"/>
  <c r="AV46" i="10"/>
  <c r="O46" i="10"/>
  <c r="AE46" i="10"/>
  <c r="AD46" i="10"/>
  <c r="AC46" i="10"/>
  <c r="AB46" i="10"/>
  <c r="AG46" i="10"/>
  <c r="Z46" i="10"/>
  <c r="AS46" i="10"/>
  <c r="AR46" i="10"/>
  <c r="AQ46" i="10"/>
  <c r="AP46" i="10"/>
  <c r="BA46" i="10"/>
  <c r="AZ46" i="10"/>
  <c r="AY46" i="10"/>
  <c r="AX46" i="10"/>
  <c r="AU46" i="10"/>
  <c r="AM46" i="10"/>
  <c r="U46" i="10"/>
  <c r="T46" i="10"/>
  <c r="S46" i="10"/>
  <c r="R46" i="10"/>
  <c r="AL46" i="10"/>
  <c r="AK46" i="10"/>
  <c r="AJ46" i="10"/>
  <c r="AF46" i="10"/>
  <c r="AI46" i="10"/>
  <c r="AH46" i="10"/>
  <c r="Y46" i="10"/>
  <c r="Q46" i="10"/>
  <c r="P46" i="10"/>
  <c r="BD46" i="10"/>
  <c r="BG46" i="10"/>
  <c r="BF46" i="10"/>
  <c r="BE46" i="10"/>
  <c r="AT46" i="10"/>
  <c r="AN46" i="10"/>
  <c r="BB46" i="10"/>
  <c r="AA46" i="10"/>
  <c r="AW46" i="10"/>
  <c r="AO46" i="10"/>
  <c r="X46" i="10"/>
  <c r="V46" i="10"/>
  <c r="AL117" i="10"/>
  <c r="AH117" i="10"/>
  <c r="AZ117" i="10"/>
  <c r="R117" i="10"/>
  <c r="BB117" i="10"/>
  <c r="S117" i="10"/>
  <c r="BA117" i="10"/>
  <c r="P117" i="10"/>
  <c r="AF117" i="10"/>
  <c r="AE117" i="10"/>
  <c r="AD117" i="10"/>
  <c r="AC117" i="10"/>
  <c r="AY117" i="10"/>
  <c r="AX117" i="10"/>
  <c r="AW117" i="10"/>
  <c r="AV117" i="10"/>
  <c r="BD117" i="10"/>
  <c r="AT117" i="10"/>
  <c r="W117" i="10"/>
  <c r="V117" i="10"/>
  <c r="U117" i="10"/>
  <c r="T117" i="10"/>
  <c r="AJ117" i="10"/>
  <c r="AB117" i="10"/>
  <c r="BF117" i="10"/>
  <c r="BE117" i="10"/>
  <c r="BC117" i="10"/>
  <c r="AU117" i="10"/>
  <c r="AO117" i="10"/>
  <c r="AN117" i="10"/>
  <c r="AM117" i="10"/>
  <c r="AK117" i="10"/>
  <c r="Y117" i="10"/>
  <c r="BG117" i="10"/>
  <c r="X117" i="10"/>
  <c r="Q117" i="10"/>
  <c r="O117" i="10"/>
  <c r="AI117" i="10"/>
  <c r="AG117" i="10"/>
  <c r="AA117" i="10"/>
  <c r="Z117" i="10"/>
  <c r="AR117" i="10"/>
  <c r="AP117" i="10"/>
  <c r="AS117" i="10"/>
  <c r="AQ117" i="10"/>
  <c r="BC262" i="10"/>
  <c r="W262" i="10"/>
  <c r="AL262" i="10"/>
  <c r="AM262" i="10"/>
  <c r="BB262" i="10"/>
  <c r="T262" i="10"/>
  <c r="AW262" i="10"/>
  <c r="O262" i="10"/>
  <c r="BA262" i="10"/>
  <c r="P262" i="10"/>
  <c r="AZ262" i="10"/>
  <c r="AA262" i="10"/>
  <c r="AK262" i="10"/>
  <c r="AJ262" i="10"/>
  <c r="AG262" i="10"/>
  <c r="AX262" i="10"/>
  <c r="AV262" i="10"/>
  <c r="AH262" i="10"/>
  <c r="AF262" i="10"/>
  <c r="AC262" i="10"/>
  <c r="AY262" i="10"/>
  <c r="AU262" i="10"/>
  <c r="BD262" i="10"/>
  <c r="AS262" i="10"/>
  <c r="Q262" i="10"/>
  <c r="AO262" i="10"/>
  <c r="AB262" i="10"/>
  <c r="U262" i="10"/>
  <c r="S262" i="10"/>
  <c r="AR262" i="10"/>
  <c r="AQ262" i="10"/>
  <c r="AE262" i="10"/>
  <c r="AD262" i="10"/>
  <c r="BG262" i="10"/>
  <c r="BF262" i="10"/>
  <c r="BE262" i="10"/>
  <c r="AT262" i="10"/>
  <c r="AN262" i="10"/>
  <c r="Z262" i="10"/>
  <c r="V262" i="10"/>
  <c r="R262" i="10"/>
  <c r="AI262" i="10"/>
  <c r="AP262" i="10"/>
  <c r="Y262" i="10"/>
  <c r="X262" i="10"/>
  <c r="AC175" i="10"/>
  <c r="AB175" i="10"/>
  <c r="AW175" i="10"/>
  <c r="O175" i="10"/>
  <c r="AV175" i="10"/>
  <c r="AG175" i="10"/>
  <c r="AP175" i="10"/>
  <c r="BG175" i="10"/>
  <c r="V175" i="10"/>
  <c r="BD175" i="10"/>
  <c r="S175" i="10"/>
  <c r="BC175" i="10"/>
  <c r="BB175" i="10"/>
  <c r="AD175" i="10"/>
  <c r="AA175" i="10"/>
  <c r="W175" i="10"/>
  <c r="U175" i="10"/>
  <c r="AK175" i="10"/>
  <c r="AJ175" i="10"/>
  <c r="AH175" i="10"/>
  <c r="AF175" i="10"/>
  <c r="AE175" i="10"/>
  <c r="BE175" i="10"/>
  <c r="T175" i="10"/>
  <c r="R175" i="10"/>
  <c r="Q175" i="10"/>
  <c r="P175" i="10"/>
  <c r="AN175" i="10"/>
  <c r="AI175" i="10"/>
  <c r="BF175" i="10"/>
  <c r="BA175" i="10"/>
  <c r="AZ175" i="10"/>
  <c r="X175" i="10"/>
  <c r="AY175" i="10"/>
  <c r="AX175" i="10"/>
  <c r="AU175" i="10"/>
  <c r="AT175" i="10"/>
  <c r="AQ175" i="10"/>
  <c r="AL175" i="10"/>
  <c r="AS175" i="10"/>
  <c r="AO175" i="10"/>
  <c r="AM175" i="10"/>
  <c r="Z175" i="10"/>
  <c r="Y175" i="10"/>
  <c r="AR175" i="10"/>
  <c r="AL12" i="10"/>
  <c r="AJ12" i="10"/>
  <c r="AG12" i="10"/>
  <c r="AW12" i="10"/>
  <c r="P12" i="10"/>
  <c r="AV12" i="10"/>
  <c r="O12" i="10"/>
  <c r="AU12" i="10"/>
  <c r="AT12" i="10"/>
  <c r="Z12" i="10"/>
  <c r="X12" i="10"/>
  <c r="AP12" i="10"/>
  <c r="AO12" i="10"/>
  <c r="AN12" i="10"/>
  <c r="AM12" i="10"/>
  <c r="BF12" i="10"/>
  <c r="BE12" i="10"/>
  <c r="BA12" i="10"/>
  <c r="BD12" i="10"/>
  <c r="BC12" i="10"/>
  <c r="BB12" i="10"/>
  <c r="AY12" i="10"/>
  <c r="AR12" i="10"/>
  <c r="AQ12" i="10"/>
  <c r="AK12" i="10"/>
  <c r="AI12" i="10"/>
  <c r="AC12" i="10"/>
  <c r="AA12" i="10"/>
  <c r="Y12" i="10"/>
  <c r="W12" i="10"/>
  <c r="V12" i="10"/>
  <c r="U12" i="10"/>
  <c r="T12" i="10"/>
  <c r="S12" i="10"/>
  <c r="BG12" i="10"/>
  <c r="AX12" i="10"/>
  <c r="AS12" i="10"/>
  <c r="AH12" i="10"/>
  <c r="R12" i="10"/>
  <c r="AF12" i="10"/>
  <c r="AE12" i="10"/>
  <c r="Q12" i="10"/>
  <c r="AD12" i="10"/>
  <c r="AB12" i="10"/>
  <c r="AZ12" i="10"/>
  <c r="BC150" i="10"/>
  <c r="W150" i="10"/>
  <c r="BB150" i="10"/>
  <c r="V150" i="10"/>
  <c r="AK150" i="10"/>
  <c r="AU150" i="10"/>
  <c r="AQ150" i="10"/>
  <c r="AP150" i="10"/>
  <c r="BD150" i="10"/>
  <c r="R150" i="10"/>
  <c r="AY150" i="10"/>
  <c r="AX150" i="10"/>
  <c r="AB150" i="10"/>
  <c r="AS150" i="10"/>
  <c r="AO150" i="10"/>
  <c r="Z150" i="10"/>
  <c r="AT150" i="10"/>
  <c r="AR150" i="10"/>
  <c r="AN150" i="10"/>
  <c r="AM150" i="10"/>
  <c r="AZ150" i="10"/>
  <c r="AL150" i="10"/>
  <c r="O150" i="10"/>
  <c r="AA150" i="10"/>
  <c r="U150" i="10"/>
  <c r="BE150" i="10"/>
  <c r="BA150" i="10"/>
  <c r="AW150" i="10"/>
  <c r="AV150" i="10"/>
  <c r="T150" i="10"/>
  <c r="S150" i="10"/>
  <c r="Q150" i="10"/>
  <c r="P150" i="10"/>
  <c r="AI150" i="10"/>
  <c r="AF150" i="10"/>
  <c r="AE150" i="10"/>
  <c r="AD150" i="10"/>
  <c r="AC150" i="10"/>
  <c r="X150" i="10"/>
  <c r="Y150" i="10"/>
  <c r="AJ150" i="10"/>
  <c r="AG150" i="10"/>
  <c r="BG150" i="10"/>
  <c r="BF150" i="10"/>
  <c r="AH150" i="10"/>
  <c r="AX196" i="10"/>
  <c r="R196" i="10"/>
  <c r="BB196" i="10"/>
  <c r="U196" i="10"/>
  <c r="AI196" i="10"/>
  <c r="AH196" i="10"/>
  <c r="AW196" i="10"/>
  <c r="AV196" i="10"/>
  <c r="Y196" i="10"/>
  <c r="AG196" i="10"/>
  <c r="AY196" i="10"/>
  <c r="AS196" i="10"/>
  <c r="AD196" i="10"/>
  <c r="BA196" i="10"/>
  <c r="AT196" i="10"/>
  <c r="AO196" i="10"/>
  <c r="X196" i="10"/>
  <c r="W196" i="10"/>
  <c r="AN196" i="10"/>
  <c r="AM196" i="10"/>
  <c r="AB196" i="10"/>
  <c r="AA196" i="10"/>
  <c r="AP196" i="10"/>
  <c r="AL196" i="10"/>
  <c r="AK196" i="10"/>
  <c r="AJ196" i="10"/>
  <c r="P196" i="10"/>
  <c r="BD196" i="10"/>
  <c r="BC196" i="10"/>
  <c r="AZ196" i="10"/>
  <c r="AU196" i="10"/>
  <c r="T196" i="10"/>
  <c r="S196" i="10"/>
  <c r="Q196" i="10"/>
  <c r="O196" i="10"/>
  <c r="Z196" i="10"/>
  <c r="V196" i="10"/>
  <c r="AQ196" i="10"/>
  <c r="BG196" i="10"/>
  <c r="AR196" i="10"/>
  <c r="AE196" i="10"/>
  <c r="AC196" i="10"/>
  <c r="BF196" i="10"/>
  <c r="BE196" i="10"/>
  <c r="AF196" i="10"/>
  <c r="AR141" i="10"/>
  <c r="AQ141" i="10"/>
  <c r="AF141" i="10"/>
  <c r="AC141" i="10"/>
  <c r="AW141" i="10"/>
  <c r="AV141" i="10"/>
  <c r="Z141" i="10"/>
  <c r="Y141" i="10"/>
  <c r="AI141" i="10"/>
  <c r="AH141" i="10"/>
  <c r="BA141" i="10"/>
  <c r="AZ141" i="10"/>
  <c r="AY141" i="10"/>
  <c r="AX141" i="10"/>
  <c r="AG141" i="10"/>
  <c r="AB141" i="10"/>
  <c r="BC141" i="10"/>
  <c r="BB141" i="10"/>
  <c r="AU141" i="10"/>
  <c r="AT141" i="10"/>
  <c r="AO141" i="10"/>
  <c r="AL141" i="10"/>
  <c r="AA141" i="10"/>
  <c r="X141" i="10"/>
  <c r="W141" i="10"/>
  <c r="V141" i="10"/>
  <c r="Q141" i="10"/>
  <c r="P141" i="10"/>
  <c r="O141" i="10"/>
  <c r="BF141" i="10"/>
  <c r="AS141" i="10"/>
  <c r="AP141" i="10"/>
  <c r="AN141" i="10"/>
  <c r="AM141" i="10"/>
  <c r="AJ141" i="10"/>
  <c r="AE141" i="10"/>
  <c r="AD141" i="10"/>
  <c r="AK141" i="10"/>
  <c r="U141" i="10"/>
  <c r="T141" i="10"/>
  <c r="S141" i="10"/>
  <c r="BE141" i="10"/>
  <c r="R141" i="10"/>
  <c r="BG141" i="10"/>
  <c r="BD141" i="10"/>
  <c r="BA240" i="10"/>
  <c r="U240" i="10"/>
  <c r="AJ240" i="10"/>
  <c r="AM240" i="10"/>
  <c r="BC240" i="10"/>
  <c r="T240" i="10"/>
  <c r="AU240" i="10"/>
  <c r="AT240" i="10"/>
  <c r="AE240" i="10"/>
  <c r="AD240" i="10"/>
  <c r="AQ240" i="10"/>
  <c r="AP240" i="10"/>
  <c r="AK240" i="10"/>
  <c r="AI240" i="10"/>
  <c r="AF240" i="10"/>
  <c r="AZ240" i="10"/>
  <c r="AY240" i="10"/>
  <c r="AH240" i="10"/>
  <c r="AC240" i="10"/>
  <c r="BG240" i="10"/>
  <c r="BD240" i="10"/>
  <c r="O240" i="10"/>
  <c r="AO240" i="10"/>
  <c r="AG240" i="10"/>
  <c r="Y240" i="10"/>
  <c r="AW240" i="10"/>
  <c r="AV240" i="10"/>
  <c r="AB240" i="10"/>
  <c r="AA240" i="10"/>
  <c r="Z240" i="10"/>
  <c r="V240" i="10"/>
  <c r="BF240" i="10"/>
  <c r="AN240" i="10"/>
  <c r="Q240" i="10"/>
  <c r="BE240" i="10"/>
  <c r="BB240" i="10"/>
  <c r="X240" i="10"/>
  <c r="R240" i="10"/>
  <c r="AR240" i="10"/>
  <c r="AX240" i="10"/>
  <c r="AS240" i="10"/>
  <c r="AL240" i="10"/>
  <c r="W240" i="10"/>
  <c r="P240" i="10"/>
  <c r="S240" i="10"/>
  <c r="AD200" i="10"/>
  <c r="AM200" i="10"/>
  <c r="BG200" i="10"/>
  <c r="Y200" i="10"/>
  <c r="BF200" i="10"/>
  <c r="X200" i="10"/>
  <c r="AY200" i="10"/>
  <c r="O200" i="10"/>
  <c r="AX200" i="10"/>
  <c r="AA200" i="10"/>
  <c r="Z200" i="10"/>
  <c r="BC200" i="10"/>
  <c r="AG200" i="10"/>
  <c r="AC200" i="10"/>
  <c r="AE200" i="10"/>
  <c r="AV200" i="10"/>
  <c r="AS200" i="10"/>
  <c r="AO200" i="10"/>
  <c r="AU200" i="10"/>
  <c r="AT200" i="10"/>
  <c r="AL200" i="10"/>
  <c r="U200" i="10"/>
  <c r="T200" i="10"/>
  <c r="AH200" i="10"/>
  <c r="BE200" i="10"/>
  <c r="BD200" i="10"/>
  <c r="BB200" i="10"/>
  <c r="AB200" i="10"/>
  <c r="W200" i="10"/>
  <c r="V200" i="10"/>
  <c r="S200" i="10"/>
  <c r="AJ200" i="10"/>
  <c r="AI200" i="10"/>
  <c r="AF200" i="10"/>
  <c r="R200" i="10"/>
  <c r="AN200" i="10"/>
  <c r="P200" i="10"/>
  <c r="AZ200" i="10"/>
  <c r="BA200" i="10"/>
  <c r="AW200" i="10"/>
  <c r="AR200" i="10"/>
  <c r="AQ200" i="10"/>
  <c r="AP200" i="10"/>
  <c r="Q200" i="10"/>
  <c r="AK200" i="10"/>
  <c r="AS216" i="10"/>
  <c r="AW216" i="10"/>
  <c r="P216" i="10"/>
  <c r="AE216" i="10"/>
  <c r="BE216" i="10"/>
  <c r="V216" i="10"/>
  <c r="BD216" i="10"/>
  <c r="U216" i="10"/>
  <c r="AT216" i="10"/>
  <c r="AR216" i="10"/>
  <c r="BG216" i="10"/>
  <c r="T216" i="10"/>
  <c r="BF216" i="10"/>
  <c r="AF216" i="10"/>
  <c r="AD216" i="10"/>
  <c r="AP216" i="10"/>
  <c r="AO216" i="10"/>
  <c r="AX216" i="10"/>
  <c r="AU216" i="10"/>
  <c r="S216" i="10"/>
  <c r="O216" i="10"/>
  <c r="AV216" i="10"/>
  <c r="R216" i="10"/>
  <c r="AZ216" i="10"/>
  <c r="Y216" i="10"/>
  <c r="X216" i="10"/>
  <c r="AI216" i="10"/>
  <c r="AH216" i="10"/>
  <c r="Z216" i="10"/>
  <c r="BC216" i="10"/>
  <c r="BB216" i="10"/>
  <c r="BA216" i="10"/>
  <c r="AY216" i="10"/>
  <c r="AQ216" i="10"/>
  <c r="AN216" i="10"/>
  <c r="AL216" i="10"/>
  <c r="AG216" i="10"/>
  <c r="AK216" i="10"/>
  <c r="AJ216" i="10"/>
  <c r="AC216" i="10"/>
  <c r="AB216" i="10"/>
  <c r="Q216" i="10"/>
  <c r="AM216" i="10"/>
  <c r="AA216" i="10"/>
  <c r="W216" i="10"/>
  <c r="AZ245" i="10"/>
  <c r="T245" i="10"/>
  <c r="AI245" i="10"/>
  <c r="BA245" i="10"/>
  <c r="R245" i="10"/>
  <c r="AH245" i="10"/>
  <c r="AO245" i="10"/>
  <c r="AN245" i="10"/>
  <c r="AM245" i="10"/>
  <c r="AL245" i="10"/>
  <c r="AG245" i="10"/>
  <c r="AY245" i="10"/>
  <c r="AX245" i="10"/>
  <c r="AK245" i="10"/>
  <c r="AJ245" i="10"/>
  <c r="AD245" i="10"/>
  <c r="BC245" i="10"/>
  <c r="BB245" i="10"/>
  <c r="X245" i="10"/>
  <c r="V245" i="10"/>
  <c r="AU245" i="10"/>
  <c r="AR245" i="10"/>
  <c r="AB245" i="10"/>
  <c r="BF245" i="10"/>
  <c r="AV245" i="10"/>
  <c r="AA245" i="10"/>
  <c r="Z245" i="10"/>
  <c r="Q245" i="10"/>
  <c r="BG245" i="10"/>
  <c r="BE245" i="10"/>
  <c r="AT245" i="10"/>
  <c r="Y245" i="10"/>
  <c r="AP245" i="10"/>
  <c r="AS245" i="10"/>
  <c r="AE245" i="10"/>
  <c r="AC245" i="10"/>
  <c r="W245" i="10"/>
  <c r="U245" i="10"/>
  <c r="S245" i="10"/>
  <c r="P245" i="10"/>
  <c r="O245" i="10"/>
  <c r="BD245" i="10"/>
  <c r="AQ245" i="10"/>
  <c r="AF245" i="10"/>
  <c r="AW245" i="10"/>
  <c r="AF97" i="10"/>
  <c r="AG97" i="10"/>
  <c r="AL97" i="10"/>
  <c r="AZ97" i="10"/>
  <c r="R97" i="10"/>
  <c r="AY97" i="10"/>
  <c r="Q97" i="10"/>
  <c r="AX97" i="10"/>
  <c r="P97" i="10"/>
  <c r="AW97" i="10"/>
  <c r="O97" i="10"/>
  <c r="AI97" i="10"/>
  <c r="AH97" i="10"/>
  <c r="AE97" i="10"/>
  <c r="AD97" i="10"/>
  <c r="AT97" i="10"/>
  <c r="AQ97" i="10"/>
  <c r="S97" i="10"/>
  <c r="BG97" i="10"/>
  <c r="BB97" i="10"/>
  <c r="AU97" i="10"/>
  <c r="U97" i="10"/>
  <c r="T97" i="10"/>
  <c r="BD97" i="10"/>
  <c r="AM97" i="10"/>
  <c r="AC97" i="10"/>
  <c r="AB97" i="10"/>
  <c r="AA97" i="10"/>
  <c r="Z97" i="10"/>
  <c r="X97" i="10"/>
  <c r="W97" i="10"/>
  <c r="V97" i="10"/>
  <c r="BF97" i="10"/>
  <c r="BE97" i="10"/>
  <c r="BA97" i="10"/>
  <c r="AP97" i="10"/>
  <c r="AS97" i="10"/>
  <c r="AR97" i="10"/>
  <c r="AJ97" i="10"/>
  <c r="AO97" i="10"/>
  <c r="AN97" i="10"/>
  <c r="AK97" i="10"/>
  <c r="AV97" i="10"/>
  <c r="BC97" i="10"/>
  <c r="Y97" i="10"/>
  <c r="AS136" i="10"/>
  <c r="BE136" i="10"/>
  <c r="X136" i="10"/>
  <c r="AV136" i="10"/>
  <c r="Y136" i="10"/>
  <c r="BG136" i="10"/>
  <c r="W136" i="10"/>
  <c r="Z136" i="10"/>
  <c r="V136" i="10"/>
  <c r="BB136" i="10"/>
  <c r="O136" i="10"/>
  <c r="AH136" i="10"/>
  <c r="AG136" i="10"/>
  <c r="AF136" i="10"/>
  <c r="AE136" i="10"/>
  <c r="Q136" i="10"/>
  <c r="AL136" i="10"/>
  <c r="AK136" i="10"/>
  <c r="AJ136" i="10"/>
  <c r="AI136" i="10"/>
  <c r="AD136" i="10"/>
  <c r="AA136" i="10"/>
  <c r="AZ136" i="10"/>
  <c r="AY136" i="10"/>
  <c r="AX136" i="10"/>
  <c r="AW136" i="10"/>
  <c r="AN136" i="10"/>
  <c r="AM136" i="10"/>
  <c r="AC136" i="10"/>
  <c r="AB136" i="10"/>
  <c r="BF136" i="10"/>
  <c r="BD136" i="10"/>
  <c r="BC136" i="10"/>
  <c r="BA136" i="10"/>
  <c r="AP136" i="10"/>
  <c r="P136" i="10"/>
  <c r="AQ136" i="10"/>
  <c r="U136" i="10"/>
  <c r="T136" i="10"/>
  <c r="S136" i="10"/>
  <c r="R136" i="10"/>
  <c r="AT136" i="10"/>
  <c r="AR136" i="10"/>
  <c r="AO136" i="10"/>
  <c r="AU136" i="10"/>
  <c r="AI177" i="10"/>
  <c r="AH177" i="10"/>
  <c r="AA177" i="10"/>
  <c r="Z177" i="10"/>
  <c r="AY177" i="10"/>
  <c r="O177" i="10"/>
  <c r="AB177" i="10"/>
  <c r="AS177" i="10"/>
  <c r="AP177" i="10"/>
  <c r="AW177" i="10"/>
  <c r="AV177" i="10"/>
  <c r="U177" i="10"/>
  <c r="T177" i="10"/>
  <c r="AC177" i="10"/>
  <c r="Y177" i="10"/>
  <c r="AN177" i="10"/>
  <c r="AM177" i="10"/>
  <c r="X177" i="10"/>
  <c r="AZ177" i="10"/>
  <c r="AX177" i="10"/>
  <c r="AU177" i="10"/>
  <c r="AE177" i="10"/>
  <c r="BE177" i="10"/>
  <c r="BD177" i="10"/>
  <c r="BC177" i="10"/>
  <c r="BB177" i="10"/>
  <c r="Q177" i="10"/>
  <c r="AQ177" i="10"/>
  <c r="AO177" i="10"/>
  <c r="AL177" i="10"/>
  <c r="AK177" i="10"/>
  <c r="S177" i="10"/>
  <c r="BG177" i="10"/>
  <c r="BF177" i="10"/>
  <c r="BA177" i="10"/>
  <c r="AJ177" i="10"/>
  <c r="AG177" i="10"/>
  <c r="AF177" i="10"/>
  <c r="AD177" i="10"/>
  <c r="V177" i="10"/>
  <c r="R177" i="10"/>
  <c r="P177" i="10"/>
  <c r="AT177" i="10"/>
  <c r="AR177" i="10"/>
  <c r="W177" i="10"/>
  <c r="AM134" i="10"/>
  <c r="AV134" i="10"/>
  <c r="O134" i="10"/>
  <c r="AI134" i="10"/>
  <c r="AR134" i="10"/>
  <c r="AQ134" i="10"/>
  <c r="AL134" i="10"/>
  <c r="AK134" i="10"/>
  <c r="Y134" i="10"/>
  <c r="AS134" i="10"/>
  <c r="AP134" i="10"/>
  <c r="AO134" i="10"/>
  <c r="AN134" i="10"/>
  <c r="BE134" i="10"/>
  <c r="AC134" i="10"/>
  <c r="AB134" i="10"/>
  <c r="AA134" i="10"/>
  <c r="Z134" i="10"/>
  <c r="BG134" i="10"/>
  <c r="AD134" i="10"/>
  <c r="X134" i="10"/>
  <c r="W134" i="10"/>
  <c r="V134" i="10"/>
  <c r="AF134" i="10"/>
  <c r="T134" i="10"/>
  <c r="BC134" i="10"/>
  <c r="BB134" i="10"/>
  <c r="BA134" i="10"/>
  <c r="AZ134" i="10"/>
  <c r="BF134" i="10"/>
  <c r="BD134" i="10"/>
  <c r="AT134" i="10"/>
  <c r="P134" i="10"/>
  <c r="AW134" i="10"/>
  <c r="AU134" i="10"/>
  <c r="AJ134" i="10"/>
  <c r="AH134" i="10"/>
  <c r="AE134" i="10"/>
  <c r="Q134" i="10"/>
  <c r="AG134" i="10"/>
  <c r="U134" i="10"/>
  <c r="S134" i="10"/>
  <c r="R134" i="10"/>
  <c r="AX134" i="10"/>
  <c r="AY134" i="10"/>
  <c r="AH55" i="10"/>
  <c r="AG55" i="10"/>
  <c r="AF55" i="10"/>
  <c r="AE55" i="10"/>
  <c r="AQ55" i="10"/>
  <c r="BF55" i="10"/>
  <c r="V55" i="10"/>
  <c r="BE55" i="10"/>
  <c r="U55" i="10"/>
  <c r="BD55" i="10"/>
  <c r="T55" i="10"/>
  <c r="BC55" i="10"/>
  <c r="S55" i="10"/>
  <c r="AZ55" i="10"/>
  <c r="AY55" i="10"/>
  <c r="AX55" i="10"/>
  <c r="AW55" i="10"/>
  <c r="AA55" i="10"/>
  <c r="Z55" i="10"/>
  <c r="Y55" i="10"/>
  <c r="X55" i="10"/>
  <c r="AR55" i="10"/>
  <c r="AP55" i="10"/>
  <c r="AO55" i="10"/>
  <c r="AN55" i="10"/>
  <c r="AL55" i="10"/>
  <c r="AD55" i="10"/>
  <c r="AT55" i="10"/>
  <c r="AS55" i="10"/>
  <c r="AM55" i="10"/>
  <c r="AK55" i="10"/>
  <c r="AI55" i="10"/>
  <c r="AJ55" i="10"/>
  <c r="AB55" i="10"/>
  <c r="Q55" i="10"/>
  <c r="P55" i="10"/>
  <c r="O55" i="10"/>
  <c r="BA55" i="10"/>
  <c r="AU55" i="10"/>
  <c r="AC55" i="10"/>
  <c r="W55" i="10"/>
  <c r="R55" i="10"/>
  <c r="BG55" i="10"/>
  <c r="BB55" i="10"/>
  <c r="AV55" i="10"/>
  <c r="AN273" i="10"/>
  <c r="BC273" i="10"/>
  <c r="W273" i="10"/>
  <c r="AW273" i="10"/>
  <c r="Q273" i="10"/>
  <c r="AF273" i="10"/>
  <c r="AV273" i="10"/>
  <c r="AR273" i="10"/>
  <c r="AQ273" i="10"/>
  <c r="V273" i="10"/>
  <c r="U273" i="10"/>
  <c r="AG273" i="10"/>
  <c r="BD273" i="10"/>
  <c r="BB273" i="10"/>
  <c r="AY273" i="10"/>
  <c r="Z273" i="10"/>
  <c r="Y273" i="10"/>
  <c r="AS273" i="10"/>
  <c r="AP273" i="10"/>
  <c r="AL273" i="10"/>
  <c r="AH273" i="10"/>
  <c r="AD273" i="10"/>
  <c r="BG273" i="10"/>
  <c r="BA273" i="10"/>
  <c r="X273" i="10"/>
  <c r="O273" i="10"/>
  <c r="BF273" i="10"/>
  <c r="AX273" i="10"/>
  <c r="AM273" i="10"/>
  <c r="AJ273" i="10"/>
  <c r="AI273" i="10"/>
  <c r="S273" i="10"/>
  <c r="R273" i="10"/>
  <c r="P273" i="10"/>
  <c r="AU273" i="10"/>
  <c r="AT273" i="10"/>
  <c r="BE273" i="10"/>
  <c r="AO273" i="10"/>
  <c r="AZ273" i="10"/>
  <c r="AK273" i="10"/>
  <c r="AE273" i="10"/>
  <c r="AC273" i="10"/>
  <c r="AB273" i="10"/>
  <c r="AA273" i="10"/>
  <c r="T273" i="10"/>
  <c r="AU31" i="10"/>
  <c r="O31" i="10"/>
  <c r="AT31" i="10"/>
  <c r="AS31" i="10"/>
  <c r="AR31" i="10"/>
  <c r="AZ31" i="10"/>
  <c r="P31" i="10"/>
  <c r="AW31" i="10"/>
  <c r="AB31" i="10"/>
  <c r="AA31" i="10"/>
  <c r="Z31" i="10"/>
  <c r="Y31" i="10"/>
  <c r="S31" i="10"/>
  <c r="R31" i="10"/>
  <c r="BG31" i="10"/>
  <c r="Q31" i="10"/>
  <c r="BF31" i="10"/>
  <c r="BD31" i="10"/>
  <c r="AY31" i="10"/>
  <c r="AI31" i="10"/>
  <c r="AH31" i="10"/>
  <c r="AG31" i="10"/>
  <c r="AF31" i="10"/>
  <c r="AC31" i="10"/>
  <c r="X31" i="10"/>
  <c r="W31" i="10"/>
  <c r="V31" i="10"/>
  <c r="T31" i="10"/>
  <c r="U31" i="10"/>
  <c r="BB31" i="10"/>
  <c r="AX31" i="10"/>
  <c r="AV31" i="10"/>
  <c r="AQ31" i="10"/>
  <c r="AM31" i="10"/>
  <c r="AP31" i="10"/>
  <c r="AO31" i="10"/>
  <c r="AN31" i="10"/>
  <c r="AJ31" i="10"/>
  <c r="AD31" i="10"/>
  <c r="BC31" i="10"/>
  <c r="BA31" i="10"/>
  <c r="AL31" i="10"/>
  <c r="AK31" i="10"/>
  <c r="AE31" i="10"/>
  <c r="BE31" i="10"/>
  <c r="AL86" i="10"/>
  <c r="AA86" i="10"/>
  <c r="AP86" i="10"/>
  <c r="AO86" i="10"/>
  <c r="AN86" i="10"/>
  <c r="AM86" i="10"/>
  <c r="AY86" i="10"/>
  <c r="AX86" i="10"/>
  <c r="AW86" i="10"/>
  <c r="AV86" i="10"/>
  <c r="AG86" i="10"/>
  <c r="BE86" i="10"/>
  <c r="O86" i="10"/>
  <c r="BD86" i="10"/>
  <c r="BC86" i="10"/>
  <c r="BB86" i="10"/>
  <c r="BF86" i="10"/>
  <c r="Z86" i="10"/>
  <c r="Y86" i="10"/>
  <c r="X86" i="10"/>
  <c r="W86" i="10"/>
  <c r="AH86" i="10"/>
  <c r="AF86" i="10"/>
  <c r="AE86" i="10"/>
  <c r="AD86" i="10"/>
  <c r="T86" i="10"/>
  <c r="BG86" i="10"/>
  <c r="BA86" i="10"/>
  <c r="AZ86" i="10"/>
  <c r="AT86" i="10"/>
  <c r="AS86" i="10"/>
  <c r="AR86" i="10"/>
  <c r="AQ86" i="10"/>
  <c r="AK86" i="10"/>
  <c r="AJ86" i="10"/>
  <c r="AI86" i="10"/>
  <c r="AB86" i="10"/>
  <c r="AU86" i="10"/>
  <c r="AC86" i="10"/>
  <c r="U86" i="10"/>
  <c r="Q86" i="10"/>
  <c r="P86" i="10"/>
  <c r="S86" i="10"/>
  <c r="R86" i="10"/>
  <c r="V86" i="10"/>
  <c r="BB208" i="10"/>
  <c r="V208" i="10"/>
  <c r="AP208" i="10"/>
  <c r="AO208" i="10"/>
  <c r="AR208" i="10"/>
  <c r="AQ208" i="10"/>
  <c r="BC208" i="10"/>
  <c r="S208" i="10"/>
  <c r="AE208" i="10"/>
  <c r="AD208" i="10"/>
  <c r="AS208" i="10"/>
  <c r="AN208" i="10"/>
  <c r="AM208" i="10"/>
  <c r="P208" i="10"/>
  <c r="BE208" i="10"/>
  <c r="AX208" i="10"/>
  <c r="X208" i="10"/>
  <c r="T208" i="10"/>
  <c r="O208" i="10"/>
  <c r="BG208" i="10"/>
  <c r="AG208" i="10"/>
  <c r="AF208" i="10"/>
  <c r="AC208" i="10"/>
  <c r="AB208" i="10"/>
  <c r="Y208" i="10"/>
  <c r="AW208" i="10"/>
  <c r="AV208" i="10"/>
  <c r="BA208" i="10"/>
  <c r="AH208" i="10"/>
  <c r="AA208" i="10"/>
  <c r="Z208" i="10"/>
  <c r="W208" i="10"/>
  <c r="AZ208" i="10"/>
  <c r="BD208" i="10"/>
  <c r="AK208" i="10"/>
  <c r="U208" i="10"/>
  <c r="AY208" i="10"/>
  <c r="AU208" i="10"/>
  <c r="AT208" i="10"/>
  <c r="AL208" i="10"/>
  <c r="AJ208" i="10"/>
  <c r="BF208" i="10"/>
  <c r="R208" i="10"/>
  <c r="AI208" i="10"/>
  <c r="Q208" i="10"/>
  <c r="AG92" i="10"/>
  <c r="BG92" i="10"/>
  <c r="Z92" i="10"/>
  <c r="BE92" i="10"/>
  <c r="W92" i="10"/>
  <c r="AM92" i="10"/>
  <c r="AL92" i="10"/>
  <c r="AK92" i="10"/>
  <c r="AJ92" i="10"/>
  <c r="BD92" i="10"/>
  <c r="Q92" i="10"/>
  <c r="BC92" i="10"/>
  <c r="P92" i="10"/>
  <c r="BB92" i="10"/>
  <c r="O92" i="10"/>
  <c r="BA92" i="10"/>
  <c r="AI92" i="10"/>
  <c r="BF92" i="10"/>
  <c r="AZ92" i="10"/>
  <c r="AY92" i="10"/>
  <c r="AW92" i="10"/>
  <c r="Y92" i="10"/>
  <c r="X92" i="10"/>
  <c r="V92" i="10"/>
  <c r="U92" i="10"/>
  <c r="AD92" i="10"/>
  <c r="AC92" i="10"/>
  <c r="AB92" i="10"/>
  <c r="AA92" i="10"/>
  <c r="AV92" i="10"/>
  <c r="AU92" i="10"/>
  <c r="AT92" i="10"/>
  <c r="AS92" i="10"/>
  <c r="AQ92" i="10"/>
  <c r="AP92" i="10"/>
  <c r="AO92" i="10"/>
  <c r="AH92" i="10"/>
  <c r="AX92" i="10"/>
  <c r="AR92" i="10"/>
  <c r="AN92" i="10"/>
  <c r="R92" i="10"/>
  <c r="AF92" i="10"/>
  <c r="AE92" i="10"/>
  <c r="S92" i="10"/>
  <c r="T92" i="10"/>
  <c r="BE220" i="10"/>
  <c r="Y220" i="10"/>
  <c r="AH220" i="10"/>
  <c r="AW220" i="10"/>
  <c r="P220" i="10"/>
  <c r="BA220" i="10"/>
  <c r="R220" i="10"/>
  <c r="AZ220" i="10"/>
  <c r="Q220" i="10"/>
  <c r="BC220" i="10"/>
  <c r="O220" i="10"/>
  <c r="BB220" i="10"/>
  <c r="AC220" i="10"/>
  <c r="AB220" i="10"/>
  <c r="W220" i="10"/>
  <c r="V220" i="10"/>
  <c r="AK220" i="10"/>
  <c r="AJ220" i="10"/>
  <c r="AL220" i="10"/>
  <c r="AF220" i="10"/>
  <c r="AM220" i="10"/>
  <c r="BD220" i="10"/>
  <c r="AU220" i="10"/>
  <c r="AG220" i="10"/>
  <c r="AE220" i="10"/>
  <c r="BG220" i="10"/>
  <c r="BF220" i="10"/>
  <c r="AV220" i="10"/>
  <c r="U220" i="10"/>
  <c r="AY220" i="10"/>
  <c r="AX220" i="10"/>
  <c r="AT220" i="10"/>
  <c r="AS220" i="10"/>
  <c r="AP220" i="10"/>
  <c r="AN220" i="10"/>
  <c r="AI220" i="10"/>
  <c r="AD220" i="10"/>
  <c r="AA220" i="10"/>
  <c r="T220" i="10"/>
  <c r="S220" i="10"/>
  <c r="AQ220" i="10"/>
  <c r="X220" i="10"/>
  <c r="Z220" i="10"/>
  <c r="AR220" i="10"/>
  <c r="AO220" i="10"/>
  <c r="AB30" i="10"/>
  <c r="BG30" i="10"/>
  <c r="AA30" i="10"/>
  <c r="BF30" i="10"/>
  <c r="Z30" i="10"/>
  <c r="BE30" i="10"/>
  <c r="Y30" i="10"/>
  <c r="U30" i="10"/>
  <c r="BB30" i="10"/>
  <c r="R30" i="10"/>
  <c r="AK30" i="10"/>
  <c r="AJ30" i="10"/>
  <c r="AI30" i="10"/>
  <c r="AH30" i="10"/>
  <c r="P30" i="10"/>
  <c r="O30" i="10"/>
  <c r="BD30" i="10"/>
  <c r="BA30" i="10"/>
  <c r="AW30" i="10"/>
  <c r="AL30" i="10"/>
  <c r="AG30" i="10"/>
  <c r="AF30" i="10"/>
  <c r="AE30" i="10"/>
  <c r="AZ30" i="10"/>
  <c r="AV30" i="10"/>
  <c r="AU30" i="10"/>
  <c r="AT30" i="10"/>
  <c r="AS30" i="10"/>
  <c r="AN30" i="10"/>
  <c r="AD30" i="10"/>
  <c r="AC30" i="10"/>
  <c r="S30" i="10"/>
  <c r="X30" i="10"/>
  <c r="W30" i="10"/>
  <c r="V30" i="10"/>
  <c r="T30" i="10"/>
  <c r="AX30" i="10"/>
  <c r="AO30" i="10"/>
  <c r="AR30" i="10"/>
  <c r="BC30" i="10"/>
  <c r="AY30" i="10"/>
  <c r="AQ30" i="10"/>
  <c r="AP30" i="10"/>
  <c r="AM30" i="10"/>
  <c r="Q30" i="10"/>
  <c r="AP24" i="10"/>
  <c r="AO24" i="10"/>
  <c r="AN24" i="10"/>
  <c r="AM24" i="10"/>
  <c r="AI24" i="10"/>
  <c r="AF24" i="10"/>
  <c r="AY24" i="10"/>
  <c r="O24" i="10"/>
  <c r="AX24" i="10"/>
  <c r="AW24" i="10"/>
  <c r="AV24" i="10"/>
  <c r="T24" i="10"/>
  <c r="S24" i="10"/>
  <c r="R24" i="10"/>
  <c r="BG24" i="10"/>
  <c r="Q24" i="10"/>
  <c r="AG24" i="10"/>
  <c r="AE24" i="10"/>
  <c r="AD24" i="10"/>
  <c r="AC24" i="10"/>
  <c r="V24" i="10"/>
  <c r="U24" i="10"/>
  <c r="P24" i="10"/>
  <c r="BF24" i="10"/>
  <c r="BE24" i="10"/>
  <c r="BD24" i="10"/>
  <c r="BC24" i="10"/>
  <c r="AT24" i="10"/>
  <c r="AR24" i="10"/>
  <c r="AQ24" i="10"/>
  <c r="AB24" i="10"/>
  <c r="AL24" i="10"/>
  <c r="AK24" i="10"/>
  <c r="AJ24" i="10"/>
  <c r="AH24" i="10"/>
  <c r="Y24" i="10"/>
  <c r="W24" i="10"/>
  <c r="BB24" i="10"/>
  <c r="AU24" i="10"/>
  <c r="BA24" i="10"/>
  <c r="AZ24" i="10"/>
  <c r="AS24" i="10"/>
  <c r="AA24" i="10"/>
  <c r="Z24" i="10"/>
  <c r="X24" i="10"/>
  <c r="AX16" i="10"/>
  <c r="R16" i="10"/>
  <c r="AW16" i="10"/>
  <c r="Q16" i="10"/>
  <c r="AV16" i="10"/>
  <c r="P16" i="10"/>
  <c r="AU16" i="10"/>
  <c r="O16" i="10"/>
  <c r="AE16" i="10"/>
  <c r="AB16" i="10"/>
  <c r="AQ16" i="10"/>
  <c r="AP16" i="10"/>
  <c r="AO16" i="10"/>
  <c r="AN16" i="10"/>
  <c r="S16" i="10"/>
  <c r="BG16" i="10"/>
  <c r="AH16" i="10"/>
  <c r="AG16" i="10"/>
  <c r="AF16" i="10"/>
  <c r="AD16" i="10"/>
  <c r="AL16" i="10"/>
  <c r="AK16" i="10"/>
  <c r="AJ16" i="10"/>
  <c r="AA16" i="10"/>
  <c r="AI16" i="10"/>
  <c r="AC16" i="10"/>
  <c r="Y16" i="10"/>
  <c r="V16" i="10"/>
  <c r="U16" i="10"/>
  <c r="T16" i="10"/>
  <c r="BF16" i="10"/>
  <c r="AZ16" i="10"/>
  <c r="BE16" i="10"/>
  <c r="BD16" i="10"/>
  <c r="BC16" i="10"/>
  <c r="BB16" i="10"/>
  <c r="BA16" i="10"/>
  <c r="AS16" i="10"/>
  <c r="AM16" i="10"/>
  <c r="W16" i="10"/>
  <c r="Z16" i="10"/>
  <c r="AR16" i="10"/>
  <c r="AY16" i="10"/>
  <c r="AT16" i="10"/>
  <c r="X16" i="10"/>
  <c r="AL139" i="10"/>
  <c r="BB139" i="10"/>
  <c r="U139" i="10"/>
  <c r="AW139" i="10"/>
  <c r="O139" i="10"/>
  <c r="AD139" i="10"/>
  <c r="AC139" i="10"/>
  <c r="AN139" i="10"/>
  <c r="AM139" i="10"/>
  <c r="AP139" i="10"/>
  <c r="BF139" i="10"/>
  <c r="R139" i="10"/>
  <c r="BE139" i="10"/>
  <c r="Q139" i="10"/>
  <c r="BD139" i="10"/>
  <c r="P139" i="10"/>
  <c r="BC139" i="10"/>
  <c r="Z139" i="10"/>
  <c r="W139" i="10"/>
  <c r="AR139" i="10"/>
  <c r="AQ139" i="10"/>
  <c r="AO139" i="10"/>
  <c r="AK139" i="10"/>
  <c r="AH139" i="10"/>
  <c r="AG139" i="10"/>
  <c r="AF139" i="10"/>
  <c r="AE139" i="10"/>
  <c r="S139" i="10"/>
  <c r="AV139" i="10"/>
  <c r="AU139" i="10"/>
  <c r="AT139" i="10"/>
  <c r="AS139" i="10"/>
  <c r="BG139" i="10"/>
  <c r="AY139" i="10"/>
  <c r="AX139" i="10"/>
  <c r="AJ139" i="10"/>
  <c r="AI139" i="10"/>
  <c r="AA139" i="10"/>
  <c r="Y139" i="10"/>
  <c r="X139" i="10"/>
  <c r="V139" i="10"/>
  <c r="T139" i="10"/>
  <c r="AZ139" i="10"/>
  <c r="AB139" i="10"/>
  <c r="BA139" i="10"/>
  <c r="AE222" i="10"/>
  <c r="AQ222" i="10"/>
  <c r="BF222" i="10"/>
  <c r="Y222" i="10"/>
  <c r="AH222" i="10"/>
  <c r="AG222" i="10"/>
  <c r="AN222" i="10"/>
  <c r="AM222" i="10"/>
  <c r="AY222" i="10"/>
  <c r="AX222" i="10"/>
  <c r="S222" i="10"/>
  <c r="R222" i="10"/>
  <c r="AD222" i="10"/>
  <c r="AC222" i="10"/>
  <c r="W222" i="10"/>
  <c r="U222" i="10"/>
  <c r="AS222" i="10"/>
  <c r="AO222" i="10"/>
  <c r="BD222" i="10"/>
  <c r="AA222" i="10"/>
  <c r="V222" i="10"/>
  <c r="O222" i="10"/>
  <c r="AW222" i="10"/>
  <c r="AV222" i="10"/>
  <c r="AL222" i="10"/>
  <c r="AU222" i="10"/>
  <c r="AT222" i="10"/>
  <c r="AK222" i="10"/>
  <c r="Q222" i="10"/>
  <c r="BE222" i="10"/>
  <c r="BC222" i="10"/>
  <c r="BB222" i="10"/>
  <c r="BA222" i="10"/>
  <c r="AB222" i="10"/>
  <c r="T222" i="10"/>
  <c r="Z222" i="10"/>
  <c r="AJ222" i="10"/>
  <c r="X222" i="10"/>
  <c r="P222" i="10"/>
  <c r="AZ222" i="10"/>
  <c r="AR222" i="10"/>
  <c r="AP222" i="10"/>
  <c r="AI222" i="10"/>
  <c r="AF222" i="10"/>
  <c r="BG222" i="10"/>
  <c r="AG63" i="10"/>
  <c r="BA63" i="10"/>
  <c r="T63" i="10"/>
  <c r="AJ63" i="10"/>
  <c r="AI63" i="10"/>
  <c r="AH63" i="10"/>
  <c r="AF63" i="10"/>
  <c r="Y63" i="10"/>
  <c r="AS63" i="10"/>
  <c r="AR63" i="10"/>
  <c r="AQ63" i="10"/>
  <c r="AP63" i="10"/>
  <c r="BE63" i="10"/>
  <c r="BD63" i="10"/>
  <c r="BC63" i="10"/>
  <c r="BB63" i="10"/>
  <c r="AD63" i="10"/>
  <c r="AA63" i="10"/>
  <c r="Z63" i="10"/>
  <c r="X63" i="10"/>
  <c r="W63" i="10"/>
  <c r="AY63" i="10"/>
  <c r="AX63" i="10"/>
  <c r="AW63" i="10"/>
  <c r="AV63" i="10"/>
  <c r="AT63" i="10"/>
  <c r="AL63" i="10"/>
  <c r="O63" i="10"/>
  <c r="AN63" i="10"/>
  <c r="AM63" i="10"/>
  <c r="AK63" i="10"/>
  <c r="AE63" i="10"/>
  <c r="AB63" i="10"/>
  <c r="AC63" i="10"/>
  <c r="U63" i="10"/>
  <c r="Q63" i="10"/>
  <c r="P63" i="10"/>
  <c r="AZ63" i="10"/>
  <c r="AO63" i="10"/>
  <c r="BF63" i="10"/>
  <c r="AU63" i="10"/>
  <c r="V63" i="10"/>
  <c r="S63" i="10"/>
  <c r="R63" i="10"/>
  <c r="BG63" i="10"/>
  <c r="AW21" i="10"/>
  <c r="Q21" i="10"/>
  <c r="AV21" i="10"/>
  <c r="P21" i="10"/>
  <c r="AU21" i="10"/>
  <c r="O21" i="10"/>
  <c r="AT21" i="10"/>
  <c r="Z21" i="10"/>
  <c r="BG21" i="10"/>
  <c r="W21" i="10"/>
  <c r="AL21" i="10"/>
  <c r="AK21" i="10"/>
  <c r="AJ21" i="10"/>
  <c r="AI21" i="10"/>
  <c r="S21" i="10"/>
  <c r="R21" i="10"/>
  <c r="BF21" i="10"/>
  <c r="AG21" i="10"/>
  <c r="AF21" i="10"/>
  <c r="AE21" i="10"/>
  <c r="AD21" i="10"/>
  <c r="AO21" i="10"/>
  <c r="AB21" i="10"/>
  <c r="AN21" i="10"/>
  <c r="AM21" i="10"/>
  <c r="AH21" i="10"/>
  <c r="AC21" i="10"/>
  <c r="Y21" i="10"/>
  <c r="U21" i="10"/>
  <c r="T21" i="10"/>
  <c r="BE21" i="10"/>
  <c r="BD21" i="10"/>
  <c r="BC21" i="10"/>
  <c r="AY21" i="10"/>
  <c r="BB21" i="10"/>
  <c r="BA21" i="10"/>
  <c r="AZ21" i="10"/>
  <c r="AR21" i="10"/>
  <c r="AP21" i="10"/>
  <c r="AX21" i="10"/>
  <c r="AS21" i="10"/>
  <c r="AQ21" i="10"/>
  <c r="AA21" i="10"/>
  <c r="X21" i="10"/>
  <c r="V21" i="10"/>
  <c r="AZ133" i="10"/>
  <c r="T133" i="10"/>
  <c r="AA133" i="10"/>
  <c r="AT133" i="10"/>
  <c r="BB133" i="10"/>
  <c r="R133" i="10"/>
  <c r="BA133" i="10"/>
  <c r="Q133" i="10"/>
  <c r="AS133" i="10"/>
  <c r="AF133" i="10"/>
  <c r="AV133" i="10"/>
  <c r="AU133" i="10"/>
  <c r="AR133" i="10"/>
  <c r="AQ133" i="10"/>
  <c r="BE133" i="10"/>
  <c r="AD133" i="10"/>
  <c r="AC133" i="10"/>
  <c r="AB133" i="10"/>
  <c r="Z133" i="10"/>
  <c r="BD133" i="10"/>
  <c r="AX133" i="10"/>
  <c r="U133" i="10"/>
  <c r="S133" i="10"/>
  <c r="P133" i="10"/>
  <c r="O133" i="10"/>
  <c r="AI133" i="10"/>
  <c r="AH133" i="10"/>
  <c r="AG133" i="10"/>
  <c r="AE133" i="10"/>
  <c r="W133" i="10"/>
  <c r="V133" i="10"/>
  <c r="BC133" i="10"/>
  <c r="AY133" i="10"/>
  <c r="AW133" i="10"/>
  <c r="AP133" i="10"/>
  <c r="AN133" i="10"/>
  <c r="AM133" i="10"/>
  <c r="AL133" i="10"/>
  <c r="BF133" i="10"/>
  <c r="BG133" i="10"/>
  <c r="AK133" i="10"/>
  <c r="X133" i="10"/>
  <c r="AO133" i="10"/>
  <c r="AJ133" i="10"/>
  <c r="Y133" i="10"/>
  <c r="BD145" i="10"/>
  <c r="X145" i="10"/>
  <c r="BC145" i="10"/>
  <c r="W145" i="10"/>
  <c r="BF145" i="10"/>
  <c r="V145" i="10"/>
  <c r="AA145" i="10"/>
  <c r="AW145" i="10"/>
  <c r="AV145" i="10"/>
  <c r="AN145" i="10"/>
  <c r="AM145" i="10"/>
  <c r="AQ145" i="10"/>
  <c r="S145" i="10"/>
  <c r="AC145" i="10"/>
  <c r="AT145" i="10"/>
  <c r="AS145" i="10"/>
  <c r="AR145" i="10"/>
  <c r="AP145" i="10"/>
  <c r="BE145" i="10"/>
  <c r="AB145" i="10"/>
  <c r="Z145" i="10"/>
  <c r="Y145" i="10"/>
  <c r="U145" i="10"/>
  <c r="BB145" i="10"/>
  <c r="AY145" i="10"/>
  <c r="O145" i="10"/>
  <c r="BA145" i="10"/>
  <c r="AU145" i="10"/>
  <c r="AE145" i="10"/>
  <c r="AD145" i="10"/>
  <c r="T145" i="10"/>
  <c r="R145" i="10"/>
  <c r="BG145" i="10"/>
  <c r="AZ145" i="10"/>
  <c r="AX145" i="10"/>
  <c r="AL145" i="10"/>
  <c r="AK145" i="10"/>
  <c r="AJ145" i="10"/>
  <c r="P145" i="10"/>
  <c r="AH145" i="10"/>
  <c r="AO145" i="10"/>
  <c r="AI145" i="10"/>
  <c r="Q145" i="10"/>
  <c r="AF145" i="10"/>
  <c r="AG145" i="10"/>
  <c r="BD168" i="10"/>
  <c r="X168" i="10"/>
  <c r="BC168" i="10"/>
  <c r="W168" i="10"/>
  <c r="BF168" i="10"/>
  <c r="V168" i="10"/>
  <c r="BE168" i="10"/>
  <c r="U168" i="10"/>
  <c r="BB168" i="10"/>
  <c r="R168" i="10"/>
  <c r="BG168" i="10"/>
  <c r="Q168" i="10"/>
  <c r="AK168" i="10"/>
  <c r="AU168" i="10"/>
  <c r="AT168" i="10"/>
  <c r="Y168" i="10"/>
  <c r="T168" i="10"/>
  <c r="AE168" i="10"/>
  <c r="P168" i="10"/>
  <c r="AN168" i="10"/>
  <c r="AM168" i="10"/>
  <c r="AL168" i="10"/>
  <c r="Z168" i="10"/>
  <c r="AS168" i="10"/>
  <c r="AR168" i="10"/>
  <c r="AQ168" i="10"/>
  <c r="AP168" i="10"/>
  <c r="AD168" i="10"/>
  <c r="AC168" i="10"/>
  <c r="AB168" i="10"/>
  <c r="AA168" i="10"/>
  <c r="AG168" i="10"/>
  <c r="AF168" i="10"/>
  <c r="S168" i="10"/>
  <c r="O168" i="10"/>
  <c r="AW168" i="10"/>
  <c r="AJ168" i="10"/>
  <c r="BA168" i="10"/>
  <c r="AZ168" i="10"/>
  <c r="AY168" i="10"/>
  <c r="AX168" i="10"/>
  <c r="AO168" i="10"/>
  <c r="AI168" i="10"/>
  <c r="AH168" i="10"/>
  <c r="AV168" i="10"/>
  <c r="AX39" i="10"/>
  <c r="R39" i="10"/>
  <c r="AG39" i="10"/>
  <c r="AV39" i="10"/>
  <c r="O39" i="10"/>
  <c r="AU39" i="10"/>
  <c r="AT39" i="10"/>
  <c r="AS39" i="10"/>
  <c r="AF39" i="10"/>
  <c r="AC39" i="10"/>
  <c r="AW39" i="10"/>
  <c r="AR39" i="10"/>
  <c r="AQ39" i="10"/>
  <c r="AP39" i="10"/>
  <c r="AD39" i="10"/>
  <c r="AB39" i="10"/>
  <c r="AA39" i="10"/>
  <c r="Z39" i="10"/>
  <c r="X39" i="10"/>
  <c r="T39" i="10"/>
  <c r="BA39" i="10"/>
  <c r="AZ39" i="10"/>
  <c r="AY39" i="10"/>
  <c r="AO39" i="10"/>
  <c r="BE39" i="10"/>
  <c r="BD39" i="10"/>
  <c r="BC39" i="10"/>
  <c r="BB39" i="10"/>
  <c r="AJ39" i="10"/>
  <c r="AH39" i="10"/>
  <c r="AE39" i="10"/>
  <c r="Y39" i="10"/>
  <c r="S39" i="10"/>
  <c r="W39" i="10"/>
  <c r="V39" i="10"/>
  <c r="U39" i="10"/>
  <c r="AM39" i="10"/>
  <c r="AL39" i="10"/>
  <c r="BG39" i="10"/>
  <c r="Q39" i="10"/>
  <c r="BF39" i="10"/>
  <c r="AN39" i="10"/>
  <c r="AK39" i="10"/>
  <c r="AI39" i="10"/>
  <c r="P39" i="10"/>
  <c r="BF158" i="10"/>
  <c r="Z158" i="10"/>
  <c r="BE158" i="10"/>
  <c r="Y158" i="10"/>
  <c r="AD158" i="10"/>
  <c r="AC158" i="10"/>
  <c r="AH158" i="10"/>
  <c r="BB158" i="10"/>
  <c r="Q158" i="10"/>
  <c r="W158" i="10"/>
  <c r="V158" i="10"/>
  <c r="AL158" i="10"/>
  <c r="AA158" i="10"/>
  <c r="X158" i="10"/>
  <c r="AN158" i="10"/>
  <c r="AG158" i="10"/>
  <c r="AX158" i="10"/>
  <c r="AW158" i="10"/>
  <c r="AV158" i="10"/>
  <c r="AB158" i="10"/>
  <c r="AY158" i="10"/>
  <c r="AU158" i="10"/>
  <c r="AT158" i="10"/>
  <c r="AS158" i="10"/>
  <c r="BC158" i="10"/>
  <c r="P158" i="10"/>
  <c r="O158" i="10"/>
  <c r="AP158" i="10"/>
  <c r="AK158" i="10"/>
  <c r="AF158" i="10"/>
  <c r="AE158" i="10"/>
  <c r="U158" i="10"/>
  <c r="T158" i="10"/>
  <c r="BG158" i="10"/>
  <c r="AI158" i="10"/>
  <c r="AR158" i="10"/>
  <c r="AQ158" i="10"/>
  <c r="AO158" i="10"/>
  <c r="AM158" i="10"/>
  <c r="BA158" i="10"/>
  <c r="AJ158" i="10"/>
  <c r="S158" i="10"/>
  <c r="R158" i="10"/>
  <c r="BD158" i="10"/>
  <c r="AZ158" i="10"/>
  <c r="AT184" i="10"/>
  <c r="AQ184" i="10"/>
  <c r="AP184" i="10"/>
  <c r="BF184" i="10"/>
  <c r="W184" i="10"/>
  <c r="BE184" i="10"/>
  <c r="V184" i="10"/>
  <c r="AE184" i="10"/>
  <c r="AU184" i="10"/>
  <c r="BG184" i="10"/>
  <c r="R184" i="10"/>
  <c r="AJ184" i="10"/>
  <c r="AG184" i="10"/>
  <c r="AC184" i="10"/>
  <c r="AB184" i="10"/>
  <c r="AS184" i="10"/>
  <c r="AR184" i="10"/>
  <c r="AZ184" i="10"/>
  <c r="AY184" i="10"/>
  <c r="O184" i="10"/>
  <c r="AN184" i="10"/>
  <c r="AD184" i="10"/>
  <c r="BD184" i="10"/>
  <c r="BC184" i="10"/>
  <c r="BB184" i="10"/>
  <c r="BA184" i="10"/>
  <c r="AA184" i="10"/>
  <c r="Z184" i="10"/>
  <c r="Y184" i="10"/>
  <c r="X184" i="10"/>
  <c r="S184" i="10"/>
  <c r="Q184" i="10"/>
  <c r="P184" i="10"/>
  <c r="U184" i="10"/>
  <c r="T184" i="10"/>
  <c r="AI184" i="10"/>
  <c r="AV184" i="10"/>
  <c r="AH184" i="10"/>
  <c r="AF184" i="10"/>
  <c r="AX184" i="10"/>
  <c r="AM184" i="10"/>
  <c r="AK184" i="10"/>
  <c r="AW184" i="10"/>
  <c r="AO184" i="10"/>
  <c r="AL184" i="10"/>
  <c r="BG130" i="10"/>
  <c r="AA130" i="10"/>
  <c r="AD130" i="10"/>
  <c r="AS130" i="10"/>
  <c r="AV130" i="10"/>
  <c r="AG130" i="10"/>
  <c r="AY130" i="10"/>
  <c r="AC130" i="10"/>
  <c r="AB130" i="10"/>
  <c r="Z130" i="10"/>
  <c r="Y130" i="10"/>
  <c r="AZ130" i="10"/>
  <c r="AE130" i="10"/>
  <c r="X130" i="10"/>
  <c r="W130" i="10"/>
  <c r="V130" i="10"/>
  <c r="AF130" i="10"/>
  <c r="S130" i="10"/>
  <c r="AT130" i="10"/>
  <c r="AR130" i="10"/>
  <c r="AQ130" i="10"/>
  <c r="AP130" i="10"/>
  <c r="AK130" i="10"/>
  <c r="AJ130" i="10"/>
  <c r="AI130" i="10"/>
  <c r="AH130" i="10"/>
  <c r="BC130" i="10"/>
  <c r="AL130" i="10"/>
  <c r="R130" i="10"/>
  <c r="Q130" i="10"/>
  <c r="P130" i="10"/>
  <c r="O130" i="10"/>
  <c r="BF130" i="10"/>
  <c r="BA130" i="10"/>
  <c r="U130" i="10"/>
  <c r="T130" i="10"/>
  <c r="BE130" i="10"/>
  <c r="BD130" i="10"/>
  <c r="BB130" i="10"/>
  <c r="AX130" i="10"/>
  <c r="AO130" i="10"/>
  <c r="AM130" i="10"/>
  <c r="AW130" i="10"/>
  <c r="AU130" i="10"/>
  <c r="AN130" i="10"/>
  <c r="AE15" i="10"/>
  <c r="AD15" i="10"/>
  <c r="AC15" i="10"/>
  <c r="AB15" i="10"/>
  <c r="AN15" i="10"/>
  <c r="AK15" i="10"/>
  <c r="AZ15" i="10"/>
  <c r="P15" i="10"/>
  <c r="AY15" i="10"/>
  <c r="O15" i="10"/>
  <c r="AX15" i="10"/>
  <c r="AW15" i="10"/>
  <c r="R15" i="10"/>
  <c r="BF15" i="10"/>
  <c r="AI15" i="10"/>
  <c r="AH15" i="10"/>
  <c r="AG15" i="10"/>
  <c r="AF15" i="10"/>
  <c r="Y15" i="10"/>
  <c r="X15" i="10"/>
  <c r="W15" i="10"/>
  <c r="V15" i="10"/>
  <c r="T15" i="10"/>
  <c r="U15" i="10"/>
  <c r="Q15" i="10"/>
  <c r="BG15" i="10"/>
  <c r="BA15" i="10"/>
  <c r="AU15" i="10"/>
  <c r="AT15" i="10"/>
  <c r="AS15" i="10"/>
  <c r="AO15" i="10"/>
  <c r="AR15" i="10"/>
  <c r="AQ15" i="10"/>
  <c r="AP15" i="10"/>
  <c r="AJ15" i="10"/>
  <c r="Z15" i="10"/>
  <c r="BE15" i="10"/>
  <c r="BD15" i="10"/>
  <c r="AA15" i="10"/>
  <c r="BC15" i="10"/>
  <c r="AL15" i="10"/>
  <c r="BB15" i="10"/>
  <c r="AV15" i="10"/>
  <c r="AM15" i="10"/>
  <c r="S15" i="10"/>
  <c r="BE252" i="10"/>
  <c r="Y252" i="10"/>
  <c r="AN252" i="10"/>
  <c r="AS252" i="10"/>
  <c r="AA252" i="10"/>
  <c r="BA252" i="10"/>
  <c r="Q252" i="10"/>
  <c r="AZ252" i="10"/>
  <c r="P252" i="10"/>
  <c r="AI252" i="10"/>
  <c r="AH252" i="10"/>
  <c r="AE252" i="10"/>
  <c r="AU252" i="10"/>
  <c r="AT252" i="10"/>
  <c r="AR252" i="10"/>
  <c r="AQ252" i="10"/>
  <c r="AM252" i="10"/>
  <c r="BG252" i="10"/>
  <c r="AJ252" i="10"/>
  <c r="AF252" i="10"/>
  <c r="BC252" i="10"/>
  <c r="Z252" i="10"/>
  <c r="T252" i="10"/>
  <c r="BF252" i="10"/>
  <c r="AY252" i="10"/>
  <c r="AP252" i="10"/>
  <c r="X252" i="10"/>
  <c r="W252" i="10"/>
  <c r="U252" i="10"/>
  <c r="S252" i="10"/>
  <c r="R252" i="10"/>
  <c r="BD252" i="10"/>
  <c r="BB252" i="10"/>
  <c r="AX252" i="10"/>
  <c r="V252" i="10"/>
  <c r="O252" i="10"/>
  <c r="AK252" i="10"/>
  <c r="AC252" i="10"/>
  <c r="AB252" i="10"/>
  <c r="AW252" i="10"/>
  <c r="AV252" i="10"/>
  <c r="AO252" i="10"/>
  <c r="AL252" i="10"/>
  <c r="AG252" i="10"/>
  <c r="AD252" i="10"/>
  <c r="AX166" i="10"/>
  <c r="R166" i="10"/>
  <c r="AW166" i="10"/>
  <c r="Q166" i="10"/>
  <c r="AR166" i="10"/>
  <c r="AQ166" i="10"/>
  <c r="AJ166" i="10"/>
  <c r="AG166" i="10"/>
  <c r="BA166" i="10"/>
  <c r="BG166" i="10"/>
  <c r="T166" i="10"/>
  <c r="BF166" i="10"/>
  <c r="S166" i="10"/>
  <c r="AE166" i="10"/>
  <c r="AD166" i="10"/>
  <c r="AA166" i="10"/>
  <c r="BD166" i="10"/>
  <c r="AC166" i="10"/>
  <c r="AB166" i="10"/>
  <c r="Z166" i="10"/>
  <c r="AZ166" i="10"/>
  <c r="V166" i="10"/>
  <c r="U166" i="10"/>
  <c r="P166" i="10"/>
  <c r="O166" i="10"/>
  <c r="AF166" i="10"/>
  <c r="W166" i="10"/>
  <c r="AV166" i="10"/>
  <c r="AU166" i="10"/>
  <c r="AT166" i="10"/>
  <c r="AS166" i="10"/>
  <c r="AL166" i="10"/>
  <c r="AK166" i="10"/>
  <c r="AI166" i="10"/>
  <c r="AH166" i="10"/>
  <c r="Y166" i="10"/>
  <c r="AM166" i="10"/>
  <c r="X166" i="10"/>
  <c r="BC166" i="10"/>
  <c r="BB166" i="10"/>
  <c r="AY166" i="10"/>
  <c r="AP166" i="10"/>
  <c r="AN166" i="10"/>
  <c r="BE166" i="10"/>
  <c r="AO166" i="10"/>
  <c r="BA151" i="10"/>
  <c r="AP151" i="10"/>
  <c r="AO151" i="10"/>
  <c r="Z151" i="10"/>
  <c r="AK151" i="10"/>
  <c r="AH151" i="10"/>
  <c r="AG151" i="10"/>
  <c r="AU151" i="10"/>
  <c r="AV151" i="10"/>
  <c r="AT151" i="10"/>
  <c r="X151" i="10"/>
  <c r="AR151" i="10"/>
  <c r="AQ151" i="10"/>
  <c r="AN151" i="10"/>
  <c r="AA151" i="10"/>
  <c r="AZ151" i="10"/>
  <c r="AY151" i="10"/>
  <c r="AX151" i="10"/>
  <c r="AW151" i="10"/>
  <c r="BF151" i="10"/>
  <c r="V151" i="10"/>
  <c r="U151" i="10"/>
  <c r="T151" i="10"/>
  <c r="S151" i="10"/>
  <c r="BC151" i="10"/>
  <c r="AM151" i="10"/>
  <c r="AC151" i="10"/>
  <c r="W151" i="10"/>
  <c r="BG151" i="10"/>
  <c r="BE151" i="10"/>
  <c r="BD151" i="10"/>
  <c r="BB151" i="10"/>
  <c r="AS151" i="10"/>
  <c r="AL151" i="10"/>
  <c r="AJ151" i="10"/>
  <c r="AB151" i="10"/>
  <c r="AD151" i="10"/>
  <c r="AF151" i="10"/>
  <c r="AE151" i="10"/>
  <c r="O151" i="10"/>
  <c r="Y151" i="10"/>
  <c r="R151" i="10"/>
  <c r="Q151" i="10"/>
  <c r="P151" i="10"/>
  <c r="AI151" i="10"/>
  <c r="AF160" i="10"/>
  <c r="AE160" i="10"/>
  <c r="AP160" i="10"/>
  <c r="AO160" i="10"/>
  <c r="AZ160" i="10"/>
  <c r="P160" i="10"/>
  <c r="AN160" i="10"/>
  <c r="AY160" i="10"/>
  <c r="AX160" i="10"/>
  <c r="X160" i="10"/>
  <c r="V160" i="10"/>
  <c r="U160" i="10"/>
  <c r="AH160" i="10"/>
  <c r="AJ160" i="10"/>
  <c r="BD160" i="10"/>
  <c r="BC160" i="10"/>
  <c r="BB160" i="10"/>
  <c r="AS160" i="10"/>
  <c r="Q160" i="10"/>
  <c r="O160" i="10"/>
  <c r="AG160" i="10"/>
  <c r="AB160" i="10"/>
  <c r="BE160" i="10"/>
  <c r="BA160" i="10"/>
  <c r="AW160" i="10"/>
  <c r="AV160" i="10"/>
  <c r="AD160" i="10"/>
  <c r="Z160" i="10"/>
  <c r="BG160" i="10"/>
  <c r="BF160" i="10"/>
  <c r="AK160" i="10"/>
  <c r="AI160" i="10"/>
  <c r="AC160" i="10"/>
  <c r="AA160" i="10"/>
  <c r="AR160" i="10"/>
  <c r="AQ160" i="10"/>
  <c r="AM160" i="10"/>
  <c r="AL160" i="10"/>
  <c r="W160" i="10"/>
  <c r="T160" i="10"/>
  <c r="S160" i="10"/>
  <c r="R160" i="10"/>
  <c r="AU160" i="10"/>
  <c r="AT160" i="10"/>
  <c r="Y160" i="10"/>
  <c r="AB180" i="10"/>
  <c r="BG180" i="10"/>
  <c r="AA180" i="10"/>
  <c r="AD180" i="10"/>
  <c r="AC180" i="10"/>
  <c r="X180" i="10"/>
  <c r="AQ180" i="10"/>
  <c r="BF180" i="10"/>
  <c r="U180" i="10"/>
  <c r="BC180" i="10"/>
  <c r="R180" i="10"/>
  <c r="AM180" i="10"/>
  <c r="AL180" i="10"/>
  <c r="AY180" i="10"/>
  <c r="AX180" i="10"/>
  <c r="AI180" i="10"/>
  <c r="AH180" i="10"/>
  <c r="AU180" i="10"/>
  <c r="AT180" i="10"/>
  <c r="BB180" i="10"/>
  <c r="V180" i="10"/>
  <c r="T180" i="10"/>
  <c r="S180" i="10"/>
  <c r="P180" i="10"/>
  <c r="AS180" i="10"/>
  <c r="AR180" i="10"/>
  <c r="AP180" i="10"/>
  <c r="AO180" i="10"/>
  <c r="AE180" i="10"/>
  <c r="W180" i="10"/>
  <c r="BE180" i="10"/>
  <c r="BD180" i="10"/>
  <c r="BA180" i="10"/>
  <c r="AK180" i="10"/>
  <c r="AF180" i="10"/>
  <c r="AV180" i="10"/>
  <c r="AN180" i="10"/>
  <c r="AJ180" i="10"/>
  <c r="AG180" i="10"/>
  <c r="Y180" i="10"/>
  <c r="Q180" i="10"/>
  <c r="O180" i="10"/>
  <c r="AZ180" i="10"/>
  <c r="AW180" i="10"/>
  <c r="Z180" i="10"/>
  <c r="BF95" i="10"/>
  <c r="Z95" i="10"/>
  <c r="BD95" i="10"/>
  <c r="W95" i="10"/>
  <c r="Y95" i="10"/>
  <c r="AN95" i="10"/>
  <c r="AM95" i="10"/>
  <c r="AL95" i="10"/>
  <c r="AK95" i="10"/>
  <c r="AS95" i="10"/>
  <c r="AR95" i="10"/>
  <c r="AQ95" i="10"/>
  <c r="AP95" i="10"/>
  <c r="AJ95" i="10"/>
  <c r="P95" i="10"/>
  <c r="O95" i="10"/>
  <c r="BG95" i="10"/>
  <c r="BE95" i="10"/>
  <c r="AE95" i="10"/>
  <c r="AB95" i="10"/>
  <c r="AZ95" i="10"/>
  <c r="AY95" i="10"/>
  <c r="AX95" i="10"/>
  <c r="AW95" i="10"/>
  <c r="AA95" i="10"/>
  <c r="X95" i="10"/>
  <c r="V95" i="10"/>
  <c r="U95" i="10"/>
  <c r="BB95" i="10"/>
  <c r="BA95" i="10"/>
  <c r="AV95" i="10"/>
  <c r="AU95" i="10"/>
  <c r="AO95" i="10"/>
  <c r="AI95" i="10"/>
  <c r="AH95" i="10"/>
  <c r="BC95" i="10"/>
  <c r="AT95" i="10"/>
  <c r="AG95" i="10"/>
  <c r="AF95" i="10"/>
  <c r="AC95" i="10"/>
  <c r="Q95" i="10"/>
  <c r="AD95" i="10"/>
  <c r="T95" i="10"/>
  <c r="S95" i="10"/>
  <c r="R95" i="10"/>
  <c r="AI207" i="10"/>
  <c r="BB207" i="10"/>
  <c r="U207" i="10"/>
  <c r="BA207" i="10"/>
  <c r="T207" i="10"/>
  <c r="AZ207" i="10"/>
  <c r="Q207" i="10"/>
  <c r="AY207" i="10"/>
  <c r="P207" i="10"/>
  <c r="AC207" i="10"/>
  <c r="AL207" i="10"/>
  <c r="AK207" i="10"/>
  <c r="AV207" i="10"/>
  <c r="AU207" i="10"/>
  <c r="AP207" i="10"/>
  <c r="O207" i="10"/>
  <c r="BF207" i="10"/>
  <c r="AR207" i="10"/>
  <c r="V207" i="10"/>
  <c r="BG207" i="10"/>
  <c r="BE207" i="10"/>
  <c r="AT207" i="10"/>
  <c r="Y207" i="10"/>
  <c r="X207" i="10"/>
  <c r="AD207" i="10"/>
  <c r="AB207" i="10"/>
  <c r="W207" i="10"/>
  <c r="AX207" i="10"/>
  <c r="AW207" i="10"/>
  <c r="AS207" i="10"/>
  <c r="AQ207" i="10"/>
  <c r="AG207" i="10"/>
  <c r="AH207" i="10"/>
  <c r="AF207" i="10"/>
  <c r="AE207" i="10"/>
  <c r="AA207" i="10"/>
  <c r="Z207" i="10"/>
  <c r="S207" i="10"/>
  <c r="R207" i="10"/>
  <c r="BC207" i="10"/>
  <c r="AM207" i="10"/>
  <c r="AJ207" i="10"/>
  <c r="AO207" i="10"/>
  <c r="BD207" i="10"/>
  <c r="AN207" i="10"/>
  <c r="AF115" i="10"/>
  <c r="BF115" i="10"/>
  <c r="Y115" i="10"/>
  <c r="AN115" i="10"/>
  <c r="AL115" i="10"/>
  <c r="AH115" i="10"/>
  <c r="AX115" i="10"/>
  <c r="AW115" i="10"/>
  <c r="AV115" i="10"/>
  <c r="AU115" i="10"/>
  <c r="BE115" i="10"/>
  <c r="P115" i="10"/>
  <c r="BD115" i="10"/>
  <c r="O115" i="10"/>
  <c r="BC115" i="10"/>
  <c r="BB115" i="10"/>
  <c r="AQ115" i="10"/>
  <c r="AM115" i="10"/>
  <c r="R115" i="10"/>
  <c r="Q115" i="10"/>
  <c r="BG115" i="10"/>
  <c r="AA115" i="10"/>
  <c r="Z115" i="10"/>
  <c r="X115" i="10"/>
  <c r="W115" i="10"/>
  <c r="BA115" i="10"/>
  <c r="AZ115" i="10"/>
  <c r="AY115" i="10"/>
  <c r="AT115" i="10"/>
  <c r="AK115" i="10"/>
  <c r="U115" i="10"/>
  <c r="AI115" i="10"/>
  <c r="AG115" i="10"/>
  <c r="AE115" i="10"/>
  <c r="AD115" i="10"/>
  <c r="AS115" i="10"/>
  <c r="AC115" i="10"/>
  <c r="V115" i="10"/>
  <c r="T115" i="10"/>
  <c r="S115" i="10"/>
  <c r="AR115" i="10"/>
  <c r="AP115" i="10"/>
  <c r="AO115" i="10"/>
  <c r="AJ115" i="10"/>
  <c r="AB115" i="10"/>
  <c r="AV26" i="10"/>
  <c r="P26" i="10"/>
  <c r="AU26" i="10"/>
  <c r="O26" i="10"/>
  <c r="AT26" i="10"/>
  <c r="AS26" i="10"/>
  <c r="BE26" i="10"/>
  <c r="U26" i="10"/>
  <c r="BB26" i="10"/>
  <c r="R26" i="10"/>
  <c r="AG26" i="10"/>
  <c r="AF26" i="10"/>
  <c r="AE26" i="10"/>
  <c r="AD26" i="10"/>
  <c r="S26" i="10"/>
  <c r="Q26" i="10"/>
  <c r="BG26" i="10"/>
  <c r="BD26" i="10"/>
  <c r="AY26" i="10"/>
  <c r="AJ26" i="10"/>
  <c r="AI26" i="10"/>
  <c r="AH26" i="10"/>
  <c r="AC26" i="10"/>
  <c r="BA26" i="10"/>
  <c r="AZ26" i="10"/>
  <c r="AX26" i="10"/>
  <c r="AQ26" i="10"/>
  <c r="AW26" i="10"/>
  <c r="AR26" i="10"/>
  <c r="AO26" i="10"/>
  <c r="AL26" i="10"/>
  <c r="AK26" i="10"/>
  <c r="AB26" i="10"/>
  <c r="AA26" i="10"/>
  <c r="V26" i="10"/>
  <c r="BC26" i="10"/>
  <c r="X26" i="10"/>
  <c r="AN26" i="10"/>
  <c r="AM26" i="10"/>
  <c r="BF26" i="10"/>
  <c r="AP26" i="10"/>
  <c r="Z26" i="10"/>
  <c r="Y26" i="10"/>
  <c r="W26" i="10"/>
  <c r="T26" i="10"/>
  <c r="AD147" i="10"/>
  <c r="AC147" i="10"/>
  <c r="AJ147" i="10"/>
  <c r="AP147" i="10"/>
  <c r="AG147" i="10"/>
  <c r="AF147" i="10"/>
  <c r="Z147" i="10"/>
  <c r="Y147" i="10"/>
  <c r="AL147" i="10"/>
  <c r="BA147" i="10"/>
  <c r="W147" i="10"/>
  <c r="AT147" i="10"/>
  <c r="AS147" i="10"/>
  <c r="AR147" i="10"/>
  <c r="AQ147" i="10"/>
  <c r="T147" i="10"/>
  <c r="Q147" i="10"/>
  <c r="AO147" i="10"/>
  <c r="AN147" i="10"/>
  <c r="AM147" i="10"/>
  <c r="AK147" i="10"/>
  <c r="AA147" i="10"/>
  <c r="U147" i="10"/>
  <c r="BC147" i="10"/>
  <c r="BB147" i="10"/>
  <c r="AZ147" i="10"/>
  <c r="AY147" i="10"/>
  <c r="AV147" i="10"/>
  <c r="AH147" i="10"/>
  <c r="X147" i="10"/>
  <c r="V147" i="10"/>
  <c r="S147" i="10"/>
  <c r="R147" i="10"/>
  <c r="BG147" i="10"/>
  <c r="BF147" i="10"/>
  <c r="BD147" i="10"/>
  <c r="AX147" i="10"/>
  <c r="AW147" i="10"/>
  <c r="AI147" i="10"/>
  <c r="BE147" i="10"/>
  <c r="AU147" i="10"/>
  <c r="AE147" i="10"/>
  <c r="AB147" i="10"/>
  <c r="P147" i="10"/>
  <c r="O147" i="10"/>
  <c r="AW79" i="10"/>
  <c r="Q79" i="10"/>
  <c r="AE79" i="10"/>
  <c r="AD79" i="10"/>
  <c r="AC79" i="10"/>
  <c r="AB79" i="10"/>
  <c r="BC79" i="10"/>
  <c r="R79" i="10"/>
  <c r="BB79" i="10"/>
  <c r="BA79" i="10"/>
  <c r="AZ79" i="10"/>
  <c r="AO79" i="10"/>
  <c r="T79" i="10"/>
  <c r="S79" i="10"/>
  <c r="BG79" i="10"/>
  <c r="P79" i="10"/>
  <c r="BF79" i="10"/>
  <c r="O79" i="10"/>
  <c r="AY79" i="10"/>
  <c r="AF79" i="10"/>
  <c r="AA79" i="10"/>
  <c r="Z79" i="10"/>
  <c r="Y79" i="10"/>
  <c r="AH79" i="10"/>
  <c r="AG79" i="10"/>
  <c r="X79" i="10"/>
  <c r="W79" i="10"/>
  <c r="BD79" i="10"/>
  <c r="AU79" i="10"/>
  <c r="AT79" i="10"/>
  <c r="AS79" i="10"/>
  <c r="AR79" i="10"/>
  <c r="AP79" i="10"/>
  <c r="AN79" i="10"/>
  <c r="AM79" i="10"/>
  <c r="AK79" i="10"/>
  <c r="AJ79" i="10"/>
  <c r="AI79" i="10"/>
  <c r="V79" i="10"/>
  <c r="BE79" i="10"/>
  <c r="AL79" i="10"/>
  <c r="AX79" i="10"/>
  <c r="AV79" i="10"/>
  <c r="AQ79" i="10"/>
  <c r="U79" i="10"/>
  <c r="AD78" i="10"/>
  <c r="AR78" i="10"/>
  <c r="AQ78" i="10"/>
  <c r="AP78" i="10"/>
  <c r="AO78" i="10"/>
  <c r="Y78" i="10"/>
  <c r="BG78" i="10"/>
  <c r="V78" i="10"/>
  <c r="AU78" i="10"/>
  <c r="X78" i="10"/>
  <c r="W78" i="10"/>
  <c r="U78" i="10"/>
  <c r="T78" i="10"/>
  <c r="BB78" i="10"/>
  <c r="AY78" i="10"/>
  <c r="AB78" i="10"/>
  <c r="AA78" i="10"/>
  <c r="Z78" i="10"/>
  <c r="S78" i="10"/>
  <c r="BD78" i="10"/>
  <c r="AN78" i="10"/>
  <c r="AK78" i="10"/>
  <c r="AJ78" i="10"/>
  <c r="AI78" i="10"/>
  <c r="AH78" i="10"/>
  <c r="AE78" i="10"/>
  <c r="AC78" i="10"/>
  <c r="AV78" i="10"/>
  <c r="AT78" i="10"/>
  <c r="AS78" i="10"/>
  <c r="AM78" i="10"/>
  <c r="AG78" i="10"/>
  <c r="P78" i="10"/>
  <c r="BF78" i="10"/>
  <c r="BA78" i="10"/>
  <c r="AZ78" i="10"/>
  <c r="AX78" i="10"/>
  <c r="AW78" i="10"/>
  <c r="O78" i="10"/>
  <c r="BE78" i="10"/>
  <c r="BC78" i="10"/>
  <c r="AL78" i="10"/>
  <c r="R78" i="10"/>
  <c r="Q78" i="10"/>
  <c r="AF78" i="10"/>
  <c r="AD20" i="10"/>
  <c r="AC20" i="10"/>
  <c r="AB20" i="10"/>
  <c r="BG20" i="10"/>
  <c r="AA20" i="10"/>
  <c r="AI20" i="10"/>
  <c r="AF20" i="10"/>
  <c r="AU20" i="10"/>
  <c r="AT20" i="10"/>
  <c r="AS20" i="10"/>
  <c r="AR20" i="10"/>
  <c r="R20" i="10"/>
  <c r="Q20" i="10"/>
  <c r="BE20" i="10"/>
  <c r="O20" i="10"/>
  <c r="AJ20" i="10"/>
  <c r="AH20" i="10"/>
  <c r="AG20" i="10"/>
  <c r="AE20" i="10"/>
  <c r="W20" i="10"/>
  <c r="V20" i="10"/>
  <c r="U20" i="10"/>
  <c r="T20" i="10"/>
  <c r="P20" i="10"/>
  <c r="S20" i="10"/>
  <c r="BF20" i="10"/>
  <c r="BD20" i="10"/>
  <c r="AY20" i="10"/>
  <c r="AW20" i="10"/>
  <c r="AM20" i="10"/>
  <c r="AV20" i="10"/>
  <c r="AQ20" i="10"/>
  <c r="AP20" i="10"/>
  <c r="AO20" i="10"/>
  <c r="AN20" i="10"/>
  <c r="Z20" i="10"/>
  <c r="X20" i="10"/>
  <c r="BC20" i="10"/>
  <c r="BA20" i="10"/>
  <c r="BB20" i="10"/>
  <c r="AZ20" i="10"/>
  <c r="AX20" i="10"/>
  <c r="AL20" i="10"/>
  <c r="AK20" i="10"/>
  <c r="Y20" i="10"/>
  <c r="AG244" i="10"/>
  <c r="AV244" i="10"/>
  <c r="P244" i="10"/>
  <c r="AC244" i="10"/>
  <c r="AS244" i="10"/>
  <c r="AX244" i="10"/>
  <c r="AW244" i="10"/>
  <c r="AR244" i="10"/>
  <c r="AQ244" i="10"/>
  <c r="AN244" i="10"/>
  <c r="BF244" i="10"/>
  <c r="T244" i="10"/>
  <c r="BE244" i="10"/>
  <c r="S244" i="10"/>
  <c r="AJ244" i="10"/>
  <c r="AI244" i="10"/>
  <c r="AE244" i="10"/>
  <c r="BA244" i="10"/>
  <c r="AZ244" i="10"/>
  <c r="Q244" i="10"/>
  <c r="AK244" i="10"/>
  <c r="AD244" i="10"/>
  <c r="O244" i="10"/>
  <c r="AP244" i="10"/>
  <c r="AL244" i="10"/>
  <c r="AA244" i="10"/>
  <c r="Z244" i="10"/>
  <c r="Y244" i="10"/>
  <c r="U244" i="10"/>
  <c r="R244" i="10"/>
  <c r="AT244" i="10"/>
  <c r="AO244" i="10"/>
  <c r="V244" i="10"/>
  <c r="AB244" i="10"/>
  <c r="X244" i="10"/>
  <c r="W244" i="10"/>
  <c r="AH244" i="10"/>
  <c r="AF244" i="10"/>
  <c r="AU244" i="10"/>
  <c r="BB244" i="10"/>
  <c r="AY244" i="10"/>
  <c r="AM244" i="10"/>
  <c r="BG244" i="10"/>
  <c r="BD244" i="10"/>
  <c r="BC244" i="10"/>
  <c r="AK104" i="10"/>
  <c r="AI104" i="10"/>
  <c r="AZ104" i="10"/>
  <c r="R104" i="10"/>
  <c r="AF104" i="10"/>
  <c r="AV104" i="10"/>
  <c r="AU104" i="10"/>
  <c r="AT104" i="10"/>
  <c r="AS104" i="10"/>
  <c r="AW104" i="10"/>
  <c r="AR104" i="10"/>
  <c r="AQ104" i="10"/>
  <c r="AP104" i="10"/>
  <c r="O104" i="10"/>
  <c r="BE104" i="10"/>
  <c r="AB104" i="10"/>
  <c r="AA104" i="10"/>
  <c r="Z104" i="10"/>
  <c r="Y104" i="10"/>
  <c r="X104" i="10"/>
  <c r="U104" i="10"/>
  <c r="AY104" i="10"/>
  <c r="AX104" i="10"/>
  <c r="AO104" i="10"/>
  <c r="AN104" i="10"/>
  <c r="AM104" i="10"/>
  <c r="AL104" i="10"/>
  <c r="AJ104" i="10"/>
  <c r="AH104" i="10"/>
  <c r="W104" i="10"/>
  <c r="BG104" i="10"/>
  <c r="BF104" i="10"/>
  <c r="AG104" i="10"/>
  <c r="AE104" i="10"/>
  <c r="AD104" i="10"/>
  <c r="AC104" i="10"/>
  <c r="BC104" i="10"/>
  <c r="V104" i="10"/>
  <c r="T104" i="10"/>
  <c r="S104" i="10"/>
  <c r="Q104" i="10"/>
  <c r="BA104" i="10"/>
  <c r="BD104" i="10"/>
  <c r="BB104" i="10"/>
  <c r="P104" i="10"/>
  <c r="AW126" i="10"/>
  <c r="Q126" i="10"/>
  <c r="BG126" i="10"/>
  <c r="Z126" i="10"/>
  <c r="BD126" i="10"/>
  <c r="V126" i="10"/>
  <c r="AJ126" i="10"/>
  <c r="AU126" i="10"/>
  <c r="AB126" i="10"/>
  <c r="AA126" i="10"/>
  <c r="Y126" i="10"/>
  <c r="X126" i="10"/>
  <c r="BE126" i="10"/>
  <c r="AK126" i="10"/>
  <c r="AI126" i="10"/>
  <c r="AH126" i="10"/>
  <c r="AG126" i="10"/>
  <c r="AZ126" i="10"/>
  <c r="AV126" i="10"/>
  <c r="S126" i="10"/>
  <c r="R126" i="10"/>
  <c r="P126" i="10"/>
  <c r="O126" i="10"/>
  <c r="BC126" i="10"/>
  <c r="AC126" i="10"/>
  <c r="W126" i="10"/>
  <c r="U126" i="10"/>
  <c r="T126" i="10"/>
  <c r="BA126" i="10"/>
  <c r="AT126" i="10"/>
  <c r="AS126" i="10"/>
  <c r="AR126" i="10"/>
  <c r="AQ126" i="10"/>
  <c r="AO126" i="10"/>
  <c r="AN126" i="10"/>
  <c r="AM126" i="10"/>
  <c r="BF126" i="10"/>
  <c r="BB126" i="10"/>
  <c r="AY126" i="10"/>
  <c r="AX126" i="10"/>
  <c r="AP126" i="10"/>
  <c r="AE126" i="10"/>
  <c r="AF126" i="10"/>
  <c r="AD126" i="10"/>
  <c r="AL126" i="10"/>
  <c r="AJ80" i="10"/>
  <c r="AX80" i="10"/>
  <c r="R80" i="10"/>
  <c r="AW80" i="10"/>
  <c r="Q80" i="10"/>
  <c r="AV80" i="10"/>
  <c r="P80" i="10"/>
  <c r="AU80" i="10"/>
  <c r="O80" i="10"/>
  <c r="AY80" i="10"/>
  <c r="AT80" i="10"/>
  <c r="AS80" i="10"/>
  <c r="AR80" i="10"/>
  <c r="AL80" i="10"/>
  <c r="T80" i="10"/>
  <c r="S80" i="10"/>
  <c r="BG80" i="10"/>
  <c r="BF80" i="10"/>
  <c r="U80" i="10"/>
  <c r="AG80" i="10"/>
  <c r="AF80" i="10"/>
  <c r="AE80" i="10"/>
  <c r="AD80" i="10"/>
  <c r="AQ80" i="10"/>
  <c r="AP80" i="10"/>
  <c r="AO80" i="10"/>
  <c r="AN80" i="10"/>
  <c r="AC80" i="10"/>
  <c r="BE80" i="10"/>
  <c r="BD80" i="10"/>
  <c r="BC80" i="10"/>
  <c r="BB80" i="10"/>
  <c r="BA80" i="10"/>
  <c r="AZ80" i="10"/>
  <c r="AK80" i="10"/>
  <c r="AA80" i="10"/>
  <c r="V80" i="10"/>
  <c r="AH80" i="10"/>
  <c r="AM80" i="10"/>
  <c r="AI80" i="10"/>
  <c r="Y80" i="10"/>
  <c r="W80" i="10"/>
  <c r="Z80" i="10"/>
  <c r="X80" i="10"/>
  <c r="AB80" i="10"/>
  <c r="AP47" i="10"/>
  <c r="AN47" i="10"/>
  <c r="AM47" i="10"/>
  <c r="AJ47" i="10"/>
  <c r="BB47" i="10"/>
  <c r="S47" i="10"/>
  <c r="BA47" i="10"/>
  <c r="R47" i="10"/>
  <c r="AZ47" i="10"/>
  <c r="Q47" i="10"/>
  <c r="AY47" i="10"/>
  <c r="P47" i="10"/>
  <c r="Z47" i="10"/>
  <c r="W47" i="10"/>
  <c r="AO47" i="10"/>
  <c r="AL47" i="10"/>
  <c r="AK47" i="10"/>
  <c r="AI47" i="10"/>
  <c r="BG47" i="10"/>
  <c r="BF47" i="10"/>
  <c r="BE47" i="10"/>
  <c r="BD47" i="10"/>
  <c r="AX47" i="10"/>
  <c r="AT47" i="10"/>
  <c r="AA47" i="10"/>
  <c r="Y47" i="10"/>
  <c r="X47" i="10"/>
  <c r="V47" i="10"/>
  <c r="AW47" i="10"/>
  <c r="AS47" i="10"/>
  <c r="AR47" i="10"/>
  <c r="AQ47" i="10"/>
  <c r="AH47" i="10"/>
  <c r="AC47" i="10"/>
  <c r="U47" i="10"/>
  <c r="T47" i="10"/>
  <c r="O47" i="10"/>
  <c r="AE47" i="10"/>
  <c r="BC47" i="10"/>
  <c r="AV47" i="10"/>
  <c r="AU47" i="10"/>
  <c r="AG47" i="10"/>
  <c r="AF47" i="10"/>
  <c r="AD47" i="10"/>
  <c r="AB47" i="10"/>
  <c r="AV233" i="10"/>
  <c r="P233" i="10"/>
  <c r="AE233" i="10"/>
  <c r="AT233" i="10"/>
  <c r="AB233" i="10"/>
  <c r="AI233" i="10"/>
  <c r="AH233" i="10"/>
  <c r="AK233" i="10"/>
  <c r="AJ233" i="10"/>
  <c r="AW233" i="10"/>
  <c r="AU233" i="10"/>
  <c r="AP233" i="10"/>
  <c r="AO233" i="10"/>
  <c r="AL233" i="10"/>
  <c r="BD233" i="10"/>
  <c r="BC233" i="10"/>
  <c r="AF233" i="10"/>
  <c r="AC233" i="10"/>
  <c r="BF233" i="10"/>
  <c r="BA233" i="10"/>
  <c r="X233" i="10"/>
  <c r="BE233" i="10"/>
  <c r="AY233" i="10"/>
  <c r="AQ233" i="10"/>
  <c r="S233" i="10"/>
  <c r="R233" i="10"/>
  <c r="AN233" i="10"/>
  <c r="AM233" i="10"/>
  <c r="V233" i="10"/>
  <c r="U233" i="10"/>
  <c r="O233" i="10"/>
  <c r="AX233" i="10"/>
  <c r="AS233" i="10"/>
  <c r="Z233" i="10"/>
  <c r="Y233" i="10"/>
  <c r="W233" i="10"/>
  <c r="T233" i="10"/>
  <c r="BG233" i="10"/>
  <c r="AZ233" i="10"/>
  <c r="AD233" i="10"/>
  <c r="Q233" i="10"/>
  <c r="BB233" i="10"/>
  <c r="AG233" i="10"/>
  <c r="AR233" i="10"/>
  <c r="AA233" i="10"/>
  <c r="AJ127" i="10"/>
  <c r="AU127" i="10"/>
  <c r="AS127" i="10"/>
  <c r="Z127" i="10"/>
  <c r="AM127" i="10"/>
  <c r="BC127" i="10"/>
  <c r="S127" i="10"/>
  <c r="BB127" i="10"/>
  <c r="R127" i="10"/>
  <c r="BA127" i="10"/>
  <c r="Q127" i="10"/>
  <c r="AZ127" i="10"/>
  <c r="P127" i="10"/>
  <c r="BF127" i="10"/>
  <c r="AG127" i="10"/>
  <c r="AF127" i="10"/>
  <c r="AE127" i="10"/>
  <c r="AD127" i="10"/>
  <c r="BD127" i="10"/>
  <c r="AA127" i="10"/>
  <c r="Y127" i="10"/>
  <c r="X127" i="10"/>
  <c r="W127" i="10"/>
  <c r="T127" i="10"/>
  <c r="AQ127" i="10"/>
  <c r="AP127" i="10"/>
  <c r="AO127" i="10"/>
  <c r="AN127" i="10"/>
  <c r="AY127" i="10"/>
  <c r="AX127" i="10"/>
  <c r="AW127" i="10"/>
  <c r="AV127" i="10"/>
  <c r="AI127" i="10"/>
  <c r="BE127" i="10"/>
  <c r="AL127" i="10"/>
  <c r="AH127" i="10"/>
  <c r="AC127" i="10"/>
  <c r="AB127" i="10"/>
  <c r="V127" i="10"/>
  <c r="U127" i="10"/>
  <c r="O127" i="10"/>
  <c r="BG127" i="10"/>
  <c r="AT127" i="10"/>
  <c r="AR127" i="10"/>
  <c r="AK127" i="10"/>
  <c r="AK75" i="10"/>
  <c r="AY75" i="10"/>
  <c r="S75" i="10"/>
  <c r="AX75" i="10"/>
  <c r="R75" i="10"/>
  <c r="AW75" i="10"/>
  <c r="Q75" i="10"/>
  <c r="AT75" i="10"/>
  <c r="AQ75" i="10"/>
  <c r="V75" i="10"/>
  <c r="AL75" i="10"/>
  <c r="AJ75" i="10"/>
  <c r="AI75" i="10"/>
  <c r="AH75" i="10"/>
  <c r="AV75" i="10"/>
  <c r="AR75" i="10"/>
  <c r="T75" i="10"/>
  <c r="P75" i="10"/>
  <c r="O75" i="10"/>
  <c r="AE75" i="10"/>
  <c r="AD75" i="10"/>
  <c r="AC75" i="10"/>
  <c r="AB75" i="10"/>
  <c r="W75" i="10"/>
  <c r="BF75" i="10"/>
  <c r="BC75" i="10"/>
  <c r="BB75" i="10"/>
  <c r="BA75" i="10"/>
  <c r="AZ75" i="10"/>
  <c r="AP75" i="10"/>
  <c r="AO75" i="10"/>
  <c r="Z75" i="10"/>
  <c r="Y75" i="10"/>
  <c r="X75" i="10"/>
  <c r="U75" i="10"/>
  <c r="BD75" i="10"/>
  <c r="AU75" i="10"/>
  <c r="AS75" i="10"/>
  <c r="AN75" i="10"/>
  <c r="AM75" i="10"/>
  <c r="AG75" i="10"/>
  <c r="AF75" i="10"/>
  <c r="AA75" i="10"/>
  <c r="BG75" i="10"/>
  <c r="BE75" i="10"/>
  <c r="BG90" i="10"/>
  <c r="AX90" i="10"/>
  <c r="R90" i="10"/>
  <c r="AS90" i="10"/>
  <c r="AA90" i="10"/>
  <c r="Z90" i="10"/>
  <c r="BF90" i="10"/>
  <c r="Y90" i="10"/>
  <c r="BE90" i="10"/>
  <c r="X90" i="10"/>
  <c r="AC90" i="10"/>
  <c r="AB90" i="10"/>
  <c r="W90" i="10"/>
  <c r="V90" i="10"/>
  <c r="AJ90" i="10"/>
  <c r="BA90" i="10"/>
  <c r="AZ90" i="10"/>
  <c r="AY90" i="10"/>
  <c r="AW90" i="10"/>
  <c r="AM90" i="10"/>
  <c r="AI90" i="10"/>
  <c r="BD90" i="10"/>
  <c r="BC90" i="10"/>
  <c r="BB90" i="10"/>
  <c r="AT90" i="10"/>
  <c r="AR90" i="10"/>
  <c r="AQ90" i="10"/>
  <c r="AP90" i="10"/>
  <c r="AH90" i="10"/>
  <c r="P90" i="10"/>
  <c r="AN90" i="10"/>
  <c r="AL90" i="10"/>
  <c r="AK90" i="10"/>
  <c r="AG90" i="10"/>
  <c r="AE90" i="10"/>
  <c r="S90" i="10"/>
  <c r="AF90" i="10"/>
  <c r="AD90" i="10"/>
  <c r="U90" i="10"/>
  <c r="O90" i="10"/>
  <c r="T90" i="10"/>
  <c r="Q90" i="10"/>
  <c r="AV90" i="10"/>
  <c r="AO90" i="10"/>
  <c r="AU90" i="10"/>
  <c r="BB51" i="10"/>
  <c r="V51" i="10"/>
  <c r="BA51" i="10"/>
  <c r="U51" i="10"/>
  <c r="AZ51" i="10"/>
  <c r="T51" i="10"/>
  <c r="AY51" i="10"/>
  <c r="S51" i="10"/>
  <c r="AM51" i="10"/>
  <c r="BF51" i="10"/>
  <c r="R51" i="10"/>
  <c r="BE51" i="10"/>
  <c r="Q51" i="10"/>
  <c r="BD51" i="10"/>
  <c r="P51" i="10"/>
  <c r="BC51" i="10"/>
  <c r="O51" i="10"/>
  <c r="AH51" i="10"/>
  <c r="AG51" i="10"/>
  <c r="AF51" i="10"/>
  <c r="AE51" i="10"/>
  <c r="AU51" i="10"/>
  <c r="AT51" i="10"/>
  <c r="AS51" i="10"/>
  <c r="AR51" i="10"/>
  <c r="AP51" i="10"/>
  <c r="AK51" i="10"/>
  <c r="BG51" i="10"/>
  <c r="AX51" i="10"/>
  <c r="AW51" i="10"/>
  <c r="AV51" i="10"/>
  <c r="AO51" i="10"/>
  <c r="AQ51" i="10"/>
  <c r="AL51" i="10"/>
  <c r="AD51" i="10"/>
  <c r="AC51" i="10"/>
  <c r="AB51" i="10"/>
  <c r="AA51" i="10"/>
  <c r="AN51" i="10"/>
  <c r="AJ51" i="10"/>
  <c r="AI51" i="10"/>
  <c r="Z51" i="10"/>
  <c r="Y51" i="10"/>
  <c r="X51" i="10"/>
  <c r="W51" i="10"/>
  <c r="AY34" i="10"/>
  <c r="S34" i="10"/>
  <c r="AP34" i="10"/>
  <c r="AO34" i="10"/>
  <c r="AN34" i="10"/>
  <c r="AM34" i="10"/>
  <c r="AA34" i="10"/>
  <c r="X34" i="10"/>
  <c r="AQ34" i="10"/>
  <c r="AL34" i="10"/>
  <c r="AK34" i="10"/>
  <c r="AJ34" i="10"/>
  <c r="T34" i="10"/>
  <c r="R34" i="10"/>
  <c r="Q34" i="10"/>
  <c r="P34" i="10"/>
  <c r="BF34" i="10"/>
  <c r="BB34" i="10"/>
  <c r="AH34" i="10"/>
  <c r="AG34" i="10"/>
  <c r="AF34" i="10"/>
  <c r="AE34" i="10"/>
  <c r="Y34" i="10"/>
  <c r="W34" i="10"/>
  <c r="V34" i="10"/>
  <c r="U34" i="10"/>
  <c r="O34" i="10"/>
  <c r="BA34" i="10"/>
  <c r="AX34" i="10"/>
  <c r="AW34" i="10"/>
  <c r="AV34" i="10"/>
  <c r="AU34" i="10"/>
  <c r="AT34" i="10"/>
  <c r="AS34" i="10"/>
  <c r="AR34" i="10"/>
  <c r="AC34" i="10"/>
  <c r="Z34" i="10"/>
  <c r="BE34" i="10"/>
  <c r="AZ34" i="10"/>
  <c r="BG34" i="10"/>
  <c r="BD34" i="10"/>
  <c r="BC34" i="10"/>
  <c r="AI34" i="10"/>
  <c r="AD34" i="10"/>
  <c r="AB34" i="10"/>
  <c r="AR14" i="10"/>
  <c r="AQ14" i="10"/>
  <c r="AP14" i="10"/>
  <c r="AO14" i="10"/>
  <c r="AW14" i="10"/>
  <c r="AT14" i="10"/>
  <c r="Y14" i="10"/>
  <c r="X14" i="10"/>
  <c r="BG14" i="10"/>
  <c r="W14" i="10"/>
  <c r="BF14" i="10"/>
  <c r="V14" i="10"/>
  <c r="Q14" i="10"/>
  <c r="BE14" i="10"/>
  <c r="O14" i="10"/>
  <c r="AH14" i="10"/>
  <c r="AG14" i="10"/>
  <c r="AF14" i="10"/>
  <c r="AE14" i="10"/>
  <c r="R14" i="10"/>
  <c r="P14" i="10"/>
  <c r="BB14" i="10"/>
  <c r="BA14" i="10"/>
  <c r="AZ14" i="10"/>
  <c r="AY14" i="10"/>
  <c r="AN14" i="10"/>
  <c r="AL14" i="10"/>
  <c r="AK14" i="10"/>
  <c r="AB14" i="10"/>
  <c r="AJ14" i="10"/>
  <c r="AI14" i="10"/>
  <c r="AD14" i="10"/>
  <c r="AC14" i="10"/>
  <c r="U14" i="10"/>
  <c r="S14" i="10"/>
  <c r="BD14" i="10"/>
  <c r="AX14" i="10"/>
  <c r="AV14" i="10"/>
  <c r="AU14" i="10"/>
  <c r="AS14" i="10"/>
  <c r="AM14" i="10"/>
  <c r="AA14" i="10"/>
  <c r="Z14" i="10"/>
  <c r="T14" i="10"/>
  <c r="BC14" i="10"/>
  <c r="BC81" i="10"/>
  <c r="W81" i="10"/>
  <c r="AK81" i="10"/>
  <c r="AJ81" i="10"/>
  <c r="AI81" i="10"/>
  <c r="AH81" i="10"/>
  <c r="AQ81" i="10"/>
  <c r="AP81" i="10"/>
  <c r="AO81" i="10"/>
  <c r="AN81" i="10"/>
  <c r="AL81" i="10"/>
  <c r="BF81" i="10"/>
  <c r="P81" i="10"/>
  <c r="BE81" i="10"/>
  <c r="O81" i="10"/>
  <c r="BD81" i="10"/>
  <c r="BB81" i="10"/>
  <c r="V81" i="10"/>
  <c r="S81" i="10"/>
  <c r="AR81" i="10"/>
  <c r="AM81" i="10"/>
  <c r="AG81" i="10"/>
  <c r="AF81" i="10"/>
  <c r="AX81" i="10"/>
  <c r="AB81" i="10"/>
  <c r="Y81" i="10"/>
  <c r="X81" i="10"/>
  <c r="U81" i="10"/>
  <c r="T81" i="10"/>
  <c r="Q81" i="10"/>
  <c r="AY81" i="10"/>
  <c r="AW81" i="10"/>
  <c r="AV81" i="10"/>
  <c r="AU81" i="10"/>
  <c r="BG81" i="10"/>
  <c r="AE81" i="10"/>
  <c r="AC81" i="10"/>
  <c r="AA81" i="10"/>
  <c r="Z81" i="10"/>
  <c r="R81" i="10"/>
  <c r="AZ81" i="10"/>
  <c r="BA81" i="10"/>
  <c r="AT81" i="10"/>
  <c r="AS81" i="10"/>
  <c r="AD81" i="10"/>
  <c r="AS114" i="10"/>
  <c r="AK114" i="10"/>
  <c r="AY114" i="10"/>
  <c r="Q114" i="10"/>
  <c r="AV114" i="10"/>
  <c r="AP114" i="10"/>
  <c r="BG114" i="10"/>
  <c r="W114" i="10"/>
  <c r="BF114" i="10"/>
  <c r="V114" i="10"/>
  <c r="BE114" i="10"/>
  <c r="U114" i="10"/>
  <c r="BD114" i="10"/>
  <c r="T114" i="10"/>
  <c r="O114" i="10"/>
  <c r="BC114" i="10"/>
  <c r="BB114" i="10"/>
  <c r="AM114" i="10"/>
  <c r="AI114" i="10"/>
  <c r="BA114" i="10"/>
  <c r="AZ114" i="10"/>
  <c r="AR114" i="10"/>
  <c r="AN114" i="10"/>
  <c r="AD114" i="10"/>
  <c r="AC114" i="10"/>
  <c r="AB114" i="10"/>
  <c r="AA114" i="10"/>
  <c r="R114" i="10"/>
  <c r="AX114" i="10"/>
  <c r="AW114" i="10"/>
  <c r="AU114" i="10"/>
  <c r="AT114" i="10"/>
  <c r="AO114" i="10"/>
  <c r="AL114" i="10"/>
  <c r="AJ114" i="10"/>
  <c r="AF114" i="10"/>
  <c r="AE114" i="10"/>
  <c r="Z114" i="10"/>
  <c r="Y114" i="10"/>
  <c r="S114" i="10"/>
  <c r="X114" i="10"/>
  <c r="AQ114" i="10"/>
  <c r="AH114" i="10"/>
  <c r="AG114" i="10"/>
  <c r="P114" i="10"/>
  <c r="AS189" i="10"/>
  <c r="AX189" i="10"/>
  <c r="Q189" i="10"/>
  <c r="AW189" i="10"/>
  <c r="P189" i="10"/>
  <c r="AQ189" i="10"/>
  <c r="AP189" i="10"/>
  <c r="BD189" i="10"/>
  <c r="U189" i="10"/>
  <c r="AH189" i="10"/>
  <c r="AZ189" i="10"/>
  <c r="AU189" i="10"/>
  <c r="AN189" i="10"/>
  <c r="V189" i="10"/>
  <c r="R189" i="10"/>
  <c r="BC189" i="10"/>
  <c r="AM189" i="10"/>
  <c r="AL189" i="10"/>
  <c r="BG189" i="10"/>
  <c r="AR189" i="10"/>
  <c r="AO189" i="10"/>
  <c r="AD189" i="10"/>
  <c r="AC189" i="10"/>
  <c r="AB189" i="10"/>
  <c r="AA189" i="10"/>
  <c r="Y189" i="10"/>
  <c r="BF189" i="10"/>
  <c r="BE189" i="10"/>
  <c r="BB189" i="10"/>
  <c r="BA189" i="10"/>
  <c r="AF189" i="10"/>
  <c r="X189" i="10"/>
  <c r="AV189" i="10"/>
  <c r="AT189" i="10"/>
  <c r="AK189" i="10"/>
  <c r="AJ189" i="10"/>
  <c r="AI189" i="10"/>
  <c r="AG189" i="10"/>
  <c r="AE189" i="10"/>
  <c r="Z189" i="10"/>
  <c r="AY189" i="10"/>
  <c r="W189" i="10"/>
  <c r="T189" i="10"/>
  <c r="S189" i="10"/>
  <c r="O189" i="10"/>
  <c r="AP129" i="10"/>
  <c r="BD129" i="10"/>
  <c r="W129" i="10"/>
  <c r="BF129" i="10"/>
  <c r="X129" i="10"/>
  <c r="AO129" i="10"/>
  <c r="BG129" i="10"/>
  <c r="U129" i="10"/>
  <c r="AK129" i="10"/>
  <c r="AJ129" i="10"/>
  <c r="AI129" i="10"/>
  <c r="AH129" i="10"/>
  <c r="AZ129" i="10"/>
  <c r="AC129" i="10"/>
  <c r="AB129" i="10"/>
  <c r="AA129" i="10"/>
  <c r="Z129" i="10"/>
  <c r="R129" i="10"/>
  <c r="O129" i="10"/>
  <c r="AQ129" i="10"/>
  <c r="AN129" i="10"/>
  <c r="AM129" i="10"/>
  <c r="AL129" i="10"/>
  <c r="BB129" i="10"/>
  <c r="AX129" i="10"/>
  <c r="AS129" i="10"/>
  <c r="AR129" i="10"/>
  <c r="AG129" i="10"/>
  <c r="AF129" i="10"/>
  <c r="T129" i="10"/>
  <c r="BC129" i="10"/>
  <c r="BA129" i="10"/>
  <c r="AY129" i="10"/>
  <c r="AV129" i="10"/>
  <c r="AU129" i="10"/>
  <c r="AT129" i="10"/>
  <c r="AE129" i="10"/>
  <c r="Y129" i="10"/>
  <c r="BE129" i="10"/>
  <c r="AW129" i="10"/>
  <c r="AD129" i="10"/>
  <c r="S129" i="10"/>
  <c r="V129" i="10"/>
  <c r="Q129" i="10"/>
  <c r="P129" i="10"/>
  <c r="AE195" i="10"/>
  <c r="AG195" i="10"/>
  <c r="AT195" i="10"/>
  <c r="AS195" i="10"/>
  <c r="BF195" i="10"/>
  <c r="V195" i="10"/>
  <c r="BE195" i="10"/>
  <c r="U195" i="10"/>
  <c r="AH195" i="10"/>
  <c r="AM195" i="10"/>
  <c r="BB195" i="10"/>
  <c r="O195" i="10"/>
  <c r="AY195" i="10"/>
  <c r="AD195" i="10"/>
  <c r="AZ195" i="10"/>
  <c r="AV195" i="10"/>
  <c r="AP195" i="10"/>
  <c r="S195" i="10"/>
  <c r="R195" i="10"/>
  <c r="AJ195" i="10"/>
  <c r="AI195" i="10"/>
  <c r="BG195" i="10"/>
  <c r="BD195" i="10"/>
  <c r="P195" i="10"/>
  <c r="BC195" i="10"/>
  <c r="W195" i="10"/>
  <c r="T195" i="10"/>
  <c r="Q195" i="10"/>
  <c r="X195" i="10"/>
  <c r="AL195" i="10"/>
  <c r="AC195" i="10"/>
  <c r="AB195" i="10"/>
  <c r="Y195" i="10"/>
  <c r="BA195" i="10"/>
  <c r="AX195" i="10"/>
  <c r="AW195" i="10"/>
  <c r="AU195" i="10"/>
  <c r="AR195" i="10"/>
  <c r="AQ195" i="10"/>
  <c r="Z195" i="10"/>
  <c r="AA195" i="10"/>
  <c r="AO195" i="10"/>
  <c r="AN195" i="10"/>
  <c r="AK195" i="10"/>
  <c r="AF195" i="10"/>
  <c r="AO29" i="10"/>
  <c r="AN29" i="10"/>
  <c r="AM29" i="10"/>
  <c r="AL29" i="10"/>
  <c r="AD29" i="10"/>
  <c r="AA29" i="10"/>
  <c r="AT29" i="10"/>
  <c r="AS29" i="10"/>
  <c r="AR29" i="10"/>
  <c r="AQ29" i="10"/>
  <c r="S29" i="10"/>
  <c r="R29" i="10"/>
  <c r="BG29" i="10"/>
  <c r="Q29" i="10"/>
  <c r="BF29" i="10"/>
  <c r="P29" i="10"/>
  <c r="BD29" i="10"/>
  <c r="AZ29" i="10"/>
  <c r="AG29" i="10"/>
  <c r="AF29" i="10"/>
  <c r="AE29" i="10"/>
  <c r="AC29" i="10"/>
  <c r="AY29" i="10"/>
  <c r="AX29" i="10"/>
  <c r="AW29" i="10"/>
  <c r="AV29" i="10"/>
  <c r="AU29" i="10"/>
  <c r="AP29" i="10"/>
  <c r="AJ29" i="10"/>
  <c r="AB29" i="10"/>
  <c r="Z29" i="10"/>
  <c r="Y29" i="10"/>
  <c r="X29" i="10"/>
  <c r="O29" i="10"/>
  <c r="BC29" i="10"/>
  <c r="BA29" i="10"/>
  <c r="BE29" i="10"/>
  <c r="BB29" i="10"/>
  <c r="AK29" i="10"/>
  <c r="AH29" i="10"/>
  <c r="W29" i="10"/>
  <c r="V29" i="10"/>
  <c r="AI29" i="10"/>
  <c r="U29" i="10"/>
  <c r="T29" i="10"/>
  <c r="BF82" i="10"/>
  <c r="AP82" i="10"/>
  <c r="BD82" i="10"/>
  <c r="X82" i="10"/>
  <c r="BC82" i="10"/>
  <c r="W82" i="10"/>
  <c r="BB82" i="10"/>
  <c r="V82" i="10"/>
  <c r="BA82" i="10"/>
  <c r="U82" i="10"/>
  <c r="AI82" i="10"/>
  <c r="AH82" i="10"/>
  <c r="AG82" i="10"/>
  <c r="AF82" i="10"/>
  <c r="AL82" i="10"/>
  <c r="BG82" i="10"/>
  <c r="BE82" i="10"/>
  <c r="AZ82" i="10"/>
  <c r="AY82" i="10"/>
  <c r="AB82" i="10"/>
  <c r="Y82" i="10"/>
  <c r="AT82" i="10"/>
  <c r="AS82" i="10"/>
  <c r="AR82" i="10"/>
  <c r="AQ82" i="10"/>
  <c r="R82" i="10"/>
  <c r="Q82" i="10"/>
  <c r="P82" i="10"/>
  <c r="O82" i="10"/>
  <c r="AW82" i="10"/>
  <c r="AO82" i="10"/>
  <c r="AN82" i="10"/>
  <c r="AM82" i="10"/>
  <c r="AK82" i="10"/>
  <c r="AE82" i="10"/>
  <c r="AD82" i="10"/>
  <c r="AC82" i="10"/>
  <c r="AX82" i="10"/>
  <c r="AU82" i="10"/>
  <c r="Z82" i="10"/>
  <c r="T82" i="10"/>
  <c r="S82" i="10"/>
  <c r="AV82" i="10"/>
  <c r="AJ82" i="10"/>
  <c r="AA82" i="10"/>
  <c r="AQ258" i="10"/>
  <c r="BF258" i="10"/>
  <c r="Z258" i="10"/>
  <c r="AV258" i="10"/>
  <c r="AD258" i="10"/>
  <c r="BG258" i="10"/>
  <c r="X258" i="10"/>
  <c r="AS258" i="10"/>
  <c r="AR258" i="10"/>
  <c r="BC258" i="10"/>
  <c r="R258" i="10"/>
  <c r="AZ258" i="10"/>
  <c r="AY258" i="10"/>
  <c r="AU258" i="10"/>
  <c r="W258" i="10"/>
  <c r="V258" i="10"/>
  <c r="S258" i="10"/>
  <c r="Q258" i="10"/>
  <c r="AH258" i="10"/>
  <c r="AG258" i="10"/>
  <c r="BB258" i="10"/>
  <c r="AX258" i="10"/>
  <c r="U258" i="10"/>
  <c r="O258" i="10"/>
  <c r="Y258" i="10"/>
  <c r="AW258" i="10"/>
  <c r="AO258" i="10"/>
  <c r="AK258" i="10"/>
  <c r="AM258" i="10"/>
  <c r="AL258" i="10"/>
  <c r="AC258" i="10"/>
  <c r="AB258" i="10"/>
  <c r="AA258" i="10"/>
  <c r="AE258" i="10"/>
  <c r="T258" i="10"/>
  <c r="P258" i="10"/>
  <c r="BE258" i="10"/>
  <c r="AT258" i="10"/>
  <c r="AP258" i="10"/>
  <c r="BD258" i="10"/>
  <c r="BA258" i="10"/>
  <c r="AN258" i="10"/>
  <c r="AJ258" i="10"/>
  <c r="AI258" i="10"/>
  <c r="AF258" i="10"/>
  <c r="AE254" i="10"/>
  <c r="AT254" i="10"/>
  <c r="BE254" i="10"/>
  <c r="W254" i="10"/>
  <c r="AM254" i="10"/>
  <c r="AH254" i="10"/>
  <c r="AK254" i="10"/>
  <c r="AJ254" i="10"/>
  <c r="AV254" i="10"/>
  <c r="X254" i="10"/>
  <c r="V254" i="10"/>
  <c r="S254" i="10"/>
  <c r="AL254" i="10"/>
  <c r="AI254" i="10"/>
  <c r="AY254" i="10"/>
  <c r="AX254" i="10"/>
  <c r="AS254" i="10"/>
  <c r="P254" i="10"/>
  <c r="O254" i="10"/>
  <c r="BF254" i="10"/>
  <c r="BC254" i="10"/>
  <c r="Z254" i="10"/>
  <c r="T254" i="10"/>
  <c r="BB254" i="10"/>
  <c r="AD254" i="10"/>
  <c r="AA254" i="10"/>
  <c r="Q254" i="10"/>
  <c r="BG254" i="10"/>
  <c r="AU254" i="10"/>
  <c r="U254" i="10"/>
  <c r="R254" i="10"/>
  <c r="AG254" i="10"/>
  <c r="AW254" i="10"/>
  <c r="AR254" i="10"/>
  <c r="AQ254" i="10"/>
  <c r="AP254" i="10"/>
  <c r="AC254" i="10"/>
  <c r="AB254" i="10"/>
  <c r="Y254" i="10"/>
  <c r="BD254" i="10"/>
  <c r="BA254" i="10"/>
  <c r="AZ254" i="10"/>
  <c r="AO254" i="10"/>
  <c r="AN254" i="10"/>
  <c r="AF254" i="10"/>
  <c r="AV265" i="10"/>
  <c r="P265" i="10"/>
  <c r="AE265" i="10"/>
  <c r="AN265" i="10"/>
  <c r="BD265" i="10"/>
  <c r="V265" i="10"/>
  <c r="AY265" i="10"/>
  <c r="Q265" i="10"/>
  <c r="AF265" i="10"/>
  <c r="AD265" i="10"/>
  <c r="AP265" i="10"/>
  <c r="AA265" i="10"/>
  <c r="Z265" i="10"/>
  <c r="W265" i="10"/>
  <c r="AO265" i="10"/>
  <c r="AM265" i="10"/>
  <c r="AW265" i="10"/>
  <c r="AU265" i="10"/>
  <c r="AR265" i="10"/>
  <c r="AG265" i="10"/>
  <c r="AB265" i="10"/>
  <c r="BC265" i="10"/>
  <c r="AZ265" i="10"/>
  <c r="AK265" i="10"/>
  <c r="Y265" i="10"/>
  <c r="BE265" i="10"/>
  <c r="AQ265" i="10"/>
  <c r="AL265" i="10"/>
  <c r="X265" i="10"/>
  <c r="BG265" i="10"/>
  <c r="BF265" i="10"/>
  <c r="AX265" i="10"/>
  <c r="U265" i="10"/>
  <c r="T265" i="10"/>
  <c r="S265" i="10"/>
  <c r="R265" i="10"/>
  <c r="AJ265" i="10"/>
  <c r="AH265" i="10"/>
  <c r="AS265" i="10"/>
  <c r="BA265" i="10"/>
  <c r="AT265" i="10"/>
  <c r="AI265" i="10"/>
  <c r="AC265" i="10"/>
  <c r="BB265" i="10"/>
  <c r="O265" i="10"/>
  <c r="AR119" i="10"/>
  <c r="AQ119" i="10"/>
  <c r="AD119" i="10"/>
  <c r="AH119" i="10"/>
  <c r="AJ119" i="10"/>
  <c r="AZ119" i="10"/>
  <c r="P119" i="10"/>
  <c r="AY119" i="10"/>
  <c r="O119" i="10"/>
  <c r="AX119" i="10"/>
  <c r="AW119" i="10"/>
  <c r="AV119" i="10"/>
  <c r="AU119" i="10"/>
  <c r="AT119" i="10"/>
  <c r="AS119" i="10"/>
  <c r="Q119" i="10"/>
  <c r="BG119" i="10"/>
  <c r="AC119" i="10"/>
  <c r="AB119" i="10"/>
  <c r="AA119" i="10"/>
  <c r="Z119" i="10"/>
  <c r="Y119" i="10"/>
  <c r="X119" i="10"/>
  <c r="W119" i="10"/>
  <c r="V119" i="10"/>
  <c r="AF119" i="10"/>
  <c r="AE119" i="10"/>
  <c r="U119" i="10"/>
  <c r="T119" i="10"/>
  <c r="BD119" i="10"/>
  <c r="BC119" i="10"/>
  <c r="BB119" i="10"/>
  <c r="BA119" i="10"/>
  <c r="AO119" i="10"/>
  <c r="AN119" i="10"/>
  <c r="AM119" i="10"/>
  <c r="BF119" i="10"/>
  <c r="BE119" i="10"/>
  <c r="AL119" i="10"/>
  <c r="S119" i="10"/>
  <c r="R119" i="10"/>
  <c r="AK119" i="10"/>
  <c r="AI119" i="10"/>
  <c r="AP119" i="10"/>
  <c r="AG119" i="10"/>
  <c r="AM94" i="10"/>
  <c r="AI94" i="10"/>
  <c r="AJ94" i="10"/>
  <c r="AY94" i="10"/>
  <c r="Q94" i="10"/>
  <c r="AX94" i="10"/>
  <c r="P94" i="10"/>
  <c r="AW94" i="10"/>
  <c r="O94" i="10"/>
  <c r="AV94" i="10"/>
  <c r="AU94" i="10"/>
  <c r="AT94" i="10"/>
  <c r="AS94" i="10"/>
  <c r="AR94" i="10"/>
  <c r="AK94" i="10"/>
  <c r="R94" i="10"/>
  <c r="BG94" i="10"/>
  <c r="BF94" i="10"/>
  <c r="Y94" i="10"/>
  <c r="V94" i="10"/>
  <c r="AO94" i="10"/>
  <c r="AN94" i="10"/>
  <c r="AL94" i="10"/>
  <c r="AH94" i="10"/>
  <c r="BE94" i="10"/>
  <c r="AF94" i="10"/>
  <c r="AC94" i="10"/>
  <c r="AB94" i="10"/>
  <c r="AA94" i="10"/>
  <c r="Z94" i="10"/>
  <c r="W94" i="10"/>
  <c r="U94" i="10"/>
  <c r="T94" i="10"/>
  <c r="X94" i="10"/>
  <c r="S94" i="10"/>
  <c r="AE94" i="10"/>
  <c r="AD94" i="10"/>
  <c r="BB94" i="10"/>
  <c r="BD94" i="10"/>
  <c r="BC94" i="10"/>
  <c r="AQ94" i="10"/>
  <c r="AG94" i="10"/>
  <c r="BA94" i="10"/>
  <c r="AZ94" i="10"/>
  <c r="AP94" i="10"/>
  <c r="BB178" i="10"/>
  <c r="V178" i="10"/>
  <c r="BA178" i="10"/>
  <c r="U178" i="10"/>
  <c r="AX178" i="10"/>
  <c r="P178" i="10"/>
  <c r="AW178" i="10"/>
  <c r="O178" i="10"/>
  <c r="AP178" i="10"/>
  <c r="BG178" i="10"/>
  <c r="T178" i="10"/>
  <c r="AK178" i="10"/>
  <c r="AH178" i="10"/>
  <c r="AS178" i="10"/>
  <c r="AR178" i="10"/>
  <c r="R178" i="10"/>
  <c r="Q178" i="10"/>
  <c r="AD178" i="10"/>
  <c r="AC178" i="10"/>
  <c r="AO178" i="10"/>
  <c r="AN178" i="10"/>
  <c r="AI178" i="10"/>
  <c r="BF178" i="10"/>
  <c r="BE178" i="10"/>
  <c r="AU178" i="10"/>
  <c r="AT178" i="10"/>
  <c r="AL178" i="10"/>
  <c r="BD178" i="10"/>
  <c r="S178" i="10"/>
  <c r="Z178" i="10"/>
  <c r="W178" i="10"/>
  <c r="BC178" i="10"/>
  <c r="AZ178" i="10"/>
  <c r="AY178" i="10"/>
  <c r="AV178" i="10"/>
  <c r="AQ178" i="10"/>
  <c r="X178" i="10"/>
  <c r="AM178" i="10"/>
  <c r="AJ178" i="10"/>
  <c r="AA178" i="10"/>
  <c r="AG178" i="10"/>
  <c r="AF178" i="10"/>
  <c r="AE178" i="10"/>
  <c r="AB178" i="10"/>
  <c r="Y178" i="10"/>
  <c r="BD257" i="10"/>
  <c r="X257" i="10"/>
  <c r="AM257" i="10"/>
  <c r="BG257" i="10"/>
  <c r="Y257" i="10"/>
  <c r="AO257" i="10"/>
  <c r="AI257" i="10"/>
  <c r="AZ257" i="10"/>
  <c r="O257" i="10"/>
  <c r="AY257" i="10"/>
  <c r="Z257" i="10"/>
  <c r="BC257" i="10"/>
  <c r="BB257" i="10"/>
  <c r="AW257" i="10"/>
  <c r="AB257" i="10"/>
  <c r="AA257" i="10"/>
  <c r="P257" i="10"/>
  <c r="BF257" i="10"/>
  <c r="AE257" i="10"/>
  <c r="AD257" i="10"/>
  <c r="AP257" i="10"/>
  <c r="AL257" i="10"/>
  <c r="AX257" i="10"/>
  <c r="AF257" i="10"/>
  <c r="V257" i="10"/>
  <c r="R257" i="10"/>
  <c r="AJ257" i="10"/>
  <c r="AH257" i="10"/>
  <c r="AS257" i="10"/>
  <c r="AR257" i="10"/>
  <c r="AK257" i="10"/>
  <c r="BA257" i="10"/>
  <c r="AV257" i="10"/>
  <c r="AU257" i="10"/>
  <c r="AT257" i="10"/>
  <c r="BE257" i="10"/>
  <c r="AQ257" i="10"/>
  <c r="AN257" i="10"/>
  <c r="AG257" i="10"/>
  <c r="T257" i="10"/>
  <c r="S257" i="10"/>
  <c r="Q257" i="10"/>
  <c r="AC257" i="10"/>
  <c r="W257" i="10"/>
  <c r="U257" i="10"/>
  <c r="AH58" i="10"/>
  <c r="AC58" i="10"/>
  <c r="AB58" i="10"/>
  <c r="AA58" i="10"/>
  <c r="BG58" i="10"/>
  <c r="Z58" i="10"/>
  <c r="BC58" i="10"/>
  <c r="R58" i="10"/>
  <c r="AL58" i="10"/>
  <c r="AK58" i="10"/>
  <c r="AJ58" i="10"/>
  <c r="AI58" i="10"/>
  <c r="AY58" i="10"/>
  <c r="AX58" i="10"/>
  <c r="AW58" i="10"/>
  <c r="AV58" i="10"/>
  <c r="V58" i="10"/>
  <c r="U58" i="10"/>
  <c r="T58" i="10"/>
  <c r="S58" i="10"/>
  <c r="AD58" i="10"/>
  <c r="Y58" i="10"/>
  <c r="X58" i="10"/>
  <c r="W58" i="10"/>
  <c r="P58" i="10"/>
  <c r="AU58" i="10"/>
  <c r="AT58" i="10"/>
  <c r="AS58" i="10"/>
  <c r="AR58" i="10"/>
  <c r="BD58" i="10"/>
  <c r="BB58" i="10"/>
  <c r="BA58" i="10"/>
  <c r="AZ58" i="10"/>
  <c r="AM58" i="10"/>
  <c r="AF58" i="10"/>
  <c r="AE58" i="10"/>
  <c r="Q58" i="10"/>
  <c r="O58" i="10"/>
  <c r="AG58" i="10"/>
  <c r="BE58" i="10"/>
  <c r="AQ58" i="10"/>
  <c r="AP58" i="10"/>
  <c r="AO58" i="10"/>
  <c r="AN58" i="10"/>
  <c r="BF58" i="10"/>
  <c r="BE87" i="10"/>
  <c r="Y87" i="10"/>
  <c r="AV87" i="10"/>
  <c r="O87" i="10"/>
  <c r="AD87" i="10"/>
  <c r="AC87" i="10"/>
  <c r="AB87" i="10"/>
  <c r="AA87" i="10"/>
  <c r="AR87" i="10"/>
  <c r="AQ87" i="10"/>
  <c r="AP87" i="10"/>
  <c r="AO87" i="10"/>
  <c r="AI87" i="10"/>
  <c r="BC87" i="10"/>
  <c r="BB87" i="10"/>
  <c r="BA87" i="10"/>
  <c r="AZ87" i="10"/>
  <c r="Q87" i="10"/>
  <c r="AH87" i="10"/>
  <c r="AG87" i="10"/>
  <c r="AF87" i="10"/>
  <c r="AE87" i="10"/>
  <c r="BD87" i="10"/>
  <c r="AY87" i="10"/>
  <c r="AX87" i="10"/>
  <c r="AW87" i="10"/>
  <c r="AM87" i="10"/>
  <c r="T87" i="10"/>
  <c r="P87" i="10"/>
  <c r="BG87" i="10"/>
  <c r="AU87" i="10"/>
  <c r="AL87" i="10"/>
  <c r="U87" i="10"/>
  <c r="S87" i="10"/>
  <c r="R87" i="10"/>
  <c r="AK87" i="10"/>
  <c r="BF87" i="10"/>
  <c r="AT87" i="10"/>
  <c r="AS87" i="10"/>
  <c r="AN87" i="10"/>
  <c r="X87" i="10"/>
  <c r="V87" i="10"/>
  <c r="AJ87" i="10"/>
  <c r="Z87" i="10"/>
  <c r="W87" i="10"/>
  <c r="BG153" i="10"/>
  <c r="AA153" i="10"/>
  <c r="AY153" i="10"/>
  <c r="R153" i="10"/>
  <c r="AX153" i="10"/>
  <c r="Q153" i="10"/>
  <c r="AO153" i="10"/>
  <c r="BE153" i="10"/>
  <c r="U153" i="10"/>
  <c r="BF153" i="10"/>
  <c r="T153" i="10"/>
  <c r="BD153" i="10"/>
  <c r="S153" i="10"/>
  <c r="AF153" i="10"/>
  <c r="AM153" i="10"/>
  <c r="AL153" i="10"/>
  <c r="AW153" i="10"/>
  <c r="X153" i="10"/>
  <c r="AQ153" i="10"/>
  <c r="AP153" i="10"/>
  <c r="AN153" i="10"/>
  <c r="AJ153" i="10"/>
  <c r="AD153" i="10"/>
  <c r="Z153" i="10"/>
  <c r="BA153" i="10"/>
  <c r="AZ153" i="10"/>
  <c r="AV153" i="10"/>
  <c r="AU153" i="10"/>
  <c r="AG153" i="10"/>
  <c r="AB153" i="10"/>
  <c r="Y153" i="10"/>
  <c r="P153" i="10"/>
  <c r="BC153" i="10"/>
  <c r="BB153" i="10"/>
  <c r="AR153" i="10"/>
  <c r="AT153" i="10"/>
  <c r="AS153" i="10"/>
  <c r="AK153" i="10"/>
  <c r="AI153" i="10"/>
  <c r="AH153" i="10"/>
  <c r="AE153" i="10"/>
  <c r="AC153" i="10"/>
  <c r="O153" i="10"/>
  <c r="W153" i="10"/>
  <c r="V153" i="10"/>
  <c r="AY218" i="10"/>
  <c r="S218" i="10"/>
  <c r="BF218" i="10"/>
  <c r="Y218" i="10"/>
  <c r="AN218" i="10"/>
  <c r="AK218" i="10"/>
  <c r="AJ218" i="10"/>
  <c r="AE218" i="10"/>
  <c r="AD218" i="10"/>
  <c r="AR218" i="10"/>
  <c r="AQ218" i="10"/>
  <c r="Z218" i="10"/>
  <c r="X218" i="10"/>
  <c r="AO218" i="10"/>
  <c r="AM218" i="10"/>
  <c r="BD218" i="10"/>
  <c r="BB218" i="10"/>
  <c r="AA218" i="10"/>
  <c r="U218" i="10"/>
  <c r="AP218" i="10"/>
  <c r="AH218" i="10"/>
  <c r="AB218" i="10"/>
  <c r="AL218" i="10"/>
  <c r="AI218" i="10"/>
  <c r="V218" i="10"/>
  <c r="BG218" i="10"/>
  <c r="BE218" i="10"/>
  <c r="Q218" i="10"/>
  <c r="P218" i="10"/>
  <c r="R218" i="10"/>
  <c r="BC218" i="10"/>
  <c r="BA218" i="10"/>
  <c r="AZ218" i="10"/>
  <c r="AX218" i="10"/>
  <c r="AC218" i="10"/>
  <c r="AV218" i="10"/>
  <c r="AS218" i="10"/>
  <c r="AU218" i="10"/>
  <c r="AT218" i="10"/>
  <c r="AF218" i="10"/>
  <c r="W218" i="10"/>
  <c r="T218" i="10"/>
  <c r="O218" i="10"/>
  <c r="AW218" i="10"/>
  <c r="AG218" i="10"/>
  <c r="AS96" i="10"/>
  <c r="AR96" i="10"/>
  <c r="AW96" i="10"/>
  <c r="O96" i="10"/>
  <c r="AC96" i="10"/>
  <c r="AB96" i="10"/>
  <c r="AA96" i="10"/>
  <c r="Z96" i="10"/>
  <c r="AM96" i="10"/>
  <c r="AL96" i="10"/>
  <c r="AK96" i="10"/>
  <c r="AJ96" i="10"/>
  <c r="AP96" i="10"/>
  <c r="Q96" i="10"/>
  <c r="BG96" i="10"/>
  <c r="P96" i="10"/>
  <c r="BF96" i="10"/>
  <c r="BE96" i="10"/>
  <c r="AQ96" i="10"/>
  <c r="AI96" i="10"/>
  <c r="BD96" i="10"/>
  <c r="BC96" i="10"/>
  <c r="AX96" i="10"/>
  <c r="AV96" i="10"/>
  <c r="AU96" i="10"/>
  <c r="AT96" i="10"/>
  <c r="AF96" i="10"/>
  <c r="S96" i="10"/>
  <c r="AN96" i="10"/>
  <c r="AH96" i="10"/>
  <c r="AG96" i="10"/>
  <c r="AE96" i="10"/>
  <c r="BB96" i="10"/>
  <c r="AY96" i="10"/>
  <c r="AO96" i="10"/>
  <c r="AD96" i="10"/>
  <c r="Y96" i="10"/>
  <c r="T96" i="10"/>
  <c r="V96" i="10"/>
  <c r="U96" i="10"/>
  <c r="R96" i="10"/>
  <c r="AZ96" i="10"/>
  <c r="X96" i="10"/>
  <c r="BA96" i="10"/>
  <c r="W96" i="10"/>
  <c r="AL70" i="10"/>
  <c r="AZ70" i="10"/>
  <c r="T70" i="10"/>
  <c r="AY70" i="10"/>
  <c r="S70" i="10"/>
  <c r="AX70" i="10"/>
  <c r="R70" i="10"/>
  <c r="BB70" i="10"/>
  <c r="O70" i="10"/>
  <c r="AV70" i="10"/>
  <c r="AW70" i="10"/>
  <c r="AD70" i="10"/>
  <c r="AC70" i="10"/>
  <c r="AB70" i="10"/>
  <c r="AA70" i="10"/>
  <c r="AK70" i="10"/>
  <c r="BG70" i="10"/>
  <c r="BF70" i="10"/>
  <c r="BE70" i="10"/>
  <c r="BD70" i="10"/>
  <c r="AH70" i="10"/>
  <c r="AG70" i="10"/>
  <c r="AF70" i="10"/>
  <c r="AE70" i="10"/>
  <c r="V70" i="10"/>
  <c r="BA70" i="10"/>
  <c r="AU70" i="10"/>
  <c r="AT70" i="10"/>
  <c r="AS70" i="10"/>
  <c r="AP70" i="10"/>
  <c r="AO70" i="10"/>
  <c r="AM70" i="10"/>
  <c r="AJ70" i="10"/>
  <c r="AI70" i="10"/>
  <c r="Z70" i="10"/>
  <c r="X70" i="10"/>
  <c r="P70" i="10"/>
  <c r="BC70" i="10"/>
  <c r="AN70" i="10"/>
  <c r="AR70" i="10"/>
  <c r="AQ70" i="10"/>
  <c r="W70" i="10"/>
  <c r="Y70" i="10"/>
  <c r="U70" i="10"/>
  <c r="Q70" i="10"/>
  <c r="BE100" i="10"/>
  <c r="Y100" i="10"/>
  <c r="AD100" i="10"/>
  <c r="AM100" i="10"/>
  <c r="BA100" i="10"/>
  <c r="S100" i="10"/>
  <c r="AZ100" i="10"/>
  <c r="R100" i="10"/>
  <c r="AY100" i="10"/>
  <c r="Q100" i="10"/>
  <c r="AX100" i="10"/>
  <c r="P100" i="10"/>
  <c r="V100" i="10"/>
  <c r="U100" i="10"/>
  <c r="T100" i="10"/>
  <c r="BG100" i="10"/>
  <c r="O100" i="10"/>
  <c r="AU100" i="10"/>
  <c r="AR100" i="10"/>
  <c r="X100" i="10"/>
  <c r="W100" i="10"/>
  <c r="AH100" i="10"/>
  <c r="AE100" i="10"/>
  <c r="AW100" i="10"/>
  <c r="AV100" i="10"/>
  <c r="AT100" i="10"/>
  <c r="AS100" i="10"/>
  <c r="AN100" i="10"/>
  <c r="AJ100" i="10"/>
  <c r="AI100" i="10"/>
  <c r="AG100" i="10"/>
  <c r="AF100" i="10"/>
  <c r="AB100" i="10"/>
  <c r="AA100" i="10"/>
  <c r="Z100" i="10"/>
  <c r="BD100" i="10"/>
  <c r="BC100" i="10"/>
  <c r="BB100" i="10"/>
  <c r="AQ100" i="10"/>
  <c r="AO100" i="10"/>
  <c r="BF100" i="10"/>
  <c r="AK100" i="10"/>
  <c r="AC100" i="10"/>
  <c r="AL100" i="10"/>
  <c r="AP100" i="10"/>
  <c r="BE193" i="10"/>
  <c r="Y193" i="10"/>
  <c r="AI193" i="10"/>
  <c r="AH193" i="10"/>
  <c r="AO193" i="10"/>
  <c r="AN193" i="10"/>
  <c r="AY193" i="10"/>
  <c r="P193" i="10"/>
  <c r="AW193" i="10"/>
  <c r="Z193" i="10"/>
  <c r="V193" i="10"/>
  <c r="AG193" i="10"/>
  <c r="BB193" i="10"/>
  <c r="AX193" i="10"/>
  <c r="AS193" i="10"/>
  <c r="BG193" i="10"/>
  <c r="BF193" i="10"/>
  <c r="AA193" i="10"/>
  <c r="X193" i="10"/>
  <c r="AF193" i="10"/>
  <c r="AE193" i="10"/>
  <c r="AU193" i="10"/>
  <c r="AT193" i="10"/>
  <c r="Q193" i="10"/>
  <c r="AQ193" i="10"/>
  <c r="AP193" i="10"/>
  <c r="AM193" i="10"/>
  <c r="AL193" i="10"/>
  <c r="AB193" i="10"/>
  <c r="W193" i="10"/>
  <c r="U193" i="10"/>
  <c r="T193" i="10"/>
  <c r="AJ193" i="10"/>
  <c r="S193" i="10"/>
  <c r="AZ193" i="10"/>
  <c r="AV193" i="10"/>
  <c r="AR193" i="10"/>
  <c r="AK193" i="10"/>
  <c r="AD193" i="10"/>
  <c r="AC193" i="10"/>
  <c r="R193" i="10"/>
  <c r="O193" i="10"/>
  <c r="BA193" i="10"/>
  <c r="BD193" i="10"/>
  <c r="BC193" i="10"/>
  <c r="AL219" i="10"/>
  <c r="AT219" i="10"/>
  <c r="AB219" i="10"/>
  <c r="AA219" i="10"/>
  <c r="Z219" i="10"/>
  <c r="W219" i="10"/>
  <c r="BG219" i="10"/>
  <c r="V219" i="10"/>
  <c r="AJ219" i="10"/>
  <c r="AI219" i="10"/>
  <c r="X219" i="10"/>
  <c r="U219" i="10"/>
  <c r="AN219" i="10"/>
  <c r="AM219" i="10"/>
  <c r="BE219" i="10"/>
  <c r="BC219" i="10"/>
  <c r="AF219" i="10"/>
  <c r="AC219" i="10"/>
  <c r="T219" i="10"/>
  <c r="AX219" i="10"/>
  <c r="AU219" i="10"/>
  <c r="AP219" i="10"/>
  <c r="BB219" i="10"/>
  <c r="BA219" i="10"/>
  <c r="AS219" i="10"/>
  <c r="AE219" i="10"/>
  <c r="AD219" i="10"/>
  <c r="R219" i="10"/>
  <c r="AY219" i="10"/>
  <c r="AW219" i="10"/>
  <c r="AH219" i="10"/>
  <c r="AG219" i="10"/>
  <c r="Y219" i="10"/>
  <c r="S219" i="10"/>
  <c r="AR219" i="10"/>
  <c r="AK219" i="10"/>
  <c r="BF219" i="10"/>
  <c r="BD219" i="10"/>
  <c r="AZ219" i="10"/>
  <c r="AV219" i="10"/>
  <c r="AQ219" i="10"/>
  <c r="AO219" i="10"/>
  <c r="Q219" i="10"/>
  <c r="O219" i="10"/>
  <c r="P219" i="10"/>
  <c r="AQ124" i="10"/>
  <c r="AX124" i="10"/>
  <c r="Q124" i="10"/>
  <c r="AR124" i="10"/>
  <c r="BD124" i="10"/>
  <c r="U124" i="10"/>
  <c r="AC124" i="10"/>
  <c r="AS124" i="10"/>
  <c r="AP124" i="10"/>
  <c r="AO124" i="10"/>
  <c r="AN124" i="10"/>
  <c r="T124" i="10"/>
  <c r="AK124" i="10"/>
  <c r="AJ124" i="10"/>
  <c r="AI124" i="10"/>
  <c r="AH124" i="10"/>
  <c r="AT124" i="10"/>
  <c r="AG124" i="10"/>
  <c r="BG124" i="10"/>
  <c r="BF124" i="10"/>
  <c r="BE124" i="10"/>
  <c r="AA124" i="10"/>
  <c r="X124" i="10"/>
  <c r="BA124" i="10"/>
  <c r="AZ124" i="10"/>
  <c r="AY124" i="10"/>
  <c r="AW124" i="10"/>
  <c r="AD124" i="10"/>
  <c r="AB124" i="10"/>
  <c r="Z124" i="10"/>
  <c r="Y124" i="10"/>
  <c r="P124" i="10"/>
  <c r="BB124" i="10"/>
  <c r="AV124" i="10"/>
  <c r="AU124" i="10"/>
  <c r="O124" i="10"/>
  <c r="BC124" i="10"/>
  <c r="AF124" i="10"/>
  <c r="AE124" i="10"/>
  <c r="W124" i="10"/>
  <c r="V124" i="10"/>
  <c r="AL124" i="10"/>
  <c r="AM124" i="10"/>
  <c r="R124" i="10"/>
  <c r="S124" i="10"/>
  <c r="AJ149" i="10"/>
  <c r="AI149" i="10"/>
  <c r="AV149" i="10"/>
  <c r="BE149" i="10"/>
  <c r="V149" i="10"/>
  <c r="AZ149" i="10"/>
  <c r="P149" i="10"/>
  <c r="AY149" i="10"/>
  <c r="O149" i="10"/>
  <c r="AA149" i="10"/>
  <c r="BD149" i="10"/>
  <c r="Q149" i="10"/>
  <c r="BC149" i="10"/>
  <c r="AD149" i="10"/>
  <c r="AT149" i="10"/>
  <c r="Y149" i="10"/>
  <c r="AQ149" i="10"/>
  <c r="AP149" i="10"/>
  <c r="AO149" i="10"/>
  <c r="AN149" i="10"/>
  <c r="AK149" i="10"/>
  <c r="AF149" i="10"/>
  <c r="BG149" i="10"/>
  <c r="BF149" i="10"/>
  <c r="BB149" i="10"/>
  <c r="AB149" i="10"/>
  <c r="Z149" i="10"/>
  <c r="X149" i="10"/>
  <c r="W149" i="10"/>
  <c r="AH149" i="10"/>
  <c r="AC149" i="10"/>
  <c r="AM149" i="10"/>
  <c r="AL149" i="10"/>
  <c r="AG149" i="10"/>
  <c r="AE149" i="10"/>
  <c r="BA149" i="10"/>
  <c r="AX149" i="10"/>
  <c r="AW149" i="10"/>
  <c r="AU149" i="10"/>
  <c r="AS149" i="10"/>
  <c r="AR149" i="10"/>
  <c r="U149" i="10"/>
  <c r="T149" i="10"/>
  <c r="S149" i="10"/>
  <c r="R149" i="10"/>
  <c r="AP263" i="10"/>
  <c r="BE263" i="10"/>
  <c r="Y263" i="10"/>
  <c r="AB263" i="10"/>
  <c r="AR263" i="10"/>
  <c r="AL263" i="10"/>
  <c r="AU263" i="10"/>
  <c r="AT263" i="10"/>
  <c r="BD263" i="10"/>
  <c r="S263" i="10"/>
  <c r="AH263" i="10"/>
  <c r="AG263" i="10"/>
  <c r="AD263" i="10"/>
  <c r="AW263" i="10"/>
  <c r="AV263" i="10"/>
  <c r="AM263" i="10"/>
  <c r="AK263" i="10"/>
  <c r="AF263" i="10"/>
  <c r="BC263" i="10"/>
  <c r="BB263" i="10"/>
  <c r="Z263" i="10"/>
  <c r="V263" i="10"/>
  <c r="AZ263" i="10"/>
  <c r="X263" i="10"/>
  <c r="T263" i="10"/>
  <c r="O263" i="10"/>
  <c r="BA263" i="10"/>
  <c r="AY263" i="10"/>
  <c r="AN263" i="10"/>
  <c r="BG263" i="10"/>
  <c r="BF263" i="10"/>
  <c r="AQ263" i="10"/>
  <c r="AO263" i="10"/>
  <c r="AJ263" i="10"/>
  <c r="AI263" i="10"/>
  <c r="AE263" i="10"/>
  <c r="U263" i="10"/>
  <c r="P263" i="10"/>
  <c r="R263" i="10"/>
  <c r="AC263" i="10"/>
  <c r="Q263" i="10"/>
  <c r="AX263" i="10"/>
  <c r="AS263" i="10"/>
  <c r="AA263" i="10"/>
  <c r="W263" i="10"/>
  <c r="AT154" i="10"/>
  <c r="AM154" i="10"/>
  <c r="AL154" i="10"/>
  <c r="AE154" i="10"/>
  <c r="AW154" i="10"/>
  <c r="AY154" i="10"/>
  <c r="AX154" i="10"/>
  <c r="X154" i="10"/>
  <c r="AI154" i="10"/>
  <c r="AH154" i="10"/>
  <c r="AU154" i="10"/>
  <c r="W154" i="10"/>
  <c r="AQ154" i="10"/>
  <c r="AP154" i="10"/>
  <c r="AO154" i="10"/>
  <c r="AV154" i="10"/>
  <c r="R154" i="10"/>
  <c r="Q154" i="10"/>
  <c r="P154" i="10"/>
  <c r="O154" i="10"/>
  <c r="AZ154" i="10"/>
  <c r="AN154" i="10"/>
  <c r="BE154" i="10"/>
  <c r="V154" i="10"/>
  <c r="U154" i="10"/>
  <c r="T154" i="10"/>
  <c r="S154" i="10"/>
  <c r="Z154" i="10"/>
  <c r="Y154" i="10"/>
  <c r="AG154" i="10"/>
  <c r="AF154" i="10"/>
  <c r="AD154" i="10"/>
  <c r="AC154" i="10"/>
  <c r="BG154" i="10"/>
  <c r="BF154" i="10"/>
  <c r="BC154" i="10"/>
  <c r="BB154" i="10"/>
  <c r="BA154" i="10"/>
  <c r="AA154" i="10"/>
  <c r="AS154" i="10"/>
  <c r="BD154" i="10"/>
  <c r="AK154" i="10"/>
  <c r="AJ154" i="10"/>
  <c r="AB154" i="10"/>
  <c r="AR154" i="10"/>
  <c r="AN182" i="10"/>
  <c r="AH182" i="10"/>
  <c r="AG182" i="10"/>
  <c r="AQ182" i="10"/>
  <c r="AP182" i="10"/>
  <c r="AU182" i="10"/>
  <c r="AA182" i="10"/>
  <c r="AV182" i="10"/>
  <c r="AR182" i="10"/>
  <c r="AD182" i="10"/>
  <c r="AC182" i="10"/>
  <c r="AW182" i="10"/>
  <c r="AT182" i="10"/>
  <c r="AL182" i="10"/>
  <c r="AK182" i="10"/>
  <c r="BC182" i="10"/>
  <c r="BB182" i="10"/>
  <c r="S182" i="10"/>
  <c r="AO182" i="10"/>
  <c r="AM182" i="10"/>
  <c r="AJ182" i="10"/>
  <c r="BE182" i="10"/>
  <c r="R182" i="10"/>
  <c r="Q182" i="10"/>
  <c r="P182" i="10"/>
  <c r="O182" i="10"/>
  <c r="AS182" i="10"/>
  <c r="AI182" i="10"/>
  <c r="AF182" i="10"/>
  <c r="AE182" i="10"/>
  <c r="BD182" i="10"/>
  <c r="AY182" i="10"/>
  <c r="AX182" i="10"/>
  <c r="AB182" i="10"/>
  <c r="Z182" i="10"/>
  <c r="U182" i="10"/>
  <c r="AZ182" i="10"/>
  <c r="Y182" i="10"/>
  <c r="X182" i="10"/>
  <c r="W182" i="10"/>
  <c r="BG182" i="10"/>
  <c r="BA182" i="10"/>
  <c r="BF182" i="10"/>
  <c r="T182" i="10"/>
  <c r="V182" i="10"/>
  <c r="AT91" i="10"/>
  <c r="AL91" i="10"/>
  <c r="AH91" i="10"/>
  <c r="AX91" i="10"/>
  <c r="P91" i="10"/>
  <c r="AW91" i="10"/>
  <c r="O91" i="10"/>
  <c r="AV91" i="10"/>
  <c r="AU91" i="10"/>
  <c r="W91" i="10"/>
  <c r="V91" i="10"/>
  <c r="U91" i="10"/>
  <c r="BG91" i="10"/>
  <c r="T91" i="10"/>
  <c r="AI91" i="10"/>
  <c r="BD91" i="10"/>
  <c r="BC91" i="10"/>
  <c r="BB91" i="10"/>
  <c r="BA91" i="10"/>
  <c r="AR91" i="10"/>
  <c r="AO91" i="10"/>
  <c r="Q91" i="10"/>
  <c r="BE91" i="10"/>
  <c r="AJ91" i="10"/>
  <c r="AE91" i="10"/>
  <c r="AD91" i="10"/>
  <c r="AC91" i="10"/>
  <c r="AB91" i="10"/>
  <c r="Z91" i="10"/>
  <c r="Y91" i="10"/>
  <c r="X91" i="10"/>
  <c r="AP91" i="10"/>
  <c r="AN91" i="10"/>
  <c r="AM91" i="10"/>
  <c r="AK91" i="10"/>
  <c r="AZ91" i="10"/>
  <c r="AY91" i="10"/>
  <c r="AS91" i="10"/>
  <c r="AQ91" i="10"/>
  <c r="AG91" i="10"/>
  <c r="AF91" i="10"/>
  <c r="AA91" i="10"/>
  <c r="BF91" i="10"/>
  <c r="S91" i="10"/>
  <c r="R91" i="10"/>
  <c r="AY161" i="10"/>
  <c r="S161" i="10"/>
  <c r="AX161" i="10"/>
  <c r="R161" i="10"/>
  <c r="AE161" i="10"/>
  <c r="AD161" i="10"/>
  <c r="AQ161" i="10"/>
  <c r="AH161" i="10"/>
  <c r="AS161" i="10"/>
  <c r="AR161" i="10"/>
  <c r="BE161" i="10"/>
  <c r="Q161" i="10"/>
  <c r="U161" i="10"/>
  <c r="T161" i="10"/>
  <c r="AF161" i="10"/>
  <c r="AL161" i="10"/>
  <c r="BF161" i="10"/>
  <c r="BD161" i="10"/>
  <c r="BC161" i="10"/>
  <c r="BA161" i="10"/>
  <c r="Y161" i="10"/>
  <c r="X161" i="10"/>
  <c r="W161" i="10"/>
  <c r="V161" i="10"/>
  <c r="AW161" i="10"/>
  <c r="AT161" i="10"/>
  <c r="BG161" i="10"/>
  <c r="P161" i="10"/>
  <c r="O161" i="10"/>
  <c r="AV161" i="10"/>
  <c r="AO161" i="10"/>
  <c r="AN161" i="10"/>
  <c r="Z161" i="10"/>
  <c r="AJ161" i="10"/>
  <c r="AI161" i="10"/>
  <c r="AG161" i="10"/>
  <c r="AC161" i="10"/>
  <c r="AA161" i="10"/>
  <c r="BB161" i="10"/>
  <c r="AZ161" i="10"/>
  <c r="AU161" i="10"/>
  <c r="AP161" i="10"/>
  <c r="AK161" i="10"/>
  <c r="AM161" i="10"/>
  <c r="AB161" i="10"/>
  <c r="AB53" i="10"/>
  <c r="BG53" i="10"/>
  <c r="AA53" i="10"/>
  <c r="BF53" i="10"/>
  <c r="Z53" i="10"/>
  <c r="BE53" i="10"/>
  <c r="Y53" i="10"/>
  <c r="U53" i="10"/>
  <c r="AN53" i="10"/>
  <c r="AM53" i="10"/>
  <c r="AL53" i="10"/>
  <c r="AK53" i="10"/>
  <c r="BC53" i="10"/>
  <c r="BB53" i="10"/>
  <c r="BA53" i="10"/>
  <c r="AZ53" i="10"/>
  <c r="AE53" i="10"/>
  <c r="AD53" i="10"/>
  <c r="AC53" i="10"/>
  <c r="X53" i="10"/>
  <c r="R53" i="10"/>
  <c r="Q53" i="10"/>
  <c r="P53" i="10"/>
  <c r="O53" i="10"/>
  <c r="AQ53" i="10"/>
  <c r="AP53" i="10"/>
  <c r="AO53" i="10"/>
  <c r="AJ53" i="10"/>
  <c r="AW53" i="10"/>
  <c r="AR53" i="10"/>
  <c r="AV53" i="10"/>
  <c r="AU53" i="10"/>
  <c r="AT53" i="10"/>
  <c r="AS53" i="10"/>
  <c r="AH53" i="10"/>
  <c r="W53" i="10"/>
  <c r="V53" i="10"/>
  <c r="T53" i="10"/>
  <c r="S53" i="10"/>
  <c r="BD53" i="10"/>
  <c r="AX53" i="10"/>
  <c r="AY53" i="10"/>
  <c r="AG53" i="10"/>
  <c r="AF53" i="10"/>
  <c r="AI53" i="10"/>
  <c r="AW260" i="10"/>
  <c r="Q260" i="10"/>
  <c r="AF260" i="10"/>
  <c r="Z260" i="10"/>
  <c r="AP260" i="10"/>
  <c r="AK260" i="10"/>
  <c r="AD260" i="10"/>
  <c r="AC260" i="10"/>
  <c r="AO260" i="10"/>
  <c r="AT260" i="10"/>
  <c r="AS260" i="10"/>
  <c r="AN260" i="10"/>
  <c r="BE260" i="10"/>
  <c r="P260" i="10"/>
  <c r="BD260" i="10"/>
  <c r="O260" i="10"/>
  <c r="Y260" i="10"/>
  <c r="X260" i="10"/>
  <c r="U260" i="10"/>
  <c r="AQ260" i="10"/>
  <c r="AM260" i="10"/>
  <c r="V260" i="10"/>
  <c r="S260" i="10"/>
  <c r="AX260" i="10"/>
  <c r="AR260" i="10"/>
  <c r="BB260" i="10"/>
  <c r="AB260" i="10"/>
  <c r="T260" i="10"/>
  <c r="AG260" i="10"/>
  <c r="AE260" i="10"/>
  <c r="BF260" i="10"/>
  <c r="BC260" i="10"/>
  <c r="AH260" i="10"/>
  <c r="AA260" i="10"/>
  <c r="AJ260" i="10"/>
  <c r="AI260" i="10"/>
  <c r="W260" i="10"/>
  <c r="R260" i="10"/>
  <c r="BA260" i="10"/>
  <c r="AZ260" i="10"/>
  <c r="AY260" i="10"/>
  <c r="AV260" i="10"/>
  <c r="BG260" i="10"/>
  <c r="AU260" i="10"/>
  <c r="AL260" i="10"/>
  <c r="AK17" i="10"/>
  <c r="AJ17" i="10"/>
  <c r="AI17" i="10"/>
  <c r="AH17" i="10"/>
  <c r="BF17" i="10"/>
  <c r="V17" i="10"/>
  <c r="BC17" i="10"/>
  <c r="S17" i="10"/>
  <c r="AL17" i="10"/>
  <c r="AG17" i="10"/>
  <c r="AF17" i="10"/>
  <c r="AE17" i="10"/>
  <c r="P17" i="10"/>
  <c r="BE17" i="10"/>
  <c r="AM17" i="10"/>
  <c r="AD17" i="10"/>
  <c r="AC17" i="10"/>
  <c r="AB17" i="10"/>
  <c r="AW17" i="10"/>
  <c r="AV17" i="10"/>
  <c r="AU17" i="10"/>
  <c r="AT17" i="10"/>
  <c r="AR17" i="10"/>
  <c r="AS17" i="10"/>
  <c r="AP17" i="10"/>
  <c r="AA17" i="10"/>
  <c r="Z17" i="10"/>
  <c r="Y17" i="10"/>
  <c r="X17" i="10"/>
  <c r="Q17" i="10"/>
  <c r="BD17" i="10"/>
  <c r="BG17" i="10"/>
  <c r="AZ17" i="10"/>
  <c r="AX17" i="10"/>
  <c r="BB17" i="10"/>
  <c r="BA17" i="10"/>
  <c r="AY17" i="10"/>
  <c r="AQ17" i="10"/>
  <c r="AO17" i="10"/>
  <c r="AN17" i="10"/>
  <c r="W17" i="10"/>
  <c r="U17" i="10"/>
  <c r="T17" i="10"/>
  <c r="R17" i="10"/>
  <c r="O17" i="10"/>
  <c r="AD170" i="10"/>
  <c r="AC170" i="10"/>
  <c r="AJ170" i="10"/>
  <c r="AI170" i="10"/>
  <c r="AN170" i="10"/>
  <c r="AQ170" i="10"/>
  <c r="BF170" i="10"/>
  <c r="U170" i="10"/>
  <c r="AM170" i="10"/>
  <c r="AL170" i="10"/>
  <c r="AZ170" i="10"/>
  <c r="AY170" i="10"/>
  <c r="R170" i="10"/>
  <c r="Q170" i="10"/>
  <c r="AB170" i="10"/>
  <c r="AA170" i="10"/>
  <c r="AX170" i="10"/>
  <c r="AW170" i="10"/>
  <c r="AV170" i="10"/>
  <c r="AT170" i="10"/>
  <c r="O170" i="10"/>
  <c r="BA170" i="10"/>
  <c r="AR170" i="10"/>
  <c r="Y170" i="10"/>
  <c r="X170" i="10"/>
  <c r="W170" i="10"/>
  <c r="V170" i="10"/>
  <c r="BC170" i="10"/>
  <c r="AS170" i="10"/>
  <c r="AP170" i="10"/>
  <c r="AO170" i="10"/>
  <c r="AK170" i="10"/>
  <c r="AH170" i="10"/>
  <c r="T170" i="10"/>
  <c r="BG170" i="10"/>
  <c r="AU170" i="10"/>
  <c r="AG170" i="10"/>
  <c r="AF170" i="10"/>
  <c r="AE170" i="10"/>
  <c r="S170" i="10"/>
  <c r="BE170" i="10"/>
  <c r="BD170" i="10"/>
  <c r="BB170" i="10"/>
  <c r="Z170" i="10"/>
  <c r="P170" i="10"/>
  <c r="AY250" i="10"/>
  <c r="S250" i="10"/>
  <c r="AH250" i="10"/>
  <c r="AF250" i="10"/>
  <c r="AV250" i="10"/>
  <c r="AI250" i="10"/>
  <c r="AG250" i="10"/>
  <c r="AU250" i="10"/>
  <c r="AT250" i="10"/>
  <c r="AQ250" i="10"/>
  <c r="BG250" i="10"/>
  <c r="U250" i="10"/>
  <c r="BF250" i="10"/>
  <c r="T250" i="10"/>
  <c r="AP250" i="10"/>
  <c r="AO250" i="10"/>
  <c r="AL250" i="10"/>
  <c r="BE250" i="10"/>
  <c r="BD250" i="10"/>
  <c r="R250" i="10"/>
  <c r="P250" i="10"/>
  <c r="AM250" i="10"/>
  <c r="AE250" i="10"/>
  <c r="BC250" i="10"/>
  <c r="X250" i="10"/>
  <c r="Q250" i="10"/>
  <c r="W250" i="10"/>
  <c r="V250" i="10"/>
  <c r="AS250" i="10"/>
  <c r="AR250" i="10"/>
  <c r="AA250" i="10"/>
  <c r="Z250" i="10"/>
  <c r="AZ250" i="10"/>
  <c r="AX250" i="10"/>
  <c r="AW250" i="10"/>
  <c r="AN250" i="10"/>
  <c r="AD250" i="10"/>
  <c r="AC250" i="10"/>
  <c r="AB250" i="10"/>
  <c r="Y250" i="10"/>
  <c r="BA250" i="10"/>
  <c r="O250" i="10"/>
  <c r="BB250" i="10"/>
  <c r="AJ250" i="10"/>
  <c r="AK250" i="10"/>
  <c r="AW44" i="10"/>
  <c r="Q44" i="10"/>
  <c r="AM44" i="10"/>
  <c r="BC44" i="10"/>
  <c r="V44" i="10"/>
  <c r="BB44" i="10"/>
  <c r="U44" i="10"/>
  <c r="BA44" i="10"/>
  <c r="T44" i="10"/>
  <c r="AZ44" i="10"/>
  <c r="S44" i="10"/>
  <c r="AP44" i="10"/>
  <c r="AL44" i="10"/>
  <c r="BG44" i="10"/>
  <c r="P44" i="10"/>
  <c r="BF44" i="10"/>
  <c r="O44" i="10"/>
  <c r="BE44" i="10"/>
  <c r="BD44" i="10"/>
  <c r="AS44" i="10"/>
  <c r="AR44" i="10"/>
  <c r="AQ44" i="10"/>
  <c r="AO44" i="10"/>
  <c r="AK44" i="10"/>
  <c r="AG44" i="10"/>
  <c r="R44" i="10"/>
  <c r="AY44" i="10"/>
  <c r="AV44" i="10"/>
  <c r="AX44" i="10"/>
  <c r="AT44" i="10"/>
  <c r="AI44" i="10"/>
  <c r="AH44" i="10"/>
  <c r="AF44" i="10"/>
  <c r="AE44" i="10"/>
  <c r="Z44" i="10"/>
  <c r="X44" i="10"/>
  <c r="W44" i="10"/>
  <c r="AU44" i="10"/>
  <c r="AB44" i="10"/>
  <c r="AN44" i="10"/>
  <c r="AJ44" i="10"/>
  <c r="AA44" i="10"/>
  <c r="AD44" i="10"/>
  <c r="AC44" i="10"/>
  <c r="Y44" i="10"/>
  <c r="AS159" i="10"/>
  <c r="AR159" i="10"/>
  <c r="BA159" i="10"/>
  <c r="S159" i="10"/>
  <c r="AZ159" i="10"/>
  <c r="R159" i="10"/>
  <c r="Y159" i="10"/>
  <c r="AV159" i="10"/>
  <c r="BF159" i="10"/>
  <c r="T159" i="10"/>
  <c r="BE159" i="10"/>
  <c r="Q159" i="10"/>
  <c r="AE159" i="10"/>
  <c r="Z159" i="10"/>
  <c r="X159" i="10"/>
  <c r="AJ159" i="10"/>
  <c r="AH159" i="10"/>
  <c r="BB159" i="10"/>
  <c r="AY159" i="10"/>
  <c r="AX159" i="10"/>
  <c r="AK159" i="10"/>
  <c r="BG159" i="10"/>
  <c r="BD159" i="10"/>
  <c r="O159" i="10"/>
  <c r="AL159" i="10"/>
  <c r="AI159" i="10"/>
  <c r="AG159" i="10"/>
  <c r="AF159" i="10"/>
  <c r="AB159" i="10"/>
  <c r="AA159" i="10"/>
  <c r="W159" i="10"/>
  <c r="V159" i="10"/>
  <c r="AT159" i="10"/>
  <c r="AO159" i="10"/>
  <c r="AQ159" i="10"/>
  <c r="AP159" i="10"/>
  <c r="AN159" i="10"/>
  <c r="AM159" i="10"/>
  <c r="BC159" i="10"/>
  <c r="AW159" i="10"/>
  <c r="AU159" i="10"/>
  <c r="AD159" i="10"/>
  <c r="U159" i="10"/>
  <c r="P159" i="10"/>
  <c r="AC159" i="10"/>
  <c r="BE71" i="10"/>
  <c r="Y71" i="10"/>
  <c r="AM71" i="10"/>
  <c r="AL71" i="10"/>
  <c r="AK71" i="10"/>
  <c r="AS71" i="10"/>
  <c r="AP71" i="10"/>
  <c r="AT71" i="10"/>
  <c r="W71" i="10"/>
  <c r="V71" i="10"/>
  <c r="U71" i="10"/>
  <c r="BG71" i="10"/>
  <c r="T71" i="10"/>
  <c r="AJ71" i="10"/>
  <c r="BF71" i="10"/>
  <c r="BD71" i="10"/>
  <c r="BC71" i="10"/>
  <c r="BB71" i="10"/>
  <c r="AQ71" i="10"/>
  <c r="AO71" i="10"/>
  <c r="AN71" i="10"/>
  <c r="AI71" i="10"/>
  <c r="AD71" i="10"/>
  <c r="P71" i="10"/>
  <c r="AY71" i="10"/>
  <c r="AX71" i="10"/>
  <c r="BA71" i="10"/>
  <c r="AB71" i="10"/>
  <c r="AA71" i="10"/>
  <c r="Z71" i="10"/>
  <c r="X71" i="10"/>
  <c r="Q71" i="10"/>
  <c r="O71" i="10"/>
  <c r="AZ71" i="10"/>
  <c r="AW71" i="10"/>
  <c r="AV71" i="10"/>
  <c r="AG71" i="10"/>
  <c r="AU71" i="10"/>
  <c r="AR71" i="10"/>
  <c r="AH71" i="10"/>
  <c r="AC71" i="10"/>
  <c r="R71" i="10"/>
  <c r="AF71" i="10"/>
  <c r="AE71" i="10"/>
  <c r="S71" i="10"/>
  <c r="AF33" i="10"/>
  <c r="BB33" i="10"/>
  <c r="U33" i="10"/>
  <c r="BA33" i="10"/>
  <c r="T33" i="10"/>
  <c r="AZ33" i="10"/>
  <c r="S33" i="10"/>
  <c r="AY33" i="10"/>
  <c r="R33" i="10"/>
  <c r="AI33" i="10"/>
  <c r="AE33" i="10"/>
  <c r="AU33" i="10"/>
  <c r="AT33" i="10"/>
  <c r="AS33" i="10"/>
  <c r="AR33" i="10"/>
  <c r="Q33" i="10"/>
  <c r="P33" i="10"/>
  <c r="O33" i="10"/>
  <c r="BG33" i="10"/>
  <c r="BC33" i="10"/>
  <c r="AJ33" i="10"/>
  <c r="AH33" i="10"/>
  <c r="AG33" i="10"/>
  <c r="AD33" i="10"/>
  <c r="BF33" i="10"/>
  <c r="BD33" i="10"/>
  <c r="AV33" i="10"/>
  <c r="AQ33" i="10"/>
  <c r="AP33" i="10"/>
  <c r="AO33" i="10"/>
  <c r="AC33" i="10"/>
  <c r="AA33" i="10"/>
  <c r="Z33" i="10"/>
  <c r="Y33" i="10"/>
  <c r="X33" i="10"/>
  <c r="W33" i="10"/>
  <c r="V33" i="10"/>
  <c r="AW33" i="10"/>
  <c r="BE33" i="10"/>
  <c r="AX33" i="10"/>
  <c r="AN33" i="10"/>
  <c r="AM33" i="10"/>
  <c r="AL33" i="10"/>
  <c r="AK33" i="10"/>
  <c r="AB33" i="10"/>
  <c r="AJ202" i="10"/>
  <c r="AV202" i="10"/>
  <c r="O202" i="10"/>
  <c r="AL202" i="10"/>
  <c r="AK202" i="10"/>
  <c r="AW202" i="10"/>
  <c r="AH202" i="10"/>
  <c r="AG202" i="10"/>
  <c r="AU202" i="10"/>
  <c r="AT202" i="10"/>
  <c r="BA202" i="10"/>
  <c r="Y202" i="10"/>
  <c r="V202" i="10"/>
  <c r="AD202" i="10"/>
  <c r="BC202" i="10"/>
  <c r="AY202" i="10"/>
  <c r="AQ202" i="10"/>
  <c r="BE202" i="10"/>
  <c r="AB202" i="10"/>
  <c r="AA202" i="10"/>
  <c r="AO202" i="10"/>
  <c r="AN202" i="10"/>
  <c r="AF202" i="10"/>
  <c r="BG202" i="10"/>
  <c r="BF202" i="10"/>
  <c r="R202" i="10"/>
  <c r="AX202" i="10"/>
  <c r="AS202" i="10"/>
  <c r="AR202" i="10"/>
  <c r="AP202" i="10"/>
  <c r="W202" i="10"/>
  <c r="U202" i="10"/>
  <c r="T202" i="10"/>
  <c r="S202" i="10"/>
  <c r="BB202" i="10"/>
  <c r="AZ202" i="10"/>
  <c r="AM202" i="10"/>
  <c r="AI202" i="10"/>
  <c r="AE202" i="10"/>
  <c r="AC202" i="10"/>
  <c r="Z202" i="10"/>
  <c r="X202" i="10"/>
  <c r="BD202" i="10"/>
  <c r="P202" i="10"/>
  <c r="Q202" i="10"/>
  <c r="AD259" i="10"/>
  <c r="AS259" i="10"/>
  <c r="AK259" i="10"/>
  <c r="BA259" i="10"/>
  <c r="S259" i="10"/>
  <c r="AV259" i="10"/>
  <c r="AL259" i="10"/>
  <c r="AJ259" i="10"/>
  <c r="AW259" i="10"/>
  <c r="AX259" i="10"/>
  <c r="AU259" i="10"/>
  <c r="AQ259" i="10"/>
  <c r="U259" i="10"/>
  <c r="T259" i="10"/>
  <c r="X259" i="10"/>
  <c r="W259" i="10"/>
  <c r="Q259" i="10"/>
  <c r="AI259" i="10"/>
  <c r="AH259" i="10"/>
  <c r="AF259" i="10"/>
  <c r="AB259" i="10"/>
  <c r="AP259" i="10"/>
  <c r="AE259" i="10"/>
  <c r="BE259" i="10"/>
  <c r="BF259" i="10"/>
  <c r="Y259" i="10"/>
  <c r="V259" i="10"/>
  <c r="AY259" i="10"/>
  <c r="AT259" i="10"/>
  <c r="AN259" i="10"/>
  <c r="AA259" i="10"/>
  <c r="AO259" i="10"/>
  <c r="AG259" i="10"/>
  <c r="AC259" i="10"/>
  <c r="P259" i="10"/>
  <c r="BC259" i="10"/>
  <c r="Z259" i="10"/>
  <c r="R259" i="10"/>
  <c r="O259" i="10"/>
  <c r="BG259" i="10"/>
  <c r="BD259" i="10"/>
  <c r="BB259" i="10"/>
  <c r="AZ259" i="10"/>
  <c r="AR259" i="10"/>
  <c r="AM259" i="10"/>
  <c r="AU238" i="10"/>
  <c r="O238" i="10"/>
  <c r="AD238" i="10"/>
  <c r="Z238" i="10"/>
  <c r="AP238" i="10"/>
  <c r="AB238" i="10"/>
  <c r="AA238" i="10"/>
  <c r="AR238" i="10"/>
  <c r="AQ238" i="10"/>
  <c r="BC238" i="10"/>
  <c r="Q238" i="10"/>
  <c r="BB238" i="10"/>
  <c r="P238" i="10"/>
  <c r="AL238" i="10"/>
  <c r="AK238" i="10"/>
  <c r="AH238" i="10"/>
  <c r="AZ238" i="10"/>
  <c r="AY238" i="10"/>
  <c r="U238" i="10"/>
  <c r="S238" i="10"/>
  <c r="AO238" i="10"/>
  <c r="AJ238" i="10"/>
  <c r="AS238" i="10"/>
  <c r="BF238" i="10"/>
  <c r="BD238" i="10"/>
  <c r="W238" i="10"/>
  <c r="V238" i="10"/>
  <c r="AN238" i="10"/>
  <c r="AM238" i="10"/>
  <c r="AF238" i="10"/>
  <c r="AX238" i="10"/>
  <c r="BG238" i="10"/>
  <c r="BE238" i="10"/>
  <c r="BA238" i="10"/>
  <c r="AW238" i="10"/>
  <c r="T238" i="10"/>
  <c r="R238" i="10"/>
  <c r="Y238" i="10"/>
  <c r="X238" i="10"/>
  <c r="AE238" i="10"/>
  <c r="AI238" i="10"/>
  <c r="AG238" i="10"/>
  <c r="AC238" i="10"/>
  <c r="AV238" i="10"/>
  <c r="AT238" i="10"/>
  <c r="AX255" i="10"/>
  <c r="R255" i="10"/>
  <c r="AG255" i="10"/>
  <c r="AT255" i="10"/>
  <c r="AB255" i="10"/>
  <c r="BE255" i="10"/>
  <c r="W255" i="10"/>
  <c r="AD255" i="10"/>
  <c r="AC255" i="10"/>
  <c r="AN255" i="10"/>
  <c r="T255" i="10"/>
  <c r="S255" i="10"/>
  <c r="BD255" i="10"/>
  <c r="O255" i="10"/>
  <c r="AI255" i="10"/>
  <c r="AH255" i="10"/>
  <c r="BA255" i="10"/>
  <c r="AZ255" i="10"/>
  <c r="AV255" i="10"/>
  <c r="U255" i="10"/>
  <c r="Q255" i="10"/>
  <c r="AM255" i="10"/>
  <c r="AJ255" i="10"/>
  <c r="X255" i="10"/>
  <c r="AY255" i="10"/>
  <c r="AS255" i="10"/>
  <c r="AO255" i="10"/>
  <c r="P255" i="10"/>
  <c r="AR255" i="10"/>
  <c r="AQ255" i="10"/>
  <c r="AP255" i="10"/>
  <c r="AL255" i="10"/>
  <c r="AE255" i="10"/>
  <c r="AF255" i="10"/>
  <c r="AA255" i="10"/>
  <c r="Z255" i="10"/>
  <c r="Y255" i="10"/>
  <c r="BG255" i="10"/>
  <c r="BB255" i="10"/>
  <c r="BC255" i="10"/>
  <c r="BF255" i="10"/>
  <c r="AW255" i="10"/>
  <c r="AU255" i="10"/>
  <c r="V255" i="10"/>
  <c r="AK255" i="10"/>
  <c r="AZ64" i="10"/>
  <c r="T64" i="10"/>
  <c r="AO64" i="10"/>
  <c r="BE64" i="10"/>
  <c r="X64" i="10"/>
  <c r="BD64" i="10"/>
  <c r="W64" i="10"/>
  <c r="BC64" i="10"/>
  <c r="V64" i="10"/>
  <c r="BB64" i="10"/>
  <c r="U64" i="10"/>
  <c r="R64" i="10"/>
  <c r="AL64" i="10"/>
  <c r="AK64" i="10"/>
  <c r="AJ64" i="10"/>
  <c r="AI64" i="10"/>
  <c r="BG64" i="10"/>
  <c r="BF64" i="10"/>
  <c r="BA64" i="10"/>
  <c r="AU64" i="10"/>
  <c r="AG64" i="10"/>
  <c r="AD64" i="10"/>
  <c r="AC64" i="10"/>
  <c r="AB64" i="10"/>
  <c r="AA64" i="10"/>
  <c r="Q64" i="10"/>
  <c r="AM64" i="10"/>
  <c r="AH64" i="10"/>
  <c r="AF64" i="10"/>
  <c r="AE64" i="10"/>
  <c r="AY64" i="10"/>
  <c r="AX64" i="10"/>
  <c r="AR64" i="10"/>
  <c r="AP64" i="10"/>
  <c r="AN64" i="10"/>
  <c r="Z64" i="10"/>
  <c r="Y64" i="10"/>
  <c r="S64" i="10"/>
  <c r="O64" i="10"/>
  <c r="P64" i="10"/>
  <c r="AQ64" i="10"/>
  <c r="AW64" i="10"/>
  <c r="AS64" i="10"/>
  <c r="AV64" i="10"/>
  <c r="AT64" i="10"/>
  <c r="AY116" i="10"/>
  <c r="S116" i="10"/>
  <c r="AT116" i="10"/>
  <c r="AC116" i="10"/>
  <c r="AB116" i="10"/>
  <c r="Y116" i="10"/>
  <c r="AO116" i="10"/>
  <c r="AN116" i="10"/>
  <c r="AM116" i="10"/>
  <c r="AL116" i="10"/>
  <c r="BC116" i="10"/>
  <c r="BB116" i="10"/>
  <c r="BA116" i="10"/>
  <c r="AZ116" i="10"/>
  <c r="AV116" i="10"/>
  <c r="AR116" i="10"/>
  <c r="T116" i="10"/>
  <c r="R116" i="10"/>
  <c r="Q116" i="10"/>
  <c r="P116" i="10"/>
  <c r="V116" i="10"/>
  <c r="AK116" i="10"/>
  <c r="AJ116" i="10"/>
  <c r="AI116" i="10"/>
  <c r="AH116" i="10"/>
  <c r="AW116" i="10"/>
  <c r="AQ116" i="10"/>
  <c r="AP116" i="10"/>
  <c r="AG116" i="10"/>
  <c r="AF116" i="10"/>
  <c r="AD116" i="10"/>
  <c r="AA116" i="10"/>
  <c r="Z116" i="10"/>
  <c r="BG116" i="10"/>
  <c r="BE116" i="10"/>
  <c r="AS116" i="10"/>
  <c r="BD116" i="10"/>
  <c r="BF116" i="10"/>
  <c r="AU116" i="10"/>
  <c r="W116" i="10"/>
  <c r="U116" i="10"/>
  <c r="O116" i="10"/>
  <c r="AX116" i="10"/>
  <c r="AE116" i="10"/>
  <c r="X116" i="10"/>
  <c r="AF68" i="10"/>
  <c r="AT68" i="10"/>
  <c r="AS68" i="10"/>
  <c r="AR68" i="10"/>
  <c r="AG68" i="10"/>
  <c r="Z68" i="10"/>
  <c r="AQ68" i="10"/>
  <c r="AP68" i="10"/>
  <c r="AO68" i="10"/>
  <c r="AN68" i="10"/>
  <c r="AJ68" i="10"/>
  <c r="BF68" i="10"/>
  <c r="P68" i="10"/>
  <c r="BE68" i="10"/>
  <c r="O68" i="10"/>
  <c r="BD68" i="10"/>
  <c r="BC68" i="10"/>
  <c r="T68" i="10"/>
  <c r="S68" i="10"/>
  <c r="R68" i="10"/>
  <c r="Q68" i="10"/>
  <c r="BG68" i="10"/>
  <c r="AM68" i="10"/>
  <c r="AI68" i="10"/>
  <c r="AH68" i="10"/>
  <c r="AE68" i="10"/>
  <c r="AD68" i="10"/>
  <c r="AA68" i="10"/>
  <c r="Y68" i="10"/>
  <c r="AW68" i="10"/>
  <c r="AV68" i="10"/>
  <c r="AU68" i="10"/>
  <c r="AL68" i="10"/>
  <c r="AC68" i="10"/>
  <c r="V68" i="10"/>
  <c r="U68" i="10"/>
  <c r="AY68" i="10"/>
  <c r="BB68" i="10"/>
  <c r="BA68" i="10"/>
  <c r="AZ68" i="10"/>
  <c r="AB68" i="10"/>
  <c r="W68" i="10"/>
  <c r="X68" i="10"/>
  <c r="AX68" i="10"/>
  <c r="AK68" i="10"/>
  <c r="AI27" i="10"/>
  <c r="AH27" i="10"/>
  <c r="AG27" i="10"/>
  <c r="AF27" i="10"/>
  <c r="AV27" i="10"/>
  <c r="AS27" i="10"/>
  <c r="X27" i="10"/>
  <c r="BG27" i="10"/>
  <c r="W27" i="10"/>
  <c r="BF27" i="10"/>
  <c r="V27" i="10"/>
  <c r="BE27" i="10"/>
  <c r="U27" i="10"/>
  <c r="Q27" i="10"/>
  <c r="P27" i="10"/>
  <c r="O27" i="10"/>
  <c r="BD27" i="10"/>
  <c r="BB27" i="10"/>
  <c r="AX27" i="10"/>
  <c r="AK27" i="10"/>
  <c r="AJ27" i="10"/>
  <c r="AE27" i="10"/>
  <c r="AD27" i="10"/>
  <c r="AZ27" i="10"/>
  <c r="AY27" i="10"/>
  <c r="AW27" i="10"/>
  <c r="AU27" i="10"/>
  <c r="AO27" i="10"/>
  <c r="AM27" i="10"/>
  <c r="AL27" i="10"/>
  <c r="AC27" i="10"/>
  <c r="Y27" i="10"/>
  <c r="AB27" i="10"/>
  <c r="AA27" i="10"/>
  <c r="Z27" i="10"/>
  <c r="R27" i="10"/>
  <c r="AQ27" i="10"/>
  <c r="AP27" i="10"/>
  <c r="AN27" i="10"/>
  <c r="T27" i="10"/>
  <c r="S27" i="10"/>
  <c r="AT27" i="10"/>
  <c r="BA27" i="10"/>
  <c r="BC27" i="10"/>
  <c r="AR27" i="10"/>
  <c r="AZ186" i="10"/>
  <c r="T186" i="10"/>
  <c r="BA186" i="10"/>
  <c r="S186" i="10"/>
  <c r="AY186" i="10"/>
  <c r="R186" i="10"/>
  <c r="AL186" i="10"/>
  <c r="AK186" i="10"/>
  <c r="BC186" i="10"/>
  <c r="O186" i="10"/>
  <c r="AE186" i="10"/>
  <c r="AB186" i="10"/>
  <c r="AV186" i="10"/>
  <c r="AA186" i="10"/>
  <c r="X186" i="10"/>
  <c r="Q186" i="10"/>
  <c r="AG186" i="10"/>
  <c r="AF186" i="10"/>
  <c r="AT186" i="10"/>
  <c r="AS186" i="10"/>
  <c r="AC186" i="10"/>
  <c r="Z186" i="10"/>
  <c r="AO186" i="10"/>
  <c r="AN186" i="10"/>
  <c r="AM186" i="10"/>
  <c r="AJ186" i="10"/>
  <c r="AR186" i="10"/>
  <c r="AQ186" i="10"/>
  <c r="AP186" i="10"/>
  <c r="AI186" i="10"/>
  <c r="U186" i="10"/>
  <c r="P186" i="10"/>
  <c r="AD186" i="10"/>
  <c r="Y186" i="10"/>
  <c r="W186" i="10"/>
  <c r="V186" i="10"/>
  <c r="BF186" i="10"/>
  <c r="BE186" i="10"/>
  <c r="BD186" i="10"/>
  <c r="BB186" i="10"/>
  <c r="BG186" i="10"/>
  <c r="AX186" i="10"/>
  <c r="AW186" i="10"/>
  <c r="AU186" i="10"/>
  <c r="AH186" i="10"/>
  <c r="AJ22" i="10"/>
  <c r="AI22" i="10"/>
  <c r="AH22" i="10"/>
  <c r="AG22" i="10"/>
  <c r="BA22" i="10"/>
  <c r="Q22" i="10"/>
  <c r="AX22" i="10"/>
  <c r="AC22" i="10"/>
  <c r="AB22" i="10"/>
  <c r="AA22" i="10"/>
  <c r="Z22" i="10"/>
  <c r="R22" i="10"/>
  <c r="BG22" i="10"/>
  <c r="P22" i="10"/>
  <c r="BE22" i="10"/>
  <c r="AL22" i="10"/>
  <c r="AK22" i="10"/>
  <c r="AF22" i="10"/>
  <c r="AE22" i="10"/>
  <c r="AW22" i="10"/>
  <c r="AV22" i="10"/>
  <c r="AU22" i="10"/>
  <c r="AT22" i="10"/>
  <c r="AR22" i="10"/>
  <c r="AS22" i="10"/>
  <c r="AP22" i="10"/>
  <c r="AM22" i="10"/>
  <c r="AD22" i="10"/>
  <c r="Y22" i="10"/>
  <c r="X22" i="10"/>
  <c r="S22" i="10"/>
  <c r="BF22" i="10"/>
  <c r="BB22" i="10"/>
  <c r="AY22" i="10"/>
  <c r="AQ22" i="10"/>
  <c r="AO22" i="10"/>
  <c r="BD22" i="10"/>
  <c r="BC22" i="10"/>
  <c r="AZ22" i="10"/>
  <c r="AN22" i="10"/>
  <c r="W22" i="10"/>
  <c r="U22" i="10"/>
  <c r="T22" i="10"/>
  <c r="O22" i="10"/>
  <c r="V22" i="10"/>
  <c r="AG132" i="10"/>
  <c r="AM132" i="10"/>
  <c r="BE132" i="10"/>
  <c r="W132" i="10"/>
  <c r="AB132" i="10"/>
  <c r="AA132" i="10"/>
  <c r="BA132" i="10"/>
  <c r="P132" i="10"/>
  <c r="AL132" i="10"/>
  <c r="BB132" i="10"/>
  <c r="O132" i="10"/>
  <c r="AZ132" i="10"/>
  <c r="AY132" i="10"/>
  <c r="AX132" i="10"/>
  <c r="BC132" i="10"/>
  <c r="AD132" i="10"/>
  <c r="AC132" i="10"/>
  <c r="Z132" i="10"/>
  <c r="Y132" i="10"/>
  <c r="AR132" i="10"/>
  <c r="AO132" i="10"/>
  <c r="AV132" i="10"/>
  <c r="AS132" i="10"/>
  <c r="BG132" i="10"/>
  <c r="BF132" i="10"/>
  <c r="AQ132" i="10"/>
  <c r="X132" i="10"/>
  <c r="T132" i="10"/>
  <c r="S132" i="10"/>
  <c r="R132" i="10"/>
  <c r="Q132" i="10"/>
  <c r="AT132" i="10"/>
  <c r="AP132" i="10"/>
  <c r="AN132" i="10"/>
  <c r="AK132" i="10"/>
  <c r="BD132" i="10"/>
  <c r="AW132" i="10"/>
  <c r="AU132" i="10"/>
  <c r="AE132" i="10"/>
  <c r="U132" i="10"/>
  <c r="AF132" i="10"/>
  <c r="AJ132" i="10"/>
  <c r="AI132" i="10"/>
  <c r="AH132" i="10"/>
  <c r="V132" i="10"/>
  <c r="AK167" i="10"/>
  <c r="AJ167" i="10"/>
  <c r="AG167" i="10"/>
  <c r="AF167" i="10"/>
  <c r="AA167" i="10"/>
  <c r="Y167" i="10"/>
  <c r="AS167" i="10"/>
  <c r="BA167" i="10"/>
  <c r="AZ167" i="10"/>
  <c r="Z167" i="10"/>
  <c r="X167" i="10"/>
  <c r="BG167" i="10"/>
  <c r="P167" i="10"/>
  <c r="BF167" i="10"/>
  <c r="O167" i="10"/>
  <c r="AC167" i="10"/>
  <c r="AL167" i="10"/>
  <c r="AI167" i="10"/>
  <c r="AH167" i="10"/>
  <c r="AM167" i="10"/>
  <c r="AE167" i="10"/>
  <c r="AD167" i="10"/>
  <c r="AB167" i="10"/>
  <c r="AW167" i="10"/>
  <c r="AT167" i="10"/>
  <c r="AR167" i="10"/>
  <c r="AO167" i="10"/>
  <c r="T167" i="10"/>
  <c r="S167" i="10"/>
  <c r="R167" i="10"/>
  <c r="Q167" i="10"/>
  <c r="AY167" i="10"/>
  <c r="AX167" i="10"/>
  <c r="AV167" i="10"/>
  <c r="AU167" i="10"/>
  <c r="V167" i="10"/>
  <c r="AQ167" i="10"/>
  <c r="AP167" i="10"/>
  <c r="AN167" i="10"/>
  <c r="W167" i="10"/>
  <c r="BD167" i="10"/>
  <c r="BE167" i="10"/>
  <c r="BB167" i="10"/>
  <c r="U167" i="10"/>
  <c r="BC167" i="10"/>
  <c r="AR88" i="10"/>
  <c r="AJ88" i="10"/>
  <c r="AY88" i="10"/>
  <c r="R88" i="10"/>
  <c r="AX88" i="10"/>
  <c r="Q88" i="10"/>
  <c r="AW88" i="10"/>
  <c r="P88" i="10"/>
  <c r="AV88" i="10"/>
  <c r="O88" i="10"/>
  <c r="AL88" i="10"/>
  <c r="AK88" i="10"/>
  <c r="AI88" i="10"/>
  <c r="AH88" i="10"/>
  <c r="AF88" i="10"/>
  <c r="BE88" i="10"/>
  <c r="BD88" i="10"/>
  <c r="BC88" i="10"/>
  <c r="BB88" i="10"/>
  <c r="X88" i="10"/>
  <c r="U88" i="10"/>
  <c r="AP88" i="10"/>
  <c r="AO88" i="10"/>
  <c r="AN88" i="10"/>
  <c r="AM88" i="10"/>
  <c r="AQ88" i="10"/>
  <c r="AD88" i="10"/>
  <c r="AC88" i="10"/>
  <c r="AB88" i="10"/>
  <c r="AA88" i="10"/>
  <c r="Y88" i="10"/>
  <c r="W88" i="10"/>
  <c r="V88" i="10"/>
  <c r="Z88" i="10"/>
  <c r="T88" i="10"/>
  <c r="S88" i="10"/>
  <c r="BG88" i="10"/>
  <c r="AT88" i="10"/>
  <c r="AG88" i="10"/>
  <c r="AE88" i="10"/>
  <c r="BF88" i="10"/>
  <c r="AS88" i="10"/>
  <c r="BA88" i="10"/>
  <c r="AZ88" i="10"/>
  <c r="AU88" i="10"/>
  <c r="AW171" i="10"/>
  <c r="Q171" i="10"/>
  <c r="AV171" i="10"/>
  <c r="P171" i="10"/>
  <c r="BG171" i="10"/>
  <c r="Y171" i="10"/>
  <c r="BF171" i="10"/>
  <c r="X171" i="10"/>
  <c r="AE171" i="10"/>
  <c r="AI171" i="10"/>
  <c r="AZ171" i="10"/>
  <c r="AH171" i="10"/>
  <c r="AG171" i="10"/>
  <c r="AT171" i="10"/>
  <c r="AS171" i="10"/>
  <c r="S171" i="10"/>
  <c r="R171" i="10"/>
  <c r="AD171" i="10"/>
  <c r="AK171" i="10"/>
  <c r="BD171" i="10"/>
  <c r="BC171" i="10"/>
  <c r="BB171" i="10"/>
  <c r="AA171" i="10"/>
  <c r="Z171" i="10"/>
  <c r="W171" i="10"/>
  <c r="V171" i="10"/>
  <c r="AJ171" i="10"/>
  <c r="AF171" i="10"/>
  <c r="AC171" i="10"/>
  <c r="AB171" i="10"/>
  <c r="AM171" i="10"/>
  <c r="T171" i="10"/>
  <c r="BE171" i="10"/>
  <c r="BA171" i="10"/>
  <c r="AU171" i="10"/>
  <c r="AR171" i="10"/>
  <c r="AQ171" i="10"/>
  <c r="AP171" i="10"/>
  <c r="AY171" i="10"/>
  <c r="AX171" i="10"/>
  <c r="AO171" i="10"/>
  <c r="AN171" i="10"/>
  <c r="U171" i="10"/>
  <c r="O171" i="10"/>
  <c r="AL171" i="10"/>
  <c r="AE120" i="10"/>
  <c r="AF120" i="10"/>
  <c r="BA120" i="10"/>
  <c r="S120" i="10"/>
  <c r="BG120" i="10"/>
  <c r="X120" i="10"/>
  <c r="AA120" i="10"/>
  <c r="AQ120" i="10"/>
  <c r="AP120" i="10"/>
  <c r="AO120" i="10"/>
  <c r="AN120" i="10"/>
  <c r="Z120" i="10"/>
  <c r="AV120" i="10"/>
  <c r="AU120" i="10"/>
  <c r="AT120" i="10"/>
  <c r="AS120" i="10"/>
  <c r="Q120" i="10"/>
  <c r="AI120" i="10"/>
  <c r="AH120" i="10"/>
  <c r="AG120" i="10"/>
  <c r="AD120" i="10"/>
  <c r="T120" i="10"/>
  <c r="O120" i="10"/>
  <c r="AW120" i="10"/>
  <c r="AR120" i="10"/>
  <c r="AM120" i="10"/>
  <c r="AL120" i="10"/>
  <c r="BF120" i="10"/>
  <c r="BE120" i="10"/>
  <c r="BD120" i="10"/>
  <c r="BC120" i="10"/>
  <c r="AK120" i="10"/>
  <c r="P120" i="10"/>
  <c r="U120" i="10"/>
  <c r="R120" i="10"/>
  <c r="BB120" i="10"/>
  <c r="AZ120" i="10"/>
  <c r="AX120" i="10"/>
  <c r="AB120" i="10"/>
  <c r="Y120" i="10"/>
  <c r="W120" i="10"/>
  <c r="V120" i="10"/>
  <c r="AY120" i="10"/>
  <c r="AJ120" i="10"/>
  <c r="AC120" i="10"/>
  <c r="AM157" i="10"/>
  <c r="AL157" i="10"/>
  <c r="AO157" i="10"/>
  <c r="AN157" i="10"/>
  <c r="AQ157" i="10"/>
  <c r="Y157" i="10"/>
  <c r="AD157" i="10"/>
  <c r="AC157" i="10"/>
  <c r="AS157" i="10"/>
  <c r="AA157" i="10"/>
  <c r="Z157" i="10"/>
  <c r="AP157" i="10"/>
  <c r="AB157" i="10"/>
  <c r="AY157" i="10"/>
  <c r="AX157" i="10"/>
  <c r="AW157" i="10"/>
  <c r="R157" i="10"/>
  <c r="AR157" i="10"/>
  <c r="AK157" i="10"/>
  <c r="AJ157" i="10"/>
  <c r="AI157" i="10"/>
  <c r="AT157" i="10"/>
  <c r="AF157" i="10"/>
  <c r="BG157" i="10"/>
  <c r="BF157" i="10"/>
  <c r="AH157" i="10"/>
  <c r="AG157" i="10"/>
  <c r="AE157" i="10"/>
  <c r="X157" i="10"/>
  <c r="AV157" i="10"/>
  <c r="V157" i="10"/>
  <c r="P157" i="10"/>
  <c r="O157" i="10"/>
  <c r="BE157" i="10"/>
  <c r="BD157" i="10"/>
  <c r="BC157" i="10"/>
  <c r="BB157" i="10"/>
  <c r="AZ157" i="10"/>
  <c r="AU157" i="10"/>
  <c r="W157" i="10"/>
  <c r="S157" i="10"/>
  <c r="BA157" i="10"/>
  <c r="U157" i="10"/>
  <c r="T157" i="10"/>
  <c r="Q157" i="10"/>
  <c r="AP204" i="10"/>
  <c r="BE204" i="10"/>
  <c r="X204" i="10"/>
  <c r="AX204" i="10"/>
  <c r="P204" i="10"/>
  <c r="AW204" i="10"/>
  <c r="O204" i="10"/>
  <c r="AA204" i="10"/>
  <c r="BG204" i="10"/>
  <c r="U204" i="10"/>
  <c r="BF204" i="10"/>
  <c r="T204" i="10"/>
  <c r="AG204" i="10"/>
  <c r="AF204" i="10"/>
  <c r="AT204" i="10"/>
  <c r="V204" i="10"/>
  <c r="Q204" i="10"/>
  <c r="AK204" i="10"/>
  <c r="BD204" i="10"/>
  <c r="BA204" i="10"/>
  <c r="AU204" i="10"/>
  <c r="AD204" i="10"/>
  <c r="AC204" i="10"/>
  <c r="S204" i="10"/>
  <c r="AS204" i="10"/>
  <c r="AR204" i="10"/>
  <c r="AI204" i="10"/>
  <c r="AH204" i="10"/>
  <c r="AL204" i="10"/>
  <c r="AJ204" i="10"/>
  <c r="AE204" i="10"/>
  <c r="AB204" i="10"/>
  <c r="Y204" i="10"/>
  <c r="W204" i="10"/>
  <c r="R204" i="10"/>
  <c r="Z204" i="10"/>
  <c r="BC204" i="10"/>
  <c r="AN204" i="10"/>
  <c r="AM204" i="10"/>
  <c r="BB204" i="10"/>
  <c r="AV204" i="10"/>
  <c r="AQ204" i="10"/>
  <c r="AZ204" i="10"/>
  <c r="AY204" i="10"/>
  <c r="AO204" i="10"/>
  <c r="BA213" i="10"/>
  <c r="U213" i="10"/>
  <c r="AJ213" i="10"/>
  <c r="AZ213" i="10"/>
  <c r="R213" i="10"/>
  <c r="AY213" i="10"/>
  <c r="Q213" i="10"/>
  <c r="AG213" i="10"/>
  <c r="AF213" i="10"/>
  <c r="AR213" i="10"/>
  <c r="AQ213" i="10"/>
  <c r="AP213" i="10"/>
  <c r="BE213" i="10"/>
  <c r="O213" i="10"/>
  <c r="BD213" i="10"/>
  <c r="AO213" i="10"/>
  <c r="P213" i="10"/>
  <c r="BG213" i="10"/>
  <c r="Y213" i="10"/>
  <c r="AU213" i="10"/>
  <c r="AN213" i="10"/>
  <c r="AI213" i="10"/>
  <c r="S213" i="10"/>
  <c r="AH213" i="10"/>
  <c r="AE213" i="10"/>
  <c r="AA213" i="10"/>
  <c r="Z213" i="10"/>
  <c r="X213" i="10"/>
  <c r="W213" i="10"/>
  <c r="V213" i="10"/>
  <c r="T213" i="10"/>
  <c r="AW213" i="10"/>
  <c r="BF213" i="10"/>
  <c r="AX213" i="10"/>
  <c r="AL213" i="10"/>
  <c r="AK213" i="10"/>
  <c r="AD213" i="10"/>
  <c r="AC213" i="10"/>
  <c r="AV213" i="10"/>
  <c r="AT213" i="10"/>
  <c r="AS213" i="10"/>
  <c r="AM213" i="10"/>
  <c r="BC213" i="10"/>
  <c r="BB213" i="10"/>
  <c r="AB213" i="10"/>
  <c r="BC110" i="10"/>
  <c r="W110" i="10"/>
  <c r="AD110" i="10"/>
  <c r="BB110" i="10"/>
  <c r="T110" i="10"/>
  <c r="AR110" i="10"/>
  <c r="Y110" i="10"/>
  <c r="BG110" i="10"/>
  <c r="X110" i="10"/>
  <c r="BF110" i="10"/>
  <c r="V110" i="10"/>
  <c r="BE110" i="10"/>
  <c r="U110" i="10"/>
  <c r="AC110" i="10"/>
  <c r="AB110" i="10"/>
  <c r="AA110" i="10"/>
  <c r="Z110" i="10"/>
  <c r="AF110" i="10"/>
  <c r="R110" i="10"/>
  <c r="AS110" i="10"/>
  <c r="AQ110" i="10"/>
  <c r="AP110" i="10"/>
  <c r="AO110" i="10"/>
  <c r="AW110" i="10"/>
  <c r="AT110" i="10"/>
  <c r="BD110" i="10"/>
  <c r="BA110" i="10"/>
  <c r="AZ110" i="10"/>
  <c r="AN110" i="10"/>
  <c r="S110" i="10"/>
  <c r="O110" i="10"/>
  <c r="AX110" i="10"/>
  <c r="Q110" i="10"/>
  <c r="P110" i="10"/>
  <c r="AV110" i="10"/>
  <c r="AU110" i="10"/>
  <c r="AI110" i="10"/>
  <c r="AM110" i="10"/>
  <c r="AL110" i="10"/>
  <c r="AK110" i="10"/>
  <c r="AJ110" i="10"/>
  <c r="AE110" i="10"/>
  <c r="AH110" i="10"/>
  <c r="AY110" i="10"/>
  <c r="AG110" i="10"/>
  <c r="BA272" i="10"/>
  <c r="U272" i="10"/>
  <c r="AJ272" i="10"/>
  <c r="AD272" i="10"/>
  <c r="AP272" i="10"/>
  <c r="BF272" i="10"/>
  <c r="W272" i="10"/>
  <c r="BB272" i="10"/>
  <c r="AZ272" i="10"/>
  <c r="Q272" i="10"/>
  <c r="AA272" i="10"/>
  <c r="Z272" i="10"/>
  <c r="AL272" i="10"/>
  <c r="BD272" i="10"/>
  <c r="BC272" i="10"/>
  <c r="AW272" i="10"/>
  <c r="Y272" i="10"/>
  <c r="X272" i="10"/>
  <c r="AM272" i="10"/>
  <c r="AK272" i="10"/>
  <c r="AG272" i="10"/>
  <c r="AY272" i="10"/>
  <c r="AX272" i="10"/>
  <c r="P272" i="10"/>
  <c r="AQ272" i="10"/>
  <c r="AI272" i="10"/>
  <c r="AE272" i="10"/>
  <c r="V272" i="10"/>
  <c r="O272" i="10"/>
  <c r="BE272" i="10"/>
  <c r="AV272" i="10"/>
  <c r="AO272" i="10"/>
  <c r="AH272" i="10"/>
  <c r="AF272" i="10"/>
  <c r="T272" i="10"/>
  <c r="BG272" i="10"/>
  <c r="AU272" i="10"/>
  <c r="AT272" i="10"/>
  <c r="AR272" i="10"/>
  <c r="AN272" i="10"/>
  <c r="AC272" i="10"/>
  <c r="AB272" i="10"/>
  <c r="AS272" i="10"/>
  <c r="R272" i="10"/>
  <c r="S272" i="10"/>
  <c r="AS83" i="10"/>
  <c r="AD83" i="10"/>
  <c r="AR83" i="10"/>
  <c r="AQ83" i="10"/>
  <c r="AP83" i="10"/>
  <c r="AO83" i="10"/>
  <c r="AB83" i="10"/>
  <c r="AA83" i="10"/>
  <c r="Z83" i="10"/>
  <c r="Y83" i="10"/>
  <c r="AJ83" i="10"/>
  <c r="BD83" i="10"/>
  <c r="BC83" i="10"/>
  <c r="BB83" i="10"/>
  <c r="BA83" i="10"/>
  <c r="AI83" i="10"/>
  <c r="AF83" i="10"/>
  <c r="BE83" i="10"/>
  <c r="AZ83" i="10"/>
  <c r="AY83" i="10"/>
  <c r="AX83" i="10"/>
  <c r="AL83" i="10"/>
  <c r="AK83" i="10"/>
  <c r="AH83" i="10"/>
  <c r="AG83" i="10"/>
  <c r="V83" i="10"/>
  <c r="BF83" i="10"/>
  <c r="AW83" i="10"/>
  <c r="AV83" i="10"/>
  <c r="X83" i="10"/>
  <c r="W83" i="10"/>
  <c r="U83" i="10"/>
  <c r="T83" i="10"/>
  <c r="R83" i="10"/>
  <c r="AE83" i="10"/>
  <c r="AC83" i="10"/>
  <c r="S83" i="10"/>
  <c r="Q83" i="10"/>
  <c r="O83" i="10"/>
  <c r="P83" i="10"/>
  <c r="AT83" i="10"/>
  <c r="AM83" i="10"/>
  <c r="BG83" i="10"/>
  <c r="AU83" i="10"/>
  <c r="AN83" i="10"/>
  <c r="BC203" i="10"/>
  <c r="W203" i="10"/>
  <c r="AJ203" i="10"/>
  <c r="AA203" i="10"/>
  <c r="Z203" i="10"/>
  <c r="AL203" i="10"/>
  <c r="AC203" i="10"/>
  <c r="AB203" i="10"/>
  <c r="AO203" i="10"/>
  <c r="AN203" i="10"/>
  <c r="AW203" i="10"/>
  <c r="U203" i="10"/>
  <c r="R203" i="10"/>
  <c r="AH203" i="10"/>
  <c r="BB203" i="10"/>
  <c r="AY203" i="10"/>
  <c r="AT203" i="10"/>
  <c r="S203" i="10"/>
  <c r="Q203" i="10"/>
  <c r="AM203" i="10"/>
  <c r="AK203" i="10"/>
  <c r="BF203" i="10"/>
  <c r="BE203" i="10"/>
  <c r="AZ203" i="10"/>
  <c r="AS203" i="10"/>
  <c r="AF203" i="10"/>
  <c r="BG203" i="10"/>
  <c r="AX203" i="10"/>
  <c r="AD203" i="10"/>
  <c r="V203" i="10"/>
  <c r="BD203" i="10"/>
  <c r="BA203" i="10"/>
  <c r="AE203" i="10"/>
  <c r="T203" i="10"/>
  <c r="P203" i="10"/>
  <c r="O203" i="10"/>
  <c r="AU203" i="10"/>
  <c r="X203" i="10"/>
  <c r="AR203" i="10"/>
  <c r="AV203" i="10"/>
  <c r="AI203" i="10"/>
  <c r="Y203" i="10"/>
  <c r="AQ203" i="10"/>
  <c r="AP203" i="10"/>
  <c r="AG203" i="10"/>
  <c r="BD18" i="10"/>
  <c r="X18" i="10"/>
  <c r="BC18" i="10"/>
  <c r="W18" i="10"/>
  <c r="BB18" i="10"/>
  <c r="V18" i="10"/>
  <c r="BA18" i="10"/>
  <c r="U18" i="10"/>
  <c r="AW18" i="10"/>
  <c r="AT18" i="10"/>
  <c r="AC18" i="10"/>
  <c r="AB18" i="10"/>
  <c r="AA18" i="10"/>
  <c r="Z18" i="10"/>
  <c r="O18" i="10"/>
  <c r="BG18" i="10"/>
  <c r="AJ18" i="10"/>
  <c r="AI18" i="10"/>
  <c r="AH18" i="10"/>
  <c r="AG18" i="10"/>
  <c r="BF18" i="10"/>
  <c r="BE18" i="10"/>
  <c r="AV18" i="10"/>
  <c r="AZ18" i="10"/>
  <c r="AY18" i="10"/>
  <c r="AX18" i="10"/>
  <c r="AS18" i="10"/>
  <c r="AP18" i="10"/>
  <c r="AO18" i="10"/>
  <c r="AN18" i="10"/>
  <c r="AM18" i="10"/>
  <c r="AD18" i="10"/>
  <c r="T18" i="10"/>
  <c r="S18" i="10"/>
  <c r="R18" i="10"/>
  <c r="Q18" i="10"/>
  <c r="P18" i="10"/>
  <c r="AU18" i="10"/>
  <c r="AR18" i="10"/>
  <c r="AQ18" i="10"/>
  <c r="AK18" i="10"/>
  <c r="Y18" i="10"/>
  <c r="AF18" i="10"/>
  <c r="AE18" i="10"/>
  <c r="AL18" i="10"/>
  <c r="BE163" i="10"/>
  <c r="Y163" i="10"/>
  <c r="BD163" i="10"/>
  <c r="X163" i="10"/>
  <c r="AQ163" i="10"/>
  <c r="AP163" i="10"/>
  <c r="AA163" i="10"/>
  <c r="BC163" i="10"/>
  <c r="R163" i="10"/>
  <c r="AJ163" i="10"/>
  <c r="AG163" i="10"/>
  <c r="AF163" i="10"/>
  <c r="AT163" i="10"/>
  <c r="O163" i="10"/>
  <c r="BG163" i="10"/>
  <c r="AB163" i="10"/>
  <c r="AR163" i="10"/>
  <c r="P163" i="10"/>
  <c r="T163" i="10"/>
  <c r="AO163" i="10"/>
  <c r="AN163" i="10"/>
  <c r="AM163" i="10"/>
  <c r="AL163" i="10"/>
  <c r="Z163" i="10"/>
  <c r="U163" i="10"/>
  <c r="AY163" i="10"/>
  <c r="AX163" i="10"/>
  <c r="AW163" i="10"/>
  <c r="AV163" i="10"/>
  <c r="BF163" i="10"/>
  <c r="AZ163" i="10"/>
  <c r="BA163" i="10"/>
  <c r="AI163" i="10"/>
  <c r="AD163" i="10"/>
  <c r="AC163" i="10"/>
  <c r="W163" i="10"/>
  <c r="V163" i="10"/>
  <c r="Q163" i="10"/>
  <c r="AE163" i="10"/>
  <c r="S163" i="10"/>
  <c r="AU163" i="10"/>
  <c r="BB163" i="10"/>
  <c r="AH163" i="10"/>
  <c r="AS163" i="10"/>
  <c r="AK163" i="10"/>
  <c r="AX121" i="10"/>
  <c r="R121" i="10"/>
  <c r="BA121" i="10"/>
  <c r="T121" i="10"/>
  <c r="AP121" i="10"/>
  <c r="AW121" i="10"/>
  <c r="BD121" i="10"/>
  <c r="S121" i="10"/>
  <c r="AH121" i="10"/>
  <c r="AG121" i="10"/>
  <c r="AF121" i="10"/>
  <c r="AE121" i="10"/>
  <c r="Y121" i="10"/>
  <c r="AS121" i="10"/>
  <c r="AR121" i="10"/>
  <c r="AQ121" i="10"/>
  <c r="AO121" i="10"/>
  <c r="W121" i="10"/>
  <c r="Q121" i="10"/>
  <c r="AN121" i="10"/>
  <c r="AM121" i="10"/>
  <c r="AL121" i="10"/>
  <c r="AK121" i="10"/>
  <c r="AJ121" i="10"/>
  <c r="AC121" i="10"/>
  <c r="BG121" i="10"/>
  <c r="BF121" i="10"/>
  <c r="AZ121" i="10"/>
  <c r="AU121" i="10"/>
  <c r="AT121" i="10"/>
  <c r="AI121" i="10"/>
  <c r="AD121" i="10"/>
  <c r="AA121" i="10"/>
  <c r="Z121" i="10"/>
  <c r="X121" i="10"/>
  <c r="P121" i="10"/>
  <c r="O121" i="10"/>
  <c r="BB121" i="10"/>
  <c r="AY121" i="10"/>
  <c r="AV121" i="10"/>
  <c r="AB121" i="10"/>
  <c r="U121" i="10"/>
  <c r="V121" i="10"/>
  <c r="BC121" i="10"/>
  <c r="BE121" i="10"/>
  <c r="AC232" i="10"/>
  <c r="AR232" i="10"/>
  <c r="BE232" i="10"/>
  <c r="W232" i="10"/>
  <c r="AM232" i="10"/>
  <c r="AQ232" i="10"/>
  <c r="AP232" i="10"/>
  <c r="AO232" i="10"/>
  <c r="AN232" i="10"/>
  <c r="BB232" i="10"/>
  <c r="P232" i="10"/>
  <c r="BA232" i="10"/>
  <c r="O232" i="10"/>
  <c r="AS232" i="10"/>
  <c r="AL232" i="10"/>
  <c r="AI232" i="10"/>
  <c r="BF232" i="10"/>
  <c r="BD232" i="10"/>
  <c r="AA232" i="10"/>
  <c r="Y232" i="10"/>
  <c r="AX232" i="10"/>
  <c r="AU232" i="10"/>
  <c r="AJ232" i="10"/>
  <c r="AF232" i="10"/>
  <c r="Z232" i="10"/>
  <c r="AZ232" i="10"/>
  <c r="S232" i="10"/>
  <c r="R232" i="10"/>
  <c r="AE232" i="10"/>
  <c r="AW232" i="10"/>
  <c r="V232" i="10"/>
  <c r="U232" i="10"/>
  <c r="T232" i="10"/>
  <c r="Q232" i="10"/>
  <c r="BC232" i="10"/>
  <c r="AT232" i="10"/>
  <c r="BG232" i="10"/>
  <c r="AK232" i="10"/>
  <c r="AH232" i="10"/>
  <c r="AG232" i="10"/>
  <c r="AD232" i="10"/>
  <c r="X232" i="10"/>
  <c r="AV232" i="10"/>
  <c r="AY232" i="10"/>
  <c r="AB232" i="10"/>
  <c r="AO52" i="10"/>
  <c r="AN52" i="10"/>
  <c r="AM52" i="10"/>
  <c r="AL52" i="10"/>
  <c r="AD52" i="10"/>
  <c r="AW52" i="10"/>
  <c r="AV52" i="10"/>
  <c r="AU52" i="10"/>
  <c r="AT52" i="10"/>
  <c r="BG52" i="10"/>
  <c r="R52" i="10"/>
  <c r="BF52" i="10"/>
  <c r="Q52" i="10"/>
  <c r="BE52" i="10"/>
  <c r="P52" i="10"/>
  <c r="BD52" i="10"/>
  <c r="O52" i="10"/>
  <c r="AE52" i="10"/>
  <c r="AC52" i="10"/>
  <c r="AB52" i="10"/>
  <c r="AA52" i="10"/>
  <c r="BB52" i="10"/>
  <c r="AX52" i="10"/>
  <c r="Z52" i="10"/>
  <c r="Y52" i="10"/>
  <c r="X52" i="10"/>
  <c r="W52" i="10"/>
  <c r="AS52" i="10"/>
  <c r="AQ52" i="10"/>
  <c r="AP52" i="10"/>
  <c r="AK52" i="10"/>
  <c r="AG52" i="10"/>
  <c r="AJ52" i="10"/>
  <c r="AI52" i="10"/>
  <c r="AH52" i="10"/>
  <c r="U52" i="10"/>
  <c r="S52" i="10"/>
  <c r="AY52" i="10"/>
  <c r="BA52" i="10"/>
  <c r="AZ52" i="10"/>
  <c r="BC52" i="10"/>
  <c r="AR52" i="10"/>
  <c r="AF52" i="10"/>
  <c r="V52" i="10"/>
  <c r="T52" i="10"/>
  <c r="AQ106" i="10"/>
  <c r="AS106" i="10"/>
  <c r="AD106" i="10"/>
  <c r="AW106" i="10"/>
  <c r="AB106" i="10"/>
  <c r="AA106" i="10"/>
  <c r="Z106" i="10"/>
  <c r="Y106" i="10"/>
  <c r="AN106" i="10"/>
  <c r="AM106" i="10"/>
  <c r="AL106" i="10"/>
  <c r="AK106" i="10"/>
  <c r="Q106" i="10"/>
  <c r="BF106" i="10"/>
  <c r="AH106" i="10"/>
  <c r="AG106" i="10"/>
  <c r="AF106" i="10"/>
  <c r="AE106" i="10"/>
  <c r="BA106" i="10"/>
  <c r="AX106" i="10"/>
  <c r="P106" i="10"/>
  <c r="O106" i="10"/>
  <c r="W106" i="10"/>
  <c r="V106" i="10"/>
  <c r="U106" i="10"/>
  <c r="T106" i="10"/>
  <c r="BD106" i="10"/>
  <c r="AZ106" i="10"/>
  <c r="AY106" i="10"/>
  <c r="AV106" i="10"/>
  <c r="AU106" i="10"/>
  <c r="AR106" i="10"/>
  <c r="AP106" i="10"/>
  <c r="AO106" i="10"/>
  <c r="X106" i="10"/>
  <c r="S106" i="10"/>
  <c r="R106" i="10"/>
  <c r="BG106" i="10"/>
  <c r="BE106" i="10"/>
  <c r="BC106" i="10"/>
  <c r="BB106" i="10"/>
  <c r="AT106" i="10"/>
  <c r="AI106" i="10"/>
  <c r="AJ106" i="10"/>
  <c r="AC106" i="10"/>
  <c r="BA59" i="10"/>
  <c r="U59" i="10"/>
  <c r="AX59" i="10"/>
  <c r="Q59" i="10"/>
  <c r="AW59" i="10"/>
  <c r="P59" i="10"/>
  <c r="AV59" i="10"/>
  <c r="O59" i="10"/>
  <c r="AU59" i="10"/>
  <c r="AY59" i="10"/>
  <c r="AD59" i="10"/>
  <c r="AC59" i="10"/>
  <c r="AB59" i="10"/>
  <c r="AA59" i="10"/>
  <c r="BB59" i="10"/>
  <c r="AZ59" i="10"/>
  <c r="AT59" i="10"/>
  <c r="AS59" i="10"/>
  <c r="X59" i="10"/>
  <c r="W59" i="10"/>
  <c r="V59" i="10"/>
  <c r="T59" i="10"/>
  <c r="AN59" i="10"/>
  <c r="AM59" i="10"/>
  <c r="AL59" i="10"/>
  <c r="AK59" i="10"/>
  <c r="AI59" i="10"/>
  <c r="AE59" i="10"/>
  <c r="BG59" i="10"/>
  <c r="AJ59" i="10"/>
  <c r="AH59" i="10"/>
  <c r="AG59" i="10"/>
  <c r="Y59" i="10"/>
  <c r="AF59" i="10"/>
  <c r="Z59" i="10"/>
  <c r="R59" i="10"/>
  <c r="BD59" i="10"/>
  <c r="BF59" i="10"/>
  <c r="BE59" i="10"/>
  <c r="AQ59" i="10"/>
  <c r="AO59" i="10"/>
  <c r="BC59" i="10"/>
  <c r="AR59" i="10"/>
  <c r="AP59" i="10"/>
  <c r="S59" i="10"/>
  <c r="AS67" i="10"/>
  <c r="AL67" i="10"/>
  <c r="BB67" i="10"/>
  <c r="U67" i="10"/>
  <c r="BA67" i="10"/>
  <c r="T67" i="10"/>
  <c r="AZ67" i="10"/>
  <c r="S67" i="10"/>
  <c r="AY67" i="10"/>
  <c r="R67" i="10"/>
  <c r="AO67" i="10"/>
  <c r="W67" i="10"/>
  <c r="V67" i="10"/>
  <c r="BG67" i="10"/>
  <c r="Q67" i="10"/>
  <c r="BF67" i="10"/>
  <c r="P67" i="10"/>
  <c r="AW67" i="10"/>
  <c r="AK67" i="10"/>
  <c r="AH67" i="10"/>
  <c r="AG67" i="10"/>
  <c r="AF67" i="10"/>
  <c r="AE67" i="10"/>
  <c r="AA67" i="10"/>
  <c r="AP67" i="10"/>
  <c r="AN67" i="10"/>
  <c r="AM67" i="10"/>
  <c r="AJ67" i="10"/>
  <c r="BE67" i="10"/>
  <c r="BD67" i="10"/>
  <c r="BC67" i="10"/>
  <c r="AV67" i="10"/>
  <c r="AX67" i="10"/>
  <c r="AT67" i="10"/>
  <c r="AI67" i="10"/>
  <c r="AD67" i="10"/>
  <c r="AC67" i="10"/>
  <c r="AB67" i="10"/>
  <c r="AQ67" i="10"/>
  <c r="Z67" i="10"/>
  <c r="Y67" i="10"/>
  <c r="X67" i="10"/>
  <c r="O67" i="10"/>
  <c r="AU67" i="10"/>
  <c r="AR67" i="10"/>
  <c r="AE38" i="10"/>
  <c r="AS38" i="10"/>
  <c r="AA38" i="10"/>
  <c r="BG38" i="10"/>
  <c r="Z38" i="10"/>
  <c r="BF38" i="10"/>
  <c r="Y38" i="10"/>
  <c r="BE38" i="10"/>
  <c r="X38" i="10"/>
  <c r="AM38" i="10"/>
  <c r="AJ38" i="10"/>
  <c r="AZ38" i="10"/>
  <c r="AY38" i="10"/>
  <c r="AX38" i="10"/>
  <c r="AW38" i="10"/>
  <c r="AC38" i="10"/>
  <c r="AB38" i="10"/>
  <c r="W38" i="10"/>
  <c r="V38" i="10"/>
  <c r="T38" i="10"/>
  <c r="P38" i="10"/>
  <c r="AR38" i="10"/>
  <c r="AQ38" i="10"/>
  <c r="AP38" i="10"/>
  <c r="AO38" i="10"/>
  <c r="BA38" i="10"/>
  <c r="AV38" i="10"/>
  <c r="AU38" i="10"/>
  <c r="AT38" i="10"/>
  <c r="AL38" i="10"/>
  <c r="AN38" i="10"/>
  <c r="AI38" i="10"/>
  <c r="AF38" i="10"/>
  <c r="AD38" i="10"/>
  <c r="U38" i="10"/>
  <c r="S38" i="10"/>
  <c r="BD38" i="10"/>
  <c r="BB38" i="10"/>
  <c r="R38" i="10"/>
  <c r="BC38" i="10"/>
  <c r="AK38" i="10"/>
  <c r="AH38" i="10"/>
  <c r="AG38" i="10"/>
  <c r="Q38" i="10"/>
  <c r="O38" i="10"/>
  <c r="BE118" i="10"/>
  <c r="Y118" i="10"/>
  <c r="BC118" i="10"/>
  <c r="V118" i="10"/>
  <c r="AO118" i="10"/>
  <c r="AR118" i="10"/>
  <c r="AS118" i="10"/>
  <c r="X118" i="10"/>
  <c r="W118" i="10"/>
  <c r="BG118" i="10"/>
  <c r="U118" i="10"/>
  <c r="BF118" i="10"/>
  <c r="T118" i="10"/>
  <c r="AX118" i="10"/>
  <c r="AW118" i="10"/>
  <c r="AV118" i="10"/>
  <c r="AU118" i="10"/>
  <c r="BA118" i="10"/>
  <c r="AC118" i="10"/>
  <c r="AB118" i="10"/>
  <c r="AA118" i="10"/>
  <c r="Z118" i="10"/>
  <c r="AT118" i="10"/>
  <c r="AN118" i="10"/>
  <c r="AZ118" i="10"/>
  <c r="AH118" i="10"/>
  <c r="AE118" i="10"/>
  <c r="AD118" i="10"/>
  <c r="S118" i="10"/>
  <c r="R118" i="10"/>
  <c r="P118" i="10"/>
  <c r="O118" i="10"/>
  <c r="AI118" i="10"/>
  <c r="AG118" i="10"/>
  <c r="AF118" i="10"/>
  <c r="Q118" i="10"/>
  <c r="BB118" i="10"/>
  <c r="AY118" i="10"/>
  <c r="AK118" i="10"/>
  <c r="AQ118" i="10"/>
  <c r="AP118" i="10"/>
  <c r="AM118" i="10"/>
  <c r="AL118" i="10"/>
  <c r="BD118" i="10"/>
  <c r="AJ118" i="10"/>
  <c r="N39" i="9" l="1"/>
  <c r="L32" i="9"/>
  <c r="N32" i="9"/>
  <c r="N35" i="9"/>
  <c r="L35" i="9"/>
  <c r="N38" i="9"/>
  <c r="L38" i="9"/>
  <c r="L33" i="9"/>
  <c r="N33" i="9"/>
  <c r="L29" i="9"/>
  <c r="N29" i="9"/>
  <c r="L39" i="9"/>
  <c r="L31" i="9"/>
  <c r="N31" i="9"/>
  <c r="L34" i="9"/>
  <c r="N34" i="9"/>
  <c r="L37" i="9"/>
  <c r="N37" i="9"/>
  <c r="L36" i="9"/>
  <c r="N36" i="9"/>
  <c r="L30" i="9"/>
  <c r="N30" i="9"/>
  <c r="L7" i="9"/>
  <c r="N11" i="9"/>
  <c r="L11" i="9"/>
  <c r="L9" i="9"/>
  <c r="N9" i="9"/>
  <c r="L8" i="9"/>
  <c r="N8" i="9"/>
  <c r="N10" i="9"/>
  <c r="L10" i="9"/>
  <c r="L12" i="9"/>
  <c r="N12" i="9"/>
  <c r="N7" i="9"/>
  <c r="N27" i="9"/>
  <c r="N18" i="9"/>
  <c r="L18" i="9"/>
  <c r="L27" i="9"/>
  <c r="L15" i="9"/>
  <c r="N15" i="9"/>
  <c r="N21" i="9"/>
  <c r="L21" i="9"/>
  <c r="N14" i="9"/>
  <c r="L14" i="9"/>
  <c r="N28" i="9"/>
  <c r="L28" i="9"/>
  <c r="N19" i="9"/>
  <c r="L19" i="9"/>
  <c r="N17" i="9"/>
  <c r="L17" i="9"/>
  <c r="N23" i="9"/>
  <c r="L23" i="9"/>
  <c r="N22" i="9"/>
  <c r="L22" i="9"/>
  <c r="N24" i="9"/>
  <c r="L24" i="9"/>
  <c r="L25" i="9"/>
  <c r="N25" i="9"/>
  <c r="L13" i="9"/>
  <c r="N13" i="9"/>
  <c r="N26" i="9"/>
  <c r="L26" i="9"/>
  <c r="N20" i="9"/>
  <c r="L20" i="9"/>
  <c r="N16" i="9"/>
  <c r="L16" i="9"/>
  <c r="P39" i="9" l="1"/>
  <c r="R39" i="9" s="1"/>
  <c r="P32" i="9"/>
  <c r="R32" i="9" s="1"/>
  <c r="P33" i="9"/>
  <c r="R33" i="9" s="1"/>
  <c r="P37" i="9"/>
  <c r="R37" i="9" s="1"/>
  <c r="P29" i="9"/>
  <c r="R29" i="9" s="1"/>
  <c r="P36" i="9"/>
  <c r="R36" i="9" s="1"/>
  <c r="P35" i="9"/>
  <c r="R35" i="9" s="1"/>
  <c r="P30" i="9"/>
  <c r="R30" i="9" s="1"/>
  <c r="P31" i="9"/>
  <c r="R31" i="9" s="1"/>
  <c r="P38" i="9"/>
  <c r="R38" i="9" s="1"/>
  <c r="P34" i="9"/>
  <c r="R34" i="9" s="1"/>
  <c r="P9" i="9"/>
  <c r="R9" i="9" s="1"/>
  <c r="P10" i="9"/>
  <c r="R10" i="9" s="1"/>
  <c r="P7" i="9"/>
  <c r="P12" i="9"/>
  <c r="R12" i="9" s="1"/>
  <c r="P8" i="9"/>
  <c r="R8" i="9" s="1"/>
  <c r="P11" i="9"/>
  <c r="R11" i="9" s="1"/>
  <c r="P18" i="9"/>
  <c r="P22" i="9"/>
  <c r="P16" i="9"/>
  <c r="P20" i="9"/>
  <c r="P26" i="9"/>
  <c r="P13" i="9"/>
  <c r="P25" i="9"/>
  <c r="P23" i="9"/>
  <c r="P17" i="9"/>
  <c r="P28" i="9"/>
  <c r="R28" i="9" s="1"/>
  <c r="P14" i="9"/>
  <c r="P15" i="9"/>
  <c r="P21" i="9"/>
  <c r="P24" i="9"/>
  <c r="P19" i="9"/>
  <c r="P27" i="9"/>
  <c r="P42" i="9" l="1"/>
  <c r="R46" i="9" a="1"/>
  <c r="R46" i="9" s="1"/>
  <c r="P47" i="9"/>
  <c r="R7" i="9"/>
  <c r="P46" i="9"/>
  <c r="R27" i="9"/>
  <c r="R19" i="9"/>
  <c r="R24" i="9"/>
  <c r="R21" i="9"/>
  <c r="R15" i="9"/>
  <c r="R14" i="9"/>
  <c r="R17" i="9"/>
  <c r="R23" i="9"/>
  <c r="R25" i="9"/>
  <c r="R13" i="9"/>
  <c r="R26" i="9"/>
  <c r="R20" i="9"/>
  <c r="R16" i="9"/>
  <c r="R22" i="9"/>
  <c r="R18" i="9"/>
  <c r="P41" i="9"/>
  <c r="R50" i="9" l="1"/>
  <c r="P50" i="9"/>
  <c r="R41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<sst xmlns="http://schemas.openxmlformats.org/spreadsheetml/2006/main" count="4086" uniqueCount="518">
  <si>
    <t>Measure</t>
  </si>
  <si>
    <t>Customer Name</t>
  </si>
  <si>
    <t>Account Number</t>
  </si>
  <si>
    <t>Service Address</t>
  </si>
  <si>
    <t>Service City</t>
  </si>
  <si>
    <t>Service State</t>
  </si>
  <si>
    <t>Service Zip Code</t>
  </si>
  <si>
    <t>Intall Date</t>
  </si>
  <si>
    <t>Rate Class</t>
  </si>
  <si>
    <t>PreInstallDate(-12)</t>
  </si>
  <si>
    <t>PreInstallDate(-11)</t>
  </si>
  <si>
    <t>PreInstallDate(-10)</t>
  </si>
  <si>
    <t>PreInstallDate(-9)</t>
  </si>
  <si>
    <t>PreInstallDate(-8)</t>
  </si>
  <si>
    <t>PreInstallDate(-7)</t>
  </si>
  <si>
    <t>PreInstallDate(-6)</t>
  </si>
  <si>
    <t>PreInstallDate(-5)</t>
  </si>
  <si>
    <t>PreInstallDate(-4)</t>
  </si>
  <si>
    <t>PreInstallDate(-3)</t>
  </si>
  <si>
    <t>PreInstallDate(-2)</t>
  </si>
  <si>
    <t>PreInstallDate(-1)</t>
  </si>
  <si>
    <t>PostInstallDate(1)</t>
  </si>
  <si>
    <t>PostInstallDate(2)</t>
  </si>
  <si>
    <t>PostInstallDate(3)</t>
  </si>
  <si>
    <t>PostInstallDate(4)</t>
  </si>
  <si>
    <t>PostInstallDate(5)</t>
  </si>
  <si>
    <t>PostInstallDate(6)</t>
  </si>
  <si>
    <t>PostInstallDate(7)</t>
  </si>
  <si>
    <t>PostInstallDate(8)</t>
  </si>
  <si>
    <t>PostInstallDate(9)</t>
  </si>
  <si>
    <t>PostInstallDate(10)</t>
  </si>
  <si>
    <t>PostInstallDate(11)</t>
  </si>
  <si>
    <t>PostInstallDate(12)</t>
  </si>
  <si>
    <t>MSHP partially displacing Oil Heat (weatherization unverified)</t>
  </si>
  <si>
    <t>FITCHBURG</t>
  </si>
  <si>
    <t>MA</t>
  </si>
  <si>
    <t>01420-4188</t>
  </si>
  <si>
    <t>Residential</t>
  </si>
  <si>
    <t>DMSHP, SEER 18.0 HSPF 10, Disp Electric Heat E19A2a278</t>
  </si>
  <si>
    <t>LUNENBURG</t>
  </si>
  <si>
    <t>01462-1416</t>
  </si>
  <si>
    <t>MSHP partially displacing Oil Heat</t>
  </si>
  <si>
    <t>01462-1548</t>
  </si>
  <si>
    <t>TOWNSEND</t>
  </si>
  <si>
    <t>01474-1056</t>
  </si>
  <si>
    <t>01420-5022</t>
  </si>
  <si>
    <t>Central Heat Pump partially displacing Oil Heat</t>
  </si>
  <si>
    <t>01462-2009</t>
  </si>
  <si>
    <t>01462-1354</t>
  </si>
  <si>
    <t>01469-1203</t>
  </si>
  <si>
    <t>01462-2405</t>
  </si>
  <si>
    <t>01462-2118</t>
  </si>
  <si>
    <t>01420-1813</t>
  </si>
  <si>
    <t>01420-2470</t>
  </si>
  <si>
    <t>01420-2500</t>
  </si>
  <si>
    <t>MSHP partially displacing Oil Heat (weatherized)</t>
  </si>
  <si>
    <t>01462-1525</t>
  </si>
  <si>
    <t>01469</t>
  </si>
  <si>
    <t>01462-1635</t>
  </si>
  <si>
    <t>01420-1514</t>
  </si>
  <si>
    <t>01462-1451</t>
  </si>
  <si>
    <t>01420-3717</t>
  </si>
  <si>
    <t>01462-1620</t>
  </si>
  <si>
    <t>01420-4755</t>
  </si>
  <si>
    <t>01420-5158</t>
  </si>
  <si>
    <t>01420-5152</t>
  </si>
  <si>
    <t>01462-1110</t>
  </si>
  <si>
    <t>01420-2645</t>
  </si>
  <si>
    <t>01420-1654</t>
  </si>
  <si>
    <t>01420-6143</t>
  </si>
  <si>
    <t>01462-2238</t>
  </si>
  <si>
    <t>01469-1128</t>
  </si>
  <si>
    <t>01420-5355</t>
  </si>
  <si>
    <t>01469-1132</t>
  </si>
  <si>
    <t>01469-1376</t>
  </si>
  <si>
    <t>01420-5223</t>
  </si>
  <si>
    <t>01420-2991</t>
  </si>
  <si>
    <t>01420-1652</t>
  </si>
  <si>
    <t>01420-2989</t>
  </si>
  <si>
    <t>01462-1228</t>
  </si>
  <si>
    <t>01420-2822</t>
  </si>
  <si>
    <t>01462-1612</t>
  </si>
  <si>
    <t>01420-3803</t>
  </si>
  <si>
    <t>01469-1122</t>
  </si>
  <si>
    <t>01462-2002</t>
  </si>
  <si>
    <t>01462-1340</t>
  </si>
  <si>
    <t>01420</t>
  </si>
  <si>
    <t>01462-1001</t>
  </si>
  <si>
    <t>01420-6241</t>
  </si>
  <si>
    <t>01420-1653</t>
  </si>
  <si>
    <t>01420-5725</t>
  </si>
  <si>
    <t>01462-2510</t>
  </si>
  <si>
    <t>01462-1661</t>
  </si>
  <si>
    <t>01462-1112</t>
  </si>
  <si>
    <t>01420-2655</t>
  </si>
  <si>
    <t>2021 Carry Over</t>
  </si>
  <si>
    <t>01469-1158</t>
  </si>
  <si>
    <t>01420-1825</t>
  </si>
  <si>
    <t>01420-7905</t>
  </si>
  <si>
    <t>01462-1653</t>
  </si>
  <si>
    <t>ASHBY</t>
  </si>
  <si>
    <t>01431-2045</t>
  </si>
  <si>
    <t>01462-1176</t>
  </si>
  <si>
    <t>01420-1375</t>
  </si>
  <si>
    <t>01462-1546</t>
  </si>
  <si>
    <t>01431-1731</t>
  </si>
  <si>
    <t>01462-2027</t>
  </si>
  <si>
    <t>01469-1301</t>
  </si>
  <si>
    <t>01462-1808</t>
  </si>
  <si>
    <t>01431-2036</t>
  </si>
  <si>
    <t>01420-2743</t>
  </si>
  <si>
    <t>01420-2761</t>
  </si>
  <si>
    <t>01420-3319</t>
  </si>
  <si>
    <t>01420-4614</t>
  </si>
  <si>
    <t>01462-1119</t>
  </si>
  <si>
    <t>01462-2338</t>
  </si>
  <si>
    <t>01420-7018</t>
  </si>
  <si>
    <t>Central Heat Pump partially displacing Oil Heat (weatherization unverified)</t>
  </si>
  <si>
    <t>01431-2141</t>
  </si>
  <si>
    <t>01462-2045</t>
  </si>
  <si>
    <t>Central Heat Pump partially displacing Propane Heat</t>
  </si>
  <si>
    <t>01469-1374</t>
  </si>
  <si>
    <t>01462-1527</t>
  </si>
  <si>
    <t>01462-1918</t>
  </si>
  <si>
    <t>MSHP fully displacing Oil Heat (weatherized)</t>
  </si>
  <si>
    <t>01462-1159</t>
  </si>
  <si>
    <t>01462-1464</t>
  </si>
  <si>
    <t>01462-1149</t>
  </si>
  <si>
    <t>Central Heat Pump fully displacing Oil Heat (weatherized)</t>
  </si>
  <si>
    <t>01462-1123</t>
  </si>
  <si>
    <t>01420-8910</t>
  </si>
  <si>
    <t>01420-1615</t>
  </si>
  <si>
    <t>01469-1200</t>
  </si>
  <si>
    <t>01462-1824</t>
  </si>
  <si>
    <t>01462-1712</t>
  </si>
  <si>
    <t>01462-1603</t>
  </si>
  <si>
    <t>01420-3769</t>
  </si>
  <si>
    <t>01420-4616</t>
  </si>
  <si>
    <t>01462-2001</t>
  </si>
  <si>
    <t>01474-1149</t>
  </si>
  <si>
    <t>01420-2085</t>
  </si>
  <si>
    <t>01462</t>
  </si>
  <si>
    <t>01462-1610</t>
  </si>
  <si>
    <t>01462-2171</t>
  </si>
  <si>
    <t>01420-2143</t>
  </si>
  <si>
    <t>MSHP fully displacing Oil Heat (weatherization unverified)</t>
  </si>
  <si>
    <t>01420-7002</t>
  </si>
  <si>
    <t>01420-3636</t>
  </si>
  <si>
    <t>Central Heat Pump fully displacing Oil Heat (weatherization unverified)</t>
  </si>
  <si>
    <t>01462-1032</t>
  </si>
  <si>
    <t>01474-1147</t>
  </si>
  <si>
    <t>01462-1556</t>
  </si>
  <si>
    <t>01462-1748</t>
  </si>
  <si>
    <t>01420-1656</t>
  </si>
  <si>
    <t>01420-6214</t>
  </si>
  <si>
    <t>01462-1007</t>
  </si>
  <si>
    <t>01462-1652</t>
  </si>
  <si>
    <t>01420-6617</t>
  </si>
  <si>
    <t>01469-1125</t>
  </si>
  <si>
    <t>01462-1324</t>
  </si>
  <si>
    <t>01462-2037</t>
  </si>
  <si>
    <t>01462-2069</t>
  </si>
  <si>
    <t>01462-2145</t>
  </si>
  <si>
    <t>01420-7406</t>
  </si>
  <si>
    <t>01462-1444</t>
  </si>
  <si>
    <t>01462-1816</t>
  </si>
  <si>
    <t>01420-1365</t>
  </si>
  <si>
    <t>01420-8906</t>
  </si>
  <si>
    <t>01420-8937</t>
  </si>
  <si>
    <t>01431-1944</t>
  </si>
  <si>
    <t>MSHP fully displacing Oil Heat (Single Family)</t>
  </si>
  <si>
    <t>01420-3826</t>
  </si>
  <si>
    <t>Income Eligible</t>
  </si>
  <si>
    <t>01431-2240</t>
  </si>
  <si>
    <t>01469-1416</t>
  </si>
  <si>
    <t>01420-0000</t>
  </si>
  <si>
    <t>01462-1552</t>
  </si>
  <si>
    <t>01462-2123</t>
  </si>
  <si>
    <t>01420-6912</t>
  </si>
  <si>
    <t>01431-2122</t>
  </si>
  <si>
    <t>MSHP partially displacing Propane Heat (weatherization unverified)</t>
  </si>
  <si>
    <t>01462-1320</t>
  </si>
  <si>
    <t>01462-1549</t>
  </si>
  <si>
    <t>01462-2206</t>
  </si>
  <si>
    <t>01420-7221</t>
  </si>
  <si>
    <t>01420-2059</t>
  </si>
  <si>
    <t>01420-1634</t>
  </si>
  <si>
    <t>01462-2153</t>
  </si>
  <si>
    <t>01420-6150</t>
  </si>
  <si>
    <t>01462-1567</t>
  </si>
  <si>
    <t>01469-1352</t>
  </si>
  <si>
    <t>Central Heat Pump partially displacing Propane Heat (weatherization unverified)</t>
  </si>
  <si>
    <t>01462-1495</t>
  </si>
  <si>
    <t>01420-8915</t>
  </si>
  <si>
    <t>01469-1104</t>
  </si>
  <si>
    <t>01469-1137</t>
  </si>
  <si>
    <t>01469-1218</t>
  </si>
  <si>
    <t>01462-1011</t>
  </si>
  <si>
    <t>01462-1154</t>
  </si>
  <si>
    <t>Central Heat Pump fully displacing Propane Heat (weatherized)</t>
  </si>
  <si>
    <t>01469-1368</t>
  </si>
  <si>
    <t>01420-6644</t>
  </si>
  <si>
    <t>01420-2446</t>
  </si>
  <si>
    <t>01431-2202</t>
  </si>
  <si>
    <t>01462-2234</t>
  </si>
  <si>
    <t>01462-1041</t>
  </si>
  <si>
    <t>01420-6055</t>
  </si>
  <si>
    <t>01420-6918</t>
  </si>
  <si>
    <t>01420-6410</t>
  </si>
  <si>
    <t>MSHP fully displacing Propane Heat (weatherized)</t>
  </si>
  <si>
    <t>01462-1496</t>
  </si>
  <si>
    <t>01420-1640</t>
  </si>
  <si>
    <t>01474-1122</t>
  </si>
  <si>
    <t>01420-7014</t>
  </si>
  <si>
    <t>01469-1183</t>
  </si>
  <si>
    <t>01420-2106</t>
  </si>
  <si>
    <t>01462-1851</t>
  </si>
  <si>
    <t>01420-4732</t>
  </si>
  <si>
    <t>01462-1005</t>
  </si>
  <si>
    <t>01474-1126</t>
  </si>
  <si>
    <t>01420-2748</t>
  </si>
  <si>
    <t>01420-4897</t>
  </si>
  <si>
    <t>01431-2233</t>
  </si>
  <si>
    <t>01462-2021</t>
  </si>
  <si>
    <t>01462-1550</t>
  </si>
  <si>
    <t>01420-5337</t>
  </si>
  <si>
    <t>01462-1547</t>
  </si>
  <si>
    <t>01462-1521</t>
  </si>
  <si>
    <t>01462-1703</t>
  </si>
  <si>
    <t>01462-1608</t>
  </si>
  <si>
    <t>01462-1916</t>
  </si>
  <si>
    <t>01420-2704</t>
  </si>
  <si>
    <t>01431-1919</t>
  </si>
  <si>
    <t>01420-3825</t>
  </si>
  <si>
    <t>Central Heat Pump partially displacing Propane Heat (weatherized)</t>
  </si>
  <si>
    <t>Central Heat Pump partially displacing Oil Heat (weatherized)</t>
  </si>
  <si>
    <t>01462-2325</t>
  </si>
  <si>
    <t>01420-7013</t>
  </si>
  <si>
    <t>01420-7045</t>
  </si>
  <si>
    <t>01431-1824</t>
  </si>
  <si>
    <t>01420-2426</t>
  </si>
  <si>
    <t>01420-4733</t>
  </si>
  <si>
    <t>01420-1373</t>
  </si>
  <si>
    <t>01462-1009</t>
  </si>
  <si>
    <t>01462-1331</t>
  </si>
  <si>
    <t>01420-7153</t>
  </si>
  <si>
    <t>01420-7105</t>
  </si>
  <si>
    <t>01420-5160</t>
  </si>
  <si>
    <t>01469-1025</t>
  </si>
  <si>
    <t>01462-1104</t>
  </si>
  <si>
    <t>Air-to-Water Heat Pump displacing Oil Heat (weatherized)</t>
  </si>
  <si>
    <t>01431-2043</t>
  </si>
  <si>
    <t>01420-2625</t>
  </si>
  <si>
    <t>01462-1350</t>
  </si>
  <si>
    <t>01420-3692</t>
  </si>
  <si>
    <t>01469-1100</t>
  </si>
  <si>
    <t>01462-1328</t>
  </si>
  <si>
    <t>01469-1014</t>
  </si>
  <si>
    <t>01420-1637</t>
  </si>
  <si>
    <t>01420-6725</t>
  </si>
  <si>
    <t>01431-2238</t>
  </si>
  <si>
    <t>01462-1217</t>
  </si>
  <si>
    <t>01462-2022</t>
  </si>
  <si>
    <t>01420-2003</t>
  </si>
  <si>
    <t>01431-1736</t>
  </si>
  <si>
    <t>01462-2154</t>
  </si>
  <si>
    <t>01462-2143</t>
  </si>
  <si>
    <t>01462-1601</t>
  </si>
  <si>
    <t>01462-1820</t>
  </si>
  <si>
    <t>01462-1639</t>
  </si>
  <si>
    <t>01420-2918</t>
  </si>
  <si>
    <t>01420-7727</t>
  </si>
  <si>
    <t>01420-6156</t>
  </si>
  <si>
    <t>01462-2310</t>
  </si>
  <si>
    <t>01431-2157</t>
  </si>
  <si>
    <t>01462-1188</t>
  </si>
  <si>
    <t>01420-2757</t>
  </si>
  <si>
    <t>01462-1534</t>
  </si>
  <si>
    <t>01462-2148</t>
  </si>
  <si>
    <t>01431-1759</t>
  </si>
  <si>
    <t>01469-4407</t>
  </si>
  <si>
    <t>01462-1500</t>
  </si>
  <si>
    <t>01462-1677</t>
  </si>
  <si>
    <t>Central Heat Pump fully displacing Oil Heat (Single Family)</t>
  </si>
  <si>
    <t>01420-4126</t>
  </si>
  <si>
    <t>01462-1126</t>
  </si>
  <si>
    <t>Month</t>
  </si>
  <si>
    <t>Year</t>
  </si>
  <si>
    <t>ID</t>
  </si>
  <si>
    <t>2021_3</t>
  </si>
  <si>
    <t>2021_4</t>
  </si>
  <si>
    <t>2021_5</t>
  </si>
  <si>
    <t>2021_6</t>
  </si>
  <si>
    <t>2021_7</t>
  </si>
  <si>
    <t>2021_8</t>
  </si>
  <si>
    <t>2021_9</t>
  </si>
  <si>
    <t>2021_10</t>
  </si>
  <si>
    <t>2021_11</t>
  </si>
  <si>
    <t>2021_12</t>
  </si>
  <si>
    <t>2022_1</t>
  </si>
  <si>
    <t>2022_2</t>
  </si>
  <si>
    <t>2022_3</t>
  </si>
  <si>
    <t>2022_4</t>
  </si>
  <si>
    <t>2022_5</t>
  </si>
  <si>
    <t>2022_6</t>
  </si>
  <si>
    <t>2022_7</t>
  </si>
  <si>
    <t>2022_8</t>
  </si>
  <si>
    <t>2022_9</t>
  </si>
  <si>
    <t>2022_10</t>
  </si>
  <si>
    <t>2022_11</t>
  </si>
  <si>
    <t>2022_12</t>
  </si>
  <si>
    <t>2023_1</t>
  </si>
  <si>
    <t>2023_2</t>
  </si>
  <si>
    <t>2023_3</t>
  </si>
  <si>
    <t>2023_4</t>
  </si>
  <si>
    <t>2023_5</t>
  </si>
  <si>
    <t>2023_6</t>
  </si>
  <si>
    <t>2023_7</t>
  </si>
  <si>
    <t>2023_8</t>
  </si>
  <si>
    <t>2023_9</t>
  </si>
  <si>
    <t>2023_10</t>
  </si>
  <si>
    <t>2023_11</t>
  </si>
  <si>
    <t>Count</t>
  </si>
  <si>
    <t>Heating Month</t>
  </si>
  <si>
    <t>IS Date</t>
  </si>
  <si>
    <t>Date</t>
  </si>
  <si>
    <t>Installation Year</t>
  </si>
  <si>
    <t>Installation Month</t>
  </si>
  <si>
    <t>(kwh)</t>
  </si>
  <si>
    <t>Number of Customers that Installed a Heat Pump</t>
  </si>
  <si>
    <t>% Number of Customers that Installed a Heat Pump</t>
  </si>
  <si>
    <t>Line</t>
  </si>
  <si>
    <t xml:space="preserve">Standard Deviation </t>
  </si>
  <si>
    <t>Annualized Increase in Heating Season Monthly Average Electric Usage</t>
  </si>
  <si>
    <t>Weighted Annualized Increase in Heating Season Monthly Average Electric Usage</t>
  </si>
  <si>
    <t>Mean / Weighted</t>
  </si>
  <si>
    <t>Average Monthly Electric Usage for Heating Season Prior to Installation of Heat Pump</t>
  </si>
  <si>
    <t>Average Monthly Electric Usage for Heating Season Following to Installation of Heat Pump</t>
  </si>
  <si>
    <t>year</t>
  </si>
  <si>
    <t>rank</t>
  </si>
  <si>
    <t>high</t>
  </si>
  <si>
    <t>low</t>
  </si>
  <si>
    <t>Ave</t>
  </si>
  <si>
    <t>Boston Weather</t>
  </si>
  <si>
    <t>month</t>
  </si>
  <si>
    <t>Remove 2023 Installs as not through a new heating heason  post install.</t>
  </si>
  <si>
    <t>Change Used in Heat Pump Rate Design</t>
  </si>
  <si>
    <t>Standard Deviations from Mean</t>
  </si>
  <si>
    <t>DOER 2-02 Attachment 3</t>
  </si>
  <si>
    <t>PRATT ST</t>
  </si>
  <si>
    <t>HIGHLAND ST</t>
  </si>
  <si>
    <t>ROLLING ACRES RD</t>
  </si>
  <si>
    <t>KRISTOPHER LN</t>
  </si>
  <si>
    <t>MADISON ST</t>
  </si>
  <si>
    <t>LEOMINSTER RD</t>
  </si>
  <si>
    <t>MASSACHUSETTS AVE</t>
  </si>
  <si>
    <t>TYLER RD</t>
  </si>
  <si>
    <t>NATICK ST</t>
  </si>
  <si>
    <t>FLAT HILL RD</t>
  </si>
  <si>
    <t>SHELDON RD</t>
  </si>
  <si>
    <t>APPLE TREE HL</t>
  </si>
  <si>
    <t>OSGOOD ST</t>
  </si>
  <si>
    <t>PAGE ST</t>
  </si>
  <si>
    <t>BAILEY RD</t>
  </si>
  <si>
    <t>LANCASTER AVE</t>
  </si>
  <si>
    <t>HIGH ROCK RD</t>
  </si>
  <si>
    <t>WHITING ST</t>
  </si>
  <si>
    <t>SUNRISE AVE</t>
  </si>
  <si>
    <t>GOODRICH ST</t>
  </si>
  <si>
    <t>ROOSEVELT ST</t>
  </si>
  <si>
    <t>SAINT JOSEPH AVE</t>
  </si>
  <si>
    <t>PENINSULA DR</t>
  </si>
  <si>
    <t>HOLMAN ST</t>
  </si>
  <si>
    <t>MACINTOSH LN</t>
  </si>
  <si>
    <t>PARKER ST</t>
  </si>
  <si>
    <t>PROSPECT ST</t>
  </si>
  <si>
    <t>FOREST PARK</t>
  </si>
  <si>
    <t>FORDWAY RD</t>
  </si>
  <si>
    <t>SAGITARIUS LN</t>
  </si>
  <si>
    <t>LOVISA ST</t>
  </si>
  <si>
    <t>WESTMINSTER HILL RD</t>
  </si>
  <si>
    <t>CORTLAND AVE</t>
  </si>
  <si>
    <t>WHITE ST</t>
  </si>
  <si>
    <t>NORWOOD ST</t>
  </si>
  <si>
    <t>CLEARVIEW AVE</t>
  </si>
  <si>
    <t>N END RD</t>
  </si>
  <si>
    <t>CROSS RD</t>
  </si>
  <si>
    <t>VALLEY VIEW DR</t>
  </si>
  <si>
    <t>HOWARD ST</t>
  </si>
  <si>
    <t>KLONDIKE AVE</t>
  </si>
  <si>
    <t>BOYLSTON ST</t>
  </si>
  <si>
    <t>THE CLEARING ST</t>
  </si>
  <si>
    <t>LEOMINSTER SHIRLEY RD</t>
  </si>
  <si>
    <t>SANDY COVE RD</t>
  </si>
  <si>
    <t>PEARL ST</t>
  </si>
  <si>
    <t>WALLACE HILL RD</t>
  </si>
  <si>
    <t>WILLIAMS RD</t>
  </si>
  <si>
    <t>CONSTITUTION DR</t>
  </si>
  <si>
    <t>PUTNAM PARK</t>
  </si>
  <si>
    <t>SOUTH RD</t>
  </si>
  <si>
    <t>ARNHOW FARM RD</t>
  </si>
  <si>
    <t>MEADOW LN</t>
  </si>
  <si>
    <t>FLINT RD</t>
  </si>
  <si>
    <t>LAUREL LN</t>
  </si>
  <si>
    <t>SOUTH ST</t>
  </si>
  <si>
    <t>MULPUS RD</t>
  </si>
  <si>
    <t>CROCKER RD</t>
  </si>
  <si>
    <t>ASHBURNHAM ST</t>
  </si>
  <si>
    <t>SAINT JUDE BLVD</t>
  </si>
  <si>
    <t>DUDLEY ST</t>
  </si>
  <si>
    <t>WESTMINSTER ST</t>
  </si>
  <si>
    <t>GILCHREST ST</t>
  </si>
  <si>
    <t>SUMMER ST</t>
  </si>
  <si>
    <t>OLIN AVE</t>
  </si>
  <si>
    <t>MILL CREEK DR</t>
  </si>
  <si>
    <t>SUNNYHILL RD</t>
  </si>
  <si>
    <t>TAURUS LN</t>
  </si>
  <si>
    <t>RESERVOIR RD</t>
  </si>
  <si>
    <t>RENNIE ST</t>
  </si>
  <si>
    <t>NORTHFIELD RD</t>
  </si>
  <si>
    <t>ANITA DR</t>
  </si>
  <si>
    <t>FISHER RD</t>
  </si>
  <si>
    <t>ELMWOOD RD</t>
  </si>
  <si>
    <t>CRESCENT TER</t>
  </si>
  <si>
    <t>HEMLOCK DR</t>
  </si>
  <si>
    <t>TIBBETT CIR</t>
  </si>
  <si>
    <t>PHEASANT RIDGE RD</t>
  </si>
  <si>
    <t>W TOWNSEND RD</t>
  </si>
  <si>
    <t>PARMENTER ST</t>
  </si>
  <si>
    <t>COLONY RD</t>
  </si>
  <si>
    <t>LUNENBURG RD</t>
  </si>
  <si>
    <t>MECHANIC ST</t>
  </si>
  <si>
    <t>ROBBS TER</t>
  </si>
  <si>
    <t>STICKNEY RD</t>
  </si>
  <si>
    <t>BONNER AVE</t>
  </si>
  <si>
    <t>DARTMOUTH ST</t>
  </si>
  <si>
    <t>RYAN RD</t>
  </si>
  <si>
    <t>MOUNT ELAM RD</t>
  </si>
  <si>
    <t>ASHBY WEST RD</t>
  </si>
  <si>
    <t>TOWN ST</t>
  </si>
  <si>
    <t>SPRING ST</t>
  </si>
  <si>
    <t>EDLEE ST</t>
  </si>
  <si>
    <t>TURKEY HILL RD</t>
  </si>
  <si>
    <t>TOWNSEND HARBOR RD</t>
  </si>
  <si>
    <t>RICHARDSON RD</t>
  </si>
  <si>
    <t>CARRIE ANN LN</t>
  </si>
  <si>
    <t>FOSTER RD</t>
  </si>
  <si>
    <t>NEWTONVILLE AVE</t>
  </si>
  <si>
    <t>WEST RD</t>
  </si>
  <si>
    <t>TURNER RD</t>
  </si>
  <si>
    <t>E PROSPECT ST</t>
  </si>
  <si>
    <t>CEDAR ST</t>
  </si>
  <si>
    <t>TAYLOR RD</t>
  </si>
  <si>
    <t>FIRE RD</t>
  </si>
  <si>
    <t>BEAL ST</t>
  </si>
  <si>
    <t>EASTERN AVE</t>
  </si>
  <si>
    <t>PATTON ST</t>
  </si>
  <si>
    <t>FRANKLIN RD</t>
  </si>
  <si>
    <t>RINNOCK RD</t>
  </si>
  <si>
    <t>ROLLSTONE RD</t>
  </si>
  <si>
    <t>MAIN ST</t>
  </si>
  <si>
    <t>ALDER WAY</t>
  </si>
  <si>
    <t>ELEANOR ST</t>
  </si>
  <si>
    <t>PROCTOR RD</t>
  </si>
  <si>
    <t>ADAMS RD</t>
  </si>
  <si>
    <t>EMERY RD</t>
  </si>
  <si>
    <t>CASWELL RD</t>
  </si>
  <si>
    <t>MARSHALL ST</t>
  </si>
  <si>
    <t>PIPER RD</t>
  </si>
  <si>
    <t>UPLAND AVE</t>
  </si>
  <si>
    <t>FIFTH MASSACHUSETTS TPKE</t>
  </si>
  <si>
    <t>BELLI AVE</t>
  </si>
  <si>
    <t>WILLOW CIR</t>
  </si>
  <si>
    <t>OLD BATTERY RD</t>
  </si>
  <si>
    <t>OREGON AVE</t>
  </si>
  <si>
    <t>FARMER AVE</t>
  </si>
  <si>
    <t>HUNTING HILL RD</t>
  </si>
  <si>
    <t>CASCADE ST</t>
  </si>
  <si>
    <t>OLD CITY RD</t>
  </si>
  <si>
    <t>ERICKSON RD</t>
  </si>
  <si>
    <t>PINE GROVE RD</t>
  </si>
  <si>
    <t>SENECA ST</t>
  </si>
  <si>
    <t>QUARRY LN</t>
  </si>
  <si>
    <t>GIBSON ST</t>
  </si>
  <si>
    <t>HEYWOOD RD</t>
  </si>
  <si>
    <t>RAMGREN RD</t>
  </si>
  <si>
    <t>MINNEAPOLIS AVE</t>
  </si>
  <si>
    <t>NEW IPSWICH RD</t>
  </si>
  <si>
    <t>VICTORIA LN</t>
  </si>
  <si>
    <t>CENTRAL AVE</t>
  </si>
  <si>
    <t>MARY HTS</t>
  </si>
  <si>
    <t>WANOOSNOC RD</t>
  </si>
  <si>
    <t>INDIANA AVE</t>
  </si>
  <si>
    <t>BARKER HILL RD</t>
  </si>
  <si>
    <t>HORIZON ISLAND RD</t>
  </si>
  <si>
    <t>LINCOLN ST</t>
  </si>
  <si>
    <t>WEST ST</t>
  </si>
  <si>
    <t>SHAWNA ST</t>
  </si>
  <si>
    <t>MEADOW RD</t>
  </si>
  <si>
    <t>EASTMAN ST</t>
  </si>
  <si>
    <t>SOUTHWICK ST</t>
  </si>
  <si>
    <t>JEWETT HILL RD</t>
  </si>
  <si>
    <t>STONEFENCE RD</t>
  </si>
  <si>
    <t>BURRAGE ST</t>
  </si>
  <si>
    <t>WOODLAND DR</t>
  </si>
  <si>
    <t>ROUND RD</t>
  </si>
  <si>
    <t>ALMOUNT RD</t>
  </si>
  <si>
    <t>PINE ST</t>
  </si>
  <si>
    <t>VINE ST</t>
  </si>
  <si>
    <t>BOUTWELL ST</t>
  </si>
  <si>
    <t>FITCHBURG STATE RD</t>
  </si>
  <si>
    <t>W STATE RD</t>
  </si>
  <si>
    <t>GRANITE RD</t>
  </si>
  <si>
    <t>HOUGHTONS MILL RD</t>
  </si>
  <si>
    <t>EASTER BROOK RD</t>
  </si>
  <si>
    <t>HARUGARI ST</t>
  </si>
  <si>
    <t>DPU 23-80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</si>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</sst>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4" fillId="0" borderId="0" applyFont="0" applyFill="0" applyBorder="0" applyAlignment="0" applyProtection="0"/>
  </cellStyleXfs>
  <cellXfs count="91">
    <xf numFmtId="0" fontId="0" fillId="0" borderId="0" xfId="0"/>
    <xf numFmtId="0" fontId="1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top" wrapText="1" readingOrder="1"/>
    </xf>
    <xf numFmtId="1" fontId="1" fillId="2" borderId="2" xfId="0" applyNumberFormat="1" applyFont="1" applyFill="1" applyBorder="1" applyAlignment="1">
      <alignment horizontal="center" vertical="top" wrapText="1" readingOrder="1"/>
    </xf>
    <xf numFmtId="1" fontId="1" fillId="2" borderId="3" xfId="0" applyNumberFormat="1" applyFont="1" applyFill="1" applyBorder="1" applyAlignment="1">
      <alignment horizontal="center" vertical="top" wrapText="1" readingOrder="1"/>
    </xf>
    <xf numFmtId="1" fontId="1" fillId="3" borderId="4" xfId="0" applyNumberFormat="1" applyFont="1" applyFill="1" applyBorder="1" applyAlignment="1">
      <alignment horizontal="center" vertical="top" wrapText="1" readingOrder="1"/>
    </xf>
    <xf numFmtId="1" fontId="1" fillId="3" borderId="2" xfId="0" applyNumberFormat="1" applyFont="1" applyFill="1" applyBorder="1" applyAlignment="1">
      <alignment horizontal="center" vertical="top" wrapText="1" readingOrder="1"/>
    </xf>
    <xf numFmtId="0" fontId="0" fillId="0" borderId="0" xfId="0" applyAlignment="1">
      <alignment wrapText="1"/>
    </xf>
    <xf numFmtId="0" fontId="2" fillId="0" borderId="1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vertical="top" wrapText="1" readingOrder="1"/>
    </xf>
    <xf numFmtId="14" fontId="2" fillId="0" borderId="1" xfId="0" applyNumberFormat="1" applyFont="1" applyBorder="1" applyAlignment="1">
      <alignment vertical="top" wrapText="1" readingOrder="1"/>
    </xf>
    <xf numFmtId="1" fontId="2" fillId="0" borderId="1" xfId="0" applyNumberFormat="1" applyFont="1" applyBorder="1" applyAlignment="1">
      <alignment horizontal="right" vertical="top" wrapText="1" readingOrder="1"/>
    </xf>
    <xf numFmtId="1" fontId="2" fillId="0" borderId="2" xfId="0" applyNumberFormat="1" applyFont="1" applyBorder="1" applyAlignment="1">
      <alignment vertical="top" wrapText="1" readingOrder="1"/>
    </xf>
    <xf numFmtId="1" fontId="0" fillId="0" borderId="0" xfId="0" applyNumberFormat="1"/>
    <xf numFmtId="1" fontId="0" fillId="0" borderId="2" xfId="0" applyNumberFormat="1" applyBorder="1"/>
    <xf numFmtId="0" fontId="2" fillId="0" borderId="5" xfId="0" applyFont="1" applyBorder="1" applyAlignment="1">
      <alignment vertical="top" wrapText="1" readingOrder="1"/>
    </xf>
    <xf numFmtId="0" fontId="2" fillId="0" borderId="5" xfId="0" applyFont="1" applyBorder="1" applyAlignment="1" applyProtection="1">
      <alignment horizontal="left"/>
      <protection locked="0"/>
    </xf>
    <xf numFmtId="1" fontId="2" fillId="0" borderId="0" xfId="0" applyNumberFormat="1" applyFont="1" applyAlignment="1">
      <alignment vertical="top" wrapText="1" readingOrder="1"/>
    </xf>
    <xf numFmtId="0" fontId="2" fillId="4" borderId="5" xfId="0" applyFont="1" applyFill="1" applyBorder="1" applyAlignment="1" applyProtection="1">
      <alignment horizontal="left"/>
      <protection locked="0"/>
    </xf>
    <xf numFmtId="0" fontId="2" fillId="4" borderId="1" xfId="0" applyFont="1" applyFill="1" applyBorder="1" applyAlignment="1">
      <alignment vertical="top" wrapText="1" readingOrder="1"/>
    </xf>
    <xf numFmtId="0" fontId="0" fillId="0" borderId="6" xfId="0" applyBorder="1"/>
    <xf numFmtId="1" fontId="2" fillId="0" borderId="3" xfId="0" applyNumberFormat="1" applyFont="1" applyBorder="1" applyAlignment="1">
      <alignment vertical="top" wrapText="1" readingOrder="1"/>
    </xf>
    <xf numFmtId="1" fontId="2" fillId="0" borderId="2" xfId="0" applyNumberFormat="1" applyFont="1" applyBorder="1" applyAlignment="1">
      <alignment vertical="top" readingOrder="1"/>
    </xf>
    <xf numFmtId="1" fontId="2" fillId="0" borderId="0" xfId="0" applyNumberFormat="1" applyFont="1" applyAlignment="1">
      <alignment vertical="top" readingOrder="1"/>
    </xf>
    <xf numFmtId="0" fontId="2" fillId="5" borderId="1" xfId="0" applyFont="1" applyFill="1" applyBorder="1" applyAlignment="1" applyProtection="1">
      <alignment horizontal="left"/>
      <protection locked="0"/>
    </xf>
    <xf numFmtId="1" fontId="2" fillId="0" borderId="1" xfId="0" applyNumberFormat="1" applyFont="1" applyBorder="1" applyAlignment="1">
      <alignment vertical="top" wrapText="1" readingOrder="1"/>
    </xf>
    <xf numFmtId="1" fontId="0" fillId="0" borderId="1" xfId="0" applyNumberFormat="1" applyBorder="1"/>
    <xf numFmtId="0" fontId="2" fillId="0" borderId="0" xfId="0" applyFont="1" applyAlignment="1">
      <alignment vertical="top" wrapText="1" readingOrder="1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5" borderId="0" xfId="0" applyFont="1" applyFill="1" applyAlignment="1">
      <alignment vertical="top" wrapText="1" readingOrder="1"/>
    </xf>
    <xf numFmtId="1" fontId="2" fillId="0" borderId="0" xfId="0" applyNumberFormat="1" applyFont="1" applyAlignment="1">
      <alignment horizontal="right" vertical="top" wrapText="1" readingOrder="1"/>
    </xf>
    <xf numFmtId="0" fontId="2" fillId="5" borderId="1" xfId="0" applyFont="1" applyFill="1" applyBorder="1" applyAlignment="1">
      <alignment vertical="top" wrapText="1" readingOrder="1"/>
    </xf>
    <xf numFmtId="1" fontId="0" fillId="5" borderId="0" xfId="0" applyNumberFormat="1" applyFill="1"/>
    <xf numFmtId="0" fontId="2" fillId="0" borderId="1" xfId="1" applyFont="1" applyBorder="1" applyAlignment="1">
      <alignment vertical="top" wrapText="1" readingOrder="1"/>
    </xf>
    <xf numFmtId="1" fontId="2" fillId="0" borderId="1" xfId="1" applyNumberFormat="1" applyFont="1" applyBorder="1" applyAlignment="1">
      <alignment horizontal="right" vertical="top" wrapText="1" readingOrder="1"/>
    </xf>
    <xf numFmtId="0" fontId="2" fillId="0" borderId="1" xfId="2" applyFont="1" applyBorder="1" applyAlignment="1">
      <alignment vertical="top" wrapText="1" readingOrder="1"/>
    </xf>
    <xf numFmtId="0" fontId="2" fillId="0" borderId="1" xfId="3" applyFont="1" applyBorder="1" applyAlignment="1">
      <alignment vertical="top" wrapText="1" readingOrder="1"/>
    </xf>
    <xf numFmtId="1" fontId="2" fillId="0" borderId="1" xfId="2" applyNumberFormat="1" applyFont="1" applyBorder="1" applyAlignment="1">
      <alignment horizontal="right" vertical="top" wrapText="1" readingOrder="1"/>
    </xf>
    <xf numFmtId="14" fontId="2" fillId="0" borderId="0" xfId="0" applyNumberFormat="1" applyFont="1" applyAlignment="1">
      <alignment vertical="top" wrapText="1" readingOrder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9" fontId="0" fillId="0" borderId="0" xfId="5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7" xfId="0" applyBorder="1"/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0" xfId="5" applyNumberFormat="1" applyFont="1" applyAlignment="1">
      <alignment horizontal="center"/>
    </xf>
    <xf numFmtId="0" fontId="7" fillId="6" borderId="8" xfId="0" applyFont="1" applyFill="1" applyBorder="1" applyAlignment="1">
      <alignment horizontal="right" vertical="center" wrapText="1" indent="1"/>
    </xf>
    <xf numFmtId="164" fontId="0" fillId="0" borderId="0" xfId="0" applyNumberFormat="1"/>
    <xf numFmtId="16" fontId="0" fillId="0" borderId="0" xfId="0" applyNumberFormat="1"/>
    <xf numFmtId="0" fontId="0" fillId="0" borderId="0" xfId="0" applyAlignment="1">
      <alignment horizontal="right"/>
    </xf>
    <xf numFmtId="4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readingOrder="1"/>
    </xf>
    <xf numFmtId="0" fontId="1" fillId="0" borderId="2" xfId="0" applyFont="1" applyBorder="1" applyAlignment="1">
      <alignment horizontal="center" vertical="top" readingOrder="1"/>
    </xf>
    <xf numFmtId="0" fontId="2" fillId="0" borderId="1" xfId="0" applyFont="1" applyBorder="1" applyAlignment="1">
      <alignment vertical="top" readingOrder="1"/>
    </xf>
    <xf numFmtId="14" fontId="2" fillId="0" borderId="1" xfId="0" applyNumberFormat="1" applyFont="1" applyBorder="1" applyAlignment="1">
      <alignment vertical="top" readingOrder="1"/>
    </xf>
    <xf numFmtId="0" fontId="2" fillId="0" borderId="5" xfId="0" applyFont="1" applyBorder="1" applyAlignment="1">
      <alignment vertical="top" readingOrder="1"/>
    </xf>
    <xf numFmtId="0" fontId="2" fillId="4" borderId="1" xfId="0" applyFont="1" applyFill="1" applyBorder="1" applyAlignment="1">
      <alignment vertical="top" readingOrder="1"/>
    </xf>
    <xf numFmtId="0" fontId="2" fillId="0" borderId="0" xfId="0" applyFont="1" applyAlignment="1">
      <alignment vertical="top" readingOrder="1"/>
    </xf>
    <xf numFmtId="0" fontId="0" fillId="0" borderId="1" xfId="0" applyBorder="1" applyAlignment="1"/>
    <xf numFmtId="0" fontId="2" fillId="5" borderId="0" xfId="0" applyFont="1" applyFill="1" applyAlignment="1">
      <alignment vertical="top" readingOrder="1"/>
    </xf>
    <xf numFmtId="0" fontId="0" fillId="0" borderId="0" xfId="0" applyAlignment="1"/>
    <xf numFmtId="0" fontId="2" fillId="5" borderId="1" xfId="0" applyFont="1" applyFill="1" applyBorder="1" applyAlignment="1">
      <alignment vertical="top" readingOrder="1"/>
    </xf>
    <xf numFmtId="0" fontId="2" fillId="0" borderId="1" xfId="1" applyFont="1" applyBorder="1" applyAlignment="1">
      <alignment vertical="top" readingOrder="1"/>
    </xf>
    <xf numFmtId="0" fontId="2" fillId="0" borderId="1" xfId="2" applyFont="1" applyBorder="1" applyAlignment="1">
      <alignment vertical="top" readingOrder="1"/>
    </xf>
    <xf numFmtId="0" fontId="2" fillId="0" borderId="1" xfId="3" applyFont="1" applyBorder="1" applyAlignment="1">
      <alignment vertical="top" readingOrder="1"/>
    </xf>
    <xf numFmtId="14" fontId="2" fillId="0" borderId="0" xfId="0" applyNumberFormat="1" applyFont="1" applyAlignment="1">
      <alignment vertical="top" readingOrder="1"/>
    </xf>
    <xf numFmtId="0" fontId="2" fillId="0" borderId="1" xfId="0" applyFont="1" applyFill="1" applyBorder="1" applyAlignment="1">
      <alignment vertical="top" readingOrder="1"/>
    </xf>
    <xf numFmtId="0" fontId="0" fillId="0" borderId="1" xfId="0" applyFill="1" applyBorder="1" applyAlignment="1"/>
    <xf numFmtId="0" fontId="2" fillId="0" borderId="0" xfId="0" applyFont="1" applyFill="1" applyAlignment="1">
      <alignment vertical="top" readingOrder="1"/>
    </xf>
    <xf numFmtId="0" fontId="0" fillId="0" borderId="0" xfId="0" applyFill="1" applyAlignment="1"/>
    <xf numFmtId="0" fontId="2" fillId="0" borderId="1" xfId="1" applyFont="1" applyFill="1" applyBorder="1" applyAlignment="1">
      <alignment vertical="top" readingOrder="1"/>
    </xf>
    <xf numFmtId="0" fontId="2" fillId="0" borderId="1" xfId="2" applyFont="1" applyFill="1" applyBorder="1" applyAlignment="1">
      <alignment vertical="top" readingOrder="1"/>
    </xf>
    <xf numFmtId="0" fontId="2" fillId="0" borderId="1" xfId="3" applyFont="1" applyFill="1" applyBorder="1" applyAlignment="1">
      <alignment vertical="top" readingOrder="1"/>
    </xf>
    <xf numFmtId="0" fontId="2" fillId="0" borderId="1" xfId="0" applyFont="1" applyFill="1" applyBorder="1" applyAlignment="1">
      <alignment vertical="top" wrapText="1" readingOrder="1"/>
    </xf>
    <xf numFmtId="0" fontId="0" fillId="0" borderId="1" xfId="0" applyFill="1" applyBorder="1"/>
    <xf numFmtId="0" fontId="2" fillId="0" borderId="0" xfId="0" applyFont="1" applyFill="1" applyAlignment="1">
      <alignment vertical="top" wrapText="1" readingOrder="1"/>
    </xf>
    <xf numFmtId="0" fontId="0" fillId="0" borderId="0" xfId="0" applyFill="1"/>
    <xf numFmtId="0" fontId="2" fillId="0" borderId="1" xfId="1" applyFont="1" applyFill="1" applyBorder="1" applyAlignment="1">
      <alignment vertical="top" wrapText="1" readingOrder="1"/>
    </xf>
    <xf numFmtId="0" fontId="2" fillId="0" borderId="1" xfId="2" applyFont="1" applyFill="1" applyBorder="1" applyAlignment="1">
      <alignment vertical="top" wrapText="1" readingOrder="1"/>
    </xf>
    <xf numFmtId="0" fontId="2" fillId="0" borderId="1" xfId="3" applyFont="1" applyFill="1" applyBorder="1" applyAlignment="1">
      <alignment vertical="top" wrapText="1" readingOrder="1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</cellXfs>
  <cellStyles count="6">
    <cellStyle name="Normal" xfId="0" builtinId="0"/>
    <cellStyle name="Normal 2" xfId="4" xr:uid="{E7FB1D3F-8C5E-4EE5-A11E-9E95FDBCD8EE}"/>
    <cellStyle name="Normal 3" xfId="1" xr:uid="{F2BCC526-DCC9-4DD3-9B92-A7C88F87F6CC}"/>
    <cellStyle name="Normal 4" xfId="2" xr:uid="{6EE02638-009D-41A5-8460-4D0692433C30}"/>
    <cellStyle name="Normal 5" xfId="3" xr:uid="{C1DC0242-0B5A-40B1-9BE0-22CA146FEF44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lookups!$H$3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lookups!$H$4:$H$27</c:f>
              <c:numCache>
                <c:formatCode>General</c:formatCode>
                <c:ptCount val="24"/>
                <c:pt idx="0">
                  <c:v>34.799999999999997</c:v>
                </c:pt>
                <c:pt idx="1">
                  <c:v>37.200000000000003</c:v>
                </c:pt>
                <c:pt idx="2">
                  <c:v>43.5</c:v>
                </c:pt>
                <c:pt idx="3">
                  <c:v>57.8</c:v>
                </c:pt>
                <c:pt idx="4">
                  <c:v>46.5</c:v>
                </c:pt>
                <c:pt idx="5">
                  <c:v>38.799999999999997</c:v>
                </c:pt>
                <c:pt idx="6">
                  <c:v>40.4</c:v>
                </c:pt>
                <c:pt idx="7">
                  <c:v>40.700000000000003</c:v>
                </c:pt>
                <c:pt idx="8">
                  <c:v>50.1</c:v>
                </c:pt>
                <c:pt idx="9">
                  <c:v>52.3</c:v>
                </c:pt>
                <c:pt idx="10">
                  <c:v>55.4</c:v>
                </c:pt>
                <c:pt idx="11">
                  <c:v>41.4</c:v>
                </c:pt>
                <c:pt idx="12">
                  <c:v>35.9</c:v>
                </c:pt>
                <c:pt idx="13">
                  <c:v>35.200000000000003</c:v>
                </c:pt>
                <c:pt idx="14">
                  <c:v>49.9</c:v>
                </c:pt>
                <c:pt idx="15">
                  <c:v>58.6</c:v>
                </c:pt>
                <c:pt idx="16">
                  <c:v>51.1</c:v>
                </c:pt>
                <c:pt idx="17">
                  <c:v>43.4</c:v>
                </c:pt>
                <c:pt idx="18">
                  <c:v>33.5</c:v>
                </c:pt>
                <c:pt idx="19">
                  <c:v>40.799999999999997</c:v>
                </c:pt>
                <c:pt idx="20">
                  <c:v>48.2</c:v>
                </c:pt>
                <c:pt idx="21">
                  <c:v>57.9</c:v>
                </c:pt>
                <c:pt idx="22">
                  <c:v>54.9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4-4380-AB70-B4A40727B1C5}"/>
            </c:ext>
          </c:extLst>
        </c:ser>
        <c:ser>
          <c:idx val="1"/>
          <c:order val="1"/>
          <c:tx>
            <c:strRef>
              <c:f>lookups!$I$3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lookups!$I$4:$I$27</c:f>
              <c:numCache>
                <c:formatCode>General</c:formatCode>
                <c:ptCount val="24"/>
                <c:pt idx="0">
                  <c:v>17.100000000000001</c:v>
                </c:pt>
                <c:pt idx="1">
                  <c:v>19.7</c:v>
                </c:pt>
                <c:pt idx="2">
                  <c:v>23.8</c:v>
                </c:pt>
                <c:pt idx="3">
                  <c:v>37.6</c:v>
                </c:pt>
                <c:pt idx="4">
                  <c:v>28.3</c:v>
                </c:pt>
                <c:pt idx="5">
                  <c:v>22.2</c:v>
                </c:pt>
                <c:pt idx="6">
                  <c:v>23.7</c:v>
                </c:pt>
                <c:pt idx="7">
                  <c:v>24.2</c:v>
                </c:pt>
                <c:pt idx="8">
                  <c:v>30.2</c:v>
                </c:pt>
                <c:pt idx="9">
                  <c:v>33.9</c:v>
                </c:pt>
                <c:pt idx="10">
                  <c:v>34</c:v>
                </c:pt>
                <c:pt idx="11">
                  <c:v>24.8</c:v>
                </c:pt>
                <c:pt idx="12">
                  <c:v>21.7</c:v>
                </c:pt>
                <c:pt idx="13">
                  <c:v>20</c:v>
                </c:pt>
                <c:pt idx="14">
                  <c:v>26.7</c:v>
                </c:pt>
                <c:pt idx="15">
                  <c:v>36.9</c:v>
                </c:pt>
                <c:pt idx="16">
                  <c:v>30.5</c:v>
                </c:pt>
                <c:pt idx="17">
                  <c:v>28.5</c:v>
                </c:pt>
                <c:pt idx="18">
                  <c:v>13.6</c:v>
                </c:pt>
                <c:pt idx="19">
                  <c:v>19</c:v>
                </c:pt>
                <c:pt idx="20">
                  <c:v>27.8</c:v>
                </c:pt>
                <c:pt idx="21">
                  <c:v>36.200000000000003</c:v>
                </c:pt>
                <c:pt idx="22">
                  <c:v>34.1</c:v>
                </c:pt>
                <c:pt idx="23">
                  <c:v>24.4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4-4380-AB70-B4A40727B1C5}"/>
            </c:ext>
          </c:extLst>
        </c:ser>
        <c:ser>
          <c:idx val="2"/>
          <c:order val="2"/>
          <c:tx>
            <c:strRef>
              <c:f>lookups!$J$3</c:f>
              <c:strCache>
                <c:ptCount val="1"/>
                <c:pt idx="0">
                  <c:v>Ave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lookups!$J$4:$J$27</c:f>
              <c:numCache>
                <c:formatCode>0.0</c:formatCode>
                <c:ptCount val="24"/>
                <c:pt idx="0">
                  <c:v>25.95</c:v>
                </c:pt>
                <c:pt idx="1">
                  <c:v>28.450000000000003</c:v>
                </c:pt>
                <c:pt idx="2">
                  <c:v>33.65</c:v>
                </c:pt>
                <c:pt idx="3">
                  <c:v>47.7</c:v>
                </c:pt>
                <c:pt idx="4">
                  <c:v>37.4</c:v>
                </c:pt>
                <c:pt idx="5">
                  <c:v>30.5</c:v>
                </c:pt>
                <c:pt idx="6">
                  <c:v>32.049999999999997</c:v>
                </c:pt>
                <c:pt idx="7">
                  <c:v>32.450000000000003</c:v>
                </c:pt>
                <c:pt idx="8">
                  <c:v>40.15</c:v>
                </c:pt>
                <c:pt idx="9">
                  <c:v>43.099999999999994</c:v>
                </c:pt>
                <c:pt idx="10">
                  <c:v>44.7</c:v>
                </c:pt>
                <c:pt idx="11">
                  <c:v>33.1</c:v>
                </c:pt>
                <c:pt idx="12">
                  <c:v>28.799999999999997</c:v>
                </c:pt>
                <c:pt idx="13">
                  <c:v>27.6</c:v>
                </c:pt>
                <c:pt idx="14">
                  <c:v>38.299999999999997</c:v>
                </c:pt>
                <c:pt idx="15">
                  <c:v>47.75</c:v>
                </c:pt>
                <c:pt idx="16">
                  <c:v>40.799999999999997</c:v>
                </c:pt>
                <c:pt idx="17">
                  <c:v>35.950000000000003</c:v>
                </c:pt>
                <c:pt idx="18">
                  <c:v>23.55</c:v>
                </c:pt>
                <c:pt idx="19">
                  <c:v>29.9</c:v>
                </c:pt>
                <c:pt idx="20">
                  <c:v>38</c:v>
                </c:pt>
                <c:pt idx="21">
                  <c:v>47.05</c:v>
                </c:pt>
                <c:pt idx="22">
                  <c:v>44.5</c:v>
                </c:pt>
                <c:pt idx="23">
                  <c:v>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4-4380-AB70-B4A40727B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394208"/>
        <c:axId val="772707424"/>
      </c:lineChart>
      <c:catAx>
        <c:axId val="153039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07424"/>
        <c:crosses val="autoZero"/>
        <c:auto val="1"/>
        <c:lblAlgn val="ctr"/>
        <c:lblOffset val="100"/>
        <c:noMultiLvlLbl val="0"/>
      </c:catAx>
      <c:valAx>
        <c:axId val="7727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3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261937</xdr:colOff>
      <xdr:row>10</xdr:row>
      <xdr:rowOff>90487</xdr:rowOff>
    </xdr:from>
    <xdr:to>
      <xdr:col>17</xdr:col>
      <xdr:colOff>566737</xdr:colOff>
      <xdr:row>24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C2317-A06A-3CDA-9EB8-4EC6D7D0F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25</xdr:col>
      <xdr:colOff>258913</xdr:colOff>
      <xdr:row>66</xdr:row>
      <xdr:rowOff>29563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3D42E-982E-D267-816F-668E6578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5762625"/>
          <a:ext cx="12450913" cy="7078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3A38-9018-4B27-A45F-5EC217A054C6}">
  <sheetPr>
    <pageSetUpPr fitToPage="1"/>
  </sheetPr>
  <dimension ref="A1:R50"/>
  <sheetViews>
    <sheetView tabSelected="1" workbookViewId="0">
      <selection sqref="A1:P1"/>
    </sheetView>
  </sheetViews>
  <sheetFormatPr defaultRowHeight="14.4" x14ac:dyDescent="0.3"/>
  <cols>
    <col min="2" max="2" width="2.6640625" customWidth="1"/>
    <col min="3" max="3" width="17.88671875" customWidth="1"/>
    <col min="4" max="4" width="2.6640625" customWidth="1"/>
    <col min="5" max="5" width="16.109375" customWidth="1"/>
    <col min="6" max="6" width="2.6640625" customWidth="1"/>
    <col min="7" max="7" width="0" hidden="1" customWidth="1"/>
    <col min="8" max="8" width="11.33203125" customWidth="1"/>
    <col min="9" max="9" width="2.6640625" customWidth="1"/>
    <col min="10" max="10" width="11.109375" customWidth="1"/>
    <col min="11" max="11" width="2.6640625" customWidth="1"/>
    <col min="12" max="12" width="25.33203125" customWidth="1"/>
    <col min="13" max="13" width="2.6640625" customWidth="1"/>
    <col min="14" max="14" width="25.88671875" customWidth="1"/>
    <col min="15" max="15" width="2.6640625" customWidth="1"/>
    <col min="16" max="16" width="18" customWidth="1"/>
    <col min="17" max="17" width="2.6640625" customWidth="1"/>
    <col min="18" max="18" width="19.44140625" customWidth="1"/>
  </cols>
  <sheetData>
    <row r="1" spans="1:18" ht="14.4" customHeight="1" x14ac:dyDescent="0.3">
      <c r="A1" s="89" t="s">
        <v>516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7"/>
      <c r="R1" s="90" t="s">
        <v>517</v>
      </c>
    </row>
    <row r="2" spans="1:18" ht="14.4" customHeight="1" x14ac:dyDescent="0.3">
      <c r="A2" s="89" t="s">
        <v>348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7"/>
      <c r="R2" s="87"/>
    </row>
    <row r="3" spans="1:18" ht="14.4" customHeight="1" x14ac:dyDescent="0.3">
      <c r="A3" s="88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</row>
    <row r="4" spans="1:18" ht="72" x14ac:dyDescent="0.3">
      <c r="A4" s="48" t="s">
        <v>331</v>
      </c>
      <c r="B4" s="42"/>
      <c r="C4" s="42" t="s">
        <v>330</v>
      </c>
      <c r="D4" s="42"/>
      <c r="E4" s="42" t="s">
        <v>329</v>
      </c>
      <c r="F4" s="42"/>
      <c r="G4" s="42" t="s">
        <v>288</v>
      </c>
      <c r="H4" s="42" t="s">
        <v>326</v>
      </c>
      <c r="I4" s="42"/>
      <c r="J4" s="42" t="s">
        <v>327</v>
      </c>
      <c r="K4" s="42"/>
      <c r="L4" s="42" t="s">
        <v>336</v>
      </c>
      <c r="M4" s="42"/>
      <c r="N4" s="42" t="s">
        <v>337</v>
      </c>
      <c r="O4" s="42"/>
      <c r="P4" s="42" t="s">
        <v>333</v>
      </c>
      <c r="Q4" s="42"/>
      <c r="R4" s="42" t="s">
        <v>334</v>
      </c>
    </row>
    <row r="5" spans="1:18" x14ac:dyDescent="0.3">
      <c r="B5" s="42"/>
      <c r="C5" s="42"/>
      <c r="D5" s="42"/>
      <c r="E5" s="42"/>
      <c r="F5" s="42"/>
      <c r="G5" s="42"/>
      <c r="H5" s="42"/>
      <c r="I5" s="42"/>
      <c r="J5" s="42"/>
      <c r="K5" s="42"/>
      <c r="L5" s="42" t="s">
        <v>328</v>
      </c>
      <c r="M5" s="42"/>
      <c r="N5" s="42" t="s">
        <v>328</v>
      </c>
      <c r="O5" s="42"/>
      <c r="P5" s="42" t="s">
        <v>328</v>
      </c>
      <c r="Q5" s="42"/>
      <c r="R5" s="42" t="s">
        <v>328</v>
      </c>
    </row>
    <row r="6" spans="1:18" ht="7.5" customHeight="1" x14ac:dyDescent="0.3">
      <c r="A6" s="47"/>
      <c r="B6" s="41"/>
      <c r="C6" s="49"/>
      <c r="D6" s="41"/>
      <c r="E6" s="49"/>
      <c r="F6" s="41"/>
      <c r="G6" s="41"/>
      <c r="H6" s="49"/>
      <c r="I6" s="41"/>
      <c r="J6" s="49"/>
      <c r="K6" s="41"/>
      <c r="L6" s="49"/>
      <c r="M6" s="41"/>
      <c r="N6" s="49"/>
      <c r="O6" s="41"/>
      <c r="P6" s="49"/>
      <c r="Q6" s="41"/>
      <c r="R6" s="49"/>
    </row>
    <row r="7" spans="1:18" x14ac:dyDescent="0.3">
      <c r="A7" s="50">
        <v>1</v>
      </c>
      <c r="B7" s="44"/>
      <c r="C7" s="43">
        <f>E7/$E$41</f>
        <v>3.787878787878788E-3</v>
      </c>
      <c r="D7" s="44"/>
      <c r="E7" s="45">
        <f>COUNTIFS('Electric Calendarize'!$K$11:$K$274,'Summary Electric Increase'!$G7)</f>
        <v>1</v>
      </c>
      <c r="F7" s="44"/>
      <c r="G7" s="45" t="s">
        <v>289</v>
      </c>
      <c r="H7" s="45" t="str">
        <f>LEFT(G7,4)</f>
        <v>2021</v>
      </c>
      <c r="I7" s="44"/>
      <c r="J7" s="45" t="str">
        <f>IF(LEN(G7)=6,RIGHT(G7,1),RIGHT(G7,2))</f>
        <v>3</v>
      </c>
      <c r="K7" s="44"/>
      <c r="L7" s="46">
        <f ca="1">AVERAGEIFS('Electric Calendarize'!$O$11:$BG$274,'Electric Calendarize'!$BK$11:$DC$274,1,'Electric Calendarize'!$DG$11:$EY$274,'Summary Electric Increase'!$G7,'Electric Calendarize'!$O$11:$BG$274,"&gt;0",'Electric Calendarize'!$FC$11:$GU$274,0)</f>
        <v>685.2</v>
      </c>
      <c r="M7" s="46"/>
      <c r="N7" s="46">
        <f ca="1">AVERAGEIFS('Electric Calendarize'!$O$11:$BG$274,'Electric Calendarize'!$BK$11:$DC$274,1,'Electric Calendarize'!$DG$11:$EY$274,'Summary Electric Increase'!$G7,'Electric Calendarize'!$O$11:$BG$274,"&gt;0",'Electric Calendarize'!$FC$11:$GU$274,1)</f>
        <v>850</v>
      </c>
      <c r="O7" s="46"/>
      <c r="P7" s="46">
        <f ca="1">+(N7-L7)*12</f>
        <v>1977.5999999999995</v>
      </c>
      <c r="Q7" s="46"/>
      <c r="R7" s="46">
        <f ca="1">+P7*C7</f>
        <v>7.4909090909090894</v>
      </c>
    </row>
    <row r="8" spans="1:18" x14ac:dyDescent="0.3">
      <c r="A8" s="50">
        <f>+A7+1</f>
        <v>2</v>
      </c>
      <c r="B8" s="44"/>
      <c r="C8" s="43">
        <f t="shared" ref="C8:C39" si="0">E8/$E$41</f>
        <v>2.2727272727272728E-2</v>
      </c>
      <c r="D8" s="44"/>
      <c r="E8" s="45">
        <f>COUNTIFS('Electric Calendarize'!$K$11:$K$274,'Summary Electric Increase'!$G8)</f>
        <v>6</v>
      </c>
      <c r="F8" s="44"/>
      <c r="G8" s="45" t="s">
        <v>290</v>
      </c>
      <c r="H8" s="45" t="str">
        <f t="shared" ref="H8:H39" si="1">LEFT(G8,4)</f>
        <v>2021</v>
      </c>
      <c r="I8" s="44"/>
      <c r="J8" s="45" t="str">
        <f t="shared" ref="J8:J39" si="2">IF(LEN(G8)=6,RIGHT(G8,1),RIGHT(G8,2))</f>
        <v>4</v>
      </c>
      <c r="K8" s="44"/>
      <c r="L8" s="46">
        <f ca="1">AVERAGEIFS('Electric Calendarize'!$O$11:$BG$274,'Electric Calendarize'!$BK$11:$DC$274,1,'Electric Calendarize'!$DG$11:$EY$274,'Summary Electric Increase'!$G8,'Electric Calendarize'!$O$11:$BG$274,"&gt;0",'Electric Calendarize'!$FC$11:$GU$274,0)</f>
        <v>1194.3611111111111</v>
      </c>
      <c r="M8" s="46"/>
      <c r="N8" s="46">
        <f ca="1">AVERAGEIFS('Electric Calendarize'!$O$11:$BG$274,'Electric Calendarize'!$BK$11:$DC$274,1,'Electric Calendarize'!$DG$11:$EY$274,'Summary Electric Increase'!$G8,'Electric Calendarize'!$O$11:$BG$274,"&gt;0",'Electric Calendarize'!$FC$11:$GU$274,1)</f>
        <v>1162.7222222222222</v>
      </c>
      <c r="O8" s="46"/>
      <c r="P8" s="46">
        <f t="shared" ref="P8:P39" ca="1" si="3">+(N8-L8)*12</f>
        <v>-379.66666666666697</v>
      </c>
      <c r="Q8" s="46"/>
      <c r="R8" s="46">
        <f t="shared" ref="R8:R39" ca="1" si="4">+P8*C8</f>
        <v>-8.628787878787886</v>
      </c>
    </row>
    <row r="9" spans="1:18" x14ac:dyDescent="0.3">
      <c r="A9" s="50">
        <f t="shared" ref="A9:A39" si="5">+A8+1</f>
        <v>3</v>
      </c>
      <c r="B9" s="44"/>
      <c r="C9" s="43">
        <f t="shared" si="0"/>
        <v>7.575757575757576E-3</v>
      </c>
      <c r="D9" s="44"/>
      <c r="E9" s="45">
        <f>COUNTIFS('Electric Calendarize'!$K$11:$K$274,'Summary Electric Increase'!$G9)</f>
        <v>2</v>
      </c>
      <c r="F9" s="44"/>
      <c r="G9" s="45" t="s">
        <v>291</v>
      </c>
      <c r="H9" s="45" t="str">
        <f t="shared" si="1"/>
        <v>2021</v>
      </c>
      <c r="I9" s="44"/>
      <c r="J9" s="45" t="str">
        <f t="shared" si="2"/>
        <v>5</v>
      </c>
      <c r="K9" s="44"/>
      <c r="L9" s="46">
        <f ca="1">AVERAGEIFS('Electric Calendarize'!$O$11:$BG$274,'Electric Calendarize'!$BK$11:$DC$274,1,'Electric Calendarize'!$DG$11:$EY$274,'Summary Electric Increase'!$G9,'Electric Calendarize'!$O$11:$BG$274,"&gt;0",'Electric Calendarize'!$FC$11:$GU$274,0)</f>
        <v>1205.1666666666667</v>
      </c>
      <c r="M9" s="46"/>
      <c r="N9" s="46">
        <f ca="1">AVERAGEIFS('Electric Calendarize'!$O$11:$BG$274,'Electric Calendarize'!$BK$11:$DC$274,1,'Electric Calendarize'!$DG$11:$EY$274,'Summary Electric Increase'!$G9,'Electric Calendarize'!$O$11:$BG$274,"&gt;0",'Electric Calendarize'!$FC$11:$GU$274,1)</f>
        <v>881.91666666666663</v>
      </c>
      <c r="O9" s="46"/>
      <c r="P9" s="46">
        <f t="shared" ca="1" si="3"/>
        <v>-3879.0000000000014</v>
      </c>
      <c r="Q9" s="46"/>
      <c r="R9" s="46">
        <f t="shared" ca="1" si="4"/>
        <v>-29.386363636363647</v>
      </c>
    </row>
    <row r="10" spans="1:18" x14ac:dyDescent="0.3">
      <c r="A10" s="50">
        <f t="shared" si="5"/>
        <v>4</v>
      </c>
      <c r="B10" s="44"/>
      <c r="C10" s="43">
        <f t="shared" si="0"/>
        <v>1.1363636363636364E-2</v>
      </c>
      <c r="D10" s="44"/>
      <c r="E10" s="45">
        <f>COUNTIFS('Electric Calendarize'!$K$11:$K$274,'Summary Electric Increase'!$G10)</f>
        <v>3</v>
      </c>
      <c r="F10" s="44"/>
      <c r="G10" s="45" t="s">
        <v>292</v>
      </c>
      <c r="H10" s="45" t="str">
        <f t="shared" si="1"/>
        <v>2021</v>
      </c>
      <c r="I10" s="44"/>
      <c r="J10" s="45" t="str">
        <f t="shared" si="2"/>
        <v>6</v>
      </c>
      <c r="K10" s="44"/>
      <c r="L10" s="46">
        <f ca="1">AVERAGEIFS('Electric Calendarize'!$O$11:$BG$274,'Electric Calendarize'!$BK$11:$DC$274,1,'Electric Calendarize'!$DG$11:$EY$274,'Summary Electric Increase'!$G10,'Electric Calendarize'!$O$11:$BG$274,"&gt;0",'Electric Calendarize'!$FC$11:$GU$274,0)</f>
        <v>627.22222222222217</v>
      </c>
      <c r="M10" s="46"/>
      <c r="N10" s="46">
        <f ca="1">AVERAGEIFS('Electric Calendarize'!$O$11:$BG$274,'Electric Calendarize'!$BK$11:$DC$274,1,'Electric Calendarize'!$DG$11:$EY$274,'Summary Electric Increase'!$G10,'Electric Calendarize'!$O$11:$BG$274,"&gt;0",'Electric Calendarize'!$FC$11:$GU$274,1)</f>
        <v>1151.5</v>
      </c>
      <c r="O10" s="46"/>
      <c r="P10" s="46">
        <f t="shared" ca="1" si="3"/>
        <v>6291.3333333333339</v>
      </c>
      <c r="Q10" s="46"/>
      <c r="R10" s="46">
        <f t="shared" ca="1" si="4"/>
        <v>71.492424242424249</v>
      </c>
    </row>
    <row r="11" spans="1:18" x14ac:dyDescent="0.3">
      <c r="A11" s="50">
        <f t="shared" si="5"/>
        <v>5</v>
      </c>
      <c r="B11" s="44"/>
      <c r="C11" s="43">
        <f t="shared" si="0"/>
        <v>4.924242424242424E-2</v>
      </c>
      <c r="D11" s="44"/>
      <c r="E11" s="45">
        <f>COUNTIFS('Electric Calendarize'!$K$11:$K$274,'Summary Electric Increase'!$G11)</f>
        <v>13</v>
      </c>
      <c r="F11" s="44"/>
      <c r="G11" s="45" t="s">
        <v>293</v>
      </c>
      <c r="H11" s="45" t="str">
        <f t="shared" si="1"/>
        <v>2021</v>
      </c>
      <c r="I11" s="44"/>
      <c r="J11" s="45" t="str">
        <f t="shared" si="2"/>
        <v>7</v>
      </c>
      <c r="K11" s="44"/>
      <c r="L11" s="46">
        <f ca="1">AVERAGEIFS('Electric Calendarize'!$O$11:$BG$274,'Electric Calendarize'!$BK$11:$DC$274,1,'Electric Calendarize'!$DG$11:$EY$274,'Summary Electric Increase'!$G11,'Electric Calendarize'!$O$11:$BG$274,"&gt;0",'Electric Calendarize'!$FC$11:$GU$274,0)</f>
        <v>724.86885245901635</v>
      </c>
      <c r="M11" s="46"/>
      <c r="N11" s="46">
        <f ca="1">AVERAGEIFS('Electric Calendarize'!$O$11:$BG$274,'Electric Calendarize'!$BK$11:$DC$274,1,'Electric Calendarize'!$DG$11:$EY$274,'Summary Electric Increase'!$G11,'Electric Calendarize'!$O$11:$BG$274,"&gt;0",'Electric Calendarize'!$FC$11:$GU$274,1)</f>
        <v>914.67948717948718</v>
      </c>
      <c r="O11" s="46"/>
      <c r="P11" s="46">
        <f t="shared" ca="1" si="3"/>
        <v>2277.72761664565</v>
      </c>
      <c r="Q11" s="46"/>
      <c r="R11" s="46">
        <f t="shared" ca="1" si="4"/>
        <v>112.16082960755094</v>
      </c>
    </row>
    <row r="12" spans="1:18" x14ac:dyDescent="0.3">
      <c r="A12" s="50">
        <f t="shared" si="5"/>
        <v>6</v>
      </c>
      <c r="B12" s="44"/>
      <c r="C12" s="43">
        <f t="shared" si="0"/>
        <v>3.0303030303030304E-2</v>
      </c>
      <c r="D12" s="44"/>
      <c r="E12" s="45">
        <f>COUNTIFS('Electric Calendarize'!$K$11:$K$274,'Summary Electric Increase'!$G12)</f>
        <v>8</v>
      </c>
      <c r="F12" s="44"/>
      <c r="G12" s="45" t="s">
        <v>294</v>
      </c>
      <c r="H12" s="45" t="str">
        <f t="shared" si="1"/>
        <v>2021</v>
      </c>
      <c r="I12" s="44"/>
      <c r="J12" s="45" t="str">
        <f t="shared" si="2"/>
        <v>8</v>
      </c>
      <c r="K12" s="44"/>
      <c r="L12" s="46">
        <f ca="1">AVERAGEIFS('Electric Calendarize'!$O$11:$BG$274,'Electric Calendarize'!$BK$11:$DC$274,1,'Electric Calendarize'!$DG$11:$EY$274,'Summary Electric Increase'!$G12,'Electric Calendarize'!$O$11:$BG$274,"&gt;0",'Electric Calendarize'!$FC$11:$GU$274,0)</f>
        <v>1006.1944444444445</v>
      </c>
      <c r="M12" s="46"/>
      <c r="N12" s="46">
        <f ca="1">AVERAGEIFS('Electric Calendarize'!$O$11:$BG$274,'Electric Calendarize'!$BK$11:$DC$274,1,'Electric Calendarize'!$DG$11:$EY$274,'Summary Electric Increase'!$G12,'Electric Calendarize'!$O$11:$BG$274,"&gt;0",'Electric Calendarize'!$FC$11:$GU$274,1)</f>
        <v>997.89583333333337</v>
      </c>
      <c r="O12" s="46"/>
      <c r="P12" s="46">
        <f t="shared" ca="1" si="3"/>
        <v>-99.58333333333303</v>
      </c>
      <c r="Q12" s="46"/>
      <c r="R12" s="46">
        <f t="shared" ca="1" si="4"/>
        <v>-3.0176767676767584</v>
      </c>
    </row>
    <row r="13" spans="1:18" x14ac:dyDescent="0.3">
      <c r="A13" s="50">
        <f t="shared" si="5"/>
        <v>7</v>
      </c>
      <c r="B13" s="44"/>
      <c r="C13" s="43">
        <f t="shared" si="0"/>
        <v>4.5454545454545456E-2</v>
      </c>
      <c r="D13" s="44"/>
      <c r="E13" s="45">
        <f>COUNTIFS('Electric Calendarize'!$K$11:$K$274,'Summary Electric Increase'!$G13)</f>
        <v>12</v>
      </c>
      <c r="F13" s="44"/>
      <c r="G13" s="45" t="s">
        <v>295</v>
      </c>
      <c r="H13" s="45" t="str">
        <f t="shared" si="1"/>
        <v>2021</v>
      </c>
      <c r="I13" s="44"/>
      <c r="J13" s="45" t="str">
        <f t="shared" si="2"/>
        <v>9</v>
      </c>
      <c r="K13" s="44"/>
      <c r="L13" s="46">
        <f ca="1">AVERAGEIFS('Electric Calendarize'!$O$11:$BG$274,'Electric Calendarize'!$BK$11:$DC$274,1,'Electric Calendarize'!$DG$11:$EY$274,'Summary Electric Increase'!$G13,'Electric Calendarize'!$O$11:$BG$274,"&gt;0",'Electric Calendarize'!$FC$11:$GU$274,0)</f>
        <v>757.53571428571433</v>
      </c>
      <c r="M13" s="46"/>
      <c r="N13" s="46">
        <f ca="1">AVERAGEIFS('Electric Calendarize'!$O$11:$BG$274,'Electric Calendarize'!$BK$11:$DC$274,1,'Electric Calendarize'!$DG$11:$EY$274,'Summary Electric Increase'!$G13,'Electric Calendarize'!$O$11:$BG$274,"&gt;0",'Electric Calendarize'!$FC$11:$GU$274,1)</f>
        <v>937.41666666666663</v>
      </c>
      <c r="O13" s="46"/>
      <c r="P13" s="46">
        <f t="shared" ca="1" si="3"/>
        <v>2158.5714285714275</v>
      </c>
      <c r="Q13" s="46"/>
      <c r="R13" s="46">
        <f t="shared" ca="1" si="4"/>
        <v>98.116883116883074</v>
      </c>
    </row>
    <row r="14" spans="1:18" x14ac:dyDescent="0.3">
      <c r="A14" s="50">
        <f t="shared" si="5"/>
        <v>8</v>
      </c>
      <c r="B14" s="44"/>
      <c r="C14" s="43">
        <f t="shared" si="0"/>
        <v>3.787878787878788E-2</v>
      </c>
      <c r="D14" s="44"/>
      <c r="E14" s="45">
        <f>COUNTIFS('Electric Calendarize'!$K$11:$K$274,'Summary Electric Increase'!$G14)</f>
        <v>10</v>
      </c>
      <c r="F14" s="44"/>
      <c r="G14" s="45" t="s">
        <v>296</v>
      </c>
      <c r="H14" s="45" t="str">
        <f t="shared" si="1"/>
        <v>2021</v>
      </c>
      <c r="I14" s="44"/>
      <c r="J14" s="45" t="str">
        <f t="shared" si="2"/>
        <v>10</v>
      </c>
      <c r="K14" s="44"/>
      <c r="L14" s="46">
        <f ca="1">AVERAGEIFS('Electric Calendarize'!$O$11:$BG$274,'Electric Calendarize'!$BK$11:$DC$274,1,'Electric Calendarize'!$DG$11:$EY$274,'Summary Electric Increase'!$G14,'Electric Calendarize'!$O$11:$BG$274,"&gt;0",'Electric Calendarize'!$FC$11:$GU$274,0)</f>
        <v>760.03703703703707</v>
      </c>
      <c r="M14" s="46"/>
      <c r="N14" s="46">
        <f ca="1">AVERAGEIFS('Electric Calendarize'!$O$11:$BG$274,'Electric Calendarize'!$BK$11:$DC$274,1,'Electric Calendarize'!$DG$11:$EY$274,'Summary Electric Increase'!$G14,'Electric Calendarize'!$O$11:$BG$274,"&gt;0",'Electric Calendarize'!$FC$11:$GU$274,1)</f>
        <v>1132.1500000000001</v>
      </c>
      <c r="O14" s="46"/>
      <c r="P14" s="46">
        <f t="shared" ca="1" si="3"/>
        <v>4465.3555555555558</v>
      </c>
      <c r="Q14" s="46"/>
      <c r="R14" s="46">
        <f t="shared" ca="1" si="4"/>
        <v>169.14225589225592</v>
      </c>
    </row>
    <row r="15" spans="1:18" x14ac:dyDescent="0.3">
      <c r="A15" s="50">
        <f t="shared" si="5"/>
        <v>9</v>
      </c>
      <c r="B15" s="44"/>
      <c r="C15" s="43">
        <f t="shared" si="0"/>
        <v>2.6515151515151516E-2</v>
      </c>
      <c r="D15" s="44"/>
      <c r="E15" s="45">
        <f>COUNTIFS('Electric Calendarize'!$K$11:$K$274,'Summary Electric Increase'!$G15)</f>
        <v>7</v>
      </c>
      <c r="F15" s="44"/>
      <c r="G15" s="45" t="s">
        <v>297</v>
      </c>
      <c r="H15" s="45" t="str">
        <f t="shared" si="1"/>
        <v>2021</v>
      </c>
      <c r="I15" s="44"/>
      <c r="J15" s="45" t="str">
        <f t="shared" si="2"/>
        <v>11</v>
      </c>
      <c r="K15" s="44"/>
      <c r="L15" s="46">
        <f ca="1">AVERAGEIFS('Electric Calendarize'!$O$11:$BG$274,'Electric Calendarize'!$BK$11:$DC$274,1,'Electric Calendarize'!$DG$11:$EY$274,'Summary Electric Increase'!$G15,'Electric Calendarize'!$O$11:$BG$274,"&gt;0",'Electric Calendarize'!$FC$11:$GU$274,0)</f>
        <v>815.35714285714289</v>
      </c>
      <c r="M15" s="46"/>
      <c r="N15" s="46">
        <f ca="1">AVERAGEIFS('Electric Calendarize'!$O$11:$BG$274,'Electric Calendarize'!$BK$11:$DC$274,1,'Electric Calendarize'!$DG$11:$EY$274,'Summary Electric Increase'!$G15,'Electric Calendarize'!$O$11:$BG$274,"&gt;0",'Electric Calendarize'!$FC$11:$GU$274,1)</f>
        <v>1086.8809523809523</v>
      </c>
      <c r="O15" s="46"/>
      <c r="P15" s="46">
        <f t="shared" ca="1" si="3"/>
        <v>3258.2857142857129</v>
      </c>
      <c r="Q15" s="46"/>
      <c r="R15" s="46">
        <f t="shared" ca="1" si="4"/>
        <v>86.393939393939363</v>
      </c>
    </row>
    <row r="16" spans="1:18" x14ac:dyDescent="0.3">
      <c r="A16" s="50">
        <f t="shared" si="5"/>
        <v>10</v>
      </c>
      <c r="B16" s="44"/>
      <c r="C16" s="43">
        <f t="shared" si="0"/>
        <v>3.787878787878788E-2</v>
      </c>
      <c r="D16" s="44"/>
      <c r="E16" s="45">
        <f>COUNTIFS('Electric Calendarize'!$K$11:$K$274,'Summary Electric Increase'!$G16)</f>
        <v>10</v>
      </c>
      <c r="F16" s="44"/>
      <c r="G16" s="45" t="s">
        <v>298</v>
      </c>
      <c r="H16" s="45" t="str">
        <f t="shared" si="1"/>
        <v>2021</v>
      </c>
      <c r="I16" s="44"/>
      <c r="J16" s="45" t="str">
        <f t="shared" si="2"/>
        <v>12</v>
      </c>
      <c r="K16" s="44"/>
      <c r="L16" s="46">
        <f ca="1">AVERAGEIFS('Electric Calendarize'!$O$11:$BG$274,'Electric Calendarize'!$BK$11:$DC$274,1,'Electric Calendarize'!$DG$11:$EY$274,'Summary Electric Increase'!$G16,'Electric Calendarize'!$O$11:$BG$274,"&gt;0",'Electric Calendarize'!$FC$11:$GU$274,0)</f>
        <v>1000.9245283018868</v>
      </c>
      <c r="M16" s="46"/>
      <c r="N16" s="46">
        <f ca="1">AVERAGEIFS('Electric Calendarize'!$O$11:$BG$274,'Electric Calendarize'!$BK$11:$DC$274,1,'Electric Calendarize'!$DG$11:$EY$274,'Summary Electric Increase'!$G16,'Electric Calendarize'!$O$11:$BG$274,"&gt;0",'Electric Calendarize'!$FC$11:$GU$274,1)</f>
        <v>1457.4</v>
      </c>
      <c r="O16" s="46"/>
      <c r="P16" s="46">
        <f t="shared" ca="1" si="3"/>
        <v>5477.7056603773599</v>
      </c>
      <c r="Q16" s="46"/>
      <c r="R16" s="46">
        <f t="shared" ca="1" si="4"/>
        <v>207.48885077186969</v>
      </c>
    </row>
    <row r="17" spans="1:18" x14ac:dyDescent="0.3">
      <c r="A17" s="50">
        <f t="shared" si="5"/>
        <v>11</v>
      </c>
      <c r="B17" s="44"/>
      <c r="C17" s="43">
        <f t="shared" si="0"/>
        <v>7.575757575757576E-3</v>
      </c>
      <c r="D17" s="44"/>
      <c r="E17" s="45">
        <f>COUNTIFS('Electric Calendarize'!$K$11:$K$274,'Summary Electric Increase'!$G17)</f>
        <v>2</v>
      </c>
      <c r="F17" s="44"/>
      <c r="G17" s="45" t="s">
        <v>299</v>
      </c>
      <c r="H17" s="45" t="str">
        <f t="shared" si="1"/>
        <v>2022</v>
      </c>
      <c r="I17" s="44"/>
      <c r="J17" s="45" t="str">
        <f t="shared" si="2"/>
        <v>1</v>
      </c>
      <c r="K17" s="44"/>
      <c r="L17" s="46">
        <f ca="1">AVERAGEIFS('Electric Calendarize'!$O$11:$BG$274,'Electric Calendarize'!$BK$11:$DC$274,1,'Electric Calendarize'!$DG$11:$EY$274,'Summary Electric Increase'!$G17,'Electric Calendarize'!$O$11:$BG$274,"&gt;0",'Electric Calendarize'!$FC$11:$GU$274,0)</f>
        <v>1101.5</v>
      </c>
      <c r="M17" s="46"/>
      <c r="N17" s="46">
        <f ca="1">AVERAGEIFS('Electric Calendarize'!$O$11:$BG$274,'Electric Calendarize'!$BK$11:$DC$274,1,'Electric Calendarize'!$DG$11:$EY$274,'Summary Electric Increase'!$G17,'Electric Calendarize'!$O$11:$BG$274,"&gt;0",'Electric Calendarize'!$FC$11:$GU$274,1)</f>
        <v>1196.8333333333333</v>
      </c>
      <c r="O17" s="46"/>
      <c r="P17" s="46">
        <f t="shared" ca="1" si="3"/>
        <v>1143.9999999999991</v>
      </c>
      <c r="Q17" s="46"/>
      <c r="R17" s="46">
        <f t="shared" ca="1" si="4"/>
        <v>8.6666666666666607</v>
      </c>
    </row>
    <row r="18" spans="1:18" x14ac:dyDescent="0.3">
      <c r="A18" s="50">
        <f t="shared" si="5"/>
        <v>12</v>
      </c>
      <c r="B18" s="44"/>
      <c r="C18" s="43">
        <f t="shared" si="0"/>
        <v>7.575757575757576E-3</v>
      </c>
      <c r="D18" s="44"/>
      <c r="E18" s="45">
        <f>COUNTIFS('Electric Calendarize'!$K$11:$K$274,'Summary Electric Increase'!$G18)</f>
        <v>2</v>
      </c>
      <c r="F18" s="44"/>
      <c r="G18" s="45" t="s">
        <v>300</v>
      </c>
      <c r="H18" s="45" t="str">
        <f t="shared" si="1"/>
        <v>2022</v>
      </c>
      <c r="I18" s="44"/>
      <c r="J18" s="45" t="str">
        <f t="shared" si="2"/>
        <v>2</v>
      </c>
      <c r="K18" s="44"/>
      <c r="L18" s="46">
        <f ca="1">AVERAGEIFS('Electric Calendarize'!$O$11:$BG$274,'Electric Calendarize'!$BK$11:$DC$274,1,'Electric Calendarize'!$DG$11:$EY$274,'Summary Electric Increase'!$G18,'Electric Calendarize'!$O$11:$BG$274,"&gt;0",'Electric Calendarize'!$FC$11:$GU$274,0)</f>
        <v>1162</v>
      </c>
      <c r="M18" s="46"/>
      <c r="N18" s="46">
        <f ca="1">AVERAGEIFS('Electric Calendarize'!$O$11:$BG$274,'Electric Calendarize'!$BK$11:$DC$274,1,'Electric Calendarize'!$DG$11:$EY$274,'Summary Electric Increase'!$G18,'Electric Calendarize'!$O$11:$BG$274,"&gt;0",'Electric Calendarize'!$FC$11:$GU$274,1)</f>
        <v>1310.4166666666667</v>
      </c>
      <c r="O18" s="46"/>
      <c r="P18" s="46">
        <f t="shared" ca="1" si="3"/>
        <v>1781.0000000000009</v>
      </c>
      <c r="Q18" s="46"/>
      <c r="R18" s="46">
        <f t="shared" ca="1" si="4"/>
        <v>13.492424242424249</v>
      </c>
    </row>
    <row r="19" spans="1:18" x14ac:dyDescent="0.3">
      <c r="A19" s="50">
        <f t="shared" si="5"/>
        <v>13</v>
      </c>
      <c r="B19" s="44"/>
      <c r="C19" s="43">
        <f t="shared" si="0"/>
        <v>2.2727272727272728E-2</v>
      </c>
      <c r="D19" s="44"/>
      <c r="E19" s="45">
        <f>COUNTIFS('Electric Calendarize'!$K$11:$K$274,'Summary Electric Increase'!$G19)</f>
        <v>6</v>
      </c>
      <c r="F19" s="44"/>
      <c r="G19" s="45" t="s">
        <v>301</v>
      </c>
      <c r="H19" s="45" t="str">
        <f t="shared" si="1"/>
        <v>2022</v>
      </c>
      <c r="I19" s="44"/>
      <c r="J19" s="45" t="str">
        <f t="shared" si="2"/>
        <v>3</v>
      </c>
      <c r="K19" s="44"/>
      <c r="L19" s="46">
        <f ca="1">AVERAGEIFS('Electric Calendarize'!$O$11:$BG$274,'Electric Calendarize'!$BK$11:$DC$274,1,'Electric Calendarize'!$DG$11:$EY$274,'Summary Electric Increase'!$G19,'Electric Calendarize'!$O$11:$BG$274,"&gt;0",'Electric Calendarize'!$FC$11:$GU$274,0)</f>
        <v>509.36111111111109</v>
      </c>
      <c r="M19" s="46"/>
      <c r="N19" s="46">
        <f ca="1">AVERAGEIFS('Electric Calendarize'!$O$11:$BG$274,'Electric Calendarize'!$BK$11:$DC$274,1,'Electric Calendarize'!$DG$11:$EY$274,'Summary Electric Increase'!$G19,'Electric Calendarize'!$O$11:$BG$274,"&gt;0",'Electric Calendarize'!$FC$11:$GU$274,1)</f>
        <v>767.72222222222217</v>
      </c>
      <c r="O19" s="46"/>
      <c r="P19" s="46">
        <f t="shared" ca="1" si="3"/>
        <v>3100.333333333333</v>
      </c>
      <c r="Q19" s="46"/>
      <c r="R19" s="46">
        <f t="shared" ca="1" si="4"/>
        <v>70.462121212121204</v>
      </c>
    </row>
    <row r="20" spans="1:18" x14ac:dyDescent="0.3">
      <c r="A20" s="50">
        <f t="shared" si="5"/>
        <v>14</v>
      </c>
      <c r="B20" s="44"/>
      <c r="C20" s="43">
        <f t="shared" si="0"/>
        <v>4.5454545454545456E-2</v>
      </c>
      <c r="D20" s="44"/>
      <c r="E20" s="45">
        <f>COUNTIFS('Electric Calendarize'!$K$11:$K$274,'Summary Electric Increase'!$G20)</f>
        <v>12</v>
      </c>
      <c r="F20" s="44"/>
      <c r="G20" s="45" t="s">
        <v>302</v>
      </c>
      <c r="H20" s="45" t="str">
        <f t="shared" si="1"/>
        <v>2022</v>
      </c>
      <c r="I20" s="44"/>
      <c r="J20" s="45" t="str">
        <f t="shared" si="2"/>
        <v>4</v>
      </c>
      <c r="K20" s="44"/>
      <c r="L20" s="46">
        <f ca="1">AVERAGEIFS('Electric Calendarize'!$O$11:$BG$274,'Electric Calendarize'!$BK$11:$DC$274,1,'Electric Calendarize'!$DG$11:$EY$274,'Summary Electric Increase'!$G20,'Electric Calendarize'!$O$11:$BG$274,"&gt;0",'Electric Calendarize'!$FC$11:$GU$274,0)</f>
        <v>705.44927536231887</v>
      </c>
      <c r="M20" s="46"/>
      <c r="N20" s="46">
        <f ca="1">AVERAGEIFS('Electric Calendarize'!$O$11:$BG$274,'Electric Calendarize'!$BK$11:$DC$274,1,'Electric Calendarize'!$DG$11:$EY$274,'Summary Electric Increase'!$G20,'Electric Calendarize'!$O$11:$BG$274,"&gt;0",'Electric Calendarize'!$FC$11:$GU$274,1)</f>
        <v>967.625</v>
      </c>
      <c r="O20" s="46"/>
      <c r="P20" s="46">
        <f t="shared" ca="1" si="3"/>
        <v>3146.1086956521735</v>
      </c>
      <c r="Q20" s="46"/>
      <c r="R20" s="46">
        <f t="shared" ca="1" si="4"/>
        <v>143.00494071146244</v>
      </c>
    </row>
    <row r="21" spans="1:18" x14ac:dyDescent="0.3">
      <c r="A21" s="50">
        <f t="shared" si="5"/>
        <v>15</v>
      </c>
      <c r="B21" s="44"/>
      <c r="C21" s="43">
        <f t="shared" si="0"/>
        <v>4.5454545454545456E-2</v>
      </c>
      <c r="D21" s="44"/>
      <c r="E21" s="45">
        <f>COUNTIFS('Electric Calendarize'!$K$11:$K$274,'Summary Electric Increase'!$G21)</f>
        <v>12</v>
      </c>
      <c r="F21" s="44"/>
      <c r="G21" s="45" t="s">
        <v>303</v>
      </c>
      <c r="H21" s="45" t="str">
        <f t="shared" si="1"/>
        <v>2022</v>
      </c>
      <c r="I21" s="44"/>
      <c r="J21" s="45" t="str">
        <f t="shared" si="2"/>
        <v>5</v>
      </c>
      <c r="K21" s="44"/>
      <c r="L21" s="46">
        <f ca="1">AVERAGEIFS('Electric Calendarize'!$O$11:$BG$274,'Electric Calendarize'!$BK$11:$DC$274,1,'Electric Calendarize'!$DG$11:$EY$274,'Summary Electric Increase'!$G21,'Electric Calendarize'!$O$11:$BG$274,"&gt;0",'Electric Calendarize'!$FC$11:$GU$274,0)</f>
        <v>708.57575757575762</v>
      </c>
      <c r="M21" s="46"/>
      <c r="N21" s="46">
        <f ca="1">AVERAGEIFS('Electric Calendarize'!$O$11:$BG$274,'Electric Calendarize'!$BK$11:$DC$274,1,'Electric Calendarize'!$DG$11:$EY$274,'Summary Electric Increase'!$G21,'Electric Calendarize'!$O$11:$BG$274,"&gt;0",'Electric Calendarize'!$FC$11:$GU$274,1)</f>
        <v>1412.4411764705883</v>
      </c>
      <c r="O21" s="46"/>
      <c r="P21" s="46">
        <f t="shared" ca="1" si="3"/>
        <v>8446.3850267379676</v>
      </c>
      <c r="Q21" s="46"/>
      <c r="R21" s="46">
        <f t="shared" ca="1" si="4"/>
        <v>383.92659212445307</v>
      </c>
    </row>
    <row r="22" spans="1:18" x14ac:dyDescent="0.3">
      <c r="A22" s="50">
        <f t="shared" si="5"/>
        <v>16</v>
      </c>
      <c r="B22" s="44"/>
      <c r="C22" s="43">
        <f t="shared" si="0"/>
        <v>7.1969696969696975E-2</v>
      </c>
      <c r="D22" s="44"/>
      <c r="E22" s="45">
        <f>COUNTIFS('Electric Calendarize'!$K$11:$K$274,'Summary Electric Increase'!$G22)</f>
        <v>19</v>
      </c>
      <c r="F22" s="44"/>
      <c r="G22" s="45" t="s">
        <v>304</v>
      </c>
      <c r="H22" s="45" t="str">
        <f t="shared" si="1"/>
        <v>2022</v>
      </c>
      <c r="I22" s="44"/>
      <c r="J22" s="45" t="str">
        <f t="shared" si="2"/>
        <v>6</v>
      </c>
      <c r="K22" s="44"/>
      <c r="L22" s="46">
        <f ca="1">AVERAGEIFS('Electric Calendarize'!$O$11:$BG$274,'Electric Calendarize'!$BK$11:$DC$274,1,'Electric Calendarize'!$DG$11:$EY$274,'Summary Electric Increase'!$G22,'Electric Calendarize'!$O$11:$BG$274,"&gt;0",'Electric Calendarize'!$FC$11:$GU$274,0)</f>
        <v>710.02678571428567</v>
      </c>
      <c r="M22" s="46"/>
      <c r="N22" s="46">
        <f ca="1">AVERAGEIFS('Electric Calendarize'!$O$11:$BG$274,'Electric Calendarize'!$BK$11:$DC$274,1,'Electric Calendarize'!$DG$11:$EY$274,'Summary Electric Increase'!$G22,'Electric Calendarize'!$O$11:$BG$274,"&gt;0",'Electric Calendarize'!$FC$11:$GU$274,1)</f>
        <v>1271.3070175438597</v>
      </c>
      <c r="O22" s="46"/>
      <c r="P22" s="46">
        <f t="shared" ca="1" si="3"/>
        <v>6735.3627819548892</v>
      </c>
      <c r="Q22" s="46"/>
      <c r="R22" s="46">
        <f t="shared" ca="1" si="4"/>
        <v>484.74201839826856</v>
      </c>
    </row>
    <row r="23" spans="1:18" x14ac:dyDescent="0.3">
      <c r="A23" s="50">
        <f t="shared" si="5"/>
        <v>17</v>
      </c>
      <c r="B23" s="44"/>
      <c r="C23" s="43">
        <f t="shared" si="0"/>
        <v>5.6818181818181816E-2</v>
      </c>
      <c r="D23" s="44"/>
      <c r="E23" s="45">
        <f>COUNTIFS('Electric Calendarize'!$K$11:$K$274,'Summary Electric Increase'!$G23)</f>
        <v>15</v>
      </c>
      <c r="F23" s="44"/>
      <c r="G23" s="45" t="s">
        <v>305</v>
      </c>
      <c r="H23" s="45" t="str">
        <f t="shared" si="1"/>
        <v>2022</v>
      </c>
      <c r="I23" s="44"/>
      <c r="J23" s="45" t="str">
        <f t="shared" si="2"/>
        <v>7</v>
      </c>
      <c r="K23" s="44"/>
      <c r="L23" s="46">
        <f ca="1">AVERAGEIFS('Electric Calendarize'!$O$11:$BG$274,'Electric Calendarize'!$BK$11:$DC$274,1,'Electric Calendarize'!$DG$11:$EY$274,'Summary Electric Increase'!$G23,'Electric Calendarize'!$O$11:$BG$274,"&gt;0",'Electric Calendarize'!$FC$11:$GU$274,0)</f>
        <v>967.86666666666667</v>
      </c>
      <c r="M23" s="46"/>
      <c r="N23" s="46">
        <f ca="1">AVERAGEIFS('Electric Calendarize'!$O$11:$BG$274,'Electric Calendarize'!$BK$11:$DC$274,1,'Electric Calendarize'!$DG$11:$EY$274,'Summary Electric Increase'!$G23,'Electric Calendarize'!$O$11:$BG$274,"&gt;0",'Electric Calendarize'!$FC$11:$GU$274,1)</f>
        <v>1693.8974358974358</v>
      </c>
      <c r="O23" s="46"/>
      <c r="P23" s="46">
        <f t="shared" ca="1" si="3"/>
        <v>8712.369230769229</v>
      </c>
      <c r="Q23" s="46"/>
      <c r="R23" s="46">
        <f t="shared" ca="1" si="4"/>
        <v>495.02097902097893</v>
      </c>
    </row>
    <row r="24" spans="1:18" x14ac:dyDescent="0.3">
      <c r="A24" s="50">
        <f t="shared" si="5"/>
        <v>18</v>
      </c>
      <c r="B24" s="44"/>
      <c r="C24" s="43">
        <f t="shared" si="0"/>
        <v>5.3030303030303032E-2</v>
      </c>
      <c r="D24" s="44"/>
      <c r="E24" s="45">
        <f>COUNTIFS('Electric Calendarize'!$K$11:$K$274,'Summary Electric Increase'!$G24)</f>
        <v>14</v>
      </c>
      <c r="F24" s="44"/>
      <c r="G24" s="45" t="s">
        <v>306</v>
      </c>
      <c r="H24" s="45" t="str">
        <f t="shared" si="1"/>
        <v>2022</v>
      </c>
      <c r="I24" s="44"/>
      <c r="J24" s="45" t="str">
        <f t="shared" si="2"/>
        <v>8</v>
      </c>
      <c r="K24" s="44"/>
      <c r="L24" s="46">
        <f ca="1">AVERAGEIFS('Electric Calendarize'!$O$11:$BG$274,'Electric Calendarize'!$BK$11:$DC$274,1,'Electric Calendarize'!$DG$11:$EY$274,'Summary Electric Increase'!$G24,'Electric Calendarize'!$O$11:$BG$274,"&gt;0",'Electric Calendarize'!$FC$11:$GU$274,0)</f>
        <v>654.41975308641975</v>
      </c>
      <c r="M24" s="46"/>
      <c r="N24" s="46">
        <f ca="1">AVERAGEIFS('Electric Calendarize'!$O$11:$BG$274,'Electric Calendarize'!$BK$11:$DC$274,1,'Electric Calendarize'!$DG$11:$EY$274,'Summary Electric Increase'!$G24,'Electric Calendarize'!$O$11:$BG$274,"&gt;0",'Electric Calendarize'!$FC$11:$GU$274,1)</f>
        <v>1122.0952380952381</v>
      </c>
      <c r="O24" s="46"/>
      <c r="P24" s="46">
        <f t="shared" ca="1" si="3"/>
        <v>5612.1058201058204</v>
      </c>
      <c r="Q24" s="46"/>
      <c r="R24" s="46">
        <f t="shared" ca="1" si="4"/>
        <v>297.61167227833897</v>
      </c>
    </row>
    <row r="25" spans="1:18" x14ac:dyDescent="0.3">
      <c r="A25" s="50">
        <f t="shared" si="5"/>
        <v>19</v>
      </c>
      <c r="B25" s="44"/>
      <c r="C25" s="43">
        <f t="shared" si="0"/>
        <v>3.787878787878788E-2</v>
      </c>
      <c r="D25" s="44"/>
      <c r="E25" s="45">
        <f>COUNTIFS('Electric Calendarize'!$K$11:$K$274,'Summary Electric Increase'!$G25)</f>
        <v>10</v>
      </c>
      <c r="F25" s="44"/>
      <c r="G25" s="45" t="s">
        <v>307</v>
      </c>
      <c r="H25" s="45" t="str">
        <f t="shared" si="1"/>
        <v>2022</v>
      </c>
      <c r="I25" s="44"/>
      <c r="J25" s="45" t="str">
        <f t="shared" si="2"/>
        <v>9</v>
      </c>
      <c r="K25" s="44"/>
      <c r="L25" s="46">
        <f ca="1">AVERAGEIFS('Electric Calendarize'!$O$11:$BG$274,'Electric Calendarize'!$BK$11:$DC$274,1,'Electric Calendarize'!$DG$11:$EY$274,'Summary Electric Increase'!$G25,'Electric Calendarize'!$O$11:$BG$274,"&gt;0",'Electric Calendarize'!$FC$11:$GU$274,0)</f>
        <v>913.55</v>
      </c>
      <c r="M25" s="46"/>
      <c r="N25" s="46">
        <f ca="1">AVERAGEIFS('Electric Calendarize'!$O$11:$BG$274,'Electric Calendarize'!$BK$11:$DC$274,1,'Electric Calendarize'!$DG$11:$EY$274,'Summary Electric Increase'!$G25,'Electric Calendarize'!$O$11:$BG$274,"&gt;0",'Electric Calendarize'!$FC$11:$GU$274,1)</f>
        <v>1216.5833333333333</v>
      </c>
      <c r="O25" s="46"/>
      <c r="P25" s="46">
        <f t="shared" ca="1" si="3"/>
        <v>3636.3999999999996</v>
      </c>
      <c r="Q25" s="46"/>
      <c r="R25" s="46">
        <f t="shared" ca="1" si="4"/>
        <v>137.74242424242422</v>
      </c>
    </row>
    <row r="26" spans="1:18" x14ac:dyDescent="0.3">
      <c r="A26" s="50">
        <f t="shared" si="5"/>
        <v>20</v>
      </c>
      <c r="B26" s="44"/>
      <c r="C26" s="43">
        <f t="shared" si="0"/>
        <v>1.5151515151515152E-2</v>
      </c>
      <c r="D26" s="44"/>
      <c r="E26" s="45">
        <f>COUNTIFS('Electric Calendarize'!$K$11:$K$274,'Summary Electric Increase'!$G26)</f>
        <v>4</v>
      </c>
      <c r="F26" s="44"/>
      <c r="G26" s="45" t="s">
        <v>308</v>
      </c>
      <c r="H26" s="45" t="str">
        <f t="shared" si="1"/>
        <v>2022</v>
      </c>
      <c r="I26" s="44"/>
      <c r="J26" s="45" t="str">
        <f t="shared" si="2"/>
        <v>10</v>
      </c>
      <c r="K26" s="44"/>
      <c r="L26" s="46">
        <f ca="1">AVERAGEIFS('Electric Calendarize'!$O$11:$BG$274,'Electric Calendarize'!$BK$11:$DC$274,1,'Electric Calendarize'!$DG$11:$EY$274,'Summary Electric Increase'!$G26,'Electric Calendarize'!$O$11:$BG$274,"&gt;0",'Electric Calendarize'!$FC$11:$GU$274,0)</f>
        <v>502.41666666666669</v>
      </c>
      <c r="M26" s="46"/>
      <c r="N26" s="46">
        <f ca="1">AVERAGEIFS('Electric Calendarize'!$O$11:$BG$274,'Electric Calendarize'!$BK$11:$DC$274,1,'Electric Calendarize'!$DG$11:$EY$274,'Summary Electric Increase'!$G26,'Electric Calendarize'!$O$11:$BG$274,"&gt;0",'Electric Calendarize'!$FC$11:$GU$274,1)</f>
        <v>903.5</v>
      </c>
      <c r="O26" s="46"/>
      <c r="P26" s="46">
        <f t="shared" ca="1" si="3"/>
        <v>4813</v>
      </c>
      <c r="Q26" s="46"/>
      <c r="R26" s="46">
        <f t="shared" ca="1" si="4"/>
        <v>72.924242424242422</v>
      </c>
    </row>
    <row r="27" spans="1:18" x14ac:dyDescent="0.3">
      <c r="A27" s="50">
        <f t="shared" si="5"/>
        <v>21</v>
      </c>
      <c r="B27" s="44"/>
      <c r="C27" s="43">
        <f>E27/$E$41</f>
        <v>1.893939393939394E-2</v>
      </c>
      <c r="D27" s="44"/>
      <c r="E27" s="45">
        <f>COUNTIFS('Electric Calendarize'!$K$11:$K$274,'Summary Electric Increase'!$G27)</f>
        <v>5</v>
      </c>
      <c r="F27" s="44"/>
      <c r="G27" s="45" t="s">
        <v>309</v>
      </c>
      <c r="H27" s="45" t="str">
        <f t="shared" si="1"/>
        <v>2022</v>
      </c>
      <c r="I27" s="44"/>
      <c r="J27" s="45" t="str">
        <f t="shared" si="2"/>
        <v>11</v>
      </c>
      <c r="K27" s="44"/>
      <c r="L27" s="46">
        <f ca="1">AVERAGEIFS('Electric Calendarize'!$O$11:$BG$274,'Electric Calendarize'!$BK$11:$DC$274,1,'Electric Calendarize'!$DG$11:$EY$274,'Summary Electric Increase'!$G27,'Electric Calendarize'!$O$11:$BG$274,"&gt;0",'Electric Calendarize'!$FC$11:$GU$274,0)</f>
        <v>694.9</v>
      </c>
      <c r="M27" s="46"/>
      <c r="N27" s="46">
        <f ca="1">AVERAGEIFS('Electric Calendarize'!$O$11:$BG$274,'Electric Calendarize'!$BK$11:$DC$274,1,'Electric Calendarize'!$DG$11:$EY$274,'Summary Electric Increase'!$G27,'Electric Calendarize'!$O$11:$BG$274,"&gt;0",'Electric Calendarize'!$FC$11:$GU$274,1)</f>
        <v>1106.9166666666667</v>
      </c>
      <c r="O27" s="46"/>
      <c r="P27" s="46">
        <f t="shared" ca="1" si="3"/>
        <v>4944.2000000000007</v>
      </c>
      <c r="Q27" s="46"/>
      <c r="R27" s="46">
        <f t="shared" ca="1" si="4"/>
        <v>93.64015151515153</v>
      </c>
    </row>
    <row r="28" spans="1:18" x14ac:dyDescent="0.3">
      <c r="A28" s="50">
        <f t="shared" si="5"/>
        <v>22</v>
      </c>
      <c r="B28" s="44"/>
      <c r="C28" s="43">
        <f t="shared" si="0"/>
        <v>3.787878787878788E-2</v>
      </c>
      <c r="D28" s="44"/>
      <c r="E28" s="45">
        <f>COUNTIFS('Electric Calendarize'!$K$11:$K$274,'Summary Electric Increase'!$G28)</f>
        <v>10</v>
      </c>
      <c r="F28" s="44"/>
      <c r="G28" s="45" t="s">
        <v>310</v>
      </c>
      <c r="H28" s="45" t="str">
        <f t="shared" si="1"/>
        <v>2022</v>
      </c>
      <c r="I28" s="44"/>
      <c r="J28" s="45" t="str">
        <f t="shared" si="2"/>
        <v>12</v>
      </c>
      <c r="K28" s="44"/>
      <c r="L28" s="46">
        <f ca="1">AVERAGEIFS('Electric Calendarize'!$O$11:$BG$274,'Electric Calendarize'!$BK$11:$DC$274,1,'Electric Calendarize'!$DG$11:$EY$274,'Summary Electric Increase'!$G28,'Electric Calendarize'!$O$11:$BG$274,"&gt;0",'Electric Calendarize'!$FC$11:$GU$274,0)</f>
        <v>1032.3800000000001</v>
      </c>
      <c r="M28" s="46"/>
      <c r="N28" s="46">
        <f ca="1">AVERAGEIFS('Electric Calendarize'!$O$11:$BG$274,'Electric Calendarize'!$BK$11:$DC$274,1,'Electric Calendarize'!$DG$11:$EY$274,'Summary Electric Increase'!$G28,'Electric Calendarize'!$O$11:$BG$274,"&gt;0",'Electric Calendarize'!$FC$11:$GU$274,1)</f>
        <v>1260.5833333333333</v>
      </c>
      <c r="O28" s="46"/>
      <c r="P28" s="46">
        <f t="shared" ca="1" si="3"/>
        <v>2738.4399999999978</v>
      </c>
      <c r="Q28" s="46"/>
      <c r="R28" s="46">
        <f ca="1">+P28*C28</f>
        <v>103.7287878787878</v>
      </c>
    </row>
    <row r="29" spans="1:18" x14ac:dyDescent="0.3">
      <c r="A29" s="50">
        <f t="shared" si="5"/>
        <v>23</v>
      </c>
      <c r="B29" s="44"/>
      <c r="C29" s="43">
        <f t="shared" si="0"/>
        <v>6.8181818181818177E-2</v>
      </c>
      <c r="D29" s="44"/>
      <c r="E29" s="45">
        <f>COUNTIFS('Electric Calendarize'!$K$11:$K$274,'Summary Electric Increase'!$G29)</f>
        <v>18</v>
      </c>
      <c r="F29" s="44"/>
      <c r="G29" s="45" t="s">
        <v>311</v>
      </c>
      <c r="H29" s="45" t="str">
        <f t="shared" si="1"/>
        <v>2023</v>
      </c>
      <c r="I29" s="44"/>
      <c r="J29" s="45" t="str">
        <f t="shared" si="2"/>
        <v>1</v>
      </c>
      <c r="K29" s="44"/>
      <c r="L29" s="46">
        <f ca="1">AVERAGEIFS('Electric Calendarize'!$O$11:$BG$274,'Electric Calendarize'!$BK$11:$DC$274,1,'Electric Calendarize'!$DG$11:$EY$274,'Summary Electric Increase'!$G29,'Electric Calendarize'!$O$11:$BG$274,"&gt;0",'Electric Calendarize'!$FC$11:$GU$274,0)</f>
        <v>877.56521739130437</v>
      </c>
      <c r="M29" s="46"/>
      <c r="N29" s="46">
        <f ca="1">AVERAGEIFS('Electric Calendarize'!$O$11:$BG$274,'Electric Calendarize'!$BK$11:$DC$274,1,'Electric Calendarize'!$DG$11:$EY$274,'Summary Electric Increase'!$G29,'Electric Calendarize'!$O$11:$BG$274,"&gt;0",'Electric Calendarize'!$FC$11:$GU$274,1)</f>
        <v>925.64893617021278</v>
      </c>
      <c r="O29" s="46"/>
      <c r="P29" s="46">
        <f t="shared" ca="1" si="3"/>
        <v>577.00462534690087</v>
      </c>
      <c r="Q29" s="46"/>
      <c r="R29" s="46">
        <f t="shared" ca="1" si="4"/>
        <v>39.34122445547051</v>
      </c>
    </row>
    <row r="30" spans="1:18" x14ac:dyDescent="0.3">
      <c r="A30" s="50">
        <f t="shared" si="5"/>
        <v>24</v>
      </c>
      <c r="B30" s="44"/>
      <c r="C30" s="43">
        <f t="shared" si="0"/>
        <v>4.5454545454545456E-2</v>
      </c>
      <c r="D30" s="44"/>
      <c r="E30" s="45">
        <f>COUNTIFS('Electric Calendarize'!$K$11:$K$274,'Summary Electric Increase'!$G30)</f>
        <v>12</v>
      </c>
      <c r="F30" s="44"/>
      <c r="G30" s="45" t="s">
        <v>312</v>
      </c>
      <c r="H30" s="45" t="str">
        <f t="shared" si="1"/>
        <v>2023</v>
      </c>
      <c r="I30" s="44"/>
      <c r="J30" s="45" t="str">
        <f t="shared" si="2"/>
        <v>2</v>
      </c>
      <c r="K30" s="44"/>
      <c r="L30" s="46">
        <f ca="1">AVERAGEIFS('Electric Calendarize'!$O$11:$BG$274,'Electric Calendarize'!$BK$11:$DC$274,1,'Electric Calendarize'!$DG$11:$EY$274,'Summary Electric Increase'!$G30,'Electric Calendarize'!$O$11:$BG$274,"&gt;0",'Electric Calendarize'!$FC$11:$GU$274,0)</f>
        <v>685.90909090909088</v>
      </c>
      <c r="M30" s="46"/>
      <c r="N30" s="46">
        <f ca="1">AVERAGEIFS('Electric Calendarize'!$O$11:$BG$274,'Electric Calendarize'!$BK$11:$DC$274,1,'Electric Calendarize'!$DG$11:$EY$274,'Summary Electric Increase'!$G30,'Electric Calendarize'!$O$11:$BG$274,"&gt;0",'Electric Calendarize'!$FC$11:$GU$274,1)</f>
        <v>572.48717948717945</v>
      </c>
      <c r="O30" s="46"/>
      <c r="P30" s="46">
        <f t="shared" ca="1" si="3"/>
        <v>-1361.0629370629372</v>
      </c>
      <c r="Q30" s="46"/>
      <c r="R30" s="46">
        <f t="shared" ca="1" si="4"/>
        <v>-61.866497139224421</v>
      </c>
    </row>
    <row r="31" spans="1:18" x14ac:dyDescent="0.3">
      <c r="A31" s="50">
        <f t="shared" si="5"/>
        <v>25</v>
      </c>
      <c r="B31" s="44"/>
      <c r="C31" s="43">
        <f t="shared" si="0"/>
        <v>3.0303030303030304E-2</v>
      </c>
      <c r="D31" s="44"/>
      <c r="E31" s="45">
        <f>COUNTIFS('Electric Calendarize'!$K$11:$K$274,'Summary Electric Increase'!$G31)</f>
        <v>8</v>
      </c>
      <c r="F31" s="44"/>
      <c r="G31" s="45" t="s">
        <v>313</v>
      </c>
      <c r="H31" s="45" t="str">
        <f t="shared" si="1"/>
        <v>2023</v>
      </c>
      <c r="I31" s="44"/>
      <c r="J31" s="45" t="str">
        <f t="shared" si="2"/>
        <v>3</v>
      </c>
      <c r="K31" s="44"/>
      <c r="L31" s="46">
        <f ca="1">AVERAGEIFS('Electric Calendarize'!$O$11:$BG$274,'Electric Calendarize'!$BK$11:$DC$274,1,'Electric Calendarize'!$DG$11:$EY$274,'Summary Electric Increase'!$G31,'Electric Calendarize'!$O$11:$BG$274,"&gt;0",'Electric Calendarize'!$FC$11:$GU$274,0)</f>
        <v>708.42553191489367</v>
      </c>
      <c r="M31" s="46"/>
      <c r="N31" s="46">
        <f ca="1">AVERAGEIFS('Electric Calendarize'!$O$11:$BG$274,'Electric Calendarize'!$BK$11:$DC$274,1,'Electric Calendarize'!$DG$11:$EY$274,'Summary Electric Increase'!$G31,'Electric Calendarize'!$O$11:$BG$274,"&gt;0",'Electric Calendarize'!$FC$11:$GU$274,1)</f>
        <v>723</v>
      </c>
      <c r="O31" s="46"/>
      <c r="P31" s="46">
        <f t="shared" ca="1" si="3"/>
        <v>174.89361702127599</v>
      </c>
      <c r="Q31" s="46"/>
      <c r="R31" s="46">
        <f t="shared" ca="1" si="4"/>
        <v>5.299806576402303</v>
      </c>
    </row>
    <row r="32" spans="1:18" x14ac:dyDescent="0.3">
      <c r="A32" s="50">
        <f t="shared" si="5"/>
        <v>26</v>
      </c>
      <c r="B32" s="44"/>
      <c r="C32" s="43">
        <f t="shared" si="0"/>
        <v>1.5151515151515152E-2</v>
      </c>
      <c r="D32" s="44"/>
      <c r="E32" s="45">
        <f>COUNTIFS('Electric Calendarize'!$K$11:$K$274,'Summary Electric Increase'!$G32)</f>
        <v>4</v>
      </c>
      <c r="F32" s="44"/>
      <c r="G32" s="45" t="s">
        <v>314</v>
      </c>
      <c r="H32" s="45" t="str">
        <f t="shared" si="1"/>
        <v>2023</v>
      </c>
      <c r="I32" s="44"/>
      <c r="J32" s="45" t="str">
        <f t="shared" si="2"/>
        <v>4</v>
      </c>
      <c r="K32" s="44"/>
      <c r="L32" s="46">
        <f ca="1">AVERAGEIFS('Electric Calendarize'!$O$11:$BG$274,'Electric Calendarize'!$BK$11:$DC$274,1,'Electric Calendarize'!$DG$11:$EY$274,'Summary Electric Increase'!$G32,'Electric Calendarize'!$O$11:$BG$274,"&gt;0",'Electric Calendarize'!$FC$11:$GU$274,0)</f>
        <v>700.57894736842104</v>
      </c>
      <c r="M32" s="46"/>
      <c r="N32" s="46">
        <f ca="1">AVERAGEIFS('Electric Calendarize'!$O$11:$BG$274,'Electric Calendarize'!$BK$11:$DC$274,1,'Electric Calendarize'!$DG$11:$EY$274,'Summary Electric Increase'!$G32,'Electric Calendarize'!$O$11:$BG$274,"&gt;0",'Electric Calendarize'!$FC$11:$GU$274,1)</f>
        <v>679.5</v>
      </c>
      <c r="O32" s="46"/>
      <c r="P32" s="46">
        <f t="shared" ca="1" si="3"/>
        <v>-252.94736842105249</v>
      </c>
      <c r="Q32" s="46"/>
      <c r="R32" s="46">
        <f t="shared" ca="1" si="4"/>
        <v>-3.832535885167462</v>
      </c>
    </row>
    <row r="33" spans="1:18" x14ac:dyDescent="0.3">
      <c r="A33" s="50">
        <f t="shared" si="5"/>
        <v>27</v>
      </c>
      <c r="B33" s="44"/>
      <c r="C33" s="43">
        <f t="shared" si="0"/>
        <v>5.3030303030303032E-2</v>
      </c>
      <c r="D33" s="44"/>
      <c r="E33" s="45">
        <f>COUNTIFS('Electric Calendarize'!$K$11:$K$274,'Summary Electric Increase'!$G33)</f>
        <v>14</v>
      </c>
      <c r="F33" s="44"/>
      <c r="G33" s="45" t="s">
        <v>315</v>
      </c>
      <c r="H33" s="45" t="str">
        <f t="shared" si="1"/>
        <v>2023</v>
      </c>
      <c r="I33" s="44"/>
      <c r="J33" s="45" t="str">
        <f t="shared" si="2"/>
        <v>5</v>
      </c>
      <c r="K33" s="44"/>
      <c r="L33" s="46">
        <f ca="1">AVERAGEIFS('Electric Calendarize'!$O$11:$BG$274,'Electric Calendarize'!$BK$11:$DC$274,1,'Electric Calendarize'!$DG$11:$EY$274,'Summary Electric Increase'!$G33,'Electric Calendarize'!$O$11:$BG$274,"&gt;0",'Electric Calendarize'!$FC$11:$GU$274,0)</f>
        <v>508.48809523809524</v>
      </c>
      <c r="M33" s="46"/>
      <c r="N33" s="46">
        <f ca="1">AVERAGEIFS('Electric Calendarize'!$O$11:$BG$274,'Electric Calendarize'!$BK$11:$DC$274,1,'Electric Calendarize'!$DG$11:$EY$274,'Summary Electric Increase'!$G33,'Electric Calendarize'!$O$11:$BG$274,"&gt;0",'Electric Calendarize'!$FC$11:$GU$274,1)</f>
        <v>595.80952380952385</v>
      </c>
      <c r="O33" s="46"/>
      <c r="P33" s="46">
        <f t="shared" ca="1" si="3"/>
        <v>1047.8571428571433</v>
      </c>
      <c r="Q33" s="46"/>
      <c r="R33" s="46">
        <f t="shared" ca="1" si="4"/>
        <v>55.568181818181849</v>
      </c>
    </row>
    <row r="34" spans="1:18" x14ac:dyDescent="0.3">
      <c r="A34" s="50">
        <f t="shared" si="5"/>
        <v>28</v>
      </c>
      <c r="B34" s="44"/>
      <c r="C34" s="43">
        <f t="shared" si="0"/>
        <v>2.6515151515151516E-2</v>
      </c>
      <c r="D34" s="44"/>
      <c r="E34" s="45">
        <f>COUNTIFS('Electric Calendarize'!$K$11:$K$274,'Summary Electric Increase'!$G34)</f>
        <v>7</v>
      </c>
      <c r="F34" s="44"/>
      <c r="G34" s="45" t="s">
        <v>316</v>
      </c>
      <c r="H34" s="45" t="str">
        <f t="shared" si="1"/>
        <v>2023</v>
      </c>
      <c r="I34" s="44"/>
      <c r="J34" s="45" t="str">
        <f t="shared" si="2"/>
        <v>6</v>
      </c>
      <c r="K34" s="44"/>
      <c r="L34" s="46">
        <f ca="1">AVERAGEIFS('Electric Calendarize'!$O$11:$BG$274,'Electric Calendarize'!$BK$11:$DC$274,1,'Electric Calendarize'!$DG$11:$EY$274,'Summary Electric Increase'!$G34,'Electric Calendarize'!$O$11:$BG$274,"&gt;0",'Electric Calendarize'!$FC$11:$GU$274,0)</f>
        <v>1141.8055555555557</v>
      </c>
      <c r="M34" s="46"/>
      <c r="N34" s="46">
        <f ca="1">AVERAGEIFS('Electric Calendarize'!$O$11:$BG$274,'Electric Calendarize'!$BK$11:$DC$274,1,'Electric Calendarize'!$DG$11:$EY$274,'Summary Electric Increase'!$G34,'Electric Calendarize'!$O$11:$BG$274,"&gt;0",'Electric Calendarize'!$FC$11:$GU$274,1)</f>
        <v>1350.4285714285713</v>
      </c>
      <c r="O34" s="46"/>
      <c r="P34" s="46">
        <f t="shared" ca="1" si="3"/>
        <v>2503.4761904761881</v>
      </c>
      <c r="Q34" s="46"/>
      <c r="R34" s="46">
        <f t="shared" ca="1" si="4"/>
        <v>66.380050505050448</v>
      </c>
    </row>
    <row r="35" spans="1:18" x14ac:dyDescent="0.3">
      <c r="A35" s="50">
        <f t="shared" si="5"/>
        <v>29</v>
      </c>
      <c r="B35" s="44"/>
      <c r="C35" s="43">
        <f t="shared" si="0"/>
        <v>3.0303030303030304E-2</v>
      </c>
      <c r="D35" s="44"/>
      <c r="E35" s="45">
        <f>COUNTIFS('Electric Calendarize'!$K$11:$K$274,'Summary Electric Increase'!$G35)</f>
        <v>8</v>
      </c>
      <c r="F35" s="44"/>
      <c r="G35" s="45" t="s">
        <v>317</v>
      </c>
      <c r="H35" s="45" t="str">
        <f t="shared" si="1"/>
        <v>2023</v>
      </c>
      <c r="I35" s="44"/>
      <c r="J35" s="45" t="str">
        <f t="shared" si="2"/>
        <v>7</v>
      </c>
      <c r="K35" s="44"/>
      <c r="L35" s="46">
        <f ca="1">AVERAGEIFS('Electric Calendarize'!$O$11:$BG$274,'Electric Calendarize'!$BK$11:$DC$274,1,'Electric Calendarize'!$DG$11:$EY$274,'Summary Electric Increase'!$G35,'Electric Calendarize'!$O$11:$BG$274,"&gt;0",'Electric Calendarize'!$FC$11:$GU$274,0)</f>
        <v>931.0625</v>
      </c>
      <c r="M35" s="46"/>
      <c r="N35" s="46">
        <f ca="1">AVERAGEIFS('Electric Calendarize'!$O$11:$BG$274,'Electric Calendarize'!$BK$11:$DC$274,1,'Electric Calendarize'!$DG$11:$EY$274,'Summary Electric Increase'!$G35,'Electric Calendarize'!$O$11:$BG$274,"&gt;0",'Electric Calendarize'!$FC$11:$GU$274,1)</f>
        <v>1217.5999999999999</v>
      </c>
      <c r="O35" s="46"/>
      <c r="P35" s="46">
        <f t="shared" ca="1" si="3"/>
        <v>3438.4499999999989</v>
      </c>
      <c r="Q35" s="46"/>
      <c r="R35" s="46">
        <f t="shared" ca="1" si="4"/>
        <v>104.19545454545451</v>
      </c>
    </row>
    <row r="36" spans="1:18" x14ac:dyDescent="0.3">
      <c r="A36" s="50">
        <f t="shared" si="5"/>
        <v>30</v>
      </c>
      <c r="B36" s="44"/>
      <c r="C36" s="43">
        <f t="shared" si="0"/>
        <v>1.5151515151515152E-2</v>
      </c>
      <c r="D36" s="44"/>
      <c r="E36" s="45">
        <f>COUNTIFS('Electric Calendarize'!$K$11:$K$274,'Summary Electric Increase'!$G36)</f>
        <v>4</v>
      </c>
      <c r="F36" s="44"/>
      <c r="G36" s="45" t="s">
        <v>318</v>
      </c>
      <c r="H36" s="45" t="str">
        <f t="shared" si="1"/>
        <v>2023</v>
      </c>
      <c r="I36" s="44"/>
      <c r="J36" s="45" t="str">
        <f t="shared" si="2"/>
        <v>8</v>
      </c>
      <c r="K36" s="44"/>
      <c r="L36" s="46">
        <f ca="1">AVERAGEIFS('Electric Calendarize'!$O$11:$BG$274,'Electric Calendarize'!$BK$11:$DC$274,1,'Electric Calendarize'!$DG$11:$EY$274,'Summary Electric Increase'!$G36,'Electric Calendarize'!$O$11:$BG$274,"&gt;0",'Electric Calendarize'!$FC$11:$GU$274,0)</f>
        <v>620.05555555555554</v>
      </c>
      <c r="M36" s="46"/>
      <c r="N36" s="46">
        <f ca="1">AVERAGEIFS('Electric Calendarize'!$O$11:$BG$274,'Electric Calendarize'!$BK$11:$DC$274,1,'Electric Calendarize'!$DG$11:$EY$274,'Summary Electric Increase'!$G36,'Electric Calendarize'!$O$11:$BG$274,"&gt;0",'Electric Calendarize'!$FC$11:$GU$274,1)</f>
        <v>688</v>
      </c>
      <c r="O36" s="46"/>
      <c r="P36" s="46">
        <f t="shared" ca="1" si="3"/>
        <v>815.33333333333348</v>
      </c>
      <c r="Q36" s="46"/>
      <c r="R36" s="46">
        <f t="shared" ca="1" si="4"/>
        <v>12.353535353535356</v>
      </c>
    </row>
    <row r="37" spans="1:18" x14ac:dyDescent="0.3">
      <c r="A37" s="50">
        <f t="shared" si="5"/>
        <v>31</v>
      </c>
      <c r="B37" s="44"/>
      <c r="C37" s="43">
        <f t="shared" si="0"/>
        <v>1.1363636363636364E-2</v>
      </c>
      <c r="D37" s="44"/>
      <c r="E37" s="45">
        <f>COUNTIFS('Electric Calendarize'!$K$11:$K$274,'Summary Electric Increase'!$G37)</f>
        <v>3</v>
      </c>
      <c r="F37" s="44"/>
      <c r="G37" s="45" t="s">
        <v>319</v>
      </c>
      <c r="H37" s="45" t="str">
        <f t="shared" si="1"/>
        <v>2023</v>
      </c>
      <c r="I37" s="44"/>
      <c r="J37" s="45" t="str">
        <f t="shared" si="2"/>
        <v>9</v>
      </c>
      <c r="K37" s="44"/>
      <c r="L37" s="46">
        <f ca="1">AVERAGEIFS('Electric Calendarize'!$O$11:$BG$274,'Electric Calendarize'!$BK$11:$DC$274,1,'Electric Calendarize'!$DG$11:$EY$274,'Summary Electric Increase'!$G37,'Electric Calendarize'!$O$11:$BG$274,"&gt;0",'Electric Calendarize'!$FC$11:$GU$274,0)</f>
        <v>786.88888888888891</v>
      </c>
      <c r="M37" s="46"/>
      <c r="N37" s="46">
        <f ca="1">AVERAGEIFS('Electric Calendarize'!$O$11:$BG$274,'Electric Calendarize'!$BK$11:$DC$274,1,'Electric Calendarize'!$DG$11:$EY$274,'Summary Electric Increase'!$G37,'Electric Calendarize'!$O$11:$BG$274,"&gt;0",'Electric Calendarize'!$FC$11:$GU$274,1)</f>
        <v>1863</v>
      </c>
      <c r="O37" s="46"/>
      <c r="P37" s="46">
        <f t="shared" ca="1" si="3"/>
        <v>12913.333333333332</v>
      </c>
      <c r="Q37" s="46"/>
      <c r="R37" s="46">
        <f t="shared" ca="1" si="4"/>
        <v>146.74242424242422</v>
      </c>
    </row>
    <row r="38" spans="1:18" x14ac:dyDescent="0.3">
      <c r="A38" s="50">
        <f t="shared" si="5"/>
        <v>32</v>
      </c>
      <c r="B38" s="44"/>
      <c r="C38" s="43">
        <f t="shared" si="0"/>
        <v>7.575757575757576E-3</v>
      </c>
      <c r="D38" s="44"/>
      <c r="E38" s="45">
        <f>COUNTIFS('Electric Calendarize'!$K$11:$K$274,'Summary Electric Increase'!$G38)</f>
        <v>2</v>
      </c>
      <c r="F38" s="44"/>
      <c r="G38" s="45" t="s">
        <v>320</v>
      </c>
      <c r="H38" s="45" t="str">
        <f t="shared" si="1"/>
        <v>2023</v>
      </c>
      <c r="I38" s="44"/>
      <c r="J38" s="45" t="str">
        <f t="shared" si="2"/>
        <v>10</v>
      </c>
      <c r="K38" s="44"/>
      <c r="L38" s="46">
        <f ca="1">AVERAGEIFS('Electric Calendarize'!$O$11:$BG$274,'Electric Calendarize'!$BK$11:$DC$274,1,'Electric Calendarize'!$DG$11:$EY$274,'Summary Electric Increase'!$G38,'Electric Calendarize'!$O$11:$BG$274,"&gt;0",'Electric Calendarize'!$FC$11:$GU$274,0)</f>
        <v>398</v>
      </c>
      <c r="M38" s="46"/>
      <c r="N38" s="46">
        <f ca="1">AVERAGEIFS('Electric Calendarize'!$O$11:$BG$274,'Electric Calendarize'!$BK$11:$DC$274,1,'Electric Calendarize'!$DG$11:$EY$274,'Summary Electric Increase'!$G38,'Electric Calendarize'!$O$11:$BG$274,"&gt;0",'Electric Calendarize'!$FC$11:$GU$274,1)</f>
        <v>574.33333333333337</v>
      </c>
      <c r="O38" s="46"/>
      <c r="P38" s="46">
        <f t="shared" ca="1" si="3"/>
        <v>2116.0000000000005</v>
      </c>
      <c r="Q38" s="46"/>
      <c r="R38" s="46">
        <f t="shared" ca="1" si="4"/>
        <v>16.030303030303035</v>
      </c>
    </row>
    <row r="39" spans="1:18" x14ac:dyDescent="0.3">
      <c r="A39" s="50">
        <f t="shared" si="5"/>
        <v>33</v>
      </c>
      <c r="B39" s="44"/>
      <c r="C39" s="43">
        <f t="shared" si="0"/>
        <v>3.787878787878788E-3</v>
      </c>
      <c r="D39" s="44"/>
      <c r="E39" s="45">
        <f>COUNTIFS('Electric Calendarize'!$K$11:$K$274,'Summary Electric Increase'!$G39)</f>
        <v>1</v>
      </c>
      <c r="F39" s="44"/>
      <c r="G39" s="45" t="s">
        <v>321</v>
      </c>
      <c r="H39" s="45" t="str">
        <f t="shared" si="1"/>
        <v>2023</v>
      </c>
      <c r="I39" s="44"/>
      <c r="J39" s="45" t="str">
        <f t="shared" si="2"/>
        <v>11</v>
      </c>
      <c r="K39" s="44"/>
      <c r="L39" s="46">
        <f ca="1">AVERAGEIFS('Electric Calendarize'!$O$11:$BG$274,'Electric Calendarize'!$BK$11:$DC$274,1,'Electric Calendarize'!$DG$11:$EY$274,'Summary Electric Increase'!$G39,'Electric Calendarize'!$O$11:$BG$274,"&gt;0",'Electric Calendarize'!$FC$11:$GU$274,0)</f>
        <v>812</v>
      </c>
      <c r="M39" s="46"/>
      <c r="N39" s="46">
        <f ca="1">AVERAGEIFS('Electric Calendarize'!$O$11:$BG$274,'Electric Calendarize'!$BK$11:$DC$274,1,'Electric Calendarize'!$DG$11:$EY$274,'Summary Electric Increase'!$G39,'Electric Calendarize'!$O$11:$BG$274,"&gt;0",'Electric Calendarize'!$FC$11:$GU$274,1)</f>
        <v>606</v>
      </c>
      <c r="O39" s="46"/>
      <c r="P39" s="46">
        <f t="shared" ca="1" si="3"/>
        <v>-2472</v>
      </c>
      <c r="Q39" s="46"/>
      <c r="R39" s="46">
        <f t="shared" ca="1" si="4"/>
        <v>-9.3636363636363633</v>
      </c>
    </row>
    <row r="40" spans="1:18" x14ac:dyDescent="0.3">
      <c r="C40" s="47"/>
      <c r="E40" s="47"/>
      <c r="P40" s="47"/>
      <c r="R40" s="47"/>
    </row>
    <row r="41" spans="1:18" x14ac:dyDescent="0.3">
      <c r="A41" s="50">
        <f>+A39+1</f>
        <v>34</v>
      </c>
      <c r="C41" s="43">
        <f>SUM(C7:C39)</f>
        <v>0.99999999999999967</v>
      </c>
      <c r="E41" s="45">
        <f>SUM(E7:E39)</f>
        <v>264</v>
      </c>
      <c r="N41" t="s">
        <v>335</v>
      </c>
      <c r="P41" s="46">
        <f ca="1">AVERAGE(P7:P39)</f>
        <v>2904.7991555820181</v>
      </c>
      <c r="R41" s="46">
        <f ca="1">SUM(R7:R39)</f>
        <v>3387.0645956871176</v>
      </c>
    </row>
    <row r="42" spans="1:18" x14ac:dyDescent="0.3">
      <c r="A42" s="45">
        <f>+A41+1</f>
        <v>35</v>
      </c>
      <c r="N42" t="s">
        <v>332</v>
      </c>
      <c r="P42" s="46">
        <f ca="1">_xlfn.STDEV.S(P7:P39)</f>
        <v>3384.5152314850502</v>
      </c>
      <c r="R42" s="46"/>
    </row>
    <row r="44" spans="1:18" ht="43.2" x14ac:dyDescent="0.3">
      <c r="N44" s="7" t="s">
        <v>345</v>
      </c>
    </row>
    <row r="45" spans="1:18" x14ac:dyDescent="0.3">
      <c r="P45" s="47"/>
      <c r="R45" s="47"/>
    </row>
    <row r="46" spans="1:18" x14ac:dyDescent="0.3">
      <c r="N46" t="s">
        <v>335</v>
      </c>
      <c r="P46" s="46">
        <f ca="1">AVERAGE(P7:P28)</f>
        <v>3470.8197362419287</v>
      </c>
      <c r="R46" s="46" cm="1">
        <f t="array" aca="1" ref="R46" ca="1">SUMPRODUCT($P$7:$P$28,$E$7:$E$28/SUM($E$7:$E$29))</f>
        <v>3961.5975080634703</v>
      </c>
    </row>
    <row r="47" spans="1:18" x14ac:dyDescent="0.3">
      <c r="N47" t="s">
        <v>332</v>
      </c>
      <c r="P47" s="46">
        <f ca="1">_xlfn.STDEV.S(P7:P28)</f>
        <v>2931.8206153264864</v>
      </c>
    </row>
    <row r="49" spans="14:18" x14ac:dyDescent="0.3">
      <c r="N49" s="54" t="s">
        <v>346</v>
      </c>
      <c r="P49" s="56">
        <v>5927.3932778169901</v>
      </c>
      <c r="R49" s="56">
        <v>5927.3932778169901</v>
      </c>
    </row>
    <row r="50" spans="14:18" x14ac:dyDescent="0.3">
      <c r="N50" t="s">
        <v>347</v>
      </c>
      <c r="P50" s="55">
        <f ca="1">(P49-P46)/P47</f>
        <v>0.8379003574546795</v>
      </c>
      <c r="R50" s="55">
        <f ca="1">(R49-R46)/P47</f>
        <v>0.67050342694128628</v>
      </c>
    </row>
  </sheetData>
  <mergeCells count="2">
    <mergeCell ref="A1:P1"/>
    <mergeCell ref="A2:P2"/>
  </mergeCells>
  <pageMargins left="0.5" right="0.25" top="0.5" bottom="0.25" header="0.3" footer="0.3"/>
  <pageSetup scale="7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F23A-CB20-4DAF-8F6A-F8639E48F3EE}">
  <dimension ref="A1"/>
  <sheetViews>
    <sheetView workbookViewId="0">
      <selection activeCell="H32" sqref="H32"/>
    </sheetView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F54-2F9C-4E01-BC0A-CE8552BE7BEC}">
  <dimension ref="A1:AJ270"/>
  <sheetViews>
    <sheetView topLeftCell="AI1" zoomScale="90" zoomScaleNormal="90" workbookViewId="0">
      <selection activeCell="E1" sqref="E1:E1048576"/>
    </sheetView>
  </sheetViews>
  <sheetFormatPr defaultColWidth="20.6640625" defaultRowHeight="14.4" x14ac:dyDescent="0.3"/>
  <cols>
    <col min="1" max="1" width="66.77734375" style="67" bestFit="1" customWidth="1"/>
    <col min="2" max="2" width="31.109375" style="67" customWidth="1"/>
    <col min="3" max="3" width="15.77734375" style="67" bestFit="1" customWidth="1"/>
    <col min="4" max="4" width="31.6640625" style="67" bestFit="1" customWidth="1"/>
    <col min="5" max="5" width="12" style="67" bestFit="1" customWidth="1"/>
    <col min="6" max="6" width="12.6640625" style="67" bestFit="1" customWidth="1"/>
    <col min="7" max="7" width="16" style="67" bestFit="1" customWidth="1"/>
    <col min="8" max="8" width="10.109375" style="67" bestFit="1" customWidth="1"/>
    <col min="9" max="9" width="5" style="67" bestFit="1" customWidth="1"/>
    <col min="10" max="10" width="6.44140625" style="67" bestFit="1" customWidth="1"/>
    <col min="11" max="11" width="8" style="67" bestFit="1" customWidth="1"/>
    <col min="12" max="12" width="13.44140625" style="67" bestFit="1" customWidth="1"/>
    <col min="13" max="24" width="20.6640625" style="13"/>
    <col min="25" max="35" width="20.6640625" style="13" customWidth="1"/>
    <col min="36" max="36" width="22.109375" style="13" bestFit="1" customWidth="1"/>
  </cols>
  <sheetData>
    <row r="1" spans="1:36" s="7" customFormat="1" x14ac:dyDescent="0.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9" t="s">
        <v>287</v>
      </c>
      <c r="J1" s="59" t="s">
        <v>286</v>
      </c>
      <c r="K1" s="59" t="s">
        <v>288</v>
      </c>
      <c r="L1" s="59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4" t="s">
        <v>20</v>
      </c>
      <c r="Y1" s="5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</row>
    <row r="2" spans="1:36" x14ac:dyDescent="0.3">
      <c r="A2" s="8" t="s">
        <v>33</v>
      </c>
      <c r="B2" s="73"/>
      <c r="C2" s="60">
        <v>3021214000</v>
      </c>
      <c r="D2" s="60" t="s">
        <v>349</v>
      </c>
      <c r="E2" s="60" t="s">
        <v>34</v>
      </c>
      <c r="F2" s="60" t="s">
        <v>35</v>
      </c>
      <c r="G2" s="60" t="s">
        <v>36</v>
      </c>
      <c r="H2" s="61">
        <v>44281</v>
      </c>
      <c r="I2" s="60">
        <f>YEAR(H2)</f>
        <v>2021</v>
      </c>
      <c r="J2" s="60">
        <f>MONTH(H2)</f>
        <v>3</v>
      </c>
      <c r="K2" s="60" t="str">
        <f>I2&amp;"_"&amp;J2</f>
        <v>2021_3</v>
      </c>
      <c r="L2" s="61" t="s">
        <v>37</v>
      </c>
      <c r="M2" s="11">
        <v>1790</v>
      </c>
      <c r="N2" s="12">
        <v>1461</v>
      </c>
      <c r="O2" s="13">
        <v>999</v>
      </c>
      <c r="P2" s="13">
        <v>458</v>
      </c>
      <c r="Q2" s="13">
        <v>284</v>
      </c>
      <c r="R2" s="13">
        <v>444</v>
      </c>
      <c r="S2" s="13">
        <v>623</v>
      </c>
      <c r="T2" s="13">
        <v>373</v>
      </c>
      <c r="U2" s="13">
        <v>374</v>
      </c>
      <c r="V2" s="13">
        <v>409</v>
      </c>
      <c r="W2" s="13">
        <v>480</v>
      </c>
      <c r="X2" s="13">
        <v>778</v>
      </c>
      <c r="Y2" s="13">
        <v>750</v>
      </c>
      <c r="Z2" s="13">
        <v>453</v>
      </c>
      <c r="AA2" s="13">
        <v>490</v>
      </c>
      <c r="AB2" s="13">
        <v>471</v>
      </c>
      <c r="AC2" s="13">
        <v>517</v>
      </c>
      <c r="AD2" s="13">
        <v>572</v>
      </c>
      <c r="AE2" s="13">
        <v>270</v>
      </c>
      <c r="AF2" s="13">
        <v>359</v>
      </c>
      <c r="AG2" s="13">
        <v>646</v>
      </c>
      <c r="AH2" s="13">
        <v>854</v>
      </c>
      <c r="AI2" s="13">
        <v>1398</v>
      </c>
      <c r="AJ2" s="13">
        <v>1165</v>
      </c>
    </row>
    <row r="3" spans="1:36" x14ac:dyDescent="0.3">
      <c r="A3" s="60" t="s">
        <v>38</v>
      </c>
      <c r="B3" s="73"/>
      <c r="C3" s="60">
        <v>3120402002</v>
      </c>
      <c r="D3" s="60" t="s">
        <v>350</v>
      </c>
      <c r="E3" s="60" t="s">
        <v>39</v>
      </c>
      <c r="F3" s="60" t="s">
        <v>35</v>
      </c>
      <c r="G3" s="60" t="s">
        <v>40</v>
      </c>
      <c r="H3" s="61">
        <v>44299</v>
      </c>
      <c r="I3" s="60">
        <f t="shared" ref="I3:I66" si="0">YEAR(H3)</f>
        <v>2021</v>
      </c>
      <c r="J3" s="60">
        <f t="shared" ref="J3:J66" si="1">MONTH(H3)</f>
        <v>4</v>
      </c>
      <c r="K3" s="60" t="str">
        <f t="shared" ref="K3:K66" si="2">I3&amp;"_"&amp;J3</f>
        <v>2021_4</v>
      </c>
      <c r="L3" s="61" t="s">
        <v>37</v>
      </c>
      <c r="M3" s="11">
        <v>882</v>
      </c>
      <c r="N3" s="14">
        <v>767</v>
      </c>
      <c r="O3" s="13">
        <v>856</v>
      </c>
      <c r="P3" s="13">
        <v>879</v>
      </c>
      <c r="Q3" s="13">
        <v>785</v>
      </c>
      <c r="R3" s="13">
        <v>752</v>
      </c>
      <c r="S3" s="13">
        <v>1118</v>
      </c>
      <c r="T3" s="13">
        <v>1117</v>
      </c>
      <c r="U3" s="13">
        <v>1112</v>
      </c>
      <c r="V3" s="13">
        <v>1001</v>
      </c>
      <c r="W3" s="13">
        <v>739</v>
      </c>
      <c r="X3" s="13">
        <v>796</v>
      </c>
      <c r="Y3" s="13">
        <v>909</v>
      </c>
      <c r="Z3" s="13">
        <v>735</v>
      </c>
      <c r="AA3" s="13">
        <v>713</v>
      </c>
      <c r="AB3" s="13">
        <v>492</v>
      </c>
      <c r="AC3" s="13">
        <v>667</v>
      </c>
      <c r="AD3" s="13">
        <v>1125</v>
      </c>
      <c r="AE3" s="13">
        <v>888</v>
      </c>
      <c r="AF3" s="13">
        <v>1029</v>
      </c>
      <c r="AG3" s="13">
        <v>1071</v>
      </c>
      <c r="AH3" s="13">
        <v>952</v>
      </c>
      <c r="AI3" s="13">
        <v>1050</v>
      </c>
      <c r="AJ3" s="13">
        <v>876</v>
      </c>
    </row>
    <row r="4" spans="1:36" x14ac:dyDescent="0.3">
      <c r="A4" s="60" t="s">
        <v>41</v>
      </c>
      <c r="B4" s="73"/>
      <c r="C4" s="60">
        <v>3150085004</v>
      </c>
      <c r="D4" s="60" t="s">
        <v>351</v>
      </c>
      <c r="E4" s="60" t="s">
        <v>39</v>
      </c>
      <c r="F4" s="60" t="s">
        <v>35</v>
      </c>
      <c r="G4" s="60" t="s">
        <v>42</v>
      </c>
      <c r="H4" s="61">
        <v>44301</v>
      </c>
      <c r="I4" s="60">
        <f t="shared" si="0"/>
        <v>2021</v>
      </c>
      <c r="J4" s="60">
        <f t="shared" si="1"/>
        <v>4</v>
      </c>
      <c r="K4" s="60" t="str">
        <f t="shared" si="2"/>
        <v>2021_4</v>
      </c>
      <c r="L4" s="61" t="s">
        <v>37</v>
      </c>
      <c r="M4" s="11">
        <v>1832</v>
      </c>
      <c r="N4" s="14">
        <v>932</v>
      </c>
      <c r="O4" s="13">
        <v>1288</v>
      </c>
      <c r="P4" s="13">
        <v>1532</v>
      </c>
      <c r="Q4" s="13">
        <v>1880</v>
      </c>
      <c r="R4" s="13">
        <v>1416</v>
      </c>
      <c r="S4" s="13">
        <v>1556</v>
      </c>
      <c r="T4" s="13">
        <v>2006</v>
      </c>
      <c r="U4" s="13">
        <v>1774</v>
      </c>
      <c r="V4" s="13">
        <v>2078</v>
      </c>
      <c r="W4" s="13">
        <v>1408</v>
      </c>
      <c r="X4" s="13">
        <v>976</v>
      </c>
      <c r="Y4" s="13">
        <v>1146</v>
      </c>
      <c r="Z4" s="13">
        <v>850</v>
      </c>
      <c r="AA4" s="13">
        <v>1092</v>
      </c>
      <c r="AB4" s="13">
        <v>2216</v>
      </c>
      <c r="AC4" s="13">
        <v>2258</v>
      </c>
      <c r="AD4" s="13">
        <v>1504</v>
      </c>
      <c r="AE4" s="13">
        <v>1232</v>
      </c>
      <c r="AF4" s="13">
        <v>1292</v>
      </c>
      <c r="AG4" s="13">
        <v>1350</v>
      </c>
      <c r="AH4" s="13">
        <v>1844</v>
      </c>
      <c r="AI4" s="13">
        <v>1460</v>
      </c>
      <c r="AJ4" s="13">
        <v>1240</v>
      </c>
    </row>
    <row r="5" spans="1:36" x14ac:dyDescent="0.3">
      <c r="A5" s="62" t="s">
        <v>41</v>
      </c>
      <c r="B5" s="73"/>
      <c r="C5" s="60">
        <v>3151746001</v>
      </c>
      <c r="D5" s="60" t="s">
        <v>352</v>
      </c>
      <c r="E5" s="60" t="s">
        <v>43</v>
      </c>
      <c r="F5" s="60" t="s">
        <v>35</v>
      </c>
      <c r="G5" s="60" t="s">
        <v>44</v>
      </c>
      <c r="H5" s="61">
        <v>44305</v>
      </c>
      <c r="I5" s="60">
        <f t="shared" si="0"/>
        <v>2021</v>
      </c>
      <c r="J5" s="60">
        <f t="shared" si="1"/>
        <v>4</v>
      </c>
      <c r="K5" s="60" t="str">
        <f t="shared" si="2"/>
        <v>2021_4</v>
      </c>
      <c r="L5" s="61" t="s">
        <v>37</v>
      </c>
      <c r="M5" s="11">
        <v>835</v>
      </c>
      <c r="N5" s="12">
        <v>831</v>
      </c>
      <c r="O5" s="13">
        <v>1084</v>
      </c>
      <c r="P5" s="13">
        <v>1364</v>
      </c>
      <c r="Q5" s="13">
        <v>1097</v>
      </c>
      <c r="R5" s="13">
        <v>876</v>
      </c>
      <c r="S5" s="13">
        <v>791</v>
      </c>
      <c r="T5" s="13">
        <v>714</v>
      </c>
      <c r="U5" s="13">
        <v>983</v>
      </c>
      <c r="V5" s="13">
        <v>685</v>
      </c>
      <c r="W5" s="13">
        <v>686</v>
      </c>
      <c r="X5" s="13">
        <v>618</v>
      </c>
      <c r="Y5" s="13">
        <v>644</v>
      </c>
      <c r="Z5" s="13">
        <v>612</v>
      </c>
      <c r="AA5" s="13">
        <v>1069</v>
      </c>
      <c r="AB5" s="13">
        <v>1419</v>
      </c>
      <c r="AC5" s="13">
        <v>1195</v>
      </c>
      <c r="AD5" s="13">
        <v>1110</v>
      </c>
      <c r="AE5" s="13">
        <v>654</v>
      </c>
      <c r="AF5" s="13">
        <v>914</v>
      </c>
      <c r="AG5" s="13">
        <v>1286</v>
      </c>
      <c r="AH5" s="13">
        <v>2024</v>
      </c>
      <c r="AI5" s="13">
        <v>1935</v>
      </c>
      <c r="AJ5" s="13">
        <v>1214</v>
      </c>
    </row>
    <row r="6" spans="1:36" x14ac:dyDescent="0.3">
      <c r="A6" s="60" t="s">
        <v>41</v>
      </c>
      <c r="B6" s="73"/>
      <c r="C6" s="60">
        <v>3020110000</v>
      </c>
      <c r="D6" s="60" t="s">
        <v>353</v>
      </c>
      <c r="E6" s="60" t="s">
        <v>34</v>
      </c>
      <c r="F6" s="60" t="s">
        <v>35</v>
      </c>
      <c r="G6" s="60" t="s">
        <v>45</v>
      </c>
      <c r="H6" s="61">
        <v>44308</v>
      </c>
      <c r="I6" s="60">
        <f t="shared" si="0"/>
        <v>2021</v>
      </c>
      <c r="J6" s="60">
        <f t="shared" si="1"/>
        <v>4</v>
      </c>
      <c r="K6" s="60" t="str">
        <f t="shared" si="2"/>
        <v>2021_4</v>
      </c>
      <c r="L6" s="61" t="s">
        <v>37</v>
      </c>
      <c r="M6" s="11">
        <v>846</v>
      </c>
      <c r="N6" s="14">
        <v>786</v>
      </c>
      <c r="O6" s="13">
        <v>606</v>
      </c>
      <c r="P6" s="13">
        <v>832</v>
      </c>
      <c r="Q6" s="13">
        <v>108</v>
      </c>
      <c r="R6" s="13">
        <v>1626</v>
      </c>
      <c r="S6" s="13">
        <v>932</v>
      </c>
      <c r="T6" s="13">
        <v>998</v>
      </c>
      <c r="U6" s="13">
        <v>1398</v>
      </c>
      <c r="V6" s="13">
        <v>1856</v>
      </c>
      <c r="W6" s="13">
        <v>1582</v>
      </c>
      <c r="X6" s="13">
        <v>1802</v>
      </c>
      <c r="Y6" s="13">
        <v>832</v>
      </c>
      <c r="Z6" s="13">
        <v>606</v>
      </c>
      <c r="AA6" s="13">
        <v>516</v>
      </c>
      <c r="AB6" s="13">
        <v>924</v>
      </c>
      <c r="AC6" s="13">
        <v>1332</v>
      </c>
      <c r="AD6" s="13">
        <v>1442</v>
      </c>
      <c r="AE6" s="13">
        <v>1098</v>
      </c>
      <c r="AF6" s="13">
        <v>772</v>
      </c>
      <c r="AG6" s="13">
        <v>1556</v>
      </c>
      <c r="AH6" s="13">
        <v>1998</v>
      </c>
      <c r="AI6" s="13">
        <v>2730</v>
      </c>
      <c r="AJ6" s="13">
        <v>1884</v>
      </c>
    </row>
    <row r="7" spans="1:36" x14ac:dyDescent="0.3">
      <c r="A7" s="62" t="s">
        <v>46</v>
      </c>
      <c r="B7" s="73"/>
      <c r="C7" s="60">
        <v>3132100001</v>
      </c>
      <c r="D7" s="60" t="s">
        <v>354</v>
      </c>
      <c r="E7" s="60" t="s">
        <v>39</v>
      </c>
      <c r="F7" s="60" t="s">
        <v>35</v>
      </c>
      <c r="G7" s="60" t="s">
        <v>47</v>
      </c>
      <c r="H7" s="61">
        <v>44313</v>
      </c>
      <c r="I7" s="60">
        <f t="shared" si="0"/>
        <v>2021</v>
      </c>
      <c r="J7" s="60">
        <f t="shared" si="1"/>
        <v>4</v>
      </c>
      <c r="K7" s="60" t="str">
        <f t="shared" si="2"/>
        <v>2021_4</v>
      </c>
      <c r="L7" s="61" t="s">
        <v>37</v>
      </c>
      <c r="M7" s="11">
        <v>973</v>
      </c>
      <c r="N7" s="12">
        <v>889</v>
      </c>
      <c r="O7" s="13">
        <v>1359</v>
      </c>
      <c r="P7" s="13">
        <v>1645</v>
      </c>
      <c r="Q7" s="13">
        <v>1741</v>
      </c>
      <c r="R7" s="13">
        <v>993</v>
      </c>
      <c r="S7" s="13">
        <v>661</v>
      </c>
      <c r="T7" s="13">
        <v>993</v>
      </c>
      <c r="U7" s="13">
        <v>1299</v>
      </c>
      <c r="V7" s="13">
        <v>1266</v>
      </c>
      <c r="W7" s="13">
        <v>1231</v>
      </c>
      <c r="X7" s="13">
        <v>769</v>
      </c>
      <c r="Y7" s="13">
        <v>568</v>
      </c>
      <c r="Z7" s="13">
        <v>522</v>
      </c>
      <c r="AA7" s="13">
        <v>897</v>
      </c>
      <c r="AB7" s="13">
        <v>1056</v>
      </c>
      <c r="AC7" s="13">
        <v>1080</v>
      </c>
      <c r="AD7" s="13">
        <v>794</v>
      </c>
      <c r="AE7" s="13">
        <v>555</v>
      </c>
      <c r="AF7" s="13">
        <v>702</v>
      </c>
      <c r="AG7" s="13">
        <v>1016</v>
      </c>
      <c r="AH7" s="13">
        <v>1102</v>
      </c>
      <c r="AI7" s="13">
        <v>621</v>
      </c>
      <c r="AJ7" s="13">
        <v>514</v>
      </c>
    </row>
    <row r="8" spans="1:36" x14ac:dyDescent="0.3">
      <c r="A8" s="8" t="s">
        <v>33</v>
      </c>
      <c r="B8" s="73"/>
      <c r="C8" s="60">
        <v>3120915001</v>
      </c>
      <c r="D8" s="60" t="s">
        <v>355</v>
      </c>
      <c r="E8" s="60" t="s">
        <v>39</v>
      </c>
      <c r="F8" s="60" t="s">
        <v>35</v>
      </c>
      <c r="G8" s="60" t="s">
        <v>48</v>
      </c>
      <c r="H8" s="61">
        <v>44315</v>
      </c>
      <c r="I8" s="60">
        <f t="shared" si="0"/>
        <v>2021</v>
      </c>
      <c r="J8" s="60">
        <f t="shared" si="1"/>
        <v>4</v>
      </c>
      <c r="K8" s="60" t="str">
        <f t="shared" si="2"/>
        <v>2021_4</v>
      </c>
      <c r="L8" s="61" t="s">
        <v>37</v>
      </c>
      <c r="M8" s="11">
        <v>806</v>
      </c>
      <c r="N8" s="12">
        <v>707</v>
      </c>
      <c r="O8" s="13">
        <v>1222</v>
      </c>
      <c r="P8" s="13">
        <v>1359</v>
      </c>
      <c r="Q8" s="13">
        <v>2653</v>
      </c>
      <c r="R8" s="13">
        <v>1469</v>
      </c>
      <c r="S8" s="13">
        <v>954</v>
      </c>
      <c r="T8" s="13">
        <v>1127</v>
      </c>
      <c r="U8" s="13">
        <v>1518</v>
      </c>
      <c r="V8" s="13">
        <v>1412</v>
      </c>
      <c r="W8" s="13">
        <v>1440</v>
      </c>
      <c r="X8" s="13">
        <v>1439</v>
      </c>
      <c r="Y8" s="13">
        <v>975</v>
      </c>
      <c r="Z8" s="13">
        <v>924</v>
      </c>
      <c r="AA8" s="13">
        <v>1414</v>
      </c>
      <c r="AB8" s="13">
        <v>1334</v>
      </c>
      <c r="AC8" s="13">
        <v>1286</v>
      </c>
      <c r="AD8" s="13">
        <v>889</v>
      </c>
      <c r="AE8" s="13">
        <v>610</v>
      </c>
      <c r="AF8" s="13">
        <v>773</v>
      </c>
      <c r="AG8" s="13">
        <v>952</v>
      </c>
      <c r="AH8" s="13">
        <v>864</v>
      </c>
      <c r="AI8" s="13">
        <v>963</v>
      </c>
      <c r="AJ8" s="13">
        <v>800</v>
      </c>
    </row>
    <row r="9" spans="1:36" x14ac:dyDescent="0.3">
      <c r="A9" s="16" t="s">
        <v>33</v>
      </c>
      <c r="B9" s="73"/>
      <c r="C9" s="60">
        <v>3141643000</v>
      </c>
      <c r="D9" s="60" t="s">
        <v>356</v>
      </c>
      <c r="E9" s="60" t="s">
        <v>43</v>
      </c>
      <c r="F9" s="60" t="s">
        <v>35</v>
      </c>
      <c r="G9" s="60" t="s">
        <v>49</v>
      </c>
      <c r="H9" s="61">
        <v>44330</v>
      </c>
      <c r="I9" s="60">
        <f t="shared" si="0"/>
        <v>2021</v>
      </c>
      <c r="J9" s="60">
        <f t="shared" si="1"/>
        <v>5</v>
      </c>
      <c r="K9" s="60" t="str">
        <f t="shared" si="2"/>
        <v>2021_5</v>
      </c>
      <c r="L9" s="61" t="s">
        <v>37</v>
      </c>
      <c r="M9" s="11">
        <v>572</v>
      </c>
      <c r="N9" s="12">
        <v>937</v>
      </c>
      <c r="O9" s="13">
        <v>1132</v>
      </c>
      <c r="P9" s="13">
        <v>1077</v>
      </c>
      <c r="Q9" s="13">
        <v>751</v>
      </c>
      <c r="R9" s="13">
        <v>630</v>
      </c>
      <c r="S9" s="13">
        <v>526</v>
      </c>
      <c r="T9" s="13">
        <v>671</v>
      </c>
      <c r="U9" s="13">
        <v>687</v>
      </c>
      <c r="V9" s="13">
        <v>979</v>
      </c>
      <c r="W9" s="13">
        <v>573</v>
      </c>
      <c r="X9" s="13">
        <v>499</v>
      </c>
      <c r="Y9" s="13">
        <v>688</v>
      </c>
      <c r="Z9" s="13">
        <v>894</v>
      </c>
      <c r="AA9" s="13">
        <v>1097</v>
      </c>
      <c r="AB9" s="13">
        <v>1072</v>
      </c>
      <c r="AC9" s="13">
        <v>931</v>
      </c>
      <c r="AD9" s="13">
        <v>802</v>
      </c>
      <c r="AE9" s="13">
        <v>566</v>
      </c>
      <c r="AF9" s="13">
        <v>531</v>
      </c>
      <c r="AG9" s="13">
        <v>725</v>
      </c>
      <c r="AH9" s="13">
        <v>642</v>
      </c>
      <c r="AI9" s="13">
        <v>580</v>
      </c>
      <c r="AJ9" s="13">
        <v>501</v>
      </c>
    </row>
    <row r="10" spans="1:36" x14ac:dyDescent="0.3">
      <c r="A10" s="60" t="s">
        <v>46</v>
      </c>
      <c r="B10" s="73"/>
      <c r="C10" s="60">
        <v>3121672000</v>
      </c>
      <c r="D10" s="60" t="s">
        <v>357</v>
      </c>
      <c r="E10" s="60" t="s">
        <v>39</v>
      </c>
      <c r="F10" s="60" t="s">
        <v>35</v>
      </c>
      <c r="G10" s="60" t="s">
        <v>50</v>
      </c>
      <c r="H10" s="61">
        <v>44342</v>
      </c>
      <c r="I10" s="60">
        <f t="shared" si="0"/>
        <v>2021</v>
      </c>
      <c r="J10" s="60">
        <f t="shared" si="1"/>
        <v>5</v>
      </c>
      <c r="K10" s="60" t="str">
        <f t="shared" si="2"/>
        <v>2021_5</v>
      </c>
      <c r="L10" s="61" t="s">
        <v>37</v>
      </c>
      <c r="M10" s="11">
        <v>950</v>
      </c>
      <c r="N10" s="12">
        <v>1124</v>
      </c>
      <c r="O10" s="13">
        <v>1224</v>
      </c>
      <c r="P10" s="13">
        <v>1390</v>
      </c>
      <c r="Q10" s="13">
        <v>1025</v>
      </c>
      <c r="R10" s="13">
        <v>920</v>
      </c>
      <c r="S10" s="13">
        <v>1416</v>
      </c>
      <c r="T10" s="13">
        <v>1852</v>
      </c>
      <c r="U10" s="13">
        <v>1779</v>
      </c>
      <c r="V10" s="13">
        <v>1907</v>
      </c>
      <c r="W10" s="13">
        <v>1903</v>
      </c>
      <c r="X10" s="13">
        <v>1670</v>
      </c>
      <c r="Y10" s="13">
        <v>1055</v>
      </c>
      <c r="Z10" s="13">
        <v>1209</v>
      </c>
      <c r="AA10" s="13">
        <v>1297</v>
      </c>
      <c r="AB10" s="13">
        <v>1483</v>
      </c>
      <c r="AC10" s="13">
        <v>1080</v>
      </c>
      <c r="AD10" s="13">
        <v>922</v>
      </c>
      <c r="AE10" s="13">
        <v>1116</v>
      </c>
      <c r="AF10" s="13">
        <v>1333</v>
      </c>
      <c r="AG10" s="13">
        <v>1220</v>
      </c>
      <c r="AH10" s="13">
        <v>1221</v>
      </c>
      <c r="AI10" s="13">
        <v>1188</v>
      </c>
      <c r="AJ10" s="13">
        <v>960</v>
      </c>
    </row>
    <row r="11" spans="1:36" x14ac:dyDescent="0.3">
      <c r="A11" s="62" t="s">
        <v>41</v>
      </c>
      <c r="B11" s="73"/>
      <c r="C11" s="60">
        <v>3130420006</v>
      </c>
      <c r="D11" s="60" t="s">
        <v>358</v>
      </c>
      <c r="E11" s="60" t="s">
        <v>39</v>
      </c>
      <c r="F11" s="60" t="s">
        <v>35</v>
      </c>
      <c r="G11" s="60" t="s">
        <v>51</v>
      </c>
      <c r="H11" s="61">
        <v>44356</v>
      </c>
      <c r="I11" s="60">
        <f t="shared" si="0"/>
        <v>2021</v>
      </c>
      <c r="J11" s="60">
        <f t="shared" si="1"/>
        <v>6</v>
      </c>
      <c r="K11" s="60" t="str">
        <f t="shared" si="2"/>
        <v>2021_6</v>
      </c>
      <c r="L11" s="61" t="s">
        <v>37</v>
      </c>
      <c r="M11" s="11">
        <v>0</v>
      </c>
      <c r="N11" s="12">
        <v>0</v>
      </c>
      <c r="O11" s="13">
        <v>0</v>
      </c>
      <c r="P11" s="13">
        <v>0</v>
      </c>
      <c r="Q11" s="13">
        <v>0</v>
      </c>
      <c r="R11" s="13">
        <v>104</v>
      </c>
      <c r="S11" s="13">
        <v>529</v>
      </c>
      <c r="T11" s="13">
        <v>617</v>
      </c>
      <c r="U11" s="13">
        <v>593</v>
      </c>
      <c r="V11" s="13">
        <v>564</v>
      </c>
      <c r="W11" s="13">
        <v>778</v>
      </c>
      <c r="X11" s="13">
        <v>741</v>
      </c>
      <c r="Y11" s="13">
        <v>654</v>
      </c>
      <c r="Z11" s="13">
        <v>704</v>
      </c>
      <c r="AA11" s="13">
        <v>808</v>
      </c>
      <c r="AB11" s="13">
        <v>872</v>
      </c>
      <c r="AC11" s="13">
        <v>719</v>
      </c>
      <c r="AD11" s="13">
        <v>1097</v>
      </c>
      <c r="AE11" s="13">
        <v>1682</v>
      </c>
      <c r="AF11" s="13">
        <v>2330</v>
      </c>
      <c r="AG11" s="13">
        <v>1868</v>
      </c>
      <c r="AH11" s="13">
        <v>1606</v>
      </c>
      <c r="AI11" s="13">
        <v>1842</v>
      </c>
      <c r="AJ11" s="13">
        <v>1162</v>
      </c>
    </row>
    <row r="12" spans="1:36" x14ac:dyDescent="0.3">
      <c r="A12" s="60" t="s">
        <v>41</v>
      </c>
      <c r="B12" s="73"/>
      <c r="C12" s="60">
        <v>3012142001</v>
      </c>
      <c r="D12" s="60" t="s">
        <v>359</v>
      </c>
      <c r="E12" s="60" t="s">
        <v>34</v>
      </c>
      <c r="F12" s="60" t="s">
        <v>35</v>
      </c>
      <c r="G12" s="60" t="s">
        <v>52</v>
      </c>
      <c r="H12" s="61">
        <v>44362</v>
      </c>
      <c r="I12" s="60">
        <f t="shared" si="0"/>
        <v>2021</v>
      </c>
      <c r="J12" s="60">
        <f t="shared" si="1"/>
        <v>6</v>
      </c>
      <c r="K12" s="60" t="str">
        <f t="shared" si="2"/>
        <v>2021_6</v>
      </c>
      <c r="L12" s="61" t="s">
        <v>37</v>
      </c>
      <c r="M12" s="11">
        <v>0</v>
      </c>
      <c r="N12" s="12">
        <v>0</v>
      </c>
      <c r="O12" s="13">
        <v>0</v>
      </c>
      <c r="P12" s="13">
        <v>0</v>
      </c>
      <c r="Q12" s="13">
        <v>126</v>
      </c>
      <c r="R12" s="13">
        <v>620</v>
      </c>
      <c r="S12" s="13">
        <v>672</v>
      </c>
      <c r="T12" s="13">
        <v>720</v>
      </c>
      <c r="U12" s="13">
        <v>714</v>
      </c>
      <c r="V12" s="13">
        <v>750</v>
      </c>
      <c r="W12" s="13">
        <v>611</v>
      </c>
      <c r="X12" s="13">
        <v>748</v>
      </c>
      <c r="Y12" s="13">
        <v>773</v>
      </c>
      <c r="Z12" s="13">
        <v>821</v>
      </c>
      <c r="AA12" s="13">
        <v>665</v>
      </c>
      <c r="AB12" s="13">
        <v>1297</v>
      </c>
      <c r="AC12" s="13">
        <v>982</v>
      </c>
      <c r="AD12" s="13">
        <v>863</v>
      </c>
      <c r="AE12" s="13">
        <v>1286</v>
      </c>
      <c r="AF12" s="13">
        <v>1221</v>
      </c>
      <c r="AG12" s="13">
        <v>1168</v>
      </c>
      <c r="AH12" s="13">
        <v>1301</v>
      </c>
      <c r="AI12" s="13">
        <v>911</v>
      </c>
      <c r="AJ12" s="13">
        <v>914</v>
      </c>
    </row>
    <row r="13" spans="1:36" x14ac:dyDescent="0.3">
      <c r="A13" s="60" t="s">
        <v>33</v>
      </c>
      <c r="B13" s="73"/>
      <c r="C13" s="60">
        <v>3072565000</v>
      </c>
      <c r="D13" s="60" t="s">
        <v>360</v>
      </c>
      <c r="E13" s="60" t="s">
        <v>34</v>
      </c>
      <c r="F13" s="60" t="s">
        <v>35</v>
      </c>
      <c r="G13" s="60" t="s">
        <v>53</v>
      </c>
      <c r="H13" s="61">
        <v>44367</v>
      </c>
      <c r="I13" s="60">
        <f t="shared" si="0"/>
        <v>2021</v>
      </c>
      <c r="J13" s="60">
        <f t="shared" si="1"/>
        <v>6</v>
      </c>
      <c r="K13" s="60" t="str">
        <f t="shared" si="2"/>
        <v>2021_6</v>
      </c>
      <c r="L13" s="61" t="s">
        <v>37</v>
      </c>
      <c r="M13" s="11">
        <v>976</v>
      </c>
      <c r="N13" s="14">
        <v>1192</v>
      </c>
      <c r="O13" s="13">
        <v>1344</v>
      </c>
      <c r="P13" s="13">
        <v>1010</v>
      </c>
      <c r="Q13" s="13">
        <v>587</v>
      </c>
      <c r="R13" s="13">
        <v>610</v>
      </c>
      <c r="S13" s="13">
        <v>747</v>
      </c>
      <c r="T13" s="13">
        <v>811</v>
      </c>
      <c r="U13" s="13">
        <v>712</v>
      </c>
      <c r="V13" s="13">
        <v>627</v>
      </c>
      <c r="W13" s="13">
        <v>511</v>
      </c>
      <c r="X13" s="13">
        <v>616</v>
      </c>
      <c r="Y13" s="13">
        <v>898</v>
      </c>
      <c r="Z13" s="13">
        <v>878</v>
      </c>
      <c r="AA13" s="13">
        <v>1203</v>
      </c>
      <c r="AB13" s="13">
        <v>876</v>
      </c>
      <c r="AC13" s="13">
        <v>683</v>
      </c>
      <c r="AD13" s="13">
        <v>550</v>
      </c>
      <c r="AE13" s="13">
        <v>707</v>
      </c>
      <c r="AF13" s="13">
        <v>622</v>
      </c>
      <c r="AG13" s="13">
        <v>582</v>
      </c>
      <c r="AH13" s="13">
        <v>545</v>
      </c>
      <c r="AI13" s="13">
        <v>546</v>
      </c>
      <c r="AJ13" s="13">
        <v>606</v>
      </c>
    </row>
    <row r="14" spans="1:36" x14ac:dyDescent="0.3">
      <c r="A14" s="60" t="s">
        <v>41</v>
      </c>
      <c r="B14" s="73"/>
      <c r="C14" s="60">
        <v>3051502001</v>
      </c>
      <c r="D14" s="60" t="s">
        <v>361</v>
      </c>
      <c r="E14" s="60" t="s">
        <v>34</v>
      </c>
      <c r="F14" s="60" t="s">
        <v>35</v>
      </c>
      <c r="G14" s="60" t="s">
        <v>54</v>
      </c>
      <c r="H14" s="61">
        <v>44383</v>
      </c>
      <c r="I14" s="60">
        <f t="shared" si="0"/>
        <v>2021</v>
      </c>
      <c r="J14" s="60">
        <f t="shared" si="1"/>
        <v>7</v>
      </c>
      <c r="K14" s="60" t="str">
        <f t="shared" si="2"/>
        <v>2021_7</v>
      </c>
      <c r="L14" s="61" t="s">
        <v>37</v>
      </c>
      <c r="M14" s="11">
        <v>1250</v>
      </c>
      <c r="N14" s="14">
        <v>980</v>
      </c>
      <c r="O14" s="13">
        <v>1218</v>
      </c>
      <c r="P14" s="13">
        <v>719</v>
      </c>
      <c r="Q14" s="13">
        <v>667</v>
      </c>
      <c r="R14" s="13">
        <v>718</v>
      </c>
      <c r="S14" s="13">
        <v>673</v>
      </c>
      <c r="T14" s="13">
        <v>707</v>
      </c>
      <c r="U14" s="13">
        <v>739</v>
      </c>
      <c r="V14" s="13">
        <v>770</v>
      </c>
      <c r="W14" s="13">
        <v>800</v>
      </c>
      <c r="X14" s="13">
        <v>942</v>
      </c>
      <c r="Y14" s="13">
        <v>1403</v>
      </c>
      <c r="Z14" s="13">
        <v>1330</v>
      </c>
      <c r="AA14" s="13">
        <v>1442</v>
      </c>
      <c r="AB14" s="13">
        <v>1109</v>
      </c>
      <c r="AC14" s="13">
        <v>1046</v>
      </c>
      <c r="AD14" s="13">
        <v>858</v>
      </c>
      <c r="AE14" s="13">
        <v>836</v>
      </c>
      <c r="AF14" s="13">
        <v>775</v>
      </c>
      <c r="AG14" s="13">
        <v>834</v>
      </c>
      <c r="AH14" s="13">
        <v>796</v>
      </c>
      <c r="AI14" s="13">
        <v>780</v>
      </c>
      <c r="AJ14" s="13">
        <v>1300</v>
      </c>
    </row>
    <row r="15" spans="1:36" x14ac:dyDescent="0.3">
      <c r="A15" s="60" t="s">
        <v>55</v>
      </c>
      <c r="B15" s="73"/>
      <c r="C15" s="60">
        <v>3131202001</v>
      </c>
      <c r="D15" s="60" t="s">
        <v>362</v>
      </c>
      <c r="E15" s="60" t="s">
        <v>39</v>
      </c>
      <c r="F15" s="60" t="s">
        <v>35</v>
      </c>
      <c r="G15" s="60" t="s">
        <v>56</v>
      </c>
      <c r="H15" s="61">
        <v>44390</v>
      </c>
      <c r="I15" s="60">
        <f t="shared" si="0"/>
        <v>2021</v>
      </c>
      <c r="J15" s="60">
        <f t="shared" si="1"/>
        <v>7</v>
      </c>
      <c r="K15" s="60" t="str">
        <f t="shared" si="2"/>
        <v>2021_7</v>
      </c>
      <c r="L15" s="61" t="s">
        <v>37</v>
      </c>
      <c r="M15" s="11">
        <v>1468</v>
      </c>
      <c r="N15" s="17">
        <v>1536</v>
      </c>
      <c r="O15" s="13">
        <v>878</v>
      </c>
      <c r="P15" s="13">
        <v>678</v>
      </c>
      <c r="Q15" s="13">
        <v>1056</v>
      </c>
      <c r="R15" s="13">
        <v>2328</v>
      </c>
      <c r="S15" s="13">
        <v>2030</v>
      </c>
      <c r="T15" s="13">
        <v>2308</v>
      </c>
      <c r="U15" s="13">
        <v>1566</v>
      </c>
      <c r="V15" s="13">
        <v>696</v>
      </c>
      <c r="W15" s="13">
        <v>1032</v>
      </c>
      <c r="X15" s="13">
        <v>1836</v>
      </c>
      <c r="Y15" s="13">
        <v>1394</v>
      </c>
      <c r="Z15" s="13">
        <v>1414</v>
      </c>
      <c r="AA15" s="13">
        <v>1016</v>
      </c>
      <c r="AB15" s="13">
        <v>682</v>
      </c>
      <c r="AC15" s="13">
        <v>982</v>
      </c>
      <c r="AD15" s="13">
        <v>1730</v>
      </c>
      <c r="AE15" s="13">
        <v>2834</v>
      </c>
      <c r="AF15" s="13">
        <v>2776</v>
      </c>
      <c r="AG15" s="13">
        <v>1714</v>
      </c>
      <c r="AH15" s="13">
        <v>840</v>
      </c>
      <c r="AI15" s="13">
        <v>674</v>
      </c>
      <c r="AJ15" s="13">
        <v>610</v>
      </c>
    </row>
    <row r="16" spans="1:36" x14ac:dyDescent="0.3">
      <c r="A16" s="60" t="s">
        <v>41</v>
      </c>
      <c r="B16" s="73"/>
      <c r="C16" s="60">
        <v>3112862001</v>
      </c>
      <c r="D16" s="60" t="s">
        <v>363</v>
      </c>
      <c r="E16" s="60" t="s">
        <v>43</v>
      </c>
      <c r="F16" s="60" t="s">
        <v>35</v>
      </c>
      <c r="G16" s="60" t="s">
        <v>57</v>
      </c>
      <c r="H16" s="61">
        <v>44392</v>
      </c>
      <c r="I16" s="60">
        <f t="shared" si="0"/>
        <v>2021</v>
      </c>
      <c r="J16" s="60">
        <f t="shared" si="1"/>
        <v>7</v>
      </c>
      <c r="K16" s="60" t="str">
        <f t="shared" si="2"/>
        <v>2021_7</v>
      </c>
      <c r="L16" s="61" t="s">
        <v>37</v>
      </c>
      <c r="M16" s="11">
        <v>666</v>
      </c>
      <c r="N16" s="12">
        <v>573</v>
      </c>
      <c r="O16" s="13">
        <v>540</v>
      </c>
      <c r="P16" s="13">
        <v>480</v>
      </c>
      <c r="Q16" s="13">
        <v>463</v>
      </c>
      <c r="R16" s="13">
        <v>570</v>
      </c>
      <c r="S16" s="13">
        <v>665</v>
      </c>
      <c r="T16" s="13">
        <v>574</v>
      </c>
      <c r="U16" s="13">
        <v>553</v>
      </c>
      <c r="V16" s="13">
        <v>499</v>
      </c>
      <c r="W16" s="13">
        <v>691</v>
      </c>
      <c r="X16" s="13">
        <v>815</v>
      </c>
      <c r="Y16" s="13">
        <v>885</v>
      </c>
      <c r="Z16" s="13">
        <v>867</v>
      </c>
      <c r="AA16" s="13">
        <v>657</v>
      </c>
      <c r="AB16" s="13">
        <v>736</v>
      </c>
      <c r="AC16" s="13">
        <v>1197</v>
      </c>
      <c r="AD16" s="13">
        <v>1523</v>
      </c>
      <c r="AE16" s="13">
        <v>1196</v>
      </c>
      <c r="AF16" s="13">
        <v>539</v>
      </c>
      <c r="AG16" s="13">
        <v>473</v>
      </c>
      <c r="AH16" s="13">
        <v>492</v>
      </c>
      <c r="AI16" s="13">
        <v>507</v>
      </c>
      <c r="AJ16" s="13">
        <v>608</v>
      </c>
    </row>
    <row r="17" spans="1:36" x14ac:dyDescent="0.3">
      <c r="A17" s="60" t="s">
        <v>46</v>
      </c>
      <c r="B17" s="73"/>
      <c r="C17" s="60">
        <v>3130061005</v>
      </c>
      <c r="D17" s="60" t="s">
        <v>364</v>
      </c>
      <c r="E17" s="60" t="s">
        <v>39</v>
      </c>
      <c r="F17" s="60" t="s">
        <v>35</v>
      </c>
      <c r="G17" s="60" t="s">
        <v>58</v>
      </c>
      <c r="H17" s="61">
        <v>44393</v>
      </c>
      <c r="I17" s="60">
        <f t="shared" si="0"/>
        <v>2021</v>
      </c>
      <c r="J17" s="60">
        <f t="shared" si="1"/>
        <v>7</v>
      </c>
      <c r="K17" s="60" t="str">
        <f t="shared" si="2"/>
        <v>2021_7</v>
      </c>
      <c r="L17" s="61" t="s">
        <v>37</v>
      </c>
      <c r="M17" s="11">
        <v>0</v>
      </c>
      <c r="N17" s="12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946</v>
      </c>
      <c r="Z17" s="13">
        <v>955</v>
      </c>
      <c r="AA17" s="13">
        <v>855</v>
      </c>
      <c r="AB17" s="13">
        <v>645</v>
      </c>
      <c r="AC17" s="13">
        <v>769</v>
      </c>
      <c r="AD17" s="13">
        <v>791</v>
      </c>
      <c r="AE17" s="13">
        <v>939</v>
      </c>
      <c r="AF17" s="13">
        <v>740</v>
      </c>
      <c r="AG17" s="13">
        <v>744</v>
      </c>
      <c r="AH17" s="13">
        <v>588</v>
      </c>
      <c r="AI17" s="13">
        <v>732</v>
      </c>
      <c r="AJ17" s="13">
        <v>717</v>
      </c>
    </row>
    <row r="18" spans="1:36" x14ac:dyDescent="0.3">
      <c r="A18" s="60" t="s">
        <v>41</v>
      </c>
      <c r="B18" s="73"/>
      <c r="C18" s="60">
        <v>3130062005</v>
      </c>
      <c r="D18" s="60" t="s">
        <v>364</v>
      </c>
      <c r="E18" s="60" t="s">
        <v>39</v>
      </c>
      <c r="F18" s="60" t="s">
        <v>35</v>
      </c>
      <c r="G18" s="60" t="s">
        <v>58</v>
      </c>
      <c r="H18" s="61">
        <v>44393</v>
      </c>
      <c r="I18" s="60">
        <f t="shared" si="0"/>
        <v>2021</v>
      </c>
      <c r="J18" s="60">
        <f t="shared" si="1"/>
        <v>7</v>
      </c>
      <c r="K18" s="60" t="str">
        <f t="shared" si="2"/>
        <v>2021_7</v>
      </c>
      <c r="L18" s="61" t="s">
        <v>37</v>
      </c>
      <c r="M18" s="11">
        <v>0</v>
      </c>
      <c r="N18" s="12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828</v>
      </c>
      <c r="Z18" s="13">
        <v>823</v>
      </c>
      <c r="AA18" s="13">
        <v>698</v>
      </c>
      <c r="AB18" s="13">
        <v>661</v>
      </c>
      <c r="AC18" s="13">
        <v>1041</v>
      </c>
      <c r="AD18" s="13">
        <v>1038</v>
      </c>
      <c r="AE18" s="13">
        <v>797</v>
      </c>
      <c r="AF18" s="13">
        <v>649</v>
      </c>
      <c r="AG18" s="13">
        <v>1082</v>
      </c>
      <c r="AH18" s="13">
        <v>1167</v>
      </c>
      <c r="AI18" s="13">
        <v>837</v>
      </c>
      <c r="AJ18" s="13">
        <v>496</v>
      </c>
    </row>
    <row r="19" spans="1:36" x14ac:dyDescent="0.3">
      <c r="A19" s="16" t="s">
        <v>33</v>
      </c>
      <c r="B19" s="73"/>
      <c r="C19" s="60">
        <v>3062400004</v>
      </c>
      <c r="D19" s="60" t="s">
        <v>365</v>
      </c>
      <c r="E19" s="60" t="s">
        <v>34</v>
      </c>
      <c r="F19" s="60" t="s">
        <v>35</v>
      </c>
      <c r="G19" s="60" t="s">
        <v>59</v>
      </c>
      <c r="H19" s="61">
        <v>44397</v>
      </c>
      <c r="I19" s="60">
        <f t="shared" si="0"/>
        <v>2021</v>
      </c>
      <c r="J19" s="60">
        <f t="shared" si="1"/>
        <v>7</v>
      </c>
      <c r="K19" s="60" t="str">
        <f t="shared" si="2"/>
        <v>2021_7</v>
      </c>
      <c r="L19" s="61" t="s">
        <v>37</v>
      </c>
      <c r="M19" s="11">
        <v>1032</v>
      </c>
      <c r="N19" s="14">
        <v>1282</v>
      </c>
      <c r="O19" s="13">
        <v>1015</v>
      </c>
      <c r="P19" s="13">
        <v>401</v>
      </c>
      <c r="Q19" s="13">
        <v>635</v>
      </c>
      <c r="R19" s="13">
        <v>1194</v>
      </c>
      <c r="S19" s="13">
        <v>1173</v>
      </c>
      <c r="T19" s="13">
        <v>307</v>
      </c>
      <c r="U19" s="13">
        <v>394</v>
      </c>
      <c r="V19" s="13">
        <v>256</v>
      </c>
      <c r="W19" s="13">
        <v>182</v>
      </c>
      <c r="X19" s="13">
        <v>199</v>
      </c>
      <c r="Y19" s="13">
        <v>262</v>
      </c>
      <c r="Z19" s="13">
        <v>515</v>
      </c>
      <c r="AA19" s="13">
        <v>923</v>
      </c>
      <c r="AB19" s="13">
        <v>466</v>
      </c>
      <c r="AC19" s="13">
        <v>605</v>
      </c>
      <c r="AD19" s="13">
        <v>907</v>
      </c>
      <c r="AE19" s="13">
        <v>993</v>
      </c>
      <c r="AF19" s="13">
        <v>862</v>
      </c>
      <c r="AG19" s="13">
        <v>881</v>
      </c>
      <c r="AH19" s="13">
        <v>484</v>
      </c>
      <c r="AI19" s="13">
        <v>314</v>
      </c>
      <c r="AJ19" s="13">
        <v>281</v>
      </c>
    </row>
    <row r="20" spans="1:36" x14ac:dyDescent="0.3">
      <c r="A20" s="60" t="s">
        <v>41</v>
      </c>
      <c r="B20" s="73"/>
      <c r="C20" s="60">
        <v>3131911004</v>
      </c>
      <c r="D20" s="60" t="s">
        <v>366</v>
      </c>
      <c r="E20" s="60" t="s">
        <v>39</v>
      </c>
      <c r="F20" s="60" t="s">
        <v>35</v>
      </c>
      <c r="G20" s="60" t="s">
        <v>60</v>
      </c>
      <c r="H20" s="61">
        <v>44397</v>
      </c>
      <c r="I20" s="60">
        <f t="shared" si="0"/>
        <v>2021</v>
      </c>
      <c r="J20" s="60">
        <f t="shared" si="1"/>
        <v>7</v>
      </c>
      <c r="K20" s="60" t="str">
        <f t="shared" si="2"/>
        <v>2021_7</v>
      </c>
      <c r="L20" s="61" t="s">
        <v>37</v>
      </c>
      <c r="M20" s="11">
        <v>0</v>
      </c>
      <c r="N20" s="12">
        <v>0</v>
      </c>
      <c r="O20" s="13">
        <v>0</v>
      </c>
      <c r="P20" s="13">
        <v>326</v>
      </c>
      <c r="Q20" s="13">
        <v>540</v>
      </c>
      <c r="R20" s="13">
        <v>745</v>
      </c>
      <c r="S20" s="13">
        <v>733</v>
      </c>
      <c r="T20" s="13">
        <v>709</v>
      </c>
      <c r="U20" s="13">
        <v>768</v>
      </c>
      <c r="V20" s="13">
        <v>623</v>
      </c>
      <c r="W20" s="13">
        <v>645</v>
      </c>
      <c r="X20" s="13">
        <v>578</v>
      </c>
      <c r="Y20" s="13">
        <v>769</v>
      </c>
      <c r="Z20" s="13">
        <v>991</v>
      </c>
      <c r="AA20" s="13">
        <v>704</v>
      </c>
      <c r="AB20" s="13">
        <v>580</v>
      </c>
      <c r="AC20" s="13">
        <v>838</v>
      </c>
      <c r="AD20" s="13">
        <v>996</v>
      </c>
      <c r="AE20" s="13">
        <v>1165</v>
      </c>
      <c r="AF20" s="13">
        <v>1057</v>
      </c>
      <c r="AG20" s="13">
        <v>975</v>
      </c>
      <c r="AH20" s="13">
        <v>821</v>
      </c>
      <c r="AI20" s="13">
        <v>749</v>
      </c>
      <c r="AJ20" s="13">
        <v>615</v>
      </c>
    </row>
    <row r="21" spans="1:36" x14ac:dyDescent="0.3">
      <c r="A21" s="62" t="s">
        <v>46</v>
      </c>
      <c r="B21" s="73"/>
      <c r="C21" s="60">
        <v>3010174002</v>
      </c>
      <c r="D21" s="60" t="s">
        <v>367</v>
      </c>
      <c r="E21" s="60" t="s">
        <v>34</v>
      </c>
      <c r="F21" s="60" t="s">
        <v>35</v>
      </c>
      <c r="G21" s="60" t="s">
        <v>61</v>
      </c>
      <c r="H21" s="61">
        <v>44398</v>
      </c>
      <c r="I21" s="60">
        <f t="shared" si="0"/>
        <v>2021</v>
      </c>
      <c r="J21" s="60">
        <f t="shared" si="1"/>
        <v>7</v>
      </c>
      <c r="K21" s="60" t="str">
        <f t="shared" si="2"/>
        <v>2021_7</v>
      </c>
      <c r="L21" s="61" t="s">
        <v>37</v>
      </c>
      <c r="M21" s="11"/>
      <c r="N21" s="12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415</v>
      </c>
      <c r="W21" s="13">
        <v>429</v>
      </c>
      <c r="X21" s="13">
        <v>443</v>
      </c>
      <c r="Y21" s="13">
        <v>682</v>
      </c>
      <c r="Z21" s="13">
        <v>641</v>
      </c>
      <c r="AA21" s="13">
        <v>658</v>
      </c>
      <c r="AB21" s="13">
        <v>441</v>
      </c>
      <c r="AC21" s="13">
        <v>556</v>
      </c>
      <c r="AD21" s="13">
        <v>1327</v>
      </c>
      <c r="AE21" s="13">
        <v>944</v>
      </c>
      <c r="AF21" s="13">
        <v>601</v>
      </c>
      <c r="AG21" s="13">
        <v>737</v>
      </c>
      <c r="AH21" s="13">
        <v>737</v>
      </c>
      <c r="AI21" s="13">
        <v>655</v>
      </c>
      <c r="AJ21" s="13">
        <v>685</v>
      </c>
    </row>
    <row r="22" spans="1:36" x14ac:dyDescent="0.3">
      <c r="A22" s="62" t="s">
        <v>41</v>
      </c>
      <c r="B22" s="73"/>
      <c r="C22" s="60">
        <v>3130548000</v>
      </c>
      <c r="D22" s="60" t="s">
        <v>368</v>
      </c>
      <c r="E22" s="60" t="s">
        <v>39</v>
      </c>
      <c r="F22" s="60" t="s">
        <v>35</v>
      </c>
      <c r="G22" s="60" t="s">
        <v>62</v>
      </c>
      <c r="H22" s="61">
        <v>44398</v>
      </c>
      <c r="I22" s="60">
        <f t="shared" si="0"/>
        <v>2021</v>
      </c>
      <c r="J22" s="60">
        <f t="shared" si="1"/>
        <v>7</v>
      </c>
      <c r="K22" s="60" t="str">
        <f t="shared" si="2"/>
        <v>2021_7</v>
      </c>
      <c r="L22" s="61" t="s">
        <v>37</v>
      </c>
      <c r="M22" s="11">
        <v>2241</v>
      </c>
      <c r="N22" s="12">
        <v>2494</v>
      </c>
      <c r="O22" s="13">
        <v>1381</v>
      </c>
      <c r="P22" s="13">
        <v>1124</v>
      </c>
      <c r="Q22" s="13">
        <v>965</v>
      </c>
      <c r="R22" s="13">
        <v>1288</v>
      </c>
      <c r="S22" s="13">
        <v>1039</v>
      </c>
      <c r="T22" s="13">
        <v>1264</v>
      </c>
      <c r="U22" s="13">
        <v>1206</v>
      </c>
      <c r="V22" s="13">
        <v>1200</v>
      </c>
      <c r="W22" s="13">
        <v>1255</v>
      </c>
      <c r="X22" s="13">
        <v>1614</v>
      </c>
      <c r="Y22" s="13">
        <v>1717</v>
      </c>
      <c r="Z22" s="13">
        <v>1738</v>
      </c>
      <c r="AA22" s="13">
        <v>1347</v>
      </c>
      <c r="AB22" s="13">
        <v>888</v>
      </c>
      <c r="AC22" s="13">
        <v>1130</v>
      </c>
      <c r="AD22" s="13">
        <v>1273</v>
      </c>
      <c r="AE22" s="13">
        <v>1902</v>
      </c>
      <c r="AF22" s="13">
        <v>1753</v>
      </c>
      <c r="AG22" s="13">
        <v>1394</v>
      </c>
      <c r="AH22" s="13">
        <v>966</v>
      </c>
      <c r="AI22" s="13">
        <v>1697</v>
      </c>
      <c r="AJ22" s="13">
        <v>1326</v>
      </c>
    </row>
    <row r="23" spans="1:36" x14ac:dyDescent="0.3">
      <c r="A23" s="60" t="s">
        <v>55</v>
      </c>
      <c r="B23" s="73"/>
      <c r="C23" s="60">
        <v>3012241001</v>
      </c>
      <c r="D23" s="60" t="s">
        <v>369</v>
      </c>
      <c r="E23" s="60" t="s">
        <v>34</v>
      </c>
      <c r="F23" s="60" t="s">
        <v>35</v>
      </c>
      <c r="G23" s="60" t="s">
        <v>63</v>
      </c>
      <c r="H23" s="61">
        <v>44399</v>
      </c>
      <c r="I23" s="60">
        <f t="shared" si="0"/>
        <v>2021</v>
      </c>
      <c r="J23" s="60">
        <f t="shared" si="1"/>
        <v>7</v>
      </c>
      <c r="K23" s="60" t="str">
        <f t="shared" si="2"/>
        <v>2021_7</v>
      </c>
      <c r="L23" s="61" t="s">
        <v>37</v>
      </c>
      <c r="M23" s="11">
        <v>1236</v>
      </c>
      <c r="N23" s="12">
        <v>1155</v>
      </c>
      <c r="O23" s="13">
        <v>1051</v>
      </c>
      <c r="P23" s="13">
        <v>629</v>
      </c>
      <c r="Q23" s="13">
        <v>650</v>
      </c>
      <c r="R23" s="13">
        <v>652</v>
      </c>
      <c r="S23" s="13">
        <v>859</v>
      </c>
      <c r="T23" s="13">
        <v>671</v>
      </c>
      <c r="U23" s="13">
        <v>615</v>
      </c>
      <c r="V23" s="13">
        <v>479</v>
      </c>
      <c r="W23" s="13">
        <v>474</v>
      </c>
      <c r="X23" s="13">
        <v>909</v>
      </c>
      <c r="Y23" s="13">
        <v>1232</v>
      </c>
      <c r="Z23" s="13">
        <v>1156</v>
      </c>
      <c r="AA23" s="13">
        <v>1015</v>
      </c>
      <c r="AB23" s="13">
        <v>839</v>
      </c>
      <c r="AC23" s="13">
        <v>1107</v>
      </c>
      <c r="AD23" s="13">
        <v>1749</v>
      </c>
      <c r="AE23" s="13">
        <v>1450</v>
      </c>
      <c r="AF23" s="13">
        <v>1241</v>
      </c>
      <c r="AG23" s="13">
        <v>1355</v>
      </c>
      <c r="AH23" s="13">
        <v>1004</v>
      </c>
      <c r="AI23" s="13">
        <v>715</v>
      </c>
      <c r="AJ23" s="13">
        <v>1026</v>
      </c>
    </row>
    <row r="24" spans="1:36" x14ac:dyDescent="0.3">
      <c r="A24" s="8" t="s">
        <v>33</v>
      </c>
      <c r="B24" s="73"/>
      <c r="C24" s="60">
        <v>3040859000</v>
      </c>
      <c r="D24" s="60" t="s">
        <v>370</v>
      </c>
      <c r="E24" s="60" t="s">
        <v>34</v>
      </c>
      <c r="F24" s="60" t="s">
        <v>35</v>
      </c>
      <c r="G24" s="60" t="s">
        <v>64</v>
      </c>
      <c r="H24" s="61">
        <v>44403</v>
      </c>
      <c r="I24" s="60">
        <f t="shared" si="0"/>
        <v>2021</v>
      </c>
      <c r="J24" s="60">
        <f t="shared" si="1"/>
        <v>7</v>
      </c>
      <c r="K24" s="60" t="str">
        <f t="shared" si="2"/>
        <v>2021_7</v>
      </c>
      <c r="L24" s="61" t="s">
        <v>37</v>
      </c>
      <c r="M24" s="11">
        <v>540</v>
      </c>
      <c r="N24" s="12">
        <v>640</v>
      </c>
      <c r="O24" s="13">
        <v>474</v>
      </c>
      <c r="P24" s="13">
        <v>346</v>
      </c>
      <c r="Q24" s="13">
        <v>344</v>
      </c>
      <c r="R24" s="13">
        <v>386</v>
      </c>
      <c r="S24" s="13">
        <v>365</v>
      </c>
      <c r="T24" s="13">
        <v>322</v>
      </c>
      <c r="U24" s="13">
        <v>320</v>
      </c>
      <c r="V24" s="13">
        <v>322</v>
      </c>
      <c r="W24" s="13">
        <v>389</v>
      </c>
      <c r="X24" s="13">
        <v>424</v>
      </c>
      <c r="Y24" s="13">
        <v>485</v>
      </c>
      <c r="Z24" s="13">
        <v>393</v>
      </c>
      <c r="AA24" s="13">
        <v>540</v>
      </c>
      <c r="AB24" s="13">
        <v>341</v>
      </c>
      <c r="AC24" s="13">
        <v>317</v>
      </c>
      <c r="AD24" s="13">
        <v>456</v>
      </c>
      <c r="AE24" s="13">
        <v>518</v>
      </c>
      <c r="AF24" s="13">
        <v>361</v>
      </c>
      <c r="AG24" s="13">
        <v>355</v>
      </c>
      <c r="AH24" s="13">
        <v>354</v>
      </c>
      <c r="AI24" s="13">
        <v>322</v>
      </c>
      <c r="AJ24" s="13">
        <v>319</v>
      </c>
    </row>
    <row r="25" spans="1:36" x14ac:dyDescent="0.3">
      <c r="A25" s="62" t="s">
        <v>41</v>
      </c>
      <c r="B25" s="73"/>
      <c r="C25" s="60">
        <v>3020142000</v>
      </c>
      <c r="D25" s="60" t="s">
        <v>353</v>
      </c>
      <c r="E25" s="60" t="s">
        <v>34</v>
      </c>
      <c r="F25" s="60" t="s">
        <v>35</v>
      </c>
      <c r="G25" s="60" t="s">
        <v>65</v>
      </c>
      <c r="H25" s="61">
        <v>44407</v>
      </c>
      <c r="I25" s="60">
        <f t="shared" si="0"/>
        <v>2021</v>
      </c>
      <c r="J25" s="60">
        <f t="shared" si="1"/>
        <v>7</v>
      </c>
      <c r="K25" s="60" t="str">
        <f t="shared" si="2"/>
        <v>2021_7</v>
      </c>
      <c r="L25" s="61" t="s">
        <v>37</v>
      </c>
      <c r="M25" s="11">
        <v>307</v>
      </c>
      <c r="N25" s="12">
        <v>477</v>
      </c>
      <c r="O25" s="13">
        <v>427</v>
      </c>
      <c r="P25" s="13">
        <v>325</v>
      </c>
      <c r="Q25" s="13">
        <v>475</v>
      </c>
      <c r="R25" s="13">
        <v>406</v>
      </c>
      <c r="S25" s="13">
        <v>403</v>
      </c>
      <c r="T25" s="13">
        <v>399</v>
      </c>
      <c r="U25" s="13">
        <v>386</v>
      </c>
      <c r="V25" s="13">
        <v>247</v>
      </c>
      <c r="W25" s="13">
        <v>353</v>
      </c>
      <c r="X25" s="13">
        <v>338</v>
      </c>
      <c r="Y25" s="13">
        <v>352</v>
      </c>
      <c r="Z25" s="13">
        <v>452</v>
      </c>
      <c r="AA25" s="13">
        <v>521</v>
      </c>
      <c r="AB25" s="13">
        <v>406</v>
      </c>
      <c r="AC25" s="13">
        <v>540</v>
      </c>
      <c r="AD25" s="13">
        <v>485</v>
      </c>
      <c r="AE25" s="13">
        <v>465</v>
      </c>
      <c r="AF25" s="13">
        <v>502</v>
      </c>
      <c r="AG25" s="13">
        <v>314</v>
      </c>
      <c r="AH25" s="13">
        <v>156</v>
      </c>
      <c r="AI25" s="13">
        <v>413</v>
      </c>
      <c r="AJ25" s="13">
        <v>345</v>
      </c>
    </row>
    <row r="26" spans="1:36" x14ac:dyDescent="0.3">
      <c r="A26" s="62" t="s">
        <v>41</v>
      </c>
      <c r="B26" s="73"/>
      <c r="C26" s="60">
        <v>3131435001</v>
      </c>
      <c r="D26" s="60" t="s">
        <v>371</v>
      </c>
      <c r="E26" s="60" t="s">
        <v>39</v>
      </c>
      <c r="F26" s="60" t="s">
        <v>35</v>
      </c>
      <c r="G26" s="60" t="s">
        <v>66</v>
      </c>
      <c r="H26" s="61">
        <v>44407</v>
      </c>
      <c r="I26" s="60">
        <f t="shared" si="0"/>
        <v>2021</v>
      </c>
      <c r="J26" s="60">
        <f t="shared" si="1"/>
        <v>7</v>
      </c>
      <c r="K26" s="60" t="str">
        <f t="shared" si="2"/>
        <v>2021_7</v>
      </c>
      <c r="L26" s="61" t="s">
        <v>37</v>
      </c>
      <c r="M26" s="11">
        <v>390</v>
      </c>
      <c r="N26" s="12">
        <v>460</v>
      </c>
      <c r="O26" s="13">
        <v>378</v>
      </c>
      <c r="P26" s="13">
        <v>312</v>
      </c>
      <c r="Q26" s="13">
        <v>449</v>
      </c>
      <c r="R26" s="13">
        <v>620</v>
      </c>
      <c r="S26" s="13">
        <v>512</v>
      </c>
      <c r="T26" s="13">
        <v>423</v>
      </c>
      <c r="U26" s="13">
        <v>471</v>
      </c>
      <c r="V26" s="13">
        <v>405</v>
      </c>
      <c r="W26" s="13">
        <v>380</v>
      </c>
      <c r="X26" s="13">
        <v>392</v>
      </c>
      <c r="Y26" s="13">
        <v>398</v>
      </c>
      <c r="Z26" s="13">
        <v>488</v>
      </c>
      <c r="AA26" s="13">
        <v>281</v>
      </c>
      <c r="AB26" s="13">
        <v>367</v>
      </c>
      <c r="AC26" s="13">
        <v>476</v>
      </c>
      <c r="AD26" s="13">
        <v>548</v>
      </c>
      <c r="AE26" s="13">
        <v>566</v>
      </c>
      <c r="AF26" s="13">
        <v>461</v>
      </c>
      <c r="AG26" s="13">
        <v>444</v>
      </c>
      <c r="AH26" s="13">
        <v>431</v>
      </c>
      <c r="AI26" s="13">
        <v>419</v>
      </c>
      <c r="AJ26" s="13">
        <v>406</v>
      </c>
    </row>
    <row r="27" spans="1:36" x14ac:dyDescent="0.3">
      <c r="A27" s="18" t="s">
        <v>33</v>
      </c>
      <c r="B27" s="73"/>
      <c r="C27" s="60">
        <v>3050616002</v>
      </c>
      <c r="D27" s="63" t="s">
        <v>372</v>
      </c>
      <c r="E27" s="63" t="s">
        <v>34</v>
      </c>
      <c r="F27" s="63" t="s">
        <v>35</v>
      </c>
      <c r="G27" s="63" t="s">
        <v>67</v>
      </c>
      <c r="H27" s="61">
        <v>44418</v>
      </c>
      <c r="I27" s="60">
        <f t="shared" si="0"/>
        <v>2021</v>
      </c>
      <c r="J27" s="60">
        <f t="shared" si="1"/>
        <v>8</v>
      </c>
      <c r="K27" s="60" t="str">
        <f t="shared" si="2"/>
        <v>2021_8</v>
      </c>
      <c r="L27" s="61" t="s">
        <v>37</v>
      </c>
      <c r="M27" s="20">
        <v>1008</v>
      </c>
      <c r="N27" s="20">
        <v>866</v>
      </c>
      <c r="O27" s="20">
        <v>527</v>
      </c>
      <c r="P27" s="20">
        <v>482</v>
      </c>
      <c r="Q27" s="20">
        <v>470</v>
      </c>
      <c r="R27" s="20">
        <v>445</v>
      </c>
      <c r="S27" s="20">
        <v>404</v>
      </c>
      <c r="T27" s="20">
        <v>392</v>
      </c>
      <c r="U27" s="20">
        <v>456</v>
      </c>
      <c r="V27" s="20">
        <v>490</v>
      </c>
      <c r="W27" s="20">
        <v>609</v>
      </c>
      <c r="X27" s="20">
        <v>890</v>
      </c>
      <c r="Y27" s="20">
        <v>859</v>
      </c>
      <c r="Z27" s="20">
        <v>893</v>
      </c>
      <c r="AA27" s="20">
        <v>651</v>
      </c>
      <c r="AB27" s="20">
        <v>501</v>
      </c>
      <c r="AC27" s="20">
        <v>467</v>
      </c>
      <c r="AD27" s="20">
        <v>470</v>
      </c>
      <c r="AE27" s="20">
        <v>430</v>
      </c>
      <c r="AF27" s="20">
        <v>467</v>
      </c>
      <c r="AG27" s="20">
        <v>490</v>
      </c>
      <c r="AH27" s="13">
        <v>462</v>
      </c>
      <c r="AI27" s="13">
        <v>802</v>
      </c>
      <c r="AJ27" s="13">
        <v>745</v>
      </c>
    </row>
    <row r="28" spans="1:36" x14ac:dyDescent="0.3">
      <c r="A28" s="60" t="s">
        <v>55</v>
      </c>
      <c r="B28" s="73"/>
      <c r="C28" s="60">
        <v>3062480000</v>
      </c>
      <c r="D28" s="60" t="s">
        <v>373</v>
      </c>
      <c r="E28" s="60" t="s">
        <v>34</v>
      </c>
      <c r="F28" s="60" t="s">
        <v>35</v>
      </c>
      <c r="G28" s="60" t="s">
        <v>68</v>
      </c>
      <c r="H28" s="61">
        <v>44420</v>
      </c>
      <c r="I28" s="60">
        <f t="shared" si="0"/>
        <v>2021</v>
      </c>
      <c r="J28" s="60">
        <f t="shared" si="1"/>
        <v>8</v>
      </c>
      <c r="K28" s="60" t="str">
        <f t="shared" si="2"/>
        <v>2021_8</v>
      </c>
      <c r="L28" s="61" t="s">
        <v>37</v>
      </c>
      <c r="M28" s="11">
        <v>1880</v>
      </c>
      <c r="N28" s="21">
        <v>2009</v>
      </c>
      <c r="O28" s="13">
        <v>1005</v>
      </c>
      <c r="P28" s="13">
        <v>945</v>
      </c>
      <c r="Q28" s="13">
        <v>1209</v>
      </c>
      <c r="R28" s="13">
        <v>1421</v>
      </c>
      <c r="S28" s="13">
        <v>1334</v>
      </c>
      <c r="T28" s="13">
        <v>1421</v>
      </c>
      <c r="U28" s="13">
        <v>997</v>
      </c>
      <c r="V28" s="13">
        <v>836</v>
      </c>
      <c r="W28" s="13">
        <v>1551</v>
      </c>
      <c r="X28" s="13">
        <v>1629</v>
      </c>
      <c r="Y28" s="13">
        <v>1601</v>
      </c>
      <c r="Z28" s="13">
        <v>1804</v>
      </c>
      <c r="AA28" s="13">
        <v>1092</v>
      </c>
      <c r="AB28" s="13">
        <v>668</v>
      </c>
      <c r="AC28" s="13">
        <v>1079</v>
      </c>
      <c r="AD28" s="13">
        <v>1304</v>
      </c>
      <c r="AE28" s="13">
        <v>1111</v>
      </c>
      <c r="AF28" s="13">
        <v>1156</v>
      </c>
      <c r="AG28" s="13">
        <v>895</v>
      </c>
      <c r="AH28" s="13">
        <v>903</v>
      </c>
      <c r="AI28" s="13">
        <v>1495</v>
      </c>
      <c r="AJ28" s="13">
        <v>1636</v>
      </c>
    </row>
    <row r="29" spans="1:36" x14ac:dyDescent="0.3">
      <c r="A29" s="60" t="s">
        <v>41</v>
      </c>
      <c r="B29" s="73"/>
      <c r="C29" s="60">
        <v>3040465001</v>
      </c>
      <c r="D29" s="60" t="s">
        <v>374</v>
      </c>
      <c r="E29" s="60" t="s">
        <v>34</v>
      </c>
      <c r="F29" s="60" t="s">
        <v>35</v>
      </c>
      <c r="G29" s="60" t="s">
        <v>69</v>
      </c>
      <c r="H29" s="61">
        <v>44427</v>
      </c>
      <c r="I29" s="60">
        <f t="shared" si="0"/>
        <v>2021</v>
      </c>
      <c r="J29" s="60">
        <f t="shared" si="1"/>
        <v>8</v>
      </c>
      <c r="K29" s="60" t="str">
        <f t="shared" si="2"/>
        <v>2021_8</v>
      </c>
      <c r="L29" s="61" t="s">
        <v>37</v>
      </c>
      <c r="M29" s="11">
        <v>422</v>
      </c>
      <c r="N29" s="21">
        <v>271</v>
      </c>
      <c r="O29" s="13">
        <v>205</v>
      </c>
      <c r="P29" s="13">
        <v>233</v>
      </c>
      <c r="Q29" s="13">
        <v>252</v>
      </c>
      <c r="R29" s="13">
        <v>267</v>
      </c>
      <c r="S29" s="13">
        <v>282</v>
      </c>
      <c r="T29" s="13">
        <v>293</v>
      </c>
      <c r="U29" s="13">
        <v>233</v>
      </c>
      <c r="V29" s="13">
        <v>209</v>
      </c>
      <c r="W29" s="13">
        <v>189</v>
      </c>
      <c r="X29" s="13">
        <v>247</v>
      </c>
      <c r="Y29" s="13">
        <v>304</v>
      </c>
      <c r="Z29" s="13">
        <v>394</v>
      </c>
      <c r="AA29" s="13">
        <v>283</v>
      </c>
      <c r="AB29" s="13">
        <v>277</v>
      </c>
      <c r="AC29" s="13">
        <v>631</v>
      </c>
      <c r="AD29" s="13">
        <v>605</v>
      </c>
      <c r="AE29" s="13">
        <v>365</v>
      </c>
      <c r="AF29" s="13">
        <v>326</v>
      </c>
      <c r="AG29" s="13">
        <v>310</v>
      </c>
      <c r="AH29" s="13">
        <v>297</v>
      </c>
      <c r="AI29" s="13">
        <v>289</v>
      </c>
      <c r="AJ29" s="13">
        <v>345</v>
      </c>
    </row>
    <row r="30" spans="1:36" x14ac:dyDescent="0.3">
      <c r="A30" s="8" t="s">
        <v>33</v>
      </c>
      <c r="B30" s="73"/>
      <c r="C30" s="60">
        <v>3121487003</v>
      </c>
      <c r="D30" s="60" t="s">
        <v>375</v>
      </c>
      <c r="E30" s="60" t="s">
        <v>39</v>
      </c>
      <c r="F30" s="60" t="s">
        <v>35</v>
      </c>
      <c r="G30" s="60" t="s">
        <v>70</v>
      </c>
      <c r="H30" s="61">
        <v>44431</v>
      </c>
      <c r="I30" s="60">
        <f t="shared" si="0"/>
        <v>2021</v>
      </c>
      <c r="J30" s="60">
        <f t="shared" si="1"/>
        <v>8</v>
      </c>
      <c r="K30" s="60" t="str">
        <f t="shared" si="2"/>
        <v>2021_8</v>
      </c>
      <c r="L30" s="61" t="s">
        <v>37</v>
      </c>
      <c r="M30" s="11">
        <v>0</v>
      </c>
      <c r="N30" s="12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15</v>
      </c>
      <c r="Y30" s="13">
        <v>297</v>
      </c>
      <c r="Z30" s="13">
        <v>230</v>
      </c>
      <c r="AA30" s="13">
        <v>443</v>
      </c>
      <c r="AB30" s="13">
        <v>756</v>
      </c>
      <c r="AC30" s="13">
        <v>1378</v>
      </c>
      <c r="AD30" s="13">
        <v>1832</v>
      </c>
      <c r="AE30" s="13">
        <v>1908</v>
      </c>
      <c r="AF30" s="13">
        <v>1386</v>
      </c>
      <c r="AG30" s="13">
        <v>985</v>
      </c>
      <c r="AH30" s="13">
        <v>799</v>
      </c>
      <c r="AI30" s="13">
        <v>645</v>
      </c>
      <c r="AJ30" s="13">
        <v>800</v>
      </c>
    </row>
    <row r="31" spans="1:36" x14ac:dyDescent="0.3">
      <c r="A31" s="8" t="s">
        <v>33</v>
      </c>
      <c r="B31" s="73"/>
      <c r="C31" s="60">
        <v>3150567002</v>
      </c>
      <c r="D31" s="60" t="s">
        <v>350</v>
      </c>
      <c r="E31" s="60" t="s">
        <v>43</v>
      </c>
      <c r="F31" s="60" t="s">
        <v>35</v>
      </c>
      <c r="G31" s="60" t="s">
        <v>71</v>
      </c>
      <c r="H31" s="61">
        <v>44431</v>
      </c>
      <c r="I31" s="60">
        <f t="shared" si="0"/>
        <v>2021</v>
      </c>
      <c r="J31" s="60">
        <f t="shared" si="1"/>
        <v>8</v>
      </c>
      <c r="K31" s="60" t="str">
        <f t="shared" si="2"/>
        <v>2021_8</v>
      </c>
      <c r="L31" s="61" t="s">
        <v>37</v>
      </c>
      <c r="M31" s="11">
        <v>1136</v>
      </c>
      <c r="N31" s="12">
        <v>1168</v>
      </c>
      <c r="O31" s="13">
        <v>988</v>
      </c>
      <c r="P31" s="13">
        <v>643</v>
      </c>
      <c r="Q31" s="13">
        <v>823</v>
      </c>
      <c r="R31" s="13">
        <v>707</v>
      </c>
      <c r="S31" s="13">
        <v>712</v>
      </c>
      <c r="T31" s="13">
        <v>653</v>
      </c>
      <c r="U31" s="13">
        <v>621</v>
      </c>
      <c r="V31" s="13">
        <v>766</v>
      </c>
      <c r="W31" s="13">
        <v>1119</v>
      </c>
      <c r="X31" s="13">
        <v>1169</v>
      </c>
      <c r="Y31" s="13">
        <v>1042</v>
      </c>
      <c r="Z31" s="13">
        <v>992</v>
      </c>
      <c r="AA31" s="13">
        <v>545</v>
      </c>
      <c r="AB31" s="13">
        <v>634</v>
      </c>
      <c r="AC31" s="13">
        <v>764</v>
      </c>
      <c r="AD31" s="13">
        <v>729</v>
      </c>
      <c r="AE31" s="13">
        <v>756</v>
      </c>
      <c r="AF31" s="13">
        <v>666</v>
      </c>
      <c r="AG31" s="13">
        <v>580</v>
      </c>
      <c r="AH31" s="13">
        <v>1528</v>
      </c>
      <c r="AI31" s="13">
        <v>1951</v>
      </c>
      <c r="AJ31" s="13">
        <v>1768</v>
      </c>
    </row>
    <row r="32" spans="1:36" x14ac:dyDescent="0.3">
      <c r="A32" s="60" t="s">
        <v>46</v>
      </c>
      <c r="B32" s="73"/>
      <c r="C32" s="60">
        <v>3080924002</v>
      </c>
      <c r="D32" s="60" t="s">
        <v>376</v>
      </c>
      <c r="E32" s="60" t="s">
        <v>34</v>
      </c>
      <c r="F32" s="60" t="s">
        <v>35</v>
      </c>
      <c r="G32" s="60" t="s">
        <v>72</v>
      </c>
      <c r="H32" s="61">
        <v>44432</v>
      </c>
      <c r="I32" s="60">
        <f t="shared" si="0"/>
        <v>2021</v>
      </c>
      <c r="J32" s="60">
        <f t="shared" si="1"/>
        <v>8</v>
      </c>
      <c r="K32" s="60" t="str">
        <f t="shared" si="2"/>
        <v>2021_8</v>
      </c>
      <c r="L32" s="61" t="s">
        <v>37</v>
      </c>
      <c r="M32" s="11">
        <v>0</v>
      </c>
      <c r="N32" s="17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367</v>
      </c>
      <c r="X32" s="13">
        <v>533</v>
      </c>
      <c r="Y32" s="13">
        <v>686</v>
      </c>
      <c r="Z32" s="13">
        <v>895</v>
      </c>
      <c r="AA32" s="13">
        <v>928</v>
      </c>
      <c r="AB32" s="13">
        <v>2198</v>
      </c>
      <c r="AC32" s="13">
        <v>2196</v>
      </c>
      <c r="AD32" s="13">
        <v>2126</v>
      </c>
      <c r="AE32" s="13">
        <v>1340</v>
      </c>
      <c r="AF32" s="13">
        <v>1384</v>
      </c>
      <c r="AG32" s="13">
        <v>1544</v>
      </c>
      <c r="AH32" s="13">
        <v>1290</v>
      </c>
      <c r="AI32" s="13">
        <v>656</v>
      </c>
      <c r="AJ32" s="13">
        <v>880</v>
      </c>
    </row>
    <row r="33" spans="1:36" x14ac:dyDescent="0.3">
      <c r="A33" s="60" t="s">
        <v>55</v>
      </c>
      <c r="B33" s="73"/>
      <c r="C33" s="60">
        <v>3140412000</v>
      </c>
      <c r="D33" s="60" t="s">
        <v>377</v>
      </c>
      <c r="E33" s="60" t="s">
        <v>43</v>
      </c>
      <c r="F33" s="60" t="s">
        <v>35</v>
      </c>
      <c r="G33" s="60" t="s">
        <v>73</v>
      </c>
      <c r="H33" s="61">
        <v>44434</v>
      </c>
      <c r="I33" s="60">
        <f t="shared" si="0"/>
        <v>2021</v>
      </c>
      <c r="J33" s="60">
        <f t="shared" si="1"/>
        <v>8</v>
      </c>
      <c r="K33" s="60" t="str">
        <f t="shared" si="2"/>
        <v>2021_8</v>
      </c>
      <c r="L33" s="61" t="s">
        <v>37</v>
      </c>
      <c r="M33" s="11">
        <v>2980</v>
      </c>
      <c r="N33" s="17">
        <v>1967</v>
      </c>
      <c r="O33" s="13">
        <v>1988</v>
      </c>
      <c r="P33" s="13">
        <v>2315</v>
      </c>
      <c r="Q33" s="13">
        <v>3333</v>
      </c>
      <c r="R33" s="13">
        <v>3187</v>
      </c>
      <c r="S33" s="13">
        <v>3579</v>
      </c>
      <c r="T33" s="13">
        <v>2624</v>
      </c>
      <c r="U33" s="13">
        <v>1359</v>
      </c>
      <c r="V33" s="13">
        <v>1194</v>
      </c>
      <c r="W33" s="13">
        <v>2548</v>
      </c>
      <c r="X33" s="13">
        <v>2529</v>
      </c>
      <c r="Y33" s="13">
        <v>2233</v>
      </c>
      <c r="Z33" s="13">
        <v>1852</v>
      </c>
      <c r="AA33" s="13">
        <v>1181</v>
      </c>
      <c r="AB33" s="13">
        <v>1469</v>
      </c>
      <c r="AC33" s="13">
        <v>1663</v>
      </c>
      <c r="AD33" s="13">
        <v>2003</v>
      </c>
      <c r="AE33" s="13">
        <v>1769</v>
      </c>
      <c r="AF33" s="13">
        <v>1268</v>
      </c>
      <c r="AG33" s="13">
        <v>978</v>
      </c>
      <c r="AH33" s="13">
        <v>1383</v>
      </c>
      <c r="AI33" s="13">
        <v>1376</v>
      </c>
      <c r="AJ33" s="13">
        <v>1928</v>
      </c>
    </row>
    <row r="34" spans="1:36" x14ac:dyDescent="0.3">
      <c r="A34" s="8" t="s">
        <v>33</v>
      </c>
      <c r="B34" s="73"/>
      <c r="C34" s="60">
        <v>3141115000</v>
      </c>
      <c r="D34" s="60" t="s">
        <v>378</v>
      </c>
      <c r="E34" s="60" t="s">
        <v>43</v>
      </c>
      <c r="F34" s="60" t="s">
        <v>35</v>
      </c>
      <c r="G34" s="60" t="s">
        <v>74</v>
      </c>
      <c r="H34" s="61">
        <v>44439</v>
      </c>
      <c r="I34" s="60">
        <f t="shared" si="0"/>
        <v>2021</v>
      </c>
      <c r="J34" s="60">
        <f t="shared" si="1"/>
        <v>8</v>
      </c>
      <c r="K34" s="60" t="str">
        <f t="shared" si="2"/>
        <v>2021_8</v>
      </c>
      <c r="L34" s="61" t="s">
        <v>37</v>
      </c>
      <c r="M34" s="11">
        <v>897</v>
      </c>
      <c r="N34" s="17">
        <v>673</v>
      </c>
      <c r="O34" s="13">
        <v>569</v>
      </c>
      <c r="P34" s="13">
        <v>697</v>
      </c>
      <c r="Q34" s="13">
        <v>694</v>
      </c>
      <c r="R34" s="13">
        <v>746</v>
      </c>
      <c r="S34" s="13">
        <v>736</v>
      </c>
      <c r="T34" s="13">
        <v>694</v>
      </c>
      <c r="U34" s="13">
        <v>564</v>
      </c>
      <c r="V34" s="13">
        <v>667</v>
      </c>
      <c r="W34" s="13">
        <v>755</v>
      </c>
      <c r="X34" s="13">
        <v>881</v>
      </c>
      <c r="Y34" s="13">
        <v>823</v>
      </c>
      <c r="Z34" s="13">
        <v>698</v>
      </c>
      <c r="AA34" s="13">
        <v>593</v>
      </c>
      <c r="AB34" s="13">
        <v>603</v>
      </c>
      <c r="AC34" s="13">
        <v>591</v>
      </c>
      <c r="AD34" s="13">
        <v>834</v>
      </c>
      <c r="AE34" s="13">
        <v>683</v>
      </c>
      <c r="AF34" s="13">
        <v>685</v>
      </c>
      <c r="AG34" s="13">
        <v>639</v>
      </c>
      <c r="AH34" s="13">
        <v>523</v>
      </c>
      <c r="AI34" s="13">
        <v>572</v>
      </c>
      <c r="AJ34" s="13">
        <v>804</v>
      </c>
    </row>
    <row r="35" spans="1:36" x14ac:dyDescent="0.3">
      <c r="A35" s="60" t="s">
        <v>55</v>
      </c>
      <c r="B35" s="73"/>
      <c r="C35" s="60">
        <v>3031281001</v>
      </c>
      <c r="D35" s="60" t="s">
        <v>379</v>
      </c>
      <c r="E35" s="60" t="s">
        <v>34</v>
      </c>
      <c r="F35" s="60" t="s">
        <v>35</v>
      </c>
      <c r="G35" s="60" t="s">
        <v>75</v>
      </c>
      <c r="H35" s="61">
        <v>44440</v>
      </c>
      <c r="I35" s="60">
        <f t="shared" si="0"/>
        <v>2021</v>
      </c>
      <c r="J35" s="60">
        <f t="shared" si="1"/>
        <v>9</v>
      </c>
      <c r="K35" s="60" t="str">
        <f t="shared" si="2"/>
        <v>2021_9</v>
      </c>
      <c r="L35" s="61" t="s">
        <v>37</v>
      </c>
      <c r="M35" s="11">
        <v>0</v>
      </c>
      <c r="N35" s="17">
        <v>0</v>
      </c>
      <c r="O35" s="13">
        <v>0</v>
      </c>
      <c r="P35" s="13">
        <v>0</v>
      </c>
      <c r="Q35" s="13">
        <v>0</v>
      </c>
      <c r="R35" s="13">
        <v>0</v>
      </c>
      <c r="S35" s="13">
        <v>398</v>
      </c>
      <c r="T35" s="13">
        <v>633</v>
      </c>
      <c r="U35" s="13">
        <v>657</v>
      </c>
      <c r="V35" s="13">
        <v>799</v>
      </c>
      <c r="W35" s="13">
        <v>1064</v>
      </c>
      <c r="X35" s="13">
        <v>1198</v>
      </c>
      <c r="Y35" s="13">
        <v>1189</v>
      </c>
      <c r="Z35" s="13">
        <v>820</v>
      </c>
      <c r="AA35" s="13">
        <v>754</v>
      </c>
      <c r="AB35" s="13">
        <v>1345</v>
      </c>
      <c r="AC35" s="13">
        <v>1376</v>
      </c>
      <c r="AD35" s="13">
        <v>923</v>
      </c>
      <c r="AE35" s="13">
        <v>735</v>
      </c>
      <c r="AF35" s="13">
        <v>895</v>
      </c>
      <c r="AG35" s="13">
        <v>891</v>
      </c>
      <c r="AH35" s="13">
        <v>729</v>
      </c>
      <c r="AI35" s="13">
        <v>892</v>
      </c>
      <c r="AJ35" s="13">
        <v>1255</v>
      </c>
    </row>
    <row r="36" spans="1:36" x14ac:dyDescent="0.3">
      <c r="A36" s="8" t="s">
        <v>33</v>
      </c>
      <c r="B36" s="73"/>
      <c r="C36" s="60">
        <v>3021760000</v>
      </c>
      <c r="D36" s="60" t="s">
        <v>380</v>
      </c>
      <c r="E36" s="60" t="s">
        <v>34</v>
      </c>
      <c r="F36" s="60" t="s">
        <v>35</v>
      </c>
      <c r="G36" s="60" t="s">
        <v>76</v>
      </c>
      <c r="H36" s="61">
        <v>44441</v>
      </c>
      <c r="I36" s="60">
        <f t="shared" si="0"/>
        <v>2021</v>
      </c>
      <c r="J36" s="60">
        <f t="shared" si="1"/>
        <v>9</v>
      </c>
      <c r="K36" s="60" t="str">
        <f t="shared" si="2"/>
        <v>2021_9</v>
      </c>
      <c r="L36" s="61" t="s">
        <v>37</v>
      </c>
      <c r="M36" s="11">
        <v>626</v>
      </c>
      <c r="N36" s="17">
        <v>640</v>
      </c>
      <c r="O36" s="13">
        <v>648</v>
      </c>
      <c r="P36" s="13">
        <v>828</v>
      </c>
      <c r="Q36" s="13">
        <v>1122</v>
      </c>
      <c r="R36" s="13">
        <v>868</v>
      </c>
      <c r="S36" s="13">
        <v>968</v>
      </c>
      <c r="T36" s="13">
        <v>538</v>
      </c>
      <c r="U36" s="13">
        <v>486</v>
      </c>
      <c r="V36" s="13">
        <v>516</v>
      </c>
      <c r="W36" s="13">
        <v>564</v>
      </c>
      <c r="X36" s="13">
        <v>576</v>
      </c>
      <c r="Y36" s="13">
        <v>858</v>
      </c>
      <c r="Z36" s="13">
        <v>476</v>
      </c>
      <c r="AA36" s="13">
        <v>542</v>
      </c>
      <c r="AB36" s="13">
        <v>766</v>
      </c>
      <c r="AC36" s="13">
        <v>820</v>
      </c>
      <c r="AD36" s="13">
        <v>814</v>
      </c>
      <c r="AE36" s="13">
        <v>698</v>
      </c>
      <c r="AF36" s="13">
        <v>468</v>
      </c>
      <c r="AG36" s="13">
        <v>494</v>
      </c>
      <c r="AH36" s="13">
        <v>470</v>
      </c>
      <c r="AI36" s="13">
        <v>482</v>
      </c>
      <c r="AJ36" s="13">
        <v>626</v>
      </c>
    </row>
    <row r="37" spans="1:36" x14ac:dyDescent="0.3">
      <c r="A37" s="8" t="s">
        <v>33</v>
      </c>
      <c r="B37" s="73"/>
      <c r="C37" s="60">
        <v>3062396001</v>
      </c>
      <c r="D37" s="60" t="s">
        <v>381</v>
      </c>
      <c r="E37" s="60" t="s">
        <v>34</v>
      </c>
      <c r="F37" s="60" t="s">
        <v>35</v>
      </c>
      <c r="G37" s="60" t="s">
        <v>77</v>
      </c>
      <c r="H37" s="61">
        <v>44446</v>
      </c>
      <c r="I37" s="60">
        <f t="shared" si="0"/>
        <v>2021</v>
      </c>
      <c r="J37" s="60">
        <f t="shared" si="1"/>
        <v>9</v>
      </c>
      <c r="K37" s="60" t="str">
        <f t="shared" si="2"/>
        <v>2021_9</v>
      </c>
      <c r="L37" s="61" t="s">
        <v>37</v>
      </c>
      <c r="M37" s="11">
        <v>689</v>
      </c>
      <c r="N37" s="12">
        <v>651</v>
      </c>
      <c r="O37" s="13">
        <v>772</v>
      </c>
      <c r="P37" s="13">
        <v>973</v>
      </c>
      <c r="Q37" s="13">
        <v>1170</v>
      </c>
      <c r="R37" s="13">
        <v>1057</v>
      </c>
      <c r="S37" s="13">
        <v>1053</v>
      </c>
      <c r="T37" s="13">
        <v>638</v>
      </c>
      <c r="U37" s="13">
        <v>507</v>
      </c>
      <c r="V37" s="13">
        <v>574</v>
      </c>
      <c r="W37" s="13">
        <v>578</v>
      </c>
      <c r="X37" s="13">
        <v>637</v>
      </c>
      <c r="Y37" s="13">
        <v>691</v>
      </c>
      <c r="Z37" s="13">
        <v>587</v>
      </c>
      <c r="AA37" s="13">
        <v>629</v>
      </c>
      <c r="AB37" s="13">
        <v>868</v>
      </c>
      <c r="AC37" s="13">
        <v>1042</v>
      </c>
      <c r="AD37" s="13">
        <v>1246</v>
      </c>
      <c r="AE37" s="13">
        <v>1075</v>
      </c>
      <c r="AF37" s="13">
        <v>688</v>
      </c>
      <c r="AG37" s="13">
        <v>616</v>
      </c>
      <c r="AH37" s="13">
        <v>517</v>
      </c>
      <c r="AI37" s="13">
        <v>648</v>
      </c>
      <c r="AJ37" s="13">
        <v>884</v>
      </c>
    </row>
    <row r="38" spans="1:36" x14ac:dyDescent="0.3">
      <c r="A38" s="60" t="s">
        <v>46</v>
      </c>
      <c r="B38" s="73"/>
      <c r="C38" s="60">
        <v>3011852000</v>
      </c>
      <c r="D38" s="60" t="s">
        <v>380</v>
      </c>
      <c r="E38" s="60" t="s">
        <v>34</v>
      </c>
      <c r="F38" s="60" t="s">
        <v>35</v>
      </c>
      <c r="G38" s="60" t="s">
        <v>78</v>
      </c>
      <c r="H38" s="61">
        <v>44449</v>
      </c>
      <c r="I38" s="60">
        <f t="shared" si="0"/>
        <v>2021</v>
      </c>
      <c r="J38" s="60">
        <f t="shared" si="1"/>
        <v>9</v>
      </c>
      <c r="K38" s="60" t="str">
        <f t="shared" si="2"/>
        <v>2021_9</v>
      </c>
      <c r="L38" s="61" t="s">
        <v>37</v>
      </c>
      <c r="M38" s="11">
        <v>736</v>
      </c>
      <c r="N38" s="17">
        <v>462</v>
      </c>
      <c r="O38" s="13">
        <v>540</v>
      </c>
      <c r="P38" s="13">
        <v>623</v>
      </c>
      <c r="Q38" s="13">
        <v>836</v>
      </c>
      <c r="R38" s="13">
        <v>986</v>
      </c>
      <c r="S38" s="13">
        <v>1391</v>
      </c>
      <c r="T38" s="13">
        <v>762</v>
      </c>
      <c r="U38" s="13">
        <v>540</v>
      </c>
      <c r="V38" s="13">
        <v>550</v>
      </c>
      <c r="W38" s="13">
        <v>599</v>
      </c>
      <c r="X38" s="13">
        <v>578</v>
      </c>
      <c r="Y38" s="13">
        <v>799</v>
      </c>
      <c r="Z38" s="13">
        <v>536</v>
      </c>
      <c r="AA38" s="13">
        <v>610</v>
      </c>
      <c r="AB38" s="13">
        <v>831</v>
      </c>
      <c r="AC38" s="13">
        <v>928</v>
      </c>
      <c r="AD38" s="13">
        <v>662</v>
      </c>
      <c r="AE38" s="13">
        <v>757</v>
      </c>
      <c r="AF38" s="13">
        <v>946</v>
      </c>
      <c r="AG38" s="13">
        <v>828</v>
      </c>
      <c r="AH38" s="13">
        <v>771</v>
      </c>
      <c r="AI38" s="13">
        <v>734</v>
      </c>
      <c r="AJ38" s="13">
        <v>1063</v>
      </c>
    </row>
    <row r="39" spans="1:36" x14ac:dyDescent="0.3">
      <c r="A39" s="60" t="s">
        <v>41</v>
      </c>
      <c r="B39" s="73"/>
      <c r="C39" s="60">
        <v>3120684000</v>
      </c>
      <c r="D39" s="60" t="s">
        <v>382</v>
      </c>
      <c r="E39" s="60" t="s">
        <v>39</v>
      </c>
      <c r="F39" s="60" t="s">
        <v>35</v>
      </c>
      <c r="G39" s="60" t="s">
        <v>79</v>
      </c>
      <c r="H39" s="61">
        <v>44449</v>
      </c>
      <c r="I39" s="60">
        <f t="shared" si="0"/>
        <v>2021</v>
      </c>
      <c r="J39" s="60">
        <f t="shared" si="1"/>
        <v>9</v>
      </c>
      <c r="K39" s="60" t="str">
        <f t="shared" si="2"/>
        <v>2021_9</v>
      </c>
      <c r="L39" s="61" t="s">
        <v>37</v>
      </c>
      <c r="M39" s="11">
        <v>1236</v>
      </c>
      <c r="N39" s="21">
        <v>937</v>
      </c>
      <c r="O39" s="13">
        <v>860</v>
      </c>
      <c r="P39" s="13">
        <v>922</v>
      </c>
      <c r="Q39" s="13">
        <v>844</v>
      </c>
      <c r="R39" s="13">
        <v>773</v>
      </c>
      <c r="S39" s="13">
        <v>811</v>
      </c>
      <c r="T39" s="13">
        <v>571</v>
      </c>
      <c r="U39" s="13">
        <v>847</v>
      </c>
      <c r="V39" s="13">
        <v>1383</v>
      </c>
      <c r="W39" s="13">
        <v>1338</v>
      </c>
      <c r="X39" s="13">
        <v>1400</v>
      </c>
      <c r="Y39" s="13">
        <v>1122</v>
      </c>
      <c r="Z39" s="13">
        <v>956</v>
      </c>
      <c r="AA39" s="13">
        <v>1684</v>
      </c>
      <c r="AB39" s="13">
        <v>1409</v>
      </c>
      <c r="AC39" s="13">
        <v>1696</v>
      </c>
      <c r="AD39" s="13">
        <v>1555</v>
      </c>
      <c r="AE39" s="13">
        <v>1372</v>
      </c>
      <c r="AF39" s="13">
        <v>1388</v>
      </c>
      <c r="AG39" s="13">
        <v>1275</v>
      </c>
      <c r="AH39" s="13">
        <v>1197</v>
      </c>
      <c r="AI39" s="13">
        <v>1532</v>
      </c>
      <c r="AJ39" s="13">
        <v>1732</v>
      </c>
    </row>
    <row r="40" spans="1:36" x14ac:dyDescent="0.3">
      <c r="A40" s="16" t="s">
        <v>33</v>
      </c>
      <c r="B40" s="73"/>
      <c r="C40" s="60">
        <v>3011718006</v>
      </c>
      <c r="D40" s="60" t="s">
        <v>383</v>
      </c>
      <c r="E40" s="60" t="s">
        <v>34</v>
      </c>
      <c r="F40" s="60" t="s">
        <v>35</v>
      </c>
      <c r="G40" s="60" t="s">
        <v>80</v>
      </c>
      <c r="H40" s="61">
        <v>44455</v>
      </c>
      <c r="I40" s="60">
        <f t="shared" si="0"/>
        <v>2021</v>
      </c>
      <c r="J40" s="60">
        <f t="shared" si="1"/>
        <v>9</v>
      </c>
      <c r="K40" s="60" t="str">
        <f t="shared" si="2"/>
        <v>2021_9</v>
      </c>
      <c r="L40" s="61" t="s">
        <v>37</v>
      </c>
      <c r="M40" s="11">
        <v>1037</v>
      </c>
      <c r="N40" s="17">
        <v>668</v>
      </c>
      <c r="O40" s="13">
        <v>493</v>
      </c>
      <c r="P40" s="13">
        <v>438</v>
      </c>
      <c r="Q40" s="13">
        <v>398</v>
      </c>
      <c r="R40" s="13">
        <v>330</v>
      </c>
      <c r="S40" s="13">
        <v>387</v>
      </c>
      <c r="T40" s="13">
        <v>327</v>
      </c>
      <c r="U40" s="13">
        <v>345</v>
      </c>
      <c r="V40" s="13">
        <v>637</v>
      </c>
      <c r="W40" s="13">
        <v>1050</v>
      </c>
      <c r="X40" s="13">
        <v>1076</v>
      </c>
      <c r="Y40" s="13">
        <v>1250</v>
      </c>
      <c r="Z40" s="13">
        <v>774</v>
      </c>
      <c r="AA40" s="13">
        <v>496</v>
      </c>
      <c r="AB40" s="13">
        <v>400</v>
      </c>
      <c r="AC40" s="13">
        <v>393</v>
      </c>
      <c r="AD40" s="13">
        <v>365</v>
      </c>
      <c r="AE40" s="13">
        <v>385</v>
      </c>
      <c r="AF40" s="13">
        <v>319</v>
      </c>
      <c r="AG40" s="13">
        <v>315</v>
      </c>
      <c r="AH40" s="13">
        <v>681</v>
      </c>
      <c r="AI40" s="13">
        <v>945</v>
      </c>
      <c r="AJ40" s="13">
        <v>1364</v>
      </c>
    </row>
    <row r="41" spans="1:36" x14ac:dyDescent="0.3">
      <c r="A41" s="60" t="s">
        <v>41</v>
      </c>
      <c r="B41" s="73"/>
      <c r="C41" s="60">
        <v>3132533001</v>
      </c>
      <c r="D41" s="60" t="s">
        <v>368</v>
      </c>
      <c r="E41" s="60" t="s">
        <v>39</v>
      </c>
      <c r="F41" s="60" t="s">
        <v>35</v>
      </c>
      <c r="G41" s="60" t="s">
        <v>81</v>
      </c>
      <c r="H41" s="61">
        <v>44455</v>
      </c>
      <c r="I41" s="60">
        <f t="shared" si="0"/>
        <v>2021</v>
      </c>
      <c r="J41" s="60">
        <f t="shared" si="1"/>
        <v>9</v>
      </c>
      <c r="K41" s="60" t="str">
        <f t="shared" si="2"/>
        <v>2021_9</v>
      </c>
      <c r="L41" s="61" t="s">
        <v>37</v>
      </c>
      <c r="M41" s="11">
        <v>0</v>
      </c>
      <c r="N41" s="17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988</v>
      </c>
      <c r="W41" s="13">
        <v>1282</v>
      </c>
      <c r="X41" s="13">
        <v>1523</v>
      </c>
      <c r="Y41" s="13">
        <v>1388</v>
      </c>
      <c r="Z41" s="13">
        <v>883</v>
      </c>
      <c r="AA41" s="13">
        <v>1039</v>
      </c>
      <c r="AB41" s="13">
        <v>1210</v>
      </c>
      <c r="AC41" s="13">
        <v>727</v>
      </c>
      <c r="AD41" s="13">
        <v>1101</v>
      </c>
      <c r="AE41" s="13">
        <v>1674</v>
      </c>
      <c r="AF41" s="13">
        <v>1088</v>
      </c>
      <c r="AG41" s="13">
        <v>921</v>
      </c>
      <c r="AH41" s="13">
        <v>1042</v>
      </c>
      <c r="AI41" s="13">
        <v>1387</v>
      </c>
      <c r="AJ41" s="13">
        <v>1342</v>
      </c>
    </row>
    <row r="42" spans="1:36" x14ac:dyDescent="0.3">
      <c r="A42" s="60" t="s">
        <v>41</v>
      </c>
      <c r="B42" s="73"/>
      <c r="C42" s="60">
        <v>3020584003</v>
      </c>
      <c r="D42" s="60" t="s">
        <v>384</v>
      </c>
      <c r="E42" s="60" t="s">
        <v>34</v>
      </c>
      <c r="F42" s="60" t="s">
        <v>35</v>
      </c>
      <c r="G42" s="60" t="s">
        <v>82</v>
      </c>
      <c r="H42" s="61">
        <v>44456</v>
      </c>
      <c r="I42" s="60">
        <f t="shared" si="0"/>
        <v>2021</v>
      </c>
      <c r="J42" s="60">
        <f t="shared" si="1"/>
        <v>9</v>
      </c>
      <c r="K42" s="60" t="str">
        <f t="shared" si="2"/>
        <v>2021_9</v>
      </c>
      <c r="L42" s="61" t="s">
        <v>37</v>
      </c>
      <c r="M42" s="11">
        <v>972</v>
      </c>
      <c r="N42" s="17">
        <v>520</v>
      </c>
      <c r="O42" s="13">
        <v>384</v>
      </c>
      <c r="P42" s="13">
        <v>516</v>
      </c>
      <c r="Q42" s="13">
        <v>577</v>
      </c>
      <c r="R42" s="13">
        <v>501</v>
      </c>
      <c r="S42" s="13">
        <v>560</v>
      </c>
      <c r="T42" s="13">
        <v>405</v>
      </c>
      <c r="U42" s="13">
        <v>394</v>
      </c>
      <c r="V42" s="13">
        <v>561</v>
      </c>
      <c r="W42" s="13">
        <v>1077</v>
      </c>
      <c r="X42" s="13">
        <v>980</v>
      </c>
      <c r="Y42" s="13">
        <v>1298</v>
      </c>
      <c r="Z42" s="13">
        <v>493</v>
      </c>
      <c r="AA42" s="13">
        <v>360</v>
      </c>
      <c r="AB42" s="13">
        <v>487</v>
      </c>
      <c r="AC42" s="13">
        <v>475</v>
      </c>
      <c r="AD42" s="13">
        <v>504</v>
      </c>
      <c r="AE42" s="13">
        <v>373</v>
      </c>
      <c r="AF42" s="13">
        <v>354</v>
      </c>
      <c r="AG42" s="13">
        <v>388</v>
      </c>
      <c r="AH42" s="13">
        <v>405</v>
      </c>
      <c r="AI42" s="13">
        <v>530</v>
      </c>
      <c r="AJ42" s="13">
        <v>1025</v>
      </c>
    </row>
    <row r="43" spans="1:36" x14ac:dyDescent="0.3">
      <c r="A43" s="60" t="s">
        <v>41</v>
      </c>
      <c r="B43" s="73"/>
      <c r="C43" s="60">
        <v>3140630000</v>
      </c>
      <c r="D43" s="60" t="s">
        <v>385</v>
      </c>
      <c r="E43" s="60" t="s">
        <v>43</v>
      </c>
      <c r="F43" s="60" t="s">
        <v>35</v>
      </c>
      <c r="G43" s="60" t="s">
        <v>83</v>
      </c>
      <c r="H43" s="61">
        <v>44461</v>
      </c>
      <c r="I43" s="60">
        <f t="shared" si="0"/>
        <v>2021</v>
      </c>
      <c r="J43" s="60">
        <f t="shared" si="1"/>
        <v>9</v>
      </c>
      <c r="K43" s="60" t="str">
        <f t="shared" si="2"/>
        <v>2021_9</v>
      </c>
      <c r="L43" s="61" t="s">
        <v>37</v>
      </c>
      <c r="M43" s="11">
        <v>566</v>
      </c>
      <c r="N43" s="17">
        <v>431</v>
      </c>
      <c r="O43" s="13">
        <v>426</v>
      </c>
      <c r="P43" s="13">
        <v>899</v>
      </c>
      <c r="Q43" s="13">
        <v>820</v>
      </c>
      <c r="R43" s="13">
        <v>877</v>
      </c>
      <c r="S43" s="13">
        <v>699</v>
      </c>
      <c r="T43" s="13">
        <v>390</v>
      </c>
      <c r="U43" s="13">
        <v>476</v>
      </c>
      <c r="V43" s="13">
        <v>591</v>
      </c>
      <c r="W43" s="13">
        <v>706</v>
      </c>
      <c r="X43" s="13">
        <v>877</v>
      </c>
      <c r="Y43" s="13">
        <v>511</v>
      </c>
      <c r="Z43" s="13">
        <v>520</v>
      </c>
      <c r="AA43" s="13">
        <v>425</v>
      </c>
      <c r="AB43" s="13">
        <v>879</v>
      </c>
      <c r="AC43" s="13">
        <v>893</v>
      </c>
      <c r="AD43" s="13">
        <v>940</v>
      </c>
      <c r="AE43" s="13">
        <v>754</v>
      </c>
      <c r="AF43" s="13">
        <v>507</v>
      </c>
      <c r="AG43" s="13">
        <v>521</v>
      </c>
      <c r="AH43" s="13">
        <v>565</v>
      </c>
      <c r="AI43" s="13">
        <v>855</v>
      </c>
      <c r="AJ43" s="13">
        <v>819</v>
      </c>
    </row>
    <row r="44" spans="1:36" x14ac:dyDescent="0.3">
      <c r="A44" s="62" t="s">
        <v>55</v>
      </c>
      <c r="B44" s="73"/>
      <c r="C44" s="60">
        <v>3121819000</v>
      </c>
      <c r="D44" s="60" t="s">
        <v>386</v>
      </c>
      <c r="E44" s="60" t="s">
        <v>39</v>
      </c>
      <c r="F44" s="60" t="s">
        <v>35</v>
      </c>
      <c r="G44" s="60" t="s">
        <v>84</v>
      </c>
      <c r="H44" s="61">
        <v>44462</v>
      </c>
      <c r="I44" s="60">
        <f t="shared" si="0"/>
        <v>2021</v>
      </c>
      <c r="J44" s="60">
        <f t="shared" si="1"/>
        <v>9</v>
      </c>
      <c r="K44" s="60" t="str">
        <f t="shared" si="2"/>
        <v>2021_9</v>
      </c>
      <c r="L44" s="61" t="s">
        <v>37</v>
      </c>
      <c r="M44" s="11">
        <v>1463</v>
      </c>
      <c r="N44" s="12">
        <v>1237</v>
      </c>
      <c r="O44" s="13">
        <v>1183</v>
      </c>
      <c r="P44" s="13">
        <v>1869</v>
      </c>
      <c r="Q44" s="13">
        <v>1628</v>
      </c>
      <c r="R44" s="13">
        <v>1404</v>
      </c>
      <c r="S44" s="13">
        <v>1452</v>
      </c>
      <c r="T44" s="13">
        <v>1156</v>
      </c>
      <c r="U44" s="13">
        <v>1226</v>
      </c>
      <c r="V44" s="13">
        <v>1802</v>
      </c>
      <c r="W44" s="13">
        <v>1912</v>
      </c>
      <c r="X44" s="13">
        <v>2226</v>
      </c>
      <c r="Y44" s="13">
        <v>1794</v>
      </c>
      <c r="Z44" s="13">
        <v>1385</v>
      </c>
      <c r="AA44" s="13">
        <v>1478</v>
      </c>
      <c r="AB44" s="13">
        <v>1901</v>
      </c>
      <c r="AC44" s="13">
        <v>1568</v>
      </c>
      <c r="AD44" s="13">
        <v>1065</v>
      </c>
      <c r="AE44" s="13">
        <v>1042</v>
      </c>
      <c r="AF44" s="13">
        <v>1074</v>
      </c>
      <c r="AG44" s="13">
        <v>1336</v>
      </c>
      <c r="AH44" s="13">
        <v>1491</v>
      </c>
      <c r="AI44" s="13">
        <v>1843</v>
      </c>
      <c r="AJ44" s="13">
        <v>2118</v>
      </c>
    </row>
    <row r="45" spans="1:36" x14ac:dyDescent="0.3">
      <c r="A45" s="62" t="s">
        <v>41</v>
      </c>
      <c r="B45" s="73"/>
      <c r="C45" s="60">
        <v>3131961001</v>
      </c>
      <c r="D45" s="60" t="s">
        <v>354</v>
      </c>
      <c r="E45" s="60" t="s">
        <v>39</v>
      </c>
      <c r="F45" s="60" t="s">
        <v>35</v>
      </c>
      <c r="G45" s="60" t="s">
        <v>85</v>
      </c>
      <c r="H45" s="61">
        <v>44463</v>
      </c>
      <c r="I45" s="60">
        <f t="shared" si="0"/>
        <v>2021</v>
      </c>
      <c r="J45" s="60">
        <f t="shared" si="1"/>
        <v>9</v>
      </c>
      <c r="K45" s="60" t="str">
        <f t="shared" si="2"/>
        <v>2021_9</v>
      </c>
      <c r="L45" s="61" t="s">
        <v>37</v>
      </c>
      <c r="M45" s="11">
        <v>494</v>
      </c>
      <c r="N45" s="14">
        <v>367</v>
      </c>
      <c r="O45" s="13">
        <v>410</v>
      </c>
      <c r="P45" s="13">
        <v>517</v>
      </c>
      <c r="Q45" s="13">
        <v>450</v>
      </c>
      <c r="R45" s="13">
        <v>424</v>
      </c>
      <c r="S45" s="13">
        <v>434</v>
      </c>
      <c r="T45" s="13">
        <v>483</v>
      </c>
      <c r="U45" s="13">
        <v>427</v>
      </c>
      <c r="V45" s="13">
        <v>554</v>
      </c>
      <c r="W45" s="13">
        <v>824</v>
      </c>
      <c r="X45" s="13">
        <v>774</v>
      </c>
      <c r="Y45" s="13">
        <v>717</v>
      </c>
      <c r="Z45" s="13">
        <v>633</v>
      </c>
      <c r="AA45" s="13">
        <v>775</v>
      </c>
      <c r="AB45" s="13">
        <v>1018</v>
      </c>
      <c r="AC45" s="13">
        <v>1217</v>
      </c>
      <c r="AD45" s="13">
        <v>1146</v>
      </c>
      <c r="AE45" s="13">
        <v>739</v>
      </c>
      <c r="AF45" s="13">
        <v>652</v>
      </c>
      <c r="AG45" s="13">
        <v>822</v>
      </c>
      <c r="AH45" s="13">
        <v>577</v>
      </c>
      <c r="AI45" s="13">
        <v>884</v>
      </c>
      <c r="AJ45" s="13">
        <v>860</v>
      </c>
    </row>
    <row r="46" spans="1:36" x14ac:dyDescent="0.3">
      <c r="A46" s="62" t="s">
        <v>41</v>
      </c>
      <c r="B46" s="73"/>
      <c r="C46" s="60">
        <v>3052412005</v>
      </c>
      <c r="D46" s="60" t="s">
        <v>387</v>
      </c>
      <c r="E46" s="60" t="s">
        <v>34</v>
      </c>
      <c r="F46" s="60" t="s">
        <v>35</v>
      </c>
      <c r="G46" s="60" t="s">
        <v>86</v>
      </c>
      <c r="H46" s="61">
        <v>44469</v>
      </c>
      <c r="I46" s="60">
        <f t="shared" si="0"/>
        <v>2021</v>
      </c>
      <c r="J46" s="60">
        <f t="shared" si="1"/>
        <v>9</v>
      </c>
      <c r="K46" s="60" t="str">
        <f t="shared" si="2"/>
        <v>2021_9</v>
      </c>
      <c r="L46" s="61" t="s">
        <v>37</v>
      </c>
      <c r="M46" s="11">
        <v>0</v>
      </c>
      <c r="N46" s="14">
        <v>0</v>
      </c>
      <c r="O46" s="13">
        <v>0</v>
      </c>
      <c r="P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245</v>
      </c>
      <c r="X46" s="13">
        <v>1133</v>
      </c>
      <c r="Y46" s="13">
        <v>1114</v>
      </c>
      <c r="Z46" s="13">
        <v>975</v>
      </c>
      <c r="AA46" s="13">
        <v>780</v>
      </c>
      <c r="AB46" s="13">
        <v>874</v>
      </c>
      <c r="AC46" s="13">
        <v>1739</v>
      </c>
      <c r="AD46" s="13">
        <v>1556</v>
      </c>
      <c r="AE46" s="13">
        <v>1667</v>
      </c>
      <c r="AF46" s="13">
        <v>1533</v>
      </c>
      <c r="AG46" s="13">
        <v>939</v>
      </c>
      <c r="AH46" s="13">
        <v>1139</v>
      </c>
      <c r="AI46" s="13">
        <v>1058</v>
      </c>
      <c r="AJ46" s="13">
        <v>1180</v>
      </c>
    </row>
    <row r="47" spans="1:36" x14ac:dyDescent="0.3">
      <c r="A47" s="62" t="s">
        <v>41</v>
      </c>
      <c r="B47" s="73"/>
      <c r="C47" s="60">
        <v>3021581000</v>
      </c>
      <c r="D47" s="60" t="s">
        <v>388</v>
      </c>
      <c r="E47" s="60" t="s">
        <v>39</v>
      </c>
      <c r="F47" s="60" t="s">
        <v>35</v>
      </c>
      <c r="G47" s="60" t="s">
        <v>87</v>
      </c>
      <c r="H47" s="61">
        <v>44470</v>
      </c>
      <c r="I47" s="60">
        <f t="shared" si="0"/>
        <v>2021</v>
      </c>
      <c r="J47" s="60">
        <f t="shared" si="1"/>
        <v>10</v>
      </c>
      <c r="K47" s="60" t="str">
        <f t="shared" si="2"/>
        <v>2021_10</v>
      </c>
      <c r="L47" s="61" t="s">
        <v>37</v>
      </c>
      <c r="M47" s="11">
        <v>910</v>
      </c>
      <c r="N47" s="12">
        <v>1052</v>
      </c>
      <c r="O47" s="13">
        <v>1374</v>
      </c>
      <c r="P47" s="13">
        <v>2508</v>
      </c>
      <c r="Q47" s="13">
        <v>1294</v>
      </c>
      <c r="R47" s="13">
        <v>1138</v>
      </c>
      <c r="S47" s="13">
        <v>964</v>
      </c>
      <c r="T47" s="13">
        <v>912</v>
      </c>
      <c r="U47" s="13">
        <v>972</v>
      </c>
      <c r="V47" s="13">
        <v>1008</v>
      </c>
      <c r="W47" s="13">
        <v>976</v>
      </c>
      <c r="X47" s="13">
        <v>1024</v>
      </c>
      <c r="Y47" s="13">
        <v>904</v>
      </c>
      <c r="Z47" s="13">
        <v>1228</v>
      </c>
      <c r="AA47" s="13">
        <v>1434</v>
      </c>
      <c r="AB47" s="13">
        <v>1760</v>
      </c>
      <c r="AC47" s="13">
        <v>1320</v>
      </c>
      <c r="AD47" s="13">
        <v>1164</v>
      </c>
      <c r="AE47" s="13">
        <v>926</v>
      </c>
      <c r="AF47" s="13">
        <v>744</v>
      </c>
      <c r="AG47" s="13">
        <v>604</v>
      </c>
      <c r="AH47" s="13">
        <v>612</v>
      </c>
      <c r="AI47" s="13">
        <v>870</v>
      </c>
      <c r="AJ47" s="13">
        <v>744</v>
      </c>
    </row>
    <row r="48" spans="1:36" x14ac:dyDescent="0.3">
      <c r="A48" s="16" t="s">
        <v>33</v>
      </c>
      <c r="B48" s="73"/>
      <c r="C48" s="60">
        <v>3041644000</v>
      </c>
      <c r="D48" s="60" t="s">
        <v>389</v>
      </c>
      <c r="E48" s="60" t="s">
        <v>34</v>
      </c>
      <c r="F48" s="60" t="s">
        <v>35</v>
      </c>
      <c r="G48" s="60" t="s">
        <v>88</v>
      </c>
      <c r="H48" s="61">
        <v>44473</v>
      </c>
      <c r="I48" s="60">
        <f t="shared" si="0"/>
        <v>2021</v>
      </c>
      <c r="J48" s="60">
        <f t="shared" si="1"/>
        <v>10</v>
      </c>
      <c r="K48" s="60" t="str">
        <f t="shared" si="2"/>
        <v>2021_10</v>
      </c>
      <c r="L48" s="61" t="s">
        <v>37</v>
      </c>
      <c r="M48" s="11">
        <v>200</v>
      </c>
      <c r="N48" s="12">
        <v>186</v>
      </c>
      <c r="O48" s="13">
        <v>718</v>
      </c>
      <c r="P48" s="13">
        <v>1584</v>
      </c>
      <c r="Q48" s="13">
        <v>1632</v>
      </c>
      <c r="R48" s="13">
        <v>1606</v>
      </c>
      <c r="S48" s="13">
        <v>476</v>
      </c>
      <c r="T48" s="13">
        <v>164</v>
      </c>
      <c r="U48" s="13">
        <v>506</v>
      </c>
      <c r="V48" s="13">
        <v>704</v>
      </c>
      <c r="W48" s="13">
        <v>382</v>
      </c>
      <c r="X48" s="13">
        <v>920</v>
      </c>
      <c r="Y48" s="13">
        <v>728</v>
      </c>
      <c r="Z48" s="13">
        <v>1092</v>
      </c>
      <c r="AA48" s="13">
        <v>1644</v>
      </c>
      <c r="AB48" s="13">
        <v>2322</v>
      </c>
      <c r="AC48" s="13">
        <v>2578</v>
      </c>
      <c r="AD48" s="13">
        <v>1850</v>
      </c>
      <c r="AE48" s="13">
        <v>1218</v>
      </c>
      <c r="AF48" s="13">
        <v>688</v>
      </c>
      <c r="AG48" s="13">
        <v>514</v>
      </c>
      <c r="AH48" s="13">
        <v>360</v>
      </c>
      <c r="AI48" s="13">
        <v>352</v>
      </c>
      <c r="AJ48" s="13">
        <v>300</v>
      </c>
    </row>
    <row r="49" spans="1:36" x14ac:dyDescent="0.3">
      <c r="A49" s="62" t="s">
        <v>41</v>
      </c>
      <c r="B49" s="73"/>
      <c r="C49" s="60">
        <v>3062459002</v>
      </c>
      <c r="D49" s="60" t="s">
        <v>381</v>
      </c>
      <c r="E49" s="60" t="s">
        <v>34</v>
      </c>
      <c r="F49" s="60" t="s">
        <v>35</v>
      </c>
      <c r="G49" s="60" t="s">
        <v>89</v>
      </c>
      <c r="H49" s="61">
        <v>44473</v>
      </c>
      <c r="I49" s="60">
        <f t="shared" si="0"/>
        <v>2021</v>
      </c>
      <c r="J49" s="60">
        <f t="shared" si="1"/>
        <v>10</v>
      </c>
      <c r="K49" s="60" t="str">
        <f t="shared" si="2"/>
        <v>2021_10</v>
      </c>
      <c r="L49" s="61" t="s">
        <v>37</v>
      </c>
      <c r="M49" s="11">
        <v>456</v>
      </c>
      <c r="N49" s="12">
        <v>466</v>
      </c>
      <c r="O49" s="13">
        <v>622</v>
      </c>
      <c r="P49" s="13">
        <v>667</v>
      </c>
      <c r="Q49" s="13">
        <v>500</v>
      </c>
      <c r="R49" s="13">
        <v>502</v>
      </c>
      <c r="S49" s="13">
        <v>514</v>
      </c>
      <c r="T49" s="13">
        <v>553</v>
      </c>
      <c r="U49" s="13">
        <v>898</v>
      </c>
      <c r="V49" s="13">
        <v>1097</v>
      </c>
      <c r="W49" s="13">
        <v>1553</v>
      </c>
      <c r="X49" s="13">
        <v>1685</v>
      </c>
      <c r="Y49" s="13">
        <v>1040</v>
      </c>
      <c r="Z49" s="13">
        <v>1021</v>
      </c>
      <c r="AA49" s="13">
        <v>1048</v>
      </c>
      <c r="AB49" s="13">
        <v>674</v>
      </c>
      <c r="AC49" s="13">
        <v>535</v>
      </c>
      <c r="AD49" s="13">
        <v>746</v>
      </c>
      <c r="AE49" s="13">
        <v>561</v>
      </c>
      <c r="AF49" s="13">
        <v>461</v>
      </c>
      <c r="AG49" s="13">
        <v>624</v>
      </c>
      <c r="AH49" s="13">
        <v>1098</v>
      </c>
      <c r="AI49" s="13">
        <v>1834</v>
      </c>
      <c r="AJ49" s="13">
        <v>927</v>
      </c>
    </row>
    <row r="50" spans="1:36" x14ac:dyDescent="0.3">
      <c r="A50" s="8" t="s">
        <v>33</v>
      </c>
      <c r="B50" s="73"/>
      <c r="C50" s="60">
        <v>3021632001</v>
      </c>
      <c r="D50" s="60" t="s">
        <v>390</v>
      </c>
      <c r="E50" s="60" t="s">
        <v>34</v>
      </c>
      <c r="F50" s="60" t="s">
        <v>35</v>
      </c>
      <c r="G50" s="60" t="s">
        <v>90</v>
      </c>
      <c r="H50" s="61">
        <v>44474</v>
      </c>
      <c r="I50" s="60">
        <f t="shared" si="0"/>
        <v>2021</v>
      </c>
      <c r="J50" s="60">
        <f t="shared" si="1"/>
        <v>10</v>
      </c>
      <c r="K50" s="60" t="str">
        <f t="shared" si="2"/>
        <v>2021_10</v>
      </c>
      <c r="L50" s="61" t="s">
        <v>37</v>
      </c>
      <c r="M50" s="11">
        <v>0</v>
      </c>
      <c r="N50" s="12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278</v>
      </c>
      <c r="V50" s="13">
        <v>826</v>
      </c>
      <c r="W50" s="13">
        <v>966</v>
      </c>
      <c r="X50" s="13">
        <v>898</v>
      </c>
      <c r="Y50" s="13">
        <v>842</v>
      </c>
      <c r="Z50" s="13">
        <v>1216</v>
      </c>
      <c r="AA50" s="13">
        <v>2362</v>
      </c>
      <c r="AB50" s="13">
        <v>1824</v>
      </c>
      <c r="AC50" s="13">
        <v>328</v>
      </c>
      <c r="AD50" s="13">
        <v>420</v>
      </c>
      <c r="AE50" s="13">
        <v>378</v>
      </c>
      <c r="AF50" s="13">
        <v>454</v>
      </c>
      <c r="AG50" s="13">
        <v>652</v>
      </c>
      <c r="AH50" s="13">
        <v>776</v>
      </c>
      <c r="AI50" s="13">
        <v>984</v>
      </c>
      <c r="AJ50" s="13">
        <v>698</v>
      </c>
    </row>
    <row r="51" spans="1:36" x14ac:dyDescent="0.3">
      <c r="A51" s="16" t="s">
        <v>33</v>
      </c>
      <c r="B51" s="73"/>
      <c r="C51" s="60">
        <v>3121314001</v>
      </c>
      <c r="D51" s="60" t="s">
        <v>391</v>
      </c>
      <c r="E51" s="60" t="s">
        <v>39</v>
      </c>
      <c r="F51" s="60" t="s">
        <v>35</v>
      </c>
      <c r="G51" s="60" t="s">
        <v>91</v>
      </c>
      <c r="H51" s="61">
        <v>44480</v>
      </c>
      <c r="I51" s="60">
        <f t="shared" si="0"/>
        <v>2021</v>
      </c>
      <c r="J51" s="60">
        <f t="shared" si="1"/>
        <v>10</v>
      </c>
      <c r="K51" s="60" t="str">
        <f t="shared" si="2"/>
        <v>2021_10</v>
      </c>
      <c r="L51" s="61" t="s">
        <v>37</v>
      </c>
      <c r="M51" s="11">
        <v>45</v>
      </c>
      <c r="N51" s="12">
        <v>81</v>
      </c>
      <c r="O51" s="13">
        <v>202</v>
      </c>
      <c r="P51" s="13">
        <v>480</v>
      </c>
      <c r="Q51" s="13">
        <v>604</v>
      </c>
      <c r="R51" s="13">
        <v>472</v>
      </c>
      <c r="S51" s="13">
        <v>95</v>
      </c>
      <c r="T51" s="13">
        <v>16</v>
      </c>
      <c r="U51" s="13">
        <v>41</v>
      </c>
      <c r="V51" s="13">
        <v>41</v>
      </c>
      <c r="W51" s="13">
        <v>37</v>
      </c>
      <c r="X51" s="13">
        <v>36</v>
      </c>
      <c r="Y51" s="13">
        <v>28</v>
      </c>
      <c r="Z51" s="13">
        <v>402</v>
      </c>
      <c r="AA51" s="13">
        <v>1549</v>
      </c>
      <c r="AB51" s="13">
        <v>2173</v>
      </c>
      <c r="AC51" s="13">
        <v>2101</v>
      </c>
      <c r="AD51" s="13">
        <v>1121</v>
      </c>
      <c r="AE51" s="13">
        <v>741</v>
      </c>
      <c r="AF51" s="13">
        <v>680</v>
      </c>
      <c r="AG51" s="13">
        <v>382</v>
      </c>
      <c r="AH51" s="13">
        <v>620</v>
      </c>
      <c r="AI51" s="13">
        <v>745</v>
      </c>
      <c r="AJ51" s="13">
        <v>563</v>
      </c>
    </row>
    <row r="52" spans="1:36" x14ac:dyDescent="0.3">
      <c r="A52" s="62" t="s">
        <v>41</v>
      </c>
      <c r="B52" s="73"/>
      <c r="C52" s="60">
        <v>3132480000</v>
      </c>
      <c r="D52" s="60" t="s">
        <v>392</v>
      </c>
      <c r="E52" s="60" t="s">
        <v>39</v>
      </c>
      <c r="F52" s="60" t="s">
        <v>35</v>
      </c>
      <c r="G52" s="60" t="s">
        <v>92</v>
      </c>
      <c r="H52" s="61">
        <v>44480</v>
      </c>
      <c r="I52" s="60">
        <f t="shared" si="0"/>
        <v>2021</v>
      </c>
      <c r="J52" s="60">
        <f t="shared" si="1"/>
        <v>10</v>
      </c>
      <c r="K52" s="60" t="str">
        <f t="shared" si="2"/>
        <v>2021_10</v>
      </c>
      <c r="L52" s="61" t="s">
        <v>37</v>
      </c>
      <c r="M52" s="11">
        <v>667</v>
      </c>
      <c r="N52" s="14">
        <v>716</v>
      </c>
      <c r="O52" s="13">
        <v>981</v>
      </c>
      <c r="P52" s="13">
        <v>868</v>
      </c>
      <c r="Q52" s="13">
        <v>836</v>
      </c>
      <c r="R52" s="13">
        <v>844</v>
      </c>
      <c r="S52" s="13">
        <v>705</v>
      </c>
      <c r="T52" s="13">
        <v>768</v>
      </c>
      <c r="U52" s="13">
        <v>1071</v>
      </c>
      <c r="V52" s="13">
        <v>1191</v>
      </c>
      <c r="W52" s="13">
        <v>1227</v>
      </c>
      <c r="X52" s="13">
        <v>960</v>
      </c>
      <c r="Y52" s="13">
        <v>690</v>
      </c>
      <c r="Z52" s="13">
        <v>755</v>
      </c>
      <c r="AA52" s="13">
        <v>769</v>
      </c>
      <c r="AB52" s="13">
        <v>1016</v>
      </c>
      <c r="AC52" s="13">
        <v>854</v>
      </c>
      <c r="AD52" s="13">
        <v>854</v>
      </c>
      <c r="AE52" s="13">
        <v>778</v>
      </c>
      <c r="AF52" s="13">
        <v>897</v>
      </c>
      <c r="AG52" s="13">
        <v>840</v>
      </c>
      <c r="AH52" s="13">
        <v>1310</v>
      </c>
      <c r="AI52" s="13">
        <v>1291</v>
      </c>
      <c r="AJ52" s="13">
        <v>880</v>
      </c>
    </row>
    <row r="53" spans="1:36" x14ac:dyDescent="0.3">
      <c r="A53" s="62" t="s">
        <v>41</v>
      </c>
      <c r="B53" s="73"/>
      <c r="C53" s="60">
        <v>3131705000</v>
      </c>
      <c r="D53" s="60" t="s">
        <v>393</v>
      </c>
      <c r="E53" s="60" t="s">
        <v>39</v>
      </c>
      <c r="F53" s="60" t="s">
        <v>35</v>
      </c>
      <c r="G53" s="60" t="s">
        <v>93</v>
      </c>
      <c r="H53" s="61">
        <v>44481</v>
      </c>
      <c r="I53" s="60">
        <f t="shared" si="0"/>
        <v>2021</v>
      </c>
      <c r="J53" s="60">
        <f t="shared" si="1"/>
        <v>10</v>
      </c>
      <c r="K53" s="60" t="str">
        <f t="shared" si="2"/>
        <v>2021_10</v>
      </c>
      <c r="L53" s="61" t="s">
        <v>37</v>
      </c>
      <c r="M53" s="11">
        <v>490</v>
      </c>
      <c r="N53" s="12">
        <v>491</v>
      </c>
      <c r="O53" s="13">
        <v>797</v>
      </c>
      <c r="P53" s="13">
        <v>890</v>
      </c>
      <c r="Q53" s="13">
        <v>534</v>
      </c>
      <c r="R53" s="13">
        <v>485</v>
      </c>
      <c r="S53" s="13">
        <v>400</v>
      </c>
      <c r="T53" s="13">
        <v>482</v>
      </c>
      <c r="U53" s="13">
        <v>828</v>
      </c>
      <c r="V53" s="13">
        <v>747</v>
      </c>
      <c r="W53" s="13">
        <v>910</v>
      </c>
      <c r="X53" s="13">
        <v>1047</v>
      </c>
      <c r="Y53" s="13">
        <v>758</v>
      </c>
      <c r="Z53" s="13">
        <v>1130</v>
      </c>
      <c r="AA53" s="13">
        <v>1224</v>
      </c>
      <c r="AB53" s="13">
        <v>793</v>
      </c>
      <c r="AC53" s="13">
        <v>1338</v>
      </c>
      <c r="AD53" s="13">
        <v>1524</v>
      </c>
      <c r="AE53" s="13">
        <v>967</v>
      </c>
      <c r="AF53" s="13">
        <v>847</v>
      </c>
      <c r="AG53" s="13">
        <v>737</v>
      </c>
      <c r="AH53" s="13">
        <v>794</v>
      </c>
      <c r="AI53" s="13">
        <v>829</v>
      </c>
      <c r="AJ53" s="13">
        <v>889</v>
      </c>
    </row>
    <row r="54" spans="1:36" x14ac:dyDescent="0.3">
      <c r="A54" s="62" t="s">
        <v>41</v>
      </c>
      <c r="B54" s="73"/>
      <c r="C54" s="60">
        <v>3131913002</v>
      </c>
      <c r="D54" s="60" t="s">
        <v>366</v>
      </c>
      <c r="E54" s="60" t="s">
        <v>39</v>
      </c>
      <c r="F54" s="60" t="s">
        <v>35</v>
      </c>
      <c r="G54" s="60" t="s">
        <v>60</v>
      </c>
      <c r="H54" s="61">
        <v>44487</v>
      </c>
      <c r="I54" s="60">
        <f t="shared" si="0"/>
        <v>2021</v>
      </c>
      <c r="J54" s="60">
        <f t="shared" si="1"/>
        <v>10</v>
      </c>
      <c r="K54" s="60" t="str">
        <f t="shared" si="2"/>
        <v>2021_10</v>
      </c>
      <c r="L54" s="61" t="s">
        <v>37</v>
      </c>
      <c r="M54" s="11">
        <v>624</v>
      </c>
      <c r="N54" s="12">
        <v>783</v>
      </c>
      <c r="O54" s="13">
        <v>790</v>
      </c>
      <c r="P54" s="13">
        <v>754</v>
      </c>
      <c r="Q54" s="13">
        <v>608</v>
      </c>
      <c r="R54" s="13">
        <v>737</v>
      </c>
      <c r="S54" s="13">
        <v>609</v>
      </c>
      <c r="T54" s="13">
        <v>641</v>
      </c>
      <c r="U54" s="13">
        <v>673</v>
      </c>
      <c r="V54" s="13">
        <v>682</v>
      </c>
      <c r="W54" s="13">
        <v>717</v>
      </c>
      <c r="X54" s="13">
        <v>722</v>
      </c>
      <c r="Y54" s="13">
        <v>766</v>
      </c>
      <c r="Z54" s="13">
        <v>862</v>
      </c>
      <c r="AA54" s="13">
        <v>1195</v>
      </c>
      <c r="AB54" s="13">
        <v>2311</v>
      </c>
      <c r="AC54" s="13">
        <v>1930</v>
      </c>
      <c r="AD54" s="13">
        <v>1792</v>
      </c>
      <c r="AE54" s="13">
        <v>1319</v>
      </c>
      <c r="AF54" s="13">
        <v>1195</v>
      </c>
      <c r="AG54" s="13">
        <v>972</v>
      </c>
      <c r="AH54" s="13">
        <v>1228</v>
      </c>
      <c r="AI54" s="13">
        <v>1068</v>
      </c>
      <c r="AJ54" s="13">
        <v>998</v>
      </c>
    </row>
    <row r="55" spans="1:36" x14ac:dyDescent="0.3">
      <c r="A55" s="8" t="s">
        <v>33</v>
      </c>
      <c r="B55" s="73"/>
      <c r="C55" s="60">
        <v>3092548000</v>
      </c>
      <c r="D55" s="60" t="s">
        <v>394</v>
      </c>
      <c r="E55" s="60" t="s">
        <v>34</v>
      </c>
      <c r="F55" s="60" t="s">
        <v>35</v>
      </c>
      <c r="G55" s="60" t="s">
        <v>94</v>
      </c>
      <c r="H55" s="61">
        <v>44494</v>
      </c>
      <c r="I55" s="60">
        <f t="shared" si="0"/>
        <v>2021</v>
      </c>
      <c r="J55" s="60">
        <f t="shared" si="1"/>
        <v>10</v>
      </c>
      <c r="K55" s="60" t="str">
        <f t="shared" si="2"/>
        <v>2021_10</v>
      </c>
      <c r="L55" s="61" t="s">
        <v>37</v>
      </c>
      <c r="M55" s="11">
        <v>291</v>
      </c>
      <c r="N55" s="12">
        <v>392</v>
      </c>
      <c r="O55" s="13">
        <v>699</v>
      </c>
      <c r="P55" s="13">
        <v>716</v>
      </c>
      <c r="Q55" s="13">
        <v>827</v>
      </c>
      <c r="R55" s="13">
        <v>726</v>
      </c>
      <c r="S55" s="13">
        <v>383</v>
      </c>
      <c r="T55" s="13">
        <v>388</v>
      </c>
      <c r="U55" s="13">
        <v>367</v>
      </c>
      <c r="V55" s="13">
        <v>401</v>
      </c>
      <c r="W55" s="13">
        <v>359</v>
      </c>
      <c r="X55" s="13">
        <v>366</v>
      </c>
      <c r="Y55" s="13">
        <v>302</v>
      </c>
      <c r="Z55" s="13">
        <v>350</v>
      </c>
      <c r="AA55" s="13">
        <v>563</v>
      </c>
      <c r="AB55" s="13">
        <v>841</v>
      </c>
      <c r="AC55" s="13">
        <v>816</v>
      </c>
      <c r="AD55" s="13">
        <v>593</v>
      </c>
      <c r="AE55" s="13">
        <v>436</v>
      </c>
      <c r="AF55" s="13">
        <v>393</v>
      </c>
      <c r="AG55" s="13">
        <v>519</v>
      </c>
      <c r="AH55" s="13">
        <v>730</v>
      </c>
      <c r="AI55" s="13">
        <v>781</v>
      </c>
      <c r="AJ55" s="13">
        <v>575</v>
      </c>
    </row>
    <row r="56" spans="1:36" x14ac:dyDescent="0.3">
      <c r="A56" s="62" t="s">
        <v>95</v>
      </c>
      <c r="B56" s="73"/>
      <c r="C56" s="60">
        <v>3140559001</v>
      </c>
      <c r="D56" s="60" t="s">
        <v>395</v>
      </c>
      <c r="E56" s="60" t="s">
        <v>43</v>
      </c>
      <c r="F56" s="60" t="s">
        <v>35</v>
      </c>
      <c r="G56" s="60" t="s">
        <v>96</v>
      </c>
      <c r="H56" s="61">
        <v>44495</v>
      </c>
      <c r="I56" s="60">
        <f t="shared" si="0"/>
        <v>2021</v>
      </c>
      <c r="J56" s="60">
        <f t="shared" si="1"/>
        <v>10</v>
      </c>
      <c r="K56" s="60" t="str">
        <f t="shared" si="2"/>
        <v>2021_10</v>
      </c>
      <c r="L56" s="61" t="s">
        <v>37</v>
      </c>
      <c r="M56" s="11">
        <v>636</v>
      </c>
      <c r="N56" s="22">
        <v>747</v>
      </c>
      <c r="O56" s="23">
        <v>868</v>
      </c>
      <c r="P56" s="13">
        <v>839</v>
      </c>
      <c r="Q56" s="13">
        <v>817</v>
      </c>
      <c r="R56" s="13">
        <v>796</v>
      </c>
      <c r="S56" s="13">
        <v>667</v>
      </c>
      <c r="T56" s="13">
        <v>753</v>
      </c>
      <c r="U56" s="13">
        <v>929</v>
      </c>
      <c r="V56" s="13">
        <v>1001</v>
      </c>
      <c r="W56" s="13">
        <v>1075</v>
      </c>
      <c r="X56" s="13">
        <v>788</v>
      </c>
      <c r="Y56" s="13">
        <v>719</v>
      </c>
      <c r="Z56" s="13">
        <v>689</v>
      </c>
      <c r="AA56" s="13">
        <v>889</v>
      </c>
      <c r="AB56" s="13">
        <v>1138</v>
      </c>
      <c r="AC56" s="13">
        <v>880</v>
      </c>
      <c r="AD56" s="13">
        <v>809</v>
      </c>
      <c r="AE56" s="13">
        <v>778</v>
      </c>
      <c r="AF56" s="13">
        <v>804</v>
      </c>
      <c r="AG56" s="13">
        <v>785</v>
      </c>
      <c r="AH56" s="13">
        <v>1134</v>
      </c>
      <c r="AI56" s="13">
        <v>1009</v>
      </c>
      <c r="AJ56" s="13">
        <v>827</v>
      </c>
    </row>
    <row r="57" spans="1:36" x14ac:dyDescent="0.3">
      <c r="A57" s="60" t="s">
        <v>55</v>
      </c>
      <c r="B57" s="73"/>
      <c r="C57" s="60">
        <v>3011962000</v>
      </c>
      <c r="D57" s="60" t="s">
        <v>396</v>
      </c>
      <c r="E57" s="60" t="s">
        <v>34</v>
      </c>
      <c r="F57" s="60" t="s">
        <v>35</v>
      </c>
      <c r="G57" s="60" t="s">
        <v>97</v>
      </c>
      <c r="H57" s="61">
        <v>44506</v>
      </c>
      <c r="I57" s="60">
        <f t="shared" si="0"/>
        <v>2021</v>
      </c>
      <c r="J57" s="60">
        <f t="shared" si="1"/>
        <v>11</v>
      </c>
      <c r="K57" s="60" t="str">
        <f t="shared" si="2"/>
        <v>2021_11</v>
      </c>
      <c r="L57" s="61" t="s">
        <v>37</v>
      </c>
      <c r="M57" s="11">
        <v>1178</v>
      </c>
      <c r="N57" s="17">
        <v>1502</v>
      </c>
      <c r="O57" s="13">
        <v>2563</v>
      </c>
      <c r="P57" s="13">
        <v>2135</v>
      </c>
      <c r="Q57" s="13">
        <v>2173</v>
      </c>
      <c r="R57" s="13">
        <v>1120</v>
      </c>
      <c r="S57" s="13">
        <v>948</v>
      </c>
      <c r="T57" s="13">
        <v>958</v>
      </c>
      <c r="U57" s="13">
        <v>880</v>
      </c>
      <c r="V57" s="13">
        <v>493</v>
      </c>
      <c r="W57" s="13">
        <v>943</v>
      </c>
      <c r="X57" s="13">
        <v>928</v>
      </c>
      <c r="Y57" s="13">
        <v>905</v>
      </c>
      <c r="Z57" s="13">
        <v>1567</v>
      </c>
      <c r="AA57" s="13">
        <v>2076</v>
      </c>
      <c r="AB57" s="13">
        <v>2480</v>
      </c>
      <c r="AC57" s="13">
        <v>1956</v>
      </c>
      <c r="AD57" s="13">
        <v>1112</v>
      </c>
      <c r="AE57" s="13">
        <v>898</v>
      </c>
      <c r="AF57" s="13">
        <v>733</v>
      </c>
      <c r="AG57" s="13">
        <v>768</v>
      </c>
      <c r="AH57" s="13">
        <v>1341</v>
      </c>
      <c r="AI57" s="13">
        <v>1100</v>
      </c>
      <c r="AJ57" s="13">
        <v>827</v>
      </c>
    </row>
    <row r="58" spans="1:36" x14ac:dyDescent="0.3">
      <c r="A58" s="60" t="s">
        <v>55</v>
      </c>
      <c r="B58" s="73"/>
      <c r="C58" s="60">
        <v>3041381005</v>
      </c>
      <c r="D58" s="60" t="s">
        <v>397</v>
      </c>
      <c r="E58" s="60" t="s">
        <v>34</v>
      </c>
      <c r="F58" s="60" t="s">
        <v>35</v>
      </c>
      <c r="G58" s="60" t="s">
        <v>86</v>
      </c>
      <c r="H58" s="61">
        <v>44516</v>
      </c>
      <c r="I58" s="60">
        <f t="shared" si="0"/>
        <v>2021</v>
      </c>
      <c r="J58" s="60">
        <f t="shared" si="1"/>
        <v>11</v>
      </c>
      <c r="K58" s="60" t="str">
        <f t="shared" si="2"/>
        <v>2021_11</v>
      </c>
      <c r="L58" s="61" t="s">
        <v>37</v>
      </c>
      <c r="M58" s="11">
        <v>411</v>
      </c>
      <c r="N58" s="21">
        <v>527</v>
      </c>
      <c r="O58" s="13">
        <v>521</v>
      </c>
      <c r="P58" s="13">
        <v>506</v>
      </c>
      <c r="Q58" s="13">
        <v>491</v>
      </c>
      <c r="R58" s="13">
        <v>453</v>
      </c>
      <c r="S58" s="13">
        <v>486</v>
      </c>
      <c r="T58" s="13">
        <v>502</v>
      </c>
      <c r="U58" s="13">
        <v>574</v>
      </c>
      <c r="V58" s="13">
        <v>546</v>
      </c>
      <c r="W58" s="13">
        <v>559</v>
      </c>
      <c r="X58" s="13">
        <v>428</v>
      </c>
      <c r="Y58" s="13">
        <v>407</v>
      </c>
      <c r="Z58" s="13">
        <v>1227</v>
      </c>
      <c r="AA58" s="13">
        <v>1395</v>
      </c>
      <c r="AB58" s="13">
        <v>1779</v>
      </c>
      <c r="AC58" s="13">
        <v>1356</v>
      </c>
      <c r="AD58" s="13">
        <v>971</v>
      </c>
      <c r="AE58" s="13">
        <v>643</v>
      </c>
      <c r="AF58" s="13">
        <v>537</v>
      </c>
      <c r="AG58" s="13">
        <v>599</v>
      </c>
      <c r="AH58" s="13">
        <v>605</v>
      </c>
      <c r="AI58" s="13">
        <v>608</v>
      </c>
      <c r="AJ58" s="13">
        <v>570</v>
      </c>
    </row>
    <row r="59" spans="1:36" x14ac:dyDescent="0.3">
      <c r="A59" s="8" t="s">
        <v>33</v>
      </c>
      <c r="B59" s="73"/>
      <c r="C59" s="60">
        <v>3081585000</v>
      </c>
      <c r="D59" s="60" t="s">
        <v>398</v>
      </c>
      <c r="E59" s="60" t="s">
        <v>34</v>
      </c>
      <c r="F59" s="60" t="s">
        <v>35</v>
      </c>
      <c r="G59" s="60" t="s">
        <v>98</v>
      </c>
      <c r="H59" s="61">
        <v>44517</v>
      </c>
      <c r="I59" s="60">
        <f t="shared" si="0"/>
        <v>2021</v>
      </c>
      <c r="J59" s="60">
        <f t="shared" si="1"/>
        <v>11</v>
      </c>
      <c r="K59" s="60" t="str">
        <f t="shared" si="2"/>
        <v>2021_11</v>
      </c>
      <c r="L59" s="61" t="s">
        <v>37</v>
      </c>
      <c r="M59" s="11">
        <v>412</v>
      </c>
      <c r="N59" s="12">
        <v>458</v>
      </c>
      <c r="O59" s="13">
        <v>421</v>
      </c>
      <c r="P59" s="13">
        <v>352</v>
      </c>
      <c r="Q59" s="13">
        <v>366</v>
      </c>
      <c r="R59" s="13">
        <v>294</v>
      </c>
      <c r="S59" s="13">
        <v>323</v>
      </c>
      <c r="T59" s="13">
        <v>571</v>
      </c>
      <c r="U59" s="13">
        <v>543</v>
      </c>
      <c r="V59" s="13">
        <v>712</v>
      </c>
      <c r="W59" s="13">
        <v>547</v>
      </c>
      <c r="X59" s="13">
        <v>336</v>
      </c>
      <c r="Y59" s="13">
        <v>321</v>
      </c>
      <c r="Z59" s="13">
        <v>337</v>
      </c>
      <c r="AA59" s="13">
        <v>769</v>
      </c>
      <c r="AB59" s="13">
        <v>385</v>
      </c>
      <c r="AC59" s="13">
        <v>343</v>
      </c>
      <c r="AD59" s="13">
        <v>326</v>
      </c>
      <c r="AE59" s="13">
        <v>363</v>
      </c>
      <c r="AF59" s="13">
        <v>408</v>
      </c>
      <c r="AG59" s="13">
        <v>422</v>
      </c>
      <c r="AH59" s="13">
        <v>675</v>
      </c>
      <c r="AI59" s="13">
        <v>519</v>
      </c>
      <c r="AJ59" s="13">
        <v>354</v>
      </c>
    </row>
    <row r="60" spans="1:36" x14ac:dyDescent="0.3">
      <c r="A60" s="60" t="s">
        <v>46</v>
      </c>
      <c r="B60" s="73"/>
      <c r="C60" s="60">
        <v>3130072002</v>
      </c>
      <c r="D60" s="60" t="s">
        <v>364</v>
      </c>
      <c r="E60" s="60" t="s">
        <v>39</v>
      </c>
      <c r="F60" s="60" t="s">
        <v>35</v>
      </c>
      <c r="G60" s="60" t="s">
        <v>99</v>
      </c>
      <c r="H60" s="61">
        <v>44523</v>
      </c>
      <c r="I60" s="60">
        <f t="shared" si="0"/>
        <v>2021</v>
      </c>
      <c r="J60" s="60">
        <f t="shared" si="1"/>
        <v>11</v>
      </c>
      <c r="K60" s="60" t="str">
        <f t="shared" si="2"/>
        <v>2021_11</v>
      </c>
      <c r="L60" s="61" t="s">
        <v>37</v>
      </c>
      <c r="M60" s="11">
        <v>483</v>
      </c>
      <c r="N60" s="21">
        <v>632</v>
      </c>
      <c r="O60" s="13">
        <v>686</v>
      </c>
      <c r="P60" s="13">
        <v>718</v>
      </c>
      <c r="Q60" s="13">
        <v>634</v>
      </c>
      <c r="R60" s="13">
        <v>419</v>
      </c>
      <c r="S60" s="13">
        <v>422</v>
      </c>
      <c r="T60" s="13">
        <v>542</v>
      </c>
      <c r="U60" s="13">
        <v>1085</v>
      </c>
      <c r="V60" s="13">
        <v>873</v>
      </c>
      <c r="W60" s="13">
        <v>703</v>
      </c>
      <c r="X60" s="13">
        <v>413</v>
      </c>
      <c r="Y60" s="13">
        <v>468</v>
      </c>
      <c r="Z60" s="13">
        <v>1783</v>
      </c>
      <c r="AA60" s="13">
        <v>1597</v>
      </c>
      <c r="AB60" s="13">
        <v>639</v>
      </c>
      <c r="AC60" s="13">
        <v>450</v>
      </c>
      <c r="AD60" s="13">
        <v>377</v>
      </c>
      <c r="AE60" s="13">
        <v>641</v>
      </c>
      <c r="AF60" s="13">
        <v>659</v>
      </c>
      <c r="AG60" s="13">
        <v>996</v>
      </c>
      <c r="AH60" s="13">
        <v>1114</v>
      </c>
      <c r="AI60" s="13">
        <v>786</v>
      </c>
      <c r="AJ60" s="13">
        <v>453</v>
      </c>
    </row>
    <row r="61" spans="1:36" x14ac:dyDescent="0.3">
      <c r="A61" s="60" t="s">
        <v>55</v>
      </c>
      <c r="B61" s="73"/>
      <c r="C61" s="60">
        <v>3160797000</v>
      </c>
      <c r="D61" s="60" t="s">
        <v>399</v>
      </c>
      <c r="E61" s="60" t="s">
        <v>100</v>
      </c>
      <c r="F61" s="60" t="s">
        <v>35</v>
      </c>
      <c r="G61" s="60" t="s">
        <v>101</v>
      </c>
      <c r="H61" s="61">
        <v>44523</v>
      </c>
      <c r="I61" s="60">
        <f t="shared" si="0"/>
        <v>2021</v>
      </c>
      <c r="J61" s="60">
        <f t="shared" si="1"/>
        <v>11</v>
      </c>
      <c r="K61" s="60" t="str">
        <f t="shared" si="2"/>
        <v>2021_11</v>
      </c>
      <c r="L61" s="61" t="s">
        <v>37</v>
      </c>
      <c r="M61" s="11">
        <v>675</v>
      </c>
      <c r="N61" s="17">
        <v>1442</v>
      </c>
      <c r="O61" s="13">
        <v>699</v>
      </c>
      <c r="P61" s="13">
        <v>613</v>
      </c>
      <c r="Q61" s="13">
        <v>747</v>
      </c>
      <c r="R61" s="13">
        <v>552</v>
      </c>
      <c r="S61" s="13">
        <v>1153</v>
      </c>
      <c r="T61" s="13">
        <v>1882</v>
      </c>
      <c r="U61" s="13">
        <v>2009</v>
      </c>
      <c r="V61" s="13">
        <v>2034</v>
      </c>
      <c r="W61" s="13">
        <v>173</v>
      </c>
      <c r="X61" s="13">
        <v>1167</v>
      </c>
      <c r="Y61" s="13">
        <v>1482</v>
      </c>
      <c r="Z61" s="13">
        <v>866</v>
      </c>
      <c r="AA61" s="13">
        <v>4167</v>
      </c>
      <c r="AB61" s="13">
        <v>1494</v>
      </c>
      <c r="AC61" s="13">
        <v>895</v>
      </c>
      <c r="AD61" s="13">
        <v>703</v>
      </c>
      <c r="AE61" s="13">
        <v>1065</v>
      </c>
      <c r="AF61" s="13">
        <v>1237</v>
      </c>
      <c r="AG61" s="13">
        <v>1419</v>
      </c>
      <c r="AH61" s="13">
        <v>1745</v>
      </c>
      <c r="AI61" s="13">
        <v>1219</v>
      </c>
      <c r="AJ61" s="13">
        <v>732</v>
      </c>
    </row>
    <row r="62" spans="1:36" x14ac:dyDescent="0.3">
      <c r="A62" s="60" t="s">
        <v>95</v>
      </c>
      <c r="B62" s="73"/>
      <c r="C62" s="60">
        <v>3131411005</v>
      </c>
      <c r="D62" s="60" t="s">
        <v>371</v>
      </c>
      <c r="E62" s="60" t="s">
        <v>39</v>
      </c>
      <c r="F62" s="60" t="s">
        <v>35</v>
      </c>
      <c r="G62" s="60" t="s">
        <v>102</v>
      </c>
      <c r="H62" s="61">
        <v>44529</v>
      </c>
      <c r="I62" s="60">
        <f t="shared" si="0"/>
        <v>2021</v>
      </c>
      <c r="J62" s="60">
        <f t="shared" si="1"/>
        <v>11</v>
      </c>
      <c r="K62" s="60" t="str">
        <f t="shared" si="2"/>
        <v>2021_11</v>
      </c>
      <c r="L62" s="61" t="s">
        <v>37</v>
      </c>
      <c r="M62" s="11">
        <v>577</v>
      </c>
      <c r="N62" s="13">
        <v>991</v>
      </c>
      <c r="O62" s="13">
        <v>924</v>
      </c>
      <c r="P62" s="13">
        <v>979</v>
      </c>
      <c r="Q62" s="13">
        <v>755</v>
      </c>
      <c r="R62" s="13">
        <v>444</v>
      </c>
      <c r="S62" s="13">
        <v>359</v>
      </c>
      <c r="T62" s="13">
        <v>309</v>
      </c>
      <c r="U62" s="13">
        <v>388</v>
      </c>
      <c r="V62" s="13">
        <v>435</v>
      </c>
      <c r="W62" s="13">
        <v>350</v>
      </c>
      <c r="X62" s="13">
        <v>432</v>
      </c>
      <c r="Y62" s="13">
        <v>617</v>
      </c>
      <c r="Z62" s="13">
        <v>760</v>
      </c>
      <c r="AA62" s="13">
        <v>1039</v>
      </c>
      <c r="AB62" s="13">
        <v>926</v>
      </c>
      <c r="AC62" s="13">
        <v>678</v>
      </c>
      <c r="AD62" s="13">
        <v>418</v>
      </c>
      <c r="AE62" s="13">
        <v>349</v>
      </c>
      <c r="AF62" s="13">
        <v>267</v>
      </c>
      <c r="AG62" s="13">
        <v>403</v>
      </c>
      <c r="AH62" s="13">
        <v>413</v>
      </c>
      <c r="AI62" s="13">
        <v>320</v>
      </c>
      <c r="AJ62" s="13">
        <v>473</v>
      </c>
    </row>
    <row r="63" spans="1:36" x14ac:dyDescent="0.3">
      <c r="A63" s="60" t="s">
        <v>41</v>
      </c>
      <c r="B63" s="73"/>
      <c r="C63" s="60">
        <v>3041312000</v>
      </c>
      <c r="D63" s="60" t="s">
        <v>400</v>
      </c>
      <c r="E63" s="60" t="s">
        <v>34</v>
      </c>
      <c r="F63" s="60" t="s">
        <v>35</v>
      </c>
      <c r="G63" s="60" t="s">
        <v>103</v>
      </c>
      <c r="H63" s="61">
        <v>44530</v>
      </c>
      <c r="I63" s="60">
        <f t="shared" si="0"/>
        <v>2021</v>
      </c>
      <c r="J63" s="60">
        <f t="shared" si="1"/>
        <v>11</v>
      </c>
      <c r="K63" s="60" t="str">
        <f t="shared" si="2"/>
        <v>2021_11</v>
      </c>
      <c r="L63" s="61" t="s">
        <v>37</v>
      </c>
      <c r="M63" s="11">
        <v>758</v>
      </c>
      <c r="N63" s="23">
        <v>1232</v>
      </c>
      <c r="O63" s="13">
        <v>956</v>
      </c>
      <c r="P63" s="13">
        <v>840</v>
      </c>
      <c r="Q63" s="13">
        <v>920</v>
      </c>
      <c r="R63" s="13">
        <v>686</v>
      </c>
      <c r="S63" s="13">
        <v>728</v>
      </c>
      <c r="T63" s="13">
        <v>1096</v>
      </c>
      <c r="U63" s="13">
        <v>996</v>
      </c>
      <c r="V63" s="13">
        <v>798</v>
      </c>
      <c r="W63" s="13">
        <v>1390</v>
      </c>
      <c r="X63" s="13">
        <v>814</v>
      </c>
      <c r="Y63" s="13">
        <v>878</v>
      </c>
      <c r="Z63" s="13">
        <v>1390</v>
      </c>
      <c r="AA63" s="13">
        <v>1636</v>
      </c>
      <c r="AB63" s="13">
        <v>1030</v>
      </c>
      <c r="AC63" s="13">
        <v>958</v>
      </c>
      <c r="AD63" s="13">
        <v>686</v>
      </c>
      <c r="AE63" s="13">
        <v>760</v>
      </c>
      <c r="AF63" s="13">
        <v>1016</v>
      </c>
      <c r="AG63" s="13">
        <v>1012</v>
      </c>
      <c r="AH63" s="13">
        <v>1122</v>
      </c>
      <c r="AI63" s="13">
        <v>1044</v>
      </c>
      <c r="AJ63" s="13">
        <v>942</v>
      </c>
    </row>
    <row r="64" spans="1:36" x14ac:dyDescent="0.3">
      <c r="A64" s="60" t="s">
        <v>46</v>
      </c>
      <c r="B64" s="73"/>
      <c r="C64" s="60">
        <v>3021663000</v>
      </c>
      <c r="D64" s="60" t="s">
        <v>401</v>
      </c>
      <c r="E64" s="60" t="s">
        <v>39</v>
      </c>
      <c r="F64" s="60" t="s">
        <v>35</v>
      </c>
      <c r="G64" s="60" t="s">
        <v>104</v>
      </c>
      <c r="H64" s="61">
        <v>44533</v>
      </c>
      <c r="I64" s="60">
        <f t="shared" si="0"/>
        <v>2021</v>
      </c>
      <c r="J64" s="60">
        <f t="shared" si="1"/>
        <v>12</v>
      </c>
      <c r="K64" s="60" t="str">
        <f t="shared" si="2"/>
        <v>2021_12</v>
      </c>
      <c r="L64" s="61" t="s">
        <v>37</v>
      </c>
      <c r="M64" s="11">
        <v>806</v>
      </c>
      <c r="N64" s="17">
        <v>1168</v>
      </c>
      <c r="O64" s="13">
        <v>740</v>
      </c>
      <c r="P64" s="13">
        <v>608</v>
      </c>
      <c r="Q64" s="13">
        <v>432</v>
      </c>
      <c r="R64" s="13">
        <v>630</v>
      </c>
      <c r="S64" s="13">
        <v>1010</v>
      </c>
      <c r="T64" s="13">
        <v>1736</v>
      </c>
      <c r="U64" s="13">
        <v>1438</v>
      </c>
      <c r="V64" s="13">
        <v>796</v>
      </c>
      <c r="W64" s="13">
        <v>452</v>
      </c>
      <c r="X64" s="13">
        <v>578</v>
      </c>
      <c r="Y64" s="13">
        <v>1138</v>
      </c>
      <c r="Z64" s="13">
        <v>1840</v>
      </c>
      <c r="AA64" s="13">
        <v>1314</v>
      </c>
      <c r="AB64" s="13">
        <v>1114</v>
      </c>
      <c r="AC64" s="13">
        <v>742</v>
      </c>
      <c r="AD64" s="13">
        <v>474</v>
      </c>
      <c r="AE64" s="13">
        <v>574</v>
      </c>
      <c r="AF64" s="13">
        <v>912</v>
      </c>
      <c r="AG64" s="13">
        <v>1036</v>
      </c>
      <c r="AH64" s="13">
        <v>832</v>
      </c>
      <c r="AI64" s="13">
        <v>484</v>
      </c>
      <c r="AJ64" s="13">
        <v>990</v>
      </c>
    </row>
    <row r="65" spans="1:36" x14ac:dyDescent="0.3">
      <c r="A65" s="8" t="s">
        <v>33</v>
      </c>
      <c r="B65" s="73"/>
      <c r="C65" s="60">
        <v>3160990001</v>
      </c>
      <c r="D65" s="60" t="s">
        <v>402</v>
      </c>
      <c r="E65" s="60" t="s">
        <v>100</v>
      </c>
      <c r="F65" s="60" t="s">
        <v>35</v>
      </c>
      <c r="G65" s="60" t="s">
        <v>105</v>
      </c>
      <c r="H65" s="61">
        <v>44536</v>
      </c>
      <c r="I65" s="60">
        <f t="shared" si="0"/>
        <v>2021</v>
      </c>
      <c r="J65" s="60">
        <f t="shared" si="1"/>
        <v>12</v>
      </c>
      <c r="K65" s="60" t="str">
        <f t="shared" si="2"/>
        <v>2021_12</v>
      </c>
      <c r="L65" s="61" t="s">
        <v>37</v>
      </c>
      <c r="M65" s="11">
        <v>1846</v>
      </c>
      <c r="N65" s="17">
        <v>1702</v>
      </c>
      <c r="O65" s="13">
        <v>2029</v>
      </c>
      <c r="P65" s="13">
        <v>1716</v>
      </c>
      <c r="Q65" s="13">
        <v>872</v>
      </c>
      <c r="R65" s="13">
        <v>677</v>
      </c>
      <c r="S65" s="13">
        <v>738</v>
      </c>
      <c r="T65" s="13">
        <v>785</v>
      </c>
      <c r="U65" s="13">
        <v>753</v>
      </c>
      <c r="V65" s="13">
        <v>692</v>
      </c>
      <c r="W65" s="13">
        <v>661</v>
      </c>
      <c r="X65" s="13">
        <v>922</v>
      </c>
      <c r="Y65" s="13">
        <v>1319</v>
      </c>
      <c r="Z65" s="13">
        <v>2400</v>
      </c>
      <c r="AA65" s="13">
        <v>1945</v>
      </c>
      <c r="AB65" s="13">
        <v>1667</v>
      </c>
      <c r="AC65" s="13">
        <v>1082</v>
      </c>
      <c r="AD65" s="13">
        <v>861</v>
      </c>
      <c r="AE65" s="13">
        <v>918</v>
      </c>
      <c r="AF65" s="13">
        <v>959</v>
      </c>
      <c r="AG65" s="13">
        <v>986</v>
      </c>
      <c r="AH65" s="13">
        <v>744</v>
      </c>
      <c r="AI65" s="13">
        <v>902</v>
      </c>
      <c r="AJ65" s="13">
        <v>1402</v>
      </c>
    </row>
    <row r="66" spans="1:36" x14ac:dyDescent="0.3">
      <c r="A66" s="8" t="s">
        <v>33</v>
      </c>
      <c r="B66" s="73"/>
      <c r="C66" s="60">
        <v>3121467000</v>
      </c>
      <c r="D66" s="60" t="s">
        <v>403</v>
      </c>
      <c r="E66" s="60" t="s">
        <v>39</v>
      </c>
      <c r="F66" s="60" t="s">
        <v>35</v>
      </c>
      <c r="G66" s="60" t="s">
        <v>106</v>
      </c>
      <c r="H66" s="61">
        <v>44537</v>
      </c>
      <c r="I66" s="60">
        <f t="shared" si="0"/>
        <v>2021</v>
      </c>
      <c r="J66" s="60">
        <f t="shared" si="1"/>
        <v>12</v>
      </c>
      <c r="K66" s="60" t="str">
        <f t="shared" si="2"/>
        <v>2021_12</v>
      </c>
      <c r="L66" s="61" t="s">
        <v>37</v>
      </c>
      <c r="M66" s="11">
        <v>660</v>
      </c>
      <c r="N66" s="21">
        <v>590</v>
      </c>
      <c r="O66" s="13">
        <v>558</v>
      </c>
      <c r="P66" s="13">
        <v>539</v>
      </c>
      <c r="Q66" s="13">
        <v>485</v>
      </c>
      <c r="R66" s="13">
        <v>524</v>
      </c>
      <c r="S66" s="13">
        <v>609</v>
      </c>
      <c r="T66" s="13">
        <v>822</v>
      </c>
      <c r="U66" s="13">
        <v>863</v>
      </c>
      <c r="V66" s="13">
        <v>761</v>
      </c>
      <c r="W66" s="13">
        <v>508</v>
      </c>
      <c r="X66" s="13">
        <v>522</v>
      </c>
      <c r="Y66" s="13">
        <v>841</v>
      </c>
      <c r="Z66" s="13">
        <v>1006</v>
      </c>
      <c r="AA66" s="13">
        <v>590</v>
      </c>
      <c r="AB66" s="13">
        <v>529</v>
      </c>
      <c r="AC66" s="13">
        <v>494</v>
      </c>
      <c r="AD66" s="13">
        <v>503</v>
      </c>
      <c r="AE66" s="13">
        <v>449</v>
      </c>
      <c r="AF66" s="13">
        <v>447</v>
      </c>
      <c r="AG66" s="13">
        <v>455</v>
      </c>
      <c r="AH66" s="13">
        <v>404</v>
      </c>
      <c r="AI66" s="13">
        <v>461</v>
      </c>
      <c r="AJ66" s="13">
        <v>561</v>
      </c>
    </row>
    <row r="67" spans="1:36" x14ac:dyDescent="0.3">
      <c r="A67" s="60" t="s">
        <v>55</v>
      </c>
      <c r="B67" s="73"/>
      <c r="C67" s="60">
        <v>3142258001</v>
      </c>
      <c r="D67" s="60" t="s">
        <v>404</v>
      </c>
      <c r="E67" s="60" t="s">
        <v>43</v>
      </c>
      <c r="F67" s="60" t="s">
        <v>35</v>
      </c>
      <c r="G67" s="60" t="s">
        <v>107</v>
      </c>
      <c r="H67" s="61">
        <v>44543</v>
      </c>
      <c r="I67" s="60">
        <f t="shared" ref="I67:I130" si="3">YEAR(H67)</f>
        <v>2021</v>
      </c>
      <c r="J67" s="60">
        <f t="shared" ref="J67:J130" si="4">MONTH(H67)</f>
        <v>12</v>
      </c>
      <c r="K67" s="60" t="str">
        <f t="shared" ref="K67:K130" si="5">I67&amp;"_"&amp;J67</f>
        <v>2021_12</v>
      </c>
      <c r="L67" s="61" t="s">
        <v>37</v>
      </c>
      <c r="M67" s="11">
        <v>0</v>
      </c>
      <c r="N67" s="21">
        <v>0</v>
      </c>
      <c r="O67" s="13">
        <v>2417</v>
      </c>
      <c r="P67" s="13">
        <v>3906</v>
      </c>
      <c r="Q67" s="13">
        <v>2925</v>
      </c>
      <c r="R67" s="13">
        <v>1596</v>
      </c>
      <c r="S67" s="13">
        <v>1244</v>
      </c>
      <c r="T67" s="13">
        <v>1141</v>
      </c>
      <c r="U67" s="13">
        <v>1383</v>
      </c>
      <c r="V67" s="13">
        <v>1151</v>
      </c>
      <c r="W67" s="13">
        <v>1231</v>
      </c>
      <c r="X67" s="13">
        <v>1134</v>
      </c>
      <c r="Y67" s="13">
        <v>1824</v>
      </c>
      <c r="Z67" s="13">
        <v>2538</v>
      </c>
      <c r="AA67" s="13">
        <v>4238</v>
      </c>
      <c r="AB67" s="13">
        <v>4163</v>
      </c>
      <c r="AC67" s="13">
        <v>3225</v>
      </c>
      <c r="AD67" s="13">
        <v>2122</v>
      </c>
      <c r="AE67" s="13">
        <v>1632</v>
      </c>
      <c r="AF67" s="13">
        <v>1321</v>
      </c>
      <c r="AG67" s="13">
        <v>1634</v>
      </c>
      <c r="AH67" s="13">
        <v>1584</v>
      </c>
      <c r="AI67" s="13">
        <v>1520</v>
      </c>
      <c r="AJ67" s="13">
        <v>444</v>
      </c>
    </row>
    <row r="68" spans="1:36" x14ac:dyDescent="0.3">
      <c r="A68" s="60" t="s">
        <v>55</v>
      </c>
      <c r="B68" s="73"/>
      <c r="C68" s="60">
        <v>3112044001</v>
      </c>
      <c r="D68" s="60" t="s">
        <v>405</v>
      </c>
      <c r="E68" s="60" t="s">
        <v>39</v>
      </c>
      <c r="F68" s="60" t="s">
        <v>35</v>
      </c>
      <c r="G68" s="60" t="s">
        <v>108</v>
      </c>
      <c r="H68" s="61">
        <v>44544</v>
      </c>
      <c r="I68" s="60">
        <f t="shared" si="3"/>
        <v>2021</v>
      </c>
      <c r="J68" s="60">
        <f t="shared" si="4"/>
        <v>12</v>
      </c>
      <c r="K68" s="60" t="str">
        <f t="shared" si="5"/>
        <v>2021_12</v>
      </c>
      <c r="L68" s="61" t="s">
        <v>37</v>
      </c>
      <c r="M68" s="11">
        <v>1456</v>
      </c>
      <c r="N68" s="21">
        <v>1448</v>
      </c>
      <c r="O68" s="13">
        <v>1082</v>
      </c>
      <c r="P68" s="13">
        <v>976</v>
      </c>
      <c r="Q68" s="13">
        <v>770</v>
      </c>
      <c r="R68" s="13">
        <v>684</v>
      </c>
      <c r="S68" s="13">
        <v>838</v>
      </c>
      <c r="T68" s="13">
        <v>924</v>
      </c>
      <c r="U68" s="13">
        <v>1060</v>
      </c>
      <c r="V68" s="13">
        <v>864</v>
      </c>
      <c r="W68" s="13">
        <v>784</v>
      </c>
      <c r="X68" s="13">
        <v>924</v>
      </c>
      <c r="Y68" s="13">
        <v>1172</v>
      </c>
      <c r="Z68" s="13">
        <v>2858</v>
      </c>
      <c r="AA68" s="13">
        <v>2356</v>
      </c>
      <c r="AB68" s="13">
        <v>1660</v>
      </c>
      <c r="AC68" s="13">
        <v>1224</v>
      </c>
      <c r="AD68" s="13">
        <v>942</v>
      </c>
      <c r="AE68" s="13">
        <v>720</v>
      </c>
      <c r="AF68" s="13">
        <v>852</v>
      </c>
      <c r="AG68" s="13">
        <v>1092</v>
      </c>
      <c r="AH68" s="13">
        <v>864</v>
      </c>
      <c r="AI68" s="13">
        <v>1028</v>
      </c>
      <c r="AJ68" s="13">
        <v>1172</v>
      </c>
    </row>
    <row r="69" spans="1:36" x14ac:dyDescent="0.3">
      <c r="A69" s="60" t="s">
        <v>41</v>
      </c>
      <c r="B69" s="73"/>
      <c r="C69" s="60">
        <v>3160820000</v>
      </c>
      <c r="D69" s="60" t="s">
        <v>406</v>
      </c>
      <c r="E69" s="60" t="s">
        <v>100</v>
      </c>
      <c r="F69" s="60" t="s">
        <v>35</v>
      </c>
      <c r="G69" s="60" t="s">
        <v>109</v>
      </c>
      <c r="H69" s="61">
        <v>44544</v>
      </c>
      <c r="I69" s="60">
        <f t="shared" si="3"/>
        <v>2021</v>
      </c>
      <c r="J69" s="60">
        <f t="shared" si="4"/>
        <v>12</v>
      </c>
      <c r="K69" s="60" t="str">
        <f t="shared" si="5"/>
        <v>2021_12</v>
      </c>
      <c r="L69" s="61" t="s">
        <v>37</v>
      </c>
      <c r="M69" s="11">
        <v>1096</v>
      </c>
      <c r="N69" s="21">
        <v>783</v>
      </c>
      <c r="O69" s="13">
        <v>875</v>
      </c>
      <c r="P69" s="13">
        <v>845</v>
      </c>
      <c r="Q69" s="13">
        <v>694</v>
      </c>
      <c r="R69" s="13">
        <v>1009</v>
      </c>
      <c r="S69" s="13">
        <v>1396</v>
      </c>
      <c r="T69" s="13">
        <v>1430</v>
      </c>
      <c r="U69" s="13">
        <v>1330</v>
      </c>
      <c r="V69" s="13">
        <v>1034</v>
      </c>
      <c r="W69" s="13">
        <v>674</v>
      </c>
      <c r="X69" s="13">
        <v>1192</v>
      </c>
      <c r="Y69" s="13">
        <v>879</v>
      </c>
      <c r="Z69" s="13">
        <v>2896</v>
      </c>
      <c r="AA69" s="13">
        <v>1593</v>
      </c>
      <c r="AB69" s="13">
        <v>1415</v>
      </c>
      <c r="AC69" s="13">
        <v>952</v>
      </c>
      <c r="AD69" s="13">
        <v>833</v>
      </c>
      <c r="AE69" s="13">
        <v>1013</v>
      </c>
      <c r="AF69" s="13">
        <v>1119</v>
      </c>
      <c r="AG69" s="13">
        <v>1004</v>
      </c>
      <c r="AH69" s="13">
        <v>667</v>
      </c>
      <c r="AI69" s="13">
        <v>706</v>
      </c>
      <c r="AJ69" s="13">
        <v>909</v>
      </c>
    </row>
    <row r="70" spans="1:36" x14ac:dyDescent="0.3">
      <c r="A70" s="60" t="s">
        <v>55</v>
      </c>
      <c r="B70" s="73"/>
      <c r="C70" s="60">
        <v>3011511001</v>
      </c>
      <c r="D70" s="60" t="s">
        <v>407</v>
      </c>
      <c r="E70" s="60" t="s">
        <v>34</v>
      </c>
      <c r="F70" s="60" t="s">
        <v>35</v>
      </c>
      <c r="G70" s="60" t="s">
        <v>110</v>
      </c>
      <c r="H70" s="61">
        <v>44545</v>
      </c>
      <c r="I70" s="60">
        <f t="shared" si="3"/>
        <v>2021</v>
      </c>
      <c r="J70" s="60">
        <f t="shared" si="4"/>
        <v>12</v>
      </c>
      <c r="K70" s="60" t="str">
        <f t="shared" si="5"/>
        <v>2021_12</v>
      </c>
      <c r="L70" s="61" t="s">
        <v>37</v>
      </c>
      <c r="M70" s="11">
        <v>0</v>
      </c>
      <c r="N70" s="12">
        <v>0</v>
      </c>
      <c r="O70" s="13">
        <v>0</v>
      </c>
      <c r="P70" s="13">
        <v>0</v>
      </c>
      <c r="Q70" s="13">
        <v>0</v>
      </c>
      <c r="R70" s="13">
        <v>90</v>
      </c>
      <c r="S70" s="13">
        <v>244</v>
      </c>
      <c r="T70" s="13">
        <v>688</v>
      </c>
      <c r="U70" s="13">
        <v>588</v>
      </c>
      <c r="V70" s="13">
        <v>948</v>
      </c>
      <c r="W70" s="13">
        <v>718</v>
      </c>
      <c r="X70" s="13">
        <v>698</v>
      </c>
      <c r="Y70" s="13">
        <v>1044</v>
      </c>
      <c r="Z70" s="13">
        <v>962</v>
      </c>
      <c r="AA70" s="13">
        <v>1288</v>
      </c>
      <c r="AB70" s="13">
        <v>1132</v>
      </c>
      <c r="AC70" s="13">
        <v>834</v>
      </c>
      <c r="AD70" s="13">
        <v>640</v>
      </c>
      <c r="AE70" s="13">
        <v>802</v>
      </c>
      <c r="AF70" s="13">
        <v>780</v>
      </c>
      <c r="AG70" s="13">
        <v>1224</v>
      </c>
      <c r="AH70" s="13">
        <v>1316</v>
      </c>
      <c r="AI70" s="13">
        <v>1218</v>
      </c>
      <c r="AJ70" s="13">
        <v>1174</v>
      </c>
    </row>
    <row r="71" spans="1:36" x14ac:dyDescent="0.3">
      <c r="A71" s="60" t="s">
        <v>41</v>
      </c>
      <c r="B71" s="73"/>
      <c r="C71" s="60">
        <v>3011883000</v>
      </c>
      <c r="D71" s="60" t="s">
        <v>408</v>
      </c>
      <c r="E71" s="60" t="s">
        <v>34</v>
      </c>
      <c r="F71" s="60" t="s">
        <v>35</v>
      </c>
      <c r="G71" s="60" t="s">
        <v>111</v>
      </c>
      <c r="H71" s="61">
        <v>44552</v>
      </c>
      <c r="I71" s="60">
        <f t="shared" si="3"/>
        <v>2021</v>
      </c>
      <c r="J71" s="60">
        <f t="shared" si="4"/>
        <v>12</v>
      </c>
      <c r="K71" s="60" t="str">
        <f t="shared" si="5"/>
        <v>2021_12</v>
      </c>
      <c r="L71" s="61" t="s">
        <v>37</v>
      </c>
      <c r="M71" s="11">
        <v>487</v>
      </c>
      <c r="N71" s="21">
        <v>576</v>
      </c>
      <c r="O71" s="13">
        <v>449</v>
      </c>
      <c r="P71" s="13">
        <v>499</v>
      </c>
      <c r="Q71" s="13">
        <v>409</v>
      </c>
      <c r="R71" s="13">
        <v>354</v>
      </c>
      <c r="S71" s="13">
        <v>556</v>
      </c>
      <c r="T71" s="13">
        <v>734</v>
      </c>
      <c r="U71" s="13">
        <v>679</v>
      </c>
      <c r="V71" s="13">
        <v>850</v>
      </c>
      <c r="W71" s="13">
        <v>488</v>
      </c>
      <c r="X71" s="13">
        <v>408</v>
      </c>
      <c r="Y71" s="13">
        <v>544</v>
      </c>
      <c r="Z71" s="13">
        <v>753</v>
      </c>
      <c r="AA71" s="13">
        <v>1646</v>
      </c>
      <c r="AB71" s="13">
        <v>1933</v>
      </c>
      <c r="AC71" s="13">
        <v>981</v>
      </c>
      <c r="AD71" s="13">
        <v>671</v>
      </c>
      <c r="AE71" s="13">
        <v>701</v>
      </c>
      <c r="AF71" s="13">
        <v>673</v>
      </c>
      <c r="AG71" s="13">
        <v>961</v>
      </c>
      <c r="AH71" s="13">
        <v>786</v>
      </c>
      <c r="AI71" s="13">
        <v>560</v>
      </c>
      <c r="AJ71" s="13">
        <v>615</v>
      </c>
    </row>
    <row r="72" spans="1:36" x14ac:dyDescent="0.3">
      <c r="A72" s="60" t="s">
        <v>41</v>
      </c>
      <c r="B72" s="73"/>
      <c r="C72" s="60">
        <v>3051531001</v>
      </c>
      <c r="D72" s="60" t="s">
        <v>409</v>
      </c>
      <c r="E72" s="60" t="s">
        <v>34</v>
      </c>
      <c r="F72" s="60" t="s">
        <v>35</v>
      </c>
      <c r="G72" s="60" t="s">
        <v>112</v>
      </c>
      <c r="H72" s="61">
        <v>44557</v>
      </c>
      <c r="I72" s="60">
        <f t="shared" si="3"/>
        <v>2021</v>
      </c>
      <c r="J72" s="60">
        <f t="shared" si="4"/>
        <v>12</v>
      </c>
      <c r="K72" s="60" t="str">
        <f t="shared" si="5"/>
        <v>2021_12</v>
      </c>
      <c r="L72" s="61" t="s">
        <v>37</v>
      </c>
      <c r="M72" s="11">
        <v>758</v>
      </c>
      <c r="N72" s="21">
        <v>900</v>
      </c>
      <c r="O72" s="13">
        <v>707</v>
      </c>
      <c r="P72" s="13">
        <v>785</v>
      </c>
      <c r="Q72" s="13">
        <v>652</v>
      </c>
      <c r="R72" s="13">
        <v>639</v>
      </c>
      <c r="S72" s="13">
        <v>716</v>
      </c>
      <c r="T72" s="13">
        <v>859</v>
      </c>
      <c r="U72" s="13">
        <v>811</v>
      </c>
      <c r="V72" s="13">
        <v>932</v>
      </c>
      <c r="W72" s="13">
        <v>677</v>
      </c>
      <c r="X72" s="13">
        <v>703</v>
      </c>
      <c r="Y72" s="13">
        <v>731</v>
      </c>
      <c r="Z72" s="13">
        <v>846</v>
      </c>
      <c r="AA72" s="13">
        <v>790</v>
      </c>
      <c r="AB72" s="13">
        <v>785</v>
      </c>
      <c r="AC72" s="13">
        <v>677</v>
      </c>
      <c r="AD72" s="13">
        <v>642</v>
      </c>
      <c r="AE72" s="13">
        <v>900</v>
      </c>
      <c r="AF72" s="13">
        <v>839</v>
      </c>
      <c r="AG72" s="13">
        <v>1048</v>
      </c>
      <c r="AH72" s="13">
        <v>937</v>
      </c>
      <c r="AI72" s="13">
        <v>761</v>
      </c>
      <c r="AJ72" s="13">
        <v>708</v>
      </c>
    </row>
    <row r="73" spans="1:36" x14ac:dyDescent="0.3">
      <c r="A73" s="8" t="s">
        <v>33</v>
      </c>
      <c r="B73" s="73"/>
      <c r="C73" s="60">
        <v>3010641000</v>
      </c>
      <c r="D73" s="60" t="s">
        <v>410</v>
      </c>
      <c r="E73" s="60" t="s">
        <v>34</v>
      </c>
      <c r="F73" s="60" t="s">
        <v>35</v>
      </c>
      <c r="G73" s="60" t="s">
        <v>113</v>
      </c>
      <c r="H73" s="61">
        <v>44560</v>
      </c>
      <c r="I73" s="60">
        <f t="shared" si="3"/>
        <v>2021</v>
      </c>
      <c r="J73" s="60">
        <f t="shared" si="4"/>
        <v>12</v>
      </c>
      <c r="K73" s="60" t="str">
        <f t="shared" si="5"/>
        <v>2021_12</v>
      </c>
      <c r="L73" s="61" t="s">
        <v>37</v>
      </c>
      <c r="M73" s="11">
        <v>926</v>
      </c>
      <c r="N73" s="21">
        <v>1163</v>
      </c>
      <c r="O73" s="13">
        <v>1075</v>
      </c>
      <c r="P73" s="13">
        <v>1189</v>
      </c>
      <c r="Q73" s="13">
        <v>855</v>
      </c>
      <c r="R73" s="13">
        <v>679</v>
      </c>
      <c r="S73" s="13">
        <v>726</v>
      </c>
      <c r="T73" s="13">
        <v>1145</v>
      </c>
      <c r="U73" s="13">
        <v>1160</v>
      </c>
      <c r="V73" s="13">
        <v>1371</v>
      </c>
      <c r="W73" s="13">
        <v>741</v>
      </c>
      <c r="X73" s="13">
        <v>514</v>
      </c>
      <c r="Y73" s="13">
        <v>1193</v>
      </c>
      <c r="Z73" s="13">
        <v>1440</v>
      </c>
      <c r="AA73" s="13">
        <v>4588</v>
      </c>
      <c r="AB73" s="13">
        <v>3604</v>
      </c>
      <c r="AC73" s="13">
        <v>1610</v>
      </c>
      <c r="AD73" s="13">
        <v>854</v>
      </c>
      <c r="AE73" s="13">
        <v>734</v>
      </c>
      <c r="AF73" s="13">
        <v>866</v>
      </c>
      <c r="AG73" s="13">
        <v>1314</v>
      </c>
      <c r="AH73" s="13">
        <v>1094</v>
      </c>
      <c r="AI73" s="13">
        <v>760</v>
      </c>
      <c r="AJ73" s="13">
        <v>1074</v>
      </c>
    </row>
    <row r="74" spans="1:36" x14ac:dyDescent="0.3">
      <c r="A74" s="60" t="s">
        <v>33</v>
      </c>
      <c r="B74" s="73"/>
      <c r="C74" s="60">
        <v>3121831003</v>
      </c>
      <c r="D74" s="60" t="s">
        <v>411</v>
      </c>
      <c r="E74" s="60" t="s">
        <v>39</v>
      </c>
      <c r="F74" s="60" t="s">
        <v>35</v>
      </c>
      <c r="G74" s="60" t="s">
        <v>114</v>
      </c>
      <c r="H74" s="61">
        <v>44564</v>
      </c>
      <c r="I74" s="60">
        <f t="shared" si="3"/>
        <v>2022</v>
      </c>
      <c r="J74" s="60">
        <f t="shared" si="4"/>
        <v>1</v>
      </c>
      <c r="K74" s="60" t="str">
        <f t="shared" si="5"/>
        <v>2022_1</v>
      </c>
      <c r="L74" s="61" t="s">
        <v>37</v>
      </c>
      <c r="M74" s="11">
        <v>0</v>
      </c>
      <c r="N74" s="12">
        <v>0</v>
      </c>
      <c r="O74" s="13">
        <v>0</v>
      </c>
      <c r="P74" s="13">
        <v>0</v>
      </c>
      <c r="Q74" s="13">
        <v>0</v>
      </c>
      <c r="R74" s="13">
        <v>0</v>
      </c>
      <c r="S74" s="13">
        <v>623</v>
      </c>
      <c r="T74" s="13">
        <v>1770</v>
      </c>
      <c r="U74" s="13">
        <v>1358</v>
      </c>
      <c r="V74" s="13">
        <v>1196</v>
      </c>
      <c r="W74" s="13">
        <v>792</v>
      </c>
      <c r="X74" s="13">
        <v>1002</v>
      </c>
      <c r="Y74" s="13">
        <v>1387</v>
      </c>
      <c r="Z74" s="13">
        <v>1435</v>
      </c>
      <c r="AA74" s="13">
        <v>1096</v>
      </c>
      <c r="AB74" s="13">
        <v>829</v>
      </c>
      <c r="AC74" s="13">
        <v>1268</v>
      </c>
      <c r="AD74" s="13">
        <v>1264</v>
      </c>
      <c r="AE74" s="13">
        <v>1588</v>
      </c>
      <c r="AF74" s="13">
        <v>1859</v>
      </c>
      <c r="AG74" s="13">
        <v>1492</v>
      </c>
      <c r="AH74" s="13">
        <v>1518</v>
      </c>
      <c r="AI74" s="13">
        <v>1534</v>
      </c>
      <c r="AJ74" s="13">
        <v>2654</v>
      </c>
    </row>
    <row r="75" spans="1:36" x14ac:dyDescent="0.3">
      <c r="A75" s="60" t="s">
        <v>33</v>
      </c>
      <c r="B75" s="73"/>
      <c r="C75" s="60">
        <v>3121069000</v>
      </c>
      <c r="D75" s="60" t="s">
        <v>412</v>
      </c>
      <c r="E75" s="60" t="s">
        <v>39</v>
      </c>
      <c r="F75" s="60" t="s">
        <v>35</v>
      </c>
      <c r="G75" s="60" t="s">
        <v>115</v>
      </c>
      <c r="H75" s="61">
        <v>44580</v>
      </c>
      <c r="I75" s="60">
        <f t="shared" si="3"/>
        <v>2022</v>
      </c>
      <c r="J75" s="60">
        <f t="shared" si="4"/>
        <v>1</v>
      </c>
      <c r="K75" s="60" t="str">
        <f t="shared" si="5"/>
        <v>2022_1</v>
      </c>
      <c r="L75" s="61" t="s">
        <v>37</v>
      </c>
      <c r="M75" s="11">
        <v>1329</v>
      </c>
      <c r="N75" s="21">
        <v>1589</v>
      </c>
      <c r="O75" s="13">
        <v>1508</v>
      </c>
      <c r="P75" s="13">
        <v>801</v>
      </c>
      <c r="Q75" s="13">
        <v>945</v>
      </c>
      <c r="R75" s="13">
        <v>1437</v>
      </c>
      <c r="S75" s="13">
        <v>1479</v>
      </c>
      <c r="T75" s="13">
        <v>1354</v>
      </c>
      <c r="U75" s="13">
        <v>1296</v>
      </c>
      <c r="V75" s="13">
        <v>886</v>
      </c>
      <c r="W75" s="13">
        <v>791</v>
      </c>
      <c r="X75" s="13">
        <v>1000</v>
      </c>
      <c r="Y75" s="13">
        <v>1129</v>
      </c>
      <c r="Z75" s="13">
        <v>1130</v>
      </c>
      <c r="AA75" s="13">
        <v>697</v>
      </c>
      <c r="AB75" s="13">
        <v>821</v>
      </c>
      <c r="AC75" s="13">
        <v>811</v>
      </c>
      <c r="AD75" s="13">
        <v>1428</v>
      </c>
      <c r="AE75" s="13">
        <v>1650</v>
      </c>
      <c r="AF75" s="13">
        <v>1912</v>
      </c>
      <c r="AG75" s="13">
        <v>1311</v>
      </c>
      <c r="AH75" s="13">
        <v>796</v>
      </c>
      <c r="AI75" s="13">
        <v>704</v>
      </c>
      <c r="AJ75" s="13">
        <v>946</v>
      </c>
    </row>
    <row r="76" spans="1:36" x14ac:dyDescent="0.3">
      <c r="A76" s="60" t="s">
        <v>41</v>
      </c>
      <c r="B76" s="73"/>
      <c r="C76" s="60">
        <v>3101519000</v>
      </c>
      <c r="D76" s="60" t="s">
        <v>413</v>
      </c>
      <c r="E76" s="60" t="s">
        <v>34</v>
      </c>
      <c r="F76" s="60" t="s">
        <v>35</v>
      </c>
      <c r="G76" s="60" t="s">
        <v>116</v>
      </c>
      <c r="H76" s="61">
        <v>44600</v>
      </c>
      <c r="I76" s="60">
        <f t="shared" si="3"/>
        <v>2022</v>
      </c>
      <c r="J76" s="60">
        <f t="shared" si="4"/>
        <v>2</v>
      </c>
      <c r="K76" s="60" t="str">
        <f t="shared" si="5"/>
        <v>2022_2</v>
      </c>
      <c r="L76" s="61" t="s">
        <v>37</v>
      </c>
      <c r="M76" s="11">
        <v>428</v>
      </c>
      <c r="N76" s="17">
        <v>355</v>
      </c>
      <c r="O76" s="13">
        <v>327</v>
      </c>
      <c r="P76" s="13">
        <v>361</v>
      </c>
      <c r="Q76" s="13">
        <v>480</v>
      </c>
      <c r="R76" s="13">
        <v>786</v>
      </c>
      <c r="S76" s="13">
        <v>665</v>
      </c>
      <c r="T76" s="13">
        <v>644</v>
      </c>
      <c r="U76" s="13">
        <v>318</v>
      </c>
      <c r="V76" s="13">
        <v>320</v>
      </c>
      <c r="W76" s="13">
        <v>343</v>
      </c>
      <c r="X76" s="13">
        <v>361</v>
      </c>
      <c r="Y76" s="13">
        <v>270</v>
      </c>
      <c r="Z76" s="13">
        <v>355</v>
      </c>
      <c r="AA76" s="13">
        <v>321</v>
      </c>
      <c r="AB76" s="13">
        <v>334</v>
      </c>
      <c r="AC76" s="13">
        <v>323</v>
      </c>
      <c r="AD76" s="13">
        <v>414</v>
      </c>
      <c r="AE76" s="13">
        <v>484</v>
      </c>
      <c r="AF76" s="13">
        <v>430</v>
      </c>
      <c r="AG76" s="13">
        <v>378</v>
      </c>
      <c r="AH76" s="13">
        <v>291</v>
      </c>
      <c r="AI76" s="13">
        <v>324</v>
      </c>
      <c r="AJ76" s="13">
        <v>390</v>
      </c>
    </row>
    <row r="77" spans="1:36" x14ac:dyDescent="0.3">
      <c r="A77" s="24" t="s">
        <v>117</v>
      </c>
      <c r="B77" s="73"/>
      <c r="C77" s="60">
        <v>3111836001</v>
      </c>
      <c r="D77" s="60" t="s">
        <v>414</v>
      </c>
      <c r="E77" s="60" t="s">
        <v>100</v>
      </c>
      <c r="F77" s="60" t="s">
        <v>35</v>
      </c>
      <c r="G77" s="60" t="s">
        <v>118</v>
      </c>
      <c r="H77" s="61">
        <v>44614</v>
      </c>
      <c r="I77" s="60">
        <f t="shared" si="3"/>
        <v>2022</v>
      </c>
      <c r="J77" s="60">
        <f t="shared" si="4"/>
        <v>2</v>
      </c>
      <c r="K77" s="60" t="str">
        <f t="shared" si="5"/>
        <v>2022_2</v>
      </c>
      <c r="L77" s="61" t="s">
        <v>37</v>
      </c>
      <c r="M77" s="11">
        <v>1978</v>
      </c>
      <c r="N77" s="13">
        <v>1276</v>
      </c>
      <c r="O77" s="13">
        <v>890</v>
      </c>
      <c r="P77" s="13">
        <v>772</v>
      </c>
      <c r="Q77" s="13">
        <v>1098</v>
      </c>
      <c r="R77" s="13">
        <v>1366</v>
      </c>
      <c r="S77" s="13">
        <v>1274</v>
      </c>
      <c r="T77" s="13">
        <v>1032</v>
      </c>
      <c r="U77" s="13">
        <v>1036</v>
      </c>
      <c r="V77" s="13">
        <v>1530</v>
      </c>
      <c r="W77" s="13">
        <v>2922</v>
      </c>
      <c r="X77" s="13">
        <v>3214</v>
      </c>
      <c r="Y77" s="13">
        <v>2536</v>
      </c>
      <c r="Z77" s="13">
        <v>2158</v>
      </c>
      <c r="AA77" s="13">
        <v>1368</v>
      </c>
      <c r="AB77" s="13">
        <v>890</v>
      </c>
      <c r="AC77" s="13">
        <v>938</v>
      </c>
      <c r="AD77" s="13">
        <v>942</v>
      </c>
      <c r="AE77" s="13">
        <v>1172</v>
      </c>
      <c r="AF77" s="13">
        <v>1046</v>
      </c>
      <c r="AG77" s="13">
        <v>1456</v>
      </c>
      <c r="AH77" s="13">
        <v>2114</v>
      </c>
      <c r="AI77" s="13">
        <v>2876</v>
      </c>
      <c r="AJ77" s="13">
        <v>2722</v>
      </c>
    </row>
    <row r="78" spans="1:36" x14ac:dyDescent="0.3">
      <c r="A78" s="62" t="s">
        <v>33</v>
      </c>
      <c r="B78" s="73"/>
      <c r="C78" s="60">
        <v>3131256001</v>
      </c>
      <c r="D78" s="60" t="s">
        <v>415</v>
      </c>
      <c r="E78" s="60" t="s">
        <v>39</v>
      </c>
      <c r="F78" s="60" t="s">
        <v>35</v>
      </c>
      <c r="G78" s="60" t="s">
        <v>119</v>
      </c>
      <c r="H78" s="61">
        <v>44630</v>
      </c>
      <c r="I78" s="60">
        <f t="shared" si="3"/>
        <v>2022</v>
      </c>
      <c r="J78" s="60">
        <f t="shared" si="4"/>
        <v>3</v>
      </c>
      <c r="K78" s="60" t="str">
        <f t="shared" si="5"/>
        <v>2022_3</v>
      </c>
      <c r="L78" s="61" t="s">
        <v>37</v>
      </c>
      <c r="M78" s="11">
        <v>458</v>
      </c>
      <c r="N78" s="17">
        <v>477</v>
      </c>
      <c r="O78" s="13">
        <v>1100</v>
      </c>
      <c r="P78" s="13">
        <v>2228</v>
      </c>
      <c r="Q78" s="13">
        <v>2204</v>
      </c>
      <c r="R78" s="13">
        <v>2469</v>
      </c>
      <c r="S78" s="13">
        <v>1962</v>
      </c>
      <c r="T78" s="13">
        <v>1088</v>
      </c>
      <c r="U78" s="13">
        <v>699</v>
      </c>
      <c r="V78" s="13">
        <v>602</v>
      </c>
      <c r="W78" s="13">
        <v>694</v>
      </c>
      <c r="X78" s="13">
        <v>511</v>
      </c>
      <c r="Y78" s="13">
        <v>604</v>
      </c>
      <c r="Z78" s="13">
        <v>728</v>
      </c>
      <c r="AA78" s="13">
        <v>926</v>
      </c>
      <c r="AB78" s="13">
        <v>1014</v>
      </c>
      <c r="AC78" s="13">
        <v>1384</v>
      </c>
      <c r="AD78" s="13">
        <v>1387</v>
      </c>
      <c r="AE78" s="13">
        <v>1028</v>
      </c>
      <c r="AF78" s="13">
        <v>1057</v>
      </c>
      <c r="AG78" s="13">
        <v>669</v>
      </c>
      <c r="AH78" s="13">
        <v>914</v>
      </c>
      <c r="AI78" s="13">
        <v>1433</v>
      </c>
      <c r="AJ78" s="13">
        <v>1455</v>
      </c>
    </row>
    <row r="79" spans="1:36" x14ac:dyDescent="0.3">
      <c r="A79" s="60" t="s">
        <v>120</v>
      </c>
      <c r="B79" s="73"/>
      <c r="C79" s="60">
        <v>3141108000</v>
      </c>
      <c r="D79" s="60" t="s">
        <v>416</v>
      </c>
      <c r="E79" s="60" t="s">
        <v>43</v>
      </c>
      <c r="F79" s="60" t="s">
        <v>35</v>
      </c>
      <c r="G79" s="60" t="s">
        <v>121</v>
      </c>
      <c r="H79" s="61">
        <v>44631</v>
      </c>
      <c r="I79" s="60">
        <f t="shared" si="3"/>
        <v>2022</v>
      </c>
      <c r="J79" s="60">
        <f t="shared" si="4"/>
        <v>3</v>
      </c>
      <c r="K79" s="60" t="str">
        <f t="shared" si="5"/>
        <v>2022_3</v>
      </c>
      <c r="L79" s="61" t="s">
        <v>37</v>
      </c>
      <c r="M79" s="11">
        <v>463</v>
      </c>
      <c r="N79" s="12">
        <v>372</v>
      </c>
      <c r="O79" s="13">
        <v>589</v>
      </c>
      <c r="P79" s="13">
        <v>1002</v>
      </c>
      <c r="Q79" s="13">
        <v>1019</v>
      </c>
      <c r="R79" s="13">
        <v>1098</v>
      </c>
      <c r="S79" s="13">
        <v>839</v>
      </c>
      <c r="T79" s="13">
        <v>439</v>
      </c>
      <c r="U79" s="13">
        <v>400</v>
      </c>
      <c r="V79" s="13">
        <v>469</v>
      </c>
      <c r="W79" s="13">
        <v>745</v>
      </c>
      <c r="X79" s="13">
        <v>453</v>
      </c>
      <c r="Y79" s="13">
        <v>539</v>
      </c>
      <c r="Z79" s="13">
        <v>597</v>
      </c>
      <c r="AA79" s="13">
        <v>590</v>
      </c>
      <c r="AB79" s="13">
        <v>690</v>
      </c>
      <c r="AC79" s="13">
        <v>840</v>
      </c>
      <c r="AD79" s="13">
        <v>989</v>
      </c>
      <c r="AE79" s="13">
        <v>743</v>
      </c>
      <c r="AF79" s="13">
        <v>450</v>
      </c>
      <c r="AG79" s="13">
        <v>505</v>
      </c>
      <c r="AH79" s="13">
        <v>586</v>
      </c>
      <c r="AI79" s="13">
        <v>670</v>
      </c>
      <c r="AJ79" s="13">
        <v>602</v>
      </c>
    </row>
    <row r="80" spans="1:36" x14ac:dyDescent="0.3">
      <c r="A80" s="60" t="s">
        <v>41</v>
      </c>
      <c r="B80" s="73"/>
      <c r="C80" s="60">
        <v>3130527000</v>
      </c>
      <c r="D80" s="60" t="s">
        <v>417</v>
      </c>
      <c r="E80" s="60" t="s">
        <v>39</v>
      </c>
      <c r="F80" s="60" t="s">
        <v>35</v>
      </c>
      <c r="G80" s="60" t="s">
        <v>122</v>
      </c>
      <c r="H80" s="61">
        <v>44635</v>
      </c>
      <c r="I80" s="60">
        <f t="shared" si="3"/>
        <v>2022</v>
      </c>
      <c r="J80" s="60">
        <f t="shared" si="4"/>
        <v>3</v>
      </c>
      <c r="K80" s="60" t="str">
        <f t="shared" si="5"/>
        <v>2022_3</v>
      </c>
      <c r="L80" s="61" t="s">
        <v>37</v>
      </c>
      <c r="M80" s="11">
        <v>333</v>
      </c>
      <c r="N80" s="21">
        <v>274</v>
      </c>
      <c r="O80" s="13">
        <v>282</v>
      </c>
      <c r="P80" s="13">
        <v>481</v>
      </c>
      <c r="Q80" s="13">
        <v>599</v>
      </c>
      <c r="R80" s="13">
        <v>550</v>
      </c>
      <c r="S80" s="13">
        <v>564</v>
      </c>
      <c r="T80" s="13">
        <v>486</v>
      </c>
      <c r="U80" s="13">
        <v>359</v>
      </c>
      <c r="V80" s="13">
        <v>368</v>
      </c>
      <c r="W80" s="13">
        <v>415</v>
      </c>
      <c r="X80" s="13">
        <v>311</v>
      </c>
      <c r="Y80" s="13">
        <v>286</v>
      </c>
      <c r="Z80" s="13">
        <v>268</v>
      </c>
      <c r="AA80" s="13">
        <v>333</v>
      </c>
      <c r="AB80" s="13">
        <v>503</v>
      </c>
      <c r="AC80" s="13">
        <v>602</v>
      </c>
      <c r="AD80" s="13">
        <v>517</v>
      </c>
      <c r="AE80" s="13">
        <v>563</v>
      </c>
      <c r="AF80" s="13">
        <v>609</v>
      </c>
      <c r="AG80" s="13">
        <v>374</v>
      </c>
      <c r="AH80" s="13">
        <v>318</v>
      </c>
      <c r="AI80" s="13">
        <v>436</v>
      </c>
      <c r="AJ80" s="13">
        <v>373</v>
      </c>
    </row>
    <row r="81" spans="1:36" x14ac:dyDescent="0.3">
      <c r="A81" s="60" t="s">
        <v>46</v>
      </c>
      <c r="B81" s="73"/>
      <c r="C81" s="60">
        <v>3111438000</v>
      </c>
      <c r="D81" s="60" t="s">
        <v>418</v>
      </c>
      <c r="E81" s="60" t="s">
        <v>39</v>
      </c>
      <c r="F81" s="60" t="s">
        <v>35</v>
      </c>
      <c r="G81" s="60" t="s">
        <v>123</v>
      </c>
      <c r="H81" s="61">
        <v>44637</v>
      </c>
      <c r="I81" s="60">
        <f t="shared" si="3"/>
        <v>2022</v>
      </c>
      <c r="J81" s="60">
        <f t="shared" si="4"/>
        <v>3</v>
      </c>
      <c r="K81" s="60" t="str">
        <f t="shared" si="5"/>
        <v>2022_3</v>
      </c>
      <c r="L81" s="61" t="s">
        <v>37</v>
      </c>
      <c r="M81" s="11">
        <v>360</v>
      </c>
      <c r="N81" s="12">
        <v>228</v>
      </c>
      <c r="O81" s="13">
        <v>212</v>
      </c>
      <c r="P81" s="13">
        <v>448</v>
      </c>
      <c r="Q81" s="13">
        <v>596</v>
      </c>
      <c r="R81" s="13">
        <v>584</v>
      </c>
      <c r="S81" s="13">
        <v>544</v>
      </c>
      <c r="T81" s="13">
        <v>400</v>
      </c>
      <c r="U81" s="13">
        <v>338</v>
      </c>
      <c r="V81" s="13">
        <v>410</v>
      </c>
      <c r="W81" s="13">
        <v>436</v>
      </c>
      <c r="X81" s="13">
        <v>404</v>
      </c>
      <c r="Y81" s="13">
        <v>324</v>
      </c>
      <c r="Z81" s="13">
        <v>318</v>
      </c>
      <c r="AA81" s="13">
        <v>364</v>
      </c>
      <c r="AB81" s="13">
        <v>404</v>
      </c>
      <c r="AC81" s="13">
        <v>456</v>
      </c>
      <c r="AD81" s="13">
        <v>532</v>
      </c>
      <c r="AE81" s="13">
        <v>444</v>
      </c>
      <c r="AF81" s="13">
        <v>412</v>
      </c>
      <c r="AG81" s="13">
        <v>460</v>
      </c>
      <c r="AH81" s="13">
        <v>898</v>
      </c>
      <c r="AI81" s="13">
        <v>1000</v>
      </c>
      <c r="AJ81" s="13">
        <v>948</v>
      </c>
    </row>
    <row r="82" spans="1:36" x14ac:dyDescent="0.3">
      <c r="A82" s="60" t="s">
        <v>124</v>
      </c>
      <c r="B82" s="73"/>
      <c r="C82" s="60">
        <v>3120353001</v>
      </c>
      <c r="D82" s="60" t="s">
        <v>419</v>
      </c>
      <c r="E82" s="60" t="s">
        <v>39</v>
      </c>
      <c r="F82" s="60" t="s">
        <v>35</v>
      </c>
      <c r="G82" s="60" t="s">
        <v>125</v>
      </c>
      <c r="H82" s="61">
        <v>44643</v>
      </c>
      <c r="I82" s="60">
        <f t="shared" si="3"/>
        <v>2022</v>
      </c>
      <c r="J82" s="60">
        <f t="shared" si="4"/>
        <v>3</v>
      </c>
      <c r="K82" s="60" t="str">
        <f t="shared" si="5"/>
        <v>2022_3</v>
      </c>
      <c r="L82" s="61" t="s">
        <v>37</v>
      </c>
      <c r="M82" s="11">
        <v>310</v>
      </c>
      <c r="N82" s="14">
        <v>234</v>
      </c>
      <c r="O82" s="13">
        <v>229</v>
      </c>
      <c r="P82" s="13">
        <v>357</v>
      </c>
      <c r="Q82" s="13">
        <v>590</v>
      </c>
      <c r="R82" s="13">
        <v>725</v>
      </c>
      <c r="S82" s="13">
        <v>517</v>
      </c>
      <c r="T82" s="13">
        <v>249</v>
      </c>
      <c r="U82" s="13">
        <v>249</v>
      </c>
      <c r="V82" s="13">
        <v>325</v>
      </c>
      <c r="W82" s="13">
        <v>355</v>
      </c>
      <c r="X82" s="13">
        <v>342</v>
      </c>
      <c r="Y82" s="13">
        <v>270</v>
      </c>
      <c r="Z82" s="13">
        <v>621</v>
      </c>
      <c r="AA82" s="13">
        <v>455</v>
      </c>
      <c r="AB82" s="13">
        <v>232</v>
      </c>
      <c r="AC82" s="13">
        <v>466</v>
      </c>
      <c r="AD82" s="13">
        <v>529</v>
      </c>
      <c r="AE82" s="13">
        <v>331</v>
      </c>
      <c r="AF82" s="13">
        <v>254</v>
      </c>
      <c r="AG82" s="13">
        <v>227</v>
      </c>
      <c r="AH82" s="13">
        <v>264</v>
      </c>
      <c r="AI82" s="13">
        <v>319</v>
      </c>
      <c r="AJ82" s="13">
        <v>331</v>
      </c>
    </row>
    <row r="83" spans="1:36" x14ac:dyDescent="0.3">
      <c r="A83" s="60" t="s">
        <v>41</v>
      </c>
      <c r="B83" s="73"/>
      <c r="C83" s="60">
        <v>3080564000</v>
      </c>
      <c r="D83" s="60" t="s">
        <v>420</v>
      </c>
      <c r="E83" s="60" t="s">
        <v>34</v>
      </c>
      <c r="F83" s="60" t="s">
        <v>35</v>
      </c>
      <c r="G83" s="60" t="s">
        <v>86</v>
      </c>
      <c r="H83" s="61">
        <v>44648</v>
      </c>
      <c r="I83" s="60">
        <f t="shared" si="3"/>
        <v>2022</v>
      </c>
      <c r="J83" s="60">
        <f t="shared" si="4"/>
        <v>3</v>
      </c>
      <c r="K83" s="60" t="str">
        <f t="shared" si="5"/>
        <v>2022_3</v>
      </c>
      <c r="L83" s="61" t="s">
        <v>37</v>
      </c>
      <c r="M83" s="11">
        <v>983</v>
      </c>
      <c r="N83" s="17">
        <v>786</v>
      </c>
      <c r="O83" s="13">
        <v>909</v>
      </c>
      <c r="P83" s="13">
        <v>1318</v>
      </c>
      <c r="Q83" s="13">
        <v>1373</v>
      </c>
      <c r="R83" s="13">
        <v>1592</v>
      </c>
      <c r="S83" s="13">
        <v>1512</v>
      </c>
      <c r="T83" s="13">
        <v>1063</v>
      </c>
      <c r="U83" s="13">
        <v>996</v>
      </c>
      <c r="V83" s="13">
        <v>970</v>
      </c>
      <c r="W83" s="13">
        <v>1111</v>
      </c>
      <c r="X83" s="13">
        <v>1097</v>
      </c>
      <c r="Y83" s="13">
        <v>987</v>
      </c>
      <c r="Z83" s="13">
        <v>1175</v>
      </c>
      <c r="AA83" s="13">
        <v>1326</v>
      </c>
      <c r="AB83" s="13">
        <v>1260</v>
      </c>
      <c r="AC83" s="13">
        <v>1446</v>
      </c>
      <c r="AD83" s="13">
        <v>1751</v>
      </c>
      <c r="AE83" s="13">
        <v>1543</v>
      </c>
      <c r="AF83" s="13">
        <v>1179</v>
      </c>
      <c r="AG83" s="13">
        <v>1269</v>
      </c>
      <c r="AH83" s="13">
        <v>2221</v>
      </c>
      <c r="AI83" s="13">
        <v>2452</v>
      </c>
      <c r="AJ83" s="13">
        <v>2197</v>
      </c>
    </row>
    <row r="84" spans="1:36" x14ac:dyDescent="0.3">
      <c r="A84" s="8" t="s">
        <v>33</v>
      </c>
      <c r="B84" s="73"/>
      <c r="C84" s="60">
        <v>3060501001</v>
      </c>
      <c r="D84" s="60" t="s">
        <v>421</v>
      </c>
      <c r="E84" s="60" t="s">
        <v>34</v>
      </c>
      <c r="F84" s="60" t="s">
        <v>35</v>
      </c>
      <c r="G84" s="60" t="s">
        <v>86</v>
      </c>
      <c r="H84" s="61">
        <v>44652</v>
      </c>
      <c r="I84" s="60">
        <f t="shared" si="3"/>
        <v>2022</v>
      </c>
      <c r="J84" s="60">
        <f t="shared" si="4"/>
        <v>4</v>
      </c>
      <c r="K84" s="60" t="str">
        <f t="shared" si="5"/>
        <v>2022_4</v>
      </c>
      <c r="L84" s="61" t="s">
        <v>37</v>
      </c>
      <c r="M84" s="11">
        <v>0</v>
      </c>
      <c r="N84" s="21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304</v>
      </c>
      <c r="U84" s="13">
        <v>547</v>
      </c>
      <c r="V84" s="13">
        <v>718</v>
      </c>
      <c r="W84" s="13">
        <v>834</v>
      </c>
      <c r="X84" s="13">
        <v>691</v>
      </c>
      <c r="Y84" s="13">
        <v>479</v>
      </c>
      <c r="Z84" s="13">
        <v>456</v>
      </c>
      <c r="AA84" s="13">
        <v>351</v>
      </c>
      <c r="AB84" s="13">
        <v>559</v>
      </c>
      <c r="AC84" s="13">
        <v>1002</v>
      </c>
      <c r="AD84" s="13">
        <v>618</v>
      </c>
      <c r="AE84" s="13">
        <v>282</v>
      </c>
      <c r="AF84" s="13">
        <v>269</v>
      </c>
      <c r="AG84" s="13">
        <v>465</v>
      </c>
      <c r="AH84" s="13">
        <v>535</v>
      </c>
      <c r="AI84" s="13">
        <v>515</v>
      </c>
      <c r="AJ84" s="13">
        <v>418</v>
      </c>
    </row>
    <row r="85" spans="1:36" x14ac:dyDescent="0.3">
      <c r="A85" s="60" t="s">
        <v>33</v>
      </c>
      <c r="B85" s="73"/>
      <c r="C85" s="60">
        <v>3131213000</v>
      </c>
      <c r="D85" s="60" t="s">
        <v>422</v>
      </c>
      <c r="E85" s="60" t="s">
        <v>39</v>
      </c>
      <c r="F85" s="60" t="s">
        <v>35</v>
      </c>
      <c r="G85" s="60" t="s">
        <v>126</v>
      </c>
      <c r="H85" s="61">
        <v>44652</v>
      </c>
      <c r="I85" s="60">
        <f t="shared" si="3"/>
        <v>2022</v>
      </c>
      <c r="J85" s="60">
        <f t="shared" si="4"/>
        <v>4</v>
      </c>
      <c r="K85" s="60" t="str">
        <f t="shared" si="5"/>
        <v>2022_4</v>
      </c>
      <c r="L85" s="61" t="s">
        <v>37</v>
      </c>
      <c r="M85" s="11">
        <v>796</v>
      </c>
      <c r="N85" s="21">
        <v>857</v>
      </c>
      <c r="O85" s="13">
        <v>1018</v>
      </c>
      <c r="P85" s="13">
        <v>999</v>
      </c>
      <c r="Q85" s="13">
        <v>1128</v>
      </c>
      <c r="R85" s="13">
        <v>823</v>
      </c>
      <c r="S85" s="13">
        <v>630</v>
      </c>
      <c r="T85" s="13">
        <v>800</v>
      </c>
      <c r="U85" s="13">
        <v>845</v>
      </c>
      <c r="V85" s="13">
        <v>1291</v>
      </c>
      <c r="W85" s="13">
        <v>1178</v>
      </c>
      <c r="X85" s="13">
        <v>875</v>
      </c>
      <c r="Y85" s="13">
        <v>745</v>
      </c>
      <c r="Z85" s="13">
        <v>906</v>
      </c>
      <c r="AA85" s="13">
        <v>758</v>
      </c>
      <c r="AB85" s="13">
        <v>1261</v>
      </c>
      <c r="AC85" s="13">
        <v>1044</v>
      </c>
      <c r="AD85" s="13">
        <v>789</v>
      </c>
      <c r="AE85" s="13">
        <v>706</v>
      </c>
      <c r="AF85" s="13">
        <v>876</v>
      </c>
      <c r="AG85" s="13">
        <v>1056</v>
      </c>
      <c r="AH85" s="13">
        <v>1265</v>
      </c>
      <c r="AI85" s="13">
        <v>981</v>
      </c>
      <c r="AJ85" s="13">
        <v>989</v>
      </c>
    </row>
    <row r="86" spans="1:36" x14ac:dyDescent="0.3">
      <c r="A86" s="60" t="s">
        <v>33</v>
      </c>
      <c r="B86" s="73"/>
      <c r="C86" s="60">
        <v>3131597001</v>
      </c>
      <c r="D86" s="60" t="s">
        <v>423</v>
      </c>
      <c r="E86" s="60" t="s">
        <v>39</v>
      </c>
      <c r="F86" s="60" t="s">
        <v>35</v>
      </c>
      <c r="G86" s="60" t="s">
        <v>127</v>
      </c>
      <c r="H86" s="61">
        <v>44654</v>
      </c>
      <c r="I86" s="60">
        <f t="shared" si="3"/>
        <v>2022</v>
      </c>
      <c r="J86" s="60">
        <f t="shared" si="4"/>
        <v>4</v>
      </c>
      <c r="K86" s="60" t="str">
        <f t="shared" si="5"/>
        <v>2022_4</v>
      </c>
      <c r="L86" s="61" t="s">
        <v>37</v>
      </c>
      <c r="M86" s="11">
        <v>311</v>
      </c>
      <c r="N86" s="25">
        <v>324</v>
      </c>
      <c r="O86" s="13">
        <v>434</v>
      </c>
      <c r="P86" s="13">
        <v>578</v>
      </c>
      <c r="Q86" s="13">
        <v>626</v>
      </c>
      <c r="R86" s="13">
        <v>651</v>
      </c>
      <c r="S86" s="13">
        <v>462</v>
      </c>
      <c r="T86" s="13">
        <v>561</v>
      </c>
      <c r="U86" s="13">
        <v>509</v>
      </c>
      <c r="V86" s="13">
        <v>658</v>
      </c>
      <c r="W86" s="13">
        <v>516</v>
      </c>
      <c r="X86" s="13">
        <v>490</v>
      </c>
      <c r="Y86" s="13">
        <v>378</v>
      </c>
      <c r="Z86" s="13">
        <v>413</v>
      </c>
      <c r="AA86" s="13">
        <v>258</v>
      </c>
      <c r="AB86" s="13">
        <v>402</v>
      </c>
      <c r="AC86" s="13">
        <v>412</v>
      </c>
      <c r="AD86" s="13">
        <v>258</v>
      </c>
      <c r="AE86" s="13">
        <v>413</v>
      </c>
      <c r="AF86" s="13">
        <v>985</v>
      </c>
      <c r="AG86" s="13">
        <v>972</v>
      </c>
      <c r="AH86" s="13">
        <v>1170</v>
      </c>
      <c r="AI86" s="13">
        <v>1095</v>
      </c>
      <c r="AJ86" s="13">
        <v>985</v>
      </c>
    </row>
    <row r="87" spans="1:36" x14ac:dyDescent="0.3">
      <c r="A87" s="60" t="s">
        <v>128</v>
      </c>
      <c r="B87" s="73"/>
      <c r="C87" s="60">
        <v>3131350003</v>
      </c>
      <c r="D87" s="60" t="s">
        <v>424</v>
      </c>
      <c r="E87" s="60" t="s">
        <v>39</v>
      </c>
      <c r="F87" s="60" t="s">
        <v>35</v>
      </c>
      <c r="G87" s="60" t="s">
        <v>129</v>
      </c>
      <c r="H87" s="61">
        <v>44655</v>
      </c>
      <c r="I87" s="60">
        <f t="shared" si="3"/>
        <v>2022</v>
      </c>
      <c r="J87" s="60">
        <f t="shared" si="4"/>
        <v>4</v>
      </c>
      <c r="K87" s="60" t="str">
        <f t="shared" si="5"/>
        <v>2022_4</v>
      </c>
      <c r="L87" s="61" t="s">
        <v>37</v>
      </c>
      <c r="M87" s="11">
        <v>22</v>
      </c>
      <c r="N87" s="26">
        <v>34</v>
      </c>
      <c r="O87" s="13">
        <v>417</v>
      </c>
      <c r="P87" s="13">
        <v>90</v>
      </c>
      <c r="Q87" s="13">
        <v>92</v>
      </c>
      <c r="R87" s="13">
        <v>141</v>
      </c>
      <c r="S87" s="13">
        <v>142</v>
      </c>
      <c r="T87" s="13">
        <v>127</v>
      </c>
      <c r="U87" s="13">
        <v>52</v>
      </c>
      <c r="V87" s="13">
        <v>30</v>
      </c>
      <c r="W87" s="13">
        <v>30</v>
      </c>
      <c r="X87" s="13">
        <v>184</v>
      </c>
      <c r="Y87" s="13">
        <v>224</v>
      </c>
      <c r="Z87" s="13">
        <v>172</v>
      </c>
      <c r="AA87" s="13">
        <v>146</v>
      </c>
      <c r="AB87" s="13">
        <v>176</v>
      </c>
      <c r="AC87" s="13">
        <v>218</v>
      </c>
      <c r="AD87" s="13">
        <v>125</v>
      </c>
      <c r="AE87" s="13">
        <v>168</v>
      </c>
      <c r="AF87" s="13">
        <v>168</v>
      </c>
      <c r="AG87" s="13">
        <v>366</v>
      </c>
      <c r="AH87" s="13">
        <v>300</v>
      </c>
      <c r="AI87" s="13">
        <v>856</v>
      </c>
      <c r="AJ87" s="13">
        <v>672</v>
      </c>
    </row>
    <row r="88" spans="1:36" x14ac:dyDescent="0.3">
      <c r="A88" s="60" t="s">
        <v>33</v>
      </c>
      <c r="B88" s="73"/>
      <c r="C88" s="60">
        <v>3041392000</v>
      </c>
      <c r="D88" s="60" t="s">
        <v>425</v>
      </c>
      <c r="E88" s="60" t="s">
        <v>34</v>
      </c>
      <c r="F88" s="60" t="s">
        <v>35</v>
      </c>
      <c r="G88" s="60" t="s">
        <v>130</v>
      </c>
      <c r="H88" s="61">
        <v>44660</v>
      </c>
      <c r="I88" s="60">
        <f t="shared" si="3"/>
        <v>2022</v>
      </c>
      <c r="J88" s="60">
        <f t="shared" si="4"/>
        <v>4</v>
      </c>
      <c r="K88" s="60" t="str">
        <f t="shared" si="5"/>
        <v>2022_4</v>
      </c>
      <c r="L88" s="61" t="s">
        <v>37</v>
      </c>
      <c r="M88" s="11">
        <v>424</v>
      </c>
      <c r="N88" s="21">
        <v>544</v>
      </c>
      <c r="O88" s="13">
        <v>914</v>
      </c>
      <c r="P88" s="13">
        <v>1240</v>
      </c>
      <c r="Q88" s="13">
        <v>1812</v>
      </c>
      <c r="R88" s="13">
        <v>1448</v>
      </c>
      <c r="S88" s="13">
        <v>830</v>
      </c>
      <c r="T88" s="13">
        <v>728</v>
      </c>
      <c r="U88" s="13">
        <v>816</v>
      </c>
      <c r="V88" s="13">
        <v>1122</v>
      </c>
      <c r="W88" s="13">
        <v>754</v>
      </c>
      <c r="X88" s="13">
        <v>638</v>
      </c>
      <c r="Y88" s="13">
        <v>572</v>
      </c>
      <c r="Z88" s="13">
        <v>676</v>
      </c>
      <c r="AA88" s="13">
        <v>732</v>
      </c>
      <c r="AB88" s="13">
        <v>936</v>
      </c>
      <c r="AC88" s="13">
        <v>1098</v>
      </c>
      <c r="AD88" s="13">
        <v>952</v>
      </c>
      <c r="AE88" s="13">
        <v>628</v>
      </c>
      <c r="AF88" s="13">
        <v>698</v>
      </c>
      <c r="AG88" s="13">
        <v>2266</v>
      </c>
      <c r="AH88" s="13">
        <v>2918</v>
      </c>
      <c r="AI88" s="13">
        <v>2278</v>
      </c>
      <c r="AJ88" s="13">
        <v>2330</v>
      </c>
    </row>
    <row r="89" spans="1:36" x14ac:dyDescent="0.3">
      <c r="A89" s="60" t="s">
        <v>41</v>
      </c>
      <c r="B89" s="73"/>
      <c r="C89" s="60">
        <v>3060522000</v>
      </c>
      <c r="D89" s="60" t="s">
        <v>421</v>
      </c>
      <c r="E89" s="60" t="s">
        <v>34</v>
      </c>
      <c r="F89" s="60" t="s">
        <v>35</v>
      </c>
      <c r="G89" s="60" t="s">
        <v>131</v>
      </c>
      <c r="H89" s="61">
        <v>44663</v>
      </c>
      <c r="I89" s="60">
        <f t="shared" si="3"/>
        <v>2022</v>
      </c>
      <c r="J89" s="60">
        <f t="shared" si="4"/>
        <v>4</v>
      </c>
      <c r="K89" s="60" t="str">
        <f t="shared" si="5"/>
        <v>2022_4</v>
      </c>
      <c r="L89" s="61" t="s">
        <v>37</v>
      </c>
      <c r="M89" s="11">
        <v>473</v>
      </c>
      <c r="N89" s="21">
        <v>454</v>
      </c>
      <c r="O89" s="13">
        <v>545</v>
      </c>
      <c r="P89" s="13">
        <v>661</v>
      </c>
      <c r="Q89" s="13">
        <v>644</v>
      </c>
      <c r="R89" s="13">
        <v>779</v>
      </c>
      <c r="S89" s="13">
        <v>452</v>
      </c>
      <c r="T89" s="13">
        <v>482</v>
      </c>
      <c r="U89" s="13">
        <v>787</v>
      </c>
      <c r="V89" s="13">
        <v>980</v>
      </c>
      <c r="W89" s="13">
        <v>1156</v>
      </c>
      <c r="X89" s="13">
        <v>917</v>
      </c>
      <c r="Y89" s="13">
        <v>636</v>
      </c>
      <c r="Z89" s="13">
        <v>466</v>
      </c>
      <c r="AA89" s="13">
        <v>528</v>
      </c>
      <c r="AB89" s="13">
        <v>558</v>
      </c>
      <c r="AC89" s="13">
        <v>940</v>
      </c>
      <c r="AD89" s="13">
        <v>575</v>
      </c>
      <c r="AE89" s="13">
        <v>503</v>
      </c>
      <c r="AF89" s="13">
        <v>717</v>
      </c>
      <c r="AG89" s="13">
        <v>1619</v>
      </c>
      <c r="AH89" s="13">
        <v>2270</v>
      </c>
      <c r="AI89" s="13">
        <v>2075</v>
      </c>
      <c r="AJ89" s="13">
        <v>814</v>
      </c>
    </row>
    <row r="90" spans="1:36" x14ac:dyDescent="0.3">
      <c r="A90" s="60" t="s">
        <v>124</v>
      </c>
      <c r="B90" s="73"/>
      <c r="C90" s="60">
        <v>3132861000</v>
      </c>
      <c r="D90" s="60" t="s">
        <v>426</v>
      </c>
      <c r="E90" s="60" t="s">
        <v>43</v>
      </c>
      <c r="F90" s="60" t="s">
        <v>35</v>
      </c>
      <c r="G90" s="60" t="s">
        <v>132</v>
      </c>
      <c r="H90" s="61">
        <v>44663</v>
      </c>
      <c r="I90" s="60">
        <f t="shared" si="3"/>
        <v>2022</v>
      </c>
      <c r="J90" s="60">
        <f t="shared" si="4"/>
        <v>4</v>
      </c>
      <c r="K90" s="60" t="str">
        <f t="shared" si="5"/>
        <v>2022_4</v>
      </c>
      <c r="L90" s="61" t="s">
        <v>37</v>
      </c>
      <c r="M90" s="11">
        <v>819</v>
      </c>
      <c r="N90" s="14">
        <v>838</v>
      </c>
      <c r="O90" s="13">
        <v>1057</v>
      </c>
      <c r="P90" s="13">
        <v>1045</v>
      </c>
      <c r="Q90" s="13">
        <v>1117</v>
      </c>
      <c r="R90" s="13">
        <v>816</v>
      </c>
      <c r="S90" s="13">
        <v>665</v>
      </c>
      <c r="T90" s="13">
        <v>808</v>
      </c>
      <c r="U90" s="13">
        <v>1189</v>
      </c>
      <c r="V90" s="13">
        <v>1343</v>
      </c>
      <c r="W90" s="13">
        <v>990</v>
      </c>
      <c r="X90" s="13">
        <v>1016</v>
      </c>
      <c r="Y90" s="13">
        <v>870</v>
      </c>
      <c r="Z90" s="13">
        <v>614</v>
      </c>
      <c r="AA90" s="13">
        <v>686</v>
      </c>
      <c r="AB90" s="13">
        <v>1131</v>
      </c>
      <c r="AC90" s="13">
        <v>1240</v>
      </c>
      <c r="AD90" s="13">
        <v>892</v>
      </c>
      <c r="AE90" s="13">
        <v>642</v>
      </c>
      <c r="AF90" s="13">
        <v>539</v>
      </c>
      <c r="AG90" s="13">
        <v>785</v>
      </c>
      <c r="AH90" s="13">
        <v>841</v>
      </c>
      <c r="AI90" s="13">
        <v>590</v>
      </c>
      <c r="AJ90" s="13">
        <v>572</v>
      </c>
    </row>
    <row r="91" spans="1:36" x14ac:dyDescent="0.3">
      <c r="A91" s="60" t="s">
        <v>41</v>
      </c>
      <c r="B91" s="73"/>
      <c r="C91" s="60">
        <v>3130629000</v>
      </c>
      <c r="D91" s="60" t="s">
        <v>355</v>
      </c>
      <c r="E91" s="60" t="s">
        <v>39</v>
      </c>
      <c r="F91" s="60" t="s">
        <v>35</v>
      </c>
      <c r="G91" s="60" t="s">
        <v>133</v>
      </c>
      <c r="H91" s="61">
        <v>44665</v>
      </c>
      <c r="I91" s="60">
        <f t="shared" si="3"/>
        <v>2022</v>
      </c>
      <c r="J91" s="60">
        <f t="shared" si="4"/>
        <v>4</v>
      </c>
      <c r="K91" s="60" t="str">
        <f t="shared" si="5"/>
        <v>2022_4</v>
      </c>
      <c r="L91" s="61" t="s">
        <v>37</v>
      </c>
      <c r="M91" s="11">
        <v>328</v>
      </c>
      <c r="N91" s="25">
        <v>267</v>
      </c>
      <c r="O91" s="13">
        <v>231</v>
      </c>
      <c r="P91" s="13">
        <v>212</v>
      </c>
      <c r="Q91" s="13">
        <v>184</v>
      </c>
      <c r="R91" s="13">
        <v>134</v>
      </c>
      <c r="S91" s="13">
        <v>101</v>
      </c>
      <c r="T91" s="13">
        <v>249</v>
      </c>
      <c r="U91" s="13">
        <v>735</v>
      </c>
      <c r="V91" s="13">
        <v>787</v>
      </c>
      <c r="W91" s="13">
        <v>580</v>
      </c>
      <c r="X91" s="13">
        <v>454</v>
      </c>
      <c r="Y91" s="13">
        <v>318</v>
      </c>
      <c r="Z91" s="13">
        <v>303</v>
      </c>
      <c r="AA91" s="13">
        <v>200</v>
      </c>
      <c r="AB91" s="13">
        <v>303</v>
      </c>
      <c r="AC91" s="13">
        <v>199</v>
      </c>
      <c r="AD91" s="13">
        <v>148</v>
      </c>
      <c r="AE91" s="13">
        <v>153</v>
      </c>
      <c r="AF91" s="13">
        <v>192</v>
      </c>
      <c r="AG91" s="13">
        <v>340</v>
      </c>
      <c r="AH91" s="13">
        <v>429</v>
      </c>
      <c r="AI91" s="13">
        <v>576</v>
      </c>
      <c r="AJ91" s="13">
        <v>441</v>
      </c>
    </row>
    <row r="92" spans="1:36" x14ac:dyDescent="0.3">
      <c r="A92" s="60" t="s">
        <v>46</v>
      </c>
      <c r="B92" s="73"/>
      <c r="C92" s="60">
        <v>3120169000</v>
      </c>
      <c r="D92" s="60" t="s">
        <v>427</v>
      </c>
      <c r="E92" s="60" t="s">
        <v>39</v>
      </c>
      <c r="F92" s="60" t="s">
        <v>35</v>
      </c>
      <c r="G92" s="60" t="s">
        <v>134</v>
      </c>
      <c r="H92" s="61">
        <v>44672</v>
      </c>
      <c r="I92" s="60">
        <f t="shared" si="3"/>
        <v>2022</v>
      </c>
      <c r="J92" s="60">
        <f t="shared" si="4"/>
        <v>4</v>
      </c>
      <c r="K92" s="60" t="str">
        <f t="shared" si="5"/>
        <v>2022_4</v>
      </c>
      <c r="L92" s="61" t="s">
        <v>37</v>
      </c>
      <c r="M92" s="11">
        <v>427</v>
      </c>
      <c r="N92" s="12">
        <v>407</v>
      </c>
      <c r="O92" s="13">
        <v>804</v>
      </c>
      <c r="P92" s="13">
        <v>776</v>
      </c>
      <c r="Q92" s="13">
        <v>716</v>
      </c>
      <c r="R92" s="13">
        <v>721</v>
      </c>
      <c r="S92" s="13">
        <v>633</v>
      </c>
      <c r="T92" s="13">
        <v>614</v>
      </c>
      <c r="U92" s="13">
        <v>713</v>
      </c>
      <c r="V92" s="13">
        <v>646</v>
      </c>
      <c r="W92" s="13">
        <v>531</v>
      </c>
      <c r="X92" s="13">
        <v>486</v>
      </c>
      <c r="Y92" s="13">
        <v>481</v>
      </c>
      <c r="Z92" s="13">
        <v>596</v>
      </c>
      <c r="AA92" s="13">
        <v>557</v>
      </c>
      <c r="AB92" s="13">
        <v>895</v>
      </c>
      <c r="AC92" s="13">
        <v>804</v>
      </c>
      <c r="AD92" s="13">
        <v>811</v>
      </c>
      <c r="AE92" s="13">
        <v>675</v>
      </c>
      <c r="AF92" s="13">
        <v>850</v>
      </c>
      <c r="AG92" s="13">
        <v>1006</v>
      </c>
      <c r="AH92" s="13">
        <v>1237</v>
      </c>
      <c r="AI92" s="13">
        <v>1669</v>
      </c>
      <c r="AJ92" s="13">
        <v>1127</v>
      </c>
    </row>
    <row r="93" spans="1:36" x14ac:dyDescent="0.3">
      <c r="A93" s="60" t="s">
        <v>33</v>
      </c>
      <c r="B93" s="73"/>
      <c r="C93" s="60">
        <v>3130139002</v>
      </c>
      <c r="D93" s="60" t="s">
        <v>428</v>
      </c>
      <c r="E93" s="60" t="s">
        <v>39</v>
      </c>
      <c r="F93" s="60" t="s">
        <v>35</v>
      </c>
      <c r="G93" s="60" t="s">
        <v>135</v>
      </c>
      <c r="H93" s="61">
        <v>44678</v>
      </c>
      <c r="I93" s="60">
        <f t="shared" si="3"/>
        <v>2022</v>
      </c>
      <c r="J93" s="60">
        <f t="shared" si="4"/>
        <v>4</v>
      </c>
      <c r="K93" s="60" t="str">
        <f t="shared" si="5"/>
        <v>2022_4</v>
      </c>
      <c r="L93" s="61" t="s">
        <v>37</v>
      </c>
      <c r="M93" s="11">
        <v>0</v>
      </c>
      <c r="N93" s="12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587</v>
      </c>
      <c r="U93" s="13">
        <v>942</v>
      </c>
      <c r="V93" s="13">
        <v>1040</v>
      </c>
      <c r="W93" s="13">
        <v>943</v>
      </c>
      <c r="X93" s="13">
        <v>894</v>
      </c>
      <c r="Y93" s="13">
        <v>830</v>
      </c>
      <c r="Z93" s="13">
        <v>930</v>
      </c>
      <c r="AA93" s="13">
        <v>911</v>
      </c>
      <c r="AB93" s="13">
        <v>1213</v>
      </c>
      <c r="AC93" s="13">
        <v>1217</v>
      </c>
      <c r="AD93" s="13">
        <v>940</v>
      </c>
      <c r="AE93" s="13">
        <v>957</v>
      </c>
      <c r="AF93" s="13">
        <v>1559</v>
      </c>
      <c r="AG93" s="13">
        <v>1134</v>
      </c>
      <c r="AH93" s="13">
        <v>1126</v>
      </c>
      <c r="AI93" s="13">
        <v>1127</v>
      </c>
      <c r="AJ93" s="13">
        <v>1038</v>
      </c>
    </row>
    <row r="94" spans="1:36" x14ac:dyDescent="0.3">
      <c r="A94" s="60" t="s">
        <v>33</v>
      </c>
      <c r="B94" s="73"/>
      <c r="C94" s="60">
        <v>3010217000</v>
      </c>
      <c r="D94" s="60" t="s">
        <v>429</v>
      </c>
      <c r="E94" s="60" t="s">
        <v>34</v>
      </c>
      <c r="F94" s="60" t="s">
        <v>35</v>
      </c>
      <c r="G94" s="60" t="s">
        <v>136</v>
      </c>
      <c r="H94" s="61">
        <v>44681</v>
      </c>
      <c r="I94" s="60">
        <f t="shared" si="3"/>
        <v>2022</v>
      </c>
      <c r="J94" s="60">
        <f t="shared" si="4"/>
        <v>4</v>
      </c>
      <c r="K94" s="60" t="str">
        <f t="shared" si="5"/>
        <v>2022_4</v>
      </c>
      <c r="L94" s="61" t="s">
        <v>37</v>
      </c>
      <c r="M94" s="11">
        <v>975</v>
      </c>
      <c r="N94" s="17">
        <v>864</v>
      </c>
      <c r="O94" s="13">
        <v>1085</v>
      </c>
      <c r="P94" s="13">
        <v>1273</v>
      </c>
      <c r="Q94" s="13">
        <v>1439</v>
      </c>
      <c r="R94" s="13">
        <v>1978</v>
      </c>
      <c r="S94" s="13">
        <v>822</v>
      </c>
      <c r="T94" s="13">
        <v>663</v>
      </c>
      <c r="U94" s="13">
        <v>1020</v>
      </c>
      <c r="V94" s="13">
        <v>1026</v>
      </c>
      <c r="W94" s="13">
        <v>922</v>
      </c>
      <c r="X94" s="13">
        <v>897</v>
      </c>
      <c r="Y94" s="13">
        <v>788</v>
      </c>
      <c r="Z94" s="13">
        <v>754</v>
      </c>
      <c r="AA94" s="13">
        <v>816</v>
      </c>
      <c r="AB94" s="13">
        <v>911</v>
      </c>
      <c r="AC94" s="13">
        <v>1421</v>
      </c>
      <c r="AD94" s="13">
        <v>1273</v>
      </c>
      <c r="AE94" s="13">
        <v>796</v>
      </c>
      <c r="AF94" s="13">
        <v>855</v>
      </c>
      <c r="AG94" s="13">
        <v>1269</v>
      </c>
      <c r="AH94" s="13">
        <v>1383</v>
      </c>
      <c r="AI94" s="13">
        <v>1554</v>
      </c>
      <c r="AJ94" s="13">
        <v>1372</v>
      </c>
    </row>
    <row r="95" spans="1:36" x14ac:dyDescent="0.3">
      <c r="A95" s="60" t="s">
        <v>117</v>
      </c>
      <c r="B95" s="73"/>
      <c r="C95" s="60">
        <v>3130139002</v>
      </c>
      <c r="D95" s="60" t="s">
        <v>410</v>
      </c>
      <c r="E95" s="60" t="s">
        <v>34</v>
      </c>
      <c r="F95" s="60" t="s">
        <v>35</v>
      </c>
      <c r="G95" s="60" t="s">
        <v>137</v>
      </c>
      <c r="H95" s="61">
        <v>44681</v>
      </c>
      <c r="I95" s="60">
        <f t="shared" si="3"/>
        <v>2022</v>
      </c>
      <c r="J95" s="60">
        <f t="shared" si="4"/>
        <v>4</v>
      </c>
      <c r="K95" s="60" t="str">
        <f t="shared" si="5"/>
        <v>2022_4</v>
      </c>
      <c r="L95" s="61" t="s">
        <v>37</v>
      </c>
      <c r="M95" s="11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587</v>
      </c>
      <c r="U95" s="13">
        <v>942</v>
      </c>
      <c r="V95" s="13">
        <v>1040</v>
      </c>
      <c r="W95" s="13">
        <v>943</v>
      </c>
      <c r="X95" s="13">
        <v>894</v>
      </c>
      <c r="Y95" s="13">
        <v>830</v>
      </c>
      <c r="Z95" s="13">
        <v>930</v>
      </c>
      <c r="AA95" s="13">
        <v>911</v>
      </c>
      <c r="AB95" s="13">
        <v>1213</v>
      </c>
      <c r="AC95" s="13">
        <v>1217</v>
      </c>
      <c r="AD95" s="13">
        <v>940</v>
      </c>
      <c r="AE95" s="13">
        <v>957</v>
      </c>
      <c r="AF95" s="13">
        <v>1559</v>
      </c>
      <c r="AG95" s="13">
        <v>1134</v>
      </c>
      <c r="AH95" s="13">
        <v>1126</v>
      </c>
      <c r="AI95" s="13">
        <v>1127</v>
      </c>
      <c r="AJ95" s="13">
        <v>1038</v>
      </c>
    </row>
    <row r="96" spans="1:36" x14ac:dyDescent="0.3">
      <c r="A96" s="60" t="s">
        <v>124</v>
      </c>
      <c r="B96" s="73"/>
      <c r="C96" s="60">
        <v>3121700002</v>
      </c>
      <c r="D96" s="60" t="s">
        <v>386</v>
      </c>
      <c r="E96" s="60" t="s">
        <v>39</v>
      </c>
      <c r="F96" s="60" t="s">
        <v>35</v>
      </c>
      <c r="G96" s="60" t="s">
        <v>138</v>
      </c>
      <c r="H96" s="61">
        <v>44683</v>
      </c>
      <c r="I96" s="60">
        <f t="shared" si="3"/>
        <v>2022</v>
      </c>
      <c r="J96" s="60">
        <f t="shared" si="4"/>
        <v>5</v>
      </c>
      <c r="K96" s="60" t="str">
        <f t="shared" si="5"/>
        <v>2022_5</v>
      </c>
      <c r="L96" s="61" t="s">
        <v>37</v>
      </c>
      <c r="M96" s="11">
        <v>425</v>
      </c>
      <c r="N96" s="14">
        <v>962</v>
      </c>
      <c r="O96" s="13">
        <v>832</v>
      </c>
      <c r="P96" s="13">
        <v>1006</v>
      </c>
      <c r="Q96" s="13">
        <v>902</v>
      </c>
      <c r="R96" s="13">
        <v>635</v>
      </c>
      <c r="S96" s="13">
        <v>631</v>
      </c>
      <c r="T96" s="13">
        <v>649</v>
      </c>
      <c r="U96" s="13">
        <v>638</v>
      </c>
      <c r="V96" s="13">
        <v>555</v>
      </c>
      <c r="W96" s="13">
        <v>610</v>
      </c>
      <c r="X96" s="13">
        <v>597</v>
      </c>
      <c r="Y96" s="13">
        <v>739</v>
      </c>
      <c r="Z96" s="13">
        <v>1033</v>
      </c>
      <c r="AA96" s="13">
        <v>1240</v>
      </c>
      <c r="AB96" s="13">
        <v>1615</v>
      </c>
      <c r="AC96" s="13">
        <v>1371</v>
      </c>
      <c r="AD96" s="13">
        <v>812</v>
      </c>
      <c r="AE96" s="13">
        <v>924</v>
      </c>
      <c r="AF96" s="13">
        <v>1045</v>
      </c>
      <c r="AG96" s="13">
        <v>1638</v>
      </c>
      <c r="AH96" s="13">
        <v>1969</v>
      </c>
      <c r="AI96" s="13">
        <v>1587</v>
      </c>
      <c r="AJ96" s="13">
        <v>949</v>
      </c>
    </row>
    <row r="97" spans="1:36" x14ac:dyDescent="0.3">
      <c r="A97" s="60" t="s">
        <v>124</v>
      </c>
      <c r="B97" s="73"/>
      <c r="C97" s="60">
        <v>3151757001</v>
      </c>
      <c r="D97" s="60" t="s">
        <v>430</v>
      </c>
      <c r="E97" s="60" t="s">
        <v>43</v>
      </c>
      <c r="F97" s="60" t="s">
        <v>35</v>
      </c>
      <c r="G97" s="60" t="s">
        <v>139</v>
      </c>
      <c r="H97" s="61">
        <v>44690</v>
      </c>
      <c r="I97" s="60">
        <f t="shared" si="3"/>
        <v>2022</v>
      </c>
      <c r="J97" s="60">
        <f t="shared" si="4"/>
        <v>5</v>
      </c>
      <c r="K97" s="60" t="str">
        <f t="shared" si="5"/>
        <v>2022_5</v>
      </c>
      <c r="L97" s="61" t="s">
        <v>37</v>
      </c>
      <c r="M97" s="11">
        <v>998</v>
      </c>
      <c r="N97" s="14">
        <v>925</v>
      </c>
      <c r="O97" s="13">
        <v>1116</v>
      </c>
      <c r="P97" s="13">
        <v>1125</v>
      </c>
      <c r="Q97" s="13">
        <v>982</v>
      </c>
      <c r="R97" s="13">
        <v>897</v>
      </c>
      <c r="S97" s="13">
        <v>891</v>
      </c>
      <c r="T97" s="13">
        <v>902</v>
      </c>
      <c r="U97" s="13">
        <v>1057</v>
      </c>
      <c r="V97" s="13">
        <v>1034</v>
      </c>
      <c r="W97" s="13">
        <v>839</v>
      </c>
      <c r="X97" s="13">
        <v>679</v>
      </c>
      <c r="Y97" s="13">
        <v>783</v>
      </c>
      <c r="Z97" s="13">
        <v>1108</v>
      </c>
      <c r="AA97" s="13">
        <v>1291</v>
      </c>
      <c r="AB97" s="13">
        <v>975</v>
      </c>
      <c r="AC97" s="13">
        <v>1015</v>
      </c>
      <c r="AD97" s="13">
        <v>1012</v>
      </c>
      <c r="AE97" s="13">
        <v>1522</v>
      </c>
      <c r="AF97" s="13">
        <v>1964</v>
      </c>
      <c r="AG97" s="13">
        <v>1581</v>
      </c>
      <c r="AH97" s="13">
        <v>2014</v>
      </c>
      <c r="AI97" s="13">
        <v>1924</v>
      </c>
      <c r="AJ97" s="13">
        <v>992</v>
      </c>
    </row>
    <row r="98" spans="1:36" x14ac:dyDescent="0.3">
      <c r="A98" s="60" t="s">
        <v>33</v>
      </c>
      <c r="B98" s="73"/>
      <c r="C98" s="60">
        <v>3071541002</v>
      </c>
      <c r="D98" s="60" t="s">
        <v>431</v>
      </c>
      <c r="E98" s="60" t="s">
        <v>34</v>
      </c>
      <c r="F98" s="60" t="s">
        <v>35</v>
      </c>
      <c r="G98" s="60" t="s">
        <v>140</v>
      </c>
      <c r="H98" s="61">
        <v>44692</v>
      </c>
      <c r="I98" s="60">
        <f t="shared" si="3"/>
        <v>2022</v>
      </c>
      <c r="J98" s="60">
        <f t="shared" si="4"/>
        <v>5</v>
      </c>
      <c r="K98" s="60" t="str">
        <f t="shared" si="5"/>
        <v>2022_5</v>
      </c>
      <c r="L98" s="61" t="s">
        <v>37</v>
      </c>
      <c r="M98" s="11">
        <v>515</v>
      </c>
      <c r="N98" s="25">
        <v>818</v>
      </c>
      <c r="O98" s="13">
        <v>978</v>
      </c>
      <c r="P98" s="13">
        <v>1057</v>
      </c>
      <c r="Q98" s="13">
        <v>792</v>
      </c>
      <c r="R98" s="13">
        <v>658</v>
      </c>
      <c r="S98" s="13">
        <v>498</v>
      </c>
      <c r="T98" s="13">
        <v>595</v>
      </c>
      <c r="U98" s="13">
        <v>572</v>
      </c>
      <c r="V98" s="13">
        <v>564</v>
      </c>
      <c r="W98" s="13">
        <v>494</v>
      </c>
      <c r="X98" s="13">
        <v>464</v>
      </c>
      <c r="Y98" s="13">
        <v>568</v>
      </c>
      <c r="Z98" s="13">
        <v>480</v>
      </c>
      <c r="AA98" s="13">
        <v>952</v>
      </c>
      <c r="AB98" s="13">
        <v>1193</v>
      </c>
      <c r="AC98" s="13">
        <v>961</v>
      </c>
      <c r="AD98" s="13">
        <v>680</v>
      </c>
      <c r="AE98" s="13">
        <v>716</v>
      </c>
      <c r="AF98" s="13">
        <v>1095</v>
      </c>
      <c r="AG98" s="13">
        <v>1142</v>
      </c>
      <c r="AH98" s="13">
        <v>1075</v>
      </c>
      <c r="AI98" s="13">
        <v>909</v>
      </c>
      <c r="AJ98" s="13">
        <v>709</v>
      </c>
    </row>
    <row r="99" spans="1:36" x14ac:dyDescent="0.3">
      <c r="A99" s="60" t="s">
        <v>124</v>
      </c>
      <c r="B99" s="73"/>
      <c r="C99" s="60">
        <v>3130218001</v>
      </c>
      <c r="D99" s="60" t="s">
        <v>368</v>
      </c>
      <c r="E99" s="60" t="s">
        <v>39</v>
      </c>
      <c r="F99" s="60" t="s">
        <v>35</v>
      </c>
      <c r="G99" s="60" t="s">
        <v>141</v>
      </c>
      <c r="H99" s="61">
        <v>44693</v>
      </c>
      <c r="I99" s="60">
        <f t="shared" si="3"/>
        <v>2022</v>
      </c>
      <c r="J99" s="60">
        <f t="shared" si="4"/>
        <v>5</v>
      </c>
      <c r="K99" s="60" t="str">
        <f t="shared" si="5"/>
        <v>2022_5</v>
      </c>
      <c r="L99" s="61" t="s">
        <v>37</v>
      </c>
      <c r="M99" s="11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5</v>
      </c>
      <c r="AJ99" s="13">
        <v>9</v>
      </c>
    </row>
    <row r="100" spans="1:36" x14ac:dyDescent="0.3">
      <c r="A100" s="60" t="s">
        <v>124</v>
      </c>
      <c r="B100" s="73"/>
      <c r="C100" s="60">
        <v>3130219008</v>
      </c>
      <c r="D100" s="60" t="s">
        <v>368</v>
      </c>
      <c r="E100" s="60" t="s">
        <v>39</v>
      </c>
      <c r="F100" s="60" t="s">
        <v>35</v>
      </c>
      <c r="G100" s="60" t="s">
        <v>142</v>
      </c>
      <c r="H100" s="61">
        <v>44693</v>
      </c>
      <c r="I100" s="60">
        <f t="shared" si="3"/>
        <v>2022</v>
      </c>
      <c r="J100" s="60">
        <f t="shared" si="4"/>
        <v>5</v>
      </c>
      <c r="K100" s="60" t="str">
        <f t="shared" si="5"/>
        <v>2022_5</v>
      </c>
      <c r="L100" s="61" t="s">
        <v>37</v>
      </c>
      <c r="M100" s="11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117</v>
      </c>
      <c r="T100" s="13">
        <v>299</v>
      </c>
      <c r="U100" s="13">
        <v>330</v>
      </c>
      <c r="V100" s="13">
        <v>267</v>
      </c>
      <c r="W100" s="13">
        <v>289</v>
      </c>
      <c r="X100" s="13">
        <v>279</v>
      </c>
      <c r="Y100" s="13">
        <v>311</v>
      </c>
      <c r="Z100" s="13">
        <v>366</v>
      </c>
      <c r="AA100" s="13">
        <v>551</v>
      </c>
      <c r="AB100" s="13">
        <v>802</v>
      </c>
      <c r="AC100" s="13">
        <v>432</v>
      </c>
      <c r="AD100" s="13">
        <v>578</v>
      </c>
      <c r="AE100" s="13">
        <v>1182</v>
      </c>
      <c r="AF100" s="13">
        <v>2282</v>
      </c>
      <c r="AG100" s="13">
        <v>2806</v>
      </c>
      <c r="AH100" s="13">
        <v>2234</v>
      </c>
      <c r="AI100" s="13">
        <v>2200</v>
      </c>
      <c r="AJ100" s="13">
        <v>1088</v>
      </c>
    </row>
    <row r="101" spans="1:36" x14ac:dyDescent="0.3">
      <c r="A101" s="60" t="s">
        <v>46</v>
      </c>
      <c r="B101" s="74"/>
      <c r="C101" s="60">
        <v>3132745002</v>
      </c>
      <c r="D101" s="65" t="s">
        <v>432</v>
      </c>
      <c r="E101" s="65" t="s">
        <v>39</v>
      </c>
      <c r="F101" s="65" t="s">
        <v>35</v>
      </c>
      <c r="G101" s="65" t="s">
        <v>143</v>
      </c>
      <c r="H101" s="61">
        <v>44693</v>
      </c>
      <c r="I101" s="60">
        <f t="shared" si="3"/>
        <v>2022</v>
      </c>
      <c r="J101" s="60">
        <f t="shared" si="4"/>
        <v>5</v>
      </c>
      <c r="K101" s="60" t="str">
        <f t="shared" si="5"/>
        <v>2022_5</v>
      </c>
      <c r="L101" s="61" t="s">
        <v>37</v>
      </c>
      <c r="M101" s="26">
        <v>822</v>
      </c>
      <c r="N101" s="26">
        <v>1264</v>
      </c>
      <c r="O101" s="13">
        <v>1199</v>
      </c>
      <c r="P101" s="13">
        <v>739</v>
      </c>
      <c r="Q101" s="13">
        <v>496</v>
      </c>
      <c r="R101" s="13">
        <v>367</v>
      </c>
      <c r="S101" s="13">
        <v>572</v>
      </c>
      <c r="T101" s="13">
        <v>780</v>
      </c>
      <c r="U101" s="13">
        <v>849</v>
      </c>
      <c r="V101" s="13">
        <v>390</v>
      </c>
      <c r="W101" s="13">
        <v>580</v>
      </c>
      <c r="X101" s="13">
        <v>591</v>
      </c>
      <c r="Y101" s="13">
        <v>903</v>
      </c>
      <c r="Z101" s="13">
        <v>792</v>
      </c>
      <c r="AA101" s="13">
        <v>1339</v>
      </c>
      <c r="AB101" s="13">
        <v>1012</v>
      </c>
      <c r="AC101" s="13">
        <v>734</v>
      </c>
      <c r="AD101" s="13">
        <v>508</v>
      </c>
      <c r="AE101" s="13">
        <v>537</v>
      </c>
      <c r="AF101" s="13">
        <v>1358</v>
      </c>
      <c r="AG101" s="13">
        <v>786</v>
      </c>
      <c r="AH101" s="13">
        <v>536</v>
      </c>
      <c r="AI101" s="13">
        <v>540</v>
      </c>
      <c r="AJ101" s="13">
        <v>640</v>
      </c>
    </row>
    <row r="102" spans="1:36" x14ac:dyDescent="0.3">
      <c r="A102" s="60" t="s">
        <v>41</v>
      </c>
      <c r="B102" s="73"/>
      <c r="C102" s="60">
        <v>3011474000</v>
      </c>
      <c r="D102" s="60" t="s">
        <v>433</v>
      </c>
      <c r="E102" s="60" t="s">
        <v>34</v>
      </c>
      <c r="F102" s="60" t="s">
        <v>35</v>
      </c>
      <c r="G102" s="60" t="s">
        <v>144</v>
      </c>
      <c r="H102" s="61">
        <v>44697</v>
      </c>
      <c r="I102" s="60">
        <f t="shared" si="3"/>
        <v>2022</v>
      </c>
      <c r="J102" s="60">
        <f t="shared" si="4"/>
        <v>5</v>
      </c>
      <c r="K102" s="60" t="str">
        <f t="shared" si="5"/>
        <v>2022_5</v>
      </c>
      <c r="L102" s="61" t="s">
        <v>37</v>
      </c>
      <c r="M102" s="11">
        <v>842</v>
      </c>
      <c r="N102" s="12">
        <v>1096</v>
      </c>
      <c r="O102" s="13">
        <v>1592</v>
      </c>
      <c r="P102" s="13">
        <v>1682</v>
      </c>
      <c r="Q102" s="13">
        <v>2033</v>
      </c>
      <c r="R102" s="13">
        <v>1274</v>
      </c>
      <c r="S102" s="13">
        <v>821</v>
      </c>
      <c r="T102" s="13">
        <v>967</v>
      </c>
      <c r="U102" s="13">
        <v>1081</v>
      </c>
      <c r="V102" s="13">
        <v>1062</v>
      </c>
      <c r="W102" s="13">
        <v>948</v>
      </c>
      <c r="X102" s="13">
        <v>671</v>
      </c>
      <c r="Y102" s="13">
        <v>629</v>
      </c>
      <c r="Z102" s="13">
        <v>1044</v>
      </c>
      <c r="AA102" s="13">
        <v>1250</v>
      </c>
      <c r="AB102" s="13">
        <v>1929</v>
      </c>
      <c r="AC102" s="13">
        <v>1604</v>
      </c>
      <c r="AD102" s="13">
        <v>904</v>
      </c>
      <c r="AE102" s="13">
        <v>628</v>
      </c>
      <c r="AF102" s="13">
        <v>627</v>
      </c>
      <c r="AG102" s="13">
        <v>626</v>
      </c>
      <c r="AH102" s="13">
        <v>592</v>
      </c>
      <c r="AI102" s="13">
        <v>507</v>
      </c>
      <c r="AJ102" s="13">
        <v>509</v>
      </c>
    </row>
    <row r="103" spans="1:36" x14ac:dyDescent="0.3">
      <c r="A103" s="60" t="s">
        <v>145</v>
      </c>
      <c r="B103" s="73"/>
      <c r="C103" s="60">
        <v>3150151001</v>
      </c>
      <c r="D103" s="60" t="s">
        <v>434</v>
      </c>
      <c r="E103" s="60" t="s">
        <v>34</v>
      </c>
      <c r="F103" s="60" t="s">
        <v>35</v>
      </c>
      <c r="G103" s="60" t="s">
        <v>146</v>
      </c>
      <c r="H103" s="61">
        <v>44697</v>
      </c>
      <c r="I103" s="60">
        <f t="shared" si="3"/>
        <v>2022</v>
      </c>
      <c r="J103" s="60">
        <f t="shared" si="4"/>
        <v>5</v>
      </c>
      <c r="K103" s="60" t="str">
        <f t="shared" si="5"/>
        <v>2022_5</v>
      </c>
      <c r="L103" s="61" t="s">
        <v>37</v>
      </c>
      <c r="M103" s="11">
        <v>688</v>
      </c>
      <c r="N103" s="12">
        <v>816</v>
      </c>
      <c r="O103" s="13">
        <v>1148</v>
      </c>
      <c r="P103" s="13">
        <v>1116</v>
      </c>
      <c r="Q103" s="13">
        <v>1216</v>
      </c>
      <c r="R103" s="13">
        <v>650</v>
      </c>
      <c r="S103" s="13">
        <v>1008</v>
      </c>
      <c r="T103" s="13">
        <v>678</v>
      </c>
      <c r="U103" s="13">
        <v>930</v>
      </c>
      <c r="V103" s="13">
        <v>774</v>
      </c>
      <c r="W103" s="13">
        <v>526</v>
      </c>
      <c r="X103" s="13">
        <v>368</v>
      </c>
      <c r="Y103" s="13">
        <v>360</v>
      </c>
      <c r="Z103" s="13">
        <v>598</v>
      </c>
      <c r="AA103" s="13">
        <v>746</v>
      </c>
      <c r="AB103" s="13">
        <v>892</v>
      </c>
      <c r="AC103" s="13">
        <v>810</v>
      </c>
      <c r="AD103" s="13">
        <v>572</v>
      </c>
      <c r="AE103" s="13">
        <v>822</v>
      </c>
      <c r="AF103" s="13">
        <v>1676</v>
      </c>
      <c r="AG103" s="13">
        <v>2276</v>
      </c>
      <c r="AH103" s="13">
        <v>1864</v>
      </c>
      <c r="AI103" s="13">
        <v>1956</v>
      </c>
      <c r="AJ103" s="13">
        <v>868</v>
      </c>
    </row>
    <row r="104" spans="1:36" x14ac:dyDescent="0.3">
      <c r="A104" s="60" t="s">
        <v>124</v>
      </c>
      <c r="B104" s="73"/>
      <c r="C104" s="60">
        <v>3062415001</v>
      </c>
      <c r="D104" s="60" t="s">
        <v>435</v>
      </c>
      <c r="E104" s="60" t="s">
        <v>34</v>
      </c>
      <c r="F104" s="60" t="s">
        <v>35</v>
      </c>
      <c r="G104" s="60" t="s">
        <v>147</v>
      </c>
      <c r="H104" s="61">
        <v>44701</v>
      </c>
      <c r="I104" s="60">
        <f t="shared" si="3"/>
        <v>2022</v>
      </c>
      <c r="J104" s="60">
        <f t="shared" si="4"/>
        <v>5</v>
      </c>
      <c r="K104" s="60" t="str">
        <f t="shared" si="5"/>
        <v>2022_5</v>
      </c>
      <c r="L104" s="61" t="s">
        <v>37</v>
      </c>
      <c r="M104" s="11">
        <v>351</v>
      </c>
      <c r="N104" s="14">
        <v>468</v>
      </c>
      <c r="O104" s="13">
        <v>545</v>
      </c>
      <c r="P104" s="13">
        <v>478</v>
      </c>
      <c r="Q104" s="13">
        <v>86</v>
      </c>
      <c r="R104" s="13">
        <v>13</v>
      </c>
      <c r="S104" s="13">
        <v>58</v>
      </c>
      <c r="T104" s="13">
        <v>1140</v>
      </c>
      <c r="U104" s="13">
        <v>1972</v>
      </c>
      <c r="V104" s="13">
        <v>1858</v>
      </c>
      <c r="W104" s="13">
        <v>1662</v>
      </c>
      <c r="X104" s="13">
        <v>1212</v>
      </c>
      <c r="Y104" s="13">
        <v>1254</v>
      </c>
      <c r="Z104" s="13">
        <v>1320</v>
      </c>
      <c r="AA104" s="13">
        <v>1466</v>
      </c>
      <c r="AB104" s="13">
        <v>1992</v>
      </c>
      <c r="AC104" s="13">
        <v>1624</v>
      </c>
      <c r="AD104" s="13">
        <v>1638</v>
      </c>
      <c r="AE104" s="13">
        <v>2194</v>
      </c>
      <c r="AF104" s="13">
        <v>4172</v>
      </c>
      <c r="AG104" s="13">
        <v>4576</v>
      </c>
      <c r="AH104" s="13">
        <v>4726</v>
      </c>
      <c r="AI104" s="13">
        <v>3524</v>
      </c>
      <c r="AJ104" s="13">
        <v>2594</v>
      </c>
    </row>
    <row r="105" spans="1:36" x14ac:dyDescent="0.3">
      <c r="A105" s="60" t="s">
        <v>148</v>
      </c>
      <c r="B105" s="73"/>
      <c r="C105" s="60">
        <v>3120089000</v>
      </c>
      <c r="D105" s="60" t="s">
        <v>419</v>
      </c>
      <c r="E105" s="60" t="s">
        <v>39</v>
      </c>
      <c r="F105" s="60" t="s">
        <v>35</v>
      </c>
      <c r="G105" s="60" t="s">
        <v>149</v>
      </c>
      <c r="H105" s="61">
        <v>44701</v>
      </c>
      <c r="I105" s="60">
        <f t="shared" si="3"/>
        <v>2022</v>
      </c>
      <c r="J105" s="60">
        <f t="shared" si="4"/>
        <v>5</v>
      </c>
      <c r="K105" s="60" t="str">
        <f t="shared" si="5"/>
        <v>2022_5</v>
      </c>
      <c r="L105" s="61" t="s">
        <v>37</v>
      </c>
      <c r="M105" s="11">
        <v>486</v>
      </c>
      <c r="N105" s="12">
        <v>465</v>
      </c>
      <c r="O105" s="13">
        <v>692</v>
      </c>
      <c r="P105" s="13">
        <v>612</v>
      </c>
      <c r="Q105" s="13">
        <v>644</v>
      </c>
      <c r="R105" s="13">
        <v>376</v>
      </c>
      <c r="S105" s="13">
        <v>513</v>
      </c>
      <c r="T105" s="13">
        <v>607</v>
      </c>
      <c r="U105" s="13">
        <v>587</v>
      </c>
      <c r="V105" s="13">
        <v>582</v>
      </c>
      <c r="W105" s="13">
        <v>524</v>
      </c>
      <c r="X105" s="13">
        <v>460</v>
      </c>
      <c r="Y105" s="13">
        <v>526</v>
      </c>
      <c r="Z105" s="13">
        <v>419</v>
      </c>
      <c r="AA105" s="13">
        <v>493</v>
      </c>
      <c r="AB105" s="13">
        <v>601</v>
      </c>
      <c r="AC105" s="13">
        <v>444</v>
      </c>
      <c r="AD105" s="13">
        <v>587</v>
      </c>
      <c r="AE105" s="13">
        <v>657</v>
      </c>
      <c r="AF105" s="13">
        <v>751</v>
      </c>
      <c r="AG105" s="13">
        <v>962</v>
      </c>
      <c r="AH105" s="13">
        <v>946</v>
      </c>
      <c r="AI105" s="13">
        <v>907</v>
      </c>
      <c r="AJ105" s="13">
        <v>633</v>
      </c>
    </row>
    <row r="106" spans="1:36" x14ac:dyDescent="0.3">
      <c r="A106" s="60" t="s">
        <v>124</v>
      </c>
      <c r="B106" s="73"/>
      <c r="C106" s="60">
        <v>3131349002</v>
      </c>
      <c r="D106" s="60" t="s">
        <v>436</v>
      </c>
      <c r="E106" s="60" t="s">
        <v>43</v>
      </c>
      <c r="F106" s="60" t="s">
        <v>35</v>
      </c>
      <c r="G106" s="60" t="s">
        <v>150</v>
      </c>
      <c r="H106" s="61">
        <v>44701</v>
      </c>
      <c r="I106" s="60">
        <f t="shared" si="3"/>
        <v>2022</v>
      </c>
      <c r="J106" s="60">
        <f t="shared" si="4"/>
        <v>5</v>
      </c>
      <c r="K106" s="60" t="str">
        <f t="shared" si="5"/>
        <v>2022_5</v>
      </c>
      <c r="L106" s="61" t="s">
        <v>37</v>
      </c>
      <c r="M106" s="11">
        <v>588</v>
      </c>
      <c r="N106" s="14">
        <v>891</v>
      </c>
      <c r="O106" s="13">
        <v>1064</v>
      </c>
      <c r="P106" s="13">
        <v>1167</v>
      </c>
      <c r="Q106" s="13">
        <v>860</v>
      </c>
      <c r="R106" s="13">
        <v>468</v>
      </c>
      <c r="S106" s="13">
        <v>526</v>
      </c>
      <c r="T106" s="13">
        <v>571</v>
      </c>
      <c r="U106" s="13">
        <v>647</v>
      </c>
      <c r="V106" s="13">
        <v>797</v>
      </c>
      <c r="W106" s="13">
        <v>609</v>
      </c>
      <c r="X106" s="13">
        <v>505</v>
      </c>
      <c r="Y106" s="13">
        <v>634</v>
      </c>
      <c r="Z106" s="13">
        <v>900</v>
      </c>
      <c r="AA106" s="13">
        <v>1632</v>
      </c>
      <c r="AB106" s="13">
        <v>1332</v>
      </c>
      <c r="AC106" s="13">
        <v>702</v>
      </c>
      <c r="AD106" s="13">
        <v>553</v>
      </c>
      <c r="AE106" s="13">
        <v>249</v>
      </c>
      <c r="AF106" s="13">
        <v>580</v>
      </c>
      <c r="AG106" s="13">
        <v>841</v>
      </c>
      <c r="AH106" s="13">
        <v>617</v>
      </c>
      <c r="AI106" s="13">
        <v>897</v>
      </c>
      <c r="AJ106" s="13">
        <v>745</v>
      </c>
    </row>
    <row r="107" spans="1:36" x14ac:dyDescent="0.3">
      <c r="A107" s="60" t="s">
        <v>33</v>
      </c>
      <c r="B107" s="73"/>
      <c r="C107" s="60">
        <v>3021607000</v>
      </c>
      <c r="D107" s="60" t="s">
        <v>364</v>
      </c>
      <c r="E107" s="60" t="s">
        <v>39</v>
      </c>
      <c r="F107" s="60" t="s">
        <v>35</v>
      </c>
      <c r="G107" s="60" t="s">
        <v>151</v>
      </c>
      <c r="H107" s="61">
        <v>44708</v>
      </c>
      <c r="I107" s="60">
        <f t="shared" si="3"/>
        <v>2022</v>
      </c>
      <c r="J107" s="60">
        <f t="shared" si="4"/>
        <v>5</v>
      </c>
      <c r="K107" s="60" t="str">
        <f t="shared" si="5"/>
        <v>2022_5</v>
      </c>
      <c r="L107" s="61" t="s">
        <v>37</v>
      </c>
      <c r="M107" s="11">
        <v>548</v>
      </c>
      <c r="N107" s="17">
        <v>2764</v>
      </c>
      <c r="O107" s="13">
        <v>3146</v>
      </c>
      <c r="P107" s="13">
        <v>2890</v>
      </c>
      <c r="Q107" s="13">
        <v>1360</v>
      </c>
      <c r="R107" s="13">
        <v>590</v>
      </c>
      <c r="S107" s="13">
        <v>704</v>
      </c>
      <c r="T107" s="13">
        <v>738</v>
      </c>
      <c r="U107" s="13">
        <v>990</v>
      </c>
      <c r="V107" s="13">
        <v>804</v>
      </c>
      <c r="W107" s="13">
        <v>672</v>
      </c>
      <c r="X107" s="13">
        <v>582</v>
      </c>
      <c r="Y107" s="13">
        <v>640</v>
      </c>
      <c r="Z107" s="13">
        <v>2770</v>
      </c>
      <c r="AA107" s="13">
        <v>2238</v>
      </c>
      <c r="AB107" s="13">
        <v>1610</v>
      </c>
      <c r="AC107" s="13">
        <v>1312</v>
      </c>
      <c r="AD107" s="13">
        <v>908</v>
      </c>
      <c r="AE107" s="13">
        <v>1528</v>
      </c>
      <c r="AF107" s="13">
        <v>2244</v>
      </c>
      <c r="AG107" s="13">
        <v>2956</v>
      </c>
      <c r="AH107" s="13">
        <v>2356</v>
      </c>
      <c r="AI107" s="13">
        <v>2192</v>
      </c>
      <c r="AJ107" s="13">
        <v>1290</v>
      </c>
    </row>
    <row r="108" spans="1:36" x14ac:dyDescent="0.3">
      <c r="A108" s="60" t="s">
        <v>33</v>
      </c>
      <c r="B108" s="73"/>
      <c r="C108" s="60">
        <v>3120287003</v>
      </c>
      <c r="D108" s="60" t="s">
        <v>419</v>
      </c>
      <c r="E108" s="60" t="s">
        <v>39</v>
      </c>
      <c r="F108" s="60" t="s">
        <v>35</v>
      </c>
      <c r="G108" s="60" t="s">
        <v>152</v>
      </c>
      <c r="H108" s="61">
        <v>44713</v>
      </c>
      <c r="I108" s="60">
        <f t="shared" si="3"/>
        <v>2022</v>
      </c>
      <c r="J108" s="60">
        <f t="shared" si="4"/>
        <v>6</v>
      </c>
      <c r="K108" s="60" t="str">
        <f t="shared" si="5"/>
        <v>2022_6</v>
      </c>
      <c r="L108" s="61" t="s">
        <v>37</v>
      </c>
      <c r="M108" s="11">
        <v>497</v>
      </c>
      <c r="N108" s="17">
        <v>639</v>
      </c>
      <c r="O108" s="13">
        <v>928</v>
      </c>
      <c r="P108" s="13">
        <v>737</v>
      </c>
      <c r="Q108" s="13">
        <v>400</v>
      </c>
      <c r="R108" s="13">
        <v>344</v>
      </c>
      <c r="S108" s="13">
        <v>384</v>
      </c>
      <c r="T108" s="13">
        <v>357</v>
      </c>
      <c r="U108" s="13">
        <v>406</v>
      </c>
      <c r="V108" s="13">
        <v>469</v>
      </c>
      <c r="W108" s="13">
        <v>508</v>
      </c>
      <c r="X108" s="13">
        <v>602</v>
      </c>
      <c r="Y108" s="13">
        <v>528</v>
      </c>
      <c r="Z108" s="13">
        <v>642</v>
      </c>
      <c r="AA108" s="13">
        <v>677</v>
      </c>
      <c r="AB108" s="13">
        <v>506</v>
      </c>
      <c r="AC108" s="13">
        <v>230</v>
      </c>
      <c r="AD108" s="13">
        <v>544</v>
      </c>
      <c r="AE108" s="13">
        <v>385</v>
      </c>
      <c r="AF108" s="13">
        <v>446</v>
      </c>
      <c r="AG108" s="13">
        <v>466</v>
      </c>
      <c r="AH108" s="13">
        <v>420</v>
      </c>
      <c r="AI108" s="13">
        <v>367</v>
      </c>
      <c r="AJ108" s="13">
        <v>395</v>
      </c>
    </row>
    <row r="109" spans="1:36" x14ac:dyDescent="0.3">
      <c r="A109" s="60" t="s">
        <v>124</v>
      </c>
      <c r="B109" s="73"/>
      <c r="C109" s="60">
        <v>3062506001</v>
      </c>
      <c r="D109" s="60" t="s">
        <v>373</v>
      </c>
      <c r="E109" s="60" t="s">
        <v>34</v>
      </c>
      <c r="F109" s="60" t="s">
        <v>35</v>
      </c>
      <c r="G109" s="60" t="s">
        <v>153</v>
      </c>
      <c r="H109" s="61">
        <v>44718</v>
      </c>
      <c r="I109" s="60">
        <f t="shared" si="3"/>
        <v>2022</v>
      </c>
      <c r="J109" s="60">
        <f t="shared" si="4"/>
        <v>6</v>
      </c>
      <c r="K109" s="60" t="str">
        <f t="shared" si="5"/>
        <v>2022_6</v>
      </c>
      <c r="L109" s="61" t="s">
        <v>37</v>
      </c>
      <c r="M109" s="11">
        <v>1078</v>
      </c>
      <c r="N109" s="13">
        <v>1580</v>
      </c>
      <c r="O109" s="13">
        <v>1630</v>
      </c>
      <c r="P109" s="13">
        <v>1716</v>
      </c>
      <c r="Q109" s="13">
        <v>1170</v>
      </c>
      <c r="R109" s="13">
        <v>1102</v>
      </c>
      <c r="S109" s="13">
        <v>1534</v>
      </c>
      <c r="T109" s="13">
        <v>1338</v>
      </c>
      <c r="U109" s="13">
        <v>1222</v>
      </c>
      <c r="V109" s="13">
        <v>1386</v>
      </c>
      <c r="W109" s="13">
        <v>976</v>
      </c>
      <c r="X109" s="13">
        <v>1090</v>
      </c>
      <c r="Y109" s="13">
        <v>1002</v>
      </c>
      <c r="Z109" s="13">
        <v>1380</v>
      </c>
      <c r="AA109" s="13">
        <v>1370</v>
      </c>
      <c r="AB109" s="13">
        <v>1068</v>
      </c>
      <c r="AC109" s="13">
        <v>1128</v>
      </c>
      <c r="AD109" s="13">
        <v>1528</v>
      </c>
      <c r="AE109" s="13">
        <v>3544</v>
      </c>
      <c r="AF109" s="13">
        <v>4538</v>
      </c>
      <c r="AG109" s="13">
        <v>4398</v>
      </c>
      <c r="AH109" s="13">
        <v>2858</v>
      </c>
      <c r="AI109" s="13">
        <v>2106</v>
      </c>
      <c r="AJ109" s="13">
        <v>1348</v>
      </c>
    </row>
    <row r="110" spans="1:36" x14ac:dyDescent="0.3">
      <c r="A110" s="60" t="s">
        <v>33</v>
      </c>
      <c r="B110" s="73"/>
      <c r="C110" s="60">
        <v>3082294000</v>
      </c>
      <c r="D110" s="60" t="s">
        <v>437</v>
      </c>
      <c r="E110" s="60" t="s">
        <v>34</v>
      </c>
      <c r="F110" s="60" t="s">
        <v>35</v>
      </c>
      <c r="G110" s="60" t="s">
        <v>154</v>
      </c>
      <c r="H110" s="61">
        <v>44718</v>
      </c>
      <c r="I110" s="60">
        <f t="shared" si="3"/>
        <v>2022</v>
      </c>
      <c r="J110" s="60">
        <f t="shared" si="4"/>
        <v>6</v>
      </c>
      <c r="K110" s="60" t="str">
        <f t="shared" si="5"/>
        <v>2022_6</v>
      </c>
      <c r="L110" s="61" t="s">
        <v>37</v>
      </c>
      <c r="M110" s="11">
        <v>819</v>
      </c>
      <c r="N110" s="17">
        <v>859</v>
      </c>
      <c r="O110" s="13">
        <v>954</v>
      </c>
      <c r="P110" s="13">
        <v>858</v>
      </c>
      <c r="Q110" s="13">
        <v>739</v>
      </c>
      <c r="R110" s="13">
        <v>788</v>
      </c>
      <c r="S110" s="13">
        <v>1047</v>
      </c>
      <c r="T110" s="13">
        <v>1512</v>
      </c>
      <c r="U110" s="13">
        <v>859</v>
      </c>
      <c r="V110" s="13">
        <v>866</v>
      </c>
      <c r="W110" s="13">
        <v>817</v>
      </c>
      <c r="X110" s="13">
        <v>923</v>
      </c>
      <c r="Y110" s="13">
        <v>956</v>
      </c>
      <c r="Z110" s="13">
        <v>1075</v>
      </c>
      <c r="AA110" s="13">
        <v>1243</v>
      </c>
      <c r="AB110" s="13">
        <v>1016</v>
      </c>
      <c r="AC110" s="13">
        <v>970</v>
      </c>
      <c r="AD110" s="13">
        <v>773</v>
      </c>
      <c r="AE110" s="13">
        <v>1254</v>
      </c>
      <c r="AF110" s="13">
        <v>1669</v>
      </c>
      <c r="AG110" s="13">
        <v>842</v>
      </c>
      <c r="AH110" s="13">
        <v>870</v>
      </c>
      <c r="AI110" s="13">
        <v>907</v>
      </c>
      <c r="AJ110" s="13">
        <v>861</v>
      </c>
    </row>
    <row r="111" spans="1:36" x14ac:dyDescent="0.3">
      <c r="A111" s="60" t="s">
        <v>33</v>
      </c>
      <c r="B111" s="73"/>
      <c r="C111" s="60">
        <v>3110303000</v>
      </c>
      <c r="D111" s="60" t="s">
        <v>388</v>
      </c>
      <c r="E111" s="60" t="s">
        <v>39</v>
      </c>
      <c r="F111" s="60" t="s">
        <v>35</v>
      </c>
      <c r="G111" s="60" t="s">
        <v>155</v>
      </c>
      <c r="H111" s="61">
        <v>44718</v>
      </c>
      <c r="I111" s="60">
        <f t="shared" si="3"/>
        <v>2022</v>
      </c>
      <c r="J111" s="60">
        <f t="shared" si="4"/>
        <v>6</v>
      </c>
      <c r="K111" s="60" t="str">
        <f t="shared" si="5"/>
        <v>2022_6</v>
      </c>
      <c r="L111" s="61" t="s">
        <v>37</v>
      </c>
      <c r="M111" s="11">
        <v>610</v>
      </c>
      <c r="N111" s="17">
        <v>762</v>
      </c>
      <c r="O111" s="13">
        <v>850</v>
      </c>
      <c r="P111" s="13">
        <v>826</v>
      </c>
      <c r="Q111" s="13">
        <v>678</v>
      </c>
      <c r="R111" s="13">
        <v>746</v>
      </c>
      <c r="S111" s="13">
        <v>1034</v>
      </c>
      <c r="T111" s="13">
        <v>1198</v>
      </c>
      <c r="U111" s="13">
        <v>998</v>
      </c>
      <c r="V111" s="13">
        <v>730</v>
      </c>
      <c r="W111" s="13">
        <v>532</v>
      </c>
      <c r="X111" s="13">
        <v>540</v>
      </c>
      <c r="Y111" s="13">
        <v>498</v>
      </c>
      <c r="Z111" s="13">
        <v>612</v>
      </c>
      <c r="AA111" s="13">
        <v>786</v>
      </c>
      <c r="AB111" s="13">
        <v>750</v>
      </c>
      <c r="AC111" s="13">
        <v>722</v>
      </c>
      <c r="AD111" s="13">
        <v>984</v>
      </c>
      <c r="AE111" s="13">
        <v>1598</v>
      </c>
      <c r="AF111" s="13">
        <v>1878</v>
      </c>
      <c r="AG111" s="13">
        <v>1712</v>
      </c>
      <c r="AH111" s="13">
        <v>1588</v>
      </c>
      <c r="AI111" s="13">
        <v>858</v>
      </c>
      <c r="AJ111" s="13">
        <v>720</v>
      </c>
    </row>
    <row r="112" spans="1:36" x14ac:dyDescent="0.3">
      <c r="A112" s="60" t="s">
        <v>117</v>
      </c>
      <c r="B112" s="73"/>
      <c r="C112" s="60">
        <v>3130480002</v>
      </c>
      <c r="D112" s="60" t="s">
        <v>364</v>
      </c>
      <c r="E112" s="60" t="s">
        <v>39</v>
      </c>
      <c r="F112" s="60" t="s">
        <v>35</v>
      </c>
      <c r="G112" s="60" t="s">
        <v>156</v>
      </c>
      <c r="H112" s="61">
        <v>44720</v>
      </c>
      <c r="I112" s="60">
        <f t="shared" si="3"/>
        <v>2022</v>
      </c>
      <c r="J112" s="60">
        <f t="shared" si="4"/>
        <v>6</v>
      </c>
      <c r="K112" s="60" t="str">
        <f t="shared" si="5"/>
        <v>2022_6</v>
      </c>
      <c r="L112" s="61" t="s">
        <v>37</v>
      </c>
      <c r="M112" s="11">
        <v>0</v>
      </c>
      <c r="N112" s="12">
        <v>0</v>
      </c>
      <c r="O112" s="13">
        <v>0</v>
      </c>
      <c r="P112" s="13">
        <v>0</v>
      </c>
      <c r="Q112" s="13">
        <v>0</v>
      </c>
      <c r="R112" s="13">
        <v>345</v>
      </c>
      <c r="S112" s="13">
        <v>567</v>
      </c>
      <c r="T112" s="13">
        <v>660</v>
      </c>
      <c r="U112" s="13">
        <v>663</v>
      </c>
      <c r="V112" s="13">
        <v>400</v>
      </c>
      <c r="W112" s="13">
        <v>396</v>
      </c>
      <c r="X112" s="13">
        <v>466</v>
      </c>
      <c r="Y112" s="13">
        <v>722</v>
      </c>
      <c r="Z112" s="13">
        <v>1477</v>
      </c>
      <c r="AA112" s="13">
        <v>1441</v>
      </c>
      <c r="AB112" s="13">
        <v>895</v>
      </c>
      <c r="AC112" s="13">
        <v>415</v>
      </c>
      <c r="AD112" s="13">
        <v>454</v>
      </c>
      <c r="AE112" s="13">
        <v>642</v>
      </c>
      <c r="AF112" s="13">
        <v>932</v>
      </c>
      <c r="AG112" s="13">
        <v>1450</v>
      </c>
      <c r="AH112" s="13">
        <v>1406</v>
      </c>
      <c r="AI112" s="13">
        <v>894</v>
      </c>
      <c r="AJ112" s="13">
        <v>640</v>
      </c>
    </row>
    <row r="113" spans="1:36" x14ac:dyDescent="0.3">
      <c r="A113" s="60" t="s">
        <v>33</v>
      </c>
      <c r="B113" s="73"/>
      <c r="C113" s="60">
        <v>3112093000</v>
      </c>
      <c r="D113" s="60" t="s">
        <v>438</v>
      </c>
      <c r="E113" s="60" t="s">
        <v>34</v>
      </c>
      <c r="F113" s="60" t="s">
        <v>35</v>
      </c>
      <c r="G113" s="60" t="s">
        <v>157</v>
      </c>
      <c r="H113" s="61">
        <v>44721</v>
      </c>
      <c r="I113" s="60">
        <f t="shared" si="3"/>
        <v>2022</v>
      </c>
      <c r="J113" s="60">
        <f t="shared" si="4"/>
        <v>6</v>
      </c>
      <c r="K113" s="60" t="str">
        <f t="shared" si="5"/>
        <v>2022_6</v>
      </c>
      <c r="L113" s="61" t="s">
        <v>37</v>
      </c>
      <c r="M113" s="11">
        <v>1210</v>
      </c>
      <c r="N113" s="12">
        <v>1416</v>
      </c>
      <c r="O113" s="13">
        <v>1290</v>
      </c>
      <c r="P113" s="13">
        <v>1492</v>
      </c>
      <c r="Q113" s="13">
        <v>1114</v>
      </c>
      <c r="R113" s="13">
        <v>1048</v>
      </c>
      <c r="S113" s="13">
        <v>1672</v>
      </c>
      <c r="T113" s="13">
        <v>1936</v>
      </c>
      <c r="U113" s="13">
        <v>1238</v>
      </c>
      <c r="V113" s="13">
        <v>1172</v>
      </c>
      <c r="W113" s="13">
        <v>884</v>
      </c>
      <c r="X113" s="13">
        <v>968</v>
      </c>
      <c r="Y113" s="13">
        <v>1094</v>
      </c>
      <c r="Z113" s="13">
        <v>1472</v>
      </c>
      <c r="AA113" s="13">
        <v>2082</v>
      </c>
      <c r="AB113" s="13">
        <v>1648</v>
      </c>
      <c r="AC113" s="13">
        <v>1010</v>
      </c>
      <c r="AD113" s="13">
        <v>1312</v>
      </c>
      <c r="AE113" s="13">
        <v>1982</v>
      </c>
      <c r="AF113" s="13">
        <v>1622</v>
      </c>
      <c r="AG113" s="13">
        <v>2140</v>
      </c>
      <c r="AH113" s="13">
        <v>1792</v>
      </c>
      <c r="AI113" s="13">
        <v>1616</v>
      </c>
      <c r="AJ113" s="13">
        <v>1836</v>
      </c>
    </row>
    <row r="114" spans="1:36" x14ac:dyDescent="0.3">
      <c r="A114" s="60" t="s">
        <v>124</v>
      </c>
      <c r="B114" s="73"/>
      <c r="C114" s="60">
        <v>3140611000</v>
      </c>
      <c r="D114" s="60" t="s">
        <v>385</v>
      </c>
      <c r="E114" s="60" t="s">
        <v>43</v>
      </c>
      <c r="F114" s="60" t="s">
        <v>35</v>
      </c>
      <c r="G114" s="60" t="s">
        <v>158</v>
      </c>
      <c r="H114" s="61">
        <v>44722</v>
      </c>
      <c r="I114" s="60">
        <f t="shared" si="3"/>
        <v>2022</v>
      </c>
      <c r="J114" s="60">
        <f t="shared" si="4"/>
        <v>6</v>
      </c>
      <c r="K114" s="60" t="str">
        <f t="shared" si="5"/>
        <v>2022_6</v>
      </c>
      <c r="L114" s="61" t="s">
        <v>37</v>
      </c>
      <c r="M114" s="11">
        <v>652</v>
      </c>
      <c r="N114" s="14">
        <v>781</v>
      </c>
      <c r="O114" s="13">
        <v>724</v>
      </c>
      <c r="P114" s="13">
        <v>717</v>
      </c>
      <c r="Q114" s="13">
        <v>702</v>
      </c>
      <c r="R114" s="13">
        <v>791</v>
      </c>
      <c r="S114" s="13">
        <v>763</v>
      </c>
      <c r="T114" s="13">
        <v>1124</v>
      </c>
      <c r="U114" s="13">
        <v>905</v>
      </c>
      <c r="V114" s="13">
        <v>800</v>
      </c>
      <c r="W114" s="13">
        <v>738</v>
      </c>
      <c r="X114" s="13">
        <v>655</v>
      </c>
      <c r="Y114" s="13">
        <v>670</v>
      </c>
      <c r="Z114" s="13">
        <v>867</v>
      </c>
      <c r="AA114" s="13">
        <v>1083</v>
      </c>
      <c r="AB114" s="13">
        <v>1028</v>
      </c>
      <c r="AC114" s="13">
        <v>1069</v>
      </c>
      <c r="AD114" s="13">
        <v>1320</v>
      </c>
      <c r="AE114" s="13">
        <v>1698</v>
      </c>
      <c r="AF114" s="13">
        <v>1980</v>
      </c>
      <c r="AG114" s="13">
        <v>1951</v>
      </c>
      <c r="AH114" s="13">
        <v>1950</v>
      </c>
      <c r="AI114" s="13">
        <v>889</v>
      </c>
      <c r="AJ114" s="13">
        <v>680</v>
      </c>
    </row>
    <row r="115" spans="1:36" x14ac:dyDescent="0.3">
      <c r="A115" s="60" t="s">
        <v>33</v>
      </c>
      <c r="B115" s="73"/>
      <c r="C115" s="60">
        <v>3131785000</v>
      </c>
      <c r="D115" s="60" t="s">
        <v>355</v>
      </c>
      <c r="E115" s="60" t="s">
        <v>39</v>
      </c>
      <c r="F115" s="60" t="s">
        <v>35</v>
      </c>
      <c r="G115" s="60" t="s">
        <v>159</v>
      </c>
      <c r="H115" s="61">
        <v>44727</v>
      </c>
      <c r="I115" s="60">
        <f t="shared" si="3"/>
        <v>2022</v>
      </c>
      <c r="J115" s="60">
        <f t="shared" si="4"/>
        <v>6</v>
      </c>
      <c r="K115" s="60" t="str">
        <f t="shared" si="5"/>
        <v>2022_6</v>
      </c>
      <c r="L115" s="61" t="s">
        <v>37</v>
      </c>
      <c r="M115" s="11">
        <v>830</v>
      </c>
      <c r="N115" s="17">
        <v>913</v>
      </c>
      <c r="O115" s="13">
        <v>898</v>
      </c>
      <c r="P115" s="13">
        <v>737</v>
      </c>
      <c r="Q115" s="13">
        <v>805</v>
      </c>
      <c r="R115" s="13">
        <v>824</v>
      </c>
      <c r="S115" s="13">
        <v>861</v>
      </c>
      <c r="T115" s="13">
        <v>1029</v>
      </c>
      <c r="U115" s="13">
        <v>942</v>
      </c>
      <c r="V115" s="13">
        <v>980</v>
      </c>
      <c r="W115" s="13">
        <v>855</v>
      </c>
      <c r="X115" s="13">
        <v>868</v>
      </c>
      <c r="Y115" s="13">
        <v>794</v>
      </c>
      <c r="Z115" s="13">
        <v>810</v>
      </c>
      <c r="AA115" s="13">
        <v>786</v>
      </c>
      <c r="AB115" s="13">
        <v>763</v>
      </c>
      <c r="AC115" s="13">
        <v>765</v>
      </c>
      <c r="AD115" s="13">
        <v>1243</v>
      </c>
      <c r="AE115" s="13">
        <v>1342</v>
      </c>
      <c r="AF115" s="13">
        <v>1372</v>
      </c>
      <c r="AG115" s="13">
        <v>771</v>
      </c>
      <c r="AH115" s="13">
        <v>813</v>
      </c>
      <c r="AI115" s="13">
        <v>780</v>
      </c>
      <c r="AJ115" s="13">
        <v>775</v>
      </c>
    </row>
    <row r="116" spans="1:36" x14ac:dyDescent="0.3">
      <c r="A116" s="60" t="s">
        <v>33</v>
      </c>
      <c r="B116" s="73"/>
      <c r="C116" s="60">
        <v>3131786001</v>
      </c>
      <c r="D116" s="60" t="s">
        <v>355</v>
      </c>
      <c r="E116" s="60" t="s">
        <v>39</v>
      </c>
      <c r="F116" s="60" t="s">
        <v>35</v>
      </c>
      <c r="G116" s="60" t="s">
        <v>159</v>
      </c>
      <c r="H116" s="61">
        <v>44727</v>
      </c>
      <c r="I116" s="60">
        <f t="shared" si="3"/>
        <v>2022</v>
      </c>
      <c r="J116" s="60">
        <f t="shared" si="4"/>
        <v>6</v>
      </c>
      <c r="K116" s="60" t="str">
        <f t="shared" si="5"/>
        <v>2022_6</v>
      </c>
      <c r="L116" s="61" t="s">
        <v>37</v>
      </c>
      <c r="M116" s="11">
        <v>494</v>
      </c>
      <c r="N116" s="17">
        <v>560</v>
      </c>
      <c r="O116" s="13">
        <v>626</v>
      </c>
      <c r="P116" s="13">
        <v>457</v>
      </c>
      <c r="Q116" s="13">
        <v>447</v>
      </c>
      <c r="R116" s="13">
        <v>350</v>
      </c>
      <c r="S116" s="13">
        <v>343</v>
      </c>
      <c r="T116" s="13">
        <v>440</v>
      </c>
      <c r="U116" s="13">
        <v>493</v>
      </c>
      <c r="V116" s="13">
        <v>424</v>
      </c>
      <c r="W116" s="13">
        <v>353</v>
      </c>
      <c r="X116" s="13">
        <v>475</v>
      </c>
      <c r="Y116" s="13">
        <v>598</v>
      </c>
      <c r="Z116" s="13">
        <v>678</v>
      </c>
      <c r="AA116" s="13">
        <v>655</v>
      </c>
      <c r="AB116" s="13">
        <v>581</v>
      </c>
      <c r="AC116" s="13">
        <v>594</v>
      </c>
      <c r="AD116" s="13">
        <v>809</v>
      </c>
      <c r="AE116" s="13">
        <v>729</v>
      </c>
      <c r="AF116" s="13">
        <v>548</v>
      </c>
      <c r="AG116" s="13">
        <v>496</v>
      </c>
      <c r="AH116" s="13">
        <v>469</v>
      </c>
      <c r="AI116" s="13">
        <v>529</v>
      </c>
      <c r="AJ116" s="13">
        <v>498</v>
      </c>
    </row>
    <row r="117" spans="1:36" x14ac:dyDescent="0.3">
      <c r="A117" s="60" t="s">
        <v>46</v>
      </c>
      <c r="B117" s="73"/>
      <c r="C117" s="60">
        <v>3132098001</v>
      </c>
      <c r="D117" s="60" t="s">
        <v>375</v>
      </c>
      <c r="E117" s="60" t="s">
        <v>39</v>
      </c>
      <c r="F117" s="60" t="s">
        <v>35</v>
      </c>
      <c r="G117" s="60" t="s">
        <v>160</v>
      </c>
      <c r="H117" s="61">
        <v>44728</v>
      </c>
      <c r="I117" s="60">
        <f t="shared" si="3"/>
        <v>2022</v>
      </c>
      <c r="J117" s="60">
        <f t="shared" si="4"/>
        <v>6</v>
      </c>
      <c r="K117" s="60" t="str">
        <f t="shared" si="5"/>
        <v>2022_6</v>
      </c>
      <c r="L117" s="61" t="s">
        <v>37</v>
      </c>
      <c r="M117" s="11">
        <v>321</v>
      </c>
      <c r="N117" s="17">
        <v>448</v>
      </c>
      <c r="O117" s="13">
        <v>372</v>
      </c>
      <c r="P117" s="13">
        <v>397</v>
      </c>
      <c r="Q117" s="13">
        <v>271</v>
      </c>
      <c r="R117" s="13">
        <v>315</v>
      </c>
      <c r="S117" s="13">
        <v>366</v>
      </c>
      <c r="T117" s="13">
        <v>473</v>
      </c>
      <c r="U117" s="13">
        <v>319</v>
      </c>
      <c r="V117" s="13">
        <v>340</v>
      </c>
      <c r="W117" s="13">
        <v>258</v>
      </c>
      <c r="X117" s="13">
        <v>227</v>
      </c>
      <c r="Y117" s="13">
        <v>233</v>
      </c>
      <c r="Z117" s="13">
        <v>486</v>
      </c>
      <c r="AA117" s="13">
        <v>603</v>
      </c>
      <c r="AB117" s="13">
        <v>398</v>
      </c>
      <c r="AC117" s="13">
        <v>404</v>
      </c>
      <c r="AD117" s="13">
        <v>768</v>
      </c>
      <c r="AE117" s="13">
        <v>1301</v>
      </c>
      <c r="AF117" s="13">
        <v>1446</v>
      </c>
      <c r="AG117" s="13">
        <v>1239</v>
      </c>
      <c r="AH117" s="13">
        <v>1269</v>
      </c>
      <c r="AI117" s="13">
        <v>896</v>
      </c>
      <c r="AJ117" s="13">
        <v>566</v>
      </c>
    </row>
    <row r="118" spans="1:36" x14ac:dyDescent="0.3">
      <c r="A118" s="65" t="s">
        <v>124</v>
      </c>
      <c r="B118" s="74"/>
      <c r="C118" s="60">
        <v>3121405000</v>
      </c>
      <c r="D118" s="65" t="s">
        <v>439</v>
      </c>
      <c r="E118" s="65" t="s">
        <v>39</v>
      </c>
      <c r="F118" s="65" t="s">
        <v>35</v>
      </c>
      <c r="G118" s="65" t="s">
        <v>161</v>
      </c>
      <c r="H118" s="61">
        <v>44730</v>
      </c>
      <c r="I118" s="60">
        <f t="shared" si="3"/>
        <v>2022</v>
      </c>
      <c r="J118" s="60">
        <f t="shared" si="4"/>
        <v>6</v>
      </c>
      <c r="K118" s="60" t="str">
        <f t="shared" si="5"/>
        <v>2022_6</v>
      </c>
      <c r="L118" s="61" t="s">
        <v>37</v>
      </c>
      <c r="M118" s="26">
        <v>230</v>
      </c>
      <c r="N118" s="13">
        <v>365</v>
      </c>
      <c r="O118" s="13">
        <v>488</v>
      </c>
      <c r="P118" s="13">
        <v>505</v>
      </c>
      <c r="Q118" s="13">
        <v>313</v>
      </c>
      <c r="R118" s="13">
        <v>322</v>
      </c>
      <c r="S118" s="13">
        <v>382</v>
      </c>
      <c r="T118" s="13">
        <v>284</v>
      </c>
      <c r="U118" s="13">
        <v>261</v>
      </c>
      <c r="V118" s="13">
        <v>259</v>
      </c>
      <c r="W118" s="13">
        <v>208</v>
      </c>
      <c r="X118" s="13">
        <v>209</v>
      </c>
      <c r="Y118" s="13">
        <v>210</v>
      </c>
      <c r="Z118" s="13">
        <v>310</v>
      </c>
      <c r="AA118" s="13">
        <v>380</v>
      </c>
      <c r="AB118" s="13">
        <v>265</v>
      </c>
      <c r="AC118" s="13">
        <v>250</v>
      </c>
      <c r="AD118" s="13">
        <v>572</v>
      </c>
      <c r="AE118" s="13">
        <v>1768</v>
      </c>
      <c r="AF118" s="13">
        <v>1308</v>
      </c>
      <c r="AG118" s="13">
        <v>1041</v>
      </c>
      <c r="AH118" s="13">
        <v>982</v>
      </c>
      <c r="AI118" s="13">
        <v>453</v>
      </c>
      <c r="AJ118" s="13">
        <v>327</v>
      </c>
    </row>
    <row r="119" spans="1:36" x14ac:dyDescent="0.3">
      <c r="A119" s="60" t="s">
        <v>33</v>
      </c>
      <c r="B119" s="73"/>
      <c r="C119" s="60">
        <v>3132560000</v>
      </c>
      <c r="D119" s="60" t="s">
        <v>440</v>
      </c>
      <c r="E119" s="60" t="s">
        <v>39</v>
      </c>
      <c r="F119" s="60" t="s">
        <v>35</v>
      </c>
      <c r="G119" s="60" t="s">
        <v>162</v>
      </c>
      <c r="H119" s="61">
        <v>44733</v>
      </c>
      <c r="I119" s="60">
        <f t="shared" si="3"/>
        <v>2022</v>
      </c>
      <c r="J119" s="60">
        <f t="shared" si="4"/>
        <v>6</v>
      </c>
      <c r="K119" s="60" t="str">
        <f t="shared" si="5"/>
        <v>2022_6</v>
      </c>
      <c r="L119" s="61" t="s">
        <v>37</v>
      </c>
      <c r="M119" s="11">
        <v>626</v>
      </c>
      <c r="N119" s="17">
        <v>775</v>
      </c>
      <c r="O119" s="13">
        <v>697</v>
      </c>
      <c r="P119" s="13">
        <v>605</v>
      </c>
      <c r="Q119" s="13">
        <v>461</v>
      </c>
      <c r="R119" s="13">
        <v>535</v>
      </c>
      <c r="S119" s="13">
        <v>689</v>
      </c>
      <c r="T119" s="13">
        <v>527</v>
      </c>
      <c r="U119" s="13">
        <v>254</v>
      </c>
      <c r="V119" s="13">
        <v>255</v>
      </c>
      <c r="W119" s="13">
        <v>241</v>
      </c>
      <c r="X119" s="13">
        <v>467</v>
      </c>
      <c r="Y119" s="13">
        <v>539</v>
      </c>
      <c r="Z119" s="13">
        <v>800</v>
      </c>
      <c r="AA119" s="13">
        <v>590</v>
      </c>
      <c r="AB119" s="13">
        <v>553</v>
      </c>
      <c r="AC119" s="13">
        <v>504</v>
      </c>
      <c r="AD119" s="13">
        <v>448</v>
      </c>
      <c r="AE119" s="13">
        <v>506</v>
      </c>
      <c r="AF119" s="13">
        <v>397</v>
      </c>
      <c r="AG119" s="13">
        <v>265</v>
      </c>
      <c r="AH119" s="13">
        <v>261</v>
      </c>
      <c r="AI119" s="13">
        <v>260</v>
      </c>
      <c r="AJ119" s="13">
        <v>378</v>
      </c>
    </row>
    <row r="120" spans="1:36" x14ac:dyDescent="0.3">
      <c r="A120" s="60" t="s">
        <v>33</v>
      </c>
      <c r="B120" s="73"/>
      <c r="C120" s="60">
        <v>3060470002</v>
      </c>
      <c r="D120" s="60" t="s">
        <v>441</v>
      </c>
      <c r="E120" s="60" t="s">
        <v>34</v>
      </c>
      <c r="F120" s="60" t="s">
        <v>35</v>
      </c>
      <c r="G120" s="60" t="s">
        <v>163</v>
      </c>
      <c r="H120" s="61">
        <v>44734</v>
      </c>
      <c r="I120" s="60">
        <f t="shared" si="3"/>
        <v>2022</v>
      </c>
      <c r="J120" s="60">
        <f t="shared" si="4"/>
        <v>6</v>
      </c>
      <c r="K120" s="60" t="str">
        <f t="shared" si="5"/>
        <v>2022_6</v>
      </c>
      <c r="L120" s="61" t="s">
        <v>37</v>
      </c>
      <c r="M120" s="11">
        <v>742</v>
      </c>
      <c r="N120" s="25">
        <v>585</v>
      </c>
      <c r="O120" s="13">
        <v>637</v>
      </c>
      <c r="P120" s="13">
        <v>716</v>
      </c>
      <c r="Q120" s="13">
        <v>537</v>
      </c>
      <c r="R120" s="13">
        <v>561</v>
      </c>
      <c r="S120" s="13">
        <v>735</v>
      </c>
      <c r="T120" s="13">
        <v>581</v>
      </c>
      <c r="U120" s="13">
        <v>511</v>
      </c>
      <c r="V120" s="13">
        <v>555</v>
      </c>
      <c r="W120" s="13">
        <v>493</v>
      </c>
      <c r="X120" s="13">
        <v>469</v>
      </c>
      <c r="Y120" s="13">
        <v>590</v>
      </c>
      <c r="Z120" s="13">
        <v>534</v>
      </c>
      <c r="AA120" s="13">
        <v>699</v>
      </c>
      <c r="AB120" s="13">
        <v>585</v>
      </c>
      <c r="AC120" s="13">
        <v>604</v>
      </c>
      <c r="AD120" s="13">
        <v>664</v>
      </c>
      <c r="AE120" s="13">
        <v>981</v>
      </c>
      <c r="AF120" s="13">
        <v>801</v>
      </c>
      <c r="AG120" s="13">
        <v>521</v>
      </c>
      <c r="AH120" s="13">
        <v>459</v>
      </c>
      <c r="AI120" s="13">
        <v>451</v>
      </c>
      <c r="AJ120" s="13">
        <v>515</v>
      </c>
    </row>
    <row r="121" spans="1:36" x14ac:dyDescent="0.3">
      <c r="A121" s="60" t="s">
        <v>128</v>
      </c>
      <c r="B121" s="73"/>
      <c r="C121" s="60">
        <v>3120343001</v>
      </c>
      <c r="D121" s="60" t="s">
        <v>442</v>
      </c>
      <c r="E121" s="60" t="s">
        <v>39</v>
      </c>
      <c r="F121" s="60" t="s">
        <v>35</v>
      </c>
      <c r="G121" s="60" t="s">
        <v>164</v>
      </c>
      <c r="H121" s="61">
        <v>44735</v>
      </c>
      <c r="I121" s="60">
        <f t="shared" si="3"/>
        <v>2022</v>
      </c>
      <c r="J121" s="60">
        <f t="shared" si="4"/>
        <v>6</v>
      </c>
      <c r="K121" s="60" t="str">
        <f t="shared" si="5"/>
        <v>2022_6</v>
      </c>
      <c r="L121" s="61" t="s">
        <v>37</v>
      </c>
      <c r="M121" s="11">
        <v>0</v>
      </c>
      <c r="N121" s="26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158</v>
      </c>
      <c r="T121" s="13">
        <v>493</v>
      </c>
      <c r="U121" s="13">
        <v>588</v>
      </c>
      <c r="V121" s="13">
        <v>593</v>
      </c>
      <c r="W121" s="13">
        <v>496</v>
      </c>
      <c r="X121" s="13">
        <v>390</v>
      </c>
      <c r="Y121" s="13">
        <v>389</v>
      </c>
      <c r="Z121" s="13">
        <v>632</v>
      </c>
      <c r="AA121" s="13">
        <v>746</v>
      </c>
      <c r="AB121" s="13">
        <v>458</v>
      </c>
      <c r="AC121" s="13">
        <v>427</v>
      </c>
      <c r="AD121" s="13">
        <v>1063</v>
      </c>
      <c r="AE121" s="13">
        <v>1779</v>
      </c>
      <c r="AF121" s="13">
        <v>1216</v>
      </c>
      <c r="AG121" s="13">
        <v>1312</v>
      </c>
      <c r="AH121" s="13">
        <v>847</v>
      </c>
      <c r="AI121" s="13">
        <v>440</v>
      </c>
      <c r="AJ121" s="13">
        <v>441</v>
      </c>
    </row>
    <row r="122" spans="1:36" x14ac:dyDescent="0.3">
      <c r="A122" s="60" t="s">
        <v>46</v>
      </c>
      <c r="B122" s="73"/>
      <c r="C122" s="60">
        <v>3132732001</v>
      </c>
      <c r="D122" s="60" t="s">
        <v>443</v>
      </c>
      <c r="E122" s="60" t="s">
        <v>39</v>
      </c>
      <c r="F122" s="60" t="s">
        <v>35</v>
      </c>
      <c r="G122" s="60" t="s">
        <v>165</v>
      </c>
      <c r="H122" s="61">
        <v>44735</v>
      </c>
      <c r="I122" s="60">
        <f t="shared" si="3"/>
        <v>2022</v>
      </c>
      <c r="J122" s="60">
        <f t="shared" si="4"/>
        <v>6</v>
      </c>
      <c r="K122" s="60" t="str">
        <f t="shared" si="5"/>
        <v>2022_6</v>
      </c>
      <c r="L122" s="61" t="s">
        <v>37</v>
      </c>
      <c r="M122" s="11">
        <v>0</v>
      </c>
      <c r="N122" s="14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894</v>
      </c>
      <c r="T122" s="13">
        <v>1115</v>
      </c>
      <c r="U122" s="13">
        <v>1159</v>
      </c>
      <c r="V122" s="13">
        <v>875</v>
      </c>
      <c r="W122" s="13">
        <v>628</v>
      </c>
      <c r="X122" s="13">
        <v>605</v>
      </c>
      <c r="Y122" s="13">
        <v>709</v>
      </c>
      <c r="Z122" s="13">
        <v>742</v>
      </c>
      <c r="AA122" s="13">
        <v>569</v>
      </c>
      <c r="AB122" s="13">
        <v>549</v>
      </c>
      <c r="AC122" s="13">
        <v>496</v>
      </c>
      <c r="AD122" s="13">
        <v>489</v>
      </c>
      <c r="AE122" s="13">
        <v>687</v>
      </c>
      <c r="AF122" s="13">
        <v>862</v>
      </c>
      <c r="AG122" s="13">
        <v>829</v>
      </c>
      <c r="AH122" s="13">
        <v>690</v>
      </c>
      <c r="AI122" s="13">
        <v>691</v>
      </c>
      <c r="AJ122" s="13">
        <v>537</v>
      </c>
    </row>
    <row r="123" spans="1:36" x14ac:dyDescent="0.3">
      <c r="A123" s="60" t="s">
        <v>124</v>
      </c>
      <c r="B123" s="73"/>
      <c r="C123" s="60">
        <v>3062413000</v>
      </c>
      <c r="D123" s="60" t="s">
        <v>444</v>
      </c>
      <c r="E123" s="60" t="s">
        <v>34</v>
      </c>
      <c r="F123" s="60" t="s">
        <v>35</v>
      </c>
      <c r="G123" s="60" t="s">
        <v>166</v>
      </c>
      <c r="H123" s="61">
        <v>44736</v>
      </c>
      <c r="I123" s="60">
        <f t="shared" si="3"/>
        <v>2022</v>
      </c>
      <c r="J123" s="60">
        <f t="shared" si="4"/>
        <v>6</v>
      </c>
      <c r="K123" s="60" t="str">
        <f t="shared" si="5"/>
        <v>2022_6</v>
      </c>
      <c r="L123" s="61" t="s">
        <v>37</v>
      </c>
      <c r="M123" s="11">
        <v>748</v>
      </c>
      <c r="N123" s="14">
        <v>669</v>
      </c>
      <c r="O123" s="13">
        <v>744</v>
      </c>
      <c r="P123" s="13">
        <v>822</v>
      </c>
      <c r="Q123" s="13">
        <v>525</v>
      </c>
      <c r="R123" s="13">
        <v>467</v>
      </c>
      <c r="S123" s="13">
        <v>626</v>
      </c>
      <c r="T123" s="13">
        <v>682</v>
      </c>
      <c r="U123" s="13">
        <v>535</v>
      </c>
      <c r="V123" s="13">
        <v>595</v>
      </c>
      <c r="W123" s="13">
        <v>496</v>
      </c>
      <c r="X123" s="13">
        <v>533</v>
      </c>
      <c r="Y123" s="13">
        <v>796</v>
      </c>
      <c r="Z123" s="13">
        <v>747</v>
      </c>
      <c r="AA123" s="13">
        <v>860</v>
      </c>
      <c r="AB123" s="13">
        <v>563</v>
      </c>
      <c r="AC123" s="13">
        <v>509</v>
      </c>
      <c r="AD123" s="13">
        <v>556</v>
      </c>
      <c r="AE123" s="13">
        <v>1087</v>
      </c>
      <c r="AF123" s="13">
        <v>1368</v>
      </c>
      <c r="AG123" s="13">
        <v>1609</v>
      </c>
      <c r="AH123" s="13">
        <v>1248</v>
      </c>
      <c r="AI123" s="13">
        <v>791</v>
      </c>
      <c r="AJ123" s="13">
        <v>559</v>
      </c>
    </row>
    <row r="124" spans="1:36" x14ac:dyDescent="0.3">
      <c r="A124" s="60" t="s">
        <v>33</v>
      </c>
      <c r="B124" s="73"/>
      <c r="C124" s="60">
        <v>3081836001</v>
      </c>
      <c r="D124" s="60" t="s">
        <v>445</v>
      </c>
      <c r="E124" s="60" t="s">
        <v>34</v>
      </c>
      <c r="F124" s="60" t="s">
        <v>35</v>
      </c>
      <c r="G124" s="60" t="s">
        <v>167</v>
      </c>
      <c r="H124" s="61">
        <v>44742</v>
      </c>
      <c r="I124" s="60">
        <f t="shared" si="3"/>
        <v>2022</v>
      </c>
      <c r="J124" s="60">
        <f t="shared" si="4"/>
        <v>6</v>
      </c>
      <c r="K124" s="60" t="str">
        <f t="shared" si="5"/>
        <v>2022_6</v>
      </c>
      <c r="L124" s="61" t="s">
        <v>37</v>
      </c>
      <c r="M124" s="11">
        <v>517</v>
      </c>
      <c r="N124" s="12">
        <v>593</v>
      </c>
      <c r="O124" s="13">
        <v>562</v>
      </c>
      <c r="P124" s="13">
        <v>628</v>
      </c>
      <c r="Q124" s="13">
        <v>448</v>
      </c>
      <c r="R124" s="13">
        <v>478</v>
      </c>
      <c r="S124" s="13">
        <v>557</v>
      </c>
      <c r="T124" s="13">
        <v>640</v>
      </c>
      <c r="U124" s="13">
        <v>541</v>
      </c>
      <c r="V124" s="13">
        <v>567</v>
      </c>
      <c r="W124" s="13">
        <v>516</v>
      </c>
      <c r="X124" s="13">
        <v>542</v>
      </c>
      <c r="Y124" s="13">
        <v>500</v>
      </c>
      <c r="Z124" s="13">
        <v>625</v>
      </c>
      <c r="AA124" s="13">
        <v>707</v>
      </c>
      <c r="AB124" s="13">
        <v>618</v>
      </c>
      <c r="AC124" s="13">
        <v>503</v>
      </c>
      <c r="AD124" s="13">
        <v>539</v>
      </c>
      <c r="AE124" s="13">
        <v>558</v>
      </c>
      <c r="AF124" s="13">
        <v>720</v>
      </c>
      <c r="AG124" s="13">
        <v>669</v>
      </c>
      <c r="AH124" s="13">
        <v>673</v>
      </c>
      <c r="AI124" s="13">
        <v>643</v>
      </c>
      <c r="AJ124" s="13">
        <v>531</v>
      </c>
    </row>
    <row r="125" spans="1:36" x14ac:dyDescent="0.3">
      <c r="A125" s="60" t="s">
        <v>124</v>
      </c>
      <c r="B125" s="73"/>
      <c r="C125" s="60">
        <v>3112224002</v>
      </c>
      <c r="D125" s="60" t="s">
        <v>425</v>
      </c>
      <c r="E125" s="60" t="s">
        <v>34</v>
      </c>
      <c r="F125" s="60" t="s">
        <v>35</v>
      </c>
      <c r="G125" s="60" t="s">
        <v>168</v>
      </c>
      <c r="H125" s="61">
        <v>44742</v>
      </c>
      <c r="I125" s="60">
        <f t="shared" si="3"/>
        <v>2022</v>
      </c>
      <c r="J125" s="60">
        <f t="shared" si="4"/>
        <v>6</v>
      </c>
      <c r="K125" s="60" t="str">
        <f t="shared" si="5"/>
        <v>2022_6</v>
      </c>
      <c r="L125" s="61" t="s">
        <v>37</v>
      </c>
      <c r="M125" s="11">
        <v>1074</v>
      </c>
      <c r="N125" s="14">
        <v>1098</v>
      </c>
      <c r="O125" s="13">
        <v>1236</v>
      </c>
      <c r="P125" s="13">
        <v>1350</v>
      </c>
      <c r="Q125" s="13">
        <v>1172</v>
      </c>
      <c r="R125" s="13">
        <v>1234</v>
      </c>
      <c r="S125" s="13">
        <v>1242</v>
      </c>
      <c r="T125" s="13">
        <v>1708</v>
      </c>
      <c r="U125" s="13">
        <v>1206</v>
      </c>
      <c r="V125" s="13">
        <v>1294</v>
      </c>
      <c r="W125" s="13">
        <v>1144</v>
      </c>
      <c r="X125" s="13">
        <v>1066</v>
      </c>
      <c r="Y125" s="13">
        <v>114</v>
      </c>
      <c r="Z125" s="13">
        <v>1270</v>
      </c>
      <c r="AA125" s="13">
        <v>100</v>
      </c>
      <c r="AB125" s="13">
        <v>1104</v>
      </c>
      <c r="AC125" s="13">
        <v>1754</v>
      </c>
      <c r="AD125" s="13">
        <v>2270</v>
      </c>
      <c r="AE125" s="13">
        <v>4210</v>
      </c>
      <c r="AF125" s="13">
        <v>6014</v>
      </c>
      <c r="AG125" s="13">
        <v>5378</v>
      </c>
      <c r="AH125" s="13">
        <v>4728</v>
      </c>
      <c r="AI125" s="13">
        <v>3080</v>
      </c>
      <c r="AJ125" s="13">
        <v>2094</v>
      </c>
    </row>
    <row r="126" spans="1:36" x14ac:dyDescent="0.3">
      <c r="A126" s="60" t="s">
        <v>124</v>
      </c>
      <c r="B126" s="73"/>
      <c r="C126" s="60">
        <v>3160726002</v>
      </c>
      <c r="D126" s="60" t="s">
        <v>446</v>
      </c>
      <c r="E126" s="60" t="s">
        <v>100</v>
      </c>
      <c r="F126" s="60" t="s">
        <v>35</v>
      </c>
      <c r="G126" s="60" t="s">
        <v>169</v>
      </c>
      <c r="H126" s="61">
        <v>44742</v>
      </c>
      <c r="I126" s="60">
        <f t="shared" si="3"/>
        <v>2022</v>
      </c>
      <c r="J126" s="60">
        <f t="shared" si="4"/>
        <v>6</v>
      </c>
      <c r="K126" s="60" t="str">
        <f t="shared" si="5"/>
        <v>2022_6</v>
      </c>
      <c r="L126" s="61" t="s">
        <v>37</v>
      </c>
      <c r="M126" s="11">
        <v>709</v>
      </c>
      <c r="N126" s="14">
        <v>1007</v>
      </c>
      <c r="O126" s="13">
        <v>1346</v>
      </c>
      <c r="P126" s="13">
        <v>995</v>
      </c>
      <c r="Q126" s="13">
        <v>723</v>
      </c>
      <c r="R126" s="13">
        <v>478</v>
      </c>
      <c r="S126" s="13">
        <v>827</v>
      </c>
      <c r="T126" s="13">
        <v>267</v>
      </c>
      <c r="U126" s="13">
        <v>507</v>
      </c>
      <c r="V126" s="13">
        <v>569</v>
      </c>
      <c r="W126" s="13">
        <v>475</v>
      </c>
      <c r="X126" s="13">
        <v>594</v>
      </c>
      <c r="Y126" s="13">
        <v>915</v>
      </c>
      <c r="Z126" s="13">
        <v>805</v>
      </c>
      <c r="AA126" s="13">
        <v>821</v>
      </c>
      <c r="AB126" s="13">
        <v>642</v>
      </c>
      <c r="AC126" s="13">
        <v>635</v>
      </c>
      <c r="AD126" s="13">
        <v>882</v>
      </c>
      <c r="AE126" s="13">
        <v>1193</v>
      </c>
      <c r="AF126" s="13">
        <v>1315</v>
      </c>
      <c r="AG126" s="13">
        <v>1229</v>
      </c>
      <c r="AH126" s="13">
        <v>1033</v>
      </c>
      <c r="AI126" s="13">
        <v>710</v>
      </c>
      <c r="AJ126" s="13">
        <v>564</v>
      </c>
    </row>
    <row r="127" spans="1:36" x14ac:dyDescent="0.3">
      <c r="A127" s="60" t="s">
        <v>170</v>
      </c>
      <c r="B127" s="73"/>
      <c r="C127" s="60">
        <v>3020598002</v>
      </c>
      <c r="D127" s="60" t="s">
        <v>447</v>
      </c>
      <c r="E127" s="60" t="s">
        <v>34</v>
      </c>
      <c r="F127" s="60" t="s">
        <v>35</v>
      </c>
      <c r="G127" s="60" t="s">
        <v>171</v>
      </c>
      <c r="H127" s="61">
        <v>44743</v>
      </c>
      <c r="I127" s="60">
        <f t="shared" si="3"/>
        <v>2022</v>
      </c>
      <c r="J127" s="60">
        <f t="shared" si="4"/>
        <v>7</v>
      </c>
      <c r="K127" s="60" t="str">
        <f t="shared" si="5"/>
        <v>2022_7</v>
      </c>
      <c r="L127" s="61" t="s">
        <v>172</v>
      </c>
      <c r="M127" s="11">
        <v>1636</v>
      </c>
      <c r="N127" s="25">
        <v>1886</v>
      </c>
      <c r="O127" s="13">
        <v>1651</v>
      </c>
      <c r="P127" s="13">
        <v>1335</v>
      </c>
      <c r="Q127" s="13">
        <v>1226</v>
      </c>
      <c r="R127" s="13">
        <v>2813</v>
      </c>
      <c r="S127" s="13">
        <v>3261</v>
      </c>
      <c r="T127" s="13">
        <v>4604</v>
      </c>
      <c r="U127" s="13">
        <v>3661</v>
      </c>
      <c r="V127" s="13">
        <v>2663</v>
      </c>
      <c r="W127" s="13">
        <v>2056</v>
      </c>
      <c r="X127" s="13">
        <v>1609</v>
      </c>
      <c r="Y127" s="13">
        <v>1509</v>
      </c>
      <c r="Z127" s="13">
        <v>1861</v>
      </c>
      <c r="AA127" s="13">
        <v>1517</v>
      </c>
      <c r="AB127" s="13">
        <v>1180</v>
      </c>
      <c r="AC127" s="13">
        <v>1180</v>
      </c>
      <c r="AD127" s="13">
        <v>1976</v>
      </c>
      <c r="AE127" s="13">
        <v>2567</v>
      </c>
      <c r="AF127" s="13">
        <v>2797</v>
      </c>
      <c r="AG127" s="13">
        <v>2437</v>
      </c>
      <c r="AH127" s="13">
        <v>2015</v>
      </c>
      <c r="AI127" s="13">
        <v>1630</v>
      </c>
      <c r="AJ127" s="13">
        <v>1409</v>
      </c>
    </row>
    <row r="128" spans="1:36" x14ac:dyDescent="0.3">
      <c r="A128" s="65" t="s">
        <v>33</v>
      </c>
      <c r="B128" s="74"/>
      <c r="C128" s="60">
        <v>3160897000</v>
      </c>
      <c r="D128" s="65" t="s">
        <v>448</v>
      </c>
      <c r="E128" s="65" t="s">
        <v>100</v>
      </c>
      <c r="F128" s="65" t="s">
        <v>35</v>
      </c>
      <c r="G128" s="65" t="s">
        <v>173</v>
      </c>
      <c r="H128" s="61">
        <v>44743</v>
      </c>
      <c r="I128" s="60">
        <f t="shared" si="3"/>
        <v>2022</v>
      </c>
      <c r="J128" s="60">
        <f t="shared" si="4"/>
        <v>7</v>
      </c>
      <c r="K128" s="60" t="str">
        <f t="shared" si="5"/>
        <v>2022_7</v>
      </c>
      <c r="L128" s="61" t="s">
        <v>37</v>
      </c>
      <c r="M128" s="26">
        <v>1671</v>
      </c>
      <c r="N128" s="17">
        <v>1557</v>
      </c>
      <c r="O128" s="13">
        <v>1036</v>
      </c>
      <c r="P128" s="13">
        <v>682</v>
      </c>
      <c r="Q128" s="13">
        <v>892</v>
      </c>
      <c r="R128" s="13">
        <v>962</v>
      </c>
      <c r="S128" s="13">
        <v>1326</v>
      </c>
      <c r="T128" s="13">
        <v>886</v>
      </c>
      <c r="U128" s="13">
        <v>191</v>
      </c>
      <c r="V128" s="13">
        <v>667</v>
      </c>
      <c r="W128" s="13">
        <v>1109</v>
      </c>
      <c r="X128" s="13">
        <v>1093</v>
      </c>
      <c r="Y128" s="13">
        <v>1394</v>
      </c>
      <c r="Z128" s="13">
        <v>1524</v>
      </c>
      <c r="AA128" s="13">
        <v>1020</v>
      </c>
      <c r="AB128" s="13">
        <v>600</v>
      </c>
      <c r="AC128" s="13">
        <v>779</v>
      </c>
      <c r="AD128" s="13">
        <v>883</v>
      </c>
      <c r="AE128" s="13">
        <v>851</v>
      </c>
      <c r="AF128" s="13">
        <v>940</v>
      </c>
      <c r="AG128" s="13">
        <v>694</v>
      </c>
      <c r="AH128" s="13">
        <v>649</v>
      </c>
      <c r="AI128" s="13">
        <v>735</v>
      </c>
      <c r="AJ128" s="13">
        <v>779</v>
      </c>
    </row>
    <row r="129" spans="1:36" x14ac:dyDescent="0.3">
      <c r="A129" s="60" t="s">
        <v>117</v>
      </c>
      <c r="B129" s="73"/>
      <c r="C129" s="60">
        <v>3111773002</v>
      </c>
      <c r="D129" s="60" t="s">
        <v>449</v>
      </c>
      <c r="E129" s="60" t="s">
        <v>43</v>
      </c>
      <c r="F129" s="60" t="s">
        <v>35</v>
      </c>
      <c r="G129" s="60" t="s">
        <v>174</v>
      </c>
      <c r="H129" s="61">
        <v>44747</v>
      </c>
      <c r="I129" s="60">
        <f t="shared" si="3"/>
        <v>2022</v>
      </c>
      <c r="J129" s="60">
        <f t="shared" si="4"/>
        <v>7</v>
      </c>
      <c r="K129" s="60" t="str">
        <f t="shared" si="5"/>
        <v>2022_7</v>
      </c>
      <c r="L129" s="61" t="s">
        <v>37</v>
      </c>
      <c r="M129" s="11">
        <v>1478</v>
      </c>
      <c r="N129" s="17">
        <v>1760</v>
      </c>
      <c r="O129" s="13">
        <v>1352</v>
      </c>
      <c r="P129" s="13">
        <v>968</v>
      </c>
      <c r="Q129" s="13">
        <v>786</v>
      </c>
      <c r="R129" s="13">
        <v>1136</v>
      </c>
      <c r="S129" s="13">
        <v>1560</v>
      </c>
      <c r="T129" s="13">
        <v>1606</v>
      </c>
      <c r="U129" s="13">
        <v>1438</v>
      </c>
      <c r="V129" s="13">
        <v>1150</v>
      </c>
      <c r="W129" s="13">
        <v>1078</v>
      </c>
      <c r="X129" s="13">
        <v>1140</v>
      </c>
      <c r="Y129" s="13">
        <v>1620</v>
      </c>
      <c r="Z129" s="13">
        <v>1478</v>
      </c>
      <c r="AA129" s="13">
        <v>1600</v>
      </c>
      <c r="AB129" s="13">
        <v>1014</v>
      </c>
      <c r="AC129" s="13">
        <v>1176</v>
      </c>
      <c r="AD129" s="13">
        <v>1404</v>
      </c>
      <c r="AE129" s="13">
        <v>1642</v>
      </c>
      <c r="AF129" s="13">
        <v>1334</v>
      </c>
      <c r="AG129" s="13">
        <v>1504</v>
      </c>
      <c r="AH129" s="13">
        <v>1162</v>
      </c>
      <c r="AI129" s="13">
        <v>1062</v>
      </c>
      <c r="AJ129" s="13">
        <v>1212</v>
      </c>
    </row>
    <row r="130" spans="1:36" x14ac:dyDescent="0.3">
      <c r="A130" s="60" t="s">
        <v>124</v>
      </c>
      <c r="B130" s="73"/>
      <c r="C130" s="60">
        <v>3062581000</v>
      </c>
      <c r="D130" s="60" t="s">
        <v>450</v>
      </c>
      <c r="E130" s="60" t="s">
        <v>34</v>
      </c>
      <c r="F130" s="60" t="s">
        <v>35</v>
      </c>
      <c r="G130" s="60" t="s">
        <v>175</v>
      </c>
      <c r="H130" s="61">
        <v>44748</v>
      </c>
      <c r="I130" s="60">
        <f t="shared" si="3"/>
        <v>2022</v>
      </c>
      <c r="J130" s="60">
        <f t="shared" si="4"/>
        <v>7</v>
      </c>
      <c r="K130" s="60" t="str">
        <f t="shared" si="5"/>
        <v>2022_7</v>
      </c>
      <c r="L130" s="61" t="s">
        <v>37</v>
      </c>
      <c r="M130" s="11">
        <v>561</v>
      </c>
      <c r="N130" s="14">
        <v>551</v>
      </c>
      <c r="O130" s="13">
        <v>679</v>
      </c>
      <c r="P130" s="13">
        <v>644</v>
      </c>
      <c r="Q130" s="13">
        <v>584</v>
      </c>
      <c r="R130" s="13">
        <v>933</v>
      </c>
      <c r="S130" s="13">
        <v>810</v>
      </c>
      <c r="T130" s="13">
        <v>709</v>
      </c>
      <c r="U130" s="13">
        <v>709</v>
      </c>
      <c r="V130" s="13">
        <v>644</v>
      </c>
      <c r="W130" s="13">
        <v>631</v>
      </c>
      <c r="X130" s="13">
        <v>690</v>
      </c>
      <c r="Y130" s="13">
        <v>727</v>
      </c>
      <c r="Z130" s="13">
        <v>903</v>
      </c>
      <c r="AA130" s="13">
        <v>747</v>
      </c>
      <c r="AB130" s="13">
        <v>1004</v>
      </c>
      <c r="AC130" s="13">
        <v>1174</v>
      </c>
      <c r="AD130" s="13">
        <v>2366</v>
      </c>
      <c r="AE130" s="13">
        <v>2960</v>
      </c>
      <c r="AF130" s="13">
        <v>2612</v>
      </c>
      <c r="AG130" s="13">
        <v>2102</v>
      </c>
      <c r="AH130" s="13">
        <v>1580</v>
      </c>
      <c r="AI130" s="13">
        <v>1138</v>
      </c>
      <c r="AJ130" s="13">
        <v>706</v>
      </c>
    </row>
    <row r="131" spans="1:36" x14ac:dyDescent="0.3">
      <c r="A131" s="60" t="s">
        <v>124</v>
      </c>
      <c r="B131" s="73"/>
      <c r="C131" s="60">
        <v>3132066000</v>
      </c>
      <c r="D131" s="60" t="s">
        <v>351</v>
      </c>
      <c r="E131" s="60" t="s">
        <v>39</v>
      </c>
      <c r="F131" s="60" t="s">
        <v>35</v>
      </c>
      <c r="G131" s="60" t="s">
        <v>176</v>
      </c>
      <c r="H131" s="61">
        <v>44748</v>
      </c>
      <c r="I131" s="60">
        <f t="shared" ref="I131:I194" si="6">YEAR(H131)</f>
        <v>2022</v>
      </c>
      <c r="J131" s="60">
        <f t="shared" ref="J131:J194" si="7">MONTH(H131)</f>
        <v>7</v>
      </c>
      <c r="K131" s="60" t="str">
        <f t="shared" ref="K131:K194" si="8">I131&amp;"_"&amp;J131</f>
        <v>2022_7</v>
      </c>
      <c r="L131" s="61" t="s">
        <v>37</v>
      </c>
      <c r="M131" s="11">
        <v>1206</v>
      </c>
      <c r="N131" s="13">
        <v>840</v>
      </c>
      <c r="O131" s="13">
        <v>742</v>
      </c>
      <c r="P131" s="13">
        <v>1166</v>
      </c>
      <c r="Q131" s="13">
        <v>910</v>
      </c>
      <c r="R131" s="13">
        <v>874</v>
      </c>
      <c r="S131" s="13">
        <v>1136</v>
      </c>
      <c r="T131" s="13">
        <v>1024</v>
      </c>
      <c r="U131" s="13">
        <v>1132</v>
      </c>
      <c r="V131" s="13">
        <v>1244</v>
      </c>
      <c r="W131" s="13">
        <v>1052</v>
      </c>
      <c r="X131" s="13">
        <v>614</v>
      </c>
      <c r="Y131" s="13">
        <v>690</v>
      </c>
      <c r="Z131" s="13">
        <v>900</v>
      </c>
      <c r="AA131" s="13">
        <v>770</v>
      </c>
      <c r="AB131" s="13">
        <v>946</v>
      </c>
      <c r="AC131" s="13">
        <v>1904</v>
      </c>
      <c r="AD131" s="13">
        <v>2808</v>
      </c>
      <c r="AE131" s="13">
        <v>3458</v>
      </c>
      <c r="AF131" s="13">
        <v>2892</v>
      </c>
      <c r="AG131" s="13">
        <v>2810</v>
      </c>
      <c r="AH131" s="13">
        <v>1448</v>
      </c>
      <c r="AI131" s="13">
        <v>986</v>
      </c>
      <c r="AJ131" s="13">
        <v>1156</v>
      </c>
    </row>
    <row r="132" spans="1:36" x14ac:dyDescent="0.3">
      <c r="A132" s="60" t="s">
        <v>124</v>
      </c>
      <c r="B132" s="73"/>
      <c r="C132" s="60">
        <v>3130982001</v>
      </c>
      <c r="D132" s="60" t="s">
        <v>362</v>
      </c>
      <c r="E132" s="60" t="s">
        <v>39</v>
      </c>
      <c r="F132" s="60" t="s">
        <v>35</v>
      </c>
      <c r="G132" s="60" t="s">
        <v>177</v>
      </c>
      <c r="H132" s="61">
        <v>44751</v>
      </c>
      <c r="I132" s="60">
        <f t="shared" si="6"/>
        <v>2022</v>
      </c>
      <c r="J132" s="60">
        <f t="shared" si="7"/>
        <v>7</v>
      </c>
      <c r="K132" s="60" t="str">
        <f t="shared" si="8"/>
        <v>2022_7</v>
      </c>
      <c r="L132" s="61" t="s">
        <v>37</v>
      </c>
      <c r="M132" s="11">
        <v>0</v>
      </c>
      <c r="N132" s="14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175</v>
      </c>
      <c r="U132" s="13">
        <v>300</v>
      </c>
      <c r="V132" s="13">
        <v>333</v>
      </c>
      <c r="W132" s="13">
        <v>582</v>
      </c>
      <c r="X132" s="13">
        <v>602</v>
      </c>
      <c r="Y132" s="13">
        <v>591</v>
      </c>
      <c r="Z132" s="13">
        <v>551</v>
      </c>
      <c r="AA132" s="13">
        <v>523</v>
      </c>
      <c r="AB132" s="13">
        <v>635</v>
      </c>
      <c r="AC132" s="13">
        <v>1357</v>
      </c>
      <c r="AD132" s="13">
        <v>1723</v>
      </c>
      <c r="AE132" s="13">
        <v>2090</v>
      </c>
      <c r="AF132" s="13">
        <v>2077</v>
      </c>
      <c r="AG132" s="13">
        <v>1686</v>
      </c>
      <c r="AH132" s="13">
        <v>1160</v>
      </c>
      <c r="AI132" s="13">
        <v>583</v>
      </c>
      <c r="AJ132" s="13">
        <v>498</v>
      </c>
    </row>
    <row r="133" spans="1:36" x14ac:dyDescent="0.3">
      <c r="A133" s="60" t="s">
        <v>124</v>
      </c>
      <c r="B133" s="73"/>
      <c r="C133" s="60">
        <v>3052964000</v>
      </c>
      <c r="D133" s="60" t="s">
        <v>451</v>
      </c>
      <c r="E133" s="60" t="s">
        <v>34</v>
      </c>
      <c r="F133" s="60" t="s">
        <v>35</v>
      </c>
      <c r="G133" s="60" t="s">
        <v>86</v>
      </c>
      <c r="H133" s="61">
        <v>44753</v>
      </c>
      <c r="I133" s="60">
        <f t="shared" si="6"/>
        <v>2022</v>
      </c>
      <c r="J133" s="60">
        <f t="shared" si="7"/>
        <v>7</v>
      </c>
      <c r="K133" s="60" t="str">
        <f t="shared" si="8"/>
        <v>2022_7</v>
      </c>
      <c r="L133" s="61" t="s">
        <v>37</v>
      </c>
      <c r="M133" s="11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</row>
    <row r="134" spans="1:36" x14ac:dyDescent="0.3">
      <c r="A134" s="60" t="s">
        <v>124</v>
      </c>
      <c r="B134" s="73"/>
      <c r="C134" s="60">
        <v>3080117001</v>
      </c>
      <c r="D134" s="60" t="s">
        <v>437</v>
      </c>
      <c r="E134" s="60" t="s">
        <v>34</v>
      </c>
      <c r="F134" s="60" t="s">
        <v>35</v>
      </c>
      <c r="G134" s="60" t="s">
        <v>178</v>
      </c>
      <c r="H134" s="61">
        <v>44753</v>
      </c>
      <c r="I134" s="60">
        <f t="shared" si="6"/>
        <v>2022</v>
      </c>
      <c r="J134" s="60">
        <f t="shared" si="7"/>
        <v>7</v>
      </c>
      <c r="K134" s="60" t="str">
        <f t="shared" si="8"/>
        <v>2022_7</v>
      </c>
      <c r="L134" s="61" t="s">
        <v>37</v>
      </c>
      <c r="M134" s="11">
        <v>1298</v>
      </c>
      <c r="N134" s="13">
        <v>1352</v>
      </c>
      <c r="O134" s="13">
        <v>1240</v>
      </c>
      <c r="P134" s="13">
        <v>1294</v>
      </c>
      <c r="Q134" s="13">
        <v>1372</v>
      </c>
      <c r="R134" s="13">
        <v>2050</v>
      </c>
      <c r="S134" s="13">
        <v>2346</v>
      </c>
      <c r="T134" s="13">
        <v>1906</v>
      </c>
      <c r="U134" s="13">
        <v>1608</v>
      </c>
      <c r="V134" s="13">
        <v>1176</v>
      </c>
      <c r="W134" s="13">
        <v>1118</v>
      </c>
      <c r="X134" s="13">
        <v>1030</v>
      </c>
      <c r="Y134" s="13">
        <v>1102</v>
      </c>
      <c r="Z134" s="13">
        <v>1248</v>
      </c>
      <c r="AA134" s="13">
        <v>1492</v>
      </c>
      <c r="AB134" s="13">
        <v>1506</v>
      </c>
      <c r="AC134" s="13">
        <v>1652</v>
      </c>
      <c r="AD134" s="13">
        <v>3500</v>
      </c>
      <c r="AE134" s="13">
        <v>4744</v>
      </c>
      <c r="AF134" s="13">
        <v>3492</v>
      </c>
      <c r="AG134" s="13">
        <v>3010</v>
      </c>
      <c r="AH134" s="13">
        <v>1808</v>
      </c>
      <c r="AI134" s="13">
        <v>1264</v>
      </c>
      <c r="AJ134" s="13">
        <v>974</v>
      </c>
    </row>
    <row r="135" spans="1:36" x14ac:dyDescent="0.3">
      <c r="A135" s="60" t="s">
        <v>33</v>
      </c>
      <c r="B135" s="73"/>
      <c r="C135" s="60">
        <v>3140612001</v>
      </c>
      <c r="D135" s="60" t="s">
        <v>385</v>
      </c>
      <c r="E135" s="60" t="s">
        <v>43</v>
      </c>
      <c r="F135" s="60" t="s">
        <v>35</v>
      </c>
      <c r="G135" s="60" t="s">
        <v>158</v>
      </c>
      <c r="H135" s="61">
        <v>44754</v>
      </c>
      <c r="I135" s="60">
        <f t="shared" si="6"/>
        <v>2022</v>
      </c>
      <c r="J135" s="60">
        <f t="shared" si="7"/>
        <v>7</v>
      </c>
      <c r="K135" s="60" t="str">
        <f t="shared" si="8"/>
        <v>2022_7</v>
      </c>
      <c r="L135" s="61" t="s">
        <v>37</v>
      </c>
      <c r="M135" s="11">
        <v>49</v>
      </c>
      <c r="N135" s="17">
        <v>28</v>
      </c>
      <c r="O135" s="13">
        <v>76</v>
      </c>
      <c r="P135" s="13">
        <v>36</v>
      </c>
      <c r="Q135" s="13">
        <v>67</v>
      </c>
      <c r="R135" s="13">
        <v>272</v>
      </c>
      <c r="S135" s="13">
        <v>689</v>
      </c>
      <c r="T135" s="13">
        <v>624</v>
      </c>
      <c r="U135" s="13">
        <v>481</v>
      </c>
      <c r="V135" s="13">
        <v>495</v>
      </c>
      <c r="W135" s="13">
        <v>379</v>
      </c>
      <c r="X135" s="13">
        <v>368</v>
      </c>
      <c r="Y135" s="13">
        <v>565</v>
      </c>
      <c r="Z135" s="13">
        <v>849</v>
      </c>
      <c r="AA135" s="13">
        <v>810</v>
      </c>
      <c r="AB135" s="13">
        <v>954</v>
      </c>
      <c r="AC135" s="13">
        <v>1158</v>
      </c>
      <c r="AD135" s="13">
        <v>2364</v>
      </c>
      <c r="AE135" s="13">
        <v>2536</v>
      </c>
      <c r="AF135" s="13">
        <v>1294</v>
      </c>
      <c r="AG135" s="13">
        <v>1166</v>
      </c>
      <c r="AH135" s="13">
        <v>780</v>
      </c>
      <c r="AI135" s="13">
        <v>592</v>
      </c>
      <c r="AJ135" s="13">
        <v>694</v>
      </c>
    </row>
    <row r="136" spans="1:36" x14ac:dyDescent="0.3">
      <c r="A136" s="60" t="s">
        <v>128</v>
      </c>
      <c r="B136" s="73"/>
      <c r="C136" s="60">
        <v>3111433001</v>
      </c>
      <c r="D136" s="60" t="s">
        <v>354</v>
      </c>
      <c r="E136" s="60" t="s">
        <v>39</v>
      </c>
      <c r="F136" s="60" t="s">
        <v>35</v>
      </c>
      <c r="G136" s="60" t="s">
        <v>47</v>
      </c>
      <c r="H136" s="61">
        <v>44756</v>
      </c>
      <c r="I136" s="60">
        <f t="shared" si="6"/>
        <v>2022</v>
      </c>
      <c r="J136" s="60">
        <f t="shared" si="7"/>
        <v>7</v>
      </c>
      <c r="K136" s="60" t="str">
        <f t="shared" si="8"/>
        <v>2022_7</v>
      </c>
      <c r="L136" s="61" t="s">
        <v>37</v>
      </c>
      <c r="M136" s="11">
        <v>0</v>
      </c>
      <c r="N136" s="14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120</v>
      </c>
      <c r="T136" s="13">
        <v>1042</v>
      </c>
      <c r="U136" s="13">
        <v>792</v>
      </c>
      <c r="V136" s="13">
        <v>546</v>
      </c>
      <c r="W136" s="13">
        <v>690</v>
      </c>
      <c r="X136" s="13">
        <v>710</v>
      </c>
      <c r="Y136" s="13">
        <v>2820</v>
      </c>
      <c r="Z136" s="13">
        <v>3396</v>
      </c>
      <c r="AA136" s="13">
        <v>2202</v>
      </c>
      <c r="AB136" s="13">
        <v>1124</v>
      </c>
      <c r="AC136" s="13">
        <v>1448</v>
      </c>
      <c r="AD136" s="13">
        <v>2642</v>
      </c>
      <c r="AE136" s="13">
        <v>2998</v>
      </c>
      <c r="AF136" s="13">
        <v>2386</v>
      </c>
      <c r="AG136" s="13">
        <v>1366</v>
      </c>
      <c r="AH136" s="13">
        <v>1332</v>
      </c>
      <c r="AI136" s="13">
        <v>1116</v>
      </c>
      <c r="AJ136" s="13">
        <v>2516</v>
      </c>
    </row>
    <row r="137" spans="1:36" x14ac:dyDescent="0.3">
      <c r="A137" s="60" t="s">
        <v>33</v>
      </c>
      <c r="B137" s="73"/>
      <c r="C137" s="60">
        <v>3080988001</v>
      </c>
      <c r="D137" s="60" t="s">
        <v>452</v>
      </c>
      <c r="E137" s="60" t="s">
        <v>100</v>
      </c>
      <c r="F137" s="60" t="s">
        <v>35</v>
      </c>
      <c r="G137" s="60" t="s">
        <v>179</v>
      </c>
      <c r="H137" s="61">
        <v>44764</v>
      </c>
      <c r="I137" s="60">
        <f t="shared" si="6"/>
        <v>2022</v>
      </c>
      <c r="J137" s="60">
        <f t="shared" si="7"/>
        <v>7</v>
      </c>
      <c r="K137" s="60" t="str">
        <f t="shared" si="8"/>
        <v>2022_7</v>
      </c>
      <c r="L137" s="61" t="s">
        <v>37</v>
      </c>
      <c r="M137" s="11">
        <v>0</v>
      </c>
      <c r="N137" s="14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1033</v>
      </c>
      <c r="T137" s="13">
        <v>1058</v>
      </c>
      <c r="U137" s="13">
        <v>297</v>
      </c>
      <c r="V137" s="13">
        <v>207</v>
      </c>
      <c r="W137" s="13">
        <v>231</v>
      </c>
      <c r="X137" s="13">
        <v>464</v>
      </c>
      <c r="Y137" s="13">
        <v>609</v>
      </c>
      <c r="Z137" s="13">
        <v>891</v>
      </c>
      <c r="AA137" s="13">
        <v>361</v>
      </c>
      <c r="AB137" s="13">
        <v>397</v>
      </c>
      <c r="AC137" s="13">
        <v>470</v>
      </c>
      <c r="AD137" s="13">
        <v>1087</v>
      </c>
      <c r="AE137" s="13">
        <v>1450</v>
      </c>
      <c r="AF137" s="13">
        <v>1419</v>
      </c>
      <c r="AG137" s="13">
        <v>1354</v>
      </c>
      <c r="AH137" s="13">
        <v>885</v>
      </c>
      <c r="AI137" s="13">
        <v>551</v>
      </c>
      <c r="AJ137" s="13">
        <v>530</v>
      </c>
    </row>
    <row r="138" spans="1:36" x14ac:dyDescent="0.3">
      <c r="A138" s="60" t="s">
        <v>180</v>
      </c>
      <c r="B138" s="73"/>
      <c r="C138" s="60">
        <v>3130129000</v>
      </c>
      <c r="D138" s="60" t="s">
        <v>453</v>
      </c>
      <c r="E138" s="60" t="s">
        <v>39</v>
      </c>
      <c r="F138" s="60" t="s">
        <v>35</v>
      </c>
      <c r="G138" s="60" t="s">
        <v>141</v>
      </c>
      <c r="H138" s="61">
        <v>44767</v>
      </c>
      <c r="I138" s="60">
        <f t="shared" si="6"/>
        <v>2022</v>
      </c>
      <c r="J138" s="60">
        <f t="shared" si="7"/>
        <v>7</v>
      </c>
      <c r="K138" s="60" t="str">
        <f t="shared" si="8"/>
        <v>2022_7</v>
      </c>
      <c r="L138" s="61" t="s">
        <v>37</v>
      </c>
      <c r="M138" s="11">
        <v>251</v>
      </c>
      <c r="N138" s="14">
        <v>186</v>
      </c>
      <c r="O138" s="13">
        <v>231</v>
      </c>
      <c r="P138" s="13">
        <v>43</v>
      </c>
      <c r="Q138" s="13">
        <v>7</v>
      </c>
      <c r="R138" s="13">
        <v>22</v>
      </c>
      <c r="S138" s="13">
        <v>25</v>
      </c>
      <c r="T138" s="13">
        <v>16</v>
      </c>
      <c r="U138" s="13">
        <v>0</v>
      </c>
      <c r="V138" s="13">
        <v>17</v>
      </c>
      <c r="W138" s="13">
        <v>18</v>
      </c>
      <c r="X138" s="13">
        <v>52</v>
      </c>
      <c r="Y138" s="13">
        <v>425</v>
      </c>
      <c r="Z138" s="13">
        <v>200</v>
      </c>
      <c r="AA138" s="13">
        <v>173</v>
      </c>
      <c r="AB138" s="13">
        <v>44</v>
      </c>
      <c r="AC138" s="13">
        <v>-14</v>
      </c>
      <c r="AD138" s="13">
        <v>0</v>
      </c>
      <c r="AE138" s="13">
        <v>0</v>
      </c>
      <c r="AF138" s="13">
        <v>0</v>
      </c>
      <c r="AG138" s="13">
        <v>0</v>
      </c>
      <c r="AH138" s="13">
        <v>0</v>
      </c>
      <c r="AI138" s="13">
        <v>0</v>
      </c>
      <c r="AJ138" s="13">
        <v>0</v>
      </c>
    </row>
    <row r="139" spans="1:36" x14ac:dyDescent="0.3">
      <c r="A139" s="60" t="s">
        <v>33</v>
      </c>
      <c r="B139" s="73"/>
      <c r="C139" s="60">
        <v>3110299002</v>
      </c>
      <c r="D139" s="60" t="s">
        <v>454</v>
      </c>
      <c r="E139" s="60" t="s">
        <v>39</v>
      </c>
      <c r="F139" s="60" t="s">
        <v>35</v>
      </c>
      <c r="G139" s="60" t="s">
        <v>181</v>
      </c>
      <c r="H139" s="61">
        <v>44769</v>
      </c>
      <c r="I139" s="60">
        <f t="shared" si="6"/>
        <v>2022</v>
      </c>
      <c r="J139" s="60">
        <f t="shared" si="7"/>
        <v>7</v>
      </c>
      <c r="K139" s="60" t="str">
        <f t="shared" si="8"/>
        <v>2022_7</v>
      </c>
      <c r="L139" s="61" t="s">
        <v>37</v>
      </c>
      <c r="M139" s="11">
        <v>0</v>
      </c>
      <c r="N139" s="12">
        <v>0</v>
      </c>
      <c r="O139" s="13">
        <v>0</v>
      </c>
      <c r="P139" s="13">
        <v>0</v>
      </c>
      <c r="Q139" s="13">
        <v>0</v>
      </c>
      <c r="R139" s="13">
        <v>1046</v>
      </c>
      <c r="S139" s="13">
        <v>1356</v>
      </c>
      <c r="T139" s="13">
        <v>990</v>
      </c>
      <c r="U139" s="13">
        <v>820</v>
      </c>
      <c r="V139" s="13">
        <v>776</v>
      </c>
      <c r="W139" s="13">
        <v>756</v>
      </c>
      <c r="X139" s="13">
        <v>930</v>
      </c>
      <c r="Y139" s="13">
        <v>908</v>
      </c>
      <c r="Z139" s="13">
        <v>1732</v>
      </c>
      <c r="AA139" s="13">
        <v>1374</v>
      </c>
      <c r="AB139" s="13">
        <v>1068</v>
      </c>
      <c r="AC139" s="13">
        <v>2084</v>
      </c>
      <c r="AD139" s="13">
        <v>2060</v>
      </c>
      <c r="AE139" s="13">
        <v>1162</v>
      </c>
      <c r="AF139" s="13">
        <v>1044</v>
      </c>
      <c r="AG139" s="13">
        <v>894</v>
      </c>
      <c r="AH139" s="13">
        <v>772</v>
      </c>
      <c r="AI139" s="13">
        <v>1324</v>
      </c>
      <c r="AJ139" s="13">
        <v>1260</v>
      </c>
    </row>
    <row r="140" spans="1:36" x14ac:dyDescent="0.3">
      <c r="A140" s="60" t="s">
        <v>124</v>
      </c>
      <c r="B140" s="73"/>
      <c r="C140" s="60">
        <v>3132074002</v>
      </c>
      <c r="D140" s="60" t="s">
        <v>351</v>
      </c>
      <c r="E140" s="60" t="s">
        <v>39</v>
      </c>
      <c r="F140" s="60" t="s">
        <v>35</v>
      </c>
      <c r="G140" s="60" t="s">
        <v>182</v>
      </c>
      <c r="H140" s="61">
        <v>44769</v>
      </c>
      <c r="I140" s="60">
        <f t="shared" si="6"/>
        <v>2022</v>
      </c>
      <c r="J140" s="60">
        <f t="shared" si="7"/>
        <v>7</v>
      </c>
      <c r="K140" s="60" t="str">
        <f t="shared" si="8"/>
        <v>2022_7</v>
      </c>
      <c r="L140" s="61" t="s">
        <v>37</v>
      </c>
      <c r="M140" s="11">
        <v>763</v>
      </c>
      <c r="N140" s="14">
        <v>676</v>
      </c>
      <c r="O140" s="13">
        <v>666</v>
      </c>
      <c r="P140" s="13">
        <v>519</v>
      </c>
      <c r="Q140" s="13">
        <v>491</v>
      </c>
      <c r="R140" s="13">
        <v>523</v>
      </c>
      <c r="S140" s="13">
        <v>610</v>
      </c>
      <c r="T140" s="13">
        <v>508</v>
      </c>
      <c r="U140" s="13">
        <v>476</v>
      </c>
      <c r="V140" s="13">
        <v>388</v>
      </c>
      <c r="W140" s="13">
        <v>497</v>
      </c>
      <c r="X140" s="13">
        <v>454</v>
      </c>
      <c r="Y140" s="13">
        <v>629</v>
      </c>
      <c r="Z140" s="13">
        <v>589</v>
      </c>
      <c r="AA140" s="13">
        <v>485</v>
      </c>
      <c r="AB140" s="13">
        <v>544</v>
      </c>
      <c r="AC140" s="13">
        <v>649</v>
      </c>
      <c r="AD140" s="13">
        <v>1171</v>
      </c>
      <c r="AE140" s="13">
        <v>1685</v>
      </c>
      <c r="AF140" s="13">
        <v>1396</v>
      </c>
      <c r="AG140" s="13">
        <v>804</v>
      </c>
      <c r="AH140" s="13">
        <v>454</v>
      </c>
      <c r="AI140" s="13">
        <v>409</v>
      </c>
      <c r="AJ140" s="13">
        <v>402</v>
      </c>
    </row>
    <row r="141" spans="1:36" x14ac:dyDescent="0.3">
      <c r="A141" s="60" t="s">
        <v>124</v>
      </c>
      <c r="B141" s="73"/>
      <c r="C141" s="60">
        <v>3120841002</v>
      </c>
      <c r="D141" s="60" t="s">
        <v>455</v>
      </c>
      <c r="E141" s="60" t="s">
        <v>39</v>
      </c>
      <c r="F141" s="60" t="s">
        <v>35</v>
      </c>
      <c r="G141" s="60" t="s">
        <v>183</v>
      </c>
      <c r="H141" s="61">
        <v>44771</v>
      </c>
      <c r="I141" s="60">
        <f t="shared" si="6"/>
        <v>2022</v>
      </c>
      <c r="J141" s="60">
        <f t="shared" si="7"/>
        <v>7</v>
      </c>
      <c r="K141" s="60" t="str">
        <f t="shared" si="8"/>
        <v>2022_7</v>
      </c>
      <c r="L141" s="61" t="s">
        <v>37</v>
      </c>
      <c r="M141" s="11">
        <v>824</v>
      </c>
      <c r="N141" s="13">
        <v>790</v>
      </c>
      <c r="O141" s="13">
        <v>749</v>
      </c>
      <c r="P141" s="13">
        <v>657</v>
      </c>
      <c r="Q141" s="13">
        <v>620</v>
      </c>
      <c r="R141" s="13">
        <v>608</v>
      </c>
      <c r="S141" s="13">
        <v>576</v>
      </c>
      <c r="T141" s="13">
        <v>622</v>
      </c>
      <c r="U141" s="13">
        <v>782</v>
      </c>
      <c r="V141" s="13">
        <v>785</v>
      </c>
      <c r="W141" s="13">
        <v>792</v>
      </c>
      <c r="X141" s="13">
        <v>778</v>
      </c>
      <c r="Y141" s="13">
        <v>812</v>
      </c>
      <c r="Z141" s="13">
        <v>1018</v>
      </c>
      <c r="AA141" s="13">
        <v>887</v>
      </c>
      <c r="AB141" s="13">
        <v>880</v>
      </c>
      <c r="AC141" s="13">
        <v>1025</v>
      </c>
      <c r="AD141" s="13">
        <v>1181</v>
      </c>
      <c r="AE141" s="13">
        <v>1465</v>
      </c>
      <c r="AF141" s="13">
        <v>1502</v>
      </c>
      <c r="AG141" s="13">
        <v>1308</v>
      </c>
      <c r="AH141" s="13">
        <v>930</v>
      </c>
      <c r="AI141" s="13">
        <v>1034</v>
      </c>
      <c r="AJ141" s="13">
        <v>959</v>
      </c>
    </row>
    <row r="142" spans="1:36" x14ac:dyDescent="0.3">
      <c r="A142" s="60" t="s">
        <v>33</v>
      </c>
      <c r="B142" s="73"/>
      <c r="C142" s="60">
        <v>3100221002</v>
      </c>
      <c r="D142" s="60" t="s">
        <v>456</v>
      </c>
      <c r="E142" s="60" t="s">
        <v>34</v>
      </c>
      <c r="F142" s="60" t="s">
        <v>35</v>
      </c>
      <c r="G142" s="60" t="s">
        <v>184</v>
      </c>
      <c r="H142" s="61">
        <v>44774</v>
      </c>
      <c r="I142" s="60">
        <f t="shared" si="6"/>
        <v>2022</v>
      </c>
      <c r="J142" s="60">
        <f t="shared" si="7"/>
        <v>8</v>
      </c>
      <c r="K142" s="60" t="str">
        <f t="shared" si="8"/>
        <v>2022_8</v>
      </c>
      <c r="L142" s="61" t="s">
        <v>37</v>
      </c>
      <c r="M142" s="11">
        <v>672</v>
      </c>
      <c r="N142" s="17">
        <v>690</v>
      </c>
      <c r="O142" s="13">
        <v>511</v>
      </c>
      <c r="P142" s="13">
        <v>359</v>
      </c>
      <c r="Q142" s="13">
        <v>546</v>
      </c>
      <c r="R142" s="13">
        <v>594</v>
      </c>
      <c r="S142" s="13">
        <v>532</v>
      </c>
      <c r="T142" s="13">
        <v>582</v>
      </c>
      <c r="U142" s="13">
        <v>461</v>
      </c>
      <c r="V142" s="13">
        <v>452</v>
      </c>
      <c r="W142" s="13">
        <v>457</v>
      </c>
      <c r="X142" s="13">
        <v>363</v>
      </c>
      <c r="Y142" s="13">
        <v>433</v>
      </c>
      <c r="Z142" s="13">
        <v>471</v>
      </c>
      <c r="AA142" s="13">
        <v>442</v>
      </c>
      <c r="AB142" s="13">
        <v>418</v>
      </c>
      <c r="AC142" s="13">
        <v>480</v>
      </c>
      <c r="AD142" s="13">
        <v>785</v>
      </c>
      <c r="AE142" s="13">
        <v>551</v>
      </c>
      <c r="AF142" s="13">
        <v>581</v>
      </c>
      <c r="AG142" s="13">
        <v>538</v>
      </c>
      <c r="AH142" s="13">
        <v>569</v>
      </c>
      <c r="AI142" s="13">
        <v>547</v>
      </c>
      <c r="AJ142" s="13">
        <v>539</v>
      </c>
    </row>
    <row r="143" spans="1:36" x14ac:dyDescent="0.3">
      <c r="A143" s="60" t="s">
        <v>33</v>
      </c>
      <c r="B143" s="73"/>
      <c r="C143" s="60">
        <v>3041327000</v>
      </c>
      <c r="D143" s="60" t="s">
        <v>457</v>
      </c>
      <c r="E143" s="60" t="s">
        <v>34</v>
      </c>
      <c r="F143" s="60" t="s">
        <v>35</v>
      </c>
      <c r="G143" s="60" t="s">
        <v>86</v>
      </c>
      <c r="H143" s="61">
        <v>44775</v>
      </c>
      <c r="I143" s="60">
        <f t="shared" si="6"/>
        <v>2022</v>
      </c>
      <c r="J143" s="60">
        <f t="shared" si="7"/>
        <v>8</v>
      </c>
      <c r="K143" s="60" t="str">
        <f t="shared" si="8"/>
        <v>2022_8</v>
      </c>
      <c r="L143" s="61" t="s">
        <v>37</v>
      </c>
      <c r="M143" s="11">
        <v>930</v>
      </c>
      <c r="N143" s="13">
        <v>1132</v>
      </c>
      <c r="O143" s="13">
        <v>704</v>
      </c>
      <c r="P143" s="13">
        <v>639</v>
      </c>
      <c r="Q143" s="13">
        <v>661</v>
      </c>
      <c r="R143" s="13">
        <v>636</v>
      </c>
      <c r="S143" s="13">
        <v>610</v>
      </c>
      <c r="T143" s="13">
        <v>526</v>
      </c>
      <c r="U143" s="13">
        <v>553</v>
      </c>
      <c r="V143" s="13">
        <v>460</v>
      </c>
      <c r="W143" s="13">
        <v>614</v>
      </c>
      <c r="X143" s="13">
        <v>858</v>
      </c>
      <c r="Y143" s="13">
        <v>1387</v>
      </c>
      <c r="Z143" s="13">
        <v>771</v>
      </c>
      <c r="AA143" s="13">
        <v>551</v>
      </c>
      <c r="AB143" s="13">
        <v>624</v>
      </c>
      <c r="AC143" s="13">
        <v>1063</v>
      </c>
      <c r="AD143" s="13">
        <v>1218</v>
      </c>
      <c r="AE143" s="13">
        <v>1037</v>
      </c>
      <c r="AF143" s="13">
        <v>1013</v>
      </c>
      <c r="AG143" s="13">
        <v>785</v>
      </c>
      <c r="AH143" s="13">
        <v>547</v>
      </c>
      <c r="AI143" s="13">
        <v>588</v>
      </c>
      <c r="AJ143" s="13">
        <v>805</v>
      </c>
    </row>
    <row r="144" spans="1:36" x14ac:dyDescent="0.3">
      <c r="A144" s="60" t="s">
        <v>33</v>
      </c>
      <c r="B144" s="73"/>
      <c r="C144" s="60">
        <v>3060575000</v>
      </c>
      <c r="D144" s="60" t="s">
        <v>458</v>
      </c>
      <c r="E144" s="60" t="s">
        <v>34</v>
      </c>
      <c r="F144" s="60" t="s">
        <v>35</v>
      </c>
      <c r="G144" s="60" t="s">
        <v>185</v>
      </c>
      <c r="H144" s="61">
        <v>44776</v>
      </c>
      <c r="I144" s="60">
        <f t="shared" si="6"/>
        <v>2022</v>
      </c>
      <c r="J144" s="60">
        <f t="shared" si="7"/>
        <v>8</v>
      </c>
      <c r="K144" s="60" t="str">
        <f t="shared" si="8"/>
        <v>2022_8</v>
      </c>
      <c r="L144" s="61" t="s">
        <v>37</v>
      </c>
      <c r="M144" s="11">
        <v>889</v>
      </c>
      <c r="N144" s="17">
        <v>1229</v>
      </c>
      <c r="O144" s="13">
        <v>656</v>
      </c>
      <c r="P144" s="13">
        <v>480</v>
      </c>
      <c r="Q144" s="13">
        <v>600</v>
      </c>
      <c r="R144" s="13">
        <v>634</v>
      </c>
      <c r="S144" s="13">
        <v>417</v>
      </c>
      <c r="T144" s="13">
        <v>484</v>
      </c>
      <c r="U144" s="13">
        <v>326</v>
      </c>
      <c r="V144" s="13">
        <v>331</v>
      </c>
      <c r="W144" s="13">
        <v>563</v>
      </c>
      <c r="X144" s="13">
        <v>665</v>
      </c>
      <c r="Y144" s="13">
        <v>763</v>
      </c>
      <c r="Z144" s="13">
        <v>548</v>
      </c>
      <c r="AA144" s="13">
        <v>398</v>
      </c>
      <c r="AB144" s="13">
        <v>345</v>
      </c>
      <c r="AC144" s="13">
        <v>417</v>
      </c>
      <c r="AD144" s="13">
        <v>518</v>
      </c>
      <c r="AE144" s="13">
        <v>428</v>
      </c>
      <c r="AF144" s="13">
        <v>371</v>
      </c>
      <c r="AG144" s="13">
        <v>480</v>
      </c>
      <c r="AH144" s="13">
        <v>539</v>
      </c>
      <c r="AI144" s="13">
        <v>505</v>
      </c>
      <c r="AJ144" s="13">
        <v>858</v>
      </c>
    </row>
    <row r="145" spans="1:36" x14ac:dyDescent="0.3">
      <c r="A145" s="60" t="s">
        <v>33</v>
      </c>
      <c r="B145" s="73"/>
      <c r="C145" s="60">
        <v>3060511001</v>
      </c>
      <c r="D145" s="60" t="s">
        <v>421</v>
      </c>
      <c r="E145" s="60" t="s">
        <v>34</v>
      </c>
      <c r="F145" s="60" t="s">
        <v>35</v>
      </c>
      <c r="G145" s="60" t="s">
        <v>186</v>
      </c>
      <c r="H145" s="61">
        <v>44777</v>
      </c>
      <c r="I145" s="60">
        <f t="shared" si="6"/>
        <v>2022</v>
      </c>
      <c r="J145" s="60">
        <f t="shared" si="7"/>
        <v>8</v>
      </c>
      <c r="K145" s="60" t="str">
        <f t="shared" si="8"/>
        <v>2022_8</v>
      </c>
      <c r="L145" s="61" t="s">
        <v>37</v>
      </c>
      <c r="M145" s="11">
        <v>768</v>
      </c>
      <c r="N145" s="17">
        <v>903</v>
      </c>
      <c r="O145" s="13">
        <v>525</v>
      </c>
      <c r="P145" s="13">
        <v>467</v>
      </c>
      <c r="Q145" s="13">
        <v>273</v>
      </c>
      <c r="R145" s="13">
        <v>149</v>
      </c>
      <c r="S145" s="13">
        <v>148</v>
      </c>
      <c r="T145" s="13">
        <v>278</v>
      </c>
      <c r="U145" s="13">
        <v>524</v>
      </c>
      <c r="V145" s="13">
        <v>434</v>
      </c>
      <c r="W145" s="13">
        <v>500</v>
      </c>
      <c r="X145" s="13">
        <v>505</v>
      </c>
      <c r="Y145" s="13">
        <v>708</v>
      </c>
      <c r="Z145" s="13">
        <v>592</v>
      </c>
      <c r="AA145" s="13">
        <v>780</v>
      </c>
      <c r="AB145" s="13">
        <v>873</v>
      </c>
      <c r="AC145" s="13">
        <v>1080</v>
      </c>
      <c r="AD145" s="13">
        <v>947</v>
      </c>
      <c r="AE145" s="13">
        <v>282</v>
      </c>
      <c r="AF145" s="13">
        <v>225</v>
      </c>
      <c r="AG145" s="13">
        <v>364</v>
      </c>
      <c r="AH145" s="13">
        <v>514</v>
      </c>
      <c r="AI145" s="13">
        <v>428</v>
      </c>
      <c r="AJ145" s="13">
        <v>540</v>
      </c>
    </row>
    <row r="146" spans="1:36" x14ac:dyDescent="0.3">
      <c r="A146" s="60" t="s">
        <v>124</v>
      </c>
      <c r="B146" s="73"/>
      <c r="C146" s="60">
        <v>3130539000</v>
      </c>
      <c r="D146" s="60" t="s">
        <v>358</v>
      </c>
      <c r="E146" s="60" t="s">
        <v>39</v>
      </c>
      <c r="F146" s="60" t="s">
        <v>35</v>
      </c>
      <c r="G146" s="60" t="s">
        <v>187</v>
      </c>
      <c r="H146" s="61">
        <v>44778</v>
      </c>
      <c r="I146" s="60">
        <f t="shared" si="6"/>
        <v>2022</v>
      </c>
      <c r="J146" s="60">
        <f t="shared" si="7"/>
        <v>8</v>
      </c>
      <c r="K146" s="60" t="str">
        <f t="shared" si="8"/>
        <v>2022_8</v>
      </c>
      <c r="L146" s="61" t="s">
        <v>37</v>
      </c>
      <c r="M146" s="11">
        <v>1595</v>
      </c>
      <c r="N146" s="13">
        <v>1116</v>
      </c>
      <c r="O146" s="13">
        <v>723</v>
      </c>
      <c r="P146" s="13">
        <v>762</v>
      </c>
      <c r="Q146" s="13">
        <v>806</v>
      </c>
      <c r="R146" s="13">
        <v>935</v>
      </c>
      <c r="S146" s="13">
        <v>672</v>
      </c>
      <c r="T146" s="13">
        <v>670</v>
      </c>
      <c r="U146" s="13">
        <v>630</v>
      </c>
      <c r="V146" s="13">
        <v>838</v>
      </c>
      <c r="W146" s="13">
        <v>1306</v>
      </c>
      <c r="X146" s="13">
        <v>1509</v>
      </c>
      <c r="Y146" s="13">
        <v>1519</v>
      </c>
      <c r="Z146" s="13">
        <v>1248</v>
      </c>
      <c r="AA146" s="13">
        <v>853</v>
      </c>
      <c r="AB146" s="13">
        <v>916</v>
      </c>
      <c r="AC146" s="13">
        <v>1255</v>
      </c>
      <c r="AD146" s="13">
        <v>1697</v>
      </c>
      <c r="AE146" s="13">
        <v>1289</v>
      </c>
      <c r="AF146" s="13">
        <v>1106</v>
      </c>
      <c r="AG146" s="13">
        <v>960</v>
      </c>
      <c r="AH146" s="13">
        <v>835</v>
      </c>
      <c r="AI146" s="13">
        <v>1405</v>
      </c>
      <c r="AJ146" s="13">
        <v>1702</v>
      </c>
    </row>
    <row r="147" spans="1:36" x14ac:dyDescent="0.3">
      <c r="A147" s="60" t="s">
        <v>33</v>
      </c>
      <c r="B147" s="73"/>
      <c r="C147" s="60">
        <v>3080022000</v>
      </c>
      <c r="D147" s="60" t="s">
        <v>459</v>
      </c>
      <c r="E147" s="60" t="s">
        <v>34</v>
      </c>
      <c r="F147" s="60" t="s">
        <v>35</v>
      </c>
      <c r="G147" s="60" t="s">
        <v>188</v>
      </c>
      <c r="H147" s="61">
        <v>44781</v>
      </c>
      <c r="I147" s="60">
        <f t="shared" si="6"/>
        <v>2022</v>
      </c>
      <c r="J147" s="60">
        <f t="shared" si="7"/>
        <v>8</v>
      </c>
      <c r="K147" s="60" t="str">
        <f t="shared" si="8"/>
        <v>2022_8</v>
      </c>
      <c r="L147" s="61" t="s">
        <v>37</v>
      </c>
      <c r="M147" s="11">
        <v>1039</v>
      </c>
      <c r="N147" s="12">
        <v>924</v>
      </c>
      <c r="O147" s="13">
        <v>442</v>
      </c>
      <c r="P147" s="13">
        <v>418</v>
      </c>
      <c r="Q147" s="13">
        <v>442</v>
      </c>
      <c r="R147" s="13">
        <v>430</v>
      </c>
      <c r="S147" s="13">
        <v>455</v>
      </c>
      <c r="T147" s="13">
        <v>440</v>
      </c>
      <c r="U147" s="13">
        <v>383</v>
      </c>
      <c r="V147" s="13">
        <v>412</v>
      </c>
      <c r="W147" s="13">
        <v>474</v>
      </c>
      <c r="X147" s="13">
        <v>957</v>
      </c>
      <c r="Y147" s="13">
        <v>1284</v>
      </c>
      <c r="Z147" s="13">
        <v>861</v>
      </c>
      <c r="AA147" s="13">
        <v>421</v>
      </c>
      <c r="AB147" s="13">
        <v>372</v>
      </c>
      <c r="AC147" s="13">
        <v>413</v>
      </c>
      <c r="AD147" s="13">
        <v>487</v>
      </c>
      <c r="AE147" s="13">
        <v>507</v>
      </c>
      <c r="AF147" s="13">
        <v>550</v>
      </c>
      <c r="AG147" s="13">
        <v>465</v>
      </c>
      <c r="AH147" s="13">
        <v>369</v>
      </c>
      <c r="AI147" s="13">
        <v>382</v>
      </c>
      <c r="AJ147" s="13">
        <v>720</v>
      </c>
    </row>
    <row r="148" spans="1:36" x14ac:dyDescent="0.3">
      <c r="A148" s="66" t="s">
        <v>33</v>
      </c>
      <c r="B148" s="75"/>
      <c r="C148" s="60">
        <v>3140579003</v>
      </c>
      <c r="D148" s="64" t="s">
        <v>460</v>
      </c>
      <c r="E148" s="64" t="s">
        <v>34</v>
      </c>
      <c r="F148" s="64" t="s">
        <v>35</v>
      </c>
      <c r="G148" s="64" t="s">
        <v>86</v>
      </c>
      <c r="H148" s="61">
        <v>44781</v>
      </c>
      <c r="I148" s="60">
        <f t="shared" si="6"/>
        <v>2022</v>
      </c>
      <c r="J148" s="60">
        <f t="shared" si="7"/>
        <v>8</v>
      </c>
      <c r="K148" s="60" t="str">
        <f t="shared" si="8"/>
        <v>2022_8</v>
      </c>
      <c r="L148" s="61" t="s">
        <v>37</v>
      </c>
      <c r="M148" s="31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750</v>
      </c>
      <c r="T148" s="13">
        <v>986</v>
      </c>
      <c r="U148" s="13">
        <v>642</v>
      </c>
      <c r="V148" s="13">
        <v>458</v>
      </c>
      <c r="W148" s="13">
        <v>492</v>
      </c>
      <c r="X148" s="13">
        <v>667</v>
      </c>
      <c r="Y148" s="13">
        <v>755</v>
      </c>
      <c r="Z148" s="13">
        <v>930</v>
      </c>
      <c r="AA148" s="13">
        <v>1196</v>
      </c>
      <c r="AB148" s="13">
        <v>1601</v>
      </c>
      <c r="AC148" s="13">
        <v>3257</v>
      </c>
      <c r="AD148" s="13">
        <v>3917</v>
      </c>
      <c r="AE148" s="13">
        <v>3320</v>
      </c>
      <c r="AF148" s="13">
        <v>2919</v>
      </c>
      <c r="AG148" s="13">
        <v>1993</v>
      </c>
      <c r="AH148" s="13">
        <v>1264</v>
      </c>
      <c r="AI148" s="13">
        <v>1270</v>
      </c>
      <c r="AJ148" s="13">
        <v>1556</v>
      </c>
    </row>
    <row r="149" spans="1:36" x14ac:dyDescent="0.3">
      <c r="A149" s="67" t="s">
        <v>124</v>
      </c>
      <c r="B149" s="76"/>
      <c r="C149" s="60">
        <v>3130904000</v>
      </c>
      <c r="D149" s="67" t="s">
        <v>362</v>
      </c>
      <c r="E149" s="67" t="s">
        <v>39</v>
      </c>
      <c r="F149" s="67" t="s">
        <v>35</v>
      </c>
      <c r="G149" s="67" t="s">
        <v>189</v>
      </c>
      <c r="H149" s="61">
        <v>44782</v>
      </c>
      <c r="I149" s="60">
        <f t="shared" si="6"/>
        <v>2022</v>
      </c>
      <c r="J149" s="60">
        <f t="shared" si="7"/>
        <v>8</v>
      </c>
      <c r="K149" s="60" t="str">
        <f t="shared" si="8"/>
        <v>2022_8</v>
      </c>
      <c r="L149" s="61" t="s">
        <v>37</v>
      </c>
      <c r="M149" s="13">
        <v>1677</v>
      </c>
      <c r="N149" s="14">
        <v>1411</v>
      </c>
      <c r="O149" s="13">
        <v>1140</v>
      </c>
      <c r="P149" s="13">
        <v>1189</v>
      </c>
      <c r="Q149" s="13">
        <v>994</v>
      </c>
      <c r="R149" s="13">
        <v>1084</v>
      </c>
      <c r="S149" s="13">
        <v>897</v>
      </c>
      <c r="T149" s="13">
        <v>961</v>
      </c>
      <c r="U149" s="13">
        <v>927</v>
      </c>
      <c r="V149" s="13">
        <v>1251</v>
      </c>
      <c r="W149" s="13">
        <v>1318</v>
      </c>
      <c r="X149" s="13">
        <v>1656</v>
      </c>
      <c r="Y149" s="13">
        <v>1735</v>
      </c>
      <c r="Z149" s="13">
        <v>1588</v>
      </c>
      <c r="AA149" s="13">
        <v>1187</v>
      </c>
      <c r="AB149" s="13">
        <v>1461</v>
      </c>
      <c r="AC149" s="13">
        <v>1734</v>
      </c>
      <c r="AD149" s="13">
        <v>2385</v>
      </c>
      <c r="AE149" s="13">
        <v>2145</v>
      </c>
      <c r="AF149" s="13">
        <v>1652</v>
      </c>
      <c r="AG149" s="13">
        <v>1332</v>
      </c>
      <c r="AH149" s="13">
        <v>1016</v>
      </c>
      <c r="AI149" s="13">
        <v>919</v>
      </c>
      <c r="AJ149" s="13">
        <v>1386</v>
      </c>
    </row>
    <row r="150" spans="1:36" x14ac:dyDescent="0.3">
      <c r="A150" s="60" t="s">
        <v>33</v>
      </c>
      <c r="B150" s="75"/>
      <c r="C150" s="60">
        <v>3140386000</v>
      </c>
      <c r="D150" s="64" t="s">
        <v>460</v>
      </c>
      <c r="E150" s="64" t="s">
        <v>43</v>
      </c>
      <c r="F150" s="64" t="s">
        <v>35</v>
      </c>
      <c r="G150" s="64" t="s">
        <v>190</v>
      </c>
      <c r="H150" s="61">
        <v>44785</v>
      </c>
      <c r="I150" s="60">
        <f t="shared" si="6"/>
        <v>2022</v>
      </c>
      <c r="J150" s="60">
        <f t="shared" si="7"/>
        <v>8</v>
      </c>
      <c r="K150" s="60" t="str">
        <f t="shared" si="8"/>
        <v>2022_8</v>
      </c>
      <c r="L150" s="61" t="s">
        <v>37</v>
      </c>
      <c r="M150" s="31">
        <v>632</v>
      </c>
      <c r="N150" s="17">
        <v>358</v>
      </c>
      <c r="O150" s="13">
        <v>481</v>
      </c>
      <c r="P150" s="13">
        <v>456</v>
      </c>
      <c r="Q150" s="13">
        <v>726</v>
      </c>
      <c r="R150" s="13">
        <v>563</v>
      </c>
      <c r="S150" s="13">
        <v>381</v>
      </c>
      <c r="T150" s="13">
        <v>390</v>
      </c>
      <c r="U150" s="13">
        <v>433</v>
      </c>
      <c r="V150" s="13">
        <v>537</v>
      </c>
      <c r="W150" s="13">
        <v>261</v>
      </c>
      <c r="X150" s="13">
        <v>536</v>
      </c>
      <c r="Y150" s="13">
        <v>641</v>
      </c>
      <c r="Z150" s="13">
        <v>710</v>
      </c>
      <c r="AA150" s="13">
        <v>600</v>
      </c>
      <c r="AB150" s="13">
        <v>515</v>
      </c>
      <c r="AC150" s="13">
        <v>785</v>
      </c>
      <c r="AD150" s="13">
        <v>1110</v>
      </c>
      <c r="AE150" s="13">
        <v>848</v>
      </c>
      <c r="AF150" s="13">
        <v>811</v>
      </c>
      <c r="AG150" s="13">
        <v>500</v>
      </c>
      <c r="AH150" s="13">
        <v>452</v>
      </c>
      <c r="AI150" s="13">
        <v>357</v>
      </c>
      <c r="AJ150" s="13">
        <v>613</v>
      </c>
    </row>
    <row r="151" spans="1:36" x14ac:dyDescent="0.3">
      <c r="A151" s="64" t="s">
        <v>191</v>
      </c>
      <c r="B151" s="75"/>
      <c r="C151" s="60">
        <v>3081133000</v>
      </c>
      <c r="D151" s="64" t="s">
        <v>461</v>
      </c>
      <c r="E151" s="64" t="s">
        <v>39</v>
      </c>
      <c r="F151" s="64" t="s">
        <v>35</v>
      </c>
      <c r="G151" s="64" t="s">
        <v>192</v>
      </c>
      <c r="H151" s="61">
        <v>44786</v>
      </c>
      <c r="I151" s="60">
        <f t="shared" si="6"/>
        <v>2022</v>
      </c>
      <c r="J151" s="60">
        <f t="shared" si="7"/>
        <v>8</v>
      </c>
      <c r="K151" s="60" t="str">
        <f t="shared" si="8"/>
        <v>2022_8</v>
      </c>
      <c r="L151" s="61" t="s">
        <v>37</v>
      </c>
      <c r="M151" s="31">
        <v>459</v>
      </c>
      <c r="N151" s="14">
        <v>444</v>
      </c>
      <c r="O151" s="13">
        <v>360</v>
      </c>
      <c r="P151" s="13">
        <v>392</v>
      </c>
      <c r="Q151" s="13">
        <v>466</v>
      </c>
      <c r="R151" s="13">
        <v>495</v>
      </c>
      <c r="S151" s="13">
        <v>583</v>
      </c>
      <c r="T151" s="13">
        <v>548</v>
      </c>
      <c r="U151" s="13">
        <v>444</v>
      </c>
      <c r="V151" s="13">
        <v>454</v>
      </c>
      <c r="W151" s="13">
        <v>327</v>
      </c>
      <c r="X151" s="13">
        <v>350</v>
      </c>
      <c r="Y151" s="13">
        <v>345</v>
      </c>
      <c r="Z151" s="13">
        <v>402</v>
      </c>
      <c r="AA151" s="13">
        <v>375</v>
      </c>
      <c r="AB151" s="13">
        <v>389</v>
      </c>
      <c r="AC151" s="13">
        <v>419</v>
      </c>
      <c r="AD151" s="13">
        <v>437</v>
      </c>
      <c r="AE151" s="13">
        <v>360</v>
      </c>
      <c r="AF151" s="13">
        <v>355</v>
      </c>
      <c r="AG151" s="13">
        <v>368</v>
      </c>
      <c r="AH151" s="13">
        <v>327</v>
      </c>
      <c r="AI151" s="13">
        <v>314</v>
      </c>
      <c r="AJ151" s="13">
        <v>386</v>
      </c>
    </row>
    <row r="152" spans="1:36" x14ac:dyDescent="0.3">
      <c r="A152" s="64" t="s">
        <v>124</v>
      </c>
      <c r="B152" s="75"/>
      <c r="C152" s="60">
        <v>3150033000</v>
      </c>
      <c r="D152" s="64" t="s">
        <v>462</v>
      </c>
      <c r="E152" s="64" t="s">
        <v>34</v>
      </c>
      <c r="F152" s="64" t="s">
        <v>35</v>
      </c>
      <c r="G152" s="64" t="s">
        <v>193</v>
      </c>
      <c r="H152" s="61">
        <v>44788</v>
      </c>
      <c r="I152" s="60">
        <f t="shared" si="6"/>
        <v>2022</v>
      </c>
      <c r="J152" s="60">
        <f t="shared" si="7"/>
        <v>8</v>
      </c>
      <c r="K152" s="60" t="str">
        <f t="shared" si="8"/>
        <v>2022_8</v>
      </c>
      <c r="L152" s="61" t="s">
        <v>37</v>
      </c>
      <c r="M152" s="31">
        <v>988</v>
      </c>
      <c r="N152" s="13">
        <v>868</v>
      </c>
      <c r="O152" s="13">
        <v>766</v>
      </c>
      <c r="P152" s="13">
        <v>848</v>
      </c>
      <c r="Q152" s="13">
        <v>966</v>
      </c>
      <c r="R152" s="13">
        <v>1206</v>
      </c>
      <c r="S152" s="13">
        <v>974</v>
      </c>
      <c r="T152" s="13">
        <v>876</v>
      </c>
      <c r="U152" s="13">
        <v>706</v>
      </c>
      <c r="V152" s="13">
        <v>618</v>
      </c>
      <c r="W152" s="13">
        <v>652</v>
      </c>
      <c r="X152" s="13">
        <v>648</v>
      </c>
      <c r="Y152" s="13">
        <v>642</v>
      </c>
      <c r="Z152" s="13">
        <v>922</v>
      </c>
      <c r="AA152" s="13">
        <v>1050</v>
      </c>
      <c r="AB152" s="13">
        <v>1300</v>
      </c>
      <c r="AC152" s="13">
        <v>3048</v>
      </c>
      <c r="AD152" s="13">
        <v>4190</v>
      </c>
      <c r="AE152" s="13">
        <v>3322</v>
      </c>
      <c r="AF152" s="13">
        <v>3326</v>
      </c>
      <c r="AG152" s="13">
        <v>1986</v>
      </c>
      <c r="AH152" s="13">
        <v>800</v>
      </c>
      <c r="AI152" s="13">
        <v>634</v>
      </c>
      <c r="AJ152" s="13">
        <v>1242</v>
      </c>
    </row>
    <row r="153" spans="1:36" x14ac:dyDescent="0.3">
      <c r="A153" s="64" t="s">
        <v>191</v>
      </c>
      <c r="B153" s="75"/>
      <c r="C153" s="60">
        <v>3140492000</v>
      </c>
      <c r="D153" s="64" t="s">
        <v>463</v>
      </c>
      <c r="E153" s="64" t="s">
        <v>43</v>
      </c>
      <c r="F153" s="64" t="s">
        <v>35</v>
      </c>
      <c r="G153" s="64" t="s">
        <v>194</v>
      </c>
      <c r="H153" s="61">
        <v>44789</v>
      </c>
      <c r="I153" s="60">
        <f t="shared" si="6"/>
        <v>2022</v>
      </c>
      <c r="J153" s="60">
        <f t="shared" si="7"/>
        <v>8</v>
      </c>
      <c r="K153" s="60" t="str">
        <f t="shared" si="8"/>
        <v>2022_8</v>
      </c>
      <c r="L153" s="61" t="s">
        <v>37</v>
      </c>
      <c r="M153" s="31">
        <v>828</v>
      </c>
      <c r="N153" s="17">
        <v>631</v>
      </c>
      <c r="O153" s="13">
        <v>499</v>
      </c>
      <c r="P153" s="13">
        <v>421</v>
      </c>
      <c r="Q153" s="13">
        <v>502</v>
      </c>
      <c r="R153" s="13">
        <v>542</v>
      </c>
      <c r="S153" s="13">
        <v>318</v>
      </c>
      <c r="T153" s="13">
        <v>347</v>
      </c>
      <c r="U153" s="13">
        <v>364</v>
      </c>
      <c r="V153" s="13">
        <v>406</v>
      </c>
      <c r="W153" s="13">
        <v>408</v>
      </c>
      <c r="X153" s="13">
        <v>873</v>
      </c>
      <c r="Y153" s="13">
        <v>949</v>
      </c>
      <c r="Z153" s="13">
        <v>644</v>
      </c>
      <c r="AA153" s="13">
        <v>473</v>
      </c>
      <c r="AB153" s="13">
        <v>474</v>
      </c>
      <c r="AC153" s="13">
        <v>632</v>
      </c>
      <c r="AD153" s="13">
        <v>576</v>
      </c>
      <c r="AE153" s="13">
        <v>449</v>
      </c>
      <c r="AF153" s="13">
        <v>402</v>
      </c>
      <c r="AG153" s="13">
        <v>444</v>
      </c>
      <c r="AH153" s="13">
        <v>303</v>
      </c>
      <c r="AI153" s="13">
        <v>514</v>
      </c>
      <c r="AJ153" s="13">
        <v>913</v>
      </c>
    </row>
    <row r="154" spans="1:36" x14ac:dyDescent="0.3">
      <c r="A154" s="67" t="s">
        <v>117</v>
      </c>
      <c r="B154" s="76"/>
      <c r="C154" s="60">
        <v>3151075000</v>
      </c>
      <c r="D154" s="67" t="s">
        <v>464</v>
      </c>
      <c r="E154" s="67" t="s">
        <v>43</v>
      </c>
      <c r="F154" s="67" t="s">
        <v>35</v>
      </c>
      <c r="G154" s="67" t="s">
        <v>195</v>
      </c>
      <c r="H154" s="61">
        <v>44789</v>
      </c>
      <c r="I154" s="60">
        <f t="shared" si="6"/>
        <v>2022</v>
      </c>
      <c r="J154" s="60">
        <f t="shared" si="7"/>
        <v>8</v>
      </c>
      <c r="K154" s="60" t="str">
        <f t="shared" si="8"/>
        <v>2022_8</v>
      </c>
      <c r="L154" s="61" t="s">
        <v>37</v>
      </c>
      <c r="M154" s="13">
        <v>1396</v>
      </c>
      <c r="N154" s="17">
        <v>1006</v>
      </c>
      <c r="O154" s="13">
        <v>1000</v>
      </c>
      <c r="P154" s="13">
        <v>1230</v>
      </c>
      <c r="Q154" s="13">
        <v>2044</v>
      </c>
      <c r="R154" s="13">
        <v>1702</v>
      </c>
      <c r="S154" s="13">
        <v>1886</v>
      </c>
      <c r="T154" s="13">
        <v>1552</v>
      </c>
      <c r="U154" s="13">
        <v>1034</v>
      </c>
      <c r="V154" s="13">
        <v>1224</v>
      </c>
      <c r="W154" s="13">
        <v>964</v>
      </c>
      <c r="X154" s="13">
        <v>1264</v>
      </c>
      <c r="Y154" s="13">
        <v>1314</v>
      </c>
      <c r="Z154" s="13">
        <v>1390</v>
      </c>
      <c r="AA154" s="13">
        <v>1450</v>
      </c>
      <c r="AB154" s="13">
        <v>1816</v>
      </c>
      <c r="AC154" s="13">
        <v>2178</v>
      </c>
      <c r="AD154" s="13">
        <v>2036</v>
      </c>
      <c r="AE154" s="13">
        <v>1746</v>
      </c>
      <c r="AF154" s="13">
        <v>2004</v>
      </c>
      <c r="AG154" s="13">
        <v>1176</v>
      </c>
      <c r="AH154" s="13">
        <v>994</v>
      </c>
      <c r="AI154" s="13">
        <v>1226</v>
      </c>
      <c r="AJ154" s="13">
        <v>1782</v>
      </c>
    </row>
    <row r="155" spans="1:36" x14ac:dyDescent="0.3">
      <c r="A155" s="60" t="s">
        <v>33</v>
      </c>
      <c r="B155" s="73"/>
      <c r="C155" s="60">
        <v>3151171005</v>
      </c>
      <c r="D155" s="60" t="s">
        <v>465</v>
      </c>
      <c r="E155" s="60" t="s">
        <v>43</v>
      </c>
      <c r="F155" s="60" t="s">
        <v>35</v>
      </c>
      <c r="G155" s="60" t="s">
        <v>196</v>
      </c>
      <c r="H155" s="61">
        <v>44799</v>
      </c>
      <c r="I155" s="60">
        <f t="shared" si="6"/>
        <v>2022</v>
      </c>
      <c r="J155" s="60">
        <f t="shared" si="7"/>
        <v>8</v>
      </c>
      <c r="K155" s="60" t="str">
        <f t="shared" si="8"/>
        <v>2022_8</v>
      </c>
      <c r="L155" s="61" t="s">
        <v>37</v>
      </c>
      <c r="M155" s="11">
        <v>326</v>
      </c>
      <c r="N155" s="17">
        <v>308</v>
      </c>
      <c r="O155" s="13">
        <v>268</v>
      </c>
      <c r="P155" s="13">
        <v>288</v>
      </c>
      <c r="Q155" s="13">
        <v>414</v>
      </c>
      <c r="R155" s="13">
        <v>676</v>
      </c>
      <c r="S155" s="13">
        <v>553</v>
      </c>
      <c r="T155" s="13">
        <v>358</v>
      </c>
      <c r="U155" s="13">
        <v>372</v>
      </c>
      <c r="V155" s="13">
        <v>326</v>
      </c>
      <c r="W155" s="13">
        <v>320</v>
      </c>
      <c r="X155" s="13">
        <v>344</v>
      </c>
      <c r="Y155" s="13">
        <v>536</v>
      </c>
      <c r="Z155" s="13">
        <v>441</v>
      </c>
      <c r="AA155" s="13">
        <v>341</v>
      </c>
      <c r="AB155" s="13">
        <v>429</v>
      </c>
      <c r="AC155" s="13">
        <v>624</v>
      </c>
      <c r="AD155" s="13">
        <v>572</v>
      </c>
      <c r="AE155" s="13">
        <v>573</v>
      </c>
      <c r="AF155" s="13">
        <v>533</v>
      </c>
      <c r="AG155" s="13">
        <v>367</v>
      </c>
      <c r="AH155" s="13">
        <v>246</v>
      </c>
      <c r="AI155" s="13">
        <v>287</v>
      </c>
      <c r="AJ155" s="13">
        <v>448</v>
      </c>
    </row>
    <row r="156" spans="1:36" x14ac:dyDescent="0.3">
      <c r="A156" s="60" t="s">
        <v>33</v>
      </c>
      <c r="B156" s="73"/>
      <c r="C156" s="60">
        <v>3120150001</v>
      </c>
      <c r="D156" s="60" t="s">
        <v>388</v>
      </c>
      <c r="E156" s="60" t="s">
        <v>39</v>
      </c>
      <c r="F156" s="60" t="s">
        <v>35</v>
      </c>
      <c r="G156" s="60" t="s">
        <v>197</v>
      </c>
      <c r="H156" s="61">
        <v>44805</v>
      </c>
      <c r="I156" s="60">
        <f t="shared" si="6"/>
        <v>2022</v>
      </c>
      <c r="J156" s="60">
        <f t="shared" si="7"/>
        <v>9</v>
      </c>
      <c r="K156" s="60" t="str">
        <f t="shared" si="8"/>
        <v>2022_9</v>
      </c>
      <c r="L156" s="61" t="s">
        <v>37</v>
      </c>
      <c r="M156" s="11">
        <v>462</v>
      </c>
      <c r="N156" s="17">
        <v>403</v>
      </c>
      <c r="O156" s="13">
        <v>560</v>
      </c>
      <c r="P156" s="13">
        <v>732</v>
      </c>
      <c r="Q156" s="13">
        <v>861</v>
      </c>
      <c r="R156" s="13">
        <v>946</v>
      </c>
      <c r="S156" s="13">
        <v>736</v>
      </c>
      <c r="T156" s="13">
        <v>627</v>
      </c>
      <c r="U156" s="13">
        <v>587</v>
      </c>
      <c r="V156" s="13">
        <v>443</v>
      </c>
      <c r="W156" s="13">
        <v>573</v>
      </c>
      <c r="X156" s="13">
        <v>751</v>
      </c>
      <c r="Y156" s="13">
        <v>438</v>
      </c>
      <c r="Z156" s="13">
        <v>451</v>
      </c>
      <c r="AA156" s="13">
        <v>1219</v>
      </c>
      <c r="AB156" s="13">
        <v>1287</v>
      </c>
      <c r="AC156" s="13">
        <v>1428</v>
      </c>
      <c r="AD156" s="13">
        <v>1143</v>
      </c>
      <c r="AE156" s="13">
        <v>890</v>
      </c>
      <c r="AF156" s="13">
        <v>640</v>
      </c>
      <c r="AG156" s="13">
        <v>451</v>
      </c>
      <c r="AH156" s="13">
        <v>370</v>
      </c>
      <c r="AI156" s="13">
        <v>519</v>
      </c>
      <c r="AJ156" s="13">
        <v>435</v>
      </c>
    </row>
    <row r="157" spans="1:36" x14ac:dyDescent="0.3">
      <c r="A157" s="60" t="s">
        <v>33</v>
      </c>
      <c r="B157" s="73"/>
      <c r="C157" s="60">
        <v>3130140000</v>
      </c>
      <c r="D157" s="60" t="s">
        <v>428</v>
      </c>
      <c r="E157" s="60" t="s">
        <v>39</v>
      </c>
      <c r="F157" s="60" t="s">
        <v>35</v>
      </c>
      <c r="G157" s="60" t="s">
        <v>135</v>
      </c>
      <c r="H157" s="61">
        <v>44810</v>
      </c>
      <c r="I157" s="60">
        <f t="shared" si="6"/>
        <v>2022</v>
      </c>
      <c r="J157" s="60">
        <f t="shared" si="7"/>
        <v>9</v>
      </c>
      <c r="K157" s="60" t="str">
        <f t="shared" si="8"/>
        <v>2022_9</v>
      </c>
      <c r="L157" s="61" t="s">
        <v>37</v>
      </c>
      <c r="M157" s="11">
        <v>1505</v>
      </c>
      <c r="N157" s="17">
        <v>971</v>
      </c>
      <c r="O157" s="13">
        <v>785</v>
      </c>
      <c r="P157" s="13">
        <v>863</v>
      </c>
      <c r="Q157" s="13">
        <v>976</v>
      </c>
      <c r="R157" s="13">
        <v>844</v>
      </c>
      <c r="S157" s="13">
        <v>735</v>
      </c>
      <c r="T157" s="13">
        <v>727</v>
      </c>
      <c r="U157" s="13">
        <v>1027</v>
      </c>
      <c r="V157" s="13">
        <v>1237</v>
      </c>
      <c r="W157" s="13">
        <v>2006</v>
      </c>
      <c r="X157" s="13">
        <v>1788</v>
      </c>
      <c r="Y157" s="13">
        <v>919</v>
      </c>
      <c r="Z157" s="13">
        <v>1082</v>
      </c>
      <c r="AA157" s="13">
        <v>951</v>
      </c>
      <c r="AB157" s="13">
        <v>1873</v>
      </c>
      <c r="AC157" s="13">
        <v>2392</v>
      </c>
      <c r="AD157" s="13">
        <v>1937</v>
      </c>
      <c r="AE157" s="13">
        <v>1739</v>
      </c>
      <c r="AF157" s="13">
        <v>1414</v>
      </c>
      <c r="AG157" s="13">
        <v>1089</v>
      </c>
      <c r="AH157" s="13">
        <v>1240</v>
      </c>
      <c r="AI157" s="13">
        <v>1466</v>
      </c>
      <c r="AJ157" s="13">
        <v>1199</v>
      </c>
    </row>
    <row r="158" spans="1:36" x14ac:dyDescent="0.3">
      <c r="A158" s="60" t="s">
        <v>33</v>
      </c>
      <c r="B158" s="73"/>
      <c r="C158" s="60">
        <v>3131616001</v>
      </c>
      <c r="D158" s="60" t="s">
        <v>443</v>
      </c>
      <c r="E158" s="60" t="s">
        <v>39</v>
      </c>
      <c r="F158" s="60" t="s">
        <v>35</v>
      </c>
      <c r="G158" s="60" t="s">
        <v>198</v>
      </c>
      <c r="H158" s="61">
        <v>44810</v>
      </c>
      <c r="I158" s="60">
        <f t="shared" si="6"/>
        <v>2022</v>
      </c>
      <c r="J158" s="60">
        <f t="shared" si="7"/>
        <v>9</v>
      </c>
      <c r="K158" s="60" t="str">
        <f t="shared" si="8"/>
        <v>2022_9</v>
      </c>
      <c r="L158" s="61" t="s">
        <v>37</v>
      </c>
      <c r="M158" s="11">
        <v>689</v>
      </c>
      <c r="N158" s="17">
        <v>680</v>
      </c>
      <c r="O158" s="13">
        <v>1273</v>
      </c>
      <c r="P158" s="13">
        <v>1666</v>
      </c>
      <c r="Q158" s="13">
        <v>1827</v>
      </c>
      <c r="R158" s="13">
        <v>1431</v>
      </c>
      <c r="S158" s="13">
        <v>1286</v>
      </c>
      <c r="T158" s="13">
        <v>1136</v>
      </c>
      <c r="U158" s="13">
        <v>1008</v>
      </c>
      <c r="V158" s="13">
        <v>574</v>
      </c>
      <c r="W158" s="13">
        <v>417</v>
      </c>
      <c r="X158" s="13">
        <v>667</v>
      </c>
      <c r="Y158" s="13">
        <v>609</v>
      </c>
      <c r="Z158" s="13">
        <v>814</v>
      </c>
      <c r="AA158" s="13">
        <v>808</v>
      </c>
      <c r="AB158" s="13">
        <v>768</v>
      </c>
      <c r="AC158" s="13">
        <v>1283</v>
      </c>
      <c r="AD158" s="13">
        <v>1015</v>
      </c>
      <c r="AE158" s="13">
        <v>820</v>
      </c>
      <c r="AF158" s="13">
        <v>1055</v>
      </c>
      <c r="AG158" s="13">
        <v>890</v>
      </c>
      <c r="AH158" s="13">
        <v>578</v>
      </c>
      <c r="AI158" s="13">
        <v>404</v>
      </c>
      <c r="AJ158" s="13">
        <v>408</v>
      </c>
    </row>
    <row r="159" spans="1:36" x14ac:dyDescent="0.3">
      <c r="A159" s="60" t="s">
        <v>199</v>
      </c>
      <c r="B159" s="73"/>
      <c r="C159" s="60">
        <v>3140123000</v>
      </c>
      <c r="D159" s="60" t="s">
        <v>449</v>
      </c>
      <c r="E159" s="60" t="s">
        <v>43</v>
      </c>
      <c r="F159" s="60" t="s">
        <v>35</v>
      </c>
      <c r="G159" s="60" t="s">
        <v>200</v>
      </c>
      <c r="H159" s="61">
        <v>44811</v>
      </c>
      <c r="I159" s="60">
        <f t="shared" si="6"/>
        <v>2022</v>
      </c>
      <c r="J159" s="60">
        <f t="shared" si="7"/>
        <v>9</v>
      </c>
      <c r="K159" s="60" t="str">
        <f t="shared" si="8"/>
        <v>2022_9</v>
      </c>
      <c r="L159" s="61" t="s">
        <v>37</v>
      </c>
      <c r="M159" s="11">
        <v>515</v>
      </c>
      <c r="N159" s="33">
        <v>336</v>
      </c>
      <c r="O159" s="13">
        <v>355</v>
      </c>
      <c r="P159" s="13">
        <v>421</v>
      </c>
      <c r="Q159" s="13">
        <v>560</v>
      </c>
      <c r="R159" s="13">
        <v>465</v>
      </c>
      <c r="S159" s="13">
        <v>389</v>
      </c>
      <c r="T159" s="13">
        <v>336</v>
      </c>
      <c r="U159" s="13">
        <v>396</v>
      </c>
      <c r="V159" s="13">
        <v>332</v>
      </c>
      <c r="W159" s="13">
        <v>615</v>
      </c>
      <c r="X159" s="13">
        <v>515</v>
      </c>
      <c r="Y159" s="13">
        <v>414</v>
      </c>
      <c r="Z159" s="13">
        <v>461</v>
      </c>
      <c r="AA159" s="13">
        <v>497</v>
      </c>
      <c r="AB159" s="13">
        <v>1045</v>
      </c>
      <c r="AC159" s="13">
        <v>1192</v>
      </c>
      <c r="AD159" s="13">
        <v>948</v>
      </c>
      <c r="AE159" s="13">
        <v>1045</v>
      </c>
      <c r="AF159" s="13">
        <v>570</v>
      </c>
      <c r="AG159" s="13">
        <v>408</v>
      </c>
      <c r="AH159" s="13">
        <v>461</v>
      </c>
      <c r="AI159" s="13">
        <v>442</v>
      </c>
      <c r="AJ159" s="13">
        <v>398</v>
      </c>
    </row>
    <row r="160" spans="1:36" x14ac:dyDescent="0.3">
      <c r="A160" s="60" t="s">
        <v>46</v>
      </c>
      <c r="B160" s="73"/>
      <c r="C160" s="60">
        <v>3132807000</v>
      </c>
      <c r="D160" s="60" t="s">
        <v>422</v>
      </c>
      <c r="E160" s="60" t="s">
        <v>39</v>
      </c>
      <c r="F160" s="60" t="s">
        <v>35</v>
      </c>
      <c r="G160" s="60" t="s">
        <v>126</v>
      </c>
      <c r="H160" s="61">
        <v>44812</v>
      </c>
      <c r="I160" s="60">
        <f t="shared" si="6"/>
        <v>2022</v>
      </c>
      <c r="J160" s="60">
        <f t="shared" si="7"/>
        <v>9</v>
      </c>
      <c r="K160" s="60" t="str">
        <f t="shared" si="8"/>
        <v>2022_9</v>
      </c>
      <c r="L160" s="61" t="s">
        <v>37</v>
      </c>
      <c r="M160" s="11">
        <v>926</v>
      </c>
      <c r="N160" s="17">
        <v>741</v>
      </c>
      <c r="O160" s="13">
        <v>932</v>
      </c>
      <c r="P160" s="13">
        <v>1364</v>
      </c>
      <c r="Q160" s="13">
        <v>1374</v>
      </c>
      <c r="R160" s="13">
        <v>1480</v>
      </c>
      <c r="S160" s="13">
        <v>1282</v>
      </c>
      <c r="T160" s="13">
        <v>1144</v>
      </c>
      <c r="U160" s="13">
        <v>1102</v>
      </c>
      <c r="V160" s="13">
        <v>982</v>
      </c>
      <c r="W160" s="13">
        <v>1103</v>
      </c>
      <c r="X160" s="13">
        <v>1219</v>
      </c>
      <c r="Y160" s="13">
        <v>748</v>
      </c>
      <c r="Z160" s="13">
        <v>874</v>
      </c>
      <c r="AA160" s="13">
        <v>1515</v>
      </c>
      <c r="AB160" s="13">
        <v>1914</v>
      </c>
      <c r="AC160" s="13">
        <v>2051</v>
      </c>
      <c r="AD160" s="13">
        <v>2242</v>
      </c>
      <c r="AE160" s="13">
        <v>1888</v>
      </c>
      <c r="AF160" s="13">
        <v>1405</v>
      </c>
      <c r="AG160" s="13">
        <v>958</v>
      </c>
      <c r="AH160" s="13">
        <v>840</v>
      </c>
      <c r="AI160" s="13">
        <v>1105</v>
      </c>
      <c r="AJ160" s="13">
        <v>1089</v>
      </c>
    </row>
    <row r="161" spans="1:36" x14ac:dyDescent="0.3">
      <c r="A161" s="60" t="s">
        <v>33</v>
      </c>
      <c r="B161" s="73"/>
      <c r="C161" s="60">
        <v>3110075000</v>
      </c>
      <c r="D161" s="60" t="s">
        <v>466</v>
      </c>
      <c r="E161" s="60" t="s">
        <v>34</v>
      </c>
      <c r="F161" s="60" t="s">
        <v>35</v>
      </c>
      <c r="G161" s="60" t="s">
        <v>201</v>
      </c>
      <c r="H161" s="61">
        <v>44816</v>
      </c>
      <c r="I161" s="60">
        <f t="shared" si="6"/>
        <v>2022</v>
      </c>
      <c r="J161" s="60">
        <f t="shared" si="7"/>
        <v>9</v>
      </c>
      <c r="K161" s="60" t="str">
        <f t="shared" si="8"/>
        <v>2022_9</v>
      </c>
      <c r="L161" s="61" t="s">
        <v>37</v>
      </c>
      <c r="M161" s="11">
        <v>1042</v>
      </c>
      <c r="N161" s="17">
        <v>782</v>
      </c>
      <c r="O161" s="13">
        <v>894</v>
      </c>
      <c r="P161" s="13">
        <v>1688</v>
      </c>
      <c r="Q161" s="13">
        <v>1664</v>
      </c>
      <c r="R161" s="13">
        <v>2920</v>
      </c>
      <c r="S161" s="13">
        <v>2048</v>
      </c>
      <c r="T161" s="13">
        <v>1410</v>
      </c>
      <c r="U161" s="13">
        <v>1356</v>
      </c>
      <c r="V161" s="13">
        <v>594</v>
      </c>
      <c r="W161" s="13">
        <v>656</v>
      </c>
      <c r="X161" s="13">
        <v>1390</v>
      </c>
      <c r="Y161" s="13">
        <v>1110</v>
      </c>
      <c r="Z161" s="13">
        <v>708</v>
      </c>
      <c r="AA161" s="13">
        <v>1006</v>
      </c>
      <c r="AB161" s="13">
        <v>1484</v>
      </c>
      <c r="AC161" s="13">
        <v>1188</v>
      </c>
      <c r="AD161" s="13">
        <v>1286</v>
      </c>
      <c r="AE161" s="13">
        <v>1078</v>
      </c>
      <c r="AF161" s="13">
        <v>690</v>
      </c>
      <c r="AG161" s="13">
        <v>630</v>
      </c>
      <c r="AH161" s="13">
        <v>418</v>
      </c>
      <c r="AI161" s="13">
        <v>616</v>
      </c>
      <c r="AJ161" s="13">
        <v>994</v>
      </c>
    </row>
    <row r="162" spans="1:36" x14ac:dyDescent="0.3">
      <c r="A162" s="60" t="s">
        <v>124</v>
      </c>
      <c r="B162" s="73"/>
      <c r="C162" s="60">
        <v>3131463000</v>
      </c>
      <c r="D162" s="60" t="s">
        <v>467</v>
      </c>
      <c r="E162" s="60" t="s">
        <v>34</v>
      </c>
      <c r="F162" s="60" t="s">
        <v>35</v>
      </c>
      <c r="G162" s="60" t="s">
        <v>202</v>
      </c>
      <c r="H162" s="61">
        <v>44820</v>
      </c>
      <c r="I162" s="60">
        <f t="shared" si="6"/>
        <v>2022</v>
      </c>
      <c r="J162" s="60">
        <f t="shared" si="7"/>
        <v>9</v>
      </c>
      <c r="K162" s="60" t="str">
        <f t="shared" si="8"/>
        <v>2022_9</v>
      </c>
      <c r="L162" s="61" t="s">
        <v>37</v>
      </c>
      <c r="M162" s="11">
        <v>537</v>
      </c>
      <c r="N162" s="13">
        <v>544</v>
      </c>
      <c r="O162" s="13">
        <v>662</v>
      </c>
      <c r="P162" s="13">
        <v>772</v>
      </c>
      <c r="Q162" s="13">
        <v>960</v>
      </c>
      <c r="R162" s="13">
        <v>827</v>
      </c>
      <c r="S162" s="13">
        <v>749</v>
      </c>
      <c r="T162" s="13">
        <v>620</v>
      </c>
      <c r="U162" s="13">
        <v>605</v>
      </c>
      <c r="V162" s="13">
        <v>463</v>
      </c>
      <c r="W162" s="13">
        <v>618</v>
      </c>
      <c r="X162" s="13">
        <v>656</v>
      </c>
      <c r="Y162" s="13">
        <v>525</v>
      </c>
      <c r="Z162" s="13">
        <v>566</v>
      </c>
      <c r="AA162" s="13">
        <v>692</v>
      </c>
      <c r="AB162" s="13">
        <v>786</v>
      </c>
      <c r="AC162" s="13">
        <v>896</v>
      </c>
      <c r="AD162" s="13">
        <v>785</v>
      </c>
      <c r="AE162" s="13">
        <v>730</v>
      </c>
      <c r="AF162" s="13">
        <v>652</v>
      </c>
      <c r="AG162" s="13">
        <v>534</v>
      </c>
      <c r="AH162" s="13">
        <v>479</v>
      </c>
      <c r="AI162" s="13">
        <v>690</v>
      </c>
      <c r="AJ162" s="13">
        <v>522</v>
      </c>
    </row>
    <row r="163" spans="1:36" x14ac:dyDescent="0.3">
      <c r="A163" s="60" t="s">
        <v>124</v>
      </c>
      <c r="B163" s="73"/>
      <c r="C163" s="60">
        <v>3160858006</v>
      </c>
      <c r="D163" s="60" t="s">
        <v>468</v>
      </c>
      <c r="E163" s="60" t="s">
        <v>100</v>
      </c>
      <c r="F163" s="60" t="s">
        <v>35</v>
      </c>
      <c r="G163" s="60" t="s">
        <v>203</v>
      </c>
      <c r="H163" s="61">
        <v>44825</v>
      </c>
      <c r="I163" s="60">
        <f t="shared" si="6"/>
        <v>2022</v>
      </c>
      <c r="J163" s="60">
        <f t="shared" si="7"/>
        <v>9</v>
      </c>
      <c r="K163" s="60" t="str">
        <f t="shared" si="8"/>
        <v>2022_9</v>
      </c>
      <c r="L163" s="61" t="s">
        <v>37</v>
      </c>
      <c r="M163" s="11">
        <v>701</v>
      </c>
      <c r="N163" s="33">
        <v>498</v>
      </c>
      <c r="O163" s="13">
        <v>840</v>
      </c>
      <c r="P163" s="13">
        <v>729</v>
      </c>
      <c r="Q163" s="13">
        <v>972</v>
      </c>
      <c r="R163" s="13">
        <v>917</v>
      </c>
      <c r="S163" s="13">
        <v>976</v>
      </c>
      <c r="T163" s="13">
        <v>732</v>
      </c>
      <c r="U163" s="13">
        <v>602</v>
      </c>
      <c r="V163" s="13">
        <v>712</v>
      </c>
      <c r="W163" s="13">
        <v>1087</v>
      </c>
      <c r="X163" s="13">
        <v>1149</v>
      </c>
      <c r="Y163" s="13">
        <v>705</v>
      </c>
      <c r="Z163" s="13">
        <v>1079</v>
      </c>
      <c r="AA163" s="13">
        <v>2012</v>
      </c>
      <c r="AB163" s="13">
        <v>2924</v>
      </c>
      <c r="AC163" s="13">
        <v>2590</v>
      </c>
      <c r="AD163" s="13">
        <v>3035</v>
      </c>
      <c r="AE163" s="13">
        <v>2405</v>
      </c>
      <c r="AF163" s="13">
        <v>1448</v>
      </c>
      <c r="AG163" s="13">
        <v>858</v>
      </c>
      <c r="AH163" s="13">
        <v>856</v>
      </c>
      <c r="AI163" s="13">
        <v>1364</v>
      </c>
      <c r="AJ163" s="13">
        <v>1220</v>
      </c>
    </row>
    <row r="164" spans="1:36" x14ac:dyDescent="0.3">
      <c r="A164" s="65" t="s">
        <v>124</v>
      </c>
      <c r="B164" s="74"/>
      <c r="C164" s="60">
        <v>3120824005</v>
      </c>
      <c r="D164" s="65" t="s">
        <v>469</v>
      </c>
      <c r="E164" s="65" t="s">
        <v>39</v>
      </c>
      <c r="F164" s="65" t="s">
        <v>35</v>
      </c>
      <c r="G164" s="65" t="s">
        <v>204</v>
      </c>
      <c r="H164" s="61">
        <v>44830</v>
      </c>
      <c r="I164" s="60">
        <f t="shared" si="6"/>
        <v>2022</v>
      </c>
      <c r="J164" s="60">
        <f t="shared" si="7"/>
        <v>9</v>
      </c>
      <c r="K164" s="60" t="str">
        <f t="shared" si="8"/>
        <v>2022_9</v>
      </c>
      <c r="L164" s="61" t="s">
        <v>37</v>
      </c>
      <c r="M164" s="26">
        <v>367</v>
      </c>
      <c r="N164" s="13">
        <v>311</v>
      </c>
      <c r="O164" s="13">
        <v>331</v>
      </c>
      <c r="P164" s="13">
        <v>398</v>
      </c>
      <c r="Q164" s="13">
        <v>430</v>
      </c>
      <c r="R164" s="13">
        <v>444</v>
      </c>
      <c r="S164" s="13">
        <v>341</v>
      </c>
      <c r="T164" s="13">
        <v>276</v>
      </c>
      <c r="U164" s="13">
        <v>337</v>
      </c>
      <c r="V164" s="13">
        <v>281</v>
      </c>
      <c r="W164" s="13">
        <v>299</v>
      </c>
      <c r="X164" s="13">
        <v>349</v>
      </c>
      <c r="Y164" s="13">
        <v>3008</v>
      </c>
      <c r="Z164" s="13">
        <v>302</v>
      </c>
      <c r="AA164" s="13">
        <v>444</v>
      </c>
      <c r="AB164" s="13">
        <v>701</v>
      </c>
      <c r="AC164" s="13">
        <v>1099</v>
      </c>
      <c r="AD164" s="13">
        <v>892</v>
      </c>
      <c r="AE164" s="13">
        <v>897</v>
      </c>
      <c r="AF164" s="13">
        <v>442</v>
      </c>
      <c r="AG164" s="13">
        <v>303</v>
      </c>
      <c r="AH164" s="13">
        <v>176</v>
      </c>
      <c r="AI164" s="13">
        <v>267</v>
      </c>
      <c r="AJ164" s="13">
        <v>176</v>
      </c>
    </row>
    <row r="165" spans="1:36" x14ac:dyDescent="0.3">
      <c r="A165" s="65" t="s">
        <v>33</v>
      </c>
      <c r="B165" s="74"/>
      <c r="C165" s="60">
        <v>3121884001</v>
      </c>
      <c r="D165" s="65" t="s">
        <v>419</v>
      </c>
      <c r="E165" s="65" t="s">
        <v>39</v>
      </c>
      <c r="F165" s="65" t="s">
        <v>35</v>
      </c>
      <c r="G165" s="65" t="s">
        <v>205</v>
      </c>
      <c r="H165" s="61">
        <v>44833</v>
      </c>
      <c r="I165" s="60">
        <f t="shared" si="6"/>
        <v>2022</v>
      </c>
      <c r="J165" s="60">
        <f t="shared" si="7"/>
        <v>9</v>
      </c>
      <c r="K165" s="60" t="str">
        <f t="shared" si="8"/>
        <v>2022_9</v>
      </c>
      <c r="L165" s="61" t="s">
        <v>37</v>
      </c>
      <c r="M165" s="26">
        <v>531</v>
      </c>
      <c r="N165" s="33">
        <v>478</v>
      </c>
      <c r="O165" s="13">
        <v>535</v>
      </c>
      <c r="P165" s="13">
        <v>585</v>
      </c>
      <c r="Q165" s="13">
        <v>926</v>
      </c>
      <c r="R165" s="13">
        <v>776</v>
      </c>
      <c r="S165" s="13">
        <v>651</v>
      </c>
      <c r="T165" s="13">
        <v>627</v>
      </c>
      <c r="U165" s="13">
        <v>626</v>
      </c>
      <c r="V165" s="13">
        <v>607</v>
      </c>
      <c r="W165" s="13">
        <v>594</v>
      </c>
      <c r="X165" s="13">
        <v>738</v>
      </c>
      <c r="Y165" s="13">
        <v>621</v>
      </c>
      <c r="Z165" s="13">
        <v>480</v>
      </c>
      <c r="AA165" s="13">
        <v>787</v>
      </c>
      <c r="AB165" s="13">
        <v>633</v>
      </c>
      <c r="AC165" s="13">
        <v>682</v>
      </c>
      <c r="AD165" s="13">
        <v>614</v>
      </c>
      <c r="AE165" s="13">
        <v>584</v>
      </c>
      <c r="AF165" s="13">
        <v>559</v>
      </c>
      <c r="AG165" s="13">
        <v>653</v>
      </c>
      <c r="AH165" s="13">
        <v>698</v>
      </c>
      <c r="AI165" s="13">
        <v>658</v>
      </c>
      <c r="AJ165" s="13">
        <v>664</v>
      </c>
    </row>
    <row r="166" spans="1:36" x14ac:dyDescent="0.3">
      <c r="A166" s="68" t="s">
        <v>33</v>
      </c>
      <c r="B166" s="73"/>
      <c r="C166" s="60">
        <v>3011309006</v>
      </c>
      <c r="D166" s="60" t="s">
        <v>460</v>
      </c>
      <c r="E166" s="60" t="s">
        <v>34</v>
      </c>
      <c r="F166" s="60" t="s">
        <v>35</v>
      </c>
      <c r="G166" s="60" t="s">
        <v>86</v>
      </c>
      <c r="H166" s="61">
        <v>44852</v>
      </c>
      <c r="I166" s="60">
        <f t="shared" si="6"/>
        <v>2022</v>
      </c>
      <c r="J166" s="60">
        <f t="shared" si="7"/>
        <v>10</v>
      </c>
      <c r="K166" s="60" t="str">
        <f t="shared" si="8"/>
        <v>2022_10</v>
      </c>
      <c r="L166" s="61" t="s">
        <v>37</v>
      </c>
      <c r="M166" s="11">
        <v>0</v>
      </c>
      <c r="N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62</v>
      </c>
      <c r="X166" s="13">
        <v>184</v>
      </c>
      <c r="Y166" s="13">
        <v>143</v>
      </c>
      <c r="Z166" s="13">
        <v>155</v>
      </c>
      <c r="AA166" s="13">
        <v>186</v>
      </c>
      <c r="AB166" s="13">
        <v>207</v>
      </c>
      <c r="AC166" s="13">
        <v>215</v>
      </c>
      <c r="AD166" s="13">
        <v>194</v>
      </c>
      <c r="AE166" s="13">
        <v>168</v>
      </c>
      <c r="AF166" s="13">
        <v>204</v>
      </c>
      <c r="AG166" s="13">
        <v>174</v>
      </c>
      <c r="AH166" s="13">
        <v>214</v>
      </c>
      <c r="AI166" s="13">
        <v>227</v>
      </c>
      <c r="AJ166" s="13">
        <v>181</v>
      </c>
    </row>
    <row r="167" spans="1:36" x14ac:dyDescent="0.3">
      <c r="A167" s="60" t="s">
        <v>124</v>
      </c>
      <c r="B167" s="73"/>
      <c r="C167" s="60">
        <v>3011310000</v>
      </c>
      <c r="D167" s="60" t="s">
        <v>470</v>
      </c>
      <c r="E167" s="60" t="s">
        <v>34</v>
      </c>
      <c r="F167" s="60" t="s">
        <v>35</v>
      </c>
      <c r="G167" s="60" t="s">
        <v>206</v>
      </c>
      <c r="H167" s="61">
        <v>44852</v>
      </c>
      <c r="I167" s="60">
        <f t="shared" si="6"/>
        <v>2022</v>
      </c>
      <c r="J167" s="60">
        <f t="shared" si="7"/>
        <v>10</v>
      </c>
      <c r="K167" s="60" t="str">
        <f t="shared" si="8"/>
        <v>2022_10</v>
      </c>
      <c r="L167" s="61" t="s">
        <v>37</v>
      </c>
      <c r="M167">
        <v>256</v>
      </c>
      <c r="N167">
        <v>251</v>
      </c>
      <c r="O167">
        <v>369</v>
      </c>
      <c r="P167">
        <v>289</v>
      </c>
      <c r="Q167">
        <v>294</v>
      </c>
      <c r="R167">
        <v>281</v>
      </c>
      <c r="S167">
        <v>267</v>
      </c>
      <c r="T167">
        <v>250</v>
      </c>
      <c r="U167">
        <v>252</v>
      </c>
      <c r="V167">
        <v>327</v>
      </c>
      <c r="W167">
        <v>560</v>
      </c>
      <c r="X167">
        <v>336</v>
      </c>
      <c r="Y167">
        <v>235</v>
      </c>
      <c r="Z167">
        <v>273</v>
      </c>
      <c r="AA167">
        <v>318</v>
      </c>
      <c r="AB167">
        <v>405</v>
      </c>
      <c r="AC167">
        <v>443</v>
      </c>
      <c r="AD167">
        <v>389</v>
      </c>
      <c r="AE167">
        <v>318</v>
      </c>
      <c r="AF167">
        <v>302</v>
      </c>
      <c r="AG167">
        <v>263</v>
      </c>
      <c r="AH167">
        <v>369</v>
      </c>
      <c r="AI167">
        <v>347</v>
      </c>
      <c r="AJ167">
        <v>296</v>
      </c>
    </row>
    <row r="168" spans="1:36" x14ac:dyDescent="0.3">
      <c r="A168" s="60" t="s">
        <v>124</v>
      </c>
      <c r="B168" s="73"/>
      <c r="C168" s="60">
        <v>3080076001</v>
      </c>
      <c r="D168" s="60" t="s">
        <v>437</v>
      </c>
      <c r="E168" s="60" t="s">
        <v>34</v>
      </c>
      <c r="F168" s="60" t="s">
        <v>35</v>
      </c>
      <c r="G168" s="60" t="s">
        <v>207</v>
      </c>
      <c r="H168" s="61">
        <v>44858</v>
      </c>
      <c r="I168" s="60">
        <f t="shared" si="6"/>
        <v>2022</v>
      </c>
      <c r="J168" s="60">
        <f t="shared" si="7"/>
        <v>10</v>
      </c>
      <c r="K168" s="60" t="str">
        <f t="shared" si="8"/>
        <v>2022_10</v>
      </c>
      <c r="L168" s="61" t="s">
        <v>37</v>
      </c>
      <c r="M168" s="11">
        <v>0</v>
      </c>
      <c r="N168" s="3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>
        <v>175</v>
      </c>
      <c r="U168">
        <v>700</v>
      </c>
      <c r="V168">
        <v>761</v>
      </c>
      <c r="W168">
        <v>922</v>
      </c>
      <c r="X168">
        <v>720</v>
      </c>
      <c r="Y168">
        <v>569</v>
      </c>
      <c r="Z168">
        <v>1237</v>
      </c>
      <c r="AA168">
        <v>3200</v>
      </c>
      <c r="AB168">
        <v>3494</v>
      </c>
      <c r="AC168">
        <v>2800</v>
      </c>
      <c r="AD168">
        <v>2510</v>
      </c>
      <c r="AE168">
        <v>1302</v>
      </c>
      <c r="AF168">
        <v>574</v>
      </c>
      <c r="AG168">
        <v>510</v>
      </c>
      <c r="AH168">
        <v>1144</v>
      </c>
      <c r="AI168">
        <v>950</v>
      </c>
      <c r="AJ168">
        <v>782</v>
      </c>
    </row>
    <row r="169" spans="1:36" x14ac:dyDescent="0.3">
      <c r="A169" s="60" t="s">
        <v>128</v>
      </c>
      <c r="B169" s="73"/>
      <c r="C169" s="60">
        <v>3111796000</v>
      </c>
      <c r="D169" s="60" t="s">
        <v>471</v>
      </c>
      <c r="E169" s="60" t="s">
        <v>34</v>
      </c>
      <c r="F169" s="60" t="s">
        <v>35</v>
      </c>
      <c r="G169" s="60" t="s">
        <v>208</v>
      </c>
      <c r="H169" s="61">
        <v>44858</v>
      </c>
      <c r="I169" s="60">
        <f t="shared" si="6"/>
        <v>2022</v>
      </c>
      <c r="J169" s="60">
        <f t="shared" si="7"/>
        <v>10</v>
      </c>
      <c r="K169" s="60" t="str">
        <f t="shared" si="8"/>
        <v>2022_10</v>
      </c>
      <c r="L169" s="61" t="s">
        <v>37</v>
      </c>
      <c r="M169">
        <v>614</v>
      </c>
      <c r="N169">
        <v>712</v>
      </c>
      <c r="O169">
        <v>862</v>
      </c>
      <c r="P169">
        <v>942</v>
      </c>
      <c r="Q169">
        <v>680</v>
      </c>
      <c r="R169">
        <v>550</v>
      </c>
      <c r="S169">
        <v>532</v>
      </c>
      <c r="T169">
        <v>564</v>
      </c>
      <c r="U169">
        <v>408</v>
      </c>
      <c r="V169">
        <v>642</v>
      </c>
      <c r="W169">
        <v>568</v>
      </c>
      <c r="X169">
        <v>648</v>
      </c>
      <c r="Y169">
        <v>634</v>
      </c>
      <c r="Z169">
        <v>616</v>
      </c>
      <c r="AA169">
        <v>790</v>
      </c>
      <c r="AB169">
        <v>834</v>
      </c>
      <c r="AC169">
        <v>630</v>
      </c>
      <c r="AD169">
        <v>554</v>
      </c>
      <c r="AE169">
        <v>446</v>
      </c>
      <c r="AF169">
        <v>382</v>
      </c>
      <c r="AG169">
        <v>516</v>
      </c>
      <c r="AH169">
        <v>672</v>
      </c>
      <c r="AI169">
        <v>564</v>
      </c>
      <c r="AJ169">
        <v>668</v>
      </c>
    </row>
    <row r="170" spans="1:36" x14ac:dyDescent="0.3">
      <c r="A170" s="60" t="s">
        <v>209</v>
      </c>
      <c r="B170" s="73"/>
      <c r="C170" s="60">
        <v>3080583000</v>
      </c>
      <c r="D170" s="60" t="s">
        <v>472</v>
      </c>
      <c r="E170" s="60" t="s">
        <v>39</v>
      </c>
      <c r="F170" s="60" t="s">
        <v>35</v>
      </c>
      <c r="G170" s="60" t="s">
        <v>210</v>
      </c>
      <c r="H170" s="61">
        <v>44872</v>
      </c>
      <c r="I170" s="60">
        <f t="shared" si="6"/>
        <v>2022</v>
      </c>
      <c r="J170" s="60">
        <f t="shared" si="7"/>
        <v>11</v>
      </c>
      <c r="K170" s="60" t="str">
        <f t="shared" si="8"/>
        <v>2022_11</v>
      </c>
      <c r="L170" s="61" t="s">
        <v>37</v>
      </c>
      <c r="M170" s="11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13">
        <v>0</v>
      </c>
      <c r="AI170" s="13">
        <v>0</v>
      </c>
      <c r="AJ170" s="13">
        <v>0</v>
      </c>
    </row>
    <row r="171" spans="1:36" x14ac:dyDescent="0.3">
      <c r="A171" s="60" t="s">
        <v>33</v>
      </c>
      <c r="B171" s="73"/>
      <c r="C171" s="60">
        <v>3151981002</v>
      </c>
      <c r="D171" s="60" t="s">
        <v>421</v>
      </c>
      <c r="E171" s="60" t="s">
        <v>34</v>
      </c>
      <c r="F171" s="60" t="s">
        <v>35</v>
      </c>
      <c r="G171" s="60" t="s">
        <v>211</v>
      </c>
      <c r="H171" s="61">
        <v>44879</v>
      </c>
      <c r="I171" s="60">
        <f t="shared" si="6"/>
        <v>2022</v>
      </c>
      <c r="J171" s="60">
        <f t="shared" si="7"/>
        <v>11</v>
      </c>
      <c r="K171" s="60" t="str">
        <f t="shared" si="8"/>
        <v>2022_11</v>
      </c>
      <c r="L171" s="61" t="s">
        <v>37</v>
      </c>
      <c r="M171">
        <v>536</v>
      </c>
      <c r="N171">
        <v>868</v>
      </c>
      <c r="O171">
        <v>1264</v>
      </c>
      <c r="P171">
        <v>1212</v>
      </c>
      <c r="Q171">
        <v>1118</v>
      </c>
      <c r="R171">
        <v>736</v>
      </c>
      <c r="S171">
        <v>574</v>
      </c>
      <c r="T171">
        <v>720</v>
      </c>
      <c r="U171">
        <v>760</v>
      </c>
      <c r="V171">
        <v>1084</v>
      </c>
      <c r="W171">
        <v>960</v>
      </c>
      <c r="X171">
        <v>686</v>
      </c>
      <c r="Y171">
        <v>580</v>
      </c>
      <c r="Z171">
        <v>998</v>
      </c>
      <c r="AA171">
        <v>1614</v>
      </c>
      <c r="AB171">
        <v>1270</v>
      </c>
      <c r="AC171">
        <v>1110</v>
      </c>
      <c r="AD171">
        <v>778</v>
      </c>
      <c r="AE171">
        <v>610</v>
      </c>
      <c r="AF171">
        <v>456</v>
      </c>
      <c r="AG171">
        <v>534</v>
      </c>
      <c r="AH171">
        <v>894</v>
      </c>
      <c r="AI171">
        <v>844</v>
      </c>
      <c r="AJ171">
        <v>756</v>
      </c>
    </row>
    <row r="172" spans="1:36" x14ac:dyDescent="0.3">
      <c r="A172" s="60" t="s">
        <v>33</v>
      </c>
      <c r="B172" s="73"/>
      <c r="C172" s="60">
        <v>3131469000</v>
      </c>
      <c r="D172" s="60" t="s">
        <v>473</v>
      </c>
      <c r="E172" s="60" t="s">
        <v>43</v>
      </c>
      <c r="F172" s="60" t="s">
        <v>35</v>
      </c>
      <c r="G172" s="60" t="s">
        <v>212</v>
      </c>
      <c r="H172" s="61">
        <v>44888</v>
      </c>
      <c r="I172" s="60">
        <f t="shared" si="6"/>
        <v>2022</v>
      </c>
      <c r="J172" s="60">
        <f t="shared" si="7"/>
        <v>11</v>
      </c>
      <c r="K172" s="60" t="str">
        <f t="shared" si="8"/>
        <v>2022_11</v>
      </c>
      <c r="L172" s="61" t="s">
        <v>37</v>
      </c>
      <c r="M172">
        <v>408</v>
      </c>
      <c r="N172">
        <v>559</v>
      </c>
      <c r="O172">
        <v>780</v>
      </c>
      <c r="P172">
        <v>460</v>
      </c>
      <c r="Q172">
        <v>462</v>
      </c>
      <c r="R172">
        <v>356</v>
      </c>
      <c r="S172">
        <v>376</v>
      </c>
      <c r="T172">
        <v>446</v>
      </c>
      <c r="U172">
        <v>734</v>
      </c>
      <c r="V172">
        <v>759</v>
      </c>
      <c r="W172">
        <v>686</v>
      </c>
      <c r="X172">
        <v>420</v>
      </c>
      <c r="Y172">
        <v>649</v>
      </c>
      <c r="Z172">
        <v>680</v>
      </c>
      <c r="AA172">
        <v>854</v>
      </c>
      <c r="AB172">
        <v>519</v>
      </c>
      <c r="AC172">
        <v>415</v>
      </c>
      <c r="AD172">
        <v>428</v>
      </c>
      <c r="AE172">
        <v>407</v>
      </c>
      <c r="AF172">
        <v>540</v>
      </c>
      <c r="AG172">
        <v>865</v>
      </c>
      <c r="AH172">
        <v>700</v>
      </c>
      <c r="AI172">
        <v>641</v>
      </c>
      <c r="AJ172">
        <v>544</v>
      </c>
    </row>
    <row r="173" spans="1:36" x14ac:dyDescent="0.3">
      <c r="A173" s="60" t="s">
        <v>124</v>
      </c>
      <c r="B173" s="73"/>
      <c r="C173" s="60">
        <v>3151474001</v>
      </c>
      <c r="D173" s="60" t="s">
        <v>474</v>
      </c>
      <c r="E173" s="60" t="s">
        <v>34</v>
      </c>
      <c r="F173" s="60" t="s">
        <v>35</v>
      </c>
      <c r="G173" s="60" t="s">
        <v>213</v>
      </c>
      <c r="H173" s="61">
        <v>44891</v>
      </c>
      <c r="I173" s="60">
        <f t="shared" si="6"/>
        <v>2022</v>
      </c>
      <c r="J173" s="60">
        <f t="shared" si="7"/>
        <v>11</v>
      </c>
      <c r="K173" s="60" t="str">
        <f t="shared" si="8"/>
        <v>2022_11</v>
      </c>
      <c r="L173" s="61" t="s">
        <v>37</v>
      </c>
      <c r="M173" s="11">
        <v>0</v>
      </c>
      <c r="N173" s="13">
        <v>0</v>
      </c>
      <c r="O173" s="13">
        <v>0</v>
      </c>
      <c r="P173" s="13">
        <v>0</v>
      </c>
      <c r="Q173">
        <v>656</v>
      </c>
      <c r="R173">
        <v>968</v>
      </c>
      <c r="S173">
        <v>846</v>
      </c>
      <c r="T173">
        <v>849</v>
      </c>
      <c r="U173">
        <v>987</v>
      </c>
      <c r="V173">
        <v>966</v>
      </c>
      <c r="W173">
        <v>846</v>
      </c>
      <c r="X173">
        <v>857</v>
      </c>
      <c r="Y173">
        <v>1816</v>
      </c>
      <c r="Z173">
        <v>1093</v>
      </c>
      <c r="AA173">
        <v>1329</v>
      </c>
      <c r="AB173">
        <v>1245</v>
      </c>
      <c r="AC173">
        <v>960</v>
      </c>
      <c r="AD173">
        <v>616</v>
      </c>
      <c r="AE173">
        <v>634</v>
      </c>
      <c r="AF173">
        <v>705</v>
      </c>
      <c r="AG173">
        <v>937</v>
      </c>
      <c r="AH173">
        <v>822</v>
      </c>
      <c r="AI173">
        <v>830</v>
      </c>
      <c r="AJ173">
        <v>998</v>
      </c>
    </row>
    <row r="174" spans="1:36" x14ac:dyDescent="0.3">
      <c r="A174" s="68" t="s">
        <v>33</v>
      </c>
      <c r="B174" s="73"/>
      <c r="C174" s="60">
        <v>3141343006</v>
      </c>
      <c r="D174" s="60" t="s">
        <v>460</v>
      </c>
      <c r="E174" s="60" t="s">
        <v>34</v>
      </c>
      <c r="F174" s="60" t="s">
        <v>35</v>
      </c>
      <c r="G174" s="60" t="s">
        <v>86</v>
      </c>
      <c r="H174" s="61">
        <v>44895</v>
      </c>
      <c r="I174" s="60">
        <f t="shared" si="6"/>
        <v>2022</v>
      </c>
      <c r="J174" s="60">
        <f t="shared" si="7"/>
        <v>11</v>
      </c>
      <c r="K174" s="60" t="str">
        <f t="shared" si="8"/>
        <v>2022_11</v>
      </c>
      <c r="L174" s="61" t="s">
        <v>37</v>
      </c>
      <c r="M174">
        <v>560</v>
      </c>
      <c r="N174">
        <v>606</v>
      </c>
      <c r="O174">
        <v>717</v>
      </c>
      <c r="P174">
        <v>526</v>
      </c>
      <c r="Q174">
        <v>561</v>
      </c>
      <c r="R174">
        <v>545</v>
      </c>
      <c r="S174">
        <v>625</v>
      </c>
      <c r="T174">
        <v>728</v>
      </c>
      <c r="U174">
        <v>929</v>
      </c>
      <c r="V174">
        <v>1075</v>
      </c>
      <c r="W174">
        <v>785</v>
      </c>
      <c r="X174">
        <v>643</v>
      </c>
      <c r="Y174">
        <v>621</v>
      </c>
      <c r="Z174">
        <v>1242</v>
      </c>
      <c r="AA174">
        <v>2071</v>
      </c>
      <c r="AB174">
        <v>2244</v>
      </c>
      <c r="AC174">
        <v>2090</v>
      </c>
      <c r="AD174">
        <v>1344</v>
      </c>
      <c r="AE174">
        <v>1026</v>
      </c>
      <c r="AF174">
        <v>976</v>
      </c>
      <c r="AG174">
        <v>1061</v>
      </c>
      <c r="AH174">
        <v>930</v>
      </c>
      <c r="AI174">
        <v>1049</v>
      </c>
      <c r="AJ174">
        <v>1096</v>
      </c>
    </row>
    <row r="175" spans="1:36" x14ac:dyDescent="0.3">
      <c r="A175" s="60" t="s">
        <v>124</v>
      </c>
      <c r="B175" s="73"/>
      <c r="C175" s="60">
        <v>3020014000</v>
      </c>
      <c r="D175" s="60" t="s">
        <v>395</v>
      </c>
      <c r="E175" s="60" t="s">
        <v>43</v>
      </c>
      <c r="F175" s="60" t="s">
        <v>35</v>
      </c>
      <c r="G175" s="60" t="s">
        <v>214</v>
      </c>
      <c r="H175" s="61">
        <v>44900</v>
      </c>
      <c r="I175" s="60">
        <f t="shared" si="6"/>
        <v>2022</v>
      </c>
      <c r="J175" s="60">
        <f t="shared" si="7"/>
        <v>12</v>
      </c>
      <c r="K175" s="60" t="str">
        <f t="shared" si="8"/>
        <v>2022_12</v>
      </c>
      <c r="L175" s="61" t="s">
        <v>37</v>
      </c>
      <c r="M175">
        <v>1376</v>
      </c>
      <c r="N175">
        <v>1268</v>
      </c>
      <c r="O175">
        <v>1060</v>
      </c>
      <c r="P175">
        <v>1798</v>
      </c>
      <c r="Q175">
        <v>886</v>
      </c>
      <c r="R175">
        <v>916</v>
      </c>
      <c r="S175">
        <v>678</v>
      </c>
      <c r="T175">
        <v>540</v>
      </c>
      <c r="U175">
        <v>1084</v>
      </c>
      <c r="V175">
        <v>964</v>
      </c>
      <c r="W175">
        <v>872</v>
      </c>
      <c r="X175">
        <v>914</v>
      </c>
      <c r="Y175">
        <v>1256</v>
      </c>
      <c r="Z175">
        <v>1082</v>
      </c>
      <c r="AA175">
        <v>1362</v>
      </c>
      <c r="AB175">
        <v>1270</v>
      </c>
      <c r="AC175">
        <v>882</v>
      </c>
      <c r="AD175">
        <v>768</v>
      </c>
      <c r="AE175">
        <v>478</v>
      </c>
      <c r="AF175">
        <v>824</v>
      </c>
      <c r="AG175">
        <v>966</v>
      </c>
      <c r="AH175">
        <v>812</v>
      </c>
      <c r="AI175">
        <v>992</v>
      </c>
      <c r="AJ175">
        <v>936</v>
      </c>
    </row>
    <row r="176" spans="1:36" x14ac:dyDescent="0.3">
      <c r="A176" s="60" t="s">
        <v>55</v>
      </c>
      <c r="B176" s="73"/>
      <c r="C176" s="60">
        <v>3100237006</v>
      </c>
      <c r="D176" s="60" t="s">
        <v>475</v>
      </c>
      <c r="E176" s="60" t="s">
        <v>34</v>
      </c>
      <c r="F176" s="60" t="s">
        <v>35</v>
      </c>
      <c r="G176" s="60" t="s">
        <v>215</v>
      </c>
      <c r="H176" s="61">
        <v>44900</v>
      </c>
      <c r="I176" s="60">
        <f t="shared" si="6"/>
        <v>2022</v>
      </c>
      <c r="J176" s="60">
        <f t="shared" si="7"/>
        <v>12</v>
      </c>
      <c r="K176" s="60" t="str">
        <f t="shared" si="8"/>
        <v>2022_12</v>
      </c>
      <c r="L176" s="61" t="s">
        <v>37</v>
      </c>
      <c r="M176" s="11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>
        <v>531</v>
      </c>
      <c r="U176">
        <v>560</v>
      </c>
      <c r="V176">
        <v>565</v>
      </c>
      <c r="W176">
        <v>452</v>
      </c>
      <c r="X176">
        <v>437</v>
      </c>
      <c r="Y176">
        <v>480</v>
      </c>
      <c r="Z176">
        <v>515</v>
      </c>
      <c r="AA176">
        <v>541</v>
      </c>
      <c r="AB176">
        <v>569</v>
      </c>
      <c r="AC176">
        <v>448</v>
      </c>
      <c r="AD176">
        <v>424</v>
      </c>
      <c r="AE176">
        <v>525</v>
      </c>
      <c r="AF176">
        <v>599</v>
      </c>
      <c r="AG176">
        <v>632</v>
      </c>
      <c r="AH176">
        <v>680</v>
      </c>
      <c r="AI176">
        <v>561</v>
      </c>
      <c r="AJ176">
        <v>421</v>
      </c>
    </row>
    <row r="177" spans="1:36" x14ac:dyDescent="0.3">
      <c r="A177" s="60" t="s">
        <v>124</v>
      </c>
      <c r="B177" s="73"/>
      <c r="C177" s="60">
        <v>3132771002</v>
      </c>
      <c r="D177" s="60" t="s">
        <v>470</v>
      </c>
      <c r="E177" s="60" t="s">
        <v>34</v>
      </c>
      <c r="F177" s="60" t="s">
        <v>35</v>
      </c>
      <c r="G177" s="60" t="s">
        <v>206</v>
      </c>
      <c r="H177" s="61">
        <v>44904</v>
      </c>
      <c r="I177" s="60">
        <f t="shared" si="6"/>
        <v>2022</v>
      </c>
      <c r="J177" s="60">
        <f t="shared" si="7"/>
        <v>12</v>
      </c>
      <c r="K177" s="60" t="str">
        <f t="shared" si="8"/>
        <v>2022_12</v>
      </c>
      <c r="L177" s="61" t="s">
        <v>37</v>
      </c>
      <c r="M177" s="11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>
        <v>934</v>
      </c>
      <c r="U177">
        <v>1543</v>
      </c>
      <c r="V177">
        <v>948</v>
      </c>
      <c r="W177">
        <v>844</v>
      </c>
      <c r="X177">
        <v>600</v>
      </c>
      <c r="Y177">
        <v>1225</v>
      </c>
      <c r="Z177">
        <v>1482</v>
      </c>
      <c r="AA177">
        <v>1519</v>
      </c>
      <c r="AB177">
        <v>1527</v>
      </c>
      <c r="AC177">
        <v>1380</v>
      </c>
      <c r="AD177">
        <v>780</v>
      </c>
      <c r="AE177">
        <v>720</v>
      </c>
      <c r="AF177">
        <v>1017</v>
      </c>
      <c r="AG177">
        <v>648</v>
      </c>
      <c r="AH177">
        <v>755</v>
      </c>
      <c r="AI177">
        <v>903</v>
      </c>
      <c r="AJ177">
        <v>1228</v>
      </c>
    </row>
    <row r="178" spans="1:36" x14ac:dyDescent="0.3">
      <c r="A178" s="60" t="s">
        <v>55</v>
      </c>
      <c r="B178" s="73"/>
      <c r="C178" s="60">
        <v>3101476003</v>
      </c>
      <c r="D178" s="60" t="s">
        <v>476</v>
      </c>
      <c r="E178" s="60" t="s">
        <v>39</v>
      </c>
      <c r="F178" s="60" t="s">
        <v>35</v>
      </c>
      <c r="G178" s="60" t="s">
        <v>216</v>
      </c>
      <c r="H178" s="61">
        <v>44910</v>
      </c>
      <c r="I178" s="60">
        <f t="shared" si="6"/>
        <v>2022</v>
      </c>
      <c r="J178" s="60">
        <f t="shared" si="7"/>
        <v>12</v>
      </c>
      <c r="K178" s="60" t="str">
        <f t="shared" si="8"/>
        <v>2022_12</v>
      </c>
      <c r="L178" s="61" t="s">
        <v>37</v>
      </c>
      <c r="M178">
        <v>1338</v>
      </c>
      <c r="N178">
        <v>1670</v>
      </c>
      <c r="O178">
        <v>1342</v>
      </c>
      <c r="P178">
        <v>1314</v>
      </c>
      <c r="Q178">
        <v>944</v>
      </c>
      <c r="R178">
        <v>582</v>
      </c>
      <c r="S178">
        <v>1002</v>
      </c>
      <c r="T178">
        <v>1136</v>
      </c>
      <c r="U178">
        <v>1334</v>
      </c>
      <c r="V178">
        <v>1110</v>
      </c>
      <c r="W178">
        <v>932</v>
      </c>
      <c r="X178">
        <v>998</v>
      </c>
      <c r="Y178">
        <v>1794</v>
      </c>
      <c r="Z178">
        <v>3290</v>
      </c>
      <c r="AA178">
        <v>2432</v>
      </c>
      <c r="AB178">
        <v>2794</v>
      </c>
      <c r="AC178">
        <v>1466</v>
      </c>
      <c r="AD178">
        <v>1004</v>
      </c>
      <c r="AE178">
        <v>584</v>
      </c>
      <c r="AF178">
        <v>910</v>
      </c>
      <c r="AG178">
        <v>756</v>
      </c>
      <c r="AH178">
        <v>722</v>
      </c>
      <c r="AI178">
        <v>910</v>
      </c>
      <c r="AJ178">
        <v>1512</v>
      </c>
    </row>
    <row r="179" spans="1:36" x14ac:dyDescent="0.3">
      <c r="A179" s="60" t="s">
        <v>124</v>
      </c>
      <c r="B179" s="73"/>
      <c r="C179" s="60">
        <v>3132061002</v>
      </c>
      <c r="D179" s="60" t="s">
        <v>477</v>
      </c>
      <c r="E179" s="60" t="s">
        <v>34</v>
      </c>
      <c r="F179" s="60" t="s">
        <v>35</v>
      </c>
      <c r="G179" s="60" t="s">
        <v>217</v>
      </c>
      <c r="H179" s="61">
        <v>44913</v>
      </c>
      <c r="I179" s="60">
        <f t="shared" si="6"/>
        <v>2022</v>
      </c>
      <c r="J179" s="60">
        <f t="shared" si="7"/>
        <v>12</v>
      </c>
      <c r="K179" s="60" t="str">
        <f t="shared" si="8"/>
        <v>2022_12</v>
      </c>
      <c r="L179" s="61" t="s">
        <v>37</v>
      </c>
      <c r="M179">
        <v>461</v>
      </c>
      <c r="N179">
        <v>398</v>
      </c>
      <c r="O179">
        <v>337</v>
      </c>
      <c r="P179">
        <v>559</v>
      </c>
      <c r="Q179">
        <v>622</v>
      </c>
      <c r="R179">
        <v>521</v>
      </c>
      <c r="S179">
        <v>387</v>
      </c>
      <c r="T179">
        <v>416</v>
      </c>
      <c r="U179">
        <v>381</v>
      </c>
      <c r="V179">
        <v>376</v>
      </c>
      <c r="W179">
        <v>356</v>
      </c>
      <c r="X179">
        <v>776</v>
      </c>
      <c r="Y179">
        <v>723</v>
      </c>
      <c r="Z179">
        <v>777</v>
      </c>
      <c r="AA179">
        <v>685</v>
      </c>
      <c r="AB179">
        <v>687</v>
      </c>
      <c r="AC179">
        <v>571</v>
      </c>
      <c r="AD179">
        <v>462</v>
      </c>
      <c r="AE179">
        <v>397</v>
      </c>
      <c r="AF179">
        <v>537</v>
      </c>
      <c r="AG179">
        <v>428</v>
      </c>
      <c r="AH179">
        <v>513</v>
      </c>
      <c r="AI179">
        <v>516</v>
      </c>
      <c r="AJ179">
        <v>549</v>
      </c>
    </row>
    <row r="180" spans="1:36" x14ac:dyDescent="0.3">
      <c r="A180" s="60" t="s">
        <v>128</v>
      </c>
      <c r="B180" s="73"/>
      <c r="C180" s="60">
        <v>3062482000</v>
      </c>
      <c r="D180" s="60" t="s">
        <v>388</v>
      </c>
      <c r="E180" s="60" t="s">
        <v>39</v>
      </c>
      <c r="F180" s="60" t="s">
        <v>35</v>
      </c>
      <c r="G180" s="60" t="s">
        <v>218</v>
      </c>
      <c r="H180" s="61">
        <v>44924</v>
      </c>
      <c r="I180" s="60">
        <f t="shared" si="6"/>
        <v>2022</v>
      </c>
      <c r="J180" s="60">
        <f t="shared" si="7"/>
        <v>12</v>
      </c>
      <c r="K180" s="60" t="str">
        <f t="shared" si="8"/>
        <v>2022_12</v>
      </c>
      <c r="L180" s="61" t="s">
        <v>37</v>
      </c>
      <c r="M180">
        <v>637</v>
      </c>
      <c r="N180">
        <v>638</v>
      </c>
      <c r="O180">
        <v>547</v>
      </c>
      <c r="P180">
        <v>536</v>
      </c>
      <c r="Q180">
        <v>489</v>
      </c>
      <c r="R180">
        <v>476</v>
      </c>
      <c r="S180">
        <v>499</v>
      </c>
      <c r="T180">
        <v>803</v>
      </c>
      <c r="U180">
        <v>1159</v>
      </c>
      <c r="V180">
        <v>808</v>
      </c>
      <c r="W180">
        <v>587</v>
      </c>
      <c r="X180">
        <v>650</v>
      </c>
      <c r="Y180">
        <v>693</v>
      </c>
      <c r="Z180">
        <v>591</v>
      </c>
      <c r="AA180">
        <v>544</v>
      </c>
      <c r="AB180">
        <v>498</v>
      </c>
      <c r="AC180">
        <v>464</v>
      </c>
      <c r="AD180">
        <v>561</v>
      </c>
      <c r="AE180">
        <v>523</v>
      </c>
      <c r="AF180">
        <v>1078</v>
      </c>
      <c r="AG180">
        <v>1155</v>
      </c>
      <c r="AH180">
        <v>953</v>
      </c>
      <c r="AI180">
        <v>641</v>
      </c>
      <c r="AJ180">
        <v>610</v>
      </c>
    </row>
    <row r="181" spans="1:36" x14ac:dyDescent="0.3">
      <c r="A181" s="60" t="s">
        <v>124</v>
      </c>
      <c r="B181" s="73"/>
      <c r="C181" s="60">
        <v>3160837000</v>
      </c>
      <c r="D181" s="60" t="s">
        <v>478</v>
      </c>
      <c r="E181" s="60" t="s">
        <v>43</v>
      </c>
      <c r="F181" s="60" t="s">
        <v>35</v>
      </c>
      <c r="G181" s="60" t="s">
        <v>219</v>
      </c>
      <c r="H181" s="61">
        <v>44924</v>
      </c>
      <c r="I181" s="60">
        <f t="shared" si="6"/>
        <v>2022</v>
      </c>
      <c r="J181" s="60">
        <f t="shared" si="7"/>
        <v>12</v>
      </c>
      <c r="K181" s="60" t="str">
        <f t="shared" si="8"/>
        <v>2022_12</v>
      </c>
      <c r="L181" s="61" t="s">
        <v>37</v>
      </c>
      <c r="M181">
        <v>1095</v>
      </c>
      <c r="N181">
        <v>1404</v>
      </c>
      <c r="O181">
        <v>1280</v>
      </c>
      <c r="P181">
        <v>1273</v>
      </c>
      <c r="Q181">
        <v>1023</v>
      </c>
      <c r="R181">
        <v>910</v>
      </c>
      <c r="S181">
        <v>878</v>
      </c>
      <c r="T181">
        <v>852</v>
      </c>
      <c r="U181">
        <v>990</v>
      </c>
      <c r="V181">
        <v>795</v>
      </c>
      <c r="W181">
        <v>818</v>
      </c>
      <c r="X181">
        <v>1000</v>
      </c>
      <c r="Y181">
        <v>1157</v>
      </c>
      <c r="Z181">
        <v>1328</v>
      </c>
      <c r="AA181">
        <v>1355</v>
      </c>
      <c r="AB181">
        <v>1423</v>
      </c>
      <c r="AC181">
        <v>990</v>
      </c>
      <c r="AD181">
        <v>894</v>
      </c>
      <c r="AE181">
        <v>802</v>
      </c>
      <c r="AF181">
        <v>1008</v>
      </c>
      <c r="AG181">
        <v>1068</v>
      </c>
      <c r="AH181">
        <v>925</v>
      </c>
      <c r="AI181">
        <v>1264</v>
      </c>
      <c r="AJ181">
        <v>1265</v>
      </c>
    </row>
    <row r="182" spans="1:36" x14ac:dyDescent="0.3">
      <c r="A182" s="60" t="s">
        <v>124</v>
      </c>
      <c r="B182" s="73"/>
      <c r="C182" s="60">
        <v>3010134001</v>
      </c>
      <c r="D182" s="60" t="s">
        <v>380</v>
      </c>
      <c r="E182" s="60" t="s">
        <v>34</v>
      </c>
      <c r="F182" s="60" t="s">
        <v>35</v>
      </c>
      <c r="G182" s="60" t="s">
        <v>220</v>
      </c>
      <c r="H182" s="61">
        <v>44925</v>
      </c>
      <c r="I182" s="60">
        <f t="shared" si="6"/>
        <v>2022</v>
      </c>
      <c r="J182" s="60">
        <f t="shared" si="7"/>
        <v>12</v>
      </c>
      <c r="K182" s="60" t="str">
        <f t="shared" si="8"/>
        <v>2022_12</v>
      </c>
      <c r="L182" s="61" t="s">
        <v>37</v>
      </c>
      <c r="M182">
        <v>178</v>
      </c>
      <c r="N182">
        <v>235</v>
      </c>
      <c r="O182">
        <v>183</v>
      </c>
      <c r="P182">
        <v>167</v>
      </c>
      <c r="Q182">
        <v>168</v>
      </c>
      <c r="R182">
        <v>153</v>
      </c>
      <c r="S182">
        <v>193</v>
      </c>
      <c r="T182">
        <v>197</v>
      </c>
      <c r="U182">
        <v>426</v>
      </c>
      <c r="V182">
        <v>219</v>
      </c>
      <c r="W182">
        <v>190</v>
      </c>
      <c r="X182">
        <v>216</v>
      </c>
      <c r="Y182">
        <v>337</v>
      </c>
      <c r="Z182">
        <v>273</v>
      </c>
      <c r="AA182">
        <v>1658</v>
      </c>
      <c r="AB182">
        <v>1561</v>
      </c>
      <c r="AC182">
        <v>1122</v>
      </c>
      <c r="AD182">
        <v>867</v>
      </c>
      <c r="AE182">
        <v>440</v>
      </c>
      <c r="AF182">
        <v>464</v>
      </c>
      <c r="AG182">
        <v>568</v>
      </c>
      <c r="AH182">
        <v>388</v>
      </c>
      <c r="AI182">
        <v>421</v>
      </c>
      <c r="AJ182">
        <v>606</v>
      </c>
    </row>
    <row r="183" spans="1:36" x14ac:dyDescent="0.3">
      <c r="A183" s="60" t="s">
        <v>209</v>
      </c>
      <c r="B183" s="73"/>
      <c r="C183" s="60">
        <v>3061188000</v>
      </c>
      <c r="D183" s="60" t="s">
        <v>457</v>
      </c>
      <c r="E183" s="60" t="s">
        <v>34</v>
      </c>
      <c r="F183" s="60" t="s">
        <v>35</v>
      </c>
      <c r="G183" s="60" t="s">
        <v>221</v>
      </c>
      <c r="H183" s="61">
        <v>44925</v>
      </c>
      <c r="I183" s="60">
        <f t="shared" si="6"/>
        <v>2022</v>
      </c>
      <c r="J183" s="60">
        <f t="shared" si="7"/>
        <v>12</v>
      </c>
      <c r="K183" s="60" t="str">
        <f t="shared" si="8"/>
        <v>2022_12</v>
      </c>
      <c r="L183" s="61" t="s">
        <v>37</v>
      </c>
      <c r="M183">
        <v>467</v>
      </c>
      <c r="N183">
        <v>471</v>
      </c>
      <c r="O183">
        <v>461</v>
      </c>
      <c r="P183">
        <v>471</v>
      </c>
      <c r="Q183">
        <v>382</v>
      </c>
      <c r="R183">
        <v>367</v>
      </c>
      <c r="S183">
        <v>401</v>
      </c>
      <c r="T183">
        <v>449</v>
      </c>
      <c r="U183">
        <v>652</v>
      </c>
      <c r="V183">
        <v>492</v>
      </c>
      <c r="W183">
        <v>376</v>
      </c>
      <c r="X183">
        <v>356</v>
      </c>
      <c r="Y183">
        <v>470</v>
      </c>
      <c r="Z183">
        <v>470</v>
      </c>
      <c r="AA183">
        <v>457</v>
      </c>
      <c r="AB183">
        <v>383</v>
      </c>
      <c r="AC183">
        <v>380</v>
      </c>
      <c r="AD183">
        <v>402</v>
      </c>
      <c r="AE183">
        <v>345</v>
      </c>
      <c r="AF183">
        <v>426</v>
      </c>
      <c r="AG183">
        <v>425</v>
      </c>
      <c r="AH183">
        <v>377</v>
      </c>
      <c r="AI183">
        <v>417</v>
      </c>
      <c r="AJ183">
        <v>417</v>
      </c>
    </row>
    <row r="184" spans="1:36" x14ac:dyDescent="0.3">
      <c r="A184" s="60" t="s">
        <v>209</v>
      </c>
      <c r="B184" s="73"/>
      <c r="C184" s="60">
        <v>3160609001</v>
      </c>
      <c r="D184" s="60" t="s">
        <v>479</v>
      </c>
      <c r="E184" s="60" t="s">
        <v>100</v>
      </c>
      <c r="F184" s="60" t="s">
        <v>35</v>
      </c>
      <c r="G184" s="60" t="s">
        <v>222</v>
      </c>
      <c r="H184" s="61">
        <v>44925</v>
      </c>
      <c r="I184" s="60">
        <f t="shared" si="6"/>
        <v>2022</v>
      </c>
      <c r="J184" s="60">
        <f t="shared" si="7"/>
        <v>12</v>
      </c>
      <c r="K184" s="60" t="str">
        <f t="shared" si="8"/>
        <v>2022_12</v>
      </c>
      <c r="L184" s="61" t="s">
        <v>37</v>
      </c>
      <c r="M184">
        <v>2640</v>
      </c>
      <c r="N184">
        <v>4210</v>
      </c>
      <c r="O184">
        <v>3132</v>
      </c>
      <c r="P184">
        <v>2892</v>
      </c>
      <c r="Q184">
        <v>2038</v>
      </c>
      <c r="R184">
        <v>2182</v>
      </c>
      <c r="S184">
        <v>2952</v>
      </c>
      <c r="T184">
        <v>3132</v>
      </c>
      <c r="U184">
        <v>3700</v>
      </c>
      <c r="V184">
        <v>3462</v>
      </c>
      <c r="W184">
        <v>2854</v>
      </c>
      <c r="X184">
        <v>3282</v>
      </c>
      <c r="Y184">
        <v>3718</v>
      </c>
      <c r="Z184">
        <v>3466</v>
      </c>
      <c r="AA184">
        <v>4226</v>
      </c>
      <c r="AB184">
        <v>2976</v>
      </c>
      <c r="AC184">
        <v>2832</v>
      </c>
      <c r="AD184">
        <v>2862</v>
      </c>
      <c r="AE184">
        <v>2862</v>
      </c>
      <c r="AF184">
        <v>3826</v>
      </c>
      <c r="AG184">
        <v>3826</v>
      </c>
      <c r="AH184">
        <v>3378</v>
      </c>
      <c r="AI184">
        <v>3030</v>
      </c>
      <c r="AJ184">
        <v>3962</v>
      </c>
    </row>
    <row r="185" spans="1:36" x14ac:dyDescent="0.3">
      <c r="A185" s="60" t="s">
        <v>124</v>
      </c>
      <c r="B185" s="73"/>
      <c r="C185" s="60">
        <v>3111829001</v>
      </c>
      <c r="D185" s="60" t="s">
        <v>417</v>
      </c>
      <c r="E185" s="60" t="s">
        <v>39</v>
      </c>
      <c r="F185" s="60" t="s">
        <v>35</v>
      </c>
      <c r="G185" s="60" t="s">
        <v>122</v>
      </c>
      <c r="H185" s="61">
        <v>44930</v>
      </c>
      <c r="I185" s="60">
        <f t="shared" si="6"/>
        <v>2023</v>
      </c>
      <c r="J185" s="60">
        <f t="shared" si="7"/>
        <v>1</v>
      </c>
      <c r="K185" s="60" t="str">
        <f t="shared" si="8"/>
        <v>2023_1</v>
      </c>
      <c r="L185" s="61" t="s">
        <v>37</v>
      </c>
      <c r="M185" s="11">
        <v>0</v>
      </c>
      <c r="N185">
        <v>4262</v>
      </c>
      <c r="O185">
        <v>3574</v>
      </c>
      <c r="P185">
        <v>2590</v>
      </c>
      <c r="Q185">
        <v>1474</v>
      </c>
      <c r="R185">
        <v>1212</v>
      </c>
      <c r="S185">
        <v>1202</v>
      </c>
      <c r="T185">
        <v>1908</v>
      </c>
      <c r="U185">
        <v>2512</v>
      </c>
      <c r="V185">
        <v>1054</v>
      </c>
      <c r="W185">
        <v>1370</v>
      </c>
      <c r="X185">
        <v>1850</v>
      </c>
      <c r="Y185">
        <v>2362</v>
      </c>
      <c r="Z185">
        <v>2808</v>
      </c>
      <c r="AA185">
        <v>2948</v>
      </c>
      <c r="AB185">
        <v>2544</v>
      </c>
      <c r="AC185">
        <v>1658</v>
      </c>
      <c r="AD185">
        <v>1520</v>
      </c>
      <c r="AE185">
        <v>1042</v>
      </c>
      <c r="AF185">
        <v>1814</v>
      </c>
      <c r="AG185">
        <v>1090</v>
      </c>
      <c r="AH185">
        <v>1294</v>
      </c>
      <c r="AI185">
        <v>1628</v>
      </c>
      <c r="AJ185">
        <v>1960</v>
      </c>
    </row>
    <row r="186" spans="1:36" x14ac:dyDescent="0.3">
      <c r="A186" s="60" t="s">
        <v>33</v>
      </c>
      <c r="B186" s="73"/>
      <c r="C186" s="60">
        <v>3120381003</v>
      </c>
      <c r="D186" s="60" t="s">
        <v>480</v>
      </c>
      <c r="E186" s="60" t="s">
        <v>39</v>
      </c>
      <c r="F186" s="60" t="s">
        <v>35</v>
      </c>
      <c r="G186" s="60" t="s">
        <v>223</v>
      </c>
      <c r="H186" s="61">
        <v>44935</v>
      </c>
      <c r="I186" s="60">
        <f t="shared" si="6"/>
        <v>2023</v>
      </c>
      <c r="J186" s="60">
        <f t="shared" si="7"/>
        <v>1</v>
      </c>
      <c r="K186" s="60" t="str">
        <f t="shared" si="8"/>
        <v>2023_1</v>
      </c>
      <c r="L186" s="61" t="s">
        <v>37</v>
      </c>
      <c r="M186" s="11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>
        <v>172</v>
      </c>
      <c r="Y186">
        <v>266</v>
      </c>
      <c r="Z186">
        <v>911</v>
      </c>
      <c r="AA186">
        <v>1100</v>
      </c>
      <c r="AB186">
        <v>980</v>
      </c>
      <c r="AC186">
        <v>850</v>
      </c>
      <c r="AD186">
        <v>1231</v>
      </c>
      <c r="AE186">
        <v>928</v>
      </c>
      <c r="AF186">
        <v>1046</v>
      </c>
      <c r="AG186">
        <v>936</v>
      </c>
      <c r="AH186">
        <v>1102</v>
      </c>
      <c r="AI186">
        <v>951</v>
      </c>
      <c r="AJ186">
        <v>866</v>
      </c>
    </row>
    <row r="187" spans="1:36" x14ac:dyDescent="0.3">
      <c r="A187" s="60" t="s">
        <v>124</v>
      </c>
      <c r="B187" s="73"/>
      <c r="C187" s="60">
        <v>3020274000</v>
      </c>
      <c r="D187" s="60" t="s">
        <v>351</v>
      </c>
      <c r="E187" s="60" t="s">
        <v>39</v>
      </c>
      <c r="F187" s="60" t="s">
        <v>35</v>
      </c>
      <c r="G187" s="60" t="s">
        <v>224</v>
      </c>
      <c r="H187" s="61">
        <v>44938</v>
      </c>
      <c r="I187" s="60">
        <f t="shared" si="6"/>
        <v>2023</v>
      </c>
      <c r="J187" s="60">
        <f t="shared" si="7"/>
        <v>1</v>
      </c>
      <c r="K187" s="60" t="str">
        <f t="shared" si="8"/>
        <v>2023_1</v>
      </c>
      <c r="L187" s="61" t="s">
        <v>37</v>
      </c>
      <c r="M187">
        <v>735</v>
      </c>
      <c r="N187">
        <v>887</v>
      </c>
      <c r="O187">
        <v>907</v>
      </c>
      <c r="P187">
        <v>826</v>
      </c>
      <c r="Q187">
        <v>743</v>
      </c>
      <c r="R187">
        <v>991</v>
      </c>
      <c r="S187">
        <v>1385</v>
      </c>
      <c r="T187">
        <v>2464</v>
      </c>
      <c r="U187">
        <v>1291</v>
      </c>
      <c r="V187">
        <v>650</v>
      </c>
      <c r="W187">
        <v>628</v>
      </c>
      <c r="X187">
        <v>1024</v>
      </c>
      <c r="Y187">
        <v>1390</v>
      </c>
      <c r="Z187">
        <v>2088</v>
      </c>
      <c r="AA187">
        <v>1842</v>
      </c>
      <c r="AB187">
        <v>1549</v>
      </c>
      <c r="AC187">
        <v>968</v>
      </c>
      <c r="AD187">
        <v>708</v>
      </c>
      <c r="AE187">
        <v>1129</v>
      </c>
      <c r="AF187">
        <v>1719</v>
      </c>
      <c r="AG187">
        <v>1514</v>
      </c>
      <c r="AH187">
        <v>1196</v>
      </c>
      <c r="AI187">
        <v>826</v>
      </c>
      <c r="AJ187">
        <v>1788</v>
      </c>
    </row>
    <row r="188" spans="1:36" x14ac:dyDescent="0.3">
      <c r="A188" s="60" t="s">
        <v>124</v>
      </c>
      <c r="B188" s="73"/>
      <c r="C188" s="60">
        <v>3041201000</v>
      </c>
      <c r="D188" s="60" t="s">
        <v>368</v>
      </c>
      <c r="E188" s="60" t="s">
        <v>39</v>
      </c>
      <c r="F188" s="60" t="s">
        <v>35</v>
      </c>
      <c r="G188" s="60" t="s">
        <v>142</v>
      </c>
      <c r="H188" s="61">
        <v>44940</v>
      </c>
      <c r="I188" s="60">
        <f t="shared" si="6"/>
        <v>2023</v>
      </c>
      <c r="J188" s="60">
        <f t="shared" si="7"/>
        <v>1</v>
      </c>
      <c r="K188" s="60" t="str">
        <f t="shared" si="8"/>
        <v>2023_1</v>
      </c>
      <c r="L188" s="61" t="s">
        <v>37</v>
      </c>
      <c r="M188" s="11">
        <v>0</v>
      </c>
      <c r="N188">
        <v>1270</v>
      </c>
      <c r="O188">
        <v>1260</v>
      </c>
      <c r="P188">
        <v>1116</v>
      </c>
      <c r="Q188">
        <v>804</v>
      </c>
      <c r="R188">
        <v>812</v>
      </c>
      <c r="S188">
        <v>842</v>
      </c>
      <c r="T188">
        <v>884</v>
      </c>
      <c r="U188">
        <v>1046</v>
      </c>
      <c r="V188">
        <v>978</v>
      </c>
      <c r="W188">
        <v>1104</v>
      </c>
      <c r="X188">
        <v>1384</v>
      </c>
      <c r="Y188">
        <v>1276</v>
      </c>
      <c r="Z188">
        <v>1186</v>
      </c>
      <c r="AA188">
        <v>982</v>
      </c>
      <c r="AB188">
        <v>864</v>
      </c>
      <c r="AC188">
        <v>652</v>
      </c>
      <c r="AD188">
        <v>652</v>
      </c>
      <c r="AE188">
        <v>670</v>
      </c>
      <c r="AF188">
        <v>1402</v>
      </c>
      <c r="AG188">
        <v>1548</v>
      </c>
      <c r="AH188">
        <v>1626</v>
      </c>
      <c r="AI188">
        <v>1084</v>
      </c>
      <c r="AJ188">
        <v>1112</v>
      </c>
    </row>
    <row r="189" spans="1:36" x14ac:dyDescent="0.3">
      <c r="A189" s="60" t="s">
        <v>124</v>
      </c>
      <c r="B189" s="73"/>
      <c r="C189" s="60">
        <v>3120130002</v>
      </c>
      <c r="D189" s="60" t="s">
        <v>481</v>
      </c>
      <c r="E189" s="60" t="s">
        <v>34</v>
      </c>
      <c r="F189" s="60" t="s">
        <v>35</v>
      </c>
      <c r="G189" s="60" t="s">
        <v>225</v>
      </c>
      <c r="H189" s="61">
        <v>44940</v>
      </c>
      <c r="I189" s="60">
        <f t="shared" si="6"/>
        <v>2023</v>
      </c>
      <c r="J189" s="60">
        <f t="shared" si="7"/>
        <v>1</v>
      </c>
      <c r="K189" s="60" t="str">
        <f t="shared" si="8"/>
        <v>2023_1</v>
      </c>
      <c r="L189" s="61" t="s">
        <v>37</v>
      </c>
      <c r="M189" s="11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>
        <v>163</v>
      </c>
      <c r="U189">
        <v>611</v>
      </c>
      <c r="V189">
        <v>524</v>
      </c>
      <c r="W189">
        <v>555</v>
      </c>
      <c r="X189">
        <v>514</v>
      </c>
      <c r="Y189">
        <v>646</v>
      </c>
      <c r="Z189">
        <v>555</v>
      </c>
      <c r="AA189">
        <v>409</v>
      </c>
      <c r="AB189">
        <v>470</v>
      </c>
      <c r="AC189">
        <v>586</v>
      </c>
      <c r="AD189">
        <v>563</v>
      </c>
      <c r="AE189">
        <v>699</v>
      </c>
      <c r="AF189">
        <v>720</v>
      </c>
      <c r="AG189">
        <v>797</v>
      </c>
      <c r="AH189">
        <v>709</v>
      </c>
      <c r="AI189">
        <v>577</v>
      </c>
      <c r="AJ189" s="13">
        <v>0</v>
      </c>
    </row>
    <row r="190" spans="1:36" x14ac:dyDescent="0.3">
      <c r="A190" s="60" t="s">
        <v>55</v>
      </c>
      <c r="B190" s="73"/>
      <c r="C190" s="60">
        <v>3011889000</v>
      </c>
      <c r="D190" s="60" t="s">
        <v>482</v>
      </c>
      <c r="E190" s="60" t="s">
        <v>34</v>
      </c>
      <c r="F190" s="60" t="s">
        <v>35</v>
      </c>
      <c r="G190" s="60" t="s">
        <v>86</v>
      </c>
      <c r="H190" s="61">
        <v>44942</v>
      </c>
      <c r="I190" s="60">
        <f t="shared" si="6"/>
        <v>2023</v>
      </c>
      <c r="J190" s="60">
        <f t="shared" si="7"/>
        <v>1</v>
      </c>
      <c r="K190" s="60" t="str">
        <f t="shared" si="8"/>
        <v>2023_1</v>
      </c>
      <c r="L190" s="61" t="s">
        <v>37</v>
      </c>
      <c r="M190">
        <v>639</v>
      </c>
      <c r="N190">
        <v>608</v>
      </c>
      <c r="O190">
        <v>638</v>
      </c>
      <c r="P190">
        <v>536</v>
      </c>
      <c r="Q190">
        <v>560</v>
      </c>
      <c r="R190">
        <v>503</v>
      </c>
      <c r="S190">
        <v>446</v>
      </c>
      <c r="T190">
        <v>501</v>
      </c>
      <c r="U190">
        <v>451</v>
      </c>
      <c r="V190">
        <v>438</v>
      </c>
      <c r="W190">
        <v>445</v>
      </c>
      <c r="X190">
        <v>584</v>
      </c>
      <c r="Y190">
        <v>598</v>
      </c>
      <c r="Z190">
        <v>595</v>
      </c>
      <c r="AA190">
        <v>556</v>
      </c>
      <c r="AB190">
        <v>518</v>
      </c>
      <c r="AC190">
        <v>545</v>
      </c>
      <c r="AD190">
        <v>437</v>
      </c>
      <c r="AE190">
        <v>447</v>
      </c>
      <c r="AF190">
        <v>416</v>
      </c>
      <c r="AG190">
        <v>368</v>
      </c>
      <c r="AH190">
        <v>436</v>
      </c>
      <c r="AI190">
        <v>491</v>
      </c>
      <c r="AJ190">
        <v>697</v>
      </c>
    </row>
    <row r="191" spans="1:36" x14ac:dyDescent="0.3">
      <c r="A191" s="60" t="s">
        <v>33</v>
      </c>
      <c r="B191" s="73"/>
      <c r="C191" s="60">
        <v>3141195000</v>
      </c>
      <c r="D191" s="60" t="s">
        <v>401</v>
      </c>
      <c r="E191" s="60" t="s">
        <v>39</v>
      </c>
      <c r="F191" s="60" t="s">
        <v>35</v>
      </c>
      <c r="G191" s="60" t="s">
        <v>226</v>
      </c>
      <c r="H191" s="61">
        <v>44942</v>
      </c>
      <c r="I191" s="60">
        <f t="shared" si="6"/>
        <v>2023</v>
      </c>
      <c r="J191" s="60">
        <f t="shared" si="7"/>
        <v>1</v>
      </c>
      <c r="K191" s="60" t="str">
        <f t="shared" si="8"/>
        <v>2023_1</v>
      </c>
      <c r="L191" s="61" t="s">
        <v>37</v>
      </c>
      <c r="M191" s="11">
        <v>0</v>
      </c>
      <c r="N191">
        <v>1343</v>
      </c>
      <c r="O191">
        <v>993</v>
      </c>
      <c r="P191">
        <v>993</v>
      </c>
      <c r="Q191">
        <v>852</v>
      </c>
      <c r="R191">
        <v>1050</v>
      </c>
      <c r="S191">
        <v>1083</v>
      </c>
      <c r="T191">
        <v>1011</v>
      </c>
      <c r="U191">
        <v>1342</v>
      </c>
      <c r="V191">
        <v>1204</v>
      </c>
      <c r="W191">
        <v>754</v>
      </c>
      <c r="X191">
        <v>831</v>
      </c>
      <c r="Y191">
        <v>859</v>
      </c>
      <c r="Z191">
        <v>1079</v>
      </c>
      <c r="AA191">
        <v>888</v>
      </c>
      <c r="AB191">
        <v>895</v>
      </c>
      <c r="AC191">
        <v>799</v>
      </c>
      <c r="AD191">
        <v>861</v>
      </c>
      <c r="AE191">
        <v>1008</v>
      </c>
      <c r="AF191">
        <v>981</v>
      </c>
      <c r="AG191">
        <v>1006</v>
      </c>
      <c r="AH191">
        <v>1136</v>
      </c>
      <c r="AI191">
        <v>900</v>
      </c>
      <c r="AJ191">
        <v>919</v>
      </c>
    </row>
    <row r="192" spans="1:36" x14ac:dyDescent="0.3">
      <c r="A192" s="60" t="s">
        <v>124</v>
      </c>
      <c r="B192" s="73"/>
      <c r="C192" s="60">
        <v>3151685002</v>
      </c>
      <c r="D192" s="60" t="s">
        <v>364</v>
      </c>
      <c r="E192" s="60" t="s">
        <v>39</v>
      </c>
      <c r="F192" s="60" t="s">
        <v>35</v>
      </c>
      <c r="G192" s="60" t="s">
        <v>227</v>
      </c>
      <c r="H192" s="61">
        <v>44942</v>
      </c>
      <c r="I192" s="60">
        <f t="shared" si="6"/>
        <v>2023</v>
      </c>
      <c r="J192" s="60">
        <f t="shared" si="7"/>
        <v>1</v>
      </c>
      <c r="K192" s="60" t="str">
        <f t="shared" si="8"/>
        <v>2023_1</v>
      </c>
      <c r="L192" s="61" t="s">
        <v>37</v>
      </c>
      <c r="M192">
        <v>600</v>
      </c>
      <c r="N192">
        <v>647</v>
      </c>
      <c r="O192">
        <v>580</v>
      </c>
      <c r="P192">
        <v>714</v>
      </c>
      <c r="Q192">
        <v>1230</v>
      </c>
      <c r="R192">
        <v>1973</v>
      </c>
      <c r="S192">
        <v>2245</v>
      </c>
      <c r="T192">
        <v>2342</v>
      </c>
      <c r="U192">
        <v>1336</v>
      </c>
      <c r="V192">
        <v>1119</v>
      </c>
      <c r="W192">
        <v>718</v>
      </c>
      <c r="X192">
        <v>621</v>
      </c>
      <c r="Y192">
        <v>576</v>
      </c>
      <c r="Z192">
        <v>579</v>
      </c>
      <c r="AA192">
        <v>549</v>
      </c>
      <c r="AB192">
        <v>587</v>
      </c>
      <c r="AC192">
        <v>821</v>
      </c>
      <c r="AD192">
        <v>1699</v>
      </c>
      <c r="AE192">
        <v>1891</v>
      </c>
      <c r="AF192">
        <v>2193</v>
      </c>
      <c r="AG192">
        <v>1594</v>
      </c>
      <c r="AH192">
        <v>1003</v>
      </c>
      <c r="AI192">
        <v>804</v>
      </c>
      <c r="AJ192" s="13">
        <v>0</v>
      </c>
    </row>
    <row r="193" spans="1:36" x14ac:dyDescent="0.3">
      <c r="A193" s="60" t="s">
        <v>124</v>
      </c>
      <c r="B193" s="73"/>
      <c r="C193" s="60">
        <v>3151685002</v>
      </c>
      <c r="D193" s="60" t="s">
        <v>372</v>
      </c>
      <c r="E193" s="60" t="s">
        <v>39</v>
      </c>
      <c r="F193" s="60" t="s">
        <v>35</v>
      </c>
      <c r="G193" s="60" t="s">
        <v>228</v>
      </c>
      <c r="H193" s="61">
        <v>44942</v>
      </c>
      <c r="I193" s="60">
        <f t="shared" si="6"/>
        <v>2023</v>
      </c>
      <c r="J193" s="60">
        <f t="shared" si="7"/>
        <v>1</v>
      </c>
      <c r="K193" s="60" t="str">
        <f t="shared" si="8"/>
        <v>2023_1</v>
      </c>
      <c r="L193" s="61" t="s">
        <v>37</v>
      </c>
      <c r="M193">
        <v>600</v>
      </c>
      <c r="N193">
        <v>647</v>
      </c>
      <c r="O193">
        <v>580</v>
      </c>
      <c r="P193">
        <v>714</v>
      </c>
      <c r="Q193">
        <v>1230</v>
      </c>
      <c r="R193">
        <v>1973</v>
      </c>
      <c r="S193">
        <v>2245</v>
      </c>
      <c r="T193">
        <v>2342</v>
      </c>
      <c r="U193">
        <v>1336</v>
      </c>
      <c r="V193">
        <v>1119</v>
      </c>
      <c r="W193">
        <v>718</v>
      </c>
      <c r="X193">
        <v>621</v>
      </c>
      <c r="Y193">
        <v>576</v>
      </c>
      <c r="Z193">
        <v>579</v>
      </c>
      <c r="AA193">
        <v>549</v>
      </c>
      <c r="AB193">
        <v>587</v>
      </c>
      <c r="AC193">
        <v>821</v>
      </c>
      <c r="AD193">
        <v>1699</v>
      </c>
      <c r="AE193">
        <v>1891</v>
      </c>
      <c r="AF193">
        <v>2193</v>
      </c>
      <c r="AG193">
        <v>1594</v>
      </c>
      <c r="AH193">
        <v>1003</v>
      </c>
      <c r="AI193">
        <v>804</v>
      </c>
      <c r="AJ193" s="13">
        <v>0</v>
      </c>
    </row>
    <row r="194" spans="1:36" x14ac:dyDescent="0.3">
      <c r="A194" s="60" t="s">
        <v>33</v>
      </c>
      <c r="B194" s="73"/>
      <c r="C194" s="60">
        <v>3160638000</v>
      </c>
      <c r="D194" s="60" t="s">
        <v>401</v>
      </c>
      <c r="E194" s="60" t="s">
        <v>39</v>
      </c>
      <c r="F194" s="60" t="s">
        <v>35</v>
      </c>
      <c r="G194" s="60" t="s">
        <v>226</v>
      </c>
      <c r="H194" s="61">
        <v>44942</v>
      </c>
      <c r="I194" s="60">
        <f t="shared" si="6"/>
        <v>2023</v>
      </c>
      <c r="J194" s="60">
        <f t="shared" si="7"/>
        <v>1</v>
      </c>
      <c r="K194" s="60" t="str">
        <f t="shared" si="8"/>
        <v>2023_1</v>
      </c>
      <c r="L194" s="61" t="s">
        <v>37</v>
      </c>
      <c r="M194">
        <v>980</v>
      </c>
      <c r="N194">
        <v>848</v>
      </c>
      <c r="O194">
        <v>1117</v>
      </c>
      <c r="P194">
        <v>862</v>
      </c>
      <c r="Q194">
        <v>837</v>
      </c>
      <c r="R194">
        <v>0</v>
      </c>
      <c r="S194">
        <v>903</v>
      </c>
      <c r="T194">
        <v>859</v>
      </c>
      <c r="U194">
        <v>884</v>
      </c>
      <c r="V194">
        <v>648</v>
      </c>
      <c r="W194">
        <v>695</v>
      </c>
      <c r="X194">
        <v>450</v>
      </c>
      <c r="Y194">
        <v>86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J194" s="13">
        <v>0</v>
      </c>
    </row>
    <row r="195" spans="1:36" x14ac:dyDescent="0.3">
      <c r="A195" s="60" t="s">
        <v>117</v>
      </c>
      <c r="B195" s="73"/>
      <c r="C195" s="60">
        <v>3010805004</v>
      </c>
      <c r="D195" s="60" t="s">
        <v>483</v>
      </c>
      <c r="E195" s="60" t="s">
        <v>39</v>
      </c>
      <c r="F195" s="60" t="s">
        <v>35</v>
      </c>
      <c r="G195" s="60" t="s">
        <v>229</v>
      </c>
      <c r="H195" s="61">
        <v>44945</v>
      </c>
      <c r="I195" s="60">
        <f t="shared" ref="I195:I258" si="9">YEAR(H195)</f>
        <v>2023</v>
      </c>
      <c r="J195" s="60">
        <f t="shared" ref="J195:J258" si="10">MONTH(H195)</f>
        <v>1</v>
      </c>
      <c r="K195" s="60" t="str">
        <f t="shared" ref="K195:K258" si="11">I195&amp;"_"&amp;J195</f>
        <v>2023_1</v>
      </c>
      <c r="L195" s="61" t="s">
        <v>37</v>
      </c>
      <c r="M195">
        <v>612</v>
      </c>
      <c r="N195">
        <v>441</v>
      </c>
      <c r="O195">
        <v>496</v>
      </c>
      <c r="P195">
        <v>345</v>
      </c>
      <c r="Q195">
        <v>355</v>
      </c>
      <c r="R195">
        <v>420</v>
      </c>
      <c r="S195">
        <v>498</v>
      </c>
      <c r="T195">
        <v>842</v>
      </c>
      <c r="U195">
        <v>955</v>
      </c>
      <c r="V195">
        <v>628</v>
      </c>
      <c r="W195">
        <v>506</v>
      </c>
      <c r="X195">
        <v>628</v>
      </c>
      <c r="Y195">
        <v>520</v>
      </c>
      <c r="Z195">
        <v>578</v>
      </c>
      <c r="AA195">
        <v>451</v>
      </c>
      <c r="AB195">
        <v>404</v>
      </c>
      <c r="AC195">
        <v>494</v>
      </c>
      <c r="AD195">
        <v>458</v>
      </c>
      <c r="AE195">
        <v>839</v>
      </c>
      <c r="AF195">
        <v>982</v>
      </c>
      <c r="AG195">
        <v>860</v>
      </c>
      <c r="AH195">
        <v>742</v>
      </c>
      <c r="AI195">
        <v>563</v>
      </c>
      <c r="AJ195">
        <v>562</v>
      </c>
    </row>
    <row r="196" spans="1:36" x14ac:dyDescent="0.3">
      <c r="A196" s="60" t="s">
        <v>128</v>
      </c>
      <c r="B196" s="73"/>
      <c r="C196" s="60">
        <v>3010721000</v>
      </c>
      <c r="D196" s="60" t="s">
        <v>407</v>
      </c>
      <c r="E196" s="60" t="s">
        <v>34</v>
      </c>
      <c r="F196" s="60" t="s">
        <v>35</v>
      </c>
      <c r="G196" s="60" t="s">
        <v>110</v>
      </c>
      <c r="H196" s="61">
        <v>44950</v>
      </c>
      <c r="I196" s="60">
        <f t="shared" si="9"/>
        <v>2023</v>
      </c>
      <c r="J196" s="60">
        <f t="shared" si="10"/>
        <v>1</v>
      </c>
      <c r="K196" s="60" t="str">
        <f t="shared" si="11"/>
        <v>2023_1</v>
      </c>
      <c r="L196" s="61" t="s">
        <v>37</v>
      </c>
      <c r="M196">
        <v>492</v>
      </c>
      <c r="N196">
        <v>451</v>
      </c>
      <c r="O196">
        <v>472</v>
      </c>
      <c r="P196">
        <v>383</v>
      </c>
      <c r="Q196">
        <v>403</v>
      </c>
      <c r="R196">
        <v>442</v>
      </c>
      <c r="S196">
        <v>531</v>
      </c>
      <c r="T196">
        <v>927</v>
      </c>
      <c r="U196">
        <v>724</v>
      </c>
      <c r="V196">
        <v>390</v>
      </c>
      <c r="W196">
        <v>403</v>
      </c>
      <c r="X196">
        <v>459</v>
      </c>
      <c r="Y196">
        <v>477</v>
      </c>
      <c r="Z196">
        <v>452</v>
      </c>
      <c r="AA196">
        <v>433</v>
      </c>
      <c r="AB196">
        <v>380</v>
      </c>
      <c r="AC196">
        <v>409</v>
      </c>
      <c r="AD196">
        <v>360</v>
      </c>
      <c r="AE196">
        <v>472</v>
      </c>
      <c r="AF196">
        <v>850</v>
      </c>
      <c r="AG196">
        <v>655</v>
      </c>
      <c r="AH196">
        <v>563</v>
      </c>
      <c r="AI196">
        <v>394</v>
      </c>
      <c r="AJ196">
        <v>419</v>
      </c>
    </row>
    <row r="197" spans="1:36" x14ac:dyDescent="0.3">
      <c r="A197" s="60" t="s">
        <v>33</v>
      </c>
      <c r="B197" s="73"/>
      <c r="C197" s="60">
        <v>3031734008</v>
      </c>
      <c r="D197" s="60" t="s">
        <v>349</v>
      </c>
      <c r="E197" s="60" t="s">
        <v>39</v>
      </c>
      <c r="F197" s="60" t="s">
        <v>35</v>
      </c>
      <c r="G197" s="60" t="s">
        <v>230</v>
      </c>
      <c r="H197" s="61">
        <v>44950</v>
      </c>
      <c r="I197" s="60">
        <f t="shared" si="9"/>
        <v>2023</v>
      </c>
      <c r="J197" s="60">
        <f t="shared" si="10"/>
        <v>1</v>
      </c>
      <c r="K197" s="60" t="str">
        <f t="shared" si="11"/>
        <v>2023_1</v>
      </c>
      <c r="L197" s="61" t="s">
        <v>37</v>
      </c>
      <c r="M197">
        <v>829</v>
      </c>
      <c r="N197">
        <v>862</v>
      </c>
      <c r="O197">
        <v>855</v>
      </c>
      <c r="P197">
        <v>761</v>
      </c>
      <c r="Q197">
        <v>612</v>
      </c>
      <c r="R197">
        <v>562</v>
      </c>
      <c r="S197">
        <v>648</v>
      </c>
      <c r="T197">
        <v>676</v>
      </c>
      <c r="U197">
        <v>766</v>
      </c>
      <c r="V197">
        <v>574</v>
      </c>
      <c r="W197">
        <v>467</v>
      </c>
      <c r="X197">
        <v>647</v>
      </c>
      <c r="Y197">
        <v>900</v>
      </c>
      <c r="Z197">
        <v>861</v>
      </c>
      <c r="AA197">
        <v>788</v>
      </c>
      <c r="AB197">
        <v>779</v>
      </c>
      <c r="AC197">
        <v>532</v>
      </c>
      <c r="AD197">
        <v>589</v>
      </c>
      <c r="AE197">
        <v>890</v>
      </c>
      <c r="AF197">
        <v>807</v>
      </c>
      <c r="AG197">
        <v>753</v>
      </c>
      <c r="AH197">
        <v>724</v>
      </c>
      <c r="AI197">
        <v>542</v>
      </c>
      <c r="AJ197">
        <v>746</v>
      </c>
    </row>
    <row r="198" spans="1:36" x14ac:dyDescent="0.3">
      <c r="A198" s="68" t="s">
        <v>33</v>
      </c>
      <c r="B198" s="73"/>
      <c r="C198" s="60">
        <v>3074120000</v>
      </c>
      <c r="D198" s="60" t="s">
        <v>460</v>
      </c>
      <c r="E198" s="60" t="s">
        <v>34</v>
      </c>
      <c r="F198" s="60" t="s">
        <v>35</v>
      </c>
      <c r="G198" s="60" t="s">
        <v>86</v>
      </c>
      <c r="H198" s="61">
        <v>44950</v>
      </c>
      <c r="I198" s="60">
        <f t="shared" si="9"/>
        <v>2023</v>
      </c>
      <c r="J198" s="60">
        <f t="shared" si="10"/>
        <v>1</v>
      </c>
      <c r="K198" s="60" t="str">
        <f t="shared" si="11"/>
        <v>2023_1</v>
      </c>
      <c r="L198" s="61" t="s">
        <v>37</v>
      </c>
      <c r="M198" s="11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4</v>
      </c>
      <c r="X198" s="13">
        <v>126</v>
      </c>
      <c r="Y198" s="13">
        <v>1184</v>
      </c>
      <c r="Z198" s="13">
        <v>1133</v>
      </c>
      <c r="AA198" s="13">
        <v>226</v>
      </c>
      <c r="AB198" s="13">
        <v>122</v>
      </c>
      <c r="AC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J198" s="13">
        <v>0</v>
      </c>
    </row>
    <row r="199" spans="1:36" x14ac:dyDescent="0.3">
      <c r="A199" s="60" t="s">
        <v>33</v>
      </c>
      <c r="B199" s="73"/>
      <c r="C199" s="60">
        <v>3100483001</v>
      </c>
      <c r="D199" s="60" t="s">
        <v>407</v>
      </c>
      <c r="E199" s="60" t="s">
        <v>34</v>
      </c>
      <c r="F199" s="60" t="s">
        <v>35</v>
      </c>
      <c r="G199" s="60" t="s">
        <v>231</v>
      </c>
      <c r="H199" s="61">
        <v>44950</v>
      </c>
      <c r="I199" s="60">
        <f t="shared" si="9"/>
        <v>2023</v>
      </c>
      <c r="J199" s="60">
        <f t="shared" si="10"/>
        <v>1</v>
      </c>
      <c r="K199" s="60" t="str">
        <f t="shared" si="11"/>
        <v>2023_1</v>
      </c>
      <c r="L199" s="61" t="s">
        <v>37</v>
      </c>
      <c r="M199">
        <v>501</v>
      </c>
      <c r="N199">
        <v>451</v>
      </c>
      <c r="O199">
        <v>514</v>
      </c>
      <c r="P199">
        <v>461</v>
      </c>
      <c r="Q199">
        <v>467</v>
      </c>
      <c r="R199">
        <v>808</v>
      </c>
      <c r="S199">
        <v>722</v>
      </c>
      <c r="T199">
        <v>879</v>
      </c>
      <c r="U199">
        <v>963</v>
      </c>
      <c r="V199">
        <v>376</v>
      </c>
      <c r="W199">
        <v>418</v>
      </c>
      <c r="X199">
        <v>374</v>
      </c>
      <c r="Y199">
        <v>442</v>
      </c>
      <c r="Z199">
        <v>356</v>
      </c>
      <c r="AA199">
        <v>336</v>
      </c>
      <c r="AB199">
        <v>344</v>
      </c>
      <c r="AC199">
        <v>411</v>
      </c>
      <c r="AD199">
        <v>549</v>
      </c>
      <c r="AE199">
        <v>1001</v>
      </c>
      <c r="AF199">
        <v>780</v>
      </c>
      <c r="AG199">
        <v>643</v>
      </c>
      <c r="AH199">
        <v>461</v>
      </c>
      <c r="AI199">
        <v>366</v>
      </c>
      <c r="AJ199" s="13">
        <v>0</v>
      </c>
    </row>
    <row r="200" spans="1:36" x14ac:dyDescent="0.3">
      <c r="A200" s="60" t="s">
        <v>209</v>
      </c>
      <c r="B200" s="73"/>
      <c r="C200" s="60">
        <v>3120137001</v>
      </c>
      <c r="D200" s="60" t="s">
        <v>484</v>
      </c>
      <c r="E200" s="60" t="s">
        <v>100</v>
      </c>
      <c r="F200" s="60" t="s">
        <v>35</v>
      </c>
      <c r="G200" s="60" t="s">
        <v>232</v>
      </c>
      <c r="H200" s="61">
        <v>44950</v>
      </c>
      <c r="I200" s="60">
        <f t="shared" si="9"/>
        <v>2023</v>
      </c>
      <c r="J200" s="60">
        <f t="shared" si="10"/>
        <v>1</v>
      </c>
      <c r="K200" s="60" t="str">
        <f t="shared" si="11"/>
        <v>2023_1</v>
      </c>
      <c r="L200" s="61" t="s">
        <v>37</v>
      </c>
      <c r="M200">
        <v>1668</v>
      </c>
      <c r="N200">
        <v>1623</v>
      </c>
      <c r="O200">
        <v>1384</v>
      </c>
      <c r="P200">
        <v>1217</v>
      </c>
      <c r="Q200">
        <v>1532</v>
      </c>
      <c r="R200">
        <v>1986</v>
      </c>
      <c r="S200">
        <v>2024</v>
      </c>
      <c r="T200">
        <v>2265</v>
      </c>
      <c r="U200">
        <v>1758</v>
      </c>
      <c r="V200">
        <v>1232</v>
      </c>
      <c r="W200">
        <v>1299</v>
      </c>
      <c r="X200">
        <v>1919</v>
      </c>
      <c r="Y200">
        <v>2225</v>
      </c>
      <c r="Z200">
        <v>1703</v>
      </c>
      <c r="AA200">
        <v>1481</v>
      </c>
      <c r="AB200">
        <v>1474</v>
      </c>
      <c r="AC200">
        <v>2400</v>
      </c>
      <c r="AD200">
        <v>2140</v>
      </c>
      <c r="AE200">
        <v>2976</v>
      </c>
      <c r="AF200">
        <v>2852</v>
      </c>
      <c r="AG200">
        <v>2854</v>
      </c>
      <c r="AH200">
        <v>2682</v>
      </c>
      <c r="AI200">
        <v>2400</v>
      </c>
      <c r="AJ200" s="13">
        <v>0</v>
      </c>
    </row>
    <row r="201" spans="1:36" x14ac:dyDescent="0.3">
      <c r="A201" s="60" t="s">
        <v>124</v>
      </c>
      <c r="B201" s="73"/>
      <c r="C201" s="60">
        <v>3151686002</v>
      </c>
      <c r="D201" s="60" t="s">
        <v>447</v>
      </c>
      <c r="E201" s="60" t="s">
        <v>34</v>
      </c>
      <c r="F201" s="60" t="s">
        <v>35</v>
      </c>
      <c r="G201" s="60" t="s">
        <v>233</v>
      </c>
      <c r="H201" s="61">
        <v>44950</v>
      </c>
      <c r="I201" s="60">
        <f t="shared" si="9"/>
        <v>2023</v>
      </c>
      <c r="J201" s="60">
        <f t="shared" si="10"/>
        <v>1</v>
      </c>
      <c r="K201" s="60" t="str">
        <f t="shared" si="11"/>
        <v>2023_1</v>
      </c>
      <c r="L201" s="61" t="s">
        <v>37</v>
      </c>
      <c r="M201">
        <v>2084</v>
      </c>
      <c r="N201">
        <v>1510</v>
      </c>
      <c r="O201">
        <v>1234</v>
      </c>
      <c r="P201">
        <v>870</v>
      </c>
      <c r="Q201">
        <v>1006</v>
      </c>
      <c r="R201">
        <v>810</v>
      </c>
      <c r="S201">
        <v>1670</v>
      </c>
      <c r="T201">
        <v>1784</v>
      </c>
      <c r="U201">
        <v>1578</v>
      </c>
      <c r="V201">
        <v>1098</v>
      </c>
      <c r="W201">
        <v>1260</v>
      </c>
      <c r="X201">
        <v>1458</v>
      </c>
      <c r="Y201">
        <v>1558</v>
      </c>
      <c r="Z201">
        <v>1226</v>
      </c>
      <c r="AA201">
        <v>1112</v>
      </c>
      <c r="AB201">
        <v>1300</v>
      </c>
      <c r="AC201">
        <v>1388</v>
      </c>
      <c r="AD201">
        <v>1422</v>
      </c>
      <c r="AE201">
        <v>2126</v>
      </c>
      <c r="AF201">
        <v>1980</v>
      </c>
      <c r="AG201">
        <v>1924</v>
      </c>
      <c r="AH201">
        <v>1400</v>
      </c>
      <c r="AI201">
        <v>2100</v>
      </c>
      <c r="AJ201" s="13">
        <v>0</v>
      </c>
    </row>
    <row r="202" spans="1:36" x14ac:dyDescent="0.3">
      <c r="A202" s="60" t="s">
        <v>234</v>
      </c>
      <c r="B202" s="73"/>
      <c r="C202" s="60">
        <v>3152019000</v>
      </c>
      <c r="D202" s="60" t="s">
        <v>368</v>
      </c>
      <c r="E202" s="60" t="s">
        <v>39</v>
      </c>
      <c r="F202" s="60" t="s">
        <v>35</v>
      </c>
      <c r="G202" s="60" t="s">
        <v>141</v>
      </c>
      <c r="H202" s="61">
        <v>44950</v>
      </c>
      <c r="I202" s="60">
        <f t="shared" si="9"/>
        <v>2023</v>
      </c>
      <c r="J202" s="60">
        <f t="shared" si="10"/>
        <v>1</v>
      </c>
      <c r="K202" s="60" t="str">
        <f t="shared" si="11"/>
        <v>2023_1</v>
      </c>
      <c r="L202" s="61" t="s">
        <v>37</v>
      </c>
      <c r="M202">
        <v>647</v>
      </c>
      <c r="N202">
        <v>603</v>
      </c>
      <c r="O202">
        <v>543</v>
      </c>
      <c r="P202">
        <v>397</v>
      </c>
      <c r="Q202">
        <v>318</v>
      </c>
      <c r="R202">
        <v>331</v>
      </c>
      <c r="S202">
        <v>318</v>
      </c>
      <c r="T202">
        <v>427</v>
      </c>
      <c r="U202">
        <v>403</v>
      </c>
      <c r="V202">
        <v>372</v>
      </c>
      <c r="W202">
        <v>463</v>
      </c>
      <c r="X202">
        <v>495</v>
      </c>
      <c r="Y202">
        <v>491</v>
      </c>
      <c r="Z202">
        <v>525</v>
      </c>
      <c r="AA202">
        <v>507</v>
      </c>
      <c r="AB202">
        <v>374</v>
      </c>
      <c r="AC202">
        <v>319</v>
      </c>
      <c r="AD202">
        <v>316</v>
      </c>
      <c r="AE202">
        <v>378</v>
      </c>
      <c r="AF202">
        <v>408</v>
      </c>
      <c r="AG202">
        <v>376</v>
      </c>
      <c r="AH202">
        <v>350</v>
      </c>
      <c r="AI202">
        <v>538</v>
      </c>
      <c r="AJ202" s="13">
        <v>0</v>
      </c>
    </row>
    <row r="203" spans="1:36" x14ac:dyDescent="0.3">
      <c r="A203" s="60" t="s">
        <v>235</v>
      </c>
      <c r="B203" s="73"/>
      <c r="C203" s="60">
        <v>3010079003</v>
      </c>
      <c r="D203" s="60" t="s">
        <v>373</v>
      </c>
      <c r="E203" s="60" t="s">
        <v>34</v>
      </c>
      <c r="F203" s="60" t="s">
        <v>35</v>
      </c>
      <c r="G203" s="60" t="s">
        <v>68</v>
      </c>
      <c r="H203" s="61">
        <v>44959</v>
      </c>
      <c r="I203" s="60">
        <f t="shared" si="9"/>
        <v>2023</v>
      </c>
      <c r="J203" s="60">
        <f t="shared" si="10"/>
        <v>2</v>
      </c>
      <c r="K203" s="60" t="str">
        <f t="shared" si="11"/>
        <v>2023_2</v>
      </c>
      <c r="L203" s="61" t="s">
        <v>37</v>
      </c>
      <c r="M203" s="11">
        <v>0</v>
      </c>
      <c r="N203">
        <v>71</v>
      </c>
      <c r="O203">
        <v>111</v>
      </c>
      <c r="P203">
        <v>138</v>
      </c>
      <c r="Q203">
        <v>173</v>
      </c>
      <c r="R203">
        <v>186</v>
      </c>
      <c r="S203">
        <v>260</v>
      </c>
      <c r="T203">
        <v>211</v>
      </c>
      <c r="U203">
        <v>122</v>
      </c>
      <c r="V203">
        <v>115</v>
      </c>
      <c r="W203">
        <v>125</v>
      </c>
      <c r="X203">
        <v>141</v>
      </c>
      <c r="Y203">
        <v>155</v>
      </c>
      <c r="Z203">
        <v>104</v>
      </c>
      <c r="AA203">
        <v>114</v>
      </c>
      <c r="AB203">
        <v>128</v>
      </c>
      <c r="AC203">
        <v>110</v>
      </c>
      <c r="AD203">
        <v>143</v>
      </c>
      <c r="AE203">
        <v>284</v>
      </c>
      <c r="AF203">
        <v>203</v>
      </c>
      <c r="AG203">
        <v>132</v>
      </c>
      <c r="AH203">
        <v>126</v>
      </c>
      <c r="AI203">
        <v>0</v>
      </c>
      <c r="AJ203">
        <v>169</v>
      </c>
    </row>
    <row r="204" spans="1:36" x14ac:dyDescent="0.3">
      <c r="A204" s="60" t="s">
        <v>124</v>
      </c>
      <c r="B204" s="73"/>
      <c r="C204" s="60">
        <v>3150607003</v>
      </c>
      <c r="D204" s="60" t="s">
        <v>364</v>
      </c>
      <c r="E204" s="60" t="s">
        <v>39</v>
      </c>
      <c r="F204" s="60" t="s">
        <v>35</v>
      </c>
      <c r="G204" s="60" t="s">
        <v>227</v>
      </c>
      <c r="H204" s="61">
        <v>44963</v>
      </c>
      <c r="I204" s="60">
        <f t="shared" si="9"/>
        <v>2023</v>
      </c>
      <c r="J204" s="60">
        <f t="shared" si="10"/>
        <v>2</v>
      </c>
      <c r="K204" s="60" t="str">
        <f t="shared" si="11"/>
        <v>2023_2</v>
      </c>
      <c r="L204" s="61" t="s">
        <v>37</v>
      </c>
      <c r="M204" s="11">
        <v>14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  <c r="AG204" s="13">
        <v>0</v>
      </c>
      <c r="AH204" s="13">
        <v>0</v>
      </c>
      <c r="AI204" s="13">
        <v>0</v>
      </c>
      <c r="AJ204" s="13">
        <v>0</v>
      </c>
    </row>
    <row r="205" spans="1:36" x14ac:dyDescent="0.3">
      <c r="A205" s="60" t="s">
        <v>124</v>
      </c>
      <c r="B205" s="73"/>
      <c r="C205" s="60">
        <v>3012419000</v>
      </c>
      <c r="D205" s="60" t="s">
        <v>485</v>
      </c>
      <c r="E205" s="60" t="s">
        <v>39</v>
      </c>
      <c r="F205" s="60" t="s">
        <v>35</v>
      </c>
      <c r="G205" s="60" t="s">
        <v>236</v>
      </c>
      <c r="H205" s="61">
        <v>44965</v>
      </c>
      <c r="I205" s="60">
        <f t="shared" si="9"/>
        <v>2023</v>
      </c>
      <c r="J205" s="60">
        <f t="shared" si="10"/>
        <v>2</v>
      </c>
      <c r="K205" s="60" t="str">
        <f t="shared" si="11"/>
        <v>2023_2</v>
      </c>
      <c r="L205" s="61" t="s">
        <v>37</v>
      </c>
      <c r="M205">
        <v>2099</v>
      </c>
      <c r="N205">
        <v>1876</v>
      </c>
      <c r="O205">
        <v>1955</v>
      </c>
      <c r="P205">
        <v>1694</v>
      </c>
      <c r="Q205">
        <v>874</v>
      </c>
      <c r="R205">
        <v>920</v>
      </c>
      <c r="S205">
        <v>1110</v>
      </c>
      <c r="T205">
        <v>1116</v>
      </c>
      <c r="U205">
        <v>918</v>
      </c>
      <c r="V205">
        <v>762</v>
      </c>
      <c r="W205">
        <v>1890</v>
      </c>
      <c r="X205">
        <v>2910</v>
      </c>
      <c r="Y205">
        <v>3120</v>
      </c>
      <c r="Z205">
        <v>798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</row>
    <row r="206" spans="1:36" x14ac:dyDescent="0.3">
      <c r="A206" s="60" t="s">
        <v>124</v>
      </c>
      <c r="B206" s="73"/>
      <c r="C206" s="60">
        <v>3142095000</v>
      </c>
      <c r="D206" s="60" t="s">
        <v>474</v>
      </c>
      <c r="E206" s="60" t="s">
        <v>34</v>
      </c>
      <c r="F206" s="60" t="s">
        <v>35</v>
      </c>
      <c r="G206" s="60" t="s">
        <v>237</v>
      </c>
      <c r="H206" s="61">
        <v>44965</v>
      </c>
      <c r="I206" s="60">
        <f t="shared" si="9"/>
        <v>2023</v>
      </c>
      <c r="J206" s="60">
        <f t="shared" si="10"/>
        <v>2</v>
      </c>
      <c r="K206" s="60" t="str">
        <f t="shared" si="11"/>
        <v>2023_2</v>
      </c>
      <c r="L206" s="61" t="s">
        <v>37</v>
      </c>
      <c r="M206">
        <v>611</v>
      </c>
      <c r="N206">
        <v>686</v>
      </c>
      <c r="O206">
        <v>634</v>
      </c>
      <c r="P206">
        <v>641</v>
      </c>
      <c r="Q206">
        <v>864</v>
      </c>
      <c r="R206">
        <v>1168</v>
      </c>
      <c r="S206">
        <v>1194</v>
      </c>
      <c r="T206">
        <v>906</v>
      </c>
      <c r="U206">
        <v>559</v>
      </c>
      <c r="V206">
        <v>518</v>
      </c>
      <c r="W206">
        <v>600</v>
      </c>
      <c r="X206">
        <v>777</v>
      </c>
      <c r="Y206">
        <v>708</v>
      </c>
      <c r="Z206">
        <v>713</v>
      </c>
      <c r="AA206">
        <v>670</v>
      </c>
      <c r="AB206">
        <v>709</v>
      </c>
      <c r="AC206">
        <v>997</v>
      </c>
      <c r="AD206">
        <v>1169</v>
      </c>
      <c r="AE206">
        <v>1043</v>
      </c>
      <c r="AF206">
        <v>998</v>
      </c>
      <c r="AG206">
        <v>625</v>
      </c>
      <c r="AH206">
        <v>826</v>
      </c>
      <c r="AI206" s="13">
        <v>0</v>
      </c>
      <c r="AJ206" s="13">
        <v>0</v>
      </c>
    </row>
    <row r="207" spans="1:36" x14ac:dyDescent="0.3">
      <c r="A207" s="60" t="s">
        <v>124</v>
      </c>
      <c r="B207" s="73"/>
      <c r="C207" s="60">
        <v>3142095000</v>
      </c>
      <c r="D207" s="60" t="s">
        <v>486</v>
      </c>
      <c r="E207" s="60" t="s">
        <v>34</v>
      </c>
      <c r="F207" s="60" t="s">
        <v>35</v>
      </c>
      <c r="G207" s="60" t="s">
        <v>238</v>
      </c>
      <c r="H207" s="61">
        <v>44965</v>
      </c>
      <c r="I207" s="60">
        <f t="shared" si="9"/>
        <v>2023</v>
      </c>
      <c r="J207" s="60">
        <f t="shared" si="10"/>
        <v>2</v>
      </c>
      <c r="K207" s="60" t="str">
        <f t="shared" si="11"/>
        <v>2023_2</v>
      </c>
      <c r="L207" s="61" t="s">
        <v>37</v>
      </c>
      <c r="M207">
        <v>611</v>
      </c>
      <c r="N207">
        <v>686</v>
      </c>
      <c r="O207">
        <v>634</v>
      </c>
      <c r="P207">
        <v>641</v>
      </c>
      <c r="Q207">
        <v>864</v>
      </c>
      <c r="R207">
        <v>1168</v>
      </c>
      <c r="S207">
        <v>1194</v>
      </c>
      <c r="T207">
        <v>906</v>
      </c>
      <c r="U207">
        <v>559</v>
      </c>
      <c r="V207">
        <v>518</v>
      </c>
      <c r="W207">
        <v>600</v>
      </c>
      <c r="X207">
        <v>777</v>
      </c>
      <c r="Y207">
        <v>708</v>
      </c>
      <c r="Z207">
        <v>713</v>
      </c>
      <c r="AA207">
        <v>670</v>
      </c>
      <c r="AB207">
        <v>709</v>
      </c>
      <c r="AC207">
        <v>997</v>
      </c>
      <c r="AD207">
        <v>1169</v>
      </c>
      <c r="AE207">
        <v>1043</v>
      </c>
      <c r="AF207">
        <v>998</v>
      </c>
      <c r="AG207">
        <v>625</v>
      </c>
      <c r="AH207">
        <v>826</v>
      </c>
      <c r="AI207" s="13">
        <v>0</v>
      </c>
      <c r="AJ207" s="13">
        <v>0</v>
      </c>
    </row>
    <row r="208" spans="1:36" x14ac:dyDescent="0.3">
      <c r="A208" s="60" t="s">
        <v>117</v>
      </c>
      <c r="B208" s="73"/>
      <c r="C208" s="60">
        <v>3131204000</v>
      </c>
      <c r="D208" s="60" t="s">
        <v>487</v>
      </c>
      <c r="E208" s="60" t="s">
        <v>100</v>
      </c>
      <c r="F208" s="60" t="s">
        <v>35</v>
      </c>
      <c r="G208" s="60" t="s">
        <v>239</v>
      </c>
      <c r="H208" s="61">
        <v>44967</v>
      </c>
      <c r="I208" s="60">
        <f t="shared" si="9"/>
        <v>2023</v>
      </c>
      <c r="J208" s="60">
        <f t="shared" si="10"/>
        <v>2</v>
      </c>
      <c r="K208" s="60" t="str">
        <f t="shared" si="11"/>
        <v>2023_2</v>
      </c>
      <c r="L208" s="61" t="s">
        <v>37</v>
      </c>
      <c r="M208">
        <v>264</v>
      </c>
      <c r="N208">
        <v>253</v>
      </c>
      <c r="O208">
        <v>250</v>
      </c>
      <c r="P208">
        <v>257</v>
      </c>
      <c r="Q208">
        <v>175</v>
      </c>
      <c r="R208">
        <v>202</v>
      </c>
      <c r="S208">
        <v>261</v>
      </c>
      <c r="T208">
        <v>219</v>
      </c>
      <c r="U208">
        <v>308</v>
      </c>
      <c r="V208">
        <v>202</v>
      </c>
      <c r="W208">
        <v>254</v>
      </c>
      <c r="X208">
        <v>352</v>
      </c>
      <c r="Y208">
        <v>321</v>
      </c>
      <c r="Z208">
        <v>293</v>
      </c>
      <c r="AA208">
        <v>279</v>
      </c>
      <c r="AB208">
        <v>240</v>
      </c>
      <c r="AC208">
        <v>204</v>
      </c>
      <c r="AD208">
        <v>446</v>
      </c>
      <c r="AE208">
        <v>378</v>
      </c>
      <c r="AF208">
        <v>281</v>
      </c>
      <c r="AG208">
        <v>269</v>
      </c>
      <c r="AH208">
        <v>242</v>
      </c>
      <c r="AI208" s="13">
        <v>0</v>
      </c>
      <c r="AJ208" s="13">
        <v>0</v>
      </c>
    </row>
    <row r="209" spans="1:36" x14ac:dyDescent="0.3">
      <c r="A209" s="60" t="s">
        <v>124</v>
      </c>
      <c r="B209" s="73"/>
      <c r="C209" s="60">
        <v>3090964008</v>
      </c>
      <c r="D209" s="60" t="s">
        <v>488</v>
      </c>
      <c r="E209" s="60" t="s">
        <v>34</v>
      </c>
      <c r="F209" s="60" t="s">
        <v>35</v>
      </c>
      <c r="G209" s="60" t="s">
        <v>240</v>
      </c>
      <c r="H209" s="61">
        <v>44971</v>
      </c>
      <c r="I209" s="60">
        <f t="shared" si="9"/>
        <v>2023</v>
      </c>
      <c r="J209" s="60">
        <f t="shared" si="10"/>
        <v>2</v>
      </c>
      <c r="K209" s="60" t="str">
        <f t="shared" si="11"/>
        <v>2023_2</v>
      </c>
      <c r="L209" s="61" t="s">
        <v>37</v>
      </c>
      <c r="M209">
        <v>824</v>
      </c>
      <c r="N209">
        <v>808</v>
      </c>
      <c r="O209">
        <v>998</v>
      </c>
      <c r="P209">
        <v>623</v>
      </c>
      <c r="Q209">
        <v>377</v>
      </c>
      <c r="R209">
        <v>601</v>
      </c>
      <c r="S209">
        <v>950</v>
      </c>
      <c r="T209">
        <v>650</v>
      </c>
      <c r="U209">
        <v>362</v>
      </c>
      <c r="V209">
        <v>736</v>
      </c>
      <c r="W209">
        <v>1458</v>
      </c>
      <c r="X209">
        <v>1618</v>
      </c>
      <c r="Y209">
        <v>1595</v>
      </c>
      <c r="Z209">
        <v>0</v>
      </c>
      <c r="AA209">
        <v>495</v>
      </c>
      <c r="AB209">
        <v>359</v>
      </c>
      <c r="AC209">
        <v>331</v>
      </c>
      <c r="AD209">
        <v>313</v>
      </c>
      <c r="AE209">
        <v>563</v>
      </c>
      <c r="AF209">
        <v>624</v>
      </c>
      <c r="AG209">
        <v>714</v>
      </c>
      <c r="AH209">
        <v>393</v>
      </c>
      <c r="AI209">
        <v>475</v>
      </c>
      <c r="AJ209" s="13">
        <v>0</v>
      </c>
    </row>
    <row r="210" spans="1:36" x14ac:dyDescent="0.3">
      <c r="A210" s="60" t="s">
        <v>199</v>
      </c>
      <c r="B210" s="73"/>
      <c r="C210" s="60">
        <v>3010675000</v>
      </c>
      <c r="D210" s="60" t="s">
        <v>489</v>
      </c>
      <c r="E210" s="60" t="s">
        <v>34</v>
      </c>
      <c r="F210" s="60" t="s">
        <v>35</v>
      </c>
      <c r="G210" s="60" t="s">
        <v>86</v>
      </c>
      <c r="H210" s="61">
        <v>44981</v>
      </c>
      <c r="I210" s="60">
        <f t="shared" si="9"/>
        <v>2023</v>
      </c>
      <c r="J210" s="60">
        <f t="shared" si="10"/>
        <v>2</v>
      </c>
      <c r="K210" s="60" t="str">
        <f t="shared" si="11"/>
        <v>2023_2</v>
      </c>
      <c r="L210" s="61" t="s">
        <v>37</v>
      </c>
      <c r="M210">
        <v>290</v>
      </c>
      <c r="N210">
        <v>332</v>
      </c>
      <c r="O210">
        <v>280</v>
      </c>
      <c r="P210">
        <v>236</v>
      </c>
      <c r="Q210">
        <v>239</v>
      </c>
      <c r="R210">
        <v>207</v>
      </c>
      <c r="S210">
        <v>251</v>
      </c>
      <c r="T210">
        <v>213</v>
      </c>
      <c r="U210">
        <v>221</v>
      </c>
      <c r="V210">
        <v>247</v>
      </c>
      <c r="W210">
        <v>326</v>
      </c>
      <c r="X210">
        <v>299</v>
      </c>
      <c r="Y210">
        <v>331</v>
      </c>
      <c r="Z210">
        <v>276</v>
      </c>
      <c r="AA210">
        <v>245</v>
      </c>
      <c r="AB210">
        <v>248</v>
      </c>
      <c r="AC210">
        <v>210</v>
      </c>
      <c r="AD210">
        <v>218</v>
      </c>
      <c r="AE210">
        <v>221</v>
      </c>
      <c r="AF210">
        <v>197</v>
      </c>
      <c r="AG210">
        <v>215</v>
      </c>
      <c r="AH210">
        <v>224</v>
      </c>
      <c r="AI210">
        <v>317</v>
      </c>
      <c r="AJ210" s="13">
        <v>0</v>
      </c>
    </row>
    <row r="211" spans="1:36" x14ac:dyDescent="0.3">
      <c r="A211" s="60" t="s">
        <v>235</v>
      </c>
      <c r="B211" s="73"/>
      <c r="C211" s="60">
        <v>3150810001</v>
      </c>
      <c r="D211" s="60" t="s">
        <v>373</v>
      </c>
      <c r="E211" s="60" t="s">
        <v>34</v>
      </c>
      <c r="F211" s="60" t="s">
        <v>35</v>
      </c>
      <c r="G211" s="60" t="s">
        <v>68</v>
      </c>
      <c r="H211" s="61">
        <v>44981</v>
      </c>
      <c r="I211" s="60">
        <f t="shared" si="9"/>
        <v>2023</v>
      </c>
      <c r="J211" s="60">
        <f t="shared" si="10"/>
        <v>2</v>
      </c>
      <c r="K211" s="60" t="str">
        <f t="shared" si="11"/>
        <v>2023_2</v>
      </c>
      <c r="L211" s="61" t="s">
        <v>37</v>
      </c>
      <c r="M211">
        <v>754</v>
      </c>
      <c r="N211">
        <v>610</v>
      </c>
      <c r="O211">
        <v>626</v>
      </c>
      <c r="P211">
        <v>622</v>
      </c>
      <c r="Q211">
        <v>471</v>
      </c>
      <c r="R211">
        <v>524</v>
      </c>
      <c r="S211">
        <v>561</v>
      </c>
      <c r="T211">
        <v>726</v>
      </c>
      <c r="U211">
        <v>628</v>
      </c>
      <c r="V211">
        <v>752</v>
      </c>
      <c r="W211">
        <v>507</v>
      </c>
      <c r="X211">
        <v>762</v>
      </c>
      <c r="Y211">
        <v>1419</v>
      </c>
      <c r="Z211">
        <v>565</v>
      </c>
      <c r="AA211">
        <v>234</v>
      </c>
      <c r="AB211">
        <v>282</v>
      </c>
      <c r="AC211">
        <v>330</v>
      </c>
      <c r="AD211">
        <v>412</v>
      </c>
      <c r="AE211">
        <v>450</v>
      </c>
      <c r="AF211">
        <v>428</v>
      </c>
      <c r="AG211">
        <v>387</v>
      </c>
      <c r="AH211">
        <v>384</v>
      </c>
      <c r="AI211" s="13">
        <v>0</v>
      </c>
      <c r="AJ211" s="13">
        <v>0</v>
      </c>
    </row>
    <row r="212" spans="1:36" x14ac:dyDescent="0.3">
      <c r="A212" s="60" t="s">
        <v>55</v>
      </c>
      <c r="B212" s="73"/>
      <c r="C212" s="60">
        <v>3021754002</v>
      </c>
      <c r="D212" s="60" t="s">
        <v>477</v>
      </c>
      <c r="E212" s="60" t="s">
        <v>34</v>
      </c>
      <c r="F212" s="60" t="s">
        <v>35</v>
      </c>
      <c r="G212" s="60" t="s">
        <v>241</v>
      </c>
      <c r="H212" s="61">
        <v>44984</v>
      </c>
      <c r="I212" s="60">
        <f t="shared" si="9"/>
        <v>2023</v>
      </c>
      <c r="J212" s="60">
        <f t="shared" si="10"/>
        <v>2</v>
      </c>
      <c r="K212" s="60" t="str">
        <f t="shared" si="11"/>
        <v>2023_2</v>
      </c>
      <c r="L212" s="61" t="s">
        <v>37</v>
      </c>
      <c r="M212">
        <v>1066</v>
      </c>
      <c r="N212">
        <v>788</v>
      </c>
      <c r="O212">
        <v>580</v>
      </c>
      <c r="P212">
        <v>594</v>
      </c>
      <c r="Q212">
        <v>474</v>
      </c>
      <c r="R212">
        <v>1178</v>
      </c>
      <c r="S212">
        <v>1156</v>
      </c>
      <c r="T212">
        <v>886</v>
      </c>
      <c r="U212">
        <v>764</v>
      </c>
      <c r="V212">
        <v>802</v>
      </c>
      <c r="W212">
        <v>848</v>
      </c>
      <c r="X212">
        <v>874</v>
      </c>
      <c r="Y212">
        <v>774</v>
      </c>
      <c r="Z212">
        <v>750</v>
      </c>
      <c r="AA212">
        <v>514</v>
      </c>
      <c r="AB212">
        <v>472</v>
      </c>
      <c r="AC212">
        <v>678</v>
      </c>
      <c r="AD212">
        <v>1112</v>
      </c>
      <c r="AE212">
        <v>844</v>
      </c>
      <c r="AF212">
        <v>918</v>
      </c>
      <c r="AG212">
        <v>804</v>
      </c>
      <c r="AH212">
        <v>818</v>
      </c>
      <c r="AI212" s="13">
        <v>0</v>
      </c>
      <c r="AJ212" s="13">
        <v>0</v>
      </c>
    </row>
    <row r="213" spans="1:36" x14ac:dyDescent="0.3">
      <c r="A213" s="60" t="s">
        <v>124</v>
      </c>
      <c r="B213" s="73"/>
      <c r="C213" s="60">
        <v>3062712005</v>
      </c>
      <c r="D213" s="60" t="s">
        <v>490</v>
      </c>
      <c r="E213" s="60" t="s">
        <v>34</v>
      </c>
      <c r="F213" s="60" t="s">
        <v>35</v>
      </c>
      <c r="G213" s="60" t="s">
        <v>242</v>
      </c>
      <c r="H213" s="61">
        <v>44984</v>
      </c>
      <c r="I213" s="60">
        <f t="shared" si="9"/>
        <v>2023</v>
      </c>
      <c r="J213" s="60">
        <f t="shared" si="10"/>
        <v>2</v>
      </c>
      <c r="K213" s="60" t="str">
        <f t="shared" si="11"/>
        <v>2023_2</v>
      </c>
      <c r="L213" s="61" t="s">
        <v>37</v>
      </c>
      <c r="M213">
        <v>963</v>
      </c>
      <c r="N213">
        <v>1008</v>
      </c>
      <c r="O213">
        <v>801</v>
      </c>
      <c r="P213">
        <v>693</v>
      </c>
      <c r="Q213">
        <v>243</v>
      </c>
      <c r="R213">
        <v>291</v>
      </c>
      <c r="S213">
        <v>353</v>
      </c>
      <c r="T213">
        <v>150</v>
      </c>
      <c r="U213">
        <v>178</v>
      </c>
      <c r="V213">
        <v>150</v>
      </c>
      <c r="W213">
        <v>403</v>
      </c>
      <c r="X213">
        <v>742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  <c r="AG213" s="13">
        <v>0</v>
      </c>
      <c r="AH213" s="13">
        <v>0</v>
      </c>
      <c r="AI213" s="13">
        <v>0</v>
      </c>
      <c r="AJ213" s="13">
        <v>0</v>
      </c>
    </row>
    <row r="214" spans="1:36" x14ac:dyDescent="0.3">
      <c r="A214" s="60" t="s">
        <v>128</v>
      </c>
      <c r="B214" s="73"/>
      <c r="C214" s="60">
        <v>3100125000</v>
      </c>
      <c r="D214" s="60" t="s">
        <v>388</v>
      </c>
      <c r="E214" s="60" t="s">
        <v>39</v>
      </c>
      <c r="F214" s="60" t="s">
        <v>35</v>
      </c>
      <c r="G214" s="60" t="s">
        <v>243</v>
      </c>
      <c r="H214" s="61">
        <v>44984</v>
      </c>
      <c r="I214" s="60">
        <f t="shared" si="9"/>
        <v>2023</v>
      </c>
      <c r="J214" s="60">
        <f t="shared" si="10"/>
        <v>2</v>
      </c>
      <c r="K214" s="60" t="str">
        <f t="shared" si="11"/>
        <v>2023_2</v>
      </c>
      <c r="L214" s="61" t="s">
        <v>37</v>
      </c>
      <c r="M214">
        <v>577</v>
      </c>
      <c r="N214">
        <v>581</v>
      </c>
      <c r="O214">
        <v>430</v>
      </c>
      <c r="P214">
        <v>414</v>
      </c>
      <c r="Q214">
        <v>595</v>
      </c>
      <c r="R214">
        <v>795</v>
      </c>
      <c r="S214">
        <v>975</v>
      </c>
      <c r="T214">
        <v>806</v>
      </c>
      <c r="U214">
        <v>413</v>
      </c>
      <c r="V214">
        <v>413</v>
      </c>
      <c r="W214">
        <v>352</v>
      </c>
      <c r="X214">
        <v>369</v>
      </c>
      <c r="Y214">
        <v>306</v>
      </c>
      <c r="Z214">
        <v>286</v>
      </c>
      <c r="AA214">
        <v>256</v>
      </c>
      <c r="AB214">
        <v>275</v>
      </c>
      <c r="AC214">
        <v>393</v>
      </c>
      <c r="AD214">
        <v>575</v>
      </c>
      <c r="AE214">
        <v>593</v>
      </c>
      <c r="AF214">
        <v>538</v>
      </c>
      <c r="AG214">
        <v>346</v>
      </c>
      <c r="AH214">
        <v>284</v>
      </c>
      <c r="AI214" s="13">
        <v>0</v>
      </c>
      <c r="AJ214" s="13">
        <v>0</v>
      </c>
    </row>
    <row r="215" spans="1:36" x14ac:dyDescent="0.3">
      <c r="A215" s="60" t="s">
        <v>124</v>
      </c>
      <c r="B215" s="73"/>
      <c r="C215" s="60">
        <v>3161302000</v>
      </c>
      <c r="D215" s="60" t="s">
        <v>415</v>
      </c>
      <c r="E215" s="60" t="s">
        <v>39</v>
      </c>
      <c r="F215" s="60" t="s">
        <v>35</v>
      </c>
      <c r="G215" s="60" t="s">
        <v>244</v>
      </c>
      <c r="H215" s="61">
        <v>44988</v>
      </c>
      <c r="I215" s="60">
        <f t="shared" si="9"/>
        <v>2023</v>
      </c>
      <c r="J215" s="60">
        <f t="shared" si="10"/>
        <v>3</v>
      </c>
      <c r="K215" s="60" t="str">
        <f t="shared" si="11"/>
        <v>2023_3</v>
      </c>
      <c r="L215" s="61" t="s">
        <v>37</v>
      </c>
      <c r="M215">
        <v>905</v>
      </c>
      <c r="N215">
        <v>837</v>
      </c>
      <c r="O215">
        <v>802</v>
      </c>
      <c r="P215">
        <v>1142</v>
      </c>
      <c r="Q215">
        <v>1158</v>
      </c>
      <c r="R215">
        <v>868</v>
      </c>
      <c r="S215">
        <v>781</v>
      </c>
      <c r="T215">
        <v>1027</v>
      </c>
      <c r="U215">
        <v>1068</v>
      </c>
      <c r="V215">
        <v>920</v>
      </c>
      <c r="W215">
        <v>862</v>
      </c>
      <c r="X215">
        <v>1031</v>
      </c>
      <c r="Y215">
        <v>967</v>
      </c>
      <c r="Z215">
        <v>814</v>
      </c>
      <c r="AA215">
        <v>787</v>
      </c>
      <c r="AB215">
        <v>903</v>
      </c>
      <c r="AC215">
        <v>1073</v>
      </c>
      <c r="AD215">
        <v>821</v>
      </c>
      <c r="AE215">
        <v>1077</v>
      </c>
      <c r="AF215">
        <v>913</v>
      </c>
      <c r="AG215">
        <v>1060</v>
      </c>
      <c r="AH215" s="13">
        <v>0</v>
      </c>
      <c r="AI215" s="13">
        <v>0</v>
      </c>
      <c r="AJ215" s="13">
        <v>0</v>
      </c>
    </row>
    <row r="216" spans="1:36" x14ac:dyDescent="0.3">
      <c r="A216" s="60" t="s">
        <v>235</v>
      </c>
      <c r="B216" s="73"/>
      <c r="C216" s="60">
        <v>3041470002</v>
      </c>
      <c r="D216" s="60" t="s">
        <v>491</v>
      </c>
      <c r="E216" s="60" t="s">
        <v>34</v>
      </c>
      <c r="F216" s="60" t="s">
        <v>35</v>
      </c>
      <c r="G216" s="60" t="s">
        <v>245</v>
      </c>
      <c r="H216" s="61">
        <v>44998</v>
      </c>
      <c r="I216" s="60">
        <f t="shared" si="9"/>
        <v>2023</v>
      </c>
      <c r="J216" s="60">
        <f t="shared" si="10"/>
        <v>3</v>
      </c>
      <c r="K216" s="60" t="str">
        <f t="shared" si="11"/>
        <v>2023_3</v>
      </c>
      <c r="L216" s="61" t="s">
        <v>37</v>
      </c>
      <c r="M216">
        <v>573</v>
      </c>
      <c r="N216">
        <v>860</v>
      </c>
      <c r="O216">
        <v>686</v>
      </c>
      <c r="P216">
        <v>538</v>
      </c>
      <c r="Q216">
        <v>596</v>
      </c>
      <c r="R216">
        <v>942</v>
      </c>
      <c r="S216">
        <v>479</v>
      </c>
      <c r="T216">
        <v>459</v>
      </c>
      <c r="U216">
        <v>486</v>
      </c>
      <c r="V216">
        <v>627</v>
      </c>
      <c r="W216">
        <v>896</v>
      </c>
      <c r="X216">
        <v>886</v>
      </c>
      <c r="Y216">
        <v>691</v>
      </c>
      <c r="Z216">
        <v>655</v>
      </c>
      <c r="AA216">
        <v>402</v>
      </c>
      <c r="AB216">
        <v>431</v>
      </c>
      <c r="AC216">
        <v>437</v>
      </c>
      <c r="AD216">
        <v>586</v>
      </c>
      <c r="AE216">
        <v>580</v>
      </c>
      <c r="AF216">
        <v>493</v>
      </c>
      <c r="AG216">
        <v>498</v>
      </c>
      <c r="AH216">
        <v>796</v>
      </c>
      <c r="AI216" s="13">
        <v>0</v>
      </c>
      <c r="AJ216" s="13">
        <v>0</v>
      </c>
    </row>
    <row r="217" spans="1:36" x14ac:dyDescent="0.3">
      <c r="A217" s="60" t="s">
        <v>128</v>
      </c>
      <c r="B217" s="73"/>
      <c r="C217" s="60">
        <v>3152323000</v>
      </c>
      <c r="D217" s="60" t="s">
        <v>401</v>
      </c>
      <c r="E217" s="60" t="s">
        <v>39</v>
      </c>
      <c r="F217" s="60" t="s">
        <v>35</v>
      </c>
      <c r="G217" s="60" t="s">
        <v>104</v>
      </c>
      <c r="H217" s="61">
        <v>44998</v>
      </c>
      <c r="I217" s="60">
        <f t="shared" si="9"/>
        <v>2023</v>
      </c>
      <c r="J217" s="60">
        <f t="shared" si="10"/>
        <v>3</v>
      </c>
      <c r="K217" s="60" t="str">
        <f t="shared" si="11"/>
        <v>2023_3</v>
      </c>
      <c r="L217" s="61" t="s">
        <v>37</v>
      </c>
      <c r="M217">
        <v>1129</v>
      </c>
      <c r="N217">
        <v>940</v>
      </c>
      <c r="O217">
        <v>1005</v>
      </c>
      <c r="P217">
        <v>1115</v>
      </c>
      <c r="Q217">
        <v>1615</v>
      </c>
      <c r="R217">
        <v>1859</v>
      </c>
      <c r="S217">
        <v>1410</v>
      </c>
      <c r="T217">
        <v>940</v>
      </c>
      <c r="U217">
        <v>1174</v>
      </c>
      <c r="V217">
        <v>1105</v>
      </c>
      <c r="W217">
        <v>1031</v>
      </c>
      <c r="X217">
        <v>1005</v>
      </c>
      <c r="Y217">
        <v>987</v>
      </c>
      <c r="Z217">
        <v>823</v>
      </c>
      <c r="AA217">
        <v>882</v>
      </c>
      <c r="AB217">
        <v>1223</v>
      </c>
      <c r="AC217">
        <v>1763</v>
      </c>
      <c r="AD217">
        <v>1315</v>
      </c>
      <c r="AE217">
        <v>1308</v>
      </c>
      <c r="AF217">
        <v>816</v>
      </c>
      <c r="AG217">
        <v>1270</v>
      </c>
      <c r="AH217" s="13">
        <v>0</v>
      </c>
      <c r="AI217" s="13">
        <v>0</v>
      </c>
      <c r="AJ217" s="13">
        <v>0</v>
      </c>
    </row>
    <row r="218" spans="1:36" x14ac:dyDescent="0.3">
      <c r="A218" s="60" t="s">
        <v>124</v>
      </c>
      <c r="B218" s="73"/>
      <c r="C218" s="60">
        <v>3080538000</v>
      </c>
      <c r="D218" s="60" t="s">
        <v>492</v>
      </c>
      <c r="E218" s="60" t="s">
        <v>34</v>
      </c>
      <c r="F218" s="60" t="s">
        <v>35</v>
      </c>
      <c r="G218" s="60" t="s">
        <v>246</v>
      </c>
      <c r="H218" s="61">
        <v>45005</v>
      </c>
      <c r="I218" s="60">
        <f t="shared" si="9"/>
        <v>2023</v>
      </c>
      <c r="J218" s="60">
        <f t="shared" si="10"/>
        <v>3</v>
      </c>
      <c r="K218" s="60" t="str">
        <f t="shared" si="11"/>
        <v>2023_3</v>
      </c>
      <c r="L218" s="61" t="s">
        <v>37</v>
      </c>
      <c r="M218">
        <v>339</v>
      </c>
      <c r="N218">
        <v>318</v>
      </c>
      <c r="O218">
        <v>367</v>
      </c>
      <c r="P218">
        <v>482</v>
      </c>
      <c r="Q218">
        <v>614</v>
      </c>
      <c r="R218">
        <v>864</v>
      </c>
      <c r="S218">
        <v>451</v>
      </c>
      <c r="T218">
        <v>377</v>
      </c>
      <c r="U218">
        <v>382</v>
      </c>
      <c r="V218">
        <v>540</v>
      </c>
      <c r="W218">
        <v>550</v>
      </c>
      <c r="X218">
        <v>365</v>
      </c>
      <c r="Y218">
        <v>383</v>
      </c>
      <c r="Z218">
        <v>334</v>
      </c>
      <c r="AA218">
        <v>354</v>
      </c>
      <c r="AB218">
        <v>369</v>
      </c>
      <c r="AC218">
        <v>578</v>
      </c>
      <c r="AD218">
        <v>683</v>
      </c>
      <c r="AE218">
        <v>723</v>
      </c>
      <c r="AF218">
        <v>516</v>
      </c>
      <c r="AG218">
        <v>318</v>
      </c>
      <c r="AH218">
        <v>333</v>
      </c>
      <c r="AI218" s="13">
        <v>0</v>
      </c>
      <c r="AJ218" s="13">
        <v>0</v>
      </c>
    </row>
    <row r="219" spans="1:36" x14ac:dyDescent="0.3">
      <c r="A219" s="60" t="s">
        <v>199</v>
      </c>
      <c r="B219" s="73"/>
      <c r="C219" s="60">
        <v>3121022000</v>
      </c>
      <c r="D219" s="60" t="s">
        <v>364</v>
      </c>
      <c r="E219" s="60" t="s">
        <v>39</v>
      </c>
      <c r="F219" s="60" t="s">
        <v>35</v>
      </c>
      <c r="G219" s="60" t="s">
        <v>151</v>
      </c>
      <c r="H219" s="61">
        <v>45007</v>
      </c>
      <c r="I219" s="60">
        <f t="shared" si="9"/>
        <v>2023</v>
      </c>
      <c r="J219" s="60">
        <f t="shared" si="10"/>
        <v>3</v>
      </c>
      <c r="K219" s="60" t="str">
        <f t="shared" si="11"/>
        <v>2023_3</v>
      </c>
      <c r="L219" s="61" t="s">
        <v>37</v>
      </c>
      <c r="M219">
        <v>1119</v>
      </c>
      <c r="N219">
        <v>558</v>
      </c>
      <c r="O219">
        <v>528</v>
      </c>
      <c r="P219">
        <v>646</v>
      </c>
      <c r="Q219">
        <v>991</v>
      </c>
      <c r="R219">
        <v>2060</v>
      </c>
      <c r="S219">
        <v>1378</v>
      </c>
      <c r="T219">
        <v>782</v>
      </c>
      <c r="U219">
        <v>982</v>
      </c>
      <c r="V219">
        <v>1044</v>
      </c>
      <c r="W219">
        <v>2136</v>
      </c>
      <c r="X219">
        <v>0</v>
      </c>
      <c r="Y219">
        <v>1976</v>
      </c>
      <c r="Z219">
        <v>1708</v>
      </c>
      <c r="AA219">
        <v>966</v>
      </c>
      <c r="AB219">
        <v>754</v>
      </c>
      <c r="AC219">
        <v>788</v>
      </c>
      <c r="AD219">
        <v>1902</v>
      </c>
      <c r="AE219">
        <v>1730</v>
      </c>
      <c r="AF219">
        <v>1408</v>
      </c>
      <c r="AG219">
        <v>1158</v>
      </c>
      <c r="AH219">
        <v>1102</v>
      </c>
      <c r="AI219" s="13">
        <v>0</v>
      </c>
      <c r="AJ219" s="13">
        <v>0</v>
      </c>
    </row>
    <row r="220" spans="1:36" x14ac:dyDescent="0.3">
      <c r="A220" s="60" t="s">
        <v>33</v>
      </c>
      <c r="B220" s="73"/>
      <c r="C220" s="60">
        <v>3090922003</v>
      </c>
      <c r="D220" s="60" t="s">
        <v>370</v>
      </c>
      <c r="E220" s="60" t="s">
        <v>34</v>
      </c>
      <c r="F220" s="60" t="s">
        <v>35</v>
      </c>
      <c r="G220" s="60" t="s">
        <v>247</v>
      </c>
      <c r="H220" s="61">
        <v>45009</v>
      </c>
      <c r="I220" s="60">
        <f t="shared" si="9"/>
        <v>2023</v>
      </c>
      <c r="J220" s="60">
        <f t="shared" si="10"/>
        <v>3</v>
      </c>
      <c r="K220" s="60" t="str">
        <f t="shared" si="11"/>
        <v>2023_3</v>
      </c>
      <c r="L220" s="61" t="s">
        <v>37</v>
      </c>
      <c r="M220">
        <v>799</v>
      </c>
      <c r="N220">
        <v>751</v>
      </c>
      <c r="O220">
        <v>678</v>
      </c>
      <c r="P220">
        <v>0</v>
      </c>
      <c r="Q220">
        <v>477</v>
      </c>
      <c r="R220">
        <v>418</v>
      </c>
      <c r="S220">
        <v>543</v>
      </c>
      <c r="T220">
        <v>574</v>
      </c>
      <c r="U220">
        <v>329</v>
      </c>
      <c r="V220">
        <v>361</v>
      </c>
      <c r="W220">
        <v>431</v>
      </c>
      <c r="X220">
        <v>569</v>
      </c>
      <c r="Y220">
        <v>463</v>
      </c>
      <c r="Z220">
        <v>483</v>
      </c>
      <c r="AA220">
        <v>437</v>
      </c>
      <c r="AB220">
        <v>356</v>
      </c>
      <c r="AC220">
        <v>372</v>
      </c>
      <c r="AD220">
        <v>565</v>
      </c>
      <c r="AE220">
        <v>520</v>
      </c>
      <c r="AF220">
        <v>571</v>
      </c>
      <c r="AG220">
        <v>390</v>
      </c>
      <c r="AH220">
        <v>392</v>
      </c>
      <c r="AI220" s="13">
        <v>0</v>
      </c>
      <c r="AJ220" s="13">
        <v>0</v>
      </c>
    </row>
    <row r="221" spans="1:36" x14ac:dyDescent="0.3">
      <c r="A221" s="60" t="s">
        <v>124</v>
      </c>
      <c r="B221" s="73"/>
      <c r="C221" s="60">
        <v>3160902000</v>
      </c>
      <c r="D221" s="60" t="s">
        <v>493</v>
      </c>
      <c r="E221" s="60" t="s">
        <v>43</v>
      </c>
      <c r="F221" s="60" t="s">
        <v>35</v>
      </c>
      <c r="G221" s="60" t="s">
        <v>248</v>
      </c>
      <c r="H221" s="61">
        <v>45012</v>
      </c>
      <c r="I221" s="60">
        <f t="shared" si="9"/>
        <v>2023</v>
      </c>
      <c r="J221" s="60">
        <f t="shared" si="10"/>
        <v>3</v>
      </c>
      <c r="K221" s="60" t="str">
        <f t="shared" si="11"/>
        <v>2023_3</v>
      </c>
      <c r="L221" s="61" t="s">
        <v>37</v>
      </c>
      <c r="M221">
        <v>550</v>
      </c>
      <c r="N221">
        <v>446</v>
      </c>
      <c r="O221">
        <v>434</v>
      </c>
      <c r="P221">
        <v>550</v>
      </c>
      <c r="Q221">
        <v>522</v>
      </c>
      <c r="R221">
        <v>479</v>
      </c>
      <c r="S221">
        <v>479</v>
      </c>
      <c r="T221">
        <v>466</v>
      </c>
      <c r="U221">
        <v>519</v>
      </c>
      <c r="V221">
        <v>546</v>
      </c>
      <c r="W221">
        <v>488</v>
      </c>
      <c r="X221">
        <v>584</v>
      </c>
      <c r="Y221">
        <v>479</v>
      </c>
      <c r="Z221">
        <v>422</v>
      </c>
      <c r="AA221">
        <v>413</v>
      </c>
      <c r="AB221">
        <v>386</v>
      </c>
      <c r="AC221">
        <v>426</v>
      </c>
      <c r="AD221">
        <v>442</v>
      </c>
      <c r="AE221">
        <v>418</v>
      </c>
      <c r="AF221">
        <v>400</v>
      </c>
      <c r="AG221">
        <v>507</v>
      </c>
      <c r="AH221" s="13">
        <v>0</v>
      </c>
      <c r="AI221" s="13">
        <v>0</v>
      </c>
      <c r="AJ221" s="13">
        <v>0</v>
      </c>
    </row>
    <row r="222" spans="1:36" x14ac:dyDescent="0.3">
      <c r="A222" s="60" t="s">
        <v>55</v>
      </c>
      <c r="B222" s="73"/>
      <c r="C222" s="60">
        <v>3012519001</v>
      </c>
      <c r="D222" s="60" t="s">
        <v>488</v>
      </c>
      <c r="E222" s="60" t="s">
        <v>34</v>
      </c>
      <c r="F222" s="60" t="s">
        <v>35</v>
      </c>
      <c r="G222" s="60" t="s">
        <v>240</v>
      </c>
      <c r="H222" s="61">
        <v>45014</v>
      </c>
      <c r="I222" s="60">
        <f t="shared" si="9"/>
        <v>2023</v>
      </c>
      <c r="J222" s="60">
        <f t="shared" si="10"/>
        <v>3</v>
      </c>
      <c r="K222" s="60" t="str">
        <f t="shared" si="11"/>
        <v>2023_3</v>
      </c>
      <c r="L222" s="61" t="s">
        <v>37</v>
      </c>
      <c r="M222">
        <v>234</v>
      </c>
      <c r="N222">
        <v>362</v>
      </c>
      <c r="O222">
        <v>364</v>
      </c>
      <c r="P222">
        <v>346</v>
      </c>
      <c r="Q222">
        <v>668</v>
      </c>
      <c r="R222">
        <v>443</v>
      </c>
      <c r="S222">
        <v>362</v>
      </c>
      <c r="T222">
        <v>335</v>
      </c>
      <c r="U222">
        <v>421</v>
      </c>
      <c r="V222">
        <v>435</v>
      </c>
      <c r="W222">
        <v>422</v>
      </c>
      <c r="X222">
        <v>381</v>
      </c>
      <c r="Y222">
        <v>352</v>
      </c>
      <c r="Z222">
        <v>401</v>
      </c>
      <c r="AA222">
        <v>403</v>
      </c>
      <c r="AB222">
        <v>497</v>
      </c>
      <c r="AC222">
        <v>562</v>
      </c>
      <c r="AD222">
        <v>481</v>
      </c>
      <c r="AE222">
        <v>430</v>
      </c>
      <c r="AF222">
        <v>363</v>
      </c>
      <c r="AG222">
        <v>482</v>
      </c>
      <c r="AH222" s="13">
        <v>0</v>
      </c>
      <c r="AI222" s="13">
        <v>0</v>
      </c>
      <c r="AJ222" s="13">
        <v>0</v>
      </c>
    </row>
    <row r="223" spans="1:36" x14ac:dyDescent="0.3">
      <c r="A223" s="60" t="s">
        <v>33</v>
      </c>
      <c r="B223" s="73"/>
      <c r="C223" s="60">
        <v>3132564000</v>
      </c>
      <c r="D223" s="60" t="s">
        <v>494</v>
      </c>
      <c r="E223" s="60" t="s">
        <v>39</v>
      </c>
      <c r="F223" s="60" t="s">
        <v>35</v>
      </c>
      <c r="G223" s="60" t="s">
        <v>249</v>
      </c>
      <c r="H223" s="61">
        <v>45025</v>
      </c>
      <c r="I223" s="60">
        <f t="shared" si="9"/>
        <v>2023</v>
      </c>
      <c r="J223" s="60">
        <f t="shared" si="10"/>
        <v>4</v>
      </c>
      <c r="K223" s="60" t="str">
        <f t="shared" si="11"/>
        <v>2023_4</v>
      </c>
      <c r="L223" s="61" t="s">
        <v>37</v>
      </c>
      <c r="M223">
        <v>1034</v>
      </c>
      <c r="N223">
        <v>1055</v>
      </c>
      <c r="O223">
        <v>1165</v>
      </c>
      <c r="P223">
        <v>1274</v>
      </c>
      <c r="Q223">
        <v>1119</v>
      </c>
      <c r="R223">
        <v>1050</v>
      </c>
      <c r="S223">
        <v>1118</v>
      </c>
      <c r="T223">
        <v>743</v>
      </c>
      <c r="U223">
        <v>1028</v>
      </c>
      <c r="V223">
        <v>1220</v>
      </c>
      <c r="W223">
        <v>1126</v>
      </c>
      <c r="X223">
        <v>1058</v>
      </c>
      <c r="Y223">
        <v>1033</v>
      </c>
      <c r="Z223">
        <v>905</v>
      </c>
      <c r="AA223">
        <v>871</v>
      </c>
      <c r="AB223">
        <v>1308</v>
      </c>
      <c r="AC223">
        <v>1050</v>
      </c>
      <c r="AD223">
        <v>972</v>
      </c>
      <c r="AE223">
        <v>922</v>
      </c>
      <c r="AF223">
        <v>900</v>
      </c>
      <c r="AG223" s="13">
        <v>0</v>
      </c>
      <c r="AH223" s="13">
        <v>0</v>
      </c>
      <c r="AI223" s="13">
        <v>0</v>
      </c>
      <c r="AJ223" s="13">
        <v>0</v>
      </c>
    </row>
    <row r="224" spans="1:36" x14ac:dyDescent="0.3">
      <c r="A224" s="60" t="s">
        <v>33</v>
      </c>
      <c r="B224" s="73"/>
      <c r="C224" s="60">
        <v>3152397001</v>
      </c>
      <c r="D224" s="60" t="s">
        <v>370</v>
      </c>
      <c r="E224" s="60" t="s">
        <v>34</v>
      </c>
      <c r="F224" s="60" t="s">
        <v>35</v>
      </c>
      <c r="G224" s="60" t="s">
        <v>247</v>
      </c>
      <c r="H224" s="61">
        <v>45026</v>
      </c>
      <c r="I224" s="60">
        <f t="shared" si="9"/>
        <v>2023</v>
      </c>
      <c r="J224" s="60">
        <f t="shared" si="10"/>
        <v>4</v>
      </c>
      <c r="K224" s="60" t="str">
        <f t="shared" si="11"/>
        <v>2023_4</v>
      </c>
      <c r="L224" s="61" t="s">
        <v>37</v>
      </c>
      <c r="M224">
        <v>651</v>
      </c>
      <c r="N224">
        <v>712</v>
      </c>
      <c r="O224">
        <v>969</v>
      </c>
      <c r="P224">
        <v>1351</v>
      </c>
      <c r="Q224">
        <v>1381</v>
      </c>
      <c r="R224">
        <v>1062</v>
      </c>
      <c r="S224">
        <v>674</v>
      </c>
      <c r="T224">
        <v>697</v>
      </c>
      <c r="U224">
        <v>686</v>
      </c>
      <c r="V224">
        <v>794</v>
      </c>
      <c r="W224">
        <v>666</v>
      </c>
      <c r="X224">
        <v>727</v>
      </c>
      <c r="Y224">
        <v>603</v>
      </c>
      <c r="Z224">
        <v>669</v>
      </c>
      <c r="AA224">
        <v>1002</v>
      </c>
      <c r="AB224">
        <v>1132</v>
      </c>
      <c r="AC224">
        <v>999</v>
      </c>
      <c r="AD224">
        <v>1012</v>
      </c>
      <c r="AE224">
        <v>686</v>
      </c>
      <c r="AF224">
        <v>755</v>
      </c>
      <c r="AG224" s="13">
        <v>0</v>
      </c>
      <c r="AH224" s="13">
        <v>0</v>
      </c>
      <c r="AI224" s="13">
        <v>0</v>
      </c>
      <c r="AJ224" s="13">
        <v>0</v>
      </c>
    </row>
    <row r="225" spans="1:36" x14ac:dyDescent="0.3">
      <c r="A225" s="69" t="s">
        <v>250</v>
      </c>
      <c r="B225" s="77"/>
      <c r="C225" s="60">
        <v>3062130000</v>
      </c>
      <c r="D225" s="69" t="s">
        <v>385</v>
      </c>
      <c r="E225" s="69" t="s">
        <v>43</v>
      </c>
      <c r="F225" s="69" t="s">
        <v>35</v>
      </c>
      <c r="G225" s="69" t="s">
        <v>83</v>
      </c>
      <c r="H225" s="61">
        <v>45041</v>
      </c>
      <c r="I225" s="60">
        <f t="shared" si="9"/>
        <v>2023</v>
      </c>
      <c r="J225" s="60">
        <f t="shared" si="10"/>
        <v>4</v>
      </c>
      <c r="K225" s="60" t="str">
        <f t="shared" si="11"/>
        <v>2023_4</v>
      </c>
      <c r="L225" s="61" t="s">
        <v>37</v>
      </c>
      <c r="M225" s="35">
        <v>114</v>
      </c>
      <c r="N225" s="13">
        <v>145</v>
      </c>
      <c r="O225" s="13">
        <v>161</v>
      </c>
      <c r="P225" s="13">
        <v>22</v>
      </c>
      <c r="Q225" s="13">
        <v>9</v>
      </c>
      <c r="R225" s="13">
        <v>10</v>
      </c>
      <c r="S225" s="13">
        <v>4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13">
        <v>0</v>
      </c>
      <c r="AI225" s="13">
        <v>0</v>
      </c>
      <c r="AJ225" s="13">
        <v>0</v>
      </c>
    </row>
    <row r="226" spans="1:36" x14ac:dyDescent="0.3">
      <c r="A226" s="70" t="s">
        <v>124</v>
      </c>
      <c r="B226" s="78"/>
      <c r="C226" s="60">
        <v>3151125000</v>
      </c>
      <c r="D226" s="70" t="s">
        <v>399</v>
      </c>
      <c r="E226" s="70" t="s">
        <v>100</v>
      </c>
      <c r="F226" s="70" t="s">
        <v>35</v>
      </c>
      <c r="G226" s="70" t="s">
        <v>251</v>
      </c>
      <c r="H226" s="61">
        <v>45041</v>
      </c>
      <c r="I226" s="60">
        <f t="shared" si="9"/>
        <v>2023</v>
      </c>
      <c r="J226" s="60">
        <f t="shared" si="10"/>
        <v>4</v>
      </c>
      <c r="K226" s="60" t="str">
        <f t="shared" si="11"/>
        <v>2023_4</v>
      </c>
      <c r="L226" s="61" t="s">
        <v>37</v>
      </c>
      <c r="M226">
        <v>421</v>
      </c>
      <c r="N226">
        <v>498</v>
      </c>
      <c r="O226">
        <v>579</v>
      </c>
      <c r="P226">
        <v>652</v>
      </c>
      <c r="Q226">
        <v>528</v>
      </c>
      <c r="R226">
        <v>496</v>
      </c>
      <c r="S226">
        <v>440</v>
      </c>
      <c r="T226">
        <v>525</v>
      </c>
      <c r="U226">
        <v>488</v>
      </c>
      <c r="V226">
        <v>427</v>
      </c>
      <c r="W226">
        <v>476</v>
      </c>
      <c r="X226">
        <v>430</v>
      </c>
      <c r="Y226">
        <v>394</v>
      </c>
      <c r="Z226">
        <v>390</v>
      </c>
      <c r="AA226">
        <v>483</v>
      </c>
      <c r="AB226">
        <v>645</v>
      </c>
      <c r="AC226">
        <v>508</v>
      </c>
      <c r="AD226">
        <v>438</v>
      </c>
      <c r="AE226">
        <v>349</v>
      </c>
      <c r="AF226">
        <v>392</v>
      </c>
      <c r="AG226" s="13">
        <v>0</v>
      </c>
      <c r="AH226" s="13">
        <v>0</v>
      </c>
      <c r="AI226" s="13">
        <v>0</v>
      </c>
      <c r="AJ226" s="13">
        <v>0</v>
      </c>
    </row>
    <row r="227" spans="1:36" x14ac:dyDescent="0.3">
      <c r="A227" s="60" t="s">
        <v>128</v>
      </c>
      <c r="B227" s="73"/>
      <c r="C227" s="60">
        <v>3120757000</v>
      </c>
      <c r="D227" s="60" t="s">
        <v>495</v>
      </c>
      <c r="E227" s="60" t="s">
        <v>34</v>
      </c>
      <c r="F227" s="60" t="s">
        <v>35</v>
      </c>
      <c r="G227" s="60" t="s">
        <v>252</v>
      </c>
      <c r="H227" s="61">
        <v>45048</v>
      </c>
      <c r="I227" s="60">
        <f t="shared" si="9"/>
        <v>2023</v>
      </c>
      <c r="J227" s="60">
        <f t="shared" si="10"/>
        <v>5</v>
      </c>
      <c r="K227" s="60" t="str">
        <f t="shared" si="11"/>
        <v>2023_5</v>
      </c>
      <c r="L227" s="61" t="s">
        <v>37</v>
      </c>
      <c r="M227">
        <v>234</v>
      </c>
      <c r="N227">
        <v>213</v>
      </c>
      <c r="O227">
        <v>365</v>
      </c>
      <c r="P227">
        <v>527</v>
      </c>
      <c r="Q227">
        <v>290</v>
      </c>
      <c r="R227">
        <v>194</v>
      </c>
      <c r="S227">
        <v>221</v>
      </c>
      <c r="T227">
        <v>210</v>
      </c>
      <c r="U227">
        <v>230</v>
      </c>
      <c r="V227">
        <v>235</v>
      </c>
      <c r="W227">
        <v>206</v>
      </c>
      <c r="X227">
        <v>204</v>
      </c>
      <c r="Y227">
        <v>222</v>
      </c>
      <c r="Z227">
        <v>236</v>
      </c>
      <c r="AA227">
        <v>445</v>
      </c>
      <c r="AB227">
        <v>308</v>
      </c>
      <c r="AC227">
        <v>265</v>
      </c>
      <c r="AD227">
        <v>240</v>
      </c>
      <c r="AE227">
        <v>207</v>
      </c>
      <c r="AG227" s="13">
        <v>0</v>
      </c>
      <c r="AH227" s="13">
        <v>0</v>
      </c>
      <c r="AI227" s="13">
        <v>0</v>
      </c>
      <c r="AJ227" s="13">
        <v>0</v>
      </c>
    </row>
    <row r="228" spans="1:36" x14ac:dyDescent="0.3">
      <c r="A228" s="71" t="s">
        <v>33</v>
      </c>
      <c r="B228" s="79"/>
      <c r="C228" s="60">
        <v>3131020003</v>
      </c>
      <c r="D228" s="71" t="s">
        <v>496</v>
      </c>
      <c r="E228" s="71" t="s">
        <v>39</v>
      </c>
      <c r="F228" s="71" t="s">
        <v>35</v>
      </c>
      <c r="G228" s="71" t="s">
        <v>253</v>
      </c>
      <c r="H228" s="61">
        <v>45049</v>
      </c>
      <c r="I228" s="60">
        <f t="shared" si="9"/>
        <v>2023</v>
      </c>
      <c r="J228" s="60">
        <f t="shared" si="10"/>
        <v>5</v>
      </c>
      <c r="K228" s="60" t="str">
        <f t="shared" si="11"/>
        <v>2023_5</v>
      </c>
      <c r="L228" s="61" t="s">
        <v>37</v>
      </c>
      <c r="M228">
        <v>484</v>
      </c>
      <c r="N228">
        <v>456</v>
      </c>
      <c r="O228">
        <v>578</v>
      </c>
      <c r="P228">
        <v>548</v>
      </c>
      <c r="Q228">
        <v>464</v>
      </c>
      <c r="R228">
        <v>517</v>
      </c>
      <c r="S228">
        <v>472</v>
      </c>
      <c r="T228">
        <v>471</v>
      </c>
      <c r="U228">
        <v>506</v>
      </c>
      <c r="V228">
        <v>444</v>
      </c>
      <c r="W228">
        <v>441</v>
      </c>
      <c r="X228">
        <v>492</v>
      </c>
      <c r="Y228">
        <v>544</v>
      </c>
      <c r="Z228">
        <v>466</v>
      </c>
      <c r="AA228">
        <v>914</v>
      </c>
      <c r="AB228">
        <v>611</v>
      </c>
      <c r="AC228">
        <v>481</v>
      </c>
      <c r="AD228">
        <v>590</v>
      </c>
      <c r="AE228">
        <v>720</v>
      </c>
      <c r="AG228" s="13">
        <v>0</v>
      </c>
      <c r="AH228" s="13">
        <v>0</v>
      </c>
      <c r="AI228" s="13">
        <v>0</v>
      </c>
      <c r="AJ228" s="13">
        <v>0</v>
      </c>
    </row>
    <row r="229" spans="1:36" x14ac:dyDescent="0.3">
      <c r="A229" s="60" t="s">
        <v>33</v>
      </c>
      <c r="B229" s="73"/>
      <c r="C229" s="60">
        <v>3060750001</v>
      </c>
      <c r="D229" s="60" t="s">
        <v>497</v>
      </c>
      <c r="E229" s="60" t="s">
        <v>34</v>
      </c>
      <c r="F229" s="60" t="s">
        <v>35</v>
      </c>
      <c r="G229" s="60" t="s">
        <v>254</v>
      </c>
      <c r="H229" s="61">
        <v>45050</v>
      </c>
      <c r="I229" s="60">
        <f t="shared" si="9"/>
        <v>2023</v>
      </c>
      <c r="J229" s="60">
        <f t="shared" si="10"/>
        <v>5</v>
      </c>
      <c r="K229" s="60" t="str">
        <f t="shared" si="11"/>
        <v>2023_5</v>
      </c>
      <c r="L229" s="61" t="s">
        <v>37</v>
      </c>
      <c r="M229">
        <v>367</v>
      </c>
      <c r="N229">
        <v>380</v>
      </c>
      <c r="O229">
        <v>428</v>
      </c>
      <c r="P229">
        <v>738</v>
      </c>
      <c r="Q229">
        <v>538</v>
      </c>
      <c r="R229">
        <v>366</v>
      </c>
      <c r="S229">
        <v>345</v>
      </c>
      <c r="T229">
        <v>451</v>
      </c>
      <c r="U229">
        <v>484</v>
      </c>
      <c r="V229">
        <v>442</v>
      </c>
      <c r="W229">
        <v>408</v>
      </c>
      <c r="X229">
        <v>374</v>
      </c>
      <c r="Y229">
        <v>394</v>
      </c>
      <c r="Z229">
        <v>334</v>
      </c>
      <c r="AA229">
        <v>621</v>
      </c>
      <c r="AB229">
        <v>610</v>
      </c>
      <c r="AC229">
        <v>534</v>
      </c>
      <c r="AD229">
        <v>485</v>
      </c>
      <c r="AE229">
        <v>427</v>
      </c>
      <c r="AF229">
        <v>451</v>
      </c>
      <c r="AG229" s="13">
        <v>0</v>
      </c>
      <c r="AH229" s="13">
        <v>0</v>
      </c>
      <c r="AI229" s="13">
        <v>0</v>
      </c>
      <c r="AJ229" s="13">
        <v>0</v>
      </c>
    </row>
    <row r="230" spans="1:36" x14ac:dyDescent="0.3">
      <c r="A230" s="60" t="s">
        <v>124</v>
      </c>
      <c r="B230" s="73"/>
      <c r="C230" s="60">
        <v>3041035000</v>
      </c>
      <c r="D230" s="60" t="s">
        <v>498</v>
      </c>
      <c r="E230" s="60" t="s">
        <v>43</v>
      </c>
      <c r="F230" s="60" t="s">
        <v>35</v>
      </c>
      <c r="G230" s="60" t="s">
        <v>255</v>
      </c>
      <c r="H230" s="61">
        <v>45057</v>
      </c>
      <c r="I230" s="60">
        <f t="shared" si="9"/>
        <v>2023</v>
      </c>
      <c r="J230" s="60">
        <f t="shared" si="10"/>
        <v>5</v>
      </c>
      <c r="K230" s="60" t="str">
        <f t="shared" si="11"/>
        <v>2023_5</v>
      </c>
      <c r="L230" s="61" t="s">
        <v>37</v>
      </c>
      <c r="M230">
        <v>600</v>
      </c>
      <c r="N230">
        <v>667</v>
      </c>
      <c r="O230">
        <v>1061</v>
      </c>
      <c r="P230">
        <v>1289</v>
      </c>
      <c r="Q230">
        <v>1001</v>
      </c>
      <c r="R230">
        <v>769</v>
      </c>
      <c r="S230">
        <v>1103</v>
      </c>
      <c r="T230">
        <v>959</v>
      </c>
      <c r="U230">
        <v>1081</v>
      </c>
      <c r="V230">
        <v>701</v>
      </c>
      <c r="W230">
        <v>798</v>
      </c>
      <c r="X230">
        <v>633</v>
      </c>
      <c r="Y230">
        <v>716</v>
      </c>
      <c r="Z230">
        <v>539</v>
      </c>
      <c r="AA230">
        <v>846</v>
      </c>
      <c r="AB230">
        <v>688</v>
      </c>
      <c r="AC230">
        <v>927</v>
      </c>
      <c r="AD230">
        <v>541</v>
      </c>
      <c r="AE230">
        <v>214</v>
      </c>
      <c r="AF230">
        <v>174</v>
      </c>
      <c r="AG230" s="13">
        <v>0</v>
      </c>
      <c r="AH230" s="13">
        <v>0</v>
      </c>
      <c r="AI230" s="13">
        <v>0</v>
      </c>
      <c r="AJ230" s="13">
        <v>0</v>
      </c>
    </row>
    <row r="231" spans="1:36" x14ac:dyDescent="0.3">
      <c r="A231" s="60" t="s">
        <v>33</v>
      </c>
      <c r="B231" s="73"/>
      <c r="C231" s="60">
        <v>3041488000</v>
      </c>
      <c r="D231" s="60" t="s">
        <v>494</v>
      </c>
      <c r="E231" s="60" t="s">
        <v>39</v>
      </c>
      <c r="F231" s="60" t="s">
        <v>35</v>
      </c>
      <c r="G231" s="60" t="s">
        <v>249</v>
      </c>
      <c r="H231" s="61">
        <v>45057</v>
      </c>
      <c r="I231" s="60">
        <f t="shared" si="9"/>
        <v>2023</v>
      </c>
      <c r="J231" s="60">
        <f t="shared" si="10"/>
        <v>5</v>
      </c>
      <c r="K231" s="60" t="str">
        <f t="shared" si="11"/>
        <v>2023_5</v>
      </c>
      <c r="L231" s="61" t="s">
        <v>37</v>
      </c>
      <c r="M231">
        <v>462</v>
      </c>
      <c r="N231">
        <v>647</v>
      </c>
      <c r="O231">
        <v>782</v>
      </c>
      <c r="P231">
        <v>1156</v>
      </c>
      <c r="Q231">
        <v>652</v>
      </c>
      <c r="R231">
        <v>442</v>
      </c>
      <c r="S231">
        <v>423</v>
      </c>
      <c r="T231">
        <v>501</v>
      </c>
      <c r="U231">
        <v>577</v>
      </c>
      <c r="V231">
        <v>528</v>
      </c>
      <c r="W231">
        <v>502</v>
      </c>
      <c r="X231">
        <v>428</v>
      </c>
      <c r="Y231">
        <v>472</v>
      </c>
      <c r="Z231">
        <v>456</v>
      </c>
      <c r="AA231">
        <v>743</v>
      </c>
      <c r="AB231">
        <v>810</v>
      </c>
      <c r="AC231">
        <v>676</v>
      </c>
      <c r="AD231">
        <v>501</v>
      </c>
      <c r="AE231">
        <v>426</v>
      </c>
      <c r="AF231">
        <v>475</v>
      </c>
      <c r="AG231" s="13">
        <v>0</v>
      </c>
      <c r="AH231" s="13">
        <v>0</v>
      </c>
      <c r="AI231" s="13">
        <v>0</v>
      </c>
      <c r="AJ231" s="13">
        <v>0</v>
      </c>
    </row>
    <row r="232" spans="1:36" x14ac:dyDescent="0.3">
      <c r="A232" s="60" t="s">
        <v>33</v>
      </c>
      <c r="B232" s="73"/>
      <c r="C232" s="60">
        <v>3070115000</v>
      </c>
      <c r="D232" s="60" t="s">
        <v>355</v>
      </c>
      <c r="E232" s="60" t="s">
        <v>39</v>
      </c>
      <c r="F232" s="60" t="s">
        <v>35</v>
      </c>
      <c r="G232" s="60" t="s">
        <v>256</v>
      </c>
      <c r="H232" s="61">
        <v>45057</v>
      </c>
      <c r="I232" s="60">
        <f t="shared" si="9"/>
        <v>2023</v>
      </c>
      <c r="J232" s="60">
        <f t="shared" si="10"/>
        <v>5</v>
      </c>
      <c r="K232" s="60" t="str">
        <f t="shared" si="11"/>
        <v>2023_5</v>
      </c>
      <c r="L232" s="61" t="s">
        <v>37</v>
      </c>
      <c r="M232">
        <v>184</v>
      </c>
      <c r="N232">
        <v>218</v>
      </c>
      <c r="O232">
        <v>243</v>
      </c>
      <c r="P232">
        <v>466</v>
      </c>
      <c r="Q232">
        <v>221</v>
      </c>
      <c r="R232">
        <v>139</v>
      </c>
      <c r="S232">
        <v>170</v>
      </c>
      <c r="T232">
        <v>153</v>
      </c>
      <c r="U232">
        <v>181</v>
      </c>
      <c r="V232">
        <v>179</v>
      </c>
      <c r="W232">
        <v>154</v>
      </c>
      <c r="X232">
        <v>151</v>
      </c>
      <c r="Y232">
        <v>167</v>
      </c>
      <c r="Z232">
        <v>157</v>
      </c>
      <c r="AA232">
        <v>368</v>
      </c>
      <c r="AB232">
        <v>266</v>
      </c>
      <c r="AC232">
        <v>223</v>
      </c>
      <c r="AD232">
        <v>141</v>
      </c>
      <c r="AE232">
        <v>143</v>
      </c>
      <c r="AF232">
        <v>137</v>
      </c>
      <c r="AG232" s="13">
        <v>0</v>
      </c>
      <c r="AH232" s="13">
        <v>0</v>
      </c>
      <c r="AI232" s="13">
        <v>0</v>
      </c>
      <c r="AJ232" s="13">
        <v>0</v>
      </c>
    </row>
    <row r="233" spans="1:36" x14ac:dyDescent="0.3">
      <c r="A233" s="69" t="s">
        <v>209</v>
      </c>
      <c r="B233" s="77"/>
      <c r="C233" s="60">
        <v>3120468003</v>
      </c>
      <c r="D233" s="69" t="s">
        <v>380</v>
      </c>
      <c r="E233" s="69" t="s">
        <v>34</v>
      </c>
      <c r="F233" s="69" t="s">
        <v>35</v>
      </c>
      <c r="G233" s="69" t="s">
        <v>86</v>
      </c>
      <c r="H233" s="61">
        <v>45057</v>
      </c>
      <c r="I233" s="60">
        <f t="shared" si="9"/>
        <v>2023</v>
      </c>
      <c r="J233" s="60">
        <f t="shared" si="10"/>
        <v>5</v>
      </c>
      <c r="K233" s="60" t="str">
        <f t="shared" si="11"/>
        <v>2023_5</v>
      </c>
      <c r="L233" s="61" t="s">
        <v>37</v>
      </c>
      <c r="M233">
        <v>1196</v>
      </c>
      <c r="N233">
        <v>2994</v>
      </c>
      <c r="O233">
        <v>3380</v>
      </c>
      <c r="P233">
        <v>3420</v>
      </c>
      <c r="Q233">
        <v>2215</v>
      </c>
      <c r="R233">
        <v>879</v>
      </c>
      <c r="S233">
        <v>807</v>
      </c>
      <c r="T233">
        <v>901</v>
      </c>
      <c r="U233">
        <v>893</v>
      </c>
      <c r="V233">
        <v>932</v>
      </c>
      <c r="W233">
        <v>935</v>
      </c>
      <c r="X233">
        <v>804</v>
      </c>
      <c r="Y233">
        <v>1013</v>
      </c>
      <c r="Z233">
        <v>1336</v>
      </c>
      <c r="AA233">
        <v>3271</v>
      </c>
      <c r="AB233">
        <v>2979</v>
      </c>
      <c r="AC233">
        <v>2476</v>
      </c>
      <c r="AD233">
        <v>1053</v>
      </c>
      <c r="AE233">
        <v>722</v>
      </c>
      <c r="AG233" s="13">
        <v>0</v>
      </c>
      <c r="AH233" s="13">
        <v>0</v>
      </c>
      <c r="AI233" s="13">
        <v>0</v>
      </c>
      <c r="AJ233" s="13">
        <v>0</v>
      </c>
    </row>
    <row r="234" spans="1:36" x14ac:dyDescent="0.3">
      <c r="A234" s="69" t="s">
        <v>33</v>
      </c>
      <c r="B234" s="77"/>
      <c r="C234" s="60">
        <v>3021006001</v>
      </c>
      <c r="D234" s="69" t="s">
        <v>499</v>
      </c>
      <c r="E234" s="69" t="s">
        <v>43</v>
      </c>
      <c r="F234" s="69" t="s">
        <v>35</v>
      </c>
      <c r="G234" s="69" t="s">
        <v>257</v>
      </c>
      <c r="H234" s="61">
        <v>45058</v>
      </c>
      <c r="I234" s="60">
        <f t="shared" si="9"/>
        <v>2023</v>
      </c>
      <c r="J234" s="60">
        <f t="shared" si="10"/>
        <v>5</v>
      </c>
      <c r="K234" s="60" t="str">
        <f t="shared" si="11"/>
        <v>2023_5</v>
      </c>
      <c r="L234" s="61" t="s">
        <v>37</v>
      </c>
      <c r="M234">
        <v>531</v>
      </c>
      <c r="N234">
        <v>555</v>
      </c>
      <c r="O234">
        <v>607</v>
      </c>
      <c r="P234">
        <v>866</v>
      </c>
      <c r="Q234">
        <v>667</v>
      </c>
      <c r="R234">
        <v>434</v>
      </c>
      <c r="S234">
        <v>400</v>
      </c>
      <c r="T234">
        <v>470</v>
      </c>
      <c r="U234">
        <v>460</v>
      </c>
      <c r="V234">
        <v>483</v>
      </c>
      <c r="W234">
        <v>419</v>
      </c>
      <c r="X234">
        <v>419</v>
      </c>
      <c r="Y234">
        <v>466</v>
      </c>
      <c r="Z234">
        <v>408</v>
      </c>
      <c r="AA234">
        <v>682</v>
      </c>
      <c r="AB234">
        <v>693</v>
      </c>
      <c r="AC234">
        <v>533</v>
      </c>
      <c r="AD234">
        <v>534</v>
      </c>
      <c r="AE234">
        <v>415</v>
      </c>
      <c r="AF234">
        <v>436</v>
      </c>
      <c r="AG234" s="13">
        <v>0</v>
      </c>
      <c r="AH234" s="13">
        <v>0</v>
      </c>
      <c r="AI234" s="13">
        <v>0</v>
      </c>
      <c r="AJ234" s="13">
        <v>0</v>
      </c>
    </row>
    <row r="235" spans="1:36" x14ac:dyDescent="0.3">
      <c r="A235" s="71" t="s">
        <v>124</v>
      </c>
      <c r="B235" s="79"/>
      <c r="C235" s="60">
        <v>3060501001</v>
      </c>
      <c r="D235" s="71" t="s">
        <v>421</v>
      </c>
      <c r="E235" s="71" t="s">
        <v>34</v>
      </c>
      <c r="F235" s="71" t="s">
        <v>35</v>
      </c>
      <c r="G235" s="71" t="s">
        <v>258</v>
      </c>
      <c r="H235" s="61">
        <v>45062</v>
      </c>
      <c r="I235" s="60">
        <f t="shared" si="9"/>
        <v>2023</v>
      </c>
      <c r="J235" s="60">
        <f t="shared" si="10"/>
        <v>5</v>
      </c>
      <c r="K235" s="60" t="str">
        <f t="shared" si="11"/>
        <v>2023_5</v>
      </c>
      <c r="L235" s="61" t="s">
        <v>37</v>
      </c>
      <c r="M235">
        <v>456</v>
      </c>
      <c r="N235">
        <v>351</v>
      </c>
      <c r="O235">
        <v>559</v>
      </c>
      <c r="P235">
        <v>1002</v>
      </c>
      <c r="Q235">
        <v>618</v>
      </c>
      <c r="R235">
        <v>282</v>
      </c>
      <c r="S235">
        <v>269</v>
      </c>
      <c r="T235">
        <v>465</v>
      </c>
      <c r="U235">
        <v>535</v>
      </c>
      <c r="V235">
        <v>515</v>
      </c>
      <c r="W235">
        <v>418</v>
      </c>
      <c r="X235">
        <v>310</v>
      </c>
      <c r="Y235">
        <v>249</v>
      </c>
      <c r="Z235">
        <v>213</v>
      </c>
      <c r="AA235">
        <v>218</v>
      </c>
      <c r="AB235">
        <v>382</v>
      </c>
      <c r="AC235">
        <v>293</v>
      </c>
      <c r="AD235">
        <v>331</v>
      </c>
      <c r="AE235">
        <v>539</v>
      </c>
      <c r="AF235">
        <v>1144</v>
      </c>
      <c r="AG235" s="13">
        <v>0</v>
      </c>
      <c r="AH235" s="13">
        <v>0</v>
      </c>
      <c r="AI235" s="13">
        <v>0</v>
      </c>
      <c r="AJ235" s="13">
        <v>0</v>
      </c>
    </row>
    <row r="236" spans="1:36" x14ac:dyDescent="0.3">
      <c r="A236" s="69" t="s">
        <v>128</v>
      </c>
      <c r="B236" s="77"/>
      <c r="C236" s="60">
        <v>3140760000</v>
      </c>
      <c r="D236" s="69" t="s">
        <v>500</v>
      </c>
      <c r="E236" s="69" t="s">
        <v>34</v>
      </c>
      <c r="F236" s="69" t="s">
        <v>35</v>
      </c>
      <c r="G236" s="69" t="s">
        <v>259</v>
      </c>
      <c r="H236" s="61">
        <v>45068</v>
      </c>
      <c r="I236" s="60">
        <f t="shared" si="9"/>
        <v>2023</v>
      </c>
      <c r="J236" s="60">
        <f t="shared" si="10"/>
        <v>5</v>
      </c>
      <c r="K236" s="60" t="str">
        <f t="shared" si="11"/>
        <v>2023_5</v>
      </c>
      <c r="L236" s="61" t="s">
        <v>37</v>
      </c>
      <c r="M236">
        <v>686</v>
      </c>
      <c r="N236">
        <v>793</v>
      </c>
      <c r="O236">
        <v>1204</v>
      </c>
      <c r="P236">
        <v>1179</v>
      </c>
      <c r="Q236">
        <v>794</v>
      </c>
      <c r="R236">
        <v>487</v>
      </c>
      <c r="S236">
        <v>473</v>
      </c>
      <c r="T236">
        <v>598</v>
      </c>
      <c r="U236">
        <v>673</v>
      </c>
      <c r="V236">
        <v>660</v>
      </c>
      <c r="W236">
        <v>654</v>
      </c>
      <c r="X236">
        <v>549</v>
      </c>
      <c r="Y236">
        <v>562</v>
      </c>
      <c r="Z236">
        <v>762</v>
      </c>
      <c r="AA236">
        <v>1027</v>
      </c>
      <c r="AB236">
        <v>846</v>
      </c>
      <c r="AC236">
        <v>791</v>
      </c>
      <c r="AD236">
        <v>421</v>
      </c>
      <c r="AE236">
        <v>600</v>
      </c>
      <c r="AF236" s="13">
        <v>0</v>
      </c>
      <c r="AG236" s="13">
        <v>0</v>
      </c>
      <c r="AH236" s="13">
        <v>0</v>
      </c>
      <c r="AI236" s="13">
        <v>0</v>
      </c>
      <c r="AJ236" s="13">
        <v>0</v>
      </c>
    </row>
    <row r="237" spans="1:36" x14ac:dyDescent="0.3">
      <c r="A237" s="69" t="s">
        <v>235</v>
      </c>
      <c r="B237" s="77"/>
      <c r="C237" s="60">
        <v>3132062000</v>
      </c>
      <c r="D237" s="69" t="s">
        <v>479</v>
      </c>
      <c r="E237" s="69" t="s">
        <v>100</v>
      </c>
      <c r="F237" s="69" t="s">
        <v>35</v>
      </c>
      <c r="G237" s="69" t="s">
        <v>260</v>
      </c>
      <c r="H237" s="61">
        <v>45070</v>
      </c>
      <c r="I237" s="60">
        <f t="shared" si="9"/>
        <v>2023</v>
      </c>
      <c r="J237" s="60">
        <f t="shared" si="10"/>
        <v>5</v>
      </c>
      <c r="K237" s="60" t="str">
        <f t="shared" si="11"/>
        <v>2023_5</v>
      </c>
      <c r="L237" s="61" t="s">
        <v>37</v>
      </c>
      <c r="M237">
        <v>333</v>
      </c>
      <c r="N237">
        <v>278</v>
      </c>
      <c r="O237">
        <v>401</v>
      </c>
      <c r="P237">
        <v>397</v>
      </c>
      <c r="Q237">
        <v>297</v>
      </c>
      <c r="R237">
        <v>313</v>
      </c>
      <c r="S237">
        <v>278</v>
      </c>
      <c r="T237">
        <v>350</v>
      </c>
      <c r="U237">
        <v>421</v>
      </c>
      <c r="V237">
        <v>328</v>
      </c>
      <c r="W237">
        <v>320</v>
      </c>
      <c r="X237">
        <v>319</v>
      </c>
      <c r="Y237">
        <v>299</v>
      </c>
      <c r="Z237">
        <v>275</v>
      </c>
      <c r="AA237">
        <v>407</v>
      </c>
      <c r="AB237">
        <v>320</v>
      </c>
      <c r="AC237">
        <v>284</v>
      </c>
      <c r="AD237">
        <v>305</v>
      </c>
      <c r="AE237">
        <v>298</v>
      </c>
      <c r="AF237" s="13">
        <v>0</v>
      </c>
      <c r="AG237" s="13">
        <v>0</v>
      </c>
      <c r="AH237" s="13">
        <v>0</v>
      </c>
      <c r="AI237" s="13">
        <v>0</v>
      </c>
      <c r="AJ237" s="13">
        <v>0</v>
      </c>
    </row>
    <row r="238" spans="1:36" x14ac:dyDescent="0.3">
      <c r="A238" s="60" t="s">
        <v>124</v>
      </c>
      <c r="B238" s="73"/>
      <c r="C238" s="60">
        <v>3081447001</v>
      </c>
      <c r="D238" s="60" t="s">
        <v>355</v>
      </c>
      <c r="E238" s="60" t="s">
        <v>39</v>
      </c>
      <c r="F238" s="60" t="s">
        <v>35</v>
      </c>
      <c r="G238" s="60" t="s">
        <v>261</v>
      </c>
      <c r="H238" s="61">
        <v>45071</v>
      </c>
      <c r="I238" s="60">
        <f t="shared" si="9"/>
        <v>2023</v>
      </c>
      <c r="J238" s="60">
        <f t="shared" si="10"/>
        <v>5</v>
      </c>
      <c r="K238" s="60" t="str">
        <f t="shared" si="11"/>
        <v>2023_5</v>
      </c>
      <c r="L238" s="61" t="s">
        <v>37</v>
      </c>
      <c r="M238">
        <v>381</v>
      </c>
      <c r="N238">
        <v>467</v>
      </c>
      <c r="O238">
        <v>605</v>
      </c>
      <c r="P238">
        <v>761</v>
      </c>
      <c r="Q238">
        <v>522</v>
      </c>
      <c r="R238">
        <v>330</v>
      </c>
      <c r="S238">
        <v>319</v>
      </c>
      <c r="T238">
        <v>355</v>
      </c>
      <c r="U238">
        <v>435</v>
      </c>
      <c r="V238">
        <v>368</v>
      </c>
      <c r="W238">
        <v>376</v>
      </c>
      <c r="X238">
        <v>360</v>
      </c>
      <c r="Y238">
        <v>313</v>
      </c>
      <c r="Z238">
        <v>334</v>
      </c>
      <c r="AA238">
        <v>556</v>
      </c>
      <c r="AB238">
        <v>514</v>
      </c>
      <c r="AC238">
        <v>481</v>
      </c>
      <c r="AD238">
        <v>340</v>
      </c>
      <c r="AE238">
        <v>338</v>
      </c>
      <c r="AF238">
        <v>378</v>
      </c>
      <c r="AG238" s="13">
        <v>0</v>
      </c>
      <c r="AH238" s="13">
        <v>0</v>
      </c>
      <c r="AI238" s="13">
        <v>0</v>
      </c>
      <c r="AJ238" s="13">
        <v>0</v>
      </c>
    </row>
    <row r="239" spans="1:36" x14ac:dyDescent="0.3">
      <c r="A239" s="69" t="s">
        <v>124</v>
      </c>
      <c r="B239" s="77"/>
      <c r="C239" s="60">
        <v>3130407000</v>
      </c>
      <c r="D239" s="69" t="s">
        <v>480</v>
      </c>
      <c r="E239" s="69" t="s">
        <v>39</v>
      </c>
      <c r="F239" s="69" t="s">
        <v>35</v>
      </c>
      <c r="G239" s="69" t="s">
        <v>262</v>
      </c>
      <c r="H239" s="61">
        <v>45076</v>
      </c>
      <c r="I239" s="60">
        <f t="shared" si="9"/>
        <v>2023</v>
      </c>
      <c r="J239" s="60">
        <f t="shared" si="10"/>
        <v>5</v>
      </c>
      <c r="K239" s="60" t="str">
        <f t="shared" si="11"/>
        <v>2023_5</v>
      </c>
      <c r="L239" s="61" t="s">
        <v>37</v>
      </c>
      <c r="M239">
        <v>306</v>
      </c>
      <c r="N239">
        <v>375</v>
      </c>
      <c r="O239">
        <v>563</v>
      </c>
      <c r="P239">
        <v>607</v>
      </c>
      <c r="Q239">
        <v>389</v>
      </c>
      <c r="R239">
        <v>297</v>
      </c>
      <c r="S239">
        <v>297</v>
      </c>
      <c r="T239">
        <v>389</v>
      </c>
      <c r="U239">
        <v>140</v>
      </c>
      <c r="V239">
        <v>104</v>
      </c>
      <c r="W239">
        <v>103</v>
      </c>
      <c r="X239">
        <v>167</v>
      </c>
      <c r="Y239">
        <v>265</v>
      </c>
      <c r="Z239">
        <v>337</v>
      </c>
      <c r="AA239">
        <v>468</v>
      </c>
      <c r="AB239">
        <v>411</v>
      </c>
      <c r="AC239">
        <v>415</v>
      </c>
      <c r="AD239">
        <v>359</v>
      </c>
      <c r="AE239">
        <v>582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</row>
    <row r="240" spans="1:36" x14ac:dyDescent="0.3">
      <c r="A240" s="60" t="s">
        <v>124</v>
      </c>
      <c r="B240" s="73"/>
      <c r="C240" s="60">
        <v>3111771000</v>
      </c>
      <c r="D240" s="60" t="s">
        <v>395</v>
      </c>
      <c r="E240" s="60" t="s">
        <v>43</v>
      </c>
      <c r="F240" s="60" t="s">
        <v>35</v>
      </c>
      <c r="G240" s="60" t="s">
        <v>96</v>
      </c>
      <c r="H240" s="61">
        <v>45077</v>
      </c>
      <c r="I240" s="60">
        <f t="shared" si="9"/>
        <v>2023</v>
      </c>
      <c r="J240" s="60">
        <f t="shared" si="10"/>
        <v>5</v>
      </c>
      <c r="K240" s="60" t="str">
        <f t="shared" si="11"/>
        <v>2023_5</v>
      </c>
      <c r="L240" s="61" t="s">
        <v>37</v>
      </c>
      <c r="M240">
        <v>1016</v>
      </c>
      <c r="N240">
        <v>1308</v>
      </c>
      <c r="O240">
        <v>1728</v>
      </c>
      <c r="P240">
        <v>1934</v>
      </c>
      <c r="Q240">
        <v>1322</v>
      </c>
      <c r="R240">
        <v>1182</v>
      </c>
      <c r="S240">
        <v>1124</v>
      </c>
      <c r="T240">
        <v>1802</v>
      </c>
      <c r="U240">
        <v>1710</v>
      </c>
      <c r="V240">
        <v>1108</v>
      </c>
      <c r="W240">
        <v>1002</v>
      </c>
      <c r="X240">
        <v>638</v>
      </c>
      <c r="Y240">
        <v>1150</v>
      </c>
      <c r="Z240">
        <v>2140</v>
      </c>
      <c r="AA240">
        <v>2346</v>
      </c>
      <c r="AB240">
        <v>2320</v>
      </c>
      <c r="AC240">
        <v>1556</v>
      </c>
      <c r="AD240">
        <v>1926</v>
      </c>
      <c r="AE240">
        <v>3686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</row>
    <row r="241" spans="1:36" x14ac:dyDescent="0.3">
      <c r="A241" s="69" t="s">
        <v>33</v>
      </c>
      <c r="B241" s="77"/>
      <c r="C241" s="60">
        <v>3010234001</v>
      </c>
      <c r="D241" s="69" t="s">
        <v>458</v>
      </c>
      <c r="E241" s="69" t="s">
        <v>34</v>
      </c>
      <c r="F241" s="69" t="s">
        <v>35</v>
      </c>
      <c r="G241" s="69" t="s">
        <v>263</v>
      </c>
      <c r="H241" s="61">
        <v>45078</v>
      </c>
      <c r="I241" s="60">
        <f t="shared" si="9"/>
        <v>2023</v>
      </c>
      <c r="J241" s="60">
        <f t="shared" si="10"/>
        <v>6</v>
      </c>
      <c r="K241" s="60" t="str">
        <f t="shared" si="11"/>
        <v>2023_6</v>
      </c>
      <c r="L241" s="61" t="s">
        <v>37</v>
      </c>
      <c r="M241">
        <v>327</v>
      </c>
      <c r="N241">
        <v>304</v>
      </c>
      <c r="O241">
        <v>457</v>
      </c>
      <c r="P241">
        <v>327</v>
      </c>
      <c r="Q241">
        <v>342</v>
      </c>
      <c r="R241">
        <v>559</v>
      </c>
      <c r="S241">
        <v>1181</v>
      </c>
      <c r="T241">
        <v>646</v>
      </c>
      <c r="U241">
        <v>650</v>
      </c>
      <c r="V241">
        <v>546</v>
      </c>
      <c r="W241">
        <v>442</v>
      </c>
      <c r="X241">
        <v>416</v>
      </c>
      <c r="Y241">
        <v>334</v>
      </c>
      <c r="Z241">
        <v>468</v>
      </c>
      <c r="AA241">
        <v>656</v>
      </c>
      <c r="AB241">
        <v>400</v>
      </c>
      <c r="AC241">
        <v>696</v>
      </c>
      <c r="AD241">
        <v>556</v>
      </c>
      <c r="AE241">
        <v>906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</row>
    <row r="242" spans="1:36" x14ac:dyDescent="0.3">
      <c r="A242" s="70" t="s">
        <v>209</v>
      </c>
      <c r="B242" s="78"/>
      <c r="C242" s="60">
        <v>3132727003</v>
      </c>
      <c r="D242" s="70" t="s">
        <v>501</v>
      </c>
      <c r="E242" s="70" t="s">
        <v>100</v>
      </c>
      <c r="F242" s="70" t="s">
        <v>35</v>
      </c>
      <c r="G242" s="70" t="s">
        <v>264</v>
      </c>
      <c r="H242" s="61">
        <v>45086</v>
      </c>
      <c r="I242" s="60">
        <f t="shared" si="9"/>
        <v>2023</v>
      </c>
      <c r="J242" s="60">
        <f t="shared" si="10"/>
        <v>6</v>
      </c>
      <c r="K242" s="60" t="str">
        <f t="shared" si="11"/>
        <v>2023_6</v>
      </c>
      <c r="L242" s="61" t="s">
        <v>37</v>
      </c>
      <c r="M242">
        <v>1425</v>
      </c>
      <c r="N242">
        <v>1375</v>
      </c>
      <c r="O242">
        <v>1804</v>
      </c>
      <c r="P242">
        <v>1435</v>
      </c>
      <c r="Q242">
        <v>1112</v>
      </c>
      <c r="R242">
        <v>909</v>
      </c>
      <c r="S242">
        <v>1151</v>
      </c>
      <c r="T242">
        <v>1286</v>
      </c>
      <c r="U242">
        <v>1023</v>
      </c>
      <c r="V242">
        <v>962</v>
      </c>
      <c r="W242">
        <v>822</v>
      </c>
      <c r="X242">
        <v>900</v>
      </c>
      <c r="Y242">
        <v>896</v>
      </c>
      <c r="Z242">
        <v>854</v>
      </c>
      <c r="AA242">
        <v>887</v>
      </c>
      <c r="AB242">
        <v>1031</v>
      </c>
      <c r="AC242">
        <v>1049</v>
      </c>
      <c r="AD242">
        <v>1702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</row>
    <row r="243" spans="1:36" x14ac:dyDescent="0.3">
      <c r="A243" s="70" t="s">
        <v>33</v>
      </c>
      <c r="B243" s="78"/>
      <c r="C243" s="60">
        <v>3010347005</v>
      </c>
      <c r="D243" s="70" t="s">
        <v>502</v>
      </c>
      <c r="E243" s="70" t="s">
        <v>39</v>
      </c>
      <c r="F243" s="70" t="s">
        <v>35</v>
      </c>
      <c r="G243" s="70" t="s">
        <v>265</v>
      </c>
      <c r="H243" s="61">
        <v>45089</v>
      </c>
      <c r="I243" s="60">
        <f t="shared" si="9"/>
        <v>2023</v>
      </c>
      <c r="J243" s="60">
        <f t="shared" si="10"/>
        <v>6</v>
      </c>
      <c r="K243" s="60" t="str">
        <f t="shared" si="11"/>
        <v>2023_6</v>
      </c>
      <c r="L243" s="61" t="s">
        <v>37</v>
      </c>
      <c r="M243">
        <v>407</v>
      </c>
      <c r="N243">
        <v>863</v>
      </c>
      <c r="O243">
        <v>717</v>
      </c>
      <c r="P243">
        <v>807</v>
      </c>
      <c r="Q243">
        <v>1601</v>
      </c>
      <c r="R243">
        <v>1907</v>
      </c>
      <c r="S243">
        <v>1612</v>
      </c>
      <c r="T243">
        <v>1445</v>
      </c>
      <c r="U243">
        <v>1534</v>
      </c>
      <c r="V243">
        <v>1514</v>
      </c>
      <c r="W243">
        <v>1004</v>
      </c>
      <c r="X243">
        <v>1016</v>
      </c>
      <c r="Y243">
        <v>994</v>
      </c>
      <c r="Z243">
        <v>890</v>
      </c>
      <c r="AA243">
        <v>880</v>
      </c>
      <c r="AB243">
        <v>924</v>
      </c>
      <c r="AC243">
        <v>1628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</row>
    <row r="244" spans="1:36" x14ac:dyDescent="0.3">
      <c r="A244" s="60" t="s">
        <v>33</v>
      </c>
      <c r="B244" s="73"/>
      <c r="C244" s="60">
        <v>3140807000</v>
      </c>
      <c r="D244" s="60" t="s">
        <v>503</v>
      </c>
      <c r="E244" s="60" t="s">
        <v>39</v>
      </c>
      <c r="F244" s="60" t="s">
        <v>35</v>
      </c>
      <c r="G244" s="60" t="s">
        <v>266</v>
      </c>
      <c r="H244" s="61">
        <v>45091</v>
      </c>
      <c r="I244" s="60">
        <f t="shared" si="9"/>
        <v>2023</v>
      </c>
      <c r="J244" s="60">
        <f t="shared" si="10"/>
        <v>6</v>
      </c>
      <c r="K244" s="60" t="str">
        <f t="shared" si="11"/>
        <v>2023_6</v>
      </c>
      <c r="L244" s="61" t="s">
        <v>37</v>
      </c>
      <c r="M244">
        <v>714</v>
      </c>
      <c r="N244">
        <v>876</v>
      </c>
      <c r="O244">
        <v>799</v>
      </c>
      <c r="P244">
        <v>460</v>
      </c>
      <c r="Q244">
        <v>496</v>
      </c>
      <c r="R244">
        <v>610</v>
      </c>
      <c r="S244">
        <v>607</v>
      </c>
      <c r="T244">
        <v>728</v>
      </c>
      <c r="U244">
        <v>494</v>
      </c>
      <c r="V244">
        <v>613</v>
      </c>
      <c r="W244">
        <v>564</v>
      </c>
      <c r="X244">
        <v>484</v>
      </c>
      <c r="Y244">
        <v>569</v>
      </c>
      <c r="Z244">
        <v>681</v>
      </c>
      <c r="AA244">
        <v>543</v>
      </c>
      <c r="AB244">
        <v>503</v>
      </c>
      <c r="AC244">
        <v>476</v>
      </c>
      <c r="AD244">
        <v>700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</row>
    <row r="245" spans="1:36" x14ac:dyDescent="0.3">
      <c r="A245" s="70" t="s">
        <v>128</v>
      </c>
      <c r="B245" s="78"/>
      <c r="C245" s="60">
        <v>3061528000</v>
      </c>
      <c r="D245" s="70" t="s">
        <v>364</v>
      </c>
      <c r="E245" s="70" t="s">
        <v>39</v>
      </c>
      <c r="F245" s="70" t="s">
        <v>35</v>
      </c>
      <c r="G245" s="70" t="s">
        <v>267</v>
      </c>
      <c r="H245" s="61">
        <v>45096</v>
      </c>
      <c r="I245" s="60">
        <f t="shared" si="9"/>
        <v>2023</v>
      </c>
      <c r="J245" s="60">
        <f t="shared" si="10"/>
        <v>6</v>
      </c>
      <c r="K245" s="60" t="str">
        <f t="shared" si="11"/>
        <v>2023_6</v>
      </c>
      <c r="L245" s="61" t="s">
        <v>37</v>
      </c>
      <c r="M245" s="38">
        <v>181</v>
      </c>
      <c r="N245" s="13">
        <v>242</v>
      </c>
      <c r="O245" s="13">
        <v>473</v>
      </c>
      <c r="P245" s="13">
        <v>204</v>
      </c>
      <c r="Q245" s="13">
        <v>94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</row>
    <row r="246" spans="1:36" x14ac:dyDescent="0.3">
      <c r="A246" s="70" t="s">
        <v>55</v>
      </c>
      <c r="B246" s="78"/>
      <c r="C246" s="60">
        <v>3150078000</v>
      </c>
      <c r="D246" s="70" t="s">
        <v>504</v>
      </c>
      <c r="E246" s="70" t="s">
        <v>39</v>
      </c>
      <c r="F246" s="70" t="s">
        <v>35</v>
      </c>
      <c r="G246" s="70" t="s">
        <v>268</v>
      </c>
      <c r="H246" s="61">
        <v>45098</v>
      </c>
      <c r="I246" s="60">
        <f t="shared" si="9"/>
        <v>2023</v>
      </c>
      <c r="J246" s="60">
        <f t="shared" si="10"/>
        <v>6</v>
      </c>
      <c r="K246" s="60" t="str">
        <f t="shared" si="11"/>
        <v>2023_6</v>
      </c>
      <c r="L246" s="61" t="s">
        <v>37</v>
      </c>
      <c r="M246">
        <v>1570</v>
      </c>
      <c r="N246">
        <v>1830</v>
      </c>
      <c r="O246">
        <v>2098</v>
      </c>
      <c r="P246">
        <v>2256</v>
      </c>
      <c r="Q246">
        <v>1578</v>
      </c>
      <c r="R246">
        <v>2640</v>
      </c>
      <c r="S246">
        <v>2368</v>
      </c>
      <c r="T246">
        <v>2916</v>
      </c>
      <c r="U246">
        <v>2488</v>
      </c>
      <c r="V246">
        <v>2228</v>
      </c>
      <c r="W246">
        <v>1820</v>
      </c>
      <c r="X246">
        <v>914</v>
      </c>
      <c r="Y246">
        <v>0</v>
      </c>
      <c r="Z246">
        <v>1184</v>
      </c>
      <c r="AA246">
        <v>1940</v>
      </c>
      <c r="AB246">
        <v>1836</v>
      </c>
      <c r="AC246">
        <v>2180</v>
      </c>
      <c r="AD246">
        <v>2078</v>
      </c>
      <c r="AE246">
        <v>2918</v>
      </c>
    </row>
    <row r="247" spans="1:36" x14ac:dyDescent="0.3">
      <c r="A247" s="60" t="s">
        <v>33</v>
      </c>
      <c r="B247" s="73"/>
      <c r="C247" s="60">
        <v>3160296001</v>
      </c>
      <c r="D247" s="60" t="s">
        <v>458</v>
      </c>
      <c r="E247" s="60" t="s">
        <v>34</v>
      </c>
      <c r="F247" s="60" t="s">
        <v>35</v>
      </c>
      <c r="G247" s="60" t="s">
        <v>263</v>
      </c>
      <c r="H247" s="61">
        <v>45103</v>
      </c>
      <c r="I247" s="60">
        <f t="shared" si="9"/>
        <v>2023</v>
      </c>
      <c r="J247" s="60">
        <f t="shared" si="10"/>
        <v>6</v>
      </c>
      <c r="K247" s="60" t="str">
        <f t="shared" si="11"/>
        <v>2023_6</v>
      </c>
      <c r="L247" s="61" t="s">
        <v>37</v>
      </c>
      <c r="M247">
        <v>497</v>
      </c>
      <c r="N247">
        <v>923</v>
      </c>
      <c r="O247">
        <v>1088</v>
      </c>
      <c r="P247">
        <v>915</v>
      </c>
      <c r="Q247">
        <v>690</v>
      </c>
      <c r="R247">
        <v>656</v>
      </c>
      <c r="S247">
        <v>545</v>
      </c>
      <c r="T247">
        <v>748</v>
      </c>
      <c r="U247">
        <v>769</v>
      </c>
      <c r="V247">
        <v>542</v>
      </c>
      <c r="W247">
        <v>576</v>
      </c>
      <c r="X247">
        <v>563</v>
      </c>
      <c r="Y247">
        <v>579</v>
      </c>
      <c r="Z247">
        <v>1151</v>
      </c>
      <c r="AA247">
        <v>1131</v>
      </c>
      <c r="AB247">
        <v>1032</v>
      </c>
      <c r="AC247">
        <v>984</v>
      </c>
      <c r="AD247">
        <v>593</v>
      </c>
    </row>
    <row r="248" spans="1:36" x14ac:dyDescent="0.3">
      <c r="A248" s="60" t="s">
        <v>33</v>
      </c>
      <c r="B248" s="73"/>
      <c r="C248" s="60">
        <v>3062489001</v>
      </c>
      <c r="D248" s="60" t="s">
        <v>373</v>
      </c>
      <c r="E248" s="60" t="s">
        <v>34</v>
      </c>
      <c r="F248" s="60" t="s">
        <v>35</v>
      </c>
      <c r="G248" s="60" t="s">
        <v>153</v>
      </c>
      <c r="H248" s="61">
        <v>45110</v>
      </c>
      <c r="I248" s="60">
        <f t="shared" si="9"/>
        <v>2023</v>
      </c>
      <c r="J248" s="60">
        <f t="shared" si="10"/>
        <v>7</v>
      </c>
      <c r="K248" s="60" t="str">
        <f t="shared" si="11"/>
        <v>2023_7</v>
      </c>
      <c r="L248" s="61" t="s">
        <v>37</v>
      </c>
      <c r="M248">
        <v>923</v>
      </c>
      <c r="N248">
        <v>1088</v>
      </c>
      <c r="O248">
        <v>915</v>
      </c>
      <c r="P248">
        <v>690</v>
      </c>
      <c r="Q248">
        <v>656</v>
      </c>
      <c r="R248">
        <v>545</v>
      </c>
      <c r="S248">
        <v>748</v>
      </c>
      <c r="T248">
        <v>769</v>
      </c>
      <c r="U248">
        <v>542</v>
      </c>
      <c r="V248">
        <v>576</v>
      </c>
      <c r="W248">
        <v>563</v>
      </c>
      <c r="X248">
        <v>579</v>
      </c>
      <c r="Y248">
        <v>1151</v>
      </c>
      <c r="Z248">
        <v>1131</v>
      </c>
      <c r="AA248">
        <v>1032</v>
      </c>
      <c r="AB248">
        <v>984</v>
      </c>
      <c r="AC248">
        <v>593</v>
      </c>
    </row>
    <row r="249" spans="1:36" x14ac:dyDescent="0.3">
      <c r="A249" s="71" t="s">
        <v>128</v>
      </c>
      <c r="B249" s="79"/>
      <c r="C249" s="60">
        <v>3110633000</v>
      </c>
      <c r="D249" s="71" t="s">
        <v>505</v>
      </c>
      <c r="E249" s="71" t="s">
        <v>39</v>
      </c>
      <c r="F249" s="71" t="s">
        <v>35</v>
      </c>
      <c r="G249" s="71" t="s">
        <v>269</v>
      </c>
      <c r="H249" s="61">
        <v>45112</v>
      </c>
      <c r="I249" s="60">
        <f t="shared" si="9"/>
        <v>2023</v>
      </c>
      <c r="J249" s="60">
        <f t="shared" si="10"/>
        <v>7</v>
      </c>
      <c r="K249" s="60" t="str">
        <f t="shared" si="11"/>
        <v>2023_7</v>
      </c>
      <c r="L249" s="61" t="s">
        <v>37</v>
      </c>
      <c r="M249">
        <v>2316</v>
      </c>
      <c r="N249">
        <v>2480</v>
      </c>
      <c r="O249">
        <v>1884</v>
      </c>
      <c r="P249">
        <v>1392</v>
      </c>
      <c r="Q249">
        <v>1198</v>
      </c>
      <c r="R249">
        <v>1772</v>
      </c>
      <c r="S249">
        <v>1924</v>
      </c>
      <c r="T249">
        <v>1698</v>
      </c>
      <c r="U249">
        <v>1674</v>
      </c>
      <c r="V249">
        <v>1272</v>
      </c>
      <c r="W249">
        <v>1316</v>
      </c>
      <c r="X249">
        <v>1772</v>
      </c>
      <c r="Y249">
        <v>3120</v>
      </c>
      <c r="Z249">
        <v>2476</v>
      </c>
      <c r="AA249">
        <v>1878</v>
      </c>
      <c r="AB249">
        <v>1540</v>
      </c>
      <c r="AC249">
        <v>1622</v>
      </c>
    </row>
    <row r="250" spans="1:36" x14ac:dyDescent="0.3">
      <c r="A250" s="60" t="s">
        <v>33</v>
      </c>
      <c r="B250" s="73"/>
      <c r="C250" s="60">
        <v>3011923000</v>
      </c>
      <c r="D250" s="60" t="s">
        <v>506</v>
      </c>
      <c r="E250" s="60" t="s">
        <v>34</v>
      </c>
      <c r="F250" s="60" t="s">
        <v>35</v>
      </c>
      <c r="G250" s="60" t="s">
        <v>270</v>
      </c>
      <c r="H250" s="61">
        <v>45113</v>
      </c>
      <c r="I250" s="60">
        <f t="shared" si="9"/>
        <v>2023</v>
      </c>
      <c r="J250" s="60">
        <f t="shared" si="10"/>
        <v>7</v>
      </c>
      <c r="K250" s="60" t="str">
        <f t="shared" si="11"/>
        <v>2023_7</v>
      </c>
      <c r="L250" s="61" t="s">
        <v>37</v>
      </c>
      <c r="M250">
        <v>1082</v>
      </c>
      <c r="N250">
        <v>1246</v>
      </c>
      <c r="O250">
        <v>1076</v>
      </c>
      <c r="P250">
        <v>919</v>
      </c>
      <c r="Q250">
        <v>737</v>
      </c>
      <c r="R250">
        <v>746</v>
      </c>
      <c r="S250">
        <v>945</v>
      </c>
      <c r="T250">
        <v>887</v>
      </c>
      <c r="U250">
        <v>765</v>
      </c>
      <c r="V250">
        <v>780</v>
      </c>
      <c r="W250">
        <v>898</v>
      </c>
      <c r="X250">
        <v>1010</v>
      </c>
      <c r="Y250">
        <v>1154</v>
      </c>
      <c r="Z250">
        <v>1452</v>
      </c>
      <c r="AA250">
        <v>1078</v>
      </c>
      <c r="AB250">
        <v>973</v>
      </c>
      <c r="AC250">
        <v>776</v>
      </c>
      <c r="AD250">
        <v>824</v>
      </c>
    </row>
    <row r="251" spans="1:36" x14ac:dyDescent="0.3">
      <c r="A251" s="60" t="s">
        <v>128</v>
      </c>
      <c r="B251" s="73"/>
      <c r="C251" s="60">
        <v>3101530000</v>
      </c>
      <c r="D251" s="60" t="s">
        <v>507</v>
      </c>
      <c r="E251" s="60" t="s">
        <v>34</v>
      </c>
      <c r="F251" s="60" t="s">
        <v>35</v>
      </c>
      <c r="G251" s="60" t="s">
        <v>271</v>
      </c>
      <c r="H251" s="61">
        <v>45119</v>
      </c>
      <c r="I251" s="60">
        <f t="shared" si="9"/>
        <v>2023</v>
      </c>
      <c r="J251" s="60">
        <f t="shared" si="10"/>
        <v>7</v>
      </c>
      <c r="K251" s="60" t="str">
        <f t="shared" si="11"/>
        <v>2023_7</v>
      </c>
      <c r="L251" s="61" t="s">
        <v>37</v>
      </c>
      <c r="M251">
        <v>859</v>
      </c>
      <c r="N251">
        <v>974</v>
      </c>
      <c r="O251">
        <v>664</v>
      </c>
      <c r="P251">
        <v>342</v>
      </c>
      <c r="Q251">
        <v>373</v>
      </c>
      <c r="R251">
        <v>500</v>
      </c>
      <c r="S251">
        <v>633</v>
      </c>
      <c r="T251">
        <v>428</v>
      </c>
      <c r="U251">
        <v>409</v>
      </c>
      <c r="V251">
        <v>335</v>
      </c>
      <c r="W251">
        <v>352</v>
      </c>
      <c r="X251">
        <v>403</v>
      </c>
      <c r="Y251">
        <v>833</v>
      </c>
      <c r="Z251">
        <v>930</v>
      </c>
      <c r="AA251">
        <v>776</v>
      </c>
      <c r="AB251">
        <v>405</v>
      </c>
      <c r="AC251">
        <v>371</v>
      </c>
    </row>
    <row r="252" spans="1:36" x14ac:dyDescent="0.3">
      <c r="A252" s="60" t="s">
        <v>191</v>
      </c>
      <c r="B252" s="73"/>
      <c r="C252" s="60">
        <v>3132676002</v>
      </c>
      <c r="D252" s="60" t="s">
        <v>502</v>
      </c>
      <c r="E252" s="60" t="s">
        <v>39</v>
      </c>
      <c r="F252" s="60" t="s">
        <v>35</v>
      </c>
      <c r="G252" s="60" t="s">
        <v>265</v>
      </c>
      <c r="H252" s="61">
        <v>45119</v>
      </c>
      <c r="I252" s="60">
        <f t="shared" si="9"/>
        <v>2023</v>
      </c>
      <c r="J252" s="60">
        <f t="shared" si="10"/>
        <v>7</v>
      </c>
      <c r="K252" s="60" t="str">
        <f t="shared" si="11"/>
        <v>2023_7</v>
      </c>
      <c r="L252" s="61" t="s">
        <v>37</v>
      </c>
      <c r="M252">
        <v>3874</v>
      </c>
      <c r="N252">
        <v>3818</v>
      </c>
      <c r="O252">
        <v>2324</v>
      </c>
      <c r="P252">
        <v>988</v>
      </c>
      <c r="Q252">
        <v>1316</v>
      </c>
      <c r="R252">
        <v>1942</v>
      </c>
      <c r="S252">
        <v>2016</v>
      </c>
      <c r="T252">
        <v>1358</v>
      </c>
      <c r="U252">
        <v>1152</v>
      </c>
      <c r="V252">
        <v>1026</v>
      </c>
      <c r="W252">
        <v>918</v>
      </c>
      <c r="X252">
        <v>1268</v>
      </c>
      <c r="Y252">
        <v>4300</v>
      </c>
      <c r="Z252">
        <v>2640</v>
      </c>
      <c r="AA252">
        <v>2120</v>
      </c>
      <c r="AB252">
        <v>1696</v>
      </c>
      <c r="AC252">
        <v>1580</v>
      </c>
    </row>
    <row r="253" spans="1:36" x14ac:dyDescent="0.3">
      <c r="A253" s="70" t="s">
        <v>124</v>
      </c>
      <c r="B253" s="78"/>
      <c r="C253" s="60">
        <v>3040403002</v>
      </c>
      <c r="D253" s="70" t="s">
        <v>508</v>
      </c>
      <c r="E253" s="70" t="s">
        <v>34</v>
      </c>
      <c r="F253" s="70" t="s">
        <v>35</v>
      </c>
      <c r="G253" s="70" t="s">
        <v>272</v>
      </c>
      <c r="H253" s="61">
        <v>45121</v>
      </c>
      <c r="I253" s="60">
        <f t="shared" si="9"/>
        <v>2023</v>
      </c>
      <c r="J253" s="60">
        <f t="shared" si="10"/>
        <v>7</v>
      </c>
      <c r="K253" s="60" t="str">
        <f t="shared" si="11"/>
        <v>2023_7</v>
      </c>
      <c r="L253" s="61" t="s">
        <v>37</v>
      </c>
      <c r="M253">
        <v>775</v>
      </c>
      <c r="N253">
        <v>1193</v>
      </c>
      <c r="O253">
        <v>1209</v>
      </c>
      <c r="P253">
        <v>676</v>
      </c>
      <c r="Q253">
        <v>800</v>
      </c>
      <c r="R253">
        <v>1058</v>
      </c>
      <c r="S253">
        <v>1182</v>
      </c>
      <c r="T253">
        <v>944</v>
      </c>
      <c r="U253">
        <v>978</v>
      </c>
      <c r="V253">
        <v>772</v>
      </c>
      <c r="W253">
        <v>546</v>
      </c>
      <c r="X253">
        <v>412</v>
      </c>
      <c r="Y253">
        <v>778</v>
      </c>
      <c r="Z253">
        <v>966</v>
      </c>
      <c r="AA253">
        <v>934</v>
      </c>
      <c r="AB253">
        <v>774</v>
      </c>
      <c r="AC253">
        <v>878</v>
      </c>
      <c r="AD253">
        <v>1794</v>
      </c>
    </row>
    <row r="254" spans="1:36" x14ac:dyDescent="0.3">
      <c r="A254" s="71" t="s">
        <v>33</v>
      </c>
      <c r="B254" s="79"/>
      <c r="C254" s="60">
        <v>3121007004</v>
      </c>
      <c r="D254" s="71" t="s">
        <v>509</v>
      </c>
      <c r="E254" s="71" t="s">
        <v>39</v>
      </c>
      <c r="F254" s="71" t="s">
        <v>35</v>
      </c>
      <c r="G254" s="71" t="s">
        <v>273</v>
      </c>
      <c r="H254" s="61">
        <v>45130</v>
      </c>
      <c r="I254" s="60">
        <f t="shared" si="9"/>
        <v>2023</v>
      </c>
      <c r="J254" s="60">
        <f t="shared" si="10"/>
        <v>7</v>
      </c>
      <c r="K254" s="60" t="str">
        <f t="shared" si="11"/>
        <v>2023_7</v>
      </c>
      <c r="L254" s="61" t="s">
        <v>37</v>
      </c>
      <c r="M254">
        <v>877</v>
      </c>
      <c r="N254">
        <v>953</v>
      </c>
      <c r="O254">
        <v>716</v>
      </c>
      <c r="P254">
        <v>546</v>
      </c>
      <c r="Q254">
        <v>775</v>
      </c>
      <c r="R254">
        <v>794</v>
      </c>
      <c r="S254">
        <v>770</v>
      </c>
      <c r="T254">
        <v>821</v>
      </c>
      <c r="U254">
        <v>693</v>
      </c>
      <c r="V254">
        <v>563</v>
      </c>
      <c r="W254">
        <v>397</v>
      </c>
      <c r="X254">
        <v>638</v>
      </c>
      <c r="Y254">
        <v>867</v>
      </c>
      <c r="Z254">
        <v>702</v>
      </c>
      <c r="AA254">
        <v>630</v>
      </c>
      <c r="AB254">
        <v>505</v>
      </c>
      <c r="AC254">
        <v>544</v>
      </c>
    </row>
    <row r="255" spans="1:36" x14ac:dyDescent="0.3">
      <c r="A255" s="60" t="s">
        <v>209</v>
      </c>
      <c r="B255" s="73"/>
      <c r="C255" s="60">
        <v>3160385001</v>
      </c>
      <c r="D255" s="60" t="s">
        <v>510</v>
      </c>
      <c r="E255" s="60" t="s">
        <v>100</v>
      </c>
      <c r="F255" s="60" t="s">
        <v>35</v>
      </c>
      <c r="G255" s="60" t="s">
        <v>274</v>
      </c>
      <c r="H255" s="61">
        <v>45132</v>
      </c>
      <c r="I255" s="60">
        <f t="shared" si="9"/>
        <v>2023</v>
      </c>
      <c r="J255" s="60">
        <f t="shared" si="10"/>
        <v>7</v>
      </c>
      <c r="K255" s="60" t="str">
        <f t="shared" si="11"/>
        <v>2023_7</v>
      </c>
      <c r="L255" s="61" t="s">
        <v>37</v>
      </c>
      <c r="M255">
        <v>1192</v>
      </c>
      <c r="N255">
        <v>1172</v>
      </c>
      <c r="O255">
        <v>563</v>
      </c>
      <c r="P255">
        <v>381</v>
      </c>
      <c r="Q255">
        <v>709</v>
      </c>
      <c r="R255">
        <v>1070</v>
      </c>
      <c r="S255">
        <v>760</v>
      </c>
      <c r="T255">
        <v>941</v>
      </c>
      <c r="U255">
        <v>557</v>
      </c>
      <c r="V255">
        <v>782</v>
      </c>
      <c r="W255">
        <v>1128</v>
      </c>
      <c r="X255">
        <v>920</v>
      </c>
      <c r="Y255">
        <v>1472</v>
      </c>
      <c r="Z255">
        <v>804</v>
      </c>
      <c r="AA255">
        <v>1150</v>
      </c>
      <c r="AB255">
        <v>1366</v>
      </c>
      <c r="AC255">
        <v>3194</v>
      </c>
    </row>
    <row r="256" spans="1:36" x14ac:dyDescent="0.3">
      <c r="A256" s="60" t="s">
        <v>209</v>
      </c>
      <c r="B256" s="73"/>
      <c r="C256" s="60">
        <v>3062423000</v>
      </c>
      <c r="D256" s="60" t="s">
        <v>443</v>
      </c>
      <c r="E256" s="60" t="s">
        <v>39</v>
      </c>
      <c r="F256" s="60" t="s">
        <v>35</v>
      </c>
      <c r="G256" s="60" t="s">
        <v>275</v>
      </c>
      <c r="H256" s="61">
        <v>45142</v>
      </c>
      <c r="I256" s="60">
        <f t="shared" si="9"/>
        <v>2023</v>
      </c>
      <c r="J256" s="60">
        <f t="shared" si="10"/>
        <v>8</v>
      </c>
      <c r="K256" s="60" t="str">
        <f t="shared" si="11"/>
        <v>2023_8</v>
      </c>
      <c r="L256" s="61" t="s">
        <v>37</v>
      </c>
      <c r="M256">
        <v>980</v>
      </c>
      <c r="N256">
        <v>794</v>
      </c>
      <c r="O256">
        <v>525</v>
      </c>
      <c r="P256">
        <v>498</v>
      </c>
      <c r="Q256">
        <v>790</v>
      </c>
      <c r="R256">
        <v>775</v>
      </c>
      <c r="S256">
        <v>427</v>
      </c>
      <c r="T256">
        <v>305</v>
      </c>
      <c r="U256">
        <v>292</v>
      </c>
      <c r="V256">
        <v>346</v>
      </c>
      <c r="W256">
        <v>324</v>
      </c>
      <c r="X256">
        <v>593</v>
      </c>
      <c r="Y256">
        <v>887</v>
      </c>
      <c r="Z256">
        <v>766</v>
      </c>
      <c r="AA256">
        <v>430</v>
      </c>
      <c r="AB256">
        <v>416</v>
      </c>
      <c r="AC256">
        <v>477</v>
      </c>
    </row>
    <row r="257" spans="1:28" x14ac:dyDescent="0.3">
      <c r="A257" s="70" t="s">
        <v>33</v>
      </c>
      <c r="B257" s="78"/>
      <c r="C257" s="60">
        <v>3062423000</v>
      </c>
      <c r="D257" s="70" t="s">
        <v>380</v>
      </c>
      <c r="E257" s="70" t="s">
        <v>34</v>
      </c>
      <c r="F257" s="70" t="s">
        <v>35</v>
      </c>
      <c r="G257" s="70" t="s">
        <v>276</v>
      </c>
      <c r="H257" s="61">
        <v>45142</v>
      </c>
      <c r="I257" s="60">
        <f t="shared" si="9"/>
        <v>2023</v>
      </c>
      <c r="J257" s="60">
        <f t="shared" si="10"/>
        <v>8</v>
      </c>
      <c r="K257" s="60" t="str">
        <f t="shared" si="11"/>
        <v>2023_8</v>
      </c>
      <c r="L257" s="61" t="s">
        <v>37</v>
      </c>
      <c r="M257" s="38"/>
    </row>
    <row r="258" spans="1:28" x14ac:dyDescent="0.3">
      <c r="A258" s="60" t="s">
        <v>124</v>
      </c>
      <c r="B258" s="73"/>
      <c r="C258" s="60">
        <v>3130326000</v>
      </c>
      <c r="D258" s="60" t="s">
        <v>417</v>
      </c>
      <c r="E258" s="60" t="s">
        <v>39</v>
      </c>
      <c r="F258" s="60" t="s">
        <v>35</v>
      </c>
      <c r="G258" s="60" t="s">
        <v>277</v>
      </c>
      <c r="H258" s="61">
        <v>45168</v>
      </c>
      <c r="I258" s="60">
        <f t="shared" si="9"/>
        <v>2023</v>
      </c>
      <c r="J258" s="60">
        <f t="shared" si="10"/>
        <v>8</v>
      </c>
      <c r="K258" s="60" t="str">
        <f t="shared" si="11"/>
        <v>2023_8</v>
      </c>
      <c r="L258" s="61" t="s">
        <v>37</v>
      </c>
      <c r="M258">
        <v>665</v>
      </c>
      <c r="N258">
        <v>455</v>
      </c>
      <c r="O258">
        <v>481</v>
      </c>
      <c r="P258">
        <v>340</v>
      </c>
      <c r="Q258">
        <v>330</v>
      </c>
      <c r="R258">
        <v>376</v>
      </c>
      <c r="S258">
        <v>309</v>
      </c>
      <c r="T258">
        <v>300</v>
      </c>
      <c r="U258">
        <v>292</v>
      </c>
      <c r="V258">
        <v>303</v>
      </c>
      <c r="W258">
        <v>334</v>
      </c>
      <c r="X258">
        <v>443</v>
      </c>
      <c r="Y258">
        <v>313</v>
      </c>
      <c r="Z258">
        <v>392</v>
      </c>
      <c r="AA258">
        <v>532</v>
      </c>
      <c r="AB258">
        <v>577</v>
      </c>
    </row>
    <row r="259" spans="1:28" x14ac:dyDescent="0.3">
      <c r="A259" s="60" t="s">
        <v>33</v>
      </c>
      <c r="B259" s="73"/>
      <c r="C259" s="60">
        <v>3131251001</v>
      </c>
      <c r="D259" s="60" t="s">
        <v>362</v>
      </c>
      <c r="E259" s="60" t="s">
        <v>39</v>
      </c>
      <c r="F259" s="60" t="s">
        <v>35</v>
      </c>
      <c r="G259" s="60" t="s">
        <v>278</v>
      </c>
      <c r="H259" s="61">
        <v>45168</v>
      </c>
      <c r="I259" s="60">
        <f t="shared" ref="I259:I265" si="12">YEAR(H259)</f>
        <v>2023</v>
      </c>
      <c r="J259" s="60">
        <f t="shared" ref="J259:J265" si="13">MONTH(H259)</f>
        <v>8</v>
      </c>
      <c r="K259" s="60" t="str">
        <f t="shared" ref="K259:K265" si="14">I259&amp;"_"&amp;J259</f>
        <v>2023_8</v>
      </c>
      <c r="L259" s="61" t="s">
        <v>37</v>
      </c>
      <c r="M259">
        <v>1699</v>
      </c>
      <c r="N259">
        <v>1036</v>
      </c>
      <c r="O259">
        <v>796</v>
      </c>
      <c r="P259">
        <v>981</v>
      </c>
      <c r="Q259">
        <v>963</v>
      </c>
      <c r="R259">
        <v>1178</v>
      </c>
      <c r="S259">
        <v>985</v>
      </c>
      <c r="T259">
        <v>1214</v>
      </c>
      <c r="U259">
        <v>806</v>
      </c>
      <c r="V259">
        <v>577</v>
      </c>
      <c r="W259">
        <v>754</v>
      </c>
      <c r="X259">
        <v>2003</v>
      </c>
      <c r="Y259">
        <v>1319</v>
      </c>
      <c r="Z259">
        <v>1178</v>
      </c>
      <c r="AA259">
        <v>1036</v>
      </c>
      <c r="AB259">
        <v>1282</v>
      </c>
    </row>
    <row r="260" spans="1:28" x14ac:dyDescent="0.3">
      <c r="A260" s="70" t="s">
        <v>209</v>
      </c>
      <c r="B260" s="78"/>
      <c r="C260" s="60">
        <v>3161076002</v>
      </c>
      <c r="D260" s="70" t="s">
        <v>511</v>
      </c>
      <c r="E260" s="70" t="s">
        <v>100</v>
      </c>
      <c r="F260" s="70" t="s">
        <v>35</v>
      </c>
      <c r="G260" s="70" t="s">
        <v>279</v>
      </c>
      <c r="H260" s="61">
        <v>45170</v>
      </c>
      <c r="I260" s="60">
        <f t="shared" si="12"/>
        <v>2023</v>
      </c>
      <c r="J260" s="60">
        <f t="shared" si="13"/>
        <v>9</v>
      </c>
      <c r="K260" s="60" t="str">
        <f t="shared" si="14"/>
        <v>2023_9</v>
      </c>
      <c r="L260" s="61" t="s">
        <v>37</v>
      </c>
      <c r="M260">
        <v>587</v>
      </c>
      <c r="N260">
        <v>654</v>
      </c>
      <c r="O260">
        <v>806</v>
      </c>
      <c r="P260">
        <v>706</v>
      </c>
      <c r="Q260">
        <v>793</v>
      </c>
      <c r="R260">
        <v>886</v>
      </c>
      <c r="S260">
        <v>709</v>
      </c>
      <c r="T260">
        <v>639</v>
      </c>
      <c r="U260">
        <v>649</v>
      </c>
      <c r="V260">
        <v>595</v>
      </c>
      <c r="W260">
        <v>1021</v>
      </c>
      <c r="X260">
        <v>791</v>
      </c>
      <c r="Y260">
        <v>742</v>
      </c>
      <c r="Z260">
        <v>1004</v>
      </c>
      <c r="AA260">
        <v>2287</v>
      </c>
    </row>
    <row r="261" spans="1:28" x14ac:dyDescent="0.3">
      <c r="A261" s="60" t="s">
        <v>128</v>
      </c>
      <c r="B261" s="73"/>
      <c r="C261" s="60">
        <v>3142082000</v>
      </c>
      <c r="D261" s="60" t="s">
        <v>512</v>
      </c>
      <c r="E261" s="60" t="s">
        <v>43</v>
      </c>
      <c r="F261" s="60" t="s">
        <v>35</v>
      </c>
      <c r="G261" s="60" t="s">
        <v>280</v>
      </c>
      <c r="H261" s="61">
        <v>45181</v>
      </c>
      <c r="I261" s="60">
        <f t="shared" si="12"/>
        <v>2023</v>
      </c>
      <c r="J261" s="60">
        <f t="shared" si="13"/>
        <v>9</v>
      </c>
      <c r="K261" s="60" t="str">
        <f t="shared" si="14"/>
        <v>2023_9</v>
      </c>
      <c r="L261" s="61" t="s">
        <v>37</v>
      </c>
      <c r="M261">
        <v>1140</v>
      </c>
      <c r="N261">
        <v>983</v>
      </c>
      <c r="O261">
        <v>1031</v>
      </c>
      <c r="P261">
        <v>1042</v>
      </c>
      <c r="Q261">
        <v>1128</v>
      </c>
      <c r="R261">
        <v>851</v>
      </c>
      <c r="S261">
        <v>1027</v>
      </c>
      <c r="T261">
        <v>797</v>
      </c>
      <c r="U261">
        <v>677</v>
      </c>
      <c r="V261">
        <v>635</v>
      </c>
      <c r="W261">
        <v>701</v>
      </c>
      <c r="X261">
        <v>791</v>
      </c>
      <c r="Y261">
        <v>788</v>
      </c>
      <c r="Z261">
        <v>956</v>
      </c>
      <c r="AA261">
        <v>1840</v>
      </c>
    </row>
    <row r="262" spans="1:28" x14ac:dyDescent="0.3">
      <c r="A262" s="60" t="s">
        <v>33</v>
      </c>
      <c r="B262" s="73"/>
      <c r="C262" s="60">
        <v>3130464000</v>
      </c>
      <c r="D262" s="60" t="s">
        <v>513</v>
      </c>
      <c r="E262" s="60" t="s">
        <v>39</v>
      </c>
      <c r="F262" s="60" t="s">
        <v>35</v>
      </c>
      <c r="G262" s="60" t="s">
        <v>281</v>
      </c>
      <c r="H262" s="61">
        <v>45187</v>
      </c>
      <c r="I262" s="60">
        <f t="shared" si="12"/>
        <v>2023</v>
      </c>
      <c r="J262" s="60">
        <f t="shared" si="13"/>
        <v>9</v>
      </c>
      <c r="K262" s="60" t="str">
        <f t="shared" si="14"/>
        <v>2023_9</v>
      </c>
      <c r="L262" s="61" t="s">
        <v>37</v>
      </c>
      <c r="M262">
        <v>1331</v>
      </c>
      <c r="N262">
        <v>1152</v>
      </c>
      <c r="O262">
        <v>490</v>
      </c>
      <c r="P262">
        <v>716</v>
      </c>
      <c r="Q262">
        <v>844</v>
      </c>
      <c r="R262">
        <v>654</v>
      </c>
      <c r="S262">
        <v>404</v>
      </c>
      <c r="T262">
        <v>641</v>
      </c>
      <c r="U262">
        <v>852</v>
      </c>
      <c r="V262">
        <v>1247</v>
      </c>
      <c r="W262">
        <v>1920</v>
      </c>
      <c r="X262">
        <v>1630</v>
      </c>
      <c r="Y262">
        <v>1468</v>
      </c>
      <c r="Z262">
        <v>1405</v>
      </c>
      <c r="AA262">
        <v>1462</v>
      </c>
    </row>
    <row r="263" spans="1:28" x14ac:dyDescent="0.3">
      <c r="A263" s="71" t="s">
        <v>117</v>
      </c>
      <c r="B263" s="79"/>
      <c r="C263" s="60">
        <v>3132492001</v>
      </c>
      <c r="D263" s="71" t="s">
        <v>514</v>
      </c>
      <c r="E263" s="71" t="s">
        <v>39</v>
      </c>
      <c r="F263" s="71" t="s">
        <v>35</v>
      </c>
      <c r="G263" s="71" t="s">
        <v>282</v>
      </c>
      <c r="H263" s="61">
        <v>45215</v>
      </c>
      <c r="I263" s="60">
        <f t="shared" si="12"/>
        <v>2023</v>
      </c>
      <c r="J263" s="60">
        <f t="shared" si="13"/>
        <v>10</v>
      </c>
      <c r="K263" s="60" t="str">
        <f t="shared" si="14"/>
        <v>2023_10</v>
      </c>
      <c r="L263" s="61" t="s">
        <v>37</v>
      </c>
      <c r="M263">
        <v>505</v>
      </c>
      <c r="N263">
        <v>391</v>
      </c>
      <c r="O263">
        <v>452</v>
      </c>
      <c r="P263">
        <v>518</v>
      </c>
      <c r="Q263">
        <v>414</v>
      </c>
      <c r="R263">
        <v>359</v>
      </c>
      <c r="S263">
        <v>382</v>
      </c>
      <c r="T263">
        <v>383</v>
      </c>
      <c r="U263">
        <v>493</v>
      </c>
      <c r="V263">
        <v>982</v>
      </c>
      <c r="W263">
        <v>756</v>
      </c>
      <c r="X263">
        <v>652</v>
      </c>
      <c r="Y263">
        <v>655</v>
      </c>
      <c r="Z263">
        <v>1080</v>
      </c>
    </row>
    <row r="264" spans="1:28" x14ac:dyDescent="0.3">
      <c r="A264" s="71" t="s">
        <v>283</v>
      </c>
      <c r="B264" s="79"/>
      <c r="C264" s="60">
        <v>3031252000</v>
      </c>
      <c r="D264" s="71" t="s">
        <v>515</v>
      </c>
      <c r="E264" s="71" t="s">
        <v>34</v>
      </c>
      <c r="F264" s="71" t="s">
        <v>35</v>
      </c>
      <c r="G264" s="71" t="s">
        <v>284</v>
      </c>
      <c r="H264" s="61">
        <v>45229</v>
      </c>
      <c r="I264" s="60">
        <f t="shared" si="12"/>
        <v>2023</v>
      </c>
      <c r="J264" s="60">
        <f t="shared" si="13"/>
        <v>10</v>
      </c>
      <c r="K264" s="60" t="str">
        <f t="shared" si="14"/>
        <v>2023_10</v>
      </c>
      <c r="L264" s="72" t="s">
        <v>172</v>
      </c>
      <c r="M264">
        <v>373</v>
      </c>
      <c r="N264">
        <v>321</v>
      </c>
      <c r="O264">
        <v>395</v>
      </c>
      <c r="P264">
        <v>466</v>
      </c>
      <c r="Q264">
        <v>387</v>
      </c>
      <c r="R264">
        <v>369</v>
      </c>
      <c r="S264">
        <v>322</v>
      </c>
      <c r="T264">
        <v>293</v>
      </c>
      <c r="U264">
        <v>365</v>
      </c>
      <c r="V264">
        <v>549</v>
      </c>
      <c r="W264">
        <v>561</v>
      </c>
      <c r="X264">
        <v>495</v>
      </c>
      <c r="Y264">
        <v>427</v>
      </c>
      <c r="Z264">
        <v>293</v>
      </c>
      <c r="AA264">
        <v>350</v>
      </c>
    </row>
    <row r="265" spans="1:28" x14ac:dyDescent="0.3">
      <c r="A265" s="60" t="s">
        <v>124</v>
      </c>
      <c r="B265" s="73"/>
      <c r="C265" s="60">
        <v>3102168000</v>
      </c>
      <c r="D265" s="60" t="s">
        <v>419</v>
      </c>
      <c r="E265" s="60" t="s">
        <v>39</v>
      </c>
      <c r="F265" s="60" t="s">
        <v>35</v>
      </c>
      <c r="G265" s="60" t="s">
        <v>285</v>
      </c>
      <c r="H265" s="61">
        <v>45247</v>
      </c>
      <c r="I265" s="60">
        <f t="shared" si="12"/>
        <v>2023</v>
      </c>
      <c r="J265" s="60">
        <f t="shared" si="13"/>
        <v>11</v>
      </c>
      <c r="K265" s="60" t="str">
        <f t="shared" si="14"/>
        <v>2023_11</v>
      </c>
      <c r="L265" s="61" t="s">
        <v>37</v>
      </c>
      <c r="M265">
        <v>342</v>
      </c>
      <c r="N265">
        <v>864</v>
      </c>
      <c r="O265">
        <v>1157</v>
      </c>
      <c r="P265">
        <v>1000</v>
      </c>
      <c r="Q265">
        <v>986</v>
      </c>
      <c r="R265">
        <v>523</v>
      </c>
      <c r="S265">
        <v>398</v>
      </c>
      <c r="T265">
        <v>329</v>
      </c>
      <c r="U265">
        <v>349</v>
      </c>
      <c r="V265">
        <v>386</v>
      </c>
      <c r="W265">
        <v>324</v>
      </c>
      <c r="X265">
        <v>356</v>
      </c>
      <c r="Y265">
        <v>606</v>
      </c>
    </row>
    <row r="269" spans="1:28" x14ac:dyDescent="0.3">
      <c r="J269" s="61"/>
    </row>
    <row r="270" spans="1:28" x14ac:dyDescent="0.3">
      <c r="J270" s="6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AA13-3E25-431E-B15C-3F6F4322D4CA}">
  <dimension ref="A1"/>
  <sheetViews>
    <sheetView workbookViewId="0">
      <selection activeCell="A16" sqref="A16"/>
    </sheetView>
  </sheetViews>
  <sheetFormatPr defaultRowHeight="14.4" x14ac:dyDescent="0.3"/>
  <sheetData/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90A5-A174-484B-A188-02270AB139AC}">
  <dimension ref="A3:GX274"/>
  <sheetViews>
    <sheetView workbookViewId="0">
      <selection activeCell="B11" sqref="B11:B274"/>
    </sheetView>
  </sheetViews>
  <sheetFormatPr defaultRowHeight="14.4" x14ac:dyDescent="0.3"/>
  <cols>
    <col min="1" max="1" width="66.77734375" bestFit="1" customWidth="1"/>
    <col min="2" max="2" width="15.109375" bestFit="1" customWidth="1"/>
    <col min="3" max="3" width="15.77734375" bestFit="1" customWidth="1"/>
    <col min="4" max="4" width="31.6640625" bestFit="1" customWidth="1"/>
    <col min="5" max="5" width="11.88671875" bestFit="1" customWidth="1"/>
    <col min="6" max="6" width="13.33203125" bestFit="1" customWidth="1"/>
    <col min="7" max="7" width="10.6640625" bestFit="1" customWidth="1"/>
    <col min="8" max="8" width="11" customWidth="1"/>
    <col min="9" max="9" width="5.109375" bestFit="1" customWidth="1"/>
    <col min="10" max="10" width="6.5546875" bestFit="1" customWidth="1"/>
    <col min="11" max="11" width="8" bestFit="1" customWidth="1"/>
    <col min="12" max="12" width="8" customWidth="1"/>
    <col min="13" max="13" width="10.44140625" bestFit="1" customWidth="1"/>
    <col min="14" max="14" width="15.33203125" customWidth="1"/>
    <col min="15" max="15" width="10.44140625" bestFit="1" customWidth="1"/>
    <col min="62" max="62" width="15.21875" customWidth="1"/>
    <col min="110" max="110" width="14.33203125" customWidth="1"/>
    <col min="158" max="158" width="16.88671875" customWidth="1"/>
  </cols>
  <sheetData>
    <row r="3" spans="1:206" x14ac:dyDescent="0.3">
      <c r="N3" t="s">
        <v>325</v>
      </c>
      <c r="O3" s="40">
        <f>DATE(O5,O6,1)</f>
        <v>43922</v>
      </c>
      <c r="P3" s="40">
        <f t="shared" ref="P3:BG3" si="0">DATE(P5,P6,1)</f>
        <v>43952</v>
      </c>
      <c r="Q3" s="40">
        <f t="shared" si="0"/>
        <v>43983</v>
      </c>
      <c r="R3" s="40">
        <f t="shared" si="0"/>
        <v>44013</v>
      </c>
      <c r="S3" s="40">
        <f t="shared" si="0"/>
        <v>44044</v>
      </c>
      <c r="T3" s="40">
        <f t="shared" si="0"/>
        <v>44075</v>
      </c>
      <c r="U3" s="40">
        <f t="shared" si="0"/>
        <v>44105</v>
      </c>
      <c r="V3" s="40">
        <f t="shared" si="0"/>
        <v>44136</v>
      </c>
      <c r="W3" s="40">
        <f t="shared" si="0"/>
        <v>44166</v>
      </c>
      <c r="X3" s="40">
        <f t="shared" si="0"/>
        <v>44197</v>
      </c>
      <c r="Y3" s="40">
        <f t="shared" si="0"/>
        <v>44228</v>
      </c>
      <c r="Z3" s="40">
        <f t="shared" si="0"/>
        <v>44256</v>
      </c>
      <c r="AA3" s="40">
        <f t="shared" si="0"/>
        <v>44287</v>
      </c>
      <c r="AB3" s="40">
        <f t="shared" si="0"/>
        <v>44317</v>
      </c>
      <c r="AC3" s="40">
        <f t="shared" si="0"/>
        <v>44348</v>
      </c>
      <c r="AD3" s="40">
        <f t="shared" si="0"/>
        <v>44378</v>
      </c>
      <c r="AE3" s="40">
        <f t="shared" si="0"/>
        <v>44409</v>
      </c>
      <c r="AF3" s="40">
        <f t="shared" si="0"/>
        <v>44440</v>
      </c>
      <c r="AG3" s="40">
        <f t="shared" si="0"/>
        <v>44470</v>
      </c>
      <c r="AH3" s="40">
        <f t="shared" si="0"/>
        <v>44501</v>
      </c>
      <c r="AI3" s="40">
        <f t="shared" si="0"/>
        <v>44531</v>
      </c>
      <c r="AJ3" s="40">
        <f t="shared" si="0"/>
        <v>44562</v>
      </c>
      <c r="AK3" s="40">
        <f t="shared" si="0"/>
        <v>44593</v>
      </c>
      <c r="AL3" s="40">
        <f t="shared" si="0"/>
        <v>44621</v>
      </c>
      <c r="AM3" s="40">
        <f t="shared" si="0"/>
        <v>44652</v>
      </c>
      <c r="AN3" s="40">
        <f t="shared" si="0"/>
        <v>44682</v>
      </c>
      <c r="AO3" s="40">
        <f t="shared" si="0"/>
        <v>44713</v>
      </c>
      <c r="AP3" s="40">
        <f t="shared" si="0"/>
        <v>44743</v>
      </c>
      <c r="AQ3" s="40">
        <f t="shared" si="0"/>
        <v>44774</v>
      </c>
      <c r="AR3" s="40">
        <f t="shared" si="0"/>
        <v>44805</v>
      </c>
      <c r="AS3" s="40">
        <f t="shared" si="0"/>
        <v>44835</v>
      </c>
      <c r="AT3" s="40">
        <f t="shared" si="0"/>
        <v>44866</v>
      </c>
      <c r="AU3" s="40">
        <f t="shared" si="0"/>
        <v>44896</v>
      </c>
      <c r="AV3" s="40">
        <f t="shared" si="0"/>
        <v>44927</v>
      </c>
      <c r="AW3" s="40">
        <f t="shared" si="0"/>
        <v>44958</v>
      </c>
      <c r="AX3" s="40">
        <f t="shared" si="0"/>
        <v>44986</v>
      </c>
      <c r="AY3" s="40">
        <f t="shared" si="0"/>
        <v>45017</v>
      </c>
      <c r="AZ3" s="40">
        <f t="shared" si="0"/>
        <v>45047</v>
      </c>
      <c r="BA3" s="40">
        <f t="shared" si="0"/>
        <v>45078</v>
      </c>
      <c r="BB3" s="40">
        <f t="shared" si="0"/>
        <v>45108</v>
      </c>
      <c r="BC3" s="40">
        <f t="shared" si="0"/>
        <v>45139</v>
      </c>
      <c r="BD3" s="40">
        <f t="shared" si="0"/>
        <v>45170</v>
      </c>
      <c r="BE3" s="40">
        <f t="shared" si="0"/>
        <v>45200</v>
      </c>
      <c r="BF3" s="40">
        <f t="shared" si="0"/>
        <v>45231</v>
      </c>
      <c r="BG3" s="40">
        <f t="shared" si="0"/>
        <v>45261</v>
      </c>
    </row>
    <row r="4" spans="1:206" x14ac:dyDescent="0.3">
      <c r="N4" t="s">
        <v>322</v>
      </c>
      <c r="O4">
        <v>0</v>
      </c>
      <c r="P4">
        <f>+O4+1</f>
        <v>1</v>
      </c>
      <c r="Q4">
        <f t="shared" ref="Q4:BG4" si="1">+P4+1</f>
        <v>2</v>
      </c>
      <c r="R4">
        <f t="shared" si="1"/>
        <v>3</v>
      </c>
      <c r="S4">
        <f t="shared" si="1"/>
        <v>4</v>
      </c>
      <c r="T4">
        <f t="shared" si="1"/>
        <v>5</v>
      </c>
      <c r="U4">
        <f t="shared" si="1"/>
        <v>6</v>
      </c>
      <c r="V4">
        <f t="shared" si="1"/>
        <v>7</v>
      </c>
      <c r="W4">
        <f t="shared" si="1"/>
        <v>8</v>
      </c>
      <c r="X4">
        <f t="shared" si="1"/>
        <v>9</v>
      </c>
      <c r="Y4">
        <f t="shared" si="1"/>
        <v>10</v>
      </c>
      <c r="Z4">
        <f t="shared" si="1"/>
        <v>11</v>
      </c>
      <c r="AA4">
        <f t="shared" si="1"/>
        <v>12</v>
      </c>
      <c r="AB4">
        <f t="shared" si="1"/>
        <v>13</v>
      </c>
      <c r="AC4">
        <f t="shared" si="1"/>
        <v>14</v>
      </c>
      <c r="AD4">
        <f t="shared" si="1"/>
        <v>15</v>
      </c>
      <c r="AE4">
        <f t="shared" si="1"/>
        <v>16</v>
      </c>
      <c r="AF4">
        <f t="shared" si="1"/>
        <v>17</v>
      </c>
      <c r="AG4">
        <f t="shared" si="1"/>
        <v>18</v>
      </c>
      <c r="AH4">
        <f t="shared" si="1"/>
        <v>19</v>
      </c>
      <c r="AI4">
        <f t="shared" si="1"/>
        <v>20</v>
      </c>
      <c r="AJ4">
        <f t="shared" si="1"/>
        <v>21</v>
      </c>
      <c r="AK4">
        <f t="shared" si="1"/>
        <v>22</v>
      </c>
      <c r="AL4">
        <f t="shared" si="1"/>
        <v>23</v>
      </c>
      <c r="AM4">
        <f t="shared" si="1"/>
        <v>24</v>
      </c>
      <c r="AN4">
        <f t="shared" si="1"/>
        <v>25</v>
      </c>
      <c r="AO4">
        <f t="shared" si="1"/>
        <v>26</v>
      </c>
      <c r="AP4">
        <f t="shared" si="1"/>
        <v>27</v>
      </c>
      <c r="AQ4">
        <f t="shared" si="1"/>
        <v>28</v>
      </c>
      <c r="AR4">
        <f t="shared" si="1"/>
        <v>29</v>
      </c>
      <c r="AS4">
        <f t="shared" si="1"/>
        <v>30</v>
      </c>
      <c r="AT4">
        <f t="shared" si="1"/>
        <v>31</v>
      </c>
      <c r="AU4">
        <f t="shared" si="1"/>
        <v>32</v>
      </c>
      <c r="AV4">
        <f t="shared" si="1"/>
        <v>33</v>
      </c>
      <c r="AW4">
        <f t="shared" si="1"/>
        <v>34</v>
      </c>
      <c r="AX4">
        <f t="shared" si="1"/>
        <v>35</v>
      </c>
      <c r="AY4">
        <f t="shared" si="1"/>
        <v>36</v>
      </c>
      <c r="AZ4">
        <f t="shared" si="1"/>
        <v>37</v>
      </c>
      <c r="BA4">
        <f t="shared" si="1"/>
        <v>38</v>
      </c>
      <c r="BB4">
        <f t="shared" si="1"/>
        <v>39</v>
      </c>
      <c r="BC4">
        <f t="shared" si="1"/>
        <v>40</v>
      </c>
      <c r="BD4">
        <f t="shared" si="1"/>
        <v>41</v>
      </c>
      <c r="BE4">
        <f t="shared" si="1"/>
        <v>42</v>
      </c>
      <c r="BF4">
        <f t="shared" si="1"/>
        <v>43</v>
      </c>
      <c r="BG4">
        <f t="shared" si="1"/>
        <v>44</v>
      </c>
    </row>
    <row r="5" spans="1:206" x14ac:dyDescent="0.3">
      <c r="N5" t="s">
        <v>287</v>
      </c>
      <c r="O5">
        <v>2020</v>
      </c>
      <c r="P5">
        <f>+O5</f>
        <v>2020</v>
      </c>
      <c r="Q5">
        <f t="shared" ref="Q5:W5" si="2">+P5</f>
        <v>2020</v>
      </c>
      <c r="R5">
        <f t="shared" si="2"/>
        <v>2020</v>
      </c>
      <c r="S5">
        <f t="shared" si="2"/>
        <v>2020</v>
      </c>
      <c r="T5">
        <f t="shared" si="2"/>
        <v>2020</v>
      </c>
      <c r="U5">
        <f t="shared" si="2"/>
        <v>2020</v>
      </c>
      <c r="V5">
        <f t="shared" si="2"/>
        <v>2020</v>
      </c>
      <c r="W5">
        <f t="shared" si="2"/>
        <v>2020</v>
      </c>
      <c r="X5">
        <v>2021</v>
      </c>
      <c r="Y5">
        <f>+X5</f>
        <v>2021</v>
      </c>
      <c r="Z5">
        <f t="shared" ref="Z5:AI5" si="3">+Y5</f>
        <v>2021</v>
      </c>
      <c r="AA5">
        <f t="shared" si="3"/>
        <v>2021</v>
      </c>
      <c r="AB5">
        <f t="shared" si="3"/>
        <v>2021</v>
      </c>
      <c r="AC5">
        <f t="shared" si="3"/>
        <v>2021</v>
      </c>
      <c r="AD5">
        <f t="shared" si="3"/>
        <v>2021</v>
      </c>
      <c r="AE5">
        <f t="shared" si="3"/>
        <v>2021</v>
      </c>
      <c r="AF5">
        <f t="shared" si="3"/>
        <v>2021</v>
      </c>
      <c r="AG5">
        <f t="shared" si="3"/>
        <v>2021</v>
      </c>
      <c r="AH5">
        <f t="shared" si="3"/>
        <v>2021</v>
      </c>
      <c r="AI5">
        <f t="shared" si="3"/>
        <v>2021</v>
      </c>
      <c r="AJ5">
        <f>+X5+1</f>
        <v>2022</v>
      </c>
      <c r="AK5">
        <f t="shared" ref="AK5:BG5" si="4">+Y5+1</f>
        <v>2022</v>
      </c>
      <c r="AL5">
        <f t="shared" si="4"/>
        <v>2022</v>
      </c>
      <c r="AM5">
        <f t="shared" si="4"/>
        <v>2022</v>
      </c>
      <c r="AN5">
        <f t="shared" si="4"/>
        <v>2022</v>
      </c>
      <c r="AO5">
        <f t="shared" si="4"/>
        <v>2022</v>
      </c>
      <c r="AP5">
        <f t="shared" si="4"/>
        <v>2022</v>
      </c>
      <c r="AQ5">
        <f t="shared" si="4"/>
        <v>2022</v>
      </c>
      <c r="AR5">
        <f t="shared" si="4"/>
        <v>2022</v>
      </c>
      <c r="AS5">
        <f t="shared" si="4"/>
        <v>2022</v>
      </c>
      <c r="AT5">
        <f t="shared" si="4"/>
        <v>2022</v>
      </c>
      <c r="AU5">
        <f t="shared" si="4"/>
        <v>2022</v>
      </c>
      <c r="AV5">
        <f t="shared" si="4"/>
        <v>2023</v>
      </c>
      <c r="AW5">
        <f t="shared" si="4"/>
        <v>2023</v>
      </c>
      <c r="AX5">
        <f t="shared" si="4"/>
        <v>2023</v>
      </c>
      <c r="AY5">
        <f t="shared" si="4"/>
        <v>2023</v>
      </c>
      <c r="AZ5">
        <f t="shared" si="4"/>
        <v>2023</v>
      </c>
      <c r="BA5">
        <f t="shared" si="4"/>
        <v>2023</v>
      </c>
      <c r="BB5">
        <f t="shared" si="4"/>
        <v>2023</v>
      </c>
      <c r="BC5">
        <f t="shared" si="4"/>
        <v>2023</v>
      </c>
      <c r="BD5">
        <f t="shared" si="4"/>
        <v>2023</v>
      </c>
      <c r="BE5">
        <f t="shared" si="4"/>
        <v>2023</v>
      </c>
      <c r="BF5">
        <f t="shared" si="4"/>
        <v>2023</v>
      </c>
      <c r="BG5">
        <f t="shared" si="4"/>
        <v>2023</v>
      </c>
    </row>
    <row r="6" spans="1:206" x14ac:dyDescent="0.3">
      <c r="N6" t="s">
        <v>286</v>
      </c>
      <c r="O6">
        <v>4</v>
      </c>
      <c r="P6">
        <f>+O6+1</f>
        <v>5</v>
      </c>
      <c r="Q6">
        <f t="shared" ref="Q6:V6" si="5">+P6+1</f>
        <v>6</v>
      </c>
      <c r="R6">
        <f t="shared" si="5"/>
        <v>7</v>
      </c>
      <c r="S6">
        <f t="shared" si="5"/>
        <v>8</v>
      </c>
      <c r="T6">
        <f t="shared" si="5"/>
        <v>9</v>
      </c>
      <c r="U6">
        <f t="shared" si="5"/>
        <v>10</v>
      </c>
      <c r="V6">
        <f t="shared" si="5"/>
        <v>11</v>
      </c>
      <c r="W6">
        <f>+V6+1</f>
        <v>12</v>
      </c>
      <c r="X6">
        <v>1</v>
      </c>
      <c r="Y6">
        <f>+X6+1</f>
        <v>2</v>
      </c>
      <c r="Z6">
        <f t="shared" ref="Z6" si="6">+Y6+1</f>
        <v>3</v>
      </c>
      <c r="AA6">
        <f>+O6</f>
        <v>4</v>
      </c>
      <c r="AB6">
        <f t="shared" ref="AB6:BG6" si="7">+P6</f>
        <v>5</v>
      </c>
      <c r="AC6">
        <f t="shared" si="7"/>
        <v>6</v>
      </c>
      <c r="AD6">
        <f t="shared" si="7"/>
        <v>7</v>
      </c>
      <c r="AE6">
        <f t="shared" si="7"/>
        <v>8</v>
      </c>
      <c r="AF6">
        <f t="shared" si="7"/>
        <v>9</v>
      </c>
      <c r="AG6">
        <f t="shared" si="7"/>
        <v>10</v>
      </c>
      <c r="AH6">
        <f t="shared" si="7"/>
        <v>11</v>
      </c>
      <c r="AI6">
        <f t="shared" si="7"/>
        <v>12</v>
      </c>
      <c r="AJ6">
        <f t="shared" si="7"/>
        <v>1</v>
      </c>
      <c r="AK6">
        <f t="shared" si="7"/>
        <v>2</v>
      </c>
      <c r="AL6">
        <f t="shared" si="7"/>
        <v>3</v>
      </c>
      <c r="AM6">
        <f t="shared" si="7"/>
        <v>4</v>
      </c>
      <c r="AN6">
        <f t="shared" si="7"/>
        <v>5</v>
      </c>
      <c r="AO6">
        <f t="shared" si="7"/>
        <v>6</v>
      </c>
      <c r="AP6">
        <f t="shared" si="7"/>
        <v>7</v>
      </c>
      <c r="AQ6">
        <f t="shared" si="7"/>
        <v>8</v>
      </c>
      <c r="AR6">
        <f t="shared" si="7"/>
        <v>9</v>
      </c>
      <c r="AS6">
        <f t="shared" si="7"/>
        <v>10</v>
      </c>
      <c r="AT6">
        <f t="shared" si="7"/>
        <v>11</v>
      </c>
      <c r="AU6">
        <f t="shared" si="7"/>
        <v>12</v>
      </c>
      <c r="AV6">
        <f t="shared" si="7"/>
        <v>1</v>
      </c>
      <c r="AW6">
        <f t="shared" si="7"/>
        <v>2</v>
      </c>
      <c r="AX6">
        <f t="shared" si="7"/>
        <v>3</v>
      </c>
      <c r="AY6">
        <f t="shared" si="7"/>
        <v>4</v>
      </c>
      <c r="AZ6">
        <f t="shared" si="7"/>
        <v>5</v>
      </c>
      <c r="BA6">
        <f t="shared" si="7"/>
        <v>6</v>
      </c>
      <c r="BB6">
        <f t="shared" si="7"/>
        <v>7</v>
      </c>
      <c r="BC6">
        <f t="shared" si="7"/>
        <v>8</v>
      </c>
      <c r="BD6">
        <f t="shared" si="7"/>
        <v>9</v>
      </c>
      <c r="BE6">
        <f t="shared" si="7"/>
        <v>10</v>
      </c>
      <c r="BF6">
        <f t="shared" si="7"/>
        <v>11</v>
      </c>
      <c r="BG6">
        <f t="shared" si="7"/>
        <v>12</v>
      </c>
    </row>
    <row r="7" spans="1:206" x14ac:dyDescent="0.3">
      <c r="N7" t="s">
        <v>288</v>
      </c>
      <c r="O7" t="str">
        <f>+O5&amp;"_"&amp;O6</f>
        <v>2020_4</v>
      </c>
      <c r="P7" t="str">
        <f t="shared" ref="P7:BG7" si="8">+P5&amp;"_"&amp;P6</f>
        <v>2020_5</v>
      </c>
      <c r="Q7" t="str">
        <f t="shared" si="8"/>
        <v>2020_6</v>
      </c>
      <c r="R7" t="str">
        <f t="shared" si="8"/>
        <v>2020_7</v>
      </c>
      <c r="S7" t="str">
        <f t="shared" si="8"/>
        <v>2020_8</v>
      </c>
      <c r="T7" t="str">
        <f t="shared" si="8"/>
        <v>2020_9</v>
      </c>
      <c r="U7" t="str">
        <f t="shared" si="8"/>
        <v>2020_10</v>
      </c>
      <c r="V7" t="str">
        <f t="shared" si="8"/>
        <v>2020_11</v>
      </c>
      <c r="W7" t="str">
        <f t="shared" si="8"/>
        <v>2020_12</v>
      </c>
      <c r="X7" t="str">
        <f t="shared" si="8"/>
        <v>2021_1</v>
      </c>
      <c r="Y7" t="str">
        <f t="shared" si="8"/>
        <v>2021_2</v>
      </c>
      <c r="Z7" t="str">
        <f t="shared" si="8"/>
        <v>2021_3</v>
      </c>
      <c r="AA7" t="str">
        <f t="shared" si="8"/>
        <v>2021_4</v>
      </c>
      <c r="AB7" t="str">
        <f t="shared" si="8"/>
        <v>2021_5</v>
      </c>
      <c r="AC7" t="str">
        <f t="shared" si="8"/>
        <v>2021_6</v>
      </c>
      <c r="AD7" t="str">
        <f t="shared" si="8"/>
        <v>2021_7</v>
      </c>
      <c r="AE7" t="str">
        <f t="shared" si="8"/>
        <v>2021_8</v>
      </c>
      <c r="AF7" t="str">
        <f t="shared" si="8"/>
        <v>2021_9</v>
      </c>
      <c r="AG7" t="str">
        <f t="shared" si="8"/>
        <v>2021_10</v>
      </c>
      <c r="AH7" t="str">
        <f t="shared" si="8"/>
        <v>2021_11</v>
      </c>
      <c r="AI7" t="str">
        <f t="shared" si="8"/>
        <v>2021_12</v>
      </c>
      <c r="AJ7" t="str">
        <f t="shared" si="8"/>
        <v>2022_1</v>
      </c>
      <c r="AK7" t="str">
        <f t="shared" si="8"/>
        <v>2022_2</v>
      </c>
      <c r="AL7" t="str">
        <f t="shared" si="8"/>
        <v>2022_3</v>
      </c>
      <c r="AM7" t="str">
        <f t="shared" si="8"/>
        <v>2022_4</v>
      </c>
      <c r="AN7" t="str">
        <f t="shared" si="8"/>
        <v>2022_5</v>
      </c>
      <c r="AO7" t="str">
        <f t="shared" si="8"/>
        <v>2022_6</v>
      </c>
      <c r="AP7" t="str">
        <f t="shared" si="8"/>
        <v>2022_7</v>
      </c>
      <c r="AQ7" t="str">
        <f t="shared" si="8"/>
        <v>2022_8</v>
      </c>
      <c r="AR7" t="str">
        <f t="shared" si="8"/>
        <v>2022_9</v>
      </c>
      <c r="AS7" t="str">
        <f t="shared" si="8"/>
        <v>2022_10</v>
      </c>
      <c r="AT7" t="str">
        <f t="shared" si="8"/>
        <v>2022_11</v>
      </c>
      <c r="AU7" t="str">
        <f t="shared" si="8"/>
        <v>2022_12</v>
      </c>
      <c r="AV7" t="str">
        <f t="shared" si="8"/>
        <v>2023_1</v>
      </c>
      <c r="AW7" t="str">
        <f t="shared" si="8"/>
        <v>2023_2</v>
      </c>
      <c r="AX7" t="str">
        <f t="shared" si="8"/>
        <v>2023_3</v>
      </c>
      <c r="AY7" t="str">
        <f t="shared" si="8"/>
        <v>2023_4</v>
      </c>
      <c r="AZ7" t="str">
        <f t="shared" si="8"/>
        <v>2023_5</v>
      </c>
      <c r="BA7" t="str">
        <f t="shared" si="8"/>
        <v>2023_6</v>
      </c>
      <c r="BB7" t="str">
        <f t="shared" si="8"/>
        <v>2023_7</v>
      </c>
      <c r="BC7" t="str">
        <f t="shared" si="8"/>
        <v>2023_8</v>
      </c>
      <c r="BD7" t="str">
        <f t="shared" si="8"/>
        <v>2023_9</v>
      </c>
      <c r="BE7" t="str">
        <f t="shared" si="8"/>
        <v>2023_10</v>
      </c>
      <c r="BF7" t="str">
        <f t="shared" si="8"/>
        <v>2023_11</v>
      </c>
      <c r="BG7" t="str">
        <f t="shared" si="8"/>
        <v>2023_12</v>
      </c>
    </row>
    <row r="8" spans="1:206" x14ac:dyDescent="0.3">
      <c r="N8" t="s">
        <v>323</v>
      </c>
      <c r="O8">
        <f>IF(OR(O6&lt;5,O6&gt;10),1,0)</f>
        <v>1</v>
      </c>
      <c r="P8">
        <f t="shared" ref="P8:BG8" si="9">IF(OR(P6&lt;5,P6&gt;10),1,0)</f>
        <v>0</v>
      </c>
      <c r="Q8">
        <f t="shared" si="9"/>
        <v>0</v>
      </c>
      <c r="R8">
        <f t="shared" si="9"/>
        <v>0</v>
      </c>
      <c r="S8">
        <f t="shared" si="9"/>
        <v>0</v>
      </c>
      <c r="T8">
        <f t="shared" si="9"/>
        <v>0</v>
      </c>
      <c r="U8">
        <f t="shared" si="9"/>
        <v>0</v>
      </c>
      <c r="V8">
        <f t="shared" si="9"/>
        <v>1</v>
      </c>
      <c r="W8">
        <f t="shared" si="9"/>
        <v>1</v>
      </c>
      <c r="X8">
        <f t="shared" si="9"/>
        <v>1</v>
      </c>
      <c r="Y8">
        <f t="shared" si="9"/>
        <v>1</v>
      </c>
      <c r="Z8">
        <f t="shared" si="9"/>
        <v>1</v>
      </c>
      <c r="AA8">
        <f t="shared" si="9"/>
        <v>1</v>
      </c>
      <c r="AB8">
        <f t="shared" si="9"/>
        <v>0</v>
      </c>
      <c r="AC8">
        <f t="shared" si="9"/>
        <v>0</v>
      </c>
      <c r="AD8">
        <f t="shared" si="9"/>
        <v>0</v>
      </c>
      <c r="AE8">
        <f t="shared" si="9"/>
        <v>0</v>
      </c>
      <c r="AF8">
        <f t="shared" si="9"/>
        <v>0</v>
      </c>
      <c r="AG8">
        <f t="shared" si="9"/>
        <v>0</v>
      </c>
      <c r="AH8">
        <f t="shared" si="9"/>
        <v>1</v>
      </c>
      <c r="AI8">
        <f t="shared" si="9"/>
        <v>1</v>
      </c>
      <c r="AJ8">
        <f t="shared" si="9"/>
        <v>1</v>
      </c>
      <c r="AK8">
        <f t="shared" si="9"/>
        <v>1</v>
      </c>
      <c r="AL8">
        <f t="shared" si="9"/>
        <v>1</v>
      </c>
      <c r="AM8">
        <f t="shared" si="9"/>
        <v>1</v>
      </c>
      <c r="AN8">
        <f t="shared" si="9"/>
        <v>0</v>
      </c>
      <c r="AO8">
        <f t="shared" si="9"/>
        <v>0</v>
      </c>
      <c r="AP8">
        <f t="shared" si="9"/>
        <v>0</v>
      </c>
      <c r="AQ8">
        <f t="shared" si="9"/>
        <v>0</v>
      </c>
      <c r="AR8">
        <f t="shared" si="9"/>
        <v>0</v>
      </c>
      <c r="AS8">
        <f t="shared" si="9"/>
        <v>0</v>
      </c>
      <c r="AT8">
        <f t="shared" si="9"/>
        <v>1</v>
      </c>
      <c r="AU8">
        <f t="shared" si="9"/>
        <v>1</v>
      </c>
      <c r="AV8">
        <f t="shared" si="9"/>
        <v>1</v>
      </c>
      <c r="AW8">
        <f t="shared" si="9"/>
        <v>1</v>
      </c>
      <c r="AX8">
        <f t="shared" si="9"/>
        <v>1</v>
      </c>
      <c r="AY8">
        <f t="shared" si="9"/>
        <v>1</v>
      </c>
      <c r="AZ8">
        <f t="shared" si="9"/>
        <v>0</v>
      </c>
      <c r="BA8">
        <f t="shared" si="9"/>
        <v>0</v>
      </c>
      <c r="BB8">
        <f t="shared" si="9"/>
        <v>0</v>
      </c>
      <c r="BC8">
        <f t="shared" si="9"/>
        <v>0</v>
      </c>
      <c r="BD8">
        <f t="shared" si="9"/>
        <v>0</v>
      </c>
      <c r="BE8">
        <f t="shared" si="9"/>
        <v>0</v>
      </c>
      <c r="BF8">
        <f t="shared" si="9"/>
        <v>1</v>
      </c>
      <c r="BG8">
        <f t="shared" si="9"/>
        <v>1</v>
      </c>
    </row>
    <row r="10" spans="1:206" ht="26.4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2" t="s">
        <v>287</v>
      </c>
      <c r="J10" s="2" t="s">
        <v>286</v>
      </c>
      <c r="K10" s="2" t="s">
        <v>288</v>
      </c>
      <c r="L10" s="2" t="s">
        <v>322</v>
      </c>
      <c r="M10" s="2" t="s">
        <v>324</v>
      </c>
      <c r="N10" s="2" t="s">
        <v>8</v>
      </c>
      <c r="O10" t="str">
        <f>O8&amp;"_"&amp;O5&amp;"_"&amp;O6</f>
        <v>1_2020_4</v>
      </c>
      <c r="P10" t="str">
        <f t="shared" ref="P10:BG10" si="10">P8&amp;"_"&amp;P5&amp;"_"&amp;P6</f>
        <v>0_2020_5</v>
      </c>
      <c r="Q10" t="str">
        <f t="shared" si="10"/>
        <v>0_2020_6</v>
      </c>
      <c r="R10" t="str">
        <f t="shared" si="10"/>
        <v>0_2020_7</v>
      </c>
      <c r="S10" t="str">
        <f t="shared" si="10"/>
        <v>0_2020_8</v>
      </c>
      <c r="T10" t="str">
        <f t="shared" si="10"/>
        <v>0_2020_9</v>
      </c>
      <c r="U10" t="str">
        <f t="shared" si="10"/>
        <v>0_2020_10</v>
      </c>
      <c r="V10" t="str">
        <f t="shared" si="10"/>
        <v>1_2020_11</v>
      </c>
      <c r="W10" t="str">
        <f t="shared" si="10"/>
        <v>1_2020_12</v>
      </c>
      <c r="X10" t="str">
        <f t="shared" si="10"/>
        <v>1_2021_1</v>
      </c>
      <c r="Y10" t="str">
        <f t="shared" si="10"/>
        <v>1_2021_2</v>
      </c>
      <c r="Z10" t="str">
        <f t="shared" si="10"/>
        <v>1_2021_3</v>
      </c>
      <c r="AA10" t="str">
        <f t="shared" si="10"/>
        <v>1_2021_4</v>
      </c>
      <c r="AB10" t="str">
        <f t="shared" si="10"/>
        <v>0_2021_5</v>
      </c>
      <c r="AC10" t="str">
        <f t="shared" si="10"/>
        <v>0_2021_6</v>
      </c>
      <c r="AD10" t="str">
        <f t="shared" si="10"/>
        <v>0_2021_7</v>
      </c>
      <c r="AE10" t="str">
        <f t="shared" si="10"/>
        <v>0_2021_8</v>
      </c>
      <c r="AF10" t="str">
        <f t="shared" si="10"/>
        <v>0_2021_9</v>
      </c>
      <c r="AG10" t="str">
        <f t="shared" si="10"/>
        <v>0_2021_10</v>
      </c>
      <c r="AH10" t="str">
        <f t="shared" si="10"/>
        <v>1_2021_11</v>
      </c>
      <c r="AI10" t="str">
        <f t="shared" si="10"/>
        <v>1_2021_12</v>
      </c>
      <c r="AJ10" t="str">
        <f t="shared" si="10"/>
        <v>1_2022_1</v>
      </c>
      <c r="AK10" t="str">
        <f t="shared" si="10"/>
        <v>1_2022_2</v>
      </c>
      <c r="AL10" t="str">
        <f t="shared" si="10"/>
        <v>1_2022_3</v>
      </c>
      <c r="AM10" t="str">
        <f t="shared" si="10"/>
        <v>1_2022_4</v>
      </c>
      <c r="AN10" t="str">
        <f t="shared" si="10"/>
        <v>0_2022_5</v>
      </c>
      <c r="AO10" t="str">
        <f t="shared" si="10"/>
        <v>0_2022_6</v>
      </c>
      <c r="AP10" t="str">
        <f t="shared" si="10"/>
        <v>0_2022_7</v>
      </c>
      <c r="AQ10" t="str">
        <f t="shared" si="10"/>
        <v>0_2022_8</v>
      </c>
      <c r="AR10" t="str">
        <f t="shared" si="10"/>
        <v>0_2022_9</v>
      </c>
      <c r="AS10" t="str">
        <f t="shared" si="10"/>
        <v>0_2022_10</v>
      </c>
      <c r="AT10" t="str">
        <f t="shared" si="10"/>
        <v>1_2022_11</v>
      </c>
      <c r="AU10" t="str">
        <f t="shared" si="10"/>
        <v>1_2022_12</v>
      </c>
      <c r="AV10" t="str">
        <f t="shared" si="10"/>
        <v>1_2023_1</v>
      </c>
      <c r="AW10" t="str">
        <f t="shared" si="10"/>
        <v>1_2023_2</v>
      </c>
      <c r="AX10" t="str">
        <f t="shared" si="10"/>
        <v>1_2023_3</v>
      </c>
      <c r="AY10" t="str">
        <f t="shared" si="10"/>
        <v>1_2023_4</v>
      </c>
      <c r="AZ10" t="str">
        <f t="shared" si="10"/>
        <v>0_2023_5</v>
      </c>
      <c r="BA10" t="str">
        <f t="shared" si="10"/>
        <v>0_2023_6</v>
      </c>
      <c r="BB10" t="str">
        <f t="shared" si="10"/>
        <v>0_2023_7</v>
      </c>
      <c r="BC10" t="str">
        <f t="shared" si="10"/>
        <v>0_2023_8</v>
      </c>
      <c r="BD10" t="str">
        <f t="shared" si="10"/>
        <v>0_2023_9</v>
      </c>
      <c r="BE10" t="str">
        <f t="shared" si="10"/>
        <v>0_2023_10</v>
      </c>
      <c r="BF10" t="str">
        <f t="shared" si="10"/>
        <v>1_2023_11</v>
      </c>
      <c r="BG10" t="str">
        <f t="shared" si="10"/>
        <v>1_2023_12</v>
      </c>
      <c r="BJ10" s="2" t="s">
        <v>8</v>
      </c>
      <c r="BK10" t="str">
        <f>+O10</f>
        <v>1_2020_4</v>
      </c>
      <c r="BL10" t="str">
        <f t="shared" ref="BL10:DC10" si="11">+P10</f>
        <v>0_2020_5</v>
      </c>
      <c r="BM10" t="str">
        <f t="shared" si="11"/>
        <v>0_2020_6</v>
      </c>
      <c r="BN10" t="str">
        <f t="shared" si="11"/>
        <v>0_2020_7</v>
      </c>
      <c r="BO10" t="str">
        <f t="shared" si="11"/>
        <v>0_2020_8</v>
      </c>
      <c r="BP10" t="str">
        <f t="shared" si="11"/>
        <v>0_2020_9</v>
      </c>
      <c r="BQ10" t="str">
        <f t="shared" si="11"/>
        <v>0_2020_10</v>
      </c>
      <c r="BR10" t="str">
        <f t="shared" si="11"/>
        <v>1_2020_11</v>
      </c>
      <c r="BS10" t="str">
        <f t="shared" si="11"/>
        <v>1_2020_12</v>
      </c>
      <c r="BT10" t="str">
        <f t="shared" si="11"/>
        <v>1_2021_1</v>
      </c>
      <c r="BU10" t="str">
        <f t="shared" si="11"/>
        <v>1_2021_2</v>
      </c>
      <c r="BV10" t="str">
        <f t="shared" si="11"/>
        <v>1_2021_3</v>
      </c>
      <c r="BW10" t="str">
        <f t="shared" si="11"/>
        <v>1_2021_4</v>
      </c>
      <c r="BX10" t="str">
        <f t="shared" si="11"/>
        <v>0_2021_5</v>
      </c>
      <c r="BY10" t="str">
        <f t="shared" si="11"/>
        <v>0_2021_6</v>
      </c>
      <c r="BZ10" t="str">
        <f t="shared" si="11"/>
        <v>0_2021_7</v>
      </c>
      <c r="CA10" t="str">
        <f t="shared" si="11"/>
        <v>0_2021_8</v>
      </c>
      <c r="CB10" t="str">
        <f t="shared" si="11"/>
        <v>0_2021_9</v>
      </c>
      <c r="CC10" t="str">
        <f t="shared" si="11"/>
        <v>0_2021_10</v>
      </c>
      <c r="CD10" t="str">
        <f t="shared" si="11"/>
        <v>1_2021_11</v>
      </c>
      <c r="CE10" t="str">
        <f t="shared" si="11"/>
        <v>1_2021_12</v>
      </c>
      <c r="CF10" t="str">
        <f t="shared" si="11"/>
        <v>1_2022_1</v>
      </c>
      <c r="CG10" t="str">
        <f t="shared" si="11"/>
        <v>1_2022_2</v>
      </c>
      <c r="CH10" t="str">
        <f t="shared" si="11"/>
        <v>1_2022_3</v>
      </c>
      <c r="CI10" t="str">
        <f t="shared" si="11"/>
        <v>1_2022_4</v>
      </c>
      <c r="CJ10" t="str">
        <f t="shared" si="11"/>
        <v>0_2022_5</v>
      </c>
      <c r="CK10" t="str">
        <f t="shared" si="11"/>
        <v>0_2022_6</v>
      </c>
      <c r="CL10" t="str">
        <f t="shared" si="11"/>
        <v>0_2022_7</v>
      </c>
      <c r="CM10" t="str">
        <f t="shared" si="11"/>
        <v>0_2022_8</v>
      </c>
      <c r="CN10" t="str">
        <f t="shared" si="11"/>
        <v>0_2022_9</v>
      </c>
      <c r="CO10" t="str">
        <f t="shared" si="11"/>
        <v>0_2022_10</v>
      </c>
      <c r="CP10" t="str">
        <f t="shared" si="11"/>
        <v>1_2022_11</v>
      </c>
      <c r="CQ10" t="str">
        <f t="shared" si="11"/>
        <v>1_2022_12</v>
      </c>
      <c r="CR10" t="str">
        <f t="shared" si="11"/>
        <v>1_2023_1</v>
      </c>
      <c r="CS10" t="str">
        <f t="shared" si="11"/>
        <v>1_2023_2</v>
      </c>
      <c r="CT10" t="str">
        <f t="shared" si="11"/>
        <v>1_2023_3</v>
      </c>
      <c r="CU10" t="str">
        <f t="shared" si="11"/>
        <v>1_2023_4</v>
      </c>
      <c r="CV10" t="str">
        <f t="shared" si="11"/>
        <v>0_2023_5</v>
      </c>
      <c r="CW10" t="str">
        <f t="shared" si="11"/>
        <v>0_2023_6</v>
      </c>
      <c r="CX10" t="str">
        <f t="shared" si="11"/>
        <v>0_2023_7</v>
      </c>
      <c r="CY10" t="str">
        <f t="shared" si="11"/>
        <v>0_2023_8</v>
      </c>
      <c r="CZ10" t="str">
        <f t="shared" si="11"/>
        <v>0_2023_9</v>
      </c>
      <c r="DA10" t="str">
        <f t="shared" si="11"/>
        <v>0_2023_10</v>
      </c>
      <c r="DB10" t="str">
        <f t="shared" si="11"/>
        <v>1_2023_11</v>
      </c>
      <c r="DC10" t="str">
        <f t="shared" si="11"/>
        <v>1_2023_12</v>
      </c>
      <c r="DF10" s="2" t="s">
        <v>8</v>
      </c>
      <c r="DG10" t="str">
        <f>+BK10</f>
        <v>1_2020_4</v>
      </c>
      <c r="DH10" t="str">
        <f t="shared" ref="DH10" si="12">+BL10</f>
        <v>0_2020_5</v>
      </c>
      <c r="DI10" t="str">
        <f t="shared" ref="DI10" si="13">+BM10</f>
        <v>0_2020_6</v>
      </c>
      <c r="DJ10" t="str">
        <f t="shared" ref="DJ10" si="14">+BN10</f>
        <v>0_2020_7</v>
      </c>
      <c r="DK10" t="str">
        <f t="shared" ref="DK10" si="15">+BO10</f>
        <v>0_2020_8</v>
      </c>
      <c r="DL10" t="str">
        <f t="shared" ref="DL10" si="16">+BP10</f>
        <v>0_2020_9</v>
      </c>
      <c r="DM10" t="str">
        <f t="shared" ref="DM10" si="17">+BQ10</f>
        <v>0_2020_10</v>
      </c>
      <c r="DN10" t="str">
        <f t="shared" ref="DN10" si="18">+BR10</f>
        <v>1_2020_11</v>
      </c>
      <c r="DO10" t="str">
        <f t="shared" ref="DO10" si="19">+BS10</f>
        <v>1_2020_12</v>
      </c>
      <c r="DP10" t="str">
        <f t="shared" ref="DP10" si="20">+BT10</f>
        <v>1_2021_1</v>
      </c>
      <c r="DQ10" t="str">
        <f t="shared" ref="DQ10" si="21">+BU10</f>
        <v>1_2021_2</v>
      </c>
      <c r="DR10" t="str">
        <f t="shared" ref="DR10" si="22">+BV10</f>
        <v>1_2021_3</v>
      </c>
      <c r="DS10" t="str">
        <f t="shared" ref="DS10" si="23">+BW10</f>
        <v>1_2021_4</v>
      </c>
      <c r="DT10" t="str">
        <f t="shared" ref="DT10" si="24">+BX10</f>
        <v>0_2021_5</v>
      </c>
      <c r="DU10" t="str">
        <f t="shared" ref="DU10" si="25">+BY10</f>
        <v>0_2021_6</v>
      </c>
      <c r="DV10" t="str">
        <f t="shared" ref="DV10" si="26">+BZ10</f>
        <v>0_2021_7</v>
      </c>
      <c r="DW10" t="str">
        <f t="shared" ref="DW10" si="27">+CA10</f>
        <v>0_2021_8</v>
      </c>
      <c r="DX10" t="str">
        <f t="shared" ref="DX10" si="28">+CB10</f>
        <v>0_2021_9</v>
      </c>
      <c r="DY10" t="str">
        <f t="shared" ref="DY10" si="29">+CC10</f>
        <v>0_2021_10</v>
      </c>
      <c r="DZ10" t="str">
        <f t="shared" ref="DZ10" si="30">+CD10</f>
        <v>1_2021_11</v>
      </c>
      <c r="EA10" t="str">
        <f t="shared" ref="EA10" si="31">+CE10</f>
        <v>1_2021_12</v>
      </c>
      <c r="EB10" t="str">
        <f t="shared" ref="EB10" si="32">+CF10</f>
        <v>1_2022_1</v>
      </c>
      <c r="EC10" t="str">
        <f t="shared" ref="EC10" si="33">+CG10</f>
        <v>1_2022_2</v>
      </c>
      <c r="ED10" t="str">
        <f t="shared" ref="ED10" si="34">+CH10</f>
        <v>1_2022_3</v>
      </c>
      <c r="EE10" t="str">
        <f t="shared" ref="EE10" si="35">+CI10</f>
        <v>1_2022_4</v>
      </c>
      <c r="EF10" t="str">
        <f t="shared" ref="EF10" si="36">+CJ10</f>
        <v>0_2022_5</v>
      </c>
      <c r="EG10" t="str">
        <f t="shared" ref="EG10" si="37">+CK10</f>
        <v>0_2022_6</v>
      </c>
      <c r="EH10" t="str">
        <f t="shared" ref="EH10" si="38">+CL10</f>
        <v>0_2022_7</v>
      </c>
      <c r="EI10" t="str">
        <f t="shared" ref="EI10" si="39">+CM10</f>
        <v>0_2022_8</v>
      </c>
      <c r="EJ10" t="str">
        <f t="shared" ref="EJ10" si="40">+CN10</f>
        <v>0_2022_9</v>
      </c>
      <c r="EK10" t="str">
        <f t="shared" ref="EK10" si="41">+CO10</f>
        <v>0_2022_10</v>
      </c>
      <c r="EL10" t="str">
        <f t="shared" ref="EL10" si="42">+CP10</f>
        <v>1_2022_11</v>
      </c>
      <c r="EM10" t="str">
        <f t="shared" ref="EM10" si="43">+CQ10</f>
        <v>1_2022_12</v>
      </c>
      <c r="EN10" t="str">
        <f t="shared" ref="EN10" si="44">+CR10</f>
        <v>1_2023_1</v>
      </c>
      <c r="EO10" t="str">
        <f t="shared" ref="EO10" si="45">+CS10</f>
        <v>1_2023_2</v>
      </c>
      <c r="EP10" t="str">
        <f t="shared" ref="EP10" si="46">+CT10</f>
        <v>1_2023_3</v>
      </c>
      <c r="EQ10" t="str">
        <f t="shared" ref="EQ10" si="47">+CU10</f>
        <v>1_2023_4</v>
      </c>
      <c r="ER10" t="str">
        <f t="shared" ref="ER10" si="48">+CV10</f>
        <v>0_2023_5</v>
      </c>
      <c r="ES10" t="str">
        <f t="shared" ref="ES10" si="49">+CW10</f>
        <v>0_2023_6</v>
      </c>
      <c r="ET10" t="str">
        <f t="shared" ref="ET10" si="50">+CX10</f>
        <v>0_2023_7</v>
      </c>
      <c r="EU10" t="str">
        <f t="shared" ref="EU10" si="51">+CY10</f>
        <v>0_2023_8</v>
      </c>
      <c r="EV10" t="str">
        <f t="shared" ref="EV10" si="52">+CZ10</f>
        <v>0_2023_9</v>
      </c>
      <c r="EW10" t="str">
        <f t="shared" ref="EW10" si="53">+DA10</f>
        <v>0_2023_10</v>
      </c>
      <c r="EX10" t="str">
        <f t="shared" ref="EX10" si="54">+DB10</f>
        <v>1_2023_11</v>
      </c>
      <c r="EY10" t="str">
        <f t="shared" ref="EY10" si="55">+DC10</f>
        <v>1_2023_12</v>
      </c>
      <c r="FB10" s="2" t="s">
        <v>8</v>
      </c>
      <c r="FC10" t="str">
        <f>+DG10</f>
        <v>1_2020_4</v>
      </c>
      <c r="FD10" t="str">
        <f t="shared" ref="FD10" si="56">+DH10</f>
        <v>0_2020_5</v>
      </c>
      <c r="FE10" t="str">
        <f t="shared" ref="FE10" si="57">+DI10</f>
        <v>0_2020_6</v>
      </c>
      <c r="FF10" t="str">
        <f t="shared" ref="FF10" si="58">+DJ10</f>
        <v>0_2020_7</v>
      </c>
      <c r="FG10" t="str">
        <f t="shared" ref="FG10" si="59">+DK10</f>
        <v>0_2020_8</v>
      </c>
      <c r="FH10" t="str">
        <f t="shared" ref="FH10" si="60">+DL10</f>
        <v>0_2020_9</v>
      </c>
      <c r="FI10" t="str">
        <f t="shared" ref="FI10" si="61">+DM10</f>
        <v>0_2020_10</v>
      </c>
      <c r="FJ10" t="str">
        <f t="shared" ref="FJ10" si="62">+DN10</f>
        <v>1_2020_11</v>
      </c>
      <c r="FK10" t="str">
        <f t="shared" ref="FK10" si="63">+DO10</f>
        <v>1_2020_12</v>
      </c>
      <c r="FL10" t="str">
        <f t="shared" ref="FL10" si="64">+DP10</f>
        <v>1_2021_1</v>
      </c>
      <c r="FM10" t="str">
        <f t="shared" ref="FM10" si="65">+DQ10</f>
        <v>1_2021_2</v>
      </c>
      <c r="FN10" t="str">
        <f t="shared" ref="FN10" si="66">+DR10</f>
        <v>1_2021_3</v>
      </c>
      <c r="FO10" t="str">
        <f t="shared" ref="FO10" si="67">+DS10</f>
        <v>1_2021_4</v>
      </c>
      <c r="FP10" t="str">
        <f t="shared" ref="FP10" si="68">+DT10</f>
        <v>0_2021_5</v>
      </c>
      <c r="FQ10" t="str">
        <f t="shared" ref="FQ10" si="69">+DU10</f>
        <v>0_2021_6</v>
      </c>
      <c r="FR10" t="str">
        <f t="shared" ref="FR10" si="70">+DV10</f>
        <v>0_2021_7</v>
      </c>
      <c r="FS10" t="str">
        <f t="shared" ref="FS10" si="71">+DW10</f>
        <v>0_2021_8</v>
      </c>
      <c r="FT10" t="str">
        <f t="shared" ref="FT10" si="72">+DX10</f>
        <v>0_2021_9</v>
      </c>
      <c r="FU10" t="str">
        <f t="shared" ref="FU10" si="73">+DY10</f>
        <v>0_2021_10</v>
      </c>
      <c r="FV10" t="str">
        <f t="shared" ref="FV10" si="74">+DZ10</f>
        <v>1_2021_11</v>
      </c>
      <c r="FW10" t="str">
        <f t="shared" ref="FW10" si="75">+EA10</f>
        <v>1_2021_12</v>
      </c>
      <c r="FX10" t="str">
        <f t="shared" ref="FX10" si="76">+EB10</f>
        <v>1_2022_1</v>
      </c>
      <c r="FY10" t="str">
        <f t="shared" ref="FY10" si="77">+EC10</f>
        <v>1_2022_2</v>
      </c>
      <c r="FZ10" t="str">
        <f t="shared" ref="FZ10" si="78">+ED10</f>
        <v>1_2022_3</v>
      </c>
      <c r="GA10" t="str">
        <f t="shared" ref="GA10" si="79">+EE10</f>
        <v>1_2022_4</v>
      </c>
      <c r="GB10" t="str">
        <f t="shared" ref="GB10" si="80">+EF10</f>
        <v>0_2022_5</v>
      </c>
      <c r="GC10" t="str">
        <f t="shared" ref="GC10" si="81">+EG10</f>
        <v>0_2022_6</v>
      </c>
      <c r="GD10" t="str">
        <f t="shared" ref="GD10" si="82">+EH10</f>
        <v>0_2022_7</v>
      </c>
      <c r="GE10" t="str">
        <f t="shared" ref="GE10" si="83">+EI10</f>
        <v>0_2022_8</v>
      </c>
      <c r="GF10" t="str">
        <f t="shared" ref="GF10" si="84">+EJ10</f>
        <v>0_2022_9</v>
      </c>
      <c r="GG10" t="str">
        <f t="shared" ref="GG10" si="85">+EK10</f>
        <v>0_2022_10</v>
      </c>
      <c r="GH10" t="str">
        <f t="shared" ref="GH10" si="86">+EL10</f>
        <v>1_2022_11</v>
      </c>
      <c r="GI10" t="str">
        <f t="shared" ref="GI10" si="87">+EM10</f>
        <v>1_2022_12</v>
      </c>
      <c r="GJ10" t="str">
        <f t="shared" ref="GJ10" si="88">+EN10</f>
        <v>1_2023_1</v>
      </c>
      <c r="GK10" t="str">
        <f t="shared" ref="GK10" si="89">+EO10</f>
        <v>1_2023_2</v>
      </c>
      <c r="GL10" t="str">
        <f t="shared" ref="GL10" si="90">+EP10</f>
        <v>1_2023_3</v>
      </c>
      <c r="GM10" t="str">
        <f t="shared" ref="GM10" si="91">+EQ10</f>
        <v>1_2023_4</v>
      </c>
      <c r="GN10" t="str">
        <f t="shared" ref="GN10" si="92">+ER10</f>
        <v>0_2023_5</v>
      </c>
      <c r="GO10" t="str">
        <f t="shared" ref="GO10" si="93">+ES10</f>
        <v>0_2023_6</v>
      </c>
      <c r="GP10" t="str">
        <f t="shared" ref="GP10" si="94">+ET10</f>
        <v>0_2023_7</v>
      </c>
      <c r="GQ10" t="str">
        <f t="shared" ref="GQ10" si="95">+EU10</f>
        <v>0_2023_8</v>
      </c>
      <c r="GR10" t="str">
        <f t="shared" ref="GR10" si="96">+EV10</f>
        <v>0_2023_9</v>
      </c>
      <c r="GS10" t="str">
        <f t="shared" ref="GS10" si="97">+EW10</f>
        <v>0_2023_10</v>
      </c>
      <c r="GT10" t="str">
        <f t="shared" ref="GT10" si="98">+EX10</f>
        <v>1_2023_11</v>
      </c>
      <c r="GU10" t="str">
        <f t="shared" ref="GU10" si="99">+EY10</f>
        <v>1_2023_12</v>
      </c>
      <c r="GX10" s="2"/>
    </row>
    <row r="11" spans="1:206" x14ac:dyDescent="0.3">
      <c r="A11" s="8" t="s">
        <v>33</v>
      </c>
      <c r="B11" s="80"/>
      <c r="C11" s="9">
        <v>3021214000</v>
      </c>
      <c r="D11" s="9" t="s">
        <v>349</v>
      </c>
      <c r="E11" s="9" t="s">
        <v>34</v>
      </c>
      <c r="F11" s="9" t="s">
        <v>35</v>
      </c>
      <c r="G11" s="9" t="s">
        <v>36</v>
      </c>
      <c r="H11" s="10">
        <v>44281</v>
      </c>
      <c r="I11" s="9">
        <f>YEAR(H11)</f>
        <v>2021</v>
      </c>
      <c r="J11" s="9">
        <f>MONTH(H11)</f>
        <v>3</v>
      </c>
      <c r="K11" s="9" t="str">
        <f>I11&amp;"_"&amp;J11</f>
        <v>2021_3</v>
      </c>
      <c r="L11">
        <f>MAX(0,VLOOKUP($K11,lookups!$A$1:$B$45,2,0)-12)</f>
        <v>0</v>
      </c>
      <c r="M11" s="40">
        <f>DATE(I11,J11,1)</f>
        <v>44256</v>
      </c>
      <c r="N11" s="10" t="s">
        <v>37</v>
      </c>
      <c r="O11">
        <f ca="1">IF(OR($L11&gt;O$4,O$4&gt;$L11+23),"",OFFSET(Electric!$L2,0,-'Electric Calendarize'!$L11+'Electric Calendarize'!O$4+1))</f>
        <v>1790</v>
      </c>
      <c r="P11">
        <f ca="1">IF(OR($L11&gt;P$4,P$4&gt;$L11+23),"",OFFSET(Electric!$L2,0,-'Electric Calendarize'!$L11+'Electric Calendarize'!P$4+1))</f>
        <v>1461</v>
      </c>
      <c r="Q11">
        <f ca="1">IF(OR($L11&gt;Q$4,Q$4&gt;$L11+23),"",OFFSET(Electric!$L2,0,-'Electric Calendarize'!$L11+'Electric Calendarize'!Q$4+1))</f>
        <v>999</v>
      </c>
      <c r="R11">
        <f ca="1">IF(OR($L11&gt;R$4,R$4&gt;$L11+23),"",OFFSET(Electric!$L2,0,-'Electric Calendarize'!$L11+'Electric Calendarize'!R$4+1))</f>
        <v>458</v>
      </c>
      <c r="S11">
        <f ca="1">IF(OR($L11&gt;S$4,S$4&gt;$L11+23),"",OFFSET(Electric!$L2,0,-'Electric Calendarize'!$L11+'Electric Calendarize'!S$4+1))</f>
        <v>284</v>
      </c>
      <c r="T11">
        <f ca="1">IF(OR($L11&gt;T$4,T$4&gt;$L11+23),"",OFFSET(Electric!$L2,0,-'Electric Calendarize'!$L11+'Electric Calendarize'!T$4+1))</f>
        <v>444</v>
      </c>
      <c r="U11">
        <f ca="1">IF(OR($L11&gt;U$4,U$4&gt;$L11+23),"",OFFSET(Electric!$L2,0,-'Electric Calendarize'!$L11+'Electric Calendarize'!U$4+1))</f>
        <v>623</v>
      </c>
      <c r="V11">
        <f ca="1">IF(OR($L11&gt;V$4,V$4&gt;$L11+23),"",OFFSET(Electric!$L2,0,-'Electric Calendarize'!$L11+'Electric Calendarize'!V$4+1))</f>
        <v>373</v>
      </c>
      <c r="W11">
        <f ca="1">IF(OR($L11&gt;W$4,W$4&gt;$L11+23),"",OFFSET(Electric!$L2,0,-'Electric Calendarize'!$L11+'Electric Calendarize'!W$4+1))</f>
        <v>374</v>
      </c>
      <c r="X11">
        <f ca="1">IF(OR($L11&gt;X$4,X$4&gt;$L11+23),"",OFFSET(Electric!$L2,0,-'Electric Calendarize'!$L11+'Electric Calendarize'!X$4+1))</f>
        <v>409</v>
      </c>
      <c r="Y11">
        <f ca="1">IF(OR($L11&gt;Y$4,Y$4&gt;$L11+23),"",OFFSET(Electric!$L2,0,-'Electric Calendarize'!$L11+'Electric Calendarize'!Y$4+1))</f>
        <v>480</v>
      </c>
      <c r="Z11">
        <f ca="1">IF(OR($L11&gt;Z$4,Z$4&gt;$L11+23),"",OFFSET(Electric!$L2,0,-'Electric Calendarize'!$L11+'Electric Calendarize'!Z$4+1))</f>
        <v>778</v>
      </c>
      <c r="AA11">
        <f ca="1">IF(OR($L11&gt;AA$4,AA$4&gt;$L11+23),"",OFFSET(Electric!$L2,0,-'Electric Calendarize'!$L11+'Electric Calendarize'!AA$4+1))</f>
        <v>750</v>
      </c>
      <c r="AB11">
        <f ca="1">IF(OR($L11&gt;AB$4,AB$4&gt;$L11+23),"",OFFSET(Electric!$L2,0,-'Electric Calendarize'!$L11+'Electric Calendarize'!AB$4+1))</f>
        <v>453</v>
      </c>
      <c r="AC11">
        <f ca="1">IF(OR($L11&gt;AC$4,AC$4&gt;$L11+23),"",OFFSET(Electric!$L2,0,-'Electric Calendarize'!$L11+'Electric Calendarize'!AC$4+1))</f>
        <v>490</v>
      </c>
      <c r="AD11">
        <f ca="1">IF(OR($L11&gt;AD$4,AD$4&gt;$L11+23),"",OFFSET(Electric!$L2,0,-'Electric Calendarize'!$L11+'Electric Calendarize'!AD$4+1))</f>
        <v>471</v>
      </c>
      <c r="AE11">
        <f ca="1">IF(OR($L11&gt;AE$4,AE$4&gt;$L11+23),"",OFFSET(Electric!$L2,0,-'Electric Calendarize'!$L11+'Electric Calendarize'!AE$4+1))</f>
        <v>517</v>
      </c>
      <c r="AF11">
        <f ca="1">IF(OR($L11&gt;AF$4,AF$4&gt;$L11+23),"",OFFSET(Electric!$L2,0,-'Electric Calendarize'!$L11+'Electric Calendarize'!AF$4+1))</f>
        <v>572</v>
      </c>
      <c r="AG11">
        <f ca="1">IF(OR($L11&gt;AG$4,AG$4&gt;$L11+23),"",OFFSET(Electric!$L2,0,-'Electric Calendarize'!$L11+'Electric Calendarize'!AG$4+1))</f>
        <v>270</v>
      </c>
      <c r="AH11">
        <f ca="1">IF(OR($L11&gt;AH$4,AH$4&gt;$L11+23),"",OFFSET(Electric!$L2,0,-'Electric Calendarize'!$L11+'Electric Calendarize'!AH$4+1))</f>
        <v>359</v>
      </c>
      <c r="AI11">
        <f ca="1">IF(OR($L11&gt;AI$4,AI$4&gt;$L11+23),"",OFFSET(Electric!$L2,0,-'Electric Calendarize'!$L11+'Electric Calendarize'!AI$4+1))</f>
        <v>646</v>
      </c>
      <c r="AJ11">
        <f ca="1">IF(OR($L11&gt;AJ$4,AJ$4&gt;$L11+23),"",OFFSET(Electric!$L2,0,-'Electric Calendarize'!$L11+'Electric Calendarize'!AJ$4+1))</f>
        <v>854</v>
      </c>
      <c r="AK11">
        <f ca="1">IF(OR($L11&gt;AK$4,AK$4&gt;$L11+23),"",OFFSET(Electric!$L2,0,-'Electric Calendarize'!$L11+'Electric Calendarize'!AK$4+1))</f>
        <v>1398</v>
      </c>
      <c r="AL11">
        <f ca="1">IF(OR($L11&gt;AL$4,AL$4&gt;$L11+23),"",OFFSET(Electric!$L2,0,-'Electric Calendarize'!$L11+'Electric Calendarize'!AL$4+1))</f>
        <v>1165</v>
      </c>
      <c r="AM11" t="str">
        <f ca="1">IF(OR($L11&gt;AM$4,AM$4&gt;$L11+23),"",OFFSET(Electric!$L2,0,-'Electric Calendarize'!$L11+'Electric Calendarize'!AM$4+1))</f>
        <v/>
      </c>
      <c r="AN11" t="str">
        <f ca="1">IF(OR($L11&gt;AN$4,AN$4&gt;$L11+23),"",OFFSET(Electric!$L2,0,-'Electric Calendarize'!$L11+'Electric Calendarize'!AN$4+1))</f>
        <v/>
      </c>
      <c r="AO11" t="str">
        <f ca="1">IF(OR($L11&gt;AO$4,AO$4&gt;$L11+23),"",OFFSET(Electric!$L2,0,-'Electric Calendarize'!$L11+'Electric Calendarize'!AO$4+1))</f>
        <v/>
      </c>
      <c r="AP11" t="str">
        <f ca="1">IF(OR($L11&gt;AP$4,AP$4&gt;$L11+23),"",OFFSET(Electric!$L2,0,-'Electric Calendarize'!$L11+'Electric Calendarize'!AP$4+1))</f>
        <v/>
      </c>
      <c r="AQ11" t="str">
        <f ca="1">IF(OR($L11&gt;AQ$4,AQ$4&gt;$L11+23),"",OFFSET(Electric!$L2,0,-'Electric Calendarize'!$L11+'Electric Calendarize'!AQ$4+1))</f>
        <v/>
      </c>
      <c r="AR11" t="str">
        <f ca="1">IF(OR($L11&gt;AR$4,AR$4&gt;$L11+23),"",OFFSET(Electric!$L2,0,-'Electric Calendarize'!$L11+'Electric Calendarize'!AR$4+1))</f>
        <v/>
      </c>
      <c r="AS11" t="str">
        <f ca="1">IF(OR($L11&gt;AS$4,AS$4&gt;$L11+23),"",OFFSET(Electric!$L2,0,-'Electric Calendarize'!$L11+'Electric Calendarize'!AS$4+1))</f>
        <v/>
      </c>
      <c r="AT11" t="str">
        <f ca="1">IF(OR($L11&gt;AT$4,AT$4&gt;$L11+23),"",OFFSET(Electric!$L2,0,-'Electric Calendarize'!$L11+'Electric Calendarize'!AT$4+1))</f>
        <v/>
      </c>
      <c r="AU11" t="str">
        <f ca="1">IF(OR($L11&gt;AU$4,AU$4&gt;$L11+23),"",OFFSET(Electric!$L2,0,-'Electric Calendarize'!$L11+'Electric Calendarize'!AU$4+1))</f>
        <v/>
      </c>
      <c r="AV11" t="str">
        <f ca="1">IF(OR($L11&gt;AV$4,AV$4&gt;$L11+23),"",OFFSET(Electric!$L2,0,-'Electric Calendarize'!$L11+'Electric Calendarize'!AV$4+1))</f>
        <v/>
      </c>
      <c r="AW11" t="str">
        <f ca="1">IF(OR($L11&gt;AW$4,AW$4&gt;$L11+23),"",OFFSET(Electric!$L2,0,-'Electric Calendarize'!$L11+'Electric Calendarize'!AW$4+1))</f>
        <v/>
      </c>
      <c r="AX11" t="str">
        <f ca="1">IF(OR($L11&gt;AX$4,AX$4&gt;$L11+23),"",OFFSET(Electric!$L2,0,-'Electric Calendarize'!$L11+'Electric Calendarize'!AX$4+1))</f>
        <v/>
      </c>
      <c r="AY11" t="str">
        <f ca="1">IF(OR($L11&gt;AY$4,AY$4&gt;$L11+23),"",OFFSET(Electric!$L2,0,-'Electric Calendarize'!$L11+'Electric Calendarize'!AY$4+1))</f>
        <v/>
      </c>
      <c r="AZ11" t="str">
        <f ca="1">IF(OR($L11&gt;AZ$4,AZ$4&gt;$L11+23),"",OFFSET(Electric!$L2,0,-'Electric Calendarize'!$L11+'Electric Calendarize'!AZ$4+1))</f>
        <v/>
      </c>
      <c r="BA11" t="str">
        <f ca="1">IF(OR($L11&gt;BA$4,BA$4&gt;$L11+23),"",OFFSET(Electric!$L2,0,-'Electric Calendarize'!$L11+'Electric Calendarize'!BA$4+1))</f>
        <v/>
      </c>
      <c r="BB11" t="str">
        <f ca="1">IF(OR($L11&gt;BB$4,BB$4&gt;$L11+23),"",OFFSET(Electric!$L2,0,-'Electric Calendarize'!$L11+'Electric Calendarize'!BB$4+1))</f>
        <v/>
      </c>
      <c r="BC11" t="str">
        <f ca="1">IF(OR($L11&gt;BC$4,BC$4&gt;$L11+23),"",OFFSET(Electric!$L2,0,-'Electric Calendarize'!$L11+'Electric Calendarize'!BC$4+1))</f>
        <v/>
      </c>
      <c r="BD11" t="str">
        <f ca="1">IF(OR($L11&gt;BD$4,BD$4&gt;$L11+23),"",OFFSET(Electric!$L2,0,-'Electric Calendarize'!$L11+'Electric Calendarize'!BD$4+1))</f>
        <v/>
      </c>
      <c r="BE11" t="str">
        <f ca="1">IF(OR($L11&gt;BE$4,BE$4&gt;$L11+23),"",OFFSET(Electric!$L2,0,-'Electric Calendarize'!$L11+'Electric Calendarize'!BE$4+1))</f>
        <v/>
      </c>
      <c r="BF11" t="str">
        <f ca="1">IF(OR($L11&gt;BF$4,BF$4&gt;$L11+23),"",OFFSET(Electric!$L2,0,-'Electric Calendarize'!$L11+'Electric Calendarize'!BF$4+1))</f>
        <v/>
      </c>
      <c r="BG11" t="str">
        <f ca="1">IF(OR($L11&gt;BG$4,BG$4&gt;$L11+23),"",OFFSET(Electric!$L2,0,-'Electric Calendarize'!$L11+'Electric Calendarize'!BG$4+1))</f>
        <v/>
      </c>
      <c r="BJ11" s="10" t="s">
        <v>37</v>
      </c>
      <c r="BK11">
        <f>+O$8</f>
        <v>1</v>
      </c>
      <c r="BL11">
        <f t="shared" ref="BL11:BL74" si="100">+P$8</f>
        <v>0</v>
      </c>
      <c r="BM11">
        <f t="shared" ref="BM11:BM74" si="101">+Q$8</f>
        <v>0</v>
      </c>
      <c r="BN11">
        <f t="shared" ref="BN11:BN74" si="102">+R$8</f>
        <v>0</v>
      </c>
      <c r="BO11">
        <f t="shared" ref="BO11:BO74" si="103">+S$8</f>
        <v>0</v>
      </c>
      <c r="BP11">
        <f t="shared" ref="BP11:BP74" si="104">+T$8</f>
        <v>0</v>
      </c>
      <c r="BQ11">
        <f t="shared" ref="BQ11:BQ74" si="105">+U$8</f>
        <v>0</v>
      </c>
      <c r="BR11">
        <f t="shared" ref="BR11:BR74" si="106">+V$8</f>
        <v>1</v>
      </c>
      <c r="BS11">
        <f t="shared" ref="BS11:BS74" si="107">+W$8</f>
        <v>1</v>
      </c>
      <c r="BT11">
        <f t="shared" ref="BT11:BT74" si="108">+X$8</f>
        <v>1</v>
      </c>
      <c r="BU11">
        <f t="shared" ref="BU11:BU74" si="109">+Y$8</f>
        <v>1</v>
      </c>
      <c r="BV11">
        <f t="shared" ref="BV11:BV74" si="110">+Z$8</f>
        <v>1</v>
      </c>
      <c r="BW11">
        <f t="shared" ref="BW11:BW74" si="111">+AA$8</f>
        <v>1</v>
      </c>
      <c r="BX11">
        <f t="shared" ref="BX11:BX74" si="112">+AB$8</f>
        <v>0</v>
      </c>
      <c r="BY11">
        <f t="shared" ref="BY11:BY74" si="113">+AC$8</f>
        <v>0</v>
      </c>
      <c r="BZ11">
        <f t="shared" ref="BZ11:BZ74" si="114">+AD$8</f>
        <v>0</v>
      </c>
      <c r="CA11">
        <f t="shared" ref="CA11:CA74" si="115">+AE$8</f>
        <v>0</v>
      </c>
      <c r="CB11">
        <f t="shared" ref="CB11:CB74" si="116">+AF$8</f>
        <v>0</v>
      </c>
      <c r="CC11">
        <f t="shared" ref="CC11:CC74" si="117">+AG$8</f>
        <v>0</v>
      </c>
      <c r="CD11">
        <f t="shared" ref="CD11:CD74" si="118">+AH$8</f>
        <v>1</v>
      </c>
      <c r="CE11">
        <f t="shared" ref="CE11:CE74" si="119">+AI$8</f>
        <v>1</v>
      </c>
      <c r="CF11">
        <f t="shared" ref="CF11:CF74" si="120">+AJ$8</f>
        <v>1</v>
      </c>
      <c r="CG11">
        <f t="shared" ref="CG11:CG74" si="121">+AK$8</f>
        <v>1</v>
      </c>
      <c r="CH11">
        <f t="shared" ref="CH11:CH74" si="122">+AL$8</f>
        <v>1</v>
      </c>
      <c r="CI11">
        <f t="shared" ref="CI11:CI74" si="123">+AM$8</f>
        <v>1</v>
      </c>
      <c r="CJ11">
        <f t="shared" ref="CJ11:CJ74" si="124">+AN$8</f>
        <v>0</v>
      </c>
      <c r="CK11">
        <f t="shared" ref="CK11:CK74" si="125">+AO$8</f>
        <v>0</v>
      </c>
      <c r="CL11">
        <f t="shared" ref="CL11:CL74" si="126">+AP$8</f>
        <v>0</v>
      </c>
      <c r="CM11">
        <f t="shared" ref="CM11:CM74" si="127">+AQ$8</f>
        <v>0</v>
      </c>
      <c r="CN11">
        <f t="shared" ref="CN11:CN74" si="128">+AR$8</f>
        <v>0</v>
      </c>
      <c r="CO11">
        <f t="shared" ref="CO11:CO74" si="129">+AS$8</f>
        <v>0</v>
      </c>
      <c r="CP11">
        <f t="shared" ref="CP11:CP74" si="130">+AT$8</f>
        <v>1</v>
      </c>
      <c r="CQ11">
        <f t="shared" ref="CQ11:CQ74" si="131">+AU$8</f>
        <v>1</v>
      </c>
      <c r="CR11">
        <f t="shared" ref="CR11:CR74" si="132">+AV$8</f>
        <v>1</v>
      </c>
      <c r="CS11">
        <f t="shared" ref="CS11:CS74" si="133">+AW$8</f>
        <v>1</v>
      </c>
      <c r="CT11">
        <f t="shared" ref="CT11:CT74" si="134">+AX$8</f>
        <v>1</v>
      </c>
      <c r="CU11">
        <f t="shared" ref="CU11:CU74" si="135">+AY$8</f>
        <v>1</v>
      </c>
      <c r="CV11">
        <f t="shared" ref="CV11:CV74" si="136">+AZ$8</f>
        <v>0</v>
      </c>
      <c r="CW11">
        <f t="shared" ref="CW11:CW74" si="137">+BA$8</f>
        <v>0</v>
      </c>
      <c r="CX11">
        <f t="shared" ref="CX11:CX74" si="138">+BB$8</f>
        <v>0</v>
      </c>
      <c r="CY11">
        <f t="shared" ref="CY11:CY74" si="139">+BC$8</f>
        <v>0</v>
      </c>
      <c r="CZ11">
        <f t="shared" ref="CZ11:CZ74" si="140">+BD$8</f>
        <v>0</v>
      </c>
      <c r="DA11">
        <f t="shared" ref="DA11:DA74" si="141">+BE$8</f>
        <v>0</v>
      </c>
      <c r="DB11">
        <f t="shared" ref="DB11:DB74" si="142">+BF$8</f>
        <v>1</v>
      </c>
      <c r="DC11">
        <f t="shared" ref="DC11:DC74" si="143">+BG$8</f>
        <v>1</v>
      </c>
      <c r="DF11" s="10" t="s">
        <v>37</v>
      </c>
      <c r="DG11" t="str">
        <f>$K11</f>
        <v>2021_3</v>
      </c>
      <c r="DH11" t="str">
        <f t="shared" ref="DH11:DW26" si="144">$K11</f>
        <v>2021_3</v>
      </c>
      <c r="DI11" t="str">
        <f t="shared" si="144"/>
        <v>2021_3</v>
      </c>
      <c r="DJ11" t="str">
        <f t="shared" si="144"/>
        <v>2021_3</v>
      </c>
      <c r="DK11" t="str">
        <f t="shared" si="144"/>
        <v>2021_3</v>
      </c>
      <c r="DL11" t="str">
        <f t="shared" si="144"/>
        <v>2021_3</v>
      </c>
      <c r="DM11" t="str">
        <f t="shared" si="144"/>
        <v>2021_3</v>
      </c>
      <c r="DN11" t="str">
        <f t="shared" si="144"/>
        <v>2021_3</v>
      </c>
      <c r="DO11" t="str">
        <f t="shared" si="144"/>
        <v>2021_3</v>
      </c>
      <c r="DP11" t="str">
        <f t="shared" si="144"/>
        <v>2021_3</v>
      </c>
      <c r="DQ11" t="str">
        <f t="shared" si="144"/>
        <v>2021_3</v>
      </c>
      <c r="DR11" t="str">
        <f t="shared" si="144"/>
        <v>2021_3</v>
      </c>
      <c r="DS11" t="str">
        <f t="shared" si="144"/>
        <v>2021_3</v>
      </c>
      <c r="DT11" t="str">
        <f t="shared" si="144"/>
        <v>2021_3</v>
      </c>
      <c r="DU11" t="str">
        <f t="shared" si="144"/>
        <v>2021_3</v>
      </c>
      <c r="DV11" t="str">
        <f t="shared" si="144"/>
        <v>2021_3</v>
      </c>
      <c r="DW11" t="str">
        <f t="shared" si="144"/>
        <v>2021_3</v>
      </c>
      <c r="DX11" t="str">
        <f t="shared" ref="DX11:EM26" si="145">$K11</f>
        <v>2021_3</v>
      </c>
      <c r="DY11" t="str">
        <f t="shared" si="145"/>
        <v>2021_3</v>
      </c>
      <c r="DZ11" t="str">
        <f t="shared" si="145"/>
        <v>2021_3</v>
      </c>
      <c r="EA11" t="str">
        <f t="shared" si="145"/>
        <v>2021_3</v>
      </c>
      <c r="EB11" t="str">
        <f t="shared" si="145"/>
        <v>2021_3</v>
      </c>
      <c r="EC11" t="str">
        <f t="shared" si="145"/>
        <v>2021_3</v>
      </c>
      <c r="ED11" t="str">
        <f t="shared" si="145"/>
        <v>2021_3</v>
      </c>
      <c r="EE11" t="str">
        <f t="shared" si="145"/>
        <v>2021_3</v>
      </c>
      <c r="EF11" t="str">
        <f t="shared" si="145"/>
        <v>2021_3</v>
      </c>
      <c r="EG11" t="str">
        <f t="shared" si="145"/>
        <v>2021_3</v>
      </c>
      <c r="EH11" t="str">
        <f t="shared" si="145"/>
        <v>2021_3</v>
      </c>
      <c r="EI11" t="str">
        <f t="shared" si="145"/>
        <v>2021_3</v>
      </c>
      <c r="EJ11" t="str">
        <f t="shared" si="145"/>
        <v>2021_3</v>
      </c>
      <c r="EK11" t="str">
        <f t="shared" si="145"/>
        <v>2021_3</v>
      </c>
      <c r="EL11" t="str">
        <f t="shared" si="145"/>
        <v>2021_3</v>
      </c>
      <c r="EM11" t="str">
        <f t="shared" si="145"/>
        <v>2021_3</v>
      </c>
      <c r="EN11" t="str">
        <f t="shared" ref="EN11:EY26" si="146">$K11</f>
        <v>2021_3</v>
      </c>
      <c r="EO11" t="str">
        <f t="shared" si="146"/>
        <v>2021_3</v>
      </c>
      <c r="EP11" t="str">
        <f t="shared" si="146"/>
        <v>2021_3</v>
      </c>
      <c r="EQ11" t="str">
        <f t="shared" si="146"/>
        <v>2021_3</v>
      </c>
      <c r="ER11" t="str">
        <f t="shared" si="146"/>
        <v>2021_3</v>
      </c>
      <c r="ES11" t="str">
        <f t="shared" si="146"/>
        <v>2021_3</v>
      </c>
      <c r="ET11" t="str">
        <f t="shared" si="146"/>
        <v>2021_3</v>
      </c>
      <c r="EU11" t="str">
        <f t="shared" si="146"/>
        <v>2021_3</v>
      </c>
      <c r="EV11" t="str">
        <f t="shared" si="146"/>
        <v>2021_3</v>
      </c>
      <c r="EW11" t="str">
        <f t="shared" si="146"/>
        <v>2021_3</v>
      </c>
      <c r="EX11" t="str">
        <f t="shared" si="146"/>
        <v>2021_3</v>
      </c>
      <c r="EY11" t="str">
        <f t="shared" si="146"/>
        <v>2021_3</v>
      </c>
      <c r="FB11" s="10" t="s">
        <v>37</v>
      </c>
      <c r="FC11">
        <f>IF($M11&lt;=O$3,1,0)</f>
        <v>0</v>
      </c>
      <c r="FD11">
        <f t="shared" ref="FD11:FD74" si="147">IF($M11&lt;=P$3,1,0)</f>
        <v>0</v>
      </c>
      <c r="FE11">
        <f t="shared" ref="FE11:FE74" si="148">IF($M11&lt;=Q$3,1,0)</f>
        <v>0</v>
      </c>
      <c r="FF11">
        <f t="shared" ref="FF11:FF74" si="149">IF($M11&lt;=R$3,1,0)</f>
        <v>0</v>
      </c>
      <c r="FG11">
        <f t="shared" ref="FG11:FG74" si="150">IF($M11&lt;=S$3,1,0)</f>
        <v>0</v>
      </c>
      <c r="FH11">
        <f t="shared" ref="FH11:FH74" si="151">IF($M11&lt;=T$3,1,0)</f>
        <v>0</v>
      </c>
      <c r="FI11">
        <f t="shared" ref="FI11:FI74" si="152">IF($M11&lt;=U$3,1,0)</f>
        <v>0</v>
      </c>
      <c r="FJ11">
        <f t="shared" ref="FJ11:FJ74" si="153">IF($M11&lt;=V$3,1,0)</f>
        <v>0</v>
      </c>
      <c r="FK11">
        <f t="shared" ref="FK11:FK74" si="154">IF($M11&lt;=W$3,1,0)</f>
        <v>0</v>
      </c>
      <c r="FL11">
        <f t="shared" ref="FL11:FL74" si="155">IF($M11&lt;=X$3,1,0)</f>
        <v>0</v>
      </c>
      <c r="FM11">
        <f t="shared" ref="FM11:FM74" si="156">IF($M11&lt;=Y$3,1,0)</f>
        <v>0</v>
      </c>
      <c r="FN11">
        <f t="shared" ref="FN11:FN74" si="157">IF($M11&lt;=Z$3,1,0)</f>
        <v>1</v>
      </c>
      <c r="FO11">
        <f t="shared" ref="FO11:FO74" si="158">IF($M11&lt;=AA$3,1,0)</f>
        <v>1</v>
      </c>
      <c r="FP11">
        <f t="shared" ref="FP11:FP74" si="159">IF($M11&lt;=AB$3,1,0)</f>
        <v>1</v>
      </c>
      <c r="FQ11">
        <f t="shared" ref="FQ11:FQ74" si="160">IF($M11&lt;=AC$3,1,0)</f>
        <v>1</v>
      </c>
      <c r="FR11">
        <f t="shared" ref="FR11:FR74" si="161">IF($M11&lt;=AD$3,1,0)</f>
        <v>1</v>
      </c>
      <c r="FS11">
        <f t="shared" ref="FS11:FS74" si="162">IF($M11&lt;=AE$3,1,0)</f>
        <v>1</v>
      </c>
      <c r="FT11">
        <f t="shared" ref="FT11:FT74" si="163">IF($M11&lt;=AF$3,1,0)</f>
        <v>1</v>
      </c>
      <c r="FU11">
        <f t="shared" ref="FU11:FU74" si="164">IF($M11&lt;=AG$3,1,0)</f>
        <v>1</v>
      </c>
      <c r="FV11">
        <f t="shared" ref="FV11:FV74" si="165">IF($M11&lt;=AH$3,1,0)</f>
        <v>1</v>
      </c>
      <c r="FW11">
        <f t="shared" ref="FW11:FW74" si="166">IF($M11&lt;=AI$3,1,0)</f>
        <v>1</v>
      </c>
      <c r="FX11">
        <f t="shared" ref="FX11:FX74" si="167">IF($M11&lt;=AJ$3,1,0)</f>
        <v>1</v>
      </c>
      <c r="FY11">
        <f t="shared" ref="FY11:FY74" si="168">IF($M11&lt;=AK$3,1,0)</f>
        <v>1</v>
      </c>
      <c r="FZ11">
        <f t="shared" ref="FZ11:FZ74" si="169">IF($M11&lt;=AL$3,1,0)</f>
        <v>1</v>
      </c>
      <c r="GA11">
        <f t="shared" ref="GA11:GA74" si="170">IF($M11&lt;=AM$3,1,0)</f>
        <v>1</v>
      </c>
      <c r="GB11">
        <f t="shared" ref="GB11:GB74" si="171">IF($M11&lt;=AN$3,1,0)</f>
        <v>1</v>
      </c>
      <c r="GC11">
        <f t="shared" ref="GC11:GC74" si="172">IF($M11&lt;=AO$3,1,0)</f>
        <v>1</v>
      </c>
      <c r="GD11">
        <f t="shared" ref="GD11:GD74" si="173">IF($M11&lt;=AP$3,1,0)</f>
        <v>1</v>
      </c>
      <c r="GE11">
        <f t="shared" ref="GE11:GE74" si="174">IF($M11&lt;=AQ$3,1,0)</f>
        <v>1</v>
      </c>
      <c r="GF11">
        <f t="shared" ref="GF11:GF74" si="175">IF($M11&lt;=AR$3,1,0)</f>
        <v>1</v>
      </c>
      <c r="GG11">
        <f t="shared" ref="GG11:GG74" si="176">IF($M11&lt;=AS$3,1,0)</f>
        <v>1</v>
      </c>
      <c r="GH11">
        <f t="shared" ref="GH11:GH74" si="177">IF($M11&lt;=AT$3,1,0)</f>
        <v>1</v>
      </c>
      <c r="GI11">
        <f t="shared" ref="GI11:GI74" si="178">IF($M11&lt;=AU$3,1,0)</f>
        <v>1</v>
      </c>
      <c r="GJ11">
        <f t="shared" ref="GJ11:GJ74" si="179">IF($M11&lt;=AV$3,1,0)</f>
        <v>1</v>
      </c>
      <c r="GK11">
        <f t="shared" ref="GK11:GK74" si="180">IF($M11&lt;=AW$3,1,0)</f>
        <v>1</v>
      </c>
      <c r="GL11">
        <f t="shared" ref="GL11:GL74" si="181">IF($M11&lt;=AX$3,1,0)</f>
        <v>1</v>
      </c>
      <c r="GM11">
        <f t="shared" ref="GM11:GM74" si="182">IF($M11&lt;=AY$3,1,0)</f>
        <v>1</v>
      </c>
      <c r="GN11">
        <f t="shared" ref="GN11:GN74" si="183">IF($M11&lt;=AZ$3,1,0)</f>
        <v>1</v>
      </c>
      <c r="GO11">
        <f t="shared" ref="GO11:GO74" si="184">IF($M11&lt;=BA$3,1,0)</f>
        <v>1</v>
      </c>
      <c r="GP11">
        <f t="shared" ref="GP11:GP74" si="185">IF($M11&lt;=BB$3,1,0)</f>
        <v>1</v>
      </c>
      <c r="GQ11">
        <f t="shared" ref="GQ11:GQ74" si="186">IF($M11&lt;=BC$3,1,0)</f>
        <v>1</v>
      </c>
      <c r="GR11">
        <f t="shared" ref="GR11:GR74" si="187">IF($M11&lt;=BD$3,1,0)</f>
        <v>1</v>
      </c>
      <c r="GS11">
        <f t="shared" ref="GS11:GS74" si="188">IF($M11&lt;=BE$3,1,0)</f>
        <v>1</v>
      </c>
      <c r="GT11">
        <f t="shared" ref="GT11:GT74" si="189">IF($M11&lt;=BF$3,1,0)</f>
        <v>1</v>
      </c>
      <c r="GU11">
        <f t="shared" ref="GU11:GU74" si="190">IF($M11&lt;=BG$3,1,0)</f>
        <v>1</v>
      </c>
      <c r="GX11" s="10"/>
    </row>
    <row r="12" spans="1:206" x14ac:dyDescent="0.3">
      <c r="A12" s="9" t="s">
        <v>38</v>
      </c>
      <c r="B12" s="80"/>
      <c r="C12" s="9">
        <v>3120402002</v>
      </c>
      <c r="D12" s="9" t="s">
        <v>350</v>
      </c>
      <c r="E12" s="9" t="s">
        <v>39</v>
      </c>
      <c r="F12" s="9" t="s">
        <v>35</v>
      </c>
      <c r="G12" s="9" t="s">
        <v>40</v>
      </c>
      <c r="H12" s="10">
        <v>44299</v>
      </c>
      <c r="I12" s="9">
        <f t="shared" ref="I12:I75" si="191">YEAR(H12)</f>
        <v>2021</v>
      </c>
      <c r="J12" s="9">
        <f t="shared" ref="J12:J75" si="192">MONTH(H12)</f>
        <v>4</v>
      </c>
      <c r="K12" s="9" t="str">
        <f t="shared" ref="K12:K75" si="193">I12&amp;"_"&amp;J12</f>
        <v>2021_4</v>
      </c>
      <c r="L12">
        <f>MAX(0,VLOOKUP($K12,lookups!$A$1:$B$45,2,0)-12)</f>
        <v>0</v>
      </c>
      <c r="M12" s="40">
        <f t="shared" ref="M12:M75" si="194">DATE(I12,J12,1)</f>
        <v>44287</v>
      </c>
      <c r="N12" s="10" t="s">
        <v>37</v>
      </c>
      <c r="O12">
        <f ca="1">IF(OR($L12&gt;O$4,O$4&gt;$L12+23),"",OFFSET(Electric!$L3,0,-'Electric Calendarize'!$L12+'Electric Calendarize'!O$4+1))</f>
        <v>882</v>
      </c>
      <c r="P12">
        <f ca="1">IF(OR($L12&gt;P$4,P$4&gt;$L12+23),"",OFFSET(Electric!$L3,0,-'Electric Calendarize'!$L12+'Electric Calendarize'!P$4+1))</f>
        <v>767</v>
      </c>
      <c r="Q12">
        <f ca="1">IF(OR($L12&gt;Q$4,Q$4&gt;$L12+23),"",OFFSET(Electric!$L3,0,-'Electric Calendarize'!$L12+'Electric Calendarize'!Q$4+1))</f>
        <v>856</v>
      </c>
      <c r="R12">
        <f ca="1">IF(OR($L12&gt;R$4,R$4&gt;$L12+23),"",OFFSET(Electric!$L3,0,-'Electric Calendarize'!$L12+'Electric Calendarize'!R$4+1))</f>
        <v>879</v>
      </c>
      <c r="S12">
        <f ca="1">IF(OR($L12&gt;S$4,S$4&gt;$L12+23),"",OFFSET(Electric!$L3,0,-'Electric Calendarize'!$L12+'Electric Calendarize'!S$4+1))</f>
        <v>785</v>
      </c>
      <c r="T12">
        <f ca="1">IF(OR($L12&gt;T$4,T$4&gt;$L12+23),"",OFFSET(Electric!$L3,0,-'Electric Calendarize'!$L12+'Electric Calendarize'!T$4+1))</f>
        <v>752</v>
      </c>
      <c r="U12">
        <f ca="1">IF(OR($L12&gt;U$4,U$4&gt;$L12+23),"",OFFSET(Electric!$L3,0,-'Electric Calendarize'!$L12+'Electric Calendarize'!U$4+1))</f>
        <v>1118</v>
      </c>
      <c r="V12">
        <f ca="1">IF(OR($L12&gt;V$4,V$4&gt;$L12+23),"",OFFSET(Electric!$L3,0,-'Electric Calendarize'!$L12+'Electric Calendarize'!V$4+1))</f>
        <v>1117</v>
      </c>
      <c r="W12">
        <f ca="1">IF(OR($L12&gt;W$4,W$4&gt;$L12+23),"",OFFSET(Electric!$L3,0,-'Electric Calendarize'!$L12+'Electric Calendarize'!W$4+1))</f>
        <v>1112</v>
      </c>
      <c r="X12">
        <f ca="1">IF(OR($L12&gt;X$4,X$4&gt;$L12+23),"",OFFSET(Electric!$L3,0,-'Electric Calendarize'!$L12+'Electric Calendarize'!X$4+1))</f>
        <v>1001</v>
      </c>
      <c r="Y12">
        <f ca="1">IF(OR($L12&gt;Y$4,Y$4&gt;$L12+23),"",OFFSET(Electric!$L3,0,-'Electric Calendarize'!$L12+'Electric Calendarize'!Y$4+1))</f>
        <v>739</v>
      </c>
      <c r="Z12">
        <f ca="1">IF(OR($L12&gt;Z$4,Z$4&gt;$L12+23),"",OFFSET(Electric!$L3,0,-'Electric Calendarize'!$L12+'Electric Calendarize'!Z$4+1))</f>
        <v>796</v>
      </c>
      <c r="AA12">
        <f ca="1">IF(OR($L12&gt;AA$4,AA$4&gt;$L12+23),"",OFFSET(Electric!$L3,0,-'Electric Calendarize'!$L12+'Electric Calendarize'!AA$4+1))</f>
        <v>909</v>
      </c>
      <c r="AB12">
        <f ca="1">IF(OR($L12&gt;AB$4,AB$4&gt;$L12+23),"",OFFSET(Electric!$L3,0,-'Electric Calendarize'!$L12+'Electric Calendarize'!AB$4+1))</f>
        <v>735</v>
      </c>
      <c r="AC12">
        <f ca="1">IF(OR($L12&gt;AC$4,AC$4&gt;$L12+23),"",OFFSET(Electric!$L3,0,-'Electric Calendarize'!$L12+'Electric Calendarize'!AC$4+1))</f>
        <v>713</v>
      </c>
      <c r="AD12">
        <f ca="1">IF(OR($L12&gt;AD$4,AD$4&gt;$L12+23),"",OFFSET(Electric!$L3,0,-'Electric Calendarize'!$L12+'Electric Calendarize'!AD$4+1))</f>
        <v>492</v>
      </c>
      <c r="AE12">
        <f ca="1">IF(OR($L12&gt;AE$4,AE$4&gt;$L12+23),"",OFFSET(Electric!$L3,0,-'Electric Calendarize'!$L12+'Electric Calendarize'!AE$4+1))</f>
        <v>667</v>
      </c>
      <c r="AF12">
        <f ca="1">IF(OR($L12&gt;AF$4,AF$4&gt;$L12+23),"",OFFSET(Electric!$L3,0,-'Electric Calendarize'!$L12+'Electric Calendarize'!AF$4+1))</f>
        <v>1125</v>
      </c>
      <c r="AG12">
        <f ca="1">IF(OR($L12&gt;AG$4,AG$4&gt;$L12+23),"",OFFSET(Electric!$L3,0,-'Electric Calendarize'!$L12+'Electric Calendarize'!AG$4+1))</f>
        <v>888</v>
      </c>
      <c r="AH12">
        <f ca="1">IF(OR($L12&gt;AH$4,AH$4&gt;$L12+23),"",OFFSET(Electric!$L3,0,-'Electric Calendarize'!$L12+'Electric Calendarize'!AH$4+1))</f>
        <v>1029</v>
      </c>
      <c r="AI12">
        <f ca="1">IF(OR($L12&gt;AI$4,AI$4&gt;$L12+23),"",OFFSET(Electric!$L3,0,-'Electric Calendarize'!$L12+'Electric Calendarize'!AI$4+1))</f>
        <v>1071</v>
      </c>
      <c r="AJ12">
        <f ca="1">IF(OR($L12&gt;AJ$4,AJ$4&gt;$L12+23),"",OFFSET(Electric!$L3,0,-'Electric Calendarize'!$L12+'Electric Calendarize'!AJ$4+1))</f>
        <v>952</v>
      </c>
      <c r="AK12">
        <f ca="1">IF(OR($L12&gt;AK$4,AK$4&gt;$L12+23),"",OFFSET(Electric!$L3,0,-'Electric Calendarize'!$L12+'Electric Calendarize'!AK$4+1))</f>
        <v>1050</v>
      </c>
      <c r="AL12">
        <f ca="1">IF(OR($L12&gt;AL$4,AL$4&gt;$L12+23),"",OFFSET(Electric!$L3,0,-'Electric Calendarize'!$L12+'Electric Calendarize'!AL$4+1))</f>
        <v>876</v>
      </c>
      <c r="AM12" t="str">
        <f ca="1">IF(OR($L12&gt;AM$4,AM$4&gt;$L12+23),"",OFFSET(Electric!$L3,0,-'Electric Calendarize'!$L12+'Electric Calendarize'!AM$4+1))</f>
        <v/>
      </c>
      <c r="AN12" t="str">
        <f ca="1">IF(OR($L12&gt;AN$4,AN$4&gt;$L12+23),"",OFFSET(Electric!$L3,0,-'Electric Calendarize'!$L12+'Electric Calendarize'!AN$4+1))</f>
        <v/>
      </c>
      <c r="AO12" t="str">
        <f ca="1">IF(OR($L12&gt;AO$4,AO$4&gt;$L12+23),"",OFFSET(Electric!$L3,0,-'Electric Calendarize'!$L12+'Electric Calendarize'!AO$4+1))</f>
        <v/>
      </c>
      <c r="AP12" t="str">
        <f ca="1">IF(OR($L12&gt;AP$4,AP$4&gt;$L12+23),"",OFFSET(Electric!$L3,0,-'Electric Calendarize'!$L12+'Electric Calendarize'!AP$4+1))</f>
        <v/>
      </c>
      <c r="AQ12" t="str">
        <f ca="1">IF(OR($L12&gt;AQ$4,AQ$4&gt;$L12+23),"",OFFSET(Electric!$L3,0,-'Electric Calendarize'!$L12+'Electric Calendarize'!AQ$4+1))</f>
        <v/>
      </c>
      <c r="AR12" t="str">
        <f ca="1">IF(OR($L12&gt;AR$4,AR$4&gt;$L12+23),"",OFFSET(Electric!$L3,0,-'Electric Calendarize'!$L12+'Electric Calendarize'!AR$4+1))</f>
        <v/>
      </c>
      <c r="AS12" t="str">
        <f ca="1">IF(OR($L12&gt;AS$4,AS$4&gt;$L12+23),"",OFFSET(Electric!$L3,0,-'Electric Calendarize'!$L12+'Electric Calendarize'!AS$4+1))</f>
        <v/>
      </c>
      <c r="AT12" t="str">
        <f ca="1">IF(OR($L12&gt;AT$4,AT$4&gt;$L12+23),"",OFFSET(Electric!$L3,0,-'Electric Calendarize'!$L12+'Electric Calendarize'!AT$4+1))</f>
        <v/>
      </c>
      <c r="AU12" t="str">
        <f ca="1">IF(OR($L12&gt;AU$4,AU$4&gt;$L12+23),"",OFFSET(Electric!$L3,0,-'Electric Calendarize'!$L12+'Electric Calendarize'!AU$4+1))</f>
        <v/>
      </c>
      <c r="AV12" t="str">
        <f ca="1">IF(OR($L12&gt;AV$4,AV$4&gt;$L12+23),"",OFFSET(Electric!$L3,0,-'Electric Calendarize'!$L12+'Electric Calendarize'!AV$4+1))</f>
        <v/>
      </c>
      <c r="AW12" t="str">
        <f ca="1">IF(OR($L12&gt;AW$4,AW$4&gt;$L12+23),"",OFFSET(Electric!$L3,0,-'Electric Calendarize'!$L12+'Electric Calendarize'!AW$4+1))</f>
        <v/>
      </c>
      <c r="AX12" t="str">
        <f ca="1">IF(OR($L12&gt;AX$4,AX$4&gt;$L12+23),"",OFFSET(Electric!$L3,0,-'Electric Calendarize'!$L12+'Electric Calendarize'!AX$4+1))</f>
        <v/>
      </c>
      <c r="AY12" t="str">
        <f ca="1">IF(OR($L12&gt;AY$4,AY$4&gt;$L12+23),"",OFFSET(Electric!$L3,0,-'Electric Calendarize'!$L12+'Electric Calendarize'!AY$4+1))</f>
        <v/>
      </c>
      <c r="AZ12" t="str">
        <f ca="1">IF(OR($L12&gt;AZ$4,AZ$4&gt;$L12+23),"",OFFSET(Electric!$L3,0,-'Electric Calendarize'!$L12+'Electric Calendarize'!AZ$4+1))</f>
        <v/>
      </c>
      <c r="BA12" t="str">
        <f ca="1">IF(OR($L12&gt;BA$4,BA$4&gt;$L12+23),"",OFFSET(Electric!$L3,0,-'Electric Calendarize'!$L12+'Electric Calendarize'!BA$4+1))</f>
        <v/>
      </c>
      <c r="BB12" t="str">
        <f ca="1">IF(OR($L12&gt;BB$4,BB$4&gt;$L12+23),"",OFFSET(Electric!$L3,0,-'Electric Calendarize'!$L12+'Electric Calendarize'!BB$4+1))</f>
        <v/>
      </c>
      <c r="BC12" t="str">
        <f ca="1">IF(OR($L12&gt;BC$4,BC$4&gt;$L12+23),"",OFFSET(Electric!$L3,0,-'Electric Calendarize'!$L12+'Electric Calendarize'!BC$4+1))</f>
        <v/>
      </c>
      <c r="BD12" t="str">
        <f ca="1">IF(OR($L12&gt;BD$4,BD$4&gt;$L12+23),"",OFFSET(Electric!$L3,0,-'Electric Calendarize'!$L12+'Electric Calendarize'!BD$4+1))</f>
        <v/>
      </c>
      <c r="BE12" t="str">
        <f ca="1">IF(OR($L12&gt;BE$4,BE$4&gt;$L12+23),"",OFFSET(Electric!$L3,0,-'Electric Calendarize'!$L12+'Electric Calendarize'!BE$4+1))</f>
        <v/>
      </c>
      <c r="BF12" t="str">
        <f ca="1">IF(OR($L12&gt;BF$4,BF$4&gt;$L12+23),"",OFFSET(Electric!$L3,0,-'Electric Calendarize'!$L12+'Electric Calendarize'!BF$4+1))</f>
        <v/>
      </c>
      <c r="BG12" t="str">
        <f ca="1">IF(OR($L12&gt;BG$4,BG$4&gt;$L12+23),"",OFFSET(Electric!$L3,0,-'Electric Calendarize'!$L12+'Electric Calendarize'!BG$4+1))</f>
        <v/>
      </c>
      <c r="BJ12" s="10" t="s">
        <v>37</v>
      </c>
      <c r="BK12">
        <f t="shared" ref="BK12:BK75" si="195">+O$8</f>
        <v>1</v>
      </c>
      <c r="BL12">
        <f t="shared" si="100"/>
        <v>0</v>
      </c>
      <c r="BM12">
        <f t="shared" si="101"/>
        <v>0</v>
      </c>
      <c r="BN12">
        <f t="shared" si="102"/>
        <v>0</v>
      </c>
      <c r="BO12">
        <f t="shared" si="103"/>
        <v>0</v>
      </c>
      <c r="BP12">
        <f t="shared" si="104"/>
        <v>0</v>
      </c>
      <c r="BQ12">
        <f t="shared" si="105"/>
        <v>0</v>
      </c>
      <c r="BR12">
        <f t="shared" si="106"/>
        <v>1</v>
      </c>
      <c r="BS12">
        <f t="shared" si="107"/>
        <v>1</v>
      </c>
      <c r="BT12">
        <f t="shared" si="108"/>
        <v>1</v>
      </c>
      <c r="BU12">
        <f t="shared" si="109"/>
        <v>1</v>
      </c>
      <c r="BV12">
        <f t="shared" si="110"/>
        <v>1</v>
      </c>
      <c r="BW12">
        <f t="shared" si="111"/>
        <v>1</v>
      </c>
      <c r="BX12">
        <f t="shared" si="112"/>
        <v>0</v>
      </c>
      <c r="BY12">
        <f t="shared" si="113"/>
        <v>0</v>
      </c>
      <c r="BZ12">
        <f t="shared" si="114"/>
        <v>0</v>
      </c>
      <c r="CA12">
        <f t="shared" si="115"/>
        <v>0</v>
      </c>
      <c r="CB12">
        <f t="shared" si="116"/>
        <v>0</v>
      </c>
      <c r="CC12">
        <f t="shared" si="117"/>
        <v>0</v>
      </c>
      <c r="CD12">
        <f t="shared" si="118"/>
        <v>1</v>
      </c>
      <c r="CE12">
        <f t="shared" si="119"/>
        <v>1</v>
      </c>
      <c r="CF12">
        <f t="shared" si="120"/>
        <v>1</v>
      </c>
      <c r="CG12">
        <f t="shared" si="121"/>
        <v>1</v>
      </c>
      <c r="CH12">
        <f t="shared" si="122"/>
        <v>1</v>
      </c>
      <c r="CI12">
        <f t="shared" si="123"/>
        <v>1</v>
      </c>
      <c r="CJ12">
        <f t="shared" si="124"/>
        <v>0</v>
      </c>
      <c r="CK12">
        <f t="shared" si="125"/>
        <v>0</v>
      </c>
      <c r="CL12">
        <f t="shared" si="126"/>
        <v>0</v>
      </c>
      <c r="CM12">
        <f t="shared" si="127"/>
        <v>0</v>
      </c>
      <c r="CN12">
        <f t="shared" si="128"/>
        <v>0</v>
      </c>
      <c r="CO12">
        <f t="shared" si="129"/>
        <v>0</v>
      </c>
      <c r="CP12">
        <f t="shared" si="130"/>
        <v>1</v>
      </c>
      <c r="CQ12">
        <f t="shared" si="131"/>
        <v>1</v>
      </c>
      <c r="CR12">
        <f t="shared" si="132"/>
        <v>1</v>
      </c>
      <c r="CS12">
        <f t="shared" si="133"/>
        <v>1</v>
      </c>
      <c r="CT12">
        <f t="shared" si="134"/>
        <v>1</v>
      </c>
      <c r="CU12">
        <f t="shared" si="135"/>
        <v>1</v>
      </c>
      <c r="CV12">
        <f t="shared" si="136"/>
        <v>0</v>
      </c>
      <c r="CW12">
        <f t="shared" si="137"/>
        <v>0</v>
      </c>
      <c r="CX12">
        <f t="shared" si="138"/>
        <v>0</v>
      </c>
      <c r="CY12">
        <f t="shared" si="139"/>
        <v>0</v>
      </c>
      <c r="CZ12">
        <f t="shared" si="140"/>
        <v>0</v>
      </c>
      <c r="DA12">
        <f t="shared" si="141"/>
        <v>0</v>
      </c>
      <c r="DB12">
        <f t="shared" si="142"/>
        <v>1</v>
      </c>
      <c r="DC12">
        <f t="shared" si="143"/>
        <v>1</v>
      </c>
      <c r="DF12" s="10" t="s">
        <v>37</v>
      </c>
      <c r="DG12" t="str">
        <f t="shared" ref="DG12:DV27" si="196">$K12</f>
        <v>2021_4</v>
      </c>
      <c r="DH12" t="str">
        <f t="shared" si="144"/>
        <v>2021_4</v>
      </c>
      <c r="DI12" t="str">
        <f t="shared" si="144"/>
        <v>2021_4</v>
      </c>
      <c r="DJ12" t="str">
        <f t="shared" si="144"/>
        <v>2021_4</v>
      </c>
      <c r="DK12" t="str">
        <f t="shared" si="144"/>
        <v>2021_4</v>
      </c>
      <c r="DL12" t="str">
        <f t="shared" si="144"/>
        <v>2021_4</v>
      </c>
      <c r="DM12" t="str">
        <f t="shared" si="144"/>
        <v>2021_4</v>
      </c>
      <c r="DN12" t="str">
        <f t="shared" si="144"/>
        <v>2021_4</v>
      </c>
      <c r="DO12" t="str">
        <f t="shared" si="144"/>
        <v>2021_4</v>
      </c>
      <c r="DP12" t="str">
        <f t="shared" si="144"/>
        <v>2021_4</v>
      </c>
      <c r="DQ12" t="str">
        <f t="shared" si="144"/>
        <v>2021_4</v>
      </c>
      <c r="DR12" t="str">
        <f t="shared" si="144"/>
        <v>2021_4</v>
      </c>
      <c r="DS12" t="str">
        <f t="shared" si="144"/>
        <v>2021_4</v>
      </c>
      <c r="DT12" t="str">
        <f t="shared" si="144"/>
        <v>2021_4</v>
      </c>
      <c r="DU12" t="str">
        <f t="shared" si="144"/>
        <v>2021_4</v>
      </c>
      <c r="DV12" t="str">
        <f t="shared" si="144"/>
        <v>2021_4</v>
      </c>
      <c r="DW12" t="str">
        <f t="shared" si="144"/>
        <v>2021_4</v>
      </c>
      <c r="DX12" t="str">
        <f t="shared" si="145"/>
        <v>2021_4</v>
      </c>
      <c r="DY12" t="str">
        <f t="shared" si="145"/>
        <v>2021_4</v>
      </c>
      <c r="DZ12" t="str">
        <f t="shared" si="145"/>
        <v>2021_4</v>
      </c>
      <c r="EA12" t="str">
        <f t="shared" si="145"/>
        <v>2021_4</v>
      </c>
      <c r="EB12" t="str">
        <f t="shared" si="145"/>
        <v>2021_4</v>
      </c>
      <c r="EC12" t="str">
        <f t="shared" si="145"/>
        <v>2021_4</v>
      </c>
      <c r="ED12" t="str">
        <f t="shared" si="145"/>
        <v>2021_4</v>
      </c>
      <c r="EE12" t="str">
        <f t="shared" si="145"/>
        <v>2021_4</v>
      </c>
      <c r="EF12" t="str">
        <f t="shared" si="145"/>
        <v>2021_4</v>
      </c>
      <c r="EG12" t="str">
        <f t="shared" si="145"/>
        <v>2021_4</v>
      </c>
      <c r="EH12" t="str">
        <f t="shared" si="145"/>
        <v>2021_4</v>
      </c>
      <c r="EI12" t="str">
        <f t="shared" si="145"/>
        <v>2021_4</v>
      </c>
      <c r="EJ12" t="str">
        <f t="shared" si="145"/>
        <v>2021_4</v>
      </c>
      <c r="EK12" t="str">
        <f t="shared" si="145"/>
        <v>2021_4</v>
      </c>
      <c r="EL12" t="str">
        <f t="shared" si="145"/>
        <v>2021_4</v>
      </c>
      <c r="EM12" t="str">
        <f t="shared" si="145"/>
        <v>2021_4</v>
      </c>
      <c r="EN12" t="str">
        <f t="shared" si="146"/>
        <v>2021_4</v>
      </c>
      <c r="EO12" t="str">
        <f t="shared" si="146"/>
        <v>2021_4</v>
      </c>
      <c r="EP12" t="str">
        <f t="shared" si="146"/>
        <v>2021_4</v>
      </c>
      <c r="EQ12" t="str">
        <f t="shared" si="146"/>
        <v>2021_4</v>
      </c>
      <c r="ER12" t="str">
        <f t="shared" si="146"/>
        <v>2021_4</v>
      </c>
      <c r="ES12" t="str">
        <f t="shared" si="146"/>
        <v>2021_4</v>
      </c>
      <c r="ET12" t="str">
        <f t="shared" si="146"/>
        <v>2021_4</v>
      </c>
      <c r="EU12" t="str">
        <f t="shared" si="146"/>
        <v>2021_4</v>
      </c>
      <c r="EV12" t="str">
        <f t="shared" si="146"/>
        <v>2021_4</v>
      </c>
      <c r="EW12" t="str">
        <f t="shared" si="146"/>
        <v>2021_4</v>
      </c>
      <c r="EX12" t="str">
        <f t="shared" si="146"/>
        <v>2021_4</v>
      </c>
      <c r="EY12" t="str">
        <f t="shared" si="146"/>
        <v>2021_4</v>
      </c>
      <c r="FB12" s="10" t="s">
        <v>37</v>
      </c>
      <c r="FC12">
        <f t="shared" ref="FC12:FC75" si="197">IF($M12&lt;=O$3,1,0)</f>
        <v>0</v>
      </c>
      <c r="FD12">
        <f t="shared" si="147"/>
        <v>0</v>
      </c>
      <c r="FE12">
        <f t="shared" si="148"/>
        <v>0</v>
      </c>
      <c r="FF12">
        <f t="shared" si="149"/>
        <v>0</v>
      </c>
      <c r="FG12">
        <f t="shared" si="150"/>
        <v>0</v>
      </c>
      <c r="FH12">
        <f t="shared" si="151"/>
        <v>0</v>
      </c>
      <c r="FI12">
        <f t="shared" si="152"/>
        <v>0</v>
      </c>
      <c r="FJ12">
        <f t="shared" si="153"/>
        <v>0</v>
      </c>
      <c r="FK12">
        <f t="shared" si="154"/>
        <v>0</v>
      </c>
      <c r="FL12">
        <f t="shared" si="155"/>
        <v>0</v>
      </c>
      <c r="FM12">
        <f t="shared" si="156"/>
        <v>0</v>
      </c>
      <c r="FN12">
        <f t="shared" si="157"/>
        <v>0</v>
      </c>
      <c r="FO12">
        <f t="shared" si="158"/>
        <v>1</v>
      </c>
      <c r="FP12">
        <f t="shared" si="159"/>
        <v>1</v>
      </c>
      <c r="FQ12">
        <f t="shared" si="160"/>
        <v>1</v>
      </c>
      <c r="FR12">
        <f t="shared" si="161"/>
        <v>1</v>
      </c>
      <c r="FS12">
        <f t="shared" si="162"/>
        <v>1</v>
      </c>
      <c r="FT12">
        <f t="shared" si="163"/>
        <v>1</v>
      </c>
      <c r="FU12">
        <f t="shared" si="164"/>
        <v>1</v>
      </c>
      <c r="FV12">
        <f t="shared" si="165"/>
        <v>1</v>
      </c>
      <c r="FW12">
        <f t="shared" si="166"/>
        <v>1</v>
      </c>
      <c r="FX12">
        <f t="shared" si="167"/>
        <v>1</v>
      </c>
      <c r="FY12">
        <f t="shared" si="168"/>
        <v>1</v>
      </c>
      <c r="FZ12">
        <f t="shared" si="169"/>
        <v>1</v>
      </c>
      <c r="GA12">
        <f t="shared" si="170"/>
        <v>1</v>
      </c>
      <c r="GB12">
        <f t="shared" si="171"/>
        <v>1</v>
      </c>
      <c r="GC12">
        <f t="shared" si="172"/>
        <v>1</v>
      </c>
      <c r="GD12">
        <f t="shared" si="173"/>
        <v>1</v>
      </c>
      <c r="GE12">
        <f t="shared" si="174"/>
        <v>1</v>
      </c>
      <c r="GF12">
        <f t="shared" si="175"/>
        <v>1</v>
      </c>
      <c r="GG12">
        <f t="shared" si="176"/>
        <v>1</v>
      </c>
      <c r="GH12">
        <f t="shared" si="177"/>
        <v>1</v>
      </c>
      <c r="GI12">
        <f t="shared" si="178"/>
        <v>1</v>
      </c>
      <c r="GJ12">
        <f t="shared" si="179"/>
        <v>1</v>
      </c>
      <c r="GK12">
        <f t="shared" si="180"/>
        <v>1</v>
      </c>
      <c r="GL12">
        <f t="shared" si="181"/>
        <v>1</v>
      </c>
      <c r="GM12">
        <f t="shared" si="182"/>
        <v>1</v>
      </c>
      <c r="GN12">
        <f t="shared" si="183"/>
        <v>1</v>
      </c>
      <c r="GO12">
        <f t="shared" si="184"/>
        <v>1</v>
      </c>
      <c r="GP12">
        <f t="shared" si="185"/>
        <v>1</v>
      </c>
      <c r="GQ12">
        <f t="shared" si="186"/>
        <v>1</v>
      </c>
      <c r="GR12">
        <f t="shared" si="187"/>
        <v>1</v>
      </c>
      <c r="GS12">
        <f t="shared" si="188"/>
        <v>1</v>
      </c>
      <c r="GT12">
        <f t="shared" si="189"/>
        <v>1</v>
      </c>
      <c r="GU12">
        <f t="shared" si="190"/>
        <v>1</v>
      </c>
      <c r="GX12" s="10"/>
    </row>
    <row r="13" spans="1:206" x14ac:dyDescent="0.3">
      <c r="A13" s="9" t="s">
        <v>41</v>
      </c>
      <c r="B13" s="80"/>
      <c r="C13" s="9">
        <v>3150085004</v>
      </c>
      <c r="D13" s="9" t="s">
        <v>351</v>
      </c>
      <c r="E13" s="9" t="s">
        <v>39</v>
      </c>
      <c r="F13" s="9" t="s">
        <v>35</v>
      </c>
      <c r="G13" s="9" t="s">
        <v>42</v>
      </c>
      <c r="H13" s="10">
        <v>44301</v>
      </c>
      <c r="I13" s="9">
        <f t="shared" si="191"/>
        <v>2021</v>
      </c>
      <c r="J13" s="9">
        <f t="shared" si="192"/>
        <v>4</v>
      </c>
      <c r="K13" s="9" t="str">
        <f t="shared" si="193"/>
        <v>2021_4</v>
      </c>
      <c r="L13">
        <f>MAX(0,VLOOKUP($K13,lookups!$A$1:$B$45,2,0)-12)</f>
        <v>0</v>
      </c>
      <c r="M13" s="40">
        <f t="shared" si="194"/>
        <v>44287</v>
      </c>
      <c r="N13" s="10" t="s">
        <v>37</v>
      </c>
      <c r="O13">
        <f ca="1">IF(OR($L13&gt;O$4,O$4&gt;$L13+23),"",OFFSET(Electric!$L4,0,-'Electric Calendarize'!$L13+'Electric Calendarize'!O$4+1))</f>
        <v>1832</v>
      </c>
      <c r="P13">
        <f ca="1">IF(OR($L13&gt;P$4,P$4&gt;$L13+23),"",OFFSET(Electric!$L4,0,-'Electric Calendarize'!$L13+'Electric Calendarize'!P$4+1))</f>
        <v>932</v>
      </c>
      <c r="Q13">
        <f ca="1">IF(OR($L13&gt;Q$4,Q$4&gt;$L13+23),"",OFFSET(Electric!$L4,0,-'Electric Calendarize'!$L13+'Electric Calendarize'!Q$4+1))</f>
        <v>1288</v>
      </c>
      <c r="R13">
        <f ca="1">IF(OR($L13&gt;R$4,R$4&gt;$L13+23),"",OFFSET(Electric!$L4,0,-'Electric Calendarize'!$L13+'Electric Calendarize'!R$4+1))</f>
        <v>1532</v>
      </c>
      <c r="S13">
        <f ca="1">IF(OR($L13&gt;S$4,S$4&gt;$L13+23),"",OFFSET(Electric!$L4,0,-'Electric Calendarize'!$L13+'Electric Calendarize'!S$4+1))</f>
        <v>1880</v>
      </c>
      <c r="T13">
        <f ca="1">IF(OR($L13&gt;T$4,T$4&gt;$L13+23),"",OFFSET(Electric!$L4,0,-'Electric Calendarize'!$L13+'Electric Calendarize'!T$4+1))</f>
        <v>1416</v>
      </c>
      <c r="U13">
        <f ca="1">IF(OR($L13&gt;U$4,U$4&gt;$L13+23),"",OFFSET(Electric!$L4,0,-'Electric Calendarize'!$L13+'Electric Calendarize'!U$4+1))</f>
        <v>1556</v>
      </c>
      <c r="V13">
        <f ca="1">IF(OR($L13&gt;V$4,V$4&gt;$L13+23),"",OFFSET(Electric!$L4,0,-'Electric Calendarize'!$L13+'Electric Calendarize'!V$4+1))</f>
        <v>2006</v>
      </c>
      <c r="W13">
        <f ca="1">IF(OR($L13&gt;W$4,W$4&gt;$L13+23),"",OFFSET(Electric!$L4,0,-'Electric Calendarize'!$L13+'Electric Calendarize'!W$4+1))</f>
        <v>1774</v>
      </c>
      <c r="X13">
        <f ca="1">IF(OR($L13&gt;X$4,X$4&gt;$L13+23),"",OFFSET(Electric!$L4,0,-'Electric Calendarize'!$L13+'Electric Calendarize'!X$4+1))</f>
        <v>2078</v>
      </c>
      <c r="Y13">
        <f ca="1">IF(OR($L13&gt;Y$4,Y$4&gt;$L13+23),"",OFFSET(Electric!$L4,0,-'Electric Calendarize'!$L13+'Electric Calendarize'!Y$4+1))</f>
        <v>1408</v>
      </c>
      <c r="Z13">
        <f ca="1">IF(OR($L13&gt;Z$4,Z$4&gt;$L13+23),"",OFFSET(Electric!$L4,0,-'Electric Calendarize'!$L13+'Electric Calendarize'!Z$4+1))</f>
        <v>976</v>
      </c>
      <c r="AA13">
        <f ca="1">IF(OR($L13&gt;AA$4,AA$4&gt;$L13+23),"",OFFSET(Electric!$L4,0,-'Electric Calendarize'!$L13+'Electric Calendarize'!AA$4+1))</f>
        <v>1146</v>
      </c>
      <c r="AB13">
        <f ca="1">IF(OR($L13&gt;AB$4,AB$4&gt;$L13+23),"",OFFSET(Electric!$L4,0,-'Electric Calendarize'!$L13+'Electric Calendarize'!AB$4+1))</f>
        <v>850</v>
      </c>
      <c r="AC13">
        <f ca="1">IF(OR($L13&gt;AC$4,AC$4&gt;$L13+23),"",OFFSET(Electric!$L4,0,-'Electric Calendarize'!$L13+'Electric Calendarize'!AC$4+1))</f>
        <v>1092</v>
      </c>
      <c r="AD13">
        <f ca="1">IF(OR($L13&gt;AD$4,AD$4&gt;$L13+23),"",OFFSET(Electric!$L4,0,-'Electric Calendarize'!$L13+'Electric Calendarize'!AD$4+1))</f>
        <v>2216</v>
      </c>
      <c r="AE13">
        <f ca="1">IF(OR($L13&gt;AE$4,AE$4&gt;$L13+23),"",OFFSET(Electric!$L4,0,-'Electric Calendarize'!$L13+'Electric Calendarize'!AE$4+1))</f>
        <v>2258</v>
      </c>
      <c r="AF13">
        <f ca="1">IF(OR($L13&gt;AF$4,AF$4&gt;$L13+23),"",OFFSET(Electric!$L4,0,-'Electric Calendarize'!$L13+'Electric Calendarize'!AF$4+1))</f>
        <v>1504</v>
      </c>
      <c r="AG13">
        <f ca="1">IF(OR($L13&gt;AG$4,AG$4&gt;$L13+23),"",OFFSET(Electric!$L4,0,-'Electric Calendarize'!$L13+'Electric Calendarize'!AG$4+1))</f>
        <v>1232</v>
      </c>
      <c r="AH13">
        <f ca="1">IF(OR($L13&gt;AH$4,AH$4&gt;$L13+23),"",OFFSET(Electric!$L4,0,-'Electric Calendarize'!$L13+'Electric Calendarize'!AH$4+1))</f>
        <v>1292</v>
      </c>
      <c r="AI13">
        <f ca="1">IF(OR($L13&gt;AI$4,AI$4&gt;$L13+23),"",OFFSET(Electric!$L4,0,-'Electric Calendarize'!$L13+'Electric Calendarize'!AI$4+1))</f>
        <v>1350</v>
      </c>
      <c r="AJ13">
        <f ca="1">IF(OR($L13&gt;AJ$4,AJ$4&gt;$L13+23),"",OFFSET(Electric!$L4,0,-'Electric Calendarize'!$L13+'Electric Calendarize'!AJ$4+1))</f>
        <v>1844</v>
      </c>
      <c r="AK13">
        <f ca="1">IF(OR($L13&gt;AK$4,AK$4&gt;$L13+23),"",OFFSET(Electric!$L4,0,-'Electric Calendarize'!$L13+'Electric Calendarize'!AK$4+1))</f>
        <v>1460</v>
      </c>
      <c r="AL13">
        <f ca="1">IF(OR($L13&gt;AL$4,AL$4&gt;$L13+23),"",OFFSET(Electric!$L4,0,-'Electric Calendarize'!$L13+'Electric Calendarize'!AL$4+1))</f>
        <v>1240</v>
      </c>
      <c r="AM13" t="str">
        <f ca="1">IF(OR($L13&gt;AM$4,AM$4&gt;$L13+23),"",OFFSET(Electric!$L4,0,-'Electric Calendarize'!$L13+'Electric Calendarize'!AM$4+1))</f>
        <v/>
      </c>
      <c r="AN13" t="str">
        <f ca="1">IF(OR($L13&gt;AN$4,AN$4&gt;$L13+23),"",OFFSET(Electric!$L4,0,-'Electric Calendarize'!$L13+'Electric Calendarize'!AN$4+1))</f>
        <v/>
      </c>
      <c r="AO13" t="str">
        <f ca="1">IF(OR($L13&gt;AO$4,AO$4&gt;$L13+23),"",OFFSET(Electric!$L4,0,-'Electric Calendarize'!$L13+'Electric Calendarize'!AO$4+1))</f>
        <v/>
      </c>
      <c r="AP13" t="str">
        <f ca="1">IF(OR($L13&gt;AP$4,AP$4&gt;$L13+23),"",OFFSET(Electric!$L4,0,-'Electric Calendarize'!$L13+'Electric Calendarize'!AP$4+1))</f>
        <v/>
      </c>
      <c r="AQ13" t="str">
        <f ca="1">IF(OR($L13&gt;AQ$4,AQ$4&gt;$L13+23),"",OFFSET(Electric!$L4,0,-'Electric Calendarize'!$L13+'Electric Calendarize'!AQ$4+1))</f>
        <v/>
      </c>
      <c r="AR13" t="str">
        <f ca="1">IF(OR($L13&gt;AR$4,AR$4&gt;$L13+23),"",OFFSET(Electric!$L4,0,-'Electric Calendarize'!$L13+'Electric Calendarize'!AR$4+1))</f>
        <v/>
      </c>
      <c r="AS13" t="str">
        <f ca="1">IF(OR($L13&gt;AS$4,AS$4&gt;$L13+23),"",OFFSET(Electric!$L4,0,-'Electric Calendarize'!$L13+'Electric Calendarize'!AS$4+1))</f>
        <v/>
      </c>
      <c r="AT13" t="str">
        <f ca="1">IF(OR($L13&gt;AT$4,AT$4&gt;$L13+23),"",OFFSET(Electric!$L4,0,-'Electric Calendarize'!$L13+'Electric Calendarize'!AT$4+1))</f>
        <v/>
      </c>
      <c r="AU13" t="str">
        <f ca="1">IF(OR($L13&gt;AU$4,AU$4&gt;$L13+23),"",OFFSET(Electric!$L4,0,-'Electric Calendarize'!$L13+'Electric Calendarize'!AU$4+1))</f>
        <v/>
      </c>
      <c r="AV13" t="str">
        <f ca="1">IF(OR($L13&gt;AV$4,AV$4&gt;$L13+23),"",OFFSET(Electric!$L4,0,-'Electric Calendarize'!$L13+'Electric Calendarize'!AV$4+1))</f>
        <v/>
      </c>
      <c r="AW13" t="str">
        <f ca="1">IF(OR($L13&gt;AW$4,AW$4&gt;$L13+23),"",OFFSET(Electric!$L4,0,-'Electric Calendarize'!$L13+'Electric Calendarize'!AW$4+1))</f>
        <v/>
      </c>
      <c r="AX13" t="str">
        <f ca="1">IF(OR($L13&gt;AX$4,AX$4&gt;$L13+23),"",OFFSET(Electric!$L4,0,-'Electric Calendarize'!$L13+'Electric Calendarize'!AX$4+1))</f>
        <v/>
      </c>
      <c r="AY13" t="str">
        <f ca="1">IF(OR($L13&gt;AY$4,AY$4&gt;$L13+23),"",OFFSET(Electric!$L4,0,-'Electric Calendarize'!$L13+'Electric Calendarize'!AY$4+1))</f>
        <v/>
      </c>
      <c r="AZ13" t="str">
        <f ca="1">IF(OR($L13&gt;AZ$4,AZ$4&gt;$L13+23),"",OFFSET(Electric!$L4,0,-'Electric Calendarize'!$L13+'Electric Calendarize'!AZ$4+1))</f>
        <v/>
      </c>
      <c r="BA13" t="str">
        <f ca="1">IF(OR($L13&gt;BA$4,BA$4&gt;$L13+23),"",OFFSET(Electric!$L4,0,-'Electric Calendarize'!$L13+'Electric Calendarize'!BA$4+1))</f>
        <v/>
      </c>
      <c r="BB13" t="str">
        <f ca="1">IF(OR($L13&gt;BB$4,BB$4&gt;$L13+23),"",OFFSET(Electric!$L4,0,-'Electric Calendarize'!$L13+'Electric Calendarize'!BB$4+1))</f>
        <v/>
      </c>
      <c r="BC13" t="str">
        <f ca="1">IF(OR($L13&gt;BC$4,BC$4&gt;$L13+23),"",OFFSET(Electric!$L4,0,-'Electric Calendarize'!$L13+'Electric Calendarize'!BC$4+1))</f>
        <v/>
      </c>
      <c r="BD13" t="str">
        <f ca="1">IF(OR($L13&gt;BD$4,BD$4&gt;$L13+23),"",OFFSET(Electric!$L4,0,-'Electric Calendarize'!$L13+'Electric Calendarize'!BD$4+1))</f>
        <v/>
      </c>
      <c r="BE13" t="str">
        <f ca="1">IF(OR($L13&gt;BE$4,BE$4&gt;$L13+23),"",OFFSET(Electric!$L4,0,-'Electric Calendarize'!$L13+'Electric Calendarize'!BE$4+1))</f>
        <v/>
      </c>
      <c r="BF13" t="str">
        <f ca="1">IF(OR($L13&gt;BF$4,BF$4&gt;$L13+23),"",OFFSET(Electric!$L4,0,-'Electric Calendarize'!$L13+'Electric Calendarize'!BF$4+1))</f>
        <v/>
      </c>
      <c r="BG13" t="str">
        <f ca="1">IF(OR($L13&gt;BG$4,BG$4&gt;$L13+23),"",OFFSET(Electric!$L4,0,-'Electric Calendarize'!$L13+'Electric Calendarize'!BG$4+1))</f>
        <v/>
      </c>
      <c r="BJ13" s="10" t="s">
        <v>37</v>
      </c>
      <c r="BK13">
        <f t="shared" si="195"/>
        <v>1</v>
      </c>
      <c r="BL13">
        <f t="shared" si="100"/>
        <v>0</v>
      </c>
      <c r="BM13">
        <f t="shared" si="101"/>
        <v>0</v>
      </c>
      <c r="BN13">
        <f t="shared" si="102"/>
        <v>0</v>
      </c>
      <c r="BO13">
        <f t="shared" si="103"/>
        <v>0</v>
      </c>
      <c r="BP13">
        <f t="shared" si="104"/>
        <v>0</v>
      </c>
      <c r="BQ13">
        <f t="shared" si="105"/>
        <v>0</v>
      </c>
      <c r="BR13">
        <f t="shared" si="106"/>
        <v>1</v>
      </c>
      <c r="BS13">
        <f t="shared" si="107"/>
        <v>1</v>
      </c>
      <c r="BT13">
        <f t="shared" si="108"/>
        <v>1</v>
      </c>
      <c r="BU13">
        <f t="shared" si="109"/>
        <v>1</v>
      </c>
      <c r="BV13">
        <f t="shared" si="110"/>
        <v>1</v>
      </c>
      <c r="BW13">
        <f t="shared" si="111"/>
        <v>1</v>
      </c>
      <c r="BX13">
        <f t="shared" si="112"/>
        <v>0</v>
      </c>
      <c r="BY13">
        <f t="shared" si="113"/>
        <v>0</v>
      </c>
      <c r="BZ13">
        <f t="shared" si="114"/>
        <v>0</v>
      </c>
      <c r="CA13">
        <f t="shared" si="115"/>
        <v>0</v>
      </c>
      <c r="CB13">
        <f t="shared" si="116"/>
        <v>0</v>
      </c>
      <c r="CC13">
        <f t="shared" si="117"/>
        <v>0</v>
      </c>
      <c r="CD13">
        <f t="shared" si="118"/>
        <v>1</v>
      </c>
      <c r="CE13">
        <f t="shared" si="119"/>
        <v>1</v>
      </c>
      <c r="CF13">
        <f t="shared" si="120"/>
        <v>1</v>
      </c>
      <c r="CG13">
        <f t="shared" si="121"/>
        <v>1</v>
      </c>
      <c r="CH13">
        <f t="shared" si="122"/>
        <v>1</v>
      </c>
      <c r="CI13">
        <f t="shared" si="123"/>
        <v>1</v>
      </c>
      <c r="CJ13">
        <f t="shared" si="124"/>
        <v>0</v>
      </c>
      <c r="CK13">
        <f t="shared" si="125"/>
        <v>0</v>
      </c>
      <c r="CL13">
        <f t="shared" si="126"/>
        <v>0</v>
      </c>
      <c r="CM13">
        <f t="shared" si="127"/>
        <v>0</v>
      </c>
      <c r="CN13">
        <f t="shared" si="128"/>
        <v>0</v>
      </c>
      <c r="CO13">
        <f t="shared" si="129"/>
        <v>0</v>
      </c>
      <c r="CP13">
        <f t="shared" si="130"/>
        <v>1</v>
      </c>
      <c r="CQ13">
        <f t="shared" si="131"/>
        <v>1</v>
      </c>
      <c r="CR13">
        <f t="shared" si="132"/>
        <v>1</v>
      </c>
      <c r="CS13">
        <f t="shared" si="133"/>
        <v>1</v>
      </c>
      <c r="CT13">
        <f t="shared" si="134"/>
        <v>1</v>
      </c>
      <c r="CU13">
        <f t="shared" si="135"/>
        <v>1</v>
      </c>
      <c r="CV13">
        <f t="shared" si="136"/>
        <v>0</v>
      </c>
      <c r="CW13">
        <f t="shared" si="137"/>
        <v>0</v>
      </c>
      <c r="CX13">
        <f t="shared" si="138"/>
        <v>0</v>
      </c>
      <c r="CY13">
        <f t="shared" si="139"/>
        <v>0</v>
      </c>
      <c r="CZ13">
        <f t="shared" si="140"/>
        <v>0</v>
      </c>
      <c r="DA13">
        <f t="shared" si="141"/>
        <v>0</v>
      </c>
      <c r="DB13">
        <f t="shared" si="142"/>
        <v>1</v>
      </c>
      <c r="DC13">
        <f t="shared" si="143"/>
        <v>1</v>
      </c>
      <c r="DF13" s="10" t="s">
        <v>37</v>
      </c>
      <c r="DG13" t="str">
        <f t="shared" si="196"/>
        <v>2021_4</v>
      </c>
      <c r="DH13" t="str">
        <f t="shared" si="144"/>
        <v>2021_4</v>
      </c>
      <c r="DI13" t="str">
        <f t="shared" si="144"/>
        <v>2021_4</v>
      </c>
      <c r="DJ13" t="str">
        <f t="shared" si="144"/>
        <v>2021_4</v>
      </c>
      <c r="DK13" t="str">
        <f t="shared" si="144"/>
        <v>2021_4</v>
      </c>
      <c r="DL13" t="str">
        <f t="shared" si="144"/>
        <v>2021_4</v>
      </c>
      <c r="DM13" t="str">
        <f t="shared" si="144"/>
        <v>2021_4</v>
      </c>
      <c r="DN13" t="str">
        <f t="shared" si="144"/>
        <v>2021_4</v>
      </c>
      <c r="DO13" t="str">
        <f t="shared" si="144"/>
        <v>2021_4</v>
      </c>
      <c r="DP13" t="str">
        <f t="shared" si="144"/>
        <v>2021_4</v>
      </c>
      <c r="DQ13" t="str">
        <f t="shared" si="144"/>
        <v>2021_4</v>
      </c>
      <c r="DR13" t="str">
        <f t="shared" si="144"/>
        <v>2021_4</v>
      </c>
      <c r="DS13" t="str">
        <f t="shared" si="144"/>
        <v>2021_4</v>
      </c>
      <c r="DT13" t="str">
        <f t="shared" si="144"/>
        <v>2021_4</v>
      </c>
      <c r="DU13" t="str">
        <f t="shared" si="144"/>
        <v>2021_4</v>
      </c>
      <c r="DV13" t="str">
        <f t="shared" si="144"/>
        <v>2021_4</v>
      </c>
      <c r="DW13" t="str">
        <f t="shared" si="144"/>
        <v>2021_4</v>
      </c>
      <c r="DX13" t="str">
        <f t="shared" si="145"/>
        <v>2021_4</v>
      </c>
      <c r="DY13" t="str">
        <f t="shared" si="145"/>
        <v>2021_4</v>
      </c>
      <c r="DZ13" t="str">
        <f t="shared" si="145"/>
        <v>2021_4</v>
      </c>
      <c r="EA13" t="str">
        <f t="shared" si="145"/>
        <v>2021_4</v>
      </c>
      <c r="EB13" t="str">
        <f t="shared" si="145"/>
        <v>2021_4</v>
      </c>
      <c r="EC13" t="str">
        <f t="shared" si="145"/>
        <v>2021_4</v>
      </c>
      <c r="ED13" t="str">
        <f t="shared" si="145"/>
        <v>2021_4</v>
      </c>
      <c r="EE13" t="str">
        <f t="shared" si="145"/>
        <v>2021_4</v>
      </c>
      <c r="EF13" t="str">
        <f t="shared" si="145"/>
        <v>2021_4</v>
      </c>
      <c r="EG13" t="str">
        <f t="shared" si="145"/>
        <v>2021_4</v>
      </c>
      <c r="EH13" t="str">
        <f t="shared" si="145"/>
        <v>2021_4</v>
      </c>
      <c r="EI13" t="str">
        <f t="shared" si="145"/>
        <v>2021_4</v>
      </c>
      <c r="EJ13" t="str">
        <f t="shared" si="145"/>
        <v>2021_4</v>
      </c>
      <c r="EK13" t="str">
        <f t="shared" si="145"/>
        <v>2021_4</v>
      </c>
      <c r="EL13" t="str">
        <f t="shared" si="145"/>
        <v>2021_4</v>
      </c>
      <c r="EM13" t="str">
        <f t="shared" si="145"/>
        <v>2021_4</v>
      </c>
      <c r="EN13" t="str">
        <f t="shared" si="146"/>
        <v>2021_4</v>
      </c>
      <c r="EO13" t="str">
        <f t="shared" si="146"/>
        <v>2021_4</v>
      </c>
      <c r="EP13" t="str">
        <f t="shared" si="146"/>
        <v>2021_4</v>
      </c>
      <c r="EQ13" t="str">
        <f t="shared" si="146"/>
        <v>2021_4</v>
      </c>
      <c r="ER13" t="str">
        <f t="shared" si="146"/>
        <v>2021_4</v>
      </c>
      <c r="ES13" t="str">
        <f t="shared" si="146"/>
        <v>2021_4</v>
      </c>
      <c r="ET13" t="str">
        <f t="shared" si="146"/>
        <v>2021_4</v>
      </c>
      <c r="EU13" t="str">
        <f t="shared" si="146"/>
        <v>2021_4</v>
      </c>
      <c r="EV13" t="str">
        <f t="shared" si="146"/>
        <v>2021_4</v>
      </c>
      <c r="EW13" t="str">
        <f t="shared" si="146"/>
        <v>2021_4</v>
      </c>
      <c r="EX13" t="str">
        <f t="shared" si="146"/>
        <v>2021_4</v>
      </c>
      <c r="EY13" t="str">
        <f t="shared" si="146"/>
        <v>2021_4</v>
      </c>
      <c r="FB13" s="10" t="s">
        <v>37</v>
      </c>
      <c r="FC13">
        <f t="shared" si="197"/>
        <v>0</v>
      </c>
      <c r="FD13">
        <f t="shared" si="147"/>
        <v>0</v>
      </c>
      <c r="FE13">
        <f t="shared" si="148"/>
        <v>0</v>
      </c>
      <c r="FF13">
        <f t="shared" si="149"/>
        <v>0</v>
      </c>
      <c r="FG13">
        <f t="shared" si="150"/>
        <v>0</v>
      </c>
      <c r="FH13">
        <f t="shared" si="151"/>
        <v>0</v>
      </c>
      <c r="FI13">
        <f t="shared" si="152"/>
        <v>0</v>
      </c>
      <c r="FJ13">
        <f t="shared" si="153"/>
        <v>0</v>
      </c>
      <c r="FK13">
        <f t="shared" si="154"/>
        <v>0</v>
      </c>
      <c r="FL13">
        <f t="shared" si="155"/>
        <v>0</v>
      </c>
      <c r="FM13">
        <f t="shared" si="156"/>
        <v>0</v>
      </c>
      <c r="FN13">
        <f t="shared" si="157"/>
        <v>0</v>
      </c>
      <c r="FO13">
        <f t="shared" si="158"/>
        <v>1</v>
      </c>
      <c r="FP13">
        <f t="shared" si="159"/>
        <v>1</v>
      </c>
      <c r="FQ13">
        <f t="shared" si="160"/>
        <v>1</v>
      </c>
      <c r="FR13">
        <f t="shared" si="161"/>
        <v>1</v>
      </c>
      <c r="FS13">
        <f t="shared" si="162"/>
        <v>1</v>
      </c>
      <c r="FT13">
        <f t="shared" si="163"/>
        <v>1</v>
      </c>
      <c r="FU13">
        <f t="shared" si="164"/>
        <v>1</v>
      </c>
      <c r="FV13">
        <f t="shared" si="165"/>
        <v>1</v>
      </c>
      <c r="FW13">
        <f t="shared" si="166"/>
        <v>1</v>
      </c>
      <c r="FX13">
        <f t="shared" si="167"/>
        <v>1</v>
      </c>
      <c r="FY13">
        <f t="shared" si="168"/>
        <v>1</v>
      </c>
      <c r="FZ13">
        <f t="shared" si="169"/>
        <v>1</v>
      </c>
      <c r="GA13">
        <f t="shared" si="170"/>
        <v>1</v>
      </c>
      <c r="GB13">
        <f t="shared" si="171"/>
        <v>1</v>
      </c>
      <c r="GC13">
        <f t="shared" si="172"/>
        <v>1</v>
      </c>
      <c r="GD13">
        <f t="shared" si="173"/>
        <v>1</v>
      </c>
      <c r="GE13">
        <f t="shared" si="174"/>
        <v>1</v>
      </c>
      <c r="GF13">
        <f t="shared" si="175"/>
        <v>1</v>
      </c>
      <c r="GG13">
        <f t="shared" si="176"/>
        <v>1</v>
      </c>
      <c r="GH13">
        <f t="shared" si="177"/>
        <v>1</v>
      </c>
      <c r="GI13">
        <f t="shared" si="178"/>
        <v>1</v>
      </c>
      <c r="GJ13">
        <f t="shared" si="179"/>
        <v>1</v>
      </c>
      <c r="GK13">
        <f t="shared" si="180"/>
        <v>1</v>
      </c>
      <c r="GL13">
        <f t="shared" si="181"/>
        <v>1</v>
      </c>
      <c r="GM13">
        <f t="shared" si="182"/>
        <v>1</v>
      </c>
      <c r="GN13">
        <f t="shared" si="183"/>
        <v>1</v>
      </c>
      <c r="GO13">
        <f t="shared" si="184"/>
        <v>1</v>
      </c>
      <c r="GP13">
        <f t="shared" si="185"/>
        <v>1</v>
      </c>
      <c r="GQ13">
        <f t="shared" si="186"/>
        <v>1</v>
      </c>
      <c r="GR13">
        <f t="shared" si="187"/>
        <v>1</v>
      </c>
      <c r="GS13">
        <f t="shared" si="188"/>
        <v>1</v>
      </c>
      <c r="GT13">
        <f t="shared" si="189"/>
        <v>1</v>
      </c>
      <c r="GU13">
        <f t="shared" si="190"/>
        <v>1</v>
      </c>
      <c r="GX13" s="10"/>
    </row>
    <row r="14" spans="1:206" x14ac:dyDescent="0.3">
      <c r="A14" s="15" t="s">
        <v>41</v>
      </c>
      <c r="B14" s="80"/>
      <c r="C14" s="9">
        <v>3151746001</v>
      </c>
      <c r="D14" s="9" t="s">
        <v>352</v>
      </c>
      <c r="E14" s="9" t="s">
        <v>43</v>
      </c>
      <c r="F14" s="9" t="s">
        <v>35</v>
      </c>
      <c r="G14" s="9" t="s">
        <v>44</v>
      </c>
      <c r="H14" s="10">
        <v>44305</v>
      </c>
      <c r="I14" s="9">
        <f t="shared" si="191"/>
        <v>2021</v>
      </c>
      <c r="J14" s="9">
        <f t="shared" si="192"/>
        <v>4</v>
      </c>
      <c r="K14" s="9" t="str">
        <f t="shared" si="193"/>
        <v>2021_4</v>
      </c>
      <c r="L14">
        <f>MAX(0,VLOOKUP($K14,lookups!$A$1:$B$45,2,0)-12)</f>
        <v>0</v>
      </c>
      <c r="M14" s="40">
        <f t="shared" si="194"/>
        <v>44287</v>
      </c>
      <c r="N14" s="10" t="s">
        <v>37</v>
      </c>
      <c r="O14">
        <f ca="1">IF(OR($L14&gt;O$4,O$4&gt;$L14+23),"",OFFSET(Electric!$L5,0,-'Electric Calendarize'!$L14+'Electric Calendarize'!O$4+1))</f>
        <v>835</v>
      </c>
      <c r="P14">
        <f ca="1">IF(OR($L14&gt;P$4,P$4&gt;$L14+23),"",OFFSET(Electric!$L5,0,-'Electric Calendarize'!$L14+'Electric Calendarize'!P$4+1))</f>
        <v>831</v>
      </c>
      <c r="Q14">
        <f ca="1">IF(OR($L14&gt;Q$4,Q$4&gt;$L14+23),"",OFFSET(Electric!$L5,0,-'Electric Calendarize'!$L14+'Electric Calendarize'!Q$4+1))</f>
        <v>1084</v>
      </c>
      <c r="R14">
        <f ca="1">IF(OR($L14&gt;R$4,R$4&gt;$L14+23),"",OFFSET(Electric!$L5,0,-'Electric Calendarize'!$L14+'Electric Calendarize'!R$4+1))</f>
        <v>1364</v>
      </c>
      <c r="S14">
        <f ca="1">IF(OR($L14&gt;S$4,S$4&gt;$L14+23),"",OFFSET(Electric!$L5,0,-'Electric Calendarize'!$L14+'Electric Calendarize'!S$4+1))</f>
        <v>1097</v>
      </c>
      <c r="T14">
        <f ca="1">IF(OR($L14&gt;T$4,T$4&gt;$L14+23),"",OFFSET(Electric!$L5,0,-'Electric Calendarize'!$L14+'Electric Calendarize'!T$4+1))</f>
        <v>876</v>
      </c>
      <c r="U14">
        <f ca="1">IF(OR($L14&gt;U$4,U$4&gt;$L14+23),"",OFFSET(Electric!$L5,0,-'Electric Calendarize'!$L14+'Electric Calendarize'!U$4+1))</f>
        <v>791</v>
      </c>
      <c r="V14">
        <f ca="1">IF(OR($L14&gt;V$4,V$4&gt;$L14+23),"",OFFSET(Electric!$L5,0,-'Electric Calendarize'!$L14+'Electric Calendarize'!V$4+1))</f>
        <v>714</v>
      </c>
      <c r="W14">
        <f ca="1">IF(OR($L14&gt;W$4,W$4&gt;$L14+23),"",OFFSET(Electric!$L5,0,-'Electric Calendarize'!$L14+'Electric Calendarize'!W$4+1))</f>
        <v>983</v>
      </c>
      <c r="X14">
        <f ca="1">IF(OR($L14&gt;X$4,X$4&gt;$L14+23),"",OFFSET(Electric!$L5,0,-'Electric Calendarize'!$L14+'Electric Calendarize'!X$4+1))</f>
        <v>685</v>
      </c>
      <c r="Y14">
        <f ca="1">IF(OR($L14&gt;Y$4,Y$4&gt;$L14+23),"",OFFSET(Electric!$L5,0,-'Electric Calendarize'!$L14+'Electric Calendarize'!Y$4+1))</f>
        <v>686</v>
      </c>
      <c r="Z14">
        <f ca="1">IF(OR($L14&gt;Z$4,Z$4&gt;$L14+23),"",OFFSET(Electric!$L5,0,-'Electric Calendarize'!$L14+'Electric Calendarize'!Z$4+1))</f>
        <v>618</v>
      </c>
      <c r="AA14">
        <f ca="1">IF(OR($L14&gt;AA$4,AA$4&gt;$L14+23),"",OFFSET(Electric!$L5,0,-'Electric Calendarize'!$L14+'Electric Calendarize'!AA$4+1))</f>
        <v>644</v>
      </c>
      <c r="AB14">
        <f ca="1">IF(OR($L14&gt;AB$4,AB$4&gt;$L14+23),"",OFFSET(Electric!$L5,0,-'Electric Calendarize'!$L14+'Electric Calendarize'!AB$4+1))</f>
        <v>612</v>
      </c>
      <c r="AC14">
        <f ca="1">IF(OR($L14&gt;AC$4,AC$4&gt;$L14+23),"",OFFSET(Electric!$L5,0,-'Electric Calendarize'!$L14+'Electric Calendarize'!AC$4+1))</f>
        <v>1069</v>
      </c>
      <c r="AD14">
        <f ca="1">IF(OR($L14&gt;AD$4,AD$4&gt;$L14+23),"",OFFSET(Electric!$L5,0,-'Electric Calendarize'!$L14+'Electric Calendarize'!AD$4+1))</f>
        <v>1419</v>
      </c>
      <c r="AE14">
        <f ca="1">IF(OR($L14&gt;AE$4,AE$4&gt;$L14+23),"",OFFSET(Electric!$L5,0,-'Electric Calendarize'!$L14+'Electric Calendarize'!AE$4+1))</f>
        <v>1195</v>
      </c>
      <c r="AF14">
        <f ca="1">IF(OR($L14&gt;AF$4,AF$4&gt;$L14+23),"",OFFSET(Electric!$L5,0,-'Electric Calendarize'!$L14+'Electric Calendarize'!AF$4+1))</f>
        <v>1110</v>
      </c>
      <c r="AG14">
        <f ca="1">IF(OR($L14&gt;AG$4,AG$4&gt;$L14+23),"",OFFSET(Electric!$L5,0,-'Electric Calendarize'!$L14+'Electric Calendarize'!AG$4+1))</f>
        <v>654</v>
      </c>
      <c r="AH14">
        <f ca="1">IF(OR($L14&gt;AH$4,AH$4&gt;$L14+23),"",OFFSET(Electric!$L5,0,-'Electric Calendarize'!$L14+'Electric Calendarize'!AH$4+1))</f>
        <v>914</v>
      </c>
      <c r="AI14">
        <f ca="1">IF(OR($L14&gt;AI$4,AI$4&gt;$L14+23),"",OFFSET(Electric!$L5,0,-'Electric Calendarize'!$L14+'Electric Calendarize'!AI$4+1))</f>
        <v>1286</v>
      </c>
      <c r="AJ14">
        <f ca="1">IF(OR($L14&gt;AJ$4,AJ$4&gt;$L14+23),"",OFFSET(Electric!$L5,0,-'Electric Calendarize'!$L14+'Electric Calendarize'!AJ$4+1))</f>
        <v>2024</v>
      </c>
      <c r="AK14">
        <f ca="1">IF(OR($L14&gt;AK$4,AK$4&gt;$L14+23),"",OFFSET(Electric!$L5,0,-'Electric Calendarize'!$L14+'Electric Calendarize'!AK$4+1))</f>
        <v>1935</v>
      </c>
      <c r="AL14">
        <f ca="1">IF(OR($L14&gt;AL$4,AL$4&gt;$L14+23),"",OFFSET(Electric!$L5,0,-'Electric Calendarize'!$L14+'Electric Calendarize'!AL$4+1))</f>
        <v>1214</v>
      </c>
      <c r="AM14" t="str">
        <f ca="1">IF(OR($L14&gt;AM$4,AM$4&gt;$L14+23),"",OFFSET(Electric!$L5,0,-'Electric Calendarize'!$L14+'Electric Calendarize'!AM$4+1))</f>
        <v/>
      </c>
      <c r="AN14" t="str">
        <f ca="1">IF(OR($L14&gt;AN$4,AN$4&gt;$L14+23),"",OFFSET(Electric!$L5,0,-'Electric Calendarize'!$L14+'Electric Calendarize'!AN$4+1))</f>
        <v/>
      </c>
      <c r="AO14" t="str">
        <f ca="1">IF(OR($L14&gt;AO$4,AO$4&gt;$L14+23),"",OFFSET(Electric!$L5,0,-'Electric Calendarize'!$L14+'Electric Calendarize'!AO$4+1))</f>
        <v/>
      </c>
      <c r="AP14" t="str">
        <f ca="1">IF(OR($L14&gt;AP$4,AP$4&gt;$L14+23),"",OFFSET(Electric!$L5,0,-'Electric Calendarize'!$L14+'Electric Calendarize'!AP$4+1))</f>
        <v/>
      </c>
      <c r="AQ14" t="str">
        <f ca="1">IF(OR($L14&gt;AQ$4,AQ$4&gt;$L14+23),"",OFFSET(Electric!$L5,0,-'Electric Calendarize'!$L14+'Electric Calendarize'!AQ$4+1))</f>
        <v/>
      </c>
      <c r="AR14" t="str">
        <f ca="1">IF(OR($L14&gt;AR$4,AR$4&gt;$L14+23),"",OFFSET(Electric!$L5,0,-'Electric Calendarize'!$L14+'Electric Calendarize'!AR$4+1))</f>
        <v/>
      </c>
      <c r="AS14" t="str">
        <f ca="1">IF(OR($L14&gt;AS$4,AS$4&gt;$L14+23),"",OFFSET(Electric!$L5,0,-'Electric Calendarize'!$L14+'Electric Calendarize'!AS$4+1))</f>
        <v/>
      </c>
      <c r="AT14" t="str">
        <f ca="1">IF(OR($L14&gt;AT$4,AT$4&gt;$L14+23),"",OFFSET(Electric!$L5,0,-'Electric Calendarize'!$L14+'Electric Calendarize'!AT$4+1))</f>
        <v/>
      </c>
      <c r="AU14" t="str">
        <f ca="1">IF(OR($L14&gt;AU$4,AU$4&gt;$L14+23),"",OFFSET(Electric!$L5,0,-'Electric Calendarize'!$L14+'Electric Calendarize'!AU$4+1))</f>
        <v/>
      </c>
      <c r="AV14" t="str">
        <f ca="1">IF(OR($L14&gt;AV$4,AV$4&gt;$L14+23),"",OFFSET(Electric!$L5,0,-'Electric Calendarize'!$L14+'Electric Calendarize'!AV$4+1))</f>
        <v/>
      </c>
      <c r="AW14" t="str">
        <f ca="1">IF(OR($L14&gt;AW$4,AW$4&gt;$L14+23),"",OFFSET(Electric!$L5,0,-'Electric Calendarize'!$L14+'Electric Calendarize'!AW$4+1))</f>
        <v/>
      </c>
      <c r="AX14" t="str">
        <f ca="1">IF(OR($L14&gt;AX$4,AX$4&gt;$L14+23),"",OFFSET(Electric!$L5,0,-'Electric Calendarize'!$L14+'Electric Calendarize'!AX$4+1))</f>
        <v/>
      </c>
      <c r="AY14" t="str">
        <f ca="1">IF(OR($L14&gt;AY$4,AY$4&gt;$L14+23),"",OFFSET(Electric!$L5,0,-'Electric Calendarize'!$L14+'Electric Calendarize'!AY$4+1))</f>
        <v/>
      </c>
      <c r="AZ14" t="str">
        <f ca="1">IF(OR($L14&gt;AZ$4,AZ$4&gt;$L14+23),"",OFFSET(Electric!$L5,0,-'Electric Calendarize'!$L14+'Electric Calendarize'!AZ$4+1))</f>
        <v/>
      </c>
      <c r="BA14" t="str">
        <f ca="1">IF(OR($L14&gt;BA$4,BA$4&gt;$L14+23),"",OFFSET(Electric!$L5,0,-'Electric Calendarize'!$L14+'Electric Calendarize'!BA$4+1))</f>
        <v/>
      </c>
      <c r="BB14" t="str">
        <f ca="1">IF(OR($L14&gt;BB$4,BB$4&gt;$L14+23),"",OFFSET(Electric!$L5,0,-'Electric Calendarize'!$L14+'Electric Calendarize'!BB$4+1))</f>
        <v/>
      </c>
      <c r="BC14" t="str">
        <f ca="1">IF(OR($L14&gt;BC$4,BC$4&gt;$L14+23),"",OFFSET(Electric!$L5,0,-'Electric Calendarize'!$L14+'Electric Calendarize'!BC$4+1))</f>
        <v/>
      </c>
      <c r="BD14" t="str">
        <f ca="1">IF(OR($L14&gt;BD$4,BD$4&gt;$L14+23),"",OFFSET(Electric!$L5,0,-'Electric Calendarize'!$L14+'Electric Calendarize'!BD$4+1))</f>
        <v/>
      </c>
      <c r="BE14" t="str">
        <f ca="1">IF(OR($L14&gt;BE$4,BE$4&gt;$L14+23),"",OFFSET(Electric!$L5,0,-'Electric Calendarize'!$L14+'Electric Calendarize'!BE$4+1))</f>
        <v/>
      </c>
      <c r="BF14" t="str">
        <f ca="1">IF(OR($L14&gt;BF$4,BF$4&gt;$L14+23),"",OFFSET(Electric!$L5,0,-'Electric Calendarize'!$L14+'Electric Calendarize'!BF$4+1))</f>
        <v/>
      </c>
      <c r="BG14" t="str">
        <f ca="1">IF(OR($L14&gt;BG$4,BG$4&gt;$L14+23),"",OFFSET(Electric!$L5,0,-'Electric Calendarize'!$L14+'Electric Calendarize'!BG$4+1))</f>
        <v/>
      </c>
      <c r="BJ14" s="10" t="s">
        <v>37</v>
      </c>
      <c r="BK14">
        <f t="shared" si="195"/>
        <v>1</v>
      </c>
      <c r="BL14">
        <f t="shared" si="100"/>
        <v>0</v>
      </c>
      <c r="BM14">
        <f t="shared" si="101"/>
        <v>0</v>
      </c>
      <c r="BN14">
        <f t="shared" si="102"/>
        <v>0</v>
      </c>
      <c r="BO14">
        <f t="shared" si="103"/>
        <v>0</v>
      </c>
      <c r="BP14">
        <f t="shared" si="104"/>
        <v>0</v>
      </c>
      <c r="BQ14">
        <f t="shared" si="105"/>
        <v>0</v>
      </c>
      <c r="BR14">
        <f t="shared" si="106"/>
        <v>1</v>
      </c>
      <c r="BS14">
        <f t="shared" si="107"/>
        <v>1</v>
      </c>
      <c r="BT14">
        <f t="shared" si="108"/>
        <v>1</v>
      </c>
      <c r="BU14">
        <f t="shared" si="109"/>
        <v>1</v>
      </c>
      <c r="BV14">
        <f t="shared" si="110"/>
        <v>1</v>
      </c>
      <c r="BW14">
        <f t="shared" si="111"/>
        <v>1</v>
      </c>
      <c r="BX14">
        <f t="shared" si="112"/>
        <v>0</v>
      </c>
      <c r="BY14">
        <f t="shared" si="113"/>
        <v>0</v>
      </c>
      <c r="BZ14">
        <f t="shared" si="114"/>
        <v>0</v>
      </c>
      <c r="CA14">
        <f t="shared" si="115"/>
        <v>0</v>
      </c>
      <c r="CB14">
        <f t="shared" si="116"/>
        <v>0</v>
      </c>
      <c r="CC14">
        <f t="shared" si="117"/>
        <v>0</v>
      </c>
      <c r="CD14">
        <f t="shared" si="118"/>
        <v>1</v>
      </c>
      <c r="CE14">
        <f t="shared" si="119"/>
        <v>1</v>
      </c>
      <c r="CF14">
        <f t="shared" si="120"/>
        <v>1</v>
      </c>
      <c r="CG14">
        <f t="shared" si="121"/>
        <v>1</v>
      </c>
      <c r="CH14">
        <f t="shared" si="122"/>
        <v>1</v>
      </c>
      <c r="CI14">
        <f t="shared" si="123"/>
        <v>1</v>
      </c>
      <c r="CJ14">
        <f t="shared" si="124"/>
        <v>0</v>
      </c>
      <c r="CK14">
        <f t="shared" si="125"/>
        <v>0</v>
      </c>
      <c r="CL14">
        <f t="shared" si="126"/>
        <v>0</v>
      </c>
      <c r="CM14">
        <f t="shared" si="127"/>
        <v>0</v>
      </c>
      <c r="CN14">
        <f t="shared" si="128"/>
        <v>0</v>
      </c>
      <c r="CO14">
        <f t="shared" si="129"/>
        <v>0</v>
      </c>
      <c r="CP14">
        <f t="shared" si="130"/>
        <v>1</v>
      </c>
      <c r="CQ14">
        <f t="shared" si="131"/>
        <v>1</v>
      </c>
      <c r="CR14">
        <f t="shared" si="132"/>
        <v>1</v>
      </c>
      <c r="CS14">
        <f t="shared" si="133"/>
        <v>1</v>
      </c>
      <c r="CT14">
        <f t="shared" si="134"/>
        <v>1</v>
      </c>
      <c r="CU14">
        <f t="shared" si="135"/>
        <v>1</v>
      </c>
      <c r="CV14">
        <f t="shared" si="136"/>
        <v>0</v>
      </c>
      <c r="CW14">
        <f t="shared" si="137"/>
        <v>0</v>
      </c>
      <c r="CX14">
        <f t="shared" si="138"/>
        <v>0</v>
      </c>
      <c r="CY14">
        <f t="shared" si="139"/>
        <v>0</v>
      </c>
      <c r="CZ14">
        <f t="shared" si="140"/>
        <v>0</v>
      </c>
      <c r="DA14">
        <f t="shared" si="141"/>
        <v>0</v>
      </c>
      <c r="DB14">
        <f t="shared" si="142"/>
        <v>1</v>
      </c>
      <c r="DC14">
        <f t="shared" si="143"/>
        <v>1</v>
      </c>
      <c r="DF14" s="10" t="s">
        <v>37</v>
      </c>
      <c r="DG14" t="str">
        <f t="shared" si="196"/>
        <v>2021_4</v>
      </c>
      <c r="DH14" t="str">
        <f t="shared" si="144"/>
        <v>2021_4</v>
      </c>
      <c r="DI14" t="str">
        <f t="shared" si="144"/>
        <v>2021_4</v>
      </c>
      <c r="DJ14" t="str">
        <f t="shared" si="144"/>
        <v>2021_4</v>
      </c>
      <c r="DK14" t="str">
        <f t="shared" si="144"/>
        <v>2021_4</v>
      </c>
      <c r="DL14" t="str">
        <f t="shared" si="144"/>
        <v>2021_4</v>
      </c>
      <c r="DM14" t="str">
        <f t="shared" si="144"/>
        <v>2021_4</v>
      </c>
      <c r="DN14" t="str">
        <f t="shared" si="144"/>
        <v>2021_4</v>
      </c>
      <c r="DO14" t="str">
        <f t="shared" si="144"/>
        <v>2021_4</v>
      </c>
      <c r="DP14" t="str">
        <f t="shared" si="144"/>
        <v>2021_4</v>
      </c>
      <c r="DQ14" t="str">
        <f t="shared" si="144"/>
        <v>2021_4</v>
      </c>
      <c r="DR14" t="str">
        <f t="shared" si="144"/>
        <v>2021_4</v>
      </c>
      <c r="DS14" t="str">
        <f t="shared" si="144"/>
        <v>2021_4</v>
      </c>
      <c r="DT14" t="str">
        <f t="shared" si="144"/>
        <v>2021_4</v>
      </c>
      <c r="DU14" t="str">
        <f t="shared" si="144"/>
        <v>2021_4</v>
      </c>
      <c r="DV14" t="str">
        <f t="shared" si="144"/>
        <v>2021_4</v>
      </c>
      <c r="DW14" t="str">
        <f t="shared" si="144"/>
        <v>2021_4</v>
      </c>
      <c r="DX14" t="str">
        <f t="shared" si="145"/>
        <v>2021_4</v>
      </c>
      <c r="DY14" t="str">
        <f t="shared" si="145"/>
        <v>2021_4</v>
      </c>
      <c r="DZ14" t="str">
        <f t="shared" si="145"/>
        <v>2021_4</v>
      </c>
      <c r="EA14" t="str">
        <f t="shared" si="145"/>
        <v>2021_4</v>
      </c>
      <c r="EB14" t="str">
        <f t="shared" si="145"/>
        <v>2021_4</v>
      </c>
      <c r="EC14" t="str">
        <f t="shared" si="145"/>
        <v>2021_4</v>
      </c>
      <c r="ED14" t="str">
        <f t="shared" si="145"/>
        <v>2021_4</v>
      </c>
      <c r="EE14" t="str">
        <f t="shared" si="145"/>
        <v>2021_4</v>
      </c>
      <c r="EF14" t="str">
        <f t="shared" si="145"/>
        <v>2021_4</v>
      </c>
      <c r="EG14" t="str">
        <f t="shared" si="145"/>
        <v>2021_4</v>
      </c>
      <c r="EH14" t="str">
        <f t="shared" si="145"/>
        <v>2021_4</v>
      </c>
      <c r="EI14" t="str">
        <f t="shared" si="145"/>
        <v>2021_4</v>
      </c>
      <c r="EJ14" t="str">
        <f t="shared" si="145"/>
        <v>2021_4</v>
      </c>
      <c r="EK14" t="str">
        <f t="shared" si="145"/>
        <v>2021_4</v>
      </c>
      <c r="EL14" t="str">
        <f t="shared" si="145"/>
        <v>2021_4</v>
      </c>
      <c r="EM14" t="str">
        <f t="shared" si="145"/>
        <v>2021_4</v>
      </c>
      <c r="EN14" t="str">
        <f t="shared" si="146"/>
        <v>2021_4</v>
      </c>
      <c r="EO14" t="str">
        <f t="shared" si="146"/>
        <v>2021_4</v>
      </c>
      <c r="EP14" t="str">
        <f t="shared" si="146"/>
        <v>2021_4</v>
      </c>
      <c r="EQ14" t="str">
        <f t="shared" si="146"/>
        <v>2021_4</v>
      </c>
      <c r="ER14" t="str">
        <f t="shared" si="146"/>
        <v>2021_4</v>
      </c>
      <c r="ES14" t="str">
        <f t="shared" si="146"/>
        <v>2021_4</v>
      </c>
      <c r="ET14" t="str">
        <f t="shared" si="146"/>
        <v>2021_4</v>
      </c>
      <c r="EU14" t="str">
        <f t="shared" si="146"/>
        <v>2021_4</v>
      </c>
      <c r="EV14" t="str">
        <f t="shared" si="146"/>
        <v>2021_4</v>
      </c>
      <c r="EW14" t="str">
        <f t="shared" si="146"/>
        <v>2021_4</v>
      </c>
      <c r="EX14" t="str">
        <f t="shared" si="146"/>
        <v>2021_4</v>
      </c>
      <c r="EY14" t="str">
        <f t="shared" si="146"/>
        <v>2021_4</v>
      </c>
      <c r="FB14" s="10" t="s">
        <v>37</v>
      </c>
      <c r="FC14">
        <f t="shared" si="197"/>
        <v>0</v>
      </c>
      <c r="FD14">
        <f t="shared" si="147"/>
        <v>0</v>
      </c>
      <c r="FE14">
        <f t="shared" si="148"/>
        <v>0</v>
      </c>
      <c r="FF14">
        <f t="shared" si="149"/>
        <v>0</v>
      </c>
      <c r="FG14">
        <f t="shared" si="150"/>
        <v>0</v>
      </c>
      <c r="FH14">
        <f t="shared" si="151"/>
        <v>0</v>
      </c>
      <c r="FI14">
        <f t="shared" si="152"/>
        <v>0</v>
      </c>
      <c r="FJ14">
        <f t="shared" si="153"/>
        <v>0</v>
      </c>
      <c r="FK14">
        <f t="shared" si="154"/>
        <v>0</v>
      </c>
      <c r="FL14">
        <f t="shared" si="155"/>
        <v>0</v>
      </c>
      <c r="FM14">
        <f t="shared" si="156"/>
        <v>0</v>
      </c>
      <c r="FN14">
        <f t="shared" si="157"/>
        <v>0</v>
      </c>
      <c r="FO14">
        <f t="shared" si="158"/>
        <v>1</v>
      </c>
      <c r="FP14">
        <f t="shared" si="159"/>
        <v>1</v>
      </c>
      <c r="FQ14">
        <f t="shared" si="160"/>
        <v>1</v>
      </c>
      <c r="FR14">
        <f t="shared" si="161"/>
        <v>1</v>
      </c>
      <c r="FS14">
        <f t="shared" si="162"/>
        <v>1</v>
      </c>
      <c r="FT14">
        <f t="shared" si="163"/>
        <v>1</v>
      </c>
      <c r="FU14">
        <f t="shared" si="164"/>
        <v>1</v>
      </c>
      <c r="FV14">
        <f t="shared" si="165"/>
        <v>1</v>
      </c>
      <c r="FW14">
        <f t="shared" si="166"/>
        <v>1</v>
      </c>
      <c r="FX14">
        <f t="shared" si="167"/>
        <v>1</v>
      </c>
      <c r="FY14">
        <f t="shared" si="168"/>
        <v>1</v>
      </c>
      <c r="FZ14">
        <f t="shared" si="169"/>
        <v>1</v>
      </c>
      <c r="GA14">
        <f t="shared" si="170"/>
        <v>1</v>
      </c>
      <c r="GB14">
        <f t="shared" si="171"/>
        <v>1</v>
      </c>
      <c r="GC14">
        <f t="shared" si="172"/>
        <v>1</v>
      </c>
      <c r="GD14">
        <f t="shared" si="173"/>
        <v>1</v>
      </c>
      <c r="GE14">
        <f t="shared" si="174"/>
        <v>1</v>
      </c>
      <c r="GF14">
        <f t="shared" si="175"/>
        <v>1</v>
      </c>
      <c r="GG14">
        <f t="shared" si="176"/>
        <v>1</v>
      </c>
      <c r="GH14">
        <f t="shared" si="177"/>
        <v>1</v>
      </c>
      <c r="GI14">
        <f t="shared" si="178"/>
        <v>1</v>
      </c>
      <c r="GJ14">
        <f t="shared" si="179"/>
        <v>1</v>
      </c>
      <c r="GK14">
        <f t="shared" si="180"/>
        <v>1</v>
      </c>
      <c r="GL14">
        <f t="shared" si="181"/>
        <v>1</v>
      </c>
      <c r="GM14">
        <f t="shared" si="182"/>
        <v>1</v>
      </c>
      <c r="GN14">
        <f t="shared" si="183"/>
        <v>1</v>
      </c>
      <c r="GO14">
        <f t="shared" si="184"/>
        <v>1</v>
      </c>
      <c r="GP14">
        <f t="shared" si="185"/>
        <v>1</v>
      </c>
      <c r="GQ14">
        <f t="shared" si="186"/>
        <v>1</v>
      </c>
      <c r="GR14">
        <f t="shared" si="187"/>
        <v>1</v>
      </c>
      <c r="GS14">
        <f t="shared" si="188"/>
        <v>1</v>
      </c>
      <c r="GT14">
        <f t="shared" si="189"/>
        <v>1</v>
      </c>
      <c r="GU14">
        <f t="shared" si="190"/>
        <v>1</v>
      </c>
      <c r="GX14" s="10"/>
    </row>
    <row r="15" spans="1:206" x14ac:dyDescent="0.3">
      <c r="A15" s="9" t="s">
        <v>41</v>
      </c>
      <c r="B15" s="80"/>
      <c r="C15" s="9">
        <v>3020110000</v>
      </c>
      <c r="D15" s="9" t="s">
        <v>353</v>
      </c>
      <c r="E15" s="9" t="s">
        <v>34</v>
      </c>
      <c r="F15" s="9" t="s">
        <v>35</v>
      </c>
      <c r="G15" s="9" t="s">
        <v>45</v>
      </c>
      <c r="H15" s="10">
        <v>44308</v>
      </c>
      <c r="I15" s="9">
        <f t="shared" si="191"/>
        <v>2021</v>
      </c>
      <c r="J15" s="9">
        <f t="shared" si="192"/>
        <v>4</v>
      </c>
      <c r="K15" s="9" t="str">
        <f t="shared" si="193"/>
        <v>2021_4</v>
      </c>
      <c r="L15">
        <f>MAX(0,VLOOKUP($K15,lookups!$A$1:$B$45,2,0)-12)</f>
        <v>0</v>
      </c>
      <c r="M15" s="40">
        <f t="shared" si="194"/>
        <v>44287</v>
      </c>
      <c r="N15" s="10" t="s">
        <v>37</v>
      </c>
      <c r="O15">
        <f ca="1">IF(OR($L15&gt;O$4,O$4&gt;$L15+23),"",OFFSET(Electric!$L6,0,-'Electric Calendarize'!$L15+'Electric Calendarize'!O$4+1))</f>
        <v>846</v>
      </c>
      <c r="P15">
        <f ca="1">IF(OR($L15&gt;P$4,P$4&gt;$L15+23),"",OFFSET(Electric!$L6,0,-'Electric Calendarize'!$L15+'Electric Calendarize'!P$4+1))</f>
        <v>786</v>
      </c>
      <c r="Q15">
        <f ca="1">IF(OR($L15&gt;Q$4,Q$4&gt;$L15+23),"",OFFSET(Electric!$L6,0,-'Electric Calendarize'!$L15+'Electric Calendarize'!Q$4+1))</f>
        <v>606</v>
      </c>
      <c r="R15">
        <f ca="1">IF(OR($L15&gt;R$4,R$4&gt;$L15+23),"",OFFSET(Electric!$L6,0,-'Electric Calendarize'!$L15+'Electric Calendarize'!R$4+1))</f>
        <v>832</v>
      </c>
      <c r="S15">
        <f ca="1">IF(OR($L15&gt;S$4,S$4&gt;$L15+23),"",OFFSET(Electric!$L6,0,-'Electric Calendarize'!$L15+'Electric Calendarize'!S$4+1))</f>
        <v>108</v>
      </c>
      <c r="T15">
        <f ca="1">IF(OR($L15&gt;T$4,T$4&gt;$L15+23),"",OFFSET(Electric!$L6,0,-'Electric Calendarize'!$L15+'Electric Calendarize'!T$4+1))</f>
        <v>1626</v>
      </c>
      <c r="U15">
        <f ca="1">IF(OR($L15&gt;U$4,U$4&gt;$L15+23),"",OFFSET(Electric!$L6,0,-'Electric Calendarize'!$L15+'Electric Calendarize'!U$4+1))</f>
        <v>932</v>
      </c>
      <c r="V15">
        <f ca="1">IF(OR($L15&gt;V$4,V$4&gt;$L15+23),"",OFFSET(Electric!$L6,0,-'Electric Calendarize'!$L15+'Electric Calendarize'!V$4+1))</f>
        <v>998</v>
      </c>
      <c r="W15">
        <f ca="1">IF(OR($L15&gt;W$4,W$4&gt;$L15+23),"",OFFSET(Electric!$L6,0,-'Electric Calendarize'!$L15+'Electric Calendarize'!W$4+1))</f>
        <v>1398</v>
      </c>
      <c r="X15">
        <f ca="1">IF(OR($L15&gt;X$4,X$4&gt;$L15+23),"",OFFSET(Electric!$L6,0,-'Electric Calendarize'!$L15+'Electric Calendarize'!X$4+1))</f>
        <v>1856</v>
      </c>
      <c r="Y15">
        <f ca="1">IF(OR($L15&gt;Y$4,Y$4&gt;$L15+23),"",OFFSET(Electric!$L6,0,-'Electric Calendarize'!$L15+'Electric Calendarize'!Y$4+1))</f>
        <v>1582</v>
      </c>
      <c r="Z15">
        <f ca="1">IF(OR($L15&gt;Z$4,Z$4&gt;$L15+23),"",OFFSET(Electric!$L6,0,-'Electric Calendarize'!$L15+'Electric Calendarize'!Z$4+1))</f>
        <v>1802</v>
      </c>
      <c r="AA15">
        <f ca="1">IF(OR($L15&gt;AA$4,AA$4&gt;$L15+23),"",OFFSET(Electric!$L6,0,-'Electric Calendarize'!$L15+'Electric Calendarize'!AA$4+1))</f>
        <v>832</v>
      </c>
      <c r="AB15">
        <f ca="1">IF(OR($L15&gt;AB$4,AB$4&gt;$L15+23),"",OFFSET(Electric!$L6,0,-'Electric Calendarize'!$L15+'Electric Calendarize'!AB$4+1))</f>
        <v>606</v>
      </c>
      <c r="AC15">
        <f ca="1">IF(OR($L15&gt;AC$4,AC$4&gt;$L15+23),"",OFFSET(Electric!$L6,0,-'Electric Calendarize'!$L15+'Electric Calendarize'!AC$4+1))</f>
        <v>516</v>
      </c>
      <c r="AD15">
        <f ca="1">IF(OR($L15&gt;AD$4,AD$4&gt;$L15+23),"",OFFSET(Electric!$L6,0,-'Electric Calendarize'!$L15+'Electric Calendarize'!AD$4+1))</f>
        <v>924</v>
      </c>
      <c r="AE15">
        <f ca="1">IF(OR($L15&gt;AE$4,AE$4&gt;$L15+23),"",OFFSET(Electric!$L6,0,-'Electric Calendarize'!$L15+'Electric Calendarize'!AE$4+1))</f>
        <v>1332</v>
      </c>
      <c r="AF15">
        <f ca="1">IF(OR($L15&gt;AF$4,AF$4&gt;$L15+23),"",OFFSET(Electric!$L6,0,-'Electric Calendarize'!$L15+'Electric Calendarize'!AF$4+1))</f>
        <v>1442</v>
      </c>
      <c r="AG15">
        <f ca="1">IF(OR($L15&gt;AG$4,AG$4&gt;$L15+23),"",OFFSET(Electric!$L6,0,-'Electric Calendarize'!$L15+'Electric Calendarize'!AG$4+1))</f>
        <v>1098</v>
      </c>
      <c r="AH15">
        <f ca="1">IF(OR($L15&gt;AH$4,AH$4&gt;$L15+23),"",OFFSET(Electric!$L6,0,-'Electric Calendarize'!$L15+'Electric Calendarize'!AH$4+1))</f>
        <v>772</v>
      </c>
      <c r="AI15">
        <f ca="1">IF(OR($L15&gt;AI$4,AI$4&gt;$L15+23),"",OFFSET(Electric!$L6,0,-'Electric Calendarize'!$L15+'Electric Calendarize'!AI$4+1))</f>
        <v>1556</v>
      </c>
      <c r="AJ15">
        <f ca="1">IF(OR($L15&gt;AJ$4,AJ$4&gt;$L15+23),"",OFFSET(Electric!$L6,0,-'Electric Calendarize'!$L15+'Electric Calendarize'!AJ$4+1))</f>
        <v>1998</v>
      </c>
      <c r="AK15">
        <f ca="1">IF(OR($L15&gt;AK$4,AK$4&gt;$L15+23),"",OFFSET(Electric!$L6,0,-'Electric Calendarize'!$L15+'Electric Calendarize'!AK$4+1))</f>
        <v>2730</v>
      </c>
      <c r="AL15">
        <f ca="1">IF(OR($L15&gt;AL$4,AL$4&gt;$L15+23),"",OFFSET(Electric!$L6,0,-'Electric Calendarize'!$L15+'Electric Calendarize'!AL$4+1))</f>
        <v>1884</v>
      </c>
      <c r="AM15" t="str">
        <f ca="1">IF(OR($L15&gt;AM$4,AM$4&gt;$L15+23),"",OFFSET(Electric!$L6,0,-'Electric Calendarize'!$L15+'Electric Calendarize'!AM$4+1))</f>
        <v/>
      </c>
      <c r="AN15" t="str">
        <f ca="1">IF(OR($L15&gt;AN$4,AN$4&gt;$L15+23),"",OFFSET(Electric!$L6,0,-'Electric Calendarize'!$L15+'Electric Calendarize'!AN$4+1))</f>
        <v/>
      </c>
      <c r="AO15" t="str">
        <f ca="1">IF(OR($L15&gt;AO$4,AO$4&gt;$L15+23),"",OFFSET(Electric!$L6,0,-'Electric Calendarize'!$L15+'Electric Calendarize'!AO$4+1))</f>
        <v/>
      </c>
      <c r="AP15" t="str">
        <f ca="1">IF(OR($L15&gt;AP$4,AP$4&gt;$L15+23),"",OFFSET(Electric!$L6,0,-'Electric Calendarize'!$L15+'Electric Calendarize'!AP$4+1))</f>
        <v/>
      </c>
      <c r="AQ15" t="str">
        <f ca="1">IF(OR($L15&gt;AQ$4,AQ$4&gt;$L15+23),"",OFFSET(Electric!$L6,0,-'Electric Calendarize'!$L15+'Electric Calendarize'!AQ$4+1))</f>
        <v/>
      </c>
      <c r="AR15" t="str">
        <f ca="1">IF(OR($L15&gt;AR$4,AR$4&gt;$L15+23),"",OFFSET(Electric!$L6,0,-'Electric Calendarize'!$L15+'Electric Calendarize'!AR$4+1))</f>
        <v/>
      </c>
      <c r="AS15" t="str">
        <f ca="1">IF(OR($L15&gt;AS$4,AS$4&gt;$L15+23),"",OFFSET(Electric!$L6,0,-'Electric Calendarize'!$L15+'Electric Calendarize'!AS$4+1))</f>
        <v/>
      </c>
      <c r="AT15" t="str">
        <f ca="1">IF(OR($L15&gt;AT$4,AT$4&gt;$L15+23),"",OFFSET(Electric!$L6,0,-'Electric Calendarize'!$L15+'Electric Calendarize'!AT$4+1))</f>
        <v/>
      </c>
      <c r="AU15" t="str">
        <f ca="1">IF(OR($L15&gt;AU$4,AU$4&gt;$L15+23),"",OFFSET(Electric!$L6,0,-'Electric Calendarize'!$L15+'Electric Calendarize'!AU$4+1))</f>
        <v/>
      </c>
      <c r="AV15" t="str">
        <f ca="1">IF(OR($L15&gt;AV$4,AV$4&gt;$L15+23),"",OFFSET(Electric!$L6,0,-'Electric Calendarize'!$L15+'Electric Calendarize'!AV$4+1))</f>
        <v/>
      </c>
      <c r="AW15" t="str">
        <f ca="1">IF(OR($L15&gt;AW$4,AW$4&gt;$L15+23),"",OFFSET(Electric!$L6,0,-'Electric Calendarize'!$L15+'Electric Calendarize'!AW$4+1))</f>
        <v/>
      </c>
      <c r="AX15" t="str">
        <f ca="1">IF(OR($L15&gt;AX$4,AX$4&gt;$L15+23),"",OFFSET(Electric!$L6,0,-'Electric Calendarize'!$L15+'Electric Calendarize'!AX$4+1))</f>
        <v/>
      </c>
      <c r="AY15" t="str">
        <f ca="1">IF(OR($L15&gt;AY$4,AY$4&gt;$L15+23),"",OFFSET(Electric!$L6,0,-'Electric Calendarize'!$L15+'Electric Calendarize'!AY$4+1))</f>
        <v/>
      </c>
      <c r="AZ15" t="str">
        <f ca="1">IF(OR($L15&gt;AZ$4,AZ$4&gt;$L15+23),"",OFFSET(Electric!$L6,0,-'Electric Calendarize'!$L15+'Electric Calendarize'!AZ$4+1))</f>
        <v/>
      </c>
      <c r="BA15" t="str">
        <f ca="1">IF(OR($L15&gt;BA$4,BA$4&gt;$L15+23),"",OFFSET(Electric!$L6,0,-'Electric Calendarize'!$L15+'Electric Calendarize'!BA$4+1))</f>
        <v/>
      </c>
      <c r="BB15" t="str">
        <f ca="1">IF(OR($L15&gt;BB$4,BB$4&gt;$L15+23),"",OFFSET(Electric!$L6,0,-'Electric Calendarize'!$L15+'Electric Calendarize'!BB$4+1))</f>
        <v/>
      </c>
      <c r="BC15" t="str">
        <f ca="1">IF(OR($L15&gt;BC$4,BC$4&gt;$L15+23),"",OFFSET(Electric!$L6,0,-'Electric Calendarize'!$L15+'Electric Calendarize'!BC$4+1))</f>
        <v/>
      </c>
      <c r="BD15" t="str">
        <f ca="1">IF(OR($L15&gt;BD$4,BD$4&gt;$L15+23),"",OFFSET(Electric!$L6,0,-'Electric Calendarize'!$L15+'Electric Calendarize'!BD$4+1))</f>
        <v/>
      </c>
      <c r="BE15" t="str">
        <f ca="1">IF(OR($L15&gt;BE$4,BE$4&gt;$L15+23),"",OFFSET(Electric!$L6,0,-'Electric Calendarize'!$L15+'Electric Calendarize'!BE$4+1))</f>
        <v/>
      </c>
      <c r="BF15" t="str">
        <f ca="1">IF(OR($L15&gt;BF$4,BF$4&gt;$L15+23),"",OFFSET(Electric!$L6,0,-'Electric Calendarize'!$L15+'Electric Calendarize'!BF$4+1))</f>
        <v/>
      </c>
      <c r="BG15" t="str">
        <f ca="1">IF(OR($L15&gt;BG$4,BG$4&gt;$L15+23),"",OFFSET(Electric!$L6,0,-'Electric Calendarize'!$L15+'Electric Calendarize'!BG$4+1))</f>
        <v/>
      </c>
      <c r="BJ15" s="10" t="s">
        <v>37</v>
      </c>
      <c r="BK15">
        <f t="shared" si="195"/>
        <v>1</v>
      </c>
      <c r="BL15">
        <f t="shared" si="100"/>
        <v>0</v>
      </c>
      <c r="BM15">
        <f t="shared" si="101"/>
        <v>0</v>
      </c>
      <c r="BN15">
        <f t="shared" si="102"/>
        <v>0</v>
      </c>
      <c r="BO15">
        <f t="shared" si="103"/>
        <v>0</v>
      </c>
      <c r="BP15">
        <f t="shared" si="104"/>
        <v>0</v>
      </c>
      <c r="BQ15">
        <f t="shared" si="105"/>
        <v>0</v>
      </c>
      <c r="BR15">
        <f t="shared" si="106"/>
        <v>1</v>
      </c>
      <c r="BS15">
        <f t="shared" si="107"/>
        <v>1</v>
      </c>
      <c r="BT15">
        <f t="shared" si="108"/>
        <v>1</v>
      </c>
      <c r="BU15">
        <f t="shared" si="109"/>
        <v>1</v>
      </c>
      <c r="BV15">
        <f t="shared" si="110"/>
        <v>1</v>
      </c>
      <c r="BW15">
        <f t="shared" si="111"/>
        <v>1</v>
      </c>
      <c r="BX15">
        <f t="shared" si="112"/>
        <v>0</v>
      </c>
      <c r="BY15">
        <f t="shared" si="113"/>
        <v>0</v>
      </c>
      <c r="BZ15">
        <f t="shared" si="114"/>
        <v>0</v>
      </c>
      <c r="CA15">
        <f t="shared" si="115"/>
        <v>0</v>
      </c>
      <c r="CB15">
        <f t="shared" si="116"/>
        <v>0</v>
      </c>
      <c r="CC15">
        <f t="shared" si="117"/>
        <v>0</v>
      </c>
      <c r="CD15">
        <f t="shared" si="118"/>
        <v>1</v>
      </c>
      <c r="CE15">
        <f t="shared" si="119"/>
        <v>1</v>
      </c>
      <c r="CF15">
        <f t="shared" si="120"/>
        <v>1</v>
      </c>
      <c r="CG15">
        <f t="shared" si="121"/>
        <v>1</v>
      </c>
      <c r="CH15">
        <f t="shared" si="122"/>
        <v>1</v>
      </c>
      <c r="CI15">
        <f t="shared" si="123"/>
        <v>1</v>
      </c>
      <c r="CJ15">
        <f t="shared" si="124"/>
        <v>0</v>
      </c>
      <c r="CK15">
        <f t="shared" si="125"/>
        <v>0</v>
      </c>
      <c r="CL15">
        <f t="shared" si="126"/>
        <v>0</v>
      </c>
      <c r="CM15">
        <f t="shared" si="127"/>
        <v>0</v>
      </c>
      <c r="CN15">
        <f t="shared" si="128"/>
        <v>0</v>
      </c>
      <c r="CO15">
        <f t="shared" si="129"/>
        <v>0</v>
      </c>
      <c r="CP15">
        <f t="shared" si="130"/>
        <v>1</v>
      </c>
      <c r="CQ15">
        <f t="shared" si="131"/>
        <v>1</v>
      </c>
      <c r="CR15">
        <f t="shared" si="132"/>
        <v>1</v>
      </c>
      <c r="CS15">
        <f t="shared" si="133"/>
        <v>1</v>
      </c>
      <c r="CT15">
        <f t="shared" si="134"/>
        <v>1</v>
      </c>
      <c r="CU15">
        <f t="shared" si="135"/>
        <v>1</v>
      </c>
      <c r="CV15">
        <f t="shared" si="136"/>
        <v>0</v>
      </c>
      <c r="CW15">
        <f t="shared" si="137"/>
        <v>0</v>
      </c>
      <c r="CX15">
        <f t="shared" si="138"/>
        <v>0</v>
      </c>
      <c r="CY15">
        <f t="shared" si="139"/>
        <v>0</v>
      </c>
      <c r="CZ15">
        <f t="shared" si="140"/>
        <v>0</v>
      </c>
      <c r="DA15">
        <f t="shared" si="141"/>
        <v>0</v>
      </c>
      <c r="DB15">
        <f t="shared" si="142"/>
        <v>1</v>
      </c>
      <c r="DC15">
        <f t="shared" si="143"/>
        <v>1</v>
      </c>
      <c r="DF15" s="10" t="s">
        <v>37</v>
      </c>
      <c r="DG15" t="str">
        <f t="shared" si="196"/>
        <v>2021_4</v>
      </c>
      <c r="DH15" t="str">
        <f t="shared" si="144"/>
        <v>2021_4</v>
      </c>
      <c r="DI15" t="str">
        <f t="shared" si="144"/>
        <v>2021_4</v>
      </c>
      <c r="DJ15" t="str">
        <f t="shared" si="144"/>
        <v>2021_4</v>
      </c>
      <c r="DK15" t="str">
        <f t="shared" si="144"/>
        <v>2021_4</v>
      </c>
      <c r="DL15" t="str">
        <f t="shared" si="144"/>
        <v>2021_4</v>
      </c>
      <c r="DM15" t="str">
        <f t="shared" si="144"/>
        <v>2021_4</v>
      </c>
      <c r="DN15" t="str">
        <f t="shared" si="144"/>
        <v>2021_4</v>
      </c>
      <c r="DO15" t="str">
        <f t="shared" si="144"/>
        <v>2021_4</v>
      </c>
      <c r="DP15" t="str">
        <f t="shared" si="144"/>
        <v>2021_4</v>
      </c>
      <c r="DQ15" t="str">
        <f t="shared" si="144"/>
        <v>2021_4</v>
      </c>
      <c r="DR15" t="str">
        <f t="shared" si="144"/>
        <v>2021_4</v>
      </c>
      <c r="DS15" t="str">
        <f t="shared" si="144"/>
        <v>2021_4</v>
      </c>
      <c r="DT15" t="str">
        <f t="shared" si="144"/>
        <v>2021_4</v>
      </c>
      <c r="DU15" t="str">
        <f t="shared" si="144"/>
        <v>2021_4</v>
      </c>
      <c r="DV15" t="str">
        <f t="shared" si="144"/>
        <v>2021_4</v>
      </c>
      <c r="DW15" t="str">
        <f t="shared" si="144"/>
        <v>2021_4</v>
      </c>
      <c r="DX15" t="str">
        <f t="shared" si="145"/>
        <v>2021_4</v>
      </c>
      <c r="DY15" t="str">
        <f t="shared" si="145"/>
        <v>2021_4</v>
      </c>
      <c r="DZ15" t="str">
        <f t="shared" si="145"/>
        <v>2021_4</v>
      </c>
      <c r="EA15" t="str">
        <f t="shared" si="145"/>
        <v>2021_4</v>
      </c>
      <c r="EB15" t="str">
        <f t="shared" si="145"/>
        <v>2021_4</v>
      </c>
      <c r="EC15" t="str">
        <f t="shared" si="145"/>
        <v>2021_4</v>
      </c>
      <c r="ED15" t="str">
        <f t="shared" si="145"/>
        <v>2021_4</v>
      </c>
      <c r="EE15" t="str">
        <f t="shared" si="145"/>
        <v>2021_4</v>
      </c>
      <c r="EF15" t="str">
        <f t="shared" si="145"/>
        <v>2021_4</v>
      </c>
      <c r="EG15" t="str">
        <f t="shared" si="145"/>
        <v>2021_4</v>
      </c>
      <c r="EH15" t="str">
        <f t="shared" si="145"/>
        <v>2021_4</v>
      </c>
      <c r="EI15" t="str">
        <f t="shared" si="145"/>
        <v>2021_4</v>
      </c>
      <c r="EJ15" t="str">
        <f t="shared" si="145"/>
        <v>2021_4</v>
      </c>
      <c r="EK15" t="str">
        <f t="shared" si="145"/>
        <v>2021_4</v>
      </c>
      <c r="EL15" t="str">
        <f t="shared" si="145"/>
        <v>2021_4</v>
      </c>
      <c r="EM15" t="str">
        <f t="shared" si="145"/>
        <v>2021_4</v>
      </c>
      <c r="EN15" t="str">
        <f t="shared" si="146"/>
        <v>2021_4</v>
      </c>
      <c r="EO15" t="str">
        <f t="shared" si="146"/>
        <v>2021_4</v>
      </c>
      <c r="EP15" t="str">
        <f t="shared" si="146"/>
        <v>2021_4</v>
      </c>
      <c r="EQ15" t="str">
        <f t="shared" si="146"/>
        <v>2021_4</v>
      </c>
      <c r="ER15" t="str">
        <f t="shared" si="146"/>
        <v>2021_4</v>
      </c>
      <c r="ES15" t="str">
        <f t="shared" si="146"/>
        <v>2021_4</v>
      </c>
      <c r="ET15" t="str">
        <f t="shared" si="146"/>
        <v>2021_4</v>
      </c>
      <c r="EU15" t="str">
        <f t="shared" si="146"/>
        <v>2021_4</v>
      </c>
      <c r="EV15" t="str">
        <f t="shared" si="146"/>
        <v>2021_4</v>
      </c>
      <c r="EW15" t="str">
        <f t="shared" si="146"/>
        <v>2021_4</v>
      </c>
      <c r="EX15" t="str">
        <f t="shared" si="146"/>
        <v>2021_4</v>
      </c>
      <c r="EY15" t="str">
        <f t="shared" si="146"/>
        <v>2021_4</v>
      </c>
      <c r="FB15" s="10" t="s">
        <v>37</v>
      </c>
      <c r="FC15">
        <f t="shared" si="197"/>
        <v>0</v>
      </c>
      <c r="FD15">
        <f t="shared" si="147"/>
        <v>0</v>
      </c>
      <c r="FE15">
        <f t="shared" si="148"/>
        <v>0</v>
      </c>
      <c r="FF15">
        <f t="shared" si="149"/>
        <v>0</v>
      </c>
      <c r="FG15">
        <f t="shared" si="150"/>
        <v>0</v>
      </c>
      <c r="FH15">
        <f t="shared" si="151"/>
        <v>0</v>
      </c>
      <c r="FI15">
        <f t="shared" si="152"/>
        <v>0</v>
      </c>
      <c r="FJ15">
        <f t="shared" si="153"/>
        <v>0</v>
      </c>
      <c r="FK15">
        <f t="shared" si="154"/>
        <v>0</v>
      </c>
      <c r="FL15">
        <f t="shared" si="155"/>
        <v>0</v>
      </c>
      <c r="FM15">
        <f t="shared" si="156"/>
        <v>0</v>
      </c>
      <c r="FN15">
        <f t="shared" si="157"/>
        <v>0</v>
      </c>
      <c r="FO15">
        <f t="shared" si="158"/>
        <v>1</v>
      </c>
      <c r="FP15">
        <f t="shared" si="159"/>
        <v>1</v>
      </c>
      <c r="FQ15">
        <f t="shared" si="160"/>
        <v>1</v>
      </c>
      <c r="FR15">
        <f t="shared" si="161"/>
        <v>1</v>
      </c>
      <c r="FS15">
        <f t="shared" si="162"/>
        <v>1</v>
      </c>
      <c r="FT15">
        <f t="shared" si="163"/>
        <v>1</v>
      </c>
      <c r="FU15">
        <f t="shared" si="164"/>
        <v>1</v>
      </c>
      <c r="FV15">
        <f t="shared" si="165"/>
        <v>1</v>
      </c>
      <c r="FW15">
        <f t="shared" si="166"/>
        <v>1</v>
      </c>
      <c r="FX15">
        <f t="shared" si="167"/>
        <v>1</v>
      </c>
      <c r="FY15">
        <f t="shared" si="168"/>
        <v>1</v>
      </c>
      <c r="FZ15">
        <f t="shared" si="169"/>
        <v>1</v>
      </c>
      <c r="GA15">
        <f t="shared" si="170"/>
        <v>1</v>
      </c>
      <c r="GB15">
        <f t="shared" si="171"/>
        <v>1</v>
      </c>
      <c r="GC15">
        <f t="shared" si="172"/>
        <v>1</v>
      </c>
      <c r="GD15">
        <f t="shared" si="173"/>
        <v>1</v>
      </c>
      <c r="GE15">
        <f t="shared" si="174"/>
        <v>1</v>
      </c>
      <c r="GF15">
        <f t="shared" si="175"/>
        <v>1</v>
      </c>
      <c r="GG15">
        <f t="shared" si="176"/>
        <v>1</v>
      </c>
      <c r="GH15">
        <f t="shared" si="177"/>
        <v>1</v>
      </c>
      <c r="GI15">
        <f t="shared" si="178"/>
        <v>1</v>
      </c>
      <c r="GJ15">
        <f t="shared" si="179"/>
        <v>1</v>
      </c>
      <c r="GK15">
        <f t="shared" si="180"/>
        <v>1</v>
      </c>
      <c r="GL15">
        <f t="shared" si="181"/>
        <v>1</v>
      </c>
      <c r="GM15">
        <f t="shared" si="182"/>
        <v>1</v>
      </c>
      <c r="GN15">
        <f t="shared" si="183"/>
        <v>1</v>
      </c>
      <c r="GO15">
        <f t="shared" si="184"/>
        <v>1</v>
      </c>
      <c r="GP15">
        <f t="shared" si="185"/>
        <v>1</v>
      </c>
      <c r="GQ15">
        <f t="shared" si="186"/>
        <v>1</v>
      </c>
      <c r="GR15">
        <f t="shared" si="187"/>
        <v>1</v>
      </c>
      <c r="GS15">
        <f t="shared" si="188"/>
        <v>1</v>
      </c>
      <c r="GT15">
        <f t="shared" si="189"/>
        <v>1</v>
      </c>
      <c r="GU15">
        <f t="shared" si="190"/>
        <v>1</v>
      </c>
      <c r="GX15" s="10"/>
    </row>
    <row r="16" spans="1:206" x14ac:dyDescent="0.3">
      <c r="A16" s="15" t="s">
        <v>46</v>
      </c>
      <c r="B16" s="80"/>
      <c r="C16" s="9">
        <v>3132100001</v>
      </c>
      <c r="D16" s="9" t="s">
        <v>354</v>
      </c>
      <c r="E16" s="9" t="s">
        <v>39</v>
      </c>
      <c r="F16" s="9" t="s">
        <v>35</v>
      </c>
      <c r="G16" s="9" t="s">
        <v>47</v>
      </c>
      <c r="H16" s="10">
        <v>44313</v>
      </c>
      <c r="I16" s="9">
        <f t="shared" si="191"/>
        <v>2021</v>
      </c>
      <c r="J16" s="9">
        <f t="shared" si="192"/>
        <v>4</v>
      </c>
      <c r="K16" s="9" t="str">
        <f t="shared" si="193"/>
        <v>2021_4</v>
      </c>
      <c r="L16">
        <f>MAX(0,VLOOKUP($K16,lookups!$A$1:$B$45,2,0)-12)</f>
        <v>0</v>
      </c>
      <c r="M16" s="40">
        <f t="shared" si="194"/>
        <v>44287</v>
      </c>
      <c r="N16" s="10" t="s">
        <v>37</v>
      </c>
      <c r="O16">
        <f ca="1">IF(OR($L16&gt;O$4,O$4&gt;$L16+23),"",OFFSET(Electric!$L7,0,-'Electric Calendarize'!$L16+'Electric Calendarize'!O$4+1))</f>
        <v>973</v>
      </c>
      <c r="P16">
        <f ca="1">IF(OR($L16&gt;P$4,P$4&gt;$L16+23),"",OFFSET(Electric!$L7,0,-'Electric Calendarize'!$L16+'Electric Calendarize'!P$4+1))</f>
        <v>889</v>
      </c>
      <c r="Q16">
        <f ca="1">IF(OR($L16&gt;Q$4,Q$4&gt;$L16+23),"",OFFSET(Electric!$L7,0,-'Electric Calendarize'!$L16+'Electric Calendarize'!Q$4+1))</f>
        <v>1359</v>
      </c>
      <c r="R16">
        <f ca="1">IF(OR($L16&gt;R$4,R$4&gt;$L16+23),"",OFFSET(Electric!$L7,0,-'Electric Calendarize'!$L16+'Electric Calendarize'!R$4+1))</f>
        <v>1645</v>
      </c>
      <c r="S16">
        <f ca="1">IF(OR($L16&gt;S$4,S$4&gt;$L16+23),"",OFFSET(Electric!$L7,0,-'Electric Calendarize'!$L16+'Electric Calendarize'!S$4+1))</f>
        <v>1741</v>
      </c>
      <c r="T16">
        <f ca="1">IF(OR($L16&gt;T$4,T$4&gt;$L16+23),"",OFFSET(Electric!$L7,0,-'Electric Calendarize'!$L16+'Electric Calendarize'!T$4+1))</f>
        <v>993</v>
      </c>
      <c r="U16">
        <f ca="1">IF(OR($L16&gt;U$4,U$4&gt;$L16+23),"",OFFSET(Electric!$L7,0,-'Electric Calendarize'!$L16+'Electric Calendarize'!U$4+1))</f>
        <v>661</v>
      </c>
      <c r="V16">
        <f ca="1">IF(OR($L16&gt;V$4,V$4&gt;$L16+23),"",OFFSET(Electric!$L7,0,-'Electric Calendarize'!$L16+'Electric Calendarize'!V$4+1))</f>
        <v>993</v>
      </c>
      <c r="W16">
        <f ca="1">IF(OR($L16&gt;W$4,W$4&gt;$L16+23),"",OFFSET(Electric!$L7,0,-'Electric Calendarize'!$L16+'Electric Calendarize'!W$4+1))</f>
        <v>1299</v>
      </c>
      <c r="X16">
        <f ca="1">IF(OR($L16&gt;X$4,X$4&gt;$L16+23),"",OFFSET(Electric!$L7,0,-'Electric Calendarize'!$L16+'Electric Calendarize'!X$4+1))</f>
        <v>1266</v>
      </c>
      <c r="Y16">
        <f ca="1">IF(OR($L16&gt;Y$4,Y$4&gt;$L16+23),"",OFFSET(Electric!$L7,0,-'Electric Calendarize'!$L16+'Electric Calendarize'!Y$4+1))</f>
        <v>1231</v>
      </c>
      <c r="Z16">
        <f ca="1">IF(OR($L16&gt;Z$4,Z$4&gt;$L16+23),"",OFFSET(Electric!$L7,0,-'Electric Calendarize'!$L16+'Electric Calendarize'!Z$4+1))</f>
        <v>769</v>
      </c>
      <c r="AA16">
        <f ca="1">IF(OR($L16&gt;AA$4,AA$4&gt;$L16+23),"",OFFSET(Electric!$L7,0,-'Electric Calendarize'!$L16+'Electric Calendarize'!AA$4+1))</f>
        <v>568</v>
      </c>
      <c r="AB16">
        <f ca="1">IF(OR($L16&gt;AB$4,AB$4&gt;$L16+23),"",OFFSET(Electric!$L7,0,-'Electric Calendarize'!$L16+'Electric Calendarize'!AB$4+1))</f>
        <v>522</v>
      </c>
      <c r="AC16">
        <f ca="1">IF(OR($L16&gt;AC$4,AC$4&gt;$L16+23),"",OFFSET(Electric!$L7,0,-'Electric Calendarize'!$L16+'Electric Calendarize'!AC$4+1))</f>
        <v>897</v>
      </c>
      <c r="AD16">
        <f ca="1">IF(OR($L16&gt;AD$4,AD$4&gt;$L16+23),"",OFFSET(Electric!$L7,0,-'Electric Calendarize'!$L16+'Electric Calendarize'!AD$4+1))</f>
        <v>1056</v>
      </c>
      <c r="AE16">
        <f ca="1">IF(OR($L16&gt;AE$4,AE$4&gt;$L16+23),"",OFFSET(Electric!$L7,0,-'Electric Calendarize'!$L16+'Electric Calendarize'!AE$4+1))</f>
        <v>1080</v>
      </c>
      <c r="AF16">
        <f ca="1">IF(OR($L16&gt;AF$4,AF$4&gt;$L16+23),"",OFFSET(Electric!$L7,0,-'Electric Calendarize'!$L16+'Electric Calendarize'!AF$4+1))</f>
        <v>794</v>
      </c>
      <c r="AG16">
        <f ca="1">IF(OR($L16&gt;AG$4,AG$4&gt;$L16+23),"",OFFSET(Electric!$L7,0,-'Electric Calendarize'!$L16+'Electric Calendarize'!AG$4+1))</f>
        <v>555</v>
      </c>
      <c r="AH16">
        <f ca="1">IF(OR($L16&gt;AH$4,AH$4&gt;$L16+23),"",OFFSET(Electric!$L7,0,-'Electric Calendarize'!$L16+'Electric Calendarize'!AH$4+1))</f>
        <v>702</v>
      </c>
      <c r="AI16">
        <f ca="1">IF(OR($L16&gt;AI$4,AI$4&gt;$L16+23),"",OFFSET(Electric!$L7,0,-'Electric Calendarize'!$L16+'Electric Calendarize'!AI$4+1))</f>
        <v>1016</v>
      </c>
      <c r="AJ16">
        <f ca="1">IF(OR($L16&gt;AJ$4,AJ$4&gt;$L16+23),"",OFFSET(Electric!$L7,0,-'Electric Calendarize'!$L16+'Electric Calendarize'!AJ$4+1))</f>
        <v>1102</v>
      </c>
      <c r="AK16">
        <f ca="1">IF(OR($L16&gt;AK$4,AK$4&gt;$L16+23),"",OFFSET(Electric!$L7,0,-'Electric Calendarize'!$L16+'Electric Calendarize'!AK$4+1))</f>
        <v>621</v>
      </c>
      <c r="AL16">
        <f ca="1">IF(OR($L16&gt;AL$4,AL$4&gt;$L16+23),"",OFFSET(Electric!$L7,0,-'Electric Calendarize'!$L16+'Electric Calendarize'!AL$4+1))</f>
        <v>514</v>
      </c>
      <c r="AM16" t="str">
        <f ca="1">IF(OR($L16&gt;AM$4,AM$4&gt;$L16+23),"",OFFSET(Electric!$L7,0,-'Electric Calendarize'!$L16+'Electric Calendarize'!AM$4+1))</f>
        <v/>
      </c>
      <c r="AN16" t="str">
        <f ca="1">IF(OR($L16&gt;AN$4,AN$4&gt;$L16+23),"",OFFSET(Electric!$L7,0,-'Electric Calendarize'!$L16+'Electric Calendarize'!AN$4+1))</f>
        <v/>
      </c>
      <c r="AO16" t="str">
        <f ca="1">IF(OR($L16&gt;AO$4,AO$4&gt;$L16+23),"",OFFSET(Electric!$L7,0,-'Electric Calendarize'!$L16+'Electric Calendarize'!AO$4+1))</f>
        <v/>
      </c>
      <c r="AP16" t="str">
        <f ca="1">IF(OR($L16&gt;AP$4,AP$4&gt;$L16+23),"",OFFSET(Electric!$L7,0,-'Electric Calendarize'!$L16+'Electric Calendarize'!AP$4+1))</f>
        <v/>
      </c>
      <c r="AQ16" t="str">
        <f ca="1">IF(OR($L16&gt;AQ$4,AQ$4&gt;$L16+23),"",OFFSET(Electric!$L7,0,-'Electric Calendarize'!$L16+'Electric Calendarize'!AQ$4+1))</f>
        <v/>
      </c>
      <c r="AR16" t="str">
        <f ca="1">IF(OR($L16&gt;AR$4,AR$4&gt;$L16+23),"",OFFSET(Electric!$L7,0,-'Electric Calendarize'!$L16+'Electric Calendarize'!AR$4+1))</f>
        <v/>
      </c>
      <c r="AS16" t="str">
        <f ca="1">IF(OR($L16&gt;AS$4,AS$4&gt;$L16+23),"",OFFSET(Electric!$L7,0,-'Electric Calendarize'!$L16+'Electric Calendarize'!AS$4+1))</f>
        <v/>
      </c>
      <c r="AT16" t="str">
        <f ca="1">IF(OR($L16&gt;AT$4,AT$4&gt;$L16+23),"",OFFSET(Electric!$L7,0,-'Electric Calendarize'!$L16+'Electric Calendarize'!AT$4+1))</f>
        <v/>
      </c>
      <c r="AU16" t="str">
        <f ca="1">IF(OR($L16&gt;AU$4,AU$4&gt;$L16+23),"",OFFSET(Electric!$L7,0,-'Electric Calendarize'!$L16+'Electric Calendarize'!AU$4+1))</f>
        <v/>
      </c>
      <c r="AV16" t="str">
        <f ca="1">IF(OR($L16&gt;AV$4,AV$4&gt;$L16+23),"",OFFSET(Electric!$L7,0,-'Electric Calendarize'!$L16+'Electric Calendarize'!AV$4+1))</f>
        <v/>
      </c>
      <c r="AW16" t="str">
        <f ca="1">IF(OR($L16&gt;AW$4,AW$4&gt;$L16+23),"",OFFSET(Electric!$L7,0,-'Electric Calendarize'!$L16+'Electric Calendarize'!AW$4+1))</f>
        <v/>
      </c>
      <c r="AX16" t="str">
        <f ca="1">IF(OR($L16&gt;AX$4,AX$4&gt;$L16+23),"",OFFSET(Electric!$L7,0,-'Electric Calendarize'!$L16+'Electric Calendarize'!AX$4+1))</f>
        <v/>
      </c>
      <c r="AY16" t="str">
        <f ca="1">IF(OR($L16&gt;AY$4,AY$4&gt;$L16+23),"",OFFSET(Electric!$L7,0,-'Electric Calendarize'!$L16+'Electric Calendarize'!AY$4+1))</f>
        <v/>
      </c>
      <c r="AZ16" t="str">
        <f ca="1">IF(OR($L16&gt;AZ$4,AZ$4&gt;$L16+23),"",OFFSET(Electric!$L7,0,-'Electric Calendarize'!$L16+'Electric Calendarize'!AZ$4+1))</f>
        <v/>
      </c>
      <c r="BA16" t="str">
        <f ca="1">IF(OR($L16&gt;BA$4,BA$4&gt;$L16+23),"",OFFSET(Electric!$L7,0,-'Electric Calendarize'!$L16+'Electric Calendarize'!BA$4+1))</f>
        <v/>
      </c>
      <c r="BB16" t="str">
        <f ca="1">IF(OR($L16&gt;BB$4,BB$4&gt;$L16+23),"",OFFSET(Electric!$L7,0,-'Electric Calendarize'!$L16+'Electric Calendarize'!BB$4+1))</f>
        <v/>
      </c>
      <c r="BC16" t="str">
        <f ca="1">IF(OR($L16&gt;BC$4,BC$4&gt;$L16+23),"",OFFSET(Electric!$L7,0,-'Electric Calendarize'!$L16+'Electric Calendarize'!BC$4+1))</f>
        <v/>
      </c>
      <c r="BD16" t="str">
        <f ca="1">IF(OR($L16&gt;BD$4,BD$4&gt;$L16+23),"",OFFSET(Electric!$L7,0,-'Electric Calendarize'!$L16+'Electric Calendarize'!BD$4+1))</f>
        <v/>
      </c>
      <c r="BE16" t="str">
        <f ca="1">IF(OR($L16&gt;BE$4,BE$4&gt;$L16+23),"",OFFSET(Electric!$L7,0,-'Electric Calendarize'!$L16+'Electric Calendarize'!BE$4+1))</f>
        <v/>
      </c>
      <c r="BF16" t="str">
        <f ca="1">IF(OR($L16&gt;BF$4,BF$4&gt;$L16+23),"",OFFSET(Electric!$L7,0,-'Electric Calendarize'!$L16+'Electric Calendarize'!BF$4+1))</f>
        <v/>
      </c>
      <c r="BG16" t="str">
        <f ca="1">IF(OR($L16&gt;BG$4,BG$4&gt;$L16+23),"",OFFSET(Electric!$L7,0,-'Electric Calendarize'!$L16+'Electric Calendarize'!BG$4+1))</f>
        <v/>
      </c>
      <c r="BJ16" s="10" t="s">
        <v>37</v>
      </c>
      <c r="BK16">
        <f t="shared" si="195"/>
        <v>1</v>
      </c>
      <c r="BL16">
        <f t="shared" si="100"/>
        <v>0</v>
      </c>
      <c r="BM16">
        <f t="shared" si="101"/>
        <v>0</v>
      </c>
      <c r="BN16">
        <f t="shared" si="102"/>
        <v>0</v>
      </c>
      <c r="BO16">
        <f t="shared" si="103"/>
        <v>0</v>
      </c>
      <c r="BP16">
        <f t="shared" si="104"/>
        <v>0</v>
      </c>
      <c r="BQ16">
        <f t="shared" si="105"/>
        <v>0</v>
      </c>
      <c r="BR16">
        <f t="shared" si="106"/>
        <v>1</v>
      </c>
      <c r="BS16">
        <f t="shared" si="107"/>
        <v>1</v>
      </c>
      <c r="BT16">
        <f t="shared" si="108"/>
        <v>1</v>
      </c>
      <c r="BU16">
        <f t="shared" si="109"/>
        <v>1</v>
      </c>
      <c r="BV16">
        <f t="shared" si="110"/>
        <v>1</v>
      </c>
      <c r="BW16">
        <f t="shared" si="111"/>
        <v>1</v>
      </c>
      <c r="BX16">
        <f t="shared" si="112"/>
        <v>0</v>
      </c>
      <c r="BY16">
        <f t="shared" si="113"/>
        <v>0</v>
      </c>
      <c r="BZ16">
        <f t="shared" si="114"/>
        <v>0</v>
      </c>
      <c r="CA16">
        <f t="shared" si="115"/>
        <v>0</v>
      </c>
      <c r="CB16">
        <f t="shared" si="116"/>
        <v>0</v>
      </c>
      <c r="CC16">
        <f t="shared" si="117"/>
        <v>0</v>
      </c>
      <c r="CD16">
        <f t="shared" si="118"/>
        <v>1</v>
      </c>
      <c r="CE16">
        <f t="shared" si="119"/>
        <v>1</v>
      </c>
      <c r="CF16">
        <f t="shared" si="120"/>
        <v>1</v>
      </c>
      <c r="CG16">
        <f t="shared" si="121"/>
        <v>1</v>
      </c>
      <c r="CH16">
        <f t="shared" si="122"/>
        <v>1</v>
      </c>
      <c r="CI16">
        <f t="shared" si="123"/>
        <v>1</v>
      </c>
      <c r="CJ16">
        <f t="shared" si="124"/>
        <v>0</v>
      </c>
      <c r="CK16">
        <f t="shared" si="125"/>
        <v>0</v>
      </c>
      <c r="CL16">
        <f t="shared" si="126"/>
        <v>0</v>
      </c>
      <c r="CM16">
        <f t="shared" si="127"/>
        <v>0</v>
      </c>
      <c r="CN16">
        <f t="shared" si="128"/>
        <v>0</v>
      </c>
      <c r="CO16">
        <f t="shared" si="129"/>
        <v>0</v>
      </c>
      <c r="CP16">
        <f t="shared" si="130"/>
        <v>1</v>
      </c>
      <c r="CQ16">
        <f t="shared" si="131"/>
        <v>1</v>
      </c>
      <c r="CR16">
        <f t="shared" si="132"/>
        <v>1</v>
      </c>
      <c r="CS16">
        <f t="shared" si="133"/>
        <v>1</v>
      </c>
      <c r="CT16">
        <f t="shared" si="134"/>
        <v>1</v>
      </c>
      <c r="CU16">
        <f t="shared" si="135"/>
        <v>1</v>
      </c>
      <c r="CV16">
        <f t="shared" si="136"/>
        <v>0</v>
      </c>
      <c r="CW16">
        <f t="shared" si="137"/>
        <v>0</v>
      </c>
      <c r="CX16">
        <f t="shared" si="138"/>
        <v>0</v>
      </c>
      <c r="CY16">
        <f t="shared" si="139"/>
        <v>0</v>
      </c>
      <c r="CZ16">
        <f t="shared" si="140"/>
        <v>0</v>
      </c>
      <c r="DA16">
        <f t="shared" si="141"/>
        <v>0</v>
      </c>
      <c r="DB16">
        <f t="shared" si="142"/>
        <v>1</v>
      </c>
      <c r="DC16">
        <f t="shared" si="143"/>
        <v>1</v>
      </c>
      <c r="DF16" s="10" t="s">
        <v>37</v>
      </c>
      <c r="DG16" t="str">
        <f t="shared" si="196"/>
        <v>2021_4</v>
      </c>
      <c r="DH16" t="str">
        <f t="shared" si="144"/>
        <v>2021_4</v>
      </c>
      <c r="DI16" t="str">
        <f t="shared" si="144"/>
        <v>2021_4</v>
      </c>
      <c r="DJ16" t="str">
        <f t="shared" si="144"/>
        <v>2021_4</v>
      </c>
      <c r="DK16" t="str">
        <f t="shared" si="144"/>
        <v>2021_4</v>
      </c>
      <c r="DL16" t="str">
        <f t="shared" si="144"/>
        <v>2021_4</v>
      </c>
      <c r="DM16" t="str">
        <f t="shared" si="144"/>
        <v>2021_4</v>
      </c>
      <c r="DN16" t="str">
        <f t="shared" si="144"/>
        <v>2021_4</v>
      </c>
      <c r="DO16" t="str">
        <f t="shared" si="144"/>
        <v>2021_4</v>
      </c>
      <c r="DP16" t="str">
        <f t="shared" si="144"/>
        <v>2021_4</v>
      </c>
      <c r="DQ16" t="str">
        <f t="shared" si="144"/>
        <v>2021_4</v>
      </c>
      <c r="DR16" t="str">
        <f t="shared" si="144"/>
        <v>2021_4</v>
      </c>
      <c r="DS16" t="str">
        <f t="shared" si="144"/>
        <v>2021_4</v>
      </c>
      <c r="DT16" t="str">
        <f t="shared" si="144"/>
        <v>2021_4</v>
      </c>
      <c r="DU16" t="str">
        <f t="shared" si="144"/>
        <v>2021_4</v>
      </c>
      <c r="DV16" t="str">
        <f t="shared" si="144"/>
        <v>2021_4</v>
      </c>
      <c r="DW16" t="str">
        <f t="shared" si="144"/>
        <v>2021_4</v>
      </c>
      <c r="DX16" t="str">
        <f t="shared" si="145"/>
        <v>2021_4</v>
      </c>
      <c r="DY16" t="str">
        <f t="shared" si="145"/>
        <v>2021_4</v>
      </c>
      <c r="DZ16" t="str">
        <f t="shared" si="145"/>
        <v>2021_4</v>
      </c>
      <c r="EA16" t="str">
        <f t="shared" si="145"/>
        <v>2021_4</v>
      </c>
      <c r="EB16" t="str">
        <f t="shared" si="145"/>
        <v>2021_4</v>
      </c>
      <c r="EC16" t="str">
        <f t="shared" si="145"/>
        <v>2021_4</v>
      </c>
      <c r="ED16" t="str">
        <f t="shared" si="145"/>
        <v>2021_4</v>
      </c>
      <c r="EE16" t="str">
        <f t="shared" si="145"/>
        <v>2021_4</v>
      </c>
      <c r="EF16" t="str">
        <f t="shared" si="145"/>
        <v>2021_4</v>
      </c>
      <c r="EG16" t="str">
        <f t="shared" si="145"/>
        <v>2021_4</v>
      </c>
      <c r="EH16" t="str">
        <f t="shared" si="145"/>
        <v>2021_4</v>
      </c>
      <c r="EI16" t="str">
        <f t="shared" si="145"/>
        <v>2021_4</v>
      </c>
      <c r="EJ16" t="str">
        <f t="shared" si="145"/>
        <v>2021_4</v>
      </c>
      <c r="EK16" t="str">
        <f t="shared" si="145"/>
        <v>2021_4</v>
      </c>
      <c r="EL16" t="str">
        <f t="shared" si="145"/>
        <v>2021_4</v>
      </c>
      <c r="EM16" t="str">
        <f t="shared" si="145"/>
        <v>2021_4</v>
      </c>
      <c r="EN16" t="str">
        <f t="shared" si="146"/>
        <v>2021_4</v>
      </c>
      <c r="EO16" t="str">
        <f t="shared" si="146"/>
        <v>2021_4</v>
      </c>
      <c r="EP16" t="str">
        <f t="shared" si="146"/>
        <v>2021_4</v>
      </c>
      <c r="EQ16" t="str">
        <f t="shared" si="146"/>
        <v>2021_4</v>
      </c>
      <c r="ER16" t="str">
        <f t="shared" si="146"/>
        <v>2021_4</v>
      </c>
      <c r="ES16" t="str">
        <f t="shared" si="146"/>
        <v>2021_4</v>
      </c>
      <c r="ET16" t="str">
        <f t="shared" si="146"/>
        <v>2021_4</v>
      </c>
      <c r="EU16" t="str">
        <f t="shared" si="146"/>
        <v>2021_4</v>
      </c>
      <c r="EV16" t="str">
        <f t="shared" si="146"/>
        <v>2021_4</v>
      </c>
      <c r="EW16" t="str">
        <f t="shared" si="146"/>
        <v>2021_4</v>
      </c>
      <c r="EX16" t="str">
        <f t="shared" si="146"/>
        <v>2021_4</v>
      </c>
      <c r="EY16" t="str">
        <f t="shared" si="146"/>
        <v>2021_4</v>
      </c>
      <c r="FB16" s="10" t="s">
        <v>37</v>
      </c>
      <c r="FC16">
        <f t="shared" si="197"/>
        <v>0</v>
      </c>
      <c r="FD16">
        <f t="shared" si="147"/>
        <v>0</v>
      </c>
      <c r="FE16">
        <f t="shared" si="148"/>
        <v>0</v>
      </c>
      <c r="FF16">
        <f t="shared" si="149"/>
        <v>0</v>
      </c>
      <c r="FG16">
        <f t="shared" si="150"/>
        <v>0</v>
      </c>
      <c r="FH16">
        <f t="shared" si="151"/>
        <v>0</v>
      </c>
      <c r="FI16">
        <f t="shared" si="152"/>
        <v>0</v>
      </c>
      <c r="FJ16">
        <f t="shared" si="153"/>
        <v>0</v>
      </c>
      <c r="FK16">
        <f t="shared" si="154"/>
        <v>0</v>
      </c>
      <c r="FL16">
        <f t="shared" si="155"/>
        <v>0</v>
      </c>
      <c r="FM16">
        <f t="shared" si="156"/>
        <v>0</v>
      </c>
      <c r="FN16">
        <f t="shared" si="157"/>
        <v>0</v>
      </c>
      <c r="FO16">
        <f t="shared" si="158"/>
        <v>1</v>
      </c>
      <c r="FP16">
        <f t="shared" si="159"/>
        <v>1</v>
      </c>
      <c r="FQ16">
        <f t="shared" si="160"/>
        <v>1</v>
      </c>
      <c r="FR16">
        <f t="shared" si="161"/>
        <v>1</v>
      </c>
      <c r="FS16">
        <f t="shared" si="162"/>
        <v>1</v>
      </c>
      <c r="FT16">
        <f t="shared" si="163"/>
        <v>1</v>
      </c>
      <c r="FU16">
        <f t="shared" si="164"/>
        <v>1</v>
      </c>
      <c r="FV16">
        <f t="shared" si="165"/>
        <v>1</v>
      </c>
      <c r="FW16">
        <f t="shared" si="166"/>
        <v>1</v>
      </c>
      <c r="FX16">
        <f t="shared" si="167"/>
        <v>1</v>
      </c>
      <c r="FY16">
        <f t="shared" si="168"/>
        <v>1</v>
      </c>
      <c r="FZ16">
        <f t="shared" si="169"/>
        <v>1</v>
      </c>
      <c r="GA16">
        <f t="shared" si="170"/>
        <v>1</v>
      </c>
      <c r="GB16">
        <f t="shared" si="171"/>
        <v>1</v>
      </c>
      <c r="GC16">
        <f t="shared" si="172"/>
        <v>1</v>
      </c>
      <c r="GD16">
        <f t="shared" si="173"/>
        <v>1</v>
      </c>
      <c r="GE16">
        <f t="shared" si="174"/>
        <v>1</v>
      </c>
      <c r="GF16">
        <f t="shared" si="175"/>
        <v>1</v>
      </c>
      <c r="GG16">
        <f t="shared" si="176"/>
        <v>1</v>
      </c>
      <c r="GH16">
        <f t="shared" si="177"/>
        <v>1</v>
      </c>
      <c r="GI16">
        <f t="shared" si="178"/>
        <v>1</v>
      </c>
      <c r="GJ16">
        <f t="shared" si="179"/>
        <v>1</v>
      </c>
      <c r="GK16">
        <f t="shared" si="180"/>
        <v>1</v>
      </c>
      <c r="GL16">
        <f t="shared" si="181"/>
        <v>1</v>
      </c>
      <c r="GM16">
        <f t="shared" si="182"/>
        <v>1</v>
      </c>
      <c r="GN16">
        <f t="shared" si="183"/>
        <v>1</v>
      </c>
      <c r="GO16">
        <f t="shared" si="184"/>
        <v>1</v>
      </c>
      <c r="GP16">
        <f t="shared" si="185"/>
        <v>1</v>
      </c>
      <c r="GQ16">
        <f t="shared" si="186"/>
        <v>1</v>
      </c>
      <c r="GR16">
        <f t="shared" si="187"/>
        <v>1</v>
      </c>
      <c r="GS16">
        <f t="shared" si="188"/>
        <v>1</v>
      </c>
      <c r="GT16">
        <f t="shared" si="189"/>
        <v>1</v>
      </c>
      <c r="GU16">
        <f t="shared" si="190"/>
        <v>1</v>
      </c>
      <c r="GX16" s="10"/>
    </row>
    <row r="17" spans="1:206" x14ac:dyDescent="0.3">
      <c r="A17" s="8" t="s">
        <v>33</v>
      </c>
      <c r="B17" s="80"/>
      <c r="C17" s="9">
        <v>3120915001</v>
      </c>
      <c r="D17" s="9" t="s">
        <v>355</v>
      </c>
      <c r="E17" s="9" t="s">
        <v>39</v>
      </c>
      <c r="F17" s="9" t="s">
        <v>35</v>
      </c>
      <c r="G17" s="9" t="s">
        <v>48</v>
      </c>
      <c r="H17" s="10">
        <v>44315</v>
      </c>
      <c r="I17" s="9">
        <f t="shared" si="191"/>
        <v>2021</v>
      </c>
      <c r="J17" s="9">
        <f t="shared" si="192"/>
        <v>4</v>
      </c>
      <c r="K17" s="9" t="str">
        <f t="shared" si="193"/>
        <v>2021_4</v>
      </c>
      <c r="L17">
        <f>MAX(0,VLOOKUP($K17,lookups!$A$1:$B$45,2,0)-12)</f>
        <v>0</v>
      </c>
      <c r="M17" s="40">
        <f t="shared" si="194"/>
        <v>44287</v>
      </c>
      <c r="N17" s="10" t="s">
        <v>37</v>
      </c>
      <c r="O17">
        <f ca="1">IF(OR($L17&gt;O$4,O$4&gt;$L17+23),"",OFFSET(Electric!$L8,0,-'Electric Calendarize'!$L17+'Electric Calendarize'!O$4+1))</f>
        <v>806</v>
      </c>
      <c r="P17">
        <f ca="1">IF(OR($L17&gt;P$4,P$4&gt;$L17+23),"",OFFSET(Electric!$L8,0,-'Electric Calendarize'!$L17+'Electric Calendarize'!P$4+1))</f>
        <v>707</v>
      </c>
      <c r="Q17">
        <f ca="1">IF(OR($L17&gt;Q$4,Q$4&gt;$L17+23),"",OFFSET(Electric!$L8,0,-'Electric Calendarize'!$L17+'Electric Calendarize'!Q$4+1))</f>
        <v>1222</v>
      </c>
      <c r="R17">
        <f ca="1">IF(OR($L17&gt;R$4,R$4&gt;$L17+23),"",OFFSET(Electric!$L8,0,-'Electric Calendarize'!$L17+'Electric Calendarize'!R$4+1))</f>
        <v>1359</v>
      </c>
      <c r="S17">
        <f ca="1">IF(OR($L17&gt;S$4,S$4&gt;$L17+23),"",OFFSET(Electric!$L8,0,-'Electric Calendarize'!$L17+'Electric Calendarize'!S$4+1))</f>
        <v>2653</v>
      </c>
      <c r="T17">
        <f ca="1">IF(OR($L17&gt;T$4,T$4&gt;$L17+23),"",OFFSET(Electric!$L8,0,-'Electric Calendarize'!$L17+'Electric Calendarize'!T$4+1))</f>
        <v>1469</v>
      </c>
      <c r="U17">
        <f ca="1">IF(OR($L17&gt;U$4,U$4&gt;$L17+23),"",OFFSET(Electric!$L8,0,-'Electric Calendarize'!$L17+'Electric Calendarize'!U$4+1))</f>
        <v>954</v>
      </c>
      <c r="V17">
        <f ca="1">IF(OR($L17&gt;V$4,V$4&gt;$L17+23),"",OFFSET(Electric!$L8,0,-'Electric Calendarize'!$L17+'Electric Calendarize'!V$4+1))</f>
        <v>1127</v>
      </c>
      <c r="W17">
        <f ca="1">IF(OR($L17&gt;W$4,W$4&gt;$L17+23),"",OFFSET(Electric!$L8,0,-'Electric Calendarize'!$L17+'Electric Calendarize'!W$4+1))</f>
        <v>1518</v>
      </c>
      <c r="X17">
        <f ca="1">IF(OR($L17&gt;X$4,X$4&gt;$L17+23),"",OFFSET(Electric!$L8,0,-'Electric Calendarize'!$L17+'Electric Calendarize'!X$4+1))</f>
        <v>1412</v>
      </c>
      <c r="Y17">
        <f ca="1">IF(OR($L17&gt;Y$4,Y$4&gt;$L17+23),"",OFFSET(Electric!$L8,0,-'Electric Calendarize'!$L17+'Electric Calendarize'!Y$4+1))</f>
        <v>1440</v>
      </c>
      <c r="Z17">
        <f ca="1">IF(OR($L17&gt;Z$4,Z$4&gt;$L17+23),"",OFFSET(Electric!$L8,0,-'Electric Calendarize'!$L17+'Electric Calendarize'!Z$4+1))</f>
        <v>1439</v>
      </c>
      <c r="AA17">
        <f ca="1">IF(OR($L17&gt;AA$4,AA$4&gt;$L17+23),"",OFFSET(Electric!$L8,0,-'Electric Calendarize'!$L17+'Electric Calendarize'!AA$4+1))</f>
        <v>975</v>
      </c>
      <c r="AB17">
        <f ca="1">IF(OR($L17&gt;AB$4,AB$4&gt;$L17+23),"",OFFSET(Electric!$L8,0,-'Electric Calendarize'!$L17+'Electric Calendarize'!AB$4+1))</f>
        <v>924</v>
      </c>
      <c r="AC17">
        <f ca="1">IF(OR($L17&gt;AC$4,AC$4&gt;$L17+23),"",OFFSET(Electric!$L8,0,-'Electric Calendarize'!$L17+'Electric Calendarize'!AC$4+1))</f>
        <v>1414</v>
      </c>
      <c r="AD17">
        <f ca="1">IF(OR($L17&gt;AD$4,AD$4&gt;$L17+23),"",OFFSET(Electric!$L8,0,-'Electric Calendarize'!$L17+'Electric Calendarize'!AD$4+1))</f>
        <v>1334</v>
      </c>
      <c r="AE17">
        <f ca="1">IF(OR($L17&gt;AE$4,AE$4&gt;$L17+23),"",OFFSET(Electric!$L8,0,-'Electric Calendarize'!$L17+'Electric Calendarize'!AE$4+1))</f>
        <v>1286</v>
      </c>
      <c r="AF17">
        <f ca="1">IF(OR($L17&gt;AF$4,AF$4&gt;$L17+23),"",OFFSET(Electric!$L8,0,-'Electric Calendarize'!$L17+'Electric Calendarize'!AF$4+1))</f>
        <v>889</v>
      </c>
      <c r="AG17">
        <f ca="1">IF(OR($L17&gt;AG$4,AG$4&gt;$L17+23),"",OFFSET(Electric!$L8,0,-'Electric Calendarize'!$L17+'Electric Calendarize'!AG$4+1))</f>
        <v>610</v>
      </c>
      <c r="AH17">
        <f ca="1">IF(OR($L17&gt;AH$4,AH$4&gt;$L17+23),"",OFFSET(Electric!$L8,0,-'Electric Calendarize'!$L17+'Electric Calendarize'!AH$4+1))</f>
        <v>773</v>
      </c>
      <c r="AI17">
        <f ca="1">IF(OR($L17&gt;AI$4,AI$4&gt;$L17+23),"",OFFSET(Electric!$L8,0,-'Electric Calendarize'!$L17+'Electric Calendarize'!AI$4+1))</f>
        <v>952</v>
      </c>
      <c r="AJ17">
        <f ca="1">IF(OR($L17&gt;AJ$4,AJ$4&gt;$L17+23),"",OFFSET(Electric!$L8,0,-'Electric Calendarize'!$L17+'Electric Calendarize'!AJ$4+1))</f>
        <v>864</v>
      </c>
      <c r="AK17">
        <f ca="1">IF(OR($L17&gt;AK$4,AK$4&gt;$L17+23),"",OFFSET(Electric!$L8,0,-'Electric Calendarize'!$L17+'Electric Calendarize'!AK$4+1))</f>
        <v>963</v>
      </c>
      <c r="AL17">
        <f ca="1">IF(OR($L17&gt;AL$4,AL$4&gt;$L17+23),"",OFFSET(Electric!$L8,0,-'Electric Calendarize'!$L17+'Electric Calendarize'!AL$4+1))</f>
        <v>800</v>
      </c>
      <c r="AM17" t="str">
        <f ca="1">IF(OR($L17&gt;AM$4,AM$4&gt;$L17+23),"",OFFSET(Electric!$L8,0,-'Electric Calendarize'!$L17+'Electric Calendarize'!AM$4+1))</f>
        <v/>
      </c>
      <c r="AN17" t="str">
        <f ca="1">IF(OR($L17&gt;AN$4,AN$4&gt;$L17+23),"",OFFSET(Electric!$L8,0,-'Electric Calendarize'!$L17+'Electric Calendarize'!AN$4+1))</f>
        <v/>
      </c>
      <c r="AO17" t="str">
        <f ca="1">IF(OR($L17&gt;AO$4,AO$4&gt;$L17+23),"",OFFSET(Electric!$L8,0,-'Electric Calendarize'!$L17+'Electric Calendarize'!AO$4+1))</f>
        <v/>
      </c>
      <c r="AP17" t="str">
        <f ca="1">IF(OR($L17&gt;AP$4,AP$4&gt;$L17+23),"",OFFSET(Electric!$L8,0,-'Electric Calendarize'!$L17+'Electric Calendarize'!AP$4+1))</f>
        <v/>
      </c>
      <c r="AQ17" t="str">
        <f ca="1">IF(OR($L17&gt;AQ$4,AQ$4&gt;$L17+23),"",OFFSET(Electric!$L8,0,-'Electric Calendarize'!$L17+'Electric Calendarize'!AQ$4+1))</f>
        <v/>
      </c>
      <c r="AR17" t="str">
        <f ca="1">IF(OR($L17&gt;AR$4,AR$4&gt;$L17+23),"",OFFSET(Electric!$L8,0,-'Electric Calendarize'!$L17+'Electric Calendarize'!AR$4+1))</f>
        <v/>
      </c>
      <c r="AS17" t="str">
        <f ca="1">IF(OR($L17&gt;AS$4,AS$4&gt;$L17+23),"",OFFSET(Electric!$L8,0,-'Electric Calendarize'!$L17+'Electric Calendarize'!AS$4+1))</f>
        <v/>
      </c>
      <c r="AT17" t="str">
        <f ca="1">IF(OR($L17&gt;AT$4,AT$4&gt;$L17+23),"",OFFSET(Electric!$L8,0,-'Electric Calendarize'!$L17+'Electric Calendarize'!AT$4+1))</f>
        <v/>
      </c>
      <c r="AU17" t="str">
        <f ca="1">IF(OR($L17&gt;AU$4,AU$4&gt;$L17+23),"",OFFSET(Electric!$L8,0,-'Electric Calendarize'!$L17+'Electric Calendarize'!AU$4+1))</f>
        <v/>
      </c>
      <c r="AV17" t="str">
        <f ca="1">IF(OR($L17&gt;AV$4,AV$4&gt;$L17+23),"",OFFSET(Electric!$L8,0,-'Electric Calendarize'!$L17+'Electric Calendarize'!AV$4+1))</f>
        <v/>
      </c>
      <c r="AW17" t="str">
        <f ca="1">IF(OR($L17&gt;AW$4,AW$4&gt;$L17+23),"",OFFSET(Electric!$L8,0,-'Electric Calendarize'!$L17+'Electric Calendarize'!AW$4+1))</f>
        <v/>
      </c>
      <c r="AX17" t="str">
        <f ca="1">IF(OR($L17&gt;AX$4,AX$4&gt;$L17+23),"",OFFSET(Electric!$L8,0,-'Electric Calendarize'!$L17+'Electric Calendarize'!AX$4+1))</f>
        <v/>
      </c>
      <c r="AY17" t="str">
        <f ca="1">IF(OR($L17&gt;AY$4,AY$4&gt;$L17+23),"",OFFSET(Electric!$L8,0,-'Electric Calendarize'!$L17+'Electric Calendarize'!AY$4+1))</f>
        <v/>
      </c>
      <c r="AZ17" t="str">
        <f ca="1">IF(OR($L17&gt;AZ$4,AZ$4&gt;$L17+23),"",OFFSET(Electric!$L8,0,-'Electric Calendarize'!$L17+'Electric Calendarize'!AZ$4+1))</f>
        <v/>
      </c>
      <c r="BA17" t="str">
        <f ca="1">IF(OR($L17&gt;BA$4,BA$4&gt;$L17+23),"",OFFSET(Electric!$L8,0,-'Electric Calendarize'!$L17+'Electric Calendarize'!BA$4+1))</f>
        <v/>
      </c>
      <c r="BB17" t="str">
        <f ca="1">IF(OR($L17&gt;BB$4,BB$4&gt;$L17+23),"",OFFSET(Electric!$L8,0,-'Electric Calendarize'!$L17+'Electric Calendarize'!BB$4+1))</f>
        <v/>
      </c>
      <c r="BC17" t="str">
        <f ca="1">IF(OR($L17&gt;BC$4,BC$4&gt;$L17+23),"",OFFSET(Electric!$L8,0,-'Electric Calendarize'!$L17+'Electric Calendarize'!BC$4+1))</f>
        <v/>
      </c>
      <c r="BD17" t="str">
        <f ca="1">IF(OR($L17&gt;BD$4,BD$4&gt;$L17+23),"",OFFSET(Electric!$L8,0,-'Electric Calendarize'!$L17+'Electric Calendarize'!BD$4+1))</f>
        <v/>
      </c>
      <c r="BE17" t="str">
        <f ca="1">IF(OR($L17&gt;BE$4,BE$4&gt;$L17+23),"",OFFSET(Electric!$L8,0,-'Electric Calendarize'!$L17+'Electric Calendarize'!BE$4+1))</f>
        <v/>
      </c>
      <c r="BF17" t="str">
        <f ca="1">IF(OR($L17&gt;BF$4,BF$4&gt;$L17+23),"",OFFSET(Electric!$L8,0,-'Electric Calendarize'!$L17+'Electric Calendarize'!BF$4+1))</f>
        <v/>
      </c>
      <c r="BG17" t="str">
        <f ca="1">IF(OR($L17&gt;BG$4,BG$4&gt;$L17+23),"",OFFSET(Electric!$L8,0,-'Electric Calendarize'!$L17+'Electric Calendarize'!BG$4+1))</f>
        <v/>
      </c>
      <c r="BJ17" s="10" t="s">
        <v>37</v>
      </c>
      <c r="BK17">
        <f t="shared" si="195"/>
        <v>1</v>
      </c>
      <c r="BL17">
        <f t="shared" si="100"/>
        <v>0</v>
      </c>
      <c r="BM17">
        <f t="shared" si="101"/>
        <v>0</v>
      </c>
      <c r="BN17">
        <f t="shared" si="102"/>
        <v>0</v>
      </c>
      <c r="BO17">
        <f t="shared" si="103"/>
        <v>0</v>
      </c>
      <c r="BP17">
        <f t="shared" si="104"/>
        <v>0</v>
      </c>
      <c r="BQ17">
        <f t="shared" si="105"/>
        <v>0</v>
      </c>
      <c r="BR17">
        <f t="shared" si="106"/>
        <v>1</v>
      </c>
      <c r="BS17">
        <f t="shared" si="107"/>
        <v>1</v>
      </c>
      <c r="BT17">
        <f t="shared" si="108"/>
        <v>1</v>
      </c>
      <c r="BU17">
        <f t="shared" si="109"/>
        <v>1</v>
      </c>
      <c r="BV17">
        <f t="shared" si="110"/>
        <v>1</v>
      </c>
      <c r="BW17">
        <f t="shared" si="111"/>
        <v>1</v>
      </c>
      <c r="BX17">
        <f t="shared" si="112"/>
        <v>0</v>
      </c>
      <c r="BY17">
        <f t="shared" si="113"/>
        <v>0</v>
      </c>
      <c r="BZ17">
        <f t="shared" si="114"/>
        <v>0</v>
      </c>
      <c r="CA17">
        <f t="shared" si="115"/>
        <v>0</v>
      </c>
      <c r="CB17">
        <f t="shared" si="116"/>
        <v>0</v>
      </c>
      <c r="CC17">
        <f t="shared" si="117"/>
        <v>0</v>
      </c>
      <c r="CD17">
        <f t="shared" si="118"/>
        <v>1</v>
      </c>
      <c r="CE17">
        <f t="shared" si="119"/>
        <v>1</v>
      </c>
      <c r="CF17">
        <f t="shared" si="120"/>
        <v>1</v>
      </c>
      <c r="CG17">
        <f t="shared" si="121"/>
        <v>1</v>
      </c>
      <c r="CH17">
        <f t="shared" si="122"/>
        <v>1</v>
      </c>
      <c r="CI17">
        <f t="shared" si="123"/>
        <v>1</v>
      </c>
      <c r="CJ17">
        <f t="shared" si="124"/>
        <v>0</v>
      </c>
      <c r="CK17">
        <f t="shared" si="125"/>
        <v>0</v>
      </c>
      <c r="CL17">
        <f t="shared" si="126"/>
        <v>0</v>
      </c>
      <c r="CM17">
        <f t="shared" si="127"/>
        <v>0</v>
      </c>
      <c r="CN17">
        <f t="shared" si="128"/>
        <v>0</v>
      </c>
      <c r="CO17">
        <f t="shared" si="129"/>
        <v>0</v>
      </c>
      <c r="CP17">
        <f t="shared" si="130"/>
        <v>1</v>
      </c>
      <c r="CQ17">
        <f t="shared" si="131"/>
        <v>1</v>
      </c>
      <c r="CR17">
        <f t="shared" si="132"/>
        <v>1</v>
      </c>
      <c r="CS17">
        <f t="shared" si="133"/>
        <v>1</v>
      </c>
      <c r="CT17">
        <f t="shared" si="134"/>
        <v>1</v>
      </c>
      <c r="CU17">
        <f t="shared" si="135"/>
        <v>1</v>
      </c>
      <c r="CV17">
        <f t="shared" si="136"/>
        <v>0</v>
      </c>
      <c r="CW17">
        <f t="shared" si="137"/>
        <v>0</v>
      </c>
      <c r="CX17">
        <f t="shared" si="138"/>
        <v>0</v>
      </c>
      <c r="CY17">
        <f t="shared" si="139"/>
        <v>0</v>
      </c>
      <c r="CZ17">
        <f t="shared" si="140"/>
        <v>0</v>
      </c>
      <c r="DA17">
        <f t="shared" si="141"/>
        <v>0</v>
      </c>
      <c r="DB17">
        <f t="shared" si="142"/>
        <v>1</v>
      </c>
      <c r="DC17">
        <f t="shared" si="143"/>
        <v>1</v>
      </c>
      <c r="DF17" s="10" t="s">
        <v>37</v>
      </c>
      <c r="DG17" t="str">
        <f t="shared" si="196"/>
        <v>2021_4</v>
      </c>
      <c r="DH17" t="str">
        <f t="shared" si="144"/>
        <v>2021_4</v>
      </c>
      <c r="DI17" t="str">
        <f t="shared" si="144"/>
        <v>2021_4</v>
      </c>
      <c r="DJ17" t="str">
        <f t="shared" si="144"/>
        <v>2021_4</v>
      </c>
      <c r="DK17" t="str">
        <f t="shared" si="144"/>
        <v>2021_4</v>
      </c>
      <c r="DL17" t="str">
        <f t="shared" si="144"/>
        <v>2021_4</v>
      </c>
      <c r="DM17" t="str">
        <f t="shared" si="144"/>
        <v>2021_4</v>
      </c>
      <c r="DN17" t="str">
        <f t="shared" si="144"/>
        <v>2021_4</v>
      </c>
      <c r="DO17" t="str">
        <f t="shared" si="144"/>
        <v>2021_4</v>
      </c>
      <c r="DP17" t="str">
        <f t="shared" si="144"/>
        <v>2021_4</v>
      </c>
      <c r="DQ17" t="str">
        <f t="shared" si="144"/>
        <v>2021_4</v>
      </c>
      <c r="DR17" t="str">
        <f t="shared" si="144"/>
        <v>2021_4</v>
      </c>
      <c r="DS17" t="str">
        <f t="shared" si="144"/>
        <v>2021_4</v>
      </c>
      <c r="DT17" t="str">
        <f t="shared" si="144"/>
        <v>2021_4</v>
      </c>
      <c r="DU17" t="str">
        <f t="shared" si="144"/>
        <v>2021_4</v>
      </c>
      <c r="DV17" t="str">
        <f t="shared" si="144"/>
        <v>2021_4</v>
      </c>
      <c r="DW17" t="str">
        <f t="shared" si="144"/>
        <v>2021_4</v>
      </c>
      <c r="DX17" t="str">
        <f t="shared" si="145"/>
        <v>2021_4</v>
      </c>
      <c r="DY17" t="str">
        <f t="shared" si="145"/>
        <v>2021_4</v>
      </c>
      <c r="DZ17" t="str">
        <f t="shared" si="145"/>
        <v>2021_4</v>
      </c>
      <c r="EA17" t="str">
        <f t="shared" si="145"/>
        <v>2021_4</v>
      </c>
      <c r="EB17" t="str">
        <f t="shared" si="145"/>
        <v>2021_4</v>
      </c>
      <c r="EC17" t="str">
        <f t="shared" si="145"/>
        <v>2021_4</v>
      </c>
      <c r="ED17" t="str">
        <f t="shared" si="145"/>
        <v>2021_4</v>
      </c>
      <c r="EE17" t="str">
        <f t="shared" si="145"/>
        <v>2021_4</v>
      </c>
      <c r="EF17" t="str">
        <f t="shared" si="145"/>
        <v>2021_4</v>
      </c>
      <c r="EG17" t="str">
        <f t="shared" si="145"/>
        <v>2021_4</v>
      </c>
      <c r="EH17" t="str">
        <f t="shared" si="145"/>
        <v>2021_4</v>
      </c>
      <c r="EI17" t="str">
        <f t="shared" si="145"/>
        <v>2021_4</v>
      </c>
      <c r="EJ17" t="str">
        <f t="shared" si="145"/>
        <v>2021_4</v>
      </c>
      <c r="EK17" t="str">
        <f t="shared" si="145"/>
        <v>2021_4</v>
      </c>
      <c r="EL17" t="str">
        <f t="shared" si="145"/>
        <v>2021_4</v>
      </c>
      <c r="EM17" t="str">
        <f t="shared" si="145"/>
        <v>2021_4</v>
      </c>
      <c r="EN17" t="str">
        <f t="shared" si="146"/>
        <v>2021_4</v>
      </c>
      <c r="EO17" t="str">
        <f t="shared" si="146"/>
        <v>2021_4</v>
      </c>
      <c r="EP17" t="str">
        <f t="shared" si="146"/>
        <v>2021_4</v>
      </c>
      <c r="EQ17" t="str">
        <f t="shared" si="146"/>
        <v>2021_4</v>
      </c>
      <c r="ER17" t="str">
        <f t="shared" si="146"/>
        <v>2021_4</v>
      </c>
      <c r="ES17" t="str">
        <f t="shared" si="146"/>
        <v>2021_4</v>
      </c>
      <c r="ET17" t="str">
        <f t="shared" si="146"/>
        <v>2021_4</v>
      </c>
      <c r="EU17" t="str">
        <f t="shared" si="146"/>
        <v>2021_4</v>
      </c>
      <c r="EV17" t="str">
        <f t="shared" si="146"/>
        <v>2021_4</v>
      </c>
      <c r="EW17" t="str">
        <f t="shared" si="146"/>
        <v>2021_4</v>
      </c>
      <c r="EX17" t="str">
        <f t="shared" si="146"/>
        <v>2021_4</v>
      </c>
      <c r="EY17" t="str">
        <f t="shared" si="146"/>
        <v>2021_4</v>
      </c>
      <c r="FB17" s="10" t="s">
        <v>37</v>
      </c>
      <c r="FC17">
        <f t="shared" si="197"/>
        <v>0</v>
      </c>
      <c r="FD17">
        <f t="shared" si="147"/>
        <v>0</v>
      </c>
      <c r="FE17">
        <f t="shared" si="148"/>
        <v>0</v>
      </c>
      <c r="FF17">
        <f t="shared" si="149"/>
        <v>0</v>
      </c>
      <c r="FG17">
        <f t="shared" si="150"/>
        <v>0</v>
      </c>
      <c r="FH17">
        <f t="shared" si="151"/>
        <v>0</v>
      </c>
      <c r="FI17">
        <f t="shared" si="152"/>
        <v>0</v>
      </c>
      <c r="FJ17">
        <f t="shared" si="153"/>
        <v>0</v>
      </c>
      <c r="FK17">
        <f t="shared" si="154"/>
        <v>0</v>
      </c>
      <c r="FL17">
        <f t="shared" si="155"/>
        <v>0</v>
      </c>
      <c r="FM17">
        <f t="shared" si="156"/>
        <v>0</v>
      </c>
      <c r="FN17">
        <f t="shared" si="157"/>
        <v>0</v>
      </c>
      <c r="FO17">
        <f t="shared" si="158"/>
        <v>1</v>
      </c>
      <c r="FP17">
        <f t="shared" si="159"/>
        <v>1</v>
      </c>
      <c r="FQ17">
        <f t="shared" si="160"/>
        <v>1</v>
      </c>
      <c r="FR17">
        <f t="shared" si="161"/>
        <v>1</v>
      </c>
      <c r="FS17">
        <f t="shared" si="162"/>
        <v>1</v>
      </c>
      <c r="FT17">
        <f t="shared" si="163"/>
        <v>1</v>
      </c>
      <c r="FU17">
        <f t="shared" si="164"/>
        <v>1</v>
      </c>
      <c r="FV17">
        <f t="shared" si="165"/>
        <v>1</v>
      </c>
      <c r="FW17">
        <f t="shared" si="166"/>
        <v>1</v>
      </c>
      <c r="FX17">
        <f t="shared" si="167"/>
        <v>1</v>
      </c>
      <c r="FY17">
        <f t="shared" si="168"/>
        <v>1</v>
      </c>
      <c r="FZ17">
        <f t="shared" si="169"/>
        <v>1</v>
      </c>
      <c r="GA17">
        <f t="shared" si="170"/>
        <v>1</v>
      </c>
      <c r="GB17">
        <f t="shared" si="171"/>
        <v>1</v>
      </c>
      <c r="GC17">
        <f t="shared" si="172"/>
        <v>1</v>
      </c>
      <c r="GD17">
        <f t="shared" si="173"/>
        <v>1</v>
      </c>
      <c r="GE17">
        <f t="shared" si="174"/>
        <v>1</v>
      </c>
      <c r="GF17">
        <f t="shared" si="175"/>
        <v>1</v>
      </c>
      <c r="GG17">
        <f t="shared" si="176"/>
        <v>1</v>
      </c>
      <c r="GH17">
        <f t="shared" si="177"/>
        <v>1</v>
      </c>
      <c r="GI17">
        <f t="shared" si="178"/>
        <v>1</v>
      </c>
      <c r="GJ17">
        <f t="shared" si="179"/>
        <v>1</v>
      </c>
      <c r="GK17">
        <f t="shared" si="180"/>
        <v>1</v>
      </c>
      <c r="GL17">
        <f t="shared" si="181"/>
        <v>1</v>
      </c>
      <c r="GM17">
        <f t="shared" si="182"/>
        <v>1</v>
      </c>
      <c r="GN17">
        <f t="shared" si="183"/>
        <v>1</v>
      </c>
      <c r="GO17">
        <f t="shared" si="184"/>
        <v>1</v>
      </c>
      <c r="GP17">
        <f t="shared" si="185"/>
        <v>1</v>
      </c>
      <c r="GQ17">
        <f t="shared" si="186"/>
        <v>1</v>
      </c>
      <c r="GR17">
        <f t="shared" si="187"/>
        <v>1</v>
      </c>
      <c r="GS17">
        <f t="shared" si="188"/>
        <v>1</v>
      </c>
      <c r="GT17">
        <f t="shared" si="189"/>
        <v>1</v>
      </c>
      <c r="GU17">
        <f t="shared" si="190"/>
        <v>1</v>
      </c>
      <c r="GX17" s="10"/>
    </row>
    <row r="18" spans="1:206" x14ac:dyDescent="0.3">
      <c r="A18" s="16" t="s">
        <v>33</v>
      </c>
      <c r="B18" s="80"/>
      <c r="C18" s="9">
        <v>3141643000</v>
      </c>
      <c r="D18" s="9" t="s">
        <v>356</v>
      </c>
      <c r="E18" s="9" t="s">
        <v>43</v>
      </c>
      <c r="F18" s="9" t="s">
        <v>35</v>
      </c>
      <c r="G18" s="9" t="s">
        <v>49</v>
      </c>
      <c r="H18" s="10">
        <v>44330</v>
      </c>
      <c r="I18" s="9">
        <f t="shared" si="191"/>
        <v>2021</v>
      </c>
      <c r="J18" s="9">
        <f t="shared" si="192"/>
        <v>5</v>
      </c>
      <c r="K18" s="9" t="str">
        <f t="shared" si="193"/>
        <v>2021_5</v>
      </c>
      <c r="L18">
        <f>MAX(0,VLOOKUP($K18,lookups!$A$1:$B$45,2,0)-12)</f>
        <v>1</v>
      </c>
      <c r="M18" s="40">
        <f t="shared" si="194"/>
        <v>44317</v>
      </c>
      <c r="N18" s="10" t="s">
        <v>37</v>
      </c>
      <c r="O18" t="str">
        <f ca="1">IF(OR($L18&gt;O$4,O$4&gt;$L18+23),"",OFFSET(Electric!$L9,0,-'Electric Calendarize'!$L18+'Electric Calendarize'!O$4+1))</f>
        <v/>
      </c>
      <c r="P18">
        <f ca="1">IF(OR($L18&gt;P$4,P$4&gt;$L18+23),"",OFFSET(Electric!$L9,0,-'Electric Calendarize'!$L18+'Electric Calendarize'!P$4+1))</f>
        <v>572</v>
      </c>
      <c r="Q18">
        <f ca="1">IF(OR($L18&gt;Q$4,Q$4&gt;$L18+23),"",OFFSET(Electric!$L9,0,-'Electric Calendarize'!$L18+'Electric Calendarize'!Q$4+1))</f>
        <v>937</v>
      </c>
      <c r="R18">
        <f ca="1">IF(OR($L18&gt;R$4,R$4&gt;$L18+23),"",OFFSET(Electric!$L9,0,-'Electric Calendarize'!$L18+'Electric Calendarize'!R$4+1))</f>
        <v>1132</v>
      </c>
      <c r="S18">
        <f ca="1">IF(OR($L18&gt;S$4,S$4&gt;$L18+23),"",OFFSET(Electric!$L9,0,-'Electric Calendarize'!$L18+'Electric Calendarize'!S$4+1))</f>
        <v>1077</v>
      </c>
      <c r="T18">
        <f ca="1">IF(OR($L18&gt;T$4,T$4&gt;$L18+23),"",OFFSET(Electric!$L9,0,-'Electric Calendarize'!$L18+'Electric Calendarize'!T$4+1))</f>
        <v>751</v>
      </c>
      <c r="U18">
        <f ca="1">IF(OR($L18&gt;U$4,U$4&gt;$L18+23),"",OFFSET(Electric!$L9,0,-'Electric Calendarize'!$L18+'Electric Calendarize'!U$4+1))</f>
        <v>630</v>
      </c>
      <c r="V18">
        <f ca="1">IF(OR($L18&gt;V$4,V$4&gt;$L18+23),"",OFFSET(Electric!$L9,0,-'Electric Calendarize'!$L18+'Electric Calendarize'!V$4+1))</f>
        <v>526</v>
      </c>
      <c r="W18">
        <f ca="1">IF(OR($L18&gt;W$4,W$4&gt;$L18+23),"",OFFSET(Electric!$L9,0,-'Electric Calendarize'!$L18+'Electric Calendarize'!W$4+1))</f>
        <v>671</v>
      </c>
      <c r="X18">
        <f ca="1">IF(OR($L18&gt;X$4,X$4&gt;$L18+23),"",OFFSET(Electric!$L9,0,-'Electric Calendarize'!$L18+'Electric Calendarize'!X$4+1))</f>
        <v>687</v>
      </c>
      <c r="Y18">
        <f ca="1">IF(OR($L18&gt;Y$4,Y$4&gt;$L18+23),"",OFFSET(Electric!$L9,0,-'Electric Calendarize'!$L18+'Electric Calendarize'!Y$4+1))</f>
        <v>979</v>
      </c>
      <c r="Z18">
        <f ca="1">IF(OR($L18&gt;Z$4,Z$4&gt;$L18+23),"",OFFSET(Electric!$L9,0,-'Electric Calendarize'!$L18+'Electric Calendarize'!Z$4+1))</f>
        <v>573</v>
      </c>
      <c r="AA18">
        <f ca="1">IF(OR($L18&gt;AA$4,AA$4&gt;$L18+23),"",OFFSET(Electric!$L9,0,-'Electric Calendarize'!$L18+'Electric Calendarize'!AA$4+1))</f>
        <v>499</v>
      </c>
      <c r="AB18">
        <f ca="1">IF(OR($L18&gt;AB$4,AB$4&gt;$L18+23),"",OFFSET(Electric!$L9,0,-'Electric Calendarize'!$L18+'Electric Calendarize'!AB$4+1))</f>
        <v>688</v>
      </c>
      <c r="AC18">
        <f ca="1">IF(OR($L18&gt;AC$4,AC$4&gt;$L18+23),"",OFFSET(Electric!$L9,0,-'Electric Calendarize'!$L18+'Electric Calendarize'!AC$4+1))</f>
        <v>894</v>
      </c>
      <c r="AD18">
        <f ca="1">IF(OR($L18&gt;AD$4,AD$4&gt;$L18+23),"",OFFSET(Electric!$L9,0,-'Electric Calendarize'!$L18+'Electric Calendarize'!AD$4+1))</f>
        <v>1097</v>
      </c>
      <c r="AE18">
        <f ca="1">IF(OR($L18&gt;AE$4,AE$4&gt;$L18+23),"",OFFSET(Electric!$L9,0,-'Electric Calendarize'!$L18+'Electric Calendarize'!AE$4+1))</f>
        <v>1072</v>
      </c>
      <c r="AF18">
        <f ca="1">IF(OR($L18&gt;AF$4,AF$4&gt;$L18+23),"",OFFSET(Electric!$L9,0,-'Electric Calendarize'!$L18+'Electric Calendarize'!AF$4+1))</f>
        <v>931</v>
      </c>
      <c r="AG18">
        <f ca="1">IF(OR($L18&gt;AG$4,AG$4&gt;$L18+23),"",OFFSET(Electric!$L9,0,-'Electric Calendarize'!$L18+'Electric Calendarize'!AG$4+1))</f>
        <v>802</v>
      </c>
      <c r="AH18">
        <f ca="1">IF(OR($L18&gt;AH$4,AH$4&gt;$L18+23),"",OFFSET(Electric!$L9,0,-'Electric Calendarize'!$L18+'Electric Calendarize'!AH$4+1))</f>
        <v>566</v>
      </c>
      <c r="AI18">
        <f ca="1">IF(OR($L18&gt;AI$4,AI$4&gt;$L18+23),"",OFFSET(Electric!$L9,0,-'Electric Calendarize'!$L18+'Electric Calendarize'!AI$4+1))</f>
        <v>531</v>
      </c>
      <c r="AJ18">
        <f ca="1">IF(OR($L18&gt;AJ$4,AJ$4&gt;$L18+23),"",OFFSET(Electric!$L9,0,-'Electric Calendarize'!$L18+'Electric Calendarize'!AJ$4+1))</f>
        <v>725</v>
      </c>
      <c r="AK18">
        <f ca="1">IF(OR($L18&gt;AK$4,AK$4&gt;$L18+23),"",OFFSET(Electric!$L9,0,-'Electric Calendarize'!$L18+'Electric Calendarize'!AK$4+1))</f>
        <v>642</v>
      </c>
      <c r="AL18">
        <f ca="1">IF(OR($L18&gt;AL$4,AL$4&gt;$L18+23),"",OFFSET(Electric!$L9,0,-'Electric Calendarize'!$L18+'Electric Calendarize'!AL$4+1))</f>
        <v>580</v>
      </c>
      <c r="AM18">
        <f ca="1">IF(OR($L18&gt;AM$4,AM$4&gt;$L18+23),"",OFFSET(Electric!$L9,0,-'Electric Calendarize'!$L18+'Electric Calendarize'!AM$4+1))</f>
        <v>501</v>
      </c>
      <c r="AN18" t="str">
        <f ca="1">IF(OR($L18&gt;AN$4,AN$4&gt;$L18+23),"",OFFSET(Electric!$L9,0,-'Electric Calendarize'!$L18+'Electric Calendarize'!AN$4+1))</f>
        <v/>
      </c>
      <c r="AO18" t="str">
        <f ca="1">IF(OR($L18&gt;AO$4,AO$4&gt;$L18+23),"",OFFSET(Electric!$L9,0,-'Electric Calendarize'!$L18+'Electric Calendarize'!AO$4+1))</f>
        <v/>
      </c>
      <c r="AP18" t="str">
        <f ca="1">IF(OR($L18&gt;AP$4,AP$4&gt;$L18+23),"",OFFSET(Electric!$L9,0,-'Electric Calendarize'!$L18+'Electric Calendarize'!AP$4+1))</f>
        <v/>
      </c>
      <c r="AQ18" t="str">
        <f ca="1">IF(OR($L18&gt;AQ$4,AQ$4&gt;$L18+23),"",OFFSET(Electric!$L9,0,-'Electric Calendarize'!$L18+'Electric Calendarize'!AQ$4+1))</f>
        <v/>
      </c>
      <c r="AR18" t="str">
        <f ca="1">IF(OR($L18&gt;AR$4,AR$4&gt;$L18+23),"",OFFSET(Electric!$L9,0,-'Electric Calendarize'!$L18+'Electric Calendarize'!AR$4+1))</f>
        <v/>
      </c>
      <c r="AS18" t="str">
        <f ca="1">IF(OR($L18&gt;AS$4,AS$4&gt;$L18+23),"",OFFSET(Electric!$L9,0,-'Electric Calendarize'!$L18+'Electric Calendarize'!AS$4+1))</f>
        <v/>
      </c>
      <c r="AT18" t="str">
        <f ca="1">IF(OR($L18&gt;AT$4,AT$4&gt;$L18+23),"",OFFSET(Electric!$L9,0,-'Electric Calendarize'!$L18+'Electric Calendarize'!AT$4+1))</f>
        <v/>
      </c>
      <c r="AU18" t="str">
        <f ca="1">IF(OR($L18&gt;AU$4,AU$4&gt;$L18+23),"",OFFSET(Electric!$L9,0,-'Electric Calendarize'!$L18+'Electric Calendarize'!AU$4+1))</f>
        <v/>
      </c>
      <c r="AV18" t="str">
        <f ca="1">IF(OR($L18&gt;AV$4,AV$4&gt;$L18+23),"",OFFSET(Electric!$L9,0,-'Electric Calendarize'!$L18+'Electric Calendarize'!AV$4+1))</f>
        <v/>
      </c>
      <c r="AW18" t="str">
        <f ca="1">IF(OR($L18&gt;AW$4,AW$4&gt;$L18+23),"",OFFSET(Electric!$L9,0,-'Electric Calendarize'!$L18+'Electric Calendarize'!AW$4+1))</f>
        <v/>
      </c>
      <c r="AX18" t="str">
        <f ca="1">IF(OR($L18&gt;AX$4,AX$4&gt;$L18+23),"",OFFSET(Electric!$L9,0,-'Electric Calendarize'!$L18+'Electric Calendarize'!AX$4+1))</f>
        <v/>
      </c>
      <c r="AY18" t="str">
        <f ca="1">IF(OR($L18&gt;AY$4,AY$4&gt;$L18+23),"",OFFSET(Electric!$L9,0,-'Electric Calendarize'!$L18+'Electric Calendarize'!AY$4+1))</f>
        <v/>
      </c>
      <c r="AZ18" t="str">
        <f ca="1">IF(OR($L18&gt;AZ$4,AZ$4&gt;$L18+23),"",OFFSET(Electric!$L9,0,-'Electric Calendarize'!$L18+'Electric Calendarize'!AZ$4+1))</f>
        <v/>
      </c>
      <c r="BA18" t="str">
        <f ca="1">IF(OR($L18&gt;BA$4,BA$4&gt;$L18+23),"",OFFSET(Electric!$L9,0,-'Electric Calendarize'!$L18+'Electric Calendarize'!BA$4+1))</f>
        <v/>
      </c>
      <c r="BB18" t="str">
        <f ca="1">IF(OR($L18&gt;BB$4,BB$4&gt;$L18+23),"",OFFSET(Electric!$L9,0,-'Electric Calendarize'!$L18+'Electric Calendarize'!BB$4+1))</f>
        <v/>
      </c>
      <c r="BC18" t="str">
        <f ca="1">IF(OR($L18&gt;BC$4,BC$4&gt;$L18+23),"",OFFSET(Electric!$L9,0,-'Electric Calendarize'!$L18+'Electric Calendarize'!BC$4+1))</f>
        <v/>
      </c>
      <c r="BD18" t="str">
        <f ca="1">IF(OR($L18&gt;BD$4,BD$4&gt;$L18+23),"",OFFSET(Electric!$L9,0,-'Electric Calendarize'!$L18+'Electric Calendarize'!BD$4+1))</f>
        <v/>
      </c>
      <c r="BE18" t="str">
        <f ca="1">IF(OR($L18&gt;BE$4,BE$4&gt;$L18+23),"",OFFSET(Electric!$L9,0,-'Electric Calendarize'!$L18+'Electric Calendarize'!BE$4+1))</f>
        <v/>
      </c>
      <c r="BF18" t="str">
        <f ca="1">IF(OR($L18&gt;BF$4,BF$4&gt;$L18+23),"",OFFSET(Electric!$L9,0,-'Electric Calendarize'!$L18+'Electric Calendarize'!BF$4+1))</f>
        <v/>
      </c>
      <c r="BG18" t="str">
        <f ca="1">IF(OR($L18&gt;BG$4,BG$4&gt;$L18+23),"",OFFSET(Electric!$L9,0,-'Electric Calendarize'!$L18+'Electric Calendarize'!BG$4+1))</f>
        <v/>
      </c>
      <c r="BJ18" s="10" t="s">
        <v>37</v>
      </c>
      <c r="BK18">
        <f t="shared" si="195"/>
        <v>1</v>
      </c>
      <c r="BL18">
        <f t="shared" si="100"/>
        <v>0</v>
      </c>
      <c r="BM18">
        <f t="shared" si="101"/>
        <v>0</v>
      </c>
      <c r="BN18">
        <f t="shared" si="102"/>
        <v>0</v>
      </c>
      <c r="BO18">
        <f t="shared" si="103"/>
        <v>0</v>
      </c>
      <c r="BP18">
        <f t="shared" si="104"/>
        <v>0</v>
      </c>
      <c r="BQ18">
        <f t="shared" si="105"/>
        <v>0</v>
      </c>
      <c r="BR18">
        <f t="shared" si="106"/>
        <v>1</v>
      </c>
      <c r="BS18">
        <f t="shared" si="107"/>
        <v>1</v>
      </c>
      <c r="BT18">
        <f t="shared" si="108"/>
        <v>1</v>
      </c>
      <c r="BU18">
        <f t="shared" si="109"/>
        <v>1</v>
      </c>
      <c r="BV18">
        <f t="shared" si="110"/>
        <v>1</v>
      </c>
      <c r="BW18">
        <f t="shared" si="111"/>
        <v>1</v>
      </c>
      <c r="BX18">
        <f t="shared" si="112"/>
        <v>0</v>
      </c>
      <c r="BY18">
        <f t="shared" si="113"/>
        <v>0</v>
      </c>
      <c r="BZ18">
        <f t="shared" si="114"/>
        <v>0</v>
      </c>
      <c r="CA18">
        <f t="shared" si="115"/>
        <v>0</v>
      </c>
      <c r="CB18">
        <f t="shared" si="116"/>
        <v>0</v>
      </c>
      <c r="CC18">
        <f t="shared" si="117"/>
        <v>0</v>
      </c>
      <c r="CD18">
        <f t="shared" si="118"/>
        <v>1</v>
      </c>
      <c r="CE18">
        <f t="shared" si="119"/>
        <v>1</v>
      </c>
      <c r="CF18">
        <f t="shared" si="120"/>
        <v>1</v>
      </c>
      <c r="CG18">
        <f t="shared" si="121"/>
        <v>1</v>
      </c>
      <c r="CH18">
        <f t="shared" si="122"/>
        <v>1</v>
      </c>
      <c r="CI18">
        <f t="shared" si="123"/>
        <v>1</v>
      </c>
      <c r="CJ18">
        <f t="shared" si="124"/>
        <v>0</v>
      </c>
      <c r="CK18">
        <f t="shared" si="125"/>
        <v>0</v>
      </c>
      <c r="CL18">
        <f t="shared" si="126"/>
        <v>0</v>
      </c>
      <c r="CM18">
        <f t="shared" si="127"/>
        <v>0</v>
      </c>
      <c r="CN18">
        <f t="shared" si="128"/>
        <v>0</v>
      </c>
      <c r="CO18">
        <f t="shared" si="129"/>
        <v>0</v>
      </c>
      <c r="CP18">
        <f t="shared" si="130"/>
        <v>1</v>
      </c>
      <c r="CQ18">
        <f t="shared" si="131"/>
        <v>1</v>
      </c>
      <c r="CR18">
        <f t="shared" si="132"/>
        <v>1</v>
      </c>
      <c r="CS18">
        <f t="shared" si="133"/>
        <v>1</v>
      </c>
      <c r="CT18">
        <f t="shared" si="134"/>
        <v>1</v>
      </c>
      <c r="CU18">
        <f t="shared" si="135"/>
        <v>1</v>
      </c>
      <c r="CV18">
        <f t="shared" si="136"/>
        <v>0</v>
      </c>
      <c r="CW18">
        <f t="shared" si="137"/>
        <v>0</v>
      </c>
      <c r="CX18">
        <f t="shared" si="138"/>
        <v>0</v>
      </c>
      <c r="CY18">
        <f t="shared" si="139"/>
        <v>0</v>
      </c>
      <c r="CZ18">
        <f t="shared" si="140"/>
        <v>0</v>
      </c>
      <c r="DA18">
        <f t="shared" si="141"/>
        <v>0</v>
      </c>
      <c r="DB18">
        <f t="shared" si="142"/>
        <v>1</v>
      </c>
      <c r="DC18">
        <f t="shared" si="143"/>
        <v>1</v>
      </c>
      <c r="DF18" s="10" t="s">
        <v>37</v>
      </c>
      <c r="DG18" t="str">
        <f t="shared" si="196"/>
        <v>2021_5</v>
      </c>
      <c r="DH18" t="str">
        <f t="shared" si="144"/>
        <v>2021_5</v>
      </c>
      <c r="DI18" t="str">
        <f t="shared" si="144"/>
        <v>2021_5</v>
      </c>
      <c r="DJ18" t="str">
        <f t="shared" si="144"/>
        <v>2021_5</v>
      </c>
      <c r="DK18" t="str">
        <f t="shared" si="144"/>
        <v>2021_5</v>
      </c>
      <c r="DL18" t="str">
        <f t="shared" si="144"/>
        <v>2021_5</v>
      </c>
      <c r="DM18" t="str">
        <f t="shared" si="144"/>
        <v>2021_5</v>
      </c>
      <c r="DN18" t="str">
        <f t="shared" si="144"/>
        <v>2021_5</v>
      </c>
      <c r="DO18" t="str">
        <f t="shared" si="144"/>
        <v>2021_5</v>
      </c>
      <c r="DP18" t="str">
        <f t="shared" si="144"/>
        <v>2021_5</v>
      </c>
      <c r="DQ18" t="str">
        <f t="shared" si="144"/>
        <v>2021_5</v>
      </c>
      <c r="DR18" t="str">
        <f t="shared" si="144"/>
        <v>2021_5</v>
      </c>
      <c r="DS18" t="str">
        <f t="shared" si="144"/>
        <v>2021_5</v>
      </c>
      <c r="DT18" t="str">
        <f t="shared" si="144"/>
        <v>2021_5</v>
      </c>
      <c r="DU18" t="str">
        <f t="shared" si="144"/>
        <v>2021_5</v>
      </c>
      <c r="DV18" t="str">
        <f t="shared" si="144"/>
        <v>2021_5</v>
      </c>
      <c r="DW18" t="str">
        <f t="shared" si="144"/>
        <v>2021_5</v>
      </c>
      <c r="DX18" t="str">
        <f t="shared" si="145"/>
        <v>2021_5</v>
      </c>
      <c r="DY18" t="str">
        <f t="shared" si="145"/>
        <v>2021_5</v>
      </c>
      <c r="DZ18" t="str">
        <f t="shared" si="145"/>
        <v>2021_5</v>
      </c>
      <c r="EA18" t="str">
        <f t="shared" si="145"/>
        <v>2021_5</v>
      </c>
      <c r="EB18" t="str">
        <f t="shared" si="145"/>
        <v>2021_5</v>
      </c>
      <c r="EC18" t="str">
        <f t="shared" si="145"/>
        <v>2021_5</v>
      </c>
      <c r="ED18" t="str">
        <f t="shared" si="145"/>
        <v>2021_5</v>
      </c>
      <c r="EE18" t="str">
        <f t="shared" si="145"/>
        <v>2021_5</v>
      </c>
      <c r="EF18" t="str">
        <f t="shared" si="145"/>
        <v>2021_5</v>
      </c>
      <c r="EG18" t="str">
        <f t="shared" si="145"/>
        <v>2021_5</v>
      </c>
      <c r="EH18" t="str">
        <f t="shared" si="145"/>
        <v>2021_5</v>
      </c>
      <c r="EI18" t="str">
        <f t="shared" si="145"/>
        <v>2021_5</v>
      </c>
      <c r="EJ18" t="str">
        <f t="shared" si="145"/>
        <v>2021_5</v>
      </c>
      <c r="EK18" t="str">
        <f t="shared" si="145"/>
        <v>2021_5</v>
      </c>
      <c r="EL18" t="str">
        <f t="shared" si="145"/>
        <v>2021_5</v>
      </c>
      <c r="EM18" t="str">
        <f t="shared" si="145"/>
        <v>2021_5</v>
      </c>
      <c r="EN18" t="str">
        <f t="shared" si="146"/>
        <v>2021_5</v>
      </c>
      <c r="EO18" t="str">
        <f t="shared" si="146"/>
        <v>2021_5</v>
      </c>
      <c r="EP18" t="str">
        <f t="shared" si="146"/>
        <v>2021_5</v>
      </c>
      <c r="EQ18" t="str">
        <f t="shared" si="146"/>
        <v>2021_5</v>
      </c>
      <c r="ER18" t="str">
        <f t="shared" si="146"/>
        <v>2021_5</v>
      </c>
      <c r="ES18" t="str">
        <f t="shared" si="146"/>
        <v>2021_5</v>
      </c>
      <c r="ET18" t="str">
        <f t="shared" si="146"/>
        <v>2021_5</v>
      </c>
      <c r="EU18" t="str">
        <f t="shared" si="146"/>
        <v>2021_5</v>
      </c>
      <c r="EV18" t="str">
        <f t="shared" si="146"/>
        <v>2021_5</v>
      </c>
      <c r="EW18" t="str">
        <f t="shared" si="146"/>
        <v>2021_5</v>
      </c>
      <c r="EX18" t="str">
        <f t="shared" si="146"/>
        <v>2021_5</v>
      </c>
      <c r="EY18" t="str">
        <f t="shared" si="146"/>
        <v>2021_5</v>
      </c>
      <c r="FB18" s="10" t="s">
        <v>37</v>
      </c>
      <c r="FC18">
        <f t="shared" si="197"/>
        <v>0</v>
      </c>
      <c r="FD18">
        <f t="shared" si="147"/>
        <v>0</v>
      </c>
      <c r="FE18">
        <f t="shared" si="148"/>
        <v>0</v>
      </c>
      <c r="FF18">
        <f t="shared" si="149"/>
        <v>0</v>
      </c>
      <c r="FG18">
        <f t="shared" si="150"/>
        <v>0</v>
      </c>
      <c r="FH18">
        <f t="shared" si="151"/>
        <v>0</v>
      </c>
      <c r="FI18">
        <f t="shared" si="152"/>
        <v>0</v>
      </c>
      <c r="FJ18">
        <f t="shared" si="153"/>
        <v>0</v>
      </c>
      <c r="FK18">
        <f t="shared" si="154"/>
        <v>0</v>
      </c>
      <c r="FL18">
        <f t="shared" si="155"/>
        <v>0</v>
      </c>
      <c r="FM18">
        <f t="shared" si="156"/>
        <v>0</v>
      </c>
      <c r="FN18">
        <f t="shared" si="157"/>
        <v>0</v>
      </c>
      <c r="FO18">
        <f t="shared" si="158"/>
        <v>0</v>
      </c>
      <c r="FP18">
        <f t="shared" si="159"/>
        <v>1</v>
      </c>
      <c r="FQ18">
        <f t="shared" si="160"/>
        <v>1</v>
      </c>
      <c r="FR18">
        <f t="shared" si="161"/>
        <v>1</v>
      </c>
      <c r="FS18">
        <f t="shared" si="162"/>
        <v>1</v>
      </c>
      <c r="FT18">
        <f t="shared" si="163"/>
        <v>1</v>
      </c>
      <c r="FU18">
        <f t="shared" si="164"/>
        <v>1</v>
      </c>
      <c r="FV18">
        <f t="shared" si="165"/>
        <v>1</v>
      </c>
      <c r="FW18">
        <f t="shared" si="166"/>
        <v>1</v>
      </c>
      <c r="FX18">
        <f t="shared" si="167"/>
        <v>1</v>
      </c>
      <c r="FY18">
        <f t="shared" si="168"/>
        <v>1</v>
      </c>
      <c r="FZ18">
        <f t="shared" si="169"/>
        <v>1</v>
      </c>
      <c r="GA18">
        <f t="shared" si="170"/>
        <v>1</v>
      </c>
      <c r="GB18">
        <f t="shared" si="171"/>
        <v>1</v>
      </c>
      <c r="GC18">
        <f t="shared" si="172"/>
        <v>1</v>
      </c>
      <c r="GD18">
        <f t="shared" si="173"/>
        <v>1</v>
      </c>
      <c r="GE18">
        <f t="shared" si="174"/>
        <v>1</v>
      </c>
      <c r="GF18">
        <f t="shared" si="175"/>
        <v>1</v>
      </c>
      <c r="GG18">
        <f t="shared" si="176"/>
        <v>1</v>
      </c>
      <c r="GH18">
        <f t="shared" si="177"/>
        <v>1</v>
      </c>
      <c r="GI18">
        <f t="shared" si="178"/>
        <v>1</v>
      </c>
      <c r="GJ18">
        <f t="shared" si="179"/>
        <v>1</v>
      </c>
      <c r="GK18">
        <f t="shared" si="180"/>
        <v>1</v>
      </c>
      <c r="GL18">
        <f t="shared" si="181"/>
        <v>1</v>
      </c>
      <c r="GM18">
        <f t="shared" si="182"/>
        <v>1</v>
      </c>
      <c r="GN18">
        <f t="shared" si="183"/>
        <v>1</v>
      </c>
      <c r="GO18">
        <f t="shared" si="184"/>
        <v>1</v>
      </c>
      <c r="GP18">
        <f t="shared" si="185"/>
        <v>1</v>
      </c>
      <c r="GQ18">
        <f t="shared" si="186"/>
        <v>1</v>
      </c>
      <c r="GR18">
        <f t="shared" si="187"/>
        <v>1</v>
      </c>
      <c r="GS18">
        <f t="shared" si="188"/>
        <v>1</v>
      </c>
      <c r="GT18">
        <f t="shared" si="189"/>
        <v>1</v>
      </c>
      <c r="GU18">
        <f t="shared" si="190"/>
        <v>1</v>
      </c>
      <c r="GX18" s="10"/>
    </row>
    <row r="19" spans="1:206" x14ac:dyDescent="0.3">
      <c r="A19" s="9" t="s">
        <v>46</v>
      </c>
      <c r="B19" s="80"/>
      <c r="C19" s="9">
        <v>3121672000</v>
      </c>
      <c r="D19" s="9" t="s">
        <v>357</v>
      </c>
      <c r="E19" s="9" t="s">
        <v>39</v>
      </c>
      <c r="F19" s="9" t="s">
        <v>35</v>
      </c>
      <c r="G19" s="9" t="s">
        <v>50</v>
      </c>
      <c r="H19" s="10">
        <v>44342</v>
      </c>
      <c r="I19" s="9">
        <f t="shared" si="191"/>
        <v>2021</v>
      </c>
      <c r="J19" s="9">
        <f t="shared" si="192"/>
        <v>5</v>
      </c>
      <c r="K19" s="9" t="str">
        <f t="shared" si="193"/>
        <v>2021_5</v>
      </c>
      <c r="L19">
        <f>MAX(0,VLOOKUP($K19,lookups!$A$1:$B$45,2,0)-12)</f>
        <v>1</v>
      </c>
      <c r="M19" s="40">
        <f t="shared" si="194"/>
        <v>44317</v>
      </c>
      <c r="N19" s="10" t="s">
        <v>37</v>
      </c>
      <c r="O19" t="str">
        <f ca="1">IF(OR($L19&gt;O$4,O$4&gt;$L19+23),"",OFFSET(Electric!$L10,0,-'Electric Calendarize'!$L19+'Electric Calendarize'!O$4+1))</f>
        <v/>
      </c>
      <c r="P19">
        <f ca="1">IF(OR($L19&gt;P$4,P$4&gt;$L19+23),"",OFFSET(Electric!$L10,0,-'Electric Calendarize'!$L19+'Electric Calendarize'!P$4+1))</f>
        <v>950</v>
      </c>
      <c r="Q19">
        <f ca="1">IF(OR($L19&gt;Q$4,Q$4&gt;$L19+23),"",OFFSET(Electric!$L10,0,-'Electric Calendarize'!$L19+'Electric Calendarize'!Q$4+1))</f>
        <v>1124</v>
      </c>
      <c r="R19">
        <f ca="1">IF(OR($L19&gt;R$4,R$4&gt;$L19+23),"",OFFSET(Electric!$L10,0,-'Electric Calendarize'!$L19+'Electric Calendarize'!R$4+1))</f>
        <v>1224</v>
      </c>
      <c r="S19">
        <f ca="1">IF(OR($L19&gt;S$4,S$4&gt;$L19+23),"",OFFSET(Electric!$L10,0,-'Electric Calendarize'!$L19+'Electric Calendarize'!S$4+1))</f>
        <v>1390</v>
      </c>
      <c r="T19">
        <f ca="1">IF(OR($L19&gt;T$4,T$4&gt;$L19+23),"",OFFSET(Electric!$L10,0,-'Electric Calendarize'!$L19+'Electric Calendarize'!T$4+1))</f>
        <v>1025</v>
      </c>
      <c r="U19">
        <f ca="1">IF(OR($L19&gt;U$4,U$4&gt;$L19+23),"",OFFSET(Electric!$L10,0,-'Electric Calendarize'!$L19+'Electric Calendarize'!U$4+1))</f>
        <v>920</v>
      </c>
      <c r="V19">
        <f ca="1">IF(OR($L19&gt;V$4,V$4&gt;$L19+23),"",OFFSET(Electric!$L10,0,-'Electric Calendarize'!$L19+'Electric Calendarize'!V$4+1))</f>
        <v>1416</v>
      </c>
      <c r="W19">
        <f ca="1">IF(OR($L19&gt;W$4,W$4&gt;$L19+23),"",OFFSET(Electric!$L10,0,-'Electric Calendarize'!$L19+'Electric Calendarize'!W$4+1))</f>
        <v>1852</v>
      </c>
      <c r="X19">
        <f ca="1">IF(OR($L19&gt;X$4,X$4&gt;$L19+23),"",OFFSET(Electric!$L10,0,-'Electric Calendarize'!$L19+'Electric Calendarize'!X$4+1))</f>
        <v>1779</v>
      </c>
      <c r="Y19">
        <f ca="1">IF(OR($L19&gt;Y$4,Y$4&gt;$L19+23),"",OFFSET(Electric!$L10,0,-'Electric Calendarize'!$L19+'Electric Calendarize'!Y$4+1))</f>
        <v>1907</v>
      </c>
      <c r="Z19">
        <f ca="1">IF(OR($L19&gt;Z$4,Z$4&gt;$L19+23),"",OFFSET(Electric!$L10,0,-'Electric Calendarize'!$L19+'Electric Calendarize'!Z$4+1))</f>
        <v>1903</v>
      </c>
      <c r="AA19">
        <f ca="1">IF(OR($L19&gt;AA$4,AA$4&gt;$L19+23),"",OFFSET(Electric!$L10,0,-'Electric Calendarize'!$L19+'Electric Calendarize'!AA$4+1))</f>
        <v>1670</v>
      </c>
      <c r="AB19">
        <f ca="1">IF(OR($L19&gt;AB$4,AB$4&gt;$L19+23),"",OFFSET(Electric!$L10,0,-'Electric Calendarize'!$L19+'Electric Calendarize'!AB$4+1))</f>
        <v>1055</v>
      </c>
      <c r="AC19">
        <f ca="1">IF(OR($L19&gt;AC$4,AC$4&gt;$L19+23),"",OFFSET(Electric!$L10,0,-'Electric Calendarize'!$L19+'Electric Calendarize'!AC$4+1))</f>
        <v>1209</v>
      </c>
      <c r="AD19">
        <f ca="1">IF(OR($L19&gt;AD$4,AD$4&gt;$L19+23),"",OFFSET(Electric!$L10,0,-'Electric Calendarize'!$L19+'Electric Calendarize'!AD$4+1))</f>
        <v>1297</v>
      </c>
      <c r="AE19">
        <f ca="1">IF(OR($L19&gt;AE$4,AE$4&gt;$L19+23),"",OFFSET(Electric!$L10,0,-'Electric Calendarize'!$L19+'Electric Calendarize'!AE$4+1))</f>
        <v>1483</v>
      </c>
      <c r="AF19">
        <f ca="1">IF(OR($L19&gt;AF$4,AF$4&gt;$L19+23),"",OFFSET(Electric!$L10,0,-'Electric Calendarize'!$L19+'Electric Calendarize'!AF$4+1))</f>
        <v>1080</v>
      </c>
      <c r="AG19">
        <f ca="1">IF(OR($L19&gt;AG$4,AG$4&gt;$L19+23),"",OFFSET(Electric!$L10,0,-'Electric Calendarize'!$L19+'Electric Calendarize'!AG$4+1))</f>
        <v>922</v>
      </c>
      <c r="AH19">
        <f ca="1">IF(OR($L19&gt;AH$4,AH$4&gt;$L19+23),"",OFFSET(Electric!$L10,0,-'Electric Calendarize'!$L19+'Electric Calendarize'!AH$4+1))</f>
        <v>1116</v>
      </c>
      <c r="AI19">
        <f ca="1">IF(OR($L19&gt;AI$4,AI$4&gt;$L19+23),"",OFFSET(Electric!$L10,0,-'Electric Calendarize'!$L19+'Electric Calendarize'!AI$4+1))</f>
        <v>1333</v>
      </c>
      <c r="AJ19">
        <f ca="1">IF(OR($L19&gt;AJ$4,AJ$4&gt;$L19+23),"",OFFSET(Electric!$L10,0,-'Electric Calendarize'!$L19+'Electric Calendarize'!AJ$4+1))</f>
        <v>1220</v>
      </c>
      <c r="AK19">
        <f ca="1">IF(OR($L19&gt;AK$4,AK$4&gt;$L19+23),"",OFFSET(Electric!$L10,0,-'Electric Calendarize'!$L19+'Electric Calendarize'!AK$4+1))</f>
        <v>1221</v>
      </c>
      <c r="AL19">
        <f ca="1">IF(OR($L19&gt;AL$4,AL$4&gt;$L19+23),"",OFFSET(Electric!$L10,0,-'Electric Calendarize'!$L19+'Electric Calendarize'!AL$4+1))</f>
        <v>1188</v>
      </c>
      <c r="AM19">
        <f ca="1">IF(OR($L19&gt;AM$4,AM$4&gt;$L19+23),"",OFFSET(Electric!$L10,0,-'Electric Calendarize'!$L19+'Electric Calendarize'!AM$4+1))</f>
        <v>960</v>
      </c>
      <c r="AN19" t="str">
        <f ca="1">IF(OR($L19&gt;AN$4,AN$4&gt;$L19+23),"",OFFSET(Electric!$L10,0,-'Electric Calendarize'!$L19+'Electric Calendarize'!AN$4+1))</f>
        <v/>
      </c>
      <c r="AO19" t="str">
        <f ca="1">IF(OR($L19&gt;AO$4,AO$4&gt;$L19+23),"",OFFSET(Electric!$L10,0,-'Electric Calendarize'!$L19+'Electric Calendarize'!AO$4+1))</f>
        <v/>
      </c>
      <c r="AP19" t="str">
        <f ca="1">IF(OR($L19&gt;AP$4,AP$4&gt;$L19+23),"",OFFSET(Electric!$L10,0,-'Electric Calendarize'!$L19+'Electric Calendarize'!AP$4+1))</f>
        <v/>
      </c>
      <c r="AQ19" t="str">
        <f ca="1">IF(OR($L19&gt;AQ$4,AQ$4&gt;$L19+23),"",OFFSET(Electric!$L10,0,-'Electric Calendarize'!$L19+'Electric Calendarize'!AQ$4+1))</f>
        <v/>
      </c>
      <c r="AR19" t="str">
        <f ca="1">IF(OR($L19&gt;AR$4,AR$4&gt;$L19+23),"",OFFSET(Electric!$L10,0,-'Electric Calendarize'!$L19+'Electric Calendarize'!AR$4+1))</f>
        <v/>
      </c>
      <c r="AS19" t="str">
        <f ca="1">IF(OR($L19&gt;AS$4,AS$4&gt;$L19+23),"",OFFSET(Electric!$L10,0,-'Electric Calendarize'!$L19+'Electric Calendarize'!AS$4+1))</f>
        <v/>
      </c>
      <c r="AT19" t="str">
        <f ca="1">IF(OR($L19&gt;AT$4,AT$4&gt;$L19+23),"",OFFSET(Electric!$L10,0,-'Electric Calendarize'!$L19+'Electric Calendarize'!AT$4+1))</f>
        <v/>
      </c>
      <c r="AU19" t="str">
        <f ca="1">IF(OR($L19&gt;AU$4,AU$4&gt;$L19+23),"",OFFSET(Electric!$L10,0,-'Electric Calendarize'!$L19+'Electric Calendarize'!AU$4+1))</f>
        <v/>
      </c>
      <c r="AV19" t="str">
        <f ca="1">IF(OR($L19&gt;AV$4,AV$4&gt;$L19+23),"",OFFSET(Electric!$L10,0,-'Electric Calendarize'!$L19+'Electric Calendarize'!AV$4+1))</f>
        <v/>
      </c>
      <c r="AW19" t="str">
        <f ca="1">IF(OR($L19&gt;AW$4,AW$4&gt;$L19+23),"",OFFSET(Electric!$L10,0,-'Electric Calendarize'!$L19+'Electric Calendarize'!AW$4+1))</f>
        <v/>
      </c>
      <c r="AX19" t="str">
        <f ca="1">IF(OR($L19&gt;AX$4,AX$4&gt;$L19+23),"",OFFSET(Electric!$L10,0,-'Electric Calendarize'!$L19+'Electric Calendarize'!AX$4+1))</f>
        <v/>
      </c>
      <c r="AY19" t="str">
        <f ca="1">IF(OR($L19&gt;AY$4,AY$4&gt;$L19+23),"",OFFSET(Electric!$L10,0,-'Electric Calendarize'!$L19+'Electric Calendarize'!AY$4+1))</f>
        <v/>
      </c>
      <c r="AZ19" t="str">
        <f ca="1">IF(OR($L19&gt;AZ$4,AZ$4&gt;$L19+23),"",OFFSET(Electric!$L10,0,-'Electric Calendarize'!$L19+'Electric Calendarize'!AZ$4+1))</f>
        <v/>
      </c>
      <c r="BA19" t="str">
        <f ca="1">IF(OR($L19&gt;BA$4,BA$4&gt;$L19+23),"",OFFSET(Electric!$L10,0,-'Electric Calendarize'!$L19+'Electric Calendarize'!BA$4+1))</f>
        <v/>
      </c>
      <c r="BB19" t="str">
        <f ca="1">IF(OR($L19&gt;BB$4,BB$4&gt;$L19+23),"",OFFSET(Electric!$L10,0,-'Electric Calendarize'!$L19+'Electric Calendarize'!BB$4+1))</f>
        <v/>
      </c>
      <c r="BC19" t="str">
        <f ca="1">IF(OR($L19&gt;BC$4,BC$4&gt;$L19+23),"",OFFSET(Electric!$L10,0,-'Electric Calendarize'!$L19+'Electric Calendarize'!BC$4+1))</f>
        <v/>
      </c>
      <c r="BD19" t="str">
        <f ca="1">IF(OR($L19&gt;BD$4,BD$4&gt;$L19+23),"",OFFSET(Electric!$L10,0,-'Electric Calendarize'!$L19+'Electric Calendarize'!BD$4+1))</f>
        <v/>
      </c>
      <c r="BE19" t="str">
        <f ca="1">IF(OR($L19&gt;BE$4,BE$4&gt;$L19+23),"",OFFSET(Electric!$L10,0,-'Electric Calendarize'!$L19+'Electric Calendarize'!BE$4+1))</f>
        <v/>
      </c>
      <c r="BF19" t="str">
        <f ca="1">IF(OR($L19&gt;BF$4,BF$4&gt;$L19+23),"",OFFSET(Electric!$L10,0,-'Electric Calendarize'!$L19+'Electric Calendarize'!BF$4+1))</f>
        <v/>
      </c>
      <c r="BG19" t="str">
        <f ca="1">IF(OR($L19&gt;BG$4,BG$4&gt;$L19+23),"",OFFSET(Electric!$L10,0,-'Electric Calendarize'!$L19+'Electric Calendarize'!BG$4+1))</f>
        <v/>
      </c>
      <c r="BJ19" s="10" t="s">
        <v>37</v>
      </c>
      <c r="BK19">
        <f t="shared" si="195"/>
        <v>1</v>
      </c>
      <c r="BL19">
        <f t="shared" si="100"/>
        <v>0</v>
      </c>
      <c r="BM19">
        <f t="shared" si="101"/>
        <v>0</v>
      </c>
      <c r="BN19">
        <f t="shared" si="102"/>
        <v>0</v>
      </c>
      <c r="BO19">
        <f t="shared" si="103"/>
        <v>0</v>
      </c>
      <c r="BP19">
        <f t="shared" si="104"/>
        <v>0</v>
      </c>
      <c r="BQ19">
        <f t="shared" si="105"/>
        <v>0</v>
      </c>
      <c r="BR19">
        <f t="shared" si="106"/>
        <v>1</v>
      </c>
      <c r="BS19">
        <f t="shared" si="107"/>
        <v>1</v>
      </c>
      <c r="BT19">
        <f t="shared" si="108"/>
        <v>1</v>
      </c>
      <c r="BU19">
        <f t="shared" si="109"/>
        <v>1</v>
      </c>
      <c r="BV19">
        <f t="shared" si="110"/>
        <v>1</v>
      </c>
      <c r="BW19">
        <f t="shared" si="111"/>
        <v>1</v>
      </c>
      <c r="BX19">
        <f t="shared" si="112"/>
        <v>0</v>
      </c>
      <c r="BY19">
        <f t="shared" si="113"/>
        <v>0</v>
      </c>
      <c r="BZ19">
        <f t="shared" si="114"/>
        <v>0</v>
      </c>
      <c r="CA19">
        <f t="shared" si="115"/>
        <v>0</v>
      </c>
      <c r="CB19">
        <f t="shared" si="116"/>
        <v>0</v>
      </c>
      <c r="CC19">
        <f t="shared" si="117"/>
        <v>0</v>
      </c>
      <c r="CD19">
        <f t="shared" si="118"/>
        <v>1</v>
      </c>
      <c r="CE19">
        <f t="shared" si="119"/>
        <v>1</v>
      </c>
      <c r="CF19">
        <f t="shared" si="120"/>
        <v>1</v>
      </c>
      <c r="CG19">
        <f t="shared" si="121"/>
        <v>1</v>
      </c>
      <c r="CH19">
        <f t="shared" si="122"/>
        <v>1</v>
      </c>
      <c r="CI19">
        <f t="shared" si="123"/>
        <v>1</v>
      </c>
      <c r="CJ19">
        <f t="shared" si="124"/>
        <v>0</v>
      </c>
      <c r="CK19">
        <f t="shared" si="125"/>
        <v>0</v>
      </c>
      <c r="CL19">
        <f t="shared" si="126"/>
        <v>0</v>
      </c>
      <c r="CM19">
        <f t="shared" si="127"/>
        <v>0</v>
      </c>
      <c r="CN19">
        <f t="shared" si="128"/>
        <v>0</v>
      </c>
      <c r="CO19">
        <f t="shared" si="129"/>
        <v>0</v>
      </c>
      <c r="CP19">
        <f t="shared" si="130"/>
        <v>1</v>
      </c>
      <c r="CQ19">
        <f t="shared" si="131"/>
        <v>1</v>
      </c>
      <c r="CR19">
        <f t="shared" si="132"/>
        <v>1</v>
      </c>
      <c r="CS19">
        <f t="shared" si="133"/>
        <v>1</v>
      </c>
      <c r="CT19">
        <f t="shared" si="134"/>
        <v>1</v>
      </c>
      <c r="CU19">
        <f t="shared" si="135"/>
        <v>1</v>
      </c>
      <c r="CV19">
        <f t="shared" si="136"/>
        <v>0</v>
      </c>
      <c r="CW19">
        <f t="shared" si="137"/>
        <v>0</v>
      </c>
      <c r="CX19">
        <f t="shared" si="138"/>
        <v>0</v>
      </c>
      <c r="CY19">
        <f t="shared" si="139"/>
        <v>0</v>
      </c>
      <c r="CZ19">
        <f t="shared" si="140"/>
        <v>0</v>
      </c>
      <c r="DA19">
        <f t="shared" si="141"/>
        <v>0</v>
      </c>
      <c r="DB19">
        <f t="shared" si="142"/>
        <v>1</v>
      </c>
      <c r="DC19">
        <f t="shared" si="143"/>
        <v>1</v>
      </c>
      <c r="DF19" s="10" t="s">
        <v>37</v>
      </c>
      <c r="DG19" t="str">
        <f t="shared" si="196"/>
        <v>2021_5</v>
      </c>
      <c r="DH19" t="str">
        <f t="shared" si="144"/>
        <v>2021_5</v>
      </c>
      <c r="DI19" t="str">
        <f t="shared" si="144"/>
        <v>2021_5</v>
      </c>
      <c r="DJ19" t="str">
        <f t="shared" si="144"/>
        <v>2021_5</v>
      </c>
      <c r="DK19" t="str">
        <f t="shared" si="144"/>
        <v>2021_5</v>
      </c>
      <c r="DL19" t="str">
        <f t="shared" si="144"/>
        <v>2021_5</v>
      </c>
      <c r="DM19" t="str">
        <f t="shared" si="144"/>
        <v>2021_5</v>
      </c>
      <c r="DN19" t="str">
        <f t="shared" si="144"/>
        <v>2021_5</v>
      </c>
      <c r="DO19" t="str">
        <f t="shared" si="144"/>
        <v>2021_5</v>
      </c>
      <c r="DP19" t="str">
        <f t="shared" si="144"/>
        <v>2021_5</v>
      </c>
      <c r="DQ19" t="str">
        <f t="shared" si="144"/>
        <v>2021_5</v>
      </c>
      <c r="DR19" t="str">
        <f t="shared" si="144"/>
        <v>2021_5</v>
      </c>
      <c r="DS19" t="str">
        <f t="shared" si="144"/>
        <v>2021_5</v>
      </c>
      <c r="DT19" t="str">
        <f t="shared" si="144"/>
        <v>2021_5</v>
      </c>
      <c r="DU19" t="str">
        <f t="shared" si="144"/>
        <v>2021_5</v>
      </c>
      <c r="DV19" t="str">
        <f t="shared" si="144"/>
        <v>2021_5</v>
      </c>
      <c r="DW19" t="str">
        <f t="shared" si="144"/>
        <v>2021_5</v>
      </c>
      <c r="DX19" t="str">
        <f t="shared" si="145"/>
        <v>2021_5</v>
      </c>
      <c r="DY19" t="str">
        <f t="shared" si="145"/>
        <v>2021_5</v>
      </c>
      <c r="DZ19" t="str">
        <f t="shared" si="145"/>
        <v>2021_5</v>
      </c>
      <c r="EA19" t="str">
        <f t="shared" si="145"/>
        <v>2021_5</v>
      </c>
      <c r="EB19" t="str">
        <f t="shared" si="145"/>
        <v>2021_5</v>
      </c>
      <c r="EC19" t="str">
        <f t="shared" si="145"/>
        <v>2021_5</v>
      </c>
      <c r="ED19" t="str">
        <f t="shared" si="145"/>
        <v>2021_5</v>
      </c>
      <c r="EE19" t="str">
        <f t="shared" si="145"/>
        <v>2021_5</v>
      </c>
      <c r="EF19" t="str">
        <f t="shared" si="145"/>
        <v>2021_5</v>
      </c>
      <c r="EG19" t="str">
        <f t="shared" si="145"/>
        <v>2021_5</v>
      </c>
      <c r="EH19" t="str">
        <f t="shared" si="145"/>
        <v>2021_5</v>
      </c>
      <c r="EI19" t="str">
        <f t="shared" si="145"/>
        <v>2021_5</v>
      </c>
      <c r="EJ19" t="str">
        <f t="shared" si="145"/>
        <v>2021_5</v>
      </c>
      <c r="EK19" t="str">
        <f t="shared" si="145"/>
        <v>2021_5</v>
      </c>
      <c r="EL19" t="str">
        <f t="shared" si="145"/>
        <v>2021_5</v>
      </c>
      <c r="EM19" t="str">
        <f t="shared" si="145"/>
        <v>2021_5</v>
      </c>
      <c r="EN19" t="str">
        <f t="shared" si="146"/>
        <v>2021_5</v>
      </c>
      <c r="EO19" t="str">
        <f t="shared" si="146"/>
        <v>2021_5</v>
      </c>
      <c r="EP19" t="str">
        <f t="shared" si="146"/>
        <v>2021_5</v>
      </c>
      <c r="EQ19" t="str">
        <f t="shared" si="146"/>
        <v>2021_5</v>
      </c>
      <c r="ER19" t="str">
        <f t="shared" si="146"/>
        <v>2021_5</v>
      </c>
      <c r="ES19" t="str">
        <f t="shared" si="146"/>
        <v>2021_5</v>
      </c>
      <c r="ET19" t="str">
        <f t="shared" si="146"/>
        <v>2021_5</v>
      </c>
      <c r="EU19" t="str">
        <f t="shared" si="146"/>
        <v>2021_5</v>
      </c>
      <c r="EV19" t="str">
        <f t="shared" si="146"/>
        <v>2021_5</v>
      </c>
      <c r="EW19" t="str">
        <f t="shared" si="146"/>
        <v>2021_5</v>
      </c>
      <c r="EX19" t="str">
        <f t="shared" si="146"/>
        <v>2021_5</v>
      </c>
      <c r="EY19" t="str">
        <f t="shared" si="146"/>
        <v>2021_5</v>
      </c>
      <c r="FB19" s="10" t="s">
        <v>37</v>
      </c>
      <c r="FC19">
        <f t="shared" si="197"/>
        <v>0</v>
      </c>
      <c r="FD19">
        <f t="shared" si="147"/>
        <v>0</v>
      </c>
      <c r="FE19">
        <f t="shared" si="148"/>
        <v>0</v>
      </c>
      <c r="FF19">
        <f t="shared" si="149"/>
        <v>0</v>
      </c>
      <c r="FG19">
        <f t="shared" si="150"/>
        <v>0</v>
      </c>
      <c r="FH19">
        <f t="shared" si="151"/>
        <v>0</v>
      </c>
      <c r="FI19">
        <f t="shared" si="152"/>
        <v>0</v>
      </c>
      <c r="FJ19">
        <f t="shared" si="153"/>
        <v>0</v>
      </c>
      <c r="FK19">
        <f t="shared" si="154"/>
        <v>0</v>
      </c>
      <c r="FL19">
        <f t="shared" si="155"/>
        <v>0</v>
      </c>
      <c r="FM19">
        <f t="shared" si="156"/>
        <v>0</v>
      </c>
      <c r="FN19">
        <f t="shared" si="157"/>
        <v>0</v>
      </c>
      <c r="FO19">
        <f t="shared" si="158"/>
        <v>0</v>
      </c>
      <c r="FP19">
        <f t="shared" si="159"/>
        <v>1</v>
      </c>
      <c r="FQ19">
        <f t="shared" si="160"/>
        <v>1</v>
      </c>
      <c r="FR19">
        <f t="shared" si="161"/>
        <v>1</v>
      </c>
      <c r="FS19">
        <f t="shared" si="162"/>
        <v>1</v>
      </c>
      <c r="FT19">
        <f t="shared" si="163"/>
        <v>1</v>
      </c>
      <c r="FU19">
        <f t="shared" si="164"/>
        <v>1</v>
      </c>
      <c r="FV19">
        <f t="shared" si="165"/>
        <v>1</v>
      </c>
      <c r="FW19">
        <f t="shared" si="166"/>
        <v>1</v>
      </c>
      <c r="FX19">
        <f t="shared" si="167"/>
        <v>1</v>
      </c>
      <c r="FY19">
        <f t="shared" si="168"/>
        <v>1</v>
      </c>
      <c r="FZ19">
        <f t="shared" si="169"/>
        <v>1</v>
      </c>
      <c r="GA19">
        <f t="shared" si="170"/>
        <v>1</v>
      </c>
      <c r="GB19">
        <f t="shared" si="171"/>
        <v>1</v>
      </c>
      <c r="GC19">
        <f t="shared" si="172"/>
        <v>1</v>
      </c>
      <c r="GD19">
        <f t="shared" si="173"/>
        <v>1</v>
      </c>
      <c r="GE19">
        <f t="shared" si="174"/>
        <v>1</v>
      </c>
      <c r="GF19">
        <f t="shared" si="175"/>
        <v>1</v>
      </c>
      <c r="GG19">
        <f t="shared" si="176"/>
        <v>1</v>
      </c>
      <c r="GH19">
        <f t="shared" si="177"/>
        <v>1</v>
      </c>
      <c r="GI19">
        <f t="shared" si="178"/>
        <v>1</v>
      </c>
      <c r="GJ19">
        <f t="shared" si="179"/>
        <v>1</v>
      </c>
      <c r="GK19">
        <f t="shared" si="180"/>
        <v>1</v>
      </c>
      <c r="GL19">
        <f t="shared" si="181"/>
        <v>1</v>
      </c>
      <c r="GM19">
        <f t="shared" si="182"/>
        <v>1</v>
      </c>
      <c r="GN19">
        <f t="shared" si="183"/>
        <v>1</v>
      </c>
      <c r="GO19">
        <f t="shared" si="184"/>
        <v>1</v>
      </c>
      <c r="GP19">
        <f t="shared" si="185"/>
        <v>1</v>
      </c>
      <c r="GQ19">
        <f t="shared" si="186"/>
        <v>1</v>
      </c>
      <c r="GR19">
        <f t="shared" si="187"/>
        <v>1</v>
      </c>
      <c r="GS19">
        <f t="shared" si="188"/>
        <v>1</v>
      </c>
      <c r="GT19">
        <f t="shared" si="189"/>
        <v>1</v>
      </c>
      <c r="GU19">
        <f t="shared" si="190"/>
        <v>1</v>
      </c>
      <c r="GX19" s="10"/>
    </row>
    <row r="20" spans="1:206" x14ac:dyDescent="0.3">
      <c r="A20" s="15" t="s">
        <v>41</v>
      </c>
      <c r="B20" s="80"/>
      <c r="C20" s="9">
        <v>3130420006</v>
      </c>
      <c r="D20" s="9" t="s">
        <v>358</v>
      </c>
      <c r="E20" s="9" t="s">
        <v>39</v>
      </c>
      <c r="F20" s="9" t="s">
        <v>35</v>
      </c>
      <c r="G20" s="9" t="s">
        <v>51</v>
      </c>
      <c r="H20" s="10">
        <v>44356</v>
      </c>
      <c r="I20" s="9">
        <f t="shared" si="191"/>
        <v>2021</v>
      </c>
      <c r="J20" s="9">
        <f t="shared" si="192"/>
        <v>6</v>
      </c>
      <c r="K20" s="9" t="str">
        <f t="shared" si="193"/>
        <v>2021_6</v>
      </c>
      <c r="L20">
        <f>MAX(0,VLOOKUP($K20,lookups!$A$1:$B$45,2,0)-12)</f>
        <v>2</v>
      </c>
      <c r="M20" s="40">
        <f t="shared" si="194"/>
        <v>44348</v>
      </c>
      <c r="N20" s="10" t="s">
        <v>37</v>
      </c>
      <c r="O20" t="str">
        <f ca="1">IF(OR($L20&gt;O$4,O$4&gt;$L20+23),"",OFFSET(Electric!$L11,0,-'Electric Calendarize'!$L20+'Electric Calendarize'!O$4+1))</f>
        <v/>
      </c>
      <c r="P20" t="str">
        <f ca="1">IF(OR($L20&gt;P$4,P$4&gt;$L20+23),"",OFFSET(Electric!$L11,0,-'Electric Calendarize'!$L20+'Electric Calendarize'!P$4+1))</f>
        <v/>
      </c>
      <c r="Q20">
        <f ca="1">IF(OR($L20&gt;Q$4,Q$4&gt;$L20+23),"",OFFSET(Electric!$L11,0,-'Electric Calendarize'!$L20+'Electric Calendarize'!Q$4+1))</f>
        <v>0</v>
      </c>
      <c r="R20">
        <f ca="1">IF(OR($L20&gt;R$4,R$4&gt;$L20+23),"",OFFSET(Electric!$L11,0,-'Electric Calendarize'!$L20+'Electric Calendarize'!R$4+1))</f>
        <v>0</v>
      </c>
      <c r="S20">
        <f ca="1">IF(OR($L20&gt;S$4,S$4&gt;$L20+23),"",OFFSET(Electric!$L11,0,-'Electric Calendarize'!$L20+'Electric Calendarize'!S$4+1))</f>
        <v>0</v>
      </c>
      <c r="T20">
        <f ca="1">IF(OR($L20&gt;T$4,T$4&gt;$L20+23),"",OFFSET(Electric!$L11,0,-'Electric Calendarize'!$L20+'Electric Calendarize'!T$4+1))</f>
        <v>0</v>
      </c>
      <c r="U20">
        <f ca="1">IF(OR($L20&gt;U$4,U$4&gt;$L20+23),"",OFFSET(Electric!$L11,0,-'Electric Calendarize'!$L20+'Electric Calendarize'!U$4+1))</f>
        <v>0</v>
      </c>
      <c r="V20">
        <f ca="1">IF(OR($L20&gt;V$4,V$4&gt;$L20+23),"",OFFSET(Electric!$L11,0,-'Electric Calendarize'!$L20+'Electric Calendarize'!V$4+1))</f>
        <v>104</v>
      </c>
      <c r="W20">
        <f ca="1">IF(OR($L20&gt;W$4,W$4&gt;$L20+23),"",OFFSET(Electric!$L11,0,-'Electric Calendarize'!$L20+'Electric Calendarize'!W$4+1))</f>
        <v>529</v>
      </c>
      <c r="X20">
        <f ca="1">IF(OR($L20&gt;X$4,X$4&gt;$L20+23),"",OFFSET(Electric!$L11,0,-'Electric Calendarize'!$L20+'Electric Calendarize'!X$4+1))</f>
        <v>617</v>
      </c>
      <c r="Y20">
        <f ca="1">IF(OR($L20&gt;Y$4,Y$4&gt;$L20+23),"",OFFSET(Electric!$L11,0,-'Electric Calendarize'!$L20+'Electric Calendarize'!Y$4+1))</f>
        <v>593</v>
      </c>
      <c r="Z20">
        <f ca="1">IF(OR($L20&gt;Z$4,Z$4&gt;$L20+23),"",OFFSET(Electric!$L11,0,-'Electric Calendarize'!$L20+'Electric Calendarize'!Z$4+1))</f>
        <v>564</v>
      </c>
      <c r="AA20">
        <f ca="1">IF(OR($L20&gt;AA$4,AA$4&gt;$L20+23),"",OFFSET(Electric!$L11,0,-'Electric Calendarize'!$L20+'Electric Calendarize'!AA$4+1))</f>
        <v>778</v>
      </c>
      <c r="AB20">
        <f ca="1">IF(OR($L20&gt;AB$4,AB$4&gt;$L20+23),"",OFFSET(Electric!$L11,0,-'Electric Calendarize'!$L20+'Electric Calendarize'!AB$4+1))</f>
        <v>741</v>
      </c>
      <c r="AC20">
        <f ca="1">IF(OR($L20&gt;AC$4,AC$4&gt;$L20+23),"",OFFSET(Electric!$L11,0,-'Electric Calendarize'!$L20+'Electric Calendarize'!AC$4+1))</f>
        <v>654</v>
      </c>
      <c r="AD20">
        <f ca="1">IF(OR($L20&gt;AD$4,AD$4&gt;$L20+23),"",OFFSET(Electric!$L11,0,-'Electric Calendarize'!$L20+'Electric Calendarize'!AD$4+1))</f>
        <v>704</v>
      </c>
      <c r="AE20">
        <f ca="1">IF(OR($L20&gt;AE$4,AE$4&gt;$L20+23),"",OFFSET(Electric!$L11,0,-'Electric Calendarize'!$L20+'Electric Calendarize'!AE$4+1))</f>
        <v>808</v>
      </c>
      <c r="AF20">
        <f ca="1">IF(OR($L20&gt;AF$4,AF$4&gt;$L20+23),"",OFFSET(Electric!$L11,0,-'Electric Calendarize'!$L20+'Electric Calendarize'!AF$4+1))</f>
        <v>872</v>
      </c>
      <c r="AG20">
        <f ca="1">IF(OR($L20&gt;AG$4,AG$4&gt;$L20+23),"",OFFSET(Electric!$L11,0,-'Electric Calendarize'!$L20+'Electric Calendarize'!AG$4+1))</f>
        <v>719</v>
      </c>
      <c r="AH20">
        <f ca="1">IF(OR($L20&gt;AH$4,AH$4&gt;$L20+23),"",OFFSET(Electric!$L11,0,-'Electric Calendarize'!$L20+'Electric Calendarize'!AH$4+1))</f>
        <v>1097</v>
      </c>
      <c r="AI20">
        <f ca="1">IF(OR($L20&gt;AI$4,AI$4&gt;$L20+23),"",OFFSET(Electric!$L11,0,-'Electric Calendarize'!$L20+'Electric Calendarize'!AI$4+1))</f>
        <v>1682</v>
      </c>
      <c r="AJ20">
        <f ca="1">IF(OR($L20&gt;AJ$4,AJ$4&gt;$L20+23),"",OFFSET(Electric!$L11,0,-'Electric Calendarize'!$L20+'Electric Calendarize'!AJ$4+1))</f>
        <v>2330</v>
      </c>
      <c r="AK20">
        <f ca="1">IF(OR($L20&gt;AK$4,AK$4&gt;$L20+23),"",OFFSET(Electric!$L11,0,-'Electric Calendarize'!$L20+'Electric Calendarize'!AK$4+1))</f>
        <v>1868</v>
      </c>
      <c r="AL20">
        <f ca="1">IF(OR($L20&gt;AL$4,AL$4&gt;$L20+23),"",OFFSET(Electric!$L11,0,-'Electric Calendarize'!$L20+'Electric Calendarize'!AL$4+1))</f>
        <v>1606</v>
      </c>
      <c r="AM20">
        <f ca="1">IF(OR($L20&gt;AM$4,AM$4&gt;$L20+23),"",OFFSET(Electric!$L11,0,-'Electric Calendarize'!$L20+'Electric Calendarize'!AM$4+1))</f>
        <v>1842</v>
      </c>
      <c r="AN20">
        <f ca="1">IF(OR($L20&gt;AN$4,AN$4&gt;$L20+23),"",OFFSET(Electric!$L11,0,-'Electric Calendarize'!$L20+'Electric Calendarize'!AN$4+1))</f>
        <v>1162</v>
      </c>
      <c r="AO20" t="str">
        <f ca="1">IF(OR($L20&gt;AO$4,AO$4&gt;$L20+23),"",OFFSET(Electric!$L11,0,-'Electric Calendarize'!$L20+'Electric Calendarize'!AO$4+1))</f>
        <v/>
      </c>
      <c r="AP20" t="str">
        <f ca="1">IF(OR($L20&gt;AP$4,AP$4&gt;$L20+23),"",OFFSET(Electric!$L11,0,-'Electric Calendarize'!$L20+'Electric Calendarize'!AP$4+1))</f>
        <v/>
      </c>
      <c r="AQ20" t="str">
        <f ca="1">IF(OR($L20&gt;AQ$4,AQ$4&gt;$L20+23),"",OFFSET(Electric!$L11,0,-'Electric Calendarize'!$L20+'Electric Calendarize'!AQ$4+1))</f>
        <v/>
      </c>
      <c r="AR20" t="str">
        <f ca="1">IF(OR($L20&gt;AR$4,AR$4&gt;$L20+23),"",OFFSET(Electric!$L11,0,-'Electric Calendarize'!$L20+'Electric Calendarize'!AR$4+1))</f>
        <v/>
      </c>
      <c r="AS20" t="str">
        <f ca="1">IF(OR($L20&gt;AS$4,AS$4&gt;$L20+23),"",OFFSET(Electric!$L11,0,-'Electric Calendarize'!$L20+'Electric Calendarize'!AS$4+1))</f>
        <v/>
      </c>
      <c r="AT20" t="str">
        <f ca="1">IF(OR($L20&gt;AT$4,AT$4&gt;$L20+23),"",OFFSET(Electric!$L11,0,-'Electric Calendarize'!$L20+'Electric Calendarize'!AT$4+1))</f>
        <v/>
      </c>
      <c r="AU20" t="str">
        <f ca="1">IF(OR($L20&gt;AU$4,AU$4&gt;$L20+23),"",OFFSET(Electric!$L11,0,-'Electric Calendarize'!$L20+'Electric Calendarize'!AU$4+1))</f>
        <v/>
      </c>
      <c r="AV20" t="str">
        <f ca="1">IF(OR($L20&gt;AV$4,AV$4&gt;$L20+23),"",OFFSET(Electric!$L11,0,-'Electric Calendarize'!$L20+'Electric Calendarize'!AV$4+1))</f>
        <v/>
      </c>
      <c r="AW20" t="str">
        <f ca="1">IF(OR($L20&gt;AW$4,AW$4&gt;$L20+23),"",OFFSET(Electric!$L11,0,-'Electric Calendarize'!$L20+'Electric Calendarize'!AW$4+1))</f>
        <v/>
      </c>
      <c r="AX20" t="str">
        <f ca="1">IF(OR($L20&gt;AX$4,AX$4&gt;$L20+23),"",OFFSET(Electric!$L11,0,-'Electric Calendarize'!$L20+'Electric Calendarize'!AX$4+1))</f>
        <v/>
      </c>
      <c r="AY20" t="str">
        <f ca="1">IF(OR($L20&gt;AY$4,AY$4&gt;$L20+23),"",OFFSET(Electric!$L11,0,-'Electric Calendarize'!$L20+'Electric Calendarize'!AY$4+1))</f>
        <v/>
      </c>
      <c r="AZ20" t="str">
        <f ca="1">IF(OR($L20&gt;AZ$4,AZ$4&gt;$L20+23),"",OFFSET(Electric!$L11,0,-'Electric Calendarize'!$L20+'Electric Calendarize'!AZ$4+1))</f>
        <v/>
      </c>
      <c r="BA20" t="str">
        <f ca="1">IF(OR($L20&gt;BA$4,BA$4&gt;$L20+23),"",OFFSET(Electric!$L11,0,-'Electric Calendarize'!$L20+'Electric Calendarize'!BA$4+1))</f>
        <v/>
      </c>
      <c r="BB20" t="str">
        <f ca="1">IF(OR($L20&gt;BB$4,BB$4&gt;$L20+23),"",OFFSET(Electric!$L11,0,-'Electric Calendarize'!$L20+'Electric Calendarize'!BB$4+1))</f>
        <v/>
      </c>
      <c r="BC20" t="str">
        <f ca="1">IF(OR($L20&gt;BC$4,BC$4&gt;$L20+23),"",OFFSET(Electric!$L11,0,-'Electric Calendarize'!$L20+'Electric Calendarize'!BC$4+1))</f>
        <v/>
      </c>
      <c r="BD20" t="str">
        <f ca="1">IF(OR($L20&gt;BD$4,BD$4&gt;$L20+23),"",OFFSET(Electric!$L11,0,-'Electric Calendarize'!$L20+'Electric Calendarize'!BD$4+1))</f>
        <v/>
      </c>
      <c r="BE20" t="str">
        <f ca="1">IF(OR($L20&gt;BE$4,BE$4&gt;$L20+23),"",OFFSET(Electric!$L11,0,-'Electric Calendarize'!$L20+'Electric Calendarize'!BE$4+1))</f>
        <v/>
      </c>
      <c r="BF20" t="str">
        <f ca="1">IF(OR($L20&gt;BF$4,BF$4&gt;$L20+23),"",OFFSET(Electric!$L11,0,-'Electric Calendarize'!$L20+'Electric Calendarize'!BF$4+1))</f>
        <v/>
      </c>
      <c r="BG20" t="str">
        <f ca="1">IF(OR($L20&gt;BG$4,BG$4&gt;$L20+23),"",OFFSET(Electric!$L11,0,-'Electric Calendarize'!$L20+'Electric Calendarize'!BG$4+1))</f>
        <v/>
      </c>
      <c r="BJ20" s="10" t="s">
        <v>37</v>
      </c>
      <c r="BK20">
        <f t="shared" si="195"/>
        <v>1</v>
      </c>
      <c r="BL20">
        <f t="shared" si="100"/>
        <v>0</v>
      </c>
      <c r="BM20">
        <f t="shared" si="101"/>
        <v>0</v>
      </c>
      <c r="BN20">
        <f t="shared" si="102"/>
        <v>0</v>
      </c>
      <c r="BO20">
        <f t="shared" si="103"/>
        <v>0</v>
      </c>
      <c r="BP20">
        <f t="shared" si="104"/>
        <v>0</v>
      </c>
      <c r="BQ20">
        <f t="shared" si="105"/>
        <v>0</v>
      </c>
      <c r="BR20">
        <f t="shared" si="106"/>
        <v>1</v>
      </c>
      <c r="BS20">
        <f t="shared" si="107"/>
        <v>1</v>
      </c>
      <c r="BT20">
        <f t="shared" si="108"/>
        <v>1</v>
      </c>
      <c r="BU20">
        <f t="shared" si="109"/>
        <v>1</v>
      </c>
      <c r="BV20">
        <f t="shared" si="110"/>
        <v>1</v>
      </c>
      <c r="BW20">
        <f t="shared" si="111"/>
        <v>1</v>
      </c>
      <c r="BX20">
        <f t="shared" si="112"/>
        <v>0</v>
      </c>
      <c r="BY20">
        <f t="shared" si="113"/>
        <v>0</v>
      </c>
      <c r="BZ20">
        <f t="shared" si="114"/>
        <v>0</v>
      </c>
      <c r="CA20">
        <f t="shared" si="115"/>
        <v>0</v>
      </c>
      <c r="CB20">
        <f t="shared" si="116"/>
        <v>0</v>
      </c>
      <c r="CC20">
        <f t="shared" si="117"/>
        <v>0</v>
      </c>
      <c r="CD20">
        <f t="shared" si="118"/>
        <v>1</v>
      </c>
      <c r="CE20">
        <f t="shared" si="119"/>
        <v>1</v>
      </c>
      <c r="CF20">
        <f t="shared" si="120"/>
        <v>1</v>
      </c>
      <c r="CG20">
        <f t="shared" si="121"/>
        <v>1</v>
      </c>
      <c r="CH20">
        <f t="shared" si="122"/>
        <v>1</v>
      </c>
      <c r="CI20">
        <f t="shared" si="123"/>
        <v>1</v>
      </c>
      <c r="CJ20">
        <f t="shared" si="124"/>
        <v>0</v>
      </c>
      <c r="CK20">
        <f t="shared" si="125"/>
        <v>0</v>
      </c>
      <c r="CL20">
        <f t="shared" si="126"/>
        <v>0</v>
      </c>
      <c r="CM20">
        <f t="shared" si="127"/>
        <v>0</v>
      </c>
      <c r="CN20">
        <f t="shared" si="128"/>
        <v>0</v>
      </c>
      <c r="CO20">
        <f t="shared" si="129"/>
        <v>0</v>
      </c>
      <c r="CP20">
        <f t="shared" si="130"/>
        <v>1</v>
      </c>
      <c r="CQ20">
        <f t="shared" si="131"/>
        <v>1</v>
      </c>
      <c r="CR20">
        <f t="shared" si="132"/>
        <v>1</v>
      </c>
      <c r="CS20">
        <f t="shared" si="133"/>
        <v>1</v>
      </c>
      <c r="CT20">
        <f t="shared" si="134"/>
        <v>1</v>
      </c>
      <c r="CU20">
        <f t="shared" si="135"/>
        <v>1</v>
      </c>
      <c r="CV20">
        <f t="shared" si="136"/>
        <v>0</v>
      </c>
      <c r="CW20">
        <f t="shared" si="137"/>
        <v>0</v>
      </c>
      <c r="CX20">
        <f t="shared" si="138"/>
        <v>0</v>
      </c>
      <c r="CY20">
        <f t="shared" si="139"/>
        <v>0</v>
      </c>
      <c r="CZ20">
        <f t="shared" si="140"/>
        <v>0</v>
      </c>
      <c r="DA20">
        <f t="shared" si="141"/>
        <v>0</v>
      </c>
      <c r="DB20">
        <f t="shared" si="142"/>
        <v>1</v>
      </c>
      <c r="DC20">
        <f t="shared" si="143"/>
        <v>1</v>
      </c>
      <c r="DF20" s="10" t="s">
        <v>37</v>
      </c>
      <c r="DG20" t="str">
        <f t="shared" si="196"/>
        <v>2021_6</v>
      </c>
      <c r="DH20" t="str">
        <f t="shared" si="144"/>
        <v>2021_6</v>
      </c>
      <c r="DI20" t="str">
        <f t="shared" si="144"/>
        <v>2021_6</v>
      </c>
      <c r="DJ20" t="str">
        <f t="shared" si="144"/>
        <v>2021_6</v>
      </c>
      <c r="DK20" t="str">
        <f t="shared" si="144"/>
        <v>2021_6</v>
      </c>
      <c r="DL20" t="str">
        <f t="shared" si="144"/>
        <v>2021_6</v>
      </c>
      <c r="DM20" t="str">
        <f t="shared" si="144"/>
        <v>2021_6</v>
      </c>
      <c r="DN20" t="str">
        <f t="shared" si="144"/>
        <v>2021_6</v>
      </c>
      <c r="DO20" t="str">
        <f t="shared" si="144"/>
        <v>2021_6</v>
      </c>
      <c r="DP20" t="str">
        <f t="shared" si="144"/>
        <v>2021_6</v>
      </c>
      <c r="DQ20" t="str">
        <f t="shared" si="144"/>
        <v>2021_6</v>
      </c>
      <c r="DR20" t="str">
        <f t="shared" si="144"/>
        <v>2021_6</v>
      </c>
      <c r="DS20" t="str">
        <f t="shared" si="144"/>
        <v>2021_6</v>
      </c>
      <c r="DT20" t="str">
        <f t="shared" si="144"/>
        <v>2021_6</v>
      </c>
      <c r="DU20" t="str">
        <f t="shared" si="144"/>
        <v>2021_6</v>
      </c>
      <c r="DV20" t="str">
        <f t="shared" si="144"/>
        <v>2021_6</v>
      </c>
      <c r="DW20" t="str">
        <f t="shared" si="144"/>
        <v>2021_6</v>
      </c>
      <c r="DX20" t="str">
        <f t="shared" si="145"/>
        <v>2021_6</v>
      </c>
      <c r="DY20" t="str">
        <f t="shared" si="145"/>
        <v>2021_6</v>
      </c>
      <c r="DZ20" t="str">
        <f t="shared" si="145"/>
        <v>2021_6</v>
      </c>
      <c r="EA20" t="str">
        <f t="shared" si="145"/>
        <v>2021_6</v>
      </c>
      <c r="EB20" t="str">
        <f t="shared" si="145"/>
        <v>2021_6</v>
      </c>
      <c r="EC20" t="str">
        <f t="shared" si="145"/>
        <v>2021_6</v>
      </c>
      <c r="ED20" t="str">
        <f t="shared" si="145"/>
        <v>2021_6</v>
      </c>
      <c r="EE20" t="str">
        <f t="shared" si="145"/>
        <v>2021_6</v>
      </c>
      <c r="EF20" t="str">
        <f t="shared" si="145"/>
        <v>2021_6</v>
      </c>
      <c r="EG20" t="str">
        <f t="shared" si="145"/>
        <v>2021_6</v>
      </c>
      <c r="EH20" t="str">
        <f t="shared" si="145"/>
        <v>2021_6</v>
      </c>
      <c r="EI20" t="str">
        <f t="shared" si="145"/>
        <v>2021_6</v>
      </c>
      <c r="EJ20" t="str">
        <f t="shared" si="145"/>
        <v>2021_6</v>
      </c>
      <c r="EK20" t="str">
        <f t="shared" si="145"/>
        <v>2021_6</v>
      </c>
      <c r="EL20" t="str">
        <f t="shared" si="145"/>
        <v>2021_6</v>
      </c>
      <c r="EM20" t="str">
        <f t="shared" si="145"/>
        <v>2021_6</v>
      </c>
      <c r="EN20" t="str">
        <f t="shared" si="146"/>
        <v>2021_6</v>
      </c>
      <c r="EO20" t="str">
        <f t="shared" si="146"/>
        <v>2021_6</v>
      </c>
      <c r="EP20" t="str">
        <f t="shared" si="146"/>
        <v>2021_6</v>
      </c>
      <c r="EQ20" t="str">
        <f t="shared" si="146"/>
        <v>2021_6</v>
      </c>
      <c r="ER20" t="str">
        <f t="shared" si="146"/>
        <v>2021_6</v>
      </c>
      <c r="ES20" t="str">
        <f t="shared" si="146"/>
        <v>2021_6</v>
      </c>
      <c r="ET20" t="str">
        <f t="shared" si="146"/>
        <v>2021_6</v>
      </c>
      <c r="EU20" t="str">
        <f t="shared" si="146"/>
        <v>2021_6</v>
      </c>
      <c r="EV20" t="str">
        <f t="shared" si="146"/>
        <v>2021_6</v>
      </c>
      <c r="EW20" t="str">
        <f t="shared" si="146"/>
        <v>2021_6</v>
      </c>
      <c r="EX20" t="str">
        <f t="shared" si="146"/>
        <v>2021_6</v>
      </c>
      <c r="EY20" t="str">
        <f t="shared" si="146"/>
        <v>2021_6</v>
      </c>
      <c r="FB20" s="10" t="s">
        <v>37</v>
      </c>
      <c r="FC20">
        <f t="shared" si="197"/>
        <v>0</v>
      </c>
      <c r="FD20">
        <f t="shared" si="147"/>
        <v>0</v>
      </c>
      <c r="FE20">
        <f t="shared" si="148"/>
        <v>0</v>
      </c>
      <c r="FF20">
        <f t="shared" si="149"/>
        <v>0</v>
      </c>
      <c r="FG20">
        <f t="shared" si="150"/>
        <v>0</v>
      </c>
      <c r="FH20">
        <f t="shared" si="151"/>
        <v>0</v>
      </c>
      <c r="FI20">
        <f t="shared" si="152"/>
        <v>0</v>
      </c>
      <c r="FJ20">
        <f t="shared" si="153"/>
        <v>0</v>
      </c>
      <c r="FK20">
        <f t="shared" si="154"/>
        <v>0</v>
      </c>
      <c r="FL20">
        <f t="shared" si="155"/>
        <v>0</v>
      </c>
      <c r="FM20">
        <f t="shared" si="156"/>
        <v>0</v>
      </c>
      <c r="FN20">
        <f t="shared" si="157"/>
        <v>0</v>
      </c>
      <c r="FO20">
        <f t="shared" si="158"/>
        <v>0</v>
      </c>
      <c r="FP20">
        <f t="shared" si="159"/>
        <v>0</v>
      </c>
      <c r="FQ20">
        <f t="shared" si="160"/>
        <v>1</v>
      </c>
      <c r="FR20">
        <f t="shared" si="161"/>
        <v>1</v>
      </c>
      <c r="FS20">
        <f t="shared" si="162"/>
        <v>1</v>
      </c>
      <c r="FT20">
        <f t="shared" si="163"/>
        <v>1</v>
      </c>
      <c r="FU20">
        <f t="shared" si="164"/>
        <v>1</v>
      </c>
      <c r="FV20">
        <f t="shared" si="165"/>
        <v>1</v>
      </c>
      <c r="FW20">
        <f t="shared" si="166"/>
        <v>1</v>
      </c>
      <c r="FX20">
        <f t="shared" si="167"/>
        <v>1</v>
      </c>
      <c r="FY20">
        <f t="shared" si="168"/>
        <v>1</v>
      </c>
      <c r="FZ20">
        <f t="shared" si="169"/>
        <v>1</v>
      </c>
      <c r="GA20">
        <f t="shared" si="170"/>
        <v>1</v>
      </c>
      <c r="GB20">
        <f t="shared" si="171"/>
        <v>1</v>
      </c>
      <c r="GC20">
        <f t="shared" si="172"/>
        <v>1</v>
      </c>
      <c r="GD20">
        <f t="shared" si="173"/>
        <v>1</v>
      </c>
      <c r="GE20">
        <f t="shared" si="174"/>
        <v>1</v>
      </c>
      <c r="GF20">
        <f t="shared" si="175"/>
        <v>1</v>
      </c>
      <c r="GG20">
        <f t="shared" si="176"/>
        <v>1</v>
      </c>
      <c r="GH20">
        <f t="shared" si="177"/>
        <v>1</v>
      </c>
      <c r="GI20">
        <f t="shared" si="178"/>
        <v>1</v>
      </c>
      <c r="GJ20">
        <f t="shared" si="179"/>
        <v>1</v>
      </c>
      <c r="GK20">
        <f t="shared" si="180"/>
        <v>1</v>
      </c>
      <c r="GL20">
        <f t="shared" si="181"/>
        <v>1</v>
      </c>
      <c r="GM20">
        <f t="shared" si="182"/>
        <v>1</v>
      </c>
      <c r="GN20">
        <f t="shared" si="183"/>
        <v>1</v>
      </c>
      <c r="GO20">
        <f t="shared" si="184"/>
        <v>1</v>
      </c>
      <c r="GP20">
        <f t="shared" si="185"/>
        <v>1</v>
      </c>
      <c r="GQ20">
        <f t="shared" si="186"/>
        <v>1</v>
      </c>
      <c r="GR20">
        <f t="shared" si="187"/>
        <v>1</v>
      </c>
      <c r="GS20">
        <f t="shared" si="188"/>
        <v>1</v>
      </c>
      <c r="GT20">
        <f t="shared" si="189"/>
        <v>1</v>
      </c>
      <c r="GU20">
        <f t="shared" si="190"/>
        <v>1</v>
      </c>
      <c r="GX20" s="10"/>
    </row>
    <row r="21" spans="1:206" x14ac:dyDescent="0.3">
      <c r="A21" s="9" t="s">
        <v>41</v>
      </c>
      <c r="B21" s="80"/>
      <c r="C21" s="9">
        <v>3012142001</v>
      </c>
      <c r="D21" s="9" t="s">
        <v>359</v>
      </c>
      <c r="E21" s="9" t="s">
        <v>34</v>
      </c>
      <c r="F21" s="9" t="s">
        <v>35</v>
      </c>
      <c r="G21" s="9" t="s">
        <v>52</v>
      </c>
      <c r="H21" s="10">
        <v>44362</v>
      </c>
      <c r="I21" s="9">
        <f t="shared" si="191"/>
        <v>2021</v>
      </c>
      <c r="J21" s="9">
        <f t="shared" si="192"/>
        <v>6</v>
      </c>
      <c r="K21" s="9" t="str">
        <f t="shared" si="193"/>
        <v>2021_6</v>
      </c>
      <c r="L21">
        <f>MAX(0,VLOOKUP($K21,lookups!$A$1:$B$45,2,0)-12)</f>
        <v>2</v>
      </c>
      <c r="M21" s="40">
        <f t="shared" si="194"/>
        <v>44348</v>
      </c>
      <c r="N21" s="10" t="s">
        <v>37</v>
      </c>
      <c r="O21" t="str">
        <f ca="1">IF(OR($L21&gt;O$4,O$4&gt;$L21+23),"",OFFSET(Electric!$L12,0,-'Electric Calendarize'!$L21+'Electric Calendarize'!O$4+1))</f>
        <v/>
      </c>
      <c r="P21" t="str">
        <f ca="1">IF(OR($L21&gt;P$4,P$4&gt;$L21+23),"",OFFSET(Electric!$L12,0,-'Electric Calendarize'!$L21+'Electric Calendarize'!P$4+1))</f>
        <v/>
      </c>
      <c r="Q21">
        <f ca="1">IF(OR($L21&gt;Q$4,Q$4&gt;$L21+23),"",OFFSET(Electric!$L12,0,-'Electric Calendarize'!$L21+'Electric Calendarize'!Q$4+1))</f>
        <v>0</v>
      </c>
      <c r="R21">
        <f ca="1">IF(OR($L21&gt;R$4,R$4&gt;$L21+23),"",OFFSET(Electric!$L12,0,-'Electric Calendarize'!$L21+'Electric Calendarize'!R$4+1))</f>
        <v>0</v>
      </c>
      <c r="S21">
        <f ca="1">IF(OR($L21&gt;S$4,S$4&gt;$L21+23),"",OFFSET(Electric!$L12,0,-'Electric Calendarize'!$L21+'Electric Calendarize'!S$4+1))</f>
        <v>0</v>
      </c>
      <c r="T21">
        <f ca="1">IF(OR($L21&gt;T$4,T$4&gt;$L21+23),"",OFFSET(Electric!$L12,0,-'Electric Calendarize'!$L21+'Electric Calendarize'!T$4+1))</f>
        <v>0</v>
      </c>
      <c r="U21">
        <f ca="1">IF(OR($L21&gt;U$4,U$4&gt;$L21+23),"",OFFSET(Electric!$L12,0,-'Electric Calendarize'!$L21+'Electric Calendarize'!U$4+1))</f>
        <v>126</v>
      </c>
      <c r="V21">
        <f ca="1">IF(OR($L21&gt;V$4,V$4&gt;$L21+23),"",OFFSET(Electric!$L12,0,-'Electric Calendarize'!$L21+'Electric Calendarize'!V$4+1))</f>
        <v>620</v>
      </c>
      <c r="W21">
        <f ca="1">IF(OR($L21&gt;W$4,W$4&gt;$L21+23),"",OFFSET(Electric!$L12,0,-'Electric Calendarize'!$L21+'Electric Calendarize'!W$4+1))</f>
        <v>672</v>
      </c>
      <c r="X21">
        <f ca="1">IF(OR($L21&gt;X$4,X$4&gt;$L21+23),"",OFFSET(Electric!$L12,0,-'Electric Calendarize'!$L21+'Electric Calendarize'!X$4+1))</f>
        <v>720</v>
      </c>
      <c r="Y21">
        <f ca="1">IF(OR($L21&gt;Y$4,Y$4&gt;$L21+23),"",OFFSET(Electric!$L12,0,-'Electric Calendarize'!$L21+'Electric Calendarize'!Y$4+1))</f>
        <v>714</v>
      </c>
      <c r="Z21">
        <f ca="1">IF(OR($L21&gt;Z$4,Z$4&gt;$L21+23),"",OFFSET(Electric!$L12,0,-'Electric Calendarize'!$L21+'Electric Calendarize'!Z$4+1))</f>
        <v>750</v>
      </c>
      <c r="AA21">
        <f ca="1">IF(OR($L21&gt;AA$4,AA$4&gt;$L21+23),"",OFFSET(Electric!$L12,0,-'Electric Calendarize'!$L21+'Electric Calendarize'!AA$4+1))</f>
        <v>611</v>
      </c>
      <c r="AB21">
        <f ca="1">IF(OR($L21&gt;AB$4,AB$4&gt;$L21+23),"",OFFSET(Electric!$L12,0,-'Electric Calendarize'!$L21+'Electric Calendarize'!AB$4+1))</f>
        <v>748</v>
      </c>
      <c r="AC21">
        <f ca="1">IF(OR($L21&gt;AC$4,AC$4&gt;$L21+23),"",OFFSET(Electric!$L12,0,-'Electric Calendarize'!$L21+'Electric Calendarize'!AC$4+1))</f>
        <v>773</v>
      </c>
      <c r="AD21">
        <f ca="1">IF(OR($L21&gt;AD$4,AD$4&gt;$L21+23),"",OFFSET(Electric!$L12,0,-'Electric Calendarize'!$L21+'Electric Calendarize'!AD$4+1))</f>
        <v>821</v>
      </c>
      <c r="AE21">
        <f ca="1">IF(OR($L21&gt;AE$4,AE$4&gt;$L21+23),"",OFFSET(Electric!$L12,0,-'Electric Calendarize'!$L21+'Electric Calendarize'!AE$4+1))</f>
        <v>665</v>
      </c>
      <c r="AF21">
        <f ca="1">IF(OR($L21&gt;AF$4,AF$4&gt;$L21+23),"",OFFSET(Electric!$L12,0,-'Electric Calendarize'!$L21+'Electric Calendarize'!AF$4+1))</f>
        <v>1297</v>
      </c>
      <c r="AG21">
        <f ca="1">IF(OR($L21&gt;AG$4,AG$4&gt;$L21+23),"",OFFSET(Electric!$L12,0,-'Electric Calendarize'!$L21+'Electric Calendarize'!AG$4+1))</f>
        <v>982</v>
      </c>
      <c r="AH21">
        <f ca="1">IF(OR($L21&gt;AH$4,AH$4&gt;$L21+23),"",OFFSET(Electric!$L12,0,-'Electric Calendarize'!$L21+'Electric Calendarize'!AH$4+1))</f>
        <v>863</v>
      </c>
      <c r="AI21">
        <f ca="1">IF(OR($L21&gt;AI$4,AI$4&gt;$L21+23),"",OFFSET(Electric!$L12,0,-'Electric Calendarize'!$L21+'Electric Calendarize'!AI$4+1))</f>
        <v>1286</v>
      </c>
      <c r="AJ21">
        <f ca="1">IF(OR($L21&gt;AJ$4,AJ$4&gt;$L21+23),"",OFFSET(Electric!$L12,0,-'Electric Calendarize'!$L21+'Electric Calendarize'!AJ$4+1))</f>
        <v>1221</v>
      </c>
      <c r="AK21">
        <f ca="1">IF(OR($L21&gt;AK$4,AK$4&gt;$L21+23),"",OFFSET(Electric!$L12,0,-'Electric Calendarize'!$L21+'Electric Calendarize'!AK$4+1))</f>
        <v>1168</v>
      </c>
      <c r="AL21">
        <f ca="1">IF(OR($L21&gt;AL$4,AL$4&gt;$L21+23),"",OFFSET(Electric!$L12,0,-'Electric Calendarize'!$L21+'Electric Calendarize'!AL$4+1))</f>
        <v>1301</v>
      </c>
      <c r="AM21">
        <f ca="1">IF(OR($L21&gt;AM$4,AM$4&gt;$L21+23),"",OFFSET(Electric!$L12,0,-'Electric Calendarize'!$L21+'Electric Calendarize'!AM$4+1))</f>
        <v>911</v>
      </c>
      <c r="AN21">
        <f ca="1">IF(OR($L21&gt;AN$4,AN$4&gt;$L21+23),"",OFFSET(Electric!$L12,0,-'Electric Calendarize'!$L21+'Electric Calendarize'!AN$4+1))</f>
        <v>914</v>
      </c>
      <c r="AO21" t="str">
        <f ca="1">IF(OR($L21&gt;AO$4,AO$4&gt;$L21+23),"",OFFSET(Electric!$L12,0,-'Electric Calendarize'!$L21+'Electric Calendarize'!AO$4+1))</f>
        <v/>
      </c>
      <c r="AP21" t="str">
        <f ca="1">IF(OR($L21&gt;AP$4,AP$4&gt;$L21+23),"",OFFSET(Electric!$L12,0,-'Electric Calendarize'!$L21+'Electric Calendarize'!AP$4+1))</f>
        <v/>
      </c>
      <c r="AQ21" t="str">
        <f ca="1">IF(OR($L21&gt;AQ$4,AQ$4&gt;$L21+23),"",OFFSET(Electric!$L12,0,-'Electric Calendarize'!$L21+'Electric Calendarize'!AQ$4+1))</f>
        <v/>
      </c>
      <c r="AR21" t="str">
        <f ca="1">IF(OR($L21&gt;AR$4,AR$4&gt;$L21+23),"",OFFSET(Electric!$L12,0,-'Electric Calendarize'!$L21+'Electric Calendarize'!AR$4+1))</f>
        <v/>
      </c>
      <c r="AS21" t="str">
        <f ca="1">IF(OR($L21&gt;AS$4,AS$4&gt;$L21+23),"",OFFSET(Electric!$L12,0,-'Electric Calendarize'!$L21+'Electric Calendarize'!AS$4+1))</f>
        <v/>
      </c>
      <c r="AT21" t="str">
        <f ca="1">IF(OR($L21&gt;AT$4,AT$4&gt;$L21+23),"",OFFSET(Electric!$L12,0,-'Electric Calendarize'!$L21+'Electric Calendarize'!AT$4+1))</f>
        <v/>
      </c>
      <c r="AU21" t="str">
        <f ca="1">IF(OR($L21&gt;AU$4,AU$4&gt;$L21+23),"",OFFSET(Electric!$L12,0,-'Electric Calendarize'!$L21+'Electric Calendarize'!AU$4+1))</f>
        <v/>
      </c>
      <c r="AV21" t="str">
        <f ca="1">IF(OR($L21&gt;AV$4,AV$4&gt;$L21+23),"",OFFSET(Electric!$L12,0,-'Electric Calendarize'!$L21+'Electric Calendarize'!AV$4+1))</f>
        <v/>
      </c>
      <c r="AW21" t="str">
        <f ca="1">IF(OR($L21&gt;AW$4,AW$4&gt;$L21+23),"",OFFSET(Electric!$L12,0,-'Electric Calendarize'!$L21+'Electric Calendarize'!AW$4+1))</f>
        <v/>
      </c>
      <c r="AX21" t="str">
        <f ca="1">IF(OR($L21&gt;AX$4,AX$4&gt;$L21+23),"",OFFSET(Electric!$L12,0,-'Electric Calendarize'!$L21+'Electric Calendarize'!AX$4+1))</f>
        <v/>
      </c>
      <c r="AY21" t="str">
        <f ca="1">IF(OR($L21&gt;AY$4,AY$4&gt;$L21+23),"",OFFSET(Electric!$L12,0,-'Electric Calendarize'!$L21+'Electric Calendarize'!AY$4+1))</f>
        <v/>
      </c>
      <c r="AZ21" t="str">
        <f ca="1">IF(OR($L21&gt;AZ$4,AZ$4&gt;$L21+23),"",OFFSET(Electric!$L12,0,-'Electric Calendarize'!$L21+'Electric Calendarize'!AZ$4+1))</f>
        <v/>
      </c>
      <c r="BA21" t="str">
        <f ca="1">IF(OR($L21&gt;BA$4,BA$4&gt;$L21+23),"",OFFSET(Electric!$L12,0,-'Electric Calendarize'!$L21+'Electric Calendarize'!BA$4+1))</f>
        <v/>
      </c>
      <c r="BB21" t="str">
        <f ca="1">IF(OR($L21&gt;BB$4,BB$4&gt;$L21+23),"",OFFSET(Electric!$L12,0,-'Electric Calendarize'!$L21+'Electric Calendarize'!BB$4+1))</f>
        <v/>
      </c>
      <c r="BC21" t="str">
        <f ca="1">IF(OR($L21&gt;BC$4,BC$4&gt;$L21+23),"",OFFSET(Electric!$L12,0,-'Electric Calendarize'!$L21+'Electric Calendarize'!BC$4+1))</f>
        <v/>
      </c>
      <c r="BD21" t="str">
        <f ca="1">IF(OR($L21&gt;BD$4,BD$4&gt;$L21+23),"",OFFSET(Electric!$L12,0,-'Electric Calendarize'!$L21+'Electric Calendarize'!BD$4+1))</f>
        <v/>
      </c>
      <c r="BE21" t="str">
        <f ca="1">IF(OR($L21&gt;BE$4,BE$4&gt;$L21+23),"",OFFSET(Electric!$L12,0,-'Electric Calendarize'!$L21+'Electric Calendarize'!BE$4+1))</f>
        <v/>
      </c>
      <c r="BF21" t="str">
        <f ca="1">IF(OR($L21&gt;BF$4,BF$4&gt;$L21+23),"",OFFSET(Electric!$L12,0,-'Electric Calendarize'!$L21+'Electric Calendarize'!BF$4+1))</f>
        <v/>
      </c>
      <c r="BG21" t="str">
        <f ca="1">IF(OR($L21&gt;BG$4,BG$4&gt;$L21+23),"",OFFSET(Electric!$L12,0,-'Electric Calendarize'!$L21+'Electric Calendarize'!BG$4+1))</f>
        <v/>
      </c>
      <c r="BJ21" s="10" t="s">
        <v>37</v>
      </c>
      <c r="BK21">
        <f t="shared" si="195"/>
        <v>1</v>
      </c>
      <c r="BL21">
        <f t="shared" si="100"/>
        <v>0</v>
      </c>
      <c r="BM21">
        <f t="shared" si="101"/>
        <v>0</v>
      </c>
      <c r="BN21">
        <f t="shared" si="102"/>
        <v>0</v>
      </c>
      <c r="BO21">
        <f t="shared" si="103"/>
        <v>0</v>
      </c>
      <c r="BP21">
        <f t="shared" si="104"/>
        <v>0</v>
      </c>
      <c r="BQ21">
        <f t="shared" si="105"/>
        <v>0</v>
      </c>
      <c r="BR21">
        <f t="shared" si="106"/>
        <v>1</v>
      </c>
      <c r="BS21">
        <f t="shared" si="107"/>
        <v>1</v>
      </c>
      <c r="BT21">
        <f t="shared" si="108"/>
        <v>1</v>
      </c>
      <c r="BU21">
        <f t="shared" si="109"/>
        <v>1</v>
      </c>
      <c r="BV21">
        <f t="shared" si="110"/>
        <v>1</v>
      </c>
      <c r="BW21">
        <f t="shared" si="111"/>
        <v>1</v>
      </c>
      <c r="BX21">
        <f t="shared" si="112"/>
        <v>0</v>
      </c>
      <c r="BY21">
        <f t="shared" si="113"/>
        <v>0</v>
      </c>
      <c r="BZ21">
        <f t="shared" si="114"/>
        <v>0</v>
      </c>
      <c r="CA21">
        <f t="shared" si="115"/>
        <v>0</v>
      </c>
      <c r="CB21">
        <f t="shared" si="116"/>
        <v>0</v>
      </c>
      <c r="CC21">
        <f t="shared" si="117"/>
        <v>0</v>
      </c>
      <c r="CD21">
        <f t="shared" si="118"/>
        <v>1</v>
      </c>
      <c r="CE21">
        <f t="shared" si="119"/>
        <v>1</v>
      </c>
      <c r="CF21">
        <f t="shared" si="120"/>
        <v>1</v>
      </c>
      <c r="CG21">
        <f t="shared" si="121"/>
        <v>1</v>
      </c>
      <c r="CH21">
        <f t="shared" si="122"/>
        <v>1</v>
      </c>
      <c r="CI21">
        <f t="shared" si="123"/>
        <v>1</v>
      </c>
      <c r="CJ21">
        <f t="shared" si="124"/>
        <v>0</v>
      </c>
      <c r="CK21">
        <f t="shared" si="125"/>
        <v>0</v>
      </c>
      <c r="CL21">
        <f t="shared" si="126"/>
        <v>0</v>
      </c>
      <c r="CM21">
        <f t="shared" si="127"/>
        <v>0</v>
      </c>
      <c r="CN21">
        <f t="shared" si="128"/>
        <v>0</v>
      </c>
      <c r="CO21">
        <f t="shared" si="129"/>
        <v>0</v>
      </c>
      <c r="CP21">
        <f t="shared" si="130"/>
        <v>1</v>
      </c>
      <c r="CQ21">
        <f t="shared" si="131"/>
        <v>1</v>
      </c>
      <c r="CR21">
        <f t="shared" si="132"/>
        <v>1</v>
      </c>
      <c r="CS21">
        <f t="shared" si="133"/>
        <v>1</v>
      </c>
      <c r="CT21">
        <f t="shared" si="134"/>
        <v>1</v>
      </c>
      <c r="CU21">
        <f t="shared" si="135"/>
        <v>1</v>
      </c>
      <c r="CV21">
        <f t="shared" si="136"/>
        <v>0</v>
      </c>
      <c r="CW21">
        <f t="shared" si="137"/>
        <v>0</v>
      </c>
      <c r="CX21">
        <f t="shared" si="138"/>
        <v>0</v>
      </c>
      <c r="CY21">
        <f t="shared" si="139"/>
        <v>0</v>
      </c>
      <c r="CZ21">
        <f t="shared" si="140"/>
        <v>0</v>
      </c>
      <c r="DA21">
        <f t="shared" si="141"/>
        <v>0</v>
      </c>
      <c r="DB21">
        <f t="shared" si="142"/>
        <v>1</v>
      </c>
      <c r="DC21">
        <f t="shared" si="143"/>
        <v>1</v>
      </c>
      <c r="DF21" s="10" t="s">
        <v>37</v>
      </c>
      <c r="DG21" t="str">
        <f t="shared" si="196"/>
        <v>2021_6</v>
      </c>
      <c r="DH21" t="str">
        <f t="shared" si="144"/>
        <v>2021_6</v>
      </c>
      <c r="DI21" t="str">
        <f t="shared" si="144"/>
        <v>2021_6</v>
      </c>
      <c r="DJ21" t="str">
        <f t="shared" si="144"/>
        <v>2021_6</v>
      </c>
      <c r="DK21" t="str">
        <f t="shared" si="144"/>
        <v>2021_6</v>
      </c>
      <c r="DL21" t="str">
        <f t="shared" si="144"/>
        <v>2021_6</v>
      </c>
      <c r="DM21" t="str">
        <f t="shared" si="144"/>
        <v>2021_6</v>
      </c>
      <c r="DN21" t="str">
        <f t="shared" si="144"/>
        <v>2021_6</v>
      </c>
      <c r="DO21" t="str">
        <f t="shared" si="144"/>
        <v>2021_6</v>
      </c>
      <c r="DP21" t="str">
        <f t="shared" si="144"/>
        <v>2021_6</v>
      </c>
      <c r="DQ21" t="str">
        <f t="shared" si="144"/>
        <v>2021_6</v>
      </c>
      <c r="DR21" t="str">
        <f t="shared" si="144"/>
        <v>2021_6</v>
      </c>
      <c r="DS21" t="str">
        <f t="shared" si="144"/>
        <v>2021_6</v>
      </c>
      <c r="DT21" t="str">
        <f t="shared" si="144"/>
        <v>2021_6</v>
      </c>
      <c r="DU21" t="str">
        <f t="shared" si="144"/>
        <v>2021_6</v>
      </c>
      <c r="DV21" t="str">
        <f t="shared" si="144"/>
        <v>2021_6</v>
      </c>
      <c r="DW21" t="str">
        <f t="shared" si="144"/>
        <v>2021_6</v>
      </c>
      <c r="DX21" t="str">
        <f t="shared" si="145"/>
        <v>2021_6</v>
      </c>
      <c r="DY21" t="str">
        <f t="shared" si="145"/>
        <v>2021_6</v>
      </c>
      <c r="DZ21" t="str">
        <f t="shared" si="145"/>
        <v>2021_6</v>
      </c>
      <c r="EA21" t="str">
        <f t="shared" si="145"/>
        <v>2021_6</v>
      </c>
      <c r="EB21" t="str">
        <f t="shared" si="145"/>
        <v>2021_6</v>
      </c>
      <c r="EC21" t="str">
        <f t="shared" si="145"/>
        <v>2021_6</v>
      </c>
      <c r="ED21" t="str">
        <f t="shared" si="145"/>
        <v>2021_6</v>
      </c>
      <c r="EE21" t="str">
        <f t="shared" si="145"/>
        <v>2021_6</v>
      </c>
      <c r="EF21" t="str">
        <f t="shared" si="145"/>
        <v>2021_6</v>
      </c>
      <c r="EG21" t="str">
        <f t="shared" si="145"/>
        <v>2021_6</v>
      </c>
      <c r="EH21" t="str">
        <f t="shared" si="145"/>
        <v>2021_6</v>
      </c>
      <c r="EI21" t="str">
        <f t="shared" si="145"/>
        <v>2021_6</v>
      </c>
      <c r="EJ21" t="str">
        <f t="shared" si="145"/>
        <v>2021_6</v>
      </c>
      <c r="EK21" t="str">
        <f t="shared" si="145"/>
        <v>2021_6</v>
      </c>
      <c r="EL21" t="str">
        <f t="shared" si="145"/>
        <v>2021_6</v>
      </c>
      <c r="EM21" t="str">
        <f t="shared" si="145"/>
        <v>2021_6</v>
      </c>
      <c r="EN21" t="str">
        <f t="shared" si="146"/>
        <v>2021_6</v>
      </c>
      <c r="EO21" t="str">
        <f t="shared" si="146"/>
        <v>2021_6</v>
      </c>
      <c r="EP21" t="str">
        <f t="shared" si="146"/>
        <v>2021_6</v>
      </c>
      <c r="EQ21" t="str">
        <f t="shared" si="146"/>
        <v>2021_6</v>
      </c>
      <c r="ER21" t="str">
        <f t="shared" si="146"/>
        <v>2021_6</v>
      </c>
      <c r="ES21" t="str">
        <f t="shared" si="146"/>
        <v>2021_6</v>
      </c>
      <c r="ET21" t="str">
        <f t="shared" si="146"/>
        <v>2021_6</v>
      </c>
      <c r="EU21" t="str">
        <f t="shared" si="146"/>
        <v>2021_6</v>
      </c>
      <c r="EV21" t="str">
        <f t="shared" si="146"/>
        <v>2021_6</v>
      </c>
      <c r="EW21" t="str">
        <f t="shared" si="146"/>
        <v>2021_6</v>
      </c>
      <c r="EX21" t="str">
        <f t="shared" si="146"/>
        <v>2021_6</v>
      </c>
      <c r="EY21" t="str">
        <f t="shared" si="146"/>
        <v>2021_6</v>
      </c>
      <c r="FB21" s="10" t="s">
        <v>37</v>
      </c>
      <c r="FC21">
        <f t="shared" si="197"/>
        <v>0</v>
      </c>
      <c r="FD21">
        <f t="shared" si="147"/>
        <v>0</v>
      </c>
      <c r="FE21">
        <f t="shared" si="148"/>
        <v>0</v>
      </c>
      <c r="FF21">
        <f t="shared" si="149"/>
        <v>0</v>
      </c>
      <c r="FG21">
        <f t="shared" si="150"/>
        <v>0</v>
      </c>
      <c r="FH21">
        <f t="shared" si="151"/>
        <v>0</v>
      </c>
      <c r="FI21">
        <f t="shared" si="152"/>
        <v>0</v>
      </c>
      <c r="FJ21">
        <f t="shared" si="153"/>
        <v>0</v>
      </c>
      <c r="FK21">
        <f t="shared" si="154"/>
        <v>0</v>
      </c>
      <c r="FL21">
        <f t="shared" si="155"/>
        <v>0</v>
      </c>
      <c r="FM21">
        <f t="shared" si="156"/>
        <v>0</v>
      </c>
      <c r="FN21">
        <f t="shared" si="157"/>
        <v>0</v>
      </c>
      <c r="FO21">
        <f t="shared" si="158"/>
        <v>0</v>
      </c>
      <c r="FP21">
        <f t="shared" si="159"/>
        <v>0</v>
      </c>
      <c r="FQ21">
        <f t="shared" si="160"/>
        <v>1</v>
      </c>
      <c r="FR21">
        <f t="shared" si="161"/>
        <v>1</v>
      </c>
      <c r="FS21">
        <f t="shared" si="162"/>
        <v>1</v>
      </c>
      <c r="FT21">
        <f t="shared" si="163"/>
        <v>1</v>
      </c>
      <c r="FU21">
        <f t="shared" si="164"/>
        <v>1</v>
      </c>
      <c r="FV21">
        <f t="shared" si="165"/>
        <v>1</v>
      </c>
      <c r="FW21">
        <f t="shared" si="166"/>
        <v>1</v>
      </c>
      <c r="FX21">
        <f t="shared" si="167"/>
        <v>1</v>
      </c>
      <c r="FY21">
        <f t="shared" si="168"/>
        <v>1</v>
      </c>
      <c r="FZ21">
        <f t="shared" si="169"/>
        <v>1</v>
      </c>
      <c r="GA21">
        <f t="shared" si="170"/>
        <v>1</v>
      </c>
      <c r="GB21">
        <f t="shared" si="171"/>
        <v>1</v>
      </c>
      <c r="GC21">
        <f t="shared" si="172"/>
        <v>1</v>
      </c>
      <c r="GD21">
        <f t="shared" si="173"/>
        <v>1</v>
      </c>
      <c r="GE21">
        <f t="shared" si="174"/>
        <v>1</v>
      </c>
      <c r="GF21">
        <f t="shared" si="175"/>
        <v>1</v>
      </c>
      <c r="GG21">
        <f t="shared" si="176"/>
        <v>1</v>
      </c>
      <c r="GH21">
        <f t="shared" si="177"/>
        <v>1</v>
      </c>
      <c r="GI21">
        <f t="shared" si="178"/>
        <v>1</v>
      </c>
      <c r="GJ21">
        <f t="shared" si="179"/>
        <v>1</v>
      </c>
      <c r="GK21">
        <f t="shared" si="180"/>
        <v>1</v>
      </c>
      <c r="GL21">
        <f t="shared" si="181"/>
        <v>1</v>
      </c>
      <c r="GM21">
        <f t="shared" si="182"/>
        <v>1</v>
      </c>
      <c r="GN21">
        <f t="shared" si="183"/>
        <v>1</v>
      </c>
      <c r="GO21">
        <f t="shared" si="184"/>
        <v>1</v>
      </c>
      <c r="GP21">
        <f t="shared" si="185"/>
        <v>1</v>
      </c>
      <c r="GQ21">
        <f t="shared" si="186"/>
        <v>1</v>
      </c>
      <c r="GR21">
        <f t="shared" si="187"/>
        <v>1</v>
      </c>
      <c r="GS21">
        <f t="shared" si="188"/>
        <v>1</v>
      </c>
      <c r="GT21">
        <f t="shared" si="189"/>
        <v>1</v>
      </c>
      <c r="GU21">
        <f t="shared" si="190"/>
        <v>1</v>
      </c>
      <c r="GX21" s="10"/>
    </row>
    <row r="22" spans="1:206" x14ac:dyDescent="0.3">
      <c r="A22" s="9" t="s">
        <v>33</v>
      </c>
      <c r="B22" s="80"/>
      <c r="C22" s="9">
        <v>3072565000</v>
      </c>
      <c r="D22" s="9" t="s">
        <v>360</v>
      </c>
      <c r="E22" s="9" t="s">
        <v>34</v>
      </c>
      <c r="F22" s="9" t="s">
        <v>35</v>
      </c>
      <c r="G22" s="9" t="s">
        <v>53</v>
      </c>
      <c r="H22" s="10">
        <v>44367</v>
      </c>
      <c r="I22" s="9">
        <f t="shared" si="191"/>
        <v>2021</v>
      </c>
      <c r="J22" s="9">
        <f t="shared" si="192"/>
        <v>6</v>
      </c>
      <c r="K22" s="9" t="str">
        <f t="shared" si="193"/>
        <v>2021_6</v>
      </c>
      <c r="L22">
        <f>MAX(0,VLOOKUP($K22,lookups!$A$1:$B$45,2,0)-12)</f>
        <v>2</v>
      </c>
      <c r="M22" s="40">
        <f t="shared" si="194"/>
        <v>44348</v>
      </c>
      <c r="N22" s="10" t="s">
        <v>37</v>
      </c>
      <c r="O22" t="str">
        <f ca="1">IF(OR($L22&gt;O$4,O$4&gt;$L22+23),"",OFFSET(Electric!$L13,0,-'Electric Calendarize'!$L22+'Electric Calendarize'!O$4+1))</f>
        <v/>
      </c>
      <c r="P22" t="str">
        <f ca="1">IF(OR($L22&gt;P$4,P$4&gt;$L22+23),"",OFFSET(Electric!$L13,0,-'Electric Calendarize'!$L22+'Electric Calendarize'!P$4+1))</f>
        <v/>
      </c>
      <c r="Q22">
        <f ca="1">IF(OR($L22&gt;Q$4,Q$4&gt;$L22+23),"",OFFSET(Electric!$L13,0,-'Electric Calendarize'!$L22+'Electric Calendarize'!Q$4+1))</f>
        <v>976</v>
      </c>
      <c r="R22">
        <f ca="1">IF(OR($L22&gt;R$4,R$4&gt;$L22+23),"",OFFSET(Electric!$L13,0,-'Electric Calendarize'!$L22+'Electric Calendarize'!R$4+1))</f>
        <v>1192</v>
      </c>
      <c r="S22">
        <f ca="1">IF(OR($L22&gt;S$4,S$4&gt;$L22+23),"",OFFSET(Electric!$L13,0,-'Electric Calendarize'!$L22+'Electric Calendarize'!S$4+1))</f>
        <v>1344</v>
      </c>
      <c r="T22">
        <f ca="1">IF(OR($L22&gt;T$4,T$4&gt;$L22+23),"",OFFSET(Electric!$L13,0,-'Electric Calendarize'!$L22+'Electric Calendarize'!T$4+1))</f>
        <v>1010</v>
      </c>
      <c r="U22">
        <f ca="1">IF(OR($L22&gt;U$4,U$4&gt;$L22+23),"",OFFSET(Electric!$L13,0,-'Electric Calendarize'!$L22+'Electric Calendarize'!U$4+1))</f>
        <v>587</v>
      </c>
      <c r="V22">
        <f ca="1">IF(OR($L22&gt;V$4,V$4&gt;$L22+23),"",OFFSET(Electric!$L13,0,-'Electric Calendarize'!$L22+'Electric Calendarize'!V$4+1))</f>
        <v>610</v>
      </c>
      <c r="W22">
        <f ca="1">IF(OR($L22&gt;W$4,W$4&gt;$L22+23),"",OFFSET(Electric!$L13,0,-'Electric Calendarize'!$L22+'Electric Calendarize'!W$4+1))</f>
        <v>747</v>
      </c>
      <c r="X22">
        <f ca="1">IF(OR($L22&gt;X$4,X$4&gt;$L22+23),"",OFFSET(Electric!$L13,0,-'Electric Calendarize'!$L22+'Electric Calendarize'!X$4+1))</f>
        <v>811</v>
      </c>
      <c r="Y22">
        <f ca="1">IF(OR($L22&gt;Y$4,Y$4&gt;$L22+23),"",OFFSET(Electric!$L13,0,-'Electric Calendarize'!$L22+'Electric Calendarize'!Y$4+1))</f>
        <v>712</v>
      </c>
      <c r="Z22">
        <f ca="1">IF(OR($L22&gt;Z$4,Z$4&gt;$L22+23),"",OFFSET(Electric!$L13,0,-'Electric Calendarize'!$L22+'Electric Calendarize'!Z$4+1))</f>
        <v>627</v>
      </c>
      <c r="AA22">
        <f ca="1">IF(OR($L22&gt;AA$4,AA$4&gt;$L22+23),"",OFFSET(Electric!$L13,0,-'Electric Calendarize'!$L22+'Electric Calendarize'!AA$4+1))</f>
        <v>511</v>
      </c>
      <c r="AB22">
        <f ca="1">IF(OR($L22&gt;AB$4,AB$4&gt;$L22+23),"",OFFSET(Electric!$L13,0,-'Electric Calendarize'!$L22+'Electric Calendarize'!AB$4+1))</f>
        <v>616</v>
      </c>
      <c r="AC22">
        <f ca="1">IF(OR($L22&gt;AC$4,AC$4&gt;$L22+23),"",OFFSET(Electric!$L13,0,-'Electric Calendarize'!$L22+'Electric Calendarize'!AC$4+1))</f>
        <v>898</v>
      </c>
      <c r="AD22">
        <f ca="1">IF(OR($L22&gt;AD$4,AD$4&gt;$L22+23),"",OFFSET(Electric!$L13,0,-'Electric Calendarize'!$L22+'Electric Calendarize'!AD$4+1))</f>
        <v>878</v>
      </c>
      <c r="AE22">
        <f ca="1">IF(OR($L22&gt;AE$4,AE$4&gt;$L22+23),"",OFFSET(Electric!$L13,0,-'Electric Calendarize'!$L22+'Electric Calendarize'!AE$4+1))</f>
        <v>1203</v>
      </c>
      <c r="AF22">
        <f ca="1">IF(OR($L22&gt;AF$4,AF$4&gt;$L22+23),"",OFFSET(Electric!$L13,0,-'Electric Calendarize'!$L22+'Electric Calendarize'!AF$4+1))</f>
        <v>876</v>
      </c>
      <c r="AG22">
        <f ca="1">IF(OR($L22&gt;AG$4,AG$4&gt;$L22+23),"",OFFSET(Electric!$L13,0,-'Electric Calendarize'!$L22+'Electric Calendarize'!AG$4+1))</f>
        <v>683</v>
      </c>
      <c r="AH22">
        <f ca="1">IF(OR($L22&gt;AH$4,AH$4&gt;$L22+23),"",OFFSET(Electric!$L13,0,-'Electric Calendarize'!$L22+'Electric Calendarize'!AH$4+1))</f>
        <v>550</v>
      </c>
      <c r="AI22">
        <f ca="1">IF(OR($L22&gt;AI$4,AI$4&gt;$L22+23),"",OFFSET(Electric!$L13,0,-'Electric Calendarize'!$L22+'Electric Calendarize'!AI$4+1))</f>
        <v>707</v>
      </c>
      <c r="AJ22">
        <f ca="1">IF(OR($L22&gt;AJ$4,AJ$4&gt;$L22+23),"",OFFSET(Electric!$L13,0,-'Electric Calendarize'!$L22+'Electric Calendarize'!AJ$4+1))</f>
        <v>622</v>
      </c>
      <c r="AK22">
        <f ca="1">IF(OR($L22&gt;AK$4,AK$4&gt;$L22+23),"",OFFSET(Electric!$L13,0,-'Electric Calendarize'!$L22+'Electric Calendarize'!AK$4+1))</f>
        <v>582</v>
      </c>
      <c r="AL22">
        <f ca="1">IF(OR($L22&gt;AL$4,AL$4&gt;$L22+23),"",OFFSET(Electric!$L13,0,-'Electric Calendarize'!$L22+'Electric Calendarize'!AL$4+1))</f>
        <v>545</v>
      </c>
      <c r="AM22">
        <f ca="1">IF(OR($L22&gt;AM$4,AM$4&gt;$L22+23),"",OFFSET(Electric!$L13,0,-'Electric Calendarize'!$L22+'Electric Calendarize'!AM$4+1))</f>
        <v>546</v>
      </c>
      <c r="AN22">
        <f ca="1">IF(OR($L22&gt;AN$4,AN$4&gt;$L22+23),"",OFFSET(Electric!$L13,0,-'Electric Calendarize'!$L22+'Electric Calendarize'!AN$4+1))</f>
        <v>606</v>
      </c>
      <c r="AO22" t="str">
        <f ca="1">IF(OR($L22&gt;AO$4,AO$4&gt;$L22+23),"",OFFSET(Electric!$L13,0,-'Electric Calendarize'!$L22+'Electric Calendarize'!AO$4+1))</f>
        <v/>
      </c>
      <c r="AP22" t="str">
        <f ca="1">IF(OR($L22&gt;AP$4,AP$4&gt;$L22+23),"",OFFSET(Electric!$L13,0,-'Electric Calendarize'!$L22+'Electric Calendarize'!AP$4+1))</f>
        <v/>
      </c>
      <c r="AQ22" t="str">
        <f ca="1">IF(OR($L22&gt;AQ$4,AQ$4&gt;$L22+23),"",OFFSET(Electric!$L13,0,-'Electric Calendarize'!$L22+'Electric Calendarize'!AQ$4+1))</f>
        <v/>
      </c>
      <c r="AR22" t="str">
        <f ca="1">IF(OR($L22&gt;AR$4,AR$4&gt;$L22+23),"",OFFSET(Electric!$L13,0,-'Electric Calendarize'!$L22+'Electric Calendarize'!AR$4+1))</f>
        <v/>
      </c>
      <c r="AS22" t="str">
        <f ca="1">IF(OR($L22&gt;AS$4,AS$4&gt;$L22+23),"",OFFSET(Electric!$L13,0,-'Electric Calendarize'!$L22+'Electric Calendarize'!AS$4+1))</f>
        <v/>
      </c>
      <c r="AT22" t="str">
        <f ca="1">IF(OR($L22&gt;AT$4,AT$4&gt;$L22+23),"",OFFSET(Electric!$L13,0,-'Electric Calendarize'!$L22+'Electric Calendarize'!AT$4+1))</f>
        <v/>
      </c>
      <c r="AU22" t="str">
        <f ca="1">IF(OR($L22&gt;AU$4,AU$4&gt;$L22+23),"",OFFSET(Electric!$L13,0,-'Electric Calendarize'!$L22+'Electric Calendarize'!AU$4+1))</f>
        <v/>
      </c>
      <c r="AV22" t="str">
        <f ca="1">IF(OR($L22&gt;AV$4,AV$4&gt;$L22+23),"",OFFSET(Electric!$L13,0,-'Electric Calendarize'!$L22+'Electric Calendarize'!AV$4+1))</f>
        <v/>
      </c>
      <c r="AW22" t="str">
        <f ca="1">IF(OR($L22&gt;AW$4,AW$4&gt;$L22+23),"",OFFSET(Electric!$L13,0,-'Electric Calendarize'!$L22+'Electric Calendarize'!AW$4+1))</f>
        <v/>
      </c>
      <c r="AX22" t="str">
        <f ca="1">IF(OR($L22&gt;AX$4,AX$4&gt;$L22+23),"",OFFSET(Electric!$L13,0,-'Electric Calendarize'!$L22+'Electric Calendarize'!AX$4+1))</f>
        <v/>
      </c>
      <c r="AY22" t="str">
        <f ca="1">IF(OR($L22&gt;AY$4,AY$4&gt;$L22+23),"",OFFSET(Electric!$L13,0,-'Electric Calendarize'!$L22+'Electric Calendarize'!AY$4+1))</f>
        <v/>
      </c>
      <c r="AZ22" t="str">
        <f ca="1">IF(OR($L22&gt;AZ$4,AZ$4&gt;$L22+23),"",OFFSET(Electric!$L13,0,-'Electric Calendarize'!$L22+'Electric Calendarize'!AZ$4+1))</f>
        <v/>
      </c>
      <c r="BA22" t="str">
        <f ca="1">IF(OR($L22&gt;BA$4,BA$4&gt;$L22+23),"",OFFSET(Electric!$L13,0,-'Electric Calendarize'!$L22+'Electric Calendarize'!BA$4+1))</f>
        <v/>
      </c>
      <c r="BB22" t="str">
        <f ca="1">IF(OR($L22&gt;BB$4,BB$4&gt;$L22+23),"",OFFSET(Electric!$L13,0,-'Electric Calendarize'!$L22+'Electric Calendarize'!BB$4+1))</f>
        <v/>
      </c>
      <c r="BC22" t="str">
        <f ca="1">IF(OR($L22&gt;BC$4,BC$4&gt;$L22+23),"",OFFSET(Electric!$L13,0,-'Electric Calendarize'!$L22+'Electric Calendarize'!BC$4+1))</f>
        <v/>
      </c>
      <c r="BD22" t="str">
        <f ca="1">IF(OR($L22&gt;BD$4,BD$4&gt;$L22+23),"",OFFSET(Electric!$L13,0,-'Electric Calendarize'!$L22+'Electric Calendarize'!BD$4+1))</f>
        <v/>
      </c>
      <c r="BE22" t="str">
        <f ca="1">IF(OR($L22&gt;BE$4,BE$4&gt;$L22+23),"",OFFSET(Electric!$L13,0,-'Electric Calendarize'!$L22+'Electric Calendarize'!BE$4+1))</f>
        <v/>
      </c>
      <c r="BF22" t="str">
        <f ca="1">IF(OR($L22&gt;BF$4,BF$4&gt;$L22+23),"",OFFSET(Electric!$L13,0,-'Electric Calendarize'!$L22+'Electric Calendarize'!BF$4+1))</f>
        <v/>
      </c>
      <c r="BG22" t="str">
        <f ca="1">IF(OR($L22&gt;BG$4,BG$4&gt;$L22+23),"",OFFSET(Electric!$L13,0,-'Electric Calendarize'!$L22+'Electric Calendarize'!BG$4+1))</f>
        <v/>
      </c>
      <c r="BJ22" s="10" t="s">
        <v>37</v>
      </c>
      <c r="BK22">
        <f t="shared" si="195"/>
        <v>1</v>
      </c>
      <c r="BL22">
        <f t="shared" si="100"/>
        <v>0</v>
      </c>
      <c r="BM22">
        <f t="shared" si="101"/>
        <v>0</v>
      </c>
      <c r="BN22">
        <f t="shared" si="102"/>
        <v>0</v>
      </c>
      <c r="BO22">
        <f t="shared" si="103"/>
        <v>0</v>
      </c>
      <c r="BP22">
        <f t="shared" si="104"/>
        <v>0</v>
      </c>
      <c r="BQ22">
        <f t="shared" si="105"/>
        <v>0</v>
      </c>
      <c r="BR22">
        <f t="shared" si="106"/>
        <v>1</v>
      </c>
      <c r="BS22">
        <f t="shared" si="107"/>
        <v>1</v>
      </c>
      <c r="BT22">
        <f t="shared" si="108"/>
        <v>1</v>
      </c>
      <c r="BU22">
        <f t="shared" si="109"/>
        <v>1</v>
      </c>
      <c r="BV22">
        <f t="shared" si="110"/>
        <v>1</v>
      </c>
      <c r="BW22">
        <f t="shared" si="111"/>
        <v>1</v>
      </c>
      <c r="BX22">
        <f t="shared" si="112"/>
        <v>0</v>
      </c>
      <c r="BY22">
        <f t="shared" si="113"/>
        <v>0</v>
      </c>
      <c r="BZ22">
        <f t="shared" si="114"/>
        <v>0</v>
      </c>
      <c r="CA22">
        <f t="shared" si="115"/>
        <v>0</v>
      </c>
      <c r="CB22">
        <f t="shared" si="116"/>
        <v>0</v>
      </c>
      <c r="CC22">
        <f t="shared" si="117"/>
        <v>0</v>
      </c>
      <c r="CD22">
        <f t="shared" si="118"/>
        <v>1</v>
      </c>
      <c r="CE22">
        <f t="shared" si="119"/>
        <v>1</v>
      </c>
      <c r="CF22">
        <f t="shared" si="120"/>
        <v>1</v>
      </c>
      <c r="CG22">
        <f t="shared" si="121"/>
        <v>1</v>
      </c>
      <c r="CH22">
        <f t="shared" si="122"/>
        <v>1</v>
      </c>
      <c r="CI22">
        <f t="shared" si="123"/>
        <v>1</v>
      </c>
      <c r="CJ22">
        <f t="shared" si="124"/>
        <v>0</v>
      </c>
      <c r="CK22">
        <f t="shared" si="125"/>
        <v>0</v>
      </c>
      <c r="CL22">
        <f t="shared" si="126"/>
        <v>0</v>
      </c>
      <c r="CM22">
        <f t="shared" si="127"/>
        <v>0</v>
      </c>
      <c r="CN22">
        <f t="shared" si="128"/>
        <v>0</v>
      </c>
      <c r="CO22">
        <f t="shared" si="129"/>
        <v>0</v>
      </c>
      <c r="CP22">
        <f t="shared" si="130"/>
        <v>1</v>
      </c>
      <c r="CQ22">
        <f t="shared" si="131"/>
        <v>1</v>
      </c>
      <c r="CR22">
        <f t="shared" si="132"/>
        <v>1</v>
      </c>
      <c r="CS22">
        <f t="shared" si="133"/>
        <v>1</v>
      </c>
      <c r="CT22">
        <f t="shared" si="134"/>
        <v>1</v>
      </c>
      <c r="CU22">
        <f t="shared" si="135"/>
        <v>1</v>
      </c>
      <c r="CV22">
        <f t="shared" si="136"/>
        <v>0</v>
      </c>
      <c r="CW22">
        <f t="shared" si="137"/>
        <v>0</v>
      </c>
      <c r="CX22">
        <f t="shared" si="138"/>
        <v>0</v>
      </c>
      <c r="CY22">
        <f t="shared" si="139"/>
        <v>0</v>
      </c>
      <c r="CZ22">
        <f t="shared" si="140"/>
        <v>0</v>
      </c>
      <c r="DA22">
        <f t="shared" si="141"/>
        <v>0</v>
      </c>
      <c r="DB22">
        <f t="shared" si="142"/>
        <v>1</v>
      </c>
      <c r="DC22">
        <f t="shared" si="143"/>
        <v>1</v>
      </c>
      <c r="DF22" s="10" t="s">
        <v>37</v>
      </c>
      <c r="DG22" t="str">
        <f t="shared" si="196"/>
        <v>2021_6</v>
      </c>
      <c r="DH22" t="str">
        <f t="shared" si="144"/>
        <v>2021_6</v>
      </c>
      <c r="DI22" t="str">
        <f t="shared" si="144"/>
        <v>2021_6</v>
      </c>
      <c r="DJ22" t="str">
        <f t="shared" si="144"/>
        <v>2021_6</v>
      </c>
      <c r="DK22" t="str">
        <f t="shared" si="144"/>
        <v>2021_6</v>
      </c>
      <c r="DL22" t="str">
        <f t="shared" si="144"/>
        <v>2021_6</v>
      </c>
      <c r="DM22" t="str">
        <f t="shared" si="144"/>
        <v>2021_6</v>
      </c>
      <c r="DN22" t="str">
        <f t="shared" si="144"/>
        <v>2021_6</v>
      </c>
      <c r="DO22" t="str">
        <f t="shared" si="144"/>
        <v>2021_6</v>
      </c>
      <c r="DP22" t="str">
        <f t="shared" si="144"/>
        <v>2021_6</v>
      </c>
      <c r="DQ22" t="str">
        <f t="shared" si="144"/>
        <v>2021_6</v>
      </c>
      <c r="DR22" t="str">
        <f t="shared" si="144"/>
        <v>2021_6</v>
      </c>
      <c r="DS22" t="str">
        <f t="shared" si="144"/>
        <v>2021_6</v>
      </c>
      <c r="DT22" t="str">
        <f t="shared" si="144"/>
        <v>2021_6</v>
      </c>
      <c r="DU22" t="str">
        <f t="shared" si="144"/>
        <v>2021_6</v>
      </c>
      <c r="DV22" t="str">
        <f t="shared" si="144"/>
        <v>2021_6</v>
      </c>
      <c r="DW22" t="str">
        <f t="shared" si="144"/>
        <v>2021_6</v>
      </c>
      <c r="DX22" t="str">
        <f t="shared" si="145"/>
        <v>2021_6</v>
      </c>
      <c r="DY22" t="str">
        <f t="shared" si="145"/>
        <v>2021_6</v>
      </c>
      <c r="DZ22" t="str">
        <f t="shared" si="145"/>
        <v>2021_6</v>
      </c>
      <c r="EA22" t="str">
        <f t="shared" si="145"/>
        <v>2021_6</v>
      </c>
      <c r="EB22" t="str">
        <f t="shared" si="145"/>
        <v>2021_6</v>
      </c>
      <c r="EC22" t="str">
        <f t="shared" si="145"/>
        <v>2021_6</v>
      </c>
      <c r="ED22" t="str">
        <f t="shared" si="145"/>
        <v>2021_6</v>
      </c>
      <c r="EE22" t="str">
        <f t="shared" si="145"/>
        <v>2021_6</v>
      </c>
      <c r="EF22" t="str">
        <f t="shared" si="145"/>
        <v>2021_6</v>
      </c>
      <c r="EG22" t="str">
        <f t="shared" si="145"/>
        <v>2021_6</v>
      </c>
      <c r="EH22" t="str">
        <f t="shared" si="145"/>
        <v>2021_6</v>
      </c>
      <c r="EI22" t="str">
        <f t="shared" si="145"/>
        <v>2021_6</v>
      </c>
      <c r="EJ22" t="str">
        <f t="shared" si="145"/>
        <v>2021_6</v>
      </c>
      <c r="EK22" t="str">
        <f t="shared" si="145"/>
        <v>2021_6</v>
      </c>
      <c r="EL22" t="str">
        <f t="shared" si="145"/>
        <v>2021_6</v>
      </c>
      <c r="EM22" t="str">
        <f t="shared" si="145"/>
        <v>2021_6</v>
      </c>
      <c r="EN22" t="str">
        <f t="shared" si="146"/>
        <v>2021_6</v>
      </c>
      <c r="EO22" t="str">
        <f t="shared" si="146"/>
        <v>2021_6</v>
      </c>
      <c r="EP22" t="str">
        <f t="shared" si="146"/>
        <v>2021_6</v>
      </c>
      <c r="EQ22" t="str">
        <f t="shared" si="146"/>
        <v>2021_6</v>
      </c>
      <c r="ER22" t="str">
        <f t="shared" si="146"/>
        <v>2021_6</v>
      </c>
      <c r="ES22" t="str">
        <f t="shared" si="146"/>
        <v>2021_6</v>
      </c>
      <c r="ET22" t="str">
        <f t="shared" si="146"/>
        <v>2021_6</v>
      </c>
      <c r="EU22" t="str">
        <f t="shared" si="146"/>
        <v>2021_6</v>
      </c>
      <c r="EV22" t="str">
        <f t="shared" si="146"/>
        <v>2021_6</v>
      </c>
      <c r="EW22" t="str">
        <f t="shared" si="146"/>
        <v>2021_6</v>
      </c>
      <c r="EX22" t="str">
        <f t="shared" si="146"/>
        <v>2021_6</v>
      </c>
      <c r="EY22" t="str">
        <f t="shared" si="146"/>
        <v>2021_6</v>
      </c>
      <c r="FB22" s="10" t="s">
        <v>37</v>
      </c>
      <c r="FC22">
        <f t="shared" si="197"/>
        <v>0</v>
      </c>
      <c r="FD22">
        <f t="shared" si="147"/>
        <v>0</v>
      </c>
      <c r="FE22">
        <f t="shared" si="148"/>
        <v>0</v>
      </c>
      <c r="FF22">
        <f t="shared" si="149"/>
        <v>0</v>
      </c>
      <c r="FG22">
        <f t="shared" si="150"/>
        <v>0</v>
      </c>
      <c r="FH22">
        <f t="shared" si="151"/>
        <v>0</v>
      </c>
      <c r="FI22">
        <f t="shared" si="152"/>
        <v>0</v>
      </c>
      <c r="FJ22">
        <f t="shared" si="153"/>
        <v>0</v>
      </c>
      <c r="FK22">
        <f t="shared" si="154"/>
        <v>0</v>
      </c>
      <c r="FL22">
        <f t="shared" si="155"/>
        <v>0</v>
      </c>
      <c r="FM22">
        <f t="shared" si="156"/>
        <v>0</v>
      </c>
      <c r="FN22">
        <f t="shared" si="157"/>
        <v>0</v>
      </c>
      <c r="FO22">
        <f t="shared" si="158"/>
        <v>0</v>
      </c>
      <c r="FP22">
        <f t="shared" si="159"/>
        <v>0</v>
      </c>
      <c r="FQ22">
        <f t="shared" si="160"/>
        <v>1</v>
      </c>
      <c r="FR22">
        <f t="shared" si="161"/>
        <v>1</v>
      </c>
      <c r="FS22">
        <f t="shared" si="162"/>
        <v>1</v>
      </c>
      <c r="FT22">
        <f t="shared" si="163"/>
        <v>1</v>
      </c>
      <c r="FU22">
        <f t="shared" si="164"/>
        <v>1</v>
      </c>
      <c r="FV22">
        <f t="shared" si="165"/>
        <v>1</v>
      </c>
      <c r="FW22">
        <f t="shared" si="166"/>
        <v>1</v>
      </c>
      <c r="FX22">
        <f t="shared" si="167"/>
        <v>1</v>
      </c>
      <c r="FY22">
        <f t="shared" si="168"/>
        <v>1</v>
      </c>
      <c r="FZ22">
        <f t="shared" si="169"/>
        <v>1</v>
      </c>
      <c r="GA22">
        <f t="shared" si="170"/>
        <v>1</v>
      </c>
      <c r="GB22">
        <f t="shared" si="171"/>
        <v>1</v>
      </c>
      <c r="GC22">
        <f t="shared" si="172"/>
        <v>1</v>
      </c>
      <c r="GD22">
        <f t="shared" si="173"/>
        <v>1</v>
      </c>
      <c r="GE22">
        <f t="shared" si="174"/>
        <v>1</v>
      </c>
      <c r="GF22">
        <f t="shared" si="175"/>
        <v>1</v>
      </c>
      <c r="GG22">
        <f t="shared" si="176"/>
        <v>1</v>
      </c>
      <c r="GH22">
        <f t="shared" si="177"/>
        <v>1</v>
      </c>
      <c r="GI22">
        <f t="shared" si="178"/>
        <v>1</v>
      </c>
      <c r="GJ22">
        <f t="shared" si="179"/>
        <v>1</v>
      </c>
      <c r="GK22">
        <f t="shared" si="180"/>
        <v>1</v>
      </c>
      <c r="GL22">
        <f t="shared" si="181"/>
        <v>1</v>
      </c>
      <c r="GM22">
        <f t="shared" si="182"/>
        <v>1</v>
      </c>
      <c r="GN22">
        <f t="shared" si="183"/>
        <v>1</v>
      </c>
      <c r="GO22">
        <f t="shared" si="184"/>
        <v>1</v>
      </c>
      <c r="GP22">
        <f t="shared" si="185"/>
        <v>1</v>
      </c>
      <c r="GQ22">
        <f t="shared" si="186"/>
        <v>1</v>
      </c>
      <c r="GR22">
        <f t="shared" si="187"/>
        <v>1</v>
      </c>
      <c r="GS22">
        <f t="shared" si="188"/>
        <v>1</v>
      </c>
      <c r="GT22">
        <f t="shared" si="189"/>
        <v>1</v>
      </c>
      <c r="GU22">
        <f t="shared" si="190"/>
        <v>1</v>
      </c>
      <c r="GX22" s="10"/>
    </row>
    <row r="23" spans="1:206" x14ac:dyDescent="0.3">
      <c r="A23" s="9" t="s">
        <v>41</v>
      </c>
      <c r="B23" s="80"/>
      <c r="C23" s="9">
        <v>3051502001</v>
      </c>
      <c r="D23" s="9" t="s">
        <v>361</v>
      </c>
      <c r="E23" s="9" t="s">
        <v>34</v>
      </c>
      <c r="F23" s="9" t="s">
        <v>35</v>
      </c>
      <c r="G23" s="9" t="s">
        <v>54</v>
      </c>
      <c r="H23" s="10">
        <v>44383</v>
      </c>
      <c r="I23" s="9">
        <f t="shared" si="191"/>
        <v>2021</v>
      </c>
      <c r="J23" s="9">
        <f t="shared" si="192"/>
        <v>7</v>
      </c>
      <c r="K23" s="9" t="str">
        <f t="shared" si="193"/>
        <v>2021_7</v>
      </c>
      <c r="L23">
        <f>MAX(0,VLOOKUP($K23,lookups!$A$1:$B$45,2,0)-12)</f>
        <v>3</v>
      </c>
      <c r="M23" s="40">
        <f t="shared" si="194"/>
        <v>44378</v>
      </c>
      <c r="N23" s="10" t="s">
        <v>37</v>
      </c>
      <c r="O23" t="str">
        <f ca="1">IF(OR($L23&gt;O$4,O$4&gt;$L23+23),"",OFFSET(Electric!$L14,0,-'Electric Calendarize'!$L23+'Electric Calendarize'!O$4+1))</f>
        <v/>
      </c>
      <c r="P23" t="str">
        <f ca="1">IF(OR($L23&gt;P$4,P$4&gt;$L23+23),"",OFFSET(Electric!$L14,0,-'Electric Calendarize'!$L23+'Electric Calendarize'!P$4+1))</f>
        <v/>
      </c>
      <c r="Q23" t="str">
        <f ca="1">IF(OR($L23&gt;Q$4,Q$4&gt;$L23+23),"",OFFSET(Electric!$L14,0,-'Electric Calendarize'!$L23+'Electric Calendarize'!Q$4+1))</f>
        <v/>
      </c>
      <c r="R23">
        <f ca="1">IF(OR($L23&gt;R$4,R$4&gt;$L23+23),"",OFFSET(Electric!$L14,0,-'Electric Calendarize'!$L23+'Electric Calendarize'!R$4+1))</f>
        <v>1250</v>
      </c>
      <c r="S23">
        <f ca="1">IF(OR($L23&gt;S$4,S$4&gt;$L23+23),"",OFFSET(Electric!$L14,0,-'Electric Calendarize'!$L23+'Electric Calendarize'!S$4+1))</f>
        <v>980</v>
      </c>
      <c r="T23">
        <f ca="1">IF(OR($L23&gt;T$4,T$4&gt;$L23+23),"",OFFSET(Electric!$L14,0,-'Electric Calendarize'!$L23+'Electric Calendarize'!T$4+1))</f>
        <v>1218</v>
      </c>
      <c r="U23">
        <f ca="1">IF(OR($L23&gt;U$4,U$4&gt;$L23+23),"",OFFSET(Electric!$L14,0,-'Electric Calendarize'!$L23+'Electric Calendarize'!U$4+1))</f>
        <v>719</v>
      </c>
      <c r="V23">
        <f ca="1">IF(OR($L23&gt;V$4,V$4&gt;$L23+23),"",OFFSET(Electric!$L14,0,-'Electric Calendarize'!$L23+'Electric Calendarize'!V$4+1))</f>
        <v>667</v>
      </c>
      <c r="W23">
        <f ca="1">IF(OR($L23&gt;W$4,W$4&gt;$L23+23),"",OFFSET(Electric!$L14,0,-'Electric Calendarize'!$L23+'Electric Calendarize'!W$4+1))</f>
        <v>718</v>
      </c>
      <c r="X23">
        <f ca="1">IF(OR($L23&gt;X$4,X$4&gt;$L23+23),"",OFFSET(Electric!$L14,0,-'Electric Calendarize'!$L23+'Electric Calendarize'!X$4+1))</f>
        <v>673</v>
      </c>
      <c r="Y23">
        <f ca="1">IF(OR($L23&gt;Y$4,Y$4&gt;$L23+23),"",OFFSET(Electric!$L14,0,-'Electric Calendarize'!$L23+'Electric Calendarize'!Y$4+1))</f>
        <v>707</v>
      </c>
      <c r="Z23">
        <f ca="1">IF(OR($L23&gt;Z$4,Z$4&gt;$L23+23),"",OFFSET(Electric!$L14,0,-'Electric Calendarize'!$L23+'Electric Calendarize'!Z$4+1))</f>
        <v>739</v>
      </c>
      <c r="AA23">
        <f ca="1">IF(OR($L23&gt;AA$4,AA$4&gt;$L23+23),"",OFFSET(Electric!$L14,0,-'Electric Calendarize'!$L23+'Electric Calendarize'!AA$4+1))</f>
        <v>770</v>
      </c>
      <c r="AB23">
        <f ca="1">IF(OR($L23&gt;AB$4,AB$4&gt;$L23+23),"",OFFSET(Electric!$L14,0,-'Electric Calendarize'!$L23+'Electric Calendarize'!AB$4+1))</f>
        <v>800</v>
      </c>
      <c r="AC23">
        <f ca="1">IF(OR($L23&gt;AC$4,AC$4&gt;$L23+23),"",OFFSET(Electric!$L14,0,-'Electric Calendarize'!$L23+'Electric Calendarize'!AC$4+1))</f>
        <v>942</v>
      </c>
      <c r="AD23">
        <f ca="1">IF(OR($L23&gt;AD$4,AD$4&gt;$L23+23),"",OFFSET(Electric!$L14,0,-'Electric Calendarize'!$L23+'Electric Calendarize'!AD$4+1))</f>
        <v>1403</v>
      </c>
      <c r="AE23">
        <f ca="1">IF(OR($L23&gt;AE$4,AE$4&gt;$L23+23),"",OFFSET(Electric!$L14,0,-'Electric Calendarize'!$L23+'Electric Calendarize'!AE$4+1))</f>
        <v>1330</v>
      </c>
      <c r="AF23">
        <f ca="1">IF(OR($L23&gt;AF$4,AF$4&gt;$L23+23),"",OFFSET(Electric!$L14,0,-'Electric Calendarize'!$L23+'Electric Calendarize'!AF$4+1))</f>
        <v>1442</v>
      </c>
      <c r="AG23">
        <f ca="1">IF(OR($L23&gt;AG$4,AG$4&gt;$L23+23),"",OFFSET(Electric!$L14,0,-'Electric Calendarize'!$L23+'Electric Calendarize'!AG$4+1))</f>
        <v>1109</v>
      </c>
      <c r="AH23">
        <f ca="1">IF(OR($L23&gt;AH$4,AH$4&gt;$L23+23),"",OFFSET(Electric!$L14,0,-'Electric Calendarize'!$L23+'Electric Calendarize'!AH$4+1))</f>
        <v>1046</v>
      </c>
      <c r="AI23">
        <f ca="1">IF(OR($L23&gt;AI$4,AI$4&gt;$L23+23),"",OFFSET(Electric!$L14,0,-'Electric Calendarize'!$L23+'Electric Calendarize'!AI$4+1))</f>
        <v>858</v>
      </c>
      <c r="AJ23">
        <f ca="1">IF(OR($L23&gt;AJ$4,AJ$4&gt;$L23+23),"",OFFSET(Electric!$L14,0,-'Electric Calendarize'!$L23+'Electric Calendarize'!AJ$4+1))</f>
        <v>836</v>
      </c>
      <c r="AK23">
        <f ca="1">IF(OR($L23&gt;AK$4,AK$4&gt;$L23+23),"",OFFSET(Electric!$L14,0,-'Electric Calendarize'!$L23+'Electric Calendarize'!AK$4+1))</f>
        <v>775</v>
      </c>
      <c r="AL23">
        <f ca="1">IF(OR($L23&gt;AL$4,AL$4&gt;$L23+23),"",OFFSET(Electric!$L14,0,-'Electric Calendarize'!$L23+'Electric Calendarize'!AL$4+1))</f>
        <v>834</v>
      </c>
      <c r="AM23">
        <f ca="1">IF(OR($L23&gt;AM$4,AM$4&gt;$L23+23),"",OFFSET(Electric!$L14,0,-'Electric Calendarize'!$L23+'Electric Calendarize'!AM$4+1))</f>
        <v>796</v>
      </c>
      <c r="AN23">
        <f ca="1">IF(OR($L23&gt;AN$4,AN$4&gt;$L23+23),"",OFFSET(Electric!$L14,0,-'Electric Calendarize'!$L23+'Electric Calendarize'!AN$4+1))</f>
        <v>780</v>
      </c>
      <c r="AO23">
        <f ca="1">IF(OR($L23&gt;AO$4,AO$4&gt;$L23+23),"",OFFSET(Electric!$L14,0,-'Electric Calendarize'!$L23+'Electric Calendarize'!AO$4+1))</f>
        <v>1300</v>
      </c>
      <c r="AP23" t="str">
        <f ca="1">IF(OR($L23&gt;AP$4,AP$4&gt;$L23+23),"",OFFSET(Electric!$L14,0,-'Electric Calendarize'!$L23+'Electric Calendarize'!AP$4+1))</f>
        <v/>
      </c>
      <c r="AQ23" t="str">
        <f ca="1">IF(OR($L23&gt;AQ$4,AQ$4&gt;$L23+23),"",OFFSET(Electric!$L14,0,-'Electric Calendarize'!$L23+'Electric Calendarize'!AQ$4+1))</f>
        <v/>
      </c>
      <c r="AR23" t="str">
        <f ca="1">IF(OR($L23&gt;AR$4,AR$4&gt;$L23+23),"",OFFSET(Electric!$L14,0,-'Electric Calendarize'!$L23+'Electric Calendarize'!AR$4+1))</f>
        <v/>
      </c>
      <c r="AS23" t="str">
        <f ca="1">IF(OR($L23&gt;AS$4,AS$4&gt;$L23+23),"",OFFSET(Electric!$L14,0,-'Electric Calendarize'!$L23+'Electric Calendarize'!AS$4+1))</f>
        <v/>
      </c>
      <c r="AT23" t="str">
        <f ca="1">IF(OR($L23&gt;AT$4,AT$4&gt;$L23+23),"",OFFSET(Electric!$L14,0,-'Electric Calendarize'!$L23+'Electric Calendarize'!AT$4+1))</f>
        <v/>
      </c>
      <c r="AU23" t="str">
        <f ca="1">IF(OR($L23&gt;AU$4,AU$4&gt;$L23+23),"",OFFSET(Electric!$L14,0,-'Electric Calendarize'!$L23+'Electric Calendarize'!AU$4+1))</f>
        <v/>
      </c>
      <c r="AV23" t="str">
        <f ca="1">IF(OR($L23&gt;AV$4,AV$4&gt;$L23+23),"",OFFSET(Electric!$L14,0,-'Electric Calendarize'!$L23+'Electric Calendarize'!AV$4+1))</f>
        <v/>
      </c>
      <c r="AW23" t="str">
        <f ca="1">IF(OR($L23&gt;AW$4,AW$4&gt;$L23+23),"",OFFSET(Electric!$L14,0,-'Electric Calendarize'!$L23+'Electric Calendarize'!AW$4+1))</f>
        <v/>
      </c>
      <c r="AX23" t="str">
        <f ca="1">IF(OR($L23&gt;AX$4,AX$4&gt;$L23+23),"",OFFSET(Electric!$L14,0,-'Electric Calendarize'!$L23+'Electric Calendarize'!AX$4+1))</f>
        <v/>
      </c>
      <c r="AY23" t="str">
        <f ca="1">IF(OR($L23&gt;AY$4,AY$4&gt;$L23+23),"",OFFSET(Electric!$L14,0,-'Electric Calendarize'!$L23+'Electric Calendarize'!AY$4+1))</f>
        <v/>
      </c>
      <c r="AZ23" t="str">
        <f ca="1">IF(OR($L23&gt;AZ$4,AZ$4&gt;$L23+23),"",OFFSET(Electric!$L14,0,-'Electric Calendarize'!$L23+'Electric Calendarize'!AZ$4+1))</f>
        <v/>
      </c>
      <c r="BA23" t="str">
        <f ca="1">IF(OR($L23&gt;BA$4,BA$4&gt;$L23+23),"",OFFSET(Electric!$L14,0,-'Electric Calendarize'!$L23+'Electric Calendarize'!BA$4+1))</f>
        <v/>
      </c>
      <c r="BB23" t="str">
        <f ca="1">IF(OR($L23&gt;BB$4,BB$4&gt;$L23+23),"",OFFSET(Electric!$L14,0,-'Electric Calendarize'!$L23+'Electric Calendarize'!BB$4+1))</f>
        <v/>
      </c>
      <c r="BC23" t="str">
        <f ca="1">IF(OR($L23&gt;BC$4,BC$4&gt;$L23+23),"",OFFSET(Electric!$L14,0,-'Electric Calendarize'!$L23+'Electric Calendarize'!BC$4+1))</f>
        <v/>
      </c>
      <c r="BD23" t="str">
        <f ca="1">IF(OR($L23&gt;BD$4,BD$4&gt;$L23+23),"",OFFSET(Electric!$L14,0,-'Electric Calendarize'!$L23+'Electric Calendarize'!BD$4+1))</f>
        <v/>
      </c>
      <c r="BE23" t="str">
        <f ca="1">IF(OR($L23&gt;BE$4,BE$4&gt;$L23+23),"",OFFSET(Electric!$L14,0,-'Electric Calendarize'!$L23+'Electric Calendarize'!BE$4+1))</f>
        <v/>
      </c>
      <c r="BF23" t="str">
        <f ca="1">IF(OR($L23&gt;BF$4,BF$4&gt;$L23+23),"",OFFSET(Electric!$L14,0,-'Electric Calendarize'!$L23+'Electric Calendarize'!BF$4+1))</f>
        <v/>
      </c>
      <c r="BG23" t="str">
        <f ca="1">IF(OR($L23&gt;BG$4,BG$4&gt;$L23+23),"",OFFSET(Electric!$L14,0,-'Electric Calendarize'!$L23+'Electric Calendarize'!BG$4+1))</f>
        <v/>
      </c>
      <c r="BJ23" s="10" t="s">
        <v>37</v>
      </c>
      <c r="BK23">
        <f t="shared" si="195"/>
        <v>1</v>
      </c>
      <c r="BL23">
        <f t="shared" si="100"/>
        <v>0</v>
      </c>
      <c r="BM23">
        <f t="shared" si="101"/>
        <v>0</v>
      </c>
      <c r="BN23">
        <f t="shared" si="102"/>
        <v>0</v>
      </c>
      <c r="BO23">
        <f t="shared" si="103"/>
        <v>0</v>
      </c>
      <c r="BP23">
        <f t="shared" si="104"/>
        <v>0</v>
      </c>
      <c r="BQ23">
        <f t="shared" si="105"/>
        <v>0</v>
      </c>
      <c r="BR23">
        <f t="shared" si="106"/>
        <v>1</v>
      </c>
      <c r="BS23">
        <f t="shared" si="107"/>
        <v>1</v>
      </c>
      <c r="BT23">
        <f t="shared" si="108"/>
        <v>1</v>
      </c>
      <c r="BU23">
        <f t="shared" si="109"/>
        <v>1</v>
      </c>
      <c r="BV23">
        <f t="shared" si="110"/>
        <v>1</v>
      </c>
      <c r="BW23">
        <f t="shared" si="111"/>
        <v>1</v>
      </c>
      <c r="BX23">
        <f t="shared" si="112"/>
        <v>0</v>
      </c>
      <c r="BY23">
        <f t="shared" si="113"/>
        <v>0</v>
      </c>
      <c r="BZ23">
        <f t="shared" si="114"/>
        <v>0</v>
      </c>
      <c r="CA23">
        <f t="shared" si="115"/>
        <v>0</v>
      </c>
      <c r="CB23">
        <f t="shared" si="116"/>
        <v>0</v>
      </c>
      <c r="CC23">
        <f t="shared" si="117"/>
        <v>0</v>
      </c>
      <c r="CD23">
        <f t="shared" si="118"/>
        <v>1</v>
      </c>
      <c r="CE23">
        <f t="shared" si="119"/>
        <v>1</v>
      </c>
      <c r="CF23">
        <f t="shared" si="120"/>
        <v>1</v>
      </c>
      <c r="CG23">
        <f t="shared" si="121"/>
        <v>1</v>
      </c>
      <c r="CH23">
        <f t="shared" si="122"/>
        <v>1</v>
      </c>
      <c r="CI23">
        <f t="shared" si="123"/>
        <v>1</v>
      </c>
      <c r="CJ23">
        <f t="shared" si="124"/>
        <v>0</v>
      </c>
      <c r="CK23">
        <f t="shared" si="125"/>
        <v>0</v>
      </c>
      <c r="CL23">
        <f t="shared" si="126"/>
        <v>0</v>
      </c>
      <c r="CM23">
        <f t="shared" si="127"/>
        <v>0</v>
      </c>
      <c r="CN23">
        <f t="shared" si="128"/>
        <v>0</v>
      </c>
      <c r="CO23">
        <f t="shared" si="129"/>
        <v>0</v>
      </c>
      <c r="CP23">
        <f t="shared" si="130"/>
        <v>1</v>
      </c>
      <c r="CQ23">
        <f t="shared" si="131"/>
        <v>1</v>
      </c>
      <c r="CR23">
        <f t="shared" si="132"/>
        <v>1</v>
      </c>
      <c r="CS23">
        <f t="shared" si="133"/>
        <v>1</v>
      </c>
      <c r="CT23">
        <f t="shared" si="134"/>
        <v>1</v>
      </c>
      <c r="CU23">
        <f t="shared" si="135"/>
        <v>1</v>
      </c>
      <c r="CV23">
        <f t="shared" si="136"/>
        <v>0</v>
      </c>
      <c r="CW23">
        <f t="shared" si="137"/>
        <v>0</v>
      </c>
      <c r="CX23">
        <f t="shared" si="138"/>
        <v>0</v>
      </c>
      <c r="CY23">
        <f t="shared" si="139"/>
        <v>0</v>
      </c>
      <c r="CZ23">
        <f t="shared" si="140"/>
        <v>0</v>
      </c>
      <c r="DA23">
        <f t="shared" si="141"/>
        <v>0</v>
      </c>
      <c r="DB23">
        <f t="shared" si="142"/>
        <v>1</v>
      </c>
      <c r="DC23">
        <f t="shared" si="143"/>
        <v>1</v>
      </c>
      <c r="DF23" s="10" t="s">
        <v>37</v>
      </c>
      <c r="DG23" t="str">
        <f t="shared" si="196"/>
        <v>2021_7</v>
      </c>
      <c r="DH23" t="str">
        <f t="shared" si="144"/>
        <v>2021_7</v>
      </c>
      <c r="DI23" t="str">
        <f t="shared" si="144"/>
        <v>2021_7</v>
      </c>
      <c r="DJ23" t="str">
        <f t="shared" si="144"/>
        <v>2021_7</v>
      </c>
      <c r="DK23" t="str">
        <f t="shared" si="144"/>
        <v>2021_7</v>
      </c>
      <c r="DL23" t="str">
        <f t="shared" si="144"/>
        <v>2021_7</v>
      </c>
      <c r="DM23" t="str">
        <f t="shared" si="144"/>
        <v>2021_7</v>
      </c>
      <c r="DN23" t="str">
        <f t="shared" si="144"/>
        <v>2021_7</v>
      </c>
      <c r="DO23" t="str">
        <f t="shared" si="144"/>
        <v>2021_7</v>
      </c>
      <c r="DP23" t="str">
        <f t="shared" si="144"/>
        <v>2021_7</v>
      </c>
      <c r="DQ23" t="str">
        <f t="shared" si="144"/>
        <v>2021_7</v>
      </c>
      <c r="DR23" t="str">
        <f t="shared" si="144"/>
        <v>2021_7</v>
      </c>
      <c r="DS23" t="str">
        <f t="shared" si="144"/>
        <v>2021_7</v>
      </c>
      <c r="DT23" t="str">
        <f t="shared" si="144"/>
        <v>2021_7</v>
      </c>
      <c r="DU23" t="str">
        <f t="shared" si="144"/>
        <v>2021_7</v>
      </c>
      <c r="DV23" t="str">
        <f t="shared" si="144"/>
        <v>2021_7</v>
      </c>
      <c r="DW23" t="str">
        <f t="shared" si="144"/>
        <v>2021_7</v>
      </c>
      <c r="DX23" t="str">
        <f t="shared" si="145"/>
        <v>2021_7</v>
      </c>
      <c r="DY23" t="str">
        <f t="shared" si="145"/>
        <v>2021_7</v>
      </c>
      <c r="DZ23" t="str">
        <f t="shared" si="145"/>
        <v>2021_7</v>
      </c>
      <c r="EA23" t="str">
        <f t="shared" si="145"/>
        <v>2021_7</v>
      </c>
      <c r="EB23" t="str">
        <f t="shared" si="145"/>
        <v>2021_7</v>
      </c>
      <c r="EC23" t="str">
        <f t="shared" si="145"/>
        <v>2021_7</v>
      </c>
      <c r="ED23" t="str">
        <f t="shared" si="145"/>
        <v>2021_7</v>
      </c>
      <c r="EE23" t="str">
        <f t="shared" si="145"/>
        <v>2021_7</v>
      </c>
      <c r="EF23" t="str">
        <f t="shared" si="145"/>
        <v>2021_7</v>
      </c>
      <c r="EG23" t="str">
        <f t="shared" si="145"/>
        <v>2021_7</v>
      </c>
      <c r="EH23" t="str">
        <f t="shared" si="145"/>
        <v>2021_7</v>
      </c>
      <c r="EI23" t="str">
        <f t="shared" si="145"/>
        <v>2021_7</v>
      </c>
      <c r="EJ23" t="str">
        <f t="shared" si="145"/>
        <v>2021_7</v>
      </c>
      <c r="EK23" t="str">
        <f t="shared" si="145"/>
        <v>2021_7</v>
      </c>
      <c r="EL23" t="str">
        <f t="shared" si="145"/>
        <v>2021_7</v>
      </c>
      <c r="EM23" t="str">
        <f t="shared" si="145"/>
        <v>2021_7</v>
      </c>
      <c r="EN23" t="str">
        <f t="shared" si="146"/>
        <v>2021_7</v>
      </c>
      <c r="EO23" t="str">
        <f t="shared" si="146"/>
        <v>2021_7</v>
      </c>
      <c r="EP23" t="str">
        <f t="shared" si="146"/>
        <v>2021_7</v>
      </c>
      <c r="EQ23" t="str">
        <f t="shared" si="146"/>
        <v>2021_7</v>
      </c>
      <c r="ER23" t="str">
        <f t="shared" si="146"/>
        <v>2021_7</v>
      </c>
      <c r="ES23" t="str">
        <f t="shared" si="146"/>
        <v>2021_7</v>
      </c>
      <c r="ET23" t="str">
        <f t="shared" si="146"/>
        <v>2021_7</v>
      </c>
      <c r="EU23" t="str">
        <f t="shared" si="146"/>
        <v>2021_7</v>
      </c>
      <c r="EV23" t="str">
        <f t="shared" si="146"/>
        <v>2021_7</v>
      </c>
      <c r="EW23" t="str">
        <f t="shared" si="146"/>
        <v>2021_7</v>
      </c>
      <c r="EX23" t="str">
        <f t="shared" si="146"/>
        <v>2021_7</v>
      </c>
      <c r="EY23" t="str">
        <f t="shared" si="146"/>
        <v>2021_7</v>
      </c>
      <c r="FB23" s="10" t="s">
        <v>37</v>
      </c>
      <c r="FC23">
        <f t="shared" si="197"/>
        <v>0</v>
      </c>
      <c r="FD23">
        <f t="shared" si="147"/>
        <v>0</v>
      </c>
      <c r="FE23">
        <f t="shared" si="148"/>
        <v>0</v>
      </c>
      <c r="FF23">
        <f t="shared" si="149"/>
        <v>0</v>
      </c>
      <c r="FG23">
        <f t="shared" si="150"/>
        <v>0</v>
      </c>
      <c r="FH23">
        <f t="shared" si="151"/>
        <v>0</v>
      </c>
      <c r="FI23">
        <f t="shared" si="152"/>
        <v>0</v>
      </c>
      <c r="FJ23">
        <f t="shared" si="153"/>
        <v>0</v>
      </c>
      <c r="FK23">
        <f t="shared" si="154"/>
        <v>0</v>
      </c>
      <c r="FL23">
        <f t="shared" si="155"/>
        <v>0</v>
      </c>
      <c r="FM23">
        <f t="shared" si="156"/>
        <v>0</v>
      </c>
      <c r="FN23">
        <f t="shared" si="157"/>
        <v>0</v>
      </c>
      <c r="FO23">
        <f t="shared" si="158"/>
        <v>0</v>
      </c>
      <c r="FP23">
        <f t="shared" si="159"/>
        <v>0</v>
      </c>
      <c r="FQ23">
        <f t="shared" si="160"/>
        <v>0</v>
      </c>
      <c r="FR23">
        <f t="shared" si="161"/>
        <v>1</v>
      </c>
      <c r="FS23">
        <f t="shared" si="162"/>
        <v>1</v>
      </c>
      <c r="FT23">
        <f t="shared" si="163"/>
        <v>1</v>
      </c>
      <c r="FU23">
        <f t="shared" si="164"/>
        <v>1</v>
      </c>
      <c r="FV23">
        <f t="shared" si="165"/>
        <v>1</v>
      </c>
      <c r="FW23">
        <f t="shared" si="166"/>
        <v>1</v>
      </c>
      <c r="FX23">
        <f t="shared" si="167"/>
        <v>1</v>
      </c>
      <c r="FY23">
        <f t="shared" si="168"/>
        <v>1</v>
      </c>
      <c r="FZ23">
        <f t="shared" si="169"/>
        <v>1</v>
      </c>
      <c r="GA23">
        <f t="shared" si="170"/>
        <v>1</v>
      </c>
      <c r="GB23">
        <f t="shared" si="171"/>
        <v>1</v>
      </c>
      <c r="GC23">
        <f t="shared" si="172"/>
        <v>1</v>
      </c>
      <c r="GD23">
        <f t="shared" si="173"/>
        <v>1</v>
      </c>
      <c r="GE23">
        <f t="shared" si="174"/>
        <v>1</v>
      </c>
      <c r="GF23">
        <f t="shared" si="175"/>
        <v>1</v>
      </c>
      <c r="GG23">
        <f t="shared" si="176"/>
        <v>1</v>
      </c>
      <c r="GH23">
        <f t="shared" si="177"/>
        <v>1</v>
      </c>
      <c r="GI23">
        <f t="shared" si="178"/>
        <v>1</v>
      </c>
      <c r="GJ23">
        <f t="shared" si="179"/>
        <v>1</v>
      </c>
      <c r="GK23">
        <f t="shared" si="180"/>
        <v>1</v>
      </c>
      <c r="GL23">
        <f t="shared" si="181"/>
        <v>1</v>
      </c>
      <c r="GM23">
        <f t="shared" si="182"/>
        <v>1</v>
      </c>
      <c r="GN23">
        <f t="shared" si="183"/>
        <v>1</v>
      </c>
      <c r="GO23">
        <f t="shared" si="184"/>
        <v>1</v>
      </c>
      <c r="GP23">
        <f t="shared" si="185"/>
        <v>1</v>
      </c>
      <c r="GQ23">
        <f t="shared" si="186"/>
        <v>1</v>
      </c>
      <c r="GR23">
        <f t="shared" si="187"/>
        <v>1</v>
      </c>
      <c r="GS23">
        <f t="shared" si="188"/>
        <v>1</v>
      </c>
      <c r="GT23">
        <f t="shared" si="189"/>
        <v>1</v>
      </c>
      <c r="GU23">
        <f t="shared" si="190"/>
        <v>1</v>
      </c>
      <c r="GX23" s="10"/>
    </row>
    <row r="24" spans="1:206" x14ac:dyDescent="0.3">
      <c r="A24" s="9" t="s">
        <v>55</v>
      </c>
      <c r="B24" s="80"/>
      <c r="C24" s="9">
        <v>3131202001</v>
      </c>
      <c r="D24" s="9" t="s">
        <v>362</v>
      </c>
      <c r="E24" s="9" t="s">
        <v>39</v>
      </c>
      <c r="F24" s="9" t="s">
        <v>35</v>
      </c>
      <c r="G24" s="9" t="s">
        <v>56</v>
      </c>
      <c r="H24" s="10">
        <v>44390</v>
      </c>
      <c r="I24" s="9">
        <f t="shared" si="191"/>
        <v>2021</v>
      </c>
      <c r="J24" s="9">
        <f t="shared" si="192"/>
        <v>7</v>
      </c>
      <c r="K24" s="9" t="str">
        <f t="shared" si="193"/>
        <v>2021_7</v>
      </c>
      <c r="L24">
        <f>MAX(0,VLOOKUP($K24,lookups!$A$1:$B$45,2,0)-12)</f>
        <v>3</v>
      </c>
      <c r="M24" s="40">
        <f t="shared" si="194"/>
        <v>44378</v>
      </c>
      <c r="N24" s="10" t="s">
        <v>37</v>
      </c>
      <c r="O24" t="str">
        <f ca="1">IF(OR($L24&gt;O$4,O$4&gt;$L24+23),"",OFFSET(Electric!$L15,0,-'Electric Calendarize'!$L24+'Electric Calendarize'!O$4+1))</f>
        <v/>
      </c>
      <c r="P24" t="str">
        <f ca="1">IF(OR($L24&gt;P$4,P$4&gt;$L24+23),"",OFFSET(Electric!$L15,0,-'Electric Calendarize'!$L24+'Electric Calendarize'!P$4+1))</f>
        <v/>
      </c>
      <c r="Q24" t="str">
        <f ca="1">IF(OR($L24&gt;Q$4,Q$4&gt;$L24+23),"",OFFSET(Electric!$L15,0,-'Electric Calendarize'!$L24+'Electric Calendarize'!Q$4+1))</f>
        <v/>
      </c>
      <c r="R24">
        <f ca="1">IF(OR($L24&gt;R$4,R$4&gt;$L24+23),"",OFFSET(Electric!$L15,0,-'Electric Calendarize'!$L24+'Electric Calendarize'!R$4+1))</f>
        <v>1468</v>
      </c>
      <c r="S24">
        <f ca="1">IF(OR($L24&gt;S$4,S$4&gt;$L24+23),"",OFFSET(Electric!$L15,0,-'Electric Calendarize'!$L24+'Electric Calendarize'!S$4+1))</f>
        <v>1536</v>
      </c>
      <c r="T24">
        <f ca="1">IF(OR($L24&gt;T$4,T$4&gt;$L24+23),"",OFFSET(Electric!$L15,0,-'Electric Calendarize'!$L24+'Electric Calendarize'!T$4+1))</f>
        <v>878</v>
      </c>
      <c r="U24">
        <f ca="1">IF(OR($L24&gt;U$4,U$4&gt;$L24+23),"",OFFSET(Electric!$L15,0,-'Electric Calendarize'!$L24+'Electric Calendarize'!U$4+1))</f>
        <v>678</v>
      </c>
      <c r="V24">
        <f ca="1">IF(OR($L24&gt;V$4,V$4&gt;$L24+23),"",OFFSET(Electric!$L15,0,-'Electric Calendarize'!$L24+'Electric Calendarize'!V$4+1))</f>
        <v>1056</v>
      </c>
      <c r="W24">
        <f ca="1">IF(OR($L24&gt;W$4,W$4&gt;$L24+23),"",OFFSET(Electric!$L15,0,-'Electric Calendarize'!$L24+'Electric Calendarize'!W$4+1))</f>
        <v>2328</v>
      </c>
      <c r="X24">
        <f ca="1">IF(OR($L24&gt;X$4,X$4&gt;$L24+23),"",OFFSET(Electric!$L15,0,-'Electric Calendarize'!$L24+'Electric Calendarize'!X$4+1))</f>
        <v>2030</v>
      </c>
      <c r="Y24">
        <f ca="1">IF(OR($L24&gt;Y$4,Y$4&gt;$L24+23),"",OFFSET(Electric!$L15,0,-'Electric Calendarize'!$L24+'Electric Calendarize'!Y$4+1))</f>
        <v>2308</v>
      </c>
      <c r="Z24">
        <f ca="1">IF(OR($L24&gt;Z$4,Z$4&gt;$L24+23),"",OFFSET(Electric!$L15,0,-'Electric Calendarize'!$L24+'Electric Calendarize'!Z$4+1))</f>
        <v>1566</v>
      </c>
      <c r="AA24">
        <f ca="1">IF(OR($L24&gt;AA$4,AA$4&gt;$L24+23),"",OFFSET(Electric!$L15,0,-'Electric Calendarize'!$L24+'Electric Calendarize'!AA$4+1))</f>
        <v>696</v>
      </c>
      <c r="AB24">
        <f ca="1">IF(OR($L24&gt;AB$4,AB$4&gt;$L24+23),"",OFFSET(Electric!$L15,0,-'Electric Calendarize'!$L24+'Electric Calendarize'!AB$4+1))</f>
        <v>1032</v>
      </c>
      <c r="AC24">
        <f ca="1">IF(OR($L24&gt;AC$4,AC$4&gt;$L24+23),"",OFFSET(Electric!$L15,0,-'Electric Calendarize'!$L24+'Electric Calendarize'!AC$4+1))</f>
        <v>1836</v>
      </c>
      <c r="AD24">
        <f ca="1">IF(OR($L24&gt;AD$4,AD$4&gt;$L24+23),"",OFFSET(Electric!$L15,0,-'Electric Calendarize'!$L24+'Electric Calendarize'!AD$4+1))</f>
        <v>1394</v>
      </c>
      <c r="AE24">
        <f ca="1">IF(OR($L24&gt;AE$4,AE$4&gt;$L24+23),"",OFFSET(Electric!$L15,0,-'Electric Calendarize'!$L24+'Electric Calendarize'!AE$4+1))</f>
        <v>1414</v>
      </c>
      <c r="AF24">
        <f ca="1">IF(OR($L24&gt;AF$4,AF$4&gt;$L24+23),"",OFFSET(Electric!$L15,0,-'Electric Calendarize'!$L24+'Electric Calendarize'!AF$4+1))</f>
        <v>1016</v>
      </c>
      <c r="AG24">
        <f ca="1">IF(OR($L24&gt;AG$4,AG$4&gt;$L24+23),"",OFFSET(Electric!$L15,0,-'Electric Calendarize'!$L24+'Electric Calendarize'!AG$4+1))</f>
        <v>682</v>
      </c>
      <c r="AH24">
        <f ca="1">IF(OR($L24&gt;AH$4,AH$4&gt;$L24+23),"",OFFSET(Electric!$L15,0,-'Electric Calendarize'!$L24+'Electric Calendarize'!AH$4+1))</f>
        <v>982</v>
      </c>
      <c r="AI24">
        <f ca="1">IF(OR($L24&gt;AI$4,AI$4&gt;$L24+23),"",OFFSET(Electric!$L15,0,-'Electric Calendarize'!$L24+'Electric Calendarize'!AI$4+1))</f>
        <v>1730</v>
      </c>
      <c r="AJ24">
        <f ca="1">IF(OR($L24&gt;AJ$4,AJ$4&gt;$L24+23),"",OFFSET(Electric!$L15,0,-'Electric Calendarize'!$L24+'Electric Calendarize'!AJ$4+1))</f>
        <v>2834</v>
      </c>
      <c r="AK24">
        <f ca="1">IF(OR($L24&gt;AK$4,AK$4&gt;$L24+23),"",OFFSET(Electric!$L15,0,-'Electric Calendarize'!$L24+'Electric Calendarize'!AK$4+1))</f>
        <v>2776</v>
      </c>
      <c r="AL24">
        <f ca="1">IF(OR($L24&gt;AL$4,AL$4&gt;$L24+23),"",OFFSET(Electric!$L15,0,-'Electric Calendarize'!$L24+'Electric Calendarize'!AL$4+1))</f>
        <v>1714</v>
      </c>
      <c r="AM24">
        <f ca="1">IF(OR($L24&gt;AM$4,AM$4&gt;$L24+23),"",OFFSET(Electric!$L15,0,-'Electric Calendarize'!$L24+'Electric Calendarize'!AM$4+1))</f>
        <v>840</v>
      </c>
      <c r="AN24">
        <f ca="1">IF(OR($L24&gt;AN$4,AN$4&gt;$L24+23),"",OFFSET(Electric!$L15,0,-'Electric Calendarize'!$L24+'Electric Calendarize'!AN$4+1))</f>
        <v>674</v>
      </c>
      <c r="AO24">
        <f ca="1">IF(OR($L24&gt;AO$4,AO$4&gt;$L24+23),"",OFFSET(Electric!$L15,0,-'Electric Calendarize'!$L24+'Electric Calendarize'!AO$4+1))</f>
        <v>610</v>
      </c>
      <c r="AP24" t="str">
        <f ca="1">IF(OR($L24&gt;AP$4,AP$4&gt;$L24+23),"",OFFSET(Electric!$L15,0,-'Electric Calendarize'!$L24+'Electric Calendarize'!AP$4+1))</f>
        <v/>
      </c>
      <c r="AQ24" t="str">
        <f ca="1">IF(OR($L24&gt;AQ$4,AQ$4&gt;$L24+23),"",OFFSET(Electric!$L15,0,-'Electric Calendarize'!$L24+'Electric Calendarize'!AQ$4+1))</f>
        <v/>
      </c>
      <c r="AR24" t="str">
        <f ca="1">IF(OR($L24&gt;AR$4,AR$4&gt;$L24+23),"",OFFSET(Electric!$L15,0,-'Electric Calendarize'!$L24+'Electric Calendarize'!AR$4+1))</f>
        <v/>
      </c>
      <c r="AS24" t="str">
        <f ca="1">IF(OR($L24&gt;AS$4,AS$4&gt;$L24+23),"",OFFSET(Electric!$L15,0,-'Electric Calendarize'!$L24+'Electric Calendarize'!AS$4+1))</f>
        <v/>
      </c>
      <c r="AT24" t="str">
        <f ca="1">IF(OR($L24&gt;AT$4,AT$4&gt;$L24+23),"",OFFSET(Electric!$L15,0,-'Electric Calendarize'!$L24+'Electric Calendarize'!AT$4+1))</f>
        <v/>
      </c>
      <c r="AU24" t="str">
        <f ca="1">IF(OR($L24&gt;AU$4,AU$4&gt;$L24+23),"",OFFSET(Electric!$L15,0,-'Electric Calendarize'!$L24+'Electric Calendarize'!AU$4+1))</f>
        <v/>
      </c>
      <c r="AV24" t="str">
        <f ca="1">IF(OR($L24&gt;AV$4,AV$4&gt;$L24+23),"",OFFSET(Electric!$L15,0,-'Electric Calendarize'!$L24+'Electric Calendarize'!AV$4+1))</f>
        <v/>
      </c>
      <c r="AW24" t="str">
        <f ca="1">IF(OR($L24&gt;AW$4,AW$4&gt;$L24+23),"",OFFSET(Electric!$L15,0,-'Electric Calendarize'!$L24+'Electric Calendarize'!AW$4+1))</f>
        <v/>
      </c>
      <c r="AX24" t="str">
        <f ca="1">IF(OR($L24&gt;AX$4,AX$4&gt;$L24+23),"",OFFSET(Electric!$L15,0,-'Electric Calendarize'!$L24+'Electric Calendarize'!AX$4+1))</f>
        <v/>
      </c>
      <c r="AY24" t="str">
        <f ca="1">IF(OR($L24&gt;AY$4,AY$4&gt;$L24+23),"",OFFSET(Electric!$L15,0,-'Electric Calendarize'!$L24+'Electric Calendarize'!AY$4+1))</f>
        <v/>
      </c>
      <c r="AZ24" t="str">
        <f ca="1">IF(OR($L24&gt;AZ$4,AZ$4&gt;$L24+23),"",OFFSET(Electric!$L15,0,-'Electric Calendarize'!$L24+'Electric Calendarize'!AZ$4+1))</f>
        <v/>
      </c>
      <c r="BA24" t="str">
        <f ca="1">IF(OR($L24&gt;BA$4,BA$4&gt;$L24+23),"",OFFSET(Electric!$L15,0,-'Electric Calendarize'!$L24+'Electric Calendarize'!BA$4+1))</f>
        <v/>
      </c>
      <c r="BB24" t="str">
        <f ca="1">IF(OR($L24&gt;BB$4,BB$4&gt;$L24+23),"",OFFSET(Electric!$L15,0,-'Electric Calendarize'!$L24+'Electric Calendarize'!BB$4+1))</f>
        <v/>
      </c>
      <c r="BC24" t="str">
        <f ca="1">IF(OR($L24&gt;BC$4,BC$4&gt;$L24+23),"",OFFSET(Electric!$L15,0,-'Electric Calendarize'!$L24+'Electric Calendarize'!BC$4+1))</f>
        <v/>
      </c>
      <c r="BD24" t="str">
        <f ca="1">IF(OR($L24&gt;BD$4,BD$4&gt;$L24+23),"",OFFSET(Electric!$L15,0,-'Electric Calendarize'!$L24+'Electric Calendarize'!BD$4+1))</f>
        <v/>
      </c>
      <c r="BE24" t="str">
        <f ca="1">IF(OR($L24&gt;BE$4,BE$4&gt;$L24+23),"",OFFSET(Electric!$L15,0,-'Electric Calendarize'!$L24+'Electric Calendarize'!BE$4+1))</f>
        <v/>
      </c>
      <c r="BF24" t="str">
        <f ca="1">IF(OR($L24&gt;BF$4,BF$4&gt;$L24+23),"",OFFSET(Electric!$L15,0,-'Electric Calendarize'!$L24+'Electric Calendarize'!BF$4+1))</f>
        <v/>
      </c>
      <c r="BG24" t="str">
        <f ca="1">IF(OR($L24&gt;BG$4,BG$4&gt;$L24+23),"",OFFSET(Electric!$L15,0,-'Electric Calendarize'!$L24+'Electric Calendarize'!BG$4+1))</f>
        <v/>
      </c>
      <c r="BJ24" s="10" t="s">
        <v>37</v>
      </c>
      <c r="BK24">
        <f t="shared" si="195"/>
        <v>1</v>
      </c>
      <c r="BL24">
        <f t="shared" si="100"/>
        <v>0</v>
      </c>
      <c r="BM24">
        <f t="shared" si="101"/>
        <v>0</v>
      </c>
      <c r="BN24">
        <f t="shared" si="102"/>
        <v>0</v>
      </c>
      <c r="BO24">
        <f t="shared" si="103"/>
        <v>0</v>
      </c>
      <c r="BP24">
        <f t="shared" si="104"/>
        <v>0</v>
      </c>
      <c r="BQ24">
        <f t="shared" si="105"/>
        <v>0</v>
      </c>
      <c r="BR24">
        <f t="shared" si="106"/>
        <v>1</v>
      </c>
      <c r="BS24">
        <f t="shared" si="107"/>
        <v>1</v>
      </c>
      <c r="BT24">
        <f t="shared" si="108"/>
        <v>1</v>
      </c>
      <c r="BU24">
        <f t="shared" si="109"/>
        <v>1</v>
      </c>
      <c r="BV24">
        <f t="shared" si="110"/>
        <v>1</v>
      </c>
      <c r="BW24">
        <f t="shared" si="111"/>
        <v>1</v>
      </c>
      <c r="BX24">
        <f t="shared" si="112"/>
        <v>0</v>
      </c>
      <c r="BY24">
        <f t="shared" si="113"/>
        <v>0</v>
      </c>
      <c r="BZ24">
        <f t="shared" si="114"/>
        <v>0</v>
      </c>
      <c r="CA24">
        <f t="shared" si="115"/>
        <v>0</v>
      </c>
      <c r="CB24">
        <f t="shared" si="116"/>
        <v>0</v>
      </c>
      <c r="CC24">
        <f t="shared" si="117"/>
        <v>0</v>
      </c>
      <c r="CD24">
        <f t="shared" si="118"/>
        <v>1</v>
      </c>
      <c r="CE24">
        <f t="shared" si="119"/>
        <v>1</v>
      </c>
      <c r="CF24">
        <f t="shared" si="120"/>
        <v>1</v>
      </c>
      <c r="CG24">
        <f t="shared" si="121"/>
        <v>1</v>
      </c>
      <c r="CH24">
        <f t="shared" si="122"/>
        <v>1</v>
      </c>
      <c r="CI24">
        <f t="shared" si="123"/>
        <v>1</v>
      </c>
      <c r="CJ24">
        <f t="shared" si="124"/>
        <v>0</v>
      </c>
      <c r="CK24">
        <f t="shared" si="125"/>
        <v>0</v>
      </c>
      <c r="CL24">
        <f t="shared" si="126"/>
        <v>0</v>
      </c>
      <c r="CM24">
        <f t="shared" si="127"/>
        <v>0</v>
      </c>
      <c r="CN24">
        <f t="shared" si="128"/>
        <v>0</v>
      </c>
      <c r="CO24">
        <f t="shared" si="129"/>
        <v>0</v>
      </c>
      <c r="CP24">
        <f t="shared" si="130"/>
        <v>1</v>
      </c>
      <c r="CQ24">
        <f t="shared" si="131"/>
        <v>1</v>
      </c>
      <c r="CR24">
        <f t="shared" si="132"/>
        <v>1</v>
      </c>
      <c r="CS24">
        <f t="shared" si="133"/>
        <v>1</v>
      </c>
      <c r="CT24">
        <f t="shared" si="134"/>
        <v>1</v>
      </c>
      <c r="CU24">
        <f t="shared" si="135"/>
        <v>1</v>
      </c>
      <c r="CV24">
        <f t="shared" si="136"/>
        <v>0</v>
      </c>
      <c r="CW24">
        <f t="shared" si="137"/>
        <v>0</v>
      </c>
      <c r="CX24">
        <f t="shared" si="138"/>
        <v>0</v>
      </c>
      <c r="CY24">
        <f t="shared" si="139"/>
        <v>0</v>
      </c>
      <c r="CZ24">
        <f t="shared" si="140"/>
        <v>0</v>
      </c>
      <c r="DA24">
        <f t="shared" si="141"/>
        <v>0</v>
      </c>
      <c r="DB24">
        <f t="shared" si="142"/>
        <v>1</v>
      </c>
      <c r="DC24">
        <f t="shared" si="143"/>
        <v>1</v>
      </c>
      <c r="DF24" s="10" t="s">
        <v>37</v>
      </c>
      <c r="DG24" t="str">
        <f t="shared" si="196"/>
        <v>2021_7</v>
      </c>
      <c r="DH24" t="str">
        <f t="shared" si="144"/>
        <v>2021_7</v>
      </c>
      <c r="DI24" t="str">
        <f t="shared" si="144"/>
        <v>2021_7</v>
      </c>
      <c r="DJ24" t="str">
        <f t="shared" si="144"/>
        <v>2021_7</v>
      </c>
      <c r="DK24" t="str">
        <f t="shared" si="144"/>
        <v>2021_7</v>
      </c>
      <c r="DL24" t="str">
        <f t="shared" si="144"/>
        <v>2021_7</v>
      </c>
      <c r="DM24" t="str">
        <f t="shared" si="144"/>
        <v>2021_7</v>
      </c>
      <c r="DN24" t="str">
        <f t="shared" si="144"/>
        <v>2021_7</v>
      </c>
      <c r="DO24" t="str">
        <f t="shared" si="144"/>
        <v>2021_7</v>
      </c>
      <c r="DP24" t="str">
        <f t="shared" si="144"/>
        <v>2021_7</v>
      </c>
      <c r="DQ24" t="str">
        <f t="shared" si="144"/>
        <v>2021_7</v>
      </c>
      <c r="DR24" t="str">
        <f t="shared" si="144"/>
        <v>2021_7</v>
      </c>
      <c r="DS24" t="str">
        <f t="shared" si="144"/>
        <v>2021_7</v>
      </c>
      <c r="DT24" t="str">
        <f t="shared" si="144"/>
        <v>2021_7</v>
      </c>
      <c r="DU24" t="str">
        <f t="shared" si="144"/>
        <v>2021_7</v>
      </c>
      <c r="DV24" t="str">
        <f t="shared" si="144"/>
        <v>2021_7</v>
      </c>
      <c r="DW24" t="str">
        <f t="shared" si="144"/>
        <v>2021_7</v>
      </c>
      <c r="DX24" t="str">
        <f t="shared" si="145"/>
        <v>2021_7</v>
      </c>
      <c r="DY24" t="str">
        <f t="shared" si="145"/>
        <v>2021_7</v>
      </c>
      <c r="DZ24" t="str">
        <f t="shared" si="145"/>
        <v>2021_7</v>
      </c>
      <c r="EA24" t="str">
        <f t="shared" si="145"/>
        <v>2021_7</v>
      </c>
      <c r="EB24" t="str">
        <f t="shared" si="145"/>
        <v>2021_7</v>
      </c>
      <c r="EC24" t="str">
        <f t="shared" si="145"/>
        <v>2021_7</v>
      </c>
      <c r="ED24" t="str">
        <f t="shared" si="145"/>
        <v>2021_7</v>
      </c>
      <c r="EE24" t="str">
        <f t="shared" si="145"/>
        <v>2021_7</v>
      </c>
      <c r="EF24" t="str">
        <f t="shared" si="145"/>
        <v>2021_7</v>
      </c>
      <c r="EG24" t="str">
        <f t="shared" si="145"/>
        <v>2021_7</v>
      </c>
      <c r="EH24" t="str">
        <f t="shared" si="145"/>
        <v>2021_7</v>
      </c>
      <c r="EI24" t="str">
        <f t="shared" si="145"/>
        <v>2021_7</v>
      </c>
      <c r="EJ24" t="str">
        <f t="shared" si="145"/>
        <v>2021_7</v>
      </c>
      <c r="EK24" t="str">
        <f t="shared" si="145"/>
        <v>2021_7</v>
      </c>
      <c r="EL24" t="str">
        <f t="shared" si="145"/>
        <v>2021_7</v>
      </c>
      <c r="EM24" t="str">
        <f t="shared" si="145"/>
        <v>2021_7</v>
      </c>
      <c r="EN24" t="str">
        <f t="shared" si="146"/>
        <v>2021_7</v>
      </c>
      <c r="EO24" t="str">
        <f t="shared" si="146"/>
        <v>2021_7</v>
      </c>
      <c r="EP24" t="str">
        <f t="shared" si="146"/>
        <v>2021_7</v>
      </c>
      <c r="EQ24" t="str">
        <f t="shared" si="146"/>
        <v>2021_7</v>
      </c>
      <c r="ER24" t="str">
        <f t="shared" si="146"/>
        <v>2021_7</v>
      </c>
      <c r="ES24" t="str">
        <f t="shared" si="146"/>
        <v>2021_7</v>
      </c>
      <c r="ET24" t="str">
        <f t="shared" si="146"/>
        <v>2021_7</v>
      </c>
      <c r="EU24" t="str">
        <f t="shared" si="146"/>
        <v>2021_7</v>
      </c>
      <c r="EV24" t="str">
        <f t="shared" si="146"/>
        <v>2021_7</v>
      </c>
      <c r="EW24" t="str">
        <f t="shared" si="146"/>
        <v>2021_7</v>
      </c>
      <c r="EX24" t="str">
        <f t="shared" si="146"/>
        <v>2021_7</v>
      </c>
      <c r="EY24" t="str">
        <f t="shared" si="146"/>
        <v>2021_7</v>
      </c>
      <c r="FB24" s="10" t="s">
        <v>37</v>
      </c>
      <c r="FC24">
        <f t="shared" si="197"/>
        <v>0</v>
      </c>
      <c r="FD24">
        <f t="shared" si="147"/>
        <v>0</v>
      </c>
      <c r="FE24">
        <f t="shared" si="148"/>
        <v>0</v>
      </c>
      <c r="FF24">
        <f t="shared" si="149"/>
        <v>0</v>
      </c>
      <c r="FG24">
        <f t="shared" si="150"/>
        <v>0</v>
      </c>
      <c r="FH24">
        <f t="shared" si="151"/>
        <v>0</v>
      </c>
      <c r="FI24">
        <f t="shared" si="152"/>
        <v>0</v>
      </c>
      <c r="FJ24">
        <f t="shared" si="153"/>
        <v>0</v>
      </c>
      <c r="FK24">
        <f t="shared" si="154"/>
        <v>0</v>
      </c>
      <c r="FL24">
        <f t="shared" si="155"/>
        <v>0</v>
      </c>
      <c r="FM24">
        <f t="shared" si="156"/>
        <v>0</v>
      </c>
      <c r="FN24">
        <f t="shared" si="157"/>
        <v>0</v>
      </c>
      <c r="FO24">
        <f t="shared" si="158"/>
        <v>0</v>
      </c>
      <c r="FP24">
        <f t="shared" si="159"/>
        <v>0</v>
      </c>
      <c r="FQ24">
        <f t="shared" si="160"/>
        <v>0</v>
      </c>
      <c r="FR24">
        <f t="shared" si="161"/>
        <v>1</v>
      </c>
      <c r="FS24">
        <f t="shared" si="162"/>
        <v>1</v>
      </c>
      <c r="FT24">
        <f t="shared" si="163"/>
        <v>1</v>
      </c>
      <c r="FU24">
        <f t="shared" si="164"/>
        <v>1</v>
      </c>
      <c r="FV24">
        <f t="shared" si="165"/>
        <v>1</v>
      </c>
      <c r="FW24">
        <f t="shared" si="166"/>
        <v>1</v>
      </c>
      <c r="FX24">
        <f t="shared" si="167"/>
        <v>1</v>
      </c>
      <c r="FY24">
        <f t="shared" si="168"/>
        <v>1</v>
      </c>
      <c r="FZ24">
        <f t="shared" si="169"/>
        <v>1</v>
      </c>
      <c r="GA24">
        <f t="shared" si="170"/>
        <v>1</v>
      </c>
      <c r="GB24">
        <f t="shared" si="171"/>
        <v>1</v>
      </c>
      <c r="GC24">
        <f t="shared" si="172"/>
        <v>1</v>
      </c>
      <c r="GD24">
        <f t="shared" si="173"/>
        <v>1</v>
      </c>
      <c r="GE24">
        <f t="shared" si="174"/>
        <v>1</v>
      </c>
      <c r="GF24">
        <f t="shared" si="175"/>
        <v>1</v>
      </c>
      <c r="GG24">
        <f t="shared" si="176"/>
        <v>1</v>
      </c>
      <c r="GH24">
        <f t="shared" si="177"/>
        <v>1</v>
      </c>
      <c r="GI24">
        <f t="shared" si="178"/>
        <v>1</v>
      </c>
      <c r="GJ24">
        <f t="shared" si="179"/>
        <v>1</v>
      </c>
      <c r="GK24">
        <f t="shared" si="180"/>
        <v>1</v>
      </c>
      <c r="GL24">
        <f t="shared" si="181"/>
        <v>1</v>
      </c>
      <c r="GM24">
        <f t="shared" si="182"/>
        <v>1</v>
      </c>
      <c r="GN24">
        <f t="shared" si="183"/>
        <v>1</v>
      </c>
      <c r="GO24">
        <f t="shared" si="184"/>
        <v>1</v>
      </c>
      <c r="GP24">
        <f t="shared" si="185"/>
        <v>1</v>
      </c>
      <c r="GQ24">
        <f t="shared" si="186"/>
        <v>1</v>
      </c>
      <c r="GR24">
        <f t="shared" si="187"/>
        <v>1</v>
      </c>
      <c r="GS24">
        <f t="shared" si="188"/>
        <v>1</v>
      </c>
      <c r="GT24">
        <f t="shared" si="189"/>
        <v>1</v>
      </c>
      <c r="GU24">
        <f t="shared" si="190"/>
        <v>1</v>
      </c>
      <c r="GX24" s="10"/>
    </row>
    <row r="25" spans="1:206" x14ac:dyDescent="0.3">
      <c r="A25" s="9" t="s">
        <v>41</v>
      </c>
      <c r="B25" s="80"/>
      <c r="C25" s="9">
        <v>3112862001</v>
      </c>
      <c r="D25" s="9" t="s">
        <v>363</v>
      </c>
      <c r="E25" s="9" t="s">
        <v>43</v>
      </c>
      <c r="F25" s="9" t="s">
        <v>35</v>
      </c>
      <c r="G25" s="9" t="s">
        <v>57</v>
      </c>
      <c r="H25" s="10">
        <v>44392</v>
      </c>
      <c r="I25" s="9">
        <f t="shared" si="191"/>
        <v>2021</v>
      </c>
      <c r="J25" s="9">
        <f t="shared" si="192"/>
        <v>7</v>
      </c>
      <c r="K25" s="9" t="str">
        <f t="shared" si="193"/>
        <v>2021_7</v>
      </c>
      <c r="L25">
        <f>MAX(0,VLOOKUP($K25,lookups!$A$1:$B$45,2,0)-12)</f>
        <v>3</v>
      </c>
      <c r="M25" s="40">
        <f t="shared" si="194"/>
        <v>44378</v>
      </c>
      <c r="N25" s="10" t="s">
        <v>37</v>
      </c>
      <c r="O25" t="str">
        <f ca="1">IF(OR($L25&gt;O$4,O$4&gt;$L25+23),"",OFFSET(Electric!$L16,0,-'Electric Calendarize'!$L25+'Electric Calendarize'!O$4+1))</f>
        <v/>
      </c>
      <c r="P25" t="str">
        <f ca="1">IF(OR($L25&gt;P$4,P$4&gt;$L25+23),"",OFFSET(Electric!$L16,0,-'Electric Calendarize'!$L25+'Electric Calendarize'!P$4+1))</f>
        <v/>
      </c>
      <c r="Q25" t="str">
        <f ca="1">IF(OR($L25&gt;Q$4,Q$4&gt;$L25+23),"",OFFSET(Electric!$L16,0,-'Electric Calendarize'!$L25+'Electric Calendarize'!Q$4+1))</f>
        <v/>
      </c>
      <c r="R25">
        <f ca="1">IF(OR($L25&gt;R$4,R$4&gt;$L25+23),"",OFFSET(Electric!$L16,0,-'Electric Calendarize'!$L25+'Electric Calendarize'!R$4+1))</f>
        <v>666</v>
      </c>
      <c r="S25">
        <f ca="1">IF(OR($L25&gt;S$4,S$4&gt;$L25+23),"",OFFSET(Electric!$L16,0,-'Electric Calendarize'!$L25+'Electric Calendarize'!S$4+1))</f>
        <v>573</v>
      </c>
      <c r="T25">
        <f ca="1">IF(OR($L25&gt;T$4,T$4&gt;$L25+23),"",OFFSET(Electric!$L16,0,-'Electric Calendarize'!$L25+'Electric Calendarize'!T$4+1))</f>
        <v>540</v>
      </c>
      <c r="U25">
        <f ca="1">IF(OR($L25&gt;U$4,U$4&gt;$L25+23),"",OFFSET(Electric!$L16,0,-'Electric Calendarize'!$L25+'Electric Calendarize'!U$4+1))</f>
        <v>480</v>
      </c>
      <c r="V25">
        <f ca="1">IF(OR($L25&gt;V$4,V$4&gt;$L25+23),"",OFFSET(Electric!$L16,0,-'Electric Calendarize'!$L25+'Electric Calendarize'!V$4+1))</f>
        <v>463</v>
      </c>
      <c r="W25">
        <f ca="1">IF(OR($L25&gt;W$4,W$4&gt;$L25+23),"",OFFSET(Electric!$L16,0,-'Electric Calendarize'!$L25+'Electric Calendarize'!W$4+1))</f>
        <v>570</v>
      </c>
      <c r="X25">
        <f ca="1">IF(OR($L25&gt;X$4,X$4&gt;$L25+23),"",OFFSET(Electric!$L16,0,-'Electric Calendarize'!$L25+'Electric Calendarize'!X$4+1))</f>
        <v>665</v>
      </c>
      <c r="Y25">
        <f ca="1">IF(OR($L25&gt;Y$4,Y$4&gt;$L25+23),"",OFFSET(Electric!$L16,0,-'Electric Calendarize'!$L25+'Electric Calendarize'!Y$4+1))</f>
        <v>574</v>
      </c>
      <c r="Z25">
        <f ca="1">IF(OR($L25&gt;Z$4,Z$4&gt;$L25+23),"",OFFSET(Electric!$L16,0,-'Electric Calendarize'!$L25+'Electric Calendarize'!Z$4+1))</f>
        <v>553</v>
      </c>
      <c r="AA25">
        <f ca="1">IF(OR($L25&gt;AA$4,AA$4&gt;$L25+23),"",OFFSET(Electric!$L16,0,-'Electric Calendarize'!$L25+'Electric Calendarize'!AA$4+1))</f>
        <v>499</v>
      </c>
      <c r="AB25">
        <f ca="1">IF(OR($L25&gt;AB$4,AB$4&gt;$L25+23),"",OFFSET(Electric!$L16,0,-'Electric Calendarize'!$L25+'Electric Calendarize'!AB$4+1))</f>
        <v>691</v>
      </c>
      <c r="AC25">
        <f ca="1">IF(OR($L25&gt;AC$4,AC$4&gt;$L25+23),"",OFFSET(Electric!$L16,0,-'Electric Calendarize'!$L25+'Electric Calendarize'!AC$4+1))</f>
        <v>815</v>
      </c>
      <c r="AD25">
        <f ca="1">IF(OR($L25&gt;AD$4,AD$4&gt;$L25+23),"",OFFSET(Electric!$L16,0,-'Electric Calendarize'!$L25+'Electric Calendarize'!AD$4+1))</f>
        <v>885</v>
      </c>
      <c r="AE25">
        <f ca="1">IF(OR($L25&gt;AE$4,AE$4&gt;$L25+23),"",OFFSET(Electric!$L16,0,-'Electric Calendarize'!$L25+'Electric Calendarize'!AE$4+1))</f>
        <v>867</v>
      </c>
      <c r="AF25">
        <f ca="1">IF(OR($L25&gt;AF$4,AF$4&gt;$L25+23),"",OFFSET(Electric!$L16,0,-'Electric Calendarize'!$L25+'Electric Calendarize'!AF$4+1))</f>
        <v>657</v>
      </c>
      <c r="AG25">
        <f ca="1">IF(OR($L25&gt;AG$4,AG$4&gt;$L25+23),"",OFFSET(Electric!$L16,0,-'Electric Calendarize'!$L25+'Electric Calendarize'!AG$4+1))</f>
        <v>736</v>
      </c>
      <c r="AH25">
        <f ca="1">IF(OR($L25&gt;AH$4,AH$4&gt;$L25+23),"",OFFSET(Electric!$L16,0,-'Electric Calendarize'!$L25+'Electric Calendarize'!AH$4+1))</f>
        <v>1197</v>
      </c>
      <c r="AI25">
        <f ca="1">IF(OR($L25&gt;AI$4,AI$4&gt;$L25+23),"",OFFSET(Electric!$L16,0,-'Electric Calendarize'!$L25+'Electric Calendarize'!AI$4+1))</f>
        <v>1523</v>
      </c>
      <c r="AJ25">
        <f ca="1">IF(OR($L25&gt;AJ$4,AJ$4&gt;$L25+23),"",OFFSET(Electric!$L16,0,-'Electric Calendarize'!$L25+'Electric Calendarize'!AJ$4+1))</f>
        <v>1196</v>
      </c>
      <c r="AK25">
        <f ca="1">IF(OR($L25&gt;AK$4,AK$4&gt;$L25+23),"",OFFSET(Electric!$L16,0,-'Electric Calendarize'!$L25+'Electric Calendarize'!AK$4+1))</f>
        <v>539</v>
      </c>
      <c r="AL25">
        <f ca="1">IF(OR($L25&gt;AL$4,AL$4&gt;$L25+23),"",OFFSET(Electric!$L16,0,-'Electric Calendarize'!$L25+'Electric Calendarize'!AL$4+1))</f>
        <v>473</v>
      </c>
      <c r="AM25">
        <f ca="1">IF(OR($L25&gt;AM$4,AM$4&gt;$L25+23),"",OFFSET(Electric!$L16,0,-'Electric Calendarize'!$L25+'Electric Calendarize'!AM$4+1))</f>
        <v>492</v>
      </c>
      <c r="AN25">
        <f ca="1">IF(OR($L25&gt;AN$4,AN$4&gt;$L25+23),"",OFFSET(Electric!$L16,0,-'Electric Calendarize'!$L25+'Electric Calendarize'!AN$4+1))</f>
        <v>507</v>
      </c>
      <c r="AO25">
        <f ca="1">IF(OR($L25&gt;AO$4,AO$4&gt;$L25+23),"",OFFSET(Electric!$L16,0,-'Electric Calendarize'!$L25+'Electric Calendarize'!AO$4+1))</f>
        <v>608</v>
      </c>
      <c r="AP25" t="str">
        <f ca="1">IF(OR($L25&gt;AP$4,AP$4&gt;$L25+23),"",OFFSET(Electric!$L16,0,-'Electric Calendarize'!$L25+'Electric Calendarize'!AP$4+1))</f>
        <v/>
      </c>
      <c r="AQ25" t="str">
        <f ca="1">IF(OR($L25&gt;AQ$4,AQ$4&gt;$L25+23),"",OFFSET(Electric!$L16,0,-'Electric Calendarize'!$L25+'Electric Calendarize'!AQ$4+1))</f>
        <v/>
      </c>
      <c r="AR25" t="str">
        <f ca="1">IF(OR($L25&gt;AR$4,AR$4&gt;$L25+23),"",OFFSET(Electric!$L16,0,-'Electric Calendarize'!$L25+'Electric Calendarize'!AR$4+1))</f>
        <v/>
      </c>
      <c r="AS25" t="str">
        <f ca="1">IF(OR($L25&gt;AS$4,AS$4&gt;$L25+23),"",OFFSET(Electric!$L16,0,-'Electric Calendarize'!$L25+'Electric Calendarize'!AS$4+1))</f>
        <v/>
      </c>
      <c r="AT25" t="str">
        <f ca="1">IF(OR($L25&gt;AT$4,AT$4&gt;$L25+23),"",OFFSET(Electric!$L16,0,-'Electric Calendarize'!$L25+'Electric Calendarize'!AT$4+1))</f>
        <v/>
      </c>
      <c r="AU25" t="str">
        <f ca="1">IF(OR($L25&gt;AU$4,AU$4&gt;$L25+23),"",OFFSET(Electric!$L16,0,-'Electric Calendarize'!$L25+'Electric Calendarize'!AU$4+1))</f>
        <v/>
      </c>
      <c r="AV25" t="str">
        <f ca="1">IF(OR($L25&gt;AV$4,AV$4&gt;$L25+23),"",OFFSET(Electric!$L16,0,-'Electric Calendarize'!$L25+'Electric Calendarize'!AV$4+1))</f>
        <v/>
      </c>
      <c r="AW25" t="str">
        <f ca="1">IF(OR($L25&gt;AW$4,AW$4&gt;$L25+23),"",OFFSET(Electric!$L16,0,-'Electric Calendarize'!$L25+'Electric Calendarize'!AW$4+1))</f>
        <v/>
      </c>
      <c r="AX25" t="str">
        <f ca="1">IF(OR($L25&gt;AX$4,AX$4&gt;$L25+23),"",OFFSET(Electric!$L16,0,-'Electric Calendarize'!$L25+'Electric Calendarize'!AX$4+1))</f>
        <v/>
      </c>
      <c r="AY25" t="str">
        <f ca="1">IF(OR($L25&gt;AY$4,AY$4&gt;$L25+23),"",OFFSET(Electric!$L16,0,-'Electric Calendarize'!$L25+'Electric Calendarize'!AY$4+1))</f>
        <v/>
      </c>
      <c r="AZ25" t="str">
        <f ca="1">IF(OR($L25&gt;AZ$4,AZ$4&gt;$L25+23),"",OFFSET(Electric!$L16,0,-'Electric Calendarize'!$L25+'Electric Calendarize'!AZ$4+1))</f>
        <v/>
      </c>
      <c r="BA25" t="str">
        <f ca="1">IF(OR($L25&gt;BA$4,BA$4&gt;$L25+23),"",OFFSET(Electric!$L16,0,-'Electric Calendarize'!$L25+'Electric Calendarize'!BA$4+1))</f>
        <v/>
      </c>
      <c r="BB25" t="str">
        <f ca="1">IF(OR($L25&gt;BB$4,BB$4&gt;$L25+23),"",OFFSET(Electric!$L16,0,-'Electric Calendarize'!$L25+'Electric Calendarize'!BB$4+1))</f>
        <v/>
      </c>
      <c r="BC25" t="str">
        <f ca="1">IF(OR($L25&gt;BC$4,BC$4&gt;$L25+23),"",OFFSET(Electric!$L16,0,-'Electric Calendarize'!$L25+'Electric Calendarize'!BC$4+1))</f>
        <v/>
      </c>
      <c r="BD25" t="str">
        <f ca="1">IF(OR($L25&gt;BD$4,BD$4&gt;$L25+23),"",OFFSET(Electric!$L16,0,-'Electric Calendarize'!$L25+'Electric Calendarize'!BD$4+1))</f>
        <v/>
      </c>
      <c r="BE25" t="str">
        <f ca="1">IF(OR($L25&gt;BE$4,BE$4&gt;$L25+23),"",OFFSET(Electric!$L16,0,-'Electric Calendarize'!$L25+'Electric Calendarize'!BE$4+1))</f>
        <v/>
      </c>
      <c r="BF25" t="str">
        <f ca="1">IF(OR($L25&gt;BF$4,BF$4&gt;$L25+23),"",OFFSET(Electric!$L16,0,-'Electric Calendarize'!$L25+'Electric Calendarize'!BF$4+1))</f>
        <v/>
      </c>
      <c r="BG25" t="str">
        <f ca="1">IF(OR($L25&gt;BG$4,BG$4&gt;$L25+23),"",OFFSET(Electric!$L16,0,-'Electric Calendarize'!$L25+'Electric Calendarize'!BG$4+1))</f>
        <v/>
      </c>
      <c r="BJ25" s="10" t="s">
        <v>37</v>
      </c>
      <c r="BK25">
        <f t="shared" si="195"/>
        <v>1</v>
      </c>
      <c r="BL25">
        <f t="shared" si="100"/>
        <v>0</v>
      </c>
      <c r="BM25">
        <f t="shared" si="101"/>
        <v>0</v>
      </c>
      <c r="BN25">
        <f t="shared" si="102"/>
        <v>0</v>
      </c>
      <c r="BO25">
        <f t="shared" si="103"/>
        <v>0</v>
      </c>
      <c r="BP25">
        <f t="shared" si="104"/>
        <v>0</v>
      </c>
      <c r="BQ25">
        <f t="shared" si="105"/>
        <v>0</v>
      </c>
      <c r="BR25">
        <f t="shared" si="106"/>
        <v>1</v>
      </c>
      <c r="BS25">
        <f t="shared" si="107"/>
        <v>1</v>
      </c>
      <c r="BT25">
        <f t="shared" si="108"/>
        <v>1</v>
      </c>
      <c r="BU25">
        <f t="shared" si="109"/>
        <v>1</v>
      </c>
      <c r="BV25">
        <f t="shared" si="110"/>
        <v>1</v>
      </c>
      <c r="BW25">
        <f t="shared" si="111"/>
        <v>1</v>
      </c>
      <c r="BX25">
        <f t="shared" si="112"/>
        <v>0</v>
      </c>
      <c r="BY25">
        <f t="shared" si="113"/>
        <v>0</v>
      </c>
      <c r="BZ25">
        <f t="shared" si="114"/>
        <v>0</v>
      </c>
      <c r="CA25">
        <f t="shared" si="115"/>
        <v>0</v>
      </c>
      <c r="CB25">
        <f t="shared" si="116"/>
        <v>0</v>
      </c>
      <c r="CC25">
        <f t="shared" si="117"/>
        <v>0</v>
      </c>
      <c r="CD25">
        <f t="shared" si="118"/>
        <v>1</v>
      </c>
      <c r="CE25">
        <f t="shared" si="119"/>
        <v>1</v>
      </c>
      <c r="CF25">
        <f t="shared" si="120"/>
        <v>1</v>
      </c>
      <c r="CG25">
        <f t="shared" si="121"/>
        <v>1</v>
      </c>
      <c r="CH25">
        <f t="shared" si="122"/>
        <v>1</v>
      </c>
      <c r="CI25">
        <f t="shared" si="123"/>
        <v>1</v>
      </c>
      <c r="CJ25">
        <f t="shared" si="124"/>
        <v>0</v>
      </c>
      <c r="CK25">
        <f t="shared" si="125"/>
        <v>0</v>
      </c>
      <c r="CL25">
        <f t="shared" si="126"/>
        <v>0</v>
      </c>
      <c r="CM25">
        <f t="shared" si="127"/>
        <v>0</v>
      </c>
      <c r="CN25">
        <f t="shared" si="128"/>
        <v>0</v>
      </c>
      <c r="CO25">
        <f t="shared" si="129"/>
        <v>0</v>
      </c>
      <c r="CP25">
        <f t="shared" si="130"/>
        <v>1</v>
      </c>
      <c r="CQ25">
        <f t="shared" si="131"/>
        <v>1</v>
      </c>
      <c r="CR25">
        <f t="shared" si="132"/>
        <v>1</v>
      </c>
      <c r="CS25">
        <f t="shared" si="133"/>
        <v>1</v>
      </c>
      <c r="CT25">
        <f t="shared" si="134"/>
        <v>1</v>
      </c>
      <c r="CU25">
        <f t="shared" si="135"/>
        <v>1</v>
      </c>
      <c r="CV25">
        <f t="shared" si="136"/>
        <v>0</v>
      </c>
      <c r="CW25">
        <f t="shared" si="137"/>
        <v>0</v>
      </c>
      <c r="CX25">
        <f t="shared" si="138"/>
        <v>0</v>
      </c>
      <c r="CY25">
        <f t="shared" si="139"/>
        <v>0</v>
      </c>
      <c r="CZ25">
        <f t="shared" si="140"/>
        <v>0</v>
      </c>
      <c r="DA25">
        <f t="shared" si="141"/>
        <v>0</v>
      </c>
      <c r="DB25">
        <f t="shared" si="142"/>
        <v>1</v>
      </c>
      <c r="DC25">
        <f t="shared" si="143"/>
        <v>1</v>
      </c>
      <c r="DF25" s="10" t="s">
        <v>37</v>
      </c>
      <c r="DG25" t="str">
        <f t="shared" si="196"/>
        <v>2021_7</v>
      </c>
      <c r="DH25" t="str">
        <f t="shared" si="144"/>
        <v>2021_7</v>
      </c>
      <c r="DI25" t="str">
        <f t="shared" si="144"/>
        <v>2021_7</v>
      </c>
      <c r="DJ25" t="str">
        <f t="shared" si="144"/>
        <v>2021_7</v>
      </c>
      <c r="DK25" t="str">
        <f t="shared" si="144"/>
        <v>2021_7</v>
      </c>
      <c r="DL25" t="str">
        <f t="shared" si="144"/>
        <v>2021_7</v>
      </c>
      <c r="DM25" t="str">
        <f t="shared" si="144"/>
        <v>2021_7</v>
      </c>
      <c r="DN25" t="str">
        <f t="shared" si="144"/>
        <v>2021_7</v>
      </c>
      <c r="DO25" t="str">
        <f t="shared" si="144"/>
        <v>2021_7</v>
      </c>
      <c r="DP25" t="str">
        <f t="shared" si="144"/>
        <v>2021_7</v>
      </c>
      <c r="DQ25" t="str">
        <f t="shared" si="144"/>
        <v>2021_7</v>
      </c>
      <c r="DR25" t="str">
        <f t="shared" si="144"/>
        <v>2021_7</v>
      </c>
      <c r="DS25" t="str">
        <f t="shared" si="144"/>
        <v>2021_7</v>
      </c>
      <c r="DT25" t="str">
        <f t="shared" si="144"/>
        <v>2021_7</v>
      </c>
      <c r="DU25" t="str">
        <f t="shared" si="144"/>
        <v>2021_7</v>
      </c>
      <c r="DV25" t="str">
        <f t="shared" si="144"/>
        <v>2021_7</v>
      </c>
      <c r="DW25" t="str">
        <f t="shared" si="144"/>
        <v>2021_7</v>
      </c>
      <c r="DX25" t="str">
        <f t="shared" si="145"/>
        <v>2021_7</v>
      </c>
      <c r="DY25" t="str">
        <f t="shared" si="145"/>
        <v>2021_7</v>
      </c>
      <c r="DZ25" t="str">
        <f t="shared" si="145"/>
        <v>2021_7</v>
      </c>
      <c r="EA25" t="str">
        <f t="shared" si="145"/>
        <v>2021_7</v>
      </c>
      <c r="EB25" t="str">
        <f t="shared" si="145"/>
        <v>2021_7</v>
      </c>
      <c r="EC25" t="str">
        <f t="shared" si="145"/>
        <v>2021_7</v>
      </c>
      <c r="ED25" t="str">
        <f t="shared" si="145"/>
        <v>2021_7</v>
      </c>
      <c r="EE25" t="str">
        <f t="shared" si="145"/>
        <v>2021_7</v>
      </c>
      <c r="EF25" t="str">
        <f t="shared" si="145"/>
        <v>2021_7</v>
      </c>
      <c r="EG25" t="str">
        <f t="shared" si="145"/>
        <v>2021_7</v>
      </c>
      <c r="EH25" t="str">
        <f t="shared" si="145"/>
        <v>2021_7</v>
      </c>
      <c r="EI25" t="str">
        <f t="shared" si="145"/>
        <v>2021_7</v>
      </c>
      <c r="EJ25" t="str">
        <f t="shared" si="145"/>
        <v>2021_7</v>
      </c>
      <c r="EK25" t="str">
        <f t="shared" si="145"/>
        <v>2021_7</v>
      </c>
      <c r="EL25" t="str">
        <f t="shared" si="145"/>
        <v>2021_7</v>
      </c>
      <c r="EM25" t="str">
        <f t="shared" si="145"/>
        <v>2021_7</v>
      </c>
      <c r="EN25" t="str">
        <f t="shared" si="146"/>
        <v>2021_7</v>
      </c>
      <c r="EO25" t="str">
        <f t="shared" si="146"/>
        <v>2021_7</v>
      </c>
      <c r="EP25" t="str">
        <f t="shared" si="146"/>
        <v>2021_7</v>
      </c>
      <c r="EQ25" t="str">
        <f t="shared" si="146"/>
        <v>2021_7</v>
      </c>
      <c r="ER25" t="str">
        <f t="shared" si="146"/>
        <v>2021_7</v>
      </c>
      <c r="ES25" t="str">
        <f t="shared" si="146"/>
        <v>2021_7</v>
      </c>
      <c r="ET25" t="str">
        <f t="shared" si="146"/>
        <v>2021_7</v>
      </c>
      <c r="EU25" t="str">
        <f t="shared" si="146"/>
        <v>2021_7</v>
      </c>
      <c r="EV25" t="str">
        <f t="shared" si="146"/>
        <v>2021_7</v>
      </c>
      <c r="EW25" t="str">
        <f t="shared" si="146"/>
        <v>2021_7</v>
      </c>
      <c r="EX25" t="str">
        <f t="shared" si="146"/>
        <v>2021_7</v>
      </c>
      <c r="EY25" t="str">
        <f t="shared" si="146"/>
        <v>2021_7</v>
      </c>
      <c r="FB25" s="10" t="s">
        <v>37</v>
      </c>
      <c r="FC25">
        <f t="shared" si="197"/>
        <v>0</v>
      </c>
      <c r="FD25">
        <f t="shared" si="147"/>
        <v>0</v>
      </c>
      <c r="FE25">
        <f t="shared" si="148"/>
        <v>0</v>
      </c>
      <c r="FF25">
        <f t="shared" si="149"/>
        <v>0</v>
      </c>
      <c r="FG25">
        <f t="shared" si="150"/>
        <v>0</v>
      </c>
      <c r="FH25">
        <f t="shared" si="151"/>
        <v>0</v>
      </c>
      <c r="FI25">
        <f t="shared" si="152"/>
        <v>0</v>
      </c>
      <c r="FJ25">
        <f t="shared" si="153"/>
        <v>0</v>
      </c>
      <c r="FK25">
        <f t="shared" si="154"/>
        <v>0</v>
      </c>
      <c r="FL25">
        <f t="shared" si="155"/>
        <v>0</v>
      </c>
      <c r="FM25">
        <f t="shared" si="156"/>
        <v>0</v>
      </c>
      <c r="FN25">
        <f t="shared" si="157"/>
        <v>0</v>
      </c>
      <c r="FO25">
        <f t="shared" si="158"/>
        <v>0</v>
      </c>
      <c r="FP25">
        <f t="shared" si="159"/>
        <v>0</v>
      </c>
      <c r="FQ25">
        <f t="shared" si="160"/>
        <v>0</v>
      </c>
      <c r="FR25">
        <f t="shared" si="161"/>
        <v>1</v>
      </c>
      <c r="FS25">
        <f t="shared" si="162"/>
        <v>1</v>
      </c>
      <c r="FT25">
        <f t="shared" si="163"/>
        <v>1</v>
      </c>
      <c r="FU25">
        <f t="shared" si="164"/>
        <v>1</v>
      </c>
      <c r="FV25">
        <f t="shared" si="165"/>
        <v>1</v>
      </c>
      <c r="FW25">
        <f t="shared" si="166"/>
        <v>1</v>
      </c>
      <c r="FX25">
        <f t="shared" si="167"/>
        <v>1</v>
      </c>
      <c r="FY25">
        <f t="shared" si="168"/>
        <v>1</v>
      </c>
      <c r="FZ25">
        <f t="shared" si="169"/>
        <v>1</v>
      </c>
      <c r="GA25">
        <f t="shared" si="170"/>
        <v>1</v>
      </c>
      <c r="GB25">
        <f t="shared" si="171"/>
        <v>1</v>
      </c>
      <c r="GC25">
        <f t="shared" si="172"/>
        <v>1</v>
      </c>
      <c r="GD25">
        <f t="shared" si="173"/>
        <v>1</v>
      </c>
      <c r="GE25">
        <f t="shared" si="174"/>
        <v>1</v>
      </c>
      <c r="GF25">
        <f t="shared" si="175"/>
        <v>1</v>
      </c>
      <c r="GG25">
        <f t="shared" si="176"/>
        <v>1</v>
      </c>
      <c r="GH25">
        <f t="shared" si="177"/>
        <v>1</v>
      </c>
      <c r="GI25">
        <f t="shared" si="178"/>
        <v>1</v>
      </c>
      <c r="GJ25">
        <f t="shared" si="179"/>
        <v>1</v>
      </c>
      <c r="GK25">
        <f t="shared" si="180"/>
        <v>1</v>
      </c>
      <c r="GL25">
        <f t="shared" si="181"/>
        <v>1</v>
      </c>
      <c r="GM25">
        <f t="shared" si="182"/>
        <v>1</v>
      </c>
      <c r="GN25">
        <f t="shared" si="183"/>
        <v>1</v>
      </c>
      <c r="GO25">
        <f t="shared" si="184"/>
        <v>1</v>
      </c>
      <c r="GP25">
        <f t="shared" si="185"/>
        <v>1</v>
      </c>
      <c r="GQ25">
        <f t="shared" si="186"/>
        <v>1</v>
      </c>
      <c r="GR25">
        <f t="shared" si="187"/>
        <v>1</v>
      </c>
      <c r="GS25">
        <f t="shared" si="188"/>
        <v>1</v>
      </c>
      <c r="GT25">
        <f t="shared" si="189"/>
        <v>1</v>
      </c>
      <c r="GU25">
        <f t="shared" si="190"/>
        <v>1</v>
      </c>
      <c r="GX25" s="10"/>
    </row>
    <row r="26" spans="1:206" x14ac:dyDescent="0.3">
      <c r="A26" s="9" t="s">
        <v>46</v>
      </c>
      <c r="B26" s="80"/>
      <c r="C26" s="9">
        <v>3130061005</v>
      </c>
      <c r="D26" s="9" t="s">
        <v>364</v>
      </c>
      <c r="E26" s="9" t="s">
        <v>39</v>
      </c>
      <c r="F26" s="9" t="s">
        <v>35</v>
      </c>
      <c r="G26" s="9" t="s">
        <v>58</v>
      </c>
      <c r="H26" s="10">
        <v>44393</v>
      </c>
      <c r="I26" s="9">
        <f t="shared" si="191"/>
        <v>2021</v>
      </c>
      <c r="J26" s="9">
        <f t="shared" si="192"/>
        <v>7</v>
      </c>
      <c r="K26" s="9" t="str">
        <f t="shared" si="193"/>
        <v>2021_7</v>
      </c>
      <c r="L26">
        <f>MAX(0,VLOOKUP($K26,lookups!$A$1:$B$45,2,0)-12)</f>
        <v>3</v>
      </c>
      <c r="M26" s="40">
        <f t="shared" si="194"/>
        <v>44378</v>
      </c>
      <c r="N26" s="10" t="s">
        <v>37</v>
      </c>
      <c r="O26" t="str">
        <f ca="1">IF(OR($L26&gt;O$4,O$4&gt;$L26+23),"",OFFSET(Electric!$L17,0,-'Electric Calendarize'!$L26+'Electric Calendarize'!O$4+1))</f>
        <v/>
      </c>
      <c r="P26" t="str">
        <f ca="1">IF(OR($L26&gt;P$4,P$4&gt;$L26+23),"",OFFSET(Electric!$L17,0,-'Electric Calendarize'!$L26+'Electric Calendarize'!P$4+1))</f>
        <v/>
      </c>
      <c r="Q26" t="str">
        <f ca="1">IF(OR($L26&gt;Q$4,Q$4&gt;$L26+23),"",OFFSET(Electric!$L17,0,-'Electric Calendarize'!$L26+'Electric Calendarize'!Q$4+1))</f>
        <v/>
      </c>
      <c r="R26">
        <f ca="1">IF(OR($L26&gt;R$4,R$4&gt;$L26+23),"",OFFSET(Electric!$L17,0,-'Electric Calendarize'!$L26+'Electric Calendarize'!R$4+1))</f>
        <v>0</v>
      </c>
      <c r="S26">
        <f ca="1">IF(OR($L26&gt;S$4,S$4&gt;$L26+23),"",OFFSET(Electric!$L17,0,-'Electric Calendarize'!$L26+'Electric Calendarize'!S$4+1))</f>
        <v>0</v>
      </c>
      <c r="T26">
        <f ca="1">IF(OR($L26&gt;T$4,T$4&gt;$L26+23),"",OFFSET(Electric!$L17,0,-'Electric Calendarize'!$L26+'Electric Calendarize'!T$4+1))</f>
        <v>0</v>
      </c>
      <c r="U26">
        <f ca="1">IF(OR($L26&gt;U$4,U$4&gt;$L26+23),"",OFFSET(Electric!$L17,0,-'Electric Calendarize'!$L26+'Electric Calendarize'!U$4+1))</f>
        <v>0</v>
      </c>
      <c r="V26">
        <f ca="1">IF(OR($L26&gt;V$4,V$4&gt;$L26+23),"",OFFSET(Electric!$L17,0,-'Electric Calendarize'!$L26+'Electric Calendarize'!V$4+1))</f>
        <v>0</v>
      </c>
      <c r="W26">
        <f ca="1">IF(OR($L26&gt;W$4,W$4&gt;$L26+23),"",OFFSET(Electric!$L17,0,-'Electric Calendarize'!$L26+'Electric Calendarize'!W$4+1))</f>
        <v>0</v>
      </c>
      <c r="X26">
        <f ca="1">IF(OR($L26&gt;X$4,X$4&gt;$L26+23),"",OFFSET(Electric!$L17,0,-'Electric Calendarize'!$L26+'Electric Calendarize'!X$4+1))</f>
        <v>0</v>
      </c>
      <c r="Y26">
        <f ca="1">IF(OR($L26&gt;Y$4,Y$4&gt;$L26+23),"",OFFSET(Electric!$L17,0,-'Electric Calendarize'!$L26+'Electric Calendarize'!Y$4+1))</f>
        <v>0</v>
      </c>
      <c r="Z26">
        <f ca="1">IF(OR($L26&gt;Z$4,Z$4&gt;$L26+23),"",OFFSET(Electric!$L17,0,-'Electric Calendarize'!$L26+'Electric Calendarize'!Z$4+1))</f>
        <v>0</v>
      </c>
      <c r="AA26">
        <f ca="1">IF(OR($L26&gt;AA$4,AA$4&gt;$L26+23),"",OFFSET(Electric!$L17,0,-'Electric Calendarize'!$L26+'Electric Calendarize'!AA$4+1))</f>
        <v>0</v>
      </c>
      <c r="AB26">
        <f ca="1">IF(OR($L26&gt;AB$4,AB$4&gt;$L26+23),"",OFFSET(Electric!$L17,0,-'Electric Calendarize'!$L26+'Electric Calendarize'!AB$4+1))</f>
        <v>0</v>
      </c>
      <c r="AC26">
        <f ca="1">IF(OR($L26&gt;AC$4,AC$4&gt;$L26+23),"",OFFSET(Electric!$L17,0,-'Electric Calendarize'!$L26+'Electric Calendarize'!AC$4+1))</f>
        <v>0</v>
      </c>
      <c r="AD26">
        <f ca="1">IF(OR($L26&gt;AD$4,AD$4&gt;$L26+23),"",OFFSET(Electric!$L17,0,-'Electric Calendarize'!$L26+'Electric Calendarize'!AD$4+1))</f>
        <v>946</v>
      </c>
      <c r="AE26">
        <f ca="1">IF(OR($L26&gt;AE$4,AE$4&gt;$L26+23),"",OFFSET(Electric!$L17,0,-'Electric Calendarize'!$L26+'Electric Calendarize'!AE$4+1))</f>
        <v>955</v>
      </c>
      <c r="AF26">
        <f ca="1">IF(OR($L26&gt;AF$4,AF$4&gt;$L26+23),"",OFFSET(Electric!$L17,0,-'Electric Calendarize'!$L26+'Electric Calendarize'!AF$4+1))</f>
        <v>855</v>
      </c>
      <c r="AG26">
        <f ca="1">IF(OR($L26&gt;AG$4,AG$4&gt;$L26+23),"",OFFSET(Electric!$L17,0,-'Electric Calendarize'!$L26+'Electric Calendarize'!AG$4+1))</f>
        <v>645</v>
      </c>
      <c r="AH26">
        <f ca="1">IF(OR($L26&gt;AH$4,AH$4&gt;$L26+23),"",OFFSET(Electric!$L17,0,-'Electric Calendarize'!$L26+'Electric Calendarize'!AH$4+1))</f>
        <v>769</v>
      </c>
      <c r="AI26">
        <f ca="1">IF(OR($L26&gt;AI$4,AI$4&gt;$L26+23),"",OFFSET(Electric!$L17,0,-'Electric Calendarize'!$L26+'Electric Calendarize'!AI$4+1))</f>
        <v>791</v>
      </c>
      <c r="AJ26">
        <f ca="1">IF(OR($L26&gt;AJ$4,AJ$4&gt;$L26+23),"",OFFSET(Electric!$L17,0,-'Electric Calendarize'!$L26+'Electric Calendarize'!AJ$4+1))</f>
        <v>939</v>
      </c>
      <c r="AK26">
        <f ca="1">IF(OR($L26&gt;AK$4,AK$4&gt;$L26+23),"",OFFSET(Electric!$L17,0,-'Electric Calendarize'!$L26+'Electric Calendarize'!AK$4+1))</f>
        <v>740</v>
      </c>
      <c r="AL26">
        <f ca="1">IF(OR($L26&gt;AL$4,AL$4&gt;$L26+23),"",OFFSET(Electric!$L17,0,-'Electric Calendarize'!$L26+'Electric Calendarize'!AL$4+1))</f>
        <v>744</v>
      </c>
      <c r="AM26">
        <f ca="1">IF(OR($L26&gt;AM$4,AM$4&gt;$L26+23),"",OFFSET(Electric!$L17,0,-'Electric Calendarize'!$L26+'Electric Calendarize'!AM$4+1))</f>
        <v>588</v>
      </c>
      <c r="AN26">
        <f ca="1">IF(OR($L26&gt;AN$4,AN$4&gt;$L26+23),"",OFFSET(Electric!$L17,0,-'Electric Calendarize'!$L26+'Electric Calendarize'!AN$4+1))</f>
        <v>732</v>
      </c>
      <c r="AO26">
        <f ca="1">IF(OR($L26&gt;AO$4,AO$4&gt;$L26+23),"",OFFSET(Electric!$L17,0,-'Electric Calendarize'!$L26+'Electric Calendarize'!AO$4+1))</f>
        <v>717</v>
      </c>
      <c r="AP26" t="str">
        <f ca="1">IF(OR($L26&gt;AP$4,AP$4&gt;$L26+23),"",OFFSET(Electric!$L17,0,-'Electric Calendarize'!$L26+'Electric Calendarize'!AP$4+1))</f>
        <v/>
      </c>
      <c r="AQ26" t="str">
        <f ca="1">IF(OR($L26&gt;AQ$4,AQ$4&gt;$L26+23),"",OFFSET(Electric!$L17,0,-'Electric Calendarize'!$L26+'Electric Calendarize'!AQ$4+1))</f>
        <v/>
      </c>
      <c r="AR26" t="str">
        <f ca="1">IF(OR($L26&gt;AR$4,AR$4&gt;$L26+23),"",OFFSET(Electric!$L17,0,-'Electric Calendarize'!$L26+'Electric Calendarize'!AR$4+1))</f>
        <v/>
      </c>
      <c r="AS26" t="str">
        <f ca="1">IF(OR($L26&gt;AS$4,AS$4&gt;$L26+23),"",OFFSET(Electric!$L17,0,-'Electric Calendarize'!$L26+'Electric Calendarize'!AS$4+1))</f>
        <v/>
      </c>
      <c r="AT26" t="str">
        <f ca="1">IF(OR($L26&gt;AT$4,AT$4&gt;$L26+23),"",OFFSET(Electric!$L17,0,-'Electric Calendarize'!$L26+'Electric Calendarize'!AT$4+1))</f>
        <v/>
      </c>
      <c r="AU26" t="str">
        <f ca="1">IF(OR($L26&gt;AU$4,AU$4&gt;$L26+23),"",OFFSET(Electric!$L17,0,-'Electric Calendarize'!$L26+'Electric Calendarize'!AU$4+1))</f>
        <v/>
      </c>
      <c r="AV26" t="str">
        <f ca="1">IF(OR($L26&gt;AV$4,AV$4&gt;$L26+23),"",OFFSET(Electric!$L17,0,-'Electric Calendarize'!$L26+'Electric Calendarize'!AV$4+1))</f>
        <v/>
      </c>
      <c r="AW26" t="str">
        <f ca="1">IF(OR($L26&gt;AW$4,AW$4&gt;$L26+23),"",OFFSET(Electric!$L17,0,-'Electric Calendarize'!$L26+'Electric Calendarize'!AW$4+1))</f>
        <v/>
      </c>
      <c r="AX26" t="str">
        <f ca="1">IF(OR($L26&gt;AX$4,AX$4&gt;$L26+23),"",OFFSET(Electric!$L17,0,-'Electric Calendarize'!$L26+'Electric Calendarize'!AX$4+1))</f>
        <v/>
      </c>
      <c r="AY26" t="str">
        <f ca="1">IF(OR($L26&gt;AY$4,AY$4&gt;$L26+23),"",OFFSET(Electric!$L17,0,-'Electric Calendarize'!$L26+'Electric Calendarize'!AY$4+1))</f>
        <v/>
      </c>
      <c r="AZ26" t="str">
        <f ca="1">IF(OR($L26&gt;AZ$4,AZ$4&gt;$L26+23),"",OFFSET(Electric!$L17,0,-'Electric Calendarize'!$L26+'Electric Calendarize'!AZ$4+1))</f>
        <v/>
      </c>
      <c r="BA26" t="str">
        <f ca="1">IF(OR($L26&gt;BA$4,BA$4&gt;$L26+23),"",OFFSET(Electric!$L17,0,-'Electric Calendarize'!$L26+'Electric Calendarize'!BA$4+1))</f>
        <v/>
      </c>
      <c r="BB26" t="str">
        <f ca="1">IF(OR($L26&gt;BB$4,BB$4&gt;$L26+23),"",OFFSET(Electric!$L17,0,-'Electric Calendarize'!$L26+'Electric Calendarize'!BB$4+1))</f>
        <v/>
      </c>
      <c r="BC26" t="str">
        <f ca="1">IF(OR($L26&gt;BC$4,BC$4&gt;$L26+23),"",OFFSET(Electric!$L17,0,-'Electric Calendarize'!$L26+'Electric Calendarize'!BC$4+1))</f>
        <v/>
      </c>
      <c r="BD26" t="str">
        <f ca="1">IF(OR($L26&gt;BD$4,BD$4&gt;$L26+23),"",OFFSET(Electric!$L17,0,-'Electric Calendarize'!$L26+'Electric Calendarize'!BD$4+1))</f>
        <v/>
      </c>
      <c r="BE26" t="str">
        <f ca="1">IF(OR($L26&gt;BE$4,BE$4&gt;$L26+23),"",OFFSET(Electric!$L17,0,-'Electric Calendarize'!$L26+'Electric Calendarize'!BE$4+1))</f>
        <v/>
      </c>
      <c r="BF26" t="str">
        <f ca="1">IF(OR($L26&gt;BF$4,BF$4&gt;$L26+23),"",OFFSET(Electric!$L17,0,-'Electric Calendarize'!$L26+'Electric Calendarize'!BF$4+1))</f>
        <v/>
      </c>
      <c r="BG26" t="str">
        <f ca="1">IF(OR($L26&gt;BG$4,BG$4&gt;$L26+23),"",OFFSET(Electric!$L17,0,-'Electric Calendarize'!$L26+'Electric Calendarize'!BG$4+1))</f>
        <v/>
      </c>
      <c r="BJ26" s="10" t="s">
        <v>37</v>
      </c>
      <c r="BK26">
        <f t="shared" si="195"/>
        <v>1</v>
      </c>
      <c r="BL26">
        <f t="shared" si="100"/>
        <v>0</v>
      </c>
      <c r="BM26">
        <f t="shared" si="101"/>
        <v>0</v>
      </c>
      <c r="BN26">
        <f t="shared" si="102"/>
        <v>0</v>
      </c>
      <c r="BO26">
        <f t="shared" si="103"/>
        <v>0</v>
      </c>
      <c r="BP26">
        <f t="shared" si="104"/>
        <v>0</v>
      </c>
      <c r="BQ26">
        <f t="shared" si="105"/>
        <v>0</v>
      </c>
      <c r="BR26">
        <f t="shared" si="106"/>
        <v>1</v>
      </c>
      <c r="BS26">
        <f t="shared" si="107"/>
        <v>1</v>
      </c>
      <c r="BT26">
        <f t="shared" si="108"/>
        <v>1</v>
      </c>
      <c r="BU26">
        <f t="shared" si="109"/>
        <v>1</v>
      </c>
      <c r="BV26">
        <f t="shared" si="110"/>
        <v>1</v>
      </c>
      <c r="BW26">
        <f t="shared" si="111"/>
        <v>1</v>
      </c>
      <c r="BX26">
        <f t="shared" si="112"/>
        <v>0</v>
      </c>
      <c r="BY26">
        <f t="shared" si="113"/>
        <v>0</v>
      </c>
      <c r="BZ26">
        <f t="shared" si="114"/>
        <v>0</v>
      </c>
      <c r="CA26">
        <f t="shared" si="115"/>
        <v>0</v>
      </c>
      <c r="CB26">
        <f t="shared" si="116"/>
        <v>0</v>
      </c>
      <c r="CC26">
        <f t="shared" si="117"/>
        <v>0</v>
      </c>
      <c r="CD26">
        <f t="shared" si="118"/>
        <v>1</v>
      </c>
      <c r="CE26">
        <f t="shared" si="119"/>
        <v>1</v>
      </c>
      <c r="CF26">
        <f t="shared" si="120"/>
        <v>1</v>
      </c>
      <c r="CG26">
        <f t="shared" si="121"/>
        <v>1</v>
      </c>
      <c r="CH26">
        <f t="shared" si="122"/>
        <v>1</v>
      </c>
      <c r="CI26">
        <f t="shared" si="123"/>
        <v>1</v>
      </c>
      <c r="CJ26">
        <f t="shared" si="124"/>
        <v>0</v>
      </c>
      <c r="CK26">
        <f t="shared" si="125"/>
        <v>0</v>
      </c>
      <c r="CL26">
        <f t="shared" si="126"/>
        <v>0</v>
      </c>
      <c r="CM26">
        <f t="shared" si="127"/>
        <v>0</v>
      </c>
      <c r="CN26">
        <f t="shared" si="128"/>
        <v>0</v>
      </c>
      <c r="CO26">
        <f t="shared" si="129"/>
        <v>0</v>
      </c>
      <c r="CP26">
        <f t="shared" si="130"/>
        <v>1</v>
      </c>
      <c r="CQ26">
        <f t="shared" si="131"/>
        <v>1</v>
      </c>
      <c r="CR26">
        <f t="shared" si="132"/>
        <v>1</v>
      </c>
      <c r="CS26">
        <f t="shared" si="133"/>
        <v>1</v>
      </c>
      <c r="CT26">
        <f t="shared" si="134"/>
        <v>1</v>
      </c>
      <c r="CU26">
        <f t="shared" si="135"/>
        <v>1</v>
      </c>
      <c r="CV26">
        <f t="shared" si="136"/>
        <v>0</v>
      </c>
      <c r="CW26">
        <f t="shared" si="137"/>
        <v>0</v>
      </c>
      <c r="CX26">
        <f t="shared" si="138"/>
        <v>0</v>
      </c>
      <c r="CY26">
        <f t="shared" si="139"/>
        <v>0</v>
      </c>
      <c r="CZ26">
        <f t="shared" si="140"/>
        <v>0</v>
      </c>
      <c r="DA26">
        <f t="shared" si="141"/>
        <v>0</v>
      </c>
      <c r="DB26">
        <f t="shared" si="142"/>
        <v>1</v>
      </c>
      <c r="DC26">
        <f t="shared" si="143"/>
        <v>1</v>
      </c>
      <c r="DF26" s="10" t="s">
        <v>37</v>
      </c>
      <c r="DG26" t="str">
        <f t="shared" si="196"/>
        <v>2021_7</v>
      </c>
      <c r="DH26" t="str">
        <f t="shared" si="144"/>
        <v>2021_7</v>
      </c>
      <c r="DI26" t="str">
        <f t="shared" si="144"/>
        <v>2021_7</v>
      </c>
      <c r="DJ26" t="str">
        <f t="shared" si="144"/>
        <v>2021_7</v>
      </c>
      <c r="DK26" t="str">
        <f t="shared" si="144"/>
        <v>2021_7</v>
      </c>
      <c r="DL26" t="str">
        <f t="shared" si="144"/>
        <v>2021_7</v>
      </c>
      <c r="DM26" t="str">
        <f t="shared" si="144"/>
        <v>2021_7</v>
      </c>
      <c r="DN26" t="str">
        <f t="shared" si="144"/>
        <v>2021_7</v>
      </c>
      <c r="DO26" t="str">
        <f t="shared" si="144"/>
        <v>2021_7</v>
      </c>
      <c r="DP26" t="str">
        <f t="shared" si="144"/>
        <v>2021_7</v>
      </c>
      <c r="DQ26" t="str">
        <f t="shared" si="144"/>
        <v>2021_7</v>
      </c>
      <c r="DR26" t="str">
        <f t="shared" si="144"/>
        <v>2021_7</v>
      </c>
      <c r="DS26" t="str">
        <f t="shared" si="144"/>
        <v>2021_7</v>
      </c>
      <c r="DT26" t="str">
        <f t="shared" si="144"/>
        <v>2021_7</v>
      </c>
      <c r="DU26" t="str">
        <f t="shared" si="144"/>
        <v>2021_7</v>
      </c>
      <c r="DV26" t="str">
        <f t="shared" si="144"/>
        <v>2021_7</v>
      </c>
      <c r="DW26" t="str">
        <f t="shared" ref="DW26:EL41" si="198">$K26</f>
        <v>2021_7</v>
      </c>
      <c r="DX26" t="str">
        <f t="shared" si="145"/>
        <v>2021_7</v>
      </c>
      <c r="DY26" t="str">
        <f t="shared" si="145"/>
        <v>2021_7</v>
      </c>
      <c r="DZ26" t="str">
        <f t="shared" si="145"/>
        <v>2021_7</v>
      </c>
      <c r="EA26" t="str">
        <f t="shared" si="145"/>
        <v>2021_7</v>
      </c>
      <c r="EB26" t="str">
        <f t="shared" si="145"/>
        <v>2021_7</v>
      </c>
      <c r="EC26" t="str">
        <f t="shared" si="145"/>
        <v>2021_7</v>
      </c>
      <c r="ED26" t="str">
        <f t="shared" si="145"/>
        <v>2021_7</v>
      </c>
      <c r="EE26" t="str">
        <f t="shared" si="145"/>
        <v>2021_7</v>
      </c>
      <c r="EF26" t="str">
        <f t="shared" si="145"/>
        <v>2021_7</v>
      </c>
      <c r="EG26" t="str">
        <f t="shared" si="145"/>
        <v>2021_7</v>
      </c>
      <c r="EH26" t="str">
        <f t="shared" si="145"/>
        <v>2021_7</v>
      </c>
      <c r="EI26" t="str">
        <f t="shared" si="145"/>
        <v>2021_7</v>
      </c>
      <c r="EJ26" t="str">
        <f t="shared" si="145"/>
        <v>2021_7</v>
      </c>
      <c r="EK26" t="str">
        <f t="shared" si="145"/>
        <v>2021_7</v>
      </c>
      <c r="EL26" t="str">
        <f t="shared" si="145"/>
        <v>2021_7</v>
      </c>
      <c r="EM26" t="str">
        <f t="shared" ref="EM26:EY41" si="199">$K26</f>
        <v>2021_7</v>
      </c>
      <c r="EN26" t="str">
        <f t="shared" si="146"/>
        <v>2021_7</v>
      </c>
      <c r="EO26" t="str">
        <f t="shared" si="146"/>
        <v>2021_7</v>
      </c>
      <c r="EP26" t="str">
        <f t="shared" si="146"/>
        <v>2021_7</v>
      </c>
      <c r="EQ26" t="str">
        <f t="shared" si="146"/>
        <v>2021_7</v>
      </c>
      <c r="ER26" t="str">
        <f t="shared" si="146"/>
        <v>2021_7</v>
      </c>
      <c r="ES26" t="str">
        <f t="shared" si="146"/>
        <v>2021_7</v>
      </c>
      <c r="ET26" t="str">
        <f t="shared" si="146"/>
        <v>2021_7</v>
      </c>
      <c r="EU26" t="str">
        <f t="shared" si="146"/>
        <v>2021_7</v>
      </c>
      <c r="EV26" t="str">
        <f t="shared" si="146"/>
        <v>2021_7</v>
      </c>
      <c r="EW26" t="str">
        <f t="shared" si="146"/>
        <v>2021_7</v>
      </c>
      <c r="EX26" t="str">
        <f t="shared" si="146"/>
        <v>2021_7</v>
      </c>
      <c r="EY26" t="str">
        <f t="shared" si="146"/>
        <v>2021_7</v>
      </c>
      <c r="FB26" s="10" t="s">
        <v>37</v>
      </c>
      <c r="FC26">
        <f t="shared" si="197"/>
        <v>0</v>
      </c>
      <c r="FD26">
        <f t="shared" si="147"/>
        <v>0</v>
      </c>
      <c r="FE26">
        <f t="shared" si="148"/>
        <v>0</v>
      </c>
      <c r="FF26">
        <f t="shared" si="149"/>
        <v>0</v>
      </c>
      <c r="FG26">
        <f t="shared" si="150"/>
        <v>0</v>
      </c>
      <c r="FH26">
        <f t="shared" si="151"/>
        <v>0</v>
      </c>
      <c r="FI26">
        <f t="shared" si="152"/>
        <v>0</v>
      </c>
      <c r="FJ26">
        <f t="shared" si="153"/>
        <v>0</v>
      </c>
      <c r="FK26">
        <f t="shared" si="154"/>
        <v>0</v>
      </c>
      <c r="FL26">
        <f t="shared" si="155"/>
        <v>0</v>
      </c>
      <c r="FM26">
        <f t="shared" si="156"/>
        <v>0</v>
      </c>
      <c r="FN26">
        <f t="shared" si="157"/>
        <v>0</v>
      </c>
      <c r="FO26">
        <f t="shared" si="158"/>
        <v>0</v>
      </c>
      <c r="FP26">
        <f t="shared" si="159"/>
        <v>0</v>
      </c>
      <c r="FQ26">
        <f t="shared" si="160"/>
        <v>0</v>
      </c>
      <c r="FR26">
        <f t="shared" si="161"/>
        <v>1</v>
      </c>
      <c r="FS26">
        <f t="shared" si="162"/>
        <v>1</v>
      </c>
      <c r="FT26">
        <f t="shared" si="163"/>
        <v>1</v>
      </c>
      <c r="FU26">
        <f t="shared" si="164"/>
        <v>1</v>
      </c>
      <c r="FV26">
        <f t="shared" si="165"/>
        <v>1</v>
      </c>
      <c r="FW26">
        <f t="shared" si="166"/>
        <v>1</v>
      </c>
      <c r="FX26">
        <f t="shared" si="167"/>
        <v>1</v>
      </c>
      <c r="FY26">
        <f t="shared" si="168"/>
        <v>1</v>
      </c>
      <c r="FZ26">
        <f t="shared" si="169"/>
        <v>1</v>
      </c>
      <c r="GA26">
        <f t="shared" si="170"/>
        <v>1</v>
      </c>
      <c r="GB26">
        <f t="shared" si="171"/>
        <v>1</v>
      </c>
      <c r="GC26">
        <f t="shared" si="172"/>
        <v>1</v>
      </c>
      <c r="GD26">
        <f t="shared" si="173"/>
        <v>1</v>
      </c>
      <c r="GE26">
        <f t="shared" si="174"/>
        <v>1</v>
      </c>
      <c r="GF26">
        <f t="shared" si="175"/>
        <v>1</v>
      </c>
      <c r="GG26">
        <f t="shared" si="176"/>
        <v>1</v>
      </c>
      <c r="GH26">
        <f t="shared" si="177"/>
        <v>1</v>
      </c>
      <c r="GI26">
        <f t="shared" si="178"/>
        <v>1</v>
      </c>
      <c r="GJ26">
        <f t="shared" si="179"/>
        <v>1</v>
      </c>
      <c r="GK26">
        <f t="shared" si="180"/>
        <v>1</v>
      </c>
      <c r="GL26">
        <f t="shared" si="181"/>
        <v>1</v>
      </c>
      <c r="GM26">
        <f t="shared" si="182"/>
        <v>1</v>
      </c>
      <c r="GN26">
        <f t="shared" si="183"/>
        <v>1</v>
      </c>
      <c r="GO26">
        <f t="shared" si="184"/>
        <v>1</v>
      </c>
      <c r="GP26">
        <f t="shared" si="185"/>
        <v>1</v>
      </c>
      <c r="GQ26">
        <f t="shared" si="186"/>
        <v>1</v>
      </c>
      <c r="GR26">
        <f t="shared" si="187"/>
        <v>1</v>
      </c>
      <c r="GS26">
        <f t="shared" si="188"/>
        <v>1</v>
      </c>
      <c r="GT26">
        <f t="shared" si="189"/>
        <v>1</v>
      </c>
      <c r="GU26">
        <f t="shared" si="190"/>
        <v>1</v>
      </c>
      <c r="GX26" s="10"/>
    </row>
    <row r="27" spans="1:206" x14ac:dyDescent="0.3">
      <c r="A27" s="9" t="s">
        <v>41</v>
      </c>
      <c r="B27" s="80"/>
      <c r="C27" s="9">
        <v>3130062005</v>
      </c>
      <c r="D27" s="9" t="s">
        <v>364</v>
      </c>
      <c r="E27" s="9" t="s">
        <v>39</v>
      </c>
      <c r="F27" s="9" t="s">
        <v>35</v>
      </c>
      <c r="G27" s="9" t="s">
        <v>58</v>
      </c>
      <c r="H27" s="10">
        <v>44393</v>
      </c>
      <c r="I27" s="9">
        <f t="shared" si="191"/>
        <v>2021</v>
      </c>
      <c r="J27" s="9">
        <f t="shared" si="192"/>
        <v>7</v>
      </c>
      <c r="K27" s="9" t="str">
        <f t="shared" si="193"/>
        <v>2021_7</v>
      </c>
      <c r="L27">
        <f>MAX(0,VLOOKUP($K27,lookups!$A$1:$B$45,2,0)-12)</f>
        <v>3</v>
      </c>
      <c r="M27" s="40">
        <f t="shared" si="194"/>
        <v>44378</v>
      </c>
      <c r="N27" s="10" t="s">
        <v>37</v>
      </c>
      <c r="O27" t="str">
        <f ca="1">IF(OR($L27&gt;O$4,O$4&gt;$L27+23),"",OFFSET(Electric!$L18,0,-'Electric Calendarize'!$L27+'Electric Calendarize'!O$4+1))</f>
        <v/>
      </c>
      <c r="P27" t="str">
        <f ca="1">IF(OR($L27&gt;P$4,P$4&gt;$L27+23),"",OFFSET(Electric!$L18,0,-'Electric Calendarize'!$L27+'Electric Calendarize'!P$4+1))</f>
        <v/>
      </c>
      <c r="Q27" t="str">
        <f ca="1">IF(OR($L27&gt;Q$4,Q$4&gt;$L27+23),"",OFFSET(Electric!$L18,0,-'Electric Calendarize'!$L27+'Electric Calendarize'!Q$4+1))</f>
        <v/>
      </c>
      <c r="R27">
        <f ca="1">IF(OR($L27&gt;R$4,R$4&gt;$L27+23),"",OFFSET(Electric!$L18,0,-'Electric Calendarize'!$L27+'Electric Calendarize'!R$4+1))</f>
        <v>0</v>
      </c>
      <c r="S27">
        <f ca="1">IF(OR($L27&gt;S$4,S$4&gt;$L27+23),"",OFFSET(Electric!$L18,0,-'Electric Calendarize'!$L27+'Electric Calendarize'!S$4+1))</f>
        <v>0</v>
      </c>
      <c r="T27">
        <f ca="1">IF(OR($L27&gt;T$4,T$4&gt;$L27+23),"",OFFSET(Electric!$L18,0,-'Electric Calendarize'!$L27+'Electric Calendarize'!T$4+1))</f>
        <v>0</v>
      </c>
      <c r="U27">
        <f ca="1">IF(OR($L27&gt;U$4,U$4&gt;$L27+23),"",OFFSET(Electric!$L18,0,-'Electric Calendarize'!$L27+'Electric Calendarize'!U$4+1))</f>
        <v>0</v>
      </c>
      <c r="V27">
        <f ca="1">IF(OR($L27&gt;V$4,V$4&gt;$L27+23),"",OFFSET(Electric!$L18,0,-'Electric Calendarize'!$L27+'Electric Calendarize'!V$4+1))</f>
        <v>0</v>
      </c>
      <c r="W27">
        <f ca="1">IF(OR($L27&gt;W$4,W$4&gt;$L27+23),"",OFFSET(Electric!$L18,0,-'Electric Calendarize'!$L27+'Electric Calendarize'!W$4+1))</f>
        <v>0</v>
      </c>
      <c r="X27">
        <f ca="1">IF(OR($L27&gt;X$4,X$4&gt;$L27+23),"",OFFSET(Electric!$L18,0,-'Electric Calendarize'!$L27+'Electric Calendarize'!X$4+1))</f>
        <v>0</v>
      </c>
      <c r="Y27">
        <f ca="1">IF(OR($L27&gt;Y$4,Y$4&gt;$L27+23),"",OFFSET(Electric!$L18,0,-'Electric Calendarize'!$L27+'Electric Calendarize'!Y$4+1))</f>
        <v>0</v>
      </c>
      <c r="Z27">
        <f ca="1">IF(OR($L27&gt;Z$4,Z$4&gt;$L27+23),"",OFFSET(Electric!$L18,0,-'Electric Calendarize'!$L27+'Electric Calendarize'!Z$4+1))</f>
        <v>0</v>
      </c>
      <c r="AA27">
        <f ca="1">IF(OR($L27&gt;AA$4,AA$4&gt;$L27+23),"",OFFSET(Electric!$L18,0,-'Electric Calendarize'!$L27+'Electric Calendarize'!AA$4+1))</f>
        <v>0</v>
      </c>
      <c r="AB27">
        <f ca="1">IF(OR($L27&gt;AB$4,AB$4&gt;$L27+23),"",OFFSET(Electric!$L18,0,-'Electric Calendarize'!$L27+'Electric Calendarize'!AB$4+1))</f>
        <v>0</v>
      </c>
      <c r="AC27">
        <f ca="1">IF(OR($L27&gt;AC$4,AC$4&gt;$L27+23),"",OFFSET(Electric!$L18,0,-'Electric Calendarize'!$L27+'Electric Calendarize'!AC$4+1))</f>
        <v>0</v>
      </c>
      <c r="AD27">
        <f ca="1">IF(OR($L27&gt;AD$4,AD$4&gt;$L27+23),"",OFFSET(Electric!$L18,0,-'Electric Calendarize'!$L27+'Electric Calendarize'!AD$4+1))</f>
        <v>828</v>
      </c>
      <c r="AE27">
        <f ca="1">IF(OR($L27&gt;AE$4,AE$4&gt;$L27+23),"",OFFSET(Electric!$L18,0,-'Electric Calendarize'!$L27+'Electric Calendarize'!AE$4+1))</f>
        <v>823</v>
      </c>
      <c r="AF27">
        <f ca="1">IF(OR($L27&gt;AF$4,AF$4&gt;$L27+23),"",OFFSET(Electric!$L18,0,-'Electric Calendarize'!$L27+'Electric Calendarize'!AF$4+1))</f>
        <v>698</v>
      </c>
      <c r="AG27">
        <f ca="1">IF(OR($L27&gt;AG$4,AG$4&gt;$L27+23),"",OFFSET(Electric!$L18,0,-'Electric Calendarize'!$L27+'Electric Calendarize'!AG$4+1))</f>
        <v>661</v>
      </c>
      <c r="AH27">
        <f ca="1">IF(OR($L27&gt;AH$4,AH$4&gt;$L27+23),"",OFFSET(Electric!$L18,0,-'Electric Calendarize'!$L27+'Electric Calendarize'!AH$4+1))</f>
        <v>1041</v>
      </c>
      <c r="AI27">
        <f ca="1">IF(OR($L27&gt;AI$4,AI$4&gt;$L27+23),"",OFFSET(Electric!$L18,0,-'Electric Calendarize'!$L27+'Electric Calendarize'!AI$4+1))</f>
        <v>1038</v>
      </c>
      <c r="AJ27">
        <f ca="1">IF(OR($L27&gt;AJ$4,AJ$4&gt;$L27+23),"",OFFSET(Electric!$L18,0,-'Electric Calendarize'!$L27+'Electric Calendarize'!AJ$4+1))</f>
        <v>797</v>
      </c>
      <c r="AK27">
        <f ca="1">IF(OR($L27&gt;AK$4,AK$4&gt;$L27+23),"",OFFSET(Electric!$L18,0,-'Electric Calendarize'!$L27+'Electric Calendarize'!AK$4+1))</f>
        <v>649</v>
      </c>
      <c r="AL27">
        <f ca="1">IF(OR($L27&gt;AL$4,AL$4&gt;$L27+23),"",OFFSET(Electric!$L18,0,-'Electric Calendarize'!$L27+'Electric Calendarize'!AL$4+1))</f>
        <v>1082</v>
      </c>
      <c r="AM27">
        <f ca="1">IF(OR($L27&gt;AM$4,AM$4&gt;$L27+23),"",OFFSET(Electric!$L18,0,-'Electric Calendarize'!$L27+'Electric Calendarize'!AM$4+1))</f>
        <v>1167</v>
      </c>
      <c r="AN27">
        <f ca="1">IF(OR($L27&gt;AN$4,AN$4&gt;$L27+23),"",OFFSET(Electric!$L18,0,-'Electric Calendarize'!$L27+'Electric Calendarize'!AN$4+1))</f>
        <v>837</v>
      </c>
      <c r="AO27">
        <f ca="1">IF(OR($L27&gt;AO$4,AO$4&gt;$L27+23),"",OFFSET(Electric!$L18,0,-'Electric Calendarize'!$L27+'Electric Calendarize'!AO$4+1))</f>
        <v>496</v>
      </c>
      <c r="AP27" t="str">
        <f ca="1">IF(OR($L27&gt;AP$4,AP$4&gt;$L27+23),"",OFFSET(Electric!$L18,0,-'Electric Calendarize'!$L27+'Electric Calendarize'!AP$4+1))</f>
        <v/>
      </c>
      <c r="AQ27" t="str">
        <f ca="1">IF(OR($L27&gt;AQ$4,AQ$4&gt;$L27+23),"",OFFSET(Electric!$L18,0,-'Electric Calendarize'!$L27+'Electric Calendarize'!AQ$4+1))</f>
        <v/>
      </c>
      <c r="AR27" t="str">
        <f ca="1">IF(OR($L27&gt;AR$4,AR$4&gt;$L27+23),"",OFFSET(Electric!$L18,0,-'Electric Calendarize'!$L27+'Electric Calendarize'!AR$4+1))</f>
        <v/>
      </c>
      <c r="AS27" t="str">
        <f ca="1">IF(OR($L27&gt;AS$4,AS$4&gt;$L27+23),"",OFFSET(Electric!$L18,0,-'Electric Calendarize'!$L27+'Electric Calendarize'!AS$4+1))</f>
        <v/>
      </c>
      <c r="AT27" t="str">
        <f ca="1">IF(OR($L27&gt;AT$4,AT$4&gt;$L27+23),"",OFFSET(Electric!$L18,0,-'Electric Calendarize'!$L27+'Electric Calendarize'!AT$4+1))</f>
        <v/>
      </c>
      <c r="AU27" t="str">
        <f ca="1">IF(OR($L27&gt;AU$4,AU$4&gt;$L27+23),"",OFFSET(Electric!$L18,0,-'Electric Calendarize'!$L27+'Electric Calendarize'!AU$4+1))</f>
        <v/>
      </c>
      <c r="AV27" t="str">
        <f ca="1">IF(OR($L27&gt;AV$4,AV$4&gt;$L27+23),"",OFFSET(Electric!$L18,0,-'Electric Calendarize'!$L27+'Electric Calendarize'!AV$4+1))</f>
        <v/>
      </c>
      <c r="AW27" t="str">
        <f ca="1">IF(OR($L27&gt;AW$4,AW$4&gt;$L27+23),"",OFFSET(Electric!$L18,0,-'Electric Calendarize'!$L27+'Electric Calendarize'!AW$4+1))</f>
        <v/>
      </c>
      <c r="AX27" t="str">
        <f ca="1">IF(OR($L27&gt;AX$4,AX$4&gt;$L27+23),"",OFFSET(Electric!$L18,0,-'Electric Calendarize'!$L27+'Electric Calendarize'!AX$4+1))</f>
        <v/>
      </c>
      <c r="AY27" t="str">
        <f ca="1">IF(OR($L27&gt;AY$4,AY$4&gt;$L27+23),"",OFFSET(Electric!$L18,0,-'Electric Calendarize'!$L27+'Electric Calendarize'!AY$4+1))</f>
        <v/>
      </c>
      <c r="AZ27" t="str">
        <f ca="1">IF(OR($L27&gt;AZ$4,AZ$4&gt;$L27+23),"",OFFSET(Electric!$L18,0,-'Electric Calendarize'!$L27+'Electric Calendarize'!AZ$4+1))</f>
        <v/>
      </c>
      <c r="BA27" t="str">
        <f ca="1">IF(OR($L27&gt;BA$4,BA$4&gt;$L27+23),"",OFFSET(Electric!$L18,0,-'Electric Calendarize'!$L27+'Electric Calendarize'!BA$4+1))</f>
        <v/>
      </c>
      <c r="BB27" t="str">
        <f ca="1">IF(OR($L27&gt;BB$4,BB$4&gt;$L27+23),"",OFFSET(Electric!$L18,0,-'Electric Calendarize'!$L27+'Electric Calendarize'!BB$4+1))</f>
        <v/>
      </c>
      <c r="BC27" t="str">
        <f ca="1">IF(OR($L27&gt;BC$4,BC$4&gt;$L27+23),"",OFFSET(Electric!$L18,0,-'Electric Calendarize'!$L27+'Electric Calendarize'!BC$4+1))</f>
        <v/>
      </c>
      <c r="BD27" t="str">
        <f ca="1">IF(OR($L27&gt;BD$4,BD$4&gt;$L27+23),"",OFFSET(Electric!$L18,0,-'Electric Calendarize'!$L27+'Electric Calendarize'!BD$4+1))</f>
        <v/>
      </c>
      <c r="BE27" t="str">
        <f ca="1">IF(OR($L27&gt;BE$4,BE$4&gt;$L27+23),"",OFFSET(Electric!$L18,0,-'Electric Calendarize'!$L27+'Electric Calendarize'!BE$4+1))</f>
        <v/>
      </c>
      <c r="BF27" t="str">
        <f ca="1">IF(OR($L27&gt;BF$4,BF$4&gt;$L27+23),"",OFFSET(Electric!$L18,0,-'Electric Calendarize'!$L27+'Electric Calendarize'!BF$4+1))</f>
        <v/>
      </c>
      <c r="BG27" t="str">
        <f ca="1">IF(OR($L27&gt;BG$4,BG$4&gt;$L27+23),"",OFFSET(Electric!$L18,0,-'Electric Calendarize'!$L27+'Electric Calendarize'!BG$4+1))</f>
        <v/>
      </c>
      <c r="BJ27" s="10" t="s">
        <v>37</v>
      </c>
      <c r="BK27">
        <f t="shared" si="195"/>
        <v>1</v>
      </c>
      <c r="BL27">
        <f t="shared" si="100"/>
        <v>0</v>
      </c>
      <c r="BM27">
        <f t="shared" si="101"/>
        <v>0</v>
      </c>
      <c r="BN27">
        <f t="shared" si="102"/>
        <v>0</v>
      </c>
      <c r="BO27">
        <f t="shared" si="103"/>
        <v>0</v>
      </c>
      <c r="BP27">
        <f t="shared" si="104"/>
        <v>0</v>
      </c>
      <c r="BQ27">
        <f t="shared" si="105"/>
        <v>0</v>
      </c>
      <c r="BR27">
        <f t="shared" si="106"/>
        <v>1</v>
      </c>
      <c r="BS27">
        <f t="shared" si="107"/>
        <v>1</v>
      </c>
      <c r="BT27">
        <f t="shared" si="108"/>
        <v>1</v>
      </c>
      <c r="BU27">
        <f t="shared" si="109"/>
        <v>1</v>
      </c>
      <c r="BV27">
        <f t="shared" si="110"/>
        <v>1</v>
      </c>
      <c r="BW27">
        <f t="shared" si="111"/>
        <v>1</v>
      </c>
      <c r="BX27">
        <f t="shared" si="112"/>
        <v>0</v>
      </c>
      <c r="BY27">
        <f t="shared" si="113"/>
        <v>0</v>
      </c>
      <c r="BZ27">
        <f t="shared" si="114"/>
        <v>0</v>
      </c>
      <c r="CA27">
        <f t="shared" si="115"/>
        <v>0</v>
      </c>
      <c r="CB27">
        <f t="shared" si="116"/>
        <v>0</v>
      </c>
      <c r="CC27">
        <f t="shared" si="117"/>
        <v>0</v>
      </c>
      <c r="CD27">
        <f t="shared" si="118"/>
        <v>1</v>
      </c>
      <c r="CE27">
        <f t="shared" si="119"/>
        <v>1</v>
      </c>
      <c r="CF27">
        <f t="shared" si="120"/>
        <v>1</v>
      </c>
      <c r="CG27">
        <f t="shared" si="121"/>
        <v>1</v>
      </c>
      <c r="CH27">
        <f t="shared" si="122"/>
        <v>1</v>
      </c>
      <c r="CI27">
        <f t="shared" si="123"/>
        <v>1</v>
      </c>
      <c r="CJ27">
        <f t="shared" si="124"/>
        <v>0</v>
      </c>
      <c r="CK27">
        <f t="shared" si="125"/>
        <v>0</v>
      </c>
      <c r="CL27">
        <f t="shared" si="126"/>
        <v>0</v>
      </c>
      <c r="CM27">
        <f t="shared" si="127"/>
        <v>0</v>
      </c>
      <c r="CN27">
        <f t="shared" si="128"/>
        <v>0</v>
      </c>
      <c r="CO27">
        <f t="shared" si="129"/>
        <v>0</v>
      </c>
      <c r="CP27">
        <f t="shared" si="130"/>
        <v>1</v>
      </c>
      <c r="CQ27">
        <f t="shared" si="131"/>
        <v>1</v>
      </c>
      <c r="CR27">
        <f t="shared" si="132"/>
        <v>1</v>
      </c>
      <c r="CS27">
        <f t="shared" si="133"/>
        <v>1</v>
      </c>
      <c r="CT27">
        <f t="shared" si="134"/>
        <v>1</v>
      </c>
      <c r="CU27">
        <f t="shared" si="135"/>
        <v>1</v>
      </c>
      <c r="CV27">
        <f t="shared" si="136"/>
        <v>0</v>
      </c>
      <c r="CW27">
        <f t="shared" si="137"/>
        <v>0</v>
      </c>
      <c r="CX27">
        <f t="shared" si="138"/>
        <v>0</v>
      </c>
      <c r="CY27">
        <f t="shared" si="139"/>
        <v>0</v>
      </c>
      <c r="CZ27">
        <f t="shared" si="140"/>
        <v>0</v>
      </c>
      <c r="DA27">
        <f t="shared" si="141"/>
        <v>0</v>
      </c>
      <c r="DB27">
        <f t="shared" si="142"/>
        <v>1</v>
      </c>
      <c r="DC27">
        <f t="shared" si="143"/>
        <v>1</v>
      </c>
      <c r="DF27" s="10" t="s">
        <v>37</v>
      </c>
      <c r="DG27" t="str">
        <f t="shared" si="196"/>
        <v>2021_7</v>
      </c>
      <c r="DH27" t="str">
        <f t="shared" si="196"/>
        <v>2021_7</v>
      </c>
      <c r="DI27" t="str">
        <f t="shared" si="196"/>
        <v>2021_7</v>
      </c>
      <c r="DJ27" t="str">
        <f t="shared" si="196"/>
        <v>2021_7</v>
      </c>
      <c r="DK27" t="str">
        <f t="shared" si="196"/>
        <v>2021_7</v>
      </c>
      <c r="DL27" t="str">
        <f t="shared" si="196"/>
        <v>2021_7</v>
      </c>
      <c r="DM27" t="str">
        <f t="shared" si="196"/>
        <v>2021_7</v>
      </c>
      <c r="DN27" t="str">
        <f t="shared" si="196"/>
        <v>2021_7</v>
      </c>
      <c r="DO27" t="str">
        <f t="shared" si="196"/>
        <v>2021_7</v>
      </c>
      <c r="DP27" t="str">
        <f t="shared" si="196"/>
        <v>2021_7</v>
      </c>
      <c r="DQ27" t="str">
        <f t="shared" si="196"/>
        <v>2021_7</v>
      </c>
      <c r="DR27" t="str">
        <f t="shared" si="196"/>
        <v>2021_7</v>
      </c>
      <c r="DS27" t="str">
        <f t="shared" si="196"/>
        <v>2021_7</v>
      </c>
      <c r="DT27" t="str">
        <f t="shared" si="196"/>
        <v>2021_7</v>
      </c>
      <c r="DU27" t="str">
        <f t="shared" si="196"/>
        <v>2021_7</v>
      </c>
      <c r="DV27" t="str">
        <f t="shared" si="196"/>
        <v>2021_7</v>
      </c>
      <c r="DW27" t="str">
        <f t="shared" si="198"/>
        <v>2021_7</v>
      </c>
      <c r="DX27" t="str">
        <f t="shared" si="198"/>
        <v>2021_7</v>
      </c>
      <c r="DY27" t="str">
        <f t="shared" si="198"/>
        <v>2021_7</v>
      </c>
      <c r="DZ27" t="str">
        <f t="shared" si="198"/>
        <v>2021_7</v>
      </c>
      <c r="EA27" t="str">
        <f t="shared" si="198"/>
        <v>2021_7</v>
      </c>
      <c r="EB27" t="str">
        <f t="shared" si="198"/>
        <v>2021_7</v>
      </c>
      <c r="EC27" t="str">
        <f t="shared" si="198"/>
        <v>2021_7</v>
      </c>
      <c r="ED27" t="str">
        <f t="shared" si="198"/>
        <v>2021_7</v>
      </c>
      <c r="EE27" t="str">
        <f t="shared" si="198"/>
        <v>2021_7</v>
      </c>
      <c r="EF27" t="str">
        <f t="shared" si="198"/>
        <v>2021_7</v>
      </c>
      <c r="EG27" t="str">
        <f t="shared" si="198"/>
        <v>2021_7</v>
      </c>
      <c r="EH27" t="str">
        <f t="shared" si="198"/>
        <v>2021_7</v>
      </c>
      <c r="EI27" t="str">
        <f t="shared" si="198"/>
        <v>2021_7</v>
      </c>
      <c r="EJ27" t="str">
        <f t="shared" si="198"/>
        <v>2021_7</v>
      </c>
      <c r="EK27" t="str">
        <f t="shared" si="198"/>
        <v>2021_7</v>
      </c>
      <c r="EL27" t="str">
        <f t="shared" si="198"/>
        <v>2021_7</v>
      </c>
      <c r="EM27" t="str">
        <f t="shared" si="199"/>
        <v>2021_7</v>
      </c>
      <c r="EN27" t="str">
        <f t="shared" si="199"/>
        <v>2021_7</v>
      </c>
      <c r="EO27" t="str">
        <f t="shared" si="199"/>
        <v>2021_7</v>
      </c>
      <c r="EP27" t="str">
        <f t="shared" si="199"/>
        <v>2021_7</v>
      </c>
      <c r="EQ27" t="str">
        <f t="shared" si="199"/>
        <v>2021_7</v>
      </c>
      <c r="ER27" t="str">
        <f t="shared" si="199"/>
        <v>2021_7</v>
      </c>
      <c r="ES27" t="str">
        <f t="shared" si="199"/>
        <v>2021_7</v>
      </c>
      <c r="ET27" t="str">
        <f t="shared" si="199"/>
        <v>2021_7</v>
      </c>
      <c r="EU27" t="str">
        <f t="shared" si="199"/>
        <v>2021_7</v>
      </c>
      <c r="EV27" t="str">
        <f t="shared" si="199"/>
        <v>2021_7</v>
      </c>
      <c r="EW27" t="str">
        <f t="shared" si="199"/>
        <v>2021_7</v>
      </c>
      <c r="EX27" t="str">
        <f t="shared" si="199"/>
        <v>2021_7</v>
      </c>
      <c r="EY27" t="str">
        <f t="shared" si="199"/>
        <v>2021_7</v>
      </c>
      <c r="FB27" s="10" t="s">
        <v>37</v>
      </c>
      <c r="FC27">
        <f t="shared" si="197"/>
        <v>0</v>
      </c>
      <c r="FD27">
        <f t="shared" si="147"/>
        <v>0</v>
      </c>
      <c r="FE27">
        <f t="shared" si="148"/>
        <v>0</v>
      </c>
      <c r="FF27">
        <f t="shared" si="149"/>
        <v>0</v>
      </c>
      <c r="FG27">
        <f t="shared" si="150"/>
        <v>0</v>
      </c>
      <c r="FH27">
        <f t="shared" si="151"/>
        <v>0</v>
      </c>
      <c r="FI27">
        <f t="shared" si="152"/>
        <v>0</v>
      </c>
      <c r="FJ27">
        <f t="shared" si="153"/>
        <v>0</v>
      </c>
      <c r="FK27">
        <f t="shared" si="154"/>
        <v>0</v>
      </c>
      <c r="FL27">
        <f t="shared" si="155"/>
        <v>0</v>
      </c>
      <c r="FM27">
        <f t="shared" si="156"/>
        <v>0</v>
      </c>
      <c r="FN27">
        <f t="shared" si="157"/>
        <v>0</v>
      </c>
      <c r="FO27">
        <f t="shared" si="158"/>
        <v>0</v>
      </c>
      <c r="FP27">
        <f t="shared" si="159"/>
        <v>0</v>
      </c>
      <c r="FQ27">
        <f t="shared" si="160"/>
        <v>0</v>
      </c>
      <c r="FR27">
        <f t="shared" si="161"/>
        <v>1</v>
      </c>
      <c r="FS27">
        <f t="shared" si="162"/>
        <v>1</v>
      </c>
      <c r="FT27">
        <f t="shared" si="163"/>
        <v>1</v>
      </c>
      <c r="FU27">
        <f t="shared" si="164"/>
        <v>1</v>
      </c>
      <c r="FV27">
        <f t="shared" si="165"/>
        <v>1</v>
      </c>
      <c r="FW27">
        <f t="shared" si="166"/>
        <v>1</v>
      </c>
      <c r="FX27">
        <f t="shared" si="167"/>
        <v>1</v>
      </c>
      <c r="FY27">
        <f t="shared" si="168"/>
        <v>1</v>
      </c>
      <c r="FZ27">
        <f t="shared" si="169"/>
        <v>1</v>
      </c>
      <c r="GA27">
        <f t="shared" si="170"/>
        <v>1</v>
      </c>
      <c r="GB27">
        <f t="shared" si="171"/>
        <v>1</v>
      </c>
      <c r="GC27">
        <f t="shared" si="172"/>
        <v>1</v>
      </c>
      <c r="GD27">
        <f t="shared" si="173"/>
        <v>1</v>
      </c>
      <c r="GE27">
        <f t="shared" si="174"/>
        <v>1</v>
      </c>
      <c r="GF27">
        <f t="shared" si="175"/>
        <v>1</v>
      </c>
      <c r="GG27">
        <f t="shared" si="176"/>
        <v>1</v>
      </c>
      <c r="GH27">
        <f t="shared" si="177"/>
        <v>1</v>
      </c>
      <c r="GI27">
        <f t="shared" si="178"/>
        <v>1</v>
      </c>
      <c r="GJ27">
        <f t="shared" si="179"/>
        <v>1</v>
      </c>
      <c r="GK27">
        <f t="shared" si="180"/>
        <v>1</v>
      </c>
      <c r="GL27">
        <f t="shared" si="181"/>
        <v>1</v>
      </c>
      <c r="GM27">
        <f t="shared" si="182"/>
        <v>1</v>
      </c>
      <c r="GN27">
        <f t="shared" si="183"/>
        <v>1</v>
      </c>
      <c r="GO27">
        <f t="shared" si="184"/>
        <v>1</v>
      </c>
      <c r="GP27">
        <f t="shared" si="185"/>
        <v>1</v>
      </c>
      <c r="GQ27">
        <f t="shared" si="186"/>
        <v>1</v>
      </c>
      <c r="GR27">
        <f t="shared" si="187"/>
        <v>1</v>
      </c>
      <c r="GS27">
        <f t="shared" si="188"/>
        <v>1</v>
      </c>
      <c r="GT27">
        <f t="shared" si="189"/>
        <v>1</v>
      </c>
      <c r="GU27">
        <f t="shared" si="190"/>
        <v>1</v>
      </c>
      <c r="GX27" s="10"/>
    </row>
    <row r="28" spans="1:206" x14ac:dyDescent="0.3">
      <c r="A28" s="16" t="s">
        <v>33</v>
      </c>
      <c r="B28" s="80"/>
      <c r="C28" s="9">
        <v>3062400004</v>
      </c>
      <c r="D28" s="9" t="s">
        <v>365</v>
      </c>
      <c r="E28" s="9" t="s">
        <v>34</v>
      </c>
      <c r="F28" s="9" t="s">
        <v>35</v>
      </c>
      <c r="G28" s="9" t="s">
        <v>59</v>
      </c>
      <c r="H28" s="10">
        <v>44397</v>
      </c>
      <c r="I28" s="9">
        <f t="shared" si="191"/>
        <v>2021</v>
      </c>
      <c r="J28" s="9">
        <f t="shared" si="192"/>
        <v>7</v>
      </c>
      <c r="K28" s="9" t="str">
        <f t="shared" si="193"/>
        <v>2021_7</v>
      </c>
      <c r="L28">
        <f>MAX(0,VLOOKUP($K28,lookups!$A$1:$B$45,2,0)-12)</f>
        <v>3</v>
      </c>
      <c r="M28" s="40">
        <f t="shared" si="194"/>
        <v>44378</v>
      </c>
      <c r="N28" s="10" t="s">
        <v>37</v>
      </c>
      <c r="O28" t="str">
        <f ca="1">IF(OR($L28&gt;O$4,O$4&gt;$L28+23),"",OFFSET(Electric!$L19,0,-'Electric Calendarize'!$L28+'Electric Calendarize'!O$4+1))</f>
        <v/>
      </c>
      <c r="P28" t="str">
        <f ca="1">IF(OR($L28&gt;P$4,P$4&gt;$L28+23),"",OFFSET(Electric!$L19,0,-'Electric Calendarize'!$L28+'Electric Calendarize'!P$4+1))</f>
        <v/>
      </c>
      <c r="Q28" t="str">
        <f ca="1">IF(OR($L28&gt;Q$4,Q$4&gt;$L28+23),"",OFFSET(Electric!$L19,0,-'Electric Calendarize'!$L28+'Electric Calendarize'!Q$4+1))</f>
        <v/>
      </c>
      <c r="R28">
        <f ca="1">IF(OR($L28&gt;R$4,R$4&gt;$L28+23),"",OFFSET(Electric!$L19,0,-'Electric Calendarize'!$L28+'Electric Calendarize'!R$4+1))</f>
        <v>1032</v>
      </c>
      <c r="S28">
        <f ca="1">IF(OR($L28&gt;S$4,S$4&gt;$L28+23),"",OFFSET(Electric!$L19,0,-'Electric Calendarize'!$L28+'Electric Calendarize'!S$4+1))</f>
        <v>1282</v>
      </c>
      <c r="T28">
        <f ca="1">IF(OR($L28&gt;T$4,T$4&gt;$L28+23),"",OFFSET(Electric!$L19,0,-'Electric Calendarize'!$L28+'Electric Calendarize'!T$4+1))</f>
        <v>1015</v>
      </c>
      <c r="U28">
        <f ca="1">IF(OR($L28&gt;U$4,U$4&gt;$L28+23),"",OFFSET(Electric!$L19,0,-'Electric Calendarize'!$L28+'Electric Calendarize'!U$4+1))</f>
        <v>401</v>
      </c>
      <c r="V28">
        <f ca="1">IF(OR($L28&gt;V$4,V$4&gt;$L28+23),"",OFFSET(Electric!$L19,0,-'Electric Calendarize'!$L28+'Electric Calendarize'!V$4+1))</f>
        <v>635</v>
      </c>
      <c r="W28">
        <f ca="1">IF(OR($L28&gt;W$4,W$4&gt;$L28+23),"",OFFSET(Electric!$L19,0,-'Electric Calendarize'!$L28+'Electric Calendarize'!W$4+1))</f>
        <v>1194</v>
      </c>
      <c r="X28">
        <f ca="1">IF(OR($L28&gt;X$4,X$4&gt;$L28+23),"",OFFSET(Electric!$L19,0,-'Electric Calendarize'!$L28+'Electric Calendarize'!X$4+1))</f>
        <v>1173</v>
      </c>
      <c r="Y28">
        <f ca="1">IF(OR($L28&gt;Y$4,Y$4&gt;$L28+23),"",OFFSET(Electric!$L19,0,-'Electric Calendarize'!$L28+'Electric Calendarize'!Y$4+1))</f>
        <v>307</v>
      </c>
      <c r="Z28">
        <f ca="1">IF(OR($L28&gt;Z$4,Z$4&gt;$L28+23),"",OFFSET(Electric!$L19,0,-'Electric Calendarize'!$L28+'Electric Calendarize'!Z$4+1))</f>
        <v>394</v>
      </c>
      <c r="AA28">
        <f ca="1">IF(OR($L28&gt;AA$4,AA$4&gt;$L28+23),"",OFFSET(Electric!$L19,0,-'Electric Calendarize'!$L28+'Electric Calendarize'!AA$4+1))</f>
        <v>256</v>
      </c>
      <c r="AB28">
        <f ca="1">IF(OR($L28&gt;AB$4,AB$4&gt;$L28+23),"",OFFSET(Electric!$L19,0,-'Electric Calendarize'!$L28+'Electric Calendarize'!AB$4+1))</f>
        <v>182</v>
      </c>
      <c r="AC28">
        <f ca="1">IF(OR($L28&gt;AC$4,AC$4&gt;$L28+23),"",OFFSET(Electric!$L19,0,-'Electric Calendarize'!$L28+'Electric Calendarize'!AC$4+1))</f>
        <v>199</v>
      </c>
      <c r="AD28">
        <f ca="1">IF(OR($L28&gt;AD$4,AD$4&gt;$L28+23),"",OFFSET(Electric!$L19,0,-'Electric Calendarize'!$L28+'Electric Calendarize'!AD$4+1))</f>
        <v>262</v>
      </c>
      <c r="AE28">
        <f ca="1">IF(OR($L28&gt;AE$4,AE$4&gt;$L28+23),"",OFFSET(Electric!$L19,0,-'Electric Calendarize'!$L28+'Electric Calendarize'!AE$4+1))</f>
        <v>515</v>
      </c>
      <c r="AF28">
        <f ca="1">IF(OR($L28&gt;AF$4,AF$4&gt;$L28+23),"",OFFSET(Electric!$L19,0,-'Electric Calendarize'!$L28+'Electric Calendarize'!AF$4+1))</f>
        <v>923</v>
      </c>
      <c r="AG28">
        <f ca="1">IF(OR($L28&gt;AG$4,AG$4&gt;$L28+23),"",OFFSET(Electric!$L19,0,-'Electric Calendarize'!$L28+'Electric Calendarize'!AG$4+1))</f>
        <v>466</v>
      </c>
      <c r="AH28">
        <f ca="1">IF(OR($L28&gt;AH$4,AH$4&gt;$L28+23),"",OFFSET(Electric!$L19,0,-'Electric Calendarize'!$L28+'Electric Calendarize'!AH$4+1))</f>
        <v>605</v>
      </c>
      <c r="AI28">
        <f ca="1">IF(OR($L28&gt;AI$4,AI$4&gt;$L28+23),"",OFFSET(Electric!$L19,0,-'Electric Calendarize'!$L28+'Electric Calendarize'!AI$4+1))</f>
        <v>907</v>
      </c>
      <c r="AJ28">
        <f ca="1">IF(OR($L28&gt;AJ$4,AJ$4&gt;$L28+23),"",OFFSET(Electric!$L19,0,-'Electric Calendarize'!$L28+'Electric Calendarize'!AJ$4+1))</f>
        <v>993</v>
      </c>
      <c r="AK28">
        <f ca="1">IF(OR($L28&gt;AK$4,AK$4&gt;$L28+23),"",OFFSET(Electric!$L19,0,-'Electric Calendarize'!$L28+'Electric Calendarize'!AK$4+1))</f>
        <v>862</v>
      </c>
      <c r="AL28">
        <f ca="1">IF(OR($L28&gt;AL$4,AL$4&gt;$L28+23),"",OFFSET(Electric!$L19,0,-'Electric Calendarize'!$L28+'Electric Calendarize'!AL$4+1))</f>
        <v>881</v>
      </c>
      <c r="AM28">
        <f ca="1">IF(OR($L28&gt;AM$4,AM$4&gt;$L28+23),"",OFFSET(Electric!$L19,0,-'Electric Calendarize'!$L28+'Electric Calendarize'!AM$4+1))</f>
        <v>484</v>
      </c>
      <c r="AN28">
        <f ca="1">IF(OR($L28&gt;AN$4,AN$4&gt;$L28+23),"",OFFSET(Electric!$L19,0,-'Electric Calendarize'!$L28+'Electric Calendarize'!AN$4+1))</f>
        <v>314</v>
      </c>
      <c r="AO28">
        <f ca="1">IF(OR($L28&gt;AO$4,AO$4&gt;$L28+23),"",OFFSET(Electric!$L19,0,-'Electric Calendarize'!$L28+'Electric Calendarize'!AO$4+1))</f>
        <v>281</v>
      </c>
      <c r="AP28" t="str">
        <f ca="1">IF(OR($L28&gt;AP$4,AP$4&gt;$L28+23),"",OFFSET(Electric!$L19,0,-'Electric Calendarize'!$L28+'Electric Calendarize'!AP$4+1))</f>
        <v/>
      </c>
      <c r="AQ28" t="str">
        <f ca="1">IF(OR($L28&gt;AQ$4,AQ$4&gt;$L28+23),"",OFFSET(Electric!$L19,0,-'Electric Calendarize'!$L28+'Electric Calendarize'!AQ$4+1))</f>
        <v/>
      </c>
      <c r="AR28" t="str">
        <f ca="1">IF(OR($L28&gt;AR$4,AR$4&gt;$L28+23),"",OFFSET(Electric!$L19,0,-'Electric Calendarize'!$L28+'Electric Calendarize'!AR$4+1))</f>
        <v/>
      </c>
      <c r="AS28" t="str">
        <f ca="1">IF(OR($L28&gt;AS$4,AS$4&gt;$L28+23),"",OFFSET(Electric!$L19,0,-'Electric Calendarize'!$L28+'Electric Calendarize'!AS$4+1))</f>
        <v/>
      </c>
      <c r="AT28" t="str">
        <f ca="1">IF(OR($L28&gt;AT$4,AT$4&gt;$L28+23),"",OFFSET(Electric!$L19,0,-'Electric Calendarize'!$L28+'Electric Calendarize'!AT$4+1))</f>
        <v/>
      </c>
      <c r="AU28" t="str">
        <f ca="1">IF(OR($L28&gt;AU$4,AU$4&gt;$L28+23),"",OFFSET(Electric!$L19,0,-'Electric Calendarize'!$L28+'Electric Calendarize'!AU$4+1))</f>
        <v/>
      </c>
      <c r="AV28" t="str">
        <f ca="1">IF(OR($L28&gt;AV$4,AV$4&gt;$L28+23),"",OFFSET(Electric!$L19,0,-'Electric Calendarize'!$L28+'Electric Calendarize'!AV$4+1))</f>
        <v/>
      </c>
      <c r="AW28" t="str">
        <f ca="1">IF(OR($L28&gt;AW$4,AW$4&gt;$L28+23),"",OFFSET(Electric!$L19,0,-'Electric Calendarize'!$L28+'Electric Calendarize'!AW$4+1))</f>
        <v/>
      </c>
      <c r="AX28" t="str">
        <f ca="1">IF(OR($L28&gt;AX$4,AX$4&gt;$L28+23),"",OFFSET(Electric!$L19,0,-'Electric Calendarize'!$L28+'Electric Calendarize'!AX$4+1))</f>
        <v/>
      </c>
      <c r="AY28" t="str">
        <f ca="1">IF(OR($L28&gt;AY$4,AY$4&gt;$L28+23),"",OFFSET(Electric!$L19,0,-'Electric Calendarize'!$L28+'Electric Calendarize'!AY$4+1))</f>
        <v/>
      </c>
      <c r="AZ28" t="str">
        <f ca="1">IF(OR($L28&gt;AZ$4,AZ$4&gt;$L28+23),"",OFFSET(Electric!$L19,0,-'Electric Calendarize'!$L28+'Electric Calendarize'!AZ$4+1))</f>
        <v/>
      </c>
      <c r="BA28" t="str">
        <f ca="1">IF(OR($L28&gt;BA$4,BA$4&gt;$L28+23),"",OFFSET(Electric!$L19,0,-'Electric Calendarize'!$L28+'Electric Calendarize'!BA$4+1))</f>
        <v/>
      </c>
      <c r="BB28" t="str">
        <f ca="1">IF(OR($L28&gt;BB$4,BB$4&gt;$L28+23),"",OFFSET(Electric!$L19,0,-'Electric Calendarize'!$L28+'Electric Calendarize'!BB$4+1))</f>
        <v/>
      </c>
      <c r="BC28" t="str">
        <f ca="1">IF(OR($L28&gt;BC$4,BC$4&gt;$L28+23),"",OFFSET(Electric!$L19,0,-'Electric Calendarize'!$L28+'Electric Calendarize'!BC$4+1))</f>
        <v/>
      </c>
      <c r="BD28" t="str">
        <f ca="1">IF(OR($L28&gt;BD$4,BD$4&gt;$L28+23),"",OFFSET(Electric!$L19,0,-'Electric Calendarize'!$L28+'Electric Calendarize'!BD$4+1))</f>
        <v/>
      </c>
      <c r="BE28" t="str">
        <f ca="1">IF(OR($L28&gt;BE$4,BE$4&gt;$L28+23),"",OFFSET(Electric!$L19,0,-'Electric Calendarize'!$L28+'Electric Calendarize'!BE$4+1))</f>
        <v/>
      </c>
      <c r="BF28" t="str">
        <f ca="1">IF(OR($L28&gt;BF$4,BF$4&gt;$L28+23),"",OFFSET(Electric!$L19,0,-'Electric Calendarize'!$L28+'Electric Calendarize'!BF$4+1))</f>
        <v/>
      </c>
      <c r="BG28" t="str">
        <f ca="1">IF(OR($L28&gt;BG$4,BG$4&gt;$L28+23),"",OFFSET(Electric!$L19,0,-'Electric Calendarize'!$L28+'Electric Calendarize'!BG$4+1))</f>
        <v/>
      </c>
      <c r="BJ28" s="10" t="s">
        <v>37</v>
      </c>
      <c r="BK28">
        <f t="shared" si="195"/>
        <v>1</v>
      </c>
      <c r="BL28">
        <f t="shared" si="100"/>
        <v>0</v>
      </c>
      <c r="BM28">
        <f t="shared" si="101"/>
        <v>0</v>
      </c>
      <c r="BN28">
        <f t="shared" si="102"/>
        <v>0</v>
      </c>
      <c r="BO28">
        <f t="shared" si="103"/>
        <v>0</v>
      </c>
      <c r="BP28">
        <f t="shared" si="104"/>
        <v>0</v>
      </c>
      <c r="BQ28">
        <f t="shared" si="105"/>
        <v>0</v>
      </c>
      <c r="BR28">
        <f t="shared" si="106"/>
        <v>1</v>
      </c>
      <c r="BS28">
        <f t="shared" si="107"/>
        <v>1</v>
      </c>
      <c r="BT28">
        <f t="shared" si="108"/>
        <v>1</v>
      </c>
      <c r="BU28">
        <f t="shared" si="109"/>
        <v>1</v>
      </c>
      <c r="BV28">
        <f t="shared" si="110"/>
        <v>1</v>
      </c>
      <c r="BW28">
        <f t="shared" si="111"/>
        <v>1</v>
      </c>
      <c r="BX28">
        <f t="shared" si="112"/>
        <v>0</v>
      </c>
      <c r="BY28">
        <f t="shared" si="113"/>
        <v>0</v>
      </c>
      <c r="BZ28">
        <f t="shared" si="114"/>
        <v>0</v>
      </c>
      <c r="CA28">
        <f t="shared" si="115"/>
        <v>0</v>
      </c>
      <c r="CB28">
        <f t="shared" si="116"/>
        <v>0</v>
      </c>
      <c r="CC28">
        <f t="shared" si="117"/>
        <v>0</v>
      </c>
      <c r="CD28">
        <f t="shared" si="118"/>
        <v>1</v>
      </c>
      <c r="CE28">
        <f t="shared" si="119"/>
        <v>1</v>
      </c>
      <c r="CF28">
        <f t="shared" si="120"/>
        <v>1</v>
      </c>
      <c r="CG28">
        <f t="shared" si="121"/>
        <v>1</v>
      </c>
      <c r="CH28">
        <f t="shared" si="122"/>
        <v>1</v>
      </c>
      <c r="CI28">
        <f t="shared" si="123"/>
        <v>1</v>
      </c>
      <c r="CJ28">
        <f t="shared" si="124"/>
        <v>0</v>
      </c>
      <c r="CK28">
        <f t="shared" si="125"/>
        <v>0</v>
      </c>
      <c r="CL28">
        <f t="shared" si="126"/>
        <v>0</v>
      </c>
      <c r="CM28">
        <f t="shared" si="127"/>
        <v>0</v>
      </c>
      <c r="CN28">
        <f t="shared" si="128"/>
        <v>0</v>
      </c>
      <c r="CO28">
        <f t="shared" si="129"/>
        <v>0</v>
      </c>
      <c r="CP28">
        <f t="shared" si="130"/>
        <v>1</v>
      </c>
      <c r="CQ28">
        <f t="shared" si="131"/>
        <v>1</v>
      </c>
      <c r="CR28">
        <f t="shared" si="132"/>
        <v>1</v>
      </c>
      <c r="CS28">
        <f t="shared" si="133"/>
        <v>1</v>
      </c>
      <c r="CT28">
        <f t="shared" si="134"/>
        <v>1</v>
      </c>
      <c r="CU28">
        <f t="shared" si="135"/>
        <v>1</v>
      </c>
      <c r="CV28">
        <f t="shared" si="136"/>
        <v>0</v>
      </c>
      <c r="CW28">
        <f t="shared" si="137"/>
        <v>0</v>
      </c>
      <c r="CX28">
        <f t="shared" si="138"/>
        <v>0</v>
      </c>
      <c r="CY28">
        <f t="shared" si="139"/>
        <v>0</v>
      </c>
      <c r="CZ28">
        <f t="shared" si="140"/>
        <v>0</v>
      </c>
      <c r="DA28">
        <f t="shared" si="141"/>
        <v>0</v>
      </c>
      <c r="DB28">
        <f t="shared" si="142"/>
        <v>1</v>
      </c>
      <c r="DC28">
        <f t="shared" si="143"/>
        <v>1</v>
      </c>
      <c r="DF28" s="10" t="s">
        <v>37</v>
      </c>
      <c r="DG28" t="str">
        <f t="shared" ref="DG28:DV43" si="200">$K28</f>
        <v>2021_7</v>
      </c>
      <c r="DH28" t="str">
        <f t="shared" si="200"/>
        <v>2021_7</v>
      </c>
      <c r="DI28" t="str">
        <f t="shared" si="200"/>
        <v>2021_7</v>
      </c>
      <c r="DJ28" t="str">
        <f t="shared" si="200"/>
        <v>2021_7</v>
      </c>
      <c r="DK28" t="str">
        <f t="shared" si="200"/>
        <v>2021_7</v>
      </c>
      <c r="DL28" t="str">
        <f t="shared" si="200"/>
        <v>2021_7</v>
      </c>
      <c r="DM28" t="str">
        <f t="shared" si="200"/>
        <v>2021_7</v>
      </c>
      <c r="DN28" t="str">
        <f t="shared" si="200"/>
        <v>2021_7</v>
      </c>
      <c r="DO28" t="str">
        <f t="shared" si="200"/>
        <v>2021_7</v>
      </c>
      <c r="DP28" t="str">
        <f t="shared" si="200"/>
        <v>2021_7</v>
      </c>
      <c r="DQ28" t="str">
        <f t="shared" si="200"/>
        <v>2021_7</v>
      </c>
      <c r="DR28" t="str">
        <f t="shared" si="200"/>
        <v>2021_7</v>
      </c>
      <c r="DS28" t="str">
        <f t="shared" si="200"/>
        <v>2021_7</v>
      </c>
      <c r="DT28" t="str">
        <f t="shared" si="200"/>
        <v>2021_7</v>
      </c>
      <c r="DU28" t="str">
        <f t="shared" si="200"/>
        <v>2021_7</v>
      </c>
      <c r="DV28" t="str">
        <f t="shared" si="200"/>
        <v>2021_7</v>
      </c>
      <c r="DW28" t="str">
        <f t="shared" si="198"/>
        <v>2021_7</v>
      </c>
      <c r="DX28" t="str">
        <f t="shared" si="198"/>
        <v>2021_7</v>
      </c>
      <c r="DY28" t="str">
        <f t="shared" si="198"/>
        <v>2021_7</v>
      </c>
      <c r="DZ28" t="str">
        <f t="shared" si="198"/>
        <v>2021_7</v>
      </c>
      <c r="EA28" t="str">
        <f t="shared" si="198"/>
        <v>2021_7</v>
      </c>
      <c r="EB28" t="str">
        <f t="shared" si="198"/>
        <v>2021_7</v>
      </c>
      <c r="EC28" t="str">
        <f t="shared" si="198"/>
        <v>2021_7</v>
      </c>
      <c r="ED28" t="str">
        <f t="shared" si="198"/>
        <v>2021_7</v>
      </c>
      <c r="EE28" t="str">
        <f t="shared" si="198"/>
        <v>2021_7</v>
      </c>
      <c r="EF28" t="str">
        <f t="shared" si="198"/>
        <v>2021_7</v>
      </c>
      <c r="EG28" t="str">
        <f t="shared" si="198"/>
        <v>2021_7</v>
      </c>
      <c r="EH28" t="str">
        <f t="shared" si="198"/>
        <v>2021_7</v>
      </c>
      <c r="EI28" t="str">
        <f t="shared" si="198"/>
        <v>2021_7</v>
      </c>
      <c r="EJ28" t="str">
        <f t="shared" si="198"/>
        <v>2021_7</v>
      </c>
      <c r="EK28" t="str">
        <f t="shared" si="198"/>
        <v>2021_7</v>
      </c>
      <c r="EL28" t="str">
        <f t="shared" si="198"/>
        <v>2021_7</v>
      </c>
      <c r="EM28" t="str">
        <f t="shared" si="199"/>
        <v>2021_7</v>
      </c>
      <c r="EN28" t="str">
        <f t="shared" si="199"/>
        <v>2021_7</v>
      </c>
      <c r="EO28" t="str">
        <f t="shared" si="199"/>
        <v>2021_7</v>
      </c>
      <c r="EP28" t="str">
        <f t="shared" si="199"/>
        <v>2021_7</v>
      </c>
      <c r="EQ28" t="str">
        <f t="shared" si="199"/>
        <v>2021_7</v>
      </c>
      <c r="ER28" t="str">
        <f t="shared" si="199"/>
        <v>2021_7</v>
      </c>
      <c r="ES28" t="str">
        <f t="shared" si="199"/>
        <v>2021_7</v>
      </c>
      <c r="ET28" t="str">
        <f t="shared" si="199"/>
        <v>2021_7</v>
      </c>
      <c r="EU28" t="str">
        <f t="shared" si="199"/>
        <v>2021_7</v>
      </c>
      <c r="EV28" t="str">
        <f t="shared" si="199"/>
        <v>2021_7</v>
      </c>
      <c r="EW28" t="str">
        <f t="shared" si="199"/>
        <v>2021_7</v>
      </c>
      <c r="EX28" t="str">
        <f t="shared" si="199"/>
        <v>2021_7</v>
      </c>
      <c r="EY28" t="str">
        <f t="shared" si="199"/>
        <v>2021_7</v>
      </c>
      <c r="FB28" s="10" t="s">
        <v>37</v>
      </c>
      <c r="FC28">
        <f t="shared" si="197"/>
        <v>0</v>
      </c>
      <c r="FD28">
        <f t="shared" si="147"/>
        <v>0</v>
      </c>
      <c r="FE28">
        <f t="shared" si="148"/>
        <v>0</v>
      </c>
      <c r="FF28">
        <f t="shared" si="149"/>
        <v>0</v>
      </c>
      <c r="FG28">
        <f t="shared" si="150"/>
        <v>0</v>
      </c>
      <c r="FH28">
        <f t="shared" si="151"/>
        <v>0</v>
      </c>
      <c r="FI28">
        <f t="shared" si="152"/>
        <v>0</v>
      </c>
      <c r="FJ28">
        <f t="shared" si="153"/>
        <v>0</v>
      </c>
      <c r="FK28">
        <f t="shared" si="154"/>
        <v>0</v>
      </c>
      <c r="FL28">
        <f t="shared" si="155"/>
        <v>0</v>
      </c>
      <c r="FM28">
        <f t="shared" si="156"/>
        <v>0</v>
      </c>
      <c r="FN28">
        <f t="shared" si="157"/>
        <v>0</v>
      </c>
      <c r="FO28">
        <f t="shared" si="158"/>
        <v>0</v>
      </c>
      <c r="FP28">
        <f t="shared" si="159"/>
        <v>0</v>
      </c>
      <c r="FQ28">
        <f t="shared" si="160"/>
        <v>0</v>
      </c>
      <c r="FR28">
        <f t="shared" si="161"/>
        <v>1</v>
      </c>
      <c r="FS28">
        <f t="shared" si="162"/>
        <v>1</v>
      </c>
      <c r="FT28">
        <f t="shared" si="163"/>
        <v>1</v>
      </c>
      <c r="FU28">
        <f t="shared" si="164"/>
        <v>1</v>
      </c>
      <c r="FV28">
        <f t="shared" si="165"/>
        <v>1</v>
      </c>
      <c r="FW28">
        <f t="shared" si="166"/>
        <v>1</v>
      </c>
      <c r="FX28">
        <f t="shared" si="167"/>
        <v>1</v>
      </c>
      <c r="FY28">
        <f t="shared" si="168"/>
        <v>1</v>
      </c>
      <c r="FZ28">
        <f t="shared" si="169"/>
        <v>1</v>
      </c>
      <c r="GA28">
        <f t="shared" si="170"/>
        <v>1</v>
      </c>
      <c r="GB28">
        <f t="shared" si="171"/>
        <v>1</v>
      </c>
      <c r="GC28">
        <f t="shared" si="172"/>
        <v>1</v>
      </c>
      <c r="GD28">
        <f t="shared" si="173"/>
        <v>1</v>
      </c>
      <c r="GE28">
        <f t="shared" si="174"/>
        <v>1</v>
      </c>
      <c r="GF28">
        <f t="shared" si="175"/>
        <v>1</v>
      </c>
      <c r="GG28">
        <f t="shared" si="176"/>
        <v>1</v>
      </c>
      <c r="GH28">
        <f t="shared" si="177"/>
        <v>1</v>
      </c>
      <c r="GI28">
        <f t="shared" si="178"/>
        <v>1</v>
      </c>
      <c r="GJ28">
        <f t="shared" si="179"/>
        <v>1</v>
      </c>
      <c r="GK28">
        <f t="shared" si="180"/>
        <v>1</v>
      </c>
      <c r="GL28">
        <f t="shared" si="181"/>
        <v>1</v>
      </c>
      <c r="GM28">
        <f t="shared" si="182"/>
        <v>1</v>
      </c>
      <c r="GN28">
        <f t="shared" si="183"/>
        <v>1</v>
      </c>
      <c r="GO28">
        <f t="shared" si="184"/>
        <v>1</v>
      </c>
      <c r="GP28">
        <f t="shared" si="185"/>
        <v>1</v>
      </c>
      <c r="GQ28">
        <f t="shared" si="186"/>
        <v>1</v>
      </c>
      <c r="GR28">
        <f t="shared" si="187"/>
        <v>1</v>
      </c>
      <c r="GS28">
        <f t="shared" si="188"/>
        <v>1</v>
      </c>
      <c r="GT28">
        <f t="shared" si="189"/>
        <v>1</v>
      </c>
      <c r="GU28">
        <f t="shared" si="190"/>
        <v>1</v>
      </c>
      <c r="GX28" s="10"/>
    </row>
    <row r="29" spans="1:206" x14ac:dyDescent="0.3">
      <c r="A29" s="9" t="s">
        <v>41</v>
      </c>
      <c r="B29" s="80"/>
      <c r="C29" s="9">
        <v>3131911004</v>
      </c>
      <c r="D29" s="9" t="s">
        <v>366</v>
      </c>
      <c r="E29" s="9" t="s">
        <v>39</v>
      </c>
      <c r="F29" s="9" t="s">
        <v>35</v>
      </c>
      <c r="G29" s="9" t="s">
        <v>60</v>
      </c>
      <c r="H29" s="10">
        <v>44397</v>
      </c>
      <c r="I29" s="9">
        <f t="shared" si="191"/>
        <v>2021</v>
      </c>
      <c r="J29" s="9">
        <f t="shared" si="192"/>
        <v>7</v>
      </c>
      <c r="K29" s="9" t="str">
        <f t="shared" si="193"/>
        <v>2021_7</v>
      </c>
      <c r="L29">
        <f>MAX(0,VLOOKUP($K29,lookups!$A$1:$B$45,2,0)-12)</f>
        <v>3</v>
      </c>
      <c r="M29" s="40">
        <f t="shared" si="194"/>
        <v>44378</v>
      </c>
      <c r="N29" s="10" t="s">
        <v>37</v>
      </c>
      <c r="O29" t="str">
        <f ca="1">IF(OR($L29&gt;O$4,O$4&gt;$L29+23),"",OFFSET(Electric!$L20,0,-'Electric Calendarize'!$L29+'Electric Calendarize'!O$4+1))</f>
        <v/>
      </c>
      <c r="P29" t="str">
        <f ca="1">IF(OR($L29&gt;P$4,P$4&gt;$L29+23),"",OFFSET(Electric!$L20,0,-'Electric Calendarize'!$L29+'Electric Calendarize'!P$4+1))</f>
        <v/>
      </c>
      <c r="Q29" t="str">
        <f ca="1">IF(OR($L29&gt;Q$4,Q$4&gt;$L29+23),"",OFFSET(Electric!$L20,0,-'Electric Calendarize'!$L29+'Electric Calendarize'!Q$4+1))</f>
        <v/>
      </c>
      <c r="R29">
        <f ca="1">IF(OR($L29&gt;R$4,R$4&gt;$L29+23),"",OFFSET(Electric!$L20,0,-'Electric Calendarize'!$L29+'Electric Calendarize'!R$4+1))</f>
        <v>0</v>
      </c>
      <c r="S29">
        <f ca="1">IF(OR($L29&gt;S$4,S$4&gt;$L29+23),"",OFFSET(Electric!$L20,0,-'Electric Calendarize'!$L29+'Electric Calendarize'!S$4+1))</f>
        <v>0</v>
      </c>
      <c r="T29">
        <f ca="1">IF(OR($L29&gt;T$4,T$4&gt;$L29+23),"",OFFSET(Electric!$L20,0,-'Electric Calendarize'!$L29+'Electric Calendarize'!T$4+1))</f>
        <v>0</v>
      </c>
      <c r="U29">
        <f ca="1">IF(OR($L29&gt;U$4,U$4&gt;$L29+23),"",OFFSET(Electric!$L20,0,-'Electric Calendarize'!$L29+'Electric Calendarize'!U$4+1))</f>
        <v>326</v>
      </c>
      <c r="V29">
        <f ca="1">IF(OR($L29&gt;V$4,V$4&gt;$L29+23),"",OFFSET(Electric!$L20,0,-'Electric Calendarize'!$L29+'Electric Calendarize'!V$4+1))</f>
        <v>540</v>
      </c>
      <c r="W29">
        <f ca="1">IF(OR($L29&gt;W$4,W$4&gt;$L29+23),"",OFFSET(Electric!$L20,0,-'Electric Calendarize'!$L29+'Electric Calendarize'!W$4+1))</f>
        <v>745</v>
      </c>
      <c r="X29">
        <f ca="1">IF(OR($L29&gt;X$4,X$4&gt;$L29+23),"",OFFSET(Electric!$L20,0,-'Electric Calendarize'!$L29+'Electric Calendarize'!X$4+1))</f>
        <v>733</v>
      </c>
      <c r="Y29">
        <f ca="1">IF(OR($L29&gt;Y$4,Y$4&gt;$L29+23),"",OFFSET(Electric!$L20,0,-'Electric Calendarize'!$L29+'Electric Calendarize'!Y$4+1))</f>
        <v>709</v>
      </c>
      <c r="Z29">
        <f ca="1">IF(OR($L29&gt;Z$4,Z$4&gt;$L29+23),"",OFFSET(Electric!$L20,0,-'Electric Calendarize'!$L29+'Electric Calendarize'!Z$4+1))</f>
        <v>768</v>
      </c>
      <c r="AA29">
        <f ca="1">IF(OR($L29&gt;AA$4,AA$4&gt;$L29+23),"",OFFSET(Electric!$L20,0,-'Electric Calendarize'!$L29+'Electric Calendarize'!AA$4+1))</f>
        <v>623</v>
      </c>
      <c r="AB29">
        <f ca="1">IF(OR($L29&gt;AB$4,AB$4&gt;$L29+23),"",OFFSET(Electric!$L20,0,-'Electric Calendarize'!$L29+'Electric Calendarize'!AB$4+1))</f>
        <v>645</v>
      </c>
      <c r="AC29">
        <f ca="1">IF(OR($L29&gt;AC$4,AC$4&gt;$L29+23),"",OFFSET(Electric!$L20,0,-'Electric Calendarize'!$L29+'Electric Calendarize'!AC$4+1))</f>
        <v>578</v>
      </c>
      <c r="AD29">
        <f ca="1">IF(OR($L29&gt;AD$4,AD$4&gt;$L29+23),"",OFFSET(Electric!$L20,0,-'Electric Calendarize'!$L29+'Electric Calendarize'!AD$4+1))</f>
        <v>769</v>
      </c>
      <c r="AE29">
        <f ca="1">IF(OR($L29&gt;AE$4,AE$4&gt;$L29+23),"",OFFSET(Electric!$L20,0,-'Electric Calendarize'!$L29+'Electric Calendarize'!AE$4+1))</f>
        <v>991</v>
      </c>
      <c r="AF29">
        <f ca="1">IF(OR($L29&gt;AF$4,AF$4&gt;$L29+23),"",OFFSET(Electric!$L20,0,-'Electric Calendarize'!$L29+'Electric Calendarize'!AF$4+1))</f>
        <v>704</v>
      </c>
      <c r="AG29">
        <f ca="1">IF(OR($L29&gt;AG$4,AG$4&gt;$L29+23),"",OFFSET(Electric!$L20,0,-'Electric Calendarize'!$L29+'Electric Calendarize'!AG$4+1))</f>
        <v>580</v>
      </c>
      <c r="AH29">
        <f ca="1">IF(OR($L29&gt;AH$4,AH$4&gt;$L29+23),"",OFFSET(Electric!$L20,0,-'Electric Calendarize'!$L29+'Electric Calendarize'!AH$4+1))</f>
        <v>838</v>
      </c>
      <c r="AI29">
        <f ca="1">IF(OR($L29&gt;AI$4,AI$4&gt;$L29+23),"",OFFSET(Electric!$L20,0,-'Electric Calendarize'!$L29+'Electric Calendarize'!AI$4+1))</f>
        <v>996</v>
      </c>
      <c r="AJ29">
        <f ca="1">IF(OR($L29&gt;AJ$4,AJ$4&gt;$L29+23),"",OFFSET(Electric!$L20,0,-'Electric Calendarize'!$L29+'Electric Calendarize'!AJ$4+1))</f>
        <v>1165</v>
      </c>
      <c r="AK29">
        <f ca="1">IF(OR($L29&gt;AK$4,AK$4&gt;$L29+23),"",OFFSET(Electric!$L20,0,-'Electric Calendarize'!$L29+'Electric Calendarize'!AK$4+1))</f>
        <v>1057</v>
      </c>
      <c r="AL29">
        <f ca="1">IF(OR($L29&gt;AL$4,AL$4&gt;$L29+23),"",OFFSET(Electric!$L20,0,-'Electric Calendarize'!$L29+'Electric Calendarize'!AL$4+1))</f>
        <v>975</v>
      </c>
      <c r="AM29">
        <f ca="1">IF(OR($L29&gt;AM$4,AM$4&gt;$L29+23),"",OFFSET(Electric!$L20,0,-'Electric Calendarize'!$L29+'Electric Calendarize'!AM$4+1))</f>
        <v>821</v>
      </c>
      <c r="AN29">
        <f ca="1">IF(OR($L29&gt;AN$4,AN$4&gt;$L29+23),"",OFFSET(Electric!$L20,0,-'Electric Calendarize'!$L29+'Electric Calendarize'!AN$4+1))</f>
        <v>749</v>
      </c>
      <c r="AO29">
        <f ca="1">IF(OR($L29&gt;AO$4,AO$4&gt;$L29+23),"",OFFSET(Electric!$L20,0,-'Electric Calendarize'!$L29+'Electric Calendarize'!AO$4+1))</f>
        <v>615</v>
      </c>
      <c r="AP29" t="str">
        <f ca="1">IF(OR($L29&gt;AP$4,AP$4&gt;$L29+23),"",OFFSET(Electric!$L20,0,-'Electric Calendarize'!$L29+'Electric Calendarize'!AP$4+1))</f>
        <v/>
      </c>
      <c r="AQ29" t="str">
        <f ca="1">IF(OR($L29&gt;AQ$4,AQ$4&gt;$L29+23),"",OFFSET(Electric!$L20,0,-'Electric Calendarize'!$L29+'Electric Calendarize'!AQ$4+1))</f>
        <v/>
      </c>
      <c r="AR29" t="str">
        <f ca="1">IF(OR($L29&gt;AR$4,AR$4&gt;$L29+23),"",OFFSET(Electric!$L20,0,-'Electric Calendarize'!$L29+'Electric Calendarize'!AR$4+1))</f>
        <v/>
      </c>
      <c r="AS29" t="str">
        <f ca="1">IF(OR($L29&gt;AS$4,AS$4&gt;$L29+23),"",OFFSET(Electric!$L20,0,-'Electric Calendarize'!$L29+'Electric Calendarize'!AS$4+1))</f>
        <v/>
      </c>
      <c r="AT29" t="str">
        <f ca="1">IF(OR($L29&gt;AT$4,AT$4&gt;$L29+23),"",OFFSET(Electric!$L20,0,-'Electric Calendarize'!$L29+'Electric Calendarize'!AT$4+1))</f>
        <v/>
      </c>
      <c r="AU29" t="str">
        <f ca="1">IF(OR($L29&gt;AU$4,AU$4&gt;$L29+23),"",OFFSET(Electric!$L20,0,-'Electric Calendarize'!$L29+'Electric Calendarize'!AU$4+1))</f>
        <v/>
      </c>
      <c r="AV29" t="str">
        <f ca="1">IF(OR($L29&gt;AV$4,AV$4&gt;$L29+23),"",OFFSET(Electric!$L20,0,-'Electric Calendarize'!$L29+'Electric Calendarize'!AV$4+1))</f>
        <v/>
      </c>
      <c r="AW29" t="str">
        <f ca="1">IF(OR($L29&gt;AW$4,AW$4&gt;$L29+23),"",OFFSET(Electric!$L20,0,-'Electric Calendarize'!$L29+'Electric Calendarize'!AW$4+1))</f>
        <v/>
      </c>
      <c r="AX29" t="str">
        <f ca="1">IF(OR($L29&gt;AX$4,AX$4&gt;$L29+23),"",OFFSET(Electric!$L20,0,-'Electric Calendarize'!$L29+'Electric Calendarize'!AX$4+1))</f>
        <v/>
      </c>
      <c r="AY29" t="str">
        <f ca="1">IF(OR($L29&gt;AY$4,AY$4&gt;$L29+23),"",OFFSET(Electric!$L20,0,-'Electric Calendarize'!$L29+'Electric Calendarize'!AY$4+1))</f>
        <v/>
      </c>
      <c r="AZ29" t="str">
        <f ca="1">IF(OR($L29&gt;AZ$4,AZ$4&gt;$L29+23),"",OFFSET(Electric!$L20,0,-'Electric Calendarize'!$L29+'Electric Calendarize'!AZ$4+1))</f>
        <v/>
      </c>
      <c r="BA29" t="str">
        <f ca="1">IF(OR($L29&gt;BA$4,BA$4&gt;$L29+23),"",OFFSET(Electric!$L20,0,-'Electric Calendarize'!$L29+'Electric Calendarize'!BA$4+1))</f>
        <v/>
      </c>
      <c r="BB29" t="str">
        <f ca="1">IF(OR($L29&gt;BB$4,BB$4&gt;$L29+23),"",OFFSET(Electric!$L20,0,-'Electric Calendarize'!$L29+'Electric Calendarize'!BB$4+1))</f>
        <v/>
      </c>
      <c r="BC29" t="str">
        <f ca="1">IF(OR($L29&gt;BC$4,BC$4&gt;$L29+23),"",OFFSET(Electric!$L20,0,-'Electric Calendarize'!$L29+'Electric Calendarize'!BC$4+1))</f>
        <v/>
      </c>
      <c r="BD29" t="str">
        <f ca="1">IF(OR($L29&gt;BD$4,BD$4&gt;$L29+23),"",OFFSET(Electric!$L20,0,-'Electric Calendarize'!$L29+'Electric Calendarize'!BD$4+1))</f>
        <v/>
      </c>
      <c r="BE29" t="str">
        <f ca="1">IF(OR($L29&gt;BE$4,BE$4&gt;$L29+23),"",OFFSET(Electric!$L20,0,-'Electric Calendarize'!$L29+'Electric Calendarize'!BE$4+1))</f>
        <v/>
      </c>
      <c r="BF29" t="str">
        <f ca="1">IF(OR($L29&gt;BF$4,BF$4&gt;$L29+23),"",OFFSET(Electric!$L20,0,-'Electric Calendarize'!$L29+'Electric Calendarize'!BF$4+1))</f>
        <v/>
      </c>
      <c r="BG29" t="str">
        <f ca="1">IF(OR($L29&gt;BG$4,BG$4&gt;$L29+23),"",OFFSET(Electric!$L20,0,-'Electric Calendarize'!$L29+'Electric Calendarize'!BG$4+1))</f>
        <v/>
      </c>
      <c r="BJ29" s="10" t="s">
        <v>37</v>
      </c>
      <c r="BK29">
        <f t="shared" si="195"/>
        <v>1</v>
      </c>
      <c r="BL29">
        <f t="shared" si="100"/>
        <v>0</v>
      </c>
      <c r="BM29">
        <f t="shared" si="101"/>
        <v>0</v>
      </c>
      <c r="BN29">
        <f t="shared" si="102"/>
        <v>0</v>
      </c>
      <c r="BO29">
        <f t="shared" si="103"/>
        <v>0</v>
      </c>
      <c r="BP29">
        <f t="shared" si="104"/>
        <v>0</v>
      </c>
      <c r="BQ29">
        <f t="shared" si="105"/>
        <v>0</v>
      </c>
      <c r="BR29">
        <f t="shared" si="106"/>
        <v>1</v>
      </c>
      <c r="BS29">
        <f t="shared" si="107"/>
        <v>1</v>
      </c>
      <c r="BT29">
        <f t="shared" si="108"/>
        <v>1</v>
      </c>
      <c r="BU29">
        <f t="shared" si="109"/>
        <v>1</v>
      </c>
      <c r="BV29">
        <f t="shared" si="110"/>
        <v>1</v>
      </c>
      <c r="BW29">
        <f t="shared" si="111"/>
        <v>1</v>
      </c>
      <c r="BX29">
        <f t="shared" si="112"/>
        <v>0</v>
      </c>
      <c r="BY29">
        <f t="shared" si="113"/>
        <v>0</v>
      </c>
      <c r="BZ29">
        <f t="shared" si="114"/>
        <v>0</v>
      </c>
      <c r="CA29">
        <f t="shared" si="115"/>
        <v>0</v>
      </c>
      <c r="CB29">
        <f t="shared" si="116"/>
        <v>0</v>
      </c>
      <c r="CC29">
        <f t="shared" si="117"/>
        <v>0</v>
      </c>
      <c r="CD29">
        <f t="shared" si="118"/>
        <v>1</v>
      </c>
      <c r="CE29">
        <f t="shared" si="119"/>
        <v>1</v>
      </c>
      <c r="CF29">
        <f t="shared" si="120"/>
        <v>1</v>
      </c>
      <c r="CG29">
        <f t="shared" si="121"/>
        <v>1</v>
      </c>
      <c r="CH29">
        <f t="shared" si="122"/>
        <v>1</v>
      </c>
      <c r="CI29">
        <f t="shared" si="123"/>
        <v>1</v>
      </c>
      <c r="CJ29">
        <f t="shared" si="124"/>
        <v>0</v>
      </c>
      <c r="CK29">
        <f t="shared" si="125"/>
        <v>0</v>
      </c>
      <c r="CL29">
        <f t="shared" si="126"/>
        <v>0</v>
      </c>
      <c r="CM29">
        <f t="shared" si="127"/>
        <v>0</v>
      </c>
      <c r="CN29">
        <f t="shared" si="128"/>
        <v>0</v>
      </c>
      <c r="CO29">
        <f t="shared" si="129"/>
        <v>0</v>
      </c>
      <c r="CP29">
        <f t="shared" si="130"/>
        <v>1</v>
      </c>
      <c r="CQ29">
        <f t="shared" si="131"/>
        <v>1</v>
      </c>
      <c r="CR29">
        <f t="shared" si="132"/>
        <v>1</v>
      </c>
      <c r="CS29">
        <f t="shared" si="133"/>
        <v>1</v>
      </c>
      <c r="CT29">
        <f t="shared" si="134"/>
        <v>1</v>
      </c>
      <c r="CU29">
        <f t="shared" si="135"/>
        <v>1</v>
      </c>
      <c r="CV29">
        <f t="shared" si="136"/>
        <v>0</v>
      </c>
      <c r="CW29">
        <f t="shared" si="137"/>
        <v>0</v>
      </c>
      <c r="CX29">
        <f t="shared" si="138"/>
        <v>0</v>
      </c>
      <c r="CY29">
        <f t="shared" si="139"/>
        <v>0</v>
      </c>
      <c r="CZ29">
        <f t="shared" si="140"/>
        <v>0</v>
      </c>
      <c r="DA29">
        <f t="shared" si="141"/>
        <v>0</v>
      </c>
      <c r="DB29">
        <f t="shared" si="142"/>
        <v>1</v>
      </c>
      <c r="DC29">
        <f t="shared" si="143"/>
        <v>1</v>
      </c>
      <c r="DF29" s="10" t="s">
        <v>37</v>
      </c>
      <c r="DG29" t="str">
        <f t="shared" si="200"/>
        <v>2021_7</v>
      </c>
      <c r="DH29" t="str">
        <f t="shared" si="200"/>
        <v>2021_7</v>
      </c>
      <c r="DI29" t="str">
        <f t="shared" si="200"/>
        <v>2021_7</v>
      </c>
      <c r="DJ29" t="str">
        <f t="shared" si="200"/>
        <v>2021_7</v>
      </c>
      <c r="DK29" t="str">
        <f t="shared" si="200"/>
        <v>2021_7</v>
      </c>
      <c r="DL29" t="str">
        <f t="shared" si="200"/>
        <v>2021_7</v>
      </c>
      <c r="DM29" t="str">
        <f t="shared" si="200"/>
        <v>2021_7</v>
      </c>
      <c r="DN29" t="str">
        <f t="shared" si="200"/>
        <v>2021_7</v>
      </c>
      <c r="DO29" t="str">
        <f t="shared" si="200"/>
        <v>2021_7</v>
      </c>
      <c r="DP29" t="str">
        <f t="shared" si="200"/>
        <v>2021_7</v>
      </c>
      <c r="DQ29" t="str">
        <f t="shared" si="200"/>
        <v>2021_7</v>
      </c>
      <c r="DR29" t="str">
        <f t="shared" si="200"/>
        <v>2021_7</v>
      </c>
      <c r="DS29" t="str">
        <f t="shared" si="200"/>
        <v>2021_7</v>
      </c>
      <c r="DT29" t="str">
        <f t="shared" si="200"/>
        <v>2021_7</v>
      </c>
      <c r="DU29" t="str">
        <f t="shared" si="200"/>
        <v>2021_7</v>
      </c>
      <c r="DV29" t="str">
        <f t="shared" si="200"/>
        <v>2021_7</v>
      </c>
      <c r="DW29" t="str">
        <f t="shared" si="198"/>
        <v>2021_7</v>
      </c>
      <c r="DX29" t="str">
        <f t="shared" si="198"/>
        <v>2021_7</v>
      </c>
      <c r="DY29" t="str">
        <f t="shared" si="198"/>
        <v>2021_7</v>
      </c>
      <c r="DZ29" t="str">
        <f t="shared" si="198"/>
        <v>2021_7</v>
      </c>
      <c r="EA29" t="str">
        <f t="shared" si="198"/>
        <v>2021_7</v>
      </c>
      <c r="EB29" t="str">
        <f t="shared" si="198"/>
        <v>2021_7</v>
      </c>
      <c r="EC29" t="str">
        <f t="shared" si="198"/>
        <v>2021_7</v>
      </c>
      <c r="ED29" t="str">
        <f t="shared" si="198"/>
        <v>2021_7</v>
      </c>
      <c r="EE29" t="str">
        <f t="shared" si="198"/>
        <v>2021_7</v>
      </c>
      <c r="EF29" t="str">
        <f t="shared" si="198"/>
        <v>2021_7</v>
      </c>
      <c r="EG29" t="str">
        <f t="shared" si="198"/>
        <v>2021_7</v>
      </c>
      <c r="EH29" t="str">
        <f t="shared" si="198"/>
        <v>2021_7</v>
      </c>
      <c r="EI29" t="str">
        <f t="shared" si="198"/>
        <v>2021_7</v>
      </c>
      <c r="EJ29" t="str">
        <f t="shared" si="198"/>
        <v>2021_7</v>
      </c>
      <c r="EK29" t="str">
        <f t="shared" si="198"/>
        <v>2021_7</v>
      </c>
      <c r="EL29" t="str">
        <f t="shared" si="198"/>
        <v>2021_7</v>
      </c>
      <c r="EM29" t="str">
        <f t="shared" si="199"/>
        <v>2021_7</v>
      </c>
      <c r="EN29" t="str">
        <f t="shared" si="199"/>
        <v>2021_7</v>
      </c>
      <c r="EO29" t="str">
        <f t="shared" si="199"/>
        <v>2021_7</v>
      </c>
      <c r="EP29" t="str">
        <f t="shared" si="199"/>
        <v>2021_7</v>
      </c>
      <c r="EQ29" t="str">
        <f t="shared" si="199"/>
        <v>2021_7</v>
      </c>
      <c r="ER29" t="str">
        <f t="shared" si="199"/>
        <v>2021_7</v>
      </c>
      <c r="ES29" t="str">
        <f t="shared" si="199"/>
        <v>2021_7</v>
      </c>
      <c r="ET29" t="str">
        <f t="shared" si="199"/>
        <v>2021_7</v>
      </c>
      <c r="EU29" t="str">
        <f t="shared" si="199"/>
        <v>2021_7</v>
      </c>
      <c r="EV29" t="str">
        <f t="shared" si="199"/>
        <v>2021_7</v>
      </c>
      <c r="EW29" t="str">
        <f t="shared" si="199"/>
        <v>2021_7</v>
      </c>
      <c r="EX29" t="str">
        <f t="shared" si="199"/>
        <v>2021_7</v>
      </c>
      <c r="EY29" t="str">
        <f t="shared" si="199"/>
        <v>2021_7</v>
      </c>
      <c r="FB29" s="10" t="s">
        <v>37</v>
      </c>
      <c r="FC29">
        <f t="shared" si="197"/>
        <v>0</v>
      </c>
      <c r="FD29">
        <f t="shared" si="147"/>
        <v>0</v>
      </c>
      <c r="FE29">
        <f t="shared" si="148"/>
        <v>0</v>
      </c>
      <c r="FF29">
        <f t="shared" si="149"/>
        <v>0</v>
      </c>
      <c r="FG29">
        <f t="shared" si="150"/>
        <v>0</v>
      </c>
      <c r="FH29">
        <f t="shared" si="151"/>
        <v>0</v>
      </c>
      <c r="FI29">
        <f t="shared" si="152"/>
        <v>0</v>
      </c>
      <c r="FJ29">
        <f t="shared" si="153"/>
        <v>0</v>
      </c>
      <c r="FK29">
        <f t="shared" si="154"/>
        <v>0</v>
      </c>
      <c r="FL29">
        <f t="shared" si="155"/>
        <v>0</v>
      </c>
      <c r="FM29">
        <f t="shared" si="156"/>
        <v>0</v>
      </c>
      <c r="FN29">
        <f t="shared" si="157"/>
        <v>0</v>
      </c>
      <c r="FO29">
        <f t="shared" si="158"/>
        <v>0</v>
      </c>
      <c r="FP29">
        <f t="shared" si="159"/>
        <v>0</v>
      </c>
      <c r="FQ29">
        <f t="shared" si="160"/>
        <v>0</v>
      </c>
      <c r="FR29">
        <f t="shared" si="161"/>
        <v>1</v>
      </c>
      <c r="FS29">
        <f t="shared" si="162"/>
        <v>1</v>
      </c>
      <c r="FT29">
        <f t="shared" si="163"/>
        <v>1</v>
      </c>
      <c r="FU29">
        <f t="shared" si="164"/>
        <v>1</v>
      </c>
      <c r="FV29">
        <f t="shared" si="165"/>
        <v>1</v>
      </c>
      <c r="FW29">
        <f t="shared" si="166"/>
        <v>1</v>
      </c>
      <c r="FX29">
        <f t="shared" si="167"/>
        <v>1</v>
      </c>
      <c r="FY29">
        <f t="shared" si="168"/>
        <v>1</v>
      </c>
      <c r="FZ29">
        <f t="shared" si="169"/>
        <v>1</v>
      </c>
      <c r="GA29">
        <f t="shared" si="170"/>
        <v>1</v>
      </c>
      <c r="GB29">
        <f t="shared" si="171"/>
        <v>1</v>
      </c>
      <c r="GC29">
        <f t="shared" si="172"/>
        <v>1</v>
      </c>
      <c r="GD29">
        <f t="shared" si="173"/>
        <v>1</v>
      </c>
      <c r="GE29">
        <f t="shared" si="174"/>
        <v>1</v>
      </c>
      <c r="GF29">
        <f t="shared" si="175"/>
        <v>1</v>
      </c>
      <c r="GG29">
        <f t="shared" si="176"/>
        <v>1</v>
      </c>
      <c r="GH29">
        <f t="shared" si="177"/>
        <v>1</v>
      </c>
      <c r="GI29">
        <f t="shared" si="178"/>
        <v>1</v>
      </c>
      <c r="GJ29">
        <f t="shared" si="179"/>
        <v>1</v>
      </c>
      <c r="GK29">
        <f t="shared" si="180"/>
        <v>1</v>
      </c>
      <c r="GL29">
        <f t="shared" si="181"/>
        <v>1</v>
      </c>
      <c r="GM29">
        <f t="shared" si="182"/>
        <v>1</v>
      </c>
      <c r="GN29">
        <f t="shared" si="183"/>
        <v>1</v>
      </c>
      <c r="GO29">
        <f t="shared" si="184"/>
        <v>1</v>
      </c>
      <c r="GP29">
        <f t="shared" si="185"/>
        <v>1</v>
      </c>
      <c r="GQ29">
        <f t="shared" si="186"/>
        <v>1</v>
      </c>
      <c r="GR29">
        <f t="shared" si="187"/>
        <v>1</v>
      </c>
      <c r="GS29">
        <f t="shared" si="188"/>
        <v>1</v>
      </c>
      <c r="GT29">
        <f t="shared" si="189"/>
        <v>1</v>
      </c>
      <c r="GU29">
        <f t="shared" si="190"/>
        <v>1</v>
      </c>
      <c r="GX29" s="10"/>
    </row>
    <row r="30" spans="1:206" x14ac:dyDescent="0.3">
      <c r="A30" s="15" t="s">
        <v>46</v>
      </c>
      <c r="B30" s="80"/>
      <c r="C30" s="9">
        <v>3010174002</v>
      </c>
      <c r="D30" s="9" t="s">
        <v>367</v>
      </c>
      <c r="E30" s="9" t="s">
        <v>34</v>
      </c>
      <c r="F30" s="9" t="s">
        <v>35</v>
      </c>
      <c r="G30" s="9" t="s">
        <v>61</v>
      </c>
      <c r="H30" s="10">
        <v>44398</v>
      </c>
      <c r="I30" s="9">
        <f t="shared" si="191"/>
        <v>2021</v>
      </c>
      <c r="J30" s="9">
        <f t="shared" si="192"/>
        <v>7</v>
      </c>
      <c r="K30" s="9" t="str">
        <f t="shared" si="193"/>
        <v>2021_7</v>
      </c>
      <c r="L30">
        <f>MAX(0,VLOOKUP($K30,lookups!$A$1:$B$45,2,0)-12)</f>
        <v>3</v>
      </c>
      <c r="M30" s="40">
        <f t="shared" si="194"/>
        <v>44378</v>
      </c>
      <c r="N30" s="10" t="s">
        <v>37</v>
      </c>
      <c r="O30" t="str">
        <f ca="1">IF(OR($L30&gt;O$4,O$4&gt;$L30+23),"",OFFSET(Electric!$L21,0,-'Electric Calendarize'!$L30+'Electric Calendarize'!O$4+1))</f>
        <v/>
      </c>
      <c r="P30" t="str">
        <f ca="1">IF(OR($L30&gt;P$4,P$4&gt;$L30+23),"",OFFSET(Electric!$L21,0,-'Electric Calendarize'!$L30+'Electric Calendarize'!P$4+1))</f>
        <v/>
      </c>
      <c r="Q30" t="str">
        <f ca="1">IF(OR($L30&gt;Q$4,Q$4&gt;$L30+23),"",OFFSET(Electric!$L21,0,-'Electric Calendarize'!$L30+'Electric Calendarize'!Q$4+1))</f>
        <v/>
      </c>
      <c r="R30">
        <f ca="1">IF(OR($L30&gt;R$4,R$4&gt;$L30+23),"",OFFSET(Electric!$L21,0,-'Electric Calendarize'!$L30+'Electric Calendarize'!R$4+1))</f>
        <v>0</v>
      </c>
      <c r="S30">
        <f ca="1">IF(OR($L30&gt;S$4,S$4&gt;$L30+23),"",OFFSET(Electric!$L21,0,-'Electric Calendarize'!$L30+'Electric Calendarize'!S$4+1))</f>
        <v>0</v>
      </c>
      <c r="T30">
        <f ca="1">IF(OR($L30&gt;T$4,T$4&gt;$L30+23),"",OFFSET(Electric!$L21,0,-'Electric Calendarize'!$L30+'Electric Calendarize'!T$4+1))</f>
        <v>0</v>
      </c>
      <c r="U30">
        <f ca="1">IF(OR($L30&gt;U$4,U$4&gt;$L30+23),"",OFFSET(Electric!$L21,0,-'Electric Calendarize'!$L30+'Electric Calendarize'!U$4+1))</f>
        <v>0</v>
      </c>
      <c r="V30">
        <f ca="1">IF(OR($L30&gt;V$4,V$4&gt;$L30+23),"",OFFSET(Electric!$L21,0,-'Electric Calendarize'!$L30+'Electric Calendarize'!V$4+1))</f>
        <v>0</v>
      </c>
      <c r="W30">
        <f ca="1">IF(OR($L30&gt;W$4,W$4&gt;$L30+23),"",OFFSET(Electric!$L21,0,-'Electric Calendarize'!$L30+'Electric Calendarize'!W$4+1))</f>
        <v>0</v>
      </c>
      <c r="X30">
        <f ca="1">IF(OR($L30&gt;X$4,X$4&gt;$L30+23),"",OFFSET(Electric!$L21,0,-'Electric Calendarize'!$L30+'Electric Calendarize'!X$4+1))</f>
        <v>0</v>
      </c>
      <c r="Y30">
        <f ca="1">IF(OR($L30&gt;Y$4,Y$4&gt;$L30+23),"",OFFSET(Electric!$L21,0,-'Electric Calendarize'!$L30+'Electric Calendarize'!Y$4+1))</f>
        <v>0</v>
      </c>
      <c r="Z30">
        <f ca="1">IF(OR($L30&gt;Z$4,Z$4&gt;$L30+23),"",OFFSET(Electric!$L21,0,-'Electric Calendarize'!$L30+'Electric Calendarize'!Z$4+1))</f>
        <v>0</v>
      </c>
      <c r="AA30">
        <f ca="1">IF(OR($L30&gt;AA$4,AA$4&gt;$L30+23),"",OFFSET(Electric!$L21,0,-'Electric Calendarize'!$L30+'Electric Calendarize'!AA$4+1))</f>
        <v>415</v>
      </c>
      <c r="AB30">
        <f ca="1">IF(OR($L30&gt;AB$4,AB$4&gt;$L30+23),"",OFFSET(Electric!$L21,0,-'Electric Calendarize'!$L30+'Electric Calendarize'!AB$4+1))</f>
        <v>429</v>
      </c>
      <c r="AC30">
        <f ca="1">IF(OR($L30&gt;AC$4,AC$4&gt;$L30+23),"",OFFSET(Electric!$L21,0,-'Electric Calendarize'!$L30+'Electric Calendarize'!AC$4+1))</f>
        <v>443</v>
      </c>
      <c r="AD30">
        <f ca="1">IF(OR($L30&gt;AD$4,AD$4&gt;$L30+23),"",OFFSET(Electric!$L21,0,-'Electric Calendarize'!$L30+'Electric Calendarize'!AD$4+1))</f>
        <v>682</v>
      </c>
      <c r="AE30">
        <f ca="1">IF(OR($L30&gt;AE$4,AE$4&gt;$L30+23),"",OFFSET(Electric!$L21,0,-'Electric Calendarize'!$L30+'Electric Calendarize'!AE$4+1))</f>
        <v>641</v>
      </c>
      <c r="AF30">
        <f ca="1">IF(OR($L30&gt;AF$4,AF$4&gt;$L30+23),"",OFFSET(Electric!$L21,0,-'Electric Calendarize'!$L30+'Electric Calendarize'!AF$4+1))</f>
        <v>658</v>
      </c>
      <c r="AG30">
        <f ca="1">IF(OR($L30&gt;AG$4,AG$4&gt;$L30+23),"",OFFSET(Electric!$L21,0,-'Electric Calendarize'!$L30+'Electric Calendarize'!AG$4+1))</f>
        <v>441</v>
      </c>
      <c r="AH30">
        <f ca="1">IF(OR($L30&gt;AH$4,AH$4&gt;$L30+23),"",OFFSET(Electric!$L21,0,-'Electric Calendarize'!$L30+'Electric Calendarize'!AH$4+1))</f>
        <v>556</v>
      </c>
      <c r="AI30">
        <f ca="1">IF(OR($L30&gt;AI$4,AI$4&gt;$L30+23),"",OFFSET(Electric!$L21,0,-'Electric Calendarize'!$L30+'Electric Calendarize'!AI$4+1))</f>
        <v>1327</v>
      </c>
      <c r="AJ30">
        <f ca="1">IF(OR($L30&gt;AJ$4,AJ$4&gt;$L30+23),"",OFFSET(Electric!$L21,0,-'Electric Calendarize'!$L30+'Electric Calendarize'!AJ$4+1))</f>
        <v>944</v>
      </c>
      <c r="AK30">
        <f ca="1">IF(OR($L30&gt;AK$4,AK$4&gt;$L30+23),"",OFFSET(Electric!$L21,0,-'Electric Calendarize'!$L30+'Electric Calendarize'!AK$4+1))</f>
        <v>601</v>
      </c>
      <c r="AL30">
        <f ca="1">IF(OR($L30&gt;AL$4,AL$4&gt;$L30+23),"",OFFSET(Electric!$L21,0,-'Electric Calendarize'!$L30+'Electric Calendarize'!AL$4+1))</f>
        <v>737</v>
      </c>
      <c r="AM30">
        <f ca="1">IF(OR($L30&gt;AM$4,AM$4&gt;$L30+23),"",OFFSET(Electric!$L21,0,-'Electric Calendarize'!$L30+'Electric Calendarize'!AM$4+1))</f>
        <v>737</v>
      </c>
      <c r="AN30">
        <f ca="1">IF(OR($L30&gt;AN$4,AN$4&gt;$L30+23),"",OFFSET(Electric!$L21,0,-'Electric Calendarize'!$L30+'Electric Calendarize'!AN$4+1))</f>
        <v>655</v>
      </c>
      <c r="AO30">
        <f ca="1">IF(OR($L30&gt;AO$4,AO$4&gt;$L30+23),"",OFFSET(Electric!$L21,0,-'Electric Calendarize'!$L30+'Electric Calendarize'!AO$4+1))</f>
        <v>685</v>
      </c>
      <c r="AP30" t="str">
        <f ca="1">IF(OR($L30&gt;AP$4,AP$4&gt;$L30+23),"",OFFSET(Electric!$L21,0,-'Electric Calendarize'!$L30+'Electric Calendarize'!AP$4+1))</f>
        <v/>
      </c>
      <c r="AQ30" t="str">
        <f ca="1">IF(OR($L30&gt;AQ$4,AQ$4&gt;$L30+23),"",OFFSET(Electric!$L21,0,-'Electric Calendarize'!$L30+'Electric Calendarize'!AQ$4+1))</f>
        <v/>
      </c>
      <c r="AR30" t="str">
        <f ca="1">IF(OR($L30&gt;AR$4,AR$4&gt;$L30+23),"",OFFSET(Electric!$L21,0,-'Electric Calendarize'!$L30+'Electric Calendarize'!AR$4+1))</f>
        <v/>
      </c>
      <c r="AS30" t="str">
        <f ca="1">IF(OR($L30&gt;AS$4,AS$4&gt;$L30+23),"",OFFSET(Electric!$L21,0,-'Electric Calendarize'!$L30+'Electric Calendarize'!AS$4+1))</f>
        <v/>
      </c>
      <c r="AT30" t="str">
        <f ca="1">IF(OR($L30&gt;AT$4,AT$4&gt;$L30+23),"",OFFSET(Electric!$L21,0,-'Electric Calendarize'!$L30+'Electric Calendarize'!AT$4+1))</f>
        <v/>
      </c>
      <c r="AU30" t="str">
        <f ca="1">IF(OR($L30&gt;AU$4,AU$4&gt;$L30+23),"",OFFSET(Electric!$L21,0,-'Electric Calendarize'!$L30+'Electric Calendarize'!AU$4+1))</f>
        <v/>
      </c>
      <c r="AV30" t="str">
        <f ca="1">IF(OR($L30&gt;AV$4,AV$4&gt;$L30+23),"",OFFSET(Electric!$L21,0,-'Electric Calendarize'!$L30+'Electric Calendarize'!AV$4+1))</f>
        <v/>
      </c>
      <c r="AW30" t="str">
        <f ca="1">IF(OR($L30&gt;AW$4,AW$4&gt;$L30+23),"",OFFSET(Electric!$L21,0,-'Electric Calendarize'!$L30+'Electric Calendarize'!AW$4+1))</f>
        <v/>
      </c>
      <c r="AX30" t="str">
        <f ca="1">IF(OR($L30&gt;AX$4,AX$4&gt;$L30+23),"",OFFSET(Electric!$L21,0,-'Electric Calendarize'!$L30+'Electric Calendarize'!AX$4+1))</f>
        <v/>
      </c>
      <c r="AY30" t="str">
        <f ca="1">IF(OR($L30&gt;AY$4,AY$4&gt;$L30+23),"",OFFSET(Electric!$L21,0,-'Electric Calendarize'!$L30+'Electric Calendarize'!AY$4+1))</f>
        <v/>
      </c>
      <c r="AZ30" t="str">
        <f ca="1">IF(OR($L30&gt;AZ$4,AZ$4&gt;$L30+23),"",OFFSET(Electric!$L21,0,-'Electric Calendarize'!$L30+'Electric Calendarize'!AZ$4+1))</f>
        <v/>
      </c>
      <c r="BA30" t="str">
        <f ca="1">IF(OR($L30&gt;BA$4,BA$4&gt;$L30+23),"",OFFSET(Electric!$L21,0,-'Electric Calendarize'!$L30+'Electric Calendarize'!BA$4+1))</f>
        <v/>
      </c>
      <c r="BB30" t="str">
        <f ca="1">IF(OR($L30&gt;BB$4,BB$4&gt;$L30+23),"",OFFSET(Electric!$L21,0,-'Electric Calendarize'!$L30+'Electric Calendarize'!BB$4+1))</f>
        <v/>
      </c>
      <c r="BC30" t="str">
        <f ca="1">IF(OR($L30&gt;BC$4,BC$4&gt;$L30+23),"",OFFSET(Electric!$L21,0,-'Electric Calendarize'!$L30+'Electric Calendarize'!BC$4+1))</f>
        <v/>
      </c>
      <c r="BD30" t="str">
        <f ca="1">IF(OR($L30&gt;BD$4,BD$4&gt;$L30+23),"",OFFSET(Electric!$L21,0,-'Electric Calendarize'!$L30+'Electric Calendarize'!BD$4+1))</f>
        <v/>
      </c>
      <c r="BE30" t="str">
        <f ca="1">IF(OR($L30&gt;BE$4,BE$4&gt;$L30+23),"",OFFSET(Electric!$L21,0,-'Electric Calendarize'!$L30+'Electric Calendarize'!BE$4+1))</f>
        <v/>
      </c>
      <c r="BF30" t="str">
        <f ca="1">IF(OR($L30&gt;BF$4,BF$4&gt;$L30+23),"",OFFSET(Electric!$L21,0,-'Electric Calendarize'!$L30+'Electric Calendarize'!BF$4+1))</f>
        <v/>
      </c>
      <c r="BG30" t="str">
        <f ca="1">IF(OR($L30&gt;BG$4,BG$4&gt;$L30+23),"",OFFSET(Electric!$L21,0,-'Electric Calendarize'!$L30+'Electric Calendarize'!BG$4+1))</f>
        <v/>
      </c>
      <c r="BJ30" s="10" t="s">
        <v>37</v>
      </c>
      <c r="BK30">
        <f t="shared" si="195"/>
        <v>1</v>
      </c>
      <c r="BL30">
        <f t="shared" si="100"/>
        <v>0</v>
      </c>
      <c r="BM30">
        <f t="shared" si="101"/>
        <v>0</v>
      </c>
      <c r="BN30">
        <f t="shared" si="102"/>
        <v>0</v>
      </c>
      <c r="BO30">
        <f t="shared" si="103"/>
        <v>0</v>
      </c>
      <c r="BP30">
        <f t="shared" si="104"/>
        <v>0</v>
      </c>
      <c r="BQ30">
        <f t="shared" si="105"/>
        <v>0</v>
      </c>
      <c r="BR30">
        <f t="shared" si="106"/>
        <v>1</v>
      </c>
      <c r="BS30">
        <f t="shared" si="107"/>
        <v>1</v>
      </c>
      <c r="BT30">
        <f t="shared" si="108"/>
        <v>1</v>
      </c>
      <c r="BU30">
        <f t="shared" si="109"/>
        <v>1</v>
      </c>
      <c r="BV30">
        <f t="shared" si="110"/>
        <v>1</v>
      </c>
      <c r="BW30">
        <f t="shared" si="111"/>
        <v>1</v>
      </c>
      <c r="BX30">
        <f t="shared" si="112"/>
        <v>0</v>
      </c>
      <c r="BY30">
        <f t="shared" si="113"/>
        <v>0</v>
      </c>
      <c r="BZ30">
        <f t="shared" si="114"/>
        <v>0</v>
      </c>
      <c r="CA30">
        <f t="shared" si="115"/>
        <v>0</v>
      </c>
      <c r="CB30">
        <f t="shared" si="116"/>
        <v>0</v>
      </c>
      <c r="CC30">
        <f t="shared" si="117"/>
        <v>0</v>
      </c>
      <c r="CD30">
        <f t="shared" si="118"/>
        <v>1</v>
      </c>
      <c r="CE30">
        <f t="shared" si="119"/>
        <v>1</v>
      </c>
      <c r="CF30">
        <f t="shared" si="120"/>
        <v>1</v>
      </c>
      <c r="CG30">
        <f t="shared" si="121"/>
        <v>1</v>
      </c>
      <c r="CH30">
        <f t="shared" si="122"/>
        <v>1</v>
      </c>
      <c r="CI30">
        <f t="shared" si="123"/>
        <v>1</v>
      </c>
      <c r="CJ30">
        <f t="shared" si="124"/>
        <v>0</v>
      </c>
      <c r="CK30">
        <f t="shared" si="125"/>
        <v>0</v>
      </c>
      <c r="CL30">
        <f t="shared" si="126"/>
        <v>0</v>
      </c>
      <c r="CM30">
        <f t="shared" si="127"/>
        <v>0</v>
      </c>
      <c r="CN30">
        <f t="shared" si="128"/>
        <v>0</v>
      </c>
      <c r="CO30">
        <f t="shared" si="129"/>
        <v>0</v>
      </c>
      <c r="CP30">
        <f t="shared" si="130"/>
        <v>1</v>
      </c>
      <c r="CQ30">
        <f t="shared" si="131"/>
        <v>1</v>
      </c>
      <c r="CR30">
        <f t="shared" si="132"/>
        <v>1</v>
      </c>
      <c r="CS30">
        <f t="shared" si="133"/>
        <v>1</v>
      </c>
      <c r="CT30">
        <f t="shared" si="134"/>
        <v>1</v>
      </c>
      <c r="CU30">
        <f t="shared" si="135"/>
        <v>1</v>
      </c>
      <c r="CV30">
        <f t="shared" si="136"/>
        <v>0</v>
      </c>
      <c r="CW30">
        <f t="shared" si="137"/>
        <v>0</v>
      </c>
      <c r="CX30">
        <f t="shared" si="138"/>
        <v>0</v>
      </c>
      <c r="CY30">
        <f t="shared" si="139"/>
        <v>0</v>
      </c>
      <c r="CZ30">
        <f t="shared" si="140"/>
        <v>0</v>
      </c>
      <c r="DA30">
        <f t="shared" si="141"/>
        <v>0</v>
      </c>
      <c r="DB30">
        <f t="shared" si="142"/>
        <v>1</v>
      </c>
      <c r="DC30">
        <f t="shared" si="143"/>
        <v>1</v>
      </c>
      <c r="DF30" s="10" t="s">
        <v>37</v>
      </c>
      <c r="DG30" t="str">
        <f t="shared" si="200"/>
        <v>2021_7</v>
      </c>
      <c r="DH30" t="str">
        <f t="shared" si="200"/>
        <v>2021_7</v>
      </c>
      <c r="DI30" t="str">
        <f t="shared" si="200"/>
        <v>2021_7</v>
      </c>
      <c r="DJ30" t="str">
        <f t="shared" si="200"/>
        <v>2021_7</v>
      </c>
      <c r="DK30" t="str">
        <f t="shared" si="200"/>
        <v>2021_7</v>
      </c>
      <c r="DL30" t="str">
        <f t="shared" si="200"/>
        <v>2021_7</v>
      </c>
      <c r="DM30" t="str">
        <f t="shared" si="200"/>
        <v>2021_7</v>
      </c>
      <c r="DN30" t="str">
        <f t="shared" si="200"/>
        <v>2021_7</v>
      </c>
      <c r="DO30" t="str">
        <f t="shared" si="200"/>
        <v>2021_7</v>
      </c>
      <c r="DP30" t="str">
        <f t="shared" si="200"/>
        <v>2021_7</v>
      </c>
      <c r="DQ30" t="str">
        <f t="shared" si="200"/>
        <v>2021_7</v>
      </c>
      <c r="DR30" t="str">
        <f t="shared" si="200"/>
        <v>2021_7</v>
      </c>
      <c r="DS30" t="str">
        <f t="shared" si="200"/>
        <v>2021_7</v>
      </c>
      <c r="DT30" t="str">
        <f t="shared" si="200"/>
        <v>2021_7</v>
      </c>
      <c r="DU30" t="str">
        <f t="shared" si="200"/>
        <v>2021_7</v>
      </c>
      <c r="DV30" t="str">
        <f t="shared" si="200"/>
        <v>2021_7</v>
      </c>
      <c r="DW30" t="str">
        <f t="shared" si="198"/>
        <v>2021_7</v>
      </c>
      <c r="DX30" t="str">
        <f t="shared" si="198"/>
        <v>2021_7</v>
      </c>
      <c r="DY30" t="str">
        <f t="shared" si="198"/>
        <v>2021_7</v>
      </c>
      <c r="DZ30" t="str">
        <f t="shared" si="198"/>
        <v>2021_7</v>
      </c>
      <c r="EA30" t="str">
        <f t="shared" si="198"/>
        <v>2021_7</v>
      </c>
      <c r="EB30" t="str">
        <f t="shared" si="198"/>
        <v>2021_7</v>
      </c>
      <c r="EC30" t="str">
        <f t="shared" si="198"/>
        <v>2021_7</v>
      </c>
      <c r="ED30" t="str">
        <f t="shared" si="198"/>
        <v>2021_7</v>
      </c>
      <c r="EE30" t="str">
        <f t="shared" si="198"/>
        <v>2021_7</v>
      </c>
      <c r="EF30" t="str">
        <f t="shared" si="198"/>
        <v>2021_7</v>
      </c>
      <c r="EG30" t="str">
        <f t="shared" si="198"/>
        <v>2021_7</v>
      </c>
      <c r="EH30" t="str">
        <f t="shared" si="198"/>
        <v>2021_7</v>
      </c>
      <c r="EI30" t="str">
        <f t="shared" si="198"/>
        <v>2021_7</v>
      </c>
      <c r="EJ30" t="str">
        <f t="shared" si="198"/>
        <v>2021_7</v>
      </c>
      <c r="EK30" t="str">
        <f t="shared" si="198"/>
        <v>2021_7</v>
      </c>
      <c r="EL30" t="str">
        <f t="shared" si="198"/>
        <v>2021_7</v>
      </c>
      <c r="EM30" t="str">
        <f t="shared" si="199"/>
        <v>2021_7</v>
      </c>
      <c r="EN30" t="str">
        <f t="shared" si="199"/>
        <v>2021_7</v>
      </c>
      <c r="EO30" t="str">
        <f t="shared" si="199"/>
        <v>2021_7</v>
      </c>
      <c r="EP30" t="str">
        <f t="shared" si="199"/>
        <v>2021_7</v>
      </c>
      <c r="EQ30" t="str">
        <f t="shared" si="199"/>
        <v>2021_7</v>
      </c>
      <c r="ER30" t="str">
        <f t="shared" si="199"/>
        <v>2021_7</v>
      </c>
      <c r="ES30" t="str">
        <f t="shared" si="199"/>
        <v>2021_7</v>
      </c>
      <c r="ET30" t="str">
        <f t="shared" si="199"/>
        <v>2021_7</v>
      </c>
      <c r="EU30" t="str">
        <f t="shared" si="199"/>
        <v>2021_7</v>
      </c>
      <c r="EV30" t="str">
        <f t="shared" si="199"/>
        <v>2021_7</v>
      </c>
      <c r="EW30" t="str">
        <f t="shared" si="199"/>
        <v>2021_7</v>
      </c>
      <c r="EX30" t="str">
        <f t="shared" si="199"/>
        <v>2021_7</v>
      </c>
      <c r="EY30" t="str">
        <f t="shared" si="199"/>
        <v>2021_7</v>
      </c>
      <c r="FB30" s="10" t="s">
        <v>37</v>
      </c>
      <c r="FC30">
        <f t="shared" si="197"/>
        <v>0</v>
      </c>
      <c r="FD30">
        <f t="shared" si="147"/>
        <v>0</v>
      </c>
      <c r="FE30">
        <f t="shared" si="148"/>
        <v>0</v>
      </c>
      <c r="FF30">
        <f t="shared" si="149"/>
        <v>0</v>
      </c>
      <c r="FG30">
        <f t="shared" si="150"/>
        <v>0</v>
      </c>
      <c r="FH30">
        <f t="shared" si="151"/>
        <v>0</v>
      </c>
      <c r="FI30">
        <f t="shared" si="152"/>
        <v>0</v>
      </c>
      <c r="FJ30">
        <f t="shared" si="153"/>
        <v>0</v>
      </c>
      <c r="FK30">
        <f t="shared" si="154"/>
        <v>0</v>
      </c>
      <c r="FL30">
        <f t="shared" si="155"/>
        <v>0</v>
      </c>
      <c r="FM30">
        <f t="shared" si="156"/>
        <v>0</v>
      </c>
      <c r="FN30">
        <f t="shared" si="157"/>
        <v>0</v>
      </c>
      <c r="FO30">
        <f t="shared" si="158"/>
        <v>0</v>
      </c>
      <c r="FP30">
        <f t="shared" si="159"/>
        <v>0</v>
      </c>
      <c r="FQ30">
        <f t="shared" si="160"/>
        <v>0</v>
      </c>
      <c r="FR30">
        <f t="shared" si="161"/>
        <v>1</v>
      </c>
      <c r="FS30">
        <f t="shared" si="162"/>
        <v>1</v>
      </c>
      <c r="FT30">
        <f t="shared" si="163"/>
        <v>1</v>
      </c>
      <c r="FU30">
        <f t="shared" si="164"/>
        <v>1</v>
      </c>
      <c r="FV30">
        <f t="shared" si="165"/>
        <v>1</v>
      </c>
      <c r="FW30">
        <f t="shared" si="166"/>
        <v>1</v>
      </c>
      <c r="FX30">
        <f t="shared" si="167"/>
        <v>1</v>
      </c>
      <c r="FY30">
        <f t="shared" si="168"/>
        <v>1</v>
      </c>
      <c r="FZ30">
        <f t="shared" si="169"/>
        <v>1</v>
      </c>
      <c r="GA30">
        <f t="shared" si="170"/>
        <v>1</v>
      </c>
      <c r="GB30">
        <f t="shared" si="171"/>
        <v>1</v>
      </c>
      <c r="GC30">
        <f t="shared" si="172"/>
        <v>1</v>
      </c>
      <c r="GD30">
        <f t="shared" si="173"/>
        <v>1</v>
      </c>
      <c r="GE30">
        <f t="shared" si="174"/>
        <v>1</v>
      </c>
      <c r="GF30">
        <f t="shared" si="175"/>
        <v>1</v>
      </c>
      <c r="GG30">
        <f t="shared" si="176"/>
        <v>1</v>
      </c>
      <c r="GH30">
        <f t="shared" si="177"/>
        <v>1</v>
      </c>
      <c r="GI30">
        <f t="shared" si="178"/>
        <v>1</v>
      </c>
      <c r="GJ30">
        <f t="shared" si="179"/>
        <v>1</v>
      </c>
      <c r="GK30">
        <f t="shared" si="180"/>
        <v>1</v>
      </c>
      <c r="GL30">
        <f t="shared" si="181"/>
        <v>1</v>
      </c>
      <c r="GM30">
        <f t="shared" si="182"/>
        <v>1</v>
      </c>
      <c r="GN30">
        <f t="shared" si="183"/>
        <v>1</v>
      </c>
      <c r="GO30">
        <f t="shared" si="184"/>
        <v>1</v>
      </c>
      <c r="GP30">
        <f t="shared" si="185"/>
        <v>1</v>
      </c>
      <c r="GQ30">
        <f t="shared" si="186"/>
        <v>1</v>
      </c>
      <c r="GR30">
        <f t="shared" si="187"/>
        <v>1</v>
      </c>
      <c r="GS30">
        <f t="shared" si="188"/>
        <v>1</v>
      </c>
      <c r="GT30">
        <f t="shared" si="189"/>
        <v>1</v>
      </c>
      <c r="GU30">
        <f t="shared" si="190"/>
        <v>1</v>
      </c>
      <c r="GX30" s="10"/>
    </row>
    <row r="31" spans="1:206" x14ac:dyDescent="0.3">
      <c r="A31" s="15" t="s">
        <v>41</v>
      </c>
      <c r="B31" s="80"/>
      <c r="C31" s="9">
        <v>3130548000</v>
      </c>
      <c r="D31" s="9" t="s">
        <v>368</v>
      </c>
      <c r="E31" s="9" t="s">
        <v>39</v>
      </c>
      <c r="F31" s="9" t="s">
        <v>35</v>
      </c>
      <c r="G31" s="9" t="s">
        <v>62</v>
      </c>
      <c r="H31" s="10">
        <v>44398</v>
      </c>
      <c r="I31" s="9">
        <f t="shared" si="191"/>
        <v>2021</v>
      </c>
      <c r="J31" s="9">
        <f t="shared" si="192"/>
        <v>7</v>
      </c>
      <c r="K31" s="9" t="str">
        <f t="shared" si="193"/>
        <v>2021_7</v>
      </c>
      <c r="L31">
        <f>MAX(0,VLOOKUP($K31,lookups!$A$1:$B$45,2,0)-12)</f>
        <v>3</v>
      </c>
      <c r="M31" s="40">
        <f t="shared" si="194"/>
        <v>44378</v>
      </c>
      <c r="N31" s="10" t="s">
        <v>37</v>
      </c>
      <c r="O31" t="str">
        <f ca="1">IF(OR($L31&gt;O$4,O$4&gt;$L31+23),"",OFFSET(Electric!$L22,0,-'Electric Calendarize'!$L31+'Electric Calendarize'!O$4+1))</f>
        <v/>
      </c>
      <c r="P31" t="str">
        <f ca="1">IF(OR($L31&gt;P$4,P$4&gt;$L31+23),"",OFFSET(Electric!$L22,0,-'Electric Calendarize'!$L31+'Electric Calendarize'!P$4+1))</f>
        <v/>
      </c>
      <c r="Q31" t="str">
        <f ca="1">IF(OR($L31&gt;Q$4,Q$4&gt;$L31+23),"",OFFSET(Electric!$L22,0,-'Electric Calendarize'!$L31+'Electric Calendarize'!Q$4+1))</f>
        <v/>
      </c>
      <c r="R31">
        <f ca="1">IF(OR($L31&gt;R$4,R$4&gt;$L31+23),"",OFFSET(Electric!$L22,0,-'Electric Calendarize'!$L31+'Electric Calendarize'!R$4+1))</f>
        <v>2241</v>
      </c>
      <c r="S31">
        <f ca="1">IF(OR($L31&gt;S$4,S$4&gt;$L31+23),"",OFFSET(Electric!$L22,0,-'Electric Calendarize'!$L31+'Electric Calendarize'!S$4+1))</f>
        <v>2494</v>
      </c>
      <c r="T31">
        <f ca="1">IF(OR($L31&gt;T$4,T$4&gt;$L31+23),"",OFFSET(Electric!$L22,0,-'Electric Calendarize'!$L31+'Electric Calendarize'!T$4+1))</f>
        <v>1381</v>
      </c>
      <c r="U31">
        <f ca="1">IF(OR($L31&gt;U$4,U$4&gt;$L31+23),"",OFFSET(Electric!$L22,0,-'Electric Calendarize'!$L31+'Electric Calendarize'!U$4+1))</f>
        <v>1124</v>
      </c>
      <c r="V31">
        <f ca="1">IF(OR($L31&gt;V$4,V$4&gt;$L31+23),"",OFFSET(Electric!$L22,0,-'Electric Calendarize'!$L31+'Electric Calendarize'!V$4+1))</f>
        <v>965</v>
      </c>
      <c r="W31">
        <f ca="1">IF(OR($L31&gt;W$4,W$4&gt;$L31+23),"",OFFSET(Electric!$L22,0,-'Electric Calendarize'!$L31+'Electric Calendarize'!W$4+1))</f>
        <v>1288</v>
      </c>
      <c r="X31">
        <f ca="1">IF(OR($L31&gt;X$4,X$4&gt;$L31+23),"",OFFSET(Electric!$L22,0,-'Electric Calendarize'!$L31+'Electric Calendarize'!X$4+1))</f>
        <v>1039</v>
      </c>
      <c r="Y31">
        <f ca="1">IF(OR($L31&gt;Y$4,Y$4&gt;$L31+23),"",OFFSET(Electric!$L22,0,-'Electric Calendarize'!$L31+'Electric Calendarize'!Y$4+1))</f>
        <v>1264</v>
      </c>
      <c r="Z31">
        <f ca="1">IF(OR($L31&gt;Z$4,Z$4&gt;$L31+23),"",OFFSET(Electric!$L22,0,-'Electric Calendarize'!$L31+'Electric Calendarize'!Z$4+1))</f>
        <v>1206</v>
      </c>
      <c r="AA31">
        <f ca="1">IF(OR($L31&gt;AA$4,AA$4&gt;$L31+23),"",OFFSET(Electric!$L22,0,-'Electric Calendarize'!$L31+'Electric Calendarize'!AA$4+1))</f>
        <v>1200</v>
      </c>
      <c r="AB31">
        <f ca="1">IF(OR($L31&gt;AB$4,AB$4&gt;$L31+23),"",OFFSET(Electric!$L22,0,-'Electric Calendarize'!$L31+'Electric Calendarize'!AB$4+1))</f>
        <v>1255</v>
      </c>
      <c r="AC31">
        <f ca="1">IF(OR($L31&gt;AC$4,AC$4&gt;$L31+23),"",OFFSET(Electric!$L22,0,-'Electric Calendarize'!$L31+'Electric Calendarize'!AC$4+1))</f>
        <v>1614</v>
      </c>
      <c r="AD31">
        <f ca="1">IF(OR($L31&gt;AD$4,AD$4&gt;$L31+23),"",OFFSET(Electric!$L22,0,-'Electric Calendarize'!$L31+'Electric Calendarize'!AD$4+1))</f>
        <v>1717</v>
      </c>
      <c r="AE31">
        <f ca="1">IF(OR($L31&gt;AE$4,AE$4&gt;$L31+23),"",OFFSET(Electric!$L22,0,-'Electric Calendarize'!$L31+'Electric Calendarize'!AE$4+1))</f>
        <v>1738</v>
      </c>
      <c r="AF31">
        <f ca="1">IF(OR($L31&gt;AF$4,AF$4&gt;$L31+23),"",OFFSET(Electric!$L22,0,-'Electric Calendarize'!$L31+'Electric Calendarize'!AF$4+1))</f>
        <v>1347</v>
      </c>
      <c r="AG31">
        <f ca="1">IF(OR($L31&gt;AG$4,AG$4&gt;$L31+23),"",OFFSET(Electric!$L22,0,-'Electric Calendarize'!$L31+'Electric Calendarize'!AG$4+1))</f>
        <v>888</v>
      </c>
      <c r="AH31">
        <f ca="1">IF(OR($L31&gt;AH$4,AH$4&gt;$L31+23),"",OFFSET(Electric!$L22,0,-'Electric Calendarize'!$L31+'Electric Calendarize'!AH$4+1))</f>
        <v>1130</v>
      </c>
      <c r="AI31">
        <f ca="1">IF(OR($L31&gt;AI$4,AI$4&gt;$L31+23),"",OFFSET(Electric!$L22,0,-'Electric Calendarize'!$L31+'Electric Calendarize'!AI$4+1))</f>
        <v>1273</v>
      </c>
      <c r="AJ31">
        <f ca="1">IF(OR($L31&gt;AJ$4,AJ$4&gt;$L31+23),"",OFFSET(Electric!$L22,0,-'Electric Calendarize'!$L31+'Electric Calendarize'!AJ$4+1))</f>
        <v>1902</v>
      </c>
      <c r="AK31">
        <f ca="1">IF(OR($L31&gt;AK$4,AK$4&gt;$L31+23),"",OFFSET(Electric!$L22,0,-'Electric Calendarize'!$L31+'Electric Calendarize'!AK$4+1))</f>
        <v>1753</v>
      </c>
      <c r="AL31">
        <f ca="1">IF(OR($L31&gt;AL$4,AL$4&gt;$L31+23),"",OFFSET(Electric!$L22,0,-'Electric Calendarize'!$L31+'Electric Calendarize'!AL$4+1))</f>
        <v>1394</v>
      </c>
      <c r="AM31">
        <f ca="1">IF(OR($L31&gt;AM$4,AM$4&gt;$L31+23),"",OFFSET(Electric!$L22,0,-'Electric Calendarize'!$L31+'Electric Calendarize'!AM$4+1))</f>
        <v>966</v>
      </c>
      <c r="AN31">
        <f ca="1">IF(OR($L31&gt;AN$4,AN$4&gt;$L31+23),"",OFFSET(Electric!$L22,0,-'Electric Calendarize'!$L31+'Electric Calendarize'!AN$4+1))</f>
        <v>1697</v>
      </c>
      <c r="AO31">
        <f ca="1">IF(OR($L31&gt;AO$4,AO$4&gt;$L31+23),"",OFFSET(Electric!$L22,0,-'Electric Calendarize'!$L31+'Electric Calendarize'!AO$4+1))</f>
        <v>1326</v>
      </c>
      <c r="AP31" t="str">
        <f ca="1">IF(OR($L31&gt;AP$4,AP$4&gt;$L31+23),"",OFFSET(Electric!$L22,0,-'Electric Calendarize'!$L31+'Electric Calendarize'!AP$4+1))</f>
        <v/>
      </c>
      <c r="AQ31" t="str">
        <f ca="1">IF(OR($L31&gt;AQ$4,AQ$4&gt;$L31+23),"",OFFSET(Electric!$L22,0,-'Electric Calendarize'!$L31+'Electric Calendarize'!AQ$4+1))</f>
        <v/>
      </c>
      <c r="AR31" t="str">
        <f ca="1">IF(OR($L31&gt;AR$4,AR$4&gt;$L31+23),"",OFFSET(Electric!$L22,0,-'Electric Calendarize'!$L31+'Electric Calendarize'!AR$4+1))</f>
        <v/>
      </c>
      <c r="AS31" t="str">
        <f ca="1">IF(OR($L31&gt;AS$4,AS$4&gt;$L31+23),"",OFFSET(Electric!$L22,0,-'Electric Calendarize'!$L31+'Electric Calendarize'!AS$4+1))</f>
        <v/>
      </c>
      <c r="AT31" t="str">
        <f ca="1">IF(OR($L31&gt;AT$4,AT$4&gt;$L31+23),"",OFFSET(Electric!$L22,0,-'Electric Calendarize'!$L31+'Electric Calendarize'!AT$4+1))</f>
        <v/>
      </c>
      <c r="AU31" t="str">
        <f ca="1">IF(OR($L31&gt;AU$4,AU$4&gt;$L31+23),"",OFFSET(Electric!$L22,0,-'Electric Calendarize'!$L31+'Electric Calendarize'!AU$4+1))</f>
        <v/>
      </c>
      <c r="AV31" t="str">
        <f ca="1">IF(OR($L31&gt;AV$4,AV$4&gt;$L31+23),"",OFFSET(Electric!$L22,0,-'Electric Calendarize'!$L31+'Electric Calendarize'!AV$4+1))</f>
        <v/>
      </c>
      <c r="AW31" t="str">
        <f ca="1">IF(OR($L31&gt;AW$4,AW$4&gt;$L31+23),"",OFFSET(Electric!$L22,0,-'Electric Calendarize'!$L31+'Electric Calendarize'!AW$4+1))</f>
        <v/>
      </c>
      <c r="AX31" t="str">
        <f ca="1">IF(OR($L31&gt;AX$4,AX$4&gt;$L31+23),"",OFFSET(Electric!$L22,0,-'Electric Calendarize'!$L31+'Electric Calendarize'!AX$4+1))</f>
        <v/>
      </c>
      <c r="AY31" t="str">
        <f ca="1">IF(OR($L31&gt;AY$4,AY$4&gt;$L31+23),"",OFFSET(Electric!$L22,0,-'Electric Calendarize'!$L31+'Electric Calendarize'!AY$4+1))</f>
        <v/>
      </c>
      <c r="AZ31" t="str">
        <f ca="1">IF(OR($L31&gt;AZ$4,AZ$4&gt;$L31+23),"",OFFSET(Electric!$L22,0,-'Electric Calendarize'!$L31+'Electric Calendarize'!AZ$4+1))</f>
        <v/>
      </c>
      <c r="BA31" t="str">
        <f ca="1">IF(OR($L31&gt;BA$4,BA$4&gt;$L31+23),"",OFFSET(Electric!$L22,0,-'Electric Calendarize'!$L31+'Electric Calendarize'!BA$4+1))</f>
        <v/>
      </c>
      <c r="BB31" t="str">
        <f ca="1">IF(OR($L31&gt;BB$4,BB$4&gt;$L31+23),"",OFFSET(Electric!$L22,0,-'Electric Calendarize'!$L31+'Electric Calendarize'!BB$4+1))</f>
        <v/>
      </c>
      <c r="BC31" t="str">
        <f ca="1">IF(OR($L31&gt;BC$4,BC$4&gt;$L31+23),"",OFFSET(Electric!$L22,0,-'Electric Calendarize'!$L31+'Electric Calendarize'!BC$4+1))</f>
        <v/>
      </c>
      <c r="BD31" t="str">
        <f ca="1">IF(OR($L31&gt;BD$4,BD$4&gt;$L31+23),"",OFFSET(Electric!$L22,0,-'Electric Calendarize'!$L31+'Electric Calendarize'!BD$4+1))</f>
        <v/>
      </c>
      <c r="BE31" t="str">
        <f ca="1">IF(OR($L31&gt;BE$4,BE$4&gt;$L31+23),"",OFFSET(Electric!$L22,0,-'Electric Calendarize'!$L31+'Electric Calendarize'!BE$4+1))</f>
        <v/>
      </c>
      <c r="BF31" t="str">
        <f ca="1">IF(OR($L31&gt;BF$4,BF$4&gt;$L31+23),"",OFFSET(Electric!$L22,0,-'Electric Calendarize'!$L31+'Electric Calendarize'!BF$4+1))</f>
        <v/>
      </c>
      <c r="BG31" t="str">
        <f ca="1">IF(OR($L31&gt;BG$4,BG$4&gt;$L31+23),"",OFFSET(Electric!$L22,0,-'Electric Calendarize'!$L31+'Electric Calendarize'!BG$4+1))</f>
        <v/>
      </c>
      <c r="BJ31" s="10" t="s">
        <v>37</v>
      </c>
      <c r="BK31">
        <f t="shared" si="195"/>
        <v>1</v>
      </c>
      <c r="BL31">
        <f t="shared" si="100"/>
        <v>0</v>
      </c>
      <c r="BM31">
        <f t="shared" si="101"/>
        <v>0</v>
      </c>
      <c r="BN31">
        <f t="shared" si="102"/>
        <v>0</v>
      </c>
      <c r="BO31">
        <f t="shared" si="103"/>
        <v>0</v>
      </c>
      <c r="BP31">
        <f t="shared" si="104"/>
        <v>0</v>
      </c>
      <c r="BQ31">
        <f t="shared" si="105"/>
        <v>0</v>
      </c>
      <c r="BR31">
        <f t="shared" si="106"/>
        <v>1</v>
      </c>
      <c r="BS31">
        <f t="shared" si="107"/>
        <v>1</v>
      </c>
      <c r="BT31">
        <f t="shared" si="108"/>
        <v>1</v>
      </c>
      <c r="BU31">
        <f t="shared" si="109"/>
        <v>1</v>
      </c>
      <c r="BV31">
        <f t="shared" si="110"/>
        <v>1</v>
      </c>
      <c r="BW31">
        <f t="shared" si="111"/>
        <v>1</v>
      </c>
      <c r="BX31">
        <f t="shared" si="112"/>
        <v>0</v>
      </c>
      <c r="BY31">
        <f t="shared" si="113"/>
        <v>0</v>
      </c>
      <c r="BZ31">
        <f t="shared" si="114"/>
        <v>0</v>
      </c>
      <c r="CA31">
        <f t="shared" si="115"/>
        <v>0</v>
      </c>
      <c r="CB31">
        <f t="shared" si="116"/>
        <v>0</v>
      </c>
      <c r="CC31">
        <f t="shared" si="117"/>
        <v>0</v>
      </c>
      <c r="CD31">
        <f t="shared" si="118"/>
        <v>1</v>
      </c>
      <c r="CE31">
        <f t="shared" si="119"/>
        <v>1</v>
      </c>
      <c r="CF31">
        <f t="shared" si="120"/>
        <v>1</v>
      </c>
      <c r="CG31">
        <f t="shared" si="121"/>
        <v>1</v>
      </c>
      <c r="CH31">
        <f t="shared" si="122"/>
        <v>1</v>
      </c>
      <c r="CI31">
        <f t="shared" si="123"/>
        <v>1</v>
      </c>
      <c r="CJ31">
        <f t="shared" si="124"/>
        <v>0</v>
      </c>
      <c r="CK31">
        <f t="shared" si="125"/>
        <v>0</v>
      </c>
      <c r="CL31">
        <f t="shared" si="126"/>
        <v>0</v>
      </c>
      <c r="CM31">
        <f t="shared" si="127"/>
        <v>0</v>
      </c>
      <c r="CN31">
        <f t="shared" si="128"/>
        <v>0</v>
      </c>
      <c r="CO31">
        <f t="shared" si="129"/>
        <v>0</v>
      </c>
      <c r="CP31">
        <f t="shared" si="130"/>
        <v>1</v>
      </c>
      <c r="CQ31">
        <f t="shared" si="131"/>
        <v>1</v>
      </c>
      <c r="CR31">
        <f t="shared" si="132"/>
        <v>1</v>
      </c>
      <c r="CS31">
        <f t="shared" si="133"/>
        <v>1</v>
      </c>
      <c r="CT31">
        <f t="shared" si="134"/>
        <v>1</v>
      </c>
      <c r="CU31">
        <f t="shared" si="135"/>
        <v>1</v>
      </c>
      <c r="CV31">
        <f t="shared" si="136"/>
        <v>0</v>
      </c>
      <c r="CW31">
        <f t="shared" si="137"/>
        <v>0</v>
      </c>
      <c r="CX31">
        <f t="shared" si="138"/>
        <v>0</v>
      </c>
      <c r="CY31">
        <f t="shared" si="139"/>
        <v>0</v>
      </c>
      <c r="CZ31">
        <f t="shared" si="140"/>
        <v>0</v>
      </c>
      <c r="DA31">
        <f t="shared" si="141"/>
        <v>0</v>
      </c>
      <c r="DB31">
        <f t="shared" si="142"/>
        <v>1</v>
      </c>
      <c r="DC31">
        <f t="shared" si="143"/>
        <v>1</v>
      </c>
      <c r="DF31" s="10" t="s">
        <v>37</v>
      </c>
      <c r="DG31" t="str">
        <f t="shared" si="200"/>
        <v>2021_7</v>
      </c>
      <c r="DH31" t="str">
        <f t="shared" si="200"/>
        <v>2021_7</v>
      </c>
      <c r="DI31" t="str">
        <f t="shared" si="200"/>
        <v>2021_7</v>
      </c>
      <c r="DJ31" t="str">
        <f t="shared" si="200"/>
        <v>2021_7</v>
      </c>
      <c r="DK31" t="str">
        <f t="shared" si="200"/>
        <v>2021_7</v>
      </c>
      <c r="DL31" t="str">
        <f t="shared" si="200"/>
        <v>2021_7</v>
      </c>
      <c r="DM31" t="str">
        <f t="shared" si="200"/>
        <v>2021_7</v>
      </c>
      <c r="DN31" t="str">
        <f t="shared" si="200"/>
        <v>2021_7</v>
      </c>
      <c r="DO31" t="str">
        <f t="shared" si="200"/>
        <v>2021_7</v>
      </c>
      <c r="DP31" t="str">
        <f t="shared" si="200"/>
        <v>2021_7</v>
      </c>
      <c r="DQ31" t="str">
        <f t="shared" si="200"/>
        <v>2021_7</v>
      </c>
      <c r="DR31" t="str">
        <f t="shared" si="200"/>
        <v>2021_7</v>
      </c>
      <c r="DS31" t="str">
        <f t="shared" si="200"/>
        <v>2021_7</v>
      </c>
      <c r="DT31" t="str">
        <f t="shared" si="200"/>
        <v>2021_7</v>
      </c>
      <c r="DU31" t="str">
        <f t="shared" si="200"/>
        <v>2021_7</v>
      </c>
      <c r="DV31" t="str">
        <f t="shared" si="200"/>
        <v>2021_7</v>
      </c>
      <c r="DW31" t="str">
        <f t="shared" si="198"/>
        <v>2021_7</v>
      </c>
      <c r="DX31" t="str">
        <f t="shared" si="198"/>
        <v>2021_7</v>
      </c>
      <c r="DY31" t="str">
        <f t="shared" si="198"/>
        <v>2021_7</v>
      </c>
      <c r="DZ31" t="str">
        <f t="shared" si="198"/>
        <v>2021_7</v>
      </c>
      <c r="EA31" t="str">
        <f t="shared" si="198"/>
        <v>2021_7</v>
      </c>
      <c r="EB31" t="str">
        <f t="shared" si="198"/>
        <v>2021_7</v>
      </c>
      <c r="EC31" t="str">
        <f t="shared" si="198"/>
        <v>2021_7</v>
      </c>
      <c r="ED31" t="str">
        <f t="shared" si="198"/>
        <v>2021_7</v>
      </c>
      <c r="EE31" t="str">
        <f t="shared" si="198"/>
        <v>2021_7</v>
      </c>
      <c r="EF31" t="str">
        <f t="shared" si="198"/>
        <v>2021_7</v>
      </c>
      <c r="EG31" t="str">
        <f t="shared" si="198"/>
        <v>2021_7</v>
      </c>
      <c r="EH31" t="str">
        <f t="shared" si="198"/>
        <v>2021_7</v>
      </c>
      <c r="EI31" t="str">
        <f t="shared" si="198"/>
        <v>2021_7</v>
      </c>
      <c r="EJ31" t="str">
        <f t="shared" si="198"/>
        <v>2021_7</v>
      </c>
      <c r="EK31" t="str">
        <f t="shared" si="198"/>
        <v>2021_7</v>
      </c>
      <c r="EL31" t="str">
        <f t="shared" si="198"/>
        <v>2021_7</v>
      </c>
      <c r="EM31" t="str">
        <f t="shared" si="199"/>
        <v>2021_7</v>
      </c>
      <c r="EN31" t="str">
        <f t="shared" si="199"/>
        <v>2021_7</v>
      </c>
      <c r="EO31" t="str">
        <f t="shared" si="199"/>
        <v>2021_7</v>
      </c>
      <c r="EP31" t="str">
        <f t="shared" si="199"/>
        <v>2021_7</v>
      </c>
      <c r="EQ31" t="str">
        <f t="shared" si="199"/>
        <v>2021_7</v>
      </c>
      <c r="ER31" t="str">
        <f t="shared" si="199"/>
        <v>2021_7</v>
      </c>
      <c r="ES31" t="str">
        <f t="shared" si="199"/>
        <v>2021_7</v>
      </c>
      <c r="ET31" t="str">
        <f t="shared" si="199"/>
        <v>2021_7</v>
      </c>
      <c r="EU31" t="str">
        <f t="shared" si="199"/>
        <v>2021_7</v>
      </c>
      <c r="EV31" t="str">
        <f t="shared" si="199"/>
        <v>2021_7</v>
      </c>
      <c r="EW31" t="str">
        <f t="shared" si="199"/>
        <v>2021_7</v>
      </c>
      <c r="EX31" t="str">
        <f t="shared" si="199"/>
        <v>2021_7</v>
      </c>
      <c r="EY31" t="str">
        <f t="shared" si="199"/>
        <v>2021_7</v>
      </c>
      <c r="FB31" s="10" t="s">
        <v>37</v>
      </c>
      <c r="FC31">
        <f t="shared" si="197"/>
        <v>0</v>
      </c>
      <c r="FD31">
        <f t="shared" si="147"/>
        <v>0</v>
      </c>
      <c r="FE31">
        <f t="shared" si="148"/>
        <v>0</v>
      </c>
      <c r="FF31">
        <f t="shared" si="149"/>
        <v>0</v>
      </c>
      <c r="FG31">
        <f t="shared" si="150"/>
        <v>0</v>
      </c>
      <c r="FH31">
        <f t="shared" si="151"/>
        <v>0</v>
      </c>
      <c r="FI31">
        <f t="shared" si="152"/>
        <v>0</v>
      </c>
      <c r="FJ31">
        <f t="shared" si="153"/>
        <v>0</v>
      </c>
      <c r="FK31">
        <f t="shared" si="154"/>
        <v>0</v>
      </c>
      <c r="FL31">
        <f t="shared" si="155"/>
        <v>0</v>
      </c>
      <c r="FM31">
        <f t="shared" si="156"/>
        <v>0</v>
      </c>
      <c r="FN31">
        <f t="shared" si="157"/>
        <v>0</v>
      </c>
      <c r="FO31">
        <f t="shared" si="158"/>
        <v>0</v>
      </c>
      <c r="FP31">
        <f t="shared" si="159"/>
        <v>0</v>
      </c>
      <c r="FQ31">
        <f t="shared" si="160"/>
        <v>0</v>
      </c>
      <c r="FR31">
        <f t="shared" si="161"/>
        <v>1</v>
      </c>
      <c r="FS31">
        <f t="shared" si="162"/>
        <v>1</v>
      </c>
      <c r="FT31">
        <f t="shared" si="163"/>
        <v>1</v>
      </c>
      <c r="FU31">
        <f t="shared" si="164"/>
        <v>1</v>
      </c>
      <c r="FV31">
        <f t="shared" si="165"/>
        <v>1</v>
      </c>
      <c r="FW31">
        <f t="shared" si="166"/>
        <v>1</v>
      </c>
      <c r="FX31">
        <f t="shared" si="167"/>
        <v>1</v>
      </c>
      <c r="FY31">
        <f t="shared" si="168"/>
        <v>1</v>
      </c>
      <c r="FZ31">
        <f t="shared" si="169"/>
        <v>1</v>
      </c>
      <c r="GA31">
        <f t="shared" si="170"/>
        <v>1</v>
      </c>
      <c r="GB31">
        <f t="shared" si="171"/>
        <v>1</v>
      </c>
      <c r="GC31">
        <f t="shared" si="172"/>
        <v>1</v>
      </c>
      <c r="GD31">
        <f t="shared" si="173"/>
        <v>1</v>
      </c>
      <c r="GE31">
        <f t="shared" si="174"/>
        <v>1</v>
      </c>
      <c r="GF31">
        <f t="shared" si="175"/>
        <v>1</v>
      </c>
      <c r="GG31">
        <f t="shared" si="176"/>
        <v>1</v>
      </c>
      <c r="GH31">
        <f t="shared" si="177"/>
        <v>1</v>
      </c>
      <c r="GI31">
        <f t="shared" si="178"/>
        <v>1</v>
      </c>
      <c r="GJ31">
        <f t="shared" si="179"/>
        <v>1</v>
      </c>
      <c r="GK31">
        <f t="shared" si="180"/>
        <v>1</v>
      </c>
      <c r="GL31">
        <f t="shared" si="181"/>
        <v>1</v>
      </c>
      <c r="GM31">
        <f t="shared" si="182"/>
        <v>1</v>
      </c>
      <c r="GN31">
        <f t="shared" si="183"/>
        <v>1</v>
      </c>
      <c r="GO31">
        <f t="shared" si="184"/>
        <v>1</v>
      </c>
      <c r="GP31">
        <f t="shared" si="185"/>
        <v>1</v>
      </c>
      <c r="GQ31">
        <f t="shared" si="186"/>
        <v>1</v>
      </c>
      <c r="GR31">
        <f t="shared" si="187"/>
        <v>1</v>
      </c>
      <c r="GS31">
        <f t="shared" si="188"/>
        <v>1</v>
      </c>
      <c r="GT31">
        <f t="shared" si="189"/>
        <v>1</v>
      </c>
      <c r="GU31">
        <f t="shared" si="190"/>
        <v>1</v>
      </c>
      <c r="GX31" s="10"/>
    </row>
    <row r="32" spans="1:206" x14ac:dyDescent="0.3">
      <c r="A32" s="9" t="s">
        <v>55</v>
      </c>
      <c r="B32" s="80"/>
      <c r="C32" s="9">
        <v>3012241001</v>
      </c>
      <c r="D32" s="9" t="s">
        <v>369</v>
      </c>
      <c r="E32" s="9" t="s">
        <v>34</v>
      </c>
      <c r="F32" s="9" t="s">
        <v>35</v>
      </c>
      <c r="G32" s="9" t="s">
        <v>63</v>
      </c>
      <c r="H32" s="10">
        <v>44399</v>
      </c>
      <c r="I32" s="9">
        <f t="shared" si="191"/>
        <v>2021</v>
      </c>
      <c r="J32" s="9">
        <f t="shared" si="192"/>
        <v>7</v>
      </c>
      <c r="K32" s="9" t="str">
        <f t="shared" si="193"/>
        <v>2021_7</v>
      </c>
      <c r="L32">
        <f>MAX(0,VLOOKUP($K32,lookups!$A$1:$B$45,2,0)-12)</f>
        <v>3</v>
      </c>
      <c r="M32" s="40">
        <f t="shared" si="194"/>
        <v>44378</v>
      </c>
      <c r="N32" s="10" t="s">
        <v>37</v>
      </c>
      <c r="O32" t="str">
        <f ca="1">IF(OR($L32&gt;O$4,O$4&gt;$L32+23),"",OFFSET(Electric!$L23,0,-'Electric Calendarize'!$L32+'Electric Calendarize'!O$4+1))</f>
        <v/>
      </c>
      <c r="P32" t="str">
        <f ca="1">IF(OR($L32&gt;P$4,P$4&gt;$L32+23),"",OFFSET(Electric!$L23,0,-'Electric Calendarize'!$L32+'Electric Calendarize'!P$4+1))</f>
        <v/>
      </c>
      <c r="Q32" t="str">
        <f ca="1">IF(OR($L32&gt;Q$4,Q$4&gt;$L32+23),"",OFFSET(Electric!$L23,0,-'Electric Calendarize'!$L32+'Electric Calendarize'!Q$4+1))</f>
        <v/>
      </c>
      <c r="R32">
        <f ca="1">IF(OR($L32&gt;R$4,R$4&gt;$L32+23),"",OFFSET(Electric!$L23,0,-'Electric Calendarize'!$L32+'Electric Calendarize'!R$4+1))</f>
        <v>1236</v>
      </c>
      <c r="S32">
        <f ca="1">IF(OR($L32&gt;S$4,S$4&gt;$L32+23),"",OFFSET(Electric!$L23,0,-'Electric Calendarize'!$L32+'Electric Calendarize'!S$4+1))</f>
        <v>1155</v>
      </c>
      <c r="T32">
        <f ca="1">IF(OR($L32&gt;T$4,T$4&gt;$L32+23),"",OFFSET(Electric!$L23,0,-'Electric Calendarize'!$L32+'Electric Calendarize'!T$4+1))</f>
        <v>1051</v>
      </c>
      <c r="U32">
        <f ca="1">IF(OR($L32&gt;U$4,U$4&gt;$L32+23),"",OFFSET(Electric!$L23,0,-'Electric Calendarize'!$L32+'Electric Calendarize'!U$4+1))</f>
        <v>629</v>
      </c>
      <c r="V32">
        <f ca="1">IF(OR($L32&gt;V$4,V$4&gt;$L32+23),"",OFFSET(Electric!$L23,0,-'Electric Calendarize'!$L32+'Electric Calendarize'!V$4+1))</f>
        <v>650</v>
      </c>
      <c r="W32">
        <f ca="1">IF(OR($L32&gt;W$4,W$4&gt;$L32+23),"",OFFSET(Electric!$L23,0,-'Electric Calendarize'!$L32+'Electric Calendarize'!W$4+1))</f>
        <v>652</v>
      </c>
      <c r="X32">
        <f ca="1">IF(OR($L32&gt;X$4,X$4&gt;$L32+23),"",OFFSET(Electric!$L23,0,-'Electric Calendarize'!$L32+'Electric Calendarize'!X$4+1))</f>
        <v>859</v>
      </c>
      <c r="Y32">
        <f ca="1">IF(OR($L32&gt;Y$4,Y$4&gt;$L32+23),"",OFFSET(Electric!$L23,0,-'Electric Calendarize'!$L32+'Electric Calendarize'!Y$4+1))</f>
        <v>671</v>
      </c>
      <c r="Z32">
        <f ca="1">IF(OR($L32&gt;Z$4,Z$4&gt;$L32+23),"",OFFSET(Electric!$L23,0,-'Electric Calendarize'!$L32+'Electric Calendarize'!Z$4+1))</f>
        <v>615</v>
      </c>
      <c r="AA32">
        <f ca="1">IF(OR($L32&gt;AA$4,AA$4&gt;$L32+23),"",OFFSET(Electric!$L23,0,-'Electric Calendarize'!$L32+'Electric Calendarize'!AA$4+1))</f>
        <v>479</v>
      </c>
      <c r="AB32">
        <f ca="1">IF(OR($L32&gt;AB$4,AB$4&gt;$L32+23),"",OFFSET(Electric!$L23,0,-'Electric Calendarize'!$L32+'Electric Calendarize'!AB$4+1))</f>
        <v>474</v>
      </c>
      <c r="AC32">
        <f ca="1">IF(OR($L32&gt;AC$4,AC$4&gt;$L32+23),"",OFFSET(Electric!$L23,0,-'Electric Calendarize'!$L32+'Electric Calendarize'!AC$4+1))</f>
        <v>909</v>
      </c>
      <c r="AD32">
        <f ca="1">IF(OR($L32&gt;AD$4,AD$4&gt;$L32+23),"",OFFSET(Electric!$L23,0,-'Electric Calendarize'!$L32+'Electric Calendarize'!AD$4+1))</f>
        <v>1232</v>
      </c>
      <c r="AE32">
        <f ca="1">IF(OR($L32&gt;AE$4,AE$4&gt;$L32+23),"",OFFSET(Electric!$L23,0,-'Electric Calendarize'!$L32+'Electric Calendarize'!AE$4+1))</f>
        <v>1156</v>
      </c>
      <c r="AF32">
        <f ca="1">IF(OR($L32&gt;AF$4,AF$4&gt;$L32+23),"",OFFSET(Electric!$L23,0,-'Electric Calendarize'!$L32+'Electric Calendarize'!AF$4+1))</f>
        <v>1015</v>
      </c>
      <c r="AG32">
        <f ca="1">IF(OR($L32&gt;AG$4,AG$4&gt;$L32+23),"",OFFSET(Electric!$L23,0,-'Electric Calendarize'!$L32+'Electric Calendarize'!AG$4+1))</f>
        <v>839</v>
      </c>
      <c r="AH32">
        <f ca="1">IF(OR($L32&gt;AH$4,AH$4&gt;$L32+23),"",OFFSET(Electric!$L23,0,-'Electric Calendarize'!$L32+'Electric Calendarize'!AH$4+1))</f>
        <v>1107</v>
      </c>
      <c r="AI32">
        <f ca="1">IF(OR($L32&gt;AI$4,AI$4&gt;$L32+23),"",OFFSET(Electric!$L23,0,-'Electric Calendarize'!$L32+'Electric Calendarize'!AI$4+1))</f>
        <v>1749</v>
      </c>
      <c r="AJ32">
        <f ca="1">IF(OR($L32&gt;AJ$4,AJ$4&gt;$L32+23),"",OFFSET(Electric!$L23,0,-'Electric Calendarize'!$L32+'Electric Calendarize'!AJ$4+1))</f>
        <v>1450</v>
      </c>
      <c r="AK32">
        <f ca="1">IF(OR($L32&gt;AK$4,AK$4&gt;$L32+23),"",OFFSET(Electric!$L23,0,-'Electric Calendarize'!$L32+'Electric Calendarize'!AK$4+1))</f>
        <v>1241</v>
      </c>
      <c r="AL32">
        <f ca="1">IF(OR($L32&gt;AL$4,AL$4&gt;$L32+23),"",OFFSET(Electric!$L23,0,-'Electric Calendarize'!$L32+'Electric Calendarize'!AL$4+1))</f>
        <v>1355</v>
      </c>
      <c r="AM32">
        <f ca="1">IF(OR($L32&gt;AM$4,AM$4&gt;$L32+23),"",OFFSET(Electric!$L23,0,-'Electric Calendarize'!$L32+'Electric Calendarize'!AM$4+1))</f>
        <v>1004</v>
      </c>
      <c r="AN32">
        <f ca="1">IF(OR($L32&gt;AN$4,AN$4&gt;$L32+23),"",OFFSET(Electric!$L23,0,-'Electric Calendarize'!$L32+'Electric Calendarize'!AN$4+1))</f>
        <v>715</v>
      </c>
      <c r="AO32">
        <f ca="1">IF(OR($L32&gt;AO$4,AO$4&gt;$L32+23),"",OFFSET(Electric!$L23,0,-'Electric Calendarize'!$L32+'Electric Calendarize'!AO$4+1))</f>
        <v>1026</v>
      </c>
      <c r="AP32" t="str">
        <f ca="1">IF(OR($L32&gt;AP$4,AP$4&gt;$L32+23),"",OFFSET(Electric!$L23,0,-'Electric Calendarize'!$L32+'Electric Calendarize'!AP$4+1))</f>
        <v/>
      </c>
      <c r="AQ32" t="str">
        <f ca="1">IF(OR($L32&gt;AQ$4,AQ$4&gt;$L32+23),"",OFFSET(Electric!$L23,0,-'Electric Calendarize'!$L32+'Electric Calendarize'!AQ$4+1))</f>
        <v/>
      </c>
      <c r="AR32" t="str">
        <f ca="1">IF(OR($L32&gt;AR$4,AR$4&gt;$L32+23),"",OFFSET(Electric!$L23,0,-'Electric Calendarize'!$L32+'Electric Calendarize'!AR$4+1))</f>
        <v/>
      </c>
      <c r="AS32" t="str">
        <f ca="1">IF(OR($L32&gt;AS$4,AS$4&gt;$L32+23),"",OFFSET(Electric!$L23,0,-'Electric Calendarize'!$L32+'Electric Calendarize'!AS$4+1))</f>
        <v/>
      </c>
      <c r="AT32" t="str">
        <f ca="1">IF(OR($L32&gt;AT$4,AT$4&gt;$L32+23),"",OFFSET(Electric!$L23,0,-'Electric Calendarize'!$L32+'Electric Calendarize'!AT$4+1))</f>
        <v/>
      </c>
      <c r="AU32" t="str">
        <f ca="1">IF(OR($L32&gt;AU$4,AU$4&gt;$L32+23),"",OFFSET(Electric!$L23,0,-'Electric Calendarize'!$L32+'Electric Calendarize'!AU$4+1))</f>
        <v/>
      </c>
      <c r="AV32" t="str">
        <f ca="1">IF(OR($L32&gt;AV$4,AV$4&gt;$L32+23),"",OFFSET(Electric!$L23,0,-'Electric Calendarize'!$L32+'Electric Calendarize'!AV$4+1))</f>
        <v/>
      </c>
      <c r="AW32" t="str">
        <f ca="1">IF(OR($L32&gt;AW$4,AW$4&gt;$L32+23),"",OFFSET(Electric!$L23,0,-'Electric Calendarize'!$L32+'Electric Calendarize'!AW$4+1))</f>
        <v/>
      </c>
      <c r="AX32" t="str">
        <f ca="1">IF(OR($L32&gt;AX$4,AX$4&gt;$L32+23),"",OFFSET(Electric!$L23,0,-'Electric Calendarize'!$L32+'Electric Calendarize'!AX$4+1))</f>
        <v/>
      </c>
      <c r="AY32" t="str">
        <f ca="1">IF(OR($L32&gt;AY$4,AY$4&gt;$L32+23),"",OFFSET(Electric!$L23,0,-'Electric Calendarize'!$L32+'Electric Calendarize'!AY$4+1))</f>
        <v/>
      </c>
      <c r="AZ32" t="str">
        <f ca="1">IF(OR($L32&gt;AZ$4,AZ$4&gt;$L32+23),"",OFFSET(Electric!$L23,0,-'Electric Calendarize'!$L32+'Electric Calendarize'!AZ$4+1))</f>
        <v/>
      </c>
      <c r="BA32" t="str">
        <f ca="1">IF(OR($L32&gt;BA$4,BA$4&gt;$L32+23),"",OFFSET(Electric!$L23,0,-'Electric Calendarize'!$L32+'Electric Calendarize'!BA$4+1))</f>
        <v/>
      </c>
      <c r="BB32" t="str">
        <f ca="1">IF(OR($L32&gt;BB$4,BB$4&gt;$L32+23),"",OFFSET(Electric!$L23,0,-'Electric Calendarize'!$L32+'Electric Calendarize'!BB$4+1))</f>
        <v/>
      </c>
      <c r="BC32" t="str">
        <f ca="1">IF(OR($L32&gt;BC$4,BC$4&gt;$L32+23),"",OFFSET(Electric!$L23,0,-'Electric Calendarize'!$L32+'Electric Calendarize'!BC$4+1))</f>
        <v/>
      </c>
      <c r="BD32" t="str">
        <f ca="1">IF(OR($L32&gt;BD$4,BD$4&gt;$L32+23),"",OFFSET(Electric!$L23,0,-'Electric Calendarize'!$L32+'Electric Calendarize'!BD$4+1))</f>
        <v/>
      </c>
      <c r="BE32" t="str">
        <f ca="1">IF(OR($L32&gt;BE$4,BE$4&gt;$L32+23),"",OFFSET(Electric!$L23,0,-'Electric Calendarize'!$L32+'Electric Calendarize'!BE$4+1))</f>
        <v/>
      </c>
      <c r="BF32" t="str">
        <f ca="1">IF(OR($L32&gt;BF$4,BF$4&gt;$L32+23),"",OFFSET(Electric!$L23,0,-'Electric Calendarize'!$L32+'Electric Calendarize'!BF$4+1))</f>
        <v/>
      </c>
      <c r="BG32" t="str">
        <f ca="1">IF(OR($L32&gt;BG$4,BG$4&gt;$L32+23),"",OFFSET(Electric!$L23,0,-'Electric Calendarize'!$L32+'Electric Calendarize'!BG$4+1))</f>
        <v/>
      </c>
      <c r="BJ32" s="10" t="s">
        <v>37</v>
      </c>
      <c r="BK32">
        <f t="shared" si="195"/>
        <v>1</v>
      </c>
      <c r="BL32">
        <f t="shared" si="100"/>
        <v>0</v>
      </c>
      <c r="BM32">
        <f t="shared" si="101"/>
        <v>0</v>
      </c>
      <c r="BN32">
        <f t="shared" si="102"/>
        <v>0</v>
      </c>
      <c r="BO32">
        <f t="shared" si="103"/>
        <v>0</v>
      </c>
      <c r="BP32">
        <f t="shared" si="104"/>
        <v>0</v>
      </c>
      <c r="BQ32">
        <f t="shared" si="105"/>
        <v>0</v>
      </c>
      <c r="BR32">
        <f t="shared" si="106"/>
        <v>1</v>
      </c>
      <c r="BS32">
        <f t="shared" si="107"/>
        <v>1</v>
      </c>
      <c r="BT32">
        <f t="shared" si="108"/>
        <v>1</v>
      </c>
      <c r="BU32">
        <f t="shared" si="109"/>
        <v>1</v>
      </c>
      <c r="BV32">
        <f t="shared" si="110"/>
        <v>1</v>
      </c>
      <c r="BW32">
        <f t="shared" si="111"/>
        <v>1</v>
      </c>
      <c r="BX32">
        <f t="shared" si="112"/>
        <v>0</v>
      </c>
      <c r="BY32">
        <f t="shared" si="113"/>
        <v>0</v>
      </c>
      <c r="BZ32">
        <f t="shared" si="114"/>
        <v>0</v>
      </c>
      <c r="CA32">
        <f t="shared" si="115"/>
        <v>0</v>
      </c>
      <c r="CB32">
        <f t="shared" si="116"/>
        <v>0</v>
      </c>
      <c r="CC32">
        <f t="shared" si="117"/>
        <v>0</v>
      </c>
      <c r="CD32">
        <f t="shared" si="118"/>
        <v>1</v>
      </c>
      <c r="CE32">
        <f t="shared" si="119"/>
        <v>1</v>
      </c>
      <c r="CF32">
        <f t="shared" si="120"/>
        <v>1</v>
      </c>
      <c r="CG32">
        <f t="shared" si="121"/>
        <v>1</v>
      </c>
      <c r="CH32">
        <f t="shared" si="122"/>
        <v>1</v>
      </c>
      <c r="CI32">
        <f t="shared" si="123"/>
        <v>1</v>
      </c>
      <c r="CJ32">
        <f t="shared" si="124"/>
        <v>0</v>
      </c>
      <c r="CK32">
        <f t="shared" si="125"/>
        <v>0</v>
      </c>
      <c r="CL32">
        <f t="shared" si="126"/>
        <v>0</v>
      </c>
      <c r="CM32">
        <f t="shared" si="127"/>
        <v>0</v>
      </c>
      <c r="CN32">
        <f t="shared" si="128"/>
        <v>0</v>
      </c>
      <c r="CO32">
        <f t="shared" si="129"/>
        <v>0</v>
      </c>
      <c r="CP32">
        <f t="shared" si="130"/>
        <v>1</v>
      </c>
      <c r="CQ32">
        <f t="shared" si="131"/>
        <v>1</v>
      </c>
      <c r="CR32">
        <f t="shared" si="132"/>
        <v>1</v>
      </c>
      <c r="CS32">
        <f t="shared" si="133"/>
        <v>1</v>
      </c>
      <c r="CT32">
        <f t="shared" si="134"/>
        <v>1</v>
      </c>
      <c r="CU32">
        <f t="shared" si="135"/>
        <v>1</v>
      </c>
      <c r="CV32">
        <f t="shared" si="136"/>
        <v>0</v>
      </c>
      <c r="CW32">
        <f t="shared" si="137"/>
        <v>0</v>
      </c>
      <c r="CX32">
        <f t="shared" si="138"/>
        <v>0</v>
      </c>
      <c r="CY32">
        <f t="shared" si="139"/>
        <v>0</v>
      </c>
      <c r="CZ32">
        <f t="shared" si="140"/>
        <v>0</v>
      </c>
      <c r="DA32">
        <f t="shared" si="141"/>
        <v>0</v>
      </c>
      <c r="DB32">
        <f t="shared" si="142"/>
        <v>1</v>
      </c>
      <c r="DC32">
        <f t="shared" si="143"/>
        <v>1</v>
      </c>
      <c r="DF32" s="10" t="s">
        <v>37</v>
      </c>
      <c r="DG32" t="str">
        <f t="shared" si="200"/>
        <v>2021_7</v>
      </c>
      <c r="DH32" t="str">
        <f t="shared" si="200"/>
        <v>2021_7</v>
      </c>
      <c r="DI32" t="str">
        <f t="shared" si="200"/>
        <v>2021_7</v>
      </c>
      <c r="DJ32" t="str">
        <f t="shared" si="200"/>
        <v>2021_7</v>
      </c>
      <c r="DK32" t="str">
        <f t="shared" si="200"/>
        <v>2021_7</v>
      </c>
      <c r="DL32" t="str">
        <f t="shared" si="200"/>
        <v>2021_7</v>
      </c>
      <c r="DM32" t="str">
        <f t="shared" si="200"/>
        <v>2021_7</v>
      </c>
      <c r="DN32" t="str">
        <f t="shared" si="200"/>
        <v>2021_7</v>
      </c>
      <c r="DO32" t="str">
        <f t="shared" si="200"/>
        <v>2021_7</v>
      </c>
      <c r="DP32" t="str">
        <f t="shared" si="200"/>
        <v>2021_7</v>
      </c>
      <c r="DQ32" t="str">
        <f t="shared" si="200"/>
        <v>2021_7</v>
      </c>
      <c r="DR32" t="str">
        <f t="shared" si="200"/>
        <v>2021_7</v>
      </c>
      <c r="DS32" t="str">
        <f t="shared" si="200"/>
        <v>2021_7</v>
      </c>
      <c r="DT32" t="str">
        <f t="shared" si="200"/>
        <v>2021_7</v>
      </c>
      <c r="DU32" t="str">
        <f t="shared" si="200"/>
        <v>2021_7</v>
      </c>
      <c r="DV32" t="str">
        <f t="shared" si="200"/>
        <v>2021_7</v>
      </c>
      <c r="DW32" t="str">
        <f t="shared" si="198"/>
        <v>2021_7</v>
      </c>
      <c r="DX32" t="str">
        <f t="shared" si="198"/>
        <v>2021_7</v>
      </c>
      <c r="DY32" t="str">
        <f t="shared" si="198"/>
        <v>2021_7</v>
      </c>
      <c r="DZ32" t="str">
        <f t="shared" si="198"/>
        <v>2021_7</v>
      </c>
      <c r="EA32" t="str">
        <f t="shared" si="198"/>
        <v>2021_7</v>
      </c>
      <c r="EB32" t="str">
        <f t="shared" si="198"/>
        <v>2021_7</v>
      </c>
      <c r="EC32" t="str">
        <f t="shared" si="198"/>
        <v>2021_7</v>
      </c>
      <c r="ED32" t="str">
        <f t="shared" si="198"/>
        <v>2021_7</v>
      </c>
      <c r="EE32" t="str">
        <f t="shared" si="198"/>
        <v>2021_7</v>
      </c>
      <c r="EF32" t="str">
        <f t="shared" si="198"/>
        <v>2021_7</v>
      </c>
      <c r="EG32" t="str">
        <f t="shared" si="198"/>
        <v>2021_7</v>
      </c>
      <c r="EH32" t="str">
        <f t="shared" si="198"/>
        <v>2021_7</v>
      </c>
      <c r="EI32" t="str">
        <f t="shared" si="198"/>
        <v>2021_7</v>
      </c>
      <c r="EJ32" t="str">
        <f t="shared" si="198"/>
        <v>2021_7</v>
      </c>
      <c r="EK32" t="str">
        <f t="shared" si="198"/>
        <v>2021_7</v>
      </c>
      <c r="EL32" t="str">
        <f t="shared" si="198"/>
        <v>2021_7</v>
      </c>
      <c r="EM32" t="str">
        <f t="shared" si="199"/>
        <v>2021_7</v>
      </c>
      <c r="EN32" t="str">
        <f t="shared" si="199"/>
        <v>2021_7</v>
      </c>
      <c r="EO32" t="str">
        <f t="shared" si="199"/>
        <v>2021_7</v>
      </c>
      <c r="EP32" t="str">
        <f t="shared" si="199"/>
        <v>2021_7</v>
      </c>
      <c r="EQ32" t="str">
        <f t="shared" si="199"/>
        <v>2021_7</v>
      </c>
      <c r="ER32" t="str">
        <f t="shared" si="199"/>
        <v>2021_7</v>
      </c>
      <c r="ES32" t="str">
        <f t="shared" si="199"/>
        <v>2021_7</v>
      </c>
      <c r="ET32" t="str">
        <f t="shared" si="199"/>
        <v>2021_7</v>
      </c>
      <c r="EU32" t="str">
        <f t="shared" si="199"/>
        <v>2021_7</v>
      </c>
      <c r="EV32" t="str">
        <f t="shared" si="199"/>
        <v>2021_7</v>
      </c>
      <c r="EW32" t="str">
        <f t="shared" si="199"/>
        <v>2021_7</v>
      </c>
      <c r="EX32" t="str">
        <f t="shared" si="199"/>
        <v>2021_7</v>
      </c>
      <c r="EY32" t="str">
        <f t="shared" si="199"/>
        <v>2021_7</v>
      </c>
      <c r="FB32" s="10" t="s">
        <v>37</v>
      </c>
      <c r="FC32">
        <f t="shared" si="197"/>
        <v>0</v>
      </c>
      <c r="FD32">
        <f t="shared" si="147"/>
        <v>0</v>
      </c>
      <c r="FE32">
        <f t="shared" si="148"/>
        <v>0</v>
      </c>
      <c r="FF32">
        <f t="shared" si="149"/>
        <v>0</v>
      </c>
      <c r="FG32">
        <f t="shared" si="150"/>
        <v>0</v>
      </c>
      <c r="FH32">
        <f t="shared" si="151"/>
        <v>0</v>
      </c>
      <c r="FI32">
        <f t="shared" si="152"/>
        <v>0</v>
      </c>
      <c r="FJ32">
        <f t="shared" si="153"/>
        <v>0</v>
      </c>
      <c r="FK32">
        <f t="shared" si="154"/>
        <v>0</v>
      </c>
      <c r="FL32">
        <f t="shared" si="155"/>
        <v>0</v>
      </c>
      <c r="FM32">
        <f t="shared" si="156"/>
        <v>0</v>
      </c>
      <c r="FN32">
        <f t="shared" si="157"/>
        <v>0</v>
      </c>
      <c r="FO32">
        <f t="shared" si="158"/>
        <v>0</v>
      </c>
      <c r="FP32">
        <f t="shared" si="159"/>
        <v>0</v>
      </c>
      <c r="FQ32">
        <f t="shared" si="160"/>
        <v>0</v>
      </c>
      <c r="FR32">
        <f t="shared" si="161"/>
        <v>1</v>
      </c>
      <c r="FS32">
        <f t="shared" si="162"/>
        <v>1</v>
      </c>
      <c r="FT32">
        <f t="shared" si="163"/>
        <v>1</v>
      </c>
      <c r="FU32">
        <f t="shared" si="164"/>
        <v>1</v>
      </c>
      <c r="FV32">
        <f t="shared" si="165"/>
        <v>1</v>
      </c>
      <c r="FW32">
        <f t="shared" si="166"/>
        <v>1</v>
      </c>
      <c r="FX32">
        <f t="shared" si="167"/>
        <v>1</v>
      </c>
      <c r="FY32">
        <f t="shared" si="168"/>
        <v>1</v>
      </c>
      <c r="FZ32">
        <f t="shared" si="169"/>
        <v>1</v>
      </c>
      <c r="GA32">
        <f t="shared" si="170"/>
        <v>1</v>
      </c>
      <c r="GB32">
        <f t="shared" si="171"/>
        <v>1</v>
      </c>
      <c r="GC32">
        <f t="shared" si="172"/>
        <v>1</v>
      </c>
      <c r="GD32">
        <f t="shared" si="173"/>
        <v>1</v>
      </c>
      <c r="GE32">
        <f t="shared" si="174"/>
        <v>1</v>
      </c>
      <c r="GF32">
        <f t="shared" si="175"/>
        <v>1</v>
      </c>
      <c r="GG32">
        <f t="shared" si="176"/>
        <v>1</v>
      </c>
      <c r="GH32">
        <f t="shared" si="177"/>
        <v>1</v>
      </c>
      <c r="GI32">
        <f t="shared" si="178"/>
        <v>1</v>
      </c>
      <c r="GJ32">
        <f t="shared" si="179"/>
        <v>1</v>
      </c>
      <c r="GK32">
        <f t="shared" si="180"/>
        <v>1</v>
      </c>
      <c r="GL32">
        <f t="shared" si="181"/>
        <v>1</v>
      </c>
      <c r="GM32">
        <f t="shared" si="182"/>
        <v>1</v>
      </c>
      <c r="GN32">
        <f t="shared" si="183"/>
        <v>1</v>
      </c>
      <c r="GO32">
        <f t="shared" si="184"/>
        <v>1</v>
      </c>
      <c r="GP32">
        <f t="shared" si="185"/>
        <v>1</v>
      </c>
      <c r="GQ32">
        <f t="shared" si="186"/>
        <v>1</v>
      </c>
      <c r="GR32">
        <f t="shared" si="187"/>
        <v>1</v>
      </c>
      <c r="GS32">
        <f t="shared" si="188"/>
        <v>1</v>
      </c>
      <c r="GT32">
        <f t="shared" si="189"/>
        <v>1</v>
      </c>
      <c r="GU32">
        <f t="shared" si="190"/>
        <v>1</v>
      </c>
      <c r="GX32" s="10"/>
    </row>
    <row r="33" spans="1:206" x14ac:dyDescent="0.3">
      <c r="A33" s="8" t="s">
        <v>33</v>
      </c>
      <c r="B33" s="80"/>
      <c r="C33" s="9">
        <v>3040859000</v>
      </c>
      <c r="D33" s="9" t="s">
        <v>370</v>
      </c>
      <c r="E33" s="9" t="s">
        <v>34</v>
      </c>
      <c r="F33" s="9" t="s">
        <v>35</v>
      </c>
      <c r="G33" s="9" t="s">
        <v>64</v>
      </c>
      <c r="H33" s="10">
        <v>44403</v>
      </c>
      <c r="I33" s="9">
        <f t="shared" si="191"/>
        <v>2021</v>
      </c>
      <c r="J33" s="9">
        <f t="shared" si="192"/>
        <v>7</v>
      </c>
      <c r="K33" s="9" t="str">
        <f t="shared" si="193"/>
        <v>2021_7</v>
      </c>
      <c r="L33">
        <f>MAX(0,VLOOKUP($K33,lookups!$A$1:$B$45,2,0)-12)</f>
        <v>3</v>
      </c>
      <c r="M33" s="40">
        <f t="shared" si="194"/>
        <v>44378</v>
      </c>
      <c r="N33" s="10" t="s">
        <v>37</v>
      </c>
      <c r="O33" t="str">
        <f ca="1">IF(OR($L33&gt;O$4,O$4&gt;$L33+23),"",OFFSET(Electric!$L24,0,-'Electric Calendarize'!$L33+'Electric Calendarize'!O$4+1))</f>
        <v/>
      </c>
      <c r="P33" t="str">
        <f ca="1">IF(OR($L33&gt;P$4,P$4&gt;$L33+23),"",OFFSET(Electric!$L24,0,-'Electric Calendarize'!$L33+'Electric Calendarize'!P$4+1))</f>
        <v/>
      </c>
      <c r="Q33" t="str">
        <f ca="1">IF(OR($L33&gt;Q$4,Q$4&gt;$L33+23),"",OFFSET(Electric!$L24,0,-'Electric Calendarize'!$L33+'Electric Calendarize'!Q$4+1))</f>
        <v/>
      </c>
      <c r="R33">
        <f ca="1">IF(OR($L33&gt;R$4,R$4&gt;$L33+23),"",OFFSET(Electric!$L24,0,-'Electric Calendarize'!$L33+'Electric Calendarize'!R$4+1))</f>
        <v>540</v>
      </c>
      <c r="S33">
        <f ca="1">IF(OR($L33&gt;S$4,S$4&gt;$L33+23),"",OFFSET(Electric!$L24,0,-'Electric Calendarize'!$L33+'Electric Calendarize'!S$4+1))</f>
        <v>640</v>
      </c>
      <c r="T33">
        <f ca="1">IF(OR($L33&gt;T$4,T$4&gt;$L33+23),"",OFFSET(Electric!$L24,0,-'Electric Calendarize'!$L33+'Electric Calendarize'!T$4+1))</f>
        <v>474</v>
      </c>
      <c r="U33">
        <f ca="1">IF(OR($L33&gt;U$4,U$4&gt;$L33+23),"",OFFSET(Electric!$L24,0,-'Electric Calendarize'!$L33+'Electric Calendarize'!U$4+1))</f>
        <v>346</v>
      </c>
      <c r="V33">
        <f ca="1">IF(OR($L33&gt;V$4,V$4&gt;$L33+23),"",OFFSET(Electric!$L24,0,-'Electric Calendarize'!$L33+'Electric Calendarize'!V$4+1))</f>
        <v>344</v>
      </c>
      <c r="W33">
        <f ca="1">IF(OR($L33&gt;W$4,W$4&gt;$L33+23),"",OFFSET(Electric!$L24,0,-'Electric Calendarize'!$L33+'Electric Calendarize'!W$4+1))</f>
        <v>386</v>
      </c>
      <c r="X33">
        <f ca="1">IF(OR($L33&gt;X$4,X$4&gt;$L33+23),"",OFFSET(Electric!$L24,0,-'Electric Calendarize'!$L33+'Electric Calendarize'!X$4+1))</f>
        <v>365</v>
      </c>
      <c r="Y33">
        <f ca="1">IF(OR($L33&gt;Y$4,Y$4&gt;$L33+23),"",OFFSET(Electric!$L24,0,-'Electric Calendarize'!$L33+'Electric Calendarize'!Y$4+1))</f>
        <v>322</v>
      </c>
      <c r="Z33">
        <f ca="1">IF(OR($L33&gt;Z$4,Z$4&gt;$L33+23),"",OFFSET(Electric!$L24,0,-'Electric Calendarize'!$L33+'Electric Calendarize'!Z$4+1))</f>
        <v>320</v>
      </c>
      <c r="AA33">
        <f ca="1">IF(OR($L33&gt;AA$4,AA$4&gt;$L33+23),"",OFFSET(Electric!$L24,0,-'Electric Calendarize'!$L33+'Electric Calendarize'!AA$4+1))</f>
        <v>322</v>
      </c>
      <c r="AB33">
        <f ca="1">IF(OR($L33&gt;AB$4,AB$4&gt;$L33+23),"",OFFSET(Electric!$L24,0,-'Electric Calendarize'!$L33+'Electric Calendarize'!AB$4+1))</f>
        <v>389</v>
      </c>
      <c r="AC33">
        <f ca="1">IF(OR($L33&gt;AC$4,AC$4&gt;$L33+23),"",OFFSET(Electric!$L24,0,-'Electric Calendarize'!$L33+'Electric Calendarize'!AC$4+1))</f>
        <v>424</v>
      </c>
      <c r="AD33">
        <f ca="1">IF(OR($L33&gt;AD$4,AD$4&gt;$L33+23),"",OFFSET(Electric!$L24,0,-'Electric Calendarize'!$L33+'Electric Calendarize'!AD$4+1))</f>
        <v>485</v>
      </c>
      <c r="AE33">
        <f ca="1">IF(OR($L33&gt;AE$4,AE$4&gt;$L33+23),"",OFFSET(Electric!$L24,0,-'Electric Calendarize'!$L33+'Electric Calendarize'!AE$4+1))</f>
        <v>393</v>
      </c>
      <c r="AF33">
        <f ca="1">IF(OR($L33&gt;AF$4,AF$4&gt;$L33+23),"",OFFSET(Electric!$L24,0,-'Electric Calendarize'!$L33+'Electric Calendarize'!AF$4+1))</f>
        <v>540</v>
      </c>
      <c r="AG33">
        <f ca="1">IF(OR($L33&gt;AG$4,AG$4&gt;$L33+23),"",OFFSET(Electric!$L24,0,-'Electric Calendarize'!$L33+'Electric Calendarize'!AG$4+1))</f>
        <v>341</v>
      </c>
      <c r="AH33">
        <f ca="1">IF(OR($L33&gt;AH$4,AH$4&gt;$L33+23),"",OFFSET(Electric!$L24,0,-'Electric Calendarize'!$L33+'Electric Calendarize'!AH$4+1))</f>
        <v>317</v>
      </c>
      <c r="AI33">
        <f ca="1">IF(OR($L33&gt;AI$4,AI$4&gt;$L33+23),"",OFFSET(Electric!$L24,0,-'Electric Calendarize'!$L33+'Electric Calendarize'!AI$4+1))</f>
        <v>456</v>
      </c>
      <c r="AJ33">
        <f ca="1">IF(OR($L33&gt;AJ$4,AJ$4&gt;$L33+23),"",OFFSET(Electric!$L24,0,-'Electric Calendarize'!$L33+'Electric Calendarize'!AJ$4+1))</f>
        <v>518</v>
      </c>
      <c r="AK33">
        <f ca="1">IF(OR($L33&gt;AK$4,AK$4&gt;$L33+23),"",OFFSET(Electric!$L24,0,-'Electric Calendarize'!$L33+'Electric Calendarize'!AK$4+1))</f>
        <v>361</v>
      </c>
      <c r="AL33">
        <f ca="1">IF(OR($L33&gt;AL$4,AL$4&gt;$L33+23),"",OFFSET(Electric!$L24,0,-'Electric Calendarize'!$L33+'Electric Calendarize'!AL$4+1))</f>
        <v>355</v>
      </c>
      <c r="AM33">
        <f ca="1">IF(OR($L33&gt;AM$4,AM$4&gt;$L33+23),"",OFFSET(Electric!$L24,0,-'Electric Calendarize'!$L33+'Electric Calendarize'!AM$4+1))</f>
        <v>354</v>
      </c>
      <c r="AN33">
        <f ca="1">IF(OR($L33&gt;AN$4,AN$4&gt;$L33+23),"",OFFSET(Electric!$L24,0,-'Electric Calendarize'!$L33+'Electric Calendarize'!AN$4+1))</f>
        <v>322</v>
      </c>
      <c r="AO33">
        <f ca="1">IF(OR($L33&gt;AO$4,AO$4&gt;$L33+23),"",OFFSET(Electric!$L24,0,-'Electric Calendarize'!$L33+'Electric Calendarize'!AO$4+1))</f>
        <v>319</v>
      </c>
      <c r="AP33" t="str">
        <f ca="1">IF(OR($L33&gt;AP$4,AP$4&gt;$L33+23),"",OFFSET(Electric!$L24,0,-'Electric Calendarize'!$L33+'Electric Calendarize'!AP$4+1))</f>
        <v/>
      </c>
      <c r="AQ33" t="str">
        <f ca="1">IF(OR($L33&gt;AQ$4,AQ$4&gt;$L33+23),"",OFFSET(Electric!$L24,0,-'Electric Calendarize'!$L33+'Electric Calendarize'!AQ$4+1))</f>
        <v/>
      </c>
      <c r="AR33" t="str">
        <f ca="1">IF(OR($L33&gt;AR$4,AR$4&gt;$L33+23),"",OFFSET(Electric!$L24,0,-'Electric Calendarize'!$L33+'Electric Calendarize'!AR$4+1))</f>
        <v/>
      </c>
      <c r="AS33" t="str">
        <f ca="1">IF(OR($L33&gt;AS$4,AS$4&gt;$L33+23),"",OFFSET(Electric!$L24,0,-'Electric Calendarize'!$L33+'Electric Calendarize'!AS$4+1))</f>
        <v/>
      </c>
      <c r="AT33" t="str">
        <f ca="1">IF(OR($L33&gt;AT$4,AT$4&gt;$L33+23),"",OFFSET(Electric!$L24,0,-'Electric Calendarize'!$L33+'Electric Calendarize'!AT$4+1))</f>
        <v/>
      </c>
      <c r="AU33" t="str">
        <f ca="1">IF(OR($L33&gt;AU$4,AU$4&gt;$L33+23),"",OFFSET(Electric!$L24,0,-'Electric Calendarize'!$L33+'Electric Calendarize'!AU$4+1))</f>
        <v/>
      </c>
      <c r="AV33" t="str">
        <f ca="1">IF(OR($L33&gt;AV$4,AV$4&gt;$L33+23),"",OFFSET(Electric!$L24,0,-'Electric Calendarize'!$L33+'Electric Calendarize'!AV$4+1))</f>
        <v/>
      </c>
      <c r="AW33" t="str">
        <f ca="1">IF(OR($L33&gt;AW$4,AW$4&gt;$L33+23),"",OFFSET(Electric!$L24,0,-'Electric Calendarize'!$L33+'Electric Calendarize'!AW$4+1))</f>
        <v/>
      </c>
      <c r="AX33" t="str">
        <f ca="1">IF(OR($L33&gt;AX$4,AX$4&gt;$L33+23),"",OFFSET(Electric!$L24,0,-'Electric Calendarize'!$L33+'Electric Calendarize'!AX$4+1))</f>
        <v/>
      </c>
      <c r="AY33" t="str">
        <f ca="1">IF(OR($L33&gt;AY$4,AY$4&gt;$L33+23),"",OFFSET(Electric!$L24,0,-'Electric Calendarize'!$L33+'Electric Calendarize'!AY$4+1))</f>
        <v/>
      </c>
      <c r="AZ33" t="str">
        <f ca="1">IF(OR($L33&gt;AZ$4,AZ$4&gt;$L33+23),"",OFFSET(Electric!$L24,0,-'Electric Calendarize'!$L33+'Electric Calendarize'!AZ$4+1))</f>
        <v/>
      </c>
      <c r="BA33" t="str">
        <f ca="1">IF(OR($L33&gt;BA$4,BA$4&gt;$L33+23),"",OFFSET(Electric!$L24,0,-'Electric Calendarize'!$L33+'Electric Calendarize'!BA$4+1))</f>
        <v/>
      </c>
      <c r="BB33" t="str">
        <f ca="1">IF(OR($L33&gt;BB$4,BB$4&gt;$L33+23),"",OFFSET(Electric!$L24,0,-'Electric Calendarize'!$L33+'Electric Calendarize'!BB$4+1))</f>
        <v/>
      </c>
      <c r="BC33" t="str">
        <f ca="1">IF(OR($L33&gt;BC$4,BC$4&gt;$L33+23),"",OFFSET(Electric!$L24,0,-'Electric Calendarize'!$L33+'Electric Calendarize'!BC$4+1))</f>
        <v/>
      </c>
      <c r="BD33" t="str">
        <f ca="1">IF(OR($L33&gt;BD$4,BD$4&gt;$L33+23),"",OFFSET(Electric!$L24,0,-'Electric Calendarize'!$L33+'Electric Calendarize'!BD$4+1))</f>
        <v/>
      </c>
      <c r="BE33" t="str">
        <f ca="1">IF(OR($L33&gt;BE$4,BE$4&gt;$L33+23),"",OFFSET(Electric!$L24,0,-'Electric Calendarize'!$L33+'Electric Calendarize'!BE$4+1))</f>
        <v/>
      </c>
      <c r="BF33" t="str">
        <f ca="1">IF(OR($L33&gt;BF$4,BF$4&gt;$L33+23),"",OFFSET(Electric!$L24,0,-'Electric Calendarize'!$L33+'Electric Calendarize'!BF$4+1))</f>
        <v/>
      </c>
      <c r="BG33" t="str">
        <f ca="1">IF(OR($L33&gt;BG$4,BG$4&gt;$L33+23),"",OFFSET(Electric!$L24,0,-'Electric Calendarize'!$L33+'Electric Calendarize'!BG$4+1))</f>
        <v/>
      </c>
      <c r="BJ33" s="10" t="s">
        <v>37</v>
      </c>
      <c r="BK33">
        <f t="shared" si="195"/>
        <v>1</v>
      </c>
      <c r="BL33">
        <f t="shared" si="100"/>
        <v>0</v>
      </c>
      <c r="BM33">
        <f t="shared" si="101"/>
        <v>0</v>
      </c>
      <c r="BN33">
        <f t="shared" si="102"/>
        <v>0</v>
      </c>
      <c r="BO33">
        <f t="shared" si="103"/>
        <v>0</v>
      </c>
      <c r="BP33">
        <f t="shared" si="104"/>
        <v>0</v>
      </c>
      <c r="BQ33">
        <f t="shared" si="105"/>
        <v>0</v>
      </c>
      <c r="BR33">
        <f t="shared" si="106"/>
        <v>1</v>
      </c>
      <c r="BS33">
        <f t="shared" si="107"/>
        <v>1</v>
      </c>
      <c r="BT33">
        <f t="shared" si="108"/>
        <v>1</v>
      </c>
      <c r="BU33">
        <f t="shared" si="109"/>
        <v>1</v>
      </c>
      <c r="BV33">
        <f t="shared" si="110"/>
        <v>1</v>
      </c>
      <c r="BW33">
        <f t="shared" si="111"/>
        <v>1</v>
      </c>
      <c r="BX33">
        <f t="shared" si="112"/>
        <v>0</v>
      </c>
      <c r="BY33">
        <f t="shared" si="113"/>
        <v>0</v>
      </c>
      <c r="BZ33">
        <f t="shared" si="114"/>
        <v>0</v>
      </c>
      <c r="CA33">
        <f t="shared" si="115"/>
        <v>0</v>
      </c>
      <c r="CB33">
        <f t="shared" si="116"/>
        <v>0</v>
      </c>
      <c r="CC33">
        <f t="shared" si="117"/>
        <v>0</v>
      </c>
      <c r="CD33">
        <f t="shared" si="118"/>
        <v>1</v>
      </c>
      <c r="CE33">
        <f t="shared" si="119"/>
        <v>1</v>
      </c>
      <c r="CF33">
        <f t="shared" si="120"/>
        <v>1</v>
      </c>
      <c r="CG33">
        <f t="shared" si="121"/>
        <v>1</v>
      </c>
      <c r="CH33">
        <f t="shared" si="122"/>
        <v>1</v>
      </c>
      <c r="CI33">
        <f t="shared" si="123"/>
        <v>1</v>
      </c>
      <c r="CJ33">
        <f t="shared" si="124"/>
        <v>0</v>
      </c>
      <c r="CK33">
        <f t="shared" si="125"/>
        <v>0</v>
      </c>
      <c r="CL33">
        <f t="shared" si="126"/>
        <v>0</v>
      </c>
      <c r="CM33">
        <f t="shared" si="127"/>
        <v>0</v>
      </c>
      <c r="CN33">
        <f t="shared" si="128"/>
        <v>0</v>
      </c>
      <c r="CO33">
        <f t="shared" si="129"/>
        <v>0</v>
      </c>
      <c r="CP33">
        <f t="shared" si="130"/>
        <v>1</v>
      </c>
      <c r="CQ33">
        <f t="shared" si="131"/>
        <v>1</v>
      </c>
      <c r="CR33">
        <f t="shared" si="132"/>
        <v>1</v>
      </c>
      <c r="CS33">
        <f t="shared" si="133"/>
        <v>1</v>
      </c>
      <c r="CT33">
        <f t="shared" si="134"/>
        <v>1</v>
      </c>
      <c r="CU33">
        <f t="shared" si="135"/>
        <v>1</v>
      </c>
      <c r="CV33">
        <f t="shared" si="136"/>
        <v>0</v>
      </c>
      <c r="CW33">
        <f t="shared" si="137"/>
        <v>0</v>
      </c>
      <c r="CX33">
        <f t="shared" si="138"/>
        <v>0</v>
      </c>
      <c r="CY33">
        <f t="shared" si="139"/>
        <v>0</v>
      </c>
      <c r="CZ33">
        <f t="shared" si="140"/>
        <v>0</v>
      </c>
      <c r="DA33">
        <f t="shared" si="141"/>
        <v>0</v>
      </c>
      <c r="DB33">
        <f t="shared" si="142"/>
        <v>1</v>
      </c>
      <c r="DC33">
        <f t="shared" si="143"/>
        <v>1</v>
      </c>
      <c r="DF33" s="10" t="s">
        <v>37</v>
      </c>
      <c r="DG33" t="str">
        <f t="shared" si="200"/>
        <v>2021_7</v>
      </c>
      <c r="DH33" t="str">
        <f t="shared" si="200"/>
        <v>2021_7</v>
      </c>
      <c r="DI33" t="str">
        <f t="shared" si="200"/>
        <v>2021_7</v>
      </c>
      <c r="DJ33" t="str">
        <f t="shared" si="200"/>
        <v>2021_7</v>
      </c>
      <c r="DK33" t="str">
        <f t="shared" si="200"/>
        <v>2021_7</v>
      </c>
      <c r="DL33" t="str">
        <f t="shared" si="200"/>
        <v>2021_7</v>
      </c>
      <c r="DM33" t="str">
        <f t="shared" si="200"/>
        <v>2021_7</v>
      </c>
      <c r="DN33" t="str">
        <f t="shared" si="200"/>
        <v>2021_7</v>
      </c>
      <c r="DO33" t="str">
        <f t="shared" si="200"/>
        <v>2021_7</v>
      </c>
      <c r="DP33" t="str">
        <f t="shared" si="200"/>
        <v>2021_7</v>
      </c>
      <c r="DQ33" t="str">
        <f t="shared" si="200"/>
        <v>2021_7</v>
      </c>
      <c r="DR33" t="str">
        <f t="shared" si="200"/>
        <v>2021_7</v>
      </c>
      <c r="DS33" t="str">
        <f t="shared" si="200"/>
        <v>2021_7</v>
      </c>
      <c r="DT33" t="str">
        <f t="shared" si="200"/>
        <v>2021_7</v>
      </c>
      <c r="DU33" t="str">
        <f t="shared" si="200"/>
        <v>2021_7</v>
      </c>
      <c r="DV33" t="str">
        <f t="shared" si="200"/>
        <v>2021_7</v>
      </c>
      <c r="DW33" t="str">
        <f t="shared" si="198"/>
        <v>2021_7</v>
      </c>
      <c r="DX33" t="str">
        <f t="shared" si="198"/>
        <v>2021_7</v>
      </c>
      <c r="DY33" t="str">
        <f t="shared" si="198"/>
        <v>2021_7</v>
      </c>
      <c r="DZ33" t="str">
        <f t="shared" si="198"/>
        <v>2021_7</v>
      </c>
      <c r="EA33" t="str">
        <f t="shared" si="198"/>
        <v>2021_7</v>
      </c>
      <c r="EB33" t="str">
        <f t="shared" si="198"/>
        <v>2021_7</v>
      </c>
      <c r="EC33" t="str">
        <f t="shared" si="198"/>
        <v>2021_7</v>
      </c>
      <c r="ED33" t="str">
        <f t="shared" si="198"/>
        <v>2021_7</v>
      </c>
      <c r="EE33" t="str">
        <f t="shared" si="198"/>
        <v>2021_7</v>
      </c>
      <c r="EF33" t="str">
        <f t="shared" si="198"/>
        <v>2021_7</v>
      </c>
      <c r="EG33" t="str">
        <f t="shared" si="198"/>
        <v>2021_7</v>
      </c>
      <c r="EH33" t="str">
        <f t="shared" si="198"/>
        <v>2021_7</v>
      </c>
      <c r="EI33" t="str">
        <f t="shared" si="198"/>
        <v>2021_7</v>
      </c>
      <c r="EJ33" t="str">
        <f t="shared" si="198"/>
        <v>2021_7</v>
      </c>
      <c r="EK33" t="str">
        <f t="shared" si="198"/>
        <v>2021_7</v>
      </c>
      <c r="EL33" t="str">
        <f t="shared" si="198"/>
        <v>2021_7</v>
      </c>
      <c r="EM33" t="str">
        <f t="shared" si="199"/>
        <v>2021_7</v>
      </c>
      <c r="EN33" t="str">
        <f t="shared" si="199"/>
        <v>2021_7</v>
      </c>
      <c r="EO33" t="str">
        <f t="shared" si="199"/>
        <v>2021_7</v>
      </c>
      <c r="EP33" t="str">
        <f t="shared" si="199"/>
        <v>2021_7</v>
      </c>
      <c r="EQ33" t="str">
        <f t="shared" si="199"/>
        <v>2021_7</v>
      </c>
      <c r="ER33" t="str">
        <f t="shared" si="199"/>
        <v>2021_7</v>
      </c>
      <c r="ES33" t="str">
        <f t="shared" si="199"/>
        <v>2021_7</v>
      </c>
      <c r="ET33" t="str">
        <f t="shared" si="199"/>
        <v>2021_7</v>
      </c>
      <c r="EU33" t="str">
        <f t="shared" si="199"/>
        <v>2021_7</v>
      </c>
      <c r="EV33" t="str">
        <f t="shared" si="199"/>
        <v>2021_7</v>
      </c>
      <c r="EW33" t="str">
        <f t="shared" si="199"/>
        <v>2021_7</v>
      </c>
      <c r="EX33" t="str">
        <f t="shared" si="199"/>
        <v>2021_7</v>
      </c>
      <c r="EY33" t="str">
        <f t="shared" si="199"/>
        <v>2021_7</v>
      </c>
      <c r="FB33" s="10" t="s">
        <v>37</v>
      </c>
      <c r="FC33">
        <f t="shared" si="197"/>
        <v>0</v>
      </c>
      <c r="FD33">
        <f t="shared" si="147"/>
        <v>0</v>
      </c>
      <c r="FE33">
        <f t="shared" si="148"/>
        <v>0</v>
      </c>
      <c r="FF33">
        <f t="shared" si="149"/>
        <v>0</v>
      </c>
      <c r="FG33">
        <f t="shared" si="150"/>
        <v>0</v>
      </c>
      <c r="FH33">
        <f t="shared" si="151"/>
        <v>0</v>
      </c>
      <c r="FI33">
        <f t="shared" si="152"/>
        <v>0</v>
      </c>
      <c r="FJ33">
        <f t="shared" si="153"/>
        <v>0</v>
      </c>
      <c r="FK33">
        <f t="shared" si="154"/>
        <v>0</v>
      </c>
      <c r="FL33">
        <f t="shared" si="155"/>
        <v>0</v>
      </c>
      <c r="FM33">
        <f t="shared" si="156"/>
        <v>0</v>
      </c>
      <c r="FN33">
        <f t="shared" si="157"/>
        <v>0</v>
      </c>
      <c r="FO33">
        <f t="shared" si="158"/>
        <v>0</v>
      </c>
      <c r="FP33">
        <f t="shared" si="159"/>
        <v>0</v>
      </c>
      <c r="FQ33">
        <f t="shared" si="160"/>
        <v>0</v>
      </c>
      <c r="FR33">
        <f t="shared" si="161"/>
        <v>1</v>
      </c>
      <c r="FS33">
        <f t="shared" si="162"/>
        <v>1</v>
      </c>
      <c r="FT33">
        <f t="shared" si="163"/>
        <v>1</v>
      </c>
      <c r="FU33">
        <f t="shared" si="164"/>
        <v>1</v>
      </c>
      <c r="FV33">
        <f t="shared" si="165"/>
        <v>1</v>
      </c>
      <c r="FW33">
        <f t="shared" si="166"/>
        <v>1</v>
      </c>
      <c r="FX33">
        <f t="shared" si="167"/>
        <v>1</v>
      </c>
      <c r="FY33">
        <f t="shared" si="168"/>
        <v>1</v>
      </c>
      <c r="FZ33">
        <f t="shared" si="169"/>
        <v>1</v>
      </c>
      <c r="GA33">
        <f t="shared" si="170"/>
        <v>1</v>
      </c>
      <c r="GB33">
        <f t="shared" si="171"/>
        <v>1</v>
      </c>
      <c r="GC33">
        <f t="shared" si="172"/>
        <v>1</v>
      </c>
      <c r="GD33">
        <f t="shared" si="173"/>
        <v>1</v>
      </c>
      <c r="GE33">
        <f t="shared" si="174"/>
        <v>1</v>
      </c>
      <c r="GF33">
        <f t="shared" si="175"/>
        <v>1</v>
      </c>
      <c r="GG33">
        <f t="shared" si="176"/>
        <v>1</v>
      </c>
      <c r="GH33">
        <f t="shared" si="177"/>
        <v>1</v>
      </c>
      <c r="GI33">
        <f t="shared" si="178"/>
        <v>1</v>
      </c>
      <c r="GJ33">
        <f t="shared" si="179"/>
        <v>1</v>
      </c>
      <c r="GK33">
        <f t="shared" si="180"/>
        <v>1</v>
      </c>
      <c r="GL33">
        <f t="shared" si="181"/>
        <v>1</v>
      </c>
      <c r="GM33">
        <f t="shared" si="182"/>
        <v>1</v>
      </c>
      <c r="GN33">
        <f t="shared" si="183"/>
        <v>1</v>
      </c>
      <c r="GO33">
        <f t="shared" si="184"/>
        <v>1</v>
      </c>
      <c r="GP33">
        <f t="shared" si="185"/>
        <v>1</v>
      </c>
      <c r="GQ33">
        <f t="shared" si="186"/>
        <v>1</v>
      </c>
      <c r="GR33">
        <f t="shared" si="187"/>
        <v>1</v>
      </c>
      <c r="GS33">
        <f t="shared" si="188"/>
        <v>1</v>
      </c>
      <c r="GT33">
        <f t="shared" si="189"/>
        <v>1</v>
      </c>
      <c r="GU33">
        <f t="shared" si="190"/>
        <v>1</v>
      </c>
      <c r="GX33" s="10"/>
    </row>
    <row r="34" spans="1:206" x14ac:dyDescent="0.3">
      <c r="A34" s="15" t="s">
        <v>41</v>
      </c>
      <c r="B34" s="80"/>
      <c r="C34" s="9">
        <v>3020142000</v>
      </c>
      <c r="D34" s="9" t="s">
        <v>353</v>
      </c>
      <c r="E34" s="9" t="s">
        <v>34</v>
      </c>
      <c r="F34" s="9" t="s">
        <v>35</v>
      </c>
      <c r="G34" s="9" t="s">
        <v>65</v>
      </c>
      <c r="H34" s="10">
        <v>44407</v>
      </c>
      <c r="I34" s="9">
        <f t="shared" si="191"/>
        <v>2021</v>
      </c>
      <c r="J34" s="9">
        <f t="shared" si="192"/>
        <v>7</v>
      </c>
      <c r="K34" s="9" t="str">
        <f t="shared" si="193"/>
        <v>2021_7</v>
      </c>
      <c r="L34">
        <f>MAX(0,VLOOKUP($K34,lookups!$A$1:$B$45,2,0)-12)</f>
        <v>3</v>
      </c>
      <c r="M34" s="40">
        <f t="shared" si="194"/>
        <v>44378</v>
      </c>
      <c r="N34" s="10" t="s">
        <v>37</v>
      </c>
      <c r="O34" t="str">
        <f ca="1">IF(OR($L34&gt;O$4,O$4&gt;$L34+23),"",OFFSET(Electric!$L25,0,-'Electric Calendarize'!$L34+'Electric Calendarize'!O$4+1))</f>
        <v/>
      </c>
      <c r="P34" t="str">
        <f ca="1">IF(OR($L34&gt;P$4,P$4&gt;$L34+23),"",OFFSET(Electric!$L25,0,-'Electric Calendarize'!$L34+'Electric Calendarize'!P$4+1))</f>
        <v/>
      </c>
      <c r="Q34" t="str">
        <f ca="1">IF(OR($L34&gt;Q$4,Q$4&gt;$L34+23),"",OFFSET(Electric!$L25,0,-'Electric Calendarize'!$L34+'Electric Calendarize'!Q$4+1))</f>
        <v/>
      </c>
      <c r="R34">
        <f ca="1">IF(OR($L34&gt;R$4,R$4&gt;$L34+23),"",OFFSET(Electric!$L25,0,-'Electric Calendarize'!$L34+'Electric Calendarize'!R$4+1))</f>
        <v>307</v>
      </c>
      <c r="S34">
        <f ca="1">IF(OR($L34&gt;S$4,S$4&gt;$L34+23),"",OFFSET(Electric!$L25,0,-'Electric Calendarize'!$L34+'Electric Calendarize'!S$4+1))</f>
        <v>477</v>
      </c>
      <c r="T34">
        <f ca="1">IF(OR($L34&gt;T$4,T$4&gt;$L34+23),"",OFFSET(Electric!$L25,0,-'Electric Calendarize'!$L34+'Electric Calendarize'!T$4+1))</f>
        <v>427</v>
      </c>
      <c r="U34">
        <f ca="1">IF(OR($L34&gt;U$4,U$4&gt;$L34+23),"",OFFSET(Electric!$L25,0,-'Electric Calendarize'!$L34+'Electric Calendarize'!U$4+1))</f>
        <v>325</v>
      </c>
      <c r="V34">
        <f ca="1">IF(OR($L34&gt;V$4,V$4&gt;$L34+23),"",OFFSET(Electric!$L25,0,-'Electric Calendarize'!$L34+'Electric Calendarize'!V$4+1))</f>
        <v>475</v>
      </c>
      <c r="W34">
        <f ca="1">IF(OR($L34&gt;W$4,W$4&gt;$L34+23),"",OFFSET(Electric!$L25,0,-'Electric Calendarize'!$L34+'Electric Calendarize'!W$4+1))</f>
        <v>406</v>
      </c>
      <c r="X34">
        <f ca="1">IF(OR($L34&gt;X$4,X$4&gt;$L34+23),"",OFFSET(Electric!$L25,0,-'Electric Calendarize'!$L34+'Electric Calendarize'!X$4+1))</f>
        <v>403</v>
      </c>
      <c r="Y34">
        <f ca="1">IF(OR($L34&gt;Y$4,Y$4&gt;$L34+23),"",OFFSET(Electric!$L25,0,-'Electric Calendarize'!$L34+'Electric Calendarize'!Y$4+1))</f>
        <v>399</v>
      </c>
      <c r="Z34">
        <f ca="1">IF(OR($L34&gt;Z$4,Z$4&gt;$L34+23),"",OFFSET(Electric!$L25,0,-'Electric Calendarize'!$L34+'Electric Calendarize'!Z$4+1))</f>
        <v>386</v>
      </c>
      <c r="AA34">
        <f ca="1">IF(OR($L34&gt;AA$4,AA$4&gt;$L34+23),"",OFFSET(Electric!$L25,0,-'Electric Calendarize'!$L34+'Electric Calendarize'!AA$4+1))</f>
        <v>247</v>
      </c>
      <c r="AB34">
        <f ca="1">IF(OR($L34&gt;AB$4,AB$4&gt;$L34+23),"",OFFSET(Electric!$L25,0,-'Electric Calendarize'!$L34+'Electric Calendarize'!AB$4+1))</f>
        <v>353</v>
      </c>
      <c r="AC34">
        <f ca="1">IF(OR($L34&gt;AC$4,AC$4&gt;$L34+23),"",OFFSET(Electric!$L25,0,-'Electric Calendarize'!$L34+'Electric Calendarize'!AC$4+1))</f>
        <v>338</v>
      </c>
      <c r="AD34">
        <f ca="1">IF(OR($L34&gt;AD$4,AD$4&gt;$L34+23),"",OFFSET(Electric!$L25,0,-'Electric Calendarize'!$L34+'Electric Calendarize'!AD$4+1))</f>
        <v>352</v>
      </c>
      <c r="AE34">
        <f ca="1">IF(OR($L34&gt;AE$4,AE$4&gt;$L34+23),"",OFFSET(Electric!$L25,0,-'Electric Calendarize'!$L34+'Electric Calendarize'!AE$4+1))</f>
        <v>452</v>
      </c>
      <c r="AF34">
        <f ca="1">IF(OR($L34&gt;AF$4,AF$4&gt;$L34+23),"",OFFSET(Electric!$L25,0,-'Electric Calendarize'!$L34+'Electric Calendarize'!AF$4+1))</f>
        <v>521</v>
      </c>
      <c r="AG34">
        <f ca="1">IF(OR($L34&gt;AG$4,AG$4&gt;$L34+23),"",OFFSET(Electric!$L25,0,-'Electric Calendarize'!$L34+'Electric Calendarize'!AG$4+1))</f>
        <v>406</v>
      </c>
      <c r="AH34">
        <f ca="1">IF(OR($L34&gt;AH$4,AH$4&gt;$L34+23),"",OFFSET(Electric!$L25,0,-'Electric Calendarize'!$L34+'Electric Calendarize'!AH$4+1))</f>
        <v>540</v>
      </c>
      <c r="AI34">
        <f ca="1">IF(OR($L34&gt;AI$4,AI$4&gt;$L34+23),"",OFFSET(Electric!$L25,0,-'Electric Calendarize'!$L34+'Electric Calendarize'!AI$4+1))</f>
        <v>485</v>
      </c>
      <c r="AJ34">
        <f ca="1">IF(OR($L34&gt;AJ$4,AJ$4&gt;$L34+23),"",OFFSET(Electric!$L25,0,-'Electric Calendarize'!$L34+'Electric Calendarize'!AJ$4+1))</f>
        <v>465</v>
      </c>
      <c r="AK34">
        <f ca="1">IF(OR($L34&gt;AK$4,AK$4&gt;$L34+23),"",OFFSET(Electric!$L25,0,-'Electric Calendarize'!$L34+'Electric Calendarize'!AK$4+1))</f>
        <v>502</v>
      </c>
      <c r="AL34">
        <f ca="1">IF(OR($L34&gt;AL$4,AL$4&gt;$L34+23),"",OFFSET(Electric!$L25,0,-'Electric Calendarize'!$L34+'Electric Calendarize'!AL$4+1))</f>
        <v>314</v>
      </c>
      <c r="AM34">
        <f ca="1">IF(OR($L34&gt;AM$4,AM$4&gt;$L34+23),"",OFFSET(Electric!$L25,0,-'Electric Calendarize'!$L34+'Electric Calendarize'!AM$4+1))</f>
        <v>156</v>
      </c>
      <c r="AN34">
        <f ca="1">IF(OR($L34&gt;AN$4,AN$4&gt;$L34+23),"",OFFSET(Electric!$L25,0,-'Electric Calendarize'!$L34+'Electric Calendarize'!AN$4+1))</f>
        <v>413</v>
      </c>
      <c r="AO34">
        <f ca="1">IF(OR($L34&gt;AO$4,AO$4&gt;$L34+23),"",OFFSET(Electric!$L25,0,-'Electric Calendarize'!$L34+'Electric Calendarize'!AO$4+1))</f>
        <v>345</v>
      </c>
      <c r="AP34" t="str">
        <f ca="1">IF(OR($L34&gt;AP$4,AP$4&gt;$L34+23),"",OFFSET(Electric!$L25,0,-'Electric Calendarize'!$L34+'Electric Calendarize'!AP$4+1))</f>
        <v/>
      </c>
      <c r="AQ34" t="str">
        <f ca="1">IF(OR($L34&gt;AQ$4,AQ$4&gt;$L34+23),"",OFFSET(Electric!$L25,0,-'Electric Calendarize'!$L34+'Electric Calendarize'!AQ$4+1))</f>
        <v/>
      </c>
      <c r="AR34" t="str">
        <f ca="1">IF(OR($L34&gt;AR$4,AR$4&gt;$L34+23),"",OFFSET(Electric!$L25,0,-'Electric Calendarize'!$L34+'Electric Calendarize'!AR$4+1))</f>
        <v/>
      </c>
      <c r="AS34" t="str">
        <f ca="1">IF(OR($L34&gt;AS$4,AS$4&gt;$L34+23),"",OFFSET(Electric!$L25,0,-'Electric Calendarize'!$L34+'Electric Calendarize'!AS$4+1))</f>
        <v/>
      </c>
      <c r="AT34" t="str">
        <f ca="1">IF(OR($L34&gt;AT$4,AT$4&gt;$L34+23),"",OFFSET(Electric!$L25,0,-'Electric Calendarize'!$L34+'Electric Calendarize'!AT$4+1))</f>
        <v/>
      </c>
      <c r="AU34" t="str">
        <f ca="1">IF(OR($L34&gt;AU$4,AU$4&gt;$L34+23),"",OFFSET(Electric!$L25,0,-'Electric Calendarize'!$L34+'Electric Calendarize'!AU$4+1))</f>
        <v/>
      </c>
      <c r="AV34" t="str">
        <f ca="1">IF(OR($L34&gt;AV$4,AV$4&gt;$L34+23),"",OFFSET(Electric!$L25,0,-'Electric Calendarize'!$L34+'Electric Calendarize'!AV$4+1))</f>
        <v/>
      </c>
      <c r="AW34" t="str">
        <f ca="1">IF(OR($L34&gt;AW$4,AW$4&gt;$L34+23),"",OFFSET(Electric!$L25,0,-'Electric Calendarize'!$L34+'Electric Calendarize'!AW$4+1))</f>
        <v/>
      </c>
      <c r="AX34" t="str">
        <f ca="1">IF(OR($L34&gt;AX$4,AX$4&gt;$L34+23),"",OFFSET(Electric!$L25,0,-'Electric Calendarize'!$L34+'Electric Calendarize'!AX$4+1))</f>
        <v/>
      </c>
      <c r="AY34" t="str">
        <f ca="1">IF(OR($L34&gt;AY$4,AY$4&gt;$L34+23),"",OFFSET(Electric!$L25,0,-'Electric Calendarize'!$L34+'Electric Calendarize'!AY$4+1))</f>
        <v/>
      </c>
      <c r="AZ34" t="str">
        <f ca="1">IF(OR($L34&gt;AZ$4,AZ$4&gt;$L34+23),"",OFFSET(Electric!$L25,0,-'Electric Calendarize'!$L34+'Electric Calendarize'!AZ$4+1))</f>
        <v/>
      </c>
      <c r="BA34" t="str">
        <f ca="1">IF(OR($L34&gt;BA$4,BA$4&gt;$L34+23),"",OFFSET(Electric!$L25,0,-'Electric Calendarize'!$L34+'Electric Calendarize'!BA$4+1))</f>
        <v/>
      </c>
      <c r="BB34" t="str">
        <f ca="1">IF(OR($L34&gt;BB$4,BB$4&gt;$L34+23),"",OFFSET(Electric!$L25,0,-'Electric Calendarize'!$L34+'Electric Calendarize'!BB$4+1))</f>
        <v/>
      </c>
      <c r="BC34" t="str">
        <f ca="1">IF(OR($L34&gt;BC$4,BC$4&gt;$L34+23),"",OFFSET(Electric!$L25,0,-'Electric Calendarize'!$L34+'Electric Calendarize'!BC$4+1))</f>
        <v/>
      </c>
      <c r="BD34" t="str">
        <f ca="1">IF(OR($L34&gt;BD$4,BD$4&gt;$L34+23),"",OFFSET(Electric!$L25,0,-'Electric Calendarize'!$L34+'Electric Calendarize'!BD$4+1))</f>
        <v/>
      </c>
      <c r="BE34" t="str">
        <f ca="1">IF(OR($L34&gt;BE$4,BE$4&gt;$L34+23),"",OFFSET(Electric!$L25,0,-'Electric Calendarize'!$L34+'Electric Calendarize'!BE$4+1))</f>
        <v/>
      </c>
      <c r="BF34" t="str">
        <f ca="1">IF(OR($L34&gt;BF$4,BF$4&gt;$L34+23),"",OFFSET(Electric!$L25,0,-'Electric Calendarize'!$L34+'Electric Calendarize'!BF$4+1))</f>
        <v/>
      </c>
      <c r="BG34" t="str">
        <f ca="1">IF(OR($L34&gt;BG$4,BG$4&gt;$L34+23),"",OFFSET(Electric!$L25,0,-'Electric Calendarize'!$L34+'Electric Calendarize'!BG$4+1))</f>
        <v/>
      </c>
      <c r="BJ34" s="10" t="s">
        <v>37</v>
      </c>
      <c r="BK34">
        <f t="shared" si="195"/>
        <v>1</v>
      </c>
      <c r="BL34">
        <f t="shared" si="100"/>
        <v>0</v>
      </c>
      <c r="BM34">
        <f t="shared" si="101"/>
        <v>0</v>
      </c>
      <c r="BN34">
        <f t="shared" si="102"/>
        <v>0</v>
      </c>
      <c r="BO34">
        <f t="shared" si="103"/>
        <v>0</v>
      </c>
      <c r="BP34">
        <f t="shared" si="104"/>
        <v>0</v>
      </c>
      <c r="BQ34">
        <f t="shared" si="105"/>
        <v>0</v>
      </c>
      <c r="BR34">
        <f t="shared" si="106"/>
        <v>1</v>
      </c>
      <c r="BS34">
        <f t="shared" si="107"/>
        <v>1</v>
      </c>
      <c r="BT34">
        <f t="shared" si="108"/>
        <v>1</v>
      </c>
      <c r="BU34">
        <f t="shared" si="109"/>
        <v>1</v>
      </c>
      <c r="BV34">
        <f t="shared" si="110"/>
        <v>1</v>
      </c>
      <c r="BW34">
        <f t="shared" si="111"/>
        <v>1</v>
      </c>
      <c r="BX34">
        <f t="shared" si="112"/>
        <v>0</v>
      </c>
      <c r="BY34">
        <f t="shared" si="113"/>
        <v>0</v>
      </c>
      <c r="BZ34">
        <f t="shared" si="114"/>
        <v>0</v>
      </c>
      <c r="CA34">
        <f t="shared" si="115"/>
        <v>0</v>
      </c>
      <c r="CB34">
        <f t="shared" si="116"/>
        <v>0</v>
      </c>
      <c r="CC34">
        <f t="shared" si="117"/>
        <v>0</v>
      </c>
      <c r="CD34">
        <f t="shared" si="118"/>
        <v>1</v>
      </c>
      <c r="CE34">
        <f t="shared" si="119"/>
        <v>1</v>
      </c>
      <c r="CF34">
        <f t="shared" si="120"/>
        <v>1</v>
      </c>
      <c r="CG34">
        <f t="shared" si="121"/>
        <v>1</v>
      </c>
      <c r="CH34">
        <f t="shared" si="122"/>
        <v>1</v>
      </c>
      <c r="CI34">
        <f t="shared" si="123"/>
        <v>1</v>
      </c>
      <c r="CJ34">
        <f t="shared" si="124"/>
        <v>0</v>
      </c>
      <c r="CK34">
        <f t="shared" si="125"/>
        <v>0</v>
      </c>
      <c r="CL34">
        <f t="shared" si="126"/>
        <v>0</v>
      </c>
      <c r="CM34">
        <f t="shared" si="127"/>
        <v>0</v>
      </c>
      <c r="CN34">
        <f t="shared" si="128"/>
        <v>0</v>
      </c>
      <c r="CO34">
        <f t="shared" si="129"/>
        <v>0</v>
      </c>
      <c r="CP34">
        <f t="shared" si="130"/>
        <v>1</v>
      </c>
      <c r="CQ34">
        <f t="shared" si="131"/>
        <v>1</v>
      </c>
      <c r="CR34">
        <f t="shared" si="132"/>
        <v>1</v>
      </c>
      <c r="CS34">
        <f t="shared" si="133"/>
        <v>1</v>
      </c>
      <c r="CT34">
        <f t="shared" si="134"/>
        <v>1</v>
      </c>
      <c r="CU34">
        <f t="shared" si="135"/>
        <v>1</v>
      </c>
      <c r="CV34">
        <f t="shared" si="136"/>
        <v>0</v>
      </c>
      <c r="CW34">
        <f t="shared" si="137"/>
        <v>0</v>
      </c>
      <c r="CX34">
        <f t="shared" si="138"/>
        <v>0</v>
      </c>
      <c r="CY34">
        <f t="shared" si="139"/>
        <v>0</v>
      </c>
      <c r="CZ34">
        <f t="shared" si="140"/>
        <v>0</v>
      </c>
      <c r="DA34">
        <f t="shared" si="141"/>
        <v>0</v>
      </c>
      <c r="DB34">
        <f t="shared" si="142"/>
        <v>1</v>
      </c>
      <c r="DC34">
        <f t="shared" si="143"/>
        <v>1</v>
      </c>
      <c r="DF34" s="10" t="s">
        <v>37</v>
      </c>
      <c r="DG34" t="str">
        <f t="shared" si="200"/>
        <v>2021_7</v>
      </c>
      <c r="DH34" t="str">
        <f t="shared" si="200"/>
        <v>2021_7</v>
      </c>
      <c r="DI34" t="str">
        <f t="shared" si="200"/>
        <v>2021_7</v>
      </c>
      <c r="DJ34" t="str">
        <f t="shared" si="200"/>
        <v>2021_7</v>
      </c>
      <c r="DK34" t="str">
        <f t="shared" si="200"/>
        <v>2021_7</v>
      </c>
      <c r="DL34" t="str">
        <f t="shared" si="200"/>
        <v>2021_7</v>
      </c>
      <c r="DM34" t="str">
        <f t="shared" si="200"/>
        <v>2021_7</v>
      </c>
      <c r="DN34" t="str">
        <f t="shared" si="200"/>
        <v>2021_7</v>
      </c>
      <c r="DO34" t="str">
        <f t="shared" si="200"/>
        <v>2021_7</v>
      </c>
      <c r="DP34" t="str">
        <f t="shared" si="200"/>
        <v>2021_7</v>
      </c>
      <c r="DQ34" t="str">
        <f t="shared" si="200"/>
        <v>2021_7</v>
      </c>
      <c r="DR34" t="str">
        <f t="shared" si="200"/>
        <v>2021_7</v>
      </c>
      <c r="DS34" t="str">
        <f t="shared" si="200"/>
        <v>2021_7</v>
      </c>
      <c r="DT34" t="str">
        <f t="shared" si="200"/>
        <v>2021_7</v>
      </c>
      <c r="DU34" t="str">
        <f t="shared" si="200"/>
        <v>2021_7</v>
      </c>
      <c r="DV34" t="str">
        <f t="shared" si="200"/>
        <v>2021_7</v>
      </c>
      <c r="DW34" t="str">
        <f t="shared" si="198"/>
        <v>2021_7</v>
      </c>
      <c r="DX34" t="str">
        <f t="shared" si="198"/>
        <v>2021_7</v>
      </c>
      <c r="DY34" t="str">
        <f t="shared" si="198"/>
        <v>2021_7</v>
      </c>
      <c r="DZ34" t="str">
        <f t="shared" si="198"/>
        <v>2021_7</v>
      </c>
      <c r="EA34" t="str">
        <f t="shared" si="198"/>
        <v>2021_7</v>
      </c>
      <c r="EB34" t="str">
        <f t="shared" si="198"/>
        <v>2021_7</v>
      </c>
      <c r="EC34" t="str">
        <f t="shared" si="198"/>
        <v>2021_7</v>
      </c>
      <c r="ED34" t="str">
        <f t="shared" si="198"/>
        <v>2021_7</v>
      </c>
      <c r="EE34" t="str">
        <f t="shared" si="198"/>
        <v>2021_7</v>
      </c>
      <c r="EF34" t="str">
        <f t="shared" si="198"/>
        <v>2021_7</v>
      </c>
      <c r="EG34" t="str">
        <f t="shared" si="198"/>
        <v>2021_7</v>
      </c>
      <c r="EH34" t="str">
        <f t="shared" si="198"/>
        <v>2021_7</v>
      </c>
      <c r="EI34" t="str">
        <f t="shared" si="198"/>
        <v>2021_7</v>
      </c>
      <c r="EJ34" t="str">
        <f t="shared" si="198"/>
        <v>2021_7</v>
      </c>
      <c r="EK34" t="str">
        <f t="shared" si="198"/>
        <v>2021_7</v>
      </c>
      <c r="EL34" t="str">
        <f t="shared" si="198"/>
        <v>2021_7</v>
      </c>
      <c r="EM34" t="str">
        <f t="shared" si="199"/>
        <v>2021_7</v>
      </c>
      <c r="EN34" t="str">
        <f t="shared" si="199"/>
        <v>2021_7</v>
      </c>
      <c r="EO34" t="str">
        <f t="shared" si="199"/>
        <v>2021_7</v>
      </c>
      <c r="EP34" t="str">
        <f t="shared" si="199"/>
        <v>2021_7</v>
      </c>
      <c r="EQ34" t="str">
        <f t="shared" si="199"/>
        <v>2021_7</v>
      </c>
      <c r="ER34" t="str">
        <f t="shared" si="199"/>
        <v>2021_7</v>
      </c>
      <c r="ES34" t="str">
        <f t="shared" si="199"/>
        <v>2021_7</v>
      </c>
      <c r="ET34" t="str">
        <f t="shared" si="199"/>
        <v>2021_7</v>
      </c>
      <c r="EU34" t="str">
        <f t="shared" si="199"/>
        <v>2021_7</v>
      </c>
      <c r="EV34" t="str">
        <f t="shared" si="199"/>
        <v>2021_7</v>
      </c>
      <c r="EW34" t="str">
        <f t="shared" si="199"/>
        <v>2021_7</v>
      </c>
      <c r="EX34" t="str">
        <f t="shared" si="199"/>
        <v>2021_7</v>
      </c>
      <c r="EY34" t="str">
        <f t="shared" si="199"/>
        <v>2021_7</v>
      </c>
      <c r="FB34" s="10" t="s">
        <v>37</v>
      </c>
      <c r="FC34">
        <f t="shared" si="197"/>
        <v>0</v>
      </c>
      <c r="FD34">
        <f t="shared" si="147"/>
        <v>0</v>
      </c>
      <c r="FE34">
        <f t="shared" si="148"/>
        <v>0</v>
      </c>
      <c r="FF34">
        <f t="shared" si="149"/>
        <v>0</v>
      </c>
      <c r="FG34">
        <f t="shared" si="150"/>
        <v>0</v>
      </c>
      <c r="FH34">
        <f t="shared" si="151"/>
        <v>0</v>
      </c>
      <c r="FI34">
        <f t="shared" si="152"/>
        <v>0</v>
      </c>
      <c r="FJ34">
        <f t="shared" si="153"/>
        <v>0</v>
      </c>
      <c r="FK34">
        <f t="shared" si="154"/>
        <v>0</v>
      </c>
      <c r="FL34">
        <f t="shared" si="155"/>
        <v>0</v>
      </c>
      <c r="FM34">
        <f t="shared" si="156"/>
        <v>0</v>
      </c>
      <c r="FN34">
        <f t="shared" si="157"/>
        <v>0</v>
      </c>
      <c r="FO34">
        <f t="shared" si="158"/>
        <v>0</v>
      </c>
      <c r="FP34">
        <f t="shared" si="159"/>
        <v>0</v>
      </c>
      <c r="FQ34">
        <f t="shared" si="160"/>
        <v>0</v>
      </c>
      <c r="FR34">
        <f t="shared" si="161"/>
        <v>1</v>
      </c>
      <c r="FS34">
        <f t="shared" si="162"/>
        <v>1</v>
      </c>
      <c r="FT34">
        <f t="shared" si="163"/>
        <v>1</v>
      </c>
      <c r="FU34">
        <f t="shared" si="164"/>
        <v>1</v>
      </c>
      <c r="FV34">
        <f t="shared" si="165"/>
        <v>1</v>
      </c>
      <c r="FW34">
        <f t="shared" si="166"/>
        <v>1</v>
      </c>
      <c r="FX34">
        <f t="shared" si="167"/>
        <v>1</v>
      </c>
      <c r="FY34">
        <f t="shared" si="168"/>
        <v>1</v>
      </c>
      <c r="FZ34">
        <f t="shared" si="169"/>
        <v>1</v>
      </c>
      <c r="GA34">
        <f t="shared" si="170"/>
        <v>1</v>
      </c>
      <c r="GB34">
        <f t="shared" si="171"/>
        <v>1</v>
      </c>
      <c r="GC34">
        <f t="shared" si="172"/>
        <v>1</v>
      </c>
      <c r="GD34">
        <f t="shared" si="173"/>
        <v>1</v>
      </c>
      <c r="GE34">
        <f t="shared" si="174"/>
        <v>1</v>
      </c>
      <c r="GF34">
        <f t="shared" si="175"/>
        <v>1</v>
      </c>
      <c r="GG34">
        <f t="shared" si="176"/>
        <v>1</v>
      </c>
      <c r="GH34">
        <f t="shared" si="177"/>
        <v>1</v>
      </c>
      <c r="GI34">
        <f t="shared" si="178"/>
        <v>1</v>
      </c>
      <c r="GJ34">
        <f t="shared" si="179"/>
        <v>1</v>
      </c>
      <c r="GK34">
        <f t="shared" si="180"/>
        <v>1</v>
      </c>
      <c r="GL34">
        <f t="shared" si="181"/>
        <v>1</v>
      </c>
      <c r="GM34">
        <f t="shared" si="182"/>
        <v>1</v>
      </c>
      <c r="GN34">
        <f t="shared" si="183"/>
        <v>1</v>
      </c>
      <c r="GO34">
        <f t="shared" si="184"/>
        <v>1</v>
      </c>
      <c r="GP34">
        <f t="shared" si="185"/>
        <v>1</v>
      </c>
      <c r="GQ34">
        <f t="shared" si="186"/>
        <v>1</v>
      </c>
      <c r="GR34">
        <f t="shared" si="187"/>
        <v>1</v>
      </c>
      <c r="GS34">
        <f t="shared" si="188"/>
        <v>1</v>
      </c>
      <c r="GT34">
        <f t="shared" si="189"/>
        <v>1</v>
      </c>
      <c r="GU34">
        <f t="shared" si="190"/>
        <v>1</v>
      </c>
      <c r="GX34" s="10"/>
    </row>
    <row r="35" spans="1:206" x14ac:dyDescent="0.3">
      <c r="A35" s="15" t="s">
        <v>41</v>
      </c>
      <c r="B35" s="80"/>
      <c r="C35" s="9">
        <v>3131435001</v>
      </c>
      <c r="D35" s="9" t="s">
        <v>371</v>
      </c>
      <c r="E35" s="9" t="s">
        <v>39</v>
      </c>
      <c r="F35" s="9" t="s">
        <v>35</v>
      </c>
      <c r="G35" s="9" t="s">
        <v>66</v>
      </c>
      <c r="H35" s="10">
        <v>44407</v>
      </c>
      <c r="I35" s="9">
        <f t="shared" si="191"/>
        <v>2021</v>
      </c>
      <c r="J35" s="9">
        <f t="shared" si="192"/>
        <v>7</v>
      </c>
      <c r="K35" s="9" t="str">
        <f t="shared" si="193"/>
        <v>2021_7</v>
      </c>
      <c r="L35">
        <f>MAX(0,VLOOKUP($K35,lookups!$A$1:$B$45,2,0)-12)</f>
        <v>3</v>
      </c>
      <c r="M35" s="40">
        <f t="shared" si="194"/>
        <v>44378</v>
      </c>
      <c r="N35" s="10" t="s">
        <v>37</v>
      </c>
      <c r="O35" t="str">
        <f ca="1">IF(OR($L35&gt;O$4,O$4&gt;$L35+23),"",OFFSET(Electric!$L26,0,-'Electric Calendarize'!$L35+'Electric Calendarize'!O$4+1))</f>
        <v/>
      </c>
      <c r="P35" t="str">
        <f ca="1">IF(OR($L35&gt;P$4,P$4&gt;$L35+23),"",OFFSET(Electric!$L26,0,-'Electric Calendarize'!$L35+'Electric Calendarize'!P$4+1))</f>
        <v/>
      </c>
      <c r="Q35" t="str">
        <f ca="1">IF(OR($L35&gt;Q$4,Q$4&gt;$L35+23),"",OFFSET(Electric!$L26,0,-'Electric Calendarize'!$L35+'Electric Calendarize'!Q$4+1))</f>
        <v/>
      </c>
      <c r="R35">
        <f ca="1">IF(OR($L35&gt;R$4,R$4&gt;$L35+23),"",OFFSET(Electric!$L26,0,-'Electric Calendarize'!$L35+'Electric Calendarize'!R$4+1))</f>
        <v>390</v>
      </c>
      <c r="S35">
        <f ca="1">IF(OR($L35&gt;S$4,S$4&gt;$L35+23),"",OFFSET(Electric!$L26,0,-'Electric Calendarize'!$L35+'Electric Calendarize'!S$4+1))</f>
        <v>460</v>
      </c>
      <c r="T35">
        <f ca="1">IF(OR($L35&gt;T$4,T$4&gt;$L35+23),"",OFFSET(Electric!$L26,0,-'Electric Calendarize'!$L35+'Electric Calendarize'!T$4+1))</f>
        <v>378</v>
      </c>
      <c r="U35">
        <f ca="1">IF(OR($L35&gt;U$4,U$4&gt;$L35+23),"",OFFSET(Electric!$L26,0,-'Electric Calendarize'!$L35+'Electric Calendarize'!U$4+1))</f>
        <v>312</v>
      </c>
      <c r="V35">
        <f ca="1">IF(OR($L35&gt;V$4,V$4&gt;$L35+23),"",OFFSET(Electric!$L26,0,-'Electric Calendarize'!$L35+'Electric Calendarize'!V$4+1))</f>
        <v>449</v>
      </c>
      <c r="W35">
        <f ca="1">IF(OR($L35&gt;W$4,W$4&gt;$L35+23),"",OFFSET(Electric!$L26,0,-'Electric Calendarize'!$L35+'Electric Calendarize'!W$4+1))</f>
        <v>620</v>
      </c>
      <c r="X35">
        <f ca="1">IF(OR($L35&gt;X$4,X$4&gt;$L35+23),"",OFFSET(Electric!$L26,0,-'Electric Calendarize'!$L35+'Electric Calendarize'!X$4+1))</f>
        <v>512</v>
      </c>
      <c r="Y35">
        <f ca="1">IF(OR($L35&gt;Y$4,Y$4&gt;$L35+23),"",OFFSET(Electric!$L26,0,-'Electric Calendarize'!$L35+'Electric Calendarize'!Y$4+1))</f>
        <v>423</v>
      </c>
      <c r="Z35">
        <f ca="1">IF(OR($L35&gt;Z$4,Z$4&gt;$L35+23),"",OFFSET(Electric!$L26,0,-'Electric Calendarize'!$L35+'Electric Calendarize'!Z$4+1))</f>
        <v>471</v>
      </c>
      <c r="AA35">
        <f ca="1">IF(OR($L35&gt;AA$4,AA$4&gt;$L35+23),"",OFFSET(Electric!$L26,0,-'Electric Calendarize'!$L35+'Electric Calendarize'!AA$4+1))</f>
        <v>405</v>
      </c>
      <c r="AB35">
        <f ca="1">IF(OR($L35&gt;AB$4,AB$4&gt;$L35+23),"",OFFSET(Electric!$L26,0,-'Electric Calendarize'!$L35+'Electric Calendarize'!AB$4+1))</f>
        <v>380</v>
      </c>
      <c r="AC35">
        <f ca="1">IF(OR($L35&gt;AC$4,AC$4&gt;$L35+23),"",OFFSET(Electric!$L26,0,-'Electric Calendarize'!$L35+'Electric Calendarize'!AC$4+1))</f>
        <v>392</v>
      </c>
      <c r="AD35">
        <f ca="1">IF(OR($L35&gt;AD$4,AD$4&gt;$L35+23),"",OFFSET(Electric!$L26,0,-'Electric Calendarize'!$L35+'Electric Calendarize'!AD$4+1))</f>
        <v>398</v>
      </c>
      <c r="AE35">
        <f ca="1">IF(OR($L35&gt;AE$4,AE$4&gt;$L35+23),"",OFFSET(Electric!$L26,0,-'Electric Calendarize'!$L35+'Electric Calendarize'!AE$4+1))</f>
        <v>488</v>
      </c>
      <c r="AF35">
        <f ca="1">IF(OR($L35&gt;AF$4,AF$4&gt;$L35+23),"",OFFSET(Electric!$L26,0,-'Electric Calendarize'!$L35+'Electric Calendarize'!AF$4+1))</f>
        <v>281</v>
      </c>
      <c r="AG35">
        <f ca="1">IF(OR($L35&gt;AG$4,AG$4&gt;$L35+23),"",OFFSET(Electric!$L26,0,-'Electric Calendarize'!$L35+'Electric Calendarize'!AG$4+1))</f>
        <v>367</v>
      </c>
      <c r="AH35">
        <f ca="1">IF(OR($L35&gt;AH$4,AH$4&gt;$L35+23),"",OFFSET(Electric!$L26,0,-'Electric Calendarize'!$L35+'Electric Calendarize'!AH$4+1))</f>
        <v>476</v>
      </c>
      <c r="AI35">
        <f ca="1">IF(OR($L35&gt;AI$4,AI$4&gt;$L35+23),"",OFFSET(Electric!$L26,0,-'Electric Calendarize'!$L35+'Electric Calendarize'!AI$4+1))</f>
        <v>548</v>
      </c>
      <c r="AJ35">
        <f ca="1">IF(OR($L35&gt;AJ$4,AJ$4&gt;$L35+23),"",OFFSET(Electric!$L26,0,-'Electric Calendarize'!$L35+'Electric Calendarize'!AJ$4+1))</f>
        <v>566</v>
      </c>
      <c r="AK35">
        <f ca="1">IF(OR($L35&gt;AK$4,AK$4&gt;$L35+23),"",OFFSET(Electric!$L26,0,-'Electric Calendarize'!$L35+'Electric Calendarize'!AK$4+1))</f>
        <v>461</v>
      </c>
      <c r="AL35">
        <f ca="1">IF(OR($L35&gt;AL$4,AL$4&gt;$L35+23),"",OFFSET(Electric!$L26,0,-'Electric Calendarize'!$L35+'Electric Calendarize'!AL$4+1))</f>
        <v>444</v>
      </c>
      <c r="AM35">
        <f ca="1">IF(OR($L35&gt;AM$4,AM$4&gt;$L35+23),"",OFFSET(Electric!$L26,0,-'Electric Calendarize'!$L35+'Electric Calendarize'!AM$4+1))</f>
        <v>431</v>
      </c>
      <c r="AN35">
        <f ca="1">IF(OR($L35&gt;AN$4,AN$4&gt;$L35+23),"",OFFSET(Electric!$L26,0,-'Electric Calendarize'!$L35+'Electric Calendarize'!AN$4+1))</f>
        <v>419</v>
      </c>
      <c r="AO35">
        <f ca="1">IF(OR($L35&gt;AO$4,AO$4&gt;$L35+23),"",OFFSET(Electric!$L26,0,-'Electric Calendarize'!$L35+'Electric Calendarize'!AO$4+1))</f>
        <v>406</v>
      </c>
      <c r="AP35" t="str">
        <f ca="1">IF(OR($L35&gt;AP$4,AP$4&gt;$L35+23),"",OFFSET(Electric!$L26,0,-'Electric Calendarize'!$L35+'Electric Calendarize'!AP$4+1))</f>
        <v/>
      </c>
      <c r="AQ35" t="str">
        <f ca="1">IF(OR($L35&gt;AQ$4,AQ$4&gt;$L35+23),"",OFFSET(Electric!$L26,0,-'Electric Calendarize'!$L35+'Electric Calendarize'!AQ$4+1))</f>
        <v/>
      </c>
      <c r="AR35" t="str">
        <f ca="1">IF(OR($L35&gt;AR$4,AR$4&gt;$L35+23),"",OFFSET(Electric!$L26,0,-'Electric Calendarize'!$L35+'Electric Calendarize'!AR$4+1))</f>
        <v/>
      </c>
      <c r="AS35" t="str">
        <f ca="1">IF(OR($L35&gt;AS$4,AS$4&gt;$L35+23),"",OFFSET(Electric!$L26,0,-'Electric Calendarize'!$L35+'Electric Calendarize'!AS$4+1))</f>
        <v/>
      </c>
      <c r="AT35" t="str">
        <f ca="1">IF(OR($L35&gt;AT$4,AT$4&gt;$L35+23),"",OFFSET(Electric!$L26,0,-'Electric Calendarize'!$L35+'Electric Calendarize'!AT$4+1))</f>
        <v/>
      </c>
      <c r="AU35" t="str">
        <f ca="1">IF(OR($L35&gt;AU$4,AU$4&gt;$L35+23),"",OFFSET(Electric!$L26,0,-'Electric Calendarize'!$L35+'Electric Calendarize'!AU$4+1))</f>
        <v/>
      </c>
      <c r="AV35" t="str">
        <f ca="1">IF(OR($L35&gt;AV$4,AV$4&gt;$L35+23),"",OFFSET(Electric!$L26,0,-'Electric Calendarize'!$L35+'Electric Calendarize'!AV$4+1))</f>
        <v/>
      </c>
      <c r="AW35" t="str">
        <f ca="1">IF(OR($L35&gt;AW$4,AW$4&gt;$L35+23),"",OFFSET(Electric!$L26,0,-'Electric Calendarize'!$L35+'Electric Calendarize'!AW$4+1))</f>
        <v/>
      </c>
      <c r="AX35" t="str">
        <f ca="1">IF(OR($L35&gt;AX$4,AX$4&gt;$L35+23),"",OFFSET(Electric!$L26,0,-'Electric Calendarize'!$L35+'Electric Calendarize'!AX$4+1))</f>
        <v/>
      </c>
      <c r="AY35" t="str">
        <f ca="1">IF(OR($L35&gt;AY$4,AY$4&gt;$L35+23),"",OFFSET(Electric!$L26,0,-'Electric Calendarize'!$L35+'Electric Calendarize'!AY$4+1))</f>
        <v/>
      </c>
      <c r="AZ35" t="str">
        <f ca="1">IF(OR($L35&gt;AZ$4,AZ$4&gt;$L35+23),"",OFFSET(Electric!$L26,0,-'Electric Calendarize'!$L35+'Electric Calendarize'!AZ$4+1))</f>
        <v/>
      </c>
      <c r="BA35" t="str">
        <f ca="1">IF(OR($L35&gt;BA$4,BA$4&gt;$L35+23),"",OFFSET(Electric!$L26,0,-'Electric Calendarize'!$L35+'Electric Calendarize'!BA$4+1))</f>
        <v/>
      </c>
      <c r="BB35" t="str">
        <f ca="1">IF(OR($L35&gt;BB$4,BB$4&gt;$L35+23),"",OFFSET(Electric!$L26,0,-'Electric Calendarize'!$L35+'Electric Calendarize'!BB$4+1))</f>
        <v/>
      </c>
      <c r="BC35" t="str">
        <f ca="1">IF(OR($L35&gt;BC$4,BC$4&gt;$L35+23),"",OFFSET(Electric!$L26,0,-'Electric Calendarize'!$L35+'Electric Calendarize'!BC$4+1))</f>
        <v/>
      </c>
      <c r="BD35" t="str">
        <f ca="1">IF(OR($L35&gt;BD$4,BD$4&gt;$L35+23),"",OFFSET(Electric!$L26,0,-'Electric Calendarize'!$L35+'Electric Calendarize'!BD$4+1))</f>
        <v/>
      </c>
      <c r="BE35" t="str">
        <f ca="1">IF(OR($L35&gt;BE$4,BE$4&gt;$L35+23),"",OFFSET(Electric!$L26,0,-'Electric Calendarize'!$L35+'Electric Calendarize'!BE$4+1))</f>
        <v/>
      </c>
      <c r="BF35" t="str">
        <f ca="1">IF(OR($L35&gt;BF$4,BF$4&gt;$L35+23),"",OFFSET(Electric!$L26,0,-'Electric Calendarize'!$L35+'Electric Calendarize'!BF$4+1))</f>
        <v/>
      </c>
      <c r="BG35" t="str">
        <f ca="1">IF(OR($L35&gt;BG$4,BG$4&gt;$L35+23),"",OFFSET(Electric!$L26,0,-'Electric Calendarize'!$L35+'Electric Calendarize'!BG$4+1))</f>
        <v/>
      </c>
      <c r="BJ35" s="10" t="s">
        <v>37</v>
      </c>
      <c r="BK35">
        <f t="shared" si="195"/>
        <v>1</v>
      </c>
      <c r="BL35">
        <f t="shared" si="100"/>
        <v>0</v>
      </c>
      <c r="BM35">
        <f t="shared" si="101"/>
        <v>0</v>
      </c>
      <c r="BN35">
        <f t="shared" si="102"/>
        <v>0</v>
      </c>
      <c r="BO35">
        <f t="shared" si="103"/>
        <v>0</v>
      </c>
      <c r="BP35">
        <f t="shared" si="104"/>
        <v>0</v>
      </c>
      <c r="BQ35">
        <f t="shared" si="105"/>
        <v>0</v>
      </c>
      <c r="BR35">
        <f t="shared" si="106"/>
        <v>1</v>
      </c>
      <c r="BS35">
        <f t="shared" si="107"/>
        <v>1</v>
      </c>
      <c r="BT35">
        <f t="shared" si="108"/>
        <v>1</v>
      </c>
      <c r="BU35">
        <f t="shared" si="109"/>
        <v>1</v>
      </c>
      <c r="BV35">
        <f t="shared" si="110"/>
        <v>1</v>
      </c>
      <c r="BW35">
        <f t="shared" si="111"/>
        <v>1</v>
      </c>
      <c r="BX35">
        <f t="shared" si="112"/>
        <v>0</v>
      </c>
      <c r="BY35">
        <f t="shared" si="113"/>
        <v>0</v>
      </c>
      <c r="BZ35">
        <f t="shared" si="114"/>
        <v>0</v>
      </c>
      <c r="CA35">
        <f t="shared" si="115"/>
        <v>0</v>
      </c>
      <c r="CB35">
        <f t="shared" si="116"/>
        <v>0</v>
      </c>
      <c r="CC35">
        <f t="shared" si="117"/>
        <v>0</v>
      </c>
      <c r="CD35">
        <f t="shared" si="118"/>
        <v>1</v>
      </c>
      <c r="CE35">
        <f t="shared" si="119"/>
        <v>1</v>
      </c>
      <c r="CF35">
        <f t="shared" si="120"/>
        <v>1</v>
      </c>
      <c r="CG35">
        <f t="shared" si="121"/>
        <v>1</v>
      </c>
      <c r="CH35">
        <f t="shared" si="122"/>
        <v>1</v>
      </c>
      <c r="CI35">
        <f t="shared" si="123"/>
        <v>1</v>
      </c>
      <c r="CJ35">
        <f t="shared" si="124"/>
        <v>0</v>
      </c>
      <c r="CK35">
        <f t="shared" si="125"/>
        <v>0</v>
      </c>
      <c r="CL35">
        <f t="shared" si="126"/>
        <v>0</v>
      </c>
      <c r="CM35">
        <f t="shared" si="127"/>
        <v>0</v>
      </c>
      <c r="CN35">
        <f t="shared" si="128"/>
        <v>0</v>
      </c>
      <c r="CO35">
        <f t="shared" si="129"/>
        <v>0</v>
      </c>
      <c r="CP35">
        <f t="shared" si="130"/>
        <v>1</v>
      </c>
      <c r="CQ35">
        <f t="shared" si="131"/>
        <v>1</v>
      </c>
      <c r="CR35">
        <f t="shared" si="132"/>
        <v>1</v>
      </c>
      <c r="CS35">
        <f t="shared" si="133"/>
        <v>1</v>
      </c>
      <c r="CT35">
        <f t="shared" si="134"/>
        <v>1</v>
      </c>
      <c r="CU35">
        <f t="shared" si="135"/>
        <v>1</v>
      </c>
      <c r="CV35">
        <f t="shared" si="136"/>
        <v>0</v>
      </c>
      <c r="CW35">
        <f t="shared" si="137"/>
        <v>0</v>
      </c>
      <c r="CX35">
        <f t="shared" si="138"/>
        <v>0</v>
      </c>
      <c r="CY35">
        <f t="shared" si="139"/>
        <v>0</v>
      </c>
      <c r="CZ35">
        <f t="shared" si="140"/>
        <v>0</v>
      </c>
      <c r="DA35">
        <f t="shared" si="141"/>
        <v>0</v>
      </c>
      <c r="DB35">
        <f t="shared" si="142"/>
        <v>1</v>
      </c>
      <c r="DC35">
        <f t="shared" si="143"/>
        <v>1</v>
      </c>
      <c r="DF35" s="10" t="s">
        <v>37</v>
      </c>
      <c r="DG35" t="str">
        <f t="shared" si="200"/>
        <v>2021_7</v>
      </c>
      <c r="DH35" t="str">
        <f t="shared" si="200"/>
        <v>2021_7</v>
      </c>
      <c r="DI35" t="str">
        <f t="shared" si="200"/>
        <v>2021_7</v>
      </c>
      <c r="DJ35" t="str">
        <f t="shared" si="200"/>
        <v>2021_7</v>
      </c>
      <c r="DK35" t="str">
        <f t="shared" si="200"/>
        <v>2021_7</v>
      </c>
      <c r="DL35" t="str">
        <f t="shared" si="200"/>
        <v>2021_7</v>
      </c>
      <c r="DM35" t="str">
        <f t="shared" si="200"/>
        <v>2021_7</v>
      </c>
      <c r="DN35" t="str">
        <f t="shared" si="200"/>
        <v>2021_7</v>
      </c>
      <c r="DO35" t="str">
        <f t="shared" si="200"/>
        <v>2021_7</v>
      </c>
      <c r="DP35" t="str">
        <f t="shared" si="200"/>
        <v>2021_7</v>
      </c>
      <c r="DQ35" t="str">
        <f t="shared" si="200"/>
        <v>2021_7</v>
      </c>
      <c r="DR35" t="str">
        <f t="shared" si="200"/>
        <v>2021_7</v>
      </c>
      <c r="DS35" t="str">
        <f t="shared" si="200"/>
        <v>2021_7</v>
      </c>
      <c r="DT35" t="str">
        <f t="shared" si="200"/>
        <v>2021_7</v>
      </c>
      <c r="DU35" t="str">
        <f t="shared" si="200"/>
        <v>2021_7</v>
      </c>
      <c r="DV35" t="str">
        <f t="shared" si="200"/>
        <v>2021_7</v>
      </c>
      <c r="DW35" t="str">
        <f t="shared" si="198"/>
        <v>2021_7</v>
      </c>
      <c r="DX35" t="str">
        <f t="shared" si="198"/>
        <v>2021_7</v>
      </c>
      <c r="DY35" t="str">
        <f t="shared" si="198"/>
        <v>2021_7</v>
      </c>
      <c r="DZ35" t="str">
        <f t="shared" si="198"/>
        <v>2021_7</v>
      </c>
      <c r="EA35" t="str">
        <f t="shared" si="198"/>
        <v>2021_7</v>
      </c>
      <c r="EB35" t="str">
        <f t="shared" si="198"/>
        <v>2021_7</v>
      </c>
      <c r="EC35" t="str">
        <f t="shared" si="198"/>
        <v>2021_7</v>
      </c>
      <c r="ED35" t="str">
        <f t="shared" si="198"/>
        <v>2021_7</v>
      </c>
      <c r="EE35" t="str">
        <f t="shared" si="198"/>
        <v>2021_7</v>
      </c>
      <c r="EF35" t="str">
        <f t="shared" si="198"/>
        <v>2021_7</v>
      </c>
      <c r="EG35" t="str">
        <f t="shared" si="198"/>
        <v>2021_7</v>
      </c>
      <c r="EH35" t="str">
        <f t="shared" si="198"/>
        <v>2021_7</v>
      </c>
      <c r="EI35" t="str">
        <f t="shared" si="198"/>
        <v>2021_7</v>
      </c>
      <c r="EJ35" t="str">
        <f t="shared" si="198"/>
        <v>2021_7</v>
      </c>
      <c r="EK35" t="str">
        <f t="shared" si="198"/>
        <v>2021_7</v>
      </c>
      <c r="EL35" t="str">
        <f t="shared" si="198"/>
        <v>2021_7</v>
      </c>
      <c r="EM35" t="str">
        <f t="shared" si="199"/>
        <v>2021_7</v>
      </c>
      <c r="EN35" t="str">
        <f t="shared" si="199"/>
        <v>2021_7</v>
      </c>
      <c r="EO35" t="str">
        <f t="shared" si="199"/>
        <v>2021_7</v>
      </c>
      <c r="EP35" t="str">
        <f t="shared" si="199"/>
        <v>2021_7</v>
      </c>
      <c r="EQ35" t="str">
        <f t="shared" si="199"/>
        <v>2021_7</v>
      </c>
      <c r="ER35" t="str">
        <f t="shared" si="199"/>
        <v>2021_7</v>
      </c>
      <c r="ES35" t="str">
        <f t="shared" si="199"/>
        <v>2021_7</v>
      </c>
      <c r="ET35" t="str">
        <f t="shared" si="199"/>
        <v>2021_7</v>
      </c>
      <c r="EU35" t="str">
        <f t="shared" si="199"/>
        <v>2021_7</v>
      </c>
      <c r="EV35" t="str">
        <f t="shared" si="199"/>
        <v>2021_7</v>
      </c>
      <c r="EW35" t="str">
        <f t="shared" si="199"/>
        <v>2021_7</v>
      </c>
      <c r="EX35" t="str">
        <f t="shared" si="199"/>
        <v>2021_7</v>
      </c>
      <c r="EY35" t="str">
        <f t="shared" si="199"/>
        <v>2021_7</v>
      </c>
      <c r="FB35" s="10" t="s">
        <v>37</v>
      </c>
      <c r="FC35">
        <f t="shared" si="197"/>
        <v>0</v>
      </c>
      <c r="FD35">
        <f t="shared" si="147"/>
        <v>0</v>
      </c>
      <c r="FE35">
        <f t="shared" si="148"/>
        <v>0</v>
      </c>
      <c r="FF35">
        <f t="shared" si="149"/>
        <v>0</v>
      </c>
      <c r="FG35">
        <f t="shared" si="150"/>
        <v>0</v>
      </c>
      <c r="FH35">
        <f t="shared" si="151"/>
        <v>0</v>
      </c>
      <c r="FI35">
        <f t="shared" si="152"/>
        <v>0</v>
      </c>
      <c r="FJ35">
        <f t="shared" si="153"/>
        <v>0</v>
      </c>
      <c r="FK35">
        <f t="shared" si="154"/>
        <v>0</v>
      </c>
      <c r="FL35">
        <f t="shared" si="155"/>
        <v>0</v>
      </c>
      <c r="FM35">
        <f t="shared" si="156"/>
        <v>0</v>
      </c>
      <c r="FN35">
        <f t="shared" si="157"/>
        <v>0</v>
      </c>
      <c r="FO35">
        <f t="shared" si="158"/>
        <v>0</v>
      </c>
      <c r="FP35">
        <f t="shared" si="159"/>
        <v>0</v>
      </c>
      <c r="FQ35">
        <f t="shared" si="160"/>
        <v>0</v>
      </c>
      <c r="FR35">
        <f t="shared" si="161"/>
        <v>1</v>
      </c>
      <c r="FS35">
        <f t="shared" si="162"/>
        <v>1</v>
      </c>
      <c r="FT35">
        <f t="shared" si="163"/>
        <v>1</v>
      </c>
      <c r="FU35">
        <f t="shared" si="164"/>
        <v>1</v>
      </c>
      <c r="FV35">
        <f t="shared" si="165"/>
        <v>1</v>
      </c>
      <c r="FW35">
        <f t="shared" si="166"/>
        <v>1</v>
      </c>
      <c r="FX35">
        <f t="shared" si="167"/>
        <v>1</v>
      </c>
      <c r="FY35">
        <f t="shared" si="168"/>
        <v>1</v>
      </c>
      <c r="FZ35">
        <f t="shared" si="169"/>
        <v>1</v>
      </c>
      <c r="GA35">
        <f t="shared" si="170"/>
        <v>1</v>
      </c>
      <c r="GB35">
        <f t="shared" si="171"/>
        <v>1</v>
      </c>
      <c r="GC35">
        <f t="shared" si="172"/>
        <v>1</v>
      </c>
      <c r="GD35">
        <f t="shared" si="173"/>
        <v>1</v>
      </c>
      <c r="GE35">
        <f t="shared" si="174"/>
        <v>1</v>
      </c>
      <c r="GF35">
        <f t="shared" si="175"/>
        <v>1</v>
      </c>
      <c r="GG35">
        <f t="shared" si="176"/>
        <v>1</v>
      </c>
      <c r="GH35">
        <f t="shared" si="177"/>
        <v>1</v>
      </c>
      <c r="GI35">
        <f t="shared" si="178"/>
        <v>1</v>
      </c>
      <c r="GJ35">
        <f t="shared" si="179"/>
        <v>1</v>
      </c>
      <c r="GK35">
        <f t="shared" si="180"/>
        <v>1</v>
      </c>
      <c r="GL35">
        <f t="shared" si="181"/>
        <v>1</v>
      </c>
      <c r="GM35">
        <f t="shared" si="182"/>
        <v>1</v>
      </c>
      <c r="GN35">
        <f t="shared" si="183"/>
        <v>1</v>
      </c>
      <c r="GO35">
        <f t="shared" si="184"/>
        <v>1</v>
      </c>
      <c r="GP35">
        <f t="shared" si="185"/>
        <v>1</v>
      </c>
      <c r="GQ35">
        <f t="shared" si="186"/>
        <v>1</v>
      </c>
      <c r="GR35">
        <f t="shared" si="187"/>
        <v>1</v>
      </c>
      <c r="GS35">
        <f t="shared" si="188"/>
        <v>1</v>
      </c>
      <c r="GT35">
        <f t="shared" si="189"/>
        <v>1</v>
      </c>
      <c r="GU35">
        <f t="shared" si="190"/>
        <v>1</v>
      </c>
      <c r="GX35" s="10"/>
    </row>
    <row r="36" spans="1:206" x14ac:dyDescent="0.3">
      <c r="A36" s="18" t="s">
        <v>33</v>
      </c>
      <c r="B36" s="80"/>
      <c r="C36" s="19">
        <v>3050616002</v>
      </c>
      <c r="D36" s="19" t="s">
        <v>372</v>
      </c>
      <c r="E36" s="19" t="s">
        <v>34</v>
      </c>
      <c r="F36" s="19" t="s">
        <v>35</v>
      </c>
      <c r="G36" s="19" t="s">
        <v>67</v>
      </c>
      <c r="H36" s="10">
        <v>44418</v>
      </c>
      <c r="I36" s="9">
        <f t="shared" si="191"/>
        <v>2021</v>
      </c>
      <c r="J36" s="9">
        <f t="shared" si="192"/>
        <v>8</v>
      </c>
      <c r="K36" s="9" t="str">
        <f t="shared" si="193"/>
        <v>2021_8</v>
      </c>
      <c r="L36">
        <f>MAX(0,VLOOKUP($K36,lookups!$A$1:$B$45,2,0)-12)</f>
        <v>4</v>
      </c>
      <c r="M36" s="40">
        <f t="shared" si="194"/>
        <v>44409</v>
      </c>
      <c r="N36" s="10" t="s">
        <v>37</v>
      </c>
      <c r="O36" t="str">
        <f ca="1">IF(OR($L36&gt;O$4,O$4&gt;$L36+23),"",OFFSET(Electric!$L27,0,-'Electric Calendarize'!$L36+'Electric Calendarize'!O$4+1))</f>
        <v/>
      </c>
      <c r="P36" t="str">
        <f ca="1">IF(OR($L36&gt;P$4,P$4&gt;$L36+23),"",OFFSET(Electric!$L27,0,-'Electric Calendarize'!$L36+'Electric Calendarize'!P$4+1))</f>
        <v/>
      </c>
      <c r="Q36" t="str">
        <f ca="1">IF(OR($L36&gt;Q$4,Q$4&gt;$L36+23),"",OFFSET(Electric!$L27,0,-'Electric Calendarize'!$L36+'Electric Calendarize'!Q$4+1))</f>
        <v/>
      </c>
      <c r="R36" t="str">
        <f ca="1">IF(OR($L36&gt;R$4,R$4&gt;$L36+23),"",OFFSET(Electric!$L27,0,-'Electric Calendarize'!$L36+'Electric Calendarize'!R$4+1))</f>
        <v/>
      </c>
      <c r="S36">
        <f ca="1">IF(OR($L36&gt;S$4,S$4&gt;$L36+23),"",OFFSET(Electric!$L27,0,-'Electric Calendarize'!$L36+'Electric Calendarize'!S$4+1))</f>
        <v>1008</v>
      </c>
      <c r="T36">
        <f ca="1">IF(OR($L36&gt;T$4,T$4&gt;$L36+23),"",OFFSET(Electric!$L27,0,-'Electric Calendarize'!$L36+'Electric Calendarize'!T$4+1))</f>
        <v>866</v>
      </c>
      <c r="U36">
        <f ca="1">IF(OR($L36&gt;U$4,U$4&gt;$L36+23),"",OFFSET(Electric!$L27,0,-'Electric Calendarize'!$L36+'Electric Calendarize'!U$4+1))</f>
        <v>527</v>
      </c>
      <c r="V36">
        <f ca="1">IF(OR($L36&gt;V$4,V$4&gt;$L36+23),"",OFFSET(Electric!$L27,0,-'Electric Calendarize'!$L36+'Electric Calendarize'!V$4+1))</f>
        <v>482</v>
      </c>
      <c r="W36">
        <f ca="1">IF(OR($L36&gt;W$4,W$4&gt;$L36+23),"",OFFSET(Electric!$L27,0,-'Electric Calendarize'!$L36+'Electric Calendarize'!W$4+1))</f>
        <v>470</v>
      </c>
      <c r="X36">
        <f ca="1">IF(OR($L36&gt;X$4,X$4&gt;$L36+23),"",OFFSET(Electric!$L27,0,-'Electric Calendarize'!$L36+'Electric Calendarize'!X$4+1))</f>
        <v>445</v>
      </c>
      <c r="Y36">
        <f ca="1">IF(OR($L36&gt;Y$4,Y$4&gt;$L36+23),"",OFFSET(Electric!$L27,0,-'Electric Calendarize'!$L36+'Electric Calendarize'!Y$4+1))</f>
        <v>404</v>
      </c>
      <c r="Z36">
        <f ca="1">IF(OR($L36&gt;Z$4,Z$4&gt;$L36+23),"",OFFSET(Electric!$L27,0,-'Electric Calendarize'!$L36+'Electric Calendarize'!Z$4+1))</f>
        <v>392</v>
      </c>
      <c r="AA36">
        <f ca="1">IF(OR($L36&gt;AA$4,AA$4&gt;$L36+23),"",OFFSET(Electric!$L27,0,-'Electric Calendarize'!$L36+'Electric Calendarize'!AA$4+1))</f>
        <v>456</v>
      </c>
      <c r="AB36">
        <f ca="1">IF(OR($L36&gt;AB$4,AB$4&gt;$L36+23),"",OFFSET(Electric!$L27,0,-'Electric Calendarize'!$L36+'Electric Calendarize'!AB$4+1))</f>
        <v>490</v>
      </c>
      <c r="AC36">
        <f ca="1">IF(OR($L36&gt;AC$4,AC$4&gt;$L36+23),"",OFFSET(Electric!$L27,0,-'Electric Calendarize'!$L36+'Electric Calendarize'!AC$4+1))</f>
        <v>609</v>
      </c>
      <c r="AD36">
        <f ca="1">IF(OR($L36&gt;AD$4,AD$4&gt;$L36+23),"",OFFSET(Electric!$L27,0,-'Electric Calendarize'!$L36+'Electric Calendarize'!AD$4+1))</f>
        <v>890</v>
      </c>
      <c r="AE36">
        <f ca="1">IF(OR($L36&gt;AE$4,AE$4&gt;$L36+23),"",OFFSET(Electric!$L27,0,-'Electric Calendarize'!$L36+'Electric Calendarize'!AE$4+1))</f>
        <v>859</v>
      </c>
      <c r="AF36">
        <f ca="1">IF(OR($L36&gt;AF$4,AF$4&gt;$L36+23),"",OFFSET(Electric!$L27,0,-'Electric Calendarize'!$L36+'Electric Calendarize'!AF$4+1))</f>
        <v>893</v>
      </c>
      <c r="AG36">
        <f ca="1">IF(OR($L36&gt;AG$4,AG$4&gt;$L36+23),"",OFFSET(Electric!$L27,0,-'Electric Calendarize'!$L36+'Electric Calendarize'!AG$4+1))</f>
        <v>651</v>
      </c>
      <c r="AH36">
        <f ca="1">IF(OR($L36&gt;AH$4,AH$4&gt;$L36+23),"",OFFSET(Electric!$L27,0,-'Electric Calendarize'!$L36+'Electric Calendarize'!AH$4+1))</f>
        <v>501</v>
      </c>
      <c r="AI36">
        <f ca="1">IF(OR($L36&gt;AI$4,AI$4&gt;$L36+23),"",OFFSET(Electric!$L27,0,-'Electric Calendarize'!$L36+'Electric Calendarize'!AI$4+1))</f>
        <v>467</v>
      </c>
      <c r="AJ36">
        <f ca="1">IF(OR($L36&gt;AJ$4,AJ$4&gt;$L36+23),"",OFFSET(Electric!$L27,0,-'Electric Calendarize'!$L36+'Electric Calendarize'!AJ$4+1))</f>
        <v>470</v>
      </c>
      <c r="AK36">
        <f ca="1">IF(OR($L36&gt;AK$4,AK$4&gt;$L36+23),"",OFFSET(Electric!$L27,0,-'Electric Calendarize'!$L36+'Electric Calendarize'!AK$4+1))</f>
        <v>430</v>
      </c>
      <c r="AL36">
        <f ca="1">IF(OR($L36&gt;AL$4,AL$4&gt;$L36+23),"",OFFSET(Electric!$L27,0,-'Electric Calendarize'!$L36+'Electric Calendarize'!AL$4+1))</f>
        <v>467</v>
      </c>
      <c r="AM36">
        <f ca="1">IF(OR($L36&gt;AM$4,AM$4&gt;$L36+23),"",OFFSET(Electric!$L27,0,-'Electric Calendarize'!$L36+'Electric Calendarize'!AM$4+1))</f>
        <v>490</v>
      </c>
      <c r="AN36">
        <f ca="1">IF(OR($L36&gt;AN$4,AN$4&gt;$L36+23),"",OFFSET(Electric!$L27,0,-'Electric Calendarize'!$L36+'Electric Calendarize'!AN$4+1))</f>
        <v>462</v>
      </c>
      <c r="AO36">
        <f ca="1">IF(OR($L36&gt;AO$4,AO$4&gt;$L36+23),"",OFFSET(Electric!$L27,0,-'Electric Calendarize'!$L36+'Electric Calendarize'!AO$4+1))</f>
        <v>802</v>
      </c>
      <c r="AP36">
        <f ca="1">IF(OR($L36&gt;AP$4,AP$4&gt;$L36+23),"",OFFSET(Electric!$L27,0,-'Electric Calendarize'!$L36+'Electric Calendarize'!AP$4+1))</f>
        <v>745</v>
      </c>
      <c r="AQ36" t="str">
        <f ca="1">IF(OR($L36&gt;AQ$4,AQ$4&gt;$L36+23),"",OFFSET(Electric!$L27,0,-'Electric Calendarize'!$L36+'Electric Calendarize'!AQ$4+1))</f>
        <v/>
      </c>
      <c r="AR36" t="str">
        <f ca="1">IF(OR($L36&gt;AR$4,AR$4&gt;$L36+23),"",OFFSET(Electric!$L27,0,-'Electric Calendarize'!$L36+'Electric Calendarize'!AR$4+1))</f>
        <v/>
      </c>
      <c r="AS36" t="str">
        <f ca="1">IF(OR($L36&gt;AS$4,AS$4&gt;$L36+23),"",OFFSET(Electric!$L27,0,-'Electric Calendarize'!$L36+'Electric Calendarize'!AS$4+1))</f>
        <v/>
      </c>
      <c r="AT36" t="str">
        <f ca="1">IF(OR($L36&gt;AT$4,AT$4&gt;$L36+23),"",OFFSET(Electric!$L27,0,-'Electric Calendarize'!$L36+'Electric Calendarize'!AT$4+1))</f>
        <v/>
      </c>
      <c r="AU36" t="str">
        <f ca="1">IF(OR($L36&gt;AU$4,AU$4&gt;$L36+23),"",OFFSET(Electric!$L27,0,-'Electric Calendarize'!$L36+'Electric Calendarize'!AU$4+1))</f>
        <v/>
      </c>
      <c r="AV36" t="str">
        <f ca="1">IF(OR($L36&gt;AV$4,AV$4&gt;$L36+23),"",OFFSET(Electric!$L27,0,-'Electric Calendarize'!$L36+'Electric Calendarize'!AV$4+1))</f>
        <v/>
      </c>
      <c r="AW36" t="str">
        <f ca="1">IF(OR($L36&gt;AW$4,AW$4&gt;$L36+23),"",OFFSET(Electric!$L27,0,-'Electric Calendarize'!$L36+'Electric Calendarize'!AW$4+1))</f>
        <v/>
      </c>
      <c r="AX36" t="str">
        <f ca="1">IF(OR($L36&gt;AX$4,AX$4&gt;$L36+23),"",OFFSET(Electric!$L27,0,-'Electric Calendarize'!$L36+'Electric Calendarize'!AX$4+1))</f>
        <v/>
      </c>
      <c r="AY36" t="str">
        <f ca="1">IF(OR($L36&gt;AY$4,AY$4&gt;$L36+23),"",OFFSET(Electric!$L27,0,-'Electric Calendarize'!$L36+'Electric Calendarize'!AY$4+1))</f>
        <v/>
      </c>
      <c r="AZ36" t="str">
        <f ca="1">IF(OR($L36&gt;AZ$4,AZ$4&gt;$L36+23),"",OFFSET(Electric!$L27,0,-'Electric Calendarize'!$L36+'Electric Calendarize'!AZ$4+1))</f>
        <v/>
      </c>
      <c r="BA36" t="str">
        <f ca="1">IF(OR($L36&gt;BA$4,BA$4&gt;$L36+23),"",OFFSET(Electric!$L27,0,-'Electric Calendarize'!$L36+'Electric Calendarize'!BA$4+1))</f>
        <v/>
      </c>
      <c r="BB36" t="str">
        <f ca="1">IF(OR($L36&gt;BB$4,BB$4&gt;$L36+23),"",OFFSET(Electric!$L27,0,-'Electric Calendarize'!$L36+'Electric Calendarize'!BB$4+1))</f>
        <v/>
      </c>
      <c r="BC36" t="str">
        <f ca="1">IF(OR($L36&gt;BC$4,BC$4&gt;$L36+23),"",OFFSET(Electric!$L27,0,-'Electric Calendarize'!$L36+'Electric Calendarize'!BC$4+1))</f>
        <v/>
      </c>
      <c r="BD36" t="str">
        <f ca="1">IF(OR($L36&gt;BD$4,BD$4&gt;$L36+23),"",OFFSET(Electric!$L27,0,-'Electric Calendarize'!$L36+'Electric Calendarize'!BD$4+1))</f>
        <v/>
      </c>
      <c r="BE36" t="str">
        <f ca="1">IF(OR($L36&gt;BE$4,BE$4&gt;$L36+23),"",OFFSET(Electric!$L27,0,-'Electric Calendarize'!$L36+'Electric Calendarize'!BE$4+1))</f>
        <v/>
      </c>
      <c r="BF36" t="str">
        <f ca="1">IF(OR($L36&gt;BF$4,BF$4&gt;$L36+23),"",OFFSET(Electric!$L27,0,-'Electric Calendarize'!$L36+'Electric Calendarize'!BF$4+1))</f>
        <v/>
      </c>
      <c r="BG36" t="str">
        <f ca="1">IF(OR($L36&gt;BG$4,BG$4&gt;$L36+23),"",OFFSET(Electric!$L27,0,-'Electric Calendarize'!$L36+'Electric Calendarize'!BG$4+1))</f>
        <v/>
      </c>
      <c r="BJ36" s="10" t="s">
        <v>37</v>
      </c>
      <c r="BK36">
        <f t="shared" si="195"/>
        <v>1</v>
      </c>
      <c r="BL36">
        <f t="shared" si="100"/>
        <v>0</v>
      </c>
      <c r="BM36">
        <f t="shared" si="101"/>
        <v>0</v>
      </c>
      <c r="BN36">
        <f t="shared" si="102"/>
        <v>0</v>
      </c>
      <c r="BO36">
        <f t="shared" si="103"/>
        <v>0</v>
      </c>
      <c r="BP36">
        <f t="shared" si="104"/>
        <v>0</v>
      </c>
      <c r="BQ36">
        <f t="shared" si="105"/>
        <v>0</v>
      </c>
      <c r="BR36">
        <f t="shared" si="106"/>
        <v>1</v>
      </c>
      <c r="BS36">
        <f t="shared" si="107"/>
        <v>1</v>
      </c>
      <c r="BT36">
        <f t="shared" si="108"/>
        <v>1</v>
      </c>
      <c r="BU36">
        <f t="shared" si="109"/>
        <v>1</v>
      </c>
      <c r="BV36">
        <f t="shared" si="110"/>
        <v>1</v>
      </c>
      <c r="BW36">
        <f t="shared" si="111"/>
        <v>1</v>
      </c>
      <c r="BX36">
        <f t="shared" si="112"/>
        <v>0</v>
      </c>
      <c r="BY36">
        <f t="shared" si="113"/>
        <v>0</v>
      </c>
      <c r="BZ36">
        <f t="shared" si="114"/>
        <v>0</v>
      </c>
      <c r="CA36">
        <f t="shared" si="115"/>
        <v>0</v>
      </c>
      <c r="CB36">
        <f t="shared" si="116"/>
        <v>0</v>
      </c>
      <c r="CC36">
        <f t="shared" si="117"/>
        <v>0</v>
      </c>
      <c r="CD36">
        <f t="shared" si="118"/>
        <v>1</v>
      </c>
      <c r="CE36">
        <f t="shared" si="119"/>
        <v>1</v>
      </c>
      <c r="CF36">
        <f t="shared" si="120"/>
        <v>1</v>
      </c>
      <c r="CG36">
        <f t="shared" si="121"/>
        <v>1</v>
      </c>
      <c r="CH36">
        <f t="shared" si="122"/>
        <v>1</v>
      </c>
      <c r="CI36">
        <f t="shared" si="123"/>
        <v>1</v>
      </c>
      <c r="CJ36">
        <f t="shared" si="124"/>
        <v>0</v>
      </c>
      <c r="CK36">
        <f t="shared" si="125"/>
        <v>0</v>
      </c>
      <c r="CL36">
        <f t="shared" si="126"/>
        <v>0</v>
      </c>
      <c r="CM36">
        <f t="shared" si="127"/>
        <v>0</v>
      </c>
      <c r="CN36">
        <f t="shared" si="128"/>
        <v>0</v>
      </c>
      <c r="CO36">
        <f t="shared" si="129"/>
        <v>0</v>
      </c>
      <c r="CP36">
        <f t="shared" si="130"/>
        <v>1</v>
      </c>
      <c r="CQ36">
        <f t="shared" si="131"/>
        <v>1</v>
      </c>
      <c r="CR36">
        <f t="shared" si="132"/>
        <v>1</v>
      </c>
      <c r="CS36">
        <f t="shared" si="133"/>
        <v>1</v>
      </c>
      <c r="CT36">
        <f t="shared" si="134"/>
        <v>1</v>
      </c>
      <c r="CU36">
        <f t="shared" si="135"/>
        <v>1</v>
      </c>
      <c r="CV36">
        <f t="shared" si="136"/>
        <v>0</v>
      </c>
      <c r="CW36">
        <f t="shared" si="137"/>
        <v>0</v>
      </c>
      <c r="CX36">
        <f t="shared" si="138"/>
        <v>0</v>
      </c>
      <c r="CY36">
        <f t="shared" si="139"/>
        <v>0</v>
      </c>
      <c r="CZ36">
        <f t="shared" si="140"/>
        <v>0</v>
      </c>
      <c r="DA36">
        <f t="shared" si="141"/>
        <v>0</v>
      </c>
      <c r="DB36">
        <f t="shared" si="142"/>
        <v>1</v>
      </c>
      <c r="DC36">
        <f t="shared" si="143"/>
        <v>1</v>
      </c>
      <c r="DF36" s="10" t="s">
        <v>37</v>
      </c>
      <c r="DG36" t="str">
        <f t="shared" si="200"/>
        <v>2021_8</v>
      </c>
      <c r="DH36" t="str">
        <f t="shared" si="200"/>
        <v>2021_8</v>
      </c>
      <c r="DI36" t="str">
        <f t="shared" si="200"/>
        <v>2021_8</v>
      </c>
      <c r="DJ36" t="str">
        <f t="shared" si="200"/>
        <v>2021_8</v>
      </c>
      <c r="DK36" t="str">
        <f t="shared" si="200"/>
        <v>2021_8</v>
      </c>
      <c r="DL36" t="str">
        <f t="shared" si="200"/>
        <v>2021_8</v>
      </c>
      <c r="DM36" t="str">
        <f t="shared" si="200"/>
        <v>2021_8</v>
      </c>
      <c r="DN36" t="str">
        <f t="shared" si="200"/>
        <v>2021_8</v>
      </c>
      <c r="DO36" t="str">
        <f t="shared" si="200"/>
        <v>2021_8</v>
      </c>
      <c r="DP36" t="str">
        <f t="shared" si="200"/>
        <v>2021_8</v>
      </c>
      <c r="DQ36" t="str">
        <f t="shared" si="200"/>
        <v>2021_8</v>
      </c>
      <c r="DR36" t="str">
        <f t="shared" si="200"/>
        <v>2021_8</v>
      </c>
      <c r="DS36" t="str">
        <f t="shared" si="200"/>
        <v>2021_8</v>
      </c>
      <c r="DT36" t="str">
        <f t="shared" si="200"/>
        <v>2021_8</v>
      </c>
      <c r="DU36" t="str">
        <f t="shared" si="200"/>
        <v>2021_8</v>
      </c>
      <c r="DV36" t="str">
        <f t="shared" si="200"/>
        <v>2021_8</v>
      </c>
      <c r="DW36" t="str">
        <f t="shared" si="198"/>
        <v>2021_8</v>
      </c>
      <c r="DX36" t="str">
        <f t="shared" si="198"/>
        <v>2021_8</v>
      </c>
      <c r="DY36" t="str">
        <f t="shared" si="198"/>
        <v>2021_8</v>
      </c>
      <c r="DZ36" t="str">
        <f t="shared" si="198"/>
        <v>2021_8</v>
      </c>
      <c r="EA36" t="str">
        <f t="shared" si="198"/>
        <v>2021_8</v>
      </c>
      <c r="EB36" t="str">
        <f t="shared" si="198"/>
        <v>2021_8</v>
      </c>
      <c r="EC36" t="str">
        <f t="shared" si="198"/>
        <v>2021_8</v>
      </c>
      <c r="ED36" t="str">
        <f t="shared" si="198"/>
        <v>2021_8</v>
      </c>
      <c r="EE36" t="str">
        <f t="shared" si="198"/>
        <v>2021_8</v>
      </c>
      <c r="EF36" t="str">
        <f t="shared" si="198"/>
        <v>2021_8</v>
      </c>
      <c r="EG36" t="str">
        <f t="shared" si="198"/>
        <v>2021_8</v>
      </c>
      <c r="EH36" t="str">
        <f t="shared" si="198"/>
        <v>2021_8</v>
      </c>
      <c r="EI36" t="str">
        <f t="shared" si="198"/>
        <v>2021_8</v>
      </c>
      <c r="EJ36" t="str">
        <f t="shared" si="198"/>
        <v>2021_8</v>
      </c>
      <c r="EK36" t="str">
        <f t="shared" si="198"/>
        <v>2021_8</v>
      </c>
      <c r="EL36" t="str">
        <f t="shared" si="198"/>
        <v>2021_8</v>
      </c>
      <c r="EM36" t="str">
        <f t="shared" si="199"/>
        <v>2021_8</v>
      </c>
      <c r="EN36" t="str">
        <f t="shared" si="199"/>
        <v>2021_8</v>
      </c>
      <c r="EO36" t="str">
        <f t="shared" si="199"/>
        <v>2021_8</v>
      </c>
      <c r="EP36" t="str">
        <f t="shared" si="199"/>
        <v>2021_8</v>
      </c>
      <c r="EQ36" t="str">
        <f t="shared" si="199"/>
        <v>2021_8</v>
      </c>
      <c r="ER36" t="str">
        <f t="shared" si="199"/>
        <v>2021_8</v>
      </c>
      <c r="ES36" t="str">
        <f t="shared" si="199"/>
        <v>2021_8</v>
      </c>
      <c r="ET36" t="str">
        <f t="shared" si="199"/>
        <v>2021_8</v>
      </c>
      <c r="EU36" t="str">
        <f t="shared" si="199"/>
        <v>2021_8</v>
      </c>
      <c r="EV36" t="str">
        <f t="shared" si="199"/>
        <v>2021_8</v>
      </c>
      <c r="EW36" t="str">
        <f t="shared" si="199"/>
        <v>2021_8</v>
      </c>
      <c r="EX36" t="str">
        <f t="shared" si="199"/>
        <v>2021_8</v>
      </c>
      <c r="EY36" t="str">
        <f t="shared" si="199"/>
        <v>2021_8</v>
      </c>
      <c r="FB36" s="10" t="s">
        <v>37</v>
      </c>
      <c r="FC36">
        <f t="shared" si="197"/>
        <v>0</v>
      </c>
      <c r="FD36">
        <f t="shared" si="147"/>
        <v>0</v>
      </c>
      <c r="FE36">
        <f t="shared" si="148"/>
        <v>0</v>
      </c>
      <c r="FF36">
        <f t="shared" si="149"/>
        <v>0</v>
      </c>
      <c r="FG36">
        <f t="shared" si="150"/>
        <v>0</v>
      </c>
      <c r="FH36">
        <f t="shared" si="151"/>
        <v>0</v>
      </c>
      <c r="FI36">
        <f t="shared" si="152"/>
        <v>0</v>
      </c>
      <c r="FJ36">
        <f t="shared" si="153"/>
        <v>0</v>
      </c>
      <c r="FK36">
        <f t="shared" si="154"/>
        <v>0</v>
      </c>
      <c r="FL36">
        <f t="shared" si="155"/>
        <v>0</v>
      </c>
      <c r="FM36">
        <f t="shared" si="156"/>
        <v>0</v>
      </c>
      <c r="FN36">
        <f t="shared" si="157"/>
        <v>0</v>
      </c>
      <c r="FO36">
        <f t="shared" si="158"/>
        <v>0</v>
      </c>
      <c r="FP36">
        <f t="shared" si="159"/>
        <v>0</v>
      </c>
      <c r="FQ36">
        <f t="shared" si="160"/>
        <v>0</v>
      </c>
      <c r="FR36">
        <f t="shared" si="161"/>
        <v>0</v>
      </c>
      <c r="FS36">
        <f t="shared" si="162"/>
        <v>1</v>
      </c>
      <c r="FT36">
        <f t="shared" si="163"/>
        <v>1</v>
      </c>
      <c r="FU36">
        <f t="shared" si="164"/>
        <v>1</v>
      </c>
      <c r="FV36">
        <f t="shared" si="165"/>
        <v>1</v>
      </c>
      <c r="FW36">
        <f t="shared" si="166"/>
        <v>1</v>
      </c>
      <c r="FX36">
        <f t="shared" si="167"/>
        <v>1</v>
      </c>
      <c r="FY36">
        <f t="shared" si="168"/>
        <v>1</v>
      </c>
      <c r="FZ36">
        <f t="shared" si="169"/>
        <v>1</v>
      </c>
      <c r="GA36">
        <f t="shared" si="170"/>
        <v>1</v>
      </c>
      <c r="GB36">
        <f t="shared" si="171"/>
        <v>1</v>
      </c>
      <c r="GC36">
        <f t="shared" si="172"/>
        <v>1</v>
      </c>
      <c r="GD36">
        <f t="shared" si="173"/>
        <v>1</v>
      </c>
      <c r="GE36">
        <f t="shared" si="174"/>
        <v>1</v>
      </c>
      <c r="GF36">
        <f t="shared" si="175"/>
        <v>1</v>
      </c>
      <c r="GG36">
        <f t="shared" si="176"/>
        <v>1</v>
      </c>
      <c r="GH36">
        <f t="shared" si="177"/>
        <v>1</v>
      </c>
      <c r="GI36">
        <f t="shared" si="178"/>
        <v>1</v>
      </c>
      <c r="GJ36">
        <f t="shared" si="179"/>
        <v>1</v>
      </c>
      <c r="GK36">
        <f t="shared" si="180"/>
        <v>1</v>
      </c>
      <c r="GL36">
        <f t="shared" si="181"/>
        <v>1</v>
      </c>
      <c r="GM36">
        <f t="shared" si="182"/>
        <v>1</v>
      </c>
      <c r="GN36">
        <f t="shared" si="183"/>
        <v>1</v>
      </c>
      <c r="GO36">
        <f t="shared" si="184"/>
        <v>1</v>
      </c>
      <c r="GP36">
        <f t="shared" si="185"/>
        <v>1</v>
      </c>
      <c r="GQ36">
        <f t="shared" si="186"/>
        <v>1</v>
      </c>
      <c r="GR36">
        <f t="shared" si="187"/>
        <v>1</v>
      </c>
      <c r="GS36">
        <f t="shared" si="188"/>
        <v>1</v>
      </c>
      <c r="GT36">
        <f t="shared" si="189"/>
        <v>1</v>
      </c>
      <c r="GU36">
        <f t="shared" si="190"/>
        <v>1</v>
      </c>
      <c r="GX36" s="10"/>
    </row>
    <row r="37" spans="1:206" x14ac:dyDescent="0.3">
      <c r="A37" s="9" t="s">
        <v>55</v>
      </c>
      <c r="B37" s="80"/>
      <c r="C37" s="9">
        <v>3062480000</v>
      </c>
      <c r="D37" s="9" t="s">
        <v>373</v>
      </c>
      <c r="E37" s="9" t="s">
        <v>34</v>
      </c>
      <c r="F37" s="9" t="s">
        <v>35</v>
      </c>
      <c r="G37" s="9" t="s">
        <v>68</v>
      </c>
      <c r="H37" s="10">
        <v>44420</v>
      </c>
      <c r="I37" s="9">
        <f t="shared" si="191"/>
        <v>2021</v>
      </c>
      <c r="J37" s="9">
        <f t="shared" si="192"/>
        <v>8</v>
      </c>
      <c r="K37" s="9" t="str">
        <f t="shared" si="193"/>
        <v>2021_8</v>
      </c>
      <c r="L37">
        <f>MAX(0,VLOOKUP($K37,lookups!$A$1:$B$45,2,0)-12)</f>
        <v>4</v>
      </c>
      <c r="M37" s="40">
        <f t="shared" si="194"/>
        <v>44409</v>
      </c>
      <c r="N37" s="10" t="s">
        <v>37</v>
      </c>
      <c r="O37" t="str">
        <f ca="1">IF(OR($L37&gt;O$4,O$4&gt;$L37+23),"",OFFSET(Electric!$L28,0,-'Electric Calendarize'!$L37+'Electric Calendarize'!O$4+1))</f>
        <v/>
      </c>
      <c r="P37" t="str">
        <f ca="1">IF(OR($L37&gt;P$4,P$4&gt;$L37+23),"",OFFSET(Electric!$L28,0,-'Electric Calendarize'!$L37+'Electric Calendarize'!P$4+1))</f>
        <v/>
      </c>
      <c r="Q37" t="str">
        <f ca="1">IF(OR($L37&gt;Q$4,Q$4&gt;$L37+23),"",OFFSET(Electric!$L28,0,-'Electric Calendarize'!$L37+'Electric Calendarize'!Q$4+1))</f>
        <v/>
      </c>
      <c r="R37" t="str">
        <f ca="1">IF(OR($L37&gt;R$4,R$4&gt;$L37+23),"",OFFSET(Electric!$L28,0,-'Electric Calendarize'!$L37+'Electric Calendarize'!R$4+1))</f>
        <v/>
      </c>
      <c r="S37">
        <f ca="1">IF(OR($L37&gt;S$4,S$4&gt;$L37+23),"",OFFSET(Electric!$L28,0,-'Electric Calendarize'!$L37+'Electric Calendarize'!S$4+1))</f>
        <v>1880</v>
      </c>
      <c r="T37">
        <f ca="1">IF(OR($L37&gt;T$4,T$4&gt;$L37+23),"",OFFSET(Electric!$L28,0,-'Electric Calendarize'!$L37+'Electric Calendarize'!T$4+1))</f>
        <v>2009</v>
      </c>
      <c r="U37">
        <f ca="1">IF(OR($L37&gt;U$4,U$4&gt;$L37+23),"",OFFSET(Electric!$L28,0,-'Electric Calendarize'!$L37+'Electric Calendarize'!U$4+1))</f>
        <v>1005</v>
      </c>
      <c r="V37">
        <f ca="1">IF(OR($L37&gt;V$4,V$4&gt;$L37+23),"",OFFSET(Electric!$L28,0,-'Electric Calendarize'!$L37+'Electric Calendarize'!V$4+1))</f>
        <v>945</v>
      </c>
      <c r="W37">
        <f ca="1">IF(OR($L37&gt;W$4,W$4&gt;$L37+23),"",OFFSET(Electric!$L28,0,-'Electric Calendarize'!$L37+'Electric Calendarize'!W$4+1))</f>
        <v>1209</v>
      </c>
      <c r="X37">
        <f ca="1">IF(OR($L37&gt;X$4,X$4&gt;$L37+23),"",OFFSET(Electric!$L28,0,-'Electric Calendarize'!$L37+'Electric Calendarize'!X$4+1))</f>
        <v>1421</v>
      </c>
      <c r="Y37">
        <f ca="1">IF(OR($L37&gt;Y$4,Y$4&gt;$L37+23),"",OFFSET(Electric!$L28,0,-'Electric Calendarize'!$L37+'Electric Calendarize'!Y$4+1))</f>
        <v>1334</v>
      </c>
      <c r="Z37">
        <f ca="1">IF(OR($L37&gt;Z$4,Z$4&gt;$L37+23),"",OFFSET(Electric!$L28,0,-'Electric Calendarize'!$L37+'Electric Calendarize'!Z$4+1))</f>
        <v>1421</v>
      </c>
      <c r="AA37">
        <f ca="1">IF(OR($L37&gt;AA$4,AA$4&gt;$L37+23),"",OFFSET(Electric!$L28,0,-'Electric Calendarize'!$L37+'Electric Calendarize'!AA$4+1))</f>
        <v>997</v>
      </c>
      <c r="AB37">
        <f ca="1">IF(OR($L37&gt;AB$4,AB$4&gt;$L37+23),"",OFFSET(Electric!$L28,0,-'Electric Calendarize'!$L37+'Electric Calendarize'!AB$4+1))</f>
        <v>836</v>
      </c>
      <c r="AC37">
        <f ca="1">IF(OR($L37&gt;AC$4,AC$4&gt;$L37+23),"",OFFSET(Electric!$L28,0,-'Electric Calendarize'!$L37+'Electric Calendarize'!AC$4+1))</f>
        <v>1551</v>
      </c>
      <c r="AD37">
        <f ca="1">IF(OR($L37&gt;AD$4,AD$4&gt;$L37+23),"",OFFSET(Electric!$L28,0,-'Electric Calendarize'!$L37+'Electric Calendarize'!AD$4+1))</f>
        <v>1629</v>
      </c>
      <c r="AE37">
        <f ca="1">IF(OR($L37&gt;AE$4,AE$4&gt;$L37+23),"",OFFSET(Electric!$L28,0,-'Electric Calendarize'!$L37+'Electric Calendarize'!AE$4+1))</f>
        <v>1601</v>
      </c>
      <c r="AF37">
        <f ca="1">IF(OR($L37&gt;AF$4,AF$4&gt;$L37+23),"",OFFSET(Electric!$L28,0,-'Electric Calendarize'!$L37+'Electric Calendarize'!AF$4+1))</f>
        <v>1804</v>
      </c>
      <c r="AG37">
        <f ca="1">IF(OR($L37&gt;AG$4,AG$4&gt;$L37+23),"",OFFSET(Electric!$L28,0,-'Electric Calendarize'!$L37+'Electric Calendarize'!AG$4+1))</f>
        <v>1092</v>
      </c>
      <c r="AH37">
        <f ca="1">IF(OR($L37&gt;AH$4,AH$4&gt;$L37+23),"",OFFSET(Electric!$L28,0,-'Electric Calendarize'!$L37+'Electric Calendarize'!AH$4+1))</f>
        <v>668</v>
      </c>
      <c r="AI37">
        <f ca="1">IF(OR($L37&gt;AI$4,AI$4&gt;$L37+23),"",OFFSET(Electric!$L28,0,-'Electric Calendarize'!$L37+'Electric Calendarize'!AI$4+1))</f>
        <v>1079</v>
      </c>
      <c r="AJ37">
        <f ca="1">IF(OR($L37&gt;AJ$4,AJ$4&gt;$L37+23),"",OFFSET(Electric!$L28,0,-'Electric Calendarize'!$L37+'Electric Calendarize'!AJ$4+1))</f>
        <v>1304</v>
      </c>
      <c r="AK37">
        <f ca="1">IF(OR($L37&gt;AK$4,AK$4&gt;$L37+23),"",OFFSET(Electric!$L28,0,-'Electric Calendarize'!$L37+'Electric Calendarize'!AK$4+1))</f>
        <v>1111</v>
      </c>
      <c r="AL37">
        <f ca="1">IF(OR($L37&gt;AL$4,AL$4&gt;$L37+23),"",OFFSET(Electric!$L28,0,-'Electric Calendarize'!$L37+'Electric Calendarize'!AL$4+1))</f>
        <v>1156</v>
      </c>
      <c r="AM37">
        <f ca="1">IF(OR($L37&gt;AM$4,AM$4&gt;$L37+23),"",OFFSET(Electric!$L28,0,-'Electric Calendarize'!$L37+'Electric Calendarize'!AM$4+1))</f>
        <v>895</v>
      </c>
      <c r="AN37">
        <f ca="1">IF(OR($L37&gt;AN$4,AN$4&gt;$L37+23),"",OFFSET(Electric!$L28,0,-'Electric Calendarize'!$L37+'Electric Calendarize'!AN$4+1))</f>
        <v>903</v>
      </c>
      <c r="AO37">
        <f ca="1">IF(OR($L37&gt;AO$4,AO$4&gt;$L37+23),"",OFFSET(Electric!$L28,0,-'Electric Calendarize'!$L37+'Electric Calendarize'!AO$4+1))</f>
        <v>1495</v>
      </c>
      <c r="AP37">
        <f ca="1">IF(OR($L37&gt;AP$4,AP$4&gt;$L37+23),"",OFFSET(Electric!$L28,0,-'Electric Calendarize'!$L37+'Electric Calendarize'!AP$4+1))</f>
        <v>1636</v>
      </c>
      <c r="AQ37" t="str">
        <f ca="1">IF(OR($L37&gt;AQ$4,AQ$4&gt;$L37+23),"",OFFSET(Electric!$L28,0,-'Electric Calendarize'!$L37+'Electric Calendarize'!AQ$4+1))</f>
        <v/>
      </c>
      <c r="AR37" t="str">
        <f ca="1">IF(OR($L37&gt;AR$4,AR$4&gt;$L37+23),"",OFFSET(Electric!$L28,0,-'Electric Calendarize'!$L37+'Electric Calendarize'!AR$4+1))</f>
        <v/>
      </c>
      <c r="AS37" t="str">
        <f ca="1">IF(OR($L37&gt;AS$4,AS$4&gt;$L37+23),"",OFFSET(Electric!$L28,0,-'Electric Calendarize'!$L37+'Electric Calendarize'!AS$4+1))</f>
        <v/>
      </c>
      <c r="AT37" t="str">
        <f ca="1">IF(OR($L37&gt;AT$4,AT$4&gt;$L37+23),"",OFFSET(Electric!$L28,0,-'Electric Calendarize'!$L37+'Electric Calendarize'!AT$4+1))</f>
        <v/>
      </c>
      <c r="AU37" t="str">
        <f ca="1">IF(OR($L37&gt;AU$4,AU$4&gt;$L37+23),"",OFFSET(Electric!$L28,0,-'Electric Calendarize'!$L37+'Electric Calendarize'!AU$4+1))</f>
        <v/>
      </c>
      <c r="AV37" t="str">
        <f ca="1">IF(OR($L37&gt;AV$4,AV$4&gt;$L37+23),"",OFFSET(Electric!$L28,0,-'Electric Calendarize'!$L37+'Electric Calendarize'!AV$4+1))</f>
        <v/>
      </c>
      <c r="AW37" t="str">
        <f ca="1">IF(OR($L37&gt;AW$4,AW$4&gt;$L37+23),"",OFFSET(Electric!$L28,0,-'Electric Calendarize'!$L37+'Electric Calendarize'!AW$4+1))</f>
        <v/>
      </c>
      <c r="AX37" t="str">
        <f ca="1">IF(OR($L37&gt;AX$4,AX$4&gt;$L37+23),"",OFFSET(Electric!$L28,0,-'Electric Calendarize'!$L37+'Electric Calendarize'!AX$4+1))</f>
        <v/>
      </c>
      <c r="AY37" t="str">
        <f ca="1">IF(OR($L37&gt;AY$4,AY$4&gt;$L37+23),"",OFFSET(Electric!$L28,0,-'Electric Calendarize'!$L37+'Electric Calendarize'!AY$4+1))</f>
        <v/>
      </c>
      <c r="AZ37" t="str">
        <f ca="1">IF(OR($L37&gt;AZ$4,AZ$4&gt;$L37+23),"",OFFSET(Electric!$L28,0,-'Electric Calendarize'!$L37+'Electric Calendarize'!AZ$4+1))</f>
        <v/>
      </c>
      <c r="BA37" t="str">
        <f ca="1">IF(OR($L37&gt;BA$4,BA$4&gt;$L37+23),"",OFFSET(Electric!$L28,0,-'Electric Calendarize'!$L37+'Electric Calendarize'!BA$4+1))</f>
        <v/>
      </c>
      <c r="BB37" t="str">
        <f ca="1">IF(OR($L37&gt;BB$4,BB$4&gt;$L37+23),"",OFFSET(Electric!$L28,0,-'Electric Calendarize'!$L37+'Electric Calendarize'!BB$4+1))</f>
        <v/>
      </c>
      <c r="BC37" t="str">
        <f ca="1">IF(OR($L37&gt;BC$4,BC$4&gt;$L37+23),"",OFFSET(Electric!$L28,0,-'Electric Calendarize'!$L37+'Electric Calendarize'!BC$4+1))</f>
        <v/>
      </c>
      <c r="BD37" t="str">
        <f ca="1">IF(OR($L37&gt;BD$4,BD$4&gt;$L37+23),"",OFFSET(Electric!$L28,0,-'Electric Calendarize'!$L37+'Electric Calendarize'!BD$4+1))</f>
        <v/>
      </c>
      <c r="BE37" t="str">
        <f ca="1">IF(OR($L37&gt;BE$4,BE$4&gt;$L37+23),"",OFFSET(Electric!$L28,0,-'Electric Calendarize'!$L37+'Electric Calendarize'!BE$4+1))</f>
        <v/>
      </c>
      <c r="BF37" t="str">
        <f ca="1">IF(OR($L37&gt;BF$4,BF$4&gt;$L37+23),"",OFFSET(Electric!$L28,0,-'Electric Calendarize'!$L37+'Electric Calendarize'!BF$4+1))</f>
        <v/>
      </c>
      <c r="BG37" t="str">
        <f ca="1">IF(OR($L37&gt;BG$4,BG$4&gt;$L37+23),"",OFFSET(Electric!$L28,0,-'Electric Calendarize'!$L37+'Electric Calendarize'!BG$4+1))</f>
        <v/>
      </c>
      <c r="BJ37" s="10" t="s">
        <v>37</v>
      </c>
      <c r="BK37">
        <f t="shared" si="195"/>
        <v>1</v>
      </c>
      <c r="BL37">
        <f t="shared" si="100"/>
        <v>0</v>
      </c>
      <c r="BM37">
        <f t="shared" si="101"/>
        <v>0</v>
      </c>
      <c r="BN37">
        <f t="shared" si="102"/>
        <v>0</v>
      </c>
      <c r="BO37">
        <f t="shared" si="103"/>
        <v>0</v>
      </c>
      <c r="BP37">
        <f t="shared" si="104"/>
        <v>0</v>
      </c>
      <c r="BQ37">
        <f t="shared" si="105"/>
        <v>0</v>
      </c>
      <c r="BR37">
        <f t="shared" si="106"/>
        <v>1</v>
      </c>
      <c r="BS37">
        <f t="shared" si="107"/>
        <v>1</v>
      </c>
      <c r="BT37">
        <f t="shared" si="108"/>
        <v>1</v>
      </c>
      <c r="BU37">
        <f t="shared" si="109"/>
        <v>1</v>
      </c>
      <c r="BV37">
        <f t="shared" si="110"/>
        <v>1</v>
      </c>
      <c r="BW37">
        <f t="shared" si="111"/>
        <v>1</v>
      </c>
      <c r="BX37">
        <f t="shared" si="112"/>
        <v>0</v>
      </c>
      <c r="BY37">
        <f t="shared" si="113"/>
        <v>0</v>
      </c>
      <c r="BZ37">
        <f t="shared" si="114"/>
        <v>0</v>
      </c>
      <c r="CA37">
        <f t="shared" si="115"/>
        <v>0</v>
      </c>
      <c r="CB37">
        <f t="shared" si="116"/>
        <v>0</v>
      </c>
      <c r="CC37">
        <f t="shared" si="117"/>
        <v>0</v>
      </c>
      <c r="CD37">
        <f t="shared" si="118"/>
        <v>1</v>
      </c>
      <c r="CE37">
        <f t="shared" si="119"/>
        <v>1</v>
      </c>
      <c r="CF37">
        <f t="shared" si="120"/>
        <v>1</v>
      </c>
      <c r="CG37">
        <f t="shared" si="121"/>
        <v>1</v>
      </c>
      <c r="CH37">
        <f t="shared" si="122"/>
        <v>1</v>
      </c>
      <c r="CI37">
        <f t="shared" si="123"/>
        <v>1</v>
      </c>
      <c r="CJ37">
        <f t="shared" si="124"/>
        <v>0</v>
      </c>
      <c r="CK37">
        <f t="shared" si="125"/>
        <v>0</v>
      </c>
      <c r="CL37">
        <f t="shared" si="126"/>
        <v>0</v>
      </c>
      <c r="CM37">
        <f t="shared" si="127"/>
        <v>0</v>
      </c>
      <c r="CN37">
        <f t="shared" si="128"/>
        <v>0</v>
      </c>
      <c r="CO37">
        <f t="shared" si="129"/>
        <v>0</v>
      </c>
      <c r="CP37">
        <f t="shared" si="130"/>
        <v>1</v>
      </c>
      <c r="CQ37">
        <f t="shared" si="131"/>
        <v>1</v>
      </c>
      <c r="CR37">
        <f t="shared" si="132"/>
        <v>1</v>
      </c>
      <c r="CS37">
        <f t="shared" si="133"/>
        <v>1</v>
      </c>
      <c r="CT37">
        <f t="shared" si="134"/>
        <v>1</v>
      </c>
      <c r="CU37">
        <f t="shared" si="135"/>
        <v>1</v>
      </c>
      <c r="CV37">
        <f t="shared" si="136"/>
        <v>0</v>
      </c>
      <c r="CW37">
        <f t="shared" si="137"/>
        <v>0</v>
      </c>
      <c r="CX37">
        <f t="shared" si="138"/>
        <v>0</v>
      </c>
      <c r="CY37">
        <f t="shared" si="139"/>
        <v>0</v>
      </c>
      <c r="CZ37">
        <f t="shared" si="140"/>
        <v>0</v>
      </c>
      <c r="DA37">
        <f t="shared" si="141"/>
        <v>0</v>
      </c>
      <c r="DB37">
        <f t="shared" si="142"/>
        <v>1</v>
      </c>
      <c r="DC37">
        <f t="shared" si="143"/>
        <v>1</v>
      </c>
      <c r="DF37" s="10" t="s">
        <v>37</v>
      </c>
      <c r="DG37" t="str">
        <f t="shared" si="200"/>
        <v>2021_8</v>
      </c>
      <c r="DH37" t="str">
        <f t="shared" si="200"/>
        <v>2021_8</v>
      </c>
      <c r="DI37" t="str">
        <f t="shared" si="200"/>
        <v>2021_8</v>
      </c>
      <c r="DJ37" t="str">
        <f t="shared" si="200"/>
        <v>2021_8</v>
      </c>
      <c r="DK37" t="str">
        <f t="shared" si="200"/>
        <v>2021_8</v>
      </c>
      <c r="DL37" t="str">
        <f t="shared" si="200"/>
        <v>2021_8</v>
      </c>
      <c r="DM37" t="str">
        <f t="shared" si="200"/>
        <v>2021_8</v>
      </c>
      <c r="DN37" t="str">
        <f t="shared" si="200"/>
        <v>2021_8</v>
      </c>
      <c r="DO37" t="str">
        <f t="shared" si="200"/>
        <v>2021_8</v>
      </c>
      <c r="DP37" t="str">
        <f t="shared" si="200"/>
        <v>2021_8</v>
      </c>
      <c r="DQ37" t="str">
        <f t="shared" si="200"/>
        <v>2021_8</v>
      </c>
      <c r="DR37" t="str">
        <f t="shared" si="200"/>
        <v>2021_8</v>
      </c>
      <c r="DS37" t="str">
        <f t="shared" si="200"/>
        <v>2021_8</v>
      </c>
      <c r="DT37" t="str">
        <f t="shared" si="200"/>
        <v>2021_8</v>
      </c>
      <c r="DU37" t="str">
        <f t="shared" si="200"/>
        <v>2021_8</v>
      </c>
      <c r="DV37" t="str">
        <f t="shared" si="200"/>
        <v>2021_8</v>
      </c>
      <c r="DW37" t="str">
        <f t="shared" si="198"/>
        <v>2021_8</v>
      </c>
      <c r="DX37" t="str">
        <f t="shared" si="198"/>
        <v>2021_8</v>
      </c>
      <c r="DY37" t="str">
        <f t="shared" si="198"/>
        <v>2021_8</v>
      </c>
      <c r="DZ37" t="str">
        <f t="shared" si="198"/>
        <v>2021_8</v>
      </c>
      <c r="EA37" t="str">
        <f t="shared" si="198"/>
        <v>2021_8</v>
      </c>
      <c r="EB37" t="str">
        <f t="shared" si="198"/>
        <v>2021_8</v>
      </c>
      <c r="EC37" t="str">
        <f t="shared" si="198"/>
        <v>2021_8</v>
      </c>
      <c r="ED37" t="str">
        <f t="shared" si="198"/>
        <v>2021_8</v>
      </c>
      <c r="EE37" t="str">
        <f t="shared" si="198"/>
        <v>2021_8</v>
      </c>
      <c r="EF37" t="str">
        <f t="shared" si="198"/>
        <v>2021_8</v>
      </c>
      <c r="EG37" t="str">
        <f t="shared" si="198"/>
        <v>2021_8</v>
      </c>
      <c r="EH37" t="str">
        <f t="shared" si="198"/>
        <v>2021_8</v>
      </c>
      <c r="EI37" t="str">
        <f t="shared" si="198"/>
        <v>2021_8</v>
      </c>
      <c r="EJ37" t="str">
        <f t="shared" si="198"/>
        <v>2021_8</v>
      </c>
      <c r="EK37" t="str">
        <f t="shared" si="198"/>
        <v>2021_8</v>
      </c>
      <c r="EL37" t="str">
        <f t="shared" si="198"/>
        <v>2021_8</v>
      </c>
      <c r="EM37" t="str">
        <f t="shared" si="199"/>
        <v>2021_8</v>
      </c>
      <c r="EN37" t="str">
        <f t="shared" si="199"/>
        <v>2021_8</v>
      </c>
      <c r="EO37" t="str">
        <f t="shared" si="199"/>
        <v>2021_8</v>
      </c>
      <c r="EP37" t="str">
        <f t="shared" si="199"/>
        <v>2021_8</v>
      </c>
      <c r="EQ37" t="str">
        <f t="shared" si="199"/>
        <v>2021_8</v>
      </c>
      <c r="ER37" t="str">
        <f t="shared" si="199"/>
        <v>2021_8</v>
      </c>
      <c r="ES37" t="str">
        <f t="shared" si="199"/>
        <v>2021_8</v>
      </c>
      <c r="ET37" t="str">
        <f t="shared" si="199"/>
        <v>2021_8</v>
      </c>
      <c r="EU37" t="str">
        <f t="shared" si="199"/>
        <v>2021_8</v>
      </c>
      <c r="EV37" t="str">
        <f t="shared" si="199"/>
        <v>2021_8</v>
      </c>
      <c r="EW37" t="str">
        <f t="shared" si="199"/>
        <v>2021_8</v>
      </c>
      <c r="EX37" t="str">
        <f t="shared" si="199"/>
        <v>2021_8</v>
      </c>
      <c r="EY37" t="str">
        <f t="shared" si="199"/>
        <v>2021_8</v>
      </c>
      <c r="FB37" s="10" t="s">
        <v>37</v>
      </c>
      <c r="FC37">
        <f t="shared" si="197"/>
        <v>0</v>
      </c>
      <c r="FD37">
        <f t="shared" si="147"/>
        <v>0</v>
      </c>
      <c r="FE37">
        <f t="shared" si="148"/>
        <v>0</v>
      </c>
      <c r="FF37">
        <f t="shared" si="149"/>
        <v>0</v>
      </c>
      <c r="FG37">
        <f t="shared" si="150"/>
        <v>0</v>
      </c>
      <c r="FH37">
        <f t="shared" si="151"/>
        <v>0</v>
      </c>
      <c r="FI37">
        <f t="shared" si="152"/>
        <v>0</v>
      </c>
      <c r="FJ37">
        <f t="shared" si="153"/>
        <v>0</v>
      </c>
      <c r="FK37">
        <f t="shared" si="154"/>
        <v>0</v>
      </c>
      <c r="FL37">
        <f t="shared" si="155"/>
        <v>0</v>
      </c>
      <c r="FM37">
        <f t="shared" si="156"/>
        <v>0</v>
      </c>
      <c r="FN37">
        <f t="shared" si="157"/>
        <v>0</v>
      </c>
      <c r="FO37">
        <f t="shared" si="158"/>
        <v>0</v>
      </c>
      <c r="FP37">
        <f t="shared" si="159"/>
        <v>0</v>
      </c>
      <c r="FQ37">
        <f t="shared" si="160"/>
        <v>0</v>
      </c>
      <c r="FR37">
        <f t="shared" si="161"/>
        <v>0</v>
      </c>
      <c r="FS37">
        <f t="shared" si="162"/>
        <v>1</v>
      </c>
      <c r="FT37">
        <f t="shared" si="163"/>
        <v>1</v>
      </c>
      <c r="FU37">
        <f t="shared" si="164"/>
        <v>1</v>
      </c>
      <c r="FV37">
        <f t="shared" si="165"/>
        <v>1</v>
      </c>
      <c r="FW37">
        <f t="shared" si="166"/>
        <v>1</v>
      </c>
      <c r="FX37">
        <f t="shared" si="167"/>
        <v>1</v>
      </c>
      <c r="FY37">
        <f t="shared" si="168"/>
        <v>1</v>
      </c>
      <c r="FZ37">
        <f t="shared" si="169"/>
        <v>1</v>
      </c>
      <c r="GA37">
        <f t="shared" si="170"/>
        <v>1</v>
      </c>
      <c r="GB37">
        <f t="shared" si="171"/>
        <v>1</v>
      </c>
      <c r="GC37">
        <f t="shared" si="172"/>
        <v>1</v>
      </c>
      <c r="GD37">
        <f t="shared" si="173"/>
        <v>1</v>
      </c>
      <c r="GE37">
        <f t="shared" si="174"/>
        <v>1</v>
      </c>
      <c r="GF37">
        <f t="shared" si="175"/>
        <v>1</v>
      </c>
      <c r="GG37">
        <f t="shared" si="176"/>
        <v>1</v>
      </c>
      <c r="GH37">
        <f t="shared" si="177"/>
        <v>1</v>
      </c>
      <c r="GI37">
        <f t="shared" si="178"/>
        <v>1</v>
      </c>
      <c r="GJ37">
        <f t="shared" si="179"/>
        <v>1</v>
      </c>
      <c r="GK37">
        <f t="shared" si="180"/>
        <v>1</v>
      </c>
      <c r="GL37">
        <f t="shared" si="181"/>
        <v>1</v>
      </c>
      <c r="GM37">
        <f t="shared" si="182"/>
        <v>1</v>
      </c>
      <c r="GN37">
        <f t="shared" si="183"/>
        <v>1</v>
      </c>
      <c r="GO37">
        <f t="shared" si="184"/>
        <v>1</v>
      </c>
      <c r="GP37">
        <f t="shared" si="185"/>
        <v>1</v>
      </c>
      <c r="GQ37">
        <f t="shared" si="186"/>
        <v>1</v>
      </c>
      <c r="GR37">
        <f t="shared" si="187"/>
        <v>1</v>
      </c>
      <c r="GS37">
        <f t="shared" si="188"/>
        <v>1</v>
      </c>
      <c r="GT37">
        <f t="shared" si="189"/>
        <v>1</v>
      </c>
      <c r="GU37">
        <f t="shared" si="190"/>
        <v>1</v>
      </c>
      <c r="GX37" s="10"/>
    </row>
    <row r="38" spans="1:206" x14ac:dyDescent="0.3">
      <c r="A38" s="9" t="s">
        <v>41</v>
      </c>
      <c r="B38" s="80"/>
      <c r="C38" s="9">
        <v>3040465001</v>
      </c>
      <c r="D38" s="9" t="s">
        <v>374</v>
      </c>
      <c r="E38" s="9" t="s">
        <v>34</v>
      </c>
      <c r="F38" s="9" t="s">
        <v>35</v>
      </c>
      <c r="G38" s="9" t="s">
        <v>69</v>
      </c>
      <c r="H38" s="10">
        <v>44427</v>
      </c>
      <c r="I38" s="9">
        <f t="shared" si="191"/>
        <v>2021</v>
      </c>
      <c r="J38" s="9">
        <f t="shared" si="192"/>
        <v>8</v>
      </c>
      <c r="K38" s="9" t="str">
        <f t="shared" si="193"/>
        <v>2021_8</v>
      </c>
      <c r="L38">
        <f>MAX(0,VLOOKUP($K38,lookups!$A$1:$B$45,2,0)-12)</f>
        <v>4</v>
      </c>
      <c r="M38" s="40">
        <f t="shared" si="194"/>
        <v>44409</v>
      </c>
      <c r="N38" s="10" t="s">
        <v>37</v>
      </c>
      <c r="O38" t="str">
        <f ca="1">IF(OR($L38&gt;O$4,O$4&gt;$L38+23),"",OFFSET(Electric!$L29,0,-'Electric Calendarize'!$L38+'Electric Calendarize'!O$4+1))</f>
        <v/>
      </c>
      <c r="P38" t="str">
        <f ca="1">IF(OR($L38&gt;P$4,P$4&gt;$L38+23),"",OFFSET(Electric!$L29,0,-'Electric Calendarize'!$L38+'Electric Calendarize'!P$4+1))</f>
        <v/>
      </c>
      <c r="Q38" t="str">
        <f ca="1">IF(OR($L38&gt;Q$4,Q$4&gt;$L38+23),"",OFFSET(Electric!$L29,0,-'Electric Calendarize'!$L38+'Electric Calendarize'!Q$4+1))</f>
        <v/>
      </c>
      <c r="R38" t="str">
        <f ca="1">IF(OR($L38&gt;R$4,R$4&gt;$L38+23),"",OFFSET(Electric!$L29,0,-'Electric Calendarize'!$L38+'Electric Calendarize'!R$4+1))</f>
        <v/>
      </c>
      <c r="S38">
        <f ca="1">IF(OR($L38&gt;S$4,S$4&gt;$L38+23),"",OFFSET(Electric!$L29,0,-'Electric Calendarize'!$L38+'Electric Calendarize'!S$4+1))</f>
        <v>422</v>
      </c>
      <c r="T38">
        <f ca="1">IF(OR($L38&gt;T$4,T$4&gt;$L38+23),"",OFFSET(Electric!$L29,0,-'Electric Calendarize'!$L38+'Electric Calendarize'!T$4+1))</f>
        <v>271</v>
      </c>
      <c r="U38">
        <f ca="1">IF(OR($L38&gt;U$4,U$4&gt;$L38+23),"",OFFSET(Electric!$L29,0,-'Electric Calendarize'!$L38+'Electric Calendarize'!U$4+1))</f>
        <v>205</v>
      </c>
      <c r="V38">
        <f ca="1">IF(OR($L38&gt;V$4,V$4&gt;$L38+23),"",OFFSET(Electric!$L29,0,-'Electric Calendarize'!$L38+'Electric Calendarize'!V$4+1))</f>
        <v>233</v>
      </c>
      <c r="W38">
        <f ca="1">IF(OR($L38&gt;W$4,W$4&gt;$L38+23),"",OFFSET(Electric!$L29,0,-'Electric Calendarize'!$L38+'Electric Calendarize'!W$4+1))</f>
        <v>252</v>
      </c>
      <c r="X38">
        <f ca="1">IF(OR($L38&gt;X$4,X$4&gt;$L38+23),"",OFFSET(Electric!$L29,0,-'Electric Calendarize'!$L38+'Electric Calendarize'!X$4+1))</f>
        <v>267</v>
      </c>
      <c r="Y38">
        <f ca="1">IF(OR($L38&gt;Y$4,Y$4&gt;$L38+23),"",OFFSET(Electric!$L29,0,-'Electric Calendarize'!$L38+'Electric Calendarize'!Y$4+1))</f>
        <v>282</v>
      </c>
      <c r="Z38">
        <f ca="1">IF(OR($L38&gt;Z$4,Z$4&gt;$L38+23),"",OFFSET(Electric!$L29,0,-'Electric Calendarize'!$L38+'Electric Calendarize'!Z$4+1))</f>
        <v>293</v>
      </c>
      <c r="AA38">
        <f ca="1">IF(OR($L38&gt;AA$4,AA$4&gt;$L38+23),"",OFFSET(Electric!$L29,0,-'Electric Calendarize'!$L38+'Electric Calendarize'!AA$4+1))</f>
        <v>233</v>
      </c>
      <c r="AB38">
        <f ca="1">IF(OR($L38&gt;AB$4,AB$4&gt;$L38+23),"",OFFSET(Electric!$L29,0,-'Electric Calendarize'!$L38+'Electric Calendarize'!AB$4+1))</f>
        <v>209</v>
      </c>
      <c r="AC38">
        <f ca="1">IF(OR($L38&gt;AC$4,AC$4&gt;$L38+23),"",OFFSET(Electric!$L29,0,-'Electric Calendarize'!$L38+'Electric Calendarize'!AC$4+1))</f>
        <v>189</v>
      </c>
      <c r="AD38">
        <f ca="1">IF(OR($L38&gt;AD$4,AD$4&gt;$L38+23),"",OFFSET(Electric!$L29,0,-'Electric Calendarize'!$L38+'Electric Calendarize'!AD$4+1))</f>
        <v>247</v>
      </c>
      <c r="AE38">
        <f ca="1">IF(OR($L38&gt;AE$4,AE$4&gt;$L38+23),"",OFFSET(Electric!$L29,0,-'Electric Calendarize'!$L38+'Electric Calendarize'!AE$4+1))</f>
        <v>304</v>
      </c>
      <c r="AF38">
        <f ca="1">IF(OR($L38&gt;AF$4,AF$4&gt;$L38+23),"",OFFSET(Electric!$L29,0,-'Electric Calendarize'!$L38+'Electric Calendarize'!AF$4+1))</f>
        <v>394</v>
      </c>
      <c r="AG38">
        <f ca="1">IF(OR($L38&gt;AG$4,AG$4&gt;$L38+23),"",OFFSET(Electric!$L29,0,-'Electric Calendarize'!$L38+'Electric Calendarize'!AG$4+1))</f>
        <v>283</v>
      </c>
      <c r="AH38">
        <f ca="1">IF(OR($L38&gt;AH$4,AH$4&gt;$L38+23),"",OFFSET(Electric!$L29,0,-'Electric Calendarize'!$L38+'Electric Calendarize'!AH$4+1))</f>
        <v>277</v>
      </c>
      <c r="AI38">
        <f ca="1">IF(OR($L38&gt;AI$4,AI$4&gt;$L38+23),"",OFFSET(Electric!$L29,0,-'Electric Calendarize'!$L38+'Electric Calendarize'!AI$4+1))</f>
        <v>631</v>
      </c>
      <c r="AJ38">
        <f ca="1">IF(OR($L38&gt;AJ$4,AJ$4&gt;$L38+23),"",OFFSET(Electric!$L29,0,-'Electric Calendarize'!$L38+'Electric Calendarize'!AJ$4+1))</f>
        <v>605</v>
      </c>
      <c r="AK38">
        <f ca="1">IF(OR($L38&gt;AK$4,AK$4&gt;$L38+23),"",OFFSET(Electric!$L29,0,-'Electric Calendarize'!$L38+'Electric Calendarize'!AK$4+1))</f>
        <v>365</v>
      </c>
      <c r="AL38">
        <f ca="1">IF(OR($L38&gt;AL$4,AL$4&gt;$L38+23),"",OFFSET(Electric!$L29,0,-'Electric Calendarize'!$L38+'Electric Calendarize'!AL$4+1))</f>
        <v>326</v>
      </c>
      <c r="AM38">
        <f ca="1">IF(OR($L38&gt;AM$4,AM$4&gt;$L38+23),"",OFFSET(Electric!$L29,0,-'Electric Calendarize'!$L38+'Electric Calendarize'!AM$4+1))</f>
        <v>310</v>
      </c>
      <c r="AN38">
        <f ca="1">IF(OR($L38&gt;AN$4,AN$4&gt;$L38+23),"",OFFSET(Electric!$L29,0,-'Electric Calendarize'!$L38+'Electric Calendarize'!AN$4+1))</f>
        <v>297</v>
      </c>
      <c r="AO38">
        <f ca="1">IF(OR($L38&gt;AO$4,AO$4&gt;$L38+23),"",OFFSET(Electric!$L29,0,-'Electric Calendarize'!$L38+'Electric Calendarize'!AO$4+1))</f>
        <v>289</v>
      </c>
      <c r="AP38">
        <f ca="1">IF(OR($L38&gt;AP$4,AP$4&gt;$L38+23),"",OFFSET(Electric!$L29,0,-'Electric Calendarize'!$L38+'Electric Calendarize'!AP$4+1))</f>
        <v>345</v>
      </c>
      <c r="AQ38" t="str">
        <f ca="1">IF(OR($L38&gt;AQ$4,AQ$4&gt;$L38+23),"",OFFSET(Electric!$L29,0,-'Electric Calendarize'!$L38+'Electric Calendarize'!AQ$4+1))</f>
        <v/>
      </c>
      <c r="AR38" t="str">
        <f ca="1">IF(OR($L38&gt;AR$4,AR$4&gt;$L38+23),"",OFFSET(Electric!$L29,0,-'Electric Calendarize'!$L38+'Electric Calendarize'!AR$4+1))</f>
        <v/>
      </c>
      <c r="AS38" t="str">
        <f ca="1">IF(OR($L38&gt;AS$4,AS$4&gt;$L38+23),"",OFFSET(Electric!$L29,0,-'Electric Calendarize'!$L38+'Electric Calendarize'!AS$4+1))</f>
        <v/>
      </c>
      <c r="AT38" t="str">
        <f ca="1">IF(OR($L38&gt;AT$4,AT$4&gt;$L38+23),"",OFFSET(Electric!$L29,0,-'Electric Calendarize'!$L38+'Electric Calendarize'!AT$4+1))</f>
        <v/>
      </c>
      <c r="AU38" t="str">
        <f ca="1">IF(OR($L38&gt;AU$4,AU$4&gt;$L38+23),"",OFFSET(Electric!$L29,0,-'Electric Calendarize'!$L38+'Electric Calendarize'!AU$4+1))</f>
        <v/>
      </c>
      <c r="AV38" t="str">
        <f ca="1">IF(OR($L38&gt;AV$4,AV$4&gt;$L38+23),"",OFFSET(Electric!$L29,0,-'Electric Calendarize'!$L38+'Electric Calendarize'!AV$4+1))</f>
        <v/>
      </c>
      <c r="AW38" t="str">
        <f ca="1">IF(OR($L38&gt;AW$4,AW$4&gt;$L38+23),"",OFFSET(Electric!$L29,0,-'Electric Calendarize'!$L38+'Electric Calendarize'!AW$4+1))</f>
        <v/>
      </c>
      <c r="AX38" t="str">
        <f ca="1">IF(OR($L38&gt;AX$4,AX$4&gt;$L38+23),"",OFFSET(Electric!$L29,0,-'Electric Calendarize'!$L38+'Electric Calendarize'!AX$4+1))</f>
        <v/>
      </c>
      <c r="AY38" t="str">
        <f ca="1">IF(OR($L38&gt;AY$4,AY$4&gt;$L38+23),"",OFFSET(Electric!$L29,0,-'Electric Calendarize'!$L38+'Electric Calendarize'!AY$4+1))</f>
        <v/>
      </c>
      <c r="AZ38" t="str">
        <f ca="1">IF(OR($L38&gt;AZ$4,AZ$4&gt;$L38+23),"",OFFSET(Electric!$L29,0,-'Electric Calendarize'!$L38+'Electric Calendarize'!AZ$4+1))</f>
        <v/>
      </c>
      <c r="BA38" t="str">
        <f ca="1">IF(OR($L38&gt;BA$4,BA$4&gt;$L38+23),"",OFFSET(Electric!$L29,0,-'Electric Calendarize'!$L38+'Electric Calendarize'!BA$4+1))</f>
        <v/>
      </c>
      <c r="BB38" t="str">
        <f ca="1">IF(OR($L38&gt;BB$4,BB$4&gt;$L38+23),"",OFFSET(Electric!$L29,0,-'Electric Calendarize'!$L38+'Electric Calendarize'!BB$4+1))</f>
        <v/>
      </c>
      <c r="BC38" t="str">
        <f ca="1">IF(OR($L38&gt;BC$4,BC$4&gt;$L38+23),"",OFFSET(Electric!$L29,0,-'Electric Calendarize'!$L38+'Electric Calendarize'!BC$4+1))</f>
        <v/>
      </c>
      <c r="BD38" t="str">
        <f ca="1">IF(OR($L38&gt;BD$4,BD$4&gt;$L38+23),"",OFFSET(Electric!$L29,0,-'Electric Calendarize'!$L38+'Electric Calendarize'!BD$4+1))</f>
        <v/>
      </c>
      <c r="BE38" t="str">
        <f ca="1">IF(OR($L38&gt;BE$4,BE$4&gt;$L38+23),"",OFFSET(Electric!$L29,0,-'Electric Calendarize'!$L38+'Electric Calendarize'!BE$4+1))</f>
        <v/>
      </c>
      <c r="BF38" t="str">
        <f ca="1">IF(OR($L38&gt;BF$4,BF$4&gt;$L38+23),"",OFFSET(Electric!$L29,0,-'Electric Calendarize'!$L38+'Electric Calendarize'!BF$4+1))</f>
        <v/>
      </c>
      <c r="BG38" t="str">
        <f ca="1">IF(OR($L38&gt;BG$4,BG$4&gt;$L38+23),"",OFFSET(Electric!$L29,0,-'Electric Calendarize'!$L38+'Electric Calendarize'!BG$4+1))</f>
        <v/>
      </c>
      <c r="BJ38" s="10" t="s">
        <v>37</v>
      </c>
      <c r="BK38">
        <f t="shared" si="195"/>
        <v>1</v>
      </c>
      <c r="BL38">
        <f t="shared" si="100"/>
        <v>0</v>
      </c>
      <c r="BM38">
        <f t="shared" si="101"/>
        <v>0</v>
      </c>
      <c r="BN38">
        <f t="shared" si="102"/>
        <v>0</v>
      </c>
      <c r="BO38">
        <f t="shared" si="103"/>
        <v>0</v>
      </c>
      <c r="BP38">
        <f t="shared" si="104"/>
        <v>0</v>
      </c>
      <c r="BQ38">
        <f t="shared" si="105"/>
        <v>0</v>
      </c>
      <c r="BR38">
        <f t="shared" si="106"/>
        <v>1</v>
      </c>
      <c r="BS38">
        <f t="shared" si="107"/>
        <v>1</v>
      </c>
      <c r="BT38">
        <f t="shared" si="108"/>
        <v>1</v>
      </c>
      <c r="BU38">
        <f t="shared" si="109"/>
        <v>1</v>
      </c>
      <c r="BV38">
        <f t="shared" si="110"/>
        <v>1</v>
      </c>
      <c r="BW38">
        <f t="shared" si="111"/>
        <v>1</v>
      </c>
      <c r="BX38">
        <f t="shared" si="112"/>
        <v>0</v>
      </c>
      <c r="BY38">
        <f t="shared" si="113"/>
        <v>0</v>
      </c>
      <c r="BZ38">
        <f t="shared" si="114"/>
        <v>0</v>
      </c>
      <c r="CA38">
        <f t="shared" si="115"/>
        <v>0</v>
      </c>
      <c r="CB38">
        <f t="shared" si="116"/>
        <v>0</v>
      </c>
      <c r="CC38">
        <f t="shared" si="117"/>
        <v>0</v>
      </c>
      <c r="CD38">
        <f t="shared" si="118"/>
        <v>1</v>
      </c>
      <c r="CE38">
        <f t="shared" si="119"/>
        <v>1</v>
      </c>
      <c r="CF38">
        <f t="shared" si="120"/>
        <v>1</v>
      </c>
      <c r="CG38">
        <f t="shared" si="121"/>
        <v>1</v>
      </c>
      <c r="CH38">
        <f t="shared" si="122"/>
        <v>1</v>
      </c>
      <c r="CI38">
        <f t="shared" si="123"/>
        <v>1</v>
      </c>
      <c r="CJ38">
        <f t="shared" si="124"/>
        <v>0</v>
      </c>
      <c r="CK38">
        <f t="shared" si="125"/>
        <v>0</v>
      </c>
      <c r="CL38">
        <f t="shared" si="126"/>
        <v>0</v>
      </c>
      <c r="CM38">
        <f t="shared" si="127"/>
        <v>0</v>
      </c>
      <c r="CN38">
        <f t="shared" si="128"/>
        <v>0</v>
      </c>
      <c r="CO38">
        <f t="shared" si="129"/>
        <v>0</v>
      </c>
      <c r="CP38">
        <f t="shared" si="130"/>
        <v>1</v>
      </c>
      <c r="CQ38">
        <f t="shared" si="131"/>
        <v>1</v>
      </c>
      <c r="CR38">
        <f t="shared" si="132"/>
        <v>1</v>
      </c>
      <c r="CS38">
        <f t="shared" si="133"/>
        <v>1</v>
      </c>
      <c r="CT38">
        <f t="shared" si="134"/>
        <v>1</v>
      </c>
      <c r="CU38">
        <f t="shared" si="135"/>
        <v>1</v>
      </c>
      <c r="CV38">
        <f t="shared" si="136"/>
        <v>0</v>
      </c>
      <c r="CW38">
        <f t="shared" si="137"/>
        <v>0</v>
      </c>
      <c r="CX38">
        <f t="shared" si="138"/>
        <v>0</v>
      </c>
      <c r="CY38">
        <f t="shared" si="139"/>
        <v>0</v>
      </c>
      <c r="CZ38">
        <f t="shared" si="140"/>
        <v>0</v>
      </c>
      <c r="DA38">
        <f t="shared" si="141"/>
        <v>0</v>
      </c>
      <c r="DB38">
        <f t="shared" si="142"/>
        <v>1</v>
      </c>
      <c r="DC38">
        <f t="shared" si="143"/>
        <v>1</v>
      </c>
      <c r="DF38" s="10" t="s">
        <v>37</v>
      </c>
      <c r="DG38" t="str">
        <f t="shared" si="200"/>
        <v>2021_8</v>
      </c>
      <c r="DH38" t="str">
        <f t="shared" si="200"/>
        <v>2021_8</v>
      </c>
      <c r="DI38" t="str">
        <f t="shared" si="200"/>
        <v>2021_8</v>
      </c>
      <c r="DJ38" t="str">
        <f t="shared" si="200"/>
        <v>2021_8</v>
      </c>
      <c r="DK38" t="str">
        <f t="shared" si="200"/>
        <v>2021_8</v>
      </c>
      <c r="DL38" t="str">
        <f t="shared" si="200"/>
        <v>2021_8</v>
      </c>
      <c r="DM38" t="str">
        <f t="shared" si="200"/>
        <v>2021_8</v>
      </c>
      <c r="DN38" t="str">
        <f t="shared" si="200"/>
        <v>2021_8</v>
      </c>
      <c r="DO38" t="str">
        <f t="shared" si="200"/>
        <v>2021_8</v>
      </c>
      <c r="DP38" t="str">
        <f t="shared" si="200"/>
        <v>2021_8</v>
      </c>
      <c r="DQ38" t="str">
        <f t="shared" si="200"/>
        <v>2021_8</v>
      </c>
      <c r="DR38" t="str">
        <f t="shared" si="200"/>
        <v>2021_8</v>
      </c>
      <c r="DS38" t="str">
        <f t="shared" si="200"/>
        <v>2021_8</v>
      </c>
      <c r="DT38" t="str">
        <f t="shared" si="200"/>
        <v>2021_8</v>
      </c>
      <c r="DU38" t="str">
        <f t="shared" si="200"/>
        <v>2021_8</v>
      </c>
      <c r="DV38" t="str">
        <f t="shared" si="200"/>
        <v>2021_8</v>
      </c>
      <c r="DW38" t="str">
        <f t="shared" si="198"/>
        <v>2021_8</v>
      </c>
      <c r="DX38" t="str">
        <f t="shared" si="198"/>
        <v>2021_8</v>
      </c>
      <c r="DY38" t="str">
        <f t="shared" si="198"/>
        <v>2021_8</v>
      </c>
      <c r="DZ38" t="str">
        <f t="shared" si="198"/>
        <v>2021_8</v>
      </c>
      <c r="EA38" t="str">
        <f t="shared" si="198"/>
        <v>2021_8</v>
      </c>
      <c r="EB38" t="str">
        <f t="shared" si="198"/>
        <v>2021_8</v>
      </c>
      <c r="EC38" t="str">
        <f t="shared" si="198"/>
        <v>2021_8</v>
      </c>
      <c r="ED38" t="str">
        <f t="shared" si="198"/>
        <v>2021_8</v>
      </c>
      <c r="EE38" t="str">
        <f t="shared" si="198"/>
        <v>2021_8</v>
      </c>
      <c r="EF38" t="str">
        <f t="shared" si="198"/>
        <v>2021_8</v>
      </c>
      <c r="EG38" t="str">
        <f t="shared" si="198"/>
        <v>2021_8</v>
      </c>
      <c r="EH38" t="str">
        <f t="shared" si="198"/>
        <v>2021_8</v>
      </c>
      <c r="EI38" t="str">
        <f t="shared" si="198"/>
        <v>2021_8</v>
      </c>
      <c r="EJ38" t="str">
        <f t="shared" si="198"/>
        <v>2021_8</v>
      </c>
      <c r="EK38" t="str">
        <f t="shared" si="198"/>
        <v>2021_8</v>
      </c>
      <c r="EL38" t="str">
        <f t="shared" si="198"/>
        <v>2021_8</v>
      </c>
      <c r="EM38" t="str">
        <f t="shared" si="199"/>
        <v>2021_8</v>
      </c>
      <c r="EN38" t="str">
        <f t="shared" si="199"/>
        <v>2021_8</v>
      </c>
      <c r="EO38" t="str">
        <f t="shared" si="199"/>
        <v>2021_8</v>
      </c>
      <c r="EP38" t="str">
        <f t="shared" si="199"/>
        <v>2021_8</v>
      </c>
      <c r="EQ38" t="str">
        <f t="shared" si="199"/>
        <v>2021_8</v>
      </c>
      <c r="ER38" t="str">
        <f t="shared" si="199"/>
        <v>2021_8</v>
      </c>
      <c r="ES38" t="str">
        <f t="shared" si="199"/>
        <v>2021_8</v>
      </c>
      <c r="ET38" t="str">
        <f t="shared" si="199"/>
        <v>2021_8</v>
      </c>
      <c r="EU38" t="str">
        <f t="shared" si="199"/>
        <v>2021_8</v>
      </c>
      <c r="EV38" t="str">
        <f t="shared" si="199"/>
        <v>2021_8</v>
      </c>
      <c r="EW38" t="str">
        <f t="shared" si="199"/>
        <v>2021_8</v>
      </c>
      <c r="EX38" t="str">
        <f t="shared" si="199"/>
        <v>2021_8</v>
      </c>
      <c r="EY38" t="str">
        <f t="shared" si="199"/>
        <v>2021_8</v>
      </c>
      <c r="FB38" s="10" t="s">
        <v>37</v>
      </c>
      <c r="FC38">
        <f t="shared" si="197"/>
        <v>0</v>
      </c>
      <c r="FD38">
        <f t="shared" si="147"/>
        <v>0</v>
      </c>
      <c r="FE38">
        <f t="shared" si="148"/>
        <v>0</v>
      </c>
      <c r="FF38">
        <f t="shared" si="149"/>
        <v>0</v>
      </c>
      <c r="FG38">
        <f t="shared" si="150"/>
        <v>0</v>
      </c>
      <c r="FH38">
        <f t="shared" si="151"/>
        <v>0</v>
      </c>
      <c r="FI38">
        <f t="shared" si="152"/>
        <v>0</v>
      </c>
      <c r="FJ38">
        <f t="shared" si="153"/>
        <v>0</v>
      </c>
      <c r="FK38">
        <f t="shared" si="154"/>
        <v>0</v>
      </c>
      <c r="FL38">
        <f t="shared" si="155"/>
        <v>0</v>
      </c>
      <c r="FM38">
        <f t="shared" si="156"/>
        <v>0</v>
      </c>
      <c r="FN38">
        <f t="shared" si="157"/>
        <v>0</v>
      </c>
      <c r="FO38">
        <f t="shared" si="158"/>
        <v>0</v>
      </c>
      <c r="FP38">
        <f t="shared" si="159"/>
        <v>0</v>
      </c>
      <c r="FQ38">
        <f t="shared" si="160"/>
        <v>0</v>
      </c>
      <c r="FR38">
        <f t="shared" si="161"/>
        <v>0</v>
      </c>
      <c r="FS38">
        <f t="shared" si="162"/>
        <v>1</v>
      </c>
      <c r="FT38">
        <f t="shared" si="163"/>
        <v>1</v>
      </c>
      <c r="FU38">
        <f t="shared" si="164"/>
        <v>1</v>
      </c>
      <c r="FV38">
        <f t="shared" si="165"/>
        <v>1</v>
      </c>
      <c r="FW38">
        <f t="shared" si="166"/>
        <v>1</v>
      </c>
      <c r="FX38">
        <f t="shared" si="167"/>
        <v>1</v>
      </c>
      <c r="FY38">
        <f t="shared" si="168"/>
        <v>1</v>
      </c>
      <c r="FZ38">
        <f t="shared" si="169"/>
        <v>1</v>
      </c>
      <c r="GA38">
        <f t="shared" si="170"/>
        <v>1</v>
      </c>
      <c r="GB38">
        <f t="shared" si="171"/>
        <v>1</v>
      </c>
      <c r="GC38">
        <f t="shared" si="172"/>
        <v>1</v>
      </c>
      <c r="GD38">
        <f t="shared" si="173"/>
        <v>1</v>
      </c>
      <c r="GE38">
        <f t="shared" si="174"/>
        <v>1</v>
      </c>
      <c r="GF38">
        <f t="shared" si="175"/>
        <v>1</v>
      </c>
      <c r="GG38">
        <f t="shared" si="176"/>
        <v>1</v>
      </c>
      <c r="GH38">
        <f t="shared" si="177"/>
        <v>1</v>
      </c>
      <c r="GI38">
        <f t="shared" si="178"/>
        <v>1</v>
      </c>
      <c r="GJ38">
        <f t="shared" si="179"/>
        <v>1</v>
      </c>
      <c r="GK38">
        <f t="shared" si="180"/>
        <v>1</v>
      </c>
      <c r="GL38">
        <f t="shared" si="181"/>
        <v>1</v>
      </c>
      <c r="GM38">
        <f t="shared" si="182"/>
        <v>1</v>
      </c>
      <c r="GN38">
        <f t="shared" si="183"/>
        <v>1</v>
      </c>
      <c r="GO38">
        <f t="shared" si="184"/>
        <v>1</v>
      </c>
      <c r="GP38">
        <f t="shared" si="185"/>
        <v>1</v>
      </c>
      <c r="GQ38">
        <f t="shared" si="186"/>
        <v>1</v>
      </c>
      <c r="GR38">
        <f t="shared" si="187"/>
        <v>1</v>
      </c>
      <c r="GS38">
        <f t="shared" si="188"/>
        <v>1</v>
      </c>
      <c r="GT38">
        <f t="shared" si="189"/>
        <v>1</v>
      </c>
      <c r="GU38">
        <f t="shared" si="190"/>
        <v>1</v>
      </c>
      <c r="GX38" s="10"/>
    </row>
    <row r="39" spans="1:206" x14ac:dyDescent="0.3">
      <c r="A39" s="8" t="s">
        <v>33</v>
      </c>
      <c r="B39" s="80"/>
      <c r="C39" s="9">
        <v>3121487003</v>
      </c>
      <c r="D39" s="9" t="s">
        <v>375</v>
      </c>
      <c r="E39" s="9" t="s">
        <v>39</v>
      </c>
      <c r="F39" s="9" t="s">
        <v>35</v>
      </c>
      <c r="G39" s="9" t="s">
        <v>70</v>
      </c>
      <c r="H39" s="10">
        <v>44431</v>
      </c>
      <c r="I39" s="9">
        <f t="shared" si="191"/>
        <v>2021</v>
      </c>
      <c r="J39" s="9">
        <f t="shared" si="192"/>
        <v>8</v>
      </c>
      <c r="K39" s="9" t="str">
        <f t="shared" si="193"/>
        <v>2021_8</v>
      </c>
      <c r="L39">
        <f>MAX(0,VLOOKUP($K39,lookups!$A$1:$B$45,2,0)-12)</f>
        <v>4</v>
      </c>
      <c r="M39" s="40">
        <f t="shared" si="194"/>
        <v>44409</v>
      </c>
      <c r="N39" s="10" t="s">
        <v>37</v>
      </c>
      <c r="O39" t="str">
        <f ca="1">IF(OR($L39&gt;O$4,O$4&gt;$L39+23),"",OFFSET(Electric!$L30,0,-'Electric Calendarize'!$L39+'Electric Calendarize'!O$4+1))</f>
        <v/>
      </c>
      <c r="P39" t="str">
        <f ca="1">IF(OR($L39&gt;P$4,P$4&gt;$L39+23),"",OFFSET(Electric!$L30,0,-'Electric Calendarize'!$L39+'Electric Calendarize'!P$4+1))</f>
        <v/>
      </c>
      <c r="Q39" t="str">
        <f ca="1">IF(OR($L39&gt;Q$4,Q$4&gt;$L39+23),"",OFFSET(Electric!$L30,0,-'Electric Calendarize'!$L39+'Electric Calendarize'!Q$4+1))</f>
        <v/>
      </c>
      <c r="R39" t="str">
        <f ca="1">IF(OR($L39&gt;R$4,R$4&gt;$L39+23),"",OFFSET(Electric!$L30,0,-'Electric Calendarize'!$L39+'Electric Calendarize'!R$4+1))</f>
        <v/>
      </c>
      <c r="S39">
        <f ca="1">IF(OR($L39&gt;S$4,S$4&gt;$L39+23),"",OFFSET(Electric!$L30,0,-'Electric Calendarize'!$L39+'Electric Calendarize'!S$4+1))</f>
        <v>0</v>
      </c>
      <c r="T39">
        <f ca="1">IF(OR($L39&gt;T$4,T$4&gt;$L39+23),"",OFFSET(Electric!$L30,0,-'Electric Calendarize'!$L39+'Electric Calendarize'!T$4+1))</f>
        <v>0</v>
      </c>
      <c r="U39">
        <f ca="1">IF(OR($L39&gt;U$4,U$4&gt;$L39+23),"",OFFSET(Electric!$L30,0,-'Electric Calendarize'!$L39+'Electric Calendarize'!U$4+1))</f>
        <v>0</v>
      </c>
      <c r="V39">
        <f ca="1">IF(OR($L39&gt;V$4,V$4&gt;$L39+23),"",OFFSET(Electric!$L30,0,-'Electric Calendarize'!$L39+'Electric Calendarize'!V$4+1))</f>
        <v>0</v>
      </c>
      <c r="W39">
        <f ca="1">IF(OR($L39&gt;W$4,W$4&gt;$L39+23),"",OFFSET(Electric!$L30,0,-'Electric Calendarize'!$L39+'Electric Calendarize'!W$4+1))</f>
        <v>0</v>
      </c>
      <c r="X39">
        <f ca="1">IF(OR($L39&gt;X$4,X$4&gt;$L39+23),"",OFFSET(Electric!$L30,0,-'Electric Calendarize'!$L39+'Electric Calendarize'!X$4+1))</f>
        <v>0</v>
      </c>
      <c r="Y39">
        <f ca="1">IF(OR($L39&gt;Y$4,Y$4&gt;$L39+23),"",OFFSET(Electric!$L30,0,-'Electric Calendarize'!$L39+'Electric Calendarize'!Y$4+1))</f>
        <v>0</v>
      </c>
      <c r="Z39">
        <f ca="1">IF(OR($L39&gt;Z$4,Z$4&gt;$L39+23),"",OFFSET(Electric!$L30,0,-'Electric Calendarize'!$L39+'Electric Calendarize'!Z$4+1))</f>
        <v>0</v>
      </c>
      <c r="AA39">
        <f ca="1">IF(OR($L39&gt;AA$4,AA$4&gt;$L39+23),"",OFFSET(Electric!$L30,0,-'Electric Calendarize'!$L39+'Electric Calendarize'!AA$4+1))</f>
        <v>0</v>
      </c>
      <c r="AB39">
        <f ca="1">IF(OR($L39&gt;AB$4,AB$4&gt;$L39+23),"",OFFSET(Electric!$L30,0,-'Electric Calendarize'!$L39+'Electric Calendarize'!AB$4+1))</f>
        <v>0</v>
      </c>
      <c r="AC39">
        <f ca="1">IF(OR($L39&gt;AC$4,AC$4&gt;$L39+23),"",OFFSET(Electric!$L30,0,-'Electric Calendarize'!$L39+'Electric Calendarize'!AC$4+1))</f>
        <v>0</v>
      </c>
      <c r="AD39">
        <f ca="1">IF(OR($L39&gt;AD$4,AD$4&gt;$L39+23),"",OFFSET(Electric!$L30,0,-'Electric Calendarize'!$L39+'Electric Calendarize'!AD$4+1))</f>
        <v>15</v>
      </c>
      <c r="AE39">
        <f ca="1">IF(OR($L39&gt;AE$4,AE$4&gt;$L39+23),"",OFFSET(Electric!$L30,0,-'Electric Calendarize'!$L39+'Electric Calendarize'!AE$4+1))</f>
        <v>297</v>
      </c>
      <c r="AF39">
        <f ca="1">IF(OR($L39&gt;AF$4,AF$4&gt;$L39+23),"",OFFSET(Electric!$L30,0,-'Electric Calendarize'!$L39+'Electric Calendarize'!AF$4+1))</f>
        <v>230</v>
      </c>
      <c r="AG39">
        <f ca="1">IF(OR($L39&gt;AG$4,AG$4&gt;$L39+23),"",OFFSET(Electric!$L30,0,-'Electric Calendarize'!$L39+'Electric Calendarize'!AG$4+1))</f>
        <v>443</v>
      </c>
      <c r="AH39">
        <f ca="1">IF(OR($L39&gt;AH$4,AH$4&gt;$L39+23),"",OFFSET(Electric!$L30,0,-'Electric Calendarize'!$L39+'Electric Calendarize'!AH$4+1))</f>
        <v>756</v>
      </c>
      <c r="AI39">
        <f ca="1">IF(OR($L39&gt;AI$4,AI$4&gt;$L39+23),"",OFFSET(Electric!$L30,0,-'Electric Calendarize'!$L39+'Electric Calendarize'!AI$4+1))</f>
        <v>1378</v>
      </c>
      <c r="AJ39">
        <f ca="1">IF(OR($L39&gt;AJ$4,AJ$4&gt;$L39+23),"",OFFSET(Electric!$L30,0,-'Electric Calendarize'!$L39+'Electric Calendarize'!AJ$4+1))</f>
        <v>1832</v>
      </c>
      <c r="AK39">
        <f ca="1">IF(OR($L39&gt;AK$4,AK$4&gt;$L39+23),"",OFFSET(Electric!$L30,0,-'Electric Calendarize'!$L39+'Electric Calendarize'!AK$4+1))</f>
        <v>1908</v>
      </c>
      <c r="AL39">
        <f ca="1">IF(OR($L39&gt;AL$4,AL$4&gt;$L39+23),"",OFFSET(Electric!$L30,0,-'Electric Calendarize'!$L39+'Electric Calendarize'!AL$4+1))</f>
        <v>1386</v>
      </c>
      <c r="AM39">
        <f ca="1">IF(OR($L39&gt;AM$4,AM$4&gt;$L39+23),"",OFFSET(Electric!$L30,0,-'Electric Calendarize'!$L39+'Electric Calendarize'!AM$4+1))</f>
        <v>985</v>
      </c>
      <c r="AN39">
        <f ca="1">IF(OR($L39&gt;AN$4,AN$4&gt;$L39+23),"",OFFSET(Electric!$L30,0,-'Electric Calendarize'!$L39+'Electric Calendarize'!AN$4+1))</f>
        <v>799</v>
      </c>
      <c r="AO39">
        <f ca="1">IF(OR($L39&gt;AO$4,AO$4&gt;$L39+23),"",OFFSET(Electric!$L30,0,-'Electric Calendarize'!$L39+'Electric Calendarize'!AO$4+1))</f>
        <v>645</v>
      </c>
      <c r="AP39">
        <f ca="1">IF(OR($L39&gt;AP$4,AP$4&gt;$L39+23),"",OFFSET(Electric!$L30,0,-'Electric Calendarize'!$L39+'Electric Calendarize'!AP$4+1))</f>
        <v>800</v>
      </c>
      <c r="AQ39" t="str">
        <f ca="1">IF(OR($L39&gt;AQ$4,AQ$4&gt;$L39+23),"",OFFSET(Electric!$L30,0,-'Electric Calendarize'!$L39+'Electric Calendarize'!AQ$4+1))</f>
        <v/>
      </c>
      <c r="AR39" t="str">
        <f ca="1">IF(OR($L39&gt;AR$4,AR$4&gt;$L39+23),"",OFFSET(Electric!$L30,0,-'Electric Calendarize'!$L39+'Electric Calendarize'!AR$4+1))</f>
        <v/>
      </c>
      <c r="AS39" t="str">
        <f ca="1">IF(OR($L39&gt;AS$4,AS$4&gt;$L39+23),"",OFFSET(Electric!$L30,0,-'Electric Calendarize'!$L39+'Electric Calendarize'!AS$4+1))</f>
        <v/>
      </c>
      <c r="AT39" t="str">
        <f ca="1">IF(OR($L39&gt;AT$4,AT$4&gt;$L39+23),"",OFFSET(Electric!$L30,0,-'Electric Calendarize'!$L39+'Electric Calendarize'!AT$4+1))</f>
        <v/>
      </c>
      <c r="AU39" t="str">
        <f ca="1">IF(OR($L39&gt;AU$4,AU$4&gt;$L39+23),"",OFFSET(Electric!$L30,0,-'Electric Calendarize'!$L39+'Electric Calendarize'!AU$4+1))</f>
        <v/>
      </c>
      <c r="AV39" t="str">
        <f ca="1">IF(OR($L39&gt;AV$4,AV$4&gt;$L39+23),"",OFFSET(Electric!$L30,0,-'Electric Calendarize'!$L39+'Electric Calendarize'!AV$4+1))</f>
        <v/>
      </c>
      <c r="AW39" t="str">
        <f ca="1">IF(OR($L39&gt;AW$4,AW$4&gt;$L39+23),"",OFFSET(Electric!$L30,0,-'Electric Calendarize'!$L39+'Electric Calendarize'!AW$4+1))</f>
        <v/>
      </c>
      <c r="AX39" t="str">
        <f ca="1">IF(OR($L39&gt;AX$4,AX$4&gt;$L39+23),"",OFFSET(Electric!$L30,0,-'Electric Calendarize'!$L39+'Electric Calendarize'!AX$4+1))</f>
        <v/>
      </c>
      <c r="AY39" t="str">
        <f ca="1">IF(OR($L39&gt;AY$4,AY$4&gt;$L39+23),"",OFFSET(Electric!$L30,0,-'Electric Calendarize'!$L39+'Electric Calendarize'!AY$4+1))</f>
        <v/>
      </c>
      <c r="AZ39" t="str">
        <f ca="1">IF(OR($L39&gt;AZ$4,AZ$4&gt;$L39+23),"",OFFSET(Electric!$L30,0,-'Electric Calendarize'!$L39+'Electric Calendarize'!AZ$4+1))</f>
        <v/>
      </c>
      <c r="BA39" t="str">
        <f ca="1">IF(OR($L39&gt;BA$4,BA$4&gt;$L39+23),"",OFFSET(Electric!$L30,0,-'Electric Calendarize'!$L39+'Electric Calendarize'!BA$4+1))</f>
        <v/>
      </c>
      <c r="BB39" t="str">
        <f ca="1">IF(OR($L39&gt;BB$4,BB$4&gt;$L39+23),"",OFFSET(Electric!$L30,0,-'Electric Calendarize'!$L39+'Electric Calendarize'!BB$4+1))</f>
        <v/>
      </c>
      <c r="BC39" t="str">
        <f ca="1">IF(OR($L39&gt;BC$4,BC$4&gt;$L39+23),"",OFFSET(Electric!$L30,0,-'Electric Calendarize'!$L39+'Electric Calendarize'!BC$4+1))</f>
        <v/>
      </c>
      <c r="BD39" t="str">
        <f ca="1">IF(OR($L39&gt;BD$4,BD$4&gt;$L39+23),"",OFFSET(Electric!$L30,0,-'Electric Calendarize'!$L39+'Electric Calendarize'!BD$4+1))</f>
        <v/>
      </c>
      <c r="BE39" t="str">
        <f ca="1">IF(OR($L39&gt;BE$4,BE$4&gt;$L39+23),"",OFFSET(Electric!$L30,0,-'Electric Calendarize'!$L39+'Electric Calendarize'!BE$4+1))</f>
        <v/>
      </c>
      <c r="BF39" t="str">
        <f ca="1">IF(OR($L39&gt;BF$4,BF$4&gt;$L39+23),"",OFFSET(Electric!$L30,0,-'Electric Calendarize'!$L39+'Electric Calendarize'!BF$4+1))</f>
        <v/>
      </c>
      <c r="BG39" t="str">
        <f ca="1">IF(OR($L39&gt;BG$4,BG$4&gt;$L39+23),"",OFFSET(Electric!$L30,0,-'Electric Calendarize'!$L39+'Electric Calendarize'!BG$4+1))</f>
        <v/>
      </c>
      <c r="BJ39" s="10" t="s">
        <v>37</v>
      </c>
      <c r="BK39">
        <f t="shared" si="195"/>
        <v>1</v>
      </c>
      <c r="BL39">
        <f t="shared" si="100"/>
        <v>0</v>
      </c>
      <c r="BM39">
        <f t="shared" si="101"/>
        <v>0</v>
      </c>
      <c r="BN39">
        <f t="shared" si="102"/>
        <v>0</v>
      </c>
      <c r="BO39">
        <f t="shared" si="103"/>
        <v>0</v>
      </c>
      <c r="BP39">
        <f t="shared" si="104"/>
        <v>0</v>
      </c>
      <c r="BQ39">
        <f t="shared" si="105"/>
        <v>0</v>
      </c>
      <c r="BR39">
        <f t="shared" si="106"/>
        <v>1</v>
      </c>
      <c r="BS39">
        <f t="shared" si="107"/>
        <v>1</v>
      </c>
      <c r="BT39">
        <f t="shared" si="108"/>
        <v>1</v>
      </c>
      <c r="BU39">
        <f t="shared" si="109"/>
        <v>1</v>
      </c>
      <c r="BV39">
        <f t="shared" si="110"/>
        <v>1</v>
      </c>
      <c r="BW39">
        <f t="shared" si="111"/>
        <v>1</v>
      </c>
      <c r="BX39">
        <f t="shared" si="112"/>
        <v>0</v>
      </c>
      <c r="BY39">
        <f t="shared" si="113"/>
        <v>0</v>
      </c>
      <c r="BZ39">
        <f t="shared" si="114"/>
        <v>0</v>
      </c>
      <c r="CA39">
        <f t="shared" si="115"/>
        <v>0</v>
      </c>
      <c r="CB39">
        <f t="shared" si="116"/>
        <v>0</v>
      </c>
      <c r="CC39">
        <f t="shared" si="117"/>
        <v>0</v>
      </c>
      <c r="CD39">
        <f t="shared" si="118"/>
        <v>1</v>
      </c>
      <c r="CE39">
        <f t="shared" si="119"/>
        <v>1</v>
      </c>
      <c r="CF39">
        <f t="shared" si="120"/>
        <v>1</v>
      </c>
      <c r="CG39">
        <f t="shared" si="121"/>
        <v>1</v>
      </c>
      <c r="CH39">
        <f t="shared" si="122"/>
        <v>1</v>
      </c>
      <c r="CI39">
        <f t="shared" si="123"/>
        <v>1</v>
      </c>
      <c r="CJ39">
        <f t="shared" si="124"/>
        <v>0</v>
      </c>
      <c r="CK39">
        <f t="shared" si="125"/>
        <v>0</v>
      </c>
      <c r="CL39">
        <f t="shared" si="126"/>
        <v>0</v>
      </c>
      <c r="CM39">
        <f t="shared" si="127"/>
        <v>0</v>
      </c>
      <c r="CN39">
        <f t="shared" si="128"/>
        <v>0</v>
      </c>
      <c r="CO39">
        <f t="shared" si="129"/>
        <v>0</v>
      </c>
      <c r="CP39">
        <f t="shared" si="130"/>
        <v>1</v>
      </c>
      <c r="CQ39">
        <f t="shared" si="131"/>
        <v>1</v>
      </c>
      <c r="CR39">
        <f t="shared" si="132"/>
        <v>1</v>
      </c>
      <c r="CS39">
        <f t="shared" si="133"/>
        <v>1</v>
      </c>
      <c r="CT39">
        <f t="shared" si="134"/>
        <v>1</v>
      </c>
      <c r="CU39">
        <f t="shared" si="135"/>
        <v>1</v>
      </c>
      <c r="CV39">
        <f t="shared" si="136"/>
        <v>0</v>
      </c>
      <c r="CW39">
        <f t="shared" si="137"/>
        <v>0</v>
      </c>
      <c r="CX39">
        <f t="shared" si="138"/>
        <v>0</v>
      </c>
      <c r="CY39">
        <f t="shared" si="139"/>
        <v>0</v>
      </c>
      <c r="CZ39">
        <f t="shared" si="140"/>
        <v>0</v>
      </c>
      <c r="DA39">
        <f t="shared" si="141"/>
        <v>0</v>
      </c>
      <c r="DB39">
        <f t="shared" si="142"/>
        <v>1</v>
      </c>
      <c r="DC39">
        <f t="shared" si="143"/>
        <v>1</v>
      </c>
      <c r="DF39" s="10" t="s">
        <v>37</v>
      </c>
      <c r="DG39" t="str">
        <f t="shared" si="200"/>
        <v>2021_8</v>
      </c>
      <c r="DH39" t="str">
        <f t="shared" si="200"/>
        <v>2021_8</v>
      </c>
      <c r="DI39" t="str">
        <f t="shared" si="200"/>
        <v>2021_8</v>
      </c>
      <c r="DJ39" t="str">
        <f t="shared" si="200"/>
        <v>2021_8</v>
      </c>
      <c r="DK39" t="str">
        <f t="shared" si="200"/>
        <v>2021_8</v>
      </c>
      <c r="DL39" t="str">
        <f t="shared" si="200"/>
        <v>2021_8</v>
      </c>
      <c r="DM39" t="str">
        <f t="shared" si="200"/>
        <v>2021_8</v>
      </c>
      <c r="DN39" t="str">
        <f t="shared" si="200"/>
        <v>2021_8</v>
      </c>
      <c r="DO39" t="str">
        <f t="shared" si="200"/>
        <v>2021_8</v>
      </c>
      <c r="DP39" t="str">
        <f t="shared" si="200"/>
        <v>2021_8</v>
      </c>
      <c r="DQ39" t="str">
        <f t="shared" si="200"/>
        <v>2021_8</v>
      </c>
      <c r="DR39" t="str">
        <f t="shared" si="200"/>
        <v>2021_8</v>
      </c>
      <c r="DS39" t="str">
        <f t="shared" si="200"/>
        <v>2021_8</v>
      </c>
      <c r="DT39" t="str">
        <f t="shared" si="200"/>
        <v>2021_8</v>
      </c>
      <c r="DU39" t="str">
        <f t="shared" si="200"/>
        <v>2021_8</v>
      </c>
      <c r="DV39" t="str">
        <f t="shared" si="200"/>
        <v>2021_8</v>
      </c>
      <c r="DW39" t="str">
        <f t="shared" si="198"/>
        <v>2021_8</v>
      </c>
      <c r="DX39" t="str">
        <f t="shared" si="198"/>
        <v>2021_8</v>
      </c>
      <c r="DY39" t="str">
        <f t="shared" si="198"/>
        <v>2021_8</v>
      </c>
      <c r="DZ39" t="str">
        <f t="shared" si="198"/>
        <v>2021_8</v>
      </c>
      <c r="EA39" t="str">
        <f t="shared" si="198"/>
        <v>2021_8</v>
      </c>
      <c r="EB39" t="str">
        <f t="shared" si="198"/>
        <v>2021_8</v>
      </c>
      <c r="EC39" t="str">
        <f t="shared" si="198"/>
        <v>2021_8</v>
      </c>
      <c r="ED39" t="str">
        <f t="shared" si="198"/>
        <v>2021_8</v>
      </c>
      <c r="EE39" t="str">
        <f t="shared" si="198"/>
        <v>2021_8</v>
      </c>
      <c r="EF39" t="str">
        <f t="shared" si="198"/>
        <v>2021_8</v>
      </c>
      <c r="EG39" t="str">
        <f t="shared" si="198"/>
        <v>2021_8</v>
      </c>
      <c r="EH39" t="str">
        <f t="shared" si="198"/>
        <v>2021_8</v>
      </c>
      <c r="EI39" t="str">
        <f t="shared" si="198"/>
        <v>2021_8</v>
      </c>
      <c r="EJ39" t="str">
        <f t="shared" si="198"/>
        <v>2021_8</v>
      </c>
      <c r="EK39" t="str">
        <f t="shared" si="198"/>
        <v>2021_8</v>
      </c>
      <c r="EL39" t="str">
        <f t="shared" si="198"/>
        <v>2021_8</v>
      </c>
      <c r="EM39" t="str">
        <f t="shared" si="199"/>
        <v>2021_8</v>
      </c>
      <c r="EN39" t="str">
        <f t="shared" si="199"/>
        <v>2021_8</v>
      </c>
      <c r="EO39" t="str">
        <f t="shared" si="199"/>
        <v>2021_8</v>
      </c>
      <c r="EP39" t="str">
        <f t="shared" si="199"/>
        <v>2021_8</v>
      </c>
      <c r="EQ39" t="str">
        <f t="shared" si="199"/>
        <v>2021_8</v>
      </c>
      <c r="ER39" t="str">
        <f t="shared" si="199"/>
        <v>2021_8</v>
      </c>
      <c r="ES39" t="str">
        <f t="shared" si="199"/>
        <v>2021_8</v>
      </c>
      <c r="ET39" t="str">
        <f t="shared" si="199"/>
        <v>2021_8</v>
      </c>
      <c r="EU39" t="str">
        <f t="shared" si="199"/>
        <v>2021_8</v>
      </c>
      <c r="EV39" t="str">
        <f t="shared" si="199"/>
        <v>2021_8</v>
      </c>
      <c r="EW39" t="str">
        <f t="shared" si="199"/>
        <v>2021_8</v>
      </c>
      <c r="EX39" t="str">
        <f t="shared" si="199"/>
        <v>2021_8</v>
      </c>
      <c r="EY39" t="str">
        <f t="shared" si="199"/>
        <v>2021_8</v>
      </c>
      <c r="FB39" s="10" t="s">
        <v>37</v>
      </c>
      <c r="FC39">
        <f t="shared" si="197"/>
        <v>0</v>
      </c>
      <c r="FD39">
        <f t="shared" si="147"/>
        <v>0</v>
      </c>
      <c r="FE39">
        <f t="shared" si="148"/>
        <v>0</v>
      </c>
      <c r="FF39">
        <f t="shared" si="149"/>
        <v>0</v>
      </c>
      <c r="FG39">
        <f t="shared" si="150"/>
        <v>0</v>
      </c>
      <c r="FH39">
        <f t="shared" si="151"/>
        <v>0</v>
      </c>
      <c r="FI39">
        <f t="shared" si="152"/>
        <v>0</v>
      </c>
      <c r="FJ39">
        <f t="shared" si="153"/>
        <v>0</v>
      </c>
      <c r="FK39">
        <f t="shared" si="154"/>
        <v>0</v>
      </c>
      <c r="FL39">
        <f t="shared" si="155"/>
        <v>0</v>
      </c>
      <c r="FM39">
        <f t="shared" si="156"/>
        <v>0</v>
      </c>
      <c r="FN39">
        <f t="shared" si="157"/>
        <v>0</v>
      </c>
      <c r="FO39">
        <f t="shared" si="158"/>
        <v>0</v>
      </c>
      <c r="FP39">
        <f t="shared" si="159"/>
        <v>0</v>
      </c>
      <c r="FQ39">
        <f t="shared" si="160"/>
        <v>0</v>
      </c>
      <c r="FR39">
        <f t="shared" si="161"/>
        <v>0</v>
      </c>
      <c r="FS39">
        <f t="shared" si="162"/>
        <v>1</v>
      </c>
      <c r="FT39">
        <f t="shared" si="163"/>
        <v>1</v>
      </c>
      <c r="FU39">
        <f t="shared" si="164"/>
        <v>1</v>
      </c>
      <c r="FV39">
        <f t="shared" si="165"/>
        <v>1</v>
      </c>
      <c r="FW39">
        <f t="shared" si="166"/>
        <v>1</v>
      </c>
      <c r="FX39">
        <f t="shared" si="167"/>
        <v>1</v>
      </c>
      <c r="FY39">
        <f t="shared" si="168"/>
        <v>1</v>
      </c>
      <c r="FZ39">
        <f t="shared" si="169"/>
        <v>1</v>
      </c>
      <c r="GA39">
        <f t="shared" si="170"/>
        <v>1</v>
      </c>
      <c r="GB39">
        <f t="shared" si="171"/>
        <v>1</v>
      </c>
      <c r="GC39">
        <f t="shared" si="172"/>
        <v>1</v>
      </c>
      <c r="GD39">
        <f t="shared" si="173"/>
        <v>1</v>
      </c>
      <c r="GE39">
        <f t="shared" si="174"/>
        <v>1</v>
      </c>
      <c r="GF39">
        <f t="shared" si="175"/>
        <v>1</v>
      </c>
      <c r="GG39">
        <f t="shared" si="176"/>
        <v>1</v>
      </c>
      <c r="GH39">
        <f t="shared" si="177"/>
        <v>1</v>
      </c>
      <c r="GI39">
        <f t="shared" si="178"/>
        <v>1</v>
      </c>
      <c r="GJ39">
        <f t="shared" si="179"/>
        <v>1</v>
      </c>
      <c r="GK39">
        <f t="shared" si="180"/>
        <v>1</v>
      </c>
      <c r="GL39">
        <f t="shared" si="181"/>
        <v>1</v>
      </c>
      <c r="GM39">
        <f t="shared" si="182"/>
        <v>1</v>
      </c>
      <c r="GN39">
        <f t="shared" si="183"/>
        <v>1</v>
      </c>
      <c r="GO39">
        <f t="shared" si="184"/>
        <v>1</v>
      </c>
      <c r="GP39">
        <f t="shared" si="185"/>
        <v>1</v>
      </c>
      <c r="GQ39">
        <f t="shared" si="186"/>
        <v>1</v>
      </c>
      <c r="GR39">
        <f t="shared" si="187"/>
        <v>1</v>
      </c>
      <c r="GS39">
        <f t="shared" si="188"/>
        <v>1</v>
      </c>
      <c r="GT39">
        <f t="shared" si="189"/>
        <v>1</v>
      </c>
      <c r="GU39">
        <f t="shared" si="190"/>
        <v>1</v>
      </c>
      <c r="GX39" s="10"/>
    </row>
    <row r="40" spans="1:206" x14ac:dyDescent="0.3">
      <c r="A40" s="8" t="s">
        <v>33</v>
      </c>
      <c r="B40" s="80"/>
      <c r="C40" s="9">
        <v>3150567002</v>
      </c>
      <c r="D40" s="9" t="s">
        <v>350</v>
      </c>
      <c r="E40" s="9" t="s">
        <v>43</v>
      </c>
      <c r="F40" s="9" t="s">
        <v>35</v>
      </c>
      <c r="G40" s="9" t="s">
        <v>71</v>
      </c>
      <c r="H40" s="10">
        <v>44431</v>
      </c>
      <c r="I40" s="9">
        <f t="shared" si="191"/>
        <v>2021</v>
      </c>
      <c r="J40" s="9">
        <f t="shared" si="192"/>
        <v>8</v>
      </c>
      <c r="K40" s="9" t="str">
        <f t="shared" si="193"/>
        <v>2021_8</v>
      </c>
      <c r="L40">
        <f>MAX(0,VLOOKUP($K40,lookups!$A$1:$B$45,2,0)-12)</f>
        <v>4</v>
      </c>
      <c r="M40" s="40">
        <f t="shared" si="194"/>
        <v>44409</v>
      </c>
      <c r="N40" s="10" t="s">
        <v>37</v>
      </c>
      <c r="O40" t="str">
        <f ca="1">IF(OR($L40&gt;O$4,O$4&gt;$L40+23),"",OFFSET(Electric!$L31,0,-'Electric Calendarize'!$L40+'Electric Calendarize'!O$4+1))</f>
        <v/>
      </c>
      <c r="P40" t="str">
        <f ca="1">IF(OR($L40&gt;P$4,P$4&gt;$L40+23),"",OFFSET(Electric!$L31,0,-'Electric Calendarize'!$L40+'Electric Calendarize'!P$4+1))</f>
        <v/>
      </c>
      <c r="Q40" t="str">
        <f ca="1">IF(OR($L40&gt;Q$4,Q$4&gt;$L40+23),"",OFFSET(Electric!$L31,0,-'Electric Calendarize'!$L40+'Electric Calendarize'!Q$4+1))</f>
        <v/>
      </c>
      <c r="R40" t="str">
        <f ca="1">IF(OR($L40&gt;R$4,R$4&gt;$L40+23),"",OFFSET(Electric!$L31,0,-'Electric Calendarize'!$L40+'Electric Calendarize'!R$4+1))</f>
        <v/>
      </c>
      <c r="S40">
        <f ca="1">IF(OR($L40&gt;S$4,S$4&gt;$L40+23),"",OFFSET(Electric!$L31,0,-'Electric Calendarize'!$L40+'Electric Calendarize'!S$4+1))</f>
        <v>1136</v>
      </c>
      <c r="T40">
        <f ca="1">IF(OR($L40&gt;T$4,T$4&gt;$L40+23),"",OFFSET(Electric!$L31,0,-'Electric Calendarize'!$L40+'Electric Calendarize'!T$4+1))</f>
        <v>1168</v>
      </c>
      <c r="U40">
        <f ca="1">IF(OR($L40&gt;U$4,U$4&gt;$L40+23),"",OFFSET(Electric!$L31,0,-'Electric Calendarize'!$L40+'Electric Calendarize'!U$4+1))</f>
        <v>988</v>
      </c>
      <c r="V40">
        <f ca="1">IF(OR($L40&gt;V$4,V$4&gt;$L40+23),"",OFFSET(Electric!$L31,0,-'Electric Calendarize'!$L40+'Electric Calendarize'!V$4+1))</f>
        <v>643</v>
      </c>
      <c r="W40">
        <f ca="1">IF(OR($L40&gt;W$4,W$4&gt;$L40+23),"",OFFSET(Electric!$L31,0,-'Electric Calendarize'!$L40+'Electric Calendarize'!W$4+1))</f>
        <v>823</v>
      </c>
      <c r="X40">
        <f ca="1">IF(OR($L40&gt;X$4,X$4&gt;$L40+23),"",OFFSET(Electric!$L31,0,-'Electric Calendarize'!$L40+'Electric Calendarize'!X$4+1))</f>
        <v>707</v>
      </c>
      <c r="Y40">
        <f ca="1">IF(OR($L40&gt;Y$4,Y$4&gt;$L40+23),"",OFFSET(Electric!$L31,0,-'Electric Calendarize'!$L40+'Electric Calendarize'!Y$4+1))</f>
        <v>712</v>
      </c>
      <c r="Z40">
        <f ca="1">IF(OR($L40&gt;Z$4,Z$4&gt;$L40+23),"",OFFSET(Electric!$L31,0,-'Electric Calendarize'!$L40+'Electric Calendarize'!Z$4+1))</f>
        <v>653</v>
      </c>
      <c r="AA40">
        <f ca="1">IF(OR($L40&gt;AA$4,AA$4&gt;$L40+23),"",OFFSET(Electric!$L31,0,-'Electric Calendarize'!$L40+'Electric Calendarize'!AA$4+1))</f>
        <v>621</v>
      </c>
      <c r="AB40">
        <f ca="1">IF(OR($L40&gt;AB$4,AB$4&gt;$L40+23),"",OFFSET(Electric!$L31,0,-'Electric Calendarize'!$L40+'Electric Calendarize'!AB$4+1))</f>
        <v>766</v>
      </c>
      <c r="AC40">
        <f ca="1">IF(OR($L40&gt;AC$4,AC$4&gt;$L40+23),"",OFFSET(Electric!$L31,0,-'Electric Calendarize'!$L40+'Electric Calendarize'!AC$4+1))</f>
        <v>1119</v>
      </c>
      <c r="AD40">
        <f ca="1">IF(OR($L40&gt;AD$4,AD$4&gt;$L40+23),"",OFFSET(Electric!$L31,0,-'Electric Calendarize'!$L40+'Electric Calendarize'!AD$4+1))</f>
        <v>1169</v>
      </c>
      <c r="AE40">
        <f ca="1">IF(OR($L40&gt;AE$4,AE$4&gt;$L40+23),"",OFFSET(Electric!$L31,0,-'Electric Calendarize'!$L40+'Electric Calendarize'!AE$4+1))</f>
        <v>1042</v>
      </c>
      <c r="AF40">
        <f ca="1">IF(OR($L40&gt;AF$4,AF$4&gt;$L40+23),"",OFFSET(Electric!$L31,0,-'Electric Calendarize'!$L40+'Electric Calendarize'!AF$4+1))</f>
        <v>992</v>
      </c>
      <c r="AG40">
        <f ca="1">IF(OR($L40&gt;AG$4,AG$4&gt;$L40+23),"",OFFSET(Electric!$L31,0,-'Electric Calendarize'!$L40+'Electric Calendarize'!AG$4+1))</f>
        <v>545</v>
      </c>
      <c r="AH40">
        <f ca="1">IF(OR($L40&gt;AH$4,AH$4&gt;$L40+23),"",OFFSET(Electric!$L31,0,-'Electric Calendarize'!$L40+'Electric Calendarize'!AH$4+1))</f>
        <v>634</v>
      </c>
      <c r="AI40">
        <f ca="1">IF(OR($L40&gt;AI$4,AI$4&gt;$L40+23),"",OFFSET(Electric!$L31,0,-'Electric Calendarize'!$L40+'Electric Calendarize'!AI$4+1))</f>
        <v>764</v>
      </c>
      <c r="AJ40">
        <f ca="1">IF(OR($L40&gt;AJ$4,AJ$4&gt;$L40+23),"",OFFSET(Electric!$L31,0,-'Electric Calendarize'!$L40+'Electric Calendarize'!AJ$4+1))</f>
        <v>729</v>
      </c>
      <c r="AK40">
        <f ca="1">IF(OR($L40&gt;AK$4,AK$4&gt;$L40+23),"",OFFSET(Electric!$L31,0,-'Electric Calendarize'!$L40+'Electric Calendarize'!AK$4+1))</f>
        <v>756</v>
      </c>
      <c r="AL40">
        <f ca="1">IF(OR($L40&gt;AL$4,AL$4&gt;$L40+23),"",OFFSET(Electric!$L31,0,-'Electric Calendarize'!$L40+'Electric Calendarize'!AL$4+1))</f>
        <v>666</v>
      </c>
      <c r="AM40">
        <f ca="1">IF(OR($L40&gt;AM$4,AM$4&gt;$L40+23),"",OFFSET(Electric!$L31,0,-'Electric Calendarize'!$L40+'Electric Calendarize'!AM$4+1))</f>
        <v>580</v>
      </c>
      <c r="AN40">
        <f ca="1">IF(OR($L40&gt;AN$4,AN$4&gt;$L40+23),"",OFFSET(Electric!$L31,0,-'Electric Calendarize'!$L40+'Electric Calendarize'!AN$4+1))</f>
        <v>1528</v>
      </c>
      <c r="AO40">
        <f ca="1">IF(OR($L40&gt;AO$4,AO$4&gt;$L40+23),"",OFFSET(Electric!$L31,0,-'Electric Calendarize'!$L40+'Electric Calendarize'!AO$4+1))</f>
        <v>1951</v>
      </c>
      <c r="AP40">
        <f ca="1">IF(OR($L40&gt;AP$4,AP$4&gt;$L40+23),"",OFFSET(Electric!$L31,0,-'Electric Calendarize'!$L40+'Electric Calendarize'!AP$4+1))</f>
        <v>1768</v>
      </c>
      <c r="AQ40" t="str">
        <f ca="1">IF(OR($L40&gt;AQ$4,AQ$4&gt;$L40+23),"",OFFSET(Electric!$L31,0,-'Electric Calendarize'!$L40+'Electric Calendarize'!AQ$4+1))</f>
        <v/>
      </c>
      <c r="AR40" t="str">
        <f ca="1">IF(OR($L40&gt;AR$4,AR$4&gt;$L40+23),"",OFFSET(Electric!$L31,0,-'Electric Calendarize'!$L40+'Electric Calendarize'!AR$4+1))</f>
        <v/>
      </c>
      <c r="AS40" t="str">
        <f ca="1">IF(OR($L40&gt;AS$4,AS$4&gt;$L40+23),"",OFFSET(Electric!$L31,0,-'Electric Calendarize'!$L40+'Electric Calendarize'!AS$4+1))</f>
        <v/>
      </c>
      <c r="AT40" t="str">
        <f ca="1">IF(OR($L40&gt;AT$4,AT$4&gt;$L40+23),"",OFFSET(Electric!$L31,0,-'Electric Calendarize'!$L40+'Electric Calendarize'!AT$4+1))</f>
        <v/>
      </c>
      <c r="AU40" t="str">
        <f ca="1">IF(OR($L40&gt;AU$4,AU$4&gt;$L40+23),"",OFFSET(Electric!$L31,0,-'Electric Calendarize'!$L40+'Electric Calendarize'!AU$4+1))</f>
        <v/>
      </c>
      <c r="AV40" t="str">
        <f ca="1">IF(OR($L40&gt;AV$4,AV$4&gt;$L40+23),"",OFFSET(Electric!$L31,0,-'Electric Calendarize'!$L40+'Electric Calendarize'!AV$4+1))</f>
        <v/>
      </c>
      <c r="AW40" t="str">
        <f ca="1">IF(OR($L40&gt;AW$4,AW$4&gt;$L40+23),"",OFFSET(Electric!$L31,0,-'Electric Calendarize'!$L40+'Electric Calendarize'!AW$4+1))</f>
        <v/>
      </c>
      <c r="AX40" t="str">
        <f ca="1">IF(OR($L40&gt;AX$4,AX$4&gt;$L40+23),"",OFFSET(Electric!$L31,0,-'Electric Calendarize'!$L40+'Electric Calendarize'!AX$4+1))</f>
        <v/>
      </c>
      <c r="AY40" t="str">
        <f ca="1">IF(OR($L40&gt;AY$4,AY$4&gt;$L40+23),"",OFFSET(Electric!$L31,0,-'Electric Calendarize'!$L40+'Electric Calendarize'!AY$4+1))</f>
        <v/>
      </c>
      <c r="AZ40" t="str">
        <f ca="1">IF(OR($L40&gt;AZ$4,AZ$4&gt;$L40+23),"",OFFSET(Electric!$L31,0,-'Electric Calendarize'!$L40+'Electric Calendarize'!AZ$4+1))</f>
        <v/>
      </c>
      <c r="BA40" t="str">
        <f ca="1">IF(OR($L40&gt;BA$4,BA$4&gt;$L40+23),"",OFFSET(Electric!$L31,0,-'Electric Calendarize'!$L40+'Electric Calendarize'!BA$4+1))</f>
        <v/>
      </c>
      <c r="BB40" t="str">
        <f ca="1">IF(OR($L40&gt;BB$4,BB$4&gt;$L40+23),"",OFFSET(Electric!$L31,0,-'Electric Calendarize'!$L40+'Electric Calendarize'!BB$4+1))</f>
        <v/>
      </c>
      <c r="BC40" t="str">
        <f ca="1">IF(OR($L40&gt;BC$4,BC$4&gt;$L40+23),"",OFFSET(Electric!$L31,0,-'Electric Calendarize'!$L40+'Electric Calendarize'!BC$4+1))</f>
        <v/>
      </c>
      <c r="BD40" t="str">
        <f ca="1">IF(OR($L40&gt;BD$4,BD$4&gt;$L40+23),"",OFFSET(Electric!$L31,0,-'Electric Calendarize'!$L40+'Electric Calendarize'!BD$4+1))</f>
        <v/>
      </c>
      <c r="BE40" t="str">
        <f ca="1">IF(OR($L40&gt;BE$4,BE$4&gt;$L40+23),"",OFFSET(Electric!$L31,0,-'Electric Calendarize'!$L40+'Electric Calendarize'!BE$4+1))</f>
        <v/>
      </c>
      <c r="BF40" t="str">
        <f ca="1">IF(OR($L40&gt;BF$4,BF$4&gt;$L40+23),"",OFFSET(Electric!$L31,0,-'Electric Calendarize'!$L40+'Electric Calendarize'!BF$4+1))</f>
        <v/>
      </c>
      <c r="BG40" t="str">
        <f ca="1">IF(OR($L40&gt;BG$4,BG$4&gt;$L40+23),"",OFFSET(Electric!$L31,0,-'Electric Calendarize'!$L40+'Electric Calendarize'!BG$4+1))</f>
        <v/>
      </c>
      <c r="BJ40" s="10" t="s">
        <v>37</v>
      </c>
      <c r="BK40">
        <f t="shared" si="195"/>
        <v>1</v>
      </c>
      <c r="BL40">
        <f t="shared" si="100"/>
        <v>0</v>
      </c>
      <c r="BM40">
        <f t="shared" si="101"/>
        <v>0</v>
      </c>
      <c r="BN40">
        <f t="shared" si="102"/>
        <v>0</v>
      </c>
      <c r="BO40">
        <f t="shared" si="103"/>
        <v>0</v>
      </c>
      <c r="BP40">
        <f t="shared" si="104"/>
        <v>0</v>
      </c>
      <c r="BQ40">
        <f t="shared" si="105"/>
        <v>0</v>
      </c>
      <c r="BR40">
        <f t="shared" si="106"/>
        <v>1</v>
      </c>
      <c r="BS40">
        <f t="shared" si="107"/>
        <v>1</v>
      </c>
      <c r="BT40">
        <f t="shared" si="108"/>
        <v>1</v>
      </c>
      <c r="BU40">
        <f t="shared" si="109"/>
        <v>1</v>
      </c>
      <c r="BV40">
        <f t="shared" si="110"/>
        <v>1</v>
      </c>
      <c r="BW40">
        <f t="shared" si="111"/>
        <v>1</v>
      </c>
      <c r="BX40">
        <f t="shared" si="112"/>
        <v>0</v>
      </c>
      <c r="BY40">
        <f t="shared" si="113"/>
        <v>0</v>
      </c>
      <c r="BZ40">
        <f t="shared" si="114"/>
        <v>0</v>
      </c>
      <c r="CA40">
        <f t="shared" si="115"/>
        <v>0</v>
      </c>
      <c r="CB40">
        <f t="shared" si="116"/>
        <v>0</v>
      </c>
      <c r="CC40">
        <f t="shared" si="117"/>
        <v>0</v>
      </c>
      <c r="CD40">
        <f t="shared" si="118"/>
        <v>1</v>
      </c>
      <c r="CE40">
        <f t="shared" si="119"/>
        <v>1</v>
      </c>
      <c r="CF40">
        <f t="shared" si="120"/>
        <v>1</v>
      </c>
      <c r="CG40">
        <f t="shared" si="121"/>
        <v>1</v>
      </c>
      <c r="CH40">
        <f t="shared" si="122"/>
        <v>1</v>
      </c>
      <c r="CI40">
        <f t="shared" si="123"/>
        <v>1</v>
      </c>
      <c r="CJ40">
        <f t="shared" si="124"/>
        <v>0</v>
      </c>
      <c r="CK40">
        <f t="shared" si="125"/>
        <v>0</v>
      </c>
      <c r="CL40">
        <f t="shared" si="126"/>
        <v>0</v>
      </c>
      <c r="CM40">
        <f t="shared" si="127"/>
        <v>0</v>
      </c>
      <c r="CN40">
        <f t="shared" si="128"/>
        <v>0</v>
      </c>
      <c r="CO40">
        <f t="shared" si="129"/>
        <v>0</v>
      </c>
      <c r="CP40">
        <f t="shared" si="130"/>
        <v>1</v>
      </c>
      <c r="CQ40">
        <f t="shared" si="131"/>
        <v>1</v>
      </c>
      <c r="CR40">
        <f t="shared" si="132"/>
        <v>1</v>
      </c>
      <c r="CS40">
        <f t="shared" si="133"/>
        <v>1</v>
      </c>
      <c r="CT40">
        <f t="shared" si="134"/>
        <v>1</v>
      </c>
      <c r="CU40">
        <f t="shared" si="135"/>
        <v>1</v>
      </c>
      <c r="CV40">
        <f t="shared" si="136"/>
        <v>0</v>
      </c>
      <c r="CW40">
        <f t="shared" si="137"/>
        <v>0</v>
      </c>
      <c r="CX40">
        <f t="shared" si="138"/>
        <v>0</v>
      </c>
      <c r="CY40">
        <f t="shared" si="139"/>
        <v>0</v>
      </c>
      <c r="CZ40">
        <f t="shared" si="140"/>
        <v>0</v>
      </c>
      <c r="DA40">
        <f t="shared" si="141"/>
        <v>0</v>
      </c>
      <c r="DB40">
        <f t="shared" si="142"/>
        <v>1</v>
      </c>
      <c r="DC40">
        <f t="shared" si="143"/>
        <v>1</v>
      </c>
      <c r="DF40" s="10" t="s">
        <v>37</v>
      </c>
      <c r="DG40" t="str">
        <f t="shared" si="200"/>
        <v>2021_8</v>
      </c>
      <c r="DH40" t="str">
        <f t="shared" si="200"/>
        <v>2021_8</v>
      </c>
      <c r="DI40" t="str">
        <f t="shared" si="200"/>
        <v>2021_8</v>
      </c>
      <c r="DJ40" t="str">
        <f t="shared" si="200"/>
        <v>2021_8</v>
      </c>
      <c r="DK40" t="str">
        <f t="shared" si="200"/>
        <v>2021_8</v>
      </c>
      <c r="DL40" t="str">
        <f t="shared" si="200"/>
        <v>2021_8</v>
      </c>
      <c r="DM40" t="str">
        <f t="shared" si="200"/>
        <v>2021_8</v>
      </c>
      <c r="DN40" t="str">
        <f t="shared" si="200"/>
        <v>2021_8</v>
      </c>
      <c r="DO40" t="str">
        <f t="shared" si="200"/>
        <v>2021_8</v>
      </c>
      <c r="DP40" t="str">
        <f t="shared" si="200"/>
        <v>2021_8</v>
      </c>
      <c r="DQ40" t="str">
        <f t="shared" si="200"/>
        <v>2021_8</v>
      </c>
      <c r="DR40" t="str">
        <f t="shared" si="200"/>
        <v>2021_8</v>
      </c>
      <c r="DS40" t="str">
        <f t="shared" si="200"/>
        <v>2021_8</v>
      </c>
      <c r="DT40" t="str">
        <f t="shared" si="200"/>
        <v>2021_8</v>
      </c>
      <c r="DU40" t="str">
        <f t="shared" si="200"/>
        <v>2021_8</v>
      </c>
      <c r="DV40" t="str">
        <f t="shared" si="200"/>
        <v>2021_8</v>
      </c>
      <c r="DW40" t="str">
        <f t="shared" si="198"/>
        <v>2021_8</v>
      </c>
      <c r="DX40" t="str">
        <f t="shared" si="198"/>
        <v>2021_8</v>
      </c>
      <c r="DY40" t="str">
        <f t="shared" si="198"/>
        <v>2021_8</v>
      </c>
      <c r="DZ40" t="str">
        <f t="shared" si="198"/>
        <v>2021_8</v>
      </c>
      <c r="EA40" t="str">
        <f t="shared" si="198"/>
        <v>2021_8</v>
      </c>
      <c r="EB40" t="str">
        <f t="shared" si="198"/>
        <v>2021_8</v>
      </c>
      <c r="EC40" t="str">
        <f t="shared" si="198"/>
        <v>2021_8</v>
      </c>
      <c r="ED40" t="str">
        <f t="shared" si="198"/>
        <v>2021_8</v>
      </c>
      <c r="EE40" t="str">
        <f t="shared" si="198"/>
        <v>2021_8</v>
      </c>
      <c r="EF40" t="str">
        <f t="shared" si="198"/>
        <v>2021_8</v>
      </c>
      <c r="EG40" t="str">
        <f t="shared" si="198"/>
        <v>2021_8</v>
      </c>
      <c r="EH40" t="str">
        <f t="shared" si="198"/>
        <v>2021_8</v>
      </c>
      <c r="EI40" t="str">
        <f t="shared" si="198"/>
        <v>2021_8</v>
      </c>
      <c r="EJ40" t="str">
        <f t="shared" si="198"/>
        <v>2021_8</v>
      </c>
      <c r="EK40" t="str">
        <f t="shared" si="198"/>
        <v>2021_8</v>
      </c>
      <c r="EL40" t="str">
        <f t="shared" si="198"/>
        <v>2021_8</v>
      </c>
      <c r="EM40" t="str">
        <f t="shared" si="199"/>
        <v>2021_8</v>
      </c>
      <c r="EN40" t="str">
        <f t="shared" si="199"/>
        <v>2021_8</v>
      </c>
      <c r="EO40" t="str">
        <f t="shared" si="199"/>
        <v>2021_8</v>
      </c>
      <c r="EP40" t="str">
        <f t="shared" si="199"/>
        <v>2021_8</v>
      </c>
      <c r="EQ40" t="str">
        <f t="shared" si="199"/>
        <v>2021_8</v>
      </c>
      <c r="ER40" t="str">
        <f t="shared" si="199"/>
        <v>2021_8</v>
      </c>
      <c r="ES40" t="str">
        <f t="shared" si="199"/>
        <v>2021_8</v>
      </c>
      <c r="ET40" t="str">
        <f t="shared" si="199"/>
        <v>2021_8</v>
      </c>
      <c r="EU40" t="str">
        <f t="shared" si="199"/>
        <v>2021_8</v>
      </c>
      <c r="EV40" t="str">
        <f t="shared" si="199"/>
        <v>2021_8</v>
      </c>
      <c r="EW40" t="str">
        <f t="shared" si="199"/>
        <v>2021_8</v>
      </c>
      <c r="EX40" t="str">
        <f t="shared" si="199"/>
        <v>2021_8</v>
      </c>
      <c r="EY40" t="str">
        <f t="shared" si="199"/>
        <v>2021_8</v>
      </c>
      <c r="FB40" s="10" t="s">
        <v>37</v>
      </c>
      <c r="FC40">
        <f t="shared" si="197"/>
        <v>0</v>
      </c>
      <c r="FD40">
        <f t="shared" si="147"/>
        <v>0</v>
      </c>
      <c r="FE40">
        <f t="shared" si="148"/>
        <v>0</v>
      </c>
      <c r="FF40">
        <f t="shared" si="149"/>
        <v>0</v>
      </c>
      <c r="FG40">
        <f t="shared" si="150"/>
        <v>0</v>
      </c>
      <c r="FH40">
        <f t="shared" si="151"/>
        <v>0</v>
      </c>
      <c r="FI40">
        <f t="shared" si="152"/>
        <v>0</v>
      </c>
      <c r="FJ40">
        <f t="shared" si="153"/>
        <v>0</v>
      </c>
      <c r="FK40">
        <f t="shared" si="154"/>
        <v>0</v>
      </c>
      <c r="FL40">
        <f t="shared" si="155"/>
        <v>0</v>
      </c>
      <c r="FM40">
        <f t="shared" si="156"/>
        <v>0</v>
      </c>
      <c r="FN40">
        <f t="shared" si="157"/>
        <v>0</v>
      </c>
      <c r="FO40">
        <f t="shared" si="158"/>
        <v>0</v>
      </c>
      <c r="FP40">
        <f t="shared" si="159"/>
        <v>0</v>
      </c>
      <c r="FQ40">
        <f t="shared" si="160"/>
        <v>0</v>
      </c>
      <c r="FR40">
        <f t="shared" si="161"/>
        <v>0</v>
      </c>
      <c r="FS40">
        <f t="shared" si="162"/>
        <v>1</v>
      </c>
      <c r="FT40">
        <f t="shared" si="163"/>
        <v>1</v>
      </c>
      <c r="FU40">
        <f t="shared" si="164"/>
        <v>1</v>
      </c>
      <c r="FV40">
        <f t="shared" si="165"/>
        <v>1</v>
      </c>
      <c r="FW40">
        <f t="shared" si="166"/>
        <v>1</v>
      </c>
      <c r="FX40">
        <f t="shared" si="167"/>
        <v>1</v>
      </c>
      <c r="FY40">
        <f t="shared" si="168"/>
        <v>1</v>
      </c>
      <c r="FZ40">
        <f t="shared" si="169"/>
        <v>1</v>
      </c>
      <c r="GA40">
        <f t="shared" si="170"/>
        <v>1</v>
      </c>
      <c r="GB40">
        <f t="shared" si="171"/>
        <v>1</v>
      </c>
      <c r="GC40">
        <f t="shared" si="172"/>
        <v>1</v>
      </c>
      <c r="GD40">
        <f t="shared" si="173"/>
        <v>1</v>
      </c>
      <c r="GE40">
        <f t="shared" si="174"/>
        <v>1</v>
      </c>
      <c r="GF40">
        <f t="shared" si="175"/>
        <v>1</v>
      </c>
      <c r="GG40">
        <f t="shared" si="176"/>
        <v>1</v>
      </c>
      <c r="GH40">
        <f t="shared" si="177"/>
        <v>1</v>
      </c>
      <c r="GI40">
        <f t="shared" si="178"/>
        <v>1</v>
      </c>
      <c r="GJ40">
        <f t="shared" si="179"/>
        <v>1</v>
      </c>
      <c r="GK40">
        <f t="shared" si="180"/>
        <v>1</v>
      </c>
      <c r="GL40">
        <f t="shared" si="181"/>
        <v>1</v>
      </c>
      <c r="GM40">
        <f t="shared" si="182"/>
        <v>1</v>
      </c>
      <c r="GN40">
        <f t="shared" si="183"/>
        <v>1</v>
      </c>
      <c r="GO40">
        <f t="shared" si="184"/>
        <v>1</v>
      </c>
      <c r="GP40">
        <f t="shared" si="185"/>
        <v>1</v>
      </c>
      <c r="GQ40">
        <f t="shared" si="186"/>
        <v>1</v>
      </c>
      <c r="GR40">
        <f t="shared" si="187"/>
        <v>1</v>
      </c>
      <c r="GS40">
        <f t="shared" si="188"/>
        <v>1</v>
      </c>
      <c r="GT40">
        <f t="shared" si="189"/>
        <v>1</v>
      </c>
      <c r="GU40">
        <f t="shared" si="190"/>
        <v>1</v>
      </c>
      <c r="GX40" s="10"/>
    </row>
    <row r="41" spans="1:206" x14ac:dyDescent="0.3">
      <c r="A41" s="9" t="s">
        <v>46</v>
      </c>
      <c r="B41" s="80"/>
      <c r="C41" s="9">
        <v>3080924002</v>
      </c>
      <c r="D41" s="9" t="s">
        <v>376</v>
      </c>
      <c r="E41" s="9" t="s">
        <v>34</v>
      </c>
      <c r="F41" s="9" t="s">
        <v>35</v>
      </c>
      <c r="G41" s="9" t="s">
        <v>72</v>
      </c>
      <c r="H41" s="10">
        <v>44432</v>
      </c>
      <c r="I41" s="9">
        <f t="shared" si="191"/>
        <v>2021</v>
      </c>
      <c r="J41" s="9">
        <f t="shared" si="192"/>
        <v>8</v>
      </c>
      <c r="K41" s="9" t="str">
        <f t="shared" si="193"/>
        <v>2021_8</v>
      </c>
      <c r="L41">
        <f>MAX(0,VLOOKUP($K41,lookups!$A$1:$B$45,2,0)-12)</f>
        <v>4</v>
      </c>
      <c r="M41" s="40">
        <f t="shared" si="194"/>
        <v>44409</v>
      </c>
      <c r="N41" s="10" t="s">
        <v>37</v>
      </c>
      <c r="O41" t="str">
        <f ca="1">IF(OR($L41&gt;O$4,O$4&gt;$L41+23),"",OFFSET(Electric!$L32,0,-'Electric Calendarize'!$L41+'Electric Calendarize'!O$4+1))</f>
        <v/>
      </c>
      <c r="P41" t="str">
        <f ca="1">IF(OR($L41&gt;P$4,P$4&gt;$L41+23),"",OFFSET(Electric!$L32,0,-'Electric Calendarize'!$L41+'Electric Calendarize'!P$4+1))</f>
        <v/>
      </c>
      <c r="Q41" t="str">
        <f ca="1">IF(OR($L41&gt;Q$4,Q$4&gt;$L41+23),"",OFFSET(Electric!$L32,0,-'Electric Calendarize'!$L41+'Electric Calendarize'!Q$4+1))</f>
        <v/>
      </c>
      <c r="R41" t="str">
        <f ca="1">IF(OR($L41&gt;R$4,R$4&gt;$L41+23),"",OFFSET(Electric!$L32,0,-'Electric Calendarize'!$L41+'Electric Calendarize'!R$4+1))</f>
        <v/>
      </c>
      <c r="S41">
        <f ca="1">IF(OR($L41&gt;S$4,S$4&gt;$L41+23),"",OFFSET(Electric!$L32,0,-'Electric Calendarize'!$L41+'Electric Calendarize'!S$4+1))</f>
        <v>0</v>
      </c>
      <c r="T41">
        <f ca="1">IF(OR($L41&gt;T$4,T$4&gt;$L41+23),"",OFFSET(Electric!$L32,0,-'Electric Calendarize'!$L41+'Electric Calendarize'!T$4+1))</f>
        <v>0</v>
      </c>
      <c r="U41">
        <f ca="1">IF(OR($L41&gt;U$4,U$4&gt;$L41+23),"",OFFSET(Electric!$L32,0,-'Electric Calendarize'!$L41+'Electric Calendarize'!U$4+1))</f>
        <v>0</v>
      </c>
      <c r="V41">
        <f ca="1">IF(OR($L41&gt;V$4,V$4&gt;$L41+23),"",OFFSET(Electric!$L32,0,-'Electric Calendarize'!$L41+'Electric Calendarize'!V$4+1))</f>
        <v>0</v>
      </c>
      <c r="W41">
        <f ca="1">IF(OR($L41&gt;W$4,W$4&gt;$L41+23),"",OFFSET(Electric!$L32,0,-'Electric Calendarize'!$L41+'Electric Calendarize'!W$4+1))</f>
        <v>0</v>
      </c>
      <c r="X41">
        <f ca="1">IF(OR($L41&gt;X$4,X$4&gt;$L41+23),"",OFFSET(Electric!$L32,0,-'Electric Calendarize'!$L41+'Electric Calendarize'!X$4+1))</f>
        <v>0</v>
      </c>
      <c r="Y41">
        <f ca="1">IF(OR($L41&gt;Y$4,Y$4&gt;$L41+23),"",OFFSET(Electric!$L32,0,-'Electric Calendarize'!$L41+'Electric Calendarize'!Y$4+1))</f>
        <v>0</v>
      </c>
      <c r="Z41">
        <f ca="1">IF(OR($L41&gt;Z$4,Z$4&gt;$L41+23),"",OFFSET(Electric!$L32,0,-'Electric Calendarize'!$L41+'Electric Calendarize'!Z$4+1))</f>
        <v>0</v>
      </c>
      <c r="AA41">
        <f ca="1">IF(OR($L41&gt;AA$4,AA$4&gt;$L41+23),"",OFFSET(Electric!$L32,0,-'Electric Calendarize'!$L41+'Electric Calendarize'!AA$4+1))</f>
        <v>0</v>
      </c>
      <c r="AB41">
        <f ca="1">IF(OR($L41&gt;AB$4,AB$4&gt;$L41+23),"",OFFSET(Electric!$L32,0,-'Electric Calendarize'!$L41+'Electric Calendarize'!AB$4+1))</f>
        <v>0</v>
      </c>
      <c r="AC41">
        <f ca="1">IF(OR($L41&gt;AC$4,AC$4&gt;$L41+23),"",OFFSET(Electric!$L32,0,-'Electric Calendarize'!$L41+'Electric Calendarize'!AC$4+1))</f>
        <v>367</v>
      </c>
      <c r="AD41">
        <f ca="1">IF(OR($L41&gt;AD$4,AD$4&gt;$L41+23),"",OFFSET(Electric!$L32,0,-'Electric Calendarize'!$L41+'Electric Calendarize'!AD$4+1))</f>
        <v>533</v>
      </c>
      <c r="AE41">
        <f ca="1">IF(OR($L41&gt;AE$4,AE$4&gt;$L41+23),"",OFFSET(Electric!$L32,0,-'Electric Calendarize'!$L41+'Electric Calendarize'!AE$4+1))</f>
        <v>686</v>
      </c>
      <c r="AF41">
        <f ca="1">IF(OR($L41&gt;AF$4,AF$4&gt;$L41+23),"",OFFSET(Electric!$L32,0,-'Electric Calendarize'!$L41+'Electric Calendarize'!AF$4+1))</f>
        <v>895</v>
      </c>
      <c r="AG41">
        <f ca="1">IF(OR($L41&gt;AG$4,AG$4&gt;$L41+23),"",OFFSET(Electric!$L32,0,-'Electric Calendarize'!$L41+'Electric Calendarize'!AG$4+1))</f>
        <v>928</v>
      </c>
      <c r="AH41">
        <f ca="1">IF(OR($L41&gt;AH$4,AH$4&gt;$L41+23),"",OFFSET(Electric!$L32,0,-'Electric Calendarize'!$L41+'Electric Calendarize'!AH$4+1))</f>
        <v>2198</v>
      </c>
      <c r="AI41">
        <f ca="1">IF(OR($L41&gt;AI$4,AI$4&gt;$L41+23),"",OFFSET(Electric!$L32,0,-'Electric Calendarize'!$L41+'Electric Calendarize'!AI$4+1))</f>
        <v>2196</v>
      </c>
      <c r="AJ41">
        <f ca="1">IF(OR($L41&gt;AJ$4,AJ$4&gt;$L41+23),"",OFFSET(Electric!$L32,0,-'Electric Calendarize'!$L41+'Electric Calendarize'!AJ$4+1))</f>
        <v>2126</v>
      </c>
      <c r="AK41">
        <f ca="1">IF(OR($L41&gt;AK$4,AK$4&gt;$L41+23),"",OFFSET(Electric!$L32,0,-'Electric Calendarize'!$L41+'Electric Calendarize'!AK$4+1))</f>
        <v>1340</v>
      </c>
      <c r="AL41">
        <f ca="1">IF(OR($L41&gt;AL$4,AL$4&gt;$L41+23),"",OFFSET(Electric!$L32,0,-'Electric Calendarize'!$L41+'Electric Calendarize'!AL$4+1))</f>
        <v>1384</v>
      </c>
      <c r="AM41">
        <f ca="1">IF(OR($L41&gt;AM$4,AM$4&gt;$L41+23),"",OFFSET(Electric!$L32,0,-'Electric Calendarize'!$L41+'Electric Calendarize'!AM$4+1))</f>
        <v>1544</v>
      </c>
      <c r="AN41">
        <f ca="1">IF(OR($L41&gt;AN$4,AN$4&gt;$L41+23),"",OFFSET(Electric!$L32,0,-'Electric Calendarize'!$L41+'Electric Calendarize'!AN$4+1))</f>
        <v>1290</v>
      </c>
      <c r="AO41">
        <f ca="1">IF(OR($L41&gt;AO$4,AO$4&gt;$L41+23),"",OFFSET(Electric!$L32,0,-'Electric Calendarize'!$L41+'Electric Calendarize'!AO$4+1))</f>
        <v>656</v>
      </c>
      <c r="AP41">
        <f ca="1">IF(OR($L41&gt;AP$4,AP$4&gt;$L41+23),"",OFFSET(Electric!$L32,0,-'Electric Calendarize'!$L41+'Electric Calendarize'!AP$4+1))</f>
        <v>880</v>
      </c>
      <c r="AQ41" t="str">
        <f ca="1">IF(OR($L41&gt;AQ$4,AQ$4&gt;$L41+23),"",OFFSET(Electric!$L32,0,-'Electric Calendarize'!$L41+'Electric Calendarize'!AQ$4+1))</f>
        <v/>
      </c>
      <c r="AR41" t="str">
        <f ca="1">IF(OR($L41&gt;AR$4,AR$4&gt;$L41+23),"",OFFSET(Electric!$L32,0,-'Electric Calendarize'!$L41+'Electric Calendarize'!AR$4+1))</f>
        <v/>
      </c>
      <c r="AS41" t="str">
        <f ca="1">IF(OR($L41&gt;AS$4,AS$4&gt;$L41+23),"",OFFSET(Electric!$L32,0,-'Electric Calendarize'!$L41+'Electric Calendarize'!AS$4+1))</f>
        <v/>
      </c>
      <c r="AT41" t="str">
        <f ca="1">IF(OR($L41&gt;AT$4,AT$4&gt;$L41+23),"",OFFSET(Electric!$L32,0,-'Electric Calendarize'!$L41+'Electric Calendarize'!AT$4+1))</f>
        <v/>
      </c>
      <c r="AU41" t="str">
        <f ca="1">IF(OR($L41&gt;AU$4,AU$4&gt;$L41+23),"",OFFSET(Electric!$L32,0,-'Electric Calendarize'!$L41+'Electric Calendarize'!AU$4+1))</f>
        <v/>
      </c>
      <c r="AV41" t="str">
        <f ca="1">IF(OR($L41&gt;AV$4,AV$4&gt;$L41+23),"",OFFSET(Electric!$L32,0,-'Electric Calendarize'!$L41+'Electric Calendarize'!AV$4+1))</f>
        <v/>
      </c>
      <c r="AW41" t="str">
        <f ca="1">IF(OR($L41&gt;AW$4,AW$4&gt;$L41+23),"",OFFSET(Electric!$L32,0,-'Electric Calendarize'!$L41+'Electric Calendarize'!AW$4+1))</f>
        <v/>
      </c>
      <c r="AX41" t="str">
        <f ca="1">IF(OR($L41&gt;AX$4,AX$4&gt;$L41+23),"",OFFSET(Electric!$L32,0,-'Electric Calendarize'!$L41+'Electric Calendarize'!AX$4+1))</f>
        <v/>
      </c>
      <c r="AY41" t="str">
        <f ca="1">IF(OR($L41&gt;AY$4,AY$4&gt;$L41+23),"",OFFSET(Electric!$L32,0,-'Electric Calendarize'!$L41+'Electric Calendarize'!AY$4+1))</f>
        <v/>
      </c>
      <c r="AZ41" t="str">
        <f ca="1">IF(OR($L41&gt;AZ$4,AZ$4&gt;$L41+23),"",OFFSET(Electric!$L32,0,-'Electric Calendarize'!$L41+'Electric Calendarize'!AZ$4+1))</f>
        <v/>
      </c>
      <c r="BA41" t="str">
        <f ca="1">IF(OR($L41&gt;BA$4,BA$4&gt;$L41+23),"",OFFSET(Electric!$L32,0,-'Electric Calendarize'!$L41+'Electric Calendarize'!BA$4+1))</f>
        <v/>
      </c>
      <c r="BB41" t="str">
        <f ca="1">IF(OR($L41&gt;BB$4,BB$4&gt;$L41+23),"",OFFSET(Electric!$L32,0,-'Electric Calendarize'!$L41+'Electric Calendarize'!BB$4+1))</f>
        <v/>
      </c>
      <c r="BC41" t="str">
        <f ca="1">IF(OR($L41&gt;BC$4,BC$4&gt;$L41+23),"",OFFSET(Electric!$L32,0,-'Electric Calendarize'!$L41+'Electric Calendarize'!BC$4+1))</f>
        <v/>
      </c>
      <c r="BD41" t="str">
        <f ca="1">IF(OR($L41&gt;BD$4,BD$4&gt;$L41+23),"",OFFSET(Electric!$L32,0,-'Electric Calendarize'!$L41+'Electric Calendarize'!BD$4+1))</f>
        <v/>
      </c>
      <c r="BE41" t="str">
        <f ca="1">IF(OR($L41&gt;BE$4,BE$4&gt;$L41+23),"",OFFSET(Electric!$L32,0,-'Electric Calendarize'!$L41+'Electric Calendarize'!BE$4+1))</f>
        <v/>
      </c>
      <c r="BF41" t="str">
        <f ca="1">IF(OR($L41&gt;BF$4,BF$4&gt;$L41+23),"",OFFSET(Electric!$L32,0,-'Electric Calendarize'!$L41+'Electric Calendarize'!BF$4+1))</f>
        <v/>
      </c>
      <c r="BG41" t="str">
        <f ca="1">IF(OR($L41&gt;BG$4,BG$4&gt;$L41+23),"",OFFSET(Electric!$L32,0,-'Electric Calendarize'!$L41+'Electric Calendarize'!BG$4+1))</f>
        <v/>
      </c>
      <c r="BJ41" s="10" t="s">
        <v>37</v>
      </c>
      <c r="BK41">
        <f t="shared" si="195"/>
        <v>1</v>
      </c>
      <c r="BL41">
        <f t="shared" si="100"/>
        <v>0</v>
      </c>
      <c r="BM41">
        <f t="shared" si="101"/>
        <v>0</v>
      </c>
      <c r="BN41">
        <f t="shared" si="102"/>
        <v>0</v>
      </c>
      <c r="BO41">
        <f t="shared" si="103"/>
        <v>0</v>
      </c>
      <c r="BP41">
        <f t="shared" si="104"/>
        <v>0</v>
      </c>
      <c r="BQ41">
        <f t="shared" si="105"/>
        <v>0</v>
      </c>
      <c r="BR41">
        <f t="shared" si="106"/>
        <v>1</v>
      </c>
      <c r="BS41">
        <f t="shared" si="107"/>
        <v>1</v>
      </c>
      <c r="BT41">
        <f t="shared" si="108"/>
        <v>1</v>
      </c>
      <c r="BU41">
        <f t="shared" si="109"/>
        <v>1</v>
      </c>
      <c r="BV41">
        <f t="shared" si="110"/>
        <v>1</v>
      </c>
      <c r="BW41">
        <f t="shared" si="111"/>
        <v>1</v>
      </c>
      <c r="BX41">
        <f t="shared" si="112"/>
        <v>0</v>
      </c>
      <c r="BY41">
        <f t="shared" si="113"/>
        <v>0</v>
      </c>
      <c r="BZ41">
        <f t="shared" si="114"/>
        <v>0</v>
      </c>
      <c r="CA41">
        <f t="shared" si="115"/>
        <v>0</v>
      </c>
      <c r="CB41">
        <f t="shared" si="116"/>
        <v>0</v>
      </c>
      <c r="CC41">
        <f t="shared" si="117"/>
        <v>0</v>
      </c>
      <c r="CD41">
        <f t="shared" si="118"/>
        <v>1</v>
      </c>
      <c r="CE41">
        <f t="shared" si="119"/>
        <v>1</v>
      </c>
      <c r="CF41">
        <f t="shared" si="120"/>
        <v>1</v>
      </c>
      <c r="CG41">
        <f t="shared" si="121"/>
        <v>1</v>
      </c>
      <c r="CH41">
        <f t="shared" si="122"/>
        <v>1</v>
      </c>
      <c r="CI41">
        <f t="shared" si="123"/>
        <v>1</v>
      </c>
      <c r="CJ41">
        <f t="shared" si="124"/>
        <v>0</v>
      </c>
      <c r="CK41">
        <f t="shared" si="125"/>
        <v>0</v>
      </c>
      <c r="CL41">
        <f t="shared" si="126"/>
        <v>0</v>
      </c>
      <c r="CM41">
        <f t="shared" si="127"/>
        <v>0</v>
      </c>
      <c r="CN41">
        <f t="shared" si="128"/>
        <v>0</v>
      </c>
      <c r="CO41">
        <f t="shared" si="129"/>
        <v>0</v>
      </c>
      <c r="CP41">
        <f t="shared" si="130"/>
        <v>1</v>
      </c>
      <c r="CQ41">
        <f t="shared" si="131"/>
        <v>1</v>
      </c>
      <c r="CR41">
        <f t="shared" si="132"/>
        <v>1</v>
      </c>
      <c r="CS41">
        <f t="shared" si="133"/>
        <v>1</v>
      </c>
      <c r="CT41">
        <f t="shared" si="134"/>
        <v>1</v>
      </c>
      <c r="CU41">
        <f t="shared" si="135"/>
        <v>1</v>
      </c>
      <c r="CV41">
        <f t="shared" si="136"/>
        <v>0</v>
      </c>
      <c r="CW41">
        <f t="shared" si="137"/>
        <v>0</v>
      </c>
      <c r="CX41">
        <f t="shared" si="138"/>
        <v>0</v>
      </c>
      <c r="CY41">
        <f t="shared" si="139"/>
        <v>0</v>
      </c>
      <c r="CZ41">
        <f t="shared" si="140"/>
        <v>0</v>
      </c>
      <c r="DA41">
        <f t="shared" si="141"/>
        <v>0</v>
      </c>
      <c r="DB41">
        <f t="shared" si="142"/>
        <v>1</v>
      </c>
      <c r="DC41">
        <f t="shared" si="143"/>
        <v>1</v>
      </c>
      <c r="DF41" s="10" t="s">
        <v>37</v>
      </c>
      <c r="DG41" t="str">
        <f t="shared" si="200"/>
        <v>2021_8</v>
      </c>
      <c r="DH41" t="str">
        <f t="shared" si="200"/>
        <v>2021_8</v>
      </c>
      <c r="DI41" t="str">
        <f t="shared" si="200"/>
        <v>2021_8</v>
      </c>
      <c r="DJ41" t="str">
        <f t="shared" si="200"/>
        <v>2021_8</v>
      </c>
      <c r="DK41" t="str">
        <f t="shared" si="200"/>
        <v>2021_8</v>
      </c>
      <c r="DL41" t="str">
        <f t="shared" si="200"/>
        <v>2021_8</v>
      </c>
      <c r="DM41" t="str">
        <f t="shared" si="200"/>
        <v>2021_8</v>
      </c>
      <c r="DN41" t="str">
        <f t="shared" si="200"/>
        <v>2021_8</v>
      </c>
      <c r="DO41" t="str">
        <f t="shared" si="200"/>
        <v>2021_8</v>
      </c>
      <c r="DP41" t="str">
        <f t="shared" si="200"/>
        <v>2021_8</v>
      </c>
      <c r="DQ41" t="str">
        <f t="shared" si="200"/>
        <v>2021_8</v>
      </c>
      <c r="DR41" t="str">
        <f t="shared" si="200"/>
        <v>2021_8</v>
      </c>
      <c r="DS41" t="str">
        <f t="shared" si="200"/>
        <v>2021_8</v>
      </c>
      <c r="DT41" t="str">
        <f t="shared" si="200"/>
        <v>2021_8</v>
      </c>
      <c r="DU41" t="str">
        <f t="shared" si="200"/>
        <v>2021_8</v>
      </c>
      <c r="DV41" t="str">
        <f t="shared" si="200"/>
        <v>2021_8</v>
      </c>
      <c r="DW41" t="str">
        <f t="shared" si="198"/>
        <v>2021_8</v>
      </c>
      <c r="DX41" t="str">
        <f t="shared" si="198"/>
        <v>2021_8</v>
      </c>
      <c r="DY41" t="str">
        <f t="shared" si="198"/>
        <v>2021_8</v>
      </c>
      <c r="DZ41" t="str">
        <f t="shared" si="198"/>
        <v>2021_8</v>
      </c>
      <c r="EA41" t="str">
        <f t="shared" si="198"/>
        <v>2021_8</v>
      </c>
      <c r="EB41" t="str">
        <f t="shared" si="198"/>
        <v>2021_8</v>
      </c>
      <c r="EC41" t="str">
        <f t="shared" si="198"/>
        <v>2021_8</v>
      </c>
      <c r="ED41" t="str">
        <f t="shared" si="198"/>
        <v>2021_8</v>
      </c>
      <c r="EE41" t="str">
        <f t="shared" si="198"/>
        <v>2021_8</v>
      </c>
      <c r="EF41" t="str">
        <f t="shared" si="198"/>
        <v>2021_8</v>
      </c>
      <c r="EG41" t="str">
        <f t="shared" si="198"/>
        <v>2021_8</v>
      </c>
      <c r="EH41" t="str">
        <f t="shared" si="198"/>
        <v>2021_8</v>
      </c>
      <c r="EI41" t="str">
        <f t="shared" si="198"/>
        <v>2021_8</v>
      </c>
      <c r="EJ41" t="str">
        <f t="shared" si="198"/>
        <v>2021_8</v>
      </c>
      <c r="EK41" t="str">
        <f t="shared" si="198"/>
        <v>2021_8</v>
      </c>
      <c r="EL41" t="str">
        <f t="shared" si="198"/>
        <v>2021_8</v>
      </c>
      <c r="EM41" t="str">
        <f t="shared" si="199"/>
        <v>2021_8</v>
      </c>
      <c r="EN41" t="str">
        <f t="shared" si="199"/>
        <v>2021_8</v>
      </c>
      <c r="EO41" t="str">
        <f t="shared" si="199"/>
        <v>2021_8</v>
      </c>
      <c r="EP41" t="str">
        <f t="shared" si="199"/>
        <v>2021_8</v>
      </c>
      <c r="EQ41" t="str">
        <f t="shared" si="199"/>
        <v>2021_8</v>
      </c>
      <c r="ER41" t="str">
        <f t="shared" si="199"/>
        <v>2021_8</v>
      </c>
      <c r="ES41" t="str">
        <f t="shared" si="199"/>
        <v>2021_8</v>
      </c>
      <c r="ET41" t="str">
        <f t="shared" si="199"/>
        <v>2021_8</v>
      </c>
      <c r="EU41" t="str">
        <f t="shared" si="199"/>
        <v>2021_8</v>
      </c>
      <c r="EV41" t="str">
        <f t="shared" si="199"/>
        <v>2021_8</v>
      </c>
      <c r="EW41" t="str">
        <f t="shared" si="199"/>
        <v>2021_8</v>
      </c>
      <c r="EX41" t="str">
        <f t="shared" si="199"/>
        <v>2021_8</v>
      </c>
      <c r="EY41" t="str">
        <f t="shared" si="199"/>
        <v>2021_8</v>
      </c>
      <c r="FB41" s="10" t="s">
        <v>37</v>
      </c>
      <c r="FC41">
        <f t="shared" si="197"/>
        <v>0</v>
      </c>
      <c r="FD41">
        <f t="shared" si="147"/>
        <v>0</v>
      </c>
      <c r="FE41">
        <f t="shared" si="148"/>
        <v>0</v>
      </c>
      <c r="FF41">
        <f t="shared" si="149"/>
        <v>0</v>
      </c>
      <c r="FG41">
        <f t="shared" si="150"/>
        <v>0</v>
      </c>
      <c r="FH41">
        <f t="shared" si="151"/>
        <v>0</v>
      </c>
      <c r="FI41">
        <f t="shared" si="152"/>
        <v>0</v>
      </c>
      <c r="FJ41">
        <f t="shared" si="153"/>
        <v>0</v>
      </c>
      <c r="FK41">
        <f t="shared" si="154"/>
        <v>0</v>
      </c>
      <c r="FL41">
        <f t="shared" si="155"/>
        <v>0</v>
      </c>
      <c r="FM41">
        <f t="shared" si="156"/>
        <v>0</v>
      </c>
      <c r="FN41">
        <f t="shared" si="157"/>
        <v>0</v>
      </c>
      <c r="FO41">
        <f t="shared" si="158"/>
        <v>0</v>
      </c>
      <c r="FP41">
        <f t="shared" si="159"/>
        <v>0</v>
      </c>
      <c r="FQ41">
        <f t="shared" si="160"/>
        <v>0</v>
      </c>
      <c r="FR41">
        <f t="shared" si="161"/>
        <v>0</v>
      </c>
      <c r="FS41">
        <f t="shared" si="162"/>
        <v>1</v>
      </c>
      <c r="FT41">
        <f t="shared" si="163"/>
        <v>1</v>
      </c>
      <c r="FU41">
        <f t="shared" si="164"/>
        <v>1</v>
      </c>
      <c r="FV41">
        <f t="shared" si="165"/>
        <v>1</v>
      </c>
      <c r="FW41">
        <f t="shared" si="166"/>
        <v>1</v>
      </c>
      <c r="FX41">
        <f t="shared" si="167"/>
        <v>1</v>
      </c>
      <c r="FY41">
        <f t="shared" si="168"/>
        <v>1</v>
      </c>
      <c r="FZ41">
        <f t="shared" si="169"/>
        <v>1</v>
      </c>
      <c r="GA41">
        <f t="shared" si="170"/>
        <v>1</v>
      </c>
      <c r="GB41">
        <f t="shared" si="171"/>
        <v>1</v>
      </c>
      <c r="GC41">
        <f t="shared" si="172"/>
        <v>1</v>
      </c>
      <c r="GD41">
        <f t="shared" si="173"/>
        <v>1</v>
      </c>
      <c r="GE41">
        <f t="shared" si="174"/>
        <v>1</v>
      </c>
      <c r="GF41">
        <f t="shared" si="175"/>
        <v>1</v>
      </c>
      <c r="GG41">
        <f t="shared" si="176"/>
        <v>1</v>
      </c>
      <c r="GH41">
        <f t="shared" si="177"/>
        <v>1</v>
      </c>
      <c r="GI41">
        <f t="shared" si="178"/>
        <v>1</v>
      </c>
      <c r="GJ41">
        <f t="shared" si="179"/>
        <v>1</v>
      </c>
      <c r="GK41">
        <f t="shared" si="180"/>
        <v>1</v>
      </c>
      <c r="GL41">
        <f t="shared" si="181"/>
        <v>1</v>
      </c>
      <c r="GM41">
        <f t="shared" si="182"/>
        <v>1</v>
      </c>
      <c r="GN41">
        <f t="shared" si="183"/>
        <v>1</v>
      </c>
      <c r="GO41">
        <f t="shared" si="184"/>
        <v>1</v>
      </c>
      <c r="GP41">
        <f t="shared" si="185"/>
        <v>1</v>
      </c>
      <c r="GQ41">
        <f t="shared" si="186"/>
        <v>1</v>
      </c>
      <c r="GR41">
        <f t="shared" si="187"/>
        <v>1</v>
      </c>
      <c r="GS41">
        <f t="shared" si="188"/>
        <v>1</v>
      </c>
      <c r="GT41">
        <f t="shared" si="189"/>
        <v>1</v>
      </c>
      <c r="GU41">
        <f t="shared" si="190"/>
        <v>1</v>
      </c>
      <c r="GX41" s="10"/>
    </row>
    <row r="42" spans="1:206" x14ac:dyDescent="0.3">
      <c r="A42" s="9" t="s">
        <v>55</v>
      </c>
      <c r="B42" s="80"/>
      <c r="C42" s="9">
        <v>3140412000</v>
      </c>
      <c r="D42" s="9" t="s">
        <v>377</v>
      </c>
      <c r="E42" s="9" t="s">
        <v>43</v>
      </c>
      <c r="F42" s="9" t="s">
        <v>35</v>
      </c>
      <c r="G42" s="9" t="s">
        <v>73</v>
      </c>
      <c r="H42" s="10">
        <v>44434</v>
      </c>
      <c r="I42" s="9">
        <f t="shared" si="191"/>
        <v>2021</v>
      </c>
      <c r="J42" s="9">
        <f t="shared" si="192"/>
        <v>8</v>
      </c>
      <c r="K42" s="9" t="str">
        <f t="shared" si="193"/>
        <v>2021_8</v>
      </c>
      <c r="L42">
        <f>MAX(0,VLOOKUP($K42,lookups!$A$1:$B$45,2,0)-12)</f>
        <v>4</v>
      </c>
      <c r="M42" s="40">
        <f t="shared" si="194"/>
        <v>44409</v>
      </c>
      <c r="N42" s="10" t="s">
        <v>37</v>
      </c>
      <c r="O42" t="str">
        <f ca="1">IF(OR($L42&gt;O$4,O$4&gt;$L42+23),"",OFFSET(Electric!$L33,0,-'Electric Calendarize'!$L42+'Electric Calendarize'!O$4+1))</f>
        <v/>
      </c>
      <c r="P42" t="str">
        <f ca="1">IF(OR($L42&gt;P$4,P$4&gt;$L42+23),"",OFFSET(Electric!$L33,0,-'Electric Calendarize'!$L42+'Electric Calendarize'!P$4+1))</f>
        <v/>
      </c>
      <c r="Q42" t="str">
        <f ca="1">IF(OR($L42&gt;Q$4,Q$4&gt;$L42+23),"",OFFSET(Electric!$L33,0,-'Electric Calendarize'!$L42+'Electric Calendarize'!Q$4+1))</f>
        <v/>
      </c>
      <c r="R42" t="str">
        <f ca="1">IF(OR($L42&gt;R$4,R$4&gt;$L42+23),"",OFFSET(Electric!$L33,0,-'Electric Calendarize'!$L42+'Electric Calendarize'!R$4+1))</f>
        <v/>
      </c>
      <c r="S42">
        <f ca="1">IF(OR($L42&gt;S$4,S$4&gt;$L42+23),"",OFFSET(Electric!$L33,0,-'Electric Calendarize'!$L42+'Electric Calendarize'!S$4+1))</f>
        <v>2980</v>
      </c>
      <c r="T42">
        <f ca="1">IF(OR($L42&gt;T$4,T$4&gt;$L42+23),"",OFFSET(Electric!$L33,0,-'Electric Calendarize'!$L42+'Electric Calendarize'!T$4+1))</f>
        <v>1967</v>
      </c>
      <c r="U42">
        <f ca="1">IF(OR($L42&gt;U$4,U$4&gt;$L42+23),"",OFFSET(Electric!$L33,0,-'Electric Calendarize'!$L42+'Electric Calendarize'!U$4+1))</f>
        <v>1988</v>
      </c>
      <c r="V42">
        <f ca="1">IF(OR($L42&gt;V$4,V$4&gt;$L42+23),"",OFFSET(Electric!$L33,0,-'Electric Calendarize'!$L42+'Electric Calendarize'!V$4+1))</f>
        <v>2315</v>
      </c>
      <c r="W42">
        <f ca="1">IF(OR($L42&gt;W$4,W$4&gt;$L42+23),"",OFFSET(Electric!$L33,0,-'Electric Calendarize'!$L42+'Electric Calendarize'!W$4+1))</f>
        <v>3333</v>
      </c>
      <c r="X42">
        <f ca="1">IF(OR($L42&gt;X$4,X$4&gt;$L42+23),"",OFFSET(Electric!$L33,0,-'Electric Calendarize'!$L42+'Electric Calendarize'!X$4+1))</f>
        <v>3187</v>
      </c>
      <c r="Y42">
        <f ca="1">IF(OR($L42&gt;Y$4,Y$4&gt;$L42+23),"",OFFSET(Electric!$L33,0,-'Electric Calendarize'!$L42+'Electric Calendarize'!Y$4+1))</f>
        <v>3579</v>
      </c>
      <c r="Z42">
        <f ca="1">IF(OR($L42&gt;Z$4,Z$4&gt;$L42+23),"",OFFSET(Electric!$L33,0,-'Electric Calendarize'!$L42+'Electric Calendarize'!Z$4+1))</f>
        <v>2624</v>
      </c>
      <c r="AA42">
        <f ca="1">IF(OR($L42&gt;AA$4,AA$4&gt;$L42+23),"",OFFSET(Electric!$L33,0,-'Electric Calendarize'!$L42+'Electric Calendarize'!AA$4+1))</f>
        <v>1359</v>
      </c>
      <c r="AB42">
        <f ca="1">IF(OR($L42&gt;AB$4,AB$4&gt;$L42+23),"",OFFSET(Electric!$L33,0,-'Electric Calendarize'!$L42+'Electric Calendarize'!AB$4+1))</f>
        <v>1194</v>
      </c>
      <c r="AC42">
        <f ca="1">IF(OR($L42&gt;AC$4,AC$4&gt;$L42+23),"",OFFSET(Electric!$L33,0,-'Electric Calendarize'!$L42+'Electric Calendarize'!AC$4+1))</f>
        <v>2548</v>
      </c>
      <c r="AD42">
        <f ca="1">IF(OR($L42&gt;AD$4,AD$4&gt;$L42+23),"",OFFSET(Electric!$L33,0,-'Electric Calendarize'!$L42+'Electric Calendarize'!AD$4+1))</f>
        <v>2529</v>
      </c>
      <c r="AE42">
        <f ca="1">IF(OR($L42&gt;AE$4,AE$4&gt;$L42+23),"",OFFSET(Electric!$L33,0,-'Electric Calendarize'!$L42+'Electric Calendarize'!AE$4+1))</f>
        <v>2233</v>
      </c>
      <c r="AF42">
        <f ca="1">IF(OR($L42&gt;AF$4,AF$4&gt;$L42+23),"",OFFSET(Electric!$L33,0,-'Electric Calendarize'!$L42+'Electric Calendarize'!AF$4+1))</f>
        <v>1852</v>
      </c>
      <c r="AG42">
        <f ca="1">IF(OR($L42&gt;AG$4,AG$4&gt;$L42+23),"",OFFSET(Electric!$L33,0,-'Electric Calendarize'!$L42+'Electric Calendarize'!AG$4+1))</f>
        <v>1181</v>
      </c>
      <c r="AH42">
        <f ca="1">IF(OR($L42&gt;AH$4,AH$4&gt;$L42+23),"",OFFSET(Electric!$L33,0,-'Electric Calendarize'!$L42+'Electric Calendarize'!AH$4+1))</f>
        <v>1469</v>
      </c>
      <c r="AI42">
        <f ca="1">IF(OR($L42&gt;AI$4,AI$4&gt;$L42+23),"",OFFSET(Electric!$L33,0,-'Electric Calendarize'!$L42+'Electric Calendarize'!AI$4+1))</f>
        <v>1663</v>
      </c>
      <c r="AJ42">
        <f ca="1">IF(OR($L42&gt;AJ$4,AJ$4&gt;$L42+23),"",OFFSET(Electric!$L33,0,-'Electric Calendarize'!$L42+'Electric Calendarize'!AJ$4+1))</f>
        <v>2003</v>
      </c>
      <c r="AK42">
        <f ca="1">IF(OR($L42&gt;AK$4,AK$4&gt;$L42+23),"",OFFSET(Electric!$L33,0,-'Electric Calendarize'!$L42+'Electric Calendarize'!AK$4+1))</f>
        <v>1769</v>
      </c>
      <c r="AL42">
        <f ca="1">IF(OR($L42&gt;AL$4,AL$4&gt;$L42+23),"",OFFSET(Electric!$L33,0,-'Electric Calendarize'!$L42+'Electric Calendarize'!AL$4+1))</f>
        <v>1268</v>
      </c>
      <c r="AM42">
        <f ca="1">IF(OR($L42&gt;AM$4,AM$4&gt;$L42+23),"",OFFSET(Electric!$L33,0,-'Electric Calendarize'!$L42+'Electric Calendarize'!AM$4+1))</f>
        <v>978</v>
      </c>
      <c r="AN42">
        <f ca="1">IF(OR($L42&gt;AN$4,AN$4&gt;$L42+23),"",OFFSET(Electric!$L33,0,-'Electric Calendarize'!$L42+'Electric Calendarize'!AN$4+1))</f>
        <v>1383</v>
      </c>
      <c r="AO42">
        <f ca="1">IF(OR($L42&gt;AO$4,AO$4&gt;$L42+23),"",OFFSET(Electric!$L33,0,-'Electric Calendarize'!$L42+'Electric Calendarize'!AO$4+1))</f>
        <v>1376</v>
      </c>
      <c r="AP42">
        <f ca="1">IF(OR($L42&gt;AP$4,AP$4&gt;$L42+23),"",OFFSET(Electric!$L33,0,-'Electric Calendarize'!$L42+'Electric Calendarize'!AP$4+1))</f>
        <v>1928</v>
      </c>
      <c r="AQ42" t="str">
        <f ca="1">IF(OR($L42&gt;AQ$4,AQ$4&gt;$L42+23),"",OFFSET(Electric!$L33,0,-'Electric Calendarize'!$L42+'Electric Calendarize'!AQ$4+1))</f>
        <v/>
      </c>
      <c r="AR42" t="str">
        <f ca="1">IF(OR($L42&gt;AR$4,AR$4&gt;$L42+23),"",OFFSET(Electric!$L33,0,-'Electric Calendarize'!$L42+'Electric Calendarize'!AR$4+1))</f>
        <v/>
      </c>
      <c r="AS42" t="str">
        <f ca="1">IF(OR($L42&gt;AS$4,AS$4&gt;$L42+23),"",OFFSET(Electric!$L33,0,-'Electric Calendarize'!$L42+'Electric Calendarize'!AS$4+1))</f>
        <v/>
      </c>
      <c r="AT42" t="str">
        <f ca="1">IF(OR($L42&gt;AT$4,AT$4&gt;$L42+23),"",OFFSET(Electric!$L33,0,-'Electric Calendarize'!$L42+'Electric Calendarize'!AT$4+1))</f>
        <v/>
      </c>
      <c r="AU42" t="str">
        <f ca="1">IF(OR($L42&gt;AU$4,AU$4&gt;$L42+23),"",OFFSET(Electric!$L33,0,-'Electric Calendarize'!$L42+'Electric Calendarize'!AU$4+1))</f>
        <v/>
      </c>
      <c r="AV42" t="str">
        <f ca="1">IF(OR($L42&gt;AV$4,AV$4&gt;$L42+23),"",OFFSET(Electric!$L33,0,-'Electric Calendarize'!$L42+'Electric Calendarize'!AV$4+1))</f>
        <v/>
      </c>
      <c r="AW42" t="str">
        <f ca="1">IF(OR($L42&gt;AW$4,AW$4&gt;$L42+23),"",OFFSET(Electric!$L33,0,-'Electric Calendarize'!$L42+'Electric Calendarize'!AW$4+1))</f>
        <v/>
      </c>
      <c r="AX42" t="str">
        <f ca="1">IF(OR($L42&gt;AX$4,AX$4&gt;$L42+23),"",OFFSET(Electric!$L33,0,-'Electric Calendarize'!$L42+'Electric Calendarize'!AX$4+1))</f>
        <v/>
      </c>
      <c r="AY42" t="str">
        <f ca="1">IF(OR($L42&gt;AY$4,AY$4&gt;$L42+23),"",OFFSET(Electric!$L33,0,-'Electric Calendarize'!$L42+'Electric Calendarize'!AY$4+1))</f>
        <v/>
      </c>
      <c r="AZ42" t="str">
        <f ca="1">IF(OR($L42&gt;AZ$4,AZ$4&gt;$L42+23),"",OFFSET(Electric!$L33,0,-'Electric Calendarize'!$L42+'Electric Calendarize'!AZ$4+1))</f>
        <v/>
      </c>
      <c r="BA42" t="str">
        <f ca="1">IF(OR($L42&gt;BA$4,BA$4&gt;$L42+23),"",OFFSET(Electric!$L33,0,-'Electric Calendarize'!$L42+'Electric Calendarize'!BA$4+1))</f>
        <v/>
      </c>
      <c r="BB42" t="str">
        <f ca="1">IF(OR($L42&gt;BB$4,BB$4&gt;$L42+23),"",OFFSET(Electric!$L33,0,-'Electric Calendarize'!$L42+'Electric Calendarize'!BB$4+1))</f>
        <v/>
      </c>
      <c r="BC42" t="str">
        <f ca="1">IF(OR($L42&gt;BC$4,BC$4&gt;$L42+23),"",OFFSET(Electric!$L33,0,-'Electric Calendarize'!$L42+'Electric Calendarize'!BC$4+1))</f>
        <v/>
      </c>
      <c r="BD42" t="str">
        <f ca="1">IF(OR($L42&gt;BD$4,BD$4&gt;$L42+23),"",OFFSET(Electric!$L33,0,-'Electric Calendarize'!$L42+'Electric Calendarize'!BD$4+1))</f>
        <v/>
      </c>
      <c r="BE42" t="str">
        <f ca="1">IF(OR($L42&gt;BE$4,BE$4&gt;$L42+23),"",OFFSET(Electric!$L33,0,-'Electric Calendarize'!$L42+'Electric Calendarize'!BE$4+1))</f>
        <v/>
      </c>
      <c r="BF42" t="str">
        <f ca="1">IF(OR($L42&gt;BF$4,BF$4&gt;$L42+23),"",OFFSET(Electric!$L33,0,-'Electric Calendarize'!$L42+'Electric Calendarize'!BF$4+1))</f>
        <v/>
      </c>
      <c r="BG42" t="str">
        <f ca="1">IF(OR($L42&gt;BG$4,BG$4&gt;$L42+23),"",OFFSET(Electric!$L33,0,-'Electric Calendarize'!$L42+'Electric Calendarize'!BG$4+1))</f>
        <v/>
      </c>
      <c r="BJ42" s="10" t="s">
        <v>37</v>
      </c>
      <c r="BK42">
        <f t="shared" si="195"/>
        <v>1</v>
      </c>
      <c r="BL42">
        <f t="shared" si="100"/>
        <v>0</v>
      </c>
      <c r="BM42">
        <f t="shared" si="101"/>
        <v>0</v>
      </c>
      <c r="BN42">
        <f t="shared" si="102"/>
        <v>0</v>
      </c>
      <c r="BO42">
        <f t="shared" si="103"/>
        <v>0</v>
      </c>
      <c r="BP42">
        <f t="shared" si="104"/>
        <v>0</v>
      </c>
      <c r="BQ42">
        <f t="shared" si="105"/>
        <v>0</v>
      </c>
      <c r="BR42">
        <f t="shared" si="106"/>
        <v>1</v>
      </c>
      <c r="BS42">
        <f t="shared" si="107"/>
        <v>1</v>
      </c>
      <c r="BT42">
        <f t="shared" si="108"/>
        <v>1</v>
      </c>
      <c r="BU42">
        <f t="shared" si="109"/>
        <v>1</v>
      </c>
      <c r="BV42">
        <f t="shared" si="110"/>
        <v>1</v>
      </c>
      <c r="BW42">
        <f t="shared" si="111"/>
        <v>1</v>
      </c>
      <c r="BX42">
        <f t="shared" si="112"/>
        <v>0</v>
      </c>
      <c r="BY42">
        <f t="shared" si="113"/>
        <v>0</v>
      </c>
      <c r="BZ42">
        <f t="shared" si="114"/>
        <v>0</v>
      </c>
      <c r="CA42">
        <f t="shared" si="115"/>
        <v>0</v>
      </c>
      <c r="CB42">
        <f t="shared" si="116"/>
        <v>0</v>
      </c>
      <c r="CC42">
        <f t="shared" si="117"/>
        <v>0</v>
      </c>
      <c r="CD42">
        <f t="shared" si="118"/>
        <v>1</v>
      </c>
      <c r="CE42">
        <f t="shared" si="119"/>
        <v>1</v>
      </c>
      <c r="CF42">
        <f t="shared" si="120"/>
        <v>1</v>
      </c>
      <c r="CG42">
        <f t="shared" si="121"/>
        <v>1</v>
      </c>
      <c r="CH42">
        <f t="shared" si="122"/>
        <v>1</v>
      </c>
      <c r="CI42">
        <f t="shared" si="123"/>
        <v>1</v>
      </c>
      <c r="CJ42">
        <f t="shared" si="124"/>
        <v>0</v>
      </c>
      <c r="CK42">
        <f t="shared" si="125"/>
        <v>0</v>
      </c>
      <c r="CL42">
        <f t="shared" si="126"/>
        <v>0</v>
      </c>
      <c r="CM42">
        <f t="shared" si="127"/>
        <v>0</v>
      </c>
      <c r="CN42">
        <f t="shared" si="128"/>
        <v>0</v>
      </c>
      <c r="CO42">
        <f t="shared" si="129"/>
        <v>0</v>
      </c>
      <c r="CP42">
        <f t="shared" si="130"/>
        <v>1</v>
      </c>
      <c r="CQ42">
        <f t="shared" si="131"/>
        <v>1</v>
      </c>
      <c r="CR42">
        <f t="shared" si="132"/>
        <v>1</v>
      </c>
      <c r="CS42">
        <f t="shared" si="133"/>
        <v>1</v>
      </c>
      <c r="CT42">
        <f t="shared" si="134"/>
        <v>1</v>
      </c>
      <c r="CU42">
        <f t="shared" si="135"/>
        <v>1</v>
      </c>
      <c r="CV42">
        <f t="shared" si="136"/>
        <v>0</v>
      </c>
      <c r="CW42">
        <f t="shared" si="137"/>
        <v>0</v>
      </c>
      <c r="CX42">
        <f t="shared" si="138"/>
        <v>0</v>
      </c>
      <c r="CY42">
        <f t="shared" si="139"/>
        <v>0</v>
      </c>
      <c r="CZ42">
        <f t="shared" si="140"/>
        <v>0</v>
      </c>
      <c r="DA42">
        <f t="shared" si="141"/>
        <v>0</v>
      </c>
      <c r="DB42">
        <f t="shared" si="142"/>
        <v>1</v>
      </c>
      <c r="DC42">
        <f t="shared" si="143"/>
        <v>1</v>
      </c>
      <c r="DF42" s="10" t="s">
        <v>37</v>
      </c>
      <c r="DG42" t="str">
        <f t="shared" si="200"/>
        <v>2021_8</v>
      </c>
      <c r="DH42" t="str">
        <f t="shared" si="200"/>
        <v>2021_8</v>
      </c>
      <c r="DI42" t="str">
        <f t="shared" si="200"/>
        <v>2021_8</v>
      </c>
      <c r="DJ42" t="str">
        <f t="shared" si="200"/>
        <v>2021_8</v>
      </c>
      <c r="DK42" t="str">
        <f t="shared" si="200"/>
        <v>2021_8</v>
      </c>
      <c r="DL42" t="str">
        <f t="shared" si="200"/>
        <v>2021_8</v>
      </c>
      <c r="DM42" t="str">
        <f t="shared" si="200"/>
        <v>2021_8</v>
      </c>
      <c r="DN42" t="str">
        <f t="shared" si="200"/>
        <v>2021_8</v>
      </c>
      <c r="DO42" t="str">
        <f t="shared" si="200"/>
        <v>2021_8</v>
      </c>
      <c r="DP42" t="str">
        <f t="shared" si="200"/>
        <v>2021_8</v>
      </c>
      <c r="DQ42" t="str">
        <f t="shared" si="200"/>
        <v>2021_8</v>
      </c>
      <c r="DR42" t="str">
        <f t="shared" si="200"/>
        <v>2021_8</v>
      </c>
      <c r="DS42" t="str">
        <f t="shared" si="200"/>
        <v>2021_8</v>
      </c>
      <c r="DT42" t="str">
        <f t="shared" si="200"/>
        <v>2021_8</v>
      </c>
      <c r="DU42" t="str">
        <f t="shared" si="200"/>
        <v>2021_8</v>
      </c>
      <c r="DV42" t="str">
        <f t="shared" si="200"/>
        <v>2021_8</v>
      </c>
      <c r="DW42" t="str">
        <f t="shared" ref="DW42:EL57" si="201">$K42</f>
        <v>2021_8</v>
      </c>
      <c r="DX42" t="str">
        <f t="shared" si="201"/>
        <v>2021_8</v>
      </c>
      <c r="DY42" t="str">
        <f t="shared" si="201"/>
        <v>2021_8</v>
      </c>
      <c r="DZ42" t="str">
        <f t="shared" si="201"/>
        <v>2021_8</v>
      </c>
      <c r="EA42" t="str">
        <f t="shared" si="201"/>
        <v>2021_8</v>
      </c>
      <c r="EB42" t="str">
        <f t="shared" si="201"/>
        <v>2021_8</v>
      </c>
      <c r="EC42" t="str">
        <f t="shared" si="201"/>
        <v>2021_8</v>
      </c>
      <c r="ED42" t="str">
        <f t="shared" si="201"/>
        <v>2021_8</v>
      </c>
      <c r="EE42" t="str">
        <f t="shared" si="201"/>
        <v>2021_8</v>
      </c>
      <c r="EF42" t="str">
        <f t="shared" si="201"/>
        <v>2021_8</v>
      </c>
      <c r="EG42" t="str">
        <f t="shared" si="201"/>
        <v>2021_8</v>
      </c>
      <c r="EH42" t="str">
        <f t="shared" si="201"/>
        <v>2021_8</v>
      </c>
      <c r="EI42" t="str">
        <f t="shared" si="201"/>
        <v>2021_8</v>
      </c>
      <c r="EJ42" t="str">
        <f t="shared" si="201"/>
        <v>2021_8</v>
      </c>
      <c r="EK42" t="str">
        <f t="shared" si="201"/>
        <v>2021_8</v>
      </c>
      <c r="EL42" t="str">
        <f t="shared" si="201"/>
        <v>2021_8</v>
      </c>
      <c r="EM42" t="str">
        <f t="shared" ref="EM42:EY57" si="202">$K42</f>
        <v>2021_8</v>
      </c>
      <c r="EN42" t="str">
        <f t="shared" si="202"/>
        <v>2021_8</v>
      </c>
      <c r="EO42" t="str">
        <f t="shared" si="202"/>
        <v>2021_8</v>
      </c>
      <c r="EP42" t="str">
        <f t="shared" si="202"/>
        <v>2021_8</v>
      </c>
      <c r="EQ42" t="str">
        <f t="shared" si="202"/>
        <v>2021_8</v>
      </c>
      <c r="ER42" t="str">
        <f t="shared" si="202"/>
        <v>2021_8</v>
      </c>
      <c r="ES42" t="str">
        <f t="shared" si="202"/>
        <v>2021_8</v>
      </c>
      <c r="ET42" t="str">
        <f t="shared" si="202"/>
        <v>2021_8</v>
      </c>
      <c r="EU42" t="str">
        <f t="shared" si="202"/>
        <v>2021_8</v>
      </c>
      <c r="EV42" t="str">
        <f t="shared" si="202"/>
        <v>2021_8</v>
      </c>
      <c r="EW42" t="str">
        <f t="shared" si="202"/>
        <v>2021_8</v>
      </c>
      <c r="EX42" t="str">
        <f t="shared" si="202"/>
        <v>2021_8</v>
      </c>
      <c r="EY42" t="str">
        <f t="shared" si="202"/>
        <v>2021_8</v>
      </c>
      <c r="FB42" s="10" t="s">
        <v>37</v>
      </c>
      <c r="FC42">
        <f t="shared" si="197"/>
        <v>0</v>
      </c>
      <c r="FD42">
        <f t="shared" si="147"/>
        <v>0</v>
      </c>
      <c r="FE42">
        <f t="shared" si="148"/>
        <v>0</v>
      </c>
      <c r="FF42">
        <f t="shared" si="149"/>
        <v>0</v>
      </c>
      <c r="FG42">
        <f t="shared" si="150"/>
        <v>0</v>
      </c>
      <c r="FH42">
        <f t="shared" si="151"/>
        <v>0</v>
      </c>
      <c r="FI42">
        <f t="shared" si="152"/>
        <v>0</v>
      </c>
      <c r="FJ42">
        <f t="shared" si="153"/>
        <v>0</v>
      </c>
      <c r="FK42">
        <f t="shared" si="154"/>
        <v>0</v>
      </c>
      <c r="FL42">
        <f t="shared" si="155"/>
        <v>0</v>
      </c>
      <c r="FM42">
        <f t="shared" si="156"/>
        <v>0</v>
      </c>
      <c r="FN42">
        <f t="shared" si="157"/>
        <v>0</v>
      </c>
      <c r="FO42">
        <f t="shared" si="158"/>
        <v>0</v>
      </c>
      <c r="FP42">
        <f t="shared" si="159"/>
        <v>0</v>
      </c>
      <c r="FQ42">
        <f t="shared" si="160"/>
        <v>0</v>
      </c>
      <c r="FR42">
        <f t="shared" si="161"/>
        <v>0</v>
      </c>
      <c r="FS42">
        <f t="shared" si="162"/>
        <v>1</v>
      </c>
      <c r="FT42">
        <f t="shared" si="163"/>
        <v>1</v>
      </c>
      <c r="FU42">
        <f t="shared" si="164"/>
        <v>1</v>
      </c>
      <c r="FV42">
        <f t="shared" si="165"/>
        <v>1</v>
      </c>
      <c r="FW42">
        <f t="shared" si="166"/>
        <v>1</v>
      </c>
      <c r="FX42">
        <f t="shared" si="167"/>
        <v>1</v>
      </c>
      <c r="FY42">
        <f t="shared" si="168"/>
        <v>1</v>
      </c>
      <c r="FZ42">
        <f t="shared" si="169"/>
        <v>1</v>
      </c>
      <c r="GA42">
        <f t="shared" si="170"/>
        <v>1</v>
      </c>
      <c r="GB42">
        <f t="shared" si="171"/>
        <v>1</v>
      </c>
      <c r="GC42">
        <f t="shared" si="172"/>
        <v>1</v>
      </c>
      <c r="GD42">
        <f t="shared" si="173"/>
        <v>1</v>
      </c>
      <c r="GE42">
        <f t="shared" si="174"/>
        <v>1</v>
      </c>
      <c r="GF42">
        <f t="shared" si="175"/>
        <v>1</v>
      </c>
      <c r="GG42">
        <f t="shared" si="176"/>
        <v>1</v>
      </c>
      <c r="GH42">
        <f t="shared" si="177"/>
        <v>1</v>
      </c>
      <c r="GI42">
        <f t="shared" si="178"/>
        <v>1</v>
      </c>
      <c r="GJ42">
        <f t="shared" si="179"/>
        <v>1</v>
      </c>
      <c r="GK42">
        <f t="shared" si="180"/>
        <v>1</v>
      </c>
      <c r="GL42">
        <f t="shared" si="181"/>
        <v>1</v>
      </c>
      <c r="GM42">
        <f t="shared" si="182"/>
        <v>1</v>
      </c>
      <c r="GN42">
        <f t="shared" si="183"/>
        <v>1</v>
      </c>
      <c r="GO42">
        <f t="shared" si="184"/>
        <v>1</v>
      </c>
      <c r="GP42">
        <f t="shared" si="185"/>
        <v>1</v>
      </c>
      <c r="GQ42">
        <f t="shared" si="186"/>
        <v>1</v>
      </c>
      <c r="GR42">
        <f t="shared" si="187"/>
        <v>1</v>
      </c>
      <c r="GS42">
        <f t="shared" si="188"/>
        <v>1</v>
      </c>
      <c r="GT42">
        <f t="shared" si="189"/>
        <v>1</v>
      </c>
      <c r="GU42">
        <f t="shared" si="190"/>
        <v>1</v>
      </c>
      <c r="GX42" s="10"/>
    </row>
    <row r="43" spans="1:206" x14ac:dyDescent="0.3">
      <c r="A43" s="8" t="s">
        <v>33</v>
      </c>
      <c r="B43" s="80"/>
      <c r="C43" s="9">
        <v>3141115000</v>
      </c>
      <c r="D43" s="9" t="s">
        <v>378</v>
      </c>
      <c r="E43" s="9" t="s">
        <v>43</v>
      </c>
      <c r="F43" s="9" t="s">
        <v>35</v>
      </c>
      <c r="G43" s="9" t="s">
        <v>74</v>
      </c>
      <c r="H43" s="10">
        <v>44439</v>
      </c>
      <c r="I43" s="9">
        <f t="shared" si="191"/>
        <v>2021</v>
      </c>
      <c r="J43" s="9">
        <f t="shared" si="192"/>
        <v>8</v>
      </c>
      <c r="K43" s="9" t="str">
        <f t="shared" si="193"/>
        <v>2021_8</v>
      </c>
      <c r="L43">
        <f>MAX(0,VLOOKUP($K43,lookups!$A$1:$B$45,2,0)-12)</f>
        <v>4</v>
      </c>
      <c r="M43" s="40">
        <f t="shared" si="194"/>
        <v>44409</v>
      </c>
      <c r="N43" s="10" t="s">
        <v>37</v>
      </c>
      <c r="O43" t="str">
        <f ca="1">IF(OR($L43&gt;O$4,O$4&gt;$L43+23),"",OFFSET(Electric!$L34,0,-'Electric Calendarize'!$L43+'Electric Calendarize'!O$4+1))</f>
        <v/>
      </c>
      <c r="P43" t="str">
        <f ca="1">IF(OR($L43&gt;P$4,P$4&gt;$L43+23),"",OFFSET(Electric!$L34,0,-'Electric Calendarize'!$L43+'Electric Calendarize'!P$4+1))</f>
        <v/>
      </c>
      <c r="Q43" t="str">
        <f ca="1">IF(OR($L43&gt;Q$4,Q$4&gt;$L43+23),"",OFFSET(Electric!$L34,0,-'Electric Calendarize'!$L43+'Electric Calendarize'!Q$4+1))</f>
        <v/>
      </c>
      <c r="R43" t="str">
        <f ca="1">IF(OR($L43&gt;R$4,R$4&gt;$L43+23),"",OFFSET(Electric!$L34,0,-'Electric Calendarize'!$L43+'Electric Calendarize'!R$4+1))</f>
        <v/>
      </c>
      <c r="S43">
        <f ca="1">IF(OR($L43&gt;S$4,S$4&gt;$L43+23),"",OFFSET(Electric!$L34,0,-'Electric Calendarize'!$L43+'Electric Calendarize'!S$4+1))</f>
        <v>897</v>
      </c>
      <c r="T43">
        <f ca="1">IF(OR($L43&gt;T$4,T$4&gt;$L43+23),"",OFFSET(Electric!$L34,0,-'Electric Calendarize'!$L43+'Electric Calendarize'!T$4+1))</f>
        <v>673</v>
      </c>
      <c r="U43">
        <f ca="1">IF(OR($L43&gt;U$4,U$4&gt;$L43+23),"",OFFSET(Electric!$L34,0,-'Electric Calendarize'!$L43+'Electric Calendarize'!U$4+1))</f>
        <v>569</v>
      </c>
      <c r="V43">
        <f ca="1">IF(OR($L43&gt;V$4,V$4&gt;$L43+23),"",OFFSET(Electric!$L34,0,-'Electric Calendarize'!$L43+'Electric Calendarize'!V$4+1))</f>
        <v>697</v>
      </c>
      <c r="W43">
        <f ca="1">IF(OR($L43&gt;W$4,W$4&gt;$L43+23),"",OFFSET(Electric!$L34,0,-'Electric Calendarize'!$L43+'Electric Calendarize'!W$4+1))</f>
        <v>694</v>
      </c>
      <c r="X43">
        <f ca="1">IF(OR($L43&gt;X$4,X$4&gt;$L43+23),"",OFFSET(Electric!$L34,0,-'Electric Calendarize'!$L43+'Electric Calendarize'!X$4+1))</f>
        <v>746</v>
      </c>
      <c r="Y43">
        <f ca="1">IF(OR($L43&gt;Y$4,Y$4&gt;$L43+23),"",OFFSET(Electric!$L34,0,-'Electric Calendarize'!$L43+'Electric Calendarize'!Y$4+1))</f>
        <v>736</v>
      </c>
      <c r="Z43">
        <f ca="1">IF(OR($L43&gt;Z$4,Z$4&gt;$L43+23),"",OFFSET(Electric!$L34,0,-'Electric Calendarize'!$L43+'Electric Calendarize'!Z$4+1))</f>
        <v>694</v>
      </c>
      <c r="AA43">
        <f ca="1">IF(OR($L43&gt;AA$4,AA$4&gt;$L43+23),"",OFFSET(Electric!$L34,0,-'Electric Calendarize'!$L43+'Electric Calendarize'!AA$4+1))</f>
        <v>564</v>
      </c>
      <c r="AB43">
        <f ca="1">IF(OR($L43&gt;AB$4,AB$4&gt;$L43+23),"",OFFSET(Electric!$L34,0,-'Electric Calendarize'!$L43+'Electric Calendarize'!AB$4+1))</f>
        <v>667</v>
      </c>
      <c r="AC43">
        <f ca="1">IF(OR($L43&gt;AC$4,AC$4&gt;$L43+23),"",OFFSET(Electric!$L34,0,-'Electric Calendarize'!$L43+'Electric Calendarize'!AC$4+1))</f>
        <v>755</v>
      </c>
      <c r="AD43">
        <f ca="1">IF(OR($L43&gt;AD$4,AD$4&gt;$L43+23),"",OFFSET(Electric!$L34,0,-'Electric Calendarize'!$L43+'Electric Calendarize'!AD$4+1))</f>
        <v>881</v>
      </c>
      <c r="AE43">
        <f ca="1">IF(OR($L43&gt;AE$4,AE$4&gt;$L43+23),"",OFFSET(Electric!$L34,0,-'Electric Calendarize'!$L43+'Electric Calendarize'!AE$4+1))</f>
        <v>823</v>
      </c>
      <c r="AF43">
        <f ca="1">IF(OR($L43&gt;AF$4,AF$4&gt;$L43+23),"",OFFSET(Electric!$L34,0,-'Electric Calendarize'!$L43+'Electric Calendarize'!AF$4+1))</f>
        <v>698</v>
      </c>
      <c r="AG43">
        <f ca="1">IF(OR($L43&gt;AG$4,AG$4&gt;$L43+23),"",OFFSET(Electric!$L34,0,-'Electric Calendarize'!$L43+'Electric Calendarize'!AG$4+1))</f>
        <v>593</v>
      </c>
      <c r="AH43">
        <f ca="1">IF(OR($L43&gt;AH$4,AH$4&gt;$L43+23),"",OFFSET(Electric!$L34,0,-'Electric Calendarize'!$L43+'Electric Calendarize'!AH$4+1))</f>
        <v>603</v>
      </c>
      <c r="AI43">
        <f ca="1">IF(OR($L43&gt;AI$4,AI$4&gt;$L43+23),"",OFFSET(Electric!$L34,0,-'Electric Calendarize'!$L43+'Electric Calendarize'!AI$4+1))</f>
        <v>591</v>
      </c>
      <c r="AJ43">
        <f ca="1">IF(OR($L43&gt;AJ$4,AJ$4&gt;$L43+23),"",OFFSET(Electric!$L34,0,-'Electric Calendarize'!$L43+'Electric Calendarize'!AJ$4+1))</f>
        <v>834</v>
      </c>
      <c r="AK43">
        <f ca="1">IF(OR($L43&gt;AK$4,AK$4&gt;$L43+23),"",OFFSET(Electric!$L34,0,-'Electric Calendarize'!$L43+'Electric Calendarize'!AK$4+1))</f>
        <v>683</v>
      </c>
      <c r="AL43">
        <f ca="1">IF(OR($L43&gt;AL$4,AL$4&gt;$L43+23),"",OFFSET(Electric!$L34,0,-'Electric Calendarize'!$L43+'Electric Calendarize'!AL$4+1))</f>
        <v>685</v>
      </c>
      <c r="AM43">
        <f ca="1">IF(OR($L43&gt;AM$4,AM$4&gt;$L43+23),"",OFFSET(Electric!$L34,0,-'Electric Calendarize'!$L43+'Electric Calendarize'!AM$4+1))</f>
        <v>639</v>
      </c>
      <c r="AN43">
        <f ca="1">IF(OR($L43&gt;AN$4,AN$4&gt;$L43+23),"",OFFSET(Electric!$L34,0,-'Electric Calendarize'!$L43+'Electric Calendarize'!AN$4+1))</f>
        <v>523</v>
      </c>
      <c r="AO43">
        <f ca="1">IF(OR($L43&gt;AO$4,AO$4&gt;$L43+23),"",OFFSET(Electric!$L34,0,-'Electric Calendarize'!$L43+'Electric Calendarize'!AO$4+1))</f>
        <v>572</v>
      </c>
      <c r="AP43">
        <f ca="1">IF(OR($L43&gt;AP$4,AP$4&gt;$L43+23),"",OFFSET(Electric!$L34,0,-'Electric Calendarize'!$L43+'Electric Calendarize'!AP$4+1))</f>
        <v>804</v>
      </c>
      <c r="AQ43" t="str">
        <f ca="1">IF(OR($L43&gt;AQ$4,AQ$4&gt;$L43+23),"",OFFSET(Electric!$L34,0,-'Electric Calendarize'!$L43+'Electric Calendarize'!AQ$4+1))</f>
        <v/>
      </c>
      <c r="AR43" t="str">
        <f ca="1">IF(OR($L43&gt;AR$4,AR$4&gt;$L43+23),"",OFFSET(Electric!$L34,0,-'Electric Calendarize'!$L43+'Electric Calendarize'!AR$4+1))</f>
        <v/>
      </c>
      <c r="AS43" t="str">
        <f ca="1">IF(OR($L43&gt;AS$4,AS$4&gt;$L43+23),"",OFFSET(Electric!$L34,0,-'Electric Calendarize'!$L43+'Electric Calendarize'!AS$4+1))</f>
        <v/>
      </c>
      <c r="AT43" t="str">
        <f ca="1">IF(OR($L43&gt;AT$4,AT$4&gt;$L43+23),"",OFFSET(Electric!$L34,0,-'Electric Calendarize'!$L43+'Electric Calendarize'!AT$4+1))</f>
        <v/>
      </c>
      <c r="AU43" t="str">
        <f ca="1">IF(OR($L43&gt;AU$4,AU$4&gt;$L43+23),"",OFFSET(Electric!$L34,0,-'Electric Calendarize'!$L43+'Electric Calendarize'!AU$4+1))</f>
        <v/>
      </c>
      <c r="AV43" t="str">
        <f ca="1">IF(OR($L43&gt;AV$4,AV$4&gt;$L43+23),"",OFFSET(Electric!$L34,0,-'Electric Calendarize'!$L43+'Electric Calendarize'!AV$4+1))</f>
        <v/>
      </c>
      <c r="AW43" t="str">
        <f ca="1">IF(OR($L43&gt;AW$4,AW$4&gt;$L43+23),"",OFFSET(Electric!$L34,0,-'Electric Calendarize'!$L43+'Electric Calendarize'!AW$4+1))</f>
        <v/>
      </c>
      <c r="AX43" t="str">
        <f ca="1">IF(OR($L43&gt;AX$4,AX$4&gt;$L43+23),"",OFFSET(Electric!$L34,0,-'Electric Calendarize'!$L43+'Electric Calendarize'!AX$4+1))</f>
        <v/>
      </c>
      <c r="AY43" t="str">
        <f ca="1">IF(OR($L43&gt;AY$4,AY$4&gt;$L43+23),"",OFFSET(Electric!$L34,0,-'Electric Calendarize'!$L43+'Electric Calendarize'!AY$4+1))</f>
        <v/>
      </c>
      <c r="AZ43" t="str">
        <f ca="1">IF(OR($L43&gt;AZ$4,AZ$4&gt;$L43+23),"",OFFSET(Electric!$L34,0,-'Electric Calendarize'!$L43+'Electric Calendarize'!AZ$4+1))</f>
        <v/>
      </c>
      <c r="BA43" t="str">
        <f ca="1">IF(OR($L43&gt;BA$4,BA$4&gt;$L43+23),"",OFFSET(Electric!$L34,0,-'Electric Calendarize'!$L43+'Electric Calendarize'!BA$4+1))</f>
        <v/>
      </c>
      <c r="BB43" t="str">
        <f ca="1">IF(OR($L43&gt;BB$4,BB$4&gt;$L43+23),"",OFFSET(Electric!$L34,0,-'Electric Calendarize'!$L43+'Electric Calendarize'!BB$4+1))</f>
        <v/>
      </c>
      <c r="BC43" t="str">
        <f ca="1">IF(OR($L43&gt;BC$4,BC$4&gt;$L43+23),"",OFFSET(Electric!$L34,0,-'Electric Calendarize'!$L43+'Electric Calendarize'!BC$4+1))</f>
        <v/>
      </c>
      <c r="BD43" t="str">
        <f ca="1">IF(OR($L43&gt;BD$4,BD$4&gt;$L43+23),"",OFFSET(Electric!$L34,0,-'Electric Calendarize'!$L43+'Electric Calendarize'!BD$4+1))</f>
        <v/>
      </c>
      <c r="BE43" t="str">
        <f ca="1">IF(OR($L43&gt;BE$4,BE$4&gt;$L43+23),"",OFFSET(Electric!$L34,0,-'Electric Calendarize'!$L43+'Electric Calendarize'!BE$4+1))</f>
        <v/>
      </c>
      <c r="BF43" t="str">
        <f ca="1">IF(OR($L43&gt;BF$4,BF$4&gt;$L43+23),"",OFFSET(Electric!$L34,0,-'Electric Calendarize'!$L43+'Electric Calendarize'!BF$4+1))</f>
        <v/>
      </c>
      <c r="BG43" t="str">
        <f ca="1">IF(OR($L43&gt;BG$4,BG$4&gt;$L43+23),"",OFFSET(Electric!$L34,0,-'Electric Calendarize'!$L43+'Electric Calendarize'!BG$4+1))</f>
        <v/>
      </c>
      <c r="BJ43" s="10" t="s">
        <v>37</v>
      </c>
      <c r="BK43">
        <f t="shared" si="195"/>
        <v>1</v>
      </c>
      <c r="BL43">
        <f t="shared" si="100"/>
        <v>0</v>
      </c>
      <c r="BM43">
        <f t="shared" si="101"/>
        <v>0</v>
      </c>
      <c r="BN43">
        <f t="shared" si="102"/>
        <v>0</v>
      </c>
      <c r="BO43">
        <f t="shared" si="103"/>
        <v>0</v>
      </c>
      <c r="BP43">
        <f t="shared" si="104"/>
        <v>0</v>
      </c>
      <c r="BQ43">
        <f t="shared" si="105"/>
        <v>0</v>
      </c>
      <c r="BR43">
        <f t="shared" si="106"/>
        <v>1</v>
      </c>
      <c r="BS43">
        <f t="shared" si="107"/>
        <v>1</v>
      </c>
      <c r="BT43">
        <f t="shared" si="108"/>
        <v>1</v>
      </c>
      <c r="BU43">
        <f t="shared" si="109"/>
        <v>1</v>
      </c>
      <c r="BV43">
        <f t="shared" si="110"/>
        <v>1</v>
      </c>
      <c r="BW43">
        <f t="shared" si="111"/>
        <v>1</v>
      </c>
      <c r="BX43">
        <f t="shared" si="112"/>
        <v>0</v>
      </c>
      <c r="BY43">
        <f t="shared" si="113"/>
        <v>0</v>
      </c>
      <c r="BZ43">
        <f t="shared" si="114"/>
        <v>0</v>
      </c>
      <c r="CA43">
        <f t="shared" si="115"/>
        <v>0</v>
      </c>
      <c r="CB43">
        <f t="shared" si="116"/>
        <v>0</v>
      </c>
      <c r="CC43">
        <f t="shared" si="117"/>
        <v>0</v>
      </c>
      <c r="CD43">
        <f t="shared" si="118"/>
        <v>1</v>
      </c>
      <c r="CE43">
        <f t="shared" si="119"/>
        <v>1</v>
      </c>
      <c r="CF43">
        <f t="shared" si="120"/>
        <v>1</v>
      </c>
      <c r="CG43">
        <f t="shared" si="121"/>
        <v>1</v>
      </c>
      <c r="CH43">
        <f t="shared" si="122"/>
        <v>1</v>
      </c>
      <c r="CI43">
        <f t="shared" si="123"/>
        <v>1</v>
      </c>
      <c r="CJ43">
        <f t="shared" si="124"/>
        <v>0</v>
      </c>
      <c r="CK43">
        <f t="shared" si="125"/>
        <v>0</v>
      </c>
      <c r="CL43">
        <f t="shared" si="126"/>
        <v>0</v>
      </c>
      <c r="CM43">
        <f t="shared" si="127"/>
        <v>0</v>
      </c>
      <c r="CN43">
        <f t="shared" si="128"/>
        <v>0</v>
      </c>
      <c r="CO43">
        <f t="shared" si="129"/>
        <v>0</v>
      </c>
      <c r="CP43">
        <f t="shared" si="130"/>
        <v>1</v>
      </c>
      <c r="CQ43">
        <f t="shared" si="131"/>
        <v>1</v>
      </c>
      <c r="CR43">
        <f t="shared" si="132"/>
        <v>1</v>
      </c>
      <c r="CS43">
        <f t="shared" si="133"/>
        <v>1</v>
      </c>
      <c r="CT43">
        <f t="shared" si="134"/>
        <v>1</v>
      </c>
      <c r="CU43">
        <f t="shared" si="135"/>
        <v>1</v>
      </c>
      <c r="CV43">
        <f t="shared" si="136"/>
        <v>0</v>
      </c>
      <c r="CW43">
        <f t="shared" si="137"/>
        <v>0</v>
      </c>
      <c r="CX43">
        <f t="shared" si="138"/>
        <v>0</v>
      </c>
      <c r="CY43">
        <f t="shared" si="139"/>
        <v>0</v>
      </c>
      <c r="CZ43">
        <f t="shared" si="140"/>
        <v>0</v>
      </c>
      <c r="DA43">
        <f t="shared" si="141"/>
        <v>0</v>
      </c>
      <c r="DB43">
        <f t="shared" si="142"/>
        <v>1</v>
      </c>
      <c r="DC43">
        <f t="shared" si="143"/>
        <v>1</v>
      </c>
      <c r="DF43" s="10" t="s">
        <v>37</v>
      </c>
      <c r="DG43" t="str">
        <f t="shared" si="200"/>
        <v>2021_8</v>
      </c>
      <c r="DH43" t="str">
        <f t="shared" si="200"/>
        <v>2021_8</v>
      </c>
      <c r="DI43" t="str">
        <f t="shared" si="200"/>
        <v>2021_8</v>
      </c>
      <c r="DJ43" t="str">
        <f t="shared" si="200"/>
        <v>2021_8</v>
      </c>
      <c r="DK43" t="str">
        <f t="shared" si="200"/>
        <v>2021_8</v>
      </c>
      <c r="DL43" t="str">
        <f t="shared" si="200"/>
        <v>2021_8</v>
      </c>
      <c r="DM43" t="str">
        <f t="shared" si="200"/>
        <v>2021_8</v>
      </c>
      <c r="DN43" t="str">
        <f t="shared" si="200"/>
        <v>2021_8</v>
      </c>
      <c r="DO43" t="str">
        <f t="shared" si="200"/>
        <v>2021_8</v>
      </c>
      <c r="DP43" t="str">
        <f t="shared" si="200"/>
        <v>2021_8</v>
      </c>
      <c r="DQ43" t="str">
        <f t="shared" si="200"/>
        <v>2021_8</v>
      </c>
      <c r="DR43" t="str">
        <f t="shared" si="200"/>
        <v>2021_8</v>
      </c>
      <c r="DS43" t="str">
        <f t="shared" si="200"/>
        <v>2021_8</v>
      </c>
      <c r="DT43" t="str">
        <f t="shared" si="200"/>
        <v>2021_8</v>
      </c>
      <c r="DU43" t="str">
        <f t="shared" si="200"/>
        <v>2021_8</v>
      </c>
      <c r="DV43" t="str">
        <f t="shared" ref="DV43:EK58" si="203">$K43</f>
        <v>2021_8</v>
      </c>
      <c r="DW43" t="str">
        <f t="shared" si="201"/>
        <v>2021_8</v>
      </c>
      <c r="DX43" t="str">
        <f t="shared" si="201"/>
        <v>2021_8</v>
      </c>
      <c r="DY43" t="str">
        <f t="shared" si="201"/>
        <v>2021_8</v>
      </c>
      <c r="DZ43" t="str">
        <f t="shared" si="201"/>
        <v>2021_8</v>
      </c>
      <c r="EA43" t="str">
        <f t="shared" si="201"/>
        <v>2021_8</v>
      </c>
      <c r="EB43" t="str">
        <f t="shared" si="201"/>
        <v>2021_8</v>
      </c>
      <c r="EC43" t="str">
        <f t="shared" si="201"/>
        <v>2021_8</v>
      </c>
      <c r="ED43" t="str">
        <f t="shared" si="201"/>
        <v>2021_8</v>
      </c>
      <c r="EE43" t="str">
        <f t="shared" si="201"/>
        <v>2021_8</v>
      </c>
      <c r="EF43" t="str">
        <f t="shared" si="201"/>
        <v>2021_8</v>
      </c>
      <c r="EG43" t="str">
        <f t="shared" si="201"/>
        <v>2021_8</v>
      </c>
      <c r="EH43" t="str">
        <f t="shared" si="201"/>
        <v>2021_8</v>
      </c>
      <c r="EI43" t="str">
        <f t="shared" si="201"/>
        <v>2021_8</v>
      </c>
      <c r="EJ43" t="str">
        <f t="shared" si="201"/>
        <v>2021_8</v>
      </c>
      <c r="EK43" t="str">
        <f t="shared" si="201"/>
        <v>2021_8</v>
      </c>
      <c r="EL43" t="str">
        <f t="shared" si="201"/>
        <v>2021_8</v>
      </c>
      <c r="EM43" t="str">
        <f t="shared" si="202"/>
        <v>2021_8</v>
      </c>
      <c r="EN43" t="str">
        <f t="shared" si="202"/>
        <v>2021_8</v>
      </c>
      <c r="EO43" t="str">
        <f t="shared" si="202"/>
        <v>2021_8</v>
      </c>
      <c r="EP43" t="str">
        <f t="shared" si="202"/>
        <v>2021_8</v>
      </c>
      <c r="EQ43" t="str">
        <f t="shared" si="202"/>
        <v>2021_8</v>
      </c>
      <c r="ER43" t="str">
        <f t="shared" si="202"/>
        <v>2021_8</v>
      </c>
      <c r="ES43" t="str">
        <f t="shared" si="202"/>
        <v>2021_8</v>
      </c>
      <c r="ET43" t="str">
        <f t="shared" si="202"/>
        <v>2021_8</v>
      </c>
      <c r="EU43" t="str">
        <f t="shared" si="202"/>
        <v>2021_8</v>
      </c>
      <c r="EV43" t="str">
        <f t="shared" si="202"/>
        <v>2021_8</v>
      </c>
      <c r="EW43" t="str">
        <f t="shared" si="202"/>
        <v>2021_8</v>
      </c>
      <c r="EX43" t="str">
        <f t="shared" si="202"/>
        <v>2021_8</v>
      </c>
      <c r="EY43" t="str">
        <f t="shared" si="202"/>
        <v>2021_8</v>
      </c>
      <c r="FB43" s="10" t="s">
        <v>37</v>
      </c>
      <c r="FC43">
        <f t="shared" si="197"/>
        <v>0</v>
      </c>
      <c r="FD43">
        <f t="shared" si="147"/>
        <v>0</v>
      </c>
      <c r="FE43">
        <f t="shared" si="148"/>
        <v>0</v>
      </c>
      <c r="FF43">
        <f t="shared" si="149"/>
        <v>0</v>
      </c>
      <c r="FG43">
        <f t="shared" si="150"/>
        <v>0</v>
      </c>
      <c r="FH43">
        <f t="shared" si="151"/>
        <v>0</v>
      </c>
      <c r="FI43">
        <f t="shared" si="152"/>
        <v>0</v>
      </c>
      <c r="FJ43">
        <f t="shared" si="153"/>
        <v>0</v>
      </c>
      <c r="FK43">
        <f t="shared" si="154"/>
        <v>0</v>
      </c>
      <c r="FL43">
        <f t="shared" si="155"/>
        <v>0</v>
      </c>
      <c r="FM43">
        <f t="shared" si="156"/>
        <v>0</v>
      </c>
      <c r="FN43">
        <f t="shared" si="157"/>
        <v>0</v>
      </c>
      <c r="FO43">
        <f t="shared" si="158"/>
        <v>0</v>
      </c>
      <c r="FP43">
        <f t="shared" si="159"/>
        <v>0</v>
      </c>
      <c r="FQ43">
        <f t="shared" si="160"/>
        <v>0</v>
      </c>
      <c r="FR43">
        <f t="shared" si="161"/>
        <v>0</v>
      </c>
      <c r="FS43">
        <f t="shared" si="162"/>
        <v>1</v>
      </c>
      <c r="FT43">
        <f t="shared" si="163"/>
        <v>1</v>
      </c>
      <c r="FU43">
        <f t="shared" si="164"/>
        <v>1</v>
      </c>
      <c r="FV43">
        <f t="shared" si="165"/>
        <v>1</v>
      </c>
      <c r="FW43">
        <f t="shared" si="166"/>
        <v>1</v>
      </c>
      <c r="FX43">
        <f t="shared" si="167"/>
        <v>1</v>
      </c>
      <c r="FY43">
        <f t="shared" si="168"/>
        <v>1</v>
      </c>
      <c r="FZ43">
        <f t="shared" si="169"/>
        <v>1</v>
      </c>
      <c r="GA43">
        <f t="shared" si="170"/>
        <v>1</v>
      </c>
      <c r="GB43">
        <f t="shared" si="171"/>
        <v>1</v>
      </c>
      <c r="GC43">
        <f t="shared" si="172"/>
        <v>1</v>
      </c>
      <c r="GD43">
        <f t="shared" si="173"/>
        <v>1</v>
      </c>
      <c r="GE43">
        <f t="shared" si="174"/>
        <v>1</v>
      </c>
      <c r="GF43">
        <f t="shared" si="175"/>
        <v>1</v>
      </c>
      <c r="GG43">
        <f t="shared" si="176"/>
        <v>1</v>
      </c>
      <c r="GH43">
        <f t="shared" si="177"/>
        <v>1</v>
      </c>
      <c r="GI43">
        <f t="shared" si="178"/>
        <v>1</v>
      </c>
      <c r="GJ43">
        <f t="shared" si="179"/>
        <v>1</v>
      </c>
      <c r="GK43">
        <f t="shared" si="180"/>
        <v>1</v>
      </c>
      <c r="GL43">
        <f t="shared" si="181"/>
        <v>1</v>
      </c>
      <c r="GM43">
        <f t="shared" si="182"/>
        <v>1</v>
      </c>
      <c r="GN43">
        <f t="shared" si="183"/>
        <v>1</v>
      </c>
      <c r="GO43">
        <f t="shared" si="184"/>
        <v>1</v>
      </c>
      <c r="GP43">
        <f t="shared" si="185"/>
        <v>1</v>
      </c>
      <c r="GQ43">
        <f t="shared" si="186"/>
        <v>1</v>
      </c>
      <c r="GR43">
        <f t="shared" si="187"/>
        <v>1</v>
      </c>
      <c r="GS43">
        <f t="shared" si="188"/>
        <v>1</v>
      </c>
      <c r="GT43">
        <f t="shared" si="189"/>
        <v>1</v>
      </c>
      <c r="GU43">
        <f t="shared" si="190"/>
        <v>1</v>
      </c>
      <c r="GX43" s="10"/>
    </row>
    <row r="44" spans="1:206" x14ac:dyDescent="0.3">
      <c r="A44" s="9" t="s">
        <v>55</v>
      </c>
      <c r="B44" s="80"/>
      <c r="C44" s="9">
        <v>3031281001</v>
      </c>
      <c r="D44" s="9" t="s">
        <v>379</v>
      </c>
      <c r="E44" s="9" t="s">
        <v>34</v>
      </c>
      <c r="F44" s="9" t="s">
        <v>35</v>
      </c>
      <c r="G44" s="9" t="s">
        <v>75</v>
      </c>
      <c r="H44" s="10">
        <v>44440</v>
      </c>
      <c r="I44" s="9">
        <f t="shared" si="191"/>
        <v>2021</v>
      </c>
      <c r="J44" s="9">
        <f t="shared" si="192"/>
        <v>9</v>
      </c>
      <c r="K44" s="9" t="str">
        <f t="shared" si="193"/>
        <v>2021_9</v>
      </c>
      <c r="L44">
        <f>MAX(0,VLOOKUP($K44,lookups!$A$1:$B$45,2,0)-12)</f>
        <v>5</v>
      </c>
      <c r="M44" s="40">
        <f t="shared" si="194"/>
        <v>44440</v>
      </c>
      <c r="N44" s="10" t="s">
        <v>37</v>
      </c>
      <c r="O44" t="str">
        <f ca="1">IF(OR($L44&gt;O$4,O$4&gt;$L44+23),"",OFFSET(Electric!$L35,0,-'Electric Calendarize'!$L44+'Electric Calendarize'!O$4+1))</f>
        <v/>
      </c>
      <c r="P44" t="str">
        <f ca="1">IF(OR($L44&gt;P$4,P$4&gt;$L44+23),"",OFFSET(Electric!$L35,0,-'Electric Calendarize'!$L44+'Electric Calendarize'!P$4+1))</f>
        <v/>
      </c>
      <c r="Q44" t="str">
        <f ca="1">IF(OR($L44&gt;Q$4,Q$4&gt;$L44+23),"",OFFSET(Electric!$L35,0,-'Electric Calendarize'!$L44+'Electric Calendarize'!Q$4+1))</f>
        <v/>
      </c>
      <c r="R44" t="str">
        <f ca="1">IF(OR($L44&gt;R$4,R$4&gt;$L44+23),"",OFFSET(Electric!$L35,0,-'Electric Calendarize'!$L44+'Electric Calendarize'!R$4+1))</f>
        <v/>
      </c>
      <c r="S44" t="str">
        <f ca="1">IF(OR($L44&gt;S$4,S$4&gt;$L44+23),"",OFFSET(Electric!$L35,0,-'Electric Calendarize'!$L44+'Electric Calendarize'!S$4+1))</f>
        <v/>
      </c>
      <c r="T44">
        <f ca="1">IF(OR($L44&gt;T$4,T$4&gt;$L44+23),"",OFFSET(Electric!$L35,0,-'Electric Calendarize'!$L44+'Electric Calendarize'!T$4+1))</f>
        <v>0</v>
      </c>
      <c r="U44">
        <f ca="1">IF(OR($L44&gt;U$4,U$4&gt;$L44+23),"",OFFSET(Electric!$L35,0,-'Electric Calendarize'!$L44+'Electric Calendarize'!U$4+1))</f>
        <v>0</v>
      </c>
      <c r="V44">
        <f ca="1">IF(OR($L44&gt;V$4,V$4&gt;$L44+23),"",OFFSET(Electric!$L35,0,-'Electric Calendarize'!$L44+'Electric Calendarize'!V$4+1))</f>
        <v>0</v>
      </c>
      <c r="W44">
        <f ca="1">IF(OR($L44&gt;W$4,W$4&gt;$L44+23),"",OFFSET(Electric!$L35,0,-'Electric Calendarize'!$L44+'Electric Calendarize'!W$4+1))</f>
        <v>0</v>
      </c>
      <c r="X44">
        <f ca="1">IF(OR($L44&gt;X$4,X$4&gt;$L44+23),"",OFFSET(Electric!$L35,0,-'Electric Calendarize'!$L44+'Electric Calendarize'!X$4+1))</f>
        <v>0</v>
      </c>
      <c r="Y44">
        <f ca="1">IF(OR($L44&gt;Y$4,Y$4&gt;$L44+23),"",OFFSET(Electric!$L35,0,-'Electric Calendarize'!$L44+'Electric Calendarize'!Y$4+1))</f>
        <v>0</v>
      </c>
      <c r="Z44">
        <f ca="1">IF(OR($L44&gt;Z$4,Z$4&gt;$L44+23),"",OFFSET(Electric!$L35,0,-'Electric Calendarize'!$L44+'Electric Calendarize'!Z$4+1))</f>
        <v>398</v>
      </c>
      <c r="AA44">
        <f ca="1">IF(OR($L44&gt;AA$4,AA$4&gt;$L44+23),"",OFFSET(Electric!$L35,0,-'Electric Calendarize'!$L44+'Electric Calendarize'!AA$4+1))</f>
        <v>633</v>
      </c>
      <c r="AB44">
        <f ca="1">IF(OR($L44&gt;AB$4,AB$4&gt;$L44+23),"",OFFSET(Electric!$L35,0,-'Electric Calendarize'!$L44+'Electric Calendarize'!AB$4+1))</f>
        <v>657</v>
      </c>
      <c r="AC44">
        <f ca="1">IF(OR($L44&gt;AC$4,AC$4&gt;$L44+23),"",OFFSET(Electric!$L35,0,-'Electric Calendarize'!$L44+'Electric Calendarize'!AC$4+1))</f>
        <v>799</v>
      </c>
      <c r="AD44">
        <f ca="1">IF(OR($L44&gt;AD$4,AD$4&gt;$L44+23),"",OFFSET(Electric!$L35,0,-'Electric Calendarize'!$L44+'Electric Calendarize'!AD$4+1))</f>
        <v>1064</v>
      </c>
      <c r="AE44">
        <f ca="1">IF(OR($L44&gt;AE$4,AE$4&gt;$L44+23),"",OFFSET(Electric!$L35,0,-'Electric Calendarize'!$L44+'Electric Calendarize'!AE$4+1))</f>
        <v>1198</v>
      </c>
      <c r="AF44">
        <f ca="1">IF(OR($L44&gt;AF$4,AF$4&gt;$L44+23),"",OFFSET(Electric!$L35,0,-'Electric Calendarize'!$L44+'Electric Calendarize'!AF$4+1))</f>
        <v>1189</v>
      </c>
      <c r="AG44">
        <f ca="1">IF(OR($L44&gt;AG$4,AG$4&gt;$L44+23),"",OFFSET(Electric!$L35,0,-'Electric Calendarize'!$L44+'Electric Calendarize'!AG$4+1))</f>
        <v>820</v>
      </c>
      <c r="AH44">
        <f ca="1">IF(OR($L44&gt;AH$4,AH$4&gt;$L44+23),"",OFFSET(Electric!$L35,0,-'Electric Calendarize'!$L44+'Electric Calendarize'!AH$4+1))</f>
        <v>754</v>
      </c>
      <c r="AI44">
        <f ca="1">IF(OR($L44&gt;AI$4,AI$4&gt;$L44+23),"",OFFSET(Electric!$L35,0,-'Electric Calendarize'!$L44+'Electric Calendarize'!AI$4+1))</f>
        <v>1345</v>
      </c>
      <c r="AJ44">
        <f ca="1">IF(OR($L44&gt;AJ$4,AJ$4&gt;$L44+23),"",OFFSET(Electric!$L35,0,-'Electric Calendarize'!$L44+'Electric Calendarize'!AJ$4+1))</f>
        <v>1376</v>
      </c>
      <c r="AK44">
        <f ca="1">IF(OR($L44&gt;AK$4,AK$4&gt;$L44+23),"",OFFSET(Electric!$L35,0,-'Electric Calendarize'!$L44+'Electric Calendarize'!AK$4+1))</f>
        <v>923</v>
      </c>
      <c r="AL44">
        <f ca="1">IF(OR($L44&gt;AL$4,AL$4&gt;$L44+23),"",OFFSET(Electric!$L35,0,-'Electric Calendarize'!$L44+'Electric Calendarize'!AL$4+1))</f>
        <v>735</v>
      </c>
      <c r="AM44">
        <f ca="1">IF(OR($L44&gt;AM$4,AM$4&gt;$L44+23),"",OFFSET(Electric!$L35,0,-'Electric Calendarize'!$L44+'Electric Calendarize'!AM$4+1))</f>
        <v>895</v>
      </c>
      <c r="AN44">
        <f ca="1">IF(OR($L44&gt;AN$4,AN$4&gt;$L44+23),"",OFFSET(Electric!$L35,0,-'Electric Calendarize'!$L44+'Electric Calendarize'!AN$4+1))</f>
        <v>891</v>
      </c>
      <c r="AO44">
        <f ca="1">IF(OR($L44&gt;AO$4,AO$4&gt;$L44+23),"",OFFSET(Electric!$L35,0,-'Electric Calendarize'!$L44+'Electric Calendarize'!AO$4+1))</f>
        <v>729</v>
      </c>
      <c r="AP44">
        <f ca="1">IF(OR($L44&gt;AP$4,AP$4&gt;$L44+23),"",OFFSET(Electric!$L35,0,-'Electric Calendarize'!$L44+'Electric Calendarize'!AP$4+1))</f>
        <v>892</v>
      </c>
      <c r="AQ44">
        <f ca="1">IF(OR($L44&gt;AQ$4,AQ$4&gt;$L44+23),"",OFFSET(Electric!$L35,0,-'Electric Calendarize'!$L44+'Electric Calendarize'!AQ$4+1))</f>
        <v>1255</v>
      </c>
      <c r="AR44" t="str">
        <f ca="1">IF(OR($L44&gt;AR$4,AR$4&gt;$L44+23),"",OFFSET(Electric!$L35,0,-'Electric Calendarize'!$L44+'Electric Calendarize'!AR$4+1))</f>
        <v/>
      </c>
      <c r="AS44" t="str">
        <f ca="1">IF(OR($L44&gt;AS$4,AS$4&gt;$L44+23),"",OFFSET(Electric!$L35,0,-'Electric Calendarize'!$L44+'Electric Calendarize'!AS$4+1))</f>
        <v/>
      </c>
      <c r="AT44" t="str">
        <f ca="1">IF(OR($L44&gt;AT$4,AT$4&gt;$L44+23),"",OFFSET(Electric!$L35,0,-'Electric Calendarize'!$L44+'Electric Calendarize'!AT$4+1))</f>
        <v/>
      </c>
      <c r="AU44" t="str">
        <f ca="1">IF(OR($L44&gt;AU$4,AU$4&gt;$L44+23),"",OFFSET(Electric!$L35,0,-'Electric Calendarize'!$L44+'Electric Calendarize'!AU$4+1))</f>
        <v/>
      </c>
      <c r="AV44" t="str">
        <f ca="1">IF(OR($L44&gt;AV$4,AV$4&gt;$L44+23),"",OFFSET(Electric!$L35,0,-'Electric Calendarize'!$L44+'Electric Calendarize'!AV$4+1))</f>
        <v/>
      </c>
      <c r="AW44" t="str">
        <f ca="1">IF(OR($L44&gt;AW$4,AW$4&gt;$L44+23),"",OFFSET(Electric!$L35,0,-'Electric Calendarize'!$L44+'Electric Calendarize'!AW$4+1))</f>
        <v/>
      </c>
      <c r="AX44" t="str">
        <f ca="1">IF(OR($L44&gt;AX$4,AX$4&gt;$L44+23),"",OFFSET(Electric!$L35,0,-'Electric Calendarize'!$L44+'Electric Calendarize'!AX$4+1))</f>
        <v/>
      </c>
      <c r="AY44" t="str">
        <f ca="1">IF(OR($L44&gt;AY$4,AY$4&gt;$L44+23),"",OFFSET(Electric!$L35,0,-'Electric Calendarize'!$L44+'Electric Calendarize'!AY$4+1))</f>
        <v/>
      </c>
      <c r="AZ44" t="str">
        <f ca="1">IF(OR($L44&gt;AZ$4,AZ$4&gt;$L44+23),"",OFFSET(Electric!$L35,0,-'Electric Calendarize'!$L44+'Electric Calendarize'!AZ$4+1))</f>
        <v/>
      </c>
      <c r="BA44" t="str">
        <f ca="1">IF(OR($L44&gt;BA$4,BA$4&gt;$L44+23),"",OFFSET(Electric!$L35,0,-'Electric Calendarize'!$L44+'Electric Calendarize'!BA$4+1))</f>
        <v/>
      </c>
      <c r="BB44" t="str">
        <f ca="1">IF(OR($L44&gt;BB$4,BB$4&gt;$L44+23),"",OFFSET(Electric!$L35,0,-'Electric Calendarize'!$L44+'Electric Calendarize'!BB$4+1))</f>
        <v/>
      </c>
      <c r="BC44" t="str">
        <f ca="1">IF(OR($L44&gt;BC$4,BC$4&gt;$L44+23),"",OFFSET(Electric!$L35,0,-'Electric Calendarize'!$L44+'Electric Calendarize'!BC$4+1))</f>
        <v/>
      </c>
      <c r="BD44" t="str">
        <f ca="1">IF(OR($L44&gt;BD$4,BD$4&gt;$L44+23),"",OFFSET(Electric!$L35,0,-'Electric Calendarize'!$L44+'Electric Calendarize'!BD$4+1))</f>
        <v/>
      </c>
      <c r="BE44" t="str">
        <f ca="1">IF(OR($L44&gt;BE$4,BE$4&gt;$L44+23),"",OFFSET(Electric!$L35,0,-'Electric Calendarize'!$L44+'Electric Calendarize'!BE$4+1))</f>
        <v/>
      </c>
      <c r="BF44" t="str">
        <f ca="1">IF(OR($L44&gt;BF$4,BF$4&gt;$L44+23),"",OFFSET(Electric!$L35,0,-'Electric Calendarize'!$L44+'Electric Calendarize'!BF$4+1))</f>
        <v/>
      </c>
      <c r="BG44" t="str">
        <f ca="1">IF(OR($L44&gt;BG$4,BG$4&gt;$L44+23),"",OFFSET(Electric!$L35,0,-'Electric Calendarize'!$L44+'Electric Calendarize'!BG$4+1))</f>
        <v/>
      </c>
      <c r="BJ44" s="10" t="s">
        <v>37</v>
      </c>
      <c r="BK44">
        <f t="shared" si="195"/>
        <v>1</v>
      </c>
      <c r="BL44">
        <f t="shared" si="100"/>
        <v>0</v>
      </c>
      <c r="BM44">
        <f t="shared" si="101"/>
        <v>0</v>
      </c>
      <c r="BN44">
        <f t="shared" si="102"/>
        <v>0</v>
      </c>
      <c r="BO44">
        <f t="shared" si="103"/>
        <v>0</v>
      </c>
      <c r="BP44">
        <f t="shared" si="104"/>
        <v>0</v>
      </c>
      <c r="BQ44">
        <f t="shared" si="105"/>
        <v>0</v>
      </c>
      <c r="BR44">
        <f t="shared" si="106"/>
        <v>1</v>
      </c>
      <c r="BS44">
        <f t="shared" si="107"/>
        <v>1</v>
      </c>
      <c r="BT44">
        <f t="shared" si="108"/>
        <v>1</v>
      </c>
      <c r="BU44">
        <f t="shared" si="109"/>
        <v>1</v>
      </c>
      <c r="BV44">
        <f t="shared" si="110"/>
        <v>1</v>
      </c>
      <c r="BW44">
        <f t="shared" si="111"/>
        <v>1</v>
      </c>
      <c r="BX44">
        <f t="shared" si="112"/>
        <v>0</v>
      </c>
      <c r="BY44">
        <f t="shared" si="113"/>
        <v>0</v>
      </c>
      <c r="BZ44">
        <f t="shared" si="114"/>
        <v>0</v>
      </c>
      <c r="CA44">
        <f t="shared" si="115"/>
        <v>0</v>
      </c>
      <c r="CB44">
        <f t="shared" si="116"/>
        <v>0</v>
      </c>
      <c r="CC44">
        <f t="shared" si="117"/>
        <v>0</v>
      </c>
      <c r="CD44">
        <f t="shared" si="118"/>
        <v>1</v>
      </c>
      <c r="CE44">
        <f t="shared" si="119"/>
        <v>1</v>
      </c>
      <c r="CF44">
        <f t="shared" si="120"/>
        <v>1</v>
      </c>
      <c r="CG44">
        <f t="shared" si="121"/>
        <v>1</v>
      </c>
      <c r="CH44">
        <f t="shared" si="122"/>
        <v>1</v>
      </c>
      <c r="CI44">
        <f t="shared" si="123"/>
        <v>1</v>
      </c>
      <c r="CJ44">
        <f t="shared" si="124"/>
        <v>0</v>
      </c>
      <c r="CK44">
        <f t="shared" si="125"/>
        <v>0</v>
      </c>
      <c r="CL44">
        <f t="shared" si="126"/>
        <v>0</v>
      </c>
      <c r="CM44">
        <f t="shared" si="127"/>
        <v>0</v>
      </c>
      <c r="CN44">
        <f t="shared" si="128"/>
        <v>0</v>
      </c>
      <c r="CO44">
        <f t="shared" si="129"/>
        <v>0</v>
      </c>
      <c r="CP44">
        <f t="shared" si="130"/>
        <v>1</v>
      </c>
      <c r="CQ44">
        <f t="shared" si="131"/>
        <v>1</v>
      </c>
      <c r="CR44">
        <f t="shared" si="132"/>
        <v>1</v>
      </c>
      <c r="CS44">
        <f t="shared" si="133"/>
        <v>1</v>
      </c>
      <c r="CT44">
        <f t="shared" si="134"/>
        <v>1</v>
      </c>
      <c r="CU44">
        <f t="shared" si="135"/>
        <v>1</v>
      </c>
      <c r="CV44">
        <f t="shared" si="136"/>
        <v>0</v>
      </c>
      <c r="CW44">
        <f t="shared" si="137"/>
        <v>0</v>
      </c>
      <c r="CX44">
        <f t="shared" si="138"/>
        <v>0</v>
      </c>
      <c r="CY44">
        <f t="shared" si="139"/>
        <v>0</v>
      </c>
      <c r="CZ44">
        <f t="shared" si="140"/>
        <v>0</v>
      </c>
      <c r="DA44">
        <f t="shared" si="141"/>
        <v>0</v>
      </c>
      <c r="DB44">
        <f t="shared" si="142"/>
        <v>1</v>
      </c>
      <c r="DC44">
        <f t="shared" si="143"/>
        <v>1</v>
      </c>
      <c r="DF44" s="10" t="s">
        <v>37</v>
      </c>
      <c r="DG44" t="str">
        <f t="shared" ref="DG44:DV59" si="204">$K44</f>
        <v>2021_9</v>
      </c>
      <c r="DH44" t="str">
        <f t="shared" si="204"/>
        <v>2021_9</v>
      </c>
      <c r="DI44" t="str">
        <f t="shared" si="204"/>
        <v>2021_9</v>
      </c>
      <c r="DJ44" t="str">
        <f t="shared" si="204"/>
        <v>2021_9</v>
      </c>
      <c r="DK44" t="str">
        <f t="shared" si="204"/>
        <v>2021_9</v>
      </c>
      <c r="DL44" t="str">
        <f t="shared" si="204"/>
        <v>2021_9</v>
      </c>
      <c r="DM44" t="str">
        <f t="shared" si="204"/>
        <v>2021_9</v>
      </c>
      <c r="DN44" t="str">
        <f t="shared" si="204"/>
        <v>2021_9</v>
      </c>
      <c r="DO44" t="str">
        <f t="shared" si="204"/>
        <v>2021_9</v>
      </c>
      <c r="DP44" t="str">
        <f t="shared" si="204"/>
        <v>2021_9</v>
      </c>
      <c r="DQ44" t="str">
        <f t="shared" si="204"/>
        <v>2021_9</v>
      </c>
      <c r="DR44" t="str">
        <f t="shared" si="204"/>
        <v>2021_9</v>
      </c>
      <c r="DS44" t="str">
        <f t="shared" si="204"/>
        <v>2021_9</v>
      </c>
      <c r="DT44" t="str">
        <f t="shared" si="204"/>
        <v>2021_9</v>
      </c>
      <c r="DU44" t="str">
        <f t="shared" si="204"/>
        <v>2021_9</v>
      </c>
      <c r="DV44" t="str">
        <f t="shared" si="203"/>
        <v>2021_9</v>
      </c>
      <c r="DW44" t="str">
        <f t="shared" si="201"/>
        <v>2021_9</v>
      </c>
      <c r="DX44" t="str">
        <f t="shared" si="201"/>
        <v>2021_9</v>
      </c>
      <c r="DY44" t="str">
        <f t="shared" si="201"/>
        <v>2021_9</v>
      </c>
      <c r="DZ44" t="str">
        <f t="shared" si="201"/>
        <v>2021_9</v>
      </c>
      <c r="EA44" t="str">
        <f t="shared" si="201"/>
        <v>2021_9</v>
      </c>
      <c r="EB44" t="str">
        <f t="shared" si="201"/>
        <v>2021_9</v>
      </c>
      <c r="EC44" t="str">
        <f t="shared" si="201"/>
        <v>2021_9</v>
      </c>
      <c r="ED44" t="str">
        <f t="shared" si="201"/>
        <v>2021_9</v>
      </c>
      <c r="EE44" t="str">
        <f t="shared" si="201"/>
        <v>2021_9</v>
      </c>
      <c r="EF44" t="str">
        <f t="shared" si="201"/>
        <v>2021_9</v>
      </c>
      <c r="EG44" t="str">
        <f t="shared" si="201"/>
        <v>2021_9</v>
      </c>
      <c r="EH44" t="str">
        <f t="shared" si="201"/>
        <v>2021_9</v>
      </c>
      <c r="EI44" t="str">
        <f t="shared" si="201"/>
        <v>2021_9</v>
      </c>
      <c r="EJ44" t="str">
        <f t="shared" si="201"/>
        <v>2021_9</v>
      </c>
      <c r="EK44" t="str">
        <f t="shared" si="201"/>
        <v>2021_9</v>
      </c>
      <c r="EL44" t="str">
        <f t="shared" si="201"/>
        <v>2021_9</v>
      </c>
      <c r="EM44" t="str">
        <f t="shared" si="202"/>
        <v>2021_9</v>
      </c>
      <c r="EN44" t="str">
        <f t="shared" si="202"/>
        <v>2021_9</v>
      </c>
      <c r="EO44" t="str">
        <f t="shared" si="202"/>
        <v>2021_9</v>
      </c>
      <c r="EP44" t="str">
        <f t="shared" si="202"/>
        <v>2021_9</v>
      </c>
      <c r="EQ44" t="str">
        <f t="shared" si="202"/>
        <v>2021_9</v>
      </c>
      <c r="ER44" t="str">
        <f t="shared" si="202"/>
        <v>2021_9</v>
      </c>
      <c r="ES44" t="str">
        <f t="shared" si="202"/>
        <v>2021_9</v>
      </c>
      <c r="ET44" t="str">
        <f t="shared" si="202"/>
        <v>2021_9</v>
      </c>
      <c r="EU44" t="str">
        <f t="shared" si="202"/>
        <v>2021_9</v>
      </c>
      <c r="EV44" t="str">
        <f t="shared" si="202"/>
        <v>2021_9</v>
      </c>
      <c r="EW44" t="str">
        <f t="shared" si="202"/>
        <v>2021_9</v>
      </c>
      <c r="EX44" t="str">
        <f t="shared" si="202"/>
        <v>2021_9</v>
      </c>
      <c r="EY44" t="str">
        <f t="shared" si="202"/>
        <v>2021_9</v>
      </c>
      <c r="FB44" s="10" t="s">
        <v>37</v>
      </c>
      <c r="FC44">
        <f t="shared" si="197"/>
        <v>0</v>
      </c>
      <c r="FD44">
        <f t="shared" si="147"/>
        <v>0</v>
      </c>
      <c r="FE44">
        <f t="shared" si="148"/>
        <v>0</v>
      </c>
      <c r="FF44">
        <f t="shared" si="149"/>
        <v>0</v>
      </c>
      <c r="FG44">
        <f t="shared" si="150"/>
        <v>0</v>
      </c>
      <c r="FH44">
        <f t="shared" si="151"/>
        <v>0</v>
      </c>
      <c r="FI44">
        <f t="shared" si="152"/>
        <v>0</v>
      </c>
      <c r="FJ44">
        <f t="shared" si="153"/>
        <v>0</v>
      </c>
      <c r="FK44">
        <f t="shared" si="154"/>
        <v>0</v>
      </c>
      <c r="FL44">
        <f t="shared" si="155"/>
        <v>0</v>
      </c>
      <c r="FM44">
        <f t="shared" si="156"/>
        <v>0</v>
      </c>
      <c r="FN44">
        <f t="shared" si="157"/>
        <v>0</v>
      </c>
      <c r="FO44">
        <f t="shared" si="158"/>
        <v>0</v>
      </c>
      <c r="FP44">
        <f t="shared" si="159"/>
        <v>0</v>
      </c>
      <c r="FQ44">
        <f t="shared" si="160"/>
        <v>0</v>
      </c>
      <c r="FR44">
        <f t="shared" si="161"/>
        <v>0</v>
      </c>
      <c r="FS44">
        <f t="shared" si="162"/>
        <v>0</v>
      </c>
      <c r="FT44">
        <f t="shared" si="163"/>
        <v>1</v>
      </c>
      <c r="FU44">
        <f t="shared" si="164"/>
        <v>1</v>
      </c>
      <c r="FV44">
        <f t="shared" si="165"/>
        <v>1</v>
      </c>
      <c r="FW44">
        <f t="shared" si="166"/>
        <v>1</v>
      </c>
      <c r="FX44">
        <f t="shared" si="167"/>
        <v>1</v>
      </c>
      <c r="FY44">
        <f t="shared" si="168"/>
        <v>1</v>
      </c>
      <c r="FZ44">
        <f t="shared" si="169"/>
        <v>1</v>
      </c>
      <c r="GA44">
        <f t="shared" si="170"/>
        <v>1</v>
      </c>
      <c r="GB44">
        <f t="shared" si="171"/>
        <v>1</v>
      </c>
      <c r="GC44">
        <f t="shared" si="172"/>
        <v>1</v>
      </c>
      <c r="GD44">
        <f t="shared" si="173"/>
        <v>1</v>
      </c>
      <c r="GE44">
        <f t="shared" si="174"/>
        <v>1</v>
      </c>
      <c r="GF44">
        <f t="shared" si="175"/>
        <v>1</v>
      </c>
      <c r="GG44">
        <f t="shared" si="176"/>
        <v>1</v>
      </c>
      <c r="GH44">
        <f t="shared" si="177"/>
        <v>1</v>
      </c>
      <c r="GI44">
        <f t="shared" si="178"/>
        <v>1</v>
      </c>
      <c r="GJ44">
        <f t="shared" si="179"/>
        <v>1</v>
      </c>
      <c r="GK44">
        <f t="shared" si="180"/>
        <v>1</v>
      </c>
      <c r="GL44">
        <f t="shared" si="181"/>
        <v>1</v>
      </c>
      <c r="GM44">
        <f t="shared" si="182"/>
        <v>1</v>
      </c>
      <c r="GN44">
        <f t="shared" si="183"/>
        <v>1</v>
      </c>
      <c r="GO44">
        <f t="shared" si="184"/>
        <v>1</v>
      </c>
      <c r="GP44">
        <f t="shared" si="185"/>
        <v>1</v>
      </c>
      <c r="GQ44">
        <f t="shared" si="186"/>
        <v>1</v>
      </c>
      <c r="GR44">
        <f t="shared" si="187"/>
        <v>1</v>
      </c>
      <c r="GS44">
        <f t="shared" si="188"/>
        <v>1</v>
      </c>
      <c r="GT44">
        <f t="shared" si="189"/>
        <v>1</v>
      </c>
      <c r="GU44">
        <f t="shared" si="190"/>
        <v>1</v>
      </c>
      <c r="GX44" s="10"/>
    </row>
    <row r="45" spans="1:206" x14ac:dyDescent="0.3">
      <c r="A45" s="8" t="s">
        <v>33</v>
      </c>
      <c r="B45" s="80"/>
      <c r="C45" s="9">
        <v>3021760000</v>
      </c>
      <c r="D45" s="9" t="s">
        <v>380</v>
      </c>
      <c r="E45" s="9" t="s">
        <v>34</v>
      </c>
      <c r="F45" s="9" t="s">
        <v>35</v>
      </c>
      <c r="G45" s="9" t="s">
        <v>76</v>
      </c>
      <c r="H45" s="10">
        <v>44441</v>
      </c>
      <c r="I45" s="9">
        <f t="shared" si="191"/>
        <v>2021</v>
      </c>
      <c r="J45" s="9">
        <f t="shared" si="192"/>
        <v>9</v>
      </c>
      <c r="K45" s="9" t="str">
        <f t="shared" si="193"/>
        <v>2021_9</v>
      </c>
      <c r="L45">
        <f>MAX(0,VLOOKUP($K45,lookups!$A$1:$B$45,2,0)-12)</f>
        <v>5</v>
      </c>
      <c r="M45" s="40">
        <f t="shared" si="194"/>
        <v>44440</v>
      </c>
      <c r="N45" s="10" t="s">
        <v>37</v>
      </c>
      <c r="O45" t="str">
        <f ca="1">IF(OR($L45&gt;O$4,O$4&gt;$L45+23),"",OFFSET(Electric!$L36,0,-'Electric Calendarize'!$L45+'Electric Calendarize'!O$4+1))</f>
        <v/>
      </c>
      <c r="P45" t="str">
        <f ca="1">IF(OR($L45&gt;P$4,P$4&gt;$L45+23),"",OFFSET(Electric!$L36,0,-'Electric Calendarize'!$L45+'Electric Calendarize'!P$4+1))</f>
        <v/>
      </c>
      <c r="Q45" t="str">
        <f ca="1">IF(OR($L45&gt;Q$4,Q$4&gt;$L45+23),"",OFFSET(Electric!$L36,0,-'Electric Calendarize'!$L45+'Electric Calendarize'!Q$4+1))</f>
        <v/>
      </c>
      <c r="R45" t="str">
        <f ca="1">IF(OR($L45&gt;R$4,R$4&gt;$L45+23),"",OFFSET(Electric!$L36,0,-'Electric Calendarize'!$L45+'Electric Calendarize'!R$4+1))</f>
        <v/>
      </c>
      <c r="S45" t="str">
        <f ca="1">IF(OR($L45&gt;S$4,S$4&gt;$L45+23),"",OFFSET(Electric!$L36,0,-'Electric Calendarize'!$L45+'Electric Calendarize'!S$4+1))</f>
        <v/>
      </c>
      <c r="T45">
        <f ca="1">IF(OR($L45&gt;T$4,T$4&gt;$L45+23),"",OFFSET(Electric!$L36,0,-'Electric Calendarize'!$L45+'Electric Calendarize'!T$4+1))</f>
        <v>626</v>
      </c>
      <c r="U45">
        <f ca="1">IF(OR($L45&gt;U$4,U$4&gt;$L45+23),"",OFFSET(Electric!$L36,0,-'Electric Calendarize'!$L45+'Electric Calendarize'!U$4+1))</f>
        <v>640</v>
      </c>
      <c r="V45">
        <f ca="1">IF(OR($L45&gt;V$4,V$4&gt;$L45+23),"",OFFSET(Electric!$L36,0,-'Electric Calendarize'!$L45+'Electric Calendarize'!V$4+1))</f>
        <v>648</v>
      </c>
      <c r="W45">
        <f ca="1">IF(OR($L45&gt;W$4,W$4&gt;$L45+23),"",OFFSET(Electric!$L36,0,-'Electric Calendarize'!$L45+'Electric Calendarize'!W$4+1))</f>
        <v>828</v>
      </c>
      <c r="X45">
        <f ca="1">IF(OR($L45&gt;X$4,X$4&gt;$L45+23),"",OFFSET(Electric!$L36,0,-'Electric Calendarize'!$L45+'Electric Calendarize'!X$4+1))</f>
        <v>1122</v>
      </c>
      <c r="Y45">
        <f ca="1">IF(OR($L45&gt;Y$4,Y$4&gt;$L45+23),"",OFFSET(Electric!$L36,0,-'Electric Calendarize'!$L45+'Electric Calendarize'!Y$4+1))</f>
        <v>868</v>
      </c>
      <c r="Z45">
        <f ca="1">IF(OR($L45&gt;Z$4,Z$4&gt;$L45+23),"",OFFSET(Electric!$L36,0,-'Electric Calendarize'!$L45+'Electric Calendarize'!Z$4+1))</f>
        <v>968</v>
      </c>
      <c r="AA45">
        <f ca="1">IF(OR($L45&gt;AA$4,AA$4&gt;$L45+23),"",OFFSET(Electric!$L36,0,-'Electric Calendarize'!$L45+'Electric Calendarize'!AA$4+1))</f>
        <v>538</v>
      </c>
      <c r="AB45">
        <f ca="1">IF(OR($L45&gt;AB$4,AB$4&gt;$L45+23),"",OFFSET(Electric!$L36,0,-'Electric Calendarize'!$L45+'Electric Calendarize'!AB$4+1))</f>
        <v>486</v>
      </c>
      <c r="AC45">
        <f ca="1">IF(OR($L45&gt;AC$4,AC$4&gt;$L45+23),"",OFFSET(Electric!$L36,0,-'Electric Calendarize'!$L45+'Electric Calendarize'!AC$4+1))</f>
        <v>516</v>
      </c>
      <c r="AD45">
        <f ca="1">IF(OR($L45&gt;AD$4,AD$4&gt;$L45+23),"",OFFSET(Electric!$L36,0,-'Electric Calendarize'!$L45+'Electric Calendarize'!AD$4+1))</f>
        <v>564</v>
      </c>
      <c r="AE45">
        <f ca="1">IF(OR($L45&gt;AE$4,AE$4&gt;$L45+23),"",OFFSET(Electric!$L36,0,-'Electric Calendarize'!$L45+'Electric Calendarize'!AE$4+1))</f>
        <v>576</v>
      </c>
      <c r="AF45">
        <f ca="1">IF(OR($L45&gt;AF$4,AF$4&gt;$L45+23),"",OFFSET(Electric!$L36,0,-'Electric Calendarize'!$L45+'Electric Calendarize'!AF$4+1))</f>
        <v>858</v>
      </c>
      <c r="AG45">
        <f ca="1">IF(OR($L45&gt;AG$4,AG$4&gt;$L45+23),"",OFFSET(Electric!$L36,0,-'Electric Calendarize'!$L45+'Electric Calendarize'!AG$4+1))</f>
        <v>476</v>
      </c>
      <c r="AH45">
        <f ca="1">IF(OR($L45&gt;AH$4,AH$4&gt;$L45+23),"",OFFSET(Electric!$L36,0,-'Electric Calendarize'!$L45+'Electric Calendarize'!AH$4+1))</f>
        <v>542</v>
      </c>
      <c r="AI45">
        <f ca="1">IF(OR($L45&gt;AI$4,AI$4&gt;$L45+23),"",OFFSET(Electric!$L36,0,-'Electric Calendarize'!$L45+'Electric Calendarize'!AI$4+1))</f>
        <v>766</v>
      </c>
      <c r="AJ45">
        <f ca="1">IF(OR($L45&gt;AJ$4,AJ$4&gt;$L45+23),"",OFFSET(Electric!$L36,0,-'Electric Calendarize'!$L45+'Electric Calendarize'!AJ$4+1))</f>
        <v>820</v>
      </c>
      <c r="AK45">
        <f ca="1">IF(OR($L45&gt;AK$4,AK$4&gt;$L45+23),"",OFFSET(Electric!$L36,0,-'Electric Calendarize'!$L45+'Electric Calendarize'!AK$4+1))</f>
        <v>814</v>
      </c>
      <c r="AL45">
        <f ca="1">IF(OR($L45&gt;AL$4,AL$4&gt;$L45+23),"",OFFSET(Electric!$L36,0,-'Electric Calendarize'!$L45+'Electric Calendarize'!AL$4+1))</f>
        <v>698</v>
      </c>
      <c r="AM45">
        <f ca="1">IF(OR($L45&gt;AM$4,AM$4&gt;$L45+23),"",OFFSET(Electric!$L36,0,-'Electric Calendarize'!$L45+'Electric Calendarize'!AM$4+1))</f>
        <v>468</v>
      </c>
      <c r="AN45">
        <f ca="1">IF(OR($L45&gt;AN$4,AN$4&gt;$L45+23),"",OFFSET(Electric!$L36,0,-'Electric Calendarize'!$L45+'Electric Calendarize'!AN$4+1))</f>
        <v>494</v>
      </c>
      <c r="AO45">
        <f ca="1">IF(OR($L45&gt;AO$4,AO$4&gt;$L45+23),"",OFFSET(Electric!$L36,0,-'Electric Calendarize'!$L45+'Electric Calendarize'!AO$4+1))</f>
        <v>470</v>
      </c>
      <c r="AP45">
        <f ca="1">IF(OR($L45&gt;AP$4,AP$4&gt;$L45+23),"",OFFSET(Electric!$L36,0,-'Electric Calendarize'!$L45+'Electric Calendarize'!AP$4+1))</f>
        <v>482</v>
      </c>
      <c r="AQ45">
        <f ca="1">IF(OR($L45&gt;AQ$4,AQ$4&gt;$L45+23),"",OFFSET(Electric!$L36,0,-'Electric Calendarize'!$L45+'Electric Calendarize'!AQ$4+1))</f>
        <v>626</v>
      </c>
      <c r="AR45" t="str">
        <f ca="1">IF(OR($L45&gt;AR$4,AR$4&gt;$L45+23),"",OFFSET(Electric!$L36,0,-'Electric Calendarize'!$L45+'Electric Calendarize'!AR$4+1))</f>
        <v/>
      </c>
      <c r="AS45" t="str">
        <f ca="1">IF(OR($L45&gt;AS$4,AS$4&gt;$L45+23),"",OFFSET(Electric!$L36,0,-'Electric Calendarize'!$L45+'Electric Calendarize'!AS$4+1))</f>
        <v/>
      </c>
      <c r="AT45" t="str">
        <f ca="1">IF(OR($L45&gt;AT$4,AT$4&gt;$L45+23),"",OFFSET(Electric!$L36,0,-'Electric Calendarize'!$L45+'Electric Calendarize'!AT$4+1))</f>
        <v/>
      </c>
      <c r="AU45" t="str">
        <f ca="1">IF(OR($L45&gt;AU$4,AU$4&gt;$L45+23),"",OFFSET(Electric!$L36,0,-'Electric Calendarize'!$L45+'Electric Calendarize'!AU$4+1))</f>
        <v/>
      </c>
      <c r="AV45" t="str">
        <f ca="1">IF(OR($L45&gt;AV$4,AV$4&gt;$L45+23),"",OFFSET(Electric!$L36,0,-'Electric Calendarize'!$L45+'Electric Calendarize'!AV$4+1))</f>
        <v/>
      </c>
      <c r="AW45" t="str">
        <f ca="1">IF(OR($L45&gt;AW$4,AW$4&gt;$L45+23),"",OFFSET(Electric!$L36,0,-'Electric Calendarize'!$L45+'Electric Calendarize'!AW$4+1))</f>
        <v/>
      </c>
      <c r="AX45" t="str">
        <f ca="1">IF(OR($L45&gt;AX$4,AX$4&gt;$L45+23),"",OFFSET(Electric!$L36,0,-'Electric Calendarize'!$L45+'Electric Calendarize'!AX$4+1))</f>
        <v/>
      </c>
      <c r="AY45" t="str">
        <f ca="1">IF(OR($L45&gt;AY$4,AY$4&gt;$L45+23),"",OFFSET(Electric!$L36,0,-'Electric Calendarize'!$L45+'Electric Calendarize'!AY$4+1))</f>
        <v/>
      </c>
      <c r="AZ45" t="str">
        <f ca="1">IF(OR($L45&gt;AZ$4,AZ$4&gt;$L45+23),"",OFFSET(Electric!$L36,0,-'Electric Calendarize'!$L45+'Electric Calendarize'!AZ$4+1))</f>
        <v/>
      </c>
      <c r="BA45" t="str">
        <f ca="1">IF(OR($L45&gt;BA$4,BA$4&gt;$L45+23),"",OFFSET(Electric!$L36,0,-'Electric Calendarize'!$L45+'Electric Calendarize'!BA$4+1))</f>
        <v/>
      </c>
      <c r="BB45" t="str">
        <f ca="1">IF(OR($L45&gt;BB$4,BB$4&gt;$L45+23),"",OFFSET(Electric!$L36,0,-'Electric Calendarize'!$L45+'Electric Calendarize'!BB$4+1))</f>
        <v/>
      </c>
      <c r="BC45" t="str">
        <f ca="1">IF(OR($L45&gt;BC$4,BC$4&gt;$L45+23),"",OFFSET(Electric!$L36,0,-'Electric Calendarize'!$L45+'Electric Calendarize'!BC$4+1))</f>
        <v/>
      </c>
      <c r="BD45" t="str">
        <f ca="1">IF(OR($L45&gt;BD$4,BD$4&gt;$L45+23),"",OFFSET(Electric!$L36,0,-'Electric Calendarize'!$L45+'Electric Calendarize'!BD$4+1))</f>
        <v/>
      </c>
      <c r="BE45" t="str">
        <f ca="1">IF(OR($L45&gt;BE$4,BE$4&gt;$L45+23),"",OFFSET(Electric!$L36,0,-'Electric Calendarize'!$L45+'Electric Calendarize'!BE$4+1))</f>
        <v/>
      </c>
      <c r="BF45" t="str">
        <f ca="1">IF(OR($L45&gt;BF$4,BF$4&gt;$L45+23),"",OFFSET(Electric!$L36,0,-'Electric Calendarize'!$L45+'Electric Calendarize'!BF$4+1))</f>
        <v/>
      </c>
      <c r="BG45" t="str">
        <f ca="1">IF(OR($L45&gt;BG$4,BG$4&gt;$L45+23),"",OFFSET(Electric!$L36,0,-'Electric Calendarize'!$L45+'Electric Calendarize'!BG$4+1))</f>
        <v/>
      </c>
      <c r="BJ45" s="10" t="s">
        <v>37</v>
      </c>
      <c r="BK45">
        <f t="shared" si="195"/>
        <v>1</v>
      </c>
      <c r="BL45">
        <f t="shared" si="100"/>
        <v>0</v>
      </c>
      <c r="BM45">
        <f t="shared" si="101"/>
        <v>0</v>
      </c>
      <c r="BN45">
        <f t="shared" si="102"/>
        <v>0</v>
      </c>
      <c r="BO45">
        <f t="shared" si="103"/>
        <v>0</v>
      </c>
      <c r="BP45">
        <f t="shared" si="104"/>
        <v>0</v>
      </c>
      <c r="BQ45">
        <f t="shared" si="105"/>
        <v>0</v>
      </c>
      <c r="BR45">
        <f t="shared" si="106"/>
        <v>1</v>
      </c>
      <c r="BS45">
        <f t="shared" si="107"/>
        <v>1</v>
      </c>
      <c r="BT45">
        <f t="shared" si="108"/>
        <v>1</v>
      </c>
      <c r="BU45">
        <f t="shared" si="109"/>
        <v>1</v>
      </c>
      <c r="BV45">
        <f t="shared" si="110"/>
        <v>1</v>
      </c>
      <c r="BW45">
        <f t="shared" si="111"/>
        <v>1</v>
      </c>
      <c r="BX45">
        <f t="shared" si="112"/>
        <v>0</v>
      </c>
      <c r="BY45">
        <f t="shared" si="113"/>
        <v>0</v>
      </c>
      <c r="BZ45">
        <f t="shared" si="114"/>
        <v>0</v>
      </c>
      <c r="CA45">
        <f t="shared" si="115"/>
        <v>0</v>
      </c>
      <c r="CB45">
        <f t="shared" si="116"/>
        <v>0</v>
      </c>
      <c r="CC45">
        <f t="shared" si="117"/>
        <v>0</v>
      </c>
      <c r="CD45">
        <f t="shared" si="118"/>
        <v>1</v>
      </c>
      <c r="CE45">
        <f t="shared" si="119"/>
        <v>1</v>
      </c>
      <c r="CF45">
        <f t="shared" si="120"/>
        <v>1</v>
      </c>
      <c r="CG45">
        <f t="shared" si="121"/>
        <v>1</v>
      </c>
      <c r="CH45">
        <f t="shared" si="122"/>
        <v>1</v>
      </c>
      <c r="CI45">
        <f t="shared" si="123"/>
        <v>1</v>
      </c>
      <c r="CJ45">
        <f t="shared" si="124"/>
        <v>0</v>
      </c>
      <c r="CK45">
        <f t="shared" si="125"/>
        <v>0</v>
      </c>
      <c r="CL45">
        <f t="shared" si="126"/>
        <v>0</v>
      </c>
      <c r="CM45">
        <f t="shared" si="127"/>
        <v>0</v>
      </c>
      <c r="CN45">
        <f t="shared" si="128"/>
        <v>0</v>
      </c>
      <c r="CO45">
        <f t="shared" si="129"/>
        <v>0</v>
      </c>
      <c r="CP45">
        <f t="shared" si="130"/>
        <v>1</v>
      </c>
      <c r="CQ45">
        <f t="shared" si="131"/>
        <v>1</v>
      </c>
      <c r="CR45">
        <f t="shared" si="132"/>
        <v>1</v>
      </c>
      <c r="CS45">
        <f t="shared" si="133"/>
        <v>1</v>
      </c>
      <c r="CT45">
        <f t="shared" si="134"/>
        <v>1</v>
      </c>
      <c r="CU45">
        <f t="shared" si="135"/>
        <v>1</v>
      </c>
      <c r="CV45">
        <f t="shared" si="136"/>
        <v>0</v>
      </c>
      <c r="CW45">
        <f t="shared" si="137"/>
        <v>0</v>
      </c>
      <c r="CX45">
        <f t="shared" si="138"/>
        <v>0</v>
      </c>
      <c r="CY45">
        <f t="shared" si="139"/>
        <v>0</v>
      </c>
      <c r="CZ45">
        <f t="shared" si="140"/>
        <v>0</v>
      </c>
      <c r="DA45">
        <f t="shared" si="141"/>
        <v>0</v>
      </c>
      <c r="DB45">
        <f t="shared" si="142"/>
        <v>1</v>
      </c>
      <c r="DC45">
        <f t="shared" si="143"/>
        <v>1</v>
      </c>
      <c r="DF45" s="10" t="s">
        <v>37</v>
      </c>
      <c r="DG45" t="str">
        <f t="shared" si="204"/>
        <v>2021_9</v>
      </c>
      <c r="DH45" t="str">
        <f t="shared" si="204"/>
        <v>2021_9</v>
      </c>
      <c r="DI45" t="str">
        <f t="shared" si="204"/>
        <v>2021_9</v>
      </c>
      <c r="DJ45" t="str">
        <f t="shared" si="204"/>
        <v>2021_9</v>
      </c>
      <c r="DK45" t="str">
        <f t="shared" si="204"/>
        <v>2021_9</v>
      </c>
      <c r="DL45" t="str">
        <f t="shared" si="204"/>
        <v>2021_9</v>
      </c>
      <c r="DM45" t="str">
        <f t="shared" si="204"/>
        <v>2021_9</v>
      </c>
      <c r="DN45" t="str">
        <f t="shared" si="204"/>
        <v>2021_9</v>
      </c>
      <c r="DO45" t="str">
        <f t="shared" si="204"/>
        <v>2021_9</v>
      </c>
      <c r="DP45" t="str">
        <f t="shared" si="204"/>
        <v>2021_9</v>
      </c>
      <c r="DQ45" t="str">
        <f t="shared" si="204"/>
        <v>2021_9</v>
      </c>
      <c r="DR45" t="str">
        <f t="shared" si="204"/>
        <v>2021_9</v>
      </c>
      <c r="DS45" t="str">
        <f t="shared" si="204"/>
        <v>2021_9</v>
      </c>
      <c r="DT45" t="str">
        <f t="shared" si="204"/>
        <v>2021_9</v>
      </c>
      <c r="DU45" t="str">
        <f t="shared" si="204"/>
        <v>2021_9</v>
      </c>
      <c r="DV45" t="str">
        <f t="shared" si="203"/>
        <v>2021_9</v>
      </c>
      <c r="DW45" t="str">
        <f t="shared" si="201"/>
        <v>2021_9</v>
      </c>
      <c r="DX45" t="str">
        <f t="shared" si="201"/>
        <v>2021_9</v>
      </c>
      <c r="DY45" t="str">
        <f t="shared" si="201"/>
        <v>2021_9</v>
      </c>
      <c r="DZ45" t="str">
        <f t="shared" si="201"/>
        <v>2021_9</v>
      </c>
      <c r="EA45" t="str">
        <f t="shared" si="201"/>
        <v>2021_9</v>
      </c>
      <c r="EB45" t="str">
        <f t="shared" si="201"/>
        <v>2021_9</v>
      </c>
      <c r="EC45" t="str">
        <f t="shared" si="201"/>
        <v>2021_9</v>
      </c>
      <c r="ED45" t="str">
        <f t="shared" si="201"/>
        <v>2021_9</v>
      </c>
      <c r="EE45" t="str">
        <f t="shared" si="201"/>
        <v>2021_9</v>
      </c>
      <c r="EF45" t="str">
        <f t="shared" si="201"/>
        <v>2021_9</v>
      </c>
      <c r="EG45" t="str">
        <f t="shared" si="201"/>
        <v>2021_9</v>
      </c>
      <c r="EH45" t="str">
        <f t="shared" si="201"/>
        <v>2021_9</v>
      </c>
      <c r="EI45" t="str">
        <f t="shared" si="201"/>
        <v>2021_9</v>
      </c>
      <c r="EJ45" t="str">
        <f t="shared" si="201"/>
        <v>2021_9</v>
      </c>
      <c r="EK45" t="str">
        <f t="shared" si="201"/>
        <v>2021_9</v>
      </c>
      <c r="EL45" t="str">
        <f t="shared" si="201"/>
        <v>2021_9</v>
      </c>
      <c r="EM45" t="str">
        <f t="shared" si="202"/>
        <v>2021_9</v>
      </c>
      <c r="EN45" t="str">
        <f t="shared" si="202"/>
        <v>2021_9</v>
      </c>
      <c r="EO45" t="str">
        <f t="shared" si="202"/>
        <v>2021_9</v>
      </c>
      <c r="EP45" t="str">
        <f t="shared" si="202"/>
        <v>2021_9</v>
      </c>
      <c r="EQ45" t="str">
        <f t="shared" si="202"/>
        <v>2021_9</v>
      </c>
      <c r="ER45" t="str">
        <f t="shared" si="202"/>
        <v>2021_9</v>
      </c>
      <c r="ES45" t="str">
        <f t="shared" si="202"/>
        <v>2021_9</v>
      </c>
      <c r="ET45" t="str">
        <f t="shared" si="202"/>
        <v>2021_9</v>
      </c>
      <c r="EU45" t="str">
        <f t="shared" si="202"/>
        <v>2021_9</v>
      </c>
      <c r="EV45" t="str">
        <f t="shared" si="202"/>
        <v>2021_9</v>
      </c>
      <c r="EW45" t="str">
        <f t="shared" si="202"/>
        <v>2021_9</v>
      </c>
      <c r="EX45" t="str">
        <f t="shared" si="202"/>
        <v>2021_9</v>
      </c>
      <c r="EY45" t="str">
        <f t="shared" si="202"/>
        <v>2021_9</v>
      </c>
      <c r="FB45" s="10" t="s">
        <v>37</v>
      </c>
      <c r="FC45">
        <f t="shared" si="197"/>
        <v>0</v>
      </c>
      <c r="FD45">
        <f t="shared" si="147"/>
        <v>0</v>
      </c>
      <c r="FE45">
        <f t="shared" si="148"/>
        <v>0</v>
      </c>
      <c r="FF45">
        <f t="shared" si="149"/>
        <v>0</v>
      </c>
      <c r="FG45">
        <f t="shared" si="150"/>
        <v>0</v>
      </c>
      <c r="FH45">
        <f t="shared" si="151"/>
        <v>0</v>
      </c>
      <c r="FI45">
        <f t="shared" si="152"/>
        <v>0</v>
      </c>
      <c r="FJ45">
        <f t="shared" si="153"/>
        <v>0</v>
      </c>
      <c r="FK45">
        <f t="shared" si="154"/>
        <v>0</v>
      </c>
      <c r="FL45">
        <f t="shared" si="155"/>
        <v>0</v>
      </c>
      <c r="FM45">
        <f t="shared" si="156"/>
        <v>0</v>
      </c>
      <c r="FN45">
        <f t="shared" si="157"/>
        <v>0</v>
      </c>
      <c r="FO45">
        <f t="shared" si="158"/>
        <v>0</v>
      </c>
      <c r="FP45">
        <f t="shared" si="159"/>
        <v>0</v>
      </c>
      <c r="FQ45">
        <f t="shared" si="160"/>
        <v>0</v>
      </c>
      <c r="FR45">
        <f t="shared" si="161"/>
        <v>0</v>
      </c>
      <c r="FS45">
        <f t="shared" si="162"/>
        <v>0</v>
      </c>
      <c r="FT45">
        <f t="shared" si="163"/>
        <v>1</v>
      </c>
      <c r="FU45">
        <f t="shared" si="164"/>
        <v>1</v>
      </c>
      <c r="FV45">
        <f t="shared" si="165"/>
        <v>1</v>
      </c>
      <c r="FW45">
        <f t="shared" si="166"/>
        <v>1</v>
      </c>
      <c r="FX45">
        <f t="shared" si="167"/>
        <v>1</v>
      </c>
      <c r="FY45">
        <f t="shared" si="168"/>
        <v>1</v>
      </c>
      <c r="FZ45">
        <f t="shared" si="169"/>
        <v>1</v>
      </c>
      <c r="GA45">
        <f t="shared" si="170"/>
        <v>1</v>
      </c>
      <c r="GB45">
        <f t="shared" si="171"/>
        <v>1</v>
      </c>
      <c r="GC45">
        <f t="shared" si="172"/>
        <v>1</v>
      </c>
      <c r="GD45">
        <f t="shared" si="173"/>
        <v>1</v>
      </c>
      <c r="GE45">
        <f t="shared" si="174"/>
        <v>1</v>
      </c>
      <c r="GF45">
        <f t="shared" si="175"/>
        <v>1</v>
      </c>
      <c r="GG45">
        <f t="shared" si="176"/>
        <v>1</v>
      </c>
      <c r="GH45">
        <f t="shared" si="177"/>
        <v>1</v>
      </c>
      <c r="GI45">
        <f t="shared" si="178"/>
        <v>1</v>
      </c>
      <c r="GJ45">
        <f t="shared" si="179"/>
        <v>1</v>
      </c>
      <c r="GK45">
        <f t="shared" si="180"/>
        <v>1</v>
      </c>
      <c r="GL45">
        <f t="shared" si="181"/>
        <v>1</v>
      </c>
      <c r="GM45">
        <f t="shared" si="182"/>
        <v>1</v>
      </c>
      <c r="GN45">
        <f t="shared" si="183"/>
        <v>1</v>
      </c>
      <c r="GO45">
        <f t="shared" si="184"/>
        <v>1</v>
      </c>
      <c r="GP45">
        <f t="shared" si="185"/>
        <v>1</v>
      </c>
      <c r="GQ45">
        <f t="shared" si="186"/>
        <v>1</v>
      </c>
      <c r="GR45">
        <f t="shared" si="187"/>
        <v>1</v>
      </c>
      <c r="GS45">
        <f t="shared" si="188"/>
        <v>1</v>
      </c>
      <c r="GT45">
        <f t="shared" si="189"/>
        <v>1</v>
      </c>
      <c r="GU45">
        <f t="shared" si="190"/>
        <v>1</v>
      </c>
      <c r="GX45" s="10"/>
    </row>
    <row r="46" spans="1:206" x14ac:dyDescent="0.3">
      <c r="A46" s="8" t="s">
        <v>33</v>
      </c>
      <c r="B46" s="80"/>
      <c r="C46" s="9">
        <v>3062396001</v>
      </c>
      <c r="D46" s="9" t="s">
        <v>381</v>
      </c>
      <c r="E46" s="9" t="s">
        <v>34</v>
      </c>
      <c r="F46" s="9" t="s">
        <v>35</v>
      </c>
      <c r="G46" s="9" t="s">
        <v>77</v>
      </c>
      <c r="H46" s="10">
        <v>44446</v>
      </c>
      <c r="I46" s="9">
        <f t="shared" si="191"/>
        <v>2021</v>
      </c>
      <c r="J46" s="9">
        <f t="shared" si="192"/>
        <v>9</v>
      </c>
      <c r="K46" s="9" t="str">
        <f t="shared" si="193"/>
        <v>2021_9</v>
      </c>
      <c r="L46">
        <f>MAX(0,VLOOKUP($K46,lookups!$A$1:$B$45,2,0)-12)</f>
        <v>5</v>
      </c>
      <c r="M46" s="40">
        <f t="shared" si="194"/>
        <v>44440</v>
      </c>
      <c r="N46" s="10" t="s">
        <v>37</v>
      </c>
      <c r="O46" t="str">
        <f ca="1">IF(OR($L46&gt;O$4,O$4&gt;$L46+23),"",OFFSET(Electric!$L37,0,-'Electric Calendarize'!$L46+'Electric Calendarize'!O$4+1))</f>
        <v/>
      </c>
      <c r="P46" t="str">
        <f ca="1">IF(OR($L46&gt;P$4,P$4&gt;$L46+23),"",OFFSET(Electric!$L37,0,-'Electric Calendarize'!$L46+'Electric Calendarize'!P$4+1))</f>
        <v/>
      </c>
      <c r="Q46" t="str">
        <f ca="1">IF(OR($L46&gt;Q$4,Q$4&gt;$L46+23),"",OFFSET(Electric!$L37,0,-'Electric Calendarize'!$L46+'Electric Calendarize'!Q$4+1))</f>
        <v/>
      </c>
      <c r="R46" t="str">
        <f ca="1">IF(OR($L46&gt;R$4,R$4&gt;$L46+23),"",OFFSET(Electric!$L37,0,-'Electric Calendarize'!$L46+'Electric Calendarize'!R$4+1))</f>
        <v/>
      </c>
      <c r="S46" t="str">
        <f ca="1">IF(OR($L46&gt;S$4,S$4&gt;$L46+23),"",OFFSET(Electric!$L37,0,-'Electric Calendarize'!$L46+'Electric Calendarize'!S$4+1))</f>
        <v/>
      </c>
      <c r="T46">
        <f ca="1">IF(OR($L46&gt;T$4,T$4&gt;$L46+23),"",OFFSET(Electric!$L37,0,-'Electric Calendarize'!$L46+'Electric Calendarize'!T$4+1))</f>
        <v>689</v>
      </c>
      <c r="U46">
        <f ca="1">IF(OR($L46&gt;U$4,U$4&gt;$L46+23),"",OFFSET(Electric!$L37,0,-'Electric Calendarize'!$L46+'Electric Calendarize'!U$4+1))</f>
        <v>651</v>
      </c>
      <c r="V46">
        <f ca="1">IF(OR($L46&gt;V$4,V$4&gt;$L46+23),"",OFFSET(Electric!$L37,0,-'Electric Calendarize'!$L46+'Electric Calendarize'!V$4+1))</f>
        <v>772</v>
      </c>
      <c r="W46">
        <f ca="1">IF(OR($L46&gt;W$4,W$4&gt;$L46+23),"",OFFSET(Electric!$L37,0,-'Electric Calendarize'!$L46+'Electric Calendarize'!W$4+1))</f>
        <v>973</v>
      </c>
      <c r="X46">
        <f ca="1">IF(OR($L46&gt;X$4,X$4&gt;$L46+23),"",OFFSET(Electric!$L37,0,-'Electric Calendarize'!$L46+'Electric Calendarize'!X$4+1))</f>
        <v>1170</v>
      </c>
      <c r="Y46">
        <f ca="1">IF(OR($L46&gt;Y$4,Y$4&gt;$L46+23),"",OFFSET(Electric!$L37,0,-'Electric Calendarize'!$L46+'Electric Calendarize'!Y$4+1))</f>
        <v>1057</v>
      </c>
      <c r="Z46">
        <f ca="1">IF(OR($L46&gt;Z$4,Z$4&gt;$L46+23),"",OFFSET(Electric!$L37,0,-'Electric Calendarize'!$L46+'Electric Calendarize'!Z$4+1))</f>
        <v>1053</v>
      </c>
      <c r="AA46">
        <f ca="1">IF(OR($L46&gt;AA$4,AA$4&gt;$L46+23),"",OFFSET(Electric!$L37,0,-'Electric Calendarize'!$L46+'Electric Calendarize'!AA$4+1))</f>
        <v>638</v>
      </c>
      <c r="AB46">
        <f ca="1">IF(OR($L46&gt;AB$4,AB$4&gt;$L46+23),"",OFFSET(Electric!$L37,0,-'Electric Calendarize'!$L46+'Electric Calendarize'!AB$4+1))</f>
        <v>507</v>
      </c>
      <c r="AC46">
        <f ca="1">IF(OR($L46&gt;AC$4,AC$4&gt;$L46+23),"",OFFSET(Electric!$L37,0,-'Electric Calendarize'!$L46+'Electric Calendarize'!AC$4+1))</f>
        <v>574</v>
      </c>
      <c r="AD46">
        <f ca="1">IF(OR($L46&gt;AD$4,AD$4&gt;$L46+23),"",OFFSET(Electric!$L37,0,-'Electric Calendarize'!$L46+'Electric Calendarize'!AD$4+1))</f>
        <v>578</v>
      </c>
      <c r="AE46">
        <f ca="1">IF(OR($L46&gt;AE$4,AE$4&gt;$L46+23),"",OFFSET(Electric!$L37,0,-'Electric Calendarize'!$L46+'Electric Calendarize'!AE$4+1))</f>
        <v>637</v>
      </c>
      <c r="AF46">
        <f ca="1">IF(OR($L46&gt;AF$4,AF$4&gt;$L46+23),"",OFFSET(Electric!$L37,0,-'Electric Calendarize'!$L46+'Electric Calendarize'!AF$4+1))</f>
        <v>691</v>
      </c>
      <c r="AG46">
        <f ca="1">IF(OR($L46&gt;AG$4,AG$4&gt;$L46+23),"",OFFSET(Electric!$L37,0,-'Electric Calendarize'!$L46+'Electric Calendarize'!AG$4+1))</f>
        <v>587</v>
      </c>
      <c r="AH46">
        <f ca="1">IF(OR($L46&gt;AH$4,AH$4&gt;$L46+23),"",OFFSET(Electric!$L37,0,-'Electric Calendarize'!$L46+'Electric Calendarize'!AH$4+1))</f>
        <v>629</v>
      </c>
      <c r="AI46">
        <f ca="1">IF(OR($L46&gt;AI$4,AI$4&gt;$L46+23),"",OFFSET(Electric!$L37,0,-'Electric Calendarize'!$L46+'Electric Calendarize'!AI$4+1))</f>
        <v>868</v>
      </c>
      <c r="AJ46">
        <f ca="1">IF(OR($L46&gt;AJ$4,AJ$4&gt;$L46+23),"",OFFSET(Electric!$L37,0,-'Electric Calendarize'!$L46+'Electric Calendarize'!AJ$4+1))</f>
        <v>1042</v>
      </c>
      <c r="AK46">
        <f ca="1">IF(OR($L46&gt;AK$4,AK$4&gt;$L46+23),"",OFFSET(Electric!$L37,0,-'Electric Calendarize'!$L46+'Electric Calendarize'!AK$4+1))</f>
        <v>1246</v>
      </c>
      <c r="AL46">
        <f ca="1">IF(OR($L46&gt;AL$4,AL$4&gt;$L46+23),"",OFFSET(Electric!$L37,0,-'Electric Calendarize'!$L46+'Electric Calendarize'!AL$4+1))</f>
        <v>1075</v>
      </c>
      <c r="AM46">
        <f ca="1">IF(OR($L46&gt;AM$4,AM$4&gt;$L46+23),"",OFFSET(Electric!$L37,0,-'Electric Calendarize'!$L46+'Electric Calendarize'!AM$4+1))</f>
        <v>688</v>
      </c>
      <c r="AN46">
        <f ca="1">IF(OR($L46&gt;AN$4,AN$4&gt;$L46+23),"",OFFSET(Electric!$L37,0,-'Electric Calendarize'!$L46+'Electric Calendarize'!AN$4+1))</f>
        <v>616</v>
      </c>
      <c r="AO46">
        <f ca="1">IF(OR($L46&gt;AO$4,AO$4&gt;$L46+23),"",OFFSET(Electric!$L37,0,-'Electric Calendarize'!$L46+'Electric Calendarize'!AO$4+1))</f>
        <v>517</v>
      </c>
      <c r="AP46">
        <f ca="1">IF(OR($L46&gt;AP$4,AP$4&gt;$L46+23),"",OFFSET(Electric!$L37,0,-'Electric Calendarize'!$L46+'Electric Calendarize'!AP$4+1))</f>
        <v>648</v>
      </c>
      <c r="AQ46">
        <f ca="1">IF(OR($L46&gt;AQ$4,AQ$4&gt;$L46+23),"",OFFSET(Electric!$L37,0,-'Electric Calendarize'!$L46+'Electric Calendarize'!AQ$4+1))</f>
        <v>884</v>
      </c>
      <c r="AR46" t="str">
        <f ca="1">IF(OR($L46&gt;AR$4,AR$4&gt;$L46+23),"",OFFSET(Electric!$L37,0,-'Electric Calendarize'!$L46+'Electric Calendarize'!AR$4+1))</f>
        <v/>
      </c>
      <c r="AS46" t="str">
        <f ca="1">IF(OR($L46&gt;AS$4,AS$4&gt;$L46+23),"",OFFSET(Electric!$L37,0,-'Electric Calendarize'!$L46+'Electric Calendarize'!AS$4+1))</f>
        <v/>
      </c>
      <c r="AT46" t="str">
        <f ca="1">IF(OR($L46&gt;AT$4,AT$4&gt;$L46+23),"",OFFSET(Electric!$L37,0,-'Electric Calendarize'!$L46+'Electric Calendarize'!AT$4+1))</f>
        <v/>
      </c>
      <c r="AU46" t="str">
        <f ca="1">IF(OR($L46&gt;AU$4,AU$4&gt;$L46+23),"",OFFSET(Electric!$L37,0,-'Electric Calendarize'!$L46+'Electric Calendarize'!AU$4+1))</f>
        <v/>
      </c>
      <c r="AV46" t="str">
        <f ca="1">IF(OR($L46&gt;AV$4,AV$4&gt;$L46+23),"",OFFSET(Electric!$L37,0,-'Electric Calendarize'!$L46+'Electric Calendarize'!AV$4+1))</f>
        <v/>
      </c>
      <c r="AW46" t="str">
        <f ca="1">IF(OR($L46&gt;AW$4,AW$4&gt;$L46+23),"",OFFSET(Electric!$L37,0,-'Electric Calendarize'!$L46+'Electric Calendarize'!AW$4+1))</f>
        <v/>
      </c>
      <c r="AX46" t="str">
        <f ca="1">IF(OR($L46&gt;AX$4,AX$4&gt;$L46+23),"",OFFSET(Electric!$L37,0,-'Electric Calendarize'!$L46+'Electric Calendarize'!AX$4+1))</f>
        <v/>
      </c>
      <c r="AY46" t="str">
        <f ca="1">IF(OR($L46&gt;AY$4,AY$4&gt;$L46+23),"",OFFSET(Electric!$L37,0,-'Electric Calendarize'!$L46+'Electric Calendarize'!AY$4+1))</f>
        <v/>
      </c>
      <c r="AZ46" t="str">
        <f ca="1">IF(OR($L46&gt;AZ$4,AZ$4&gt;$L46+23),"",OFFSET(Electric!$L37,0,-'Electric Calendarize'!$L46+'Electric Calendarize'!AZ$4+1))</f>
        <v/>
      </c>
      <c r="BA46" t="str">
        <f ca="1">IF(OR($L46&gt;BA$4,BA$4&gt;$L46+23),"",OFFSET(Electric!$L37,0,-'Electric Calendarize'!$L46+'Electric Calendarize'!BA$4+1))</f>
        <v/>
      </c>
      <c r="BB46" t="str">
        <f ca="1">IF(OR($L46&gt;BB$4,BB$4&gt;$L46+23),"",OFFSET(Electric!$L37,0,-'Electric Calendarize'!$L46+'Electric Calendarize'!BB$4+1))</f>
        <v/>
      </c>
      <c r="BC46" t="str">
        <f ca="1">IF(OR($L46&gt;BC$4,BC$4&gt;$L46+23),"",OFFSET(Electric!$L37,0,-'Electric Calendarize'!$L46+'Electric Calendarize'!BC$4+1))</f>
        <v/>
      </c>
      <c r="BD46" t="str">
        <f ca="1">IF(OR($L46&gt;BD$4,BD$4&gt;$L46+23),"",OFFSET(Electric!$L37,0,-'Electric Calendarize'!$L46+'Electric Calendarize'!BD$4+1))</f>
        <v/>
      </c>
      <c r="BE46" t="str">
        <f ca="1">IF(OR($L46&gt;BE$4,BE$4&gt;$L46+23),"",OFFSET(Electric!$L37,0,-'Electric Calendarize'!$L46+'Electric Calendarize'!BE$4+1))</f>
        <v/>
      </c>
      <c r="BF46" t="str">
        <f ca="1">IF(OR($L46&gt;BF$4,BF$4&gt;$L46+23),"",OFFSET(Electric!$L37,0,-'Electric Calendarize'!$L46+'Electric Calendarize'!BF$4+1))</f>
        <v/>
      </c>
      <c r="BG46" t="str">
        <f ca="1">IF(OR($L46&gt;BG$4,BG$4&gt;$L46+23),"",OFFSET(Electric!$L37,0,-'Electric Calendarize'!$L46+'Electric Calendarize'!BG$4+1))</f>
        <v/>
      </c>
      <c r="BJ46" s="10" t="s">
        <v>37</v>
      </c>
      <c r="BK46">
        <f t="shared" si="195"/>
        <v>1</v>
      </c>
      <c r="BL46">
        <f t="shared" si="100"/>
        <v>0</v>
      </c>
      <c r="BM46">
        <f t="shared" si="101"/>
        <v>0</v>
      </c>
      <c r="BN46">
        <f t="shared" si="102"/>
        <v>0</v>
      </c>
      <c r="BO46">
        <f t="shared" si="103"/>
        <v>0</v>
      </c>
      <c r="BP46">
        <f t="shared" si="104"/>
        <v>0</v>
      </c>
      <c r="BQ46">
        <f t="shared" si="105"/>
        <v>0</v>
      </c>
      <c r="BR46">
        <f t="shared" si="106"/>
        <v>1</v>
      </c>
      <c r="BS46">
        <f t="shared" si="107"/>
        <v>1</v>
      </c>
      <c r="BT46">
        <f t="shared" si="108"/>
        <v>1</v>
      </c>
      <c r="BU46">
        <f t="shared" si="109"/>
        <v>1</v>
      </c>
      <c r="BV46">
        <f t="shared" si="110"/>
        <v>1</v>
      </c>
      <c r="BW46">
        <f t="shared" si="111"/>
        <v>1</v>
      </c>
      <c r="BX46">
        <f t="shared" si="112"/>
        <v>0</v>
      </c>
      <c r="BY46">
        <f t="shared" si="113"/>
        <v>0</v>
      </c>
      <c r="BZ46">
        <f t="shared" si="114"/>
        <v>0</v>
      </c>
      <c r="CA46">
        <f t="shared" si="115"/>
        <v>0</v>
      </c>
      <c r="CB46">
        <f t="shared" si="116"/>
        <v>0</v>
      </c>
      <c r="CC46">
        <f t="shared" si="117"/>
        <v>0</v>
      </c>
      <c r="CD46">
        <f t="shared" si="118"/>
        <v>1</v>
      </c>
      <c r="CE46">
        <f t="shared" si="119"/>
        <v>1</v>
      </c>
      <c r="CF46">
        <f t="shared" si="120"/>
        <v>1</v>
      </c>
      <c r="CG46">
        <f t="shared" si="121"/>
        <v>1</v>
      </c>
      <c r="CH46">
        <f t="shared" si="122"/>
        <v>1</v>
      </c>
      <c r="CI46">
        <f t="shared" si="123"/>
        <v>1</v>
      </c>
      <c r="CJ46">
        <f t="shared" si="124"/>
        <v>0</v>
      </c>
      <c r="CK46">
        <f t="shared" si="125"/>
        <v>0</v>
      </c>
      <c r="CL46">
        <f t="shared" si="126"/>
        <v>0</v>
      </c>
      <c r="CM46">
        <f t="shared" si="127"/>
        <v>0</v>
      </c>
      <c r="CN46">
        <f t="shared" si="128"/>
        <v>0</v>
      </c>
      <c r="CO46">
        <f t="shared" si="129"/>
        <v>0</v>
      </c>
      <c r="CP46">
        <f t="shared" si="130"/>
        <v>1</v>
      </c>
      <c r="CQ46">
        <f t="shared" si="131"/>
        <v>1</v>
      </c>
      <c r="CR46">
        <f t="shared" si="132"/>
        <v>1</v>
      </c>
      <c r="CS46">
        <f t="shared" si="133"/>
        <v>1</v>
      </c>
      <c r="CT46">
        <f t="shared" si="134"/>
        <v>1</v>
      </c>
      <c r="CU46">
        <f t="shared" si="135"/>
        <v>1</v>
      </c>
      <c r="CV46">
        <f t="shared" si="136"/>
        <v>0</v>
      </c>
      <c r="CW46">
        <f t="shared" si="137"/>
        <v>0</v>
      </c>
      <c r="CX46">
        <f t="shared" si="138"/>
        <v>0</v>
      </c>
      <c r="CY46">
        <f t="shared" si="139"/>
        <v>0</v>
      </c>
      <c r="CZ46">
        <f t="shared" si="140"/>
        <v>0</v>
      </c>
      <c r="DA46">
        <f t="shared" si="141"/>
        <v>0</v>
      </c>
      <c r="DB46">
        <f t="shared" si="142"/>
        <v>1</v>
      </c>
      <c r="DC46">
        <f t="shared" si="143"/>
        <v>1</v>
      </c>
      <c r="DF46" s="10" t="s">
        <v>37</v>
      </c>
      <c r="DG46" t="str">
        <f t="shared" si="204"/>
        <v>2021_9</v>
      </c>
      <c r="DH46" t="str">
        <f t="shared" si="204"/>
        <v>2021_9</v>
      </c>
      <c r="DI46" t="str">
        <f t="shared" si="204"/>
        <v>2021_9</v>
      </c>
      <c r="DJ46" t="str">
        <f t="shared" si="204"/>
        <v>2021_9</v>
      </c>
      <c r="DK46" t="str">
        <f t="shared" si="204"/>
        <v>2021_9</v>
      </c>
      <c r="DL46" t="str">
        <f t="shared" si="204"/>
        <v>2021_9</v>
      </c>
      <c r="DM46" t="str">
        <f t="shared" si="204"/>
        <v>2021_9</v>
      </c>
      <c r="DN46" t="str">
        <f t="shared" si="204"/>
        <v>2021_9</v>
      </c>
      <c r="DO46" t="str">
        <f t="shared" si="204"/>
        <v>2021_9</v>
      </c>
      <c r="DP46" t="str">
        <f t="shared" si="204"/>
        <v>2021_9</v>
      </c>
      <c r="DQ46" t="str">
        <f t="shared" si="204"/>
        <v>2021_9</v>
      </c>
      <c r="DR46" t="str">
        <f t="shared" si="204"/>
        <v>2021_9</v>
      </c>
      <c r="DS46" t="str">
        <f t="shared" si="204"/>
        <v>2021_9</v>
      </c>
      <c r="DT46" t="str">
        <f t="shared" si="204"/>
        <v>2021_9</v>
      </c>
      <c r="DU46" t="str">
        <f t="shared" si="204"/>
        <v>2021_9</v>
      </c>
      <c r="DV46" t="str">
        <f t="shared" si="203"/>
        <v>2021_9</v>
      </c>
      <c r="DW46" t="str">
        <f t="shared" si="201"/>
        <v>2021_9</v>
      </c>
      <c r="DX46" t="str">
        <f t="shared" si="201"/>
        <v>2021_9</v>
      </c>
      <c r="DY46" t="str">
        <f t="shared" si="201"/>
        <v>2021_9</v>
      </c>
      <c r="DZ46" t="str">
        <f t="shared" si="201"/>
        <v>2021_9</v>
      </c>
      <c r="EA46" t="str">
        <f t="shared" si="201"/>
        <v>2021_9</v>
      </c>
      <c r="EB46" t="str">
        <f t="shared" si="201"/>
        <v>2021_9</v>
      </c>
      <c r="EC46" t="str">
        <f t="shared" si="201"/>
        <v>2021_9</v>
      </c>
      <c r="ED46" t="str">
        <f t="shared" si="201"/>
        <v>2021_9</v>
      </c>
      <c r="EE46" t="str">
        <f t="shared" si="201"/>
        <v>2021_9</v>
      </c>
      <c r="EF46" t="str">
        <f t="shared" si="201"/>
        <v>2021_9</v>
      </c>
      <c r="EG46" t="str">
        <f t="shared" si="201"/>
        <v>2021_9</v>
      </c>
      <c r="EH46" t="str">
        <f t="shared" si="201"/>
        <v>2021_9</v>
      </c>
      <c r="EI46" t="str">
        <f t="shared" si="201"/>
        <v>2021_9</v>
      </c>
      <c r="EJ46" t="str">
        <f t="shared" si="201"/>
        <v>2021_9</v>
      </c>
      <c r="EK46" t="str">
        <f t="shared" si="201"/>
        <v>2021_9</v>
      </c>
      <c r="EL46" t="str">
        <f t="shared" si="201"/>
        <v>2021_9</v>
      </c>
      <c r="EM46" t="str">
        <f t="shared" si="202"/>
        <v>2021_9</v>
      </c>
      <c r="EN46" t="str">
        <f t="shared" si="202"/>
        <v>2021_9</v>
      </c>
      <c r="EO46" t="str">
        <f t="shared" si="202"/>
        <v>2021_9</v>
      </c>
      <c r="EP46" t="str">
        <f t="shared" si="202"/>
        <v>2021_9</v>
      </c>
      <c r="EQ46" t="str">
        <f t="shared" si="202"/>
        <v>2021_9</v>
      </c>
      <c r="ER46" t="str">
        <f t="shared" si="202"/>
        <v>2021_9</v>
      </c>
      <c r="ES46" t="str">
        <f t="shared" si="202"/>
        <v>2021_9</v>
      </c>
      <c r="ET46" t="str">
        <f t="shared" si="202"/>
        <v>2021_9</v>
      </c>
      <c r="EU46" t="str">
        <f t="shared" si="202"/>
        <v>2021_9</v>
      </c>
      <c r="EV46" t="str">
        <f t="shared" si="202"/>
        <v>2021_9</v>
      </c>
      <c r="EW46" t="str">
        <f t="shared" si="202"/>
        <v>2021_9</v>
      </c>
      <c r="EX46" t="str">
        <f t="shared" si="202"/>
        <v>2021_9</v>
      </c>
      <c r="EY46" t="str">
        <f t="shared" si="202"/>
        <v>2021_9</v>
      </c>
      <c r="FB46" s="10" t="s">
        <v>37</v>
      </c>
      <c r="FC46">
        <f t="shared" si="197"/>
        <v>0</v>
      </c>
      <c r="FD46">
        <f t="shared" si="147"/>
        <v>0</v>
      </c>
      <c r="FE46">
        <f t="shared" si="148"/>
        <v>0</v>
      </c>
      <c r="FF46">
        <f t="shared" si="149"/>
        <v>0</v>
      </c>
      <c r="FG46">
        <f t="shared" si="150"/>
        <v>0</v>
      </c>
      <c r="FH46">
        <f t="shared" si="151"/>
        <v>0</v>
      </c>
      <c r="FI46">
        <f t="shared" si="152"/>
        <v>0</v>
      </c>
      <c r="FJ46">
        <f t="shared" si="153"/>
        <v>0</v>
      </c>
      <c r="FK46">
        <f t="shared" si="154"/>
        <v>0</v>
      </c>
      <c r="FL46">
        <f t="shared" si="155"/>
        <v>0</v>
      </c>
      <c r="FM46">
        <f t="shared" si="156"/>
        <v>0</v>
      </c>
      <c r="FN46">
        <f t="shared" si="157"/>
        <v>0</v>
      </c>
      <c r="FO46">
        <f t="shared" si="158"/>
        <v>0</v>
      </c>
      <c r="FP46">
        <f t="shared" si="159"/>
        <v>0</v>
      </c>
      <c r="FQ46">
        <f t="shared" si="160"/>
        <v>0</v>
      </c>
      <c r="FR46">
        <f t="shared" si="161"/>
        <v>0</v>
      </c>
      <c r="FS46">
        <f t="shared" si="162"/>
        <v>0</v>
      </c>
      <c r="FT46">
        <f t="shared" si="163"/>
        <v>1</v>
      </c>
      <c r="FU46">
        <f t="shared" si="164"/>
        <v>1</v>
      </c>
      <c r="FV46">
        <f t="shared" si="165"/>
        <v>1</v>
      </c>
      <c r="FW46">
        <f t="shared" si="166"/>
        <v>1</v>
      </c>
      <c r="FX46">
        <f t="shared" si="167"/>
        <v>1</v>
      </c>
      <c r="FY46">
        <f t="shared" si="168"/>
        <v>1</v>
      </c>
      <c r="FZ46">
        <f t="shared" si="169"/>
        <v>1</v>
      </c>
      <c r="GA46">
        <f t="shared" si="170"/>
        <v>1</v>
      </c>
      <c r="GB46">
        <f t="shared" si="171"/>
        <v>1</v>
      </c>
      <c r="GC46">
        <f t="shared" si="172"/>
        <v>1</v>
      </c>
      <c r="GD46">
        <f t="shared" si="173"/>
        <v>1</v>
      </c>
      <c r="GE46">
        <f t="shared" si="174"/>
        <v>1</v>
      </c>
      <c r="GF46">
        <f t="shared" si="175"/>
        <v>1</v>
      </c>
      <c r="GG46">
        <f t="shared" si="176"/>
        <v>1</v>
      </c>
      <c r="GH46">
        <f t="shared" si="177"/>
        <v>1</v>
      </c>
      <c r="GI46">
        <f t="shared" si="178"/>
        <v>1</v>
      </c>
      <c r="GJ46">
        <f t="shared" si="179"/>
        <v>1</v>
      </c>
      <c r="GK46">
        <f t="shared" si="180"/>
        <v>1</v>
      </c>
      <c r="GL46">
        <f t="shared" si="181"/>
        <v>1</v>
      </c>
      <c r="GM46">
        <f t="shared" si="182"/>
        <v>1</v>
      </c>
      <c r="GN46">
        <f t="shared" si="183"/>
        <v>1</v>
      </c>
      <c r="GO46">
        <f t="shared" si="184"/>
        <v>1</v>
      </c>
      <c r="GP46">
        <f t="shared" si="185"/>
        <v>1</v>
      </c>
      <c r="GQ46">
        <f t="shared" si="186"/>
        <v>1</v>
      </c>
      <c r="GR46">
        <f t="shared" si="187"/>
        <v>1</v>
      </c>
      <c r="GS46">
        <f t="shared" si="188"/>
        <v>1</v>
      </c>
      <c r="GT46">
        <f t="shared" si="189"/>
        <v>1</v>
      </c>
      <c r="GU46">
        <f t="shared" si="190"/>
        <v>1</v>
      </c>
      <c r="GX46" s="10"/>
    </row>
    <row r="47" spans="1:206" x14ac:dyDescent="0.3">
      <c r="A47" s="9" t="s">
        <v>46</v>
      </c>
      <c r="B47" s="80"/>
      <c r="C47" s="9">
        <v>3011852000</v>
      </c>
      <c r="D47" s="9" t="s">
        <v>380</v>
      </c>
      <c r="E47" s="9" t="s">
        <v>34</v>
      </c>
      <c r="F47" s="9" t="s">
        <v>35</v>
      </c>
      <c r="G47" s="9" t="s">
        <v>78</v>
      </c>
      <c r="H47" s="10">
        <v>44449</v>
      </c>
      <c r="I47" s="9">
        <f t="shared" si="191"/>
        <v>2021</v>
      </c>
      <c r="J47" s="9">
        <f t="shared" si="192"/>
        <v>9</v>
      </c>
      <c r="K47" s="9" t="str">
        <f t="shared" si="193"/>
        <v>2021_9</v>
      </c>
      <c r="L47">
        <f>MAX(0,VLOOKUP($K47,lookups!$A$1:$B$45,2,0)-12)</f>
        <v>5</v>
      </c>
      <c r="M47" s="40">
        <f t="shared" si="194"/>
        <v>44440</v>
      </c>
      <c r="N47" s="10" t="s">
        <v>37</v>
      </c>
      <c r="O47" t="str">
        <f ca="1">IF(OR($L47&gt;O$4,O$4&gt;$L47+23),"",OFFSET(Electric!$L38,0,-'Electric Calendarize'!$L47+'Electric Calendarize'!O$4+1))</f>
        <v/>
      </c>
      <c r="P47" t="str">
        <f ca="1">IF(OR($L47&gt;P$4,P$4&gt;$L47+23),"",OFFSET(Electric!$L38,0,-'Electric Calendarize'!$L47+'Electric Calendarize'!P$4+1))</f>
        <v/>
      </c>
      <c r="Q47" t="str">
        <f ca="1">IF(OR($L47&gt;Q$4,Q$4&gt;$L47+23),"",OFFSET(Electric!$L38,0,-'Electric Calendarize'!$L47+'Electric Calendarize'!Q$4+1))</f>
        <v/>
      </c>
      <c r="R47" t="str">
        <f ca="1">IF(OR($L47&gt;R$4,R$4&gt;$L47+23),"",OFFSET(Electric!$L38,0,-'Electric Calendarize'!$L47+'Electric Calendarize'!R$4+1))</f>
        <v/>
      </c>
      <c r="S47" t="str">
        <f ca="1">IF(OR($L47&gt;S$4,S$4&gt;$L47+23),"",OFFSET(Electric!$L38,0,-'Electric Calendarize'!$L47+'Electric Calendarize'!S$4+1))</f>
        <v/>
      </c>
      <c r="T47">
        <f ca="1">IF(OR($L47&gt;T$4,T$4&gt;$L47+23),"",OFFSET(Electric!$L38,0,-'Electric Calendarize'!$L47+'Electric Calendarize'!T$4+1))</f>
        <v>736</v>
      </c>
      <c r="U47">
        <f ca="1">IF(OR($L47&gt;U$4,U$4&gt;$L47+23),"",OFFSET(Electric!$L38,0,-'Electric Calendarize'!$L47+'Electric Calendarize'!U$4+1))</f>
        <v>462</v>
      </c>
      <c r="V47">
        <f ca="1">IF(OR($L47&gt;V$4,V$4&gt;$L47+23),"",OFFSET(Electric!$L38,0,-'Electric Calendarize'!$L47+'Electric Calendarize'!V$4+1))</f>
        <v>540</v>
      </c>
      <c r="W47">
        <f ca="1">IF(OR($L47&gt;W$4,W$4&gt;$L47+23),"",OFFSET(Electric!$L38,0,-'Electric Calendarize'!$L47+'Electric Calendarize'!W$4+1))</f>
        <v>623</v>
      </c>
      <c r="X47">
        <f ca="1">IF(OR($L47&gt;X$4,X$4&gt;$L47+23),"",OFFSET(Electric!$L38,0,-'Electric Calendarize'!$L47+'Electric Calendarize'!X$4+1))</f>
        <v>836</v>
      </c>
      <c r="Y47">
        <f ca="1">IF(OR($L47&gt;Y$4,Y$4&gt;$L47+23),"",OFFSET(Electric!$L38,0,-'Electric Calendarize'!$L47+'Electric Calendarize'!Y$4+1))</f>
        <v>986</v>
      </c>
      <c r="Z47">
        <f ca="1">IF(OR($L47&gt;Z$4,Z$4&gt;$L47+23),"",OFFSET(Electric!$L38,0,-'Electric Calendarize'!$L47+'Electric Calendarize'!Z$4+1))</f>
        <v>1391</v>
      </c>
      <c r="AA47">
        <f ca="1">IF(OR($L47&gt;AA$4,AA$4&gt;$L47+23),"",OFFSET(Electric!$L38,0,-'Electric Calendarize'!$L47+'Electric Calendarize'!AA$4+1))</f>
        <v>762</v>
      </c>
      <c r="AB47">
        <f ca="1">IF(OR($L47&gt;AB$4,AB$4&gt;$L47+23),"",OFFSET(Electric!$L38,0,-'Electric Calendarize'!$L47+'Electric Calendarize'!AB$4+1))</f>
        <v>540</v>
      </c>
      <c r="AC47">
        <f ca="1">IF(OR($L47&gt;AC$4,AC$4&gt;$L47+23),"",OFFSET(Electric!$L38,0,-'Electric Calendarize'!$L47+'Electric Calendarize'!AC$4+1))</f>
        <v>550</v>
      </c>
      <c r="AD47">
        <f ca="1">IF(OR($L47&gt;AD$4,AD$4&gt;$L47+23),"",OFFSET(Electric!$L38,0,-'Electric Calendarize'!$L47+'Electric Calendarize'!AD$4+1))</f>
        <v>599</v>
      </c>
      <c r="AE47">
        <f ca="1">IF(OR($L47&gt;AE$4,AE$4&gt;$L47+23),"",OFFSET(Electric!$L38,0,-'Electric Calendarize'!$L47+'Electric Calendarize'!AE$4+1))</f>
        <v>578</v>
      </c>
      <c r="AF47">
        <f ca="1">IF(OR($L47&gt;AF$4,AF$4&gt;$L47+23),"",OFFSET(Electric!$L38,0,-'Electric Calendarize'!$L47+'Electric Calendarize'!AF$4+1))</f>
        <v>799</v>
      </c>
      <c r="AG47">
        <f ca="1">IF(OR($L47&gt;AG$4,AG$4&gt;$L47+23),"",OFFSET(Electric!$L38,0,-'Electric Calendarize'!$L47+'Electric Calendarize'!AG$4+1))</f>
        <v>536</v>
      </c>
      <c r="AH47">
        <f ca="1">IF(OR($L47&gt;AH$4,AH$4&gt;$L47+23),"",OFFSET(Electric!$L38,0,-'Electric Calendarize'!$L47+'Electric Calendarize'!AH$4+1))</f>
        <v>610</v>
      </c>
      <c r="AI47">
        <f ca="1">IF(OR($L47&gt;AI$4,AI$4&gt;$L47+23),"",OFFSET(Electric!$L38,0,-'Electric Calendarize'!$L47+'Electric Calendarize'!AI$4+1))</f>
        <v>831</v>
      </c>
      <c r="AJ47">
        <f ca="1">IF(OR($L47&gt;AJ$4,AJ$4&gt;$L47+23),"",OFFSET(Electric!$L38,0,-'Electric Calendarize'!$L47+'Electric Calendarize'!AJ$4+1))</f>
        <v>928</v>
      </c>
      <c r="AK47">
        <f ca="1">IF(OR($L47&gt;AK$4,AK$4&gt;$L47+23),"",OFFSET(Electric!$L38,0,-'Electric Calendarize'!$L47+'Electric Calendarize'!AK$4+1))</f>
        <v>662</v>
      </c>
      <c r="AL47">
        <f ca="1">IF(OR($L47&gt;AL$4,AL$4&gt;$L47+23),"",OFFSET(Electric!$L38,0,-'Electric Calendarize'!$L47+'Electric Calendarize'!AL$4+1))</f>
        <v>757</v>
      </c>
      <c r="AM47">
        <f ca="1">IF(OR($L47&gt;AM$4,AM$4&gt;$L47+23),"",OFFSET(Electric!$L38,0,-'Electric Calendarize'!$L47+'Electric Calendarize'!AM$4+1))</f>
        <v>946</v>
      </c>
      <c r="AN47">
        <f ca="1">IF(OR($L47&gt;AN$4,AN$4&gt;$L47+23),"",OFFSET(Electric!$L38,0,-'Electric Calendarize'!$L47+'Electric Calendarize'!AN$4+1))</f>
        <v>828</v>
      </c>
      <c r="AO47">
        <f ca="1">IF(OR($L47&gt;AO$4,AO$4&gt;$L47+23),"",OFFSET(Electric!$L38,0,-'Electric Calendarize'!$L47+'Electric Calendarize'!AO$4+1))</f>
        <v>771</v>
      </c>
      <c r="AP47">
        <f ca="1">IF(OR($L47&gt;AP$4,AP$4&gt;$L47+23),"",OFFSET(Electric!$L38,0,-'Electric Calendarize'!$L47+'Electric Calendarize'!AP$4+1))</f>
        <v>734</v>
      </c>
      <c r="AQ47">
        <f ca="1">IF(OR($L47&gt;AQ$4,AQ$4&gt;$L47+23),"",OFFSET(Electric!$L38,0,-'Electric Calendarize'!$L47+'Electric Calendarize'!AQ$4+1))</f>
        <v>1063</v>
      </c>
      <c r="AR47" t="str">
        <f ca="1">IF(OR($L47&gt;AR$4,AR$4&gt;$L47+23),"",OFFSET(Electric!$L38,0,-'Electric Calendarize'!$L47+'Electric Calendarize'!AR$4+1))</f>
        <v/>
      </c>
      <c r="AS47" t="str">
        <f ca="1">IF(OR($L47&gt;AS$4,AS$4&gt;$L47+23),"",OFFSET(Electric!$L38,0,-'Electric Calendarize'!$L47+'Electric Calendarize'!AS$4+1))</f>
        <v/>
      </c>
      <c r="AT47" t="str">
        <f ca="1">IF(OR($L47&gt;AT$4,AT$4&gt;$L47+23),"",OFFSET(Electric!$L38,0,-'Electric Calendarize'!$L47+'Electric Calendarize'!AT$4+1))</f>
        <v/>
      </c>
      <c r="AU47" t="str">
        <f ca="1">IF(OR($L47&gt;AU$4,AU$4&gt;$L47+23),"",OFFSET(Electric!$L38,0,-'Electric Calendarize'!$L47+'Electric Calendarize'!AU$4+1))</f>
        <v/>
      </c>
      <c r="AV47" t="str">
        <f ca="1">IF(OR($L47&gt;AV$4,AV$4&gt;$L47+23),"",OFFSET(Electric!$L38,0,-'Electric Calendarize'!$L47+'Electric Calendarize'!AV$4+1))</f>
        <v/>
      </c>
      <c r="AW47" t="str">
        <f ca="1">IF(OR($L47&gt;AW$4,AW$4&gt;$L47+23),"",OFFSET(Electric!$L38,0,-'Electric Calendarize'!$L47+'Electric Calendarize'!AW$4+1))</f>
        <v/>
      </c>
      <c r="AX47" t="str">
        <f ca="1">IF(OR($L47&gt;AX$4,AX$4&gt;$L47+23),"",OFFSET(Electric!$L38,0,-'Electric Calendarize'!$L47+'Electric Calendarize'!AX$4+1))</f>
        <v/>
      </c>
      <c r="AY47" t="str">
        <f ca="1">IF(OR($L47&gt;AY$4,AY$4&gt;$L47+23),"",OFFSET(Electric!$L38,0,-'Electric Calendarize'!$L47+'Electric Calendarize'!AY$4+1))</f>
        <v/>
      </c>
      <c r="AZ47" t="str">
        <f ca="1">IF(OR($L47&gt;AZ$4,AZ$4&gt;$L47+23),"",OFFSET(Electric!$L38,0,-'Electric Calendarize'!$L47+'Electric Calendarize'!AZ$4+1))</f>
        <v/>
      </c>
      <c r="BA47" t="str">
        <f ca="1">IF(OR($L47&gt;BA$4,BA$4&gt;$L47+23),"",OFFSET(Electric!$L38,0,-'Electric Calendarize'!$L47+'Electric Calendarize'!BA$4+1))</f>
        <v/>
      </c>
      <c r="BB47" t="str">
        <f ca="1">IF(OR($L47&gt;BB$4,BB$4&gt;$L47+23),"",OFFSET(Electric!$L38,0,-'Electric Calendarize'!$L47+'Electric Calendarize'!BB$4+1))</f>
        <v/>
      </c>
      <c r="BC47" t="str">
        <f ca="1">IF(OR($L47&gt;BC$4,BC$4&gt;$L47+23),"",OFFSET(Electric!$L38,0,-'Electric Calendarize'!$L47+'Electric Calendarize'!BC$4+1))</f>
        <v/>
      </c>
      <c r="BD47" t="str">
        <f ca="1">IF(OR($L47&gt;BD$4,BD$4&gt;$L47+23),"",OFFSET(Electric!$L38,0,-'Electric Calendarize'!$L47+'Electric Calendarize'!BD$4+1))</f>
        <v/>
      </c>
      <c r="BE47" t="str">
        <f ca="1">IF(OR($L47&gt;BE$4,BE$4&gt;$L47+23),"",OFFSET(Electric!$L38,0,-'Electric Calendarize'!$L47+'Electric Calendarize'!BE$4+1))</f>
        <v/>
      </c>
      <c r="BF47" t="str">
        <f ca="1">IF(OR($L47&gt;BF$4,BF$4&gt;$L47+23),"",OFFSET(Electric!$L38,0,-'Electric Calendarize'!$L47+'Electric Calendarize'!BF$4+1))</f>
        <v/>
      </c>
      <c r="BG47" t="str">
        <f ca="1">IF(OR($L47&gt;BG$4,BG$4&gt;$L47+23),"",OFFSET(Electric!$L38,0,-'Electric Calendarize'!$L47+'Electric Calendarize'!BG$4+1))</f>
        <v/>
      </c>
      <c r="BJ47" s="10" t="s">
        <v>37</v>
      </c>
      <c r="BK47">
        <f t="shared" si="195"/>
        <v>1</v>
      </c>
      <c r="BL47">
        <f t="shared" si="100"/>
        <v>0</v>
      </c>
      <c r="BM47">
        <f t="shared" si="101"/>
        <v>0</v>
      </c>
      <c r="BN47">
        <f t="shared" si="102"/>
        <v>0</v>
      </c>
      <c r="BO47">
        <f t="shared" si="103"/>
        <v>0</v>
      </c>
      <c r="BP47">
        <f t="shared" si="104"/>
        <v>0</v>
      </c>
      <c r="BQ47">
        <f t="shared" si="105"/>
        <v>0</v>
      </c>
      <c r="BR47">
        <f t="shared" si="106"/>
        <v>1</v>
      </c>
      <c r="BS47">
        <f t="shared" si="107"/>
        <v>1</v>
      </c>
      <c r="BT47">
        <f t="shared" si="108"/>
        <v>1</v>
      </c>
      <c r="BU47">
        <f t="shared" si="109"/>
        <v>1</v>
      </c>
      <c r="BV47">
        <f t="shared" si="110"/>
        <v>1</v>
      </c>
      <c r="BW47">
        <f t="shared" si="111"/>
        <v>1</v>
      </c>
      <c r="BX47">
        <f t="shared" si="112"/>
        <v>0</v>
      </c>
      <c r="BY47">
        <f t="shared" si="113"/>
        <v>0</v>
      </c>
      <c r="BZ47">
        <f t="shared" si="114"/>
        <v>0</v>
      </c>
      <c r="CA47">
        <f t="shared" si="115"/>
        <v>0</v>
      </c>
      <c r="CB47">
        <f t="shared" si="116"/>
        <v>0</v>
      </c>
      <c r="CC47">
        <f t="shared" si="117"/>
        <v>0</v>
      </c>
      <c r="CD47">
        <f t="shared" si="118"/>
        <v>1</v>
      </c>
      <c r="CE47">
        <f t="shared" si="119"/>
        <v>1</v>
      </c>
      <c r="CF47">
        <f t="shared" si="120"/>
        <v>1</v>
      </c>
      <c r="CG47">
        <f t="shared" si="121"/>
        <v>1</v>
      </c>
      <c r="CH47">
        <f t="shared" si="122"/>
        <v>1</v>
      </c>
      <c r="CI47">
        <f t="shared" si="123"/>
        <v>1</v>
      </c>
      <c r="CJ47">
        <f t="shared" si="124"/>
        <v>0</v>
      </c>
      <c r="CK47">
        <f t="shared" si="125"/>
        <v>0</v>
      </c>
      <c r="CL47">
        <f t="shared" si="126"/>
        <v>0</v>
      </c>
      <c r="CM47">
        <f t="shared" si="127"/>
        <v>0</v>
      </c>
      <c r="CN47">
        <f t="shared" si="128"/>
        <v>0</v>
      </c>
      <c r="CO47">
        <f t="shared" si="129"/>
        <v>0</v>
      </c>
      <c r="CP47">
        <f t="shared" si="130"/>
        <v>1</v>
      </c>
      <c r="CQ47">
        <f t="shared" si="131"/>
        <v>1</v>
      </c>
      <c r="CR47">
        <f t="shared" si="132"/>
        <v>1</v>
      </c>
      <c r="CS47">
        <f t="shared" si="133"/>
        <v>1</v>
      </c>
      <c r="CT47">
        <f t="shared" si="134"/>
        <v>1</v>
      </c>
      <c r="CU47">
        <f t="shared" si="135"/>
        <v>1</v>
      </c>
      <c r="CV47">
        <f t="shared" si="136"/>
        <v>0</v>
      </c>
      <c r="CW47">
        <f t="shared" si="137"/>
        <v>0</v>
      </c>
      <c r="CX47">
        <f t="shared" si="138"/>
        <v>0</v>
      </c>
      <c r="CY47">
        <f t="shared" si="139"/>
        <v>0</v>
      </c>
      <c r="CZ47">
        <f t="shared" si="140"/>
        <v>0</v>
      </c>
      <c r="DA47">
        <f t="shared" si="141"/>
        <v>0</v>
      </c>
      <c r="DB47">
        <f t="shared" si="142"/>
        <v>1</v>
      </c>
      <c r="DC47">
        <f t="shared" si="143"/>
        <v>1</v>
      </c>
      <c r="DF47" s="10" t="s">
        <v>37</v>
      </c>
      <c r="DG47" t="str">
        <f t="shared" si="204"/>
        <v>2021_9</v>
      </c>
      <c r="DH47" t="str">
        <f t="shared" si="204"/>
        <v>2021_9</v>
      </c>
      <c r="DI47" t="str">
        <f t="shared" si="204"/>
        <v>2021_9</v>
      </c>
      <c r="DJ47" t="str">
        <f t="shared" si="204"/>
        <v>2021_9</v>
      </c>
      <c r="DK47" t="str">
        <f t="shared" si="204"/>
        <v>2021_9</v>
      </c>
      <c r="DL47" t="str">
        <f t="shared" si="204"/>
        <v>2021_9</v>
      </c>
      <c r="DM47" t="str">
        <f t="shared" si="204"/>
        <v>2021_9</v>
      </c>
      <c r="DN47" t="str">
        <f t="shared" si="204"/>
        <v>2021_9</v>
      </c>
      <c r="DO47" t="str">
        <f t="shared" si="204"/>
        <v>2021_9</v>
      </c>
      <c r="DP47" t="str">
        <f t="shared" si="204"/>
        <v>2021_9</v>
      </c>
      <c r="DQ47" t="str">
        <f t="shared" si="204"/>
        <v>2021_9</v>
      </c>
      <c r="DR47" t="str">
        <f t="shared" si="204"/>
        <v>2021_9</v>
      </c>
      <c r="DS47" t="str">
        <f t="shared" si="204"/>
        <v>2021_9</v>
      </c>
      <c r="DT47" t="str">
        <f t="shared" si="204"/>
        <v>2021_9</v>
      </c>
      <c r="DU47" t="str">
        <f t="shared" si="204"/>
        <v>2021_9</v>
      </c>
      <c r="DV47" t="str">
        <f t="shared" si="203"/>
        <v>2021_9</v>
      </c>
      <c r="DW47" t="str">
        <f t="shared" si="201"/>
        <v>2021_9</v>
      </c>
      <c r="DX47" t="str">
        <f t="shared" si="201"/>
        <v>2021_9</v>
      </c>
      <c r="DY47" t="str">
        <f t="shared" si="201"/>
        <v>2021_9</v>
      </c>
      <c r="DZ47" t="str">
        <f t="shared" si="201"/>
        <v>2021_9</v>
      </c>
      <c r="EA47" t="str">
        <f t="shared" si="201"/>
        <v>2021_9</v>
      </c>
      <c r="EB47" t="str">
        <f t="shared" si="201"/>
        <v>2021_9</v>
      </c>
      <c r="EC47" t="str">
        <f t="shared" si="201"/>
        <v>2021_9</v>
      </c>
      <c r="ED47" t="str">
        <f t="shared" si="201"/>
        <v>2021_9</v>
      </c>
      <c r="EE47" t="str">
        <f t="shared" si="201"/>
        <v>2021_9</v>
      </c>
      <c r="EF47" t="str">
        <f t="shared" si="201"/>
        <v>2021_9</v>
      </c>
      <c r="EG47" t="str">
        <f t="shared" si="201"/>
        <v>2021_9</v>
      </c>
      <c r="EH47" t="str">
        <f t="shared" si="201"/>
        <v>2021_9</v>
      </c>
      <c r="EI47" t="str">
        <f t="shared" si="201"/>
        <v>2021_9</v>
      </c>
      <c r="EJ47" t="str">
        <f t="shared" si="201"/>
        <v>2021_9</v>
      </c>
      <c r="EK47" t="str">
        <f t="shared" si="201"/>
        <v>2021_9</v>
      </c>
      <c r="EL47" t="str">
        <f t="shared" si="201"/>
        <v>2021_9</v>
      </c>
      <c r="EM47" t="str">
        <f t="shared" si="202"/>
        <v>2021_9</v>
      </c>
      <c r="EN47" t="str">
        <f t="shared" si="202"/>
        <v>2021_9</v>
      </c>
      <c r="EO47" t="str">
        <f t="shared" si="202"/>
        <v>2021_9</v>
      </c>
      <c r="EP47" t="str">
        <f t="shared" si="202"/>
        <v>2021_9</v>
      </c>
      <c r="EQ47" t="str">
        <f t="shared" si="202"/>
        <v>2021_9</v>
      </c>
      <c r="ER47" t="str">
        <f t="shared" si="202"/>
        <v>2021_9</v>
      </c>
      <c r="ES47" t="str">
        <f t="shared" si="202"/>
        <v>2021_9</v>
      </c>
      <c r="ET47" t="str">
        <f t="shared" si="202"/>
        <v>2021_9</v>
      </c>
      <c r="EU47" t="str">
        <f t="shared" si="202"/>
        <v>2021_9</v>
      </c>
      <c r="EV47" t="str">
        <f t="shared" si="202"/>
        <v>2021_9</v>
      </c>
      <c r="EW47" t="str">
        <f t="shared" si="202"/>
        <v>2021_9</v>
      </c>
      <c r="EX47" t="str">
        <f t="shared" si="202"/>
        <v>2021_9</v>
      </c>
      <c r="EY47" t="str">
        <f t="shared" si="202"/>
        <v>2021_9</v>
      </c>
      <c r="FB47" s="10" t="s">
        <v>37</v>
      </c>
      <c r="FC47">
        <f t="shared" si="197"/>
        <v>0</v>
      </c>
      <c r="FD47">
        <f t="shared" si="147"/>
        <v>0</v>
      </c>
      <c r="FE47">
        <f t="shared" si="148"/>
        <v>0</v>
      </c>
      <c r="FF47">
        <f t="shared" si="149"/>
        <v>0</v>
      </c>
      <c r="FG47">
        <f t="shared" si="150"/>
        <v>0</v>
      </c>
      <c r="FH47">
        <f t="shared" si="151"/>
        <v>0</v>
      </c>
      <c r="FI47">
        <f t="shared" si="152"/>
        <v>0</v>
      </c>
      <c r="FJ47">
        <f t="shared" si="153"/>
        <v>0</v>
      </c>
      <c r="FK47">
        <f t="shared" si="154"/>
        <v>0</v>
      </c>
      <c r="FL47">
        <f t="shared" si="155"/>
        <v>0</v>
      </c>
      <c r="FM47">
        <f t="shared" si="156"/>
        <v>0</v>
      </c>
      <c r="FN47">
        <f t="shared" si="157"/>
        <v>0</v>
      </c>
      <c r="FO47">
        <f t="shared" si="158"/>
        <v>0</v>
      </c>
      <c r="FP47">
        <f t="shared" si="159"/>
        <v>0</v>
      </c>
      <c r="FQ47">
        <f t="shared" si="160"/>
        <v>0</v>
      </c>
      <c r="FR47">
        <f t="shared" si="161"/>
        <v>0</v>
      </c>
      <c r="FS47">
        <f t="shared" si="162"/>
        <v>0</v>
      </c>
      <c r="FT47">
        <f t="shared" si="163"/>
        <v>1</v>
      </c>
      <c r="FU47">
        <f t="shared" si="164"/>
        <v>1</v>
      </c>
      <c r="FV47">
        <f t="shared" si="165"/>
        <v>1</v>
      </c>
      <c r="FW47">
        <f t="shared" si="166"/>
        <v>1</v>
      </c>
      <c r="FX47">
        <f t="shared" si="167"/>
        <v>1</v>
      </c>
      <c r="FY47">
        <f t="shared" si="168"/>
        <v>1</v>
      </c>
      <c r="FZ47">
        <f t="shared" si="169"/>
        <v>1</v>
      </c>
      <c r="GA47">
        <f t="shared" si="170"/>
        <v>1</v>
      </c>
      <c r="GB47">
        <f t="shared" si="171"/>
        <v>1</v>
      </c>
      <c r="GC47">
        <f t="shared" si="172"/>
        <v>1</v>
      </c>
      <c r="GD47">
        <f t="shared" si="173"/>
        <v>1</v>
      </c>
      <c r="GE47">
        <f t="shared" si="174"/>
        <v>1</v>
      </c>
      <c r="GF47">
        <f t="shared" si="175"/>
        <v>1</v>
      </c>
      <c r="GG47">
        <f t="shared" si="176"/>
        <v>1</v>
      </c>
      <c r="GH47">
        <f t="shared" si="177"/>
        <v>1</v>
      </c>
      <c r="GI47">
        <f t="shared" si="178"/>
        <v>1</v>
      </c>
      <c r="GJ47">
        <f t="shared" si="179"/>
        <v>1</v>
      </c>
      <c r="GK47">
        <f t="shared" si="180"/>
        <v>1</v>
      </c>
      <c r="GL47">
        <f t="shared" si="181"/>
        <v>1</v>
      </c>
      <c r="GM47">
        <f t="shared" si="182"/>
        <v>1</v>
      </c>
      <c r="GN47">
        <f t="shared" si="183"/>
        <v>1</v>
      </c>
      <c r="GO47">
        <f t="shared" si="184"/>
        <v>1</v>
      </c>
      <c r="GP47">
        <f t="shared" si="185"/>
        <v>1</v>
      </c>
      <c r="GQ47">
        <f t="shared" si="186"/>
        <v>1</v>
      </c>
      <c r="GR47">
        <f t="shared" si="187"/>
        <v>1</v>
      </c>
      <c r="GS47">
        <f t="shared" si="188"/>
        <v>1</v>
      </c>
      <c r="GT47">
        <f t="shared" si="189"/>
        <v>1</v>
      </c>
      <c r="GU47">
        <f t="shared" si="190"/>
        <v>1</v>
      </c>
      <c r="GX47" s="10"/>
    </row>
    <row r="48" spans="1:206" x14ac:dyDescent="0.3">
      <c r="A48" s="9" t="s">
        <v>41</v>
      </c>
      <c r="B48" s="80"/>
      <c r="C48" s="9">
        <v>3120684000</v>
      </c>
      <c r="D48" s="9" t="s">
        <v>382</v>
      </c>
      <c r="E48" s="9" t="s">
        <v>39</v>
      </c>
      <c r="F48" s="9" t="s">
        <v>35</v>
      </c>
      <c r="G48" s="9" t="s">
        <v>79</v>
      </c>
      <c r="H48" s="10">
        <v>44449</v>
      </c>
      <c r="I48" s="9">
        <f t="shared" si="191"/>
        <v>2021</v>
      </c>
      <c r="J48" s="9">
        <f t="shared" si="192"/>
        <v>9</v>
      </c>
      <c r="K48" s="9" t="str">
        <f t="shared" si="193"/>
        <v>2021_9</v>
      </c>
      <c r="L48">
        <f>MAX(0,VLOOKUP($K48,lookups!$A$1:$B$45,2,0)-12)</f>
        <v>5</v>
      </c>
      <c r="M48" s="40">
        <f t="shared" si="194"/>
        <v>44440</v>
      </c>
      <c r="N48" s="10" t="s">
        <v>37</v>
      </c>
      <c r="O48" t="str">
        <f ca="1">IF(OR($L48&gt;O$4,O$4&gt;$L48+23),"",OFFSET(Electric!$L39,0,-'Electric Calendarize'!$L48+'Electric Calendarize'!O$4+1))</f>
        <v/>
      </c>
      <c r="P48" t="str">
        <f ca="1">IF(OR($L48&gt;P$4,P$4&gt;$L48+23),"",OFFSET(Electric!$L39,0,-'Electric Calendarize'!$L48+'Electric Calendarize'!P$4+1))</f>
        <v/>
      </c>
      <c r="Q48" t="str">
        <f ca="1">IF(OR($L48&gt;Q$4,Q$4&gt;$L48+23),"",OFFSET(Electric!$L39,0,-'Electric Calendarize'!$L48+'Electric Calendarize'!Q$4+1))</f>
        <v/>
      </c>
      <c r="R48" t="str">
        <f ca="1">IF(OR($L48&gt;R$4,R$4&gt;$L48+23),"",OFFSET(Electric!$L39,0,-'Electric Calendarize'!$L48+'Electric Calendarize'!R$4+1))</f>
        <v/>
      </c>
      <c r="S48" t="str">
        <f ca="1">IF(OR($L48&gt;S$4,S$4&gt;$L48+23),"",OFFSET(Electric!$L39,0,-'Electric Calendarize'!$L48+'Electric Calendarize'!S$4+1))</f>
        <v/>
      </c>
      <c r="T48">
        <f ca="1">IF(OR($L48&gt;T$4,T$4&gt;$L48+23),"",OFFSET(Electric!$L39,0,-'Electric Calendarize'!$L48+'Electric Calendarize'!T$4+1))</f>
        <v>1236</v>
      </c>
      <c r="U48">
        <f ca="1">IF(OR($L48&gt;U$4,U$4&gt;$L48+23),"",OFFSET(Electric!$L39,0,-'Electric Calendarize'!$L48+'Electric Calendarize'!U$4+1))</f>
        <v>937</v>
      </c>
      <c r="V48">
        <f ca="1">IF(OR($L48&gt;V$4,V$4&gt;$L48+23),"",OFFSET(Electric!$L39,0,-'Electric Calendarize'!$L48+'Electric Calendarize'!V$4+1))</f>
        <v>860</v>
      </c>
      <c r="W48">
        <f ca="1">IF(OR($L48&gt;W$4,W$4&gt;$L48+23),"",OFFSET(Electric!$L39,0,-'Electric Calendarize'!$L48+'Electric Calendarize'!W$4+1))</f>
        <v>922</v>
      </c>
      <c r="X48">
        <f ca="1">IF(OR($L48&gt;X$4,X$4&gt;$L48+23),"",OFFSET(Electric!$L39,0,-'Electric Calendarize'!$L48+'Electric Calendarize'!X$4+1))</f>
        <v>844</v>
      </c>
      <c r="Y48">
        <f ca="1">IF(OR($L48&gt;Y$4,Y$4&gt;$L48+23),"",OFFSET(Electric!$L39,0,-'Electric Calendarize'!$L48+'Electric Calendarize'!Y$4+1))</f>
        <v>773</v>
      </c>
      <c r="Z48">
        <f ca="1">IF(OR($L48&gt;Z$4,Z$4&gt;$L48+23),"",OFFSET(Electric!$L39,0,-'Electric Calendarize'!$L48+'Electric Calendarize'!Z$4+1))</f>
        <v>811</v>
      </c>
      <c r="AA48">
        <f ca="1">IF(OR($L48&gt;AA$4,AA$4&gt;$L48+23),"",OFFSET(Electric!$L39,0,-'Electric Calendarize'!$L48+'Electric Calendarize'!AA$4+1))</f>
        <v>571</v>
      </c>
      <c r="AB48">
        <f ca="1">IF(OR($L48&gt;AB$4,AB$4&gt;$L48+23),"",OFFSET(Electric!$L39,0,-'Electric Calendarize'!$L48+'Electric Calendarize'!AB$4+1))</f>
        <v>847</v>
      </c>
      <c r="AC48">
        <f ca="1">IF(OR($L48&gt;AC$4,AC$4&gt;$L48+23),"",OFFSET(Electric!$L39,0,-'Electric Calendarize'!$L48+'Electric Calendarize'!AC$4+1))</f>
        <v>1383</v>
      </c>
      <c r="AD48">
        <f ca="1">IF(OR($L48&gt;AD$4,AD$4&gt;$L48+23),"",OFFSET(Electric!$L39,0,-'Electric Calendarize'!$L48+'Electric Calendarize'!AD$4+1))</f>
        <v>1338</v>
      </c>
      <c r="AE48">
        <f ca="1">IF(OR($L48&gt;AE$4,AE$4&gt;$L48+23),"",OFFSET(Electric!$L39,0,-'Electric Calendarize'!$L48+'Electric Calendarize'!AE$4+1))</f>
        <v>1400</v>
      </c>
      <c r="AF48">
        <f ca="1">IF(OR($L48&gt;AF$4,AF$4&gt;$L48+23),"",OFFSET(Electric!$L39,0,-'Electric Calendarize'!$L48+'Electric Calendarize'!AF$4+1))</f>
        <v>1122</v>
      </c>
      <c r="AG48">
        <f ca="1">IF(OR($L48&gt;AG$4,AG$4&gt;$L48+23),"",OFFSET(Electric!$L39,0,-'Electric Calendarize'!$L48+'Electric Calendarize'!AG$4+1))</f>
        <v>956</v>
      </c>
      <c r="AH48">
        <f ca="1">IF(OR($L48&gt;AH$4,AH$4&gt;$L48+23),"",OFFSET(Electric!$L39,0,-'Electric Calendarize'!$L48+'Electric Calendarize'!AH$4+1))</f>
        <v>1684</v>
      </c>
      <c r="AI48">
        <f ca="1">IF(OR($L48&gt;AI$4,AI$4&gt;$L48+23),"",OFFSET(Electric!$L39,0,-'Electric Calendarize'!$L48+'Electric Calendarize'!AI$4+1))</f>
        <v>1409</v>
      </c>
      <c r="AJ48">
        <f ca="1">IF(OR($L48&gt;AJ$4,AJ$4&gt;$L48+23),"",OFFSET(Electric!$L39,0,-'Electric Calendarize'!$L48+'Electric Calendarize'!AJ$4+1))</f>
        <v>1696</v>
      </c>
      <c r="AK48">
        <f ca="1">IF(OR($L48&gt;AK$4,AK$4&gt;$L48+23),"",OFFSET(Electric!$L39,0,-'Electric Calendarize'!$L48+'Electric Calendarize'!AK$4+1))</f>
        <v>1555</v>
      </c>
      <c r="AL48">
        <f ca="1">IF(OR($L48&gt;AL$4,AL$4&gt;$L48+23),"",OFFSET(Electric!$L39,0,-'Electric Calendarize'!$L48+'Electric Calendarize'!AL$4+1))</f>
        <v>1372</v>
      </c>
      <c r="AM48">
        <f ca="1">IF(OR($L48&gt;AM$4,AM$4&gt;$L48+23),"",OFFSET(Electric!$L39,0,-'Electric Calendarize'!$L48+'Electric Calendarize'!AM$4+1))</f>
        <v>1388</v>
      </c>
      <c r="AN48">
        <f ca="1">IF(OR($L48&gt;AN$4,AN$4&gt;$L48+23),"",OFFSET(Electric!$L39,0,-'Electric Calendarize'!$L48+'Electric Calendarize'!AN$4+1))</f>
        <v>1275</v>
      </c>
      <c r="AO48">
        <f ca="1">IF(OR($L48&gt;AO$4,AO$4&gt;$L48+23),"",OFFSET(Electric!$L39,0,-'Electric Calendarize'!$L48+'Electric Calendarize'!AO$4+1))</f>
        <v>1197</v>
      </c>
      <c r="AP48">
        <f ca="1">IF(OR($L48&gt;AP$4,AP$4&gt;$L48+23),"",OFFSET(Electric!$L39,0,-'Electric Calendarize'!$L48+'Electric Calendarize'!AP$4+1))</f>
        <v>1532</v>
      </c>
      <c r="AQ48">
        <f ca="1">IF(OR($L48&gt;AQ$4,AQ$4&gt;$L48+23),"",OFFSET(Electric!$L39,0,-'Electric Calendarize'!$L48+'Electric Calendarize'!AQ$4+1))</f>
        <v>1732</v>
      </c>
      <c r="AR48" t="str">
        <f ca="1">IF(OR($L48&gt;AR$4,AR$4&gt;$L48+23),"",OFFSET(Electric!$L39,0,-'Electric Calendarize'!$L48+'Electric Calendarize'!AR$4+1))</f>
        <v/>
      </c>
      <c r="AS48" t="str">
        <f ca="1">IF(OR($L48&gt;AS$4,AS$4&gt;$L48+23),"",OFFSET(Electric!$L39,0,-'Electric Calendarize'!$L48+'Electric Calendarize'!AS$4+1))</f>
        <v/>
      </c>
      <c r="AT48" t="str">
        <f ca="1">IF(OR($L48&gt;AT$4,AT$4&gt;$L48+23),"",OFFSET(Electric!$L39,0,-'Electric Calendarize'!$L48+'Electric Calendarize'!AT$4+1))</f>
        <v/>
      </c>
      <c r="AU48" t="str">
        <f ca="1">IF(OR($L48&gt;AU$4,AU$4&gt;$L48+23),"",OFFSET(Electric!$L39,0,-'Electric Calendarize'!$L48+'Electric Calendarize'!AU$4+1))</f>
        <v/>
      </c>
      <c r="AV48" t="str">
        <f ca="1">IF(OR($L48&gt;AV$4,AV$4&gt;$L48+23),"",OFFSET(Electric!$L39,0,-'Electric Calendarize'!$L48+'Electric Calendarize'!AV$4+1))</f>
        <v/>
      </c>
      <c r="AW48" t="str">
        <f ca="1">IF(OR($L48&gt;AW$4,AW$4&gt;$L48+23),"",OFFSET(Electric!$L39,0,-'Electric Calendarize'!$L48+'Electric Calendarize'!AW$4+1))</f>
        <v/>
      </c>
      <c r="AX48" t="str">
        <f ca="1">IF(OR($L48&gt;AX$4,AX$4&gt;$L48+23),"",OFFSET(Electric!$L39,0,-'Electric Calendarize'!$L48+'Electric Calendarize'!AX$4+1))</f>
        <v/>
      </c>
      <c r="AY48" t="str">
        <f ca="1">IF(OR($L48&gt;AY$4,AY$4&gt;$L48+23),"",OFFSET(Electric!$L39,0,-'Electric Calendarize'!$L48+'Electric Calendarize'!AY$4+1))</f>
        <v/>
      </c>
      <c r="AZ48" t="str">
        <f ca="1">IF(OR($L48&gt;AZ$4,AZ$4&gt;$L48+23),"",OFFSET(Electric!$L39,0,-'Electric Calendarize'!$L48+'Electric Calendarize'!AZ$4+1))</f>
        <v/>
      </c>
      <c r="BA48" t="str">
        <f ca="1">IF(OR($L48&gt;BA$4,BA$4&gt;$L48+23),"",OFFSET(Electric!$L39,0,-'Electric Calendarize'!$L48+'Electric Calendarize'!BA$4+1))</f>
        <v/>
      </c>
      <c r="BB48" t="str">
        <f ca="1">IF(OR($L48&gt;BB$4,BB$4&gt;$L48+23),"",OFFSET(Electric!$L39,0,-'Electric Calendarize'!$L48+'Electric Calendarize'!BB$4+1))</f>
        <v/>
      </c>
      <c r="BC48" t="str">
        <f ca="1">IF(OR($L48&gt;BC$4,BC$4&gt;$L48+23),"",OFFSET(Electric!$L39,0,-'Electric Calendarize'!$L48+'Electric Calendarize'!BC$4+1))</f>
        <v/>
      </c>
      <c r="BD48" t="str">
        <f ca="1">IF(OR($L48&gt;BD$4,BD$4&gt;$L48+23),"",OFFSET(Electric!$L39,0,-'Electric Calendarize'!$L48+'Electric Calendarize'!BD$4+1))</f>
        <v/>
      </c>
      <c r="BE48" t="str">
        <f ca="1">IF(OR($L48&gt;BE$4,BE$4&gt;$L48+23),"",OFFSET(Electric!$L39,0,-'Electric Calendarize'!$L48+'Electric Calendarize'!BE$4+1))</f>
        <v/>
      </c>
      <c r="BF48" t="str">
        <f ca="1">IF(OR($L48&gt;BF$4,BF$4&gt;$L48+23),"",OFFSET(Electric!$L39,0,-'Electric Calendarize'!$L48+'Electric Calendarize'!BF$4+1))</f>
        <v/>
      </c>
      <c r="BG48" t="str">
        <f ca="1">IF(OR($L48&gt;BG$4,BG$4&gt;$L48+23),"",OFFSET(Electric!$L39,0,-'Electric Calendarize'!$L48+'Electric Calendarize'!BG$4+1))</f>
        <v/>
      </c>
      <c r="BJ48" s="10" t="s">
        <v>37</v>
      </c>
      <c r="BK48">
        <f t="shared" si="195"/>
        <v>1</v>
      </c>
      <c r="BL48">
        <f t="shared" si="100"/>
        <v>0</v>
      </c>
      <c r="BM48">
        <f t="shared" si="101"/>
        <v>0</v>
      </c>
      <c r="BN48">
        <f t="shared" si="102"/>
        <v>0</v>
      </c>
      <c r="BO48">
        <f t="shared" si="103"/>
        <v>0</v>
      </c>
      <c r="BP48">
        <f t="shared" si="104"/>
        <v>0</v>
      </c>
      <c r="BQ48">
        <f t="shared" si="105"/>
        <v>0</v>
      </c>
      <c r="BR48">
        <f t="shared" si="106"/>
        <v>1</v>
      </c>
      <c r="BS48">
        <f t="shared" si="107"/>
        <v>1</v>
      </c>
      <c r="BT48">
        <f t="shared" si="108"/>
        <v>1</v>
      </c>
      <c r="BU48">
        <f t="shared" si="109"/>
        <v>1</v>
      </c>
      <c r="BV48">
        <f t="shared" si="110"/>
        <v>1</v>
      </c>
      <c r="BW48">
        <f t="shared" si="111"/>
        <v>1</v>
      </c>
      <c r="BX48">
        <f t="shared" si="112"/>
        <v>0</v>
      </c>
      <c r="BY48">
        <f t="shared" si="113"/>
        <v>0</v>
      </c>
      <c r="BZ48">
        <f t="shared" si="114"/>
        <v>0</v>
      </c>
      <c r="CA48">
        <f t="shared" si="115"/>
        <v>0</v>
      </c>
      <c r="CB48">
        <f t="shared" si="116"/>
        <v>0</v>
      </c>
      <c r="CC48">
        <f t="shared" si="117"/>
        <v>0</v>
      </c>
      <c r="CD48">
        <f t="shared" si="118"/>
        <v>1</v>
      </c>
      <c r="CE48">
        <f t="shared" si="119"/>
        <v>1</v>
      </c>
      <c r="CF48">
        <f t="shared" si="120"/>
        <v>1</v>
      </c>
      <c r="CG48">
        <f t="shared" si="121"/>
        <v>1</v>
      </c>
      <c r="CH48">
        <f t="shared" si="122"/>
        <v>1</v>
      </c>
      <c r="CI48">
        <f t="shared" si="123"/>
        <v>1</v>
      </c>
      <c r="CJ48">
        <f t="shared" si="124"/>
        <v>0</v>
      </c>
      <c r="CK48">
        <f t="shared" si="125"/>
        <v>0</v>
      </c>
      <c r="CL48">
        <f t="shared" si="126"/>
        <v>0</v>
      </c>
      <c r="CM48">
        <f t="shared" si="127"/>
        <v>0</v>
      </c>
      <c r="CN48">
        <f t="shared" si="128"/>
        <v>0</v>
      </c>
      <c r="CO48">
        <f t="shared" si="129"/>
        <v>0</v>
      </c>
      <c r="CP48">
        <f t="shared" si="130"/>
        <v>1</v>
      </c>
      <c r="CQ48">
        <f t="shared" si="131"/>
        <v>1</v>
      </c>
      <c r="CR48">
        <f t="shared" si="132"/>
        <v>1</v>
      </c>
      <c r="CS48">
        <f t="shared" si="133"/>
        <v>1</v>
      </c>
      <c r="CT48">
        <f t="shared" si="134"/>
        <v>1</v>
      </c>
      <c r="CU48">
        <f t="shared" si="135"/>
        <v>1</v>
      </c>
      <c r="CV48">
        <f t="shared" si="136"/>
        <v>0</v>
      </c>
      <c r="CW48">
        <f t="shared" si="137"/>
        <v>0</v>
      </c>
      <c r="CX48">
        <f t="shared" si="138"/>
        <v>0</v>
      </c>
      <c r="CY48">
        <f t="shared" si="139"/>
        <v>0</v>
      </c>
      <c r="CZ48">
        <f t="shared" si="140"/>
        <v>0</v>
      </c>
      <c r="DA48">
        <f t="shared" si="141"/>
        <v>0</v>
      </c>
      <c r="DB48">
        <f t="shared" si="142"/>
        <v>1</v>
      </c>
      <c r="DC48">
        <f t="shared" si="143"/>
        <v>1</v>
      </c>
      <c r="DF48" s="10" t="s">
        <v>37</v>
      </c>
      <c r="DG48" t="str">
        <f t="shared" si="204"/>
        <v>2021_9</v>
      </c>
      <c r="DH48" t="str">
        <f t="shared" si="204"/>
        <v>2021_9</v>
      </c>
      <c r="DI48" t="str">
        <f t="shared" si="204"/>
        <v>2021_9</v>
      </c>
      <c r="DJ48" t="str">
        <f t="shared" si="204"/>
        <v>2021_9</v>
      </c>
      <c r="DK48" t="str">
        <f t="shared" si="204"/>
        <v>2021_9</v>
      </c>
      <c r="DL48" t="str">
        <f t="shared" si="204"/>
        <v>2021_9</v>
      </c>
      <c r="DM48" t="str">
        <f t="shared" si="204"/>
        <v>2021_9</v>
      </c>
      <c r="DN48" t="str">
        <f t="shared" si="204"/>
        <v>2021_9</v>
      </c>
      <c r="DO48" t="str">
        <f t="shared" si="204"/>
        <v>2021_9</v>
      </c>
      <c r="DP48" t="str">
        <f t="shared" si="204"/>
        <v>2021_9</v>
      </c>
      <c r="DQ48" t="str">
        <f t="shared" si="204"/>
        <v>2021_9</v>
      </c>
      <c r="DR48" t="str">
        <f t="shared" si="204"/>
        <v>2021_9</v>
      </c>
      <c r="DS48" t="str">
        <f t="shared" si="204"/>
        <v>2021_9</v>
      </c>
      <c r="DT48" t="str">
        <f t="shared" si="204"/>
        <v>2021_9</v>
      </c>
      <c r="DU48" t="str">
        <f t="shared" si="204"/>
        <v>2021_9</v>
      </c>
      <c r="DV48" t="str">
        <f t="shared" si="203"/>
        <v>2021_9</v>
      </c>
      <c r="DW48" t="str">
        <f t="shared" si="201"/>
        <v>2021_9</v>
      </c>
      <c r="DX48" t="str">
        <f t="shared" si="201"/>
        <v>2021_9</v>
      </c>
      <c r="DY48" t="str">
        <f t="shared" si="201"/>
        <v>2021_9</v>
      </c>
      <c r="DZ48" t="str">
        <f t="shared" si="201"/>
        <v>2021_9</v>
      </c>
      <c r="EA48" t="str">
        <f t="shared" si="201"/>
        <v>2021_9</v>
      </c>
      <c r="EB48" t="str">
        <f t="shared" si="201"/>
        <v>2021_9</v>
      </c>
      <c r="EC48" t="str">
        <f t="shared" si="201"/>
        <v>2021_9</v>
      </c>
      <c r="ED48" t="str">
        <f t="shared" si="201"/>
        <v>2021_9</v>
      </c>
      <c r="EE48" t="str">
        <f t="shared" si="201"/>
        <v>2021_9</v>
      </c>
      <c r="EF48" t="str">
        <f t="shared" si="201"/>
        <v>2021_9</v>
      </c>
      <c r="EG48" t="str">
        <f t="shared" si="201"/>
        <v>2021_9</v>
      </c>
      <c r="EH48" t="str">
        <f t="shared" si="201"/>
        <v>2021_9</v>
      </c>
      <c r="EI48" t="str">
        <f t="shared" si="201"/>
        <v>2021_9</v>
      </c>
      <c r="EJ48" t="str">
        <f t="shared" si="201"/>
        <v>2021_9</v>
      </c>
      <c r="EK48" t="str">
        <f t="shared" si="201"/>
        <v>2021_9</v>
      </c>
      <c r="EL48" t="str">
        <f t="shared" si="201"/>
        <v>2021_9</v>
      </c>
      <c r="EM48" t="str">
        <f t="shared" si="202"/>
        <v>2021_9</v>
      </c>
      <c r="EN48" t="str">
        <f t="shared" si="202"/>
        <v>2021_9</v>
      </c>
      <c r="EO48" t="str">
        <f t="shared" si="202"/>
        <v>2021_9</v>
      </c>
      <c r="EP48" t="str">
        <f t="shared" si="202"/>
        <v>2021_9</v>
      </c>
      <c r="EQ48" t="str">
        <f t="shared" si="202"/>
        <v>2021_9</v>
      </c>
      <c r="ER48" t="str">
        <f t="shared" si="202"/>
        <v>2021_9</v>
      </c>
      <c r="ES48" t="str">
        <f t="shared" si="202"/>
        <v>2021_9</v>
      </c>
      <c r="ET48" t="str">
        <f t="shared" si="202"/>
        <v>2021_9</v>
      </c>
      <c r="EU48" t="str">
        <f t="shared" si="202"/>
        <v>2021_9</v>
      </c>
      <c r="EV48" t="str">
        <f t="shared" si="202"/>
        <v>2021_9</v>
      </c>
      <c r="EW48" t="str">
        <f t="shared" si="202"/>
        <v>2021_9</v>
      </c>
      <c r="EX48" t="str">
        <f t="shared" si="202"/>
        <v>2021_9</v>
      </c>
      <c r="EY48" t="str">
        <f t="shared" si="202"/>
        <v>2021_9</v>
      </c>
      <c r="FB48" s="10" t="s">
        <v>37</v>
      </c>
      <c r="FC48">
        <f t="shared" si="197"/>
        <v>0</v>
      </c>
      <c r="FD48">
        <f t="shared" si="147"/>
        <v>0</v>
      </c>
      <c r="FE48">
        <f t="shared" si="148"/>
        <v>0</v>
      </c>
      <c r="FF48">
        <f t="shared" si="149"/>
        <v>0</v>
      </c>
      <c r="FG48">
        <f t="shared" si="150"/>
        <v>0</v>
      </c>
      <c r="FH48">
        <f t="shared" si="151"/>
        <v>0</v>
      </c>
      <c r="FI48">
        <f t="shared" si="152"/>
        <v>0</v>
      </c>
      <c r="FJ48">
        <f t="shared" si="153"/>
        <v>0</v>
      </c>
      <c r="FK48">
        <f t="shared" si="154"/>
        <v>0</v>
      </c>
      <c r="FL48">
        <f t="shared" si="155"/>
        <v>0</v>
      </c>
      <c r="FM48">
        <f t="shared" si="156"/>
        <v>0</v>
      </c>
      <c r="FN48">
        <f t="shared" si="157"/>
        <v>0</v>
      </c>
      <c r="FO48">
        <f t="shared" si="158"/>
        <v>0</v>
      </c>
      <c r="FP48">
        <f t="shared" si="159"/>
        <v>0</v>
      </c>
      <c r="FQ48">
        <f t="shared" si="160"/>
        <v>0</v>
      </c>
      <c r="FR48">
        <f t="shared" si="161"/>
        <v>0</v>
      </c>
      <c r="FS48">
        <f t="shared" si="162"/>
        <v>0</v>
      </c>
      <c r="FT48">
        <f t="shared" si="163"/>
        <v>1</v>
      </c>
      <c r="FU48">
        <f t="shared" si="164"/>
        <v>1</v>
      </c>
      <c r="FV48">
        <f t="shared" si="165"/>
        <v>1</v>
      </c>
      <c r="FW48">
        <f t="shared" si="166"/>
        <v>1</v>
      </c>
      <c r="FX48">
        <f t="shared" si="167"/>
        <v>1</v>
      </c>
      <c r="FY48">
        <f t="shared" si="168"/>
        <v>1</v>
      </c>
      <c r="FZ48">
        <f t="shared" si="169"/>
        <v>1</v>
      </c>
      <c r="GA48">
        <f t="shared" si="170"/>
        <v>1</v>
      </c>
      <c r="GB48">
        <f t="shared" si="171"/>
        <v>1</v>
      </c>
      <c r="GC48">
        <f t="shared" si="172"/>
        <v>1</v>
      </c>
      <c r="GD48">
        <f t="shared" si="173"/>
        <v>1</v>
      </c>
      <c r="GE48">
        <f t="shared" si="174"/>
        <v>1</v>
      </c>
      <c r="GF48">
        <f t="shared" si="175"/>
        <v>1</v>
      </c>
      <c r="GG48">
        <f t="shared" si="176"/>
        <v>1</v>
      </c>
      <c r="GH48">
        <f t="shared" si="177"/>
        <v>1</v>
      </c>
      <c r="GI48">
        <f t="shared" si="178"/>
        <v>1</v>
      </c>
      <c r="GJ48">
        <f t="shared" si="179"/>
        <v>1</v>
      </c>
      <c r="GK48">
        <f t="shared" si="180"/>
        <v>1</v>
      </c>
      <c r="GL48">
        <f t="shared" si="181"/>
        <v>1</v>
      </c>
      <c r="GM48">
        <f t="shared" si="182"/>
        <v>1</v>
      </c>
      <c r="GN48">
        <f t="shared" si="183"/>
        <v>1</v>
      </c>
      <c r="GO48">
        <f t="shared" si="184"/>
        <v>1</v>
      </c>
      <c r="GP48">
        <f t="shared" si="185"/>
        <v>1</v>
      </c>
      <c r="GQ48">
        <f t="shared" si="186"/>
        <v>1</v>
      </c>
      <c r="GR48">
        <f t="shared" si="187"/>
        <v>1</v>
      </c>
      <c r="GS48">
        <f t="shared" si="188"/>
        <v>1</v>
      </c>
      <c r="GT48">
        <f t="shared" si="189"/>
        <v>1</v>
      </c>
      <c r="GU48">
        <f t="shared" si="190"/>
        <v>1</v>
      </c>
      <c r="GX48" s="10"/>
    </row>
    <row r="49" spans="1:206" x14ac:dyDescent="0.3">
      <c r="A49" s="16" t="s">
        <v>33</v>
      </c>
      <c r="B49" s="80"/>
      <c r="C49" s="9">
        <v>3011718006</v>
      </c>
      <c r="D49" s="9" t="s">
        <v>383</v>
      </c>
      <c r="E49" s="9" t="s">
        <v>34</v>
      </c>
      <c r="F49" s="9" t="s">
        <v>35</v>
      </c>
      <c r="G49" s="9" t="s">
        <v>80</v>
      </c>
      <c r="H49" s="10">
        <v>44455</v>
      </c>
      <c r="I49" s="9">
        <f t="shared" si="191"/>
        <v>2021</v>
      </c>
      <c r="J49" s="9">
        <f t="shared" si="192"/>
        <v>9</v>
      </c>
      <c r="K49" s="9" t="str">
        <f t="shared" si="193"/>
        <v>2021_9</v>
      </c>
      <c r="L49">
        <f>MAX(0,VLOOKUP($K49,lookups!$A$1:$B$45,2,0)-12)</f>
        <v>5</v>
      </c>
      <c r="M49" s="40">
        <f t="shared" si="194"/>
        <v>44440</v>
      </c>
      <c r="N49" s="10" t="s">
        <v>37</v>
      </c>
      <c r="O49" t="str">
        <f ca="1">IF(OR($L49&gt;O$4,O$4&gt;$L49+23),"",OFFSET(Electric!$L40,0,-'Electric Calendarize'!$L49+'Electric Calendarize'!O$4+1))</f>
        <v/>
      </c>
      <c r="P49" t="str">
        <f ca="1">IF(OR($L49&gt;P$4,P$4&gt;$L49+23),"",OFFSET(Electric!$L40,0,-'Electric Calendarize'!$L49+'Electric Calendarize'!P$4+1))</f>
        <v/>
      </c>
      <c r="Q49" t="str">
        <f ca="1">IF(OR($L49&gt;Q$4,Q$4&gt;$L49+23),"",OFFSET(Electric!$L40,0,-'Electric Calendarize'!$L49+'Electric Calendarize'!Q$4+1))</f>
        <v/>
      </c>
      <c r="R49" t="str">
        <f ca="1">IF(OR($L49&gt;R$4,R$4&gt;$L49+23),"",OFFSET(Electric!$L40,0,-'Electric Calendarize'!$L49+'Electric Calendarize'!R$4+1))</f>
        <v/>
      </c>
      <c r="S49" t="str">
        <f ca="1">IF(OR($L49&gt;S$4,S$4&gt;$L49+23),"",OFFSET(Electric!$L40,0,-'Electric Calendarize'!$L49+'Electric Calendarize'!S$4+1))</f>
        <v/>
      </c>
      <c r="T49">
        <f ca="1">IF(OR($L49&gt;T$4,T$4&gt;$L49+23),"",OFFSET(Electric!$L40,0,-'Electric Calendarize'!$L49+'Electric Calendarize'!T$4+1))</f>
        <v>1037</v>
      </c>
      <c r="U49">
        <f ca="1">IF(OR($L49&gt;U$4,U$4&gt;$L49+23),"",OFFSET(Electric!$L40,0,-'Electric Calendarize'!$L49+'Electric Calendarize'!U$4+1))</f>
        <v>668</v>
      </c>
      <c r="V49">
        <f ca="1">IF(OR($L49&gt;V$4,V$4&gt;$L49+23),"",OFFSET(Electric!$L40,0,-'Electric Calendarize'!$L49+'Electric Calendarize'!V$4+1))</f>
        <v>493</v>
      </c>
      <c r="W49">
        <f ca="1">IF(OR($L49&gt;W$4,W$4&gt;$L49+23),"",OFFSET(Electric!$L40,0,-'Electric Calendarize'!$L49+'Electric Calendarize'!W$4+1))</f>
        <v>438</v>
      </c>
      <c r="X49">
        <f ca="1">IF(OR($L49&gt;X$4,X$4&gt;$L49+23),"",OFFSET(Electric!$L40,0,-'Electric Calendarize'!$L49+'Electric Calendarize'!X$4+1))</f>
        <v>398</v>
      </c>
      <c r="Y49">
        <f ca="1">IF(OR($L49&gt;Y$4,Y$4&gt;$L49+23),"",OFFSET(Electric!$L40,0,-'Electric Calendarize'!$L49+'Electric Calendarize'!Y$4+1))</f>
        <v>330</v>
      </c>
      <c r="Z49">
        <f ca="1">IF(OR($L49&gt;Z$4,Z$4&gt;$L49+23),"",OFFSET(Electric!$L40,0,-'Electric Calendarize'!$L49+'Electric Calendarize'!Z$4+1))</f>
        <v>387</v>
      </c>
      <c r="AA49">
        <f ca="1">IF(OR($L49&gt;AA$4,AA$4&gt;$L49+23),"",OFFSET(Electric!$L40,0,-'Electric Calendarize'!$L49+'Electric Calendarize'!AA$4+1))</f>
        <v>327</v>
      </c>
      <c r="AB49">
        <f ca="1">IF(OR($L49&gt;AB$4,AB$4&gt;$L49+23),"",OFFSET(Electric!$L40,0,-'Electric Calendarize'!$L49+'Electric Calendarize'!AB$4+1))</f>
        <v>345</v>
      </c>
      <c r="AC49">
        <f ca="1">IF(OR($L49&gt;AC$4,AC$4&gt;$L49+23),"",OFFSET(Electric!$L40,0,-'Electric Calendarize'!$L49+'Electric Calendarize'!AC$4+1))</f>
        <v>637</v>
      </c>
      <c r="AD49">
        <f ca="1">IF(OR($L49&gt;AD$4,AD$4&gt;$L49+23),"",OFFSET(Electric!$L40,0,-'Electric Calendarize'!$L49+'Electric Calendarize'!AD$4+1))</f>
        <v>1050</v>
      </c>
      <c r="AE49">
        <f ca="1">IF(OR($L49&gt;AE$4,AE$4&gt;$L49+23),"",OFFSET(Electric!$L40,0,-'Electric Calendarize'!$L49+'Electric Calendarize'!AE$4+1))</f>
        <v>1076</v>
      </c>
      <c r="AF49">
        <f ca="1">IF(OR($L49&gt;AF$4,AF$4&gt;$L49+23),"",OFFSET(Electric!$L40,0,-'Electric Calendarize'!$L49+'Electric Calendarize'!AF$4+1))</f>
        <v>1250</v>
      </c>
      <c r="AG49">
        <f ca="1">IF(OR($L49&gt;AG$4,AG$4&gt;$L49+23),"",OFFSET(Electric!$L40,0,-'Electric Calendarize'!$L49+'Electric Calendarize'!AG$4+1))</f>
        <v>774</v>
      </c>
      <c r="AH49">
        <f ca="1">IF(OR($L49&gt;AH$4,AH$4&gt;$L49+23),"",OFFSET(Electric!$L40,0,-'Electric Calendarize'!$L49+'Electric Calendarize'!AH$4+1))</f>
        <v>496</v>
      </c>
      <c r="AI49">
        <f ca="1">IF(OR($L49&gt;AI$4,AI$4&gt;$L49+23),"",OFFSET(Electric!$L40,0,-'Electric Calendarize'!$L49+'Electric Calendarize'!AI$4+1))</f>
        <v>400</v>
      </c>
      <c r="AJ49">
        <f ca="1">IF(OR($L49&gt;AJ$4,AJ$4&gt;$L49+23),"",OFFSET(Electric!$L40,0,-'Electric Calendarize'!$L49+'Electric Calendarize'!AJ$4+1))</f>
        <v>393</v>
      </c>
      <c r="AK49">
        <f ca="1">IF(OR($L49&gt;AK$4,AK$4&gt;$L49+23),"",OFFSET(Electric!$L40,0,-'Electric Calendarize'!$L49+'Electric Calendarize'!AK$4+1))</f>
        <v>365</v>
      </c>
      <c r="AL49">
        <f ca="1">IF(OR($L49&gt;AL$4,AL$4&gt;$L49+23),"",OFFSET(Electric!$L40,0,-'Electric Calendarize'!$L49+'Electric Calendarize'!AL$4+1))</f>
        <v>385</v>
      </c>
      <c r="AM49">
        <f ca="1">IF(OR($L49&gt;AM$4,AM$4&gt;$L49+23),"",OFFSET(Electric!$L40,0,-'Electric Calendarize'!$L49+'Electric Calendarize'!AM$4+1))</f>
        <v>319</v>
      </c>
      <c r="AN49">
        <f ca="1">IF(OR($L49&gt;AN$4,AN$4&gt;$L49+23),"",OFFSET(Electric!$L40,0,-'Electric Calendarize'!$L49+'Electric Calendarize'!AN$4+1))</f>
        <v>315</v>
      </c>
      <c r="AO49">
        <f ca="1">IF(OR($L49&gt;AO$4,AO$4&gt;$L49+23),"",OFFSET(Electric!$L40,0,-'Electric Calendarize'!$L49+'Electric Calendarize'!AO$4+1))</f>
        <v>681</v>
      </c>
      <c r="AP49">
        <f ca="1">IF(OR($L49&gt;AP$4,AP$4&gt;$L49+23),"",OFFSET(Electric!$L40,0,-'Electric Calendarize'!$L49+'Electric Calendarize'!AP$4+1))</f>
        <v>945</v>
      </c>
      <c r="AQ49">
        <f ca="1">IF(OR($L49&gt;AQ$4,AQ$4&gt;$L49+23),"",OFFSET(Electric!$L40,0,-'Electric Calendarize'!$L49+'Electric Calendarize'!AQ$4+1))</f>
        <v>1364</v>
      </c>
      <c r="AR49" t="str">
        <f ca="1">IF(OR($L49&gt;AR$4,AR$4&gt;$L49+23),"",OFFSET(Electric!$L40,0,-'Electric Calendarize'!$L49+'Electric Calendarize'!AR$4+1))</f>
        <v/>
      </c>
      <c r="AS49" t="str">
        <f ca="1">IF(OR($L49&gt;AS$4,AS$4&gt;$L49+23),"",OFFSET(Electric!$L40,0,-'Electric Calendarize'!$L49+'Electric Calendarize'!AS$4+1))</f>
        <v/>
      </c>
      <c r="AT49" t="str">
        <f ca="1">IF(OR($L49&gt;AT$4,AT$4&gt;$L49+23),"",OFFSET(Electric!$L40,0,-'Electric Calendarize'!$L49+'Electric Calendarize'!AT$4+1))</f>
        <v/>
      </c>
      <c r="AU49" t="str">
        <f ca="1">IF(OR($L49&gt;AU$4,AU$4&gt;$L49+23),"",OFFSET(Electric!$L40,0,-'Electric Calendarize'!$L49+'Electric Calendarize'!AU$4+1))</f>
        <v/>
      </c>
      <c r="AV49" t="str">
        <f ca="1">IF(OR($L49&gt;AV$4,AV$4&gt;$L49+23),"",OFFSET(Electric!$L40,0,-'Electric Calendarize'!$L49+'Electric Calendarize'!AV$4+1))</f>
        <v/>
      </c>
      <c r="AW49" t="str">
        <f ca="1">IF(OR($L49&gt;AW$4,AW$4&gt;$L49+23),"",OFFSET(Electric!$L40,0,-'Electric Calendarize'!$L49+'Electric Calendarize'!AW$4+1))</f>
        <v/>
      </c>
      <c r="AX49" t="str">
        <f ca="1">IF(OR($L49&gt;AX$4,AX$4&gt;$L49+23),"",OFFSET(Electric!$L40,0,-'Electric Calendarize'!$L49+'Electric Calendarize'!AX$4+1))</f>
        <v/>
      </c>
      <c r="AY49" t="str">
        <f ca="1">IF(OR($L49&gt;AY$4,AY$4&gt;$L49+23),"",OFFSET(Electric!$L40,0,-'Electric Calendarize'!$L49+'Electric Calendarize'!AY$4+1))</f>
        <v/>
      </c>
      <c r="AZ49" t="str">
        <f ca="1">IF(OR($L49&gt;AZ$4,AZ$4&gt;$L49+23),"",OFFSET(Electric!$L40,0,-'Electric Calendarize'!$L49+'Electric Calendarize'!AZ$4+1))</f>
        <v/>
      </c>
      <c r="BA49" t="str">
        <f ca="1">IF(OR($L49&gt;BA$4,BA$4&gt;$L49+23),"",OFFSET(Electric!$L40,0,-'Electric Calendarize'!$L49+'Electric Calendarize'!BA$4+1))</f>
        <v/>
      </c>
      <c r="BB49" t="str">
        <f ca="1">IF(OR($L49&gt;BB$4,BB$4&gt;$L49+23),"",OFFSET(Electric!$L40,0,-'Electric Calendarize'!$L49+'Electric Calendarize'!BB$4+1))</f>
        <v/>
      </c>
      <c r="BC49" t="str">
        <f ca="1">IF(OR($L49&gt;BC$4,BC$4&gt;$L49+23),"",OFFSET(Electric!$L40,0,-'Electric Calendarize'!$L49+'Electric Calendarize'!BC$4+1))</f>
        <v/>
      </c>
      <c r="BD49" t="str">
        <f ca="1">IF(OR($L49&gt;BD$4,BD$4&gt;$L49+23),"",OFFSET(Electric!$L40,0,-'Electric Calendarize'!$L49+'Electric Calendarize'!BD$4+1))</f>
        <v/>
      </c>
      <c r="BE49" t="str">
        <f ca="1">IF(OR($L49&gt;BE$4,BE$4&gt;$L49+23),"",OFFSET(Electric!$L40,0,-'Electric Calendarize'!$L49+'Electric Calendarize'!BE$4+1))</f>
        <v/>
      </c>
      <c r="BF49" t="str">
        <f ca="1">IF(OR($L49&gt;BF$4,BF$4&gt;$L49+23),"",OFFSET(Electric!$L40,0,-'Electric Calendarize'!$L49+'Electric Calendarize'!BF$4+1))</f>
        <v/>
      </c>
      <c r="BG49" t="str">
        <f ca="1">IF(OR($L49&gt;BG$4,BG$4&gt;$L49+23),"",OFFSET(Electric!$L40,0,-'Electric Calendarize'!$L49+'Electric Calendarize'!BG$4+1))</f>
        <v/>
      </c>
      <c r="BJ49" s="10" t="s">
        <v>37</v>
      </c>
      <c r="BK49">
        <f t="shared" si="195"/>
        <v>1</v>
      </c>
      <c r="BL49">
        <f t="shared" si="100"/>
        <v>0</v>
      </c>
      <c r="BM49">
        <f t="shared" si="101"/>
        <v>0</v>
      </c>
      <c r="BN49">
        <f t="shared" si="102"/>
        <v>0</v>
      </c>
      <c r="BO49">
        <f t="shared" si="103"/>
        <v>0</v>
      </c>
      <c r="BP49">
        <f t="shared" si="104"/>
        <v>0</v>
      </c>
      <c r="BQ49">
        <f t="shared" si="105"/>
        <v>0</v>
      </c>
      <c r="BR49">
        <f t="shared" si="106"/>
        <v>1</v>
      </c>
      <c r="BS49">
        <f t="shared" si="107"/>
        <v>1</v>
      </c>
      <c r="BT49">
        <f t="shared" si="108"/>
        <v>1</v>
      </c>
      <c r="BU49">
        <f t="shared" si="109"/>
        <v>1</v>
      </c>
      <c r="BV49">
        <f t="shared" si="110"/>
        <v>1</v>
      </c>
      <c r="BW49">
        <f t="shared" si="111"/>
        <v>1</v>
      </c>
      <c r="BX49">
        <f t="shared" si="112"/>
        <v>0</v>
      </c>
      <c r="BY49">
        <f t="shared" si="113"/>
        <v>0</v>
      </c>
      <c r="BZ49">
        <f t="shared" si="114"/>
        <v>0</v>
      </c>
      <c r="CA49">
        <f t="shared" si="115"/>
        <v>0</v>
      </c>
      <c r="CB49">
        <f t="shared" si="116"/>
        <v>0</v>
      </c>
      <c r="CC49">
        <f t="shared" si="117"/>
        <v>0</v>
      </c>
      <c r="CD49">
        <f t="shared" si="118"/>
        <v>1</v>
      </c>
      <c r="CE49">
        <f t="shared" si="119"/>
        <v>1</v>
      </c>
      <c r="CF49">
        <f t="shared" si="120"/>
        <v>1</v>
      </c>
      <c r="CG49">
        <f t="shared" si="121"/>
        <v>1</v>
      </c>
      <c r="CH49">
        <f t="shared" si="122"/>
        <v>1</v>
      </c>
      <c r="CI49">
        <f t="shared" si="123"/>
        <v>1</v>
      </c>
      <c r="CJ49">
        <f t="shared" si="124"/>
        <v>0</v>
      </c>
      <c r="CK49">
        <f t="shared" si="125"/>
        <v>0</v>
      </c>
      <c r="CL49">
        <f t="shared" si="126"/>
        <v>0</v>
      </c>
      <c r="CM49">
        <f t="shared" si="127"/>
        <v>0</v>
      </c>
      <c r="CN49">
        <f t="shared" si="128"/>
        <v>0</v>
      </c>
      <c r="CO49">
        <f t="shared" si="129"/>
        <v>0</v>
      </c>
      <c r="CP49">
        <f t="shared" si="130"/>
        <v>1</v>
      </c>
      <c r="CQ49">
        <f t="shared" si="131"/>
        <v>1</v>
      </c>
      <c r="CR49">
        <f t="shared" si="132"/>
        <v>1</v>
      </c>
      <c r="CS49">
        <f t="shared" si="133"/>
        <v>1</v>
      </c>
      <c r="CT49">
        <f t="shared" si="134"/>
        <v>1</v>
      </c>
      <c r="CU49">
        <f t="shared" si="135"/>
        <v>1</v>
      </c>
      <c r="CV49">
        <f t="shared" si="136"/>
        <v>0</v>
      </c>
      <c r="CW49">
        <f t="shared" si="137"/>
        <v>0</v>
      </c>
      <c r="CX49">
        <f t="shared" si="138"/>
        <v>0</v>
      </c>
      <c r="CY49">
        <f t="shared" si="139"/>
        <v>0</v>
      </c>
      <c r="CZ49">
        <f t="shared" si="140"/>
        <v>0</v>
      </c>
      <c r="DA49">
        <f t="shared" si="141"/>
        <v>0</v>
      </c>
      <c r="DB49">
        <f t="shared" si="142"/>
        <v>1</v>
      </c>
      <c r="DC49">
        <f t="shared" si="143"/>
        <v>1</v>
      </c>
      <c r="DF49" s="10" t="s">
        <v>37</v>
      </c>
      <c r="DG49" t="str">
        <f t="shared" si="204"/>
        <v>2021_9</v>
      </c>
      <c r="DH49" t="str">
        <f t="shared" si="204"/>
        <v>2021_9</v>
      </c>
      <c r="DI49" t="str">
        <f t="shared" si="204"/>
        <v>2021_9</v>
      </c>
      <c r="DJ49" t="str">
        <f t="shared" si="204"/>
        <v>2021_9</v>
      </c>
      <c r="DK49" t="str">
        <f t="shared" si="204"/>
        <v>2021_9</v>
      </c>
      <c r="DL49" t="str">
        <f t="shared" si="204"/>
        <v>2021_9</v>
      </c>
      <c r="DM49" t="str">
        <f t="shared" si="204"/>
        <v>2021_9</v>
      </c>
      <c r="DN49" t="str">
        <f t="shared" si="204"/>
        <v>2021_9</v>
      </c>
      <c r="DO49" t="str">
        <f t="shared" si="204"/>
        <v>2021_9</v>
      </c>
      <c r="DP49" t="str">
        <f t="shared" si="204"/>
        <v>2021_9</v>
      </c>
      <c r="DQ49" t="str">
        <f t="shared" si="204"/>
        <v>2021_9</v>
      </c>
      <c r="DR49" t="str">
        <f t="shared" si="204"/>
        <v>2021_9</v>
      </c>
      <c r="DS49" t="str">
        <f t="shared" si="204"/>
        <v>2021_9</v>
      </c>
      <c r="DT49" t="str">
        <f t="shared" si="204"/>
        <v>2021_9</v>
      </c>
      <c r="DU49" t="str">
        <f t="shared" si="204"/>
        <v>2021_9</v>
      </c>
      <c r="DV49" t="str">
        <f t="shared" si="203"/>
        <v>2021_9</v>
      </c>
      <c r="DW49" t="str">
        <f t="shared" si="201"/>
        <v>2021_9</v>
      </c>
      <c r="DX49" t="str">
        <f t="shared" si="201"/>
        <v>2021_9</v>
      </c>
      <c r="DY49" t="str">
        <f t="shared" si="201"/>
        <v>2021_9</v>
      </c>
      <c r="DZ49" t="str">
        <f t="shared" si="201"/>
        <v>2021_9</v>
      </c>
      <c r="EA49" t="str">
        <f t="shared" si="201"/>
        <v>2021_9</v>
      </c>
      <c r="EB49" t="str">
        <f t="shared" si="201"/>
        <v>2021_9</v>
      </c>
      <c r="EC49" t="str">
        <f t="shared" si="201"/>
        <v>2021_9</v>
      </c>
      <c r="ED49" t="str">
        <f t="shared" si="201"/>
        <v>2021_9</v>
      </c>
      <c r="EE49" t="str">
        <f t="shared" si="201"/>
        <v>2021_9</v>
      </c>
      <c r="EF49" t="str">
        <f t="shared" si="201"/>
        <v>2021_9</v>
      </c>
      <c r="EG49" t="str">
        <f t="shared" si="201"/>
        <v>2021_9</v>
      </c>
      <c r="EH49" t="str">
        <f t="shared" si="201"/>
        <v>2021_9</v>
      </c>
      <c r="EI49" t="str">
        <f t="shared" si="201"/>
        <v>2021_9</v>
      </c>
      <c r="EJ49" t="str">
        <f t="shared" si="201"/>
        <v>2021_9</v>
      </c>
      <c r="EK49" t="str">
        <f t="shared" si="201"/>
        <v>2021_9</v>
      </c>
      <c r="EL49" t="str">
        <f t="shared" si="201"/>
        <v>2021_9</v>
      </c>
      <c r="EM49" t="str">
        <f t="shared" si="202"/>
        <v>2021_9</v>
      </c>
      <c r="EN49" t="str">
        <f t="shared" si="202"/>
        <v>2021_9</v>
      </c>
      <c r="EO49" t="str">
        <f t="shared" si="202"/>
        <v>2021_9</v>
      </c>
      <c r="EP49" t="str">
        <f t="shared" si="202"/>
        <v>2021_9</v>
      </c>
      <c r="EQ49" t="str">
        <f t="shared" si="202"/>
        <v>2021_9</v>
      </c>
      <c r="ER49" t="str">
        <f t="shared" si="202"/>
        <v>2021_9</v>
      </c>
      <c r="ES49" t="str">
        <f t="shared" si="202"/>
        <v>2021_9</v>
      </c>
      <c r="ET49" t="str">
        <f t="shared" si="202"/>
        <v>2021_9</v>
      </c>
      <c r="EU49" t="str">
        <f t="shared" si="202"/>
        <v>2021_9</v>
      </c>
      <c r="EV49" t="str">
        <f t="shared" si="202"/>
        <v>2021_9</v>
      </c>
      <c r="EW49" t="str">
        <f t="shared" si="202"/>
        <v>2021_9</v>
      </c>
      <c r="EX49" t="str">
        <f t="shared" si="202"/>
        <v>2021_9</v>
      </c>
      <c r="EY49" t="str">
        <f t="shared" si="202"/>
        <v>2021_9</v>
      </c>
      <c r="FB49" s="10" t="s">
        <v>37</v>
      </c>
      <c r="FC49">
        <f t="shared" si="197"/>
        <v>0</v>
      </c>
      <c r="FD49">
        <f t="shared" si="147"/>
        <v>0</v>
      </c>
      <c r="FE49">
        <f t="shared" si="148"/>
        <v>0</v>
      </c>
      <c r="FF49">
        <f t="shared" si="149"/>
        <v>0</v>
      </c>
      <c r="FG49">
        <f t="shared" si="150"/>
        <v>0</v>
      </c>
      <c r="FH49">
        <f t="shared" si="151"/>
        <v>0</v>
      </c>
      <c r="FI49">
        <f t="shared" si="152"/>
        <v>0</v>
      </c>
      <c r="FJ49">
        <f t="shared" si="153"/>
        <v>0</v>
      </c>
      <c r="FK49">
        <f t="shared" si="154"/>
        <v>0</v>
      </c>
      <c r="FL49">
        <f t="shared" si="155"/>
        <v>0</v>
      </c>
      <c r="FM49">
        <f t="shared" si="156"/>
        <v>0</v>
      </c>
      <c r="FN49">
        <f t="shared" si="157"/>
        <v>0</v>
      </c>
      <c r="FO49">
        <f t="shared" si="158"/>
        <v>0</v>
      </c>
      <c r="FP49">
        <f t="shared" si="159"/>
        <v>0</v>
      </c>
      <c r="FQ49">
        <f t="shared" si="160"/>
        <v>0</v>
      </c>
      <c r="FR49">
        <f t="shared" si="161"/>
        <v>0</v>
      </c>
      <c r="FS49">
        <f t="shared" si="162"/>
        <v>0</v>
      </c>
      <c r="FT49">
        <f t="shared" si="163"/>
        <v>1</v>
      </c>
      <c r="FU49">
        <f t="shared" si="164"/>
        <v>1</v>
      </c>
      <c r="FV49">
        <f t="shared" si="165"/>
        <v>1</v>
      </c>
      <c r="FW49">
        <f t="shared" si="166"/>
        <v>1</v>
      </c>
      <c r="FX49">
        <f t="shared" si="167"/>
        <v>1</v>
      </c>
      <c r="FY49">
        <f t="shared" si="168"/>
        <v>1</v>
      </c>
      <c r="FZ49">
        <f t="shared" si="169"/>
        <v>1</v>
      </c>
      <c r="GA49">
        <f t="shared" si="170"/>
        <v>1</v>
      </c>
      <c r="GB49">
        <f t="shared" si="171"/>
        <v>1</v>
      </c>
      <c r="GC49">
        <f t="shared" si="172"/>
        <v>1</v>
      </c>
      <c r="GD49">
        <f t="shared" si="173"/>
        <v>1</v>
      </c>
      <c r="GE49">
        <f t="shared" si="174"/>
        <v>1</v>
      </c>
      <c r="GF49">
        <f t="shared" si="175"/>
        <v>1</v>
      </c>
      <c r="GG49">
        <f t="shared" si="176"/>
        <v>1</v>
      </c>
      <c r="GH49">
        <f t="shared" si="177"/>
        <v>1</v>
      </c>
      <c r="GI49">
        <f t="shared" si="178"/>
        <v>1</v>
      </c>
      <c r="GJ49">
        <f t="shared" si="179"/>
        <v>1</v>
      </c>
      <c r="GK49">
        <f t="shared" si="180"/>
        <v>1</v>
      </c>
      <c r="GL49">
        <f t="shared" si="181"/>
        <v>1</v>
      </c>
      <c r="GM49">
        <f t="shared" si="182"/>
        <v>1</v>
      </c>
      <c r="GN49">
        <f t="shared" si="183"/>
        <v>1</v>
      </c>
      <c r="GO49">
        <f t="shared" si="184"/>
        <v>1</v>
      </c>
      <c r="GP49">
        <f t="shared" si="185"/>
        <v>1</v>
      </c>
      <c r="GQ49">
        <f t="shared" si="186"/>
        <v>1</v>
      </c>
      <c r="GR49">
        <f t="shared" si="187"/>
        <v>1</v>
      </c>
      <c r="GS49">
        <f t="shared" si="188"/>
        <v>1</v>
      </c>
      <c r="GT49">
        <f t="shared" si="189"/>
        <v>1</v>
      </c>
      <c r="GU49">
        <f t="shared" si="190"/>
        <v>1</v>
      </c>
      <c r="GX49" s="10"/>
    </row>
    <row r="50" spans="1:206" x14ac:dyDescent="0.3">
      <c r="A50" s="9" t="s">
        <v>41</v>
      </c>
      <c r="B50" s="80"/>
      <c r="C50" s="9">
        <v>3132533001</v>
      </c>
      <c r="D50" s="9" t="s">
        <v>368</v>
      </c>
      <c r="E50" s="9" t="s">
        <v>39</v>
      </c>
      <c r="F50" s="9" t="s">
        <v>35</v>
      </c>
      <c r="G50" s="9" t="s">
        <v>81</v>
      </c>
      <c r="H50" s="10">
        <v>44455</v>
      </c>
      <c r="I50" s="9">
        <f t="shared" si="191"/>
        <v>2021</v>
      </c>
      <c r="J50" s="9">
        <f t="shared" si="192"/>
        <v>9</v>
      </c>
      <c r="K50" s="9" t="str">
        <f t="shared" si="193"/>
        <v>2021_9</v>
      </c>
      <c r="L50">
        <f>MAX(0,VLOOKUP($K50,lookups!$A$1:$B$45,2,0)-12)</f>
        <v>5</v>
      </c>
      <c r="M50" s="40">
        <f t="shared" si="194"/>
        <v>44440</v>
      </c>
      <c r="N50" s="10" t="s">
        <v>37</v>
      </c>
      <c r="O50" t="str">
        <f ca="1">IF(OR($L50&gt;O$4,O$4&gt;$L50+23),"",OFFSET(Electric!$L41,0,-'Electric Calendarize'!$L50+'Electric Calendarize'!O$4+1))</f>
        <v/>
      </c>
      <c r="P50" t="str">
        <f ca="1">IF(OR($L50&gt;P$4,P$4&gt;$L50+23),"",OFFSET(Electric!$L41,0,-'Electric Calendarize'!$L50+'Electric Calendarize'!P$4+1))</f>
        <v/>
      </c>
      <c r="Q50" t="str">
        <f ca="1">IF(OR($L50&gt;Q$4,Q$4&gt;$L50+23),"",OFFSET(Electric!$L41,0,-'Electric Calendarize'!$L50+'Electric Calendarize'!Q$4+1))</f>
        <v/>
      </c>
      <c r="R50" t="str">
        <f ca="1">IF(OR($L50&gt;R$4,R$4&gt;$L50+23),"",OFFSET(Electric!$L41,0,-'Electric Calendarize'!$L50+'Electric Calendarize'!R$4+1))</f>
        <v/>
      </c>
      <c r="S50" t="str">
        <f ca="1">IF(OR($L50&gt;S$4,S$4&gt;$L50+23),"",OFFSET(Electric!$L41,0,-'Electric Calendarize'!$L50+'Electric Calendarize'!S$4+1))</f>
        <v/>
      </c>
      <c r="T50">
        <f ca="1">IF(OR($L50&gt;T$4,T$4&gt;$L50+23),"",OFFSET(Electric!$L41,0,-'Electric Calendarize'!$L50+'Electric Calendarize'!T$4+1))</f>
        <v>0</v>
      </c>
      <c r="U50">
        <f ca="1">IF(OR($L50&gt;U$4,U$4&gt;$L50+23),"",OFFSET(Electric!$L41,0,-'Electric Calendarize'!$L50+'Electric Calendarize'!U$4+1))</f>
        <v>0</v>
      </c>
      <c r="V50">
        <f ca="1">IF(OR($L50&gt;V$4,V$4&gt;$L50+23),"",OFFSET(Electric!$L41,0,-'Electric Calendarize'!$L50+'Electric Calendarize'!V$4+1))</f>
        <v>0</v>
      </c>
      <c r="W50">
        <f ca="1">IF(OR($L50&gt;W$4,W$4&gt;$L50+23),"",OFFSET(Electric!$L41,0,-'Electric Calendarize'!$L50+'Electric Calendarize'!W$4+1))</f>
        <v>0</v>
      </c>
      <c r="X50">
        <f ca="1">IF(OR($L50&gt;X$4,X$4&gt;$L50+23),"",OFFSET(Electric!$L41,0,-'Electric Calendarize'!$L50+'Electric Calendarize'!X$4+1))</f>
        <v>0</v>
      </c>
      <c r="Y50">
        <f ca="1">IF(OR($L50&gt;Y$4,Y$4&gt;$L50+23),"",OFFSET(Electric!$L41,0,-'Electric Calendarize'!$L50+'Electric Calendarize'!Y$4+1))</f>
        <v>0</v>
      </c>
      <c r="Z50">
        <f ca="1">IF(OR($L50&gt;Z$4,Z$4&gt;$L50+23),"",OFFSET(Electric!$L41,0,-'Electric Calendarize'!$L50+'Electric Calendarize'!Z$4+1))</f>
        <v>0</v>
      </c>
      <c r="AA50">
        <f ca="1">IF(OR($L50&gt;AA$4,AA$4&gt;$L50+23),"",OFFSET(Electric!$L41,0,-'Electric Calendarize'!$L50+'Electric Calendarize'!AA$4+1))</f>
        <v>0</v>
      </c>
      <c r="AB50">
        <f ca="1">IF(OR($L50&gt;AB$4,AB$4&gt;$L50+23),"",OFFSET(Electric!$L41,0,-'Electric Calendarize'!$L50+'Electric Calendarize'!AB$4+1))</f>
        <v>0</v>
      </c>
      <c r="AC50">
        <f ca="1">IF(OR($L50&gt;AC$4,AC$4&gt;$L50+23),"",OFFSET(Electric!$L41,0,-'Electric Calendarize'!$L50+'Electric Calendarize'!AC$4+1))</f>
        <v>988</v>
      </c>
      <c r="AD50">
        <f ca="1">IF(OR($L50&gt;AD$4,AD$4&gt;$L50+23),"",OFFSET(Electric!$L41,0,-'Electric Calendarize'!$L50+'Electric Calendarize'!AD$4+1))</f>
        <v>1282</v>
      </c>
      <c r="AE50">
        <f ca="1">IF(OR($L50&gt;AE$4,AE$4&gt;$L50+23),"",OFFSET(Electric!$L41,0,-'Electric Calendarize'!$L50+'Electric Calendarize'!AE$4+1))</f>
        <v>1523</v>
      </c>
      <c r="AF50">
        <f ca="1">IF(OR($L50&gt;AF$4,AF$4&gt;$L50+23),"",OFFSET(Electric!$L41,0,-'Electric Calendarize'!$L50+'Electric Calendarize'!AF$4+1))</f>
        <v>1388</v>
      </c>
      <c r="AG50">
        <f ca="1">IF(OR($L50&gt;AG$4,AG$4&gt;$L50+23),"",OFFSET(Electric!$L41,0,-'Electric Calendarize'!$L50+'Electric Calendarize'!AG$4+1))</f>
        <v>883</v>
      </c>
      <c r="AH50">
        <f ca="1">IF(OR($L50&gt;AH$4,AH$4&gt;$L50+23),"",OFFSET(Electric!$L41,0,-'Electric Calendarize'!$L50+'Electric Calendarize'!AH$4+1))</f>
        <v>1039</v>
      </c>
      <c r="AI50">
        <f ca="1">IF(OR($L50&gt;AI$4,AI$4&gt;$L50+23),"",OFFSET(Electric!$L41,0,-'Electric Calendarize'!$L50+'Electric Calendarize'!AI$4+1))</f>
        <v>1210</v>
      </c>
      <c r="AJ50">
        <f ca="1">IF(OR($L50&gt;AJ$4,AJ$4&gt;$L50+23),"",OFFSET(Electric!$L41,0,-'Electric Calendarize'!$L50+'Electric Calendarize'!AJ$4+1))</f>
        <v>727</v>
      </c>
      <c r="AK50">
        <f ca="1">IF(OR($L50&gt;AK$4,AK$4&gt;$L50+23),"",OFFSET(Electric!$L41,0,-'Electric Calendarize'!$L50+'Electric Calendarize'!AK$4+1))</f>
        <v>1101</v>
      </c>
      <c r="AL50">
        <f ca="1">IF(OR($L50&gt;AL$4,AL$4&gt;$L50+23),"",OFFSET(Electric!$L41,0,-'Electric Calendarize'!$L50+'Electric Calendarize'!AL$4+1))</f>
        <v>1674</v>
      </c>
      <c r="AM50">
        <f ca="1">IF(OR($L50&gt;AM$4,AM$4&gt;$L50+23),"",OFFSET(Electric!$L41,0,-'Electric Calendarize'!$L50+'Electric Calendarize'!AM$4+1))</f>
        <v>1088</v>
      </c>
      <c r="AN50">
        <f ca="1">IF(OR($L50&gt;AN$4,AN$4&gt;$L50+23),"",OFFSET(Electric!$L41,0,-'Electric Calendarize'!$L50+'Electric Calendarize'!AN$4+1))</f>
        <v>921</v>
      </c>
      <c r="AO50">
        <f ca="1">IF(OR($L50&gt;AO$4,AO$4&gt;$L50+23),"",OFFSET(Electric!$L41,0,-'Electric Calendarize'!$L50+'Electric Calendarize'!AO$4+1))</f>
        <v>1042</v>
      </c>
      <c r="AP50">
        <f ca="1">IF(OR($L50&gt;AP$4,AP$4&gt;$L50+23),"",OFFSET(Electric!$L41,0,-'Electric Calendarize'!$L50+'Electric Calendarize'!AP$4+1))</f>
        <v>1387</v>
      </c>
      <c r="AQ50">
        <f ca="1">IF(OR($L50&gt;AQ$4,AQ$4&gt;$L50+23),"",OFFSET(Electric!$L41,0,-'Electric Calendarize'!$L50+'Electric Calendarize'!AQ$4+1))</f>
        <v>1342</v>
      </c>
      <c r="AR50" t="str">
        <f ca="1">IF(OR($L50&gt;AR$4,AR$4&gt;$L50+23),"",OFFSET(Electric!$L41,0,-'Electric Calendarize'!$L50+'Electric Calendarize'!AR$4+1))</f>
        <v/>
      </c>
      <c r="AS50" t="str">
        <f ca="1">IF(OR($L50&gt;AS$4,AS$4&gt;$L50+23),"",OFFSET(Electric!$L41,0,-'Electric Calendarize'!$L50+'Electric Calendarize'!AS$4+1))</f>
        <v/>
      </c>
      <c r="AT50" t="str">
        <f ca="1">IF(OR($L50&gt;AT$4,AT$4&gt;$L50+23),"",OFFSET(Electric!$L41,0,-'Electric Calendarize'!$L50+'Electric Calendarize'!AT$4+1))</f>
        <v/>
      </c>
      <c r="AU50" t="str">
        <f ca="1">IF(OR($L50&gt;AU$4,AU$4&gt;$L50+23),"",OFFSET(Electric!$L41,0,-'Electric Calendarize'!$L50+'Electric Calendarize'!AU$4+1))</f>
        <v/>
      </c>
      <c r="AV50" t="str">
        <f ca="1">IF(OR($L50&gt;AV$4,AV$4&gt;$L50+23),"",OFFSET(Electric!$L41,0,-'Electric Calendarize'!$L50+'Electric Calendarize'!AV$4+1))</f>
        <v/>
      </c>
      <c r="AW50" t="str">
        <f ca="1">IF(OR($L50&gt;AW$4,AW$4&gt;$L50+23),"",OFFSET(Electric!$L41,0,-'Electric Calendarize'!$L50+'Electric Calendarize'!AW$4+1))</f>
        <v/>
      </c>
      <c r="AX50" t="str">
        <f ca="1">IF(OR($L50&gt;AX$4,AX$4&gt;$L50+23),"",OFFSET(Electric!$L41,0,-'Electric Calendarize'!$L50+'Electric Calendarize'!AX$4+1))</f>
        <v/>
      </c>
      <c r="AY50" t="str">
        <f ca="1">IF(OR($L50&gt;AY$4,AY$4&gt;$L50+23),"",OFFSET(Electric!$L41,0,-'Electric Calendarize'!$L50+'Electric Calendarize'!AY$4+1))</f>
        <v/>
      </c>
      <c r="AZ50" t="str">
        <f ca="1">IF(OR($L50&gt;AZ$4,AZ$4&gt;$L50+23),"",OFFSET(Electric!$L41,0,-'Electric Calendarize'!$L50+'Electric Calendarize'!AZ$4+1))</f>
        <v/>
      </c>
      <c r="BA50" t="str">
        <f ca="1">IF(OR($L50&gt;BA$4,BA$4&gt;$L50+23),"",OFFSET(Electric!$L41,0,-'Electric Calendarize'!$L50+'Electric Calendarize'!BA$4+1))</f>
        <v/>
      </c>
      <c r="BB50" t="str">
        <f ca="1">IF(OR($L50&gt;BB$4,BB$4&gt;$L50+23),"",OFFSET(Electric!$L41,0,-'Electric Calendarize'!$L50+'Electric Calendarize'!BB$4+1))</f>
        <v/>
      </c>
      <c r="BC50" t="str">
        <f ca="1">IF(OR($L50&gt;BC$4,BC$4&gt;$L50+23),"",OFFSET(Electric!$L41,0,-'Electric Calendarize'!$L50+'Electric Calendarize'!BC$4+1))</f>
        <v/>
      </c>
      <c r="BD50" t="str">
        <f ca="1">IF(OR($L50&gt;BD$4,BD$4&gt;$L50+23),"",OFFSET(Electric!$L41,0,-'Electric Calendarize'!$L50+'Electric Calendarize'!BD$4+1))</f>
        <v/>
      </c>
      <c r="BE50" t="str">
        <f ca="1">IF(OR($L50&gt;BE$4,BE$4&gt;$L50+23),"",OFFSET(Electric!$L41,0,-'Electric Calendarize'!$L50+'Electric Calendarize'!BE$4+1))</f>
        <v/>
      </c>
      <c r="BF50" t="str">
        <f ca="1">IF(OR($L50&gt;BF$4,BF$4&gt;$L50+23),"",OFFSET(Electric!$L41,0,-'Electric Calendarize'!$L50+'Electric Calendarize'!BF$4+1))</f>
        <v/>
      </c>
      <c r="BG50" t="str">
        <f ca="1">IF(OR($L50&gt;BG$4,BG$4&gt;$L50+23),"",OFFSET(Electric!$L41,0,-'Electric Calendarize'!$L50+'Electric Calendarize'!BG$4+1))</f>
        <v/>
      </c>
      <c r="BJ50" s="10" t="s">
        <v>37</v>
      </c>
      <c r="BK50">
        <f t="shared" si="195"/>
        <v>1</v>
      </c>
      <c r="BL50">
        <f t="shared" si="100"/>
        <v>0</v>
      </c>
      <c r="BM50">
        <f t="shared" si="101"/>
        <v>0</v>
      </c>
      <c r="BN50">
        <f t="shared" si="102"/>
        <v>0</v>
      </c>
      <c r="BO50">
        <f t="shared" si="103"/>
        <v>0</v>
      </c>
      <c r="BP50">
        <f t="shared" si="104"/>
        <v>0</v>
      </c>
      <c r="BQ50">
        <f t="shared" si="105"/>
        <v>0</v>
      </c>
      <c r="BR50">
        <f t="shared" si="106"/>
        <v>1</v>
      </c>
      <c r="BS50">
        <f t="shared" si="107"/>
        <v>1</v>
      </c>
      <c r="BT50">
        <f t="shared" si="108"/>
        <v>1</v>
      </c>
      <c r="BU50">
        <f t="shared" si="109"/>
        <v>1</v>
      </c>
      <c r="BV50">
        <f t="shared" si="110"/>
        <v>1</v>
      </c>
      <c r="BW50">
        <f t="shared" si="111"/>
        <v>1</v>
      </c>
      <c r="BX50">
        <f t="shared" si="112"/>
        <v>0</v>
      </c>
      <c r="BY50">
        <f t="shared" si="113"/>
        <v>0</v>
      </c>
      <c r="BZ50">
        <f t="shared" si="114"/>
        <v>0</v>
      </c>
      <c r="CA50">
        <f t="shared" si="115"/>
        <v>0</v>
      </c>
      <c r="CB50">
        <f t="shared" si="116"/>
        <v>0</v>
      </c>
      <c r="CC50">
        <f t="shared" si="117"/>
        <v>0</v>
      </c>
      <c r="CD50">
        <f t="shared" si="118"/>
        <v>1</v>
      </c>
      <c r="CE50">
        <f t="shared" si="119"/>
        <v>1</v>
      </c>
      <c r="CF50">
        <f t="shared" si="120"/>
        <v>1</v>
      </c>
      <c r="CG50">
        <f t="shared" si="121"/>
        <v>1</v>
      </c>
      <c r="CH50">
        <f t="shared" si="122"/>
        <v>1</v>
      </c>
      <c r="CI50">
        <f t="shared" si="123"/>
        <v>1</v>
      </c>
      <c r="CJ50">
        <f t="shared" si="124"/>
        <v>0</v>
      </c>
      <c r="CK50">
        <f t="shared" si="125"/>
        <v>0</v>
      </c>
      <c r="CL50">
        <f t="shared" si="126"/>
        <v>0</v>
      </c>
      <c r="CM50">
        <f t="shared" si="127"/>
        <v>0</v>
      </c>
      <c r="CN50">
        <f t="shared" si="128"/>
        <v>0</v>
      </c>
      <c r="CO50">
        <f t="shared" si="129"/>
        <v>0</v>
      </c>
      <c r="CP50">
        <f t="shared" si="130"/>
        <v>1</v>
      </c>
      <c r="CQ50">
        <f t="shared" si="131"/>
        <v>1</v>
      </c>
      <c r="CR50">
        <f t="shared" si="132"/>
        <v>1</v>
      </c>
      <c r="CS50">
        <f t="shared" si="133"/>
        <v>1</v>
      </c>
      <c r="CT50">
        <f t="shared" si="134"/>
        <v>1</v>
      </c>
      <c r="CU50">
        <f t="shared" si="135"/>
        <v>1</v>
      </c>
      <c r="CV50">
        <f t="shared" si="136"/>
        <v>0</v>
      </c>
      <c r="CW50">
        <f t="shared" si="137"/>
        <v>0</v>
      </c>
      <c r="CX50">
        <f t="shared" si="138"/>
        <v>0</v>
      </c>
      <c r="CY50">
        <f t="shared" si="139"/>
        <v>0</v>
      </c>
      <c r="CZ50">
        <f t="shared" si="140"/>
        <v>0</v>
      </c>
      <c r="DA50">
        <f t="shared" si="141"/>
        <v>0</v>
      </c>
      <c r="DB50">
        <f t="shared" si="142"/>
        <v>1</v>
      </c>
      <c r="DC50">
        <f t="shared" si="143"/>
        <v>1</v>
      </c>
      <c r="DF50" s="10" t="s">
        <v>37</v>
      </c>
      <c r="DG50" t="str">
        <f t="shared" si="204"/>
        <v>2021_9</v>
      </c>
      <c r="DH50" t="str">
        <f t="shared" si="204"/>
        <v>2021_9</v>
      </c>
      <c r="DI50" t="str">
        <f t="shared" si="204"/>
        <v>2021_9</v>
      </c>
      <c r="DJ50" t="str">
        <f t="shared" si="204"/>
        <v>2021_9</v>
      </c>
      <c r="DK50" t="str">
        <f t="shared" si="204"/>
        <v>2021_9</v>
      </c>
      <c r="DL50" t="str">
        <f t="shared" si="204"/>
        <v>2021_9</v>
      </c>
      <c r="DM50" t="str">
        <f t="shared" si="204"/>
        <v>2021_9</v>
      </c>
      <c r="DN50" t="str">
        <f t="shared" si="204"/>
        <v>2021_9</v>
      </c>
      <c r="DO50" t="str">
        <f t="shared" si="204"/>
        <v>2021_9</v>
      </c>
      <c r="DP50" t="str">
        <f t="shared" si="204"/>
        <v>2021_9</v>
      </c>
      <c r="DQ50" t="str">
        <f t="shared" si="204"/>
        <v>2021_9</v>
      </c>
      <c r="DR50" t="str">
        <f t="shared" si="204"/>
        <v>2021_9</v>
      </c>
      <c r="DS50" t="str">
        <f t="shared" si="204"/>
        <v>2021_9</v>
      </c>
      <c r="DT50" t="str">
        <f t="shared" si="204"/>
        <v>2021_9</v>
      </c>
      <c r="DU50" t="str">
        <f t="shared" si="204"/>
        <v>2021_9</v>
      </c>
      <c r="DV50" t="str">
        <f t="shared" si="203"/>
        <v>2021_9</v>
      </c>
      <c r="DW50" t="str">
        <f t="shared" si="201"/>
        <v>2021_9</v>
      </c>
      <c r="DX50" t="str">
        <f t="shared" si="201"/>
        <v>2021_9</v>
      </c>
      <c r="DY50" t="str">
        <f t="shared" si="201"/>
        <v>2021_9</v>
      </c>
      <c r="DZ50" t="str">
        <f t="shared" si="201"/>
        <v>2021_9</v>
      </c>
      <c r="EA50" t="str">
        <f t="shared" si="201"/>
        <v>2021_9</v>
      </c>
      <c r="EB50" t="str">
        <f t="shared" si="201"/>
        <v>2021_9</v>
      </c>
      <c r="EC50" t="str">
        <f t="shared" si="201"/>
        <v>2021_9</v>
      </c>
      <c r="ED50" t="str">
        <f t="shared" si="201"/>
        <v>2021_9</v>
      </c>
      <c r="EE50" t="str">
        <f t="shared" si="201"/>
        <v>2021_9</v>
      </c>
      <c r="EF50" t="str">
        <f t="shared" si="201"/>
        <v>2021_9</v>
      </c>
      <c r="EG50" t="str">
        <f t="shared" si="201"/>
        <v>2021_9</v>
      </c>
      <c r="EH50" t="str">
        <f t="shared" si="201"/>
        <v>2021_9</v>
      </c>
      <c r="EI50" t="str">
        <f t="shared" si="201"/>
        <v>2021_9</v>
      </c>
      <c r="EJ50" t="str">
        <f t="shared" si="201"/>
        <v>2021_9</v>
      </c>
      <c r="EK50" t="str">
        <f t="shared" si="201"/>
        <v>2021_9</v>
      </c>
      <c r="EL50" t="str">
        <f t="shared" si="201"/>
        <v>2021_9</v>
      </c>
      <c r="EM50" t="str">
        <f t="shared" si="202"/>
        <v>2021_9</v>
      </c>
      <c r="EN50" t="str">
        <f t="shared" si="202"/>
        <v>2021_9</v>
      </c>
      <c r="EO50" t="str">
        <f t="shared" si="202"/>
        <v>2021_9</v>
      </c>
      <c r="EP50" t="str">
        <f t="shared" si="202"/>
        <v>2021_9</v>
      </c>
      <c r="EQ50" t="str">
        <f t="shared" si="202"/>
        <v>2021_9</v>
      </c>
      <c r="ER50" t="str">
        <f t="shared" si="202"/>
        <v>2021_9</v>
      </c>
      <c r="ES50" t="str">
        <f t="shared" si="202"/>
        <v>2021_9</v>
      </c>
      <c r="ET50" t="str">
        <f t="shared" si="202"/>
        <v>2021_9</v>
      </c>
      <c r="EU50" t="str">
        <f t="shared" si="202"/>
        <v>2021_9</v>
      </c>
      <c r="EV50" t="str">
        <f t="shared" si="202"/>
        <v>2021_9</v>
      </c>
      <c r="EW50" t="str">
        <f t="shared" si="202"/>
        <v>2021_9</v>
      </c>
      <c r="EX50" t="str">
        <f t="shared" si="202"/>
        <v>2021_9</v>
      </c>
      <c r="EY50" t="str">
        <f t="shared" si="202"/>
        <v>2021_9</v>
      </c>
      <c r="FB50" s="10" t="s">
        <v>37</v>
      </c>
      <c r="FC50">
        <f t="shared" si="197"/>
        <v>0</v>
      </c>
      <c r="FD50">
        <f t="shared" si="147"/>
        <v>0</v>
      </c>
      <c r="FE50">
        <f t="shared" si="148"/>
        <v>0</v>
      </c>
      <c r="FF50">
        <f t="shared" si="149"/>
        <v>0</v>
      </c>
      <c r="FG50">
        <f t="shared" si="150"/>
        <v>0</v>
      </c>
      <c r="FH50">
        <f t="shared" si="151"/>
        <v>0</v>
      </c>
      <c r="FI50">
        <f t="shared" si="152"/>
        <v>0</v>
      </c>
      <c r="FJ50">
        <f t="shared" si="153"/>
        <v>0</v>
      </c>
      <c r="FK50">
        <f t="shared" si="154"/>
        <v>0</v>
      </c>
      <c r="FL50">
        <f t="shared" si="155"/>
        <v>0</v>
      </c>
      <c r="FM50">
        <f t="shared" si="156"/>
        <v>0</v>
      </c>
      <c r="FN50">
        <f t="shared" si="157"/>
        <v>0</v>
      </c>
      <c r="FO50">
        <f t="shared" si="158"/>
        <v>0</v>
      </c>
      <c r="FP50">
        <f t="shared" si="159"/>
        <v>0</v>
      </c>
      <c r="FQ50">
        <f t="shared" si="160"/>
        <v>0</v>
      </c>
      <c r="FR50">
        <f t="shared" si="161"/>
        <v>0</v>
      </c>
      <c r="FS50">
        <f t="shared" si="162"/>
        <v>0</v>
      </c>
      <c r="FT50">
        <f t="shared" si="163"/>
        <v>1</v>
      </c>
      <c r="FU50">
        <f t="shared" si="164"/>
        <v>1</v>
      </c>
      <c r="FV50">
        <f t="shared" si="165"/>
        <v>1</v>
      </c>
      <c r="FW50">
        <f t="shared" si="166"/>
        <v>1</v>
      </c>
      <c r="FX50">
        <f t="shared" si="167"/>
        <v>1</v>
      </c>
      <c r="FY50">
        <f t="shared" si="168"/>
        <v>1</v>
      </c>
      <c r="FZ50">
        <f t="shared" si="169"/>
        <v>1</v>
      </c>
      <c r="GA50">
        <f t="shared" si="170"/>
        <v>1</v>
      </c>
      <c r="GB50">
        <f t="shared" si="171"/>
        <v>1</v>
      </c>
      <c r="GC50">
        <f t="shared" si="172"/>
        <v>1</v>
      </c>
      <c r="GD50">
        <f t="shared" si="173"/>
        <v>1</v>
      </c>
      <c r="GE50">
        <f t="shared" si="174"/>
        <v>1</v>
      </c>
      <c r="GF50">
        <f t="shared" si="175"/>
        <v>1</v>
      </c>
      <c r="GG50">
        <f t="shared" si="176"/>
        <v>1</v>
      </c>
      <c r="GH50">
        <f t="shared" si="177"/>
        <v>1</v>
      </c>
      <c r="GI50">
        <f t="shared" si="178"/>
        <v>1</v>
      </c>
      <c r="GJ50">
        <f t="shared" si="179"/>
        <v>1</v>
      </c>
      <c r="GK50">
        <f t="shared" si="180"/>
        <v>1</v>
      </c>
      <c r="GL50">
        <f t="shared" si="181"/>
        <v>1</v>
      </c>
      <c r="GM50">
        <f t="shared" si="182"/>
        <v>1</v>
      </c>
      <c r="GN50">
        <f t="shared" si="183"/>
        <v>1</v>
      </c>
      <c r="GO50">
        <f t="shared" si="184"/>
        <v>1</v>
      </c>
      <c r="GP50">
        <f t="shared" si="185"/>
        <v>1</v>
      </c>
      <c r="GQ50">
        <f t="shared" si="186"/>
        <v>1</v>
      </c>
      <c r="GR50">
        <f t="shared" si="187"/>
        <v>1</v>
      </c>
      <c r="GS50">
        <f t="shared" si="188"/>
        <v>1</v>
      </c>
      <c r="GT50">
        <f t="shared" si="189"/>
        <v>1</v>
      </c>
      <c r="GU50">
        <f t="shared" si="190"/>
        <v>1</v>
      </c>
      <c r="GX50" s="10"/>
    </row>
    <row r="51" spans="1:206" x14ac:dyDescent="0.3">
      <c r="A51" s="9" t="s">
        <v>41</v>
      </c>
      <c r="B51" s="80"/>
      <c r="C51" s="9">
        <v>3020584003</v>
      </c>
      <c r="D51" s="9" t="s">
        <v>384</v>
      </c>
      <c r="E51" s="9" t="s">
        <v>34</v>
      </c>
      <c r="F51" s="9" t="s">
        <v>35</v>
      </c>
      <c r="G51" s="9" t="s">
        <v>82</v>
      </c>
      <c r="H51" s="10">
        <v>44456</v>
      </c>
      <c r="I51" s="9">
        <f t="shared" si="191"/>
        <v>2021</v>
      </c>
      <c r="J51" s="9">
        <f t="shared" si="192"/>
        <v>9</v>
      </c>
      <c r="K51" s="9" t="str">
        <f t="shared" si="193"/>
        <v>2021_9</v>
      </c>
      <c r="L51">
        <f>MAX(0,VLOOKUP($K51,lookups!$A$1:$B$45,2,0)-12)</f>
        <v>5</v>
      </c>
      <c r="M51" s="40">
        <f t="shared" si="194"/>
        <v>44440</v>
      </c>
      <c r="N51" s="10" t="s">
        <v>37</v>
      </c>
      <c r="O51" t="str">
        <f ca="1">IF(OR($L51&gt;O$4,O$4&gt;$L51+23),"",OFFSET(Electric!$L42,0,-'Electric Calendarize'!$L51+'Electric Calendarize'!O$4+1))</f>
        <v/>
      </c>
      <c r="P51" t="str">
        <f ca="1">IF(OR($L51&gt;P$4,P$4&gt;$L51+23),"",OFFSET(Electric!$L42,0,-'Electric Calendarize'!$L51+'Electric Calendarize'!P$4+1))</f>
        <v/>
      </c>
      <c r="Q51" t="str">
        <f ca="1">IF(OR($L51&gt;Q$4,Q$4&gt;$L51+23),"",OFFSET(Electric!$L42,0,-'Electric Calendarize'!$L51+'Electric Calendarize'!Q$4+1))</f>
        <v/>
      </c>
      <c r="R51" t="str">
        <f ca="1">IF(OR($L51&gt;R$4,R$4&gt;$L51+23),"",OFFSET(Electric!$L42,0,-'Electric Calendarize'!$L51+'Electric Calendarize'!R$4+1))</f>
        <v/>
      </c>
      <c r="S51" t="str">
        <f ca="1">IF(OR($L51&gt;S$4,S$4&gt;$L51+23),"",OFFSET(Electric!$L42,0,-'Electric Calendarize'!$L51+'Electric Calendarize'!S$4+1))</f>
        <v/>
      </c>
      <c r="T51">
        <f ca="1">IF(OR($L51&gt;T$4,T$4&gt;$L51+23),"",OFFSET(Electric!$L42,0,-'Electric Calendarize'!$L51+'Electric Calendarize'!T$4+1))</f>
        <v>972</v>
      </c>
      <c r="U51">
        <f ca="1">IF(OR($L51&gt;U$4,U$4&gt;$L51+23),"",OFFSET(Electric!$L42,0,-'Electric Calendarize'!$L51+'Electric Calendarize'!U$4+1))</f>
        <v>520</v>
      </c>
      <c r="V51">
        <f ca="1">IF(OR($L51&gt;V$4,V$4&gt;$L51+23),"",OFFSET(Electric!$L42,0,-'Electric Calendarize'!$L51+'Electric Calendarize'!V$4+1))</f>
        <v>384</v>
      </c>
      <c r="W51">
        <f ca="1">IF(OR($L51&gt;W$4,W$4&gt;$L51+23),"",OFFSET(Electric!$L42,0,-'Electric Calendarize'!$L51+'Electric Calendarize'!W$4+1))</f>
        <v>516</v>
      </c>
      <c r="X51">
        <f ca="1">IF(OR($L51&gt;X$4,X$4&gt;$L51+23),"",OFFSET(Electric!$L42,0,-'Electric Calendarize'!$L51+'Electric Calendarize'!X$4+1))</f>
        <v>577</v>
      </c>
      <c r="Y51">
        <f ca="1">IF(OR($L51&gt;Y$4,Y$4&gt;$L51+23),"",OFFSET(Electric!$L42,0,-'Electric Calendarize'!$L51+'Electric Calendarize'!Y$4+1))</f>
        <v>501</v>
      </c>
      <c r="Z51">
        <f ca="1">IF(OR($L51&gt;Z$4,Z$4&gt;$L51+23),"",OFFSET(Electric!$L42,0,-'Electric Calendarize'!$L51+'Electric Calendarize'!Z$4+1))</f>
        <v>560</v>
      </c>
      <c r="AA51">
        <f ca="1">IF(OR($L51&gt;AA$4,AA$4&gt;$L51+23),"",OFFSET(Electric!$L42,0,-'Electric Calendarize'!$L51+'Electric Calendarize'!AA$4+1))</f>
        <v>405</v>
      </c>
      <c r="AB51">
        <f ca="1">IF(OR($L51&gt;AB$4,AB$4&gt;$L51+23),"",OFFSET(Electric!$L42,0,-'Electric Calendarize'!$L51+'Electric Calendarize'!AB$4+1))</f>
        <v>394</v>
      </c>
      <c r="AC51">
        <f ca="1">IF(OR($L51&gt;AC$4,AC$4&gt;$L51+23),"",OFFSET(Electric!$L42,0,-'Electric Calendarize'!$L51+'Electric Calendarize'!AC$4+1))</f>
        <v>561</v>
      </c>
      <c r="AD51">
        <f ca="1">IF(OR($L51&gt;AD$4,AD$4&gt;$L51+23),"",OFFSET(Electric!$L42,0,-'Electric Calendarize'!$L51+'Electric Calendarize'!AD$4+1))</f>
        <v>1077</v>
      </c>
      <c r="AE51">
        <f ca="1">IF(OR($L51&gt;AE$4,AE$4&gt;$L51+23),"",OFFSET(Electric!$L42,0,-'Electric Calendarize'!$L51+'Electric Calendarize'!AE$4+1))</f>
        <v>980</v>
      </c>
      <c r="AF51">
        <f ca="1">IF(OR($L51&gt;AF$4,AF$4&gt;$L51+23),"",OFFSET(Electric!$L42,0,-'Electric Calendarize'!$L51+'Electric Calendarize'!AF$4+1))</f>
        <v>1298</v>
      </c>
      <c r="AG51">
        <f ca="1">IF(OR($L51&gt;AG$4,AG$4&gt;$L51+23),"",OFFSET(Electric!$L42,0,-'Electric Calendarize'!$L51+'Electric Calendarize'!AG$4+1))</f>
        <v>493</v>
      </c>
      <c r="AH51">
        <f ca="1">IF(OR($L51&gt;AH$4,AH$4&gt;$L51+23),"",OFFSET(Electric!$L42,0,-'Electric Calendarize'!$L51+'Electric Calendarize'!AH$4+1))</f>
        <v>360</v>
      </c>
      <c r="AI51">
        <f ca="1">IF(OR($L51&gt;AI$4,AI$4&gt;$L51+23),"",OFFSET(Electric!$L42,0,-'Electric Calendarize'!$L51+'Electric Calendarize'!AI$4+1))</f>
        <v>487</v>
      </c>
      <c r="AJ51">
        <f ca="1">IF(OR($L51&gt;AJ$4,AJ$4&gt;$L51+23),"",OFFSET(Electric!$L42,0,-'Electric Calendarize'!$L51+'Electric Calendarize'!AJ$4+1))</f>
        <v>475</v>
      </c>
      <c r="AK51">
        <f ca="1">IF(OR($L51&gt;AK$4,AK$4&gt;$L51+23),"",OFFSET(Electric!$L42,0,-'Electric Calendarize'!$L51+'Electric Calendarize'!AK$4+1))</f>
        <v>504</v>
      </c>
      <c r="AL51">
        <f ca="1">IF(OR($L51&gt;AL$4,AL$4&gt;$L51+23),"",OFFSET(Electric!$L42,0,-'Electric Calendarize'!$L51+'Electric Calendarize'!AL$4+1))</f>
        <v>373</v>
      </c>
      <c r="AM51">
        <f ca="1">IF(OR($L51&gt;AM$4,AM$4&gt;$L51+23),"",OFFSET(Electric!$L42,0,-'Electric Calendarize'!$L51+'Electric Calendarize'!AM$4+1))</f>
        <v>354</v>
      </c>
      <c r="AN51">
        <f ca="1">IF(OR($L51&gt;AN$4,AN$4&gt;$L51+23),"",OFFSET(Electric!$L42,0,-'Electric Calendarize'!$L51+'Electric Calendarize'!AN$4+1))</f>
        <v>388</v>
      </c>
      <c r="AO51">
        <f ca="1">IF(OR($L51&gt;AO$4,AO$4&gt;$L51+23),"",OFFSET(Electric!$L42,0,-'Electric Calendarize'!$L51+'Electric Calendarize'!AO$4+1))</f>
        <v>405</v>
      </c>
      <c r="AP51">
        <f ca="1">IF(OR($L51&gt;AP$4,AP$4&gt;$L51+23),"",OFFSET(Electric!$L42,0,-'Electric Calendarize'!$L51+'Electric Calendarize'!AP$4+1))</f>
        <v>530</v>
      </c>
      <c r="AQ51">
        <f ca="1">IF(OR($L51&gt;AQ$4,AQ$4&gt;$L51+23),"",OFFSET(Electric!$L42,0,-'Electric Calendarize'!$L51+'Electric Calendarize'!AQ$4+1))</f>
        <v>1025</v>
      </c>
      <c r="AR51" t="str">
        <f ca="1">IF(OR($L51&gt;AR$4,AR$4&gt;$L51+23),"",OFFSET(Electric!$L42,0,-'Electric Calendarize'!$L51+'Electric Calendarize'!AR$4+1))</f>
        <v/>
      </c>
      <c r="AS51" t="str">
        <f ca="1">IF(OR($L51&gt;AS$4,AS$4&gt;$L51+23),"",OFFSET(Electric!$L42,0,-'Electric Calendarize'!$L51+'Electric Calendarize'!AS$4+1))</f>
        <v/>
      </c>
      <c r="AT51" t="str">
        <f ca="1">IF(OR($L51&gt;AT$4,AT$4&gt;$L51+23),"",OFFSET(Electric!$L42,0,-'Electric Calendarize'!$L51+'Electric Calendarize'!AT$4+1))</f>
        <v/>
      </c>
      <c r="AU51" t="str">
        <f ca="1">IF(OR($L51&gt;AU$4,AU$4&gt;$L51+23),"",OFFSET(Electric!$L42,0,-'Electric Calendarize'!$L51+'Electric Calendarize'!AU$4+1))</f>
        <v/>
      </c>
      <c r="AV51" t="str">
        <f ca="1">IF(OR($L51&gt;AV$4,AV$4&gt;$L51+23),"",OFFSET(Electric!$L42,0,-'Electric Calendarize'!$L51+'Electric Calendarize'!AV$4+1))</f>
        <v/>
      </c>
      <c r="AW51" t="str">
        <f ca="1">IF(OR($L51&gt;AW$4,AW$4&gt;$L51+23),"",OFFSET(Electric!$L42,0,-'Electric Calendarize'!$L51+'Electric Calendarize'!AW$4+1))</f>
        <v/>
      </c>
      <c r="AX51" t="str">
        <f ca="1">IF(OR($L51&gt;AX$4,AX$4&gt;$L51+23),"",OFFSET(Electric!$L42,0,-'Electric Calendarize'!$L51+'Electric Calendarize'!AX$4+1))</f>
        <v/>
      </c>
      <c r="AY51" t="str">
        <f ca="1">IF(OR($L51&gt;AY$4,AY$4&gt;$L51+23),"",OFFSET(Electric!$L42,0,-'Electric Calendarize'!$L51+'Electric Calendarize'!AY$4+1))</f>
        <v/>
      </c>
      <c r="AZ51" t="str">
        <f ca="1">IF(OR($L51&gt;AZ$4,AZ$4&gt;$L51+23),"",OFFSET(Electric!$L42,0,-'Electric Calendarize'!$L51+'Electric Calendarize'!AZ$4+1))</f>
        <v/>
      </c>
      <c r="BA51" t="str">
        <f ca="1">IF(OR($L51&gt;BA$4,BA$4&gt;$L51+23),"",OFFSET(Electric!$L42,0,-'Electric Calendarize'!$L51+'Electric Calendarize'!BA$4+1))</f>
        <v/>
      </c>
      <c r="BB51" t="str">
        <f ca="1">IF(OR($L51&gt;BB$4,BB$4&gt;$L51+23),"",OFFSET(Electric!$L42,0,-'Electric Calendarize'!$L51+'Electric Calendarize'!BB$4+1))</f>
        <v/>
      </c>
      <c r="BC51" t="str">
        <f ca="1">IF(OR($L51&gt;BC$4,BC$4&gt;$L51+23),"",OFFSET(Electric!$L42,0,-'Electric Calendarize'!$L51+'Electric Calendarize'!BC$4+1))</f>
        <v/>
      </c>
      <c r="BD51" t="str">
        <f ca="1">IF(OR($L51&gt;BD$4,BD$4&gt;$L51+23),"",OFFSET(Electric!$L42,0,-'Electric Calendarize'!$L51+'Electric Calendarize'!BD$4+1))</f>
        <v/>
      </c>
      <c r="BE51" t="str">
        <f ca="1">IF(OR($L51&gt;BE$4,BE$4&gt;$L51+23),"",OFFSET(Electric!$L42,0,-'Electric Calendarize'!$L51+'Electric Calendarize'!BE$4+1))</f>
        <v/>
      </c>
      <c r="BF51" t="str">
        <f ca="1">IF(OR($L51&gt;BF$4,BF$4&gt;$L51+23),"",OFFSET(Electric!$L42,0,-'Electric Calendarize'!$L51+'Electric Calendarize'!BF$4+1))</f>
        <v/>
      </c>
      <c r="BG51" t="str">
        <f ca="1">IF(OR($L51&gt;BG$4,BG$4&gt;$L51+23),"",OFFSET(Electric!$L42,0,-'Electric Calendarize'!$L51+'Electric Calendarize'!BG$4+1))</f>
        <v/>
      </c>
      <c r="BJ51" s="10" t="s">
        <v>37</v>
      </c>
      <c r="BK51">
        <f t="shared" si="195"/>
        <v>1</v>
      </c>
      <c r="BL51">
        <f t="shared" si="100"/>
        <v>0</v>
      </c>
      <c r="BM51">
        <f t="shared" si="101"/>
        <v>0</v>
      </c>
      <c r="BN51">
        <f t="shared" si="102"/>
        <v>0</v>
      </c>
      <c r="BO51">
        <f t="shared" si="103"/>
        <v>0</v>
      </c>
      <c r="BP51">
        <f t="shared" si="104"/>
        <v>0</v>
      </c>
      <c r="BQ51">
        <f t="shared" si="105"/>
        <v>0</v>
      </c>
      <c r="BR51">
        <f t="shared" si="106"/>
        <v>1</v>
      </c>
      <c r="BS51">
        <f t="shared" si="107"/>
        <v>1</v>
      </c>
      <c r="BT51">
        <f t="shared" si="108"/>
        <v>1</v>
      </c>
      <c r="BU51">
        <f t="shared" si="109"/>
        <v>1</v>
      </c>
      <c r="BV51">
        <f t="shared" si="110"/>
        <v>1</v>
      </c>
      <c r="BW51">
        <f t="shared" si="111"/>
        <v>1</v>
      </c>
      <c r="BX51">
        <f t="shared" si="112"/>
        <v>0</v>
      </c>
      <c r="BY51">
        <f t="shared" si="113"/>
        <v>0</v>
      </c>
      <c r="BZ51">
        <f t="shared" si="114"/>
        <v>0</v>
      </c>
      <c r="CA51">
        <f t="shared" si="115"/>
        <v>0</v>
      </c>
      <c r="CB51">
        <f t="shared" si="116"/>
        <v>0</v>
      </c>
      <c r="CC51">
        <f t="shared" si="117"/>
        <v>0</v>
      </c>
      <c r="CD51">
        <f t="shared" si="118"/>
        <v>1</v>
      </c>
      <c r="CE51">
        <f t="shared" si="119"/>
        <v>1</v>
      </c>
      <c r="CF51">
        <f t="shared" si="120"/>
        <v>1</v>
      </c>
      <c r="CG51">
        <f t="shared" si="121"/>
        <v>1</v>
      </c>
      <c r="CH51">
        <f t="shared" si="122"/>
        <v>1</v>
      </c>
      <c r="CI51">
        <f t="shared" si="123"/>
        <v>1</v>
      </c>
      <c r="CJ51">
        <f t="shared" si="124"/>
        <v>0</v>
      </c>
      <c r="CK51">
        <f t="shared" si="125"/>
        <v>0</v>
      </c>
      <c r="CL51">
        <f t="shared" si="126"/>
        <v>0</v>
      </c>
      <c r="CM51">
        <f t="shared" si="127"/>
        <v>0</v>
      </c>
      <c r="CN51">
        <f t="shared" si="128"/>
        <v>0</v>
      </c>
      <c r="CO51">
        <f t="shared" si="129"/>
        <v>0</v>
      </c>
      <c r="CP51">
        <f t="shared" si="130"/>
        <v>1</v>
      </c>
      <c r="CQ51">
        <f t="shared" si="131"/>
        <v>1</v>
      </c>
      <c r="CR51">
        <f t="shared" si="132"/>
        <v>1</v>
      </c>
      <c r="CS51">
        <f t="shared" si="133"/>
        <v>1</v>
      </c>
      <c r="CT51">
        <f t="shared" si="134"/>
        <v>1</v>
      </c>
      <c r="CU51">
        <f t="shared" si="135"/>
        <v>1</v>
      </c>
      <c r="CV51">
        <f t="shared" si="136"/>
        <v>0</v>
      </c>
      <c r="CW51">
        <f t="shared" si="137"/>
        <v>0</v>
      </c>
      <c r="CX51">
        <f t="shared" si="138"/>
        <v>0</v>
      </c>
      <c r="CY51">
        <f t="shared" si="139"/>
        <v>0</v>
      </c>
      <c r="CZ51">
        <f t="shared" si="140"/>
        <v>0</v>
      </c>
      <c r="DA51">
        <f t="shared" si="141"/>
        <v>0</v>
      </c>
      <c r="DB51">
        <f t="shared" si="142"/>
        <v>1</v>
      </c>
      <c r="DC51">
        <f t="shared" si="143"/>
        <v>1</v>
      </c>
      <c r="DF51" s="10" t="s">
        <v>37</v>
      </c>
      <c r="DG51" t="str">
        <f t="shared" si="204"/>
        <v>2021_9</v>
      </c>
      <c r="DH51" t="str">
        <f t="shared" si="204"/>
        <v>2021_9</v>
      </c>
      <c r="DI51" t="str">
        <f t="shared" si="204"/>
        <v>2021_9</v>
      </c>
      <c r="DJ51" t="str">
        <f t="shared" si="204"/>
        <v>2021_9</v>
      </c>
      <c r="DK51" t="str">
        <f t="shared" si="204"/>
        <v>2021_9</v>
      </c>
      <c r="DL51" t="str">
        <f t="shared" si="204"/>
        <v>2021_9</v>
      </c>
      <c r="DM51" t="str">
        <f t="shared" si="204"/>
        <v>2021_9</v>
      </c>
      <c r="DN51" t="str">
        <f t="shared" si="204"/>
        <v>2021_9</v>
      </c>
      <c r="DO51" t="str">
        <f t="shared" si="204"/>
        <v>2021_9</v>
      </c>
      <c r="DP51" t="str">
        <f t="shared" si="204"/>
        <v>2021_9</v>
      </c>
      <c r="DQ51" t="str">
        <f t="shared" si="204"/>
        <v>2021_9</v>
      </c>
      <c r="DR51" t="str">
        <f t="shared" si="204"/>
        <v>2021_9</v>
      </c>
      <c r="DS51" t="str">
        <f t="shared" si="204"/>
        <v>2021_9</v>
      </c>
      <c r="DT51" t="str">
        <f t="shared" si="204"/>
        <v>2021_9</v>
      </c>
      <c r="DU51" t="str">
        <f t="shared" si="204"/>
        <v>2021_9</v>
      </c>
      <c r="DV51" t="str">
        <f t="shared" si="203"/>
        <v>2021_9</v>
      </c>
      <c r="DW51" t="str">
        <f t="shared" si="201"/>
        <v>2021_9</v>
      </c>
      <c r="DX51" t="str">
        <f t="shared" si="201"/>
        <v>2021_9</v>
      </c>
      <c r="DY51" t="str">
        <f t="shared" si="201"/>
        <v>2021_9</v>
      </c>
      <c r="DZ51" t="str">
        <f t="shared" si="201"/>
        <v>2021_9</v>
      </c>
      <c r="EA51" t="str">
        <f t="shared" si="201"/>
        <v>2021_9</v>
      </c>
      <c r="EB51" t="str">
        <f t="shared" si="201"/>
        <v>2021_9</v>
      </c>
      <c r="EC51" t="str">
        <f t="shared" si="201"/>
        <v>2021_9</v>
      </c>
      <c r="ED51" t="str">
        <f t="shared" si="201"/>
        <v>2021_9</v>
      </c>
      <c r="EE51" t="str">
        <f t="shared" si="201"/>
        <v>2021_9</v>
      </c>
      <c r="EF51" t="str">
        <f t="shared" si="201"/>
        <v>2021_9</v>
      </c>
      <c r="EG51" t="str">
        <f t="shared" si="201"/>
        <v>2021_9</v>
      </c>
      <c r="EH51" t="str">
        <f t="shared" si="201"/>
        <v>2021_9</v>
      </c>
      <c r="EI51" t="str">
        <f t="shared" si="201"/>
        <v>2021_9</v>
      </c>
      <c r="EJ51" t="str">
        <f t="shared" si="201"/>
        <v>2021_9</v>
      </c>
      <c r="EK51" t="str">
        <f t="shared" si="201"/>
        <v>2021_9</v>
      </c>
      <c r="EL51" t="str">
        <f t="shared" si="201"/>
        <v>2021_9</v>
      </c>
      <c r="EM51" t="str">
        <f t="shared" si="202"/>
        <v>2021_9</v>
      </c>
      <c r="EN51" t="str">
        <f t="shared" si="202"/>
        <v>2021_9</v>
      </c>
      <c r="EO51" t="str">
        <f t="shared" si="202"/>
        <v>2021_9</v>
      </c>
      <c r="EP51" t="str">
        <f t="shared" si="202"/>
        <v>2021_9</v>
      </c>
      <c r="EQ51" t="str">
        <f t="shared" si="202"/>
        <v>2021_9</v>
      </c>
      <c r="ER51" t="str">
        <f t="shared" si="202"/>
        <v>2021_9</v>
      </c>
      <c r="ES51" t="str">
        <f t="shared" si="202"/>
        <v>2021_9</v>
      </c>
      <c r="ET51" t="str">
        <f t="shared" si="202"/>
        <v>2021_9</v>
      </c>
      <c r="EU51" t="str">
        <f t="shared" si="202"/>
        <v>2021_9</v>
      </c>
      <c r="EV51" t="str">
        <f t="shared" si="202"/>
        <v>2021_9</v>
      </c>
      <c r="EW51" t="str">
        <f t="shared" si="202"/>
        <v>2021_9</v>
      </c>
      <c r="EX51" t="str">
        <f t="shared" si="202"/>
        <v>2021_9</v>
      </c>
      <c r="EY51" t="str">
        <f t="shared" si="202"/>
        <v>2021_9</v>
      </c>
      <c r="FB51" s="10" t="s">
        <v>37</v>
      </c>
      <c r="FC51">
        <f t="shared" si="197"/>
        <v>0</v>
      </c>
      <c r="FD51">
        <f t="shared" si="147"/>
        <v>0</v>
      </c>
      <c r="FE51">
        <f t="shared" si="148"/>
        <v>0</v>
      </c>
      <c r="FF51">
        <f t="shared" si="149"/>
        <v>0</v>
      </c>
      <c r="FG51">
        <f t="shared" si="150"/>
        <v>0</v>
      </c>
      <c r="FH51">
        <f t="shared" si="151"/>
        <v>0</v>
      </c>
      <c r="FI51">
        <f t="shared" si="152"/>
        <v>0</v>
      </c>
      <c r="FJ51">
        <f t="shared" si="153"/>
        <v>0</v>
      </c>
      <c r="FK51">
        <f t="shared" si="154"/>
        <v>0</v>
      </c>
      <c r="FL51">
        <f t="shared" si="155"/>
        <v>0</v>
      </c>
      <c r="FM51">
        <f t="shared" si="156"/>
        <v>0</v>
      </c>
      <c r="FN51">
        <f t="shared" si="157"/>
        <v>0</v>
      </c>
      <c r="FO51">
        <f t="shared" si="158"/>
        <v>0</v>
      </c>
      <c r="FP51">
        <f t="shared" si="159"/>
        <v>0</v>
      </c>
      <c r="FQ51">
        <f t="shared" si="160"/>
        <v>0</v>
      </c>
      <c r="FR51">
        <f t="shared" si="161"/>
        <v>0</v>
      </c>
      <c r="FS51">
        <f t="shared" si="162"/>
        <v>0</v>
      </c>
      <c r="FT51">
        <f t="shared" si="163"/>
        <v>1</v>
      </c>
      <c r="FU51">
        <f t="shared" si="164"/>
        <v>1</v>
      </c>
      <c r="FV51">
        <f t="shared" si="165"/>
        <v>1</v>
      </c>
      <c r="FW51">
        <f t="shared" si="166"/>
        <v>1</v>
      </c>
      <c r="FX51">
        <f t="shared" si="167"/>
        <v>1</v>
      </c>
      <c r="FY51">
        <f t="shared" si="168"/>
        <v>1</v>
      </c>
      <c r="FZ51">
        <f t="shared" si="169"/>
        <v>1</v>
      </c>
      <c r="GA51">
        <f t="shared" si="170"/>
        <v>1</v>
      </c>
      <c r="GB51">
        <f t="shared" si="171"/>
        <v>1</v>
      </c>
      <c r="GC51">
        <f t="shared" si="172"/>
        <v>1</v>
      </c>
      <c r="GD51">
        <f t="shared" si="173"/>
        <v>1</v>
      </c>
      <c r="GE51">
        <f t="shared" si="174"/>
        <v>1</v>
      </c>
      <c r="GF51">
        <f t="shared" si="175"/>
        <v>1</v>
      </c>
      <c r="GG51">
        <f t="shared" si="176"/>
        <v>1</v>
      </c>
      <c r="GH51">
        <f t="shared" si="177"/>
        <v>1</v>
      </c>
      <c r="GI51">
        <f t="shared" si="178"/>
        <v>1</v>
      </c>
      <c r="GJ51">
        <f t="shared" si="179"/>
        <v>1</v>
      </c>
      <c r="GK51">
        <f t="shared" si="180"/>
        <v>1</v>
      </c>
      <c r="GL51">
        <f t="shared" si="181"/>
        <v>1</v>
      </c>
      <c r="GM51">
        <f t="shared" si="182"/>
        <v>1</v>
      </c>
      <c r="GN51">
        <f t="shared" si="183"/>
        <v>1</v>
      </c>
      <c r="GO51">
        <f t="shared" si="184"/>
        <v>1</v>
      </c>
      <c r="GP51">
        <f t="shared" si="185"/>
        <v>1</v>
      </c>
      <c r="GQ51">
        <f t="shared" si="186"/>
        <v>1</v>
      </c>
      <c r="GR51">
        <f t="shared" si="187"/>
        <v>1</v>
      </c>
      <c r="GS51">
        <f t="shared" si="188"/>
        <v>1</v>
      </c>
      <c r="GT51">
        <f t="shared" si="189"/>
        <v>1</v>
      </c>
      <c r="GU51">
        <f t="shared" si="190"/>
        <v>1</v>
      </c>
      <c r="GX51" s="10"/>
    </row>
    <row r="52" spans="1:206" x14ac:dyDescent="0.3">
      <c r="A52" s="9" t="s">
        <v>41</v>
      </c>
      <c r="B52" s="80"/>
      <c r="C52" s="9">
        <v>3140630000</v>
      </c>
      <c r="D52" s="9" t="s">
        <v>385</v>
      </c>
      <c r="E52" s="9" t="s">
        <v>43</v>
      </c>
      <c r="F52" s="9" t="s">
        <v>35</v>
      </c>
      <c r="G52" s="9" t="s">
        <v>83</v>
      </c>
      <c r="H52" s="10">
        <v>44461</v>
      </c>
      <c r="I52" s="9">
        <f t="shared" si="191"/>
        <v>2021</v>
      </c>
      <c r="J52" s="9">
        <f t="shared" si="192"/>
        <v>9</v>
      </c>
      <c r="K52" s="9" t="str">
        <f t="shared" si="193"/>
        <v>2021_9</v>
      </c>
      <c r="L52">
        <f>MAX(0,VLOOKUP($K52,lookups!$A$1:$B$45,2,0)-12)</f>
        <v>5</v>
      </c>
      <c r="M52" s="40">
        <f t="shared" si="194"/>
        <v>44440</v>
      </c>
      <c r="N52" s="10" t="s">
        <v>37</v>
      </c>
      <c r="O52" t="str">
        <f ca="1">IF(OR($L52&gt;O$4,O$4&gt;$L52+23),"",OFFSET(Electric!$L43,0,-'Electric Calendarize'!$L52+'Electric Calendarize'!O$4+1))</f>
        <v/>
      </c>
      <c r="P52" t="str">
        <f ca="1">IF(OR($L52&gt;P$4,P$4&gt;$L52+23),"",OFFSET(Electric!$L43,0,-'Electric Calendarize'!$L52+'Electric Calendarize'!P$4+1))</f>
        <v/>
      </c>
      <c r="Q52" t="str">
        <f ca="1">IF(OR($L52&gt;Q$4,Q$4&gt;$L52+23),"",OFFSET(Electric!$L43,0,-'Electric Calendarize'!$L52+'Electric Calendarize'!Q$4+1))</f>
        <v/>
      </c>
      <c r="R52" t="str">
        <f ca="1">IF(OR($L52&gt;R$4,R$4&gt;$L52+23),"",OFFSET(Electric!$L43,0,-'Electric Calendarize'!$L52+'Electric Calendarize'!R$4+1))</f>
        <v/>
      </c>
      <c r="S52" t="str">
        <f ca="1">IF(OR($L52&gt;S$4,S$4&gt;$L52+23),"",OFFSET(Electric!$L43,0,-'Electric Calendarize'!$L52+'Electric Calendarize'!S$4+1))</f>
        <v/>
      </c>
      <c r="T52">
        <f ca="1">IF(OR($L52&gt;T$4,T$4&gt;$L52+23),"",OFFSET(Electric!$L43,0,-'Electric Calendarize'!$L52+'Electric Calendarize'!T$4+1))</f>
        <v>566</v>
      </c>
      <c r="U52">
        <f ca="1">IF(OR($L52&gt;U$4,U$4&gt;$L52+23),"",OFFSET(Electric!$L43,0,-'Electric Calendarize'!$L52+'Electric Calendarize'!U$4+1))</f>
        <v>431</v>
      </c>
      <c r="V52">
        <f ca="1">IF(OR($L52&gt;V$4,V$4&gt;$L52+23),"",OFFSET(Electric!$L43,0,-'Electric Calendarize'!$L52+'Electric Calendarize'!V$4+1))</f>
        <v>426</v>
      </c>
      <c r="W52">
        <f ca="1">IF(OR($L52&gt;W$4,W$4&gt;$L52+23),"",OFFSET(Electric!$L43,0,-'Electric Calendarize'!$L52+'Electric Calendarize'!W$4+1))</f>
        <v>899</v>
      </c>
      <c r="X52">
        <f ca="1">IF(OR($L52&gt;X$4,X$4&gt;$L52+23),"",OFFSET(Electric!$L43,0,-'Electric Calendarize'!$L52+'Electric Calendarize'!X$4+1))</f>
        <v>820</v>
      </c>
      <c r="Y52">
        <f ca="1">IF(OR($L52&gt;Y$4,Y$4&gt;$L52+23),"",OFFSET(Electric!$L43,0,-'Electric Calendarize'!$L52+'Electric Calendarize'!Y$4+1))</f>
        <v>877</v>
      </c>
      <c r="Z52">
        <f ca="1">IF(OR($L52&gt;Z$4,Z$4&gt;$L52+23),"",OFFSET(Electric!$L43,0,-'Electric Calendarize'!$L52+'Electric Calendarize'!Z$4+1))</f>
        <v>699</v>
      </c>
      <c r="AA52">
        <f ca="1">IF(OR($L52&gt;AA$4,AA$4&gt;$L52+23),"",OFFSET(Electric!$L43,0,-'Electric Calendarize'!$L52+'Electric Calendarize'!AA$4+1))</f>
        <v>390</v>
      </c>
      <c r="AB52">
        <f ca="1">IF(OR($L52&gt;AB$4,AB$4&gt;$L52+23),"",OFFSET(Electric!$L43,0,-'Electric Calendarize'!$L52+'Electric Calendarize'!AB$4+1))</f>
        <v>476</v>
      </c>
      <c r="AC52">
        <f ca="1">IF(OR($L52&gt;AC$4,AC$4&gt;$L52+23),"",OFFSET(Electric!$L43,0,-'Electric Calendarize'!$L52+'Electric Calendarize'!AC$4+1))</f>
        <v>591</v>
      </c>
      <c r="AD52">
        <f ca="1">IF(OR($L52&gt;AD$4,AD$4&gt;$L52+23),"",OFFSET(Electric!$L43,0,-'Electric Calendarize'!$L52+'Electric Calendarize'!AD$4+1))</f>
        <v>706</v>
      </c>
      <c r="AE52">
        <f ca="1">IF(OR($L52&gt;AE$4,AE$4&gt;$L52+23),"",OFFSET(Electric!$L43,0,-'Electric Calendarize'!$L52+'Electric Calendarize'!AE$4+1))</f>
        <v>877</v>
      </c>
      <c r="AF52">
        <f ca="1">IF(OR($L52&gt;AF$4,AF$4&gt;$L52+23),"",OFFSET(Electric!$L43,0,-'Electric Calendarize'!$L52+'Electric Calendarize'!AF$4+1))</f>
        <v>511</v>
      </c>
      <c r="AG52">
        <f ca="1">IF(OR($L52&gt;AG$4,AG$4&gt;$L52+23),"",OFFSET(Electric!$L43,0,-'Electric Calendarize'!$L52+'Electric Calendarize'!AG$4+1))</f>
        <v>520</v>
      </c>
      <c r="AH52">
        <f ca="1">IF(OR($L52&gt;AH$4,AH$4&gt;$L52+23),"",OFFSET(Electric!$L43,0,-'Electric Calendarize'!$L52+'Electric Calendarize'!AH$4+1))</f>
        <v>425</v>
      </c>
      <c r="AI52">
        <f ca="1">IF(OR($L52&gt;AI$4,AI$4&gt;$L52+23),"",OFFSET(Electric!$L43,0,-'Electric Calendarize'!$L52+'Electric Calendarize'!AI$4+1))</f>
        <v>879</v>
      </c>
      <c r="AJ52">
        <f ca="1">IF(OR($L52&gt;AJ$4,AJ$4&gt;$L52+23),"",OFFSET(Electric!$L43,0,-'Electric Calendarize'!$L52+'Electric Calendarize'!AJ$4+1))</f>
        <v>893</v>
      </c>
      <c r="AK52">
        <f ca="1">IF(OR($L52&gt;AK$4,AK$4&gt;$L52+23),"",OFFSET(Electric!$L43,0,-'Electric Calendarize'!$L52+'Electric Calendarize'!AK$4+1))</f>
        <v>940</v>
      </c>
      <c r="AL52">
        <f ca="1">IF(OR($L52&gt;AL$4,AL$4&gt;$L52+23),"",OFFSET(Electric!$L43,0,-'Electric Calendarize'!$L52+'Electric Calendarize'!AL$4+1))</f>
        <v>754</v>
      </c>
      <c r="AM52">
        <f ca="1">IF(OR($L52&gt;AM$4,AM$4&gt;$L52+23),"",OFFSET(Electric!$L43,0,-'Electric Calendarize'!$L52+'Electric Calendarize'!AM$4+1))</f>
        <v>507</v>
      </c>
      <c r="AN52">
        <f ca="1">IF(OR($L52&gt;AN$4,AN$4&gt;$L52+23),"",OFFSET(Electric!$L43,0,-'Electric Calendarize'!$L52+'Electric Calendarize'!AN$4+1))</f>
        <v>521</v>
      </c>
      <c r="AO52">
        <f ca="1">IF(OR($L52&gt;AO$4,AO$4&gt;$L52+23),"",OFFSET(Electric!$L43,0,-'Electric Calendarize'!$L52+'Electric Calendarize'!AO$4+1))</f>
        <v>565</v>
      </c>
      <c r="AP52">
        <f ca="1">IF(OR($L52&gt;AP$4,AP$4&gt;$L52+23),"",OFFSET(Electric!$L43,0,-'Electric Calendarize'!$L52+'Electric Calendarize'!AP$4+1))</f>
        <v>855</v>
      </c>
      <c r="AQ52">
        <f ca="1">IF(OR($L52&gt;AQ$4,AQ$4&gt;$L52+23),"",OFFSET(Electric!$L43,0,-'Electric Calendarize'!$L52+'Electric Calendarize'!AQ$4+1))</f>
        <v>819</v>
      </c>
      <c r="AR52" t="str">
        <f ca="1">IF(OR($L52&gt;AR$4,AR$4&gt;$L52+23),"",OFFSET(Electric!$L43,0,-'Electric Calendarize'!$L52+'Electric Calendarize'!AR$4+1))</f>
        <v/>
      </c>
      <c r="AS52" t="str">
        <f ca="1">IF(OR($L52&gt;AS$4,AS$4&gt;$L52+23),"",OFFSET(Electric!$L43,0,-'Electric Calendarize'!$L52+'Electric Calendarize'!AS$4+1))</f>
        <v/>
      </c>
      <c r="AT52" t="str">
        <f ca="1">IF(OR($L52&gt;AT$4,AT$4&gt;$L52+23),"",OFFSET(Electric!$L43,0,-'Electric Calendarize'!$L52+'Electric Calendarize'!AT$4+1))</f>
        <v/>
      </c>
      <c r="AU52" t="str">
        <f ca="1">IF(OR($L52&gt;AU$4,AU$4&gt;$L52+23),"",OFFSET(Electric!$L43,0,-'Electric Calendarize'!$L52+'Electric Calendarize'!AU$4+1))</f>
        <v/>
      </c>
      <c r="AV52" t="str">
        <f ca="1">IF(OR($L52&gt;AV$4,AV$4&gt;$L52+23),"",OFFSET(Electric!$L43,0,-'Electric Calendarize'!$L52+'Electric Calendarize'!AV$4+1))</f>
        <v/>
      </c>
      <c r="AW52" t="str">
        <f ca="1">IF(OR($L52&gt;AW$4,AW$4&gt;$L52+23),"",OFFSET(Electric!$L43,0,-'Electric Calendarize'!$L52+'Electric Calendarize'!AW$4+1))</f>
        <v/>
      </c>
      <c r="AX52" t="str">
        <f ca="1">IF(OR($L52&gt;AX$4,AX$4&gt;$L52+23),"",OFFSET(Electric!$L43,0,-'Electric Calendarize'!$L52+'Electric Calendarize'!AX$4+1))</f>
        <v/>
      </c>
      <c r="AY52" t="str">
        <f ca="1">IF(OR($L52&gt;AY$4,AY$4&gt;$L52+23),"",OFFSET(Electric!$L43,0,-'Electric Calendarize'!$L52+'Electric Calendarize'!AY$4+1))</f>
        <v/>
      </c>
      <c r="AZ52" t="str">
        <f ca="1">IF(OR($L52&gt;AZ$4,AZ$4&gt;$L52+23),"",OFFSET(Electric!$L43,0,-'Electric Calendarize'!$L52+'Electric Calendarize'!AZ$4+1))</f>
        <v/>
      </c>
      <c r="BA52" t="str">
        <f ca="1">IF(OR($L52&gt;BA$4,BA$4&gt;$L52+23),"",OFFSET(Electric!$L43,0,-'Electric Calendarize'!$L52+'Electric Calendarize'!BA$4+1))</f>
        <v/>
      </c>
      <c r="BB52" t="str">
        <f ca="1">IF(OR($L52&gt;BB$4,BB$4&gt;$L52+23),"",OFFSET(Electric!$L43,0,-'Electric Calendarize'!$L52+'Electric Calendarize'!BB$4+1))</f>
        <v/>
      </c>
      <c r="BC52" t="str">
        <f ca="1">IF(OR($L52&gt;BC$4,BC$4&gt;$L52+23),"",OFFSET(Electric!$L43,0,-'Electric Calendarize'!$L52+'Electric Calendarize'!BC$4+1))</f>
        <v/>
      </c>
      <c r="BD52" t="str">
        <f ca="1">IF(OR($L52&gt;BD$4,BD$4&gt;$L52+23),"",OFFSET(Electric!$L43,0,-'Electric Calendarize'!$L52+'Electric Calendarize'!BD$4+1))</f>
        <v/>
      </c>
      <c r="BE52" t="str">
        <f ca="1">IF(OR($L52&gt;BE$4,BE$4&gt;$L52+23),"",OFFSET(Electric!$L43,0,-'Electric Calendarize'!$L52+'Electric Calendarize'!BE$4+1))</f>
        <v/>
      </c>
      <c r="BF52" t="str">
        <f ca="1">IF(OR($L52&gt;BF$4,BF$4&gt;$L52+23),"",OFFSET(Electric!$L43,0,-'Electric Calendarize'!$L52+'Electric Calendarize'!BF$4+1))</f>
        <v/>
      </c>
      <c r="BG52" t="str">
        <f ca="1">IF(OR($L52&gt;BG$4,BG$4&gt;$L52+23),"",OFFSET(Electric!$L43,0,-'Electric Calendarize'!$L52+'Electric Calendarize'!BG$4+1))</f>
        <v/>
      </c>
      <c r="BJ52" s="10" t="s">
        <v>37</v>
      </c>
      <c r="BK52">
        <f t="shared" si="195"/>
        <v>1</v>
      </c>
      <c r="BL52">
        <f t="shared" si="100"/>
        <v>0</v>
      </c>
      <c r="BM52">
        <f t="shared" si="101"/>
        <v>0</v>
      </c>
      <c r="BN52">
        <f t="shared" si="102"/>
        <v>0</v>
      </c>
      <c r="BO52">
        <f t="shared" si="103"/>
        <v>0</v>
      </c>
      <c r="BP52">
        <f t="shared" si="104"/>
        <v>0</v>
      </c>
      <c r="BQ52">
        <f t="shared" si="105"/>
        <v>0</v>
      </c>
      <c r="BR52">
        <f t="shared" si="106"/>
        <v>1</v>
      </c>
      <c r="BS52">
        <f t="shared" si="107"/>
        <v>1</v>
      </c>
      <c r="BT52">
        <f t="shared" si="108"/>
        <v>1</v>
      </c>
      <c r="BU52">
        <f t="shared" si="109"/>
        <v>1</v>
      </c>
      <c r="BV52">
        <f t="shared" si="110"/>
        <v>1</v>
      </c>
      <c r="BW52">
        <f t="shared" si="111"/>
        <v>1</v>
      </c>
      <c r="BX52">
        <f t="shared" si="112"/>
        <v>0</v>
      </c>
      <c r="BY52">
        <f t="shared" si="113"/>
        <v>0</v>
      </c>
      <c r="BZ52">
        <f t="shared" si="114"/>
        <v>0</v>
      </c>
      <c r="CA52">
        <f t="shared" si="115"/>
        <v>0</v>
      </c>
      <c r="CB52">
        <f t="shared" si="116"/>
        <v>0</v>
      </c>
      <c r="CC52">
        <f t="shared" si="117"/>
        <v>0</v>
      </c>
      <c r="CD52">
        <f t="shared" si="118"/>
        <v>1</v>
      </c>
      <c r="CE52">
        <f t="shared" si="119"/>
        <v>1</v>
      </c>
      <c r="CF52">
        <f t="shared" si="120"/>
        <v>1</v>
      </c>
      <c r="CG52">
        <f t="shared" si="121"/>
        <v>1</v>
      </c>
      <c r="CH52">
        <f t="shared" si="122"/>
        <v>1</v>
      </c>
      <c r="CI52">
        <f t="shared" si="123"/>
        <v>1</v>
      </c>
      <c r="CJ52">
        <f t="shared" si="124"/>
        <v>0</v>
      </c>
      <c r="CK52">
        <f t="shared" si="125"/>
        <v>0</v>
      </c>
      <c r="CL52">
        <f t="shared" si="126"/>
        <v>0</v>
      </c>
      <c r="CM52">
        <f t="shared" si="127"/>
        <v>0</v>
      </c>
      <c r="CN52">
        <f t="shared" si="128"/>
        <v>0</v>
      </c>
      <c r="CO52">
        <f t="shared" si="129"/>
        <v>0</v>
      </c>
      <c r="CP52">
        <f t="shared" si="130"/>
        <v>1</v>
      </c>
      <c r="CQ52">
        <f t="shared" si="131"/>
        <v>1</v>
      </c>
      <c r="CR52">
        <f t="shared" si="132"/>
        <v>1</v>
      </c>
      <c r="CS52">
        <f t="shared" si="133"/>
        <v>1</v>
      </c>
      <c r="CT52">
        <f t="shared" si="134"/>
        <v>1</v>
      </c>
      <c r="CU52">
        <f t="shared" si="135"/>
        <v>1</v>
      </c>
      <c r="CV52">
        <f t="shared" si="136"/>
        <v>0</v>
      </c>
      <c r="CW52">
        <f t="shared" si="137"/>
        <v>0</v>
      </c>
      <c r="CX52">
        <f t="shared" si="138"/>
        <v>0</v>
      </c>
      <c r="CY52">
        <f t="shared" si="139"/>
        <v>0</v>
      </c>
      <c r="CZ52">
        <f t="shared" si="140"/>
        <v>0</v>
      </c>
      <c r="DA52">
        <f t="shared" si="141"/>
        <v>0</v>
      </c>
      <c r="DB52">
        <f t="shared" si="142"/>
        <v>1</v>
      </c>
      <c r="DC52">
        <f t="shared" si="143"/>
        <v>1</v>
      </c>
      <c r="DF52" s="10" t="s">
        <v>37</v>
      </c>
      <c r="DG52" t="str">
        <f t="shared" si="204"/>
        <v>2021_9</v>
      </c>
      <c r="DH52" t="str">
        <f t="shared" si="204"/>
        <v>2021_9</v>
      </c>
      <c r="DI52" t="str">
        <f t="shared" si="204"/>
        <v>2021_9</v>
      </c>
      <c r="DJ52" t="str">
        <f t="shared" si="204"/>
        <v>2021_9</v>
      </c>
      <c r="DK52" t="str">
        <f t="shared" si="204"/>
        <v>2021_9</v>
      </c>
      <c r="DL52" t="str">
        <f t="shared" si="204"/>
        <v>2021_9</v>
      </c>
      <c r="DM52" t="str">
        <f t="shared" si="204"/>
        <v>2021_9</v>
      </c>
      <c r="DN52" t="str">
        <f t="shared" si="204"/>
        <v>2021_9</v>
      </c>
      <c r="DO52" t="str">
        <f t="shared" si="204"/>
        <v>2021_9</v>
      </c>
      <c r="DP52" t="str">
        <f t="shared" si="204"/>
        <v>2021_9</v>
      </c>
      <c r="DQ52" t="str">
        <f t="shared" si="204"/>
        <v>2021_9</v>
      </c>
      <c r="DR52" t="str">
        <f t="shared" si="204"/>
        <v>2021_9</v>
      </c>
      <c r="DS52" t="str">
        <f t="shared" si="204"/>
        <v>2021_9</v>
      </c>
      <c r="DT52" t="str">
        <f t="shared" si="204"/>
        <v>2021_9</v>
      </c>
      <c r="DU52" t="str">
        <f t="shared" si="204"/>
        <v>2021_9</v>
      </c>
      <c r="DV52" t="str">
        <f t="shared" si="203"/>
        <v>2021_9</v>
      </c>
      <c r="DW52" t="str">
        <f t="shared" si="201"/>
        <v>2021_9</v>
      </c>
      <c r="DX52" t="str">
        <f t="shared" si="201"/>
        <v>2021_9</v>
      </c>
      <c r="DY52" t="str">
        <f t="shared" si="201"/>
        <v>2021_9</v>
      </c>
      <c r="DZ52" t="str">
        <f t="shared" si="201"/>
        <v>2021_9</v>
      </c>
      <c r="EA52" t="str">
        <f t="shared" si="201"/>
        <v>2021_9</v>
      </c>
      <c r="EB52" t="str">
        <f t="shared" si="201"/>
        <v>2021_9</v>
      </c>
      <c r="EC52" t="str">
        <f t="shared" si="201"/>
        <v>2021_9</v>
      </c>
      <c r="ED52" t="str">
        <f t="shared" si="201"/>
        <v>2021_9</v>
      </c>
      <c r="EE52" t="str">
        <f t="shared" si="201"/>
        <v>2021_9</v>
      </c>
      <c r="EF52" t="str">
        <f t="shared" si="201"/>
        <v>2021_9</v>
      </c>
      <c r="EG52" t="str">
        <f t="shared" si="201"/>
        <v>2021_9</v>
      </c>
      <c r="EH52" t="str">
        <f t="shared" si="201"/>
        <v>2021_9</v>
      </c>
      <c r="EI52" t="str">
        <f t="shared" si="201"/>
        <v>2021_9</v>
      </c>
      <c r="EJ52" t="str">
        <f t="shared" si="201"/>
        <v>2021_9</v>
      </c>
      <c r="EK52" t="str">
        <f t="shared" si="201"/>
        <v>2021_9</v>
      </c>
      <c r="EL52" t="str">
        <f t="shared" si="201"/>
        <v>2021_9</v>
      </c>
      <c r="EM52" t="str">
        <f t="shared" si="202"/>
        <v>2021_9</v>
      </c>
      <c r="EN52" t="str">
        <f t="shared" si="202"/>
        <v>2021_9</v>
      </c>
      <c r="EO52" t="str">
        <f t="shared" si="202"/>
        <v>2021_9</v>
      </c>
      <c r="EP52" t="str">
        <f t="shared" si="202"/>
        <v>2021_9</v>
      </c>
      <c r="EQ52" t="str">
        <f t="shared" si="202"/>
        <v>2021_9</v>
      </c>
      <c r="ER52" t="str">
        <f t="shared" si="202"/>
        <v>2021_9</v>
      </c>
      <c r="ES52" t="str">
        <f t="shared" si="202"/>
        <v>2021_9</v>
      </c>
      <c r="ET52" t="str">
        <f t="shared" si="202"/>
        <v>2021_9</v>
      </c>
      <c r="EU52" t="str">
        <f t="shared" si="202"/>
        <v>2021_9</v>
      </c>
      <c r="EV52" t="str">
        <f t="shared" si="202"/>
        <v>2021_9</v>
      </c>
      <c r="EW52" t="str">
        <f t="shared" si="202"/>
        <v>2021_9</v>
      </c>
      <c r="EX52" t="str">
        <f t="shared" si="202"/>
        <v>2021_9</v>
      </c>
      <c r="EY52" t="str">
        <f t="shared" si="202"/>
        <v>2021_9</v>
      </c>
      <c r="FB52" s="10" t="s">
        <v>37</v>
      </c>
      <c r="FC52">
        <f t="shared" si="197"/>
        <v>0</v>
      </c>
      <c r="FD52">
        <f t="shared" si="147"/>
        <v>0</v>
      </c>
      <c r="FE52">
        <f t="shared" si="148"/>
        <v>0</v>
      </c>
      <c r="FF52">
        <f t="shared" si="149"/>
        <v>0</v>
      </c>
      <c r="FG52">
        <f t="shared" si="150"/>
        <v>0</v>
      </c>
      <c r="FH52">
        <f t="shared" si="151"/>
        <v>0</v>
      </c>
      <c r="FI52">
        <f t="shared" si="152"/>
        <v>0</v>
      </c>
      <c r="FJ52">
        <f t="shared" si="153"/>
        <v>0</v>
      </c>
      <c r="FK52">
        <f t="shared" si="154"/>
        <v>0</v>
      </c>
      <c r="FL52">
        <f t="shared" si="155"/>
        <v>0</v>
      </c>
      <c r="FM52">
        <f t="shared" si="156"/>
        <v>0</v>
      </c>
      <c r="FN52">
        <f t="shared" si="157"/>
        <v>0</v>
      </c>
      <c r="FO52">
        <f t="shared" si="158"/>
        <v>0</v>
      </c>
      <c r="FP52">
        <f t="shared" si="159"/>
        <v>0</v>
      </c>
      <c r="FQ52">
        <f t="shared" si="160"/>
        <v>0</v>
      </c>
      <c r="FR52">
        <f t="shared" si="161"/>
        <v>0</v>
      </c>
      <c r="FS52">
        <f t="shared" si="162"/>
        <v>0</v>
      </c>
      <c r="FT52">
        <f t="shared" si="163"/>
        <v>1</v>
      </c>
      <c r="FU52">
        <f t="shared" si="164"/>
        <v>1</v>
      </c>
      <c r="FV52">
        <f t="shared" si="165"/>
        <v>1</v>
      </c>
      <c r="FW52">
        <f t="shared" si="166"/>
        <v>1</v>
      </c>
      <c r="FX52">
        <f t="shared" si="167"/>
        <v>1</v>
      </c>
      <c r="FY52">
        <f t="shared" si="168"/>
        <v>1</v>
      </c>
      <c r="FZ52">
        <f t="shared" si="169"/>
        <v>1</v>
      </c>
      <c r="GA52">
        <f t="shared" si="170"/>
        <v>1</v>
      </c>
      <c r="GB52">
        <f t="shared" si="171"/>
        <v>1</v>
      </c>
      <c r="GC52">
        <f t="shared" si="172"/>
        <v>1</v>
      </c>
      <c r="GD52">
        <f t="shared" si="173"/>
        <v>1</v>
      </c>
      <c r="GE52">
        <f t="shared" si="174"/>
        <v>1</v>
      </c>
      <c r="GF52">
        <f t="shared" si="175"/>
        <v>1</v>
      </c>
      <c r="GG52">
        <f t="shared" si="176"/>
        <v>1</v>
      </c>
      <c r="GH52">
        <f t="shared" si="177"/>
        <v>1</v>
      </c>
      <c r="GI52">
        <f t="shared" si="178"/>
        <v>1</v>
      </c>
      <c r="GJ52">
        <f t="shared" si="179"/>
        <v>1</v>
      </c>
      <c r="GK52">
        <f t="shared" si="180"/>
        <v>1</v>
      </c>
      <c r="GL52">
        <f t="shared" si="181"/>
        <v>1</v>
      </c>
      <c r="GM52">
        <f t="shared" si="182"/>
        <v>1</v>
      </c>
      <c r="GN52">
        <f t="shared" si="183"/>
        <v>1</v>
      </c>
      <c r="GO52">
        <f t="shared" si="184"/>
        <v>1</v>
      </c>
      <c r="GP52">
        <f t="shared" si="185"/>
        <v>1</v>
      </c>
      <c r="GQ52">
        <f t="shared" si="186"/>
        <v>1</v>
      </c>
      <c r="GR52">
        <f t="shared" si="187"/>
        <v>1</v>
      </c>
      <c r="GS52">
        <f t="shared" si="188"/>
        <v>1</v>
      </c>
      <c r="GT52">
        <f t="shared" si="189"/>
        <v>1</v>
      </c>
      <c r="GU52">
        <f t="shared" si="190"/>
        <v>1</v>
      </c>
      <c r="GX52" s="10"/>
    </row>
    <row r="53" spans="1:206" x14ac:dyDescent="0.3">
      <c r="A53" s="15" t="s">
        <v>55</v>
      </c>
      <c r="B53" s="80"/>
      <c r="C53" s="9">
        <v>3121819000</v>
      </c>
      <c r="D53" s="9" t="s">
        <v>386</v>
      </c>
      <c r="E53" s="9" t="s">
        <v>39</v>
      </c>
      <c r="F53" s="9" t="s">
        <v>35</v>
      </c>
      <c r="G53" s="9" t="s">
        <v>84</v>
      </c>
      <c r="H53" s="10">
        <v>44462</v>
      </c>
      <c r="I53" s="9">
        <f t="shared" si="191"/>
        <v>2021</v>
      </c>
      <c r="J53" s="9">
        <f t="shared" si="192"/>
        <v>9</v>
      </c>
      <c r="K53" s="9" t="str">
        <f t="shared" si="193"/>
        <v>2021_9</v>
      </c>
      <c r="L53">
        <f>MAX(0,VLOOKUP($K53,lookups!$A$1:$B$45,2,0)-12)</f>
        <v>5</v>
      </c>
      <c r="M53" s="40">
        <f t="shared" si="194"/>
        <v>44440</v>
      </c>
      <c r="N53" s="10" t="s">
        <v>37</v>
      </c>
      <c r="O53" t="str">
        <f ca="1">IF(OR($L53&gt;O$4,O$4&gt;$L53+23),"",OFFSET(Electric!$L44,0,-'Electric Calendarize'!$L53+'Electric Calendarize'!O$4+1))</f>
        <v/>
      </c>
      <c r="P53" t="str">
        <f ca="1">IF(OR($L53&gt;P$4,P$4&gt;$L53+23),"",OFFSET(Electric!$L44,0,-'Electric Calendarize'!$L53+'Electric Calendarize'!P$4+1))</f>
        <v/>
      </c>
      <c r="Q53" t="str">
        <f ca="1">IF(OR($L53&gt;Q$4,Q$4&gt;$L53+23),"",OFFSET(Electric!$L44,0,-'Electric Calendarize'!$L53+'Electric Calendarize'!Q$4+1))</f>
        <v/>
      </c>
      <c r="R53" t="str">
        <f ca="1">IF(OR($L53&gt;R$4,R$4&gt;$L53+23),"",OFFSET(Electric!$L44,0,-'Electric Calendarize'!$L53+'Electric Calendarize'!R$4+1))</f>
        <v/>
      </c>
      <c r="S53" t="str">
        <f ca="1">IF(OR($L53&gt;S$4,S$4&gt;$L53+23),"",OFFSET(Electric!$L44,0,-'Electric Calendarize'!$L53+'Electric Calendarize'!S$4+1))</f>
        <v/>
      </c>
      <c r="T53">
        <f ca="1">IF(OR($L53&gt;T$4,T$4&gt;$L53+23),"",OFFSET(Electric!$L44,0,-'Electric Calendarize'!$L53+'Electric Calendarize'!T$4+1))</f>
        <v>1463</v>
      </c>
      <c r="U53">
        <f ca="1">IF(OR($L53&gt;U$4,U$4&gt;$L53+23),"",OFFSET(Electric!$L44,0,-'Electric Calendarize'!$L53+'Electric Calendarize'!U$4+1))</f>
        <v>1237</v>
      </c>
      <c r="V53">
        <f ca="1">IF(OR($L53&gt;V$4,V$4&gt;$L53+23),"",OFFSET(Electric!$L44,0,-'Electric Calendarize'!$L53+'Electric Calendarize'!V$4+1))</f>
        <v>1183</v>
      </c>
      <c r="W53">
        <f ca="1">IF(OR($L53&gt;W$4,W$4&gt;$L53+23),"",OFFSET(Electric!$L44,0,-'Electric Calendarize'!$L53+'Electric Calendarize'!W$4+1))</f>
        <v>1869</v>
      </c>
      <c r="X53">
        <f ca="1">IF(OR($L53&gt;X$4,X$4&gt;$L53+23),"",OFFSET(Electric!$L44,0,-'Electric Calendarize'!$L53+'Electric Calendarize'!X$4+1))</f>
        <v>1628</v>
      </c>
      <c r="Y53">
        <f ca="1">IF(OR($L53&gt;Y$4,Y$4&gt;$L53+23),"",OFFSET(Electric!$L44,0,-'Electric Calendarize'!$L53+'Electric Calendarize'!Y$4+1))</f>
        <v>1404</v>
      </c>
      <c r="Z53">
        <f ca="1">IF(OR($L53&gt;Z$4,Z$4&gt;$L53+23),"",OFFSET(Electric!$L44,0,-'Electric Calendarize'!$L53+'Electric Calendarize'!Z$4+1))</f>
        <v>1452</v>
      </c>
      <c r="AA53">
        <f ca="1">IF(OR($L53&gt;AA$4,AA$4&gt;$L53+23),"",OFFSET(Electric!$L44,0,-'Electric Calendarize'!$L53+'Electric Calendarize'!AA$4+1))</f>
        <v>1156</v>
      </c>
      <c r="AB53">
        <f ca="1">IF(OR($L53&gt;AB$4,AB$4&gt;$L53+23),"",OFFSET(Electric!$L44,0,-'Electric Calendarize'!$L53+'Electric Calendarize'!AB$4+1))</f>
        <v>1226</v>
      </c>
      <c r="AC53">
        <f ca="1">IF(OR($L53&gt;AC$4,AC$4&gt;$L53+23),"",OFFSET(Electric!$L44,0,-'Electric Calendarize'!$L53+'Electric Calendarize'!AC$4+1))</f>
        <v>1802</v>
      </c>
      <c r="AD53">
        <f ca="1">IF(OR($L53&gt;AD$4,AD$4&gt;$L53+23),"",OFFSET(Electric!$L44,0,-'Electric Calendarize'!$L53+'Electric Calendarize'!AD$4+1))</f>
        <v>1912</v>
      </c>
      <c r="AE53">
        <f ca="1">IF(OR($L53&gt;AE$4,AE$4&gt;$L53+23),"",OFFSET(Electric!$L44,0,-'Electric Calendarize'!$L53+'Electric Calendarize'!AE$4+1))</f>
        <v>2226</v>
      </c>
      <c r="AF53">
        <f ca="1">IF(OR($L53&gt;AF$4,AF$4&gt;$L53+23),"",OFFSET(Electric!$L44,0,-'Electric Calendarize'!$L53+'Electric Calendarize'!AF$4+1))</f>
        <v>1794</v>
      </c>
      <c r="AG53">
        <f ca="1">IF(OR($L53&gt;AG$4,AG$4&gt;$L53+23),"",OFFSET(Electric!$L44,0,-'Electric Calendarize'!$L53+'Electric Calendarize'!AG$4+1))</f>
        <v>1385</v>
      </c>
      <c r="AH53">
        <f ca="1">IF(OR($L53&gt;AH$4,AH$4&gt;$L53+23),"",OFFSET(Electric!$L44,0,-'Electric Calendarize'!$L53+'Electric Calendarize'!AH$4+1))</f>
        <v>1478</v>
      </c>
      <c r="AI53">
        <f ca="1">IF(OR($L53&gt;AI$4,AI$4&gt;$L53+23),"",OFFSET(Electric!$L44,0,-'Electric Calendarize'!$L53+'Electric Calendarize'!AI$4+1))</f>
        <v>1901</v>
      </c>
      <c r="AJ53">
        <f ca="1">IF(OR($L53&gt;AJ$4,AJ$4&gt;$L53+23),"",OFFSET(Electric!$L44,0,-'Electric Calendarize'!$L53+'Electric Calendarize'!AJ$4+1))</f>
        <v>1568</v>
      </c>
      <c r="AK53">
        <f ca="1">IF(OR($L53&gt;AK$4,AK$4&gt;$L53+23),"",OFFSET(Electric!$L44,0,-'Electric Calendarize'!$L53+'Electric Calendarize'!AK$4+1))</f>
        <v>1065</v>
      </c>
      <c r="AL53">
        <f ca="1">IF(OR($L53&gt;AL$4,AL$4&gt;$L53+23),"",OFFSET(Electric!$L44,0,-'Electric Calendarize'!$L53+'Electric Calendarize'!AL$4+1))</f>
        <v>1042</v>
      </c>
      <c r="AM53">
        <f ca="1">IF(OR($L53&gt;AM$4,AM$4&gt;$L53+23),"",OFFSET(Electric!$L44,0,-'Electric Calendarize'!$L53+'Electric Calendarize'!AM$4+1))</f>
        <v>1074</v>
      </c>
      <c r="AN53">
        <f ca="1">IF(OR($L53&gt;AN$4,AN$4&gt;$L53+23),"",OFFSET(Electric!$L44,0,-'Electric Calendarize'!$L53+'Electric Calendarize'!AN$4+1))</f>
        <v>1336</v>
      </c>
      <c r="AO53">
        <f ca="1">IF(OR($L53&gt;AO$4,AO$4&gt;$L53+23),"",OFFSET(Electric!$L44,0,-'Electric Calendarize'!$L53+'Electric Calendarize'!AO$4+1))</f>
        <v>1491</v>
      </c>
      <c r="AP53">
        <f ca="1">IF(OR($L53&gt;AP$4,AP$4&gt;$L53+23),"",OFFSET(Electric!$L44,0,-'Electric Calendarize'!$L53+'Electric Calendarize'!AP$4+1))</f>
        <v>1843</v>
      </c>
      <c r="AQ53">
        <f ca="1">IF(OR($L53&gt;AQ$4,AQ$4&gt;$L53+23),"",OFFSET(Electric!$L44,0,-'Electric Calendarize'!$L53+'Electric Calendarize'!AQ$4+1))</f>
        <v>2118</v>
      </c>
      <c r="AR53" t="str">
        <f ca="1">IF(OR($L53&gt;AR$4,AR$4&gt;$L53+23),"",OFFSET(Electric!$L44,0,-'Electric Calendarize'!$L53+'Electric Calendarize'!AR$4+1))</f>
        <v/>
      </c>
      <c r="AS53" t="str">
        <f ca="1">IF(OR($L53&gt;AS$4,AS$4&gt;$L53+23),"",OFFSET(Electric!$L44,0,-'Electric Calendarize'!$L53+'Electric Calendarize'!AS$4+1))</f>
        <v/>
      </c>
      <c r="AT53" t="str">
        <f ca="1">IF(OR($L53&gt;AT$4,AT$4&gt;$L53+23),"",OFFSET(Electric!$L44,0,-'Electric Calendarize'!$L53+'Electric Calendarize'!AT$4+1))</f>
        <v/>
      </c>
      <c r="AU53" t="str">
        <f ca="1">IF(OR($L53&gt;AU$4,AU$4&gt;$L53+23),"",OFFSET(Electric!$L44,0,-'Electric Calendarize'!$L53+'Electric Calendarize'!AU$4+1))</f>
        <v/>
      </c>
      <c r="AV53" t="str">
        <f ca="1">IF(OR($L53&gt;AV$4,AV$4&gt;$L53+23),"",OFFSET(Electric!$L44,0,-'Electric Calendarize'!$L53+'Electric Calendarize'!AV$4+1))</f>
        <v/>
      </c>
      <c r="AW53" t="str">
        <f ca="1">IF(OR($L53&gt;AW$4,AW$4&gt;$L53+23),"",OFFSET(Electric!$L44,0,-'Electric Calendarize'!$L53+'Electric Calendarize'!AW$4+1))</f>
        <v/>
      </c>
      <c r="AX53" t="str">
        <f ca="1">IF(OR($L53&gt;AX$4,AX$4&gt;$L53+23),"",OFFSET(Electric!$L44,0,-'Electric Calendarize'!$L53+'Electric Calendarize'!AX$4+1))</f>
        <v/>
      </c>
      <c r="AY53" t="str">
        <f ca="1">IF(OR($L53&gt;AY$4,AY$4&gt;$L53+23),"",OFFSET(Electric!$L44,0,-'Electric Calendarize'!$L53+'Electric Calendarize'!AY$4+1))</f>
        <v/>
      </c>
      <c r="AZ53" t="str">
        <f ca="1">IF(OR($L53&gt;AZ$4,AZ$4&gt;$L53+23),"",OFFSET(Electric!$L44,0,-'Electric Calendarize'!$L53+'Electric Calendarize'!AZ$4+1))</f>
        <v/>
      </c>
      <c r="BA53" t="str">
        <f ca="1">IF(OR($L53&gt;BA$4,BA$4&gt;$L53+23),"",OFFSET(Electric!$L44,0,-'Electric Calendarize'!$L53+'Electric Calendarize'!BA$4+1))</f>
        <v/>
      </c>
      <c r="BB53" t="str">
        <f ca="1">IF(OR($L53&gt;BB$4,BB$4&gt;$L53+23),"",OFFSET(Electric!$L44,0,-'Electric Calendarize'!$L53+'Electric Calendarize'!BB$4+1))</f>
        <v/>
      </c>
      <c r="BC53" t="str">
        <f ca="1">IF(OR($L53&gt;BC$4,BC$4&gt;$L53+23),"",OFFSET(Electric!$L44,0,-'Electric Calendarize'!$L53+'Electric Calendarize'!BC$4+1))</f>
        <v/>
      </c>
      <c r="BD53" t="str">
        <f ca="1">IF(OR($L53&gt;BD$4,BD$4&gt;$L53+23),"",OFFSET(Electric!$L44,0,-'Electric Calendarize'!$L53+'Electric Calendarize'!BD$4+1))</f>
        <v/>
      </c>
      <c r="BE53" t="str">
        <f ca="1">IF(OR($L53&gt;BE$4,BE$4&gt;$L53+23),"",OFFSET(Electric!$L44,0,-'Electric Calendarize'!$L53+'Electric Calendarize'!BE$4+1))</f>
        <v/>
      </c>
      <c r="BF53" t="str">
        <f ca="1">IF(OR($L53&gt;BF$4,BF$4&gt;$L53+23),"",OFFSET(Electric!$L44,0,-'Electric Calendarize'!$L53+'Electric Calendarize'!BF$4+1))</f>
        <v/>
      </c>
      <c r="BG53" t="str">
        <f ca="1">IF(OR($L53&gt;BG$4,BG$4&gt;$L53+23),"",OFFSET(Electric!$L44,0,-'Electric Calendarize'!$L53+'Electric Calendarize'!BG$4+1))</f>
        <v/>
      </c>
      <c r="BJ53" s="10" t="s">
        <v>37</v>
      </c>
      <c r="BK53">
        <f t="shared" si="195"/>
        <v>1</v>
      </c>
      <c r="BL53">
        <f t="shared" si="100"/>
        <v>0</v>
      </c>
      <c r="BM53">
        <f t="shared" si="101"/>
        <v>0</v>
      </c>
      <c r="BN53">
        <f t="shared" si="102"/>
        <v>0</v>
      </c>
      <c r="BO53">
        <f t="shared" si="103"/>
        <v>0</v>
      </c>
      <c r="BP53">
        <f t="shared" si="104"/>
        <v>0</v>
      </c>
      <c r="BQ53">
        <f t="shared" si="105"/>
        <v>0</v>
      </c>
      <c r="BR53">
        <f t="shared" si="106"/>
        <v>1</v>
      </c>
      <c r="BS53">
        <f t="shared" si="107"/>
        <v>1</v>
      </c>
      <c r="BT53">
        <f t="shared" si="108"/>
        <v>1</v>
      </c>
      <c r="BU53">
        <f t="shared" si="109"/>
        <v>1</v>
      </c>
      <c r="BV53">
        <f t="shared" si="110"/>
        <v>1</v>
      </c>
      <c r="BW53">
        <f t="shared" si="111"/>
        <v>1</v>
      </c>
      <c r="BX53">
        <f t="shared" si="112"/>
        <v>0</v>
      </c>
      <c r="BY53">
        <f t="shared" si="113"/>
        <v>0</v>
      </c>
      <c r="BZ53">
        <f t="shared" si="114"/>
        <v>0</v>
      </c>
      <c r="CA53">
        <f t="shared" si="115"/>
        <v>0</v>
      </c>
      <c r="CB53">
        <f t="shared" si="116"/>
        <v>0</v>
      </c>
      <c r="CC53">
        <f t="shared" si="117"/>
        <v>0</v>
      </c>
      <c r="CD53">
        <f t="shared" si="118"/>
        <v>1</v>
      </c>
      <c r="CE53">
        <f t="shared" si="119"/>
        <v>1</v>
      </c>
      <c r="CF53">
        <f t="shared" si="120"/>
        <v>1</v>
      </c>
      <c r="CG53">
        <f t="shared" si="121"/>
        <v>1</v>
      </c>
      <c r="CH53">
        <f t="shared" si="122"/>
        <v>1</v>
      </c>
      <c r="CI53">
        <f t="shared" si="123"/>
        <v>1</v>
      </c>
      <c r="CJ53">
        <f t="shared" si="124"/>
        <v>0</v>
      </c>
      <c r="CK53">
        <f t="shared" si="125"/>
        <v>0</v>
      </c>
      <c r="CL53">
        <f t="shared" si="126"/>
        <v>0</v>
      </c>
      <c r="CM53">
        <f t="shared" si="127"/>
        <v>0</v>
      </c>
      <c r="CN53">
        <f t="shared" si="128"/>
        <v>0</v>
      </c>
      <c r="CO53">
        <f t="shared" si="129"/>
        <v>0</v>
      </c>
      <c r="CP53">
        <f t="shared" si="130"/>
        <v>1</v>
      </c>
      <c r="CQ53">
        <f t="shared" si="131"/>
        <v>1</v>
      </c>
      <c r="CR53">
        <f t="shared" si="132"/>
        <v>1</v>
      </c>
      <c r="CS53">
        <f t="shared" si="133"/>
        <v>1</v>
      </c>
      <c r="CT53">
        <f t="shared" si="134"/>
        <v>1</v>
      </c>
      <c r="CU53">
        <f t="shared" si="135"/>
        <v>1</v>
      </c>
      <c r="CV53">
        <f t="shared" si="136"/>
        <v>0</v>
      </c>
      <c r="CW53">
        <f t="shared" si="137"/>
        <v>0</v>
      </c>
      <c r="CX53">
        <f t="shared" si="138"/>
        <v>0</v>
      </c>
      <c r="CY53">
        <f t="shared" si="139"/>
        <v>0</v>
      </c>
      <c r="CZ53">
        <f t="shared" si="140"/>
        <v>0</v>
      </c>
      <c r="DA53">
        <f t="shared" si="141"/>
        <v>0</v>
      </c>
      <c r="DB53">
        <f t="shared" si="142"/>
        <v>1</v>
      </c>
      <c r="DC53">
        <f t="shared" si="143"/>
        <v>1</v>
      </c>
      <c r="DF53" s="10" t="s">
        <v>37</v>
      </c>
      <c r="DG53" t="str">
        <f t="shared" si="204"/>
        <v>2021_9</v>
      </c>
      <c r="DH53" t="str">
        <f t="shared" si="204"/>
        <v>2021_9</v>
      </c>
      <c r="DI53" t="str">
        <f t="shared" si="204"/>
        <v>2021_9</v>
      </c>
      <c r="DJ53" t="str">
        <f t="shared" si="204"/>
        <v>2021_9</v>
      </c>
      <c r="DK53" t="str">
        <f t="shared" si="204"/>
        <v>2021_9</v>
      </c>
      <c r="DL53" t="str">
        <f t="shared" si="204"/>
        <v>2021_9</v>
      </c>
      <c r="DM53" t="str">
        <f t="shared" si="204"/>
        <v>2021_9</v>
      </c>
      <c r="DN53" t="str">
        <f t="shared" si="204"/>
        <v>2021_9</v>
      </c>
      <c r="DO53" t="str">
        <f t="shared" si="204"/>
        <v>2021_9</v>
      </c>
      <c r="DP53" t="str">
        <f t="shared" si="204"/>
        <v>2021_9</v>
      </c>
      <c r="DQ53" t="str">
        <f t="shared" si="204"/>
        <v>2021_9</v>
      </c>
      <c r="DR53" t="str">
        <f t="shared" si="204"/>
        <v>2021_9</v>
      </c>
      <c r="DS53" t="str">
        <f t="shared" si="204"/>
        <v>2021_9</v>
      </c>
      <c r="DT53" t="str">
        <f t="shared" si="204"/>
        <v>2021_9</v>
      </c>
      <c r="DU53" t="str">
        <f t="shared" si="204"/>
        <v>2021_9</v>
      </c>
      <c r="DV53" t="str">
        <f t="shared" si="203"/>
        <v>2021_9</v>
      </c>
      <c r="DW53" t="str">
        <f t="shared" si="201"/>
        <v>2021_9</v>
      </c>
      <c r="DX53" t="str">
        <f t="shared" si="201"/>
        <v>2021_9</v>
      </c>
      <c r="DY53" t="str">
        <f t="shared" si="201"/>
        <v>2021_9</v>
      </c>
      <c r="DZ53" t="str">
        <f t="shared" si="201"/>
        <v>2021_9</v>
      </c>
      <c r="EA53" t="str">
        <f t="shared" si="201"/>
        <v>2021_9</v>
      </c>
      <c r="EB53" t="str">
        <f t="shared" si="201"/>
        <v>2021_9</v>
      </c>
      <c r="EC53" t="str">
        <f t="shared" si="201"/>
        <v>2021_9</v>
      </c>
      <c r="ED53" t="str">
        <f t="shared" si="201"/>
        <v>2021_9</v>
      </c>
      <c r="EE53" t="str">
        <f t="shared" si="201"/>
        <v>2021_9</v>
      </c>
      <c r="EF53" t="str">
        <f t="shared" si="201"/>
        <v>2021_9</v>
      </c>
      <c r="EG53" t="str">
        <f t="shared" si="201"/>
        <v>2021_9</v>
      </c>
      <c r="EH53" t="str">
        <f t="shared" si="201"/>
        <v>2021_9</v>
      </c>
      <c r="EI53" t="str">
        <f t="shared" si="201"/>
        <v>2021_9</v>
      </c>
      <c r="EJ53" t="str">
        <f t="shared" si="201"/>
        <v>2021_9</v>
      </c>
      <c r="EK53" t="str">
        <f t="shared" si="201"/>
        <v>2021_9</v>
      </c>
      <c r="EL53" t="str">
        <f t="shared" si="201"/>
        <v>2021_9</v>
      </c>
      <c r="EM53" t="str">
        <f t="shared" si="202"/>
        <v>2021_9</v>
      </c>
      <c r="EN53" t="str">
        <f t="shared" si="202"/>
        <v>2021_9</v>
      </c>
      <c r="EO53" t="str">
        <f t="shared" si="202"/>
        <v>2021_9</v>
      </c>
      <c r="EP53" t="str">
        <f t="shared" si="202"/>
        <v>2021_9</v>
      </c>
      <c r="EQ53" t="str">
        <f t="shared" si="202"/>
        <v>2021_9</v>
      </c>
      <c r="ER53" t="str">
        <f t="shared" si="202"/>
        <v>2021_9</v>
      </c>
      <c r="ES53" t="str">
        <f t="shared" si="202"/>
        <v>2021_9</v>
      </c>
      <c r="ET53" t="str">
        <f t="shared" si="202"/>
        <v>2021_9</v>
      </c>
      <c r="EU53" t="str">
        <f t="shared" si="202"/>
        <v>2021_9</v>
      </c>
      <c r="EV53" t="str">
        <f t="shared" si="202"/>
        <v>2021_9</v>
      </c>
      <c r="EW53" t="str">
        <f t="shared" si="202"/>
        <v>2021_9</v>
      </c>
      <c r="EX53" t="str">
        <f t="shared" si="202"/>
        <v>2021_9</v>
      </c>
      <c r="EY53" t="str">
        <f t="shared" si="202"/>
        <v>2021_9</v>
      </c>
      <c r="FB53" s="10" t="s">
        <v>37</v>
      </c>
      <c r="FC53">
        <f t="shared" si="197"/>
        <v>0</v>
      </c>
      <c r="FD53">
        <f t="shared" si="147"/>
        <v>0</v>
      </c>
      <c r="FE53">
        <f t="shared" si="148"/>
        <v>0</v>
      </c>
      <c r="FF53">
        <f t="shared" si="149"/>
        <v>0</v>
      </c>
      <c r="FG53">
        <f t="shared" si="150"/>
        <v>0</v>
      </c>
      <c r="FH53">
        <f t="shared" si="151"/>
        <v>0</v>
      </c>
      <c r="FI53">
        <f t="shared" si="152"/>
        <v>0</v>
      </c>
      <c r="FJ53">
        <f t="shared" si="153"/>
        <v>0</v>
      </c>
      <c r="FK53">
        <f t="shared" si="154"/>
        <v>0</v>
      </c>
      <c r="FL53">
        <f t="shared" si="155"/>
        <v>0</v>
      </c>
      <c r="FM53">
        <f t="shared" si="156"/>
        <v>0</v>
      </c>
      <c r="FN53">
        <f t="shared" si="157"/>
        <v>0</v>
      </c>
      <c r="FO53">
        <f t="shared" si="158"/>
        <v>0</v>
      </c>
      <c r="FP53">
        <f t="shared" si="159"/>
        <v>0</v>
      </c>
      <c r="FQ53">
        <f t="shared" si="160"/>
        <v>0</v>
      </c>
      <c r="FR53">
        <f t="shared" si="161"/>
        <v>0</v>
      </c>
      <c r="FS53">
        <f t="shared" si="162"/>
        <v>0</v>
      </c>
      <c r="FT53">
        <f t="shared" si="163"/>
        <v>1</v>
      </c>
      <c r="FU53">
        <f t="shared" si="164"/>
        <v>1</v>
      </c>
      <c r="FV53">
        <f t="shared" si="165"/>
        <v>1</v>
      </c>
      <c r="FW53">
        <f t="shared" si="166"/>
        <v>1</v>
      </c>
      <c r="FX53">
        <f t="shared" si="167"/>
        <v>1</v>
      </c>
      <c r="FY53">
        <f t="shared" si="168"/>
        <v>1</v>
      </c>
      <c r="FZ53">
        <f t="shared" si="169"/>
        <v>1</v>
      </c>
      <c r="GA53">
        <f t="shared" si="170"/>
        <v>1</v>
      </c>
      <c r="GB53">
        <f t="shared" si="171"/>
        <v>1</v>
      </c>
      <c r="GC53">
        <f t="shared" si="172"/>
        <v>1</v>
      </c>
      <c r="GD53">
        <f t="shared" si="173"/>
        <v>1</v>
      </c>
      <c r="GE53">
        <f t="shared" si="174"/>
        <v>1</v>
      </c>
      <c r="GF53">
        <f t="shared" si="175"/>
        <v>1</v>
      </c>
      <c r="GG53">
        <f t="shared" si="176"/>
        <v>1</v>
      </c>
      <c r="GH53">
        <f t="shared" si="177"/>
        <v>1</v>
      </c>
      <c r="GI53">
        <f t="shared" si="178"/>
        <v>1</v>
      </c>
      <c r="GJ53">
        <f t="shared" si="179"/>
        <v>1</v>
      </c>
      <c r="GK53">
        <f t="shared" si="180"/>
        <v>1</v>
      </c>
      <c r="GL53">
        <f t="shared" si="181"/>
        <v>1</v>
      </c>
      <c r="GM53">
        <f t="shared" si="182"/>
        <v>1</v>
      </c>
      <c r="GN53">
        <f t="shared" si="183"/>
        <v>1</v>
      </c>
      <c r="GO53">
        <f t="shared" si="184"/>
        <v>1</v>
      </c>
      <c r="GP53">
        <f t="shared" si="185"/>
        <v>1</v>
      </c>
      <c r="GQ53">
        <f t="shared" si="186"/>
        <v>1</v>
      </c>
      <c r="GR53">
        <f t="shared" si="187"/>
        <v>1</v>
      </c>
      <c r="GS53">
        <f t="shared" si="188"/>
        <v>1</v>
      </c>
      <c r="GT53">
        <f t="shared" si="189"/>
        <v>1</v>
      </c>
      <c r="GU53">
        <f t="shared" si="190"/>
        <v>1</v>
      </c>
      <c r="GX53" s="10"/>
    </row>
    <row r="54" spans="1:206" x14ac:dyDescent="0.3">
      <c r="A54" s="15" t="s">
        <v>41</v>
      </c>
      <c r="B54" s="80"/>
      <c r="C54" s="9">
        <v>3131961001</v>
      </c>
      <c r="D54" s="9" t="s">
        <v>354</v>
      </c>
      <c r="E54" s="9" t="s">
        <v>39</v>
      </c>
      <c r="F54" s="9" t="s">
        <v>35</v>
      </c>
      <c r="G54" s="9" t="s">
        <v>85</v>
      </c>
      <c r="H54" s="10">
        <v>44463</v>
      </c>
      <c r="I54" s="9">
        <f t="shared" si="191"/>
        <v>2021</v>
      </c>
      <c r="J54" s="9">
        <f t="shared" si="192"/>
        <v>9</v>
      </c>
      <c r="K54" s="9" t="str">
        <f t="shared" si="193"/>
        <v>2021_9</v>
      </c>
      <c r="L54">
        <f>MAX(0,VLOOKUP($K54,lookups!$A$1:$B$45,2,0)-12)</f>
        <v>5</v>
      </c>
      <c r="M54" s="40">
        <f t="shared" si="194"/>
        <v>44440</v>
      </c>
      <c r="N54" s="10" t="s">
        <v>37</v>
      </c>
      <c r="O54" t="str">
        <f ca="1">IF(OR($L54&gt;O$4,O$4&gt;$L54+23),"",OFFSET(Electric!$L45,0,-'Electric Calendarize'!$L54+'Electric Calendarize'!O$4+1))</f>
        <v/>
      </c>
      <c r="P54" t="str">
        <f ca="1">IF(OR($L54&gt;P$4,P$4&gt;$L54+23),"",OFFSET(Electric!$L45,0,-'Electric Calendarize'!$L54+'Electric Calendarize'!P$4+1))</f>
        <v/>
      </c>
      <c r="Q54" t="str">
        <f ca="1">IF(OR($L54&gt;Q$4,Q$4&gt;$L54+23),"",OFFSET(Electric!$L45,0,-'Electric Calendarize'!$L54+'Electric Calendarize'!Q$4+1))</f>
        <v/>
      </c>
      <c r="R54" t="str">
        <f ca="1">IF(OR($L54&gt;R$4,R$4&gt;$L54+23),"",OFFSET(Electric!$L45,0,-'Electric Calendarize'!$L54+'Electric Calendarize'!R$4+1))</f>
        <v/>
      </c>
      <c r="S54" t="str">
        <f ca="1">IF(OR($L54&gt;S$4,S$4&gt;$L54+23),"",OFFSET(Electric!$L45,0,-'Electric Calendarize'!$L54+'Electric Calendarize'!S$4+1))</f>
        <v/>
      </c>
      <c r="T54">
        <f ca="1">IF(OR($L54&gt;T$4,T$4&gt;$L54+23),"",OFFSET(Electric!$L45,0,-'Electric Calendarize'!$L54+'Electric Calendarize'!T$4+1))</f>
        <v>494</v>
      </c>
      <c r="U54">
        <f ca="1">IF(OR($L54&gt;U$4,U$4&gt;$L54+23),"",OFFSET(Electric!$L45,0,-'Electric Calendarize'!$L54+'Electric Calendarize'!U$4+1))</f>
        <v>367</v>
      </c>
      <c r="V54">
        <f ca="1">IF(OR($L54&gt;V$4,V$4&gt;$L54+23),"",OFFSET(Electric!$L45,0,-'Electric Calendarize'!$L54+'Electric Calendarize'!V$4+1))</f>
        <v>410</v>
      </c>
      <c r="W54">
        <f ca="1">IF(OR($L54&gt;W$4,W$4&gt;$L54+23),"",OFFSET(Electric!$L45,0,-'Electric Calendarize'!$L54+'Electric Calendarize'!W$4+1))</f>
        <v>517</v>
      </c>
      <c r="X54">
        <f ca="1">IF(OR($L54&gt;X$4,X$4&gt;$L54+23),"",OFFSET(Electric!$L45,0,-'Electric Calendarize'!$L54+'Electric Calendarize'!X$4+1))</f>
        <v>450</v>
      </c>
      <c r="Y54">
        <f ca="1">IF(OR($L54&gt;Y$4,Y$4&gt;$L54+23),"",OFFSET(Electric!$L45,0,-'Electric Calendarize'!$L54+'Electric Calendarize'!Y$4+1))</f>
        <v>424</v>
      </c>
      <c r="Z54">
        <f ca="1">IF(OR($L54&gt;Z$4,Z$4&gt;$L54+23),"",OFFSET(Electric!$L45,0,-'Electric Calendarize'!$L54+'Electric Calendarize'!Z$4+1))</f>
        <v>434</v>
      </c>
      <c r="AA54">
        <f ca="1">IF(OR($L54&gt;AA$4,AA$4&gt;$L54+23),"",OFFSET(Electric!$L45,0,-'Electric Calendarize'!$L54+'Electric Calendarize'!AA$4+1))</f>
        <v>483</v>
      </c>
      <c r="AB54">
        <f ca="1">IF(OR($L54&gt;AB$4,AB$4&gt;$L54+23),"",OFFSET(Electric!$L45,0,-'Electric Calendarize'!$L54+'Electric Calendarize'!AB$4+1))</f>
        <v>427</v>
      </c>
      <c r="AC54">
        <f ca="1">IF(OR($L54&gt;AC$4,AC$4&gt;$L54+23),"",OFFSET(Electric!$L45,0,-'Electric Calendarize'!$L54+'Electric Calendarize'!AC$4+1))</f>
        <v>554</v>
      </c>
      <c r="AD54">
        <f ca="1">IF(OR($L54&gt;AD$4,AD$4&gt;$L54+23),"",OFFSET(Electric!$L45,0,-'Electric Calendarize'!$L54+'Electric Calendarize'!AD$4+1))</f>
        <v>824</v>
      </c>
      <c r="AE54">
        <f ca="1">IF(OR($L54&gt;AE$4,AE$4&gt;$L54+23),"",OFFSET(Electric!$L45,0,-'Electric Calendarize'!$L54+'Electric Calendarize'!AE$4+1))</f>
        <v>774</v>
      </c>
      <c r="AF54">
        <f ca="1">IF(OR($L54&gt;AF$4,AF$4&gt;$L54+23),"",OFFSET(Electric!$L45,0,-'Electric Calendarize'!$L54+'Electric Calendarize'!AF$4+1))</f>
        <v>717</v>
      </c>
      <c r="AG54">
        <f ca="1">IF(OR($L54&gt;AG$4,AG$4&gt;$L54+23),"",OFFSET(Electric!$L45,0,-'Electric Calendarize'!$L54+'Electric Calendarize'!AG$4+1))</f>
        <v>633</v>
      </c>
      <c r="AH54">
        <f ca="1">IF(OR($L54&gt;AH$4,AH$4&gt;$L54+23),"",OFFSET(Electric!$L45,0,-'Electric Calendarize'!$L54+'Electric Calendarize'!AH$4+1))</f>
        <v>775</v>
      </c>
      <c r="AI54">
        <f ca="1">IF(OR($L54&gt;AI$4,AI$4&gt;$L54+23),"",OFFSET(Electric!$L45,0,-'Electric Calendarize'!$L54+'Electric Calendarize'!AI$4+1))</f>
        <v>1018</v>
      </c>
      <c r="AJ54">
        <f ca="1">IF(OR($L54&gt;AJ$4,AJ$4&gt;$L54+23),"",OFFSET(Electric!$L45,0,-'Electric Calendarize'!$L54+'Electric Calendarize'!AJ$4+1))</f>
        <v>1217</v>
      </c>
      <c r="AK54">
        <f ca="1">IF(OR($L54&gt;AK$4,AK$4&gt;$L54+23),"",OFFSET(Electric!$L45,0,-'Electric Calendarize'!$L54+'Electric Calendarize'!AK$4+1))</f>
        <v>1146</v>
      </c>
      <c r="AL54">
        <f ca="1">IF(OR($L54&gt;AL$4,AL$4&gt;$L54+23),"",OFFSET(Electric!$L45,0,-'Electric Calendarize'!$L54+'Electric Calendarize'!AL$4+1))</f>
        <v>739</v>
      </c>
      <c r="AM54">
        <f ca="1">IF(OR($L54&gt;AM$4,AM$4&gt;$L54+23),"",OFFSET(Electric!$L45,0,-'Electric Calendarize'!$L54+'Electric Calendarize'!AM$4+1))</f>
        <v>652</v>
      </c>
      <c r="AN54">
        <f ca="1">IF(OR($L54&gt;AN$4,AN$4&gt;$L54+23),"",OFFSET(Electric!$L45,0,-'Electric Calendarize'!$L54+'Electric Calendarize'!AN$4+1))</f>
        <v>822</v>
      </c>
      <c r="AO54">
        <f ca="1">IF(OR($L54&gt;AO$4,AO$4&gt;$L54+23),"",OFFSET(Electric!$L45,0,-'Electric Calendarize'!$L54+'Electric Calendarize'!AO$4+1))</f>
        <v>577</v>
      </c>
      <c r="AP54">
        <f ca="1">IF(OR($L54&gt;AP$4,AP$4&gt;$L54+23),"",OFFSET(Electric!$L45,0,-'Electric Calendarize'!$L54+'Electric Calendarize'!AP$4+1))</f>
        <v>884</v>
      </c>
      <c r="AQ54">
        <f ca="1">IF(OR($L54&gt;AQ$4,AQ$4&gt;$L54+23),"",OFFSET(Electric!$L45,0,-'Electric Calendarize'!$L54+'Electric Calendarize'!AQ$4+1))</f>
        <v>860</v>
      </c>
      <c r="AR54" t="str">
        <f ca="1">IF(OR($L54&gt;AR$4,AR$4&gt;$L54+23),"",OFFSET(Electric!$L45,0,-'Electric Calendarize'!$L54+'Electric Calendarize'!AR$4+1))</f>
        <v/>
      </c>
      <c r="AS54" t="str">
        <f ca="1">IF(OR($L54&gt;AS$4,AS$4&gt;$L54+23),"",OFFSET(Electric!$L45,0,-'Electric Calendarize'!$L54+'Electric Calendarize'!AS$4+1))</f>
        <v/>
      </c>
      <c r="AT54" t="str">
        <f ca="1">IF(OR($L54&gt;AT$4,AT$4&gt;$L54+23),"",OFFSET(Electric!$L45,0,-'Electric Calendarize'!$L54+'Electric Calendarize'!AT$4+1))</f>
        <v/>
      </c>
      <c r="AU54" t="str">
        <f ca="1">IF(OR($L54&gt;AU$4,AU$4&gt;$L54+23),"",OFFSET(Electric!$L45,0,-'Electric Calendarize'!$L54+'Electric Calendarize'!AU$4+1))</f>
        <v/>
      </c>
      <c r="AV54" t="str">
        <f ca="1">IF(OR($L54&gt;AV$4,AV$4&gt;$L54+23),"",OFFSET(Electric!$L45,0,-'Electric Calendarize'!$L54+'Electric Calendarize'!AV$4+1))</f>
        <v/>
      </c>
      <c r="AW54" t="str">
        <f ca="1">IF(OR($L54&gt;AW$4,AW$4&gt;$L54+23),"",OFFSET(Electric!$L45,0,-'Electric Calendarize'!$L54+'Electric Calendarize'!AW$4+1))</f>
        <v/>
      </c>
      <c r="AX54" t="str">
        <f ca="1">IF(OR($L54&gt;AX$4,AX$4&gt;$L54+23),"",OFFSET(Electric!$L45,0,-'Electric Calendarize'!$L54+'Electric Calendarize'!AX$4+1))</f>
        <v/>
      </c>
      <c r="AY54" t="str">
        <f ca="1">IF(OR($L54&gt;AY$4,AY$4&gt;$L54+23),"",OFFSET(Electric!$L45,0,-'Electric Calendarize'!$L54+'Electric Calendarize'!AY$4+1))</f>
        <v/>
      </c>
      <c r="AZ54" t="str">
        <f ca="1">IF(OR($L54&gt;AZ$4,AZ$4&gt;$L54+23),"",OFFSET(Electric!$L45,0,-'Electric Calendarize'!$L54+'Electric Calendarize'!AZ$4+1))</f>
        <v/>
      </c>
      <c r="BA54" t="str">
        <f ca="1">IF(OR($L54&gt;BA$4,BA$4&gt;$L54+23),"",OFFSET(Electric!$L45,0,-'Electric Calendarize'!$L54+'Electric Calendarize'!BA$4+1))</f>
        <v/>
      </c>
      <c r="BB54" t="str">
        <f ca="1">IF(OR($L54&gt;BB$4,BB$4&gt;$L54+23),"",OFFSET(Electric!$L45,0,-'Electric Calendarize'!$L54+'Electric Calendarize'!BB$4+1))</f>
        <v/>
      </c>
      <c r="BC54" t="str">
        <f ca="1">IF(OR($L54&gt;BC$4,BC$4&gt;$L54+23),"",OFFSET(Electric!$L45,0,-'Electric Calendarize'!$L54+'Electric Calendarize'!BC$4+1))</f>
        <v/>
      </c>
      <c r="BD54" t="str">
        <f ca="1">IF(OR($L54&gt;BD$4,BD$4&gt;$L54+23),"",OFFSET(Electric!$L45,0,-'Electric Calendarize'!$L54+'Electric Calendarize'!BD$4+1))</f>
        <v/>
      </c>
      <c r="BE54" t="str">
        <f ca="1">IF(OR($L54&gt;BE$4,BE$4&gt;$L54+23),"",OFFSET(Electric!$L45,0,-'Electric Calendarize'!$L54+'Electric Calendarize'!BE$4+1))</f>
        <v/>
      </c>
      <c r="BF54" t="str">
        <f ca="1">IF(OR($L54&gt;BF$4,BF$4&gt;$L54+23),"",OFFSET(Electric!$L45,0,-'Electric Calendarize'!$L54+'Electric Calendarize'!BF$4+1))</f>
        <v/>
      </c>
      <c r="BG54" t="str">
        <f ca="1">IF(OR($L54&gt;BG$4,BG$4&gt;$L54+23),"",OFFSET(Electric!$L45,0,-'Electric Calendarize'!$L54+'Electric Calendarize'!BG$4+1))</f>
        <v/>
      </c>
      <c r="BJ54" s="10" t="s">
        <v>37</v>
      </c>
      <c r="BK54">
        <f t="shared" si="195"/>
        <v>1</v>
      </c>
      <c r="BL54">
        <f t="shared" si="100"/>
        <v>0</v>
      </c>
      <c r="BM54">
        <f t="shared" si="101"/>
        <v>0</v>
      </c>
      <c r="BN54">
        <f t="shared" si="102"/>
        <v>0</v>
      </c>
      <c r="BO54">
        <f t="shared" si="103"/>
        <v>0</v>
      </c>
      <c r="BP54">
        <f t="shared" si="104"/>
        <v>0</v>
      </c>
      <c r="BQ54">
        <f t="shared" si="105"/>
        <v>0</v>
      </c>
      <c r="BR54">
        <f t="shared" si="106"/>
        <v>1</v>
      </c>
      <c r="BS54">
        <f t="shared" si="107"/>
        <v>1</v>
      </c>
      <c r="BT54">
        <f t="shared" si="108"/>
        <v>1</v>
      </c>
      <c r="BU54">
        <f t="shared" si="109"/>
        <v>1</v>
      </c>
      <c r="BV54">
        <f t="shared" si="110"/>
        <v>1</v>
      </c>
      <c r="BW54">
        <f t="shared" si="111"/>
        <v>1</v>
      </c>
      <c r="BX54">
        <f t="shared" si="112"/>
        <v>0</v>
      </c>
      <c r="BY54">
        <f t="shared" si="113"/>
        <v>0</v>
      </c>
      <c r="BZ54">
        <f t="shared" si="114"/>
        <v>0</v>
      </c>
      <c r="CA54">
        <f t="shared" si="115"/>
        <v>0</v>
      </c>
      <c r="CB54">
        <f t="shared" si="116"/>
        <v>0</v>
      </c>
      <c r="CC54">
        <f t="shared" si="117"/>
        <v>0</v>
      </c>
      <c r="CD54">
        <f t="shared" si="118"/>
        <v>1</v>
      </c>
      <c r="CE54">
        <f t="shared" si="119"/>
        <v>1</v>
      </c>
      <c r="CF54">
        <f t="shared" si="120"/>
        <v>1</v>
      </c>
      <c r="CG54">
        <f t="shared" si="121"/>
        <v>1</v>
      </c>
      <c r="CH54">
        <f t="shared" si="122"/>
        <v>1</v>
      </c>
      <c r="CI54">
        <f t="shared" si="123"/>
        <v>1</v>
      </c>
      <c r="CJ54">
        <f t="shared" si="124"/>
        <v>0</v>
      </c>
      <c r="CK54">
        <f t="shared" si="125"/>
        <v>0</v>
      </c>
      <c r="CL54">
        <f t="shared" si="126"/>
        <v>0</v>
      </c>
      <c r="CM54">
        <f t="shared" si="127"/>
        <v>0</v>
      </c>
      <c r="CN54">
        <f t="shared" si="128"/>
        <v>0</v>
      </c>
      <c r="CO54">
        <f t="shared" si="129"/>
        <v>0</v>
      </c>
      <c r="CP54">
        <f t="shared" si="130"/>
        <v>1</v>
      </c>
      <c r="CQ54">
        <f t="shared" si="131"/>
        <v>1</v>
      </c>
      <c r="CR54">
        <f t="shared" si="132"/>
        <v>1</v>
      </c>
      <c r="CS54">
        <f t="shared" si="133"/>
        <v>1</v>
      </c>
      <c r="CT54">
        <f t="shared" si="134"/>
        <v>1</v>
      </c>
      <c r="CU54">
        <f t="shared" si="135"/>
        <v>1</v>
      </c>
      <c r="CV54">
        <f t="shared" si="136"/>
        <v>0</v>
      </c>
      <c r="CW54">
        <f t="shared" si="137"/>
        <v>0</v>
      </c>
      <c r="CX54">
        <f t="shared" si="138"/>
        <v>0</v>
      </c>
      <c r="CY54">
        <f t="shared" si="139"/>
        <v>0</v>
      </c>
      <c r="CZ54">
        <f t="shared" si="140"/>
        <v>0</v>
      </c>
      <c r="DA54">
        <f t="shared" si="141"/>
        <v>0</v>
      </c>
      <c r="DB54">
        <f t="shared" si="142"/>
        <v>1</v>
      </c>
      <c r="DC54">
        <f t="shared" si="143"/>
        <v>1</v>
      </c>
      <c r="DF54" s="10" t="s">
        <v>37</v>
      </c>
      <c r="DG54" t="str">
        <f t="shared" si="204"/>
        <v>2021_9</v>
      </c>
      <c r="DH54" t="str">
        <f t="shared" si="204"/>
        <v>2021_9</v>
      </c>
      <c r="DI54" t="str">
        <f t="shared" si="204"/>
        <v>2021_9</v>
      </c>
      <c r="DJ54" t="str">
        <f t="shared" si="204"/>
        <v>2021_9</v>
      </c>
      <c r="DK54" t="str">
        <f t="shared" si="204"/>
        <v>2021_9</v>
      </c>
      <c r="DL54" t="str">
        <f t="shared" si="204"/>
        <v>2021_9</v>
      </c>
      <c r="DM54" t="str">
        <f t="shared" si="204"/>
        <v>2021_9</v>
      </c>
      <c r="DN54" t="str">
        <f t="shared" si="204"/>
        <v>2021_9</v>
      </c>
      <c r="DO54" t="str">
        <f t="shared" si="204"/>
        <v>2021_9</v>
      </c>
      <c r="DP54" t="str">
        <f t="shared" si="204"/>
        <v>2021_9</v>
      </c>
      <c r="DQ54" t="str">
        <f t="shared" si="204"/>
        <v>2021_9</v>
      </c>
      <c r="DR54" t="str">
        <f t="shared" si="204"/>
        <v>2021_9</v>
      </c>
      <c r="DS54" t="str">
        <f t="shared" si="204"/>
        <v>2021_9</v>
      </c>
      <c r="DT54" t="str">
        <f t="shared" si="204"/>
        <v>2021_9</v>
      </c>
      <c r="DU54" t="str">
        <f t="shared" si="204"/>
        <v>2021_9</v>
      </c>
      <c r="DV54" t="str">
        <f t="shared" si="203"/>
        <v>2021_9</v>
      </c>
      <c r="DW54" t="str">
        <f t="shared" si="201"/>
        <v>2021_9</v>
      </c>
      <c r="DX54" t="str">
        <f t="shared" si="201"/>
        <v>2021_9</v>
      </c>
      <c r="DY54" t="str">
        <f t="shared" si="201"/>
        <v>2021_9</v>
      </c>
      <c r="DZ54" t="str">
        <f t="shared" si="201"/>
        <v>2021_9</v>
      </c>
      <c r="EA54" t="str">
        <f t="shared" si="201"/>
        <v>2021_9</v>
      </c>
      <c r="EB54" t="str">
        <f t="shared" si="201"/>
        <v>2021_9</v>
      </c>
      <c r="EC54" t="str">
        <f t="shared" si="201"/>
        <v>2021_9</v>
      </c>
      <c r="ED54" t="str">
        <f t="shared" si="201"/>
        <v>2021_9</v>
      </c>
      <c r="EE54" t="str">
        <f t="shared" si="201"/>
        <v>2021_9</v>
      </c>
      <c r="EF54" t="str">
        <f t="shared" si="201"/>
        <v>2021_9</v>
      </c>
      <c r="EG54" t="str">
        <f t="shared" si="201"/>
        <v>2021_9</v>
      </c>
      <c r="EH54" t="str">
        <f t="shared" si="201"/>
        <v>2021_9</v>
      </c>
      <c r="EI54" t="str">
        <f t="shared" si="201"/>
        <v>2021_9</v>
      </c>
      <c r="EJ54" t="str">
        <f t="shared" si="201"/>
        <v>2021_9</v>
      </c>
      <c r="EK54" t="str">
        <f t="shared" si="201"/>
        <v>2021_9</v>
      </c>
      <c r="EL54" t="str">
        <f t="shared" si="201"/>
        <v>2021_9</v>
      </c>
      <c r="EM54" t="str">
        <f t="shared" si="202"/>
        <v>2021_9</v>
      </c>
      <c r="EN54" t="str">
        <f t="shared" si="202"/>
        <v>2021_9</v>
      </c>
      <c r="EO54" t="str">
        <f t="shared" si="202"/>
        <v>2021_9</v>
      </c>
      <c r="EP54" t="str">
        <f t="shared" si="202"/>
        <v>2021_9</v>
      </c>
      <c r="EQ54" t="str">
        <f t="shared" si="202"/>
        <v>2021_9</v>
      </c>
      <c r="ER54" t="str">
        <f t="shared" si="202"/>
        <v>2021_9</v>
      </c>
      <c r="ES54" t="str">
        <f t="shared" si="202"/>
        <v>2021_9</v>
      </c>
      <c r="ET54" t="str">
        <f t="shared" si="202"/>
        <v>2021_9</v>
      </c>
      <c r="EU54" t="str">
        <f t="shared" si="202"/>
        <v>2021_9</v>
      </c>
      <c r="EV54" t="str">
        <f t="shared" si="202"/>
        <v>2021_9</v>
      </c>
      <c r="EW54" t="str">
        <f t="shared" si="202"/>
        <v>2021_9</v>
      </c>
      <c r="EX54" t="str">
        <f t="shared" si="202"/>
        <v>2021_9</v>
      </c>
      <c r="EY54" t="str">
        <f t="shared" si="202"/>
        <v>2021_9</v>
      </c>
      <c r="FB54" s="10" t="s">
        <v>37</v>
      </c>
      <c r="FC54">
        <f t="shared" si="197"/>
        <v>0</v>
      </c>
      <c r="FD54">
        <f t="shared" si="147"/>
        <v>0</v>
      </c>
      <c r="FE54">
        <f t="shared" si="148"/>
        <v>0</v>
      </c>
      <c r="FF54">
        <f t="shared" si="149"/>
        <v>0</v>
      </c>
      <c r="FG54">
        <f t="shared" si="150"/>
        <v>0</v>
      </c>
      <c r="FH54">
        <f t="shared" si="151"/>
        <v>0</v>
      </c>
      <c r="FI54">
        <f t="shared" si="152"/>
        <v>0</v>
      </c>
      <c r="FJ54">
        <f t="shared" si="153"/>
        <v>0</v>
      </c>
      <c r="FK54">
        <f t="shared" si="154"/>
        <v>0</v>
      </c>
      <c r="FL54">
        <f t="shared" si="155"/>
        <v>0</v>
      </c>
      <c r="FM54">
        <f t="shared" si="156"/>
        <v>0</v>
      </c>
      <c r="FN54">
        <f t="shared" si="157"/>
        <v>0</v>
      </c>
      <c r="FO54">
        <f t="shared" si="158"/>
        <v>0</v>
      </c>
      <c r="FP54">
        <f t="shared" si="159"/>
        <v>0</v>
      </c>
      <c r="FQ54">
        <f t="shared" si="160"/>
        <v>0</v>
      </c>
      <c r="FR54">
        <f t="shared" si="161"/>
        <v>0</v>
      </c>
      <c r="FS54">
        <f t="shared" si="162"/>
        <v>0</v>
      </c>
      <c r="FT54">
        <f t="shared" si="163"/>
        <v>1</v>
      </c>
      <c r="FU54">
        <f t="shared" si="164"/>
        <v>1</v>
      </c>
      <c r="FV54">
        <f t="shared" si="165"/>
        <v>1</v>
      </c>
      <c r="FW54">
        <f t="shared" si="166"/>
        <v>1</v>
      </c>
      <c r="FX54">
        <f t="shared" si="167"/>
        <v>1</v>
      </c>
      <c r="FY54">
        <f t="shared" si="168"/>
        <v>1</v>
      </c>
      <c r="FZ54">
        <f t="shared" si="169"/>
        <v>1</v>
      </c>
      <c r="GA54">
        <f t="shared" si="170"/>
        <v>1</v>
      </c>
      <c r="GB54">
        <f t="shared" si="171"/>
        <v>1</v>
      </c>
      <c r="GC54">
        <f t="shared" si="172"/>
        <v>1</v>
      </c>
      <c r="GD54">
        <f t="shared" si="173"/>
        <v>1</v>
      </c>
      <c r="GE54">
        <f t="shared" si="174"/>
        <v>1</v>
      </c>
      <c r="GF54">
        <f t="shared" si="175"/>
        <v>1</v>
      </c>
      <c r="GG54">
        <f t="shared" si="176"/>
        <v>1</v>
      </c>
      <c r="GH54">
        <f t="shared" si="177"/>
        <v>1</v>
      </c>
      <c r="GI54">
        <f t="shared" si="178"/>
        <v>1</v>
      </c>
      <c r="GJ54">
        <f t="shared" si="179"/>
        <v>1</v>
      </c>
      <c r="GK54">
        <f t="shared" si="180"/>
        <v>1</v>
      </c>
      <c r="GL54">
        <f t="shared" si="181"/>
        <v>1</v>
      </c>
      <c r="GM54">
        <f t="shared" si="182"/>
        <v>1</v>
      </c>
      <c r="GN54">
        <f t="shared" si="183"/>
        <v>1</v>
      </c>
      <c r="GO54">
        <f t="shared" si="184"/>
        <v>1</v>
      </c>
      <c r="GP54">
        <f t="shared" si="185"/>
        <v>1</v>
      </c>
      <c r="GQ54">
        <f t="shared" si="186"/>
        <v>1</v>
      </c>
      <c r="GR54">
        <f t="shared" si="187"/>
        <v>1</v>
      </c>
      <c r="GS54">
        <f t="shared" si="188"/>
        <v>1</v>
      </c>
      <c r="GT54">
        <f t="shared" si="189"/>
        <v>1</v>
      </c>
      <c r="GU54">
        <f t="shared" si="190"/>
        <v>1</v>
      </c>
      <c r="GX54" s="10"/>
    </row>
    <row r="55" spans="1:206" x14ac:dyDescent="0.3">
      <c r="A55" s="15" t="s">
        <v>41</v>
      </c>
      <c r="B55" s="80"/>
      <c r="C55" s="9">
        <v>3052412005</v>
      </c>
      <c r="D55" s="9" t="s">
        <v>387</v>
      </c>
      <c r="E55" s="9" t="s">
        <v>34</v>
      </c>
      <c r="F55" s="9" t="s">
        <v>35</v>
      </c>
      <c r="G55" s="9" t="s">
        <v>86</v>
      </c>
      <c r="H55" s="10">
        <v>44469</v>
      </c>
      <c r="I55" s="9">
        <f t="shared" si="191"/>
        <v>2021</v>
      </c>
      <c r="J55" s="9">
        <f t="shared" si="192"/>
        <v>9</v>
      </c>
      <c r="K55" s="9" t="str">
        <f t="shared" si="193"/>
        <v>2021_9</v>
      </c>
      <c r="L55">
        <f>MAX(0,VLOOKUP($K55,lookups!$A$1:$B$45,2,0)-12)</f>
        <v>5</v>
      </c>
      <c r="M55" s="40">
        <f t="shared" si="194"/>
        <v>44440</v>
      </c>
      <c r="N55" s="10" t="s">
        <v>37</v>
      </c>
      <c r="O55" t="str">
        <f ca="1">IF(OR($L55&gt;O$4,O$4&gt;$L55+23),"",OFFSET(Electric!$L46,0,-'Electric Calendarize'!$L55+'Electric Calendarize'!O$4+1))</f>
        <v/>
      </c>
      <c r="P55" t="str">
        <f ca="1">IF(OR($L55&gt;P$4,P$4&gt;$L55+23),"",OFFSET(Electric!$L46,0,-'Electric Calendarize'!$L55+'Electric Calendarize'!P$4+1))</f>
        <v/>
      </c>
      <c r="Q55" t="str">
        <f ca="1">IF(OR($L55&gt;Q$4,Q$4&gt;$L55+23),"",OFFSET(Electric!$L46,0,-'Electric Calendarize'!$L55+'Electric Calendarize'!Q$4+1))</f>
        <v/>
      </c>
      <c r="R55" t="str">
        <f ca="1">IF(OR($L55&gt;R$4,R$4&gt;$L55+23),"",OFFSET(Electric!$L46,0,-'Electric Calendarize'!$L55+'Electric Calendarize'!R$4+1))</f>
        <v/>
      </c>
      <c r="S55" t="str">
        <f ca="1">IF(OR($L55&gt;S$4,S$4&gt;$L55+23),"",OFFSET(Electric!$L46,0,-'Electric Calendarize'!$L55+'Electric Calendarize'!S$4+1))</f>
        <v/>
      </c>
      <c r="T55">
        <f ca="1">IF(OR($L55&gt;T$4,T$4&gt;$L55+23),"",OFFSET(Electric!$L46,0,-'Electric Calendarize'!$L55+'Electric Calendarize'!T$4+1))</f>
        <v>0</v>
      </c>
      <c r="U55">
        <f ca="1">IF(OR($L55&gt;U$4,U$4&gt;$L55+23),"",OFFSET(Electric!$L46,0,-'Electric Calendarize'!$L55+'Electric Calendarize'!U$4+1))</f>
        <v>0</v>
      </c>
      <c r="V55">
        <f ca="1">IF(OR($L55&gt;V$4,V$4&gt;$L55+23),"",OFFSET(Electric!$L46,0,-'Electric Calendarize'!$L55+'Electric Calendarize'!V$4+1))</f>
        <v>0</v>
      </c>
      <c r="W55">
        <f ca="1">IF(OR($L55&gt;W$4,W$4&gt;$L55+23),"",OFFSET(Electric!$L46,0,-'Electric Calendarize'!$L55+'Electric Calendarize'!W$4+1))</f>
        <v>0</v>
      </c>
      <c r="X55">
        <f ca="1">IF(OR($L55&gt;X$4,X$4&gt;$L55+23),"",OFFSET(Electric!$L46,0,-'Electric Calendarize'!$L55+'Electric Calendarize'!X$4+1))</f>
        <v>0</v>
      </c>
      <c r="Y55">
        <f ca="1">IF(OR($L55&gt;Y$4,Y$4&gt;$L55+23),"",OFFSET(Electric!$L46,0,-'Electric Calendarize'!$L55+'Electric Calendarize'!Y$4+1))</f>
        <v>0</v>
      </c>
      <c r="Z55">
        <f ca="1">IF(OR($L55&gt;Z$4,Z$4&gt;$L55+23),"",OFFSET(Electric!$L46,0,-'Electric Calendarize'!$L55+'Electric Calendarize'!Z$4+1))</f>
        <v>0</v>
      </c>
      <c r="AA55">
        <f ca="1">IF(OR($L55&gt;AA$4,AA$4&gt;$L55+23),"",OFFSET(Electric!$L46,0,-'Electric Calendarize'!$L55+'Electric Calendarize'!AA$4+1))</f>
        <v>0</v>
      </c>
      <c r="AB55">
        <f ca="1">IF(OR($L55&gt;AB$4,AB$4&gt;$L55+23),"",OFFSET(Electric!$L46,0,-'Electric Calendarize'!$L55+'Electric Calendarize'!AB$4+1))</f>
        <v>0</v>
      </c>
      <c r="AC55">
        <f ca="1">IF(OR($L55&gt;AC$4,AC$4&gt;$L55+23),"",OFFSET(Electric!$L46,0,-'Electric Calendarize'!$L55+'Electric Calendarize'!AC$4+1))</f>
        <v>0</v>
      </c>
      <c r="AD55">
        <f ca="1">IF(OR($L55&gt;AD$4,AD$4&gt;$L55+23),"",OFFSET(Electric!$L46,0,-'Electric Calendarize'!$L55+'Electric Calendarize'!AD$4+1))</f>
        <v>245</v>
      </c>
      <c r="AE55">
        <f ca="1">IF(OR($L55&gt;AE$4,AE$4&gt;$L55+23),"",OFFSET(Electric!$L46,0,-'Electric Calendarize'!$L55+'Electric Calendarize'!AE$4+1))</f>
        <v>1133</v>
      </c>
      <c r="AF55">
        <f ca="1">IF(OR($L55&gt;AF$4,AF$4&gt;$L55+23),"",OFFSET(Electric!$L46,0,-'Electric Calendarize'!$L55+'Electric Calendarize'!AF$4+1))</f>
        <v>1114</v>
      </c>
      <c r="AG55">
        <f ca="1">IF(OR($L55&gt;AG$4,AG$4&gt;$L55+23),"",OFFSET(Electric!$L46,0,-'Electric Calendarize'!$L55+'Electric Calendarize'!AG$4+1))</f>
        <v>975</v>
      </c>
      <c r="AH55">
        <f ca="1">IF(OR($L55&gt;AH$4,AH$4&gt;$L55+23),"",OFFSET(Electric!$L46,0,-'Electric Calendarize'!$L55+'Electric Calendarize'!AH$4+1))</f>
        <v>780</v>
      </c>
      <c r="AI55">
        <f ca="1">IF(OR($L55&gt;AI$4,AI$4&gt;$L55+23),"",OFFSET(Electric!$L46,0,-'Electric Calendarize'!$L55+'Electric Calendarize'!AI$4+1))</f>
        <v>874</v>
      </c>
      <c r="AJ55">
        <f ca="1">IF(OR($L55&gt;AJ$4,AJ$4&gt;$L55+23),"",OFFSET(Electric!$L46,0,-'Electric Calendarize'!$L55+'Electric Calendarize'!AJ$4+1))</f>
        <v>1739</v>
      </c>
      <c r="AK55">
        <f ca="1">IF(OR($L55&gt;AK$4,AK$4&gt;$L55+23),"",OFFSET(Electric!$L46,0,-'Electric Calendarize'!$L55+'Electric Calendarize'!AK$4+1))</f>
        <v>1556</v>
      </c>
      <c r="AL55">
        <f ca="1">IF(OR($L55&gt;AL$4,AL$4&gt;$L55+23),"",OFFSET(Electric!$L46,0,-'Electric Calendarize'!$L55+'Electric Calendarize'!AL$4+1))</f>
        <v>1667</v>
      </c>
      <c r="AM55">
        <f ca="1">IF(OR($L55&gt;AM$4,AM$4&gt;$L55+23),"",OFFSET(Electric!$L46,0,-'Electric Calendarize'!$L55+'Electric Calendarize'!AM$4+1))</f>
        <v>1533</v>
      </c>
      <c r="AN55">
        <f ca="1">IF(OR($L55&gt;AN$4,AN$4&gt;$L55+23),"",OFFSET(Electric!$L46,0,-'Electric Calendarize'!$L55+'Electric Calendarize'!AN$4+1))</f>
        <v>939</v>
      </c>
      <c r="AO55">
        <f ca="1">IF(OR($L55&gt;AO$4,AO$4&gt;$L55+23),"",OFFSET(Electric!$L46,0,-'Electric Calendarize'!$L55+'Electric Calendarize'!AO$4+1))</f>
        <v>1139</v>
      </c>
      <c r="AP55">
        <f ca="1">IF(OR($L55&gt;AP$4,AP$4&gt;$L55+23),"",OFFSET(Electric!$L46,0,-'Electric Calendarize'!$L55+'Electric Calendarize'!AP$4+1))</f>
        <v>1058</v>
      </c>
      <c r="AQ55">
        <f ca="1">IF(OR($L55&gt;AQ$4,AQ$4&gt;$L55+23),"",OFFSET(Electric!$L46,0,-'Electric Calendarize'!$L55+'Electric Calendarize'!AQ$4+1))</f>
        <v>1180</v>
      </c>
      <c r="AR55" t="str">
        <f ca="1">IF(OR($L55&gt;AR$4,AR$4&gt;$L55+23),"",OFFSET(Electric!$L46,0,-'Electric Calendarize'!$L55+'Electric Calendarize'!AR$4+1))</f>
        <v/>
      </c>
      <c r="AS55" t="str">
        <f ca="1">IF(OR($L55&gt;AS$4,AS$4&gt;$L55+23),"",OFFSET(Electric!$L46,0,-'Electric Calendarize'!$L55+'Electric Calendarize'!AS$4+1))</f>
        <v/>
      </c>
      <c r="AT55" t="str">
        <f ca="1">IF(OR($L55&gt;AT$4,AT$4&gt;$L55+23),"",OFFSET(Electric!$L46,0,-'Electric Calendarize'!$L55+'Electric Calendarize'!AT$4+1))</f>
        <v/>
      </c>
      <c r="AU55" t="str">
        <f ca="1">IF(OR($L55&gt;AU$4,AU$4&gt;$L55+23),"",OFFSET(Electric!$L46,0,-'Electric Calendarize'!$L55+'Electric Calendarize'!AU$4+1))</f>
        <v/>
      </c>
      <c r="AV55" t="str">
        <f ca="1">IF(OR($L55&gt;AV$4,AV$4&gt;$L55+23),"",OFFSET(Electric!$L46,0,-'Electric Calendarize'!$L55+'Electric Calendarize'!AV$4+1))</f>
        <v/>
      </c>
      <c r="AW55" t="str">
        <f ca="1">IF(OR($L55&gt;AW$4,AW$4&gt;$L55+23),"",OFFSET(Electric!$L46,0,-'Electric Calendarize'!$L55+'Electric Calendarize'!AW$4+1))</f>
        <v/>
      </c>
      <c r="AX55" t="str">
        <f ca="1">IF(OR($L55&gt;AX$4,AX$4&gt;$L55+23),"",OFFSET(Electric!$L46,0,-'Electric Calendarize'!$L55+'Electric Calendarize'!AX$4+1))</f>
        <v/>
      </c>
      <c r="AY55" t="str">
        <f ca="1">IF(OR($L55&gt;AY$4,AY$4&gt;$L55+23),"",OFFSET(Electric!$L46,0,-'Electric Calendarize'!$L55+'Electric Calendarize'!AY$4+1))</f>
        <v/>
      </c>
      <c r="AZ55" t="str">
        <f ca="1">IF(OR($L55&gt;AZ$4,AZ$4&gt;$L55+23),"",OFFSET(Electric!$L46,0,-'Electric Calendarize'!$L55+'Electric Calendarize'!AZ$4+1))</f>
        <v/>
      </c>
      <c r="BA55" t="str">
        <f ca="1">IF(OR($L55&gt;BA$4,BA$4&gt;$L55+23),"",OFFSET(Electric!$L46,0,-'Electric Calendarize'!$L55+'Electric Calendarize'!BA$4+1))</f>
        <v/>
      </c>
      <c r="BB55" t="str">
        <f ca="1">IF(OR($L55&gt;BB$4,BB$4&gt;$L55+23),"",OFFSET(Electric!$L46,0,-'Electric Calendarize'!$L55+'Electric Calendarize'!BB$4+1))</f>
        <v/>
      </c>
      <c r="BC55" t="str">
        <f ca="1">IF(OR($L55&gt;BC$4,BC$4&gt;$L55+23),"",OFFSET(Electric!$L46,0,-'Electric Calendarize'!$L55+'Electric Calendarize'!BC$4+1))</f>
        <v/>
      </c>
      <c r="BD55" t="str">
        <f ca="1">IF(OR($L55&gt;BD$4,BD$4&gt;$L55+23),"",OFFSET(Electric!$L46,0,-'Electric Calendarize'!$L55+'Electric Calendarize'!BD$4+1))</f>
        <v/>
      </c>
      <c r="BE55" t="str">
        <f ca="1">IF(OR($L55&gt;BE$4,BE$4&gt;$L55+23),"",OFFSET(Electric!$L46,0,-'Electric Calendarize'!$L55+'Electric Calendarize'!BE$4+1))</f>
        <v/>
      </c>
      <c r="BF55" t="str">
        <f ca="1">IF(OR($L55&gt;BF$4,BF$4&gt;$L55+23),"",OFFSET(Electric!$L46,0,-'Electric Calendarize'!$L55+'Electric Calendarize'!BF$4+1))</f>
        <v/>
      </c>
      <c r="BG55" t="str">
        <f ca="1">IF(OR($L55&gt;BG$4,BG$4&gt;$L55+23),"",OFFSET(Electric!$L46,0,-'Electric Calendarize'!$L55+'Electric Calendarize'!BG$4+1))</f>
        <v/>
      </c>
      <c r="BJ55" s="10" t="s">
        <v>37</v>
      </c>
      <c r="BK55">
        <f t="shared" si="195"/>
        <v>1</v>
      </c>
      <c r="BL55">
        <f t="shared" si="100"/>
        <v>0</v>
      </c>
      <c r="BM55">
        <f t="shared" si="101"/>
        <v>0</v>
      </c>
      <c r="BN55">
        <f t="shared" si="102"/>
        <v>0</v>
      </c>
      <c r="BO55">
        <f t="shared" si="103"/>
        <v>0</v>
      </c>
      <c r="BP55">
        <f t="shared" si="104"/>
        <v>0</v>
      </c>
      <c r="BQ55">
        <f t="shared" si="105"/>
        <v>0</v>
      </c>
      <c r="BR55">
        <f t="shared" si="106"/>
        <v>1</v>
      </c>
      <c r="BS55">
        <f t="shared" si="107"/>
        <v>1</v>
      </c>
      <c r="BT55">
        <f t="shared" si="108"/>
        <v>1</v>
      </c>
      <c r="BU55">
        <f t="shared" si="109"/>
        <v>1</v>
      </c>
      <c r="BV55">
        <f t="shared" si="110"/>
        <v>1</v>
      </c>
      <c r="BW55">
        <f t="shared" si="111"/>
        <v>1</v>
      </c>
      <c r="BX55">
        <f t="shared" si="112"/>
        <v>0</v>
      </c>
      <c r="BY55">
        <f t="shared" si="113"/>
        <v>0</v>
      </c>
      <c r="BZ55">
        <f t="shared" si="114"/>
        <v>0</v>
      </c>
      <c r="CA55">
        <f t="shared" si="115"/>
        <v>0</v>
      </c>
      <c r="CB55">
        <f t="shared" si="116"/>
        <v>0</v>
      </c>
      <c r="CC55">
        <f t="shared" si="117"/>
        <v>0</v>
      </c>
      <c r="CD55">
        <f t="shared" si="118"/>
        <v>1</v>
      </c>
      <c r="CE55">
        <f t="shared" si="119"/>
        <v>1</v>
      </c>
      <c r="CF55">
        <f t="shared" si="120"/>
        <v>1</v>
      </c>
      <c r="CG55">
        <f t="shared" si="121"/>
        <v>1</v>
      </c>
      <c r="CH55">
        <f t="shared" si="122"/>
        <v>1</v>
      </c>
      <c r="CI55">
        <f t="shared" si="123"/>
        <v>1</v>
      </c>
      <c r="CJ55">
        <f t="shared" si="124"/>
        <v>0</v>
      </c>
      <c r="CK55">
        <f t="shared" si="125"/>
        <v>0</v>
      </c>
      <c r="CL55">
        <f t="shared" si="126"/>
        <v>0</v>
      </c>
      <c r="CM55">
        <f t="shared" si="127"/>
        <v>0</v>
      </c>
      <c r="CN55">
        <f t="shared" si="128"/>
        <v>0</v>
      </c>
      <c r="CO55">
        <f t="shared" si="129"/>
        <v>0</v>
      </c>
      <c r="CP55">
        <f t="shared" si="130"/>
        <v>1</v>
      </c>
      <c r="CQ55">
        <f t="shared" si="131"/>
        <v>1</v>
      </c>
      <c r="CR55">
        <f t="shared" si="132"/>
        <v>1</v>
      </c>
      <c r="CS55">
        <f t="shared" si="133"/>
        <v>1</v>
      </c>
      <c r="CT55">
        <f t="shared" si="134"/>
        <v>1</v>
      </c>
      <c r="CU55">
        <f t="shared" si="135"/>
        <v>1</v>
      </c>
      <c r="CV55">
        <f t="shared" si="136"/>
        <v>0</v>
      </c>
      <c r="CW55">
        <f t="shared" si="137"/>
        <v>0</v>
      </c>
      <c r="CX55">
        <f t="shared" si="138"/>
        <v>0</v>
      </c>
      <c r="CY55">
        <f t="shared" si="139"/>
        <v>0</v>
      </c>
      <c r="CZ55">
        <f t="shared" si="140"/>
        <v>0</v>
      </c>
      <c r="DA55">
        <f t="shared" si="141"/>
        <v>0</v>
      </c>
      <c r="DB55">
        <f t="shared" si="142"/>
        <v>1</v>
      </c>
      <c r="DC55">
        <f t="shared" si="143"/>
        <v>1</v>
      </c>
      <c r="DF55" s="10" t="s">
        <v>37</v>
      </c>
      <c r="DG55" t="str">
        <f t="shared" si="204"/>
        <v>2021_9</v>
      </c>
      <c r="DH55" t="str">
        <f t="shared" si="204"/>
        <v>2021_9</v>
      </c>
      <c r="DI55" t="str">
        <f t="shared" si="204"/>
        <v>2021_9</v>
      </c>
      <c r="DJ55" t="str">
        <f t="shared" si="204"/>
        <v>2021_9</v>
      </c>
      <c r="DK55" t="str">
        <f t="shared" si="204"/>
        <v>2021_9</v>
      </c>
      <c r="DL55" t="str">
        <f t="shared" si="204"/>
        <v>2021_9</v>
      </c>
      <c r="DM55" t="str">
        <f t="shared" si="204"/>
        <v>2021_9</v>
      </c>
      <c r="DN55" t="str">
        <f t="shared" si="204"/>
        <v>2021_9</v>
      </c>
      <c r="DO55" t="str">
        <f t="shared" si="204"/>
        <v>2021_9</v>
      </c>
      <c r="DP55" t="str">
        <f t="shared" si="204"/>
        <v>2021_9</v>
      </c>
      <c r="DQ55" t="str">
        <f t="shared" si="204"/>
        <v>2021_9</v>
      </c>
      <c r="DR55" t="str">
        <f t="shared" si="204"/>
        <v>2021_9</v>
      </c>
      <c r="DS55" t="str">
        <f t="shared" si="204"/>
        <v>2021_9</v>
      </c>
      <c r="DT55" t="str">
        <f t="shared" si="204"/>
        <v>2021_9</v>
      </c>
      <c r="DU55" t="str">
        <f t="shared" si="204"/>
        <v>2021_9</v>
      </c>
      <c r="DV55" t="str">
        <f t="shared" si="203"/>
        <v>2021_9</v>
      </c>
      <c r="DW55" t="str">
        <f t="shared" si="201"/>
        <v>2021_9</v>
      </c>
      <c r="DX55" t="str">
        <f t="shared" si="201"/>
        <v>2021_9</v>
      </c>
      <c r="DY55" t="str">
        <f t="shared" si="201"/>
        <v>2021_9</v>
      </c>
      <c r="DZ55" t="str">
        <f t="shared" si="201"/>
        <v>2021_9</v>
      </c>
      <c r="EA55" t="str">
        <f t="shared" si="201"/>
        <v>2021_9</v>
      </c>
      <c r="EB55" t="str">
        <f t="shared" si="201"/>
        <v>2021_9</v>
      </c>
      <c r="EC55" t="str">
        <f t="shared" si="201"/>
        <v>2021_9</v>
      </c>
      <c r="ED55" t="str">
        <f t="shared" si="201"/>
        <v>2021_9</v>
      </c>
      <c r="EE55" t="str">
        <f t="shared" si="201"/>
        <v>2021_9</v>
      </c>
      <c r="EF55" t="str">
        <f t="shared" si="201"/>
        <v>2021_9</v>
      </c>
      <c r="EG55" t="str">
        <f t="shared" si="201"/>
        <v>2021_9</v>
      </c>
      <c r="EH55" t="str">
        <f t="shared" si="201"/>
        <v>2021_9</v>
      </c>
      <c r="EI55" t="str">
        <f t="shared" si="201"/>
        <v>2021_9</v>
      </c>
      <c r="EJ55" t="str">
        <f t="shared" si="201"/>
        <v>2021_9</v>
      </c>
      <c r="EK55" t="str">
        <f t="shared" si="201"/>
        <v>2021_9</v>
      </c>
      <c r="EL55" t="str">
        <f t="shared" si="201"/>
        <v>2021_9</v>
      </c>
      <c r="EM55" t="str">
        <f t="shared" si="202"/>
        <v>2021_9</v>
      </c>
      <c r="EN55" t="str">
        <f t="shared" si="202"/>
        <v>2021_9</v>
      </c>
      <c r="EO55" t="str">
        <f t="shared" si="202"/>
        <v>2021_9</v>
      </c>
      <c r="EP55" t="str">
        <f t="shared" si="202"/>
        <v>2021_9</v>
      </c>
      <c r="EQ55" t="str">
        <f t="shared" si="202"/>
        <v>2021_9</v>
      </c>
      <c r="ER55" t="str">
        <f t="shared" si="202"/>
        <v>2021_9</v>
      </c>
      <c r="ES55" t="str">
        <f t="shared" si="202"/>
        <v>2021_9</v>
      </c>
      <c r="ET55" t="str">
        <f t="shared" si="202"/>
        <v>2021_9</v>
      </c>
      <c r="EU55" t="str">
        <f t="shared" si="202"/>
        <v>2021_9</v>
      </c>
      <c r="EV55" t="str">
        <f t="shared" si="202"/>
        <v>2021_9</v>
      </c>
      <c r="EW55" t="str">
        <f t="shared" si="202"/>
        <v>2021_9</v>
      </c>
      <c r="EX55" t="str">
        <f t="shared" si="202"/>
        <v>2021_9</v>
      </c>
      <c r="EY55" t="str">
        <f t="shared" si="202"/>
        <v>2021_9</v>
      </c>
      <c r="FB55" s="10" t="s">
        <v>37</v>
      </c>
      <c r="FC55">
        <f t="shared" si="197"/>
        <v>0</v>
      </c>
      <c r="FD55">
        <f t="shared" si="147"/>
        <v>0</v>
      </c>
      <c r="FE55">
        <f t="shared" si="148"/>
        <v>0</v>
      </c>
      <c r="FF55">
        <f t="shared" si="149"/>
        <v>0</v>
      </c>
      <c r="FG55">
        <f t="shared" si="150"/>
        <v>0</v>
      </c>
      <c r="FH55">
        <f t="shared" si="151"/>
        <v>0</v>
      </c>
      <c r="FI55">
        <f t="shared" si="152"/>
        <v>0</v>
      </c>
      <c r="FJ55">
        <f t="shared" si="153"/>
        <v>0</v>
      </c>
      <c r="FK55">
        <f t="shared" si="154"/>
        <v>0</v>
      </c>
      <c r="FL55">
        <f t="shared" si="155"/>
        <v>0</v>
      </c>
      <c r="FM55">
        <f t="shared" si="156"/>
        <v>0</v>
      </c>
      <c r="FN55">
        <f t="shared" si="157"/>
        <v>0</v>
      </c>
      <c r="FO55">
        <f t="shared" si="158"/>
        <v>0</v>
      </c>
      <c r="FP55">
        <f t="shared" si="159"/>
        <v>0</v>
      </c>
      <c r="FQ55">
        <f t="shared" si="160"/>
        <v>0</v>
      </c>
      <c r="FR55">
        <f t="shared" si="161"/>
        <v>0</v>
      </c>
      <c r="FS55">
        <f t="shared" si="162"/>
        <v>0</v>
      </c>
      <c r="FT55">
        <f t="shared" si="163"/>
        <v>1</v>
      </c>
      <c r="FU55">
        <f t="shared" si="164"/>
        <v>1</v>
      </c>
      <c r="FV55">
        <f t="shared" si="165"/>
        <v>1</v>
      </c>
      <c r="FW55">
        <f t="shared" si="166"/>
        <v>1</v>
      </c>
      <c r="FX55">
        <f t="shared" si="167"/>
        <v>1</v>
      </c>
      <c r="FY55">
        <f t="shared" si="168"/>
        <v>1</v>
      </c>
      <c r="FZ55">
        <f t="shared" si="169"/>
        <v>1</v>
      </c>
      <c r="GA55">
        <f t="shared" si="170"/>
        <v>1</v>
      </c>
      <c r="GB55">
        <f t="shared" si="171"/>
        <v>1</v>
      </c>
      <c r="GC55">
        <f t="shared" si="172"/>
        <v>1</v>
      </c>
      <c r="GD55">
        <f t="shared" si="173"/>
        <v>1</v>
      </c>
      <c r="GE55">
        <f t="shared" si="174"/>
        <v>1</v>
      </c>
      <c r="GF55">
        <f t="shared" si="175"/>
        <v>1</v>
      </c>
      <c r="GG55">
        <f t="shared" si="176"/>
        <v>1</v>
      </c>
      <c r="GH55">
        <f t="shared" si="177"/>
        <v>1</v>
      </c>
      <c r="GI55">
        <f t="shared" si="178"/>
        <v>1</v>
      </c>
      <c r="GJ55">
        <f t="shared" si="179"/>
        <v>1</v>
      </c>
      <c r="GK55">
        <f t="shared" si="180"/>
        <v>1</v>
      </c>
      <c r="GL55">
        <f t="shared" si="181"/>
        <v>1</v>
      </c>
      <c r="GM55">
        <f t="shared" si="182"/>
        <v>1</v>
      </c>
      <c r="GN55">
        <f t="shared" si="183"/>
        <v>1</v>
      </c>
      <c r="GO55">
        <f t="shared" si="184"/>
        <v>1</v>
      </c>
      <c r="GP55">
        <f t="shared" si="185"/>
        <v>1</v>
      </c>
      <c r="GQ55">
        <f t="shared" si="186"/>
        <v>1</v>
      </c>
      <c r="GR55">
        <f t="shared" si="187"/>
        <v>1</v>
      </c>
      <c r="GS55">
        <f t="shared" si="188"/>
        <v>1</v>
      </c>
      <c r="GT55">
        <f t="shared" si="189"/>
        <v>1</v>
      </c>
      <c r="GU55">
        <f t="shared" si="190"/>
        <v>1</v>
      </c>
      <c r="GX55" s="10"/>
    </row>
    <row r="56" spans="1:206" x14ac:dyDescent="0.3">
      <c r="A56" s="15" t="s">
        <v>41</v>
      </c>
      <c r="B56" s="80"/>
      <c r="C56" s="9">
        <v>3021581000</v>
      </c>
      <c r="D56" s="9" t="s">
        <v>388</v>
      </c>
      <c r="E56" s="9" t="s">
        <v>39</v>
      </c>
      <c r="F56" s="9" t="s">
        <v>35</v>
      </c>
      <c r="G56" s="9" t="s">
        <v>87</v>
      </c>
      <c r="H56" s="10">
        <v>44470</v>
      </c>
      <c r="I56" s="9">
        <f t="shared" si="191"/>
        <v>2021</v>
      </c>
      <c r="J56" s="9">
        <f t="shared" si="192"/>
        <v>10</v>
      </c>
      <c r="K56" s="9" t="str">
        <f t="shared" si="193"/>
        <v>2021_10</v>
      </c>
      <c r="L56">
        <f>MAX(0,VLOOKUP($K56,lookups!$A$1:$B$45,2,0)-12)</f>
        <v>6</v>
      </c>
      <c r="M56" s="40">
        <f t="shared" si="194"/>
        <v>44470</v>
      </c>
      <c r="N56" s="10" t="s">
        <v>37</v>
      </c>
      <c r="O56" t="str">
        <f ca="1">IF(OR($L56&gt;O$4,O$4&gt;$L56+23),"",OFFSET(Electric!$L47,0,-'Electric Calendarize'!$L56+'Electric Calendarize'!O$4+1))</f>
        <v/>
      </c>
      <c r="P56" t="str">
        <f ca="1">IF(OR($L56&gt;P$4,P$4&gt;$L56+23),"",OFFSET(Electric!$L47,0,-'Electric Calendarize'!$L56+'Electric Calendarize'!P$4+1))</f>
        <v/>
      </c>
      <c r="Q56" t="str">
        <f ca="1">IF(OR($L56&gt;Q$4,Q$4&gt;$L56+23),"",OFFSET(Electric!$L47,0,-'Electric Calendarize'!$L56+'Electric Calendarize'!Q$4+1))</f>
        <v/>
      </c>
      <c r="R56" t="str">
        <f ca="1">IF(OR($L56&gt;R$4,R$4&gt;$L56+23),"",OFFSET(Electric!$L47,0,-'Electric Calendarize'!$L56+'Electric Calendarize'!R$4+1))</f>
        <v/>
      </c>
      <c r="S56" t="str">
        <f ca="1">IF(OR($L56&gt;S$4,S$4&gt;$L56+23),"",OFFSET(Electric!$L47,0,-'Electric Calendarize'!$L56+'Electric Calendarize'!S$4+1))</f>
        <v/>
      </c>
      <c r="T56" t="str">
        <f ca="1">IF(OR($L56&gt;T$4,T$4&gt;$L56+23),"",OFFSET(Electric!$L47,0,-'Electric Calendarize'!$L56+'Electric Calendarize'!T$4+1))</f>
        <v/>
      </c>
      <c r="U56">
        <f ca="1">IF(OR($L56&gt;U$4,U$4&gt;$L56+23),"",OFFSET(Electric!$L47,0,-'Electric Calendarize'!$L56+'Electric Calendarize'!U$4+1))</f>
        <v>910</v>
      </c>
      <c r="V56">
        <f ca="1">IF(OR($L56&gt;V$4,V$4&gt;$L56+23),"",OFFSET(Electric!$L47,0,-'Electric Calendarize'!$L56+'Electric Calendarize'!V$4+1))</f>
        <v>1052</v>
      </c>
      <c r="W56">
        <f ca="1">IF(OR($L56&gt;W$4,W$4&gt;$L56+23),"",OFFSET(Electric!$L47,0,-'Electric Calendarize'!$L56+'Electric Calendarize'!W$4+1))</f>
        <v>1374</v>
      </c>
      <c r="X56">
        <f ca="1">IF(OR($L56&gt;X$4,X$4&gt;$L56+23),"",OFFSET(Electric!$L47,0,-'Electric Calendarize'!$L56+'Electric Calendarize'!X$4+1))</f>
        <v>2508</v>
      </c>
      <c r="Y56">
        <f ca="1">IF(OR($L56&gt;Y$4,Y$4&gt;$L56+23),"",OFFSET(Electric!$L47,0,-'Electric Calendarize'!$L56+'Electric Calendarize'!Y$4+1))</f>
        <v>1294</v>
      </c>
      <c r="Z56">
        <f ca="1">IF(OR($L56&gt;Z$4,Z$4&gt;$L56+23),"",OFFSET(Electric!$L47,0,-'Electric Calendarize'!$L56+'Electric Calendarize'!Z$4+1))</f>
        <v>1138</v>
      </c>
      <c r="AA56">
        <f ca="1">IF(OR($L56&gt;AA$4,AA$4&gt;$L56+23),"",OFFSET(Electric!$L47,0,-'Electric Calendarize'!$L56+'Electric Calendarize'!AA$4+1))</f>
        <v>964</v>
      </c>
      <c r="AB56">
        <f ca="1">IF(OR($L56&gt;AB$4,AB$4&gt;$L56+23),"",OFFSET(Electric!$L47,0,-'Electric Calendarize'!$L56+'Electric Calendarize'!AB$4+1))</f>
        <v>912</v>
      </c>
      <c r="AC56">
        <f ca="1">IF(OR($L56&gt;AC$4,AC$4&gt;$L56+23),"",OFFSET(Electric!$L47,0,-'Electric Calendarize'!$L56+'Electric Calendarize'!AC$4+1))</f>
        <v>972</v>
      </c>
      <c r="AD56">
        <f ca="1">IF(OR($L56&gt;AD$4,AD$4&gt;$L56+23),"",OFFSET(Electric!$L47,0,-'Electric Calendarize'!$L56+'Electric Calendarize'!AD$4+1))</f>
        <v>1008</v>
      </c>
      <c r="AE56">
        <f ca="1">IF(OR($L56&gt;AE$4,AE$4&gt;$L56+23),"",OFFSET(Electric!$L47,0,-'Electric Calendarize'!$L56+'Electric Calendarize'!AE$4+1))</f>
        <v>976</v>
      </c>
      <c r="AF56">
        <f ca="1">IF(OR($L56&gt;AF$4,AF$4&gt;$L56+23),"",OFFSET(Electric!$L47,0,-'Electric Calendarize'!$L56+'Electric Calendarize'!AF$4+1))</f>
        <v>1024</v>
      </c>
      <c r="AG56">
        <f ca="1">IF(OR($L56&gt;AG$4,AG$4&gt;$L56+23),"",OFFSET(Electric!$L47,0,-'Electric Calendarize'!$L56+'Electric Calendarize'!AG$4+1))</f>
        <v>904</v>
      </c>
      <c r="AH56">
        <f ca="1">IF(OR($L56&gt;AH$4,AH$4&gt;$L56+23),"",OFFSET(Electric!$L47,0,-'Electric Calendarize'!$L56+'Electric Calendarize'!AH$4+1))</f>
        <v>1228</v>
      </c>
      <c r="AI56">
        <f ca="1">IF(OR($L56&gt;AI$4,AI$4&gt;$L56+23),"",OFFSET(Electric!$L47,0,-'Electric Calendarize'!$L56+'Electric Calendarize'!AI$4+1))</f>
        <v>1434</v>
      </c>
      <c r="AJ56">
        <f ca="1">IF(OR($L56&gt;AJ$4,AJ$4&gt;$L56+23),"",OFFSET(Electric!$L47,0,-'Electric Calendarize'!$L56+'Electric Calendarize'!AJ$4+1))</f>
        <v>1760</v>
      </c>
      <c r="AK56">
        <f ca="1">IF(OR($L56&gt;AK$4,AK$4&gt;$L56+23),"",OFFSET(Electric!$L47,0,-'Electric Calendarize'!$L56+'Electric Calendarize'!AK$4+1))</f>
        <v>1320</v>
      </c>
      <c r="AL56">
        <f ca="1">IF(OR($L56&gt;AL$4,AL$4&gt;$L56+23),"",OFFSET(Electric!$L47,0,-'Electric Calendarize'!$L56+'Electric Calendarize'!AL$4+1))</f>
        <v>1164</v>
      </c>
      <c r="AM56">
        <f ca="1">IF(OR($L56&gt;AM$4,AM$4&gt;$L56+23),"",OFFSET(Electric!$L47,0,-'Electric Calendarize'!$L56+'Electric Calendarize'!AM$4+1))</f>
        <v>926</v>
      </c>
      <c r="AN56">
        <f ca="1">IF(OR($L56&gt;AN$4,AN$4&gt;$L56+23),"",OFFSET(Electric!$L47,0,-'Electric Calendarize'!$L56+'Electric Calendarize'!AN$4+1))</f>
        <v>744</v>
      </c>
      <c r="AO56">
        <f ca="1">IF(OR($L56&gt;AO$4,AO$4&gt;$L56+23),"",OFFSET(Electric!$L47,0,-'Electric Calendarize'!$L56+'Electric Calendarize'!AO$4+1))</f>
        <v>604</v>
      </c>
      <c r="AP56">
        <f ca="1">IF(OR($L56&gt;AP$4,AP$4&gt;$L56+23),"",OFFSET(Electric!$L47,0,-'Electric Calendarize'!$L56+'Electric Calendarize'!AP$4+1))</f>
        <v>612</v>
      </c>
      <c r="AQ56">
        <f ca="1">IF(OR($L56&gt;AQ$4,AQ$4&gt;$L56+23),"",OFFSET(Electric!$L47,0,-'Electric Calendarize'!$L56+'Electric Calendarize'!AQ$4+1))</f>
        <v>870</v>
      </c>
      <c r="AR56">
        <f ca="1">IF(OR($L56&gt;AR$4,AR$4&gt;$L56+23),"",OFFSET(Electric!$L47,0,-'Electric Calendarize'!$L56+'Electric Calendarize'!AR$4+1))</f>
        <v>744</v>
      </c>
      <c r="AS56" t="str">
        <f ca="1">IF(OR($L56&gt;AS$4,AS$4&gt;$L56+23),"",OFFSET(Electric!$L47,0,-'Electric Calendarize'!$L56+'Electric Calendarize'!AS$4+1))</f>
        <v/>
      </c>
      <c r="AT56" t="str">
        <f ca="1">IF(OR($L56&gt;AT$4,AT$4&gt;$L56+23),"",OFFSET(Electric!$L47,0,-'Electric Calendarize'!$L56+'Electric Calendarize'!AT$4+1))</f>
        <v/>
      </c>
      <c r="AU56" t="str">
        <f ca="1">IF(OR($L56&gt;AU$4,AU$4&gt;$L56+23),"",OFFSET(Electric!$L47,0,-'Electric Calendarize'!$L56+'Electric Calendarize'!AU$4+1))</f>
        <v/>
      </c>
      <c r="AV56" t="str">
        <f ca="1">IF(OR($L56&gt;AV$4,AV$4&gt;$L56+23),"",OFFSET(Electric!$L47,0,-'Electric Calendarize'!$L56+'Electric Calendarize'!AV$4+1))</f>
        <v/>
      </c>
      <c r="AW56" t="str">
        <f ca="1">IF(OR($L56&gt;AW$4,AW$4&gt;$L56+23),"",OFFSET(Electric!$L47,0,-'Electric Calendarize'!$L56+'Electric Calendarize'!AW$4+1))</f>
        <v/>
      </c>
      <c r="AX56" t="str">
        <f ca="1">IF(OR($L56&gt;AX$4,AX$4&gt;$L56+23),"",OFFSET(Electric!$L47,0,-'Electric Calendarize'!$L56+'Electric Calendarize'!AX$4+1))</f>
        <v/>
      </c>
      <c r="AY56" t="str">
        <f ca="1">IF(OR($L56&gt;AY$4,AY$4&gt;$L56+23),"",OFFSET(Electric!$L47,0,-'Electric Calendarize'!$L56+'Electric Calendarize'!AY$4+1))</f>
        <v/>
      </c>
      <c r="AZ56" t="str">
        <f ca="1">IF(OR($L56&gt;AZ$4,AZ$4&gt;$L56+23),"",OFFSET(Electric!$L47,0,-'Electric Calendarize'!$L56+'Electric Calendarize'!AZ$4+1))</f>
        <v/>
      </c>
      <c r="BA56" t="str">
        <f ca="1">IF(OR($L56&gt;BA$4,BA$4&gt;$L56+23),"",OFFSET(Electric!$L47,0,-'Electric Calendarize'!$L56+'Electric Calendarize'!BA$4+1))</f>
        <v/>
      </c>
      <c r="BB56" t="str">
        <f ca="1">IF(OR($L56&gt;BB$4,BB$4&gt;$L56+23),"",OFFSET(Electric!$L47,0,-'Electric Calendarize'!$L56+'Electric Calendarize'!BB$4+1))</f>
        <v/>
      </c>
      <c r="BC56" t="str">
        <f ca="1">IF(OR($L56&gt;BC$4,BC$4&gt;$L56+23),"",OFFSET(Electric!$L47,0,-'Electric Calendarize'!$L56+'Electric Calendarize'!BC$4+1))</f>
        <v/>
      </c>
      <c r="BD56" t="str">
        <f ca="1">IF(OR($L56&gt;BD$4,BD$4&gt;$L56+23),"",OFFSET(Electric!$L47,0,-'Electric Calendarize'!$L56+'Electric Calendarize'!BD$4+1))</f>
        <v/>
      </c>
      <c r="BE56" t="str">
        <f ca="1">IF(OR($L56&gt;BE$4,BE$4&gt;$L56+23),"",OFFSET(Electric!$L47,0,-'Electric Calendarize'!$L56+'Electric Calendarize'!BE$4+1))</f>
        <v/>
      </c>
      <c r="BF56" t="str">
        <f ca="1">IF(OR($L56&gt;BF$4,BF$4&gt;$L56+23),"",OFFSET(Electric!$L47,0,-'Electric Calendarize'!$L56+'Electric Calendarize'!BF$4+1))</f>
        <v/>
      </c>
      <c r="BG56" t="str">
        <f ca="1">IF(OR($L56&gt;BG$4,BG$4&gt;$L56+23),"",OFFSET(Electric!$L47,0,-'Electric Calendarize'!$L56+'Electric Calendarize'!BG$4+1))</f>
        <v/>
      </c>
      <c r="BJ56" s="10" t="s">
        <v>37</v>
      </c>
      <c r="BK56">
        <f t="shared" si="195"/>
        <v>1</v>
      </c>
      <c r="BL56">
        <f t="shared" si="100"/>
        <v>0</v>
      </c>
      <c r="BM56">
        <f t="shared" si="101"/>
        <v>0</v>
      </c>
      <c r="BN56">
        <f t="shared" si="102"/>
        <v>0</v>
      </c>
      <c r="BO56">
        <f t="shared" si="103"/>
        <v>0</v>
      </c>
      <c r="BP56">
        <f t="shared" si="104"/>
        <v>0</v>
      </c>
      <c r="BQ56">
        <f t="shared" si="105"/>
        <v>0</v>
      </c>
      <c r="BR56">
        <f t="shared" si="106"/>
        <v>1</v>
      </c>
      <c r="BS56">
        <f t="shared" si="107"/>
        <v>1</v>
      </c>
      <c r="BT56">
        <f t="shared" si="108"/>
        <v>1</v>
      </c>
      <c r="BU56">
        <f t="shared" si="109"/>
        <v>1</v>
      </c>
      <c r="BV56">
        <f t="shared" si="110"/>
        <v>1</v>
      </c>
      <c r="BW56">
        <f t="shared" si="111"/>
        <v>1</v>
      </c>
      <c r="BX56">
        <f t="shared" si="112"/>
        <v>0</v>
      </c>
      <c r="BY56">
        <f t="shared" si="113"/>
        <v>0</v>
      </c>
      <c r="BZ56">
        <f t="shared" si="114"/>
        <v>0</v>
      </c>
      <c r="CA56">
        <f t="shared" si="115"/>
        <v>0</v>
      </c>
      <c r="CB56">
        <f t="shared" si="116"/>
        <v>0</v>
      </c>
      <c r="CC56">
        <f t="shared" si="117"/>
        <v>0</v>
      </c>
      <c r="CD56">
        <f t="shared" si="118"/>
        <v>1</v>
      </c>
      <c r="CE56">
        <f t="shared" si="119"/>
        <v>1</v>
      </c>
      <c r="CF56">
        <f t="shared" si="120"/>
        <v>1</v>
      </c>
      <c r="CG56">
        <f t="shared" si="121"/>
        <v>1</v>
      </c>
      <c r="CH56">
        <f t="shared" si="122"/>
        <v>1</v>
      </c>
      <c r="CI56">
        <f t="shared" si="123"/>
        <v>1</v>
      </c>
      <c r="CJ56">
        <f t="shared" si="124"/>
        <v>0</v>
      </c>
      <c r="CK56">
        <f t="shared" si="125"/>
        <v>0</v>
      </c>
      <c r="CL56">
        <f t="shared" si="126"/>
        <v>0</v>
      </c>
      <c r="CM56">
        <f t="shared" si="127"/>
        <v>0</v>
      </c>
      <c r="CN56">
        <f t="shared" si="128"/>
        <v>0</v>
      </c>
      <c r="CO56">
        <f t="shared" si="129"/>
        <v>0</v>
      </c>
      <c r="CP56">
        <f t="shared" si="130"/>
        <v>1</v>
      </c>
      <c r="CQ56">
        <f t="shared" si="131"/>
        <v>1</v>
      </c>
      <c r="CR56">
        <f t="shared" si="132"/>
        <v>1</v>
      </c>
      <c r="CS56">
        <f t="shared" si="133"/>
        <v>1</v>
      </c>
      <c r="CT56">
        <f t="shared" si="134"/>
        <v>1</v>
      </c>
      <c r="CU56">
        <f t="shared" si="135"/>
        <v>1</v>
      </c>
      <c r="CV56">
        <f t="shared" si="136"/>
        <v>0</v>
      </c>
      <c r="CW56">
        <f t="shared" si="137"/>
        <v>0</v>
      </c>
      <c r="CX56">
        <f t="shared" si="138"/>
        <v>0</v>
      </c>
      <c r="CY56">
        <f t="shared" si="139"/>
        <v>0</v>
      </c>
      <c r="CZ56">
        <f t="shared" si="140"/>
        <v>0</v>
      </c>
      <c r="DA56">
        <f t="shared" si="141"/>
        <v>0</v>
      </c>
      <c r="DB56">
        <f t="shared" si="142"/>
        <v>1</v>
      </c>
      <c r="DC56">
        <f t="shared" si="143"/>
        <v>1</v>
      </c>
      <c r="DF56" s="10" t="s">
        <v>37</v>
      </c>
      <c r="DG56" t="str">
        <f t="shared" si="204"/>
        <v>2021_10</v>
      </c>
      <c r="DH56" t="str">
        <f t="shared" si="204"/>
        <v>2021_10</v>
      </c>
      <c r="DI56" t="str">
        <f t="shared" si="204"/>
        <v>2021_10</v>
      </c>
      <c r="DJ56" t="str">
        <f t="shared" si="204"/>
        <v>2021_10</v>
      </c>
      <c r="DK56" t="str">
        <f t="shared" si="204"/>
        <v>2021_10</v>
      </c>
      <c r="DL56" t="str">
        <f t="shared" si="204"/>
        <v>2021_10</v>
      </c>
      <c r="DM56" t="str">
        <f t="shared" si="204"/>
        <v>2021_10</v>
      </c>
      <c r="DN56" t="str">
        <f t="shared" si="204"/>
        <v>2021_10</v>
      </c>
      <c r="DO56" t="str">
        <f t="shared" si="204"/>
        <v>2021_10</v>
      </c>
      <c r="DP56" t="str">
        <f t="shared" si="204"/>
        <v>2021_10</v>
      </c>
      <c r="DQ56" t="str">
        <f t="shared" si="204"/>
        <v>2021_10</v>
      </c>
      <c r="DR56" t="str">
        <f t="shared" si="204"/>
        <v>2021_10</v>
      </c>
      <c r="DS56" t="str">
        <f t="shared" si="204"/>
        <v>2021_10</v>
      </c>
      <c r="DT56" t="str">
        <f t="shared" si="204"/>
        <v>2021_10</v>
      </c>
      <c r="DU56" t="str">
        <f t="shared" si="204"/>
        <v>2021_10</v>
      </c>
      <c r="DV56" t="str">
        <f t="shared" si="203"/>
        <v>2021_10</v>
      </c>
      <c r="DW56" t="str">
        <f t="shared" si="201"/>
        <v>2021_10</v>
      </c>
      <c r="DX56" t="str">
        <f t="shared" si="201"/>
        <v>2021_10</v>
      </c>
      <c r="DY56" t="str">
        <f t="shared" si="201"/>
        <v>2021_10</v>
      </c>
      <c r="DZ56" t="str">
        <f t="shared" si="201"/>
        <v>2021_10</v>
      </c>
      <c r="EA56" t="str">
        <f t="shared" si="201"/>
        <v>2021_10</v>
      </c>
      <c r="EB56" t="str">
        <f t="shared" si="201"/>
        <v>2021_10</v>
      </c>
      <c r="EC56" t="str">
        <f t="shared" si="201"/>
        <v>2021_10</v>
      </c>
      <c r="ED56" t="str">
        <f t="shared" si="201"/>
        <v>2021_10</v>
      </c>
      <c r="EE56" t="str">
        <f t="shared" si="201"/>
        <v>2021_10</v>
      </c>
      <c r="EF56" t="str">
        <f t="shared" si="201"/>
        <v>2021_10</v>
      </c>
      <c r="EG56" t="str">
        <f t="shared" si="201"/>
        <v>2021_10</v>
      </c>
      <c r="EH56" t="str">
        <f t="shared" si="201"/>
        <v>2021_10</v>
      </c>
      <c r="EI56" t="str">
        <f t="shared" si="201"/>
        <v>2021_10</v>
      </c>
      <c r="EJ56" t="str">
        <f t="shared" si="201"/>
        <v>2021_10</v>
      </c>
      <c r="EK56" t="str">
        <f t="shared" si="201"/>
        <v>2021_10</v>
      </c>
      <c r="EL56" t="str">
        <f t="shared" si="201"/>
        <v>2021_10</v>
      </c>
      <c r="EM56" t="str">
        <f t="shared" si="202"/>
        <v>2021_10</v>
      </c>
      <c r="EN56" t="str">
        <f t="shared" si="202"/>
        <v>2021_10</v>
      </c>
      <c r="EO56" t="str">
        <f t="shared" si="202"/>
        <v>2021_10</v>
      </c>
      <c r="EP56" t="str">
        <f t="shared" si="202"/>
        <v>2021_10</v>
      </c>
      <c r="EQ56" t="str">
        <f t="shared" si="202"/>
        <v>2021_10</v>
      </c>
      <c r="ER56" t="str">
        <f t="shared" si="202"/>
        <v>2021_10</v>
      </c>
      <c r="ES56" t="str">
        <f t="shared" si="202"/>
        <v>2021_10</v>
      </c>
      <c r="ET56" t="str">
        <f t="shared" si="202"/>
        <v>2021_10</v>
      </c>
      <c r="EU56" t="str">
        <f t="shared" si="202"/>
        <v>2021_10</v>
      </c>
      <c r="EV56" t="str">
        <f t="shared" si="202"/>
        <v>2021_10</v>
      </c>
      <c r="EW56" t="str">
        <f t="shared" si="202"/>
        <v>2021_10</v>
      </c>
      <c r="EX56" t="str">
        <f t="shared" si="202"/>
        <v>2021_10</v>
      </c>
      <c r="EY56" t="str">
        <f t="shared" si="202"/>
        <v>2021_10</v>
      </c>
      <c r="FB56" s="10" t="s">
        <v>37</v>
      </c>
      <c r="FC56">
        <f t="shared" si="197"/>
        <v>0</v>
      </c>
      <c r="FD56">
        <f t="shared" si="147"/>
        <v>0</v>
      </c>
      <c r="FE56">
        <f t="shared" si="148"/>
        <v>0</v>
      </c>
      <c r="FF56">
        <f t="shared" si="149"/>
        <v>0</v>
      </c>
      <c r="FG56">
        <f t="shared" si="150"/>
        <v>0</v>
      </c>
      <c r="FH56">
        <f t="shared" si="151"/>
        <v>0</v>
      </c>
      <c r="FI56">
        <f t="shared" si="152"/>
        <v>0</v>
      </c>
      <c r="FJ56">
        <f t="shared" si="153"/>
        <v>0</v>
      </c>
      <c r="FK56">
        <f t="shared" si="154"/>
        <v>0</v>
      </c>
      <c r="FL56">
        <f t="shared" si="155"/>
        <v>0</v>
      </c>
      <c r="FM56">
        <f t="shared" si="156"/>
        <v>0</v>
      </c>
      <c r="FN56">
        <f t="shared" si="157"/>
        <v>0</v>
      </c>
      <c r="FO56">
        <f t="shared" si="158"/>
        <v>0</v>
      </c>
      <c r="FP56">
        <f t="shared" si="159"/>
        <v>0</v>
      </c>
      <c r="FQ56">
        <f t="shared" si="160"/>
        <v>0</v>
      </c>
      <c r="FR56">
        <f t="shared" si="161"/>
        <v>0</v>
      </c>
      <c r="FS56">
        <f t="shared" si="162"/>
        <v>0</v>
      </c>
      <c r="FT56">
        <f t="shared" si="163"/>
        <v>0</v>
      </c>
      <c r="FU56">
        <f t="shared" si="164"/>
        <v>1</v>
      </c>
      <c r="FV56">
        <f t="shared" si="165"/>
        <v>1</v>
      </c>
      <c r="FW56">
        <f t="shared" si="166"/>
        <v>1</v>
      </c>
      <c r="FX56">
        <f t="shared" si="167"/>
        <v>1</v>
      </c>
      <c r="FY56">
        <f t="shared" si="168"/>
        <v>1</v>
      </c>
      <c r="FZ56">
        <f t="shared" si="169"/>
        <v>1</v>
      </c>
      <c r="GA56">
        <f t="shared" si="170"/>
        <v>1</v>
      </c>
      <c r="GB56">
        <f t="shared" si="171"/>
        <v>1</v>
      </c>
      <c r="GC56">
        <f t="shared" si="172"/>
        <v>1</v>
      </c>
      <c r="GD56">
        <f t="shared" si="173"/>
        <v>1</v>
      </c>
      <c r="GE56">
        <f t="shared" si="174"/>
        <v>1</v>
      </c>
      <c r="GF56">
        <f t="shared" si="175"/>
        <v>1</v>
      </c>
      <c r="GG56">
        <f t="shared" si="176"/>
        <v>1</v>
      </c>
      <c r="GH56">
        <f t="shared" si="177"/>
        <v>1</v>
      </c>
      <c r="GI56">
        <f t="shared" si="178"/>
        <v>1</v>
      </c>
      <c r="GJ56">
        <f t="shared" si="179"/>
        <v>1</v>
      </c>
      <c r="GK56">
        <f t="shared" si="180"/>
        <v>1</v>
      </c>
      <c r="GL56">
        <f t="shared" si="181"/>
        <v>1</v>
      </c>
      <c r="GM56">
        <f t="shared" si="182"/>
        <v>1</v>
      </c>
      <c r="GN56">
        <f t="shared" si="183"/>
        <v>1</v>
      </c>
      <c r="GO56">
        <f t="shared" si="184"/>
        <v>1</v>
      </c>
      <c r="GP56">
        <f t="shared" si="185"/>
        <v>1</v>
      </c>
      <c r="GQ56">
        <f t="shared" si="186"/>
        <v>1</v>
      </c>
      <c r="GR56">
        <f t="shared" si="187"/>
        <v>1</v>
      </c>
      <c r="GS56">
        <f t="shared" si="188"/>
        <v>1</v>
      </c>
      <c r="GT56">
        <f t="shared" si="189"/>
        <v>1</v>
      </c>
      <c r="GU56">
        <f t="shared" si="190"/>
        <v>1</v>
      </c>
      <c r="GX56" s="10"/>
    </row>
    <row r="57" spans="1:206" x14ac:dyDescent="0.3">
      <c r="A57" s="16" t="s">
        <v>33</v>
      </c>
      <c r="B57" s="80"/>
      <c r="C57" s="9">
        <v>3041644000</v>
      </c>
      <c r="D57" s="9" t="s">
        <v>389</v>
      </c>
      <c r="E57" s="9" t="s">
        <v>34</v>
      </c>
      <c r="F57" s="9" t="s">
        <v>35</v>
      </c>
      <c r="G57" s="9" t="s">
        <v>88</v>
      </c>
      <c r="H57" s="10">
        <v>44473</v>
      </c>
      <c r="I57" s="9">
        <f t="shared" si="191"/>
        <v>2021</v>
      </c>
      <c r="J57" s="9">
        <f t="shared" si="192"/>
        <v>10</v>
      </c>
      <c r="K57" s="9" t="str">
        <f t="shared" si="193"/>
        <v>2021_10</v>
      </c>
      <c r="L57">
        <f>MAX(0,VLOOKUP($K57,lookups!$A$1:$B$45,2,0)-12)</f>
        <v>6</v>
      </c>
      <c r="M57" s="40">
        <f t="shared" si="194"/>
        <v>44470</v>
      </c>
      <c r="N57" s="10" t="s">
        <v>37</v>
      </c>
      <c r="O57" t="str">
        <f ca="1">IF(OR($L57&gt;O$4,O$4&gt;$L57+23),"",OFFSET(Electric!$L48,0,-'Electric Calendarize'!$L57+'Electric Calendarize'!O$4+1))</f>
        <v/>
      </c>
      <c r="P57" t="str">
        <f ca="1">IF(OR($L57&gt;P$4,P$4&gt;$L57+23),"",OFFSET(Electric!$L48,0,-'Electric Calendarize'!$L57+'Electric Calendarize'!P$4+1))</f>
        <v/>
      </c>
      <c r="Q57" t="str">
        <f ca="1">IF(OR($L57&gt;Q$4,Q$4&gt;$L57+23),"",OFFSET(Electric!$L48,0,-'Electric Calendarize'!$L57+'Electric Calendarize'!Q$4+1))</f>
        <v/>
      </c>
      <c r="R57" t="str">
        <f ca="1">IF(OR($L57&gt;R$4,R$4&gt;$L57+23),"",OFFSET(Electric!$L48,0,-'Electric Calendarize'!$L57+'Electric Calendarize'!R$4+1))</f>
        <v/>
      </c>
      <c r="S57" t="str">
        <f ca="1">IF(OR($L57&gt;S$4,S$4&gt;$L57+23),"",OFFSET(Electric!$L48,0,-'Electric Calendarize'!$L57+'Electric Calendarize'!S$4+1))</f>
        <v/>
      </c>
      <c r="T57" t="str">
        <f ca="1">IF(OR($L57&gt;T$4,T$4&gt;$L57+23),"",OFFSET(Electric!$L48,0,-'Electric Calendarize'!$L57+'Electric Calendarize'!T$4+1))</f>
        <v/>
      </c>
      <c r="U57">
        <f ca="1">IF(OR($L57&gt;U$4,U$4&gt;$L57+23),"",OFFSET(Electric!$L48,0,-'Electric Calendarize'!$L57+'Electric Calendarize'!U$4+1))</f>
        <v>200</v>
      </c>
      <c r="V57">
        <f ca="1">IF(OR($L57&gt;V$4,V$4&gt;$L57+23),"",OFFSET(Electric!$L48,0,-'Electric Calendarize'!$L57+'Electric Calendarize'!V$4+1))</f>
        <v>186</v>
      </c>
      <c r="W57">
        <f ca="1">IF(OR($L57&gt;W$4,W$4&gt;$L57+23),"",OFFSET(Electric!$L48,0,-'Electric Calendarize'!$L57+'Electric Calendarize'!W$4+1))</f>
        <v>718</v>
      </c>
      <c r="X57">
        <f ca="1">IF(OR($L57&gt;X$4,X$4&gt;$L57+23),"",OFFSET(Electric!$L48,0,-'Electric Calendarize'!$L57+'Electric Calendarize'!X$4+1))</f>
        <v>1584</v>
      </c>
      <c r="Y57">
        <f ca="1">IF(OR($L57&gt;Y$4,Y$4&gt;$L57+23),"",OFFSET(Electric!$L48,0,-'Electric Calendarize'!$L57+'Electric Calendarize'!Y$4+1))</f>
        <v>1632</v>
      </c>
      <c r="Z57">
        <f ca="1">IF(OR($L57&gt;Z$4,Z$4&gt;$L57+23),"",OFFSET(Electric!$L48,0,-'Electric Calendarize'!$L57+'Electric Calendarize'!Z$4+1))</f>
        <v>1606</v>
      </c>
      <c r="AA57">
        <f ca="1">IF(OR($L57&gt;AA$4,AA$4&gt;$L57+23),"",OFFSET(Electric!$L48,0,-'Electric Calendarize'!$L57+'Electric Calendarize'!AA$4+1))</f>
        <v>476</v>
      </c>
      <c r="AB57">
        <f ca="1">IF(OR($L57&gt;AB$4,AB$4&gt;$L57+23),"",OFFSET(Electric!$L48,0,-'Electric Calendarize'!$L57+'Electric Calendarize'!AB$4+1))</f>
        <v>164</v>
      </c>
      <c r="AC57">
        <f ca="1">IF(OR($L57&gt;AC$4,AC$4&gt;$L57+23),"",OFFSET(Electric!$L48,0,-'Electric Calendarize'!$L57+'Electric Calendarize'!AC$4+1))</f>
        <v>506</v>
      </c>
      <c r="AD57">
        <f ca="1">IF(OR($L57&gt;AD$4,AD$4&gt;$L57+23),"",OFFSET(Electric!$L48,0,-'Electric Calendarize'!$L57+'Electric Calendarize'!AD$4+1))</f>
        <v>704</v>
      </c>
      <c r="AE57">
        <f ca="1">IF(OR($L57&gt;AE$4,AE$4&gt;$L57+23),"",OFFSET(Electric!$L48,0,-'Electric Calendarize'!$L57+'Electric Calendarize'!AE$4+1))</f>
        <v>382</v>
      </c>
      <c r="AF57">
        <f ca="1">IF(OR($L57&gt;AF$4,AF$4&gt;$L57+23),"",OFFSET(Electric!$L48,0,-'Electric Calendarize'!$L57+'Electric Calendarize'!AF$4+1))</f>
        <v>920</v>
      </c>
      <c r="AG57">
        <f ca="1">IF(OR($L57&gt;AG$4,AG$4&gt;$L57+23),"",OFFSET(Electric!$L48,0,-'Electric Calendarize'!$L57+'Electric Calendarize'!AG$4+1))</f>
        <v>728</v>
      </c>
      <c r="AH57">
        <f ca="1">IF(OR($L57&gt;AH$4,AH$4&gt;$L57+23),"",OFFSET(Electric!$L48,0,-'Electric Calendarize'!$L57+'Electric Calendarize'!AH$4+1))</f>
        <v>1092</v>
      </c>
      <c r="AI57">
        <f ca="1">IF(OR($L57&gt;AI$4,AI$4&gt;$L57+23),"",OFFSET(Electric!$L48,0,-'Electric Calendarize'!$L57+'Electric Calendarize'!AI$4+1))</f>
        <v>1644</v>
      </c>
      <c r="AJ57">
        <f ca="1">IF(OR($L57&gt;AJ$4,AJ$4&gt;$L57+23),"",OFFSET(Electric!$L48,0,-'Electric Calendarize'!$L57+'Electric Calendarize'!AJ$4+1))</f>
        <v>2322</v>
      </c>
      <c r="AK57">
        <f ca="1">IF(OR($L57&gt;AK$4,AK$4&gt;$L57+23),"",OFFSET(Electric!$L48,0,-'Electric Calendarize'!$L57+'Electric Calendarize'!AK$4+1))</f>
        <v>2578</v>
      </c>
      <c r="AL57">
        <f ca="1">IF(OR($L57&gt;AL$4,AL$4&gt;$L57+23),"",OFFSET(Electric!$L48,0,-'Electric Calendarize'!$L57+'Electric Calendarize'!AL$4+1))</f>
        <v>1850</v>
      </c>
      <c r="AM57">
        <f ca="1">IF(OR($L57&gt;AM$4,AM$4&gt;$L57+23),"",OFFSET(Electric!$L48,0,-'Electric Calendarize'!$L57+'Electric Calendarize'!AM$4+1))</f>
        <v>1218</v>
      </c>
      <c r="AN57">
        <f ca="1">IF(OR($L57&gt;AN$4,AN$4&gt;$L57+23),"",OFFSET(Electric!$L48,0,-'Electric Calendarize'!$L57+'Electric Calendarize'!AN$4+1))</f>
        <v>688</v>
      </c>
      <c r="AO57">
        <f ca="1">IF(OR($L57&gt;AO$4,AO$4&gt;$L57+23),"",OFFSET(Electric!$L48,0,-'Electric Calendarize'!$L57+'Electric Calendarize'!AO$4+1))</f>
        <v>514</v>
      </c>
      <c r="AP57">
        <f ca="1">IF(OR($L57&gt;AP$4,AP$4&gt;$L57+23),"",OFFSET(Electric!$L48,0,-'Electric Calendarize'!$L57+'Electric Calendarize'!AP$4+1))</f>
        <v>360</v>
      </c>
      <c r="AQ57">
        <f ca="1">IF(OR($L57&gt;AQ$4,AQ$4&gt;$L57+23),"",OFFSET(Electric!$L48,0,-'Electric Calendarize'!$L57+'Electric Calendarize'!AQ$4+1))</f>
        <v>352</v>
      </c>
      <c r="AR57">
        <f ca="1">IF(OR($L57&gt;AR$4,AR$4&gt;$L57+23),"",OFFSET(Electric!$L48,0,-'Electric Calendarize'!$L57+'Electric Calendarize'!AR$4+1))</f>
        <v>300</v>
      </c>
      <c r="AS57" t="str">
        <f ca="1">IF(OR($L57&gt;AS$4,AS$4&gt;$L57+23),"",OFFSET(Electric!$L48,0,-'Electric Calendarize'!$L57+'Electric Calendarize'!AS$4+1))</f>
        <v/>
      </c>
      <c r="AT57" t="str">
        <f ca="1">IF(OR($L57&gt;AT$4,AT$4&gt;$L57+23),"",OFFSET(Electric!$L48,0,-'Electric Calendarize'!$L57+'Electric Calendarize'!AT$4+1))</f>
        <v/>
      </c>
      <c r="AU57" t="str">
        <f ca="1">IF(OR($L57&gt;AU$4,AU$4&gt;$L57+23),"",OFFSET(Electric!$L48,0,-'Electric Calendarize'!$L57+'Electric Calendarize'!AU$4+1))</f>
        <v/>
      </c>
      <c r="AV57" t="str">
        <f ca="1">IF(OR($L57&gt;AV$4,AV$4&gt;$L57+23),"",OFFSET(Electric!$L48,0,-'Electric Calendarize'!$L57+'Electric Calendarize'!AV$4+1))</f>
        <v/>
      </c>
      <c r="AW57" t="str">
        <f ca="1">IF(OR($L57&gt;AW$4,AW$4&gt;$L57+23),"",OFFSET(Electric!$L48,0,-'Electric Calendarize'!$L57+'Electric Calendarize'!AW$4+1))</f>
        <v/>
      </c>
      <c r="AX57" t="str">
        <f ca="1">IF(OR($L57&gt;AX$4,AX$4&gt;$L57+23),"",OFFSET(Electric!$L48,0,-'Electric Calendarize'!$L57+'Electric Calendarize'!AX$4+1))</f>
        <v/>
      </c>
      <c r="AY57" t="str">
        <f ca="1">IF(OR($L57&gt;AY$4,AY$4&gt;$L57+23),"",OFFSET(Electric!$L48,0,-'Electric Calendarize'!$L57+'Electric Calendarize'!AY$4+1))</f>
        <v/>
      </c>
      <c r="AZ57" t="str">
        <f ca="1">IF(OR($L57&gt;AZ$4,AZ$4&gt;$L57+23),"",OFFSET(Electric!$L48,0,-'Electric Calendarize'!$L57+'Electric Calendarize'!AZ$4+1))</f>
        <v/>
      </c>
      <c r="BA57" t="str">
        <f ca="1">IF(OR($L57&gt;BA$4,BA$4&gt;$L57+23),"",OFFSET(Electric!$L48,0,-'Electric Calendarize'!$L57+'Electric Calendarize'!BA$4+1))</f>
        <v/>
      </c>
      <c r="BB57" t="str">
        <f ca="1">IF(OR($L57&gt;BB$4,BB$4&gt;$L57+23),"",OFFSET(Electric!$L48,0,-'Electric Calendarize'!$L57+'Electric Calendarize'!BB$4+1))</f>
        <v/>
      </c>
      <c r="BC57" t="str">
        <f ca="1">IF(OR($L57&gt;BC$4,BC$4&gt;$L57+23),"",OFFSET(Electric!$L48,0,-'Electric Calendarize'!$L57+'Electric Calendarize'!BC$4+1))</f>
        <v/>
      </c>
      <c r="BD57" t="str">
        <f ca="1">IF(OR($L57&gt;BD$4,BD$4&gt;$L57+23),"",OFFSET(Electric!$L48,0,-'Electric Calendarize'!$L57+'Electric Calendarize'!BD$4+1))</f>
        <v/>
      </c>
      <c r="BE57" t="str">
        <f ca="1">IF(OR($L57&gt;BE$4,BE$4&gt;$L57+23),"",OFFSET(Electric!$L48,0,-'Electric Calendarize'!$L57+'Electric Calendarize'!BE$4+1))</f>
        <v/>
      </c>
      <c r="BF57" t="str">
        <f ca="1">IF(OR($L57&gt;BF$4,BF$4&gt;$L57+23),"",OFFSET(Electric!$L48,0,-'Electric Calendarize'!$L57+'Electric Calendarize'!BF$4+1))</f>
        <v/>
      </c>
      <c r="BG57" t="str">
        <f ca="1">IF(OR($L57&gt;BG$4,BG$4&gt;$L57+23),"",OFFSET(Electric!$L48,0,-'Electric Calendarize'!$L57+'Electric Calendarize'!BG$4+1))</f>
        <v/>
      </c>
      <c r="BJ57" s="10" t="s">
        <v>37</v>
      </c>
      <c r="BK57">
        <f t="shared" si="195"/>
        <v>1</v>
      </c>
      <c r="BL57">
        <f t="shared" si="100"/>
        <v>0</v>
      </c>
      <c r="BM57">
        <f t="shared" si="101"/>
        <v>0</v>
      </c>
      <c r="BN57">
        <f t="shared" si="102"/>
        <v>0</v>
      </c>
      <c r="BO57">
        <f t="shared" si="103"/>
        <v>0</v>
      </c>
      <c r="BP57">
        <f t="shared" si="104"/>
        <v>0</v>
      </c>
      <c r="BQ57">
        <f t="shared" si="105"/>
        <v>0</v>
      </c>
      <c r="BR57">
        <f t="shared" si="106"/>
        <v>1</v>
      </c>
      <c r="BS57">
        <f t="shared" si="107"/>
        <v>1</v>
      </c>
      <c r="BT57">
        <f t="shared" si="108"/>
        <v>1</v>
      </c>
      <c r="BU57">
        <f t="shared" si="109"/>
        <v>1</v>
      </c>
      <c r="BV57">
        <f t="shared" si="110"/>
        <v>1</v>
      </c>
      <c r="BW57">
        <f t="shared" si="111"/>
        <v>1</v>
      </c>
      <c r="BX57">
        <f t="shared" si="112"/>
        <v>0</v>
      </c>
      <c r="BY57">
        <f t="shared" si="113"/>
        <v>0</v>
      </c>
      <c r="BZ57">
        <f t="shared" si="114"/>
        <v>0</v>
      </c>
      <c r="CA57">
        <f t="shared" si="115"/>
        <v>0</v>
      </c>
      <c r="CB57">
        <f t="shared" si="116"/>
        <v>0</v>
      </c>
      <c r="CC57">
        <f t="shared" si="117"/>
        <v>0</v>
      </c>
      <c r="CD57">
        <f t="shared" si="118"/>
        <v>1</v>
      </c>
      <c r="CE57">
        <f t="shared" si="119"/>
        <v>1</v>
      </c>
      <c r="CF57">
        <f t="shared" si="120"/>
        <v>1</v>
      </c>
      <c r="CG57">
        <f t="shared" si="121"/>
        <v>1</v>
      </c>
      <c r="CH57">
        <f t="shared" si="122"/>
        <v>1</v>
      </c>
      <c r="CI57">
        <f t="shared" si="123"/>
        <v>1</v>
      </c>
      <c r="CJ57">
        <f t="shared" si="124"/>
        <v>0</v>
      </c>
      <c r="CK57">
        <f t="shared" si="125"/>
        <v>0</v>
      </c>
      <c r="CL57">
        <f t="shared" si="126"/>
        <v>0</v>
      </c>
      <c r="CM57">
        <f t="shared" si="127"/>
        <v>0</v>
      </c>
      <c r="CN57">
        <f t="shared" si="128"/>
        <v>0</v>
      </c>
      <c r="CO57">
        <f t="shared" si="129"/>
        <v>0</v>
      </c>
      <c r="CP57">
        <f t="shared" si="130"/>
        <v>1</v>
      </c>
      <c r="CQ57">
        <f t="shared" si="131"/>
        <v>1</v>
      </c>
      <c r="CR57">
        <f t="shared" si="132"/>
        <v>1</v>
      </c>
      <c r="CS57">
        <f t="shared" si="133"/>
        <v>1</v>
      </c>
      <c r="CT57">
        <f t="shared" si="134"/>
        <v>1</v>
      </c>
      <c r="CU57">
        <f t="shared" si="135"/>
        <v>1</v>
      </c>
      <c r="CV57">
        <f t="shared" si="136"/>
        <v>0</v>
      </c>
      <c r="CW57">
        <f t="shared" si="137"/>
        <v>0</v>
      </c>
      <c r="CX57">
        <f t="shared" si="138"/>
        <v>0</v>
      </c>
      <c r="CY57">
        <f t="shared" si="139"/>
        <v>0</v>
      </c>
      <c r="CZ57">
        <f t="shared" si="140"/>
        <v>0</v>
      </c>
      <c r="DA57">
        <f t="shared" si="141"/>
        <v>0</v>
      </c>
      <c r="DB57">
        <f t="shared" si="142"/>
        <v>1</v>
      </c>
      <c r="DC57">
        <f t="shared" si="143"/>
        <v>1</v>
      </c>
      <c r="DF57" s="10" t="s">
        <v>37</v>
      </c>
      <c r="DG57" t="str">
        <f t="shared" si="204"/>
        <v>2021_10</v>
      </c>
      <c r="DH57" t="str">
        <f t="shared" si="204"/>
        <v>2021_10</v>
      </c>
      <c r="DI57" t="str">
        <f t="shared" si="204"/>
        <v>2021_10</v>
      </c>
      <c r="DJ57" t="str">
        <f t="shared" si="204"/>
        <v>2021_10</v>
      </c>
      <c r="DK57" t="str">
        <f t="shared" si="204"/>
        <v>2021_10</v>
      </c>
      <c r="DL57" t="str">
        <f t="shared" si="204"/>
        <v>2021_10</v>
      </c>
      <c r="DM57" t="str">
        <f t="shared" si="204"/>
        <v>2021_10</v>
      </c>
      <c r="DN57" t="str">
        <f t="shared" si="204"/>
        <v>2021_10</v>
      </c>
      <c r="DO57" t="str">
        <f t="shared" si="204"/>
        <v>2021_10</v>
      </c>
      <c r="DP57" t="str">
        <f t="shared" si="204"/>
        <v>2021_10</v>
      </c>
      <c r="DQ57" t="str">
        <f t="shared" si="204"/>
        <v>2021_10</v>
      </c>
      <c r="DR57" t="str">
        <f t="shared" si="204"/>
        <v>2021_10</v>
      </c>
      <c r="DS57" t="str">
        <f t="shared" si="204"/>
        <v>2021_10</v>
      </c>
      <c r="DT57" t="str">
        <f t="shared" si="204"/>
        <v>2021_10</v>
      </c>
      <c r="DU57" t="str">
        <f t="shared" si="204"/>
        <v>2021_10</v>
      </c>
      <c r="DV57" t="str">
        <f t="shared" si="203"/>
        <v>2021_10</v>
      </c>
      <c r="DW57" t="str">
        <f t="shared" si="201"/>
        <v>2021_10</v>
      </c>
      <c r="DX57" t="str">
        <f t="shared" si="201"/>
        <v>2021_10</v>
      </c>
      <c r="DY57" t="str">
        <f t="shared" si="201"/>
        <v>2021_10</v>
      </c>
      <c r="DZ57" t="str">
        <f t="shared" si="201"/>
        <v>2021_10</v>
      </c>
      <c r="EA57" t="str">
        <f t="shared" si="201"/>
        <v>2021_10</v>
      </c>
      <c r="EB57" t="str">
        <f t="shared" si="201"/>
        <v>2021_10</v>
      </c>
      <c r="EC57" t="str">
        <f t="shared" si="201"/>
        <v>2021_10</v>
      </c>
      <c r="ED57" t="str">
        <f t="shared" si="201"/>
        <v>2021_10</v>
      </c>
      <c r="EE57" t="str">
        <f t="shared" si="201"/>
        <v>2021_10</v>
      </c>
      <c r="EF57" t="str">
        <f t="shared" si="201"/>
        <v>2021_10</v>
      </c>
      <c r="EG57" t="str">
        <f t="shared" si="201"/>
        <v>2021_10</v>
      </c>
      <c r="EH57" t="str">
        <f t="shared" si="201"/>
        <v>2021_10</v>
      </c>
      <c r="EI57" t="str">
        <f t="shared" si="201"/>
        <v>2021_10</v>
      </c>
      <c r="EJ57" t="str">
        <f t="shared" si="201"/>
        <v>2021_10</v>
      </c>
      <c r="EK57" t="str">
        <f t="shared" si="201"/>
        <v>2021_10</v>
      </c>
      <c r="EL57" t="str">
        <f t="shared" ref="EL57:EY72" si="205">$K57</f>
        <v>2021_10</v>
      </c>
      <c r="EM57" t="str">
        <f t="shared" si="202"/>
        <v>2021_10</v>
      </c>
      <c r="EN57" t="str">
        <f t="shared" si="202"/>
        <v>2021_10</v>
      </c>
      <c r="EO57" t="str">
        <f t="shared" si="202"/>
        <v>2021_10</v>
      </c>
      <c r="EP57" t="str">
        <f t="shared" si="202"/>
        <v>2021_10</v>
      </c>
      <c r="EQ57" t="str">
        <f t="shared" si="202"/>
        <v>2021_10</v>
      </c>
      <c r="ER57" t="str">
        <f t="shared" si="202"/>
        <v>2021_10</v>
      </c>
      <c r="ES57" t="str">
        <f t="shared" si="202"/>
        <v>2021_10</v>
      </c>
      <c r="ET57" t="str">
        <f t="shared" si="202"/>
        <v>2021_10</v>
      </c>
      <c r="EU57" t="str">
        <f t="shared" si="202"/>
        <v>2021_10</v>
      </c>
      <c r="EV57" t="str">
        <f t="shared" si="202"/>
        <v>2021_10</v>
      </c>
      <c r="EW57" t="str">
        <f t="shared" si="202"/>
        <v>2021_10</v>
      </c>
      <c r="EX57" t="str">
        <f t="shared" si="202"/>
        <v>2021_10</v>
      </c>
      <c r="EY57" t="str">
        <f t="shared" si="202"/>
        <v>2021_10</v>
      </c>
      <c r="FB57" s="10" t="s">
        <v>37</v>
      </c>
      <c r="FC57">
        <f t="shared" si="197"/>
        <v>0</v>
      </c>
      <c r="FD57">
        <f t="shared" si="147"/>
        <v>0</v>
      </c>
      <c r="FE57">
        <f t="shared" si="148"/>
        <v>0</v>
      </c>
      <c r="FF57">
        <f t="shared" si="149"/>
        <v>0</v>
      </c>
      <c r="FG57">
        <f t="shared" si="150"/>
        <v>0</v>
      </c>
      <c r="FH57">
        <f t="shared" si="151"/>
        <v>0</v>
      </c>
      <c r="FI57">
        <f t="shared" si="152"/>
        <v>0</v>
      </c>
      <c r="FJ57">
        <f t="shared" si="153"/>
        <v>0</v>
      </c>
      <c r="FK57">
        <f t="shared" si="154"/>
        <v>0</v>
      </c>
      <c r="FL57">
        <f t="shared" si="155"/>
        <v>0</v>
      </c>
      <c r="FM57">
        <f t="shared" si="156"/>
        <v>0</v>
      </c>
      <c r="FN57">
        <f t="shared" si="157"/>
        <v>0</v>
      </c>
      <c r="FO57">
        <f t="shared" si="158"/>
        <v>0</v>
      </c>
      <c r="FP57">
        <f t="shared" si="159"/>
        <v>0</v>
      </c>
      <c r="FQ57">
        <f t="shared" si="160"/>
        <v>0</v>
      </c>
      <c r="FR57">
        <f t="shared" si="161"/>
        <v>0</v>
      </c>
      <c r="FS57">
        <f t="shared" si="162"/>
        <v>0</v>
      </c>
      <c r="FT57">
        <f t="shared" si="163"/>
        <v>0</v>
      </c>
      <c r="FU57">
        <f t="shared" si="164"/>
        <v>1</v>
      </c>
      <c r="FV57">
        <f t="shared" si="165"/>
        <v>1</v>
      </c>
      <c r="FW57">
        <f t="shared" si="166"/>
        <v>1</v>
      </c>
      <c r="FX57">
        <f t="shared" si="167"/>
        <v>1</v>
      </c>
      <c r="FY57">
        <f t="shared" si="168"/>
        <v>1</v>
      </c>
      <c r="FZ57">
        <f t="shared" si="169"/>
        <v>1</v>
      </c>
      <c r="GA57">
        <f t="shared" si="170"/>
        <v>1</v>
      </c>
      <c r="GB57">
        <f t="shared" si="171"/>
        <v>1</v>
      </c>
      <c r="GC57">
        <f t="shared" si="172"/>
        <v>1</v>
      </c>
      <c r="GD57">
        <f t="shared" si="173"/>
        <v>1</v>
      </c>
      <c r="GE57">
        <f t="shared" si="174"/>
        <v>1</v>
      </c>
      <c r="GF57">
        <f t="shared" si="175"/>
        <v>1</v>
      </c>
      <c r="GG57">
        <f t="shared" si="176"/>
        <v>1</v>
      </c>
      <c r="GH57">
        <f t="shared" si="177"/>
        <v>1</v>
      </c>
      <c r="GI57">
        <f t="shared" si="178"/>
        <v>1</v>
      </c>
      <c r="GJ57">
        <f t="shared" si="179"/>
        <v>1</v>
      </c>
      <c r="GK57">
        <f t="shared" si="180"/>
        <v>1</v>
      </c>
      <c r="GL57">
        <f t="shared" si="181"/>
        <v>1</v>
      </c>
      <c r="GM57">
        <f t="shared" si="182"/>
        <v>1</v>
      </c>
      <c r="GN57">
        <f t="shared" si="183"/>
        <v>1</v>
      </c>
      <c r="GO57">
        <f t="shared" si="184"/>
        <v>1</v>
      </c>
      <c r="GP57">
        <f t="shared" si="185"/>
        <v>1</v>
      </c>
      <c r="GQ57">
        <f t="shared" si="186"/>
        <v>1</v>
      </c>
      <c r="GR57">
        <f t="shared" si="187"/>
        <v>1</v>
      </c>
      <c r="GS57">
        <f t="shared" si="188"/>
        <v>1</v>
      </c>
      <c r="GT57">
        <f t="shared" si="189"/>
        <v>1</v>
      </c>
      <c r="GU57">
        <f t="shared" si="190"/>
        <v>1</v>
      </c>
      <c r="GX57" s="10"/>
    </row>
    <row r="58" spans="1:206" x14ac:dyDescent="0.3">
      <c r="A58" s="15" t="s">
        <v>41</v>
      </c>
      <c r="B58" s="80"/>
      <c r="C58" s="9">
        <v>3062459002</v>
      </c>
      <c r="D58" s="9" t="s">
        <v>381</v>
      </c>
      <c r="E58" s="9" t="s">
        <v>34</v>
      </c>
      <c r="F58" s="9" t="s">
        <v>35</v>
      </c>
      <c r="G58" s="9" t="s">
        <v>89</v>
      </c>
      <c r="H58" s="10">
        <v>44473</v>
      </c>
      <c r="I58" s="9">
        <f t="shared" si="191"/>
        <v>2021</v>
      </c>
      <c r="J58" s="9">
        <f t="shared" si="192"/>
        <v>10</v>
      </c>
      <c r="K58" s="9" t="str">
        <f t="shared" si="193"/>
        <v>2021_10</v>
      </c>
      <c r="L58">
        <f>MAX(0,VLOOKUP($K58,lookups!$A$1:$B$45,2,0)-12)</f>
        <v>6</v>
      </c>
      <c r="M58" s="40">
        <f t="shared" si="194"/>
        <v>44470</v>
      </c>
      <c r="N58" s="10" t="s">
        <v>37</v>
      </c>
      <c r="O58" t="str">
        <f ca="1">IF(OR($L58&gt;O$4,O$4&gt;$L58+23),"",OFFSET(Electric!$L49,0,-'Electric Calendarize'!$L58+'Electric Calendarize'!O$4+1))</f>
        <v/>
      </c>
      <c r="P58" t="str">
        <f ca="1">IF(OR($L58&gt;P$4,P$4&gt;$L58+23),"",OFFSET(Electric!$L49,0,-'Electric Calendarize'!$L58+'Electric Calendarize'!P$4+1))</f>
        <v/>
      </c>
      <c r="Q58" t="str">
        <f ca="1">IF(OR($L58&gt;Q$4,Q$4&gt;$L58+23),"",OFFSET(Electric!$L49,0,-'Electric Calendarize'!$L58+'Electric Calendarize'!Q$4+1))</f>
        <v/>
      </c>
      <c r="R58" t="str">
        <f ca="1">IF(OR($L58&gt;R$4,R$4&gt;$L58+23),"",OFFSET(Electric!$L49,0,-'Electric Calendarize'!$L58+'Electric Calendarize'!R$4+1))</f>
        <v/>
      </c>
      <c r="S58" t="str">
        <f ca="1">IF(OR($L58&gt;S$4,S$4&gt;$L58+23),"",OFFSET(Electric!$L49,0,-'Electric Calendarize'!$L58+'Electric Calendarize'!S$4+1))</f>
        <v/>
      </c>
      <c r="T58" t="str">
        <f ca="1">IF(OR($L58&gt;T$4,T$4&gt;$L58+23),"",OFFSET(Electric!$L49,0,-'Electric Calendarize'!$L58+'Electric Calendarize'!T$4+1))</f>
        <v/>
      </c>
      <c r="U58">
        <f ca="1">IF(OR($L58&gt;U$4,U$4&gt;$L58+23),"",OFFSET(Electric!$L49,0,-'Electric Calendarize'!$L58+'Electric Calendarize'!U$4+1))</f>
        <v>456</v>
      </c>
      <c r="V58">
        <f ca="1">IF(OR($L58&gt;V$4,V$4&gt;$L58+23),"",OFFSET(Electric!$L49,0,-'Electric Calendarize'!$L58+'Electric Calendarize'!V$4+1))</f>
        <v>466</v>
      </c>
      <c r="W58">
        <f ca="1">IF(OR($L58&gt;W$4,W$4&gt;$L58+23),"",OFFSET(Electric!$L49,0,-'Electric Calendarize'!$L58+'Electric Calendarize'!W$4+1))</f>
        <v>622</v>
      </c>
      <c r="X58">
        <f ca="1">IF(OR($L58&gt;X$4,X$4&gt;$L58+23),"",OFFSET(Electric!$L49,0,-'Electric Calendarize'!$L58+'Electric Calendarize'!X$4+1))</f>
        <v>667</v>
      </c>
      <c r="Y58">
        <f ca="1">IF(OR($L58&gt;Y$4,Y$4&gt;$L58+23),"",OFFSET(Electric!$L49,0,-'Electric Calendarize'!$L58+'Electric Calendarize'!Y$4+1))</f>
        <v>500</v>
      </c>
      <c r="Z58">
        <f ca="1">IF(OR($L58&gt;Z$4,Z$4&gt;$L58+23),"",OFFSET(Electric!$L49,0,-'Electric Calendarize'!$L58+'Electric Calendarize'!Z$4+1))</f>
        <v>502</v>
      </c>
      <c r="AA58">
        <f ca="1">IF(OR($L58&gt;AA$4,AA$4&gt;$L58+23),"",OFFSET(Electric!$L49,0,-'Electric Calendarize'!$L58+'Electric Calendarize'!AA$4+1))</f>
        <v>514</v>
      </c>
      <c r="AB58">
        <f ca="1">IF(OR($L58&gt;AB$4,AB$4&gt;$L58+23),"",OFFSET(Electric!$L49,0,-'Electric Calendarize'!$L58+'Electric Calendarize'!AB$4+1))</f>
        <v>553</v>
      </c>
      <c r="AC58">
        <f ca="1">IF(OR($L58&gt;AC$4,AC$4&gt;$L58+23),"",OFFSET(Electric!$L49,0,-'Electric Calendarize'!$L58+'Electric Calendarize'!AC$4+1))</f>
        <v>898</v>
      </c>
      <c r="AD58">
        <f ca="1">IF(OR($L58&gt;AD$4,AD$4&gt;$L58+23),"",OFFSET(Electric!$L49,0,-'Electric Calendarize'!$L58+'Electric Calendarize'!AD$4+1))</f>
        <v>1097</v>
      </c>
      <c r="AE58">
        <f ca="1">IF(OR($L58&gt;AE$4,AE$4&gt;$L58+23),"",OFFSET(Electric!$L49,0,-'Electric Calendarize'!$L58+'Electric Calendarize'!AE$4+1))</f>
        <v>1553</v>
      </c>
      <c r="AF58">
        <f ca="1">IF(OR($L58&gt;AF$4,AF$4&gt;$L58+23),"",OFFSET(Electric!$L49,0,-'Electric Calendarize'!$L58+'Electric Calendarize'!AF$4+1))</f>
        <v>1685</v>
      </c>
      <c r="AG58">
        <f ca="1">IF(OR($L58&gt;AG$4,AG$4&gt;$L58+23),"",OFFSET(Electric!$L49,0,-'Electric Calendarize'!$L58+'Electric Calendarize'!AG$4+1))</f>
        <v>1040</v>
      </c>
      <c r="AH58">
        <f ca="1">IF(OR($L58&gt;AH$4,AH$4&gt;$L58+23),"",OFFSET(Electric!$L49,0,-'Electric Calendarize'!$L58+'Electric Calendarize'!AH$4+1))</f>
        <v>1021</v>
      </c>
      <c r="AI58">
        <f ca="1">IF(OR($L58&gt;AI$4,AI$4&gt;$L58+23),"",OFFSET(Electric!$L49,0,-'Electric Calendarize'!$L58+'Electric Calendarize'!AI$4+1))</f>
        <v>1048</v>
      </c>
      <c r="AJ58">
        <f ca="1">IF(OR($L58&gt;AJ$4,AJ$4&gt;$L58+23),"",OFFSET(Electric!$L49,0,-'Electric Calendarize'!$L58+'Electric Calendarize'!AJ$4+1))</f>
        <v>674</v>
      </c>
      <c r="AK58">
        <f ca="1">IF(OR($L58&gt;AK$4,AK$4&gt;$L58+23),"",OFFSET(Electric!$L49,0,-'Electric Calendarize'!$L58+'Electric Calendarize'!AK$4+1))</f>
        <v>535</v>
      </c>
      <c r="AL58">
        <f ca="1">IF(OR($L58&gt;AL$4,AL$4&gt;$L58+23),"",OFFSET(Electric!$L49,0,-'Electric Calendarize'!$L58+'Electric Calendarize'!AL$4+1))</f>
        <v>746</v>
      </c>
      <c r="AM58">
        <f ca="1">IF(OR($L58&gt;AM$4,AM$4&gt;$L58+23),"",OFFSET(Electric!$L49,0,-'Electric Calendarize'!$L58+'Electric Calendarize'!AM$4+1))</f>
        <v>561</v>
      </c>
      <c r="AN58">
        <f ca="1">IF(OR($L58&gt;AN$4,AN$4&gt;$L58+23),"",OFFSET(Electric!$L49,0,-'Electric Calendarize'!$L58+'Electric Calendarize'!AN$4+1))</f>
        <v>461</v>
      </c>
      <c r="AO58">
        <f ca="1">IF(OR($L58&gt;AO$4,AO$4&gt;$L58+23),"",OFFSET(Electric!$L49,0,-'Electric Calendarize'!$L58+'Electric Calendarize'!AO$4+1))</f>
        <v>624</v>
      </c>
      <c r="AP58">
        <f ca="1">IF(OR($L58&gt;AP$4,AP$4&gt;$L58+23),"",OFFSET(Electric!$L49,0,-'Electric Calendarize'!$L58+'Electric Calendarize'!AP$4+1))</f>
        <v>1098</v>
      </c>
      <c r="AQ58">
        <f ca="1">IF(OR($L58&gt;AQ$4,AQ$4&gt;$L58+23),"",OFFSET(Electric!$L49,0,-'Electric Calendarize'!$L58+'Electric Calendarize'!AQ$4+1))</f>
        <v>1834</v>
      </c>
      <c r="AR58">
        <f ca="1">IF(OR($L58&gt;AR$4,AR$4&gt;$L58+23),"",OFFSET(Electric!$L49,0,-'Electric Calendarize'!$L58+'Electric Calendarize'!AR$4+1))</f>
        <v>927</v>
      </c>
      <c r="AS58" t="str">
        <f ca="1">IF(OR($L58&gt;AS$4,AS$4&gt;$L58+23),"",OFFSET(Electric!$L49,0,-'Electric Calendarize'!$L58+'Electric Calendarize'!AS$4+1))</f>
        <v/>
      </c>
      <c r="AT58" t="str">
        <f ca="1">IF(OR($L58&gt;AT$4,AT$4&gt;$L58+23),"",OFFSET(Electric!$L49,0,-'Electric Calendarize'!$L58+'Electric Calendarize'!AT$4+1))</f>
        <v/>
      </c>
      <c r="AU58" t="str">
        <f ca="1">IF(OR($L58&gt;AU$4,AU$4&gt;$L58+23),"",OFFSET(Electric!$L49,0,-'Electric Calendarize'!$L58+'Electric Calendarize'!AU$4+1))</f>
        <v/>
      </c>
      <c r="AV58" t="str">
        <f ca="1">IF(OR($L58&gt;AV$4,AV$4&gt;$L58+23),"",OFFSET(Electric!$L49,0,-'Electric Calendarize'!$L58+'Electric Calendarize'!AV$4+1))</f>
        <v/>
      </c>
      <c r="AW58" t="str">
        <f ca="1">IF(OR($L58&gt;AW$4,AW$4&gt;$L58+23),"",OFFSET(Electric!$L49,0,-'Electric Calendarize'!$L58+'Electric Calendarize'!AW$4+1))</f>
        <v/>
      </c>
      <c r="AX58" t="str">
        <f ca="1">IF(OR($L58&gt;AX$4,AX$4&gt;$L58+23),"",OFFSET(Electric!$L49,0,-'Electric Calendarize'!$L58+'Electric Calendarize'!AX$4+1))</f>
        <v/>
      </c>
      <c r="AY58" t="str">
        <f ca="1">IF(OR($L58&gt;AY$4,AY$4&gt;$L58+23),"",OFFSET(Electric!$L49,0,-'Electric Calendarize'!$L58+'Electric Calendarize'!AY$4+1))</f>
        <v/>
      </c>
      <c r="AZ58" t="str">
        <f ca="1">IF(OR($L58&gt;AZ$4,AZ$4&gt;$L58+23),"",OFFSET(Electric!$L49,0,-'Electric Calendarize'!$L58+'Electric Calendarize'!AZ$4+1))</f>
        <v/>
      </c>
      <c r="BA58" t="str">
        <f ca="1">IF(OR($L58&gt;BA$4,BA$4&gt;$L58+23),"",OFFSET(Electric!$L49,0,-'Electric Calendarize'!$L58+'Electric Calendarize'!BA$4+1))</f>
        <v/>
      </c>
      <c r="BB58" t="str">
        <f ca="1">IF(OR($L58&gt;BB$4,BB$4&gt;$L58+23),"",OFFSET(Electric!$L49,0,-'Electric Calendarize'!$L58+'Electric Calendarize'!BB$4+1))</f>
        <v/>
      </c>
      <c r="BC58" t="str">
        <f ca="1">IF(OR($L58&gt;BC$4,BC$4&gt;$L58+23),"",OFFSET(Electric!$L49,0,-'Electric Calendarize'!$L58+'Electric Calendarize'!BC$4+1))</f>
        <v/>
      </c>
      <c r="BD58" t="str">
        <f ca="1">IF(OR($L58&gt;BD$4,BD$4&gt;$L58+23),"",OFFSET(Electric!$L49,0,-'Electric Calendarize'!$L58+'Electric Calendarize'!BD$4+1))</f>
        <v/>
      </c>
      <c r="BE58" t="str">
        <f ca="1">IF(OR($L58&gt;BE$4,BE$4&gt;$L58+23),"",OFFSET(Electric!$L49,0,-'Electric Calendarize'!$L58+'Electric Calendarize'!BE$4+1))</f>
        <v/>
      </c>
      <c r="BF58" t="str">
        <f ca="1">IF(OR($L58&gt;BF$4,BF$4&gt;$L58+23),"",OFFSET(Electric!$L49,0,-'Electric Calendarize'!$L58+'Electric Calendarize'!BF$4+1))</f>
        <v/>
      </c>
      <c r="BG58" t="str">
        <f ca="1">IF(OR($L58&gt;BG$4,BG$4&gt;$L58+23),"",OFFSET(Electric!$L49,0,-'Electric Calendarize'!$L58+'Electric Calendarize'!BG$4+1))</f>
        <v/>
      </c>
      <c r="BJ58" s="10" t="s">
        <v>37</v>
      </c>
      <c r="BK58">
        <f t="shared" si="195"/>
        <v>1</v>
      </c>
      <c r="BL58">
        <f t="shared" si="100"/>
        <v>0</v>
      </c>
      <c r="BM58">
        <f t="shared" si="101"/>
        <v>0</v>
      </c>
      <c r="BN58">
        <f t="shared" si="102"/>
        <v>0</v>
      </c>
      <c r="BO58">
        <f t="shared" si="103"/>
        <v>0</v>
      </c>
      <c r="BP58">
        <f t="shared" si="104"/>
        <v>0</v>
      </c>
      <c r="BQ58">
        <f t="shared" si="105"/>
        <v>0</v>
      </c>
      <c r="BR58">
        <f t="shared" si="106"/>
        <v>1</v>
      </c>
      <c r="BS58">
        <f t="shared" si="107"/>
        <v>1</v>
      </c>
      <c r="BT58">
        <f t="shared" si="108"/>
        <v>1</v>
      </c>
      <c r="BU58">
        <f t="shared" si="109"/>
        <v>1</v>
      </c>
      <c r="BV58">
        <f t="shared" si="110"/>
        <v>1</v>
      </c>
      <c r="BW58">
        <f t="shared" si="111"/>
        <v>1</v>
      </c>
      <c r="BX58">
        <f t="shared" si="112"/>
        <v>0</v>
      </c>
      <c r="BY58">
        <f t="shared" si="113"/>
        <v>0</v>
      </c>
      <c r="BZ58">
        <f t="shared" si="114"/>
        <v>0</v>
      </c>
      <c r="CA58">
        <f t="shared" si="115"/>
        <v>0</v>
      </c>
      <c r="CB58">
        <f t="shared" si="116"/>
        <v>0</v>
      </c>
      <c r="CC58">
        <f t="shared" si="117"/>
        <v>0</v>
      </c>
      <c r="CD58">
        <f t="shared" si="118"/>
        <v>1</v>
      </c>
      <c r="CE58">
        <f t="shared" si="119"/>
        <v>1</v>
      </c>
      <c r="CF58">
        <f t="shared" si="120"/>
        <v>1</v>
      </c>
      <c r="CG58">
        <f t="shared" si="121"/>
        <v>1</v>
      </c>
      <c r="CH58">
        <f t="shared" si="122"/>
        <v>1</v>
      </c>
      <c r="CI58">
        <f t="shared" si="123"/>
        <v>1</v>
      </c>
      <c r="CJ58">
        <f t="shared" si="124"/>
        <v>0</v>
      </c>
      <c r="CK58">
        <f t="shared" si="125"/>
        <v>0</v>
      </c>
      <c r="CL58">
        <f t="shared" si="126"/>
        <v>0</v>
      </c>
      <c r="CM58">
        <f t="shared" si="127"/>
        <v>0</v>
      </c>
      <c r="CN58">
        <f t="shared" si="128"/>
        <v>0</v>
      </c>
      <c r="CO58">
        <f t="shared" si="129"/>
        <v>0</v>
      </c>
      <c r="CP58">
        <f t="shared" si="130"/>
        <v>1</v>
      </c>
      <c r="CQ58">
        <f t="shared" si="131"/>
        <v>1</v>
      </c>
      <c r="CR58">
        <f t="shared" si="132"/>
        <v>1</v>
      </c>
      <c r="CS58">
        <f t="shared" si="133"/>
        <v>1</v>
      </c>
      <c r="CT58">
        <f t="shared" si="134"/>
        <v>1</v>
      </c>
      <c r="CU58">
        <f t="shared" si="135"/>
        <v>1</v>
      </c>
      <c r="CV58">
        <f t="shared" si="136"/>
        <v>0</v>
      </c>
      <c r="CW58">
        <f t="shared" si="137"/>
        <v>0</v>
      </c>
      <c r="CX58">
        <f t="shared" si="138"/>
        <v>0</v>
      </c>
      <c r="CY58">
        <f t="shared" si="139"/>
        <v>0</v>
      </c>
      <c r="CZ58">
        <f t="shared" si="140"/>
        <v>0</v>
      </c>
      <c r="DA58">
        <f t="shared" si="141"/>
        <v>0</v>
      </c>
      <c r="DB58">
        <f t="shared" si="142"/>
        <v>1</v>
      </c>
      <c r="DC58">
        <f t="shared" si="143"/>
        <v>1</v>
      </c>
      <c r="DF58" s="10" t="s">
        <v>37</v>
      </c>
      <c r="DG58" t="str">
        <f t="shared" si="204"/>
        <v>2021_10</v>
      </c>
      <c r="DH58" t="str">
        <f t="shared" si="204"/>
        <v>2021_10</v>
      </c>
      <c r="DI58" t="str">
        <f t="shared" si="204"/>
        <v>2021_10</v>
      </c>
      <c r="DJ58" t="str">
        <f t="shared" si="204"/>
        <v>2021_10</v>
      </c>
      <c r="DK58" t="str">
        <f t="shared" si="204"/>
        <v>2021_10</v>
      </c>
      <c r="DL58" t="str">
        <f t="shared" si="204"/>
        <v>2021_10</v>
      </c>
      <c r="DM58" t="str">
        <f t="shared" si="204"/>
        <v>2021_10</v>
      </c>
      <c r="DN58" t="str">
        <f t="shared" si="204"/>
        <v>2021_10</v>
      </c>
      <c r="DO58" t="str">
        <f t="shared" si="204"/>
        <v>2021_10</v>
      </c>
      <c r="DP58" t="str">
        <f t="shared" si="204"/>
        <v>2021_10</v>
      </c>
      <c r="DQ58" t="str">
        <f t="shared" si="204"/>
        <v>2021_10</v>
      </c>
      <c r="DR58" t="str">
        <f t="shared" si="204"/>
        <v>2021_10</v>
      </c>
      <c r="DS58" t="str">
        <f t="shared" si="204"/>
        <v>2021_10</v>
      </c>
      <c r="DT58" t="str">
        <f t="shared" si="204"/>
        <v>2021_10</v>
      </c>
      <c r="DU58" t="str">
        <f t="shared" si="204"/>
        <v>2021_10</v>
      </c>
      <c r="DV58" t="str">
        <f t="shared" si="203"/>
        <v>2021_10</v>
      </c>
      <c r="DW58" t="str">
        <f t="shared" si="203"/>
        <v>2021_10</v>
      </c>
      <c r="DX58" t="str">
        <f t="shared" si="203"/>
        <v>2021_10</v>
      </c>
      <c r="DY58" t="str">
        <f t="shared" si="203"/>
        <v>2021_10</v>
      </c>
      <c r="DZ58" t="str">
        <f t="shared" si="203"/>
        <v>2021_10</v>
      </c>
      <c r="EA58" t="str">
        <f t="shared" si="203"/>
        <v>2021_10</v>
      </c>
      <c r="EB58" t="str">
        <f t="shared" si="203"/>
        <v>2021_10</v>
      </c>
      <c r="EC58" t="str">
        <f t="shared" si="203"/>
        <v>2021_10</v>
      </c>
      <c r="ED58" t="str">
        <f t="shared" si="203"/>
        <v>2021_10</v>
      </c>
      <c r="EE58" t="str">
        <f t="shared" si="203"/>
        <v>2021_10</v>
      </c>
      <c r="EF58" t="str">
        <f t="shared" si="203"/>
        <v>2021_10</v>
      </c>
      <c r="EG58" t="str">
        <f t="shared" si="203"/>
        <v>2021_10</v>
      </c>
      <c r="EH58" t="str">
        <f t="shared" si="203"/>
        <v>2021_10</v>
      </c>
      <c r="EI58" t="str">
        <f t="shared" si="203"/>
        <v>2021_10</v>
      </c>
      <c r="EJ58" t="str">
        <f t="shared" si="203"/>
        <v>2021_10</v>
      </c>
      <c r="EK58" t="str">
        <f t="shared" si="203"/>
        <v>2021_10</v>
      </c>
      <c r="EL58" t="str">
        <f t="shared" si="205"/>
        <v>2021_10</v>
      </c>
      <c r="EM58" t="str">
        <f t="shared" si="205"/>
        <v>2021_10</v>
      </c>
      <c r="EN58" t="str">
        <f t="shared" si="205"/>
        <v>2021_10</v>
      </c>
      <c r="EO58" t="str">
        <f t="shared" si="205"/>
        <v>2021_10</v>
      </c>
      <c r="EP58" t="str">
        <f t="shared" si="205"/>
        <v>2021_10</v>
      </c>
      <c r="EQ58" t="str">
        <f t="shared" si="205"/>
        <v>2021_10</v>
      </c>
      <c r="ER58" t="str">
        <f t="shared" si="205"/>
        <v>2021_10</v>
      </c>
      <c r="ES58" t="str">
        <f t="shared" si="205"/>
        <v>2021_10</v>
      </c>
      <c r="ET58" t="str">
        <f t="shared" si="205"/>
        <v>2021_10</v>
      </c>
      <c r="EU58" t="str">
        <f t="shared" si="205"/>
        <v>2021_10</v>
      </c>
      <c r="EV58" t="str">
        <f t="shared" si="205"/>
        <v>2021_10</v>
      </c>
      <c r="EW58" t="str">
        <f t="shared" si="205"/>
        <v>2021_10</v>
      </c>
      <c r="EX58" t="str">
        <f t="shared" si="205"/>
        <v>2021_10</v>
      </c>
      <c r="EY58" t="str">
        <f t="shared" si="205"/>
        <v>2021_10</v>
      </c>
      <c r="FB58" s="10" t="s">
        <v>37</v>
      </c>
      <c r="FC58">
        <f t="shared" si="197"/>
        <v>0</v>
      </c>
      <c r="FD58">
        <f t="shared" si="147"/>
        <v>0</v>
      </c>
      <c r="FE58">
        <f t="shared" si="148"/>
        <v>0</v>
      </c>
      <c r="FF58">
        <f t="shared" si="149"/>
        <v>0</v>
      </c>
      <c r="FG58">
        <f t="shared" si="150"/>
        <v>0</v>
      </c>
      <c r="FH58">
        <f t="shared" si="151"/>
        <v>0</v>
      </c>
      <c r="FI58">
        <f t="shared" si="152"/>
        <v>0</v>
      </c>
      <c r="FJ58">
        <f t="shared" si="153"/>
        <v>0</v>
      </c>
      <c r="FK58">
        <f t="shared" si="154"/>
        <v>0</v>
      </c>
      <c r="FL58">
        <f t="shared" si="155"/>
        <v>0</v>
      </c>
      <c r="FM58">
        <f t="shared" si="156"/>
        <v>0</v>
      </c>
      <c r="FN58">
        <f t="shared" si="157"/>
        <v>0</v>
      </c>
      <c r="FO58">
        <f t="shared" si="158"/>
        <v>0</v>
      </c>
      <c r="FP58">
        <f t="shared" si="159"/>
        <v>0</v>
      </c>
      <c r="FQ58">
        <f t="shared" si="160"/>
        <v>0</v>
      </c>
      <c r="FR58">
        <f t="shared" si="161"/>
        <v>0</v>
      </c>
      <c r="FS58">
        <f t="shared" si="162"/>
        <v>0</v>
      </c>
      <c r="FT58">
        <f t="shared" si="163"/>
        <v>0</v>
      </c>
      <c r="FU58">
        <f t="shared" si="164"/>
        <v>1</v>
      </c>
      <c r="FV58">
        <f t="shared" si="165"/>
        <v>1</v>
      </c>
      <c r="FW58">
        <f t="shared" si="166"/>
        <v>1</v>
      </c>
      <c r="FX58">
        <f t="shared" si="167"/>
        <v>1</v>
      </c>
      <c r="FY58">
        <f t="shared" si="168"/>
        <v>1</v>
      </c>
      <c r="FZ58">
        <f t="shared" si="169"/>
        <v>1</v>
      </c>
      <c r="GA58">
        <f t="shared" si="170"/>
        <v>1</v>
      </c>
      <c r="GB58">
        <f t="shared" si="171"/>
        <v>1</v>
      </c>
      <c r="GC58">
        <f t="shared" si="172"/>
        <v>1</v>
      </c>
      <c r="GD58">
        <f t="shared" si="173"/>
        <v>1</v>
      </c>
      <c r="GE58">
        <f t="shared" si="174"/>
        <v>1</v>
      </c>
      <c r="GF58">
        <f t="shared" si="175"/>
        <v>1</v>
      </c>
      <c r="GG58">
        <f t="shared" si="176"/>
        <v>1</v>
      </c>
      <c r="GH58">
        <f t="shared" si="177"/>
        <v>1</v>
      </c>
      <c r="GI58">
        <f t="shared" si="178"/>
        <v>1</v>
      </c>
      <c r="GJ58">
        <f t="shared" si="179"/>
        <v>1</v>
      </c>
      <c r="GK58">
        <f t="shared" si="180"/>
        <v>1</v>
      </c>
      <c r="GL58">
        <f t="shared" si="181"/>
        <v>1</v>
      </c>
      <c r="GM58">
        <f t="shared" si="182"/>
        <v>1</v>
      </c>
      <c r="GN58">
        <f t="shared" si="183"/>
        <v>1</v>
      </c>
      <c r="GO58">
        <f t="shared" si="184"/>
        <v>1</v>
      </c>
      <c r="GP58">
        <f t="shared" si="185"/>
        <v>1</v>
      </c>
      <c r="GQ58">
        <f t="shared" si="186"/>
        <v>1</v>
      </c>
      <c r="GR58">
        <f t="shared" si="187"/>
        <v>1</v>
      </c>
      <c r="GS58">
        <f t="shared" si="188"/>
        <v>1</v>
      </c>
      <c r="GT58">
        <f t="shared" si="189"/>
        <v>1</v>
      </c>
      <c r="GU58">
        <f t="shared" si="190"/>
        <v>1</v>
      </c>
      <c r="GX58" s="10"/>
    </row>
    <row r="59" spans="1:206" x14ac:dyDescent="0.3">
      <c r="A59" s="8" t="s">
        <v>33</v>
      </c>
      <c r="B59" s="80"/>
      <c r="C59" s="9">
        <v>3021632001</v>
      </c>
      <c r="D59" s="9" t="s">
        <v>390</v>
      </c>
      <c r="E59" s="9" t="s">
        <v>34</v>
      </c>
      <c r="F59" s="9" t="s">
        <v>35</v>
      </c>
      <c r="G59" s="9" t="s">
        <v>90</v>
      </c>
      <c r="H59" s="10">
        <v>44474</v>
      </c>
      <c r="I59" s="9">
        <f t="shared" si="191"/>
        <v>2021</v>
      </c>
      <c r="J59" s="9">
        <f t="shared" si="192"/>
        <v>10</v>
      </c>
      <c r="K59" s="9" t="str">
        <f t="shared" si="193"/>
        <v>2021_10</v>
      </c>
      <c r="L59">
        <f>MAX(0,VLOOKUP($K59,lookups!$A$1:$B$45,2,0)-12)</f>
        <v>6</v>
      </c>
      <c r="M59" s="40">
        <f t="shared" si="194"/>
        <v>44470</v>
      </c>
      <c r="N59" s="10" t="s">
        <v>37</v>
      </c>
      <c r="O59" t="str">
        <f ca="1">IF(OR($L59&gt;O$4,O$4&gt;$L59+23),"",OFFSET(Electric!$L50,0,-'Electric Calendarize'!$L59+'Electric Calendarize'!O$4+1))</f>
        <v/>
      </c>
      <c r="P59" t="str">
        <f ca="1">IF(OR($L59&gt;P$4,P$4&gt;$L59+23),"",OFFSET(Electric!$L50,0,-'Electric Calendarize'!$L59+'Electric Calendarize'!P$4+1))</f>
        <v/>
      </c>
      <c r="Q59" t="str">
        <f ca="1">IF(OR($L59&gt;Q$4,Q$4&gt;$L59+23),"",OFFSET(Electric!$L50,0,-'Electric Calendarize'!$L59+'Electric Calendarize'!Q$4+1))</f>
        <v/>
      </c>
      <c r="R59" t="str">
        <f ca="1">IF(OR($L59&gt;R$4,R$4&gt;$L59+23),"",OFFSET(Electric!$L50,0,-'Electric Calendarize'!$L59+'Electric Calendarize'!R$4+1))</f>
        <v/>
      </c>
      <c r="S59" t="str">
        <f ca="1">IF(OR($L59&gt;S$4,S$4&gt;$L59+23),"",OFFSET(Electric!$L50,0,-'Electric Calendarize'!$L59+'Electric Calendarize'!S$4+1))</f>
        <v/>
      </c>
      <c r="T59" t="str">
        <f ca="1">IF(OR($L59&gt;T$4,T$4&gt;$L59+23),"",OFFSET(Electric!$L50,0,-'Electric Calendarize'!$L59+'Electric Calendarize'!T$4+1))</f>
        <v/>
      </c>
      <c r="U59">
        <f ca="1">IF(OR($L59&gt;U$4,U$4&gt;$L59+23),"",OFFSET(Electric!$L50,0,-'Electric Calendarize'!$L59+'Electric Calendarize'!U$4+1))</f>
        <v>0</v>
      </c>
      <c r="V59">
        <f ca="1">IF(OR($L59&gt;V$4,V$4&gt;$L59+23),"",OFFSET(Electric!$L50,0,-'Electric Calendarize'!$L59+'Electric Calendarize'!V$4+1))</f>
        <v>0</v>
      </c>
      <c r="W59">
        <f ca="1">IF(OR($L59&gt;W$4,W$4&gt;$L59+23),"",OFFSET(Electric!$L50,0,-'Electric Calendarize'!$L59+'Electric Calendarize'!W$4+1))</f>
        <v>0</v>
      </c>
      <c r="X59">
        <f ca="1">IF(OR($L59&gt;X$4,X$4&gt;$L59+23),"",OFFSET(Electric!$L50,0,-'Electric Calendarize'!$L59+'Electric Calendarize'!X$4+1))</f>
        <v>0</v>
      </c>
      <c r="Y59">
        <f ca="1">IF(OR($L59&gt;Y$4,Y$4&gt;$L59+23),"",OFFSET(Electric!$L50,0,-'Electric Calendarize'!$L59+'Electric Calendarize'!Y$4+1))</f>
        <v>0</v>
      </c>
      <c r="Z59">
        <f ca="1">IF(OR($L59&gt;Z$4,Z$4&gt;$L59+23),"",OFFSET(Electric!$L50,0,-'Electric Calendarize'!$L59+'Electric Calendarize'!Z$4+1))</f>
        <v>0</v>
      </c>
      <c r="AA59">
        <f ca="1">IF(OR($L59&gt;AA$4,AA$4&gt;$L59+23),"",OFFSET(Electric!$L50,0,-'Electric Calendarize'!$L59+'Electric Calendarize'!AA$4+1))</f>
        <v>0</v>
      </c>
      <c r="AB59">
        <f ca="1">IF(OR($L59&gt;AB$4,AB$4&gt;$L59+23),"",OFFSET(Electric!$L50,0,-'Electric Calendarize'!$L59+'Electric Calendarize'!AB$4+1))</f>
        <v>0</v>
      </c>
      <c r="AC59">
        <f ca="1">IF(OR($L59&gt;AC$4,AC$4&gt;$L59+23),"",OFFSET(Electric!$L50,0,-'Electric Calendarize'!$L59+'Electric Calendarize'!AC$4+1))</f>
        <v>278</v>
      </c>
      <c r="AD59">
        <f ca="1">IF(OR($L59&gt;AD$4,AD$4&gt;$L59+23),"",OFFSET(Electric!$L50,0,-'Electric Calendarize'!$L59+'Electric Calendarize'!AD$4+1))</f>
        <v>826</v>
      </c>
      <c r="AE59">
        <f ca="1">IF(OR($L59&gt;AE$4,AE$4&gt;$L59+23),"",OFFSET(Electric!$L50,0,-'Electric Calendarize'!$L59+'Electric Calendarize'!AE$4+1))</f>
        <v>966</v>
      </c>
      <c r="AF59">
        <f ca="1">IF(OR($L59&gt;AF$4,AF$4&gt;$L59+23),"",OFFSET(Electric!$L50,0,-'Electric Calendarize'!$L59+'Electric Calendarize'!AF$4+1))</f>
        <v>898</v>
      </c>
      <c r="AG59">
        <f ca="1">IF(OR($L59&gt;AG$4,AG$4&gt;$L59+23),"",OFFSET(Electric!$L50,0,-'Electric Calendarize'!$L59+'Electric Calendarize'!AG$4+1))</f>
        <v>842</v>
      </c>
      <c r="AH59">
        <f ca="1">IF(OR($L59&gt;AH$4,AH$4&gt;$L59+23),"",OFFSET(Electric!$L50,0,-'Electric Calendarize'!$L59+'Electric Calendarize'!AH$4+1))</f>
        <v>1216</v>
      </c>
      <c r="AI59">
        <f ca="1">IF(OR($L59&gt;AI$4,AI$4&gt;$L59+23),"",OFFSET(Electric!$L50,0,-'Electric Calendarize'!$L59+'Electric Calendarize'!AI$4+1))</f>
        <v>2362</v>
      </c>
      <c r="AJ59">
        <f ca="1">IF(OR($L59&gt;AJ$4,AJ$4&gt;$L59+23),"",OFFSET(Electric!$L50,0,-'Electric Calendarize'!$L59+'Electric Calendarize'!AJ$4+1))</f>
        <v>1824</v>
      </c>
      <c r="AK59">
        <f ca="1">IF(OR($L59&gt;AK$4,AK$4&gt;$L59+23),"",OFFSET(Electric!$L50,0,-'Electric Calendarize'!$L59+'Electric Calendarize'!AK$4+1))</f>
        <v>328</v>
      </c>
      <c r="AL59">
        <f ca="1">IF(OR($L59&gt;AL$4,AL$4&gt;$L59+23),"",OFFSET(Electric!$L50,0,-'Electric Calendarize'!$L59+'Electric Calendarize'!AL$4+1))</f>
        <v>420</v>
      </c>
      <c r="AM59">
        <f ca="1">IF(OR($L59&gt;AM$4,AM$4&gt;$L59+23),"",OFFSET(Electric!$L50,0,-'Electric Calendarize'!$L59+'Electric Calendarize'!AM$4+1))</f>
        <v>378</v>
      </c>
      <c r="AN59">
        <f ca="1">IF(OR($L59&gt;AN$4,AN$4&gt;$L59+23),"",OFFSET(Electric!$L50,0,-'Electric Calendarize'!$L59+'Electric Calendarize'!AN$4+1))</f>
        <v>454</v>
      </c>
      <c r="AO59">
        <f ca="1">IF(OR($L59&gt;AO$4,AO$4&gt;$L59+23),"",OFFSET(Electric!$L50,0,-'Electric Calendarize'!$L59+'Electric Calendarize'!AO$4+1))</f>
        <v>652</v>
      </c>
      <c r="AP59">
        <f ca="1">IF(OR($L59&gt;AP$4,AP$4&gt;$L59+23),"",OFFSET(Electric!$L50,0,-'Electric Calendarize'!$L59+'Electric Calendarize'!AP$4+1))</f>
        <v>776</v>
      </c>
      <c r="AQ59">
        <f ca="1">IF(OR($L59&gt;AQ$4,AQ$4&gt;$L59+23),"",OFFSET(Electric!$L50,0,-'Electric Calendarize'!$L59+'Electric Calendarize'!AQ$4+1))</f>
        <v>984</v>
      </c>
      <c r="AR59">
        <f ca="1">IF(OR($L59&gt;AR$4,AR$4&gt;$L59+23),"",OFFSET(Electric!$L50,0,-'Electric Calendarize'!$L59+'Electric Calendarize'!AR$4+1))</f>
        <v>698</v>
      </c>
      <c r="AS59" t="str">
        <f ca="1">IF(OR($L59&gt;AS$4,AS$4&gt;$L59+23),"",OFFSET(Electric!$L50,0,-'Electric Calendarize'!$L59+'Electric Calendarize'!AS$4+1))</f>
        <v/>
      </c>
      <c r="AT59" t="str">
        <f ca="1">IF(OR($L59&gt;AT$4,AT$4&gt;$L59+23),"",OFFSET(Electric!$L50,0,-'Electric Calendarize'!$L59+'Electric Calendarize'!AT$4+1))</f>
        <v/>
      </c>
      <c r="AU59" t="str">
        <f ca="1">IF(OR($L59&gt;AU$4,AU$4&gt;$L59+23),"",OFFSET(Electric!$L50,0,-'Electric Calendarize'!$L59+'Electric Calendarize'!AU$4+1))</f>
        <v/>
      </c>
      <c r="AV59" t="str">
        <f ca="1">IF(OR($L59&gt;AV$4,AV$4&gt;$L59+23),"",OFFSET(Electric!$L50,0,-'Electric Calendarize'!$L59+'Electric Calendarize'!AV$4+1))</f>
        <v/>
      </c>
      <c r="AW59" t="str">
        <f ca="1">IF(OR($L59&gt;AW$4,AW$4&gt;$L59+23),"",OFFSET(Electric!$L50,0,-'Electric Calendarize'!$L59+'Electric Calendarize'!AW$4+1))</f>
        <v/>
      </c>
      <c r="AX59" t="str">
        <f ca="1">IF(OR($L59&gt;AX$4,AX$4&gt;$L59+23),"",OFFSET(Electric!$L50,0,-'Electric Calendarize'!$L59+'Electric Calendarize'!AX$4+1))</f>
        <v/>
      </c>
      <c r="AY59" t="str">
        <f ca="1">IF(OR($L59&gt;AY$4,AY$4&gt;$L59+23),"",OFFSET(Electric!$L50,0,-'Electric Calendarize'!$L59+'Electric Calendarize'!AY$4+1))</f>
        <v/>
      </c>
      <c r="AZ59" t="str">
        <f ca="1">IF(OR($L59&gt;AZ$4,AZ$4&gt;$L59+23),"",OFFSET(Electric!$L50,0,-'Electric Calendarize'!$L59+'Electric Calendarize'!AZ$4+1))</f>
        <v/>
      </c>
      <c r="BA59" t="str">
        <f ca="1">IF(OR($L59&gt;BA$4,BA$4&gt;$L59+23),"",OFFSET(Electric!$L50,0,-'Electric Calendarize'!$L59+'Electric Calendarize'!BA$4+1))</f>
        <v/>
      </c>
      <c r="BB59" t="str">
        <f ca="1">IF(OR($L59&gt;BB$4,BB$4&gt;$L59+23),"",OFFSET(Electric!$L50,0,-'Electric Calendarize'!$L59+'Electric Calendarize'!BB$4+1))</f>
        <v/>
      </c>
      <c r="BC59" t="str">
        <f ca="1">IF(OR($L59&gt;BC$4,BC$4&gt;$L59+23),"",OFFSET(Electric!$L50,0,-'Electric Calendarize'!$L59+'Electric Calendarize'!BC$4+1))</f>
        <v/>
      </c>
      <c r="BD59" t="str">
        <f ca="1">IF(OR($L59&gt;BD$4,BD$4&gt;$L59+23),"",OFFSET(Electric!$L50,0,-'Electric Calendarize'!$L59+'Electric Calendarize'!BD$4+1))</f>
        <v/>
      </c>
      <c r="BE59" t="str">
        <f ca="1">IF(OR($L59&gt;BE$4,BE$4&gt;$L59+23),"",OFFSET(Electric!$L50,0,-'Electric Calendarize'!$L59+'Electric Calendarize'!BE$4+1))</f>
        <v/>
      </c>
      <c r="BF59" t="str">
        <f ca="1">IF(OR($L59&gt;BF$4,BF$4&gt;$L59+23),"",OFFSET(Electric!$L50,0,-'Electric Calendarize'!$L59+'Electric Calendarize'!BF$4+1))</f>
        <v/>
      </c>
      <c r="BG59" t="str">
        <f ca="1">IF(OR($L59&gt;BG$4,BG$4&gt;$L59+23),"",OFFSET(Electric!$L50,0,-'Electric Calendarize'!$L59+'Electric Calendarize'!BG$4+1))</f>
        <v/>
      </c>
      <c r="BJ59" s="10" t="s">
        <v>37</v>
      </c>
      <c r="BK59">
        <f t="shared" si="195"/>
        <v>1</v>
      </c>
      <c r="BL59">
        <f t="shared" si="100"/>
        <v>0</v>
      </c>
      <c r="BM59">
        <f t="shared" si="101"/>
        <v>0</v>
      </c>
      <c r="BN59">
        <f t="shared" si="102"/>
        <v>0</v>
      </c>
      <c r="BO59">
        <f t="shared" si="103"/>
        <v>0</v>
      </c>
      <c r="BP59">
        <f t="shared" si="104"/>
        <v>0</v>
      </c>
      <c r="BQ59">
        <f t="shared" si="105"/>
        <v>0</v>
      </c>
      <c r="BR59">
        <f t="shared" si="106"/>
        <v>1</v>
      </c>
      <c r="BS59">
        <f t="shared" si="107"/>
        <v>1</v>
      </c>
      <c r="BT59">
        <f t="shared" si="108"/>
        <v>1</v>
      </c>
      <c r="BU59">
        <f t="shared" si="109"/>
        <v>1</v>
      </c>
      <c r="BV59">
        <f t="shared" si="110"/>
        <v>1</v>
      </c>
      <c r="BW59">
        <f t="shared" si="111"/>
        <v>1</v>
      </c>
      <c r="BX59">
        <f t="shared" si="112"/>
        <v>0</v>
      </c>
      <c r="BY59">
        <f t="shared" si="113"/>
        <v>0</v>
      </c>
      <c r="BZ59">
        <f t="shared" si="114"/>
        <v>0</v>
      </c>
      <c r="CA59">
        <f t="shared" si="115"/>
        <v>0</v>
      </c>
      <c r="CB59">
        <f t="shared" si="116"/>
        <v>0</v>
      </c>
      <c r="CC59">
        <f t="shared" si="117"/>
        <v>0</v>
      </c>
      <c r="CD59">
        <f t="shared" si="118"/>
        <v>1</v>
      </c>
      <c r="CE59">
        <f t="shared" si="119"/>
        <v>1</v>
      </c>
      <c r="CF59">
        <f t="shared" si="120"/>
        <v>1</v>
      </c>
      <c r="CG59">
        <f t="shared" si="121"/>
        <v>1</v>
      </c>
      <c r="CH59">
        <f t="shared" si="122"/>
        <v>1</v>
      </c>
      <c r="CI59">
        <f t="shared" si="123"/>
        <v>1</v>
      </c>
      <c r="CJ59">
        <f t="shared" si="124"/>
        <v>0</v>
      </c>
      <c r="CK59">
        <f t="shared" si="125"/>
        <v>0</v>
      </c>
      <c r="CL59">
        <f t="shared" si="126"/>
        <v>0</v>
      </c>
      <c r="CM59">
        <f t="shared" si="127"/>
        <v>0</v>
      </c>
      <c r="CN59">
        <f t="shared" si="128"/>
        <v>0</v>
      </c>
      <c r="CO59">
        <f t="shared" si="129"/>
        <v>0</v>
      </c>
      <c r="CP59">
        <f t="shared" si="130"/>
        <v>1</v>
      </c>
      <c r="CQ59">
        <f t="shared" si="131"/>
        <v>1</v>
      </c>
      <c r="CR59">
        <f t="shared" si="132"/>
        <v>1</v>
      </c>
      <c r="CS59">
        <f t="shared" si="133"/>
        <v>1</v>
      </c>
      <c r="CT59">
        <f t="shared" si="134"/>
        <v>1</v>
      </c>
      <c r="CU59">
        <f t="shared" si="135"/>
        <v>1</v>
      </c>
      <c r="CV59">
        <f t="shared" si="136"/>
        <v>0</v>
      </c>
      <c r="CW59">
        <f t="shared" si="137"/>
        <v>0</v>
      </c>
      <c r="CX59">
        <f t="shared" si="138"/>
        <v>0</v>
      </c>
      <c r="CY59">
        <f t="shared" si="139"/>
        <v>0</v>
      </c>
      <c r="CZ59">
        <f t="shared" si="140"/>
        <v>0</v>
      </c>
      <c r="DA59">
        <f t="shared" si="141"/>
        <v>0</v>
      </c>
      <c r="DB59">
        <f t="shared" si="142"/>
        <v>1</v>
      </c>
      <c r="DC59">
        <f t="shared" si="143"/>
        <v>1</v>
      </c>
      <c r="DF59" s="10" t="s">
        <v>37</v>
      </c>
      <c r="DG59" t="str">
        <f t="shared" si="204"/>
        <v>2021_10</v>
      </c>
      <c r="DH59" t="str">
        <f t="shared" si="204"/>
        <v>2021_10</v>
      </c>
      <c r="DI59" t="str">
        <f t="shared" si="204"/>
        <v>2021_10</v>
      </c>
      <c r="DJ59" t="str">
        <f t="shared" si="204"/>
        <v>2021_10</v>
      </c>
      <c r="DK59" t="str">
        <f t="shared" si="204"/>
        <v>2021_10</v>
      </c>
      <c r="DL59" t="str">
        <f t="shared" si="204"/>
        <v>2021_10</v>
      </c>
      <c r="DM59" t="str">
        <f t="shared" si="204"/>
        <v>2021_10</v>
      </c>
      <c r="DN59" t="str">
        <f t="shared" si="204"/>
        <v>2021_10</v>
      </c>
      <c r="DO59" t="str">
        <f t="shared" si="204"/>
        <v>2021_10</v>
      </c>
      <c r="DP59" t="str">
        <f t="shared" si="204"/>
        <v>2021_10</v>
      </c>
      <c r="DQ59" t="str">
        <f t="shared" si="204"/>
        <v>2021_10</v>
      </c>
      <c r="DR59" t="str">
        <f t="shared" si="204"/>
        <v>2021_10</v>
      </c>
      <c r="DS59" t="str">
        <f t="shared" si="204"/>
        <v>2021_10</v>
      </c>
      <c r="DT59" t="str">
        <f t="shared" si="204"/>
        <v>2021_10</v>
      </c>
      <c r="DU59" t="str">
        <f t="shared" si="204"/>
        <v>2021_10</v>
      </c>
      <c r="DV59" t="str">
        <f t="shared" si="204"/>
        <v>2021_10</v>
      </c>
      <c r="DW59" t="str">
        <f t="shared" ref="DW59:EL74" si="206">$K59</f>
        <v>2021_10</v>
      </c>
      <c r="DX59" t="str">
        <f t="shared" si="206"/>
        <v>2021_10</v>
      </c>
      <c r="DY59" t="str">
        <f t="shared" si="206"/>
        <v>2021_10</v>
      </c>
      <c r="DZ59" t="str">
        <f t="shared" si="206"/>
        <v>2021_10</v>
      </c>
      <c r="EA59" t="str">
        <f t="shared" si="206"/>
        <v>2021_10</v>
      </c>
      <c r="EB59" t="str">
        <f t="shared" si="206"/>
        <v>2021_10</v>
      </c>
      <c r="EC59" t="str">
        <f t="shared" si="206"/>
        <v>2021_10</v>
      </c>
      <c r="ED59" t="str">
        <f t="shared" si="206"/>
        <v>2021_10</v>
      </c>
      <c r="EE59" t="str">
        <f t="shared" si="206"/>
        <v>2021_10</v>
      </c>
      <c r="EF59" t="str">
        <f t="shared" si="206"/>
        <v>2021_10</v>
      </c>
      <c r="EG59" t="str">
        <f t="shared" si="206"/>
        <v>2021_10</v>
      </c>
      <c r="EH59" t="str">
        <f t="shared" si="206"/>
        <v>2021_10</v>
      </c>
      <c r="EI59" t="str">
        <f t="shared" si="206"/>
        <v>2021_10</v>
      </c>
      <c r="EJ59" t="str">
        <f t="shared" si="206"/>
        <v>2021_10</v>
      </c>
      <c r="EK59" t="str">
        <f t="shared" si="206"/>
        <v>2021_10</v>
      </c>
      <c r="EL59" t="str">
        <f t="shared" si="205"/>
        <v>2021_10</v>
      </c>
      <c r="EM59" t="str">
        <f t="shared" si="205"/>
        <v>2021_10</v>
      </c>
      <c r="EN59" t="str">
        <f t="shared" si="205"/>
        <v>2021_10</v>
      </c>
      <c r="EO59" t="str">
        <f t="shared" si="205"/>
        <v>2021_10</v>
      </c>
      <c r="EP59" t="str">
        <f t="shared" si="205"/>
        <v>2021_10</v>
      </c>
      <c r="EQ59" t="str">
        <f t="shared" si="205"/>
        <v>2021_10</v>
      </c>
      <c r="ER59" t="str">
        <f t="shared" si="205"/>
        <v>2021_10</v>
      </c>
      <c r="ES59" t="str">
        <f t="shared" si="205"/>
        <v>2021_10</v>
      </c>
      <c r="ET59" t="str">
        <f t="shared" si="205"/>
        <v>2021_10</v>
      </c>
      <c r="EU59" t="str">
        <f t="shared" si="205"/>
        <v>2021_10</v>
      </c>
      <c r="EV59" t="str">
        <f t="shared" si="205"/>
        <v>2021_10</v>
      </c>
      <c r="EW59" t="str">
        <f t="shared" si="205"/>
        <v>2021_10</v>
      </c>
      <c r="EX59" t="str">
        <f t="shared" si="205"/>
        <v>2021_10</v>
      </c>
      <c r="EY59" t="str">
        <f t="shared" si="205"/>
        <v>2021_10</v>
      </c>
      <c r="FB59" s="10" t="s">
        <v>37</v>
      </c>
      <c r="FC59">
        <f t="shared" si="197"/>
        <v>0</v>
      </c>
      <c r="FD59">
        <f t="shared" si="147"/>
        <v>0</v>
      </c>
      <c r="FE59">
        <f t="shared" si="148"/>
        <v>0</v>
      </c>
      <c r="FF59">
        <f t="shared" si="149"/>
        <v>0</v>
      </c>
      <c r="FG59">
        <f t="shared" si="150"/>
        <v>0</v>
      </c>
      <c r="FH59">
        <f t="shared" si="151"/>
        <v>0</v>
      </c>
      <c r="FI59">
        <f t="shared" si="152"/>
        <v>0</v>
      </c>
      <c r="FJ59">
        <f t="shared" si="153"/>
        <v>0</v>
      </c>
      <c r="FK59">
        <f t="shared" si="154"/>
        <v>0</v>
      </c>
      <c r="FL59">
        <f t="shared" si="155"/>
        <v>0</v>
      </c>
      <c r="FM59">
        <f t="shared" si="156"/>
        <v>0</v>
      </c>
      <c r="FN59">
        <f t="shared" si="157"/>
        <v>0</v>
      </c>
      <c r="FO59">
        <f t="shared" si="158"/>
        <v>0</v>
      </c>
      <c r="FP59">
        <f t="shared" si="159"/>
        <v>0</v>
      </c>
      <c r="FQ59">
        <f t="shared" si="160"/>
        <v>0</v>
      </c>
      <c r="FR59">
        <f t="shared" si="161"/>
        <v>0</v>
      </c>
      <c r="FS59">
        <f t="shared" si="162"/>
        <v>0</v>
      </c>
      <c r="FT59">
        <f t="shared" si="163"/>
        <v>0</v>
      </c>
      <c r="FU59">
        <f t="shared" si="164"/>
        <v>1</v>
      </c>
      <c r="FV59">
        <f t="shared" si="165"/>
        <v>1</v>
      </c>
      <c r="FW59">
        <f t="shared" si="166"/>
        <v>1</v>
      </c>
      <c r="FX59">
        <f t="shared" si="167"/>
        <v>1</v>
      </c>
      <c r="FY59">
        <f t="shared" si="168"/>
        <v>1</v>
      </c>
      <c r="FZ59">
        <f t="shared" si="169"/>
        <v>1</v>
      </c>
      <c r="GA59">
        <f t="shared" si="170"/>
        <v>1</v>
      </c>
      <c r="GB59">
        <f t="shared" si="171"/>
        <v>1</v>
      </c>
      <c r="GC59">
        <f t="shared" si="172"/>
        <v>1</v>
      </c>
      <c r="GD59">
        <f t="shared" si="173"/>
        <v>1</v>
      </c>
      <c r="GE59">
        <f t="shared" si="174"/>
        <v>1</v>
      </c>
      <c r="GF59">
        <f t="shared" si="175"/>
        <v>1</v>
      </c>
      <c r="GG59">
        <f t="shared" si="176"/>
        <v>1</v>
      </c>
      <c r="GH59">
        <f t="shared" si="177"/>
        <v>1</v>
      </c>
      <c r="GI59">
        <f t="shared" si="178"/>
        <v>1</v>
      </c>
      <c r="GJ59">
        <f t="shared" si="179"/>
        <v>1</v>
      </c>
      <c r="GK59">
        <f t="shared" si="180"/>
        <v>1</v>
      </c>
      <c r="GL59">
        <f t="shared" si="181"/>
        <v>1</v>
      </c>
      <c r="GM59">
        <f t="shared" si="182"/>
        <v>1</v>
      </c>
      <c r="GN59">
        <f t="shared" si="183"/>
        <v>1</v>
      </c>
      <c r="GO59">
        <f t="shared" si="184"/>
        <v>1</v>
      </c>
      <c r="GP59">
        <f t="shared" si="185"/>
        <v>1</v>
      </c>
      <c r="GQ59">
        <f t="shared" si="186"/>
        <v>1</v>
      </c>
      <c r="GR59">
        <f t="shared" si="187"/>
        <v>1</v>
      </c>
      <c r="GS59">
        <f t="shared" si="188"/>
        <v>1</v>
      </c>
      <c r="GT59">
        <f t="shared" si="189"/>
        <v>1</v>
      </c>
      <c r="GU59">
        <f t="shared" si="190"/>
        <v>1</v>
      </c>
      <c r="GX59" s="10"/>
    </row>
    <row r="60" spans="1:206" x14ac:dyDescent="0.3">
      <c r="A60" s="16" t="s">
        <v>33</v>
      </c>
      <c r="B60" s="80"/>
      <c r="C60" s="9">
        <v>3121314001</v>
      </c>
      <c r="D60" s="9" t="s">
        <v>391</v>
      </c>
      <c r="E60" s="9" t="s">
        <v>39</v>
      </c>
      <c r="F60" s="9" t="s">
        <v>35</v>
      </c>
      <c r="G60" s="9" t="s">
        <v>91</v>
      </c>
      <c r="H60" s="10">
        <v>44480</v>
      </c>
      <c r="I60" s="9">
        <f t="shared" si="191"/>
        <v>2021</v>
      </c>
      <c r="J60" s="9">
        <f t="shared" si="192"/>
        <v>10</v>
      </c>
      <c r="K60" s="9" t="str">
        <f t="shared" si="193"/>
        <v>2021_10</v>
      </c>
      <c r="L60">
        <f>MAX(0,VLOOKUP($K60,lookups!$A$1:$B$45,2,0)-12)</f>
        <v>6</v>
      </c>
      <c r="M60" s="40">
        <f t="shared" si="194"/>
        <v>44470</v>
      </c>
      <c r="N60" s="10" t="s">
        <v>37</v>
      </c>
      <c r="O60" t="str">
        <f ca="1">IF(OR($L60&gt;O$4,O$4&gt;$L60+23),"",OFFSET(Electric!$L51,0,-'Electric Calendarize'!$L60+'Electric Calendarize'!O$4+1))</f>
        <v/>
      </c>
      <c r="P60" t="str">
        <f ca="1">IF(OR($L60&gt;P$4,P$4&gt;$L60+23),"",OFFSET(Electric!$L51,0,-'Electric Calendarize'!$L60+'Electric Calendarize'!P$4+1))</f>
        <v/>
      </c>
      <c r="Q60" t="str">
        <f ca="1">IF(OR($L60&gt;Q$4,Q$4&gt;$L60+23),"",OFFSET(Electric!$L51,0,-'Electric Calendarize'!$L60+'Electric Calendarize'!Q$4+1))</f>
        <v/>
      </c>
      <c r="R60" t="str">
        <f ca="1">IF(OR($L60&gt;R$4,R$4&gt;$L60+23),"",OFFSET(Electric!$L51,0,-'Electric Calendarize'!$L60+'Electric Calendarize'!R$4+1))</f>
        <v/>
      </c>
      <c r="S60" t="str">
        <f ca="1">IF(OR($L60&gt;S$4,S$4&gt;$L60+23),"",OFFSET(Electric!$L51,0,-'Electric Calendarize'!$L60+'Electric Calendarize'!S$4+1))</f>
        <v/>
      </c>
      <c r="T60" t="str">
        <f ca="1">IF(OR($L60&gt;T$4,T$4&gt;$L60+23),"",OFFSET(Electric!$L51,0,-'Electric Calendarize'!$L60+'Electric Calendarize'!T$4+1))</f>
        <v/>
      </c>
      <c r="U60">
        <f ca="1">IF(OR($L60&gt;U$4,U$4&gt;$L60+23),"",OFFSET(Electric!$L51,0,-'Electric Calendarize'!$L60+'Electric Calendarize'!U$4+1))</f>
        <v>45</v>
      </c>
      <c r="V60">
        <f ca="1">IF(OR($L60&gt;V$4,V$4&gt;$L60+23),"",OFFSET(Electric!$L51,0,-'Electric Calendarize'!$L60+'Electric Calendarize'!V$4+1))</f>
        <v>81</v>
      </c>
      <c r="W60">
        <f ca="1">IF(OR($L60&gt;W$4,W$4&gt;$L60+23),"",OFFSET(Electric!$L51,0,-'Electric Calendarize'!$L60+'Electric Calendarize'!W$4+1))</f>
        <v>202</v>
      </c>
      <c r="X60">
        <f ca="1">IF(OR($L60&gt;X$4,X$4&gt;$L60+23),"",OFFSET(Electric!$L51,0,-'Electric Calendarize'!$L60+'Electric Calendarize'!X$4+1))</f>
        <v>480</v>
      </c>
      <c r="Y60">
        <f ca="1">IF(OR($L60&gt;Y$4,Y$4&gt;$L60+23),"",OFFSET(Electric!$L51,0,-'Electric Calendarize'!$L60+'Electric Calendarize'!Y$4+1))</f>
        <v>604</v>
      </c>
      <c r="Z60">
        <f ca="1">IF(OR($L60&gt;Z$4,Z$4&gt;$L60+23),"",OFFSET(Electric!$L51,0,-'Electric Calendarize'!$L60+'Electric Calendarize'!Z$4+1))</f>
        <v>472</v>
      </c>
      <c r="AA60">
        <f ca="1">IF(OR($L60&gt;AA$4,AA$4&gt;$L60+23),"",OFFSET(Electric!$L51,0,-'Electric Calendarize'!$L60+'Electric Calendarize'!AA$4+1))</f>
        <v>95</v>
      </c>
      <c r="AB60">
        <f ca="1">IF(OR($L60&gt;AB$4,AB$4&gt;$L60+23),"",OFFSET(Electric!$L51,0,-'Electric Calendarize'!$L60+'Electric Calendarize'!AB$4+1))</f>
        <v>16</v>
      </c>
      <c r="AC60">
        <f ca="1">IF(OR($L60&gt;AC$4,AC$4&gt;$L60+23),"",OFFSET(Electric!$L51,0,-'Electric Calendarize'!$L60+'Electric Calendarize'!AC$4+1))</f>
        <v>41</v>
      </c>
      <c r="AD60">
        <f ca="1">IF(OR($L60&gt;AD$4,AD$4&gt;$L60+23),"",OFFSET(Electric!$L51,0,-'Electric Calendarize'!$L60+'Electric Calendarize'!AD$4+1))</f>
        <v>41</v>
      </c>
      <c r="AE60">
        <f ca="1">IF(OR($L60&gt;AE$4,AE$4&gt;$L60+23),"",OFFSET(Electric!$L51,0,-'Electric Calendarize'!$L60+'Electric Calendarize'!AE$4+1))</f>
        <v>37</v>
      </c>
      <c r="AF60">
        <f ca="1">IF(OR($L60&gt;AF$4,AF$4&gt;$L60+23),"",OFFSET(Electric!$L51,0,-'Electric Calendarize'!$L60+'Electric Calendarize'!AF$4+1))</f>
        <v>36</v>
      </c>
      <c r="AG60">
        <f ca="1">IF(OR($L60&gt;AG$4,AG$4&gt;$L60+23),"",OFFSET(Electric!$L51,0,-'Electric Calendarize'!$L60+'Electric Calendarize'!AG$4+1))</f>
        <v>28</v>
      </c>
      <c r="AH60">
        <f ca="1">IF(OR($L60&gt;AH$4,AH$4&gt;$L60+23),"",OFFSET(Electric!$L51,0,-'Electric Calendarize'!$L60+'Electric Calendarize'!AH$4+1))</f>
        <v>402</v>
      </c>
      <c r="AI60">
        <f ca="1">IF(OR($L60&gt;AI$4,AI$4&gt;$L60+23),"",OFFSET(Electric!$L51,0,-'Electric Calendarize'!$L60+'Electric Calendarize'!AI$4+1))</f>
        <v>1549</v>
      </c>
      <c r="AJ60">
        <f ca="1">IF(OR($L60&gt;AJ$4,AJ$4&gt;$L60+23),"",OFFSET(Electric!$L51,0,-'Electric Calendarize'!$L60+'Electric Calendarize'!AJ$4+1))</f>
        <v>2173</v>
      </c>
      <c r="AK60">
        <f ca="1">IF(OR($L60&gt;AK$4,AK$4&gt;$L60+23),"",OFFSET(Electric!$L51,0,-'Electric Calendarize'!$L60+'Electric Calendarize'!AK$4+1))</f>
        <v>2101</v>
      </c>
      <c r="AL60">
        <f ca="1">IF(OR($L60&gt;AL$4,AL$4&gt;$L60+23),"",OFFSET(Electric!$L51,0,-'Electric Calendarize'!$L60+'Electric Calendarize'!AL$4+1))</f>
        <v>1121</v>
      </c>
      <c r="AM60">
        <f ca="1">IF(OR($L60&gt;AM$4,AM$4&gt;$L60+23),"",OFFSET(Electric!$L51,0,-'Electric Calendarize'!$L60+'Electric Calendarize'!AM$4+1))</f>
        <v>741</v>
      </c>
      <c r="AN60">
        <f ca="1">IF(OR($L60&gt;AN$4,AN$4&gt;$L60+23),"",OFFSET(Electric!$L51,0,-'Electric Calendarize'!$L60+'Electric Calendarize'!AN$4+1))</f>
        <v>680</v>
      </c>
      <c r="AO60">
        <f ca="1">IF(OR($L60&gt;AO$4,AO$4&gt;$L60+23),"",OFFSET(Electric!$L51,0,-'Electric Calendarize'!$L60+'Electric Calendarize'!AO$4+1))</f>
        <v>382</v>
      </c>
      <c r="AP60">
        <f ca="1">IF(OR($L60&gt;AP$4,AP$4&gt;$L60+23),"",OFFSET(Electric!$L51,0,-'Electric Calendarize'!$L60+'Electric Calendarize'!AP$4+1))</f>
        <v>620</v>
      </c>
      <c r="AQ60">
        <f ca="1">IF(OR($L60&gt;AQ$4,AQ$4&gt;$L60+23),"",OFFSET(Electric!$L51,0,-'Electric Calendarize'!$L60+'Electric Calendarize'!AQ$4+1))</f>
        <v>745</v>
      </c>
      <c r="AR60">
        <f ca="1">IF(OR($L60&gt;AR$4,AR$4&gt;$L60+23),"",OFFSET(Electric!$L51,0,-'Electric Calendarize'!$L60+'Electric Calendarize'!AR$4+1))</f>
        <v>563</v>
      </c>
      <c r="AS60" t="str">
        <f ca="1">IF(OR($L60&gt;AS$4,AS$4&gt;$L60+23),"",OFFSET(Electric!$L51,0,-'Electric Calendarize'!$L60+'Electric Calendarize'!AS$4+1))</f>
        <v/>
      </c>
      <c r="AT60" t="str">
        <f ca="1">IF(OR($L60&gt;AT$4,AT$4&gt;$L60+23),"",OFFSET(Electric!$L51,0,-'Electric Calendarize'!$L60+'Electric Calendarize'!AT$4+1))</f>
        <v/>
      </c>
      <c r="AU60" t="str">
        <f ca="1">IF(OR($L60&gt;AU$4,AU$4&gt;$L60+23),"",OFFSET(Electric!$L51,0,-'Electric Calendarize'!$L60+'Electric Calendarize'!AU$4+1))</f>
        <v/>
      </c>
      <c r="AV60" t="str">
        <f ca="1">IF(OR($L60&gt;AV$4,AV$4&gt;$L60+23),"",OFFSET(Electric!$L51,0,-'Electric Calendarize'!$L60+'Electric Calendarize'!AV$4+1))</f>
        <v/>
      </c>
      <c r="AW60" t="str">
        <f ca="1">IF(OR($L60&gt;AW$4,AW$4&gt;$L60+23),"",OFFSET(Electric!$L51,0,-'Electric Calendarize'!$L60+'Electric Calendarize'!AW$4+1))</f>
        <v/>
      </c>
      <c r="AX60" t="str">
        <f ca="1">IF(OR($L60&gt;AX$4,AX$4&gt;$L60+23),"",OFFSET(Electric!$L51,0,-'Electric Calendarize'!$L60+'Electric Calendarize'!AX$4+1))</f>
        <v/>
      </c>
      <c r="AY60" t="str">
        <f ca="1">IF(OR($L60&gt;AY$4,AY$4&gt;$L60+23),"",OFFSET(Electric!$L51,0,-'Electric Calendarize'!$L60+'Electric Calendarize'!AY$4+1))</f>
        <v/>
      </c>
      <c r="AZ60" t="str">
        <f ca="1">IF(OR($L60&gt;AZ$4,AZ$4&gt;$L60+23),"",OFFSET(Electric!$L51,0,-'Electric Calendarize'!$L60+'Electric Calendarize'!AZ$4+1))</f>
        <v/>
      </c>
      <c r="BA60" t="str">
        <f ca="1">IF(OR($L60&gt;BA$4,BA$4&gt;$L60+23),"",OFFSET(Electric!$L51,0,-'Electric Calendarize'!$L60+'Electric Calendarize'!BA$4+1))</f>
        <v/>
      </c>
      <c r="BB60" t="str">
        <f ca="1">IF(OR($L60&gt;BB$4,BB$4&gt;$L60+23),"",OFFSET(Electric!$L51,0,-'Electric Calendarize'!$L60+'Electric Calendarize'!BB$4+1))</f>
        <v/>
      </c>
      <c r="BC60" t="str">
        <f ca="1">IF(OR($L60&gt;BC$4,BC$4&gt;$L60+23),"",OFFSET(Electric!$L51,0,-'Electric Calendarize'!$L60+'Electric Calendarize'!BC$4+1))</f>
        <v/>
      </c>
      <c r="BD60" t="str">
        <f ca="1">IF(OR($L60&gt;BD$4,BD$4&gt;$L60+23),"",OFFSET(Electric!$L51,0,-'Electric Calendarize'!$L60+'Electric Calendarize'!BD$4+1))</f>
        <v/>
      </c>
      <c r="BE60" t="str">
        <f ca="1">IF(OR($L60&gt;BE$4,BE$4&gt;$L60+23),"",OFFSET(Electric!$L51,0,-'Electric Calendarize'!$L60+'Electric Calendarize'!BE$4+1))</f>
        <v/>
      </c>
      <c r="BF60" t="str">
        <f ca="1">IF(OR($L60&gt;BF$4,BF$4&gt;$L60+23),"",OFFSET(Electric!$L51,0,-'Electric Calendarize'!$L60+'Electric Calendarize'!BF$4+1))</f>
        <v/>
      </c>
      <c r="BG60" t="str">
        <f ca="1">IF(OR($L60&gt;BG$4,BG$4&gt;$L60+23),"",OFFSET(Electric!$L51,0,-'Electric Calendarize'!$L60+'Electric Calendarize'!BG$4+1))</f>
        <v/>
      </c>
      <c r="BJ60" s="10" t="s">
        <v>37</v>
      </c>
      <c r="BK60">
        <f t="shared" si="195"/>
        <v>1</v>
      </c>
      <c r="BL60">
        <f t="shared" si="100"/>
        <v>0</v>
      </c>
      <c r="BM60">
        <f t="shared" si="101"/>
        <v>0</v>
      </c>
      <c r="BN60">
        <f t="shared" si="102"/>
        <v>0</v>
      </c>
      <c r="BO60">
        <f t="shared" si="103"/>
        <v>0</v>
      </c>
      <c r="BP60">
        <f t="shared" si="104"/>
        <v>0</v>
      </c>
      <c r="BQ60">
        <f t="shared" si="105"/>
        <v>0</v>
      </c>
      <c r="BR60">
        <f t="shared" si="106"/>
        <v>1</v>
      </c>
      <c r="BS60">
        <f t="shared" si="107"/>
        <v>1</v>
      </c>
      <c r="BT60">
        <f t="shared" si="108"/>
        <v>1</v>
      </c>
      <c r="BU60">
        <f t="shared" si="109"/>
        <v>1</v>
      </c>
      <c r="BV60">
        <f t="shared" si="110"/>
        <v>1</v>
      </c>
      <c r="BW60">
        <f t="shared" si="111"/>
        <v>1</v>
      </c>
      <c r="BX60">
        <f t="shared" si="112"/>
        <v>0</v>
      </c>
      <c r="BY60">
        <f t="shared" si="113"/>
        <v>0</v>
      </c>
      <c r="BZ60">
        <f t="shared" si="114"/>
        <v>0</v>
      </c>
      <c r="CA60">
        <f t="shared" si="115"/>
        <v>0</v>
      </c>
      <c r="CB60">
        <f t="shared" si="116"/>
        <v>0</v>
      </c>
      <c r="CC60">
        <f t="shared" si="117"/>
        <v>0</v>
      </c>
      <c r="CD60">
        <f t="shared" si="118"/>
        <v>1</v>
      </c>
      <c r="CE60">
        <f t="shared" si="119"/>
        <v>1</v>
      </c>
      <c r="CF60">
        <f t="shared" si="120"/>
        <v>1</v>
      </c>
      <c r="CG60">
        <f t="shared" si="121"/>
        <v>1</v>
      </c>
      <c r="CH60">
        <f t="shared" si="122"/>
        <v>1</v>
      </c>
      <c r="CI60">
        <f t="shared" si="123"/>
        <v>1</v>
      </c>
      <c r="CJ60">
        <f t="shared" si="124"/>
        <v>0</v>
      </c>
      <c r="CK60">
        <f t="shared" si="125"/>
        <v>0</v>
      </c>
      <c r="CL60">
        <f t="shared" si="126"/>
        <v>0</v>
      </c>
      <c r="CM60">
        <f t="shared" si="127"/>
        <v>0</v>
      </c>
      <c r="CN60">
        <f t="shared" si="128"/>
        <v>0</v>
      </c>
      <c r="CO60">
        <f t="shared" si="129"/>
        <v>0</v>
      </c>
      <c r="CP60">
        <f t="shared" si="130"/>
        <v>1</v>
      </c>
      <c r="CQ60">
        <f t="shared" si="131"/>
        <v>1</v>
      </c>
      <c r="CR60">
        <f t="shared" si="132"/>
        <v>1</v>
      </c>
      <c r="CS60">
        <f t="shared" si="133"/>
        <v>1</v>
      </c>
      <c r="CT60">
        <f t="shared" si="134"/>
        <v>1</v>
      </c>
      <c r="CU60">
        <f t="shared" si="135"/>
        <v>1</v>
      </c>
      <c r="CV60">
        <f t="shared" si="136"/>
        <v>0</v>
      </c>
      <c r="CW60">
        <f t="shared" si="137"/>
        <v>0</v>
      </c>
      <c r="CX60">
        <f t="shared" si="138"/>
        <v>0</v>
      </c>
      <c r="CY60">
        <f t="shared" si="139"/>
        <v>0</v>
      </c>
      <c r="CZ60">
        <f t="shared" si="140"/>
        <v>0</v>
      </c>
      <c r="DA60">
        <f t="shared" si="141"/>
        <v>0</v>
      </c>
      <c r="DB60">
        <f t="shared" si="142"/>
        <v>1</v>
      </c>
      <c r="DC60">
        <f t="shared" si="143"/>
        <v>1</v>
      </c>
      <c r="DF60" s="10" t="s">
        <v>37</v>
      </c>
      <c r="DG60" t="str">
        <f t="shared" ref="DG60:DV75" si="207">$K60</f>
        <v>2021_10</v>
      </c>
      <c r="DH60" t="str">
        <f t="shared" si="207"/>
        <v>2021_10</v>
      </c>
      <c r="DI60" t="str">
        <f t="shared" si="207"/>
        <v>2021_10</v>
      </c>
      <c r="DJ60" t="str">
        <f t="shared" si="207"/>
        <v>2021_10</v>
      </c>
      <c r="DK60" t="str">
        <f t="shared" si="207"/>
        <v>2021_10</v>
      </c>
      <c r="DL60" t="str">
        <f t="shared" si="207"/>
        <v>2021_10</v>
      </c>
      <c r="DM60" t="str">
        <f t="shared" si="207"/>
        <v>2021_10</v>
      </c>
      <c r="DN60" t="str">
        <f t="shared" si="207"/>
        <v>2021_10</v>
      </c>
      <c r="DO60" t="str">
        <f t="shared" si="207"/>
        <v>2021_10</v>
      </c>
      <c r="DP60" t="str">
        <f t="shared" si="207"/>
        <v>2021_10</v>
      </c>
      <c r="DQ60" t="str">
        <f t="shared" si="207"/>
        <v>2021_10</v>
      </c>
      <c r="DR60" t="str">
        <f t="shared" si="207"/>
        <v>2021_10</v>
      </c>
      <c r="DS60" t="str">
        <f t="shared" si="207"/>
        <v>2021_10</v>
      </c>
      <c r="DT60" t="str">
        <f t="shared" si="207"/>
        <v>2021_10</v>
      </c>
      <c r="DU60" t="str">
        <f t="shared" si="207"/>
        <v>2021_10</v>
      </c>
      <c r="DV60" t="str">
        <f t="shared" si="207"/>
        <v>2021_10</v>
      </c>
      <c r="DW60" t="str">
        <f t="shared" si="206"/>
        <v>2021_10</v>
      </c>
      <c r="DX60" t="str">
        <f t="shared" si="206"/>
        <v>2021_10</v>
      </c>
      <c r="DY60" t="str">
        <f t="shared" si="206"/>
        <v>2021_10</v>
      </c>
      <c r="DZ60" t="str">
        <f t="shared" si="206"/>
        <v>2021_10</v>
      </c>
      <c r="EA60" t="str">
        <f t="shared" si="206"/>
        <v>2021_10</v>
      </c>
      <c r="EB60" t="str">
        <f t="shared" si="206"/>
        <v>2021_10</v>
      </c>
      <c r="EC60" t="str">
        <f t="shared" si="206"/>
        <v>2021_10</v>
      </c>
      <c r="ED60" t="str">
        <f t="shared" si="206"/>
        <v>2021_10</v>
      </c>
      <c r="EE60" t="str">
        <f t="shared" si="206"/>
        <v>2021_10</v>
      </c>
      <c r="EF60" t="str">
        <f t="shared" si="206"/>
        <v>2021_10</v>
      </c>
      <c r="EG60" t="str">
        <f t="shared" si="206"/>
        <v>2021_10</v>
      </c>
      <c r="EH60" t="str">
        <f t="shared" si="206"/>
        <v>2021_10</v>
      </c>
      <c r="EI60" t="str">
        <f t="shared" si="206"/>
        <v>2021_10</v>
      </c>
      <c r="EJ60" t="str">
        <f t="shared" si="206"/>
        <v>2021_10</v>
      </c>
      <c r="EK60" t="str">
        <f t="shared" si="206"/>
        <v>2021_10</v>
      </c>
      <c r="EL60" t="str">
        <f t="shared" si="205"/>
        <v>2021_10</v>
      </c>
      <c r="EM60" t="str">
        <f t="shared" si="205"/>
        <v>2021_10</v>
      </c>
      <c r="EN60" t="str">
        <f t="shared" si="205"/>
        <v>2021_10</v>
      </c>
      <c r="EO60" t="str">
        <f t="shared" si="205"/>
        <v>2021_10</v>
      </c>
      <c r="EP60" t="str">
        <f t="shared" si="205"/>
        <v>2021_10</v>
      </c>
      <c r="EQ60" t="str">
        <f t="shared" si="205"/>
        <v>2021_10</v>
      </c>
      <c r="ER60" t="str">
        <f t="shared" si="205"/>
        <v>2021_10</v>
      </c>
      <c r="ES60" t="str">
        <f t="shared" si="205"/>
        <v>2021_10</v>
      </c>
      <c r="ET60" t="str">
        <f t="shared" si="205"/>
        <v>2021_10</v>
      </c>
      <c r="EU60" t="str">
        <f t="shared" si="205"/>
        <v>2021_10</v>
      </c>
      <c r="EV60" t="str">
        <f t="shared" si="205"/>
        <v>2021_10</v>
      </c>
      <c r="EW60" t="str">
        <f t="shared" si="205"/>
        <v>2021_10</v>
      </c>
      <c r="EX60" t="str">
        <f t="shared" si="205"/>
        <v>2021_10</v>
      </c>
      <c r="EY60" t="str">
        <f t="shared" si="205"/>
        <v>2021_10</v>
      </c>
      <c r="FB60" s="10" t="s">
        <v>37</v>
      </c>
      <c r="FC60">
        <f t="shared" si="197"/>
        <v>0</v>
      </c>
      <c r="FD60">
        <f t="shared" si="147"/>
        <v>0</v>
      </c>
      <c r="FE60">
        <f t="shared" si="148"/>
        <v>0</v>
      </c>
      <c r="FF60">
        <f t="shared" si="149"/>
        <v>0</v>
      </c>
      <c r="FG60">
        <f t="shared" si="150"/>
        <v>0</v>
      </c>
      <c r="FH60">
        <f t="shared" si="151"/>
        <v>0</v>
      </c>
      <c r="FI60">
        <f t="shared" si="152"/>
        <v>0</v>
      </c>
      <c r="FJ60">
        <f t="shared" si="153"/>
        <v>0</v>
      </c>
      <c r="FK60">
        <f t="shared" si="154"/>
        <v>0</v>
      </c>
      <c r="FL60">
        <f t="shared" si="155"/>
        <v>0</v>
      </c>
      <c r="FM60">
        <f t="shared" si="156"/>
        <v>0</v>
      </c>
      <c r="FN60">
        <f t="shared" si="157"/>
        <v>0</v>
      </c>
      <c r="FO60">
        <f t="shared" si="158"/>
        <v>0</v>
      </c>
      <c r="FP60">
        <f t="shared" si="159"/>
        <v>0</v>
      </c>
      <c r="FQ60">
        <f t="shared" si="160"/>
        <v>0</v>
      </c>
      <c r="FR60">
        <f t="shared" si="161"/>
        <v>0</v>
      </c>
      <c r="FS60">
        <f t="shared" si="162"/>
        <v>0</v>
      </c>
      <c r="FT60">
        <f t="shared" si="163"/>
        <v>0</v>
      </c>
      <c r="FU60">
        <f t="shared" si="164"/>
        <v>1</v>
      </c>
      <c r="FV60">
        <f t="shared" si="165"/>
        <v>1</v>
      </c>
      <c r="FW60">
        <f t="shared" si="166"/>
        <v>1</v>
      </c>
      <c r="FX60">
        <f t="shared" si="167"/>
        <v>1</v>
      </c>
      <c r="FY60">
        <f t="shared" si="168"/>
        <v>1</v>
      </c>
      <c r="FZ60">
        <f t="shared" si="169"/>
        <v>1</v>
      </c>
      <c r="GA60">
        <f t="shared" si="170"/>
        <v>1</v>
      </c>
      <c r="GB60">
        <f t="shared" si="171"/>
        <v>1</v>
      </c>
      <c r="GC60">
        <f t="shared" si="172"/>
        <v>1</v>
      </c>
      <c r="GD60">
        <f t="shared" si="173"/>
        <v>1</v>
      </c>
      <c r="GE60">
        <f t="shared" si="174"/>
        <v>1</v>
      </c>
      <c r="GF60">
        <f t="shared" si="175"/>
        <v>1</v>
      </c>
      <c r="GG60">
        <f t="shared" si="176"/>
        <v>1</v>
      </c>
      <c r="GH60">
        <f t="shared" si="177"/>
        <v>1</v>
      </c>
      <c r="GI60">
        <f t="shared" si="178"/>
        <v>1</v>
      </c>
      <c r="GJ60">
        <f t="shared" si="179"/>
        <v>1</v>
      </c>
      <c r="GK60">
        <f t="shared" si="180"/>
        <v>1</v>
      </c>
      <c r="GL60">
        <f t="shared" si="181"/>
        <v>1</v>
      </c>
      <c r="GM60">
        <f t="shared" si="182"/>
        <v>1</v>
      </c>
      <c r="GN60">
        <f t="shared" si="183"/>
        <v>1</v>
      </c>
      <c r="GO60">
        <f t="shared" si="184"/>
        <v>1</v>
      </c>
      <c r="GP60">
        <f t="shared" si="185"/>
        <v>1</v>
      </c>
      <c r="GQ60">
        <f t="shared" si="186"/>
        <v>1</v>
      </c>
      <c r="GR60">
        <f t="shared" si="187"/>
        <v>1</v>
      </c>
      <c r="GS60">
        <f t="shared" si="188"/>
        <v>1</v>
      </c>
      <c r="GT60">
        <f t="shared" si="189"/>
        <v>1</v>
      </c>
      <c r="GU60">
        <f t="shared" si="190"/>
        <v>1</v>
      </c>
      <c r="GX60" s="10"/>
    </row>
    <row r="61" spans="1:206" x14ac:dyDescent="0.3">
      <c r="A61" s="15" t="s">
        <v>41</v>
      </c>
      <c r="B61" s="80"/>
      <c r="C61" s="9">
        <v>3132480000</v>
      </c>
      <c r="D61" s="9" t="s">
        <v>392</v>
      </c>
      <c r="E61" s="9" t="s">
        <v>39</v>
      </c>
      <c r="F61" s="9" t="s">
        <v>35</v>
      </c>
      <c r="G61" s="9" t="s">
        <v>92</v>
      </c>
      <c r="H61" s="10">
        <v>44480</v>
      </c>
      <c r="I61" s="9">
        <f t="shared" si="191"/>
        <v>2021</v>
      </c>
      <c r="J61" s="9">
        <f t="shared" si="192"/>
        <v>10</v>
      </c>
      <c r="K61" s="9" t="str">
        <f t="shared" si="193"/>
        <v>2021_10</v>
      </c>
      <c r="L61">
        <f>MAX(0,VLOOKUP($K61,lookups!$A$1:$B$45,2,0)-12)</f>
        <v>6</v>
      </c>
      <c r="M61" s="40">
        <f t="shared" si="194"/>
        <v>44470</v>
      </c>
      <c r="N61" s="10" t="s">
        <v>37</v>
      </c>
      <c r="O61" t="str">
        <f ca="1">IF(OR($L61&gt;O$4,O$4&gt;$L61+23),"",OFFSET(Electric!$L52,0,-'Electric Calendarize'!$L61+'Electric Calendarize'!O$4+1))</f>
        <v/>
      </c>
      <c r="P61" t="str">
        <f ca="1">IF(OR($L61&gt;P$4,P$4&gt;$L61+23),"",OFFSET(Electric!$L52,0,-'Electric Calendarize'!$L61+'Electric Calendarize'!P$4+1))</f>
        <v/>
      </c>
      <c r="Q61" t="str">
        <f ca="1">IF(OR($L61&gt;Q$4,Q$4&gt;$L61+23),"",OFFSET(Electric!$L52,0,-'Electric Calendarize'!$L61+'Electric Calendarize'!Q$4+1))</f>
        <v/>
      </c>
      <c r="R61" t="str">
        <f ca="1">IF(OR($L61&gt;R$4,R$4&gt;$L61+23),"",OFFSET(Electric!$L52,0,-'Electric Calendarize'!$L61+'Electric Calendarize'!R$4+1))</f>
        <v/>
      </c>
      <c r="S61" t="str">
        <f ca="1">IF(OR($L61&gt;S$4,S$4&gt;$L61+23),"",OFFSET(Electric!$L52,0,-'Electric Calendarize'!$L61+'Electric Calendarize'!S$4+1))</f>
        <v/>
      </c>
      <c r="T61" t="str">
        <f ca="1">IF(OR($L61&gt;T$4,T$4&gt;$L61+23),"",OFFSET(Electric!$L52,0,-'Electric Calendarize'!$L61+'Electric Calendarize'!T$4+1))</f>
        <v/>
      </c>
      <c r="U61">
        <f ca="1">IF(OR($L61&gt;U$4,U$4&gt;$L61+23),"",OFFSET(Electric!$L52,0,-'Electric Calendarize'!$L61+'Electric Calendarize'!U$4+1))</f>
        <v>667</v>
      </c>
      <c r="V61">
        <f ca="1">IF(OR($L61&gt;V$4,V$4&gt;$L61+23),"",OFFSET(Electric!$L52,0,-'Electric Calendarize'!$L61+'Electric Calendarize'!V$4+1))</f>
        <v>716</v>
      </c>
      <c r="W61">
        <f ca="1">IF(OR($L61&gt;W$4,W$4&gt;$L61+23),"",OFFSET(Electric!$L52,0,-'Electric Calendarize'!$L61+'Electric Calendarize'!W$4+1))</f>
        <v>981</v>
      </c>
      <c r="X61">
        <f ca="1">IF(OR($L61&gt;X$4,X$4&gt;$L61+23),"",OFFSET(Electric!$L52,0,-'Electric Calendarize'!$L61+'Electric Calendarize'!X$4+1))</f>
        <v>868</v>
      </c>
      <c r="Y61">
        <f ca="1">IF(OR($L61&gt;Y$4,Y$4&gt;$L61+23),"",OFFSET(Electric!$L52,0,-'Electric Calendarize'!$L61+'Electric Calendarize'!Y$4+1))</f>
        <v>836</v>
      </c>
      <c r="Z61">
        <f ca="1">IF(OR($L61&gt;Z$4,Z$4&gt;$L61+23),"",OFFSET(Electric!$L52,0,-'Electric Calendarize'!$L61+'Electric Calendarize'!Z$4+1))</f>
        <v>844</v>
      </c>
      <c r="AA61">
        <f ca="1">IF(OR($L61&gt;AA$4,AA$4&gt;$L61+23),"",OFFSET(Electric!$L52,0,-'Electric Calendarize'!$L61+'Electric Calendarize'!AA$4+1))</f>
        <v>705</v>
      </c>
      <c r="AB61">
        <f ca="1">IF(OR($L61&gt;AB$4,AB$4&gt;$L61+23),"",OFFSET(Electric!$L52,0,-'Electric Calendarize'!$L61+'Electric Calendarize'!AB$4+1))</f>
        <v>768</v>
      </c>
      <c r="AC61">
        <f ca="1">IF(OR($L61&gt;AC$4,AC$4&gt;$L61+23),"",OFFSET(Electric!$L52,0,-'Electric Calendarize'!$L61+'Electric Calendarize'!AC$4+1))</f>
        <v>1071</v>
      </c>
      <c r="AD61">
        <f ca="1">IF(OR($L61&gt;AD$4,AD$4&gt;$L61+23),"",OFFSET(Electric!$L52,0,-'Electric Calendarize'!$L61+'Electric Calendarize'!AD$4+1))</f>
        <v>1191</v>
      </c>
      <c r="AE61">
        <f ca="1">IF(OR($L61&gt;AE$4,AE$4&gt;$L61+23),"",OFFSET(Electric!$L52,0,-'Electric Calendarize'!$L61+'Electric Calendarize'!AE$4+1))</f>
        <v>1227</v>
      </c>
      <c r="AF61">
        <f ca="1">IF(OR($L61&gt;AF$4,AF$4&gt;$L61+23),"",OFFSET(Electric!$L52,0,-'Electric Calendarize'!$L61+'Electric Calendarize'!AF$4+1))</f>
        <v>960</v>
      </c>
      <c r="AG61">
        <f ca="1">IF(OR($L61&gt;AG$4,AG$4&gt;$L61+23),"",OFFSET(Electric!$L52,0,-'Electric Calendarize'!$L61+'Electric Calendarize'!AG$4+1))</f>
        <v>690</v>
      </c>
      <c r="AH61">
        <f ca="1">IF(OR($L61&gt;AH$4,AH$4&gt;$L61+23),"",OFFSET(Electric!$L52,0,-'Electric Calendarize'!$L61+'Electric Calendarize'!AH$4+1))</f>
        <v>755</v>
      </c>
      <c r="AI61">
        <f ca="1">IF(OR($L61&gt;AI$4,AI$4&gt;$L61+23),"",OFFSET(Electric!$L52,0,-'Electric Calendarize'!$L61+'Electric Calendarize'!AI$4+1))</f>
        <v>769</v>
      </c>
      <c r="AJ61">
        <f ca="1">IF(OR($L61&gt;AJ$4,AJ$4&gt;$L61+23),"",OFFSET(Electric!$L52,0,-'Electric Calendarize'!$L61+'Electric Calendarize'!AJ$4+1))</f>
        <v>1016</v>
      </c>
      <c r="AK61">
        <f ca="1">IF(OR($L61&gt;AK$4,AK$4&gt;$L61+23),"",OFFSET(Electric!$L52,0,-'Electric Calendarize'!$L61+'Electric Calendarize'!AK$4+1))</f>
        <v>854</v>
      </c>
      <c r="AL61">
        <f ca="1">IF(OR($L61&gt;AL$4,AL$4&gt;$L61+23),"",OFFSET(Electric!$L52,0,-'Electric Calendarize'!$L61+'Electric Calendarize'!AL$4+1))</f>
        <v>854</v>
      </c>
      <c r="AM61">
        <f ca="1">IF(OR($L61&gt;AM$4,AM$4&gt;$L61+23),"",OFFSET(Electric!$L52,0,-'Electric Calendarize'!$L61+'Electric Calendarize'!AM$4+1))</f>
        <v>778</v>
      </c>
      <c r="AN61">
        <f ca="1">IF(OR($L61&gt;AN$4,AN$4&gt;$L61+23),"",OFFSET(Electric!$L52,0,-'Electric Calendarize'!$L61+'Electric Calendarize'!AN$4+1))</f>
        <v>897</v>
      </c>
      <c r="AO61">
        <f ca="1">IF(OR($L61&gt;AO$4,AO$4&gt;$L61+23),"",OFFSET(Electric!$L52,0,-'Electric Calendarize'!$L61+'Electric Calendarize'!AO$4+1))</f>
        <v>840</v>
      </c>
      <c r="AP61">
        <f ca="1">IF(OR($L61&gt;AP$4,AP$4&gt;$L61+23),"",OFFSET(Electric!$L52,0,-'Electric Calendarize'!$L61+'Electric Calendarize'!AP$4+1))</f>
        <v>1310</v>
      </c>
      <c r="AQ61">
        <f ca="1">IF(OR($L61&gt;AQ$4,AQ$4&gt;$L61+23),"",OFFSET(Electric!$L52,0,-'Electric Calendarize'!$L61+'Electric Calendarize'!AQ$4+1))</f>
        <v>1291</v>
      </c>
      <c r="AR61">
        <f ca="1">IF(OR($L61&gt;AR$4,AR$4&gt;$L61+23),"",OFFSET(Electric!$L52,0,-'Electric Calendarize'!$L61+'Electric Calendarize'!AR$4+1))</f>
        <v>880</v>
      </c>
      <c r="AS61" t="str">
        <f ca="1">IF(OR($L61&gt;AS$4,AS$4&gt;$L61+23),"",OFFSET(Electric!$L52,0,-'Electric Calendarize'!$L61+'Electric Calendarize'!AS$4+1))</f>
        <v/>
      </c>
      <c r="AT61" t="str">
        <f ca="1">IF(OR($L61&gt;AT$4,AT$4&gt;$L61+23),"",OFFSET(Electric!$L52,0,-'Electric Calendarize'!$L61+'Electric Calendarize'!AT$4+1))</f>
        <v/>
      </c>
      <c r="AU61" t="str">
        <f ca="1">IF(OR($L61&gt;AU$4,AU$4&gt;$L61+23),"",OFFSET(Electric!$L52,0,-'Electric Calendarize'!$L61+'Electric Calendarize'!AU$4+1))</f>
        <v/>
      </c>
      <c r="AV61" t="str">
        <f ca="1">IF(OR($L61&gt;AV$4,AV$4&gt;$L61+23),"",OFFSET(Electric!$L52,0,-'Electric Calendarize'!$L61+'Electric Calendarize'!AV$4+1))</f>
        <v/>
      </c>
      <c r="AW61" t="str">
        <f ca="1">IF(OR($L61&gt;AW$4,AW$4&gt;$L61+23),"",OFFSET(Electric!$L52,0,-'Electric Calendarize'!$L61+'Electric Calendarize'!AW$4+1))</f>
        <v/>
      </c>
      <c r="AX61" t="str">
        <f ca="1">IF(OR($L61&gt;AX$4,AX$4&gt;$L61+23),"",OFFSET(Electric!$L52,0,-'Electric Calendarize'!$L61+'Electric Calendarize'!AX$4+1))</f>
        <v/>
      </c>
      <c r="AY61" t="str">
        <f ca="1">IF(OR($L61&gt;AY$4,AY$4&gt;$L61+23),"",OFFSET(Electric!$L52,0,-'Electric Calendarize'!$L61+'Electric Calendarize'!AY$4+1))</f>
        <v/>
      </c>
      <c r="AZ61" t="str">
        <f ca="1">IF(OR($L61&gt;AZ$4,AZ$4&gt;$L61+23),"",OFFSET(Electric!$L52,0,-'Electric Calendarize'!$L61+'Electric Calendarize'!AZ$4+1))</f>
        <v/>
      </c>
      <c r="BA61" t="str">
        <f ca="1">IF(OR($L61&gt;BA$4,BA$4&gt;$L61+23),"",OFFSET(Electric!$L52,0,-'Electric Calendarize'!$L61+'Electric Calendarize'!BA$4+1))</f>
        <v/>
      </c>
      <c r="BB61" t="str">
        <f ca="1">IF(OR($L61&gt;BB$4,BB$4&gt;$L61+23),"",OFFSET(Electric!$L52,0,-'Electric Calendarize'!$L61+'Electric Calendarize'!BB$4+1))</f>
        <v/>
      </c>
      <c r="BC61" t="str">
        <f ca="1">IF(OR($L61&gt;BC$4,BC$4&gt;$L61+23),"",OFFSET(Electric!$L52,0,-'Electric Calendarize'!$L61+'Electric Calendarize'!BC$4+1))</f>
        <v/>
      </c>
      <c r="BD61" t="str">
        <f ca="1">IF(OR($L61&gt;BD$4,BD$4&gt;$L61+23),"",OFFSET(Electric!$L52,0,-'Electric Calendarize'!$L61+'Electric Calendarize'!BD$4+1))</f>
        <v/>
      </c>
      <c r="BE61" t="str">
        <f ca="1">IF(OR($L61&gt;BE$4,BE$4&gt;$L61+23),"",OFFSET(Electric!$L52,0,-'Electric Calendarize'!$L61+'Electric Calendarize'!BE$4+1))</f>
        <v/>
      </c>
      <c r="BF61" t="str">
        <f ca="1">IF(OR($L61&gt;BF$4,BF$4&gt;$L61+23),"",OFFSET(Electric!$L52,0,-'Electric Calendarize'!$L61+'Electric Calendarize'!BF$4+1))</f>
        <v/>
      </c>
      <c r="BG61" t="str">
        <f ca="1">IF(OR($L61&gt;BG$4,BG$4&gt;$L61+23),"",OFFSET(Electric!$L52,0,-'Electric Calendarize'!$L61+'Electric Calendarize'!BG$4+1))</f>
        <v/>
      </c>
      <c r="BJ61" s="10" t="s">
        <v>37</v>
      </c>
      <c r="BK61">
        <f t="shared" si="195"/>
        <v>1</v>
      </c>
      <c r="BL61">
        <f t="shared" si="100"/>
        <v>0</v>
      </c>
      <c r="BM61">
        <f t="shared" si="101"/>
        <v>0</v>
      </c>
      <c r="BN61">
        <f t="shared" si="102"/>
        <v>0</v>
      </c>
      <c r="BO61">
        <f t="shared" si="103"/>
        <v>0</v>
      </c>
      <c r="BP61">
        <f t="shared" si="104"/>
        <v>0</v>
      </c>
      <c r="BQ61">
        <f t="shared" si="105"/>
        <v>0</v>
      </c>
      <c r="BR61">
        <f t="shared" si="106"/>
        <v>1</v>
      </c>
      <c r="BS61">
        <f t="shared" si="107"/>
        <v>1</v>
      </c>
      <c r="BT61">
        <f t="shared" si="108"/>
        <v>1</v>
      </c>
      <c r="BU61">
        <f t="shared" si="109"/>
        <v>1</v>
      </c>
      <c r="BV61">
        <f t="shared" si="110"/>
        <v>1</v>
      </c>
      <c r="BW61">
        <f t="shared" si="111"/>
        <v>1</v>
      </c>
      <c r="BX61">
        <f t="shared" si="112"/>
        <v>0</v>
      </c>
      <c r="BY61">
        <f t="shared" si="113"/>
        <v>0</v>
      </c>
      <c r="BZ61">
        <f t="shared" si="114"/>
        <v>0</v>
      </c>
      <c r="CA61">
        <f t="shared" si="115"/>
        <v>0</v>
      </c>
      <c r="CB61">
        <f t="shared" si="116"/>
        <v>0</v>
      </c>
      <c r="CC61">
        <f t="shared" si="117"/>
        <v>0</v>
      </c>
      <c r="CD61">
        <f t="shared" si="118"/>
        <v>1</v>
      </c>
      <c r="CE61">
        <f t="shared" si="119"/>
        <v>1</v>
      </c>
      <c r="CF61">
        <f t="shared" si="120"/>
        <v>1</v>
      </c>
      <c r="CG61">
        <f t="shared" si="121"/>
        <v>1</v>
      </c>
      <c r="CH61">
        <f t="shared" si="122"/>
        <v>1</v>
      </c>
      <c r="CI61">
        <f t="shared" si="123"/>
        <v>1</v>
      </c>
      <c r="CJ61">
        <f t="shared" si="124"/>
        <v>0</v>
      </c>
      <c r="CK61">
        <f t="shared" si="125"/>
        <v>0</v>
      </c>
      <c r="CL61">
        <f t="shared" si="126"/>
        <v>0</v>
      </c>
      <c r="CM61">
        <f t="shared" si="127"/>
        <v>0</v>
      </c>
      <c r="CN61">
        <f t="shared" si="128"/>
        <v>0</v>
      </c>
      <c r="CO61">
        <f t="shared" si="129"/>
        <v>0</v>
      </c>
      <c r="CP61">
        <f t="shared" si="130"/>
        <v>1</v>
      </c>
      <c r="CQ61">
        <f t="shared" si="131"/>
        <v>1</v>
      </c>
      <c r="CR61">
        <f t="shared" si="132"/>
        <v>1</v>
      </c>
      <c r="CS61">
        <f t="shared" si="133"/>
        <v>1</v>
      </c>
      <c r="CT61">
        <f t="shared" si="134"/>
        <v>1</v>
      </c>
      <c r="CU61">
        <f t="shared" si="135"/>
        <v>1</v>
      </c>
      <c r="CV61">
        <f t="shared" si="136"/>
        <v>0</v>
      </c>
      <c r="CW61">
        <f t="shared" si="137"/>
        <v>0</v>
      </c>
      <c r="CX61">
        <f t="shared" si="138"/>
        <v>0</v>
      </c>
      <c r="CY61">
        <f t="shared" si="139"/>
        <v>0</v>
      </c>
      <c r="CZ61">
        <f t="shared" si="140"/>
        <v>0</v>
      </c>
      <c r="DA61">
        <f t="shared" si="141"/>
        <v>0</v>
      </c>
      <c r="DB61">
        <f t="shared" si="142"/>
        <v>1</v>
      </c>
      <c r="DC61">
        <f t="shared" si="143"/>
        <v>1</v>
      </c>
      <c r="DF61" s="10" t="s">
        <v>37</v>
      </c>
      <c r="DG61" t="str">
        <f t="shared" si="207"/>
        <v>2021_10</v>
      </c>
      <c r="DH61" t="str">
        <f t="shared" si="207"/>
        <v>2021_10</v>
      </c>
      <c r="DI61" t="str">
        <f t="shared" si="207"/>
        <v>2021_10</v>
      </c>
      <c r="DJ61" t="str">
        <f t="shared" si="207"/>
        <v>2021_10</v>
      </c>
      <c r="DK61" t="str">
        <f t="shared" si="207"/>
        <v>2021_10</v>
      </c>
      <c r="DL61" t="str">
        <f t="shared" si="207"/>
        <v>2021_10</v>
      </c>
      <c r="DM61" t="str">
        <f t="shared" si="207"/>
        <v>2021_10</v>
      </c>
      <c r="DN61" t="str">
        <f t="shared" si="207"/>
        <v>2021_10</v>
      </c>
      <c r="DO61" t="str">
        <f t="shared" si="207"/>
        <v>2021_10</v>
      </c>
      <c r="DP61" t="str">
        <f t="shared" si="207"/>
        <v>2021_10</v>
      </c>
      <c r="DQ61" t="str">
        <f t="shared" si="207"/>
        <v>2021_10</v>
      </c>
      <c r="DR61" t="str">
        <f t="shared" si="207"/>
        <v>2021_10</v>
      </c>
      <c r="DS61" t="str">
        <f t="shared" si="207"/>
        <v>2021_10</v>
      </c>
      <c r="DT61" t="str">
        <f t="shared" si="207"/>
        <v>2021_10</v>
      </c>
      <c r="DU61" t="str">
        <f t="shared" si="207"/>
        <v>2021_10</v>
      </c>
      <c r="DV61" t="str">
        <f t="shared" si="207"/>
        <v>2021_10</v>
      </c>
      <c r="DW61" t="str">
        <f t="shared" si="206"/>
        <v>2021_10</v>
      </c>
      <c r="DX61" t="str">
        <f t="shared" si="206"/>
        <v>2021_10</v>
      </c>
      <c r="DY61" t="str">
        <f t="shared" si="206"/>
        <v>2021_10</v>
      </c>
      <c r="DZ61" t="str">
        <f t="shared" si="206"/>
        <v>2021_10</v>
      </c>
      <c r="EA61" t="str">
        <f t="shared" si="206"/>
        <v>2021_10</v>
      </c>
      <c r="EB61" t="str">
        <f t="shared" si="206"/>
        <v>2021_10</v>
      </c>
      <c r="EC61" t="str">
        <f t="shared" si="206"/>
        <v>2021_10</v>
      </c>
      <c r="ED61" t="str">
        <f t="shared" si="206"/>
        <v>2021_10</v>
      </c>
      <c r="EE61" t="str">
        <f t="shared" si="206"/>
        <v>2021_10</v>
      </c>
      <c r="EF61" t="str">
        <f t="shared" si="206"/>
        <v>2021_10</v>
      </c>
      <c r="EG61" t="str">
        <f t="shared" si="206"/>
        <v>2021_10</v>
      </c>
      <c r="EH61" t="str">
        <f t="shared" si="206"/>
        <v>2021_10</v>
      </c>
      <c r="EI61" t="str">
        <f t="shared" si="206"/>
        <v>2021_10</v>
      </c>
      <c r="EJ61" t="str">
        <f t="shared" si="206"/>
        <v>2021_10</v>
      </c>
      <c r="EK61" t="str">
        <f t="shared" si="206"/>
        <v>2021_10</v>
      </c>
      <c r="EL61" t="str">
        <f t="shared" si="205"/>
        <v>2021_10</v>
      </c>
      <c r="EM61" t="str">
        <f t="shared" si="205"/>
        <v>2021_10</v>
      </c>
      <c r="EN61" t="str">
        <f t="shared" si="205"/>
        <v>2021_10</v>
      </c>
      <c r="EO61" t="str">
        <f t="shared" si="205"/>
        <v>2021_10</v>
      </c>
      <c r="EP61" t="str">
        <f t="shared" si="205"/>
        <v>2021_10</v>
      </c>
      <c r="EQ61" t="str">
        <f t="shared" si="205"/>
        <v>2021_10</v>
      </c>
      <c r="ER61" t="str">
        <f t="shared" si="205"/>
        <v>2021_10</v>
      </c>
      <c r="ES61" t="str">
        <f t="shared" si="205"/>
        <v>2021_10</v>
      </c>
      <c r="ET61" t="str">
        <f t="shared" si="205"/>
        <v>2021_10</v>
      </c>
      <c r="EU61" t="str">
        <f t="shared" si="205"/>
        <v>2021_10</v>
      </c>
      <c r="EV61" t="str">
        <f t="shared" si="205"/>
        <v>2021_10</v>
      </c>
      <c r="EW61" t="str">
        <f t="shared" si="205"/>
        <v>2021_10</v>
      </c>
      <c r="EX61" t="str">
        <f t="shared" si="205"/>
        <v>2021_10</v>
      </c>
      <c r="EY61" t="str">
        <f t="shared" si="205"/>
        <v>2021_10</v>
      </c>
      <c r="FB61" s="10" t="s">
        <v>37</v>
      </c>
      <c r="FC61">
        <f t="shared" si="197"/>
        <v>0</v>
      </c>
      <c r="FD61">
        <f t="shared" si="147"/>
        <v>0</v>
      </c>
      <c r="FE61">
        <f t="shared" si="148"/>
        <v>0</v>
      </c>
      <c r="FF61">
        <f t="shared" si="149"/>
        <v>0</v>
      </c>
      <c r="FG61">
        <f t="shared" si="150"/>
        <v>0</v>
      </c>
      <c r="FH61">
        <f t="shared" si="151"/>
        <v>0</v>
      </c>
      <c r="FI61">
        <f t="shared" si="152"/>
        <v>0</v>
      </c>
      <c r="FJ61">
        <f t="shared" si="153"/>
        <v>0</v>
      </c>
      <c r="FK61">
        <f t="shared" si="154"/>
        <v>0</v>
      </c>
      <c r="FL61">
        <f t="shared" si="155"/>
        <v>0</v>
      </c>
      <c r="FM61">
        <f t="shared" si="156"/>
        <v>0</v>
      </c>
      <c r="FN61">
        <f t="shared" si="157"/>
        <v>0</v>
      </c>
      <c r="FO61">
        <f t="shared" si="158"/>
        <v>0</v>
      </c>
      <c r="FP61">
        <f t="shared" si="159"/>
        <v>0</v>
      </c>
      <c r="FQ61">
        <f t="shared" si="160"/>
        <v>0</v>
      </c>
      <c r="FR61">
        <f t="shared" si="161"/>
        <v>0</v>
      </c>
      <c r="FS61">
        <f t="shared" si="162"/>
        <v>0</v>
      </c>
      <c r="FT61">
        <f t="shared" si="163"/>
        <v>0</v>
      </c>
      <c r="FU61">
        <f t="shared" si="164"/>
        <v>1</v>
      </c>
      <c r="FV61">
        <f t="shared" si="165"/>
        <v>1</v>
      </c>
      <c r="FW61">
        <f t="shared" si="166"/>
        <v>1</v>
      </c>
      <c r="FX61">
        <f t="shared" si="167"/>
        <v>1</v>
      </c>
      <c r="FY61">
        <f t="shared" si="168"/>
        <v>1</v>
      </c>
      <c r="FZ61">
        <f t="shared" si="169"/>
        <v>1</v>
      </c>
      <c r="GA61">
        <f t="shared" si="170"/>
        <v>1</v>
      </c>
      <c r="GB61">
        <f t="shared" si="171"/>
        <v>1</v>
      </c>
      <c r="GC61">
        <f t="shared" si="172"/>
        <v>1</v>
      </c>
      <c r="GD61">
        <f t="shared" si="173"/>
        <v>1</v>
      </c>
      <c r="GE61">
        <f t="shared" si="174"/>
        <v>1</v>
      </c>
      <c r="GF61">
        <f t="shared" si="175"/>
        <v>1</v>
      </c>
      <c r="GG61">
        <f t="shared" si="176"/>
        <v>1</v>
      </c>
      <c r="GH61">
        <f t="shared" si="177"/>
        <v>1</v>
      </c>
      <c r="GI61">
        <f t="shared" si="178"/>
        <v>1</v>
      </c>
      <c r="GJ61">
        <f t="shared" si="179"/>
        <v>1</v>
      </c>
      <c r="GK61">
        <f t="shared" si="180"/>
        <v>1</v>
      </c>
      <c r="GL61">
        <f t="shared" si="181"/>
        <v>1</v>
      </c>
      <c r="GM61">
        <f t="shared" si="182"/>
        <v>1</v>
      </c>
      <c r="GN61">
        <f t="shared" si="183"/>
        <v>1</v>
      </c>
      <c r="GO61">
        <f t="shared" si="184"/>
        <v>1</v>
      </c>
      <c r="GP61">
        <f t="shared" si="185"/>
        <v>1</v>
      </c>
      <c r="GQ61">
        <f t="shared" si="186"/>
        <v>1</v>
      </c>
      <c r="GR61">
        <f t="shared" si="187"/>
        <v>1</v>
      </c>
      <c r="GS61">
        <f t="shared" si="188"/>
        <v>1</v>
      </c>
      <c r="GT61">
        <f t="shared" si="189"/>
        <v>1</v>
      </c>
      <c r="GU61">
        <f t="shared" si="190"/>
        <v>1</v>
      </c>
      <c r="GX61" s="10"/>
    </row>
    <row r="62" spans="1:206" x14ac:dyDescent="0.3">
      <c r="A62" s="15" t="s">
        <v>41</v>
      </c>
      <c r="B62" s="80"/>
      <c r="C62" s="9">
        <v>3131705000</v>
      </c>
      <c r="D62" s="9" t="s">
        <v>393</v>
      </c>
      <c r="E62" s="9" t="s">
        <v>39</v>
      </c>
      <c r="F62" s="9" t="s">
        <v>35</v>
      </c>
      <c r="G62" s="9" t="s">
        <v>93</v>
      </c>
      <c r="H62" s="10">
        <v>44481</v>
      </c>
      <c r="I62" s="9">
        <f t="shared" si="191"/>
        <v>2021</v>
      </c>
      <c r="J62" s="9">
        <f t="shared" si="192"/>
        <v>10</v>
      </c>
      <c r="K62" s="9" t="str">
        <f t="shared" si="193"/>
        <v>2021_10</v>
      </c>
      <c r="L62">
        <f>MAX(0,VLOOKUP($K62,lookups!$A$1:$B$45,2,0)-12)</f>
        <v>6</v>
      </c>
      <c r="M62" s="40">
        <f t="shared" si="194"/>
        <v>44470</v>
      </c>
      <c r="N62" s="10" t="s">
        <v>37</v>
      </c>
      <c r="O62" t="str">
        <f ca="1">IF(OR($L62&gt;O$4,O$4&gt;$L62+23),"",OFFSET(Electric!$L53,0,-'Electric Calendarize'!$L62+'Electric Calendarize'!O$4+1))</f>
        <v/>
      </c>
      <c r="P62" t="str">
        <f ca="1">IF(OR($L62&gt;P$4,P$4&gt;$L62+23),"",OFFSET(Electric!$L53,0,-'Electric Calendarize'!$L62+'Electric Calendarize'!P$4+1))</f>
        <v/>
      </c>
      <c r="Q62" t="str">
        <f ca="1">IF(OR($L62&gt;Q$4,Q$4&gt;$L62+23),"",OFFSET(Electric!$L53,0,-'Electric Calendarize'!$L62+'Electric Calendarize'!Q$4+1))</f>
        <v/>
      </c>
      <c r="R62" t="str">
        <f ca="1">IF(OR($L62&gt;R$4,R$4&gt;$L62+23),"",OFFSET(Electric!$L53,0,-'Electric Calendarize'!$L62+'Electric Calendarize'!R$4+1))</f>
        <v/>
      </c>
      <c r="S62" t="str">
        <f ca="1">IF(OR($L62&gt;S$4,S$4&gt;$L62+23),"",OFFSET(Electric!$L53,0,-'Electric Calendarize'!$L62+'Electric Calendarize'!S$4+1))</f>
        <v/>
      </c>
      <c r="T62" t="str">
        <f ca="1">IF(OR($L62&gt;T$4,T$4&gt;$L62+23),"",OFFSET(Electric!$L53,0,-'Electric Calendarize'!$L62+'Electric Calendarize'!T$4+1))</f>
        <v/>
      </c>
      <c r="U62">
        <f ca="1">IF(OR($L62&gt;U$4,U$4&gt;$L62+23),"",OFFSET(Electric!$L53,0,-'Electric Calendarize'!$L62+'Electric Calendarize'!U$4+1))</f>
        <v>490</v>
      </c>
      <c r="V62">
        <f ca="1">IF(OR($L62&gt;V$4,V$4&gt;$L62+23),"",OFFSET(Electric!$L53,0,-'Electric Calendarize'!$L62+'Electric Calendarize'!V$4+1))</f>
        <v>491</v>
      </c>
      <c r="W62">
        <f ca="1">IF(OR($L62&gt;W$4,W$4&gt;$L62+23),"",OFFSET(Electric!$L53,0,-'Electric Calendarize'!$L62+'Electric Calendarize'!W$4+1))</f>
        <v>797</v>
      </c>
      <c r="X62">
        <f ca="1">IF(OR($L62&gt;X$4,X$4&gt;$L62+23),"",OFFSET(Electric!$L53,0,-'Electric Calendarize'!$L62+'Electric Calendarize'!X$4+1))</f>
        <v>890</v>
      </c>
      <c r="Y62">
        <f ca="1">IF(OR($L62&gt;Y$4,Y$4&gt;$L62+23),"",OFFSET(Electric!$L53,0,-'Electric Calendarize'!$L62+'Electric Calendarize'!Y$4+1))</f>
        <v>534</v>
      </c>
      <c r="Z62">
        <f ca="1">IF(OR($L62&gt;Z$4,Z$4&gt;$L62+23),"",OFFSET(Electric!$L53,0,-'Electric Calendarize'!$L62+'Electric Calendarize'!Z$4+1))</f>
        <v>485</v>
      </c>
      <c r="AA62">
        <f ca="1">IF(OR($L62&gt;AA$4,AA$4&gt;$L62+23),"",OFFSET(Electric!$L53,0,-'Electric Calendarize'!$L62+'Electric Calendarize'!AA$4+1))</f>
        <v>400</v>
      </c>
      <c r="AB62">
        <f ca="1">IF(OR($L62&gt;AB$4,AB$4&gt;$L62+23),"",OFFSET(Electric!$L53,0,-'Electric Calendarize'!$L62+'Electric Calendarize'!AB$4+1))</f>
        <v>482</v>
      </c>
      <c r="AC62">
        <f ca="1">IF(OR($L62&gt;AC$4,AC$4&gt;$L62+23),"",OFFSET(Electric!$L53,0,-'Electric Calendarize'!$L62+'Electric Calendarize'!AC$4+1))</f>
        <v>828</v>
      </c>
      <c r="AD62">
        <f ca="1">IF(OR($L62&gt;AD$4,AD$4&gt;$L62+23),"",OFFSET(Electric!$L53,0,-'Electric Calendarize'!$L62+'Electric Calendarize'!AD$4+1))</f>
        <v>747</v>
      </c>
      <c r="AE62">
        <f ca="1">IF(OR($L62&gt;AE$4,AE$4&gt;$L62+23),"",OFFSET(Electric!$L53,0,-'Electric Calendarize'!$L62+'Electric Calendarize'!AE$4+1))</f>
        <v>910</v>
      </c>
      <c r="AF62">
        <f ca="1">IF(OR($L62&gt;AF$4,AF$4&gt;$L62+23),"",OFFSET(Electric!$L53,0,-'Electric Calendarize'!$L62+'Electric Calendarize'!AF$4+1))</f>
        <v>1047</v>
      </c>
      <c r="AG62">
        <f ca="1">IF(OR($L62&gt;AG$4,AG$4&gt;$L62+23),"",OFFSET(Electric!$L53,0,-'Electric Calendarize'!$L62+'Electric Calendarize'!AG$4+1))</f>
        <v>758</v>
      </c>
      <c r="AH62">
        <f ca="1">IF(OR($L62&gt;AH$4,AH$4&gt;$L62+23),"",OFFSET(Electric!$L53,0,-'Electric Calendarize'!$L62+'Electric Calendarize'!AH$4+1))</f>
        <v>1130</v>
      </c>
      <c r="AI62">
        <f ca="1">IF(OR($L62&gt;AI$4,AI$4&gt;$L62+23),"",OFFSET(Electric!$L53,0,-'Electric Calendarize'!$L62+'Electric Calendarize'!AI$4+1))</f>
        <v>1224</v>
      </c>
      <c r="AJ62">
        <f ca="1">IF(OR($L62&gt;AJ$4,AJ$4&gt;$L62+23),"",OFFSET(Electric!$L53,0,-'Electric Calendarize'!$L62+'Electric Calendarize'!AJ$4+1))</f>
        <v>793</v>
      </c>
      <c r="AK62">
        <f ca="1">IF(OR($L62&gt;AK$4,AK$4&gt;$L62+23),"",OFFSET(Electric!$L53,0,-'Electric Calendarize'!$L62+'Electric Calendarize'!AK$4+1))</f>
        <v>1338</v>
      </c>
      <c r="AL62">
        <f ca="1">IF(OR($L62&gt;AL$4,AL$4&gt;$L62+23),"",OFFSET(Electric!$L53,0,-'Electric Calendarize'!$L62+'Electric Calendarize'!AL$4+1))</f>
        <v>1524</v>
      </c>
      <c r="AM62">
        <f ca="1">IF(OR($L62&gt;AM$4,AM$4&gt;$L62+23),"",OFFSET(Electric!$L53,0,-'Electric Calendarize'!$L62+'Electric Calendarize'!AM$4+1))</f>
        <v>967</v>
      </c>
      <c r="AN62">
        <f ca="1">IF(OR($L62&gt;AN$4,AN$4&gt;$L62+23),"",OFFSET(Electric!$L53,0,-'Electric Calendarize'!$L62+'Electric Calendarize'!AN$4+1))</f>
        <v>847</v>
      </c>
      <c r="AO62">
        <f ca="1">IF(OR($L62&gt;AO$4,AO$4&gt;$L62+23),"",OFFSET(Electric!$L53,0,-'Electric Calendarize'!$L62+'Electric Calendarize'!AO$4+1))</f>
        <v>737</v>
      </c>
      <c r="AP62">
        <f ca="1">IF(OR($L62&gt;AP$4,AP$4&gt;$L62+23),"",OFFSET(Electric!$L53,0,-'Electric Calendarize'!$L62+'Electric Calendarize'!AP$4+1))</f>
        <v>794</v>
      </c>
      <c r="AQ62">
        <f ca="1">IF(OR($L62&gt;AQ$4,AQ$4&gt;$L62+23),"",OFFSET(Electric!$L53,0,-'Electric Calendarize'!$L62+'Electric Calendarize'!AQ$4+1))</f>
        <v>829</v>
      </c>
      <c r="AR62">
        <f ca="1">IF(OR($L62&gt;AR$4,AR$4&gt;$L62+23),"",OFFSET(Electric!$L53,0,-'Electric Calendarize'!$L62+'Electric Calendarize'!AR$4+1))</f>
        <v>889</v>
      </c>
      <c r="AS62" t="str">
        <f ca="1">IF(OR($L62&gt;AS$4,AS$4&gt;$L62+23),"",OFFSET(Electric!$L53,0,-'Electric Calendarize'!$L62+'Electric Calendarize'!AS$4+1))</f>
        <v/>
      </c>
      <c r="AT62" t="str">
        <f ca="1">IF(OR($L62&gt;AT$4,AT$4&gt;$L62+23),"",OFFSET(Electric!$L53,0,-'Electric Calendarize'!$L62+'Electric Calendarize'!AT$4+1))</f>
        <v/>
      </c>
      <c r="AU62" t="str">
        <f ca="1">IF(OR($L62&gt;AU$4,AU$4&gt;$L62+23),"",OFFSET(Electric!$L53,0,-'Electric Calendarize'!$L62+'Electric Calendarize'!AU$4+1))</f>
        <v/>
      </c>
      <c r="AV62" t="str">
        <f ca="1">IF(OR($L62&gt;AV$4,AV$4&gt;$L62+23),"",OFFSET(Electric!$L53,0,-'Electric Calendarize'!$L62+'Electric Calendarize'!AV$4+1))</f>
        <v/>
      </c>
      <c r="AW62" t="str">
        <f ca="1">IF(OR($L62&gt;AW$4,AW$4&gt;$L62+23),"",OFFSET(Electric!$L53,0,-'Electric Calendarize'!$L62+'Electric Calendarize'!AW$4+1))</f>
        <v/>
      </c>
      <c r="AX62" t="str">
        <f ca="1">IF(OR($L62&gt;AX$4,AX$4&gt;$L62+23),"",OFFSET(Electric!$L53,0,-'Electric Calendarize'!$L62+'Electric Calendarize'!AX$4+1))</f>
        <v/>
      </c>
      <c r="AY62" t="str">
        <f ca="1">IF(OR($L62&gt;AY$4,AY$4&gt;$L62+23),"",OFFSET(Electric!$L53,0,-'Electric Calendarize'!$L62+'Electric Calendarize'!AY$4+1))</f>
        <v/>
      </c>
      <c r="AZ62" t="str">
        <f ca="1">IF(OR($L62&gt;AZ$4,AZ$4&gt;$L62+23),"",OFFSET(Electric!$L53,0,-'Electric Calendarize'!$L62+'Electric Calendarize'!AZ$4+1))</f>
        <v/>
      </c>
      <c r="BA62" t="str">
        <f ca="1">IF(OR($L62&gt;BA$4,BA$4&gt;$L62+23),"",OFFSET(Electric!$L53,0,-'Electric Calendarize'!$L62+'Electric Calendarize'!BA$4+1))</f>
        <v/>
      </c>
      <c r="BB62" t="str">
        <f ca="1">IF(OR($L62&gt;BB$4,BB$4&gt;$L62+23),"",OFFSET(Electric!$L53,0,-'Electric Calendarize'!$L62+'Electric Calendarize'!BB$4+1))</f>
        <v/>
      </c>
      <c r="BC62" t="str">
        <f ca="1">IF(OR($L62&gt;BC$4,BC$4&gt;$L62+23),"",OFFSET(Electric!$L53,0,-'Electric Calendarize'!$L62+'Electric Calendarize'!BC$4+1))</f>
        <v/>
      </c>
      <c r="BD62" t="str">
        <f ca="1">IF(OR($L62&gt;BD$4,BD$4&gt;$L62+23),"",OFFSET(Electric!$L53,0,-'Electric Calendarize'!$L62+'Electric Calendarize'!BD$4+1))</f>
        <v/>
      </c>
      <c r="BE62" t="str">
        <f ca="1">IF(OR($L62&gt;BE$4,BE$4&gt;$L62+23),"",OFFSET(Electric!$L53,0,-'Electric Calendarize'!$L62+'Electric Calendarize'!BE$4+1))</f>
        <v/>
      </c>
      <c r="BF62" t="str">
        <f ca="1">IF(OR($L62&gt;BF$4,BF$4&gt;$L62+23),"",OFFSET(Electric!$L53,0,-'Electric Calendarize'!$L62+'Electric Calendarize'!BF$4+1))</f>
        <v/>
      </c>
      <c r="BG62" t="str">
        <f ca="1">IF(OR($L62&gt;BG$4,BG$4&gt;$L62+23),"",OFFSET(Electric!$L53,0,-'Electric Calendarize'!$L62+'Electric Calendarize'!BG$4+1))</f>
        <v/>
      </c>
      <c r="BJ62" s="10" t="s">
        <v>37</v>
      </c>
      <c r="BK62">
        <f t="shared" si="195"/>
        <v>1</v>
      </c>
      <c r="BL62">
        <f t="shared" si="100"/>
        <v>0</v>
      </c>
      <c r="BM62">
        <f t="shared" si="101"/>
        <v>0</v>
      </c>
      <c r="BN62">
        <f t="shared" si="102"/>
        <v>0</v>
      </c>
      <c r="BO62">
        <f t="shared" si="103"/>
        <v>0</v>
      </c>
      <c r="BP62">
        <f t="shared" si="104"/>
        <v>0</v>
      </c>
      <c r="BQ62">
        <f t="shared" si="105"/>
        <v>0</v>
      </c>
      <c r="BR62">
        <f t="shared" si="106"/>
        <v>1</v>
      </c>
      <c r="BS62">
        <f t="shared" si="107"/>
        <v>1</v>
      </c>
      <c r="BT62">
        <f t="shared" si="108"/>
        <v>1</v>
      </c>
      <c r="BU62">
        <f t="shared" si="109"/>
        <v>1</v>
      </c>
      <c r="BV62">
        <f t="shared" si="110"/>
        <v>1</v>
      </c>
      <c r="BW62">
        <f t="shared" si="111"/>
        <v>1</v>
      </c>
      <c r="BX62">
        <f t="shared" si="112"/>
        <v>0</v>
      </c>
      <c r="BY62">
        <f t="shared" si="113"/>
        <v>0</v>
      </c>
      <c r="BZ62">
        <f t="shared" si="114"/>
        <v>0</v>
      </c>
      <c r="CA62">
        <f t="shared" si="115"/>
        <v>0</v>
      </c>
      <c r="CB62">
        <f t="shared" si="116"/>
        <v>0</v>
      </c>
      <c r="CC62">
        <f t="shared" si="117"/>
        <v>0</v>
      </c>
      <c r="CD62">
        <f t="shared" si="118"/>
        <v>1</v>
      </c>
      <c r="CE62">
        <f t="shared" si="119"/>
        <v>1</v>
      </c>
      <c r="CF62">
        <f t="shared" si="120"/>
        <v>1</v>
      </c>
      <c r="CG62">
        <f t="shared" si="121"/>
        <v>1</v>
      </c>
      <c r="CH62">
        <f t="shared" si="122"/>
        <v>1</v>
      </c>
      <c r="CI62">
        <f t="shared" si="123"/>
        <v>1</v>
      </c>
      <c r="CJ62">
        <f t="shared" si="124"/>
        <v>0</v>
      </c>
      <c r="CK62">
        <f t="shared" si="125"/>
        <v>0</v>
      </c>
      <c r="CL62">
        <f t="shared" si="126"/>
        <v>0</v>
      </c>
      <c r="CM62">
        <f t="shared" si="127"/>
        <v>0</v>
      </c>
      <c r="CN62">
        <f t="shared" si="128"/>
        <v>0</v>
      </c>
      <c r="CO62">
        <f t="shared" si="129"/>
        <v>0</v>
      </c>
      <c r="CP62">
        <f t="shared" si="130"/>
        <v>1</v>
      </c>
      <c r="CQ62">
        <f t="shared" si="131"/>
        <v>1</v>
      </c>
      <c r="CR62">
        <f t="shared" si="132"/>
        <v>1</v>
      </c>
      <c r="CS62">
        <f t="shared" si="133"/>
        <v>1</v>
      </c>
      <c r="CT62">
        <f t="shared" si="134"/>
        <v>1</v>
      </c>
      <c r="CU62">
        <f t="shared" si="135"/>
        <v>1</v>
      </c>
      <c r="CV62">
        <f t="shared" si="136"/>
        <v>0</v>
      </c>
      <c r="CW62">
        <f t="shared" si="137"/>
        <v>0</v>
      </c>
      <c r="CX62">
        <f t="shared" si="138"/>
        <v>0</v>
      </c>
      <c r="CY62">
        <f t="shared" si="139"/>
        <v>0</v>
      </c>
      <c r="CZ62">
        <f t="shared" si="140"/>
        <v>0</v>
      </c>
      <c r="DA62">
        <f t="shared" si="141"/>
        <v>0</v>
      </c>
      <c r="DB62">
        <f t="shared" si="142"/>
        <v>1</v>
      </c>
      <c r="DC62">
        <f t="shared" si="143"/>
        <v>1</v>
      </c>
      <c r="DF62" s="10" t="s">
        <v>37</v>
      </c>
      <c r="DG62" t="str">
        <f t="shared" si="207"/>
        <v>2021_10</v>
      </c>
      <c r="DH62" t="str">
        <f t="shared" si="207"/>
        <v>2021_10</v>
      </c>
      <c r="DI62" t="str">
        <f t="shared" si="207"/>
        <v>2021_10</v>
      </c>
      <c r="DJ62" t="str">
        <f t="shared" si="207"/>
        <v>2021_10</v>
      </c>
      <c r="DK62" t="str">
        <f t="shared" si="207"/>
        <v>2021_10</v>
      </c>
      <c r="DL62" t="str">
        <f t="shared" si="207"/>
        <v>2021_10</v>
      </c>
      <c r="DM62" t="str">
        <f t="shared" si="207"/>
        <v>2021_10</v>
      </c>
      <c r="DN62" t="str">
        <f t="shared" si="207"/>
        <v>2021_10</v>
      </c>
      <c r="DO62" t="str">
        <f t="shared" si="207"/>
        <v>2021_10</v>
      </c>
      <c r="DP62" t="str">
        <f t="shared" si="207"/>
        <v>2021_10</v>
      </c>
      <c r="DQ62" t="str">
        <f t="shared" si="207"/>
        <v>2021_10</v>
      </c>
      <c r="DR62" t="str">
        <f t="shared" si="207"/>
        <v>2021_10</v>
      </c>
      <c r="DS62" t="str">
        <f t="shared" si="207"/>
        <v>2021_10</v>
      </c>
      <c r="DT62" t="str">
        <f t="shared" si="207"/>
        <v>2021_10</v>
      </c>
      <c r="DU62" t="str">
        <f t="shared" si="207"/>
        <v>2021_10</v>
      </c>
      <c r="DV62" t="str">
        <f t="shared" si="207"/>
        <v>2021_10</v>
      </c>
      <c r="DW62" t="str">
        <f t="shared" si="206"/>
        <v>2021_10</v>
      </c>
      <c r="DX62" t="str">
        <f t="shared" si="206"/>
        <v>2021_10</v>
      </c>
      <c r="DY62" t="str">
        <f t="shared" si="206"/>
        <v>2021_10</v>
      </c>
      <c r="DZ62" t="str">
        <f t="shared" si="206"/>
        <v>2021_10</v>
      </c>
      <c r="EA62" t="str">
        <f t="shared" si="206"/>
        <v>2021_10</v>
      </c>
      <c r="EB62" t="str">
        <f t="shared" si="206"/>
        <v>2021_10</v>
      </c>
      <c r="EC62" t="str">
        <f t="shared" si="206"/>
        <v>2021_10</v>
      </c>
      <c r="ED62" t="str">
        <f t="shared" si="206"/>
        <v>2021_10</v>
      </c>
      <c r="EE62" t="str">
        <f t="shared" si="206"/>
        <v>2021_10</v>
      </c>
      <c r="EF62" t="str">
        <f t="shared" si="206"/>
        <v>2021_10</v>
      </c>
      <c r="EG62" t="str">
        <f t="shared" si="206"/>
        <v>2021_10</v>
      </c>
      <c r="EH62" t="str">
        <f t="shared" si="206"/>
        <v>2021_10</v>
      </c>
      <c r="EI62" t="str">
        <f t="shared" si="206"/>
        <v>2021_10</v>
      </c>
      <c r="EJ62" t="str">
        <f t="shared" si="206"/>
        <v>2021_10</v>
      </c>
      <c r="EK62" t="str">
        <f t="shared" si="206"/>
        <v>2021_10</v>
      </c>
      <c r="EL62" t="str">
        <f t="shared" si="205"/>
        <v>2021_10</v>
      </c>
      <c r="EM62" t="str">
        <f t="shared" si="205"/>
        <v>2021_10</v>
      </c>
      <c r="EN62" t="str">
        <f t="shared" si="205"/>
        <v>2021_10</v>
      </c>
      <c r="EO62" t="str">
        <f t="shared" si="205"/>
        <v>2021_10</v>
      </c>
      <c r="EP62" t="str">
        <f t="shared" si="205"/>
        <v>2021_10</v>
      </c>
      <c r="EQ62" t="str">
        <f t="shared" si="205"/>
        <v>2021_10</v>
      </c>
      <c r="ER62" t="str">
        <f t="shared" si="205"/>
        <v>2021_10</v>
      </c>
      <c r="ES62" t="str">
        <f t="shared" si="205"/>
        <v>2021_10</v>
      </c>
      <c r="ET62" t="str">
        <f t="shared" si="205"/>
        <v>2021_10</v>
      </c>
      <c r="EU62" t="str">
        <f t="shared" si="205"/>
        <v>2021_10</v>
      </c>
      <c r="EV62" t="str">
        <f t="shared" si="205"/>
        <v>2021_10</v>
      </c>
      <c r="EW62" t="str">
        <f t="shared" si="205"/>
        <v>2021_10</v>
      </c>
      <c r="EX62" t="str">
        <f t="shared" si="205"/>
        <v>2021_10</v>
      </c>
      <c r="EY62" t="str">
        <f t="shared" si="205"/>
        <v>2021_10</v>
      </c>
      <c r="FB62" s="10" t="s">
        <v>37</v>
      </c>
      <c r="FC62">
        <f t="shared" si="197"/>
        <v>0</v>
      </c>
      <c r="FD62">
        <f t="shared" si="147"/>
        <v>0</v>
      </c>
      <c r="FE62">
        <f t="shared" si="148"/>
        <v>0</v>
      </c>
      <c r="FF62">
        <f t="shared" si="149"/>
        <v>0</v>
      </c>
      <c r="FG62">
        <f t="shared" si="150"/>
        <v>0</v>
      </c>
      <c r="FH62">
        <f t="shared" si="151"/>
        <v>0</v>
      </c>
      <c r="FI62">
        <f t="shared" si="152"/>
        <v>0</v>
      </c>
      <c r="FJ62">
        <f t="shared" si="153"/>
        <v>0</v>
      </c>
      <c r="FK62">
        <f t="shared" si="154"/>
        <v>0</v>
      </c>
      <c r="FL62">
        <f t="shared" si="155"/>
        <v>0</v>
      </c>
      <c r="FM62">
        <f t="shared" si="156"/>
        <v>0</v>
      </c>
      <c r="FN62">
        <f t="shared" si="157"/>
        <v>0</v>
      </c>
      <c r="FO62">
        <f t="shared" si="158"/>
        <v>0</v>
      </c>
      <c r="FP62">
        <f t="shared" si="159"/>
        <v>0</v>
      </c>
      <c r="FQ62">
        <f t="shared" si="160"/>
        <v>0</v>
      </c>
      <c r="FR62">
        <f t="shared" si="161"/>
        <v>0</v>
      </c>
      <c r="FS62">
        <f t="shared" si="162"/>
        <v>0</v>
      </c>
      <c r="FT62">
        <f t="shared" si="163"/>
        <v>0</v>
      </c>
      <c r="FU62">
        <f t="shared" si="164"/>
        <v>1</v>
      </c>
      <c r="FV62">
        <f t="shared" si="165"/>
        <v>1</v>
      </c>
      <c r="FW62">
        <f t="shared" si="166"/>
        <v>1</v>
      </c>
      <c r="FX62">
        <f t="shared" si="167"/>
        <v>1</v>
      </c>
      <c r="FY62">
        <f t="shared" si="168"/>
        <v>1</v>
      </c>
      <c r="FZ62">
        <f t="shared" si="169"/>
        <v>1</v>
      </c>
      <c r="GA62">
        <f t="shared" si="170"/>
        <v>1</v>
      </c>
      <c r="GB62">
        <f t="shared" si="171"/>
        <v>1</v>
      </c>
      <c r="GC62">
        <f t="shared" si="172"/>
        <v>1</v>
      </c>
      <c r="GD62">
        <f t="shared" si="173"/>
        <v>1</v>
      </c>
      <c r="GE62">
        <f t="shared" si="174"/>
        <v>1</v>
      </c>
      <c r="GF62">
        <f t="shared" si="175"/>
        <v>1</v>
      </c>
      <c r="GG62">
        <f t="shared" si="176"/>
        <v>1</v>
      </c>
      <c r="GH62">
        <f t="shared" si="177"/>
        <v>1</v>
      </c>
      <c r="GI62">
        <f t="shared" si="178"/>
        <v>1</v>
      </c>
      <c r="GJ62">
        <f t="shared" si="179"/>
        <v>1</v>
      </c>
      <c r="GK62">
        <f t="shared" si="180"/>
        <v>1</v>
      </c>
      <c r="GL62">
        <f t="shared" si="181"/>
        <v>1</v>
      </c>
      <c r="GM62">
        <f t="shared" si="182"/>
        <v>1</v>
      </c>
      <c r="GN62">
        <f t="shared" si="183"/>
        <v>1</v>
      </c>
      <c r="GO62">
        <f t="shared" si="184"/>
        <v>1</v>
      </c>
      <c r="GP62">
        <f t="shared" si="185"/>
        <v>1</v>
      </c>
      <c r="GQ62">
        <f t="shared" si="186"/>
        <v>1</v>
      </c>
      <c r="GR62">
        <f t="shared" si="187"/>
        <v>1</v>
      </c>
      <c r="GS62">
        <f t="shared" si="188"/>
        <v>1</v>
      </c>
      <c r="GT62">
        <f t="shared" si="189"/>
        <v>1</v>
      </c>
      <c r="GU62">
        <f t="shared" si="190"/>
        <v>1</v>
      </c>
      <c r="GX62" s="10"/>
    </row>
    <row r="63" spans="1:206" x14ac:dyDescent="0.3">
      <c r="A63" s="15" t="s">
        <v>41</v>
      </c>
      <c r="B63" s="80"/>
      <c r="C63" s="9">
        <v>3131913002</v>
      </c>
      <c r="D63" s="9" t="s">
        <v>366</v>
      </c>
      <c r="E63" s="9" t="s">
        <v>39</v>
      </c>
      <c r="F63" s="9" t="s">
        <v>35</v>
      </c>
      <c r="G63" s="9" t="s">
        <v>60</v>
      </c>
      <c r="H63" s="10">
        <v>44487</v>
      </c>
      <c r="I63" s="9">
        <f t="shared" si="191"/>
        <v>2021</v>
      </c>
      <c r="J63" s="9">
        <f t="shared" si="192"/>
        <v>10</v>
      </c>
      <c r="K63" s="9" t="str">
        <f t="shared" si="193"/>
        <v>2021_10</v>
      </c>
      <c r="L63">
        <f>MAX(0,VLOOKUP($K63,lookups!$A$1:$B$45,2,0)-12)</f>
        <v>6</v>
      </c>
      <c r="M63" s="40">
        <f t="shared" si="194"/>
        <v>44470</v>
      </c>
      <c r="N63" s="10" t="s">
        <v>37</v>
      </c>
      <c r="O63" t="str">
        <f ca="1">IF(OR($L63&gt;O$4,O$4&gt;$L63+23),"",OFFSET(Electric!$L54,0,-'Electric Calendarize'!$L63+'Electric Calendarize'!O$4+1))</f>
        <v/>
      </c>
      <c r="P63" t="str">
        <f ca="1">IF(OR($L63&gt;P$4,P$4&gt;$L63+23),"",OFFSET(Electric!$L54,0,-'Electric Calendarize'!$L63+'Electric Calendarize'!P$4+1))</f>
        <v/>
      </c>
      <c r="Q63" t="str">
        <f ca="1">IF(OR($L63&gt;Q$4,Q$4&gt;$L63+23),"",OFFSET(Electric!$L54,0,-'Electric Calendarize'!$L63+'Electric Calendarize'!Q$4+1))</f>
        <v/>
      </c>
      <c r="R63" t="str">
        <f ca="1">IF(OR($L63&gt;R$4,R$4&gt;$L63+23),"",OFFSET(Electric!$L54,0,-'Electric Calendarize'!$L63+'Electric Calendarize'!R$4+1))</f>
        <v/>
      </c>
      <c r="S63" t="str">
        <f ca="1">IF(OR($L63&gt;S$4,S$4&gt;$L63+23),"",OFFSET(Electric!$L54,0,-'Electric Calendarize'!$L63+'Electric Calendarize'!S$4+1))</f>
        <v/>
      </c>
      <c r="T63" t="str">
        <f ca="1">IF(OR($L63&gt;T$4,T$4&gt;$L63+23),"",OFFSET(Electric!$L54,0,-'Electric Calendarize'!$L63+'Electric Calendarize'!T$4+1))</f>
        <v/>
      </c>
      <c r="U63">
        <f ca="1">IF(OR($L63&gt;U$4,U$4&gt;$L63+23),"",OFFSET(Electric!$L54,0,-'Electric Calendarize'!$L63+'Electric Calendarize'!U$4+1))</f>
        <v>624</v>
      </c>
      <c r="V63">
        <f ca="1">IF(OR($L63&gt;V$4,V$4&gt;$L63+23),"",OFFSET(Electric!$L54,0,-'Electric Calendarize'!$L63+'Electric Calendarize'!V$4+1))</f>
        <v>783</v>
      </c>
      <c r="W63">
        <f ca="1">IF(OR($L63&gt;W$4,W$4&gt;$L63+23),"",OFFSET(Electric!$L54,0,-'Electric Calendarize'!$L63+'Electric Calendarize'!W$4+1))</f>
        <v>790</v>
      </c>
      <c r="X63">
        <f ca="1">IF(OR($L63&gt;X$4,X$4&gt;$L63+23),"",OFFSET(Electric!$L54,0,-'Electric Calendarize'!$L63+'Electric Calendarize'!X$4+1))</f>
        <v>754</v>
      </c>
      <c r="Y63">
        <f ca="1">IF(OR($L63&gt;Y$4,Y$4&gt;$L63+23),"",OFFSET(Electric!$L54,0,-'Electric Calendarize'!$L63+'Electric Calendarize'!Y$4+1))</f>
        <v>608</v>
      </c>
      <c r="Z63">
        <f ca="1">IF(OR($L63&gt;Z$4,Z$4&gt;$L63+23),"",OFFSET(Electric!$L54,0,-'Electric Calendarize'!$L63+'Electric Calendarize'!Z$4+1))</f>
        <v>737</v>
      </c>
      <c r="AA63">
        <f ca="1">IF(OR($L63&gt;AA$4,AA$4&gt;$L63+23),"",OFFSET(Electric!$L54,0,-'Electric Calendarize'!$L63+'Electric Calendarize'!AA$4+1))</f>
        <v>609</v>
      </c>
      <c r="AB63">
        <f ca="1">IF(OR($L63&gt;AB$4,AB$4&gt;$L63+23),"",OFFSET(Electric!$L54,0,-'Electric Calendarize'!$L63+'Electric Calendarize'!AB$4+1))</f>
        <v>641</v>
      </c>
      <c r="AC63">
        <f ca="1">IF(OR($L63&gt;AC$4,AC$4&gt;$L63+23),"",OFFSET(Electric!$L54,0,-'Electric Calendarize'!$L63+'Electric Calendarize'!AC$4+1))</f>
        <v>673</v>
      </c>
      <c r="AD63">
        <f ca="1">IF(OR($L63&gt;AD$4,AD$4&gt;$L63+23),"",OFFSET(Electric!$L54,0,-'Electric Calendarize'!$L63+'Electric Calendarize'!AD$4+1))</f>
        <v>682</v>
      </c>
      <c r="AE63">
        <f ca="1">IF(OR($L63&gt;AE$4,AE$4&gt;$L63+23),"",OFFSET(Electric!$L54,0,-'Electric Calendarize'!$L63+'Electric Calendarize'!AE$4+1))</f>
        <v>717</v>
      </c>
      <c r="AF63">
        <f ca="1">IF(OR($L63&gt;AF$4,AF$4&gt;$L63+23),"",OFFSET(Electric!$L54,0,-'Electric Calendarize'!$L63+'Electric Calendarize'!AF$4+1))</f>
        <v>722</v>
      </c>
      <c r="AG63">
        <f ca="1">IF(OR($L63&gt;AG$4,AG$4&gt;$L63+23),"",OFFSET(Electric!$L54,0,-'Electric Calendarize'!$L63+'Electric Calendarize'!AG$4+1))</f>
        <v>766</v>
      </c>
      <c r="AH63">
        <f ca="1">IF(OR($L63&gt;AH$4,AH$4&gt;$L63+23),"",OFFSET(Electric!$L54,0,-'Electric Calendarize'!$L63+'Electric Calendarize'!AH$4+1))</f>
        <v>862</v>
      </c>
      <c r="AI63">
        <f ca="1">IF(OR($L63&gt;AI$4,AI$4&gt;$L63+23),"",OFFSET(Electric!$L54,0,-'Electric Calendarize'!$L63+'Electric Calendarize'!AI$4+1))</f>
        <v>1195</v>
      </c>
      <c r="AJ63">
        <f ca="1">IF(OR($L63&gt;AJ$4,AJ$4&gt;$L63+23),"",OFFSET(Electric!$L54,0,-'Electric Calendarize'!$L63+'Electric Calendarize'!AJ$4+1))</f>
        <v>2311</v>
      </c>
      <c r="AK63">
        <f ca="1">IF(OR($L63&gt;AK$4,AK$4&gt;$L63+23),"",OFFSET(Electric!$L54,0,-'Electric Calendarize'!$L63+'Electric Calendarize'!AK$4+1))</f>
        <v>1930</v>
      </c>
      <c r="AL63">
        <f ca="1">IF(OR($L63&gt;AL$4,AL$4&gt;$L63+23),"",OFFSET(Electric!$L54,0,-'Electric Calendarize'!$L63+'Electric Calendarize'!AL$4+1))</f>
        <v>1792</v>
      </c>
      <c r="AM63">
        <f ca="1">IF(OR($L63&gt;AM$4,AM$4&gt;$L63+23),"",OFFSET(Electric!$L54,0,-'Electric Calendarize'!$L63+'Electric Calendarize'!AM$4+1))</f>
        <v>1319</v>
      </c>
      <c r="AN63">
        <f ca="1">IF(OR($L63&gt;AN$4,AN$4&gt;$L63+23),"",OFFSET(Electric!$L54,0,-'Electric Calendarize'!$L63+'Electric Calendarize'!AN$4+1))</f>
        <v>1195</v>
      </c>
      <c r="AO63">
        <f ca="1">IF(OR($L63&gt;AO$4,AO$4&gt;$L63+23),"",OFFSET(Electric!$L54,0,-'Electric Calendarize'!$L63+'Electric Calendarize'!AO$4+1))</f>
        <v>972</v>
      </c>
      <c r="AP63">
        <f ca="1">IF(OR($L63&gt;AP$4,AP$4&gt;$L63+23),"",OFFSET(Electric!$L54,0,-'Electric Calendarize'!$L63+'Electric Calendarize'!AP$4+1))</f>
        <v>1228</v>
      </c>
      <c r="AQ63">
        <f ca="1">IF(OR($L63&gt;AQ$4,AQ$4&gt;$L63+23),"",OFFSET(Electric!$L54,0,-'Electric Calendarize'!$L63+'Electric Calendarize'!AQ$4+1))</f>
        <v>1068</v>
      </c>
      <c r="AR63">
        <f ca="1">IF(OR($L63&gt;AR$4,AR$4&gt;$L63+23),"",OFFSET(Electric!$L54,0,-'Electric Calendarize'!$L63+'Electric Calendarize'!AR$4+1))</f>
        <v>998</v>
      </c>
      <c r="AS63" t="str">
        <f ca="1">IF(OR($L63&gt;AS$4,AS$4&gt;$L63+23),"",OFFSET(Electric!$L54,0,-'Electric Calendarize'!$L63+'Electric Calendarize'!AS$4+1))</f>
        <v/>
      </c>
      <c r="AT63" t="str">
        <f ca="1">IF(OR($L63&gt;AT$4,AT$4&gt;$L63+23),"",OFFSET(Electric!$L54,0,-'Electric Calendarize'!$L63+'Electric Calendarize'!AT$4+1))</f>
        <v/>
      </c>
      <c r="AU63" t="str">
        <f ca="1">IF(OR($L63&gt;AU$4,AU$4&gt;$L63+23),"",OFFSET(Electric!$L54,0,-'Electric Calendarize'!$L63+'Electric Calendarize'!AU$4+1))</f>
        <v/>
      </c>
      <c r="AV63" t="str">
        <f ca="1">IF(OR($L63&gt;AV$4,AV$4&gt;$L63+23),"",OFFSET(Electric!$L54,0,-'Electric Calendarize'!$L63+'Electric Calendarize'!AV$4+1))</f>
        <v/>
      </c>
      <c r="AW63" t="str">
        <f ca="1">IF(OR($L63&gt;AW$4,AW$4&gt;$L63+23),"",OFFSET(Electric!$L54,0,-'Electric Calendarize'!$L63+'Electric Calendarize'!AW$4+1))</f>
        <v/>
      </c>
      <c r="AX63" t="str">
        <f ca="1">IF(OR($L63&gt;AX$4,AX$4&gt;$L63+23),"",OFFSET(Electric!$L54,0,-'Electric Calendarize'!$L63+'Electric Calendarize'!AX$4+1))</f>
        <v/>
      </c>
      <c r="AY63" t="str">
        <f ca="1">IF(OR($L63&gt;AY$4,AY$4&gt;$L63+23),"",OFFSET(Electric!$L54,0,-'Electric Calendarize'!$L63+'Electric Calendarize'!AY$4+1))</f>
        <v/>
      </c>
      <c r="AZ63" t="str">
        <f ca="1">IF(OR($L63&gt;AZ$4,AZ$4&gt;$L63+23),"",OFFSET(Electric!$L54,0,-'Electric Calendarize'!$L63+'Electric Calendarize'!AZ$4+1))</f>
        <v/>
      </c>
      <c r="BA63" t="str">
        <f ca="1">IF(OR($L63&gt;BA$4,BA$4&gt;$L63+23),"",OFFSET(Electric!$L54,0,-'Electric Calendarize'!$L63+'Electric Calendarize'!BA$4+1))</f>
        <v/>
      </c>
      <c r="BB63" t="str">
        <f ca="1">IF(OR($L63&gt;BB$4,BB$4&gt;$L63+23),"",OFFSET(Electric!$L54,0,-'Electric Calendarize'!$L63+'Electric Calendarize'!BB$4+1))</f>
        <v/>
      </c>
      <c r="BC63" t="str">
        <f ca="1">IF(OR($L63&gt;BC$4,BC$4&gt;$L63+23),"",OFFSET(Electric!$L54,0,-'Electric Calendarize'!$L63+'Electric Calendarize'!BC$4+1))</f>
        <v/>
      </c>
      <c r="BD63" t="str">
        <f ca="1">IF(OR($L63&gt;BD$4,BD$4&gt;$L63+23),"",OFFSET(Electric!$L54,0,-'Electric Calendarize'!$L63+'Electric Calendarize'!BD$4+1))</f>
        <v/>
      </c>
      <c r="BE63" t="str">
        <f ca="1">IF(OR($L63&gt;BE$4,BE$4&gt;$L63+23),"",OFFSET(Electric!$L54,0,-'Electric Calendarize'!$L63+'Electric Calendarize'!BE$4+1))</f>
        <v/>
      </c>
      <c r="BF63" t="str">
        <f ca="1">IF(OR($L63&gt;BF$4,BF$4&gt;$L63+23),"",OFFSET(Electric!$L54,0,-'Electric Calendarize'!$L63+'Electric Calendarize'!BF$4+1))</f>
        <v/>
      </c>
      <c r="BG63" t="str">
        <f ca="1">IF(OR($L63&gt;BG$4,BG$4&gt;$L63+23),"",OFFSET(Electric!$L54,0,-'Electric Calendarize'!$L63+'Electric Calendarize'!BG$4+1))</f>
        <v/>
      </c>
      <c r="BJ63" s="10" t="s">
        <v>37</v>
      </c>
      <c r="BK63">
        <f t="shared" si="195"/>
        <v>1</v>
      </c>
      <c r="BL63">
        <f t="shared" si="100"/>
        <v>0</v>
      </c>
      <c r="BM63">
        <f t="shared" si="101"/>
        <v>0</v>
      </c>
      <c r="BN63">
        <f t="shared" si="102"/>
        <v>0</v>
      </c>
      <c r="BO63">
        <f t="shared" si="103"/>
        <v>0</v>
      </c>
      <c r="BP63">
        <f t="shared" si="104"/>
        <v>0</v>
      </c>
      <c r="BQ63">
        <f t="shared" si="105"/>
        <v>0</v>
      </c>
      <c r="BR63">
        <f t="shared" si="106"/>
        <v>1</v>
      </c>
      <c r="BS63">
        <f t="shared" si="107"/>
        <v>1</v>
      </c>
      <c r="BT63">
        <f t="shared" si="108"/>
        <v>1</v>
      </c>
      <c r="BU63">
        <f t="shared" si="109"/>
        <v>1</v>
      </c>
      <c r="BV63">
        <f t="shared" si="110"/>
        <v>1</v>
      </c>
      <c r="BW63">
        <f t="shared" si="111"/>
        <v>1</v>
      </c>
      <c r="BX63">
        <f t="shared" si="112"/>
        <v>0</v>
      </c>
      <c r="BY63">
        <f t="shared" si="113"/>
        <v>0</v>
      </c>
      <c r="BZ63">
        <f t="shared" si="114"/>
        <v>0</v>
      </c>
      <c r="CA63">
        <f t="shared" si="115"/>
        <v>0</v>
      </c>
      <c r="CB63">
        <f t="shared" si="116"/>
        <v>0</v>
      </c>
      <c r="CC63">
        <f t="shared" si="117"/>
        <v>0</v>
      </c>
      <c r="CD63">
        <f t="shared" si="118"/>
        <v>1</v>
      </c>
      <c r="CE63">
        <f t="shared" si="119"/>
        <v>1</v>
      </c>
      <c r="CF63">
        <f t="shared" si="120"/>
        <v>1</v>
      </c>
      <c r="CG63">
        <f t="shared" si="121"/>
        <v>1</v>
      </c>
      <c r="CH63">
        <f t="shared" si="122"/>
        <v>1</v>
      </c>
      <c r="CI63">
        <f t="shared" si="123"/>
        <v>1</v>
      </c>
      <c r="CJ63">
        <f t="shared" si="124"/>
        <v>0</v>
      </c>
      <c r="CK63">
        <f t="shared" si="125"/>
        <v>0</v>
      </c>
      <c r="CL63">
        <f t="shared" si="126"/>
        <v>0</v>
      </c>
      <c r="CM63">
        <f t="shared" si="127"/>
        <v>0</v>
      </c>
      <c r="CN63">
        <f t="shared" si="128"/>
        <v>0</v>
      </c>
      <c r="CO63">
        <f t="shared" si="129"/>
        <v>0</v>
      </c>
      <c r="CP63">
        <f t="shared" si="130"/>
        <v>1</v>
      </c>
      <c r="CQ63">
        <f t="shared" si="131"/>
        <v>1</v>
      </c>
      <c r="CR63">
        <f t="shared" si="132"/>
        <v>1</v>
      </c>
      <c r="CS63">
        <f t="shared" si="133"/>
        <v>1</v>
      </c>
      <c r="CT63">
        <f t="shared" si="134"/>
        <v>1</v>
      </c>
      <c r="CU63">
        <f t="shared" si="135"/>
        <v>1</v>
      </c>
      <c r="CV63">
        <f t="shared" si="136"/>
        <v>0</v>
      </c>
      <c r="CW63">
        <f t="shared" si="137"/>
        <v>0</v>
      </c>
      <c r="CX63">
        <f t="shared" si="138"/>
        <v>0</v>
      </c>
      <c r="CY63">
        <f t="shared" si="139"/>
        <v>0</v>
      </c>
      <c r="CZ63">
        <f t="shared" si="140"/>
        <v>0</v>
      </c>
      <c r="DA63">
        <f t="shared" si="141"/>
        <v>0</v>
      </c>
      <c r="DB63">
        <f t="shared" si="142"/>
        <v>1</v>
      </c>
      <c r="DC63">
        <f t="shared" si="143"/>
        <v>1</v>
      </c>
      <c r="DF63" s="10" t="s">
        <v>37</v>
      </c>
      <c r="DG63" t="str">
        <f t="shared" si="207"/>
        <v>2021_10</v>
      </c>
      <c r="DH63" t="str">
        <f t="shared" si="207"/>
        <v>2021_10</v>
      </c>
      <c r="DI63" t="str">
        <f t="shared" si="207"/>
        <v>2021_10</v>
      </c>
      <c r="DJ63" t="str">
        <f t="shared" si="207"/>
        <v>2021_10</v>
      </c>
      <c r="DK63" t="str">
        <f t="shared" si="207"/>
        <v>2021_10</v>
      </c>
      <c r="DL63" t="str">
        <f t="shared" si="207"/>
        <v>2021_10</v>
      </c>
      <c r="DM63" t="str">
        <f t="shared" si="207"/>
        <v>2021_10</v>
      </c>
      <c r="DN63" t="str">
        <f t="shared" si="207"/>
        <v>2021_10</v>
      </c>
      <c r="DO63" t="str">
        <f t="shared" si="207"/>
        <v>2021_10</v>
      </c>
      <c r="DP63" t="str">
        <f t="shared" si="207"/>
        <v>2021_10</v>
      </c>
      <c r="DQ63" t="str">
        <f t="shared" si="207"/>
        <v>2021_10</v>
      </c>
      <c r="DR63" t="str">
        <f t="shared" si="207"/>
        <v>2021_10</v>
      </c>
      <c r="DS63" t="str">
        <f t="shared" si="207"/>
        <v>2021_10</v>
      </c>
      <c r="DT63" t="str">
        <f t="shared" si="207"/>
        <v>2021_10</v>
      </c>
      <c r="DU63" t="str">
        <f t="shared" si="207"/>
        <v>2021_10</v>
      </c>
      <c r="DV63" t="str">
        <f t="shared" si="207"/>
        <v>2021_10</v>
      </c>
      <c r="DW63" t="str">
        <f t="shared" si="206"/>
        <v>2021_10</v>
      </c>
      <c r="DX63" t="str">
        <f t="shared" si="206"/>
        <v>2021_10</v>
      </c>
      <c r="DY63" t="str">
        <f t="shared" si="206"/>
        <v>2021_10</v>
      </c>
      <c r="DZ63" t="str">
        <f t="shared" si="206"/>
        <v>2021_10</v>
      </c>
      <c r="EA63" t="str">
        <f t="shared" si="206"/>
        <v>2021_10</v>
      </c>
      <c r="EB63" t="str">
        <f t="shared" si="206"/>
        <v>2021_10</v>
      </c>
      <c r="EC63" t="str">
        <f t="shared" si="206"/>
        <v>2021_10</v>
      </c>
      <c r="ED63" t="str">
        <f t="shared" si="206"/>
        <v>2021_10</v>
      </c>
      <c r="EE63" t="str">
        <f t="shared" si="206"/>
        <v>2021_10</v>
      </c>
      <c r="EF63" t="str">
        <f t="shared" si="206"/>
        <v>2021_10</v>
      </c>
      <c r="EG63" t="str">
        <f t="shared" si="206"/>
        <v>2021_10</v>
      </c>
      <c r="EH63" t="str">
        <f t="shared" si="206"/>
        <v>2021_10</v>
      </c>
      <c r="EI63" t="str">
        <f t="shared" si="206"/>
        <v>2021_10</v>
      </c>
      <c r="EJ63" t="str">
        <f t="shared" si="206"/>
        <v>2021_10</v>
      </c>
      <c r="EK63" t="str">
        <f t="shared" si="206"/>
        <v>2021_10</v>
      </c>
      <c r="EL63" t="str">
        <f t="shared" si="205"/>
        <v>2021_10</v>
      </c>
      <c r="EM63" t="str">
        <f t="shared" si="205"/>
        <v>2021_10</v>
      </c>
      <c r="EN63" t="str">
        <f t="shared" si="205"/>
        <v>2021_10</v>
      </c>
      <c r="EO63" t="str">
        <f t="shared" si="205"/>
        <v>2021_10</v>
      </c>
      <c r="EP63" t="str">
        <f t="shared" si="205"/>
        <v>2021_10</v>
      </c>
      <c r="EQ63" t="str">
        <f t="shared" si="205"/>
        <v>2021_10</v>
      </c>
      <c r="ER63" t="str">
        <f t="shared" si="205"/>
        <v>2021_10</v>
      </c>
      <c r="ES63" t="str">
        <f t="shared" si="205"/>
        <v>2021_10</v>
      </c>
      <c r="ET63" t="str">
        <f t="shared" si="205"/>
        <v>2021_10</v>
      </c>
      <c r="EU63" t="str">
        <f t="shared" si="205"/>
        <v>2021_10</v>
      </c>
      <c r="EV63" t="str">
        <f t="shared" si="205"/>
        <v>2021_10</v>
      </c>
      <c r="EW63" t="str">
        <f t="shared" si="205"/>
        <v>2021_10</v>
      </c>
      <c r="EX63" t="str">
        <f t="shared" si="205"/>
        <v>2021_10</v>
      </c>
      <c r="EY63" t="str">
        <f t="shared" si="205"/>
        <v>2021_10</v>
      </c>
      <c r="FB63" s="10" t="s">
        <v>37</v>
      </c>
      <c r="FC63">
        <f t="shared" si="197"/>
        <v>0</v>
      </c>
      <c r="FD63">
        <f t="shared" si="147"/>
        <v>0</v>
      </c>
      <c r="FE63">
        <f t="shared" si="148"/>
        <v>0</v>
      </c>
      <c r="FF63">
        <f t="shared" si="149"/>
        <v>0</v>
      </c>
      <c r="FG63">
        <f t="shared" si="150"/>
        <v>0</v>
      </c>
      <c r="FH63">
        <f t="shared" si="151"/>
        <v>0</v>
      </c>
      <c r="FI63">
        <f t="shared" si="152"/>
        <v>0</v>
      </c>
      <c r="FJ63">
        <f t="shared" si="153"/>
        <v>0</v>
      </c>
      <c r="FK63">
        <f t="shared" si="154"/>
        <v>0</v>
      </c>
      <c r="FL63">
        <f t="shared" si="155"/>
        <v>0</v>
      </c>
      <c r="FM63">
        <f t="shared" si="156"/>
        <v>0</v>
      </c>
      <c r="FN63">
        <f t="shared" si="157"/>
        <v>0</v>
      </c>
      <c r="FO63">
        <f t="shared" si="158"/>
        <v>0</v>
      </c>
      <c r="FP63">
        <f t="shared" si="159"/>
        <v>0</v>
      </c>
      <c r="FQ63">
        <f t="shared" si="160"/>
        <v>0</v>
      </c>
      <c r="FR63">
        <f t="shared" si="161"/>
        <v>0</v>
      </c>
      <c r="FS63">
        <f t="shared" si="162"/>
        <v>0</v>
      </c>
      <c r="FT63">
        <f t="shared" si="163"/>
        <v>0</v>
      </c>
      <c r="FU63">
        <f t="shared" si="164"/>
        <v>1</v>
      </c>
      <c r="FV63">
        <f t="shared" si="165"/>
        <v>1</v>
      </c>
      <c r="FW63">
        <f t="shared" si="166"/>
        <v>1</v>
      </c>
      <c r="FX63">
        <f t="shared" si="167"/>
        <v>1</v>
      </c>
      <c r="FY63">
        <f t="shared" si="168"/>
        <v>1</v>
      </c>
      <c r="FZ63">
        <f t="shared" si="169"/>
        <v>1</v>
      </c>
      <c r="GA63">
        <f t="shared" si="170"/>
        <v>1</v>
      </c>
      <c r="GB63">
        <f t="shared" si="171"/>
        <v>1</v>
      </c>
      <c r="GC63">
        <f t="shared" si="172"/>
        <v>1</v>
      </c>
      <c r="GD63">
        <f t="shared" si="173"/>
        <v>1</v>
      </c>
      <c r="GE63">
        <f t="shared" si="174"/>
        <v>1</v>
      </c>
      <c r="GF63">
        <f t="shared" si="175"/>
        <v>1</v>
      </c>
      <c r="GG63">
        <f t="shared" si="176"/>
        <v>1</v>
      </c>
      <c r="GH63">
        <f t="shared" si="177"/>
        <v>1</v>
      </c>
      <c r="GI63">
        <f t="shared" si="178"/>
        <v>1</v>
      </c>
      <c r="GJ63">
        <f t="shared" si="179"/>
        <v>1</v>
      </c>
      <c r="GK63">
        <f t="shared" si="180"/>
        <v>1</v>
      </c>
      <c r="GL63">
        <f t="shared" si="181"/>
        <v>1</v>
      </c>
      <c r="GM63">
        <f t="shared" si="182"/>
        <v>1</v>
      </c>
      <c r="GN63">
        <f t="shared" si="183"/>
        <v>1</v>
      </c>
      <c r="GO63">
        <f t="shared" si="184"/>
        <v>1</v>
      </c>
      <c r="GP63">
        <f t="shared" si="185"/>
        <v>1</v>
      </c>
      <c r="GQ63">
        <f t="shared" si="186"/>
        <v>1</v>
      </c>
      <c r="GR63">
        <f t="shared" si="187"/>
        <v>1</v>
      </c>
      <c r="GS63">
        <f t="shared" si="188"/>
        <v>1</v>
      </c>
      <c r="GT63">
        <f t="shared" si="189"/>
        <v>1</v>
      </c>
      <c r="GU63">
        <f t="shared" si="190"/>
        <v>1</v>
      </c>
      <c r="GX63" s="10"/>
    </row>
    <row r="64" spans="1:206" x14ac:dyDescent="0.3">
      <c r="A64" s="8" t="s">
        <v>33</v>
      </c>
      <c r="B64" s="80"/>
      <c r="C64" s="9">
        <v>3092548000</v>
      </c>
      <c r="D64" s="9" t="s">
        <v>394</v>
      </c>
      <c r="E64" s="9" t="s">
        <v>34</v>
      </c>
      <c r="F64" s="9" t="s">
        <v>35</v>
      </c>
      <c r="G64" s="9" t="s">
        <v>94</v>
      </c>
      <c r="H64" s="10">
        <v>44494</v>
      </c>
      <c r="I64" s="9">
        <f t="shared" si="191"/>
        <v>2021</v>
      </c>
      <c r="J64" s="9">
        <f t="shared" si="192"/>
        <v>10</v>
      </c>
      <c r="K64" s="9" t="str">
        <f t="shared" si="193"/>
        <v>2021_10</v>
      </c>
      <c r="L64">
        <f>MAX(0,VLOOKUP($K64,lookups!$A$1:$B$45,2,0)-12)</f>
        <v>6</v>
      </c>
      <c r="M64" s="40">
        <f t="shared" si="194"/>
        <v>44470</v>
      </c>
      <c r="N64" s="10" t="s">
        <v>37</v>
      </c>
      <c r="O64" t="str">
        <f ca="1">IF(OR($L64&gt;O$4,O$4&gt;$L64+23),"",OFFSET(Electric!$L55,0,-'Electric Calendarize'!$L64+'Electric Calendarize'!O$4+1))</f>
        <v/>
      </c>
      <c r="P64" t="str">
        <f ca="1">IF(OR($L64&gt;P$4,P$4&gt;$L64+23),"",OFFSET(Electric!$L55,0,-'Electric Calendarize'!$L64+'Electric Calendarize'!P$4+1))</f>
        <v/>
      </c>
      <c r="Q64" t="str">
        <f ca="1">IF(OR($L64&gt;Q$4,Q$4&gt;$L64+23),"",OFFSET(Electric!$L55,0,-'Electric Calendarize'!$L64+'Electric Calendarize'!Q$4+1))</f>
        <v/>
      </c>
      <c r="R64" t="str">
        <f ca="1">IF(OR($L64&gt;R$4,R$4&gt;$L64+23),"",OFFSET(Electric!$L55,0,-'Electric Calendarize'!$L64+'Electric Calendarize'!R$4+1))</f>
        <v/>
      </c>
      <c r="S64" t="str">
        <f ca="1">IF(OR($L64&gt;S$4,S$4&gt;$L64+23),"",OFFSET(Electric!$L55,0,-'Electric Calendarize'!$L64+'Electric Calendarize'!S$4+1))</f>
        <v/>
      </c>
      <c r="T64" t="str">
        <f ca="1">IF(OR($L64&gt;T$4,T$4&gt;$L64+23),"",OFFSET(Electric!$L55,0,-'Electric Calendarize'!$L64+'Electric Calendarize'!T$4+1))</f>
        <v/>
      </c>
      <c r="U64">
        <f ca="1">IF(OR($L64&gt;U$4,U$4&gt;$L64+23),"",OFFSET(Electric!$L55,0,-'Electric Calendarize'!$L64+'Electric Calendarize'!U$4+1))</f>
        <v>291</v>
      </c>
      <c r="V64">
        <f ca="1">IF(OR($L64&gt;V$4,V$4&gt;$L64+23),"",OFFSET(Electric!$L55,0,-'Electric Calendarize'!$L64+'Electric Calendarize'!V$4+1))</f>
        <v>392</v>
      </c>
      <c r="W64">
        <f ca="1">IF(OR($L64&gt;W$4,W$4&gt;$L64+23),"",OFFSET(Electric!$L55,0,-'Electric Calendarize'!$L64+'Electric Calendarize'!W$4+1))</f>
        <v>699</v>
      </c>
      <c r="X64">
        <f ca="1">IF(OR($L64&gt;X$4,X$4&gt;$L64+23),"",OFFSET(Electric!$L55,0,-'Electric Calendarize'!$L64+'Electric Calendarize'!X$4+1))</f>
        <v>716</v>
      </c>
      <c r="Y64">
        <f ca="1">IF(OR($L64&gt;Y$4,Y$4&gt;$L64+23),"",OFFSET(Electric!$L55,0,-'Electric Calendarize'!$L64+'Electric Calendarize'!Y$4+1))</f>
        <v>827</v>
      </c>
      <c r="Z64">
        <f ca="1">IF(OR($L64&gt;Z$4,Z$4&gt;$L64+23),"",OFFSET(Electric!$L55,0,-'Electric Calendarize'!$L64+'Electric Calendarize'!Z$4+1))</f>
        <v>726</v>
      </c>
      <c r="AA64">
        <f ca="1">IF(OR($L64&gt;AA$4,AA$4&gt;$L64+23),"",OFFSET(Electric!$L55,0,-'Electric Calendarize'!$L64+'Electric Calendarize'!AA$4+1))</f>
        <v>383</v>
      </c>
      <c r="AB64">
        <f ca="1">IF(OR($L64&gt;AB$4,AB$4&gt;$L64+23),"",OFFSET(Electric!$L55,0,-'Electric Calendarize'!$L64+'Electric Calendarize'!AB$4+1))</f>
        <v>388</v>
      </c>
      <c r="AC64">
        <f ca="1">IF(OR($L64&gt;AC$4,AC$4&gt;$L64+23),"",OFFSET(Electric!$L55,0,-'Electric Calendarize'!$L64+'Electric Calendarize'!AC$4+1))</f>
        <v>367</v>
      </c>
      <c r="AD64">
        <f ca="1">IF(OR($L64&gt;AD$4,AD$4&gt;$L64+23),"",OFFSET(Electric!$L55,0,-'Electric Calendarize'!$L64+'Electric Calendarize'!AD$4+1))</f>
        <v>401</v>
      </c>
      <c r="AE64">
        <f ca="1">IF(OR($L64&gt;AE$4,AE$4&gt;$L64+23),"",OFFSET(Electric!$L55,0,-'Electric Calendarize'!$L64+'Electric Calendarize'!AE$4+1))</f>
        <v>359</v>
      </c>
      <c r="AF64">
        <f ca="1">IF(OR($L64&gt;AF$4,AF$4&gt;$L64+23),"",OFFSET(Electric!$L55,0,-'Electric Calendarize'!$L64+'Electric Calendarize'!AF$4+1))</f>
        <v>366</v>
      </c>
      <c r="AG64">
        <f ca="1">IF(OR($L64&gt;AG$4,AG$4&gt;$L64+23),"",OFFSET(Electric!$L55,0,-'Electric Calendarize'!$L64+'Electric Calendarize'!AG$4+1))</f>
        <v>302</v>
      </c>
      <c r="AH64">
        <f ca="1">IF(OR($L64&gt;AH$4,AH$4&gt;$L64+23),"",OFFSET(Electric!$L55,0,-'Electric Calendarize'!$L64+'Electric Calendarize'!AH$4+1))</f>
        <v>350</v>
      </c>
      <c r="AI64">
        <f ca="1">IF(OR($L64&gt;AI$4,AI$4&gt;$L64+23),"",OFFSET(Electric!$L55,0,-'Electric Calendarize'!$L64+'Electric Calendarize'!AI$4+1))</f>
        <v>563</v>
      </c>
      <c r="AJ64">
        <f ca="1">IF(OR($L64&gt;AJ$4,AJ$4&gt;$L64+23),"",OFFSET(Electric!$L55,0,-'Electric Calendarize'!$L64+'Electric Calendarize'!AJ$4+1))</f>
        <v>841</v>
      </c>
      <c r="AK64">
        <f ca="1">IF(OR($L64&gt;AK$4,AK$4&gt;$L64+23),"",OFFSET(Electric!$L55,0,-'Electric Calendarize'!$L64+'Electric Calendarize'!AK$4+1))</f>
        <v>816</v>
      </c>
      <c r="AL64">
        <f ca="1">IF(OR($L64&gt;AL$4,AL$4&gt;$L64+23),"",OFFSET(Electric!$L55,0,-'Electric Calendarize'!$L64+'Electric Calendarize'!AL$4+1))</f>
        <v>593</v>
      </c>
      <c r="AM64">
        <f ca="1">IF(OR($L64&gt;AM$4,AM$4&gt;$L64+23),"",OFFSET(Electric!$L55,0,-'Electric Calendarize'!$L64+'Electric Calendarize'!AM$4+1))</f>
        <v>436</v>
      </c>
      <c r="AN64">
        <f ca="1">IF(OR($L64&gt;AN$4,AN$4&gt;$L64+23),"",OFFSET(Electric!$L55,0,-'Electric Calendarize'!$L64+'Electric Calendarize'!AN$4+1))</f>
        <v>393</v>
      </c>
      <c r="AO64">
        <f ca="1">IF(OR($L64&gt;AO$4,AO$4&gt;$L64+23),"",OFFSET(Electric!$L55,0,-'Electric Calendarize'!$L64+'Electric Calendarize'!AO$4+1))</f>
        <v>519</v>
      </c>
      <c r="AP64">
        <f ca="1">IF(OR($L64&gt;AP$4,AP$4&gt;$L64+23),"",OFFSET(Electric!$L55,0,-'Electric Calendarize'!$L64+'Electric Calendarize'!AP$4+1))</f>
        <v>730</v>
      </c>
      <c r="AQ64">
        <f ca="1">IF(OR($L64&gt;AQ$4,AQ$4&gt;$L64+23),"",OFFSET(Electric!$L55,0,-'Electric Calendarize'!$L64+'Electric Calendarize'!AQ$4+1))</f>
        <v>781</v>
      </c>
      <c r="AR64">
        <f ca="1">IF(OR($L64&gt;AR$4,AR$4&gt;$L64+23),"",OFFSET(Electric!$L55,0,-'Electric Calendarize'!$L64+'Electric Calendarize'!AR$4+1))</f>
        <v>575</v>
      </c>
      <c r="AS64" t="str">
        <f ca="1">IF(OR($L64&gt;AS$4,AS$4&gt;$L64+23),"",OFFSET(Electric!$L55,0,-'Electric Calendarize'!$L64+'Electric Calendarize'!AS$4+1))</f>
        <v/>
      </c>
      <c r="AT64" t="str">
        <f ca="1">IF(OR($L64&gt;AT$4,AT$4&gt;$L64+23),"",OFFSET(Electric!$L55,0,-'Electric Calendarize'!$L64+'Electric Calendarize'!AT$4+1))</f>
        <v/>
      </c>
      <c r="AU64" t="str">
        <f ca="1">IF(OR($L64&gt;AU$4,AU$4&gt;$L64+23),"",OFFSET(Electric!$L55,0,-'Electric Calendarize'!$L64+'Electric Calendarize'!AU$4+1))</f>
        <v/>
      </c>
      <c r="AV64" t="str">
        <f ca="1">IF(OR($L64&gt;AV$4,AV$4&gt;$L64+23),"",OFFSET(Electric!$L55,0,-'Electric Calendarize'!$L64+'Electric Calendarize'!AV$4+1))</f>
        <v/>
      </c>
      <c r="AW64" t="str">
        <f ca="1">IF(OR($L64&gt;AW$4,AW$4&gt;$L64+23),"",OFFSET(Electric!$L55,0,-'Electric Calendarize'!$L64+'Electric Calendarize'!AW$4+1))</f>
        <v/>
      </c>
      <c r="AX64" t="str">
        <f ca="1">IF(OR($L64&gt;AX$4,AX$4&gt;$L64+23),"",OFFSET(Electric!$L55,0,-'Electric Calendarize'!$L64+'Electric Calendarize'!AX$4+1))</f>
        <v/>
      </c>
      <c r="AY64" t="str">
        <f ca="1">IF(OR($L64&gt;AY$4,AY$4&gt;$L64+23),"",OFFSET(Electric!$L55,0,-'Electric Calendarize'!$L64+'Electric Calendarize'!AY$4+1))</f>
        <v/>
      </c>
      <c r="AZ64" t="str">
        <f ca="1">IF(OR($L64&gt;AZ$4,AZ$4&gt;$L64+23),"",OFFSET(Electric!$L55,0,-'Electric Calendarize'!$L64+'Electric Calendarize'!AZ$4+1))</f>
        <v/>
      </c>
      <c r="BA64" t="str">
        <f ca="1">IF(OR($L64&gt;BA$4,BA$4&gt;$L64+23),"",OFFSET(Electric!$L55,0,-'Electric Calendarize'!$L64+'Electric Calendarize'!BA$4+1))</f>
        <v/>
      </c>
      <c r="BB64" t="str">
        <f ca="1">IF(OR($L64&gt;BB$4,BB$4&gt;$L64+23),"",OFFSET(Electric!$L55,0,-'Electric Calendarize'!$L64+'Electric Calendarize'!BB$4+1))</f>
        <v/>
      </c>
      <c r="BC64" t="str">
        <f ca="1">IF(OR($L64&gt;BC$4,BC$4&gt;$L64+23),"",OFFSET(Electric!$L55,0,-'Electric Calendarize'!$L64+'Electric Calendarize'!BC$4+1))</f>
        <v/>
      </c>
      <c r="BD64" t="str">
        <f ca="1">IF(OR($L64&gt;BD$4,BD$4&gt;$L64+23),"",OFFSET(Electric!$L55,0,-'Electric Calendarize'!$L64+'Electric Calendarize'!BD$4+1))</f>
        <v/>
      </c>
      <c r="BE64" t="str">
        <f ca="1">IF(OR($L64&gt;BE$4,BE$4&gt;$L64+23),"",OFFSET(Electric!$L55,0,-'Electric Calendarize'!$L64+'Electric Calendarize'!BE$4+1))</f>
        <v/>
      </c>
      <c r="BF64" t="str">
        <f ca="1">IF(OR($L64&gt;BF$4,BF$4&gt;$L64+23),"",OFFSET(Electric!$L55,0,-'Electric Calendarize'!$L64+'Electric Calendarize'!BF$4+1))</f>
        <v/>
      </c>
      <c r="BG64" t="str">
        <f ca="1">IF(OR($L64&gt;BG$4,BG$4&gt;$L64+23),"",OFFSET(Electric!$L55,0,-'Electric Calendarize'!$L64+'Electric Calendarize'!BG$4+1))</f>
        <v/>
      </c>
      <c r="BJ64" s="10" t="s">
        <v>37</v>
      </c>
      <c r="BK64">
        <f t="shared" si="195"/>
        <v>1</v>
      </c>
      <c r="BL64">
        <f t="shared" si="100"/>
        <v>0</v>
      </c>
      <c r="BM64">
        <f t="shared" si="101"/>
        <v>0</v>
      </c>
      <c r="BN64">
        <f t="shared" si="102"/>
        <v>0</v>
      </c>
      <c r="BO64">
        <f t="shared" si="103"/>
        <v>0</v>
      </c>
      <c r="BP64">
        <f t="shared" si="104"/>
        <v>0</v>
      </c>
      <c r="BQ64">
        <f t="shared" si="105"/>
        <v>0</v>
      </c>
      <c r="BR64">
        <f t="shared" si="106"/>
        <v>1</v>
      </c>
      <c r="BS64">
        <f t="shared" si="107"/>
        <v>1</v>
      </c>
      <c r="BT64">
        <f t="shared" si="108"/>
        <v>1</v>
      </c>
      <c r="BU64">
        <f t="shared" si="109"/>
        <v>1</v>
      </c>
      <c r="BV64">
        <f t="shared" si="110"/>
        <v>1</v>
      </c>
      <c r="BW64">
        <f t="shared" si="111"/>
        <v>1</v>
      </c>
      <c r="BX64">
        <f t="shared" si="112"/>
        <v>0</v>
      </c>
      <c r="BY64">
        <f t="shared" si="113"/>
        <v>0</v>
      </c>
      <c r="BZ64">
        <f t="shared" si="114"/>
        <v>0</v>
      </c>
      <c r="CA64">
        <f t="shared" si="115"/>
        <v>0</v>
      </c>
      <c r="CB64">
        <f t="shared" si="116"/>
        <v>0</v>
      </c>
      <c r="CC64">
        <f t="shared" si="117"/>
        <v>0</v>
      </c>
      <c r="CD64">
        <f t="shared" si="118"/>
        <v>1</v>
      </c>
      <c r="CE64">
        <f t="shared" si="119"/>
        <v>1</v>
      </c>
      <c r="CF64">
        <f t="shared" si="120"/>
        <v>1</v>
      </c>
      <c r="CG64">
        <f t="shared" si="121"/>
        <v>1</v>
      </c>
      <c r="CH64">
        <f t="shared" si="122"/>
        <v>1</v>
      </c>
      <c r="CI64">
        <f t="shared" si="123"/>
        <v>1</v>
      </c>
      <c r="CJ64">
        <f t="shared" si="124"/>
        <v>0</v>
      </c>
      <c r="CK64">
        <f t="shared" si="125"/>
        <v>0</v>
      </c>
      <c r="CL64">
        <f t="shared" si="126"/>
        <v>0</v>
      </c>
      <c r="CM64">
        <f t="shared" si="127"/>
        <v>0</v>
      </c>
      <c r="CN64">
        <f t="shared" si="128"/>
        <v>0</v>
      </c>
      <c r="CO64">
        <f t="shared" si="129"/>
        <v>0</v>
      </c>
      <c r="CP64">
        <f t="shared" si="130"/>
        <v>1</v>
      </c>
      <c r="CQ64">
        <f t="shared" si="131"/>
        <v>1</v>
      </c>
      <c r="CR64">
        <f t="shared" si="132"/>
        <v>1</v>
      </c>
      <c r="CS64">
        <f t="shared" si="133"/>
        <v>1</v>
      </c>
      <c r="CT64">
        <f t="shared" si="134"/>
        <v>1</v>
      </c>
      <c r="CU64">
        <f t="shared" si="135"/>
        <v>1</v>
      </c>
      <c r="CV64">
        <f t="shared" si="136"/>
        <v>0</v>
      </c>
      <c r="CW64">
        <f t="shared" si="137"/>
        <v>0</v>
      </c>
      <c r="CX64">
        <f t="shared" si="138"/>
        <v>0</v>
      </c>
      <c r="CY64">
        <f t="shared" si="139"/>
        <v>0</v>
      </c>
      <c r="CZ64">
        <f t="shared" si="140"/>
        <v>0</v>
      </c>
      <c r="DA64">
        <f t="shared" si="141"/>
        <v>0</v>
      </c>
      <c r="DB64">
        <f t="shared" si="142"/>
        <v>1</v>
      </c>
      <c r="DC64">
        <f t="shared" si="143"/>
        <v>1</v>
      </c>
      <c r="DF64" s="10" t="s">
        <v>37</v>
      </c>
      <c r="DG64" t="str">
        <f t="shared" si="207"/>
        <v>2021_10</v>
      </c>
      <c r="DH64" t="str">
        <f t="shared" si="207"/>
        <v>2021_10</v>
      </c>
      <c r="DI64" t="str">
        <f t="shared" si="207"/>
        <v>2021_10</v>
      </c>
      <c r="DJ64" t="str">
        <f t="shared" si="207"/>
        <v>2021_10</v>
      </c>
      <c r="DK64" t="str">
        <f t="shared" si="207"/>
        <v>2021_10</v>
      </c>
      <c r="DL64" t="str">
        <f t="shared" si="207"/>
        <v>2021_10</v>
      </c>
      <c r="DM64" t="str">
        <f t="shared" si="207"/>
        <v>2021_10</v>
      </c>
      <c r="DN64" t="str">
        <f t="shared" si="207"/>
        <v>2021_10</v>
      </c>
      <c r="DO64" t="str">
        <f t="shared" si="207"/>
        <v>2021_10</v>
      </c>
      <c r="DP64" t="str">
        <f t="shared" si="207"/>
        <v>2021_10</v>
      </c>
      <c r="DQ64" t="str">
        <f t="shared" si="207"/>
        <v>2021_10</v>
      </c>
      <c r="DR64" t="str">
        <f t="shared" si="207"/>
        <v>2021_10</v>
      </c>
      <c r="DS64" t="str">
        <f t="shared" si="207"/>
        <v>2021_10</v>
      </c>
      <c r="DT64" t="str">
        <f t="shared" si="207"/>
        <v>2021_10</v>
      </c>
      <c r="DU64" t="str">
        <f t="shared" si="207"/>
        <v>2021_10</v>
      </c>
      <c r="DV64" t="str">
        <f t="shared" si="207"/>
        <v>2021_10</v>
      </c>
      <c r="DW64" t="str">
        <f t="shared" si="206"/>
        <v>2021_10</v>
      </c>
      <c r="DX64" t="str">
        <f t="shared" si="206"/>
        <v>2021_10</v>
      </c>
      <c r="DY64" t="str">
        <f t="shared" si="206"/>
        <v>2021_10</v>
      </c>
      <c r="DZ64" t="str">
        <f t="shared" si="206"/>
        <v>2021_10</v>
      </c>
      <c r="EA64" t="str">
        <f t="shared" si="206"/>
        <v>2021_10</v>
      </c>
      <c r="EB64" t="str">
        <f t="shared" si="206"/>
        <v>2021_10</v>
      </c>
      <c r="EC64" t="str">
        <f t="shared" si="206"/>
        <v>2021_10</v>
      </c>
      <c r="ED64" t="str">
        <f t="shared" si="206"/>
        <v>2021_10</v>
      </c>
      <c r="EE64" t="str">
        <f t="shared" si="206"/>
        <v>2021_10</v>
      </c>
      <c r="EF64" t="str">
        <f t="shared" si="206"/>
        <v>2021_10</v>
      </c>
      <c r="EG64" t="str">
        <f t="shared" si="206"/>
        <v>2021_10</v>
      </c>
      <c r="EH64" t="str">
        <f t="shared" si="206"/>
        <v>2021_10</v>
      </c>
      <c r="EI64" t="str">
        <f t="shared" si="206"/>
        <v>2021_10</v>
      </c>
      <c r="EJ64" t="str">
        <f t="shared" si="206"/>
        <v>2021_10</v>
      </c>
      <c r="EK64" t="str">
        <f t="shared" si="206"/>
        <v>2021_10</v>
      </c>
      <c r="EL64" t="str">
        <f t="shared" si="205"/>
        <v>2021_10</v>
      </c>
      <c r="EM64" t="str">
        <f t="shared" si="205"/>
        <v>2021_10</v>
      </c>
      <c r="EN64" t="str">
        <f t="shared" si="205"/>
        <v>2021_10</v>
      </c>
      <c r="EO64" t="str">
        <f t="shared" si="205"/>
        <v>2021_10</v>
      </c>
      <c r="EP64" t="str">
        <f t="shared" si="205"/>
        <v>2021_10</v>
      </c>
      <c r="EQ64" t="str">
        <f t="shared" si="205"/>
        <v>2021_10</v>
      </c>
      <c r="ER64" t="str">
        <f t="shared" si="205"/>
        <v>2021_10</v>
      </c>
      <c r="ES64" t="str">
        <f t="shared" si="205"/>
        <v>2021_10</v>
      </c>
      <c r="ET64" t="str">
        <f t="shared" si="205"/>
        <v>2021_10</v>
      </c>
      <c r="EU64" t="str">
        <f t="shared" si="205"/>
        <v>2021_10</v>
      </c>
      <c r="EV64" t="str">
        <f t="shared" si="205"/>
        <v>2021_10</v>
      </c>
      <c r="EW64" t="str">
        <f t="shared" si="205"/>
        <v>2021_10</v>
      </c>
      <c r="EX64" t="str">
        <f t="shared" si="205"/>
        <v>2021_10</v>
      </c>
      <c r="EY64" t="str">
        <f t="shared" si="205"/>
        <v>2021_10</v>
      </c>
      <c r="FB64" s="10" t="s">
        <v>37</v>
      </c>
      <c r="FC64">
        <f t="shared" si="197"/>
        <v>0</v>
      </c>
      <c r="FD64">
        <f t="shared" si="147"/>
        <v>0</v>
      </c>
      <c r="FE64">
        <f t="shared" si="148"/>
        <v>0</v>
      </c>
      <c r="FF64">
        <f t="shared" si="149"/>
        <v>0</v>
      </c>
      <c r="FG64">
        <f t="shared" si="150"/>
        <v>0</v>
      </c>
      <c r="FH64">
        <f t="shared" si="151"/>
        <v>0</v>
      </c>
      <c r="FI64">
        <f t="shared" si="152"/>
        <v>0</v>
      </c>
      <c r="FJ64">
        <f t="shared" si="153"/>
        <v>0</v>
      </c>
      <c r="FK64">
        <f t="shared" si="154"/>
        <v>0</v>
      </c>
      <c r="FL64">
        <f t="shared" si="155"/>
        <v>0</v>
      </c>
      <c r="FM64">
        <f t="shared" si="156"/>
        <v>0</v>
      </c>
      <c r="FN64">
        <f t="shared" si="157"/>
        <v>0</v>
      </c>
      <c r="FO64">
        <f t="shared" si="158"/>
        <v>0</v>
      </c>
      <c r="FP64">
        <f t="shared" si="159"/>
        <v>0</v>
      </c>
      <c r="FQ64">
        <f t="shared" si="160"/>
        <v>0</v>
      </c>
      <c r="FR64">
        <f t="shared" si="161"/>
        <v>0</v>
      </c>
      <c r="FS64">
        <f t="shared" si="162"/>
        <v>0</v>
      </c>
      <c r="FT64">
        <f t="shared" si="163"/>
        <v>0</v>
      </c>
      <c r="FU64">
        <f t="shared" si="164"/>
        <v>1</v>
      </c>
      <c r="FV64">
        <f t="shared" si="165"/>
        <v>1</v>
      </c>
      <c r="FW64">
        <f t="shared" si="166"/>
        <v>1</v>
      </c>
      <c r="FX64">
        <f t="shared" si="167"/>
        <v>1</v>
      </c>
      <c r="FY64">
        <f t="shared" si="168"/>
        <v>1</v>
      </c>
      <c r="FZ64">
        <f t="shared" si="169"/>
        <v>1</v>
      </c>
      <c r="GA64">
        <f t="shared" si="170"/>
        <v>1</v>
      </c>
      <c r="GB64">
        <f t="shared" si="171"/>
        <v>1</v>
      </c>
      <c r="GC64">
        <f t="shared" si="172"/>
        <v>1</v>
      </c>
      <c r="GD64">
        <f t="shared" si="173"/>
        <v>1</v>
      </c>
      <c r="GE64">
        <f t="shared" si="174"/>
        <v>1</v>
      </c>
      <c r="GF64">
        <f t="shared" si="175"/>
        <v>1</v>
      </c>
      <c r="GG64">
        <f t="shared" si="176"/>
        <v>1</v>
      </c>
      <c r="GH64">
        <f t="shared" si="177"/>
        <v>1</v>
      </c>
      <c r="GI64">
        <f t="shared" si="178"/>
        <v>1</v>
      </c>
      <c r="GJ64">
        <f t="shared" si="179"/>
        <v>1</v>
      </c>
      <c r="GK64">
        <f t="shared" si="180"/>
        <v>1</v>
      </c>
      <c r="GL64">
        <f t="shared" si="181"/>
        <v>1</v>
      </c>
      <c r="GM64">
        <f t="shared" si="182"/>
        <v>1</v>
      </c>
      <c r="GN64">
        <f t="shared" si="183"/>
        <v>1</v>
      </c>
      <c r="GO64">
        <f t="shared" si="184"/>
        <v>1</v>
      </c>
      <c r="GP64">
        <f t="shared" si="185"/>
        <v>1</v>
      </c>
      <c r="GQ64">
        <f t="shared" si="186"/>
        <v>1</v>
      </c>
      <c r="GR64">
        <f t="shared" si="187"/>
        <v>1</v>
      </c>
      <c r="GS64">
        <f t="shared" si="188"/>
        <v>1</v>
      </c>
      <c r="GT64">
        <f t="shared" si="189"/>
        <v>1</v>
      </c>
      <c r="GU64">
        <f t="shared" si="190"/>
        <v>1</v>
      </c>
      <c r="GX64" s="10"/>
    </row>
    <row r="65" spans="1:206" x14ac:dyDescent="0.3">
      <c r="A65" s="15" t="s">
        <v>95</v>
      </c>
      <c r="B65" s="80"/>
      <c r="C65" s="9">
        <v>3140559001</v>
      </c>
      <c r="D65" s="9" t="s">
        <v>395</v>
      </c>
      <c r="E65" s="9" t="s">
        <v>43</v>
      </c>
      <c r="F65" s="9" t="s">
        <v>35</v>
      </c>
      <c r="G65" s="9" t="s">
        <v>96</v>
      </c>
      <c r="H65" s="10">
        <v>44495</v>
      </c>
      <c r="I65" s="9">
        <f t="shared" si="191"/>
        <v>2021</v>
      </c>
      <c r="J65" s="9">
        <f t="shared" si="192"/>
        <v>10</v>
      </c>
      <c r="K65" s="9" t="str">
        <f t="shared" si="193"/>
        <v>2021_10</v>
      </c>
      <c r="L65">
        <f>MAX(0,VLOOKUP($K65,lookups!$A$1:$B$45,2,0)-12)</f>
        <v>6</v>
      </c>
      <c r="M65" s="40">
        <f t="shared" si="194"/>
        <v>44470</v>
      </c>
      <c r="N65" s="10" t="s">
        <v>37</v>
      </c>
      <c r="O65" t="str">
        <f ca="1">IF(OR($L65&gt;O$4,O$4&gt;$L65+23),"",OFFSET(Electric!$L56,0,-'Electric Calendarize'!$L65+'Electric Calendarize'!O$4+1))</f>
        <v/>
      </c>
      <c r="P65" t="str">
        <f ca="1">IF(OR($L65&gt;P$4,P$4&gt;$L65+23),"",OFFSET(Electric!$L56,0,-'Electric Calendarize'!$L65+'Electric Calendarize'!P$4+1))</f>
        <v/>
      </c>
      <c r="Q65" t="str">
        <f ca="1">IF(OR($L65&gt;Q$4,Q$4&gt;$L65+23),"",OFFSET(Electric!$L56,0,-'Electric Calendarize'!$L65+'Electric Calendarize'!Q$4+1))</f>
        <v/>
      </c>
      <c r="R65" t="str">
        <f ca="1">IF(OR($L65&gt;R$4,R$4&gt;$L65+23),"",OFFSET(Electric!$L56,0,-'Electric Calendarize'!$L65+'Electric Calendarize'!R$4+1))</f>
        <v/>
      </c>
      <c r="S65" t="str">
        <f ca="1">IF(OR($L65&gt;S$4,S$4&gt;$L65+23),"",OFFSET(Electric!$L56,0,-'Electric Calendarize'!$L65+'Electric Calendarize'!S$4+1))</f>
        <v/>
      </c>
      <c r="T65" t="str">
        <f ca="1">IF(OR($L65&gt;T$4,T$4&gt;$L65+23),"",OFFSET(Electric!$L56,0,-'Electric Calendarize'!$L65+'Electric Calendarize'!T$4+1))</f>
        <v/>
      </c>
      <c r="U65">
        <f ca="1">IF(OR($L65&gt;U$4,U$4&gt;$L65+23),"",OFFSET(Electric!$L56,0,-'Electric Calendarize'!$L65+'Electric Calendarize'!U$4+1))</f>
        <v>636</v>
      </c>
      <c r="V65">
        <f ca="1">IF(OR($L65&gt;V$4,V$4&gt;$L65+23),"",OFFSET(Electric!$L56,0,-'Electric Calendarize'!$L65+'Electric Calendarize'!V$4+1))</f>
        <v>747</v>
      </c>
      <c r="W65">
        <f ca="1">IF(OR($L65&gt;W$4,W$4&gt;$L65+23),"",OFFSET(Electric!$L56,0,-'Electric Calendarize'!$L65+'Electric Calendarize'!W$4+1))</f>
        <v>868</v>
      </c>
      <c r="X65">
        <f ca="1">IF(OR($L65&gt;X$4,X$4&gt;$L65+23),"",OFFSET(Electric!$L56,0,-'Electric Calendarize'!$L65+'Electric Calendarize'!X$4+1))</f>
        <v>839</v>
      </c>
      <c r="Y65">
        <f ca="1">IF(OR($L65&gt;Y$4,Y$4&gt;$L65+23),"",OFFSET(Electric!$L56,0,-'Electric Calendarize'!$L65+'Electric Calendarize'!Y$4+1))</f>
        <v>817</v>
      </c>
      <c r="Z65">
        <f ca="1">IF(OR($L65&gt;Z$4,Z$4&gt;$L65+23),"",OFFSET(Electric!$L56,0,-'Electric Calendarize'!$L65+'Electric Calendarize'!Z$4+1))</f>
        <v>796</v>
      </c>
      <c r="AA65">
        <f ca="1">IF(OR($L65&gt;AA$4,AA$4&gt;$L65+23),"",OFFSET(Electric!$L56,0,-'Electric Calendarize'!$L65+'Electric Calendarize'!AA$4+1))</f>
        <v>667</v>
      </c>
      <c r="AB65">
        <f ca="1">IF(OR($L65&gt;AB$4,AB$4&gt;$L65+23),"",OFFSET(Electric!$L56,0,-'Electric Calendarize'!$L65+'Electric Calendarize'!AB$4+1))</f>
        <v>753</v>
      </c>
      <c r="AC65">
        <f ca="1">IF(OR($L65&gt;AC$4,AC$4&gt;$L65+23),"",OFFSET(Electric!$L56,0,-'Electric Calendarize'!$L65+'Electric Calendarize'!AC$4+1))</f>
        <v>929</v>
      </c>
      <c r="AD65">
        <f ca="1">IF(OR($L65&gt;AD$4,AD$4&gt;$L65+23),"",OFFSET(Electric!$L56,0,-'Electric Calendarize'!$L65+'Electric Calendarize'!AD$4+1))</f>
        <v>1001</v>
      </c>
      <c r="AE65">
        <f ca="1">IF(OR($L65&gt;AE$4,AE$4&gt;$L65+23),"",OFFSET(Electric!$L56,0,-'Electric Calendarize'!$L65+'Electric Calendarize'!AE$4+1))</f>
        <v>1075</v>
      </c>
      <c r="AF65">
        <f ca="1">IF(OR($L65&gt;AF$4,AF$4&gt;$L65+23),"",OFFSET(Electric!$L56,0,-'Electric Calendarize'!$L65+'Electric Calendarize'!AF$4+1))</f>
        <v>788</v>
      </c>
      <c r="AG65">
        <f ca="1">IF(OR($L65&gt;AG$4,AG$4&gt;$L65+23),"",OFFSET(Electric!$L56,0,-'Electric Calendarize'!$L65+'Electric Calendarize'!AG$4+1))</f>
        <v>719</v>
      </c>
      <c r="AH65">
        <f ca="1">IF(OR($L65&gt;AH$4,AH$4&gt;$L65+23),"",OFFSET(Electric!$L56,0,-'Electric Calendarize'!$L65+'Electric Calendarize'!AH$4+1))</f>
        <v>689</v>
      </c>
      <c r="AI65">
        <f ca="1">IF(OR($L65&gt;AI$4,AI$4&gt;$L65+23),"",OFFSET(Electric!$L56,0,-'Electric Calendarize'!$L65+'Electric Calendarize'!AI$4+1))</f>
        <v>889</v>
      </c>
      <c r="AJ65">
        <f ca="1">IF(OR($L65&gt;AJ$4,AJ$4&gt;$L65+23),"",OFFSET(Electric!$L56,0,-'Electric Calendarize'!$L65+'Electric Calendarize'!AJ$4+1))</f>
        <v>1138</v>
      </c>
      <c r="AK65">
        <f ca="1">IF(OR($L65&gt;AK$4,AK$4&gt;$L65+23),"",OFFSET(Electric!$L56,0,-'Electric Calendarize'!$L65+'Electric Calendarize'!AK$4+1))</f>
        <v>880</v>
      </c>
      <c r="AL65">
        <f ca="1">IF(OR($L65&gt;AL$4,AL$4&gt;$L65+23),"",OFFSET(Electric!$L56,0,-'Electric Calendarize'!$L65+'Electric Calendarize'!AL$4+1))</f>
        <v>809</v>
      </c>
      <c r="AM65">
        <f ca="1">IF(OR($L65&gt;AM$4,AM$4&gt;$L65+23),"",OFFSET(Electric!$L56,0,-'Electric Calendarize'!$L65+'Electric Calendarize'!AM$4+1))</f>
        <v>778</v>
      </c>
      <c r="AN65">
        <f ca="1">IF(OR($L65&gt;AN$4,AN$4&gt;$L65+23),"",OFFSET(Electric!$L56,0,-'Electric Calendarize'!$L65+'Electric Calendarize'!AN$4+1))</f>
        <v>804</v>
      </c>
      <c r="AO65">
        <f ca="1">IF(OR($L65&gt;AO$4,AO$4&gt;$L65+23),"",OFFSET(Electric!$L56,0,-'Electric Calendarize'!$L65+'Electric Calendarize'!AO$4+1))</f>
        <v>785</v>
      </c>
      <c r="AP65">
        <f ca="1">IF(OR($L65&gt;AP$4,AP$4&gt;$L65+23),"",OFFSET(Electric!$L56,0,-'Electric Calendarize'!$L65+'Electric Calendarize'!AP$4+1))</f>
        <v>1134</v>
      </c>
      <c r="AQ65">
        <f ca="1">IF(OR($L65&gt;AQ$4,AQ$4&gt;$L65+23),"",OFFSET(Electric!$L56,0,-'Electric Calendarize'!$L65+'Electric Calendarize'!AQ$4+1))</f>
        <v>1009</v>
      </c>
      <c r="AR65">
        <f ca="1">IF(OR($L65&gt;AR$4,AR$4&gt;$L65+23),"",OFFSET(Electric!$L56,0,-'Electric Calendarize'!$L65+'Electric Calendarize'!AR$4+1))</f>
        <v>827</v>
      </c>
      <c r="AS65" t="str">
        <f ca="1">IF(OR($L65&gt;AS$4,AS$4&gt;$L65+23),"",OFFSET(Electric!$L56,0,-'Electric Calendarize'!$L65+'Electric Calendarize'!AS$4+1))</f>
        <v/>
      </c>
      <c r="AT65" t="str">
        <f ca="1">IF(OR($L65&gt;AT$4,AT$4&gt;$L65+23),"",OFFSET(Electric!$L56,0,-'Electric Calendarize'!$L65+'Electric Calendarize'!AT$4+1))</f>
        <v/>
      </c>
      <c r="AU65" t="str">
        <f ca="1">IF(OR($L65&gt;AU$4,AU$4&gt;$L65+23),"",OFFSET(Electric!$L56,0,-'Electric Calendarize'!$L65+'Electric Calendarize'!AU$4+1))</f>
        <v/>
      </c>
      <c r="AV65" t="str">
        <f ca="1">IF(OR($L65&gt;AV$4,AV$4&gt;$L65+23),"",OFFSET(Electric!$L56,0,-'Electric Calendarize'!$L65+'Electric Calendarize'!AV$4+1))</f>
        <v/>
      </c>
      <c r="AW65" t="str">
        <f ca="1">IF(OR($L65&gt;AW$4,AW$4&gt;$L65+23),"",OFFSET(Electric!$L56,0,-'Electric Calendarize'!$L65+'Electric Calendarize'!AW$4+1))</f>
        <v/>
      </c>
      <c r="AX65" t="str">
        <f ca="1">IF(OR($L65&gt;AX$4,AX$4&gt;$L65+23),"",OFFSET(Electric!$L56,0,-'Electric Calendarize'!$L65+'Electric Calendarize'!AX$4+1))</f>
        <v/>
      </c>
      <c r="AY65" t="str">
        <f ca="1">IF(OR($L65&gt;AY$4,AY$4&gt;$L65+23),"",OFFSET(Electric!$L56,0,-'Electric Calendarize'!$L65+'Electric Calendarize'!AY$4+1))</f>
        <v/>
      </c>
      <c r="AZ65" t="str">
        <f ca="1">IF(OR($L65&gt;AZ$4,AZ$4&gt;$L65+23),"",OFFSET(Electric!$L56,0,-'Electric Calendarize'!$L65+'Electric Calendarize'!AZ$4+1))</f>
        <v/>
      </c>
      <c r="BA65" t="str">
        <f ca="1">IF(OR($L65&gt;BA$4,BA$4&gt;$L65+23),"",OFFSET(Electric!$L56,0,-'Electric Calendarize'!$L65+'Electric Calendarize'!BA$4+1))</f>
        <v/>
      </c>
      <c r="BB65" t="str">
        <f ca="1">IF(OR($L65&gt;BB$4,BB$4&gt;$L65+23),"",OFFSET(Electric!$L56,0,-'Electric Calendarize'!$L65+'Electric Calendarize'!BB$4+1))</f>
        <v/>
      </c>
      <c r="BC65" t="str">
        <f ca="1">IF(OR($L65&gt;BC$4,BC$4&gt;$L65+23),"",OFFSET(Electric!$L56,0,-'Electric Calendarize'!$L65+'Electric Calendarize'!BC$4+1))</f>
        <v/>
      </c>
      <c r="BD65" t="str">
        <f ca="1">IF(OR($L65&gt;BD$4,BD$4&gt;$L65+23),"",OFFSET(Electric!$L56,0,-'Electric Calendarize'!$L65+'Electric Calendarize'!BD$4+1))</f>
        <v/>
      </c>
      <c r="BE65" t="str">
        <f ca="1">IF(OR($L65&gt;BE$4,BE$4&gt;$L65+23),"",OFFSET(Electric!$L56,0,-'Electric Calendarize'!$L65+'Electric Calendarize'!BE$4+1))</f>
        <v/>
      </c>
      <c r="BF65" t="str">
        <f ca="1">IF(OR($L65&gt;BF$4,BF$4&gt;$L65+23),"",OFFSET(Electric!$L56,0,-'Electric Calendarize'!$L65+'Electric Calendarize'!BF$4+1))</f>
        <v/>
      </c>
      <c r="BG65" t="str">
        <f ca="1">IF(OR($L65&gt;BG$4,BG$4&gt;$L65+23),"",OFFSET(Electric!$L56,0,-'Electric Calendarize'!$L65+'Electric Calendarize'!BG$4+1))</f>
        <v/>
      </c>
      <c r="BJ65" s="10" t="s">
        <v>37</v>
      </c>
      <c r="BK65">
        <f t="shared" si="195"/>
        <v>1</v>
      </c>
      <c r="BL65">
        <f t="shared" si="100"/>
        <v>0</v>
      </c>
      <c r="BM65">
        <f t="shared" si="101"/>
        <v>0</v>
      </c>
      <c r="BN65">
        <f t="shared" si="102"/>
        <v>0</v>
      </c>
      <c r="BO65">
        <f t="shared" si="103"/>
        <v>0</v>
      </c>
      <c r="BP65">
        <f t="shared" si="104"/>
        <v>0</v>
      </c>
      <c r="BQ65">
        <f t="shared" si="105"/>
        <v>0</v>
      </c>
      <c r="BR65">
        <f t="shared" si="106"/>
        <v>1</v>
      </c>
      <c r="BS65">
        <f t="shared" si="107"/>
        <v>1</v>
      </c>
      <c r="BT65">
        <f t="shared" si="108"/>
        <v>1</v>
      </c>
      <c r="BU65">
        <f t="shared" si="109"/>
        <v>1</v>
      </c>
      <c r="BV65">
        <f t="shared" si="110"/>
        <v>1</v>
      </c>
      <c r="BW65">
        <f t="shared" si="111"/>
        <v>1</v>
      </c>
      <c r="BX65">
        <f t="shared" si="112"/>
        <v>0</v>
      </c>
      <c r="BY65">
        <f t="shared" si="113"/>
        <v>0</v>
      </c>
      <c r="BZ65">
        <f t="shared" si="114"/>
        <v>0</v>
      </c>
      <c r="CA65">
        <f t="shared" si="115"/>
        <v>0</v>
      </c>
      <c r="CB65">
        <f t="shared" si="116"/>
        <v>0</v>
      </c>
      <c r="CC65">
        <f t="shared" si="117"/>
        <v>0</v>
      </c>
      <c r="CD65">
        <f t="shared" si="118"/>
        <v>1</v>
      </c>
      <c r="CE65">
        <f t="shared" si="119"/>
        <v>1</v>
      </c>
      <c r="CF65">
        <f t="shared" si="120"/>
        <v>1</v>
      </c>
      <c r="CG65">
        <f t="shared" si="121"/>
        <v>1</v>
      </c>
      <c r="CH65">
        <f t="shared" si="122"/>
        <v>1</v>
      </c>
      <c r="CI65">
        <f t="shared" si="123"/>
        <v>1</v>
      </c>
      <c r="CJ65">
        <f t="shared" si="124"/>
        <v>0</v>
      </c>
      <c r="CK65">
        <f t="shared" si="125"/>
        <v>0</v>
      </c>
      <c r="CL65">
        <f t="shared" si="126"/>
        <v>0</v>
      </c>
      <c r="CM65">
        <f t="shared" si="127"/>
        <v>0</v>
      </c>
      <c r="CN65">
        <f t="shared" si="128"/>
        <v>0</v>
      </c>
      <c r="CO65">
        <f t="shared" si="129"/>
        <v>0</v>
      </c>
      <c r="CP65">
        <f t="shared" si="130"/>
        <v>1</v>
      </c>
      <c r="CQ65">
        <f t="shared" si="131"/>
        <v>1</v>
      </c>
      <c r="CR65">
        <f t="shared" si="132"/>
        <v>1</v>
      </c>
      <c r="CS65">
        <f t="shared" si="133"/>
        <v>1</v>
      </c>
      <c r="CT65">
        <f t="shared" si="134"/>
        <v>1</v>
      </c>
      <c r="CU65">
        <f t="shared" si="135"/>
        <v>1</v>
      </c>
      <c r="CV65">
        <f t="shared" si="136"/>
        <v>0</v>
      </c>
      <c r="CW65">
        <f t="shared" si="137"/>
        <v>0</v>
      </c>
      <c r="CX65">
        <f t="shared" si="138"/>
        <v>0</v>
      </c>
      <c r="CY65">
        <f t="shared" si="139"/>
        <v>0</v>
      </c>
      <c r="CZ65">
        <f t="shared" si="140"/>
        <v>0</v>
      </c>
      <c r="DA65">
        <f t="shared" si="141"/>
        <v>0</v>
      </c>
      <c r="DB65">
        <f t="shared" si="142"/>
        <v>1</v>
      </c>
      <c r="DC65">
        <f t="shared" si="143"/>
        <v>1</v>
      </c>
      <c r="DF65" s="10" t="s">
        <v>37</v>
      </c>
      <c r="DG65" t="str">
        <f t="shared" si="207"/>
        <v>2021_10</v>
      </c>
      <c r="DH65" t="str">
        <f t="shared" si="207"/>
        <v>2021_10</v>
      </c>
      <c r="DI65" t="str">
        <f t="shared" si="207"/>
        <v>2021_10</v>
      </c>
      <c r="DJ65" t="str">
        <f t="shared" si="207"/>
        <v>2021_10</v>
      </c>
      <c r="DK65" t="str">
        <f t="shared" si="207"/>
        <v>2021_10</v>
      </c>
      <c r="DL65" t="str">
        <f t="shared" si="207"/>
        <v>2021_10</v>
      </c>
      <c r="DM65" t="str">
        <f t="shared" si="207"/>
        <v>2021_10</v>
      </c>
      <c r="DN65" t="str">
        <f t="shared" si="207"/>
        <v>2021_10</v>
      </c>
      <c r="DO65" t="str">
        <f t="shared" si="207"/>
        <v>2021_10</v>
      </c>
      <c r="DP65" t="str">
        <f t="shared" si="207"/>
        <v>2021_10</v>
      </c>
      <c r="DQ65" t="str">
        <f t="shared" si="207"/>
        <v>2021_10</v>
      </c>
      <c r="DR65" t="str">
        <f t="shared" si="207"/>
        <v>2021_10</v>
      </c>
      <c r="DS65" t="str">
        <f t="shared" si="207"/>
        <v>2021_10</v>
      </c>
      <c r="DT65" t="str">
        <f t="shared" si="207"/>
        <v>2021_10</v>
      </c>
      <c r="DU65" t="str">
        <f t="shared" si="207"/>
        <v>2021_10</v>
      </c>
      <c r="DV65" t="str">
        <f t="shared" si="207"/>
        <v>2021_10</v>
      </c>
      <c r="DW65" t="str">
        <f t="shared" si="206"/>
        <v>2021_10</v>
      </c>
      <c r="DX65" t="str">
        <f t="shared" si="206"/>
        <v>2021_10</v>
      </c>
      <c r="DY65" t="str">
        <f t="shared" si="206"/>
        <v>2021_10</v>
      </c>
      <c r="DZ65" t="str">
        <f t="shared" si="206"/>
        <v>2021_10</v>
      </c>
      <c r="EA65" t="str">
        <f t="shared" si="206"/>
        <v>2021_10</v>
      </c>
      <c r="EB65" t="str">
        <f t="shared" si="206"/>
        <v>2021_10</v>
      </c>
      <c r="EC65" t="str">
        <f t="shared" si="206"/>
        <v>2021_10</v>
      </c>
      <c r="ED65" t="str">
        <f t="shared" si="206"/>
        <v>2021_10</v>
      </c>
      <c r="EE65" t="str">
        <f t="shared" si="206"/>
        <v>2021_10</v>
      </c>
      <c r="EF65" t="str">
        <f t="shared" si="206"/>
        <v>2021_10</v>
      </c>
      <c r="EG65" t="str">
        <f t="shared" si="206"/>
        <v>2021_10</v>
      </c>
      <c r="EH65" t="str">
        <f t="shared" si="206"/>
        <v>2021_10</v>
      </c>
      <c r="EI65" t="str">
        <f t="shared" si="206"/>
        <v>2021_10</v>
      </c>
      <c r="EJ65" t="str">
        <f t="shared" si="206"/>
        <v>2021_10</v>
      </c>
      <c r="EK65" t="str">
        <f t="shared" si="206"/>
        <v>2021_10</v>
      </c>
      <c r="EL65" t="str">
        <f t="shared" si="205"/>
        <v>2021_10</v>
      </c>
      <c r="EM65" t="str">
        <f t="shared" si="205"/>
        <v>2021_10</v>
      </c>
      <c r="EN65" t="str">
        <f t="shared" si="205"/>
        <v>2021_10</v>
      </c>
      <c r="EO65" t="str">
        <f t="shared" si="205"/>
        <v>2021_10</v>
      </c>
      <c r="EP65" t="str">
        <f t="shared" si="205"/>
        <v>2021_10</v>
      </c>
      <c r="EQ65" t="str">
        <f t="shared" si="205"/>
        <v>2021_10</v>
      </c>
      <c r="ER65" t="str">
        <f t="shared" si="205"/>
        <v>2021_10</v>
      </c>
      <c r="ES65" t="str">
        <f t="shared" si="205"/>
        <v>2021_10</v>
      </c>
      <c r="ET65" t="str">
        <f t="shared" si="205"/>
        <v>2021_10</v>
      </c>
      <c r="EU65" t="str">
        <f t="shared" si="205"/>
        <v>2021_10</v>
      </c>
      <c r="EV65" t="str">
        <f t="shared" si="205"/>
        <v>2021_10</v>
      </c>
      <c r="EW65" t="str">
        <f t="shared" si="205"/>
        <v>2021_10</v>
      </c>
      <c r="EX65" t="str">
        <f t="shared" si="205"/>
        <v>2021_10</v>
      </c>
      <c r="EY65" t="str">
        <f t="shared" si="205"/>
        <v>2021_10</v>
      </c>
      <c r="FB65" s="10" t="s">
        <v>37</v>
      </c>
      <c r="FC65">
        <f t="shared" si="197"/>
        <v>0</v>
      </c>
      <c r="FD65">
        <f t="shared" si="147"/>
        <v>0</v>
      </c>
      <c r="FE65">
        <f t="shared" si="148"/>
        <v>0</v>
      </c>
      <c r="FF65">
        <f t="shared" si="149"/>
        <v>0</v>
      </c>
      <c r="FG65">
        <f t="shared" si="150"/>
        <v>0</v>
      </c>
      <c r="FH65">
        <f t="shared" si="151"/>
        <v>0</v>
      </c>
      <c r="FI65">
        <f t="shared" si="152"/>
        <v>0</v>
      </c>
      <c r="FJ65">
        <f t="shared" si="153"/>
        <v>0</v>
      </c>
      <c r="FK65">
        <f t="shared" si="154"/>
        <v>0</v>
      </c>
      <c r="FL65">
        <f t="shared" si="155"/>
        <v>0</v>
      </c>
      <c r="FM65">
        <f t="shared" si="156"/>
        <v>0</v>
      </c>
      <c r="FN65">
        <f t="shared" si="157"/>
        <v>0</v>
      </c>
      <c r="FO65">
        <f t="shared" si="158"/>
        <v>0</v>
      </c>
      <c r="FP65">
        <f t="shared" si="159"/>
        <v>0</v>
      </c>
      <c r="FQ65">
        <f t="shared" si="160"/>
        <v>0</v>
      </c>
      <c r="FR65">
        <f t="shared" si="161"/>
        <v>0</v>
      </c>
      <c r="FS65">
        <f t="shared" si="162"/>
        <v>0</v>
      </c>
      <c r="FT65">
        <f t="shared" si="163"/>
        <v>0</v>
      </c>
      <c r="FU65">
        <f t="shared" si="164"/>
        <v>1</v>
      </c>
      <c r="FV65">
        <f t="shared" si="165"/>
        <v>1</v>
      </c>
      <c r="FW65">
        <f t="shared" si="166"/>
        <v>1</v>
      </c>
      <c r="FX65">
        <f t="shared" si="167"/>
        <v>1</v>
      </c>
      <c r="FY65">
        <f t="shared" si="168"/>
        <v>1</v>
      </c>
      <c r="FZ65">
        <f t="shared" si="169"/>
        <v>1</v>
      </c>
      <c r="GA65">
        <f t="shared" si="170"/>
        <v>1</v>
      </c>
      <c r="GB65">
        <f t="shared" si="171"/>
        <v>1</v>
      </c>
      <c r="GC65">
        <f t="shared" si="172"/>
        <v>1</v>
      </c>
      <c r="GD65">
        <f t="shared" si="173"/>
        <v>1</v>
      </c>
      <c r="GE65">
        <f t="shared" si="174"/>
        <v>1</v>
      </c>
      <c r="GF65">
        <f t="shared" si="175"/>
        <v>1</v>
      </c>
      <c r="GG65">
        <f t="shared" si="176"/>
        <v>1</v>
      </c>
      <c r="GH65">
        <f t="shared" si="177"/>
        <v>1</v>
      </c>
      <c r="GI65">
        <f t="shared" si="178"/>
        <v>1</v>
      </c>
      <c r="GJ65">
        <f t="shared" si="179"/>
        <v>1</v>
      </c>
      <c r="GK65">
        <f t="shared" si="180"/>
        <v>1</v>
      </c>
      <c r="GL65">
        <f t="shared" si="181"/>
        <v>1</v>
      </c>
      <c r="GM65">
        <f t="shared" si="182"/>
        <v>1</v>
      </c>
      <c r="GN65">
        <f t="shared" si="183"/>
        <v>1</v>
      </c>
      <c r="GO65">
        <f t="shared" si="184"/>
        <v>1</v>
      </c>
      <c r="GP65">
        <f t="shared" si="185"/>
        <v>1</v>
      </c>
      <c r="GQ65">
        <f t="shared" si="186"/>
        <v>1</v>
      </c>
      <c r="GR65">
        <f t="shared" si="187"/>
        <v>1</v>
      </c>
      <c r="GS65">
        <f t="shared" si="188"/>
        <v>1</v>
      </c>
      <c r="GT65">
        <f t="shared" si="189"/>
        <v>1</v>
      </c>
      <c r="GU65">
        <f t="shared" si="190"/>
        <v>1</v>
      </c>
      <c r="GX65" s="10"/>
    </row>
    <row r="66" spans="1:206" x14ac:dyDescent="0.3">
      <c r="A66" s="9" t="s">
        <v>55</v>
      </c>
      <c r="B66" s="80"/>
      <c r="C66" s="9">
        <v>3011962000</v>
      </c>
      <c r="D66" s="9" t="s">
        <v>396</v>
      </c>
      <c r="E66" s="9" t="s">
        <v>34</v>
      </c>
      <c r="F66" s="9" t="s">
        <v>35</v>
      </c>
      <c r="G66" s="9" t="s">
        <v>97</v>
      </c>
      <c r="H66" s="10">
        <v>44506</v>
      </c>
      <c r="I66" s="9">
        <f t="shared" si="191"/>
        <v>2021</v>
      </c>
      <c r="J66" s="9">
        <f t="shared" si="192"/>
        <v>11</v>
      </c>
      <c r="K66" s="9" t="str">
        <f t="shared" si="193"/>
        <v>2021_11</v>
      </c>
      <c r="L66">
        <f>MAX(0,VLOOKUP($K66,lookups!$A$1:$B$45,2,0)-12)</f>
        <v>7</v>
      </c>
      <c r="M66" s="40">
        <f t="shared" si="194"/>
        <v>44501</v>
      </c>
      <c r="N66" s="10" t="s">
        <v>37</v>
      </c>
      <c r="O66" t="str">
        <f ca="1">IF(OR($L66&gt;O$4,O$4&gt;$L66+23),"",OFFSET(Electric!$L57,0,-'Electric Calendarize'!$L66+'Electric Calendarize'!O$4+1))</f>
        <v/>
      </c>
      <c r="P66" t="str">
        <f ca="1">IF(OR($L66&gt;P$4,P$4&gt;$L66+23),"",OFFSET(Electric!$L57,0,-'Electric Calendarize'!$L66+'Electric Calendarize'!P$4+1))</f>
        <v/>
      </c>
      <c r="Q66" t="str">
        <f ca="1">IF(OR($L66&gt;Q$4,Q$4&gt;$L66+23),"",OFFSET(Electric!$L57,0,-'Electric Calendarize'!$L66+'Electric Calendarize'!Q$4+1))</f>
        <v/>
      </c>
      <c r="R66" t="str">
        <f ca="1">IF(OR($L66&gt;R$4,R$4&gt;$L66+23),"",OFFSET(Electric!$L57,0,-'Electric Calendarize'!$L66+'Electric Calendarize'!R$4+1))</f>
        <v/>
      </c>
      <c r="S66" t="str">
        <f ca="1">IF(OR($L66&gt;S$4,S$4&gt;$L66+23),"",OFFSET(Electric!$L57,0,-'Electric Calendarize'!$L66+'Electric Calendarize'!S$4+1))</f>
        <v/>
      </c>
      <c r="T66" t="str">
        <f ca="1">IF(OR($L66&gt;T$4,T$4&gt;$L66+23),"",OFFSET(Electric!$L57,0,-'Electric Calendarize'!$L66+'Electric Calendarize'!T$4+1))</f>
        <v/>
      </c>
      <c r="U66" t="str">
        <f ca="1">IF(OR($L66&gt;U$4,U$4&gt;$L66+23),"",OFFSET(Electric!$L57,0,-'Electric Calendarize'!$L66+'Electric Calendarize'!U$4+1))</f>
        <v/>
      </c>
      <c r="V66">
        <f ca="1">IF(OR($L66&gt;V$4,V$4&gt;$L66+23),"",OFFSET(Electric!$L57,0,-'Electric Calendarize'!$L66+'Electric Calendarize'!V$4+1))</f>
        <v>1178</v>
      </c>
      <c r="W66">
        <f ca="1">IF(OR($L66&gt;W$4,W$4&gt;$L66+23),"",OFFSET(Electric!$L57,0,-'Electric Calendarize'!$L66+'Electric Calendarize'!W$4+1))</f>
        <v>1502</v>
      </c>
      <c r="X66">
        <f ca="1">IF(OR($L66&gt;X$4,X$4&gt;$L66+23),"",OFFSET(Electric!$L57,0,-'Electric Calendarize'!$L66+'Electric Calendarize'!X$4+1))</f>
        <v>2563</v>
      </c>
      <c r="Y66">
        <f ca="1">IF(OR($L66&gt;Y$4,Y$4&gt;$L66+23),"",OFFSET(Electric!$L57,0,-'Electric Calendarize'!$L66+'Electric Calendarize'!Y$4+1))</f>
        <v>2135</v>
      </c>
      <c r="Z66">
        <f ca="1">IF(OR($L66&gt;Z$4,Z$4&gt;$L66+23),"",OFFSET(Electric!$L57,0,-'Electric Calendarize'!$L66+'Electric Calendarize'!Z$4+1))</f>
        <v>2173</v>
      </c>
      <c r="AA66">
        <f ca="1">IF(OR($L66&gt;AA$4,AA$4&gt;$L66+23),"",OFFSET(Electric!$L57,0,-'Electric Calendarize'!$L66+'Electric Calendarize'!AA$4+1))</f>
        <v>1120</v>
      </c>
      <c r="AB66">
        <f ca="1">IF(OR($L66&gt;AB$4,AB$4&gt;$L66+23),"",OFFSET(Electric!$L57,0,-'Electric Calendarize'!$L66+'Electric Calendarize'!AB$4+1))</f>
        <v>948</v>
      </c>
      <c r="AC66">
        <f ca="1">IF(OR($L66&gt;AC$4,AC$4&gt;$L66+23),"",OFFSET(Electric!$L57,0,-'Electric Calendarize'!$L66+'Electric Calendarize'!AC$4+1))</f>
        <v>958</v>
      </c>
      <c r="AD66">
        <f ca="1">IF(OR($L66&gt;AD$4,AD$4&gt;$L66+23),"",OFFSET(Electric!$L57,0,-'Electric Calendarize'!$L66+'Electric Calendarize'!AD$4+1))</f>
        <v>880</v>
      </c>
      <c r="AE66">
        <f ca="1">IF(OR($L66&gt;AE$4,AE$4&gt;$L66+23),"",OFFSET(Electric!$L57,0,-'Electric Calendarize'!$L66+'Electric Calendarize'!AE$4+1))</f>
        <v>493</v>
      </c>
      <c r="AF66">
        <f ca="1">IF(OR($L66&gt;AF$4,AF$4&gt;$L66+23),"",OFFSET(Electric!$L57,0,-'Electric Calendarize'!$L66+'Electric Calendarize'!AF$4+1))</f>
        <v>943</v>
      </c>
      <c r="AG66">
        <f ca="1">IF(OR($L66&gt;AG$4,AG$4&gt;$L66+23),"",OFFSET(Electric!$L57,0,-'Electric Calendarize'!$L66+'Electric Calendarize'!AG$4+1))</f>
        <v>928</v>
      </c>
      <c r="AH66">
        <f ca="1">IF(OR($L66&gt;AH$4,AH$4&gt;$L66+23),"",OFFSET(Electric!$L57,0,-'Electric Calendarize'!$L66+'Electric Calendarize'!AH$4+1))</f>
        <v>905</v>
      </c>
      <c r="AI66">
        <f ca="1">IF(OR($L66&gt;AI$4,AI$4&gt;$L66+23),"",OFFSET(Electric!$L57,0,-'Electric Calendarize'!$L66+'Electric Calendarize'!AI$4+1))</f>
        <v>1567</v>
      </c>
      <c r="AJ66">
        <f ca="1">IF(OR($L66&gt;AJ$4,AJ$4&gt;$L66+23),"",OFFSET(Electric!$L57,0,-'Electric Calendarize'!$L66+'Electric Calendarize'!AJ$4+1))</f>
        <v>2076</v>
      </c>
      <c r="AK66">
        <f ca="1">IF(OR($L66&gt;AK$4,AK$4&gt;$L66+23),"",OFFSET(Electric!$L57,0,-'Electric Calendarize'!$L66+'Electric Calendarize'!AK$4+1))</f>
        <v>2480</v>
      </c>
      <c r="AL66">
        <f ca="1">IF(OR($L66&gt;AL$4,AL$4&gt;$L66+23),"",OFFSET(Electric!$L57,0,-'Electric Calendarize'!$L66+'Electric Calendarize'!AL$4+1))</f>
        <v>1956</v>
      </c>
      <c r="AM66">
        <f ca="1">IF(OR($L66&gt;AM$4,AM$4&gt;$L66+23),"",OFFSET(Electric!$L57,0,-'Electric Calendarize'!$L66+'Electric Calendarize'!AM$4+1))</f>
        <v>1112</v>
      </c>
      <c r="AN66">
        <f ca="1">IF(OR($L66&gt;AN$4,AN$4&gt;$L66+23),"",OFFSET(Electric!$L57,0,-'Electric Calendarize'!$L66+'Electric Calendarize'!AN$4+1))</f>
        <v>898</v>
      </c>
      <c r="AO66">
        <f ca="1">IF(OR($L66&gt;AO$4,AO$4&gt;$L66+23),"",OFFSET(Electric!$L57,0,-'Electric Calendarize'!$L66+'Electric Calendarize'!AO$4+1))</f>
        <v>733</v>
      </c>
      <c r="AP66">
        <f ca="1">IF(OR($L66&gt;AP$4,AP$4&gt;$L66+23),"",OFFSET(Electric!$L57,0,-'Electric Calendarize'!$L66+'Electric Calendarize'!AP$4+1))</f>
        <v>768</v>
      </c>
      <c r="AQ66">
        <f ca="1">IF(OR($L66&gt;AQ$4,AQ$4&gt;$L66+23),"",OFFSET(Electric!$L57,0,-'Electric Calendarize'!$L66+'Electric Calendarize'!AQ$4+1))</f>
        <v>1341</v>
      </c>
      <c r="AR66">
        <f ca="1">IF(OR($L66&gt;AR$4,AR$4&gt;$L66+23),"",OFFSET(Electric!$L57,0,-'Electric Calendarize'!$L66+'Electric Calendarize'!AR$4+1))</f>
        <v>1100</v>
      </c>
      <c r="AS66">
        <f ca="1">IF(OR($L66&gt;AS$4,AS$4&gt;$L66+23),"",OFFSET(Electric!$L57,0,-'Electric Calendarize'!$L66+'Electric Calendarize'!AS$4+1))</f>
        <v>827</v>
      </c>
      <c r="AT66" t="str">
        <f ca="1">IF(OR($L66&gt;AT$4,AT$4&gt;$L66+23),"",OFFSET(Electric!$L57,0,-'Electric Calendarize'!$L66+'Electric Calendarize'!AT$4+1))</f>
        <v/>
      </c>
      <c r="AU66" t="str">
        <f ca="1">IF(OR($L66&gt;AU$4,AU$4&gt;$L66+23),"",OFFSET(Electric!$L57,0,-'Electric Calendarize'!$L66+'Electric Calendarize'!AU$4+1))</f>
        <v/>
      </c>
      <c r="AV66" t="str">
        <f ca="1">IF(OR($L66&gt;AV$4,AV$4&gt;$L66+23),"",OFFSET(Electric!$L57,0,-'Electric Calendarize'!$L66+'Electric Calendarize'!AV$4+1))</f>
        <v/>
      </c>
      <c r="AW66" t="str">
        <f ca="1">IF(OR($L66&gt;AW$4,AW$4&gt;$L66+23),"",OFFSET(Electric!$L57,0,-'Electric Calendarize'!$L66+'Electric Calendarize'!AW$4+1))</f>
        <v/>
      </c>
      <c r="AX66" t="str">
        <f ca="1">IF(OR($L66&gt;AX$4,AX$4&gt;$L66+23),"",OFFSET(Electric!$L57,0,-'Electric Calendarize'!$L66+'Electric Calendarize'!AX$4+1))</f>
        <v/>
      </c>
      <c r="AY66" t="str">
        <f ca="1">IF(OR($L66&gt;AY$4,AY$4&gt;$L66+23),"",OFFSET(Electric!$L57,0,-'Electric Calendarize'!$L66+'Electric Calendarize'!AY$4+1))</f>
        <v/>
      </c>
      <c r="AZ66" t="str">
        <f ca="1">IF(OR($L66&gt;AZ$4,AZ$4&gt;$L66+23),"",OFFSET(Electric!$L57,0,-'Electric Calendarize'!$L66+'Electric Calendarize'!AZ$4+1))</f>
        <v/>
      </c>
      <c r="BA66" t="str">
        <f ca="1">IF(OR($L66&gt;BA$4,BA$4&gt;$L66+23),"",OFFSET(Electric!$L57,0,-'Electric Calendarize'!$L66+'Electric Calendarize'!BA$4+1))</f>
        <v/>
      </c>
      <c r="BB66" t="str">
        <f ca="1">IF(OR($L66&gt;BB$4,BB$4&gt;$L66+23),"",OFFSET(Electric!$L57,0,-'Electric Calendarize'!$L66+'Electric Calendarize'!BB$4+1))</f>
        <v/>
      </c>
      <c r="BC66" t="str">
        <f ca="1">IF(OR($L66&gt;BC$4,BC$4&gt;$L66+23),"",OFFSET(Electric!$L57,0,-'Electric Calendarize'!$L66+'Electric Calendarize'!BC$4+1))</f>
        <v/>
      </c>
      <c r="BD66" t="str">
        <f ca="1">IF(OR($L66&gt;BD$4,BD$4&gt;$L66+23),"",OFFSET(Electric!$L57,0,-'Electric Calendarize'!$L66+'Electric Calendarize'!BD$4+1))</f>
        <v/>
      </c>
      <c r="BE66" t="str">
        <f ca="1">IF(OR($L66&gt;BE$4,BE$4&gt;$L66+23),"",OFFSET(Electric!$L57,0,-'Electric Calendarize'!$L66+'Electric Calendarize'!BE$4+1))</f>
        <v/>
      </c>
      <c r="BF66" t="str">
        <f ca="1">IF(OR($L66&gt;BF$4,BF$4&gt;$L66+23),"",OFFSET(Electric!$L57,0,-'Electric Calendarize'!$L66+'Electric Calendarize'!BF$4+1))</f>
        <v/>
      </c>
      <c r="BG66" t="str">
        <f ca="1">IF(OR($L66&gt;BG$4,BG$4&gt;$L66+23),"",OFFSET(Electric!$L57,0,-'Electric Calendarize'!$L66+'Electric Calendarize'!BG$4+1))</f>
        <v/>
      </c>
      <c r="BJ66" s="10" t="s">
        <v>37</v>
      </c>
      <c r="BK66">
        <f t="shared" si="195"/>
        <v>1</v>
      </c>
      <c r="BL66">
        <f t="shared" si="100"/>
        <v>0</v>
      </c>
      <c r="BM66">
        <f t="shared" si="101"/>
        <v>0</v>
      </c>
      <c r="BN66">
        <f t="shared" si="102"/>
        <v>0</v>
      </c>
      <c r="BO66">
        <f t="shared" si="103"/>
        <v>0</v>
      </c>
      <c r="BP66">
        <f t="shared" si="104"/>
        <v>0</v>
      </c>
      <c r="BQ66">
        <f t="shared" si="105"/>
        <v>0</v>
      </c>
      <c r="BR66">
        <f t="shared" si="106"/>
        <v>1</v>
      </c>
      <c r="BS66">
        <f t="shared" si="107"/>
        <v>1</v>
      </c>
      <c r="BT66">
        <f t="shared" si="108"/>
        <v>1</v>
      </c>
      <c r="BU66">
        <f t="shared" si="109"/>
        <v>1</v>
      </c>
      <c r="BV66">
        <f t="shared" si="110"/>
        <v>1</v>
      </c>
      <c r="BW66">
        <f t="shared" si="111"/>
        <v>1</v>
      </c>
      <c r="BX66">
        <f t="shared" si="112"/>
        <v>0</v>
      </c>
      <c r="BY66">
        <f t="shared" si="113"/>
        <v>0</v>
      </c>
      <c r="BZ66">
        <f t="shared" si="114"/>
        <v>0</v>
      </c>
      <c r="CA66">
        <f t="shared" si="115"/>
        <v>0</v>
      </c>
      <c r="CB66">
        <f t="shared" si="116"/>
        <v>0</v>
      </c>
      <c r="CC66">
        <f t="shared" si="117"/>
        <v>0</v>
      </c>
      <c r="CD66">
        <f t="shared" si="118"/>
        <v>1</v>
      </c>
      <c r="CE66">
        <f t="shared" si="119"/>
        <v>1</v>
      </c>
      <c r="CF66">
        <f t="shared" si="120"/>
        <v>1</v>
      </c>
      <c r="CG66">
        <f t="shared" si="121"/>
        <v>1</v>
      </c>
      <c r="CH66">
        <f t="shared" si="122"/>
        <v>1</v>
      </c>
      <c r="CI66">
        <f t="shared" si="123"/>
        <v>1</v>
      </c>
      <c r="CJ66">
        <f t="shared" si="124"/>
        <v>0</v>
      </c>
      <c r="CK66">
        <f t="shared" si="125"/>
        <v>0</v>
      </c>
      <c r="CL66">
        <f t="shared" si="126"/>
        <v>0</v>
      </c>
      <c r="CM66">
        <f t="shared" si="127"/>
        <v>0</v>
      </c>
      <c r="CN66">
        <f t="shared" si="128"/>
        <v>0</v>
      </c>
      <c r="CO66">
        <f t="shared" si="129"/>
        <v>0</v>
      </c>
      <c r="CP66">
        <f t="shared" si="130"/>
        <v>1</v>
      </c>
      <c r="CQ66">
        <f t="shared" si="131"/>
        <v>1</v>
      </c>
      <c r="CR66">
        <f t="shared" si="132"/>
        <v>1</v>
      </c>
      <c r="CS66">
        <f t="shared" si="133"/>
        <v>1</v>
      </c>
      <c r="CT66">
        <f t="shared" si="134"/>
        <v>1</v>
      </c>
      <c r="CU66">
        <f t="shared" si="135"/>
        <v>1</v>
      </c>
      <c r="CV66">
        <f t="shared" si="136"/>
        <v>0</v>
      </c>
      <c r="CW66">
        <f t="shared" si="137"/>
        <v>0</v>
      </c>
      <c r="CX66">
        <f t="shared" si="138"/>
        <v>0</v>
      </c>
      <c r="CY66">
        <f t="shared" si="139"/>
        <v>0</v>
      </c>
      <c r="CZ66">
        <f t="shared" si="140"/>
        <v>0</v>
      </c>
      <c r="DA66">
        <f t="shared" si="141"/>
        <v>0</v>
      </c>
      <c r="DB66">
        <f t="shared" si="142"/>
        <v>1</v>
      </c>
      <c r="DC66">
        <f t="shared" si="143"/>
        <v>1</v>
      </c>
      <c r="DF66" s="10" t="s">
        <v>37</v>
      </c>
      <c r="DG66" t="str">
        <f t="shared" si="207"/>
        <v>2021_11</v>
      </c>
      <c r="DH66" t="str">
        <f t="shared" si="207"/>
        <v>2021_11</v>
      </c>
      <c r="DI66" t="str">
        <f t="shared" si="207"/>
        <v>2021_11</v>
      </c>
      <c r="DJ66" t="str">
        <f t="shared" si="207"/>
        <v>2021_11</v>
      </c>
      <c r="DK66" t="str">
        <f t="shared" si="207"/>
        <v>2021_11</v>
      </c>
      <c r="DL66" t="str">
        <f t="shared" si="207"/>
        <v>2021_11</v>
      </c>
      <c r="DM66" t="str">
        <f t="shared" si="207"/>
        <v>2021_11</v>
      </c>
      <c r="DN66" t="str">
        <f t="shared" si="207"/>
        <v>2021_11</v>
      </c>
      <c r="DO66" t="str">
        <f t="shared" si="207"/>
        <v>2021_11</v>
      </c>
      <c r="DP66" t="str">
        <f t="shared" si="207"/>
        <v>2021_11</v>
      </c>
      <c r="DQ66" t="str">
        <f t="shared" si="207"/>
        <v>2021_11</v>
      </c>
      <c r="DR66" t="str">
        <f t="shared" si="207"/>
        <v>2021_11</v>
      </c>
      <c r="DS66" t="str">
        <f t="shared" si="207"/>
        <v>2021_11</v>
      </c>
      <c r="DT66" t="str">
        <f t="shared" si="207"/>
        <v>2021_11</v>
      </c>
      <c r="DU66" t="str">
        <f t="shared" si="207"/>
        <v>2021_11</v>
      </c>
      <c r="DV66" t="str">
        <f t="shared" si="207"/>
        <v>2021_11</v>
      </c>
      <c r="DW66" t="str">
        <f t="shared" si="206"/>
        <v>2021_11</v>
      </c>
      <c r="DX66" t="str">
        <f t="shared" si="206"/>
        <v>2021_11</v>
      </c>
      <c r="DY66" t="str">
        <f t="shared" si="206"/>
        <v>2021_11</v>
      </c>
      <c r="DZ66" t="str">
        <f t="shared" si="206"/>
        <v>2021_11</v>
      </c>
      <c r="EA66" t="str">
        <f t="shared" si="206"/>
        <v>2021_11</v>
      </c>
      <c r="EB66" t="str">
        <f t="shared" si="206"/>
        <v>2021_11</v>
      </c>
      <c r="EC66" t="str">
        <f t="shared" si="206"/>
        <v>2021_11</v>
      </c>
      <c r="ED66" t="str">
        <f t="shared" si="206"/>
        <v>2021_11</v>
      </c>
      <c r="EE66" t="str">
        <f t="shared" si="206"/>
        <v>2021_11</v>
      </c>
      <c r="EF66" t="str">
        <f t="shared" si="206"/>
        <v>2021_11</v>
      </c>
      <c r="EG66" t="str">
        <f t="shared" si="206"/>
        <v>2021_11</v>
      </c>
      <c r="EH66" t="str">
        <f t="shared" si="206"/>
        <v>2021_11</v>
      </c>
      <c r="EI66" t="str">
        <f t="shared" si="206"/>
        <v>2021_11</v>
      </c>
      <c r="EJ66" t="str">
        <f t="shared" si="206"/>
        <v>2021_11</v>
      </c>
      <c r="EK66" t="str">
        <f t="shared" si="206"/>
        <v>2021_11</v>
      </c>
      <c r="EL66" t="str">
        <f t="shared" si="205"/>
        <v>2021_11</v>
      </c>
      <c r="EM66" t="str">
        <f t="shared" si="205"/>
        <v>2021_11</v>
      </c>
      <c r="EN66" t="str">
        <f t="shared" si="205"/>
        <v>2021_11</v>
      </c>
      <c r="EO66" t="str">
        <f t="shared" si="205"/>
        <v>2021_11</v>
      </c>
      <c r="EP66" t="str">
        <f t="shared" si="205"/>
        <v>2021_11</v>
      </c>
      <c r="EQ66" t="str">
        <f t="shared" si="205"/>
        <v>2021_11</v>
      </c>
      <c r="ER66" t="str">
        <f t="shared" si="205"/>
        <v>2021_11</v>
      </c>
      <c r="ES66" t="str">
        <f t="shared" si="205"/>
        <v>2021_11</v>
      </c>
      <c r="ET66" t="str">
        <f t="shared" si="205"/>
        <v>2021_11</v>
      </c>
      <c r="EU66" t="str">
        <f t="shared" si="205"/>
        <v>2021_11</v>
      </c>
      <c r="EV66" t="str">
        <f t="shared" si="205"/>
        <v>2021_11</v>
      </c>
      <c r="EW66" t="str">
        <f t="shared" si="205"/>
        <v>2021_11</v>
      </c>
      <c r="EX66" t="str">
        <f t="shared" si="205"/>
        <v>2021_11</v>
      </c>
      <c r="EY66" t="str">
        <f t="shared" si="205"/>
        <v>2021_11</v>
      </c>
      <c r="FB66" s="10" t="s">
        <v>37</v>
      </c>
      <c r="FC66">
        <f t="shared" si="197"/>
        <v>0</v>
      </c>
      <c r="FD66">
        <f t="shared" si="147"/>
        <v>0</v>
      </c>
      <c r="FE66">
        <f t="shared" si="148"/>
        <v>0</v>
      </c>
      <c r="FF66">
        <f t="shared" si="149"/>
        <v>0</v>
      </c>
      <c r="FG66">
        <f t="shared" si="150"/>
        <v>0</v>
      </c>
      <c r="FH66">
        <f t="shared" si="151"/>
        <v>0</v>
      </c>
      <c r="FI66">
        <f t="shared" si="152"/>
        <v>0</v>
      </c>
      <c r="FJ66">
        <f t="shared" si="153"/>
        <v>0</v>
      </c>
      <c r="FK66">
        <f t="shared" si="154"/>
        <v>0</v>
      </c>
      <c r="FL66">
        <f t="shared" si="155"/>
        <v>0</v>
      </c>
      <c r="FM66">
        <f t="shared" si="156"/>
        <v>0</v>
      </c>
      <c r="FN66">
        <f t="shared" si="157"/>
        <v>0</v>
      </c>
      <c r="FO66">
        <f t="shared" si="158"/>
        <v>0</v>
      </c>
      <c r="FP66">
        <f t="shared" si="159"/>
        <v>0</v>
      </c>
      <c r="FQ66">
        <f t="shared" si="160"/>
        <v>0</v>
      </c>
      <c r="FR66">
        <f t="shared" si="161"/>
        <v>0</v>
      </c>
      <c r="FS66">
        <f t="shared" si="162"/>
        <v>0</v>
      </c>
      <c r="FT66">
        <f t="shared" si="163"/>
        <v>0</v>
      </c>
      <c r="FU66">
        <f t="shared" si="164"/>
        <v>0</v>
      </c>
      <c r="FV66">
        <f t="shared" si="165"/>
        <v>1</v>
      </c>
      <c r="FW66">
        <f t="shared" si="166"/>
        <v>1</v>
      </c>
      <c r="FX66">
        <f t="shared" si="167"/>
        <v>1</v>
      </c>
      <c r="FY66">
        <f t="shared" si="168"/>
        <v>1</v>
      </c>
      <c r="FZ66">
        <f t="shared" si="169"/>
        <v>1</v>
      </c>
      <c r="GA66">
        <f t="shared" si="170"/>
        <v>1</v>
      </c>
      <c r="GB66">
        <f t="shared" si="171"/>
        <v>1</v>
      </c>
      <c r="GC66">
        <f t="shared" si="172"/>
        <v>1</v>
      </c>
      <c r="GD66">
        <f t="shared" si="173"/>
        <v>1</v>
      </c>
      <c r="GE66">
        <f t="shared" si="174"/>
        <v>1</v>
      </c>
      <c r="GF66">
        <f t="shared" si="175"/>
        <v>1</v>
      </c>
      <c r="GG66">
        <f t="shared" si="176"/>
        <v>1</v>
      </c>
      <c r="GH66">
        <f t="shared" si="177"/>
        <v>1</v>
      </c>
      <c r="GI66">
        <f t="shared" si="178"/>
        <v>1</v>
      </c>
      <c r="GJ66">
        <f t="shared" si="179"/>
        <v>1</v>
      </c>
      <c r="GK66">
        <f t="shared" si="180"/>
        <v>1</v>
      </c>
      <c r="GL66">
        <f t="shared" si="181"/>
        <v>1</v>
      </c>
      <c r="GM66">
        <f t="shared" si="182"/>
        <v>1</v>
      </c>
      <c r="GN66">
        <f t="shared" si="183"/>
        <v>1</v>
      </c>
      <c r="GO66">
        <f t="shared" si="184"/>
        <v>1</v>
      </c>
      <c r="GP66">
        <f t="shared" si="185"/>
        <v>1</v>
      </c>
      <c r="GQ66">
        <f t="shared" si="186"/>
        <v>1</v>
      </c>
      <c r="GR66">
        <f t="shared" si="187"/>
        <v>1</v>
      </c>
      <c r="GS66">
        <f t="shared" si="188"/>
        <v>1</v>
      </c>
      <c r="GT66">
        <f t="shared" si="189"/>
        <v>1</v>
      </c>
      <c r="GU66">
        <f t="shared" si="190"/>
        <v>1</v>
      </c>
      <c r="GX66" s="10"/>
    </row>
    <row r="67" spans="1:206" x14ac:dyDescent="0.3">
      <c r="A67" s="9" t="s">
        <v>55</v>
      </c>
      <c r="B67" s="80"/>
      <c r="C67" s="9">
        <v>3041381005</v>
      </c>
      <c r="D67" s="9" t="s">
        <v>397</v>
      </c>
      <c r="E67" s="9" t="s">
        <v>34</v>
      </c>
      <c r="F67" s="9" t="s">
        <v>35</v>
      </c>
      <c r="G67" s="9" t="s">
        <v>86</v>
      </c>
      <c r="H67" s="10">
        <v>44516</v>
      </c>
      <c r="I67" s="9">
        <f t="shared" si="191"/>
        <v>2021</v>
      </c>
      <c r="J67" s="9">
        <f t="shared" si="192"/>
        <v>11</v>
      </c>
      <c r="K67" s="9" t="str">
        <f t="shared" si="193"/>
        <v>2021_11</v>
      </c>
      <c r="L67">
        <f>MAX(0,VLOOKUP($K67,lookups!$A$1:$B$45,2,0)-12)</f>
        <v>7</v>
      </c>
      <c r="M67" s="40">
        <f t="shared" si="194"/>
        <v>44501</v>
      </c>
      <c r="N67" s="10" t="s">
        <v>37</v>
      </c>
      <c r="O67" t="str">
        <f ca="1">IF(OR($L67&gt;O$4,O$4&gt;$L67+23),"",OFFSET(Electric!$L58,0,-'Electric Calendarize'!$L67+'Electric Calendarize'!O$4+1))</f>
        <v/>
      </c>
      <c r="P67" t="str">
        <f ca="1">IF(OR($L67&gt;P$4,P$4&gt;$L67+23),"",OFFSET(Electric!$L58,0,-'Electric Calendarize'!$L67+'Electric Calendarize'!P$4+1))</f>
        <v/>
      </c>
      <c r="Q67" t="str">
        <f ca="1">IF(OR($L67&gt;Q$4,Q$4&gt;$L67+23),"",OFFSET(Electric!$L58,0,-'Electric Calendarize'!$L67+'Electric Calendarize'!Q$4+1))</f>
        <v/>
      </c>
      <c r="R67" t="str">
        <f ca="1">IF(OR($L67&gt;R$4,R$4&gt;$L67+23),"",OFFSET(Electric!$L58,0,-'Electric Calendarize'!$L67+'Electric Calendarize'!R$4+1))</f>
        <v/>
      </c>
      <c r="S67" t="str">
        <f ca="1">IF(OR($L67&gt;S$4,S$4&gt;$L67+23),"",OFFSET(Electric!$L58,0,-'Electric Calendarize'!$L67+'Electric Calendarize'!S$4+1))</f>
        <v/>
      </c>
      <c r="T67" t="str">
        <f ca="1">IF(OR($L67&gt;T$4,T$4&gt;$L67+23),"",OFFSET(Electric!$L58,0,-'Electric Calendarize'!$L67+'Electric Calendarize'!T$4+1))</f>
        <v/>
      </c>
      <c r="U67" t="str">
        <f ca="1">IF(OR($L67&gt;U$4,U$4&gt;$L67+23),"",OFFSET(Electric!$L58,0,-'Electric Calendarize'!$L67+'Electric Calendarize'!U$4+1))</f>
        <v/>
      </c>
      <c r="V67">
        <f ca="1">IF(OR($L67&gt;V$4,V$4&gt;$L67+23),"",OFFSET(Electric!$L58,0,-'Electric Calendarize'!$L67+'Electric Calendarize'!V$4+1))</f>
        <v>411</v>
      </c>
      <c r="W67">
        <f ca="1">IF(OR($L67&gt;W$4,W$4&gt;$L67+23),"",OFFSET(Electric!$L58,0,-'Electric Calendarize'!$L67+'Electric Calendarize'!W$4+1))</f>
        <v>527</v>
      </c>
      <c r="X67">
        <f ca="1">IF(OR($L67&gt;X$4,X$4&gt;$L67+23),"",OFFSET(Electric!$L58,0,-'Electric Calendarize'!$L67+'Electric Calendarize'!X$4+1))</f>
        <v>521</v>
      </c>
      <c r="Y67">
        <f ca="1">IF(OR($L67&gt;Y$4,Y$4&gt;$L67+23),"",OFFSET(Electric!$L58,0,-'Electric Calendarize'!$L67+'Electric Calendarize'!Y$4+1))</f>
        <v>506</v>
      </c>
      <c r="Z67">
        <f ca="1">IF(OR($L67&gt;Z$4,Z$4&gt;$L67+23),"",OFFSET(Electric!$L58,0,-'Electric Calendarize'!$L67+'Electric Calendarize'!Z$4+1))</f>
        <v>491</v>
      </c>
      <c r="AA67">
        <f ca="1">IF(OR($L67&gt;AA$4,AA$4&gt;$L67+23),"",OFFSET(Electric!$L58,0,-'Electric Calendarize'!$L67+'Electric Calendarize'!AA$4+1))</f>
        <v>453</v>
      </c>
      <c r="AB67">
        <f ca="1">IF(OR($L67&gt;AB$4,AB$4&gt;$L67+23),"",OFFSET(Electric!$L58,0,-'Electric Calendarize'!$L67+'Electric Calendarize'!AB$4+1))</f>
        <v>486</v>
      </c>
      <c r="AC67">
        <f ca="1">IF(OR($L67&gt;AC$4,AC$4&gt;$L67+23),"",OFFSET(Electric!$L58,0,-'Electric Calendarize'!$L67+'Electric Calendarize'!AC$4+1))</f>
        <v>502</v>
      </c>
      <c r="AD67">
        <f ca="1">IF(OR($L67&gt;AD$4,AD$4&gt;$L67+23),"",OFFSET(Electric!$L58,0,-'Electric Calendarize'!$L67+'Electric Calendarize'!AD$4+1))</f>
        <v>574</v>
      </c>
      <c r="AE67">
        <f ca="1">IF(OR($L67&gt;AE$4,AE$4&gt;$L67+23),"",OFFSET(Electric!$L58,0,-'Electric Calendarize'!$L67+'Electric Calendarize'!AE$4+1))</f>
        <v>546</v>
      </c>
      <c r="AF67">
        <f ca="1">IF(OR($L67&gt;AF$4,AF$4&gt;$L67+23),"",OFFSET(Electric!$L58,0,-'Electric Calendarize'!$L67+'Electric Calendarize'!AF$4+1))</f>
        <v>559</v>
      </c>
      <c r="AG67">
        <f ca="1">IF(OR($L67&gt;AG$4,AG$4&gt;$L67+23),"",OFFSET(Electric!$L58,0,-'Electric Calendarize'!$L67+'Electric Calendarize'!AG$4+1))</f>
        <v>428</v>
      </c>
      <c r="AH67">
        <f ca="1">IF(OR($L67&gt;AH$4,AH$4&gt;$L67+23),"",OFFSET(Electric!$L58,0,-'Electric Calendarize'!$L67+'Electric Calendarize'!AH$4+1))</f>
        <v>407</v>
      </c>
      <c r="AI67">
        <f ca="1">IF(OR($L67&gt;AI$4,AI$4&gt;$L67+23),"",OFFSET(Electric!$L58,0,-'Electric Calendarize'!$L67+'Electric Calendarize'!AI$4+1))</f>
        <v>1227</v>
      </c>
      <c r="AJ67">
        <f ca="1">IF(OR($L67&gt;AJ$4,AJ$4&gt;$L67+23),"",OFFSET(Electric!$L58,0,-'Electric Calendarize'!$L67+'Electric Calendarize'!AJ$4+1))</f>
        <v>1395</v>
      </c>
      <c r="AK67">
        <f ca="1">IF(OR($L67&gt;AK$4,AK$4&gt;$L67+23),"",OFFSET(Electric!$L58,0,-'Electric Calendarize'!$L67+'Electric Calendarize'!AK$4+1))</f>
        <v>1779</v>
      </c>
      <c r="AL67">
        <f ca="1">IF(OR($L67&gt;AL$4,AL$4&gt;$L67+23),"",OFFSET(Electric!$L58,0,-'Electric Calendarize'!$L67+'Electric Calendarize'!AL$4+1))</f>
        <v>1356</v>
      </c>
      <c r="AM67">
        <f ca="1">IF(OR($L67&gt;AM$4,AM$4&gt;$L67+23),"",OFFSET(Electric!$L58,0,-'Electric Calendarize'!$L67+'Electric Calendarize'!AM$4+1))</f>
        <v>971</v>
      </c>
      <c r="AN67">
        <f ca="1">IF(OR($L67&gt;AN$4,AN$4&gt;$L67+23),"",OFFSET(Electric!$L58,0,-'Electric Calendarize'!$L67+'Electric Calendarize'!AN$4+1))</f>
        <v>643</v>
      </c>
      <c r="AO67">
        <f ca="1">IF(OR($L67&gt;AO$4,AO$4&gt;$L67+23),"",OFFSET(Electric!$L58,0,-'Electric Calendarize'!$L67+'Electric Calendarize'!AO$4+1))</f>
        <v>537</v>
      </c>
      <c r="AP67">
        <f ca="1">IF(OR($L67&gt;AP$4,AP$4&gt;$L67+23),"",OFFSET(Electric!$L58,0,-'Electric Calendarize'!$L67+'Electric Calendarize'!AP$4+1))</f>
        <v>599</v>
      </c>
      <c r="AQ67">
        <f ca="1">IF(OR($L67&gt;AQ$4,AQ$4&gt;$L67+23),"",OFFSET(Electric!$L58,0,-'Electric Calendarize'!$L67+'Electric Calendarize'!AQ$4+1))</f>
        <v>605</v>
      </c>
      <c r="AR67">
        <f ca="1">IF(OR($L67&gt;AR$4,AR$4&gt;$L67+23),"",OFFSET(Electric!$L58,0,-'Electric Calendarize'!$L67+'Electric Calendarize'!AR$4+1))</f>
        <v>608</v>
      </c>
      <c r="AS67">
        <f ca="1">IF(OR($L67&gt;AS$4,AS$4&gt;$L67+23),"",OFFSET(Electric!$L58,0,-'Electric Calendarize'!$L67+'Electric Calendarize'!AS$4+1))</f>
        <v>570</v>
      </c>
      <c r="AT67" t="str">
        <f ca="1">IF(OR($L67&gt;AT$4,AT$4&gt;$L67+23),"",OFFSET(Electric!$L58,0,-'Electric Calendarize'!$L67+'Electric Calendarize'!AT$4+1))</f>
        <v/>
      </c>
      <c r="AU67" t="str">
        <f ca="1">IF(OR($L67&gt;AU$4,AU$4&gt;$L67+23),"",OFFSET(Electric!$L58,0,-'Electric Calendarize'!$L67+'Electric Calendarize'!AU$4+1))</f>
        <v/>
      </c>
      <c r="AV67" t="str">
        <f ca="1">IF(OR($L67&gt;AV$4,AV$4&gt;$L67+23),"",OFFSET(Electric!$L58,0,-'Electric Calendarize'!$L67+'Electric Calendarize'!AV$4+1))</f>
        <v/>
      </c>
      <c r="AW67" t="str">
        <f ca="1">IF(OR($L67&gt;AW$4,AW$4&gt;$L67+23),"",OFFSET(Electric!$L58,0,-'Electric Calendarize'!$L67+'Electric Calendarize'!AW$4+1))</f>
        <v/>
      </c>
      <c r="AX67" t="str">
        <f ca="1">IF(OR($L67&gt;AX$4,AX$4&gt;$L67+23),"",OFFSET(Electric!$L58,0,-'Electric Calendarize'!$L67+'Electric Calendarize'!AX$4+1))</f>
        <v/>
      </c>
      <c r="AY67" t="str">
        <f ca="1">IF(OR($L67&gt;AY$4,AY$4&gt;$L67+23),"",OFFSET(Electric!$L58,0,-'Electric Calendarize'!$L67+'Electric Calendarize'!AY$4+1))</f>
        <v/>
      </c>
      <c r="AZ67" t="str">
        <f ca="1">IF(OR($L67&gt;AZ$4,AZ$4&gt;$L67+23),"",OFFSET(Electric!$L58,0,-'Electric Calendarize'!$L67+'Electric Calendarize'!AZ$4+1))</f>
        <v/>
      </c>
      <c r="BA67" t="str">
        <f ca="1">IF(OR($L67&gt;BA$4,BA$4&gt;$L67+23),"",OFFSET(Electric!$L58,0,-'Electric Calendarize'!$L67+'Electric Calendarize'!BA$4+1))</f>
        <v/>
      </c>
      <c r="BB67" t="str">
        <f ca="1">IF(OR($L67&gt;BB$4,BB$4&gt;$L67+23),"",OFFSET(Electric!$L58,0,-'Electric Calendarize'!$L67+'Electric Calendarize'!BB$4+1))</f>
        <v/>
      </c>
      <c r="BC67" t="str">
        <f ca="1">IF(OR($L67&gt;BC$4,BC$4&gt;$L67+23),"",OFFSET(Electric!$L58,0,-'Electric Calendarize'!$L67+'Electric Calendarize'!BC$4+1))</f>
        <v/>
      </c>
      <c r="BD67" t="str">
        <f ca="1">IF(OR($L67&gt;BD$4,BD$4&gt;$L67+23),"",OFFSET(Electric!$L58,0,-'Electric Calendarize'!$L67+'Electric Calendarize'!BD$4+1))</f>
        <v/>
      </c>
      <c r="BE67" t="str">
        <f ca="1">IF(OR($L67&gt;BE$4,BE$4&gt;$L67+23),"",OFFSET(Electric!$L58,0,-'Electric Calendarize'!$L67+'Electric Calendarize'!BE$4+1))</f>
        <v/>
      </c>
      <c r="BF67" t="str">
        <f ca="1">IF(OR($L67&gt;BF$4,BF$4&gt;$L67+23),"",OFFSET(Electric!$L58,0,-'Electric Calendarize'!$L67+'Electric Calendarize'!BF$4+1))</f>
        <v/>
      </c>
      <c r="BG67" t="str">
        <f ca="1">IF(OR($L67&gt;BG$4,BG$4&gt;$L67+23),"",OFFSET(Electric!$L58,0,-'Electric Calendarize'!$L67+'Electric Calendarize'!BG$4+1))</f>
        <v/>
      </c>
      <c r="BJ67" s="10" t="s">
        <v>37</v>
      </c>
      <c r="BK67">
        <f t="shared" si="195"/>
        <v>1</v>
      </c>
      <c r="BL67">
        <f t="shared" si="100"/>
        <v>0</v>
      </c>
      <c r="BM67">
        <f t="shared" si="101"/>
        <v>0</v>
      </c>
      <c r="BN67">
        <f t="shared" si="102"/>
        <v>0</v>
      </c>
      <c r="BO67">
        <f t="shared" si="103"/>
        <v>0</v>
      </c>
      <c r="BP67">
        <f t="shared" si="104"/>
        <v>0</v>
      </c>
      <c r="BQ67">
        <f t="shared" si="105"/>
        <v>0</v>
      </c>
      <c r="BR67">
        <f t="shared" si="106"/>
        <v>1</v>
      </c>
      <c r="BS67">
        <f t="shared" si="107"/>
        <v>1</v>
      </c>
      <c r="BT67">
        <f t="shared" si="108"/>
        <v>1</v>
      </c>
      <c r="BU67">
        <f t="shared" si="109"/>
        <v>1</v>
      </c>
      <c r="BV67">
        <f t="shared" si="110"/>
        <v>1</v>
      </c>
      <c r="BW67">
        <f t="shared" si="111"/>
        <v>1</v>
      </c>
      <c r="BX67">
        <f t="shared" si="112"/>
        <v>0</v>
      </c>
      <c r="BY67">
        <f t="shared" si="113"/>
        <v>0</v>
      </c>
      <c r="BZ67">
        <f t="shared" si="114"/>
        <v>0</v>
      </c>
      <c r="CA67">
        <f t="shared" si="115"/>
        <v>0</v>
      </c>
      <c r="CB67">
        <f t="shared" si="116"/>
        <v>0</v>
      </c>
      <c r="CC67">
        <f t="shared" si="117"/>
        <v>0</v>
      </c>
      <c r="CD67">
        <f t="shared" si="118"/>
        <v>1</v>
      </c>
      <c r="CE67">
        <f t="shared" si="119"/>
        <v>1</v>
      </c>
      <c r="CF67">
        <f t="shared" si="120"/>
        <v>1</v>
      </c>
      <c r="CG67">
        <f t="shared" si="121"/>
        <v>1</v>
      </c>
      <c r="CH67">
        <f t="shared" si="122"/>
        <v>1</v>
      </c>
      <c r="CI67">
        <f t="shared" si="123"/>
        <v>1</v>
      </c>
      <c r="CJ67">
        <f t="shared" si="124"/>
        <v>0</v>
      </c>
      <c r="CK67">
        <f t="shared" si="125"/>
        <v>0</v>
      </c>
      <c r="CL67">
        <f t="shared" si="126"/>
        <v>0</v>
      </c>
      <c r="CM67">
        <f t="shared" si="127"/>
        <v>0</v>
      </c>
      <c r="CN67">
        <f t="shared" si="128"/>
        <v>0</v>
      </c>
      <c r="CO67">
        <f t="shared" si="129"/>
        <v>0</v>
      </c>
      <c r="CP67">
        <f t="shared" si="130"/>
        <v>1</v>
      </c>
      <c r="CQ67">
        <f t="shared" si="131"/>
        <v>1</v>
      </c>
      <c r="CR67">
        <f t="shared" si="132"/>
        <v>1</v>
      </c>
      <c r="CS67">
        <f t="shared" si="133"/>
        <v>1</v>
      </c>
      <c r="CT67">
        <f t="shared" si="134"/>
        <v>1</v>
      </c>
      <c r="CU67">
        <f t="shared" si="135"/>
        <v>1</v>
      </c>
      <c r="CV67">
        <f t="shared" si="136"/>
        <v>0</v>
      </c>
      <c r="CW67">
        <f t="shared" si="137"/>
        <v>0</v>
      </c>
      <c r="CX67">
        <f t="shared" si="138"/>
        <v>0</v>
      </c>
      <c r="CY67">
        <f t="shared" si="139"/>
        <v>0</v>
      </c>
      <c r="CZ67">
        <f t="shared" si="140"/>
        <v>0</v>
      </c>
      <c r="DA67">
        <f t="shared" si="141"/>
        <v>0</v>
      </c>
      <c r="DB67">
        <f t="shared" si="142"/>
        <v>1</v>
      </c>
      <c r="DC67">
        <f t="shared" si="143"/>
        <v>1</v>
      </c>
      <c r="DF67" s="10" t="s">
        <v>37</v>
      </c>
      <c r="DG67" t="str">
        <f t="shared" si="207"/>
        <v>2021_11</v>
      </c>
      <c r="DH67" t="str">
        <f t="shared" si="207"/>
        <v>2021_11</v>
      </c>
      <c r="DI67" t="str">
        <f t="shared" si="207"/>
        <v>2021_11</v>
      </c>
      <c r="DJ67" t="str">
        <f t="shared" si="207"/>
        <v>2021_11</v>
      </c>
      <c r="DK67" t="str">
        <f t="shared" si="207"/>
        <v>2021_11</v>
      </c>
      <c r="DL67" t="str">
        <f t="shared" si="207"/>
        <v>2021_11</v>
      </c>
      <c r="DM67" t="str">
        <f t="shared" si="207"/>
        <v>2021_11</v>
      </c>
      <c r="DN67" t="str">
        <f t="shared" si="207"/>
        <v>2021_11</v>
      </c>
      <c r="DO67" t="str">
        <f t="shared" si="207"/>
        <v>2021_11</v>
      </c>
      <c r="DP67" t="str">
        <f t="shared" si="207"/>
        <v>2021_11</v>
      </c>
      <c r="DQ67" t="str">
        <f t="shared" si="207"/>
        <v>2021_11</v>
      </c>
      <c r="DR67" t="str">
        <f t="shared" si="207"/>
        <v>2021_11</v>
      </c>
      <c r="DS67" t="str">
        <f t="shared" si="207"/>
        <v>2021_11</v>
      </c>
      <c r="DT67" t="str">
        <f t="shared" si="207"/>
        <v>2021_11</v>
      </c>
      <c r="DU67" t="str">
        <f t="shared" si="207"/>
        <v>2021_11</v>
      </c>
      <c r="DV67" t="str">
        <f t="shared" si="207"/>
        <v>2021_11</v>
      </c>
      <c r="DW67" t="str">
        <f t="shared" si="206"/>
        <v>2021_11</v>
      </c>
      <c r="DX67" t="str">
        <f t="shared" si="206"/>
        <v>2021_11</v>
      </c>
      <c r="DY67" t="str">
        <f t="shared" si="206"/>
        <v>2021_11</v>
      </c>
      <c r="DZ67" t="str">
        <f t="shared" si="206"/>
        <v>2021_11</v>
      </c>
      <c r="EA67" t="str">
        <f t="shared" si="206"/>
        <v>2021_11</v>
      </c>
      <c r="EB67" t="str">
        <f t="shared" si="206"/>
        <v>2021_11</v>
      </c>
      <c r="EC67" t="str">
        <f t="shared" si="206"/>
        <v>2021_11</v>
      </c>
      <c r="ED67" t="str">
        <f t="shared" si="206"/>
        <v>2021_11</v>
      </c>
      <c r="EE67" t="str">
        <f t="shared" si="206"/>
        <v>2021_11</v>
      </c>
      <c r="EF67" t="str">
        <f t="shared" si="206"/>
        <v>2021_11</v>
      </c>
      <c r="EG67" t="str">
        <f t="shared" si="206"/>
        <v>2021_11</v>
      </c>
      <c r="EH67" t="str">
        <f t="shared" si="206"/>
        <v>2021_11</v>
      </c>
      <c r="EI67" t="str">
        <f t="shared" si="206"/>
        <v>2021_11</v>
      </c>
      <c r="EJ67" t="str">
        <f t="shared" si="206"/>
        <v>2021_11</v>
      </c>
      <c r="EK67" t="str">
        <f t="shared" si="206"/>
        <v>2021_11</v>
      </c>
      <c r="EL67" t="str">
        <f t="shared" si="205"/>
        <v>2021_11</v>
      </c>
      <c r="EM67" t="str">
        <f t="shared" si="205"/>
        <v>2021_11</v>
      </c>
      <c r="EN67" t="str">
        <f t="shared" si="205"/>
        <v>2021_11</v>
      </c>
      <c r="EO67" t="str">
        <f t="shared" si="205"/>
        <v>2021_11</v>
      </c>
      <c r="EP67" t="str">
        <f t="shared" si="205"/>
        <v>2021_11</v>
      </c>
      <c r="EQ67" t="str">
        <f t="shared" si="205"/>
        <v>2021_11</v>
      </c>
      <c r="ER67" t="str">
        <f t="shared" si="205"/>
        <v>2021_11</v>
      </c>
      <c r="ES67" t="str">
        <f t="shared" si="205"/>
        <v>2021_11</v>
      </c>
      <c r="ET67" t="str">
        <f t="shared" si="205"/>
        <v>2021_11</v>
      </c>
      <c r="EU67" t="str">
        <f t="shared" si="205"/>
        <v>2021_11</v>
      </c>
      <c r="EV67" t="str">
        <f t="shared" si="205"/>
        <v>2021_11</v>
      </c>
      <c r="EW67" t="str">
        <f t="shared" si="205"/>
        <v>2021_11</v>
      </c>
      <c r="EX67" t="str">
        <f t="shared" si="205"/>
        <v>2021_11</v>
      </c>
      <c r="EY67" t="str">
        <f t="shared" si="205"/>
        <v>2021_11</v>
      </c>
      <c r="FB67" s="10" t="s">
        <v>37</v>
      </c>
      <c r="FC67">
        <f t="shared" si="197"/>
        <v>0</v>
      </c>
      <c r="FD67">
        <f t="shared" si="147"/>
        <v>0</v>
      </c>
      <c r="FE67">
        <f t="shared" si="148"/>
        <v>0</v>
      </c>
      <c r="FF67">
        <f t="shared" si="149"/>
        <v>0</v>
      </c>
      <c r="FG67">
        <f t="shared" si="150"/>
        <v>0</v>
      </c>
      <c r="FH67">
        <f t="shared" si="151"/>
        <v>0</v>
      </c>
      <c r="FI67">
        <f t="shared" si="152"/>
        <v>0</v>
      </c>
      <c r="FJ67">
        <f t="shared" si="153"/>
        <v>0</v>
      </c>
      <c r="FK67">
        <f t="shared" si="154"/>
        <v>0</v>
      </c>
      <c r="FL67">
        <f t="shared" si="155"/>
        <v>0</v>
      </c>
      <c r="FM67">
        <f t="shared" si="156"/>
        <v>0</v>
      </c>
      <c r="FN67">
        <f t="shared" si="157"/>
        <v>0</v>
      </c>
      <c r="FO67">
        <f t="shared" si="158"/>
        <v>0</v>
      </c>
      <c r="FP67">
        <f t="shared" si="159"/>
        <v>0</v>
      </c>
      <c r="FQ67">
        <f t="shared" si="160"/>
        <v>0</v>
      </c>
      <c r="FR67">
        <f t="shared" si="161"/>
        <v>0</v>
      </c>
      <c r="FS67">
        <f t="shared" si="162"/>
        <v>0</v>
      </c>
      <c r="FT67">
        <f t="shared" si="163"/>
        <v>0</v>
      </c>
      <c r="FU67">
        <f t="shared" si="164"/>
        <v>0</v>
      </c>
      <c r="FV67">
        <f t="shared" si="165"/>
        <v>1</v>
      </c>
      <c r="FW67">
        <f t="shared" si="166"/>
        <v>1</v>
      </c>
      <c r="FX67">
        <f t="shared" si="167"/>
        <v>1</v>
      </c>
      <c r="FY67">
        <f t="shared" si="168"/>
        <v>1</v>
      </c>
      <c r="FZ67">
        <f t="shared" si="169"/>
        <v>1</v>
      </c>
      <c r="GA67">
        <f t="shared" si="170"/>
        <v>1</v>
      </c>
      <c r="GB67">
        <f t="shared" si="171"/>
        <v>1</v>
      </c>
      <c r="GC67">
        <f t="shared" si="172"/>
        <v>1</v>
      </c>
      <c r="GD67">
        <f t="shared" si="173"/>
        <v>1</v>
      </c>
      <c r="GE67">
        <f t="shared" si="174"/>
        <v>1</v>
      </c>
      <c r="GF67">
        <f t="shared" si="175"/>
        <v>1</v>
      </c>
      <c r="GG67">
        <f t="shared" si="176"/>
        <v>1</v>
      </c>
      <c r="GH67">
        <f t="shared" si="177"/>
        <v>1</v>
      </c>
      <c r="GI67">
        <f t="shared" si="178"/>
        <v>1</v>
      </c>
      <c r="GJ67">
        <f t="shared" si="179"/>
        <v>1</v>
      </c>
      <c r="GK67">
        <f t="shared" si="180"/>
        <v>1</v>
      </c>
      <c r="GL67">
        <f t="shared" si="181"/>
        <v>1</v>
      </c>
      <c r="GM67">
        <f t="shared" si="182"/>
        <v>1</v>
      </c>
      <c r="GN67">
        <f t="shared" si="183"/>
        <v>1</v>
      </c>
      <c r="GO67">
        <f t="shared" si="184"/>
        <v>1</v>
      </c>
      <c r="GP67">
        <f t="shared" si="185"/>
        <v>1</v>
      </c>
      <c r="GQ67">
        <f t="shared" si="186"/>
        <v>1</v>
      </c>
      <c r="GR67">
        <f t="shared" si="187"/>
        <v>1</v>
      </c>
      <c r="GS67">
        <f t="shared" si="188"/>
        <v>1</v>
      </c>
      <c r="GT67">
        <f t="shared" si="189"/>
        <v>1</v>
      </c>
      <c r="GU67">
        <f t="shared" si="190"/>
        <v>1</v>
      </c>
      <c r="GX67" s="10"/>
    </row>
    <row r="68" spans="1:206" x14ac:dyDescent="0.3">
      <c r="A68" s="8" t="s">
        <v>33</v>
      </c>
      <c r="B68" s="80"/>
      <c r="C68" s="9">
        <v>3081585000</v>
      </c>
      <c r="D68" s="9" t="s">
        <v>398</v>
      </c>
      <c r="E68" s="9" t="s">
        <v>34</v>
      </c>
      <c r="F68" s="9" t="s">
        <v>35</v>
      </c>
      <c r="G68" s="9" t="s">
        <v>98</v>
      </c>
      <c r="H68" s="10">
        <v>44517</v>
      </c>
      <c r="I68" s="9">
        <f t="shared" si="191"/>
        <v>2021</v>
      </c>
      <c r="J68" s="9">
        <f t="shared" si="192"/>
        <v>11</v>
      </c>
      <c r="K68" s="9" t="str">
        <f t="shared" si="193"/>
        <v>2021_11</v>
      </c>
      <c r="L68">
        <f>MAX(0,VLOOKUP($K68,lookups!$A$1:$B$45,2,0)-12)</f>
        <v>7</v>
      </c>
      <c r="M68" s="40">
        <f t="shared" si="194"/>
        <v>44501</v>
      </c>
      <c r="N68" s="10" t="s">
        <v>37</v>
      </c>
      <c r="O68" t="str">
        <f ca="1">IF(OR($L68&gt;O$4,O$4&gt;$L68+23),"",OFFSET(Electric!$L59,0,-'Electric Calendarize'!$L68+'Electric Calendarize'!O$4+1))</f>
        <v/>
      </c>
      <c r="P68" t="str">
        <f ca="1">IF(OR($L68&gt;P$4,P$4&gt;$L68+23),"",OFFSET(Electric!$L59,0,-'Electric Calendarize'!$L68+'Electric Calendarize'!P$4+1))</f>
        <v/>
      </c>
      <c r="Q68" t="str">
        <f ca="1">IF(OR($L68&gt;Q$4,Q$4&gt;$L68+23),"",OFFSET(Electric!$L59,0,-'Electric Calendarize'!$L68+'Electric Calendarize'!Q$4+1))</f>
        <v/>
      </c>
      <c r="R68" t="str">
        <f ca="1">IF(OR($L68&gt;R$4,R$4&gt;$L68+23),"",OFFSET(Electric!$L59,0,-'Electric Calendarize'!$L68+'Electric Calendarize'!R$4+1))</f>
        <v/>
      </c>
      <c r="S68" t="str">
        <f ca="1">IF(OR($L68&gt;S$4,S$4&gt;$L68+23),"",OFFSET(Electric!$L59,0,-'Electric Calendarize'!$L68+'Electric Calendarize'!S$4+1))</f>
        <v/>
      </c>
      <c r="T68" t="str">
        <f ca="1">IF(OR($L68&gt;T$4,T$4&gt;$L68+23),"",OFFSET(Electric!$L59,0,-'Electric Calendarize'!$L68+'Electric Calendarize'!T$4+1))</f>
        <v/>
      </c>
      <c r="U68" t="str">
        <f ca="1">IF(OR($L68&gt;U$4,U$4&gt;$L68+23),"",OFFSET(Electric!$L59,0,-'Electric Calendarize'!$L68+'Electric Calendarize'!U$4+1))</f>
        <v/>
      </c>
      <c r="V68">
        <f ca="1">IF(OR($L68&gt;V$4,V$4&gt;$L68+23),"",OFFSET(Electric!$L59,0,-'Electric Calendarize'!$L68+'Electric Calendarize'!V$4+1))</f>
        <v>412</v>
      </c>
      <c r="W68">
        <f ca="1">IF(OR($L68&gt;W$4,W$4&gt;$L68+23),"",OFFSET(Electric!$L59,0,-'Electric Calendarize'!$L68+'Electric Calendarize'!W$4+1))</f>
        <v>458</v>
      </c>
      <c r="X68">
        <f ca="1">IF(OR($L68&gt;X$4,X$4&gt;$L68+23),"",OFFSET(Electric!$L59,0,-'Electric Calendarize'!$L68+'Electric Calendarize'!X$4+1))</f>
        <v>421</v>
      </c>
      <c r="Y68">
        <f ca="1">IF(OR($L68&gt;Y$4,Y$4&gt;$L68+23),"",OFFSET(Electric!$L59,0,-'Electric Calendarize'!$L68+'Electric Calendarize'!Y$4+1))</f>
        <v>352</v>
      </c>
      <c r="Z68">
        <f ca="1">IF(OR($L68&gt;Z$4,Z$4&gt;$L68+23),"",OFFSET(Electric!$L59,0,-'Electric Calendarize'!$L68+'Electric Calendarize'!Z$4+1))</f>
        <v>366</v>
      </c>
      <c r="AA68">
        <f ca="1">IF(OR($L68&gt;AA$4,AA$4&gt;$L68+23),"",OFFSET(Electric!$L59,0,-'Electric Calendarize'!$L68+'Electric Calendarize'!AA$4+1))</f>
        <v>294</v>
      </c>
      <c r="AB68">
        <f ca="1">IF(OR($L68&gt;AB$4,AB$4&gt;$L68+23),"",OFFSET(Electric!$L59,0,-'Electric Calendarize'!$L68+'Electric Calendarize'!AB$4+1))</f>
        <v>323</v>
      </c>
      <c r="AC68">
        <f ca="1">IF(OR($L68&gt;AC$4,AC$4&gt;$L68+23),"",OFFSET(Electric!$L59,0,-'Electric Calendarize'!$L68+'Electric Calendarize'!AC$4+1))</f>
        <v>571</v>
      </c>
      <c r="AD68">
        <f ca="1">IF(OR($L68&gt;AD$4,AD$4&gt;$L68+23),"",OFFSET(Electric!$L59,0,-'Electric Calendarize'!$L68+'Electric Calendarize'!AD$4+1))</f>
        <v>543</v>
      </c>
      <c r="AE68">
        <f ca="1">IF(OR($L68&gt;AE$4,AE$4&gt;$L68+23),"",OFFSET(Electric!$L59,0,-'Electric Calendarize'!$L68+'Electric Calendarize'!AE$4+1))</f>
        <v>712</v>
      </c>
      <c r="AF68">
        <f ca="1">IF(OR($L68&gt;AF$4,AF$4&gt;$L68+23),"",OFFSET(Electric!$L59,0,-'Electric Calendarize'!$L68+'Electric Calendarize'!AF$4+1))</f>
        <v>547</v>
      </c>
      <c r="AG68">
        <f ca="1">IF(OR($L68&gt;AG$4,AG$4&gt;$L68+23),"",OFFSET(Electric!$L59,0,-'Electric Calendarize'!$L68+'Electric Calendarize'!AG$4+1))</f>
        <v>336</v>
      </c>
      <c r="AH68">
        <f ca="1">IF(OR($L68&gt;AH$4,AH$4&gt;$L68+23),"",OFFSET(Electric!$L59,0,-'Electric Calendarize'!$L68+'Electric Calendarize'!AH$4+1))</f>
        <v>321</v>
      </c>
      <c r="AI68">
        <f ca="1">IF(OR($L68&gt;AI$4,AI$4&gt;$L68+23),"",OFFSET(Electric!$L59,0,-'Electric Calendarize'!$L68+'Electric Calendarize'!AI$4+1))</f>
        <v>337</v>
      </c>
      <c r="AJ68">
        <f ca="1">IF(OR($L68&gt;AJ$4,AJ$4&gt;$L68+23),"",OFFSET(Electric!$L59,0,-'Electric Calendarize'!$L68+'Electric Calendarize'!AJ$4+1))</f>
        <v>769</v>
      </c>
      <c r="AK68">
        <f ca="1">IF(OR($L68&gt;AK$4,AK$4&gt;$L68+23),"",OFFSET(Electric!$L59,0,-'Electric Calendarize'!$L68+'Electric Calendarize'!AK$4+1))</f>
        <v>385</v>
      </c>
      <c r="AL68">
        <f ca="1">IF(OR($L68&gt;AL$4,AL$4&gt;$L68+23),"",OFFSET(Electric!$L59,0,-'Electric Calendarize'!$L68+'Electric Calendarize'!AL$4+1))</f>
        <v>343</v>
      </c>
      <c r="AM68">
        <f ca="1">IF(OR($L68&gt;AM$4,AM$4&gt;$L68+23),"",OFFSET(Electric!$L59,0,-'Electric Calendarize'!$L68+'Electric Calendarize'!AM$4+1))</f>
        <v>326</v>
      </c>
      <c r="AN68">
        <f ca="1">IF(OR($L68&gt;AN$4,AN$4&gt;$L68+23),"",OFFSET(Electric!$L59,0,-'Electric Calendarize'!$L68+'Electric Calendarize'!AN$4+1))</f>
        <v>363</v>
      </c>
      <c r="AO68">
        <f ca="1">IF(OR($L68&gt;AO$4,AO$4&gt;$L68+23),"",OFFSET(Electric!$L59,0,-'Electric Calendarize'!$L68+'Electric Calendarize'!AO$4+1))</f>
        <v>408</v>
      </c>
      <c r="AP68">
        <f ca="1">IF(OR($L68&gt;AP$4,AP$4&gt;$L68+23),"",OFFSET(Electric!$L59,0,-'Electric Calendarize'!$L68+'Electric Calendarize'!AP$4+1))</f>
        <v>422</v>
      </c>
      <c r="AQ68">
        <f ca="1">IF(OR($L68&gt;AQ$4,AQ$4&gt;$L68+23),"",OFFSET(Electric!$L59,0,-'Electric Calendarize'!$L68+'Electric Calendarize'!AQ$4+1))</f>
        <v>675</v>
      </c>
      <c r="AR68">
        <f ca="1">IF(OR($L68&gt;AR$4,AR$4&gt;$L68+23),"",OFFSET(Electric!$L59,0,-'Electric Calendarize'!$L68+'Electric Calendarize'!AR$4+1))</f>
        <v>519</v>
      </c>
      <c r="AS68">
        <f ca="1">IF(OR($L68&gt;AS$4,AS$4&gt;$L68+23),"",OFFSET(Electric!$L59,0,-'Electric Calendarize'!$L68+'Electric Calendarize'!AS$4+1))</f>
        <v>354</v>
      </c>
      <c r="AT68" t="str">
        <f ca="1">IF(OR($L68&gt;AT$4,AT$4&gt;$L68+23),"",OFFSET(Electric!$L59,0,-'Electric Calendarize'!$L68+'Electric Calendarize'!AT$4+1))</f>
        <v/>
      </c>
      <c r="AU68" t="str">
        <f ca="1">IF(OR($L68&gt;AU$4,AU$4&gt;$L68+23),"",OFFSET(Electric!$L59,0,-'Electric Calendarize'!$L68+'Electric Calendarize'!AU$4+1))</f>
        <v/>
      </c>
      <c r="AV68" t="str">
        <f ca="1">IF(OR($L68&gt;AV$4,AV$4&gt;$L68+23),"",OFFSET(Electric!$L59,0,-'Electric Calendarize'!$L68+'Electric Calendarize'!AV$4+1))</f>
        <v/>
      </c>
      <c r="AW68" t="str">
        <f ca="1">IF(OR($L68&gt;AW$4,AW$4&gt;$L68+23),"",OFFSET(Electric!$L59,0,-'Electric Calendarize'!$L68+'Electric Calendarize'!AW$4+1))</f>
        <v/>
      </c>
      <c r="AX68" t="str">
        <f ca="1">IF(OR($L68&gt;AX$4,AX$4&gt;$L68+23),"",OFFSET(Electric!$L59,0,-'Electric Calendarize'!$L68+'Electric Calendarize'!AX$4+1))</f>
        <v/>
      </c>
      <c r="AY68" t="str">
        <f ca="1">IF(OR($L68&gt;AY$4,AY$4&gt;$L68+23),"",OFFSET(Electric!$L59,0,-'Electric Calendarize'!$L68+'Electric Calendarize'!AY$4+1))</f>
        <v/>
      </c>
      <c r="AZ68" t="str">
        <f ca="1">IF(OR($L68&gt;AZ$4,AZ$4&gt;$L68+23),"",OFFSET(Electric!$L59,0,-'Electric Calendarize'!$L68+'Electric Calendarize'!AZ$4+1))</f>
        <v/>
      </c>
      <c r="BA68" t="str">
        <f ca="1">IF(OR($L68&gt;BA$4,BA$4&gt;$L68+23),"",OFFSET(Electric!$L59,0,-'Electric Calendarize'!$L68+'Electric Calendarize'!BA$4+1))</f>
        <v/>
      </c>
      <c r="BB68" t="str">
        <f ca="1">IF(OR($L68&gt;BB$4,BB$4&gt;$L68+23),"",OFFSET(Electric!$L59,0,-'Electric Calendarize'!$L68+'Electric Calendarize'!BB$4+1))</f>
        <v/>
      </c>
      <c r="BC68" t="str">
        <f ca="1">IF(OR($L68&gt;BC$4,BC$4&gt;$L68+23),"",OFFSET(Electric!$L59,0,-'Electric Calendarize'!$L68+'Electric Calendarize'!BC$4+1))</f>
        <v/>
      </c>
      <c r="BD68" t="str">
        <f ca="1">IF(OR($L68&gt;BD$4,BD$4&gt;$L68+23),"",OFFSET(Electric!$L59,0,-'Electric Calendarize'!$L68+'Electric Calendarize'!BD$4+1))</f>
        <v/>
      </c>
      <c r="BE68" t="str">
        <f ca="1">IF(OR($L68&gt;BE$4,BE$4&gt;$L68+23),"",OFFSET(Electric!$L59,0,-'Electric Calendarize'!$L68+'Electric Calendarize'!BE$4+1))</f>
        <v/>
      </c>
      <c r="BF68" t="str">
        <f ca="1">IF(OR($L68&gt;BF$4,BF$4&gt;$L68+23),"",OFFSET(Electric!$L59,0,-'Electric Calendarize'!$L68+'Electric Calendarize'!BF$4+1))</f>
        <v/>
      </c>
      <c r="BG68" t="str">
        <f ca="1">IF(OR($L68&gt;BG$4,BG$4&gt;$L68+23),"",OFFSET(Electric!$L59,0,-'Electric Calendarize'!$L68+'Electric Calendarize'!BG$4+1))</f>
        <v/>
      </c>
      <c r="BJ68" s="10" t="s">
        <v>37</v>
      </c>
      <c r="BK68">
        <f t="shared" si="195"/>
        <v>1</v>
      </c>
      <c r="BL68">
        <f t="shared" si="100"/>
        <v>0</v>
      </c>
      <c r="BM68">
        <f t="shared" si="101"/>
        <v>0</v>
      </c>
      <c r="BN68">
        <f t="shared" si="102"/>
        <v>0</v>
      </c>
      <c r="BO68">
        <f t="shared" si="103"/>
        <v>0</v>
      </c>
      <c r="BP68">
        <f t="shared" si="104"/>
        <v>0</v>
      </c>
      <c r="BQ68">
        <f t="shared" si="105"/>
        <v>0</v>
      </c>
      <c r="BR68">
        <f t="shared" si="106"/>
        <v>1</v>
      </c>
      <c r="BS68">
        <f t="shared" si="107"/>
        <v>1</v>
      </c>
      <c r="BT68">
        <f t="shared" si="108"/>
        <v>1</v>
      </c>
      <c r="BU68">
        <f t="shared" si="109"/>
        <v>1</v>
      </c>
      <c r="BV68">
        <f t="shared" si="110"/>
        <v>1</v>
      </c>
      <c r="BW68">
        <f t="shared" si="111"/>
        <v>1</v>
      </c>
      <c r="BX68">
        <f t="shared" si="112"/>
        <v>0</v>
      </c>
      <c r="BY68">
        <f t="shared" si="113"/>
        <v>0</v>
      </c>
      <c r="BZ68">
        <f t="shared" si="114"/>
        <v>0</v>
      </c>
      <c r="CA68">
        <f t="shared" si="115"/>
        <v>0</v>
      </c>
      <c r="CB68">
        <f t="shared" si="116"/>
        <v>0</v>
      </c>
      <c r="CC68">
        <f t="shared" si="117"/>
        <v>0</v>
      </c>
      <c r="CD68">
        <f t="shared" si="118"/>
        <v>1</v>
      </c>
      <c r="CE68">
        <f t="shared" si="119"/>
        <v>1</v>
      </c>
      <c r="CF68">
        <f t="shared" si="120"/>
        <v>1</v>
      </c>
      <c r="CG68">
        <f t="shared" si="121"/>
        <v>1</v>
      </c>
      <c r="CH68">
        <f t="shared" si="122"/>
        <v>1</v>
      </c>
      <c r="CI68">
        <f t="shared" si="123"/>
        <v>1</v>
      </c>
      <c r="CJ68">
        <f t="shared" si="124"/>
        <v>0</v>
      </c>
      <c r="CK68">
        <f t="shared" si="125"/>
        <v>0</v>
      </c>
      <c r="CL68">
        <f t="shared" si="126"/>
        <v>0</v>
      </c>
      <c r="CM68">
        <f t="shared" si="127"/>
        <v>0</v>
      </c>
      <c r="CN68">
        <f t="shared" si="128"/>
        <v>0</v>
      </c>
      <c r="CO68">
        <f t="shared" si="129"/>
        <v>0</v>
      </c>
      <c r="CP68">
        <f t="shared" si="130"/>
        <v>1</v>
      </c>
      <c r="CQ68">
        <f t="shared" si="131"/>
        <v>1</v>
      </c>
      <c r="CR68">
        <f t="shared" si="132"/>
        <v>1</v>
      </c>
      <c r="CS68">
        <f t="shared" si="133"/>
        <v>1</v>
      </c>
      <c r="CT68">
        <f t="shared" si="134"/>
        <v>1</v>
      </c>
      <c r="CU68">
        <f t="shared" si="135"/>
        <v>1</v>
      </c>
      <c r="CV68">
        <f t="shared" si="136"/>
        <v>0</v>
      </c>
      <c r="CW68">
        <f t="shared" si="137"/>
        <v>0</v>
      </c>
      <c r="CX68">
        <f t="shared" si="138"/>
        <v>0</v>
      </c>
      <c r="CY68">
        <f t="shared" si="139"/>
        <v>0</v>
      </c>
      <c r="CZ68">
        <f t="shared" si="140"/>
        <v>0</v>
      </c>
      <c r="DA68">
        <f t="shared" si="141"/>
        <v>0</v>
      </c>
      <c r="DB68">
        <f t="shared" si="142"/>
        <v>1</v>
      </c>
      <c r="DC68">
        <f t="shared" si="143"/>
        <v>1</v>
      </c>
      <c r="DF68" s="10" t="s">
        <v>37</v>
      </c>
      <c r="DG68" t="str">
        <f t="shared" si="207"/>
        <v>2021_11</v>
      </c>
      <c r="DH68" t="str">
        <f t="shared" si="207"/>
        <v>2021_11</v>
      </c>
      <c r="DI68" t="str">
        <f t="shared" si="207"/>
        <v>2021_11</v>
      </c>
      <c r="DJ68" t="str">
        <f t="shared" si="207"/>
        <v>2021_11</v>
      </c>
      <c r="DK68" t="str">
        <f t="shared" si="207"/>
        <v>2021_11</v>
      </c>
      <c r="DL68" t="str">
        <f t="shared" si="207"/>
        <v>2021_11</v>
      </c>
      <c r="DM68" t="str">
        <f t="shared" si="207"/>
        <v>2021_11</v>
      </c>
      <c r="DN68" t="str">
        <f t="shared" si="207"/>
        <v>2021_11</v>
      </c>
      <c r="DO68" t="str">
        <f t="shared" si="207"/>
        <v>2021_11</v>
      </c>
      <c r="DP68" t="str">
        <f t="shared" si="207"/>
        <v>2021_11</v>
      </c>
      <c r="DQ68" t="str">
        <f t="shared" si="207"/>
        <v>2021_11</v>
      </c>
      <c r="DR68" t="str">
        <f t="shared" si="207"/>
        <v>2021_11</v>
      </c>
      <c r="DS68" t="str">
        <f t="shared" si="207"/>
        <v>2021_11</v>
      </c>
      <c r="DT68" t="str">
        <f t="shared" si="207"/>
        <v>2021_11</v>
      </c>
      <c r="DU68" t="str">
        <f t="shared" si="207"/>
        <v>2021_11</v>
      </c>
      <c r="DV68" t="str">
        <f t="shared" si="207"/>
        <v>2021_11</v>
      </c>
      <c r="DW68" t="str">
        <f t="shared" si="206"/>
        <v>2021_11</v>
      </c>
      <c r="DX68" t="str">
        <f t="shared" si="206"/>
        <v>2021_11</v>
      </c>
      <c r="DY68" t="str">
        <f t="shared" si="206"/>
        <v>2021_11</v>
      </c>
      <c r="DZ68" t="str">
        <f t="shared" si="206"/>
        <v>2021_11</v>
      </c>
      <c r="EA68" t="str">
        <f t="shared" si="206"/>
        <v>2021_11</v>
      </c>
      <c r="EB68" t="str">
        <f t="shared" si="206"/>
        <v>2021_11</v>
      </c>
      <c r="EC68" t="str">
        <f t="shared" si="206"/>
        <v>2021_11</v>
      </c>
      <c r="ED68" t="str">
        <f t="shared" si="206"/>
        <v>2021_11</v>
      </c>
      <c r="EE68" t="str">
        <f t="shared" si="206"/>
        <v>2021_11</v>
      </c>
      <c r="EF68" t="str">
        <f t="shared" si="206"/>
        <v>2021_11</v>
      </c>
      <c r="EG68" t="str">
        <f t="shared" si="206"/>
        <v>2021_11</v>
      </c>
      <c r="EH68" t="str">
        <f t="shared" si="206"/>
        <v>2021_11</v>
      </c>
      <c r="EI68" t="str">
        <f t="shared" si="206"/>
        <v>2021_11</v>
      </c>
      <c r="EJ68" t="str">
        <f t="shared" si="206"/>
        <v>2021_11</v>
      </c>
      <c r="EK68" t="str">
        <f t="shared" si="206"/>
        <v>2021_11</v>
      </c>
      <c r="EL68" t="str">
        <f t="shared" si="205"/>
        <v>2021_11</v>
      </c>
      <c r="EM68" t="str">
        <f t="shared" si="205"/>
        <v>2021_11</v>
      </c>
      <c r="EN68" t="str">
        <f t="shared" si="205"/>
        <v>2021_11</v>
      </c>
      <c r="EO68" t="str">
        <f t="shared" si="205"/>
        <v>2021_11</v>
      </c>
      <c r="EP68" t="str">
        <f t="shared" si="205"/>
        <v>2021_11</v>
      </c>
      <c r="EQ68" t="str">
        <f t="shared" si="205"/>
        <v>2021_11</v>
      </c>
      <c r="ER68" t="str">
        <f t="shared" si="205"/>
        <v>2021_11</v>
      </c>
      <c r="ES68" t="str">
        <f t="shared" si="205"/>
        <v>2021_11</v>
      </c>
      <c r="ET68" t="str">
        <f t="shared" si="205"/>
        <v>2021_11</v>
      </c>
      <c r="EU68" t="str">
        <f t="shared" si="205"/>
        <v>2021_11</v>
      </c>
      <c r="EV68" t="str">
        <f t="shared" si="205"/>
        <v>2021_11</v>
      </c>
      <c r="EW68" t="str">
        <f t="shared" si="205"/>
        <v>2021_11</v>
      </c>
      <c r="EX68" t="str">
        <f t="shared" si="205"/>
        <v>2021_11</v>
      </c>
      <c r="EY68" t="str">
        <f t="shared" si="205"/>
        <v>2021_11</v>
      </c>
      <c r="FB68" s="10" t="s">
        <v>37</v>
      </c>
      <c r="FC68">
        <f t="shared" si="197"/>
        <v>0</v>
      </c>
      <c r="FD68">
        <f t="shared" si="147"/>
        <v>0</v>
      </c>
      <c r="FE68">
        <f t="shared" si="148"/>
        <v>0</v>
      </c>
      <c r="FF68">
        <f t="shared" si="149"/>
        <v>0</v>
      </c>
      <c r="FG68">
        <f t="shared" si="150"/>
        <v>0</v>
      </c>
      <c r="FH68">
        <f t="shared" si="151"/>
        <v>0</v>
      </c>
      <c r="FI68">
        <f t="shared" si="152"/>
        <v>0</v>
      </c>
      <c r="FJ68">
        <f t="shared" si="153"/>
        <v>0</v>
      </c>
      <c r="FK68">
        <f t="shared" si="154"/>
        <v>0</v>
      </c>
      <c r="FL68">
        <f t="shared" si="155"/>
        <v>0</v>
      </c>
      <c r="FM68">
        <f t="shared" si="156"/>
        <v>0</v>
      </c>
      <c r="FN68">
        <f t="shared" si="157"/>
        <v>0</v>
      </c>
      <c r="FO68">
        <f t="shared" si="158"/>
        <v>0</v>
      </c>
      <c r="FP68">
        <f t="shared" si="159"/>
        <v>0</v>
      </c>
      <c r="FQ68">
        <f t="shared" si="160"/>
        <v>0</v>
      </c>
      <c r="FR68">
        <f t="shared" si="161"/>
        <v>0</v>
      </c>
      <c r="FS68">
        <f t="shared" si="162"/>
        <v>0</v>
      </c>
      <c r="FT68">
        <f t="shared" si="163"/>
        <v>0</v>
      </c>
      <c r="FU68">
        <f t="shared" si="164"/>
        <v>0</v>
      </c>
      <c r="FV68">
        <f t="shared" si="165"/>
        <v>1</v>
      </c>
      <c r="FW68">
        <f t="shared" si="166"/>
        <v>1</v>
      </c>
      <c r="FX68">
        <f t="shared" si="167"/>
        <v>1</v>
      </c>
      <c r="FY68">
        <f t="shared" si="168"/>
        <v>1</v>
      </c>
      <c r="FZ68">
        <f t="shared" si="169"/>
        <v>1</v>
      </c>
      <c r="GA68">
        <f t="shared" si="170"/>
        <v>1</v>
      </c>
      <c r="GB68">
        <f t="shared" si="171"/>
        <v>1</v>
      </c>
      <c r="GC68">
        <f t="shared" si="172"/>
        <v>1</v>
      </c>
      <c r="GD68">
        <f t="shared" si="173"/>
        <v>1</v>
      </c>
      <c r="GE68">
        <f t="shared" si="174"/>
        <v>1</v>
      </c>
      <c r="GF68">
        <f t="shared" si="175"/>
        <v>1</v>
      </c>
      <c r="GG68">
        <f t="shared" si="176"/>
        <v>1</v>
      </c>
      <c r="GH68">
        <f t="shared" si="177"/>
        <v>1</v>
      </c>
      <c r="GI68">
        <f t="shared" si="178"/>
        <v>1</v>
      </c>
      <c r="GJ68">
        <f t="shared" si="179"/>
        <v>1</v>
      </c>
      <c r="GK68">
        <f t="shared" si="180"/>
        <v>1</v>
      </c>
      <c r="GL68">
        <f t="shared" si="181"/>
        <v>1</v>
      </c>
      <c r="GM68">
        <f t="shared" si="182"/>
        <v>1</v>
      </c>
      <c r="GN68">
        <f t="shared" si="183"/>
        <v>1</v>
      </c>
      <c r="GO68">
        <f t="shared" si="184"/>
        <v>1</v>
      </c>
      <c r="GP68">
        <f t="shared" si="185"/>
        <v>1</v>
      </c>
      <c r="GQ68">
        <f t="shared" si="186"/>
        <v>1</v>
      </c>
      <c r="GR68">
        <f t="shared" si="187"/>
        <v>1</v>
      </c>
      <c r="GS68">
        <f t="shared" si="188"/>
        <v>1</v>
      </c>
      <c r="GT68">
        <f t="shared" si="189"/>
        <v>1</v>
      </c>
      <c r="GU68">
        <f t="shared" si="190"/>
        <v>1</v>
      </c>
      <c r="GX68" s="10"/>
    </row>
    <row r="69" spans="1:206" x14ac:dyDescent="0.3">
      <c r="A69" s="9" t="s">
        <v>46</v>
      </c>
      <c r="B69" s="80"/>
      <c r="C69" s="9">
        <v>3130072002</v>
      </c>
      <c r="D69" s="9" t="s">
        <v>364</v>
      </c>
      <c r="E69" s="9" t="s">
        <v>39</v>
      </c>
      <c r="F69" s="9" t="s">
        <v>35</v>
      </c>
      <c r="G69" s="9" t="s">
        <v>99</v>
      </c>
      <c r="H69" s="10">
        <v>44523</v>
      </c>
      <c r="I69" s="9">
        <f t="shared" si="191"/>
        <v>2021</v>
      </c>
      <c r="J69" s="9">
        <f t="shared" si="192"/>
        <v>11</v>
      </c>
      <c r="K69" s="9" t="str">
        <f t="shared" si="193"/>
        <v>2021_11</v>
      </c>
      <c r="L69">
        <f>MAX(0,VLOOKUP($K69,lookups!$A$1:$B$45,2,0)-12)</f>
        <v>7</v>
      </c>
      <c r="M69" s="40">
        <f t="shared" si="194"/>
        <v>44501</v>
      </c>
      <c r="N69" s="10" t="s">
        <v>37</v>
      </c>
      <c r="O69" t="str">
        <f ca="1">IF(OR($L69&gt;O$4,O$4&gt;$L69+23),"",OFFSET(Electric!$L60,0,-'Electric Calendarize'!$L69+'Electric Calendarize'!O$4+1))</f>
        <v/>
      </c>
      <c r="P69" t="str">
        <f ca="1">IF(OR($L69&gt;P$4,P$4&gt;$L69+23),"",OFFSET(Electric!$L60,0,-'Electric Calendarize'!$L69+'Electric Calendarize'!P$4+1))</f>
        <v/>
      </c>
      <c r="Q69" t="str">
        <f ca="1">IF(OR($L69&gt;Q$4,Q$4&gt;$L69+23),"",OFFSET(Electric!$L60,0,-'Electric Calendarize'!$L69+'Electric Calendarize'!Q$4+1))</f>
        <v/>
      </c>
      <c r="R69" t="str">
        <f ca="1">IF(OR($L69&gt;R$4,R$4&gt;$L69+23),"",OFFSET(Electric!$L60,0,-'Electric Calendarize'!$L69+'Electric Calendarize'!R$4+1))</f>
        <v/>
      </c>
      <c r="S69" t="str">
        <f ca="1">IF(OR($L69&gt;S$4,S$4&gt;$L69+23),"",OFFSET(Electric!$L60,0,-'Electric Calendarize'!$L69+'Electric Calendarize'!S$4+1))</f>
        <v/>
      </c>
      <c r="T69" t="str">
        <f ca="1">IF(OR($L69&gt;T$4,T$4&gt;$L69+23),"",OFFSET(Electric!$L60,0,-'Electric Calendarize'!$L69+'Electric Calendarize'!T$4+1))</f>
        <v/>
      </c>
      <c r="U69" t="str">
        <f ca="1">IF(OR($L69&gt;U$4,U$4&gt;$L69+23),"",OFFSET(Electric!$L60,0,-'Electric Calendarize'!$L69+'Electric Calendarize'!U$4+1))</f>
        <v/>
      </c>
      <c r="V69">
        <f ca="1">IF(OR($L69&gt;V$4,V$4&gt;$L69+23),"",OFFSET(Electric!$L60,0,-'Electric Calendarize'!$L69+'Electric Calendarize'!V$4+1))</f>
        <v>483</v>
      </c>
      <c r="W69">
        <f ca="1">IF(OR($L69&gt;W$4,W$4&gt;$L69+23),"",OFFSET(Electric!$L60,0,-'Electric Calendarize'!$L69+'Electric Calendarize'!W$4+1))</f>
        <v>632</v>
      </c>
      <c r="X69">
        <f ca="1">IF(OR($L69&gt;X$4,X$4&gt;$L69+23),"",OFFSET(Electric!$L60,0,-'Electric Calendarize'!$L69+'Electric Calendarize'!X$4+1))</f>
        <v>686</v>
      </c>
      <c r="Y69">
        <f ca="1">IF(OR($L69&gt;Y$4,Y$4&gt;$L69+23),"",OFFSET(Electric!$L60,0,-'Electric Calendarize'!$L69+'Electric Calendarize'!Y$4+1))</f>
        <v>718</v>
      </c>
      <c r="Z69">
        <f ca="1">IF(OR($L69&gt;Z$4,Z$4&gt;$L69+23),"",OFFSET(Electric!$L60,0,-'Electric Calendarize'!$L69+'Electric Calendarize'!Z$4+1))</f>
        <v>634</v>
      </c>
      <c r="AA69">
        <f ca="1">IF(OR($L69&gt;AA$4,AA$4&gt;$L69+23),"",OFFSET(Electric!$L60,0,-'Electric Calendarize'!$L69+'Electric Calendarize'!AA$4+1))</f>
        <v>419</v>
      </c>
      <c r="AB69">
        <f ca="1">IF(OR($L69&gt;AB$4,AB$4&gt;$L69+23),"",OFFSET(Electric!$L60,0,-'Electric Calendarize'!$L69+'Electric Calendarize'!AB$4+1))</f>
        <v>422</v>
      </c>
      <c r="AC69">
        <f ca="1">IF(OR($L69&gt;AC$4,AC$4&gt;$L69+23),"",OFFSET(Electric!$L60,0,-'Electric Calendarize'!$L69+'Electric Calendarize'!AC$4+1))</f>
        <v>542</v>
      </c>
      <c r="AD69">
        <f ca="1">IF(OR($L69&gt;AD$4,AD$4&gt;$L69+23),"",OFFSET(Electric!$L60,0,-'Electric Calendarize'!$L69+'Electric Calendarize'!AD$4+1))</f>
        <v>1085</v>
      </c>
      <c r="AE69">
        <f ca="1">IF(OR($L69&gt;AE$4,AE$4&gt;$L69+23),"",OFFSET(Electric!$L60,0,-'Electric Calendarize'!$L69+'Electric Calendarize'!AE$4+1))</f>
        <v>873</v>
      </c>
      <c r="AF69">
        <f ca="1">IF(OR($L69&gt;AF$4,AF$4&gt;$L69+23),"",OFFSET(Electric!$L60,0,-'Electric Calendarize'!$L69+'Electric Calendarize'!AF$4+1))</f>
        <v>703</v>
      </c>
      <c r="AG69">
        <f ca="1">IF(OR($L69&gt;AG$4,AG$4&gt;$L69+23),"",OFFSET(Electric!$L60,0,-'Electric Calendarize'!$L69+'Electric Calendarize'!AG$4+1))</f>
        <v>413</v>
      </c>
      <c r="AH69">
        <f ca="1">IF(OR($L69&gt;AH$4,AH$4&gt;$L69+23),"",OFFSET(Electric!$L60,0,-'Electric Calendarize'!$L69+'Electric Calendarize'!AH$4+1))</f>
        <v>468</v>
      </c>
      <c r="AI69">
        <f ca="1">IF(OR($L69&gt;AI$4,AI$4&gt;$L69+23),"",OFFSET(Electric!$L60,0,-'Electric Calendarize'!$L69+'Electric Calendarize'!AI$4+1))</f>
        <v>1783</v>
      </c>
      <c r="AJ69">
        <f ca="1">IF(OR($L69&gt;AJ$4,AJ$4&gt;$L69+23),"",OFFSET(Electric!$L60,0,-'Electric Calendarize'!$L69+'Electric Calendarize'!AJ$4+1))</f>
        <v>1597</v>
      </c>
      <c r="AK69">
        <f ca="1">IF(OR($L69&gt;AK$4,AK$4&gt;$L69+23),"",OFFSET(Electric!$L60,0,-'Electric Calendarize'!$L69+'Electric Calendarize'!AK$4+1))</f>
        <v>639</v>
      </c>
      <c r="AL69">
        <f ca="1">IF(OR($L69&gt;AL$4,AL$4&gt;$L69+23),"",OFFSET(Electric!$L60,0,-'Electric Calendarize'!$L69+'Electric Calendarize'!AL$4+1))</f>
        <v>450</v>
      </c>
      <c r="AM69">
        <f ca="1">IF(OR($L69&gt;AM$4,AM$4&gt;$L69+23),"",OFFSET(Electric!$L60,0,-'Electric Calendarize'!$L69+'Electric Calendarize'!AM$4+1))</f>
        <v>377</v>
      </c>
      <c r="AN69">
        <f ca="1">IF(OR($L69&gt;AN$4,AN$4&gt;$L69+23),"",OFFSET(Electric!$L60,0,-'Electric Calendarize'!$L69+'Electric Calendarize'!AN$4+1))</f>
        <v>641</v>
      </c>
      <c r="AO69">
        <f ca="1">IF(OR($L69&gt;AO$4,AO$4&gt;$L69+23),"",OFFSET(Electric!$L60,0,-'Electric Calendarize'!$L69+'Electric Calendarize'!AO$4+1))</f>
        <v>659</v>
      </c>
      <c r="AP69">
        <f ca="1">IF(OR($L69&gt;AP$4,AP$4&gt;$L69+23),"",OFFSET(Electric!$L60,0,-'Electric Calendarize'!$L69+'Electric Calendarize'!AP$4+1))</f>
        <v>996</v>
      </c>
      <c r="AQ69">
        <f ca="1">IF(OR($L69&gt;AQ$4,AQ$4&gt;$L69+23),"",OFFSET(Electric!$L60,0,-'Electric Calendarize'!$L69+'Electric Calendarize'!AQ$4+1))</f>
        <v>1114</v>
      </c>
      <c r="AR69">
        <f ca="1">IF(OR($L69&gt;AR$4,AR$4&gt;$L69+23),"",OFFSET(Electric!$L60,0,-'Electric Calendarize'!$L69+'Electric Calendarize'!AR$4+1))</f>
        <v>786</v>
      </c>
      <c r="AS69">
        <f ca="1">IF(OR($L69&gt;AS$4,AS$4&gt;$L69+23),"",OFFSET(Electric!$L60,0,-'Electric Calendarize'!$L69+'Electric Calendarize'!AS$4+1))</f>
        <v>453</v>
      </c>
      <c r="AT69" t="str">
        <f ca="1">IF(OR($L69&gt;AT$4,AT$4&gt;$L69+23),"",OFFSET(Electric!$L60,0,-'Electric Calendarize'!$L69+'Electric Calendarize'!AT$4+1))</f>
        <v/>
      </c>
      <c r="AU69" t="str">
        <f ca="1">IF(OR($L69&gt;AU$4,AU$4&gt;$L69+23),"",OFFSET(Electric!$L60,0,-'Electric Calendarize'!$L69+'Electric Calendarize'!AU$4+1))</f>
        <v/>
      </c>
      <c r="AV69" t="str">
        <f ca="1">IF(OR($L69&gt;AV$4,AV$4&gt;$L69+23),"",OFFSET(Electric!$L60,0,-'Electric Calendarize'!$L69+'Electric Calendarize'!AV$4+1))</f>
        <v/>
      </c>
      <c r="AW69" t="str">
        <f ca="1">IF(OR($L69&gt;AW$4,AW$4&gt;$L69+23),"",OFFSET(Electric!$L60,0,-'Electric Calendarize'!$L69+'Electric Calendarize'!AW$4+1))</f>
        <v/>
      </c>
      <c r="AX69" t="str">
        <f ca="1">IF(OR($L69&gt;AX$4,AX$4&gt;$L69+23),"",OFFSET(Electric!$L60,0,-'Electric Calendarize'!$L69+'Electric Calendarize'!AX$4+1))</f>
        <v/>
      </c>
      <c r="AY69" t="str">
        <f ca="1">IF(OR($L69&gt;AY$4,AY$4&gt;$L69+23),"",OFFSET(Electric!$L60,0,-'Electric Calendarize'!$L69+'Electric Calendarize'!AY$4+1))</f>
        <v/>
      </c>
      <c r="AZ69" t="str">
        <f ca="1">IF(OR($L69&gt;AZ$4,AZ$4&gt;$L69+23),"",OFFSET(Electric!$L60,0,-'Electric Calendarize'!$L69+'Electric Calendarize'!AZ$4+1))</f>
        <v/>
      </c>
      <c r="BA69" t="str">
        <f ca="1">IF(OR($L69&gt;BA$4,BA$4&gt;$L69+23),"",OFFSET(Electric!$L60,0,-'Electric Calendarize'!$L69+'Electric Calendarize'!BA$4+1))</f>
        <v/>
      </c>
      <c r="BB69" t="str">
        <f ca="1">IF(OR($L69&gt;BB$4,BB$4&gt;$L69+23),"",OFFSET(Electric!$L60,0,-'Electric Calendarize'!$L69+'Electric Calendarize'!BB$4+1))</f>
        <v/>
      </c>
      <c r="BC69" t="str">
        <f ca="1">IF(OR($L69&gt;BC$4,BC$4&gt;$L69+23),"",OFFSET(Electric!$L60,0,-'Electric Calendarize'!$L69+'Electric Calendarize'!BC$4+1))</f>
        <v/>
      </c>
      <c r="BD69" t="str">
        <f ca="1">IF(OR($L69&gt;BD$4,BD$4&gt;$L69+23),"",OFFSET(Electric!$L60,0,-'Electric Calendarize'!$L69+'Electric Calendarize'!BD$4+1))</f>
        <v/>
      </c>
      <c r="BE69" t="str">
        <f ca="1">IF(OR($L69&gt;BE$4,BE$4&gt;$L69+23),"",OFFSET(Electric!$L60,0,-'Electric Calendarize'!$L69+'Electric Calendarize'!BE$4+1))</f>
        <v/>
      </c>
      <c r="BF69" t="str">
        <f ca="1">IF(OR($L69&gt;BF$4,BF$4&gt;$L69+23),"",OFFSET(Electric!$L60,0,-'Electric Calendarize'!$L69+'Electric Calendarize'!BF$4+1))</f>
        <v/>
      </c>
      <c r="BG69" t="str">
        <f ca="1">IF(OR($L69&gt;BG$4,BG$4&gt;$L69+23),"",OFFSET(Electric!$L60,0,-'Electric Calendarize'!$L69+'Electric Calendarize'!BG$4+1))</f>
        <v/>
      </c>
      <c r="BJ69" s="10" t="s">
        <v>37</v>
      </c>
      <c r="BK69">
        <f t="shared" si="195"/>
        <v>1</v>
      </c>
      <c r="BL69">
        <f t="shared" si="100"/>
        <v>0</v>
      </c>
      <c r="BM69">
        <f t="shared" si="101"/>
        <v>0</v>
      </c>
      <c r="BN69">
        <f t="shared" si="102"/>
        <v>0</v>
      </c>
      <c r="BO69">
        <f t="shared" si="103"/>
        <v>0</v>
      </c>
      <c r="BP69">
        <f t="shared" si="104"/>
        <v>0</v>
      </c>
      <c r="BQ69">
        <f t="shared" si="105"/>
        <v>0</v>
      </c>
      <c r="BR69">
        <f t="shared" si="106"/>
        <v>1</v>
      </c>
      <c r="BS69">
        <f t="shared" si="107"/>
        <v>1</v>
      </c>
      <c r="BT69">
        <f t="shared" si="108"/>
        <v>1</v>
      </c>
      <c r="BU69">
        <f t="shared" si="109"/>
        <v>1</v>
      </c>
      <c r="BV69">
        <f t="shared" si="110"/>
        <v>1</v>
      </c>
      <c r="BW69">
        <f t="shared" si="111"/>
        <v>1</v>
      </c>
      <c r="BX69">
        <f t="shared" si="112"/>
        <v>0</v>
      </c>
      <c r="BY69">
        <f t="shared" si="113"/>
        <v>0</v>
      </c>
      <c r="BZ69">
        <f t="shared" si="114"/>
        <v>0</v>
      </c>
      <c r="CA69">
        <f t="shared" si="115"/>
        <v>0</v>
      </c>
      <c r="CB69">
        <f t="shared" si="116"/>
        <v>0</v>
      </c>
      <c r="CC69">
        <f t="shared" si="117"/>
        <v>0</v>
      </c>
      <c r="CD69">
        <f t="shared" si="118"/>
        <v>1</v>
      </c>
      <c r="CE69">
        <f t="shared" si="119"/>
        <v>1</v>
      </c>
      <c r="CF69">
        <f t="shared" si="120"/>
        <v>1</v>
      </c>
      <c r="CG69">
        <f t="shared" si="121"/>
        <v>1</v>
      </c>
      <c r="CH69">
        <f t="shared" si="122"/>
        <v>1</v>
      </c>
      <c r="CI69">
        <f t="shared" si="123"/>
        <v>1</v>
      </c>
      <c r="CJ69">
        <f t="shared" si="124"/>
        <v>0</v>
      </c>
      <c r="CK69">
        <f t="shared" si="125"/>
        <v>0</v>
      </c>
      <c r="CL69">
        <f t="shared" si="126"/>
        <v>0</v>
      </c>
      <c r="CM69">
        <f t="shared" si="127"/>
        <v>0</v>
      </c>
      <c r="CN69">
        <f t="shared" si="128"/>
        <v>0</v>
      </c>
      <c r="CO69">
        <f t="shared" si="129"/>
        <v>0</v>
      </c>
      <c r="CP69">
        <f t="shared" si="130"/>
        <v>1</v>
      </c>
      <c r="CQ69">
        <f t="shared" si="131"/>
        <v>1</v>
      </c>
      <c r="CR69">
        <f t="shared" si="132"/>
        <v>1</v>
      </c>
      <c r="CS69">
        <f t="shared" si="133"/>
        <v>1</v>
      </c>
      <c r="CT69">
        <f t="shared" si="134"/>
        <v>1</v>
      </c>
      <c r="CU69">
        <f t="shared" si="135"/>
        <v>1</v>
      </c>
      <c r="CV69">
        <f t="shared" si="136"/>
        <v>0</v>
      </c>
      <c r="CW69">
        <f t="shared" si="137"/>
        <v>0</v>
      </c>
      <c r="CX69">
        <f t="shared" si="138"/>
        <v>0</v>
      </c>
      <c r="CY69">
        <f t="shared" si="139"/>
        <v>0</v>
      </c>
      <c r="CZ69">
        <f t="shared" si="140"/>
        <v>0</v>
      </c>
      <c r="DA69">
        <f t="shared" si="141"/>
        <v>0</v>
      </c>
      <c r="DB69">
        <f t="shared" si="142"/>
        <v>1</v>
      </c>
      <c r="DC69">
        <f t="shared" si="143"/>
        <v>1</v>
      </c>
      <c r="DF69" s="10" t="s">
        <v>37</v>
      </c>
      <c r="DG69" t="str">
        <f t="shared" si="207"/>
        <v>2021_11</v>
      </c>
      <c r="DH69" t="str">
        <f t="shared" si="207"/>
        <v>2021_11</v>
      </c>
      <c r="DI69" t="str">
        <f t="shared" si="207"/>
        <v>2021_11</v>
      </c>
      <c r="DJ69" t="str">
        <f t="shared" si="207"/>
        <v>2021_11</v>
      </c>
      <c r="DK69" t="str">
        <f t="shared" si="207"/>
        <v>2021_11</v>
      </c>
      <c r="DL69" t="str">
        <f t="shared" si="207"/>
        <v>2021_11</v>
      </c>
      <c r="DM69" t="str">
        <f t="shared" si="207"/>
        <v>2021_11</v>
      </c>
      <c r="DN69" t="str">
        <f t="shared" si="207"/>
        <v>2021_11</v>
      </c>
      <c r="DO69" t="str">
        <f t="shared" si="207"/>
        <v>2021_11</v>
      </c>
      <c r="DP69" t="str">
        <f t="shared" si="207"/>
        <v>2021_11</v>
      </c>
      <c r="DQ69" t="str">
        <f t="shared" si="207"/>
        <v>2021_11</v>
      </c>
      <c r="DR69" t="str">
        <f t="shared" si="207"/>
        <v>2021_11</v>
      </c>
      <c r="DS69" t="str">
        <f t="shared" si="207"/>
        <v>2021_11</v>
      </c>
      <c r="DT69" t="str">
        <f t="shared" si="207"/>
        <v>2021_11</v>
      </c>
      <c r="DU69" t="str">
        <f t="shared" si="207"/>
        <v>2021_11</v>
      </c>
      <c r="DV69" t="str">
        <f t="shared" si="207"/>
        <v>2021_11</v>
      </c>
      <c r="DW69" t="str">
        <f t="shared" si="206"/>
        <v>2021_11</v>
      </c>
      <c r="DX69" t="str">
        <f t="shared" si="206"/>
        <v>2021_11</v>
      </c>
      <c r="DY69" t="str">
        <f t="shared" si="206"/>
        <v>2021_11</v>
      </c>
      <c r="DZ69" t="str">
        <f t="shared" si="206"/>
        <v>2021_11</v>
      </c>
      <c r="EA69" t="str">
        <f t="shared" si="206"/>
        <v>2021_11</v>
      </c>
      <c r="EB69" t="str">
        <f t="shared" si="206"/>
        <v>2021_11</v>
      </c>
      <c r="EC69" t="str">
        <f t="shared" si="206"/>
        <v>2021_11</v>
      </c>
      <c r="ED69" t="str">
        <f t="shared" si="206"/>
        <v>2021_11</v>
      </c>
      <c r="EE69" t="str">
        <f t="shared" si="206"/>
        <v>2021_11</v>
      </c>
      <c r="EF69" t="str">
        <f t="shared" si="206"/>
        <v>2021_11</v>
      </c>
      <c r="EG69" t="str">
        <f t="shared" si="206"/>
        <v>2021_11</v>
      </c>
      <c r="EH69" t="str">
        <f t="shared" si="206"/>
        <v>2021_11</v>
      </c>
      <c r="EI69" t="str">
        <f t="shared" si="206"/>
        <v>2021_11</v>
      </c>
      <c r="EJ69" t="str">
        <f t="shared" si="206"/>
        <v>2021_11</v>
      </c>
      <c r="EK69" t="str">
        <f t="shared" si="206"/>
        <v>2021_11</v>
      </c>
      <c r="EL69" t="str">
        <f t="shared" si="205"/>
        <v>2021_11</v>
      </c>
      <c r="EM69" t="str">
        <f t="shared" si="205"/>
        <v>2021_11</v>
      </c>
      <c r="EN69" t="str">
        <f t="shared" si="205"/>
        <v>2021_11</v>
      </c>
      <c r="EO69" t="str">
        <f t="shared" si="205"/>
        <v>2021_11</v>
      </c>
      <c r="EP69" t="str">
        <f t="shared" si="205"/>
        <v>2021_11</v>
      </c>
      <c r="EQ69" t="str">
        <f t="shared" si="205"/>
        <v>2021_11</v>
      </c>
      <c r="ER69" t="str">
        <f t="shared" si="205"/>
        <v>2021_11</v>
      </c>
      <c r="ES69" t="str">
        <f t="shared" si="205"/>
        <v>2021_11</v>
      </c>
      <c r="ET69" t="str">
        <f t="shared" si="205"/>
        <v>2021_11</v>
      </c>
      <c r="EU69" t="str">
        <f t="shared" si="205"/>
        <v>2021_11</v>
      </c>
      <c r="EV69" t="str">
        <f t="shared" si="205"/>
        <v>2021_11</v>
      </c>
      <c r="EW69" t="str">
        <f t="shared" si="205"/>
        <v>2021_11</v>
      </c>
      <c r="EX69" t="str">
        <f t="shared" si="205"/>
        <v>2021_11</v>
      </c>
      <c r="EY69" t="str">
        <f t="shared" si="205"/>
        <v>2021_11</v>
      </c>
      <c r="FB69" s="10" t="s">
        <v>37</v>
      </c>
      <c r="FC69">
        <f t="shared" si="197"/>
        <v>0</v>
      </c>
      <c r="FD69">
        <f t="shared" si="147"/>
        <v>0</v>
      </c>
      <c r="FE69">
        <f t="shared" si="148"/>
        <v>0</v>
      </c>
      <c r="FF69">
        <f t="shared" si="149"/>
        <v>0</v>
      </c>
      <c r="FG69">
        <f t="shared" si="150"/>
        <v>0</v>
      </c>
      <c r="FH69">
        <f t="shared" si="151"/>
        <v>0</v>
      </c>
      <c r="FI69">
        <f t="shared" si="152"/>
        <v>0</v>
      </c>
      <c r="FJ69">
        <f t="shared" si="153"/>
        <v>0</v>
      </c>
      <c r="FK69">
        <f t="shared" si="154"/>
        <v>0</v>
      </c>
      <c r="FL69">
        <f t="shared" si="155"/>
        <v>0</v>
      </c>
      <c r="FM69">
        <f t="shared" si="156"/>
        <v>0</v>
      </c>
      <c r="FN69">
        <f t="shared" si="157"/>
        <v>0</v>
      </c>
      <c r="FO69">
        <f t="shared" si="158"/>
        <v>0</v>
      </c>
      <c r="FP69">
        <f t="shared" si="159"/>
        <v>0</v>
      </c>
      <c r="FQ69">
        <f t="shared" si="160"/>
        <v>0</v>
      </c>
      <c r="FR69">
        <f t="shared" si="161"/>
        <v>0</v>
      </c>
      <c r="FS69">
        <f t="shared" si="162"/>
        <v>0</v>
      </c>
      <c r="FT69">
        <f t="shared" si="163"/>
        <v>0</v>
      </c>
      <c r="FU69">
        <f t="shared" si="164"/>
        <v>0</v>
      </c>
      <c r="FV69">
        <f t="shared" si="165"/>
        <v>1</v>
      </c>
      <c r="FW69">
        <f t="shared" si="166"/>
        <v>1</v>
      </c>
      <c r="FX69">
        <f t="shared" si="167"/>
        <v>1</v>
      </c>
      <c r="FY69">
        <f t="shared" si="168"/>
        <v>1</v>
      </c>
      <c r="FZ69">
        <f t="shared" si="169"/>
        <v>1</v>
      </c>
      <c r="GA69">
        <f t="shared" si="170"/>
        <v>1</v>
      </c>
      <c r="GB69">
        <f t="shared" si="171"/>
        <v>1</v>
      </c>
      <c r="GC69">
        <f t="shared" si="172"/>
        <v>1</v>
      </c>
      <c r="GD69">
        <f t="shared" si="173"/>
        <v>1</v>
      </c>
      <c r="GE69">
        <f t="shared" si="174"/>
        <v>1</v>
      </c>
      <c r="GF69">
        <f t="shared" si="175"/>
        <v>1</v>
      </c>
      <c r="GG69">
        <f t="shared" si="176"/>
        <v>1</v>
      </c>
      <c r="GH69">
        <f t="shared" si="177"/>
        <v>1</v>
      </c>
      <c r="GI69">
        <f t="shared" si="178"/>
        <v>1</v>
      </c>
      <c r="GJ69">
        <f t="shared" si="179"/>
        <v>1</v>
      </c>
      <c r="GK69">
        <f t="shared" si="180"/>
        <v>1</v>
      </c>
      <c r="GL69">
        <f t="shared" si="181"/>
        <v>1</v>
      </c>
      <c r="GM69">
        <f t="shared" si="182"/>
        <v>1</v>
      </c>
      <c r="GN69">
        <f t="shared" si="183"/>
        <v>1</v>
      </c>
      <c r="GO69">
        <f t="shared" si="184"/>
        <v>1</v>
      </c>
      <c r="GP69">
        <f t="shared" si="185"/>
        <v>1</v>
      </c>
      <c r="GQ69">
        <f t="shared" si="186"/>
        <v>1</v>
      </c>
      <c r="GR69">
        <f t="shared" si="187"/>
        <v>1</v>
      </c>
      <c r="GS69">
        <f t="shared" si="188"/>
        <v>1</v>
      </c>
      <c r="GT69">
        <f t="shared" si="189"/>
        <v>1</v>
      </c>
      <c r="GU69">
        <f t="shared" si="190"/>
        <v>1</v>
      </c>
      <c r="GX69" s="10"/>
    </row>
    <row r="70" spans="1:206" x14ac:dyDescent="0.3">
      <c r="A70" s="9" t="s">
        <v>55</v>
      </c>
      <c r="B70" s="80"/>
      <c r="C70" s="9">
        <v>3160797000</v>
      </c>
      <c r="D70" s="9" t="s">
        <v>399</v>
      </c>
      <c r="E70" s="9" t="s">
        <v>100</v>
      </c>
      <c r="F70" s="9" t="s">
        <v>35</v>
      </c>
      <c r="G70" s="9" t="s">
        <v>101</v>
      </c>
      <c r="H70" s="10">
        <v>44523</v>
      </c>
      <c r="I70" s="9">
        <f t="shared" si="191"/>
        <v>2021</v>
      </c>
      <c r="J70" s="9">
        <f t="shared" si="192"/>
        <v>11</v>
      </c>
      <c r="K70" s="9" t="str">
        <f t="shared" si="193"/>
        <v>2021_11</v>
      </c>
      <c r="L70">
        <f>MAX(0,VLOOKUP($K70,lookups!$A$1:$B$45,2,0)-12)</f>
        <v>7</v>
      </c>
      <c r="M70" s="40">
        <f t="shared" si="194"/>
        <v>44501</v>
      </c>
      <c r="N70" s="10" t="s">
        <v>37</v>
      </c>
      <c r="O70" t="str">
        <f ca="1">IF(OR($L70&gt;O$4,O$4&gt;$L70+23),"",OFFSET(Electric!$L61,0,-'Electric Calendarize'!$L70+'Electric Calendarize'!O$4+1))</f>
        <v/>
      </c>
      <c r="P70" t="str">
        <f ca="1">IF(OR($L70&gt;P$4,P$4&gt;$L70+23),"",OFFSET(Electric!$L61,0,-'Electric Calendarize'!$L70+'Electric Calendarize'!P$4+1))</f>
        <v/>
      </c>
      <c r="Q70" t="str">
        <f ca="1">IF(OR($L70&gt;Q$4,Q$4&gt;$L70+23),"",OFFSET(Electric!$L61,0,-'Electric Calendarize'!$L70+'Electric Calendarize'!Q$4+1))</f>
        <v/>
      </c>
      <c r="R70" t="str">
        <f ca="1">IF(OR($L70&gt;R$4,R$4&gt;$L70+23),"",OFFSET(Electric!$L61,0,-'Electric Calendarize'!$L70+'Electric Calendarize'!R$4+1))</f>
        <v/>
      </c>
      <c r="S70" t="str">
        <f ca="1">IF(OR($L70&gt;S$4,S$4&gt;$L70+23),"",OFFSET(Electric!$L61,0,-'Electric Calendarize'!$L70+'Electric Calendarize'!S$4+1))</f>
        <v/>
      </c>
      <c r="T70" t="str">
        <f ca="1">IF(OR($L70&gt;T$4,T$4&gt;$L70+23),"",OFFSET(Electric!$L61,0,-'Electric Calendarize'!$L70+'Electric Calendarize'!T$4+1))</f>
        <v/>
      </c>
      <c r="U70" t="str">
        <f ca="1">IF(OR($L70&gt;U$4,U$4&gt;$L70+23),"",OFFSET(Electric!$L61,0,-'Electric Calendarize'!$L70+'Electric Calendarize'!U$4+1))</f>
        <v/>
      </c>
      <c r="V70">
        <f ca="1">IF(OR($L70&gt;V$4,V$4&gt;$L70+23),"",OFFSET(Electric!$L61,0,-'Electric Calendarize'!$L70+'Electric Calendarize'!V$4+1))</f>
        <v>675</v>
      </c>
      <c r="W70">
        <f ca="1">IF(OR($L70&gt;W$4,W$4&gt;$L70+23),"",OFFSET(Electric!$L61,0,-'Electric Calendarize'!$L70+'Electric Calendarize'!W$4+1))</f>
        <v>1442</v>
      </c>
      <c r="X70">
        <f ca="1">IF(OR($L70&gt;X$4,X$4&gt;$L70+23),"",OFFSET(Electric!$L61,0,-'Electric Calendarize'!$L70+'Electric Calendarize'!X$4+1))</f>
        <v>699</v>
      </c>
      <c r="Y70">
        <f ca="1">IF(OR($L70&gt;Y$4,Y$4&gt;$L70+23),"",OFFSET(Electric!$L61,0,-'Electric Calendarize'!$L70+'Electric Calendarize'!Y$4+1))</f>
        <v>613</v>
      </c>
      <c r="Z70">
        <f ca="1">IF(OR($L70&gt;Z$4,Z$4&gt;$L70+23),"",OFFSET(Electric!$L61,0,-'Electric Calendarize'!$L70+'Electric Calendarize'!Z$4+1))</f>
        <v>747</v>
      </c>
      <c r="AA70">
        <f ca="1">IF(OR($L70&gt;AA$4,AA$4&gt;$L70+23),"",OFFSET(Electric!$L61,0,-'Electric Calendarize'!$L70+'Electric Calendarize'!AA$4+1))</f>
        <v>552</v>
      </c>
      <c r="AB70">
        <f ca="1">IF(OR($L70&gt;AB$4,AB$4&gt;$L70+23),"",OFFSET(Electric!$L61,0,-'Electric Calendarize'!$L70+'Electric Calendarize'!AB$4+1))</f>
        <v>1153</v>
      </c>
      <c r="AC70">
        <f ca="1">IF(OR($L70&gt;AC$4,AC$4&gt;$L70+23),"",OFFSET(Electric!$L61,0,-'Electric Calendarize'!$L70+'Electric Calendarize'!AC$4+1))</f>
        <v>1882</v>
      </c>
      <c r="AD70">
        <f ca="1">IF(OR($L70&gt;AD$4,AD$4&gt;$L70+23),"",OFFSET(Electric!$L61,0,-'Electric Calendarize'!$L70+'Electric Calendarize'!AD$4+1))</f>
        <v>2009</v>
      </c>
      <c r="AE70">
        <f ca="1">IF(OR($L70&gt;AE$4,AE$4&gt;$L70+23),"",OFFSET(Electric!$L61,0,-'Electric Calendarize'!$L70+'Electric Calendarize'!AE$4+1))</f>
        <v>2034</v>
      </c>
      <c r="AF70">
        <f ca="1">IF(OR($L70&gt;AF$4,AF$4&gt;$L70+23),"",OFFSET(Electric!$L61,0,-'Electric Calendarize'!$L70+'Electric Calendarize'!AF$4+1))</f>
        <v>173</v>
      </c>
      <c r="AG70">
        <f ca="1">IF(OR($L70&gt;AG$4,AG$4&gt;$L70+23),"",OFFSET(Electric!$L61,0,-'Electric Calendarize'!$L70+'Electric Calendarize'!AG$4+1))</f>
        <v>1167</v>
      </c>
      <c r="AH70">
        <f ca="1">IF(OR($L70&gt;AH$4,AH$4&gt;$L70+23),"",OFFSET(Electric!$L61,0,-'Electric Calendarize'!$L70+'Electric Calendarize'!AH$4+1))</f>
        <v>1482</v>
      </c>
      <c r="AI70">
        <f ca="1">IF(OR($L70&gt;AI$4,AI$4&gt;$L70+23),"",OFFSET(Electric!$L61,0,-'Electric Calendarize'!$L70+'Electric Calendarize'!AI$4+1))</f>
        <v>866</v>
      </c>
      <c r="AJ70">
        <f ca="1">IF(OR($L70&gt;AJ$4,AJ$4&gt;$L70+23),"",OFFSET(Electric!$L61,0,-'Electric Calendarize'!$L70+'Electric Calendarize'!AJ$4+1))</f>
        <v>4167</v>
      </c>
      <c r="AK70">
        <f ca="1">IF(OR($L70&gt;AK$4,AK$4&gt;$L70+23),"",OFFSET(Electric!$L61,0,-'Electric Calendarize'!$L70+'Electric Calendarize'!AK$4+1))</f>
        <v>1494</v>
      </c>
      <c r="AL70">
        <f ca="1">IF(OR($L70&gt;AL$4,AL$4&gt;$L70+23),"",OFFSET(Electric!$L61,0,-'Electric Calendarize'!$L70+'Electric Calendarize'!AL$4+1))</f>
        <v>895</v>
      </c>
      <c r="AM70">
        <f ca="1">IF(OR($L70&gt;AM$4,AM$4&gt;$L70+23),"",OFFSET(Electric!$L61,0,-'Electric Calendarize'!$L70+'Electric Calendarize'!AM$4+1))</f>
        <v>703</v>
      </c>
      <c r="AN70">
        <f ca="1">IF(OR($L70&gt;AN$4,AN$4&gt;$L70+23),"",OFFSET(Electric!$L61,0,-'Electric Calendarize'!$L70+'Electric Calendarize'!AN$4+1))</f>
        <v>1065</v>
      </c>
      <c r="AO70">
        <f ca="1">IF(OR($L70&gt;AO$4,AO$4&gt;$L70+23),"",OFFSET(Electric!$L61,0,-'Electric Calendarize'!$L70+'Electric Calendarize'!AO$4+1))</f>
        <v>1237</v>
      </c>
      <c r="AP70">
        <f ca="1">IF(OR($L70&gt;AP$4,AP$4&gt;$L70+23),"",OFFSET(Electric!$L61,0,-'Electric Calendarize'!$L70+'Electric Calendarize'!AP$4+1))</f>
        <v>1419</v>
      </c>
      <c r="AQ70">
        <f ca="1">IF(OR($L70&gt;AQ$4,AQ$4&gt;$L70+23),"",OFFSET(Electric!$L61,0,-'Electric Calendarize'!$L70+'Electric Calendarize'!AQ$4+1))</f>
        <v>1745</v>
      </c>
      <c r="AR70">
        <f ca="1">IF(OR($L70&gt;AR$4,AR$4&gt;$L70+23),"",OFFSET(Electric!$L61,0,-'Electric Calendarize'!$L70+'Electric Calendarize'!AR$4+1))</f>
        <v>1219</v>
      </c>
      <c r="AS70">
        <f ca="1">IF(OR($L70&gt;AS$4,AS$4&gt;$L70+23),"",OFFSET(Electric!$L61,0,-'Electric Calendarize'!$L70+'Electric Calendarize'!AS$4+1))</f>
        <v>732</v>
      </c>
      <c r="AT70" t="str">
        <f ca="1">IF(OR($L70&gt;AT$4,AT$4&gt;$L70+23),"",OFFSET(Electric!$L61,0,-'Electric Calendarize'!$L70+'Electric Calendarize'!AT$4+1))</f>
        <v/>
      </c>
      <c r="AU70" t="str">
        <f ca="1">IF(OR($L70&gt;AU$4,AU$4&gt;$L70+23),"",OFFSET(Electric!$L61,0,-'Electric Calendarize'!$L70+'Electric Calendarize'!AU$4+1))</f>
        <v/>
      </c>
      <c r="AV70" t="str">
        <f ca="1">IF(OR($L70&gt;AV$4,AV$4&gt;$L70+23),"",OFFSET(Electric!$L61,0,-'Electric Calendarize'!$L70+'Electric Calendarize'!AV$4+1))</f>
        <v/>
      </c>
      <c r="AW70" t="str">
        <f ca="1">IF(OR($L70&gt;AW$4,AW$4&gt;$L70+23),"",OFFSET(Electric!$L61,0,-'Electric Calendarize'!$L70+'Electric Calendarize'!AW$4+1))</f>
        <v/>
      </c>
      <c r="AX70" t="str">
        <f ca="1">IF(OR($L70&gt;AX$4,AX$4&gt;$L70+23),"",OFFSET(Electric!$L61,0,-'Electric Calendarize'!$L70+'Electric Calendarize'!AX$4+1))</f>
        <v/>
      </c>
      <c r="AY70" t="str">
        <f ca="1">IF(OR($L70&gt;AY$4,AY$4&gt;$L70+23),"",OFFSET(Electric!$L61,0,-'Electric Calendarize'!$L70+'Electric Calendarize'!AY$4+1))</f>
        <v/>
      </c>
      <c r="AZ70" t="str">
        <f ca="1">IF(OR($L70&gt;AZ$4,AZ$4&gt;$L70+23),"",OFFSET(Electric!$L61,0,-'Electric Calendarize'!$L70+'Electric Calendarize'!AZ$4+1))</f>
        <v/>
      </c>
      <c r="BA70" t="str">
        <f ca="1">IF(OR($L70&gt;BA$4,BA$4&gt;$L70+23),"",OFFSET(Electric!$L61,0,-'Electric Calendarize'!$L70+'Electric Calendarize'!BA$4+1))</f>
        <v/>
      </c>
      <c r="BB70" t="str">
        <f ca="1">IF(OR($L70&gt;BB$4,BB$4&gt;$L70+23),"",OFFSET(Electric!$L61,0,-'Electric Calendarize'!$L70+'Electric Calendarize'!BB$4+1))</f>
        <v/>
      </c>
      <c r="BC70" t="str">
        <f ca="1">IF(OR($L70&gt;BC$4,BC$4&gt;$L70+23),"",OFFSET(Electric!$L61,0,-'Electric Calendarize'!$L70+'Electric Calendarize'!BC$4+1))</f>
        <v/>
      </c>
      <c r="BD70" t="str">
        <f ca="1">IF(OR($L70&gt;BD$4,BD$4&gt;$L70+23),"",OFFSET(Electric!$L61,0,-'Electric Calendarize'!$L70+'Electric Calendarize'!BD$4+1))</f>
        <v/>
      </c>
      <c r="BE70" t="str">
        <f ca="1">IF(OR($L70&gt;BE$4,BE$4&gt;$L70+23),"",OFFSET(Electric!$L61,0,-'Electric Calendarize'!$L70+'Electric Calendarize'!BE$4+1))</f>
        <v/>
      </c>
      <c r="BF70" t="str">
        <f ca="1">IF(OR($L70&gt;BF$4,BF$4&gt;$L70+23),"",OFFSET(Electric!$L61,0,-'Electric Calendarize'!$L70+'Electric Calendarize'!BF$4+1))</f>
        <v/>
      </c>
      <c r="BG70" t="str">
        <f ca="1">IF(OR($L70&gt;BG$4,BG$4&gt;$L70+23),"",OFFSET(Electric!$L61,0,-'Electric Calendarize'!$L70+'Electric Calendarize'!BG$4+1))</f>
        <v/>
      </c>
      <c r="BJ70" s="10" t="s">
        <v>37</v>
      </c>
      <c r="BK70">
        <f t="shared" si="195"/>
        <v>1</v>
      </c>
      <c r="BL70">
        <f t="shared" si="100"/>
        <v>0</v>
      </c>
      <c r="BM70">
        <f t="shared" si="101"/>
        <v>0</v>
      </c>
      <c r="BN70">
        <f t="shared" si="102"/>
        <v>0</v>
      </c>
      <c r="BO70">
        <f t="shared" si="103"/>
        <v>0</v>
      </c>
      <c r="BP70">
        <f t="shared" si="104"/>
        <v>0</v>
      </c>
      <c r="BQ70">
        <f t="shared" si="105"/>
        <v>0</v>
      </c>
      <c r="BR70">
        <f t="shared" si="106"/>
        <v>1</v>
      </c>
      <c r="BS70">
        <f t="shared" si="107"/>
        <v>1</v>
      </c>
      <c r="BT70">
        <f t="shared" si="108"/>
        <v>1</v>
      </c>
      <c r="BU70">
        <f t="shared" si="109"/>
        <v>1</v>
      </c>
      <c r="BV70">
        <f t="shared" si="110"/>
        <v>1</v>
      </c>
      <c r="BW70">
        <f t="shared" si="111"/>
        <v>1</v>
      </c>
      <c r="BX70">
        <f t="shared" si="112"/>
        <v>0</v>
      </c>
      <c r="BY70">
        <f t="shared" si="113"/>
        <v>0</v>
      </c>
      <c r="BZ70">
        <f t="shared" si="114"/>
        <v>0</v>
      </c>
      <c r="CA70">
        <f t="shared" si="115"/>
        <v>0</v>
      </c>
      <c r="CB70">
        <f t="shared" si="116"/>
        <v>0</v>
      </c>
      <c r="CC70">
        <f t="shared" si="117"/>
        <v>0</v>
      </c>
      <c r="CD70">
        <f t="shared" si="118"/>
        <v>1</v>
      </c>
      <c r="CE70">
        <f t="shared" si="119"/>
        <v>1</v>
      </c>
      <c r="CF70">
        <f t="shared" si="120"/>
        <v>1</v>
      </c>
      <c r="CG70">
        <f t="shared" si="121"/>
        <v>1</v>
      </c>
      <c r="CH70">
        <f t="shared" si="122"/>
        <v>1</v>
      </c>
      <c r="CI70">
        <f t="shared" si="123"/>
        <v>1</v>
      </c>
      <c r="CJ70">
        <f t="shared" si="124"/>
        <v>0</v>
      </c>
      <c r="CK70">
        <f t="shared" si="125"/>
        <v>0</v>
      </c>
      <c r="CL70">
        <f t="shared" si="126"/>
        <v>0</v>
      </c>
      <c r="CM70">
        <f t="shared" si="127"/>
        <v>0</v>
      </c>
      <c r="CN70">
        <f t="shared" si="128"/>
        <v>0</v>
      </c>
      <c r="CO70">
        <f t="shared" si="129"/>
        <v>0</v>
      </c>
      <c r="CP70">
        <f t="shared" si="130"/>
        <v>1</v>
      </c>
      <c r="CQ70">
        <f t="shared" si="131"/>
        <v>1</v>
      </c>
      <c r="CR70">
        <f t="shared" si="132"/>
        <v>1</v>
      </c>
      <c r="CS70">
        <f t="shared" si="133"/>
        <v>1</v>
      </c>
      <c r="CT70">
        <f t="shared" si="134"/>
        <v>1</v>
      </c>
      <c r="CU70">
        <f t="shared" si="135"/>
        <v>1</v>
      </c>
      <c r="CV70">
        <f t="shared" si="136"/>
        <v>0</v>
      </c>
      <c r="CW70">
        <f t="shared" si="137"/>
        <v>0</v>
      </c>
      <c r="CX70">
        <f t="shared" si="138"/>
        <v>0</v>
      </c>
      <c r="CY70">
        <f t="shared" si="139"/>
        <v>0</v>
      </c>
      <c r="CZ70">
        <f t="shared" si="140"/>
        <v>0</v>
      </c>
      <c r="DA70">
        <f t="shared" si="141"/>
        <v>0</v>
      </c>
      <c r="DB70">
        <f t="shared" si="142"/>
        <v>1</v>
      </c>
      <c r="DC70">
        <f t="shared" si="143"/>
        <v>1</v>
      </c>
      <c r="DF70" s="10" t="s">
        <v>37</v>
      </c>
      <c r="DG70" t="str">
        <f t="shared" si="207"/>
        <v>2021_11</v>
      </c>
      <c r="DH70" t="str">
        <f t="shared" si="207"/>
        <v>2021_11</v>
      </c>
      <c r="DI70" t="str">
        <f t="shared" si="207"/>
        <v>2021_11</v>
      </c>
      <c r="DJ70" t="str">
        <f t="shared" si="207"/>
        <v>2021_11</v>
      </c>
      <c r="DK70" t="str">
        <f t="shared" si="207"/>
        <v>2021_11</v>
      </c>
      <c r="DL70" t="str">
        <f t="shared" si="207"/>
        <v>2021_11</v>
      </c>
      <c r="DM70" t="str">
        <f t="shared" si="207"/>
        <v>2021_11</v>
      </c>
      <c r="DN70" t="str">
        <f t="shared" si="207"/>
        <v>2021_11</v>
      </c>
      <c r="DO70" t="str">
        <f t="shared" si="207"/>
        <v>2021_11</v>
      </c>
      <c r="DP70" t="str">
        <f t="shared" si="207"/>
        <v>2021_11</v>
      </c>
      <c r="DQ70" t="str">
        <f t="shared" si="207"/>
        <v>2021_11</v>
      </c>
      <c r="DR70" t="str">
        <f t="shared" si="207"/>
        <v>2021_11</v>
      </c>
      <c r="DS70" t="str">
        <f t="shared" si="207"/>
        <v>2021_11</v>
      </c>
      <c r="DT70" t="str">
        <f t="shared" si="207"/>
        <v>2021_11</v>
      </c>
      <c r="DU70" t="str">
        <f t="shared" si="207"/>
        <v>2021_11</v>
      </c>
      <c r="DV70" t="str">
        <f t="shared" si="207"/>
        <v>2021_11</v>
      </c>
      <c r="DW70" t="str">
        <f t="shared" si="206"/>
        <v>2021_11</v>
      </c>
      <c r="DX70" t="str">
        <f t="shared" si="206"/>
        <v>2021_11</v>
      </c>
      <c r="DY70" t="str">
        <f t="shared" si="206"/>
        <v>2021_11</v>
      </c>
      <c r="DZ70" t="str">
        <f t="shared" si="206"/>
        <v>2021_11</v>
      </c>
      <c r="EA70" t="str">
        <f t="shared" si="206"/>
        <v>2021_11</v>
      </c>
      <c r="EB70" t="str">
        <f t="shared" si="206"/>
        <v>2021_11</v>
      </c>
      <c r="EC70" t="str">
        <f t="shared" si="206"/>
        <v>2021_11</v>
      </c>
      <c r="ED70" t="str">
        <f t="shared" si="206"/>
        <v>2021_11</v>
      </c>
      <c r="EE70" t="str">
        <f t="shared" si="206"/>
        <v>2021_11</v>
      </c>
      <c r="EF70" t="str">
        <f t="shared" si="206"/>
        <v>2021_11</v>
      </c>
      <c r="EG70" t="str">
        <f t="shared" si="206"/>
        <v>2021_11</v>
      </c>
      <c r="EH70" t="str">
        <f t="shared" si="206"/>
        <v>2021_11</v>
      </c>
      <c r="EI70" t="str">
        <f t="shared" si="206"/>
        <v>2021_11</v>
      </c>
      <c r="EJ70" t="str">
        <f t="shared" si="206"/>
        <v>2021_11</v>
      </c>
      <c r="EK70" t="str">
        <f t="shared" si="206"/>
        <v>2021_11</v>
      </c>
      <c r="EL70" t="str">
        <f t="shared" si="205"/>
        <v>2021_11</v>
      </c>
      <c r="EM70" t="str">
        <f t="shared" si="205"/>
        <v>2021_11</v>
      </c>
      <c r="EN70" t="str">
        <f t="shared" si="205"/>
        <v>2021_11</v>
      </c>
      <c r="EO70" t="str">
        <f t="shared" si="205"/>
        <v>2021_11</v>
      </c>
      <c r="EP70" t="str">
        <f t="shared" si="205"/>
        <v>2021_11</v>
      </c>
      <c r="EQ70" t="str">
        <f t="shared" si="205"/>
        <v>2021_11</v>
      </c>
      <c r="ER70" t="str">
        <f t="shared" si="205"/>
        <v>2021_11</v>
      </c>
      <c r="ES70" t="str">
        <f t="shared" si="205"/>
        <v>2021_11</v>
      </c>
      <c r="ET70" t="str">
        <f t="shared" si="205"/>
        <v>2021_11</v>
      </c>
      <c r="EU70" t="str">
        <f t="shared" si="205"/>
        <v>2021_11</v>
      </c>
      <c r="EV70" t="str">
        <f t="shared" si="205"/>
        <v>2021_11</v>
      </c>
      <c r="EW70" t="str">
        <f t="shared" si="205"/>
        <v>2021_11</v>
      </c>
      <c r="EX70" t="str">
        <f t="shared" si="205"/>
        <v>2021_11</v>
      </c>
      <c r="EY70" t="str">
        <f t="shared" si="205"/>
        <v>2021_11</v>
      </c>
      <c r="FB70" s="10" t="s">
        <v>37</v>
      </c>
      <c r="FC70">
        <f t="shared" si="197"/>
        <v>0</v>
      </c>
      <c r="FD70">
        <f t="shared" si="147"/>
        <v>0</v>
      </c>
      <c r="FE70">
        <f t="shared" si="148"/>
        <v>0</v>
      </c>
      <c r="FF70">
        <f t="shared" si="149"/>
        <v>0</v>
      </c>
      <c r="FG70">
        <f t="shared" si="150"/>
        <v>0</v>
      </c>
      <c r="FH70">
        <f t="shared" si="151"/>
        <v>0</v>
      </c>
      <c r="FI70">
        <f t="shared" si="152"/>
        <v>0</v>
      </c>
      <c r="FJ70">
        <f t="shared" si="153"/>
        <v>0</v>
      </c>
      <c r="FK70">
        <f t="shared" si="154"/>
        <v>0</v>
      </c>
      <c r="FL70">
        <f t="shared" si="155"/>
        <v>0</v>
      </c>
      <c r="FM70">
        <f t="shared" si="156"/>
        <v>0</v>
      </c>
      <c r="FN70">
        <f t="shared" si="157"/>
        <v>0</v>
      </c>
      <c r="FO70">
        <f t="shared" si="158"/>
        <v>0</v>
      </c>
      <c r="FP70">
        <f t="shared" si="159"/>
        <v>0</v>
      </c>
      <c r="FQ70">
        <f t="shared" si="160"/>
        <v>0</v>
      </c>
      <c r="FR70">
        <f t="shared" si="161"/>
        <v>0</v>
      </c>
      <c r="FS70">
        <f t="shared" si="162"/>
        <v>0</v>
      </c>
      <c r="FT70">
        <f t="shared" si="163"/>
        <v>0</v>
      </c>
      <c r="FU70">
        <f t="shared" si="164"/>
        <v>0</v>
      </c>
      <c r="FV70">
        <f t="shared" si="165"/>
        <v>1</v>
      </c>
      <c r="FW70">
        <f t="shared" si="166"/>
        <v>1</v>
      </c>
      <c r="FX70">
        <f t="shared" si="167"/>
        <v>1</v>
      </c>
      <c r="FY70">
        <f t="shared" si="168"/>
        <v>1</v>
      </c>
      <c r="FZ70">
        <f t="shared" si="169"/>
        <v>1</v>
      </c>
      <c r="GA70">
        <f t="shared" si="170"/>
        <v>1</v>
      </c>
      <c r="GB70">
        <f t="shared" si="171"/>
        <v>1</v>
      </c>
      <c r="GC70">
        <f t="shared" si="172"/>
        <v>1</v>
      </c>
      <c r="GD70">
        <f t="shared" si="173"/>
        <v>1</v>
      </c>
      <c r="GE70">
        <f t="shared" si="174"/>
        <v>1</v>
      </c>
      <c r="GF70">
        <f t="shared" si="175"/>
        <v>1</v>
      </c>
      <c r="GG70">
        <f t="shared" si="176"/>
        <v>1</v>
      </c>
      <c r="GH70">
        <f t="shared" si="177"/>
        <v>1</v>
      </c>
      <c r="GI70">
        <f t="shared" si="178"/>
        <v>1</v>
      </c>
      <c r="GJ70">
        <f t="shared" si="179"/>
        <v>1</v>
      </c>
      <c r="GK70">
        <f t="shared" si="180"/>
        <v>1</v>
      </c>
      <c r="GL70">
        <f t="shared" si="181"/>
        <v>1</v>
      </c>
      <c r="GM70">
        <f t="shared" si="182"/>
        <v>1</v>
      </c>
      <c r="GN70">
        <f t="shared" si="183"/>
        <v>1</v>
      </c>
      <c r="GO70">
        <f t="shared" si="184"/>
        <v>1</v>
      </c>
      <c r="GP70">
        <f t="shared" si="185"/>
        <v>1</v>
      </c>
      <c r="GQ70">
        <f t="shared" si="186"/>
        <v>1</v>
      </c>
      <c r="GR70">
        <f t="shared" si="187"/>
        <v>1</v>
      </c>
      <c r="GS70">
        <f t="shared" si="188"/>
        <v>1</v>
      </c>
      <c r="GT70">
        <f t="shared" si="189"/>
        <v>1</v>
      </c>
      <c r="GU70">
        <f t="shared" si="190"/>
        <v>1</v>
      </c>
      <c r="GX70" s="10"/>
    </row>
    <row r="71" spans="1:206" x14ac:dyDescent="0.3">
      <c r="A71" s="9" t="s">
        <v>95</v>
      </c>
      <c r="B71" s="80"/>
      <c r="C71" s="9">
        <v>3131411005</v>
      </c>
      <c r="D71" s="9" t="s">
        <v>371</v>
      </c>
      <c r="E71" s="9" t="s">
        <v>39</v>
      </c>
      <c r="F71" s="9" t="s">
        <v>35</v>
      </c>
      <c r="G71" s="9" t="s">
        <v>102</v>
      </c>
      <c r="H71" s="10">
        <v>44529</v>
      </c>
      <c r="I71" s="9">
        <f t="shared" si="191"/>
        <v>2021</v>
      </c>
      <c r="J71" s="9">
        <f t="shared" si="192"/>
        <v>11</v>
      </c>
      <c r="K71" s="9" t="str">
        <f t="shared" si="193"/>
        <v>2021_11</v>
      </c>
      <c r="L71">
        <f>MAX(0,VLOOKUP($K71,lookups!$A$1:$B$45,2,0)-12)</f>
        <v>7</v>
      </c>
      <c r="M71" s="40">
        <f t="shared" si="194"/>
        <v>44501</v>
      </c>
      <c r="N71" s="10" t="s">
        <v>37</v>
      </c>
      <c r="O71" t="str">
        <f ca="1">IF(OR($L71&gt;O$4,O$4&gt;$L71+23),"",OFFSET(Electric!$L62,0,-'Electric Calendarize'!$L71+'Electric Calendarize'!O$4+1))</f>
        <v/>
      </c>
      <c r="P71" t="str">
        <f ca="1">IF(OR($L71&gt;P$4,P$4&gt;$L71+23),"",OFFSET(Electric!$L62,0,-'Electric Calendarize'!$L71+'Electric Calendarize'!P$4+1))</f>
        <v/>
      </c>
      <c r="Q71" t="str">
        <f ca="1">IF(OR($L71&gt;Q$4,Q$4&gt;$L71+23),"",OFFSET(Electric!$L62,0,-'Electric Calendarize'!$L71+'Electric Calendarize'!Q$4+1))</f>
        <v/>
      </c>
      <c r="R71" t="str">
        <f ca="1">IF(OR($L71&gt;R$4,R$4&gt;$L71+23),"",OFFSET(Electric!$L62,0,-'Electric Calendarize'!$L71+'Electric Calendarize'!R$4+1))</f>
        <v/>
      </c>
      <c r="S71" t="str">
        <f ca="1">IF(OR($L71&gt;S$4,S$4&gt;$L71+23),"",OFFSET(Electric!$L62,0,-'Electric Calendarize'!$L71+'Electric Calendarize'!S$4+1))</f>
        <v/>
      </c>
      <c r="T71" t="str">
        <f ca="1">IF(OR($L71&gt;T$4,T$4&gt;$L71+23),"",OFFSET(Electric!$L62,0,-'Electric Calendarize'!$L71+'Electric Calendarize'!T$4+1))</f>
        <v/>
      </c>
      <c r="U71" t="str">
        <f ca="1">IF(OR($L71&gt;U$4,U$4&gt;$L71+23),"",OFFSET(Electric!$L62,0,-'Electric Calendarize'!$L71+'Electric Calendarize'!U$4+1))</f>
        <v/>
      </c>
      <c r="V71">
        <f ca="1">IF(OR($L71&gt;V$4,V$4&gt;$L71+23),"",OFFSET(Electric!$L62,0,-'Electric Calendarize'!$L71+'Electric Calendarize'!V$4+1))</f>
        <v>577</v>
      </c>
      <c r="W71">
        <f ca="1">IF(OR($L71&gt;W$4,W$4&gt;$L71+23),"",OFFSET(Electric!$L62,0,-'Electric Calendarize'!$L71+'Electric Calendarize'!W$4+1))</f>
        <v>991</v>
      </c>
      <c r="X71">
        <f ca="1">IF(OR($L71&gt;X$4,X$4&gt;$L71+23),"",OFFSET(Electric!$L62,0,-'Electric Calendarize'!$L71+'Electric Calendarize'!X$4+1))</f>
        <v>924</v>
      </c>
      <c r="Y71">
        <f ca="1">IF(OR($L71&gt;Y$4,Y$4&gt;$L71+23),"",OFFSET(Electric!$L62,0,-'Electric Calendarize'!$L71+'Electric Calendarize'!Y$4+1))</f>
        <v>979</v>
      </c>
      <c r="Z71">
        <f ca="1">IF(OR($L71&gt;Z$4,Z$4&gt;$L71+23),"",OFFSET(Electric!$L62,0,-'Electric Calendarize'!$L71+'Electric Calendarize'!Z$4+1))</f>
        <v>755</v>
      </c>
      <c r="AA71">
        <f ca="1">IF(OR($L71&gt;AA$4,AA$4&gt;$L71+23),"",OFFSET(Electric!$L62,0,-'Electric Calendarize'!$L71+'Electric Calendarize'!AA$4+1))</f>
        <v>444</v>
      </c>
      <c r="AB71">
        <f ca="1">IF(OR($L71&gt;AB$4,AB$4&gt;$L71+23),"",OFFSET(Electric!$L62,0,-'Electric Calendarize'!$L71+'Electric Calendarize'!AB$4+1))</f>
        <v>359</v>
      </c>
      <c r="AC71">
        <f ca="1">IF(OR($L71&gt;AC$4,AC$4&gt;$L71+23),"",OFFSET(Electric!$L62,0,-'Electric Calendarize'!$L71+'Electric Calendarize'!AC$4+1))</f>
        <v>309</v>
      </c>
      <c r="AD71">
        <f ca="1">IF(OR($L71&gt;AD$4,AD$4&gt;$L71+23),"",OFFSET(Electric!$L62,0,-'Electric Calendarize'!$L71+'Electric Calendarize'!AD$4+1))</f>
        <v>388</v>
      </c>
      <c r="AE71">
        <f ca="1">IF(OR($L71&gt;AE$4,AE$4&gt;$L71+23),"",OFFSET(Electric!$L62,0,-'Electric Calendarize'!$L71+'Electric Calendarize'!AE$4+1))</f>
        <v>435</v>
      </c>
      <c r="AF71">
        <f ca="1">IF(OR($L71&gt;AF$4,AF$4&gt;$L71+23),"",OFFSET(Electric!$L62,0,-'Electric Calendarize'!$L71+'Electric Calendarize'!AF$4+1))</f>
        <v>350</v>
      </c>
      <c r="AG71">
        <f ca="1">IF(OR($L71&gt;AG$4,AG$4&gt;$L71+23),"",OFFSET(Electric!$L62,0,-'Electric Calendarize'!$L71+'Electric Calendarize'!AG$4+1))</f>
        <v>432</v>
      </c>
      <c r="AH71">
        <f ca="1">IF(OR($L71&gt;AH$4,AH$4&gt;$L71+23),"",OFFSET(Electric!$L62,0,-'Electric Calendarize'!$L71+'Electric Calendarize'!AH$4+1))</f>
        <v>617</v>
      </c>
      <c r="AI71">
        <f ca="1">IF(OR($L71&gt;AI$4,AI$4&gt;$L71+23),"",OFFSET(Electric!$L62,0,-'Electric Calendarize'!$L71+'Electric Calendarize'!AI$4+1))</f>
        <v>760</v>
      </c>
      <c r="AJ71">
        <f ca="1">IF(OR($L71&gt;AJ$4,AJ$4&gt;$L71+23),"",OFFSET(Electric!$L62,0,-'Electric Calendarize'!$L71+'Electric Calendarize'!AJ$4+1))</f>
        <v>1039</v>
      </c>
      <c r="AK71">
        <f ca="1">IF(OR($L71&gt;AK$4,AK$4&gt;$L71+23),"",OFFSET(Electric!$L62,0,-'Electric Calendarize'!$L71+'Electric Calendarize'!AK$4+1))</f>
        <v>926</v>
      </c>
      <c r="AL71">
        <f ca="1">IF(OR($L71&gt;AL$4,AL$4&gt;$L71+23),"",OFFSET(Electric!$L62,0,-'Electric Calendarize'!$L71+'Electric Calendarize'!AL$4+1))</f>
        <v>678</v>
      </c>
      <c r="AM71">
        <f ca="1">IF(OR($L71&gt;AM$4,AM$4&gt;$L71+23),"",OFFSET(Electric!$L62,0,-'Electric Calendarize'!$L71+'Electric Calendarize'!AM$4+1))</f>
        <v>418</v>
      </c>
      <c r="AN71">
        <f ca="1">IF(OR($L71&gt;AN$4,AN$4&gt;$L71+23),"",OFFSET(Electric!$L62,0,-'Electric Calendarize'!$L71+'Electric Calendarize'!AN$4+1))</f>
        <v>349</v>
      </c>
      <c r="AO71">
        <f ca="1">IF(OR($L71&gt;AO$4,AO$4&gt;$L71+23),"",OFFSET(Electric!$L62,0,-'Electric Calendarize'!$L71+'Electric Calendarize'!AO$4+1))</f>
        <v>267</v>
      </c>
      <c r="AP71">
        <f ca="1">IF(OR($L71&gt;AP$4,AP$4&gt;$L71+23),"",OFFSET(Electric!$L62,0,-'Electric Calendarize'!$L71+'Electric Calendarize'!AP$4+1))</f>
        <v>403</v>
      </c>
      <c r="AQ71">
        <f ca="1">IF(OR($L71&gt;AQ$4,AQ$4&gt;$L71+23),"",OFFSET(Electric!$L62,0,-'Electric Calendarize'!$L71+'Electric Calendarize'!AQ$4+1))</f>
        <v>413</v>
      </c>
      <c r="AR71">
        <f ca="1">IF(OR($L71&gt;AR$4,AR$4&gt;$L71+23),"",OFFSET(Electric!$L62,0,-'Electric Calendarize'!$L71+'Electric Calendarize'!AR$4+1))</f>
        <v>320</v>
      </c>
      <c r="AS71">
        <f ca="1">IF(OR($L71&gt;AS$4,AS$4&gt;$L71+23),"",OFFSET(Electric!$L62,0,-'Electric Calendarize'!$L71+'Electric Calendarize'!AS$4+1))</f>
        <v>473</v>
      </c>
      <c r="AT71" t="str">
        <f ca="1">IF(OR($L71&gt;AT$4,AT$4&gt;$L71+23),"",OFFSET(Electric!$L62,0,-'Electric Calendarize'!$L71+'Electric Calendarize'!AT$4+1))</f>
        <v/>
      </c>
      <c r="AU71" t="str">
        <f ca="1">IF(OR($L71&gt;AU$4,AU$4&gt;$L71+23),"",OFFSET(Electric!$L62,0,-'Electric Calendarize'!$L71+'Electric Calendarize'!AU$4+1))</f>
        <v/>
      </c>
      <c r="AV71" t="str">
        <f ca="1">IF(OR($L71&gt;AV$4,AV$4&gt;$L71+23),"",OFFSET(Electric!$L62,0,-'Electric Calendarize'!$L71+'Electric Calendarize'!AV$4+1))</f>
        <v/>
      </c>
      <c r="AW71" t="str">
        <f ca="1">IF(OR($L71&gt;AW$4,AW$4&gt;$L71+23),"",OFFSET(Electric!$L62,0,-'Electric Calendarize'!$L71+'Electric Calendarize'!AW$4+1))</f>
        <v/>
      </c>
      <c r="AX71" t="str">
        <f ca="1">IF(OR($L71&gt;AX$4,AX$4&gt;$L71+23),"",OFFSET(Electric!$L62,0,-'Electric Calendarize'!$L71+'Electric Calendarize'!AX$4+1))</f>
        <v/>
      </c>
      <c r="AY71" t="str">
        <f ca="1">IF(OR($L71&gt;AY$4,AY$4&gt;$L71+23),"",OFFSET(Electric!$L62,0,-'Electric Calendarize'!$L71+'Electric Calendarize'!AY$4+1))</f>
        <v/>
      </c>
      <c r="AZ71" t="str">
        <f ca="1">IF(OR($L71&gt;AZ$4,AZ$4&gt;$L71+23),"",OFFSET(Electric!$L62,0,-'Electric Calendarize'!$L71+'Electric Calendarize'!AZ$4+1))</f>
        <v/>
      </c>
      <c r="BA71" t="str">
        <f ca="1">IF(OR($L71&gt;BA$4,BA$4&gt;$L71+23),"",OFFSET(Electric!$L62,0,-'Electric Calendarize'!$L71+'Electric Calendarize'!BA$4+1))</f>
        <v/>
      </c>
      <c r="BB71" t="str">
        <f ca="1">IF(OR($L71&gt;BB$4,BB$4&gt;$L71+23),"",OFFSET(Electric!$L62,0,-'Electric Calendarize'!$L71+'Electric Calendarize'!BB$4+1))</f>
        <v/>
      </c>
      <c r="BC71" t="str">
        <f ca="1">IF(OR($L71&gt;BC$4,BC$4&gt;$L71+23),"",OFFSET(Electric!$L62,0,-'Electric Calendarize'!$L71+'Electric Calendarize'!BC$4+1))</f>
        <v/>
      </c>
      <c r="BD71" t="str">
        <f ca="1">IF(OR($L71&gt;BD$4,BD$4&gt;$L71+23),"",OFFSET(Electric!$L62,0,-'Electric Calendarize'!$L71+'Electric Calendarize'!BD$4+1))</f>
        <v/>
      </c>
      <c r="BE71" t="str">
        <f ca="1">IF(OR($L71&gt;BE$4,BE$4&gt;$L71+23),"",OFFSET(Electric!$L62,0,-'Electric Calendarize'!$L71+'Electric Calendarize'!BE$4+1))</f>
        <v/>
      </c>
      <c r="BF71" t="str">
        <f ca="1">IF(OR($L71&gt;BF$4,BF$4&gt;$L71+23),"",OFFSET(Electric!$L62,0,-'Electric Calendarize'!$L71+'Electric Calendarize'!BF$4+1))</f>
        <v/>
      </c>
      <c r="BG71" t="str">
        <f ca="1">IF(OR($L71&gt;BG$4,BG$4&gt;$L71+23),"",OFFSET(Electric!$L62,0,-'Electric Calendarize'!$L71+'Electric Calendarize'!BG$4+1))</f>
        <v/>
      </c>
      <c r="BJ71" s="10" t="s">
        <v>37</v>
      </c>
      <c r="BK71">
        <f t="shared" si="195"/>
        <v>1</v>
      </c>
      <c r="BL71">
        <f t="shared" si="100"/>
        <v>0</v>
      </c>
      <c r="BM71">
        <f t="shared" si="101"/>
        <v>0</v>
      </c>
      <c r="BN71">
        <f t="shared" si="102"/>
        <v>0</v>
      </c>
      <c r="BO71">
        <f t="shared" si="103"/>
        <v>0</v>
      </c>
      <c r="BP71">
        <f t="shared" si="104"/>
        <v>0</v>
      </c>
      <c r="BQ71">
        <f t="shared" si="105"/>
        <v>0</v>
      </c>
      <c r="BR71">
        <f t="shared" si="106"/>
        <v>1</v>
      </c>
      <c r="BS71">
        <f t="shared" si="107"/>
        <v>1</v>
      </c>
      <c r="BT71">
        <f t="shared" si="108"/>
        <v>1</v>
      </c>
      <c r="BU71">
        <f t="shared" si="109"/>
        <v>1</v>
      </c>
      <c r="BV71">
        <f t="shared" si="110"/>
        <v>1</v>
      </c>
      <c r="BW71">
        <f t="shared" si="111"/>
        <v>1</v>
      </c>
      <c r="BX71">
        <f t="shared" si="112"/>
        <v>0</v>
      </c>
      <c r="BY71">
        <f t="shared" si="113"/>
        <v>0</v>
      </c>
      <c r="BZ71">
        <f t="shared" si="114"/>
        <v>0</v>
      </c>
      <c r="CA71">
        <f t="shared" si="115"/>
        <v>0</v>
      </c>
      <c r="CB71">
        <f t="shared" si="116"/>
        <v>0</v>
      </c>
      <c r="CC71">
        <f t="shared" si="117"/>
        <v>0</v>
      </c>
      <c r="CD71">
        <f t="shared" si="118"/>
        <v>1</v>
      </c>
      <c r="CE71">
        <f t="shared" si="119"/>
        <v>1</v>
      </c>
      <c r="CF71">
        <f t="shared" si="120"/>
        <v>1</v>
      </c>
      <c r="CG71">
        <f t="shared" si="121"/>
        <v>1</v>
      </c>
      <c r="CH71">
        <f t="shared" si="122"/>
        <v>1</v>
      </c>
      <c r="CI71">
        <f t="shared" si="123"/>
        <v>1</v>
      </c>
      <c r="CJ71">
        <f t="shared" si="124"/>
        <v>0</v>
      </c>
      <c r="CK71">
        <f t="shared" si="125"/>
        <v>0</v>
      </c>
      <c r="CL71">
        <f t="shared" si="126"/>
        <v>0</v>
      </c>
      <c r="CM71">
        <f t="shared" si="127"/>
        <v>0</v>
      </c>
      <c r="CN71">
        <f t="shared" si="128"/>
        <v>0</v>
      </c>
      <c r="CO71">
        <f t="shared" si="129"/>
        <v>0</v>
      </c>
      <c r="CP71">
        <f t="shared" si="130"/>
        <v>1</v>
      </c>
      <c r="CQ71">
        <f t="shared" si="131"/>
        <v>1</v>
      </c>
      <c r="CR71">
        <f t="shared" si="132"/>
        <v>1</v>
      </c>
      <c r="CS71">
        <f t="shared" si="133"/>
        <v>1</v>
      </c>
      <c r="CT71">
        <f t="shared" si="134"/>
        <v>1</v>
      </c>
      <c r="CU71">
        <f t="shared" si="135"/>
        <v>1</v>
      </c>
      <c r="CV71">
        <f t="shared" si="136"/>
        <v>0</v>
      </c>
      <c r="CW71">
        <f t="shared" si="137"/>
        <v>0</v>
      </c>
      <c r="CX71">
        <f t="shared" si="138"/>
        <v>0</v>
      </c>
      <c r="CY71">
        <f t="shared" si="139"/>
        <v>0</v>
      </c>
      <c r="CZ71">
        <f t="shared" si="140"/>
        <v>0</v>
      </c>
      <c r="DA71">
        <f t="shared" si="141"/>
        <v>0</v>
      </c>
      <c r="DB71">
        <f t="shared" si="142"/>
        <v>1</v>
      </c>
      <c r="DC71">
        <f t="shared" si="143"/>
        <v>1</v>
      </c>
      <c r="DF71" s="10" t="s">
        <v>37</v>
      </c>
      <c r="DG71" t="str">
        <f t="shared" si="207"/>
        <v>2021_11</v>
      </c>
      <c r="DH71" t="str">
        <f t="shared" si="207"/>
        <v>2021_11</v>
      </c>
      <c r="DI71" t="str">
        <f t="shared" si="207"/>
        <v>2021_11</v>
      </c>
      <c r="DJ71" t="str">
        <f t="shared" si="207"/>
        <v>2021_11</v>
      </c>
      <c r="DK71" t="str">
        <f t="shared" si="207"/>
        <v>2021_11</v>
      </c>
      <c r="DL71" t="str">
        <f t="shared" si="207"/>
        <v>2021_11</v>
      </c>
      <c r="DM71" t="str">
        <f t="shared" si="207"/>
        <v>2021_11</v>
      </c>
      <c r="DN71" t="str">
        <f t="shared" si="207"/>
        <v>2021_11</v>
      </c>
      <c r="DO71" t="str">
        <f t="shared" si="207"/>
        <v>2021_11</v>
      </c>
      <c r="DP71" t="str">
        <f t="shared" si="207"/>
        <v>2021_11</v>
      </c>
      <c r="DQ71" t="str">
        <f t="shared" si="207"/>
        <v>2021_11</v>
      </c>
      <c r="DR71" t="str">
        <f t="shared" si="207"/>
        <v>2021_11</v>
      </c>
      <c r="DS71" t="str">
        <f t="shared" si="207"/>
        <v>2021_11</v>
      </c>
      <c r="DT71" t="str">
        <f t="shared" si="207"/>
        <v>2021_11</v>
      </c>
      <c r="DU71" t="str">
        <f t="shared" si="207"/>
        <v>2021_11</v>
      </c>
      <c r="DV71" t="str">
        <f t="shared" si="207"/>
        <v>2021_11</v>
      </c>
      <c r="DW71" t="str">
        <f t="shared" si="206"/>
        <v>2021_11</v>
      </c>
      <c r="DX71" t="str">
        <f t="shared" si="206"/>
        <v>2021_11</v>
      </c>
      <c r="DY71" t="str">
        <f t="shared" si="206"/>
        <v>2021_11</v>
      </c>
      <c r="DZ71" t="str">
        <f t="shared" si="206"/>
        <v>2021_11</v>
      </c>
      <c r="EA71" t="str">
        <f t="shared" si="206"/>
        <v>2021_11</v>
      </c>
      <c r="EB71" t="str">
        <f t="shared" si="206"/>
        <v>2021_11</v>
      </c>
      <c r="EC71" t="str">
        <f t="shared" si="206"/>
        <v>2021_11</v>
      </c>
      <c r="ED71" t="str">
        <f t="shared" si="206"/>
        <v>2021_11</v>
      </c>
      <c r="EE71" t="str">
        <f t="shared" si="206"/>
        <v>2021_11</v>
      </c>
      <c r="EF71" t="str">
        <f t="shared" si="206"/>
        <v>2021_11</v>
      </c>
      <c r="EG71" t="str">
        <f t="shared" si="206"/>
        <v>2021_11</v>
      </c>
      <c r="EH71" t="str">
        <f t="shared" si="206"/>
        <v>2021_11</v>
      </c>
      <c r="EI71" t="str">
        <f t="shared" si="206"/>
        <v>2021_11</v>
      </c>
      <c r="EJ71" t="str">
        <f t="shared" si="206"/>
        <v>2021_11</v>
      </c>
      <c r="EK71" t="str">
        <f t="shared" si="206"/>
        <v>2021_11</v>
      </c>
      <c r="EL71" t="str">
        <f t="shared" si="205"/>
        <v>2021_11</v>
      </c>
      <c r="EM71" t="str">
        <f t="shared" si="205"/>
        <v>2021_11</v>
      </c>
      <c r="EN71" t="str">
        <f t="shared" si="205"/>
        <v>2021_11</v>
      </c>
      <c r="EO71" t="str">
        <f t="shared" si="205"/>
        <v>2021_11</v>
      </c>
      <c r="EP71" t="str">
        <f t="shared" si="205"/>
        <v>2021_11</v>
      </c>
      <c r="EQ71" t="str">
        <f t="shared" si="205"/>
        <v>2021_11</v>
      </c>
      <c r="ER71" t="str">
        <f t="shared" si="205"/>
        <v>2021_11</v>
      </c>
      <c r="ES71" t="str">
        <f t="shared" si="205"/>
        <v>2021_11</v>
      </c>
      <c r="ET71" t="str">
        <f t="shared" si="205"/>
        <v>2021_11</v>
      </c>
      <c r="EU71" t="str">
        <f t="shared" si="205"/>
        <v>2021_11</v>
      </c>
      <c r="EV71" t="str">
        <f t="shared" si="205"/>
        <v>2021_11</v>
      </c>
      <c r="EW71" t="str">
        <f t="shared" si="205"/>
        <v>2021_11</v>
      </c>
      <c r="EX71" t="str">
        <f t="shared" si="205"/>
        <v>2021_11</v>
      </c>
      <c r="EY71" t="str">
        <f t="shared" si="205"/>
        <v>2021_11</v>
      </c>
      <c r="FB71" s="10" t="s">
        <v>37</v>
      </c>
      <c r="FC71">
        <f t="shared" si="197"/>
        <v>0</v>
      </c>
      <c r="FD71">
        <f t="shared" si="147"/>
        <v>0</v>
      </c>
      <c r="FE71">
        <f t="shared" si="148"/>
        <v>0</v>
      </c>
      <c r="FF71">
        <f t="shared" si="149"/>
        <v>0</v>
      </c>
      <c r="FG71">
        <f t="shared" si="150"/>
        <v>0</v>
      </c>
      <c r="FH71">
        <f t="shared" si="151"/>
        <v>0</v>
      </c>
      <c r="FI71">
        <f t="shared" si="152"/>
        <v>0</v>
      </c>
      <c r="FJ71">
        <f t="shared" si="153"/>
        <v>0</v>
      </c>
      <c r="FK71">
        <f t="shared" si="154"/>
        <v>0</v>
      </c>
      <c r="FL71">
        <f t="shared" si="155"/>
        <v>0</v>
      </c>
      <c r="FM71">
        <f t="shared" si="156"/>
        <v>0</v>
      </c>
      <c r="FN71">
        <f t="shared" si="157"/>
        <v>0</v>
      </c>
      <c r="FO71">
        <f t="shared" si="158"/>
        <v>0</v>
      </c>
      <c r="FP71">
        <f t="shared" si="159"/>
        <v>0</v>
      </c>
      <c r="FQ71">
        <f t="shared" si="160"/>
        <v>0</v>
      </c>
      <c r="FR71">
        <f t="shared" si="161"/>
        <v>0</v>
      </c>
      <c r="FS71">
        <f t="shared" si="162"/>
        <v>0</v>
      </c>
      <c r="FT71">
        <f t="shared" si="163"/>
        <v>0</v>
      </c>
      <c r="FU71">
        <f t="shared" si="164"/>
        <v>0</v>
      </c>
      <c r="FV71">
        <f t="shared" si="165"/>
        <v>1</v>
      </c>
      <c r="FW71">
        <f t="shared" si="166"/>
        <v>1</v>
      </c>
      <c r="FX71">
        <f t="shared" si="167"/>
        <v>1</v>
      </c>
      <c r="FY71">
        <f t="shared" si="168"/>
        <v>1</v>
      </c>
      <c r="FZ71">
        <f t="shared" si="169"/>
        <v>1</v>
      </c>
      <c r="GA71">
        <f t="shared" si="170"/>
        <v>1</v>
      </c>
      <c r="GB71">
        <f t="shared" si="171"/>
        <v>1</v>
      </c>
      <c r="GC71">
        <f t="shared" si="172"/>
        <v>1</v>
      </c>
      <c r="GD71">
        <f t="shared" si="173"/>
        <v>1</v>
      </c>
      <c r="GE71">
        <f t="shared" si="174"/>
        <v>1</v>
      </c>
      <c r="GF71">
        <f t="shared" si="175"/>
        <v>1</v>
      </c>
      <c r="GG71">
        <f t="shared" si="176"/>
        <v>1</v>
      </c>
      <c r="GH71">
        <f t="shared" si="177"/>
        <v>1</v>
      </c>
      <c r="GI71">
        <f t="shared" si="178"/>
        <v>1</v>
      </c>
      <c r="GJ71">
        <f t="shared" si="179"/>
        <v>1</v>
      </c>
      <c r="GK71">
        <f t="shared" si="180"/>
        <v>1</v>
      </c>
      <c r="GL71">
        <f t="shared" si="181"/>
        <v>1</v>
      </c>
      <c r="GM71">
        <f t="shared" si="182"/>
        <v>1</v>
      </c>
      <c r="GN71">
        <f t="shared" si="183"/>
        <v>1</v>
      </c>
      <c r="GO71">
        <f t="shared" si="184"/>
        <v>1</v>
      </c>
      <c r="GP71">
        <f t="shared" si="185"/>
        <v>1</v>
      </c>
      <c r="GQ71">
        <f t="shared" si="186"/>
        <v>1</v>
      </c>
      <c r="GR71">
        <f t="shared" si="187"/>
        <v>1</v>
      </c>
      <c r="GS71">
        <f t="shared" si="188"/>
        <v>1</v>
      </c>
      <c r="GT71">
        <f t="shared" si="189"/>
        <v>1</v>
      </c>
      <c r="GU71">
        <f t="shared" si="190"/>
        <v>1</v>
      </c>
      <c r="GX71" s="10"/>
    </row>
    <row r="72" spans="1:206" x14ac:dyDescent="0.3">
      <c r="A72" s="9" t="s">
        <v>41</v>
      </c>
      <c r="B72" s="80"/>
      <c r="C72" s="9">
        <v>3041312000</v>
      </c>
      <c r="D72" s="9" t="s">
        <v>400</v>
      </c>
      <c r="E72" s="9" t="s">
        <v>34</v>
      </c>
      <c r="F72" s="9" t="s">
        <v>35</v>
      </c>
      <c r="G72" s="9" t="s">
        <v>103</v>
      </c>
      <c r="H72" s="10">
        <v>44530</v>
      </c>
      <c r="I72" s="9">
        <f t="shared" si="191"/>
        <v>2021</v>
      </c>
      <c r="J72" s="9">
        <f t="shared" si="192"/>
        <v>11</v>
      </c>
      <c r="K72" s="9" t="str">
        <f t="shared" si="193"/>
        <v>2021_11</v>
      </c>
      <c r="L72">
        <f>MAX(0,VLOOKUP($K72,lookups!$A$1:$B$45,2,0)-12)</f>
        <v>7</v>
      </c>
      <c r="M72" s="40">
        <f t="shared" si="194"/>
        <v>44501</v>
      </c>
      <c r="N72" s="10" t="s">
        <v>37</v>
      </c>
      <c r="O72" t="str">
        <f ca="1">IF(OR($L72&gt;O$4,O$4&gt;$L72+23),"",OFFSET(Electric!$L63,0,-'Electric Calendarize'!$L72+'Electric Calendarize'!O$4+1))</f>
        <v/>
      </c>
      <c r="P72" t="str">
        <f ca="1">IF(OR($L72&gt;P$4,P$4&gt;$L72+23),"",OFFSET(Electric!$L63,0,-'Electric Calendarize'!$L72+'Electric Calendarize'!P$4+1))</f>
        <v/>
      </c>
      <c r="Q72" t="str">
        <f ca="1">IF(OR($L72&gt;Q$4,Q$4&gt;$L72+23),"",OFFSET(Electric!$L63,0,-'Electric Calendarize'!$L72+'Electric Calendarize'!Q$4+1))</f>
        <v/>
      </c>
      <c r="R72" t="str">
        <f ca="1">IF(OR($L72&gt;R$4,R$4&gt;$L72+23),"",OFFSET(Electric!$L63,0,-'Electric Calendarize'!$L72+'Electric Calendarize'!R$4+1))</f>
        <v/>
      </c>
      <c r="S72" t="str">
        <f ca="1">IF(OR($L72&gt;S$4,S$4&gt;$L72+23),"",OFFSET(Electric!$L63,0,-'Electric Calendarize'!$L72+'Electric Calendarize'!S$4+1))</f>
        <v/>
      </c>
      <c r="T72" t="str">
        <f ca="1">IF(OR($L72&gt;T$4,T$4&gt;$L72+23),"",OFFSET(Electric!$L63,0,-'Electric Calendarize'!$L72+'Electric Calendarize'!T$4+1))</f>
        <v/>
      </c>
      <c r="U72" t="str">
        <f ca="1">IF(OR($L72&gt;U$4,U$4&gt;$L72+23),"",OFFSET(Electric!$L63,0,-'Electric Calendarize'!$L72+'Electric Calendarize'!U$4+1))</f>
        <v/>
      </c>
      <c r="V72">
        <f ca="1">IF(OR($L72&gt;V$4,V$4&gt;$L72+23),"",OFFSET(Electric!$L63,0,-'Electric Calendarize'!$L72+'Electric Calendarize'!V$4+1))</f>
        <v>758</v>
      </c>
      <c r="W72">
        <f ca="1">IF(OR($L72&gt;W$4,W$4&gt;$L72+23),"",OFFSET(Electric!$L63,0,-'Electric Calendarize'!$L72+'Electric Calendarize'!W$4+1))</f>
        <v>1232</v>
      </c>
      <c r="X72">
        <f ca="1">IF(OR($L72&gt;X$4,X$4&gt;$L72+23),"",OFFSET(Electric!$L63,0,-'Electric Calendarize'!$L72+'Electric Calendarize'!X$4+1))</f>
        <v>956</v>
      </c>
      <c r="Y72">
        <f ca="1">IF(OR($L72&gt;Y$4,Y$4&gt;$L72+23),"",OFFSET(Electric!$L63,0,-'Electric Calendarize'!$L72+'Electric Calendarize'!Y$4+1))</f>
        <v>840</v>
      </c>
      <c r="Z72">
        <f ca="1">IF(OR($L72&gt;Z$4,Z$4&gt;$L72+23),"",OFFSET(Electric!$L63,0,-'Electric Calendarize'!$L72+'Electric Calendarize'!Z$4+1))</f>
        <v>920</v>
      </c>
      <c r="AA72">
        <f ca="1">IF(OR($L72&gt;AA$4,AA$4&gt;$L72+23),"",OFFSET(Electric!$L63,0,-'Electric Calendarize'!$L72+'Electric Calendarize'!AA$4+1))</f>
        <v>686</v>
      </c>
      <c r="AB72">
        <f ca="1">IF(OR($L72&gt;AB$4,AB$4&gt;$L72+23),"",OFFSET(Electric!$L63,0,-'Electric Calendarize'!$L72+'Electric Calendarize'!AB$4+1))</f>
        <v>728</v>
      </c>
      <c r="AC72">
        <f ca="1">IF(OR($L72&gt;AC$4,AC$4&gt;$L72+23),"",OFFSET(Electric!$L63,0,-'Electric Calendarize'!$L72+'Electric Calendarize'!AC$4+1))</f>
        <v>1096</v>
      </c>
      <c r="AD72">
        <f ca="1">IF(OR($L72&gt;AD$4,AD$4&gt;$L72+23),"",OFFSET(Electric!$L63,0,-'Electric Calendarize'!$L72+'Electric Calendarize'!AD$4+1))</f>
        <v>996</v>
      </c>
      <c r="AE72">
        <f ca="1">IF(OR($L72&gt;AE$4,AE$4&gt;$L72+23),"",OFFSET(Electric!$L63,0,-'Electric Calendarize'!$L72+'Electric Calendarize'!AE$4+1))</f>
        <v>798</v>
      </c>
      <c r="AF72">
        <f ca="1">IF(OR($L72&gt;AF$4,AF$4&gt;$L72+23),"",OFFSET(Electric!$L63,0,-'Electric Calendarize'!$L72+'Electric Calendarize'!AF$4+1))</f>
        <v>1390</v>
      </c>
      <c r="AG72">
        <f ca="1">IF(OR($L72&gt;AG$4,AG$4&gt;$L72+23),"",OFFSET(Electric!$L63,0,-'Electric Calendarize'!$L72+'Electric Calendarize'!AG$4+1))</f>
        <v>814</v>
      </c>
      <c r="AH72">
        <f ca="1">IF(OR($L72&gt;AH$4,AH$4&gt;$L72+23),"",OFFSET(Electric!$L63,0,-'Electric Calendarize'!$L72+'Electric Calendarize'!AH$4+1))</f>
        <v>878</v>
      </c>
      <c r="AI72">
        <f ca="1">IF(OR($L72&gt;AI$4,AI$4&gt;$L72+23),"",OFFSET(Electric!$L63,0,-'Electric Calendarize'!$L72+'Electric Calendarize'!AI$4+1))</f>
        <v>1390</v>
      </c>
      <c r="AJ72">
        <f ca="1">IF(OR($L72&gt;AJ$4,AJ$4&gt;$L72+23),"",OFFSET(Electric!$L63,0,-'Electric Calendarize'!$L72+'Electric Calendarize'!AJ$4+1))</f>
        <v>1636</v>
      </c>
      <c r="AK72">
        <f ca="1">IF(OR($L72&gt;AK$4,AK$4&gt;$L72+23),"",OFFSET(Electric!$L63,0,-'Electric Calendarize'!$L72+'Electric Calendarize'!AK$4+1))</f>
        <v>1030</v>
      </c>
      <c r="AL72">
        <f ca="1">IF(OR($L72&gt;AL$4,AL$4&gt;$L72+23),"",OFFSET(Electric!$L63,0,-'Electric Calendarize'!$L72+'Electric Calendarize'!AL$4+1))</f>
        <v>958</v>
      </c>
      <c r="AM72">
        <f ca="1">IF(OR($L72&gt;AM$4,AM$4&gt;$L72+23),"",OFFSET(Electric!$L63,0,-'Electric Calendarize'!$L72+'Electric Calendarize'!AM$4+1))</f>
        <v>686</v>
      </c>
      <c r="AN72">
        <f ca="1">IF(OR($L72&gt;AN$4,AN$4&gt;$L72+23),"",OFFSET(Electric!$L63,0,-'Electric Calendarize'!$L72+'Electric Calendarize'!AN$4+1))</f>
        <v>760</v>
      </c>
      <c r="AO72">
        <f ca="1">IF(OR($L72&gt;AO$4,AO$4&gt;$L72+23),"",OFFSET(Electric!$L63,0,-'Electric Calendarize'!$L72+'Electric Calendarize'!AO$4+1))</f>
        <v>1016</v>
      </c>
      <c r="AP72">
        <f ca="1">IF(OR($L72&gt;AP$4,AP$4&gt;$L72+23),"",OFFSET(Electric!$L63,0,-'Electric Calendarize'!$L72+'Electric Calendarize'!AP$4+1))</f>
        <v>1012</v>
      </c>
      <c r="AQ72">
        <f ca="1">IF(OR($L72&gt;AQ$4,AQ$4&gt;$L72+23),"",OFFSET(Electric!$L63,0,-'Electric Calendarize'!$L72+'Electric Calendarize'!AQ$4+1))</f>
        <v>1122</v>
      </c>
      <c r="AR72">
        <f ca="1">IF(OR($L72&gt;AR$4,AR$4&gt;$L72+23),"",OFFSET(Electric!$L63,0,-'Electric Calendarize'!$L72+'Electric Calendarize'!AR$4+1))</f>
        <v>1044</v>
      </c>
      <c r="AS72">
        <f ca="1">IF(OR($L72&gt;AS$4,AS$4&gt;$L72+23),"",OFFSET(Electric!$L63,0,-'Electric Calendarize'!$L72+'Electric Calendarize'!AS$4+1))</f>
        <v>942</v>
      </c>
      <c r="AT72" t="str">
        <f ca="1">IF(OR($L72&gt;AT$4,AT$4&gt;$L72+23),"",OFFSET(Electric!$L63,0,-'Electric Calendarize'!$L72+'Electric Calendarize'!AT$4+1))</f>
        <v/>
      </c>
      <c r="AU72" t="str">
        <f ca="1">IF(OR($L72&gt;AU$4,AU$4&gt;$L72+23),"",OFFSET(Electric!$L63,0,-'Electric Calendarize'!$L72+'Electric Calendarize'!AU$4+1))</f>
        <v/>
      </c>
      <c r="AV72" t="str">
        <f ca="1">IF(OR($L72&gt;AV$4,AV$4&gt;$L72+23),"",OFFSET(Electric!$L63,0,-'Electric Calendarize'!$L72+'Electric Calendarize'!AV$4+1))</f>
        <v/>
      </c>
      <c r="AW72" t="str">
        <f ca="1">IF(OR($L72&gt;AW$4,AW$4&gt;$L72+23),"",OFFSET(Electric!$L63,0,-'Electric Calendarize'!$L72+'Electric Calendarize'!AW$4+1))</f>
        <v/>
      </c>
      <c r="AX72" t="str">
        <f ca="1">IF(OR($L72&gt;AX$4,AX$4&gt;$L72+23),"",OFFSET(Electric!$L63,0,-'Electric Calendarize'!$L72+'Electric Calendarize'!AX$4+1))</f>
        <v/>
      </c>
      <c r="AY72" t="str">
        <f ca="1">IF(OR($L72&gt;AY$4,AY$4&gt;$L72+23),"",OFFSET(Electric!$L63,0,-'Electric Calendarize'!$L72+'Electric Calendarize'!AY$4+1))</f>
        <v/>
      </c>
      <c r="AZ72" t="str">
        <f ca="1">IF(OR($L72&gt;AZ$4,AZ$4&gt;$L72+23),"",OFFSET(Electric!$L63,0,-'Electric Calendarize'!$L72+'Electric Calendarize'!AZ$4+1))</f>
        <v/>
      </c>
      <c r="BA72" t="str">
        <f ca="1">IF(OR($L72&gt;BA$4,BA$4&gt;$L72+23),"",OFFSET(Electric!$L63,0,-'Electric Calendarize'!$L72+'Electric Calendarize'!BA$4+1))</f>
        <v/>
      </c>
      <c r="BB72" t="str">
        <f ca="1">IF(OR($L72&gt;BB$4,BB$4&gt;$L72+23),"",OFFSET(Electric!$L63,0,-'Electric Calendarize'!$L72+'Electric Calendarize'!BB$4+1))</f>
        <v/>
      </c>
      <c r="BC72" t="str">
        <f ca="1">IF(OR($L72&gt;BC$4,BC$4&gt;$L72+23),"",OFFSET(Electric!$L63,0,-'Electric Calendarize'!$L72+'Electric Calendarize'!BC$4+1))</f>
        <v/>
      </c>
      <c r="BD72" t="str">
        <f ca="1">IF(OR($L72&gt;BD$4,BD$4&gt;$L72+23),"",OFFSET(Electric!$L63,0,-'Electric Calendarize'!$L72+'Electric Calendarize'!BD$4+1))</f>
        <v/>
      </c>
      <c r="BE72" t="str">
        <f ca="1">IF(OR($L72&gt;BE$4,BE$4&gt;$L72+23),"",OFFSET(Electric!$L63,0,-'Electric Calendarize'!$L72+'Electric Calendarize'!BE$4+1))</f>
        <v/>
      </c>
      <c r="BF72" t="str">
        <f ca="1">IF(OR($L72&gt;BF$4,BF$4&gt;$L72+23),"",OFFSET(Electric!$L63,0,-'Electric Calendarize'!$L72+'Electric Calendarize'!BF$4+1))</f>
        <v/>
      </c>
      <c r="BG72" t="str">
        <f ca="1">IF(OR($L72&gt;BG$4,BG$4&gt;$L72+23),"",OFFSET(Electric!$L63,0,-'Electric Calendarize'!$L72+'Electric Calendarize'!BG$4+1))</f>
        <v/>
      </c>
      <c r="BJ72" s="10" t="s">
        <v>37</v>
      </c>
      <c r="BK72">
        <f t="shared" si="195"/>
        <v>1</v>
      </c>
      <c r="BL72">
        <f t="shared" si="100"/>
        <v>0</v>
      </c>
      <c r="BM72">
        <f t="shared" si="101"/>
        <v>0</v>
      </c>
      <c r="BN72">
        <f t="shared" si="102"/>
        <v>0</v>
      </c>
      <c r="BO72">
        <f t="shared" si="103"/>
        <v>0</v>
      </c>
      <c r="BP72">
        <f t="shared" si="104"/>
        <v>0</v>
      </c>
      <c r="BQ72">
        <f t="shared" si="105"/>
        <v>0</v>
      </c>
      <c r="BR72">
        <f t="shared" si="106"/>
        <v>1</v>
      </c>
      <c r="BS72">
        <f t="shared" si="107"/>
        <v>1</v>
      </c>
      <c r="BT72">
        <f t="shared" si="108"/>
        <v>1</v>
      </c>
      <c r="BU72">
        <f t="shared" si="109"/>
        <v>1</v>
      </c>
      <c r="BV72">
        <f t="shared" si="110"/>
        <v>1</v>
      </c>
      <c r="BW72">
        <f t="shared" si="111"/>
        <v>1</v>
      </c>
      <c r="BX72">
        <f t="shared" si="112"/>
        <v>0</v>
      </c>
      <c r="BY72">
        <f t="shared" si="113"/>
        <v>0</v>
      </c>
      <c r="BZ72">
        <f t="shared" si="114"/>
        <v>0</v>
      </c>
      <c r="CA72">
        <f t="shared" si="115"/>
        <v>0</v>
      </c>
      <c r="CB72">
        <f t="shared" si="116"/>
        <v>0</v>
      </c>
      <c r="CC72">
        <f t="shared" si="117"/>
        <v>0</v>
      </c>
      <c r="CD72">
        <f t="shared" si="118"/>
        <v>1</v>
      </c>
      <c r="CE72">
        <f t="shared" si="119"/>
        <v>1</v>
      </c>
      <c r="CF72">
        <f t="shared" si="120"/>
        <v>1</v>
      </c>
      <c r="CG72">
        <f t="shared" si="121"/>
        <v>1</v>
      </c>
      <c r="CH72">
        <f t="shared" si="122"/>
        <v>1</v>
      </c>
      <c r="CI72">
        <f t="shared" si="123"/>
        <v>1</v>
      </c>
      <c r="CJ72">
        <f t="shared" si="124"/>
        <v>0</v>
      </c>
      <c r="CK72">
        <f t="shared" si="125"/>
        <v>0</v>
      </c>
      <c r="CL72">
        <f t="shared" si="126"/>
        <v>0</v>
      </c>
      <c r="CM72">
        <f t="shared" si="127"/>
        <v>0</v>
      </c>
      <c r="CN72">
        <f t="shared" si="128"/>
        <v>0</v>
      </c>
      <c r="CO72">
        <f t="shared" si="129"/>
        <v>0</v>
      </c>
      <c r="CP72">
        <f t="shared" si="130"/>
        <v>1</v>
      </c>
      <c r="CQ72">
        <f t="shared" si="131"/>
        <v>1</v>
      </c>
      <c r="CR72">
        <f t="shared" si="132"/>
        <v>1</v>
      </c>
      <c r="CS72">
        <f t="shared" si="133"/>
        <v>1</v>
      </c>
      <c r="CT72">
        <f t="shared" si="134"/>
        <v>1</v>
      </c>
      <c r="CU72">
        <f t="shared" si="135"/>
        <v>1</v>
      </c>
      <c r="CV72">
        <f t="shared" si="136"/>
        <v>0</v>
      </c>
      <c r="CW72">
        <f t="shared" si="137"/>
        <v>0</v>
      </c>
      <c r="CX72">
        <f t="shared" si="138"/>
        <v>0</v>
      </c>
      <c r="CY72">
        <f t="shared" si="139"/>
        <v>0</v>
      </c>
      <c r="CZ72">
        <f t="shared" si="140"/>
        <v>0</v>
      </c>
      <c r="DA72">
        <f t="shared" si="141"/>
        <v>0</v>
      </c>
      <c r="DB72">
        <f t="shared" si="142"/>
        <v>1</v>
      </c>
      <c r="DC72">
        <f t="shared" si="143"/>
        <v>1</v>
      </c>
      <c r="DF72" s="10" t="s">
        <v>37</v>
      </c>
      <c r="DG72" t="str">
        <f t="shared" si="207"/>
        <v>2021_11</v>
      </c>
      <c r="DH72" t="str">
        <f t="shared" si="207"/>
        <v>2021_11</v>
      </c>
      <c r="DI72" t="str">
        <f t="shared" si="207"/>
        <v>2021_11</v>
      </c>
      <c r="DJ72" t="str">
        <f t="shared" si="207"/>
        <v>2021_11</v>
      </c>
      <c r="DK72" t="str">
        <f t="shared" si="207"/>
        <v>2021_11</v>
      </c>
      <c r="DL72" t="str">
        <f t="shared" si="207"/>
        <v>2021_11</v>
      </c>
      <c r="DM72" t="str">
        <f t="shared" si="207"/>
        <v>2021_11</v>
      </c>
      <c r="DN72" t="str">
        <f t="shared" si="207"/>
        <v>2021_11</v>
      </c>
      <c r="DO72" t="str">
        <f t="shared" si="207"/>
        <v>2021_11</v>
      </c>
      <c r="DP72" t="str">
        <f t="shared" si="207"/>
        <v>2021_11</v>
      </c>
      <c r="DQ72" t="str">
        <f t="shared" si="207"/>
        <v>2021_11</v>
      </c>
      <c r="DR72" t="str">
        <f t="shared" si="207"/>
        <v>2021_11</v>
      </c>
      <c r="DS72" t="str">
        <f t="shared" si="207"/>
        <v>2021_11</v>
      </c>
      <c r="DT72" t="str">
        <f t="shared" si="207"/>
        <v>2021_11</v>
      </c>
      <c r="DU72" t="str">
        <f t="shared" si="207"/>
        <v>2021_11</v>
      </c>
      <c r="DV72" t="str">
        <f t="shared" si="207"/>
        <v>2021_11</v>
      </c>
      <c r="DW72" t="str">
        <f t="shared" si="206"/>
        <v>2021_11</v>
      </c>
      <c r="DX72" t="str">
        <f t="shared" si="206"/>
        <v>2021_11</v>
      </c>
      <c r="DY72" t="str">
        <f t="shared" si="206"/>
        <v>2021_11</v>
      </c>
      <c r="DZ72" t="str">
        <f t="shared" si="206"/>
        <v>2021_11</v>
      </c>
      <c r="EA72" t="str">
        <f t="shared" si="206"/>
        <v>2021_11</v>
      </c>
      <c r="EB72" t="str">
        <f t="shared" si="206"/>
        <v>2021_11</v>
      </c>
      <c r="EC72" t="str">
        <f t="shared" si="206"/>
        <v>2021_11</v>
      </c>
      <c r="ED72" t="str">
        <f t="shared" si="206"/>
        <v>2021_11</v>
      </c>
      <c r="EE72" t="str">
        <f t="shared" si="206"/>
        <v>2021_11</v>
      </c>
      <c r="EF72" t="str">
        <f t="shared" si="206"/>
        <v>2021_11</v>
      </c>
      <c r="EG72" t="str">
        <f t="shared" si="206"/>
        <v>2021_11</v>
      </c>
      <c r="EH72" t="str">
        <f t="shared" si="206"/>
        <v>2021_11</v>
      </c>
      <c r="EI72" t="str">
        <f t="shared" si="206"/>
        <v>2021_11</v>
      </c>
      <c r="EJ72" t="str">
        <f t="shared" si="206"/>
        <v>2021_11</v>
      </c>
      <c r="EK72" t="str">
        <f t="shared" si="206"/>
        <v>2021_11</v>
      </c>
      <c r="EL72" t="str">
        <f t="shared" si="205"/>
        <v>2021_11</v>
      </c>
      <c r="EM72" t="str">
        <f t="shared" si="205"/>
        <v>2021_11</v>
      </c>
      <c r="EN72" t="str">
        <f t="shared" si="205"/>
        <v>2021_11</v>
      </c>
      <c r="EO72" t="str">
        <f t="shared" si="205"/>
        <v>2021_11</v>
      </c>
      <c r="EP72" t="str">
        <f t="shared" si="205"/>
        <v>2021_11</v>
      </c>
      <c r="EQ72" t="str">
        <f t="shared" si="205"/>
        <v>2021_11</v>
      </c>
      <c r="ER72" t="str">
        <f t="shared" si="205"/>
        <v>2021_11</v>
      </c>
      <c r="ES72" t="str">
        <f t="shared" si="205"/>
        <v>2021_11</v>
      </c>
      <c r="ET72" t="str">
        <f t="shared" si="205"/>
        <v>2021_11</v>
      </c>
      <c r="EU72" t="str">
        <f t="shared" si="205"/>
        <v>2021_11</v>
      </c>
      <c r="EV72" t="str">
        <f t="shared" si="205"/>
        <v>2021_11</v>
      </c>
      <c r="EW72" t="str">
        <f t="shared" si="205"/>
        <v>2021_11</v>
      </c>
      <c r="EX72" t="str">
        <f t="shared" si="205"/>
        <v>2021_11</v>
      </c>
      <c r="EY72" t="str">
        <f t="shared" si="205"/>
        <v>2021_11</v>
      </c>
      <c r="FB72" s="10" t="s">
        <v>37</v>
      </c>
      <c r="FC72">
        <f t="shared" si="197"/>
        <v>0</v>
      </c>
      <c r="FD72">
        <f t="shared" si="147"/>
        <v>0</v>
      </c>
      <c r="FE72">
        <f t="shared" si="148"/>
        <v>0</v>
      </c>
      <c r="FF72">
        <f t="shared" si="149"/>
        <v>0</v>
      </c>
      <c r="FG72">
        <f t="shared" si="150"/>
        <v>0</v>
      </c>
      <c r="FH72">
        <f t="shared" si="151"/>
        <v>0</v>
      </c>
      <c r="FI72">
        <f t="shared" si="152"/>
        <v>0</v>
      </c>
      <c r="FJ72">
        <f t="shared" si="153"/>
        <v>0</v>
      </c>
      <c r="FK72">
        <f t="shared" si="154"/>
        <v>0</v>
      </c>
      <c r="FL72">
        <f t="shared" si="155"/>
        <v>0</v>
      </c>
      <c r="FM72">
        <f t="shared" si="156"/>
        <v>0</v>
      </c>
      <c r="FN72">
        <f t="shared" si="157"/>
        <v>0</v>
      </c>
      <c r="FO72">
        <f t="shared" si="158"/>
        <v>0</v>
      </c>
      <c r="FP72">
        <f t="shared" si="159"/>
        <v>0</v>
      </c>
      <c r="FQ72">
        <f t="shared" si="160"/>
        <v>0</v>
      </c>
      <c r="FR72">
        <f t="shared" si="161"/>
        <v>0</v>
      </c>
      <c r="FS72">
        <f t="shared" si="162"/>
        <v>0</v>
      </c>
      <c r="FT72">
        <f t="shared" si="163"/>
        <v>0</v>
      </c>
      <c r="FU72">
        <f t="shared" si="164"/>
        <v>0</v>
      </c>
      <c r="FV72">
        <f t="shared" si="165"/>
        <v>1</v>
      </c>
      <c r="FW72">
        <f t="shared" si="166"/>
        <v>1</v>
      </c>
      <c r="FX72">
        <f t="shared" si="167"/>
        <v>1</v>
      </c>
      <c r="FY72">
        <f t="shared" si="168"/>
        <v>1</v>
      </c>
      <c r="FZ72">
        <f t="shared" si="169"/>
        <v>1</v>
      </c>
      <c r="GA72">
        <f t="shared" si="170"/>
        <v>1</v>
      </c>
      <c r="GB72">
        <f t="shared" si="171"/>
        <v>1</v>
      </c>
      <c r="GC72">
        <f t="shared" si="172"/>
        <v>1</v>
      </c>
      <c r="GD72">
        <f t="shared" si="173"/>
        <v>1</v>
      </c>
      <c r="GE72">
        <f t="shared" si="174"/>
        <v>1</v>
      </c>
      <c r="GF72">
        <f t="shared" si="175"/>
        <v>1</v>
      </c>
      <c r="GG72">
        <f t="shared" si="176"/>
        <v>1</v>
      </c>
      <c r="GH72">
        <f t="shared" si="177"/>
        <v>1</v>
      </c>
      <c r="GI72">
        <f t="shared" si="178"/>
        <v>1</v>
      </c>
      <c r="GJ72">
        <f t="shared" si="179"/>
        <v>1</v>
      </c>
      <c r="GK72">
        <f t="shared" si="180"/>
        <v>1</v>
      </c>
      <c r="GL72">
        <f t="shared" si="181"/>
        <v>1</v>
      </c>
      <c r="GM72">
        <f t="shared" si="182"/>
        <v>1</v>
      </c>
      <c r="GN72">
        <f t="shared" si="183"/>
        <v>1</v>
      </c>
      <c r="GO72">
        <f t="shared" si="184"/>
        <v>1</v>
      </c>
      <c r="GP72">
        <f t="shared" si="185"/>
        <v>1</v>
      </c>
      <c r="GQ72">
        <f t="shared" si="186"/>
        <v>1</v>
      </c>
      <c r="GR72">
        <f t="shared" si="187"/>
        <v>1</v>
      </c>
      <c r="GS72">
        <f t="shared" si="188"/>
        <v>1</v>
      </c>
      <c r="GT72">
        <f t="shared" si="189"/>
        <v>1</v>
      </c>
      <c r="GU72">
        <f t="shared" si="190"/>
        <v>1</v>
      </c>
      <c r="GX72" s="10"/>
    </row>
    <row r="73" spans="1:206" x14ac:dyDescent="0.3">
      <c r="A73" s="9" t="s">
        <v>46</v>
      </c>
      <c r="B73" s="80"/>
      <c r="C73" s="9">
        <v>3021663000</v>
      </c>
      <c r="D73" s="9" t="s">
        <v>401</v>
      </c>
      <c r="E73" s="9" t="s">
        <v>39</v>
      </c>
      <c r="F73" s="9" t="s">
        <v>35</v>
      </c>
      <c r="G73" s="9" t="s">
        <v>104</v>
      </c>
      <c r="H73" s="10">
        <v>44533</v>
      </c>
      <c r="I73" s="9">
        <f t="shared" si="191"/>
        <v>2021</v>
      </c>
      <c r="J73" s="9">
        <f t="shared" si="192"/>
        <v>12</v>
      </c>
      <c r="K73" s="9" t="str">
        <f t="shared" si="193"/>
        <v>2021_12</v>
      </c>
      <c r="L73">
        <f>MAX(0,VLOOKUP($K73,lookups!$A$1:$B$45,2,0)-12)</f>
        <v>8</v>
      </c>
      <c r="M73" s="40">
        <f t="shared" si="194"/>
        <v>44531</v>
      </c>
      <c r="N73" s="10" t="s">
        <v>37</v>
      </c>
      <c r="O73" t="str">
        <f ca="1">IF(OR($L73&gt;O$4,O$4&gt;$L73+23),"",OFFSET(Electric!$L64,0,-'Electric Calendarize'!$L73+'Electric Calendarize'!O$4+1))</f>
        <v/>
      </c>
      <c r="P73" t="str">
        <f ca="1">IF(OR($L73&gt;P$4,P$4&gt;$L73+23),"",OFFSET(Electric!$L64,0,-'Electric Calendarize'!$L73+'Electric Calendarize'!P$4+1))</f>
        <v/>
      </c>
      <c r="Q73" t="str">
        <f ca="1">IF(OR($L73&gt;Q$4,Q$4&gt;$L73+23),"",OFFSET(Electric!$L64,0,-'Electric Calendarize'!$L73+'Electric Calendarize'!Q$4+1))</f>
        <v/>
      </c>
      <c r="R73" t="str">
        <f ca="1">IF(OR($L73&gt;R$4,R$4&gt;$L73+23),"",OFFSET(Electric!$L64,0,-'Electric Calendarize'!$L73+'Electric Calendarize'!R$4+1))</f>
        <v/>
      </c>
      <c r="S73" t="str">
        <f ca="1">IF(OR($L73&gt;S$4,S$4&gt;$L73+23),"",OFFSET(Electric!$L64,0,-'Electric Calendarize'!$L73+'Electric Calendarize'!S$4+1))</f>
        <v/>
      </c>
      <c r="T73" t="str">
        <f ca="1">IF(OR($L73&gt;T$4,T$4&gt;$L73+23),"",OFFSET(Electric!$L64,0,-'Electric Calendarize'!$L73+'Electric Calendarize'!T$4+1))</f>
        <v/>
      </c>
      <c r="U73" t="str">
        <f ca="1">IF(OR($L73&gt;U$4,U$4&gt;$L73+23),"",OFFSET(Electric!$L64,0,-'Electric Calendarize'!$L73+'Electric Calendarize'!U$4+1))</f>
        <v/>
      </c>
      <c r="V73" t="str">
        <f ca="1">IF(OR($L73&gt;V$4,V$4&gt;$L73+23),"",OFFSET(Electric!$L64,0,-'Electric Calendarize'!$L73+'Electric Calendarize'!V$4+1))</f>
        <v/>
      </c>
      <c r="W73">
        <f ca="1">IF(OR($L73&gt;W$4,W$4&gt;$L73+23),"",OFFSET(Electric!$L64,0,-'Electric Calendarize'!$L73+'Electric Calendarize'!W$4+1))</f>
        <v>806</v>
      </c>
      <c r="X73">
        <f ca="1">IF(OR($L73&gt;X$4,X$4&gt;$L73+23),"",OFFSET(Electric!$L64,0,-'Electric Calendarize'!$L73+'Electric Calendarize'!X$4+1))</f>
        <v>1168</v>
      </c>
      <c r="Y73">
        <f ca="1">IF(OR($L73&gt;Y$4,Y$4&gt;$L73+23),"",OFFSET(Electric!$L64,0,-'Electric Calendarize'!$L73+'Electric Calendarize'!Y$4+1))</f>
        <v>740</v>
      </c>
      <c r="Z73">
        <f ca="1">IF(OR($L73&gt;Z$4,Z$4&gt;$L73+23),"",OFFSET(Electric!$L64,0,-'Electric Calendarize'!$L73+'Electric Calendarize'!Z$4+1))</f>
        <v>608</v>
      </c>
      <c r="AA73">
        <f ca="1">IF(OR($L73&gt;AA$4,AA$4&gt;$L73+23),"",OFFSET(Electric!$L64,0,-'Electric Calendarize'!$L73+'Electric Calendarize'!AA$4+1))</f>
        <v>432</v>
      </c>
      <c r="AB73">
        <f ca="1">IF(OR($L73&gt;AB$4,AB$4&gt;$L73+23),"",OFFSET(Electric!$L64,0,-'Electric Calendarize'!$L73+'Electric Calendarize'!AB$4+1))</f>
        <v>630</v>
      </c>
      <c r="AC73">
        <f ca="1">IF(OR($L73&gt;AC$4,AC$4&gt;$L73+23),"",OFFSET(Electric!$L64,0,-'Electric Calendarize'!$L73+'Electric Calendarize'!AC$4+1))</f>
        <v>1010</v>
      </c>
      <c r="AD73">
        <f ca="1">IF(OR($L73&gt;AD$4,AD$4&gt;$L73+23),"",OFFSET(Electric!$L64,0,-'Electric Calendarize'!$L73+'Electric Calendarize'!AD$4+1))</f>
        <v>1736</v>
      </c>
      <c r="AE73">
        <f ca="1">IF(OR($L73&gt;AE$4,AE$4&gt;$L73+23),"",OFFSET(Electric!$L64,0,-'Electric Calendarize'!$L73+'Electric Calendarize'!AE$4+1))</f>
        <v>1438</v>
      </c>
      <c r="AF73">
        <f ca="1">IF(OR($L73&gt;AF$4,AF$4&gt;$L73+23),"",OFFSET(Electric!$L64,0,-'Electric Calendarize'!$L73+'Electric Calendarize'!AF$4+1))</f>
        <v>796</v>
      </c>
      <c r="AG73">
        <f ca="1">IF(OR($L73&gt;AG$4,AG$4&gt;$L73+23),"",OFFSET(Electric!$L64,0,-'Electric Calendarize'!$L73+'Electric Calendarize'!AG$4+1))</f>
        <v>452</v>
      </c>
      <c r="AH73">
        <f ca="1">IF(OR($L73&gt;AH$4,AH$4&gt;$L73+23),"",OFFSET(Electric!$L64,0,-'Electric Calendarize'!$L73+'Electric Calendarize'!AH$4+1))</f>
        <v>578</v>
      </c>
      <c r="AI73">
        <f ca="1">IF(OR($L73&gt;AI$4,AI$4&gt;$L73+23),"",OFFSET(Electric!$L64,0,-'Electric Calendarize'!$L73+'Electric Calendarize'!AI$4+1))</f>
        <v>1138</v>
      </c>
      <c r="AJ73">
        <f ca="1">IF(OR($L73&gt;AJ$4,AJ$4&gt;$L73+23),"",OFFSET(Electric!$L64,0,-'Electric Calendarize'!$L73+'Electric Calendarize'!AJ$4+1))</f>
        <v>1840</v>
      </c>
      <c r="AK73">
        <f ca="1">IF(OR($L73&gt;AK$4,AK$4&gt;$L73+23),"",OFFSET(Electric!$L64,0,-'Electric Calendarize'!$L73+'Electric Calendarize'!AK$4+1))</f>
        <v>1314</v>
      </c>
      <c r="AL73">
        <f ca="1">IF(OR($L73&gt;AL$4,AL$4&gt;$L73+23),"",OFFSET(Electric!$L64,0,-'Electric Calendarize'!$L73+'Electric Calendarize'!AL$4+1))</f>
        <v>1114</v>
      </c>
      <c r="AM73">
        <f ca="1">IF(OR($L73&gt;AM$4,AM$4&gt;$L73+23),"",OFFSET(Electric!$L64,0,-'Electric Calendarize'!$L73+'Electric Calendarize'!AM$4+1))</f>
        <v>742</v>
      </c>
      <c r="AN73">
        <f ca="1">IF(OR($L73&gt;AN$4,AN$4&gt;$L73+23),"",OFFSET(Electric!$L64,0,-'Electric Calendarize'!$L73+'Electric Calendarize'!AN$4+1))</f>
        <v>474</v>
      </c>
      <c r="AO73">
        <f ca="1">IF(OR($L73&gt;AO$4,AO$4&gt;$L73+23),"",OFFSET(Electric!$L64,0,-'Electric Calendarize'!$L73+'Electric Calendarize'!AO$4+1))</f>
        <v>574</v>
      </c>
      <c r="AP73">
        <f ca="1">IF(OR($L73&gt;AP$4,AP$4&gt;$L73+23),"",OFFSET(Electric!$L64,0,-'Electric Calendarize'!$L73+'Electric Calendarize'!AP$4+1))</f>
        <v>912</v>
      </c>
      <c r="AQ73">
        <f ca="1">IF(OR($L73&gt;AQ$4,AQ$4&gt;$L73+23),"",OFFSET(Electric!$L64,0,-'Electric Calendarize'!$L73+'Electric Calendarize'!AQ$4+1))</f>
        <v>1036</v>
      </c>
      <c r="AR73">
        <f ca="1">IF(OR($L73&gt;AR$4,AR$4&gt;$L73+23),"",OFFSET(Electric!$L64,0,-'Electric Calendarize'!$L73+'Electric Calendarize'!AR$4+1))</f>
        <v>832</v>
      </c>
      <c r="AS73">
        <f ca="1">IF(OR($L73&gt;AS$4,AS$4&gt;$L73+23),"",OFFSET(Electric!$L64,0,-'Electric Calendarize'!$L73+'Electric Calendarize'!AS$4+1))</f>
        <v>484</v>
      </c>
      <c r="AT73">
        <f ca="1">IF(OR($L73&gt;AT$4,AT$4&gt;$L73+23),"",OFFSET(Electric!$L64,0,-'Electric Calendarize'!$L73+'Electric Calendarize'!AT$4+1))</f>
        <v>990</v>
      </c>
      <c r="AU73" t="str">
        <f ca="1">IF(OR($L73&gt;AU$4,AU$4&gt;$L73+23),"",OFFSET(Electric!$L64,0,-'Electric Calendarize'!$L73+'Electric Calendarize'!AU$4+1))</f>
        <v/>
      </c>
      <c r="AV73" t="str">
        <f ca="1">IF(OR($L73&gt;AV$4,AV$4&gt;$L73+23),"",OFFSET(Electric!$L64,0,-'Electric Calendarize'!$L73+'Electric Calendarize'!AV$4+1))</f>
        <v/>
      </c>
      <c r="AW73" t="str">
        <f ca="1">IF(OR($L73&gt;AW$4,AW$4&gt;$L73+23),"",OFFSET(Electric!$L64,0,-'Electric Calendarize'!$L73+'Electric Calendarize'!AW$4+1))</f>
        <v/>
      </c>
      <c r="AX73" t="str">
        <f ca="1">IF(OR($L73&gt;AX$4,AX$4&gt;$L73+23),"",OFFSET(Electric!$L64,0,-'Electric Calendarize'!$L73+'Electric Calendarize'!AX$4+1))</f>
        <v/>
      </c>
      <c r="AY73" t="str">
        <f ca="1">IF(OR($L73&gt;AY$4,AY$4&gt;$L73+23),"",OFFSET(Electric!$L64,0,-'Electric Calendarize'!$L73+'Electric Calendarize'!AY$4+1))</f>
        <v/>
      </c>
      <c r="AZ73" t="str">
        <f ca="1">IF(OR($L73&gt;AZ$4,AZ$4&gt;$L73+23),"",OFFSET(Electric!$L64,0,-'Electric Calendarize'!$L73+'Electric Calendarize'!AZ$4+1))</f>
        <v/>
      </c>
      <c r="BA73" t="str">
        <f ca="1">IF(OR($L73&gt;BA$4,BA$4&gt;$L73+23),"",OFFSET(Electric!$L64,0,-'Electric Calendarize'!$L73+'Electric Calendarize'!BA$4+1))</f>
        <v/>
      </c>
      <c r="BB73" t="str">
        <f ca="1">IF(OR($L73&gt;BB$4,BB$4&gt;$L73+23),"",OFFSET(Electric!$L64,0,-'Electric Calendarize'!$L73+'Electric Calendarize'!BB$4+1))</f>
        <v/>
      </c>
      <c r="BC73" t="str">
        <f ca="1">IF(OR($L73&gt;BC$4,BC$4&gt;$L73+23),"",OFFSET(Electric!$L64,0,-'Electric Calendarize'!$L73+'Electric Calendarize'!BC$4+1))</f>
        <v/>
      </c>
      <c r="BD73" t="str">
        <f ca="1">IF(OR($L73&gt;BD$4,BD$4&gt;$L73+23),"",OFFSET(Electric!$L64,0,-'Electric Calendarize'!$L73+'Electric Calendarize'!BD$4+1))</f>
        <v/>
      </c>
      <c r="BE73" t="str">
        <f ca="1">IF(OR($L73&gt;BE$4,BE$4&gt;$L73+23),"",OFFSET(Electric!$L64,0,-'Electric Calendarize'!$L73+'Electric Calendarize'!BE$4+1))</f>
        <v/>
      </c>
      <c r="BF73" t="str">
        <f ca="1">IF(OR($L73&gt;BF$4,BF$4&gt;$L73+23),"",OFFSET(Electric!$L64,0,-'Electric Calendarize'!$L73+'Electric Calendarize'!BF$4+1))</f>
        <v/>
      </c>
      <c r="BG73" t="str">
        <f ca="1">IF(OR($L73&gt;BG$4,BG$4&gt;$L73+23),"",OFFSET(Electric!$L64,0,-'Electric Calendarize'!$L73+'Electric Calendarize'!BG$4+1))</f>
        <v/>
      </c>
      <c r="BJ73" s="10" t="s">
        <v>37</v>
      </c>
      <c r="BK73">
        <f t="shared" si="195"/>
        <v>1</v>
      </c>
      <c r="BL73">
        <f t="shared" si="100"/>
        <v>0</v>
      </c>
      <c r="BM73">
        <f t="shared" si="101"/>
        <v>0</v>
      </c>
      <c r="BN73">
        <f t="shared" si="102"/>
        <v>0</v>
      </c>
      <c r="BO73">
        <f t="shared" si="103"/>
        <v>0</v>
      </c>
      <c r="BP73">
        <f t="shared" si="104"/>
        <v>0</v>
      </c>
      <c r="BQ73">
        <f t="shared" si="105"/>
        <v>0</v>
      </c>
      <c r="BR73">
        <f t="shared" si="106"/>
        <v>1</v>
      </c>
      <c r="BS73">
        <f t="shared" si="107"/>
        <v>1</v>
      </c>
      <c r="BT73">
        <f t="shared" si="108"/>
        <v>1</v>
      </c>
      <c r="BU73">
        <f t="shared" si="109"/>
        <v>1</v>
      </c>
      <c r="BV73">
        <f t="shared" si="110"/>
        <v>1</v>
      </c>
      <c r="BW73">
        <f t="shared" si="111"/>
        <v>1</v>
      </c>
      <c r="BX73">
        <f t="shared" si="112"/>
        <v>0</v>
      </c>
      <c r="BY73">
        <f t="shared" si="113"/>
        <v>0</v>
      </c>
      <c r="BZ73">
        <f t="shared" si="114"/>
        <v>0</v>
      </c>
      <c r="CA73">
        <f t="shared" si="115"/>
        <v>0</v>
      </c>
      <c r="CB73">
        <f t="shared" si="116"/>
        <v>0</v>
      </c>
      <c r="CC73">
        <f t="shared" si="117"/>
        <v>0</v>
      </c>
      <c r="CD73">
        <f t="shared" si="118"/>
        <v>1</v>
      </c>
      <c r="CE73">
        <f t="shared" si="119"/>
        <v>1</v>
      </c>
      <c r="CF73">
        <f t="shared" si="120"/>
        <v>1</v>
      </c>
      <c r="CG73">
        <f t="shared" si="121"/>
        <v>1</v>
      </c>
      <c r="CH73">
        <f t="shared" si="122"/>
        <v>1</v>
      </c>
      <c r="CI73">
        <f t="shared" si="123"/>
        <v>1</v>
      </c>
      <c r="CJ73">
        <f t="shared" si="124"/>
        <v>0</v>
      </c>
      <c r="CK73">
        <f t="shared" si="125"/>
        <v>0</v>
      </c>
      <c r="CL73">
        <f t="shared" si="126"/>
        <v>0</v>
      </c>
      <c r="CM73">
        <f t="shared" si="127"/>
        <v>0</v>
      </c>
      <c r="CN73">
        <f t="shared" si="128"/>
        <v>0</v>
      </c>
      <c r="CO73">
        <f t="shared" si="129"/>
        <v>0</v>
      </c>
      <c r="CP73">
        <f t="shared" si="130"/>
        <v>1</v>
      </c>
      <c r="CQ73">
        <f t="shared" si="131"/>
        <v>1</v>
      </c>
      <c r="CR73">
        <f t="shared" si="132"/>
        <v>1</v>
      </c>
      <c r="CS73">
        <f t="shared" si="133"/>
        <v>1</v>
      </c>
      <c r="CT73">
        <f t="shared" si="134"/>
        <v>1</v>
      </c>
      <c r="CU73">
        <f t="shared" si="135"/>
        <v>1</v>
      </c>
      <c r="CV73">
        <f t="shared" si="136"/>
        <v>0</v>
      </c>
      <c r="CW73">
        <f t="shared" si="137"/>
        <v>0</v>
      </c>
      <c r="CX73">
        <f t="shared" si="138"/>
        <v>0</v>
      </c>
      <c r="CY73">
        <f t="shared" si="139"/>
        <v>0</v>
      </c>
      <c r="CZ73">
        <f t="shared" si="140"/>
        <v>0</v>
      </c>
      <c r="DA73">
        <f t="shared" si="141"/>
        <v>0</v>
      </c>
      <c r="DB73">
        <f t="shared" si="142"/>
        <v>1</v>
      </c>
      <c r="DC73">
        <f t="shared" si="143"/>
        <v>1</v>
      </c>
      <c r="DF73" s="10" t="s">
        <v>37</v>
      </c>
      <c r="DG73" t="str">
        <f t="shared" si="207"/>
        <v>2021_12</v>
      </c>
      <c r="DH73" t="str">
        <f t="shared" si="207"/>
        <v>2021_12</v>
      </c>
      <c r="DI73" t="str">
        <f t="shared" si="207"/>
        <v>2021_12</v>
      </c>
      <c r="DJ73" t="str">
        <f t="shared" si="207"/>
        <v>2021_12</v>
      </c>
      <c r="DK73" t="str">
        <f t="shared" si="207"/>
        <v>2021_12</v>
      </c>
      <c r="DL73" t="str">
        <f t="shared" si="207"/>
        <v>2021_12</v>
      </c>
      <c r="DM73" t="str">
        <f t="shared" si="207"/>
        <v>2021_12</v>
      </c>
      <c r="DN73" t="str">
        <f t="shared" si="207"/>
        <v>2021_12</v>
      </c>
      <c r="DO73" t="str">
        <f t="shared" si="207"/>
        <v>2021_12</v>
      </c>
      <c r="DP73" t="str">
        <f t="shared" si="207"/>
        <v>2021_12</v>
      </c>
      <c r="DQ73" t="str">
        <f t="shared" si="207"/>
        <v>2021_12</v>
      </c>
      <c r="DR73" t="str">
        <f t="shared" si="207"/>
        <v>2021_12</v>
      </c>
      <c r="DS73" t="str">
        <f t="shared" si="207"/>
        <v>2021_12</v>
      </c>
      <c r="DT73" t="str">
        <f t="shared" si="207"/>
        <v>2021_12</v>
      </c>
      <c r="DU73" t="str">
        <f t="shared" si="207"/>
        <v>2021_12</v>
      </c>
      <c r="DV73" t="str">
        <f t="shared" si="207"/>
        <v>2021_12</v>
      </c>
      <c r="DW73" t="str">
        <f t="shared" si="206"/>
        <v>2021_12</v>
      </c>
      <c r="DX73" t="str">
        <f t="shared" si="206"/>
        <v>2021_12</v>
      </c>
      <c r="DY73" t="str">
        <f t="shared" si="206"/>
        <v>2021_12</v>
      </c>
      <c r="DZ73" t="str">
        <f t="shared" si="206"/>
        <v>2021_12</v>
      </c>
      <c r="EA73" t="str">
        <f t="shared" si="206"/>
        <v>2021_12</v>
      </c>
      <c r="EB73" t="str">
        <f t="shared" si="206"/>
        <v>2021_12</v>
      </c>
      <c r="EC73" t="str">
        <f t="shared" si="206"/>
        <v>2021_12</v>
      </c>
      <c r="ED73" t="str">
        <f t="shared" si="206"/>
        <v>2021_12</v>
      </c>
      <c r="EE73" t="str">
        <f t="shared" si="206"/>
        <v>2021_12</v>
      </c>
      <c r="EF73" t="str">
        <f t="shared" si="206"/>
        <v>2021_12</v>
      </c>
      <c r="EG73" t="str">
        <f t="shared" si="206"/>
        <v>2021_12</v>
      </c>
      <c r="EH73" t="str">
        <f t="shared" si="206"/>
        <v>2021_12</v>
      </c>
      <c r="EI73" t="str">
        <f t="shared" si="206"/>
        <v>2021_12</v>
      </c>
      <c r="EJ73" t="str">
        <f t="shared" si="206"/>
        <v>2021_12</v>
      </c>
      <c r="EK73" t="str">
        <f t="shared" si="206"/>
        <v>2021_12</v>
      </c>
      <c r="EL73" t="str">
        <f t="shared" si="206"/>
        <v>2021_12</v>
      </c>
      <c r="EM73" t="str">
        <f t="shared" ref="EM73:EY88" si="208">$K73</f>
        <v>2021_12</v>
      </c>
      <c r="EN73" t="str">
        <f t="shared" si="208"/>
        <v>2021_12</v>
      </c>
      <c r="EO73" t="str">
        <f t="shared" si="208"/>
        <v>2021_12</v>
      </c>
      <c r="EP73" t="str">
        <f t="shared" si="208"/>
        <v>2021_12</v>
      </c>
      <c r="EQ73" t="str">
        <f t="shared" si="208"/>
        <v>2021_12</v>
      </c>
      <c r="ER73" t="str">
        <f t="shared" si="208"/>
        <v>2021_12</v>
      </c>
      <c r="ES73" t="str">
        <f t="shared" si="208"/>
        <v>2021_12</v>
      </c>
      <c r="ET73" t="str">
        <f t="shared" si="208"/>
        <v>2021_12</v>
      </c>
      <c r="EU73" t="str">
        <f t="shared" si="208"/>
        <v>2021_12</v>
      </c>
      <c r="EV73" t="str">
        <f t="shared" si="208"/>
        <v>2021_12</v>
      </c>
      <c r="EW73" t="str">
        <f t="shared" si="208"/>
        <v>2021_12</v>
      </c>
      <c r="EX73" t="str">
        <f t="shared" si="208"/>
        <v>2021_12</v>
      </c>
      <c r="EY73" t="str">
        <f t="shared" si="208"/>
        <v>2021_12</v>
      </c>
      <c r="FB73" s="10" t="s">
        <v>37</v>
      </c>
      <c r="FC73">
        <f t="shared" si="197"/>
        <v>0</v>
      </c>
      <c r="FD73">
        <f t="shared" si="147"/>
        <v>0</v>
      </c>
      <c r="FE73">
        <f t="shared" si="148"/>
        <v>0</v>
      </c>
      <c r="FF73">
        <f t="shared" si="149"/>
        <v>0</v>
      </c>
      <c r="FG73">
        <f t="shared" si="150"/>
        <v>0</v>
      </c>
      <c r="FH73">
        <f t="shared" si="151"/>
        <v>0</v>
      </c>
      <c r="FI73">
        <f t="shared" si="152"/>
        <v>0</v>
      </c>
      <c r="FJ73">
        <f t="shared" si="153"/>
        <v>0</v>
      </c>
      <c r="FK73">
        <f t="shared" si="154"/>
        <v>0</v>
      </c>
      <c r="FL73">
        <f t="shared" si="155"/>
        <v>0</v>
      </c>
      <c r="FM73">
        <f t="shared" si="156"/>
        <v>0</v>
      </c>
      <c r="FN73">
        <f t="shared" si="157"/>
        <v>0</v>
      </c>
      <c r="FO73">
        <f t="shared" si="158"/>
        <v>0</v>
      </c>
      <c r="FP73">
        <f t="shared" si="159"/>
        <v>0</v>
      </c>
      <c r="FQ73">
        <f t="shared" si="160"/>
        <v>0</v>
      </c>
      <c r="FR73">
        <f t="shared" si="161"/>
        <v>0</v>
      </c>
      <c r="FS73">
        <f t="shared" si="162"/>
        <v>0</v>
      </c>
      <c r="FT73">
        <f t="shared" si="163"/>
        <v>0</v>
      </c>
      <c r="FU73">
        <f t="shared" si="164"/>
        <v>0</v>
      </c>
      <c r="FV73">
        <f t="shared" si="165"/>
        <v>0</v>
      </c>
      <c r="FW73">
        <f t="shared" si="166"/>
        <v>1</v>
      </c>
      <c r="FX73">
        <f t="shared" si="167"/>
        <v>1</v>
      </c>
      <c r="FY73">
        <f t="shared" si="168"/>
        <v>1</v>
      </c>
      <c r="FZ73">
        <f t="shared" si="169"/>
        <v>1</v>
      </c>
      <c r="GA73">
        <f t="shared" si="170"/>
        <v>1</v>
      </c>
      <c r="GB73">
        <f t="shared" si="171"/>
        <v>1</v>
      </c>
      <c r="GC73">
        <f t="shared" si="172"/>
        <v>1</v>
      </c>
      <c r="GD73">
        <f t="shared" si="173"/>
        <v>1</v>
      </c>
      <c r="GE73">
        <f t="shared" si="174"/>
        <v>1</v>
      </c>
      <c r="GF73">
        <f t="shared" si="175"/>
        <v>1</v>
      </c>
      <c r="GG73">
        <f t="shared" si="176"/>
        <v>1</v>
      </c>
      <c r="GH73">
        <f t="shared" si="177"/>
        <v>1</v>
      </c>
      <c r="GI73">
        <f t="shared" si="178"/>
        <v>1</v>
      </c>
      <c r="GJ73">
        <f t="shared" si="179"/>
        <v>1</v>
      </c>
      <c r="GK73">
        <f t="shared" si="180"/>
        <v>1</v>
      </c>
      <c r="GL73">
        <f t="shared" si="181"/>
        <v>1</v>
      </c>
      <c r="GM73">
        <f t="shared" si="182"/>
        <v>1</v>
      </c>
      <c r="GN73">
        <f t="shared" si="183"/>
        <v>1</v>
      </c>
      <c r="GO73">
        <f t="shared" si="184"/>
        <v>1</v>
      </c>
      <c r="GP73">
        <f t="shared" si="185"/>
        <v>1</v>
      </c>
      <c r="GQ73">
        <f t="shared" si="186"/>
        <v>1</v>
      </c>
      <c r="GR73">
        <f t="shared" si="187"/>
        <v>1</v>
      </c>
      <c r="GS73">
        <f t="shared" si="188"/>
        <v>1</v>
      </c>
      <c r="GT73">
        <f t="shared" si="189"/>
        <v>1</v>
      </c>
      <c r="GU73">
        <f t="shared" si="190"/>
        <v>1</v>
      </c>
      <c r="GX73" s="10"/>
    </row>
    <row r="74" spans="1:206" x14ac:dyDescent="0.3">
      <c r="A74" s="8" t="s">
        <v>33</v>
      </c>
      <c r="B74" s="80"/>
      <c r="C74" s="9">
        <v>3160990001</v>
      </c>
      <c r="D74" s="9" t="s">
        <v>402</v>
      </c>
      <c r="E74" s="9" t="s">
        <v>100</v>
      </c>
      <c r="F74" s="9" t="s">
        <v>35</v>
      </c>
      <c r="G74" s="9" t="s">
        <v>105</v>
      </c>
      <c r="H74" s="10">
        <v>44536</v>
      </c>
      <c r="I74" s="9">
        <f t="shared" si="191"/>
        <v>2021</v>
      </c>
      <c r="J74" s="9">
        <f t="shared" si="192"/>
        <v>12</v>
      </c>
      <c r="K74" s="9" t="str">
        <f t="shared" si="193"/>
        <v>2021_12</v>
      </c>
      <c r="L74">
        <f>MAX(0,VLOOKUP($K74,lookups!$A$1:$B$45,2,0)-12)</f>
        <v>8</v>
      </c>
      <c r="M74" s="40">
        <f t="shared" si="194"/>
        <v>44531</v>
      </c>
      <c r="N74" s="10" t="s">
        <v>37</v>
      </c>
      <c r="O74" t="str">
        <f ca="1">IF(OR($L74&gt;O$4,O$4&gt;$L74+23),"",OFFSET(Electric!$L65,0,-'Electric Calendarize'!$L74+'Electric Calendarize'!O$4+1))</f>
        <v/>
      </c>
      <c r="P74" t="str">
        <f ca="1">IF(OR($L74&gt;P$4,P$4&gt;$L74+23),"",OFFSET(Electric!$L65,0,-'Electric Calendarize'!$L74+'Electric Calendarize'!P$4+1))</f>
        <v/>
      </c>
      <c r="Q74" t="str">
        <f ca="1">IF(OR($L74&gt;Q$4,Q$4&gt;$L74+23),"",OFFSET(Electric!$L65,0,-'Electric Calendarize'!$L74+'Electric Calendarize'!Q$4+1))</f>
        <v/>
      </c>
      <c r="R74" t="str">
        <f ca="1">IF(OR($L74&gt;R$4,R$4&gt;$L74+23),"",OFFSET(Electric!$L65,0,-'Electric Calendarize'!$L74+'Electric Calendarize'!R$4+1))</f>
        <v/>
      </c>
      <c r="S74" t="str">
        <f ca="1">IF(OR($L74&gt;S$4,S$4&gt;$L74+23),"",OFFSET(Electric!$L65,0,-'Electric Calendarize'!$L74+'Electric Calendarize'!S$4+1))</f>
        <v/>
      </c>
      <c r="T74" t="str">
        <f ca="1">IF(OR($L74&gt;T$4,T$4&gt;$L74+23),"",OFFSET(Electric!$L65,0,-'Electric Calendarize'!$L74+'Electric Calendarize'!T$4+1))</f>
        <v/>
      </c>
      <c r="U74" t="str">
        <f ca="1">IF(OR($L74&gt;U$4,U$4&gt;$L74+23),"",OFFSET(Electric!$L65,0,-'Electric Calendarize'!$L74+'Electric Calendarize'!U$4+1))</f>
        <v/>
      </c>
      <c r="V74" t="str">
        <f ca="1">IF(OR($L74&gt;V$4,V$4&gt;$L74+23),"",OFFSET(Electric!$L65,0,-'Electric Calendarize'!$L74+'Electric Calendarize'!V$4+1))</f>
        <v/>
      </c>
      <c r="W74">
        <f ca="1">IF(OR($L74&gt;W$4,W$4&gt;$L74+23),"",OFFSET(Electric!$L65,0,-'Electric Calendarize'!$L74+'Electric Calendarize'!W$4+1))</f>
        <v>1846</v>
      </c>
      <c r="X74">
        <f ca="1">IF(OR($L74&gt;X$4,X$4&gt;$L74+23),"",OFFSET(Electric!$L65,0,-'Electric Calendarize'!$L74+'Electric Calendarize'!X$4+1))</f>
        <v>1702</v>
      </c>
      <c r="Y74">
        <f ca="1">IF(OR($L74&gt;Y$4,Y$4&gt;$L74+23),"",OFFSET(Electric!$L65,0,-'Electric Calendarize'!$L74+'Electric Calendarize'!Y$4+1))</f>
        <v>2029</v>
      </c>
      <c r="Z74">
        <f ca="1">IF(OR($L74&gt;Z$4,Z$4&gt;$L74+23),"",OFFSET(Electric!$L65,0,-'Electric Calendarize'!$L74+'Electric Calendarize'!Z$4+1))</f>
        <v>1716</v>
      </c>
      <c r="AA74">
        <f ca="1">IF(OR($L74&gt;AA$4,AA$4&gt;$L74+23),"",OFFSET(Electric!$L65,0,-'Electric Calendarize'!$L74+'Electric Calendarize'!AA$4+1))</f>
        <v>872</v>
      </c>
      <c r="AB74">
        <f ca="1">IF(OR($L74&gt;AB$4,AB$4&gt;$L74+23),"",OFFSET(Electric!$L65,0,-'Electric Calendarize'!$L74+'Electric Calendarize'!AB$4+1))</f>
        <v>677</v>
      </c>
      <c r="AC74">
        <f ca="1">IF(OR($L74&gt;AC$4,AC$4&gt;$L74+23),"",OFFSET(Electric!$L65,0,-'Electric Calendarize'!$L74+'Electric Calendarize'!AC$4+1))</f>
        <v>738</v>
      </c>
      <c r="AD74">
        <f ca="1">IF(OR($L74&gt;AD$4,AD$4&gt;$L74+23),"",OFFSET(Electric!$L65,0,-'Electric Calendarize'!$L74+'Electric Calendarize'!AD$4+1))</f>
        <v>785</v>
      </c>
      <c r="AE74">
        <f ca="1">IF(OR($L74&gt;AE$4,AE$4&gt;$L74+23),"",OFFSET(Electric!$L65,0,-'Electric Calendarize'!$L74+'Electric Calendarize'!AE$4+1))</f>
        <v>753</v>
      </c>
      <c r="AF74">
        <f ca="1">IF(OR($L74&gt;AF$4,AF$4&gt;$L74+23),"",OFFSET(Electric!$L65,0,-'Electric Calendarize'!$L74+'Electric Calendarize'!AF$4+1))</f>
        <v>692</v>
      </c>
      <c r="AG74">
        <f ca="1">IF(OR($L74&gt;AG$4,AG$4&gt;$L74+23),"",OFFSET(Electric!$L65,0,-'Electric Calendarize'!$L74+'Electric Calendarize'!AG$4+1))</f>
        <v>661</v>
      </c>
      <c r="AH74">
        <f ca="1">IF(OR($L74&gt;AH$4,AH$4&gt;$L74+23),"",OFFSET(Electric!$L65,0,-'Electric Calendarize'!$L74+'Electric Calendarize'!AH$4+1))</f>
        <v>922</v>
      </c>
      <c r="AI74">
        <f ca="1">IF(OR($L74&gt;AI$4,AI$4&gt;$L74+23),"",OFFSET(Electric!$L65,0,-'Electric Calendarize'!$L74+'Electric Calendarize'!AI$4+1))</f>
        <v>1319</v>
      </c>
      <c r="AJ74">
        <f ca="1">IF(OR($L74&gt;AJ$4,AJ$4&gt;$L74+23),"",OFFSET(Electric!$L65,0,-'Electric Calendarize'!$L74+'Electric Calendarize'!AJ$4+1))</f>
        <v>2400</v>
      </c>
      <c r="AK74">
        <f ca="1">IF(OR($L74&gt;AK$4,AK$4&gt;$L74+23),"",OFFSET(Electric!$L65,0,-'Electric Calendarize'!$L74+'Electric Calendarize'!AK$4+1))</f>
        <v>1945</v>
      </c>
      <c r="AL74">
        <f ca="1">IF(OR($L74&gt;AL$4,AL$4&gt;$L74+23),"",OFFSET(Electric!$L65,0,-'Electric Calendarize'!$L74+'Electric Calendarize'!AL$4+1))</f>
        <v>1667</v>
      </c>
      <c r="AM74">
        <f ca="1">IF(OR($L74&gt;AM$4,AM$4&gt;$L74+23),"",OFFSET(Electric!$L65,0,-'Electric Calendarize'!$L74+'Electric Calendarize'!AM$4+1))</f>
        <v>1082</v>
      </c>
      <c r="AN74">
        <f ca="1">IF(OR($L74&gt;AN$4,AN$4&gt;$L74+23),"",OFFSET(Electric!$L65,0,-'Electric Calendarize'!$L74+'Electric Calendarize'!AN$4+1))</f>
        <v>861</v>
      </c>
      <c r="AO74">
        <f ca="1">IF(OR($L74&gt;AO$4,AO$4&gt;$L74+23),"",OFFSET(Electric!$L65,0,-'Electric Calendarize'!$L74+'Electric Calendarize'!AO$4+1))</f>
        <v>918</v>
      </c>
      <c r="AP74">
        <f ca="1">IF(OR($L74&gt;AP$4,AP$4&gt;$L74+23),"",OFFSET(Electric!$L65,0,-'Electric Calendarize'!$L74+'Electric Calendarize'!AP$4+1))</f>
        <v>959</v>
      </c>
      <c r="AQ74">
        <f ca="1">IF(OR($L74&gt;AQ$4,AQ$4&gt;$L74+23),"",OFFSET(Electric!$L65,0,-'Electric Calendarize'!$L74+'Electric Calendarize'!AQ$4+1))</f>
        <v>986</v>
      </c>
      <c r="AR74">
        <f ca="1">IF(OR($L74&gt;AR$4,AR$4&gt;$L74+23),"",OFFSET(Electric!$L65,0,-'Electric Calendarize'!$L74+'Electric Calendarize'!AR$4+1))</f>
        <v>744</v>
      </c>
      <c r="AS74">
        <f ca="1">IF(OR($L74&gt;AS$4,AS$4&gt;$L74+23),"",OFFSET(Electric!$L65,0,-'Electric Calendarize'!$L74+'Electric Calendarize'!AS$4+1))</f>
        <v>902</v>
      </c>
      <c r="AT74">
        <f ca="1">IF(OR($L74&gt;AT$4,AT$4&gt;$L74+23),"",OFFSET(Electric!$L65,0,-'Electric Calendarize'!$L74+'Electric Calendarize'!AT$4+1))</f>
        <v>1402</v>
      </c>
      <c r="AU74" t="str">
        <f ca="1">IF(OR($L74&gt;AU$4,AU$4&gt;$L74+23),"",OFFSET(Electric!$L65,0,-'Electric Calendarize'!$L74+'Electric Calendarize'!AU$4+1))</f>
        <v/>
      </c>
      <c r="AV74" t="str">
        <f ca="1">IF(OR($L74&gt;AV$4,AV$4&gt;$L74+23),"",OFFSET(Electric!$L65,0,-'Electric Calendarize'!$L74+'Electric Calendarize'!AV$4+1))</f>
        <v/>
      </c>
      <c r="AW74" t="str">
        <f ca="1">IF(OR($L74&gt;AW$4,AW$4&gt;$L74+23),"",OFFSET(Electric!$L65,0,-'Electric Calendarize'!$L74+'Electric Calendarize'!AW$4+1))</f>
        <v/>
      </c>
      <c r="AX74" t="str">
        <f ca="1">IF(OR($L74&gt;AX$4,AX$4&gt;$L74+23),"",OFFSET(Electric!$L65,0,-'Electric Calendarize'!$L74+'Electric Calendarize'!AX$4+1))</f>
        <v/>
      </c>
      <c r="AY74" t="str">
        <f ca="1">IF(OR($L74&gt;AY$4,AY$4&gt;$L74+23),"",OFFSET(Electric!$L65,0,-'Electric Calendarize'!$L74+'Electric Calendarize'!AY$4+1))</f>
        <v/>
      </c>
      <c r="AZ74" t="str">
        <f ca="1">IF(OR($L74&gt;AZ$4,AZ$4&gt;$L74+23),"",OFFSET(Electric!$L65,0,-'Electric Calendarize'!$L74+'Electric Calendarize'!AZ$4+1))</f>
        <v/>
      </c>
      <c r="BA74" t="str">
        <f ca="1">IF(OR($L74&gt;BA$4,BA$4&gt;$L74+23),"",OFFSET(Electric!$L65,0,-'Electric Calendarize'!$L74+'Electric Calendarize'!BA$4+1))</f>
        <v/>
      </c>
      <c r="BB74" t="str">
        <f ca="1">IF(OR($L74&gt;BB$4,BB$4&gt;$L74+23),"",OFFSET(Electric!$L65,0,-'Electric Calendarize'!$L74+'Electric Calendarize'!BB$4+1))</f>
        <v/>
      </c>
      <c r="BC74" t="str">
        <f ca="1">IF(OR($L74&gt;BC$4,BC$4&gt;$L74+23),"",OFFSET(Electric!$L65,0,-'Electric Calendarize'!$L74+'Electric Calendarize'!BC$4+1))</f>
        <v/>
      </c>
      <c r="BD74" t="str">
        <f ca="1">IF(OR($L74&gt;BD$4,BD$4&gt;$L74+23),"",OFFSET(Electric!$L65,0,-'Electric Calendarize'!$L74+'Electric Calendarize'!BD$4+1))</f>
        <v/>
      </c>
      <c r="BE74" t="str">
        <f ca="1">IF(OR($L74&gt;BE$4,BE$4&gt;$L74+23),"",OFFSET(Electric!$L65,0,-'Electric Calendarize'!$L74+'Electric Calendarize'!BE$4+1))</f>
        <v/>
      </c>
      <c r="BF74" t="str">
        <f ca="1">IF(OR($L74&gt;BF$4,BF$4&gt;$L74+23),"",OFFSET(Electric!$L65,0,-'Electric Calendarize'!$L74+'Electric Calendarize'!BF$4+1))</f>
        <v/>
      </c>
      <c r="BG74" t="str">
        <f ca="1">IF(OR($L74&gt;BG$4,BG$4&gt;$L74+23),"",OFFSET(Electric!$L65,0,-'Electric Calendarize'!$L74+'Electric Calendarize'!BG$4+1))</f>
        <v/>
      </c>
      <c r="BJ74" s="10" t="s">
        <v>37</v>
      </c>
      <c r="BK74">
        <f t="shared" si="195"/>
        <v>1</v>
      </c>
      <c r="BL74">
        <f t="shared" si="100"/>
        <v>0</v>
      </c>
      <c r="BM74">
        <f t="shared" si="101"/>
        <v>0</v>
      </c>
      <c r="BN74">
        <f t="shared" si="102"/>
        <v>0</v>
      </c>
      <c r="BO74">
        <f t="shared" si="103"/>
        <v>0</v>
      </c>
      <c r="BP74">
        <f t="shared" si="104"/>
        <v>0</v>
      </c>
      <c r="BQ74">
        <f t="shared" si="105"/>
        <v>0</v>
      </c>
      <c r="BR74">
        <f t="shared" si="106"/>
        <v>1</v>
      </c>
      <c r="BS74">
        <f t="shared" si="107"/>
        <v>1</v>
      </c>
      <c r="BT74">
        <f t="shared" si="108"/>
        <v>1</v>
      </c>
      <c r="BU74">
        <f t="shared" si="109"/>
        <v>1</v>
      </c>
      <c r="BV74">
        <f t="shared" si="110"/>
        <v>1</v>
      </c>
      <c r="BW74">
        <f t="shared" si="111"/>
        <v>1</v>
      </c>
      <c r="BX74">
        <f t="shared" si="112"/>
        <v>0</v>
      </c>
      <c r="BY74">
        <f t="shared" si="113"/>
        <v>0</v>
      </c>
      <c r="BZ74">
        <f t="shared" si="114"/>
        <v>0</v>
      </c>
      <c r="CA74">
        <f t="shared" si="115"/>
        <v>0</v>
      </c>
      <c r="CB74">
        <f t="shared" si="116"/>
        <v>0</v>
      </c>
      <c r="CC74">
        <f t="shared" si="117"/>
        <v>0</v>
      </c>
      <c r="CD74">
        <f t="shared" si="118"/>
        <v>1</v>
      </c>
      <c r="CE74">
        <f t="shared" si="119"/>
        <v>1</v>
      </c>
      <c r="CF74">
        <f t="shared" si="120"/>
        <v>1</v>
      </c>
      <c r="CG74">
        <f t="shared" si="121"/>
        <v>1</v>
      </c>
      <c r="CH74">
        <f t="shared" si="122"/>
        <v>1</v>
      </c>
      <c r="CI74">
        <f t="shared" si="123"/>
        <v>1</v>
      </c>
      <c r="CJ74">
        <f t="shared" si="124"/>
        <v>0</v>
      </c>
      <c r="CK74">
        <f t="shared" si="125"/>
        <v>0</v>
      </c>
      <c r="CL74">
        <f t="shared" si="126"/>
        <v>0</v>
      </c>
      <c r="CM74">
        <f t="shared" si="127"/>
        <v>0</v>
      </c>
      <c r="CN74">
        <f t="shared" si="128"/>
        <v>0</v>
      </c>
      <c r="CO74">
        <f t="shared" si="129"/>
        <v>0</v>
      </c>
      <c r="CP74">
        <f t="shared" si="130"/>
        <v>1</v>
      </c>
      <c r="CQ74">
        <f t="shared" si="131"/>
        <v>1</v>
      </c>
      <c r="CR74">
        <f t="shared" si="132"/>
        <v>1</v>
      </c>
      <c r="CS74">
        <f t="shared" si="133"/>
        <v>1</v>
      </c>
      <c r="CT74">
        <f t="shared" si="134"/>
        <v>1</v>
      </c>
      <c r="CU74">
        <f t="shared" si="135"/>
        <v>1</v>
      </c>
      <c r="CV74">
        <f t="shared" si="136"/>
        <v>0</v>
      </c>
      <c r="CW74">
        <f t="shared" si="137"/>
        <v>0</v>
      </c>
      <c r="CX74">
        <f t="shared" si="138"/>
        <v>0</v>
      </c>
      <c r="CY74">
        <f t="shared" si="139"/>
        <v>0</v>
      </c>
      <c r="CZ74">
        <f t="shared" si="140"/>
        <v>0</v>
      </c>
      <c r="DA74">
        <f t="shared" si="141"/>
        <v>0</v>
      </c>
      <c r="DB74">
        <f t="shared" si="142"/>
        <v>1</v>
      </c>
      <c r="DC74">
        <f t="shared" si="143"/>
        <v>1</v>
      </c>
      <c r="DF74" s="10" t="s">
        <v>37</v>
      </c>
      <c r="DG74" t="str">
        <f t="shared" si="207"/>
        <v>2021_12</v>
      </c>
      <c r="DH74" t="str">
        <f t="shared" si="207"/>
        <v>2021_12</v>
      </c>
      <c r="DI74" t="str">
        <f t="shared" si="207"/>
        <v>2021_12</v>
      </c>
      <c r="DJ74" t="str">
        <f t="shared" si="207"/>
        <v>2021_12</v>
      </c>
      <c r="DK74" t="str">
        <f t="shared" si="207"/>
        <v>2021_12</v>
      </c>
      <c r="DL74" t="str">
        <f t="shared" si="207"/>
        <v>2021_12</v>
      </c>
      <c r="DM74" t="str">
        <f t="shared" si="207"/>
        <v>2021_12</v>
      </c>
      <c r="DN74" t="str">
        <f t="shared" si="207"/>
        <v>2021_12</v>
      </c>
      <c r="DO74" t="str">
        <f t="shared" si="207"/>
        <v>2021_12</v>
      </c>
      <c r="DP74" t="str">
        <f t="shared" si="207"/>
        <v>2021_12</v>
      </c>
      <c r="DQ74" t="str">
        <f t="shared" si="207"/>
        <v>2021_12</v>
      </c>
      <c r="DR74" t="str">
        <f t="shared" si="207"/>
        <v>2021_12</v>
      </c>
      <c r="DS74" t="str">
        <f t="shared" si="207"/>
        <v>2021_12</v>
      </c>
      <c r="DT74" t="str">
        <f t="shared" si="207"/>
        <v>2021_12</v>
      </c>
      <c r="DU74" t="str">
        <f t="shared" si="207"/>
        <v>2021_12</v>
      </c>
      <c r="DV74" t="str">
        <f t="shared" si="207"/>
        <v>2021_12</v>
      </c>
      <c r="DW74" t="str">
        <f t="shared" si="206"/>
        <v>2021_12</v>
      </c>
      <c r="DX74" t="str">
        <f t="shared" si="206"/>
        <v>2021_12</v>
      </c>
      <c r="DY74" t="str">
        <f t="shared" si="206"/>
        <v>2021_12</v>
      </c>
      <c r="DZ74" t="str">
        <f t="shared" si="206"/>
        <v>2021_12</v>
      </c>
      <c r="EA74" t="str">
        <f t="shared" si="206"/>
        <v>2021_12</v>
      </c>
      <c r="EB74" t="str">
        <f t="shared" si="206"/>
        <v>2021_12</v>
      </c>
      <c r="EC74" t="str">
        <f t="shared" si="206"/>
        <v>2021_12</v>
      </c>
      <c r="ED74" t="str">
        <f t="shared" si="206"/>
        <v>2021_12</v>
      </c>
      <c r="EE74" t="str">
        <f t="shared" si="206"/>
        <v>2021_12</v>
      </c>
      <c r="EF74" t="str">
        <f t="shared" si="206"/>
        <v>2021_12</v>
      </c>
      <c r="EG74" t="str">
        <f t="shared" si="206"/>
        <v>2021_12</v>
      </c>
      <c r="EH74" t="str">
        <f t="shared" si="206"/>
        <v>2021_12</v>
      </c>
      <c r="EI74" t="str">
        <f t="shared" si="206"/>
        <v>2021_12</v>
      </c>
      <c r="EJ74" t="str">
        <f t="shared" si="206"/>
        <v>2021_12</v>
      </c>
      <c r="EK74" t="str">
        <f t="shared" si="206"/>
        <v>2021_12</v>
      </c>
      <c r="EL74" t="str">
        <f t="shared" si="206"/>
        <v>2021_12</v>
      </c>
      <c r="EM74" t="str">
        <f t="shared" si="208"/>
        <v>2021_12</v>
      </c>
      <c r="EN74" t="str">
        <f t="shared" si="208"/>
        <v>2021_12</v>
      </c>
      <c r="EO74" t="str">
        <f t="shared" si="208"/>
        <v>2021_12</v>
      </c>
      <c r="EP74" t="str">
        <f t="shared" si="208"/>
        <v>2021_12</v>
      </c>
      <c r="EQ74" t="str">
        <f t="shared" si="208"/>
        <v>2021_12</v>
      </c>
      <c r="ER74" t="str">
        <f t="shared" si="208"/>
        <v>2021_12</v>
      </c>
      <c r="ES74" t="str">
        <f t="shared" si="208"/>
        <v>2021_12</v>
      </c>
      <c r="ET74" t="str">
        <f t="shared" si="208"/>
        <v>2021_12</v>
      </c>
      <c r="EU74" t="str">
        <f t="shared" si="208"/>
        <v>2021_12</v>
      </c>
      <c r="EV74" t="str">
        <f t="shared" si="208"/>
        <v>2021_12</v>
      </c>
      <c r="EW74" t="str">
        <f t="shared" si="208"/>
        <v>2021_12</v>
      </c>
      <c r="EX74" t="str">
        <f t="shared" si="208"/>
        <v>2021_12</v>
      </c>
      <c r="EY74" t="str">
        <f t="shared" si="208"/>
        <v>2021_12</v>
      </c>
      <c r="FB74" s="10" t="s">
        <v>37</v>
      </c>
      <c r="FC74">
        <f t="shared" si="197"/>
        <v>0</v>
      </c>
      <c r="FD74">
        <f t="shared" si="147"/>
        <v>0</v>
      </c>
      <c r="FE74">
        <f t="shared" si="148"/>
        <v>0</v>
      </c>
      <c r="FF74">
        <f t="shared" si="149"/>
        <v>0</v>
      </c>
      <c r="FG74">
        <f t="shared" si="150"/>
        <v>0</v>
      </c>
      <c r="FH74">
        <f t="shared" si="151"/>
        <v>0</v>
      </c>
      <c r="FI74">
        <f t="shared" si="152"/>
        <v>0</v>
      </c>
      <c r="FJ74">
        <f t="shared" si="153"/>
        <v>0</v>
      </c>
      <c r="FK74">
        <f t="shared" si="154"/>
        <v>0</v>
      </c>
      <c r="FL74">
        <f t="shared" si="155"/>
        <v>0</v>
      </c>
      <c r="FM74">
        <f t="shared" si="156"/>
        <v>0</v>
      </c>
      <c r="FN74">
        <f t="shared" si="157"/>
        <v>0</v>
      </c>
      <c r="FO74">
        <f t="shared" si="158"/>
        <v>0</v>
      </c>
      <c r="FP74">
        <f t="shared" si="159"/>
        <v>0</v>
      </c>
      <c r="FQ74">
        <f t="shared" si="160"/>
        <v>0</v>
      </c>
      <c r="FR74">
        <f t="shared" si="161"/>
        <v>0</v>
      </c>
      <c r="FS74">
        <f t="shared" si="162"/>
        <v>0</v>
      </c>
      <c r="FT74">
        <f t="shared" si="163"/>
        <v>0</v>
      </c>
      <c r="FU74">
        <f t="shared" si="164"/>
        <v>0</v>
      </c>
      <c r="FV74">
        <f t="shared" si="165"/>
        <v>0</v>
      </c>
      <c r="FW74">
        <f t="shared" si="166"/>
        <v>1</v>
      </c>
      <c r="FX74">
        <f t="shared" si="167"/>
        <v>1</v>
      </c>
      <c r="FY74">
        <f t="shared" si="168"/>
        <v>1</v>
      </c>
      <c r="FZ74">
        <f t="shared" si="169"/>
        <v>1</v>
      </c>
      <c r="GA74">
        <f t="shared" si="170"/>
        <v>1</v>
      </c>
      <c r="GB74">
        <f t="shared" si="171"/>
        <v>1</v>
      </c>
      <c r="GC74">
        <f t="shared" si="172"/>
        <v>1</v>
      </c>
      <c r="GD74">
        <f t="shared" si="173"/>
        <v>1</v>
      </c>
      <c r="GE74">
        <f t="shared" si="174"/>
        <v>1</v>
      </c>
      <c r="GF74">
        <f t="shared" si="175"/>
        <v>1</v>
      </c>
      <c r="GG74">
        <f t="shared" si="176"/>
        <v>1</v>
      </c>
      <c r="GH74">
        <f t="shared" si="177"/>
        <v>1</v>
      </c>
      <c r="GI74">
        <f t="shared" si="178"/>
        <v>1</v>
      </c>
      <c r="GJ74">
        <f t="shared" si="179"/>
        <v>1</v>
      </c>
      <c r="GK74">
        <f t="shared" si="180"/>
        <v>1</v>
      </c>
      <c r="GL74">
        <f t="shared" si="181"/>
        <v>1</v>
      </c>
      <c r="GM74">
        <f t="shared" si="182"/>
        <v>1</v>
      </c>
      <c r="GN74">
        <f t="shared" si="183"/>
        <v>1</v>
      </c>
      <c r="GO74">
        <f t="shared" si="184"/>
        <v>1</v>
      </c>
      <c r="GP74">
        <f t="shared" si="185"/>
        <v>1</v>
      </c>
      <c r="GQ74">
        <f t="shared" si="186"/>
        <v>1</v>
      </c>
      <c r="GR74">
        <f t="shared" si="187"/>
        <v>1</v>
      </c>
      <c r="GS74">
        <f t="shared" si="188"/>
        <v>1</v>
      </c>
      <c r="GT74">
        <f t="shared" si="189"/>
        <v>1</v>
      </c>
      <c r="GU74">
        <f t="shared" si="190"/>
        <v>1</v>
      </c>
      <c r="GX74" s="10"/>
    </row>
    <row r="75" spans="1:206" x14ac:dyDescent="0.3">
      <c r="A75" s="8" t="s">
        <v>33</v>
      </c>
      <c r="B75" s="80"/>
      <c r="C75" s="9">
        <v>3121467000</v>
      </c>
      <c r="D75" s="9" t="s">
        <v>403</v>
      </c>
      <c r="E75" s="9" t="s">
        <v>39</v>
      </c>
      <c r="F75" s="9" t="s">
        <v>35</v>
      </c>
      <c r="G75" s="9" t="s">
        <v>106</v>
      </c>
      <c r="H75" s="10">
        <v>44537</v>
      </c>
      <c r="I75" s="9">
        <f t="shared" si="191"/>
        <v>2021</v>
      </c>
      <c r="J75" s="9">
        <f t="shared" si="192"/>
        <v>12</v>
      </c>
      <c r="K75" s="9" t="str">
        <f t="shared" si="193"/>
        <v>2021_12</v>
      </c>
      <c r="L75">
        <f>MAX(0,VLOOKUP($K75,lookups!$A$1:$B$45,2,0)-12)</f>
        <v>8</v>
      </c>
      <c r="M75" s="40">
        <f t="shared" si="194"/>
        <v>44531</v>
      </c>
      <c r="N75" s="10" t="s">
        <v>37</v>
      </c>
      <c r="O75" t="str">
        <f ca="1">IF(OR($L75&gt;O$4,O$4&gt;$L75+23),"",OFFSET(Electric!$L66,0,-'Electric Calendarize'!$L75+'Electric Calendarize'!O$4+1))</f>
        <v/>
      </c>
      <c r="P75" t="str">
        <f ca="1">IF(OR($L75&gt;P$4,P$4&gt;$L75+23),"",OFFSET(Electric!$L66,0,-'Electric Calendarize'!$L75+'Electric Calendarize'!P$4+1))</f>
        <v/>
      </c>
      <c r="Q75" t="str">
        <f ca="1">IF(OR($L75&gt;Q$4,Q$4&gt;$L75+23),"",OFFSET(Electric!$L66,0,-'Electric Calendarize'!$L75+'Electric Calendarize'!Q$4+1))</f>
        <v/>
      </c>
      <c r="R75" t="str">
        <f ca="1">IF(OR($L75&gt;R$4,R$4&gt;$L75+23),"",OFFSET(Electric!$L66,0,-'Electric Calendarize'!$L75+'Electric Calendarize'!R$4+1))</f>
        <v/>
      </c>
      <c r="S75" t="str">
        <f ca="1">IF(OR($L75&gt;S$4,S$4&gt;$L75+23),"",OFFSET(Electric!$L66,0,-'Electric Calendarize'!$L75+'Electric Calendarize'!S$4+1))</f>
        <v/>
      </c>
      <c r="T75" t="str">
        <f ca="1">IF(OR($L75&gt;T$4,T$4&gt;$L75+23),"",OFFSET(Electric!$L66,0,-'Electric Calendarize'!$L75+'Electric Calendarize'!T$4+1))</f>
        <v/>
      </c>
      <c r="U75" t="str">
        <f ca="1">IF(OR($L75&gt;U$4,U$4&gt;$L75+23),"",OFFSET(Electric!$L66,0,-'Electric Calendarize'!$L75+'Electric Calendarize'!U$4+1))</f>
        <v/>
      </c>
      <c r="V75" t="str">
        <f ca="1">IF(OR($L75&gt;V$4,V$4&gt;$L75+23),"",OFFSET(Electric!$L66,0,-'Electric Calendarize'!$L75+'Electric Calendarize'!V$4+1))</f>
        <v/>
      </c>
      <c r="W75">
        <f ca="1">IF(OR($L75&gt;W$4,W$4&gt;$L75+23),"",OFFSET(Electric!$L66,0,-'Electric Calendarize'!$L75+'Electric Calendarize'!W$4+1))</f>
        <v>660</v>
      </c>
      <c r="X75">
        <f ca="1">IF(OR($L75&gt;X$4,X$4&gt;$L75+23),"",OFFSET(Electric!$L66,0,-'Electric Calendarize'!$L75+'Electric Calendarize'!X$4+1))</f>
        <v>590</v>
      </c>
      <c r="Y75">
        <f ca="1">IF(OR($L75&gt;Y$4,Y$4&gt;$L75+23),"",OFFSET(Electric!$L66,0,-'Electric Calendarize'!$L75+'Electric Calendarize'!Y$4+1))</f>
        <v>558</v>
      </c>
      <c r="Z75">
        <f ca="1">IF(OR($L75&gt;Z$4,Z$4&gt;$L75+23),"",OFFSET(Electric!$L66,0,-'Electric Calendarize'!$L75+'Electric Calendarize'!Z$4+1))</f>
        <v>539</v>
      </c>
      <c r="AA75">
        <f ca="1">IF(OR($L75&gt;AA$4,AA$4&gt;$L75+23),"",OFFSET(Electric!$L66,0,-'Electric Calendarize'!$L75+'Electric Calendarize'!AA$4+1))</f>
        <v>485</v>
      </c>
      <c r="AB75">
        <f ca="1">IF(OR($L75&gt;AB$4,AB$4&gt;$L75+23),"",OFFSET(Electric!$L66,0,-'Electric Calendarize'!$L75+'Electric Calendarize'!AB$4+1))</f>
        <v>524</v>
      </c>
      <c r="AC75">
        <f ca="1">IF(OR($L75&gt;AC$4,AC$4&gt;$L75+23),"",OFFSET(Electric!$L66,0,-'Electric Calendarize'!$L75+'Electric Calendarize'!AC$4+1))</f>
        <v>609</v>
      </c>
      <c r="AD75">
        <f ca="1">IF(OR($L75&gt;AD$4,AD$4&gt;$L75+23),"",OFFSET(Electric!$L66,0,-'Electric Calendarize'!$L75+'Electric Calendarize'!AD$4+1))</f>
        <v>822</v>
      </c>
      <c r="AE75">
        <f ca="1">IF(OR($L75&gt;AE$4,AE$4&gt;$L75+23),"",OFFSET(Electric!$L66,0,-'Electric Calendarize'!$L75+'Electric Calendarize'!AE$4+1))</f>
        <v>863</v>
      </c>
      <c r="AF75">
        <f ca="1">IF(OR($L75&gt;AF$4,AF$4&gt;$L75+23),"",OFFSET(Electric!$L66,0,-'Electric Calendarize'!$L75+'Electric Calendarize'!AF$4+1))</f>
        <v>761</v>
      </c>
      <c r="AG75">
        <f ca="1">IF(OR($L75&gt;AG$4,AG$4&gt;$L75+23),"",OFFSET(Electric!$L66,0,-'Electric Calendarize'!$L75+'Electric Calendarize'!AG$4+1))</f>
        <v>508</v>
      </c>
      <c r="AH75">
        <f ca="1">IF(OR($L75&gt;AH$4,AH$4&gt;$L75+23),"",OFFSET(Electric!$L66,0,-'Electric Calendarize'!$L75+'Electric Calendarize'!AH$4+1))</f>
        <v>522</v>
      </c>
      <c r="AI75">
        <f ca="1">IF(OR($L75&gt;AI$4,AI$4&gt;$L75+23),"",OFFSET(Electric!$L66,0,-'Electric Calendarize'!$L75+'Electric Calendarize'!AI$4+1))</f>
        <v>841</v>
      </c>
      <c r="AJ75">
        <f ca="1">IF(OR($L75&gt;AJ$4,AJ$4&gt;$L75+23),"",OFFSET(Electric!$L66,0,-'Electric Calendarize'!$L75+'Electric Calendarize'!AJ$4+1))</f>
        <v>1006</v>
      </c>
      <c r="AK75">
        <f ca="1">IF(OR($L75&gt;AK$4,AK$4&gt;$L75+23),"",OFFSET(Electric!$L66,0,-'Electric Calendarize'!$L75+'Electric Calendarize'!AK$4+1))</f>
        <v>590</v>
      </c>
      <c r="AL75">
        <f ca="1">IF(OR($L75&gt;AL$4,AL$4&gt;$L75+23),"",OFFSET(Electric!$L66,0,-'Electric Calendarize'!$L75+'Electric Calendarize'!AL$4+1))</f>
        <v>529</v>
      </c>
      <c r="AM75">
        <f ca="1">IF(OR($L75&gt;AM$4,AM$4&gt;$L75+23),"",OFFSET(Electric!$L66,0,-'Electric Calendarize'!$L75+'Electric Calendarize'!AM$4+1))</f>
        <v>494</v>
      </c>
      <c r="AN75">
        <f ca="1">IF(OR($L75&gt;AN$4,AN$4&gt;$L75+23),"",OFFSET(Electric!$L66,0,-'Electric Calendarize'!$L75+'Electric Calendarize'!AN$4+1))</f>
        <v>503</v>
      </c>
      <c r="AO75">
        <f ca="1">IF(OR($L75&gt;AO$4,AO$4&gt;$L75+23),"",OFFSET(Electric!$L66,0,-'Electric Calendarize'!$L75+'Electric Calendarize'!AO$4+1))</f>
        <v>449</v>
      </c>
      <c r="AP75">
        <f ca="1">IF(OR($L75&gt;AP$4,AP$4&gt;$L75+23),"",OFFSET(Electric!$L66,0,-'Electric Calendarize'!$L75+'Electric Calendarize'!AP$4+1))</f>
        <v>447</v>
      </c>
      <c r="AQ75">
        <f ca="1">IF(OR($L75&gt;AQ$4,AQ$4&gt;$L75+23),"",OFFSET(Electric!$L66,0,-'Electric Calendarize'!$L75+'Electric Calendarize'!AQ$4+1))</f>
        <v>455</v>
      </c>
      <c r="AR75">
        <f ca="1">IF(OR($L75&gt;AR$4,AR$4&gt;$L75+23),"",OFFSET(Electric!$L66,0,-'Electric Calendarize'!$L75+'Electric Calendarize'!AR$4+1))</f>
        <v>404</v>
      </c>
      <c r="AS75">
        <f ca="1">IF(OR($L75&gt;AS$4,AS$4&gt;$L75+23),"",OFFSET(Electric!$L66,0,-'Electric Calendarize'!$L75+'Electric Calendarize'!AS$4+1))</f>
        <v>461</v>
      </c>
      <c r="AT75">
        <f ca="1">IF(OR($L75&gt;AT$4,AT$4&gt;$L75+23),"",OFFSET(Electric!$L66,0,-'Electric Calendarize'!$L75+'Electric Calendarize'!AT$4+1))</f>
        <v>561</v>
      </c>
      <c r="AU75" t="str">
        <f ca="1">IF(OR($L75&gt;AU$4,AU$4&gt;$L75+23),"",OFFSET(Electric!$L66,0,-'Electric Calendarize'!$L75+'Electric Calendarize'!AU$4+1))</f>
        <v/>
      </c>
      <c r="AV75" t="str">
        <f ca="1">IF(OR($L75&gt;AV$4,AV$4&gt;$L75+23),"",OFFSET(Electric!$L66,0,-'Electric Calendarize'!$L75+'Electric Calendarize'!AV$4+1))</f>
        <v/>
      </c>
      <c r="AW75" t="str">
        <f ca="1">IF(OR($L75&gt;AW$4,AW$4&gt;$L75+23),"",OFFSET(Electric!$L66,0,-'Electric Calendarize'!$L75+'Electric Calendarize'!AW$4+1))</f>
        <v/>
      </c>
      <c r="AX75" t="str">
        <f ca="1">IF(OR($L75&gt;AX$4,AX$4&gt;$L75+23),"",OFFSET(Electric!$L66,0,-'Electric Calendarize'!$L75+'Electric Calendarize'!AX$4+1))</f>
        <v/>
      </c>
      <c r="AY75" t="str">
        <f ca="1">IF(OR($L75&gt;AY$4,AY$4&gt;$L75+23),"",OFFSET(Electric!$L66,0,-'Electric Calendarize'!$L75+'Electric Calendarize'!AY$4+1))</f>
        <v/>
      </c>
      <c r="AZ75" t="str">
        <f ca="1">IF(OR($L75&gt;AZ$4,AZ$4&gt;$L75+23),"",OFFSET(Electric!$L66,0,-'Electric Calendarize'!$L75+'Electric Calendarize'!AZ$4+1))</f>
        <v/>
      </c>
      <c r="BA75" t="str">
        <f ca="1">IF(OR($L75&gt;BA$4,BA$4&gt;$L75+23),"",OFFSET(Electric!$L66,0,-'Electric Calendarize'!$L75+'Electric Calendarize'!BA$4+1))</f>
        <v/>
      </c>
      <c r="BB75" t="str">
        <f ca="1">IF(OR($L75&gt;BB$4,BB$4&gt;$L75+23),"",OFFSET(Electric!$L66,0,-'Electric Calendarize'!$L75+'Electric Calendarize'!BB$4+1))</f>
        <v/>
      </c>
      <c r="BC75" t="str">
        <f ca="1">IF(OR($L75&gt;BC$4,BC$4&gt;$L75+23),"",OFFSET(Electric!$L66,0,-'Electric Calendarize'!$L75+'Electric Calendarize'!BC$4+1))</f>
        <v/>
      </c>
      <c r="BD75" t="str">
        <f ca="1">IF(OR($L75&gt;BD$4,BD$4&gt;$L75+23),"",OFFSET(Electric!$L66,0,-'Electric Calendarize'!$L75+'Electric Calendarize'!BD$4+1))</f>
        <v/>
      </c>
      <c r="BE75" t="str">
        <f ca="1">IF(OR($L75&gt;BE$4,BE$4&gt;$L75+23),"",OFFSET(Electric!$L66,0,-'Electric Calendarize'!$L75+'Electric Calendarize'!BE$4+1))</f>
        <v/>
      </c>
      <c r="BF75" t="str">
        <f ca="1">IF(OR($L75&gt;BF$4,BF$4&gt;$L75+23),"",OFFSET(Electric!$L66,0,-'Electric Calendarize'!$L75+'Electric Calendarize'!BF$4+1))</f>
        <v/>
      </c>
      <c r="BG75" t="str">
        <f ca="1">IF(OR($L75&gt;BG$4,BG$4&gt;$L75+23),"",OFFSET(Electric!$L66,0,-'Electric Calendarize'!$L75+'Electric Calendarize'!BG$4+1))</f>
        <v/>
      </c>
      <c r="BJ75" s="10" t="s">
        <v>37</v>
      </c>
      <c r="BK75">
        <f t="shared" si="195"/>
        <v>1</v>
      </c>
      <c r="BL75">
        <f t="shared" ref="BL75:BL138" si="209">+P$8</f>
        <v>0</v>
      </c>
      <c r="BM75">
        <f t="shared" ref="BM75:BM138" si="210">+Q$8</f>
        <v>0</v>
      </c>
      <c r="BN75">
        <f t="shared" ref="BN75:BN138" si="211">+R$8</f>
        <v>0</v>
      </c>
      <c r="BO75">
        <f t="shared" ref="BO75:BO138" si="212">+S$8</f>
        <v>0</v>
      </c>
      <c r="BP75">
        <f t="shared" ref="BP75:BP138" si="213">+T$8</f>
        <v>0</v>
      </c>
      <c r="BQ75">
        <f t="shared" ref="BQ75:BQ138" si="214">+U$8</f>
        <v>0</v>
      </c>
      <c r="BR75">
        <f t="shared" ref="BR75:BR138" si="215">+V$8</f>
        <v>1</v>
      </c>
      <c r="BS75">
        <f t="shared" ref="BS75:BS138" si="216">+W$8</f>
        <v>1</v>
      </c>
      <c r="BT75">
        <f t="shared" ref="BT75:BT138" si="217">+X$8</f>
        <v>1</v>
      </c>
      <c r="BU75">
        <f t="shared" ref="BU75:BU138" si="218">+Y$8</f>
        <v>1</v>
      </c>
      <c r="BV75">
        <f t="shared" ref="BV75:BV138" si="219">+Z$8</f>
        <v>1</v>
      </c>
      <c r="BW75">
        <f t="shared" ref="BW75:BW138" si="220">+AA$8</f>
        <v>1</v>
      </c>
      <c r="BX75">
        <f t="shared" ref="BX75:BX138" si="221">+AB$8</f>
        <v>0</v>
      </c>
      <c r="BY75">
        <f t="shared" ref="BY75:BY138" si="222">+AC$8</f>
        <v>0</v>
      </c>
      <c r="BZ75">
        <f t="shared" ref="BZ75:BZ138" si="223">+AD$8</f>
        <v>0</v>
      </c>
      <c r="CA75">
        <f t="shared" ref="CA75:CA138" si="224">+AE$8</f>
        <v>0</v>
      </c>
      <c r="CB75">
        <f t="shared" ref="CB75:CB138" si="225">+AF$8</f>
        <v>0</v>
      </c>
      <c r="CC75">
        <f t="shared" ref="CC75:CC138" si="226">+AG$8</f>
        <v>0</v>
      </c>
      <c r="CD75">
        <f t="shared" ref="CD75:CD138" si="227">+AH$8</f>
        <v>1</v>
      </c>
      <c r="CE75">
        <f t="shared" ref="CE75:CE138" si="228">+AI$8</f>
        <v>1</v>
      </c>
      <c r="CF75">
        <f t="shared" ref="CF75:CF138" si="229">+AJ$8</f>
        <v>1</v>
      </c>
      <c r="CG75">
        <f t="shared" ref="CG75:CG138" si="230">+AK$8</f>
        <v>1</v>
      </c>
      <c r="CH75">
        <f t="shared" ref="CH75:CH138" si="231">+AL$8</f>
        <v>1</v>
      </c>
      <c r="CI75">
        <f t="shared" ref="CI75:CI138" si="232">+AM$8</f>
        <v>1</v>
      </c>
      <c r="CJ75">
        <f t="shared" ref="CJ75:CJ138" si="233">+AN$8</f>
        <v>0</v>
      </c>
      <c r="CK75">
        <f t="shared" ref="CK75:CK138" si="234">+AO$8</f>
        <v>0</v>
      </c>
      <c r="CL75">
        <f t="shared" ref="CL75:CL138" si="235">+AP$8</f>
        <v>0</v>
      </c>
      <c r="CM75">
        <f t="shared" ref="CM75:CM138" si="236">+AQ$8</f>
        <v>0</v>
      </c>
      <c r="CN75">
        <f t="shared" ref="CN75:CN138" si="237">+AR$8</f>
        <v>0</v>
      </c>
      <c r="CO75">
        <f t="shared" ref="CO75:CO138" si="238">+AS$8</f>
        <v>0</v>
      </c>
      <c r="CP75">
        <f t="shared" ref="CP75:CP138" si="239">+AT$8</f>
        <v>1</v>
      </c>
      <c r="CQ75">
        <f t="shared" ref="CQ75:CQ138" si="240">+AU$8</f>
        <v>1</v>
      </c>
      <c r="CR75">
        <f t="shared" ref="CR75:CR138" si="241">+AV$8</f>
        <v>1</v>
      </c>
      <c r="CS75">
        <f t="shared" ref="CS75:CS138" si="242">+AW$8</f>
        <v>1</v>
      </c>
      <c r="CT75">
        <f t="shared" ref="CT75:CT138" si="243">+AX$8</f>
        <v>1</v>
      </c>
      <c r="CU75">
        <f t="shared" ref="CU75:CU138" si="244">+AY$8</f>
        <v>1</v>
      </c>
      <c r="CV75">
        <f t="shared" ref="CV75:CV138" si="245">+AZ$8</f>
        <v>0</v>
      </c>
      <c r="CW75">
        <f t="shared" ref="CW75:CW138" si="246">+BA$8</f>
        <v>0</v>
      </c>
      <c r="CX75">
        <f t="shared" ref="CX75:CX138" si="247">+BB$8</f>
        <v>0</v>
      </c>
      <c r="CY75">
        <f t="shared" ref="CY75:CY138" si="248">+BC$8</f>
        <v>0</v>
      </c>
      <c r="CZ75">
        <f t="shared" ref="CZ75:CZ138" si="249">+BD$8</f>
        <v>0</v>
      </c>
      <c r="DA75">
        <f t="shared" ref="DA75:DA138" si="250">+BE$8</f>
        <v>0</v>
      </c>
      <c r="DB75">
        <f t="shared" ref="DB75:DB138" si="251">+BF$8</f>
        <v>1</v>
      </c>
      <c r="DC75">
        <f t="shared" ref="DC75:DC138" si="252">+BG$8</f>
        <v>1</v>
      </c>
      <c r="DF75" s="10" t="s">
        <v>37</v>
      </c>
      <c r="DG75" t="str">
        <f t="shared" si="207"/>
        <v>2021_12</v>
      </c>
      <c r="DH75" t="str">
        <f t="shared" si="207"/>
        <v>2021_12</v>
      </c>
      <c r="DI75" t="str">
        <f t="shared" si="207"/>
        <v>2021_12</v>
      </c>
      <c r="DJ75" t="str">
        <f t="shared" si="207"/>
        <v>2021_12</v>
      </c>
      <c r="DK75" t="str">
        <f t="shared" si="207"/>
        <v>2021_12</v>
      </c>
      <c r="DL75" t="str">
        <f t="shared" si="207"/>
        <v>2021_12</v>
      </c>
      <c r="DM75" t="str">
        <f t="shared" si="207"/>
        <v>2021_12</v>
      </c>
      <c r="DN75" t="str">
        <f t="shared" si="207"/>
        <v>2021_12</v>
      </c>
      <c r="DO75" t="str">
        <f t="shared" si="207"/>
        <v>2021_12</v>
      </c>
      <c r="DP75" t="str">
        <f t="shared" si="207"/>
        <v>2021_12</v>
      </c>
      <c r="DQ75" t="str">
        <f t="shared" si="207"/>
        <v>2021_12</v>
      </c>
      <c r="DR75" t="str">
        <f t="shared" si="207"/>
        <v>2021_12</v>
      </c>
      <c r="DS75" t="str">
        <f t="shared" si="207"/>
        <v>2021_12</v>
      </c>
      <c r="DT75" t="str">
        <f t="shared" si="207"/>
        <v>2021_12</v>
      </c>
      <c r="DU75" t="str">
        <f t="shared" si="207"/>
        <v>2021_12</v>
      </c>
      <c r="DV75" t="str">
        <f t="shared" ref="DV75:EK90" si="253">$K75</f>
        <v>2021_12</v>
      </c>
      <c r="DW75" t="str">
        <f t="shared" si="253"/>
        <v>2021_12</v>
      </c>
      <c r="DX75" t="str">
        <f t="shared" si="253"/>
        <v>2021_12</v>
      </c>
      <c r="DY75" t="str">
        <f t="shared" si="253"/>
        <v>2021_12</v>
      </c>
      <c r="DZ75" t="str">
        <f t="shared" si="253"/>
        <v>2021_12</v>
      </c>
      <c r="EA75" t="str">
        <f t="shared" si="253"/>
        <v>2021_12</v>
      </c>
      <c r="EB75" t="str">
        <f t="shared" si="253"/>
        <v>2021_12</v>
      </c>
      <c r="EC75" t="str">
        <f t="shared" si="253"/>
        <v>2021_12</v>
      </c>
      <c r="ED75" t="str">
        <f t="shared" si="253"/>
        <v>2021_12</v>
      </c>
      <c r="EE75" t="str">
        <f t="shared" si="253"/>
        <v>2021_12</v>
      </c>
      <c r="EF75" t="str">
        <f t="shared" si="253"/>
        <v>2021_12</v>
      </c>
      <c r="EG75" t="str">
        <f t="shared" si="253"/>
        <v>2021_12</v>
      </c>
      <c r="EH75" t="str">
        <f t="shared" si="253"/>
        <v>2021_12</v>
      </c>
      <c r="EI75" t="str">
        <f t="shared" si="253"/>
        <v>2021_12</v>
      </c>
      <c r="EJ75" t="str">
        <f t="shared" si="253"/>
        <v>2021_12</v>
      </c>
      <c r="EK75" t="str">
        <f t="shared" si="253"/>
        <v>2021_12</v>
      </c>
      <c r="EL75" t="str">
        <f t="shared" ref="EL75:EY90" si="254">$K75</f>
        <v>2021_12</v>
      </c>
      <c r="EM75" t="str">
        <f t="shared" si="208"/>
        <v>2021_12</v>
      </c>
      <c r="EN75" t="str">
        <f t="shared" si="208"/>
        <v>2021_12</v>
      </c>
      <c r="EO75" t="str">
        <f t="shared" si="208"/>
        <v>2021_12</v>
      </c>
      <c r="EP75" t="str">
        <f t="shared" si="208"/>
        <v>2021_12</v>
      </c>
      <c r="EQ75" t="str">
        <f t="shared" si="208"/>
        <v>2021_12</v>
      </c>
      <c r="ER75" t="str">
        <f t="shared" si="208"/>
        <v>2021_12</v>
      </c>
      <c r="ES75" t="str">
        <f t="shared" si="208"/>
        <v>2021_12</v>
      </c>
      <c r="ET75" t="str">
        <f t="shared" si="208"/>
        <v>2021_12</v>
      </c>
      <c r="EU75" t="str">
        <f t="shared" si="208"/>
        <v>2021_12</v>
      </c>
      <c r="EV75" t="str">
        <f t="shared" si="208"/>
        <v>2021_12</v>
      </c>
      <c r="EW75" t="str">
        <f t="shared" si="208"/>
        <v>2021_12</v>
      </c>
      <c r="EX75" t="str">
        <f t="shared" si="208"/>
        <v>2021_12</v>
      </c>
      <c r="EY75" t="str">
        <f t="shared" si="208"/>
        <v>2021_12</v>
      </c>
      <c r="FB75" s="10" t="s">
        <v>37</v>
      </c>
      <c r="FC75">
        <f t="shared" si="197"/>
        <v>0</v>
      </c>
      <c r="FD75">
        <f t="shared" ref="FD75:FD138" si="255">IF($M75&lt;=P$3,1,0)</f>
        <v>0</v>
      </c>
      <c r="FE75">
        <f t="shared" ref="FE75:FE138" si="256">IF($M75&lt;=Q$3,1,0)</f>
        <v>0</v>
      </c>
      <c r="FF75">
        <f t="shared" ref="FF75:FF138" si="257">IF($M75&lt;=R$3,1,0)</f>
        <v>0</v>
      </c>
      <c r="FG75">
        <f t="shared" ref="FG75:FG138" si="258">IF($M75&lt;=S$3,1,0)</f>
        <v>0</v>
      </c>
      <c r="FH75">
        <f t="shared" ref="FH75:FH138" si="259">IF($M75&lt;=T$3,1,0)</f>
        <v>0</v>
      </c>
      <c r="FI75">
        <f t="shared" ref="FI75:FI138" si="260">IF($M75&lt;=U$3,1,0)</f>
        <v>0</v>
      </c>
      <c r="FJ75">
        <f t="shared" ref="FJ75:FJ138" si="261">IF($M75&lt;=V$3,1,0)</f>
        <v>0</v>
      </c>
      <c r="FK75">
        <f t="shared" ref="FK75:FK138" si="262">IF($M75&lt;=W$3,1,0)</f>
        <v>0</v>
      </c>
      <c r="FL75">
        <f t="shared" ref="FL75:FL138" si="263">IF($M75&lt;=X$3,1,0)</f>
        <v>0</v>
      </c>
      <c r="FM75">
        <f t="shared" ref="FM75:FM138" si="264">IF($M75&lt;=Y$3,1,0)</f>
        <v>0</v>
      </c>
      <c r="FN75">
        <f t="shared" ref="FN75:FN138" si="265">IF($M75&lt;=Z$3,1,0)</f>
        <v>0</v>
      </c>
      <c r="FO75">
        <f t="shared" ref="FO75:FO138" si="266">IF($M75&lt;=AA$3,1,0)</f>
        <v>0</v>
      </c>
      <c r="FP75">
        <f t="shared" ref="FP75:FP138" si="267">IF($M75&lt;=AB$3,1,0)</f>
        <v>0</v>
      </c>
      <c r="FQ75">
        <f t="shared" ref="FQ75:FQ138" si="268">IF($M75&lt;=AC$3,1,0)</f>
        <v>0</v>
      </c>
      <c r="FR75">
        <f t="shared" ref="FR75:FR138" si="269">IF($M75&lt;=AD$3,1,0)</f>
        <v>0</v>
      </c>
      <c r="FS75">
        <f t="shared" ref="FS75:FS138" si="270">IF($M75&lt;=AE$3,1,0)</f>
        <v>0</v>
      </c>
      <c r="FT75">
        <f t="shared" ref="FT75:FT138" si="271">IF($M75&lt;=AF$3,1,0)</f>
        <v>0</v>
      </c>
      <c r="FU75">
        <f t="shared" ref="FU75:FU138" si="272">IF($M75&lt;=AG$3,1,0)</f>
        <v>0</v>
      </c>
      <c r="FV75">
        <f t="shared" ref="FV75:FV138" si="273">IF($M75&lt;=AH$3,1,0)</f>
        <v>0</v>
      </c>
      <c r="FW75">
        <f t="shared" ref="FW75:FW138" si="274">IF($M75&lt;=AI$3,1,0)</f>
        <v>1</v>
      </c>
      <c r="FX75">
        <f t="shared" ref="FX75:FX138" si="275">IF($M75&lt;=AJ$3,1,0)</f>
        <v>1</v>
      </c>
      <c r="FY75">
        <f t="shared" ref="FY75:FY138" si="276">IF($M75&lt;=AK$3,1,0)</f>
        <v>1</v>
      </c>
      <c r="FZ75">
        <f t="shared" ref="FZ75:FZ138" si="277">IF($M75&lt;=AL$3,1,0)</f>
        <v>1</v>
      </c>
      <c r="GA75">
        <f t="shared" ref="GA75:GA138" si="278">IF($M75&lt;=AM$3,1,0)</f>
        <v>1</v>
      </c>
      <c r="GB75">
        <f t="shared" ref="GB75:GB138" si="279">IF($M75&lt;=AN$3,1,0)</f>
        <v>1</v>
      </c>
      <c r="GC75">
        <f t="shared" ref="GC75:GC138" si="280">IF($M75&lt;=AO$3,1,0)</f>
        <v>1</v>
      </c>
      <c r="GD75">
        <f t="shared" ref="GD75:GD138" si="281">IF($M75&lt;=AP$3,1,0)</f>
        <v>1</v>
      </c>
      <c r="GE75">
        <f t="shared" ref="GE75:GE138" si="282">IF($M75&lt;=AQ$3,1,0)</f>
        <v>1</v>
      </c>
      <c r="GF75">
        <f t="shared" ref="GF75:GF138" si="283">IF($M75&lt;=AR$3,1,0)</f>
        <v>1</v>
      </c>
      <c r="GG75">
        <f t="shared" ref="GG75:GG138" si="284">IF($M75&lt;=AS$3,1,0)</f>
        <v>1</v>
      </c>
      <c r="GH75">
        <f t="shared" ref="GH75:GH138" si="285">IF($M75&lt;=AT$3,1,0)</f>
        <v>1</v>
      </c>
      <c r="GI75">
        <f t="shared" ref="GI75:GI138" si="286">IF($M75&lt;=AU$3,1,0)</f>
        <v>1</v>
      </c>
      <c r="GJ75">
        <f t="shared" ref="GJ75:GJ138" si="287">IF($M75&lt;=AV$3,1,0)</f>
        <v>1</v>
      </c>
      <c r="GK75">
        <f t="shared" ref="GK75:GK138" si="288">IF($M75&lt;=AW$3,1,0)</f>
        <v>1</v>
      </c>
      <c r="GL75">
        <f t="shared" ref="GL75:GL138" si="289">IF($M75&lt;=AX$3,1,0)</f>
        <v>1</v>
      </c>
      <c r="GM75">
        <f t="shared" ref="GM75:GM138" si="290">IF($M75&lt;=AY$3,1,0)</f>
        <v>1</v>
      </c>
      <c r="GN75">
        <f t="shared" ref="GN75:GN138" si="291">IF($M75&lt;=AZ$3,1,0)</f>
        <v>1</v>
      </c>
      <c r="GO75">
        <f t="shared" ref="GO75:GO138" si="292">IF($M75&lt;=BA$3,1,0)</f>
        <v>1</v>
      </c>
      <c r="GP75">
        <f t="shared" ref="GP75:GP138" si="293">IF($M75&lt;=BB$3,1,0)</f>
        <v>1</v>
      </c>
      <c r="GQ75">
        <f t="shared" ref="GQ75:GQ138" si="294">IF($M75&lt;=BC$3,1,0)</f>
        <v>1</v>
      </c>
      <c r="GR75">
        <f t="shared" ref="GR75:GR138" si="295">IF($M75&lt;=BD$3,1,0)</f>
        <v>1</v>
      </c>
      <c r="GS75">
        <f t="shared" ref="GS75:GS138" si="296">IF($M75&lt;=BE$3,1,0)</f>
        <v>1</v>
      </c>
      <c r="GT75">
        <f t="shared" ref="GT75:GT138" si="297">IF($M75&lt;=BF$3,1,0)</f>
        <v>1</v>
      </c>
      <c r="GU75">
        <f t="shared" ref="GU75:GU138" si="298">IF($M75&lt;=BG$3,1,0)</f>
        <v>1</v>
      </c>
      <c r="GX75" s="10"/>
    </row>
    <row r="76" spans="1:206" x14ac:dyDescent="0.3">
      <c r="A76" s="9" t="s">
        <v>55</v>
      </c>
      <c r="B76" s="80"/>
      <c r="C76" s="9">
        <v>3142258001</v>
      </c>
      <c r="D76" s="9" t="s">
        <v>404</v>
      </c>
      <c r="E76" s="9" t="s">
        <v>43</v>
      </c>
      <c r="F76" s="9" t="s">
        <v>35</v>
      </c>
      <c r="G76" s="9" t="s">
        <v>107</v>
      </c>
      <c r="H76" s="10">
        <v>44543</v>
      </c>
      <c r="I76" s="9">
        <f t="shared" ref="I76:I139" si="299">YEAR(H76)</f>
        <v>2021</v>
      </c>
      <c r="J76" s="9">
        <f t="shared" ref="J76:J139" si="300">MONTH(H76)</f>
        <v>12</v>
      </c>
      <c r="K76" s="9" t="str">
        <f t="shared" ref="K76:K139" si="301">I76&amp;"_"&amp;J76</f>
        <v>2021_12</v>
      </c>
      <c r="L76">
        <f>MAX(0,VLOOKUP($K76,lookups!$A$1:$B$45,2,0)-12)</f>
        <v>8</v>
      </c>
      <c r="M76" s="40">
        <f t="shared" ref="M76:M139" si="302">DATE(I76,J76,1)</f>
        <v>44531</v>
      </c>
      <c r="N76" s="10" t="s">
        <v>37</v>
      </c>
      <c r="O76" t="str">
        <f ca="1">IF(OR($L76&gt;O$4,O$4&gt;$L76+23),"",OFFSET(Electric!$L67,0,-'Electric Calendarize'!$L76+'Electric Calendarize'!O$4+1))</f>
        <v/>
      </c>
      <c r="P76" t="str">
        <f ca="1">IF(OR($L76&gt;P$4,P$4&gt;$L76+23),"",OFFSET(Electric!$L67,0,-'Electric Calendarize'!$L76+'Electric Calendarize'!P$4+1))</f>
        <v/>
      </c>
      <c r="Q76" t="str">
        <f ca="1">IF(OR($L76&gt;Q$4,Q$4&gt;$L76+23),"",OFFSET(Electric!$L67,0,-'Electric Calendarize'!$L76+'Electric Calendarize'!Q$4+1))</f>
        <v/>
      </c>
      <c r="R76" t="str">
        <f ca="1">IF(OR($L76&gt;R$4,R$4&gt;$L76+23),"",OFFSET(Electric!$L67,0,-'Electric Calendarize'!$L76+'Electric Calendarize'!R$4+1))</f>
        <v/>
      </c>
      <c r="S76" t="str">
        <f ca="1">IF(OR($L76&gt;S$4,S$4&gt;$L76+23),"",OFFSET(Electric!$L67,0,-'Electric Calendarize'!$L76+'Electric Calendarize'!S$4+1))</f>
        <v/>
      </c>
      <c r="T76" t="str">
        <f ca="1">IF(OR($L76&gt;T$4,T$4&gt;$L76+23),"",OFFSET(Electric!$L67,0,-'Electric Calendarize'!$L76+'Electric Calendarize'!T$4+1))</f>
        <v/>
      </c>
      <c r="U76" t="str">
        <f ca="1">IF(OR($L76&gt;U$4,U$4&gt;$L76+23),"",OFFSET(Electric!$L67,0,-'Electric Calendarize'!$L76+'Electric Calendarize'!U$4+1))</f>
        <v/>
      </c>
      <c r="V76" t="str">
        <f ca="1">IF(OR($L76&gt;V$4,V$4&gt;$L76+23),"",OFFSET(Electric!$L67,0,-'Electric Calendarize'!$L76+'Electric Calendarize'!V$4+1))</f>
        <v/>
      </c>
      <c r="W76">
        <f ca="1">IF(OR($L76&gt;W$4,W$4&gt;$L76+23),"",OFFSET(Electric!$L67,0,-'Electric Calendarize'!$L76+'Electric Calendarize'!W$4+1))</f>
        <v>0</v>
      </c>
      <c r="X76">
        <f ca="1">IF(OR($L76&gt;X$4,X$4&gt;$L76+23),"",OFFSET(Electric!$L67,0,-'Electric Calendarize'!$L76+'Electric Calendarize'!X$4+1))</f>
        <v>0</v>
      </c>
      <c r="Y76">
        <f ca="1">IF(OR($L76&gt;Y$4,Y$4&gt;$L76+23),"",OFFSET(Electric!$L67,0,-'Electric Calendarize'!$L76+'Electric Calendarize'!Y$4+1))</f>
        <v>2417</v>
      </c>
      <c r="Z76">
        <f ca="1">IF(OR($L76&gt;Z$4,Z$4&gt;$L76+23),"",OFFSET(Electric!$L67,0,-'Electric Calendarize'!$L76+'Electric Calendarize'!Z$4+1))</f>
        <v>3906</v>
      </c>
      <c r="AA76">
        <f ca="1">IF(OR($L76&gt;AA$4,AA$4&gt;$L76+23),"",OFFSET(Electric!$L67,0,-'Electric Calendarize'!$L76+'Electric Calendarize'!AA$4+1))</f>
        <v>2925</v>
      </c>
      <c r="AB76">
        <f ca="1">IF(OR($L76&gt;AB$4,AB$4&gt;$L76+23),"",OFFSET(Electric!$L67,0,-'Electric Calendarize'!$L76+'Electric Calendarize'!AB$4+1))</f>
        <v>1596</v>
      </c>
      <c r="AC76">
        <f ca="1">IF(OR($L76&gt;AC$4,AC$4&gt;$L76+23),"",OFFSET(Electric!$L67,0,-'Electric Calendarize'!$L76+'Electric Calendarize'!AC$4+1))</f>
        <v>1244</v>
      </c>
      <c r="AD76">
        <f ca="1">IF(OR($L76&gt;AD$4,AD$4&gt;$L76+23),"",OFFSET(Electric!$L67,0,-'Electric Calendarize'!$L76+'Electric Calendarize'!AD$4+1))</f>
        <v>1141</v>
      </c>
      <c r="AE76">
        <f ca="1">IF(OR($L76&gt;AE$4,AE$4&gt;$L76+23),"",OFFSET(Electric!$L67,0,-'Electric Calendarize'!$L76+'Electric Calendarize'!AE$4+1))</f>
        <v>1383</v>
      </c>
      <c r="AF76">
        <f ca="1">IF(OR($L76&gt;AF$4,AF$4&gt;$L76+23),"",OFFSET(Electric!$L67,0,-'Electric Calendarize'!$L76+'Electric Calendarize'!AF$4+1))</f>
        <v>1151</v>
      </c>
      <c r="AG76">
        <f ca="1">IF(OR($L76&gt;AG$4,AG$4&gt;$L76+23),"",OFFSET(Electric!$L67,0,-'Electric Calendarize'!$L76+'Electric Calendarize'!AG$4+1))</f>
        <v>1231</v>
      </c>
      <c r="AH76">
        <f ca="1">IF(OR($L76&gt;AH$4,AH$4&gt;$L76+23),"",OFFSET(Electric!$L67,0,-'Electric Calendarize'!$L76+'Electric Calendarize'!AH$4+1))</f>
        <v>1134</v>
      </c>
      <c r="AI76">
        <f ca="1">IF(OR($L76&gt;AI$4,AI$4&gt;$L76+23),"",OFFSET(Electric!$L67,0,-'Electric Calendarize'!$L76+'Electric Calendarize'!AI$4+1))</f>
        <v>1824</v>
      </c>
      <c r="AJ76">
        <f ca="1">IF(OR($L76&gt;AJ$4,AJ$4&gt;$L76+23),"",OFFSET(Electric!$L67,0,-'Electric Calendarize'!$L76+'Electric Calendarize'!AJ$4+1))</f>
        <v>2538</v>
      </c>
      <c r="AK76">
        <f ca="1">IF(OR($L76&gt;AK$4,AK$4&gt;$L76+23),"",OFFSET(Electric!$L67,0,-'Electric Calendarize'!$L76+'Electric Calendarize'!AK$4+1))</f>
        <v>4238</v>
      </c>
      <c r="AL76">
        <f ca="1">IF(OR($L76&gt;AL$4,AL$4&gt;$L76+23),"",OFFSET(Electric!$L67,0,-'Electric Calendarize'!$L76+'Electric Calendarize'!AL$4+1))</f>
        <v>4163</v>
      </c>
      <c r="AM76">
        <f ca="1">IF(OR($L76&gt;AM$4,AM$4&gt;$L76+23),"",OFFSET(Electric!$L67,0,-'Electric Calendarize'!$L76+'Electric Calendarize'!AM$4+1))</f>
        <v>3225</v>
      </c>
      <c r="AN76">
        <f ca="1">IF(OR($L76&gt;AN$4,AN$4&gt;$L76+23),"",OFFSET(Electric!$L67,0,-'Electric Calendarize'!$L76+'Electric Calendarize'!AN$4+1))</f>
        <v>2122</v>
      </c>
      <c r="AO76">
        <f ca="1">IF(OR($L76&gt;AO$4,AO$4&gt;$L76+23),"",OFFSET(Electric!$L67,0,-'Electric Calendarize'!$L76+'Electric Calendarize'!AO$4+1))</f>
        <v>1632</v>
      </c>
      <c r="AP76">
        <f ca="1">IF(OR($L76&gt;AP$4,AP$4&gt;$L76+23),"",OFFSET(Electric!$L67,0,-'Electric Calendarize'!$L76+'Electric Calendarize'!AP$4+1))</f>
        <v>1321</v>
      </c>
      <c r="AQ76">
        <f ca="1">IF(OR($L76&gt;AQ$4,AQ$4&gt;$L76+23),"",OFFSET(Electric!$L67,0,-'Electric Calendarize'!$L76+'Electric Calendarize'!AQ$4+1))</f>
        <v>1634</v>
      </c>
      <c r="AR76">
        <f ca="1">IF(OR($L76&gt;AR$4,AR$4&gt;$L76+23),"",OFFSET(Electric!$L67,0,-'Electric Calendarize'!$L76+'Electric Calendarize'!AR$4+1))</f>
        <v>1584</v>
      </c>
      <c r="AS76">
        <f ca="1">IF(OR($L76&gt;AS$4,AS$4&gt;$L76+23),"",OFFSET(Electric!$L67,0,-'Electric Calendarize'!$L76+'Electric Calendarize'!AS$4+1))</f>
        <v>1520</v>
      </c>
      <c r="AT76">
        <f ca="1">IF(OR($L76&gt;AT$4,AT$4&gt;$L76+23),"",OFFSET(Electric!$L67,0,-'Electric Calendarize'!$L76+'Electric Calendarize'!AT$4+1))</f>
        <v>444</v>
      </c>
      <c r="AU76" t="str">
        <f ca="1">IF(OR($L76&gt;AU$4,AU$4&gt;$L76+23),"",OFFSET(Electric!$L67,0,-'Electric Calendarize'!$L76+'Electric Calendarize'!AU$4+1))</f>
        <v/>
      </c>
      <c r="AV76" t="str">
        <f ca="1">IF(OR($L76&gt;AV$4,AV$4&gt;$L76+23),"",OFFSET(Electric!$L67,0,-'Electric Calendarize'!$L76+'Electric Calendarize'!AV$4+1))</f>
        <v/>
      </c>
      <c r="AW76" t="str">
        <f ca="1">IF(OR($L76&gt;AW$4,AW$4&gt;$L76+23),"",OFFSET(Electric!$L67,0,-'Electric Calendarize'!$L76+'Electric Calendarize'!AW$4+1))</f>
        <v/>
      </c>
      <c r="AX76" t="str">
        <f ca="1">IF(OR($L76&gt;AX$4,AX$4&gt;$L76+23),"",OFFSET(Electric!$L67,0,-'Electric Calendarize'!$L76+'Electric Calendarize'!AX$4+1))</f>
        <v/>
      </c>
      <c r="AY76" t="str">
        <f ca="1">IF(OR($L76&gt;AY$4,AY$4&gt;$L76+23),"",OFFSET(Electric!$L67,0,-'Electric Calendarize'!$L76+'Electric Calendarize'!AY$4+1))</f>
        <v/>
      </c>
      <c r="AZ76" t="str">
        <f ca="1">IF(OR($L76&gt;AZ$4,AZ$4&gt;$L76+23),"",OFFSET(Electric!$L67,0,-'Electric Calendarize'!$L76+'Electric Calendarize'!AZ$4+1))</f>
        <v/>
      </c>
      <c r="BA76" t="str">
        <f ca="1">IF(OR($L76&gt;BA$4,BA$4&gt;$L76+23),"",OFFSET(Electric!$L67,0,-'Electric Calendarize'!$L76+'Electric Calendarize'!BA$4+1))</f>
        <v/>
      </c>
      <c r="BB76" t="str">
        <f ca="1">IF(OR($L76&gt;BB$4,BB$4&gt;$L76+23),"",OFFSET(Electric!$L67,0,-'Electric Calendarize'!$L76+'Electric Calendarize'!BB$4+1))</f>
        <v/>
      </c>
      <c r="BC76" t="str">
        <f ca="1">IF(OR($L76&gt;BC$4,BC$4&gt;$L76+23),"",OFFSET(Electric!$L67,0,-'Electric Calendarize'!$L76+'Electric Calendarize'!BC$4+1))</f>
        <v/>
      </c>
      <c r="BD76" t="str">
        <f ca="1">IF(OR($L76&gt;BD$4,BD$4&gt;$L76+23),"",OFFSET(Electric!$L67,0,-'Electric Calendarize'!$L76+'Electric Calendarize'!BD$4+1))</f>
        <v/>
      </c>
      <c r="BE76" t="str">
        <f ca="1">IF(OR($L76&gt;BE$4,BE$4&gt;$L76+23),"",OFFSET(Electric!$L67,0,-'Electric Calendarize'!$L76+'Electric Calendarize'!BE$4+1))</f>
        <v/>
      </c>
      <c r="BF76" t="str">
        <f ca="1">IF(OR($L76&gt;BF$4,BF$4&gt;$L76+23),"",OFFSET(Electric!$L67,0,-'Electric Calendarize'!$L76+'Electric Calendarize'!BF$4+1))</f>
        <v/>
      </c>
      <c r="BG76" t="str">
        <f ca="1">IF(OR($L76&gt;BG$4,BG$4&gt;$L76+23),"",OFFSET(Electric!$L67,0,-'Electric Calendarize'!$L76+'Electric Calendarize'!BG$4+1))</f>
        <v/>
      </c>
      <c r="BJ76" s="10" t="s">
        <v>37</v>
      </c>
      <c r="BK76">
        <f t="shared" ref="BK76:BK139" si="303">+O$8</f>
        <v>1</v>
      </c>
      <c r="BL76">
        <f t="shared" si="209"/>
        <v>0</v>
      </c>
      <c r="BM76">
        <f t="shared" si="210"/>
        <v>0</v>
      </c>
      <c r="BN76">
        <f t="shared" si="211"/>
        <v>0</v>
      </c>
      <c r="BO76">
        <f t="shared" si="212"/>
        <v>0</v>
      </c>
      <c r="BP76">
        <f t="shared" si="213"/>
        <v>0</v>
      </c>
      <c r="BQ76">
        <f t="shared" si="214"/>
        <v>0</v>
      </c>
      <c r="BR76">
        <f t="shared" si="215"/>
        <v>1</v>
      </c>
      <c r="BS76">
        <f t="shared" si="216"/>
        <v>1</v>
      </c>
      <c r="BT76">
        <f t="shared" si="217"/>
        <v>1</v>
      </c>
      <c r="BU76">
        <f t="shared" si="218"/>
        <v>1</v>
      </c>
      <c r="BV76">
        <f t="shared" si="219"/>
        <v>1</v>
      </c>
      <c r="BW76">
        <f t="shared" si="220"/>
        <v>1</v>
      </c>
      <c r="BX76">
        <f t="shared" si="221"/>
        <v>0</v>
      </c>
      <c r="BY76">
        <f t="shared" si="222"/>
        <v>0</v>
      </c>
      <c r="BZ76">
        <f t="shared" si="223"/>
        <v>0</v>
      </c>
      <c r="CA76">
        <f t="shared" si="224"/>
        <v>0</v>
      </c>
      <c r="CB76">
        <f t="shared" si="225"/>
        <v>0</v>
      </c>
      <c r="CC76">
        <f t="shared" si="226"/>
        <v>0</v>
      </c>
      <c r="CD76">
        <f t="shared" si="227"/>
        <v>1</v>
      </c>
      <c r="CE76">
        <f t="shared" si="228"/>
        <v>1</v>
      </c>
      <c r="CF76">
        <f t="shared" si="229"/>
        <v>1</v>
      </c>
      <c r="CG76">
        <f t="shared" si="230"/>
        <v>1</v>
      </c>
      <c r="CH76">
        <f t="shared" si="231"/>
        <v>1</v>
      </c>
      <c r="CI76">
        <f t="shared" si="232"/>
        <v>1</v>
      </c>
      <c r="CJ76">
        <f t="shared" si="233"/>
        <v>0</v>
      </c>
      <c r="CK76">
        <f t="shared" si="234"/>
        <v>0</v>
      </c>
      <c r="CL76">
        <f t="shared" si="235"/>
        <v>0</v>
      </c>
      <c r="CM76">
        <f t="shared" si="236"/>
        <v>0</v>
      </c>
      <c r="CN76">
        <f t="shared" si="237"/>
        <v>0</v>
      </c>
      <c r="CO76">
        <f t="shared" si="238"/>
        <v>0</v>
      </c>
      <c r="CP76">
        <f t="shared" si="239"/>
        <v>1</v>
      </c>
      <c r="CQ76">
        <f t="shared" si="240"/>
        <v>1</v>
      </c>
      <c r="CR76">
        <f t="shared" si="241"/>
        <v>1</v>
      </c>
      <c r="CS76">
        <f t="shared" si="242"/>
        <v>1</v>
      </c>
      <c r="CT76">
        <f t="shared" si="243"/>
        <v>1</v>
      </c>
      <c r="CU76">
        <f t="shared" si="244"/>
        <v>1</v>
      </c>
      <c r="CV76">
        <f t="shared" si="245"/>
        <v>0</v>
      </c>
      <c r="CW76">
        <f t="shared" si="246"/>
        <v>0</v>
      </c>
      <c r="CX76">
        <f t="shared" si="247"/>
        <v>0</v>
      </c>
      <c r="CY76">
        <f t="shared" si="248"/>
        <v>0</v>
      </c>
      <c r="CZ76">
        <f t="shared" si="249"/>
        <v>0</v>
      </c>
      <c r="DA76">
        <f t="shared" si="250"/>
        <v>0</v>
      </c>
      <c r="DB76">
        <f t="shared" si="251"/>
        <v>1</v>
      </c>
      <c r="DC76">
        <f t="shared" si="252"/>
        <v>1</v>
      </c>
      <c r="DF76" s="10" t="s">
        <v>37</v>
      </c>
      <c r="DG76" t="str">
        <f t="shared" ref="DG76:DV91" si="304">$K76</f>
        <v>2021_12</v>
      </c>
      <c r="DH76" t="str">
        <f t="shared" si="304"/>
        <v>2021_12</v>
      </c>
      <c r="DI76" t="str">
        <f t="shared" si="304"/>
        <v>2021_12</v>
      </c>
      <c r="DJ76" t="str">
        <f t="shared" si="304"/>
        <v>2021_12</v>
      </c>
      <c r="DK76" t="str">
        <f t="shared" si="304"/>
        <v>2021_12</v>
      </c>
      <c r="DL76" t="str">
        <f t="shared" si="304"/>
        <v>2021_12</v>
      </c>
      <c r="DM76" t="str">
        <f t="shared" si="304"/>
        <v>2021_12</v>
      </c>
      <c r="DN76" t="str">
        <f t="shared" si="304"/>
        <v>2021_12</v>
      </c>
      <c r="DO76" t="str">
        <f t="shared" si="304"/>
        <v>2021_12</v>
      </c>
      <c r="DP76" t="str">
        <f t="shared" si="304"/>
        <v>2021_12</v>
      </c>
      <c r="DQ76" t="str">
        <f t="shared" si="304"/>
        <v>2021_12</v>
      </c>
      <c r="DR76" t="str">
        <f t="shared" si="304"/>
        <v>2021_12</v>
      </c>
      <c r="DS76" t="str">
        <f t="shared" si="304"/>
        <v>2021_12</v>
      </c>
      <c r="DT76" t="str">
        <f t="shared" si="304"/>
        <v>2021_12</v>
      </c>
      <c r="DU76" t="str">
        <f t="shared" si="304"/>
        <v>2021_12</v>
      </c>
      <c r="DV76" t="str">
        <f t="shared" si="253"/>
        <v>2021_12</v>
      </c>
      <c r="DW76" t="str">
        <f t="shared" si="253"/>
        <v>2021_12</v>
      </c>
      <c r="DX76" t="str">
        <f t="shared" si="253"/>
        <v>2021_12</v>
      </c>
      <c r="DY76" t="str">
        <f t="shared" si="253"/>
        <v>2021_12</v>
      </c>
      <c r="DZ76" t="str">
        <f t="shared" si="253"/>
        <v>2021_12</v>
      </c>
      <c r="EA76" t="str">
        <f t="shared" si="253"/>
        <v>2021_12</v>
      </c>
      <c r="EB76" t="str">
        <f t="shared" si="253"/>
        <v>2021_12</v>
      </c>
      <c r="EC76" t="str">
        <f t="shared" si="253"/>
        <v>2021_12</v>
      </c>
      <c r="ED76" t="str">
        <f t="shared" si="253"/>
        <v>2021_12</v>
      </c>
      <c r="EE76" t="str">
        <f t="shared" si="253"/>
        <v>2021_12</v>
      </c>
      <c r="EF76" t="str">
        <f t="shared" si="253"/>
        <v>2021_12</v>
      </c>
      <c r="EG76" t="str">
        <f t="shared" si="253"/>
        <v>2021_12</v>
      </c>
      <c r="EH76" t="str">
        <f t="shared" si="253"/>
        <v>2021_12</v>
      </c>
      <c r="EI76" t="str">
        <f t="shared" si="253"/>
        <v>2021_12</v>
      </c>
      <c r="EJ76" t="str">
        <f t="shared" si="253"/>
        <v>2021_12</v>
      </c>
      <c r="EK76" t="str">
        <f t="shared" si="253"/>
        <v>2021_12</v>
      </c>
      <c r="EL76" t="str">
        <f t="shared" si="254"/>
        <v>2021_12</v>
      </c>
      <c r="EM76" t="str">
        <f t="shared" si="208"/>
        <v>2021_12</v>
      </c>
      <c r="EN76" t="str">
        <f t="shared" si="208"/>
        <v>2021_12</v>
      </c>
      <c r="EO76" t="str">
        <f t="shared" si="208"/>
        <v>2021_12</v>
      </c>
      <c r="EP76" t="str">
        <f t="shared" si="208"/>
        <v>2021_12</v>
      </c>
      <c r="EQ76" t="str">
        <f t="shared" si="208"/>
        <v>2021_12</v>
      </c>
      <c r="ER76" t="str">
        <f t="shared" si="208"/>
        <v>2021_12</v>
      </c>
      <c r="ES76" t="str">
        <f t="shared" si="208"/>
        <v>2021_12</v>
      </c>
      <c r="ET76" t="str">
        <f t="shared" si="208"/>
        <v>2021_12</v>
      </c>
      <c r="EU76" t="str">
        <f t="shared" si="208"/>
        <v>2021_12</v>
      </c>
      <c r="EV76" t="str">
        <f t="shared" si="208"/>
        <v>2021_12</v>
      </c>
      <c r="EW76" t="str">
        <f t="shared" si="208"/>
        <v>2021_12</v>
      </c>
      <c r="EX76" t="str">
        <f t="shared" si="208"/>
        <v>2021_12</v>
      </c>
      <c r="EY76" t="str">
        <f t="shared" si="208"/>
        <v>2021_12</v>
      </c>
      <c r="FB76" s="10" t="s">
        <v>37</v>
      </c>
      <c r="FC76">
        <f t="shared" ref="FC76:FC139" si="305">IF($M76&lt;=O$3,1,0)</f>
        <v>0</v>
      </c>
      <c r="FD76">
        <f t="shared" si="255"/>
        <v>0</v>
      </c>
      <c r="FE76">
        <f t="shared" si="256"/>
        <v>0</v>
      </c>
      <c r="FF76">
        <f t="shared" si="257"/>
        <v>0</v>
      </c>
      <c r="FG76">
        <f t="shared" si="258"/>
        <v>0</v>
      </c>
      <c r="FH76">
        <f t="shared" si="259"/>
        <v>0</v>
      </c>
      <c r="FI76">
        <f t="shared" si="260"/>
        <v>0</v>
      </c>
      <c r="FJ76">
        <f t="shared" si="261"/>
        <v>0</v>
      </c>
      <c r="FK76">
        <f t="shared" si="262"/>
        <v>0</v>
      </c>
      <c r="FL76">
        <f t="shared" si="263"/>
        <v>0</v>
      </c>
      <c r="FM76">
        <f t="shared" si="264"/>
        <v>0</v>
      </c>
      <c r="FN76">
        <f t="shared" si="265"/>
        <v>0</v>
      </c>
      <c r="FO76">
        <f t="shared" si="266"/>
        <v>0</v>
      </c>
      <c r="FP76">
        <f t="shared" si="267"/>
        <v>0</v>
      </c>
      <c r="FQ76">
        <f t="shared" si="268"/>
        <v>0</v>
      </c>
      <c r="FR76">
        <f t="shared" si="269"/>
        <v>0</v>
      </c>
      <c r="FS76">
        <f t="shared" si="270"/>
        <v>0</v>
      </c>
      <c r="FT76">
        <f t="shared" si="271"/>
        <v>0</v>
      </c>
      <c r="FU76">
        <f t="shared" si="272"/>
        <v>0</v>
      </c>
      <c r="FV76">
        <f t="shared" si="273"/>
        <v>0</v>
      </c>
      <c r="FW76">
        <f t="shared" si="274"/>
        <v>1</v>
      </c>
      <c r="FX76">
        <f t="shared" si="275"/>
        <v>1</v>
      </c>
      <c r="FY76">
        <f t="shared" si="276"/>
        <v>1</v>
      </c>
      <c r="FZ76">
        <f t="shared" si="277"/>
        <v>1</v>
      </c>
      <c r="GA76">
        <f t="shared" si="278"/>
        <v>1</v>
      </c>
      <c r="GB76">
        <f t="shared" si="279"/>
        <v>1</v>
      </c>
      <c r="GC76">
        <f t="shared" si="280"/>
        <v>1</v>
      </c>
      <c r="GD76">
        <f t="shared" si="281"/>
        <v>1</v>
      </c>
      <c r="GE76">
        <f t="shared" si="282"/>
        <v>1</v>
      </c>
      <c r="GF76">
        <f t="shared" si="283"/>
        <v>1</v>
      </c>
      <c r="GG76">
        <f t="shared" si="284"/>
        <v>1</v>
      </c>
      <c r="GH76">
        <f t="shared" si="285"/>
        <v>1</v>
      </c>
      <c r="GI76">
        <f t="shared" si="286"/>
        <v>1</v>
      </c>
      <c r="GJ76">
        <f t="shared" si="287"/>
        <v>1</v>
      </c>
      <c r="GK76">
        <f t="shared" si="288"/>
        <v>1</v>
      </c>
      <c r="GL76">
        <f t="shared" si="289"/>
        <v>1</v>
      </c>
      <c r="GM76">
        <f t="shared" si="290"/>
        <v>1</v>
      </c>
      <c r="GN76">
        <f t="shared" si="291"/>
        <v>1</v>
      </c>
      <c r="GO76">
        <f t="shared" si="292"/>
        <v>1</v>
      </c>
      <c r="GP76">
        <f t="shared" si="293"/>
        <v>1</v>
      </c>
      <c r="GQ76">
        <f t="shared" si="294"/>
        <v>1</v>
      </c>
      <c r="GR76">
        <f t="shared" si="295"/>
        <v>1</v>
      </c>
      <c r="GS76">
        <f t="shared" si="296"/>
        <v>1</v>
      </c>
      <c r="GT76">
        <f t="shared" si="297"/>
        <v>1</v>
      </c>
      <c r="GU76">
        <f t="shared" si="298"/>
        <v>1</v>
      </c>
      <c r="GX76" s="10"/>
    </row>
    <row r="77" spans="1:206" x14ac:dyDescent="0.3">
      <c r="A77" s="9" t="s">
        <v>55</v>
      </c>
      <c r="B77" s="80"/>
      <c r="C77" s="9">
        <v>3112044001</v>
      </c>
      <c r="D77" s="9" t="s">
        <v>405</v>
      </c>
      <c r="E77" s="9" t="s">
        <v>39</v>
      </c>
      <c r="F77" s="9" t="s">
        <v>35</v>
      </c>
      <c r="G77" s="9" t="s">
        <v>108</v>
      </c>
      <c r="H77" s="10">
        <v>44544</v>
      </c>
      <c r="I77" s="9">
        <f t="shared" si="299"/>
        <v>2021</v>
      </c>
      <c r="J77" s="9">
        <f t="shared" si="300"/>
        <v>12</v>
      </c>
      <c r="K77" s="9" t="str">
        <f t="shared" si="301"/>
        <v>2021_12</v>
      </c>
      <c r="L77">
        <f>MAX(0,VLOOKUP($K77,lookups!$A$1:$B$45,2,0)-12)</f>
        <v>8</v>
      </c>
      <c r="M77" s="40">
        <f t="shared" si="302"/>
        <v>44531</v>
      </c>
      <c r="N77" s="10" t="s">
        <v>37</v>
      </c>
      <c r="O77" t="str">
        <f ca="1">IF(OR($L77&gt;O$4,O$4&gt;$L77+23),"",OFFSET(Electric!$L68,0,-'Electric Calendarize'!$L77+'Electric Calendarize'!O$4+1))</f>
        <v/>
      </c>
      <c r="P77" t="str">
        <f ca="1">IF(OR($L77&gt;P$4,P$4&gt;$L77+23),"",OFFSET(Electric!$L68,0,-'Electric Calendarize'!$L77+'Electric Calendarize'!P$4+1))</f>
        <v/>
      </c>
      <c r="Q77" t="str">
        <f ca="1">IF(OR($L77&gt;Q$4,Q$4&gt;$L77+23),"",OFFSET(Electric!$L68,0,-'Electric Calendarize'!$L77+'Electric Calendarize'!Q$4+1))</f>
        <v/>
      </c>
      <c r="R77" t="str">
        <f ca="1">IF(OR($L77&gt;R$4,R$4&gt;$L77+23),"",OFFSET(Electric!$L68,0,-'Electric Calendarize'!$L77+'Electric Calendarize'!R$4+1))</f>
        <v/>
      </c>
      <c r="S77" t="str">
        <f ca="1">IF(OR($L77&gt;S$4,S$4&gt;$L77+23),"",OFFSET(Electric!$L68,0,-'Electric Calendarize'!$L77+'Electric Calendarize'!S$4+1))</f>
        <v/>
      </c>
      <c r="T77" t="str">
        <f ca="1">IF(OR($L77&gt;T$4,T$4&gt;$L77+23),"",OFFSET(Electric!$L68,0,-'Electric Calendarize'!$L77+'Electric Calendarize'!T$4+1))</f>
        <v/>
      </c>
      <c r="U77" t="str">
        <f ca="1">IF(OR($L77&gt;U$4,U$4&gt;$L77+23),"",OFFSET(Electric!$L68,0,-'Electric Calendarize'!$L77+'Electric Calendarize'!U$4+1))</f>
        <v/>
      </c>
      <c r="V77" t="str">
        <f ca="1">IF(OR($L77&gt;V$4,V$4&gt;$L77+23),"",OFFSET(Electric!$L68,0,-'Electric Calendarize'!$L77+'Electric Calendarize'!V$4+1))</f>
        <v/>
      </c>
      <c r="W77">
        <f ca="1">IF(OR($L77&gt;W$4,W$4&gt;$L77+23),"",OFFSET(Electric!$L68,0,-'Electric Calendarize'!$L77+'Electric Calendarize'!W$4+1))</f>
        <v>1456</v>
      </c>
      <c r="X77">
        <f ca="1">IF(OR($L77&gt;X$4,X$4&gt;$L77+23),"",OFFSET(Electric!$L68,0,-'Electric Calendarize'!$L77+'Electric Calendarize'!X$4+1))</f>
        <v>1448</v>
      </c>
      <c r="Y77">
        <f ca="1">IF(OR($L77&gt;Y$4,Y$4&gt;$L77+23),"",OFFSET(Electric!$L68,0,-'Electric Calendarize'!$L77+'Electric Calendarize'!Y$4+1))</f>
        <v>1082</v>
      </c>
      <c r="Z77">
        <f ca="1">IF(OR($L77&gt;Z$4,Z$4&gt;$L77+23),"",OFFSET(Electric!$L68,0,-'Electric Calendarize'!$L77+'Electric Calendarize'!Z$4+1))</f>
        <v>976</v>
      </c>
      <c r="AA77">
        <f ca="1">IF(OR($L77&gt;AA$4,AA$4&gt;$L77+23),"",OFFSET(Electric!$L68,0,-'Electric Calendarize'!$L77+'Electric Calendarize'!AA$4+1))</f>
        <v>770</v>
      </c>
      <c r="AB77">
        <f ca="1">IF(OR($L77&gt;AB$4,AB$4&gt;$L77+23),"",OFFSET(Electric!$L68,0,-'Electric Calendarize'!$L77+'Electric Calendarize'!AB$4+1))</f>
        <v>684</v>
      </c>
      <c r="AC77">
        <f ca="1">IF(OR($L77&gt;AC$4,AC$4&gt;$L77+23),"",OFFSET(Electric!$L68,0,-'Electric Calendarize'!$L77+'Electric Calendarize'!AC$4+1))</f>
        <v>838</v>
      </c>
      <c r="AD77">
        <f ca="1">IF(OR($L77&gt;AD$4,AD$4&gt;$L77+23),"",OFFSET(Electric!$L68,0,-'Electric Calendarize'!$L77+'Electric Calendarize'!AD$4+1))</f>
        <v>924</v>
      </c>
      <c r="AE77">
        <f ca="1">IF(OR($L77&gt;AE$4,AE$4&gt;$L77+23),"",OFFSET(Electric!$L68,0,-'Electric Calendarize'!$L77+'Electric Calendarize'!AE$4+1))</f>
        <v>1060</v>
      </c>
      <c r="AF77">
        <f ca="1">IF(OR($L77&gt;AF$4,AF$4&gt;$L77+23),"",OFFSET(Electric!$L68,0,-'Electric Calendarize'!$L77+'Electric Calendarize'!AF$4+1))</f>
        <v>864</v>
      </c>
      <c r="AG77">
        <f ca="1">IF(OR($L77&gt;AG$4,AG$4&gt;$L77+23),"",OFFSET(Electric!$L68,0,-'Electric Calendarize'!$L77+'Electric Calendarize'!AG$4+1))</f>
        <v>784</v>
      </c>
      <c r="AH77">
        <f ca="1">IF(OR($L77&gt;AH$4,AH$4&gt;$L77+23),"",OFFSET(Electric!$L68,0,-'Electric Calendarize'!$L77+'Electric Calendarize'!AH$4+1))</f>
        <v>924</v>
      </c>
      <c r="AI77">
        <f ca="1">IF(OR($L77&gt;AI$4,AI$4&gt;$L77+23),"",OFFSET(Electric!$L68,0,-'Electric Calendarize'!$L77+'Electric Calendarize'!AI$4+1))</f>
        <v>1172</v>
      </c>
      <c r="AJ77">
        <f ca="1">IF(OR($L77&gt;AJ$4,AJ$4&gt;$L77+23),"",OFFSET(Electric!$L68,0,-'Electric Calendarize'!$L77+'Electric Calendarize'!AJ$4+1))</f>
        <v>2858</v>
      </c>
      <c r="AK77">
        <f ca="1">IF(OR($L77&gt;AK$4,AK$4&gt;$L77+23),"",OFFSET(Electric!$L68,0,-'Electric Calendarize'!$L77+'Electric Calendarize'!AK$4+1))</f>
        <v>2356</v>
      </c>
      <c r="AL77">
        <f ca="1">IF(OR($L77&gt;AL$4,AL$4&gt;$L77+23),"",OFFSET(Electric!$L68,0,-'Electric Calendarize'!$L77+'Electric Calendarize'!AL$4+1))</f>
        <v>1660</v>
      </c>
      <c r="AM77">
        <f ca="1">IF(OR($L77&gt;AM$4,AM$4&gt;$L77+23),"",OFFSET(Electric!$L68,0,-'Electric Calendarize'!$L77+'Electric Calendarize'!AM$4+1))</f>
        <v>1224</v>
      </c>
      <c r="AN77">
        <f ca="1">IF(OR($L77&gt;AN$4,AN$4&gt;$L77+23),"",OFFSET(Electric!$L68,0,-'Electric Calendarize'!$L77+'Electric Calendarize'!AN$4+1))</f>
        <v>942</v>
      </c>
      <c r="AO77">
        <f ca="1">IF(OR($L77&gt;AO$4,AO$4&gt;$L77+23),"",OFFSET(Electric!$L68,0,-'Electric Calendarize'!$L77+'Electric Calendarize'!AO$4+1))</f>
        <v>720</v>
      </c>
      <c r="AP77">
        <f ca="1">IF(OR($L77&gt;AP$4,AP$4&gt;$L77+23),"",OFFSET(Electric!$L68,0,-'Electric Calendarize'!$L77+'Electric Calendarize'!AP$4+1))</f>
        <v>852</v>
      </c>
      <c r="AQ77">
        <f ca="1">IF(OR($L77&gt;AQ$4,AQ$4&gt;$L77+23),"",OFFSET(Electric!$L68,0,-'Electric Calendarize'!$L77+'Electric Calendarize'!AQ$4+1))</f>
        <v>1092</v>
      </c>
      <c r="AR77">
        <f ca="1">IF(OR($L77&gt;AR$4,AR$4&gt;$L77+23),"",OFFSET(Electric!$L68,0,-'Electric Calendarize'!$L77+'Electric Calendarize'!AR$4+1))</f>
        <v>864</v>
      </c>
      <c r="AS77">
        <f ca="1">IF(OR($L77&gt;AS$4,AS$4&gt;$L77+23),"",OFFSET(Electric!$L68,0,-'Electric Calendarize'!$L77+'Electric Calendarize'!AS$4+1))</f>
        <v>1028</v>
      </c>
      <c r="AT77">
        <f ca="1">IF(OR($L77&gt;AT$4,AT$4&gt;$L77+23),"",OFFSET(Electric!$L68,0,-'Electric Calendarize'!$L77+'Electric Calendarize'!AT$4+1))</f>
        <v>1172</v>
      </c>
      <c r="AU77" t="str">
        <f ca="1">IF(OR($L77&gt;AU$4,AU$4&gt;$L77+23),"",OFFSET(Electric!$L68,0,-'Electric Calendarize'!$L77+'Electric Calendarize'!AU$4+1))</f>
        <v/>
      </c>
      <c r="AV77" t="str">
        <f ca="1">IF(OR($L77&gt;AV$4,AV$4&gt;$L77+23),"",OFFSET(Electric!$L68,0,-'Electric Calendarize'!$L77+'Electric Calendarize'!AV$4+1))</f>
        <v/>
      </c>
      <c r="AW77" t="str">
        <f ca="1">IF(OR($L77&gt;AW$4,AW$4&gt;$L77+23),"",OFFSET(Electric!$L68,0,-'Electric Calendarize'!$L77+'Electric Calendarize'!AW$4+1))</f>
        <v/>
      </c>
      <c r="AX77" t="str">
        <f ca="1">IF(OR($L77&gt;AX$4,AX$4&gt;$L77+23),"",OFFSET(Electric!$L68,0,-'Electric Calendarize'!$L77+'Electric Calendarize'!AX$4+1))</f>
        <v/>
      </c>
      <c r="AY77" t="str">
        <f ca="1">IF(OR($L77&gt;AY$4,AY$4&gt;$L77+23),"",OFFSET(Electric!$L68,0,-'Electric Calendarize'!$L77+'Electric Calendarize'!AY$4+1))</f>
        <v/>
      </c>
      <c r="AZ77" t="str">
        <f ca="1">IF(OR($L77&gt;AZ$4,AZ$4&gt;$L77+23),"",OFFSET(Electric!$L68,0,-'Electric Calendarize'!$L77+'Electric Calendarize'!AZ$4+1))</f>
        <v/>
      </c>
      <c r="BA77" t="str">
        <f ca="1">IF(OR($L77&gt;BA$4,BA$4&gt;$L77+23),"",OFFSET(Electric!$L68,0,-'Electric Calendarize'!$L77+'Electric Calendarize'!BA$4+1))</f>
        <v/>
      </c>
      <c r="BB77" t="str">
        <f ca="1">IF(OR($L77&gt;BB$4,BB$4&gt;$L77+23),"",OFFSET(Electric!$L68,0,-'Electric Calendarize'!$L77+'Electric Calendarize'!BB$4+1))</f>
        <v/>
      </c>
      <c r="BC77" t="str">
        <f ca="1">IF(OR($L77&gt;BC$4,BC$4&gt;$L77+23),"",OFFSET(Electric!$L68,0,-'Electric Calendarize'!$L77+'Electric Calendarize'!BC$4+1))</f>
        <v/>
      </c>
      <c r="BD77" t="str">
        <f ca="1">IF(OR($L77&gt;BD$4,BD$4&gt;$L77+23),"",OFFSET(Electric!$L68,0,-'Electric Calendarize'!$L77+'Electric Calendarize'!BD$4+1))</f>
        <v/>
      </c>
      <c r="BE77" t="str">
        <f ca="1">IF(OR($L77&gt;BE$4,BE$4&gt;$L77+23),"",OFFSET(Electric!$L68,0,-'Electric Calendarize'!$L77+'Electric Calendarize'!BE$4+1))</f>
        <v/>
      </c>
      <c r="BF77" t="str">
        <f ca="1">IF(OR($L77&gt;BF$4,BF$4&gt;$L77+23),"",OFFSET(Electric!$L68,0,-'Electric Calendarize'!$L77+'Electric Calendarize'!BF$4+1))</f>
        <v/>
      </c>
      <c r="BG77" t="str">
        <f ca="1">IF(OR($L77&gt;BG$4,BG$4&gt;$L77+23),"",OFFSET(Electric!$L68,0,-'Electric Calendarize'!$L77+'Electric Calendarize'!BG$4+1))</f>
        <v/>
      </c>
      <c r="BJ77" s="10" t="s">
        <v>37</v>
      </c>
      <c r="BK77">
        <f t="shared" si="303"/>
        <v>1</v>
      </c>
      <c r="BL77">
        <f t="shared" si="209"/>
        <v>0</v>
      </c>
      <c r="BM77">
        <f t="shared" si="210"/>
        <v>0</v>
      </c>
      <c r="BN77">
        <f t="shared" si="211"/>
        <v>0</v>
      </c>
      <c r="BO77">
        <f t="shared" si="212"/>
        <v>0</v>
      </c>
      <c r="BP77">
        <f t="shared" si="213"/>
        <v>0</v>
      </c>
      <c r="BQ77">
        <f t="shared" si="214"/>
        <v>0</v>
      </c>
      <c r="BR77">
        <f t="shared" si="215"/>
        <v>1</v>
      </c>
      <c r="BS77">
        <f t="shared" si="216"/>
        <v>1</v>
      </c>
      <c r="BT77">
        <f t="shared" si="217"/>
        <v>1</v>
      </c>
      <c r="BU77">
        <f t="shared" si="218"/>
        <v>1</v>
      </c>
      <c r="BV77">
        <f t="shared" si="219"/>
        <v>1</v>
      </c>
      <c r="BW77">
        <f t="shared" si="220"/>
        <v>1</v>
      </c>
      <c r="BX77">
        <f t="shared" si="221"/>
        <v>0</v>
      </c>
      <c r="BY77">
        <f t="shared" si="222"/>
        <v>0</v>
      </c>
      <c r="BZ77">
        <f t="shared" si="223"/>
        <v>0</v>
      </c>
      <c r="CA77">
        <f t="shared" si="224"/>
        <v>0</v>
      </c>
      <c r="CB77">
        <f t="shared" si="225"/>
        <v>0</v>
      </c>
      <c r="CC77">
        <f t="shared" si="226"/>
        <v>0</v>
      </c>
      <c r="CD77">
        <f t="shared" si="227"/>
        <v>1</v>
      </c>
      <c r="CE77">
        <f t="shared" si="228"/>
        <v>1</v>
      </c>
      <c r="CF77">
        <f t="shared" si="229"/>
        <v>1</v>
      </c>
      <c r="CG77">
        <f t="shared" si="230"/>
        <v>1</v>
      </c>
      <c r="CH77">
        <f t="shared" si="231"/>
        <v>1</v>
      </c>
      <c r="CI77">
        <f t="shared" si="232"/>
        <v>1</v>
      </c>
      <c r="CJ77">
        <f t="shared" si="233"/>
        <v>0</v>
      </c>
      <c r="CK77">
        <f t="shared" si="234"/>
        <v>0</v>
      </c>
      <c r="CL77">
        <f t="shared" si="235"/>
        <v>0</v>
      </c>
      <c r="CM77">
        <f t="shared" si="236"/>
        <v>0</v>
      </c>
      <c r="CN77">
        <f t="shared" si="237"/>
        <v>0</v>
      </c>
      <c r="CO77">
        <f t="shared" si="238"/>
        <v>0</v>
      </c>
      <c r="CP77">
        <f t="shared" si="239"/>
        <v>1</v>
      </c>
      <c r="CQ77">
        <f t="shared" si="240"/>
        <v>1</v>
      </c>
      <c r="CR77">
        <f t="shared" si="241"/>
        <v>1</v>
      </c>
      <c r="CS77">
        <f t="shared" si="242"/>
        <v>1</v>
      </c>
      <c r="CT77">
        <f t="shared" si="243"/>
        <v>1</v>
      </c>
      <c r="CU77">
        <f t="shared" si="244"/>
        <v>1</v>
      </c>
      <c r="CV77">
        <f t="shared" si="245"/>
        <v>0</v>
      </c>
      <c r="CW77">
        <f t="shared" si="246"/>
        <v>0</v>
      </c>
      <c r="CX77">
        <f t="shared" si="247"/>
        <v>0</v>
      </c>
      <c r="CY77">
        <f t="shared" si="248"/>
        <v>0</v>
      </c>
      <c r="CZ77">
        <f t="shared" si="249"/>
        <v>0</v>
      </c>
      <c r="DA77">
        <f t="shared" si="250"/>
        <v>0</v>
      </c>
      <c r="DB77">
        <f t="shared" si="251"/>
        <v>1</v>
      </c>
      <c r="DC77">
        <f t="shared" si="252"/>
        <v>1</v>
      </c>
      <c r="DF77" s="10" t="s">
        <v>37</v>
      </c>
      <c r="DG77" t="str">
        <f t="shared" si="304"/>
        <v>2021_12</v>
      </c>
      <c r="DH77" t="str">
        <f t="shared" si="304"/>
        <v>2021_12</v>
      </c>
      <c r="DI77" t="str">
        <f t="shared" si="304"/>
        <v>2021_12</v>
      </c>
      <c r="DJ77" t="str">
        <f t="shared" si="304"/>
        <v>2021_12</v>
      </c>
      <c r="DK77" t="str">
        <f t="shared" si="304"/>
        <v>2021_12</v>
      </c>
      <c r="DL77" t="str">
        <f t="shared" si="304"/>
        <v>2021_12</v>
      </c>
      <c r="DM77" t="str">
        <f t="shared" si="304"/>
        <v>2021_12</v>
      </c>
      <c r="DN77" t="str">
        <f t="shared" si="304"/>
        <v>2021_12</v>
      </c>
      <c r="DO77" t="str">
        <f t="shared" si="304"/>
        <v>2021_12</v>
      </c>
      <c r="DP77" t="str">
        <f t="shared" si="304"/>
        <v>2021_12</v>
      </c>
      <c r="DQ77" t="str">
        <f t="shared" si="304"/>
        <v>2021_12</v>
      </c>
      <c r="DR77" t="str">
        <f t="shared" si="304"/>
        <v>2021_12</v>
      </c>
      <c r="DS77" t="str">
        <f t="shared" si="304"/>
        <v>2021_12</v>
      </c>
      <c r="DT77" t="str">
        <f t="shared" si="304"/>
        <v>2021_12</v>
      </c>
      <c r="DU77" t="str">
        <f t="shared" si="304"/>
        <v>2021_12</v>
      </c>
      <c r="DV77" t="str">
        <f t="shared" si="253"/>
        <v>2021_12</v>
      </c>
      <c r="DW77" t="str">
        <f t="shared" si="253"/>
        <v>2021_12</v>
      </c>
      <c r="DX77" t="str">
        <f t="shared" si="253"/>
        <v>2021_12</v>
      </c>
      <c r="DY77" t="str">
        <f t="shared" si="253"/>
        <v>2021_12</v>
      </c>
      <c r="DZ77" t="str">
        <f t="shared" si="253"/>
        <v>2021_12</v>
      </c>
      <c r="EA77" t="str">
        <f t="shared" si="253"/>
        <v>2021_12</v>
      </c>
      <c r="EB77" t="str">
        <f t="shared" si="253"/>
        <v>2021_12</v>
      </c>
      <c r="EC77" t="str">
        <f t="shared" si="253"/>
        <v>2021_12</v>
      </c>
      <c r="ED77" t="str">
        <f t="shared" si="253"/>
        <v>2021_12</v>
      </c>
      <c r="EE77" t="str">
        <f t="shared" si="253"/>
        <v>2021_12</v>
      </c>
      <c r="EF77" t="str">
        <f t="shared" si="253"/>
        <v>2021_12</v>
      </c>
      <c r="EG77" t="str">
        <f t="shared" si="253"/>
        <v>2021_12</v>
      </c>
      <c r="EH77" t="str">
        <f t="shared" si="253"/>
        <v>2021_12</v>
      </c>
      <c r="EI77" t="str">
        <f t="shared" si="253"/>
        <v>2021_12</v>
      </c>
      <c r="EJ77" t="str">
        <f t="shared" si="253"/>
        <v>2021_12</v>
      </c>
      <c r="EK77" t="str">
        <f t="shared" si="253"/>
        <v>2021_12</v>
      </c>
      <c r="EL77" t="str">
        <f t="shared" si="254"/>
        <v>2021_12</v>
      </c>
      <c r="EM77" t="str">
        <f t="shared" si="208"/>
        <v>2021_12</v>
      </c>
      <c r="EN77" t="str">
        <f t="shared" si="208"/>
        <v>2021_12</v>
      </c>
      <c r="EO77" t="str">
        <f t="shared" si="208"/>
        <v>2021_12</v>
      </c>
      <c r="EP77" t="str">
        <f t="shared" si="208"/>
        <v>2021_12</v>
      </c>
      <c r="EQ77" t="str">
        <f t="shared" si="208"/>
        <v>2021_12</v>
      </c>
      <c r="ER77" t="str">
        <f t="shared" si="208"/>
        <v>2021_12</v>
      </c>
      <c r="ES77" t="str">
        <f t="shared" si="208"/>
        <v>2021_12</v>
      </c>
      <c r="ET77" t="str">
        <f t="shared" si="208"/>
        <v>2021_12</v>
      </c>
      <c r="EU77" t="str">
        <f t="shared" si="208"/>
        <v>2021_12</v>
      </c>
      <c r="EV77" t="str">
        <f t="shared" si="208"/>
        <v>2021_12</v>
      </c>
      <c r="EW77" t="str">
        <f t="shared" si="208"/>
        <v>2021_12</v>
      </c>
      <c r="EX77" t="str">
        <f t="shared" si="208"/>
        <v>2021_12</v>
      </c>
      <c r="EY77" t="str">
        <f t="shared" si="208"/>
        <v>2021_12</v>
      </c>
      <c r="FB77" s="10" t="s">
        <v>37</v>
      </c>
      <c r="FC77">
        <f t="shared" si="305"/>
        <v>0</v>
      </c>
      <c r="FD77">
        <f t="shared" si="255"/>
        <v>0</v>
      </c>
      <c r="FE77">
        <f t="shared" si="256"/>
        <v>0</v>
      </c>
      <c r="FF77">
        <f t="shared" si="257"/>
        <v>0</v>
      </c>
      <c r="FG77">
        <f t="shared" si="258"/>
        <v>0</v>
      </c>
      <c r="FH77">
        <f t="shared" si="259"/>
        <v>0</v>
      </c>
      <c r="FI77">
        <f t="shared" si="260"/>
        <v>0</v>
      </c>
      <c r="FJ77">
        <f t="shared" si="261"/>
        <v>0</v>
      </c>
      <c r="FK77">
        <f t="shared" si="262"/>
        <v>0</v>
      </c>
      <c r="FL77">
        <f t="shared" si="263"/>
        <v>0</v>
      </c>
      <c r="FM77">
        <f t="shared" si="264"/>
        <v>0</v>
      </c>
      <c r="FN77">
        <f t="shared" si="265"/>
        <v>0</v>
      </c>
      <c r="FO77">
        <f t="shared" si="266"/>
        <v>0</v>
      </c>
      <c r="FP77">
        <f t="shared" si="267"/>
        <v>0</v>
      </c>
      <c r="FQ77">
        <f t="shared" si="268"/>
        <v>0</v>
      </c>
      <c r="FR77">
        <f t="shared" si="269"/>
        <v>0</v>
      </c>
      <c r="FS77">
        <f t="shared" si="270"/>
        <v>0</v>
      </c>
      <c r="FT77">
        <f t="shared" si="271"/>
        <v>0</v>
      </c>
      <c r="FU77">
        <f t="shared" si="272"/>
        <v>0</v>
      </c>
      <c r="FV77">
        <f t="shared" si="273"/>
        <v>0</v>
      </c>
      <c r="FW77">
        <f t="shared" si="274"/>
        <v>1</v>
      </c>
      <c r="FX77">
        <f t="shared" si="275"/>
        <v>1</v>
      </c>
      <c r="FY77">
        <f t="shared" si="276"/>
        <v>1</v>
      </c>
      <c r="FZ77">
        <f t="shared" si="277"/>
        <v>1</v>
      </c>
      <c r="GA77">
        <f t="shared" si="278"/>
        <v>1</v>
      </c>
      <c r="GB77">
        <f t="shared" si="279"/>
        <v>1</v>
      </c>
      <c r="GC77">
        <f t="shared" si="280"/>
        <v>1</v>
      </c>
      <c r="GD77">
        <f t="shared" si="281"/>
        <v>1</v>
      </c>
      <c r="GE77">
        <f t="shared" si="282"/>
        <v>1</v>
      </c>
      <c r="GF77">
        <f t="shared" si="283"/>
        <v>1</v>
      </c>
      <c r="GG77">
        <f t="shared" si="284"/>
        <v>1</v>
      </c>
      <c r="GH77">
        <f t="shared" si="285"/>
        <v>1</v>
      </c>
      <c r="GI77">
        <f t="shared" si="286"/>
        <v>1</v>
      </c>
      <c r="GJ77">
        <f t="shared" si="287"/>
        <v>1</v>
      </c>
      <c r="GK77">
        <f t="shared" si="288"/>
        <v>1</v>
      </c>
      <c r="GL77">
        <f t="shared" si="289"/>
        <v>1</v>
      </c>
      <c r="GM77">
        <f t="shared" si="290"/>
        <v>1</v>
      </c>
      <c r="GN77">
        <f t="shared" si="291"/>
        <v>1</v>
      </c>
      <c r="GO77">
        <f t="shared" si="292"/>
        <v>1</v>
      </c>
      <c r="GP77">
        <f t="shared" si="293"/>
        <v>1</v>
      </c>
      <c r="GQ77">
        <f t="shared" si="294"/>
        <v>1</v>
      </c>
      <c r="GR77">
        <f t="shared" si="295"/>
        <v>1</v>
      </c>
      <c r="GS77">
        <f t="shared" si="296"/>
        <v>1</v>
      </c>
      <c r="GT77">
        <f t="shared" si="297"/>
        <v>1</v>
      </c>
      <c r="GU77">
        <f t="shared" si="298"/>
        <v>1</v>
      </c>
      <c r="GX77" s="10"/>
    </row>
    <row r="78" spans="1:206" x14ac:dyDescent="0.3">
      <c r="A78" s="9" t="s">
        <v>41</v>
      </c>
      <c r="B78" s="80"/>
      <c r="C78" s="9">
        <v>3160820000</v>
      </c>
      <c r="D78" s="9" t="s">
        <v>406</v>
      </c>
      <c r="E78" s="9" t="s">
        <v>100</v>
      </c>
      <c r="F78" s="9" t="s">
        <v>35</v>
      </c>
      <c r="G78" s="9" t="s">
        <v>109</v>
      </c>
      <c r="H78" s="10">
        <v>44544</v>
      </c>
      <c r="I78" s="9">
        <f t="shared" si="299"/>
        <v>2021</v>
      </c>
      <c r="J78" s="9">
        <f t="shared" si="300"/>
        <v>12</v>
      </c>
      <c r="K78" s="9" t="str">
        <f t="shared" si="301"/>
        <v>2021_12</v>
      </c>
      <c r="L78">
        <f>MAX(0,VLOOKUP($K78,lookups!$A$1:$B$45,2,0)-12)</f>
        <v>8</v>
      </c>
      <c r="M78" s="40">
        <f t="shared" si="302"/>
        <v>44531</v>
      </c>
      <c r="N78" s="10" t="s">
        <v>37</v>
      </c>
      <c r="O78" t="str">
        <f ca="1">IF(OR($L78&gt;O$4,O$4&gt;$L78+23),"",OFFSET(Electric!$L69,0,-'Electric Calendarize'!$L78+'Electric Calendarize'!O$4+1))</f>
        <v/>
      </c>
      <c r="P78" t="str">
        <f ca="1">IF(OR($L78&gt;P$4,P$4&gt;$L78+23),"",OFFSET(Electric!$L69,0,-'Electric Calendarize'!$L78+'Electric Calendarize'!P$4+1))</f>
        <v/>
      </c>
      <c r="Q78" t="str">
        <f ca="1">IF(OR($L78&gt;Q$4,Q$4&gt;$L78+23),"",OFFSET(Electric!$L69,0,-'Electric Calendarize'!$L78+'Electric Calendarize'!Q$4+1))</f>
        <v/>
      </c>
      <c r="R78" t="str">
        <f ca="1">IF(OR($L78&gt;R$4,R$4&gt;$L78+23),"",OFFSET(Electric!$L69,0,-'Electric Calendarize'!$L78+'Electric Calendarize'!R$4+1))</f>
        <v/>
      </c>
      <c r="S78" t="str">
        <f ca="1">IF(OR($L78&gt;S$4,S$4&gt;$L78+23),"",OFFSET(Electric!$L69,0,-'Electric Calendarize'!$L78+'Electric Calendarize'!S$4+1))</f>
        <v/>
      </c>
      <c r="T78" t="str">
        <f ca="1">IF(OR($L78&gt;T$4,T$4&gt;$L78+23),"",OFFSET(Electric!$L69,0,-'Electric Calendarize'!$L78+'Electric Calendarize'!T$4+1))</f>
        <v/>
      </c>
      <c r="U78" t="str">
        <f ca="1">IF(OR($L78&gt;U$4,U$4&gt;$L78+23),"",OFFSET(Electric!$L69,0,-'Electric Calendarize'!$L78+'Electric Calendarize'!U$4+1))</f>
        <v/>
      </c>
      <c r="V78" t="str">
        <f ca="1">IF(OR($L78&gt;V$4,V$4&gt;$L78+23),"",OFFSET(Electric!$L69,0,-'Electric Calendarize'!$L78+'Electric Calendarize'!V$4+1))</f>
        <v/>
      </c>
      <c r="W78">
        <f ca="1">IF(OR($L78&gt;W$4,W$4&gt;$L78+23),"",OFFSET(Electric!$L69,0,-'Electric Calendarize'!$L78+'Electric Calendarize'!W$4+1))</f>
        <v>1096</v>
      </c>
      <c r="X78">
        <f ca="1">IF(OR($L78&gt;X$4,X$4&gt;$L78+23),"",OFFSET(Electric!$L69,0,-'Electric Calendarize'!$L78+'Electric Calendarize'!X$4+1))</f>
        <v>783</v>
      </c>
      <c r="Y78">
        <f ca="1">IF(OR($L78&gt;Y$4,Y$4&gt;$L78+23),"",OFFSET(Electric!$L69,0,-'Electric Calendarize'!$L78+'Electric Calendarize'!Y$4+1))</f>
        <v>875</v>
      </c>
      <c r="Z78">
        <f ca="1">IF(OR($L78&gt;Z$4,Z$4&gt;$L78+23),"",OFFSET(Electric!$L69,0,-'Electric Calendarize'!$L78+'Electric Calendarize'!Z$4+1))</f>
        <v>845</v>
      </c>
      <c r="AA78">
        <f ca="1">IF(OR($L78&gt;AA$4,AA$4&gt;$L78+23),"",OFFSET(Electric!$L69,0,-'Electric Calendarize'!$L78+'Electric Calendarize'!AA$4+1))</f>
        <v>694</v>
      </c>
      <c r="AB78">
        <f ca="1">IF(OR($L78&gt;AB$4,AB$4&gt;$L78+23),"",OFFSET(Electric!$L69,0,-'Electric Calendarize'!$L78+'Electric Calendarize'!AB$4+1))</f>
        <v>1009</v>
      </c>
      <c r="AC78">
        <f ca="1">IF(OR($L78&gt;AC$4,AC$4&gt;$L78+23),"",OFFSET(Electric!$L69,0,-'Electric Calendarize'!$L78+'Electric Calendarize'!AC$4+1))</f>
        <v>1396</v>
      </c>
      <c r="AD78">
        <f ca="1">IF(OR($L78&gt;AD$4,AD$4&gt;$L78+23),"",OFFSET(Electric!$L69,0,-'Electric Calendarize'!$L78+'Electric Calendarize'!AD$4+1))</f>
        <v>1430</v>
      </c>
      <c r="AE78">
        <f ca="1">IF(OR($L78&gt;AE$4,AE$4&gt;$L78+23),"",OFFSET(Electric!$L69,0,-'Electric Calendarize'!$L78+'Electric Calendarize'!AE$4+1))</f>
        <v>1330</v>
      </c>
      <c r="AF78">
        <f ca="1">IF(OR($L78&gt;AF$4,AF$4&gt;$L78+23),"",OFFSET(Electric!$L69,0,-'Electric Calendarize'!$L78+'Electric Calendarize'!AF$4+1))</f>
        <v>1034</v>
      </c>
      <c r="AG78">
        <f ca="1">IF(OR($L78&gt;AG$4,AG$4&gt;$L78+23),"",OFFSET(Electric!$L69,0,-'Electric Calendarize'!$L78+'Electric Calendarize'!AG$4+1))</f>
        <v>674</v>
      </c>
      <c r="AH78">
        <f ca="1">IF(OR($L78&gt;AH$4,AH$4&gt;$L78+23),"",OFFSET(Electric!$L69,0,-'Electric Calendarize'!$L78+'Electric Calendarize'!AH$4+1))</f>
        <v>1192</v>
      </c>
      <c r="AI78">
        <f ca="1">IF(OR($L78&gt;AI$4,AI$4&gt;$L78+23),"",OFFSET(Electric!$L69,0,-'Electric Calendarize'!$L78+'Electric Calendarize'!AI$4+1))</f>
        <v>879</v>
      </c>
      <c r="AJ78">
        <f ca="1">IF(OR($L78&gt;AJ$4,AJ$4&gt;$L78+23),"",OFFSET(Electric!$L69,0,-'Electric Calendarize'!$L78+'Electric Calendarize'!AJ$4+1))</f>
        <v>2896</v>
      </c>
      <c r="AK78">
        <f ca="1">IF(OR($L78&gt;AK$4,AK$4&gt;$L78+23),"",OFFSET(Electric!$L69,0,-'Electric Calendarize'!$L78+'Electric Calendarize'!AK$4+1))</f>
        <v>1593</v>
      </c>
      <c r="AL78">
        <f ca="1">IF(OR($L78&gt;AL$4,AL$4&gt;$L78+23),"",OFFSET(Electric!$L69,0,-'Electric Calendarize'!$L78+'Electric Calendarize'!AL$4+1))</f>
        <v>1415</v>
      </c>
      <c r="AM78">
        <f ca="1">IF(OR($L78&gt;AM$4,AM$4&gt;$L78+23),"",OFFSET(Electric!$L69,0,-'Electric Calendarize'!$L78+'Electric Calendarize'!AM$4+1))</f>
        <v>952</v>
      </c>
      <c r="AN78">
        <f ca="1">IF(OR($L78&gt;AN$4,AN$4&gt;$L78+23),"",OFFSET(Electric!$L69,0,-'Electric Calendarize'!$L78+'Electric Calendarize'!AN$4+1))</f>
        <v>833</v>
      </c>
      <c r="AO78">
        <f ca="1">IF(OR($L78&gt;AO$4,AO$4&gt;$L78+23),"",OFFSET(Electric!$L69,0,-'Electric Calendarize'!$L78+'Electric Calendarize'!AO$4+1))</f>
        <v>1013</v>
      </c>
      <c r="AP78">
        <f ca="1">IF(OR($L78&gt;AP$4,AP$4&gt;$L78+23),"",OFFSET(Electric!$L69,0,-'Electric Calendarize'!$L78+'Electric Calendarize'!AP$4+1))</f>
        <v>1119</v>
      </c>
      <c r="AQ78">
        <f ca="1">IF(OR($L78&gt;AQ$4,AQ$4&gt;$L78+23),"",OFFSET(Electric!$L69,0,-'Electric Calendarize'!$L78+'Electric Calendarize'!AQ$4+1))</f>
        <v>1004</v>
      </c>
      <c r="AR78">
        <f ca="1">IF(OR($L78&gt;AR$4,AR$4&gt;$L78+23),"",OFFSET(Electric!$L69,0,-'Electric Calendarize'!$L78+'Electric Calendarize'!AR$4+1))</f>
        <v>667</v>
      </c>
      <c r="AS78">
        <f ca="1">IF(OR($L78&gt;AS$4,AS$4&gt;$L78+23),"",OFFSET(Electric!$L69,0,-'Electric Calendarize'!$L78+'Electric Calendarize'!AS$4+1))</f>
        <v>706</v>
      </c>
      <c r="AT78">
        <f ca="1">IF(OR($L78&gt;AT$4,AT$4&gt;$L78+23),"",OFFSET(Electric!$L69,0,-'Electric Calendarize'!$L78+'Electric Calendarize'!AT$4+1))</f>
        <v>909</v>
      </c>
      <c r="AU78" t="str">
        <f ca="1">IF(OR($L78&gt;AU$4,AU$4&gt;$L78+23),"",OFFSET(Electric!$L69,0,-'Electric Calendarize'!$L78+'Electric Calendarize'!AU$4+1))</f>
        <v/>
      </c>
      <c r="AV78" t="str">
        <f ca="1">IF(OR($L78&gt;AV$4,AV$4&gt;$L78+23),"",OFFSET(Electric!$L69,0,-'Electric Calendarize'!$L78+'Electric Calendarize'!AV$4+1))</f>
        <v/>
      </c>
      <c r="AW78" t="str">
        <f ca="1">IF(OR($L78&gt;AW$4,AW$4&gt;$L78+23),"",OFFSET(Electric!$L69,0,-'Electric Calendarize'!$L78+'Electric Calendarize'!AW$4+1))</f>
        <v/>
      </c>
      <c r="AX78" t="str">
        <f ca="1">IF(OR($L78&gt;AX$4,AX$4&gt;$L78+23),"",OFFSET(Electric!$L69,0,-'Electric Calendarize'!$L78+'Electric Calendarize'!AX$4+1))</f>
        <v/>
      </c>
      <c r="AY78" t="str">
        <f ca="1">IF(OR($L78&gt;AY$4,AY$4&gt;$L78+23),"",OFFSET(Electric!$L69,0,-'Electric Calendarize'!$L78+'Electric Calendarize'!AY$4+1))</f>
        <v/>
      </c>
      <c r="AZ78" t="str">
        <f ca="1">IF(OR($L78&gt;AZ$4,AZ$4&gt;$L78+23),"",OFFSET(Electric!$L69,0,-'Electric Calendarize'!$L78+'Electric Calendarize'!AZ$4+1))</f>
        <v/>
      </c>
      <c r="BA78" t="str">
        <f ca="1">IF(OR($L78&gt;BA$4,BA$4&gt;$L78+23),"",OFFSET(Electric!$L69,0,-'Electric Calendarize'!$L78+'Electric Calendarize'!BA$4+1))</f>
        <v/>
      </c>
      <c r="BB78" t="str">
        <f ca="1">IF(OR($L78&gt;BB$4,BB$4&gt;$L78+23),"",OFFSET(Electric!$L69,0,-'Electric Calendarize'!$L78+'Electric Calendarize'!BB$4+1))</f>
        <v/>
      </c>
      <c r="BC78" t="str">
        <f ca="1">IF(OR($L78&gt;BC$4,BC$4&gt;$L78+23),"",OFFSET(Electric!$L69,0,-'Electric Calendarize'!$L78+'Electric Calendarize'!BC$4+1))</f>
        <v/>
      </c>
      <c r="BD78" t="str">
        <f ca="1">IF(OR($L78&gt;BD$4,BD$4&gt;$L78+23),"",OFFSET(Electric!$L69,0,-'Electric Calendarize'!$L78+'Electric Calendarize'!BD$4+1))</f>
        <v/>
      </c>
      <c r="BE78" t="str">
        <f ca="1">IF(OR($L78&gt;BE$4,BE$4&gt;$L78+23),"",OFFSET(Electric!$L69,0,-'Electric Calendarize'!$L78+'Electric Calendarize'!BE$4+1))</f>
        <v/>
      </c>
      <c r="BF78" t="str">
        <f ca="1">IF(OR($L78&gt;BF$4,BF$4&gt;$L78+23),"",OFFSET(Electric!$L69,0,-'Electric Calendarize'!$L78+'Electric Calendarize'!BF$4+1))</f>
        <v/>
      </c>
      <c r="BG78" t="str">
        <f ca="1">IF(OR($L78&gt;BG$4,BG$4&gt;$L78+23),"",OFFSET(Electric!$L69,0,-'Electric Calendarize'!$L78+'Electric Calendarize'!BG$4+1))</f>
        <v/>
      </c>
      <c r="BJ78" s="10" t="s">
        <v>37</v>
      </c>
      <c r="BK78">
        <f t="shared" si="303"/>
        <v>1</v>
      </c>
      <c r="BL78">
        <f t="shared" si="209"/>
        <v>0</v>
      </c>
      <c r="BM78">
        <f t="shared" si="210"/>
        <v>0</v>
      </c>
      <c r="BN78">
        <f t="shared" si="211"/>
        <v>0</v>
      </c>
      <c r="BO78">
        <f t="shared" si="212"/>
        <v>0</v>
      </c>
      <c r="BP78">
        <f t="shared" si="213"/>
        <v>0</v>
      </c>
      <c r="BQ78">
        <f t="shared" si="214"/>
        <v>0</v>
      </c>
      <c r="BR78">
        <f t="shared" si="215"/>
        <v>1</v>
      </c>
      <c r="BS78">
        <f t="shared" si="216"/>
        <v>1</v>
      </c>
      <c r="BT78">
        <f t="shared" si="217"/>
        <v>1</v>
      </c>
      <c r="BU78">
        <f t="shared" si="218"/>
        <v>1</v>
      </c>
      <c r="BV78">
        <f t="shared" si="219"/>
        <v>1</v>
      </c>
      <c r="BW78">
        <f t="shared" si="220"/>
        <v>1</v>
      </c>
      <c r="BX78">
        <f t="shared" si="221"/>
        <v>0</v>
      </c>
      <c r="BY78">
        <f t="shared" si="222"/>
        <v>0</v>
      </c>
      <c r="BZ78">
        <f t="shared" si="223"/>
        <v>0</v>
      </c>
      <c r="CA78">
        <f t="shared" si="224"/>
        <v>0</v>
      </c>
      <c r="CB78">
        <f t="shared" si="225"/>
        <v>0</v>
      </c>
      <c r="CC78">
        <f t="shared" si="226"/>
        <v>0</v>
      </c>
      <c r="CD78">
        <f t="shared" si="227"/>
        <v>1</v>
      </c>
      <c r="CE78">
        <f t="shared" si="228"/>
        <v>1</v>
      </c>
      <c r="CF78">
        <f t="shared" si="229"/>
        <v>1</v>
      </c>
      <c r="CG78">
        <f t="shared" si="230"/>
        <v>1</v>
      </c>
      <c r="CH78">
        <f t="shared" si="231"/>
        <v>1</v>
      </c>
      <c r="CI78">
        <f t="shared" si="232"/>
        <v>1</v>
      </c>
      <c r="CJ78">
        <f t="shared" si="233"/>
        <v>0</v>
      </c>
      <c r="CK78">
        <f t="shared" si="234"/>
        <v>0</v>
      </c>
      <c r="CL78">
        <f t="shared" si="235"/>
        <v>0</v>
      </c>
      <c r="CM78">
        <f t="shared" si="236"/>
        <v>0</v>
      </c>
      <c r="CN78">
        <f t="shared" si="237"/>
        <v>0</v>
      </c>
      <c r="CO78">
        <f t="shared" si="238"/>
        <v>0</v>
      </c>
      <c r="CP78">
        <f t="shared" si="239"/>
        <v>1</v>
      </c>
      <c r="CQ78">
        <f t="shared" si="240"/>
        <v>1</v>
      </c>
      <c r="CR78">
        <f t="shared" si="241"/>
        <v>1</v>
      </c>
      <c r="CS78">
        <f t="shared" si="242"/>
        <v>1</v>
      </c>
      <c r="CT78">
        <f t="shared" si="243"/>
        <v>1</v>
      </c>
      <c r="CU78">
        <f t="shared" si="244"/>
        <v>1</v>
      </c>
      <c r="CV78">
        <f t="shared" si="245"/>
        <v>0</v>
      </c>
      <c r="CW78">
        <f t="shared" si="246"/>
        <v>0</v>
      </c>
      <c r="CX78">
        <f t="shared" si="247"/>
        <v>0</v>
      </c>
      <c r="CY78">
        <f t="shared" si="248"/>
        <v>0</v>
      </c>
      <c r="CZ78">
        <f t="shared" si="249"/>
        <v>0</v>
      </c>
      <c r="DA78">
        <f t="shared" si="250"/>
        <v>0</v>
      </c>
      <c r="DB78">
        <f t="shared" si="251"/>
        <v>1</v>
      </c>
      <c r="DC78">
        <f t="shared" si="252"/>
        <v>1</v>
      </c>
      <c r="DF78" s="10" t="s">
        <v>37</v>
      </c>
      <c r="DG78" t="str">
        <f t="shared" si="304"/>
        <v>2021_12</v>
      </c>
      <c r="DH78" t="str">
        <f t="shared" si="304"/>
        <v>2021_12</v>
      </c>
      <c r="DI78" t="str">
        <f t="shared" si="304"/>
        <v>2021_12</v>
      </c>
      <c r="DJ78" t="str">
        <f t="shared" si="304"/>
        <v>2021_12</v>
      </c>
      <c r="DK78" t="str">
        <f t="shared" si="304"/>
        <v>2021_12</v>
      </c>
      <c r="DL78" t="str">
        <f t="shared" si="304"/>
        <v>2021_12</v>
      </c>
      <c r="DM78" t="str">
        <f t="shared" si="304"/>
        <v>2021_12</v>
      </c>
      <c r="DN78" t="str">
        <f t="shared" si="304"/>
        <v>2021_12</v>
      </c>
      <c r="DO78" t="str">
        <f t="shared" si="304"/>
        <v>2021_12</v>
      </c>
      <c r="DP78" t="str">
        <f t="shared" si="304"/>
        <v>2021_12</v>
      </c>
      <c r="DQ78" t="str">
        <f t="shared" si="304"/>
        <v>2021_12</v>
      </c>
      <c r="DR78" t="str">
        <f t="shared" si="304"/>
        <v>2021_12</v>
      </c>
      <c r="DS78" t="str">
        <f t="shared" si="304"/>
        <v>2021_12</v>
      </c>
      <c r="DT78" t="str">
        <f t="shared" si="304"/>
        <v>2021_12</v>
      </c>
      <c r="DU78" t="str">
        <f t="shared" si="304"/>
        <v>2021_12</v>
      </c>
      <c r="DV78" t="str">
        <f t="shared" si="253"/>
        <v>2021_12</v>
      </c>
      <c r="DW78" t="str">
        <f t="shared" si="253"/>
        <v>2021_12</v>
      </c>
      <c r="DX78" t="str">
        <f t="shared" si="253"/>
        <v>2021_12</v>
      </c>
      <c r="DY78" t="str">
        <f t="shared" si="253"/>
        <v>2021_12</v>
      </c>
      <c r="DZ78" t="str">
        <f t="shared" si="253"/>
        <v>2021_12</v>
      </c>
      <c r="EA78" t="str">
        <f t="shared" si="253"/>
        <v>2021_12</v>
      </c>
      <c r="EB78" t="str">
        <f t="shared" si="253"/>
        <v>2021_12</v>
      </c>
      <c r="EC78" t="str">
        <f t="shared" si="253"/>
        <v>2021_12</v>
      </c>
      <c r="ED78" t="str">
        <f t="shared" si="253"/>
        <v>2021_12</v>
      </c>
      <c r="EE78" t="str">
        <f t="shared" si="253"/>
        <v>2021_12</v>
      </c>
      <c r="EF78" t="str">
        <f t="shared" si="253"/>
        <v>2021_12</v>
      </c>
      <c r="EG78" t="str">
        <f t="shared" si="253"/>
        <v>2021_12</v>
      </c>
      <c r="EH78" t="str">
        <f t="shared" si="253"/>
        <v>2021_12</v>
      </c>
      <c r="EI78" t="str">
        <f t="shared" si="253"/>
        <v>2021_12</v>
      </c>
      <c r="EJ78" t="str">
        <f t="shared" si="253"/>
        <v>2021_12</v>
      </c>
      <c r="EK78" t="str">
        <f t="shared" si="253"/>
        <v>2021_12</v>
      </c>
      <c r="EL78" t="str">
        <f t="shared" si="254"/>
        <v>2021_12</v>
      </c>
      <c r="EM78" t="str">
        <f t="shared" si="208"/>
        <v>2021_12</v>
      </c>
      <c r="EN78" t="str">
        <f t="shared" si="208"/>
        <v>2021_12</v>
      </c>
      <c r="EO78" t="str">
        <f t="shared" si="208"/>
        <v>2021_12</v>
      </c>
      <c r="EP78" t="str">
        <f t="shared" si="208"/>
        <v>2021_12</v>
      </c>
      <c r="EQ78" t="str">
        <f t="shared" si="208"/>
        <v>2021_12</v>
      </c>
      <c r="ER78" t="str">
        <f t="shared" si="208"/>
        <v>2021_12</v>
      </c>
      <c r="ES78" t="str">
        <f t="shared" si="208"/>
        <v>2021_12</v>
      </c>
      <c r="ET78" t="str">
        <f t="shared" si="208"/>
        <v>2021_12</v>
      </c>
      <c r="EU78" t="str">
        <f t="shared" si="208"/>
        <v>2021_12</v>
      </c>
      <c r="EV78" t="str">
        <f t="shared" si="208"/>
        <v>2021_12</v>
      </c>
      <c r="EW78" t="str">
        <f t="shared" si="208"/>
        <v>2021_12</v>
      </c>
      <c r="EX78" t="str">
        <f t="shared" si="208"/>
        <v>2021_12</v>
      </c>
      <c r="EY78" t="str">
        <f t="shared" si="208"/>
        <v>2021_12</v>
      </c>
      <c r="FB78" s="10" t="s">
        <v>37</v>
      </c>
      <c r="FC78">
        <f t="shared" si="305"/>
        <v>0</v>
      </c>
      <c r="FD78">
        <f t="shared" si="255"/>
        <v>0</v>
      </c>
      <c r="FE78">
        <f t="shared" si="256"/>
        <v>0</v>
      </c>
      <c r="FF78">
        <f t="shared" si="257"/>
        <v>0</v>
      </c>
      <c r="FG78">
        <f t="shared" si="258"/>
        <v>0</v>
      </c>
      <c r="FH78">
        <f t="shared" si="259"/>
        <v>0</v>
      </c>
      <c r="FI78">
        <f t="shared" si="260"/>
        <v>0</v>
      </c>
      <c r="FJ78">
        <f t="shared" si="261"/>
        <v>0</v>
      </c>
      <c r="FK78">
        <f t="shared" si="262"/>
        <v>0</v>
      </c>
      <c r="FL78">
        <f t="shared" si="263"/>
        <v>0</v>
      </c>
      <c r="FM78">
        <f t="shared" si="264"/>
        <v>0</v>
      </c>
      <c r="FN78">
        <f t="shared" si="265"/>
        <v>0</v>
      </c>
      <c r="FO78">
        <f t="shared" si="266"/>
        <v>0</v>
      </c>
      <c r="FP78">
        <f t="shared" si="267"/>
        <v>0</v>
      </c>
      <c r="FQ78">
        <f t="shared" si="268"/>
        <v>0</v>
      </c>
      <c r="FR78">
        <f t="shared" si="269"/>
        <v>0</v>
      </c>
      <c r="FS78">
        <f t="shared" si="270"/>
        <v>0</v>
      </c>
      <c r="FT78">
        <f t="shared" si="271"/>
        <v>0</v>
      </c>
      <c r="FU78">
        <f t="shared" si="272"/>
        <v>0</v>
      </c>
      <c r="FV78">
        <f t="shared" si="273"/>
        <v>0</v>
      </c>
      <c r="FW78">
        <f t="shared" si="274"/>
        <v>1</v>
      </c>
      <c r="FX78">
        <f t="shared" si="275"/>
        <v>1</v>
      </c>
      <c r="FY78">
        <f t="shared" si="276"/>
        <v>1</v>
      </c>
      <c r="FZ78">
        <f t="shared" si="277"/>
        <v>1</v>
      </c>
      <c r="GA78">
        <f t="shared" si="278"/>
        <v>1</v>
      </c>
      <c r="GB78">
        <f t="shared" si="279"/>
        <v>1</v>
      </c>
      <c r="GC78">
        <f t="shared" si="280"/>
        <v>1</v>
      </c>
      <c r="GD78">
        <f t="shared" si="281"/>
        <v>1</v>
      </c>
      <c r="GE78">
        <f t="shared" si="282"/>
        <v>1</v>
      </c>
      <c r="GF78">
        <f t="shared" si="283"/>
        <v>1</v>
      </c>
      <c r="GG78">
        <f t="shared" si="284"/>
        <v>1</v>
      </c>
      <c r="GH78">
        <f t="shared" si="285"/>
        <v>1</v>
      </c>
      <c r="GI78">
        <f t="shared" si="286"/>
        <v>1</v>
      </c>
      <c r="GJ78">
        <f t="shared" si="287"/>
        <v>1</v>
      </c>
      <c r="GK78">
        <f t="shared" si="288"/>
        <v>1</v>
      </c>
      <c r="GL78">
        <f t="shared" si="289"/>
        <v>1</v>
      </c>
      <c r="GM78">
        <f t="shared" si="290"/>
        <v>1</v>
      </c>
      <c r="GN78">
        <f t="shared" si="291"/>
        <v>1</v>
      </c>
      <c r="GO78">
        <f t="shared" si="292"/>
        <v>1</v>
      </c>
      <c r="GP78">
        <f t="shared" si="293"/>
        <v>1</v>
      </c>
      <c r="GQ78">
        <f t="shared" si="294"/>
        <v>1</v>
      </c>
      <c r="GR78">
        <f t="shared" si="295"/>
        <v>1</v>
      </c>
      <c r="GS78">
        <f t="shared" si="296"/>
        <v>1</v>
      </c>
      <c r="GT78">
        <f t="shared" si="297"/>
        <v>1</v>
      </c>
      <c r="GU78">
        <f t="shared" si="298"/>
        <v>1</v>
      </c>
      <c r="GX78" s="10"/>
    </row>
    <row r="79" spans="1:206" x14ac:dyDescent="0.3">
      <c r="A79" s="9" t="s">
        <v>55</v>
      </c>
      <c r="B79" s="80"/>
      <c r="C79" s="9">
        <v>3011511001</v>
      </c>
      <c r="D79" s="9" t="s">
        <v>407</v>
      </c>
      <c r="E79" s="9" t="s">
        <v>34</v>
      </c>
      <c r="F79" s="9" t="s">
        <v>35</v>
      </c>
      <c r="G79" s="9" t="s">
        <v>110</v>
      </c>
      <c r="H79" s="10">
        <v>44545</v>
      </c>
      <c r="I79" s="9">
        <f t="shared" si="299"/>
        <v>2021</v>
      </c>
      <c r="J79" s="9">
        <f t="shared" si="300"/>
        <v>12</v>
      </c>
      <c r="K79" s="9" t="str">
        <f t="shared" si="301"/>
        <v>2021_12</v>
      </c>
      <c r="L79">
        <f>MAX(0,VLOOKUP($K79,lookups!$A$1:$B$45,2,0)-12)</f>
        <v>8</v>
      </c>
      <c r="M79" s="40">
        <f t="shared" si="302"/>
        <v>44531</v>
      </c>
      <c r="N79" s="10" t="s">
        <v>37</v>
      </c>
      <c r="O79" t="str">
        <f ca="1">IF(OR($L79&gt;O$4,O$4&gt;$L79+23),"",OFFSET(Electric!$L70,0,-'Electric Calendarize'!$L79+'Electric Calendarize'!O$4+1))</f>
        <v/>
      </c>
      <c r="P79" t="str">
        <f ca="1">IF(OR($L79&gt;P$4,P$4&gt;$L79+23),"",OFFSET(Electric!$L70,0,-'Electric Calendarize'!$L79+'Electric Calendarize'!P$4+1))</f>
        <v/>
      </c>
      <c r="Q79" t="str">
        <f ca="1">IF(OR($L79&gt;Q$4,Q$4&gt;$L79+23),"",OFFSET(Electric!$L70,0,-'Electric Calendarize'!$L79+'Electric Calendarize'!Q$4+1))</f>
        <v/>
      </c>
      <c r="R79" t="str">
        <f ca="1">IF(OR($L79&gt;R$4,R$4&gt;$L79+23),"",OFFSET(Electric!$L70,0,-'Electric Calendarize'!$L79+'Electric Calendarize'!R$4+1))</f>
        <v/>
      </c>
      <c r="S79" t="str">
        <f ca="1">IF(OR($L79&gt;S$4,S$4&gt;$L79+23),"",OFFSET(Electric!$L70,0,-'Electric Calendarize'!$L79+'Electric Calendarize'!S$4+1))</f>
        <v/>
      </c>
      <c r="T79" t="str">
        <f ca="1">IF(OR($L79&gt;T$4,T$4&gt;$L79+23),"",OFFSET(Electric!$L70,0,-'Electric Calendarize'!$L79+'Electric Calendarize'!T$4+1))</f>
        <v/>
      </c>
      <c r="U79" t="str">
        <f ca="1">IF(OR($L79&gt;U$4,U$4&gt;$L79+23),"",OFFSET(Electric!$L70,0,-'Electric Calendarize'!$L79+'Electric Calendarize'!U$4+1))</f>
        <v/>
      </c>
      <c r="V79" t="str">
        <f ca="1">IF(OR($L79&gt;V$4,V$4&gt;$L79+23),"",OFFSET(Electric!$L70,0,-'Electric Calendarize'!$L79+'Electric Calendarize'!V$4+1))</f>
        <v/>
      </c>
      <c r="W79">
        <f ca="1">IF(OR($L79&gt;W$4,W$4&gt;$L79+23),"",OFFSET(Electric!$L70,0,-'Electric Calendarize'!$L79+'Electric Calendarize'!W$4+1))</f>
        <v>0</v>
      </c>
      <c r="X79">
        <f ca="1">IF(OR($L79&gt;X$4,X$4&gt;$L79+23),"",OFFSET(Electric!$L70,0,-'Electric Calendarize'!$L79+'Electric Calendarize'!X$4+1))</f>
        <v>0</v>
      </c>
      <c r="Y79">
        <f ca="1">IF(OR($L79&gt;Y$4,Y$4&gt;$L79+23),"",OFFSET(Electric!$L70,0,-'Electric Calendarize'!$L79+'Electric Calendarize'!Y$4+1))</f>
        <v>0</v>
      </c>
      <c r="Z79">
        <f ca="1">IF(OR($L79&gt;Z$4,Z$4&gt;$L79+23),"",OFFSET(Electric!$L70,0,-'Electric Calendarize'!$L79+'Electric Calendarize'!Z$4+1))</f>
        <v>0</v>
      </c>
      <c r="AA79">
        <f ca="1">IF(OR($L79&gt;AA$4,AA$4&gt;$L79+23),"",OFFSET(Electric!$L70,0,-'Electric Calendarize'!$L79+'Electric Calendarize'!AA$4+1))</f>
        <v>0</v>
      </c>
      <c r="AB79">
        <f ca="1">IF(OR($L79&gt;AB$4,AB$4&gt;$L79+23),"",OFFSET(Electric!$L70,0,-'Electric Calendarize'!$L79+'Electric Calendarize'!AB$4+1))</f>
        <v>90</v>
      </c>
      <c r="AC79">
        <f ca="1">IF(OR($L79&gt;AC$4,AC$4&gt;$L79+23),"",OFFSET(Electric!$L70,0,-'Electric Calendarize'!$L79+'Electric Calendarize'!AC$4+1))</f>
        <v>244</v>
      </c>
      <c r="AD79">
        <f ca="1">IF(OR($L79&gt;AD$4,AD$4&gt;$L79+23),"",OFFSET(Electric!$L70,0,-'Electric Calendarize'!$L79+'Electric Calendarize'!AD$4+1))</f>
        <v>688</v>
      </c>
      <c r="AE79">
        <f ca="1">IF(OR($L79&gt;AE$4,AE$4&gt;$L79+23),"",OFFSET(Electric!$L70,0,-'Electric Calendarize'!$L79+'Electric Calendarize'!AE$4+1))</f>
        <v>588</v>
      </c>
      <c r="AF79">
        <f ca="1">IF(OR($L79&gt;AF$4,AF$4&gt;$L79+23),"",OFFSET(Electric!$L70,0,-'Electric Calendarize'!$L79+'Electric Calendarize'!AF$4+1))</f>
        <v>948</v>
      </c>
      <c r="AG79">
        <f ca="1">IF(OR($L79&gt;AG$4,AG$4&gt;$L79+23),"",OFFSET(Electric!$L70,0,-'Electric Calendarize'!$L79+'Electric Calendarize'!AG$4+1))</f>
        <v>718</v>
      </c>
      <c r="AH79">
        <f ca="1">IF(OR($L79&gt;AH$4,AH$4&gt;$L79+23),"",OFFSET(Electric!$L70,0,-'Electric Calendarize'!$L79+'Electric Calendarize'!AH$4+1))</f>
        <v>698</v>
      </c>
      <c r="AI79">
        <f ca="1">IF(OR($L79&gt;AI$4,AI$4&gt;$L79+23),"",OFFSET(Electric!$L70,0,-'Electric Calendarize'!$L79+'Electric Calendarize'!AI$4+1))</f>
        <v>1044</v>
      </c>
      <c r="AJ79">
        <f ca="1">IF(OR($L79&gt;AJ$4,AJ$4&gt;$L79+23),"",OFFSET(Electric!$L70,0,-'Electric Calendarize'!$L79+'Electric Calendarize'!AJ$4+1))</f>
        <v>962</v>
      </c>
      <c r="AK79">
        <f ca="1">IF(OR($L79&gt;AK$4,AK$4&gt;$L79+23),"",OFFSET(Electric!$L70,0,-'Electric Calendarize'!$L79+'Electric Calendarize'!AK$4+1))</f>
        <v>1288</v>
      </c>
      <c r="AL79">
        <f ca="1">IF(OR($L79&gt;AL$4,AL$4&gt;$L79+23),"",OFFSET(Electric!$L70,0,-'Electric Calendarize'!$L79+'Electric Calendarize'!AL$4+1))</f>
        <v>1132</v>
      </c>
      <c r="AM79">
        <f ca="1">IF(OR($L79&gt;AM$4,AM$4&gt;$L79+23),"",OFFSET(Electric!$L70,0,-'Electric Calendarize'!$L79+'Electric Calendarize'!AM$4+1))</f>
        <v>834</v>
      </c>
      <c r="AN79">
        <f ca="1">IF(OR($L79&gt;AN$4,AN$4&gt;$L79+23),"",OFFSET(Electric!$L70,0,-'Electric Calendarize'!$L79+'Electric Calendarize'!AN$4+1))</f>
        <v>640</v>
      </c>
      <c r="AO79">
        <f ca="1">IF(OR($L79&gt;AO$4,AO$4&gt;$L79+23),"",OFFSET(Electric!$L70,0,-'Electric Calendarize'!$L79+'Electric Calendarize'!AO$4+1))</f>
        <v>802</v>
      </c>
      <c r="AP79">
        <f ca="1">IF(OR($L79&gt;AP$4,AP$4&gt;$L79+23),"",OFFSET(Electric!$L70,0,-'Electric Calendarize'!$L79+'Electric Calendarize'!AP$4+1))</f>
        <v>780</v>
      </c>
      <c r="AQ79">
        <f ca="1">IF(OR($L79&gt;AQ$4,AQ$4&gt;$L79+23),"",OFFSET(Electric!$L70,0,-'Electric Calendarize'!$L79+'Electric Calendarize'!AQ$4+1))</f>
        <v>1224</v>
      </c>
      <c r="AR79">
        <f ca="1">IF(OR($L79&gt;AR$4,AR$4&gt;$L79+23),"",OFFSET(Electric!$L70,0,-'Electric Calendarize'!$L79+'Electric Calendarize'!AR$4+1))</f>
        <v>1316</v>
      </c>
      <c r="AS79">
        <f ca="1">IF(OR($L79&gt;AS$4,AS$4&gt;$L79+23),"",OFFSET(Electric!$L70,0,-'Electric Calendarize'!$L79+'Electric Calendarize'!AS$4+1))</f>
        <v>1218</v>
      </c>
      <c r="AT79">
        <f ca="1">IF(OR($L79&gt;AT$4,AT$4&gt;$L79+23),"",OFFSET(Electric!$L70,0,-'Electric Calendarize'!$L79+'Electric Calendarize'!AT$4+1))</f>
        <v>1174</v>
      </c>
      <c r="AU79" t="str">
        <f ca="1">IF(OR($L79&gt;AU$4,AU$4&gt;$L79+23),"",OFFSET(Electric!$L70,0,-'Electric Calendarize'!$L79+'Electric Calendarize'!AU$4+1))</f>
        <v/>
      </c>
      <c r="AV79" t="str">
        <f ca="1">IF(OR($L79&gt;AV$4,AV$4&gt;$L79+23),"",OFFSET(Electric!$L70,0,-'Electric Calendarize'!$L79+'Electric Calendarize'!AV$4+1))</f>
        <v/>
      </c>
      <c r="AW79" t="str">
        <f ca="1">IF(OR($L79&gt;AW$4,AW$4&gt;$L79+23),"",OFFSET(Electric!$L70,0,-'Electric Calendarize'!$L79+'Electric Calendarize'!AW$4+1))</f>
        <v/>
      </c>
      <c r="AX79" t="str">
        <f ca="1">IF(OR($L79&gt;AX$4,AX$4&gt;$L79+23),"",OFFSET(Electric!$L70,0,-'Electric Calendarize'!$L79+'Electric Calendarize'!AX$4+1))</f>
        <v/>
      </c>
      <c r="AY79" t="str">
        <f ca="1">IF(OR($L79&gt;AY$4,AY$4&gt;$L79+23),"",OFFSET(Electric!$L70,0,-'Electric Calendarize'!$L79+'Electric Calendarize'!AY$4+1))</f>
        <v/>
      </c>
      <c r="AZ79" t="str">
        <f ca="1">IF(OR($L79&gt;AZ$4,AZ$4&gt;$L79+23),"",OFFSET(Electric!$L70,0,-'Electric Calendarize'!$L79+'Electric Calendarize'!AZ$4+1))</f>
        <v/>
      </c>
      <c r="BA79" t="str">
        <f ca="1">IF(OR($L79&gt;BA$4,BA$4&gt;$L79+23),"",OFFSET(Electric!$L70,0,-'Electric Calendarize'!$L79+'Electric Calendarize'!BA$4+1))</f>
        <v/>
      </c>
      <c r="BB79" t="str">
        <f ca="1">IF(OR($L79&gt;BB$4,BB$4&gt;$L79+23),"",OFFSET(Electric!$L70,0,-'Electric Calendarize'!$L79+'Electric Calendarize'!BB$4+1))</f>
        <v/>
      </c>
      <c r="BC79" t="str">
        <f ca="1">IF(OR($L79&gt;BC$4,BC$4&gt;$L79+23),"",OFFSET(Electric!$L70,0,-'Electric Calendarize'!$L79+'Electric Calendarize'!BC$4+1))</f>
        <v/>
      </c>
      <c r="BD79" t="str">
        <f ca="1">IF(OR($L79&gt;BD$4,BD$4&gt;$L79+23),"",OFFSET(Electric!$L70,0,-'Electric Calendarize'!$L79+'Electric Calendarize'!BD$4+1))</f>
        <v/>
      </c>
      <c r="BE79" t="str">
        <f ca="1">IF(OR($L79&gt;BE$4,BE$4&gt;$L79+23),"",OFFSET(Electric!$L70,0,-'Electric Calendarize'!$L79+'Electric Calendarize'!BE$4+1))</f>
        <v/>
      </c>
      <c r="BF79" t="str">
        <f ca="1">IF(OR($L79&gt;BF$4,BF$4&gt;$L79+23),"",OFFSET(Electric!$L70,0,-'Electric Calendarize'!$L79+'Electric Calendarize'!BF$4+1))</f>
        <v/>
      </c>
      <c r="BG79" t="str">
        <f ca="1">IF(OR($L79&gt;BG$4,BG$4&gt;$L79+23),"",OFFSET(Electric!$L70,0,-'Electric Calendarize'!$L79+'Electric Calendarize'!BG$4+1))</f>
        <v/>
      </c>
      <c r="BJ79" s="10" t="s">
        <v>37</v>
      </c>
      <c r="BK79">
        <f t="shared" si="303"/>
        <v>1</v>
      </c>
      <c r="BL79">
        <f t="shared" si="209"/>
        <v>0</v>
      </c>
      <c r="BM79">
        <f t="shared" si="210"/>
        <v>0</v>
      </c>
      <c r="BN79">
        <f t="shared" si="211"/>
        <v>0</v>
      </c>
      <c r="BO79">
        <f t="shared" si="212"/>
        <v>0</v>
      </c>
      <c r="BP79">
        <f t="shared" si="213"/>
        <v>0</v>
      </c>
      <c r="BQ79">
        <f t="shared" si="214"/>
        <v>0</v>
      </c>
      <c r="BR79">
        <f t="shared" si="215"/>
        <v>1</v>
      </c>
      <c r="BS79">
        <f t="shared" si="216"/>
        <v>1</v>
      </c>
      <c r="BT79">
        <f t="shared" si="217"/>
        <v>1</v>
      </c>
      <c r="BU79">
        <f t="shared" si="218"/>
        <v>1</v>
      </c>
      <c r="BV79">
        <f t="shared" si="219"/>
        <v>1</v>
      </c>
      <c r="BW79">
        <f t="shared" si="220"/>
        <v>1</v>
      </c>
      <c r="BX79">
        <f t="shared" si="221"/>
        <v>0</v>
      </c>
      <c r="BY79">
        <f t="shared" si="222"/>
        <v>0</v>
      </c>
      <c r="BZ79">
        <f t="shared" si="223"/>
        <v>0</v>
      </c>
      <c r="CA79">
        <f t="shared" si="224"/>
        <v>0</v>
      </c>
      <c r="CB79">
        <f t="shared" si="225"/>
        <v>0</v>
      </c>
      <c r="CC79">
        <f t="shared" si="226"/>
        <v>0</v>
      </c>
      <c r="CD79">
        <f t="shared" si="227"/>
        <v>1</v>
      </c>
      <c r="CE79">
        <f t="shared" si="228"/>
        <v>1</v>
      </c>
      <c r="CF79">
        <f t="shared" si="229"/>
        <v>1</v>
      </c>
      <c r="CG79">
        <f t="shared" si="230"/>
        <v>1</v>
      </c>
      <c r="CH79">
        <f t="shared" si="231"/>
        <v>1</v>
      </c>
      <c r="CI79">
        <f t="shared" si="232"/>
        <v>1</v>
      </c>
      <c r="CJ79">
        <f t="shared" si="233"/>
        <v>0</v>
      </c>
      <c r="CK79">
        <f t="shared" si="234"/>
        <v>0</v>
      </c>
      <c r="CL79">
        <f t="shared" si="235"/>
        <v>0</v>
      </c>
      <c r="CM79">
        <f t="shared" si="236"/>
        <v>0</v>
      </c>
      <c r="CN79">
        <f t="shared" si="237"/>
        <v>0</v>
      </c>
      <c r="CO79">
        <f t="shared" si="238"/>
        <v>0</v>
      </c>
      <c r="CP79">
        <f t="shared" si="239"/>
        <v>1</v>
      </c>
      <c r="CQ79">
        <f t="shared" si="240"/>
        <v>1</v>
      </c>
      <c r="CR79">
        <f t="shared" si="241"/>
        <v>1</v>
      </c>
      <c r="CS79">
        <f t="shared" si="242"/>
        <v>1</v>
      </c>
      <c r="CT79">
        <f t="shared" si="243"/>
        <v>1</v>
      </c>
      <c r="CU79">
        <f t="shared" si="244"/>
        <v>1</v>
      </c>
      <c r="CV79">
        <f t="shared" si="245"/>
        <v>0</v>
      </c>
      <c r="CW79">
        <f t="shared" si="246"/>
        <v>0</v>
      </c>
      <c r="CX79">
        <f t="shared" si="247"/>
        <v>0</v>
      </c>
      <c r="CY79">
        <f t="shared" si="248"/>
        <v>0</v>
      </c>
      <c r="CZ79">
        <f t="shared" si="249"/>
        <v>0</v>
      </c>
      <c r="DA79">
        <f t="shared" si="250"/>
        <v>0</v>
      </c>
      <c r="DB79">
        <f t="shared" si="251"/>
        <v>1</v>
      </c>
      <c r="DC79">
        <f t="shared" si="252"/>
        <v>1</v>
      </c>
      <c r="DF79" s="10" t="s">
        <v>37</v>
      </c>
      <c r="DG79" t="str">
        <f t="shared" si="304"/>
        <v>2021_12</v>
      </c>
      <c r="DH79" t="str">
        <f t="shared" si="304"/>
        <v>2021_12</v>
      </c>
      <c r="DI79" t="str">
        <f t="shared" si="304"/>
        <v>2021_12</v>
      </c>
      <c r="DJ79" t="str">
        <f t="shared" si="304"/>
        <v>2021_12</v>
      </c>
      <c r="DK79" t="str">
        <f t="shared" si="304"/>
        <v>2021_12</v>
      </c>
      <c r="DL79" t="str">
        <f t="shared" si="304"/>
        <v>2021_12</v>
      </c>
      <c r="DM79" t="str">
        <f t="shared" si="304"/>
        <v>2021_12</v>
      </c>
      <c r="DN79" t="str">
        <f t="shared" si="304"/>
        <v>2021_12</v>
      </c>
      <c r="DO79" t="str">
        <f t="shared" si="304"/>
        <v>2021_12</v>
      </c>
      <c r="DP79" t="str">
        <f t="shared" si="304"/>
        <v>2021_12</v>
      </c>
      <c r="DQ79" t="str">
        <f t="shared" si="304"/>
        <v>2021_12</v>
      </c>
      <c r="DR79" t="str">
        <f t="shared" si="304"/>
        <v>2021_12</v>
      </c>
      <c r="DS79" t="str">
        <f t="shared" si="304"/>
        <v>2021_12</v>
      </c>
      <c r="DT79" t="str">
        <f t="shared" si="304"/>
        <v>2021_12</v>
      </c>
      <c r="DU79" t="str">
        <f t="shared" si="304"/>
        <v>2021_12</v>
      </c>
      <c r="DV79" t="str">
        <f t="shared" si="253"/>
        <v>2021_12</v>
      </c>
      <c r="DW79" t="str">
        <f t="shared" si="253"/>
        <v>2021_12</v>
      </c>
      <c r="DX79" t="str">
        <f t="shared" si="253"/>
        <v>2021_12</v>
      </c>
      <c r="DY79" t="str">
        <f t="shared" si="253"/>
        <v>2021_12</v>
      </c>
      <c r="DZ79" t="str">
        <f t="shared" si="253"/>
        <v>2021_12</v>
      </c>
      <c r="EA79" t="str">
        <f t="shared" si="253"/>
        <v>2021_12</v>
      </c>
      <c r="EB79" t="str">
        <f t="shared" si="253"/>
        <v>2021_12</v>
      </c>
      <c r="EC79" t="str">
        <f t="shared" si="253"/>
        <v>2021_12</v>
      </c>
      <c r="ED79" t="str">
        <f t="shared" si="253"/>
        <v>2021_12</v>
      </c>
      <c r="EE79" t="str">
        <f t="shared" si="253"/>
        <v>2021_12</v>
      </c>
      <c r="EF79" t="str">
        <f t="shared" si="253"/>
        <v>2021_12</v>
      </c>
      <c r="EG79" t="str">
        <f t="shared" si="253"/>
        <v>2021_12</v>
      </c>
      <c r="EH79" t="str">
        <f t="shared" si="253"/>
        <v>2021_12</v>
      </c>
      <c r="EI79" t="str">
        <f t="shared" si="253"/>
        <v>2021_12</v>
      </c>
      <c r="EJ79" t="str">
        <f t="shared" si="253"/>
        <v>2021_12</v>
      </c>
      <c r="EK79" t="str">
        <f t="shared" si="253"/>
        <v>2021_12</v>
      </c>
      <c r="EL79" t="str">
        <f t="shared" si="254"/>
        <v>2021_12</v>
      </c>
      <c r="EM79" t="str">
        <f t="shared" si="208"/>
        <v>2021_12</v>
      </c>
      <c r="EN79" t="str">
        <f t="shared" si="208"/>
        <v>2021_12</v>
      </c>
      <c r="EO79" t="str">
        <f t="shared" si="208"/>
        <v>2021_12</v>
      </c>
      <c r="EP79" t="str">
        <f t="shared" si="208"/>
        <v>2021_12</v>
      </c>
      <c r="EQ79" t="str">
        <f t="shared" si="208"/>
        <v>2021_12</v>
      </c>
      <c r="ER79" t="str">
        <f t="shared" si="208"/>
        <v>2021_12</v>
      </c>
      <c r="ES79" t="str">
        <f t="shared" si="208"/>
        <v>2021_12</v>
      </c>
      <c r="ET79" t="str">
        <f t="shared" si="208"/>
        <v>2021_12</v>
      </c>
      <c r="EU79" t="str">
        <f t="shared" si="208"/>
        <v>2021_12</v>
      </c>
      <c r="EV79" t="str">
        <f t="shared" si="208"/>
        <v>2021_12</v>
      </c>
      <c r="EW79" t="str">
        <f t="shared" si="208"/>
        <v>2021_12</v>
      </c>
      <c r="EX79" t="str">
        <f t="shared" si="208"/>
        <v>2021_12</v>
      </c>
      <c r="EY79" t="str">
        <f t="shared" si="208"/>
        <v>2021_12</v>
      </c>
      <c r="FB79" s="10" t="s">
        <v>37</v>
      </c>
      <c r="FC79">
        <f t="shared" si="305"/>
        <v>0</v>
      </c>
      <c r="FD79">
        <f t="shared" si="255"/>
        <v>0</v>
      </c>
      <c r="FE79">
        <f t="shared" si="256"/>
        <v>0</v>
      </c>
      <c r="FF79">
        <f t="shared" si="257"/>
        <v>0</v>
      </c>
      <c r="FG79">
        <f t="shared" si="258"/>
        <v>0</v>
      </c>
      <c r="FH79">
        <f t="shared" si="259"/>
        <v>0</v>
      </c>
      <c r="FI79">
        <f t="shared" si="260"/>
        <v>0</v>
      </c>
      <c r="FJ79">
        <f t="shared" si="261"/>
        <v>0</v>
      </c>
      <c r="FK79">
        <f t="shared" si="262"/>
        <v>0</v>
      </c>
      <c r="FL79">
        <f t="shared" si="263"/>
        <v>0</v>
      </c>
      <c r="FM79">
        <f t="shared" si="264"/>
        <v>0</v>
      </c>
      <c r="FN79">
        <f t="shared" si="265"/>
        <v>0</v>
      </c>
      <c r="FO79">
        <f t="shared" si="266"/>
        <v>0</v>
      </c>
      <c r="FP79">
        <f t="shared" si="267"/>
        <v>0</v>
      </c>
      <c r="FQ79">
        <f t="shared" si="268"/>
        <v>0</v>
      </c>
      <c r="FR79">
        <f t="shared" si="269"/>
        <v>0</v>
      </c>
      <c r="FS79">
        <f t="shared" si="270"/>
        <v>0</v>
      </c>
      <c r="FT79">
        <f t="shared" si="271"/>
        <v>0</v>
      </c>
      <c r="FU79">
        <f t="shared" si="272"/>
        <v>0</v>
      </c>
      <c r="FV79">
        <f t="shared" si="273"/>
        <v>0</v>
      </c>
      <c r="FW79">
        <f t="shared" si="274"/>
        <v>1</v>
      </c>
      <c r="FX79">
        <f t="shared" si="275"/>
        <v>1</v>
      </c>
      <c r="FY79">
        <f t="shared" si="276"/>
        <v>1</v>
      </c>
      <c r="FZ79">
        <f t="shared" si="277"/>
        <v>1</v>
      </c>
      <c r="GA79">
        <f t="shared" si="278"/>
        <v>1</v>
      </c>
      <c r="GB79">
        <f t="shared" si="279"/>
        <v>1</v>
      </c>
      <c r="GC79">
        <f t="shared" si="280"/>
        <v>1</v>
      </c>
      <c r="GD79">
        <f t="shared" si="281"/>
        <v>1</v>
      </c>
      <c r="GE79">
        <f t="shared" si="282"/>
        <v>1</v>
      </c>
      <c r="GF79">
        <f t="shared" si="283"/>
        <v>1</v>
      </c>
      <c r="GG79">
        <f t="shared" si="284"/>
        <v>1</v>
      </c>
      <c r="GH79">
        <f t="shared" si="285"/>
        <v>1</v>
      </c>
      <c r="GI79">
        <f t="shared" si="286"/>
        <v>1</v>
      </c>
      <c r="GJ79">
        <f t="shared" si="287"/>
        <v>1</v>
      </c>
      <c r="GK79">
        <f t="shared" si="288"/>
        <v>1</v>
      </c>
      <c r="GL79">
        <f t="shared" si="289"/>
        <v>1</v>
      </c>
      <c r="GM79">
        <f t="shared" si="290"/>
        <v>1</v>
      </c>
      <c r="GN79">
        <f t="shared" si="291"/>
        <v>1</v>
      </c>
      <c r="GO79">
        <f t="shared" si="292"/>
        <v>1</v>
      </c>
      <c r="GP79">
        <f t="shared" si="293"/>
        <v>1</v>
      </c>
      <c r="GQ79">
        <f t="shared" si="294"/>
        <v>1</v>
      </c>
      <c r="GR79">
        <f t="shared" si="295"/>
        <v>1</v>
      </c>
      <c r="GS79">
        <f t="shared" si="296"/>
        <v>1</v>
      </c>
      <c r="GT79">
        <f t="shared" si="297"/>
        <v>1</v>
      </c>
      <c r="GU79">
        <f t="shared" si="298"/>
        <v>1</v>
      </c>
      <c r="GX79" s="10"/>
    </row>
    <row r="80" spans="1:206" x14ac:dyDescent="0.3">
      <c r="A80" s="9" t="s">
        <v>41</v>
      </c>
      <c r="B80" s="80"/>
      <c r="C80" s="9">
        <v>3011883000</v>
      </c>
      <c r="D80" s="9" t="s">
        <v>408</v>
      </c>
      <c r="E80" s="9" t="s">
        <v>34</v>
      </c>
      <c r="F80" s="9" t="s">
        <v>35</v>
      </c>
      <c r="G80" s="9" t="s">
        <v>111</v>
      </c>
      <c r="H80" s="10">
        <v>44552</v>
      </c>
      <c r="I80" s="9">
        <f t="shared" si="299"/>
        <v>2021</v>
      </c>
      <c r="J80" s="9">
        <f t="shared" si="300"/>
        <v>12</v>
      </c>
      <c r="K80" s="9" t="str">
        <f t="shared" si="301"/>
        <v>2021_12</v>
      </c>
      <c r="L80">
        <f>MAX(0,VLOOKUP($K80,lookups!$A$1:$B$45,2,0)-12)</f>
        <v>8</v>
      </c>
      <c r="M80" s="40">
        <f t="shared" si="302"/>
        <v>44531</v>
      </c>
      <c r="N80" s="10" t="s">
        <v>37</v>
      </c>
      <c r="O80" t="str">
        <f ca="1">IF(OR($L80&gt;O$4,O$4&gt;$L80+23),"",OFFSET(Electric!$L71,0,-'Electric Calendarize'!$L80+'Electric Calendarize'!O$4+1))</f>
        <v/>
      </c>
      <c r="P80" t="str">
        <f ca="1">IF(OR($L80&gt;P$4,P$4&gt;$L80+23),"",OFFSET(Electric!$L71,0,-'Electric Calendarize'!$L80+'Electric Calendarize'!P$4+1))</f>
        <v/>
      </c>
      <c r="Q80" t="str">
        <f ca="1">IF(OR($L80&gt;Q$4,Q$4&gt;$L80+23),"",OFFSET(Electric!$L71,0,-'Electric Calendarize'!$L80+'Electric Calendarize'!Q$4+1))</f>
        <v/>
      </c>
      <c r="R80" t="str">
        <f ca="1">IF(OR($L80&gt;R$4,R$4&gt;$L80+23),"",OFFSET(Electric!$L71,0,-'Electric Calendarize'!$L80+'Electric Calendarize'!R$4+1))</f>
        <v/>
      </c>
      <c r="S80" t="str">
        <f ca="1">IF(OR($L80&gt;S$4,S$4&gt;$L80+23),"",OFFSET(Electric!$L71,0,-'Electric Calendarize'!$L80+'Electric Calendarize'!S$4+1))</f>
        <v/>
      </c>
      <c r="T80" t="str">
        <f ca="1">IF(OR($L80&gt;T$4,T$4&gt;$L80+23),"",OFFSET(Electric!$L71,0,-'Electric Calendarize'!$L80+'Electric Calendarize'!T$4+1))</f>
        <v/>
      </c>
      <c r="U80" t="str">
        <f ca="1">IF(OR($L80&gt;U$4,U$4&gt;$L80+23),"",OFFSET(Electric!$L71,0,-'Electric Calendarize'!$L80+'Electric Calendarize'!U$4+1))</f>
        <v/>
      </c>
      <c r="V80" t="str">
        <f ca="1">IF(OR($L80&gt;V$4,V$4&gt;$L80+23),"",OFFSET(Electric!$L71,0,-'Electric Calendarize'!$L80+'Electric Calendarize'!V$4+1))</f>
        <v/>
      </c>
      <c r="W80">
        <f ca="1">IF(OR($L80&gt;W$4,W$4&gt;$L80+23),"",OFFSET(Electric!$L71,0,-'Electric Calendarize'!$L80+'Electric Calendarize'!W$4+1))</f>
        <v>487</v>
      </c>
      <c r="X80">
        <f ca="1">IF(OR($L80&gt;X$4,X$4&gt;$L80+23),"",OFFSET(Electric!$L71,0,-'Electric Calendarize'!$L80+'Electric Calendarize'!X$4+1))</f>
        <v>576</v>
      </c>
      <c r="Y80">
        <f ca="1">IF(OR($L80&gt;Y$4,Y$4&gt;$L80+23),"",OFFSET(Electric!$L71,0,-'Electric Calendarize'!$L80+'Electric Calendarize'!Y$4+1))</f>
        <v>449</v>
      </c>
      <c r="Z80">
        <f ca="1">IF(OR($L80&gt;Z$4,Z$4&gt;$L80+23),"",OFFSET(Electric!$L71,0,-'Electric Calendarize'!$L80+'Electric Calendarize'!Z$4+1))</f>
        <v>499</v>
      </c>
      <c r="AA80">
        <f ca="1">IF(OR($L80&gt;AA$4,AA$4&gt;$L80+23),"",OFFSET(Electric!$L71,0,-'Electric Calendarize'!$L80+'Electric Calendarize'!AA$4+1))</f>
        <v>409</v>
      </c>
      <c r="AB80">
        <f ca="1">IF(OR($L80&gt;AB$4,AB$4&gt;$L80+23),"",OFFSET(Electric!$L71,0,-'Electric Calendarize'!$L80+'Electric Calendarize'!AB$4+1))</f>
        <v>354</v>
      </c>
      <c r="AC80">
        <f ca="1">IF(OR($L80&gt;AC$4,AC$4&gt;$L80+23),"",OFFSET(Electric!$L71,0,-'Electric Calendarize'!$L80+'Electric Calendarize'!AC$4+1))</f>
        <v>556</v>
      </c>
      <c r="AD80">
        <f ca="1">IF(OR($L80&gt;AD$4,AD$4&gt;$L80+23),"",OFFSET(Electric!$L71,0,-'Electric Calendarize'!$L80+'Electric Calendarize'!AD$4+1))</f>
        <v>734</v>
      </c>
      <c r="AE80">
        <f ca="1">IF(OR($L80&gt;AE$4,AE$4&gt;$L80+23),"",OFFSET(Electric!$L71,0,-'Electric Calendarize'!$L80+'Electric Calendarize'!AE$4+1))</f>
        <v>679</v>
      </c>
      <c r="AF80">
        <f ca="1">IF(OR($L80&gt;AF$4,AF$4&gt;$L80+23),"",OFFSET(Electric!$L71,0,-'Electric Calendarize'!$L80+'Electric Calendarize'!AF$4+1))</f>
        <v>850</v>
      </c>
      <c r="AG80">
        <f ca="1">IF(OR($L80&gt;AG$4,AG$4&gt;$L80+23),"",OFFSET(Electric!$L71,0,-'Electric Calendarize'!$L80+'Electric Calendarize'!AG$4+1))</f>
        <v>488</v>
      </c>
      <c r="AH80">
        <f ca="1">IF(OR($L80&gt;AH$4,AH$4&gt;$L80+23),"",OFFSET(Electric!$L71,0,-'Electric Calendarize'!$L80+'Electric Calendarize'!AH$4+1))</f>
        <v>408</v>
      </c>
      <c r="AI80">
        <f ca="1">IF(OR($L80&gt;AI$4,AI$4&gt;$L80+23),"",OFFSET(Electric!$L71,0,-'Electric Calendarize'!$L80+'Electric Calendarize'!AI$4+1))</f>
        <v>544</v>
      </c>
      <c r="AJ80">
        <f ca="1">IF(OR($L80&gt;AJ$4,AJ$4&gt;$L80+23),"",OFFSET(Electric!$L71,0,-'Electric Calendarize'!$L80+'Electric Calendarize'!AJ$4+1))</f>
        <v>753</v>
      </c>
      <c r="AK80">
        <f ca="1">IF(OR($L80&gt;AK$4,AK$4&gt;$L80+23),"",OFFSET(Electric!$L71,0,-'Electric Calendarize'!$L80+'Electric Calendarize'!AK$4+1))</f>
        <v>1646</v>
      </c>
      <c r="AL80">
        <f ca="1">IF(OR($L80&gt;AL$4,AL$4&gt;$L80+23),"",OFFSET(Electric!$L71,0,-'Electric Calendarize'!$L80+'Electric Calendarize'!AL$4+1))</f>
        <v>1933</v>
      </c>
      <c r="AM80">
        <f ca="1">IF(OR($L80&gt;AM$4,AM$4&gt;$L80+23),"",OFFSET(Electric!$L71,0,-'Electric Calendarize'!$L80+'Electric Calendarize'!AM$4+1))</f>
        <v>981</v>
      </c>
      <c r="AN80">
        <f ca="1">IF(OR($L80&gt;AN$4,AN$4&gt;$L80+23),"",OFFSET(Electric!$L71,0,-'Electric Calendarize'!$L80+'Electric Calendarize'!AN$4+1))</f>
        <v>671</v>
      </c>
      <c r="AO80">
        <f ca="1">IF(OR($L80&gt;AO$4,AO$4&gt;$L80+23),"",OFFSET(Electric!$L71,0,-'Electric Calendarize'!$L80+'Electric Calendarize'!AO$4+1))</f>
        <v>701</v>
      </c>
      <c r="AP80">
        <f ca="1">IF(OR($L80&gt;AP$4,AP$4&gt;$L80+23),"",OFFSET(Electric!$L71,0,-'Electric Calendarize'!$L80+'Electric Calendarize'!AP$4+1))</f>
        <v>673</v>
      </c>
      <c r="AQ80">
        <f ca="1">IF(OR($L80&gt;AQ$4,AQ$4&gt;$L80+23),"",OFFSET(Electric!$L71,0,-'Electric Calendarize'!$L80+'Electric Calendarize'!AQ$4+1))</f>
        <v>961</v>
      </c>
      <c r="AR80">
        <f ca="1">IF(OR($L80&gt;AR$4,AR$4&gt;$L80+23),"",OFFSET(Electric!$L71,0,-'Electric Calendarize'!$L80+'Electric Calendarize'!AR$4+1))</f>
        <v>786</v>
      </c>
      <c r="AS80">
        <f ca="1">IF(OR($L80&gt;AS$4,AS$4&gt;$L80+23),"",OFFSET(Electric!$L71,0,-'Electric Calendarize'!$L80+'Electric Calendarize'!AS$4+1))</f>
        <v>560</v>
      </c>
      <c r="AT80">
        <f ca="1">IF(OR($L80&gt;AT$4,AT$4&gt;$L80+23),"",OFFSET(Electric!$L71,0,-'Electric Calendarize'!$L80+'Electric Calendarize'!AT$4+1))</f>
        <v>615</v>
      </c>
      <c r="AU80" t="str">
        <f ca="1">IF(OR($L80&gt;AU$4,AU$4&gt;$L80+23),"",OFFSET(Electric!$L71,0,-'Electric Calendarize'!$L80+'Electric Calendarize'!AU$4+1))</f>
        <v/>
      </c>
      <c r="AV80" t="str">
        <f ca="1">IF(OR($L80&gt;AV$4,AV$4&gt;$L80+23),"",OFFSET(Electric!$L71,0,-'Electric Calendarize'!$L80+'Electric Calendarize'!AV$4+1))</f>
        <v/>
      </c>
      <c r="AW80" t="str">
        <f ca="1">IF(OR($L80&gt;AW$4,AW$4&gt;$L80+23),"",OFFSET(Electric!$L71,0,-'Electric Calendarize'!$L80+'Electric Calendarize'!AW$4+1))</f>
        <v/>
      </c>
      <c r="AX80" t="str">
        <f ca="1">IF(OR($L80&gt;AX$4,AX$4&gt;$L80+23),"",OFFSET(Electric!$L71,0,-'Electric Calendarize'!$L80+'Electric Calendarize'!AX$4+1))</f>
        <v/>
      </c>
      <c r="AY80" t="str">
        <f ca="1">IF(OR($L80&gt;AY$4,AY$4&gt;$L80+23),"",OFFSET(Electric!$L71,0,-'Electric Calendarize'!$L80+'Electric Calendarize'!AY$4+1))</f>
        <v/>
      </c>
      <c r="AZ80" t="str">
        <f ca="1">IF(OR($L80&gt;AZ$4,AZ$4&gt;$L80+23),"",OFFSET(Electric!$L71,0,-'Electric Calendarize'!$L80+'Electric Calendarize'!AZ$4+1))</f>
        <v/>
      </c>
      <c r="BA80" t="str">
        <f ca="1">IF(OR($L80&gt;BA$4,BA$4&gt;$L80+23),"",OFFSET(Electric!$L71,0,-'Electric Calendarize'!$L80+'Electric Calendarize'!BA$4+1))</f>
        <v/>
      </c>
      <c r="BB80" t="str">
        <f ca="1">IF(OR($L80&gt;BB$4,BB$4&gt;$L80+23),"",OFFSET(Electric!$L71,0,-'Electric Calendarize'!$L80+'Electric Calendarize'!BB$4+1))</f>
        <v/>
      </c>
      <c r="BC80" t="str">
        <f ca="1">IF(OR($L80&gt;BC$4,BC$4&gt;$L80+23),"",OFFSET(Electric!$L71,0,-'Electric Calendarize'!$L80+'Electric Calendarize'!BC$4+1))</f>
        <v/>
      </c>
      <c r="BD80" t="str">
        <f ca="1">IF(OR($L80&gt;BD$4,BD$4&gt;$L80+23),"",OFFSET(Electric!$L71,0,-'Electric Calendarize'!$L80+'Electric Calendarize'!BD$4+1))</f>
        <v/>
      </c>
      <c r="BE80" t="str">
        <f ca="1">IF(OR($L80&gt;BE$4,BE$4&gt;$L80+23),"",OFFSET(Electric!$L71,0,-'Electric Calendarize'!$L80+'Electric Calendarize'!BE$4+1))</f>
        <v/>
      </c>
      <c r="BF80" t="str">
        <f ca="1">IF(OR($L80&gt;BF$4,BF$4&gt;$L80+23),"",OFFSET(Electric!$L71,0,-'Electric Calendarize'!$L80+'Electric Calendarize'!BF$4+1))</f>
        <v/>
      </c>
      <c r="BG80" t="str">
        <f ca="1">IF(OR($L80&gt;BG$4,BG$4&gt;$L80+23),"",OFFSET(Electric!$L71,0,-'Electric Calendarize'!$L80+'Electric Calendarize'!BG$4+1))</f>
        <v/>
      </c>
      <c r="BJ80" s="10" t="s">
        <v>37</v>
      </c>
      <c r="BK80">
        <f t="shared" si="303"/>
        <v>1</v>
      </c>
      <c r="BL80">
        <f t="shared" si="209"/>
        <v>0</v>
      </c>
      <c r="BM80">
        <f t="shared" si="210"/>
        <v>0</v>
      </c>
      <c r="BN80">
        <f t="shared" si="211"/>
        <v>0</v>
      </c>
      <c r="BO80">
        <f t="shared" si="212"/>
        <v>0</v>
      </c>
      <c r="BP80">
        <f t="shared" si="213"/>
        <v>0</v>
      </c>
      <c r="BQ80">
        <f t="shared" si="214"/>
        <v>0</v>
      </c>
      <c r="BR80">
        <f t="shared" si="215"/>
        <v>1</v>
      </c>
      <c r="BS80">
        <f t="shared" si="216"/>
        <v>1</v>
      </c>
      <c r="BT80">
        <f t="shared" si="217"/>
        <v>1</v>
      </c>
      <c r="BU80">
        <f t="shared" si="218"/>
        <v>1</v>
      </c>
      <c r="BV80">
        <f t="shared" si="219"/>
        <v>1</v>
      </c>
      <c r="BW80">
        <f t="shared" si="220"/>
        <v>1</v>
      </c>
      <c r="BX80">
        <f t="shared" si="221"/>
        <v>0</v>
      </c>
      <c r="BY80">
        <f t="shared" si="222"/>
        <v>0</v>
      </c>
      <c r="BZ80">
        <f t="shared" si="223"/>
        <v>0</v>
      </c>
      <c r="CA80">
        <f t="shared" si="224"/>
        <v>0</v>
      </c>
      <c r="CB80">
        <f t="shared" si="225"/>
        <v>0</v>
      </c>
      <c r="CC80">
        <f t="shared" si="226"/>
        <v>0</v>
      </c>
      <c r="CD80">
        <f t="shared" si="227"/>
        <v>1</v>
      </c>
      <c r="CE80">
        <f t="shared" si="228"/>
        <v>1</v>
      </c>
      <c r="CF80">
        <f t="shared" si="229"/>
        <v>1</v>
      </c>
      <c r="CG80">
        <f t="shared" si="230"/>
        <v>1</v>
      </c>
      <c r="CH80">
        <f t="shared" si="231"/>
        <v>1</v>
      </c>
      <c r="CI80">
        <f t="shared" si="232"/>
        <v>1</v>
      </c>
      <c r="CJ80">
        <f t="shared" si="233"/>
        <v>0</v>
      </c>
      <c r="CK80">
        <f t="shared" si="234"/>
        <v>0</v>
      </c>
      <c r="CL80">
        <f t="shared" si="235"/>
        <v>0</v>
      </c>
      <c r="CM80">
        <f t="shared" si="236"/>
        <v>0</v>
      </c>
      <c r="CN80">
        <f t="shared" si="237"/>
        <v>0</v>
      </c>
      <c r="CO80">
        <f t="shared" si="238"/>
        <v>0</v>
      </c>
      <c r="CP80">
        <f t="shared" si="239"/>
        <v>1</v>
      </c>
      <c r="CQ80">
        <f t="shared" si="240"/>
        <v>1</v>
      </c>
      <c r="CR80">
        <f t="shared" si="241"/>
        <v>1</v>
      </c>
      <c r="CS80">
        <f t="shared" si="242"/>
        <v>1</v>
      </c>
      <c r="CT80">
        <f t="shared" si="243"/>
        <v>1</v>
      </c>
      <c r="CU80">
        <f t="shared" si="244"/>
        <v>1</v>
      </c>
      <c r="CV80">
        <f t="shared" si="245"/>
        <v>0</v>
      </c>
      <c r="CW80">
        <f t="shared" si="246"/>
        <v>0</v>
      </c>
      <c r="CX80">
        <f t="shared" si="247"/>
        <v>0</v>
      </c>
      <c r="CY80">
        <f t="shared" si="248"/>
        <v>0</v>
      </c>
      <c r="CZ80">
        <f t="shared" si="249"/>
        <v>0</v>
      </c>
      <c r="DA80">
        <f t="shared" si="250"/>
        <v>0</v>
      </c>
      <c r="DB80">
        <f t="shared" si="251"/>
        <v>1</v>
      </c>
      <c r="DC80">
        <f t="shared" si="252"/>
        <v>1</v>
      </c>
      <c r="DF80" s="10" t="s">
        <v>37</v>
      </c>
      <c r="DG80" t="str">
        <f t="shared" si="304"/>
        <v>2021_12</v>
      </c>
      <c r="DH80" t="str">
        <f t="shared" si="304"/>
        <v>2021_12</v>
      </c>
      <c r="DI80" t="str">
        <f t="shared" si="304"/>
        <v>2021_12</v>
      </c>
      <c r="DJ80" t="str">
        <f t="shared" si="304"/>
        <v>2021_12</v>
      </c>
      <c r="DK80" t="str">
        <f t="shared" si="304"/>
        <v>2021_12</v>
      </c>
      <c r="DL80" t="str">
        <f t="shared" si="304"/>
        <v>2021_12</v>
      </c>
      <c r="DM80" t="str">
        <f t="shared" si="304"/>
        <v>2021_12</v>
      </c>
      <c r="DN80" t="str">
        <f t="shared" si="304"/>
        <v>2021_12</v>
      </c>
      <c r="DO80" t="str">
        <f t="shared" si="304"/>
        <v>2021_12</v>
      </c>
      <c r="DP80" t="str">
        <f t="shared" si="304"/>
        <v>2021_12</v>
      </c>
      <c r="DQ80" t="str">
        <f t="shared" si="304"/>
        <v>2021_12</v>
      </c>
      <c r="DR80" t="str">
        <f t="shared" si="304"/>
        <v>2021_12</v>
      </c>
      <c r="DS80" t="str">
        <f t="shared" si="304"/>
        <v>2021_12</v>
      </c>
      <c r="DT80" t="str">
        <f t="shared" si="304"/>
        <v>2021_12</v>
      </c>
      <c r="DU80" t="str">
        <f t="shared" si="304"/>
        <v>2021_12</v>
      </c>
      <c r="DV80" t="str">
        <f t="shared" si="253"/>
        <v>2021_12</v>
      </c>
      <c r="DW80" t="str">
        <f t="shared" si="253"/>
        <v>2021_12</v>
      </c>
      <c r="DX80" t="str">
        <f t="shared" si="253"/>
        <v>2021_12</v>
      </c>
      <c r="DY80" t="str">
        <f t="shared" si="253"/>
        <v>2021_12</v>
      </c>
      <c r="DZ80" t="str">
        <f t="shared" si="253"/>
        <v>2021_12</v>
      </c>
      <c r="EA80" t="str">
        <f t="shared" si="253"/>
        <v>2021_12</v>
      </c>
      <c r="EB80" t="str">
        <f t="shared" si="253"/>
        <v>2021_12</v>
      </c>
      <c r="EC80" t="str">
        <f t="shared" si="253"/>
        <v>2021_12</v>
      </c>
      <c r="ED80" t="str">
        <f t="shared" si="253"/>
        <v>2021_12</v>
      </c>
      <c r="EE80" t="str">
        <f t="shared" si="253"/>
        <v>2021_12</v>
      </c>
      <c r="EF80" t="str">
        <f t="shared" si="253"/>
        <v>2021_12</v>
      </c>
      <c r="EG80" t="str">
        <f t="shared" si="253"/>
        <v>2021_12</v>
      </c>
      <c r="EH80" t="str">
        <f t="shared" si="253"/>
        <v>2021_12</v>
      </c>
      <c r="EI80" t="str">
        <f t="shared" si="253"/>
        <v>2021_12</v>
      </c>
      <c r="EJ80" t="str">
        <f t="shared" si="253"/>
        <v>2021_12</v>
      </c>
      <c r="EK80" t="str">
        <f t="shared" si="253"/>
        <v>2021_12</v>
      </c>
      <c r="EL80" t="str">
        <f t="shared" si="254"/>
        <v>2021_12</v>
      </c>
      <c r="EM80" t="str">
        <f t="shared" si="208"/>
        <v>2021_12</v>
      </c>
      <c r="EN80" t="str">
        <f t="shared" si="208"/>
        <v>2021_12</v>
      </c>
      <c r="EO80" t="str">
        <f t="shared" si="208"/>
        <v>2021_12</v>
      </c>
      <c r="EP80" t="str">
        <f t="shared" si="208"/>
        <v>2021_12</v>
      </c>
      <c r="EQ80" t="str">
        <f t="shared" si="208"/>
        <v>2021_12</v>
      </c>
      <c r="ER80" t="str">
        <f t="shared" si="208"/>
        <v>2021_12</v>
      </c>
      <c r="ES80" t="str">
        <f t="shared" si="208"/>
        <v>2021_12</v>
      </c>
      <c r="ET80" t="str">
        <f t="shared" si="208"/>
        <v>2021_12</v>
      </c>
      <c r="EU80" t="str">
        <f t="shared" si="208"/>
        <v>2021_12</v>
      </c>
      <c r="EV80" t="str">
        <f t="shared" si="208"/>
        <v>2021_12</v>
      </c>
      <c r="EW80" t="str">
        <f t="shared" si="208"/>
        <v>2021_12</v>
      </c>
      <c r="EX80" t="str">
        <f t="shared" si="208"/>
        <v>2021_12</v>
      </c>
      <c r="EY80" t="str">
        <f t="shared" si="208"/>
        <v>2021_12</v>
      </c>
      <c r="FB80" s="10" t="s">
        <v>37</v>
      </c>
      <c r="FC80">
        <f t="shared" si="305"/>
        <v>0</v>
      </c>
      <c r="FD80">
        <f t="shared" si="255"/>
        <v>0</v>
      </c>
      <c r="FE80">
        <f t="shared" si="256"/>
        <v>0</v>
      </c>
      <c r="FF80">
        <f t="shared" si="257"/>
        <v>0</v>
      </c>
      <c r="FG80">
        <f t="shared" si="258"/>
        <v>0</v>
      </c>
      <c r="FH80">
        <f t="shared" si="259"/>
        <v>0</v>
      </c>
      <c r="FI80">
        <f t="shared" si="260"/>
        <v>0</v>
      </c>
      <c r="FJ80">
        <f t="shared" si="261"/>
        <v>0</v>
      </c>
      <c r="FK80">
        <f t="shared" si="262"/>
        <v>0</v>
      </c>
      <c r="FL80">
        <f t="shared" si="263"/>
        <v>0</v>
      </c>
      <c r="FM80">
        <f t="shared" si="264"/>
        <v>0</v>
      </c>
      <c r="FN80">
        <f t="shared" si="265"/>
        <v>0</v>
      </c>
      <c r="FO80">
        <f t="shared" si="266"/>
        <v>0</v>
      </c>
      <c r="FP80">
        <f t="shared" si="267"/>
        <v>0</v>
      </c>
      <c r="FQ80">
        <f t="shared" si="268"/>
        <v>0</v>
      </c>
      <c r="FR80">
        <f t="shared" si="269"/>
        <v>0</v>
      </c>
      <c r="FS80">
        <f t="shared" si="270"/>
        <v>0</v>
      </c>
      <c r="FT80">
        <f t="shared" si="271"/>
        <v>0</v>
      </c>
      <c r="FU80">
        <f t="shared" si="272"/>
        <v>0</v>
      </c>
      <c r="FV80">
        <f t="shared" si="273"/>
        <v>0</v>
      </c>
      <c r="FW80">
        <f t="shared" si="274"/>
        <v>1</v>
      </c>
      <c r="FX80">
        <f t="shared" si="275"/>
        <v>1</v>
      </c>
      <c r="FY80">
        <f t="shared" si="276"/>
        <v>1</v>
      </c>
      <c r="FZ80">
        <f t="shared" si="277"/>
        <v>1</v>
      </c>
      <c r="GA80">
        <f t="shared" si="278"/>
        <v>1</v>
      </c>
      <c r="GB80">
        <f t="shared" si="279"/>
        <v>1</v>
      </c>
      <c r="GC80">
        <f t="shared" si="280"/>
        <v>1</v>
      </c>
      <c r="GD80">
        <f t="shared" si="281"/>
        <v>1</v>
      </c>
      <c r="GE80">
        <f t="shared" si="282"/>
        <v>1</v>
      </c>
      <c r="GF80">
        <f t="shared" si="283"/>
        <v>1</v>
      </c>
      <c r="GG80">
        <f t="shared" si="284"/>
        <v>1</v>
      </c>
      <c r="GH80">
        <f t="shared" si="285"/>
        <v>1</v>
      </c>
      <c r="GI80">
        <f t="shared" si="286"/>
        <v>1</v>
      </c>
      <c r="GJ80">
        <f t="shared" si="287"/>
        <v>1</v>
      </c>
      <c r="GK80">
        <f t="shared" si="288"/>
        <v>1</v>
      </c>
      <c r="GL80">
        <f t="shared" si="289"/>
        <v>1</v>
      </c>
      <c r="GM80">
        <f t="shared" si="290"/>
        <v>1</v>
      </c>
      <c r="GN80">
        <f t="shared" si="291"/>
        <v>1</v>
      </c>
      <c r="GO80">
        <f t="shared" si="292"/>
        <v>1</v>
      </c>
      <c r="GP80">
        <f t="shared" si="293"/>
        <v>1</v>
      </c>
      <c r="GQ80">
        <f t="shared" si="294"/>
        <v>1</v>
      </c>
      <c r="GR80">
        <f t="shared" si="295"/>
        <v>1</v>
      </c>
      <c r="GS80">
        <f t="shared" si="296"/>
        <v>1</v>
      </c>
      <c r="GT80">
        <f t="shared" si="297"/>
        <v>1</v>
      </c>
      <c r="GU80">
        <f t="shared" si="298"/>
        <v>1</v>
      </c>
      <c r="GX80" s="10"/>
    </row>
    <row r="81" spans="1:206" x14ac:dyDescent="0.3">
      <c r="A81" s="9" t="s">
        <v>41</v>
      </c>
      <c r="B81" s="80"/>
      <c r="C81" s="9">
        <v>3051531001</v>
      </c>
      <c r="D81" s="9" t="s">
        <v>409</v>
      </c>
      <c r="E81" s="9" t="s">
        <v>34</v>
      </c>
      <c r="F81" s="9" t="s">
        <v>35</v>
      </c>
      <c r="G81" s="9" t="s">
        <v>112</v>
      </c>
      <c r="H81" s="10">
        <v>44557</v>
      </c>
      <c r="I81" s="9">
        <f t="shared" si="299"/>
        <v>2021</v>
      </c>
      <c r="J81" s="9">
        <f t="shared" si="300"/>
        <v>12</v>
      </c>
      <c r="K81" s="9" t="str">
        <f t="shared" si="301"/>
        <v>2021_12</v>
      </c>
      <c r="L81">
        <f>MAX(0,VLOOKUP($K81,lookups!$A$1:$B$45,2,0)-12)</f>
        <v>8</v>
      </c>
      <c r="M81" s="40">
        <f t="shared" si="302"/>
        <v>44531</v>
      </c>
      <c r="N81" s="10" t="s">
        <v>37</v>
      </c>
      <c r="O81" t="str">
        <f ca="1">IF(OR($L81&gt;O$4,O$4&gt;$L81+23),"",OFFSET(Electric!$L72,0,-'Electric Calendarize'!$L81+'Electric Calendarize'!O$4+1))</f>
        <v/>
      </c>
      <c r="P81" t="str">
        <f ca="1">IF(OR($L81&gt;P$4,P$4&gt;$L81+23),"",OFFSET(Electric!$L72,0,-'Electric Calendarize'!$L81+'Electric Calendarize'!P$4+1))</f>
        <v/>
      </c>
      <c r="Q81" t="str">
        <f ca="1">IF(OR($L81&gt;Q$4,Q$4&gt;$L81+23),"",OFFSET(Electric!$L72,0,-'Electric Calendarize'!$L81+'Electric Calendarize'!Q$4+1))</f>
        <v/>
      </c>
      <c r="R81" t="str">
        <f ca="1">IF(OR($L81&gt;R$4,R$4&gt;$L81+23),"",OFFSET(Electric!$L72,0,-'Electric Calendarize'!$L81+'Electric Calendarize'!R$4+1))</f>
        <v/>
      </c>
      <c r="S81" t="str">
        <f ca="1">IF(OR($L81&gt;S$4,S$4&gt;$L81+23),"",OFFSET(Electric!$L72,0,-'Electric Calendarize'!$L81+'Electric Calendarize'!S$4+1))</f>
        <v/>
      </c>
      <c r="T81" t="str">
        <f ca="1">IF(OR($L81&gt;T$4,T$4&gt;$L81+23),"",OFFSET(Electric!$L72,0,-'Electric Calendarize'!$L81+'Electric Calendarize'!T$4+1))</f>
        <v/>
      </c>
      <c r="U81" t="str">
        <f ca="1">IF(OR($L81&gt;U$4,U$4&gt;$L81+23),"",OFFSET(Electric!$L72,0,-'Electric Calendarize'!$L81+'Electric Calendarize'!U$4+1))</f>
        <v/>
      </c>
      <c r="V81" t="str">
        <f ca="1">IF(OR($L81&gt;V$4,V$4&gt;$L81+23),"",OFFSET(Electric!$L72,0,-'Electric Calendarize'!$L81+'Electric Calendarize'!V$4+1))</f>
        <v/>
      </c>
      <c r="W81">
        <f ca="1">IF(OR($L81&gt;W$4,W$4&gt;$L81+23),"",OFFSET(Electric!$L72,0,-'Electric Calendarize'!$L81+'Electric Calendarize'!W$4+1))</f>
        <v>758</v>
      </c>
      <c r="X81">
        <f ca="1">IF(OR($L81&gt;X$4,X$4&gt;$L81+23),"",OFFSET(Electric!$L72,0,-'Electric Calendarize'!$L81+'Electric Calendarize'!X$4+1))</f>
        <v>900</v>
      </c>
      <c r="Y81">
        <f ca="1">IF(OR($L81&gt;Y$4,Y$4&gt;$L81+23),"",OFFSET(Electric!$L72,0,-'Electric Calendarize'!$L81+'Electric Calendarize'!Y$4+1))</f>
        <v>707</v>
      </c>
      <c r="Z81">
        <f ca="1">IF(OR($L81&gt;Z$4,Z$4&gt;$L81+23),"",OFFSET(Electric!$L72,0,-'Electric Calendarize'!$L81+'Electric Calendarize'!Z$4+1))</f>
        <v>785</v>
      </c>
      <c r="AA81">
        <f ca="1">IF(OR($L81&gt;AA$4,AA$4&gt;$L81+23),"",OFFSET(Electric!$L72,0,-'Electric Calendarize'!$L81+'Electric Calendarize'!AA$4+1))</f>
        <v>652</v>
      </c>
      <c r="AB81">
        <f ca="1">IF(OR($L81&gt;AB$4,AB$4&gt;$L81+23),"",OFFSET(Electric!$L72,0,-'Electric Calendarize'!$L81+'Electric Calendarize'!AB$4+1))</f>
        <v>639</v>
      </c>
      <c r="AC81">
        <f ca="1">IF(OR($L81&gt;AC$4,AC$4&gt;$L81+23),"",OFFSET(Electric!$L72,0,-'Electric Calendarize'!$L81+'Electric Calendarize'!AC$4+1))</f>
        <v>716</v>
      </c>
      <c r="AD81">
        <f ca="1">IF(OR($L81&gt;AD$4,AD$4&gt;$L81+23),"",OFFSET(Electric!$L72,0,-'Electric Calendarize'!$L81+'Electric Calendarize'!AD$4+1))</f>
        <v>859</v>
      </c>
      <c r="AE81">
        <f ca="1">IF(OR($L81&gt;AE$4,AE$4&gt;$L81+23),"",OFFSET(Electric!$L72,0,-'Electric Calendarize'!$L81+'Electric Calendarize'!AE$4+1))</f>
        <v>811</v>
      </c>
      <c r="AF81">
        <f ca="1">IF(OR($L81&gt;AF$4,AF$4&gt;$L81+23),"",OFFSET(Electric!$L72,0,-'Electric Calendarize'!$L81+'Electric Calendarize'!AF$4+1))</f>
        <v>932</v>
      </c>
      <c r="AG81">
        <f ca="1">IF(OR($L81&gt;AG$4,AG$4&gt;$L81+23),"",OFFSET(Electric!$L72,0,-'Electric Calendarize'!$L81+'Electric Calendarize'!AG$4+1))</f>
        <v>677</v>
      </c>
      <c r="AH81">
        <f ca="1">IF(OR($L81&gt;AH$4,AH$4&gt;$L81+23),"",OFFSET(Electric!$L72,0,-'Electric Calendarize'!$L81+'Electric Calendarize'!AH$4+1))</f>
        <v>703</v>
      </c>
      <c r="AI81">
        <f ca="1">IF(OR($L81&gt;AI$4,AI$4&gt;$L81+23),"",OFFSET(Electric!$L72,0,-'Electric Calendarize'!$L81+'Electric Calendarize'!AI$4+1))</f>
        <v>731</v>
      </c>
      <c r="AJ81">
        <f ca="1">IF(OR($L81&gt;AJ$4,AJ$4&gt;$L81+23),"",OFFSET(Electric!$L72,0,-'Electric Calendarize'!$L81+'Electric Calendarize'!AJ$4+1))</f>
        <v>846</v>
      </c>
      <c r="AK81">
        <f ca="1">IF(OR($L81&gt;AK$4,AK$4&gt;$L81+23),"",OFFSET(Electric!$L72,0,-'Electric Calendarize'!$L81+'Electric Calendarize'!AK$4+1))</f>
        <v>790</v>
      </c>
      <c r="AL81">
        <f ca="1">IF(OR($L81&gt;AL$4,AL$4&gt;$L81+23),"",OFFSET(Electric!$L72,0,-'Electric Calendarize'!$L81+'Electric Calendarize'!AL$4+1))</f>
        <v>785</v>
      </c>
      <c r="AM81">
        <f ca="1">IF(OR($L81&gt;AM$4,AM$4&gt;$L81+23),"",OFFSET(Electric!$L72,0,-'Electric Calendarize'!$L81+'Electric Calendarize'!AM$4+1))</f>
        <v>677</v>
      </c>
      <c r="AN81">
        <f ca="1">IF(OR($L81&gt;AN$4,AN$4&gt;$L81+23),"",OFFSET(Electric!$L72,0,-'Electric Calendarize'!$L81+'Electric Calendarize'!AN$4+1))</f>
        <v>642</v>
      </c>
      <c r="AO81">
        <f ca="1">IF(OR($L81&gt;AO$4,AO$4&gt;$L81+23),"",OFFSET(Electric!$L72,0,-'Electric Calendarize'!$L81+'Electric Calendarize'!AO$4+1))</f>
        <v>900</v>
      </c>
      <c r="AP81">
        <f ca="1">IF(OR($L81&gt;AP$4,AP$4&gt;$L81+23),"",OFFSET(Electric!$L72,0,-'Electric Calendarize'!$L81+'Electric Calendarize'!AP$4+1))</f>
        <v>839</v>
      </c>
      <c r="AQ81">
        <f ca="1">IF(OR($L81&gt;AQ$4,AQ$4&gt;$L81+23),"",OFFSET(Electric!$L72,0,-'Electric Calendarize'!$L81+'Electric Calendarize'!AQ$4+1))</f>
        <v>1048</v>
      </c>
      <c r="AR81">
        <f ca="1">IF(OR($L81&gt;AR$4,AR$4&gt;$L81+23),"",OFFSET(Electric!$L72,0,-'Electric Calendarize'!$L81+'Electric Calendarize'!AR$4+1))</f>
        <v>937</v>
      </c>
      <c r="AS81">
        <f ca="1">IF(OR($L81&gt;AS$4,AS$4&gt;$L81+23),"",OFFSET(Electric!$L72,0,-'Electric Calendarize'!$L81+'Electric Calendarize'!AS$4+1))</f>
        <v>761</v>
      </c>
      <c r="AT81">
        <f ca="1">IF(OR($L81&gt;AT$4,AT$4&gt;$L81+23),"",OFFSET(Electric!$L72,0,-'Electric Calendarize'!$L81+'Electric Calendarize'!AT$4+1))</f>
        <v>708</v>
      </c>
      <c r="AU81" t="str">
        <f ca="1">IF(OR($L81&gt;AU$4,AU$4&gt;$L81+23),"",OFFSET(Electric!$L72,0,-'Electric Calendarize'!$L81+'Electric Calendarize'!AU$4+1))</f>
        <v/>
      </c>
      <c r="AV81" t="str">
        <f ca="1">IF(OR($L81&gt;AV$4,AV$4&gt;$L81+23),"",OFFSET(Electric!$L72,0,-'Electric Calendarize'!$L81+'Electric Calendarize'!AV$4+1))</f>
        <v/>
      </c>
      <c r="AW81" t="str">
        <f ca="1">IF(OR($L81&gt;AW$4,AW$4&gt;$L81+23),"",OFFSET(Electric!$L72,0,-'Electric Calendarize'!$L81+'Electric Calendarize'!AW$4+1))</f>
        <v/>
      </c>
      <c r="AX81" t="str">
        <f ca="1">IF(OR($L81&gt;AX$4,AX$4&gt;$L81+23),"",OFFSET(Electric!$L72,0,-'Electric Calendarize'!$L81+'Electric Calendarize'!AX$4+1))</f>
        <v/>
      </c>
      <c r="AY81" t="str">
        <f ca="1">IF(OR($L81&gt;AY$4,AY$4&gt;$L81+23),"",OFFSET(Electric!$L72,0,-'Electric Calendarize'!$L81+'Electric Calendarize'!AY$4+1))</f>
        <v/>
      </c>
      <c r="AZ81" t="str">
        <f ca="1">IF(OR($L81&gt;AZ$4,AZ$4&gt;$L81+23),"",OFFSET(Electric!$L72,0,-'Electric Calendarize'!$L81+'Electric Calendarize'!AZ$4+1))</f>
        <v/>
      </c>
      <c r="BA81" t="str">
        <f ca="1">IF(OR($L81&gt;BA$4,BA$4&gt;$L81+23),"",OFFSET(Electric!$L72,0,-'Electric Calendarize'!$L81+'Electric Calendarize'!BA$4+1))</f>
        <v/>
      </c>
      <c r="BB81" t="str">
        <f ca="1">IF(OR($L81&gt;BB$4,BB$4&gt;$L81+23),"",OFFSET(Electric!$L72,0,-'Electric Calendarize'!$L81+'Electric Calendarize'!BB$4+1))</f>
        <v/>
      </c>
      <c r="BC81" t="str">
        <f ca="1">IF(OR($L81&gt;BC$4,BC$4&gt;$L81+23),"",OFFSET(Electric!$L72,0,-'Electric Calendarize'!$L81+'Electric Calendarize'!BC$4+1))</f>
        <v/>
      </c>
      <c r="BD81" t="str">
        <f ca="1">IF(OR($L81&gt;BD$4,BD$4&gt;$L81+23),"",OFFSET(Electric!$L72,0,-'Electric Calendarize'!$L81+'Electric Calendarize'!BD$4+1))</f>
        <v/>
      </c>
      <c r="BE81" t="str">
        <f ca="1">IF(OR($L81&gt;BE$4,BE$4&gt;$L81+23),"",OFFSET(Electric!$L72,0,-'Electric Calendarize'!$L81+'Electric Calendarize'!BE$4+1))</f>
        <v/>
      </c>
      <c r="BF81" t="str">
        <f ca="1">IF(OR($L81&gt;BF$4,BF$4&gt;$L81+23),"",OFFSET(Electric!$L72,0,-'Electric Calendarize'!$L81+'Electric Calendarize'!BF$4+1))</f>
        <v/>
      </c>
      <c r="BG81" t="str">
        <f ca="1">IF(OR($L81&gt;BG$4,BG$4&gt;$L81+23),"",OFFSET(Electric!$L72,0,-'Electric Calendarize'!$L81+'Electric Calendarize'!BG$4+1))</f>
        <v/>
      </c>
      <c r="BJ81" s="10" t="s">
        <v>37</v>
      </c>
      <c r="BK81">
        <f t="shared" si="303"/>
        <v>1</v>
      </c>
      <c r="BL81">
        <f t="shared" si="209"/>
        <v>0</v>
      </c>
      <c r="BM81">
        <f t="shared" si="210"/>
        <v>0</v>
      </c>
      <c r="BN81">
        <f t="shared" si="211"/>
        <v>0</v>
      </c>
      <c r="BO81">
        <f t="shared" si="212"/>
        <v>0</v>
      </c>
      <c r="BP81">
        <f t="shared" si="213"/>
        <v>0</v>
      </c>
      <c r="BQ81">
        <f t="shared" si="214"/>
        <v>0</v>
      </c>
      <c r="BR81">
        <f t="shared" si="215"/>
        <v>1</v>
      </c>
      <c r="BS81">
        <f t="shared" si="216"/>
        <v>1</v>
      </c>
      <c r="BT81">
        <f t="shared" si="217"/>
        <v>1</v>
      </c>
      <c r="BU81">
        <f t="shared" si="218"/>
        <v>1</v>
      </c>
      <c r="BV81">
        <f t="shared" si="219"/>
        <v>1</v>
      </c>
      <c r="BW81">
        <f t="shared" si="220"/>
        <v>1</v>
      </c>
      <c r="BX81">
        <f t="shared" si="221"/>
        <v>0</v>
      </c>
      <c r="BY81">
        <f t="shared" si="222"/>
        <v>0</v>
      </c>
      <c r="BZ81">
        <f t="shared" si="223"/>
        <v>0</v>
      </c>
      <c r="CA81">
        <f t="shared" si="224"/>
        <v>0</v>
      </c>
      <c r="CB81">
        <f t="shared" si="225"/>
        <v>0</v>
      </c>
      <c r="CC81">
        <f t="shared" si="226"/>
        <v>0</v>
      </c>
      <c r="CD81">
        <f t="shared" si="227"/>
        <v>1</v>
      </c>
      <c r="CE81">
        <f t="shared" si="228"/>
        <v>1</v>
      </c>
      <c r="CF81">
        <f t="shared" si="229"/>
        <v>1</v>
      </c>
      <c r="CG81">
        <f t="shared" si="230"/>
        <v>1</v>
      </c>
      <c r="CH81">
        <f t="shared" si="231"/>
        <v>1</v>
      </c>
      <c r="CI81">
        <f t="shared" si="232"/>
        <v>1</v>
      </c>
      <c r="CJ81">
        <f t="shared" si="233"/>
        <v>0</v>
      </c>
      <c r="CK81">
        <f t="shared" si="234"/>
        <v>0</v>
      </c>
      <c r="CL81">
        <f t="shared" si="235"/>
        <v>0</v>
      </c>
      <c r="CM81">
        <f t="shared" si="236"/>
        <v>0</v>
      </c>
      <c r="CN81">
        <f t="shared" si="237"/>
        <v>0</v>
      </c>
      <c r="CO81">
        <f t="shared" si="238"/>
        <v>0</v>
      </c>
      <c r="CP81">
        <f t="shared" si="239"/>
        <v>1</v>
      </c>
      <c r="CQ81">
        <f t="shared" si="240"/>
        <v>1</v>
      </c>
      <c r="CR81">
        <f t="shared" si="241"/>
        <v>1</v>
      </c>
      <c r="CS81">
        <f t="shared" si="242"/>
        <v>1</v>
      </c>
      <c r="CT81">
        <f t="shared" si="243"/>
        <v>1</v>
      </c>
      <c r="CU81">
        <f t="shared" si="244"/>
        <v>1</v>
      </c>
      <c r="CV81">
        <f t="shared" si="245"/>
        <v>0</v>
      </c>
      <c r="CW81">
        <f t="shared" si="246"/>
        <v>0</v>
      </c>
      <c r="CX81">
        <f t="shared" si="247"/>
        <v>0</v>
      </c>
      <c r="CY81">
        <f t="shared" si="248"/>
        <v>0</v>
      </c>
      <c r="CZ81">
        <f t="shared" si="249"/>
        <v>0</v>
      </c>
      <c r="DA81">
        <f t="shared" si="250"/>
        <v>0</v>
      </c>
      <c r="DB81">
        <f t="shared" si="251"/>
        <v>1</v>
      </c>
      <c r="DC81">
        <f t="shared" si="252"/>
        <v>1</v>
      </c>
      <c r="DF81" s="10" t="s">
        <v>37</v>
      </c>
      <c r="DG81" t="str">
        <f t="shared" si="304"/>
        <v>2021_12</v>
      </c>
      <c r="DH81" t="str">
        <f t="shared" si="304"/>
        <v>2021_12</v>
      </c>
      <c r="DI81" t="str">
        <f t="shared" si="304"/>
        <v>2021_12</v>
      </c>
      <c r="DJ81" t="str">
        <f t="shared" si="304"/>
        <v>2021_12</v>
      </c>
      <c r="DK81" t="str">
        <f t="shared" si="304"/>
        <v>2021_12</v>
      </c>
      <c r="DL81" t="str">
        <f t="shared" si="304"/>
        <v>2021_12</v>
      </c>
      <c r="DM81" t="str">
        <f t="shared" si="304"/>
        <v>2021_12</v>
      </c>
      <c r="DN81" t="str">
        <f t="shared" si="304"/>
        <v>2021_12</v>
      </c>
      <c r="DO81" t="str">
        <f t="shared" si="304"/>
        <v>2021_12</v>
      </c>
      <c r="DP81" t="str">
        <f t="shared" si="304"/>
        <v>2021_12</v>
      </c>
      <c r="DQ81" t="str">
        <f t="shared" si="304"/>
        <v>2021_12</v>
      </c>
      <c r="DR81" t="str">
        <f t="shared" si="304"/>
        <v>2021_12</v>
      </c>
      <c r="DS81" t="str">
        <f t="shared" si="304"/>
        <v>2021_12</v>
      </c>
      <c r="DT81" t="str">
        <f t="shared" si="304"/>
        <v>2021_12</v>
      </c>
      <c r="DU81" t="str">
        <f t="shared" si="304"/>
        <v>2021_12</v>
      </c>
      <c r="DV81" t="str">
        <f t="shared" si="253"/>
        <v>2021_12</v>
      </c>
      <c r="DW81" t="str">
        <f t="shared" si="253"/>
        <v>2021_12</v>
      </c>
      <c r="DX81" t="str">
        <f t="shared" si="253"/>
        <v>2021_12</v>
      </c>
      <c r="DY81" t="str">
        <f t="shared" si="253"/>
        <v>2021_12</v>
      </c>
      <c r="DZ81" t="str">
        <f t="shared" si="253"/>
        <v>2021_12</v>
      </c>
      <c r="EA81" t="str">
        <f t="shared" si="253"/>
        <v>2021_12</v>
      </c>
      <c r="EB81" t="str">
        <f t="shared" si="253"/>
        <v>2021_12</v>
      </c>
      <c r="EC81" t="str">
        <f t="shared" si="253"/>
        <v>2021_12</v>
      </c>
      <c r="ED81" t="str">
        <f t="shared" si="253"/>
        <v>2021_12</v>
      </c>
      <c r="EE81" t="str">
        <f t="shared" si="253"/>
        <v>2021_12</v>
      </c>
      <c r="EF81" t="str">
        <f t="shared" si="253"/>
        <v>2021_12</v>
      </c>
      <c r="EG81" t="str">
        <f t="shared" si="253"/>
        <v>2021_12</v>
      </c>
      <c r="EH81" t="str">
        <f t="shared" si="253"/>
        <v>2021_12</v>
      </c>
      <c r="EI81" t="str">
        <f t="shared" si="253"/>
        <v>2021_12</v>
      </c>
      <c r="EJ81" t="str">
        <f t="shared" si="253"/>
        <v>2021_12</v>
      </c>
      <c r="EK81" t="str">
        <f t="shared" si="253"/>
        <v>2021_12</v>
      </c>
      <c r="EL81" t="str">
        <f t="shared" si="254"/>
        <v>2021_12</v>
      </c>
      <c r="EM81" t="str">
        <f t="shared" si="208"/>
        <v>2021_12</v>
      </c>
      <c r="EN81" t="str">
        <f t="shared" si="208"/>
        <v>2021_12</v>
      </c>
      <c r="EO81" t="str">
        <f t="shared" si="208"/>
        <v>2021_12</v>
      </c>
      <c r="EP81" t="str">
        <f t="shared" si="208"/>
        <v>2021_12</v>
      </c>
      <c r="EQ81" t="str">
        <f t="shared" si="208"/>
        <v>2021_12</v>
      </c>
      <c r="ER81" t="str">
        <f t="shared" si="208"/>
        <v>2021_12</v>
      </c>
      <c r="ES81" t="str">
        <f t="shared" si="208"/>
        <v>2021_12</v>
      </c>
      <c r="ET81" t="str">
        <f t="shared" si="208"/>
        <v>2021_12</v>
      </c>
      <c r="EU81" t="str">
        <f t="shared" si="208"/>
        <v>2021_12</v>
      </c>
      <c r="EV81" t="str">
        <f t="shared" si="208"/>
        <v>2021_12</v>
      </c>
      <c r="EW81" t="str">
        <f t="shared" si="208"/>
        <v>2021_12</v>
      </c>
      <c r="EX81" t="str">
        <f t="shared" si="208"/>
        <v>2021_12</v>
      </c>
      <c r="EY81" t="str">
        <f t="shared" si="208"/>
        <v>2021_12</v>
      </c>
      <c r="FB81" s="10" t="s">
        <v>37</v>
      </c>
      <c r="FC81">
        <f t="shared" si="305"/>
        <v>0</v>
      </c>
      <c r="FD81">
        <f t="shared" si="255"/>
        <v>0</v>
      </c>
      <c r="FE81">
        <f t="shared" si="256"/>
        <v>0</v>
      </c>
      <c r="FF81">
        <f t="shared" si="257"/>
        <v>0</v>
      </c>
      <c r="FG81">
        <f t="shared" si="258"/>
        <v>0</v>
      </c>
      <c r="FH81">
        <f t="shared" si="259"/>
        <v>0</v>
      </c>
      <c r="FI81">
        <f t="shared" si="260"/>
        <v>0</v>
      </c>
      <c r="FJ81">
        <f t="shared" si="261"/>
        <v>0</v>
      </c>
      <c r="FK81">
        <f t="shared" si="262"/>
        <v>0</v>
      </c>
      <c r="FL81">
        <f t="shared" si="263"/>
        <v>0</v>
      </c>
      <c r="FM81">
        <f t="shared" si="264"/>
        <v>0</v>
      </c>
      <c r="FN81">
        <f t="shared" si="265"/>
        <v>0</v>
      </c>
      <c r="FO81">
        <f t="shared" si="266"/>
        <v>0</v>
      </c>
      <c r="FP81">
        <f t="shared" si="267"/>
        <v>0</v>
      </c>
      <c r="FQ81">
        <f t="shared" si="268"/>
        <v>0</v>
      </c>
      <c r="FR81">
        <f t="shared" si="269"/>
        <v>0</v>
      </c>
      <c r="FS81">
        <f t="shared" si="270"/>
        <v>0</v>
      </c>
      <c r="FT81">
        <f t="shared" si="271"/>
        <v>0</v>
      </c>
      <c r="FU81">
        <f t="shared" si="272"/>
        <v>0</v>
      </c>
      <c r="FV81">
        <f t="shared" si="273"/>
        <v>0</v>
      </c>
      <c r="FW81">
        <f t="shared" si="274"/>
        <v>1</v>
      </c>
      <c r="FX81">
        <f t="shared" si="275"/>
        <v>1</v>
      </c>
      <c r="FY81">
        <f t="shared" si="276"/>
        <v>1</v>
      </c>
      <c r="FZ81">
        <f t="shared" si="277"/>
        <v>1</v>
      </c>
      <c r="GA81">
        <f t="shared" si="278"/>
        <v>1</v>
      </c>
      <c r="GB81">
        <f t="shared" si="279"/>
        <v>1</v>
      </c>
      <c r="GC81">
        <f t="shared" si="280"/>
        <v>1</v>
      </c>
      <c r="GD81">
        <f t="shared" si="281"/>
        <v>1</v>
      </c>
      <c r="GE81">
        <f t="shared" si="282"/>
        <v>1</v>
      </c>
      <c r="GF81">
        <f t="shared" si="283"/>
        <v>1</v>
      </c>
      <c r="GG81">
        <f t="shared" si="284"/>
        <v>1</v>
      </c>
      <c r="GH81">
        <f t="shared" si="285"/>
        <v>1</v>
      </c>
      <c r="GI81">
        <f t="shared" si="286"/>
        <v>1</v>
      </c>
      <c r="GJ81">
        <f t="shared" si="287"/>
        <v>1</v>
      </c>
      <c r="GK81">
        <f t="shared" si="288"/>
        <v>1</v>
      </c>
      <c r="GL81">
        <f t="shared" si="289"/>
        <v>1</v>
      </c>
      <c r="GM81">
        <f t="shared" si="290"/>
        <v>1</v>
      </c>
      <c r="GN81">
        <f t="shared" si="291"/>
        <v>1</v>
      </c>
      <c r="GO81">
        <f t="shared" si="292"/>
        <v>1</v>
      </c>
      <c r="GP81">
        <f t="shared" si="293"/>
        <v>1</v>
      </c>
      <c r="GQ81">
        <f t="shared" si="294"/>
        <v>1</v>
      </c>
      <c r="GR81">
        <f t="shared" si="295"/>
        <v>1</v>
      </c>
      <c r="GS81">
        <f t="shared" si="296"/>
        <v>1</v>
      </c>
      <c r="GT81">
        <f t="shared" si="297"/>
        <v>1</v>
      </c>
      <c r="GU81">
        <f t="shared" si="298"/>
        <v>1</v>
      </c>
      <c r="GX81" s="10"/>
    </row>
    <row r="82" spans="1:206" x14ac:dyDescent="0.3">
      <c r="A82" s="8" t="s">
        <v>33</v>
      </c>
      <c r="B82" s="80"/>
      <c r="C82" s="9">
        <v>3010641000</v>
      </c>
      <c r="D82" s="9" t="s">
        <v>410</v>
      </c>
      <c r="E82" s="9" t="s">
        <v>34</v>
      </c>
      <c r="F82" s="9" t="s">
        <v>35</v>
      </c>
      <c r="G82" s="9" t="s">
        <v>113</v>
      </c>
      <c r="H82" s="10">
        <v>44560</v>
      </c>
      <c r="I82" s="9">
        <f t="shared" si="299"/>
        <v>2021</v>
      </c>
      <c r="J82" s="9">
        <f t="shared" si="300"/>
        <v>12</v>
      </c>
      <c r="K82" s="9" t="str">
        <f t="shared" si="301"/>
        <v>2021_12</v>
      </c>
      <c r="L82">
        <f>MAX(0,VLOOKUP($K82,lookups!$A$1:$B$45,2,0)-12)</f>
        <v>8</v>
      </c>
      <c r="M82" s="40">
        <f t="shared" si="302"/>
        <v>44531</v>
      </c>
      <c r="N82" s="10" t="s">
        <v>37</v>
      </c>
      <c r="O82" t="str">
        <f ca="1">IF(OR($L82&gt;O$4,O$4&gt;$L82+23),"",OFFSET(Electric!$L73,0,-'Electric Calendarize'!$L82+'Electric Calendarize'!O$4+1))</f>
        <v/>
      </c>
      <c r="P82" t="str">
        <f ca="1">IF(OR($L82&gt;P$4,P$4&gt;$L82+23),"",OFFSET(Electric!$L73,0,-'Electric Calendarize'!$L82+'Electric Calendarize'!P$4+1))</f>
        <v/>
      </c>
      <c r="Q82" t="str">
        <f ca="1">IF(OR($L82&gt;Q$4,Q$4&gt;$L82+23),"",OFFSET(Electric!$L73,0,-'Electric Calendarize'!$L82+'Electric Calendarize'!Q$4+1))</f>
        <v/>
      </c>
      <c r="R82" t="str">
        <f ca="1">IF(OR($L82&gt;R$4,R$4&gt;$L82+23),"",OFFSET(Electric!$L73,0,-'Electric Calendarize'!$L82+'Electric Calendarize'!R$4+1))</f>
        <v/>
      </c>
      <c r="S82" t="str">
        <f ca="1">IF(OR($L82&gt;S$4,S$4&gt;$L82+23),"",OFFSET(Electric!$L73,0,-'Electric Calendarize'!$L82+'Electric Calendarize'!S$4+1))</f>
        <v/>
      </c>
      <c r="T82" t="str">
        <f ca="1">IF(OR($L82&gt;T$4,T$4&gt;$L82+23),"",OFFSET(Electric!$L73,0,-'Electric Calendarize'!$L82+'Electric Calendarize'!T$4+1))</f>
        <v/>
      </c>
      <c r="U82" t="str">
        <f ca="1">IF(OR($L82&gt;U$4,U$4&gt;$L82+23),"",OFFSET(Electric!$L73,0,-'Electric Calendarize'!$L82+'Electric Calendarize'!U$4+1))</f>
        <v/>
      </c>
      <c r="V82" t="str">
        <f ca="1">IF(OR($L82&gt;V$4,V$4&gt;$L82+23),"",OFFSET(Electric!$L73,0,-'Electric Calendarize'!$L82+'Electric Calendarize'!V$4+1))</f>
        <v/>
      </c>
      <c r="W82">
        <f ca="1">IF(OR($L82&gt;W$4,W$4&gt;$L82+23),"",OFFSET(Electric!$L73,0,-'Electric Calendarize'!$L82+'Electric Calendarize'!W$4+1))</f>
        <v>926</v>
      </c>
      <c r="X82">
        <f ca="1">IF(OR($L82&gt;X$4,X$4&gt;$L82+23),"",OFFSET(Electric!$L73,0,-'Electric Calendarize'!$L82+'Electric Calendarize'!X$4+1))</f>
        <v>1163</v>
      </c>
      <c r="Y82">
        <f ca="1">IF(OR($L82&gt;Y$4,Y$4&gt;$L82+23),"",OFFSET(Electric!$L73,0,-'Electric Calendarize'!$L82+'Electric Calendarize'!Y$4+1))</f>
        <v>1075</v>
      </c>
      <c r="Z82">
        <f ca="1">IF(OR($L82&gt;Z$4,Z$4&gt;$L82+23),"",OFFSET(Electric!$L73,0,-'Electric Calendarize'!$L82+'Electric Calendarize'!Z$4+1))</f>
        <v>1189</v>
      </c>
      <c r="AA82">
        <f ca="1">IF(OR($L82&gt;AA$4,AA$4&gt;$L82+23),"",OFFSET(Electric!$L73,0,-'Electric Calendarize'!$L82+'Electric Calendarize'!AA$4+1))</f>
        <v>855</v>
      </c>
      <c r="AB82">
        <f ca="1">IF(OR($L82&gt;AB$4,AB$4&gt;$L82+23),"",OFFSET(Electric!$L73,0,-'Electric Calendarize'!$L82+'Electric Calendarize'!AB$4+1))</f>
        <v>679</v>
      </c>
      <c r="AC82">
        <f ca="1">IF(OR($L82&gt;AC$4,AC$4&gt;$L82+23),"",OFFSET(Electric!$L73,0,-'Electric Calendarize'!$L82+'Electric Calendarize'!AC$4+1))</f>
        <v>726</v>
      </c>
      <c r="AD82">
        <f ca="1">IF(OR($L82&gt;AD$4,AD$4&gt;$L82+23),"",OFFSET(Electric!$L73,0,-'Electric Calendarize'!$L82+'Electric Calendarize'!AD$4+1))</f>
        <v>1145</v>
      </c>
      <c r="AE82">
        <f ca="1">IF(OR($L82&gt;AE$4,AE$4&gt;$L82+23),"",OFFSET(Electric!$L73,0,-'Electric Calendarize'!$L82+'Electric Calendarize'!AE$4+1))</f>
        <v>1160</v>
      </c>
      <c r="AF82">
        <f ca="1">IF(OR($L82&gt;AF$4,AF$4&gt;$L82+23),"",OFFSET(Electric!$L73,0,-'Electric Calendarize'!$L82+'Electric Calendarize'!AF$4+1))</f>
        <v>1371</v>
      </c>
      <c r="AG82">
        <f ca="1">IF(OR($L82&gt;AG$4,AG$4&gt;$L82+23),"",OFFSET(Electric!$L73,0,-'Electric Calendarize'!$L82+'Electric Calendarize'!AG$4+1))</f>
        <v>741</v>
      </c>
      <c r="AH82">
        <f ca="1">IF(OR($L82&gt;AH$4,AH$4&gt;$L82+23),"",OFFSET(Electric!$L73,0,-'Electric Calendarize'!$L82+'Electric Calendarize'!AH$4+1))</f>
        <v>514</v>
      </c>
      <c r="AI82">
        <f ca="1">IF(OR($L82&gt;AI$4,AI$4&gt;$L82+23),"",OFFSET(Electric!$L73,0,-'Electric Calendarize'!$L82+'Electric Calendarize'!AI$4+1))</f>
        <v>1193</v>
      </c>
      <c r="AJ82">
        <f ca="1">IF(OR($L82&gt;AJ$4,AJ$4&gt;$L82+23),"",OFFSET(Electric!$L73,0,-'Electric Calendarize'!$L82+'Electric Calendarize'!AJ$4+1))</f>
        <v>1440</v>
      </c>
      <c r="AK82">
        <f ca="1">IF(OR($L82&gt;AK$4,AK$4&gt;$L82+23),"",OFFSET(Electric!$L73,0,-'Electric Calendarize'!$L82+'Electric Calendarize'!AK$4+1))</f>
        <v>4588</v>
      </c>
      <c r="AL82">
        <f ca="1">IF(OR($L82&gt;AL$4,AL$4&gt;$L82+23),"",OFFSET(Electric!$L73,0,-'Electric Calendarize'!$L82+'Electric Calendarize'!AL$4+1))</f>
        <v>3604</v>
      </c>
      <c r="AM82">
        <f ca="1">IF(OR($L82&gt;AM$4,AM$4&gt;$L82+23),"",OFFSET(Electric!$L73,0,-'Electric Calendarize'!$L82+'Electric Calendarize'!AM$4+1))</f>
        <v>1610</v>
      </c>
      <c r="AN82">
        <f ca="1">IF(OR($L82&gt;AN$4,AN$4&gt;$L82+23),"",OFFSET(Electric!$L73,0,-'Electric Calendarize'!$L82+'Electric Calendarize'!AN$4+1))</f>
        <v>854</v>
      </c>
      <c r="AO82">
        <f ca="1">IF(OR($L82&gt;AO$4,AO$4&gt;$L82+23),"",OFFSET(Electric!$L73,0,-'Electric Calendarize'!$L82+'Electric Calendarize'!AO$4+1))</f>
        <v>734</v>
      </c>
      <c r="AP82">
        <f ca="1">IF(OR($L82&gt;AP$4,AP$4&gt;$L82+23),"",OFFSET(Electric!$L73,0,-'Electric Calendarize'!$L82+'Electric Calendarize'!AP$4+1))</f>
        <v>866</v>
      </c>
      <c r="AQ82">
        <f ca="1">IF(OR($L82&gt;AQ$4,AQ$4&gt;$L82+23),"",OFFSET(Electric!$L73,0,-'Electric Calendarize'!$L82+'Electric Calendarize'!AQ$4+1))</f>
        <v>1314</v>
      </c>
      <c r="AR82">
        <f ca="1">IF(OR($L82&gt;AR$4,AR$4&gt;$L82+23),"",OFFSET(Electric!$L73,0,-'Electric Calendarize'!$L82+'Electric Calendarize'!AR$4+1))</f>
        <v>1094</v>
      </c>
      <c r="AS82">
        <f ca="1">IF(OR($L82&gt;AS$4,AS$4&gt;$L82+23),"",OFFSET(Electric!$L73,0,-'Electric Calendarize'!$L82+'Electric Calendarize'!AS$4+1))</f>
        <v>760</v>
      </c>
      <c r="AT82">
        <f ca="1">IF(OR($L82&gt;AT$4,AT$4&gt;$L82+23),"",OFFSET(Electric!$L73,0,-'Electric Calendarize'!$L82+'Electric Calendarize'!AT$4+1))</f>
        <v>1074</v>
      </c>
      <c r="AU82" t="str">
        <f ca="1">IF(OR($L82&gt;AU$4,AU$4&gt;$L82+23),"",OFFSET(Electric!$L73,0,-'Electric Calendarize'!$L82+'Electric Calendarize'!AU$4+1))</f>
        <v/>
      </c>
      <c r="AV82" t="str">
        <f ca="1">IF(OR($L82&gt;AV$4,AV$4&gt;$L82+23),"",OFFSET(Electric!$L73,0,-'Electric Calendarize'!$L82+'Electric Calendarize'!AV$4+1))</f>
        <v/>
      </c>
      <c r="AW82" t="str">
        <f ca="1">IF(OR($L82&gt;AW$4,AW$4&gt;$L82+23),"",OFFSET(Electric!$L73,0,-'Electric Calendarize'!$L82+'Electric Calendarize'!AW$4+1))</f>
        <v/>
      </c>
      <c r="AX82" t="str">
        <f ca="1">IF(OR($L82&gt;AX$4,AX$4&gt;$L82+23),"",OFFSET(Electric!$L73,0,-'Electric Calendarize'!$L82+'Electric Calendarize'!AX$4+1))</f>
        <v/>
      </c>
      <c r="AY82" t="str">
        <f ca="1">IF(OR($L82&gt;AY$4,AY$4&gt;$L82+23),"",OFFSET(Electric!$L73,0,-'Electric Calendarize'!$L82+'Electric Calendarize'!AY$4+1))</f>
        <v/>
      </c>
      <c r="AZ82" t="str">
        <f ca="1">IF(OR($L82&gt;AZ$4,AZ$4&gt;$L82+23),"",OFFSET(Electric!$L73,0,-'Electric Calendarize'!$L82+'Electric Calendarize'!AZ$4+1))</f>
        <v/>
      </c>
      <c r="BA82" t="str">
        <f ca="1">IF(OR($L82&gt;BA$4,BA$4&gt;$L82+23),"",OFFSET(Electric!$L73,0,-'Electric Calendarize'!$L82+'Electric Calendarize'!BA$4+1))</f>
        <v/>
      </c>
      <c r="BB82" t="str">
        <f ca="1">IF(OR($L82&gt;BB$4,BB$4&gt;$L82+23),"",OFFSET(Electric!$L73,0,-'Electric Calendarize'!$L82+'Electric Calendarize'!BB$4+1))</f>
        <v/>
      </c>
      <c r="BC82" t="str">
        <f ca="1">IF(OR($L82&gt;BC$4,BC$4&gt;$L82+23),"",OFFSET(Electric!$L73,0,-'Electric Calendarize'!$L82+'Electric Calendarize'!BC$4+1))</f>
        <v/>
      </c>
      <c r="BD82" t="str">
        <f ca="1">IF(OR($L82&gt;BD$4,BD$4&gt;$L82+23),"",OFFSET(Electric!$L73,0,-'Electric Calendarize'!$L82+'Electric Calendarize'!BD$4+1))</f>
        <v/>
      </c>
      <c r="BE82" t="str">
        <f ca="1">IF(OR($L82&gt;BE$4,BE$4&gt;$L82+23),"",OFFSET(Electric!$L73,0,-'Electric Calendarize'!$L82+'Electric Calendarize'!BE$4+1))</f>
        <v/>
      </c>
      <c r="BF82" t="str">
        <f ca="1">IF(OR($L82&gt;BF$4,BF$4&gt;$L82+23),"",OFFSET(Electric!$L73,0,-'Electric Calendarize'!$L82+'Electric Calendarize'!BF$4+1))</f>
        <v/>
      </c>
      <c r="BG82" t="str">
        <f ca="1">IF(OR($L82&gt;BG$4,BG$4&gt;$L82+23),"",OFFSET(Electric!$L73,0,-'Electric Calendarize'!$L82+'Electric Calendarize'!BG$4+1))</f>
        <v/>
      </c>
      <c r="BJ82" s="10" t="s">
        <v>37</v>
      </c>
      <c r="BK82">
        <f t="shared" si="303"/>
        <v>1</v>
      </c>
      <c r="BL82">
        <f t="shared" si="209"/>
        <v>0</v>
      </c>
      <c r="BM82">
        <f t="shared" si="210"/>
        <v>0</v>
      </c>
      <c r="BN82">
        <f t="shared" si="211"/>
        <v>0</v>
      </c>
      <c r="BO82">
        <f t="shared" si="212"/>
        <v>0</v>
      </c>
      <c r="BP82">
        <f t="shared" si="213"/>
        <v>0</v>
      </c>
      <c r="BQ82">
        <f t="shared" si="214"/>
        <v>0</v>
      </c>
      <c r="BR82">
        <f t="shared" si="215"/>
        <v>1</v>
      </c>
      <c r="BS82">
        <f t="shared" si="216"/>
        <v>1</v>
      </c>
      <c r="BT82">
        <f t="shared" si="217"/>
        <v>1</v>
      </c>
      <c r="BU82">
        <f t="shared" si="218"/>
        <v>1</v>
      </c>
      <c r="BV82">
        <f t="shared" si="219"/>
        <v>1</v>
      </c>
      <c r="BW82">
        <f t="shared" si="220"/>
        <v>1</v>
      </c>
      <c r="BX82">
        <f t="shared" si="221"/>
        <v>0</v>
      </c>
      <c r="BY82">
        <f t="shared" si="222"/>
        <v>0</v>
      </c>
      <c r="BZ82">
        <f t="shared" si="223"/>
        <v>0</v>
      </c>
      <c r="CA82">
        <f t="shared" si="224"/>
        <v>0</v>
      </c>
      <c r="CB82">
        <f t="shared" si="225"/>
        <v>0</v>
      </c>
      <c r="CC82">
        <f t="shared" si="226"/>
        <v>0</v>
      </c>
      <c r="CD82">
        <f t="shared" si="227"/>
        <v>1</v>
      </c>
      <c r="CE82">
        <f t="shared" si="228"/>
        <v>1</v>
      </c>
      <c r="CF82">
        <f t="shared" si="229"/>
        <v>1</v>
      </c>
      <c r="CG82">
        <f t="shared" si="230"/>
        <v>1</v>
      </c>
      <c r="CH82">
        <f t="shared" si="231"/>
        <v>1</v>
      </c>
      <c r="CI82">
        <f t="shared" si="232"/>
        <v>1</v>
      </c>
      <c r="CJ82">
        <f t="shared" si="233"/>
        <v>0</v>
      </c>
      <c r="CK82">
        <f t="shared" si="234"/>
        <v>0</v>
      </c>
      <c r="CL82">
        <f t="shared" si="235"/>
        <v>0</v>
      </c>
      <c r="CM82">
        <f t="shared" si="236"/>
        <v>0</v>
      </c>
      <c r="CN82">
        <f t="shared" si="237"/>
        <v>0</v>
      </c>
      <c r="CO82">
        <f t="shared" si="238"/>
        <v>0</v>
      </c>
      <c r="CP82">
        <f t="shared" si="239"/>
        <v>1</v>
      </c>
      <c r="CQ82">
        <f t="shared" si="240"/>
        <v>1</v>
      </c>
      <c r="CR82">
        <f t="shared" si="241"/>
        <v>1</v>
      </c>
      <c r="CS82">
        <f t="shared" si="242"/>
        <v>1</v>
      </c>
      <c r="CT82">
        <f t="shared" si="243"/>
        <v>1</v>
      </c>
      <c r="CU82">
        <f t="shared" si="244"/>
        <v>1</v>
      </c>
      <c r="CV82">
        <f t="shared" si="245"/>
        <v>0</v>
      </c>
      <c r="CW82">
        <f t="shared" si="246"/>
        <v>0</v>
      </c>
      <c r="CX82">
        <f t="shared" si="247"/>
        <v>0</v>
      </c>
      <c r="CY82">
        <f t="shared" si="248"/>
        <v>0</v>
      </c>
      <c r="CZ82">
        <f t="shared" si="249"/>
        <v>0</v>
      </c>
      <c r="DA82">
        <f t="shared" si="250"/>
        <v>0</v>
      </c>
      <c r="DB82">
        <f t="shared" si="251"/>
        <v>1</v>
      </c>
      <c r="DC82">
        <f t="shared" si="252"/>
        <v>1</v>
      </c>
      <c r="DF82" s="10" t="s">
        <v>37</v>
      </c>
      <c r="DG82" t="str">
        <f t="shared" si="304"/>
        <v>2021_12</v>
      </c>
      <c r="DH82" t="str">
        <f t="shared" si="304"/>
        <v>2021_12</v>
      </c>
      <c r="DI82" t="str">
        <f t="shared" si="304"/>
        <v>2021_12</v>
      </c>
      <c r="DJ82" t="str">
        <f t="shared" si="304"/>
        <v>2021_12</v>
      </c>
      <c r="DK82" t="str">
        <f t="shared" si="304"/>
        <v>2021_12</v>
      </c>
      <c r="DL82" t="str">
        <f t="shared" si="304"/>
        <v>2021_12</v>
      </c>
      <c r="DM82" t="str">
        <f t="shared" si="304"/>
        <v>2021_12</v>
      </c>
      <c r="DN82" t="str">
        <f t="shared" si="304"/>
        <v>2021_12</v>
      </c>
      <c r="DO82" t="str">
        <f t="shared" si="304"/>
        <v>2021_12</v>
      </c>
      <c r="DP82" t="str">
        <f t="shared" si="304"/>
        <v>2021_12</v>
      </c>
      <c r="DQ82" t="str">
        <f t="shared" si="304"/>
        <v>2021_12</v>
      </c>
      <c r="DR82" t="str">
        <f t="shared" si="304"/>
        <v>2021_12</v>
      </c>
      <c r="DS82" t="str">
        <f t="shared" si="304"/>
        <v>2021_12</v>
      </c>
      <c r="DT82" t="str">
        <f t="shared" si="304"/>
        <v>2021_12</v>
      </c>
      <c r="DU82" t="str">
        <f t="shared" si="304"/>
        <v>2021_12</v>
      </c>
      <c r="DV82" t="str">
        <f t="shared" si="253"/>
        <v>2021_12</v>
      </c>
      <c r="DW82" t="str">
        <f t="shared" si="253"/>
        <v>2021_12</v>
      </c>
      <c r="DX82" t="str">
        <f t="shared" si="253"/>
        <v>2021_12</v>
      </c>
      <c r="DY82" t="str">
        <f t="shared" si="253"/>
        <v>2021_12</v>
      </c>
      <c r="DZ82" t="str">
        <f t="shared" si="253"/>
        <v>2021_12</v>
      </c>
      <c r="EA82" t="str">
        <f t="shared" si="253"/>
        <v>2021_12</v>
      </c>
      <c r="EB82" t="str">
        <f t="shared" si="253"/>
        <v>2021_12</v>
      </c>
      <c r="EC82" t="str">
        <f t="shared" si="253"/>
        <v>2021_12</v>
      </c>
      <c r="ED82" t="str">
        <f t="shared" si="253"/>
        <v>2021_12</v>
      </c>
      <c r="EE82" t="str">
        <f t="shared" si="253"/>
        <v>2021_12</v>
      </c>
      <c r="EF82" t="str">
        <f t="shared" si="253"/>
        <v>2021_12</v>
      </c>
      <c r="EG82" t="str">
        <f t="shared" si="253"/>
        <v>2021_12</v>
      </c>
      <c r="EH82" t="str">
        <f t="shared" si="253"/>
        <v>2021_12</v>
      </c>
      <c r="EI82" t="str">
        <f t="shared" si="253"/>
        <v>2021_12</v>
      </c>
      <c r="EJ82" t="str">
        <f t="shared" si="253"/>
        <v>2021_12</v>
      </c>
      <c r="EK82" t="str">
        <f t="shared" si="253"/>
        <v>2021_12</v>
      </c>
      <c r="EL82" t="str">
        <f t="shared" si="254"/>
        <v>2021_12</v>
      </c>
      <c r="EM82" t="str">
        <f t="shared" si="208"/>
        <v>2021_12</v>
      </c>
      <c r="EN82" t="str">
        <f t="shared" si="208"/>
        <v>2021_12</v>
      </c>
      <c r="EO82" t="str">
        <f t="shared" si="208"/>
        <v>2021_12</v>
      </c>
      <c r="EP82" t="str">
        <f t="shared" si="208"/>
        <v>2021_12</v>
      </c>
      <c r="EQ82" t="str">
        <f t="shared" si="208"/>
        <v>2021_12</v>
      </c>
      <c r="ER82" t="str">
        <f t="shared" si="208"/>
        <v>2021_12</v>
      </c>
      <c r="ES82" t="str">
        <f t="shared" si="208"/>
        <v>2021_12</v>
      </c>
      <c r="ET82" t="str">
        <f t="shared" si="208"/>
        <v>2021_12</v>
      </c>
      <c r="EU82" t="str">
        <f t="shared" si="208"/>
        <v>2021_12</v>
      </c>
      <c r="EV82" t="str">
        <f t="shared" si="208"/>
        <v>2021_12</v>
      </c>
      <c r="EW82" t="str">
        <f t="shared" si="208"/>
        <v>2021_12</v>
      </c>
      <c r="EX82" t="str">
        <f t="shared" si="208"/>
        <v>2021_12</v>
      </c>
      <c r="EY82" t="str">
        <f t="shared" si="208"/>
        <v>2021_12</v>
      </c>
      <c r="FB82" s="10" t="s">
        <v>37</v>
      </c>
      <c r="FC82">
        <f t="shared" si="305"/>
        <v>0</v>
      </c>
      <c r="FD82">
        <f t="shared" si="255"/>
        <v>0</v>
      </c>
      <c r="FE82">
        <f t="shared" si="256"/>
        <v>0</v>
      </c>
      <c r="FF82">
        <f t="shared" si="257"/>
        <v>0</v>
      </c>
      <c r="FG82">
        <f t="shared" si="258"/>
        <v>0</v>
      </c>
      <c r="FH82">
        <f t="shared" si="259"/>
        <v>0</v>
      </c>
      <c r="FI82">
        <f t="shared" si="260"/>
        <v>0</v>
      </c>
      <c r="FJ82">
        <f t="shared" si="261"/>
        <v>0</v>
      </c>
      <c r="FK82">
        <f t="shared" si="262"/>
        <v>0</v>
      </c>
      <c r="FL82">
        <f t="shared" si="263"/>
        <v>0</v>
      </c>
      <c r="FM82">
        <f t="shared" si="264"/>
        <v>0</v>
      </c>
      <c r="FN82">
        <f t="shared" si="265"/>
        <v>0</v>
      </c>
      <c r="FO82">
        <f t="shared" si="266"/>
        <v>0</v>
      </c>
      <c r="FP82">
        <f t="shared" si="267"/>
        <v>0</v>
      </c>
      <c r="FQ82">
        <f t="shared" si="268"/>
        <v>0</v>
      </c>
      <c r="FR82">
        <f t="shared" si="269"/>
        <v>0</v>
      </c>
      <c r="FS82">
        <f t="shared" si="270"/>
        <v>0</v>
      </c>
      <c r="FT82">
        <f t="shared" si="271"/>
        <v>0</v>
      </c>
      <c r="FU82">
        <f t="shared" si="272"/>
        <v>0</v>
      </c>
      <c r="FV82">
        <f t="shared" si="273"/>
        <v>0</v>
      </c>
      <c r="FW82">
        <f t="shared" si="274"/>
        <v>1</v>
      </c>
      <c r="FX82">
        <f t="shared" si="275"/>
        <v>1</v>
      </c>
      <c r="FY82">
        <f t="shared" si="276"/>
        <v>1</v>
      </c>
      <c r="FZ82">
        <f t="shared" si="277"/>
        <v>1</v>
      </c>
      <c r="GA82">
        <f t="shared" si="278"/>
        <v>1</v>
      </c>
      <c r="GB82">
        <f t="shared" si="279"/>
        <v>1</v>
      </c>
      <c r="GC82">
        <f t="shared" si="280"/>
        <v>1</v>
      </c>
      <c r="GD82">
        <f t="shared" si="281"/>
        <v>1</v>
      </c>
      <c r="GE82">
        <f t="shared" si="282"/>
        <v>1</v>
      </c>
      <c r="GF82">
        <f t="shared" si="283"/>
        <v>1</v>
      </c>
      <c r="GG82">
        <f t="shared" si="284"/>
        <v>1</v>
      </c>
      <c r="GH82">
        <f t="shared" si="285"/>
        <v>1</v>
      </c>
      <c r="GI82">
        <f t="shared" si="286"/>
        <v>1</v>
      </c>
      <c r="GJ82">
        <f t="shared" si="287"/>
        <v>1</v>
      </c>
      <c r="GK82">
        <f t="shared" si="288"/>
        <v>1</v>
      </c>
      <c r="GL82">
        <f t="shared" si="289"/>
        <v>1</v>
      </c>
      <c r="GM82">
        <f t="shared" si="290"/>
        <v>1</v>
      </c>
      <c r="GN82">
        <f t="shared" si="291"/>
        <v>1</v>
      </c>
      <c r="GO82">
        <f t="shared" si="292"/>
        <v>1</v>
      </c>
      <c r="GP82">
        <f t="shared" si="293"/>
        <v>1</v>
      </c>
      <c r="GQ82">
        <f t="shared" si="294"/>
        <v>1</v>
      </c>
      <c r="GR82">
        <f t="shared" si="295"/>
        <v>1</v>
      </c>
      <c r="GS82">
        <f t="shared" si="296"/>
        <v>1</v>
      </c>
      <c r="GT82">
        <f t="shared" si="297"/>
        <v>1</v>
      </c>
      <c r="GU82">
        <f t="shared" si="298"/>
        <v>1</v>
      </c>
      <c r="GX82" s="10"/>
    </row>
    <row r="83" spans="1:206" x14ac:dyDescent="0.3">
      <c r="A83" s="9" t="s">
        <v>33</v>
      </c>
      <c r="B83" s="80"/>
      <c r="C83" s="9">
        <v>3121831003</v>
      </c>
      <c r="D83" s="9" t="s">
        <v>411</v>
      </c>
      <c r="E83" s="9" t="s">
        <v>39</v>
      </c>
      <c r="F83" s="9" t="s">
        <v>35</v>
      </c>
      <c r="G83" s="9" t="s">
        <v>114</v>
      </c>
      <c r="H83" s="10">
        <v>44564</v>
      </c>
      <c r="I83" s="9">
        <f t="shared" si="299"/>
        <v>2022</v>
      </c>
      <c r="J83" s="9">
        <f t="shared" si="300"/>
        <v>1</v>
      </c>
      <c r="K83" s="9" t="str">
        <f t="shared" si="301"/>
        <v>2022_1</v>
      </c>
      <c r="L83">
        <f>MAX(0,VLOOKUP($K83,lookups!$A$1:$B$45,2,0)-12)</f>
        <v>9</v>
      </c>
      <c r="M83" s="40">
        <f t="shared" si="302"/>
        <v>44562</v>
      </c>
      <c r="N83" s="10" t="s">
        <v>37</v>
      </c>
      <c r="O83" t="str">
        <f ca="1">IF(OR($L83&gt;O$4,O$4&gt;$L83+23),"",OFFSET(Electric!$L74,0,-'Electric Calendarize'!$L83+'Electric Calendarize'!O$4+1))</f>
        <v/>
      </c>
      <c r="P83" t="str">
        <f ca="1">IF(OR($L83&gt;P$4,P$4&gt;$L83+23),"",OFFSET(Electric!$L74,0,-'Electric Calendarize'!$L83+'Electric Calendarize'!P$4+1))</f>
        <v/>
      </c>
      <c r="Q83" t="str">
        <f ca="1">IF(OR($L83&gt;Q$4,Q$4&gt;$L83+23),"",OFFSET(Electric!$L74,0,-'Electric Calendarize'!$L83+'Electric Calendarize'!Q$4+1))</f>
        <v/>
      </c>
      <c r="R83" t="str">
        <f ca="1">IF(OR($L83&gt;R$4,R$4&gt;$L83+23),"",OFFSET(Electric!$L74,0,-'Electric Calendarize'!$L83+'Electric Calendarize'!R$4+1))</f>
        <v/>
      </c>
      <c r="S83" t="str">
        <f ca="1">IF(OR($L83&gt;S$4,S$4&gt;$L83+23),"",OFFSET(Electric!$L74,0,-'Electric Calendarize'!$L83+'Electric Calendarize'!S$4+1))</f>
        <v/>
      </c>
      <c r="T83" t="str">
        <f ca="1">IF(OR($L83&gt;T$4,T$4&gt;$L83+23),"",OFFSET(Electric!$L74,0,-'Electric Calendarize'!$L83+'Electric Calendarize'!T$4+1))</f>
        <v/>
      </c>
      <c r="U83" t="str">
        <f ca="1">IF(OR($L83&gt;U$4,U$4&gt;$L83+23),"",OFFSET(Electric!$L74,0,-'Electric Calendarize'!$L83+'Electric Calendarize'!U$4+1))</f>
        <v/>
      </c>
      <c r="V83" t="str">
        <f ca="1">IF(OR($L83&gt;V$4,V$4&gt;$L83+23),"",OFFSET(Electric!$L74,0,-'Electric Calendarize'!$L83+'Electric Calendarize'!V$4+1))</f>
        <v/>
      </c>
      <c r="W83" t="str">
        <f ca="1">IF(OR($L83&gt;W$4,W$4&gt;$L83+23),"",OFFSET(Electric!$L74,0,-'Electric Calendarize'!$L83+'Electric Calendarize'!W$4+1))</f>
        <v/>
      </c>
      <c r="X83">
        <f ca="1">IF(OR($L83&gt;X$4,X$4&gt;$L83+23),"",OFFSET(Electric!$L74,0,-'Electric Calendarize'!$L83+'Electric Calendarize'!X$4+1))</f>
        <v>0</v>
      </c>
      <c r="Y83">
        <f ca="1">IF(OR($L83&gt;Y$4,Y$4&gt;$L83+23),"",OFFSET(Electric!$L74,0,-'Electric Calendarize'!$L83+'Electric Calendarize'!Y$4+1))</f>
        <v>0</v>
      </c>
      <c r="Z83">
        <f ca="1">IF(OR($L83&gt;Z$4,Z$4&gt;$L83+23),"",OFFSET(Electric!$L74,0,-'Electric Calendarize'!$L83+'Electric Calendarize'!Z$4+1))</f>
        <v>0</v>
      </c>
      <c r="AA83">
        <f ca="1">IF(OR($L83&gt;AA$4,AA$4&gt;$L83+23),"",OFFSET(Electric!$L74,0,-'Electric Calendarize'!$L83+'Electric Calendarize'!AA$4+1))</f>
        <v>0</v>
      </c>
      <c r="AB83">
        <f ca="1">IF(OR($L83&gt;AB$4,AB$4&gt;$L83+23),"",OFFSET(Electric!$L74,0,-'Electric Calendarize'!$L83+'Electric Calendarize'!AB$4+1))</f>
        <v>0</v>
      </c>
      <c r="AC83">
        <f ca="1">IF(OR($L83&gt;AC$4,AC$4&gt;$L83+23),"",OFFSET(Electric!$L74,0,-'Electric Calendarize'!$L83+'Electric Calendarize'!AC$4+1))</f>
        <v>0</v>
      </c>
      <c r="AD83">
        <f ca="1">IF(OR($L83&gt;AD$4,AD$4&gt;$L83+23),"",OFFSET(Electric!$L74,0,-'Electric Calendarize'!$L83+'Electric Calendarize'!AD$4+1))</f>
        <v>623</v>
      </c>
      <c r="AE83">
        <f ca="1">IF(OR($L83&gt;AE$4,AE$4&gt;$L83+23),"",OFFSET(Electric!$L74,0,-'Electric Calendarize'!$L83+'Electric Calendarize'!AE$4+1))</f>
        <v>1770</v>
      </c>
      <c r="AF83">
        <f ca="1">IF(OR($L83&gt;AF$4,AF$4&gt;$L83+23),"",OFFSET(Electric!$L74,0,-'Electric Calendarize'!$L83+'Electric Calendarize'!AF$4+1))</f>
        <v>1358</v>
      </c>
      <c r="AG83">
        <f ca="1">IF(OR($L83&gt;AG$4,AG$4&gt;$L83+23),"",OFFSET(Electric!$L74,0,-'Electric Calendarize'!$L83+'Electric Calendarize'!AG$4+1))</f>
        <v>1196</v>
      </c>
      <c r="AH83">
        <f ca="1">IF(OR($L83&gt;AH$4,AH$4&gt;$L83+23),"",OFFSET(Electric!$L74,0,-'Electric Calendarize'!$L83+'Electric Calendarize'!AH$4+1))</f>
        <v>792</v>
      </c>
      <c r="AI83">
        <f ca="1">IF(OR($L83&gt;AI$4,AI$4&gt;$L83+23),"",OFFSET(Electric!$L74,0,-'Electric Calendarize'!$L83+'Electric Calendarize'!AI$4+1))</f>
        <v>1002</v>
      </c>
      <c r="AJ83">
        <f ca="1">IF(OR($L83&gt;AJ$4,AJ$4&gt;$L83+23),"",OFFSET(Electric!$L74,0,-'Electric Calendarize'!$L83+'Electric Calendarize'!AJ$4+1))</f>
        <v>1387</v>
      </c>
      <c r="AK83">
        <f ca="1">IF(OR($L83&gt;AK$4,AK$4&gt;$L83+23),"",OFFSET(Electric!$L74,0,-'Electric Calendarize'!$L83+'Electric Calendarize'!AK$4+1))</f>
        <v>1435</v>
      </c>
      <c r="AL83">
        <f ca="1">IF(OR($L83&gt;AL$4,AL$4&gt;$L83+23),"",OFFSET(Electric!$L74,0,-'Electric Calendarize'!$L83+'Electric Calendarize'!AL$4+1))</f>
        <v>1096</v>
      </c>
      <c r="AM83">
        <f ca="1">IF(OR($L83&gt;AM$4,AM$4&gt;$L83+23),"",OFFSET(Electric!$L74,0,-'Electric Calendarize'!$L83+'Electric Calendarize'!AM$4+1))</f>
        <v>829</v>
      </c>
      <c r="AN83">
        <f ca="1">IF(OR($L83&gt;AN$4,AN$4&gt;$L83+23),"",OFFSET(Electric!$L74,0,-'Electric Calendarize'!$L83+'Electric Calendarize'!AN$4+1))</f>
        <v>1268</v>
      </c>
      <c r="AO83">
        <f ca="1">IF(OR($L83&gt;AO$4,AO$4&gt;$L83+23),"",OFFSET(Electric!$L74,0,-'Electric Calendarize'!$L83+'Electric Calendarize'!AO$4+1))</f>
        <v>1264</v>
      </c>
      <c r="AP83">
        <f ca="1">IF(OR($L83&gt;AP$4,AP$4&gt;$L83+23),"",OFFSET(Electric!$L74,0,-'Electric Calendarize'!$L83+'Electric Calendarize'!AP$4+1))</f>
        <v>1588</v>
      </c>
      <c r="AQ83">
        <f ca="1">IF(OR($L83&gt;AQ$4,AQ$4&gt;$L83+23),"",OFFSET(Electric!$L74,0,-'Electric Calendarize'!$L83+'Electric Calendarize'!AQ$4+1))</f>
        <v>1859</v>
      </c>
      <c r="AR83">
        <f ca="1">IF(OR($L83&gt;AR$4,AR$4&gt;$L83+23),"",OFFSET(Electric!$L74,0,-'Electric Calendarize'!$L83+'Electric Calendarize'!AR$4+1))</f>
        <v>1492</v>
      </c>
      <c r="AS83">
        <f ca="1">IF(OR($L83&gt;AS$4,AS$4&gt;$L83+23),"",OFFSET(Electric!$L74,0,-'Electric Calendarize'!$L83+'Electric Calendarize'!AS$4+1))</f>
        <v>1518</v>
      </c>
      <c r="AT83">
        <f ca="1">IF(OR($L83&gt;AT$4,AT$4&gt;$L83+23),"",OFFSET(Electric!$L74,0,-'Electric Calendarize'!$L83+'Electric Calendarize'!AT$4+1))</f>
        <v>1534</v>
      </c>
      <c r="AU83">
        <f ca="1">IF(OR($L83&gt;AU$4,AU$4&gt;$L83+23),"",OFFSET(Electric!$L74,0,-'Electric Calendarize'!$L83+'Electric Calendarize'!AU$4+1))</f>
        <v>2654</v>
      </c>
      <c r="AV83" t="str">
        <f ca="1">IF(OR($L83&gt;AV$4,AV$4&gt;$L83+23),"",OFFSET(Electric!$L74,0,-'Electric Calendarize'!$L83+'Electric Calendarize'!AV$4+1))</f>
        <v/>
      </c>
      <c r="AW83" t="str">
        <f ca="1">IF(OR($L83&gt;AW$4,AW$4&gt;$L83+23),"",OFFSET(Electric!$L74,0,-'Electric Calendarize'!$L83+'Electric Calendarize'!AW$4+1))</f>
        <v/>
      </c>
      <c r="AX83" t="str">
        <f ca="1">IF(OR($L83&gt;AX$4,AX$4&gt;$L83+23),"",OFFSET(Electric!$L74,0,-'Electric Calendarize'!$L83+'Electric Calendarize'!AX$4+1))</f>
        <v/>
      </c>
      <c r="AY83" t="str">
        <f ca="1">IF(OR($L83&gt;AY$4,AY$4&gt;$L83+23),"",OFFSET(Electric!$L74,0,-'Electric Calendarize'!$L83+'Electric Calendarize'!AY$4+1))</f>
        <v/>
      </c>
      <c r="AZ83" t="str">
        <f ca="1">IF(OR($L83&gt;AZ$4,AZ$4&gt;$L83+23),"",OFFSET(Electric!$L74,0,-'Electric Calendarize'!$L83+'Electric Calendarize'!AZ$4+1))</f>
        <v/>
      </c>
      <c r="BA83" t="str">
        <f ca="1">IF(OR($L83&gt;BA$4,BA$4&gt;$L83+23),"",OFFSET(Electric!$L74,0,-'Electric Calendarize'!$L83+'Electric Calendarize'!BA$4+1))</f>
        <v/>
      </c>
      <c r="BB83" t="str">
        <f ca="1">IF(OR($L83&gt;BB$4,BB$4&gt;$L83+23),"",OFFSET(Electric!$L74,0,-'Electric Calendarize'!$L83+'Electric Calendarize'!BB$4+1))</f>
        <v/>
      </c>
      <c r="BC83" t="str">
        <f ca="1">IF(OR($L83&gt;BC$4,BC$4&gt;$L83+23),"",OFFSET(Electric!$L74,0,-'Electric Calendarize'!$L83+'Electric Calendarize'!BC$4+1))</f>
        <v/>
      </c>
      <c r="BD83" t="str">
        <f ca="1">IF(OR($L83&gt;BD$4,BD$4&gt;$L83+23),"",OFFSET(Electric!$L74,0,-'Electric Calendarize'!$L83+'Electric Calendarize'!BD$4+1))</f>
        <v/>
      </c>
      <c r="BE83" t="str">
        <f ca="1">IF(OR($L83&gt;BE$4,BE$4&gt;$L83+23),"",OFFSET(Electric!$L74,0,-'Electric Calendarize'!$L83+'Electric Calendarize'!BE$4+1))</f>
        <v/>
      </c>
      <c r="BF83" t="str">
        <f ca="1">IF(OR($L83&gt;BF$4,BF$4&gt;$L83+23),"",OFFSET(Electric!$L74,0,-'Electric Calendarize'!$L83+'Electric Calendarize'!BF$4+1))</f>
        <v/>
      </c>
      <c r="BG83" t="str">
        <f ca="1">IF(OR($L83&gt;BG$4,BG$4&gt;$L83+23),"",OFFSET(Electric!$L74,0,-'Electric Calendarize'!$L83+'Electric Calendarize'!BG$4+1))</f>
        <v/>
      </c>
      <c r="BJ83" s="10" t="s">
        <v>37</v>
      </c>
      <c r="BK83">
        <f t="shared" si="303"/>
        <v>1</v>
      </c>
      <c r="BL83">
        <f t="shared" si="209"/>
        <v>0</v>
      </c>
      <c r="BM83">
        <f t="shared" si="210"/>
        <v>0</v>
      </c>
      <c r="BN83">
        <f t="shared" si="211"/>
        <v>0</v>
      </c>
      <c r="BO83">
        <f t="shared" si="212"/>
        <v>0</v>
      </c>
      <c r="BP83">
        <f t="shared" si="213"/>
        <v>0</v>
      </c>
      <c r="BQ83">
        <f t="shared" si="214"/>
        <v>0</v>
      </c>
      <c r="BR83">
        <f t="shared" si="215"/>
        <v>1</v>
      </c>
      <c r="BS83">
        <f t="shared" si="216"/>
        <v>1</v>
      </c>
      <c r="BT83">
        <f t="shared" si="217"/>
        <v>1</v>
      </c>
      <c r="BU83">
        <f t="shared" si="218"/>
        <v>1</v>
      </c>
      <c r="BV83">
        <f t="shared" si="219"/>
        <v>1</v>
      </c>
      <c r="BW83">
        <f t="shared" si="220"/>
        <v>1</v>
      </c>
      <c r="BX83">
        <f t="shared" si="221"/>
        <v>0</v>
      </c>
      <c r="BY83">
        <f t="shared" si="222"/>
        <v>0</v>
      </c>
      <c r="BZ83">
        <f t="shared" si="223"/>
        <v>0</v>
      </c>
      <c r="CA83">
        <f t="shared" si="224"/>
        <v>0</v>
      </c>
      <c r="CB83">
        <f t="shared" si="225"/>
        <v>0</v>
      </c>
      <c r="CC83">
        <f t="shared" si="226"/>
        <v>0</v>
      </c>
      <c r="CD83">
        <f t="shared" si="227"/>
        <v>1</v>
      </c>
      <c r="CE83">
        <f t="shared" si="228"/>
        <v>1</v>
      </c>
      <c r="CF83">
        <f t="shared" si="229"/>
        <v>1</v>
      </c>
      <c r="CG83">
        <f t="shared" si="230"/>
        <v>1</v>
      </c>
      <c r="CH83">
        <f t="shared" si="231"/>
        <v>1</v>
      </c>
      <c r="CI83">
        <f t="shared" si="232"/>
        <v>1</v>
      </c>
      <c r="CJ83">
        <f t="shared" si="233"/>
        <v>0</v>
      </c>
      <c r="CK83">
        <f t="shared" si="234"/>
        <v>0</v>
      </c>
      <c r="CL83">
        <f t="shared" si="235"/>
        <v>0</v>
      </c>
      <c r="CM83">
        <f t="shared" si="236"/>
        <v>0</v>
      </c>
      <c r="CN83">
        <f t="shared" si="237"/>
        <v>0</v>
      </c>
      <c r="CO83">
        <f t="shared" si="238"/>
        <v>0</v>
      </c>
      <c r="CP83">
        <f t="shared" si="239"/>
        <v>1</v>
      </c>
      <c r="CQ83">
        <f t="shared" si="240"/>
        <v>1</v>
      </c>
      <c r="CR83">
        <f t="shared" si="241"/>
        <v>1</v>
      </c>
      <c r="CS83">
        <f t="shared" si="242"/>
        <v>1</v>
      </c>
      <c r="CT83">
        <f t="shared" si="243"/>
        <v>1</v>
      </c>
      <c r="CU83">
        <f t="shared" si="244"/>
        <v>1</v>
      </c>
      <c r="CV83">
        <f t="shared" si="245"/>
        <v>0</v>
      </c>
      <c r="CW83">
        <f t="shared" si="246"/>
        <v>0</v>
      </c>
      <c r="CX83">
        <f t="shared" si="247"/>
        <v>0</v>
      </c>
      <c r="CY83">
        <f t="shared" si="248"/>
        <v>0</v>
      </c>
      <c r="CZ83">
        <f t="shared" si="249"/>
        <v>0</v>
      </c>
      <c r="DA83">
        <f t="shared" si="250"/>
        <v>0</v>
      </c>
      <c r="DB83">
        <f t="shared" si="251"/>
        <v>1</v>
      </c>
      <c r="DC83">
        <f t="shared" si="252"/>
        <v>1</v>
      </c>
      <c r="DF83" s="10" t="s">
        <v>37</v>
      </c>
      <c r="DG83" t="str">
        <f t="shared" si="304"/>
        <v>2022_1</v>
      </c>
      <c r="DH83" t="str">
        <f t="shared" si="304"/>
        <v>2022_1</v>
      </c>
      <c r="DI83" t="str">
        <f t="shared" si="304"/>
        <v>2022_1</v>
      </c>
      <c r="DJ83" t="str">
        <f t="shared" si="304"/>
        <v>2022_1</v>
      </c>
      <c r="DK83" t="str">
        <f t="shared" si="304"/>
        <v>2022_1</v>
      </c>
      <c r="DL83" t="str">
        <f t="shared" si="304"/>
        <v>2022_1</v>
      </c>
      <c r="DM83" t="str">
        <f t="shared" si="304"/>
        <v>2022_1</v>
      </c>
      <c r="DN83" t="str">
        <f t="shared" si="304"/>
        <v>2022_1</v>
      </c>
      <c r="DO83" t="str">
        <f t="shared" si="304"/>
        <v>2022_1</v>
      </c>
      <c r="DP83" t="str">
        <f t="shared" si="304"/>
        <v>2022_1</v>
      </c>
      <c r="DQ83" t="str">
        <f t="shared" si="304"/>
        <v>2022_1</v>
      </c>
      <c r="DR83" t="str">
        <f t="shared" si="304"/>
        <v>2022_1</v>
      </c>
      <c r="DS83" t="str">
        <f t="shared" si="304"/>
        <v>2022_1</v>
      </c>
      <c r="DT83" t="str">
        <f t="shared" si="304"/>
        <v>2022_1</v>
      </c>
      <c r="DU83" t="str">
        <f t="shared" si="304"/>
        <v>2022_1</v>
      </c>
      <c r="DV83" t="str">
        <f t="shared" si="253"/>
        <v>2022_1</v>
      </c>
      <c r="DW83" t="str">
        <f t="shared" si="253"/>
        <v>2022_1</v>
      </c>
      <c r="DX83" t="str">
        <f t="shared" si="253"/>
        <v>2022_1</v>
      </c>
      <c r="DY83" t="str">
        <f t="shared" si="253"/>
        <v>2022_1</v>
      </c>
      <c r="DZ83" t="str">
        <f t="shared" si="253"/>
        <v>2022_1</v>
      </c>
      <c r="EA83" t="str">
        <f t="shared" si="253"/>
        <v>2022_1</v>
      </c>
      <c r="EB83" t="str">
        <f t="shared" si="253"/>
        <v>2022_1</v>
      </c>
      <c r="EC83" t="str">
        <f t="shared" si="253"/>
        <v>2022_1</v>
      </c>
      <c r="ED83" t="str">
        <f t="shared" si="253"/>
        <v>2022_1</v>
      </c>
      <c r="EE83" t="str">
        <f t="shared" si="253"/>
        <v>2022_1</v>
      </c>
      <c r="EF83" t="str">
        <f t="shared" si="253"/>
        <v>2022_1</v>
      </c>
      <c r="EG83" t="str">
        <f t="shared" si="253"/>
        <v>2022_1</v>
      </c>
      <c r="EH83" t="str">
        <f t="shared" si="253"/>
        <v>2022_1</v>
      </c>
      <c r="EI83" t="str">
        <f t="shared" si="253"/>
        <v>2022_1</v>
      </c>
      <c r="EJ83" t="str">
        <f t="shared" si="253"/>
        <v>2022_1</v>
      </c>
      <c r="EK83" t="str">
        <f t="shared" si="253"/>
        <v>2022_1</v>
      </c>
      <c r="EL83" t="str">
        <f t="shared" si="254"/>
        <v>2022_1</v>
      </c>
      <c r="EM83" t="str">
        <f t="shared" si="208"/>
        <v>2022_1</v>
      </c>
      <c r="EN83" t="str">
        <f t="shared" si="208"/>
        <v>2022_1</v>
      </c>
      <c r="EO83" t="str">
        <f t="shared" si="208"/>
        <v>2022_1</v>
      </c>
      <c r="EP83" t="str">
        <f t="shared" si="208"/>
        <v>2022_1</v>
      </c>
      <c r="EQ83" t="str">
        <f t="shared" si="208"/>
        <v>2022_1</v>
      </c>
      <c r="ER83" t="str">
        <f t="shared" si="208"/>
        <v>2022_1</v>
      </c>
      <c r="ES83" t="str">
        <f t="shared" si="208"/>
        <v>2022_1</v>
      </c>
      <c r="ET83" t="str">
        <f t="shared" si="208"/>
        <v>2022_1</v>
      </c>
      <c r="EU83" t="str">
        <f t="shared" si="208"/>
        <v>2022_1</v>
      </c>
      <c r="EV83" t="str">
        <f t="shared" si="208"/>
        <v>2022_1</v>
      </c>
      <c r="EW83" t="str">
        <f t="shared" si="208"/>
        <v>2022_1</v>
      </c>
      <c r="EX83" t="str">
        <f t="shared" si="208"/>
        <v>2022_1</v>
      </c>
      <c r="EY83" t="str">
        <f t="shared" si="208"/>
        <v>2022_1</v>
      </c>
      <c r="FB83" s="10" t="s">
        <v>37</v>
      </c>
      <c r="FC83">
        <f t="shared" si="305"/>
        <v>0</v>
      </c>
      <c r="FD83">
        <f t="shared" si="255"/>
        <v>0</v>
      </c>
      <c r="FE83">
        <f t="shared" si="256"/>
        <v>0</v>
      </c>
      <c r="FF83">
        <f t="shared" si="257"/>
        <v>0</v>
      </c>
      <c r="FG83">
        <f t="shared" si="258"/>
        <v>0</v>
      </c>
      <c r="FH83">
        <f t="shared" si="259"/>
        <v>0</v>
      </c>
      <c r="FI83">
        <f t="shared" si="260"/>
        <v>0</v>
      </c>
      <c r="FJ83">
        <f t="shared" si="261"/>
        <v>0</v>
      </c>
      <c r="FK83">
        <f t="shared" si="262"/>
        <v>0</v>
      </c>
      <c r="FL83">
        <f t="shared" si="263"/>
        <v>0</v>
      </c>
      <c r="FM83">
        <f t="shared" si="264"/>
        <v>0</v>
      </c>
      <c r="FN83">
        <f t="shared" si="265"/>
        <v>0</v>
      </c>
      <c r="FO83">
        <f t="shared" si="266"/>
        <v>0</v>
      </c>
      <c r="FP83">
        <f t="shared" si="267"/>
        <v>0</v>
      </c>
      <c r="FQ83">
        <f t="shared" si="268"/>
        <v>0</v>
      </c>
      <c r="FR83">
        <f t="shared" si="269"/>
        <v>0</v>
      </c>
      <c r="FS83">
        <f t="shared" si="270"/>
        <v>0</v>
      </c>
      <c r="FT83">
        <f t="shared" si="271"/>
        <v>0</v>
      </c>
      <c r="FU83">
        <f t="shared" si="272"/>
        <v>0</v>
      </c>
      <c r="FV83">
        <f t="shared" si="273"/>
        <v>0</v>
      </c>
      <c r="FW83">
        <f t="shared" si="274"/>
        <v>0</v>
      </c>
      <c r="FX83">
        <f t="shared" si="275"/>
        <v>1</v>
      </c>
      <c r="FY83">
        <f t="shared" si="276"/>
        <v>1</v>
      </c>
      <c r="FZ83">
        <f t="shared" si="277"/>
        <v>1</v>
      </c>
      <c r="GA83">
        <f t="shared" si="278"/>
        <v>1</v>
      </c>
      <c r="GB83">
        <f t="shared" si="279"/>
        <v>1</v>
      </c>
      <c r="GC83">
        <f t="shared" si="280"/>
        <v>1</v>
      </c>
      <c r="GD83">
        <f t="shared" si="281"/>
        <v>1</v>
      </c>
      <c r="GE83">
        <f t="shared" si="282"/>
        <v>1</v>
      </c>
      <c r="GF83">
        <f t="shared" si="283"/>
        <v>1</v>
      </c>
      <c r="GG83">
        <f t="shared" si="284"/>
        <v>1</v>
      </c>
      <c r="GH83">
        <f t="shared" si="285"/>
        <v>1</v>
      </c>
      <c r="GI83">
        <f t="shared" si="286"/>
        <v>1</v>
      </c>
      <c r="GJ83">
        <f t="shared" si="287"/>
        <v>1</v>
      </c>
      <c r="GK83">
        <f t="shared" si="288"/>
        <v>1</v>
      </c>
      <c r="GL83">
        <f t="shared" si="289"/>
        <v>1</v>
      </c>
      <c r="GM83">
        <f t="shared" si="290"/>
        <v>1</v>
      </c>
      <c r="GN83">
        <f t="shared" si="291"/>
        <v>1</v>
      </c>
      <c r="GO83">
        <f t="shared" si="292"/>
        <v>1</v>
      </c>
      <c r="GP83">
        <f t="shared" si="293"/>
        <v>1</v>
      </c>
      <c r="GQ83">
        <f t="shared" si="294"/>
        <v>1</v>
      </c>
      <c r="GR83">
        <f t="shared" si="295"/>
        <v>1</v>
      </c>
      <c r="GS83">
        <f t="shared" si="296"/>
        <v>1</v>
      </c>
      <c r="GT83">
        <f t="shared" si="297"/>
        <v>1</v>
      </c>
      <c r="GU83">
        <f t="shared" si="298"/>
        <v>1</v>
      </c>
      <c r="GX83" s="10"/>
    </row>
    <row r="84" spans="1:206" x14ac:dyDescent="0.3">
      <c r="A84" s="9" t="s">
        <v>33</v>
      </c>
      <c r="B84" s="80"/>
      <c r="C84" s="9">
        <v>3121069000</v>
      </c>
      <c r="D84" s="9" t="s">
        <v>412</v>
      </c>
      <c r="E84" s="9" t="s">
        <v>39</v>
      </c>
      <c r="F84" s="9" t="s">
        <v>35</v>
      </c>
      <c r="G84" s="9" t="s">
        <v>115</v>
      </c>
      <c r="H84" s="10">
        <v>44580</v>
      </c>
      <c r="I84" s="9">
        <f t="shared" si="299"/>
        <v>2022</v>
      </c>
      <c r="J84" s="9">
        <f t="shared" si="300"/>
        <v>1</v>
      </c>
      <c r="K84" s="9" t="str">
        <f t="shared" si="301"/>
        <v>2022_1</v>
      </c>
      <c r="L84">
        <f>MAX(0,VLOOKUP($K84,lookups!$A$1:$B$45,2,0)-12)</f>
        <v>9</v>
      </c>
      <c r="M84" s="40">
        <f t="shared" si="302"/>
        <v>44562</v>
      </c>
      <c r="N84" s="10" t="s">
        <v>37</v>
      </c>
      <c r="O84" t="str">
        <f ca="1">IF(OR($L84&gt;O$4,O$4&gt;$L84+23),"",OFFSET(Electric!$L75,0,-'Electric Calendarize'!$L84+'Electric Calendarize'!O$4+1))</f>
        <v/>
      </c>
      <c r="P84" t="str">
        <f ca="1">IF(OR($L84&gt;P$4,P$4&gt;$L84+23),"",OFFSET(Electric!$L75,0,-'Electric Calendarize'!$L84+'Electric Calendarize'!P$4+1))</f>
        <v/>
      </c>
      <c r="Q84" t="str">
        <f ca="1">IF(OR($L84&gt;Q$4,Q$4&gt;$L84+23),"",OFFSET(Electric!$L75,0,-'Electric Calendarize'!$L84+'Electric Calendarize'!Q$4+1))</f>
        <v/>
      </c>
      <c r="R84" t="str">
        <f ca="1">IF(OR($L84&gt;R$4,R$4&gt;$L84+23),"",OFFSET(Electric!$L75,0,-'Electric Calendarize'!$L84+'Electric Calendarize'!R$4+1))</f>
        <v/>
      </c>
      <c r="S84" t="str">
        <f ca="1">IF(OR($L84&gt;S$4,S$4&gt;$L84+23),"",OFFSET(Electric!$L75,0,-'Electric Calendarize'!$L84+'Electric Calendarize'!S$4+1))</f>
        <v/>
      </c>
      <c r="T84" t="str">
        <f ca="1">IF(OR($L84&gt;T$4,T$4&gt;$L84+23),"",OFFSET(Electric!$L75,0,-'Electric Calendarize'!$L84+'Electric Calendarize'!T$4+1))</f>
        <v/>
      </c>
      <c r="U84" t="str">
        <f ca="1">IF(OR($L84&gt;U$4,U$4&gt;$L84+23),"",OFFSET(Electric!$L75,0,-'Electric Calendarize'!$L84+'Electric Calendarize'!U$4+1))</f>
        <v/>
      </c>
      <c r="V84" t="str">
        <f ca="1">IF(OR($L84&gt;V$4,V$4&gt;$L84+23),"",OFFSET(Electric!$L75,0,-'Electric Calendarize'!$L84+'Electric Calendarize'!V$4+1))</f>
        <v/>
      </c>
      <c r="W84" t="str">
        <f ca="1">IF(OR($L84&gt;W$4,W$4&gt;$L84+23),"",OFFSET(Electric!$L75,0,-'Electric Calendarize'!$L84+'Electric Calendarize'!W$4+1))</f>
        <v/>
      </c>
      <c r="X84">
        <f ca="1">IF(OR($L84&gt;X$4,X$4&gt;$L84+23),"",OFFSET(Electric!$L75,0,-'Electric Calendarize'!$L84+'Electric Calendarize'!X$4+1))</f>
        <v>1329</v>
      </c>
      <c r="Y84">
        <f ca="1">IF(OR($L84&gt;Y$4,Y$4&gt;$L84+23),"",OFFSET(Electric!$L75,0,-'Electric Calendarize'!$L84+'Electric Calendarize'!Y$4+1))</f>
        <v>1589</v>
      </c>
      <c r="Z84">
        <f ca="1">IF(OR($L84&gt;Z$4,Z$4&gt;$L84+23),"",OFFSET(Electric!$L75,0,-'Electric Calendarize'!$L84+'Electric Calendarize'!Z$4+1))</f>
        <v>1508</v>
      </c>
      <c r="AA84">
        <f ca="1">IF(OR($L84&gt;AA$4,AA$4&gt;$L84+23),"",OFFSET(Electric!$L75,0,-'Electric Calendarize'!$L84+'Electric Calendarize'!AA$4+1))</f>
        <v>801</v>
      </c>
      <c r="AB84">
        <f ca="1">IF(OR($L84&gt;AB$4,AB$4&gt;$L84+23),"",OFFSET(Electric!$L75,0,-'Electric Calendarize'!$L84+'Electric Calendarize'!AB$4+1))</f>
        <v>945</v>
      </c>
      <c r="AC84">
        <f ca="1">IF(OR($L84&gt;AC$4,AC$4&gt;$L84+23),"",OFFSET(Electric!$L75,0,-'Electric Calendarize'!$L84+'Electric Calendarize'!AC$4+1))</f>
        <v>1437</v>
      </c>
      <c r="AD84">
        <f ca="1">IF(OR($L84&gt;AD$4,AD$4&gt;$L84+23),"",OFFSET(Electric!$L75,0,-'Electric Calendarize'!$L84+'Electric Calendarize'!AD$4+1))</f>
        <v>1479</v>
      </c>
      <c r="AE84">
        <f ca="1">IF(OR($L84&gt;AE$4,AE$4&gt;$L84+23),"",OFFSET(Electric!$L75,0,-'Electric Calendarize'!$L84+'Electric Calendarize'!AE$4+1))</f>
        <v>1354</v>
      </c>
      <c r="AF84">
        <f ca="1">IF(OR($L84&gt;AF$4,AF$4&gt;$L84+23),"",OFFSET(Electric!$L75,0,-'Electric Calendarize'!$L84+'Electric Calendarize'!AF$4+1))</f>
        <v>1296</v>
      </c>
      <c r="AG84">
        <f ca="1">IF(OR($L84&gt;AG$4,AG$4&gt;$L84+23),"",OFFSET(Electric!$L75,0,-'Electric Calendarize'!$L84+'Electric Calendarize'!AG$4+1))</f>
        <v>886</v>
      </c>
      <c r="AH84">
        <f ca="1">IF(OR($L84&gt;AH$4,AH$4&gt;$L84+23),"",OFFSET(Electric!$L75,0,-'Electric Calendarize'!$L84+'Electric Calendarize'!AH$4+1))</f>
        <v>791</v>
      </c>
      <c r="AI84">
        <f ca="1">IF(OR($L84&gt;AI$4,AI$4&gt;$L84+23),"",OFFSET(Electric!$L75,0,-'Electric Calendarize'!$L84+'Electric Calendarize'!AI$4+1))</f>
        <v>1000</v>
      </c>
      <c r="AJ84">
        <f ca="1">IF(OR($L84&gt;AJ$4,AJ$4&gt;$L84+23),"",OFFSET(Electric!$L75,0,-'Electric Calendarize'!$L84+'Electric Calendarize'!AJ$4+1))</f>
        <v>1129</v>
      </c>
      <c r="AK84">
        <f ca="1">IF(OR($L84&gt;AK$4,AK$4&gt;$L84+23),"",OFFSET(Electric!$L75,0,-'Electric Calendarize'!$L84+'Electric Calendarize'!AK$4+1))</f>
        <v>1130</v>
      </c>
      <c r="AL84">
        <f ca="1">IF(OR($L84&gt;AL$4,AL$4&gt;$L84+23),"",OFFSET(Electric!$L75,0,-'Electric Calendarize'!$L84+'Electric Calendarize'!AL$4+1))</f>
        <v>697</v>
      </c>
      <c r="AM84">
        <f ca="1">IF(OR($L84&gt;AM$4,AM$4&gt;$L84+23),"",OFFSET(Electric!$L75,0,-'Electric Calendarize'!$L84+'Electric Calendarize'!AM$4+1))</f>
        <v>821</v>
      </c>
      <c r="AN84">
        <f ca="1">IF(OR($L84&gt;AN$4,AN$4&gt;$L84+23),"",OFFSET(Electric!$L75,0,-'Electric Calendarize'!$L84+'Electric Calendarize'!AN$4+1))</f>
        <v>811</v>
      </c>
      <c r="AO84">
        <f ca="1">IF(OR($L84&gt;AO$4,AO$4&gt;$L84+23),"",OFFSET(Electric!$L75,0,-'Electric Calendarize'!$L84+'Electric Calendarize'!AO$4+1))</f>
        <v>1428</v>
      </c>
      <c r="AP84">
        <f ca="1">IF(OR($L84&gt;AP$4,AP$4&gt;$L84+23),"",OFFSET(Electric!$L75,0,-'Electric Calendarize'!$L84+'Electric Calendarize'!AP$4+1))</f>
        <v>1650</v>
      </c>
      <c r="AQ84">
        <f ca="1">IF(OR($L84&gt;AQ$4,AQ$4&gt;$L84+23),"",OFFSET(Electric!$L75,0,-'Electric Calendarize'!$L84+'Electric Calendarize'!AQ$4+1))</f>
        <v>1912</v>
      </c>
      <c r="AR84">
        <f ca="1">IF(OR($L84&gt;AR$4,AR$4&gt;$L84+23),"",OFFSET(Electric!$L75,0,-'Electric Calendarize'!$L84+'Electric Calendarize'!AR$4+1))</f>
        <v>1311</v>
      </c>
      <c r="AS84">
        <f ca="1">IF(OR($L84&gt;AS$4,AS$4&gt;$L84+23),"",OFFSET(Electric!$L75,0,-'Electric Calendarize'!$L84+'Electric Calendarize'!AS$4+1))</f>
        <v>796</v>
      </c>
      <c r="AT84">
        <f ca="1">IF(OR($L84&gt;AT$4,AT$4&gt;$L84+23),"",OFFSET(Electric!$L75,0,-'Electric Calendarize'!$L84+'Electric Calendarize'!AT$4+1))</f>
        <v>704</v>
      </c>
      <c r="AU84">
        <f ca="1">IF(OR($L84&gt;AU$4,AU$4&gt;$L84+23),"",OFFSET(Electric!$L75,0,-'Electric Calendarize'!$L84+'Electric Calendarize'!AU$4+1))</f>
        <v>946</v>
      </c>
      <c r="AV84" t="str">
        <f ca="1">IF(OR($L84&gt;AV$4,AV$4&gt;$L84+23),"",OFFSET(Electric!$L75,0,-'Electric Calendarize'!$L84+'Electric Calendarize'!AV$4+1))</f>
        <v/>
      </c>
      <c r="AW84" t="str">
        <f ca="1">IF(OR($L84&gt;AW$4,AW$4&gt;$L84+23),"",OFFSET(Electric!$L75,0,-'Electric Calendarize'!$L84+'Electric Calendarize'!AW$4+1))</f>
        <v/>
      </c>
      <c r="AX84" t="str">
        <f ca="1">IF(OR($L84&gt;AX$4,AX$4&gt;$L84+23),"",OFFSET(Electric!$L75,0,-'Electric Calendarize'!$L84+'Electric Calendarize'!AX$4+1))</f>
        <v/>
      </c>
      <c r="AY84" t="str">
        <f ca="1">IF(OR($L84&gt;AY$4,AY$4&gt;$L84+23),"",OFFSET(Electric!$L75,0,-'Electric Calendarize'!$L84+'Electric Calendarize'!AY$4+1))</f>
        <v/>
      </c>
      <c r="AZ84" t="str">
        <f ca="1">IF(OR($L84&gt;AZ$4,AZ$4&gt;$L84+23),"",OFFSET(Electric!$L75,0,-'Electric Calendarize'!$L84+'Electric Calendarize'!AZ$4+1))</f>
        <v/>
      </c>
      <c r="BA84" t="str">
        <f ca="1">IF(OR($L84&gt;BA$4,BA$4&gt;$L84+23),"",OFFSET(Electric!$L75,0,-'Electric Calendarize'!$L84+'Electric Calendarize'!BA$4+1))</f>
        <v/>
      </c>
      <c r="BB84" t="str">
        <f ca="1">IF(OR($L84&gt;BB$4,BB$4&gt;$L84+23),"",OFFSET(Electric!$L75,0,-'Electric Calendarize'!$L84+'Electric Calendarize'!BB$4+1))</f>
        <v/>
      </c>
      <c r="BC84" t="str">
        <f ca="1">IF(OR($L84&gt;BC$4,BC$4&gt;$L84+23),"",OFFSET(Electric!$L75,0,-'Electric Calendarize'!$L84+'Electric Calendarize'!BC$4+1))</f>
        <v/>
      </c>
      <c r="BD84" t="str">
        <f ca="1">IF(OR($L84&gt;BD$4,BD$4&gt;$L84+23),"",OFFSET(Electric!$L75,0,-'Electric Calendarize'!$L84+'Electric Calendarize'!BD$4+1))</f>
        <v/>
      </c>
      <c r="BE84" t="str">
        <f ca="1">IF(OR($L84&gt;BE$4,BE$4&gt;$L84+23),"",OFFSET(Electric!$L75,0,-'Electric Calendarize'!$L84+'Electric Calendarize'!BE$4+1))</f>
        <v/>
      </c>
      <c r="BF84" t="str">
        <f ca="1">IF(OR($L84&gt;BF$4,BF$4&gt;$L84+23),"",OFFSET(Electric!$L75,0,-'Electric Calendarize'!$L84+'Electric Calendarize'!BF$4+1))</f>
        <v/>
      </c>
      <c r="BG84" t="str">
        <f ca="1">IF(OR($L84&gt;BG$4,BG$4&gt;$L84+23),"",OFFSET(Electric!$L75,0,-'Electric Calendarize'!$L84+'Electric Calendarize'!BG$4+1))</f>
        <v/>
      </c>
      <c r="BJ84" s="10" t="s">
        <v>37</v>
      </c>
      <c r="BK84">
        <f t="shared" si="303"/>
        <v>1</v>
      </c>
      <c r="BL84">
        <f t="shared" si="209"/>
        <v>0</v>
      </c>
      <c r="BM84">
        <f t="shared" si="210"/>
        <v>0</v>
      </c>
      <c r="BN84">
        <f t="shared" si="211"/>
        <v>0</v>
      </c>
      <c r="BO84">
        <f t="shared" si="212"/>
        <v>0</v>
      </c>
      <c r="BP84">
        <f t="shared" si="213"/>
        <v>0</v>
      </c>
      <c r="BQ84">
        <f t="shared" si="214"/>
        <v>0</v>
      </c>
      <c r="BR84">
        <f t="shared" si="215"/>
        <v>1</v>
      </c>
      <c r="BS84">
        <f t="shared" si="216"/>
        <v>1</v>
      </c>
      <c r="BT84">
        <f t="shared" si="217"/>
        <v>1</v>
      </c>
      <c r="BU84">
        <f t="shared" si="218"/>
        <v>1</v>
      </c>
      <c r="BV84">
        <f t="shared" si="219"/>
        <v>1</v>
      </c>
      <c r="BW84">
        <f t="shared" si="220"/>
        <v>1</v>
      </c>
      <c r="BX84">
        <f t="shared" si="221"/>
        <v>0</v>
      </c>
      <c r="BY84">
        <f t="shared" si="222"/>
        <v>0</v>
      </c>
      <c r="BZ84">
        <f t="shared" si="223"/>
        <v>0</v>
      </c>
      <c r="CA84">
        <f t="shared" si="224"/>
        <v>0</v>
      </c>
      <c r="CB84">
        <f t="shared" si="225"/>
        <v>0</v>
      </c>
      <c r="CC84">
        <f t="shared" si="226"/>
        <v>0</v>
      </c>
      <c r="CD84">
        <f t="shared" si="227"/>
        <v>1</v>
      </c>
      <c r="CE84">
        <f t="shared" si="228"/>
        <v>1</v>
      </c>
      <c r="CF84">
        <f t="shared" si="229"/>
        <v>1</v>
      </c>
      <c r="CG84">
        <f t="shared" si="230"/>
        <v>1</v>
      </c>
      <c r="CH84">
        <f t="shared" si="231"/>
        <v>1</v>
      </c>
      <c r="CI84">
        <f t="shared" si="232"/>
        <v>1</v>
      </c>
      <c r="CJ84">
        <f t="shared" si="233"/>
        <v>0</v>
      </c>
      <c r="CK84">
        <f t="shared" si="234"/>
        <v>0</v>
      </c>
      <c r="CL84">
        <f t="shared" si="235"/>
        <v>0</v>
      </c>
      <c r="CM84">
        <f t="shared" si="236"/>
        <v>0</v>
      </c>
      <c r="CN84">
        <f t="shared" si="237"/>
        <v>0</v>
      </c>
      <c r="CO84">
        <f t="shared" si="238"/>
        <v>0</v>
      </c>
      <c r="CP84">
        <f t="shared" si="239"/>
        <v>1</v>
      </c>
      <c r="CQ84">
        <f t="shared" si="240"/>
        <v>1</v>
      </c>
      <c r="CR84">
        <f t="shared" si="241"/>
        <v>1</v>
      </c>
      <c r="CS84">
        <f t="shared" si="242"/>
        <v>1</v>
      </c>
      <c r="CT84">
        <f t="shared" si="243"/>
        <v>1</v>
      </c>
      <c r="CU84">
        <f t="shared" si="244"/>
        <v>1</v>
      </c>
      <c r="CV84">
        <f t="shared" si="245"/>
        <v>0</v>
      </c>
      <c r="CW84">
        <f t="shared" si="246"/>
        <v>0</v>
      </c>
      <c r="CX84">
        <f t="shared" si="247"/>
        <v>0</v>
      </c>
      <c r="CY84">
        <f t="shared" si="248"/>
        <v>0</v>
      </c>
      <c r="CZ84">
        <f t="shared" si="249"/>
        <v>0</v>
      </c>
      <c r="DA84">
        <f t="shared" si="250"/>
        <v>0</v>
      </c>
      <c r="DB84">
        <f t="shared" si="251"/>
        <v>1</v>
      </c>
      <c r="DC84">
        <f t="shared" si="252"/>
        <v>1</v>
      </c>
      <c r="DF84" s="10" t="s">
        <v>37</v>
      </c>
      <c r="DG84" t="str">
        <f t="shared" si="304"/>
        <v>2022_1</v>
      </c>
      <c r="DH84" t="str">
        <f t="shared" si="304"/>
        <v>2022_1</v>
      </c>
      <c r="DI84" t="str">
        <f t="shared" si="304"/>
        <v>2022_1</v>
      </c>
      <c r="DJ84" t="str">
        <f t="shared" si="304"/>
        <v>2022_1</v>
      </c>
      <c r="DK84" t="str">
        <f t="shared" si="304"/>
        <v>2022_1</v>
      </c>
      <c r="DL84" t="str">
        <f t="shared" si="304"/>
        <v>2022_1</v>
      </c>
      <c r="DM84" t="str">
        <f t="shared" si="304"/>
        <v>2022_1</v>
      </c>
      <c r="DN84" t="str">
        <f t="shared" si="304"/>
        <v>2022_1</v>
      </c>
      <c r="DO84" t="str">
        <f t="shared" si="304"/>
        <v>2022_1</v>
      </c>
      <c r="DP84" t="str">
        <f t="shared" si="304"/>
        <v>2022_1</v>
      </c>
      <c r="DQ84" t="str">
        <f t="shared" si="304"/>
        <v>2022_1</v>
      </c>
      <c r="DR84" t="str">
        <f t="shared" si="304"/>
        <v>2022_1</v>
      </c>
      <c r="DS84" t="str">
        <f t="shared" si="304"/>
        <v>2022_1</v>
      </c>
      <c r="DT84" t="str">
        <f t="shared" si="304"/>
        <v>2022_1</v>
      </c>
      <c r="DU84" t="str">
        <f t="shared" si="304"/>
        <v>2022_1</v>
      </c>
      <c r="DV84" t="str">
        <f t="shared" si="253"/>
        <v>2022_1</v>
      </c>
      <c r="DW84" t="str">
        <f t="shared" si="253"/>
        <v>2022_1</v>
      </c>
      <c r="DX84" t="str">
        <f t="shared" si="253"/>
        <v>2022_1</v>
      </c>
      <c r="DY84" t="str">
        <f t="shared" si="253"/>
        <v>2022_1</v>
      </c>
      <c r="DZ84" t="str">
        <f t="shared" si="253"/>
        <v>2022_1</v>
      </c>
      <c r="EA84" t="str">
        <f t="shared" si="253"/>
        <v>2022_1</v>
      </c>
      <c r="EB84" t="str">
        <f t="shared" si="253"/>
        <v>2022_1</v>
      </c>
      <c r="EC84" t="str">
        <f t="shared" si="253"/>
        <v>2022_1</v>
      </c>
      <c r="ED84" t="str">
        <f t="shared" si="253"/>
        <v>2022_1</v>
      </c>
      <c r="EE84" t="str">
        <f t="shared" si="253"/>
        <v>2022_1</v>
      </c>
      <c r="EF84" t="str">
        <f t="shared" si="253"/>
        <v>2022_1</v>
      </c>
      <c r="EG84" t="str">
        <f t="shared" si="253"/>
        <v>2022_1</v>
      </c>
      <c r="EH84" t="str">
        <f t="shared" si="253"/>
        <v>2022_1</v>
      </c>
      <c r="EI84" t="str">
        <f t="shared" si="253"/>
        <v>2022_1</v>
      </c>
      <c r="EJ84" t="str">
        <f t="shared" si="253"/>
        <v>2022_1</v>
      </c>
      <c r="EK84" t="str">
        <f t="shared" si="253"/>
        <v>2022_1</v>
      </c>
      <c r="EL84" t="str">
        <f t="shared" si="254"/>
        <v>2022_1</v>
      </c>
      <c r="EM84" t="str">
        <f t="shared" si="208"/>
        <v>2022_1</v>
      </c>
      <c r="EN84" t="str">
        <f t="shared" si="208"/>
        <v>2022_1</v>
      </c>
      <c r="EO84" t="str">
        <f t="shared" si="208"/>
        <v>2022_1</v>
      </c>
      <c r="EP84" t="str">
        <f t="shared" si="208"/>
        <v>2022_1</v>
      </c>
      <c r="EQ84" t="str">
        <f t="shared" si="208"/>
        <v>2022_1</v>
      </c>
      <c r="ER84" t="str">
        <f t="shared" si="208"/>
        <v>2022_1</v>
      </c>
      <c r="ES84" t="str">
        <f t="shared" si="208"/>
        <v>2022_1</v>
      </c>
      <c r="ET84" t="str">
        <f t="shared" si="208"/>
        <v>2022_1</v>
      </c>
      <c r="EU84" t="str">
        <f t="shared" si="208"/>
        <v>2022_1</v>
      </c>
      <c r="EV84" t="str">
        <f t="shared" si="208"/>
        <v>2022_1</v>
      </c>
      <c r="EW84" t="str">
        <f t="shared" si="208"/>
        <v>2022_1</v>
      </c>
      <c r="EX84" t="str">
        <f t="shared" si="208"/>
        <v>2022_1</v>
      </c>
      <c r="EY84" t="str">
        <f t="shared" si="208"/>
        <v>2022_1</v>
      </c>
      <c r="FB84" s="10" t="s">
        <v>37</v>
      </c>
      <c r="FC84">
        <f t="shared" si="305"/>
        <v>0</v>
      </c>
      <c r="FD84">
        <f t="shared" si="255"/>
        <v>0</v>
      </c>
      <c r="FE84">
        <f t="shared" si="256"/>
        <v>0</v>
      </c>
      <c r="FF84">
        <f t="shared" si="257"/>
        <v>0</v>
      </c>
      <c r="FG84">
        <f t="shared" si="258"/>
        <v>0</v>
      </c>
      <c r="FH84">
        <f t="shared" si="259"/>
        <v>0</v>
      </c>
      <c r="FI84">
        <f t="shared" si="260"/>
        <v>0</v>
      </c>
      <c r="FJ84">
        <f t="shared" si="261"/>
        <v>0</v>
      </c>
      <c r="FK84">
        <f t="shared" si="262"/>
        <v>0</v>
      </c>
      <c r="FL84">
        <f t="shared" si="263"/>
        <v>0</v>
      </c>
      <c r="FM84">
        <f t="shared" si="264"/>
        <v>0</v>
      </c>
      <c r="FN84">
        <f t="shared" si="265"/>
        <v>0</v>
      </c>
      <c r="FO84">
        <f t="shared" si="266"/>
        <v>0</v>
      </c>
      <c r="FP84">
        <f t="shared" si="267"/>
        <v>0</v>
      </c>
      <c r="FQ84">
        <f t="shared" si="268"/>
        <v>0</v>
      </c>
      <c r="FR84">
        <f t="shared" si="269"/>
        <v>0</v>
      </c>
      <c r="FS84">
        <f t="shared" si="270"/>
        <v>0</v>
      </c>
      <c r="FT84">
        <f t="shared" si="271"/>
        <v>0</v>
      </c>
      <c r="FU84">
        <f t="shared" si="272"/>
        <v>0</v>
      </c>
      <c r="FV84">
        <f t="shared" si="273"/>
        <v>0</v>
      </c>
      <c r="FW84">
        <f t="shared" si="274"/>
        <v>0</v>
      </c>
      <c r="FX84">
        <f t="shared" si="275"/>
        <v>1</v>
      </c>
      <c r="FY84">
        <f t="shared" si="276"/>
        <v>1</v>
      </c>
      <c r="FZ84">
        <f t="shared" si="277"/>
        <v>1</v>
      </c>
      <c r="GA84">
        <f t="shared" si="278"/>
        <v>1</v>
      </c>
      <c r="GB84">
        <f t="shared" si="279"/>
        <v>1</v>
      </c>
      <c r="GC84">
        <f t="shared" si="280"/>
        <v>1</v>
      </c>
      <c r="GD84">
        <f t="shared" si="281"/>
        <v>1</v>
      </c>
      <c r="GE84">
        <f t="shared" si="282"/>
        <v>1</v>
      </c>
      <c r="GF84">
        <f t="shared" si="283"/>
        <v>1</v>
      </c>
      <c r="GG84">
        <f t="shared" si="284"/>
        <v>1</v>
      </c>
      <c r="GH84">
        <f t="shared" si="285"/>
        <v>1</v>
      </c>
      <c r="GI84">
        <f t="shared" si="286"/>
        <v>1</v>
      </c>
      <c r="GJ84">
        <f t="shared" si="287"/>
        <v>1</v>
      </c>
      <c r="GK84">
        <f t="shared" si="288"/>
        <v>1</v>
      </c>
      <c r="GL84">
        <f t="shared" si="289"/>
        <v>1</v>
      </c>
      <c r="GM84">
        <f t="shared" si="290"/>
        <v>1</v>
      </c>
      <c r="GN84">
        <f t="shared" si="291"/>
        <v>1</v>
      </c>
      <c r="GO84">
        <f t="shared" si="292"/>
        <v>1</v>
      </c>
      <c r="GP84">
        <f t="shared" si="293"/>
        <v>1</v>
      </c>
      <c r="GQ84">
        <f t="shared" si="294"/>
        <v>1</v>
      </c>
      <c r="GR84">
        <f t="shared" si="295"/>
        <v>1</v>
      </c>
      <c r="GS84">
        <f t="shared" si="296"/>
        <v>1</v>
      </c>
      <c r="GT84">
        <f t="shared" si="297"/>
        <v>1</v>
      </c>
      <c r="GU84">
        <f t="shared" si="298"/>
        <v>1</v>
      </c>
      <c r="GX84" s="10"/>
    </row>
    <row r="85" spans="1:206" x14ac:dyDescent="0.3">
      <c r="A85" s="9" t="s">
        <v>41</v>
      </c>
      <c r="B85" s="80"/>
      <c r="C85" s="9">
        <v>3101519000</v>
      </c>
      <c r="D85" s="9" t="s">
        <v>413</v>
      </c>
      <c r="E85" s="9" t="s">
        <v>34</v>
      </c>
      <c r="F85" s="9" t="s">
        <v>35</v>
      </c>
      <c r="G85" s="9" t="s">
        <v>116</v>
      </c>
      <c r="H85" s="10">
        <v>44600</v>
      </c>
      <c r="I85" s="9">
        <f t="shared" si="299"/>
        <v>2022</v>
      </c>
      <c r="J85" s="9">
        <f t="shared" si="300"/>
        <v>2</v>
      </c>
      <c r="K85" s="9" t="str">
        <f t="shared" si="301"/>
        <v>2022_2</v>
      </c>
      <c r="L85">
        <f>MAX(0,VLOOKUP($K85,lookups!$A$1:$B$45,2,0)-12)</f>
        <v>10</v>
      </c>
      <c r="M85" s="40">
        <f t="shared" si="302"/>
        <v>44593</v>
      </c>
      <c r="N85" s="10" t="s">
        <v>37</v>
      </c>
      <c r="O85" t="str">
        <f ca="1">IF(OR($L85&gt;O$4,O$4&gt;$L85+23),"",OFFSET(Electric!$L76,0,-'Electric Calendarize'!$L85+'Electric Calendarize'!O$4+1))</f>
        <v/>
      </c>
      <c r="P85" t="str">
        <f ca="1">IF(OR($L85&gt;P$4,P$4&gt;$L85+23),"",OFFSET(Electric!$L76,0,-'Electric Calendarize'!$L85+'Electric Calendarize'!P$4+1))</f>
        <v/>
      </c>
      <c r="Q85" t="str">
        <f ca="1">IF(OR($L85&gt;Q$4,Q$4&gt;$L85+23),"",OFFSET(Electric!$L76,0,-'Electric Calendarize'!$L85+'Electric Calendarize'!Q$4+1))</f>
        <v/>
      </c>
      <c r="R85" t="str">
        <f ca="1">IF(OR($L85&gt;R$4,R$4&gt;$L85+23),"",OFFSET(Electric!$L76,0,-'Electric Calendarize'!$L85+'Electric Calendarize'!R$4+1))</f>
        <v/>
      </c>
      <c r="S85" t="str">
        <f ca="1">IF(OR($L85&gt;S$4,S$4&gt;$L85+23),"",OFFSET(Electric!$L76,0,-'Electric Calendarize'!$L85+'Electric Calendarize'!S$4+1))</f>
        <v/>
      </c>
      <c r="T85" t="str">
        <f ca="1">IF(OR($L85&gt;T$4,T$4&gt;$L85+23),"",OFFSET(Electric!$L76,0,-'Electric Calendarize'!$L85+'Electric Calendarize'!T$4+1))</f>
        <v/>
      </c>
      <c r="U85" t="str">
        <f ca="1">IF(OR($L85&gt;U$4,U$4&gt;$L85+23),"",OFFSET(Electric!$L76,0,-'Electric Calendarize'!$L85+'Electric Calendarize'!U$4+1))</f>
        <v/>
      </c>
      <c r="V85" t="str">
        <f ca="1">IF(OR($L85&gt;V$4,V$4&gt;$L85+23),"",OFFSET(Electric!$L76,0,-'Electric Calendarize'!$L85+'Electric Calendarize'!V$4+1))</f>
        <v/>
      </c>
      <c r="W85" t="str">
        <f ca="1">IF(OR($L85&gt;W$4,W$4&gt;$L85+23),"",OFFSET(Electric!$L76,0,-'Electric Calendarize'!$L85+'Electric Calendarize'!W$4+1))</f>
        <v/>
      </c>
      <c r="X85" t="str">
        <f ca="1">IF(OR($L85&gt;X$4,X$4&gt;$L85+23),"",OFFSET(Electric!$L76,0,-'Electric Calendarize'!$L85+'Electric Calendarize'!X$4+1))</f>
        <v/>
      </c>
      <c r="Y85">
        <f ca="1">IF(OR($L85&gt;Y$4,Y$4&gt;$L85+23),"",OFFSET(Electric!$L76,0,-'Electric Calendarize'!$L85+'Electric Calendarize'!Y$4+1))</f>
        <v>428</v>
      </c>
      <c r="Z85">
        <f ca="1">IF(OR($L85&gt;Z$4,Z$4&gt;$L85+23),"",OFFSET(Electric!$L76,0,-'Electric Calendarize'!$L85+'Electric Calendarize'!Z$4+1))</f>
        <v>355</v>
      </c>
      <c r="AA85">
        <f ca="1">IF(OR($L85&gt;AA$4,AA$4&gt;$L85+23),"",OFFSET(Electric!$L76,0,-'Electric Calendarize'!$L85+'Electric Calendarize'!AA$4+1))</f>
        <v>327</v>
      </c>
      <c r="AB85">
        <f ca="1">IF(OR($L85&gt;AB$4,AB$4&gt;$L85+23),"",OFFSET(Electric!$L76,0,-'Electric Calendarize'!$L85+'Electric Calendarize'!AB$4+1))</f>
        <v>361</v>
      </c>
      <c r="AC85">
        <f ca="1">IF(OR($L85&gt;AC$4,AC$4&gt;$L85+23),"",OFFSET(Electric!$L76,0,-'Electric Calendarize'!$L85+'Electric Calendarize'!AC$4+1))</f>
        <v>480</v>
      </c>
      <c r="AD85">
        <f ca="1">IF(OR($L85&gt;AD$4,AD$4&gt;$L85+23),"",OFFSET(Electric!$L76,0,-'Electric Calendarize'!$L85+'Electric Calendarize'!AD$4+1))</f>
        <v>786</v>
      </c>
      <c r="AE85">
        <f ca="1">IF(OR($L85&gt;AE$4,AE$4&gt;$L85+23),"",OFFSET(Electric!$L76,0,-'Electric Calendarize'!$L85+'Electric Calendarize'!AE$4+1))</f>
        <v>665</v>
      </c>
      <c r="AF85">
        <f ca="1">IF(OR($L85&gt;AF$4,AF$4&gt;$L85+23),"",OFFSET(Electric!$L76,0,-'Electric Calendarize'!$L85+'Electric Calendarize'!AF$4+1))</f>
        <v>644</v>
      </c>
      <c r="AG85">
        <f ca="1">IF(OR($L85&gt;AG$4,AG$4&gt;$L85+23),"",OFFSET(Electric!$L76,0,-'Electric Calendarize'!$L85+'Electric Calendarize'!AG$4+1))</f>
        <v>318</v>
      </c>
      <c r="AH85">
        <f ca="1">IF(OR($L85&gt;AH$4,AH$4&gt;$L85+23),"",OFFSET(Electric!$L76,0,-'Electric Calendarize'!$L85+'Electric Calendarize'!AH$4+1))</f>
        <v>320</v>
      </c>
      <c r="AI85">
        <f ca="1">IF(OR($L85&gt;AI$4,AI$4&gt;$L85+23),"",OFFSET(Electric!$L76,0,-'Electric Calendarize'!$L85+'Electric Calendarize'!AI$4+1))</f>
        <v>343</v>
      </c>
      <c r="AJ85">
        <f ca="1">IF(OR($L85&gt;AJ$4,AJ$4&gt;$L85+23),"",OFFSET(Electric!$L76,0,-'Electric Calendarize'!$L85+'Electric Calendarize'!AJ$4+1))</f>
        <v>361</v>
      </c>
      <c r="AK85">
        <f ca="1">IF(OR($L85&gt;AK$4,AK$4&gt;$L85+23),"",OFFSET(Electric!$L76,0,-'Electric Calendarize'!$L85+'Electric Calendarize'!AK$4+1))</f>
        <v>270</v>
      </c>
      <c r="AL85">
        <f ca="1">IF(OR($L85&gt;AL$4,AL$4&gt;$L85+23),"",OFFSET(Electric!$L76,0,-'Electric Calendarize'!$L85+'Electric Calendarize'!AL$4+1))</f>
        <v>355</v>
      </c>
      <c r="AM85">
        <f ca="1">IF(OR($L85&gt;AM$4,AM$4&gt;$L85+23),"",OFFSET(Electric!$L76,0,-'Electric Calendarize'!$L85+'Electric Calendarize'!AM$4+1))</f>
        <v>321</v>
      </c>
      <c r="AN85">
        <f ca="1">IF(OR($L85&gt;AN$4,AN$4&gt;$L85+23),"",OFFSET(Electric!$L76,0,-'Electric Calendarize'!$L85+'Electric Calendarize'!AN$4+1))</f>
        <v>334</v>
      </c>
      <c r="AO85">
        <f ca="1">IF(OR($L85&gt;AO$4,AO$4&gt;$L85+23),"",OFFSET(Electric!$L76,0,-'Electric Calendarize'!$L85+'Electric Calendarize'!AO$4+1))</f>
        <v>323</v>
      </c>
      <c r="AP85">
        <f ca="1">IF(OR($L85&gt;AP$4,AP$4&gt;$L85+23),"",OFFSET(Electric!$L76,0,-'Electric Calendarize'!$L85+'Electric Calendarize'!AP$4+1))</f>
        <v>414</v>
      </c>
      <c r="AQ85">
        <f ca="1">IF(OR($L85&gt;AQ$4,AQ$4&gt;$L85+23),"",OFFSET(Electric!$L76,0,-'Electric Calendarize'!$L85+'Electric Calendarize'!AQ$4+1))</f>
        <v>484</v>
      </c>
      <c r="AR85">
        <f ca="1">IF(OR($L85&gt;AR$4,AR$4&gt;$L85+23),"",OFFSET(Electric!$L76,0,-'Electric Calendarize'!$L85+'Electric Calendarize'!AR$4+1))</f>
        <v>430</v>
      </c>
      <c r="AS85">
        <f ca="1">IF(OR($L85&gt;AS$4,AS$4&gt;$L85+23),"",OFFSET(Electric!$L76,0,-'Electric Calendarize'!$L85+'Electric Calendarize'!AS$4+1))</f>
        <v>378</v>
      </c>
      <c r="AT85">
        <f ca="1">IF(OR($L85&gt;AT$4,AT$4&gt;$L85+23),"",OFFSET(Electric!$L76,0,-'Electric Calendarize'!$L85+'Electric Calendarize'!AT$4+1))</f>
        <v>291</v>
      </c>
      <c r="AU85">
        <f ca="1">IF(OR($L85&gt;AU$4,AU$4&gt;$L85+23),"",OFFSET(Electric!$L76,0,-'Electric Calendarize'!$L85+'Electric Calendarize'!AU$4+1))</f>
        <v>324</v>
      </c>
      <c r="AV85">
        <f ca="1">IF(OR($L85&gt;AV$4,AV$4&gt;$L85+23),"",OFFSET(Electric!$L76,0,-'Electric Calendarize'!$L85+'Electric Calendarize'!AV$4+1))</f>
        <v>390</v>
      </c>
      <c r="AW85" t="str">
        <f ca="1">IF(OR($L85&gt;AW$4,AW$4&gt;$L85+23),"",OFFSET(Electric!$L76,0,-'Electric Calendarize'!$L85+'Electric Calendarize'!AW$4+1))</f>
        <v/>
      </c>
      <c r="AX85" t="str">
        <f ca="1">IF(OR($L85&gt;AX$4,AX$4&gt;$L85+23),"",OFFSET(Electric!$L76,0,-'Electric Calendarize'!$L85+'Electric Calendarize'!AX$4+1))</f>
        <v/>
      </c>
      <c r="AY85" t="str">
        <f ca="1">IF(OR($L85&gt;AY$4,AY$4&gt;$L85+23),"",OFFSET(Electric!$L76,0,-'Electric Calendarize'!$L85+'Electric Calendarize'!AY$4+1))</f>
        <v/>
      </c>
      <c r="AZ85" t="str">
        <f ca="1">IF(OR($L85&gt;AZ$4,AZ$4&gt;$L85+23),"",OFFSET(Electric!$L76,0,-'Electric Calendarize'!$L85+'Electric Calendarize'!AZ$4+1))</f>
        <v/>
      </c>
      <c r="BA85" t="str">
        <f ca="1">IF(OR($L85&gt;BA$4,BA$4&gt;$L85+23),"",OFFSET(Electric!$L76,0,-'Electric Calendarize'!$L85+'Electric Calendarize'!BA$4+1))</f>
        <v/>
      </c>
      <c r="BB85" t="str">
        <f ca="1">IF(OR($L85&gt;BB$4,BB$4&gt;$L85+23),"",OFFSET(Electric!$L76,0,-'Electric Calendarize'!$L85+'Electric Calendarize'!BB$4+1))</f>
        <v/>
      </c>
      <c r="BC85" t="str">
        <f ca="1">IF(OR($L85&gt;BC$4,BC$4&gt;$L85+23),"",OFFSET(Electric!$L76,0,-'Electric Calendarize'!$L85+'Electric Calendarize'!BC$4+1))</f>
        <v/>
      </c>
      <c r="BD85" t="str">
        <f ca="1">IF(OR($L85&gt;BD$4,BD$4&gt;$L85+23),"",OFFSET(Electric!$L76,0,-'Electric Calendarize'!$L85+'Electric Calendarize'!BD$4+1))</f>
        <v/>
      </c>
      <c r="BE85" t="str">
        <f ca="1">IF(OR($L85&gt;BE$4,BE$4&gt;$L85+23),"",OFFSET(Electric!$L76,0,-'Electric Calendarize'!$L85+'Electric Calendarize'!BE$4+1))</f>
        <v/>
      </c>
      <c r="BF85" t="str">
        <f ca="1">IF(OR($L85&gt;BF$4,BF$4&gt;$L85+23),"",OFFSET(Electric!$L76,0,-'Electric Calendarize'!$L85+'Electric Calendarize'!BF$4+1))</f>
        <v/>
      </c>
      <c r="BG85" t="str">
        <f ca="1">IF(OR($L85&gt;BG$4,BG$4&gt;$L85+23),"",OFFSET(Electric!$L76,0,-'Electric Calendarize'!$L85+'Electric Calendarize'!BG$4+1))</f>
        <v/>
      </c>
      <c r="BJ85" s="10" t="s">
        <v>37</v>
      </c>
      <c r="BK85">
        <f t="shared" si="303"/>
        <v>1</v>
      </c>
      <c r="BL85">
        <f t="shared" si="209"/>
        <v>0</v>
      </c>
      <c r="BM85">
        <f t="shared" si="210"/>
        <v>0</v>
      </c>
      <c r="BN85">
        <f t="shared" si="211"/>
        <v>0</v>
      </c>
      <c r="BO85">
        <f t="shared" si="212"/>
        <v>0</v>
      </c>
      <c r="BP85">
        <f t="shared" si="213"/>
        <v>0</v>
      </c>
      <c r="BQ85">
        <f t="shared" si="214"/>
        <v>0</v>
      </c>
      <c r="BR85">
        <f t="shared" si="215"/>
        <v>1</v>
      </c>
      <c r="BS85">
        <f t="shared" si="216"/>
        <v>1</v>
      </c>
      <c r="BT85">
        <f t="shared" si="217"/>
        <v>1</v>
      </c>
      <c r="BU85">
        <f t="shared" si="218"/>
        <v>1</v>
      </c>
      <c r="BV85">
        <f t="shared" si="219"/>
        <v>1</v>
      </c>
      <c r="BW85">
        <f t="shared" si="220"/>
        <v>1</v>
      </c>
      <c r="BX85">
        <f t="shared" si="221"/>
        <v>0</v>
      </c>
      <c r="BY85">
        <f t="shared" si="222"/>
        <v>0</v>
      </c>
      <c r="BZ85">
        <f t="shared" si="223"/>
        <v>0</v>
      </c>
      <c r="CA85">
        <f t="shared" si="224"/>
        <v>0</v>
      </c>
      <c r="CB85">
        <f t="shared" si="225"/>
        <v>0</v>
      </c>
      <c r="CC85">
        <f t="shared" si="226"/>
        <v>0</v>
      </c>
      <c r="CD85">
        <f t="shared" si="227"/>
        <v>1</v>
      </c>
      <c r="CE85">
        <f t="shared" si="228"/>
        <v>1</v>
      </c>
      <c r="CF85">
        <f t="shared" si="229"/>
        <v>1</v>
      </c>
      <c r="CG85">
        <f t="shared" si="230"/>
        <v>1</v>
      </c>
      <c r="CH85">
        <f t="shared" si="231"/>
        <v>1</v>
      </c>
      <c r="CI85">
        <f t="shared" si="232"/>
        <v>1</v>
      </c>
      <c r="CJ85">
        <f t="shared" si="233"/>
        <v>0</v>
      </c>
      <c r="CK85">
        <f t="shared" si="234"/>
        <v>0</v>
      </c>
      <c r="CL85">
        <f t="shared" si="235"/>
        <v>0</v>
      </c>
      <c r="CM85">
        <f t="shared" si="236"/>
        <v>0</v>
      </c>
      <c r="CN85">
        <f t="shared" si="237"/>
        <v>0</v>
      </c>
      <c r="CO85">
        <f t="shared" si="238"/>
        <v>0</v>
      </c>
      <c r="CP85">
        <f t="shared" si="239"/>
        <v>1</v>
      </c>
      <c r="CQ85">
        <f t="shared" si="240"/>
        <v>1</v>
      </c>
      <c r="CR85">
        <f t="shared" si="241"/>
        <v>1</v>
      </c>
      <c r="CS85">
        <f t="shared" si="242"/>
        <v>1</v>
      </c>
      <c r="CT85">
        <f t="shared" si="243"/>
        <v>1</v>
      </c>
      <c r="CU85">
        <f t="shared" si="244"/>
        <v>1</v>
      </c>
      <c r="CV85">
        <f t="shared" si="245"/>
        <v>0</v>
      </c>
      <c r="CW85">
        <f t="shared" si="246"/>
        <v>0</v>
      </c>
      <c r="CX85">
        <f t="shared" si="247"/>
        <v>0</v>
      </c>
      <c r="CY85">
        <f t="shared" si="248"/>
        <v>0</v>
      </c>
      <c r="CZ85">
        <f t="shared" si="249"/>
        <v>0</v>
      </c>
      <c r="DA85">
        <f t="shared" si="250"/>
        <v>0</v>
      </c>
      <c r="DB85">
        <f t="shared" si="251"/>
        <v>1</v>
      </c>
      <c r="DC85">
        <f t="shared" si="252"/>
        <v>1</v>
      </c>
      <c r="DF85" s="10" t="s">
        <v>37</v>
      </c>
      <c r="DG85" t="str">
        <f t="shared" si="304"/>
        <v>2022_2</v>
      </c>
      <c r="DH85" t="str">
        <f t="shared" si="304"/>
        <v>2022_2</v>
      </c>
      <c r="DI85" t="str">
        <f t="shared" si="304"/>
        <v>2022_2</v>
      </c>
      <c r="DJ85" t="str">
        <f t="shared" si="304"/>
        <v>2022_2</v>
      </c>
      <c r="DK85" t="str">
        <f t="shared" si="304"/>
        <v>2022_2</v>
      </c>
      <c r="DL85" t="str">
        <f t="shared" si="304"/>
        <v>2022_2</v>
      </c>
      <c r="DM85" t="str">
        <f t="shared" si="304"/>
        <v>2022_2</v>
      </c>
      <c r="DN85" t="str">
        <f t="shared" si="304"/>
        <v>2022_2</v>
      </c>
      <c r="DO85" t="str">
        <f t="shared" si="304"/>
        <v>2022_2</v>
      </c>
      <c r="DP85" t="str">
        <f t="shared" si="304"/>
        <v>2022_2</v>
      </c>
      <c r="DQ85" t="str">
        <f t="shared" si="304"/>
        <v>2022_2</v>
      </c>
      <c r="DR85" t="str">
        <f t="shared" si="304"/>
        <v>2022_2</v>
      </c>
      <c r="DS85" t="str">
        <f t="shared" si="304"/>
        <v>2022_2</v>
      </c>
      <c r="DT85" t="str">
        <f t="shared" si="304"/>
        <v>2022_2</v>
      </c>
      <c r="DU85" t="str">
        <f t="shared" si="304"/>
        <v>2022_2</v>
      </c>
      <c r="DV85" t="str">
        <f t="shared" si="253"/>
        <v>2022_2</v>
      </c>
      <c r="DW85" t="str">
        <f t="shared" si="253"/>
        <v>2022_2</v>
      </c>
      <c r="DX85" t="str">
        <f t="shared" si="253"/>
        <v>2022_2</v>
      </c>
      <c r="DY85" t="str">
        <f t="shared" si="253"/>
        <v>2022_2</v>
      </c>
      <c r="DZ85" t="str">
        <f t="shared" si="253"/>
        <v>2022_2</v>
      </c>
      <c r="EA85" t="str">
        <f t="shared" si="253"/>
        <v>2022_2</v>
      </c>
      <c r="EB85" t="str">
        <f t="shared" si="253"/>
        <v>2022_2</v>
      </c>
      <c r="EC85" t="str">
        <f t="shared" si="253"/>
        <v>2022_2</v>
      </c>
      <c r="ED85" t="str">
        <f t="shared" si="253"/>
        <v>2022_2</v>
      </c>
      <c r="EE85" t="str">
        <f t="shared" si="253"/>
        <v>2022_2</v>
      </c>
      <c r="EF85" t="str">
        <f t="shared" si="253"/>
        <v>2022_2</v>
      </c>
      <c r="EG85" t="str">
        <f t="shared" si="253"/>
        <v>2022_2</v>
      </c>
      <c r="EH85" t="str">
        <f t="shared" si="253"/>
        <v>2022_2</v>
      </c>
      <c r="EI85" t="str">
        <f t="shared" si="253"/>
        <v>2022_2</v>
      </c>
      <c r="EJ85" t="str">
        <f t="shared" si="253"/>
        <v>2022_2</v>
      </c>
      <c r="EK85" t="str">
        <f t="shared" si="253"/>
        <v>2022_2</v>
      </c>
      <c r="EL85" t="str">
        <f t="shared" si="254"/>
        <v>2022_2</v>
      </c>
      <c r="EM85" t="str">
        <f t="shared" si="208"/>
        <v>2022_2</v>
      </c>
      <c r="EN85" t="str">
        <f t="shared" si="208"/>
        <v>2022_2</v>
      </c>
      <c r="EO85" t="str">
        <f t="shared" si="208"/>
        <v>2022_2</v>
      </c>
      <c r="EP85" t="str">
        <f t="shared" si="208"/>
        <v>2022_2</v>
      </c>
      <c r="EQ85" t="str">
        <f t="shared" si="208"/>
        <v>2022_2</v>
      </c>
      <c r="ER85" t="str">
        <f t="shared" si="208"/>
        <v>2022_2</v>
      </c>
      <c r="ES85" t="str">
        <f t="shared" si="208"/>
        <v>2022_2</v>
      </c>
      <c r="ET85" t="str">
        <f t="shared" si="208"/>
        <v>2022_2</v>
      </c>
      <c r="EU85" t="str">
        <f t="shared" si="208"/>
        <v>2022_2</v>
      </c>
      <c r="EV85" t="str">
        <f t="shared" si="208"/>
        <v>2022_2</v>
      </c>
      <c r="EW85" t="str">
        <f t="shared" si="208"/>
        <v>2022_2</v>
      </c>
      <c r="EX85" t="str">
        <f t="shared" si="208"/>
        <v>2022_2</v>
      </c>
      <c r="EY85" t="str">
        <f t="shared" si="208"/>
        <v>2022_2</v>
      </c>
      <c r="FB85" s="10" t="s">
        <v>37</v>
      </c>
      <c r="FC85">
        <f t="shared" si="305"/>
        <v>0</v>
      </c>
      <c r="FD85">
        <f t="shared" si="255"/>
        <v>0</v>
      </c>
      <c r="FE85">
        <f t="shared" si="256"/>
        <v>0</v>
      </c>
      <c r="FF85">
        <f t="shared" si="257"/>
        <v>0</v>
      </c>
      <c r="FG85">
        <f t="shared" si="258"/>
        <v>0</v>
      </c>
      <c r="FH85">
        <f t="shared" si="259"/>
        <v>0</v>
      </c>
      <c r="FI85">
        <f t="shared" si="260"/>
        <v>0</v>
      </c>
      <c r="FJ85">
        <f t="shared" si="261"/>
        <v>0</v>
      </c>
      <c r="FK85">
        <f t="shared" si="262"/>
        <v>0</v>
      </c>
      <c r="FL85">
        <f t="shared" si="263"/>
        <v>0</v>
      </c>
      <c r="FM85">
        <f t="shared" si="264"/>
        <v>0</v>
      </c>
      <c r="FN85">
        <f t="shared" si="265"/>
        <v>0</v>
      </c>
      <c r="FO85">
        <f t="shared" si="266"/>
        <v>0</v>
      </c>
      <c r="FP85">
        <f t="shared" si="267"/>
        <v>0</v>
      </c>
      <c r="FQ85">
        <f t="shared" si="268"/>
        <v>0</v>
      </c>
      <c r="FR85">
        <f t="shared" si="269"/>
        <v>0</v>
      </c>
      <c r="FS85">
        <f t="shared" si="270"/>
        <v>0</v>
      </c>
      <c r="FT85">
        <f t="shared" si="271"/>
        <v>0</v>
      </c>
      <c r="FU85">
        <f t="shared" si="272"/>
        <v>0</v>
      </c>
      <c r="FV85">
        <f t="shared" si="273"/>
        <v>0</v>
      </c>
      <c r="FW85">
        <f t="shared" si="274"/>
        <v>0</v>
      </c>
      <c r="FX85">
        <f t="shared" si="275"/>
        <v>0</v>
      </c>
      <c r="FY85">
        <f t="shared" si="276"/>
        <v>1</v>
      </c>
      <c r="FZ85">
        <f t="shared" si="277"/>
        <v>1</v>
      </c>
      <c r="GA85">
        <f t="shared" si="278"/>
        <v>1</v>
      </c>
      <c r="GB85">
        <f t="shared" si="279"/>
        <v>1</v>
      </c>
      <c r="GC85">
        <f t="shared" si="280"/>
        <v>1</v>
      </c>
      <c r="GD85">
        <f t="shared" si="281"/>
        <v>1</v>
      </c>
      <c r="GE85">
        <f t="shared" si="282"/>
        <v>1</v>
      </c>
      <c r="GF85">
        <f t="shared" si="283"/>
        <v>1</v>
      </c>
      <c r="GG85">
        <f t="shared" si="284"/>
        <v>1</v>
      </c>
      <c r="GH85">
        <f t="shared" si="285"/>
        <v>1</v>
      </c>
      <c r="GI85">
        <f t="shared" si="286"/>
        <v>1</v>
      </c>
      <c r="GJ85">
        <f t="shared" si="287"/>
        <v>1</v>
      </c>
      <c r="GK85">
        <f t="shared" si="288"/>
        <v>1</v>
      </c>
      <c r="GL85">
        <f t="shared" si="289"/>
        <v>1</v>
      </c>
      <c r="GM85">
        <f t="shared" si="290"/>
        <v>1</v>
      </c>
      <c r="GN85">
        <f t="shared" si="291"/>
        <v>1</v>
      </c>
      <c r="GO85">
        <f t="shared" si="292"/>
        <v>1</v>
      </c>
      <c r="GP85">
        <f t="shared" si="293"/>
        <v>1</v>
      </c>
      <c r="GQ85">
        <f t="shared" si="294"/>
        <v>1</v>
      </c>
      <c r="GR85">
        <f t="shared" si="295"/>
        <v>1</v>
      </c>
      <c r="GS85">
        <f t="shared" si="296"/>
        <v>1</v>
      </c>
      <c r="GT85">
        <f t="shared" si="297"/>
        <v>1</v>
      </c>
      <c r="GU85">
        <f t="shared" si="298"/>
        <v>1</v>
      </c>
      <c r="GX85" s="10"/>
    </row>
    <row r="86" spans="1:206" x14ac:dyDescent="0.3">
      <c r="A86" s="24" t="s">
        <v>117</v>
      </c>
      <c r="B86" s="80"/>
      <c r="C86" s="9">
        <v>3111836001</v>
      </c>
      <c r="D86" s="9" t="s">
        <v>414</v>
      </c>
      <c r="E86" s="9" t="s">
        <v>100</v>
      </c>
      <c r="F86" s="9" t="s">
        <v>35</v>
      </c>
      <c r="G86" s="9" t="s">
        <v>118</v>
      </c>
      <c r="H86" s="10">
        <v>44614</v>
      </c>
      <c r="I86" s="9">
        <f t="shared" si="299"/>
        <v>2022</v>
      </c>
      <c r="J86" s="9">
        <f t="shared" si="300"/>
        <v>2</v>
      </c>
      <c r="K86" s="9" t="str">
        <f t="shared" si="301"/>
        <v>2022_2</v>
      </c>
      <c r="L86">
        <f>MAX(0,VLOOKUP($K86,lookups!$A$1:$B$45,2,0)-12)</f>
        <v>10</v>
      </c>
      <c r="M86" s="40">
        <f t="shared" si="302"/>
        <v>44593</v>
      </c>
      <c r="N86" s="10" t="s">
        <v>37</v>
      </c>
      <c r="O86" t="str">
        <f ca="1">IF(OR($L86&gt;O$4,O$4&gt;$L86+23),"",OFFSET(Electric!$L77,0,-'Electric Calendarize'!$L86+'Electric Calendarize'!O$4+1))</f>
        <v/>
      </c>
      <c r="P86" t="str">
        <f ca="1">IF(OR($L86&gt;P$4,P$4&gt;$L86+23),"",OFFSET(Electric!$L77,0,-'Electric Calendarize'!$L86+'Electric Calendarize'!P$4+1))</f>
        <v/>
      </c>
      <c r="Q86" t="str">
        <f ca="1">IF(OR($L86&gt;Q$4,Q$4&gt;$L86+23),"",OFFSET(Electric!$L77,0,-'Electric Calendarize'!$L86+'Electric Calendarize'!Q$4+1))</f>
        <v/>
      </c>
      <c r="R86" t="str">
        <f ca="1">IF(OR($L86&gt;R$4,R$4&gt;$L86+23),"",OFFSET(Electric!$L77,0,-'Electric Calendarize'!$L86+'Electric Calendarize'!R$4+1))</f>
        <v/>
      </c>
      <c r="S86" t="str">
        <f ca="1">IF(OR($L86&gt;S$4,S$4&gt;$L86+23),"",OFFSET(Electric!$L77,0,-'Electric Calendarize'!$L86+'Electric Calendarize'!S$4+1))</f>
        <v/>
      </c>
      <c r="T86" t="str">
        <f ca="1">IF(OR($L86&gt;T$4,T$4&gt;$L86+23),"",OFFSET(Electric!$L77,0,-'Electric Calendarize'!$L86+'Electric Calendarize'!T$4+1))</f>
        <v/>
      </c>
      <c r="U86" t="str">
        <f ca="1">IF(OR($L86&gt;U$4,U$4&gt;$L86+23),"",OFFSET(Electric!$L77,0,-'Electric Calendarize'!$L86+'Electric Calendarize'!U$4+1))</f>
        <v/>
      </c>
      <c r="V86" t="str">
        <f ca="1">IF(OR($L86&gt;V$4,V$4&gt;$L86+23),"",OFFSET(Electric!$L77,0,-'Electric Calendarize'!$L86+'Electric Calendarize'!V$4+1))</f>
        <v/>
      </c>
      <c r="W86" t="str">
        <f ca="1">IF(OR($L86&gt;W$4,W$4&gt;$L86+23),"",OFFSET(Electric!$L77,0,-'Electric Calendarize'!$L86+'Electric Calendarize'!W$4+1))</f>
        <v/>
      </c>
      <c r="X86" t="str">
        <f ca="1">IF(OR($L86&gt;X$4,X$4&gt;$L86+23),"",OFFSET(Electric!$L77,0,-'Electric Calendarize'!$L86+'Electric Calendarize'!X$4+1))</f>
        <v/>
      </c>
      <c r="Y86">
        <f ca="1">IF(OR($L86&gt;Y$4,Y$4&gt;$L86+23),"",OFFSET(Electric!$L77,0,-'Electric Calendarize'!$L86+'Electric Calendarize'!Y$4+1))</f>
        <v>1978</v>
      </c>
      <c r="Z86">
        <f ca="1">IF(OR($L86&gt;Z$4,Z$4&gt;$L86+23),"",OFFSET(Electric!$L77,0,-'Electric Calendarize'!$L86+'Electric Calendarize'!Z$4+1))</f>
        <v>1276</v>
      </c>
      <c r="AA86">
        <f ca="1">IF(OR($L86&gt;AA$4,AA$4&gt;$L86+23),"",OFFSET(Electric!$L77,0,-'Electric Calendarize'!$L86+'Electric Calendarize'!AA$4+1))</f>
        <v>890</v>
      </c>
      <c r="AB86">
        <f ca="1">IF(OR($L86&gt;AB$4,AB$4&gt;$L86+23),"",OFFSET(Electric!$L77,0,-'Electric Calendarize'!$L86+'Electric Calendarize'!AB$4+1))</f>
        <v>772</v>
      </c>
      <c r="AC86">
        <f ca="1">IF(OR($L86&gt;AC$4,AC$4&gt;$L86+23),"",OFFSET(Electric!$L77,0,-'Electric Calendarize'!$L86+'Electric Calendarize'!AC$4+1))</f>
        <v>1098</v>
      </c>
      <c r="AD86">
        <f ca="1">IF(OR($L86&gt;AD$4,AD$4&gt;$L86+23),"",OFFSET(Electric!$L77,0,-'Electric Calendarize'!$L86+'Electric Calendarize'!AD$4+1))</f>
        <v>1366</v>
      </c>
      <c r="AE86">
        <f ca="1">IF(OR($L86&gt;AE$4,AE$4&gt;$L86+23),"",OFFSET(Electric!$L77,0,-'Electric Calendarize'!$L86+'Electric Calendarize'!AE$4+1))</f>
        <v>1274</v>
      </c>
      <c r="AF86">
        <f ca="1">IF(OR($L86&gt;AF$4,AF$4&gt;$L86+23),"",OFFSET(Electric!$L77,0,-'Electric Calendarize'!$L86+'Electric Calendarize'!AF$4+1))</f>
        <v>1032</v>
      </c>
      <c r="AG86">
        <f ca="1">IF(OR($L86&gt;AG$4,AG$4&gt;$L86+23),"",OFFSET(Electric!$L77,0,-'Electric Calendarize'!$L86+'Electric Calendarize'!AG$4+1))</f>
        <v>1036</v>
      </c>
      <c r="AH86">
        <f ca="1">IF(OR($L86&gt;AH$4,AH$4&gt;$L86+23),"",OFFSET(Electric!$L77,0,-'Electric Calendarize'!$L86+'Electric Calendarize'!AH$4+1))</f>
        <v>1530</v>
      </c>
      <c r="AI86">
        <f ca="1">IF(OR($L86&gt;AI$4,AI$4&gt;$L86+23),"",OFFSET(Electric!$L77,0,-'Electric Calendarize'!$L86+'Electric Calendarize'!AI$4+1))</f>
        <v>2922</v>
      </c>
      <c r="AJ86">
        <f ca="1">IF(OR($L86&gt;AJ$4,AJ$4&gt;$L86+23),"",OFFSET(Electric!$L77,0,-'Electric Calendarize'!$L86+'Electric Calendarize'!AJ$4+1))</f>
        <v>3214</v>
      </c>
      <c r="AK86">
        <f ca="1">IF(OR($L86&gt;AK$4,AK$4&gt;$L86+23),"",OFFSET(Electric!$L77,0,-'Electric Calendarize'!$L86+'Electric Calendarize'!AK$4+1))</f>
        <v>2536</v>
      </c>
      <c r="AL86">
        <f ca="1">IF(OR($L86&gt;AL$4,AL$4&gt;$L86+23),"",OFFSET(Electric!$L77,0,-'Electric Calendarize'!$L86+'Electric Calendarize'!AL$4+1))</f>
        <v>2158</v>
      </c>
      <c r="AM86">
        <f ca="1">IF(OR($L86&gt;AM$4,AM$4&gt;$L86+23),"",OFFSET(Electric!$L77,0,-'Electric Calendarize'!$L86+'Electric Calendarize'!AM$4+1))</f>
        <v>1368</v>
      </c>
      <c r="AN86">
        <f ca="1">IF(OR($L86&gt;AN$4,AN$4&gt;$L86+23),"",OFFSET(Electric!$L77,0,-'Electric Calendarize'!$L86+'Electric Calendarize'!AN$4+1))</f>
        <v>890</v>
      </c>
      <c r="AO86">
        <f ca="1">IF(OR($L86&gt;AO$4,AO$4&gt;$L86+23),"",OFFSET(Electric!$L77,0,-'Electric Calendarize'!$L86+'Electric Calendarize'!AO$4+1))</f>
        <v>938</v>
      </c>
      <c r="AP86">
        <f ca="1">IF(OR($L86&gt;AP$4,AP$4&gt;$L86+23),"",OFFSET(Electric!$L77,0,-'Electric Calendarize'!$L86+'Electric Calendarize'!AP$4+1))</f>
        <v>942</v>
      </c>
      <c r="AQ86">
        <f ca="1">IF(OR($L86&gt;AQ$4,AQ$4&gt;$L86+23),"",OFFSET(Electric!$L77,0,-'Electric Calendarize'!$L86+'Electric Calendarize'!AQ$4+1))</f>
        <v>1172</v>
      </c>
      <c r="AR86">
        <f ca="1">IF(OR($L86&gt;AR$4,AR$4&gt;$L86+23),"",OFFSET(Electric!$L77,0,-'Electric Calendarize'!$L86+'Electric Calendarize'!AR$4+1))</f>
        <v>1046</v>
      </c>
      <c r="AS86">
        <f ca="1">IF(OR($L86&gt;AS$4,AS$4&gt;$L86+23),"",OFFSET(Electric!$L77,0,-'Electric Calendarize'!$L86+'Electric Calendarize'!AS$4+1))</f>
        <v>1456</v>
      </c>
      <c r="AT86">
        <f ca="1">IF(OR($L86&gt;AT$4,AT$4&gt;$L86+23),"",OFFSET(Electric!$L77,0,-'Electric Calendarize'!$L86+'Electric Calendarize'!AT$4+1))</f>
        <v>2114</v>
      </c>
      <c r="AU86">
        <f ca="1">IF(OR($L86&gt;AU$4,AU$4&gt;$L86+23),"",OFFSET(Electric!$L77,0,-'Electric Calendarize'!$L86+'Electric Calendarize'!AU$4+1))</f>
        <v>2876</v>
      </c>
      <c r="AV86">
        <f ca="1">IF(OR($L86&gt;AV$4,AV$4&gt;$L86+23),"",OFFSET(Electric!$L77,0,-'Electric Calendarize'!$L86+'Electric Calendarize'!AV$4+1))</f>
        <v>2722</v>
      </c>
      <c r="AW86" t="str">
        <f ca="1">IF(OR($L86&gt;AW$4,AW$4&gt;$L86+23),"",OFFSET(Electric!$L77,0,-'Electric Calendarize'!$L86+'Electric Calendarize'!AW$4+1))</f>
        <v/>
      </c>
      <c r="AX86" t="str">
        <f ca="1">IF(OR($L86&gt;AX$4,AX$4&gt;$L86+23),"",OFFSET(Electric!$L77,0,-'Electric Calendarize'!$L86+'Electric Calendarize'!AX$4+1))</f>
        <v/>
      </c>
      <c r="AY86" t="str">
        <f ca="1">IF(OR($L86&gt;AY$4,AY$4&gt;$L86+23),"",OFFSET(Electric!$L77,0,-'Electric Calendarize'!$L86+'Electric Calendarize'!AY$4+1))</f>
        <v/>
      </c>
      <c r="AZ86" t="str">
        <f ca="1">IF(OR($L86&gt;AZ$4,AZ$4&gt;$L86+23),"",OFFSET(Electric!$L77,0,-'Electric Calendarize'!$L86+'Electric Calendarize'!AZ$4+1))</f>
        <v/>
      </c>
      <c r="BA86" t="str">
        <f ca="1">IF(OR($L86&gt;BA$4,BA$4&gt;$L86+23),"",OFFSET(Electric!$L77,0,-'Electric Calendarize'!$L86+'Electric Calendarize'!BA$4+1))</f>
        <v/>
      </c>
      <c r="BB86" t="str">
        <f ca="1">IF(OR($L86&gt;BB$4,BB$4&gt;$L86+23),"",OFFSET(Electric!$L77,0,-'Electric Calendarize'!$L86+'Electric Calendarize'!BB$4+1))</f>
        <v/>
      </c>
      <c r="BC86" t="str">
        <f ca="1">IF(OR($L86&gt;BC$4,BC$4&gt;$L86+23),"",OFFSET(Electric!$L77,0,-'Electric Calendarize'!$L86+'Electric Calendarize'!BC$4+1))</f>
        <v/>
      </c>
      <c r="BD86" t="str">
        <f ca="1">IF(OR($L86&gt;BD$4,BD$4&gt;$L86+23),"",OFFSET(Electric!$L77,0,-'Electric Calendarize'!$L86+'Electric Calendarize'!BD$4+1))</f>
        <v/>
      </c>
      <c r="BE86" t="str">
        <f ca="1">IF(OR($L86&gt;BE$4,BE$4&gt;$L86+23),"",OFFSET(Electric!$L77,0,-'Electric Calendarize'!$L86+'Electric Calendarize'!BE$4+1))</f>
        <v/>
      </c>
      <c r="BF86" t="str">
        <f ca="1">IF(OR($L86&gt;BF$4,BF$4&gt;$L86+23),"",OFFSET(Electric!$L77,0,-'Electric Calendarize'!$L86+'Electric Calendarize'!BF$4+1))</f>
        <v/>
      </c>
      <c r="BG86" t="str">
        <f ca="1">IF(OR($L86&gt;BG$4,BG$4&gt;$L86+23),"",OFFSET(Electric!$L77,0,-'Electric Calendarize'!$L86+'Electric Calendarize'!BG$4+1))</f>
        <v/>
      </c>
      <c r="BJ86" s="10" t="s">
        <v>37</v>
      </c>
      <c r="BK86">
        <f t="shared" si="303"/>
        <v>1</v>
      </c>
      <c r="BL86">
        <f t="shared" si="209"/>
        <v>0</v>
      </c>
      <c r="BM86">
        <f t="shared" si="210"/>
        <v>0</v>
      </c>
      <c r="BN86">
        <f t="shared" si="211"/>
        <v>0</v>
      </c>
      <c r="BO86">
        <f t="shared" si="212"/>
        <v>0</v>
      </c>
      <c r="BP86">
        <f t="shared" si="213"/>
        <v>0</v>
      </c>
      <c r="BQ86">
        <f t="shared" si="214"/>
        <v>0</v>
      </c>
      <c r="BR86">
        <f t="shared" si="215"/>
        <v>1</v>
      </c>
      <c r="BS86">
        <f t="shared" si="216"/>
        <v>1</v>
      </c>
      <c r="BT86">
        <f t="shared" si="217"/>
        <v>1</v>
      </c>
      <c r="BU86">
        <f t="shared" si="218"/>
        <v>1</v>
      </c>
      <c r="BV86">
        <f t="shared" si="219"/>
        <v>1</v>
      </c>
      <c r="BW86">
        <f t="shared" si="220"/>
        <v>1</v>
      </c>
      <c r="BX86">
        <f t="shared" si="221"/>
        <v>0</v>
      </c>
      <c r="BY86">
        <f t="shared" si="222"/>
        <v>0</v>
      </c>
      <c r="BZ86">
        <f t="shared" si="223"/>
        <v>0</v>
      </c>
      <c r="CA86">
        <f t="shared" si="224"/>
        <v>0</v>
      </c>
      <c r="CB86">
        <f t="shared" si="225"/>
        <v>0</v>
      </c>
      <c r="CC86">
        <f t="shared" si="226"/>
        <v>0</v>
      </c>
      <c r="CD86">
        <f t="shared" si="227"/>
        <v>1</v>
      </c>
      <c r="CE86">
        <f t="shared" si="228"/>
        <v>1</v>
      </c>
      <c r="CF86">
        <f t="shared" si="229"/>
        <v>1</v>
      </c>
      <c r="CG86">
        <f t="shared" si="230"/>
        <v>1</v>
      </c>
      <c r="CH86">
        <f t="shared" si="231"/>
        <v>1</v>
      </c>
      <c r="CI86">
        <f t="shared" si="232"/>
        <v>1</v>
      </c>
      <c r="CJ86">
        <f t="shared" si="233"/>
        <v>0</v>
      </c>
      <c r="CK86">
        <f t="shared" si="234"/>
        <v>0</v>
      </c>
      <c r="CL86">
        <f t="shared" si="235"/>
        <v>0</v>
      </c>
      <c r="CM86">
        <f t="shared" si="236"/>
        <v>0</v>
      </c>
      <c r="CN86">
        <f t="shared" si="237"/>
        <v>0</v>
      </c>
      <c r="CO86">
        <f t="shared" si="238"/>
        <v>0</v>
      </c>
      <c r="CP86">
        <f t="shared" si="239"/>
        <v>1</v>
      </c>
      <c r="CQ86">
        <f t="shared" si="240"/>
        <v>1</v>
      </c>
      <c r="CR86">
        <f t="shared" si="241"/>
        <v>1</v>
      </c>
      <c r="CS86">
        <f t="shared" si="242"/>
        <v>1</v>
      </c>
      <c r="CT86">
        <f t="shared" si="243"/>
        <v>1</v>
      </c>
      <c r="CU86">
        <f t="shared" si="244"/>
        <v>1</v>
      </c>
      <c r="CV86">
        <f t="shared" si="245"/>
        <v>0</v>
      </c>
      <c r="CW86">
        <f t="shared" si="246"/>
        <v>0</v>
      </c>
      <c r="CX86">
        <f t="shared" si="247"/>
        <v>0</v>
      </c>
      <c r="CY86">
        <f t="shared" si="248"/>
        <v>0</v>
      </c>
      <c r="CZ86">
        <f t="shared" si="249"/>
        <v>0</v>
      </c>
      <c r="DA86">
        <f t="shared" si="250"/>
        <v>0</v>
      </c>
      <c r="DB86">
        <f t="shared" si="251"/>
        <v>1</v>
      </c>
      <c r="DC86">
        <f t="shared" si="252"/>
        <v>1</v>
      </c>
      <c r="DF86" s="10" t="s">
        <v>37</v>
      </c>
      <c r="DG86" t="str">
        <f t="shared" si="304"/>
        <v>2022_2</v>
      </c>
      <c r="DH86" t="str">
        <f t="shared" si="304"/>
        <v>2022_2</v>
      </c>
      <c r="DI86" t="str">
        <f t="shared" si="304"/>
        <v>2022_2</v>
      </c>
      <c r="DJ86" t="str">
        <f t="shared" si="304"/>
        <v>2022_2</v>
      </c>
      <c r="DK86" t="str">
        <f t="shared" si="304"/>
        <v>2022_2</v>
      </c>
      <c r="DL86" t="str">
        <f t="shared" si="304"/>
        <v>2022_2</v>
      </c>
      <c r="DM86" t="str">
        <f t="shared" si="304"/>
        <v>2022_2</v>
      </c>
      <c r="DN86" t="str">
        <f t="shared" si="304"/>
        <v>2022_2</v>
      </c>
      <c r="DO86" t="str">
        <f t="shared" si="304"/>
        <v>2022_2</v>
      </c>
      <c r="DP86" t="str">
        <f t="shared" si="304"/>
        <v>2022_2</v>
      </c>
      <c r="DQ86" t="str">
        <f t="shared" si="304"/>
        <v>2022_2</v>
      </c>
      <c r="DR86" t="str">
        <f t="shared" si="304"/>
        <v>2022_2</v>
      </c>
      <c r="DS86" t="str">
        <f t="shared" si="304"/>
        <v>2022_2</v>
      </c>
      <c r="DT86" t="str">
        <f t="shared" si="304"/>
        <v>2022_2</v>
      </c>
      <c r="DU86" t="str">
        <f t="shared" si="304"/>
        <v>2022_2</v>
      </c>
      <c r="DV86" t="str">
        <f t="shared" si="253"/>
        <v>2022_2</v>
      </c>
      <c r="DW86" t="str">
        <f t="shared" si="253"/>
        <v>2022_2</v>
      </c>
      <c r="DX86" t="str">
        <f t="shared" si="253"/>
        <v>2022_2</v>
      </c>
      <c r="DY86" t="str">
        <f t="shared" si="253"/>
        <v>2022_2</v>
      </c>
      <c r="DZ86" t="str">
        <f t="shared" si="253"/>
        <v>2022_2</v>
      </c>
      <c r="EA86" t="str">
        <f t="shared" si="253"/>
        <v>2022_2</v>
      </c>
      <c r="EB86" t="str">
        <f t="shared" si="253"/>
        <v>2022_2</v>
      </c>
      <c r="EC86" t="str">
        <f t="shared" si="253"/>
        <v>2022_2</v>
      </c>
      <c r="ED86" t="str">
        <f t="shared" si="253"/>
        <v>2022_2</v>
      </c>
      <c r="EE86" t="str">
        <f t="shared" si="253"/>
        <v>2022_2</v>
      </c>
      <c r="EF86" t="str">
        <f t="shared" si="253"/>
        <v>2022_2</v>
      </c>
      <c r="EG86" t="str">
        <f t="shared" si="253"/>
        <v>2022_2</v>
      </c>
      <c r="EH86" t="str">
        <f t="shared" si="253"/>
        <v>2022_2</v>
      </c>
      <c r="EI86" t="str">
        <f t="shared" si="253"/>
        <v>2022_2</v>
      </c>
      <c r="EJ86" t="str">
        <f t="shared" si="253"/>
        <v>2022_2</v>
      </c>
      <c r="EK86" t="str">
        <f t="shared" si="253"/>
        <v>2022_2</v>
      </c>
      <c r="EL86" t="str">
        <f t="shared" si="254"/>
        <v>2022_2</v>
      </c>
      <c r="EM86" t="str">
        <f t="shared" si="208"/>
        <v>2022_2</v>
      </c>
      <c r="EN86" t="str">
        <f t="shared" si="208"/>
        <v>2022_2</v>
      </c>
      <c r="EO86" t="str">
        <f t="shared" si="208"/>
        <v>2022_2</v>
      </c>
      <c r="EP86" t="str">
        <f t="shared" si="208"/>
        <v>2022_2</v>
      </c>
      <c r="EQ86" t="str">
        <f t="shared" si="208"/>
        <v>2022_2</v>
      </c>
      <c r="ER86" t="str">
        <f t="shared" si="208"/>
        <v>2022_2</v>
      </c>
      <c r="ES86" t="str">
        <f t="shared" si="208"/>
        <v>2022_2</v>
      </c>
      <c r="ET86" t="str">
        <f t="shared" si="208"/>
        <v>2022_2</v>
      </c>
      <c r="EU86" t="str">
        <f t="shared" si="208"/>
        <v>2022_2</v>
      </c>
      <c r="EV86" t="str">
        <f t="shared" si="208"/>
        <v>2022_2</v>
      </c>
      <c r="EW86" t="str">
        <f t="shared" si="208"/>
        <v>2022_2</v>
      </c>
      <c r="EX86" t="str">
        <f t="shared" si="208"/>
        <v>2022_2</v>
      </c>
      <c r="EY86" t="str">
        <f t="shared" si="208"/>
        <v>2022_2</v>
      </c>
      <c r="FB86" s="10" t="s">
        <v>37</v>
      </c>
      <c r="FC86">
        <f t="shared" si="305"/>
        <v>0</v>
      </c>
      <c r="FD86">
        <f t="shared" si="255"/>
        <v>0</v>
      </c>
      <c r="FE86">
        <f t="shared" si="256"/>
        <v>0</v>
      </c>
      <c r="FF86">
        <f t="shared" si="257"/>
        <v>0</v>
      </c>
      <c r="FG86">
        <f t="shared" si="258"/>
        <v>0</v>
      </c>
      <c r="FH86">
        <f t="shared" si="259"/>
        <v>0</v>
      </c>
      <c r="FI86">
        <f t="shared" si="260"/>
        <v>0</v>
      </c>
      <c r="FJ86">
        <f t="shared" si="261"/>
        <v>0</v>
      </c>
      <c r="FK86">
        <f t="shared" si="262"/>
        <v>0</v>
      </c>
      <c r="FL86">
        <f t="shared" si="263"/>
        <v>0</v>
      </c>
      <c r="FM86">
        <f t="shared" si="264"/>
        <v>0</v>
      </c>
      <c r="FN86">
        <f t="shared" si="265"/>
        <v>0</v>
      </c>
      <c r="FO86">
        <f t="shared" si="266"/>
        <v>0</v>
      </c>
      <c r="FP86">
        <f t="shared" si="267"/>
        <v>0</v>
      </c>
      <c r="FQ86">
        <f t="shared" si="268"/>
        <v>0</v>
      </c>
      <c r="FR86">
        <f t="shared" si="269"/>
        <v>0</v>
      </c>
      <c r="FS86">
        <f t="shared" si="270"/>
        <v>0</v>
      </c>
      <c r="FT86">
        <f t="shared" si="271"/>
        <v>0</v>
      </c>
      <c r="FU86">
        <f t="shared" si="272"/>
        <v>0</v>
      </c>
      <c r="FV86">
        <f t="shared" si="273"/>
        <v>0</v>
      </c>
      <c r="FW86">
        <f t="shared" si="274"/>
        <v>0</v>
      </c>
      <c r="FX86">
        <f t="shared" si="275"/>
        <v>0</v>
      </c>
      <c r="FY86">
        <f t="shared" si="276"/>
        <v>1</v>
      </c>
      <c r="FZ86">
        <f t="shared" si="277"/>
        <v>1</v>
      </c>
      <c r="GA86">
        <f t="shared" si="278"/>
        <v>1</v>
      </c>
      <c r="GB86">
        <f t="shared" si="279"/>
        <v>1</v>
      </c>
      <c r="GC86">
        <f t="shared" si="280"/>
        <v>1</v>
      </c>
      <c r="GD86">
        <f t="shared" si="281"/>
        <v>1</v>
      </c>
      <c r="GE86">
        <f t="shared" si="282"/>
        <v>1</v>
      </c>
      <c r="GF86">
        <f t="shared" si="283"/>
        <v>1</v>
      </c>
      <c r="GG86">
        <f t="shared" si="284"/>
        <v>1</v>
      </c>
      <c r="GH86">
        <f t="shared" si="285"/>
        <v>1</v>
      </c>
      <c r="GI86">
        <f t="shared" si="286"/>
        <v>1</v>
      </c>
      <c r="GJ86">
        <f t="shared" si="287"/>
        <v>1</v>
      </c>
      <c r="GK86">
        <f t="shared" si="288"/>
        <v>1</v>
      </c>
      <c r="GL86">
        <f t="shared" si="289"/>
        <v>1</v>
      </c>
      <c r="GM86">
        <f t="shared" si="290"/>
        <v>1</v>
      </c>
      <c r="GN86">
        <f t="shared" si="291"/>
        <v>1</v>
      </c>
      <c r="GO86">
        <f t="shared" si="292"/>
        <v>1</v>
      </c>
      <c r="GP86">
        <f t="shared" si="293"/>
        <v>1</v>
      </c>
      <c r="GQ86">
        <f t="shared" si="294"/>
        <v>1</v>
      </c>
      <c r="GR86">
        <f t="shared" si="295"/>
        <v>1</v>
      </c>
      <c r="GS86">
        <f t="shared" si="296"/>
        <v>1</v>
      </c>
      <c r="GT86">
        <f t="shared" si="297"/>
        <v>1</v>
      </c>
      <c r="GU86">
        <f t="shared" si="298"/>
        <v>1</v>
      </c>
      <c r="GX86" s="10"/>
    </row>
    <row r="87" spans="1:206" x14ac:dyDescent="0.3">
      <c r="A87" s="15" t="s">
        <v>33</v>
      </c>
      <c r="B87" s="80"/>
      <c r="C87" s="9">
        <v>3131256001</v>
      </c>
      <c r="D87" s="9" t="s">
        <v>415</v>
      </c>
      <c r="E87" s="9" t="s">
        <v>39</v>
      </c>
      <c r="F87" s="9" t="s">
        <v>35</v>
      </c>
      <c r="G87" s="9" t="s">
        <v>119</v>
      </c>
      <c r="H87" s="10">
        <v>44630</v>
      </c>
      <c r="I87" s="9">
        <f t="shared" si="299"/>
        <v>2022</v>
      </c>
      <c r="J87" s="9">
        <f t="shared" si="300"/>
        <v>3</v>
      </c>
      <c r="K87" s="9" t="str">
        <f t="shared" si="301"/>
        <v>2022_3</v>
      </c>
      <c r="L87">
        <f>MAX(0,VLOOKUP($K87,lookups!$A$1:$B$45,2,0)-12)</f>
        <v>11</v>
      </c>
      <c r="M87" s="40">
        <f t="shared" si="302"/>
        <v>44621</v>
      </c>
      <c r="N87" s="10" t="s">
        <v>37</v>
      </c>
      <c r="O87" t="str">
        <f ca="1">IF(OR($L87&gt;O$4,O$4&gt;$L87+23),"",OFFSET(Electric!$L78,0,-'Electric Calendarize'!$L87+'Electric Calendarize'!O$4+1))</f>
        <v/>
      </c>
      <c r="P87" t="str">
        <f ca="1">IF(OR($L87&gt;P$4,P$4&gt;$L87+23),"",OFFSET(Electric!$L78,0,-'Electric Calendarize'!$L87+'Electric Calendarize'!P$4+1))</f>
        <v/>
      </c>
      <c r="Q87" t="str">
        <f ca="1">IF(OR($L87&gt;Q$4,Q$4&gt;$L87+23),"",OFFSET(Electric!$L78,0,-'Electric Calendarize'!$L87+'Electric Calendarize'!Q$4+1))</f>
        <v/>
      </c>
      <c r="R87" t="str">
        <f ca="1">IF(OR($L87&gt;R$4,R$4&gt;$L87+23),"",OFFSET(Electric!$L78,0,-'Electric Calendarize'!$L87+'Electric Calendarize'!R$4+1))</f>
        <v/>
      </c>
      <c r="S87" t="str">
        <f ca="1">IF(OR($L87&gt;S$4,S$4&gt;$L87+23),"",OFFSET(Electric!$L78,0,-'Electric Calendarize'!$L87+'Electric Calendarize'!S$4+1))</f>
        <v/>
      </c>
      <c r="T87" t="str">
        <f ca="1">IF(OR($L87&gt;T$4,T$4&gt;$L87+23),"",OFFSET(Electric!$L78,0,-'Electric Calendarize'!$L87+'Electric Calendarize'!T$4+1))</f>
        <v/>
      </c>
      <c r="U87" t="str">
        <f ca="1">IF(OR($L87&gt;U$4,U$4&gt;$L87+23),"",OFFSET(Electric!$L78,0,-'Electric Calendarize'!$L87+'Electric Calendarize'!U$4+1))</f>
        <v/>
      </c>
      <c r="V87" t="str">
        <f ca="1">IF(OR($L87&gt;V$4,V$4&gt;$L87+23),"",OFFSET(Electric!$L78,0,-'Electric Calendarize'!$L87+'Electric Calendarize'!V$4+1))</f>
        <v/>
      </c>
      <c r="W87" t="str">
        <f ca="1">IF(OR($L87&gt;W$4,W$4&gt;$L87+23),"",OFFSET(Electric!$L78,0,-'Electric Calendarize'!$L87+'Electric Calendarize'!W$4+1))</f>
        <v/>
      </c>
      <c r="X87" t="str">
        <f ca="1">IF(OR($L87&gt;X$4,X$4&gt;$L87+23),"",OFFSET(Electric!$L78,0,-'Electric Calendarize'!$L87+'Electric Calendarize'!X$4+1))</f>
        <v/>
      </c>
      <c r="Y87" t="str">
        <f ca="1">IF(OR($L87&gt;Y$4,Y$4&gt;$L87+23),"",OFFSET(Electric!$L78,0,-'Electric Calendarize'!$L87+'Electric Calendarize'!Y$4+1))</f>
        <v/>
      </c>
      <c r="Z87">
        <f ca="1">IF(OR($L87&gt;Z$4,Z$4&gt;$L87+23),"",OFFSET(Electric!$L78,0,-'Electric Calendarize'!$L87+'Electric Calendarize'!Z$4+1))</f>
        <v>458</v>
      </c>
      <c r="AA87">
        <f ca="1">IF(OR($L87&gt;AA$4,AA$4&gt;$L87+23),"",OFFSET(Electric!$L78,0,-'Electric Calendarize'!$L87+'Electric Calendarize'!AA$4+1))</f>
        <v>477</v>
      </c>
      <c r="AB87">
        <f ca="1">IF(OR($L87&gt;AB$4,AB$4&gt;$L87+23),"",OFFSET(Electric!$L78,0,-'Electric Calendarize'!$L87+'Electric Calendarize'!AB$4+1))</f>
        <v>1100</v>
      </c>
      <c r="AC87">
        <f ca="1">IF(OR($L87&gt;AC$4,AC$4&gt;$L87+23),"",OFFSET(Electric!$L78,0,-'Electric Calendarize'!$L87+'Electric Calendarize'!AC$4+1))</f>
        <v>2228</v>
      </c>
      <c r="AD87">
        <f ca="1">IF(OR($L87&gt;AD$4,AD$4&gt;$L87+23),"",OFFSET(Electric!$L78,0,-'Electric Calendarize'!$L87+'Electric Calendarize'!AD$4+1))</f>
        <v>2204</v>
      </c>
      <c r="AE87">
        <f ca="1">IF(OR($L87&gt;AE$4,AE$4&gt;$L87+23),"",OFFSET(Electric!$L78,0,-'Electric Calendarize'!$L87+'Electric Calendarize'!AE$4+1))</f>
        <v>2469</v>
      </c>
      <c r="AF87">
        <f ca="1">IF(OR($L87&gt;AF$4,AF$4&gt;$L87+23),"",OFFSET(Electric!$L78,0,-'Electric Calendarize'!$L87+'Electric Calendarize'!AF$4+1))</f>
        <v>1962</v>
      </c>
      <c r="AG87">
        <f ca="1">IF(OR($L87&gt;AG$4,AG$4&gt;$L87+23),"",OFFSET(Electric!$L78,0,-'Electric Calendarize'!$L87+'Electric Calendarize'!AG$4+1))</f>
        <v>1088</v>
      </c>
      <c r="AH87">
        <f ca="1">IF(OR($L87&gt;AH$4,AH$4&gt;$L87+23),"",OFFSET(Electric!$L78,0,-'Electric Calendarize'!$L87+'Electric Calendarize'!AH$4+1))</f>
        <v>699</v>
      </c>
      <c r="AI87">
        <f ca="1">IF(OR($L87&gt;AI$4,AI$4&gt;$L87+23),"",OFFSET(Electric!$L78,0,-'Electric Calendarize'!$L87+'Electric Calendarize'!AI$4+1))</f>
        <v>602</v>
      </c>
      <c r="AJ87">
        <f ca="1">IF(OR($L87&gt;AJ$4,AJ$4&gt;$L87+23),"",OFFSET(Electric!$L78,0,-'Electric Calendarize'!$L87+'Electric Calendarize'!AJ$4+1))</f>
        <v>694</v>
      </c>
      <c r="AK87">
        <f ca="1">IF(OR($L87&gt;AK$4,AK$4&gt;$L87+23),"",OFFSET(Electric!$L78,0,-'Electric Calendarize'!$L87+'Electric Calendarize'!AK$4+1))</f>
        <v>511</v>
      </c>
      <c r="AL87">
        <f ca="1">IF(OR($L87&gt;AL$4,AL$4&gt;$L87+23),"",OFFSET(Electric!$L78,0,-'Electric Calendarize'!$L87+'Electric Calendarize'!AL$4+1))</f>
        <v>604</v>
      </c>
      <c r="AM87">
        <f ca="1">IF(OR($L87&gt;AM$4,AM$4&gt;$L87+23),"",OFFSET(Electric!$L78,0,-'Electric Calendarize'!$L87+'Electric Calendarize'!AM$4+1))</f>
        <v>728</v>
      </c>
      <c r="AN87">
        <f ca="1">IF(OR($L87&gt;AN$4,AN$4&gt;$L87+23),"",OFFSET(Electric!$L78,0,-'Electric Calendarize'!$L87+'Electric Calendarize'!AN$4+1))</f>
        <v>926</v>
      </c>
      <c r="AO87">
        <f ca="1">IF(OR($L87&gt;AO$4,AO$4&gt;$L87+23),"",OFFSET(Electric!$L78,0,-'Electric Calendarize'!$L87+'Electric Calendarize'!AO$4+1))</f>
        <v>1014</v>
      </c>
      <c r="AP87">
        <f ca="1">IF(OR($L87&gt;AP$4,AP$4&gt;$L87+23),"",OFFSET(Electric!$L78,0,-'Electric Calendarize'!$L87+'Electric Calendarize'!AP$4+1))</f>
        <v>1384</v>
      </c>
      <c r="AQ87">
        <f ca="1">IF(OR($L87&gt;AQ$4,AQ$4&gt;$L87+23),"",OFFSET(Electric!$L78,0,-'Electric Calendarize'!$L87+'Electric Calendarize'!AQ$4+1))</f>
        <v>1387</v>
      </c>
      <c r="AR87">
        <f ca="1">IF(OR($L87&gt;AR$4,AR$4&gt;$L87+23),"",OFFSET(Electric!$L78,0,-'Electric Calendarize'!$L87+'Electric Calendarize'!AR$4+1))</f>
        <v>1028</v>
      </c>
      <c r="AS87">
        <f ca="1">IF(OR($L87&gt;AS$4,AS$4&gt;$L87+23),"",OFFSET(Electric!$L78,0,-'Electric Calendarize'!$L87+'Electric Calendarize'!AS$4+1))</f>
        <v>1057</v>
      </c>
      <c r="AT87">
        <f ca="1">IF(OR($L87&gt;AT$4,AT$4&gt;$L87+23),"",OFFSET(Electric!$L78,0,-'Electric Calendarize'!$L87+'Electric Calendarize'!AT$4+1))</f>
        <v>669</v>
      </c>
      <c r="AU87">
        <f ca="1">IF(OR($L87&gt;AU$4,AU$4&gt;$L87+23),"",OFFSET(Electric!$L78,0,-'Electric Calendarize'!$L87+'Electric Calendarize'!AU$4+1))</f>
        <v>914</v>
      </c>
      <c r="AV87">
        <f ca="1">IF(OR($L87&gt;AV$4,AV$4&gt;$L87+23),"",OFFSET(Electric!$L78,0,-'Electric Calendarize'!$L87+'Electric Calendarize'!AV$4+1))</f>
        <v>1433</v>
      </c>
      <c r="AW87">
        <f ca="1">IF(OR($L87&gt;AW$4,AW$4&gt;$L87+23),"",OFFSET(Electric!$L78,0,-'Electric Calendarize'!$L87+'Electric Calendarize'!AW$4+1))</f>
        <v>1455</v>
      </c>
      <c r="AX87" t="str">
        <f ca="1">IF(OR($L87&gt;AX$4,AX$4&gt;$L87+23),"",OFFSET(Electric!$L78,0,-'Electric Calendarize'!$L87+'Electric Calendarize'!AX$4+1))</f>
        <v/>
      </c>
      <c r="AY87" t="str">
        <f ca="1">IF(OR($L87&gt;AY$4,AY$4&gt;$L87+23),"",OFFSET(Electric!$L78,0,-'Electric Calendarize'!$L87+'Electric Calendarize'!AY$4+1))</f>
        <v/>
      </c>
      <c r="AZ87" t="str">
        <f ca="1">IF(OR($L87&gt;AZ$4,AZ$4&gt;$L87+23),"",OFFSET(Electric!$L78,0,-'Electric Calendarize'!$L87+'Electric Calendarize'!AZ$4+1))</f>
        <v/>
      </c>
      <c r="BA87" t="str">
        <f ca="1">IF(OR($L87&gt;BA$4,BA$4&gt;$L87+23),"",OFFSET(Electric!$L78,0,-'Electric Calendarize'!$L87+'Electric Calendarize'!BA$4+1))</f>
        <v/>
      </c>
      <c r="BB87" t="str">
        <f ca="1">IF(OR($L87&gt;BB$4,BB$4&gt;$L87+23),"",OFFSET(Electric!$L78,0,-'Electric Calendarize'!$L87+'Electric Calendarize'!BB$4+1))</f>
        <v/>
      </c>
      <c r="BC87" t="str">
        <f ca="1">IF(OR($L87&gt;BC$4,BC$4&gt;$L87+23),"",OFFSET(Electric!$L78,0,-'Electric Calendarize'!$L87+'Electric Calendarize'!BC$4+1))</f>
        <v/>
      </c>
      <c r="BD87" t="str">
        <f ca="1">IF(OR($L87&gt;BD$4,BD$4&gt;$L87+23),"",OFFSET(Electric!$L78,0,-'Electric Calendarize'!$L87+'Electric Calendarize'!BD$4+1))</f>
        <v/>
      </c>
      <c r="BE87" t="str">
        <f ca="1">IF(OR($L87&gt;BE$4,BE$4&gt;$L87+23),"",OFFSET(Electric!$L78,0,-'Electric Calendarize'!$L87+'Electric Calendarize'!BE$4+1))</f>
        <v/>
      </c>
      <c r="BF87" t="str">
        <f ca="1">IF(OR($L87&gt;BF$4,BF$4&gt;$L87+23),"",OFFSET(Electric!$L78,0,-'Electric Calendarize'!$L87+'Electric Calendarize'!BF$4+1))</f>
        <v/>
      </c>
      <c r="BG87" t="str">
        <f ca="1">IF(OR($L87&gt;BG$4,BG$4&gt;$L87+23),"",OFFSET(Electric!$L78,0,-'Electric Calendarize'!$L87+'Electric Calendarize'!BG$4+1))</f>
        <v/>
      </c>
      <c r="BJ87" s="10" t="s">
        <v>37</v>
      </c>
      <c r="BK87">
        <f t="shared" si="303"/>
        <v>1</v>
      </c>
      <c r="BL87">
        <f t="shared" si="209"/>
        <v>0</v>
      </c>
      <c r="BM87">
        <f t="shared" si="210"/>
        <v>0</v>
      </c>
      <c r="BN87">
        <f t="shared" si="211"/>
        <v>0</v>
      </c>
      <c r="BO87">
        <f t="shared" si="212"/>
        <v>0</v>
      </c>
      <c r="BP87">
        <f t="shared" si="213"/>
        <v>0</v>
      </c>
      <c r="BQ87">
        <f t="shared" si="214"/>
        <v>0</v>
      </c>
      <c r="BR87">
        <f t="shared" si="215"/>
        <v>1</v>
      </c>
      <c r="BS87">
        <f t="shared" si="216"/>
        <v>1</v>
      </c>
      <c r="BT87">
        <f t="shared" si="217"/>
        <v>1</v>
      </c>
      <c r="BU87">
        <f t="shared" si="218"/>
        <v>1</v>
      </c>
      <c r="BV87">
        <f t="shared" si="219"/>
        <v>1</v>
      </c>
      <c r="BW87">
        <f t="shared" si="220"/>
        <v>1</v>
      </c>
      <c r="BX87">
        <f t="shared" si="221"/>
        <v>0</v>
      </c>
      <c r="BY87">
        <f t="shared" si="222"/>
        <v>0</v>
      </c>
      <c r="BZ87">
        <f t="shared" si="223"/>
        <v>0</v>
      </c>
      <c r="CA87">
        <f t="shared" si="224"/>
        <v>0</v>
      </c>
      <c r="CB87">
        <f t="shared" si="225"/>
        <v>0</v>
      </c>
      <c r="CC87">
        <f t="shared" si="226"/>
        <v>0</v>
      </c>
      <c r="CD87">
        <f t="shared" si="227"/>
        <v>1</v>
      </c>
      <c r="CE87">
        <f t="shared" si="228"/>
        <v>1</v>
      </c>
      <c r="CF87">
        <f t="shared" si="229"/>
        <v>1</v>
      </c>
      <c r="CG87">
        <f t="shared" si="230"/>
        <v>1</v>
      </c>
      <c r="CH87">
        <f t="shared" si="231"/>
        <v>1</v>
      </c>
      <c r="CI87">
        <f t="shared" si="232"/>
        <v>1</v>
      </c>
      <c r="CJ87">
        <f t="shared" si="233"/>
        <v>0</v>
      </c>
      <c r="CK87">
        <f t="shared" si="234"/>
        <v>0</v>
      </c>
      <c r="CL87">
        <f t="shared" si="235"/>
        <v>0</v>
      </c>
      <c r="CM87">
        <f t="shared" si="236"/>
        <v>0</v>
      </c>
      <c r="CN87">
        <f t="shared" si="237"/>
        <v>0</v>
      </c>
      <c r="CO87">
        <f t="shared" si="238"/>
        <v>0</v>
      </c>
      <c r="CP87">
        <f t="shared" si="239"/>
        <v>1</v>
      </c>
      <c r="CQ87">
        <f t="shared" si="240"/>
        <v>1</v>
      </c>
      <c r="CR87">
        <f t="shared" si="241"/>
        <v>1</v>
      </c>
      <c r="CS87">
        <f t="shared" si="242"/>
        <v>1</v>
      </c>
      <c r="CT87">
        <f t="shared" si="243"/>
        <v>1</v>
      </c>
      <c r="CU87">
        <f t="shared" si="244"/>
        <v>1</v>
      </c>
      <c r="CV87">
        <f t="shared" si="245"/>
        <v>0</v>
      </c>
      <c r="CW87">
        <f t="shared" si="246"/>
        <v>0</v>
      </c>
      <c r="CX87">
        <f t="shared" si="247"/>
        <v>0</v>
      </c>
      <c r="CY87">
        <f t="shared" si="248"/>
        <v>0</v>
      </c>
      <c r="CZ87">
        <f t="shared" si="249"/>
        <v>0</v>
      </c>
      <c r="DA87">
        <f t="shared" si="250"/>
        <v>0</v>
      </c>
      <c r="DB87">
        <f t="shared" si="251"/>
        <v>1</v>
      </c>
      <c r="DC87">
        <f t="shared" si="252"/>
        <v>1</v>
      </c>
      <c r="DF87" s="10" t="s">
        <v>37</v>
      </c>
      <c r="DG87" t="str">
        <f t="shared" si="304"/>
        <v>2022_3</v>
      </c>
      <c r="DH87" t="str">
        <f t="shared" si="304"/>
        <v>2022_3</v>
      </c>
      <c r="DI87" t="str">
        <f t="shared" si="304"/>
        <v>2022_3</v>
      </c>
      <c r="DJ87" t="str">
        <f t="shared" si="304"/>
        <v>2022_3</v>
      </c>
      <c r="DK87" t="str">
        <f t="shared" si="304"/>
        <v>2022_3</v>
      </c>
      <c r="DL87" t="str">
        <f t="shared" si="304"/>
        <v>2022_3</v>
      </c>
      <c r="DM87" t="str">
        <f t="shared" si="304"/>
        <v>2022_3</v>
      </c>
      <c r="DN87" t="str">
        <f t="shared" si="304"/>
        <v>2022_3</v>
      </c>
      <c r="DO87" t="str">
        <f t="shared" si="304"/>
        <v>2022_3</v>
      </c>
      <c r="DP87" t="str">
        <f t="shared" si="304"/>
        <v>2022_3</v>
      </c>
      <c r="DQ87" t="str">
        <f t="shared" si="304"/>
        <v>2022_3</v>
      </c>
      <c r="DR87" t="str">
        <f t="shared" si="304"/>
        <v>2022_3</v>
      </c>
      <c r="DS87" t="str">
        <f t="shared" si="304"/>
        <v>2022_3</v>
      </c>
      <c r="DT87" t="str">
        <f t="shared" si="304"/>
        <v>2022_3</v>
      </c>
      <c r="DU87" t="str">
        <f t="shared" si="304"/>
        <v>2022_3</v>
      </c>
      <c r="DV87" t="str">
        <f t="shared" si="253"/>
        <v>2022_3</v>
      </c>
      <c r="DW87" t="str">
        <f t="shared" si="253"/>
        <v>2022_3</v>
      </c>
      <c r="DX87" t="str">
        <f t="shared" si="253"/>
        <v>2022_3</v>
      </c>
      <c r="DY87" t="str">
        <f t="shared" si="253"/>
        <v>2022_3</v>
      </c>
      <c r="DZ87" t="str">
        <f t="shared" si="253"/>
        <v>2022_3</v>
      </c>
      <c r="EA87" t="str">
        <f t="shared" si="253"/>
        <v>2022_3</v>
      </c>
      <c r="EB87" t="str">
        <f t="shared" si="253"/>
        <v>2022_3</v>
      </c>
      <c r="EC87" t="str">
        <f t="shared" si="253"/>
        <v>2022_3</v>
      </c>
      <c r="ED87" t="str">
        <f t="shared" si="253"/>
        <v>2022_3</v>
      </c>
      <c r="EE87" t="str">
        <f t="shared" si="253"/>
        <v>2022_3</v>
      </c>
      <c r="EF87" t="str">
        <f t="shared" si="253"/>
        <v>2022_3</v>
      </c>
      <c r="EG87" t="str">
        <f t="shared" si="253"/>
        <v>2022_3</v>
      </c>
      <c r="EH87" t="str">
        <f t="shared" si="253"/>
        <v>2022_3</v>
      </c>
      <c r="EI87" t="str">
        <f t="shared" si="253"/>
        <v>2022_3</v>
      </c>
      <c r="EJ87" t="str">
        <f t="shared" si="253"/>
        <v>2022_3</v>
      </c>
      <c r="EK87" t="str">
        <f t="shared" si="253"/>
        <v>2022_3</v>
      </c>
      <c r="EL87" t="str">
        <f t="shared" si="254"/>
        <v>2022_3</v>
      </c>
      <c r="EM87" t="str">
        <f t="shared" si="208"/>
        <v>2022_3</v>
      </c>
      <c r="EN87" t="str">
        <f t="shared" si="208"/>
        <v>2022_3</v>
      </c>
      <c r="EO87" t="str">
        <f t="shared" si="208"/>
        <v>2022_3</v>
      </c>
      <c r="EP87" t="str">
        <f t="shared" si="208"/>
        <v>2022_3</v>
      </c>
      <c r="EQ87" t="str">
        <f t="shared" si="208"/>
        <v>2022_3</v>
      </c>
      <c r="ER87" t="str">
        <f t="shared" si="208"/>
        <v>2022_3</v>
      </c>
      <c r="ES87" t="str">
        <f t="shared" si="208"/>
        <v>2022_3</v>
      </c>
      <c r="ET87" t="str">
        <f t="shared" si="208"/>
        <v>2022_3</v>
      </c>
      <c r="EU87" t="str">
        <f t="shared" si="208"/>
        <v>2022_3</v>
      </c>
      <c r="EV87" t="str">
        <f t="shared" si="208"/>
        <v>2022_3</v>
      </c>
      <c r="EW87" t="str">
        <f t="shared" si="208"/>
        <v>2022_3</v>
      </c>
      <c r="EX87" t="str">
        <f t="shared" si="208"/>
        <v>2022_3</v>
      </c>
      <c r="EY87" t="str">
        <f t="shared" si="208"/>
        <v>2022_3</v>
      </c>
      <c r="FB87" s="10" t="s">
        <v>37</v>
      </c>
      <c r="FC87">
        <f t="shared" si="305"/>
        <v>0</v>
      </c>
      <c r="FD87">
        <f t="shared" si="255"/>
        <v>0</v>
      </c>
      <c r="FE87">
        <f t="shared" si="256"/>
        <v>0</v>
      </c>
      <c r="FF87">
        <f t="shared" si="257"/>
        <v>0</v>
      </c>
      <c r="FG87">
        <f t="shared" si="258"/>
        <v>0</v>
      </c>
      <c r="FH87">
        <f t="shared" si="259"/>
        <v>0</v>
      </c>
      <c r="FI87">
        <f t="shared" si="260"/>
        <v>0</v>
      </c>
      <c r="FJ87">
        <f t="shared" si="261"/>
        <v>0</v>
      </c>
      <c r="FK87">
        <f t="shared" si="262"/>
        <v>0</v>
      </c>
      <c r="FL87">
        <f t="shared" si="263"/>
        <v>0</v>
      </c>
      <c r="FM87">
        <f t="shared" si="264"/>
        <v>0</v>
      </c>
      <c r="FN87">
        <f t="shared" si="265"/>
        <v>0</v>
      </c>
      <c r="FO87">
        <f t="shared" si="266"/>
        <v>0</v>
      </c>
      <c r="FP87">
        <f t="shared" si="267"/>
        <v>0</v>
      </c>
      <c r="FQ87">
        <f t="shared" si="268"/>
        <v>0</v>
      </c>
      <c r="FR87">
        <f t="shared" si="269"/>
        <v>0</v>
      </c>
      <c r="FS87">
        <f t="shared" si="270"/>
        <v>0</v>
      </c>
      <c r="FT87">
        <f t="shared" si="271"/>
        <v>0</v>
      </c>
      <c r="FU87">
        <f t="shared" si="272"/>
        <v>0</v>
      </c>
      <c r="FV87">
        <f t="shared" si="273"/>
        <v>0</v>
      </c>
      <c r="FW87">
        <f t="shared" si="274"/>
        <v>0</v>
      </c>
      <c r="FX87">
        <f t="shared" si="275"/>
        <v>0</v>
      </c>
      <c r="FY87">
        <f t="shared" si="276"/>
        <v>0</v>
      </c>
      <c r="FZ87">
        <f t="shared" si="277"/>
        <v>1</v>
      </c>
      <c r="GA87">
        <f t="shared" si="278"/>
        <v>1</v>
      </c>
      <c r="GB87">
        <f t="shared" si="279"/>
        <v>1</v>
      </c>
      <c r="GC87">
        <f t="shared" si="280"/>
        <v>1</v>
      </c>
      <c r="GD87">
        <f t="shared" si="281"/>
        <v>1</v>
      </c>
      <c r="GE87">
        <f t="shared" si="282"/>
        <v>1</v>
      </c>
      <c r="GF87">
        <f t="shared" si="283"/>
        <v>1</v>
      </c>
      <c r="GG87">
        <f t="shared" si="284"/>
        <v>1</v>
      </c>
      <c r="GH87">
        <f t="shared" si="285"/>
        <v>1</v>
      </c>
      <c r="GI87">
        <f t="shared" si="286"/>
        <v>1</v>
      </c>
      <c r="GJ87">
        <f t="shared" si="287"/>
        <v>1</v>
      </c>
      <c r="GK87">
        <f t="shared" si="288"/>
        <v>1</v>
      </c>
      <c r="GL87">
        <f t="shared" si="289"/>
        <v>1</v>
      </c>
      <c r="GM87">
        <f t="shared" si="290"/>
        <v>1</v>
      </c>
      <c r="GN87">
        <f t="shared" si="291"/>
        <v>1</v>
      </c>
      <c r="GO87">
        <f t="shared" si="292"/>
        <v>1</v>
      </c>
      <c r="GP87">
        <f t="shared" si="293"/>
        <v>1</v>
      </c>
      <c r="GQ87">
        <f t="shared" si="294"/>
        <v>1</v>
      </c>
      <c r="GR87">
        <f t="shared" si="295"/>
        <v>1</v>
      </c>
      <c r="GS87">
        <f t="shared" si="296"/>
        <v>1</v>
      </c>
      <c r="GT87">
        <f t="shared" si="297"/>
        <v>1</v>
      </c>
      <c r="GU87">
        <f t="shared" si="298"/>
        <v>1</v>
      </c>
      <c r="GX87" s="10"/>
    </row>
    <row r="88" spans="1:206" x14ac:dyDescent="0.3">
      <c r="A88" s="9" t="s">
        <v>120</v>
      </c>
      <c r="B88" s="80"/>
      <c r="C88" s="9">
        <v>3141108000</v>
      </c>
      <c r="D88" s="9" t="s">
        <v>416</v>
      </c>
      <c r="E88" s="9" t="s">
        <v>43</v>
      </c>
      <c r="F88" s="9" t="s">
        <v>35</v>
      </c>
      <c r="G88" s="9" t="s">
        <v>121</v>
      </c>
      <c r="H88" s="10">
        <v>44631</v>
      </c>
      <c r="I88" s="9">
        <f t="shared" si="299"/>
        <v>2022</v>
      </c>
      <c r="J88" s="9">
        <f t="shared" si="300"/>
        <v>3</v>
      </c>
      <c r="K88" s="9" t="str">
        <f t="shared" si="301"/>
        <v>2022_3</v>
      </c>
      <c r="L88">
        <f>MAX(0,VLOOKUP($K88,lookups!$A$1:$B$45,2,0)-12)</f>
        <v>11</v>
      </c>
      <c r="M88" s="40">
        <f t="shared" si="302"/>
        <v>44621</v>
      </c>
      <c r="N88" s="10" t="s">
        <v>37</v>
      </c>
      <c r="O88" t="str">
        <f ca="1">IF(OR($L88&gt;O$4,O$4&gt;$L88+23),"",OFFSET(Electric!$L79,0,-'Electric Calendarize'!$L88+'Electric Calendarize'!O$4+1))</f>
        <v/>
      </c>
      <c r="P88" t="str">
        <f ca="1">IF(OR($L88&gt;P$4,P$4&gt;$L88+23),"",OFFSET(Electric!$L79,0,-'Electric Calendarize'!$L88+'Electric Calendarize'!P$4+1))</f>
        <v/>
      </c>
      <c r="Q88" t="str">
        <f ca="1">IF(OR($L88&gt;Q$4,Q$4&gt;$L88+23),"",OFFSET(Electric!$L79,0,-'Electric Calendarize'!$L88+'Electric Calendarize'!Q$4+1))</f>
        <v/>
      </c>
      <c r="R88" t="str">
        <f ca="1">IF(OR($L88&gt;R$4,R$4&gt;$L88+23),"",OFFSET(Electric!$L79,0,-'Electric Calendarize'!$L88+'Electric Calendarize'!R$4+1))</f>
        <v/>
      </c>
      <c r="S88" t="str">
        <f ca="1">IF(OR($L88&gt;S$4,S$4&gt;$L88+23),"",OFFSET(Electric!$L79,0,-'Electric Calendarize'!$L88+'Electric Calendarize'!S$4+1))</f>
        <v/>
      </c>
      <c r="T88" t="str">
        <f ca="1">IF(OR($L88&gt;T$4,T$4&gt;$L88+23),"",OFFSET(Electric!$L79,0,-'Electric Calendarize'!$L88+'Electric Calendarize'!T$4+1))</f>
        <v/>
      </c>
      <c r="U88" t="str">
        <f ca="1">IF(OR($L88&gt;U$4,U$4&gt;$L88+23),"",OFFSET(Electric!$L79,0,-'Electric Calendarize'!$L88+'Electric Calendarize'!U$4+1))</f>
        <v/>
      </c>
      <c r="V88" t="str">
        <f ca="1">IF(OR($L88&gt;V$4,V$4&gt;$L88+23),"",OFFSET(Electric!$L79,0,-'Electric Calendarize'!$L88+'Electric Calendarize'!V$4+1))</f>
        <v/>
      </c>
      <c r="W88" t="str">
        <f ca="1">IF(OR($L88&gt;W$4,W$4&gt;$L88+23),"",OFFSET(Electric!$L79,0,-'Electric Calendarize'!$L88+'Electric Calendarize'!W$4+1))</f>
        <v/>
      </c>
      <c r="X88" t="str">
        <f ca="1">IF(OR($L88&gt;X$4,X$4&gt;$L88+23),"",OFFSET(Electric!$L79,0,-'Electric Calendarize'!$L88+'Electric Calendarize'!X$4+1))</f>
        <v/>
      </c>
      <c r="Y88" t="str">
        <f ca="1">IF(OR($L88&gt;Y$4,Y$4&gt;$L88+23),"",OFFSET(Electric!$L79,0,-'Electric Calendarize'!$L88+'Electric Calendarize'!Y$4+1))</f>
        <v/>
      </c>
      <c r="Z88">
        <f ca="1">IF(OR($L88&gt;Z$4,Z$4&gt;$L88+23),"",OFFSET(Electric!$L79,0,-'Electric Calendarize'!$L88+'Electric Calendarize'!Z$4+1))</f>
        <v>463</v>
      </c>
      <c r="AA88">
        <f ca="1">IF(OR($L88&gt;AA$4,AA$4&gt;$L88+23),"",OFFSET(Electric!$L79,0,-'Electric Calendarize'!$L88+'Electric Calendarize'!AA$4+1))</f>
        <v>372</v>
      </c>
      <c r="AB88">
        <f ca="1">IF(OR($L88&gt;AB$4,AB$4&gt;$L88+23),"",OFFSET(Electric!$L79,0,-'Electric Calendarize'!$L88+'Electric Calendarize'!AB$4+1))</f>
        <v>589</v>
      </c>
      <c r="AC88">
        <f ca="1">IF(OR($L88&gt;AC$4,AC$4&gt;$L88+23),"",OFFSET(Electric!$L79,0,-'Electric Calendarize'!$L88+'Electric Calendarize'!AC$4+1))</f>
        <v>1002</v>
      </c>
      <c r="AD88">
        <f ca="1">IF(OR($L88&gt;AD$4,AD$4&gt;$L88+23),"",OFFSET(Electric!$L79,0,-'Electric Calendarize'!$L88+'Electric Calendarize'!AD$4+1))</f>
        <v>1019</v>
      </c>
      <c r="AE88">
        <f ca="1">IF(OR($L88&gt;AE$4,AE$4&gt;$L88+23),"",OFFSET(Electric!$L79,0,-'Electric Calendarize'!$L88+'Electric Calendarize'!AE$4+1))</f>
        <v>1098</v>
      </c>
      <c r="AF88">
        <f ca="1">IF(OR($L88&gt;AF$4,AF$4&gt;$L88+23),"",OFFSET(Electric!$L79,0,-'Electric Calendarize'!$L88+'Electric Calendarize'!AF$4+1))</f>
        <v>839</v>
      </c>
      <c r="AG88">
        <f ca="1">IF(OR($L88&gt;AG$4,AG$4&gt;$L88+23),"",OFFSET(Electric!$L79,0,-'Electric Calendarize'!$L88+'Electric Calendarize'!AG$4+1))</f>
        <v>439</v>
      </c>
      <c r="AH88">
        <f ca="1">IF(OR($L88&gt;AH$4,AH$4&gt;$L88+23),"",OFFSET(Electric!$L79,0,-'Electric Calendarize'!$L88+'Electric Calendarize'!AH$4+1))</f>
        <v>400</v>
      </c>
      <c r="AI88">
        <f ca="1">IF(OR($L88&gt;AI$4,AI$4&gt;$L88+23),"",OFFSET(Electric!$L79,0,-'Electric Calendarize'!$L88+'Electric Calendarize'!AI$4+1))</f>
        <v>469</v>
      </c>
      <c r="AJ88">
        <f ca="1">IF(OR($L88&gt;AJ$4,AJ$4&gt;$L88+23),"",OFFSET(Electric!$L79,0,-'Electric Calendarize'!$L88+'Electric Calendarize'!AJ$4+1))</f>
        <v>745</v>
      </c>
      <c r="AK88">
        <f ca="1">IF(OR($L88&gt;AK$4,AK$4&gt;$L88+23),"",OFFSET(Electric!$L79,0,-'Electric Calendarize'!$L88+'Electric Calendarize'!AK$4+1))</f>
        <v>453</v>
      </c>
      <c r="AL88">
        <f ca="1">IF(OR($L88&gt;AL$4,AL$4&gt;$L88+23),"",OFFSET(Electric!$L79,0,-'Electric Calendarize'!$L88+'Electric Calendarize'!AL$4+1))</f>
        <v>539</v>
      </c>
      <c r="AM88">
        <f ca="1">IF(OR($L88&gt;AM$4,AM$4&gt;$L88+23),"",OFFSET(Electric!$L79,0,-'Electric Calendarize'!$L88+'Electric Calendarize'!AM$4+1))</f>
        <v>597</v>
      </c>
      <c r="AN88">
        <f ca="1">IF(OR($L88&gt;AN$4,AN$4&gt;$L88+23),"",OFFSET(Electric!$L79,0,-'Electric Calendarize'!$L88+'Electric Calendarize'!AN$4+1))</f>
        <v>590</v>
      </c>
      <c r="AO88">
        <f ca="1">IF(OR($L88&gt;AO$4,AO$4&gt;$L88+23),"",OFFSET(Electric!$L79,0,-'Electric Calendarize'!$L88+'Electric Calendarize'!AO$4+1))</f>
        <v>690</v>
      </c>
      <c r="AP88">
        <f ca="1">IF(OR($L88&gt;AP$4,AP$4&gt;$L88+23),"",OFFSET(Electric!$L79,0,-'Electric Calendarize'!$L88+'Electric Calendarize'!AP$4+1))</f>
        <v>840</v>
      </c>
      <c r="AQ88">
        <f ca="1">IF(OR($L88&gt;AQ$4,AQ$4&gt;$L88+23),"",OFFSET(Electric!$L79,0,-'Electric Calendarize'!$L88+'Electric Calendarize'!AQ$4+1))</f>
        <v>989</v>
      </c>
      <c r="AR88">
        <f ca="1">IF(OR($L88&gt;AR$4,AR$4&gt;$L88+23),"",OFFSET(Electric!$L79,0,-'Electric Calendarize'!$L88+'Electric Calendarize'!AR$4+1))</f>
        <v>743</v>
      </c>
      <c r="AS88">
        <f ca="1">IF(OR($L88&gt;AS$4,AS$4&gt;$L88+23),"",OFFSET(Electric!$L79,0,-'Electric Calendarize'!$L88+'Electric Calendarize'!AS$4+1))</f>
        <v>450</v>
      </c>
      <c r="AT88">
        <f ca="1">IF(OR($L88&gt;AT$4,AT$4&gt;$L88+23),"",OFFSET(Electric!$L79,0,-'Electric Calendarize'!$L88+'Electric Calendarize'!AT$4+1))</f>
        <v>505</v>
      </c>
      <c r="AU88">
        <f ca="1">IF(OR($L88&gt;AU$4,AU$4&gt;$L88+23),"",OFFSET(Electric!$L79,0,-'Electric Calendarize'!$L88+'Electric Calendarize'!AU$4+1))</f>
        <v>586</v>
      </c>
      <c r="AV88">
        <f ca="1">IF(OR($L88&gt;AV$4,AV$4&gt;$L88+23),"",OFFSET(Electric!$L79,0,-'Electric Calendarize'!$L88+'Electric Calendarize'!AV$4+1))</f>
        <v>670</v>
      </c>
      <c r="AW88">
        <f ca="1">IF(OR($L88&gt;AW$4,AW$4&gt;$L88+23),"",OFFSET(Electric!$L79,0,-'Electric Calendarize'!$L88+'Electric Calendarize'!AW$4+1))</f>
        <v>602</v>
      </c>
      <c r="AX88" t="str">
        <f ca="1">IF(OR($L88&gt;AX$4,AX$4&gt;$L88+23),"",OFFSET(Electric!$L79,0,-'Electric Calendarize'!$L88+'Electric Calendarize'!AX$4+1))</f>
        <v/>
      </c>
      <c r="AY88" t="str">
        <f ca="1">IF(OR($L88&gt;AY$4,AY$4&gt;$L88+23),"",OFFSET(Electric!$L79,0,-'Electric Calendarize'!$L88+'Electric Calendarize'!AY$4+1))</f>
        <v/>
      </c>
      <c r="AZ88" t="str">
        <f ca="1">IF(OR($L88&gt;AZ$4,AZ$4&gt;$L88+23),"",OFFSET(Electric!$L79,0,-'Electric Calendarize'!$L88+'Electric Calendarize'!AZ$4+1))</f>
        <v/>
      </c>
      <c r="BA88" t="str">
        <f ca="1">IF(OR($L88&gt;BA$4,BA$4&gt;$L88+23),"",OFFSET(Electric!$L79,0,-'Electric Calendarize'!$L88+'Electric Calendarize'!BA$4+1))</f>
        <v/>
      </c>
      <c r="BB88" t="str">
        <f ca="1">IF(OR($L88&gt;BB$4,BB$4&gt;$L88+23),"",OFFSET(Electric!$L79,0,-'Electric Calendarize'!$L88+'Electric Calendarize'!BB$4+1))</f>
        <v/>
      </c>
      <c r="BC88" t="str">
        <f ca="1">IF(OR($L88&gt;BC$4,BC$4&gt;$L88+23),"",OFFSET(Electric!$L79,0,-'Electric Calendarize'!$L88+'Electric Calendarize'!BC$4+1))</f>
        <v/>
      </c>
      <c r="BD88" t="str">
        <f ca="1">IF(OR($L88&gt;BD$4,BD$4&gt;$L88+23),"",OFFSET(Electric!$L79,0,-'Electric Calendarize'!$L88+'Electric Calendarize'!BD$4+1))</f>
        <v/>
      </c>
      <c r="BE88" t="str">
        <f ca="1">IF(OR($L88&gt;BE$4,BE$4&gt;$L88+23),"",OFFSET(Electric!$L79,0,-'Electric Calendarize'!$L88+'Electric Calendarize'!BE$4+1))</f>
        <v/>
      </c>
      <c r="BF88" t="str">
        <f ca="1">IF(OR($L88&gt;BF$4,BF$4&gt;$L88+23),"",OFFSET(Electric!$L79,0,-'Electric Calendarize'!$L88+'Electric Calendarize'!BF$4+1))</f>
        <v/>
      </c>
      <c r="BG88" t="str">
        <f ca="1">IF(OR($L88&gt;BG$4,BG$4&gt;$L88+23),"",OFFSET(Electric!$L79,0,-'Electric Calendarize'!$L88+'Electric Calendarize'!BG$4+1))</f>
        <v/>
      </c>
      <c r="BJ88" s="10" t="s">
        <v>37</v>
      </c>
      <c r="BK88">
        <f t="shared" si="303"/>
        <v>1</v>
      </c>
      <c r="BL88">
        <f t="shared" si="209"/>
        <v>0</v>
      </c>
      <c r="BM88">
        <f t="shared" si="210"/>
        <v>0</v>
      </c>
      <c r="BN88">
        <f t="shared" si="211"/>
        <v>0</v>
      </c>
      <c r="BO88">
        <f t="shared" si="212"/>
        <v>0</v>
      </c>
      <c r="BP88">
        <f t="shared" si="213"/>
        <v>0</v>
      </c>
      <c r="BQ88">
        <f t="shared" si="214"/>
        <v>0</v>
      </c>
      <c r="BR88">
        <f t="shared" si="215"/>
        <v>1</v>
      </c>
      <c r="BS88">
        <f t="shared" si="216"/>
        <v>1</v>
      </c>
      <c r="BT88">
        <f t="shared" si="217"/>
        <v>1</v>
      </c>
      <c r="BU88">
        <f t="shared" si="218"/>
        <v>1</v>
      </c>
      <c r="BV88">
        <f t="shared" si="219"/>
        <v>1</v>
      </c>
      <c r="BW88">
        <f t="shared" si="220"/>
        <v>1</v>
      </c>
      <c r="BX88">
        <f t="shared" si="221"/>
        <v>0</v>
      </c>
      <c r="BY88">
        <f t="shared" si="222"/>
        <v>0</v>
      </c>
      <c r="BZ88">
        <f t="shared" si="223"/>
        <v>0</v>
      </c>
      <c r="CA88">
        <f t="shared" si="224"/>
        <v>0</v>
      </c>
      <c r="CB88">
        <f t="shared" si="225"/>
        <v>0</v>
      </c>
      <c r="CC88">
        <f t="shared" si="226"/>
        <v>0</v>
      </c>
      <c r="CD88">
        <f t="shared" si="227"/>
        <v>1</v>
      </c>
      <c r="CE88">
        <f t="shared" si="228"/>
        <v>1</v>
      </c>
      <c r="CF88">
        <f t="shared" si="229"/>
        <v>1</v>
      </c>
      <c r="CG88">
        <f t="shared" si="230"/>
        <v>1</v>
      </c>
      <c r="CH88">
        <f t="shared" si="231"/>
        <v>1</v>
      </c>
      <c r="CI88">
        <f t="shared" si="232"/>
        <v>1</v>
      </c>
      <c r="CJ88">
        <f t="shared" si="233"/>
        <v>0</v>
      </c>
      <c r="CK88">
        <f t="shared" si="234"/>
        <v>0</v>
      </c>
      <c r="CL88">
        <f t="shared" si="235"/>
        <v>0</v>
      </c>
      <c r="CM88">
        <f t="shared" si="236"/>
        <v>0</v>
      </c>
      <c r="CN88">
        <f t="shared" si="237"/>
        <v>0</v>
      </c>
      <c r="CO88">
        <f t="shared" si="238"/>
        <v>0</v>
      </c>
      <c r="CP88">
        <f t="shared" si="239"/>
        <v>1</v>
      </c>
      <c r="CQ88">
        <f t="shared" si="240"/>
        <v>1</v>
      </c>
      <c r="CR88">
        <f t="shared" si="241"/>
        <v>1</v>
      </c>
      <c r="CS88">
        <f t="shared" si="242"/>
        <v>1</v>
      </c>
      <c r="CT88">
        <f t="shared" si="243"/>
        <v>1</v>
      </c>
      <c r="CU88">
        <f t="shared" si="244"/>
        <v>1</v>
      </c>
      <c r="CV88">
        <f t="shared" si="245"/>
        <v>0</v>
      </c>
      <c r="CW88">
        <f t="shared" si="246"/>
        <v>0</v>
      </c>
      <c r="CX88">
        <f t="shared" si="247"/>
        <v>0</v>
      </c>
      <c r="CY88">
        <f t="shared" si="248"/>
        <v>0</v>
      </c>
      <c r="CZ88">
        <f t="shared" si="249"/>
        <v>0</v>
      </c>
      <c r="DA88">
        <f t="shared" si="250"/>
        <v>0</v>
      </c>
      <c r="DB88">
        <f t="shared" si="251"/>
        <v>1</v>
      </c>
      <c r="DC88">
        <f t="shared" si="252"/>
        <v>1</v>
      </c>
      <c r="DF88" s="10" t="s">
        <v>37</v>
      </c>
      <c r="DG88" t="str">
        <f t="shared" si="304"/>
        <v>2022_3</v>
      </c>
      <c r="DH88" t="str">
        <f t="shared" si="304"/>
        <v>2022_3</v>
      </c>
      <c r="DI88" t="str">
        <f t="shared" si="304"/>
        <v>2022_3</v>
      </c>
      <c r="DJ88" t="str">
        <f t="shared" si="304"/>
        <v>2022_3</v>
      </c>
      <c r="DK88" t="str">
        <f t="shared" si="304"/>
        <v>2022_3</v>
      </c>
      <c r="DL88" t="str">
        <f t="shared" si="304"/>
        <v>2022_3</v>
      </c>
      <c r="DM88" t="str">
        <f t="shared" si="304"/>
        <v>2022_3</v>
      </c>
      <c r="DN88" t="str">
        <f t="shared" si="304"/>
        <v>2022_3</v>
      </c>
      <c r="DO88" t="str">
        <f t="shared" si="304"/>
        <v>2022_3</v>
      </c>
      <c r="DP88" t="str">
        <f t="shared" si="304"/>
        <v>2022_3</v>
      </c>
      <c r="DQ88" t="str">
        <f t="shared" si="304"/>
        <v>2022_3</v>
      </c>
      <c r="DR88" t="str">
        <f t="shared" si="304"/>
        <v>2022_3</v>
      </c>
      <c r="DS88" t="str">
        <f t="shared" si="304"/>
        <v>2022_3</v>
      </c>
      <c r="DT88" t="str">
        <f t="shared" si="304"/>
        <v>2022_3</v>
      </c>
      <c r="DU88" t="str">
        <f t="shared" si="304"/>
        <v>2022_3</v>
      </c>
      <c r="DV88" t="str">
        <f t="shared" si="253"/>
        <v>2022_3</v>
      </c>
      <c r="DW88" t="str">
        <f t="shared" si="253"/>
        <v>2022_3</v>
      </c>
      <c r="DX88" t="str">
        <f t="shared" si="253"/>
        <v>2022_3</v>
      </c>
      <c r="DY88" t="str">
        <f t="shared" si="253"/>
        <v>2022_3</v>
      </c>
      <c r="DZ88" t="str">
        <f t="shared" si="253"/>
        <v>2022_3</v>
      </c>
      <c r="EA88" t="str">
        <f t="shared" si="253"/>
        <v>2022_3</v>
      </c>
      <c r="EB88" t="str">
        <f t="shared" si="253"/>
        <v>2022_3</v>
      </c>
      <c r="EC88" t="str">
        <f t="shared" si="253"/>
        <v>2022_3</v>
      </c>
      <c r="ED88" t="str">
        <f t="shared" si="253"/>
        <v>2022_3</v>
      </c>
      <c r="EE88" t="str">
        <f t="shared" si="253"/>
        <v>2022_3</v>
      </c>
      <c r="EF88" t="str">
        <f t="shared" si="253"/>
        <v>2022_3</v>
      </c>
      <c r="EG88" t="str">
        <f t="shared" si="253"/>
        <v>2022_3</v>
      </c>
      <c r="EH88" t="str">
        <f t="shared" si="253"/>
        <v>2022_3</v>
      </c>
      <c r="EI88" t="str">
        <f t="shared" si="253"/>
        <v>2022_3</v>
      </c>
      <c r="EJ88" t="str">
        <f t="shared" si="253"/>
        <v>2022_3</v>
      </c>
      <c r="EK88" t="str">
        <f t="shared" si="253"/>
        <v>2022_3</v>
      </c>
      <c r="EL88" t="str">
        <f t="shared" si="254"/>
        <v>2022_3</v>
      </c>
      <c r="EM88" t="str">
        <f t="shared" si="208"/>
        <v>2022_3</v>
      </c>
      <c r="EN88" t="str">
        <f t="shared" si="208"/>
        <v>2022_3</v>
      </c>
      <c r="EO88" t="str">
        <f t="shared" si="208"/>
        <v>2022_3</v>
      </c>
      <c r="EP88" t="str">
        <f t="shared" si="208"/>
        <v>2022_3</v>
      </c>
      <c r="EQ88" t="str">
        <f t="shared" si="208"/>
        <v>2022_3</v>
      </c>
      <c r="ER88" t="str">
        <f t="shared" si="208"/>
        <v>2022_3</v>
      </c>
      <c r="ES88" t="str">
        <f t="shared" si="208"/>
        <v>2022_3</v>
      </c>
      <c r="ET88" t="str">
        <f t="shared" si="208"/>
        <v>2022_3</v>
      </c>
      <c r="EU88" t="str">
        <f t="shared" si="208"/>
        <v>2022_3</v>
      </c>
      <c r="EV88" t="str">
        <f t="shared" si="208"/>
        <v>2022_3</v>
      </c>
      <c r="EW88" t="str">
        <f t="shared" si="208"/>
        <v>2022_3</v>
      </c>
      <c r="EX88" t="str">
        <f t="shared" si="208"/>
        <v>2022_3</v>
      </c>
      <c r="EY88" t="str">
        <f t="shared" si="208"/>
        <v>2022_3</v>
      </c>
      <c r="FB88" s="10" t="s">
        <v>37</v>
      </c>
      <c r="FC88">
        <f t="shared" si="305"/>
        <v>0</v>
      </c>
      <c r="FD88">
        <f t="shared" si="255"/>
        <v>0</v>
      </c>
      <c r="FE88">
        <f t="shared" si="256"/>
        <v>0</v>
      </c>
      <c r="FF88">
        <f t="shared" si="257"/>
        <v>0</v>
      </c>
      <c r="FG88">
        <f t="shared" si="258"/>
        <v>0</v>
      </c>
      <c r="FH88">
        <f t="shared" si="259"/>
        <v>0</v>
      </c>
      <c r="FI88">
        <f t="shared" si="260"/>
        <v>0</v>
      </c>
      <c r="FJ88">
        <f t="shared" si="261"/>
        <v>0</v>
      </c>
      <c r="FK88">
        <f t="shared" si="262"/>
        <v>0</v>
      </c>
      <c r="FL88">
        <f t="shared" si="263"/>
        <v>0</v>
      </c>
      <c r="FM88">
        <f t="shared" si="264"/>
        <v>0</v>
      </c>
      <c r="FN88">
        <f t="shared" si="265"/>
        <v>0</v>
      </c>
      <c r="FO88">
        <f t="shared" si="266"/>
        <v>0</v>
      </c>
      <c r="FP88">
        <f t="shared" si="267"/>
        <v>0</v>
      </c>
      <c r="FQ88">
        <f t="shared" si="268"/>
        <v>0</v>
      </c>
      <c r="FR88">
        <f t="shared" si="269"/>
        <v>0</v>
      </c>
      <c r="FS88">
        <f t="shared" si="270"/>
        <v>0</v>
      </c>
      <c r="FT88">
        <f t="shared" si="271"/>
        <v>0</v>
      </c>
      <c r="FU88">
        <f t="shared" si="272"/>
        <v>0</v>
      </c>
      <c r="FV88">
        <f t="shared" si="273"/>
        <v>0</v>
      </c>
      <c r="FW88">
        <f t="shared" si="274"/>
        <v>0</v>
      </c>
      <c r="FX88">
        <f t="shared" si="275"/>
        <v>0</v>
      </c>
      <c r="FY88">
        <f t="shared" si="276"/>
        <v>0</v>
      </c>
      <c r="FZ88">
        <f t="shared" si="277"/>
        <v>1</v>
      </c>
      <c r="GA88">
        <f t="shared" si="278"/>
        <v>1</v>
      </c>
      <c r="GB88">
        <f t="shared" si="279"/>
        <v>1</v>
      </c>
      <c r="GC88">
        <f t="shared" si="280"/>
        <v>1</v>
      </c>
      <c r="GD88">
        <f t="shared" si="281"/>
        <v>1</v>
      </c>
      <c r="GE88">
        <f t="shared" si="282"/>
        <v>1</v>
      </c>
      <c r="GF88">
        <f t="shared" si="283"/>
        <v>1</v>
      </c>
      <c r="GG88">
        <f t="shared" si="284"/>
        <v>1</v>
      </c>
      <c r="GH88">
        <f t="shared" si="285"/>
        <v>1</v>
      </c>
      <c r="GI88">
        <f t="shared" si="286"/>
        <v>1</v>
      </c>
      <c r="GJ88">
        <f t="shared" si="287"/>
        <v>1</v>
      </c>
      <c r="GK88">
        <f t="shared" si="288"/>
        <v>1</v>
      </c>
      <c r="GL88">
        <f t="shared" si="289"/>
        <v>1</v>
      </c>
      <c r="GM88">
        <f t="shared" si="290"/>
        <v>1</v>
      </c>
      <c r="GN88">
        <f t="shared" si="291"/>
        <v>1</v>
      </c>
      <c r="GO88">
        <f t="shared" si="292"/>
        <v>1</v>
      </c>
      <c r="GP88">
        <f t="shared" si="293"/>
        <v>1</v>
      </c>
      <c r="GQ88">
        <f t="shared" si="294"/>
        <v>1</v>
      </c>
      <c r="GR88">
        <f t="shared" si="295"/>
        <v>1</v>
      </c>
      <c r="GS88">
        <f t="shared" si="296"/>
        <v>1</v>
      </c>
      <c r="GT88">
        <f t="shared" si="297"/>
        <v>1</v>
      </c>
      <c r="GU88">
        <f t="shared" si="298"/>
        <v>1</v>
      </c>
      <c r="GX88" s="10"/>
    </row>
    <row r="89" spans="1:206" x14ac:dyDescent="0.3">
      <c r="A89" s="9" t="s">
        <v>41</v>
      </c>
      <c r="B89" s="80"/>
      <c r="C89" s="9">
        <v>3130527000</v>
      </c>
      <c r="D89" s="9" t="s">
        <v>417</v>
      </c>
      <c r="E89" s="9" t="s">
        <v>39</v>
      </c>
      <c r="F89" s="9" t="s">
        <v>35</v>
      </c>
      <c r="G89" s="9" t="s">
        <v>122</v>
      </c>
      <c r="H89" s="10">
        <v>44635</v>
      </c>
      <c r="I89" s="9">
        <f t="shared" si="299"/>
        <v>2022</v>
      </c>
      <c r="J89" s="9">
        <f t="shared" si="300"/>
        <v>3</v>
      </c>
      <c r="K89" s="9" t="str">
        <f t="shared" si="301"/>
        <v>2022_3</v>
      </c>
      <c r="L89">
        <f>MAX(0,VLOOKUP($K89,lookups!$A$1:$B$45,2,0)-12)</f>
        <v>11</v>
      </c>
      <c r="M89" s="40">
        <f t="shared" si="302"/>
        <v>44621</v>
      </c>
      <c r="N89" s="10" t="s">
        <v>37</v>
      </c>
      <c r="O89" t="str">
        <f ca="1">IF(OR($L89&gt;O$4,O$4&gt;$L89+23),"",OFFSET(Electric!$L80,0,-'Electric Calendarize'!$L89+'Electric Calendarize'!O$4+1))</f>
        <v/>
      </c>
      <c r="P89" t="str">
        <f ca="1">IF(OR($L89&gt;P$4,P$4&gt;$L89+23),"",OFFSET(Electric!$L80,0,-'Electric Calendarize'!$L89+'Electric Calendarize'!P$4+1))</f>
        <v/>
      </c>
      <c r="Q89" t="str">
        <f ca="1">IF(OR($L89&gt;Q$4,Q$4&gt;$L89+23),"",OFFSET(Electric!$L80,0,-'Electric Calendarize'!$L89+'Electric Calendarize'!Q$4+1))</f>
        <v/>
      </c>
      <c r="R89" t="str">
        <f ca="1">IF(OR($L89&gt;R$4,R$4&gt;$L89+23),"",OFFSET(Electric!$L80,0,-'Electric Calendarize'!$L89+'Electric Calendarize'!R$4+1))</f>
        <v/>
      </c>
      <c r="S89" t="str">
        <f ca="1">IF(OR($L89&gt;S$4,S$4&gt;$L89+23),"",OFFSET(Electric!$L80,0,-'Electric Calendarize'!$L89+'Electric Calendarize'!S$4+1))</f>
        <v/>
      </c>
      <c r="T89" t="str">
        <f ca="1">IF(OR($L89&gt;T$4,T$4&gt;$L89+23),"",OFFSET(Electric!$L80,0,-'Electric Calendarize'!$L89+'Electric Calendarize'!T$4+1))</f>
        <v/>
      </c>
      <c r="U89" t="str">
        <f ca="1">IF(OR($L89&gt;U$4,U$4&gt;$L89+23),"",OFFSET(Electric!$L80,0,-'Electric Calendarize'!$L89+'Electric Calendarize'!U$4+1))</f>
        <v/>
      </c>
      <c r="V89" t="str">
        <f ca="1">IF(OR($L89&gt;V$4,V$4&gt;$L89+23),"",OFFSET(Electric!$L80,0,-'Electric Calendarize'!$L89+'Electric Calendarize'!V$4+1))</f>
        <v/>
      </c>
      <c r="W89" t="str">
        <f ca="1">IF(OR($L89&gt;W$4,W$4&gt;$L89+23),"",OFFSET(Electric!$L80,0,-'Electric Calendarize'!$L89+'Electric Calendarize'!W$4+1))</f>
        <v/>
      </c>
      <c r="X89" t="str">
        <f ca="1">IF(OR($L89&gt;X$4,X$4&gt;$L89+23),"",OFFSET(Electric!$L80,0,-'Electric Calendarize'!$L89+'Electric Calendarize'!X$4+1))</f>
        <v/>
      </c>
      <c r="Y89" t="str">
        <f ca="1">IF(OR($L89&gt;Y$4,Y$4&gt;$L89+23),"",OFFSET(Electric!$L80,0,-'Electric Calendarize'!$L89+'Electric Calendarize'!Y$4+1))</f>
        <v/>
      </c>
      <c r="Z89">
        <f ca="1">IF(OR($L89&gt;Z$4,Z$4&gt;$L89+23),"",OFFSET(Electric!$L80,0,-'Electric Calendarize'!$L89+'Electric Calendarize'!Z$4+1))</f>
        <v>333</v>
      </c>
      <c r="AA89">
        <f ca="1">IF(OR($L89&gt;AA$4,AA$4&gt;$L89+23),"",OFFSET(Electric!$L80,0,-'Electric Calendarize'!$L89+'Electric Calendarize'!AA$4+1))</f>
        <v>274</v>
      </c>
      <c r="AB89">
        <f ca="1">IF(OR($L89&gt;AB$4,AB$4&gt;$L89+23),"",OFFSET(Electric!$L80,0,-'Electric Calendarize'!$L89+'Electric Calendarize'!AB$4+1))</f>
        <v>282</v>
      </c>
      <c r="AC89">
        <f ca="1">IF(OR($L89&gt;AC$4,AC$4&gt;$L89+23),"",OFFSET(Electric!$L80,0,-'Electric Calendarize'!$L89+'Electric Calendarize'!AC$4+1))</f>
        <v>481</v>
      </c>
      <c r="AD89">
        <f ca="1">IF(OR($L89&gt;AD$4,AD$4&gt;$L89+23),"",OFFSET(Electric!$L80,0,-'Electric Calendarize'!$L89+'Electric Calendarize'!AD$4+1))</f>
        <v>599</v>
      </c>
      <c r="AE89">
        <f ca="1">IF(OR($L89&gt;AE$4,AE$4&gt;$L89+23),"",OFFSET(Electric!$L80,0,-'Electric Calendarize'!$L89+'Electric Calendarize'!AE$4+1))</f>
        <v>550</v>
      </c>
      <c r="AF89">
        <f ca="1">IF(OR($L89&gt;AF$4,AF$4&gt;$L89+23),"",OFFSET(Electric!$L80,0,-'Electric Calendarize'!$L89+'Electric Calendarize'!AF$4+1))</f>
        <v>564</v>
      </c>
      <c r="AG89">
        <f ca="1">IF(OR($L89&gt;AG$4,AG$4&gt;$L89+23),"",OFFSET(Electric!$L80,0,-'Electric Calendarize'!$L89+'Electric Calendarize'!AG$4+1))</f>
        <v>486</v>
      </c>
      <c r="AH89">
        <f ca="1">IF(OR($L89&gt;AH$4,AH$4&gt;$L89+23),"",OFFSET(Electric!$L80,0,-'Electric Calendarize'!$L89+'Electric Calendarize'!AH$4+1))</f>
        <v>359</v>
      </c>
      <c r="AI89">
        <f ca="1">IF(OR($L89&gt;AI$4,AI$4&gt;$L89+23),"",OFFSET(Electric!$L80,0,-'Electric Calendarize'!$L89+'Electric Calendarize'!AI$4+1))</f>
        <v>368</v>
      </c>
      <c r="AJ89">
        <f ca="1">IF(OR($L89&gt;AJ$4,AJ$4&gt;$L89+23),"",OFFSET(Electric!$L80,0,-'Electric Calendarize'!$L89+'Electric Calendarize'!AJ$4+1))</f>
        <v>415</v>
      </c>
      <c r="AK89">
        <f ca="1">IF(OR($L89&gt;AK$4,AK$4&gt;$L89+23),"",OFFSET(Electric!$L80,0,-'Electric Calendarize'!$L89+'Electric Calendarize'!AK$4+1))</f>
        <v>311</v>
      </c>
      <c r="AL89">
        <f ca="1">IF(OR($L89&gt;AL$4,AL$4&gt;$L89+23),"",OFFSET(Electric!$L80,0,-'Electric Calendarize'!$L89+'Electric Calendarize'!AL$4+1))</f>
        <v>286</v>
      </c>
      <c r="AM89">
        <f ca="1">IF(OR($L89&gt;AM$4,AM$4&gt;$L89+23),"",OFFSET(Electric!$L80,0,-'Electric Calendarize'!$L89+'Electric Calendarize'!AM$4+1))</f>
        <v>268</v>
      </c>
      <c r="AN89">
        <f ca="1">IF(OR($L89&gt;AN$4,AN$4&gt;$L89+23),"",OFFSET(Electric!$L80,0,-'Electric Calendarize'!$L89+'Electric Calendarize'!AN$4+1))</f>
        <v>333</v>
      </c>
      <c r="AO89">
        <f ca="1">IF(OR($L89&gt;AO$4,AO$4&gt;$L89+23),"",OFFSET(Electric!$L80,0,-'Electric Calendarize'!$L89+'Electric Calendarize'!AO$4+1))</f>
        <v>503</v>
      </c>
      <c r="AP89">
        <f ca="1">IF(OR($L89&gt;AP$4,AP$4&gt;$L89+23),"",OFFSET(Electric!$L80,0,-'Electric Calendarize'!$L89+'Electric Calendarize'!AP$4+1))</f>
        <v>602</v>
      </c>
      <c r="AQ89">
        <f ca="1">IF(OR($L89&gt;AQ$4,AQ$4&gt;$L89+23),"",OFFSET(Electric!$L80,0,-'Electric Calendarize'!$L89+'Electric Calendarize'!AQ$4+1))</f>
        <v>517</v>
      </c>
      <c r="AR89">
        <f ca="1">IF(OR($L89&gt;AR$4,AR$4&gt;$L89+23),"",OFFSET(Electric!$L80,0,-'Electric Calendarize'!$L89+'Electric Calendarize'!AR$4+1))</f>
        <v>563</v>
      </c>
      <c r="AS89">
        <f ca="1">IF(OR($L89&gt;AS$4,AS$4&gt;$L89+23),"",OFFSET(Electric!$L80,0,-'Electric Calendarize'!$L89+'Electric Calendarize'!AS$4+1))</f>
        <v>609</v>
      </c>
      <c r="AT89">
        <f ca="1">IF(OR($L89&gt;AT$4,AT$4&gt;$L89+23),"",OFFSET(Electric!$L80,0,-'Electric Calendarize'!$L89+'Electric Calendarize'!AT$4+1))</f>
        <v>374</v>
      </c>
      <c r="AU89">
        <f ca="1">IF(OR($L89&gt;AU$4,AU$4&gt;$L89+23),"",OFFSET(Electric!$L80,0,-'Electric Calendarize'!$L89+'Electric Calendarize'!AU$4+1))</f>
        <v>318</v>
      </c>
      <c r="AV89">
        <f ca="1">IF(OR($L89&gt;AV$4,AV$4&gt;$L89+23),"",OFFSET(Electric!$L80,0,-'Electric Calendarize'!$L89+'Electric Calendarize'!AV$4+1))</f>
        <v>436</v>
      </c>
      <c r="AW89">
        <f ca="1">IF(OR($L89&gt;AW$4,AW$4&gt;$L89+23),"",OFFSET(Electric!$L80,0,-'Electric Calendarize'!$L89+'Electric Calendarize'!AW$4+1))</f>
        <v>373</v>
      </c>
      <c r="AX89" t="str">
        <f ca="1">IF(OR($L89&gt;AX$4,AX$4&gt;$L89+23),"",OFFSET(Electric!$L80,0,-'Electric Calendarize'!$L89+'Electric Calendarize'!AX$4+1))</f>
        <v/>
      </c>
      <c r="AY89" t="str">
        <f ca="1">IF(OR($L89&gt;AY$4,AY$4&gt;$L89+23),"",OFFSET(Electric!$L80,0,-'Electric Calendarize'!$L89+'Electric Calendarize'!AY$4+1))</f>
        <v/>
      </c>
      <c r="AZ89" t="str">
        <f ca="1">IF(OR($L89&gt;AZ$4,AZ$4&gt;$L89+23),"",OFFSET(Electric!$L80,0,-'Electric Calendarize'!$L89+'Electric Calendarize'!AZ$4+1))</f>
        <v/>
      </c>
      <c r="BA89" t="str">
        <f ca="1">IF(OR($L89&gt;BA$4,BA$4&gt;$L89+23),"",OFFSET(Electric!$L80,0,-'Electric Calendarize'!$L89+'Electric Calendarize'!BA$4+1))</f>
        <v/>
      </c>
      <c r="BB89" t="str">
        <f ca="1">IF(OR($L89&gt;BB$4,BB$4&gt;$L89+23),"",OFFSET(Electric!$L80,0,-'Electric Calendarize'!$L89+'Electric Calendarize'!BB$4+1))</f>
        <v/>
      </c>
      <c r="BC89" t="str">
        <f ca="1">IF(OR($L89&gt;BC$4,BC$4&gt;$L89+23),"",OFFSET(Electric!$L80,0,-'Electric Calendarize'!$L89+'Electric Calendarize'!BC$4+1))</f>
        <v/>
      </c>
      <c r="BD89" t="str">
        <f ca="1">IF(OR($L89&gt;BD$4,BD$4&gt;$L89+23),"",OFFSET(Electric!$L80,0,-'Electric Calendarize'!$L89+'Electric Calendarize'!BD$4+1))</f>
        <v/>
      </c>
      <c r="BE89" t="str">
        <f ca="1">IF(OR($L89&gt;BE$4,BE$4&gt;$L89+23),"",OFFSET(Electric!$L80,0,-'Electric Calendarize'!$L89+'Electric Calendarize'!BE$4+1))</f>
        <v/>
      </c>
      <c r="BF89" t="str">
        <f ca="1">IF(OR($L89&gt;BF$4,BF$4&gt;$L89+23),"",OFFSET(Electric!$L80,0,-'Electric Calendarize'!$L89+'Electric Calendarize'!BF$4+1))</f>
        <v/>
      </c>
      <c r="BG89" t="str">
        <f ca="1">IF(OR($L89&gt;BG$4,BG$4&gt;$L89+23),"",OFFSET(Electric!$L80,0,-'Electric Calendarize'!$L89+'Electric Calendarize'!BG$4+1))</f>
        <v/>
      </c>
      <c r="BJ89" s="10" t="s">
        <v>37</v>
      </c>
      <c r="BK89">
        <f t="shared" si="303"/>
        <v>1</v>
      </c>
      <c r="BL89">
        <f t="shared" si="209"/>
        <v>0</v>
      </c>
      <c r="BM89">
        <f t="shared" si="210"/>
        <v>0</v>
      </c>
      <c r="BN89">
        <f t="shared" si="211"/>
        <v>0</v>
      </c>
      <c r="BO89">
        <f t="shared" si="212"/>
        <v>0</v>
      </c>
      <c r="BP89">
        <f t="shared" si="213"/>
        <v>0</v>
      </c>
      <c r="BQ89">
        <f t="shared" si="214"/>
        <v>0</v>
      </c>
      <c r="BR89">
        <f t="shared" si="215"/>
        <v>1</v>
      </c>
      <c r="BS89">
        <f t="shared" si="216"/>
        <v>1</v>
      </c>
      <c r="BT89">
        <f t="shared" si="217"/>
        <v>1</v>
      </c>
      <c r="BU89">
        <f t="shared" si="218"/>
        <v>1</v>
      </c>
      <c r="BV89">
        <f t="shared" si="219"/>
        <v>1</v>
      </c>
      <c r="BW89">
        <f t="shared" si="220"/>
        <v>1</v>
      </c>
      <c r="BX89">
        <f t="shared" si="221"/>
        <v>0</v>
      </c>
      <c r="BY89">
        <f t="shared" si="222"/>
        <v>0</v>
      </c>
      <c r="BZ89">
        <f t="shared" si="223"/>
        <v>0</v>
      </c>
      <c r="CA89">
        <f t="shared" si="224"/>
        <v>0</v>
      </c>
      <c r="CB89">
        <f t="shared" si="225"/>
        <v>0</v>
      </c>
      <c r="CC89">
        <f t="shared" si="226"/>
        <v>0</v>
      </c>
      <c r="CD89">
        <f t="shared" si="227"/>
        <v>1</v>
      </c>
      <c r="CE89">
        <f t="shared" si="228"/>
        <v>1</v>
      </c>
      <c r="CF89">
        <f t="shared" si="229"/>
        <v>1</v>
      </c>
      <c r="CG89">
        <f t="shared" si="230"/>
        <v>1</v>
      </c>
      <c r="CH89">
        <f t="shared" si="231"/>
        <v>1</v>
      </c>
      <c r="CI89">
        <f t="shared" si="232"/>
        <v>1</v>
      </c>
      <c r="CJ89">
        <f t="shared" si="233"/>
        <v>0</v>
      </c>
      <c r="CK89">
        <f t="shared" si="234"/>
        <v>0</v>
      </c>
      <c r="CL89">
        <f t="shared" si="235"/>
        <v>0</v>
      </c>
      <c r="CM89">
        <f t="shared" si="236"/>
        <v>0</v>
      </c>
      <c r="CN89">
        <f t="shared" si="237"/>
        <v>0</v>
      </c>
      <c r="CO89">
        <f t="shared" si="238"/>
        <v>0</v>
      </c>
      <c r="CP89">
        <f t="shared" si="239"/>
        <v>1</v>
      </c>
      <c r="CQ89">
        <f t="shared" si="240"/>
        <v>1</v>
      </c>
      <c r="CR89">
        <f t="shared" si="241"/>
        <v>1</v>
      </c>
      <c r="CS89">
        <f t="shared" si="242"/>
        <v>1</v>
      </c>
      <c r="CT89">
        <f t="shared" si="243"/>
        <v>1</v>
      </c>
      <c r="CU89">
        <f t="shared" si="244"/>
        <v>1</v>
      </c>
      <c r="CV89">
        <f t="shared" si="245"/>
        <v>0</v>
      </c>
      <c r="CW89">
        <f t="shared" si="246"/>
        <v>0</v>
      </c>
      <c r="CX89">
        <f t="shared" si="247"/>
        <v>0</v>
      </c>
      <c r="CY89">
        <f t="shared" si="248"/>
        <v>0</v>
      </c>
      <c r="CZ89">
        <f t="shared" si="249"/>
        <v>0</v>
      </c>
      <c r="DA89">
        <f t="shared" si="250"/>
        <v>0</v>
      </c>
      <c r="DB89">
        <f t="shared" si="251"/>
        <v>1</v>
      </c>
      <c r="DC89">
        <f t="shared" si="252"/>
        <v>1</v>
      </c>
      <c r="DF89" s="10" t="s">
        <v>37</v>
      </c>
      <c r="DG89" t="str">
        <f t="shared" si="304"/>
        <v>2022_3</v>
      </c>
      <c r="DH89" t="str">
        <f t="shared" si="304"/>
        <v>2022_3</v>
      </c>
      <c r="DI89" t="str">
        <f t="shared" si="304"/>
        <v>2022_3</v>
      </c>
      <c r="DJ89" t="str">
        <f t="shared" si="304"/>
        <v>2022_3</v>
      </c>
      <c r="DK89" t="str">
        <f t="shared" si="304"/>
        <v>2022_3</v>
      </c>
      <c r="DL89" t="str">
        <f t="shared" si="304"/>
        <v>2022_3</v>
      </c>
      <c r="DM89" t="str">
        <f t="shared" si="304"/>
        <v>2022_3</v>
      </c>
      <c r="DN89" t="str">
        <f t="shared" si="304"/>
        <v>2022_3</v>
      </c>
      <c r="DO89" t="str">
        <f t="shared" si="304"/>
        <v>2022_3</v>
      </c>
      <c r="DP89" t="str">
        <f t="shared" si="304"/>
        <v>2022_3</v>
      </c>
      <c r="DQ89" t="str">
        <f t="shared" si="304"/>
        <v>2022_3</v>
      </c>
      <c r="DR89" t="str">
        <f t="shared" si="304"/>
        <v>2022_3</v>
      </c>
      <c r="DS89" t="str">
        <f t="shared" si="304"/>
        <v>2022_3</v>
      </c>
      <c r="DT89" t="str">
        <f t="shared" si="304"/>
        <v>2022_3</v>
      </c>
      <c r="DU89" t="str">
        <f t="shared" si="304"/>
        <v>2022_3</v>
      </c>
      <c r="DV89" t="str">
        <f t="shared" si="253"/>
        <v>2022_3</v>
      </c>
      <c r="DW89" t="str">
        <f t="shared" si="253"/>
        <v>2022_3</v>
      </c>
      <c r="DX89" t="str">
        <f t="shared" si="253"/>
        <v>2022_3</v>
      </c>
      <c r="DY89" t="str">
        <f t="shared" si="253"/>
        <v>2022_3</v>
      </c>
      <c r="DZ89" t="str">
        <f t="shared" si="253"/>
        <v>2022_3</v>
      </c>
      <c r="EA89" t="str">
        <f t="shared" si="253"/>
        <v>2022_3</v>
      </c>
      <c r="EB89" t="str">
        <f t="shared" si="253"/>
        <v>2022_3</v>
      </c>
      <c r="EC89" t="str">
        <f t="shared" si="253"/>
        <v>2022_3</v>
      </c>
      <c r="ED89" t="str">
        <f t="shared" si="253"/>
        <v>2022_3</v>
      </c>
      <c r="EE89" t="str">
        <f t="shared" si="253"/>
        <v>2022_3</v>
      </c>
      <c r="EF89" t="str">
        <f t="shared" si="253"/>
        <v>2022_3</v>
      </c>
      <c r="EG89" t="str">
        <f t="shared" si="253"/>
        <v>2022_3</v>
      </c>
      <c r="EH89" t="str">
        <f t="shared" si="253"/>
        <v>2022_3</v>
      </c>
      <c r="EI89" t="str">
        <f t="shared" si="253"/>
        <v>2022_3</v>
      </c>
      <c r="EJ89" t="str">
        <f t="shared" si="253"/>
        <v>2022_3</v>
      </c>
      <c r="EK89" t="str">
        <f t="shared" si="253"/>
        <v>2022_3</v>
      </c>
      <c r="EL89" t="str">
        <f t="shared" si="254"/>
        <v>2022_3</v>
      </c>
      <c r="EM89" t="str">
        <f t="shared" si="254"/>
        <v>2022_3</v>
      </c>
      <c r="EN89" t="str">
        <f t="shared" si="254"/>
        <v>2022_3</v>
      </c>
      <c r="EO89" t="str">
        <f t="shared" si="254"/>
        <v>2022_3</v>
      </c>
      <c r="EP89" t="str">
        <f t="shared" si="254"/>
        <v>2022_3</v>
      </c>
      <c r="EQ89" t="str">
        <f t="shared" si="254"/>
        <v>2022_3</v>
      </c>
      <c r="ER89" t="str">
        <f t="shared" si="254"/>
        <v>2022_3</v>
      </c>
      <c r="ES89" t="str">
        <f t="shared" si="254"/>
        <v>2022_3</v>
      </c>
      <c r="ET89" t="str">
        <f t="shared" si="254"/>
        <v>2022_3</v>
      </c>
      <c r="EU89" t="str">
        <f t="shared" si="254"/>
        <v>2022_3</v>
      </c>
      <c r="EV89" t="str">
        <f t="shared" si="254"/>
        <v>2022_3</v>
      </c>
      <c r="EW89" t="str">
        <f t="shared" si="254"/>
        <v>2022_3</v>
      </c>
      <c r="EX89" t="str">
        <f t="shared" si="254"/>
        <v>2022_3</v>
      </c>
      <c r="EY89" t="str">
        <f t="shared" si="254"/>
        <v>2022_3</v>
      </c>
      <c r="FB89" s="10" t="s">
        <v>37</v>
      </c>
      <c r="FC89">
        <f t="shared" si="305"/>
        <v>0</v>
      </c>
      <c r="FD89">
        <f t="shared" si="255"/>
        <v>0</v>
      </c>
      <c r="FE89">
        <f t="shared" si="256"/>
        <v>0</v>
      </c>
      <c r="FF89">
        <f t="shared" si="257"/>
        <v>0</v>
      </c>
      <c r="FG89">
        <f t="shared" si="258"/>
        <v>0</v>
      </c>
      <c r="FH89">
        <f t="shared" si="259"/>
        <v>0</v>
      </c>
      <c r="FI89">
        <f t="shared" si="260"/>
        <v>0</v>
      </c>
      <c r="FJ89">
        <f t="shared" si="261"/>
        <v>0</v>
      </c>
      <c r="FK89">
        <f t="shared" si="262"/>
        <v>0</v>
      </c>
      <c r="FL89">
        <f t="shared" si="263"/>
        <v>0</v>
      </c>
      <c r="FM89">
        <f t="shared" si="264"/>
        <v>0</v>
      </c>
      <c r="FN89">
        <f t="shared" si="265"/>
        <v>0</v>
      </c>
      <c r="FO89">
        <f t="shared" si="266"/>
        <v>0</v>
      </c>
      <c r="FP89">
        <f t="shared" si="267"/>
        <v>0</v>
      </c>
      <c r="FQ89">
        <f t="shared" si="268"/>
        <v>0</v>
      </c>
      <c r="FR89">
        <f t="shared" si="269"/>
        <v>0</v>
      </c>
      <c r="FS89">
        <f t="shared" si="270"/>
        <v>0</v>
      </c>
      <c r="FT89">
        <f t="shared" si="271"/>
        <v>0</v>
      </c>
      <c r="FU89">
        <f t="shared" si="272"/>
        <v>0</v>
      </c>
      <c r="FV89">
        <f t="shared" si="273"/>
        <v>0</v>
      </c>
      <c r="FW89">
        <f t="shared" si="274"/>
        <v>0</v>
      </c>
      <c r="FX89">
        <f t="shared" si="275"/>
        <v>0</v>
      </c>
      <c r="FY89">
        <f t="shared" si="276"/>
        <v>0</v>
      </c>
      <c r="FZ89">
        <f t="shared" si="277"/>
        <v>1</v>
      </c>
      <c r="GA89">
        <f t="shared" si="278"/>
        <v>1</v>
      </c>
      <c r="GB89">
        <f t="shared" si="279"/>
        <v>1</v>
      </c>
      <c r="GC89">
        <f t="shared" si="280"/>
        <v>1</v>
      </c>
      <c r="GD89">
        <f t="shared" si="281"/>
        <v>1</v>
      </c>
      <c r="GE89">
        <f t="shared" si="282"/>
        <v>1</v>
      </c>
      <c r="GF89">
        <f t="shared" si="283"/>
        <v>1</v>
      </c>
      <c r="GG89">
        <f t="shared" si="284"/>
        <v>1</v>
      </c>
      <c r="GH89">
        <f t="shared" si="285"/>
        <v>1</v>
      </c>
      <c r="GI89">
        <f t="shared" si="286"/>
        <v>1</v>
      </c>
      <c r="GJ89">
        <f t="shared" si="287"/>
        <v>1</v>
      </c>
      <c r="GK89">
        <f t="shared" si="288"/>
        <v>1</v>
      </c>
      <c r="GL89">
        <f t="shared" si="289"/>
        <v>1</v>
      </c>
      <c r="GM89">
        <f t="shared" si="290"/>
        <v>1</v>
      </c>
      <c r="GN89">
        <f t="shared" si="291"/>
        <v>1</v>
      </c>
      <c r="GO89">
        <f t="shared" si="292"/>
        <v>1</v>
      </c>
      <c r="GP89">
        <f t="shared" si="293"/>
        <v>1</v>
      </c>
      <c r="GQ89">
        <f t="shared" si="294"/>
        <v>1</v>
      </c>
      <c r="GR89">
        <f t="shared" si="295"/>
        <v>1</v>
      </c>
      <c r="GS89">
        <f t="shared" si="296"/>
        <v>1</v>
      </c>
      <c r="GT89">
        <f t="shared" si="297"/>
        <v>1</v>
      </c>
      <c r="GU89">
        <f t="shared" si="298"/>
        <v>1</v>
      </c>
      <c r="GX89" s="10"/>
    </row>
    <row r="90" spans="1:206" x14ac:dyDescent="0.3">
      <c r="A90" s="9" t="s">
        <v>46</v>
      </c>
      <c r="B90" s="80"/>
      <c r="C90" s="9">
        <v>3111438000</v>
      </c>
      <c r="D90" s="9" t="s">
        <v>418</v>
      </c>
      <c r="E90" s="9" t="s">
        <v>39</v>
      </c>
      <c r="F90" s="9" t="s">
        <v>35</v>
      </c>
      <c r="G90" s="9" t="s">
        <v>123</v>
      </c>
      <c r="H90" s="10">
        <v>44637</v>
      </c>
      <c r="I90" s="9">
        <f t="shared" si="299"/>
        <v>2022</v>
      </c>
      <c r="J90" s="9">
        <f t="shared" si="300"/>
        <v>3</v>
      </c>
      <c r="K90" s="9" t="str">
        <f t="shared" si="301"/>
        <v>2022_3</v>
      </c>
      <c r="L90">
        <f>MAX(0,VLOOKUP($K90,lookups!$A$1:$B$45,2,0)-12)</f>
        <v>11</v>
      </c>
      <c r="M90" s="40">
        <f t="shared" si="302"/>
        <v>44621</v>
      </c>
      <c r="N90" s="10" t="s">
        <v>37</v>
      </c>
      <c r="O90" t="str">
        <f ca="1">IF(OR($L90&gt;O$4,O$4&gt;$L90+23),"",OFFSET(Electric!$L81,0,-'Electric Calendarize'!$L90+'Electric Calendarize'!O$4+1))</f>
        <v/>
      </c>
      <c r="P90" t="str">
        <f ca="1">IF(OR($L90&gt;P$4,P$4&gt;$L90+23),"",OFFSET(Electric!$L81,0,-'Electric Calendarize'!$L90+'Electric Calendarize'!P$4+1))</f>
        <v/>
      </c>
      <c r="Q90" t="str">
        <f ca="1">IF(OR($L90&gt;Q$4,Q$4&gt;$L90+23),"",OFFSET(Electric!$L81,0,-'Electric Calendarize'!$L90+'Electric Calendarize'!Q$4+1))</f>
        <v/>
      </c>
      <c r="R90" t="str">
        <f ca="1">IF(OR($L90&gt;R$4,R$4&gt;$L90+23),"",OFFSET(Electric!$L81,0,-'Electric Calendarize'!$L90+'Electric Calendarize'!R$4+1))</f>
        <v/>
      </c>
      <c r="S90" t="str">
        <f ca="1">IF(OR($L90&gt;S$4,S$4&gt;$L90+23),"",OFFSET(Electric!$L81,0,-'Electric Calendarize'!$L90+'Electric Calendarize'!S$4+1))</f>
        <v/>
      </c>
      <c r="T90" t="str">
        <f ca="1">IF(OR($L90&gt;T$4,T$4&gt;$L90+23),"",OFFSET(Electric!$L81,0,-'Electric Calendarize'!$L90+'Electric Calendarize'!T$4+1))</f>
        <v/>
      </c>
      <c r="U90" t="str">
        <f ca="1">IF(OR($L90&gt;U$4,U$4&gt;$L90+23),"",OFFSET(Electric!$L81,0,-'Electric Calendarize'!$L90+'Electric Calendarize'!U$4+1))</f>
        <v/>
      </c>
      <c r="V90" t="str">
        <f ca="1">IF(OR($L90&gt;V$4,V$4&gt;$L90+23),"",OFFSET(Electric!$L81,0,-'Electric Calendarize'!$L90+'Electric Calendarize'!V$4+1))</f>
        <v/>
      </c>
      <c r="W90" t="str">
        <f ca="1">IF(OR($L90&gt;W$4,W$4&gt;$L90+23),"",OFFSET(Electric!$L81,0,-'Electric Calendarize'!$L90+'Electric Calendarize'!W$4+1))</f>
        <v/>
      </c>
      <c r="X90" t="str">
        <f ca="1">IF(OR($L90&gt;X$4,X$4&gt;$L90+23),"",OFFSET(Electric!$L81,0,-'Electric Calendarize'!$L90+'Electric Calendarize'!X$4+1))</f>
        <v/>
      </c>
      <c r="Y90" t="str">
        <f ca="1">IF(OR($L90&gt;Y$4,Y$4&gt;$L90+23),"",OFFSET(Electric!$L81,0,-'Electric Calendarize'!$L90+'Electric Calendarize'!Y$4+1))</f>
        <v/>
      </c>
      <c r="Z90">
        <f ca="1">IF(OR($L90&gt;Z$4,Z$4&gt;$L90+23),"",OFFSET(Electric!$L81,0,-'Electric Calendarize'!$L90+'Electric Calendarize'!Z$4+1))</f>
        <v>360</v>
      </c>
      <c r="AA90">
        <f ca="1">IF(OR($L90&gt;AA$4,AA$4&gt;$L90+23),"",OFFSET(Electric!$L81,0,-'Electric Calendarize'!$L90+'Electric Calendarize'!AA$4+1))</f>
        <v>228</v>
      </c>
      <c r="AB90">
        <f ca="1">IF(OR($L90&gt;AB$4,AB$4&gt;$L90+23),"",OFFSET(Electric!$L81,0,-'Electric Calendarize'!$L90+'Electric Calendarize'!AB$4+1))</f>
        <v>212</v>
      </c>
      <c r="AC90">
        <f ca="1">IF(OR($L90&gt;AC$4,AC$4&gt;$L90+23),"",OFFSET(Electric!$L81,0,-'Electric Calendarize'!$L90+'Electric Calendarize'!AC$4+1))</f>
        <v>448</v>
      </c>
      <c r="AD90">
        <f ca="1">IF(OR($L90&gt;AD$4,AD$4&gt;$L90+23),"",OFFSET(Electric!$L81,0,-'Electric Calendarize'!$L90+'Electric Calendarize'!AD$4+1))</f>
        <v>596</v>
      </c>
      <c r="AE90">
        <f ca="1">IF(OR($L90&gt;AE$4,AE$4&gt;$L90+23),"",OFFSET(Electric!$L81,0,-'Electric Calendarize'!$L90+'Electric Calendarize'!AE$4+1))</f>
        <v>584</v>
      </c>
      <c r="AF90">
        <f ca="1">IF(OR($L90&gt;AF$4,AF$4&gt;$L90+23),"",OFFSET(Electric!$L81,0,-'Electric Calendarize'!$L90+'Electric Calendarize'!AF$4+1))</f>
        <v>544</v>
      </c>
      <c r="AG90">
        <f ca="1">IF(OR($L90&gt;AG$4,AG$4&gt;$L90+23),"",OFFSET(Electric!$L81,0,-'Electric Calendarize'!$L90+'Electric Calendarize'!AG$4+1))</f>
        <v>400</v>
      </c>
      <c r="AH90">
        <f ca="1">IF(OR($L90&gt;AH$4,AH$4&gt;$L90+23),"",OFFSET(Electric!$L81,0,-'Electric Calendarize'!$L90+'Electric Calendarize'!AH$4+1))</f>
        <v>338</v>
      </c>
      <c r="AI90">
        <f ca="1">IF(OR($L90&gt;AI$4,AI$4&gt;$L90+23),"",OFFSET(Electric!$L81,0,-'Electric Calendarize'!$L90+'Electric Calendarize'!AI$4+1))</f>
        <v>410</v>
      </c>
      <c r="AJ90">
        <f ca="1">IF(OR($L90&gt;AJ$4,AJ$4&gt;$L90+23),"",OFFSET(Electric!$L81,0,-'Electric Calendarize'!$L90+'Electric Calendarize'!AJ$4+1))</f>
        <v>436</v>
      </c>
      <c r="AK90">
        <f ca="1">IF(OR($L90&gt;AK$4,AK$4&gt;$L90+23),"",OFFSET(Electric!$L81,0,-'Electric Calendarize'!$L90+'Electric Calendarize'!AK$4+1))</f>
        <v>404</v>
      </c>
      <c r="AL90">
        <f ca="1">IF(OR($L90&gt;AL$4,AL$4&gt;$L90+23),"",OFFSET(Electric!$L81,0,-'Electric Calendarize'!$L90+'Electric Calendarize'!AL$4+1))</f>
        <v>324</v>
      </c>
      <c r="AM90">
        <f ca="1">IF(OR($L90&gt;AM$4,AM$4&gt;$L90+23),"",OFFSET(Electric!$L81,0,-'Electric Calendarize'!$L90+'Electric Calendarize'!AM$4+1))</f>
        <v>318</v>
      </c>
      <c r="AN90">
        <f ca="1">IF(OR($L90&gt;AN$4,AN$4&gt;$L90+23),"",OFFSET(Electric!$L81,0,-'Electric Calendarize'!$L90+'Electric Calendarize'!AN$4+1))</f>
        <v>364</v>
      </c>
      <c r="AO90">
        <f ca="1">IF(OR($L90&gt;AO$4,AO$4&gt;$L90+23),"",OFFSET(Electric!$L81,0,-'Electric Calendarize'!$L90+'Electric Calendarize'!AO$4+1))</f>
        <v>404</v>
      </c>
      <c r="AP90">
        <f ca="1">IF(OR($L90&gt;AP$4,AP$4&gt;$L90+23),"",OFFSET(Electric!$L81,0,-'Electric Calendarize'!$L90+'Electric Calendarize'!AP$4+1))</f>
        <v>456</v>
      </c>
      <c r="AQ90">
        <f ca="1">IF(OR($L90&gt;AQ$4,AQ$4&gt;$L90+23),"",OFFSET(Electric!$L81,0,-'Electric Calendarize'!$L90+'Electric Calendarize'!AQ$4+1))</f>
        <v>532</v>
      </c>
      <c r="AR90">
        <f ca="1">IF(OR($L90&gt;AR$4,AR$4&gt;$L90+23),"",OFFSET(Electric!$L81,0,-'Electric Calendarize'!$L90+'Electric Calendarize'!AR$4+1))</f>
        <v>444</v>
      </c>
      <c r="AS90">
        <f ca="1">IF(OR($L90&gt;AS$4,AS$4&gt;$L90+23),"",OFFSET(Electric!$L81,0,-'Electric Calendarize'!$L90+'Electric Calendarize'!AS$4+1))</f>
        <v>412</v>
      </c>
      <c r="AT90">
        <f ca="1">IF(OR($L90&gt;AT$4,AT$4&gt;$L90+23),"",OFFSET(Electric!$L81,0,-'Electric Calendarize'!$L90+'Electric Calendarize'!AT$4+1))</f>
        <v>460</v>
      </c>
      <c r="AU90">
        <f ca="1">IF(OR($L90&gt;AU$4,AU$4&gt;$L90+23),"",OFFSET(Electric!$L81,0,-'Electric Calendarize'!$L90+'Electric Calendarize'!AU$4+1))</f>
        <v>898</v>
      </c>
      <c r="AV90">
        <f ca="1">IF(OR($L90&gt;AV$4,AV$4&gt;$L90+23),"",OFFSET(Electric!$L81,0,-'Electric Calendarize'!$L90+'Electric Calendarize'!AV$4+1))</f>
        <v>1000</v>
      </c>
      <c r="AW90">
        <f ca="1">IF(OR($L90&gt;AW$4,AW$4&gt;$L90+23),"",OFFSET(Electric!$L81,0,-'Electric Calendarize'!$L90+'Electric Calendarize'!AW$4+1))</f>
        <v>948</v>
      </c>
      <c r="AX90" t="str">
        <f ca="1">IF(OR($L90&gt;AX$4,AX$4&gt;$L90+23),"",OFFSET(Electric!$L81,0,-'Electric Calendarize'!$L90+'Electric Calendarize'!AX$4+1))</f>
        <v/>
      </c>
      <c r="AY90" t="str">
        <f ca="1">IF(OR($L90&gt;AY$4,AY$4&gt;$L90+23),"",OFFSET(Electric!$L81,0,-'Electric Calendarize'!$L90+'Electric Calendarize'!AY$4+1))</f>
        <v/>
      </c>
      <c r="AZ90" t="str">
        <f ca="1">IF(OR($L90&gt;AZ$4,AZ$4&gt;$L90+23),"",OFFSET(Electric!$L81,0,-'Electric Calendarize'!$L90+'Electric Calendarize'!AZ$4+1))</f>
        <v/>
      </c>
      <c r="BA90" t="str">
        <f ca="1">IF(OR($L90&gt;BA$4,BA$4&gt;$L90+23),"",OFFSET(Electric!$L81,0,-'Electric Calendarize'!$L90+'Electric Calendarize'!BA$4+1))</f>
        <v/>
      </c>
      <c r="BB90" t="str">
        <f ca="1">IF(OR($L90&gt;BB$4,BB$4&gt;$L90+23),"",OFFSET(Electric!$L81,0,-'Electric Calendarize'!$L90+'Electric Calendarize'!BB$4+1))</f>
        <v/>
      </c>
      <c r="BC90" t="str">
        <f ca="1">IF(OR($L90&gt;BC$4,BC$4&gt;$L90+23),"",OFFSET(Electric!$L81,0,-'Electric Calendarize'!$L90+'Electric Calendarize'!BC$4+1))</f>
        <v/>
      </c>
      <c r="BD90" t="str">
        <f ca="1">IF(OR($L90&gt;BD$4,BD$4&gt;$L90+23),"",OFFSET(Electric!$L81,0,-'Electric Calendarize'!$L90+'Electric Calendarize'!BD$4+1))</f>
        <v/>
      </c>
      <c r="BE90" t="str">
        <f ca="1">IF(OR($L90&gt;BE$4,BE$4&gt;$L90+23),"",OFFSET(Electric!$L81,0,-'Electric Calendarize'!$L90+'Electric Calendarize'!BE$4+1))</f>
        <v/>
      </c>
      <c r="BF90" t="str">
        <f ca="1">IF(OR($L90&gt;BF$4,BF$4&gt;$L90+23),"",OFFSET(Electric!$L81,0,-'Electric Calendarize'!$L90+'Electric Calendarize'!BF$4+1))</f>
        <v/>
      </c>
      <c r="BG90" t="str">
        <f ca="1">IF(OR($L90&gt;BG$4,BG$4&gt;$L90+23),"",OFFSET(Electric!$L81,0,-'Electric Calendarize'!$L90+'Electric Calendarize'!BG$4+1))</f>
        <v/>
      </c>
      <c r="BJ90" s="10" t="s">
        <v>37</v>
      </c>
      <c r="BK90">
        <f t="shared" si="303"/>
        <v>1</v>
      </c>
      <c r="BL90">
        <f t="shared" si="209"/>
        <v>0</v>
      </c>
      <c r="BM90">
        <f t="shared" si="210"/>
        <v>0</v>
      </c>
      <c r="BN90">
        <f t="shared" si="211"/>
        <v>0</v>
      </c>
      <c r="BO90">
        <f t="shared" si="212"/>
        <v>0</v>
      </c>
      <c r="BP90">
        <f t="shared" si="213"/>
        <v>0</v>
      </c>
      <c r="BQ90">
        <f t="shared" si="214"/>
        <v>0</v>
      </c>
      <c r="BR90">
        <f t="shared" si="215"/>
        <v>1</v>
      </c>
      <c r="BS90">
        <f t="shared" si="216"/>
        <v>1</v>
      </c>
      <c r="BT90">
        <f t="shared" si="217"/>
        <v>1</v>
      </c>
      <c r="BU90">
        <f t="shared" si="218"/>
        <v>1</v>
      </c>
      <c r="BV90">
        <f t="shared" si="219"/>
        <v>1</v>
      </c>
      <c r="BW90">
        <f t="shared" si="220"/>
        <v>1</v>
      </c>
      <c r="BX90">
        <f t="shared" si="221"/>
        <v>0</v>
      </c>
      <c r="BY90">
        <f t="shared" si="222"/>
        <v>0</v>
      </c>
      <c r="BZ90">
        <f t="shared" si="223"/>
        <v>0</v>
      </c>
      <c r="CA90">
        <f t="shared" si="224"/>
        <v>0</v>
      </c>
      <c r="CB90">
        <f t="shared" si="225"/>
        <v>0</v>
      </c>
      <c r="CC90">
        <f t="shared" si="226"/>
        <v>0</v>
      </c>
      <c r="CD90">
        <f t="shared" si="227"/>
        <v>1</v>
      </c>
      <c r="CE90">
        <f t="shared" si="228"/>
        <v>1</v>
      </c>
      <c r="CF90">
        <f t="shared" si="229"/>
        <v>1</v>
      </c>
      <c r="CG90">
        <f t="shared" si="230"/>
        <v>1</v>
      </c>
      <c r="CH90">
        <f t="shared" si="231"/>
        <v>1</v>
      </c>
      <c r="CI90">
        <f t="shared" si="232"/>
        <v>1</v>
      </c>
      <c r="CJ90">
        <f t="shared" si="233"/>
        <v>0</v>
      </c>
      <c r="CK90">
        <f t="shared" si="234"/>
        <v>0</v>
      </c>
      <c r="CL90">
        <f t="shared" si="235"/>
        <v>0</v>
      </c>
      <c r="CM90">
        <f t="shared" si="236"/>
        <v>0</v>
      </c>
      <c r="CN90">
        <f t="shared" si="237"/>
        <v>0</v>
      </c>
      <c r="CO90">
        <f t="shared" si="238"/>
        <v>0</v>
      </c>
      <c r="CP90">
        <f t="shared" si="239"/>
        <v>1</v>
      </c>
      <c r="CQ90">
        <f t="shared" si="240"/>
        <v>1</v>
      </c>
      <c r="CR90">
        <f t="shared" si="241"/>
        <v>1</v>
      </c>
      <c r="CS90">
        <f t="shared" si="242"/>
        <v>1</v>
      </c>
      <c r="CT90">
        <f t="shared" si="243"/>
        <v>1</v>
      </c>
      <c r="CU90">
        <f t="shared" si="244"/>
        <v>1</v>
      </c>
      <c r="CV90">
        <f t="shared" si="245"/>
        <v>0</v>
      </c>
      <c r="CW90">
        <f t="shared" si="246"/>
        <v>0</v>
      </c>
      <c r="CX90">
        <f t="shared" si="247"/>
        <v>0</v>
      </c>
      <c r="CY90">
        <f t="shared" si="248"/>
        <v>0</v>
      </c>
      <c r="CZ90">
        <f t="shared" si="249"/>
        <v>0</v>
      </c>
      <c r="DA90">
        <f t="shared" si="250"/>
        <v>0</v>
      </c>
      <c r="DB90">
        <f t="shared" si="251"/>
        <v>1</v>
      </c>
      <c r="DC90">
        <f t="shared" si="252"/>
        <v>1</v>
      </c>
      <c r="DF90" s="10" t="s">
        <v>37</v>
      </c>
      <c r="DG90" t="str">
        <f t="shared" si="304"/>
        <v>2022_3</v>
      </c>
      <c r="DH90" t="str">
        <f t="shared" si="304"/>
        <v>2022_3</v>
      </c>
      <c r="DI90" t="str">
        <f t="shared" si="304"/>
        <v>2022_3</v>
      </c>
      <c r="DJ90" t="str">
        <f t="shared" si="304"/>
        <v>2022_3</v>
      </c>
      <c r="DK90" t="str">
        <f t="shared" si="304"/>
        <v>2022_3</v>
      </c>
      <c r="DL90" t="str">
        <f t="shared" si="304"/>
        <v>2022_3</v>
      </c>
      <c r="DM90" t="str">
        <f t="shared" si="304"/>
        <v>2022_3</v>
      </c>
      <c r="DN90" t="str">
        <f t="shared" si="304"/>
        <v>2022_3</v>
      </c>
      <c r="DO90" t="str">
        <f t="shared" si="304"/>
        <v>2022_3</v>
      </c>
      <c r="DP90" t="str">
        <f t="shared" si="304"/>
        <v>2022_3</v>
      </c>
      <c r="DQ90" t="str">
        <f t="shared" si="304"/>
        <v>2022_3</v>
      </c>
      <c r="DR90" t="str">
        <f t="shared" si="304"/>
        <v>2022_3</v>
      </c>
      <c r="DS90" t="str">
        <f t="shared" si="304"/>
        <v>2022_3</v>
      </c>
      <c r="DT90" t="str">
        <f t="shared" si="304"/>
        <v>2022_3</v>
      </c>
      <c r="DU90" t="str">
        <f t="shared" si="304"/>
        <v>2022_3</v>
      </c>
      <c r="DV90" t="str">
        <f t="shared" si="253"/>
        <v>2022_3</v>
      </c>
      <c r="DW90" t="str">
        <f t="shared" si="253"/>
        <v>2022_3</v>
      </c>
      <c r="DX90" t="str">
        <f t="shared" si="253"/>
        <v>2022_3</v>
      </c>
      <c r="DY90" t="str">
        <f t="shared" si="253"/>
        <v>2022_3</v>
      </c>
      <c r="DZ90" t="str">
        <f t="shared" si="253"/>
        <v>2022_3</v>
      </c>
      <c r="EA90" t="str">
        <f t="shared" si="253"/>
        <v>2022_3</v>
      </c>
      <c r="EB90" t="str">
        <f t="shared" si="253"/>
        <v>2022_3</v>
      </c>
      <c r="EC90" t="str">
        <f t="shared" si="253"/>
        <v>2022_3</v>
      </c>
      <c r="ED90" t="str">
        <f t="shared" si="253"/>
        <v>2022_3</v>
      </c>
      <c r="EE90" t="str">
        <f t="shared" si="253"/>
        <v>2022_3</v>
      </c>
      <c r="EF90" t="str">
        <f t="shared" si="253"/>
        <v>2022_3</v>
      </c>
      <c r="EG90" t="str">
        <f t="shared" si="253"/>
        <v>2022_3</v>
      </c>
      <c r="EH90" t="str">
        <f t="shared" si="253"/>
        <v>2022_3</v>
      </c>
      <c r="EI90" t="str">
        <f t="shared" si="253"/>
        <v>2022_3</v>
      </c>
      <c r="EJ90" t="str">
        <f t="shared" si="253"/>
        <v>2022_3</v>
      </c>
      <c r="EK90" t="str">
        <f t="shared" ref="EK90:EY105" si="306">$K90</f>
        <v>2022_3</v>
      </c>
      <c r="EL90" t="str">
        <f t="shared" si="254"/>
        <v>2022_3</v>
      </c>
      <c r="EM90" t="str">
        <f t="shared" si="254"/>
        <v>2022_3</v>
      </c>
      <c r="EN90" t="str">
        <f t="shared" si="254"/>
        <v>2022_3</v>
      </c>
      <c r="EO90" t="str">
        <f t="shared" si="254"/>
        <v>2022_3</v>
      </c>
      <c r="EP90" t="str">
        <f t="shared" si="254"/>
        <v>2022_3</v>
      </c>
      <c r="EQ90" t="str">
        <f t="shared" si="254"/>
        <v>2022_3</v>
      </c>
      <c r="ER90" t="str">
        <f t="shared" si="254"/>
        <v>2022_3</v>
      </c>
      <c r="ES90" t="str">
        <f t="shared" si="254"/>
        <v>2022_3</v>
      </c>
      <c r="ET90" t="str">
        <f t="shared" si="254"/>
        <v>2022_3</v>
      </c>
      <c r="EU90" t="str">
        <f t="shared" si="254"/>
        <v>2022_3</v>
      </c>
      <c r="EV90" t="str">
        <f t="shared" si="254"/>
        <v>2022_3</v>
      </c>
      <c r="EW90" t="str">
        <f t="shared" si="254"/>
        <v>2022_3</v>
      </c>
      <c r="EX90" t="str">
        <f t="shared" si="254"/>
        <v>2022_3</v>
      </c>
      <c r="EY90" t="str">
        <f t="shared" si="254"/>
        <v>2022_3</v>
      </c>
      <c r="FB90" s="10" t="s">
        <v>37</v>
      </c>
      <c r="FC90">
        <f t="shared" si="305"/>
        <v>0</v>
      </c>
      <c r="FD90">
        <f t="shared" si="255"/>
        <v>0</v>
      </c>
      <c r="FE90">
        <f t="shared" si="256"/>
        <v>0</v>
      </c>
      <c r="FF90">
        <f t="shared" si="257"/>
        <v>0</v>
      </c>
      <c r="FG90">
        <f t="shared" si="258"/>
        <v>0</v>
      </c>
      <c r="FH90">
        <f t="shared" si="259"/>
        <v>0</v>
      </c>
      <c r="FI90">
        <f t="shared" si="260"/>
        <v>0</v>
      </c>
      <c r="FJ90">
        <f t="shared" si="261"/>
        <v>0</v>
      </c>
      <c r="FK90">
        <f t="shared" si="262"/>
        <v>0</v>
      </c>
      <c r="FL90">
        <f t="shared" si="263"/>
        <v>0</v>
      </c>
      <c r="FM90">
        <f t="shared" si="264"/>
        <v>0</v>
      </c>
      <c r="FN90">
        <f t="shared" si="265"/>
        <v>0</v>
      </c>
      <c r="FO90">
        <f t="shared" si="266"/>
        <v>0</v>
      </c>
      <c r="FP90">
        <f t="shared" si="267"/>
        <v>0</v>
      </c>
      <c r="FQ90">
        <f t="shared" si="268"/>
        <v>0</v>
      </c>
      <c r="FR90">
        <f t="shared" si="269"/>
        <v>0</v>
      </c>
      <c r="FS90">
        <f t="shared" si="270"/>
        <v>0</v>
      </c>
      <c r="FT90">
        <f t="shared" si="271"/>
        <v>0</v>
      </c>
      <c r="FU90">
        <f t="shared" si="272"/>
        <v>0</v>
      </c>
      <c r="FV90">
        <f t="shared" si="273"/>
        <v>0</v>
      </c>
      <c r="FW90">
        <f t="shared" si="274"/>
        <v>0</v>
      </c>
      <c r="FX90">
        <f t="shared" si="275"/>
        <v>0</v>
      </c>
      <c r="FY90">
        <f t="shared" si="276"/>
        <v>0</v>
      </c>
      <c r="FZ90">
        <f t="shared" si="277"/>
        <v>1</v>
      </c>
      <c r="GA90">
        <f t="shared" si="278"/>
        <v>1</v>
      </c>
      <c r="GB90">
        <f t="shared" si="279"/>
        <v>1</v>
      </c>
      <c r="GC90">
        <f t="shared" si="280"/>
        <v>1</v>
      </c>
      <c r="GD90">
        <f t="shared" si="281"/>
        <v>1</v>
      </c>
      <c r="GE90">
        <f t="shared" si="282"/>
        <v>1</v>
      </c>
      <c r="GF90">
        <f t="shared" si="283"/>
        <v>1</v>
      </c>
      <c r="GG90">
        <f t="shared" si="284"/>
        <v>1</v>
      </c>
      <c r="GH90">
        <f t="shared" si="285"/>
        <v>1</v>
      </c>
      <c r="GI90">
        <f t="shared" si="286"/>
        <v>1</v>
      </c>
      <c r="GJ90">
        <f t="shared" si="287"/>
        <v>1</v>
      </c>
      <c r="GK90">
        <f t="shared" si="288"/>
        <v>1</v>
      </c>
      <c r="GL90">
        <f t="shared" si="289"/>
        <v>1</v>
      </c>
      <c r="GM90">
        <f t="shared" si="290"/>
        <v>1</v>
      </c>
      <c r="GN90">
        <f t="shared" si="291"/>
        <v>1</v>
      </c>
      <c r="GO90">
        <f t="shared" si="292"/>
        <v>1</v>
      </c>
      <c r="GP90">
        <f t="shared" si="293"/>
        <v>1</v>
      </c>
      <c r="GQ90">
        <f t="shared" si="294"/>
        <v>1</v>
      </c>
      <c r="GR90">
        <f t="shared" si="295"/>
        <v>1</v>
      </c>
      <c r="GS90">
        <f t="shared" si="296"/>
        <v>1</v>
      </c>
      <c r="GT90">
        <f t="shared" si="297"/>
        <v>1</v>
      </c>
      <c r="GU90">
        <f t="shared" si="298"/>
        <v>1</v>
      </c>
      <c r="GX90" s="10"/>
    </row>
    <row r="91" spans="1:206" x14ac:dyDescent="0.3">
      <c r="A91" s="9" t="s">
        <v>124</v>
      </c>
      <c r="B91" s="80"/>
      <c r="C91" s="9">
        <v>3120353001</v>
      </c>
      <c r="D91" s="9" t="s">
        <v>419</v>
      </c>
      <c r="E91" s="9" t="s">
        <v>39</v>
      </c>
      <c r="F91" s="9" t="s">
        <v>35</v>
      </c>
      <c r="G91" s="9" t="s">
        <v>125</v>
      </c>
      <c r="H91" s="10">
        <v>44643</v>
      </c>
      <c r="I91" s="9">
        <f t="shared" si="299"/>
        <v>2022</v>
      </c>
      <c r="J91" s="9">
        <f t="shared" si="300"/>
        <v>3</v>
      </c>
      <c r="K91" s="9" t="str">
        <f t="shared" si="301"/>
        <v>2022_3</v>
      </c>
      <c r="L91">
        <f>MAX(0,VLOOKUP($K91,lookups!$A$1:$B$45,2,0)-12)</f>
        <v>11</v>
      </c>
      <c r="M91" s="40">
        <f t="shared" si="302"/>
        <v>44621</v>
      </c>
      <c r="N91" s="10" t="s">
        <v>37</v>
      </c>
      <c r="O91" t="str">
        <f ca="1">IF(OR($L91&gt;O$4,O$4&gt;$L91+23),"",OFFSET(Electric!$L82,0,-'Electric Calendarize'!$L91+'Electric Calendarize'!O$4+1))</f>
        <v/>
      </c>
      <c r="P91" t="str">
        <f ca="1">IF(OR($L91&gt;P$4,P$4&gt;$L91+23),"",OFFSET(Electric!$L82,0,-'Electric Calendarize'!$L91+'Electric Calendarize'!P$4+1))</f>
        <v/>
      </c>
      <c r="Q91" t="str">
        <f ca="1">IF(OR($L91&gt;Q$4,Q$4&gt;$L91+23),"",OFFSET(Electric!$L82,0,-'Electric Calendarize'!$L91+'Electric Calendarize'!Q$4+1))</f>
        <v/>
      </c>
      <c r="R91" t="str">
        <f ca="1">IF(OR($L91&gt;R$4,R$4&gt;$L91+23),"",OFFSET(Electric!$L82,0,-'Electric Calendarize'!$L91+'Electric Calendarize'!R$4+1))</f>
        <v/>
      </c>
      <c r="S91" t="str">
        <f ca="1">IF(OR($L91&gt;S$4,S$4&gt;$L91+23),"",OFFSET(Electric!$L82,0,-'Electric Calendarize'!$L91+'Electric Calendarize'!S$4+1))</f>
        <v/>
      </c>
      <c r="T91" t="str">
        <f ca="1">IF(OR($L91&gt;T$4,T$4&gt;$L91+23),"",OFFSET(Electric!$L82,0,-'Electric Calendarize'!$L91+'Electric Calendarize'!T$4+1))</f>
        <v/>
      </c>
      <c r="U91" t="str">
        <f ca="1">IF(OR($L91&gt;U$4,U$4&gt;$L91+23),"",OFFSET(Electric!$L82,0,-'Electric Calendarize'!$L91+'Electric Calendarize'!U$4+1))</f>
        <v/>
      </c>
      <c r="V91" t="str">
        <f ca="1">IF(OR($L91&gt;V$4,V$4&gt;$L91+23),"",OFFSET(Electric!$L82,0,-'Electric Calendarize'!$L91+'Electric Calendarize'!V$4+1))</f>
        <v/>
      </c>
      <c r="W91" t="str">
        <f ca="1">IF(OR($L91&gt;W$4,W$4&gt;$L91+23),"",OFFSET(Electric!$L82,0,-'Electric Calendarize'!$L91+'Electric Calendarize'!W$4+1))</f>
        <v/>
      </c>
      <c r="X91" t="str">
        <f ca="1">IF(OR($L91&gt;X$4,X$4&gt;$L91+23),"",OFFSET(Electric!$L82,0,-'Electric Calendarize'!$L91+'Electric Calendarize'!X$4+1))</f>
        <v/>
      </c>
      <c r="Y91" t="str">
        <f ca="1">IF(OR($L91&gt;Y$4,Y$4&gt;$L91+23),"",OFFSET(Electric!$L82,0,-'Electric Calendarize'!$L91+'Electric Calendarize'!Y$4+1))</f>
        <v/>
      </c>
      <c r="Z91">
        <f ca="1">IF(OR($L91&gt;Z$4,Z$4&gt;$L91+23),"",OFFSET(Electric!$L82,0,-'Electric Calendarize'!$L91+'Electric Calendarize'!Z$4+1))</f>
        <v>310</v>
      </c>
      <c r="AA91">
        <f ca="1">IF(OR($L91&gt;AA$4,AA$4&gt;$L91+23),"",OFFSET(Electric!$L82,0,-'Electric Calendarize'!$L91+'Electric Calendarize'!AA$4+1))</f>
        <v>234</v>
      </c>
      <c r="AB91">
        <f ca="1">IF(OR($L91&gt;AB$4,AB$4&gt;$L91+23),"",OFFSET(Electric!$L82,0,-'Electric Calendarize'!$L91+'Electric Calendarize'!AB$4+1))</f>
        <v>229</v>
      </c>
      <c r="AC91">
        <f ca="1">IF(OR($L91&gt;AC$4,AC$4&gt;$L91+23),"",OFFSET(Electric!$L82,0,-'Electric Calendarize'!$L91+'Electric Calendarize'!AC$4+1))</f>
        <v>357</v>
      </c>
      <c r="AD91">
        <f ca="1">IF(OR($L91&gt;AD$4,AD$4&gt;$L91+23),"",OFFSET(Electric!$L82,0,-'Electric Calendarize'!$L91+'Electric Calendarize'!AD$4+1))</f>
        <v>590</v>
      </c>
      <c r="AE91">
        <f ca="1">IF(OR($L91&gt;AE$4,AE$4&gt;$L91+23),"",OFFSET(Electric!$L82,0,-'Electric Calendarize'!$L91+'Electric Calendarize'!AE$4+1))</f>
        <v>725</v>
      </c>
      <c r="AF91">
        <f ca="1">IF(OR($L91&gt;AF$4,AF$4&gt;$L91+23),"",OFFSET(Electric!$L82,0,-'Electric Calendarize'!$L91+'Electric Calendarize'!AF$4+1))</f>
        <v>517</v>
      </c>
      <c r="AG91">
        <f ca="1">IF(OR($L91&gt;AG$4,AG$4&gt;$L91+23),"",OFFSET(Electric!$L82,0,-'Electric Calendarize'!$L91+'Electric Calendarize'!AG$4+1))</f>
        <v>249</v>
      </c>
      <c r="AH91">
        <f ca="1">IF(OR($L91&gt;AH$4,AH$4&gt;$L91+23),"",OFFSET(Electric!$L82,0,-'Electric Calendarize'!$L91+'Electric Calendarize'!AH$4+1))</f>
        <v>249</v>
      </c>
      <c r="AI91">
        <f ca="1">IF(OR($L91&gt;AI$4,AI$4&gt;$L91+23),"",OFFSET(Electric!$L82,0,-'Electric Calendarize'!$L91+'Electric Calendarize'!AI$4+1))</f>
        <v>325</v>
      </c>
      <c r="AJ91">
        <f ca="1">IF(OR($L91&gt;AJ$4,AJ$4&gt;$L91+23),"",OFFSET(Electric!$L82,0,-'Electric Calendarize'!$L91+'Electric Calendarize'!AJ$4+1))</f>
        <v>355</v>
      </c>
      <c r="AK91">
        <f ca="1">IF(OR($L91&gt;AK$4,AK$4&gt;$L91+23),"",OFFSET(Electric!$L82,0,-'Electric Calendarize'!$L91+'Electric Calendarize'!AK$4+1))</f>
        <v>342</v>
      </c>
      <c r="AL91">
        <f ca="1">IF(OR($L91&gt;AL$4,AL$4&gt;$L91+23),"",OFFSET(Electric!$L82,0,-'Electric Calendarize'!$L91+'Electric Calendarize'!AL$4+1))</f>
        <v>270</v>
      </c>
      <c r="AM91">
        <f ca="1">IF(OR($L91&gt;AM$4,AM$4&gt;$L91+23),"",OFFSET(Electric!$L82,0,-'Electric Calendarize'!$L91+'Electric Calendarize'!AM$4+1))</f>
        <v>621</v>
      </c>
      <c r="AN91">
        <f ca="1">IF(OR($L91&gt;AN$4,AN$4&gt;$L91+23),"",OFFSET(Electric!$L82,0,-'Electric Calendarize'!$L91+'Electric Calendarize'!AN$4+1))</f>
        <v>455</v>
      </c>
      <c r="AO91">
        <f ca="1">IF(OR($L91&gt;AO$4,AO$4&gt;$L91+23),"",OFFSET(Electric!$L82,0,-'Electric Calendarize'!$L91+'Electric Calendarize'!AO$4+1))</f>
        <v>232</v>
      </c>
      <c r="AP91">
        <f ca="1">IF(OR($L91&gt;AP$4,AP$4&gt;$L91+23),"",OFFSET(Electric!$L82,0,-'Electric Calendarize'!$L91+'Electric Calendarize'!AP$4+1))</f>
        <v>466</v>
      </c>
      <c r="AQ91">
        <f ca="1">IF(OR($L91&gt;AQ$4,AQ$4&gt;$L91+23),"",OFFSET(Electric!$L82,0,-'Electric Calendarize'!$L91+'Electric Calendarize'!AQ$4+1))</f>
        <v>529</v>
      </c>
      <c r="AR91">
        <f ca="1">IF(OR($L91&gt;AR$4,AR$4&gt;$L91+23),"",OFFSET(Electric!$L82,0,-'Electric Calendarize'!$L91+'Electric Calendarize'!AR$4+1))</f>
        <v>331</v>
      </c>
      <c r="AS91">
        <f ca="1">IF(OR($L91&gt;AS$4,AS$4&gt;$L91+23),"",OFFSET(Electric!$L82,0,-'Electric Calendarize'!$L91+'Electric Calendarize'!AS$4+1))</f>
        <v>254</v>
      </c>
      <c r="AT91">
        <f ca="1">IF(OR($L91&gt;AT$4,AT$4&gt;$L91+23),"",OFFSET(Electric!$L82,0,-'Electric Calendarize'!$L91+'Electric Calendarize'!AT$4+1))</f>
        <v>227</v>
      </c>
      <c r="AU91">
        <f ca="1">IF(OR($L91&gt;AU$4,AU$4&gt;$L91+23),"",OFFSET(Electric!$L82,0,-'Electric Calendarize'!$L91+'Electric Calendarize'!AU$4+1))</f>
        <v>264</v>
      </c>
      <c r="AV91">
        <f ca="1">IF(OR($L91&gt;AV$4,AV$4&gt;$L91+23),"",OFFSET(Electric!$L82,0,-'Electric Calendarize'!$L91+'Electric Calendarize'!AV$4+1))</f>
        <v>319</v>
      </c>
      <c r="AW91">
        <f ca="1">IF(OR($L91&gt;AW$4,AW$4&gt;$L91+23),"",OFFSET(Electric!$L82,0,-'Electric Calendarize'!$L91+'Electric Calendarize'!AW$4+1))</f>
        <v>331</v>
      </c>
      <c r="AX91" t="str">
        <f ca="1">IF(OR($L91&gt;AX$4,AX$4&gt;$L91+23),"",OFFSET(Electric!$L82,0,-'Electric Calendarize'!$L91+'Electric Calendarize'!AX$4+1))</f>
        <v/>
      </c>
      <c r="AY91" t="str">
        <f ca="1">IF(OR($L91&gt;AY$4,AY$4&gt;$L91+23),"",OFFSET(Electric!$L82,0,-'Electric Calendarize'!$L91+'Electric Calendarize'!AY$4+1))</f>
        <v/>
      </c>
      <c r="AZ91" t="str">
        <f ca="1">IF(OR($L91&gt;AZ$4,AZ$4&gt;$L91+23),"",OFFSET(Electric!$L82,0,-'Electric Calendarize'!$L91+'Electric Calendarize'!AZ$4+1))</f>
        <v/>
      </c>
      <c r="BA91" t="str">
        <f ca="1">IF(OR($L91&gt;BA$4,BA$4&gt;$L91+23),"",OFFSET(Electric!$L82,0,-'Electric Calendarize'!$L91+'Electric Calendarize'!BA$4+1))</f>
        <v/>
      </c>
      <c r="BB91" t="str">
        <f ca="1">IF(OR($L91&gt;BB$4,BB$4&gt;$L91+23),"",OFFSET(Electric!$L82,0,-'Electric Calendarize'!$L91+'Electric Calendarize'!BB$4+1))</f>
        <v/>
      </c>
      <c r="BC91" t="str">
        <f ca="1">IF(OR($L91&gt;BC$4,BC$4&gt;$L91+23),"",OFFSET(Electric!$L82,0,-'Electric Calendarize'!$L91+'Electric Calendarize'!BC$4+1))</f>
        <v/>
      </c>
      <c r="BD91" t="str">
        <f ca="1">IF(OR($L91&gt;BD$4,BD$4&gt;$L91+23),"",OFFSET(Electric!$L82,0,-'Electric Calendarize'!$L91+'Electric Calendarize'!BD$4+1))</f>
        <v/>
      </c>
      <c r="BE91" t="str">
        <f ca="1">IF(OR($L91&gt;BE$4,BE$4&gt;$L91+23),"",OFFSET(Electric!$L82,0,-'Electric Calendarize'!$L91+'Electric Calendarize'!BE$4+1))</f>
        <v/>
      </c>
      <c r="BF91" t="str">
        <f ca="1">IF(OR($L91&gt;BF$4,BF$4&gt;$L91+23),"",OFFSET(Electric!$L82,0,-'Electric Calendarize'!$L91+'Electric Calendarize'!BF$4+1))</f>
        <v/>
      </c>
      <c r="BG91" t="str">
        <f ca="1">IF(OR($L91&gt;BG$4,BG$4&gt;$L91+23),"",OFFSET(Electric!$L82,0,-'Electric Calendarize'!$L91+'Electric Calendarize'!BG$4+1))</f>
        <v/>
      </c>
      <c r="BJ91" s="10" t="s">
        <v>37</v>
      </c>
      <c r="BK91">
        <f t="shared" si="303"/>
        <v>1</v>
      </c>
      <c r="BL91">
        <f t="shared" si="209"/>
        <v>0</v>
      </c>
      <c r="BM91">
        <f t="shared" si="210"/>
        <v>0</v>
      </c>
      <c r="BN91">
        <f t="shared" si="211"/>
        <v>0</v>
      </c>
      <c r="BO91">
        <f t="shared" si="212"/>
        <v>0</v>
      </c>
      <c r="BP91">
        <f t="shared" si="213"/>
        <v>0</v>
      </c>
      <c r="BQ91">
        <f t="shared" si="214"/>
        <v>0</v>
      </c>
      <c r="BR91">
        <f t="shared" si="215"/>
        <v>1</v>
      </c>
      <c r="BS91">
        <f t="shared" si="216"/>
        <v>1</v>
      </c>
      <c r="BT91">
        <f t="shared" si="217"/>
        <v>1</v>
      </c>
      <c r="BU91">
        <f t="shared" si="218"/>
        <v>1</v>
      </c>
      <c r="BV91">
        <f t="shared" si="219"/>
        <v>1</v>
      </c>
      <c r="BW91">
        <f t="shared" si="220"/>
        <v>1</v>
      </c>
      <c r="BX91">
        <f t="shared" si="221"/>
        <v>0</v>
      </c>
      <c r="BY91">
        <f t="shared" si="222"/>
        <v>0</v>
      </c>
      <c r="BZ91">
        <f t="shared" si="223"/>
        <v>0</v>
      </c>
      <c r="CA91">
        <f t="shared" si="224"/>
        <v>0</v>
      </c>
      <c r="CB91">
        <f t="shared" si="225"/>
        <v>0</v>
      </c>
      <c r="CC91">
        <f t="shared" si="226"/>
        <v>0</v>
      </c>
      <c r="CD91">
        <f t="shared" si="227"/>
        <v>1</v>
      </c>
      <c r="CE91">
        <f t="shared" si="228"/>
        <v>1</v>
      </c>
      <c r="CF91">
        <f t="shared" si="229"/>
        <v>1</v>
      </c>
      <c r="CG91">
        <f t="shared" si="230"/>
        <v>1</v>
      </c>
      <c r="CH91">
        <f t="shared" si="231"/>
        <v>1</v>
      </c>
      <c r="CI91">
        <f t="shared" si="232"/>
        <v>1</v>
      </c>
      <c r="CJ91">
        <f t="shared" si="233"/>
        <v>0</v>
      </c>
      <c r="CK91">
        <f t="shared" si="234"/>
        <v>0</v>
      </c>
      <c r="CL91">
        <f t="shared" si="235"/>
        <v>0</v>
      </c>
      <c r="CM91">
        <f t="shared" si="236"/>
        <v>0</v>
      </c>
      <c r="CN91">
        <f t="shared" si="237"/>
        <v>0</v>
      </c>
      <c r="CO91">
        <f t="shared" si="238"/>
        <v>0</v>
      </c>
      <c r="CP91">
        <f t="shared" si="239"/>
        <v>1</v>
      </c>
      <c r="CQ91">
        <f t="shared" si="240"/>
        <v>1</v>
      </c>
      <c r="CR91">
        <f t="shared" si="241"/>
        <v>1</v>
      </c>
      <c r="CS91">
        <f t="shared" si="242"/>
        <v>1</v>
      </c>
      <c r="CT91">
        <f t="shared" si="243"/>
        <v>1</v>
      </c>
      <c r="CU91">
        <f t="shared" si="244"/>
        <v>1</v>
      </c>
      <c r="CV91">
        <f t="shared" si="245"/>
        <v>0</v>
      </c>
      <c r="CW91">
        <f t="shared" si="246"/>
        <v>0</v>
      </c>
      <c r="CX91">
        <f t="shared" si="247"/>
        <v>0</v>
      </c>
      <c r="CY91">
        <f t="shared" si="248"/>
        <v>0</v>
      </c>
      <c r="CZ91">
        <f t="shared" si="249"/>
        <v>0</v>
      </c>
      <c r="DA91">
        <f t="shared" si="250"/>
        <v>0</v>
      </c>
      <c r="DB91">
        <f t="shared" si="251"/>
        <v>1</v>
      </c>
      <c r="DC91">
        <f t="shared" si="252"/>
        <v>1</v>
      </c>
      <c r="DF91" s="10" t="s">
        <v>37</v>
      </c>
      <c r="DG91" t="str">
        <f t="shared" si="304"/>
        <v>2022_3</v>
      </c>
      <c r="DH91" t="str">
        <f t="shared" si="304"/>
        <v>2022_3</v>
      </c>
      <c r="DI91" t="str">
        <f t="shared" si="304"/>
        <v>2022_3</v>
      </c>
      <c r="DJ91" t="str">
        <f t="shared" si="304"/>
        <v>2022_3</v>
      </c>
      <c r="DK91" t="str">
        <f t="shared" si="304"/>
        <v>2022_3</v>
      </c>
      <c r="DL91" t="str">
        <f t="shared" si="304"/>
        <v>2022_3</v>
      </c>
      <c r="DM91" t="str">
        <f t="shared" si="304"/>
        <v>2022_3</v>
      </c>
      <c r="DN91" t="str">
        <f t="shared" si="304"/>
        <v>2022_3</v>
      </c>
      <c r="DO91" t="str">
        <f t="shared" si="304"/>
        <v>2022_3</v>
      </c>
      <c r="DP91" t="str">
        <f t="shared" si="304"/>
        <v>2022_3</v>
      </c>
      <c r="DQ91" t="str">
        <f t="shared" si="304"/>
        <v>2022_3</v>
      </c>
      <c r="DR91" t="str">
        <f t="shared" si="304"/>
        <v>2022_3</v>
      </c>
      <c r="DS91" t="str">
        <f t="shared" si="304"/>
        <v>2022_3</v>
      </c>
      <c r="DT91" t="str">
        <f t="shared" si="304"/>
        <v>2022_3</v>
      </c>
      <c r="DU91" t="str">
        <f t="shared" si="304"/>
        <v>2022_3</v>
      </c>
      <c r="DV91" t="str">
        <f t="shared" si="304"/>
        <v>2022_3</v>
      </c>
      <c r="DW91" t="str">
        <f t="shared" ref="DW91:EL106" si="307">$K91</f>
        <v>2022_3</v>
      </c>
      <c r="DX91" t="str">
        <f t="shared" si="307"/>
        <v>2022_3</v>
      </c>
      <c r="DY91" t="str">
        <f t="shared" si="307"/>
        <v>2022_3</v>
      </c>
      <c r="DZ91" t="str">
        <f t="shared" si="307"/>
        <v>2022_3</v>
      </c>
      <c r="EA91" t="str">
        <f t="shared" si="307"/>
        <v>2022_3</v>
      </c>
      <c r="EB91" t="str">
        <f t="shared" si="307"/>
        <v>2022_3</v>
      </c>
      <c r="EC91" t="str">
        <f t="shared" si="307"/>
        <v>2022_3</v>
      </c>
      <c r="ED91" t="str">
        <f t="shared" si="307"/>
        <v>2022_3</v>
      </c>
      <c r="EE91" t="str">
        <f t="shared" si="307"/>
        <v>2022_3</v>
      </c>
      <c r="EF91" t="str">
        <f t="shared" si="307"/>
        <v>2022_3</v>
      </c>
      <c r="EG91" t="str">
        <f t="shared" si="307"/>
        <v>2022_3</v>
      </c>
      <c r="EH91" t="str">
        <f t="shared" si="307"/>
        <v>2022_3</v>
      </c>
      <c r="EI91" t="str">
        <f t="shared" si="307"/>
        <v>2022_3</v>
      </c>
      <c r="EJ91" t="str">
        <f t="shared" si="307"/>
        <v>2022_3</v>
      </c>
      <c r="EK91" t="str">
        <f t="shared" si="306"/>
        <v>2022_3</v>
      </c>
      <c r="EL91" t="str">
        <f t="shared" si="306"/>
        <v>2022_3</v>
      </c>
      <c r="EM91" t="str">
        <f t="shared" si="306"/>
        <v>2022_3</v>
      </c>
      <c r="EN91" t="str">
        <f t="shared" si="306"/>
        <v>2022_3</v>
      </c>
      <c r="EO91" t="str">
        <f t="shared" si="306"/>
        <v>2022_3</v>
      </c>
      <c r="EP91" t="str">
        <f t="shared" si="306"/>
        <v>2022_3</v>
      </c>
      <c r="EQ91" t="str">
        <f t="shared" si="306"/>
        <v>2022_3</v>
      </c>
      <c r="ER91" t="str">
        <f t="shared" si="306"/>
        <v>2022_3</v>
      </c>
      <c r="ES91" t="str">
        <f t="shared" si="306"/>
        <v>2022_3</v>
      </c>
      <c r="ET91" t="str">
        <f t="shared" si="306"/>
        <v>2022_3</v>
      </c>
      <c r="EU91" t="str">
        <f t="shared" si="306"/>
        <v>2022_3</v>
      </c>
      <c r="EV91" t="str">
        <f t="shared" si="306"/>
        <v>2022_3</v>
      </c>
      <c r="EW91" t="str">
        <f t="shared" si="306"/>
        <v>2022_3</v>
      </c>
      <c r="EX91" t="str">
        <f t="shared" si="306"/>
        <v>2022_3</v>
      </c>
      <c r="EY91" t="str">
        <f t="shared" si="306"/>
        <v>2022_3</v>
      </c>
      <c r="FB91" s="10" t="s">
        <v>37</v>
      </c>
      <c r="FC91">
        <f t="shared" si="305"/>
        <v>0</v>
      </c>
      <c r="FD91">
        <f t="shared" si="255"/>
        <v>0</v>
      </c>
      <c r="FE91">
        <f t="shared" si="256"/>
        <v>0</v>
      </c>
      <c r="FF91">
        <f t="shared" si="257"/>
        <v>0</v>
      </c>
      <c r="FG91">
        <f t="shared" si="258"/>
        <v>0</v>
      </c>
      <c r="FH91">
        <f t="shared" si="259"/>
        <v>0</v>
      </c>
      <c r="FI91">
        <f t="shared" si="260"/>
        <v>0</v>
      </c>
      <c r="FJ91">
        <f t="shared" si="261"/>
        <v>0</v>
      </c>
      <c r="FK91">
        <f t="shared" si="262"/>
        <v>0</v>
      </c>
      <c r="FL91">
        <f t="shared" si="263"/>
        <v>0</v>
      </c>
      <c r="FM91">
        <f t="shared" si="264"/>
        <v>0</v>
      </c>
      <c r="FN91">
        <f t="shared" si="265"/>
        <v>0</v>
      </c>
      <c r="FO91">
        <f t="shared" si="266"/>
        <v>0</v>
      </c>
      <c r="FP91">
        <f t="shared" si="267"/>
        <v>0</v>
      </c>
      <c r="FQ91">
        <f t="shared" si="268"/>
        <v>0</v>
      </c>
      <c r="FR91">
        <f t="shared" si="269"/>
        <v>0</v>
      </c>
      <c r="FS91">
        <f t="shared" si="270"/>
        <v>0</v>
      </c>
      <c r="FT91">
        <f t="shared" si="271"/>
        <v>0</v>
      </c>
      <c r="FU91">
        <f t="shared" si="272"/>
        <v>0</v>
      </c>
      <c r="FV91">
        <f t="shared" si="273"/>
        <v>0</v>
      </c>
      <c r="FW91">
        <f t="shared" si="274"/>
        <v>0</v>
      </c>
      <c r="FX91">
        <f t="shared" si="275"/>
        <v>0</v>
      </c>
      <c r="FY91">
        <f t="shared" si="276"/>
        <v>0</v>
      </c>
      <c r="FZ91">
        <f t="shared" si="277"/>
        <v>1</v>
      </c>
      <c r="GA91">
        <f t="shared" si="278"/>
        <v>1</v>
      </c>
      <c r="GB91">
        <f t="shared" si="279"/>
        <v>1</v>
      </c>
      <c r="GC91">
        <f t="shared" si="280"/>
        <v>1</v>
      </c>
      <c r="GD91">
        <f t="shared" si="281"/>
        <v>1</v>
      </c>
      <c r="GE91">
        <f t="shared" si="282"/>
        <v>1</v>
      </c>
      <c r="GF91">
        <f t="shared" si="283"/>
        <v>1</v>
      </c>
      <c r="GG91">
        <f t="shared" si="284"/>
        <v>1</v>
      </c>
      <c r="GH91">
        <f t="shared" si="285"/>
        <v>1</v>
      </c>
      <c r="GI91">
        <f t="shared" si="286"/>
        <v>1</v>
      </c>
      <c r="GJ91">
        <f t="shared" si="287"/>
        <v>1</v>
      </c>
      <c r="GK91">
        <f t="shared" si="288"/>
        <v>1</v>
      </c>
      <c r="GL91">
        <f t="shared" si="289"/>
        <v>1</v>
      </c>
      <c r="GM91">
        <f t="shared" si="290"/>
        <v>1</v>
      </c>
      <c r="GN91">
        <f t="shared" si="291"/>
        <v>1</v>
      </c>
      <c r="GO91">
        <f t="shared" si="292"/>
        <v>1</v>
      </c>
      <c r="GP91">
        <f t="shared" si="293"/>
        <v>1</v>
      </c>
      <c r="GQ91">
        <f t="shared" si="294"/>
        <v>1</v>
      </c>
      <c r="GR91">
        <f t="shared" si="295"/>
        <v>1</v>
      </c>
      <c r="GS91">
        <f t="shared" si="296"/>
        <v>1</v>
      </c>
      <c r="GT91">
        <f t="shared" si="297"/>
        <v>1</v>
      </c>
      <c r="GU91">
        <f t="shared" si="298"/>
        <v>1</v>
      </c>
      <c r="GX91" s="10"/>
    </row>
    <row r="92" spans="1:206" x14ac:dyDescent="0.3">
      <c r="A92" s="9" t="s">
        <v>41</v>
      </c>
      <c r="B92" s="80"/>
      <c r="C92" s="9">
        <v>3080564000</v>
      </c>
      <c r="D92" s="9" t="s">
        <v>420</v>
      </c>
      <c r="E92" s="9" t="s">
        <v>34</v>
      </c>
      <c r="F92" s="9" t="s">
        <v>35</v>
      </c>
      <c r="G92" s="9" t="s">
        <v>86</v>
      </c>
      <c r="H92" s="10">
        <v>44648</v>
      </c>
      <c r="I92" s="9">
        <f t="shared" si="299"/>
        <v>2022</v>
      </c>
      <c r="J92" s="9">
        <f t="shared" si="300"/>
        <v>3</v>
      </c>
      <c r="K92" s="9" t="str">
        <f t="shared" si="301"/>
        <v>2022_3</v>
      </c>
      <c r="L92">
        <f>MAX(0,VLOOKUP($K92,lookups!$A$1:$B$45,2,0)-12)</f>
        <v>11</v>
      </c>
      <c r="M92" s="40">
        <f t="shared" si="302"/>
        <v>44621</v>
      </c>
      <c r="N92" s="10" t="s">
        <v>37</v>
      </c>
      <c r="O92" t="str">
        <f ca="1">IF(OR($L92&gt;O$4,O$4&gt;$L92+23),"",OFFSET(Electric!$L83,0,-'Electric Calendarize'!$L92+'Electric Calendarize'!O$4+1))</f>
        <v/>
      </c>
      <c r="P92" t="str">
        <f ca="1">IF(OR($L92&gt;P$4,P$4&gt;$L92+23),"",OFFSET(Electric!$L83,0,-'Electric Calendarize'!$L92+'Electric Calendarize'!P$4+1))</f>
        <v/>
      </c>
      <c r="Q92" t="str">
        <f ca="1">IF(OR($L92&gt;Q$4,Q$4&gt;$L92+23),"",OFFSET(Electric!$L83,0,-'Electric Calendarize'!$L92+'Electric Calendarize'!Q$4+1))</f>
        <v/>
      </c>
      <c r="R92" t="str">
        <f ca="1">IF(OR($L92&gt;R$4,R$4&gt;$L92+23),"",OFFSET(Electric!$L83,0,-'Electric Calendarize'!$L92+'Electric Calendarize'!R$4+1))</f>
        <v/>
      </c>
      <c r="S92" t="str">
        <f ca="1">IF(OR($L92&gt;S$4,S$4&gt;$L92+23),"",OFFSET(Electric!$L83,0,-'Electric Calendarize'!$L92+'Electric Calendarize'!S$4+1))</f>
        <v/>
      </c>
      <c r="T92" t="str">
        <f ca="1">IF(OR($L92&gt;T$4,T$4&gt;$L92+23),"",OFFSET(Electric!$L83,0,-'Electric Calendarize'!$L92+'Electric Calendarize'!T$4+1))</f>
        <v/>
      </c>
      <c r="U92" t="str">
        <f ca="1">IF(OR($L92&gt;U$4,U$4&gt;$L92+23),"",OFFSET(Electric!$L83,0,-'Electric Calendarize'!$L92+'Electric Calendarize'!U$4+1))</f>
        <v/>
      </c>
      <c r="V92" t="str">
        <f ca="1">IF(OR($L92&gt;V$4,V$4&gt;$L92+23),"",OFFSET(Electric!$L83,0,-'Electric Calendarize'!$L92+'Electric Calendarize'!V$4+1))</f>
        <v/>
      </c>
      <c r="W92" t="str">
        <f ca="1">IF(OR($L92&gt;W$4,W$4&gt;$L92+23),"",OFFSET(Electric!$L83,0,-'Electric Calendarize'!$L92+'Electric Calendarize'!W$4+1))</f>
        <v/>
      </c>
      <c r="X92" t="str">
        <f ca="1">IF(OR($L92&gt;X$4,X$4&gt;$L92+23),"",OFFSET(Electric!$L83,0,-'Electric Calendarize'!$L92+'Electric Calendarize'!X$4+1))</f>
        <v/>
      </c>
      <c r="Y92" t="str">
        <f ca="1">IF(OR($L92&gt;Y$4,Y$4&gt;$L92+23),"",OFFSET(Electric!$L83,0,-'Electric Calendarize'!$L92+'Electric Calendarize'!Y$4+1))</f>
        <v/>
      </c>
      <c r="Z92">
        <f ca="1">IF(OR($L92&gt;Z$4,Z$4&gt;$L92+23),"",OFFSET(Electric!$L83,0,-'Electric Calendarize'!$L92+'Electric Calendarize'!Z$4+1))</f>
        <v>983</v>
      </c>
      <c r="AA92">
        <f ca="1">IF(OR($L92&gt;AA$4,AA$4&gt;$L92+23),"",OFFSET(Electric!$L83,0,-'Electric Calendarize'!$L92+'Electric Calendarize'!AA$4+1))</f>
        <v>786</v>
      </c>
      <c r="AB92">
        <f ca="1">IF(OR($L92&gt;AB$4,AB$4&gt;$L92+23),"",OFFSET(Electric!$L83,0,-'Electric Calendarize'!$L92+'Electric Calendarize'!AB$4+1))</f>
        <v>909</v>
      </c>
      <c r="AC92">
        <f ca="1">IF(OR($L92&gt;AC$4,AC$4&gt;$L92+23),"",OFFSET(Electric!$L83,0,-'Electric Calendarize'!$L92+'Electric Calendarize'!AC$4+1))</f>
        <v>1318</v>
      </c>
      <c r="AD92">
        <f ca="1">IF(OR($L92&gt;AD$4,AD$4&gt;$L92+23),"",OFFSET(Electric!$L83,0,-'Electric Calendarize'!$L92+'Electric Calendarize'!AD$4+1))</f>
        <v>1373</v>
      </c>
      <c r="AE92">
        <f ca="1">IF(OR($L92&gt;AE$4,AE$4&gt;$L92+23),"",OFFSET(Electric!$L83,0,-'Electric Calendarize'!$L92+'Electric Calendarize'!AE$4+1))</f>
        <v>1592</v>
      </c>
      <c r="AF92">
        <f ca="1">IF(OR($L92&gt;AF$4,AF$4&gt;$L92+23),"",OFFSET(Electric!$L83,0,-'Electric Calendarize'!$L92+'Electric Calendarize'!AF$4+1))</f>
        <v>1512</v>
      </c>
      <c r="AG92">
        <f ca="1">IF(OR($L92&gt;AG$4,AG$4&gt;$L92+23),"",OFFSET(Electric!$L83,0,-'Electric Calendarize'!$L92+'Electric Calendarize'!AG$4+1))</f>
        <v>1063</v>
      </c>
      <c r="AH92">
        <f ca="1">IF(OR($L92&gt;AH$4,AH$4&gt;$L92+23),"",OFFSET(Electric!$L83,0,-'Electric Calendarize'!$L92+'Electric Calendarize'!AH$4+1))</f>
        <v>996</v>
      </c>
      <c r="AI92">
        <f ca="1">IF(OR($L92&gt;AI$4,AI$4&gt;$L92+23),"",OFFSET(Electric!$L83,0,-'Electric Calendarize'!$L92+'Electric Calendarize'!AI$4+1))</f>
        <v>970</v>
      </c>
      <c r="AJ92">
        <f ca="1">IF(OR($L92&gt;AJ$4,AJ$4&gt;$L92+23),"",OFFSET(Electric!$L83,0,-'Electric Calendarize'!$L92+'Electric Calendarize'!AJ$4+1))</f>
        <v>1111</v>
      </c>
      <c r="AK92">
        <f ca="1">IF(OR($L92&gt;AK$4,AK$4&gt;$L92+23),"",OFFSET(Electric!$L83,0,-'Electric Calendarize'!$L92+'Electric Calendarize'!AK$4+1))</f>
        <v>1097</v>
      </c>
      <c r="AL92">
        <f ca="1">IF(OR($L92&gt;AL$4,AL$4&gt;$L92+23),"",OFFSET(Electric!$L83,0,-'Electric Calendarize'!$L92+'Electric Calendarize'!AL$4+1))</f>
        <v>987</v>
      </c>
      <c r="AM92">
        <f ca="1">IF(OR($L92&gt;AM$4,AM$4&gt;$L92+23),"",OFFSET(Electric!$L83,0,-'Electric Calendarize'!$L92+'Electric Calendarize'!AM$4+1))</f>
        <v>1175</v>
      </c>
      <c r="AN92">
        <f ca="1">IF(OR($L92&gt;AN$4,AN$4&gt;$L92+23),"",OFFSET(Electric!$L83,0,-'Electric Calendarize'!$L92+'Electric Calendarize'!AN$4+1))</f>
        <v>1326</v>
      </c>
      <c r="AO92">
        <f ca="1">IF(OR($L92&gt;AO$4,AO$4&gt;$L92+23),"",OFFSET(Electric!$L83,0,-'Electric Calendarize'!$L92+'Electric Calendarize'!AO$4+1))</f>
        <v>1260</v>
      </c>
      <c r="AP92">
        <f ca="1">IF(OR($L92&gt;AP$4,AP$4&gt;$L92+23),"",OFFSET(Electric!$L83,0,-'Electric Calendarize'!$L92+'Electric Calendarize'!AP$4+1))</f>
        <v>1446</v>
      </c>
      <c r="AQ92">
        <f ca="1">IF(OR($L92&gt;AQ$4,AQ$4&gt;$L92+23),"",OFFSET(Electric!$L83,0,-'Electric Calendarize'!$L92+'Electric Calendarize'!AQ$4+1))</f>
        <v>1751</v>
      </c>
      <c r="AR92">
        <f ca="1">IF(OR($L92&gt;AR$4,AR$4&gt;$L92+23),"",OFFSET(Electric!$L83,0,-'Electric Calendarize'!$L92+'Electric Calendarize'!AR$4+1))</f>
        <v>1543</v>
      </c>
      <c r="AS92">
        <f ca="1">IF(OR($L92&gt;AS$4,AS$4&gt;$L92+23),"",OFFSET(Electric!$L83,0,-'Electric Calendarize'!$L92+'Electric Calendarize'!AS$4+1))</f>
        <v>1179</v>
      </c>
      <c r="AT92">
        <f ca="1">IF(OR($L92&gt;AT$4,AT$4&gt;$L92+23),"",OFFSET(Electric!$L83,0,-'Electric Calendarize'!$L92+'Electric Calendarize'!AT$4+1))</f>
        <v>1269</v>
      </c>
      <c r="AU92">
        <f ca="1">IF(OR($L92&gt;AU$4,AU$4&gt;$L92+23),"",OFFSET(Electric!$L83,0,-'Electric Calendarize'!$L92+'Electric Calendarize'!AU$4+1))</f>
        <v>2221</v>
      </c>
      <c r="AV92">
        <f ca="1">IF(OR($L92&gt;AV$4,AV$4&gt;$L92+23),"",OFFSET(Electric!$L83,0,-'Electric Calendarize'!$L92+'Electric Calendarize'!AV$4+1))</f>
        <v>2452</v>
      </c>
      <c r="AW92">
        <f ca="1">IF(OR($L92&gt;AW$4,AW$4&gt;$L92+23),"",OFFSET(Electric!$L83,0,-'Electric Calendarize'!$L92+'Electric Calendarize'!AW$4+1))</f>
        <v>2197</v>
      </c>
      <c r="AX92" t="str">
        <f ca="1">IF(OR($L92&gt;AX$4,AX$4&gt;$L92+23),"",OFFSET(Electric!$L83,0,-'Electric Calendarize'!$L92+'Electric Calendarize'!AX$4+1))</f>
        <v/>
      </c>
      <c r="AY92" t="str">
        <f ca="1">IF(OR($L92&gt;AY$4,AY$4&gt;$L92+23),"",OFFSET(Electric!$L83,0,-'Electric Calendarize'!$L92+'Electric Calendarize'!AY$4+1))</f>
        <v/>
      </c>
      <c r="AZ92" t="str">
        <f ca="1">IF(OR($L92&gt;AZ$4,AZ$4&gt;$L92+23),"",OFFSET(Electric!$L83,0,-'Electric Calendarize'!$L92+'Electric Calendarize'!AZ$4+1))</f>
        <v/>
      </c>
      <c r="BA92" t="str">
        <f ca="1">IF(OR($L92&gt;BA$4,BA$4&gt;$L92+23),"",OFFSET(Electric!$L83,0,-'Electric Calendarize'!$L92+'Electric Calendarize'!BA$4+1))</f>
        <v/>
      </c>
      <c r="BB92" t="str">
        <f ca="1">IF(OR($L92&gt;BB$4,BB$4&gt;$L92+23),"",OFFSET(Electric!$L83,0,-'Electric Calendarize'!$L92+'Electric Calendarize'!BB$4+1))</f>
        <v/>
      </c>
      <c r="BC92" t="str">
        <f ca="1">IF(OR($L92&gt;BC$4,BC$4&gt;$L92+23),"",OFFSET(Electric!$L83,0,-'Electric Calendarize'!$L92+'Electric Calendarize'!BC$4+1))</f>
        <v/>
      </c>
      <c r="BD92" t="str">
        <f ca="1">IF(OR($L92&gt;BD$4,BD$4&gt;$L92+23),"",OFFSET(Electric!$L83,0,-'Electric Calendarize'!$L92+'Electric Calendarize'!BD$4+1))</f>
        <v/>
      </c>
      <c r="BE92" t="str">
        <f ca="1">IF(OR($L92&gt;BE$4,BE$4&gt;$L92+23),"",OFFSET(Electric!$L83,0,-'Electric Calendarize'!$L92+'Electric Calendarize'!BE$4+1))</f>
        <v/>
      </c>
      <c r="BF92" t="str">
        <f ca="1">IF(OR($L92&gt;BF$4,BF$4&gt;$L92+23),"",OFFSET(Electric!$L83,0,-'Electric Calendarize'!$L92+'Electric Calendarize'!BF$4+1))</f>
        <v/>
      </c>
      <c r="BG92" t="str">
        <f ca="1">IF(OR($L92&gt;BG$4,BG$4&gt;$L92+23),"",OFFSET(Electric!$L83,0,-'Electric Calendarize'!$L92+'Electric Calendarize'!BG$4+1))</f>
        <v/>
      </c>
      <c r="BJ92" s="10" t="s">
        <v>37</v>
      </c>
      <c r="BK92">
        <f t="shared" si="303"/>
        <v>1</v>
      </c>
      <c r="BL92">
        <f t="shared" si="209"/>
        <v>0</v>
      </c>
      <c r="BM92">
        <f t="shared" si="210"/>
        <v>0</v>
      </c>
      <c r="BN92">
        <f t="shared" si="211"/>
        <v>0</v>
      </c>
      <c r="BO92">
        <f t="shared" si="212"/>
        <v>0</v>
      </c>
      <c r="BP92">
        <f t="shared" si="213"/>
        <v>0</v>
      </c>
      <c r="BQ92">
        <f t="shared" si="214"/>
        <v>0</v>
      </c>
      <c r="BR92">
        <f t="shared" si="215"/>
        <v>1</v>
      </c>
      <c r="BS92">
        <f t="shared" si="216"/>
        <v>1</v>
      </c>
      <c r="BT92">
        <f t="shared" si="217"/>
        <v>1</v>
      </c>
      <c r="BU92">
        <f t="shared" si="218"/>
        <v>1</v>
      </c>
      <c r="BV92">
        <f t="shared" si="219"/>
        <v>1</v>
      </c>
      <c r="BW92">
        <f t="shared" si="220"/>
        <v>1</v>
      </c>
      <c r="BX92">
        <f t="shared" si="221"/>
        <v>0</v>
      </c>
      <c r="BY92">
        <f t="shared" si="222"/>
        <v>0</v>
      </c>
      <c r="BZ92">
        <f t="shared" si="223"/>
        <v>0</v>
      </c>
      <c r="CA92">
        <f t="shared" si="224"/>
        <v>0</v>
      </c>
      <c r="CB92">
        <f t="shared" si="225"/>
        <v>0</v>
      </c>
      <c r="CC92">
        <f t="shared" si="226"/>
        <v>0</v>
      </c>
      <c r="CD92">
        <f t="shared" si="227"/>
        <v>1</v>
      </c>
      <c r="CE92">
        <f t="shared" si="228"/>
        <v>1</v>
      </c>
      <c r="CF92">
        <f t="shared" si="229"/>
        <v>1</v>
      </c>
      <c r="CG92">
        <f t="shared" si="230"/>
        <v>1</v>
      </c>
      <c r="CH92">
        <f t="shared" si="231"/>
        <v>1</v>
      </c>
      <c r="CI92">
        <f t="shared" si="232"/>
        <v>1</v>
      </c>
      <c r="CJ92">
        <f t="shared" si="233"/>
        <v>0</v>
      </c>
      <c r="CK92">
        <f t="shared" si="234"/>
        <v>0</v>
      </c>
      <c r="CL92">
        <f t="shared" si="235"/>
        <v>0</v>
      </c>
      <c r="CM92">
        <f t="shared" si="236"/>
        <v>0</v>
      </c>
      <c r="CN92">
        <f t="shared" si="237"/>
        <v>0</v>
      </c>
      <c r="CO92">
        <f t="shared" si="238"/>
        <v>0</v>
      </c>
      <c r="CP92">
        <f t="shared" si="239"/>
        <v>1</v>
      </c>
      <c r="CQ92">
        <f t="shared" si="240"/>
        <v>1</v>
      </c>
      <c r="CR92">
        <f t="shared" si="241"/>
        <v>1</v>
      </c>
      <c r="CS92">
        <f t="shared" si="242"/>
        <v>1</v>
      </c>
      <c r="CT92">
        <f t="shared" si="243"/>
        <v>1</v>
      </c>
      <c r="CU92">
        <f t="shared" si="244"/>
        <v>1</v>
      </c>
      <c r="CV92">
        <f t="shared" si="245"/>
        <v>0</v>
      </c>
      <c r="CW92">
        <f t="shared" si="246"/>
        <v>0</v>
      </c>
      <c r="CX92">
        <f t="shared" si="247"/>
        <v>0</v>
      </c>
      <c r="CY92">
        <f t="shared" si="248"/>
        <v>0</v>
      </c>
      <c r="CZ92">
        <f t="shared" si="249"/>
        <v>0</v>
      </c>
      <c r="DA92">
        <f t="shared" si="250"/>
        <v>0</v>
      </c>
      <c r="DB92">
        <f t="shared" si="251"/>
        <v>1</v>
      </c>
      <c r="DC92">
        <f t="shared" si="252"/>
        <v>1</v>
      </c>
      <c r="DF92" s="10" t="s">
        <v>37</v>
      </c>
      <c r="DG92" t="str">
        <f t="shared" ref="DG92:DV107" si="308">$K92</f>
        <v>2022_3</v>
      </c>
      <c r="DH92" t="str">
        <f t="shared" si="308"/>
        <v>2022_3</v>
      </c>
      <c r="DI92" t="str">
        <f t="shared" si="308"/>
        <v>2022_3</v>
      </c>
      <c r="DJ92" t="str">
        <f t="shared" si="308"/>
        <v>2022_3</v>
      </c>
      <c r="DK92" t="str">
        <f t="shared" si="308"/>
        <v>2022_3</v>
      </c>
      <c r="DL92" t="str">
        <f t="shared" si="308"/>
        <v>2022_3</v>
      </c>
      <c r="DM92" t="str">
        <f t="shared" si="308"/>
        <v>2022_3</v>
      </c>
      <c r="DN92" t="str">
        <f t="shared" si="308"/>
        <v>2022_3</v>
      </c>
      <c r="DO92" t="str">
        <f t="shared" si="308"/>
        <v>2022_3</v>
      </c>
      <c r="DP92" t="str">
        <f t="shared" si="308"/>
        <v>2022_3</v>
      </c>
      <c r="DQ92" t="str">
        <f t="shared" si="308"/>
        <v>2022_3</v>
      </c>
      <c r="DR92" t="str">
        <f t="shared" si="308"/>
        <v>2022_3</v>
      </c>
      <c r="DS92" t="str">
        <f t="shared" si="308"/>
        <v>2022_3</v>
      </c>
      <c r="DT92" t="str">
        <f t="shared" si="308"/>
        <v>2022_3</v>
      </c>
      <c r="DU92" t="str">
        <f t="shared" si="308"/>
        <v>2022_3</v>
      </c>
      <c r="DV92" t="str">
        <f t="shared" si="308"/>
        <v>2022_3</v>
      </c>
      <c r="DW92" t="str">
        <f t="shared" si="307"/>
        <v>2022_3</v>
      </c>
      <c r="DX92" t="str">
        <f t="shared" si="307"/>
        <v>2022_3</v>
      </c>
      <c r="DY92" t="str">
        <f t="shared" si="307"/>
        <v>2022_3</v>
      </c>
      <c r="DZ92" t="str">
        <f t="shared" si="307"/>
        <v>2022_3</v>
      </c>
      <c r="EA92" t="str">
        <f t="shared" si="307"/>
        <v>2022_3</v>
      </c>
      <c r="EB92" t="str">
        <f t="shared" si="307"/>
        <v>2022_3</v>
      </c>
      <c r="EC92" t="str">
        <f t="shared" si="307"/>
        <v>2022_3</v>
      </c>
      <c r="ED92" t="str">
        <f t="shared" si="307"/>
        <v>2022_3</v>
      </c>
      <c r="EE92" t="str">
        <f t="shared" si="307"/>
        <v>2022_3</v>
      </c>
      <c r="EF92" t="str">
        <f t="shared" si="307"/>
        <v>2022_3</v>
      </c>
      <c r="EG92" t="str">
        <f t="shared" si="307"/>
        <v>2022_3</v>
      </c>
      <c r="EH92" t="str">
        <f t="shared" si="307"/>
        <v>2022_3</v>
      </c>
      <c r="EI92" t="str">
        <f t="shared" si="307"/>
        <v>2022_3</v>
      </c>
      <c r="EJ92" t="str">
        <f t="shared" si="307"/>
        <v>2022_3</v>
      </c>
      <c r="EK92" t="str">
        <f t="shared" si="306"/>
        <v>2022_3</v>
      </c>
      <c r="EL92" t="str">
        <f t="shared" si="306"/>
        <v>2022_3</v>
      </c>
      <c r="EM92" t="str">
        <f t="shared" si="306"/>
        <v>2022_3</v>
      </c>
      <c r="EN92" t="str">
        <f t="shared" si="306"/>
        <v>2022_3</v>
      </c>
      <c r="EO92" t="str">
        <f t="shared" si="306"/>
        <v>2022_3</v>
      </c>
      <c r="EP92" t="str">
        <f t="shared" si="306"/>
        <v>2022_3</v>
      </c>
      <c r="EQ92" t="str">
        <f t="shared" si="306"/>
        <v>2022_3</v>
      </c>
      <c r="ER92" t="str">
        <f t="shared" si="306"/>
        <v>2022_3</v>
      </c>
      <c r="ES92" t="str">
        <f t="shared" si="306"/>
        <v>2022_3</v>
      </c>
      <c r="ET92" t="str">
        <f t="shared" si="306"/>
        <v>2022_3</v>
      </c>
      <c r="EU92" t="str">
        <f t="shared" si="306"/>
        <v>2022_3</v>
      </c>
      <c r="EV92" t="str">
        <f t="shared" si="306"/>
        <v>2022_3</v>
      </c>
      <c r="EW92" t="str">
        <f t="shared" si="306"/>
        <v>2022_3</v>
      </c>
      <c r="EX92" t="str">
        <f t="shared" si="306"/>
        <v>2022_3</v>
      </c>
      <c r="EY92" t="str">
        <f t="shared" si="306"/>
        <v>2022_3</v>
      </c>
      <c r="FB92" s="10" t="s">
        <v>37</v>
      </c>
      <c r="FC92">
        <f t="shared" si="305"/>
        <v>0</v>
      </c>
      <c r="FD92">
        <f t="shared" si="255"/>
        <v>0</v>
      </c>
      <c r="FE92">
        <f t="shared" si="256"/>
        <v>0</v>
      </c>
      <c r="FF92">
        <f t="shared" si="257"/>
        <v>0</v>
      </c>
      <c r="FG92">
        <f t="shared" si="258"/>
        <v>0</v>
      </c>
      <c r="FH92">
        <f t="shared" si="259"/>
        <v>0</v>
      </c>
      <c r="FI92">
        <f t="shared" si="260"/>
        <v>0</v>
      </c>
      <c r="FJ92">
        <f t="shared" si="261"/>
        <v>0</v>
      </c>
      <c r="FK92">
        <f t="shared" si="262"/>
        <v>0</v>
      </c>
      <c r="FL92">
        <f t="shared" si="263"/>
        <v>0</v>
      </c>
      <c r="FM92">
        <f t="shared" si="264"/>
        <v>0</v>
      </c>
      <c r="FN92">
        <f t="shared" si="265"/>
        <v>0</v>
      </c>
      <c r="FO92">
        <f t="shared" si="266"/>
        <v>0</v>
      </c>
      <c r="FP92">
        <f t="shared" si="267"/>
        <v>0</v>
      </c>
      <c r="FQ92">
        <f t="shared" si="268"/>
        <v>0</v>
      </c>
      <c r="FR92">
        <f t="shared" si="269"/>
        <v>0</v>
      </c>
      <c r="FS92">
        <f t="shared" si="270"/>
        <v>0</v>
      </c>
      <c r="FT92">
        <f t="shared" si="271"/>
        <v>0</v>
      </c>
      <c r="FU92">
        <f t="shared" si="272"/>
        <v>0</v>
      </c>
      <c r="FV92">
        <f t="shared" si="273"/>
        <v>0</v>
      </c>
      <c r="FW92">
        <f t="shared" si="274"/>
        <v>0</v>
      </c>
      <c r="FX92">
        <f t="shared" si="275"/>
        <v>0</v>
      </c>
      <c r="FY92">
        <f t="shared" si="276"/>
        <v>0</v>
      </c>
      <c r="FZ92">
        <f t="shared" si="277"/>
        <v>1</v>
      </c>
      <c r="GA92">
        <f t="shared" si="278"/>
        <v>1</v>
      </c>
      <c r="GB92">
        <f t="shared" si="279"/>
        <v>1</v>
      </c>
      <c r="GC92">
        <f t="shared" si="280"/>
        <v>1</v>
      </c>
      <c r="GD92">
        <f t="shared" si="281"/>
        <v>1</v>
      </c>
      <c r="GE92">
        <f t="shared" si="282"/>
        <v>1</v>
      </c>
      <c r="GF92">
        <f t="shared" si="283"/>
        <v>1</v>
      </c>
      <c r="GG92">
        <f t="shared" si="284"/>
        <v>1</v>
      </c>
      <c r="GH92">
        <f t="shared" si="285"/>
        <v>1</v>
      </c>
      <c r="GI92">
        <f t="shared" si="286"/>
        <v>1</v>
      </c>
      <c r="GJ92">
        <f t="shared" si="287"/>
        <v>1</v>
      </c>
      <c r="GK92">
        <f t="shared" si="288"/>
        <v>1</v>
      </c>
      <c r="GL92">
        <f t="shared" si="289"/>
        <v>1</v>
      </c>
      <c r="GM92">
        <f t="shared" si="290"/>
        <v>1</v>
      </c>
      <c r="GN92">
        <f t="shared" si="291"/>
        <v>1</v>
      </c>
      <c r="GO92">
        <f t="shared" si="292"/>
        <v>1</v>
      </c>
      <c r="GP92">
        <f t="shared" si="293"/>
        <v>1</v>
      </c>
      <c r="GQ92">
        <f t="shared" si="294"/>
        <v>1</v>
      </c>
      <c r="GR92">
        <f t="shared" si="295"/>
        <v>1</v>
      </c>
      <c r="GS92">
        <f t="shared" si="296"/>
        <v>1</v>
      </c>
      <c r="GT92">
        <f t="shared" si="297"/>
        <v>1</v>
      </c>
      <c r="GU92">
        <f t="shared" si="298"/>
        <v>1</v>
      </c>
      <c r="GX92" s="10"/>
    </row>
    <row r="93" spans="1:206" x14ac:dyDescent="0.3">
      <c r="A93" s="8" t="s">
        <v>33</v>
      </c>
      <c r="B93" s="80"/>
      <c r="C93" s="9">
        <v>3060501001</v>
      </c>
      <c r="D93" s="9" t="s">
        <v>421</v>
      </c>
      <c r="E93" s="9" t="s">
        <v>34</v>
      </c>
      <c r="F93" s="9" t="s">
        <v>35</v>
      </c>
      <c r="G93" s="9" t="s">
        <v>86</v>
      </c>
      <c r="H93" s="10">
        <v>44652</v>
      </c>
      <c r="I93" s="9">
        <f t="shared" si="299"/>
        <v>2022</v>
      </c>
      <c r="J93" s="9">
        <f t="shared" si="300"/>
        <v>4</v>
      </c>
      <c r="K93" s="9" t="str">
        <f t="shared" si="301"/>
        <v>2022_4</v>
      </c>
      <c r="L93">
        <f>MAX(0,VLOOKUP($K93,lookups!$A$1:$B$45,2,0)-12)</f>
        <v>12</v>
      </c>
      <c r="M93" s="40">
        <f t="shared" si="302"/>
        <v>44652</v>
      </c>
      <c r="N93" s="10" t="s">
        <v>37</v>
      </c>
      <c r="O93" t="str">
        <f ca="1">IF(OR($L93&gt;O$4,O$4&gt;$L93+23),"",OFFSET(Electric!$L84,0,-'Electric Calendarize'!$L93+'Electric Calendarize'!O$4+1))</f>
        <v/>
      </c>
      <c r="P93" t="str">
        <f ca="1">IF(OR($L93&gt;P$4,P$4&gt;$L93+23),"",OFFSET(Electric!$L84,0,-'Electric Calendarize'!$L93+'Electric Calendarize'!P$4+1))</f>
        <v/>
      </c>
      <c r="Q93" t="str">
        <f ca="1">IF(OR($L93&gt;Q$4,Q$4&gt;$L93+23),"",OFFSET(Electric!$L84,0,-'Electric Calendarize'!$L93+'Electric Calendarize'!Q$4+1))</f>
        <v/>
      </c>
      <c r="R93" t="str">
        <f ca="1">IF(OR($L93&gt;R$4,R$4&gt;$L93+23),"",OFFSET(Electric!$L84,0,-'Electric Calendarize'!$L93+'Electric Calendarize'!R$4+1))</f>
        <v/>
      </c>
      <c r="S93" t="str">
        <f ca="1">IF(OR($L93&gt;S$4,S$4&gt;$L93+23),"",OFFSET(Electric!$L84,0,-'Electric Calendarize'!$L93+'Electric Calendarize'!S$4+1))</f>
        <v/>
      </c>
      <c r="T93" t="str">
        <f ca="1">IF(OR($L93&gt;T$4,T$4&gt;$L93+23),"",OFFSET(Electric!$L84,0,-'Electric Calendarize'!$L93+'Electric Calendarize'!T$4+1))</f>
        <v/>
      </c>
      <c r="U93" t="str">
        <f ca="1">IF(OR($L93&gt;U$4,U$4&gt;$L93+23),"",OFFSET(Electric!$L84,0,-'Electric Calendarize'!$L93+'Electric Calendarize'!U$4+1))</f>
        <v/>
      </c>
      <c r="V93" t="str">
        <f ca="1">IF(OR($L93&gt;V$4,V$4&gt;$L93+23),"",OFFSET(Electric!$L84,0,-'Electric Calendarize'!$L93+'Electric Calendarize'!V$4+1))</f>
        <v/>
      </c>
      <c r="W93" t="str">
        <f ca="1">IF(OR($L93&gt;W$4,W$4&gt;$L93+23),"",OFFSET(Electric!$L84,0,-'Electric Calendarize'!$L93+'Electric Calendarize'!W$4+1))</f>
        <v/>
      </c>
      <c r="X93" t="str">
        <f ca="1">IF(OR($L93&gt;X$4,X$4&gt;$L93+23),"",OFFSET(Electric!$L84,0,-'Electric Calendarize'!$L93+'Electric Calendarize'!X$4+1))</f>
        <v/>
      </c>
      <c r="Y93" t="str">
        <f ca="1">IF(OR($L93&gt;Y$4,Y$4&gt;$L93+23),"",OFFSET(Electric!$L84,0,-'Electric Calendarize'!$L93+'Electric Calendarize'!Y$4+1))</f>
        <v/>
      </c>
      <c r="Z93" t="str">
        <f ca="1">IF(OR($L93&gt;Z$4,Z$4&gt;$L93+23),"",OFFSET(Electric!$L84,0,-'Electric Calendarize'!$L93+'Electric Calendarize'!Z$4+1))</f>
        <v/>
      </c>
      <c r="AA93">
        <f ca="1">IF(OR($L93&gt;AA$4,AA$4&gt;$L93+23),"",OFFSET(Electric!$L84,0,-'Electric Calendarize'!$L93+'Electric Calendarize'!AA$4+1))</f>
        <v>0</v>
      </c>
      <c r="AB93">
        <f ca="1">IF(OR($L93&gt;AB$4,AB$4&gt;$L93+23),"",OFFSET(Electric!$L84,0,-'Electric Calendarize'!$L93+'Electric Calendarize'!AB$4+1))</f>
        <v>0</v>
      </c>
      <c r="AC93">
        <f ca="1">IF(OR($L93&gt;AC$4,AC$4&gt;$L93+23),"",OFFSET(Electric!$L84,0,-'Electric Calendarize'!$L93+'Electric Calendarize'!AC$4+1))</f>
        <v>0</v>
      </c>
      <c r="AD93">
        <f ca="1">IF(OR($L93&gt;AD$4,AD$4&gt;$L93+23),"",OFFSET(Electric!$L84,0,-'Electric Calendarize'!$L93+'Electric Calendarize'!AD$4+1))</f>
        <v>0</v>
      </c>
      <c r="AE93">
        <f ca="1">IF(OR($L93&gt;AE$4,AE$4&gt;$L93+23),"",OFFSET(Electric!$L84,0,-'Electric Calendarize'!$L93+'Electric Calendarize'!AE$4+1))</f>
        <v>0</v>
      </c>
      <c r="AF93">
        <f ca="1">IF(OR($L93&gt;AF$4,AF$4&gt;$L93+23),"",OFFSET(Electric!$L84,0,-'Electric Calendarize'!$L93+'Electric Calendarize'!AF$4+1))</f>
        <v>0</v>
      </c>
      <c r="AG93">
        <f ca="1">IF(OR($L93&gt;AG$4,AG$4&gt;$L93+23),"",OFFSET(Electric!$L84,0,-'Electric Calendarize'!$L93+'Electric Calendarize'!AG$4+1))</f>
        <v>0</v>
      </c>
      <c r="AH93">
        <f ca="1">IF(OR($L93&gt;AH$4,AH$4&gt;$L93+23),"",OFFSET(Electric!$L84,0,-'Electric Calendarize'!$L93+'Electric Calendarize'!AH$4+1))</f>
        <v>304</v>
      </c>
      <c r="AI93">
        <f ca="1">IF(OR($L93&gt;AI$4,AI$4&gt;$L93+23),"",OFFSET(Electric!$L84,0,-'Electric Calendarize'!$L93+'Electric Calendarize'!AI$4+1))</f>
        <v>547</v>
      </c>
      <c r="AJ93">
        <f ca="1">IF(OR($L93&gt;AJ$4,AJ$4&gt;$L93+23),"",OFFSET(Electric!$L84,0,-'Electric Calendarize'!$L93+'Electric Calendarize'!AJ$4+1))</f>
        <v>718</v>
      </c>
      <c r="AK93">
        <f ca="1">IF(OR($L93&gt;AK$4,AK$4&gt;$L93+23),"",OFFSET(Electric!$L84,0,-'Electric Calendarize'!$L93+'Electric Calendarize'!AK$4+1))</f>
        <v>834</v>
      </c>
      <c r="AL93">
        <f ca="1">IF(OR($L93&gt;AL$4,AL$4&gt;$L93+23),"",OFFSET(Electric!$L84,0,-'Electric Calendarize'!$L93+'Electric Calendarize'!AL$4+1))</f>
        <v>691</v>
      </c>
      <c r="AM93">
        <f ca="1">IF(OR($L93&gt;AM$4,AM$4&gt;$L93+23),"",OFFSET(Electric!$L84,0,-'Electric Calendarize'!$L93+'Electric Calendarize'!AM$4+1))</f>
        <v>479</v>
      </c>
      <c r="AN93">
        <f ca="1">IF(OR($L93&gt;AN$4,AN$4&gt;$L93+23),"",OFFSET(Electric!$L84,0,-'Electric Calendarize'!$L93+'Electric Calendarize'!AN$4+1))</f>
        <v>456</v>
      </c>
      <c r="AO93">
        <f ca="1">IF(OR($L93&gt;AO$4,AO$4&gt;$L93+23),"",OFFSET(Electric!$L84,0,-'Electric Calendarize'!$L93+'Electric Calendarize'!AO$4+1))</f>
        <v>351</v>
      </c>
      <c r="AP93">
        <f ca="1">IF(OR($L93&gt;AP$4,AP$4&gt;$L93+23),"",OFFSET(Electric!$L84,0,-'Electric Calendarize'!$L93+'Electric Calendarize'!AP$4+1))</f>
        <v>559</v>
      </c>
      <c r="AQ93">
        <f ca="1">IF(OR($L93&gt;AQ$4,AQ$4&gt;$L93+23),"",OFFSET(Electric!$L84,0,-'Electric Calendarize'!$L93+'Electric Calendarize'!AQ$4+1))</f>
        <v>1002</v>
      </c>
      <c r="AR93">
        <f ca="1">IF(OR($L93&gt;AR$4,AR$4&gt;$L93+23),"",OFFSET(Electric!$L84,0,-'Electric Calendarize'!$L93+'Electric Calendarize'!AR$4+1))</f>
        <v>618</v>
      </c>
      <c r="AS93">
        <f ca="1">IF(OR($L93&gt;AS$4,AS$4&gt;$L93+23),"",OFFSET(Electric!$L84,0,-'Electric Calendarize'!$L93+'Electric Calendarize'!AS$4+1))</f>
        <v>282</v>
      </c>
      <c r="AT93">
        <f ca="1">IF(OR($L93&gt;AT$4,AT$4&gt;$L93+23),"",OFFSET(Electric!$L84,0,-'Electric Calendarize'!$L93+'Electric Calendarize'!AT$4+1))</f>
        <v>269</v>
      </c>
      <c r="AU93">
        <f ca="1">IF(OR($L93&gt;AU$4,AU$4&gt;$L93+23),"",OFFSET(Electric!$L84,0,-'Electric Calendarize'!$L93+'Electric Calendarize'!AU$4+1))</f>
        <v>465</v>
      </c>
      <c r="AV93">
        <f ca="1">IF(OR($L93&gt;AV$4,AV$4&gt;$L93+23),"",OFFSET(Electric!$L84,0,-'Electric Calendarize'!$L93+'Electric Calendarize'!AV$4+1))</f>
        <v>535</v>
      </c>
      <c r="AW93">
        <f ca="1">IF(OR($L93&gt;AW$4,AW$4&gt;$L93+23),"",OFFSET(Electric!$L84,0,-'Electric Calendarize'!$L93+'Electric Calendarize'!AW$4+1))</f>
        <v>515</v>
      </c>
      <c r="AX93">
        <f ca="1">IF(OR($L93&gt;AX$4,AX$4&gt;$L93+23),"",OFFSET(Electric!$L84,0,-'Electric Calendarize'!$L93+'Electric Calendarize'!AX$4+1))</f>
        <v>418</v>
      </c>
      <c r="AY93" t="str">
        <f ca="1">IF(OR($L93&gt;AY$4,AY$4&gt;$L93+23),"",OFFSET(Electric!$L84,0,-'Electric Calendarize'!$L93+'Electric Calendarize'!AY$4+1))</f>
        <v/>
      </c>
      <c r="AZ93" t="str">
        <f ca="1">IF(OR($L93&gt;AZ$4,AZ$4&gt;$L93+23),"",OFFSET(Electric!$L84,0,-'Electric Calendarize'!$L93+'Electric Calendarize'!AZ$4+1))</f>
        <v/>
      </c>
      <c r="BA93" t="str">
        <f ca="1">IF(OR($L93&gt;BA$4,BA$4&gt;$L93+23),"",OFFSET(Electric!$L84,0,-'Electric Calendarize'!$L93+'Electric Calendarize'!BA$4+1))</f>
        <v/>
      </c>
      <c r="BB93" t="str">
        <f ca="1">IF(OR($L93&gt;BB$4,BB$4&gt;$L93+23),"",OFFSET(Electric!$L84,0,-'Electric Calendarize'!$L93+'Electric Calendarize'!BB$4+1))</f>
        <v/>
      </c>
      <c r="BC93" t="str">
        <f ca="1">IF(OR($L93&gt;BC$4,BC$4&gt;$L93+23),"",OFFSET(Electric!$L84,0,-'Electric Calendarize'!$L93+'Electric Calendarize'!BC$4+1))</f>
        <v/>
      </c>
      <c r="BD93" t="str">
        <f ca="1">IF(OR($L93&gt;BD$4,BD$4&gt;$L93+23),"",OFFSET(Electric!$L84,0,-'Electric Calendarize'!$L93+'Electric Calendarize'!BD$4+1))</f>
        <v/>
      </c>
      <c r="BE93" t="str">
        <f ca="1">IF(OR($L93&gt;BE$4,BE$4&gt;$L93+23),"",OFFSET(Electric!$L84,0,-'Electric Calendarize'!$L93+'Electric Calendarize'!BE$4+1))</f>
        <v/>
      </c>
      <c r="BF93" t="str">
        <f ca="1">IF(OR($L93&gt;BF$4,BF$4&gt;$L93+23),"",OFFSET(Electric!$L84,0,-'Electric Calendarize'!$L93+'Electric Calendarize'!BF$4+1))</f>
        <v/>
      </c>
      <c r="BG93" t="str">
        <f ca="1">IF(OR($L93&gt;BG$4,BG$4&gt;$L93+23),"",OFFSET(Electric!$L84,0,-'Electric Calendarize'!$L93+'Electric Calendarize'!BG$4+1))</f>
        <v/>
      </c>
      <c r="BJ93" s="10" t="s">
        <v>37</v>
      </c>
      <c r="BK93">
        <f t="shared" si="303"/>
        <v>1</v>
      </c>
      <c r="BL93">
        <f t="shared" si="209"/>
        <v>0</v>
      </c>
      <c r="BM93">
        <f t="shared" si="210"/>
        <v>0</v>
      </c>
      <c r="BN93">
        <f t="shared" si="211"/>
        <v>0</v>
      </c>
      <c r="BO93">
        <f t="shared" si="212"/>
        <v>0</v>
      </c>
      <c r="BP93">
        <f t="shared" si="213"/>
        <v>0</v>
      </c>
      <c r="BQ93">
        <f t="shared" si="214"/>
        <v>0</v>
      </c>
      <c r="BR93">
        <f t="shared" si="215"/>
        <v>1</v>
      </c>
      <c r="BS93">
        <f t="shared" si="216"/>
        <v>1</v>
      </c>
      <c r="BT93">
        <f t="shared" si="217"/>
        <v>1</v>
      </c>
      <c r="BU93">
        <f t="shared" si="218"/>
        <v>1</v>
      </c>
      <c r="BV93">
        <f t="shared" si="219"/>
        <v>1</v>
      </c>
      <c r="BW93">
        <f t="shared" si="220"/>
        <v>1</v>
      </c>
      <c r="BX93">
        <f t="shared" si="221"/>
        <v>0</v>
      </c>
      <c r="BY93">
        <f t="shared" si="222"/>
        <v>0</v>
      </c>
      <c r="BZ93">
        <f t="shared" si="223"/>
        <v>0</v>
      </c>
      <c r="CA93">
        <f t="shared" si="224"/>
        <v>0</v>
      </c>
      <c r="CB93">
        <f t="shared" si="225"/>
        <v>0</v>
      </c>
      <c r="CC93">
        <f t="shared" si="226"/>
        <v>0</v>
      </c>
      <c r="CD93">
        <f t="shared" si="227"/>
        <v>1</v>
      </c>
      <c r="CE93">
        <f t="shared" si="228"/>
        <v>1</v>
      </c>
      <c r="CF93">
        <f t="shared" si="229"/>
        <v>1</v>
      </c>
      <c r="CG93">
        <f t="shared" si="230"/>
        <v>1</v>
      </c>
      <c r="CH93">
        <f t="shared" si="231"/>
        <v>1</v>
      </c>
      <c r="CI93">
        <f t="shared" si="232"/>
        <v>1</v>
      </c>
      <c r="CJ93">
        <f t="shared" si="233"/>
        <v>0</v>
      </c>
      <c r="CK93">
        <f t="shared" si="234"/>
        <v>0</v>
      </c>
      <c r="CL93">
        <f t="shared" si="235"/>
        <v>0</v>
      </c>
      <c r="CM93">
        <f t="shared" si="236"/>
        <v>0</v>
      </c>
      <c r="CN93">
        <f t="shared" si="237"/>
        <v>0</v>
      </c>
      <c r="CO93">
        <f t="shared" si="238"/>
        <v>0</v>
      </c>
      <c r="CP93">
        <f t="shared" si="239"/>
        <v>1</v>
      </c>
      <c r="CQ93">
        <f t="shared" si="240"/>
        <v>1</v>
      </c>
      <c r="CR93">
        <f t="shared" si="241"/>
        <v>1</v>
      </c>
      <c r="CS93">
        <f t="shared" si="242"/>
        <v>1</v>
      </c>
      <c r="CT93">
        <f t="shared" si="243"/>
        <v>1</v>
      </c>
      <c r="CU93">
        <f t="shared" si="244"/>
        <v>1</v>
      </c>
      <c r="CV93">
        <f t="shared" si="245"/>
        <v>0</v>
      </c>
      <c r="CW93">
        <f t="shared" si="246"/>
        <v>0</v>
      </c>
      <c r="CX93">
        <f t="shared" si="247"/>
        <v>0</v>
      </c>
      <c r="CY93">
        <f t="shared" si="248"/>
        <v>0</v>
      </c>
      <c r="CZ93">
        <f t="shared" si="249"/>
        <v>0</v>
      </c>
      <c r="DA93">
        <f t="shared" si="250"/>
        <v>0</v>
      </c>
      <c r="DB93">
        <f t="shared" si="251"/>
        <v>1</v>
      </c>
      <c r="DC93">
        <f t="shared" si="252"/>
        <v>1</v>
      </c>
      <c r="DF93" s="10" t="s">
        <v>37</v>
      </c>
      <c r="DG93" t="str">
        <f t="shared" si="308"/>
        <v>2022_4</v>
      </c>
      <c r="DH93" t="str">
        <f t="shared" si="308"/>
        <v>2022_4</v>
      </c>
      <c r="DI93" t="str">
        <f t="shared" si="308"/>
        <v>2022_4</v>
      </c>
      <c r="DJ93" t="str">
        <f t="shared" si="308"/>
        <v>2022_4</v>
      </c>
      <c r="DK93" t="str">
        <f t="shared" si="308"/>
        <v>2022_4</v>
      </c>
      <c r="DL93" t="str">
        <f t="shared" si="308"/>
        <v>2022_4</v>
      </c>
      <c r="DM93" t="str">
        <f t="shared" si="308"/>
        <v>2022_4</v>
      </c>
      <c r="DN93" t="str">
        <f t="shared" si="308"/>
        <v>2022_4</v>
      </c>
      <c r="DO93" t="str">
        <f t="shared" si="308"/>
        <v>2022_4</v>
      </c>
      <c r="DP93" t="str">
        <f t="shared" si="308"/>
        <v>2022_4</v>
      </c>
      <c r="DQ93" t="str">
        <f t="shared" si="308"/>
        <v>2022_4</v>
      </c>
      <c r="DR93" t="str">
        <f t="shared" si="308"/>
        <v>2022_4</v>
      </c>
      <c r="DS93" t="str">
        <f t="shared" si="308"/>
        <v>2022_4</v>
      </c>
      <c r="DT93" t="str">
        <f t="shared" si="308"/>
        <v>2022_4</v>
      </c>
      <c r="DU93" t="str">
        <f t="shared" si="308"/>
        <v>2022_4</v>
      </c>
      <c r="DV93" t="str">
        <f t="shared" si="308"/>
        <v>2022_4</v>
      </c>
      <c r="DW93" t="str">
        <f t="shared" si="307"/>
        <v>2022_4</v>
      </c>
      <c r="DX93" t="str">
        <f t="shared" si="307"/>
        <v>2022_4</v>
      </c>
      <c r="DY93" t="str">
        <f t="shared" si="307"/>
        <v>2022_4</v>
      </c>
      <c r="DZ93" t="str">
        <f t="shared" si="307"/>
        <v>2022_4</v>
      </c>
      <c r="EA93" t="str">
        <f t="shared" si="307"/>
        <v>2022_4</v>
      </c>
      <c r="EB93" t="str">
        <f t="shared" si="307"/>
        <v>2022_4</v>
      </c>
      <c r="EC93" t="str">
        <f t="shared" si="307"/>
        <v>2022_4</v>
      </c>
      <c r="ED93" t="str">
        <f t="shared" si="307"/>
        <v>2022_4</v>
      </c>
      <c r="EE93" t="str">
        <f t="shared" si="307"/>
        <v>2022_4</v>
      </c>
      <c r="EF93" t="str">
        <f t="shared" si="307"/>
        <v>2022_4</v>
      </c>
      <c r="EG93" t="str">
        <f t="shared" si="307"/>
        <v>2022_4</v>
      </c>
      <c r="EH93" t="str">
        <f t="shared" si="307"/>
        <v>2022_4</v>
      </c>
      <c r="EI93" t="str">
        <f t="shared" si="307"/>
        <v>2022_4</v>
      </c>
      <c r="EJ93" t="str">
        <f t="shared" si="307"/>
        <v>2022_4</v>
      </c>
      <c r="EK93" t="str">
        <f t="shared" si="306"/>
        <v>2022_4</v>
      </c>
      <c r="EL93" t="str">
        <f t="shared" si="306"/>
        <v>2022_4</v>
      </c>
      <c r="EM93" t="str">
        <f t="shared" si="306"/>
        <v>2022_4</v>
      </c>
      <c r="EN93" t="str">
        <f t="shared" si="306"/>
        <v>2022_4</v>
      </c>
      <c r="EO93" t="str">
        <f t="shared" si="306"/>
        <v>2022_4</v>
      </c>
      <c r="EP93" t="str">
        <f t="shared" si="306"/>
        <v>2022_4</v>
      </c>
      <c r="EQ93" t="str">
        <f t="shared" si="306"/>
        <v>2022_4</v>
      </c>
      <c r="ER93" t="str">
        <f t="shared" si="306"/>
        <v>2022_4</v>
      </c>
      <c r="ES93" t="str">
        <f t="shared" si="306"/>
        <v>2022_4</v>
      </c>
      <c r="ET93" t="str">
        <f t="shared" si="306"/>
        <v>2022_4</v>
      </c>
      <c r="EU93" t="str">
        <f t="shared" si="306"/>
        <v>2022_4</v>
      </c>
      <c r="EV93" t="str">
        <f t="shared" si="306"/>
        <v>2022_4</v>
      </c>
      <c r="EW93" t="str">
        <f t="shared" si="306"/>
        <v>2022_4</v>
      </c>
      <c r="EX93" t="str">
        <f t="shared" si="306"/>
        <v>2022_4</v>
      </c>
      <c r="EY93" t="str">
        <f t="shared" si="306"/>
        <v>2022_4</v>
      </c>
      <c r="FB93" s="10" t="s">
        <v>37</v>
      </c>
      <c r="FC93">
        <f t="shared" si="305"/>
        <v>0</v>
      </c>
      <c r="FD93">
        <f t="shared" si="255"/>
        <v>0</v>
      </c>
      <c r="FE93">
        <f t="shared" si="256"/>
        <v>0</v>
      </c>
      <c r="FF93">
        <f t="shared" si="257"/>
        <v>0</v>
      </c>
      <c r="FG93">
        <f t="shared" si="258"/>
        <v>0</v>
      </c>
      <c r="FH93">
        <f t="shared" si="259"/>
        <v>0</v>
      </c>
      <c r="FI93">
        <f t="shared" si="260"/>
        <v>0</v>
      </c>
      <c r="FJ93">
        <f t="shared" si="261"/>
        <v>0</v>
      </c>
      <c r="FK93">
        <f t="shared" si="262"/>
        <v>0</v>
      </c>
      <c r="FL93">
        <f t="shared" si="263"/>
        <v>0</v>
      </c>
      <c r="FM93">
        <f t="shared" si="264"/>
        <v>0</v>
      </c>
      <c r="FN93">
        <f t="shared" si="265"/>
        <v>0</v>
      </c>
      <c r="FO93">
        <f t="shared" si="266"/>
        <v>0</v>
      </c>
      <c r="FP93">
        <f t="shared" si="267"/>
        <v>0</v>
      </c>
      <c r="FQ93">
        <f t="shared" si="268"/>
        <v>0</v>
      </c>
      <c r="FR93">
        <f t="shared" si="269"/>
        <v>0</v>
      </c>
      <c r="FS93">
        <f t="shared" si="270"/>
        <v>0</v>
      </c>
      <c r="FT93">
        <f t="shared" si="271"/>
        <v>0</v>
      </c>
      <c r="FU93">
        <f t="shared" si="272"/>
        <v>0</v>
      </c>
      <c r="FV93">
        <f t="shared" si="273"/>
        <v>0</v>
      </c>
      <c r="FW93">
        <f t="shared" si="274"/>
        <v>0</v>
      </c>
      <c r="FX93">
        <f t="shared" si="275"/>
        <v>0</v>
      </c>
      <c r="FY93">
        <f t="shared" si="276"/>
        <v>0</v>
      </c>
      <c r="FZ93">
        <f t="shared" si="277"/>
        <v>0</v>
      </c>
      <c r="GA93">
        <f t="shared" si="278"/>
        <v>1</v>
      </c>
      <c r="GB93">
        <f t="shared" si="279"/>
        <v>1</v>
      </c>
      <c r="GC93">
        <f t="shared" si="280"/>
        <v>1</v>
      </c>
      <c r="GD93">
        <f t="shared" si="281"/>
        <v>1</v>
      </c>
      <c r="GE93">
        <f t="shared" si="282"/>
        <v>1</v>
      </c>
      <c r="GF93">
        <f t="shared" si="283"/>
        <v>1</v>
      </c>
      <c r="GG93">
        <f t="shared" si="284"/>
        <v>1</v>
      </c>
      <c r="GH93">
        <f t="shared" si="285"/>
        <v>1</v>
      </c>
      <c r="GI93">
        <f t="shared" si="286"/>
        <v>1</v>
      </c>
      <c r="GJ93">
        <f t="shared" si="287"/>
        <v>1</v>
      </c>
      <c r="GK93">
        <f t="shared" si="288"/>
        <v>1</v>
      </c>
      <c r="GL93">
        <f t="shared" si="289"/>
        <v>1</v>
      </c>
      <c r="GM93">
        <f t="shared" si="290"/>
        <v>1</v>
      </c>
      <c r="GN93">
        <f t="shared" si="291"/>
        <v>1</v>
      </c>
      <c r="GO93">
        <f t="shared" si="292"/>
        <v>1</v>
      </c>
      <c r="GP93">
        <f t="shared" si="293"/>
        <v>1</v>
      </c>
      <c r="GQ93">
        <f t="shared" si="294"/>
        <v>1</v>
      </c>
      <c r="GR93">
        <f t="shared" si="295"/>
        <v>1</v>
      </c>
      <c r="GS93">
        <f t="shared" si="296"/>
        <v>1</v>
      </c>
      <c r="GT93">
        <f t="shared" si="297"/>
        <v>1</v>
      </c>
      <c r="GU93">
        <f t="shared" si="298"/>
        <v>1</v>
      </c>
      <c r="GX93" s="10"/>
    </row>
    <row r="94" spans="1:206" x14ac:dyDescent="0.3">
      <c r="A94" s="9" t="s">
        <v>33</v>
      </c>
      <c r="B94" s="80"/>
      <c r="C94" s="9">
        <v>3131213000</v>
      </c>
      <c r="D94" s="9" t="s">
        <v>422</v>
      </c>
      <c r="E94" s="9" t="s">
        <v>39</v>
      </c>
      <c r="F94" s="9" t="s">
        <v>35</v>
      </c>
      <c r="G94" s="9" t="s">
        <v>126</v>
      </c>
      <c r="H94" s="10">
        <v>44652</v>
      </c>
      <c r="I94" s="9">
        <f t="shared" si="299"/>
        <v>2022</v>
      </c>
      <c r="J94" s="9">
        <f t="shared" si="300"/>
        <v>4</v>
      </c>
      <c r="K94" s="9" t="str">
        <f t="shared" si="301"/>
        <v>2022_4</v>
      </c>
      <c r="L94">
        <f>MAX(0,VLOOKUP($K94,lookups!$A$1:$B$45,2,0)-12)</f>
        <v>12</v>
      </c>
      <c r="M94" s="40">
        <f t="shared" si="302"/>
        <v>44652</v>
      </c>
      <c r="N94" s="10" t="s">
        <v>37</v>
      </c>
      <c r="O94" t="str">
        <f ca="1">IF(OR($L94&gt;O$4,O$4&gt;$L94+23),"",OFFSET(Electric!$L85,0,-'Electric Calendarize'!$L94+'Electric Calendarize'!O$4+1))</f>
        <v/>
      </c>
      <c r="P94" t="str">
        <f ca="1">IF(OR($L94&gt;P$4,P$4&gt;$L94+23),"",OFFSET(Electric!$L85,0,-'Electric Calendarize'!$L94+'Electric Calendarize'!P$4+1))</f>
        <v/>
      </c>
      <c r="Q94" t="str">
        <f ca="1">IF(OR($L94&gt;Q$4,Q$4&gt;$L94+23),"",OFFSET(Electric!$L85,0,-'Electric Calendarize'!$L94+'Electric Calendarize'!Q$4+1))</f>
        <v/>
      </c>
      <c r="R94" t="str">
        <f ca="1">IF(OR($L94&gt;R$4,R$4&gt;$L94+23),"",OFFSET(Electric!$L85,0,-'Electric Calendarize'!$L94+'Electric Calendarize'!R$4+1))</f>
        <v/>
      </c>
      <c r="S94" t="str">
        <f ca="1">IF(OR($L94&gt;S$4,S$4&gt;$L94+23),"",OFFSET(Electric!$L85,0,-'Electric Calendarize'!$L94+'Electric Calendarize'!S$4+1))</f>
        <v/>
      </c>
      <c r="T94" t="str">
        <f ca="1">IF(OR($L94&gt;T$4,T$4&gt;$L94+23),"",OFFSET(Electric!$L85,0,-'Electric Calendarize'!$L94+'Electric Calendarize'!T$4+1))</f>
        <v/>
      </c>
      <c r="U94" t="str">
        <f ca="1">IF(OR($L94&gt;U$4,U$4&gt;$L94+23),"",OFFSET(Electric!$L85,0,-'Electric Calendarize'!$L94+'Electric Calendarize'!U$4+1))</f>
        <v/>
      </c>
      <c r="V94" t="str">
        <f ca="1">IF(OR($L94&gt;V$4,V$4&gt;$L94+23),"",OFFSET(Electric!$L85,0,-'Electric Calendarize'!$L94+'Electric Calendarize'!V$4+1))</f>
        <v/>
      </c>
      <c r="W94" t="str">
        <f ca="1">IF(OR($L94&gt;W$4,W$4&gt;$L94+23),"",OFFSET(Electric!$L85,0,-'Electric Calendarize'!$L94+'Electric Calendarize'!W$4+1))</f>
        <v/>
      </c>
      <c r="X94" t="str">
        <f ca="1">IF(OR($L94&gt;X$4,X$4&gt;$L94+23),"",OFFSET(Electric!$L85,0,-'Electric Calendarize'!$L94+'Electric Calendarize'!X$4+1))</f>
        <v/>
      </c>
      <c r="Y94" t="str">
        <f ca="1">IF(OR($L94&gt;Y$4,Y$4&gt;$L94+23),"",OFFSET(Electric!$L85,0,-'Electric Calendarize'!$L94+'Electric Calendarize'!Y$4+1))</f>
        <v/>
      </c>
      <c r="Z94" t="str">
        <f ca="1">IF(OR($L94&gt;Z$4,Z$4&gt;$L94+23),"",OFFSET(Electric!$L85,0,-'Electric Calendarize'!$L94+'Electric Calendarize'!Z$4+1))</f>
        <v/>
      </c>
      <c r="AA94">
        <f ca="1">IF(OR($L94&gt;AA$4,AA$4&gt;$L94+23),"",OFFSET(Electric!$L85,0,-'Electric Calendarize'!$L94+'Electric Calendarize'!AA$4+1))</f>
        <v>796</v>
      </c>
      <c r="AB94">
        <f ca="1">IF(OR($L94&gt;AB$4,AB$4&gt;$L94+23),"",OFFSET(Electric!$L85,0,-'Electric Calendarize'!$L94+'Electric Calendarize'!AB$4+1))</f>
        <v>857</v>
      </c>
      <c r="AC94">
        <f ca="1">IF(OR($L94&gt;AC$4,AC$4&gt;$L94+23),"",OFFSET(Electric!$L85,0,-'Electric Calendarize'!$L94+'Electric Calendarize'!AC$4+1))</f>
        <v>1018</v>
      </c>
      <c r="AD94">
        <f ca="1">IF(OR($L94&gt;AD$4,AD$4&gt;$L94+23),"",OFFSET(Electric!$L85,0,-'Electric Calendarize'!$L94+'Electric Calendarize'!AD$4+1))</f>
        <v>999</v>
      </c>
      <c r="AE94">
        <f ca="1">IF(OR($L94&gt;AE$4,AE$4&gt;$L94+23),"",OFFSET(Electric!$L85,0,-'Electric Calendarize'!$L94+'Electric Calendarize'!AE$4+1))</f>
        <v>1128</v>
      </c>
      <c r="AF94">
        <f ca="1">IF(OR($L94&gt;AF$4,AF$4&gt;$L94+23),"",OFFSET(Electric!$L85,0,-'Electric Calendarize'!$L94+'Electric Calendarize'!AF$4+1))</f>
        <v>823</v>
      </c>
      <c r="AG94">
        <f ca="1">IF(OR($L94&gt;AG$4,AG$4&gt;$L94+23),"",OFFSET(Electric!$L85,0,-'Electric Calendarize'!$L94+'Electric Calendarize'!AG$4+1))</f>
        <v>630</v>
      </c>
      <c r="AH94">
        <f ca="1">IF(OR($L94&gt;AH$4,AH$4&gt;$L94+23),"",OFFSET(Electric!$L85,0,-'Electric Calendarize'!$L94+'Electric Calendarize'!AH$4+1))</f>
        <v>800</v>
      </c>
      <c r="AI94">
        <f ca="1">IF(OR($L94&gt;AI$4,AI$4&gt;$L94+23),"",OFFSET(Electric!$L85,0,-'Electric Calendarize'!$L94+'Electric Calendarize'!AI$4+1))</f>
        <v>845</v>
      </c>
      <c r="AJ94">
        <f ca="1">IF(OR($L94&gt;AJ$4,AJ$4&gt;$L94+23),"",OFFSET(Electric!$L85,0,-'Electric Calendarize'!$L94+'Electric Calendarize'!AJ$4+1))</f>
        <v>1291</v>
      </c>
      <c r="AK94">
        <f ca="1">IF(OR($L94&gt;AK$4,AK$4&gt;$L94+23),"",OFFSET(Electric!$L85,0,-'Electric Calendarize'!$L94+'Electric Calendarize'!AK$4+1))</f>
        <v>1178</v>
      </c>
      <c r="AL94">
        <f ca="1">IF(OR($L94&gt;AL$4,AL$4&gt;$L94+23),"",OFFSET(Electric!$L85,0,-'Electric Calendarize'!$L94+'Electric Calendarize'!AL$4+1))</f>
        <v>875</v>
      </c>
      <c r="AM94">
        <f ca="1">IF(OR($L94&gt;AM$4,AM$4&gt;$L94+23),"",OFFSET(Electric!$L85,0,-'Electric Calendarize'!$L94+'Electric Calendarize'!AM$4+1))</f>
        <v>745</v>
      </c>
      <c r="AN94">
        <f ca="1">IF(OR($L94&gt;AN$4,AN$4&gt;$L94+23),"",OFFSET(Electric!$L85,0,-'Electric Calendarize'!$L94+'Electric Calendarize'!AN$4+1))</f>
        <v>906</v>
      </c>
      <c r="AO94">
        <f ca="1">IF(OR($L94&gt;AO$4,AO$4&gt;$L94+23),"",OFFSET(Electric!$L85,0,-'Electric Calendarize'!$L94+'Electric Calendarize'!AO$4+1))</f>
        <v>758</v>
      </c>
      <c r="AP94">
        <f ca="1">IF(OR($L94&gt;AP$4,AP$4&gt;$L94+23),"",OFFSET(Electric!$L85,0,-'Electric Calendarize'!$L94+'Electric Calendarize'!AP$4+1))</f>
        <v>1261</v>
      </c>
      <c r="AQ94">
        <f ca="1">IF(OR($L94&gt;AQ$4,AQ$4&gt;$L94+23),"",OFFSET(Electric!$L85,0,-'Electric Calendarize'!$L94+'Electric Calendarize'!AQ$4+1))</f>
        <v>1044</v>
      </c>
      <c r="AR94">
        <f ca="1">IF(OR($L94&gt;AR$4,AR$4&gt;$L94+23),"",OFFSET(Electric!$L85,0,-'Electric Calendarize'!$L94+'Electric Calendarize'!AR$4+1))</f>
        <v>789</v>
      </c>
      <c r="AS94">
        <f ca="1">IF(OR($L94&gt;AS$4,AS$4&gt;$L94+23),"",OFFSET(Electric!$L85,0,-'Electric Calendarize'!$L94+'Electric Calendarize'!AS$4+1))</f>
        <v>706</v>
      </c>
      <c r="AT94">
        <f ca="1">IF(OR($L94&gt;AT$4,AT$4&gt;$L94+23),"",OFFSET(Electric!$L85,0,-'Electric Calendarize'!$L94+'Electric Calendarize'!AT$4+1))</f>
        <v>876</v>
      </c>
      <c r="AU94">
        <f ca="1">IF(OR($L94&gt;AU$4,AU$4&gt;$L94+23),"",OFFSET(Electric!$L85,0,-'Electric Calendarize'!$L94+'Electric Calendarize'!AU$4+1))</f>
        <v>1056</v>
      </c>
      <c r="AV94">
        <f ca="1">IF(OR($L94&gt;AV$4,AV$4&gt;$L94+23),"",OFFSET(Electric!$L85,0,-'Electric Calendarize'!$L94+'Electric Calendarize'!AV$4+1))</f>
        <v>1265</v>
      </c>
      <c r="AW94">
        <f ca="1">IF(OR($L94&gt;AW$4,AW$4&gt;$L94+23),"",OFFSET(Electric!$L85,0,-'Electric Calendarize'!$L94+'Electric Calendarize'!AW$4+1))</f>
        <v>981</v>
      </c>
      <c r="AX94">
        <f ca="1">IF(OR($L94&gt;AX$4,AX$4&gt;$L94+23),"",OFFSET(Electric!$L85,0,-'Electric Calendarize'!$L94+'Electric Calendarize'!AX$4+1))</f>
        <v>989</v>
      </c>
      <c r="AY94" t="str">
        <f ca="1">IF(OR($L94&gt;AY$4,AY$4&gt;$L94+23),"",OFFSET(Electric!$L85,0,-'Electric Calendarize'!$L94+'Electric Calendarize'!AY$4+1))</f>
        <v/>
      </c>
      <c r="AZ94" t="str">
        <f ca="1">IF(OR($L94&gt;AZ$4,AZ$4&gt;$L94+23),"",OFFSET(Electric!$L85,0,-'Electric Calendarize'!$L94+'Electric Calendarize'!AZ$4+1))</f>
        <v/>
      </c>
      <c r="BA94" t="str">
        <f ca="1">IF(OR($L94&gt;BA$4,BA$4&gt;$L94+23),"",OFFSET(Electric!$L85,0,-'Electric Calendarize'!$L94+'Electric Calendarize'!BA$4+1))</f>
        <v/>
      </c>
      <c r="BB94" t="str">
        <f ca="1">IF(OR($L94&gt;BB$4,BB$4&gt;$L94+23),"",OFFSET(Electric!$L85,0,-'Electric Calendarize'!$L94+'Electric Calendarize'!BB$4+1))</f>
        <v/>
      </c>
      <c r="BC94" t="str">
        <f ca="1">IF(OR($L94&gt;BC$4,BC$4&gt;$L94+23),"",OFFSET(Electric!$L85,0,-'Electric Calendarize'!$L94+'Electric Calendarize'!BC$4+1))</f>
        <v/>
      </c>
      <c r="BD94" t="str">
        <f ca="1">IF(OR($L94&gt;BD$4,BD$4&gt;$L94+23),"",OFFSET(Electric!$L85,0,-'Electric Calendarize'!$L94+'Electric Calendarize'!BD$4+1))</f>
        <v/>
      </c>
      <c r="BE94" t="str">
        <f ca="1">IF(OR($L94&gt;BE$4,BE$4&gt;$L94+23),"",OFFSET(Electric!$L85,0,-'Electric Calendarize'!$L94+'Electric Calendarize'!BE$4+1))</f>
        <v/>
      </c>
      <c r="BF94" t="str">
        <f ca="1">IF(OR($L94&gt;BF$4,BF$4&gt;$L94+23),"",OFFSET(Electric!$L85,0,-'Electric Calendarize'!$L94+'Electric Calendarize'!BF$4+1))</f>
        <v/>
      </c>
      <c r="BG94" t="str">
        <f ca="1">IF(OR($L94&gt;BG$4,BG$4&gt;$L94+23),"",OFFSET(Electric!$L85,0,-'Electric Calendarize'!$L94+'Electric Calendarize'!BG$4+1))</f>
        <v/>
      </c>
      <c r="BJ94" s="10" t="s">
        <v>37</v>
      </c>
      <c r="BK94">
        <f t="shared" si="303"/>
        <v>1</v>
      </c>
      <c r="BL94">
        <f t="shared" si="209"/>
        <v>0</v>
      </c>
      <c r="BM94">
        <f t="shared" si="210"/>
        <v>0</v>
      </c>
      <c r="BN94">
        <f t="shared" si="211"/>
        <v>0</v>
      </c>
      <c r="BO94">
        <f t="shared" si="212"/>
        <v>0</v>
      </c>
      <c r="BP94">
        <f t="shared" si="213"/>
        <v>0</v>
      </c>
      <c r="BQ94">
        <f t="shared" si="214"/>
        <v>0</v>
      </c>
      <c r="BR94">
        <f t="shared" si="215"/>
        <v>1</v>
      </c>
      <c r="BS94">
        <f t="shared" si="216"/>
        <v>1</v>
      </c>
      <c r="BT94">
        <f t="shared" si="217"/>
        <v>1</v>
      </c>
      <c r="BU94">
        <f t="shared" si="218"/>
        <v>1</v>
      </c>
      <c r="BV94">
        <f t="shared" si="219"/>
        <v>1</v>
      </c>
      <c r="BW94">
        <f t="shared" si="220"/>
        <v>1</v>
      </c>
      <c r="BX94">
        <f t="shared" si="221"/>
        <v>0</v>
      </c>
      <c r="BY94">
        <f t="shared" si="222"/>
        <v>0</v>
      </c>
      <c r="BZ94">
        <f t="shared" si="223"/>
        <v>0</v>
      </c>
      <c r="CA94">
        <f t="shared" si="224"/>
        <v>0</v>
      </c>
      <c r="CB94">
        <f t="shared" si="225"/>
        <v>0</v>
      </c>
      <c r="CC94">
        <f t="shared" si="226"/>
        <v>0</v>
      </c>
      <c r="CD94">
        <f t="shared" si="227"/>
        <v>1</v>
      </c>
      <c r="CE94">
        <f t="shared" si="228"/>
        <v>1</v>
      </c>
      <c r="CF94">
        <f t="shared" si="229"/>
        <v>1</v>
      </c>
      <c r="CG94">
        <f t="shared" si="230"/>
        <v>1</v>
      </c>
      <c r="CH94">
        <f t="shared" si="231"/>
        <v>1</v>
      </c>
      <c r="CI94">
        <f t="shared" si="232"/>
        <v>1</v>
      </c>
      <c r="CJ94">
        <f t="shared" si="233"/>
        <v>0</v>
      </c>
      <c r="CK94">
        <f t="shared" si="234"/>
        <v>0</v>
      </c>
      <c r="CL94">
        <f t="shared" si="235"/>
        <v>0</v>
      </c>
      <c r="CM94">
        <f t="shared" si="236"/>
        <v>0</v>
      </c>
      <c r="CN94">
        <f t="shared" si="237"/>
        <v>0</v>
      </c>
      <c r="CO94">
        <f t="shared" si="238"/>
        <v>0</v>
      </c>
      <c r="CP94">
        <f t="shared" si="239"/>
        <v>1</v>
      </c>
      <c r="CQ94">
        <f t="shared" si="240"/>
        <v>1</v>
      </c>
      <c r="CR94">
        <f t="shared" si="241"/>
        <v>1</v>
      </c>
      <c r="CS94">
        <f t="shared" si="242"/>
        <v>1</v>
      </c>
      <c r="CT94">
        <f t="shared" si="243"/>
        <v>1</v>
      </c>
      <c r="CU94">
        <f t="shared" si="244"/>
        <v>1</v>
      </c>
      <c r="CV94">
        <f t="shared" si="245"/>
        <v>0</v>
      </c>
      <c r="CW94">
        <f t="shared" si="246"/>
        <v>0</v>
      </c>
      <c r="CX94">
        <f t="shared" si="247"/>
        <v>0</v>
      </c>
      <c r="CY94">
        <f t="shared" si="248"/>
        <v>0</v>
      </c>
      <c r="CZ94">
        <f t="shared" si="249"/>
        <v>0</v>
      </c>
      <c r="DA94">
        <f t="shared" si="250"/>
        <v>0</v>
      </c>
      <c r="DB94">
        <f t="shared" si="251"/>
        <v>1</v>
      </c>
      <c r="DC94">
        <f t="shared" si="252"/>
        <v>1</v>
      </c>
      <c r="DF94" s="10" t="s">
        <v>37</v>
      </c>
      <c r="DG94" t="str">
        <f t="shared" si="308"/>
        <v>2022_4</v>
      </c>
      <c r="DH94" t="str">
        <f t="shared" si="308"/>
        <v>2022_4</v>
      </c>
      <c r="DI94" t="str">
        <f t="shared" si="308"/>
        <v>2022_4</v>
      </c>
      <c r="DJ94" t="str">
        <f t="shared" si="308"/>
        <v>2022_4</v>
      </c>
      <c r="DK94" t="str">
        <f t="shared" si="308"/>
        <v>2022_4</v>
      </c>
      <c r="DL94" t="str">
        <f t="shared" si="308"/>
        <v>2022_4</v>
      </c>
      <c r="DM94" t="str">
        <f t="shared" si="308"/>
        <v>2022_4</v>
      </c>
      <c r="DN94" t="str">
        <f t="shared" si="308"/>
        <v>2022_4</v>
      </c>
      <c r="DO94" t="str">
        <f t="shared" si="308"/>
        <v>2022_4</v>
      </c>
      <c r="DP94" t="str">
        <f t="shared" si="308"/>
        <v>2022_4</v>
      </c>
      <c r="DQ94" t="str">
        <f t="shared" si="308"/>
        <v>2022_4</v>
      </c>
      <c r="DR94" t="str">
        <f t="shared" si="308"/>
        <v>2022_4</v>
      </c>
      <c r="DS94" t="str">
        <f t="shared" si="308"/>
        <v>2022_4</v>
      </c>
      <c r="DT94" t="str">
        <f t="shared" si="308"/>
        <v>2022_4</v>
      </c>
      <c r="DU94" t="str">
        <f t="shared" si="308"/>
        <v>2022_4</v>
      </c>
      <c r="DV94" t="str">
        <f t="shared" si="308"/>
        <v>2022_4</v>
      </c>
      <c r="DW94" t="str">
        <f t="shared" si="307"/>
        <v>2022_4</v>
      </c>
      <c r="DX94" t="str">
        <f t="shared" si="307"/>
        <v>2022_4</v>
      </c>
      <c r="DY94" t="str">
        <f t="shared" si="307"/>
        <v>2022_4</v>
      </c>
      <c r="DZ94" t="str">
        <f t="shared" si="307"/>
        <v>2022_4</v>
      </c>
      <c r="EA94" t="str">
        <f t="shared" si="307"/>
        <v>2022_4</v>
      </c>
      <c r="EB94" t="str">
        <f t="shared" si="307"/>
        <v>2022_4</v>
      </c>
      <c r="EC94" t="str">
        <f t="shared" si="307"/>
        <v>2022_4</v>
      </c>
      <c r="ED94" t="str">
        <f t="shared" si="307"/>
        <v>2022_4</v>
      </c>
      <c r="EE94" t="str">
        <f t="shared" si="307"/>
        <v>2022_4</v>
      </c>
      <c r="EF94" t="str">
        <f t="shared" si="307"/>
        <v>2022_4</v>
      </c>
      <c r="EG94" t="str">
        <f t="shared" si="307"/>
        <v>2022_4</v>
      </c>
      <c r="EH94" t="str">
        <f t="shared" si="307"/>
        <v>2022_4</v>
      </c>
      <c r="EI94" t="str">
        <f t="shared" si="307"/>
        <v>2022_4</v>
      </c>
      <c r="EJ94" t="str">
        <f t="shared" si="307"/>
        <v>2022_4</v>
      </c>
      <c r="EK94" t="str">
        <f t="shared" si="306"/>
        <v>2022_4</v>
      </c>
      <c r="EL94" t="str">
        <f t="shared" si="306"/>
        <v>2022_4</v>
      </c>
      <c r="EM94" t="str">
        <f t="shared" si="306"/>
        <v>2022_4</v>
      </c>
      <c r="EN94" t="str">
        <f t="shared" si="306"/>
        <v>2022_4</v>
      </c>
      <c r="EO94" t="str">
        <f t="shared" si="306"/>
        <v>2022_4</v>
      </c>
      <c r="EP94" t="str">
        <f t="shared" si="306"/>
        <v>2022_4</v>
      </c>
      <c r="EQ94" t="str">
        <f t="shared" si="306"/>
        <v>2022_4</v>
      </c>
      <c r="ER94" t="str">
        <f t="shared" si="306"/>
        <v>2022_4</v>
      </c>
      <c r="ES94" t="str">
        <f t="shared" si="306"/>
        <v>2022_4</v>
      </c>
      <c r="ET94" t="str">
        <f t="shared" si="306"/>
        <v>2022_4</v>
      </c>
      <c r="EU94" t="str">
        <f t="shared" si="306"/>
        <v>2022_4</v>
      </c>
      <c r="EV94" t="str">
        <f t="shared" si="306"/>
        <v>2022_4</v>
      </c>
      <c r="EW94" t="str">
        <f t="shared" si="306"/>
        <v>2022_4</v>
      </c>
      <c r="EX94" t="str">
        <f t="shared" si="306"/>
        <v>2022_4</v>
      </c>
      <c r="EY94" t="str">
        <f t="shared" si="306"/>
        <v>2022_4</v>
      </c>
      <c r="FB94" s="10" t="s">
        <v>37</v>
      </c>
      <c r="FC94">
        <f t="shared" si="305"/>
        <v>0</v>
      </c>
      <c r="FD94">
        <f t="shared" si="255"/>
        <v>0</v>
      </c>
      <c r="FE94">
        <f t="shared" si="256"/>
        <v>0</v>
      </c>
      <c r="FF94">
        <f t="shared" si="257"/>
        <v>0</v>
      </c>
      <c r="FG94">
        <f t="shared" si="258"/>
        <v>0</v>
      </c>
      <c r="FH94">
        <f t="shared" si="259"/>
        <v>0</v>
      </c>
      <c r="FI94">
        <f t="shared" si="260"/>
        <v>0</v>
      </c>
      <c r="FJ94">
        <f t="shared" si="261"/>
        <v>0</v>
      </c>
      <c r="FK94">
        <f t="shared" si="262"/>
        <v>0</v>
      </c>
      <c r="FL94">
        <f t="shared" si="263"/>
        <v>0</v>
      </c>
      <c r="FM94">
        <f t="shared" si="264"/>
        <v>0</v>
      </c>
      <c r="FN94">
        <f t="shared" si="265"/>
        <v>0</v>
      </c>
      <c r="FO94">
        <f t="shared" si="266"/>
        <v>0</v>
      </c>
      <c r="FP94">
        <f t="shared" si="267"/>
        <v>0</v>
      </c>
      <c r="FQ94">
        <f t="shared" si="268"/>
        <v>0</v>
      </c>
      <c r="FR94">
        <f t="shared" si="269"/>
        <v>0</v>
      </c>
      <c r="FS94">
        <f t="shared" si="270"/>
        <v>0</v>
      </c>
      <c r="FT94">
        <f t="shared" si="271"/>
        <v>0</v>
      </c>
      <c r="FU94">
        <f t="shared" si="272"/>
        <v>0</v>
      </c>
      <c r="FV94">
        <f t="shared" si="273"/>
        <v>0</v>
      </c>
      <c r="FW94">
        <f t="shared" si="274"/>
        <v>0</v>
      </c>
      <c r="FX94">
        <f t="shared" si="275"/>
        <v>0</v>
      </c>
      <c r="FY94">
        <f t="shared" si="276"/>
        <v>0</v>
      </c>
      <c r="FZ94">
        <f t="shared" si="277"/>
        <v>0</v>
      </c>
      <c r="GA94">
        <f t="shared" si="278"/>
        <v>1</v>
      </c>
      <c r="GB94">
        <f t="shared" si="279"/>
        <v>1</v>
      </c>
      <c r="GC94">
        <f t="shared" si="280"/>
        <v>1</v>
      </c>
      <c r="GD94">
        <f t="shared" si="281"/>
        <v>1</v>
      </c>
      <c r="GE94">
        <f t="shared" si="282"/>
        <v>1</v>
      </c>
      <c r="GF94">
        <f t="shared" si="283"/>
        <v>1</v>
      </c>
      <c r="GG94">
        <f t="shared" si="284"/>
        <v>1</v>
      </c>
      <c r="GH94">
        <f t="shared" si="285"/>
        <v>1</v>
      </c>
      <c r="GI94">
        <f t="shared" si="286"/>
        <v>1</v>
      </c>
      <c r="GJ94">
        <f t="shared" si="287"/>
        <v>1</v>
      </c>
      <c r="GK94">
        <f t="shared" si="288"/>
        <v>1</v>
      </c>
      <c r="GL94">
        <f t="shared" si="289"/>
        <v>1</v>
      </c>
      <c r="GM94">
        <f t="shared" si="290"/>
        <v>1</v>
      </c>
      <c r="GN94">
        <f t="shared" si="291"/>
        <v>1</v>
      </c>
      <c r="GO94">
        <f t="shared" si="292"/>
        <v>1</v>
      </c>
      <c r="GP94">
        <f t="shared" si="293"/>
        <v>1</v>
      </c>
      <c r="GQ94">
        <f t="shared" si="294"/>
        <v>1</v>
      </c>
      <c r="GR94">
        <f t="shared" si="295"/>
        <v>1</v>
      </c>
      <c r="GS94">
        <f t="shared" si="296"/>
        <v>1</v>
      </c>
      <c r="GT94">
        <f t="shared" si="297"/>
        <v>1</v>
      </c>
      <c r="GU94">
        <f t="shared" si="298"/>
        <v>1</v>
      </c>
      <c r="GX94" s="10"/>
    </row>
    <row r="95" spans="1:206" x14ac:dyDescent="0.3">
      <c r="A95" s="9" t="s">
        <v>33</v>
      </c>
      <c r="B95" s="80"/>
      <c r="C95" s="9">
        <v>3131597001</v>
      </c>
      <c r="D95" s="9" t="s">
        <v>423</v>
      </c>
      <c r="E95" s="9" t="s">
        <v>39</v>
      </c>
      <c r="F95" s="9" t="s">
        <v>35</v>
      </c>
      <c r="G95" s="9" t="s">
        <v>127</v>
      </c>
      <c r="H95" s="10">
        <v>44654</v>
      </c>
      <c r="I95" s="9">
        <f t="shared" si="299"/>
        <v>2022</v>
      </c>
      <c r="J95" s="9">
        <f t="shared" si="300"/>
        <v>4</v>
      </c>
      <c r="K95" s="9" t="str">
        <f t="shared" si="301"/>
        <v>2022_4</v>
      </c>
      <c r="L95">
        <f>MAX(0,VLOOKUP($K95,lookups!$A$1:$B$45,2,0)-12)</f>
        <v>12</v>
      </c>
      <c r="M95" s="40">
        <f t="shared" si="302"/>
        <v>44652</v>
      </c>
      <c r="N95" s="10" t="s">
        <v>37</v>
      </c>
      <c r="O95" t="str">
        <f ca="1">IF(OR($L95&gt;O$4,O$4&gt;$L95+23),"",OFFSET(Electric!$L86,0,-'Electric Calendarize'!$L95+'Electric Calendarize'!O$4+1))</f>
        <v/>
      </c>
      <c r="P95" t="str">
        <f ca="1">IF(OR($L95&gt;P$4,P$4&gt;$L95+23),"",OFFSET(Electric!$L86,0,-'Electric Calendarize'!$L95+'Electric Calendarize'!P$4+1))</f>
        <v/>
      </c>
      <c r="Q95" t="str">
        <f ca="1">IF(OR($L95&gt;Q$4,Q$4&gt;$L95+23),"",OFFSET(Electric!$L86,0,-'Electric Calendarize'!$L95+'Electric Calendarize'!Q$4+1))</f>
        <v/>
      </c>
      <c r="R95" t="str">
        <f ca="1">IF(OR($L95&gt;R$4,R$4&gt;$L95+23),"",OFFSET(Electric!$L86,0,-'Electric Calendarize'!$L95+'Electric Calendarize'!R$4+1))</f>
        <v/>
      </c>
      <c r="S95" t="str">
        <f ca="1">IF(OR($L95&gt;S$4,S$4&gt;$L95+23),"",OFFSET(Electric!$L86,0,-'Electric Calendarize'!$L95+'Electric Calendarize'!S$4+1))</f>
        <v/>
      </c>
      <c r="T95" t="str">
        <f ca="1">IF(OR($L95&gt;T$4,T$4&gt;$L95+23),"",OFFSET(Electric!$L86,0,-'Electric Calendarize'!$L95+'Electric Calendarize'!T$4+1))</f>
        <v/>
      </c>
      <c r="U95" t="str">
        <f ca="1">IF(OR($L95&gt;U$4,U$4&gt;$L95+23),"",OFFSET(Electric!$L86,0,-'Electric Calendarize'!$L95+'Electric Calendarize'!U$4+1))</f>
        <v/>
      </c>
      <c r="V95" t="str">
        <f ca="1">IF(OR($L95&gt;V$4,V$4&gt;$L95+23),"",OFFSET(Electric!$L86,0,-'Electric Calendarize'!$L95+'Electric Calendarize'!V$4+1))</f>
        <v/>
      </c>
      <c r="W95" t="str">
        <f ca="1">IF(OR($L95&gt;W$4,W$4&gt;$L95+23),"",OFFSET(Electric!$L86,0,-'Electric Calendarize'!$L95+'Electric Calendarize'!W$4+1))</f>
        <v/>
      </c>
      <c r="X95" t="str">
        <f ca="1">IF(OR($L95&gt;X$4,X$4&gt;$L95+23),"",OFFSET(Electric!$L86,0,-'Electric Calendarize'!$L95+'Electric Calendarize'!X$4+1))</f>
        <v/>
      </c>
      <c r="Y95" t="str">
        <f ca="1">IF(OR($L95&gt;Y$4,Y$4&gt;$L95+23),"",OFFSET(Electric!$L86,0,-'Electric Calendarize'!$L95+'Electric Calendarize'!Y$4+1))</f>
        <v/>
      </c>
      <c r="Z95" t="str">
        <f ca="1">IF(OR($L95&gt;Z$4,Z$4&gt;$L95+23),"",OFFSET(Electric!$L86,0,-'Electric Calendarize'!$L95+'Electric Calendarize'!Z$4+1))</f>
        <v/>
      </c>
      <c r="AA95">
        <f ca="1">IF(OR($L95&gt;AA$4,AA$4&gt;$L95+23),"",OFFSET(Electric!$L86,0,-'Electric Calendarize'!$L95+'Electric Calendarize'!AA$4+1))</f>
        <v>311</v>
      </c>
      <c r="AB95">
        <f ca="1">IF(OR($L95&gt;AB$4,AB$4&gt;$L95+23),"",OFFSET(Electric!$L86,0,-'Electric Calendarize'!$L95+'Electric Calendarize'!AB$4+1))</f>
        <v>324</v>
      </c>
      <c r="AC95">
        <f ca="1">IF(OR($L95&gt;AC$4,AC$4&gt;$L95+23),"",OFFSET(Electric!$L86,0,-'Electric Calendarize'!$L95+'Electric Calendarize'!AC$4+1))</f>
        <v>434</v>
      </c>
      <c r="AD95">
        <f ca="1">IF(OR($L95&gt;AD$4,AD$4&gt;$L95+23),"",OFFSET(Electric!$L86,0,-'Electric Calendarize'!$L95+'Electric Calendarize'!AD$4+1))</f>
        <v>578</v>
      </c>
      <c r="AE95">
        <f ca="1">IF(OR($L95&gt;AE$4,AE$4&gt;$L95+23),"",OFFSET(Electric!$L86,0,-'Electric Calendarize'!$L95+'Electric Calendarize'!AE$4+1))</f>
        <v>626</v>
      </c>
      <c r="AF95">
        <f ca="1">IF(OR($L95&gt;AF$4,AF$4&gt;$L95+23),"",OFFSET(Electric!$L86,0,-'Electric Calendarize'!$L95+'Electric Calendarize'!AF$4+1))</f>
        <v>651</v>
      </c>
      <c r="AG95">
        <f ca="1">IF(OR($L95&gt;AG$4,AG$4&gt;$L95+23),"",OFFSET(Electric!$L86,0,-'Electric Calendarize'!$L95+'Electric Calendarize'!AG$4+1))</f>
        <v>462</v>
      </c>
      <c r="AH95">
        <f ca="1">IF(OR($L95&gt;AH$4,AH$4&gt;$L95+23),"",OFFSET(Electric!$L86,0,-'Electric Calendarize'!$L95+'Electric Calendarize'!AH$4+1))</f>
        <v>561</v>
      </c>
      <c r="AI95">
        <f ca="1">IF(OR($L95&gt;AI$4,AI$4&gt;$L95+23),"",OFFSET(Electric!$L86,0,-'Electric Calendarize'!$L95+'Electric Calendarize'!AI$4+1))</f>
        <v>509</v>
      </c>
      <c r="AJ95">
        <f ca="1">IF(OR($L95&gt;AJ$4,AJ$4&gt;$L95+23),"",OFFSET(Electric!$L86,0,-'Electric Calendarize'!$L95+'Electric Calendarize'!AJ$4+1))</f>
        <v>658</v>
      </c>
      <c r="AK95">
        <f ca="1">IF(OR($L95&gt;AK$4,AK$4&gt;$L95+23),"",OFFSET(Electric!$L86,0,-'Electric Calendarize'!$L95+'Electric Calendarize'!AK$4+1))</f>
        <v>516</v>
      </c>
      <c r="AL95">
        <f ca="1">IF(OR($L95&gt;AL$4,AL$4&gt;$L95+23),"",OFFSET(Electric!$L86,0,-'Electric Calendarize'!$L95+'Electric Calendarize'!AL$4+1))</f>
        <v>490</v>
      </c>
      <c r="AM95">
        <f ca="1">IF(OR($L95&gt;AM$4,AM$4&gt;$L95+23),"",OFFSET(Electric!$L86,0,-'Electric Calendarize'!$L95+'Electric Calendarize'!AM$4+1))</f>
        <v>378</v>
      </c>
      <c r="AN95">
        <f ca="1">IF(OR($L95&gt;AN$4,AN$4&gt;$L95+23),"",OFFSET(Electric!$L86,0,-'Electric Calendarize'!$L95+'Electric Calendarize'!AN$4+1))</f>
        <v>413</v>
      </c>
      <c r="AO95">
        <f ca="1">IF(OR($L95&gt;AO$4,AO$4&gt;$L95+23),"",OFFSET(Electric!$L86,0,-'Electric Calendarize'!$L95+'Electric Calendarize'!AO$4+1))</f>
        <v>258</v>
      </c>
      <c r="AP95">
        <f ca="1">IF(OR($L95&gt;AP$4,AP$4&gt;$L95+23),"",OFFSET(Electric!$L86,0,-'Electric Calendarize'!$L95+'Electric Calendarize'!AP$4+1))</f>
        <v>402</v>
      </c>
      <c r="AQ95">
        <f ca="1">IF(OR($L95&gt;AQ$4,AQ$4&gt;$L95+23),"",OFFSET(Electric!$L86,0,-'Electric Calendarize'!$L95+'Electric Calendarize'!AQ$4+1))</f>
        <v>412</v>
      </c>
      <c r="AR95">
        <f ca="1">IF(OR($L95&gt;AR$4,AR$4&gt;$L95+23),"",OFFSET(Electric!$L86,0,-'Electric Calendarize'!$L95+'Electric Calendarize'!AR$4+1))</f>
        <v>258</v>
      </c>
      <c r="AS95">
        <f ca="1">IF(OR($L95&gt;AS$4,AS$4&gt;$L95+23),"",OFFSET(Electric!$L86,0,-'Electric Calendarize'!$L95+'Electric Calendarize'!AS$4+1))</f>
        <v>413</v>
      </c>
      <c r="AT95">
        <f ca="1">IF(OR($L95&gt;AT$4,AT$4&gt;$L95+23),"",OFFSET(Electric!$L86,0,-'Electric Calendarize'!$L95+'Electric Calendarize'!AT$4+1))</f>
        <v>985</v>
      </c>
      <c r="AU95">
        <f ca="1">IF(OR($L95&gt;AU$4,AU$4&gt;$L95+23),"",OFFSET(Electric!$L86,0,-'Electric Calendarize'!$L95+'Electric Calendarize'!AU$4+1))</f>
        <v>972</v>
      </c>
      <c r="AV95">
        <f ca="1">IF(OR($L95&gt;AV$4,AV$4&gt;$L95+23),"",OFFSET(Electric!$L86,0,-'Electric Calendarize'!$L95+'Electric Calendarize'!AV$4+1))</f>
        <v>1170</v>
      </c>
      <c r="AW95">
        <f ca="1">IF(OR($L95&gt;AW$4,AW$4&gt;$L95+23),"",OFFSET(Electric!$L86,0,-'Electric Calendarize'!$L95+'Electric Calendarize'!AW$4+1))</f>
        <v>1095</v>
      </c>
      <c r="AX95">
        <f ca="1">IF(OR($L95&gt;AX$4,AX$4&gt;$L95+23),"",OFFSET(Electric!$L86,0,-'Electric Calendarize'!$L95+'Electric Calendarize'!AX$4+1))</f>
        <v>985</v>
      </c>
      <c r="AY95" t="str">
        <f ca="1">IF(OR($L95&gt;AY$4,AY$4&gt;$L95+23),"",OFFSET(Electric!$L86,0,-'Electric Calendarize'!$L95+'Electric Calendarize'!AY$4+1))</f>
        <v/>
      </c>
      <c r="AZ95" t="str">
        <f ca="1">IF(OR($L95&gt;AZ$4,AZ$4&gt;$L95+23),"",OFFSET(Electric!$L86,0,-'Electric Calendarize'!$L95+'Electric Calendarize'!AZ$4+1))</f>
        <v/>
      </c>
      <c r="BA95" t="str">
        <f ca="1">IF(OR($L95&gt;BA$4,BA$4&gt;$L95+23),"",OFFSET(Electric!$L86,0,-'Electric Calendarize'!$L95+'Electric Calendarize'!BA$4+1))</f>
        <v/>
      </c>
      <c r="BB95" t="str">
        <f ca="1">IF(OR($L95&gt;BB$4,BB$4&gt;$L95+23),"",OFFSET(Electric!$L86,0,-'Electric Calendarize'!$L95+'Electric Calendarize'!BB$4+1))</f>
        <v/>
      </c>
      <c r="BC95" t="str">
        <f ca="1">IF(OR($L95&gt;BC$4,BC$4&gt;$L95+23),"",OFFSET(Electric!$L86,0,-'Electric Calendarize'!$L95+'Electric Calendarize'!BC$4+1))</f>
        <v/>
      </c>
      <c r="BD95" t="str">
        <f ca="1">IF(OR($L95&gt;BD$4,BD$4&gt;$L95+23),"",OFFSET(Electric!$L86,0,-'Electric Calendarize'!$L95+'Electric Calendarize'!BD$4+1))</f>
        <v/>
      </c>
      <c r="BE95" t="str">
        <f ca="1">IF(OR($L95&gt;BE$4,BE$4&gt;$L95+23),"",OFFSET(Electric!$L86,0,-'Electric Calendarize'!$L95+'Electric Calendarize'!BE$4+1))</f>
        <v/>
      </c>
      <c r="BF95" t="str">
        <f ca="1">IF(OR($L95&gt;BF$4,BF$4&gt;$L95+23),"",OFFSET(Electric!$L86,0,-'Electric Calendarize'!$L95+'Electric Calendarize'!BF$4+1))</f>
        <v/>
      </c>
      <c r="BG95" t="str">
        <f ca="1">IF(OR($L95&gt;BG$4,BG$4&gt;$L95+23),"",OFFSET(Electric!$L86,0,-'Electric Calendarize'!$L95+'Electric Calendarize'!BG$4+1))</f>
        <v/>
      </c>
      <c r="BJ95" s="10" t="s">
        <v>37</v>
      </c>
      <c r="BK95">
        <f t="shared" si="303"/>
        <v>1</v>
      </c>
      <c r="BL95">
        <f t="shared" si="209"/>
        <v>0</v>
      </c>
      <c r="BM95">
        <f t="shared" si="210"/>
        <v>0</v>
      </c>
      <c r="BN95">
        <f t="shared" si="211"/>
        <v>0</v>
      </c>
      <c r="BO95">
        <f t="shared" si="212"/>
        <v>0</v>
      </c>
      <c r="BP95">
        <f t="shared" si="213"/>
        <v>0</v>
      </c>
      <c r="BQ95">
        <f t="shared" si="214"/>
        <v>0</v>
      </c>
      <c r="BR95">
        <f t="shared" si="215"/>
        <v>1</v>
      </c>
      <c r="BS95">
        <f t="shared" si="216"/>
        <v>1</v>
      </c>
      <c r="BT95">
        <f t="shared" si="217"/>
        <v>1</v>
      </c>
      <c r="BU95">
        <f t="shared" si="218"/>
        <v>1</v>
      </c>
      <c r="BV95">
        <f t="shared" si="219"/>
        <v>1</v>
      </c>
      <c r="BW95">
        <f t="shared" si="220"/>
        <v>1</v>
      </c>
      <c r="BX95">
        <f t="shared" si="221"/>
        <v>0</v>
      </c>
      <c r="BY95">
        <f t="shared" si="222"/>
        <v>0</v>
      </c>
      <c r="BZ95">
        <f t="shared" si="223"/>
        <v>0</v>
      </c>
      <c r="CA95">
        <f t="shared" si="224"/>
        <v>0</v>
      </c>
      <c r="CB95">
        <f t="shared" si="225"/>
        <v>0</v>
      </c>
      <c r="CC95">
        <f t="shared" si="226"/>
        <v>0</v>
      </c>
      <c r="CD95">
        <f t="shared" si="227"/>
        <v>1</v>
      </c>
      <c r="CE95">
        <f t="shared" si="228"/>
        <v>1</v>
      </c>
      <c r="CF95">
        <f t="shared" si="229"/>
        <v>1</v>
      </c>
      <c r="CG95">
        <f t="shared" si="230"/>
        <v>1</v>
      </c>
      <c r="CH95">
        <f t="shared" si="231"/>
        <v>1</v>
      </c>
      <c r="CI95">
        <f t="shared" si="232"/>
        <v>1</v>
      </c>
      <c r="CJ95">
        <f t="shared" si="233"/>
        <v>0</v>
      </c>
      <c r="CK95">
        <f t="shared" si="234"/>
        <v>0</v>
      </c>
      <c r="CL95">
        <f t="shared" si="235"/>
        <v>0</v>
      </c>
      <c r="CM95">
        <f t="shared" si="236"/>
        <v>0</v>
      </c>
      <c r="CN95">
        <f t="shared" si="237"/>
        <v>0</v>
      </c>
      <c r="CO95">
        <f t="shared" si="238"/>
        <v>0</v>
      </c>
      <c r="CP95">
        <f t="shared" si="239"/>
        <v>1</v>
      </c>
      <c r="CQ95">
        <f t="shared" si="240"/>
        <v>1</v>
      </c>
      <c r="CR95">
        <f t="shared" si="241"/>
        <v>1</v>
      </c>
      <c r="CS95">
        <f t="shared" si="242"/>
        <v>1</v>
      </c>
      <c r="CT95">
        <f t="shared" si="243"/>
        <v>1</v>
      </c>
      <c r="CU95">
        <f t="shared" si="244"/>
        <v>1</v>
      </c>
      <c r="CV95">
        <f t="shared" si="245"/>
        <v>0</v>
      </c>
      <c r="CW95">
        <f t="shared" si="246"/>
        <v>0</v>
      </c>
      <c r="CX95">
        <f t="shared" si="247"/>
        <v>0</v>
      </c>
      <c r="CY95">
        <f t="shared" si="248"/>
        <v>0</v>
      </c>
      <c r="CZ95">
        <f t="shared" si="249"/>
        <v>0</v>
      </c>
      <c r="DA95">
        <f t="shared" si="250"/>
        <v>0</v>
      </c>
      <c r="DB95">
        <f t="shared" si="251"/>
        <v>1</v>
      </c>
      <c r="DC95">
        <f t="shared" si="252"/>
        <v>1</v>
      </c>
      <c r="DF95" s="10" t="s">
        <v>37</v>
      </c>
      <c r="DG95" t="str">
        <f t="shared" si="308"/>
        <v>2022_4</v>
      </c>
      <c r="DH95" t="str">
        <f t="shared" si="308"/>
        <v>2022_4</v>
      </c>
      <c r="DI95" t="str">
        <f t="shared" si="308"/>
        <v>2022_4</v>
      </c>
      <c r="DJ95" t="str">
        <f t="shared" si="308"/>
        <v>2022_4</v>
      </c>
      <c r="DK95" t="str">
        <f t="shared" si="308"/>
        <v>2022_4</v>
      </c>
      <c r="DL95" t="str">
        <f t="shared" si="308"/>
        <v>2022_4</v>
      </c>
      <c r="DM95" t="str">
        <f t="shared" si="308"/>
        <v>2022_4</v>
      </c>
      <c r="DN95" t="str">
        <f t="shared" si="308"/>
        <v>2022_4</v>
      </c>
      <c r="DO95" t="str">
        <f t="shared" si="308"/>
        <v>2022_4</v>
      </c>
      <c r="DP95" t="str">
        <f t="shared" si="308"/>
        <v>2022_4</v>
      </c>
      <c r="DQ95" t="str">
        <f t="shared" si="308"/>
        <v>2022_4</v>
      </c>
      <c r="DR95" t="str">
        <f t="shared" si="308"/>
        <v>2022_4</v>
      </c>
      <c r="DS95" t="str">
        <f t="shared" si="308"/>
        <v>2022_4</v>
      </c>
      <c r="DT95" t="str">
        <f t="shared" si="308"/>
        <v>2022_4</v>
      </c>
      <c r="DU95" t="str">
        <f t="shared" si="308"/>
        <v>2022_4</v>
      </c>
      <c r="DV95" t="str">
        <f t="shared" si="308"/>
        <v>2022_4</v>
      </c>
      <c r="DW95" t="str">
        <f t="shared" si="307"/>
        <v>2022_4</v>
      </c>
      <c r="DX95" t="str">
        <f t="shared" si="307"/>
        <v>2022_4</v>
      </c>
      <c r="DY95" t="str">
        <f t="shared" si="307"/>
        <v>2022_4</v>
      </c>
      <c r="DZ95" t="str">
        <f t="shared" si="307"/>
        <v>2022_4</v>
      </c>
      <c r="EA95" t="str">
        <f t="shared" si="307"/>
        <v>2022_4</v>
      </c>
      <c r="EB95" t="str">
        <f t="shared" si="307"/>
        <v>2022_4</v>
      </c>
      <c r="EC95" t="str">
        <f t="shared" si="307"/>
        <v>2022_4</v>
      </c>
      <c r="ED95" t="str">
        <f t="shared" si="307"/>
        <v>2022_4</v>
      </c>
      <c r="EE95" t="str">
        <f t="shared" si="307"/>
        <v>2022_4</v>
      </c>
      <c r="EF95" t="str">
        <f t="shared" si="307"/>
        <v>2022_4</v>
      </c>
      <c r="EG95" t="str">
        <f t="shared" si="307"/>
        <v>2022_4</v>
      </c>
      <c r="EH95" t="str">
        <f t="shared" si="307"/>
        <v>2022_4</v>
      </c>
      <c r="EI95" t="str">
        <f t="shared" si="307"/>
        <v>2022_4</v>
      </c>
      <c r="EJ95" t="str">
        <f t="shared" si="307"/>
        <v>2022_4</v>
      </c>
      <c r="EK95" t="str">
        <f t="shared" si="306"/>
        <v>2022_4</v>
      </c>
      <c r="EL95" t="str">
        <f t="shared" si="306"/>
        <v>2022_4</v>
      </c>
      <c r="EM95" t="str">
        <f t="shared" si="306"/>
        <v>2022_4</v>
      </c>
      <c r="EN95" t="str">
        <f t="shared" si="306"/>
        <v>2022_4</v>
      </c>
      <c r="EO95" t="str">
        <f t="shared" si="306"/>
        <v>2022_4</v>
      </c>
      <c r="EP95" t="str">
        <f t="shared" si="306"/>
        <v>2022_4</v>
      </c>
      <c r="EQ95" t="str">
        <f t="shared" si="306"/>
        <v>2022_4</v>
      </c>
      <c r="ER95" t="str">
        <f t="shared" si="306"/>
        <v>2022_4</v>
      </c>
      <c r="ES95" t="str">
        <f t="shared" si="306"/>
        <v>2022_4</v>
      </c>
      <c r="ET95" t="str">
        <f t="shared" si="306"/>
        <v>2022_4</v>
      </c>
      <c r="EU95" t="str">
        <f t="shared" si="306"/>
        <v>2022_4</v>
      </c>
      <c r="EV95" t="str">
        <f t="shared" si="306"/>
        <v>2022_4</v>
      </c>
      <c r="EW95" t="str">
        <f t="shared" si="306"/>
        <v>2022_4</v>
      </c>
      <c r="EX95" t="str">
        <f t="shared" si="306"/>
        <v>2022_4</v>
      </c>
      <c r="EY95" t="str">
        <f t="shared" si="306"/>
        <v>2022_4</v>
      </c>
      <c r="FB95" s="10" t="s">
        <v>37</v>
      </c>
      <c r="FC95">
        <f t="shared" si="305"/>
        <v>0</v>
      </c>
      <c r="FD95">
        <f t="shared" si="255"/>
        <v>0</v>
      </c>
      <c r="FE95">
        <f t="shared" si="256"/>
        <v>0</v>
      </c>
      <c r="FF95">
        <f t="shared" si="257"/>
        <v>0</v>
      </c>
      <c r="FG95">
        <f t="shared" si="258"/>
        <v>0</v>
      </c>
      <c r="FH95">
        <f t="shared" si="259"/>
        <v>0</v>
      </c>
      <c r="FI95">
        <f t="shared" si="260"/>
        <v>0</v>
      </c>
      <c r="FJ95">
        <f t="shared" si="261"/>
        <v>0</v>
      </c>
      <c r="FK95">
        <f t="shared" si="262"/>
        <v>0</v>
      </c>
      <c r="FL95">
        <f t="shared" si="263"/>
        <v>0</v>
      </c>
      <c r="FM95">
        <f t="shared" si="264"/>
        <v>0</v>
      </c>
      <c r="FN95">
        <f t="shared" si="265"/>
        <v>0</v>
      </c>
      <c r="FO95">
        <f t="shared" si="266"/>
        <v>0</v>
      </c>
      <c r="FP95">
        <f t="shared" si="267"/>
        <v>0</v>
      </c>
      <c r="FQ95">
        <f t="shared" si="268"/>
        <v>0</v>
      </c>
      <c r="FR95">
        <f t="shared" si="269"/>
        <v>0</v>
      </c>
      <c r="FS95">
        <f t="shared" si="270"/>
        <v>0</v>
      </c>
      <c r="FT95">
        <f t="shared" si="271"/>
        <v>0</v>
      </c>
      <c r="FU95">
        <f t="shared" si="272"/>
        <v>0</v>
      </c>
      <c r="FV95">
        <f t="shared" si="273"/>
        <v>0</v>
      </c>
      <c r="FW95">
        <f t="shared" si="274"/>
        <v>0</v>
      </c>
      <c r="FX95">
        <f t="shared" si="275"/>
        <v>0</v>
      </c>
      <c r="FY95">
        <f t="shared" si="276"/>
        <v>0</v>
      </c>
      <c r="FZ95">
        <f t="shared" si="277"/>
        <v>0</v>
      </c>
      <c r="GA95">
        <f t="shared" si="278"/>
        <v>1</v>
      </c>
      <c r="GB95">
        <f t="shared" si="279"/>
        <v>1</v>
      </c>
      <c r="GC95">
        <f t="shared" si="280"/>
        <v>1</v>
      </c>
      <c r="GD95">
        <f t="shared" si="281"/>
        <v>1</v>
      </c>
      <c r="GE95">
        <f t="shared" si="282"/>
        <v>1</v>
      </c>
      <c r="GF95">
        <f t="shared" si="283"/>
        <v>1</v>
      </c>
      <c r="GG95">
        <f t="shared" si="284"/>
        <v>1</v>
      </c>
      <c r="GH95">
        <f t="shared" si="285"/>
        <v>1</v>
      </c>
      <c r="GI95">
        <f t="shared" si="286"/>
        <v>1</v>
      </c>
      <c r="GJ95">
        <f t="shared" si="287"/>
        <v>1</v>
      </c>
      <c r="GK95">
        <f t="shared" si="288"/>
        <v>1</v>
      </c>
      <c r="GL95">
        <f t="shared" si="289"/>
        <v>1</v>
      </c>
      <c r="GM95">
        <f t="shared" si="290"/>
        <v>1</v>
      </c>
      <c r="GN95">
        <f t="shared" si="291"/>
        <v>1</v>
      </c>
      <c r="GO95">
        <f t="shared" si="292"/>
        <v>1</v>
      </c>
      <c r="GP95">
        <f t="shared" si="293"/>
        <v>1</v>
      </c>
      <c r="GQ95">
        <f t="shared" si="294"/>
        <v>1</v>
      </c>
      <c r="GR95">
        <f t="shared" si="295"/>
        <v>1</v>
      </c>
      <c r="GS95">
        <f t="shared" si="296"/>
        <v>1</v>
      </c>
      <c r="GT95">
        <f t="shared" si="297"/>
        <v>1</v>
      </c>
      <c r="GU95">
        <f t="shared" si="298"/>
        <v>1</v>
      </c>
      <c r="GX95" s="10"/>
    </row>
    <row r="96" spans="1:206" x14ac:dyDescent="0.3">
      <c r="A96" s="9" t="s">
        <v>128</v>
      </c>
      <c r="B96" s="80"/>
      <c r="C96" s="9">
        <v>3131350003</v>
      </c>
      <c r="D96" s="9" t="s">
        <v>424</v>
      </c>
      <c r="E96" s="9" t="s">
        <v>39</v>
      </c>
      <c r="F96" s="9" t="s">
        <v>35</v>
      </c>
      <c r="G96" s="9" t="s">
        <v>129</v>
      </c>
      <c r="H96" s="10">
        <v>44655</v>
      </c>
      <c r="I96" s="9">
        <f t="shared" si="299"/>
        <v>2022</v>
      </c>
      <c r="J96" s="9">
        <f t="shared" si="300"/>
        <v>4</v>
      </c>
      <c r="K96" s="9" t="str">
        <f t="shared" si="301"/>
        <v>2022_4</v>
      </c>
      <c r="L96">
        <f>MAX(0,VLOOKUP($K96,lookups!$A$1:$B$45,2,0)-12)</f>
        <v>12</v>
      </c>
      <c r="M96" s="40">
        <f t="shared" si="302"/>
        <v>44652</v>
      </c>
      <c r="N96" s="10" t="s">
        <v>37</v>
      </c>
      <c r="O96" t="str">
        <f ca="1">IF(OR($L96&gt;O$4,O$4&gt;$L96+23),"",OFFSET(Electric!$L87,0,-'Electric Calendarize'!$L96+'Electric Calendarize'!O$4+1))</f>
        <v/>
      </c>
      <c r="P96" t="str">
        <f ca="1">IF(OR($L96&gt;P$4,P$4&gt;$L96+23),"",OFFSET(Electric!$L87,0,-'Electric Calendarize'!$L96+'Electric Calendarize'!P$4+1))</f>
        <v/>
      </c>
      <c r="Q96" t="str">
        <f ca="1">IF(OR($L96&gt;Q$4,Q$4&gt;$L96+23),"",OFFSET(Electric!$L87,0,-'Electric Calendarize'!$L96+'Electric Calendarize'!Q$4+1))</f>
        <v/>
      </c>
      <c r="R96" t="str">
        <f ca="1">IF(OR($L96&gt;R$4,R$4&gt;$L96+23),"",OFFSET(Electric!$L87,0,-'Electric Calendarize'!$L96+'Electric Calendarize'!R$4+1))</f>
        <v/>
      </c>
      <c r="S96" t="str">
        <f ca="1">IF(OR($L96&gt;S$4,S$4&gt;$L96+23),"",OFFSET(Electric!$L87,0,-'Electric Calendarize'!$L96+'Electric Calendarize'!S$4+1))</f>
        <v/>
      </c>
      <c r="T96" t="str">
        <f ca="1">IF(OR($L96&gt;T$4,T$4&gt;$L96+23),"",OFFSET(Electric!$L87,0,-'Electric Calendarize'!$L96+'Electric Calendarize'!T$4+1))</f>
        <v/>
      </c>
      <c r="U96" t="str">
        <f ca="1">IF(OR($L96&gt;U$4,U$4&gt;$L96+23),"",OFFSET(Electric!$L87,0,-'Electric Calendarize'!$L96+'Electric Calendarize'!U$4+1))</f>
        <v/>
      </c>
      <c r="V96" t="str">
        <f ca="1">IF(OR($L96&gt;V$4,V$4&gt;$L96+23),"",OFFSET(Electric!$L87,0,-'Electric Calendarize'!$L96+'Electric Calendarize'!V$4+1))</f>
        <v/>
      </c>
      <c r="W96" t="str">
        <f ca="1">IF(OR($L96&gt;W$4,W$4&gt;$L96+23),"",OFFSET(Electric!$L87,0,-'Electric Calendarize'!$L96+'Electric Calendarize'!W$4+1))</f>
        <v/>
      </c>
      <c r="X96" t="str">
        <f ca="1">IF(OR($L96&gt;X$4,X$4&gt;$L96+23),"",OFFSET(Electric!$L87,0,-'Electric Calendarize'!$L96+'Electric Calendarize'!X$4+1))</f>
        <v/>
      </c>
      <c r="Y96" t="str">
        <f ca="1">IF(OR($L96&gt;Y$4,Y$4&gt;$L96+23),"",OFFSET(Electric!$L87,0,-'Electric Calendarize'!$L96+'Electric Calendarize'!Y$4+1))</f>
        <v/>
      </c>
      <c r="Z96" t="str">
        <f ca="1">IF(OR($L96&gt;Z$4,Z$4&gt;$L96+23),"",OFFSET(Electric!$L87,0,-'Electric Calendarize'!$L96+'Electric Calendarize'!Z$4+1))</f>
        <v/>
      </c>
      <c r="AA96">
        <f ca="1">IF(OR($L96&gt;AA$4,AA$4&gt;$L96+23),"",OFFSET(Electric!$L87,0,-'Electric Calendarize'!$L96+'Electric Calendarize'!AA$4+1))</f>
        <v>22</v>
      </c>
      <c r="AB96">
        <f ca="1">IF(OR($L96&gt;AB$4,AB$4&gt;$L96+23),"",OFFSET(Electric!$L87,0,-'Electric Calendarize'!$L96+'Electric Calendarize'!AB$4+1))</f>
        <v>34</v>
      </c>
      <c r="AC96">
        <f ca="1">IF(OR($L96&gt;AC$4,AC$4&gt;$L96+23),"",OFFSET(Electric!$L87,0,-'Electric Calendarize'!$L96+'Electric Calendarize'!AC$4+1))</f>
        <v>417</v>
      </c>
      <c r="AD96">
        <f ca="1">IF(OR($L96&gt;AD$4,AD$4&gt;$L96+23),"",OFFSET(Electric!$L87,0,-'Electric Calendarize'!$L96+'Electric Calendarize'!AD$4+1))</f>
        <v>90</v>
      </c>
      <c r="AE96">
        <f ca="1">IF(OR($L96&gt;AE$4,AE$4&gt;$L96+23),"",OFFSET(Electric!$L87,0,-'Electric Calendarize'!$L96+'Electric Calendarize'!AE$4+1))</f>
        <v>92</v>
      </c>
      <c r="AF96">
        <f ca="1">IF(OR($L96&gt;AF$4,AF$4&gt;$L96+23),"",OFFSET(Electric!$L87,0,-'Electric Calendarize'!$L96+'Electric Calendarize'!AF$4+1))</f>
        <v>141</v>
      </c>
      <c r="AG96">
        <f ca="1">IF(OR($L96&gt;AG$4,AG$4&gt;$L96+23),"",OFFSET(Electric!$L87,0,-'Electric Calendarize'!$L96+'Electric Calendarize'!AG$4+1))</f>
        <v>142</v>
      </c>
      <c r="AH96">
        <f ca="1">IF(OR($L96&gt;AH$4,AH$4&gt;$L96+23),"",OFFSET(Electric!$L87,0,-'Electric Calendarize'!$L96+'Electric Calendarize'!AH$4+1))</f>
        <v>127</v>
      </c>
      <c r="AI96">
        <f ca="1">IF(OR($L96&gt;AI$4,AI$4&gt;$L96+23),"",OFFSET(Electric!$L87,0,-'Electric Calendarize'!$L96+'Electric Calendarize'!AI$4+1))</f>
        <v>52</v>
      </c>
      <c r="AJ96">
        <f ca="1">IF(OR($L96&gt;AJ$4,AJ$4&gt;$L96+23),"",OFFSET(Electric!$L87,0,-'Electric Calendarize'!$L96+'Electric Calendarize'!AJ$4+1))</f>
        <v>30</v>
      </c>
      <c r="AK96">
        <f ca="1">IF(OR($L96&gt;AK$4,AK$4&gt;$L96+23),"",OFFSET(Electric!$L87,0,-'Electric Calendarize'!$L96+'Electric Calendarize'!AK$4+1))</f>
        <v>30</v>
      </c>
      <c r="AL96">
        <f ca="1">IF(OR($L96&gt;AL$4,AL$4&gt;$L96+23),"",OFFSET(Electric!$L87,0,-'Electric Calendarize'!$L96+'Electric Calendarize'!AL$4+1))</f>
        <v>184</v>
      </c>
      <c r="AM96">
        <f ca="1">IF(OR($L96&gt;AM$4,AM$4&gt;$L96+23),"",OFFSET(Electric!$L87,0,-'Electric Calendarize'!$L96+'Electric Calendarize'!AM$4+1))</f>
        <v>224</v>
      </c>
      <c r="AN96">
        <f ca="1">IF(OR($L96&gt;AN$4,AN$4&gt;$L96+23),"",OFFSET(Electric!$L87,0,-'Electric Calendarize'!$L96+'Electric Calendarize'!AN$4+1))</f>
        <v>172</v>
      </c>
      <c r="AO96">
        <f ca="1">IF(OR($L96&gt;AO$4,AO$4&gt;$L96+23),"",OFFSET(Electric!$L87,0,-'Electric Calendarize'!$L96+'Electric Calendarize'!AO$4+1))</f>
        <v>146</v>
      </c>
      <c r="AP96">
        <f ca="1">IF(OR($L96&gt;AP$4,AP$4&gt;$L96+23),"",OFFSET(Electric!$L87,0,-'Electric Calendarize'!$L96+'Electric Calendarize'!AP$4+1))</f>
        <v>176</v>
      </c>
      <c r="AQ96">
        <f ca="1">IF(OR($L96&gt;AQ$4,AQ$4&gt;$L96+23),"",OFFSET(Electric!$L87,0,-'Electric Calendarize'!$L96+'Electric Calendarize'!AQ$4+1))</f>
        <v>218</v>
      </c>
      <c r="AR96">
        <f ca="1">IF(OR($L96&gt;AR$4,AR$4&gt;$L96+23),"",OFFSET(Electric!$L87,0,-'Electric Calendarize'!$L96+'Electric Calendarize'!AR$4+1))</f>
        <v>125</v>
      </c>
      <c r="AS96">
        <f ca="1">IF(OR($L96&gt;AS$4,AS$4&gt;$L96+23),"",OFFSET(Electric!$L87,0,-'Electric Calendarize'!$L96+'Electric Calendarize'!AS$4+1))</f>
        <v>168</v>
      </c>
      <c r="AT96">
        <f ca="1">IF(OR($L96&gt;AT$4,AT$4&gt;$L96+23),"",OFFSET(Electric!$L87,0,-'Electric Calendarize'!$L96+'Electric Calendarize'!AT$4+1))</f>
        <v>168</v>
      </c>
      <c r="AU96">
        <f ca="1">IF(OR($L96&gt;AU$4,AU$4&gt;$L96+23),"",OFFSET(Electric!$L87,0,-'Electric Calendarize'!$L96+'Electric Calendarize'!AU$4+1))</f>
        <v>366</v>
      </c>
      <c r="AV96">
        <f ca="1">IF(OR($L96&gt;AV$4,AV$4&gt;$L96+23),"",OFFSET(Electric!$L87,0,-'Electric Calendarize'!$L96+'Electric Calendarize'!AV$4+1))</f>
        <v>300</v>
      </c>
      <c r="AW96">
        <f ca="1">IF(OR($L96&gt;AW$4,AW$4&gt;$L96+23),"",OFFSET(Electric!$L87,0,-'Electric Calendarize'!$L96+'Electric Calendarize'!AW$4+1))</f>
        <v>856</v>
      </c>
      <c r="AX96">
        <f ca="1">IF(OR($L96&gt;AX$4,AX$4&gt;$L96+23),"",OFFSET(Electric!$L87,0,-'Electric Calendarize'!$L96+'Electric Calendarize'!AX$4+1))</f>
        <v>672</v>
      </c>
      <c r="AY96" t="str">
        <f ca="1">IF(OR($L96&gt;AY$4,AY$4&gt;$L96+23),"",OFFSET(Electric!$L87,0,-'Electric Calendarize'!$L96+'Electric Calendarize'!AY$4+1))</f>
        <v/>
      </c>
      <c r="AZ96" t="str">
        <f ca="1">IF(OR($L96&gt;AZ$4,AZ$4&gt;$L96+23),"",OFFSET(Electric!$L87,0,-'Electric Calendarize'!$L96+'Electric Calendarize'!AZ$4+1))</f>
        <v/>
      </c>
      <c r="BA96" t="str">
        <f ca="1">IF(OR($L96&gt;BA$4,BA$4&gt;$L96+23),"",OFFSET(Electric!$L87,0,-'Electric Calendarize'!$L96+'Electric Calendarize'!BA$4+1))</f>
        <v/>
      </c>
      <c r="BB96" t="str">
        <f ca="1">IF(OR($L96&gt;BB$4,BB$4&gt;$L96+23),"",OFFSET(Electric!$L87,0,-'Electric Calendarize'!$L96+'Electric Calendarize'!BB$4+1))</f>
        <v/>
      </c>
      <c r="BC96" t="str">
        <f ca="1">IF(OR($L96&gt;BC$4,BC$4&gt;$L96+23),"",OFFSET(Electric!$L87,0,-'Electric Calendarize'!$L96+'Electric Calendarize'!BC$4+1))</f>
        <v/>
      </c>
      <c r="BD96" t="str">
        <f ca="1">IF(OR($L96&gt;BD$4,BD$4&gt;$L96+23),"",OFFSET(Electric!$L87,0,-'Electric Calendarize'!$L96+'Electric Calendarize'!BD$4+1))</f>
        <v/>
      </c>
      <c r="BE96" t="str">
        <f ca="1">IF(OR($L96&gt;BE$4,BE$4&gt;$L96+23),"",OFFSET(Electric!$L87,0,-'Electric Calendarize'!$L96+'Electric Calendarize'!BE$4+1))</f>
        <v/>
      </c>
      <c r="BF96" t="str">
        <f ca="1">IF(OR($L96&gt;BF$4,BF$4&gt;$L96+23),"",OFFSET(Electric!$L87,0,-'Electric Calendarize'!$L96+'Electric Calendarize'!BF$4+1))</f>
        <v/>
      </c>
      <c r="BG96" t="str">
        <f ca="1">IF(OR($L96&gt;BG$4,BG$4&gt;$L96+23),"",OFFSET(Electric!$L87,0,-'Electric Calendarize'!$L96+'Electric Calendarize'!BG$4+1))</f>
        <v/>
      </c>
      <c r="BJ96" s="10" t="s">
        <v>37</v>
      </c>
      <c r="BK96">
        <f t="shared" si="303"/>
        <v>1</v>
      </c>
      <c r="BL96">
        <f t="shared" si="209"/>
        <v>0</v>
      </c>
      <c r="BM96">
        <f t="shared" si="210"/>
        <v>0</v>
      </c>
      <c r="BN96">
        <f t="shared" si="211"/>
        <v>0</v>
      </c>
      <c r="BO96">
        <f t="shared" si="212"/>
        <v>0</v>
      </c>
      <c r="BP96">
        <f t="shared" si="213"/>
        <v>0</v>
      </c>
      <c r="BQ96">
        <f t="shared" si="214"/>
        <v>0</v>
      </c>
      <c r="BR96">
        <f t="shared" si="215"/>
        <v>1</v>
      </c>
      <c r="BS96">
        <f t="shared" si="216"/>
        <v>1</v>
      </c>
      <c r="BT96">
        <f t="shared" si="217"/>
        <v>1</v>
      </c>
      <c r="BU96">
        <f t="shared" si="218"/>
        <v>1</v>
      </c>
      <c r="BV96">
        <f t="shared" si="219"/>
        <v>1</v>
      </c>
      <c r="BW96">
        <f t="shared" si="220"/>
        <v>1</v>
      </c>
      <c r="BX96">
        <f t="shared" si="221"/>
        <v>0</v>
      </c>
      <c r="BY96">
        <f t="shared" si="222"/>
        <v>0</v>
      </c>
      <c r="BZ96">
        <f t="shared" si="223"/>
        <v>0</v>
      </c>
      <c r="CA96">
        <f t="shared" si="224"/>
        <v>0</v>
      </c>
      <c r="CB96">
        <f t="shared" si="225"/>
        <v>0</v>
      </c>
      <c r="CC96">
        <f t="shared" si="226"/>
        <v>0</v>
      </c>
      <c r="CD96">
        <f t="shared" si="227"/>
        <v>1</v>
      </c>
      <c r="CE96">
        <f t="shared" si="228"/>
        <v>1</v>
      </c>
      <c r="CF96">
        <f t="shared" si="229"/>
        <v>1</v>
      </c>
      <c r="CG96">
        <f t="shared" si="230"/>
        <v>1</v>
      </c>
      <c r="CH96">
        <f t="shared" si="231"/>
        <v>1</v>
      </c>
      <c r="CI96">
        <f t="shared" si="232"/>
        <v>1</v>
      </c>
      <c r="CJ96">
        <f t="shared" si="233"/>
        <v>0</v>
      </c>
      <c r="CK96">
        <f t="shared" si="234"/>
        <v>0</v>
      </c>
      <c r="CL96">
        <f t="shared" si="235"/>
        <v>0</v>
      </c>
      <c r="CM96">
        <f t="shared" si="236"/>
        <v>0</v>
      </c>
      <c r="CN96">
        <f t="shared" si="237"/>
        <v>0</v>
      </c>
      <c r="CO96">
        <f t="shared" si="238"/>
        <v>0</v>
      </c>
      <c r="CP96">
        <f t="shared" si="239"/>
        <v>1</v>
      </c>
      <c r="CQ96">
        <f t="shared" si="240"/>
        <v>1</v>
      </c>
      <c r="CR96">
        <f t="shared" si="241"/>
        <v>1</v>
      </c>
      <c r="CS96">
        <f t="shared" si="242"/>
        <v>1</v>
      </c>
      <c r="CT96">
        <f t="shared" si="243"/>
        <v>1</v>
      </c>
      <c r="CU96">
        <f t="shared" si="244"/>
        <v>1</v>
      </c>
      <c r="CV96">
        <f t="shared" si="245"/>
        <v>0</v>
      </c>
      <c r="CW96">
        <f t="shared" si="246"/>
        <v>0</v>
      </c>
      <c r="CX96">
        <f t="shared" si="247"/>
        <v>0</v>
      </c>
      <c r="CY96">
        <f t="shared" si="248"/>
        <v>0</v>
      </c>
      <c r="CZ96">
        <f t="shared" si="249"/>
        <v>0</v>
      </c>
      <c r="DA96">
        <f t="shared" si="250"/>
        <v>0</v>
      </c>
      <c r="DB96">
        <f t="shared" si="251"/>
        <v>1</v>
      </c>
      <c r="DC96">
        <f t="shared" si="252"/>
        <v>1</v>
      </c>
      <c r="DF96" s="10" t="s">
        <v>37</v>
      </c>
      <c r="DG96" t="str">
        <f t="shared" si="308"/>
        <v>2022_4</v>
      </c>
      <c r="DH96" t="str">
        <f t="shared" si="308"/>
        <v>2022_4</v>
      </c>
      <c r="DI96" t="str">
        <f t="shared" si="308"/>
        <v>2022_4</v>
      </c>
      <c r="DJ96" t="str">
        <f t="shared" si="308"/>
        <v>2022_4</v>
      </c>
      <c r="DK96" t="str">
        <f t="shared" si="308"/>
        <v>2022_4</v>
      </c>
      <c r="DL96" t="str">
        <f t="shared" si="308"/>
        <v>2022_4</v>
      </c>
      <c r="DM96" t="str">
        <f t="shared" si="308"/>
        <v>2022_4</v>
      </c>
      <c r="DN96" t="str">
        <f t="shared" si="308"/>
        <v>2022_4</v>
      </c>
      <c r="DO96" t="str">
        <f t="shared" si="308"/>
        <v>2022_4</v>
      </c>
      <c r="DP96" t="str">
        <f t="shared" si="308"/>
        <v>2022_4</v>
      </c>
      <c r="DQ96" t="str">
        <f t="shared" si="308"/>
        <v>2022_4</v>
      </c>
      <c r="DR96" t="str">
        <f t="shared" si="308"/>
        <v>2022_4</v>
      </c>
      <c r="DS96" t="str">
        <f t="shared" si="308"/>
        <v>2022_4</v>
      </c>
      <c r="DT96" t="str">
        <f t="shared" si="308"/>
        <v>2022_4</v>
      </c>
      <c r="DU96" t="str">
        <f t="shared" si="308"/>
        <v>2022_4</v>
      </c>
      <c r="DV96" t="str">
        <f t="shared" si="308"/>
        <v>2022_4</v>
      </c>
      <c r="DW96" t="str">
        <f t="shared" si="307"/>
        <v>2022_4</v>
      </c>
      <c r="DX96" t="str">
        <f t="shared" si="307"/>
        <v>2022_4</v>
      </c>
      <c r="DY96" t="str">
        <f t="shared" si="307"/>
        <v>2022_4</v>
      </c>
      <c r="DZ96" t="str">
        <f t="shared" si="307"/>
        <v>2022_4</v>
      </c>
      <c r="EA96" t="str">
        <f t="shared" si="307"/>
        <v>2022_4</v>
      </c>
      <c r="EB96" t="str">
        <f t="shared" si="307"/>
        <v>2022_4</v>
      </c>
      <c r="EC96" t="str">
        <f t="shared" si="307"/>
        <v>2022_4</v>
      </c>
      <c r="ED96" t="str">
        <f t="shared" si="307"/>
        <v>2022_4</v>
      </c>
      <c r="EE96" t="str">
        <f t="shared" si="307"/>
        <v>2022_4</v>
      </c>
      <c r="EF96" t="str">
        <f t="shared" si="307"/>
        <v>2022_4</v>
      </c>
      <c r="EG96" t="str">
        <f t="shared" si="307"/>
        <v>2022_4</v>
      </c>
      <c r="EH96" t="str">
        <f t="shared" si="307"/>
        <v>2022_4</v>
      </c>
      <c r="EI96" t="str">
        <f t="shared" si="307"/>
        <v>2022_4</v>
      </c>
      <c r="EJ96" t="str">
        <f t="shared" si="307"/>
        <v>2022_4</v>
      </c>
      <c r="EK96" t="str">
        <f t="shared" si="306"/>
        <v>2022_4</v>
      </c>
      <c r="EL96" t="str">
        <f t="shared" si="306"/>
        <v>2022_4</v>
      </c>
      <c r="EM96" t="str">
        <f t="shared" si="306"/>
        <v>2022_4</v>
      </c>
      <c r="EN96" t="str">
        <f t="shared" si="306"/>
        <v>2022_4</v>
      </c>
      <c r="EO96" t="str">
        <f t="shared" si="306"/>
        <v>2022_4</v>
      </c>
      <c r="EP96" t="str">
        <f t="shared" si="306"/>
        <v>2022_4</v>
      </c>
      <c r="EQ96" t="str">
        <f t="shared" si="306"/>
        <v>2022_4</v>
      </c>
      <c r="ER96" t="str">
        <f t="shared" si="306"/>
        <v>2022_4</v>
      </c>
      <c r="ES96" t="str">
        <f t="shared" si="306"/>
        <v>2022_4</v>
      </c>
      <c r="ET96" t="str">
        <f t="shared" si="306"/>
        <v>2022_4</v>
      </c>
      <c r="EU96" t="str">
        <f t="shared" si="306"/>
        <v>2022_4</v>
      </c>
      <c r="EV96" t="str">
        <f t="shared" si="306"/>
        <v>2022_4</v>
      </c>
      <c r="EW96" t="str">
        <f t="shared" si="306"/>
        <v>2022_4</v>
      </c>
      <c r="EX96" t="str">
        <f t="shared" si="306"/>
        <v>2022_4</v>
      </c>
      <c r="EY96" t="str">
        <f t="shared" si="306"/>
        <v>2022_4</v>
      </c>
      <c r="FB96" s="10" t="s">
        <v>37</v>
      </c>
      <c r="FC96">
        <f t="shared" si="305"/>
        <v>0</v>
      </c>
      <c r="FD96">
        <f t="shared" si="255"/>
        <v>0</v>
      </c>
      <c r="FE96">
        <f t="shared" si="256"/>
        <v>0</v>
      </c>
      <c r="FF96">
        <f t="shared" si="257"/>
        <v>0</v>
      </c>
      <c r="FG96">
        <f t="shared" si="258"/>
        <v>0</v>
      </c>
      <c r="FH96">
        <f t="shared" si="259"/>
        <v>0</v>
      </c>
      <c r="FI96">
        <f t="shared" si="260"/>
        <v>0</v>
      </c>
      <c r="FJ96">
        <f t="shared" si="261"/>
        <v>0</v>
      </c>
      <c r="FK96">
        <f t="shared" si="262"/>
        <v>0</v>
      </c>
      <c r="FL96">
        <f t="shared" si="263"/>
        <v>0</v>
      </c>
      <c r="FM96">
        <f t="shared" si="264"/>
        <v>0</v>
      </c>
      <c r="FN96">
        <f t="shared" si="265"/>
        <v>0</v>
      </c>
      <c r="FO96">
        <f t="shared" si="266"/>
        <v>0</v>
      </c>
      <c r="FP96">
        <f t="shared" si="267"/>
        <v>0</v>
      </c>
      <c r="FQ96">
        <f t="shared" si="268"/>
        <v>0</v>
      </c>
      <c r="FR96">
        <f t="shared" si="269"/>
        <v>0</v>
      </c>
      <c r="FS96">
        <f t="shared" si="270"/>
        <v>0</v>
      </c>
      <c r="FT96">
        <f t="shared" si="271"/>
        <v>0</v>
      </c>
      <c r="FU96">
        <f t="shared" si="272"/>
        <v>0</v>
      </c>
      <c r="FV96">
        <f t="shared" si="273"/>
        <v>0</v>
      </c>
      <c r="FW96">
        <f t="shared" si="274"/>
        <v>0</v>
      </c>
      <c r="FX96">
        <f t="shared" si="275"/>
        <v>0</v>
      </c>
      <c r="FY96">
        <f t="shared" si="276"/>
        <v>0</v>
      </c>
      <c r="FZ96">
        <f t="shared" si="277"/>
        <v>0</v>
      </c>
      <c r="GA96">
        <f t="shared" si="278"/>
        <v>1</v>
      </c>
      <c r="GB96">
        <f t="shared" si="279"/>
        <v>1</v>
      </c>
      <c r="GC96">
        <f t="shared" si="280"/>
        <v>1</v>
      </c>
      <c r="GD96">
        <f t="shared" si="281"/>
        <v>1</v>
      </c>
      <c r="GE96">
        <f t="shared" si="282"/>
        <v>1</v>
      </c>
      <c r="GF96">
        <f t="shared" si="283"/>
        <v>1</v>
      </c>
      <c r="GG96">
        <f t="shared" si="284"/>
        <v>1</v>
      </c>
      <c r="GH96">
        <f t="shared" si="285"/>
        <v>1</v>
      </c>
      <c r="GI96">
        <f t="shared" si="286"/>
        <v>1</v>
      </c>
      <c r="GJ96">
        <f t="shared" si="287"/>
        <v>1</v>
      </c>
      <c r="GK96">
        <f t="shared" si="288"/>
        <v>1</v>
      </c>
      <c r="GL96">
        <f t="shared" si="289"/>
        <v>1</v>
      </c>
      <c r="GM96">
        <f t="shared" si="290"/>
        <v>1</v>
      </c>
      <c r="GN96">
        <f t="shared" si="291"/>
        <v>1</v>
      </c>
      <c r="GO96">
        <f t="shared" si="292"/>
        <v>1</v>
      </c>
      <c r="GP96">
        <f t="shared" si="293"/>
        <v>1</v>
      </c>
      <c r="GQ96">
        <f t="shared" si="294"/>
        <v>1</v>
      </c>
      <c r="GR96">
        <f t="shared" si="295"/>
        <v>1</v>
      </c>
      <c r="GS96">
        <f t="shared" si="296"/>
        <v>1</v>
      </c>
      <c r="GT96">
        <f t="shared" si="297"/>
        <v>1</v>
      </c>
      <c r="GU96">
        <f t="shared" si="298"/>
        <v>1</v>
      </c>
      <c r="GX96" s="10"/>
    </row>
    <row r="97" spans="1:206" x14ac:dyDescent="0.3">
      <c r="A97" s="9" t="s">
        <v>33</v>
      </c>
      <c r="B97" s="80"/>
      <c r="C97" s="9">
        <v>3041392000</v>
      </c>
      <c r="D97" s="9" t="s">
        <v>425</v>
      </c>
      <c r="E97" s="9" t="s">
        <v>34</v>
      </c>
      <c r="F97" s="9" t="s">
        <v>35</v>
      </c>
      <c r="G97" s="9" t="s">
        <v>130</v>
      </c>
      <c r="H97" s="10">
        <v>44660</v>
      </c>
      <c r="I97" s="9">
        <f t="shared" si="299"/>
        <v>2022</v>
      </c>
      <c r="J97" s="9">
        <f t="shared" si="300"/>
        <v>4</v>
      </c>
      <c r="K97" s="9" t="str">
        <f t="shared" si="301"/>
        <v>2022_4</v>
      </c>
      <c r="L97">
        <f>MAX(0,VLOOKUP($K97,lookups!$A$1:$B$45,2,0)-12)</f>
        <v>12</v>
      </c>
      <c r="M97" s="40">
        <f t="shared" si="302"/>
        <v>44652</v>
      </c>
      <c r="N97" s="10" t="s">
        <v>37</v>
      </c>
      <c r="O97" t="str">
        <f ca="1">IF(OR($L97&gt;O$4,O$4&gt;$L97+23),"",OFFSET(Electric!$L88,0,-'Electric Calendarize'!$L97+'Electric Calendarize'!O$4+1))</f>
        <v/>
      </c>
      <c r="P97" t="str">
        <f ca="1">IF(OR($L97&gt;P$4,P$4&gt;$L97+23),"",OFFSET(Electric!$L88,0,-'Electric Calendarize'!$L97+'Electric Calendarize'!P$4+1))</f>
        <v/>
      </c>
      <c r="Q97" t="str">
        <f ca="1">IF(OR($L97&gt;Q$4,Q$4&gt;$L97+23),"",OFFSET(Electric!$L88,0,-'Electric Calendarize'!$L97+'Electric Calendarize'!Q$4+1))</f>
        <v/>
      </c>
      <c r="R97" t="str">
        <f ca="1">IF(OR($L97&gt;R$4,R$4&gt;$L97+23),"",OFFSET(Electric!$L88,0,-'Electric Calendarize'!$L97+'Electric Calendarize'!R$4+1))</f>
        <v/>
      </c>
      <c r="S97" t="str">
        <f ca="1">IF(OR($L97&gt;S$4,S$4&gt;$L97+23),"",OFFSET(Electric!$L88,0,-'Electric Calendarize'!$L97+'Electric Calendarize'!S$4+1))</f>
        <v/>
      </c>
      <c r="T97" t="str">
        <f ca="1">IF(OR($L97&gt;T$4,T$4&gt;$L97+23),"",OFFSET(Electric!$L88,0,-'Electric Calendarize'!$L97+'Electric Calendarize'!T$4+1))</f>
        <v/>
      </c>
      <c r="U97" t="str">
        <f ca="1">IF(OR($L97&gt;U$4,U$4&gt;$L97+23),"",OFFSET(Electric!$L88,0,-'Electric Calendarize'!$L97+'Electric Calendarize'!U$4+1))</f>
        <v/>
      </c>
      <c r="V97" t="str">
        <f ca="1">IF(OR($L97&gt;V$4,V$4&gt;$L97+23),"",OFFSET(Electric!$L88,0,-'Electric Calendarize'!$L97+'Electric Calendarize'!V$4+1))</f>
        <v/>
      </c>
      <c r="W97" t="str">
        <f ca="1">IF(OR($L97&gt;W$4,W$4&gt;$L97+23),"",OFFSET(Electric!$L88,0,-'Electric Calendarize'!$L97+'Electric Calendarize'!W$4+1))</f>
        <v/>
      </c>
      <c r="X97" t="str">
        <f ca="1">IF(OR($L97&gt;X$4,X$4&gt;$L97+23),"",OFFSET(Electric!$L88,0,-'Electric Calendarize'!$L97+'Electric Calendarize'!X$4+1))</f>
        <v/>
      </c>
      <c r="Y97" t="str">
        <f ca="1">IF(OR($L97&gt;Y$4,Y$4&gt;$L97+23),"",OFFSET(Electric!$L88,0,-'Electric Calendarize'!$L97+'Electric Calendarize'!Y$4+1))</f>
        <v/>
      </c>
      <c r="Z97" t="str">
        <f ca="1">IF(OR($L97&gt;Z$4,Z$4&gt;$L97+23),"",OFFSET(Electric!$L88,0,-'Electric Calendarize'!$L97+'Electric Calendarize'!Z$4+1))</f>
        <v/>
      </c>
      <c r="AA97">
        <f ca="1">IF(OR($L97&gt;AA$4,AA$4&gt;$L97+23),"",OFFSET(Electric!$L88,0,-'Electric Calendarize'!$L97+'Electric Calendarize'!AA$4+1))</f>
        <v>424</v>
      </c>
      <c r="AB97">
        <f ca="1">IF(OR($L97&gt;AB$4,AB$4&gt;$L97+23),"",OFFSET(Electric!$L88,0,-'Electric Calendarize'!$L97+'Electric Calendarize'!AB$4+1))</f>
        <v>544</v>
      </c>
      <c r="AC97">
        <f ca="1">IF(OR($L97&gt;AC$4,AC$4&gt;$L97+23),"",OFFSET(Electric!$L88,0,-'Electric Calendarize'!$L97+'Electric Calendarize'!AC$4+1))</f>
        <v>914</v>
      </c>
      <c r="AD97">
        <f ca="1">IF(OR($L97&gt;AD$4,AD$4&gt;$L97+23),"",OFFSET(Electric!$L88,0,-'Electric Calendarize'!$L97+'Electric Calendarize'!AD$4+1))</f>
        <v>1240</v>
      </c>
      <c r="AE97">
        <f ca="1">IF(OR($L97&gt;AE$4,AE$4&gt;$L97+23),"",OFFSET(Electric!$L88,0,-'Electric Calendarize'!$L97+'Electric Calendarize'!AE$4+1))</f>
        <v>1812</v>
      </c>
      <c r="AF97">
        <f ca="1">IF(OR($L97&gt;AF$4,AF$4&gt;$L97+23),"",OFFSET(Electric!$L88,0,-'Electric Calendarize'!$L97+'Electric Calendarize'!AF$4+1))</f>
        <v>1448</v>
      </c>
      <c r="AG97">
        <f ca="1">IF(OR($L97&gt;AG$4,AG$4&gt;$L97+23),"",OFFSET(Electric!$L88,0,-'Electric Calendarize'!$L97+'Electric Calendarize'!AG$4+1))</f>
        <v>830</v>
      </c>
      <c r="AH97">
        <f ca="1">IF(OR($L97&gt;AH$4,AH$4&gt;$L97+23),"",OFFSET(Electric!$L88,0,-'Electric Calendarize'!$L97+'Electric Calendarize'!AH$4+1))</f>
        <v>728</v>
      </c>
      <c r="AI97">
        <f ca="1">IF(OR($L97&gt;AI$4,AI$4&gt;$L97+23),"",OFFSET(Electric!$L88,0,-'Electric Calendarize'!$L97+'Electric Calendarize'!AI$4+1))</f>
        <v>816</v>
      </c>
      <c r="AJ97">
        <f ca="1">IF(OR($L97&gt;AJ$4,AJ$4&gt;$L97+23),"",OFFSET(Electric!$L88,0,-'Electric Calendarize'!$L97+'Electric Calendarize'!AJ$4+1))</f>
        <v>1122</v>
      </c>
      <c r="AK97">
        <f ca="1">IF(OR($L97&gt;AK$4,AK$4&gt;$L97+23),"",OFFSET(Electric!$L88,0,-'Electric Calendarize'!$L97+'Electric Calendarize'!AK$4+1))</f>
        <v>754</v>
      </c>
      <c r="AL97">
        <f ca="1">IF(OR($L97&gt;AL$4,AL$4&gt;$L97+23),"",OFFSET(Electric!$L88,0,-'Electric Calendarize'!$L97+'Electric Calendarize'!AL$4+1))</f>
        <v>638</v>
      </c>
      <c r="AM97">
        <f ca="1">IF(OR($L97&gt;AM$4,AM$4&gt;$L97+23),"",OFFSET(Electric!$L88,0,-'Electric Calendarize'!$L97+'Electric Calendarize'!AM$4+1))</f>
        <v>572</v>
      </c>
      <c r="AN97">
        <f ca="1">IF(OR($L97&gt;AN$4,AN$4&gt;$L97+23),"",OFFSET(Electric!$L88,0,-'Electric Calendarize'!$L97+'Electric Calendarize'!AN$4+1))</f>
        <v>676</v>
      </c>
      <c r="AO97">
        <f ca="1">IF(OR($L97&gt;AO$4,AO$4&gt;$L97+23),"",OFFSET(Electric!$L88,0,-'Electric Calendarize'!$L97+'Electric Calendarize'!AO$4+1))</f>
        <v>732</v>
      </c>
      <c r="AP97">
        <f ca="1">IF(OR($L97&gt;AP$4,AP$4&gt;$L97+23),"",OFFSET(Electric!$L88,0,-'Electric Calendarize'!$L97+'Electric Calendarize'!AP$4+1))</f>
        <v>936</v>
      </c>
      <c r="AQ97">
        <f ca="1">IF(OR($L97&gt;AQ$4,AQ$4&gt;$L97+23),"",OFFSET(Electric!$L88,0,-'Electric Calendarize'!$L97+'Electric Calendarize'!AQ$4+1))</f>
        <v>1098</v>
      </c>
      <c r="AR97">
        <f ca="1">IF(OR($L97&gt;AR$4,AR$4&gt;$L97+23),"",OFFSET(Electric!$L88,0,-'Electric Calendarize'!$L97+'Electric Calendarize'!AR$4+1))</f>
        <v>952</v>
      </c>
      <c r="AS97">
        <f ca="1">IF(OR($L97&gt;AS$4,AS$4&gt;$L97+23),"",OFFSET(Electric!$L88,0,-'Electric Calendarize'!$L97+'Electric Calendarize'!AS$4+1))</f>
        <v>628</v>
      </c>
      <c r="AT97">
        <f ca="1">IF(OR($L97&gt;AT$4,AT$4&gt;$L97+23),"",OFFSET(Electric!$L88,0,-'Electric Calendarize'!$L97+'Electric Calendarize'!AT$4+1))</f>
        <v>698</v>
      </c>
      <c r="AU97">
        <f ca="1">IF(OR($L97&gt;AU$4,AU$4&gt;$L97+23),"",OFFSET(Electric!$L88,0,-'Electric Calendarize'!$L97+'Electric Calendarize'!AU$4+1))</f>
        <v>2266</v>
      </c>
      <c r="AV97">
        <f ca="1">IF(OR($L97&gt;AV$4,AV$4&gt;$L97+23),"",OFFSET(Electric!$L88,0,-'Electric Calendarize'!$L97+'Electric Calendarize'!AV$4+1))</f>
        <v>2918</v>
      </c>
      <c r="AW97">
        <f ca="1">IF(OR($L97&gt;AW$4,AW$4&gt;$L97+23),"",OFFSET(Electric!$L88,0,-'Electric Calendarize'!$L97+'Electric Calendarize'!AW$4+1))</f>
        <v>2278</v>
      </c>
      <c r="AX97">
        <f ca="1">IF(OR($L97&gt;AX$4,AX$4&gt;$L97+23),"",OFFSET(Electric!$L88,0,-'Electric Calendarize'!$L97+'Electric Calendarize'!AX$4+1))</f>
        <v>2330</v>
      </c>
      <c r="AY97" t="str">
        <f ca="1">IF(OR($L97&gt;AY$4,AY$4&gt;$L97+23),"",OFFSET(Electric!$L88,0,-'Electric Calendarize'!$L97+'Electric Calendarize'!AY$4+1))</f>
        <v/>
      </c>
      <c r="AZ97" t="str">
        <f ca="1">IF(OR($L97&gt;AZ$4,AZ$4&gt;$L97+23),"",OFFSET(Electric!$L88,0,-'Electric Calendarize'!$L97+'Electric Calendarize'!AZ$4+1))</f>
        <v/>
      </c>
      <c r="BA97" t="str">
        <f ca="1">IF(OR($L97&gt;BA$4,BA$4&gt;$L97+23),"",OFFSET(Electric!$L88,0,-'Electric Calendarize'!$L97+'Electric Calendarize'!BA$4+1))</f>
        <v/>
      </c>
      <c r="BB97" t="str">
        <f ca="1">IF(OR($L97&gt;BB$4,BB$4&gt;$L97+23),"",OFFSET(Electric!$L88,0,-'Electric Calendarize'!$L97+'Electric Calendarize'!BB$4+1))</f>
        <v/>
      </c>
      <c r="BC97" t="str">
        <f ca="1">IF(OR($L97&gt;BC$4,BC$4&gt;$L97+23),"",OFFSET(Electric!$L88,0,-'Electric Calendarize'!$L97+'Electric Calendarize'!BC$4+1))</f>
        <v/>
      </c>
      <c r="BD97" t="str">
        <f ca="1">IF(OR($L97&gt;BD$4,BD$4&gt;$L97+23),"",OFFSET(Electric!$L88,0,-'Electric Calendarize'!$L97+'Electric Calendarize'!BD$4+1))</f>
        <v/>
      </c>
      <c r="BE97" t="str">
        <f ca="1">IF(OR($L97&gt;BE$4,BE$4&gt;$L97+23),"",OFFSET(Electric!$L88,0,-'Electric Calendarize'!$L97+'Electric Calendarize'!BE$4+1))</f>
        <v/>
      </c>
      <c r="BF97" t="str">
        <f ca="1">IF(OR($L97&gt;BF$4,BF$4&gt;$L97+23),"",OFFSET(Electric!$L88,0,-'Electric Calendarize'!$L97+'Electric Calendarize'!BF$4+1))</f>
        <v/>
      </c>
      <c r="BG97" t="str">
        <f ca="1">IF(OR($L97&gt;BG$4,BG$4&gt;$L97+23),"",OFFSET(Electric!$L88,0,-'Electric Calendarize'!$L97+'Electric Calendarize'!BG$4+1))</f>
        <v/>
      </c>
      <c r="BJ97" s="10" t="s">
        <v>37</v>
      </c>
      <c r="BK97">
        <f t="shared" si="303"/>
        <v>1</v>
      </c>
      <c r="BL97">
        <f t="shared" si="209"/>
        <v>0</v>
      </c>
      <c r="BM97">
        <f t="shared" si="210"/>
        <v>0</v>
      </c>
      <c r="BN97">
        <f t="shared" si="211"/>
        <v>0</v>
      </c>
      <c r="BO97">
        <f t="shared" si="212"/>
        <v>0</v>
      </c>
      <c r="BP97">
        <f t="shared" si="213"/>
        <v>0</v>
      </c>
      <c r="BQ97">
        <f t="shared" si="214"/>
        <v>0</v>
      </c>
      <c r="BR97">
        <f t="shared" si="215"/>
        <v>1</v>
      </c>
      <c r="BS97">
        <f t="shared" si="216"/>
        <v>1</v>
      </c>
      <c r="BT97">
        <f t="shared" si="217"/>
        <v>1</v>
      </c>
      <c r="BU97">
        <f t="shared" si="218"/>
        <v>1</v>
      </c>
      <c r="BV97">
        <f t="shared" si="219"/>
        <v>1</v>
      </c>
      <c r="BW97">
        <f t="shared" si="220"/>
        <v>1</v>
      </c>
      <c r="BX97">
        <f t="shared" si="221"/>
        <v>0</v>
      </c>
      <c r="BY97">
        <f t="shared" si="222"/>
        <v>0</v>
      </c>
      <c r="BZ97">
        <f t="shared" si="223"/>
        <v>0</v>
      </c>
      <c r="CA97">
        <f t="shared" si="224"/>
        <v>0</v>
      </c>
      <c r="CB97">
        <f t="shared" si="225"/>
        <v>0</v>
      </c>
      <c r="CC97">
        <f t="shared" si="226"/>
        <v>0</v>
      </c>
      <c r="CD97">
        <f t="shared" si="227"/>
        <v>1</v>
      </c>
      <c r="CE97">
        <f t="shared" si="228"/>
        <v>1</v>
      </c>
      <c r="CF97">
        <f t="shared" si="229"/>
        <v>1</v>
      </c>
      <c r="CG97">
        <f t="shared" si="230"/>
        <v>1</v>
      </c>
      <c r="CH97">
        <f t="shared" si="231"/>
        <v>1</v>
      </c>
      <c r="CI97">
        <f t="shared" si="232"/>
        <v>1</v>
      </c>
      <c r="CJ97">
        <f t="shared" si="233"/>
        <v>0</v>
      </c>
      <c r="CK97">
        <f t="shared" si="234"/>
        <v>0</v>
      </c>
      <c r="CL97">
        <f t="shared" si="235"/>
        <v>0</v>
      </c>
      <c r="CM97">
        <f t="shared" si="236"/>
        <v>0</v>
      </c>
      <c r="CN97">
        <f t="shared" si="237"/>
        <v>0</v>
      </c>
      <c r="CO97">
        <f t="shared" si="238"/>
        <v>0</v>
      </c>
      <c r="CP97">
        <f t="shared" si="239"/>
        <v>1</v>
      </c>
      <c r="CQ97">
        <f t="shared" si="240"/>
        <v>1</v>
      </c>
      <c r="CR97">
        <f t="shared" si="241"/>
        <v>1</v>
      </c>
      <c r="CS97">
        <f t="shared" si="242"/>
        <v>1</v>
      </c>
      <c r="CT97">
        <f t="shared" si="243"/>
        <v>1</v>
      </c>
      <c r="CU97">
        <f t="shared" si="244"/>
        <v>1</v>
      </c>
      <c r="CV97">
        <f t="shared" si="245"/>
        <v>0</v>
      </c>
      <c r="CW97">
        <f t="shared" si="246"/>
        <v>0</v>
      </c>
      <c r="CX97">
        <f t="shared" si="247"/>
        <v>0</v>
      </c>
      <c r="CY97">
        <f t="shared" si="248"/>
        <v>0</v>
      </c>
      <c r="CZ97">
        <f t="shared" si="249"/>
        <v>0</v>
      </c>
      <c r="DA97">
        <f t="shared" si="250"/>
        <v>0</v>
      </c>
      <c r="DB97">
        <f t="shared" si="251"/>
        <v>1</v>
      </c>
      <c r="DC97">
        <f t="shared" si="252"/>
        <v>1</v>
      </c>
      <c r="DF97" s="10" t="s">
        <v>37</v>
      </c>
      <c r="DG97" t="str">
        <f t="shared" si="308"/>
        <v>2022_4</v>
      </c>
      <c r="DH97" t="str">
        <f t="shared" si="308"/>
        <v>2022_4</v>
      </c>
      <c r="DI97" t="str">
        <f t="shared" si="308"/>
        <v>2022_4</v>
      </c>
      <c r="DJ97" t="str">
        <f t="shared" si="308"/>
        <v>2022_4</v>
      </c>
      <c r="DK97" t="str">
        <f t="shared" si="308"/>
        <v>2022_4</v>
      </c>
      <c r="DL97" t="str">
        <f t="shared" si="308"/>
        <v>2022_4</v>
      </c>
      <c r="DM97" t="str">
        <f t="shared" si="308"/>
        <v>2022_4</v>
      </c>
      <c r="DN97" t="str">
        <f t="shared" si="308"/>
        <v>2022_4</v>
      </c>
      <c r="DO97" t="str">
        <f t="shared" si="308"/>
        <v>2022_4</v>
      </c>
      <c r="DP97" t="str">
        <f t="shared" si="308"/>
        <v>2022_4</v>
      </c>
      <c r="DQ97" t="str">
        <f t="shared" si="308"/>
        <v>2022_4</v>
      </c>
      <c r="DR97" t="str">
        <f t="shared" si="308"/>
        <v>2022_4</v>
      </c>
      <c r="DS97" t="str">
        <f t="shared" si="308"/>
        <v>2022_4</v>
      </c>
      <c r="DT97" t="str">
        <f t="shared" si="308"/>
        <v>2022_4</v>
      </c>
      <c r="DU97" t="str">
        <f t="shared" si="308"/>
        <v>2022_4</v>
      </c>
      <c r="DV97" t="str">
        <f t="shared" si="308"/>
        <v>2022_4</v>
      </c>
      <c r="DW97" t="str">
        <f t="shared" si="307"/>
        <v>2022_4</v>
      </c>
      <c r="DX97" t="str">
        <f t="shared" si="307"/>
        <v>2022_4</v>
      </c>
      <c r="DY97" t="str">
        <f t="shared" si="307"/>
        <v>2022_4</v>
      </c>
      <c r="DZ97" t="str">
        <f t="shared" si="307"/>
        <v>2022_4</v>
      </c>
      <c r="EA97" t="str">
        <f t="shared" si="307"/>
        <v>2022_4</v>
      </c>
      <c r="EB97" t="str">
        <f t="shared" si="307"/>
        <v>2022_4</v>
      </c>
      <c r="EC97" t="str">
        <f t="shared" si="307"/>
        <v>2022_4</v>
      </c>
      <c r="ED97" t="str">
        <f t="shared" si="307"/>
        <v>2022_4</v>
      </c>
      <c r="EE97" t="str">
        <f t="shared" si="307"/>
        <v>2022_4</v>
      </c>
      <c r="EF97" t="str">
        <f t="shared" si="307"/>
        <v>2022_4</v>
      </c>
      <c r="EG97" t="str">
        <f t="shared" si="307"/>
        <v>2022_4</v>
      </c>
      <c r="EH97" t="str">
        <f t="shared" si="307"/>
        <v>2022_4</v>
      </c>
      <c r="EI97" t="str">
        <f t="shared" si="307"/>
        <v>2022_4</v>
      </c>
      <c r="EJ97" t="str">
        <f t="shared" si="307"/>
        <v>2022_4</v>
      </c>
      <c r="EK97" t="str">
        <f t="shared" si="306"/>
        <v>2022_4</v>
      </c>
      <c r="EL97" t="str">
        <f t="shared" si="306"/>
        <v>2022_4</v>
      </c>
      <c r="EM97" t="str">
        <f t="shared" si="306"/>
        <v>2022_4</v>
      </c>
      <c r="EN97" t="str">
        <f t="shared" si="306"/>
        <v>2022_4</v>
      </c>
      <c r="EO97" t="str">
        <f t="shared" si="306"/>
        <v>2022_4</v>
      </c>
      <c r="EP97" t="str">
        <f t="shared" si="306"/>
        <v>2022_4</v>
      </c>
      <c r="EQ97" t="str">
        <f t="shared" si="306"/>
        <v>2022_4</v>
      </c>
      <c r="ER97" t="str">
        <f t="shared" si="306"/>
        <v>2022_4</v>
      </c>
      <c r="ES97" t="str">
        <f t="shared" si="306"/>
        <v>2022_4</v>
      </c>
      <c r="ET97" t="str">
        <f t="shared" si="306"/>
        <v>2022_4</v>
      </c>
      <c r="EU97" t="str">
        <f t="shared" si="306"/>
        <v>2022_4</v>
      </c>
      <c r="EV97" t="str">
        <f t="shared" si="306"/>
        <v>2022_4</v>
      </c>
      <c r="EW97" t="str">
        <f t="shared" si="306"/>
        <v>2022_4</v>
      </c>
      <c r="EX97" t="str">
        <f t="shared" si="306"/>
        <v>2022_4</v>
      </c>
      <c r="EY97" t="str">
        <f t="shared" si="306"/>
        <v>2022_4</v>
      </c>
      <c r="FB97" s="10" t="s">
        <v>37</v>
      </c>
      <c r="FC97">
        <f t="shared" si="305"/>
        <v>0</v>
      </c>
      <c r="FD97">
        <f t="shared" si="255"/>
        <v>0</v>
      </c>
      <c r="FE97">
        <f t="shared" si="256"/>
        <v>0</v>
      </c>
      <c r="FF97">
        <f t="shared" si="257"/>
        <v>0</v>
      </c>
      <c r="FG97">
        <f t="shared" si="258"/>
        <v>0</v>
      </c>
      <c r="FH97">
        <f t="shared" si="259"/>
        <v>0</v>
      </c>
      <c r="FI97">
        <f t="shared" si="260"/>
        <v>0</v>
      </c>
      <c r="FJ97">
        <f t="shared" si="261"/>
        <v>0</v>
      </c>
      <c r="FK97">
        <f t="shared" si="262"/>
        <v>0</v>
      </c>
      <c r="FL97">
        <f t="shared" si="263"/>
        <v>0</v>
      </c>
      <c r="FM97">
        <f t="shared" si="264"/>
        <v>0</v>
      </c>
      <c r="FN97">
        <f t="shared" si="265"/>
        <v>0</v>
      </c>
      <c r="FO97">
        <f t="shared" si="266"/>
        <v>0</v>
      </c>
      <c r="FP97">
        <f t="shared" si="267"/>
        <v>0</v>
      </c>
      <c r="FQ97">
        <f t="shared" si="268"/>
        <v>0</v>
      </c>
      <c r="FR97">
        <f t="shared" si="269"/>
        <v>0</v>
      </c>
      <c r="FS97">
        <f t="shared" si="270"/>
        <v>0</v>
      </c>
      <c r="FT97">
        <f t="shared" si="271"/>
        <v>0</v>
      </c>
      <c r="FU97">
        <f t="shared" si="272"/>
        <v>0</v>
      </c>
      <c r="FV97">
        <f t="shared" si="273"/>
        <v>0</v>
      </c>
      <c r="FW97">
        <f t="shared" si="274"/>
        <v>0</v>
      </c>
      <c r="FX97">
        <f t="shared" si="275"/>
        <v>0</v>
      </c>
      <c r="FY97">
        <f t="shared" si="276"/>
        <v>0</v>
      </c>
      <c r="FZ97">
        <f t="shared" si="277"/>
        <v>0</v>
      </c>
      <c r="GA97">
        <f t="shared" si="278"/>
        <v>1</v>
      </c>
      <c r="GB97">
        <f t="shared" si="279"/>
        <v>1</v>
      </c>
      <c r="GC97">
        <f t="shared" si="280"/>
        <v>1</v>
      </c>
      <c r="GD97">
        <f t="shared" si="281"/>
        <v>1</v>
      </c>
      <c r="GE97">
        <f t="shared" si="282"/>
        <v>1</v>
      </c>
      <c r="GF97">
        <f t="shared" si="283"/>
        <v>1</v>
      </c>
      <c r="GG97">
        <f t="shared" si="284"/>
        <v>1</v>
      </c>
      <c r="GH97">
        <f t="shared" si="285"/>
        <v>1</v>
      </c>
      <c r="GI97">
        <f t="shared" si="286"/>
        <v>1</v>
      </c>
      <c r="GJ97">
        <f t="shared" si="287"/>
        <v>1</v>
      </c>
      <c r="GK97">
        <f t="shared" si="288"/>
        <v>1</v>
      </c>
      <c r="GL97">
        <f t="shared" si="289"/>
        <v>1</v>
      </c>
      <c r="GM97">
        <f t="shared" si="290"/>
        <v>1</v>
      </c>
      <c r="GN97">
        <f t="shared" si="291"/>
        <v>1</v>
      </c>
      <c r="GO97">
        <f t="shared" si="292"/>
        <v>1</v>
      </c>
      <c r="GP97">
        <f t="shared" si="293"/>
        <v>1</v>
      </c>
      <c r="GQ97">
        <f t="shared" si="294"/>
        <v>1</v>
      </c>
      <c r="GR97">
        <f t="shared" si="295"/>
        <v>1</v>
      </c>
      <c r="GS97">
        <f t="shared" si="296"/>
        <v>1</v>
      </c>
      <c r="GT97">
        <f t="shared" si="297"/>
        <v>1</v>
      </c>
      <c r="GU97">
        <f t="shared" si="298"/>
        <v>1</v>
      </c>
      <c r="GX97" s="10"/>
    </row>
    <row r="98" spans="1:206" x14ac:dyDescent="0.3">
      <c r="A98" s="9" t="s">
        <v>41</v>
      </c>
      <c r="B98" s="80"/>
      <c r="C98" s="9">
        <v>3060522000</v>
      </c>
      <c r="D98" s="9" t="s">
        <v>421</v>
      </c>
      <c r="E98" s="9" t="s">
        <v>34</v>
      </c>
      <c r="F98" s="9" t="s">
        <v>35</v>
      </c>
      <c r="G98" s="9" t="s">
        <v>131</v>
      </c>
      <c r="H98" s="10">
        <v>44663</v>
      </c>
      <c r="I98" s="9">
        <f t="shared" si="299"/>
        <v>2022</v>
      </c>
      <c r="J98" s="9">
        <f t="shared" si="300"/>
        <v>4</v>
      </c>
      <c r="K98" s="9" t="str">
        <f t="shared" si="301"/>
        <v>2022_4</v>
      </c>
      <c r="L98">
        <f>MAX(0,VLOOKUP($K98,lookups!$A$1:$B$45,2,0)-12)</f>
        <v>12</v>
      </c>
      <c r="M98" s="40">
        <f t="shared" si="302"/>
        <v>44652</v>
      </c>
      <c r="N98" s="10" t="s">
        <v>37</v>
      </c>
      <c r="O98" t="str">
        <f ca="1">IF(OR($L98&gt;O$4,O$4&gt;$L98+23),"",OFFSET(Electric!$L89,0,-'Electric Calendarize'!$L98+'Electric Calendarize'!O$4+1))</f>
        <v/>
      </c>
      <c r="P98" t="str">
        <f ca="1">IF(OR($L98&gt;P$4,P$4&gt;$L98+23),"",OFFSET(Electric!$L89,0,-'Electric Calendarize'!$L98+'Electric Calendarize'!P$4+1))</f>
        <v/>
      </c>
      <c r="Q98" t="str">
        <f ca="1">IF(OR($L98&gt;Q$4,Q$4&gt;$L98+23),"",OFFSET(Electric!$L89,0,-'Electric Calendarize'!$L98+'Electric Calendarize'!Q$4+1))</f>
        <v/>
      </c>
      <c r="R98" t="str">
        <f ca="1">IF(OR($L98&gt;R$4,R$4&gt;$L98+23),"",OFFSET(Electric!$L89,0,-'Electric Calendarize'!$L98+'Electric Calendarize'!R$4+1))</f>
        <v/>
      </c>
      <c r="S98" t="str">
        <f ca="1">IF(OR($L98&gt;S$4,S$4&gt;$L98+23),"",OFFSET(Electric!$L89,0,-'Electric Calendarize'!$L98+'Electric Calendarize'!S$4+1))</f>
        <v/>
      </c>
      <c r="T98" t="str">
        <f ca="1">IF(OR($L98&gt;T$4,T$4&gt;$L98+23),"",OFFSET(Electric!$L89,0,-'Electric Calendarize'!$L98+'Electric Calendarize'!T$4+1))</f>
        <v/>
      </c>
      <c r="U98" t="str">
        <f ca="1">IF(OR($L98&gt;U$4,U$4&gt;$L98+23),"",OFFSET(Electric!$L89,0,-'Electric Calendarize'!$L98+'Electric Calendarize'!U$4+1))</f>
        <v/>
      </c>
      <c r="V98" t="str">
        <f ca="1">IF(OR($L98&gt;V$4,V$4&gt;$L98+23),"",OFFSET(Electric!$L89,0,-'Electric Calendarize'!$L98+'Electric Calendarize'!V$4+1))</f>
        <v/>
      </c>
      <c r="W98" t="str">
        <f ca="1">IF(OR($L98&gt;W$4,W$4&gt;$L98+23),"",OFFSET(Electric!$L89,0,-'Electric Calendarize'!$L98+'Electric Calendarize'!W$4+1))</f>
        <v/>
      </c>
      <c r="X98" t="str">
        <f ca="1">IF(OR($L98&gt;X$4,X$4&gt;$L98+23),"",OFFSET(Electric!$L89,0,-'Electric Calendarize'!$L98+'Electric Calendarize'!X$4+1))</f>
        <v/>
      </c>
      <c r="Y98" t="str">
        <f ca="1">IF(OR($L98&gt;Y$4,Y$4&gt;$L98+23),"",OFFSET(Electric!$L89,0,-'Electric Calendarize'!$L98+'Electric Calendarize'!Y$4+1))</f>
        <v/>
      </c>
      <c r="Z98" t="str">
        <f ca="1">IF(OR($L98&gt;Z$4,Z$4&gt;$L98+23),"",OFFSET(Electric!$L89,0,-'Electric Calendarize'!$L98+'Electric Calendarize'!Z$4+1))</f>
        <v/>
      </c>
      <c r="AA98">
        <f ca="1">IF(OR($L98&gt;AA$4,AA$4&gt;$L98+23),"",OFFSET(Electric!$L89,0,-'Electric Calendarize'!$L98+'Electric Calendarize'!AA$4+1))</f>
        <v>473</v>
      </c>
      <c r="AB98">
        <f ca="1">IF(OR($L98&gt;AB$4,AB$4&gt;$L98+23),"",OFFSET(Electric!$L89,0,-'Electric Calendarize'!$L98+'Electric Calendarize'!AB$4+1))</f>
        <v>454</v>
      </c>
      <c r="AC98">
        <f ca="1">IF(OR($L98&gt;AC$4,AC$4&gt;$L98+23),"",OFFSET(Electric!$L89,0,-'Electric Calendarize'!$L98+'Electric Calendarize'!AC$4+1))</f>
        <v>545</v>
      </c>
      <c r="AD98">
        <f ca="1">IF(OR($L98&gt;AD$4,AD$4&gt;$L98+23),"",OFFSET(Electric!$L89,0,-'Electric Calendarize'!$L98+'Electric Calendarize'!AD$4+1))</f>
        <v>661</v>
      </c>
      <c r="AE98">
        <f ca="1">IF(OR($L98&gt;AE$4,AE$4&gt;$L98+23),"",OFFSET(Electric!$L89,0,-'Electric Calendarize'!$L98+'Electric Calendarize'!AE$4+1))</f>
        <v>644</v>
      </c>
      <c r="AF98">
        <f ca="1">IF(OR($L98&gt;AF$4,AF$4&gt;$L98+23),"",OFFSET(Electric!$L89,0,-'Electric Calendarize'!$L98+'Electric Calendarize'!AF$4+1))</f>
        <v>779</v>
      </c>
      <c r="AG98">
        <f ca="1">IF(OR($L98&gt;AG$4,AG$4&gt;$L98+23),"",OFFSET(Electric!$L89,0,-'Electric Calendarize'!$L98+'Electric Calendarize'!AG$4+1))</f>
        <v>452</v>
      </c>
      <c r="AH98">
        <f ca="1">IF(OR($L98&gt;AH$4,AH$4&gt;$L98+23),"",OFFSET(Electric!$L89,0,-'Electric Calendarize'!$L98+'Electric Calendarize'!AH$4+1))</f>
        <v>482</v>
      </c>
      <c r="AI98">
        <f ca="1">IF(OR($L98&gt;AI$4,AI$4&gt;$L98+23),"",OFFSET(Electric!$L89,0,-'Electric Calendarize'!$L98+'Electric Calendarize'!AI$4+1))</f>
        <v>787</v>
      </c>
      <c r="AJ98">
        <f ca="1">IF(OR($L98&gt;AJ$4,AJ$4&gt;$L98+23),"",OFFSET(Electric!$L89,0,-'Electric Calendarize'!$L98+'Electric Calendarize'!AJ$4+1))</f>
        <v>980</v>
      </c>
      <c r="AK98">
        <f ca="1">IF(OR($L98&gt;AK$4,AK$4&gt;$L98+23),"",OFFSET(Electric!$L89,0,-'Electric Calendarize'!$L98+'Electric Calendarize'!AK$4+1))</f>
        <v>1156</v>
      </c>
      <c r="AL98">
        <f ca="1">IF(OR($L98&gt;AL$4,AL$4&gt;$L98+23),"",OFFSET(Electric!$L89,0,-'Electric Calendarize'!$L98+'Electric Calendarize'!AL$4+1))</f>
        <v>917</v>
      </c>
      <c r="AM98">
        <f ca="1">IF(OR($L98&gt;AM$4,AM$4&gt;$L98+23),"",OFFSET(Electric!$L89,0,-'Electric Calendarize'!$L98+'Electric Calendarize'!AM$4+1))</f>
        <v>636</v>
      </c>
      <c r="AN98">
        <f ca="1">IF(OR($L98&gt;AN$4,AN$4&gt;$L98+23),"",OFFSET(Electric!$L89,0,-'Electric Calendarize'!$L98+'Electric Calendarize'!AN$4+1))</f>
        <v>466</v>
      </c>
      <c r="AO98">
        <f ca="1">IF(OR($L98&gt;AO$4,AO$4&gt;$L98+23),"",OFFSET(Electric!$L89,0,-'Electric Calendarize'!$L98+'Electric Calendarize'!AO$4+1))</f>
        <v>528</v>
      </c>
      <c r="AP98">
        <f ca="1">IF(OR($L98&gt;AP$4,AP$4&gt;$L98+23),"",OFFSET(Electric!$L89,0,-'Electric Calendarize'!$L98+'Electric Calendarize'!AP$4+1))</f>
        <v>558</v>
      </c>
      <c r="AQ98">
        <f ca="1">IF(OR($L98&gt;AQ$4,AQ$4&gt;$L98+23),"",OFFSET(Electric!$L89,0,-'Electric Calendarize'!$L98+'Electric Calendarize'!AQ$4+1))</f>
        <v>940</v>
      </c>
      <c r="AR98">
        <f ca="1">IF(OR($L98&gt;AR$4,AR$4&gt;$L98+23),"",OFFSET(Electric!$L89,0,-'Electric Calendarize'!$L98+'Electric Calendarize'!AR$4+1))</f>
        <v>575</v>
      </c>
      <c r="AS98">
        <f ca="1">IF(OR($L98&gt;AS$4,AS$4&gt;$L98+23),"",OFFSET(Electric!$L89,0,-'Electric Calendarize'!$L98+'Electric Calendarize'!AS$4+1))</f>
        <v>503</v>
      </c>
      <c r="AT98">
        <f ca="1">IF(OR($L98&gt;AT$4,AT$4&gt;$L98+23),"",OFFSET(Electric!$L89,0,-'Electric Calendarize'!$L98+'Electric Calendarize'!AT$4+1))</f>
        <v>717</v>
      </c>
      <c r="AU98">
        <f ca="1">IF(OR($L98&gt;AU$4,AU$4&gt;$L98+23),"",OFFSET(Electric!$L89,0,-'Electric Calendarize'!$L98+'Electric Calendarize'!AU$4+1))</f>
        <v>1619</v>
      </c>
      <c r="AV98">
        <f ca="1">IF(OR($L98&gt;AV$4,AV$4&gt;$L98+23),"",OFFSET(Electric!$L89,0,-'Electric Calendarize'!$L98+'Electric Calendarize'!AV$4+1))</f>
        <v>2270</v>
      </c>
      <c r="AW98">
        <f ca="1">IF(OR($L98&gt;AW$4,AW$4&gt;$L98+23),"",OFFSET(Electric!$L89,0,-'Electric Calendarize'!$L98+'Electric Calendarize'!AW$4+1))</f>
        <v>2075</v>
      </c>
      <c r="AX98">
        <f ca="1">IF(OR($L98&gt;AX$4,AX$4&gt;$L98+23),"",OFFSET(Electric!$L89,0,-'Electric Calendarize'!$L98+'Electric Calendarize'!AX$4+1))</f>
        <v>814</v>
      </c>
      <c r="AY98" t="str">
        <f ca="1">IF(OR($L98&gt;AY$4,AY$4&gt;$L98+23),"",OFFSET(Electric!$L89,0,-'Electric Calendarize'!$L98+'Electric Calendarize'!AY$4+1))</f>
        <v/>
      </c>
      <c r="AZ98" t="str">
        <f ca="1">IF(OR($L98&gt;AZ$4,AZ$4&gt;$L98+23),"",OFFSET(Electric!$L89,0,-'Electric Calendarize'!$L98+'Electric Calendarize'!AZ$4+1))</f>
        <v/>
      </c>
      <c r="BA98" t="str">
        <f ca="1">IF(OR($L98&gt;BA$4,BA$4&gt;$L98+23),"",OFFSET(Electric!$L89,0,-'Electric Calendarize'!$L98+'Electric Calendarize'!BA$4+1))</f>
        <v/>
      </c>
      <c r="BB98" t="str">
        <f ca="1">IF(OR($L98&gt;BB$4,BB$4&gt;$L98+23),"",OFFSET(Electric!$L89,0,-'Electric Calendarize'!$L98+'Electric Calendarize'!BB$4+1))</f>
        <v/>
      </c>
      <c r="BC98" t="str">
        <f ca="1">IF(OR($L98&gt;BC$4,BC$4&gt;$L98+23),"",OFFSET(Electric!$L89,0,-'Electric Calendarize'!$L98+'Electric Calendarize'!BC$4+1))</f>
        <v/>
      </c>
      <c r="BD98" t="str">
        <f ca="1">IF(OR($L98&gt;BD$4,BD$4&gt;$L98+23),"",OFFSET(Electric!$L89,0,-'Electric Calendarize'!$L98+'Electric Calendarize'!BD$4+1))</f>
        <v/>
      </c>
      <c r="BE98" t="str">
        <f ca="1">IF(OR($L98&gt;BE$4,BE$4&gt;$L98+23),"",OFFSET(Electric!$L89,0,-'Electric Calendarize'!$L98+'Electric Calendarize'!BE$4+1))</f>
        <v/>
      </c>
      <c r="BF98" t="str">
        <f ca="1">IF(OR($L98&gt;BF$4,BF$4&gt;$L98+23),"",OFFSET(Electric!$L89,0,-'Electric Calendarize'!$L98+'Electric Calendarize'!BF$4+1))</f>
        <v/>
      </c>
      <c r="BG98" t="str">
        <f ca="1">IF(OR($L98&gt;BG$4,BG$4&gt;$L98+23),"",OFFSET(Electric!$L89,0,-'Electric Calendarize'!$L98+'Electric Calendarize'!BG$4+1))</f>
        <v/>
      </c>
      <c r="BJ98" s="10" t="s">
        <v>37</v>
      </c>
      <c r="BK98">
        <f t="shared" si="303"/>
        <v>1</v>
      </c>
      <c r="BL98">
        <f t="shared" si="209"/>
        <v>0</v>
      </c>
      <c r="BM98">
        <f t="shared" si="210"/>
        <v>0</v>
      </c>
      <c r="BN98">
        <f t="shared" si="211"/>
        <v>0</v>
      </c>
      <c r="BO98">
        <f t="shared" si="212"/>
        <v>0</v>
      </c>
      <c r="BP98">
        <f t="shared" si="213"/>
        <v>0</v>
      </c>
      <c r="BQ98">
        <f t="shared" si="214"/>
        <v>0</v>
      </c>
      <c r="BR98">
        <f t="shared" si="215"/>
        <v>1</v>
      </c>
      <c r="BS98">
        <f t="shared" si="216"/>
        <v>1</v>
      </c>
      <c r="BT98">
        <f t="shared" si="217"/>
        <v>1</v>
      </c>
      <c r="BU98">
        <f t="shared" si="218"/>
        <v>1</v>
      </c>
      <c r="BV98">
        <f t="shared" si="219"/>
        <v>1</v>
      </c>
      <c r="BW98">
        <f t="shared" si="220"/>
        <v>1</v>
      </c>
      <c r="BX98">
        <f t="shared" si="221"/>
        <v>0</v>
      </c>
      <c r="BY98">
        <f t="shared" si="222"/>
        <v>0</v>
      </c>
      <c r="BZ98">
        <f t="shared" si="223"/>
        <v>0</v>
      </c>
      <c r="CA98">
        <f t="shared" si="224"/>
        <v>0</v>
      </c>
      <c r="CB98">
        <f t="shared" si="225"/>
        <v>0</v>
      </c>
      <c r="CC98">
        <f t="shared" si="226"/>
        <v>0</v>
      </c>
      <c r="CD98">
        <f t="shared" si="227"/>
        <v>1</v>
      </c>
      <c r="CE98">
        <f t="shared" si="228"/>
        <v>1</v>
      </c>
      <c r="CF98">
        <f t="shared" si="229"/>
        <v>1</v>
      </c>
      <c r="CG98">
        <f t="shared" si="230"/>
        <v>1</v>
      </c>
      <c r="CH98">
        <f t="shared" si="231"/>
        <v>1</v>
      </c>
      <c r="CI98">
        <f t="shared" si="232"/>
        <v>1</v>
      </c>
      <c r="CJ98">
        <f t="shared" si="233"/>
        <v>0</v>
      </c>
      <c r="CK98">
        <f t="shared" si="234"/>
        <v>0</v>
      </c>
      <c r="CL98">
        <f t="shared" si="235"/>
        <v>0</v>
      </c>
      <c r="CM98">
        <f t="shared" si="236"/>
        <v>0</v>
      </c>
      <c r="CN98">
        <f t="shared" si="237"/>
        <v>0</v>
      </c>
      <c r="CO98">
        <f t="shared" si="238"/>
        <v>0</v>
      </c>
      <c r="CP98">
        <f t="shared" si="239"/>
        <v>1</v>
      </c>
      <c r="CQ98">
        <f t="shared" si="240"/>
        <v>1</v>
      </c>
      <c r="CR98">
        <f t="shared" si="241"/>
        <v>1</v>
      </c>
      <c r="CS98">
        <f t="shared" si="242"/>
        <v>1</v>
      </c>
      <c r="CT98">
        <f t="shared" si="243"/>
        <v>1</v>
      </c>
      <c r="CU98">
        <f t="shared" si="244"/>
        <v>1</v>
      </c>
      <c r="CV98">
        <f t="shared" si="245"/>
        <v>0</v>
      </c>
      <c r="CW98">
        <f t="shared" si="246"/>
        <v>0</v>
      </c>
      <c r="CX98">
        <f t="shared" si="247"/>
        <v>0</v>
      </c>
      <c r="CY98">
        <f t="shared" si="248"/>
        <v>0</v>
      </c>
      <c r="CZ98">
        <f t="shared" si="249"/>
        <v>0</v>
      </c>
      <c r="DA98">
        <f t="shared" si="250"/>
        <v>0</v>
      </c>
      <c r="DB98">
        <f t="shared" si="251"/>
        <v>1</v>
      </c>
      <c r="DC98">
        <f t="shared" si="252"/>
        <v>1</v>
      </c>
      <c r="DF98" s="10" t="s">
        <v>37</v>
      </c>
      <c r="DG98" t="str">
        <f t="shared" si="308"/>
        <v>2022_4</v>
      </c>
      <c r="DH98" t="str">
        <f t="shared" si="308"/>
        <v>2022_4</v>
      </c>
      <c r="DI98" t="str">
        <f t="shared" si="308"/>
        <v>2022_4</v>
      </c>
      <c r="DJ98" t="str">
        <f t="shared" si="308"/>
        <v>2022_4</v>
      </c>
      <c r="DK98" t="str">
        <f t="shared" si="308"/>
        <v>2022_4</v>
      </c>
      <c r="DL98" t="str">
        <f t="shared" si="308"/>
        <v>2022_4</v>
      </c>
      <c r="DM98" t="str">
        <f t="shared" si="308"/>
        <v>2022_4</v>
      </c>
      <c r="DN98" t="str">
        <f t="shared" si="308"/>
        <v>2022_4</v>
      </c>
      <c r="DO98" t="str">
        <f t="shared" si="308"/>
        <v>2022_4</v>
      </c>
      <c r="DP98" t="str">
        <f t="shared" si="308"/>
        <v>2022_4</v>
      </c>
      <c r="DQ98" t="str">
        <f t="shared" si="308"/>
        <v>2022_4</v>
      </c>
      <c r="DR98" t="str">
        <f t="shared" si="308"/>
        <v>2022_4</v>
      </c>
      <c r="DS98" t="str">
        <f t="shared" si="308"/>
        <v>2022_4</v>
      </c>
      <c r="DT98" t="str">
        <f t="shared" si="308"/>
        <v>2022_4</v>
      </c>
      <c r="DU98" t="str">
        <f t="shared" si="308"/>
        <v>2022_4</v>
      </c>
      <c r="DV98" t="str">
        <f t="shared" si="308"/>
        <v>2022_4</v>
      </c>
      <c r="DW98" t="str">
        <f t="shared" si="307"/>
        <v>2022_4</v>
      </c>
      <c r="DX98" t="str">
        <f t="shared" si="307"/>
        <v>2022_4</v>
      </c>
      <c r="DY98" t="str">
        <f t="shared" si="307"/>
        <v>2022_4</v>
      </c>
      <c r="DZ98" t="str">
        <f t="shared" si="307"/>
        <v>2022_4</v>
      </c>
      <c r="EA98" t="str">
        <f t="shared" si="307"/>
        <v>2022_4</v>
      </c>
      <c r="EB98" t="str">
        <f t="shared" si="307"/>
        <v>2022_4</v>
      </c>
      <c r="EC98" t="str">
        <f t="shared" si="307"/>
        <v>2022_4</v>
      </c>
      <c r="ED98" t="str">
        <f t="shared" si="307"/>
        <v>2022_4</v>
      </c>
      <c r="EE98" t="str">
        <f t="shared" si="307"/>
        <v>2022_4</v>
      </c>
      <c r="EF98" t="str">
        <f t="shared" si="307"/>
        <v>2022_4</v>
      </c>
      <c r="EG98" t="str">
        <f t="shared" si="307"/>
        <v>2022_4</v>
      </c>
      <c r="EH98" t="str">
        <f t="shared" si="307"/>
        <v>2022_4</v>
      </c>
      <c r="EI98" t="str">
        <f t="shared" si="307"/>
        <v>2022_4</v>
      </c>
      <c r="EJ98" t="str">
        <f t="shared" si="307"/>
        <v>2022_4</v>
      </c>
      <c r="EK98" t="str">
        <f t="shared" si="306"/>
        <v>2022_4</v>
      </c>
      <c r="EL98" t="str">
        <f t="shared" si="306"/>
        <v>2022_4</v>
      </c>
      <c r="EM98" t="str">
        <f t="shared" si="306"/>
        <v>2022_4</v>
      </c>
      <c r="EN98" t="str">
        <f t="shared" si="306"/>
        <v>2022_4</v>
      </c>
      <c r="EO98" t="str">
        <f t="shared" si="306"/>
        <v>2022_4</v>
      </c>
      <c r="EP98" t="str">
        <f t="shared" si="306"/>
        <v>2022_4</v>
      </c>
      <c r="EQ98" t="str">
        <f t="shared" si="306"/>
        <v>2022_4</v>
      </c>
      <c r="ER98" t="str">
        <f t="shared" si="306"/>
        <v>2022_4</v>
      </c>
      <c r="ES98" t="str">
        <f t="shared" si="306"/>
        <v>2022_4</v>
      </c>
      <c r="ET98" t="str">
        <f t="shared" si="306"/>
        <v>2022_4</v>
      </c>
      <c r="EU98" t="str">
        <f t="shared" si="306"/>
        <v>2022_4</v>
      </c>
      <c r="EV98" t="str">
        <f t="shared" si="306"/>
        <v>2022_4</v>
      </c>
      <c r="EW98" t="str">
        <f t="shared" si="306"/>
        <v>2022_4</v>
      </c>
      <c r="EX98" t="str">
        <f t="shared" si="306"/>
        <v>2022_4</v>
      </c>
      <c r="EY98" t="str">
        <f t="shared" si="306"/>
        <v>2022_4</v>
      </c>
      <c r="FB98" s="10" t="s">
        <v>37</v>
      </c>
      <c r="FC98">
        <f t="shared" si="305"/>
        <v>0</v>
      </c>
      <c r="FD98">
        <f t="shared" si="255"/>
        <v>0</v>
      </c>
      <c r="FE98">
        <f t="shared" si="256"/>
        <v>0</v>
      </c>
      <c r="FF98">
        <f t="shared" si="257"/>
        <v>0</v>
      </c>
      <c r="FG98">
        <f t="shared" si="258"/>
        <v>0</v>
      </c>
      <c r="FH98">
        <f t="shared" si="259"/>
        <v>0</v>
      </c>
      <c r="FI98">
        <f t="shared" si="260"/>
        <v>0</v>
      </c>
      <c r="FJ98">
        <f t="shared" si="261"/>
        <v>0</v>
      </c>
      <c r="FK98">
        <f t="shared" si="262"/>
        <v>0</v>
      </c>
      <c r="FL98">
        <f t="shared" si="263"/>
        <v>0</v>
      </c>
      <c r="FM98">
        <f t="shared" si="264"/>
        <v>0</v>
      </c>
      <c r="FN98">
        <f t="shared" si="265"/>
        <v>0</v>
      </c>
      <c r="FO98">
        <f t="shared" si="266"/>
        <v>0</v>
      </c>
      <c r="FP98">
        <f t="shared" si="267"/>
        <v>0</v>
      </c>
      <c r="FQ98">
        <f t="shared" si="268"/>
        <v>0</v>
      </c>
      <c r="FR98">
        <f t="shared" si="269"/>
        <v>0</v>
      </c>
      <c r="FS98">
        <f t="shared" si="270"/>
        <v>0</v>
      </c>
      <c r="FT98">
        <f t="shared" si="271"/>
        <v>0</v>
      </c>
      <c r="FU98">
        <f t="shared" si="272"/>
        <v>0</v>
      </c>
      <c r="FV98">
        <f t="shared" si="273"/>
        <v>0</v>
      </c>
      <c r="FW98">
        <f t="shared" si="274"/>
        <v>0</v>
      </c>
      <c r="FX98">
        <f t="shared" si="275"/>
        <v>0</v>
      </c>
      <c r="FY98">
        <f t="shared" si="276"/>
        <v>0</v>
      </c>
      <c r="FZ98">
        <f t="shared" si="277"/>
        <v>0</v>
      </c>
      <c r="GA98">
        <f t="shared" si="278"/>
        <v>1</v>
      </c>
      <c r="GB98">
        <f t="shared" si="279"/>
        <v>1</v>
      </c>
      <c r="GC98">
        <f t="shared" si="280"/>
        <v>1</v>
      </c>
      <c r="GD98">
        <f t="shared" si="281"/>
        <v>1</v>
      </c>
      <c r="GE98">
        <f t="shared" si="282"/>
        <v>1</v>
      </c>
      <c r="GF98">
        <f t="shared" si="283"/>
        <v>1</v>
      </c>
      <c r="GG98">
        <f t="shared" si="284"/>
        <v>1</v>
      </c>
      <c r="GH98">
        <f t="shared" si="285"/>
        <v>1</v>
      </c>
      <c r="GI98">
        <f t="shared" si="286"/>
        <v>1</v>
      </c>
      <c r="GJ98">
        <f t="shared" si="287"/>
        <v>1</v>
      </c>
      <c r="GK98">
        <f t="shared" si="288"/>
        <v>1</v>
      </c>
      <c r="GL98">
        <f t="shared" si="289"/>
        <v>1</v>
      </c>
      <c r="GM98">
        <f t="shared" si="290"/>
        <v>1</v>
      </c>
      <c r="GN98">
        <f t="shared" si="291"/>
        <v>1</v>
      </c>
      <c r="GO98">
        <f t="shared" si="292"/>
        <v>1</v>
      </c>
      <c r="GP98">
        <f t="shared" si="293"/>
        <v>1</v>
      </c>
      <c r="GQ98">
        <f t="shared" si="294"/>
        <v>1</v>
      </c>
      <c r="GR98">
        <f t="shared" si="295"/>
        <v>1</v>
      </c>
      <c r="GS98">
        <f t="shared" si="296"/>
        <v>1</v>
      </c>
      <c r="GT98">
        <f t="shared" si="297"/>
        <v>1</v>
      </c>
      <c r="GU98">
        <f t="shared" si="298"/>
        <v>1</v>
      </c>
      <c r="GX98" s="10"/>
    </row>
    <row r="99" spans="1:206" x14ac:dyDescent="0.3">
      <c r="A99" s="9" t="s">
        <v>124</v>
      </c>
      <c r="B99" s="80"/>
      <c r="C99" s="9">
        <v>3132861000</v>
      </c>
      <c r="D99" s="9" t="s">
        <v>426</v>
      </c>
      <c r="E99" s="9" t="s">
        <v>43</v>
      </c>
      <c r="F99" s="9" t="s">
        <v>35</v>
      </c>
      <c r="G99" s="9" t="s">
        <v>132</v>
      </c>
      <c r="H99" s="10">
        <v>44663</v>
      </c>
      <c r="I99" s="9">
        <f t="shared" si="299"/>
        <v>2022</v>
      </c>
      <c r="J99" s="9">
        <f t="shared" si="300"/>
        <v>4</v>
      </c>
      <c r="K99" s="9" t="str">
        <f t="shared" si="301"/>
        <v>2022_4</v>
      </c>
      <c r="L99">
        <f>MAX(0,VLOOKUP($K99,lookups!$A$1:$B$45,2,0)-12)</f>
        <v>12</v>
      </c>
      <c r="M99" s="40">
        <f t="shared" si="302"/>
        <v>44652</v>
      </c>
      <c r="N99" s="10" t="s">
        <v>37</v>
      </c>
      <c r="O99" t="str">
        <f ca="1">IF(OR($L99&gt;O$4,O$4&gt;$L99+23),"",OFFSET(Electric!$L90,0,-'Electric Calendarize'!$L99+'Electric Calendarize'!O$4+1))</f>
        <v/>
      </c>
      <c r="P99" t="str">
        <f ca="1">IF(OR($L99&gt;P$4,P$4&gt;$L99+23),"",OFFSET(Electric!$L90,0,-'Electric Calendarize'!$L99+'Electric Calendarize'!P$4+1))</f>
        <v/>
      </c>
      <c r="Q99" t="str">
        <f ca="1">IF(OR($L99&gt;Q$4,Q$4&gt;$L99+23),"",OFFSET(Electric!$L90,0,-'Electric Calendarize'!$L99+'Electric Calendarize'!Q$4+1))</f>
        <v/>
      </c>
      <c r="R99" t="str">
        <f ca="1">IF(OR($L99&gt;R$4,R$4&gt;$L99+23),"",OFFSET(Electric!$L90,0,-'Electric Calendarize'!$L99+'Electric Calendarize'!R$4+1))</f>
        <v/>
      </c>
      <c r="S99" t="str">
        <f ca="1">IF(OR($L99&gt;S$4,S$4&gt;$L99+23),"",OFFSET(Electric!$L90,0,-'Electric Calendarize'!$L99+'Electric Calendarize'!S$4+1))</f>
        <v/>
      </c>
      <c r="T99" t="str">
        <f ca="1">IF(OR($L99&gt;T$4,T$4&gt;$L99+23),"",OFFSET(Electric!$L90,0,-'Electric Calendarize'!$L99+'Electric Calendarize'!T$4+1))</f>
        <v/>
      </c>
      <c r="U99" t="str">
        <f ca="1">IF(OR($L99&gt;U$4,U$4&gt;$L99+23),"",OFFSET(Electric!$L90,0,-'Electric Calendarize'!$L99+'Electric Calendarize'!U$4+1))</f>
        <v/>
      </c>
      <c r="V99" t="str">
        <f ca="1">IF(OR($L99&gt;V$4,V$4&gt;$L99+23),"",OFFSET(Electric!$L90,0,-'Electric Calendarize'!$L99+'Electric Calendarize'!V$4+1))</f>
        <v/>
      </c>
      <c r="W99" t="str">
        <f ca="1">IF(OR($L99&gt;W$4,W$4&gt;$L99+23),"",OFFSET(Electric!$L90,0,-'Electric Calendarize'!$L99+'Electric Calendarize'!W$4+1))</f>
        <v/>
      </c>
      <c r="X99" t="str">
        <f ca="1">IF(OR($L99&gt;X$4,X$4&gt;$L99+23),"",OFFSET(Electric!$L90,0,-'Electric Calendarize'!$L99+'Electric Calendarize'!X$4+1))</f>
        <v/>
      </c>
      <c r="Y99" t="str">
        <f ca="1">IF(OR($L99&gt;Y$4,Y$4&gt;$L99+23),"",OFFSET(Electric!$L90,0,-'Electric Calendarize'!$L99+'Electric Calendarize'!Y$4+1))</f>
        <v/>
      </c>
      <c r="Z99" t="str">
        <f ca="1">IF(OR($L99&gt;Z$4,Z$4&gt;$L99+23),"",OFFSET(Electric!$L90,0,-'Electric Calendarize'!$L99+'Electric Calendarize'!Z$4+1))</f>
        <v/>
      </c>
      <c r="AA99">
        <f ca="1">IF(OR($L99&gt;AA$4,AA$4&gt;$L99+23),"",OFFSET(Electric!$L90,0,-'Electric Calendarize'!$L99+'Electric Calendarize'!AA$4+1))</f>
        <v>819</v>
      </c>
      <c r="AB99">
        <f ca="1">IF(OR($L99&gt;AB$4,AB$4&gt;$L99+23),"",OFFSET(Electric!$L90,0,-'Electric Calendarize'!$L99+'Electric Calendarize'!AB$4+1))</f>
        <v>838</v>
      </c>
      <c r="AC99">
        <f ca="1">IF(OR($L99&gt;AC$4,AC$4&gt;$L99+23),"",OFFSET(Electric!$L90,0,-'Electric Calendarize'!$L99+'Electric Calendarize'!AC$4+1))</f>
        <v>1057</v>
      </c>
      <c r="AD99">
        <f ca="1">IF(OR($L99&gt;AD$4,AD$4&gt;$L99+23),"",OFFSET(Electric!$L90,0,-'Electric Calendarize'!$L99+'Electric Calendarize'!AD$4+1))</f>
        <v>1045</v>
      </c>
      <c r="AE99">
        <f ca="1">IF(OR($L99&gt;AE$4,AE$4&gt;$L99+23),"",OFFSET(Electric!$L90,0,-'Electric Calendarize'!$L99+'Electric Calendarize'!AE$4+1))</f>
        <v>1117</v>
      </c>
      <c r="AF99">
        <f ca="1">IF(OR($L99&gt;AF$4,AF$4&gt;$L99+23),"",OFFSET(Electric!$L90,0,-'Electric Calendarize'!$L99+'Electric Calendarize'!AF$4+1))</f>
        <v>816</v>
      </c>
      <c r="AG99">
        <f ca="1">IF(OR($L99&gt;AG$4,AG$4&gt;$L99+23),"",OFFSET(Electric!$L90,0,-'Electric Calendarize'!$L99+'Electric Calendarize'!AG$4+1))</f>
        <v>665</v>
      </c>
      <c r="AH99">
        <f ca="1">IF(OR($L99&gt;AH$4,AH$4&gt;$L99+23),"",OFFSET(Electric!$L90,0,-'Electric Calendarize'!$L99+'Electric Calendarize'!AH$4+1))</f>
        <v>808</v>
      </c>
      <c r="AI99">
        <f ca="1">IF(OR($L99&gt;AI$4,AI$4&gt;$L99+23),"",OFFSET(Electric!$L90,0,-'Electric Calendarize'!$L99+'Electric Calendarize'!AI$4+1))</f>
        <v>1189</v>
      </c>
      <c r="AJ99">
        <f ca="1">IF(OR($L99&gt;AJ$4,AJ$4&gt;$L99+23),"",OFFSET(Electric!$L90,0,-'Electric Calendarize'!$L99+'Electric Calendarize'!AJ$4+1))</f>
        <v>1343</v>
      </c>
      <c r="AK99">
        <f ca="1">IF(OR($L99&gt;AK$4,AK$4&gt;$L99+23),"",OFFSET(Electric!$L90,0,-'Electric Calendarize'!$L99+'Electric Calendarize'!AK$4+1))</f>
        <v>990</v>
      </c>
      <c r="AL99">
        <f ca="1">IF(OR($L99&gt;AL$4,AL$4&gt;$L99+23),"",OFFSET(Electric!$L90,0,-'Electric Calendarize'!$L99+'Electric Calendarize'!AL$4+1))</f>
        <v>1016</v>
      </c>
      <c r="AM99">
        <f ca="1">IF(OR($L99&gt;AM$4,AM$4&gt;$L99+23),"",OFFSET(Electric!$L90,0,-'Electric Calendarize'!$L99+'Electric Calendarize'!AM$4+1))</f>
        <v>870</v>
      </c>
      <c r="AN99">
        <f ca="1">IF(OR($L99&gt;AN$4,AN$4&gt;$L99+23),"",OFFSET(Electric!$L90,0,-'Electric Calendarize'!$L99+'Electric Calendarize'!AN$4+1))</f>
        <v>614</v>
      </c>
      <c r="AO99">
        <f ca="1">IF(OR($L99&gt;AO$4,AO$4&gt;$L99+23),"",OFFSET(Electric!$L90,0,-'Electric Calendarize'!$L99+'Electric Calendarize'!AO$4+1))</f>
        <v>686</v>
      </c>
      <c r="AP99">
        <f ca="1">IF(OR($L99&gt;AP$4,AP$4&gt;$L99+23),"",OFFSET(Electric!$L90,0,-'Electric Calendarize'!$L99+'Electric Calendarize'!AP$4+1))</f>
        <v>1131</v>
      </c>
      <c r="AQ99">
        <f ca="1">IF(OR($L99&gt;AQ$4,AQ$4&gt;$L99+23),"",OFFSET(Electric!$L90,0,-'Electric Calendarize'!$L99+'Electric Calendarize'!AQ$4+1))</f>
        <v>1240</v>
      </c>
      <c r="AR99">
        <f ca="1">IF(OR($L99&gt;AR$4,AR$4&gt;$L99+23),"",OFFSET(Electric!$L90,0,-'Electric Calendarize'!$L99+'Electric Calendarize'!AR$4+1))</f>
        <v>892</v>
      </c>
      <c r="AS99">
        <f ca="1">IF(OR($L99&gt;AS$4,AS$4&gt;$L99+23),"",OFFSET(Electric!$L90,0,-'Electric Calendarize'!$L99+'Electric Calendarize'!AS$4+1))</f>
        <v>642</v>
      </c>
      <c r="AT99">
        <f ca="1">IF(OR($L99&gt;AT$4,AT$4&gt;$L99+23),"",OFFSET(Electric!$L90,0,-'Electric Calendarize'!$L99+'Electric Calendarize'!AT$4+1))</f>
        <v>539</v>
      </c>
      <c r="AU99">
        <f ca="1">IF(OR($L99&gt;AU$4,AU$4&gt;$L99+23),"",OFFSET(Electric!$L90,0,-'Electric Calendarize'!$L99+'Electric Calendarize'!AU$4+1))</f>
        <v>785</v>
      </c>
      <c r="AV99">
        <f ca="1">IF(OR($L99&gt;AV$4,AV$4&gt;$L99+23),"",OFFSET(Electric!$L90,0,-'Electric Calendarize'!$L99+'Electric Calendarize'!AV$4+1))</f>
        <v>841</v>
      </c>
      <c r="AW99">
        <f ca="1">IF(OR($L99&gt;AW$4,AW$4&gt;$L99+23),"",OFFSET(Electric!$L90,0,-'Electric Calendarize'!$L99+'Electric Calendarize'!AW$4+1))</f>
        <v>590</v>
      </c>
      <c r="AX99">
        <f ca="1">IF(OR($L99&gt;AX$4,AX$4&gt;$L99+23),"",OFFSET(Electric!$L90,0,-'Electric Calendarize'!$L99+'Electric Calendarize'!AX$4+1))</f>
        <v>572</v>
      </c>
      <c r="AY99" t="str">
        <f ca="1">IF(OR($L99&gt;AY$4,AY$4&gt;$L99+23),"",OFFSET(Electric!$L90,0,-'Electric Calendarize'!$L99+'Electric Calendarize'!AY$4+1))</f>
        <v/>
      </c>
      <c r="AZ99" t="str">
        <f ca="1">IF(OR($L99&gt;AZ$4,AZ$4&gt;$L99+23),"",OFFSET(Electric!$L90,0,-'Electric Calendarize'!$L99+'Electric Calendarize'!AZ$4+1))</f>
        <v/>
      </c>
      <c r="BA99" t="str">
        <f ca="1">IF(OR($L99&gt;BA$4,BA$4&gt;$L99+23),"",OFFSET(Electric!$L90,0,-'Electric Calendarize'!$L99+'Electric Calendarize'!BA$4+1))</f>
        <v/>
      </c>
      <c r="BB99" t="str">
        <f ca="1">IF(OR($L99&gt;BB$4,BB$4&gt;$L99+23),"",OFFSET(Electric!$L90,0,-'Electric Calendarize'!$L99+'Electric Calendarize'!BB$4+1))</f>
        <v/>
      </c>
      <c r="BC99" t="str">
        <f ca="1">IF(OR($L99&gt;BC$4,BC$4&gt;$L99+23),"",OFFSET(Electric!$L90,0,-'Electric Calendarize'!$L99+'Electric Calendarize'!BC$4+1))</f>
        <v/>
      </c>
      <c r="BD99" t="str">
        <f ca="1">IF(OR($L99&gt;BD$4,BD$4&gt;$L99+23),"",OFFSET(Electric!$L90,0,-'Electric Calendarize'!$L99+'Electric Calendarize'!BD$4+1))</f>
        <v/>
      </c>
      <c r="BE99" t="str">
        <f ca="1">IF(OR($L99&gt;BE$4,BE$4&gt;$L99+23),"",OFFSET(Electric!$L90,0,-'Electric Calendarize'!$L99+'Electric Calendarize'!BE$4+1))</f>
        <v/>
      </c>
      <c r="BF99" t="str">
        <f ca="1">IF(OR($L99&gt;BF$4,BF$4&gt;$L99+23),"",OFFSET(Electric!$L90,0,-'Electric Calendarize'!$L99+'Electric Calendarize'!BF$4+1))</f>
        <v/>
      </c>
      <c r="BG99" t="str">
        <f ca="1">IF(OR($L99&gt;BG$4,BG$4&gt;$L99+23),"",OFFSET(Electric!$L90,0,-'Electric Calendarize'!$L99+'Electric Calendarize'!BG$4+1))</f>
        <v/>
      </c>
      <c r="BJ99" s="10" t="s">
        <v>37</v>
      </c>
      <c r="BK99">
        <f t="shared" si="303"/>
        <v>1</v>
      </c>
      <c r="BL99">
        <f t="shared" si="209"/>
        <v>0</v>
      </c>
      <c r="BM99">
        <f t="shared" si="210"/>
        <v>0</v>
      </c>
      <c r="BN99">
        <f t="shared" si="211"/>
        <v>0</v>
      </c>
      <c r="BO99">
        <f t="shared" si="212"/>
        <v>0</v>
      </c>
      <c r="BP99">
        <f t="shared" si="213"/>
        <v>0</v>
      </c>
      <c r="BQ99">
        <f t="shared" si="214"/>
        <v>0</v>
      </c>
      <c r="BR99">
        <f t="shared" si="215"/>
        <v>1</v>
      </c>
      <c r="BS99">
        <f t="shared" si="216"/>
        <v>1</v>
      </c>
      <c r="BT99">
        <f t="shared" si="217"/>
        <v>1</v>
      </c>
      <c r="BU99">
        <f t="shared" si="218"/>
        <v>1</v>
      </c>
      <c r="BV99">
        <f t="shared" si="219"/>
        <v>1</v>
      </c>
      <c r="BW99">
        <f t="shared" si="220"/>
        <v>1</v>
      </c>
      <c r="BX99">
        <f t="shared" si="221"/>
        <v>0</v>
      </c>
      <c r="BY99">
        <f t="shared" si="222"/>
        <v>0</v>
      </c>
      <c r="BZ99">
        <f t="shared" si="223"/>
        <v>0</v>
      </c>
      <c r="CA99">
        <f t="shared" si="224"/>
        <v>0</v>
      </c>
      <c r="CB99">
        <f t="shared" si="225"/>
        <v>0</v>
      </c>
      <c r="CC99">
        <f t="shared" si="226"/>
        <v>0</v>
      </c>
      <c r="CD99">
        <f t="shared" si="227"/>
        <v>1</v>
      </c>
      <c r="CE99">
        <f t="shared" si="228"/>
        <v>1</v>
      </c>
      <c r="CF99">
        <f t="shared" si="229"/>
        <v>1</v>
      </c>
      <c r="CG99">
        <f t="shared" si="230"/>
        <v>1</v>
      </c>
      <c r="CH99">
        <f t="shared" si="231"/>
        <v>1</v>
      </c>
      <c r="CI99">
        <f t="shared" si="232"/>
        <v>1</v>
      </c>
      <c r="CJ99">
        <f t="shared" si="233"/>
        <v>0</v>
      </c>
      <c r="CK99">
        <f t="shared" si="234"/>
        <v>0</v>
      </c>
      <c r="CL99">
        <f t="shared" si="235"/>
        <v>0</v>
      </c>
      <c r="CM99">
        <f t="shared" si="236"/>
        <v>0</v>
      </c>
      <c r="CN99">
        <f t="shared" si="237"/>
        <v>0</v>
      </c>
      <c r="CO99">
        <f t="shared" si="238"/>
        <v>0</v>
      </c>
      <c r="CP99">
        <f t="shared" si="239"/>
        <v>1</v>
      </c>
      <c r="CQ99">
        <f t="shared" si="240"/>
        <v>1</v>
      </c>
      <c r="CR99">
        <f t="shared" si="241"/>
        <v>1</v>
      </c>
      <c r="CS99">
        <f t="shared" si="242"/>
        <v>1</v>
      </c>
      <c r="CT99">
        <f t="shared" si="243"/>
        <v>1</v>
      </c>
      <c r="CU99">
        <f t="shared" si="244"/>
        <v>1</v>
      </c>
      <c r="CV99">
        <f t="shared" si="245"/>
        <v>0</v>
      </c>
      <c r="CW99">
        <f t="shared" si="246"/>
        <v>0</v>
      </c>
      <c r="CX99">
        <f t="shared" si="247"/>
        <v>0</v>
      </c>
      <c r="CY99">
        <f t="shared" si="248"/>
        <v>0</v>
      </c>
      <c r="CZ99">
        <f t="shared" si="249"/>
        <v>0</v>
      </c>
      <c r="DA99">
        <f t="shared" si="250"/>
        <v>0</v>
      </c>
      <c r="DB99">
        <f t="shared" si="251"/>
        <v>1</v>
      </c>
      <c r="DC99">
        <f t="shared" si="252"/>
        <v>1</v>
      </c>
      <c r="DF99" s="10" t="s">
        <v>37</v>
      </c>
      <c r="DG99" t="str">
        <f t="shared" si="308"/>
        <v>2022_4</v>
      </c>
      <c r="DH99" t="str">
        <f t="shared" si="308"/>
        <v>2022_4</v>
      </c>
      <c r="DI99" t="str">
        <f t="shared" si="308"/>
        <v>2022_4</v>
      </c>
      <c r="DJ99" t="str">
        <f t="shared" si="308"/>
        <v>2022_4</v>
      </c>
      <c r="DK99" t="str">
        <f t="shared" si="308"/>
        <v>2022_4</v>
      </c>
      <c r="DL99" t="str">
        <f t="shared" si="308"/>
        <v>2022_4</v>
      </c>
      <c r="DM99" t="str">
        <f t="shared" si="308"/>
        <v>2022_4</v>
      </c>
      <c r="DN99" t="str">
        <f t="shared" si="308"/>
        <v>2022_4</v>
      </c>
      <c r="DO99" t="str">
        <f t="shared" si="308"/>
        <v>2022_4</v>
      </c>
      <c r="DP99" t="str">
        <f t="shared" si="308"/>
        <v>2022_4</v>
      </c>
      <c r="DQ99" t="str">
        <f t="shared" si="308"/>
        <v>2022_4</v>
      </c>
      <c r="DR99" t="str">
        <f t="shared" si="308"/>
        <v>2022_4</v>
      </c>
      <c r="DS99" t="str">
        <f t="shared" si="308"/>
        <v>2022_4</v>
      </c>
      <c r="DT99" t="str">
        <f t="shared" si="308"/>
        <v>2022_4</v>
      </c>
      <c r="DU99" t="str">
        <f t="shared" si="308"/>
        <v>2022_4</v>
      </c>
      <c r="DV99" t="str">
        <f t="shared" si="308"/>
        <v>2022_4</v>
      </c>
      <c r="DW99" t="str">
        <f t="shared" si="307"/>
        <v>2022_4</v>
      </c>
      <c r="DX99" t="str">
        <f t="shared" si="307"/>
        <v>2022_4</v>
      </c>
      <c r="DY99" t="str">
        <f t="shared" si="307"/>
        <v>2022_4</v>
      </c>
      <c r="DZ99" t="str">
        <f t="shared" si="307"/>
        <v>2022_4</v>
      </c>
      <c r="EA99" t="str">
        <f t="shared" si="307"/>
        <v>2022_4</v>
      </c>
      <c r="EB99" t="str">
        <f t="shared" si="307"/>
        <v>2022_4</v>
      </c>
      <c r="EC99" t="str">
        <f t="shared" si="307"/>
        <v>2022_4</v>
      </c>
      <c r="ED99" t="str">
        <f t="shared" si="307"/>
        <v>2022_4</v>
      </c>
      <c r="EE99" t="str">
        <f t="shared" si="307"/>
        <v>2022_4</v>
      </c>
      <c r="EF99" t="str">
        <f t="shared" si="307"/>
        <v>2022_4</v>
      </c>
      <c r="EG99" t="str">
        <f t="shared" si="307"/>
        <v>2022_4</v>
      </c>
      <c r="EH99" t="str">
        <f t="shared" si="307"/>
        <v>2022_4</v>
      </c>
      <c r="EI99" t="str">
        <f t="shared" si="307"/>
        <v>2022_4</v>
      </c>
      <c r="EJ99" t="str">
        <f t="shared" si="307"/>
        <v>2022_4</v>
      </c>
      <c r="EK99" t="str">
        <f t="shared" si="306"/>
        <v>2022_4</v>
      </c>
      <c r="EL99" t="str">
        <f t="shared" si="306"/>
        <v>2022_4</v>
      </c>
      <c r="EM99" t="str">
        <f t="shared" si="306"/>
        <v>2022_4</v>
      </c>
      <c r="EN99" t="str">
        <f t="shared" si="306"/>
        <v>2022_4</v>
      </c>
      <c r="EO99" t="str">
        <f t="shared" si="306"/>
        <v>2022_4</v>
      </c>
      <c r="EP99" t="str">
        <f t="shared" si="306"/>
        <v>2022_4</v>
      </c>
      <c r="EQ99" t="str">
        <f t="shared" si="306"/>
        <v>2022_4</v>
      </c>
      <c r="ER99" t="str">
        <f t="shared" si="306"/>
        <v>2022_4</v>
      </c>
      <c r="ES99" t="str">
        <f t="shared" si="306"/>
        <v>2022_4</v>
      </c>
      <c r="ET99" t="str">
        <f t="shared" si="306"/>
        <v>2022_4</v>
      </c>
      <c r="EU99" t="str">
        <f t="shared" si="306"/>
        <v>2022_4</v>
      </c>
      <c r="EV99" t="str">
        <f t="shared" si="306"/>
        <v>2022_4</v>
      </c>
      <c r="EW99" t="str">
        <f t="shared" si="306"/>
        <v>2022_4</v>
      </c>
      <c r="EX99" t="str">
        <f t="shared" si="306"/>
        <v>2022_4</v>
      </c>
      <c r="EY99" t="str">
        <f t="shared" si="306"/>
        <v>2022_4</v>
      </c>
      <c r="FB99" s="10" t="s">
        <v>37</v>
      </c>
      <c r="FC99">
        <f t="shared" si="305"/>
        <v>0</v>
      </c>
      <c r="FD99">
        <f t="shared" si="255"/>
        <v>0</v>
      </c>
      <c r="FE99">
        <f t="shared" si="256"/>
        <v>0</v>
      </c>
      <c r="FF99">
        <f t="shared" si="257"/>
        <v>0</v>
      </c>
      <c r="FG99">
        <f t="shared" si="258"/>
        <v>0</v>
      </c>
      <c r="FH99">
        <f t="shared" si="259"/>
        <v>0</v>
      </c>
      <c r="FI99">
        <f t="shared" si="260"/>
        <v>0</v>
      </c>
      <c r="FJ99">
        <f t="shared" si="261"/>
        <v>0</v>
      </c>
      <c r="FK99">
        <f t="shared" si="262"/>
        <v>0</v>
      </c>
      <c r="FL99">
        <f t="shared" si="263"/>
        <v>0</v>
      </c>
      <c r="FM99">
        <f t="shared" si="264"/>
        <v>0</v>
      </c>
      <c r="FN99">
        <f t="shared" si="265"/>
        <v>0</v>
      </c>
      <c r="FO99">
        <f t="shared" si="266"/>
        <v>0</v>
      </c>
      <c r="FP99">
        <f t="shared" si="267"/>
        <v>0</v>
      </c>
      <c r="FQ99">
        <f t="shared" si="268"/>
        <v>0</v>
      </c>
      <c r="FR99">
        <f t="shared" si="269"/>
        <v>0</v>
      </c>
      <c r="FS99">
        <f t="shared" si="270"/>
        <v>0</v>
      </c>
      <c r="FT99">
        <f t="shared" si="271"/>
        <v>0</v>
      </c>
      <c r="FU99">
        <f t="shared" si="272"/>
        <v>0</v>
      </c>
      <c r="FV99">
        <f t="shared" si="273"/>
        <v>0</v>
      </c>
      <c r="FW99">
        <f t="shared" si="274"/>
        <v>0</v>
      </c>
      <c r="FX99">
        <f t="shared" si="275"/>
        <v>0</v>
      </c>
      <c r="FY99">
        <f t="shared" si="276"/>
        <v>0</v>
      </c>
      <c r="FZ99">
        <f t="shared" si="277"/>
        <v>0</v>
      </c>
      <c r="GA99">
        <f t="shared" si="278"/>
        <v>1</v>
      </c>
      <c r="GB99">
        <f t="shared" si="279"/>
        <v>1</v>
      </c>
      <c r="GC99">
        <f t="shared" si="280"/>
        <v>1</v>
      </c>
      <c r="GD99">
        <f t="shared" si="281"/>
        <v>1</v>
      </c>
      <c r="GE99">
        <f t="shared" si="282"/>
        <v>1</v>
      </c>
      <c r="GF99">
        <f t="shared" si="283"/>
        <v>1</v>
      </c>
      <c r="GG99">
        <f t="shared" si="284"/>
        <v>1</v>
      </c>
      <c r="GH99">
        <f t="shared" si="285"/>
        <v>1</v>
      </c>
      <c r="GI99">
        <f t="shared" si="286"/>
        <v>1</v>
      </c>
      <c r="GJ99">
        <f t="shared" si="287"/>
        <v>1</v>
      </c>
      <c r="GK99">
        <f t="shared" si="288"/>
        <v>1</v>
      </c>
      <c r="GL99">
        <f t="shared" si="289"/>
        <v>1</v>
      </c>
      <c r="GM99">
        <f t="shared" si="290"/>
        <v>1</v>
      </c>
      <c r="GN99">
        <f t="shared" si="291"/>
        <v>1</v>
      </c>
      <c r="GO99">
        <f t="shared" si="292"/>
        <v>1</v>
      </c>
      <c r="GP99">
        <f t="shared" si="293"/>
        <v>1</v>
      </c>
      <c r="GQ99">
        <f t="shared" si="294"/>
        <v>1</v>
      </c>
      <c r="GR99">
        <f t="shared" si="295"/>
        <v>1</v>
      </c>
      <c r="GS99">
        <f t="shared" si="296"/>
        <v>1</v>
      </c>
      <c r="GT99">
        <f t="shared" si="297"/>
        <v>1</v>
      </c>
      <c r="GU99">
        <f t="shared" si="298"/>
        <v>1</v>
      </c>
      <c r="GX99" s="10"/>
    </row>
    <row r="100" spans="1:206" x14ac:dyDescent="0.3">
      <c r="A100" s="9" t="s">
        <v>41</v>
      </c>
      <c r="B100" s="80"/>
      <c r="C100" s="9">
        <v>3130629000</v>
      </c>
      <c r="D100" s="9" t="s">
        <v>355</v>
      </c>
      <c r="E100" s="9" t="s">
        <v>39</v>
      </c>
      <c r="F100" s="9" t="s">
        <v>35</v>
      </c>
      <c r="G100" s="9" t="s">
        <v>133</v>
      </c>
      <c r="H100" s="10">
        <v>44665</v>
      </c>
      <c r="I100" s="9">
        <f t="shared" si="299"/>
        <v>2022</v>
      </c>
      <c r="J100" s="9">
        <f t="shared" si="300"/>
        <v>4</v>
      </c>
      <c r="K100" s="9" t="str">
        <f t="shared" si="301"/>
        <v>2022_4</v>
      </c>
      <c r="L100">
        <f>MAX(0,VLOOKUP($K100,lookups!$A$1:$B$45,2,0)-12)</f>
        <v>12</v>
      </c>
      <c r="M100" s="40">
        <f t="shared" si="302"/>
        <v>44652</v>
      </c>
      <c r="N100" s="10" t="s">
        <v>37</v>
      </c>
      <c r="O100" t="str">
        <f ca="1">IF(OR($L100&gt;O$4,O$4&gt;$L100+23),"",OFFSET(Electric!$L91,0,-'Electric Calendarize'!$L100+'Electric Calendarize'!O$4+1))</f>
        <v/>
      </c>
      <c r="P100" t="str">
        <f ca="1">IF(OR($L100&gt;P$4,P$4&gt;$L100+23),"",OFFSET(Electric!$L91,0,-'Electric Calendarize'!$L100+'Electric Calendarize'!P$4+1))</f>
        <v/>
      </c>
      <c r="Q100" t="str">
        <f ca="1">IF(OR($L100&gt;Q$4,Q$4&gt;$L100+23),"",OFFSET(Electric!$L91,0,-'Electric Calendarize'!$L100+'Electric Calendarize'!Q$4+1))</f>
        <v/>
      </c>
      <c r="R100" t="str">
        <f ca="1">IF(OR($L100&gt;R$4,R$4&gt;$L100+23),"",OFFSET(Electric!$L91,0,-'Electric Calendarize'!$L100+'Electric Calendarize'!R$4+1))</f>
        <v/>
      </c>
      <c r="S100" t="str">
        <f ca="1">IF(OR($L100&gt;S$4,S$4&gt;$L100+23),"",OFFSET(Electric!$L91,0,-'Electric Calendarize'!$L100+'Electric Calendarize'!S$4+1))</f>
        <v/>
      </c>
      <c r="T100" t="str">
        <f ca="1">IF(OR($L100&gt;T$4,T$4&gt;$L100+23),"",OFFSET(Electric!$L91,0,-'Electric Calendarize'!$L100+'Electric Calendarize'!T$4+1))</f>
        <v/>
      </c>
      <c r="U100" t="str">
        <f ca="1">IF(OR($L100&gt;U$4,U$4&gt;$L100+23),"",OFFSET(Electric!$L91,0,-'Electric Calendarize'!$L100+'Electric Calendarize'!U$4+1))</f>
        <v/>
      </c>
      <c r="V100" t="str">
        <f ca="1">IF(OR($L100&gt;V$4,V$4&gt;$L100+23),"",OFFSET(Electric!$L91,0,-'Electric Calendarize'!$L100+'Electric Calendarize'!V$4+1))</f>
        <v/>
      </c>
      <c r="W100" t="str">
        <f ca="1">IF(OR($L100&gt;W$4,W$4&gt;$L100+23),"",OFFSET(Electric!$L91,0,-'Electric Calendarize'!$L100+'Electric Calendarize'!W$4+1))</f>
        <v/>
      </c>
      <c r="X100" t="str">
        <f ca="1">IF(OR($L100&gt;X$4,X$4&gt;$L100+23),"",OFFSET(Electric!$L91,0,-'Electric Calendarize'!$L100+'Electric Calendarize'!X$4+1))</f>
        <v/>
      </c>
      <c r="Y100" t="str">
        <f ca="1">IF(OR($L100&gt;Y$4,Y$4&gt;$L100+23),"",OFFSET(Electric!$L91,0,-'Electric Calendarize'!$L100+'Electric Calendarize'!Y$4+1))</f>
        <v/>
      </c>
      <c r="Z100" t="str">
        <f ca="1">IF(OR($L100&gt;Z$4,Z$4&gt;$L100+23),"",OFFSET(Electric!$L91,0,-'Electric Calendarize'!$L100+'Electric Calendarize'!Z$4+1))</f>
        <v/>
      </c>
      <c r="AA100">
        <f ca="1">IF(OR($L100&gt;AA$4,AA$4&gt;$L100+23),"",OFFSET(Electric!$L91,0,-'Electric Calendarize'!$L100+'Electric Calendarize'!AA$4+1))</f>
        <v>328</v>
      </c>
      <c r="AB100">
        <f ca="1">IF(OR($L100&gt;AB$4,AB$4&gt;$L100+23),"",OFFSET(Electric!$L91,0,-'Electric Calendarize'!$L100+'Electric Calendarize'!AB$4+1))</f>
        <v>267</v>
      </c>
      <c r="AC100">
        <f ca="1">IF(OR($L100&gt;AC$4,AC$4&gt;$L100+23),"",OFFSET(Electric!$L91,0,-'Electric Calendarize'!$L100+'Electric Calendarize'!AC$4+1))</f>
        <v>231</v>
      </c>
      <c r="AD100">
        <f ca="1">IF(OR($L100&gt;AD$4,AD$4&gt;$L100+23),"",OFFSET(Electric!$L91,0,-'Electric Calendarize'!$L100+'Electric Calendarize'!AD$4+1))</f>
        <v>212</v>
      </c>
      <c r="AE100">
        <f ca="1">IF(OR($L100&gt;AE$4,AE$4&gt;$L100+23),"",OFFSET(Electric!$L91,0,-'Electric Calendarize'!$L100+'Electric Calendarize'!AE$4+1))</f>
        <v>184</v>
      </c>
      <c r="AF100">
        <f ca="1">IF(OR($L100&gt;AF$4,AF$4&gt;$L100+23),"",OFFSET(Electric!$L91,0,-'Electric Calendarize'!$L100+'Electric Calendarize'!AF$4+1))</f>
        <v>134</v>
      </c>
      <c r="AG100">
        <f ca="1">IF(OR($L100&gt;AG$4,AG$4&gt;$L100+23),"",OFFSET(Electric!$L91,0,-'Electric Calendarize'!$L100+'Electric Calendarize'!AG$4+1))</f>
        <v>101</v>
      </c>
      <c r="AH100">
        <f ca="1">IF(OR($L100&gt;AH$4,AH$4&gt;$L100+23),"",OFFSET(Electric!$L91,0,-'Electric Calendarize'!$L100+'Electric Calendarize'!AH$4+1))</f>
        <v>249</v>
      </c>
      <c r="AI100">
        <f ca="1">IF(OR($L100&gt;AI$4,AI$4&gt;$L100+23),"",OFFSET(Electric!$L91,0,-'Electric Calendarize'!$L100+'Electric Calendarize'!AI$4+1))</f>
        <v>735</v>
      </c>
      <c r="AJ100">
        <f ca="1">IF(OR($L100&gt;AJ$4,AJ$4&gt;$L100+23),"",OFFSET(Electric!$L91,0,-'Electric Calendarize'!$L100+'Electric Calendarize'!AJ$4+1))</f>
        <v>787</v>
      </c>
      <c r="AK100">
        <f ca="1">IF(OR($L100&gt;AK$4,AK$4&gt;$L100+23),"",OFFSET(Electric!$L91,0,-'Electric Calendarize'!$L100+'Electric Calendarize'!AK$4+1))</f>
        <v>580</v>
      </c>
      <c r="AL100">
        <f ca="1">IF(OR($L100&gt;AL$4,AL$4&gt;$L100+23),"",OFFSET(Electric!$L91,0,-'Electric Calendarize'!$L100+'Electric Calendarize'!AL$4+1))</f>
        <v>454</v>
      </c>
      <c r="AM100">
        <f ca="1">IF(OR($L100&gt;AM$4,AM$4&gt;$L100+23),"",OFFSET(Electric!$L91,0,-'Electric Calendarize'!$L100+'Electric Calendarize'!AM$4+1))</f>
        <v>318</v>
      </c>
      <c r="AN100">
        <f ca="1">IF(OR($L100&gt;AN$4,AN$4&gt;$L100+23),"",OFFSET(Electric!$L91,0,-'Electric Calendarize'!$L100+'Electric Calendarize'!AN$4+1))</f>
        <v>303</v>
      </c>
      <c r="AO100">
        <f ca="1">IF(OR($L100&gt;AO$4,AO$4&gt;$L100+23),"",OFFSET(Electric!$L91,0,-'Electric Calendarize'!$L100+'Electric Calendarize'!AO$4+1))</f>
        <v>200</v>
      </c>
      <c r="AP100">
        <f ca="1">IF(OR($L100&gt;AP$4,AP$4&gt;$L100+23),"",OFFSET(Electric!$L91,0,-'Electric Calendarize'!$L100+'Electric Calendarize'!AP$4+1))</f>
        <v>303</v>
      </c>
      <c r="AQ100">
        <f ca="1">IF(OR($L100&gt;AQ$4,AQ$4&gt;$L100+23),"",OFFSET(Electric!$L91,0,-'Electric Calendarize'!$L100+'Electric Calendarize'!AQ$4+1))</f>
        <v>199</v>
      </c>
      <c r="AR100">
        <f ca="1">IF(OR($L100&gt;AR$4,AR$4&gt;$L100+23),"",OFFSET(Electric!$L91,0,-'Electric Calendarize'!$L100+'Electric Calendarize'!AR$4+1))</f>
        <v>148</v>
      </c>
      <c r="AS100">
        <f ca="1">IF(OR($L100&gt;AS$4,AS$4&gt;$L100+23),"",OFFSET(Electric!$L91,0,-'Electric Calendarize'!$L100+'Electric Calendarize'!AS$4+1))</f>
        <v>153</v>
      </c>
      <c r="AT100">
        <f ca="1">IF(OR($L100&gt;AT$4,AT$4&gt;$L100+23),"",OFFSET(Electric!$L91,0,-'Electric Calendarize'!$L100+'Electric Calendarize'!AT$4+1))</f>
        <v>192</v>
      </c>
      <c r="AU100">
        <f ca="1">IF(OR($L100&gt;AU$4,AU$4&gt;$L100+23),"",OFFSET(Electric!$L91,0,-'Electric Calendarize'!$L100+'Electric Calendarize'!AU$4+1))</f>
        <v>340</v>
      </c>
      <c r="AV100">
        <f ca="1">IF(OR($L100&gt;AV$4,AV$4&gt;$L100+23),"",OFFSET(Electric!$L91,0,-'Electric Calendarize'!$L100+'Electric Calendarize'!AV$4+1))</f>
        <v>429</v>
      </c>
      <c r="AW100">
        <f ca="1">IF(OR($L100&gt;AW$4,AW$4&gt;$L100+23),"",OFFSET(Electric!$L91,0,-'Electric Calendarize'!$L100+'Electric Calendarize'!AW$4+1))</f>
        <v>576</v>
      </c>
      <c r="AX100">
        <f ca="1">IF(OR($L100&gt;AX$4,AX$4&gt;$L100+23),"",OFFSET(Electric!$L91,0,-'Electric Calendarize'!$L100+'Electric Calendarize'!AX$4+1))</f>
        <v>441</v>
      </c>
      <c r="AY100" t="str">
        <f ca="1">IF(OR($L100&gt;AY$4,AY$4&gt;$L100+23),"",OFFSET(Electric!$L91,0,-'Electric Calendarize'!$L100+'Electric Calendarize'!AY$4+1))</f>
        <v/>
      </c>
      <c r="AZ100" t="str">
        <f ca="1">IF(OR($L100&gt;AZ$4,AZ$4&gt;$L100+23),"",OFFSET(Electric!$L91,0,-'Electric Calendarize'!$L100+'Electric Calendarize'!AZ$4+1))</f>
        <v/>
      </c>
      <c r="BA100" t="str">
        <f ca="1">IF(OR($L100&gt;BA$4,BA$4&gt;$L100+23),"",OFFSET(Electric!$L91,0,-'Electric Calendarize'!$L100+'Electric Calendarize'!BA$4+1))</f>
        <v/>
      </c>
      <c r="BB100" t="str">
        <f ca="1">IF(OR($L100&gt;BB$4,BB$4&gt;$L100+23),"",OFFSET(Electric!$L91,0,-'Electric Calendarize'!$L100+'Electric Calendarize'!BB$4+1))</f>
        <v/>
      </c>
      <c r="BC100" t="str">
        <f ca="1">IF(OR($L100&gt;BC$4,BC$4&gt;$L100+23),"",OFFSET(Electric!$L91,0,-'Electric Calendarize'!$L100+'Electric Calendarize'!BC$4+1))</f>
        <v/>
      </c>
      <c r="BD100" t="str">
        <f ca="1">IF(OR($L100&gt;BD$4,BD$4&gt;$L100+23),"",OFFSET(Electric!$L91,0,-'Electric Calendarize'!$L100+'Electric Calendarize'!BD$4+1))</f>
        <v/>
      </c>
      <c r="BE100" t="str">
        <f ca="1">IF(OR($L100&gt;BE$4,BE$4&gt;$L100+23),"",OFFSET(Electric!$L91,0,-'Electric Calendarize'!$L100+'Electric Calendarize'!BE$4+1))</f>
        <v/>
      </c>
      <c r="BF100" t="str">
        <f ca="1">IF(OR($L100&gt;BF$4,BF$4&gt;$L100+23),"",OFFSET(Electric!$L91,0,-'Electric Calendarize'!$L100+'Electric Calendarize'!BF$4+1))</f>
        <v/>
      </c>
      <c r="BG100" t="str">
        <f ca="1">IF(OR($L100&gt;BG$4,BG$4&gt;$L100+23),"",OFFSET(Electric!$L91,0,-'Electric Calendarize'!$L100+'Electric Calendarize'!BG$4+1))</f>
        <v/>
      </c>
      <c r="BJ100" s="10" t="s">
        <v>37</v>
      </c>
      <c r="BK100">
        <f t="shared" si="303"/>
        <v>1</v>
      </c>
      <c r="BL100">
        <f t="shared" si="209"/>
        <v>0</v>
      </c>
      <c r="BM100">
        <f t="shared" si="210"/>
        <v>0</v>
      </c>
      <c r="BN100">
        <f t="shared" si="211"/>
        <v>0</v>
      </c>
      <c r="BO100">
        <f t="shared" si="212"/>
        <v>0</v>
      </c>
      <c r="BP100">
        <f t="shared" si="213"/>
        <v>0</v>
      </c>
      <c r="BQ100">
        <f t="shared" si="214"/>
        <v>0</v>
      </c>
      <c r="BR100">
        <f t="shared" si="215"/>
        <v>1</v>
      </c>
      <c r="BS100">
        <f t="shared" si="216"/>
        <v>1</v>
      </c>
      <c r="BT100">
        <f t="shared" si="217"/>
        <v>1</v>
      </c>
      <c r="BU100">
        <f t="shared" si="218"/>
        <v>1</v>
      </c>
      <c r="BV100">
        <f t="shared" si="219"/>
        <v>1</v>
      </c>
      <c r="BW100">
        <f t="shared" si="220"/>
        <v>1</v>
      </c>
      <c r="BX100">
        <f t="shared" si="221"/>
        <v>0</v>
      </c>
      <c r="BY100">
        <f t="shared" si="222"/>
        <v>0</v>
      </c>
      <c r="BZ100">
        <f t="shared" si="223"/>
        <v>0</v>
      </c>
      <c r="CA100">
        <f t="shared" si="224"/>
        <v>0</v>
      </c>
      <c r="CB100">
        <f t="shared" si="225"/>
        <v>0</v>
      </c>
      <c r="CC100">
        <f t="shared" si="226"/>
        <v>0</v>
      </c>
      <c r="CD100">
        <f t="shared" si="227"/>
        <v>1</v>
      </c>
      <c r="CE100">
        <f t="shared" si="228"/>
        <v>1</v>
      </c>
      <c r="CF100">
        <f t="shared" si="229"/>
        <v>1</v>
      </c>
      <c r="CG100">
        <f t="shared" si="230"/>
        <v>1</v>
      </c>
      <c r="CH100">
        <f t="shared" si="231"/>
        <v>1</v>
      </c>
      <c r="CI100">
        <f t="shared" si="232"/>
        <v>1</v>
      </c>
      <c r="CJ100">
        <f t="shared" si="233"/>
        <v>0</v>
      </c>
      <c r="CK100">
        <f t="shared" si="234"/>
        <v>0</v>
      </c>
      <c r="CL100">
        <f t="shared" si="235"/>
        <v>0</v>
      </c>
      <c r="CM100">
        <f t="shared" si="236"/>
        <v>0</v>
      </c>
      <c r="CN100">
        <f t="shared" si="237"/>
        <v>0</v>
      </c>
      <c r="CO100">
        <f t="shared" si="238"/>
        <v>0</v>
      </c>
      <c r="CP100">
        <f t="shared" si="239"/>
        <v>1</v>
      </c>
      <c r="CQ100">
        <f t="shared" si="240"/>
        <v>1</v>
      </c>
      <c r="CR100">
        <f t="shared" si="241"/>
        <v>1</v>
      </c>
      <c r="CS100">
        <f t="shared" si="242"/>
        <v>1</v>
      </c>
      <c r="CT100">
        <f t="shared" si="243"/>
        <v>1</v>
      </c>
      <c r="CU100">
        <f t="shared" si="244"/>
        <v>1</v>
      </c>
      <c r="CV100">
        <f t="shared" si="245"/>
        <v>0</v>
      </c>
      <c r="CW100">
        <f t="shared" si="246"/>
        <v>0</v>
      </c>
      <c r="CX100">
        <f t="shared" si="247"/>
        <v>0</v>
      </c>
      <c r="CY100">
        <f t="shared" si="248"/>
        <v>0</v>
      </c>
      <c r="CZ100">
        <f t="shared" si="249"/>
        <v>0</v>
      </c>
      <c r="DA100">
        <f t="shared" si="250"/>
        <v>0</v>
      </c>
      <c r="DB100">
        <f t="shared" si="251"/>
        <v>1</v>
      </c>
      <c r="DC100">
        <f t="shared" si="252"/>
        <v>1</v>
      </c>
      <c r="DF100" s="10" t="s">
        <v>37</v>
      </c>
      <c r="DG100" t="str">
        <f t="shared" si="308"/>
        <v>2022_4</v>
      </c>
      <c r="DH100" t="str">
        <f t="shared" si="308"/>
        <v>2022_4</v>
      </c>
      <c r="DI100" t="str">
        <f t="shared" si="308"/>
        <v>2022_4</v>
      </c>
      <c r="DJ100" t="str">
        <f t="shared" si="308"/>
        <v>2022_4</v>
      </c>
      <c r="DK100" t="str">
        <f t="shared" si="308"/>
        <v>2022_4</v>
      </c>
      <c r="DL100" t="str">
        <f t="shared" si="308"/>
        <v>2022_4</v>
      </c>
      <c r="DM100" t="str">
        <f t="shared" si="308"/>
        <v>2022_4</v>
      </c>
      <c r="DN100" t="str">
        <f t="shared" si="308"/>
        <v>2022_4</v>
      </c>
      <c r="DO100" t="str">
        <f t="shared" si="308"/>
        <v>2022_4</v>
      </c>
      <c r="DP100" t="str">
        <f t="shared" si="308"/>
        <v>2022_4</v>
      </c>
      <c r="DQ100" t="str">
        <f t="shared" si="308"/>
        <v>2022_4</v>
      </c>
      <c r="DR100" t="str">
        <f t="shared" si="308"/>
        <v>2022_4</v>
      </c>
      <c r="DS100" t="str">
        <f t="shared" si="308"/>
        <v>2022_4</v>
      </c>
      <c r="DT100" t="str">
        <f t="shared" si="308"/>
        <v>2022_4</v>
      </c>
      <c r="DU100" t="str">
        <f t="shared" si="308"/>
        <v>2022_4</v>
      </c>
      <c r="DV100" t="str">
        <f t="shared" si="308"/>
        <v>2022_4</v>
      </c>
      <c r="DW100" t="str">
        <f t="shared" si="307"/>
        <v>2022_4</v>
      </c>
      <c r="DX100" t="str">
        <f t="shared" si="307"/>
        <v>2022_4</v>
      </c>
      <c r="DY100" t="str">
        <f t="shared" si="307"/>
        <v>2022_4</v>
      </c>
      <c r="DZ100" t="str">
        <f t="shared" si="307"/>
        <v>2022_4</v>
      </c>
      <c r="EA100" t="str">
        <f t="shared" si="307"/>
        <v>2022_4</v>
      </c>
      <c r="EB100" t="str">
        <f t="shared" si="307"/>
        <v>2022_4</v>
      </c>
      <c r="EC100" t="str">
        <f t="shared" si="307"/>
        <v>2022_4</v>
      </c>
      <c r="ED100" t="str">
        <f t="shared" si="307"/>
        <v>2022_4</v>
      </c>
      <c r="EE100" t="str">
        <f t="shared" si="307"/>
        <v>2022_4</v>
      </c>
      <c r="EF100" t="str">
        <f t="shared" si="307"/>
        <v>2022_4</v>
      </c>
      <c r="EG100" t="str">
        <f t="shared" si="307"/>
        <v>2022_4</v>
      </c>
      <c r="EH100" t="str">
        <f t="shared" si="307"/>
        <v>2022_4</v>
      </c>
      <c r="EI100" t="str">
        <f t="shared" si="307"/>
        <v>2022_4</v>
      </c>
      <c r="EJ100" t="str">
        <f t="shared" si="307"/>
        <v>2022_4</v>
      </c>
      <c r="EK100" t="str">
        <f t="shared" si="306"/>
        <v>2022_4</v>
      </c>
      <c r="EL100" t="str">
        <f t="shared" si="306"/>
        <v>2022_4</v>
      </c>
      <c r="EM100" t="str">
        <f t="shared" si="306"/>
        <v>2022_4</v>
      </c>
      <c r="EN100" t="str">
        <f t="shared" si="306"/>
        <v>2022_4</v>
      </c>
      <c r="EO100" t="str">
        <f t="shared" si="306"/>
        <v>2022_4</v>
      </c>
      <c r="EP100" t="str">
        <f t="shared" si="306"/>
        <v>2022_4</v>
      </c>
      <c r="EQ100" t="str">
        <f t="shared" si="306"/>
        <v>2022_4</v>
      </c>
      <c r="ER100" t="str">
        <f t="shared" si="306"/>
        <v>2022_4</v>
      </c>
      <c r="ES100" t="str">
        <f t="shared" si="306"/>
        <v>2022_4</v>
      </c>
      <c r="ET100" t="str">
        <f t="shared" si="306"/>
        <v>2022_4</v>
      </c>
      <c r="EU100" t="str">
        <f t="shared" si="306"/>
        <v>2022_4</v>
      </c>
      <c r="EV100" t="str">
        <f t="shared" si="306"/>
        <v>2022_4</v>
      </c>
      <c r="EW100" t="str">
        <f t="shared" si="306"/>
        <v>2022_4</v>
      </c>
      <c r="EX100" t="str">
        <f t="shared" si="306"/>
        <v>2022_4</v>
      </c>
      <c r="EY100" t="str">
        <f t="shared" si="306"/>
        <v>2022_4</v>
      </c>
      <c r="FB100" s="10" t="s">
        <v>37</v>
      </c>
      <c r="FC100">
        <f t="shared" si="305"/>
        <v>0</v>
      </c>
      <c r="FD100">
        <f t="shared" si="255"/>
        <v>0</v>
      </c>
      <c r="FE100">
        <f t="shared" si="256"/>
        <v>0</v>
      </c>
      <c r="FF100">
        <f t="shared" si="257"/>
        <v>0</v>
      </c>
      <c r="FG100">
        <f t="shared" si="258"/>
        <v>0</v>
      </c>
      <c r="FH100">
        <f t="shared" si="259"/>
        <v>0</v>
      </c>
      <c r="FI100">
        <f t="shared" si="260"/>
        <v>0</v>
      </c>
      <c r="FJ100">
        <f t="shared" si="261"/>
        <v>0</v>
      </c>
      <c r="FK100">
        <f t="shared" si="262"/>
        <v>0</v>
      </c>
      <c r="FL100">
        <f t="shared" si="263"/>
        <v>0</v>
      </c>
      <c r="FM100">
        <f t="shared" si="264"/>
        <v>0</v>
      </c>
      <c r="FN100">
        <f t="shared" si="265"/>
        <v>0</v>
      </c>
      <c r="FO100">
        <f t="shared" si="266"/>
        <v>0</v>
      </c>
      <c r="FP100">
        <f t="shared" si="267"/>
        <v>0</v>
      </c>
      <c r="FQ100">
        <f t="shared" si="268"/>
        <v>0</v>
      </c>
      <c r="FR100">
        <f t="shared" si="269"/>
        <v>0</v>
      </c>
      <c r="FS100">
        <f t="shared" si="270"/>
        <v>0</v>
      </c>
      <c r="FT100">
        <f t="shared" si="271"/>
        <v>0</v>
      </c>
      <c r="FU100">
        <f t="shared" si="272"/>
        <v>0</v>
      </c>
      <c r="FV100">
        <f t="shared" si="273"/>
        <v>0</v>
      </c>
      <c r="FW100">
        <f t="shared" si="274"/>
        <v>0</v>
      </c>
      <c r="FX100">
        <f t="shared" si="275"/>
        <v>0</v>
      </c>
      <c r="FY100">
        <f t="shared" si="276"/>
        <v>0</v>
      </c>
      <c r="FZ100">
        <f t="shared" si="277"/>
        <v>0</v>
      </c>
      <c r="GA100">
        <f t="shared" si="278"/>
        <v>1</v>
      </c>
      <c r="GB100">
        <f t="shared" si="279"/>
        <v>1</v>
      </c>
      <c r="GC100">
        <f t="shared" si="280"/>
        <v>1</v>
      </c>
      <c r="GD100">
        <f t="shared" si="281"/>
        <v>1</v>
      </c>
      <c r="GE100">
        <f t="shared" si="282"/>
        <v>1</v>
      </c>
      <c r="GF100">
        <f t="shared" si="283"/>
        <v>1</v>
      </c>
      <c r="GG100">
        <f t="shared" si="284"/>
        <v>1</v>
      </c>
      <c r="GH100">
        <f t="shared" si="285"/>
        <v>1</v>
      </c>
      <c r="GI100">
        <f t="shared" si="286"/>
        <v>1</v>
      </c>
      <c r="GJ100">
        <f t="shared" si="287"/>
        <v>1</v>
      </c>
      <c r="GK100">
        <f t="shared" si="288"/>
        <v>1</v>
      </c>
      <c r="GL100">
        <f t="shared" si="289"/>
        <v>1</v>
      </c>
      <c r="GM100">
        <f t="shared" si="290"/>
        <v>1</v>
      </c>
      <c r="GN100">
        <f t="shared" si="291"/>
        <v>1</v>
      </c>
      <c r="GO100">
        <f t="shared" si="292"/>
        <v>1</v>
      </c>
      <c r="GP100">
        <f t="shared" si="293"/>
        <v>1</v>
      </c>
      <c r="GQ100">
        <f t="shared" si="294"/>
        <v>1</v>
      </c>
      <c r="GR100">
        <f t="shared" si="295"/>
        <v>1</v>
      </c>
      <c r="GS100">
        <f t="shared" si="296"/>
        <v>1</v>
      </c>
      <c r="GT100">
        <f t="shared" si="297"/>
        <v>1</v>
      </c>
      <c r="GU100">
        <f t="shared" si="298"/>
        <v>1</v>
      </c>
      <c r="GX100" s="10"/>
    </row>
    <row r="101" spans="1:206" x14ac:dyDescent="0.3">
      <c r="A101" s="9" t="s">
        <v>46</v>
      </c>
      <c r="B101" s="80"/>
      <c r="C101" s="9">
        <v>3120169000</v>
      </c>
      <c r="D101" s="9" t="s">
        <v>427</v>
      </c>
      <c r="E101" s="9" t="s">
        <v>39</v>
      </c>
      <c r="F101" s="9" t="s">
        <v>35</v>
      </c>
      <c r="G101" s="9" t="s">
        <v>134</v>
      </c>
      <c r="H101" s="10">
        <v>44672</v>
      </c>
      <c r="I101" s="9">
        <f t="shared" si="299"/>
        <v>2022</v>
      </c>
      <c r="J101" s="9">
        <f t="shared" si="300"/>
        <v>4</v>
      </c>
      <c r="K101" s="9" t="str">
        <f t="shared" si="301"/>
        <v>2022_4</v>
      </c>
      <c r="L101">
        <f>MAX(0,VLOOKUP($K101,lookups!$A$1:$B$45,2,0)-12)</f>
        <v>12</v>
      </c>
      <c r="M101" s="40">
        <f t="shared" si="302"/>
        <v>44652</v>
      </c>
      <c r="N101" s="10" t="s">
        <v>37</v>
      </c>
      <c r="O101" t="str">
        <f ca="1">IF(OR($L101&gt;O$4,O$4&gt;$L101+23),"",OFFSET(Electric!$L92,0,-'Electric Calendarize'!$L101+'Electric Calendarize'!O$4+1))</f>
        <v/>
      </c>
      <c r="P101" t="str">
        <f ca="1">IF(OR($L101&gt;P$4,P$4&gt;$L101+23),"",OFFSET(Electric!$L92,0,-'Electric Calendarize'!$L101+'Electric Calendarize'!P$4+1))</f>
        <v/>
      </c>
      <c r="Q101" t="str">
        <f ca="1">IF(OR($L101&gt;Q$4,Q$4&gt;$L101+23),"",OFFSET(Electric!$L92,0,-'Electric Calendarize'!$L101+'Electric Calendarize'!Q$4+1))</f>
        <v/>
      </c>
      <c r="R101" t="str">
        <f ca="1">IF(OR($L101&gt;R$4,R$4&gt;$L101+23),"",OFFSET(Electric!$L92,0,-'Electric Calendarize'!$L101+'Electric Calendarize'!R$4+1))</f>
        <v/>
      </c>
      <c r="S101" t="str">
        <f ca="1">IF(OR($L101&gt;S$4,S$4&gt;$L101+23),"",OFFSET(Electric!$L92,0,-'Electric Calendarize'!$L101+'Electric Calendarize'!S$4+1))</f>
        <v/>
      </c>
      <c r="T101" t="str">
        <f ca="1">IF(OR($L101&gt;T$4,T$4&gt;$L101+23),"",OFFSET(Electric!$L92,0,-'Electric Calendarize'!$L101+'Electric Calendarize'!T$4+1))</f>
        <v/>
      </c>
      <c r="U101" t="str">
        <f ca="1">IF(OR($L101&gt;U$4,U$4&gt;$L101+23),"",OFFSET(Electric!$L92,0,-'Electric Calendarize'!$L101+'Electric Calendarize'!U$4+1))</f>
        <v/>
      </c>
      <c r="V101" t="str">
        <f ca="1">IF(OR($L101&gt;V$4,V$4&gt;$L101+23),"",OFFSET(Electric!$L92,0,-'Electric Calendarize'!$L101+'Electric Calendarize'!V$4+1))</f>
        <v/>
      </c>
      <c r="W101" t="str">
        <f ca="1">IF(OR($L101&gt;W$4,W$4&gt;$L101+23),"",OFFSET(Electric!$L92,0,-'Electric Calendarize'!$L101+'Electric Calendarize'!W$4+1))</f>
        <v/>
      </c>
      <c r="X101" t="str">
        <f ca="1">IF(OR($L101&gt;X$4,X$4&gt;$L101+23),"",OFFSET(Electric!$L92,0,-'Electric Calendarize'!$L101+'Electric Calendarize'!X$4+1))</f>
        <v/>
      </c>
      <c r="Y101" t="str">
        <f ca="1">IF(OR($L101&gt;Y$4,Y$4&gt;$L101+23),"",OFFSET(Electric!$L92,0,-'Electric Calendarize'!$L101+'Electric Calendarize'!Y$4+1))</f>
        <v/>
      </c>
      <c r="Z101" t="str">
        <f ca="1">IF(OR($L101&gt;Z$4,Z$4&gt;$L101+23),"",OFFSET(Electric!$L92,0,-'Electric Calendarize'!$L101+'Electric Calendarize'!Z$4+1))</f>
        <v/>
      </c>
      <c r="AA101">
        <f ca="1">IF(OR($L101&gt;AA$4,AA$4&gt;$L101+23),"",OFFSET(Electric!$L92,0,-'Electric Calendarize'!$L101+'Electric Calendarize'!AA$4+1))</f>
        <v>427</v>
      </c>
      <c r="AB101">
        <f ca="1">IF(OR($L101&gt;AB$4,AB$4&gt;$L101+23),"",OFFSET(Electric!$L92,0,-'Electric Calendarize'!$L101+'Electric Calendarize'!AB$4+1))</f>
        <v>407</v>
      </c>
      <c r="AC101">
        <f ca="1">IF(OR($L101&gt;AC$4,AC$4&gt;$L101+23),"",OFFSET(Electric!$L92,0,-'Electric Calendarize'!$L101+'Electric Calendarize'!AC$4+1))</f>
        <v>804</v>
      </c>
      <c r="AD101">
        <f ca="1">IF(OR($L101&gt;AD$4,AD$4&gt;$L101+23),"",OFFSET(Electric!$L92,0,-'Electric Calendarize'!$L101+'Electric Calendarize'!AD$4+1))</f>
        <v>776</v>
      </c>
      <c r="AE101">
        <f ca="1">IF(OR($L101&gt;AE$4,AE$4&gt;$L101+23),"",OFFSET(Electric!$L92,0,-'Electric Calendarize'!$L101+'Electric Calendarize'!AE$4+1))</f>
        <v>716</v>
      </c>
      <c r="AF101">
        <f ca="1">IF(OR($L101&gt;AF$4,AF$4&gt;$L101+23),"",OFFSET(Electric!$L92,0,-'Electric Calendarize'!$L101+'Electric Calendarize'!AF$4+1))</f>
        <v>721</v>
      </c>
      <c r="AG101">
        <f ca="1">IF(OR($L101&gt;AG$4,AG$4&gt;$L101+23),"",OFFSET(Electric!$L92,0,-'Electric Calendarize'!$L101+'Electric Calendarize'!AG$4+1))</f>
        <v>633</v>
      </c>
      <c r="AH101">
        <f ca="1">IF(OR($L101&gt;AH$4,AH$4&gt;$L101+23),"",OFFSET(Electric!$L92,0,-'Electric Calendarize'!$L101+'Electric Calendarize'!AH$4+1))</f>
        <v>614</v>
      </c>
      <c r="AI101">
        <f ca="1">IF(OR($L101&gt;AI$4,AI$4&gt;$L101+23),"",OFFSET(Electric!$L92,0,-'Electric Calendarize'!$L101+'Electric Calendarize'!AI$4+1))</f>
        <v>713</v>
      </c>
      <c r="AJ101">
        <f ca="1">IF(OR($L101&gt;AJ$4,AJ$4&gt;$L101+23),"",OFFSET(Electric!$L92,0,-'Electric Calendarize'!$L101+'Electric Calendarize'!AJ$4+1))</f>
        <v>646</v>
      </c>
      <c r="AK101">
        <f ca="1">IF(OR($L101&gt;AK$4,AK$4&gt;$L101+23),"",OFFSET(Electric!$L92,0,-'Electric Calendarize'!$L101+'Electric Calendarize'!AK$4+1))</f>
        <v>531</v>
      </c>
      <c r="AL101">
        <f ca="1">IF(OR($L101&gt;AL$4,AL$4&gt;$L101+23),"",OFFSET(Electric!$L92,0,-'Electric Calendarize'!$L101+'Electric Calendarize'!AL$4+1))</f>
        <v>486</v>
      </c>
      <c r="AM101">
        <f ca="1">IF(OR($L101&gt;AM$4,AM$4&gt;$L101+23),"",OFFSET(Electric!$L92,0,-'Electric Calendarize'!$L101+'Electric Calendarize'!AM$4+1))</f>
        <v>481</v>
      </c>
      <c r="AN101">
        <f ca="1">IF(OR($L101&gt;AN$4,AN$4&gt;$L101+23),"",OFFSET(Electric!$L92,0,-'Electric Calendarize'!$L101+'Electric Calendarize'!AN$4+1))</f>
        <v>596</v>
      </c>
      <c r="AO101">
        <f ca="1">IF(OR($L101&gt;AO$4,AO$4&gt;$L101+23),"",OFFSET(Electric!$L92,0,-'Electric Calendarize'!$L101+'Electric Calendarize'!AO$4+1))</f>
        <v>557</v>
      </c>
      <c r="AP101">
        <f ca="1">IF(OR($L101&gt;AP$4,AP$4&gt;$L101+23),"",OFFSET(Electric!$L92,0,-'Electric Calendarize'!$L101+'Electric Calendarize'!AP$4+1))</f>
        <v>895</v>
      </c>
      <c r="AQ101">
        <f ca="1">IF(OR($L101&gt;AQ$4,AQ$4&gt;$L101+23),"",OFFSET(Electric!$L92,0,-'Electric Calendarize'!$L101+'Electric Calendarize'!AQ$4+1))</f>
        <v>804</v>
      </c>
      <c r="AR101">
        <f ca="1">IF(OR($L101&gt;AR$4,AR$4&gt;$L101+23),"",OFFSET(Electric!$L92,0,-'Electric Calendarize'!$L101+'Electric Calendarize'!AR$4+1))</f>
        <v>811</v>
      </c>
      <c r="AS101">
        <f ca="1">IF(OR($L101&gt;AS$4,AS$4&gt;$L101+23),"",OFFSET(Electric!$L92,0,-'Electric Calendarize'!$L101+'Electric Calendarize'!AS$4+1))</f>
        <v>675</v>
      </c>
      <c r="AT101">
        <f ca="1">IF(OR($L101&gt;AT$4,AT$4&gt;$L101+23),"",OFFSET(Electric!$L92,0,-'Electric Calendarize'!$L101+'Electric Calendarize'!AT$4+1))</f>
        <v>850</v>
      </c>
      <c r="AU101">
        <f ca="1">IF(OR($L101&gt;AU$4,AU$4&gt;$L101+23),"",OFFSET(Electric!$L92,0,-'Electric Calendarize'!$L101+'Electric Calendarize'!AU$4+1))</f>
        <v>1006</v>
      </c>
      <c r="AV101">
        <f ca="1">IF(OR($L101&gt;AV$4,AV$4&gt;$L101+23),"",OFFSET(Electric!$L92,0,-'Electric Calendarize'!$L101+'Electric Calendarize'!AV$4+1))</f>
        <v>1237</v>
      </c>
      <c r="AW101">
        <f ca="1">IF(OR($L101&gt;AW$4,AW$4&gt;$L101+23),"",OFFSET(Electric!$L92,0,-'Electric Calendarize'!$L101+'Electric Calendarize'!AW$4+1))</f>
        <v>1669</v>
      </c>
      <c r="AX101">
        <f ca="1">IF(OR($L101&gt;AX$4,AX$4&gt;$L101+23),"",OFFSET(Electric!$L92,0,-'Electric Calendarize'!$L101+'Electric Calendarize'!AX$4+1))</f>
        <v>1127</v>
      </c>
      <c r="AY101" t="str">
        <f ca="1">IF(OR($L101&gt;AY$4,AY$4&gt;$L101+23),"",OFFSET(Electric!$L92,0,-'Electric Calendarize'!$L101+'Electric Calendarize'!AY$4+1))</f>
        <v/>
      </c>
      <c r="AZ101" t="str">
        <f ca="1">IF(OR($L101&gt;AZ$4,AZ$4&gt;$L101+23),"",OFFSET(Electric!$L92,0,-'Electric Calendarize'!$L101+'Electric Calendarize'!AZ$4+1))</f>
        <v/>
      </c>
      <c r="BA101" t="str">
        <f ca="1">IF(OR($L101&gt;BA$4,BA$4&gt;$L101+23),"",OFFSET(Electric!$L92,0,-'Electric Calendarize'!$L101+'Electric Calendarize'!BA$4+1))</f>
        <v/>
      </c>
      <c r="BB101" t="str">
        <f ca="1">IF(OR($L101&gt;BB$4,BB$4&gt;$L101+23),"",OFFSET(Electric!$L92,0,-'Electric Calendarize'!$L101+'Electric Calendarize'!BB$4+1))</f>
        <v/>
      </c>
      <c r="BC101" t="str">
        <f ca="1">IF(OR($L101&gt;BC$4,BC$4&gt;$L101+23),"",OFFSET(Electric!$L92,0,-'Electric Calendarize'!$L101+'Electric Calendarize'!BC$4+1))</f>
        <v/>
      </c>
      <c r="BD101" t="str">
        <f ca="1">IF(OR($L101&gt;BD$4,BD$4&gt;$L101+23),"",OFFSET(Electric!$L92,0,-'Electric Calendarize'!$L101+'Electric Calendarize'!BD$4+1))</f>
        <v/>
      </c>
      <c r="BE101" t="str">
        <f ca="1">IF(OR($L101&gt;BE$4,BE$4&gt;$L101+23),"",OFFSET(Electric!$L92,0,-'Electric Calendarize'!$L101+'Electric Calendarize'!BE$4+1))</f>
        <v/>
      </c>
      <c r="BF101" t="str">
        <f ca="1">IF(OR($L101&gt;BF$4,BF$4&gt;$L101+23),"",OFFSET(Electric!$L92,0,-'Electric Calendarize'!$L101+'Electric Calendarize'!BF$4+1))</f>
        <v/>
      </c>
      <c r="BG101" t="str">
        <f ca="1">IF(OR($L101&gt;BG$4,BG$4&gt;$L101+23),"",OFFSET(Electric!$L92,0,-'Electric Calendarize'!$L101+'Electric Calendarize'!BG$4+1))</f>
        <v/>
      </c>
      <c r="BJ101" s="10" t="s">
        <v>37</v>
      </c>
      <c r="BK101">
        <f t="shared" si="303"/>
        <v>1</v>
      </c>
      <c r="BL101">
        <f t="shared" si="209"/>
        <v>0</v>
      </c>
      <c r="BM101">
        <f t="shared" si="210"/>
        <v>0</v>
      </c>
      <c r="BN101">
        <f t="shared" si="211"/>
        <v>0</v>
      </c>
      <c r="BO101">
        <f t="shared" si="212"/>
        <v>0</v>
      </c>
      <c r="BP101">
        <f t="shared" si="213"/>
        <v>0</v>
      </c>
      <c r="BQ101">
        <f t="shared" si="214"/>
        <v>0</v>
      </c>
      <c r="BR101">
        <f t="shared" si="215"/>
        <v>1</v>
      </c>
      <c r="BS101">
        <f t="shared" si="216"/>
        <v>1</v>
      </c>
      <c r="BT101">
        <f t="shared" si="217"/>
        <v>1</v>
      </c>
      <c r="BU101">
        <f t="shared" si="218"/>
        <v>1</v>
      </c>
      <c r="BV101">
        <f t="shared" si="219"/>
        <v>1</v>
      </c>
      <c r="BW101">
        <f t="shared" si="220"/>
        <v>1</v>
      </c>
      <c r="BX101">
        <f t="shared" si="221"/>
        <v>0</v>
      </c>
      <c r="BY101">
        <f t="shared" si="222"/>
        <v>0</v>
      </c>
      <c r="BZ101">
        <f t="shared" si="223"/>
        <v>0</v>
      </c>
      <c r="CA101">
        <f t="shared" si="224"/>
        <v>0</v>
      </c>
      <c r="CB101">
        <f t="shared" si="225"/>
        <v>0</v>
      </c>
      <c r="CC101">
        <f t="shared" si="226"/>
        <v>0</v>
      </c>
      <c r="CD101">
        <f t="shared" si="227"/>
        <v>1</v>
      </c>
      <c r="CE101">
        <f t="shared" si="228"/>
        <v>1</v>
      </c>
      <c r="CF101">
        <f t="shared" si="229"/>
        <v>1</v>
      </c>
      <c r="CG101">
        <f t="shared" si="230"/>
        <v>1</v>
      </c>
      <c r="CH101">
        <f t="shared" si="231"/>
        <v>1</v>
      </c>
      <c r="CI101">
        <f t="shared" si="232"/>
        <v>1</v>
      </c>
      <c r="CJ101">
        <f t="shared" si="233"/>
        <v>0</v>
      </c>
      <c r="CK101">
        <f t="shared" si="234"/>
        <v>0</v>
      </c>
      <c r="CL101">
        <f t="shared" si="235"/>
        <v>0</v>
      </c>
      <c r="CM101">
        <f t="shared" si="236"/>
        <v>0</v>
      </c>
      <c r="CN101">
        <f t="shared" si="237"/>
        <v>0</v>
      </c>
      <c r="CO101">
        <f t="shared" si="238"/>
        <v>0</v>
      </c>
      <c r="CP101">
        <f t="shared" si="239"/>
        <v>1</v>
      </c>
      <c r="CQ101">
        <f t="shared" si="240"/>
        <v>1</v>
      </c>
      <c r="CR101">
        <f t="shared" si="241"/>
        <v>1</v>
      </c>
      <c r="CS101">
        <f t="shared" si="242"/>
        <v>1</v>
      </c>
      <c r="CT101">
        <f t="shared" si="243"/>
        <v>1</v>
      </c>
      <c r="CU101">
        <f t="shared" si="244"/>
        <v>1</v>
      </c>
      <c r="CV101">
        <f t="shared" si="245"/>
        <v>0</v>
      </c>
      <c r="CW101">
        <f t="shared" si="246"/>
        <v>0</v>
      </c>
      <c r="CX101">
        <f t="shared" si="247"/>
        <v>0</v>
      </c>
      <c r="CY101">
        <f t="shared" si="248"/>
        <v>0</v>
      </c>
      <c r="CZ101">
        <f t="shared" si="249"/>
        <v>0</v>
      </c>
      <c r="DA101">
        <f t="shared" si="250"/>
        <v>0</v>
      </c>
      <c r="DB101">
        <f t="shared" si="251"/>
        <v>1</v>
      </c>
      <c r="DC101">
        <f t="shared" si="252"/>
        <v>1</v>
      </c>
      <c r="DF101" s="10" t="s">
        <v>37</v>
      </c>
      <c r="DG101" t="str">
        <f t="shared" si="308"/>
        <v>2022_4</v>
      </c>
      <c r="DH101" t="str">
        <f t="shared" si="308"/>
        <v>2022_4</v>
      </c>
      <c r="DI101" t="str">
        <f t="shared" si="308"/>
        <v>2022_4</v>
      </c>
      <c r="DJ101" t="str">
        <f t="shared" si="308"/>
        <v>2022_4</v>
      </c>
      <c r="DK101" t="str">
        <f t="shared" si="308"/>
        <v>2022_4</v>
      </c>
      <c r="DL101" t="str">
        <f t="shared" si="308"/>
        <v>2022_4</v>
      </c>
      <c r="DM101" t="str">
        <f t="shared" si="308"/>
        <v>2022_4</v>
      </c>
      <c r="DN101" t="str">
        <f t="shared" si="308"/>
        <v>2022_4</v>
      </c>
      <c r="DO101" t="str">
        <f t="shared" si="308"/>
        <v>2022_4</v>
      </c>
      <c r="DP101" t="str">
        <f t="shared" si="308"/>
        <v>2022_4</v>
      </c>
      <c r="DQ101" t="str">
        <f t="shared" si="308"/>
        <v>2022_4</v>
      </c>
      <c r="DR101" t="str">
        <f t="shared" si="308"/>
        <v>2022_4</v>
      </c>
      <c r="DS101" t="str">
        <f t="shared" si="308"/>
        <v>2022_4</v>
      </c>
      <c r="DT101" t="str">
        <f t="shared" si="308"/>
        <v>2022_4</v>
      </c>
      <c r="DU101" t="str">
        <f t="shared" si="308"/>
        <v>2022_4</v>
      </c>
      <c r="DV101" t="str">
        <f t="shared" si="308"/>
        <v>2022_4</v>
      </c>
      <c r="DW101" t="str">
        <f t="shared" si="307"/>
        <v>2022_4</v>
      </c>
      <c r="DX101" t="str">
        <f t="shared" si="307"/>
        <v>2022_4</v>
      </c>
      <c r="DY101" t="str">
        <f t="shared" si="307"/>
        <v>2022_4</v>
      </c>
      <c r="DZ101" t="str">
        <f t="shared" si="307"/>
        <v>2022_4</v>
      </c>
      <c r="EA101" t="str">
        <f t="shared" si="307"/>
        <v>2022_4</v>
      </c>
      <c r="EB101" t="str">
        <f t="shared" si="307"/>
        <v>2022_4</v>
      </c>
      <c r="EC101" t="str">
        <f t="shared" si="307"/>
        <v>2022_4</v>
      </c>
      <c r="ED101" t="str">
        <f t="shared" si="307"/>
        <v>2022_4</v>
      </c>
      <c r="EE101" t="str">
        <f t="shared" si="307"/>
        <v>2022_4</v>
      </c>
      <c r="EF101" t="str">
        <f t="shared" si="307"/>
        <v>2022_4</v>
      </c>
      <c r="EG101" t="str">
        <f t="shared" si="307"/>
        <v>2022_4</v>
      </c>
      <c r="EH101" t="str">
        <f t="shared" si="307"/>
        <v>2022_4</v>
      </c>
      <c r="EI101" t="str">
        <f t="shared" si="307"/>
        <v>2022_4</v>
      </c>
      <c r="EJ101" t="str">
        <f t="shared" si="307"/>
        <v>2022_4</v>
      </c>
      <c r="EK101" t="str">
        <f t="shared" si="306"/>
        <v>2022_4</v>
      </c>
      <c r="EL101" t="str">
        <f t="shared" si="306"/>
        <v>2022_4</v>
      </c>
      <c r="EM101" t="str">
        <f t="shared" si="306"/>
        <v>2022_4</v>
      </c>
      <c r="EN101" t="str">
        <f t="shared" si="306"/>
        <v>2022_4</v>
      </c>
      <c r="EO101" t="str">
        <f t="shared" si="306"/>
        <v>2022_4</v>
      </c>
      <c r="EP101" t="str">
        <f t="shared" si="306"/>
        <v>2022_4</v>
      </c>
      <c r="EQ101" t="str">
        <f t="shared" si="306"/>
        <v>2022_4</v>
      </c>
      <c r="ER101" t="str">
        <f t="shared" si="306"/>
        <v>2022_4</v>
      </c>
      <c r="ES101" t="str">
        <f t="shared" si="306"/>
        <v>2022_4</v>
      </c>
      <c r="ET101" t="str">
        <f t="shared" si="306"/>
        <v>2022_4</v>
      </c>
      <c r="EU101" t="str">
        <f t="shared" si="306"/>
        <v>2022_4</v>
      </c>
      <c r="EV101" t="str">
        <f t="shared" si="306"/>
        <v>2022_4</v>
      </c>
      <c r="EW101" t="str">
        <f t="shared" si="306"/>
        <v>2022_4</v>
      </c>
      <c r="EX101" t="str">
        <f t="shared" si="306"/>
        <v>2022_4</v>
      </c>
      <c r="EY101" t="str">
        <f t="shared" si="306"/>
        <v>2022_4</v>
      </c>
      <c r="FB101" s="10" t="s">
        <v>37</v>
      </c>
      <c r="FC101">
        <f t="shared" si="305"/>
        <v>0</v>
      </c>
      <c r="FD101">
        <f t="shared" si="255"/>
        <v>0</v>
      </c>
      <c r="FE101">
        <f t="shared" si="256"/>
        <v>0</v>
      </c>
      <c r="FF101">
        <f t="shared" si="257"/>
        <v>0</v>
      </c>
      <c r="FG101">
        <f t="shared" si="258"/>
        <v>0</v>
      </c>
      <c r="FH101">
        <f t="shared" si="259"/>
        <v>0</v>
      </c>
      <c r="FI101">
        <f t="shared" si="260"/>
        <v>0</v>
      </c>
      <c r="FJ101">
        <f t="shared" si="261"/>
        <v>0</v>
      </c>
      <c r="FK101">
        <f t="shared" si="262"/>
        <v>0</v>
      </c>
      <c r="FL101">
        <f t="shared" si="263"/>
        <v>0</v>
      </c>
      <c r="FM101">
        <f t="shared" si="264"/>
        <v>0</v>
      </c>
      <c r="FN101">
        <f t="shared" si="265"/>
        <v>0</v>
      </c>
      <c r="FO101">
        <f t="shared" si="266"/>
        <v>0</v>
      </c>
      <c r="FP101">
        <f t="shared" si="267"/>
        <v>0</v>
      </c>
      <c r="FQ101">
        <f t="shared" si="268"/>
        <v>0</v>
      </c>
      <c r="FR101">
        <f t="shared" si="269"/>
        <v>0</v>
      </c>
      <c r="FS101">
        <f t="shared" si="270"/>
        <v>0</v>
      </c>
      <c r="FT101">
        <f t="shared" si="271"/>
        <v>0</v>
      </c>
      <c r="FU101">
        <f t="shared" si="272"/>
        <v>0</v>
      </c>
      <c r="FV101">
        <f t="shared" si="273"/>
        <v>0</v>
      </c>
      <c r="FW101">
        <f t="shared" si="274"/>
        <v>0</v>
      </c>
      <c r="FX101">
        <f t="shared" si="275"/>
        <v>0</v>
      </c>
      <c r="FY101">
        <f t="shared" si="276"/>
        <v>0</v>
      </c>
      <c r="FZ101">
        <f t="shared" si="277"/>
        <v>0</v>
      </c>
      <c r="GA101">
        <f t="shared" si="278"/>
        <v>1</v>
      </c>
      <c r="GB101">
        <f t="shared" si="279"/>
        <v>1</v>
      </c>
      <c r="GC101">
        <f t="shared" si="280"/>
        <v>1</v>
      </c>
      <c r="GD101">
        <f t="shared" si="281"/>
        <v>1</v>
      </c>
      <c r="GE101">
        <f t="shared" si="282"/>
        <v>1</v>
      </c>
      <c r="GF101">
        <f t="shared" si="283"/>
        <v>1</v>
      </c>
      <c r="GG101">
        <f t="shared" si="284"/>
        <v>1</v>
      </c>
      <c r="GH101">
        <f t="shared" si="285"/>
        <v>1</v>
      </c>
      <c r="GI101">
        <f t="shared" si="286"/>
        <v>1</v>
      </c>
      <c r="GJ101">
        <f t="shared" si="287"/>
        <v>1</v>
      </c>
      <c r="GK101">
        <f t="shared" si="288"/>
        <v>1</v>
      </c>
      <c r="GL101">
        <f t="shared" si="289"/>
        <v>1</v>
      </c>
      <c r="GM101">
        <f t="shared" si="290"/>
        <v>1</v>
      </c>
      <c r="GN101">
        <f t="shared" si="291"/>
        <v>1</v>
      </c>
      <c r="GO101">
        <f t="shared" si="292"/>
        <v>1</v>
      </c>
      <c r="GP101">
        <f t="shared" si="293"/>
        <v>1</v>
      </c>
      <c r="GQ101">
        <f t="shared" si="294"/>
        <v>1</v>
      </c>
      <c r="GR101">
        <f t="shared" si="295"/>
        <v>1</v>
      </c>
      <c r="GS101">
        <f t="shared" si="296"/>
        <v>1</v>
      </c>
      <c r="GT101">
        <f t="shared" si="297"/>
        <v>1</v>
      </c>
      <c r="GU101">
        <f t="shared" si="298"/>
        <v>1</v>
      </c>
      <c r="GX101" s="10"/>
    </row>
    <row r="102" spans="1:206" x14ac:dyDescent="0.3">
      <c r="A102" s="9" t="s">
        <v>33</v>
      </c>
      <c r="B102" s="80"/>
      <c r="C102" s="9">
        <v>3130139002</v>
      </c>
      <c r="D102" s="9" t="s">
        <v>428</v>
      </c>
      <c r="E102" s="9" t="s">
        <v>39</v>
      </c>
      <c r="F102" s="9" t="s">
        <v>35</v>
      </c>
      <c r="G102" s="9" t="s">
        <v>135</v>
      </c>
      <c r="H102" s="10">
        <v>44678</v>
      </c>
      <c r="I102" s="9">
        <f t="shared" si="299"/>
        <v>2022</v>
      </c>
      <c r="J102" s="9">
        <f t="shared" si="300"/>
        <v>4</v>
      </c>
      <c r="K102" s="9" t="str">
        <f t="shared" si="301"/>
        <v>2022_4</v>
      </c>
      <c r="L102">
        <f>MAX(0,VLOOKUP($K102,lookups!$A$1:$B$45,2,0)-12)</f>
        <v>12</v>
      </c>
      <c r="M102" s="40">
        <f t="shared" si="302"/>
        <v>44652</v>
      </c>
      <c r="N102" s="10" t="s">
        <v>37</v>
      </c>
      <c r="O102" t="str">
        <f ca="1">IF(OR($L102&gt;O$4,O$4&gt;$L102+23),"",OFFSET(Electric!$L93,0,-'Electric Calendarize'!$L102+'Electric Calendarize'!O$4+1))</f>
        <v/>
      </c>
      <c r="P102" t="str">
        <f ca="1">IF(OR($L102&gt;P$4,P$4&gt;$L102+23),"",OFFSET(Electric!$L93,0,-'Electric Calendarize'!$L102+'Electric Calendarize'!P$4+1))</f>
        <v/>
      </c>
      <c r="Q102" t="str">
        <f ca="1">IF(OR($L102&gt;Q$4,Q$4&gt;$L102+23),"",OFFSET(Electric!$L93,0,-'Electric Calendarize'!$L102+'Electric Calendarize'!Q$4+1))</f>
        <v/>
      </c>
      <c r="R102" t="str">
        <f ca="1">IF(OR($L102&gt;R$4,R$4&gt;$L102+23),"",OFFSET(Electric!$L93,0,-'Electric Calendarize'!$L102+'Electric Calendarize'!R$4+1))</f>
        <v/>
      </c>
      <c r="S102" t="str">
        <f ca="1">IF(OR($L102&gt;S$4,S$4&gt;$L102+23),"",OFFSET(Electric!$L93,0,-'Electric Calendarize'!$L102+'Electric Calendarize'!S$4+1))</f>
        <v/>
      </c>
      <c r="T102" t="str">
        <f ca="1">IF(OR($L102&gt;T$4,T$4&gt;$L102+23),"",OFFSET(Electric!$L93,0,-'Electric Calendarize'!$L102+'Electric Calendarize'!T$4+1))</f>
        <v/>
      </c>
      <c r="U102" t="str">
        <f ca="1">IF(OR($L102&gt;U$4,U$4&gt;$L102+23),"",OFFSET(Electric!$L93,0,-'Electric Calendarize'!$L102+'Electric Calendarize'!U$4+1))</f>
        <v/>
      </c>
      <c r="V102" t="str">
        <f ca="1">IF(OR($L102&gt;V$4,V$4&gt;$L102+23),"",OFFSET(Electric!$L93,0,-'Electric Calendarize'!$L102+'Electric Calendarize'!V$4+1))</f>
        <v/>
      </c>
      <c r="W102" t="str">
        <f ca="1">IF(OR($L102&gt;W$4,W$4&gt;$L102+23),"",OFFSET(Electric!$L93,0,-'Electric Calendarize'!$L102+'Electric Calendarize'!W$4+1))</f>
        <v/>
      </c>
      <c r="X102" t="str">
        <f ca="1">IF(OR($L102&gt;X$4,X$4&gt;$L102+23),"",OFFSET(Electric!$L93,0,-'Electric Calendarize'!$L102+'Electric Calendarize'!X$4+1))</f>
        <v/>
      </c>
      <c r="Y102" t="str">
        <f ca="1">IF(OR($L102&gt;Y$4,Y$4&gt;$L102+23),"",OFFSET(Electric!$L93,0,-'Electric Calendarize'!$L102+'Electric Calendarize'!Y$4+1))</f>
        <v/>
      </c>
      <c r="Z102" t="str">
        <f ca="1">IF(OR($L102&gt;Z$4,Z$4&gt;$L102+23),"",OFFSET(Electric!$L93,0,-'Electric Calendarize'!$L102+'Electric Calendarize'!Z$4+1))</f>
        <v/>
      </c>
      <c r="AA102">
        <f ca="1">IF(OR($L102&gt;AA$4,AA$4&gt;$L102+23),"",OFFSET(Electric!$L93,0,-'Electric Calendarize'!$L102+'Electric Calendarize'!AA$4+1))</f>
        <v>0</v>
      </c>
      <c r="AB102">
        <f ca="1">IF(OR($L102&gt;AB$4,AB$4&gt;$L102+23),"",OFFSET(Electric!$L93,0,-'Electric Calendarize'!$L102+'Electric Calendarize'!AB$4+1))</f>
        <v>0</v>
      </c>
      <c r="AC102">
        <f ca="1">IF(OR($L102&gt;AC$4,AC$4&gt;$L102+23),"",OFFSET(Electric!$L93,0,-'Electric Calendarize'!$L102+'Electric Calendarize'!AC$4+1))</f>
        <v>0</v>
      </c>
      <c r="AD102">
        <f ca="1">IF(OR($L102&gt;AD$4,AD$4&gt;$L102+23),"",OFFSET(Electric!$L93,0,-'Electric Calendarize'!$L102+'Electric Calendarize'!AD$4+1))</f>
        <v>0</v>
      </c>
      <c r="AE102">
        <f ca="1">IF(OR($L102&gt;AE$4,AE$4&gt;$L102+23),"",OFFSET(Electric!$L93,0,-'Electric Calendarize'!$L102+'Electric Calendarize'!AE$4+1))</f>
        <v>0</v>
      </c>
      <c r="AF102">
        <f ca="1">IF(OR($L102&gt;AF$4,AF$4&gt;$L102+23),"",OFFSET(Electric!$L93,0,-'Electric Calendarize'!$L102+'Electric Calendarize'!AF$4+1))</f>
        <v>0</v>
      </c>
      <c r="AG102">
        <f ca="1">IF(OR($L102&gt;AG$4,AG$4&gt;$L102+23),"",OFFSET(Electric!$L93,0,-'Electric Calendarize'!$L102+'Electric Calendarize'!AG$4+1))</f>
        <v>0</v>
      </c>
      <c r="AH102">
        <f ca="1">IF(OR($L102&gt;AH$4,AH$4&gt;$L102+23),"",OFFSET(Electric!$L93,0,-'Electric Calendarize'!$L102+'Electric Calendarize'!AH$4+1))</f>
        <v>587</v>
      </c>
      <c r="AI102">
        <f ca="1">IF(OR($L102&gt;AI$4,AI$4&gt;$L102+23),"",OFFSET(Electric!$L93,0,-'Electric Calendarize'!$L102+'Electric Calendarize'!AI$4+1))</f>
        <v>942</v>
      </c>
      <c r="AJ102">
        <f ca="1">IF(OR($L102&gt;AJ$4,AJ$4&gt;$L102+23),"",OFFSET(Electric!$L93,0,-'Electric Calendarize'!$L102+'Electric Calendarize'!AJ$4+1))</f>
        <v>1040</v>
      </c>
      <c r="AK102">
        <f ca="1">IF(OR($L102&gt;AK$4,AK$4&gt;$L102+23),"",OFFSET(Electric!$L93,0,-'Electric Calendarize'!$L102+'Electric Calendarize'!AK$4+1))</f>
        <v>943</v>
      </c>
      <c r="AL102">
        <f ca="1">IF(OR($L102&gt;AL$4,AL$4&gt;$L102+23),"",OFFSET(Electric!$L93,0,-'Electric Calendarize'!$L102+'Electric Calendarize'!AL$4+1))</f>
        <v>894</v>
      </c>
      <c r="AM102">
        <f ca="1">IF(OR($L102&gt;AM$4,AM$4&gt;$L102+23),"",OFFSET(Electric!$L93,0,-'Electric Calendarize'!$L102+'Electric Calendarize'!AM$4+1))</f>
        <v>830</v>
      </c>
      <c r="AN102">
        <f ca="1">IF(OR($L102&gt;AN$4,AN$4&gt;$L102+23),"",OFFSET(Electric!$L93,0,-'Electric Calendarize'!$L102+'Electric Calendarize'!AN$4+1))</f>
        <v>930</v>
      </c>
      <c r="AO102">
        <f ca="1">IF(OR($L102&gt;AO$4,AO$4&gt;$L102+23),"",OFFSET(Electric!$L93,0,-'Electric Calendarize'!$L102+'Electric Calendarize'!AO$4+1))</f>
        <v>911</v>
      </c>
      <c r="AP102">
        <f ca="1">IF(OR($L102&gt;AP$4,AP$4&gt;$L102+23),"",OFFSET(Electric!$L93,0,-'Electric Calendarize'!$L102+'Electric Calendarize'!AP$4+1))</f>
        <v>1213</v>
      </c>
      <c r="AQ102">
        <f ca="1">IF(OR($L102&gt;AQ$4,AQ$4&gt;$L102+23),"",OFFSET(Electric!$L93,0,-'Electric Calendarize'!$L102+'Electric Calendarize'!AQ$4+1))</f>
        <v>1217</v>
      </c>
      <c r="AR102">
        <f ca="1">IF(OR($L102&gt;AR$4,AR$4&gt;$L102+23),"",OFFSET(Electric!$L93,0,-'Electric Calendarize'!$L102+'Electric Calendarize'!AR$4+1))</f>
        <v>940</v>
      </c>
      <c r="AS102">
        <f ca="1">IF(OR($L102&gt;AS$4,AS$4&gt;$L102+23),"",OFFSET(Electric!$L93,0,-'Electric Calendarize'!$L102+'Electric Calendarize'!AS$4+1))</f>
        <v>957</v>
      </c>
      <c r="AT102">
        <f ca="1">IF(OR($L102&gt;AT$4,AT$4&gt;$L102+23),"",OFFSET(Electric!$L93,0,-'Electric Calendarize'!$L102+'Electric Calendarize'!AT$4+1))</f>
        <v>1559</v>
      </c>
      <c r="AU102">
        <f ca="1">IF(OR($L102&gt;AU$4,AU$4&gt;$L102+23),"",OFFSET(Electric!$L93,0,-'Electric Calendarize'!$L102+'Electric Calendarize'!AU$4+1))</f>
        <v>1134</v>
      </c>
      <c r="AV102">
        <f ca="1">IF(OR($L102&gt;AV$4,AV$4&gt;$L102+23),"",OFFSET(Electric!$L93,0,-'Electric Calendarize'!$L102+'Electric Calendarize'!AV$4+1))</f>
        <v>1126</v>
      </c>
      <c r="AW102">
        <f ca="1">IF(OR($L102&gt;AW$4,AW$4&gt;$L102+23),"",OFFSET(Electric!$L93,0,-'Electric Calendarize'!$L102+'Electric Calendarize'!AW$4+1))</f>
        <v>1127</v>
      </c>
      <c r="AX102">
        <f ca="1">IF(OR($L102&gt;AX$4,AX$4&gt;$L102+23),"",OFFSET(Electric!$L93,0,-'Electric Calendarize'!$L102+'Electric Calendarize'!AX$4+1))</f>
        <v>1038</v>
      </c>
      <c r="AY102" t="str">
        <f ca="1">IF(OR($L102&gt;AY$4,AY$4&gt;$L102+23),"",OFFSET(Electric!$L93,0,-'Electric Calendarize'!$L102+'Electric Calendarize'!AY$4+1))</f>
        <v/>
      </c>
      <c r="AZ102" t="str">
        <f ca="1">IF(OR($L102&gt;AZ$4,AZ$4&gt;$L102+23),"",OFFSET(Electric!$L93,0,-'Electric Calendarize'!$L102+'Electric Calendarize'!AZ$4+1))</f>
        <v/>
      </c>
      <c r="BA102" t="str">
        <f ca="1">IF(OR($L102&gt;BA$4,BA$4&gt;$L102+23),"",OFFSET(Electric!$L93,0,-'Electric Calendarize'!$L102+'Electric Calendarize'!BA$4+1))</f>
        <v/>
      </c>
      <c r="BB102" t="str">
        <f ca="1">IF(OR($L102&gt;BB$4,BB$4&gt;$L102+23),"",OFFSET(Electric!$L93,0,-'Electric Calendarize'!$L102+'Electric Calendarize'!BB$4+1))</f>
        <v/>
      </c>
      <c r="BC102" t="str">
        <f ca="1">IF(OR($L102&gt;BC$4,BC$4&gt;$L102+23),"",OFFSET(Electric!$L93,0,-'Electric Calendarize'!$L102+'Electric Calendarize'!BC$4+1))</f>
        <v/>
      </c>
      <c r="BD102" t="str">
        <f ca="1">IF(OR($L102&gt;BD$4,BD$4&gt;$L102+23),"",OFFSET(Electric!$L93,0,-'Electric Calendarize'!$L102+'Electric Calendarize'!BD$4+1))</f>
        <v/>
      </c>
      <c r="BE102" t="str">
        <f ca="1">IF(OR($L102&gt;BE$4,BE$4&gt;$L102+23),"",OFFSET(Electric!$L93,0,-'Electric Calendarize'!$L102+'Electric Calendarize'!BE$4+1))</f>
        <v/>
      </c>
      <c r="BF102" t="str">
        <f ca="1">IF(OR($L102&gt;BF$4,BF$4&gt;$L102+23),"",OFFSET(Electric!$L93,0,-'Electric Calendarize'!$L102+'Electric Calendarize'!BF$4+1))</f>
        <v/>
      </c>
      <c r="BG102" t="str">
        <f ca="1">IF(OR($L102&gt;BG$4,BG$4&gt;$L102+23),"",OFFSET(Electric!$L93,0,-'Electric Calendarize'!$L102+'Electric Calendarize'!BG$4+1))</f>
        <v/>
      </c>
      <c r="BJ102" s="10" t="s">
        <v>37</v>
      </c>
      <c r="BK102">
        <f t="shared" si="303"/>
        <v>1</v>
      </c>
      <c r="BL102">
        <f t="shared" si="209"/>
        <v>0</v>
      </c>
      <c r="BM102">
        <f t="shared" si="210"/>
        <v>0</v>
      </c>
      <c r="BN102">
        <f t="shared" si="211"/>
        <v>0</v>
      </c>
      <c r="BO102">
        <f t="shared" si="212"/>
        <v>0</v>
      </c>
      <c r="BP102">
        <f t="shared" si="213"/>
        <v>0</v>
      </c>
      <c r="BQ102">
        <f t="shared" si="214"/>
        <v>0</v>
      </c>
      <c r="BR102">
        <f t="shared" si="215"/>
        <v>1</v>
      </c>
      <c r="BS102">
        <f t="shared" si="216"/>
        <v>1</v>
      </c>
      <c r="BT102">
        <f t="shared" si="217"/>
        <v>1</v>
      </c>
      <c r="BU102">
        <f t="shared" si="218"/>
        <v>1</v>
      </c>
      <c r="BV102">
        <f t="shared" si="219"/>
        <v>1</v>
      </c>
      <c r="BW102">
        <f t="shared" si="220"/>
        <v>1</v>
      </c>
      <c r="BX102">
        <f t="shared" si="221"/>
        <v>0</v>
      </c>
      <c r="BY102">
        <f t="shared" si="222"/>
        <v>0</v>
      </c>
      <c r="BZ102">
        <f t="shared" si="223"/>
        <v>0</v>
      </c>
      <c r="CA102">
        <f t="shared" si="224"/>
        <v>0</v>
      </c>
      <c r="CB102">
        <f t="shared" si="225"/>
        <v>0</v>
      </c>
      <c r="CC102">
        <f t="shared" si="226"/>
        <v>0</v>
      </c>
      <c r="CD102">
        <f t="shared" si="227"/>
        <v>1</v>
      </c>
      <c r="CE102">
        <f t="shared" si="228"/>
        <v>1</v>
      </c>
      <c r="CF102">
        <f t="shared" si="229"/>
        <v>1</v>
      </c>
      <c r="CG102">
        <f t="shared" si="230"/>
        <v>1</v>
      </c>
      <c r="CH102">
        <f t="shared" si="231"/>
        <v>1</v>
      </c>
      <c r="CI102">
        <f t="shared" si="232"/>
        <v>1</v>
      </c>
      <c r="CJ102">
        <f t="shared" si="233"/>
        <v>0</v>
      </c>
      <c r="CK102">
        <f t="shared" si="234"/>
        <v>0</v>
      </c>
      <c r="CL102">
        <f t="shared" si="235"/>
        <v>0</v>
      </c>
      <c r="CM102">
        <f t="shared" si="236"/>
        <v>0</v>
      </c>
      <c r="CN102">
        <f t="shared" si="237"/>
        <v>0</v>
      </c>
      <c r="CO102">
        <f t="shared" si="238"/>
        <v>0</v>
      </c>
      <c r="CP102">
        <f t="shared" si="239"/>
        <v>1</v>
      </c>
      <c r="CQ102">
        <f t="shared" si="240"/>
        <v>1</v>
      </c>
      <c r="CR102">
        <f t="shared" si="241"/>
        <v>1</v>
      </c>
      <c r="CS102">
        <f t="shared" si="242"/>
        <v>1</v>
      </c>
      <c r="CT102">
        <f t="shared" si="243"/>
        <v>1</v>
      </c>
      <c r="CU102">
        <f t="shared" si="244"/>
        <v>1</v>
      </c>
      <c r="CV102">
        <f t="shared" si="245"/>
        <v>0</v>
      </c>
      <c r="CW102">
        <f t="shared" si="246"/>
        <v>0</v>
      </c>
      <c r="CX102">
        <f t="shared" si="247"/>
        <v>0</v>
      </c>
      <c r="CY102">
        <f t="shared" si="248"/>
        <v>0</v>
      </c>
      <c r="CZ102">
        <f t="shared" si="249"/>
        <v>0</v>
      </c>
      <c r="DA102">
        <f t="shared" si="250"/>
        <v>0</v>
      </c>
      <c r="DB102">
        <f t="shared" si="251"/>
        <v>1</v>
      </c>
      <c r="DC102">
        <f t="shared" si="252"/>
        <v>1</v>
      </c>
      <c r="DF102" s="10" t="s">
        <v>37</v>
      </c>
      <c r="DG102" t="str">
        <f t="shared" si="308"/>
        <v>2022_4</v>
      </c>
      <c r="DH102" t="str">
        <f t="shared" si="308"/>
        <v>2022_4</v>
      </c>
      <c r="DI102" t="str">
        <f t="shared" si="308"/>
        <v>2022_4</v>
      </c>
      <c r="DJ102" t="str">
        <f t="shared" si="308"/>
        <v>2022_4</v>
      </c>
      <c r="DK102" t="str">
        <f t="shared" si="308"/>
        <v>2022_4</v>
      </c>
      <c r="DL102" t="str">
        <f t="shared" si="308"/>
        <v>2022_4</v>
      </c>
      <c r="DM102" t="str">
        <f t="shared" si="308"/>
        <v>2022_4</v>
      </c>
      <c r="DN102" t="str">
        <f t="shared" si="308"/>
        <v>2022_4</v>
      </c>
      <c r="DO102" t="str">
        <f t="shared" si="308"/>
        <v>2022_4</v>
      </c>
      <c r="DP102" t="str">
        <f t="shared" si="308"/>
        <v>2022_4</v>
      </c>
      <c r="DQ102" t="str">
        <f t="shared" si="308"/>
        <v>2022_4</v>
      </c>
      <c r="DR102" t="str">
        <f t="shared" si="308"/>
        <v>2022_4</v>
      </c>
      <c r="DS102" t="str">
        <f t="shared" si="308"/>
        <v>2022_4</v>
      </c>
      <c r="DT102" t="str">
        <f t="shared" si="308"/>
        <v>2022_4</v>
      </c>
      <c r="DU102" t="str">
        <f t="shared" si="308"/>
        <v>2022_4</v>
      </c>
      <c r="DV102" t="str">
        <f t="shared" si="308"/>
        <v>2022_4</v>
      </c>
      <c r="DW102" t="str">
        <f t="shared" si="307"/>
        <v>2022_4</v>
      </c>
      <c r="DX102" t="str">
        <f t="shared" si="307"/>
        <v>2022_4</v>
      </c>
      <c r="DY102" t="str">
        <f t="shared" si="307"/>
        <v>2022_4</v>
      </c>
      <c r="DZ102" t="str">
        <f t="shared" si="307"/>
        <v>2022_4</v>
      </c>
      <c r="EA102" t="str">
        <f t="shared" si="307"/>
        <v>2022_4</v>
      </c>
      <c r="EB102" t="str">
        <f t="shared" si="307"/>
        <v>2022_4</v>
      </c>
      <c r="EC102" t="str">
        <f t="shared" si="307"/>
        <v>2022_4</v>
      </c>
      <c r="ED102" t="str">
        <f t="shared" si="307"/>
        <v>2022_4</v>
      </c>
      <c r="EE102" t="str">
        <f t="shared" si="307"/>
        <v>2022_4</v>
      </c>
      <c r="EF102" t="str">
        <f t="shared" si="307"/>
        <v>2022_4</v>
      </c>
      <c r="EG102" t="str">
        <f t="shared" si="307"/>
        <v>2022_4</v>
      </c>
      <c r="EH102" t="str">
        <f t="shared" si="307"/>
        <v>2022_4</v>
      </c>
      <c r="EI102" t="str">
        <f t="shared" si="307"/>
        <v>2022_4</v>
      </c>
      <c r="EJ102" t="str">
        <f t="shared" si="307"/>
        <v>2022_4</v>
      </c>
      <c r="EK102" t="str">
        <f t="shared" si="306"/>
        <v>2022_4</v>
      </c>
      <c r="EL102" t="str">
        <f t="shared" si="306"/>
        <v>2022_4</v>
      </c>
      <c r="EM102" t="str">
        <f t="shared" si="306"/>
        <v>2022_4</v>
      </c>
      <c r="EN102" t="str">
        <f t="shared" si="306"/>
        <v>2022_4</v>
      </c>
      <c r="EO102" t="str">
        <f t="shared" si="306"/>
        <v>2022_4</v>
      </c>
      <c r="EP102" t="str">
        <f t="shared" si="306"/>
        <v>2022_4</v>
      </c>
      <c r="EQ102" t="str">
        <f t="shared" si="306"/>
        <v>2022_4</v>
      </c>
      <c r="ER102" t="str">
        <f t="shared" si="306"/>
        <v>2022_4</v>
      </c>
      <c r="ES102" t="str">
        <f t="shared" si="306"/>
        <v>2022_4</v>
      </c>
      <c r="ET102" t="str">
        <f t="shared" si="306"/>
        <v>2022_4</v>
      </c>
      <c r="EU102" t="str">
        <f t="shared" si="306"/>
        <v>2022_4</v>
      </c>
      <c r="EV102" t="str">
        <f t="shared" si="306"/>
        <v>2022_4</v>
      </c>
      <c r="EW102" t="str">
        <f t="shared" si="306"/>
        <v>2022_4</v>
      </c>
      <c r="EX102" t="str">
        <f t="shared" si="306"/>
        <v>2022_4</v>
      </c>
      <c r="EY102" t="str">
        <f t="shared" si="306"/>
        <v>2022_4</v>
      </c>
      <c r="FB102" s="10" t="s">
        <v>37</v>
      </c>
      <c r="FC102">
        <f t="shared" si="305"/>
        <v>0</v>
      </c>
      <c r="FD102">
        <f t="shared" si="255"/>
        <v>0</v>
      </c>
      <c r="FE102">
        <f t="shared" si="256"/>
        <v>0</v>
      </c>
      <c r="FF102">
        <f t="shared" si="257"/>
        <v>0</v>
      </c>
      <c r="FG102">
        <f t="shared" si="258"/>
        <v>0</v>
      </c>
      <c r="FH102">
        <f t="shared" si="259"/>
        <v>0</v>
      </c>
      <c r="FI102">
        <f t="shared" si="260"/>
        <v>0</v>
      </c>
      <c r="FJ102">
        <f t="shared" si="261"/>
        <v>0</v>
      </c>
      <c r="FK102">
        <f t="shared" si="262"/>
        <v>0</v>
      </c>
      <c r="FL102">
        <f t="shared" si="263"/>
        <v>0</v>
      </c>
      <c r="FM102">
        <f t="shared" si="264"/>
        <v>0</v>
      </c>
      <c r="FN102">
        <f t="shared" si="265"/>
        <v>0</v>
      </c>
      <c r="FO102">
        <f t="shared" si="266"/>
        <v>0</v>
      </c>
      <c r="FP102">
        <f t="shared" si="267"/>
        <v>0</v>
      </c>
      <c r="FQ102">
        <f t="shared" si="268"/>
        <v>0</v>
      </c>
      <c r="FR102">
        <f t="shared" si="269"/>
        <v>0</v>
      </c>
      <c r="FS102">
        <f t="shared" si="270"/>
        <v>0</v>
      </c>
      <c r="FT102">
        <f t="shared" si="271"/>
        <v>0</v>
      </c>
      <c r="FU102">
        <f t="shared" si="272"/>
        <v>0</v>
      </c>
      <c r="FV102">
        <f t="shared" si="273"/>
        <v>0</v>
      </c>
      <c r="FW102">
        <f t="shared" si="274"/>
        <v>0</v>
      </c>
      <c r="FX102">
        <f t="shared" si="275"/>
        <v>0</v>
      </c>
      <c r="FY102">
        <f t="shared" si="276"/>
        <v>0</v>
      </c>
      <c r="FZ102">
        <f t="shared" si="277"/>
        <v>0</v>
      </c>
      <c r="GA102">
        <f t="shared" si="278"/>
        <v>1</v>
      </c>
      <c r="GB102">
        <f t="shared" si="279"/>
        <v>1</v>
      </c>
      <c r="GC102">
        <f t="shared" si="280"/>
        <v>1</v>
      </c>
      <c r="GD102">
        <f t="shared" si="281"/>
        <v>1</v>
      </c>
      <c r="GE102">
        <f t="shared" si="282"/>
        <v>1</v>
      </c>
      <c r="GF102">
        <f t="shared" si="283"/>
        <v>1</v>
      </c>
      <c r="GG102">
        <f t="shared" si="284"/>
        <v>1</v>
      </c>
      <c r="GH102">
        <f t="shared" si="285"/>
        <v>1</v>
      </c>
      <c r="GI102">
        <f t="shared" si="286"/>
        <v>1</v>
      </c>
      <c r="GJ102">
        <f t="shared" si="287"/>
        <v>1</v>
      </c>
      <c r="GK102">
        <f t="shared" si="288"/>
        <v>1</v>
      </c>
      <c r="GL102">
        <f t="shared" si="289"/>
        <v>1</v>
      </c>
      <c r="GM102">
        <f t="shared" si="290"/>
        <v>1</v>
      </c>
      <c r="GN102">
        <f t="shared" si="291"/>
        <v>1</v>
      </c>
      <c r="GO102">
        <f t="shared" si="292"/>
        <v>1</v>
      </c>
      <c r="GP102">
        <f t="shared" si="293"/>
        <v>1</v>
      </c>
      <c r="GQ102">
        <f t="shared" si="294"/>
        <v>1</v>
      </c>
      <c r="GR102">
        <f t="shared" si="295"/>
        <v>1</v>
      </c>
      <c r="GS102">
        <f t="shared" si="296"/>
        <v>1</v>
      </c>
      <c r="GT102">
        <f t="shared" si="297"/>
        <v>1</v>
      </c>
      <c r="GU102">
        <f t="shared" si="298"/>
        <v>1</v>
      </c>
      <c r="GX102" s="10"/>
    </row>
    <row r="103" spans="1:206" x14ac:dyDescent="0.3">
      <c r="A103" s="9" t="s">
        <v>33</v>
      </c>
      <c r="B103" s="80"/>
      <c r="C103" s="9">
        <v>3010217000</v>
      </c>
      <c r="D103" s="9" t="s">
        <v>429</v>
      </c>
      <c r="E103" s="9" t="s">
        <v>34</v>
      </c>
      <c r="F103" s="9" t="s">
        <v>35</v>
      </c>
      <c r="G103" s="9" t="s">
        <v>136</v>
      </c>
      <c r="H103" s="10">
        <v>44681</v>
      </c>
      <c r="I103" s="9">
        <f t="shared" si="299"/>
        <v>2022</v>
      </c>
      <c r="J103" s="9">
        <f t="shared" si="300"/>
        <v>4</v>
      </c>
      <c r="K103" s="9" t="str">
        <f t="shared" si="301"/>
        <v>2022_4</v>
      </c>
      <c r="L103">
        <f>MAX(0,VLOOKUP($K103,lookups!$A$1:$B$45,2,0)-12)</f>
        <v>12</v>
      </c>
      <c r="M103" s="40">
        <f t="shared" si="302"/>
        <v>44652</v>
      </c>
      <c r="N103" s="10" t="s">
        <v>37</v>
      </c>
      <c r="O103" t="str">
        <f ca="1">IF(OR($L103&gt;O$4,O$4&gt;$L103+23),"",OFFSET(Electric!$L94,0,-'Electric Calendarize'!$L103+'Electric Calendarize'!O$4+1))</f>
        <v/>
      </c>
      <c r="P103" t="str">
        <f ca="1">IF(OR($L103&gt;P$4,P$4&gt;$L103+23),"",OFFSET(Electric!$L94,0,-'Electric Calendarize'!$L103+'Electric Calendarize'!P$4+1))</f>
        <v/>
      </c>
      <c r="Q103" t="str">
        <f ca="1">IF(OR($L103&gt;Q$4,Q$4&gt;$L103+23),"",OFFSET(Electric!$L94,0,-'Electric Calendarize'!$L103+'Electric Calendarize'!Q$4+1))</f>
        <v/>
      </c>
      <c r="R103" t="str">
        <f ca="1">IF(OR($L103&gt;R$4,R$4&gt;$L103+23),"",OFFSET(Electric!$L94,0,-'Electric Calendarize'!$L103+'Electric Calendarize'!R$4+1))</f>
        <v/>
      </c>
      <c r="S103" t="str">
        <f ca="1">IF(OR($L103&gt;S$4,S$4&gt;$L103+23),"",OFFSET(Electric!$L94,0,-'Electric Calendarize'!$L103+'Electric Calendarize'!S$4+1))</f>
        <v/>
      </c>
      <c r="T103" t="str">
        <f ca="1">IF(OR($L103&gt;T$4,T$4&gt;$L103+23),"",OFFSET(Electric!$L94,0,-'Electric Calendarize'!$L103+'Electric Calendarize'!T$4+1))</f>
        <v/>
      </c>
      <c r="U103" t="str">
        <f ca="1">IF(OR($L103&gt;U$4,U$4&gt;$L103+23),"",OFFSET(Electric!$L94,0,-'Electric Calendarize'!$L103+'Electric Calendarize'!U$4+1))</f>
        <v/>
      </c>
      <c r="V103" t="str">
        <f ca="1">IF(OR($L103&gt;V$4,V$4&gt;$L103+23),"",OFFSET(Electric!$L94,0,-'Electric Calendarize'!$L103+'Electric Calendarize'!V$4+1))</f>
        <v/>
      </c>
      <c r="W103" t="str">
        <f ca="1">IF(OR($L103&gt;W$4,W$4&gt;$L103+23),"",OFFSET(Electric!$L94,0,-'Electric Calendarize'!$L103+'Electric Calendarize'!W$4+1))</f>
        <v/>
      </c>
      <c r="X103" t="str">
        <f ca="1">IF(OR($L103&gt;X$4,X$4&gt;$L103+23),"",OFFSET(Electric!$L94,0,-'Electric Calendarize'!$L103+'Electric Calendarize'!X$4+1))</f>
        <v/>
      </c>
      <c r="Y103" t="str">
        <f ca="1">IF(OR($L103&gt;Y$4,Y$4&gt;$L103+23),"",OFFSET(Electric!$L94,0,-'Electric Calendarize'!$L103+'Electric Calendarize'!Y$4+1))</f>
        <v/>
      </c>
      <c r="Z103" t="str">
        <f ca="1">IF(OR($L103&gt;Z$4,Z$4&gt;$L103+23),"",OFFSET(Electric!$L94,0,-'Electric Calendarize'!$L103+'Electric Calendarize'!Z$4+1))</f>
        <v/>
      </c>
      <c r="AA103">
        <f ca="1">IF(OR($L103&gt;AA$4,AA$4&gt;$L103+23),"",OFFSET(Electric!$L94,0,-'Electric Calendarize'!$L103+'Electric Calendarize'!AA$4+1))</f>
        <v>975</v>
      </c>
      <c r="AB103">
        <f ca="1">IF(OR($L103&gt;AB$4,AB$4&gt;$L103+23),"",OFFSET(Electric!$L94,0,-'Electric Calendarize'!$L103+'Electric Calendarize'!AB$4+1))</f>
        <v>864</v>
      </c>
      <c r="AC103">
        <f ca="1">IF(OR($L103&gt;AC$4,AC$4&gt;$L103+23),"",OFFSET(Electric!$L94,0,-'Electric Calendarize'!$L103+'Electric Calendarize'!AC$4+1))</f>
        <v>1085</v>
      </c>
      <c r="AD103">
        <f ca="1">IF(OR($L103&gt;AD$4,AD$4&gt;$L103+23),"",OFFSET(Electric!$L94,0,-'Electric Calendarize'!$L103+'Electric Calendarize'!AD$4+1))</f>
        <v>1273</v>
      </c>
      <c r="AE103">
        <f ca="1">IF(OR($L103&gt;AE$4,AE$4&gt;$L103+23),"",OFFSET(Electric!$L94,0,-'Electric Calendarize'!$L103+'Electric Calendarize'!AE$4+1))</f>
        <v>1439</v>
      </c>
      <c r="AF103">
        <f ca="1">IF(OR($L103&gt;AF$4,AF$4&gt;$L103+23),"",OFFSET(Electric!$L94,0,-'Electric Calendarize'!$L103+'Electric Calendarize'!AF$4+1))</f>
        <v>1978</v>
      </c>
      <c r="AG103">
        <f ca="1">IF(OR($L103&gt;AG$4,AG$4&gt;$L103+23),"",OFFSET(Electric!$L94,0,-'Electric Calendarize'!$L103+'Electric Calendarize'!AG$4+1))</f>
        <v>822</v>
      </c>
      <c r="AH103">
        <f ca="1">IF(OR($L103&gt;AH$4,AH$4&gt;$L103+23),"",OFFSET(Electric!$L94,0,-'Electric Calendarize'!$L103+'Electric Calendarize'!AH$4+1))</f>
        <v>663</v>
      </c>
      <c r="AI103">
        <f ca="1">IF(OR($L103&gt;AI$4,AI$4&gt;$L103+23),"",OFFSET(Electric!$L94,0,-'Electric Calendarize'!$L103+'Electric Calendarize'!AI$4+1))</f>
        <v>1020</v>
      </c>
      <c r="AJ103">
        <f ca="1">IF(OR($L103&gt;AJ$4,AJ$4&gt;$L103+23),"",OFFSET(Electric!$L94,0,-'Electric Calendarize'!$L103+'Electric Calendarize'!AJ$4+1))</f>
        <v>1026</v>
      </c>
      <c r="AK103">
        <f ca="1">IF(OR($L103&gt;AK$4,AK$4&gt;$L103+23),"",OFFSET(Electric!$L94,0,-'Electric Calendarize'!$L103+'Electric Calendarize'!AK$4+1))</f>
        <v>922</v>
      </c>
      <c r="AL103">
        <f ca="1">IF(OR($L103&gt;AL$4,AL$4&gt;$L103+23),"",OFFSET(Electric!$L94,0,-'Electric Calendarize'!$L103+'Electric Calendarize'!AL$4+1))</f>
        <v>897</v>
      </c>
      <c r="AM103">
        <f ca="1">IF(OR($L103&gt;AM$4,AM$4&gt;$L103+23),"",OFFSET(Electric!$L94,0,-'Electric Calendarize'!$L103+'Electric Calendarize'!AM$4+1))</f>
        <v>788</v>
      </c>
      <c r="AN103">
        <f ca="1">IF(OR($L103&gt;AN$4,AN$4&gt;$L103+23),"",OFFSET(Electric!$L94,0,-'Electric Calendarize'!$L103+'Electric Calendarize'!AN$4+1))</f>
        <v>754</v>
      </c>
      <c r="AO103">
        <f ca="1">IF(OR($L103&gt;AO$4,AO$4&gt;$L103+23),"",OFFSET(Electric!$L94,0,-'Electric Calendarize'!$L103+'Electric Calendarize'!AO$4+1))</f>
        <v>816</v>
      </c>
      <c r="AP103">
        <f ca="1">IF(OR($L103&gt;AP$4,AP$4&gt;$L103+23),"",OFFSET(Electric!$L94,0,-'Electric Calendarize'!$L103+'Electric Calendarize'!AP$4+1))</f>
        <v>911</v>
      </c>
      <c r="AQ103">
        <f ca="1">IF(OR($L103&gt;AQ$4,AQ$4&gt;$L103+23),"",OFFSET(Electric!$L94,0,-'Electric Calendarize'!$L103+'Electric Calendarize'!AQ$4+1))</f>
        <v>1421</v>
      </c>
      <c r="AR103">
        <f ca="1">IF(OR($L103&gt;AR$4,AR$4&gt;$L103+23),"",OFFSET(Electric!$L94,0,-'Electric Calendarize'!$L103+'Electric Calendarize'!AR$4+1))</f>
        <v>1273</v>
      </c>
      <c r="AS103">
        <f ca="1">IF(OR($L103&gt;AS$4,AS$4&gt;$L103+23),"",OFFSET(Electric!$L94,0,-'Electric Calendarize'!$L103+'Electric Calendarize'!AS$4+1))</f>
        <v>796</v>
      </c>
      <c r="AT103">
        <f ca="1">IF(OR($L103&gt;AT$4,AT$4&gt;$L103+23),"",OFFSET(Electric!$L94,0,-'Electric Calendarize'!$L103+'Electric Calendarize'!AT$4+1))</f>
        <v>855</v>
      </c>
      <c r="AU103">
        <f ca="1">IF(OR($L103&gt;AU$4,AU$4&gt;$L103+23),"",OFFSET(Electric!$L94,0,-'Electric Calendarize'!$L103+'Electric Calendarize'!AU$4+1))</f>
        <v>1269</v>
      </c>
      <c r="AV103">
        <f ca="1">IF(OR($L103&gt;AV$4,AV$4&gt;$L103+23),"",OFFSET(Electric!$L94,0,-'Electric Calendarize'!$L103+'Electric Calendarize'!AV$4+1))</f>
        <v>1383</v>
      </c>
      <c r="AW103">
        <f ca="1">IF(OR($L103&gt;AW$4,AW$4&gt;$L103+23),"",OFFSET(Electric!$L94,0,-'Electric Calendarize'!$L103+'Electric Calendarize'!AW$4+1))</f>
        <v>1554</v>
      </c>
      <c r="AX103">
        <f ca="1">IF(OR($L103&gt;AX$4,AX$4&gt;$L103+23),"",OFFSET(Electric!$L94,0,-'Electric Calendarize'!$L103+'Electric Calendarize'!AX$4+1))</f>
        <v>1372</v>
      </c>
      <c r="AY103" t="str">
        <f ca="1">IF(OR($L103&gt;AY$4,AY$4&gt;$L103+23),"",OFFSET(Electric!$L94,0,-'Electric Calendarize'!$L103+'Electric Calendarize'!AY$4+1))</f>
        <v/>
      </c>
      <c r="AZ103" t="str">
        <f ca="1">IF(OR($L103&gt;AZ$4,AZ$4&gt;$L103+23),"",OFFSET(Electric!$L94,0,-'Electric Calendarize'!$L103+'Electric Calendarize'!AZ$4+1))</f>
        <v/>
      </c>
      <c r="BA103" t="str">
        <f ca="1">IF(OR($L103&gt;BA$4,BA$4&gt;$L103+23),"",OFFSET(Electric!$L94,0,-'Electric Calendarize'!$L103+'Electric Calendarize'!BA$4+1))</f>
        <v/>
      </c>
      <c r="BB103" t="str">
        <f ca="1">IF(OR($L103&gt;BB$4,BB$4&gt;$L103+23),"",OFFSET(Electric!$L94,0,-'Electric Calendarize'!$L103+'Electric Calendarize'!BB$4+1))</f>
        <v/>
      </c>
      <c r="BC103" t="str">
        <f ca="1">IF(OR($L103&gt;BC$4,BC$4&gt;$L103+23),"",OFFSET(Electric!$L94,0,-'Electric Calendarize'!$L103+'Electric Calendarize'!BC$4+1))</f>
        <v/>
      </c>
      <c r="BD103" t="str">
        <f ca="1">IF(OR($L103&gt;BD$4,BD$4&gt;$L103+23),"",OFFSET(Electric!$L94,0,-'Electric Calendarize'!$L103+'Electric Calendarize'!BD$4+1))</f>
        <v/>
      </c>
      <c r="BE103" t="str">
        <f ca="1">IF(OR($L103&gt;BE$4,BE$4&gt;$L103+23),"",OFFSET(Electric!$L94,0,-'Electric Calendarize'!$L103+'Electric Calendarize'!BE$4+1))</f>
        <v/>
      </c>
      <c r="BF103" t="str">
        <f ca="1">IF(OR($L103&gt;BF$4,BF$4&gt;$L103+23),"",OFFSET(Electric!$L94,0,-'Electric Calendarize'!$L103+'Electric Calendarize'!BF$4+1))</f>
        <v/>
      </c>
      <c r="BG103" t="str">
        <f ca="1">IF(OR($L103&gt;BG$4,BG$4&gt;$L103+23),"",OFFSET(Electric!$L94,0,-'Electric Calendarize'!$L103+'Electric Calendarize'!BG$4+1))</f>
        <v/>
      </c>
      <c r="BJ103" s="10" t="s">
        <v>37</v>
      </c>
      <c r="BK103">
        <f t="shared" si="303"/>
        <v>1</v>
      </c>
      <c r="BL103">
        <f t="shared" si="209"/>
        <v>0</v>
      </c>
      <c r="BM103">
        <f t="shared" si="210"/>
        <v>0</v>
      </c>
      <c r="BN103">
        <f t="shared" si="211"/>
        <v>0</v>
      </c>
      <c r="BO103">
        <f t="shared" si="212"/>
        <v>0</v>
      </c>
      <c r="BP103">
        <f t="shared" si="213"/>
        <v>0</v>
      </c>
      <c r="BQ103">
        <f t="shared" si="214"/>
        <v>0</v>
      </c>
      <c r="BR103">
        <f t="shared" si="215"/>
        <v>1</v>
      </c>
      <c r="BS103">
        <f t="shared" si="216"/>
        <v>1</v>
      </c>
      <c r="BT103">
        <f t="shared" si="217"/>
        <v>1</v>
      </c>
      <c r="BU103">
        <f t="shared" si="218"/>
        <v>1</v>
      </c>
      <c r="BV103">
        <f t="shared" si="219"/>
        <v>1</v>
      </c>
      <c r="BW103">
        <f t="shared" si="220"/>
        <v>1</v>
      </c>
      <c r="BX103">
        <f t="shared" si="221"/>
        <v>0</v>
      </c>
      <c r="BY103">
        <f t="shared" si="222"/>
        <v>0</v>
      </c>
      <c r="BZ103">
        <f t="shared" si="223"/>
        <v>0</v>
      </c>
      <c r="CA103">
        <f t="shared" si="224"/>
        <v>0</v>
      </c>
      <c r="CB103">
        <f t="shared" si="225"/>
        <v>0</v>
      </c>
      <c r="CC103">
        <f t="shared" si="226"/>
        <v>0</v>
      </c>
      <c r="CD103">
        <f t="shared" si="227"/>
        <v>1</v>
      </c>
      <c r="CE103">
        <f t="shared" si="228"/>
        <v>1</v>
      </c>
      <c r="CF103">
        <f t="shared" si="229"/>
        <v>1</v>
      </c>
      <c r="CG103">
        <f t="shared" si="230"/>
        <v>1</v>
      </c>
      <c r="CH103">
        <f t="shared" si="231"/>
        <v>1</v>
      </c>
      <c r="CI103">
        <f t="shared" si="232"/>
        <v>1</v>
      </c>
      <c r="CJ103">
        <f t="shared" si="233"/>
        <v>0</v>
      </c>
      <c r="CK103">
        <f t="shared" si="234"/>
        <v>0</v>
      </c>
      <c r="CL103">
        <f t="shared" si="235"/>
        <v>0</v>
      </c>
      <c r="CM103">
        <f t="shared" si="236"/>
        <v>0</v>
      </c>
      <c r="CN103">
        <f t="shared" si="237"/>
        <v>0</v>
      </c>
      <c r="CO103">
        <f t="shared" si="238"/>
        <v>0</v>
      </c>
      <c r="CP103">
        <f t="shared" si="239"/>
        <v>1</v>
      </c>
      <c r="CQ103">
        <f t="shared" si="240"/>
        <v>1</v>
      </c>
      <c r="CR103">
        <f t="shared" si="241"/>
        <v>1</v>
      </c>
      <c r="CS103">
        <f t="shared" si="242"/>
        <v>1</v>
      </c>
      <c r="CT103">
        <f t="shared" si="243"/>
        <v>1</v>
      </c>
      <c r="CU103">
        <f t="shared" si="244"/>
        <v>1</v>
      </c>
      <c r="CV103">
        <f t="shared" si="245"/>
        <v>0</v>
      </c>
      <c r="CW103">
        <f t="shared" si="246"/>
        <v>0</v>
      </c>
      <c r="CX103">
        <f t="shared" si="247"/>
        <v>0</v>
      </c>
      <c r="CY103">
        <f t="shared" si="248"/>
        <v>0</v>
      </c>
      <c r="CZ103">
        <f t="shared" si="249"/>
        <v>0</v>
      </c>
      <c r="DA103">
        <f t="shared" si="250"/>
        <v>0</v>
      </c>
      <c r="DB103">
        <f t="shared" si="251"/>
        <v>1</v>
      </c>
      <c r="DC103">
        <f t="shared" si="252"/>
        <v>1</v>
      </c>
      <c r="DF103" s="10" t="s">
        <v>37</v>
      </c>
      <c r="DG103" t="str">
        <f t="shared" si="308"/>
        <v>2022_4</v>
      </c>
      <c r="DH103" t="str">
        <f t="shared" si="308"/>
        <v>2022_4</v>
      </c>
      <c r="DI103" t="str">
        <f t="shared" si="308"/>
        <v>2022_4</v>
      </c>
      <c r="DJ103" t="str">
        <f t="shared" si="308"/>
        <v>2022_4</v>
      </c>
      <c r="DK103" t="str">
        <f t="shared" si="308"/>
        <v>2022_4</v>
      </c>
      <c r="DL103" t="str">
        <f t="shared" si="308"/>
        <v>2022_4</v>
      </c>
      <c r="DM103" t="str">
        <f t="shared" si="308"/>
        <v>2022_4</v>
      </c>
      <c r="DN103" t="str">
        <f t="shared" si="308"/>
        <v>2022_4</v>
      </c>
      <c r="DO103" t="str">
        <f t="shared" si="308"/>
        <v>2022_4</v>
      </c>
      <c r="DP103" t="str">
        <f t="shared" si="308"/>
        <v>2022_4</v>
      </c>
      <c r="DQ103" t="str">
        <f t="shared" si="308"/>
        <v>2022_4</v>
      </c>
      <c r="DR103" t="str">
        <f t="shared" si="308"/>
        <v>2022_4</v>
      </c>
      <c r="DS103" t="str">
        <f t="shared" si="308"/>
        <v>2022_4</v>
      </c>
      <c r="DT103" t="str">
        <f t="shared" si="308"/>
        <v>2022_4</v>
      </c>
      <c r="DU103" t="str">
        <f t="shared" si="308"/>
        <v>2022_4</v>
      </c>
      <c r="DV103" t="str">
        <f t="shared" si="308"/>
        <v>2022_4</v>
      </c>
      <c r="DW103" t="str">
        <f t="shared" si="307"/>
        <v>2022_4</v>
      </c>
      <c r="DX103" t="str">
        <f t="shared" si="307"/>
        <v>2022_4</v>
      </c>
      <c r="DY103" t="str">
        <f t="shared" si="307"/>
        <v>2022_4</v>
      </c>
      <c r="DZ103" t="str">
        <f t="shared" si="307"/>
        <v>2022_4</v>
      </c>
      <c r="EA103" t="str">
        <f t="shared" si="307"/>
        <v>2022_4</v>
      </c>
      <c r="EB103" t="str">
        <f t="shared" si="307"/>
        <v>2022_4</v>
      </c>
      <c r="EC103" t="str">
        <f t="shared" si="307"/>
        <v>2022_4</v>
      </c>
      <c r="ED103" t="str">
        <f t="shared" si="307"/>
        <v>2022_4</v>
      </c>
      <c r="EE103" t="str">
        <f t="shared" si="307"/>
        <v>2022_4</v>
      </c>
      <c r="EF103" t="str">
        <f t="shared" si="307"/>
        <v>2022_4</v>
      </c>
      <c r="EG103" t="str">
        <f t="shared" si="307"/>
        <v>2022_4</v>
      </c>
      <c r="EH103" t="str">
        <f t="shared" si="307"/>
        <v>2022_4</v>
      </c>
      <c r="EI103" t="str">
        <f t="shared" si="307"/>
        <v>2022_4</v>
      </c>
      <c r="EJ103" t="str">
        <f t="shared" si="307"/>
        <v>2022_4</v>
      </c>
      <c r="EK103" t="str">
        <f t="shared" si="306"/>
        <v>2022_4</v>
      </c>
      <c r="EL103" t="str">
        <f t="shared" si="306"/>
        <v>2022_4</v>
      </c>
      <c r="EM103" t="str">
        <f t="shared" si="306"/>
        <v>2022_4</v>
      </c>
      <c r="EN103" t="str">
        <f t="shared" si="306"/>
        <v>2022_4</v>
      </c>
      <c r="EO103" t="str">
        <f t="shared" si="306"/>
        <v>2022_4</v>
      </c>
      <c r="EP103" t="str">
        <f t="shared" si="306"/>
        <v>2022_4</v>
      </c>
      <c r="EQ103" t="str">
        <f t="shared" si="306"/>
        <v>2022_4</v>
      </c>
      <c r="ER103" t="str">
        <f t="shared" si="306"/>
        <v>2022_4</v>
      </c>
      <c r="ES103" t="str">
        <f t="shared" si="306"/>
        <v>2022_4</v>
      </c>
      <c r="ET103" t="str">
        <f t="shared" si="306"/>
        <v>2022_4</v>
      </c>
      <c r="EU103" t="str">
        <f t="shared" si="306"/>
        <v>2022_4</v>
      </c>
      <c r="EV103" t="str">
        <f t="shared" si="306"/>
        <v>2022_4</v>
      </c>
      <c r="EW103" t="str">
        <f t="shared" si="306"/>
        <v>2022_4</v>
      </c>
      <c r="EX103" t="str">
        <f t="shared" si="306"/>
        <v>2022_4</v>
      </c>
      <c r="EY103" t="str">
        <f t="shared" si="306"/>
        <v>2022_4</v>
      </c>
      <c r="FB103" s="10" t="s">
        <v>37</v>
      </c>
      <c r="FC103">
        <f t="shared" si="305"/>
        <v>0</v>
      </c>
      <c r="FD103">
        <f t="shared" si="255"/>
        <v>0</v>
      </c>
      <c r="FE103">
        <f t="shared" si="256"/>
        <v>0</v>
      </c>
      <c r="FF103">
        <f t="shared" si="257"/>
        <v>0</v>
      </c>
      <c r="FG103">
        <f t="shared" si="258"/>
        <v>0</v>
      </c>
      <c r="FH103">
        <f t="shared" si="259"/>
        <v>0</v>
      </c>
      <c r="FI103">
        <f t="shared" si="260"/>
        <v>0</v>
      </c>
      <c r="FJ103">
        <f t="shared" si="261"/>
        <v>0</v>
      </c>
      <c r="FK103">
        <f t="shared" si="262"/>
        <v>0</v>
      </c>
      <c r="FL103">
        <f t="shared" si="263"/>
        <v>0</v>
      </c>
      <c r="FM103">
        <f t="shared" si="264"/>
        <v>0</v>
      </c>
      <c r="FN103">
        <f t="shared" si="265"/>
        <v>0</v>
      </c>
      <c r="FO103">
        <f t="shared" si="266"/>
        <v>0</v>
      </c>
      <c r="FP103">
        <f t="shared" si="267"/>
        <v>0</v>
      </c>
      <c r="FQ103">
        <f t="shared" si="268"/>
        <v>0</v>
      </c>
      <c r="FR103">
        <f t="shared" si="269"/>
        <v>0</v>
      </c>
      <c r="FS103">
        <f t="shared" si="270"/>
        <v>0</v>
      </c>
      <c r="FT103">
        <f t="shared" si="271"/>
        <v>0</v>
      </c>
      <c r="FU103">
        <f t="shared" si="272"/>
        <v>0</v>
      </c>
      <c r="FV103">
        <f t="shared" si="273"/>
        <v>0</v>
      </c>
      <c r="FW103">
        <f t="shared" si="274"/>
        <v>0</v>
      </c>
      <c r="FX103">
        <f t="shared" si="275"/>
        <v>0</v>
      </c>
      <c r="FY103">
        <f t="shared" si="276"/>
        <v>0</v>
      </c>
      <c r="FZ103">
        <f t="shared" si="277"/>
        <v>0</v>
      </c>
      <c r="GA103">
        <f t="shared" si="278"/>
        <v>1</v>
      </c>
      <c r="GB103">
        <f t="shared" si="279"/>
        <v>1</v>
      </c>
      <c r="GC103">
        <f t="shared" si="280"/>
        <v>1</v>
      </c>
      <c r="GD103">
        <f t="shared" si="281"/>
        <v>1</v>
      </c>
      <c r="GE103">
        <f t="shared" si="282"/>
        <v>1</v>
      </c>
      <c r="GF103">
        <f t="shared" si="283"/>
        <v>1</v>
      </c>
      <c r="GG103">
        <f t="shared" si="284"/>
        <v>1</v>
      </c>
      <c r="GH103">
        <f t="shared" si="285"/>
        <v>1</v>
      </c>
      <c r="GI103">
        <f t="shared" si="286"/>
        <v>1</v>
      </c>
      <c r="GJ103">
        <f t="shared" si="287"/>
        <v>1</v>
      </c>
      <c r="GK103">
        <f t="shared" si="288"/>
        <v>1</v>
      </c>
      <c r="GL103">
        <f t="shared" si="289"/>
        <v>1</v>
      </c>
      <c r="GM103">
        <f t="shared" si="290"/>
        <v>1</v>
      </c>
      <c r="GN103">
        <f t="shared" si="291"/>
        <v>1</v>
      </c>
      <c r="GO103">
        <f t="shared" si="292"/>
        <v>1</v>
      </c>
      <c r="GP103">
        <f t="shared" si="293"/>
        <v>1</v>
      </c>
      <c r="GQ103">
        <f t="shared" si="294"/>
        <v>1</v>
      </c>
      <c r="GR103">
        <f t="shared" si="295"/>
        <v>1</v>
      </c>
      <c r="GS103">
        <f t="shared" si="296"/>
        <v>1</v>
      </c>
      <c r="GT103">
        <f t="shared" si="297"/>
        <v>1</v>
      </c>
      <c r="GU103">
        <f t="shared" si="298"/>
        <v>1</v>
      </c>
      <c r="GX103" s="10"/>
    </row>
    <row r="104" spans="1:206" x14ac:dyDescent="0.3">
      <c r="A104" s="9" t="s">
        <v>117</v>
      </c>
      <c r="B104" s="80"/>
      <c r="C104" s="9">
        <v>3130139002</v>
      </c>
      <c r="D104" s="9" t="s">
        <v>410</v>
      </c>
      <c r="E104" s="9" t="s">
        <v>34</v>
      </c>
      <c r="F104" s="9" t="s">
        <v>35</v>
      </c>
      <c r="G104" s="9" t="s">
        <v>137</v>
      </c>
      <c r="H104" s="10">
        <v>44681</v>
      </c>
      <c r="I104" s="9">
        <f t="shared" si="299"/>
        <v>2022</v>
      </c>
      <c r="J104" s="9">
        <f t="shared" si="300"/>
        <v>4</v>
      </c>
      <c r="K104" s="9" t="str">
        <f t="shared" si="301"/>
        <v>2022_4</v>
      </c>
      <c r="L104">
        <f>MAX(0,VLOOKUP($K104,lookups!$A$1:$B$45,2,0)-12)</f>
        <v>12</v>
      </c>
      <c r="M104" s="40">
        <f t="shared" si="302"/>
        <v>44652</v>
      </c>
      <c r="N104" s="10" t="s">
        <v>37</v>
      </c>
      <c r="O104" t="str">
        <f ca="1">IF(OR($L104&gt;O$4,O$4&gt;$L104+23),"",OFFSET(Electric!$L95,0,-'Electric Calendarize'!$L104+'Electric Calendarize'!O$4+1))</f>
        <v/>
      </c>
      <c r="P104" t="str">
        <f ca="1">IF(OR($L104&gt;P$4,P$4&gt;$L104+23),"",OFFSET(Electric!$L95,0,-'Electric Calendarize'!$L104+'Electric Calendarize'!P$4+1))</f>
        <v/>
      </c>
      <c r="Q104" t="str">
        <f ca="1">IF(OR($L104&gt;Q$4,Q$4&gt;$L104+23),"",OFFSET(Electric!$L95,0,-'Electric Calendarize'!$L104+'Electric Calendarize'!Q$4+1))</f>
        <v/>
      </c>
      <c r="R104" t="str">
        <f ca="1">IF(OR($L104&gt;R$4,R$4&gt;$L104+23),"",OFFSET(Electric!$L95,0,-'Electric Calendarize'!$L104+'Electric Calendarize'!R$4+1))</f>
        <v/>
      </c>
      <c r="S104" t="str">
        <f ca="1">IF(OR($L104&gt;S$4,S$4&gt;$L104+23),"",OFFSET(Electric!$L95,0,-'Electric Calendarize'!$L104+'Electric Calendarize'!S$4+1))</f>
        <v/>
      </c>
      <c r="T104" t="str">
        <f ca="1">IF(OR($L104&gt;T$4,T$4&gt;$L104+23),"",OFFSET(Electric!$L95,0,-'Electric Calendarize'!$L104+'Electric Calendarize'!T$4+1))</f>
        <v/>
      </c>
      <c r="U104" t="str">
        <f ca="1">IF(OR($L104&gt;U$4,U$4&gt;$L104+23),"",OFFSET(Electric!$L95,0,-'Electric Calendarize'!$L104+'Electric Calendarize'!U$4+1))</f>
        <v/>
      </c>
      <c r="V104" t="str">
        <f ca="1">IF(OR($L104&gt;V$4,V$4&gt;$L104+23),"",OFFSET(Electric!$L95,0,-'Electric Calendarize'!$L104+'Electric Calendarize'!V$4+1))</f>
        <v/>
      </c>
      <c r="W104" t="str">
        <f ca="1">IF(OR($L104&gt;W$4,W$4&gt;$L104+23),"",OFFSET(Electric!$L95,0,-'Electric Calendarize'!$L104+'Electric Calendarize'!W$4+1))</f>
        <v/>
      </c>
      <c r="X104" t="str">
        <f ca="1">IF(OR($L104&gt;X$4,X$4&gt;$L104+23),"",OFFSET(Electric!$L95,0,-'Electric Calendarize'!$L104+'Electric Calendarize'!X$4+1))</f>
        <v/>
      </c>
      <c r="Y104" t="str">
        <f ca="1">IF(OR($L104&gt;Y$4,Y$4&gt;$L104+23),"",OFFSET(Electric!$L95,0,-'Electric Calendarize'!$L104+'Electric Calendarize'!Y$4+1))</f>
        <v/>
      </c>
      <c r="Z104" t="str">
        <f ca="1">IF(OR($L104&gt;Z$4,Z$4&gt;$L104+23),"",OFFSET(Electric!$L95,0,-'Electric Calendarize'!$L104+'Electric Calendarize'!Z$4+1))</f>
        <v/>
      </c>
      <c r="AA104">
        <f ca="1">IF(OR($L104&gt;AA$4,AA$4&gt;$L104+23),"",OFFSET(Electric!$L95,0,-'Electric Calendarize'!$L104+'Electric Calendarize'!AA$4+1))</f>
        <v>0</v>
      </c>
      <c r="AB104">
        <f ca="1">IF(OR($L104&gt;AB$4,AB$4&gt;$L104+23),"",OFFSET(Electric!$L95,0,-'Electric Calendarize'!$L104+'Electric Calendarize'!AB$4+1))</f>
        <v>0</v>
      </c>
      <c r="AC104">
        <f ca="1">IF(OR($L104&gt;AC$4,AC$4&gt;$L104+23),"",OFFSET(Electric!$L95,0,-'Electric Calendarize'!$L104+'Electric Calendarize'!AC$4+1))</f>
        <v>0</v>
      </c>
      <c r="AD104">
        <f ca="1">IF(OR($L104&gt;AD$4,AD$4&gt;$L104+23),"",OFFSET(Electric!$L95,0,-'Electric Calendarize'!$L104+'Electric Calendarize'!AD$4+1))</f>
        <v>0</v>
      </c>
      <c r="AE104">
        <f ca="1">IF(OR($L104&gt;AE$4,AE$4&gt;$L104+23),"",OFFSET(Electric!$L95,0,-'Electric Calendarize'!$L104+'Electric Calendarize'!AE$4+1))</f>
        <v>0</v>
      </c>
      <c r="AF104">
        <f ca="1">IF(OR($L104&gt;AF$4,AF$4&gt;$L104+23),"",OFFSET(Electric!$L95,0,-'Electric Calendarize'!$L104+'Electric Calendarize'!AF$4+1))</f>
        <v>0</v>
      </c>
      <c r="AG104">
        <f ca="1">IF(OR($L104&gt;AG$4,AG$4&gt;$L104+23),"",OFFSET(Electric!$L95,0,-'Electric Calendarize'!$L104+'Electric Calendarize'!AG$4+1))</f>
        <v>0</v>
      </c>
      <c r="AH104">
        <f ca="1">IF(OR($L104&gt;AH$4,AH$4&gt;$L104+23),"",OFFSET(Electric!$L95,0,-'Electric Calendarize'!$L104+'Electric Calendarize'!AH$4+1))</f>
        <v>587</v>
      </c>
      <c r="AI104">
        <f ca="1">IF(OR($L104&gt;AI$4,AI$4&gt;$L104+23),"",OFFSET(Electric!$L95,0,-'Electric Calendarize'!$L104+'Electric Calendarize'!AI$4+1))</f>
        <v>942</v>
      </c>
      <c r="AJ104">
        <f ca="1">IF(OR($L104&gt;AJ$4,AJ$4&gt;$L104+23),"",OFFSET(Electric!$L95,0,-'Electric Calendarize'!$L104+'Electric Calendarize'!AJ$4+1))</f>
        <v>1040</v>
      </c>
      <c r="AK104">
        <f ca="1">IF(OR($L104&gt;AK$4,AK$4&gt;$L104+23),"",OFFSET(Electric!$L95,0,-'Electric Calendarize'!$L104+'Electric Calendarize'!AK$4+1))</f>
        <v>943</v>
      </c>
      <c r="AL104">
        <f ca="1">IF(OR($L104&gt;AL$4,AL$4&gt;$L104+23),"",OFFSET(Electric!$L95,0,-'Electric Calendarize'!$L104+'Electric Calendarize'!AL$4+1))</f>
        <v>894</v>
      </c>
      <c r="AM104">
        <f ca="1">IF(OR($L104&gt;AM$4,AM$4&gt;$L104+23),"",OFFSET(Electric!$L95,0,-'Electric Calendarize'!$L104+'Electric Calendarize'!AM$4+1))</f>
        <v>830</v>
      </c>
      <c r="AN104">
        <f ca="1">IF(OR($L104&gt;AN$4,AN$4&gt;$L104+23),"",OFFSET(Electric!$L95,0,-'Electric Calendarize'!$L104+'Electric Calendarize'!AN$4+1))</f>
        <v>930</v>
      </c>
      <c r="AO104">
        <f ca="1">IF(OR($L104&gt;AO$4,AO$4&gt;$L104+23),"",OFFSET(Electric!$L95,0,-'Electric Calendarize'!$L104+'Electric Calendarize'!AO$4+1))</f>
        <v>911</v>
      </c>
      <c r="AP104">
        <f ca="1">IF(OR($L104&gt;AP$4,AP$4&gt;$L104+23),"",OFFSET(Electric!$L95,0,-'Electric Calendarize'!$L104+'Electric Calendarize'!AP$4+1))</f>
        <v>1213</v>
      </c>
      <c r="AQ104">
        <f ca="1">IF(OR($L104&gt;AQ$4,AQ$4&gt;$L104+23),"",OFFSET(Electric!$L95,0,-'Electric Calendarize'!$L104+'Electric Calendarize'!AQ$4+1))</f>
        <v>1217</v>
      </c>
      <c r="AR104">
        <f ca="1">IF(OR($L104&gt;AR$4,AR$4&gt;$L104+23),"",OFFSET(Electric!$L95,0,-'Electric Calendarize'!$L104+'Electric Calendarize'!AR$4+1))</f>
        <v>940</v>
      </c>
      <c r="AS104">
        <f ca="1">IF(OR($L104&gt;AS$4,AS$4&gt;$L104+23),"",OFFSET(Electric!$L95,0,-'Electric Calendarize'!$L104+'Electric Calendarize'!AS$4+1))</f>
        <v>957</v>
      </c>
      <c r="AT104">
        <f ca="1">IF(OR($L104&gt;AT$4,AT$4&gt;$L104+23),"",OFFSET(Electric!$L95,0,-'Electric Calendarize'!$L104+'Electric Calendarize'!AT$4+1))</f>
        <v>1559</v>
      </c>
      <c r="AU104">
        <f ca="1">IF(OR($L104&gt;AU$4,AU$4&gt;$L104+23),"",OFFSET(Electric!$L95,0,-'Electric Calendarize'!$L104+'Electric Calendarize'!AU$4+1))</f>
        <v>1134</v>
      </c>
      <c r="AV104">
        <f ca="1">IF(OR($L104&gt;AV$4,AV$4&gt;$L104+23),"",OFFSET(Electric!$L95,0,-'Electric Calendarize'!$L104+'Electric Calendarize'!AV$4+1))</f>
        <v>1126</v>
      </c>
      <c r="AW104">
        <f ca="1">IF(OR($L104&gt;AW$4,AW$4&gt;$L104+23),"",OFFSET(Electric!$L95,0,-'Electric Calendarize'!$L104+'Electric Calendarize'!AW$4+1))</f>
        <v>1127</v>
      </c>
      <c r="AX104">
        <f ca="1">IF(OR($L104&gt;AX$4,AX$4&gt;$L104+23),"",OFFSET(Electric!$L95,0,-'Electric Calendarize'!$L104+'Electric Calendarize'!AX$4+1))</f>
        <v>1038</v>
      </c>
      <c r="AY104" t="str">
        <f ca="1">IF(OR($L104&gt;AY$4,AY$4&gt;$L104+23),"",OFFSET(Electric!$L95,0,-'Electric Calendarize'!$L104+'Electric Calendarize'!AY$4+1))</f>
        <v/>
      </c>
      <c r="AZ104" t="str">
        <f ca="1">IF(OR($L104&gt;AZ$4,AZ$4&gt;$L104+23),"",OFFSET(Electric!$L95,0,-'Electric Calendarize'!$L104+'Electric Calendarize'!AZ$4+1))</f>
        <v/>
      </c>
      <c r="BA104" t="str">
        <f ca="1">IF(OR($L104&gt;BA$4,BA$4&gt;$L104+23),"",OFFSET(Electric!$L95,0,-'Electric Calendarize'!$L104+'Electric Calendarize'!BA$4+1))</f>
        <v/>
      </c>
      <c r="BB104" t="str">
        <f ca="1">IF(OR($L104&gt;BB$4,BB$4&gt;$L104+23),"",OFFSET(Electric!$L95,0,-'Electric Calendarize'!$L104+'Electric Calendarize'!BB$4+1))</f>
        <v/>
      </c>
      <c r="BC104" t="str">
        <f ca="1">IF(OR($L104&gt;BC$4,BC$4&gt;$L104+23),"",OFFSET(Electric!$L95,0,-'Electric Calendarize'!$L104+'Electric Calendarize'!BC$4+1))</f>
        <v/>
      </c>
      <c r="BD104" t="str">
        <f ca="1">IF(OR($L104&gt;BD$4,BD$4&gt;$L104+23),"",OFFSET(Electric!$L95,0,-'Electric Calendarize'!$L104+'Electric Calendarize'!BD$4+1))</f>
        <v/>
      </c>
      <c r="BE104" t="str">
        <f ca="1">IF(OR($L104&gt;BE$4,BE$4&gt;$L104+23),"",OFFSET(Electric!$L95,0,-'Electric Calendarize'!$L104+'Electric Calendarize'!BE$4+1))</f>
        <v/>
      </c>
      <c r="BF104" t="str">
        <f ca="1">IF(OR($L104&gt;BF$4,BF$4&gt;$L104+23),"",OFFSET(Electric!$L95,0,-'Electric Calendarize'!$L104+'Electric Calendarize'!BF$4+1))</f>
        <v/>
      </c>
      <c r="BG104" t="str">
        <f ca="1">IF(OR($L104&gt;BG$4,BG$4&gt;$L104+23),"",OFFSET(Electric!$L95,0,-'Electric Calendarize'!$L104+'Electric Calendarize'!BG$4+1))</f>
        <v/>
      </c>
      <c r="BJ104" s="10" t="s">
        <v>37</v>
      </c>
      <c r="BK104">
        <f t="shared" si="303"/>
        <v>1</v>
      </c>
      <c r="BL104">
        <f t="shared" si="209"/>
        <v>0</v>
      </c>
      <c r="BM104">
        <f t="shared" si="210"/>
        <v>0</v>
      </c>
      <c r="BN104">
        <f t="shared" si="211"/>
        <v>0</v>
      </c>
      <c r="BO104">
        <f t="shared" si="212"/>
        <v>0</v>
      </c>
      <c r="BP104">
        <f t="shared" si="213"/>
        <v>0</v>
      </c>
      <c r="BQ104">
        <f t="shared" si="214"/>
        <v>0</v>
      </c>
      <c r="BR104">
        <f t="shared" si="215"/>
        <v>1</v>
      </c>
      <c r="BS104">
        <f t="shared" si="216"/>
        <v>1</v>
      </c>
      <c r="BT104">
        <f t="shared" si="217"/>
        <v>1</v>
      </c>
      <c r="BU104">
        <f t="shared" si="218"/>
        <v>1</v>
      </c>
      <c r="BV104">
        <f t="shared" si="219"/>
        <v>1</v>
      </c>
      <c r="BW104">
        <f t="shared" si="220"/>
        <v>1</v>
      </c>
      <c r="BX104">
        <f t="shared" si="221"/>
        <v>0</v>
      </c>
      <c r="BY104">
        <f t="shared" si="222"/>
        <v>0</v>
      </c>
      <c r="BZ104">
        <f t="shared" si="223"/>
        <v>0</v>
      </c>
      <c r="CA104">
        <f t="shared" si="224"/>
        <v>0</v>
      </c>
      <c r="CB104">
        <f t="shared" si="225"/>
        <v>0</v>
      </c>
      <c r="CC104">
        <f t="shared" si="226"/>
        <v>0</v>
      </c>
      <c r="CD104">
        <f t="shared" si="227"/>
        <v>1</v>
      </c>
      <c r="CE104">
        <f t="shared" si="228"/>
        <v>1</v>
      </c>
      <c r="CF104">
        <f t="shared" si="229"/>
        <v>1</v>
      </c>
      <c r="CG104">
        <f t="shared" si="230"/>
        <v>1</v>
      </c>
      <c r="CH104">
        <f t="shared" si="231"/>
        <v>1</v>
      </c>
      <c r="CI104">
        <f t="shared" si="232"/>
        <v>1</v>
      </c>
      <c r="CJ104">
        <f t="shared" si="233"/>
        <v>0</v>
      </c>
      <c r="CK104">
        <f t="shared" si="234"/>
        <v>0</v>
      </c>
      <c r="CL104">
        <f t="shared" si="235"/>
        <v>0</v>
      </c>
      <c r="CM104">
        <f t="shared" si="236"/>
        <v>0</v>
      </c>
      <c r="CN104">
        <f t="shared" si="237"/>
        <v>0</v>
      </c>
      <c r="CO104">
        <f t="shared" si="238"/>
        <v>0</v>
      </c>
      <c r="CP104">
        <f t="shared" si="239"/>
        <v>1</v>
      </c>
      <c r="CQ104">
        <f t="shared" si="240"/>
        <v>1</v>
      </c>
      <c r="CR104">
        <f t="shared" si="241"/>
        <v>1</v>
      </c>
      <c r="CS104">
        <f t="shared" si="242"/>
        <v>1</v>
      </c>
      <c r="CT104">
        <f t="shared" si="243"/>
        <v>1</v>
      </c>
      <c r="CU104">
        <f t="shared" si="244"/>
        <v>1</v>
      </c>
      <c r="CV104">
        <f t="shared" si="245"/>
        <v>0</v>
      </c>
      <c r="CW104">
        <f t="shared" si="246"/>
        <v>0</v>
      </c>
      <c r="CX104">
        <f t="shared" si="247"/>
        <v>0</v>
      </c>
      <c r="CY104">
        <f t="shared" si="248"/>
        <v>0</v>
      </c>
      <c r="CZ104">
        <f t="shared" si="249"/>
        <v>0</v>
      </c>
      <c r="DA104">
        <f t="shared" si="250"/>
        <v>0</v>
      </c>
      <c r="DB104">
        <f t="shared" si="251"/>
        <v>1</v>
      </c>
      <c r="DC104">
        <f t="shared" si="252"/>
        <v>1</v>
      </c>
      <c r="DF104" s="10" t="s">
        <v>37</v>
      </c>
      <c r="DG104" t="str">
        <f t="shared" si="308"/>
        <v>2022_4</v>
      </c>
      <c r="DH104" t="str">
        <f t="shared" si="308"/>
        <v>2022_4</v>
      </c>
      <c r="DI104" t="str">
        <f t="shared" si="308"/>
        <v>2022_4</v>
      </c>
      <c r="DJ104" t="str">
        <f t="shared" si="308"/>
        <v>2022_4</v>
      </c>
      <c r="DK104" t="str">
        <f t="shared" si="308"/>
        <v>2022_4</v>
      </c>
      <c r="DL104" t="str">
        <f t="shared" si="308"/>
        <v>2022_4</v>
      </c>
      <c r="DM104" t="str">
        <f t="shared" si="308"/>
        <v>2022_4</v>
      </c>
      <c r="DN104" t="str">
        <f t="shared" si="308"/>
        <v>2022_4</v>
      </c>
      <c r="DO104" t="str">
        <f t="shared" si="308"/>
        <v>2022_4</v>
      </c>
      <c r="DP104" t="str">
        <f t="shared" si="308"/>
        <v>2022_4</v>
      </c>
      <c r="DQ104" t="str">
        <f t="shared" si="308"/>
        <v>2022_4</v>
      </c>
      <c r="DR104" t="str">
        <f t="shared" si="308"/>
        <v>2022_4</v>
      </c>
      <c r="DS104" t="str">
        <f t="shared" si="308"/>
        <v>2022_4</v>
      </c>
      <c r="DT104" t="str">
        <f t="shared" si="308"/>
        <v>2022_4</v>
      </c>
      <c r="DU104" t="str">
        <f t="shared" si="308"/>
        <v>2022_4</v>
      </c>
      <c r="DV104" t="str">
        <f t="shared" si="308"/>
        <v>2022_4</v>
      </c>
      <c r="DW104" t="str">
        <f t="shared" si="307"/>
        <v>2022_4</v>
      </c>
      <c r="DX104" t="str">
        <f t="shared" si="307"/>
        <v>2022_4</v>
      </c>
      <c r="DY104" t="str">
        <f t="shared" si="307"/>
        <v>2022_4</v>
      </c>
      <c r="DZ104" t="str">
        <f t="shared" si="307"/>
        <v>2022_4</v>
      </c>
      <c r="EA104" t="str">
        <f t="shared" si="307"/>
        <v>2022_4</v>
      </c>
      <c r="EB104" t="str">
        <f t="shared" si="307"/>
        <v>2022_4</v>
      </c>
      <c r="EC104" t="str">
        <f t="shared" si="307"/>
        <v>2022_4</v>
      </c>
      <c r="ED104" t="str">
        <f t="shared" si="307"/>
        <v>2022_4</v>
      </c>
      <c r="EE104" t="str">
        <f t="shared" si="307"/>
        <v>2022_4</v>
      </c>
      <c r="EF104" t="str">
        <f t="shared" si="307"/>
        <v>2022_4</v>
      </c>
      <c r="EG104" t="str">
        <f t="shared" si="307"/>
        <v>2022_4</v>
      </c>
      <c r="EH104" t="str">
        <f t="shared" si="307"/>
        <v>2022_4</v>
      </c>
      <c r="EI104" t="str">
        <f t="shared" si="307"/>
        <v>2022_4</v>
      </c>
      <c r="EJ104" t="str">
        <f t="shared" si="307"/>
        <v>2022_4</v>
      </c>
      <c r="EK104" t="str">
        <f t="shared" si="306"/>
        <v>2022_4</v>
      </c>
      <c r="EL104" t="str">
        <f t="shared" si="306"/>
        <v>2022_4</v>
      </c>
      <c r="EM104" t="str">
        <f t="shared" si="306"/>
        <v>2022_4</v>
      </c>
      <c r="EN104" t="str">
        <f t="shared" si="306"/>
        <v>2022_4</v>
      </c>
      <c r="EO104" t="str">
        <f t="shared" si="306"/>
        <v>2022_4</v>
      </c>
      <c r="EP104" t="str">
        <f t="shared" si="306"/>
        <v>2022_4</v>
      </c>
      <c r="EQ104" t="str">
        <f t="shared" si="306"/>
        <v>2022_4</v>
      </c>
      <c r="ER104" t="str">
        <f t="shared" si="306"/>
        <v>2022_4</v>
      </c>
      <c r="ES104" t="str">
        <f t="shared" si="306"/>
        <v>2022_4</v>
      </c>
      <c r="ET104" t="str">
        <f t="shared" si="306"/>
        <v>2022_4</v>
      </c>
      <c r="EU104" t="str">
        <f t="shared" si="306"/>
        <v>2022_4</v>
      </c>
      <c r="EV104" t="str">
        <f t="shared" si="306"/>
        <v>2022_4</v>
      </c>
      <c r="EW104" t="str">
        <f t="shared" si="306"/>
        <v>2022_4</v>
      </c>
      <c r="EX104" t="str">
        <f t="shared" si="306"/>
        <v>2022_4</v>
      </c>
      <c r="EY104" t="str">
        <f t="shared" si="306"/>
        <v>2022_4</v>
      </c>
      <c r="FB104" s="10" t="s">
        <v>37</v>
      </c>
      <c r="FC104">
        <f t="shared" si="305"/>
        <v>0</v>
      </c>
      <c r="FD104">
        <f t="shared" si="255"/>
        <v>0</v>
      </c>
      <c r="FE104">
        <f t="shared" si="256"/>
        <v>0</v>
      </c>
      <c r="FF104">
        <f t="shared" si="257"/>
        <v>0</v>
      </c>
      <c r="FG104">
        <f t="shared" si="258"/>
        <v>0</v>
      </c>
      <c r="FH104">
        <f t="shared" si="259"/>
        <v>0</v>
      </c>
      <c r="FI104">
        <f t="shared" si="260"/>
        <v>0</v>
      </c>
      <c r="FJ104">
        <f t="shared" si="261"/>
        <v>0</v>
      </c>
      <c r="FK104">
        <f t="shared" si="262"/>
        <v>0</v>
      </c>
      <c r="FL104">
        <f t="shared" si="263"/>
        <v>0</v>
      </c>
      <c r="FM104">
        <f t="shared" si="264"/>
        <v>0</v>
      </c>
      <c r="FN104">
        <f t="shared" si="265"/>
        <v>0</v>
      </c>
      <c r="FO104">
        <f t="shared" si="266"/>
        <v>0</v>
      </c>
      <c r="FP104">
        <f t="shared" si="267"/>
        <v>0</v>
      </c>
      <c r="FQ104">
        <f t="shared" si="268"/>
        <v>0</v>
      </c>
      <c r="FR104">
        <f t="shared" si="269"/>
        <v>0</v>
      </c>
      <c r="FS104">
        <f t="shared" si="270"/>
        <v>0</v>
      </c>
      <c r="FT104">
        <f t="shared" si="271"/>
        <v>0</v>
      </c>
      <c r="FU104">
        <f t="shared" si="272"/>
        <v>0</v>
      </c>
      <c r="FV104">
        <f t="shared" si="273"/>
        <v>0</v>
      </c>
      <c r="FW104">
        <f t="shared" si="274"/>
        <v>0</v>
      </c>
      <c r="FX104">
        <f t="shared" si="275"/>
        <v>0</v>
      </c>
      <c r="FY104">
        <f t="shared" si="276"/>
        <v>0</v>
      </c>
      <c r="FZ104">
        <f t="shared" si="277"/>
        <v>0</v>
      </c>
      <c r="GA104">
        <f t="shared" si="278"/>
        <v>1</v>
      </c>
      <c r="GB104">
        <f t="shared" si="279"/>
        <v>1</v>
      </c>
      <c r="GC104">
        <f t="shared" si="280"/>
        <v>1</v>
      </c>
      <c r="GD104">
        <f t="shared" si="281"/>
        <v>1</v>
      </c>
      <c r="GE104">
        <f t="shared" si="282"/>
        <v>1</v>
      </c>
      <c r="GF104">
        <f t="shared" si="283"/>
        <v>1</v>
      </c>
      <c r="GG104">
        <f t="shared" si="284"/>
        <v>1</v>
      </c>
      <c r="GH104">
        <f t="shared" si="285"/>
        <v>1</v>
      </c>
      <c r="GI104">
        <f t="shared" si="286"/>
        <v>1</v>
      </c>
      <c r="GJ104">
        <f t="shared" si="287"/>
        <v>1</v>
      </c>
      <c r="GK104">
        <f t="shared" si="288"/>
        <v>1</v>
      </c>
      <c r="GL104">
        <f t="shared" si="289"/>
        <v>1</v>
      </c>
      <c r="GM104">
        <f t="shared" si="290"/>
        <v>1</v>
      </c>
      <c r="GN104">
        <f t="shared" si="291"/>
        <v>1</v>
      </c>
      <c r="GO104">
        <f t="shared" si="292"/>
        <v>1</v>
      </c>
      <c r="GP104">
        <f t="shared" si="293"/>
        <v>1</v>
      </c>
      <c r="GQ104">
        <f t="shared" si="294"/>
        <v>1</v>
      </c>
      <c r="GR104">
        <f t="shared" si="295"/>
        <v>1</v>
      </c>
      <c r="GS104">
        <f t="shared" si="296"/>
        <v>1</v>
      </c>
      <c r="GT104">
        <f t="shared" si="297"/>
        <v>1</v>
      </c>
      <c r="GU104">
        <f t="shared" si="298"/>
        <v>1</v>
      </c>
      <c r="GX104" s="10"/>
    </row>
    <row r="105" spans="1:206" x14ac:dyDescent="0.3">
      <c r="A105" s="9" t="s">
        <v>124</v>
      </c>
      <c r="B105" s="80"/>
      <c r="C105" s="27">
        <v>3121700002</v>
      </c>
      <c r="D105" s="9" t="s">
        <v>386</v>
      </c>
      <c r="E105" s="9" t="s">
        <v>39</v>
      </c>
      <c r="F105" s="9" t="s">
        <v>35</v>
      </c>
      <c r="G105" s="9" t="s">
        <v>138</v>
      </c>
      <c r="H105" s="10">
        <v>44683</v>
      </c>
      <c r="I105" s="9">
        <f t="shared" si="299"/>
        <v>2022</v>
      </c>
      <c r="J105" s="9">
        <f t="shared" si="300"/>
        <v>5</v>
      </c>
      <c r="K105" s="9" t="str">
        <f t="shared" si="301"/>
        <v>2022_5</v>
      </c>
      <c r="L105">
        <f>MAX(0,VLOOKUP($K105,lookups!$A$1:$B$45,2,0)-12)</f>
        <v>13</v>
      </c>
      <c r="M105" s="40">
        <f t="shared" si="302"/>
        <v>44682</v>
      </c>
      <c r="N105" s="10" t="s">
        <v>37</v>
      </c>
      <c r="O105" t="str">
        <f ca="1">IF(OR($L105&gt;O$4,O$4&gt;$L105+23),"",OFFSET(Electric!$L96,0,-'Electric Calendarize'!$L105+'Electric Calendarize'!O$4+1))</f>
        <v/>
      </c>
      <c r="P105" t="str">
        <f ca="1">IF(OR($L105&gt;P$4,P$4&gt;$L105+23),"",OFFSET(Electric!$L96,0,-'Electric Calendarize'!$L105+'Electric Calendarize'!P$4+1))</f>
        <v/>
      </c>
      <c r="Q105" t="str">
        <f ca="1">IF(OR($L105&gt;Q$4,Q$4&gt;$L105+23),"",OFFSET(Electric!$L96,0,-'Electric Calendarize'!$L105+'Electric Calendarize'!Q$4+1))</f>
        <v/>
      </c>
      <c r="R105" t="str">
        <f ca="1">IF(OR($L105&gt;R$4,R$4&gt;$L105+23),"",OFFSET(Electric!$L96,0,-'Electric Calendarize'!$L105+'Electric Calendarize'!R$4+1))</f>
        <v/>
      </c>
      <c r="S105" t="str">
        <f ca="1">IF(OR($L105&gt;S$4,S$4&gt;$L105+23),"",OFFSET(Electric!$L96,0,-'Electric Calendarize'!$L105+'Electric Calendarize'!S$4+1))</f>
        <v/>
      </c>
      <c r="T105" t="str">
        <f ca="1">IF(OR($L105&gt;T$4,T$4&gt;$L105+23),"",OFFSET(Electric!$L96,0,-'Electric Calendarize'!$L105+'Electric Calendarize'!T$4+1))</f>
        <v/>
      </c>
      <c r="U105" t="str">
        <f ca="1">IF(OR($L105&gt;U$4,U$4&gt;$L105+23),"",OFFSET(Electric!$L96,0,-'Electric Calendarize'!$L105+'Electric Calendarize'!U$4+1))</f>
        <v/>
      </c>
      <c r="V105" t="str">
        <f ca="1">IF(OR($L105&gt;V$4,V$4&gt;$L105+23),"",OFFSET(Electric!$L96,0,-'Electric Calendarize'!$L105+'Electric Calendarize'!V$4+1))</f>
        <v/>
      </c>
      <c r="W105" t="str">
        <f ca="1">IF(OR($L105&gt;W$4,W$4&gt;$L105+23),"",OFFSET(Electric!$L96,0,-'Electric Calendarize'!$L105+'Electric Calendarize'!W$4+1))</f>
        <v/>
      </c>
      <c r="X105" t="str">
        <f ca="1">IF(OR($L105&gt;X$4,X$4&gt;$L105+23),"",OFFSET(Electric!$L96,0,-'Electric Calendarize'!$L105+'Electric Calendarize'!X$4+1))</f>
        <v/>
      </c>
      <c r="Y105" t="str">
        <f ca="1">IF(OR($L105&gt;Y$4,Y$4&gt;$L105+23),"",OFFSET(Electric!$L96,0,-'Electric Calendarize'!$L105+'Electric Calendarize'!Y$4+1))</f>
        <v/>
      </c>
      <c r="Z105" t="str">
        <f ca="1">IF(OR($L105&gt;Z$4,Z$4&gt;$L105+23),"",OFFSET(Electric!$L96,0,-'Electric Calendarize'!$L105+'Electric Calendarize'!Z$4+1))</f>
        <v/>
      </c>
      <c r="AA105" t="str">
        <f ca="1">IF(OR($L105&gt;AA$4,AA$4&gt;$L105+23),"",OFFSET(Electric!$L96,0,-'Electric Calendarize'!$L105+'Electric Calendarize'!AA$4+1))</f>
        <v/>
      </c>
      <c r="AB105">
        <f ca="1">IF(OR($L105&gt;AB$4,AB$4&gt;$L105+23),"",OFFSET(Electric!$L96,0,-'Electric Calendarize'!$L105+'Electric Calendarize'!AB$4+1))</f>
        <v>425</v>
      </c>
      <c r="AC105">
        <f ca="1">IF(OR($L105&gt;AC$4,AC$4&gt;$L105+23),"",OFFSET(Electric!$L96,0,-'Electric Calendarize'!$L105+'Electric Calendarize'!AC$4+1))</f>
        <v>962</v>
      </c>
      <c r="AD105">
        <f ca="1">IF(OR($L105&gt;AD$4,AD$4&gt;$L105+23),"",OFFSET(Electric!$L96,0,-'Electric Calendarize'!$L105+'Electric Calendarize'!AD$4+1))</f>
        <v>832</v>
      </c>
      <c r="AE105">
        <f ca="1">IF(OR($L105&gt;AE$4,AE$4&gt;$L105+23),"",OFFSET(Electric!$L96,0,-'Electric Calendarize'!$L105+'Electric Calendarize'!AE$4+1))</f>
        <v>1006</v>
      </c>
      <c r="AF105">
        <f ca="1">IF(OR($L105&gt;AF$4,AF$4&gt;$L105+23),"",OFFSET(Electric!$L96,0,-'Electric Calendarize'!$L105+'Electric Calendarize'!AF$4+1))</f>
        <v>902</v>
      </c>
      <c r="AG105">
        <f ca="1">IF(OR($L105&gt;AG$4,AG$4&gt;$L105+23),"",OFFSET(Electric!$L96,0,-'Electric Calendarize'!$L105+'Electric Calendarize'!AG$4+1))</f>
        <v>635</v>
      </c>
      <c r="AH105">
        <f ca="1">IF(OR($L105&gt;AH$4,AH$4&gt;$L105+23),"",OFFSET(Electric!$L96,0,-'Electric Calendarize'!$L105+'Electric Calendarize'!AH$4+1))</f>
        <v>631</v>
      </c>
      <c r="AI105">
        <f ca="1">IF(OR($L105&gt;AI$4,AI$4&gt;$L105+23),"",OFFSET(Electric!$L96,0,-'Electric Calendarize'!$L105+'Electric Calendarize'!AI$4+1))</f>
        <v>649</v>
      </c>
      <c r="AJ105">
        <f ca="1">IF(OR($L105&gt;AJ$4,AJ$4&gt;$L105+23),"",OFFSET(Electric!$L96,0,-'Electric Calendarize'!$L105+'Electric Calendarize'!AJ$4+1))</f>
        <v>638</v>
      </c>
      <c r="AK105">
        <f ca="1">IF(OR($L105&gt;AK$4,AK$4&gt;$L105+23),"",OFFSET(Electric!$L96,0,-'Electric Calendarize'!$L105+'Electric Calendarize'!AK$4+1))</f>
        <v>555</v>
      </c>
      <c r="AL105">
        <f ca="1">IF(OR($L105&gt;AL$4,AL$4&gt;$L105+23),"",OFFSET(Electric!$L96,0,-'Electric Calendarize'!$L105+'Electric Calendarize'!AL$4+1))</f>
        <v>610</v>
      </c>
      <c r="AM105">
        <f ca="1">IF(OR($L105&gt;AM$4,AM$4&gt;$L105+23),"",OFFSET(Electric!$L96,0,-'Electric Calendarize'!$L105+'Electric Calendarize'!AM$4+1))</f>
        <v>597</v>
      </c>
      <c r="AN105">
        <f ca="1">IF(OR($L105&gt;AN$4,AN$4&gt;$L105+23),"",OFFSET(Electric!$L96,0,-'Electric Calendarize'!$L105+'Electric Calendarize'!AN$4+1))</f>
        <v>739</v>
      </c>
      <c r="AO105">
        <f ca="1">IF(OR($L105&gt;AO$4,AO$4&gt;$L105+23),"",OFFSET(Electric!$L96,0,-'Electric Calendarize'!$L105+'Electric Calendarize'!AO$4+1))</f>
        <v>1033</v>
      </c>
      <c r="AP105">
        <f ca="1">IF(OR($L105&gt;AP$4,AP$4&gt;$L105+23),"",OFFSET(Electric!$L96,0,-'Electric Calendarize'!$L105+'Electric Calendarize'!AP$4+1))</f>
        <v>1240</v>
      </c>
      <c r="AQ105">
        <f ca="1">IF(OR($L105&gt;AQ$4,AQ$4&gt;$L105+23),"",OFFSET(Electric!$L96,0,-'Electric Calendarize'!$L105+'Electric Calendarize'!AQ$4+1))</f>
        <v>1615</v>
      </c>
      <c r="AR105">
        <f ca="1">IF(OR($L105&gt;AR$4,AR$4&gt;$L105+23),"",OFFSET(Electric!$L96,0,-'Electric Calendarize'!$L105+'Electric Calendarize'!AR$4+1))</f>
        <v>1371</v>
      </c>
      <c r="AS105">
        <f ca="1">IF(OR($L105&gt;AS$4,AS$4&gt;$L105+23),"",OFFSET(Electric!$L96,0,-'Electric Calendarize'!$L105+'Electric Calendarize'!AS$4+1))</f>
        <v>812</v>
      </c>
      <c r="AT105">
        <f ca="1">IF(OR($L105&gt;AT$4,AT$4&gt;$L105+23),"",OFFSET(Electric!$L96,0,-'Electric Calendarize'!$L105+'Electric Calendarize'!AT$4+1))</f>
        <v>924</v>
      </c>
      <c r="AU105">
        <f ca="1">IF(OR($L105&gt;AU$4,AU$4&gt;$L105+23),"",OFFSET(Electric!$L96,0,-'Electric Calendarize'!$L105+'Electric Calendarize'!AU$4+1))</f>
        <v>1045</v>
      </c>
      <c r="AV105">
        <f ca="1">IF(OR($L105&gt;AV$4,AV$4&gt;$L105+23),"",OFFSET(Electric!$L96,0,-'Electric Calendarize'!$L105+'Electric Calendarize'!AV$4+1))</f>
        <v>1638</v>
      </c>
      <c r="AW105">
        <f ca="1">IF(OR($L105&gt;AW$4,AW$4&gt;$L105+23),"",OFFSET(Electric!$L96,0,-'Electric Calendarize'!$L105+'Electric Calendarize'!AW$4+1))</f>
        <v>1969</v>
      </c>
      <c r="AX105">
        <f ca="1">IF(OR($L105&gt;AX$4,AX$4&gt;$L105+23),"",OFFSET(Electric!$L96,0,-'Electric Calendarize'!$L105+'Electric Calendarize'!AX$4+1))</f>
        <v>1587</v>
      </c>
      <c r="AY105">
        <f ca="1">IF(OR($L105&gt;AY$4,AY$4&gt;$L105+23),"",OFFSET(Electric!$L96,0,-'Electric Calendarize'!$L105+'Electric Calendarize'!AY$4+1))</f>
        <v>949</v>
      </c>
      <c r="AZ105" t="str">
        <f ca="1">IF(OR($L105&gt;AZ$4,AZ$4&gt;$L105+23),"",OFFSET(Electric!$L96,0,-'Electric Calendarize'!$L105+'Electric Calendarize'!AZ$4+1))</f>
        <v/>
      </c>
      <c r="BA105" t="str">
        <f ca="1">IF(OR($L105&gt;BA$4,BA$4&gt;$L105+23),"",OFFSET(Electric!$L96,0,-'Electric Calendarize'!$L105+'Electric Calendarize'!BA$4+1))</f>
        <v/>
      </c>
      <c r="BB105" t="str">
        <f ca="1">IF(OR($L105&gt;BB$4,BB$4&gt;$L105+23),"",OFFSET(Electric!$L96,0,-'Electric Calendarize'!$L105+'Electric Calendarize'!BB$4+1))</f>
        <v/>
      </c>
      <c r="BC105" t="str">
        <f ca="1">IF(OR($L105&gt;BC$4,BC$4&gt;$L105+23),"",OFFSET(Electric!$L96,0,-'Electric Calendarize'!$L105+'Electric Calendarize'!BC$4+1))</f>
        <v/>
      </c>
      <c r="BD105" t="str">
        <f ca="1">IF(OR($L105&gt;BD$4,BD$4&gt;$L105+23),"",OFFSET(Electric!$L96,0,-'Electric Calendarize'!$L105+'Electric Calendarize'!BD$4+1))</f>
        <v/>
      </c>
      <c r="BE105" t="str">
        <f ca="1">IF(OR($L105&gt;BE$4,BE$4&gt;$L105+23),"",OFFSET(Electric!$L96,0,-'Electric Calendarize'!$L105+'Electric Calendarize'!BE$4+1))</f>
        <v/>
      </c>
      <c r="BF105" t="str">
        <f ca="1">IF(OR($L105&gt;BF$4,BF$4&gt;$L105+23),"",OFFSET(Electric!$L96,0,-'Electric Calendarize'!$L105+'Electric Calendarize'!BF$4+1))</f>
        <v/>
      </c>
      <c r="BG105" t="str">
        <f ca="1">IF(OR($L105&gt;BG$4,BG$4&gt;$L105+23),"",OFFSET(Electric!$L96,0,-'Electric Calendarize'!$L105+'Electric Calendarize'!BG$4+1))</f>
        <v/>
      </c>
      <c r="BJ105" s="10" t="s">
        <v>37</v>
      </c>
      <c r="BK105">
        <f t="shared" si="303"/>
        <v>1</v>
      </c>
      <c r="BL105">
        <f t="shared" si="209"/>
        <v>0</v>
      </c>
      <c r="BM105">
        <f t="shared" si="210"/>
        <v>0</v>
      </c>
      <c r="BN105">
        <f t="shared" si="211"/>
        <v>0</v>
      </c>
      <c r="BO105">
        <f t="shared" si="212"/>
        <v>0</v>
      </c>
      <c r="BP105">
        <f t="shared" si="213"/>
        <v>0</v>
      </c>
      <c r="BQ105">
        <f t="shared" si="214"/>
        <v>0</v>
      </c>
      <c r="BR105">
        <f t="shared" si="215"/>
        <v>1</v>
      </c>
      <c r="BS105">
        <f t="shared" si="216"/>
        <v>1</v>
      </c>
      <c r="BT105">
        <f t="shared" si="217"/>
        <v>1</v>
      </c>
      <c r="BU105">
        <f t="shared" si="218"/>
        <v>1</v>
      </c>
      <c r="BV105">
        <f t="shared" si="219"/>
        <v>1</v>
      </c>
      <c r="BW105">
        <f t="shared" si="220"/>
        <v>1</v>
      </c>
      <c r="BX105">
        <f t="shared" si="221"/>
        <v>0</v>
      </c>
      <c r="BY105">
        <f t="shared" si="222"/>
        <v>0</v>
      </c>
      <c r="BZ105">
        <f t="shared" si="223"/>
        <v>0</v>
      </c>
      <c r="CA105">
        <f t="shared" si="224"/>
        <v>0</v>
      </c>
      <c r="CB105">
        <f t="shared" si="225"/>
        <v>0</v>
      </c>
      <c r="CC105">
        <f t="shared" si="226"/>
        <v>0</v>
      </c>
      <c r="CD105">
        <f t="shared" si="227"/>
        <v>1</v>
      </c>
      <c r="CE105">
        <f t="shared" si="228"/>
        <v>1</v>
      </c>
      <c r="CF105">
        <f t="shared" si="229"/>
        <v>1</v>
      </c>
      <c r="CG105">
        <f t="shared" si="230"/>
        <v>1</v>
      </c>
      <c r="CH105">
        <f t="shared" si="231"/>
        <v>1</v>
      </c>
      <c r="CI105">
        <f t="shared" si="232"/>
        <v>1</v>
      </c>
      <c r="CJ105">
        <f t="shared" si="233"/>
        <v>0</v>
      </c>
      <c r="CK105">
        <f t="shared" si="234"/>
        <v>0</v>
      </c>
      <c r="CL105">
        <f t="shared" si="235"/>
        <v>0</v>
      </c>
      <c r="CM105">
        <f t="shared" si="236"/>
        <v>0</v>
      </c>
      <c r="CN105">
        <f t="shared" si="237"/>
        <v>0</v>
      </c>
      <c r="CO105">
        <f t="shared" si="238"/>
        <v>0</v>
      </c>
      <c r="CP105">
        <f t="shared" si="239"/>
        <v>1</v>
      </c>
      <c r="CQ105">
        <f t="shared" si="240"/>
        <v>1</v>
      </c>
      <c r="CR105">
        <f t="shared" si="241"/>
        <v>1</v>
      </c>
      <c r="CS105">
        <f t="shared" si="242"/>
        <v>1</v>
      </c>
      <c r="CT105">
        <f t="shared" si="243"/>
        <v>1</v>
      </c>
      <c r="CU105">
        <f t="shared" si="244"/>
        <v>1</v>
      </c>
      <c r="CV105">
        <f t="shared" si="245"/>
        <v>0</v>
      </c>
      <c r="CW105">
        <f t="shared" si="246"/>
        <v>0</v>
      </c>
      <c r="CX105">
        <f t="shared" si="247"/>
        <v>0</v>
      </c>
      <c r="CY105">
        <f t="shared" si="248"/>
        <v>0</v>
      </c>
      <c r="CZ105">
        <f t="shared" si="249"/>
        <v>0</v>
      </c>
      <c r="DA105">
        <f t="shared" si="250"/>
        <v>0</v>
      </c>
      <c r="DB105">
        <f t="shared" si="251"/>
        <v>1</v>
      </c>
      <c r="DC105">
        <f t="shared" si="252"/>
        <v>1</v>
      </c>
      <c r="DF105" s="10" t="s">
        <v>37</v>
      </c>
      <c r="DG105" t="str">
        <f t="shared" si="308"/>
        <v>2022_5</v>
      </c>
      <c r="DH105" t="str">
        <f t="shared" si="308"/>
        <v>2022_5</v>
      </c>
      <c r="DI105" t="str">
        <f t="shared" si="308"/>
        <v>2022_5</v>
      </c>
      <c r="DJ105" t="str">
        <f t="shared" si="308"/>
        <v>2022_5</v>
      </c>
      <c r="DK105" t="str">
        <f t="shared" si="308"/>
        <v>2022_5</v>
      </c>
      <c r="DL105" t="str">
        <f t="shared" si="308"/>
        <v>2022_5</v>
      </c>
      <c r="DM105" t="str">
        <f t="shared" si="308"/>
        <v>2022_5</v>
      </c>
      <c r="DN105" t="str">
        <f t="shared" si="308"/>
        <v>2022_5</v>
      </c>
      <c r="DO105" t="str">
        <f t="shared" si="308"/>
        <v>2022_5</v>
      </c>
      <c r="DP105" t="str">
        <f t="shared" si="308"/>
        <v>2022_5</v>
      </c>
      <c r="DQ105" t="str">
        <f t="shared" si="308"/>
        <v>2022_5</v>
      </c>
      <c r="DR105" t="str">
        <f t="shared" si="308"/>
        <v>2022_5</v>
      </c>
      <c r="DS105" t="str">
        <f t="shared" si="308"/>
        <v>2022_5</v>
      </c>
      <c r="DT105" t="str">
        <f t="shared" si="308"/>
        <v>2022_5</v>
      </c>
      <c r="DU105" t="str">
        <f t="shared" si="308"/>
        <v>2022_5</v>
      </c>
      <c r="DV105" t="str">
        <f t="shared" si="308"/>
        <v>2022_5</v>
      </c>
      <c r="DW105" t="str">
        <f t="shared" si="307"/>
        <v>2022_5</v>
      </c>
      <c r="DX105" t="str">
        <f t="shared" si="307"/>
        <v>2022_5</v>
      </c>
      <c r="DY105" t="str">
        <f t="shared" si="307"/>
        <v>2022_5</v>
      </c>
      <c r="DZ105" t="str">
        <f t="shared" si="307"/>
        <v>2022_5</v>
      </c>
      <c r="EA105" t="str">
        <f t="shared" si="307"/>
        <v>2022_5</v>
      </c>
      <c r="EB105" t="str">
        <f t="shared" si="307"/>
        <v>2022_5</v>
      </c>
      <c r="EC105" t="str">
        <f t="shared" si="307"/>
        <v>2022_5</v>
      </c>
      <c r="ED105" t="str">
        <f t="shared" si="307"/>
        <v>2022_5</v>
      </c>
      <c r="EE105" t="str">
        <f t="shared" si="307"/>
        <v>2022_5</v>
      </c>
      <c r="EF105" t="str">
        <f t="shared" si="307"/>
        <v>2022_5</v>
      </c>
      <c r="EG105" t="str">
        <f t="shared" si="307"/>
        <v>2022_5</v>
      </c>
      <c r="EH105" t="str">
        <f t="shared" si="307"/>
        <v>2022_5</v>
      </c>
      <c r="EI105" t="str">
        <f t="shared" si="307"/>
        <v>2022_5</v>
      </c>
      <c r="EJ105" t="str">
        <f t="shared" si="307"/>
        <v>2022_5</v>
      </c>
      <c r="EK105" t="str">
        <f t="shared" si="306"/>
        <v>2022_5</v>
      </c>
      <c r="EL105" t="str">
        <f t="shared" si="306"/>
        <v>2022_5</v>
      </c>
      <c r="EM105" t="str">
        <f t="shared" si="306"/>
        <v>2022_5</v>
      </c>
      <c r="EN105" t="str">
        <f t="shared" si="306"/>
        <v>2022_5</v>
      </c>
      <c r="EO105" t="str">
        <f t="shared" si="306"/>
        <v>2022_5</v>
      </c>
      <c r="EP105" t="str">
        <f t="shared" si="306"/>
        <v>2022_5</v>
      </c>
      <c r="EQ105" t="str">
        <f t="shared" si="306"/>
        <v>2022_5</v>
      </c>
      <c r="ER105" t="str">
        <f t="shared" si="306"/>
        <v>2022_5</v>
      </c>
      <c r="ES105" t="str">
        <f t="shared" si="306"/>
        <v>2022_5</v>
      </c>
      <c r="ET105" t="str">
        <f t="shared" si="306"/>
        <v>2022_5</v>
      </c>
      <c r="EU105" t="str">
        <f t="shared" si="306"/>
        <v>2022_5</v>
      </c>
      <c r="EV105" t="str">
        <f t="shared" si="306"/>
        <v>2022_5</v>
      </c>
      <c r="EW105" t="str">
        <f t="shared" si="306"/>
        <v>2022_5</v>
      </c>
      <c r="EX105" t="str">
        <f t="shared" si="306"/>
        <v>2022_5</v>
      </c>
      <c r="EY105" t="str">
        <f t="shared" si="306"/>
        <v>2022_5</v>
      </c>
      <c r="FB105" s="10" t="s">
        <v>37</v>
      </c>
      <c r="FC105">
        <f t="shared" si="305"/>
        <v>0</v>
      </c>
      <c r="FD105">
        <f t="shared" si="255"/>
        <v>0</v>
      </c>
      <c r="FE105">
        <f t="shared" si="256"/>
        <v>0</v>
      </c>
      <c r="FF105">
        <f t="shared" si="257"/>
        <v>0</v>
      </c>
      <c r="FG105">
        <f t="shared" si="258"/>
        <v>0</v>
      </c>
      <c r="FH105">
        <f t="shared" si="259"/>
        <v>0</v>
      </c>
      <c r="FI105">
        <f t="shared" si="260"/>
        <v>0</v>
      </c>
      <c r="FJ105">
        <f t="shared" si="261"/>
        <v>0</v>
      </c>
      <c r="FK105">
        <f t="shared" si="262"/>
        <v>0</v>
      </c>
      <c r="FL105">
        <f t="shared" si="263"/>
        <v>0</v>
      </c>
      <c r="FM105">
        <f t="shared" si="264"/>
        <v>0</v>
      </c>
      <c r="FN105">
        <f t="shared" si="265"/>
        <v>0</v>
      </c>
      <c r="FO105">
        <f t="shared" si="266"/>
        <v>0</v>
      </c>
      <c r="FP105">
        <f t="shared" si="267"/>
        <v>0</v>
      </c>
      <c r="FQ105">
        <f t="shared" si="268"/>
        <v>0</v>
      </c>
      <c r="FR105">
        <f t="shared" si="269"/>
        <v>0</v>
      </c>
      <c r="FS105">
        <f t="shared" si="270"/>
        <v>0</v>
      </c>
      <c r="FT105">
        <f t="shared" si="271"/>
        <v>0</v>
      </c>
      <c r="FU105">
        <f t="shared" si="272"/>
        <v>0</v>
      </c>
      <c r="FV105">
        <f t="shared" si="273"/>
        <v>0</v>
      </c>
      <c r="FW105">
        <f t="shared" si="274"/>
        <v>0</v>
      </c>
      <c r="FX105">
        <f t="shared" si="275"/>
        <v>0</v>
      </c>
      <c r="FY105">
        <f t="shared" si="276"/>
        <v>0</v>
      </c>
      <c r="FZ105">
        <f t="shared" si="277"/>
        <v>0</v>
      </c>
      <c r="GA105">
        <f t="shared" si="278"/>
        <v>0</v>
      </c>
      <c r="GB105">
        <f t="shared" si="279"/>
        <v>1</v>
      </c>
      <c r="GC105">
        <f t="shared" si="280"/>
        <v>1</v>
      </c>
      <c r="GD105">
        <f t="shared" si="281"/>
        <v>1</v>
      </c>
      <c r="GE105">
        <f t="shared" si="282"/>
        <v>1</v>
      </c>
      <c r="GF105">
        <f t="shared" si="283"/>
        <v>1</v>
      </c>
      <c r="GG105">
        <f t="shared" si="284"/>
        <v>1</v>
      </c>
      <c r="GH105">
        <f t="shared" si="285"/>
        <v>1</v>
      </c>
      <c r="GI105">
        <f t="shared" si="286"/>
        <v>1</v>
      </c>
      <c r="GJ105">
        <f t="shared" si="287"/>
        <v>1</v>
      </c>
      <c r="GK105">
        <f t="shared" si="288"/>
        <v>1</v>
      </c>
      <c r="GL105">
        <f t="shared" si="289"/>
        <v>1</v>
      </c>
      <c r="GM105">
        <f t="shared" si="290"/>
        <v>1</v>
      </c>
      <c r="GN105">
        <f t="shared" si="291"/>
        <v>1</v>
      </c>
      <c r="GO105">
        <f t="shared" si="292"/>
        <v>1</v>
      </c>
      <c r="GP105">
        <f t="shared" si="293"/>
        <v>1</v>
      </c>
      <c r="GQ105">
        <f t="shared" si="294"/>
        <v>1</v>
      </c>
      <c r="GR105">
        <f t="shared" si="295"/>
        <v>1</v>
      </c>
      <c r="GS105">
        <f t="shared" si="296"/>
        <v>1</v>
      </c>
      <c r="GT105">
        <f t="shared" si="297"/>
        <v>1</v>
      </c>
      <c r="GU105">
        <f t="shared" si="298"/>
        <v>1</v>
      </c>
      <c r="GX105" s="10"/>
    </row>
    <row r="106" spans="1:206" x14ac:dyDescent="0.3">
      <c r="A106" s="9" t="s">
        <v>124</v>
      </c>
      <c r="B106" s="80"/>
      <c r="C106" s="9">
        <v>3151757001</v>
      </c>
      <c r="D106" s="9" t="s">
        <v>430</v>
      </c>
      <c r="E106" s="9" t="s">
        <v>43</v>
      </c>
      <c r="F106" s="9" t="s">
        <v>35</v>
      </c>
      <c r="G106" s="9" t="s">
        <v>139</v>
      </c>
      <c r="H106" s="10">
        <v>44690</v>
      </c>
      <c r="I106" s="9">
        <f t="shared" si="299"/>
        <v>2022</v>
      </c>
      <c r="J106" s="9">
        <f t="shared" si="300"/>
        <v>5</v>
      </c>
      <c r="K106" s="9" t="str">
        <f t="shared" si="301"/>
        <v>2022_5</v>
      </c>
      <c r="L106">
        <f>MAX(0,VLOOKUP($K106,lookups!$A$1:$B$45,2,0)-12)</f>
        <v>13</v>
      </c>
      <c r="M106" s="40">
        <f t="shared" si="302"/>
        <v>44682</v>
      </c>
      <c r="N106" s="10" t="s">
        <v>37</v>
      </c>
      <c r="O106" t="str">
        <f ca="1">IF(OR($L106&gt;O$4,O$4&gt;$L106+23),"",OFFSET(Electric!$L97,0,-'Electric Calendarize'!$L106+'Electric Calendarize'!O$4+1))</f>
        <v/>
      </c>
      <c r="P106" t="str">
        <f ca="1">IF(OR($L106&gt;P$4,P$4&gt;$L106+23),"",OFFSET(Electric!$L97,0,-'Electric Calendarize'!$L106+'Electric Calendarize'!P$4+1))</f>
        <v/>
      </c>
      <c r="Q106" t="str">
        <f ca="1">IF(OR($L106&gt;Q$4,Q$4&gt;$L106+23),"",OFFSET(Electric!$L97,0,-'Electric Calendarize'!$L106+'Electric Calendarize'!Q$4+1))</f>
        <v/>
      </c>
      <c r="R106" t="str">
        <f ca="1">IF(OR($L106&gt;R$4,R$4&gt;$L106+23),"",OFFSET(Electric!$L97,0,-'Electric Calendarize'!$L106+'Electric Calendarize'!R$4+1))</f>
        <v/>
      </c>
      <c r="S106" t="str">
        <f ca="1">IF(OR($L106&gt;S$4,S$4&gt;$L106+23),"",OFFSET(Electric!$L97,0,-'Electric Calendarize'!$L106+'Electric Calendarize'!S$4+1))</f>
        <v/>
      </c>
      <c r="T106" t="str">
        <f ca="1">IF(OR($L106&gt;T$4,T$4&gt;$L106+23),"",OFFSET(Electric!$L97,0,-'Electric Calendarize'!$L106+'Electric Calendarize'!T$4+1))</f>
        <v/>
      </c>
      <c r="U106" t="str">
        <f ca="1">IF(OR($L106&gt;U$4,U$4&gt;$L106+23),"",OFFSET(Electric!$L97,0,-'Electric Calendarize'!$L106+'Electric Calendarize'!U$4+1))</f>
        <v/>
      </c>
      <c r="V106" t="str">
        <f ca="1">IF(OR($L106&gt;V$4,V$4&gt;$L106+23),"",OFFSET(Electric!$L97,0,-'Electric Calendarize'!$L106+'Electric Calendarize'!V$4+1))</f>
        <v/>
      </c>
      <c r="W106" t="str">
        <f ca="1">IF(OR($L106&gt;W$4,W$4&gt;$L106+23),"",OFFSET(Electric!$L97,0,-'Electric Calendarize'!$L106+'Electric Calendarize'!W$4+1))</f>
        <v/>
      </c>
      <c r="X106" t="str">
        <f ca="1">IF(OR($L106&gt;X$4,X$4&gt;$L106+23),"",OFFSET(Electric!$L97,0,-'Electric Calendarize'!$L106+'Electric Calendarize'!X$4+1))</f>
        <v/>
      </c>
      <c r="Y106" t="str">
        <f ca="1">IF(OR($L106&gt;Y$4,Y$4&gt;$L106+23),"",OFFSET(Electric!$L97,0,-'Electric Calendarize'!$L106+'Electric Calendarize'!Y$4+1))</f>
        <v/>
      </c>
      <c r="Z106" t="str">
        <f ca="1">IF(OR($L106&gt;Z$4,Z$4&gt;$L106+23),"",OFFSET(Electric!$L97,0,-'Electric Calendarize'!$L106+'Electric Calendarize'!Z$4+1))</f>
        <v/>
      </c>
      <c r="AA106" t="str">
        <f ca="1">IF(OR($L106&gt;AA$4,AA$4&gt;$L106+23),"",OFFSET(Electric!$L97,0,-'Electric Calendarize'!$L106+'Electric Calendarize'!AA$4+1))</f>
        <v/>
      </c>
      <c r="AB106">
        <f ca="1">IF(OR($L106&gt;AB$4,AB$4&gt;$L106+23),"",OFFSET(Electric!$L97,0,-'Electric Calendarize'!$L106+'Electric Calendarize'!AB$4+1))</f>
        <v>998</v>
      </c>
      <c r="AC106">
        <f ca="1">IF(OR($L106&gt;AC$4,AC$4&gt;$L106+23),"",OFFSET(Electric!$L97,0,-'Electric Calendarize'!$L106+'Electric Calendarize'!AC$4+1))</f>
        <v>925</v>
      </c>
      <c r="AD106">
        <f ca="1">IF(OR($L106&gt;AD$4,AD$4&gt;$L106+23),"",OFFSET(Electric!$L97,0,-'Electric Calendarize'!$L106+'Electric Calendarize'!AD$4+1))</f>
        <v>1116</v>
      </c>
      <c r="AE106">
        <f ca="1">IF(OR($L106&gt;AE$4,AE$4&gt;$L106+23),"",OFFSET(Electric!$L97,0,-'Electric Calendarize'!$L106+'Electric Calendarize'!AE$4+1))</f>
        <v>1125</v>
      </c>
      <c r="AF106">
        <f ca="1">IF(OR($L106&gt;AF$4,AF$4&gt;$L106+23),"",OFFSET(Electric!$L97,0,-'Electric Calendarize'!$L106+'Electric Calendarize'!AF$4+1))</f>
        <v>982</v>
      </c>
      <c r="AG106">
        <f ca="1">IF(OR($L106&gt;AG$4,AG$4&gt;$L106+23),"",OFFSET(Electric!$L97,0,-'Electric Calendarize'!$L106+'Electric Calendarize'!AG$4+1))</f>
        <v>897</v>
      </c>
      <c r="AH106">
        <f ca="1">IF(OR($L106&gt;AH$4,AH$4&gt;$L106+23),"",OFFSET(Electric!$L97,0,-'Electric Calendarize'!$L106+'Electric Calendarize'!AH$4+1))</f>
        <v>891</v>
      </c>
      <c r="AI106">
        <f ca="1">IF(OR($L106&gt;AI$4,AI$4&gt;$L106+23),"",OFFSET(Electric!$L97,0,-'Electric Calendarize'!$L106+'Electric Calendarize'!AI$4+1))</f>
        <v>902</v>
      </c>
      <c r="AJ106">
        <f ca="1">IF(OR($L106&gt;AJ$4,AJ$4&gt;$L106+23),"",OFFSET(Electric!$L97,0,-'Electric Calendarize'!$L106+'Electric Calendarize'!AJ$4+1))</f>
        <v>1057</v>
      </c>
      <c r="AK106">
        <f ca="1">IF(OR($L106&gt;AK$4,AK$4&gt;$L106+23),"",OFFSET(Electric!$L97,0,-'Electric Calendarize'!$L106+'Electric Calendarize'!AK$4+1))</f>
        <v>1034</v>
      </c>
      <c r="AL106">
        <f ca="1">IF(OR($L106&gt;AL$4,AL$4&gt;$L106+23),"",OFFSET(Electric!$L97,0,-'Electric Calendarize'!$L106+'Electric Calendarize'!AL$4+1))</f>
        <v>839</v>
      </c>
      <c r="AM106">
        <f ca="1">IF(OR($L106&gt;AM$4,AM$4&gt;$L106+23),"",OFFSET(Electric!$L97,0,-'Electric Calendarize'!$L106+'Electric Calendarize'!AM$4+1))</f>
        <v>679</v>
      </c>
      <c r="AN106">
        <f ca="1">IF(OR($L106&gt;AN$4,AN$4&gt;$L106+23),"",OFFSET(Electric!$L97,0,-'Electric Calendarize'!$L106+'Electric Calendarize'!AN$4+1))</f>
        <v>783</v>
      </c>
      <c r="AO106">
        <f ca="1">IF(OR($L106&gt;AO$4,AO$4&gt;$L106+23),"",OFFSET(Electric!$L97,0,-'Electric Calendarize'!$L106+'Electric Calendarize'!AO$4+1))</f>
        <v>1108</v>
      </c>
      <c r="AP106">
        <f ca="1">IF(OR($L106&gt;AP$4,AP$4&gt;$L106+23),"",OFFSET(Electric!$L97,0,-'Electric Calendarize'!$L106+'Electric Calendarize'!AP$4+1))</f>
        <v>1291</v>
      </c>
      <c r="AQ106">
        <f ca="1">IF(OR($L106&gt;AQ$4,AQ$4&gt;$L106+23),"",OFFSET(Electric!$L97,0,-'Electric Calendarize'!$L106+'Electric Calendarize'!AQ$4+1))</f>
        <v>975</v>
      </c>
      <c r="AR106">
        <f ca="1">IF(OR($L106&gt;AR$4,AR$4&gt;$L106+23),"",OFFSET(Electric!$L97,0,-'Electric Calendarize'!$L106+'Electric Calendarize'!AR$4+1))</f>
        <v>1015</v>
      </c>
      <c r="AS106">
        <f ca="1">IF(OR($L106&gt;AS$4,AS$4&gt;$L106+23),"",OFFSET(Electric!$L97,0,-'Electric Calendarize'!$L106+'Electric Calendarize'!AS$4+1))</f>
        <v>1012</v>
      </c>
      <c r="AT106">
        <f ca="1">IF(OR($L106&gt;AT$4,AT$4&gt;$L106+23),"",OFFSET(Electric!$L97,0,-'Electric Calendarize'!$L106+'Electric Calendarize'!AT$4+1))</f>
        <v>1522</v>
      </c>
      <c r="AU106">
        <f ca="1">IF(OR($L106&gt;AU$4,AU$4&gt;$L106+23),"",OFFSET(Electric!$L97,0,-'Electric Calendarize'!$L106+'Electric Calendarize'!AU$4+1))</f>
        <v>1964</v>
      </c>
      <c r="AV106">
        <f ca="1">IF(OR($L106&gt;AV$4,AV$4&gt;$L106+23),"",OFFSET(Electric!$L97,0,-'Electric Calendarize'!$L106+'Electric Calendarize'!AV$4+1))</f>
        <v>1581</v>
      </c>
      <c r="AW106">
        <f ca="1">IF(OR($L106&gt;AW$4,AW$4&gt;$L106+23),"",OFFSET(Electric!$L97,0,-'Electric Calendarize'!$L106+'Electric Calendarize'!AW$4+1))</f>
        <v>2014</v>
      </c>
      <c r="AX106">
        <f ca="1">IF(OR($L106&gt;AX$4,AX$4&gt;$L106+23),"",OFFSET(Electric!$L97,0,-'Electric Calendarize'!$L106+'Electric Calendarize'!AX$4+1))</f>
        <v>1924</v>
      </c>
      <c r="AY106">
        <f ca="1">IF(OR($L106&gt;AY$4,AY$4&gt;$L106+23),"",OFFSET(Electric!$L97,0,-'Electric Calendarize'!$L106+'Electric Calendarize'!AY$4+1))</f>
        <v>992</v>
      </c>
      <c r="AZ106" t="str">
        <f ca="1">IF(OR($L106&gt;AZ$4,AZ$4&gt;$L106+23),"",OFFSET(Electric!$L97,0,-'Electric Calendarize'!$L106+'Electric Calendarize'!AZ$4+1))</f>
        <v/>
      </c>
      <c r="BA106" t="str">
        <f ca="1">IF(OR($L106&gt;BA$4,BA$4&gt;$L106+23),"",OFFSET(Electric!$L97,0,-'Electric Calendarize'!$L106+'Electric Calendarize'!BA$4+1))</f>
        <v/>
      </c>
      <c r="BB106" t="str">
        <f ca="1">IF(OR($L106&gt;BB$4,BB$4&gt;$L106+23),"",OFFSET(Electric!$L97,0,-'Electric Calendarize'!$L106+'Electric Calendarize'!BB$4+1))</f>
        <v/>
      </c>
      <c r="BC106" t="str">
        <f ca="1">IF(OR($L106&gt;BC$4,BC$4&gt;$L106+23),"",OFFSET(Electric!$L97,0,-'Electric Calendarize'!$L106+'Electric Calendarize'!BC$4+1))</f>
        <v/>
      </c>
      <c r="BD106" t="str">
        <f ca="1">IF(OR($L106&gt;BD$4,BD$4&gt;$L106+23),"",OFFSET(Electric!$L97,0,-'Electric Calendarize'!$L106+'Electric Calendarize'!BD$4+1))</f>
        <v/>
      </c>
      <c r="BE106" t="str">
        <f ca="1">IF(OR($L106&gt;BE$4,BE$4&gt;$L106+23),"",OFFSET(Electric!$L97,0,-'Electric Calendarize'!$L106+'Electric Calendarize'!BE$4+1))</f>
        <v/>
      </c>
      <c r="BF106" t="str">
        <f ca="1">IF(OR($L106&gt;BF$4,BF$4&gt;$L106+23),"",OFFSET(Electric!$L97,0,-'Electric Calendarize'!$L106+'Electric Calendarize'!BF$4+1))</f>
        <v/>
      </c>
      <c r="BG106" t="str">
        <f ca="1">IF(OR($L106&gt;BG$4,BG$4&gt;$L106+23),"",OFFSET(Electric!$L97,0,-'Electric Calendarize'!$L106+'Electric Calendarize'!BG$4+1))</f>
        <v/>
      </c>
      <c r="BJ106" s="10" t="s">
        <v>37</v>
      </c>
      <c r="BK106">
        <f t="shared" si="303"/>
        <v>1</v>
      </c>
      <c r="BL106">
        <f t="shared" si="209"/>
        <v>0</v>
      </c>
      <c r="BM106">
        <f t="shared" si="210"/>
        <v>0</v>
      </c>
      <c r="BN106">
        <f t="shared" si="211"/>
        <v>0</v>
      </c>
      <c r="BO106">
        <f t="shared" si="212"/>
        <v>0</v>
      </c>
      <c r="BP106">
        <f t="shared" si="213"/>
        <v>0</v>
      </c>
      <c r="BQ106">
        <f t="shared" si="214"/>
        <v>0</v>
      </c>
      <c r="BR106">
        <f t="shared" si="215"/>
        <v>1</v>
      </c>
      <c r="BS106">
        <f t="shared" si="216"/>
        <v>1</v>
      </c>
      <c r="BT106">
        <f t="shared" si="217"/>
        <v>1</v>
      </c>
      <c r="BU106">
        <f t="shared" si="218"/>
        <v>1</v>
      </c>
      <c r="BV106">
        <f t="shared" si="219"/>
        <v>1</v>
      </c>
      <c r="BW106">
        <f t="shared" si="220"/>
        <v>1</v>
      </c>
      <c r="BX106">
        <f t="shared" si="221"/>
        <v>0</v>
      </c>
      <c r="BY106">
        <f t="shared" si="222"/>
        <v>0</v>
      </c>
      <c r="BZ106">
        <f t="shared" si="223"/>
        <v>0</v>
      </c>
      <c r="CA106">
        <f t="shared" si="224"/>
        <v>0</v>
      </c>
      <c r="CB106">
        <f t="shared" si="225"/>
        <v>0</v>
      </c>
      <c r="CC106">
        <f t="shared" si="226"/>
        <v>0</v>
      </c>
      <c r="CD106">
        <f t="shared" si="227"/>
        <v>1</v>
      </c>
      <c r="CE106">
        <f t="shared" si="228"/>
        <v>1</v>
      </c>
      <c r="CF106">
        <f t="shared" si="229"/>
        <v>1</v>
      </c>
      <c r="CG106">
        <f t="shared" si="230"/>
        <v>1</v>
      </c>
      <c r="CH106">
        <f t="shared" si="231"/>
        <v>1</v>
      </c>
      <c r="CI106">
        <f t="shared" si="232"/>
        <v>1</v>
      </c>
      <c r="CJ106">
        <f t="shared" si="233"/>
        <v>0</v>
      </c>
      <c r="CK106">
        <f t="shared" si="234"/>
        <v>0</v>
      </c>
      <c r="CL106">
        <f t="shared" si="235"/>
        <v>0</v>
      </c>
      <c r="CM106">
        <f t="shared" si="236"/>
        <v>0</v>
      </c>
      <c r="CN106">
        <f t="shared" si="237"/>
        <v>0</v>
      </c>
      <c r="CO106">
        <f t="shared" si="238"/>
        <v>0</v>
      </c>
      <c r="CP106">
        <f t="shared" si="239"/>
        <v>1</v>
      </c>
      <c r="CQ106">
        <f t="shared" si="240"/>
        <v>1</v>
      </c>
      <c r="CR106">
        <f t="shared" si="241"/>
        <v>1</v>
      </c>
      <c r="CS106">
        <f t="shared" si="242"/>
        <v>1</v>
      </c>
      <c r="CT106">
        <f t="shared" si="243"/>
        <v>1</v>
      </c>
      <c r="CU106">
        <f t="shared" si="244"/>
        <v>1</v>
      </c>
      <c r="CV106">
        <f t="shared" si="245"/>
        <v>0</v>
      </c>
      <c r="CW106">
        <f t="shared" si="246"/>
        <v>0</v>
      </c>
      <c r="CX106">
        <f t="shared" si="247"/>
        <v>0</v>
      </c>
      <c r="CY106">
        <f t="shared" si="248"/>
        <v>0</v>
      </c>
      <c r="CZ106">
        <f t="shared" si="249"/>
        <v>0</v>
      </c>
      <c r="DA106">
        <f t="shared" si="250"/>
        <v>0</v>
      </c>
      <c r="DB106">
        <f t="shared" si="251"/>
        <v>1</v>
      </c>
      <c r="DC106">
        <f t="shared" si="252"/>
        <v>1</v>
      </c>
      <c r="DF106" s="10" t="s">
        <v>37</v>
      </c>
      <c r="DG106" t="str">
        <f t="shared" si="308"/>
        <v>2022_5</v>
      </c>
      <c r="DH106" t="str">
        <f t="shared" si="308"/>
        <v>2022_5</v>
      </c>
      <c r="DI106" t="str">
        <f t="shared" si="308"/>
        <v>2022_5</v>
      </c>
      <c r="DJ106" t="str">
        <f t="shared" si="308"/>
        <v>2022_5</v>
      </c>
      <c r="DK106" t="str">
        <f t="shared" si="308"/>
        <v>2022_5</v>
      </c>
      <c r="DL106" t="str">
        <f t="shared" si="308"/>
        <v>2022_5</v>
      </c>
      <c r="DM106" t="str">
        <f t="shared" si="308"/>
        <v>2022_5</v>
      </c>
      <c r="DN106" t="str">
        <f t="shared" si="308"/>
        <v>2022_5</v>
      </c>
      <c r="DO106" t="str">
        <f t="shared" si="308"/>
        <v>2022_5</v>
      </c>
      <c r="DP106" t="str">
        <f t="shared" si="308"/>
        <v>2022_5</v>
      </c>
      <c r="DQ106" t="str">
        <f t="shared" si="308"/>
        <v>2022_5</v>
      </c>
      <c r="DR106" t="str">
        <f t="shared" si="308"/>
        <v>2022_5</v>
      </c>
      <c r="DS106" t="str">
        <f t="shared" si="308"/>
        <v>2022_5</v>
      </c>
      <c r="DT106" t="str">
        <f t="shared" si="308"/>
        <v>2022_5</v>
      </c>
      <c r="DU106" t="str">
        <f t="shared" si="308"/>
        <v>2022_5</v>
      </c>
      <c r="DV106" t="str">
        <f t="shared" si="308"/>
        <v>2022_5</v>
      </c>
      <c r="DW106" t="str">
        <f t="shared" si="307"/>
        <v>2022_5</v>
      </c>
      <c r="DX106" t="str">
        <f t="shared" si="307"/>
        <v>2022_5</v>
      </c>
      <c r="DY106" t="str">
        <f t="shared" si="307"/>
        <v>2022_5</v>
      </c>
      <c r="DZ106" t="str">
        <f t="shared" si="307"/>
        <v>2022_5</v>
      </c>
      <c r="EA106" t="str">
        <f t="shared" si="307"/>
        <v>2022_5</v>
      </c>
      <c r="EB106" t="str">
        <f t="shared" si="307"/>
        <v>2022_5</v>
      </c>
      <c r="EC106" t="str">
        <f t="shared" si="307"/>
        <v>2022_5</v>
      </c>
      <c r="ED106" t="str">
        <f t="shared" si="307"/>
        <v>2022_5</v>
      </c>
      <c r="EE106" t="str">
        <f t="shared" si="307"/>
        <v>2022_5</v>
      </c>
      <c r="EF106" t="str">
        <f t="shared" si="307"/>
        <v>2022_5</v>
      </c>
      <c r="EG106" t="str">
        <f t="shared" si="307"/>
        <v>2022_5</v>
      </c>
      <c r="EH106" t="str">
        <f t="shared" si="307"/>
        <v>2022_5</v>
      </c>
      <c r="EI106" t="str">
        <f t="shared" si="307"/>
        <v>2022_5</v>
      </c>
      <c r="EJ106" t="str">
        <f t="shared" si="307"/>
        <v>2022_5</v>
      </c>
      <c r="EK106" t="str">
        <f t="shared" si="307"/>
        <v>2022_5</v>
      </c>
      <c r="EL106" t="str">
        <f t="shared" si="307"/>
        <v>2022_5</v>
      </c>
      <c r="EM106" t="str">
        <f t="shared" ref="EM106:EY121" si="309">$K106</f>
        <v>2022_5</v>
      </c>
      <c r="EN106" t="str">
        <f t="shared" si="309"/>
        <v>2022_5</v>
      </c>
      <c r="EO106" t="str">
        <f t="shared" si="309"/>
        <v>2022_5</v>
      </c>
      <c r="EP106" t="str">
        <f t="shared" si="309"/>
        <v>2022_5</v>
      </c>
      <c r="EQ106" t="str">
        <f t="shared" si="309"/>
        <v>2022_5</v>
      </c>
      <c r="ER106" t="str">
        <f t="shared" si="309"/>
        <v>2022_5</v>
      </c>
      <c r="ES106" t="str">
        <f t="shared" si="309"/>
        <v>2022_5</v>
      </c>
      <c r="ET106" t="str">
        <f t="shared" si="309"/>
        <v>2022_5</v>
      </c>
      <c r="EU106" t="str">
        <f t="shared" si="309"/>
        <v>2022_5</v>
      </c>
      <c r="EV106" t="str">
        <f t="shared" si="309"/>
        <v>2022_5</v>
      </c>
      <c r="EW106" t="str">
        <f t="shared" si="309"/>
        <v>2022_5</v>
      </c>
      <c r="EX106" t="str">
        <f t="shared" si="309"/>
        <v>2022_5</v>
      </c>
      <c r="EY106" t="str">
        <f t="shared" si="309"/>
        <v>2022_5</v>
      </c>
      <c r="FB106" s="10" t="s">
        <v>37</v>
      </c>
      <c r="FC106">
        <f t="shared" si="305"/>
        <v>0</v>
      </c>
      <c r="FD106">
        <f t="shared" si="255"/>
        <v>0</v>
      </c>
      <c r="FE106">
        <f t="shared" si="256"/>
        <v>0</v>
      </c>
      <c r="FF106">
        <f t="shared" si="257"/>
        <v>0</v>
      </c>
      <c r="FG106">
        <f t="shared" si="258"/>
        <v>0</v>
      </c>
      <c r="FH106">
        <f t="shared" si="259"/>
        <v>0</v>
      </c>
      <c r="FI106">
        <f t="shared" si="260"/>
        <v>0</v>
      </c>
      <c r="FJ106">
        <f t="shared" si="261"/>
        <v>0</v>
      </c>
      <c r="FK106">
        <f t="shared" si="262"/>
        <v>0</v>
      </c>
      <c r="FL106">
        <f t="shared" si="263"/>
        <v>0</v>
      </c>
      <c r="FM106">
        <f t="shared" si="264"/>
        <v>0</v>
      </c>
      <c r="FN106">
        <f t="shared" si="265"/>
        <v>0</v>
      </c>
      <c r="FO106">
        <f t="shared" si="266"/>
        <v>0</v>
      </c>
      <c r="FP106">
        <f t="shared" si="267"/>
        <v>0</v>
      </c>
      <c r="FQ106">
        <f t="shared" si="268"/>
        <v>0</v>
      </c>
      <c r="FR106">
        <f t="shared" si="269"/>
        <v>0</v>
      </c>
      <c r="FS106">
        <f t="shared" si="270"/>
        <v>0</v>
      </c>
      <c r="FT106">
        <f t="shared" si="271"/>
        <v>0</v>
      </c>
      <c r="FU106">
        <f t="shared" si="272"/>
        <v>0</v>
      </c>
      <c r="FV106">
        <f t="shared" si="273"/>
        <v>0</v>
      </c>
      <c r="FW106">
        <f t="shared" si="274"/>
        <v>0</v>
      </c>
      <c r="FX106">
        <f t="shared" si="275"/>
        <v>0</v>
      </c>
      <c r="FY106">
        <f t="shared" si="276"/>
        <v>0</v>
      </c>
      <c r="FZ106">
        <f t="shared" si="277"/>
        <v>0</v>
      </c>
      <c r="GA106">
        <f t="shared" si="278"/>
        <v>0</v>
      </c>
      <c r="GB106">
        <f t="shared" si="279"/>
        <v>1</v>
      </c>
      <c r="GC106">
        <f t="shared" si="280"/>
        <v>1</v>
      </c>
      <c r="GD106">
        <f t="shared" si="281"/>
        <v>1</v>
      </c>
      <c r="GE106">
        <f t="shared" si="282"/>
        <v>1</v>
      </c>
      <c r="GF106">
        <f t="shared" si="283"/>
        <v>1</v>
      </c>
      <c r="GG106">
        <f t="shared" si="284"/>
        <v>1</v>
      </c>
      <c r="GH106">
        <f t="shared" si="285"/>
        <v>1</v>
      </c>
      <c r="GI106">
        <f t="shared" si="286"/>
        <v>1</v>
      </c>
      <c r="GJ106">
        <f t="shared" si="287"/>
        <v>1</v>
      </c>
      <c r="GK106">
        <f t="shared" si="288"/>
        <v>1</v>
      </c>
      <c r="GL106">
        <f t="shared" si="289"/>
        <v>1</v>
      </c>
      <c r="GM106">
        <f t="shared" si="290"/>
        <v>1</v>
      </c>
      <c r="GN106">
        <f t="shared" si="291"/>
        <v>1</v>
      </c>
      <c r="GO106">
        <f t="shared" si="292"/>
        <v>1</v>
      </c>
      <c r="GP106">
        <f t="shared" si="293"/>
        <v>1</v>
      </c>
      <c r="GQ106">
        <f t="shared" si="294"/>
        <v>1</v>
      </c>
      <c r="GR106">
        <f t="shared" si="295"/>
        <v>1</v>
      </c>
      <c r="GS106">
        <f t="shared" si="296"/>
        <v>1</v>
      </c>
      <c r="GT106">
        <f t="shared" si="297"/>
        <v>1</v>
      </c>
      <c r="GU106">
        <f t="shared" si="298"/>
        <v>1</v>
      </c>
      <c r="GX106" s="10"/>
    </row>
    <row r="107" spans="1:206" x14ac:dyDescent="0.3">
      <c r="A107" s="9" t="s">
        <v>33</v>
      </c>
      <c r="B107" s="80"/>
      <c r="C107" s="9">
        <v>3071541002</v>
      </c>
      <c r="D107" s="9" t="s">
        <v>431</v>
      </c>
      <c r="E107" s="9" t="s">
        <v>34</v>
      </c>
      <c r="F107" s="9" t="s">
        <v>35</v>
      </c>
      <c r="G107" s="9" t="s">
        <v>140</v>
      </c>
      <c r="H107" s="10">
        <v>44692</v>
      </c>
      <c r="I107" s="9">
        <f t="shared" si="299"/>
        <v>2022</v>
      </c>
      <c r="J107" s="9">
        <f t="shared" si="300"/>
        <v>5</v>
      </c>
      <c r="K107" s="9" t="str">
        <f t="shared" si="301"/>
        <v>2022_5</v>
      </c>
      <c r="L107">
        <f>MAX(0,VLOOKUP($K107,lookups!$A$1:$B$45,2,0)-12)</f>
        <v>13</v>
      </c>
      <c r="M107" s="40">
        <f t="shared" si="302"/>
        <v>44682</v>
      </c>
      <c r="N107" s="10" t="s">
        <v>37</v>
      </c>
      <c r="O107" t="str">
        <f ca="1">IF(OR($L107&gt;O$4,O$4&gt;$L107+23),"",OFFSET(Electric!$L98,0,-'Electric Calendarize'!$L107+'Electric Calendarize'!O$4+1))</f>
        <v/>
      </c>
      <c r="P107" t="str">
        <f ca="1">IF(OR($L107&gt;P$4,P$4&gt;$L107+23),"",OFFSET(Electric!$L98,0,-'Electric Calendarize'!$L107+'Electric Calendarize'!P$4+1))</f>
        <v/>
      </c>
      <c r="Q107" t="str">
        <f ca="1">IF(OR($L107&gt;Q$4,Q$4&gt;$L107+23),"",OFFSET(Electric!$L98,0,-'Electric Calendarize'!$L107+'Electric Calendarize'!Q$4+1))</f>
        <v/>
      </c>
      <c r="R107" t="str">
        <f ca="1">IF(OR($L107&gt;R$4,R$4&gt;$L107+23),"",OFFSET(Electric!$L98,0,-'Electric Calendarize'!$L107+'Electric Calendarize'!R$4+1))</f>
        <v/>
      </c>
      <c r="S107" t="str">
        <f ca="1">IF(OR($L107&gt;S$4,S$4&gt;$L107+23),"",OFFSET(Electric!$L98,0,-'Electric Calendarize'!$L107+'Electric Calendarize'!S$4+1))</f>
        <v/>
      </c>
      <c r="T107" t="str">
        <f ca="1">IF(OR($L107&gt;T$4,T$4&gt;$L107+23),"",OFFSET(Electric!$L98,0,-'Electric Calendarize'!$L107+'Electric Calendarize'!T$4+1))</f>
        <v/>
      </c>
      <c r="U107" t="str">
        <f ca="1">IF(OR($L107&gt;U$4,U$4&gt;$L107+23),"",OFFSET(Electric!$L98,0,-'Electric Calendarize'!$L107+'Electric Calendarize'!U$4+1))</f>
        <v/>
      </c>
      <c r="V107" t="str">
        <f ca="1">IF(OR($L107&gt;V$4,V$4&gt;$L107+23),"",OFFSET(Electric!$L98,0,-'Electric Calendarize'!$L107+'Electric Calendarize'!V$4+1))</f>
        <v/>
      </c>
      <c r="W107" t="str">
        <f ca="1">IF(OR($L107&gt;W$4,W$4&gt;$L107+23),"",OFFSET(Electric!$L98,0,-'Electric Calendarize'!$L107+'Electric Calendarize'!W$4+1))</f>
        <v/>
      </c>
      <c r="X107" t="str">
        <f ca="1">IF(OR($L107&gt;X$4,X$4&gt;$L107+23),"",OFFSET(Electric!$L98,0,-'Electric Calendarize'!$L107+'Electric Calendarize'!X$4+1))</f>
        <v/>
      </c>
      <c r="Y107" t="str">
        <f ca="1">IF(OR($L107&gt;Y$4,Y$4&gt;$L107+23),"",OFFSET(Electric!$L98,0,-'Electric Calendarize'!$L107+'Electric Calendarize'!Y$4+1))</f>
        <v/>
      </c>
      <c r="Z107" t="str">
        <f ca="1">IF(OR($L107&gt;Z$4,Z$4&gt;$L107+23),"",OFFSET(Electric!$L98,0,-'Electric Calendarize'!$L107+'Electric Calendarize'!Z$4+1))</f>
        <v/>
      </c>
      <c r="AA107" t="str">
        <f ca="1">IF(OR($L107&gt;AA$4,AA$4&gt;$L107+23),"",OFFSET(Electric!$L98,0,-'Electric Calendarize'!$L107+'Electric Calendarize'!AA$4+1))</f>
        <v/>
      </c>
      <c r="AB107">
        <f ca="1">IF(OR($L107&gt;AB$4,AB$4&gt;$L107+23),"",OFFSET(Electric!$L98,0,-'Electric Calendarize'!$L107+'Electric Calendarize'!AB$4+1))</f>
        <v>515</v>
      </c>
      <c r="AC107">
        <f ca="1">IF(OR($L107&gt;AC$4,AC$4&gt;$L107+23),"",OFFSET(Electric!$L98,0,-'Electric Calendarize'!$L107+'Electric Calendarize'!AC$4+1))</f>
        <v>818</v>
      </c>
      <c r="AD107">
        <f ca="1">IF(OR($L107&gt;AD$4,AD$4&gt;$L107+23),"",OFFSET(Electric!$L98,0,-'Electric Calendarize'!$L107+'Electric Calendarize'!AD$4+1))</f>
        <v>978</v>
      </c>
      <c r="AE107">
        <f ca="1">IF(OR($L107&gt;AE$4,AE$4&gt;$L107+23),"",OFFSET(Electric!$L98,0,-'Electric Calendarize'!$L107+'Electric Calendarize'!AE$4+1))</f>
        <v>1057</v>
      </c>
      <c r="AF107">
        <f ca="1">IF(OR($L107&gt;AF$4,AF$4&gt;$L107+23),"",OFFSET(Electric!$L98,0,-'Electric Calendarize'!$L107+'Electric Calendarize'!AF$4+1))</f>
        <v>792</v>
      </c>
      <c r="AG107">
        <f ca="1">IF(OR($L107&gt;AG$4,AG$4&gt;$L107+23),"",OFFSET(Electric!$L98,0,-'Electric Calendarize'!$L107+'Electric Calendarize'!AG$4+1))</f>
        <v>658</v>
      </c>
      <c r="AH107">
        <f ca="1">IF(OR($L107&gt;AH$4,AH$4&gt;$L107+23),"",OFFSET(Electric!$L98,0,-'Electric Calendarize'!$L107+'Electric Calendarize'!AH$4+1))</f>
        <v>498</v>
      </c>
      <c r="AI107">
        <f ca="1">IF(OR($L107&gt;AI$4,AI$4&gt;$L107+23),"",OFFSET(Electric!$L98,0,-'Electric Calendarize'!$L107+'Electric Calendarize'!AI$4+1))</f>
        <v>595</v>
      </c>
      <c r="AJ107">
        <f ca="1">IF(OR($L107&gt;AJ$4,AJ$4&gt;$L107+23),"",OFFSET(Electric!$L98,0,-'Electric Calendarize'!$L107+'Electric Calendarize'!AJ$4+1))</f>
        <v>572</v>
      </c>
      <c r="AK107">
        <f ca="1">IF(OR($L107&gt;AK$4,AK$4&gt;$L107+23),"",OFFSET(Electric!$L98,0,-'Electric Calendarize'!$L107+'Electric Calendarize'!AK$4+1))</f>
        <v>564</v>
      </c>
      <c r="AL107">
        <f ca="1">IF(OR($L107&gt;AL$4,AL$4&gt;$L107+23),"",OFFSET(Electric!$L98,0,-'Electric Calendarize'!$L107+'Electric Calendarize'!AL$4+1))</f>
        <v>494</v>
      </c>
      <c r="AM107">
        <f ca="1">IF(OR($L107&gt;AM$4,AM$4&gt;$L107+23),"",OFFSET(Electric!$L98,0,-'Electric Calendarize'!$L107+'Electric Calendarize'!AM$4+1))</f>
        <v>464</v>
      </c>
      <c r="AN107">
        <f ca="1">IF(OR($L107&gt;AN$4,AN$4&gt;$L107+23),"",OFFSET(Electric!$L98,0,-'Electric Calendarize'!$L107+'Electric Calendarize'!AN$4+1))</f>
        <v>568</v>
      </c>
      <c r="AO107">
        <f ca="1">IF(OR($L107&gt;AO$4,AO$4&gt;$L107+23),"",OFFSET(Electric!$L98,0,-'Electric Calendarize'!$L107+'Electric Calendarize'!AO$4+1))</f>
        <v>480</v>
      </c>
      <c r="AP107">
        <f ca="1">IF(OR($L107&gt;AP$4,AP$4&gt;$L107+23),"",OFFSET(Electric!$L98,0,-'Electric Calendarize'!$L107+'Electric Calendarize'!AP$4+1))</f>
        <v>952</v>
      </c>
      <c r="AQ107">
        <f ca="1">IF(OR($L107&gt;AQ$4,AQ$4&gt;$L107+23),"",OFFSET(Electric!$L98,0,-'Electric Calendarize'!$L107+'Electric Calendarize'!AQ$4+1))</f>
        <v>1193</v>
      </c>
      <c r="AR107">
        <f ca="1">IF(OR($L107&gt;AR$4,AR$4&gt;$L107+23),"",OFFSET(Electric!$L98,0,-'Electric Calendarize'!$L107+'Electric Calendarize'!AR$4+1))</f>
        <v>961</v>
      </c>
      <c r="AS107">
        <f ca="1">IF(OR($L107&gt;AS$4,AS$4&gt;$L107+23),"",OFFSET(Electric!$L98,0,-'Electric Calendarize'!$L107+'Electric Calendarize'!AS$4+1))</f>
        <v>680</v>
      </c>
      <c r="AT107">
        <f ca="1">IF(OR($L107&gt;AT$4,AT$4&gt;$L107+23),"",OFFSET(Electric!$L98,0,-'Electric Calendarize'!$L107+'Electric Calendarize'!AT$4+1))</f>
        <v>716</v>
      </c>
      <c r="AU107">
        <f ca="1">IF(OR($L107&gt;AU$4,AU$4&gt;$L107+23),"",OFFSET(Electric!$L98,0,-'Electric Calendarize'!$L107+'Electric Calendarize'!AU$4+1))</f>
        <v>1095</v>
      </c>
      <c r="AV107">
        <f ca="1">IF(OR($L107&gt;AV$4,AV$4&gt;$L107+23),"",OFFSET(Electric!$L98,0,-'Electric Calendarize'!$L107+'Electric Calendarize'!AV$4+1))</f>
        <v>1142</v>
      </c>
      <c r="AW107">
        <f ca="1">IF(OR($L107&gt;AW$4,AW$4&gt;$L107+23),"",OFFSET(Electric!$L98,0,-'Electric Calendarize'!$L107+'Electric Calendarize'!AW$4+1))</f>
        <v>1075</v>
      </c>
      <c r="AX107">
        <f ca="1">IF(OR($L107&gt;AX$4,AX$4&gt;$L107+23),"",OFFSET(Electric!$L98,0,-'Electric Calendarize'!$L107+'Electric Calendarize'!AX$4+1))</f>
        <v>909</v>
      </c>
      <c r="AY107">
        <f ca="1">IF(OR($L107&gt;AY$4,AY$4&gt;$L107+23),"",OFFSET(Electric!$L98,0,-'Electric Calendarize'!$L107+'Electric Calendarize'!AY$4+1))</f>
        <v>709</v>
      </c>
      <c r="AZ107" t="str">
        <f ca="1">IF(OR($L107&gt;AZ$4,AZ$4&gt;$L107+23),"",OFFSET(Electric!$L98,0,-'Electric Calendarize'!$L107+'Electric Calendarize'!AZ$4+1))</f>
        <v/>
      </c>
      <c r="BA107" t="str">
        <f ca="1">IF(OR($L107&gt;BA$4,BA$4&gt;$L107+23),"",OFFSET(Electric!$L98,0,-'Electric Calendarize'!$L107+'Electric Calendarize'!BA$4+1))</f>
        <v/>
      </c>
      <c r="BB107" t="str">
        <f ca="1">IF(OR($L107&gt;BB$4,BB$4&gt;$L107+23),"",OFFSET(Electric!$L98,0,-'Electric Calendarize'!$L107+'Electric Calendarize'!BB$4+1))</f>
        <v/>
      </c>
      <c r="BC107" t="str">
        <f ca="1">IF(OR($L107&gt;BC$4,BC$4&gt;$L107+23),"",OFFSET(Electric!$L98,0,-'Electric Calendarize'!$L107+'Electric Calendarize'!BC$4+1))</f>
        <v/>
      </c>
      <c r="BD107" t="str">
        <f ca="1">IF(OR($L107&gt;BD$4,BD$4&gt;$L107+23),"",OFFSET(Electric!$L98,0,-'Electric Calendarize'!$L107+'Electric Calendarize'!BD$4+1))</f>
        <v/>
      </c>
      <c r="BE107" t="str">
        <f ca="1">IF(OR($L107&gt;BE$4,BE$4&gt;$L107+23),"",OFFSET(Electric!$L98,0,-'Electric Calendarize'!$L107+'Electric Calendarize'!BE$4+1))</f>
        <v/>
      </c>
      <c r="BF107" t="str">
        <f ca="1">IF(OR($L107&gt;BF$4,BF$4&gt;$L107+23),"",OFFSET(Electric!$L98,0,-'Electric Calendarize'!$L107+'Electric Calendarize'!BF$4+1))</f>
        <v/>
      </c>
      <c r="BG107" t="str">
        <f ca="1">IF(OR($L107&gt;BG$4,BG$4&gt;$L107+23),"",OFFSET(Electric!$L98,0,-'Electric Calendarize'!$L107+'Electric Calendarize'!BG$4+1))</f>
        <v/>
      </c>
      <c r="BJ107" s="10" t="s">
        <v>37</v>
      </c>
      <c r="BK107">
        <f t="shared" si="303"/>
        <v>1</v>
      </c>
      <c r="BL107">
        <f t="shared" si="209"/>
        <v>0</v>
      </c>
      <c r="BM107">
        <f t="shared" si="210"/>
        <v>0</v>
      </c>
      <c r="BN107">
        <f t="shared" si="211"/>
        <v>0</v>
      </c>
      <c r="BO107">
        <f t="shared" si="212"/>
        <v>0</v>
      </c>
      <c r="BP107">
        <f t="shared" si="213"/>
        <v>0</v>
      </c>
      <c r="BQ107">
        <f t="shared" si="214"/>
        <v>0</v>
      </c>
      <c r="BR107">
        <f t="shared" si="215"/>
        <v>1</v>
      </c>
      <c r="BS107">
        <f t="shared" si="216"/>
        <v>1</v>
      </c>
      <c r="BT107">
        <f t="shared" si="217"/>
        <v>1</v>
      </c>
      <c r="BU107">
        <f t="shared" si="218"/>
        <v>1</v>
      </c>
      <c r="BV107">
        <f t="shared" si="219"/>
        <v>1</v>
      </c>
      <c r="BW107">
        <f t="shared" si="220"/>
        <v>1</v>
      </c>
      <c r="BX107">
        <f t="shared" si="221"/>
        <v>0</v>
      </c>
      <c r="BY107">
        <f t="shared" si="222"/>
        <v>0</v>
      </c>
      <c r="BZ107">
        <f t="shared" si="223"/>
        <v>0</v>
      </c>
      <c r="CA107">
        <f t="shared" si="224"/>
        <v>0</v>
      </c>
      <c r="CB107">
        <f t="shared" si="225"/>
        <v>0</v>
      </c>
      <c r="CC107">
        <f t="shared" si="226"/>
        <v>0</v>
      </c>
      <c r="CD107">
        <f t="shared" si="227"/>
        <v>1</v>
      </c>
      <c r="CE107">
        <f t="shared" si="228"/>
        <v>1</v>
      </c>
      <c r="CF107">
        <f t="shared" si="229"/>
        <v>1</v>
      </c>
      <c r="CG107">
        <f t="shared" si="230"/>
        <v>1</v>
      </c>
      <c r="CH107">
        <f t="shared" si="231"/>
        <v>1</v>
      </c>
      <c r="CI107">
        <f t="shared" si="232"/>
        <v>1</v>
      </c>
      <c r="CJ107">
        <f t="shared" si="233"/>
        <v>0</v>
      </c>
      <c r="CK107">
        <f t="shared" si="234"/>
        <v>0</v>
      </c>
      <c r="CL107">
        <f t="shared" si="235"/>
        <v>0</v>
      </c>
      <c r="CM107">
        <f t="shared" si="236"/>
        <v>0</v>
      </c>
      <c r="CN107">
        <f t="shared" si="237"/>
        <v>0</v>
      </c>
      <c r="CO107">
        <f t="shared" si="238"/>
        <v>0</v>
      </c>
      <c r="CP107">
        <f t="shared" si="239"/>
        <v>1</v>
      </c>
      <c r="CQ107">
        <f t="shared" si="240"/>
        <v>1</v>
      </c>
      <c r="CR107">
        <f t="shared" si="241"/>
        <v>1</v>
      </c>
      <c r="CS107">
        <f t="shared" si="242"/>
        <v>1</v>
      </c>
      <c r="CT107">
        <f t="shared" si="243"/>
        <v>1</v>
      </c>
      <c r="CU107">
        <f t="shared" si="244"/>
        <v>1</v>
      </c>
      <c r="CV107">
        <f t="shared" si="245"/>
        <v>0</v>
      </c>
      <c r="CW107">
        <f t="shared" si="246"/>
        <v>0</v>
      </c>
      <c r="CX107">
        <f t="shared" si="247"/>
        <v>0</v>
      </c>
      <c r="CY107">
        <f t="shared" si="248"/>
        <v>0</v>
      </c>
      <c r="CZ107">
        <f t="shared" si="249"/>
        <v>0</v>
      </c>
      <c r="DA107">
        <f t="shared" si="250"/>
        <v>0</v>
      </c>
      <c r="DB107">
        <f t="shared" si="251"/>
        <v>1</v>
      </c>
      <c r="DC107">
        <f t="shared" si="252"/>
        <v>1</v>
      </c>
      <c r="DF107" s="10" t="s">
        <v>37</v>
      </c>
      <c r="DG107" t="str">
        <f t="shared" si="308"/>
        <v>2022_5</v>
      </c>
      <c r="DH107" t="str">
        <f t="shared" si="308"/>
        <v>2022_5</v>
      </c>
      <c r="DI107" t="str">
        <f t="shared" si="308"/>
        <v>2022_5</v>
      </c>
      <c r="DJ107" t="str">
        <f t="shared" si="308"/>
        <v>2022_5</v>
      </c>
      <c r="DK107" t="str">
        <f t="shared" si="308"/>
        <v>2022_5</v>
      </c>
      <c r="DL107" t="str">
        <f t="shared" si="308"/>
        <v>2022_5</v>
      </c>
      <c r="DM107" t="str">
        <f t="shared" si="308"/>
        <v>2022_5</v>
      </c>
      <c r="DN107" t="str">
        <f t="shared" si="308"/>
        <v>2022_5</v>
      </c>
      <c r="DO107" t="str">
        <f t="shared" si="308"/>
        <v>2022_5</v>
      </c>
      <c r="DP107" t="str">
        <f t="shared" si="308"/>
        <v>2022_5</v>
      </c>
      <c r="DQ107" t="str">
        <f t="shared" si="308"/>
        <v>2022_5</v>
      </c>
      <c r="DR107" t="str">
        <f t="shared" si="308"/>
        <v>2022_5</v>
      </c>
      <c r="DS107" t="str">
        <f t="shared" si="308"/>
        <v>2022_5</v>
      </c>
      <c r="DT107" t="str">
        <f t="shared" si="308"/>
        <v>2022_5</v>
      </c>
      <c r="DU107" t="str">
        <f t="shared" si="308"/>
        <v>2022_5</v>
      </c>
      <c r="DV107" t="str">
        <f t="shared" ref="DV107:EK122" si="310">$K107</f>
        <v>2022_5</v>
      </c>
      <c r="DW107" t="str">
        <f t="shared" si="310"/>
        <v>2022_5</v>
      </c>
      <c r="DX107" t="str">
        <f t="shared" si="310"/>
        <v>2022_5</v>
      </c>
      <c r="DY107" t="str">
        <f t="shared" si="310"/>
        <v>2022_5</v>
      </c>
      <c r="DZ107" t="str">
        <f t="shared" si="310"/>
        <v>2022_5</v>
      </c>
      <c r="EA107" t="str">
        <f t="shared" si="310"/>
        <v>2022_5</v>
      </c>
      <c r="EB107" t="str">
        <f t="shared" si="310"/>
        <v>2022_5</v>
      </c>
      <c r="EC107" t="str">
        <f t="shared" si="310"/>
        <v>2022_5</v>
      </c>
      <c r="ED107" t="str">
        <f t="shared" si="310"/>
        <v>2022_5</v>
      </c>
      <c r="EE107" t="str">
        <f t="shared" si="310"/>
        <v>2022_5</v>
      </c>
      <c r="EF107" t="str">
        <f t="shared" si="310"/>
        <v>2022_5</v>
      </c>
      <c r="EG107" t="str">
        <f t="shared" si="310"/>
        <v>2022_5</v>
      </c>
      <c r="EH107" t="str">
        <f t="shared" si="310"/>
        <v>2022_5</v>
      </c>
      <c r="EI107" t="str">
        <f t="shared" si="310"/>
        <v>2022_5</v>
      </c>
      <c r="EJ107" t="str">
        <f t="shared" si="310"/>
        <v>2022_5</v>
      </c>
      <c r="EK107" t="str">
        <f t="shared" si="310"/>
        <v>2022_5</v>
      </c>
      <c r="EL107" t="str">
        <f t="shared" ref="EL107:EY122" si="311">$K107</f>
        <v>2022_5</v>
      </c>
      <c r="EM107" t="str">
        <f t="shared" si="309"/>
        <v>2022_5</v>
      </c>
      <c r="EN107" t="str">
        <f t="shared" si="309"/>
        <v>2022_5</v>
      </c>
      <c r="EO107" t="str">
        <f t="shared" si="309"/>
        <v>2022_5</v>
      </c>
      <c r="EP107" t="str">
        <f t="shared" si="309"/>
        <v>2022_5</v>
      </c>
      <c r="EQ107" t="str">
        <f t="shared" si="309"/>
        <v>2022_5</v>
      </c>
      <c r="ER107" t="str">
        <f t="shared" si="309"/>
        <v>2022_5</v>
      </c>
      <c r="ES107" t="str">
        <f t="shared" si="309"/>
        <v>2022_5</v>
      </c>
      <c r="ET107" t="str">
        <f t="shared" si="309"/>
        <v>2022_5</v>
      </c>
      <c r="EU107" t="str">
        <f t="shared" si="309"/>
        <v>2022_5</v>
      </c>
      <c r="EV107" t="str">
        <f t="shared" si="309"/>
        <v>2022_5</v>
      </c>
      <c r="EW107" t="str">
        <f t="shared" si="309"/>
        <v>2022_5</v>
      </c>
      <c r="EX107" t="str">
        <f t="shared" si="309"/>
        <v>2022_5</v>
      </c>
      <c r="EY107" t="str">
        <f t="shared" si="309"/>
        <v>2022_5</v>
      </c>
      <c r="FB107" s="10" t="s">
        <v>37</v>
      </c>
      <c r="FC107">
        <f t="shared" si="305"/>
        <v>0</v>
      </c>
      <c r="FD107">
        <f t="shared" si="255"/>
        <v>0</v>
      </c>
      <c r="FE107">
        <f t="shared" si="256"/>
        <v>0</v>
      </c>
      <c r="FF107">
        <f t="shared" si="257"/>
        <v>0</v>
      </c>
      <c r="FG107">
        <f t="shared" si="258"/>
        <v>0</v>
      </c>
      <c r="FH107">
        <f t="shared" si="259"/>
        <v>0</v>
      </c>
      <c r="FI107">
        <f t="shared" si="260"/>
        <v>0</v>
      </c>
      <c r="FJ107">
        <f t="shared" si="261"/>
        <v>0</v>
      </c>
      <c r="FK107">
        <f t="shared" si="262"/>
        <v>0</v>
      </c>
      <c r="FL107">
        <f t="shared" si="263"/>
        <v>0</v>
      </c>
      <c r="FM107">
        <f t="shared" si="264"/>
        <v>0</v>
      </c>
      <c r="FN107">
        <f t="shared" si="265"/>
        <v>0</v>
      </c>
      <c r="FO107">
        <f t="shared" si="266"/>
        <v>0</v>
      </c>
      <c r="FP107">
        <f t="shared" si="267"/>
        <v>0</v>
      </c>
      <c r="FQ107">
        <f t="shared" si="268"/>
        <v>0</v>
      </c>
      <c r="FR107">
        <f t="shared" si="269"/>
        <v>0</v>
      </c>
      <c r="FS107">
        <f t="shared" si="270"/>
        <v>0</v>
      </c>
      <c r="FT107">
        <f t="shared" si="271"/>
        <v>0</v>
      </c>
      <c r="FU107">
        <f t="shared" si="272"/>
        <v>0</v>
      </c>
      <c r="FV107">
        <f t="shared" si="273"/>
        <v>0</v>
      </c>
      <c r="FW107">
        <f t="shared" si="274"/>
        <v>0</v>
      </c>
      <c r="FX107">
        <f t="shared" si="275"/>
        <v>0</v>
      </c>
      <c r="FY107">
        <f t="shared" si="276"/>
        <v>0</v>
      </c>
      <c r="FZ107">
        <f t="shared" si="277"/>
        <v>0</v>
      </c>
      <c r="GA107">
        <f t="shared" si="278"/>
        <v>0</v>
      </c>
      <c r="GB107">
        <f t="shared" si="279"/>
        <v>1</v>
      </c>
      <c r="GC107">
        <f t="shared" si="280"/>
        <v>1</v>
      </c>
      <c r="GD107">
        <f t="shared" si="281"/>
        <v>1</v>
      </c>
      <c r="GE107">
        <f t="shared" si="282"/>
        <v>1</v>
      </c>
      <c r="GF107">
        <f t="shared" si="283"/>
        <v>1</v>
      </c>
      <c r="GG107">
        <f t="shared" si="284"/>
        <v>1</v>
      </c>
      <c r="GH107">
        <f t="shared" si="285"/>
        <v>1</v>
      </c>
      <c r="GI107">
        <f t="shared" si="286"/>
        <v>1</v>
      </c>
      <c r="GJ107">
        <f t="shared" si="287"/>
        <v>1</v>
      </c>
      <c r="GK107">
        <f t="shared" si="288"/>
        <v>1</v>
      </c>
      <c r="GL107">
        <f t="shared" si="289"/>
        <v>1</v>
      </c>
      <c r="GM107">
        <f t="shared" si="290"/>
        <v>1</v>
      </c>
      <c r="GN107">
        <f t="shared" si="291"/>
        <v>1</v>
      </c>
      <c r="GO107">
        <f t="shared" si="292"/>
        <v>1</v>
      </c>
      <c r="GP107">
        <f t="shared" si="293"/>
        <v>1</v>
      </c>
      <c r="GQ107">
        <f t="shared" si="294"/>
        <v>1</v>
      </c>
      <c r="GR107">
        <f t="shared" si="295"/>
        <v>1</v>
      </c>
      <c r="GS107">
        <f t="shared" si="296"/>
        <v>1</v>
      </c>
      <c r="GT107">
        <f t="shared" si="297"/>
        <v>1</v>
      </c>
      <c r="GU107">
        <f t="shared" si="298"/>
        <v>1</v>
      </c>
      <c r="GX107" s="10"/>
    </row>
    <row r="108" spans="1:206" x14ac:dyDescent="0.3">
      <c r="A108" s="9" t="s">
        <v>124</v>
      </c>
      <c r="B108" s="80"/>
      <c r="C108" s="9">
        <v>3130218001</v>
      </c>
      <c r="D108" s="9" t="s">
        <v>368</v>
      </c>
      <c r="E108" s="9" t="s">
        <v>39</v>
      </c>
      <c r="F108" s="9" t="s">
        <v>35</v>
      </c>
      <c r="G108" s="9" t="s">
        <v>141</v>
      </c>
      <c r="H108" s="10">
        <v>44693</v>
      </c>
      <c r="I108" s="9">
        <f t="shared" si="299"/>
        <v>2022</v>
      </c>
      <c r="J108" s="9">
        <f t="shared" si="300"/>
        <v>5</v>
      </c>
      <c r="K108" s="9" t="str">
        <f t="shared" si="301"/>
        <v>2022_5</v>
      </c>
      <c r="L108">
        <f>MAX(0,VLOOKUP($K108,lookups!$A$1:$B$45,2,0)-12)</f>
        <v>13</v>
      </c>
      <c r="M108" s="40">
        <f t="shared" si="302"/>
        <v>44682</v>
      </c>
      <c r="N108" s="10" t="s">
        <v>37</v>
      </c>
      <c r="O108" t="str">
        <f ca="1">IF(OR($L108&gt;O$4,O$4&gt;$L108+23),"",OFFSET(Electric!$L99,0,-'Electric Calendarize'!$L108+'Electric Calendarize'!O$4+1))</f>
        <v/>
      </c>
      <c r="P108" t="str">
        <f ca="1">IF(OR($L108&gt;P$4,P$4&gt;$L108+23),"",OFFSET(Electric!$L99,0,-'Electric Calendarize'!$L108+'Electric Calendarize'!P$4+1))</f>
        <v/>
      </c>
      <c r="Q108" t="str">
        <f ca="1">IF(OR($L108&gt;Q$4,Q$4&gt;$L108+23),"",OFFSET(Electric!$L99,0,-'Electric Calendarize'!$L108+'Electric Calendarize'!Q$4+1))</f>
        <v/>
      </c>
      <c r="R108" t="str">
        <f ca="1">IF(OR($L108&gt;R$4,R$4&gt;$L108+23),"",OFFSET(Electric!$L99,0,-'Electric Calendarize'!$L108+'Electric Calendarize'!R$4+1))</f>
        <v/>
      </c>
      <c r="S108" t="str">
        <f ca="1">IF(OR($L108&gt;S$4,S$4&gt;$L108+23),"",OFFSET(Electric!$L99,0,-'Electric Calendarize'!$L108+'Electric Calendarize'!S$4+1))</f>
        <v/>
      </c>
      <c r="T108" t="str">
        <f ca="1">IF(OR($L108&gt;T$4,T$4&gt;$L108+23),"",OFFSET(Electric!$L99,0,-'Electric Calendarize'!$L108+'Electric Calendarize'!T$4+1))</f>
        <v/>
      </c>
      <c r="U108" t="str">
        <f ca="1">IF(OR($L108&gt;U$4,U$4&gt;$L108+23),"",OFFSET(Electric!$L99,0,-'Electric Calendarize'!$L108+'Electric Calendarize'!U$4+1))</f>
        <v/>
      </c>
      <c r="V108" t="str">
        <f ca="1">IF(OR($L108&gt;V$4,V$4&gt;$L108+23),"",OFFSET(Electric!$L99,0,-'Electric Calendarize'!$L108+'Electric Calendarize'!V$4+1))</f>
        <v/>
      </c>
      <c r="W108" t="str">
        <f ca="1">IF(OR($L108&gt;W$4,W$4&gt;$L108+23),"",OFFSET(Electric!$L99,0,-'Electric Calendarize'!$L108+'Electric Calendarize'!W$4+1))</f>
        <v/>
      </c>
      <c r="X108" t="str">
        <f ca="1">IF(OR($L108&gt;X$4,X$4&gt;$L108+23),"",OFFSET(Electric!$L99,0,-'Electric Calendarize'!$L108+'Electric Calendarize'!X$4+1))</f>
        <v/>
      </c>
      <c r="Y108" t="str">
        <f ca="1">IF(OR($L108&gt;Y$4,Y$4&gt;$L108+23),"",OFFSET(Electric!$L99,0,-'Electric Calendarize'!$L108+'Electric Calendarize'!Y$4+1))</f>
        <v/>
      </c>
      <c r="Z108" t="str">
        <f ca="1">IF(OR($L108&gt;Z$4,Z$4&gt;$L108+23),"",OFFSET(Electric!$L99,0,-'Electric Calendarize'!$L108+'Electric Calendarize'!Z$4+1))</f>
        <v/>
      </c>
      <c r="AA108" t="str">
        <f ca="1">IF(OR($L108&gt;AA$4,AA$4&gt;$L108+23),"",OFFSET(Electric!$L99,0,-'Electric Calendarize'!$L108+'Electric Calendarize'!AA$4+1))</f>
        <v/>
      </c>
      <c r="AB108">
        <f ca="1">IF(OR($L108&gt;AB$4,AB$4&gt;$L108+23),"",OFFSET(Electric!$L99,0,-'Electric Calendarize'!$L108+'Electric Calendarize'!AB$4+1))</f>
        <v>0</v>
      </c>
      <c r="AC108">
        <f ca="1">IF(OR($L108&gt;AC$4,AC$4&gt;$L108+23),"",OFFSET(Electric!$L99,0,-'Electric Calendarize'!$L108+'Electric Calendarize'!AC$4+1))</f>
        <v>0</v>
      </c>
      <c r="AD108">
        <f ca="1">IF(OR($L108&gt;AD$4,AD$4&gt;$L108+23),"",OFFSET(Electric!$L99,0,-'Electric Calendarize'!$L108+'Electric Calendarize'!AD$4+1))</f>
        <v>0</v>
      </c>
      <c r="AE108">
        <f ca="1">IF(OR($L108&gt;AE$4,AE$4&gt;$L108+23),"",OFFSET(Electric!$L99,0,-'Electric Calendarize'!$L108+'Electric Calendarize'!AE$4+1))</f>
        <v>0</v>
      </c>
      <c r="AF108">
        <f ca="1">IF(OR($L108&gt;AF$4,AF$4&gt;$L108+23),"",OFFSET(Electric!$L99,0,-'Electric Calendarize'!$L108+'Electric Calendarize'!AF$4+1))</f>
        <v>0</v>
      </c>
      <c r="AG108">
        <f ca="1">IF(OR($L108&gt;AG$4,AG$4&gt;$L108+23),"",OFFSET(Electric!$L99,0,-'Electric Calendarize'!$L108+'Electric Calendarize'!AG$4+1))</f>
        <v>0</v>
      </c>
      <c r="AH108">
        <f ca="1">IF(OR($L108&gt;AH$4,AH$4&gt;$L108+23),"",OFFSET(Electric!$L99,0,-'Electric Calendarize'!$L108+'Electric Calendarize'!AH$4+1))</f>
        <v>0</v>
      </c>
      <c r="AI108">
        <f ca="1">IF(OR($L108&gt;AI$4,AI$4&gt;$L108+23),"",OFFSET(Electric!$L99,0,-'Electric Calendarize'!$L108+'Electric Calendarize'!AI$4+1))</f>
        <v>0</v>
      </c>
      <c r="AJ108">
        <f ca="1">IF(OR($L108&gt;AJ$4,AJ$4&gt;$L108+23),"",OFFSET(Electric!$L99,0,-'Electric Calendarize'!$L108+'Electric Calendarize'!AJ$4+1))</f>
        <v>0</v>
      </c>
      <c r="AK108">
        <f ca="1">IF(OR($L108&gt;AK$4,AK$4&gt;$L108+23),"",OFFSET(Electric!$L99,0,-'Electric Calendarize'!$L108+'Electric Calendarize'!AK$4+1))</f>
        <v>0</v>
      </c>
      <c r="AL108">
        <f ca="1">IF(OR($L108&gt;AL$4,AL$4&gt;$L108+23),"",OFFSET(Electric!$L99,0,-'Electric Calendarize'!$L108+'Electric Calendarize'!AL$4+1))</f>
        <v>0</v>
      </c>
      <c r="AM108">
        <f ca="1">IF(OR($L108&gt;AM$4,AM$4&gt;$L108+23),"",OFFSET(Electric!$L99,0,-'Electric Calendarize'!$L108+'Electric Calendarize'!AM$4+1))</f>
        <v>0</v>
      </c>
      <c r="AN108">
        <f ca="1">IF(OR($L108&gt;AN$4,AN$4&gt;$L108+23),"",OFFSET(Electric!$L99,0,-'Electric Calendarize'!$L108+'Electric Calendarize'!AN$4+1))</f>
        <v>0</v>
      </c>
      <c r="AO108">
        <f ca="1">IF(OR($L108&gt;AO$4,AO$4&gt;$L108+23),"",OFFSET(Electric!$L99,0,-'Electric Calendarize'!$L108+'Electric Calendarize'!AO$4+1))</f>
        <v>0</v>
      </c>
      <c r="AP108">
        <f ca="1">IF(OR($L108&gt;AP$4,AP$4&gt;$L108+23),"",OFFSET(Electric!$L99,0,-'Electric Calendarize'!$L108+'Electric Calendarize'!AP$4+1))</f>
        <v>0</v>
      </c>
      <c r="AQ108">
        <f ca="1">IF(OR($L108&gt;AQ$4,AQ$4&gt;$L108+23),"",OFFSET(Electric!$L99,0,-'Electric Calendarize'!$L108+'Electric Calendarize'!AQ$4+1))</f>
        <v>0</v>
      </c>
      <c r="AR108">
        <f ca="1">IF(OR($L108&gt;AR$4,AR$4&gt;$L108+23),"",OFFSET(Electric!$L99,0,-'Electric Calendarize'!$L108+'Electric Calendarize'!AR$4+1))</f>
        <v>0</v>
      </c>
      <c r="AS108">
        <f ca="1">IF(OR($L108&gt;AS$4,AS$4&gt;$L108+23),"",OFFSET(Electric!$L99,0,-'Electric Calendarize'!$L108+'Electric Calendarize'!AS$4+1))</f>
        <v>0</v>
      </c>
      <c r="AT108">
        <f ca="1">IF(OR($L108&gt;AT$4,AT$4&gt;$L108+23),"",OFFSET(Electric!$L99,0,-'Electric Calendarize'!$L108+'Electric Calendarize'!AT$4+1))</f>
        <v>0</v>
      </c>
      <c r="AU108">
        <f ca="1">IF(OR($L108&gt;AU$4,AU$4&gt;$L108+23),"",OFFSET(Electric!$L99,0,-'Electric Calendarize'!$L108+'Electric Calendarize'!AU$4+1))</f>
        <v>0</v>
      </c>
      <c r="AV108">
        <f ca="1">IF(OR($L108&gt;AV$4,AV$4&gt;$L108+23),"",OFFSET(Electric!$L99,0,-'Electric Calendarize'!$L108+'Electric Calendarize'!AV$4+1))</f>
        <v>0</v>
      </c>
      <c r="AW108">
        <f ca="1">IF(OR($L108&gt;AW$4,AW$4&gt;$L108+23),"",OFFSET(Electric!$L99,0,-'Electric Calendarize'!$L108+'Electric Calendarize'!AW$4+1))</f>
        <v>0</v>
      </c>
      <c r="AX108">
        <f ca="1">IF(OR($L108&gt;AX$4,AX$4&gt;$L108+23),"",OFFSET(Electric!$L99,0,-'Electric Calendarize'!$L108+'Electric Calendarize'!AX$4+1))</f>
        <v>5</v>
      </c>
      <c r="AY108">
        <f ca="1">IF(OR($L108&gt;AY$4,AY$4&gt;$L108+23),"",OFFSET(Electric!$L99,0,-'Electric Calendarize'!$L108+'Electric Calendarize'!AY$4+1))</f>
        <v>9</v>
      </c>
      <c r="AZ108" t="str">
        <f ca="1">IF(OR($L108&gt;AZ$4,AZ$4&gt;$L108+23),"",OFFSET(Electric!$L99,0,-'Electric Calendarize'!$L108+'Electric Calendarize'!AZ$4+1))</f>
        <v/>
      </c>
      <c r="BA108" t="str">
        <f ca="1">IF(OR($L108&gt;BA$4,BA$4&gt;$L108+23),"",OFFSET(Electric!$L99,0,-'Electric Calendarize'!$L108+'Electric Calendarize'!BA$4+1))</f>
        <v/>
      </c>
      <c r="BB108" t="str">
        <f ca="1">IF(OR($L108&gt;BB$4,BB$4&gt;$L108+23),"",OFFSET(Electric!$L99,0,-'Electric Calendarize'!$L108+'Electric Calendarize'!BB$4+1))</f>
        <v/>
      </c>
      <c r="BC108" t="str">
        <f ca="1">IF(OR($L108&gt;BC$4,BC$4&gt;$L108+23),"",OFFSET(Electric!$L99,0,-'Electric Calendarize'!$L108+'Electric Calendarize'!BC$4+1))</f>
        <v/>
      </c>
      <c r="BD108" t="str">
        <f ca="1">IF(OR($L108&gt;BD$4,BD$4&gt;$L108+23),"",OFFSET(Electric!$L99,0,-'Electric Calendarize'!$L108+'Electric Calendarize'!BD$4+1))</f>
        <v/>
      </c>
      <c r="BE108" t="str">
        <f ca="1">IF(OR($L108&gt;BE$4,BE$4&gt;$L108+23),"",OFFSET(Electric!$L99,0,-'Electric Calendarize'!$L108+'Electric Calendarize'!BE$4+1))</f>
        <v/>
      </c>
      <c r="BF108" t="str">
        <f ca="1">IF(OR($L108&gt;BF$4,BF$4&gt;$L108+23),"",OFFSET(Electric!$L99,0,-'Electric Calendarize'!$L108+'Electric Calendarize'!BF$4+1))</f>
        <v/>
      </c>
      <c r="BG108" t="str">
        <f ca="1">IF(OR($L108&gt;BG$4,BG$4&gt;$L108+23),"",OFFSET(Electric!$L99,0,-'Electric Calendarize'!$L108+'Electric Calendarize'!BG$4+1))</f>
        <v/>
      </c>
      <c r="BJ108" s="10" t="s">
        <v>37</v>
      </c>
      <c r="BK108">
        <f t="shared" si="303"/>
        <v>1</v>
      </c>
      <c r="BL108">
        <f t="shared" si="209"/>
        <v>0</v>
      </c>
      <c r="BM108">
        <f t="shared" si="210"/>
        <v>0</v>
      </c>
      <c r="BN108">
        <f t="shared" si="211"/>
        <v>0</v>
      </c>
      <c r="BO108">
        <f t="shared" si="212"/>
        <v>0</v>
      </c>
      <c r="BP108">
        <f t="shared" si="213"/>
        <v>0</v>
      </c>
      <c r="BQ108">
        <f t="shared" si="214"/>
        <v>0</v>
      </c>
      <c r="BR108">
        <f t="shared" si="215"/>
        <v>1</v>
      </c>
      <c r="BS108">
        <f t="shared" si="216"/>
        <v>1</v>
      </c>
      <c r="BT108">
        <f t="shared" si="217"/>
        <v>1</v>
      </c>
      <c r="BU108">
        <f t="shared" si="218"/>
        <v>1</v>
      </c>
      <c r="BV108">
        <f t="shared" si="219"/>
        <v>1</v>
      </c>
      <c r="BW108">
        <f t="shared" si="220"/>
        <v>1</v>
      </c>
      <c r="BX108">
        <f t="shared" si="221"/>
        <v>0</v>
      </c>
      <c r="BY108">
        <f t="shared" si="222"/>
        <v>0</v>
      </c>
      <c r="BZ108">
        <f t="shared" si="223"/>
        <v>0</v>
      </c>
      <c r="CA108">
        <f t="shared" si="224"/>
        <v>0</v>
      </c>
      <c r="CB108">
        <f t="shared" si="225"/>
        <v>0</v>
      </c>
      <c r="CC108">
        <f t="shared" si="226"/>
        <v>0</v>
      </c>
      <c r="CD108">
        <f t="shared" si="227"/>
        <v>1</v>
      </c>
      <c r="CE108">
        <f t="shared" si="228"/>
        <v>1</v>
      </c>
      <c r="CF108">
        <f t="shared" si="229"/>
        <v>1</v>
      </c>
      <c r="CG108">
        <f t="shared" si="230"/>
        <v>1</v>
      </c>
      <c r="CH108">
        <f t="shared" si="231"/>
        <v>1</v>
      </c>
      <c r="CI108">
        <f t="shared" si="232"/>
        <v>1</v>
      </c>
      <c r="CJ108">
        <f t="shared" si="233"/>
        <v>0</v>
      </c>
      <c r="CK108">
        <f t="shared" si="234"/>
        <v>0</v>
      </c>
      <c r="CL108">
        <f t="shared" si="235"/>
        <v>0</v>
      </c>
      <c r="CM108">
        <f t="shared" si="236"/>
        <v>0</v>
      </c>
      <c r="CN108">
        <f t="shared" si="237"/>
        <v>0</v>
      </c>
      <c r="CO108">
        <f t="shared" si="238"/>
        <v>0</v>
      </c>
      <c r="CP108">
        <f t="shared" si="239"/>
        <v>1</v>
      </c>
      <c r="CQ108">
        <f t="shared" si="240"/>
        <v>1</v>
      </c>
      <c r="CR108">
        <f t="shared" si="241"/>
        <v>1</v>
      </c>
      <c r="CS108">
        <f t="shared" si="242"/>
        <v>1</v>
      </c>
      <c r="CT108">
        <f t="shared" si="243"/>
        <v>1</v>
      </c>
      <c r="CU108">
        <f t="shared" si="244"/>
        <v>1</v>
      </c>
      <c r="CV108">
        <f t="shared" si="245"/>
        <v>0</v>
      </c>
      <c r="CW108">
        <f t="shared" si="246"/>
        <v>0</v>
      </c>
      <c r="CX108">
        <f t="shared" si="247"/>
        <v>0</v>
      </c>
      <c r="CY108">
        <f t="shared" si="248"/>
        <v>0</v>
      </c>
      <c r="CZ108">
        <f t="shared" si="249"/>
        <v>0</v>
      </c>
      <c r="DA108">
        <f t="shared" si="250"/>
        <v>0</v>
      </c>
      <c r="DB108">
        <f t="shared" si="251"/>
        <v>1</v>
      </c>
      <c r="DC108">
        <f t="shared" si="252"/>
        <v>1</v>
      </c>
      <c r="DF108" s="10" t="s">
        <v>37</v>
      </c>
      <c r="DG108" t="str">
        <f t="shared" ref="DG108:DV123" si="312">$K108</f>
        <v>2022_5</v>
      </c>
      <c r="DH108" t="str">
        <f t="shared" si="312"/>
        <v>2022_5</v>
      </c>
      <c r="DI108" t="str">
        <f t="shared" si="312"/>
        <v>2022_5</v>
      </c>
      <c r="DJ108" t="str">
        <f t="shared" si="312"/>
        <v>2022_5</v>
      </c>
      <c r="DK108" t="str">
        <f t="shared" si="312"/>
        <v>2022_5</v>
      </c>
      <c r="DL108" t="str">
        <f t="shared" si="312"/>
        <v>2022_5</v>
      </c>
      <c r="DM108" t="str">
        <f t="shared" si="312"/>
        <v>2022_5</v>
      </c>
      <c r="DN108" t="str">
        <f t="shared" si="312"/>
        <v>2022_5</v>
      </c>
      <c r="DO108" t="str">
        <f t="shared" si="312"/>
        <v>2022_5</v>
      </c>
      <c r="DP108" t="str">
        <f t="shared" si="312"/>
        <v>2022_5</v>
      </c>
      <c r="DQ108" t="str">
        <f t="shared" si="312"/>
        <v>2022_5</v>
      </c>
      <c r="DR108" t="str">
        <f t="shared" si="312"/>
        <v>2022_5</v>
      </c>
      <c r="DS108" t="str">
        <f t="shared" si="312"/>
        <v>2022_5</v>
      </c>
      <c r="DT108" t="str">
        <f t="shared" si="312"/>
        <v>2022_5</v>
      </c>
      <c r="DU108" t="str">
        <f t="shared" si="312"/>
        <v>2022_5</v>
      </c>
      <c r="DV108" t="str">
        <f t="shared" si="310"/>
        <v>2022_5</v>
      </c>
      <c r="DW108" t="str">
        <f t="shared" si="310"/>
        <v>2022_5</v>
      </c>
      <c r="DX108" t="str">
        <f t="shared" si="310"/>
        <v>2022_5</v>
      </c>
      <c r="DY108" t="str">
        <f t="shared" si="310"/>
        <v>2022_5</v>
      </c>
      <c r="DZ108" t="str">
        <f t="shared" si="310"/>
        <v>2022_5</v>
      </c>
      <c r="EA108" t="str">
        <f t="shared" si="310"/>
        <v>2022_5</v>
      </c>
      <c r="EB108" t="str">
        <f t="shared" si="310"/>
        <v>2022_5</v>
      </c>
      <c r="EC108" t="str">
        <f t="shared" si="310"/>
        <v>2022_5</v>
      </c>
      <c r="ED108" t="str">
        <f t="shared" si="310"/>
        <v>2022_5</v>
      </c>
      <c r="EE108" t="str">
        <f t="shared" si="310"/>
        <v>2022_5</v>
      </c>
      <c r="EF108" t="str">
        <f t="shared" si="310"/>
        <v>2022_5</v>
      </c>
      <c r="EG108" t="str">
        <f t="shared" si="310"/>
        <v>2022_5</v>
      </c>
      <c r="EH108" t="str">
        <f t="shared" si="310"/>
        <v>2022_5</v>
      </c>
      <c r="EI108" t="str">
        <f t="shared" si="310"/>
        <v>2022_5</v>
      </c>
      <c r="EJ108" t="str">
        <f t="shared" si="310"/>
        <v>2022_5</v>
      </c>
      <c r="EK108" t="str">
        <f t="shared" si="310"/>
        <v>2022_5</v>
      </c>
      <c r="EL108" t="str">
        <f t="shared" si="311"/>
        <v>2022_5</v>
      </c>
      <c r="EM108" t="str">
        <f t="shared" si="309"/>
        <v>2022_5</v>
      </c>
      <c r="EN108" t="str">
        <f t="shared" si="309"/>
        <v>2022_5</v>
      </c>
      <c r="EO108" t="str">
        <f t="shared" si="309"/>
        <v>2022_5</v>
      </c>
      <c r="EP108" t="str">
        <f t="shared" si="309"/>
        <v>2022_5</v>
      </c>
      <c r="EQ108" t="str">
        <f t="shared" si="309"/>
        <v>2022_5</v>
      </c>
      <c r="ER108" t="str">
        <f t="shared" si="309"/>
        <v>2022_5</v>
      </c>
      <c r="ES108" t="str">
        <f t="shared" si="309"/>
        <v>2022_5</v>
      </c>
      <c r="ET108" t="str">
        <f t="shared" si="309"/>
        <v>2022_5</v>
      </c>
      <c r="EU108" t="str">
        <f t="shared" si="309"/>
        <v>2022_5</v>
      </c>
      <c r="EV108" t="str">
        <f t="shared" si="309"/>
        <v>2022_5</v>
      </c>
      <c r="EW108" t="str">
        <f t="shared" si="309"/>
        <v>2022_5</v>
      </c>
      <c r="EX108" t="str">
        <f t="shared" si="309"/>
        <v>2022_5</v>
      </c>
      <c r="EY108" t="str">
        <f t="shared" si="309"/>
        <v>2022_5</v>
      </c>
      <c r="FB108" s="10" t="s">
        <v>37</v>
      </c>
      <c r="FC108">
        <f t="shared" si="305"/>
        <v>0</v>
      </c>
      <c r="FD108">
        <f t="shared" si="255"/>
        <v>0</v>
      </c>
      <c r="FE108">
        <f t="shared" si="256"/>
        <v>0</v>
      </c>
      <c r="FF108">
        <f t="shared" si="257"/>
        <v>0</v>
      </c>
      <c r="FG108">
        <f t="shared" si="258"/>
        <v>0</v>
      </c>
      <c r="FH108">
        <f t="shared" si="259"/>
        <v>0</v>
      </c>
      <c r="FI108">
        <f t="shared" si="260"/>
        <v>0</v>
      </c>
      <c r="FJ108">
        <f t="shared" si="261"/>
        <v>0</v>
      </c>
      <c r="FK108">
        <f t="shared" si="262"/>
        <v>0</v>
      </c>
      <c r="FL108">
        <f t="shared" si="263"/>
        <v>0</v>
      </c>
      <c r="FM108">
        <f t="shared" si="264"/>
        <v>0</v>
      </c>
      <c r="FN108">
        <f t="shared" si="265"/>
        <v>0</v>
      </c>
      <c r="FO108">
        <f t="shared" si="266"/>
        <v>0</v>
      </c>
      <c r="FP108">
        <f t="shared" si="267"/>
        <v>0</v>
      </c>
      <c r="FQ108">
        <f t="shared" si="268"/>
        <v>0</v>
      </c>
      <c r="FR108">
        <f t="shared" si="269"/>
        <v>0</v>
      </c>
      <c r="FS108">
        <f t="shared" si="270"/>
        <v>0</v>
      </c>
      <c r="FT108">
        <f t="shared" si="271"/>
        <v>0</v>
      </c>
      <c r="FU108">
        <f t="shared" si="272"/>
        <v>0</v>
      </c>
      <c r="FV108">
        <f t="shared" si="273"/>
        <v>0</v>
      </c>
      <c r="FW108">
        <f t="shared" si="274"/>
        <v>0</v>
      </c>
      <c r="FX108">
        <f t="shared" si="275"/>
        <v>0</v>
      </c>
      <c r="FY108">
        <f t="shared" si="276"/>
        <v>0</v>
      </c>
      <c r="FZ108">
        <f t="shared" si="277"/>
        <v>0</v>
      </c>
      <c r="GA108">
        <f t="shared" si="278"/>
        <v>0</v>
      </c>
      <c r="GB108">
        <f t="shared" si="279"/>
        <v>1</v>
      </c>
      <c r="GC108">
        <f t="shared" si="280"/>
        <v>1</v>
      </c>
      <c r="GD108">
        <f t="shared" si="281"/>
        <v>1</v>
      </c>
      <c r="GE108">
        <f t="shared" si="282"/>
        <v>1</v>
      </c>
      <c r="GF108">
        <f t="shared" si="283"/>
        <v>1</v>
      </c>
      <c r="GG108">
        <f t="shared" si="284"/>
        <v>1</v>
      </c>
      <c r="GH108">
        <f t="shared" si="285"/>
        <v>1</v>
      </c>
      <c r="GI108">
        <f t="shared" si="286"/>
        <v>1</v>
      </c>
      <c r="GJ108">
        <f t="shared" si="287"/>
        <v>1</v>
      </c>
      <c r="GK108">
        <f t="shared" si="288"/>
        <v>1</v>
      </c>
      <c r="GL108">
        <f t="shared" si="289"/>
        <v>1</v>
      </c>
      <c r="GM108">
        <f t="shared" si="290"/>
        <v>1</v>
      </c>
      <c r="GN108">
        <f t="shared" si="291"/>
        <v>1</v>
      </c>
      <c r="GO108">
        <f t="shared" si="292"/>
        <v>1</v>
      </c>
      <c r="GP108">
        <f t="shared" si="293"/>
        <v>1</v>
      </c>
      <c r="GQ108">
        <f t="shared" si="294"/>
        <v>1</v>
      </c>
      <c r="GR108">
        <f t="shared" si="295"/>
        <v>1</v>
      </c>
      <c r="GS108">
        <f t="shared" si="296"/>
        <v>1</v>
      </c>
      <c r="GT108">
        <f t="shared" si="297"/>
        <v>1</v>
      </c>
      <c r="GU108">
        <f t="shared" si="298"/>
        <v>1</v>
      </c>
      <c r="GX108" s="10"/>
    </row>
    <row r="109" spans="1:206" x14ac:dyDescent="0.3">
      <c r="A109" s="9" t="s">
        <v>124</v>
      </c>
      <c r="B109" s="80"/>
      <c r="C109" s="9">
        <v>3130219008</v>
      </c>
      <c r="D109" s="9" t="s">
        <v>368</v>
      </c>
      <c r="E109" s="9" t="s">
        <v>39</v>
      </c>
      <c r="F109" s="9" t="s">
        <v>35</v>
      </c>
      <c r="G109" s="9" t="s">
        <v>142</v>
      </c>
      <c r="H109" s="10">
        <v>44693</v>
      </c>
      <c r="I109" s="9">
        <f t="shared" si="299"/>
        <v>2022</v>
      </c>
      <c r="J109" s="9">
        <f t="shared" si="300"/>
        <v>5</v>
      </c>
      <c r="K109" s="9" t="str">
        <f t="shared" si="301"/>
        <v>2022_5</v>
      </c>
      <c r="L109">
        <f>MAX(0,VLOOKUP($K109,lookups!$A$1:$B$45,2,0)-12)</f>
        <v>13</v>
      </c>
      <c r="M109" s="40">
        <f t="shared" si="302"/>
        <v>44682</v>
      </c>
      <c r="N109" s="10" t="s">
        <v>37</v>
      </c>
      <c r="O109" t="str">
        <f ca="1">IF(OR($L109&gt;O$4,O$4&gt;$L109+23),"",OFFSET(Electric!$L100,0,-'Electric Calendarize'!$L109+'Electric Calendarize'!O$4+1))</f>
        <v/>
      </c>
      <c r="P109" t="str">
        <f ca="1">IF(OR($L109&gt;P$4,P$4&gt;$L109+23),"",OFFSET(Electric!$L100,0,-'Electric Calendarize'!$L109+'Electric Calendarize'!P$4+1))</f>
        <v/>
      </c>
      <c r="Q109" t="str">
        <f ca="1">IF(OR($L109&gt;Q$4,Q$4&gt;$L109+23),"",OFFSET(Electric!$L100,0,-'Electric Calendarize'!$L109+'Electric Calendarize'!Q$4+1))</f>
        <v/>
      </c>
      <c r="R109" t="str">
        <f ca="1">IF(OR($L109&gt;R$4,R$4&gt;$L109+23),"",OFFSET(Electric!$L100,0,-'Electric Calendarize'!$L109+'Electric Calendarize'!R$4+1))</f>
        <v/>
      </c>
      <c r="S109" t="str">
        <f ca="1">IF(OR($L109&gt;S$4,S$4&gt;$L109+23),"",OFFSET(Electric!$L100,0,-'Electric Calendarize'!$L109+'Electric Calendarize'!S$4+1))</f>
        <v/>
      </c>
      <c r="T109" t="str">
        <f ca="1">IF(OR($L109&gt;T$4,T$4&gt;$L109+23),"",OFFSET(Electric!$L100,0,-'Electric Calendarize'!$L109+'Electric Calendarize'!T$4+1))</f>
        <v/>
      </c>
      <c r="U109" t="str">
        <f ca="1">IF(OR($L109&gt;U$4,U$4&gt;$L109+23),"",OFFSET(Electric!$L100,0,-'Electric Calendarize'!$L109+'Electric Calendarize'!U$4+1))</f>
        <v/>
      </c>
      <c r="V109" t="str">
        <f ca="1">IF(OR($L109&gt;V$4,V$4&gt;$L109+23),"",OFFSET(Electric!$L100,0,-'Electric Calendarize'!$L109+'Electric Calendarize'!V$4+1))</f>
        <v/>
      </c>
      <c r="W109" t="str">
        <f ca="1">IF(OR($L109&gt;W$4,W$4&gt;$L109+23),"",OFFSET(Electric!$L100,0,-'Electric Calendarize'!$L109+'Electric Calendarize'!W$4+1))</f>
        <v/>
      </c>
      <c r="X109" t="str">
        <f ca="1">IF(OR($L109&gt;X$4,X$4&gt;$L109+23),"",OFFSET(Electric!$L100,0,-'Electric Calendarize'!$L109+'Electric Calendarize'!X$4+1))</f>
        <v/>
      </c>
      <c r="Y109" t="str">
        <f ca="1">IF(OR($L109&gt;Y$4,Y$4&gt;$L109+23),"",OFFSET(Electric!$L100,0,-'Electric Calendarize'!$L109+'Electric Calendarize'!Y$4+1))</f>
        <v/>
      </c>
      <c r="Z109" t="str">
        <f ca="1">IF(OR($L109&gt;Z$4,Z$4&gt;$L109+23),"",OFFSET(Electric!$L100,0,-'Electric Calendarize'!$L109+'Electric Calendarize'!Z$4+1))</f>
        <v/>
      </c>
      <c r="AA109" t="str">
        <f ca="1">IF(OR($L109&gt;AA$4,AA$4&gt;$L109+23),"",OFFSET(Electric!$L100,0,-'Electric Calendarize'!$L109+'Electric Calendarize'!AA$4+1))</f>
        <v/>
      </c>
      <c r="AB109">
        <f ca="1">IF(OR($L109&gt;AB$4,AB$4&gt;$L109+23),"",OFFSET(Electric!$L100,0,-'Electric Calendarize'!$L109+'Electric Calendarize'!AB$4+1))</f>
        <v>0</v>
      </c>
      <c r="AC109">
        <f ca="1">IF(OR($L109&gt;AC$4,AC$4&gt;$L109+23),"",OFFSET(Electric!$L100,0,-'Electric Calendarize'!$L109+'Electric Calendarize'!AC$4+1))</f>
        <v>0</v>
      </c>
      <c r="AD109">
        <f ca="1">IF(OR($L109&gt;AD$4,AD$4&gt;$L109+23),"",OFFSET(Electric!$L100,0,-'Electric Calendarize'!$L109+'Electric Calendarize'!AD$4+1))</f>
        <v>0</v>
      </c>
      <c r="AE109">
        <f ca="1">IF(OR($L109&gt;AE$4,AE$4&gt;$L109+23),"",OFFSET(Electric!$L100,0,-'Electric Calendarize'!$L109+'Electric Calendarize'!AE$4+1))</f>
        <v>0</v>
      </c>
      <c r="AF109">
        <f ca="1">IF(OR($L109&gt;AF$4,AF$4&gt;$L109+23),"",OFFSET(Electric!$L100,0,-'Electric Calendarize'!$L109+'Electric Calendarize'!AF$4+1))</f>
        <v>0</v>
      </c>
      <c r="AG109">
        <f ca="1">IF(OR($L109&gt;AG$4,AG$4&gt;$L109+23),"",OFFSET(Electric!$L100,0,-'Electric Calendarize'!$L109+'Electric Calendarize'!AG$4+1))</f>
        <v>0</v>
      </c>
      <c r="AH109">
        <f ca="1">IF(OR($L109&gt;AH$4,AH$4&gt;$L109+23),"",OFFSET(Electric!$L100,0,-'Electric Calendarize'!$L109+'Electric Calendarize'!AH$4+1))</f>
        <v>117</v>
      </c>
      <c r="AI109">
        <f ca="1">IF(OR($L109&gt;AI$4,AI$4&gt;$L109+23),"",OFFSET(Electric!$L100,0,-'Electric Calendarize'!$L109+'Electric Calendarize'!AI$4+1))</f>
        <v>299</v>
      </c>
      <c r="AJ109">
        <f ca="1">IF(OR($L109&gt;AJ$4,AJ$4&gt;$L109+23),"",OFFSET(Electric!$L100,0,-'Electric Calendarize'!$L109+'Electric Calendarize'!AJ$4+1))</f>
        <v>330</v>
      </c>
      <c r="AK109">
        <f ca="1">IF(OR($L109&gt;AK$4,AK$4&gt;$L109+23),"",OFFSET(Electric!$L100,0,-'Electric Calendarize'!$L109+'Electric Calendarize'!AK$4+1))</f>
        <v>267</v>
      </c>
      <c r="AL109">
        <f ca="1">IF(OR($L109&gt;AL$4,AL$4&gt;$L109+23),"",OFFSET(Electric!$L100,0,-'Electric Calendarize'!$L109+'Electric Calendarize'!AL$4+1))</f>
        <v>289</v>
      </c>
      <c r="AM109">
        <f ca="1">IF(OR($L109&gt;AM$4,AM$4&gt;$L109+23),"",OFFSET(Electric!$L100,0,-'Electric Calendarize'!$L109+'Electric Calendarize'!AM$4+1))</f>
        <v>279</v>
      </c>
      <c r="AN109">
        <f ca="1">IF(OR($L109&gt;AN$4,AN$4&gt;$L109+23),"",OFFSET(Electric!$L100,0,-'Electric Calendarize'!$L109+'Electric Calendarize'!AN$4+1))</f>
        <v>311</v>
      </c>
      <c r="AO109">
        <f ca="1">IF(OR($L109&gt;AO$4,AO$4&gt;$L109+23),"",OFFSET(Electric!$L100,0,-'Electric Calendarize'!$L109+'Electric Calendarize'!AO$4+1))</f>
        <v>366</v>
      </c>
      <c r="AP109">
        <f ca="1">IF(OR($L109&gt;AP$4,AP$4&gt;$L109+23),"",OFFSET(Electric!$L100,0,-'Electric Calendarize'!$L109+'Electric Calendarize'!AP$4+1))</f>
        <v>551</v>
      </c>
      <c r="AQ109">
        <f ca="1">IF(OR($L109&gt;AQ$4,AQ$4&gt;$L109+23),"",OFFSET(Electric!$L100,0,-'Electric Calendarize'!$L109+'Electric Calendarize'!AQ$4+1))</f>
        <v>802</v>
      </c>
      <c r="AR109">
        <f ca="1">IF(OR($L109&gt;AR$4,AR$4&gt;$L109+23),"",OFFSET(Electric!$L100,0,-'Electric Calendarize'!$L109+'Electric Calendarize'!AR$4+1))</f>
        <v>432</v>
      </c>
      <c r="AS109">
        <f ca="1">IF(OR($L109&gt;AS$4,AS$4&gt;$L109+23),"",OFFSET(Electric!$L100,0,-'Electric Calendarize'!$L109+'Electric Calendarize'!AS$4+1))</f>
        <v>578</v>
      </c>
      <c r="AT109">
        <f ca="1">IF(OR($L109&gt;AT$4,AT$4&gt;$L109+23),"",OFFSET(Electric!$L100,0,-'Electric Calendarize'!$L109+'Electric Calendarize'!AT$4+1))</f>
        <v>1182</v>
      </c>
      <c r="AU109">
        <f ca="1">IF(OR($L109&gt;AU$4,AU$4&gt;$L109+23),"",OFFSET(Electric!$L100,0,-'Electric Calendarize'!$L109+'Electric Calendarize'!AU$4+1))</f>
        <v>2282</v>
      </c>
      <c r="AV109">
        <f ca="1">IF(OR($L109&gt;AV$4,AV$4&gt;$L109+23),"",OFFSET(Electric!$L100,0,-'Electric Calendarize'!$L109+'Electric Calendarize'!AV$4+1))</f>
        <v>2806</v>
      </c>
      <c r="AW109">
        <f ca="1">IF(OR($L109&gt;AW$4,AW$4&gt;$L109+23),"",OFFSET(Electric!$L100,0,-'Electric Calendarize'!$L109+'Electric Calendarize'!AW$4+1))</f>
        <v>2234</v>
      </c>
      <c r="AX109">
        <f ca="1">IF(OR($L109&gt;AX$4,AX$4&gt;$L109+23),"",OFFSET(Electric!$L100,0,-'Electric Calendarize'!$L109+'Electric Calendarize'!AX$4+1))</f>
        <v>2200</v>
      </c>
      <c r="AY109">
        <f ca="1">IF(OR($L109&gt;AY$4,AY$4&gt;$L109+23),"",OFFSET(Electric!$L100,0,-'Electric Calendarize'!$L109+'Electric Calendarize'!AY$4+1))</f>
        <v>1088</v>
      </c>
      <c r="AZ109" t="str">
        <f ca="1">IF(OR($L109&gt;AZ$4,AZ$4&gt;$L109+23),"",OFFSET(Electric!$L100,0,-'Electric Calendarize'!$L109+'Electric Calendarize'!AZ$4+1))</f>
        <v/>
      </c>
      <c r="BA109" t="str">
        <f ca="1">IF(OR($L109&gt;BA$4,BA$4&gt;$L109+23),"",OFFSET(Electric!$L100,0,-'Electric Calendarize'!$L109+'Electric Calendarize'!BA$4+1))</f>
        <v/>
      </c>
      <c r="BB109" t="str">
        <f ca="1">IF(OR($L109&gt;BB$4,BB$4&gt;$L109+23),"",OFFSET(Electric!$L100,0,-'Electric Calendarize'!$L109+'Electric Calendarize'!BB$4+1))</f>
        <v/>
      </c>
      <c r="BC109" t="str">
        <f ca="1">IF(OR($L109&gt;BC$4,BC$4&gt;$L109+23),"",OFFSET(Electric!$L100,0,-'Electric Calendarize'!$L109+'Electric Calendarize'!BC$4+1))</f>
        <v/>
      </c>
      <c r="BD109" t="str">
        <f ca="1">IF(OR($L109&gt;BD$4,BD$4&gt;$L109+23),"",OFFSET(Electric!$L100,0,-'Electric Calendarize'!$L109+'Electric Calendarize'!BD$4+1))</f>
        <v/>
      </c>
      <c r="BE109" t="str">
        <f ca="1">IF(OR($L109&gt;BE$4,BE$4&gt;$L109+23),"",OFFSET(Electric!$L100,0,-'Electric Calendarize'!$L109+'Electric Calendarize'!BE$4+1))</f>
        <v/>
      </c>
      <c r="BF109" t="str">
        <f ca="1">IF(OR($L109&gt;BF$4,BF$4&gt;$L109+23),"",OFFSET(Electric!$L100,0,-'Electric Calendarize'!$L109+'Electric Calendarize'!BF$4+1))</f>
        <v/>
      </c>
      <c r="BG109" t="str">
        <f ca="1">IF(OR($L109&gt;BG$4,BG$4&gt;$L109+23),"",OFFSET(Electric!$L100,0,-'Electric Calendarize'!$L109+'Electric Calendarize'!BG$4+1))</f>
        <v/>
      </c>
      <c r="BJ109" s="10" t="s">
        <v>37</v>
      </c>
      <c r="BK109">
        <f t="shared" si="303"/>
        <v>1</v>
      </c>
      <c r="BL109">
        <f t="shared" si="209"/>
        <v>0</v>
      </c>
      <c r="BM109">
        <f t="shared" si="210"/>
        <v>0</v>
      </c>
      <c r="BN109">
        <f t="shared" si="211"/>
        <v>0</v>
      </c>
      <c r="BO109">
        <f t="shared" si="212"/>
        <v>0</v>
      </c>
      <c r="BP109">
        <f t="shared" si="213"/>
        <v>0</v>
      </c>
      <c r="BQ109">
        <f t="shared" si="214"/>
        <v>0</v>
      </c>
      <c r="BR109">
        <f t="shared" si="215"/>
        <v>1</v>
      </c>
      <c r="BS109">
        <f t="shared" si="216"/>
        <v>1</v>
      </c>
      <c r="BT109">
        <f t="shared" si="217"/>
        <v>1</v>
      </c>
      <c r="BU109">
        <f t="shared" si="218"/>
        <v>1</v>
      </c>
      <c r="BV109">
        <f t="shared" si="219"/>
        <v>1</v>
      </c>
      <c r="BW109">
        <f t="shared" si="220"/>
        <v>1</v>
      </c>
      <c r="BX109">
        <f t="shared" si="221"/>
        <v>0</v>
      </c>
      <c r="BY109">
        <f t="shared" si="222"/>
        <v>0</v>
      </c>
      <c r="BZ109">
        <f t="shared" si="223"/>
        <v>0</v>
      </c>
      <c r="CA109">
        <f t="shared" si="224"/>
        <v>0</v>
      </c>
      <c r="CB109">
        <f t="shared" si="225"/>
        <v>0</v>
      </c>
      <c r="CC109">
        <f t="shared" si="226"/>
        <v>0</v>
      </c>
      <c r="CD109">
        <f t="shared" si="227"/>
        <v>1</v>
      </c>
      <c r="CE109">
        <f t="shared" si="228"/>
        <v>1</v>
      </c>
      <c r="CF109">
        <f t="shared" si="229"/>
        <v>1</v>
      </c>
      <c r="CG109">
        <f t="shared" si="230"/>
        <v>1</v>
      </c>
      <c r="CH109">
        <f t="shared" si="231"/>
        <v>1</v>
      </c>
      <c r="CI109">
        <f t="shared" si="232"/>
        <v>1</v>
      </c>
      <c r="CJ109">
        <f t="shared" si="233"/>
        <v>0</v>
      </c>
      <c r="CK109">
        <f t="shared" si="234"/>
        <v>0</v>
      </c>
      <c r="CL109">
        <f t="shared" si="235"/>
        <v>0</v>
      </c>
      <c r="CM109">
        <f t="shared" si="236"/>
        <v>0</v>
      </c>
      <c r="CN109">
        <f t="shared" si="237"/>
        <v>0</v>
      </c>
      <c r="CO109">
        <f t="shared" si="238"/>
        <v>0</v>
      </c>
      <c r="CP109">
        <f t="shared" si="239"/>
        <v>1</v>
      </c>
      <c r="CQ109">
        <f t="shared" si="240"/>
        <v>1</v>
      </c>
      <c r="CR109">
        <f t="shared" si="241"/>
        <v>1</v>
      </c>
      <c r="CS109">
        <f t="shared" si="242"/>
        <v>1</v>
      </c>
      <c r="CT109">
        <f t="shared" si="243"/>
        <v>1</v>
      </c>
      <c r="CU109">
        <f t="shared" si="244"/>
        <v>1</v>
      </c>
      <c r="CV109">
        <f t="shared" si="245"/>
        <v>0</v>
      </c>
      <c r="CW109">
        <f t="shared" si="246"/>
        <v>0</v>
      </c>
      <c r="CX109">
        <f t="shared" si="247"/>
        <v>0</v>
      </c>
      <c r="CY109">
        <f t="shared" si="248"/>
        <v>0</v>
      </c>
      <c r="CZ109">
        <f t="shared" si="249"/>
        <v>0</v>
      </c>
      <c r="DA109">
        <f t="shared" si="250"/>
        <v>0</v>
      </c>
      <c r="DB109">
        <f t="shared" si="251"/>
        <v>1</v>
      </c>
      <c r="DC109">
        <f t="shared" si="252"/>
        <v>1</v>
      </c>
      <c r="DF109" s="10" t="s">
        <v>37</v>
      </c>
      <c r="DG109" t="str">
        <f t="shared" si="312"/>
        <v>2022_5</v>
      </c>
      <c r="DH109" t="str">
        <f t="shared" si="312"/>
        <v>2022_5</v>
      </c>
      <c r="DI109" t="str">
        <f t="shared" si="312"/>
        <v>2022_5</v>
      </c>
      <c r="DJ109" t="str">
        <f t="shared" si="312"/>
        <v>2022_5</v>
      </c>
      <c r="DK109" t="str">
        <f t="shared" si="312"/>
        <v>2022_5</v>
      </c>
      <c r="DL109" t="str">
        <f t="shared" si="312"/>
        <v>2022_5</v>
      </c>
      <c r="DM109" t="str">
        <f t="shared" si="312"/>
        <v>2022_5</v>
      </c>
      <c r="DN109" t="str">
        <f t="shared" si="312"/>
        <v>2022_5</v>
      </c>
      <c r="DO109" t="str">
        <f t="shared" si="312"/>
        <v>2022_5</v>
      </c>
      <c r="DP109" t="str">
        <f t="shared" si="312"/>
        <v>2022_5</v>
      </c>
      <c r="DQ109" t="str">
        <f t="shared" si="312"/>
        <v>2022_5</v>
      </c>
      <c r="DR109" t="str">
        <f t="shared" si="312"/>
        <v>2022_5</v>
      </c>
      <c r="DS109" t="str">
        <f t="shared" si="312"/>
        <v>2022_5</v>
      </c>
      <c r="DT109" t="str">
        <f t="shared" si="312"/>
        <v>2022_5</v>
      </c>
      <c r="DU109" t="str">
        <f t="shared" si="312"/>
        <v>2022_5</v>
      </c>
      <c r="DV109" t="str">
        <f t="shared" si="310"/>
        <v>2022_5</v>
      </c>
      <c r="DW109" t="str">
        <f t="shared" si="310"/>
        <v>2022_5</v>
      </c>
      <c r="DX109" t="str">
        <f t="shared" si="310"/>
        <v>2022_5</v>
      </c>
      <c r="DY109" t="str">
        <f t="shared" si="310"/>
        <v>2022_5</v>
      </c>
      <c r="DZ109" t="str">
        <f t="shared" si="310"/>
        <v>2022_5</v>
      </c>
      <c r="EA109" t="str">
        <f t="shared" si="310"/>
        <v>2022_5</v>
      </c>
      <c r="EB109" t="str">
        <f t="shared" si="310"/>
        <v>2022_5</v>
      </c>
      <c r="EC109" t="str">
        <f t="shared" si="310"/>
        <v>2022_5</v>
      </c>
      <c r="ED109" t="str">
        <f t="shared" si="310"/>
        <v>2022_5</v>
      </c>
      <c r="EE109" t="str">
        <f t="shared" si="310"/>
        <v>2022_5</v>
      </c>
      <c r="EF109" t="str">
        <f t="shared" si="310"/>
        <v>2022_5</v>
      </c>
      <c r="EG109" t="str">
        <f t="shared" si="310"/>
        <v>2022_5</v>
      </c>
      <c r="EH109" t="str">
        <f t="shared" si="310"/>
        <v>2022_5</v>
      </c>
      <c r="EI109" t="str">
        <f t="shared" si="310"/>
        <v>2022_5</v>
      </c>
      <c r="EJ109" t="str">
        <f t="shared" si="310"/>
        <v>2022_5</v>
      </c>
      <c r="EK109" t="str">
        <f t="shared" si="310"/>
        <v>2022_5</v>
      </c>
      <c r="EL109" t="str">
        <f t="shared" si="311"/>
        <v>2022_5</v>
      </c>
      <c r="EM109" t="str">
        <f t="shared" si="309"/>
        <v>2022_5</v>
      </c>
      <c r="EN109" t="str">
        <f t="shared" si="309"/>
        <v>2022_5</v>
      </c>
      <c r="EO109" t="str">
        <f t="shared" si="309"/>
        <v>2022_5</v>
      </c>
      <c r="EP109" t="str">
        <f t="shared" si="309"/>
        <v>2022_5</v>
      </c>
      <c r="EQ109" t="str">
        <f t="shared" si="309"/>
        <v>2022_5</v>
      </c>
      <c r="ER109" t="str">
        <f t="shared" si="309"/>
        <v>2022_5</v>
      </c>
      <c r="ES109" t="str">
        <f t="shared" si="309"/>
        <v>2022_5</v>
      </c>
      <c r="ET109" t="str">
        <f t="shared" si="309"/>
        <v>2022_5</v>
      </c>
      <c r="EU109" t="str">
        <f t="shared" si="309"/>
        <v>2022_5</v>
      </c>
      <c r="EV109" t="str">
        <f t="shared" si="309"/>
        <v>2022_5</v>
      </c>
      <c r="EW109" t="str">
        <f t="shared" si="309"/>
        <v>2022_5</v>
      </c>
      <c r="EX109" t="str">
        <f t="shared" si="309"/>
        <v>2022_5</v>
      </c>
      <c r="EY109" t="str">
        <f t="shared" si="309"/>
        <v>2022_5</v>
      </c>
      <c r="FB109" s="10" t="s">
        <v>37</v>
      </c>
      <c r="FC109">
        <f t="shared" si="305"/>
        <v>0</v>
      </c>
      <c r="FD109">
        <f t="shared" si="255"/>
        <v>0</v>
      </c>
      <c r="FE109">
        <f t="shared" si="256"/>
        <v>0</v>
      </c>
      <c r="FF109">
        <f t="shared" si="257"/>
        <v>0</v>
      </c>
      <c r="FG109">
        <f t="shared" si="258"/>
        <v>0</v>
      </c>
      <c r="FH109">
        <f t="shared" si="259"/>
        <v>0</v>
      </c>
      <c r="FI109">
        <f t="shared" si="260"/>
        <v>0</v>
      </c>
      <c r="FJ109">
        <f t="shared" si="261"/>
        <v>0</v>
      </c>
      <c r="FK109">
        <f t="shared" si="262"/>
        <v>0</v>
      </c>
      <c r="FL109">
        <f t="shared" si="263"/>
        <v>0</v>
      </c>
      <c r="FM109">
        <f t="shared" si="264"/>
        <v>0</v>
      </c>
      <c r="FN109">
        <f t="shared" si="265"/>
        <v>0</v>
      </c>
      <c r="FO109">
        <f t="shared" si="266"/>
        <v>0</v>
      </c>
      <c r="FP109">
        <f t="shared" si="267"/>
        <v>0</v>
      </c>
      <c r="FQ109">
        <f t="shared" si="268"/>
        <v>0</v>
      </c>
      <c r="FR109">
        <f t="shared" si="269"/>
        <v>0</v>
      </c>
      <c r="FS109">
        <f t="shared" si="270"/>
        <v>0</v>
      </c>
      <c r="FT109">
        <f t="shared" si="271"/>
        <v>0</v>
      </c>
      <c r="FU109">
        <f t="shared" si="272"/>
        <v>0</v>
      </c>
      <c r="FV109">
        <f t="shared" si="273"/>
        <v>0</v>
      </c>
      <c r="FW109">
        <f t="shared" si="274"/>
        <v>0</v>
      </c>
      <c r="FX109">
        <f t="shared" si="275"/>
        <v>0</v>
      </c>
      <c r="FY109">
        <f t="shared" si="276"/>
        <v>0</v>
      </c>
      <c r="FZ109">
        <f t="shared" si="277"/>
        <v>0</v>
      </c>
      <c r="GA109">
        <f t="shared" si="278"/>
        <v>0</v>
      </c>
      <c r="GB109">
        <f t="shared" si="279"/>
        <v>1</v>
      </c>
      <c r="GC109">
        <f t="shared" si="280"/>
        <v>1</v>
      </c>
      <c r="GD109">
        <f t="shared" si="281"/>
        <v>1</v>
      </c>
      <c r="GE109">
        <f t="shared" si="282"/>
        <v>1</v>
      </c>
      <c r="GF109">
        <f t="shared" si="283"/>
        <v>1</v>
      </c>
      <c r="GG109">
        <f t="shared" si="284"/>
        <v>1</v>
      </c>
      <c r="GH109">
        <f t="shared" si="285"/>
        <v>1</v>
      </c>
      <c r="GI109">
        <f t="shared" si="286"/>
        <v>1</v>
      </c>
      <c r="GJ109">
        <f t="shared" si="287"/>
        <v>1</v>
      </c>
      <c r="GK109">
        <f t="shared" si="288"/>
        <v>1</v>
      </c>
      <c r="GL109">
        <f t="shared" si="289"/>
        <v>1</v>
      </c>
      <c r="GM109">
        <f t="shared" si="290"/>
        <v>1</v>
      </c>
      <c r="GN109">
        <f t="shared" si="291"/>
        <v>1</v>
      </c>
      <c r="GO109">
        <f t="shared" si="292"/>
        <v>1</v>
      </c>
      <c r="GP109">
        <f t="shared" si="293"/>
        <v>1</v>
      </c>
      <c r="GQ109">
        <f t="shared" si="294"/>
        <v>1</v>
      </c>
      <c r="GR109">
        <f t="shared" si="295"/>
        <v>1</v>
      </c>
      <c r="GS109">
        <f t="shared" si="296"/>
        <v>1</v>
      </c>
      <c r="GT109">
        <f t="shared" si="297"/>
        <v>1</v>
      </c>
      <c r="GU109">
        <f t="shared" si="298"/>
        <v>1</v>
      </c>
      <c r="GX109" s="10"/>
    </row>
    <row r="110" spans="1:206" x14ac:dyDescent="0.3">
      <c r="A110" s="9" t="s">
        <v>46</v>
      </c>
      <c r="B110" s="81"/>
      <c r="C110" s="28">
        <v>3132745002</v>
      </c>
      <c r="D110" s="28" t="s">
        <v>432</v>
      </c>
      <c r="E110" s="28" t="s">
        <v>39</v>
      </c>
      <c r="F110" s="28" t="s">
        <v>35</v>
      </c>
      <c r="G110" s="28" t="s">
        <v>143</v>
      </c>
      <c r="H110" s="10">
        <v>44693</v>
      </c>
      <c r="I110" s="9">
        <f t="shared" si="299"/>
        <v>2022</v>
      </c>
      <c r="J110" s="9">
        <f t="shared" si="300"/>
        <v>5</v>
      </c>
      <c r="K110" s="9" t="str">
        <f t="shared" si="301"/>
        <v>2022_5</v>
      </c>
      <c r="L110">
        <f>MAX(0,VLOOKUP($K110,lookups!$A$1:$B$45,2,0)-12)</f>
        <v>13</v>
      </c>
      <c r="M110" s="40">
        <f t="shared" si="302"/>
        <v>44682</v>
      </c>
      <c r="N110" s="10" t="s">
        <v>37</v>
      </c>
      <c r="O110" t="str">
        <f ca="1">IF(OR($L110&gt;O$4,O$4&gt;$L110+23),"",OFFSET(Electric!$L101,0,-'Electric Calendarize'!$L110+'Electric Calendarize'!O$4+1))</f>
        <v/>
      </c>
      <c r="P110" t="str">
        <f ca="1">IF(OR($L110&gt;P$4,P$4&gt;$L110+23),"",OFFSET(Electric!$L101,0,-'Electric Calendarize'!$L110+'Electric Calendarize'!P$4+1))</f>
        <v/>
      </c>
      <c r="Q110" t="str">
        <f ca="1">IF(OR($L110&gt;Q$4,Q$4&gt;$L110+23),"",OFFSET(Electric!$L101,0,-'Electric Calendarize'!$L110+'Electric Calendarize'!Q$4+1))</f>
        <v/>
      </c>
      <c r="R110" t="str">
        <f ca="1">IF(OR($L110&gt;R$4,R$4&gt;$L110+23),"",OFFSET(Electric!$L101,0,-'Electric Calendarize'!$L110+'Electric Calendarize'!R$4+1))</f>
        <v/>
      </c>
      <c r="S110" t="str">
        <f ca="1">IF(OR($L110&gt;S$4,S$4&gt;$L110+23),"",OFFSET(Electric!$L101,0,-'Electric Calendarize'!$L110+'Electric Calendarize'!S$4+1))</f>
        <v/>
      </c>
      <c r="T110" t="str">
        <f ca="1">IF(OR($L110&gt;T$4,T$4&gt;$L110+23),"",OFFSET(Electric!$L101,0,-'Electric Calendarize'!$L110+'Electric Calendarize'!T$4+1))</f>
        <v/>
      </c>
      <c r="U110" t="str">
        <f ca="1">IF(OR($L110&gt;U$4,U$4&gt;$L110+23),"",OFFSET(Electric!$L101,0,-'Electric Calendarize'!$L110+'Electric Calendarize'!U$4+1))</f>
        <v/>
      </c>
      <c r="V110" t="str">
        <f ca="1">IF(OR($L110&gt;V$4,V$4&gt;$L110+23),"",OFFSET(Electric!$L101,0,-'Electric Calendarize'!$L110+'Electric Calendarize'!V$4+1))</f>
        <v/>
      </c>
      <c r="W110" t="str">
        <f ca="1">IF(OR($L110&gt;W$4,W$4&gt;$L110+23),"",OFFSET(Electric!$L101,0,-'Electric Calendarize'!$L110+'Electric Calendarize'!W$4+1))</f>
        <v/>
      </c>
      <c r="X110" t="str">
        <f ca="1">IF(OR($L110&gt;X$4,X$4&gt;$L110+23),"",OFFSET(Electric!$L101,0,-'Electric Calendarize'!$L110+'Electric Calendarize'!X$4+1))</f>
        <v/>
      </c>
      <c r="Y110" t="str">
        <f ca="1">IF(OR($L110&gt;Y$4,Y$4&gt;$L110+23),"",OFFSET(Electric!$L101,0,-'Electric Calendarize'!$L110+'Electric Calendarize'!Y$4+1))</f>
        <v/>
      </c>
      <c r="Z110" t="str">
        <f ca="1">IF(OR($L110&gt;Z$4,Z$4&gt;$L110+23),"",OFFSET(Electric!$L101,0,-'Electric Calendarize'!$L110+'Electric Calendarize'!Z$4+1))</f>
        <v/>
      </c>
      <c r="AA110" t="str">
        <f ca="1">IF(OR($L110&gt;AA$4,AA$4&gt;$L110+23),"",OFFSET(Electric!$L101,0,-'Electric Calendarize'!$L110+'Electric Calendarize'!AA$4+1))</f>
        <v/>
      </c>
      <c r="AB110">
        <f ca="1">IF(OR($L110&gt;AB$4,AB$4&gt;$L110+23),"",OFFSET(Electric!$L101,0,-'Electric Calendarize'!$L110+'Electric Calendarize'!AB$4+1))</f>
        <v>822</v>
      </c>
      <c r="AC110">
        <f ca="1">IF(OR($L110&gt;AC$4,AC$4&gt;$L110+23),"",OFFSET(Electric!$L101,0,-'Electric Calendarize'!$L110+'Electric Calendarize'!AC$4+1))</f>
        <v>1264</v>
      </c>
      <c r="AD110">
        <f ca="1">IF(OR($L110&gt;AD$4,AD$4&gt;$L110+23),"",OFFSET(Electric!$L101,0,-'Electric Calendarize'!$L110+'Electric Calendarize'!AD$4+1))</f>
        <v>1199</v>
      </c>
      <c r="AE110">
        <f ca="1">IF(OR($L110&gt;AE$4,AE$4&gt;$L110+23),"",OFFSET(Electric!$L101,0,-'Electric Calendarize'!$L110+'Electric Calendarize'!AE$4+1))</f>
        <v>739</v>
      </c>
      <c r="AF110">
        <f ca="1">IF(OR($L110&gt;AF$4,AF$4&gt;$L110+23),"",OFFSET(Electric!$L101,0,-'Electric Calendarize'!$L110+'Electric Calendarize'!AF$4+1))</f>
        <v>496</v>
      </c>
      <c r="AG110">
        <f ca="1">IF(OR($L110&gt;AG$4,AG$4&gt;$L110+23),"",OFFSET(Electric!$L101,0,-'Electric Calendarize'!$L110+'Electric Calendarize'!AG$4+1))</f>
        <v>367</v>
      </c>
      <c r="AH110">
        <f ca="1">IF(OR($L110&gt;AH$4,AH$4&gt;$L110+23),"",OFFSET(Electric!$L101,0,-'Electric Calendarize'!$L110+'Electric Calendarize'!AH$4+1))</f>
        <v>572</v>
      </c>
      <c r="AI110">
        <f ca="1">IF(OR($L110&gt;AI$4,AI$4&gt;$L110+23),"",OFFSET(Electric!$L101,0,-'Electric Calendarize'!$L110+'Electric Calendarize'!AI$4+1))</f>
        <v>780</v>
      </c>
      <c r="AJ110">
        <f ca="1">IF(OR($L110&gt;AJ$4,AJ$4&gt;$L110+23),"",OFFSET(Electric!$L101,0,-'Electric Calendarize'!$L110+'Electric Calendarize'!AJ$4+1))</f>
        <v>849</v>
      </c>
      <c r="AK110">
        <f ca="1">IF(OR($L110&gt;AK$4,AK$4&gt;$L110+23),"",OFFSET(Electric!$L101,0,-'Electric Calendarize'!$L110+'Electric Calendarize'!AK$4+1))</f>
        <v>390</v>
      </c>
      <c r="AL110">
        <f ca="1">IF(OR($L110&gt;AL$4,AL$4&gt;$L110+23),"",OFFSET(Electric!$L101,0,-'Electric Calendarize'!$L110+'Electric Calendarize'!AL$4+1))</f>
        <v>580</v>
      </c>
      <c r="AM110">
        <f ca="1">IF(OR($L110&gt;AM$4,AM$4&gt;$L110+23),"",OFFSET(Electric!$L101,0,-'Electric Calendarize'!$L110+'Electric Calendarize'!AM$4+1))</f>
        <v>591</v>
      </c>
      <c r="AN110">
        <f ca="1">IF(OR($L110&gt;AN$4,AN$4&gt;$L110+23),"",OFFSET(Electric!$L101,0,-'Electric Calendarize'!$L110+'Electric Calendarize'!AN$4+1))</f>
        <v>903</v>
      </c>
      <c r="AO110">
        <f ca="1">IF(OR($L110&gt;AO$4,AO$4&gt;$L110+23),"",OFFSET(Electric!$L101,0,-'Electric Calendarize'!$L110+'Electric Calendarize'!AO$4+1))</f>
        <v>792</v>
      </c>
      <c r="AP110">
        <f ca="1">IF(OR($L110&gt;AP$4,AP$4&gt;$L110+23),"",OFFSET(Electric!$L101,0,-'Electric Calendarize'!$L110+'Electric Calendarize'!AP$4+1))</f>
        <v>1339</v>
      </c>
      <c r="AQ110">
        <f ca="1">IF(OR($L110&gt;AQ$4,AQ$4&gt;$L110+23),"",OFFSET(Electric!$L101,0,-'Electric Calendarize'!$L110+'Electric Calendarize'!AQ$4+1))</f>
        <v>1012</v>
      </c>
      <c r="AR110">
        <f ca="1">IF(OR($L110&gt;AR$4,AR$4&gt;$L110+23),"",OFFSET(Electric!$L101,0,-'Electric Calendarize'!$L110+'Electric Calendarize'!AR$4+1))</f>
        <v>734</v>
      </c>
      <c r="AS110">
        <f ca="1">IF(OR($L110&gt;AS$4,AS$4&gt;$L110+23),"",OFFSET(Electric!$L101,0,-'Electric Calendarize'!$L110+'Electric Calendarize'!AS$4+1))</f>
        <v>508</v>
      </c>
      <c r="AT110">
        <f ca="1">IF(OR($L110&gt;AT$4,AT$4&gt;$L110+23),"",OFFSET(Electric!$L101,0,-'Electric Calendarize'!$L110+'Electric Calendarize'!AT$4+1))</f>
        <v>537</v>
      </c>
      <c r="AU110">
        <f ca="1">IF(OR($L110&gt;AU$4,AU$4&gt;$L110+23),"",OFFSET(Electric!$L101,0,-'Electric Calendarize'!$L110+'Electric Calendarize'!AU$4+1))</f>
        <v>1358</v>
      </c>
      <c r="AV110">
        <f ca="1">IF(OR($L110&gt;AV$4,AV$4&gt;$L110+23),"",OFFSET(Electric!$L101,0,-'Electric Calendarize'!$L110+'Electric Calendarize'!AV$4+1))</f>
        <v>786</v>
      </c>
      <c r="AW110">
        <f ca="1">IF(OR($L110&gt;AW$4,AW$4&gt;$L110+23),"",OFFSET(Electric!$L101,0,-'Electric Calendarize'!$L110+'Electric Calendarize'!AW$4+1))</f>
        <v>536</v>
      </c>
      <c r="AX110">
        <f ca="1">IF(OR($L110&gt;AX$4,AX$4&gt;$L110+23),"",OFFSET(Electric!$L101,0,-'Electric Calendarize'!$L110+'Electric Calendarize'!AX$4+1))</f>
        <v>540</v>
      </c>
      <c r="AY110">
        <f ca="1">IF(OR($L110&gt;AY$4,AY$4&gt;$L110+23),"",OFFSET(Electric!$L101,0,-'Electric Calendarize'!$L110+'Electric Calendarize'!AY$4+1))</f>
        <v>640</v>
      </c>
      <c r="AZ110" t="str">
        <f ca="1">IF(OR($L110&gt;AZ$4,AZ$4&gt;$L110+23),"",OFFSET(Electric!$L101,0,-'Electric Calendarize'!$L110+'Electric Calendarize'!AZ$4+1))</f>
        <v/>
      </c>
      <c r="BA110" t="str">
        <f ca="1">IF(OR($L110&gt;BA$4,BA$4&gt;$L110+23),"",OFFSET(Electric!$L101,0,-'Electric Calendarize'!$L110+'Electric Calendarize'!BA$4+1))</f>
        <v/>
      </c>
      <c r="BB110" t="str">
        <f ca="1">IF(OR($L110&gt;BB$4,BB$4&gt;$L110+23),"",OFFSET(Electric!$L101,0,-'Electric Calendarize'!$L110+'Electric Calendarize'!BB$4+1))</f>
        <v/>
      </c>
      <c r="BC110" t="str">
        <f ca="1">IF(OR($L110&gt;BC$4,BC$4&gt;$L110+23),"",OFFSET(Electric!$L101,0,-'Electric Calendarize'!$L110+'Electric Calendarize'!BC$4+1))</f>
        <v/>
      </c>
      <c r="BD110" t="str">
        <f ca="1">IF(OR($L110&gt;BD$4,BD$4&gt;$L110+23),"",OFFSET(Electric!$L101,0,-'Electric Calendarize'!$L110+'Electric Calendarize'!BD$4+1))</f>
        <v/>
      </c>
      <c r="BE110" t="str">
        <f ca="1">IF(OR($L110&gt;BE$4,BE$4&gt;$L110+23),"",OFFSET(Electric!$L101,0,-'Electric Calendarize'!$L110+'Electric Calendarize'!BE$4+1))</f>
        <v/>
      </c>
      <c r="BF110" t="str">
        <f ca="1">IF(OR($L110&gt;BF$4,BF$4&gt;$L110+23),"",OFFSET(Electric!$L101,0,-'Electric Calendarize'!$L110+'Electric Calendarize'!BF$4+1))</f>
        <v/>
      </c>
      <c r="BG110" t="str">
        <f ca="1">IF(OR($L110&gt;BG$4,BG$4&gt;$L110+23),"",OFFSET(Electric!$L101,0,-'Electric Calendarize'!$L110+'Electric Calendarize'!BG$4+1))</f>
        <v/>
      </c>
      <c r="BJ110" s="10" t="s">
        <v>37</v>
      </c>
      <c r="BK110">
        <f t="shared" si="303"/>
        <v>1</v>
      </c>
      <c r="BL110">
        <f t="shared" si="209"/>
        <v>0</v>
      </c>
      <c r="BM110">
        <f t="shared" si="210"/>
        <v>0</v>
      </c>
      <c r="BN110">
        <f t="shared" si="211"/>
        <v>0</v>
      </c>
      <c r="BO110">
        <f t="shared" si="212"/>
        <v>0</v>
      </c>
      <c r="BP110">
        <f t="shared" si="213"/>
        <v>0</v>
      </c>
      <c r="BQ110">
        <f t="shared" si="214"/>
        <v>0</v>
      </c>
      <c r="BR110">
        <f t="shared" si="215"/>
        <v>1</v>
      </c>
      <c r="BS110">
        <f t="shared" si="216"/>
        <v>1</v>
      </c>
      <c r="BT110">
        <f t="shared" si="217"/>
        <v>1</v>
      </c>
      <c r="BU110">
        <f t="shared" si="218"/>
        <v>1</v>
      </c>
      <c r="BV110">
        <f t="shared" si="219"/>
        <v>1</v>
      </c>
      <c r="BW110">
        <f t="shared" si="220"/>
        <v>1</v>
      </c>
      <c r="BX110">
        <f t="shared" si="221"/>
        <v>0</v>
      </c>
      <c r="BY110">
        <f t="shared" si="222"/>
        <v>0</v>
      </c>
      <c r="BZ110">
        <f t="shared" si="223"/>
        <v>0</v>
      </c>
      <c r="CA110">
        <f t="shared" si="224"/>
        <v>0</v>
      </c>
      <c r="CB110">
        <f t="shared" si="225"/>
        <v>0</v>
      </c>
      <c r="CC110">
        <f t="shared" si="226"/>
        <v>0</v>
      </c>
      <c r="CD110">
        <f t="shared" si="227"/>
        <v>1</v>
      </c>
      <c r="CE110">
        <f t="shared" si="228"/>
        <v>1</v>
      </c>
      <c r="CF110">
        <f t="shared" si="229"/>
        <v>1</v>
      </c>
      <c r="CG110">
        <f t="shared" si="230"/>
        <v>1</v>
      </c>
      <c r="CH110">
        <f t="shared" si="231"/>
        <v>1</v>
      </c>
      <c r="CI110">
        <f t="shared" si="232"/>
        <v>1</v>
      </c>
      <c r="CJ110">
        <f t="shared" si="233"/>
        <v>0</v>
      </c>
      <c r="CK110">
        <f t="shared" si="234"/>
        <v>0</v>
      </c>
      <c r="CL110">
        <f t="shared" si="235"/>
        <v>0</v>
      </c>
      <c r="CM110">
        <f t="shared" si="236"/>
        <v>0</v>
      </c>
      <c r="CN110">
        <f t="shared" si="237"/>
        <v>0</v>
      </c>
      <c r="CO110">
        <f t="shared" si="238"/>
        <v>0</v>
      </c>
      <c r="CP110">
        <f t="shared" si="239"/>
        <v>1</v>
      </c>
      <c r="CQ110">
        <f t="shared" si="240"/>
        <v>1</v>
      </c>
      <c r="CR110">
        <f t="shared" si="241"/>
        <v>1</v>
      </c>
      <c r="CS110">
        <f t="shared" si="242"/>
        <v>1</v>
      </c>
      <c r="CT110">
        <f t="shared" si="243"/>
        <v>1</v>
      </c>
      <c r="CU110">
        <f t="shared" si="244"/>
        <v>1</v>
      </c>
      <c r="CV110">
        <f t="shared" si="245"/>
        <v>0</v>
      </c>
      <c r="CW110">
        <f t="shared" si="246"/>
        <v>0</v>
      </c>
      <c r="CX110">
        <f t="shared" si="247"/>
        <v>0</v>
      </c>
      <c r="CY110">
        <f t="shared" si="248"/>
        <v>0</v>
      </c>
      <c r="CZ110">
        <f t="shared" si="249"/>
        <v>0</v>
      </c>
      <c r="DA110">
        <f t="shared" si="250"/>
        <v>0</v>
      </c>
      <c r="DB110">
        <f t="shared" si="251"/>
        <v>1</v>
      </c>
      <c r="DC110">
        <f t="shared" si="252"/>
        <v>1</v>
      </c>
      <c r="DF110" s="10" t="s">
        <v>37</v>
      </c>
      <c r="DG110" t="str">
        <f t="shared" si="312"/>
        <v>2022_5</v>
      </c>
      <c r="DH110" t="str">
        <f t="shared" si="312"/>
        <v>2022_5</v>
      </c>
      <c r="DI110" t="str">
        <f t="shared" si="312"/>
        <v>2022_5</v>
      </c>
      <c r="DJ110" t="str">
        <f t="shared" si="312"/>
        <v>2022_5</v>
      </c>
      <c r="DK110" t="str">
        <f t="shared" si="312"/>
        <v>2022_5</v>
      </c>
      <c r="DL110" t="str">
        <f t="shared" si="312"/>
        <v>2022_5</v>
      </c>
      <c r="DM110" t="str">
        <f t="shared" si="312"/>
        <v>2022_5</v>
      </c>
      <c r="DN110" t="str">
        <f t="shared" si="312"/>
        <v>2022_5</v>
      </c>
      <c r="DO110" t="str">
        <f t="shared" si="312"/>
        <v>2022_5</v>
      </c>
      <c r="DP110" t="str">
        <f t="shared" si="312"/>
        <v>2022_5</v>
      </c>
      <c r="DQ110" t="str">
        <f t="shared" si="312"/>
        <v>2022_5</v>
      </c>
      <c r="DR110" t="str">
        <f t="shared" si="312"/>
        <v>2022_5</v>
      </c>
      <c r="DS110" t="str">
        <f t="shared" si="312"/>
        <v>2022_5</v>
      </c>
      <c r="DT110" t="str">
        <f t="shared" si="312"/>
        <v>2022_5</v>
      </c>
      <c r="DU110" t="str">
        <f t="shared" si="312"/>
        <v>2022_5</v>
      </c>
      <c r="DV110" t="str">
        <f t="shared" si="310"/>
        <v>2022_5</v>
      </c>
      <c r="DW110" t="str">
        <f t="shared" si="310"/>
        <v>2022_5</v>
      </c>
      <c r="DX110" t="str">
        <f t="shared" si="310"/>
        <v>2022_5</v>
      </c>
      <c r="DY110" t="str">
        <f t="shared" si="310"/>
        <v>2022_5</v>
      </c>
      <c r="DZ110" t="str">
        <f t="shared" si="310"/>
        <v>2022_5</v>
      </c>
      <c r="EA110" t="str">
        <f t="shared" si="310"/>
        <v>2022_5</v>
      </c>
      <c r="EB110" t="str">
        <f t="shared" si="310"/>
        <v>2022_5</v>
      </c>
      <c r="EC110" t="str">
        <f t="shared" si="310"/>
        <v>2022_5</v>
      </c>
      <c r="ED110" t="str">
        <f t="shared" si="310"/>
        <v>2022_5</v>
      </c>
      <c r="EE110" t="str">
        <f t="shared" si="310"/>
        <v>2022_5</v>
      </c>
      <c r="EF110" t="str">
        <f t="shared" si="310"/>
        <v>2022_5</v>
      </c>
      <c r="EG110" t="str">
        <f t="shared" si="310"/>
        <v>2022_5</v>
      </c>
      <c r="EH110" t="str">
        <f t="shared" si="310"/>
        <v>2022_5</v>
      </c>
      <c r="EI110" t="str">
        <f t="shared" si="310"/>
        <v>2022_5</v>
      </c>
      <c r="EJ110" t="str">
        <f t="shared" si="310"/>
        <v>2022_5</v>
      </c>
      <c r="EK110" t="str">
        <f t="shared" si="310"/>
        <v>2022_5</v>
      </c>
      <c r="EL110" t="str">
        <f t="shared" si="311"/>
        <v>2022_5</v>
      </c>
      <c r="EM110" t="str">
        <f t="shared" si="309"/>
        <v>2022_5</v>
      </c>
      <c r="EN110" t="str">
        <f t="shared" si="309"/>
        <v>2022_5</v>
      </c>
      <c r="EO110" t="str">
        <f t="shared" si="309"/>
        <v>2022_5</v>
      </c>
      <c r="EP110" t="str">
        <f t="shared" si="309"/>
        <v>2022_5</v>
      </c>
      <c r="EQ110" t="str">
        <f t="shared" si="309"/>
        <v>2022_5</v>
      </c>
      <c r="ER110" t="str">
        <f t="shared" si="309"/>
        <v>2022_5</v>
      </c>
      <c r="ES110" t="str">
        <f t="shared" si="309"/>
        <v>2022_5</v>
      </c>
      <c r="ET110" t="str">
        <f t="shared" si="309"/>
        <v>2022_5</v>
      </c>
      <c r="EU110" t="str">
        <f t="shared" si="309"/>
        <v>2022_5</v>
      </c>
      <c r="EV110" t="str">
        <f t="shared" si="309"/>
        <v>2022_5</v>
      </c>
      <c r="EW110" t="str">
        <f t="shared" si="309"/>
        <v>2022_5</v>
      </c>
      <c r="EX110" t="str">
        <f t="shared" si="309"/>
        <v>2022_5</v>
      </c>
      <c r="EY110" t="str">
        <f t="shared" si="309"/>
        <v>2022_5</v>
      </c>
      <c r="FB110" s="10" t="s">
        <v>37</v>
      </c>
      <c r="FC110">
        <f t="shared" si="305"/>
        <v>0</v>
      </c>
      <c r="FD110">
        <f t="shared" si="255"/>
        <v>0</v>
      </c>
      <c r="FE110">
        <f t="shared" si="256"/>
        <v>0</v>
      </c>
      <c r="FF110">
        <f t="shared" si="257"/>
        <v>0</v>
      </c>
      <c r="FG110">
        <f t="shared" si="258"/>
        <v>0</v>
      </c>
      <c r="FH110">
        <f t="shared" si="259"/>
        <v>0</v>
      </c>
      <c r="FI110">
        <f t="shared" si="260"/>
        <v>0</v>
      </c>
      <c r="FJ110">
        <f t="shared" si="261"/>
        <v>0</v>
      </c>
      <c r="FK110">
        <f t="shared" si="262"/>
        <v>0</v>
      </c>
      <c r="FL110">
        <f t="shared" si="263"/>
        <v>0</v>
      </c>
      <c r="FM110">
        <f t="shared" si="264"/>
        <v>0</v>
      </c>
      <c r="FN110">
        <f t="shared" si="265"/>
        <v>0</v>
      </c>
      <c r="FO110">
        <f t="shared" si="266"/>
        <v>0</v>
      </c>
      <c r="FP110">
        <f t="shared" si="267"/>
        <v>0</v>
      </c>
      <c r="FQ110">
        <f t="shared" si="268"/>
        <v>0</v>
      </c>
      <c r="FR110">
        <f t="shared" si="269"/>
        <v>0</v>
      </c>
      <c r="FS110">
        <f t="shared" si="270"/>
        <v>0</v>
      </c>
      <c r="FT110">
        <f t="shared" si="271"/>
        <v>0</v>
      </c>
      <c r="FU110">
        <f t="shared" si="272"/>
        <v>0</v>
      </c>
      <c r="FV110">
        <f t="shared" si="273"/>
        <v>0</v>
      </c>
      <c r="FW110">
        <f t="shared" si="274"/>
        <v>0</v>
      </c>
      <c r="FX110">
        <f t="shared" si="275"/>
        <v>0</v>
      </c>
      <c r="FY110">
        <f t="shared" si="276"/>
        <v>0</v>
      </c>
      <c r="FZ110">
        <f t="shared" si="277"/>
        <v>0</v>
      </c>
      <c r="GA110">
        <f t="shared" si="278"/>
        <v>0</v>
      </c>
      <c r="GB110">
        <f t="shared" si="279"/>
        <v>1</v>
      </c>
      <c r="GC110">
        <f t="shared" si="280"/>
        <v>1</v>
      </c>
      <c r="GD110">
        <f t="shared" si="281"/>
        <v>1</v>
      </c>
      <c r="GE110">
        <f t="shared" si="282"/>
        <v>1</v>
      </c>
      <c r="GF110">
        <f t="shared" si="283"/>
        <v>1</v>
      </c>
      <c r="GG110">
        <f t="shared" si="284"/>
        <v>1</v>
      </c>
      <c r="GH110">
        <f t="shared" si="285"/>
        <v>1</v>
      </c>
      <c r="GI110">
        <f t="shared" si="286"/>
        <v>1</v>
      </c>
      <c r="GJ110">
        <f t="shared" si="287"/>
        <v>1</v>
      </c>
      <c r="GK110">
        <f t="shared" si="288"/>
        <v>1</v>
      </c>
      <c r="GL110">
        <f t="shared" si="289"/>
        <v>1</v>
      </c>
      <c r="GM110">
        <f t="shared" si="290"/>
        <v>1</v>
      </c>
      <c r="GN110">
        <f t="shared" si="291"/>
        <v>1</v>
      </c>
      <c r="GO110">
        <f t="shared" si="292"/>
        <v>1</v>
      </c>
      <c r="GP110">
        <f t="shared" si="293"/>
        <v>1</v>
      </c>
      <c r="GQ110">
        <f t="shared" si="294"/>
        <v>1</v>
      </c>
      <c r="GR110">
        <f t="shared" si="295"/>
        <v>1</v>
      </c>
      <c r="GS110">
        <f t="shared" si="296"/>
        <v>1</v>
      </c>
      <c r="GT110">
        <f t="shared" si="297"/>
        <v>1</v>
      </c>
      <c r="GU110">
        <f t="shared" si="298"/>
        <v>1</v>
      </c>
      <c r="GX110" s="10"/>
    </row>
    <row r="111" spans="1:206" x14ac:dyDescent="0.3">
      <c r="A111" s="9" t="s">
        <v>41</v>
      </c>
      <c r="B111" s="80"/>
      <c r="C111" s="9">
        <v>3011474000</v>
      </c>
      <c r="D111" s="9" t="s">
        <v>433</v>
      </c>
      <c r="E111" s="9" t="s">
        <v>34</v>
      </c>
      <c r="F111" s="9" t="s">
        <v>35</v>
      </c>
      <c r="G111" s="9" t="s">
        <v>144</v>
      </c>
      <c r="H111" s="10">
        <v>44697</v>
      </c>
      <c r="I111" s="9">
        <f t="shared" si="299"/>
        <v>2022</v>
      </c>
      <c r="J111" s="9">
        <f t="shared" si="300"/>
        <v>5</v>
      </c>
      <c r="K111" s="9" t="str">
        <f t="shared" si="301"/>
        <v>2022_5</v>
      </c>
      <c r="L111">
        <f>MAX(0,VLOOKUP($K111,lookups!$A$1:$B$45,2,0)-12)</f>
        <v>13</v>
      </c>
      <c r="M111" s="40">
        <f t="shared" si="302"/>
        <v>44682</v>
      </c>
      <c r="N111" s="10" t="s">
        <v>37</v>
      </c>
      <c r="O111" t="str">
        <f ca="1">IF(OR($L111&gt;O$4,O$4&gt;$L111+23),"",OFFSET(Electric!$L102,0,-'Electric Calendarize'!$L111+'Electric Calendarize'!O$4+1))</f>
        <v/>
      </c>
      <c r="P111" t="str">
        <f ca="1">IF(OR($L111&gt;P$4,P$4&gt;$L111+23),"",OFFSET(Electric!$L102,0,-'Electric Calendarize'!$L111+'Electric Calendarize'!P$4+1))</f>
        <v/>
      </c>
      <c r="Q111" t="str">
        <f ca="1">IF(OR($L111&gt;Q$4,Q$4&gt;$L111+23),"",OFFSET(Electric!$L102,0,-'Electric Calendarize'!$L111+'Electric Calendarize'!Q$4+1))</f>
        <v/>
      </c>
      <c r="R111" t="str">
        <f ca="1">IF(OR($L111&gt;R$4,R$4&gt;$L111+23),"",OFFSET(Electric!$L102,0,-'Electric Calendarize'!$L111+'Electric Calendarize'!R$4+1))</f>
        <v/>
      </c>
      <c r="S111" t="str">
        <f ca="1">IF(OR($L111&gt;S$4,S$4&gt;$L111+23),"",OFFSET(Electric!$L102,0,-'Electric Calendarize'!$L111+'Electric Calendarize'!S$4+1))</f>
        <v/>
      </c>
      <c r="T111" t="str">
        <f ca="1">IF(OR($L111&gt;T$4,T$4&gt;$L111+23),"",OFFSET(Electric!$L102,0,-'Electric Calendarize'!$L111+'Electric Calendarize'!T$4+1))</f>
        <v/>
      </c>
      <c r="U111" t="str">
        <f ca="1">IF(OR($L111&gt;U$4,U$4&gt;$L111+23),"",OFFSET(Electric!$L102,0,-'Electric Calendarize'!$L111+'Electric Calendarize'!U$4+1))</f>
        <v/>
      </c>
      <c r="V111" t="str">
        <f ca="1">IF(OR($L111&gt;V$4,V$4&gt;$L111+23),"",OFFSET(Electric!$L102,0,-'Electric Calendarize'!$L111+'Electric Calendarize'!V$4+1))</f>
        <v/>
      </c>
      <c r="W111" t="str">
        <f ca="1">IF(OR($L111&gt;W$4,W$4&gt;$L111+23),"",OFFSET(Electric!$L102,0,-'Electric Calendarize'!$L111+'Electric Calendarize'!W$4+1))</f>
        <v/>
      </c>
      <c r="X111" t="str">
        <f ca="1">IF(OR($L111&gt;X$4,X$4&gt;$L111+23),"",OFFSET(Electric!$L102,0,-'Electric Calendarize'!$L111+'Electric Calendarize'!X$4+1))</f>
        <v/>
      </c>
      <c r="Y111" t="str">
        <f ca="1">IF(OR($L111&gt;Y$4,Y$4&gt;$L111+23),"",OFFSET(Electric!$L102,0,-'Electric Calendarize'!$L111+'Electric Calendarize'!Y$4+1))</f>
        <v/>
      </c>
      <c r="Z111" t="str">
        <f ca="1">IF(OR($L111&gt;Z$4,Z$4&gt;$L111+23),"",OFFSET(Electric!$L102,0,-'Electric Calendarize'!$L111+'Electric Calendarize'!Z$4+1))</f>
        <v/>
      </c>
      <c r="AA111" t="str">
        <f ca="1">IF(OR($L111&gt;AA$4,AA$4&gt;$L111+23),"",OFFSET(Electric!$L102,0,-'Electric Calendarize'!$L111+'Electric Calendarize'!AA$4+1))</f>
        <v/>
      </c>
      <c r="AB111">
        <f ca="1">IF(OR($L111&gt;AB$4,AB$4&gt;$L111+23),"",OFFSET(Electric!$L102,0,-'Electric Calendarize'!$L111+'Electric Calendarize'!AB$4+1))</f>
        <v>842</v>
      </c>
      <c r="AC111">
        <f ca="1">IF(OR($L111&gt;AC$4,AC$4&gt;$L111+23),"",OFFSET(Electric!$L102,0,-'Electric Calendarize'!$L111+'Electric Calendarize'!AC$4+1))</f>
        <v>1096</v>
      </c>
      <c r="AD111">
        <f ca="1">IF(OR($L111&gt;AD$4,AD$4&gt;$L111+23),"",OFFSET(Electric!$L102,0,-'Electric Calendarize'!$L111+'Electric Calendarize'!AD$4+1))</f>
        <v>1592</v>
      </c>
      <c r="AE111">
        <f ca="1">IF(OR($L111&gt;AE$4,AE$4&gt;$L111+23),"",OFFSET(Electric!$L102,0,-'Electric Calendarize'!$L111+'Electric Calendarize'!AE$4+1))</f>
        <v>1682</v>
      </c>
      <c r="AF111">
        <f ca="1">IF(OR($L111&gt;AF$4,AF$4&gt;$L111+23),"",OFFSET(Electric!$L102,0,-'Electric Calendarize'!$L111+'Electric Calendarize'!AF$4+1))</f>
        <v>2033</v>
      </c>
      <c r="AG111">
        <f ca="1">IF(OR($L111&gt;AG$4,AG$4&gt;$L111+23),"",OFFSET(Electric!$L102,0,-'Electric Calendarize'!$L111+'Electric Calendarize'!AG$4+1))</f>
        <v>1274</v>
      </c>
      <c r="AH111">
        <f ca="1">IF(OR($L111&gt;AH$4,AH$4&gt;$L111+23),"",OFFSET(Electric!$L102,0,-'Electric Calendarize'!$L111+'Electric Calendarize'!AH$4+1))</f>
        <v>821</v>
      </c>
      <c r="AI111">
        <f ca="1">IF(OR($L111&gt;AI$4,AI$4&gt;$L111+23),"",OFFSET(Electric!$L102,0,-'Electric Calendarize'!$L111+'Electric Calendarize'!AI$4+1))</f>
        <v>967</v>
      </c>
      <c r="AJ111">
        <f ca="1">IF(OR($L111&gt;AJ$4,AJ$4&gt;$L111+23),"",OFFSET(Electric!$L102,0,-'Electric Calendarize'!$L111+'Electric Calendarize'!AJ$4+1))</f>
        <v>1081</v>
      </c>
      <c r="AK111">
        <f ca="1">IF(OR($L111&gt;AK$4,AK$4&gt;$L111+23),"",OFFSET(Electric!$L102,0,-'Electric Calendarize'!$L111+'Electric Calendarize'!AK$4+1))</f>
        <v>1062</v>
      </c>
      <c r="AL111">
        <f ca="1">IF(OR($L111&gt;AL$4,AL$4&gt;$L111+23),"",OFFSET(Electric!$L102,0,-'Electric Calendarize'!$L111+'Electric Calendarize'!AL$4+1))</f>
        <v>948</v>
      </c>
      <c r="AM111">
        <f ca="1">IF(OR($L111&gt;AM$4,AM$4&gt;$L111+23),"",OFFSET(Electric!$L102,0,-'Electric Calendarize'!$L111+'Electric Calendarize'!AM$4+1))</f>
        <v>671</v>
      </c>
      <c r="AN111">
        <f ca="1">IF(OR($L111&gt;AN$4,AN$4&gt;$L111+23),"",OFFSET(Electric!$L102,0,-'Electric Calendarize'!$L111+'Electric Calendarize'!AN$4+1))</f>
        <v>629</v>
      </c>
      <c r="AO111">
        <f ca="1">IF(OR($L111&gt;AO$4,AO$4&gt;$L111+23),"",OFFSET(Electric!$L102,0,-'Electric Calendarize'!$L111+'Electric Calendarize'!AO$4+1))</f>
        <v>1044</v>
      </c>
      <c r="AP111">
        <f ca="1">IF(OR($L111&gt;AP$4,AP$4&gt;$L111+23),"",OFFSET(Electric!$L102,0,-'Electric Calendarize'!$L111+'Electric Calendarize'!AP$4+1))</f>
        <v>1250</v>
      </c>
      <c r="AQ111">
        <f ca="1">IF(OR($L111&gt;AQ$4,AQ$4&gt;$L111+23),"",OFFSET(Electric!$L102,0,-'Electric Calendarize'!$L111+'Electric Calendarize'!AQ$4+1))</f>
        <v>1929</v>
      </c>
      <c r="AR111">
        <f ca="1">IF(OR($L111&gt;AR$4,AR$4&gt;$L111+23),"",OFFSET(Electric!$L102,0,-'Electric Calendarize'!$L111+'Electric Calendarize'!AR$4+1))</f>
        <v>1604</v>
      </c>
      <c r="AS111">
        <f ca="1">IF(OR($L111&gt;AS$4,AS$4&gt;$L111+23),"",OFFSET(Electric!$L102,0,-'Electric Calendarize'!$L111+'Electric Calendarize'!AS$4+1))</f>
        <v>904</v>
      </c>
      <c r="AT111">
        <f ca="1">IF(OR($L111&gt;AT$4,AT$4&gt;$L111+23),"",OFFSET(Electric!$L102,0,-'Electric Calendarize'!$L111+'Electric Calendarize'!AT$4+1))</f>
        <v>628</v>
      </c>
      <c r="AU111">
        <f ca="1">IF(OR($L111&gt;AU$4,AU$4&gt;$L111+23),"",OFFSET(Electric!$L102,0,-'Electric Calendarize'!$L111+'Electric Calendarize'!AU$4+1))</f>
        <v>627</v>
      </c>
      <c r="AV111">
        <f ca="1">IF(OR($L111&gt;AV$4,AV$4&gt;$L111+23),"",OFFSET(Electric!$L102,0,-'Electric Calendarize'!$L111+'Electric Calendarize'!AV$4+1))</f>
        <v>626</v>
      </c>
      <c r="AW111">
        <f ca="1">IF(OR($L111&gt;AW$4,AW$4&gt;$L111+23),"",OFFSET(Electric!$L102,0,-'Electric Calendarize'!$L111+'Electric Calendarize'!AW$4+1))</f>
        <v>592</v>
      </c>
      <c r="AX111">
        <f ca="1">IF(OR($L111&gt;AX$4,AX$4&gt;$L111+23),"",OFFSET(Electric!$L102,0,-'Electric Calendarize'!$L111+'Electric Calendarize'!AX$4+1))</f>
        <v>507</v>
      </c>
      <c r="AY111">
        <f ca="1">IF(OR($L111&gt;AY$4,AY$4&gt;$L111+23),"",OFFSET(Electric!$L102,0,-'Electric Calendarize'!$L111+'Electric Calendarize'!AY$4+1))</f>
        <v>509</v>
      </c>
      <c r="AZ111" t="str">
        <f ca="1">IF(OR($L111&gt;AZ$4,AZ$4&gt;$L111+23),"",OFFSET(Electric!$L102,0,-'Electric Calendarize'!$L111+'Electric Calendarize'!AZ$4+1))</f>
        <v/>
      </c>
      <c r="BA111" t="str">
        <f ca="1">IF(OR($L111&gt;BA$4,BA$4&gt;$L111+23),"",OFFSET(Electric!$L102,0,-'Electric Calendarize'!$L111+'Electric Calendarize'!BA$4+1))</f>
        <v/>
      </c>
      <c r="BB111" t="str">
        <f ca="1">IF(OR($L111&gt;BB$4,BB$4&gt;$L111+23),"",OFFSET(Electric!$L102,0,-'Electric Calendarize'!$L111+'Electric Calendarize'!BB$4+1))</f>
        <v/>
      </c>
      <c r="BC111" t="str">
        <f ca="1">IF(OR($L111&gt;BC$4,BC$4&gt;$L111+23),"",OFFSET(Electric!$L102,0,-'Electric Calendarize'!$L111+'Electric Calendarize'!BC$4+1))</f>
        <v/>
      </c>
      <c r="BD111" t="str">
        <f ca="1">IF(OR($L111&gt;BD$4,BD$4&gt;$L111+23),"",OFFSET(Electric!$L102,0,-'Electric Calendarize'!$L111+'Electric Calendarize'!BD$4+1))</f>
        <v/>
      </c>
      <c r="BE111" t="str">
        <f ca="1">IF(OR($L111&gt;BE$4,BE$4&gt;$L111+23),"",OFFSET(Electric!$L102,0,-'Electric Calendarize'!$L111+'Electric Calendarize'!BE$4+1))</f>
        <v/>
      </c>
      <c r="BF111" t="str">
        <f ca="1">IF(OR($L111&gt;BF$4,BF$4&gt;$L111+23),"",OFFSET(Electric!$L102,0,-'Electric Calendarize'!$L111+'Electric Calendarize'!BF$4+1))</f>
        <v/>
      </c>
      <c r="BG111" t="str">
        <f ca="1">IF(OR($L111&gt;BG$4,BG$4&gt;$L111+23),"",OFFSET(Electric!$L102,0,-'Electric Calendarize'!$L111+'Electric Calendarize'!BG$4+1))</f>
        <v/>
      </c>
      <c r="BJ111" s="10" t="s">
        <v>37</v>
      </c>
      <c r="BK111">
        <f t="shared" si="303"/>
        <v>1</v>
      </c>
      <c r="BL111">
        <f t="shared" si="209"/>
        <v>0</v>
      </c>
      <c r="BM111">
        <f t="shared" si="210"/>
        <v>0</v>
      </c>
      <c r="BN111">
        <f t="shared" si="211"/>
        <v>0</v>
      </c>
      <c r="BO111">
        <f t="shared" si="212"/>
        <v>0</v>
      </c>
      <c r="BP111">
        <f t="shared" si="213"/>
        <v>0</v>
      </c>
      <c r="BQ111">
        <f t="shared" si="214"/>
        <v>0</v>
      </c>
      <c r="BR111">
        <f t="shared" si="215"/>
        <v>1</v>
      </c>
      <c r="BS111">
        <f t="shared" si="216"/>
        <v>1</v>
      </c>
      <c r="BT111">
        <f t="shared" si="217"/>
        <v>1</v>
      </c>
      <c r="BU111">
        <f t="shared" si="218"/>
        <v>1</v>
      </c>
      <c r="BV111">
        <f t="shared" si="219"/>
        <v>1</v>
      </c>
      <c r="BW111">
        <f t="shared" si="220"/>
        <v>1</v>
      </c>
      <c r="BX111">
        <f t="shared" si="221"/>
        <v>0</v>
      </c>
      <c r="BY111">
        <f t="shared" si="222"/>
        <v>0</v>
      </c>
      <c r="BZ111">
        <f t="shared" si="223"/>
        <v>0</v>
      </c>
      <c r="CA111">
        <f t="shared" si="224"/>
        <v>0</v>
      </c>
      <c r="CB111">
        <f t="shared" si="225"/>
        <v>0</v>
      </c>
      <c r="CC111">
        <f t="shared" si="226"/>
        <v>0</v>
      </c>
      <c r="CD111">
        <f t="shared" si="227"/>
        <v>1</v>
      </c>
      <c r="CE111">
        <f t="shared" si="228"/>
        <v>1</v>
      </c>
      <c r="CF111">
        <f t="shared" si="229"/>
        <v>1</v>
      </c>
      <c r="CG111">
        <f t="shared" si="230"/>
        <v>1</v>
      </c>
      <c r="CH111">
        <f t="shared" si="231"/>
        <v>1</v>
      </c>
      <c r="CI111">
        <f t="shared" si="232"/>
        <v>1</v>
      </c>
      <c r="CJ111">
        <f t="shared" si="233"/>
        <v>0</v>
      </c>
      <c r="CK111">
        <f t="shared" si="234"/>
        <v>0</v>
      </c>
      <c r="CL111">
        <f t="shared" si="235"/>
        <v>0</v>
      </c>
      <c r="CM111">
        <f t="shared" si="236"/>
        <v>0</v>
      </c>
      <c r="CN111">
        <f t="shared" si="237"/>
        <v>0</v>
      </c>
      <c r="CO111">
        <f t="shared" si="238"/>
        <v>0</v>
      </c>
      <c r="CP111">
        <f t="shared" si="239"/>
        <v>1</v>
      </c>
      <c r="CQ111">
        <f t="shared" si="240"/>
        <v>1</v>
      </c>
      <c r="CR111">
        <f t="shared" si="241"/>
        <v>1</v>
      </c>
      <c r="CS111">
        <f t="shared" si="242"/>
        <v>1</v>
      </c>
      <c r="CT111">
        <f t="shared" si="243"/>
        <v>1</v>
      </c>
      <c r="CU111">
        <f t="shared" si="244"/>
        <v>1</v>
      </c>
      <c r="CV111">
        <f t="shared" si="245"/>
        <v>0</v>
      </c>
      <c r="CW111">
        <f t="shared" si="246"/>
        <v>0</v>
      </c>
      <c r="CX111">
        <f t="shared" si="247"/>
        <v>0</v>
      </c>
      <c r="CY111">
        <f t="shared" si="248"/>
        <v>0</v>
      </c>
      <c r="CZ111">
        <f t="shared" si="249"/>
        <v>0</v>
      </c>
      <c r="DA111">
        <f t="shared" si="250"/>
        <v>0</v>
      </c>
      <c r="DB111">
        <f t="shared" si="251"/>
        <v>1</v>
      </c>
      <c r="DC111">
        <f t="shared" si="252"/>
        <v>1</v>
      </c>
      <c r="DF111" s="10" t="s">
        <v>37</v>
      </c>
      <c r="DG111" t="str">
        <f t="shared" si="312"/>
        <v>2022_5</v>
      </c>
      <c r="DH111" t="str">
        <f t="shared" si="312"/>
        <v>2022_5</v>
      </c>
      <c r="DI111" t="str">
        <f t="shared" si="312"/>
        <v>2022_5</v>
      </c>
      <c r="DJ111" t="str">
        <f t="shared" si="312"/>
        <v>2022_5</v>
      </c>
      <c r="DK111" t="str">
        <f t="shared" si="312"/>
        <v>2022_5</v>
      </c>
      <c r="DL111" t="str">
        <f t="shared" si="312"/>
        <v>2022_5</v>
      </c>
      <c r="DM111" t="str">
        <f t="shared" si="312"/>
        <v>2022_5</v>
      </c>
      <c r="DN111" t="str">
        <f t="shared" si="312"/>
        <v>2022_5</v>
      </c>
      <c r="DO111" t="str">
        <f t="shared" si="312"/>
        <v>2022_5</v>
      </c>
      <c r="DP111" t="str">
        <f t="shared" si="312"/>
        <v>2022_5</v>
      </c>
      <c r="DQ111" t="str">
        <f t="shared" si="312"/>
        <v>2022_5</v>
      </c>
      <c r="DR111" t="str">
        <f t="shared" si="312"/>
        <v>2022_5</v>
      </c>
      <c r="DS111" t="str">
        <f t="shared" si="312"/>
        <v>2022_5</v>
      </c>
      <c r="DT111" t="str">
        <f t="shared" si="312"/>
        <v>2022_5</v>
      </c>
      <c r="DU111" t="str">
        <f t="shared" si="312"/>
        <v>2022_5</v>
      </c>
      <c r="DV111" t="str">
        <f t="shared" si="310"/>
        <v>2022_5</v>
      </c>
      <c r="DW111" t="str">
        <f t="shared" si="310"/>
        <v>2022_5</v>
      </c>
      <c r="DX111" t="str">
        <f t="shared" si="310"/>
        <v>2022_5</v>
      </c>
      <c r="DY111" t="str">
        <f t="shared" si="310"/>
        <v>2022_5</v>
      </c>
      <c r="DZ111" t="str">
        <f t="shared" si="310"/>
        <v>2022_5</v>
      </c>
      <c r="EA111" t="str">
        <f t="shared" si="310"/>
        <v>2022_5</v>
      </c>
      <c r="EB111" t="str">
        <f t="shared" si="310"/>
        <v>2022_5</v>
      </c>
      <c r="EC111" t="str">
        <f t="shared" si="310"/>
        <v>2022_5</v>
      </c>
      <c r="ED111" t="str">
        <f t="shared" si="310"/>
        <v>2022_5</v>
      </c>
      <c r="EE111" t="str">
        <f t="shared" si="310"/>
        <v>2022_5</v>
      </c>
      <c r="EF111" t="str">
        <f t="shared" si="310"/>
        <v>2022_5</v>
      </c>
      <c r="EG111" t="str">
        <f t="shared" si="310"/>
        <v>2022_5</v>
      </c>
      <c r="EH111" t="str">
        <f t="shared" si="310"/>
        <v>2022_5</v>
      </c>
      <c r="EI111" t="str">
        <f t="shared" si="310"/>
        <v>2022_5</v>
      </c>
      <c r="EJ111" t="str">
        <f t="shared" si="310"/>
        <v>2022_5</v>
      </c>
      <c r="EK111" t="str">
        <f t="shared" si="310"/>
        <v>2022_5</v>
      </c>
      <c r="EL111" t="str">
        <f t="shared" si="311"/>
        <v>2022_5</v>
      </c>
      <c r="EM111" t="str">
        <f t="shared" si="309"/>
        <v>2022_5</v>
      </c>
      <c r="EN111" t="str">
        <f t="shared" si="309"/>
        <v>2022_5</v>
      </c>
      <c r="EO111" t="str">
        <f t="shared" si="309"/>
        <v>2022_5</v>
      </c>
      <c r="EP111" t="str">
        <f t="shared" si="309"/>
        <v>2022_5</v>
      </c>
      <c r="EQ111" t="str">
        <f t="shared" si="309"/>
        <v>2022_5</v>
      </c>
      <c r="ER111" t="str">
        <f t="shared" si="309"/>
        <v>2022_5</v>
      </c>
      <c r="ES111" t="str">
        <f t="shared" si="309"/>
        <v>2022_5</v>
      </c>
      <c r="ET111" t="str">
        <f t="shared" si="309"/>
        <v>2022_5</v>
      </c>
      <c r="EU111" t="str">
        <f t="shared" si="309"/>
        <v>2022_5</v>
      </c>
      <c r="EV111" t="str">
        <f t="shared" si="309"/>
        <v>2022_5</v>
      </c>
      <c r="EW111" t="str">
        <f t="shared" si="309"/>
        <v>2022_5</v>
      </c>
      <c r="EX111" t="str">
        <f t="shared" si="309"/>
        <v>2022_5</v>
      </c>
      <c r="EY111" t="str">
        <f t="shared" si="309"/>
        <v>2022_5</v>
      </c>
      <c r="FB111" s="10" t="s">
        <v>37</v>
      </c>
      <c r="FC111">
        <f t="shared" si="305"/>
        <v>0</v>
      </c>
      <c r="FD111">
        <f t="shared" si="255"/>
        <v>0</v>
      </c>
      <c r="FE111">
        <f t="shared" si="256"/>
        <v>0</v>
      </c>
      <c r="FF111">
        <f t="shared" si="257"/>
        <v>0</v>
      </c>
      <c r="FG111">
        <f t="shared" si="258"/>
        <v>0</v>
      </c>
      <c r="FH111">
        <f t="shared" si="259"/>
        <v>0</v>
      </c>
      <c r="FI111">
        <f t="shared" si="260"/>
        <v>0</v>
      </c>
      <c r="FJ111">
        <f t="shared" si="261"/>
        <v>0</v>
      </c>
      <c r="FK111">
        <f t="shared" si="262"/>
        <v>0</v>
      </c>
      <c r="FL111">
        <f t="shared" si="263"/>
        <v>0</v>
      </c>
      <c r="FM111">
        <f t="shared" si="264"/>
        <v>0</v>
      </c>
      <c r="FN111">
        <f t="shared" si="265"/>
        <v>0</v>
      </c>
      <c r="FO111">
        <f t="shared" si="266"/>
        <v>0</v>
      </c>
      <c r="FP111">
        <f t="shared" si="267"/>
        <v>0</v>
      </c>
      <c r="FQ111">
        <f t="shared" si="268"/>
        <v>0</v>
      </c>
      <c r="FR111">
        <f t="shared" si="269"/>
        <v>0</v>
      </c>
      <c r="FS111">
        <f t="shared" si="270"/>
        <v>0</v>
      </c>
      <c r="FT111">
        <f t="shared" si="271"/>
        <v>0</v>
      </c>
      <c r="FU111">
        <f t="shared" si="272"/>
        <v>0</v>
      </c>
      <c r="FV111">
        <f t="shared" si="273"/>
        <v>0</v>
      </c>
      <c r="FW111">
        <f t="shared" si="274"/>
        <v>0</v>
      </c>
      <c r="FX111">
        <f t="shared" si="275"/>
        <v>0</v>
      </c>
      <c r="FY111">
        <f t="shared" si="276"/>
        <v>0</v>
      </c>
      <c r="FZ111">
        <f t="shared" si="277"/>
        <v>0</v>
      </c>
      <c r="GA111">
        <f t="shared" si="278"/>
        <v>0</v>
      </c>
      <c r="GB111">
        <f t="shared" si="279"/>
        <v>1</v>
      </c>
      <c r="GC111">
        <f t="shared" si="280"/>
        <v>1</v>
      </c>
      <c r="GD111">
        <f t="shared" si="281"/>
        <v>1</v>
      </c>
      <c r="GE111">
        <f t="shared" si="282"/>
        <v>1</v>
      </c>
      <c r="GF111">
        <f t="shared" si="283"/>
        <v>1</v>
      </c>
      <c r="GG111">
        <f t="shared" si="284"/>
        <v>1</v>
      </c>
      <c r="GH111">
        <f t="shared" si="285"/>
        <v>1</v>
      </c>
      <c r="GI111">
        <f t="shared" si="286"/>
        <v>1</v>
      </c>
      <c r="GJ111">
        <f t="shared" si="287"/>
        <v>1</v>
      </c>
      <c r="GK111">
        <f t="shared" si="288"/>
        <v>1</v>
      </c>
      <c r="GL111">
        <f t="shared" si="289"/>
        <v>1</v>
      </c>
      <c r="GM111">
        <f t="shared" si="290"/>
        <v>1</v>
      </c>
      <c r="GN111">
        <f t="shared" si="291"/>
        <v>1</v>
      </c>
      <c r="GO111">
        <f t="shared" si="292"/>
        <v>1</v>
      </c>
      <c r="GP111">
        <f t="shared" si="293"/>
        <v>1</v>
      </c>
      <c r="GQ111">
        <f t="shared" si="294"/>
        <v>1</v>
      </c>
      <c r="GR111">
        <f t="shared" si="295"/>
        <v>1</v>
      </c>
      <c r="GS111">
        <f t="shared" si="296"/>
        <v>1</v>
      </c>
      <c r="GT111">
        <f t="shared" si="297"/>
        <v>1</v>
      </c>
      <c r="GU111">
        <f t="shared" si="298"/>
        <v>1</v>
      </c>
      <c r="GX111" s="10"/>
    </row>
    <row r="112" spans="1:206" x14ac:dyDescent="0.3">
      <c r="A112" s="9" t="s">
        <v>145</v>
      </c>
      <c r="B112" s="80"/>
      <c r="C112" s="9">
        <v>3150151001</v>
      </c>
      <c r="D112" s="9" t="s">
        <v>434</v>
      </c>
      <c r="E112" s="9" t="s">
        <v>34</v>
      </c>
      <c r="F112" s="9" t="s">
        <v>35</v>
      </c>
      <c r="G112" s="9" t="s">
        <v>146</v>
      </c>
      <c r="H112" s="10">
        <v>44697</v>
      </c>
      <c r="I112" s="9">
        <f t="shared" si="299"/>
        <v>2022</v>
      </c>
      <c r="J112" s="9">
        <f t="shared" si="300"/>
        <v>5</v>
      </c>
      <c r="K112" s="9" t="str">
        <f t="shared" si="301"/>
        <v>2022_5</v>
      </c>
      <c r="L112">
        <f>MAX(0,VLOOKUP($K112,lookups!$A$1:$B$45,2,0)-12)</f>
        <v>13</v>
      </c>
      <c r="M112" s="40">
        <f t="shared" si="302"/>
        <v>44682</v>
      </c>
      <c r="N112" s="10" t="s">
        <v>37</v>
      </c>
      <c r="O112" t="str">
        <f ca="1">IF(OR($L112&gt;O$4,O$4&gt;$L112+23),"",OFFSET(Electric!$L103,0,-'Electric Calendarize'!$L112+'Electric Calendarize'!O$4+1))</f>
        <v/>
      </c>
      <c r="P112" t="str">
        <f ca="1">IF(OR($L112&gt;P$4,P$4&gt;$L112+23),"",OFFSET(Electric!$L103,0,-'Electric Calendarize'!$L112+'Electric Calendarize'!P$4+1))</f>
        <v/>
      </c>
      <c r="Q112" t="str">
        <f ca="1">IF(OR($L112&gt;Q$4,Q$4&gt;$L112+23),"",OFFSET(Electric!$L103,0,-'Electric Calendarize'!$L112+'Electric Calendarize'!Q$4+1))</f>
        <v/>
      </c>
      <c r="R112" t="str">
        <f ca="1">IF(OR($L112&gt;R$4,R$4&gt;$L112+23),"",OFFSET(Electric!$L103,0,-'Electric Calendarize'!$L112+'Electric Calendarize'!R$4+1))</f>
        <v/>
      </c>
      <c r="S112" t="str">
        <f ca="1">IF(OR($L112&gt;S$4,S$4&gt;$L112+23),"",OFFSET(Electric!$L103,0,-'Electric Calendarize'!$L112+'Electric Calendarize'!S$4+1))</f>
        <v/>
      </c>
      <c r="T112" t="str">
        <f ca="1">IF(OR($L112&gt;T$4,T$4&gt;$L112+23),"",OFFSET(Electric!$L103,0,-'Electric Calendarize'!$L112+'Electric Calendarize'!T$4+1))</f>
        <v/>
      </c>
      <c r="U112" t="str">
        <f ca="1">IF(OR($L112&gt;U$4,U$4&gt;$L112+23),"",OFFSET(Electric!$L103,0,-'Electric Calendarize'!$L112+'Electric Calendarize'!U$4+1))</f>
        <v/>
      </c>
      <c r="V112" t="str">
        <f ca="1">IF(OR($L112&gt;V$4,V$4&gt;$L112+23),"",OFFSET(Electric!$L103,0,-'Electric Calendarize'!$L112+'Electric Calendarize'!V$4+1))</f>
        <v/>
      </c>
      <c r="W112" t="str">
        <f ca="1">IF(OR($L112&gt;W$4,W$4&gt;$L112+23),"",OFFSET(Electric!$L103,0,-'Electric Calendarize'!$L112+'Electric Calendarize'!W$4+1))</f>
        <v/>
      </c>
      <c r="X112" t="str">
        <f ca="1">IF(OR($L112&gt;X$4,X$4&gt;$L112+23),"",OFFSET(Electric!$L103,0,-'Electric Calendarize'!$L112+'Electric Calendarize'!X$4+1))</f>
        <v/>
      </c>
      <c r="Y112" t="str">
        <f ca="1">IF(OR($L112&gt;Y$4,Y$4&gt;$L112+23),"",OFFSET(Electric!$L103,0,-'Electric Calendarize'!$L112+'Electric Calendarize'!Y$4+1))</f>
        <v/>
      </c>
      <c r="Z112" t="str">
        <f ca="1">IF(OR($L112&gt;Z$4,Z$4&gt;$L112+23),"",OFFSET(Electric!$L103,0,-'Electric Calendarize'!$L112+'Electric Calendarize'!Z$4+1))</f>
        <v/>
      </c>
      <c r="AA112" t="str">
        <f ca="1">IF(OR($L112&gt;AA$4,AA$4&gt;$L112+23),"",OFFSET(Electric!$L103,0,-'Electric Calendarize'!$L112+'Electric Calendarize'!AA$4+1))</f>
        <v/>
      </c>
      <c r="AB112">
        <f ca="1">IF(OR($L112&gt;AB$4,AB$4&gt;$L112+23),"",OFFSET(Electric!$L103,0,-'Electric Calendarize'!$L112+'Electric Calendarize'!AB$4+1))</f>
        <v>688</v>
      </c>
      <c r="AC112">
        <f ca="1">IF(OR($L112&gt;AC$4,AC$4&gt;$L112+23),"",OFFSET(Electric!$L103,0,-'Electric Calendarize'!$L112+'Electric Calendarize'!AC$4+1))</f>
        <v>816</v>
      </c>
      <c r="AD112">
        <f ca="1">IF(OR($L112&gt;AD$4,AD$4&gt;$L112+23),"",OFFSET(Electric!$L103,0,-'Electric Calendarize'!$L112+'Electric Calendarize'!AD$4+1))</f>
        <v>1148</v>
      </c>
      <c r="AE112">
        <f ca="1">IF(OR($L112&gt;AE$4,AE$4&gt;$L112+23),"",OFFSET(Electric!$L103,0,-'Electric Calendarize'!$L112+'Electric Calendarize'!AE$4+1))</f>
        <v>1116</v>
      </c>
      <c r="AF112">
        <f ca="1">IF(OR($L112&gt;AF$4,AF$4&gt;$L112+23),"",OFFSET(Electric!$L103,0,-'Electric Calendarize'!$L112+'Electric Calendarize'!AF$4+1))</f>
        <v>1216</v>
      </c>
      <c r="AG112">
        <f ca="1">IF(OR($L112&gt;AG$4,AG$4&gt;$L112+23),"",OFFSET(Electric!$L103,0,-'Electric Calendarize'!$L112+'Electric Calendarize'!AG$4+1))</f>
        <v>650</v>
      </c>
      <c r="AH112">
        <f ca="1">IF(OR($L112&gt;AH$4,AH$4&gt;$L112+23),"",OFFSET(Electric!$L103,0,-'Electric Calendarize'!$L112+'Electric Calendarize'!AH$4+1))</f>
        <v>1008</v>
      </c>
      <c r="AI112">
        <f ca="1">IF(OR($L112&gt;AI$4,AI$4&gt;$L112+23),"",OFFSET(Electric!$L103,0,-'Electric Calendarize'!$L112+'Electric Calendarize'!AI$4+1))</f>
        <v>678</v>
      </c>
      <c r="AJ112">
        <f ca="1">IF(OR($L112&gt;AJ$4,AJ$4&gt;$L112+23),"",OFFSET(Electric!$L103,0,-'Electric Calendarize'!$L112+'Electric Calendarize'!AJ$4+1))</f>
        <v>930</v>
      </c>
      <c r="AK112">
        <f ca="1">IF(OR($L112&gt;AK$4,AK$4&gt;$L112+23),"",OFFSET(Electric!$L103,0,-'Electric Calendarize'!$L112+'Electric Calendarize'!AK$4+1))</f>
        <v>774</v>
      </c>
      <c r="AL112">
        <f ca="1">IF(OR($L112&gt;AL$4,AL$4&gt;$L112+23),"",OFFSET(Electric!$L103,0,-'Electric Calendarize'!$L112+'Electric Calendarize'!AL$4+1))</f>
        <v>526</v>
      </c>
      <c r="AM112">
        <f ca="1">IF(OR($L112&gt;AM$4,AM$4&gt;$L112+23),"",OFFSET(Electric!$L103,0,-'Electric Calendarize'!$L112+'Electric Calendarize'!AM$4+1))</f>
        <v>368</v>
      </c>
      <c r="AN112">
        <f ca="1">IF(OR($L112&gt;AN$4,AN$4&gt;$L112+23),"",OFFSET(Electric!$L103,0,-'Electric Calendarize'!$L112+'Electric Calendarize'!AN$4+1))</f>
        <v>360</v>
      </c>
      <c r="AO112">
        <f ca="1">IF(OR($L112&gt;AO$4,AO$4&gt;$L112+23),"",OFFSET(Electric!$L103,0,-'Electric Calendarize'!$L112+'Electric Calendarize'!AO$4+1))</f>
        <v>598</v>
      </c>
      <c r="AP112">
        <f ca="1">IF(OR($L112&gt;AP$4,AP$4&gt;$L112+23),"",OFFSET(Electric!$L103,0,-'Electric Calendarize'!$L112+'Electric Calendarize'!AP$4+1))</f>
        <v>746</v>
      </c>
      <c r="AQ112">
        <f ca="1">IF(OR($L112&gt;AQ$4,AQ$4&gt;$L112+23),"",OFFSET(Electric!$L103,0,-'Electric Calendarize'!$L112+'Electric Calendarize'!AQ$4+1))</f>
        <v>892</v>
      </c>
      <c r="AR112">
        <f ca="1">IF(OR($L112&gt;AR$4,AR$4&gt;$L112+23),"",OFFSET(Electric!$L103,0,-'Electric Calendarize'!$L112+'Electric Calendarize'!AR$4+1))</f>
        <v>810</v>
      </c>
      <c r="AS112">
        <f ca="1">IF(OR($L112&gt;AS$4,AS$4&gt;$L112+23),"",OFFSET(Electric!$L103,0,-'Electric Calendarize'!$L112+'Electric Calendarize'!AS$4+1))</f>
        <v>572</v>
      </c>
      <c r="AT112">
        <f ca="1">IF(OR($L112&gt;AT$4,AT$4&gt;$L112+23),"",OFFSET(Electric!$L103,0,-'Electric Calendarize'!$L112+'Electric Calendarize'!AT$4+1))</f>
        <v>822</v>
      </c>
      <c r="AU112">
        <f ca="1">IF(OR($L112&gt;AU$4,AU$4&gt;$L112+23),"",OFFSET(Electric!$L103,0,-'Electric Calendarize'!$L112+'Electric Calendarize'!AU$4+1))</f>
        <v>1676</v>
      </c>
      <c r="AV112">
        <f ca="1">IF(OR($L112&gt;AV$4,AV$4&gt;$L112+23),"",OFFSET(Electric!$L103,0,-'Electric Calendarize'!$L112+'Electric Calendarize'!AV$4+1))</f>
        <v>2276</v>
      </c>
      <c r="AW112">
        <f ca="1">IF(OR($L112&gt;AW$4,AW$4&gt;$L112+23),"",OFFSET(Electric!$L103,0,-'Electric Calendarize'!$L112+'Electric Calendarize'!AW$4+1))</f>
        <v>1864</v>
      </c>
      <c r="AX112">
        <f ca="1">IF(OR($L112&gt;AX$4,AX$4&gt;$L112+23),"",OFFSET(Electric!$L103,0,-'Electric Calendarize'!$L112+'Electric Calendarize'!AX$4+1))</f>
        <v>1956</v>
      </c>
      <c r="AY112">
        <f ca="1">IF(OR($L112&gt;AY$4,AY$4&gt;$L112+23),"",OFFSET(Electric!$L103,0,-'Electric Calendarize'!$L112+'Electric Calendarize'!AY$4+1))</f>
        <v>868</v>
      </c>
      <c r="AZ112" t="str">
        <f ca="1">IF(OR($L112&gt;AZ$4,AZ$4&gt;$L112+23),"",OFFSET(Electric!$L103,0,-'Electric Calendarize'!$L112+'Electric Calendarize'!AZ$4+1))</f>
        <v/>
      </c>
      <c r="BA112" t="str">
        <f ca="1">IF(OR($L112&gt;BA$4,BA$4&gt;$L112+23),"",OFFSET(Electric!$L103,0,-'Electric Calendarize'!$L112+'Electric Calendarize'!BA$4+1))</f>
        <v/>
      </c>
      <c r="BB112" t="str">
        <f ca="1">IF(OR($L112&gt;BB$4,BB$4&gt;$L112+23),"",OFFSET(Electric!$L103,0,-'Electric Calendarize'!$L112+'Electric Calendarize'!BB$4+1))</f>
        <v/>
      </c>
      <c r="BC112" t="str">
        <f ca="1">IF(OR($L112&gt;BC$4,BC$4&gt;$L112+23),"",OFFSET(Electric!$L103,0,-'Electric Calendarize'!$L112+'Electric Calendarize'!BC$4+1))</f>
        <v/>
      </c>
      <c r="BD112" t="str">
        <f ca="1">IF(OR($L112&gt;BD$4,BD$4&gt;$L112+23),"",OFFSET(Electric!$L103,0,-'Electric Calendarize'!$L112+'Electric Calendarize'!BD$4+1))</f>
        <v/>
      </c>
      <c r="BE112" t="str">
        <f ca="1">IF(OR($L112&gt;BE$4,BE$4&gt;$L112+23),"",OFFSET(Electric!$L103,0,-'Electric Calendarize'!$L112+'Electric Calendarize'!BE$4+1))</f>
        <v/>
      </c>
      <c r="BF112" t="str">
        <f ca="1">IF(OR($L112&gt;BF$4,BF$4&gt;$L112+23),"",OFFSET(Electric!$L103,0,-'Electric Calendarize'!$L112+'Electric Calendarize'!BF$4+1))</f>
        <v/>
      </c>
      <c r="BG112" t="str">
        <f ca="1">IF(OR($L112&gt;BG$4,BG$4&gt;$L112+23),"",OFFSET(Electric!$L103,0,-'Electric Calendarize'!$L112+'Electric Calendarize'!BG$4+1))</f>
        <v/>
      </c>
      <c r="BJ112" s="10" t="s">
        <v>37</v>
      </c>
      <c r="BK112">
        <f t="shared" si="303"/>
        <v>1</v>
      </c>
      <c r="BL112">
        <f t="shared" si="209"/>
        <v>0</v>
      </c>
      <c r="BM112">
        <f t="shared" si="210"/>
        <v>0</v>
      </c>
      <c r="BN112">
        <f t="shared" si="211"/>
        <v>0</v>
      </c>
      <c r="BO112">
        <f t="shared" si="212"/>
        <v>0</v>
      </c>
      <c r="BP112">
        <f t="shared" si="213"/>
        <v>0</v>
      </c>
      <c r="BQ112">
        <f t="shared" si="214"/>
        <v>0</v>
      </c>
      <c r="BR112">
        <f t="shared" si="215"/>
        <v>1</v>
      </c>
      <c r="BS112">
        <f t="shared" si="216"/>
        <v>1</v>
      </c>
      <c r="BT112">
        <f t="shared" si="217"/>
        <v>1</v>
      </c>
      <c r="BU112">
        <f t="shared" si="218"/>
        <v>1</v>
      </c>
      <c r="BV112">
        <f t="shared" si="219"/>
        <v>1</v>
      </c>
      <c r="BW112">
        <f t="shared" si="220"/>
        <v>1</v>
      </c>
      <c r="BX112">
        <f t="shared" si="221"/>
        <v>0</v>
      </c>
      <c r="BY112">
        <f t="shared" si="222"/>
        <v>0</v>
      </c>
      <c r="BZ112">
        <f t="shared" si="223"/>
        <v>0</v>
      </c>
      <c r="CA112">
        <f t="shared" si="224"/>
        <v>0</v>
      </c>
      <c r="CB112">
        <f t="shared" si="225"/>
        <v>0</v>
      </c>
      <c r="CC112">
        <f t="shared" si="226"/>
        <v>0</v>
      </c>
      <c r="CD112">
        <f t="shared" si="227"/>
        <v>1</v>
      </c>
      <c r="CE112">
        <f t="shared" si="228"/>
        <v>1</v>
      </c>
      <c r="CF112">
        <f t="shared" si="229"/>
        <v>1</v>
      </c>
      <c r="CG112">
        <f t="shared" si="230"/>
        <v>1</v>
      </c>
      <c r="CH112">
        <f t="shared" si="231"/>
        <v>1</v>
      </c>
      <c r="CI112">
        <f t="shared" si="232"/>
        <v>1</v>
      </c>
      <c r="CJ112">
        <f t="shared" si="233"/>
        <v>0</v>
      </c>
      <c r="CK112">
        <f t="shared" si="234"/>
        <v>0</v>
      </c>
      <c r="CL112">
        <f t="shared" si="235"/>
        <v>0</v>
      </c>
      <c r="CM112">
        <f t="shared" si="236"/>
        <v>0</v>
      </c>
      <c r="CN112">
        <f t="shared" si="237"/>
        <v>0</v>
      </c>
      <c r="CO112">
        <f t="shared" si="238"/>
        <v>0</v>
      </c>
      <c r="CP112">
        <f t="shared" si="239"/>
        <v>1</v>
      </c>
      <c r="CQ112">
        <f t="shared" si="240"/>
        <v>1</v>
      </c>
      <c r="CR112">
        <f t="shared" si="241"/>
        <v>1</v>
      </c>
      <c r="CS112">
        <f t="shared" si="242"/>
        <v>1</v>
      </c>
      <c r="CT112">
        <f t="shared" si="243"/>
        <v>1</v>
      </c>
      <c r="CU112">
        <f t="shared" si="244"/>
        <v>1</v>
      </c>
      <c r="CV112">
        <f t="shared" si="245"/>
        <v>0</v>
      </c>
      <c r="CW112">
        <f t="shared" si="246"/>
        <v>0</v>
      </c>
      <c r="CX112">
        <f t="shared" si="247"/>
        <v>0</v>
      </c>
      <c r="CY112">
        <f t="shared" si="248"/>
        <v>0</v>
      </c>
      <c r="CZ112">
        <f t="shared" si="249"/>
        <v>0</v>
      </c>
      <c r="DA112">
        <f t="shared" si="250"/>
        <v>0</v>
      </c>
      <c r="DB112">
        <f t="shared" si="251"/>
        <v>1</v>
      </c>
      <c r="DC112">
        <f t="shared" si="252"/>
        <v>1</v>
      </c>
      <c r="DF112" s="10" t="s">
        <v>37</v>
      </c>
      <c r="DG112" t="str">
        <f t="shared" si="312"/>
        <v>2022_5</v>
      </c>
      <c r="DH112" t="str">
        <f t="shared" si="312"/>
        <v>2022_5</v>
      </c>
      <c r="DI112" t="str">
        <f t="shared" si="312"/>
        <v>2022_5</v>
      </c>
      <c r="DJ112" t="str">
        <f t="shared" si="312"/>
        <v>2022_5</v>
      </c>
      <c r="DK112" t="str">
        <f t="shared" si="312"/>
        <v>2022_5</v>
      </c>
      <c r="DL112" t="str">
        <f t="shared" si="312"/>
        <v>2022_5</v>
      </c>
      <c r="DM112" t="str">
        <f t="shared" si="312"/>
        <v>2022_5</v>
      </c>
      <c r="DN112" t="str">
        <f t="shared" si="312"/>
        <v>2022_5</v>
      </c>
      <c r="DO112" t="str">
        <f t="shared" si="312"/>
        <v>2022_5</v>
      </c>
      <c r="DP112" t="str">
        <f t="shared" si="312"/>
        <v>2022_5</v>
      </c>
      <c r="DQ112" t="str">
        <f t="shared" si="312"/>
        <v>2022_5</v>
      </c>
      <c r="DR112" t="str">
        <f t="shared" si="312"/>
        <v>2022_5</v>
      </c>
      <c r="DS112" t="str">
        <f t="shared" si="312"/>
        <v>2022_5</v>
      </c>
      <c r="DT112" t="str">
        <f t="shared" si="312"/>
        <v>2022_5</v>
      </c>
      <c r="DU112" t="str">
        <f t="shared" si="312"/>
        <v>2022_5</v>
      </c>
      <c r="DV112" t="str">
        <f t="shared" si="310"/>
        <v>2022_5</v>
      </c>
      <c r="DW112" t="str">
        <f t="shared" si="310"/>
        <v>2022_5</v>
      </c>
      <c r="DX112" t="str">
        <f t="shared" si="310"/>
        <v>2022_5</v>
      </c>
      <c r="DY112" t="str">
        <f t="shared" si="310"/>
        <v>2022_5</v>
      </c>
      <c r="DZ112" t="str">
        <f t="shared" si="310"/>
        <v>2022_5</v>
      </c>
      <c r="EA112" t="str">
        <f t="shared" si="310"/>
        <v>2022_5</v>
      </c>
      <c r="EB112" t="str">
        <f t="shared" si="310"/>
        <v>2022_5</v>
      </c>
      <c r="EC112" t="str">
        <f t="shared" si="310"/>
        <v>2022_5</v>
      </c>
      <c r="ED112" t="str">
        <f t="shared" si="310"/>
        <v>2022_5</v>
      </c>
      <c r="EE112" t="str">
        <f t="shared" si="310"/>
        <v>2022_5</v>
      </c>
      <c r="EF112" t="str">
        <f t="shared" si="310"/>
        <v>2022_5</v>
      </c>
      <c r="EG112" t="str">
        <f t="shared" si="310"/>
        <v>2022_5</v>
      </c>
      <c r="EH112" t="str">
        <f t="shared" si="310"/>
        <v>2022_5</v>
      </c>
      <c r="EI112" t="str">
        <f t="shared" si="310"/>
        <v>2022_5</v>
      </c>
      <c r="EJ112" t="str">
        <f t="shared" si="310"/>
        <v>2022_5</v>
      </c>
      <c r="EK112" t="str">
        <f t="shared" si="310"/>
        <v>2022_5</v>
      </c>
      <c r="EL112" t="str">
        <f t="shared" si="311"/>
        <v>2022_5</v>
      </c>
      <c r="EM112" t="str">
        <f t="shared" si="309"/>
        <v>2022_5</v>
      </c>
      <c r="EN112" t="str">
        <f t="shared" si="309"/>
        <v>2022_5</v>
      </c>
      <c r="EO112" t="str">
        <f t="shared" si="309"/>
        <v>2022_5</v>
      </c>
      <c r="EP112" t="str">
        <f t="shared" si="309"/>
        <v>2022_5</v>
      </c>
      <c r="EQ112" t="str">
        <f t="shared" si="309"/>
        <v>2022_5</v>
      </c>
      <c r="ER112" t="str">
        <f t="shared" si="309"/>
        <v>2022_5</v>
      </c>
      <c r="ES112" t="str">
        <f t="shared" si="309"/>
        <v>2022_5</v>
      </c>
      <c r="ET112" t="str">
        <f t="shared" si="309"/>
        <v>2022_5</v>
      </c>
      <c r="EU112" t="str">
        <f t="shared" si="309"/>
        <v>2022_5</v>
      </c>
      <c r="EV112" t="str">
        <f t="shared" si="309"/>
        <v>2022_5</v>
      </c>
      <c r="EW112" t="str">
        <f t="shared" si="309"/>
        <v>2022_5</v>
      </c>
      <c r="EX112" t="str">
        <f t="shared" si="309"/>
        <v>2022_5</v>
      </c>
      <c r="EY112" t="str">
        <f t="shared" si="309"/>
        <v>2022_5</v>
      </c>
      <c r="FB112" s="10" t="s">
        <v>37</v>
      </c>
      <c r="FC112">
        <f t="shared" si="305"/>
        <v>0</v>
      </c>
      <c r="FD112">
        <f t="shared" si="255"/>
        <v>0</v>
      </c>
      <c r="FE112">
        <f t="shared" si="256"/>
        <v>0</v>
      </c>
      <c r="FF112">
        <f t="shared" si="257"/>
        <v>0</v>
      </c>
      <c r="FG112">
        <f t="shared" si="258"/>
        <v>0</v>
      </c>
      <c r="FH112">
        <f t="shared" si="259"/>
        <v>0</v>
      </c>
      <c r="FI112">
        <f t="shared" si="260"/>
        <v>0</v>
      </c>
      <c r="FJ112">
        <f t="shared" si="261"/>
        <v>0</v>
      </c>
      <c r="FK112">
        <f t="shared" si="262"/>
        <v>0</v>
      </c>
      <c r="FL112">
        <f t="shared" si="263"/>
        <v>0</v>
      </c>
      <c r="FM112">
        <f t="shared" si="264"/>
        <v>0</v>
      </c>
      <c r="FN112">
        <f t="shared" si="265"/>
        <v>0</v>
      </c>
      <c r="FO112">
        <f t="shared" si="266"/>
        <v>0</v>
      </c>
      <c r="FP112">
        <f t="shared" si="267"/>
        <v>0</v>
      </c>
      <c r="FQ112">
        <f t="shared" si="268"/>
        <v>0</v>
      </c>
      <c r="FR112">
        <f t="shared" si="269"/>
        <v>0</v>
      </c>
      <c r="FS112">
        <f t="shared" si="270"/>
        <v>0</v>
      </c>
      <c r="FT112">
        <f t="shared" si="271"/>
        <v>0</v>
      </c>
      <c r="FU112">
        <f t="shared" si="272"/>
        <v>0</v>
      </c>
      <c r="FV112">
        <f t="shared" si="273"/>
        <v>0</v>
      </c>
      <c r="FW112">
        <f t="shared" si="274"/>
        <v>0</v>
      </c>
      <c r="FX112">
        <f t="shared" si="275"/>
        <v>0</v>
      </c>
      <c r="FY112">
        <f t="shared" si="276"/>
        <v>0</v>
      </c>
      <c r="FZ112">
        <f t="shared" si="277"/>
        <v>0</v>
      </c>
      <c r="GA112">
        <f t="shared" si="278"/>
        <v>0</v>
      </c>
      <c r="GB112">
        <f t="shared" si="279"/>
        <v>1</v>
      </c>
      <c r="GC112">
        <f t="shared" si="280"/>
        <v>1</v>
      </c>
      <c r="GD112">
        <f t="shared" si="281"/>
        <v>1</v>
      </c>
      <c r="GE112">
        <f t="shared" si="282"/>
        <v>1</v>
      </c>
      <c r="GF112">
        <f t="shared" si="283"/>
        <v>1</v>
      </c>
      <c r="GG112">
        <f t="shared" si="284"/>
        <v>1</v>
      </c>
      <c r="GH112">
        <f t="shared" si="285"/>
        <v>1</v>
      </c>
      <c r="GI112">
        <f t="shared" si="286"/>
        <v>1</v>
      </c>
      <c r="GJ112">
        <f t="shared" si="287"/>
        <v>1</v>
      </c>
      <c r="GK112">
        <f t="shared" si="288"/>
        <v>1</v>
      </c>
      <c r="GL112">
        <f t="shared" si="289"/>
        <v>1</v>
      </c>
      <c r="GM112">
        <f t="shared" si="290"/>
        <v>1</v>
      </c>
      <c r="GN112">
        <f t="shared" si="291"/>
        <v>1</v>
      </c>
      <c r="GO112">
        <f t="shared" si="292"/>
        <v>1</v>
      </c>
      <c r="GP112">
        <f t="shared" si="293"/>
        <v>1</v>
      </c>
      <c r="GQ112">
        <f t="shared" si="294"/>
        <v>1</v>
      </c>
      <c r="GR112">
        <f t="shared" si="295"/>
        <v>1</v>
      </c>
      <c r="GS112">
        <f t="shared" si="296"/>
        <v>1</v>
      </c>
      <c r="GT112">
        <f t="shared" si="297"/>
        <v>1</v>
      </c>
      <c r="GU112">
        <f t="shared" si="298"/>
        <v>1</v>
      </c>
      <c r="GX112" s="10"/>
    </row>
    <row r="113" spans="1:206" x14ac:dyDescent="0.3">
      <c r="A113" s="9" t="s">
        <v>124</v>
      </c>
      <c r="B113" s="80"/>
      <c r="C113" s="9">
        <v>3062415001</v>
      </c>
      <c r="D113" s="9" t="s">
        <v>435</v>
      </c>
      <c r="E113" s="9" t="s">
        <v>34</v>
      </c>
      <c r="F113" s="9" t="s">
        <v>35</v>
      </c>
      <c r="G113" s="9" t="s">
        <v>147</v>
      </c>
      <c r="H113" s="10">
        <v>44701</v>
      </c>
      <c r="I113" s="9">
        <f t="shared" si="299"/>
        <v>2022</v>
      </c>
      <c r="J113" s="9">
        <f t="shared" si="300"/>
        <v>5</v>
      </c>
      <c r="K113" s="9" t="str">
        <f t="shared" si="301"/>
        <v>2022_5</v>
      </c>
      <c r="L113">
        <f>MAX(0,VLOOKUP($K113,lookups!$A$1:$B$45,2,0)-12)</f>
        <v>13</v>
      </c>
      <c r="M113" s="40">
        <f t="shared" si="302"/>
        <v>44682</v>
      </c>
      <c r="N113" s="10" t="s">
        <v>37</v>
      </c>
      <c r="O113" t="str">
        <f ca="1">IF(OR($L113&gt;O$4,O$4&gt;$L113+23),"",OFFSET(Electric!$L104,0,-'Electric Calendarize'!$L113+'Electric Calendarize'!O$4+1))</f>
        <v/>
      </c>
      <c r="P113" t="str">
        <f ca="1">IF(OR($L113&gt;P$4,P$4&gt;$L113+23),"",OFFSET(Electric!$L104,0,-'Electric Calendarize'!$L113+'Electric Calendarize'!P$4+1))</f>
        <v/>
      </c>
      <c r="Q113" t="str">
        <f ca="1">IF(OR($L113&gt;Q$4,Q$4&gt;$L113+23),"",OFFSET(Electric!$L104,0,-'Electric Calendarize'!$L113+'Electric Calendarize'!Q$4+1))</f>
        <v/>
      </c>
      <c r="R113" t="str">
        <f ca="1">IF(OR($L113&gt;R$4,R$4&gt;$L113+23),"",OFFSET(Electric!$L104,0,-'Electric Calendarize'!$L113+'Electric Calendarize'!R$4+1))</f>
        <v/>
      </c>
      <c r="S113" t="str">
        <f ca="1">IF(OR($L113&gt;S$4,S$4&gt;$L113+23),"",OFFSET(Electric!$L104,0,-'Electric Calendarize'!$L113+'Electric Calendarize'!S$4+1))</f>
        <v/>
      </c>
      <c r="T113" t="str">
        <f ca="1">IF(OR($L113&gt;T$4,T$4&gt;$L113+23),"",OFFSET(Electric!$L104,0,-'Electric Calendarize'!$L113+'Electric Calendarize'!T$4+1))</f>
        <v/>
      </c>
      <c r="U113" t="str">
        <f ca="1">IF(OR($L113&gt;U$4,U$4&gt;$L113+23),"",OFFSET(Electric!$L104,0,-'Electric Calendarize'!$L113+'Electric Calendarize'!U$4+1))</f>
        <v/>
      </c>
      <c r="V113" t="str">
        <f ca="1">IF(OR($L113&gt;V$4,V$4&gt;$L113+23),"",OFFSET(Electric!$L104,0,-'Electric Calendarize'!$L113+'Electric Calendarize'!V$4+1))</f>
        <v/>
      </c>
      <c r="W113" t="str">
        <f ca="1">IF(OR($L113&gt;W$4,W$4&gt;$L113+23),"",OFFSET(Electric!$L104,0,-'Electric Calendarize'!$L113+'Electric Calendarize'!W$4+1))</f>
        <v/>
      </c>
      <c r="X113" t="str">
        <f ca="1">IF(OR($L113&gt;X$4,X$4&gt;$L113+23),"",OFFSET(Electric!$L104,0,-'Electric Calendarize'!$L113+'Electric Calendarize'!X$4+1))</f>
        <v/>
      </c>
      <c r="Y113" t="str">
        <f ca="1">IF(OR($L113&gt;Y$4,Y$4&gt;$L113+23),"",OFFSET(Electric!$L104,0,-'Electric Calendarize'!$L113+'Electric Calendarize'!Y$4+1))</f>
        <v/>
      </c>
      <c r="Z113" t="str">
        <f ca="1">IF(OR($L113&gt;Z$4,Z$4&gt;$L113+23),"",OFFSET(Electric!$L104,0,-'Electric Calendarize'!$L113+'Electric Calendarize'!Z$4+1))</f>
        <v/>
      </c>
      <c r="AA113" t="str">
        <f ca="1">IF(OR($L113&gt;AA$4,AA$4&gt;$L113+23),"",OFFSET(Electric!$L104,0,-'Electric Calendarize'!$L113+'Electric Calendarize'!AA$4+1))</f>
        <v/>
      </c>
      <c r="AB113">
        <f ca="1">IF(OR($L113&gt;AB$4,AB$4&gt;$L113+23),"",OFFSET(Electric!$L104,0,-'Electric Calendarize'!$L113+'Electric Calendarize'!AB$4+1))</f>
        <v>351</v>
      </c>
      <c r="AC113">
        <f ca="1">IF(OR($L113&gt;AC$4,AC$4&gt;$L113+23),"",OFFSET(Electric!$L104,0,-'Electric Calendarize'!$L113+'Electric Calendarize'!AC$4+1))</f>
        <v>468</v>
      </c>
      <c r="AD113">
        <f ca="1">IF(OR($L113&gt;AD$4,AD$4&gt;$L113+23),"",OFFSET(Electric!$L104,0,-'Electric Calendarize'!$L113+'Electric Calendarize'!AD$4+1))</f>
        <v>545</v>
      </c>
      <c r="AE113">
        <f ca="1">IF(OR($L113&gt;AE$4,AE$4&gt;$L113+23),"",OFFSET(Electric!$L104,0,-'Electric Calendarize'!$L113+'Electric Calendarize'!AE$4+1))</f>
        <v>478</v>
      </c>
      <c r="AF113">
        <f ca="1">IF(OR($L113&gt;AF$4,AF$4&gt;$L113+23),"",OFFSET(Electric!$L104,0,-'Electric Calendarize'!$L113+'Electric Calendarize'!AF$4+1))</f>
        <v>86</v>
      </c>
      <c r="AG113">
        <f ca="1">IF(OR($L113&gt;AG$4,AG$4&gt;$L113+23),"",OFFSET(Electric!$L104,0,-'Electric Calendarize'!$L113+'Electric Calendarize'!AG$4+1))</f>
        <v>13</v>
      </c>
      <c r="AH113">
        <f ca="1">IF(OR($L113&gt;AH$4,AH$4&gt;$L113+23),"",OFFSET(Electric!$L104,0,-'Electric Calendarize'!$L113+'Electric Calendarize'!AH$4+1))</f>
        <v>58</v>
      </c>
      <c r="AI113">
        <f ca="1">IF(OR($L113&gt;AI$4,AI$4&gt;$L113+23),"",OFFSET(Electric!$L104,0,-'Electric Calendarize'!$L113+'Electric Calendarize'!AI$4+1))</f>
        <v>1140</v>
      </c>
      <c r="AJ113">
        <f ca="1">IF(OR($L113&gt;AJ$4,AJ$4&gt;$L113+23),"",OFFSET(Electric!$L104,0,-'Electric Calendarize'!$L113+'Electric Calendarize'!AJ$4+1))</f>
        <v>1972</v>
      </c>
      <c r="AK113">
        <f ca="1">IF(OR($L113&gt;AK$4,AK$4&gt;$L113+23),"",OFFSET(Electric!$L104,0,-'Electric Calendarize'!$L113+'Electric Calendarize'!AK$4+1))</f>
        <v>1858</v>
      </c>
      <c r="AL113">
        <f ca="1">IF(OR($L113&gt;AL$4,AL$4&gt;$L113+23),"",OFFSET(Electric!$L104,0,-'Electric Calendarize'!$L113+'Electric Calendarize'!AL$4+1))</f>
        <v>1662</v>
      </c>
      <c r="AM113">
        <f ca="1">IF(OR($L113&gt;AM$4,AM$4&gt;$L113+23),"",OFFSET(Electric!$L104,0,-'Electric Calendarize'!$L113+'Electric Calendarize'!AM$4+1))</f>
        <v>1212</v>
      </c>
      <c r="AN113">
        <f ca="1">IF(OR($L113&gt;AN$4,AN$4&gt;$L113+23),"",OFFSET(Electric!$L104,0,-'Electric Calendarize'!$L113+'Electric Calendarize'!AN$4+1))</f>
        <v>1254</v>
      </c>
      <c r="AO113">
        <f ca="1">IF(OR($L113&gt;AO$4,AO$4&gt;$L113+23),"",OFFSET(Electric!$L104,0,-'Electric Calendarize'!$L113+'Electric Calendarize'!AO$4+1))</f>
        <v>1320</v>
      </c>
      <c r="AP113">
        <f ca="1">IF(OR($L113&gt;AP$4,AP$4&gt;$L113+23),"",OFFSET(Electric!$L104,0,-'Electric Calendarize'!$L113+'Electric Calendarize'!AP$4+1))</f>
        <v>1466</v>
      </c>
      <c r="AQ113">
        <f ca="1">IF(OR($L113&gt;AQ$4,AQ$4&gt;$L113+23),"",OFFSET(Electric!$L104,0,-'Electric Calendarize'!$L113+'Electric Calendarize'!AQ$4+1))</f>
        <v>1992</v>
      </c>
      <c r="AR113">
        <f ca="1">IF(OR($L113&gt;AR$4,AR$4&gt;$L113+23),"",OFFSET(Electric!$L104,0,-'Electric Calendarize'!$L113+'Electric Calendarize'!AR$4+1))</f>
        <v>1624</v>
      </c>
      <c r="AS113">
        <f ca="1">IF(OR($L113&gt;AS$4,AS$4&gt;$L113+23),"",OFFSET(Electric!$L104,0,-'Electric Calendarize'!$L113+'Electric Calendarize'!AS$4+1))</f>
        <v>1638</v>
      </c>
      <c r="AT113">
        <f ca="1">IF(OR($L113&gt;AT$4,AT$4&gt;$L113+23),"",OFFSET(Electric!$L104,0,-'Electric Calendarize'!$L113+'Electric Calendarize'!AT$4+1))</f>
        <v>2194</v>
      </c>
      <c r="AU113">
        <f ca="1">IF(OR($L113&gt;AU$4,AU$4&gt;$L113+23),"",OFFSET(Electric!$L104,0,-'Electric Calendarize'!$L113+'Electric Calendarize'!AU$4+1))</f>
        <v>4172</v>
      </c>
      <c r="AV113">
        <f ca="1">IF(OR($L113&gt;AV$4,AV$4&gt;$L113+23),"",OFFSET(Electric!$L104,0,-'Electric Calendarize'!$L113+'Electric Calendarize'!AV$4+1))</f>
        <v>4576</v>
      </c>
      <c r="AW113">
        <f ca="1">IF(OR($L113&gt;AW$4,AW$4&gt;$L113+23),"",OFFSET(Electric!$L104,0,-'Electric Calendarize'!$L113+'Electric Calendarize'!AW$4+1))</f>
        <v>4726</v>
      </c>
      <c r="AX113">
        <f ca="1">IF(OR($L113&gt;AX$4,AX$4&gt;$L113+23),"",OFFSET(Electric!$L104,0,-'Electric Calendarize'!$L113+'Electric Calendarize'!AX$4+1))</f>
        <v>3524</v>
      </c>
      <c r="AY113">
        <f ca="1">IF(OR($L113&gt;AY$4,AY$4&gt;$L113+23),"",OFFSET(Electric!$L104,0,-'Electric Calendarize'!$L113+'Electric Calendarize'!AY$4+1))</f>
        <v>2594</v>
      </c>
      <c r="AZ113" t="str">
        <f ca="1">IF(OR($L113&gt;AZ$4,AZ$4&gt;$L113+23),"",OFFSET(Electric!$L104,0,-'Electric Calendarize'!$L113+'Electric Calendarize'!AZ$4+1))</f>
        <v/>
      </c>
      <c r="BA113" t="str">
        <f ca="1">IF(OR($L113&gt;BA$4,BA$4&gt;$L113+23),"",OFFSET(Electric!$L104,0,-'Electric Calendarize'!$L113+'Electric Calendarize'!BA$4+1))</f>
        <v/>
      </c>
      <c r="BB113" t="str">
        <f ca="1">IF(OR($L113&gt;BB$4,BB$4&gt;$L113+23),"",OFFSET(Electric!$L104,0,-'Electric Calendarize'!$L113+'Electric Calendarize'!BB$4+1))</f>
        <v/>
      </c>
      <c r="BC113" t="str">
        <f ca="1">IF(OR($L113&gt;BC$4,BC$4&gt;$L113+23),"",OFFSET(Electric!$L104,0,-'Electric Calendarize'!$L113+'Electric Calendarize'!BC$4+1))</f>
        <v/>
      </c>
      <c r="BD113" t="str">
        <f ca="1">IF(OR($L113&gt;BD$4,BD$4&gt;$L113+23),"",OFFSET(Electric!$L104,0,-'Electric Calendarize'!$L113+'Electric Calendarize'!BD$4+1))</f>
        <v/>
      </c>
      <c r="BE113" t="str">
        <f ca="1">IF(OR($L113&gt;BE$4,BE$4&gt;$L113+23),"",OFFSET(Electric!$L104,0,-'Electric Calendarize'!$L113+'Electric Calendarize'!BE$4+1))</f>
        <v/>
      </c>
      <c r="BF113" t="str">
        <f ca="1">IF(OR($L113&gt;BF$4,BF$4&gt;$L113+23),"",OFFSET(Electric!$L104,0,-'Electric Calendarize'!$L113+'Electric Calendarize'!BF$4+1))</f>
        <v/>
      </c>
      <c r="BG113" t="str">
        <f ca="1">IF(OR($L113&gt;BG$4,BG$4&gt;$L113+23),"",OFFSET(Electric!$L104,0,-'Electric Calendarize'!$L113+'Electric Calendarize'!BG$4+1))</f>
        <v/>
      </c>
      <c r="BJ113" s="10" t="s">
        <v>37</v>
      </c>
      <c r="BK113">
        <f t="shared" si="303"/>
        <v>1</v>
      </c>
      <c r="BL113">
        <f t="shared" si="209"/>
        <v>0</v>
      </c>
      <c r="BM113">
        <f t="shared" si="210"/>
        <v>0</v>
      </c>
      <c r="BN113">
        <f t="shared" si="211"/>
        <v>0</v>
      </c>
      <c r="BO113">
        <f t="shared" si="212"/>
        <v>0</v>
      </c>
      <c r="BP113">
        <f t="shared" si="213"/>
        <v>0</v>
      </c>
      <c r="BQ113">
        <f t="shared" si="214"/>
        <v>0</v>
      </c>
      <c r="BR113">
        <f t="shared" si="215"/>
        <v>1</v>
      </c>
      <c r="BS113">
        <f t="shared" si="216"/>
        <v>1</v>
      </c>
      <c r="BT113">
        <f t="shared" si="217"/>
        <v>1</v>
      </c>
      <c r="BU113">
        <f t="shared" si="218"/>
        <v>1</v>
      </c>
      <c r="BV113">
        <f t="shared" si="219"/>
        <v>1</v>
      </c>
      <c r="BW113">
        <f t="shared" si="220"/>
        <v>1</v>
      </c>
      <c r="BX113">
        <f t="shared" si="221"/>
        <v>0</v>
      </c>
      <c r="BY113">
        <f t="shared" si="222"/>
        <v>0</v>
      </c>
      <c r="BZ113">
        <f t="shared" si="223"/>
        <v>0</v>
      </c>
      <c r="CA113">
        <f t="shared" si="224"/>
        <v>0</v>
      </c>
      <c r="CB113">
        <f t="shared" si="225"/>
        <v>0</v>
      </c>
      <c r="CC113">
        <f t="shared" si="226"/>
        <v>0</v>
      </c>
      <c r="CD113">
        <f t="shared" si="227"/>
        <v>1</v>
      </c>
      <c r="CE113">
        <f t="shared" si="228"/>
        <v>1</v>
      </c>
      <c r="CF113">
        <f t="shared" si="229"/>
        <v>1</v>
      </c>
      <c r="CG113">
        <f t="shared" si="230"/>
        <v>1</v>
      </c>
      <c r="CH113">
        <f t="shared" si="231"/>
        <v>1</v>
      </c>
      <c r="CI113">
        <f t="shared" si="232"/>
        <v>1</v>
      </c>
      <c r="CJ113">
        <f t="shared" si="233"/>
        <v>0</v>
      </c>
      <c r="CK113">
        <f t="shared" si="234"/>
        <v>0</v>
      </c>
      <c r="CL113">
        <f t="shared" si="235"/>
        <v>0</v>
      </c>
      <c r="CM113">
        <f t="shared" si="236"/>
        <v>0</v>
      </c>
      <c r="CN113">
        <f t="shared" si="237"/>
        <v>0</v>
      </c>
      <c r="CO113">
        <f t="shared" si="238"/>
        <v>0</v>
      </c>
      <c r="CP113">
        <f t="shared" si="239"/>
        <v>1</v>
      </c>
      <c r="CQ113">
        <f t="shared" si="240"/>
        <v>1</v>
      </c>
      <c r="CR113">
        <f t="shared" si="241"/>
        <v>1</v>
      </c>
      <c r="CS113">
        <f t="shared" si="242"/>
        <v>1</v>
      </c>
      <c r="CT113">
        <f t="shared" si="243"/>
        <v>1</v>
      </c>
      <c r="CU113">
        <f t="shared" si="244"/>
        <v>1</v>
      </c>
      <c r="CV113">
        <f t="shared" si="245"/>
        <v>0</v>
      </c>
      <c r="CW113">
        <f t="shared" si="246"/>
        <v>0</v>
      </c>
      <c r="CX113">
        <f t="shared" si="247"/>
        <v>0</v>
      </c>
      <c r="CY113">
        <f t="shared" si="248"/>
        <v>0</v>
      </c>
      <c r="CZ113">
        <f t="shared" si="249"/>
        <v>0</v>
      </c>
      <c r="DA113">
        <f t="shared" si="250"/>
        <v>0</v>
      </c>
      <c r="DB113">
        <f t="shared" si="251"/>
        <v>1</v>
      </c>
      <c r="DC113">
        <f t="shared" si="252"/>
        <v>1</v>
      </c>
      <c r="DF113" s="10" t="s">
        <v>37</v>
      </c>
      <c r="DG113" t="str">
        <f t="shared" si="312"/>
        <v>2022_5</v>
      </c>
      <c r="DH113" t="str">
        <f t="shared" si="312"/>
        <v>2022_5</v>
      </c>
      <c r="DI113" t="str">
        <f t="shared" si="312"/>
        <v>2022_5</v>
      </c>
      <c r="DJ113" t="str">
        <f t="shared" si="312"/>
        <v>2022_5</v>
      </c>
      <c r="DK113" t="str">
        <f t="shared" si="312"/>
        <v>2022_5</v>
      </c>
      <c r="DL113" t="str">
        <f t="shared" si="312"/>
        <v>2022_5</v>
      </c>
      <c r="DM113" t="str">
        <f t="shared" si="312"/>
        <v>2022_5</v>
      </c>
      <c r="DN113" t="str">
        <f t="shared" si="312"/>
        <v>2022_5</v>
      </c>
      <c r="DO113" t="str">
        <f t="shared" si="312"/>
        <v>2022_5</v>
      </c>
      <c r="DP113" t="str">
        <f t="shared" si="312"/>
        <v>2022_5</v>
      </c>
      <c r="DQ113" t="str">
        <f t="shared" si="312"/>
        <v>2022_5</v>
      </c>
      <c r="DR113" t="str">
        <f t="shared" si="312"/>
        <v>2022_5</v>
      </c>
      <c r="DS113" t="str">
        <f t="shared" si="312"/>
        <v>2022_5</v>
      </c>
      <c r="DT113" t="str">
        <f t="shared" si="312"/>
        <v>2022_5</v>
      </c>
      <c r="DU113" t="str">
        <f t="shared" si="312"/>
        <v>2022_5</v>
      </c>
      <c r="DV113" t="str">
        <f t="shared" si="310"/>
        <v>2022_5</v>
      </c>
      <c r="DW113" t="str">
        <f t="shared" si="310"/>
        <v>2022_5</v>
      </c>
      <c r="DX113" t="str">
        <f t="shared" si="310"/>
        <v>2022_5</v>
      </c>
      <c r="DY113" t="str">
        <f t="shared" si="310"/>
        <v>2022_5</v>
      </c>
      <c r="DZ113" t="str">
        <f t="shared" si="310"/>
        <v>2022_5</v>
      </c>
      <c r="EA113" t="str">
        <f t="shared" si="310"/>
        <v>2022_5</v>
      </c>
      <c r="EB113" t="str">
        <f t="shared" si="310"/>
        <v>2022_5</v>
      </c>
      <c r="EC113" t="str">
        <f t="shared" si="310"/>
        <v>2022_5</v>
      </c>
      <c r="ED113" t="str">
        <f t="shared" si="310"/>
        <v>2022_5</v>
      </c>
      <c r="EE113" t="str">
        <f t="shared" si="310"/>
        <v>2022_5</v>
      </c>
      <c r="EF113" t="str">
        <f t="shared" si="310"/>
        <v>2022_5</v>
      </c>
      <c r="EG113" t="str">
        <f t="shared" si="310"/>
        <v>2022_5</v>
      </c>
      <c r="EH113" t="str">
        <f t="shared" si="310"/>
        <v>2022_5</v>
      </c>
      <c r="EI113" t="str">
        <f t="shared" si="310"/>
        <v>2022_5</v>
      </c>
      <c r="EJ113" t="str">
        <f t="shared" si="310"/>
        <v>2022_5</v>
      </c>
      <c r="EK113" t="str">
        <f t="shared" si="310"/>
        <v>2022_5</v>
      </c>
      <c r="EL113" t="str">
        <f t="shared" si="311"/>
        <v>2022_5</v>
      </c>
      <c r="EM113" t="str">
        <f t="shared" si="309"/>
        <v>2022_5</v>
      </c>
      <c r="EN113" t="str">
        <f t="shared" si="309"/>
        <v>2022_5</v>
      </c>
      <c r="EO113" t="str">
        <f t="shared" si="309"/>
        <v>2022_5</v>
      </c>
      <c r="EP113" t="str">
        <f t="shared" si="309"/>
        <v>2022_5</v>
      </c>
      <c r="EQ113" t="str">
        <f t="shared" si="309"/>
        <v>2022_5</v>
      </c>
      <c r="ER113" t="str">
        <f t="shared" si="309"/>
        <v>2022_5</v>
      </c>
      <c r="ES113" t="str">
        <f t="shared" si="309"/>
        <v>2022_5</v>
      </c>
      <c r="ET113" t="str">
        <f t="shared" si="309"/>
        <v>2022_5</v>
      </c>
      <c r="EU113" t="str">
        <f t="shared" si="309"/>
        <v>2022_5</v>
      </c>
      <c r="EV113" t="str">
        <f t="shared" si="309"/>
        <v>2022_5</v>
      </c>
      <c r="EW113" t="str">
        <f t="shared" si="309"/>
        <v>2022_5</v>
      </c>
      <c r="EX113" t="str">
        <f t="shared" si="309"/>
        <v>2022_5</v>
      </c>
      <c r="EY113" t="str">
        <f t="shared" si="309"/>
        <v>2022_5</v>
      </c>
      <c r="FB113" s="10" t="s">
        <v>37</v>
      </c>
      <c r="FC113">
        <f t="shared" si="305"/>
        <v>0</v>
      </c>
      <c r="FD113">
        <f t="shared" si="255"/>
        <v>0</v>
      </c>
      <c r="FE113">
        <f t="shared" si="256"/>
        <v>0</v>
      </c>
      <c r="FF113">
        <f t="shared" si="257"/>
        <v>0</v>
      </c>
      <c r="FG113">
        <f t="shared" si="258"/>
        <v>0</v>
      </c>
      <c r="FH113">
        <f t="shared" si="259"/>
        <v>0</v>
      </c>
      <c r="FI113">
        <f t="shared" si="260"/>
        <v>0</v>
      </c>
      <c r="FJ113">
        <f t="shared" si="261"/>
        <v>0</v>
      </c>
      <c r="FK113">
        <f t="shared" si="262"/>
        <v>0</v>
      </c>
      <c r="FL113">
        <f t="shared" si="263"/>
        <v>0</v>
      </c>
      <c r="FM113">
        <f t="shared" si="264"/>
        <v>0</v>
      </c>
      <c r="FN113">
        <f t="shared" si="265"/>
        <v>0</v>
      </c>
      <c r="FO113">
        <f t="shared" si="266"/>
        <v>0</v>
      </c>
      <c r="FP113">
        <f t="shared" si="267"/>
        <v>0</v>
      </c>
      <c r="FQ113">
        <f t="shared" si="268"/>
        <v>0</v>
      </c>
      <c r="FR113">
        <f t="shared" si="269"/>
        <v>0</v>
      </c>
      <c r="FS113">
        <f t="shared" si="270"/>
        <v>0</v>
      </c>
      <c r="FT113">
        <f t="shared" si="271"/>
        <v>0</v>
      </c>
      <c r="FU113">
        <f t="shared" si="272"/>
        <v>0</v>
      </c>
      <c r="FV113">
        <f t="shared" si="273"/>
        <v>0</v>
      </c>
      <c r="FW113">
        <f t="shared" si="274"/>
        <v>0</v>
      </c>
      <c r="FX113">
        <f t="shared" si="275"/>
        <v>0</v>
      </c>
      <c r="FY113">
        <f t="shared" si="276"/>
        <v>0</v>
      </c>
      <c r="FZ113">
        <f t="shared" si="277"/>
        <v>0</v>
      </c>
      <c r="GA113">
        <f t="shared" si="278"/>
        <v>0</v>
      </c>
      <c r="GB113">
        <f t="shared" si="279"/>
        <v>1</v>
      </c>
      <c r="GC113">
        <f t="shared" si="280"/>
        <v>1</v>
      </c>
      <c r="GD113">
        <f t="shared" si="281"/>
        <v>1</v>
      </c>
      <c r="GE113">
        <f t="shared" si="282"/>
        <v>1</v>
      </c>
      <c r="GF113">
        <f t="shared" si="283"/>
        <v>1</v>
      </c>
      <c r="GG113">
        <f t="shared" si="284"/>
        <v>1</v>
      </c>
      <c r="GH113">
        <f t="shared" si="285"/>
        <v>1</v>
      </c>
      <c r="GI113">
        <f t="shared" si="286"/>
        <v>1</v>
      </c>
      <c r="GJ113">
        <f t="shared" si="287"/>
        <v>1</v>
      </c>
      <c r="GK113">
        <f t="shared" si="288"/>
        <v>1</v>
      </c>
      <c r="GL113">
        <f t="shared" si="289"/>
        <v>1</v>
      </c>
      <c r="GM113">
        <f t="shared" si="290"/>
        <v>1</v>
      </c>
      <c r="GN113">
        <f t="shared" si="291"/>
        <v>1</v>
      </c>
      <c r="GO113">
        <f t="shared" si="292"/>
        <v>1</v>
      </c>
      <c r="GP113">
        <f t="shared" si="293"/>
        <v>1</v>
      </c>
      <c r="GQ113">
        <f t="shared" si="294"/>
        <v>1</v>
      </c>
      <c r="GR113">
        <f t="shared" si="295"/>
        <v>1</v>
      </c>
      <c r="GS113">
        <f t="shared" si="296"/>
        <v>1</v>
      </c>
      <c r="GT113">
        <f t="shared" si="297"/>
        <v>1</v>
      </c>
      <c r="GU113">
        <f t="shared" si="298"/>
        <v>1</v>
      </c>
      <c r="GX113" s="10"/>
    </row>
    <row r="114" spans="1:206" x14ac:dyDescent="0.3">
      <c r="A114" s="9" t="s">
        <v>148</v>
      </c>
      <c r="B114" s="80"/>
      <c r="C114" s="9">
        <v>3120089000</v>
      </c>
      <c r="D114" s="9" t="s">
        <v>419</v>
      </c>
      <c r="E114" s="9" t="s">
        <v>39</v>
      </c>
      <c r="F114" s="9" t="s">
        <v>35</v>
      </c>
      <c r="G114" s="9" t="s">
        <v>149</v>
      </c>
      <c r="H114" s="10">
        <v>44701</v>
      </c>
      <c r="I114" s="9">
        <f t="shared" si="299"/>
        <v>2022</v>
      </c>
      <c r="J114" s="9">
        <f t="shared" si="300"/>
        <v>5</v>
      </c>
      <c r="K114" s="9" t="str">
        <f t="shared" si="301"/>
        <v>2022_5</v>
      </c>
      <c r="L114">
        <f>MAX(0,VLOOKUP($K114,lookups!$A$1:$B$45,2,0)-12)</f>
        <v>13</v>
      </c>
      <c r="M114" s="40">
        <f t="shared" si="302"/>
        <v>44682</v>
      </c>
      <c r="N114" s="10" t="s">
        <v>37</v>
      </c>
      <c r="O114" t="str">
        <f ca="1">IF(OR($L114&gt;O$4,O$4&gt;$L114+23),"",OFFSET(Electric!$L105,0,-'Electric Calendarize'!$L114+'Electric Calendarize'!O$4+1))</f>
        <v/>
      </c>
      <c r="P114" t="str">
        <f ca="1">IF(OR($L114&gt;P$4,P$4&gt;$L114+23),"",OFFSET(Electric!$L105,0,-'Electric Calendarize'!$L114+'Electric Calendarize'!P$4+1))</f>
        <v/>
      </c>
      <c r="Q114" t="str">
        <f ca="1">IF(OR($L114&gt;Q$4,Q$4&gt;$L114+23),"",OFFSET(Electric!$L105,0,-'Electric Calendarize'!$L114+'Electric Calendarize'!Q$4+1))</f>
        <v/>
      </c>
      <c r="R114" t="str">
        <f ca="1">IF(OR($L114&gt;R$4,R$4&gt;$L114+23),"",OFFSET(Electric!$L105,0,-'Electric Calendarize'!$L114+'Electric Calendarize'!R$4+1))</f>
        <v/>
      </c>
      <c r="S114" t="str">
        <f ca="1">IF(OR($L114&gt;S$4,S$4&gt;$L114+23),"",OFFSET(Electric!$L105,0,-'Electric Calendarize'!$L114+'Electric Calendarize'!S$4+1))</f>
        <v/>
      </c>
      <c r="T114" t="str">
        <f ca="1">IF(OR($L114&gt;T$4,T$4&gt;$L114+23),"",OFFSET(Electric!$L105,0,-'Electric Calendarize'!$L114+'Electric Calendarize'!T$4+1))</f>
        <v/>
      </c>
      <c r="U114" t="str">
        <f ca="1">IF(OR($L114&gt;U$4,U$4&gt;$L114+23),"",OFFSET(Electric!$L105,0,-'Electric Calendarize'!$L114+'Electric Calendarize'!U$4+1))</f>
        <v/>
      </c>
      <c r="V114" t="str">
        <f ca="1">IF(OR($L114&gt;V$4,V$4&gt;$L114+23),"",OFFSET(Electric!$L105,0,-'Electric Calendarize'!$L114+'Electric Calendarize'!V$4+1))</f>
        <v/>
      </c>
      <c r="W114" t="str">
        <f ca="1">IF(OR($L114&gt;W$4,W$4&gt;$L114+23),"",OFFSET(Electric!$L105,0,-'Electric Calendarize'!$L114+'Electric Calendarize'!W$4+1))</f>
        <v/>
      </c>
      <c r="X114" t="str">
        <f ca="1">IF(OR($L114&gt;X$4,X$4&gt;$L114+23),"",OFFSET(Electric!$L105,0,-'Electric Calendarize'!$L114+'Electric Calendarize'!X$4+1))</f>
        <v/>
      </c>
      <c r="Y114" t="str">
        <f ca="1">IF(OR($L114&gt;Y$4,Y$4&gt;$L114+23),"",OFFSET(Electric!$L105,0,-'Electric Calendarize'!$L114+'Electric Calendarize'!Y$4+1))</f>
        <v/>
      </c>
      <c r="Z114" t="str">
        <f ca="1">IF(OR($L114&gt;Z$4,Z$4&gt;$L114+23),"",OFFSET(Electric!$L105,0,-'Electric Calendarize'!$L114+'Electric Calendarize'!Z$4+1))</f>
        <v/>
      </c>
      <c r="AA114" t="str">
        <f ca="1">IF(OR($L114&gt;AA$4,AA$4&gt;$L114+23),"",OFFSET(Electric!$L105,0,-'Electric Calendarize'!$L114+'Electric Calendarize'!AA$4+1))</f>
        <v/>
      </c>
      <c r="AB114">
        <f ca="1">IF(OR($L114&gt;AB$4,AB$4&gt;$L114+23),"",OFFSET(Electric!$L105,0,-'Electric Calendarize'!$L114+'Electric Calendarize'!AB$4+1))</f>
        <v>486</v>
      </c>
      <c r="AC114">
        <f ca="1">IF(OR($L114&gt;AC$4,AC$4&gt;$L114+23),"",OFFSET(Electric!$L105,0,-'Electric Calendarize'!$L114+'Electric Calendarize'!AC$4+1))</f>
        <v>465</v>
      </c>
      <c r="AD114">
        <f ca="1">IF(OR($L114&gt;AD$4,AD$4&gt;$L114+23),"",OFFSET(Electric!$L105,0,-'Electric Calendarize'!$L114+'Electric Calendarize'!AD$4+1))</f>
        <v>692</v>
      </c>
      <c r="AE114">
        <f ca="1">IF(OR($L114&gt;AE$4,AE$4&gt;$L114+23),"",OFFSET(Electric!$L105,0,-'Electric Calendarize'!$L114+'Electric Calendarize'!AE$4+1))</f>
        <v>612</v>
      </c>
      <c r="AF114">
        <f ca="1">IF(OR($L114&gt;AF$4,AF$4&gt;$L114+23),"",OFFSET(Electric!$L105,0,-'Electric Calendarize'!$L114+'Electric Calendarize'!AF$4+1))</f>
        <v>644</v>
      </c>
      <c r="AG114">
        <f ca="1">IF(OR($L114&gt;AG$4,AG$4&gt;$L114+23),"",OFFSET(Electric!$L105,0,-'Electric Calendarize'!$L114+'Electric Calendarize'!AG$4+1))</f>
        <v>376</v>
      </c>
      <c r="AH114">
        <f ca="1">IF(OR($L114&gt;AH$4,AH$4&gt;$L114+23),"",OFFSET(Electric!$L105,0,-'Electric Calendarize'!$L114+'Electric Calendarize'!AH$4+1))</f>
        <v>513</v>
      </c>
      <c r="AI114">
        <f ca="1">IF(OR($L114&gt;AI$4,AI$4&gt;$L114+23),"",OFFSET(Electric!$L105,0,-'Electric Calendarize'!$L114+'Electric Calendarize'!AI$4+1))</f>
        <v>607</v>
      </c>
      <c r="AJ114">
        <f ca="1">IF(OR($L114&gt;AJ$4,AJ$4&gt;$L114+23),"",OFFSET(Electric!$L105,0,-'Electric Calendarize'!$L114+'Electric Calendarize'!AJ$4+1))</f>
        <v>587</v>
      </c>
      <c r="AK114">
        <f ca="1">IF(OR($L114&gt;AK$4,AK$4&gt;$L114+23),"",OFFSET(Electric!$L105,0,-'Electric Calendarize'!$L114+'Electric Calendarize'!AK$4+1))</f>
        <v>582</v>
      </c>
      <c r="AL114">
        <f ca="1">IF(OR($L114&gt;AL$4,AL$4&gt;$L114+23),"",OFFSET(Electric!$L105,0,-'Electric Calendarize'!$L114+'Electric Calendarize'!AL$4+1))</f>
        <v>524</v>
      </c>
      <c r="AM114">
        <f ca="1">IF(OR($L114&gt;AM$4,AM$4&gt;$L114+23),"",OFFSET(Electric!$L105,0,-'Electric Calendarize'!$L114+'Electric Calendarize'!AM$4+1))</f>
        <v>460</v>
      </c>
      <c r="AN114">
        <f ca="1">IF(OR($L114&gt;AN$4,AN$4&gt;$L114+23),"",OFFSET(Electric!$L105,0,-'Electric Calendarize'!$L114+'Electric Calendarize'!AN$4+1))</f>
        <v>526</v>
      </c>
      <c r="AO114">
        <f ca="1">IF(OR($L114&gt;AO$4,AO$4&gt;$L114+23),"",OFFSET(Electric!$L105,0,-'Electric Calendarize'!$L114+'Electric Calendarize'!AO$4+1))</f>
        <v>419</v>
      </c>
      <c r="AP114">
        <f ca="1">IF(OR($L114&gt;AP$4,AP$4&gt;$L114+23),"",OFFSET(Electric!$L105,0,-'Electric Calendarize'!$L114+'Electric Calendarize'!AP$4+1))</f>
        <v>493</v>
      </c>
      <c r="AQ114">
        <f ca="1">IF(OR($L114&gt;AQ$4,AQ$4&gt;$L114+23),"",OFFSET(Electric!$L105,0,-'Electric Calendarize'!$L114+'Electric Calendarize'!AQ$4+1))</f>
        <v>601</v>
      </c>
      <c r="AR114">
        <f ca="1">IF(OR($L114&gt;AR$4,AR$4&gt;$L114+23),"",OFFSET(Electric!$L105,0,-'Electric Calendarize'!$L114+'Electric Calendarize'!AR$4+1))</f>
        <v>444</v>
      </c>
      <c r="AS114">
        <f ca="1">IF(OR($L114&gt;AS$4,AS$4&gt;$L114+23),"",OFFSET(Electric!$L105,0,-'Electric Calendarize'!$L114+'Electric Calendarize'!AS$4+1))</f>
        <v>587</v>
      </c>
      <c r="AT114">
        <f ca="1">IF(OR($L114&gt;AT$4,AT$4&gt;$L114+23),"",OFFSET(Electric!$L105,0,-'Electric Calendarize'!$L114+'Electric Calendarize'!AT$4+1))</f>
        <v>657</v>
      </c>
      <c r="AU114">
        <f ca="1">IF(OR($L114&gt;AU$4,AU$4&gt;$L114+23),"",OFFSET(Electric!$L105,0,-'Electric Calendarize'!$L114+'Electric Calendarize'!AU$4+1))</f>
        <v>751</v>
      </c>
      <c r="AV114">
        <f ca="1">IF(OR($L114&gt;AV$4,AV$4&gt;$L114+23),"",OFFSET(Electric!$L105,0,-'Electric Calendarize'!$L114+'Electric Calendarize'!AV$4+1))</f>
        <v>962</v>
      </c>
      <c r="AW114">
        <f ca="1">IF(OR($L114&gt;AW$4,AW$4&gt;$L114+23),"",OFFSET(Electric!$L105,0,-'Electric Calendarize'!$L114+'Electric Calendarize'!AW$4+1))</f>
        <v>946</v>
      </c>
      <c r="AX114">
        <f ca="1">IF(OR($L114&gt;AX$4,AX$4&gt;$L114+23),"",OFFSET(Electric!$L105,0,-'Electric Calendarize'!$L114+'Electric Calendarize'!AX$4+1))</f>
        <v>907</v>
      </c>
      <c r="AY114">
        <f ca="1">IF(OR($L114&gt;AY$4,AY$4&gt;$L114+23),"",OFFSET(Electric!$L105,0,-'Electric Calendarize'!$L114+'Electric Calendarize'!AY$4+1))</f>
        <v>633</v>
      </c>
      <c r="AZ114" t="str">
        <f ca="1">IF(OR($L114&gt;AZ$4,AZ$4&gt;$L114+23),"",OFFSET(Electric!$L105,0,-'Electric Calendarize'!$L114+'Electric Calendarize'!AZ$4+1))</f>
        <v/>
      </c>
      <c r="BA114" t="str">
        <f ca="1">IF(OR($L114&gt;BA$4,BA$4&gt;$L114+23),"",OFFSET(Electric!$L105,0,-'Electric Calendarize'!$L114+'Electric Calendarize'!BA$4+1))</f>
        <v/>
      </c>
      <c r="BB114" t="str">
        <f ca="1">IF(OR($L114&gt;BB$4,BB$4&gt;$L114+23),"",OFFSET(Electric!$L105,0,-'Electric Calendarize'!$L114+'Electric Calendarize'!BB$4+1))</f>
        <v/>
      </c>
      <c r="BC114" t="str">
        <f ca="1">IF(OR($L114&gt;BC$4,BC$4&gt;$L114+23),"",OFFSET(Electric!$L105,0,-'Electric Calendarize'!$L114+'Electric Calendarize'!BC$4+1))</f>
        <v/>
      </c>
      <c r="BD114" t="str">
        <f ca="1">IF(OR($L114&gt;BD$4,BD$4&gt;$L114+23),"",OFFSET(Electric!$L105,0,-'Electric Calendarize'!$L114+'Electric Calendarize'!BD$4+1))</f>
        <v/>
      </c>
      <c r="BE114" t="str">
        <f ca="1">IF(OR($L114&gt;BE$4,BE$4&gt;$L114+23),"",OFFSET(Electric!$L105,0,-'Electric Calendarize'!$L114+'Electric Calendarize'!BE$4+1))</f>
        <v/>
      </c>
      <c r="BF114" t="str">
        <f ca="1">IF(OR($L114&gt;BF$4,BF$4&gt;$L114+23),"",OFFSET(Electric!$L105,0,-'Electric Calendarize'!$L114+'Electric Calendarize'!BF$4+1))</f>
        <v/>
      </c>
      <c r="BG114" t="str">
        <f ca="1">IF(OR($L114&gt;BG$4,BG$4&gt;$L114+23),"",OFFSET(Electric!$L105,0,-'Electric Calendarize'!$L114+'Electric Calendarize'!BG$4+1))</f>
        <v/>
      </c>
      <c r="BJ114" s="10" t="s">
        <v>37</v>
      </c>
      <c r="BK114">
        <f t="shared" si="303"/>
        <v>1</v>
      </c>
      <c r="BL114">
        <f t="shared" si="209"/>
        <v>0</v>
      </c>
      <c r="BM114">
        <f t="shared" si="210"/>
        <v>0</v>
      </c>
      <c r="BN114">
        <f t="shared" si="211"/>
        <v>0</v>
      </c>
      <c r="BO114">
        <f t="shared" si="212"/>
        <v>0</v>
      </c>
      <c r="BP114">
        <f t="shared" si="213"/>
        <v>0</v>
      </c>
      <c r="BQ114">
        <f t="shared" si="214"/>
        <v>0</v>
      </c>
      <c r="BR114">
        <f t="shared" si="215"/>
        <v>1</v>
      </c>
      <c r="BS114">
        <f t="shared" si="216"/>
        <v>1</v>
      </c>
      <c r="BT114">
        <f t="shared" si="217"/>
        <v>1</v>
      </c>
      <c r="BU114">
        <f t="shared" si="218"/>
        <v>1</v>
      </c>
      <c r="BV114">
        <f t="shared" si="219"/>
        <v>1</v>
      </c>
      <c r="BW114">
        <f t="shared" si="220"/>
        <v>1</v>
      </c>
      <c r="BX114">
        <f t="shared" si="221"/>
        <v>0</v>
      </c>
      <c r="BY114">
        <f t="shared" si="222"/>
        <v>0</v>
      </c>
      <c r="BZ114">
        <f t="shared" si="223"/>
        <v>0</v>
      </c>
      <c r="CA114">
        <f t="shared" si="224"/>
        <v>0</v>
      </c>
      <c r="CB114">
        <f t="shared" si="225"/>
        <v>0</v>
      </c>
      <c r="CC114">
        <f t="shared" si="226"/>
        <v>0</v>
      </c>
      <c r="CD114">
        <f t="shared" si="227"/>
        <v>1</v>
      </c>
      <c r="CE114">
        <f t="shared" si="228"/>
        <v>1</v>
      </c>
      <c r="CF114">
        <f t="shared" si="229"/>
        <v>1</v>
      </c>
      <c r="CG114">
        <f t="shared" si="230"/>
        <v>1</v>
      </c>
      <c r="CH114">
        <f t="shared" si="231"/>
        <v>1</v>
      </c>
      <c r="CI114">
        <f t="shared" si="232"/>
        <v>1</v>
      </c>
      <c r="CJ114">
        <f t="shared" si="233"/>
        <v>0</v>
      </c>
      <c r="CK114">
        <f t="shared" si="234"/>
        <v>0</v>
      </c>
      <c r="CL114">
        <f t="shared" si="235"/>
        <v>0</v>
      </c>
      <c r="CM114">
        <f t="shared" si="236"/>
        <v>0</v>
      </c>
      <c r="CN114">
        <f t="shared" si="237"/>
        <v>0</v>
      </c>
      <c r="CO114">
        <f t="shared" si="238"/>
        <v>0</v>
      </c>
      <c r="CP114">
        <f t="shared" si="239"/>
        <v>1</v>
      </c>
      <c r="CQ114">
        <f t="shared" si="240"/>
        <v>1</v>
      </c>
      <c r="CR114">
        <f t="shared" si="241"/>
        <v>1</v>
      </c>
      <c r="CS114">
        <f t="shared" si="242"/>
        <v>1</v>
      </c>
      <c r="CT114">
        <f t="shared" si="243"/>
        <v>1</v>
      </c>
      <c r="CU114">
        <f t="shared" si="244"/>
        <v>1</v>
      </c>
      <c r="CV114">
        <f t="shared" si="245"/>
        <v>0</v>
      </c>
      <c r="CW114">
        <f t="shared" si="246"/>
        <v>0</v>
      </c>
      <c r="CX114">
        <f t="shared" si="247"/>
        <v>0</v>
      </c>
      <c r="CY114">
        <f t="shared" si="248"/>
        <v>0</v>
      </c>
      <c r="CZ114">
        <f t="shared" si="249"/>
        <v>0</v>
      </c>
      <c r="DA114">
        <f t="shared" si="250"/>
        <v>0</v>
      </c>
      <c r="DB114">
        <f t="shared" si="251"/>
        <v>1</v>
      </c>
      <c r="DC114">
        <f t="shared" si="252"/>
        <v>1</v>
      </c>
      <c r="DF114" s="10" t="s">
        <v>37</v>
      </c>
      <c r="DG114" t="str">
        <f t="shared" si="312"/>
        <v>2022_5</v>
      </c>
      <c r="DH114" t="str">
        <f t="shared" si="312"/>
        <v>2022_5</v>
      </c>
      <c r="DI114" t="str">
        <f t="shared" si="312"/>
        <v>2022_5</v>
      </c>
      <c r="DJ114" t="str">
        <f t="shared" si="312"/>
        <v>2022_5</v>
      </c>
      <c r="DK114" t="str">
        <f t="shared" si="312"/>
        <v>2022_5</v>
      </c>
      <c r="DL114" t="str">
        <f t="shared" si="312"/>
        <v>2022_5</v>
      </c>
      <c r="DM114" t="str">
        <f t="shared" si="312"/>
        <v>2022_5</v>
      </c>
      <c r="DN114" t="str">
        <f t="shared" si="312"/>
        <v>2022_5</v>
      </c>
      <c r="DO114" t="str">
        <f t="shared" si="312"/>
        <v>2022_5</v>
      </c>
      <c r="DP114" t="str">
        <f t="shared" si="312"/>
        <v>2022_5</v>
      </c>
      <c r="DQ114" t="str">
        <f t="shared" si="312"/>
        <v>2022_5</v>
      </c>
      <c r="DR114" t="str">
        <f t="shared" si="312"/>
        <v>2022_5</v>
      </c>
      <c r="DS114" t="str">
        <f t="shared" si="312"/>
        <v>2022_5</v>
      </c>
      <c r="DT114" t="str">
        <f t="shared" si="312"/>
        <v>2022_5</v>
      </c>
      <c r="DU114" t="str">
        <f t="shared" si="312"/>
        <v>2022_5</v>
      </c>
      <c r="DV114" t="str">
        <f t="shared" si="310"/>
        <v>2022_5</v>
      </c>
      <c r="DW114" t="str">
        <f t="shared" si="310"/>
        <v>2022_5</v>
      </c>
      <c r="DX114" t="str">
        <f t="shared" si="310"/>
        <v>2022_5</v>
      </c>
      <c r="DY114" t="str">
        <f t="shared" si="310"/>
        <v>2022_5</v>
      </c>
      <c r="DZ114" t="str">
        <f t="shared" si="310"/>
        <v>2022_5</v>
      </c>
      <c r="EA114" t="str">
        <f t="shared" si="310"/>
        <v>2022_5</v>
      </c>
      <c r="EB114" t="str">
        <f t="shared" si="310"/>
        <v>2022_5</v>
      </c>
      <c r="EC114" t="str">
        <f t="shared" si="310"/>
        <v>2022_5</v>
      </c>
      <c r="ED114" t="str">
        <f t="shared" si="310"/>
        <v>2022_5</v>
      </c>
      <c r="EE114" t="str">
        <f t="shared" si="310"/>
        <v>2022_5</v>
      </c>
      <c r="EF114" t="str">
        <f t="shared" si="310"/>
        <v>2022_5</v>
      </c>
      <c r="EG114" t="str">
        <f t="shared" si="310"/>
        <v>2022_5</v>
      </c>
      <c r="EH114" t="str">
        <f t="shared" si="310"/>
        <v>2022_5</v>
      </c>
      <c r="EI114" t="str">
        <f t="shared" si="310"/>
        <v>2022_5</v>
      </c>
      <c r="EJ114" t="str">
        <f t="shared" si="310"/>
        <v>2022_5</v>
      </c>
      <c r="EK114" t="str">
        <f t="shared" si="310"/>
        <v>2022_5</v>
      </c>
      <c r="EL114" t="str">
        <f t="shared" si="311"/>
        <v>2022_5</v>
      </c>
      <c r="EM114" t="str">
        <f t="shared" si="309"/>
        <v>2022_5</v>
      </c>
      <c r="EN114" t="str">
        <f t="shared" si="309"/>
        <v>2022_5</v>
      </c>
      <c r="EO114" t="str">
        <f t="shared" si="309"/>
        <v>2022_5</v>
      </c>
      <c r="EP114" t="str">
        <f t="shared" si="309"/>
        <v>2022_5</v>
      </c>
      <c r="EQ114" t="str">
        <f t="shared" si="309"/>
        <v>2022_5</v>
      </c>
      <c r="ER114" t="str">
        <f t="shared" si="309"/>
        <v>2022_5</v>
      </c>
      <c r="ES114" t="str">
        <f t="shared" si="309"/>
        <v>2022_5</v>
      </c>
      <c r="ET114" t="str">
        <f t="shared" si="309"/>
        <v>2022_5</v>
      </c>
      <c r="EU114" t="str">
        <f t="shared" si="309"/>
        <v>2022_5</v>
      </c>
      <c r="EV114" t="str">
        <f t="shared" si="309"/>
        <v>2022_5</v>
      </c>
      <c r="EW114" t="str">
        <f t="shared" si="309"/>
        <v>2022_5</v>
      </c>
      <c r="EX114" t="str">
        <f t="shared" si="309"/>
        <v>2022_5</v>
      </c>
      <c r="EY114" t="str">
        <f t="shared" si="309"/>
        <v>2022_5</v>
      </c>
      <c r="FB114" s="10" t="s">
        <v>37</v>
      </c>
      <c r="FC114">
        <f t="shared" si="305"/>
        <v>0</v>
      </c>
      <c r="FD114">
        <f t="shared" si="255"/>
        <v>0</v>
      </c>
      <c r="FE114">
        <f t="shared" si="256"/>
        <v>0</v>
      </c>
      <c r="FF114">
        <f t="shared" si="257"/>
        <v>0</v>
      </c>
      <c r="FG114">
        <f t="shared" si="258"/>
        <v>0</v>
      </c>
      <c r="FH114">
        <f t="shared" si="259"/>
        <v>0</v>
      </c>
      <c r="FI114">
        <f t="shared" si="260"/>
        <v>0</v>
      </c>
      <c r="FJ114">
        <f t="shared" si="261"/>
        <v>0</v>
      </c>
      <c r="FK114">
        <f t="shared" si="262"/>
        <v>0</v>
      </c>
      <c r="FL114">
        <f t="shared" si="263"/>
        <v>0</v>
      </c>
      <c r="FM114">
        <f t="shared" si="264"/>
        <v>0</v>
      </c>
      <c r="FN114">
        <f t="shared" si="265"/>
        <v>0</v>
      </c>
      <c r="FO114">
        <f t="shared" si="266"/>
        <v>0</v>
      </c>
      <c r="FP114">
        <f t="shared" si="267"/>
        <v>0</v>
      </c>
      <c r="FQ114">
        <f t="shared" si="268"/>
        <v>0</v>
      </c>
      <c r="FR114">
        <f t="shared" si="269"/>
        <v>0</v>
      </c>
      <c r="FS114">
        <f t="shared" si="270"/>
        <v>0</v>
      </c>
      <c r="FT114">
        <f t="shared" si="271"/>
        <v>0</v>
      </c>
      <c r="FU114">
        <f t="shared" si="272"/>
        <v>0</v>
      </c>
      <c r="FV114">
        <f t="shared" si="273"/>
        <v>0</v>
      </c>
      <c r="FW114">
        <f t="shared" si="274"/>
        <v>0</v>
      </c>
      <c r="FX114">
        <f t="shared" si="275"/>
        <v>0</v>
      </c>
      <c r="FY114">
        <f t="shared" si="276"/>
        <v>0</v>
      </c>
      <c r="FZ114">
        <f t="shared" si="277"/>
        <v>0</v>
      </c>
      <c r="GA114">
        <f t="shared" si="278"/>
        <v>0</v>
      </c>
      <c r="GB114">
        <f t="shared" si="279"/>
        <v>1</v>
      </c>
      <c r="GC114">
        <f t="shared" si="280"/>
        <v>1</v>
      </c>
      <c r="GD114">
        <f t="shared" si="281"/>
        <v>1</v>
      </c>
      <c r="GE114">
        <f t="shared" si="282"/>
        <v>1</v>
      </c>
      <c r="GF114">
        <f t="shared" si="283"/>
        <v>1</v>
      </c>
      <c r="GG114">
        <f t="shared" si="284"/>
        <v>1</v>
      </c>
      <c r="GH114">
        <f t="shared" si="285"/>
        <v>1</v>
      </c>
      <c r="GI114">
        <f t="shared" si="286"/>
        <v>1</v>
      </c>
      <c r="GJ114">
        <f t="shared" si="287"/>
        <v>1</v>
      </c>
      <c r="GK114">
        <f t="shared" si="288"/>
        <v>1</v>
      </c>
      <c r="GL114">
        <f t="shared" si="289"/>
        <v>1</v>
      </c>
      <c r="GM114">
        <f t="shared" si="290"/>
        <v>1</v>
      </c>
      <c r="GN114">
        <f t="shared" si="291"/>
        <v>1</v>
      </c>
      <c r="GO114">
        <f t="shared" si="292"/>
        <v>1</v>
      </c>
      <c r="GP114">
        <f t="shared" si="293"/>
        <v>1</v>
      </c>
      <c r="GQ114">
        <f t="shared" si="294"/>
        <v>1</v>
      </c>
      <c r="GR114">
        <f t="shared" si="295"/>
        <v>1</v>
      </c>
      <c r="GS114">
        <f t="shared" si="296"/>
        <v>1</v>
      </c>
      <c r="GT114">
        <f t="shared" si="297"/>
        <v>1</v>
      </c>
      <c r="GU114">
        <f t="shared" si="298"/>
        <v>1</v>
      </c>
      <c r="GX114" s="10"/>
    </row>
    <row r="115" spans="1:206" x14ac:dyDescent="0.3">
      <c r="A115" s="9" t="s">
        <v>124</v>
      </c>
      <c r="B115" s="80"/>
      <c r="C115" s="9">
        <v>3131349002</v>
      </c>
      <c r="D115" s="9" t="s">
        <v>436</v>
      </c>
      <c r="E115" s="9" t="s">
        <v>43</v>
      </c>
      <c r="F115" s="9" t="s">
        <v>35</v>
      </c>
      <c r="G115" s="9" t="s">
        <v>150</v>
      </c>
      <c r="H115" s="10">
        <v>44701</v>
      </c>
      <c r="I115" s="9">
        <f t="shared" si="299"/>
        <v>2022</v>
      </c>
      <c r="J115" s="9">
        <f t="shared" si="300"/>
        <v>5</v>
      </c>
      <c r="K115" s="9" t="str">
        <f t="shared" si="301"/>
        <v>2022_5</v>
      </c>
      <c r="L115">
        <f>MAX(0,VLOOKUP($K115,lookups!$A$1:$B$45,2,0)-12)</f>
        <v>13</v>
      </c>
      <c r="M115" s="40">
        <f t="shared" si="302"/>
        <v>44682</v>
      </c>
      <c r="N115" s="10" t="s">
        <v>37</v>
      </c>
      <c r="O115" t="str">
        <f ca="1">IF(OR($L115&gt;O$4,O$4&gt;$L115+23),"",OFFSET(Electric!$L106,0,-'Electric Calendarize'!$L115+'Electric Calendarize'!O$4+1))</f>
        <v/>
      </c>
      <c r="P115" t="str">
        <f ca="1">IF(OR($L115&gt;P$4,P$4&gt;$L115+23),"",OFFSET(Electric!$L106,0,-'Electric Calendarize'!$L115+'Electric Calendarize'!P$4+1))</f>
        <v/>
      </c>
      <c r="Q115" t="str">
        <f ca="1">IF(OR($L115&gt;Q$4,Q$4&gt;$L115+23),"",OFFSET(Electric!$L106,0,-'Electric Calendarize'!$L115+'Electric Calendarize'!Q$4+1))</f>
        <v/>
      </c>
      <c r="R115" t="str">
        <f ca="1">IF(OR($L115&gt;R$4,R$4&gt;$L115+23),"",OFFSET(Electric!$L106,0,-'Electric Calendarize'!$L115+'Electric Calendarize'!R$4+1))</f>
        <v/>
      </c>
      <c r="S115" t="str">
        <f ca="1">IF(OR($L115&gt;S$4,S$4&gt;$L115+23),"",OFFSET(Electric!$L106,0,-'Electric Calendarize'!$L115+'Electric Calendarize'!S$4+1))</f>
        <v/>
      </c>
      <c r="T115" t="str">
        <f ca="1">IF(OR($L115&gt;T$4,T$4&gt;$L115+23),"",OFFSET(Electric!$L106,0,-'Electric Calendarize'!$L115+'Electric Calendarize'!T$4+1))</f>
        <v/>
      </c>
      <c r="U115" t="str">
        <f ca="1">IF(OR($L115&gt;U$4,U$4&gt;$L115+23),"",OFFSET(Electric!$L106,0,-'Electric Calendarize'!$L115+'Electric Calendarize'!U$4+1))</f>
        <v/>
      </c>
      <c r="V115" t="str">
        <f ca="1">IF(OR($L115&gt;V$4,V$4&gt;$L115+23),"",OFFSET(Electric!$L106,0,-'Electric Calendarize'!$L115+'Electric Calendarize'!V$4+1))</f>
        <v/>
      </c>
      <c r="W115" t="str">
        <f ca="1">IF(OR($L115&gt;W$4,W$4&gt;$L115+23),"",OFFSET(Electric!$L106,0,-'Electric Calendarize'!$L115+'Electric Calendarize'!W$4+1))</f>
        <v/>
      </c>
      <c r="X115" t="str">
        <f ca="1">IF(OR($L115&gt;X$4,X$4&gt;$L115+23),"",OFFSET(Electric!$L106,0,-'Electric Calendarize'!$L115+'Electric Calendarize'!X$4+1))</f>
        <v/>
      </c>
      <c r="Y115" t="str">
        <f ca="1">IF(OR($L115&gt;Y$4,Y$4&gt;$L115+23),"",OFFSET(Electric!$L106,0,-'Electric Calendarize'!$L115+'Electric Calendarize'!Y$4+1))</f>
        <v/>
      </c>
      <c r="Z115" t="str">
        <f ca="1">IF(OR($L115&gt;Z$4,Z$4&gt;$L115+23),"",OFFSET(Electric!$L106,0,-'Electric Calendarize'!$L115+'Electric Calendarize'!Z$4+1))</f>
        <v/>
      </c>
      <c r="AA115" t="str">
        <f ca="1">IF(OR($L115&gt;AA$4,AA$4&gt;$L115+23),"",OFFSET(Electric!$L106,0,-'Electric Calendarize'!$L115+'Electric Calendarize'!AA$4+1))</f>
        <v/>
      </c>
      <c r="AB115">
        <f ca="1">IF(OR($L115&gt;AB$4,AB$4&gt;$L115+23),"",OFFSET(Electric!$L106,0,-'Electric Calendarize'!$L115+'Electric Calendarize'!AB$4+1))</f>
        <v>588</v>
      </c>
      <c r="AC115">
        <f ca="1">IF(OR($L115&gt;AC$4,AC$4&gt;$L115+23),"",OFFSET(Electric!$L106,0,-'Electric Calendarize'!$L115+'Electric Calendarize'!AC$4+1))</f>
        <v>891</v>
      </c>
      <c r="AD115">
        <f ca="1">IF(OR($L115&gt;AD$4,AD$4&gt;$L115+23),"",OFFSET(Electric!$L106,0,-'Electric Calendarize'!$L115+'Electric Calendarize'!AD$4+1))</f>
        <v>1064</v>
      </c>
      <c r="AE115">
        <f ca="1">IF(OR($L115&gt;AE$4,AE$4&gt;$L115+23),"",OFFSET(Electric!$L106,0,-'Electric Calendarize'!$L115+'Electric Calendarize'!AE$4+1))</f>
        <v>1167</v>
      </c>
      <c r="AF115">
        <f ca="1">IF(OR($L115&gt;AF$4,AF$4&gt;$L115+23),"",OFFSET(Electric!$L106,0,-'Electric Calendarize'!$L115+'Electric Calendarize'!AF$4+1))</f>
        <v>860</v>
      </c>
      <c r="AG115">
        <f ca="1">IF(OR($L115&gt;AG$4,AG$4&gt;$L115+23),"",OFFSET(Electric!$L106,0,-'Electric Calendarize'!$L115+'Electric Calendarize'!AG$4+1))</f>
        <v>468</v>
      </c>
      <c r="AH115">
        <f ca="1">IF(OR($L115&gt;AH$4,AH$4&gt;$L115+23),"",OFFSET(Electric!$L106,0,-'Electric Calendarize'!$L115+'Electric Calendarize'!AH$4+1))</f>
        <v>526</v>
      </c>
      <c r="AI115">
        <f ca="1">IF(OR($L115&gt;AI$4,AI$4&gt;$L115+23),"",OFFSET(Electric!$L106,0,-'Electric Calendarize'!$L115+'Electric Calendarize'!AI$4+1))</f>
        <v>571</v>
      </c>
      <c r="AJ115">
        <f ca="1">IF(OR($L115&gt;AJ$4,AJ$4&gt;$L115+23),"",OFFSET(Electric!$L106,0,-'Electric Calendarize'!$L115+'Electric Calendarize'!AJ$4+1))</f>
        <v>647</v>
      </c>
      <c r="AK115">
        <f ca="1">IF(OR($L115&gt;AK$4,AK$4&gt;$L115+23),"",OFFSET(Electric!$L106,0,-'Electric Calendarize'!$L115+'Electric Calendarize'!AK$4+1))</f>
        <v>797</v>
      </c>
      <c r="AL115">
        <f ca="1">IF(OR($L115&gt;AL$4,AL$4&gt;$L115+23),"",OFFSET(Electric!$L106,0,-'Electric Calendarize'!$L115+'Electric Calendarize'!AL$4+1))</f>
        <v>609</v>
      </c>
      <c r="AM115">
        <f ca="1">IF(OR($L115&gt;AM$4,AM$4&gt;$L115+23),"",OFFSET(Electric!$L106,0,-'Electric Calendarize'!$L115+'Electric Calendarize'!AM$4+1))</f>
        <v>505</v>
      </c>
      <c r="AN115">
        <f ca="1">IF(OR($L115&gt;AN$4,AN$4&gt;$L115+23),"",OFFSET(Electric!$L106,0,-'Electric Calendarize'!$L115+'Electric Calendarize'!AN$4+1))</f>
        <v>634</v>
      </c>
      <c r="AO115">
        <f ca="1">IF(OR($L115&gt;AO$4,AO$4&gt;$L115+23),"",OFFSET(Electric!$L106,0,-'Electric Calendarize'!$L115+'Electric Calendarize'!AO$4+1))</f>
        <v>900</v>
      </c>
      <c r="AP115">
        <f ca="1">IF(OR($L115&gt;AP$4,AP$4&gt;$L115+23),"",OFFSET(Electric!$L106,0,-'Electric Calendarize'!$L115+'Electric Calendarize'!AP$4+1))</f>
        <v>1632</v>
      </c>
      <c r="AQ115">
        <f ca="1">IF(OR($L115&gt;AQ$4,AQ$4&gt;$L115+23),"",OFFSET(Electric!$L106,0,-'Electric Calendarize'!$L115+'Electric Calendarize'!AQ$4+1))</f>
        <v>1332</v>
      </c>
      <c r="AR115">
        <f ca="1">IF(OR($L115&gt;AR$4,AR$4&gt;$L115+23),"",OFFSET(Electric!$L106,0,-'Electric Calendarize'!$L115+'Electric Calendarize'!AR$4+1))</f>
        <v>702</v>
      </c>
      <c r="AS115">
        <f ca="1">IF(OR($L115&gt;AS$4,AS$4&gt;$L115+23),"",OFFSET(Electric!$L106,0,-'Electric Calendarize'!$L115+'Electric Calendarize'!AS$4+1))</f>
        <v>553</v>
      </c>
      <c r="AT115">
        <f ca="1">IF(OR($L115&gt;AT$4,AT$4&gt;$L115+23),"",OFFSET(Electric!$L106,0,-'Electric Calendarize'!$L115+'Electric Calendarize'!AT$4+1))</f>
        <v>249</v>
      </c>
      <c r="AU115">
        <f ca="1">IF(OR($L115&gt;AU$4,AU$4&gt;$L115+23),"",OFFSET(Electric!$L106,0,-'Electric Calendarize'!$L115+'Electric Calendarize'!AU$4+1))</f>
        <v>580</v>
      </c>
      <c r="AV115">
        <f ca="1">IF(OR($L115&gt;AV$4,AV$4&gt;$L115+23),"",OFFSET(Electric!$L106,0,-'Electric Calendarize'!$L115+'Electric Calendarize'!AV$4+1))</f>
        <v>841</v>
      </c>
      <c r="AW115">
        <f ca="1">IF(OR($L115&gt;AW$4,AW$4&gt;$L115+23),"",OFFSET(Electric!$L106,0,-'Electric Calendarize'!$L115+'Electric Calendarize'!AW$4+1))</f>
        <v>617</v>
      </c>
      <c r="AX115">
        <f ca="1">IF(OR($L115&gt;AX$4,AX$4&gt;$L115+23),"",OFFSET(Electric!$L106,0,-'Electric Calendarize'!$L115+'Electric Calendarize'!AX$4+1))</f>
        <v>897</v>
      </c>
      <c r="AY115">
        <f ca="1">IF(OR($L115&gt;AY$4,AY$4&gt;$L115+23),"",OFFSET(Electric!$L106,0,-'Electric Calendarize'!$L115+'Electric Calendarize'!AY$4+1))</f>
        <v>745</v>
      </c>
      <c r="AZ115" t="str">
        <f ca="1">IF(OR($L115&gt;AZ$4,AZ$4&gt;$L115+23),"",OFFSET(Electric!$L106,0,-'Electric Calendarize'!$L115+'Electric Calendarize'!AZ$4+1))</f>
        <v/>
      </c>
      <c r="BA115" t="str">
        <f ca="1">IF(OR($L115&gt;BA$4,BA$4&gt;$L115+23),"",OFFSET(Electric!$L106,0,-'Electric Calendarize'!$L115+'Electric Calendarize'!BA$4+1))</f>
        <v/>
      </c>
      <c r="BB115" t="str">
        <f ca="1">IF(OR($L115&gt;BB$4,BB$4&gt;$L115+23),"",OFFSET(Electric!$L106,0,-'Electric Calendarize'!$L115+'Electric Calendarize'!BB$4+1))</f>
        <v/>
      </c>
      <c r="BC115" t="str">
        <f ca="1">IF(OR($L115&gt;BC$4,BC$4&gt;$L115+23),"",OFFSET(Electric!$L106,0,-'Electric Calendarize'!$L115+'Electric Calendarize'!BC$4+1))</f>
        <v/>
      </c>
      <c r="BD115" t="str">
        <f ca="1">IF(OR($L115&gt;BD$4,BD$4&gt;$L115+23),"",OFFSET(Electric!$L106,0,-'Electric Calendarize'!$L115+'Electric Calendarize'!BD$4+1))</f>
        <v/>
      </c>
      <c r="BE115" t="str">
        <f ca="1">IF(OR($L115&gt;BE$4,BE$4&gt;$L115+23),"",OFFSET(Electric!$L106,0,-'Electric Calendarize'!$L115+'Electric Calendarize'!BE$4+1))</f>
        <v/>
      </c>
      <c r="BF115" t="str">
        <f ca="1">IF(OR($L115&gt;BF$4,BF$4&gt;$L115+23),"",OFFSET(Electric!$L106,0,-'Electric Calendarize'!$L115+'Electric Calendarize'!BF$4+1))</f>
        <v/>
      </c>
      <c r="BG115" t="str">
        <f ca="1">IF(OR($L115&gt;BG$4,BG$4&gt;$L115+23),"",OFFSET(Electric!$L106,0,-'Electric Calendarize'!$L115+'Electric Calendarize'!BG$4+1))</f>
        <v/>
      </c>
      <c r="BJ115" s="10" t="s">
        <v>37</v>
      </c>
      <c r="BK115">
        <f t="shared" si="303"/>
        <v>1</v>
      </c>
      <c r="BL115">
        <f t="shared" si="209"/>
        <v>0</v>
      </c>
      <c r="BM115">
        <f t="shared" si="210"/>
        <v>0</v>
      </c>
      <c r="BN115">
        <f t="shared" si="211"/>
        <v>0</v>
      </c>
      <c r="BO115">
        <f t="shared" si="212"/>
        <v>0</v>
      </c>
      <c r="BP115">
        <f t="shared" si="213"/>
        <v>0</v>
      </c>
      <c r="BQ115">
        <f t="shared" si="214"/>
        <v>0</v>
      </c>
      <c r="BR115">
        <f t="shared" si="215"/>
        <v>1</v>
      </c>
      <c r="BS115">
        <f t="shared" si="216"/>
        <v>1</v>
      </c>
      <c r="BT115">
        <f t="shared" si="217"/>
        <v>1</v>
      </c>
      <c r="BU115">
        <f t="shared" si="218"/>
        <v>1</v>
      </c>
      <c r="BV115">
        <f t="shared" si="219"/>
        <v>1</v>
      </c>
      <c r="BW115">
        <f t="shared" si="220"/>
        <v>1</v>
      </c>
      <c r="BX115">
        <f t="shared" si="221"/>
        <v>0</v>
      </c>
      <c r="BY115">
        <f t="shared" si="222"/>
        <v>0</v>
      </c>
      <c r="BZ115">
        <f t="shared" si="223"/>
        <v>0</v>
      </c>
      <c r="CA115">
        <f t="shared" si="224"/>
        <v>0</v>
      </c>
      <c r="CB115">
        <f t="shared" si="225"/>
        <v>0</v>
      </c>
      <c r="CC115">
        <f t="shared" si="226"/>
        <v>0</v>
      </c>
      <c r="CD115">
        <f t="shared" si="227"/>
        <v>1</v>
      </c>
      <c r="CE115">
        <f t="shared" si="228"/>
        <v>1</v>
      </c>
      <c r="CF115">
        <f t="shared" si="229"/>
        <v>1</v>
      </c>
      <c r="CG115">
        <f t="shared" si="230"/>
        <v>1</v>
      </c>
      <c r="CH115">
        <f t="shared" si="231"/>
        <v>1</v>
      </c>
      <c r="CI115">
        <f t="shared" si="232"/>
        <v>1</v>
      </c>
      <c r="CJ115">
        <f t="shared" si="233"/>
        <v>0</v>
      </c>
      <c r="CK115">
        <f t="shared" si="234"/>
        <v>0</v>
      </c>
      <c r="CL115">
        <f t="shared" si="235"/>
        <v>0</v>
      </c>
      <c r="CM115">
        <f t="shared" si="236"/>
        <v>0</v>
      </c>
      <c r="CN115">
        <f t="shared" si="237"/>
        <v>0</v>
      </c>
      <c r="CO115">
        <f t="shared" si="238"/>
        <v>0</v>
      </c>
      <c r="CP115">
        <f t="shared" si="239"/>
        <v>1</v>
      </c>
      <c r="CQ115">
        <f t="shared" si="240"/>
        <v>1</v>
      </c>
      <c r="CR115">
        <f t="shared" si="241"/>
        <v>1</v>
      </c>
      <c r="CS115">
        <f t="shared" si="242"/>
        <v>1</v>
      </c>
      <c r="CT115">
        <f t="shared" si="243"/>
        <v>1</v>
      </c>
      <c r="CU115">
        <f t="shared" si="244"/>
        <v>1</v>
      </c>
      <c r="CV115">
        <f t="shared" si="245"/>
        <v>0</v>
      </c>
      <c r="CW115">
        <f t="shared" si="246"/>
        <v>0</v>
      </c>
      <c r="CX115">
        <f t="shared" si="247"/>
        <v>0</v>
      </c>
      <c r="CY115">
        <f t="shared" si="248"/>
        <v>0</v>
      </c>
      <c r="CZ115">
        <f t="shared" si="249"/>
        <v>0</v>
      </c>
      <c r="DA115">
        <f t="shared" si="250"/>
        <v>0</v>
      </c>
      <c r="DB115">
        <f t="shared" si="251"/>
        <v>1</v>
      </c>
      <c r="DC115">
        <f t="shared" si="252"/>
        <v>1</v>
      </c>
      <c r="DF115" s="10" t="s">
        <v>37</v>
      </c>
      <c r="DG115" t="str">
        <f t="shared" si="312"/>
        <v>2022_5</v>
      </c>
      <c r="DH115" t="str">
        <f t="shared" si="312"/>
        <v>2022_5</v>
      </c>
      <c r="DI115" t="str">
        <f t="shared" si="312"/>
        <v>2022_5</v>
      </c>
      <c r="DJ115" t="str">
        <f t="shared" si="312"/>
        <v>2022_5</v>
      </c>
      <c r="DK115" t="str">
        <f t="shared" si="312"/>
        <v>2022_5</v>
      </c>
      <c r="DL115" t="str">
        <f t="shared" si="312"/>
        <v>2022_5</v>
      </c>
      <c r="DM115" t="str">
        <f t="shared" si="312"/>
        <v>2022_5</v>
      </c>
      <c r="DN115" t="str">
        <f t="shared" si="312"/>
        <v>2022_5</v>
      </c>
      <c r="DO115" t="str">
        <f t="shared" si="312"/>
        <v>2022_5</v>
      </c>
      <c r="DP115" t="str">
        <f t="shared" si="312"/>
        <v>2022_5</v>
      </c>
      <c r="DQ115" t="str">
        <f t="shared" si="312"/>
        <v>2022_5</v>
      </c>
      <c r="DR115" t="str">
        <f t="shared" si="312"/>
        <v>2022_5</v>
      </c>
      <c r="DS115" t="str">
        <f t="shared" si="312"/>
        <v>2022_5</v>
      </c>
      <c r="DT115" t="str">
        <f t="shared" si="312"/>
        <v>2022_5</v>
      </c>
      <c r="DU115" t="str">
        <f t="shared" si="312"/>
        <v>2022_5</v>
      </c>
      <c r="DV115" t="str">
        <f t="shared" si="310"/>
        <v>2022_5</v>
      </c>
      <c r="DW115" t="str">
        <f t="shared" si="310"/>
        <v>2022_5</v>
      </c>
      <c r="DX115" t="str">
        <f t="shared" si="310"/>
        <v>2022_5</v>
      </c>
      <c r="DY115" t="str">
        <f t="shared" si="310"/>
        <v>2022_5</v>
      </c>
      <c r="DZ115" t="str">
        <f t="shared" si="310"/>
        <v>2022_5</v>
      </c>
      <c r="EA115" t="str">
        <f t="shared" si="310"/>
        <v>2022_5</v>
      </c>
      <c r="EB115" t="str">
        <f t="shared" si="310"/>
        <v>2022_5</v>
      </c>
      <c r="EC115" t="str">
        <f t="shared" si="310"/>
        <v>2022_5</v>
      </c>
      <c r="ED115" t="str">
        <f t="shared" si="310"/>
        <v>2022_5</v>
      </c>
      <c r="EE115" t="str">
        <f t="shared" si="310"/>
        <v>2022_5</v>
      </c>
      <c r="EF115" t="str">
        <f t="shared" si="310"/>
        <v>2022_5</v>
      </c>
      <c r="EG115" t="str">
        <f t="shared" si="310"/>
        <v>2022_5</v>
      </c>
      <c r="EH115" t="str">
        <f t="shared" si="310"/>
        <v>2022_5</v>
      </c>
      <c r="EI115" t="str">
        <f t="shared" si="310"/>
        <v>2022_5</v>
      </c>
      <c r="EJ115" t="str">
        <f t="shared" si="310"/>
        <v>2022_5</v>
      </c>
      <c r="EK115" t="str">
        <f t="shared" si="310"/>
        <v>2022_5</v>
      </c>
      <c r="EL115" t="str">
        <f t="shared" si="311"/>
        <v>2022_5</v>
      </c>
      <c r="EM115" t="str">
        <f t="shared" si="309"/>
        <v>2022_5</v>
      </c>
      <c r="EN115" t="str">
        <f t="shared" si="309"/>
        <v>2022_5</v>
      </c>
      <c r="EO115" t="str">
        <f t="shared" si="309"/>
        <v>2022_5</v>
      </c>
      <c r="EP115" t="str">
        <f t="shared" si="309"/>
        <v>2022_5</v>
      </c>
      <c r="EQ115" t="str">
        <f t="shared" si="309"/>
        <v>2022_5</v>
      </c>
      <c r="ER115" t="str">
        <f t="shared" si="309"/>
        <v>2022_5</v>
      </c>
      <c r="ES115" t="str">
        <f t="shared" si="309"/>
        <v>2022_5</v>
      </c>
      <c r="ET115" t="str">
        <f t="shared" si="309"/>
        <v>2022_5</v>
      </c>
      <c r="EU115" t="str">
        <f t="shared" si="309"/>
        <v>2022_5</v>
      </c>
      <c r="EV115" t="str">
        <f t="shared" si="309"/>
        <v>2022_5</v>
      </c>
      <c r="EW115" t="str">
        <f t="shared" si="309"/>
        <v>2022_5</v>
      </c>
      <c r="EX115" t="str">
        <f t="shared" si="309"/>
        <v>2022_5</v>
      </c>
      <c r="EY115" t="str">
        <f t="shared" si="309"/>
        <v>2022_5</v>
      </c>
      <c r="FB115" s="10" t="s">
        <v>37</v>
      </c>
      <c r="FC115">
        <f t="shared" si="305"/>
        <v>0</v>
      </c>
      <c r="FD115">
        <f t="shared" si="255"/>
        <v>0</v>
      </c>
      <c r="FE115">
        <f t="shared" si="256"/>
        <v>0</v>
      </c>
      <c r="FF115">
        <f t="shared" si="257"/>
        <v>0</v>
      </c>
      <c r="FG115">
        <f t="shared" si="258"/>
        <v>0</v>
      </c>
      <c r="FH115">
        <f t="shared" si="259"/>
        <v>0</v>
      </c>
      <c r="FI115">
        <f t="shared" si="260"/>
        <v>0</v>
      </c>
      <c r="FJ115">
        <f t="shared" si="261"/>
        <v>0</v>
      </c>
      <c r="FK115">
        <f t="shared" si="262"/>
        <v>0</v>
      </c>
      <c r="FL115">
        <f t="shared" si="263"/>
        <v>0</v>
      </c>
      <c r="FM115">
        <f t="shared" si="264"/>
        <v>0</v>
      </c>
      <c r="FN115">
        <f t="shared" si="265"/>
        <v>0</v>
      </c>
      <c r="FO115">
        <f t="shared" si="266"/>
        <v>0</v>
      </c>
      <c r="FP115">
        <f t="shared" si="267"/>
        <v>0</v>
      </c>
      <c r="FQ115">
        <f t="shared" si="268"/>
        <v>0</v>
      </c>
      <c r="FR115">
        <f t="shared" si="269"/>
        <v>0</v>
      </c>
      <c r="FS115">
        <f t="shared" si="270"/>
        <v>0</v>
      </c>
      <c r="FT115">
        <f t="shared" si="271"/>
        <v>0</v>
      </c>
      <c r="FU115">
        <f t="shared" si="272"/>
        <v>0</v>
      </c>
      <c r="FV115">
        <f t="shared" si="273"/>
        <v>0</v>
      </c>
      <c r="FW115">
        <f t="shared" si="274"/>
        <v>0</v>
      </c>
      <c r="FX115">
        <f t="shared" si="275"/>
        <v>0</v>
      </c>
      <c r="FY115">
        <f t="shared" si="276"/>
        <v>0</v>
      </c>
      <c r="FZ115">
        <f t="shared" si="277"/>
        <v>0</v>
      </c>
      <c r="GA115">
        <f t="shared" si="278"/>
        <v>0</v>
      </c>
      <c r="GB115">
        <f t="shared" si="279"/>
        <v>1</v>
      </c>
      <c r="GC115">
        <f t="shared" si="280"/>
        <v>1</v>
      </c>
      <c r="GD115">
        <f t="shared" si="281"/>
        <v>1</v>
      </c>
      <c r="GE115">
        <f t="shared" si="282"/>
        <v>1</v>
      </c>
      <c r="GF115">
        <f t="shared" si="283"/>
        <v>1</v>
      </c>
      <c r="GG115">
        <f t="shared" si="284"/>
        <v>1</v>
      </c>
      <c r="GH115">
        <f t="shared" si="285"/>
        <v>1</v>
      </c>
      <c r="GI115">
        <f t="shared" si="286"/>
        <v>1</v>
      </c>
      <c r="GJ115">
        <f t="shared" si="287"/>
        <v>1</v>
      </c>
      <c r="GK115">
        <f t="shared" si="288"/>
        <v>1</v>
      </c>
      <c r="GL115">
        <f t="shared" si="289"/>
        <v>1</v>
      </c>
      <c r="GM115">
        <f t="shared" si="290"/>
        <v>1</v>
      </c>
      <c r="GN115">
        <f t="shared" si="291"/>
        <v>1</v>
      </c>
      <c r="GO115">
        <f t="shared" si="292"/>
        <v>1</v>
      </c>
      <c r="GP115">
        <f t="shared" si="293"/>
        <v>1</v>
      </c>
      <c r="GQ115">
        <f t="shared" si="294"/>
        <v>1</v>
      </c>
      <c r="GR115">
        <f t="shared" si="295"/>
        <v>1</v>
      </c>
      <c r="GS115">
        <f t="shared" si="296"/>
        <v>1</v>
      </c>
      <c r="GT115">
        <f t="shared" si="297"/>
        <v>1</v>
      </c>
      <c r="GU115">
        <f t="shared" si="298"/>
        <v>1</v>
      </c>
      <c r="GX115" s="10"/>
    </row>
    <row r="116" spans="1:206" x14ac:dyDescent="0.3">
      <c r="A116" s="9" t="s">
        <v>33</v>
      </c>
      <c r="B116" s="80"/>
      <c r="C116" s="9">
        <v>3021607000</v>
      </c>
      <c r="D116" s="9" t="s">
        <v>364</v>
      </c>
      <c r="E116" s="9" t="s">
        <v>39</v>
      </c>
      <c r="F116" s="9" t="s">
        <v>35</v>
      </c>
      <c r="G116" s="9" t="s">
        <v>151</v>
      </c>
      <c r="H116" s="10">
        <v>44708</v>
      </c>
      <c r="I116" s="9">
        <f t="shared" si="299"/>
        <v>2022</v>
      </c>
      <c r="J116" s="9">
        <f t="shared" si="300"/>
        <v>5</v>
      </c>
      <c r="K116" s="9" t="str">
        <f t="shared" si="301"/>
        <v>2022_5</v>
      </c>
      <c r="L116">
        <f>MAX(0,VLOOKUP($K116,lookups!$A$1:$B$45,2,0)-12)</f>
        <v>13</v>
      </c>
      <c r="M116" s="40">
        <f t="shared" si="302"/>
        <v>44682</v>
      </c>
      <c r="N116" s="10" t="s">
        <v>37</v>
      </c>
      <c r="O116" t="str">
        <f ca="1">IF(OR($L116&gt;O$4,O$4&gt;$L116+23),"",OFFSET(Electric!$L107,0,-'Electric Calendarize'!$L116+'Electric Calendarize'!O$4+1))</f>
        <v/>
      </c>
      <c r="P116" t="str">
        <f ca="1">IF(OR($L116&gt;P$4,P$4&gt;$L116+23),"",OFFSET(Electric!$L107,0,-'Electric Calendarize'!$L116+'Electric Calendarize'!P$4+1))</f>
        <v/>
      </c>
      <c r="Q116" t="str">
        <f ca="1">IF(OR($L116&gt;Q$4,Q$4&gt;$L116+23),"",OFFSET(Electric!$L107,0,-'Electric Calendarize'!$L116+'Electric Calendarize'!Q$4+1))</f>
        <v/>
      </c>
      <c r="R116" t="str">
        <f ca="1">IF(OR($L116&gt;R$4,R$4&gt;$L116+23),"",OFFSET(Electric!$L107,0,-'Electric Calendarize'!$L116+'Electric Calendarize'!R$4+1))</f>
        <v/>
      </c>
      <c r="S116" t="str">
        <f ca="1">IF(OR($L116&gt;S$4,S$4&gt;$L116+23),"",OFFSET(Electric!$L107,0,-'Electric Calendarize'!$L116+'Electric Calendarize'!S$4+1))</f>
        <v/>
      </c>
      <c r="T116" t="str">
        <f ca="1">IF(OR($L116&gt;T$4,T$4&gt;$L116+23),"",OFFSET(Electric!$L107,0,-'Electric Calendarize'!$L116+'Electric Calendarize'!T$4+1))</f>
        <v/>
      </c>
      <c r="U116" t="str">
        <f ca="1">IF(OR($L116&gt;U$4,U$4&gt;$L116+23),"",OFFSET(Electric!$L107,0,-'Electric Calendarize'!$L116+'Electric Calendarize'!U$4+1))</f>
        <v/>
      </c>
      <c r="V116" t="str">
        <f ca="1">IF(OR($L116&gt;V$4,V$4&gt;$L116+23),"",OFFSET(Electric!$L107,0,-'Electric Calendarize'!$L116+'Electric Calendarize'!V$4+1))</f>
        <v/>
      </c>
      <c r="W116" t="str">
        <f ca="1">IF(OR($L116&gt;W$4,W$4&gt;$L116+23),"",OFFSET(Electric!$L107,0,-'Electric Calendarize'!$L116+'Electric Calendarize'!W$4+1))</f>
        <v/>
      </c>
      <c r="X116" t="str">
        <f ca="1">IF(OR($L116&gt;X$4,X$4&gt;$L116+23),"",OFFSET(Electric!$L107,0,-'Electric Calendarize'!$L116+'Electric Calendarize'!X$4+1))</f>
        <v/>
      </c>
      <c r="Y116" t="str">
        <f ca="1">IF(OR($L116&gt;Y$4,Y$4&gt;$L116+23),"",OFFSET(Electric!$L107,0,-'Electric Calendarize'!$L116+'Electric Calendarize'!Y$4+1))</f>
        <v/>
      </c>
      <c r="Z116" t="str">
        <f ca="1">IF(OR($L116&gt;Z$4,Z$4&gt;$L116+23),"",OFFSET(Electric!$L107,0,-'Electric Calendarize'!$L116+'Electric Calendarize'!Z$4+1))</f>
        <v/>
      </c>
      <c r="AA116" t="str">
        <f ca="1">IF(OR($L116&gt;AA$4,AA$4&gt;$L116+23),"",OFFSET(Electric!$L107,0,-'Electric Calendarize'!$L116+'Electric Calendarize'!AA$4+1))</f>
        <v/>
      </c>
      <c r="AB116">
        <f ca="1">IF(OR($L116&gt;AB$4,AB$4&gt;$L116+23),"",OFFSET(Electric!$L107,0,-'Electric Calendarize'!$L116+'Electric Calendarize'!AB$4+1))</f>
        <v>548</v>
      </c>
      <c r="AC116">
        <f ca="1">IF(OR($L116&gt;AC$4,AC$4&gt;$L116+23),"",OFFSET(Electric!$L107,0,-'Electric Calendarize'!$L116+'Electric Calendarize'!AC$4+1))</f>
        <v>2764</v>
      </c>
      <c r="AD116">
        <f ca="1">IF(OR($L116&gt;AD$4,AD$4&gt;$L116+23),"",OFFSET(Electric!$L107,0,-'Electric Calendarize'!$L116+'Electric Calendarize'!AD$4+1))</f>
        <v>3146</v>
      </c>
      <c r="AE116">
        <f ca="1">IF(OR($L116&gt;AE$4,AE$4&gt;$L116+23),"",OFFSET(Electric!$L107,0,-'Electric Calendarize'!$L116+'Electric Calendarize'!AE$4+1))</f>
        <v>2890</v>
      </c>
      <c r="AF116">
        <f ca="1">IF(OR($L116&gt;AF$4,AF$4&gt;$L116+23),"",OFFSET(Electric!$L107,0,-'Electric Calendarize'!$L116+'Electric Calendarize'!AF$4+1))</f>
        <v>1360</v>
      </c>
      <c r="AG116">
        <f ca="1">IF(OR($L116&gt;AG$4,AG$4&gt;$L116+23),"",OFFSET(Electric!$L107,0,-'Electric Calendarize'!$L116+'Electric Calendarize'!AG$4+1))</f>
        <v>590</v>
      </c>
      <c r="AH116">
        <f ca="1">IF(OR($L116&gt;AH$4,AH$4&gt;$L116+23),"",OFFSET(Electric!$L107,0,-'Electric Calendarize'!$L116+'Electric Calendarize'!AH$4+1))</f>
        <v>704</v>
      </c>
      <c r="AI116">
        <f ca="1">IF(OR($L116&gt;AI$4,AI$4&gt;$L116+23),"",OFFSET(Electric!$L107,0,-'Electric Calendarize'!$L116+'Electric Calendarize'!AI$4+1))</f>
        <v>738</v>
      </c>
      <c r="AJ116">
        <f ca="1">IF(OR($L116&gt;AJ$4,AJ$4&gt;$L116+23),"",OFFSET(Electric!$L107,0,-'Electric Calendarize'!$L116+'Electric Calendarize'!AJ$4+1))</f>
        <v>990</v>
      </c>
      <c r="AK116">
        <f ca="1">IF(OR($L116&gt;AK$4,AK$4&gt;$L116+23),"",OFFSET(Electric!$L107,0,-'Electric Calendarize'!$L116+'Electric Calendarize'!AK$4+1))</f>
        <v>804</v>
      </c>
      <c r="AL116">
        <f ca="1">IF(OR($L116&gt;AL$4,AL$4&gt;$L116+23),"",OFFSET(Electric!$L107,0,-'Electric Calendarize'!$L116+'Electric Calendarize'!AL$4+1))</f>
        <v>672</v>
      </c>
      <c r="AM116">
        <f ca="1">IF(OR($L116&gt;AM$4,AM$4&gt;$L116+23),"",OFFSET(Electric!$L107,0,-'Electric Calendarize'!$L116+'Electric Calendarize'!AM$4+1))</f>
        <v>582</v>
      </c>
      <c r="AN116">
        <f ca="1">IF(OR($L116&gt;AN$4,AN$4&gt;$L116+23),"",OFFSET(Electric!$L107,0,-'Electric Calendarize'!$L116+'Electric Calendarize'!AN$4+1))</f>
        <v>640</v>
      </c>
      <c r="AO116">
        <f ca="1">IF(OR($L116&gt;AO$4,AO$4&gt;$L116+23),"",OFFSET(Electric!$L107,0,-'Electric Calendarize'!$L116+'Electric Calendarize'!AO$4+1))</f>
        <v>2770</v>
      </c>
      <c r="AP116">
        <f ca="1">IF(OR($L116&gt;AP$4,AP$4&gt;$L116+23),"",OFFSET(Electric!$L107,0,-'Electric Calendarize'!$L116+'Electric Calendarize'!AP$4+1))</f>
        <v>2238</v>
      </c>
      <c r="AQ116">
        <f ca="1">IF(OR($L116&gt;AQ$4,AQ$4&gt;$L116+23),"",OFFSET(Electric!$L107,0,-'Electric Calendarize'!$L116+'Electric Calendarize'!AQ$4+1))</f>
        <v>1610</v>
      </c>
      <c r="AR116">
        <f ca="1">IF(OR($L116&gt;AR$4,AR$4&gt;$L116+23),"",OFFSET(Electric!$L107,0,-'Electric Calendarize'!$L116+'Electric Calendarize'!AR$4+1))</f>
        <v>1312</v>
      </c>
      <c r="AS116">
        <f ca="1">IF(OR($L116&gt;AS$4,AS$4&gt;$L116+23),"",OFFSET(Electric!$L107,0,-'Electric Calendarize'!$L116+'Electric Calendarize'!AS$4+1))</f>
        <v>908</v>
      </c>
      <c r="AT116">
        <f ca="1">IF(OR($L116&gt;AT$4,AT$4&gt;$L116+23),"",OFFSET(Electric!$L107,0,-'Electric Calendarize'!$L116+'Electric Calendarize'!AT$4+1))</f>
        <v>1528</v>
      </c>
      <c r="AU116">
        <f ca="1">IF(OR($L116&gt;AU$4,AU$4&gt;$L116+23),"",OFFSET(Electric!$L107,0,-'Electric Calendarize'!$L116+'Electric Calendarize'!AU$4+1))</f>
        <v>2244</v>
      </c>
      <c r="AV116">
        <f ca="1">IF(OR($L116&gt;AV$4,AV$4&gt;$L116+23),"",OFFSET(Electric!$L107,0,-'Electric Calendarize'!$L116+'Electric Calendarize'!AV$4+1))</f>
        <v>2956</v>
      </c>
      <c r="AW116">
        <f ca="1">IF(OR($L116&gt;AW$4,AW$4&gt;$L116+23),"",OFFSET(Electric!$L107,0,-'Electric Calendarize'!$L116+'Electric Calendarize'!AW$4+1))</f>
        <v>2356</v>
      </c>
      <c r="AX116">
        <f ca="1">IF(OR($L116&gt;AX$4,AX$4&gt;$L116+23),"",OFFSET(Electric!$L107,0,-'Electric Calendarize'!$L116+'Electric Calendarize'!AX$4+1))</f>
        <v>2192</v>
      </c>
      <c r="AY116">
        <f ca="1">IF(OR($L116&gt;AY$4,AY$4&gt;$L116+23),"",OFFSET(Electric!$L107,0,-'Electric Calendarize'!$L116+'Electric Calendarize'!AY$4+1))</f>
        <v>1290</v>
      </c>
      <c r="AZ116" t="str">
        <f ca="1">IF(OR($L116&gt;AZ$4,AZ$4&gt;$L116+23),"",OFFSET(Electric!$L107,0,-'Electric Calendarize'!$L116+'Electric Calendarize'!AZ$4+1))</f>
        <v/>
      </c>
      <c r="BA116" t="str">
        <f ca="1">IF(OR($L116&gt;BA$4,BA$4&gt;$L116+23),"",OFFSET(Electric!$L107,0,-'Electric Calendarize'!$L116+'Electric Calendarize'!BA$4+1))</f>
        <v/>
      </c>
      <c r="BB116" t="str">
        <f ca="1">IF(OR($L116&gt;BB$4,BB$4&gt;$L116+23),"",OFFSET(Electric!$L107,0,-'Electric Calendarize'!$L116+'Electric Calendarize'!BB$4+1))</f>
        <v/>
      </c>
      <c r="BC116" t="str">
        <f ca="1">IF(OR($L116&gt;BC$4,BC$4&gt;$L116+23),"",OFFSET(Electric!$L107,0,-'Electric Calendarize'!$L116+'Electric Calendarize'!BC$4+1))</f>
        <v/>
      </c>
      <c r="BD116" t="str">
        <f ca="1">IF(OR($L116&gt;BD$4,BD$4&gt;$L116+23),"",OFFSET(Electric!$L107,0,-'Electric Calendarize'!$L116+'Electric Calendarize'!BD$4+1))</f>
        <v/>
      </c>
      <c r="BE116" t="str">
        <f ca="1">IF(OR($L116&gt;BE$4,BE$4&gt;$L116+23),"",OFFSET(Electric!$L107,0,-'Electric Calendarize'!$L116+'Electric Calendarize'!BE$4+1))</f>
        <v/>
      </c>
      <c r="BF116" t="str">
        <f ca="1">IF(OR($L116&gt;BF$4,BF$4&gt;$L116+23),"",OFFSET(Electric!$L107,0,-'Electric Calendarize'!$L116+'Electric Calendarize'!BF$4+1))</f>
        <v/>
      </c>
      <c r="BG116" t="str">
        <f ca="1">IF(OR($L116&gt;BG$4,BG$4&gt;$L116+23),"",OFFSET(Electric!$L107,0,-'Electric Calendarize'!$L116+'Electric Calendarize'!BG$4+1))</f>
        <v/>
      </c>
      <c r="BJ116" s="10" t="s">
        <v>37</v>
      </c>
      <c r="BK116">
        <f t="shared" si="303"/>
        <v>1</v>
      </c>
      <c r="BL116">
        <f t="shared" si="209"/>
        <v>0</v>
      </c>
      <c r="BM116">
        <f t="shared" si="210"/>
        <v>0</v>
      </c>
      <c r="BN116">
        <f t="shared" si="211"/>
        <v>0</v>
      </c>
      <c r="BO116">
        <f t="shared" si="212"/>
        <v>0</v>
      </c>
      <c r="BP116">
        <f t="shared" si="213"/>
        <v>0</v>
      </c>
      <c r="BQ116">
        <f t="shared" si="214"/>
        <v>0</v>
      </c>
      <c r="BR116">
        <f t="shared" si="215"/>
        <v>1</v>
      </c>
      <c r="BS116">
        <f t="shared" si="216"/>
        <v>1</v>
      </c>
      <c r="BT116">
        <f t="shared" si="217"/>
        <v>1</v>
      </c>
      <c r="BU116">
        <f t="shared" si="218"/>
        <v>1</v>
      </c>
      <c r="BV116">
        <f t="shared" si="219"/>
        <v>1</v>
      </c>
      <c r="BW116">
        <f t="shared" si="220"/>
        <v>1</v>
      </c>
      <c r="BX116">
        <f t="shared" si="221"/>
        <v>0</v>
      </c>
      <c r="BY116">
        <f t="shared" si="222"/>
        <v>0</v>
      </c>
      <c r="BZ116">
        <f t="shared" si="223"/>
        <v>0</v>
      </c>
      <c r="CA116">
        <f t="shared" si="224"/>
        <v>0</v>
      </c>
      <c r="CB116">
        <f t="shared" si="225"/>
        <v>0</v>
      </c>
      <c r="CC116">
        <f t="shared" si="226"/>
        <v>0</v>
      </c>
      <c r="CD116">
        <f t="shared" si="227"/>
        <v>1</v>
      </c>
      <c r="CE116">
        <f t="shared" si="228"/>
        <v>1</v>
      </c>
      <c r="CF116">
        <f t="shared" si="229"/>
        <v>1</v>
      </c>
      <c r="CG116">
        <f t="shared" si="230"/>
        <v>1</v>
      </c>
      <c r="CH116">
        <f t="shared" si="231"/>
        <v>1</v>
      </c>
      <c r="CI116">
        <f t="shared" si="232"/>
        <v>1</v>
      </c>
      <c r="CJ116">
        <f t="shared" si="233"/>
        <v>0</v>
      </c>
      <c r="CK116">
        <f t="shared" si="234"/>
        <v>0</v>
      </c>
      <c r="CL116">
        <f t="shared" si="235"/>
        <v>0</v>
      </c>
      <c r="CM116">
        <f t="shared" si="236"/>
        <v>0</v>
      </c>
      <c r="CN116">
        <f t="shared" si="237"/>
        <v>0</v>
      </c>
      <c r="CO116">
        <f t="shared" si="238"/>
        <v>0</v>
      </c>
      <c r="CP116">
        <f t="shared" si="239"/>
        <v>1</v>
      </c>
      <c r="CQ116">
        <f t="shared" si="240"/>
        <v>1</v>
      </c>
      <c r="CR116">
        <f t="shared" si="241"/>
        <v>1</v>
      </c>
      <c r="CS116">
        <f t="shared" si="242"/>
        <v>1</v>
      </c>
      <c r="CT116">
        <f t="shared" si="243"/>
        <v>1</v>
      </c>
      <c r="CU116">
        <f t="shared" si="244"/>
        <v>1</v>
      </c>
      <c r="CV116">
        <f t="shared" si="245"/>
        <v>0</v>
      </c>
      <c r="CW116">
        <f t="shared" si="246"/>
        <v>0</v>
      </c>
      <c r="CX116">
        <f t="shared" si="247"/>
        <v>0</v>
      </c>
      <c r="CY116">
        <f t="shared" si="248"/>
        <v>0</v>
      </c>
      <c r="CZ116">
        <f t="shared" si="249"/>
        <v>0</v>
      </c>
      <c r="DA116">
        <f t="shared" si="250"/>
        <v>0</v>
      </c>
      <c r="DB116">
        <f t="shared" si="251"/>
        <v>1</v>
      </c>
      <c r="DC116">
        <f t="shared" si="252"/>
        <v>1</v>
      </c>
      <c r="DF116" s="10" t="s">
        <v>37</v>
      </c>
      <c r="DG116" t="str">
        <f t="shared" si="312"/>
        <v>2022_5</v>
      </c>
      <c r="DH116" t="str">
        <f t="shared" si="312"/>
        <v>2022_5</v>
      </c>
      <c r="DI116" t="str">
        <f t="shared" si="312"/>
        <v>2022_5</v>
      </c>
      <c r="DJ116" t="str">
        <f t="shared" si="312"/>
        <v>2022_5</v>
      </c>
      <c r="DK116" t="str">
        <f t="shared" si="312"/>
        <v>2022_5</v>
      </c>
      <c r="DL116" t="str">
        <f t="shared" si="312"/>
        <v>2022_5</v>
      </c>
      <c r="DM116" t="str">
        <f t="shared" si="312"/>
        <v>2022_5</v>
      </c>
      <c r="DN116" t="str">
        <f t="shared" si="312"/>
        <v>2022_5</v>
      </c>
      <c r="DO116" t="str">
        <f t="shared" si="312"/>
        <v>2022_5</v>
      </c>
      <c r="DP116" t="str">
        <f t="shared" si="312"/>
        <v>2022_5</v>
      </c>
      <c r="DQ116" t="str">
        <f t="shared" si="312"/>
        <v>2022_5</v>
      </c>
      <c r="DR116" t="str">
        <f t="shared" si="312"/>
        <v>2022_5</v>
      </c>
      <c r="DS116" t="str">
        <f t="shared" si="312"/>
        <v>2022_5</v>
      </c>
      <c r="DT116" t="str">
        <f t="shared" si="312"/>
        <v>2022_5</v>
      </c>
      <c r="DU116" t="str">
        <f t="shared" si="312"/>
        <v>2022_5</v>
      </c>
      <c r="DV116" t="str">
        <f t="shared" si="310"/>
        <v>2022_5</v>
      </c>
      <c r="DW116" t="str">
        <f t="shared" si="310"/>
        <v>2022_5</v>
      </c>
      <c r="DX116" t="str">
        <f t="shared" si="310"/>
        <v>2022_5</v>
      </c>
      <c r="DY116" t="str">
        <f t="shared" si="310"/>
        <v>2022_5</v>
      </c>
      <c r="DZ116" t="str">
        <f t="shared" si="310"/>
        <v>2022_5</v>
      </c>
      <c r="EA116" t="str">
        <f t="shared" si="310"/>
        <v>2022_5</v>
      </c>
      <c r="EB116" t="str">
        <f t="shared" si="310"/>
        <v>2022_5</v>
      </c>
      <c r="EC116" t="str">
        <f t="shared" si="310"/>
        <v>2022_5</v>
      </c>
      <c r="ED116" t="str">
        <f t="shared" si="310"/>
        <v>2022_5</v>
      </c>
      <c r="EE116" t="str">
        <f t="shared" si="310"/>
        <v>2022_5</v>
      </c>
      <c r="EF116" t="str">
        <f t="shared" si="310"/>
        <v>2022_5</v>
      </c>
      <c r="EG116" t="str">
        <f t="shared" si="310"/>
        <v>2022_5</v>
      </c>
      <c r="EH116" t="str">
        <f t="shared" si="310"/>
        <v>2022_5</v>
      </c>
      <c r="EI116" t="str">
        <f t="shared" si="310"/>
        <v>2022_5</v>
      </c>
      <c r="EJ116" t="str">
        <f t="shared" si="310"/>
        <v>2022_5</v>
      </c>
      <c r="EK116" t="str">
        <f t="shared" si="310"/>
        <v>2022_5</v>
      </c>
      <c r="EL116" t="str">
        <f t="shared" si="311"/>
        <v>2022_5</v>
      </c>
      <c r="EM116" t="str">
        <f t="shared" si="309"/>
        <v>2022_5</v>
      </c>
      <c r="EN116" t="str">
        <f t="shared" si="309"/>
        <v>2022_5</v>
      </c>
      <c r="EO116" t="str">
        <f t="shared" si="309"/>
        <v>2022_5</v>
      </c>
      <c r="EP116" t="str">
        <f t="shared" si="309"/>
        <v>2022_5</v>
      </c>
      <c r="EQ116" t="str">
        <f t="shared" si="309"/>
        <v>2022_5</v>
      </c>
      <c r="ER116" t="str">
        <f t="shared" si="309"/>
        <v>2022_5</v>
      </c>
      <c r="ES116" t="str">
        <f t="shared" si="309"/>
        <v>2022_5</v>
      </c>
      <c r="ET116" t="str">
        <f t="shared" si="309"/>
        <v>2022_5</v>
      </c>
      <c r="EU116" t="str">
        <f t="shared" si="309"/>
        <v>2022_5</v>
      </c>
      <c r="EV116" t="str">
        <f t="shared" si="309"/>
        <v>2022_5</v>
      </c>
      <c r="EW116" t="str">
        <f t="shared" si="309"/>
        <v>2022_5</v>
      </c>
      <c r="EX116" t="str">
        <f t="shared" si="309"/>
        <v>2022_5</v>
      </c>
      <c r="EY116" t="str">
        <f t="shared" si="309"/>
        <v>2022_5</v>
      </c>
      <c r="FB116" s="10" t="s">
        <v>37</v>
      </c>
      <c r="FC116">
        <f t="shared" si="305"/>
        <v>0</v>
      </c>
      <c r="FD116">
        <f t="shared" si="255"/>
        <v>0</v>
      </c>
      <c r="FE116">
        <f t="shared" si="256"/>
        <v>0</v>
      </c>
      <c r="FF116">
        <f t="shared" si="257"/>
        <v>0</v>
      </c>
      <c r="FG116">
        <f t="shared" si="258"/>
        <v>0</v>
      </c>
      <c r="FH116">
        <f t="shared" si="259"/>
        <v>0</v>
      </c>
      <c r="FI116">
        <f t="shared" si="260"/>
        <v>0</v>
      </c>
      <c r="FJ116">
        <f t="shared" si="261"/>
        <v>0</v>
      </c>
      <c r="FK116">
        <f t="shared" si="262"/>
        <v>0</v>
      </c>
      <c r="FL116">
        <f t="shared" si="263"/>
        <v>0</v>
      </c>
      <c r="FM116">
        <f t="shared" si="264"/>
        <v>0</v>
      </c>
      <c r="FN116">
        <f t="shared" si="265"/>
        <v>0</v>
      </c>
      <c r="FO116">
        <f t="shared" si="266"/>
        <v>0</v>
      </c>
      <c r="FP116">
        <f t="shared" si="267"/>
        <v>0</v>
      </c>
      <c r="FQ116">
        <f t="shared" si="268"/>
        <v>0</v>
      </c>
      <c r="FR116">
        <f t="shared" si="269"/>
        <v>0</v>
      </c>
      <c r="FS116">
        <f t="shared" si="270"/>
        <v>0</v>
      </c>
      <c r="FT116">
        <f t="shared" si="271"/>
        <v>0</v>
      </c>
      <c r="FU116">
        <f t="shared" si="272"/>
        <v>0</v>
      </c>
      <c r="FV116">
        <f t="shared" si="273"/>
        <v>0</v>
      </c>
      <c r="FW116">
        <f t="shared" si="274"/>
        <v>0</v>
      </c>
      <c r="FX116">
        <f t="shared" si="275"/>
        <v>0</v>
      </c>
      <c r="FY116">
        <f t="shared" si="276"/>
        <v>0</v>
      </c>
      <c r="FZ116">
        <f t="shared" si="277"/>
        <v>0</v>
      </c>
      <c r="GA116">
        <f t="shared" si="278"/>
        <v>0</v>
      </c>
      <c r="GB116">
        <f t="shared" si="279"/>
        <v>1</v>
      </c>
      <c r="GC116">
        <f t="shared" si="280"/>
        <v>1</v>
      </c>
      <c r="GD116">
        <f t="shared" si="281"/>
        <v>1</v>
      </c>
      <c r="GE116">
        <f t="shared" si="282"/>
        <v>1</v>
      </c>
      <c r="GF116">
        <f t="shared" si="283"/>
        <v>1</v>
      </c>
      <c r="GG116">
        <f t="shared" si="284"/>
        <v>1</v>
      </c>
      <c r="GH116">
        <f t="shared" si="285"/>
        <v>1</v>
      </c>
      <c r="GI116">
        <f t="shared" si="286"/>
        <v>1</v>
      </c>
      <c r="GJ116">
        <f t="shared" si="287"/>
        <v>1</v>
      </c>
      <c r="GK116">
        <f t="shared" si="288"/>
        <v>1</v>
      </c>
      <c r="GL116">
        <f t="shared" si="289"/>
        <v>1</v>
      </c>
      <c r="GM116">
        <f t="shared" si="290"/>
        <v>1</v>
      </c>
      <c r="GN116">
        <f t="shared" si="291"/>
        <v>1</v>
      </c>
      <c r="GO116">
        <f t="shared" si="292"/>
        <v>1</v>
      </c>
      <c r="GP116">
        <f t="shared" si="293"/>
        <v>1</v>
      </c>
      <c r="GQ116">
        <f t="shared" si="294"/>
        <v>1</v>
      </c>
      <c r="GR116">
        <f t="shared" si="295"/>
        <v>1</v>
      </c>
      <c r="GS116">
        <f t="shared" si="296"/>
        <v>1</v>
      </c>
      <c r="GT116">
        <f t="shared" si="297"/>
        <v>1</v>
      </c>
      <c r="GU116">
        <f t="shared" si="298"/>
        <v>1</v>
      </c>
      <c r="GX116" s="10"/>
    </row>
    <row r="117" spans="1:206" x14ac:dyDescent="0.3">
      <c r="A117" s="9" t="s">
        <v>33</v>
      </c>
      <c r="B117" s="80"/>
      <c r="C117" s="9">
        <v>3120287003</v>
      </c>
      <c r="D117" s="9" t="s">
        <v>419</v>
      </c>
      <c r="E117" s="9" t="s">
        <v>39</v>
      </c>
      <c r="F117" s="9" t="s">
        <v>35</v>
      </c>
      <c r="G117" s="9" t="s">
        <v>152</v>
      </c>
      <c r="H117" s="10">
        <v>44713</v>
      </c>
      <c r="I117" s="9">
        <f t="shared" si="299"/>
        <v>2022</v>
      </c>
      <c r="J117" s="9">
        <f t="shared" si="300"/>
        <v>6</v>
      </c>
      <c r="K117" s="9" t="str">
        <f t="shared" si="301"/>
        <v>2022_6</v>
      </c>
      <c r="L117">
        <f>MAX(0,VLOOKUP($K117,lookups!$A$1:$B$45,2,0)-12)</f>
        <v>14</v>
      </c>
      <c r="M117" s="40">
        <f t="shared" si="302"/>
        <v>44713</v>
      </c>
      <c r="N117" s="10" t="s">
        <v>37</v>
      </c>
      <c r="O117" t="str">
        <f ca="1">IF(OR($L117&gt;O$4,O$4&gt;$L117+23),"",OFFSET(Electric!$L108,0,-'Electric Calendarize'!$L117+'Electric Calendarize'!O$4+1))</f>
        <v/>
      </c>
      <c r="P117" t="str">
        <f ca="1">IF(OR($L117&gt;P$4,P$4&gt;$L117+23),"",OFFSET(Electric!$L108,0,-'Electric Calendarize'!$L117+'Electric Calendarize'!P$4+1))</f>
        <v/>
      </c>
      <c r="Q117" t="str">
        <f ca="1">IF(OR($L117&gt;Q$4,Q$4&gt;$L117+23),"",OFFSET(Electric!$L108,0,-'Electric Calendarize'!$L117+'Electric Calendarize'!Q$4+1))</f>
        <v/>
      </c>
      <c r="R117" t="str">
        <f ca="1">IF(OR($L117&gt;R$4,R$4&gt;$L117+23),"",OFFSET(Electric!$L108,0,-'Electric Calendarize'!$L117+'Electric Calendarize'!R$4+1))</f>
        <v/>
      </c>
      <c r="S117" t="str">
        <f ca="1">IF(OR($L117&gt;S$4,S$4&gt;$L117+23),"",OFFSET(Electric!$L108,0,-'Electric Calendarize'!$L117+'Electric Calendarize'!S$4+1))</f>
        <v/>
      </c>
      <c r="T117" t="str">
        <f ca="1">IF(OR($L117&gt;T$4,T$4&gt;$L117+23),"",OFFSET(Electric!$L108,0,-'Electric Calendarize'!$L117+'Electric Calendarize'!T$4+1))</f>
        <v/>
      </c>
      <c r="U117" t="str">
        <f ca="1">IF(OR($L117&gt;U$4,U$4&gt;$L117+23),"",OFFSET(Electric!$L108,0,-'Electric Calendarize'!$L117+'Electric Calendarize'!U$4+1))</f>
        <v/>
      </c>
      <c r="V117" t="str">
        <f ca="1">IF(OR($L117&gt;V$4,V$4&gt;$L117+23),"",OFFSET(Electric!$L108,0,-'Electric Calendarize'!$L117+'Electric Calendarize'!V$4+1))</f>
        <v/>
      </c>
      <c r="W117" t="str">
        <f ca="1">IF(OR($L117&gt;W$4,W$4&gt;$L117+23),"",OFFSET(Electric!$L108,0,-'Electric Calendarize'!$L117+'Electric Calendarize'!W$4+1))</f>
        <v/>
      </c>
      <c r="X117" t="str">
        <f ca="1">IF(OR($L117&gt;X$4,X$4&gt;$L117+23),"",OFFSET(Electric!$L108,0,-'Electric Calendarize'!$L117+'Electric Calendarize'!X$4+1))</f>
        <v/>
      </c>
      <c r="Y117" t="str">
        <f ca="1">IF(OR($L117&gt;Y$4,Y$4&gt;$L117+23),"",OFFSET(Electric!$L108,0,-'Electric Calendarize'!$L117+'Electric Calendarize'!Y$4+1))</f>
        <v/>
      </c>
      <c r="Z117" t="str">
        <f ca="1">IF(OR($L117&gt;Z$4,Z$4&gt;$L117+23),"",OFFSET(Electric!$L108,0,-'Electric Calendarize'!$L117+'Electric Calendarize'!Z$4+1))</f>
        <v/>
      </c>
      <c r="AA117" t="str">
        <f ca="1">IF(OR($L117&gt;AA$4,AA$4&gt;$L117+23),"",OFFSET(Electric!$L108,0,-'Electric Calendarize'!$L117+'Electric Calendarize'!AA$4+1))</f>
        <v/>
      </c>
      <c r="AB117" t="str">
        <f ca="1">IF(OR($L117&gt;AB$4,AB$4&gt;$L117+23),"",OFFSET(Electric!$L108,0,-'Electric Calendarize'!$L117+'Electric Calendarize'!AB$4+1))</f>
        <v/>
      </c>
      <c r="AC117">
        <f ca="1">IF(OR($L117&gt;AC$4,AC$4&gt;$L117+23),"",OFFSET(Electric!$L108,0,-'Electric Calendarize'!$L117+'Electric Calendarize'!AC$4+1))</f>
        <v>497</v>
      </c>
      <c r="AD117">
        <f ca="1">IF(OR($L117&gt;AD$4,AD$4&gt;$L117+23),"",OFFSET(Electric!$L108,0,-'Electric Calendarize'!$L117+'Electric Calendarize'!AD$4+1))</f>
        <v>639</v>
      </c>
      <c r="AE117">
        <f ca="1">IF(OR($L117&gt;AE$4,AE$4&gt;$L117+23),"",OFFSET(Electric!$L108,0,-'Electric Calendarize'!$L117+'Electric Calendarize'!AE$4+1))</f>
        <v>928</v>
      </c>
      <c r="AF117">
        <f ca="1">IF(OR($L117&gt;AF$4,AF$4&gt;$L117+23),"",OFFSET(Electric!$L108,0,-'Electric Calendarize'!$L117+'Electric Calendarize'!AF$4+1))</f>
        <v>737</v>
      </c>
      <c r="AG117">
        <f ca="1">IF(OR($L117&gt;AG$4,AG$4&gt;$L117+23),"",OFFSET(Electric!$L108,0,-'Electric Calendarize'!$L117+'Electric Calendarize'!AG$4+1))</f>
        <v>400</v>
      </c>
      <c r="AH117">
        <f ca="1">IF(OR($L117&gt;AH$4,AH$4&gt;$L117+23),"",OFFSET(Electric!$L108,0,-'Electric Calendarize'!$L117+'Electric Calendarize'!AH$4+1))</f>
        <v>344</v>
      </c>
      <c r="AI117">
        <f ca="1">IF(OR($L117&gt;AI$4,AI$4&gt;$L117+23),"",OFFSET(Electric!$L108,0,-'Electric Calendarize'!$L117+'Electric Calendarize'!AI$4+1))</f>
        <v>384</v>
      </c>
      <c r="AJ117">
        <f ca="1">IF(OR($L117&gt;AJ$4,AJ$4&gt;$L117+23),"",OFFSET(Electric!$L108,0,-'Electric Calendarize'!$L117+'Electric Calendarize'!AJ$4+1))</f>
        <v>357</v>
      </c>
      <c r="AK117">
        <f ca="1">IF(OR($L117&gt;AK$4,AK$4&gt;$L117+23),"",OFFSET(Electric!$L108,0,-'Electric Calendarize'!$L117+'Electric Calendarize'!AK$4+1))</f>
        <v>406</v>
      </c>
      <c r="AL117">
        <f ca="1">IF(OR($L117&gt;AL$4,AL$4&gt;$L117+23),"",OFFSET(Electric!$L108,0,-'Electric Calendarize'!$L117+'Electric Calendarize'!AL$4+1))</f>
        <v>469</v>
      </c>
      <c r="AM117">
        <f ca="1">IF(OR($L117&gt;AM$4,AM$4&gt;$L117+23),"",OFFSET(Electric!$L108,0,-'Electric Calendarize'!$L117+'Electric Calendarize'!AM$4+1))</f>
        <v>508</v>
      </c>
      <c r="AN117">
        <f ca="1">IF(OR($L117&gt;AN$4,AN$4&gt;$L117+23),"",OFFSET(Electric!$L108,0,-'Electric Calendarize'!$L117+'Electric Calendarize'!AN$4+1))</f>
        <v>602</v>
      </c>
      <c r="AO117">
        <f ca="1">IF(OR($L117&gt;AO$4,AO$4&gt;$L117+23),"",OFFSET(Electric!$L108,0,-'Electric Calendarize'!$L117+'Electric Calendarize'!AO$4+1))</f>
        <v>528</v>
      </c>
      <c r="AP117">
        <f ca="1">IF(OR($L117&gt;AP$4,AP$4&gt;$L117+23),"",OFFSET(Electric!$L108,0,-'Electric Calendarize'!$L117+'Electric Calendarize'!AP$4+1))</f>
        <v>642</v>
      </c>
      <c r="AQ117">
        <f ca="1">IF(OR($L117&gt;AQ$4,AQ$4&gt;$L117+23),"",OFFSET(Electric!$L108,0,-'Electric Calendarize'!$L117+'Electric Calendarize'!AQ$4+1))</f>
        <v>677</v>
      </c>
      <c r="AR117">
        <f ca="1">IF(OR($L117&gt;AR$4,AR$4&gt;$L117+23),"",OFFSET(Electric!$L108,0,-'Electric Calendarize'!$L117+'Electric Calendarize'!AR$4+1))</f>
        <v>506</v>
      </c>
      <c r="AS117">
        <f ca="1">IF(OR($L117&gt;AS$4,AS$4&gt;$L117+23),"",OFFSET(Electric!$L108,0,-'Electric Calendarize'!$L117+'Electric Calendarize'!AS$4+1))</f>
        <v>230</v>
      </c>
      <c r="AT117">
        <f ca="1">IF(OR($L117&gt;AT$4,AT$4&gt;$L117+23),"",OFFSET(Electric!$L108,0,-'Electric Calendarize'!$L117+'Electric Calendarize'!AT$4+1))</f>
        <v>544</v>
      </c>
      <c r="AU117">
        <f ca="1">IF(OR($L117&gt;AU$4,AU$4&gt;$L117+23),"",OFFSET(Electric!$L108,0,-'Electric Calendarize'!$L117+'Electric Calendarize'!AU$4+1))</f>
        <v>385</v>
      </c>
      <c r="AV117">
        <f ca="1">IF(OR($L117&gt;AV$4,AV$4&gt;$L117+23),"",OFFSET(Electric!$L108,0,-'Electric Calendarize'!$L117+'Electric Calendarize'!AV$4+1))</f>
        <v>446</v>
      </c>
      <c r="AW117">
        <f ca="1">IF(OR($L117&gt;AW$4,AW$4&gt;$L117+23),"",OFFSET(Electric!$L108,0,-'Electric Calendarize'!$L117+'Electric Calendarize'!AW$4+1))</f>
        <v>466</v>
      </c>
      <c r="AX117">
        <f ca="1">IF(OR($L117&gt;AX$4,AX$4&gt;$L117+23),"",OFFSET(Electric!$L108,0,-'Electric Calendarize'!$L117+'Electric Calendarize'!AX$4+1))</f>
        <v>420</v>
      </c>
      <c r="AY117">
        <f ca="1">IF(OR($L117&gt;AY$4,AY$4&gt;$L117+23),"",OFFSET(Electric!$L108,0,-'Electric Calendarize'!$L117+'Electric Calendarize'!AY$4+1))</f>
        <v>367</v>
      </c>
      <c r="AZ117">
        <f ca="1">IF(OR($L117&gt;AZ$4,AZ$4&gt;$L117+23),"",OFFSET(Electric!$L108,0,-'Electric Calendarize'!$L117+'Electric Calendarize'!AZ$4+1))</f>
        <v>395</v>
      </c>
      <c r="BA117" t="str">
        <f ca="1">IF(OR($L117&gt;BA$4,BA$4&gt;$L117+23),"",OFFSET(Electric!$L108,0,-'Electric Calendarize'!$L117+'Electric Calendarize'!BA$4+1))</f>
        <v/>
      </c>
      <c r="BB117" t="str">
        <f ca="1">IF(OR($L117&gt;BB$4,BB$4&gt;$L117+23),"",OFFSET(Electric!$L108,0,-'Electric Calendarize'!$L117+'Electric Calendarize'!BB$4+1))</f>
        <v/>
      </c>
      <c r="BC117" t="str">
        <f ca="1">IF(OR($L117&gt;BC$4,BC$4&gt;$L117+23),"",OFFSET(Electric!$L108,0,-'Electric Calendarize'!$L117+'Electric Calendarize'!BC$4+1))</f>
        <v/>
      </c>
      <c r="BD117" t="str">
        <f ca="1">IF(OR($L117&gt;BD$4,BD$4&gt;$L117+23),"",OFFSET(Electric!$L108,0,-'Electric Calendarize'!$L117+'Electric Calendarize'!BD$4+1))</f>
        <v/>
      </c>
      <c r="BE117" t="str">
        <f ca="1">IF(OR($L117&gt;BE$4,BE$4&gt;$L117+23),"",OFFSET(Electric!$L108,0,-'Electric Calendarize'!$L117+'Electric Calendarize'!BE$4+1))</f>
        <v/>
      </c>
      <c r="BF117" t="str">
        <f ca="1">IF(OR($L117&gt;BF$4,BF$4&gt;$L117+23),"",OFFSET(Electric!$L108,0,-'Electric Calendarize'!$L117+'Electric Calendarize'!BF$4+1))</f>
        <v/>
      </c>
      <c r="BG117" t="str">
        <f ca="1">IF(OR($L117&gt;BG$4,BG$4&gt;$L117+23),"",OFFSET(Electric!$L108,0,-'Electric Calendarize'!$L117+'Electric Calendarize'!BG$4+1))</f>
        <v/>
      </c>
      <c r="BJ117" s="10" t="s">
        <v>37</v>
      </c>
      <c r="BK117">
        <f t="shared" si="303"/>
        <v>1</v>
      </c>
      <c r="BL117">
        <f t="shared" si="209"/>
        <v>0</v>
      </c>
      <c r="BM117">
        <f t="shared" si="210"/>
        <v>0</v>
      </c>
      <c r="BN117">
        <f t="shared" si="211"/>
        <v>0</v>
      </c>
      <c r="BO117">
        <f t="shared" si="212"/>
        <v>0</v>
      </c>
      <c r="BP117">
        <f t="shared" si="213"/>
        <v>0</v>
      </c>
      <c r="BQ117">
        <f t="shared" si="214"/>
        <v>0</v>
      </c>
      <c r="BR117">
        <f t="shared" si="215"/>
        <v>1</v>
      </c>
      <c r="BS117">
        <f t="shared" si="216"/>
        <v>1</v>
      </c>
      <c r="BT117">
        <f t="shared" si="217"/>
        <v>1</v>
      </c>
      <c r="BU117">
        <f t="shared" si="218"/>
        <v>1</v>
      </c>
      <c r="BV117">
        <f t="shared" si="219"/>
        <v>1</v>
      </c>
      <c r="BW117">
        <f t="shared" si="220"/>
        <v>1</v>
      </c>
      <c r="BX117">
        <f t="shared" si="221"/>
        <v>0</v>
      </c>
      <c r="BY117">
        <f t="shared" si="222"/>
        <v>0</v>
      </c>
      <c r="BZ117">
        <f t="shared" si="223"/>
        <v>0</v>
      </c>
      <c r="CA117">
        <f t="shared" si="224"/>
        <v>0</v>
      </c>
      <c r="CB117">
        <f t="shared" si="225"/>
        <v>0</v>
      </c>
      <c r="CC117">
        <f t="shared" si="226"/>
        <v>0</v>
      </c>
      <c r="CD117">
        <f t="shared" si="227"/>
        <v>1</v>
      </c>
      <c r="CE117">
        <f t="shared" si="228"/>
        <v>1</v>
      </c>
      <c r="CF117">
        <f t="shared" si="229"/>
        <v>1</v>
      </c>
      <c r="CG117">
        <f t="shared" si="230"/>
        <v>1</v>
      </c>
      <c r="CH117">
        <f t="shared" si="231"/>
        <v>1</v>
      </c>
      <c r="CI117">
        <f t="shared" si="232"/>
        <v>1</v>
      </c>
      <c r="CJ117">
        <f t="shared" si="233"/>
        <v>0</v>
      </c>
      <c r="CK117">
        <f t="shared" si="234"/>
        <v>0</v>
      </c>
      <c r="CL117">
        <f t="shared" si="235"/>
        <v>0</v>
      </c>
      <c r="CM117">
        <f t="shared" si="236"/>
        <v>0</v>
      </c>
      <c r="CN117">
        <f t="shared" si="237"/>
        <v>0</v>
      </c>
      <c r="CO117">
        <f t="shared" si="238"/>
        <v>0</v>
      </c>
      <c r="CP117">
        <f t="shared" si="239"/>
        <v>1</v>
      </c>
      <c r="CQ117">
        <f t="shared" si="240"/>
        <v>1</v>
      </c>
      <c r="CR117">
        <f t="shared" si="241"/>
        <v>1</v>
      </c>
      <c r="CS117">
        <f t="shared" si="242"/>
        <v>1</v>
      </c>
      <c r="CT117">
        <f t="shared" si="243"/>
        <v>1</v>
      </c>
      <c r="CU117">
        <f t="shared" si="244"/>
        <v>1</v>
      </c>
      <c r="CV117">
        <f t="shared" si="245"/>
        <v>0</v>
      </c>
      <c r="CW117">
        <f t="shared" si="246"/>
        <v>0</v>
      </c>
      <c r="CX117">
        <f t="shared" si="247"/>
        <v>0</v>
      </c>
      <c r="CY117">
        <f t="shared" si="248"/>
        <v>0</v>
      </c>
      <c r="CZ117">
        <f t="shared" si="249"/>
        <v>0</v>
      </c>
      <c r="DA117">
        <f t="shared" si="250"/>
        <v>0</v>
      </c>
      <c r="DB117">
        <f t="shared" si="251"/>
        <v>1</v>
      </c>
      <c r="DC117">
        <f t="shared" si="252"/>
        <v>1</v>
      </c>
      <c r="DF117" s="10" t="s">
        <v>37</v>
      </c>
      <c r="DG117" t="str">
        <f t="shared" si="312"/>
        <v>2022_6</v>
      </c>
      <c r="DH117" t="str">
        <f t="shared" si="312"/>
        <v>2022_6</v>
      </c>
      <c r="DI117" t="str">
        <f t="shared" si="312"/>
        <v>2022_6</v>
      </c>
      <c r="DJ117" t="str">
        <f t="shared" si="312"/>
        <v>2022_6</v>
      </c>
      <c r="DK117" t="str">
        <f t="shared" si="312"/>
        <v>2022_6</v>
      </c>
      <c r="DL117" t="str">
        <f t="shared" si="312"/>
        <v>2022_6</v>
      </c>
      <c r="DM117" t="str">
        <f t="shared" si="312"/>
        <v>2022_6</v>
      </c>
      <c r="DN117" t="str">
        <f t="shared" si="312"/>
        <v>2022_6</v>
      </c>
      <c r="DO117" t="str">
        <f t="shared" si="312"/>
        <v>2022_6</v>
      </c>
      <c r="DP117" t="str">
        <f t="shared" si="312"/>
        <v>2022_6</v>
      </c>
      <c r="DQ117" t="str">
        <f t="shared" si="312"/>
        <v>2022_6</v>
      </c>
      <c r="DR117" t="str">
        <f t="shared" si="312"/>
        <v>2022_6</v>
      </c>
      <c r="DS117" t="str">
        <f t="shared" si="312"/>
        <v>2022_6</v>
      </c>
      <c r="DT117" t="str">
        <f t="shared" si="312"/>
        <v>2022_6</v>
      </c>
      <c r="DU117" t="str">
        <f t="shared" si="312"/>
        <v>2022_6</v>
      </c>
      <c r="DV117" t="str">
        <f t="shared" si="310"/>
        <v>2022_6</v>
      </c>
      <c r="DW117" t="str">
        <f t="shared" si="310"/>
        <v>2022_6</v>
      </c>
      <c r="DX117" t="str">
        <f t="shared" si="310"/>
        <v>2022_6</v>
      </c>
      <c r="DY117" t="str">
        <f t="shared" si="310"/>
        <v>2022_6</v>
      </c>
      <c r="DZ117" t="str">
        <f t="shared" si="310"/>
        <v>2022_6</v>
      </c>
      <c r="EA117" t="str">
        <f t="shared" si="310"/>
        <v>2022_6</v>
      </c>
      <c r="EB117" t="str">
        <f t="shared" si="310"/>
        <v>2022_6</v>
      </c>
      <c r="EC117" t="str">
        <f t="shared" si="310"/>
        <v>2022_6</v>
      </c>
      <c r="ED117" t="str">
        <f t="shared" si="310"/>
        <v>2022_6</v>
      </c>
      <c r="EE117" t="str">
        <f t="shared" si="310"/>
        <v>2022_6</v>
      </c>
      <c r="EF117" t="str">
        <f t="shared" si="310"/>
        <v>2022_6</v>
      </c>
      <c r="EG117" t="str">
        <f t="shared" si="310"/>
        <v>2022_6</v>
      </c>
      <c r="EH117" t="str">
        <f t="shared" si="310"/>
        <v>2022_6</v>
      </c>
      <c r="EI117" t="str">
        <f t="shared" si="310"/>
        <v>2022_6</v>
      </c>
      <c r="EJ117" t="str">
        <f t="shared" si="310"/>
        <v>2022_6</v>
      </c>
      <c r="EK117" t="str">
        <f t="shared" si="310"/>
        <v>2022_6</v>
      </c>
      <c r="EL117" t="str">
        <f t="shared" si="311"/>
        <v>2022_6</v>
      </c>
      <c r="EM117" t="str">
        <f t="shared" si="309"/>
        <v>2022_6</v>
      </c>
      <c r="EN117" t="str">
        <f t="shared" si="309"/>
        <v>2022_6</v>
      </c>
      <c r="EO117" t="str">
        <f t="shared" si="309"/>
        <v>2022_6</v>
      </c>
      <c r="EP117" t="str">
        <f t="shared" si="309"/>
        <v>2022_6</v>
      </c>
      <c r="EQ117" t="str">
        <f t="shared" si="309"/>
        <v>2022_6</v>
      </c>
      <c r="ER117" t="str">
        <f t="shared" si="309"/>
        <v>2022_6</v>
      </c>
      <c r="ES117" t="str">
        <f t="shared" si="309"/>
        <v>2022_6</v>
      </c>
      <c r="ET117" t="str">
        <f t="shared" si="309"/>
        <v>2022_6</v>
      </c>
      <c r="EU117" t="str">
        <f t="shared" si="309"/>
        <v>2022_6</v>
      </c>
      <c r="EV117" t="str">
        <f t="shared" si="309"/>
        <v>2022_6</v>
      </c>
      <c r="EW117" t="str">
        <f t="shared" si="309"/>
        <v>2022_6</v>
      </c>
      <c r="EX117" t="str">
        <f t="shared" si="309"/>
        <v>2022_6</v>
      </c>
      <c r="EY117" t="str">
        <f t="shared" si="309"/>
        <v>2022_6</v>
      </c>
      <c r="FB117" s="10" t="s">
        <v>37</v>
      </c>
      <c r="FC117">
        <f t="shared" si="305"/>
        <v>0</v>
      </c>
      <c r="FD117">
        <f t="shared" si="255"/>
        <v>0</v>
      </c>
      <c r="FE117">
        <f t="shared" si="256"/>
        <v>0</v>
      </c>
      <c r="FF117">
        <f t="shared" si="257"/>
        <v>0</v>
      </c>
      <c r="FG117">
        <f t="shared" si="258"/>
        <v>0</v>
      </c>
      <c r="FH117">
        <f t="shared" si="259"/>
        <v>0</v>
      </c>
      <c r="FI117">
        <f t="shared" si="260"/>
        <v>0</v>
      </c>
      <c r="FJ117">
        <f t="shared" si="261"/>
        <v>0</v>
      </c>
      <c r="FK117">
        <f t="shared" si="262"/>
        <v>0</v>
      </c>
      <c r="FL117">
        <f t="shared" si="263"/>
        <v>0</v>
      </c>
      <c r="FM117">
        <f t="shared" si="264"/>
        <v>0</v>
      </c>
      <c r="FN117">
        <f t="shared" si="265"/>
        <v>0</v>
      </c>
      <c r="FO117">
        <f t="shared" si="266"/>
        <v>0</v>
      </c>
      <c r="FP117">
        <f t="shared" si="267"/>
        <v>0</v>
      </c>
      <c r="FQ117">
        <f t="shared" si="268"/>
        <v>0</v>
      </c>
      <c r="FR117">
        <f t="shared" si="269"/>
        <v>0</v>
      </c>
      <c r="FS117">
        <f t="shared" si="270"/>
        <v>0</v>
      </c>
      <c r="FT117">
        <f t="shared" si="271"/>
        <v>0</v>
      </c>
      <c r="FU117">
        <f t="shared" si="272"/>
        <v>0</v>
      </c>
      <c r="FV117">
        <f t="shared" si="273"/>
        <v>0</v>
      </c>
      <c r="FW117">
        <f t="shared" si="274"/>
        <v>0</v>
      </c>
      <c r="FX117">
        <f t="shared" si="275"/>
        <v>0</v>
      </c>
      <c r="FY117">
        <f t="shared" si="276"/>
        <v>0</v>
      </c>
      <c r="FZ117">
        <f t="shared" si="277"/>
        <v>0</v>
      </c>
      <c r="GA117">
        <f t="shared" si="278"/>
        <v>0</v>
      </c>
      <c r="GB117">
        <f t="shared" si="279"/>
        <v>0</v>
      </c>
      <c r="GC117">
        <f t="shared" si="280"/>
        <v>1</v>
      </c>
      <c r="GD117">
        <f t="shared" si="281"/>
        <v>1</v>
      </c>
      <c r="GE117">
        <f t="shared" si="282"/>
        <v>1</v>
      </c>
      <c r="GF117">
        <f t="shared" si="283"/>
        <v>1</v>
      </c>
      <c r="GG117">
        <f t="shared" si="284"/>
        <v>1</v>
      </c>
      <c r="GH117">
        <f t="shared" si="285"/>
        <v>1</v>
      </c>
      <c r="GI117">
        <f t="shared" si="286"/>
        <v>1</v>
      </c>
      <c r="GJ117">
        <f t="shared" si="287"/>
        <v>1</v>
      </c>
      <c r="GK117">
        <f t="shared" si="288"/>
        <v>1</v>
      </c>
      <c r="GL117">
        <f t="shared" si="289"/>
        <v>1</v>
      </c>
      <c r="GM117">
        <f t="shared" si="290"/>
        <v>1</v>
      </c>
      <c r="GN117">
        <f t="shared" si="291"/>
        <v>1</v>
      </c>
      <c r="GO117">
        <f t="shared" si="292"/>
        <v>1</v>
      </c>
      <c r="GP117">
        <f t="shared" si="293"/>
        <v>1</v>
      </c>
      <c r="GQ117">
        <f t="shared" si="294"/>
        <v>1</v>
      </c>
      <c r="GR117">
        <f t="shared" si="295"/>
        <v>1</v>
      </c>
      <c r="GS117">
        <f t="shared" si="296"/>
        <v>1</v>
      </c>
      <c r="GT117">
        <f t="shared" si="297"/>
        <v>1</v>
      </c>
      <c r="GU117">
        <f t="shared" si="298"/>
        <v>1</v>
      </c>
      <c r="GX117" s="10"/>
    </row>
    <row r="118" spans="1:206" x14ac:dyDescent="0.3">
      <c r="A118" s="9" t="s">
        <v>124</v>
      </c>
      <c r="B118" s="80"/>
      <c r="C118" s="9">
        <v>3062506001</v>
      </c>
      <c r="D118" s="9" t="s">
        <v>373</v>
      </c>
      <c r="E118" s="9" t="s">
        <v>34</v>
      </c>
      <c r="F118" s="9" t="s">
        <v>35</v>
      </c>
      <c r="G118" s="9" t="s">
        <v>153</v>
      </c>
      <c r="H118" s="10">
        <v>44718</v>
      </c>
      <c r="I118" s="9">
        <f t="shared" si="299"/>
        <v>2022</v>
      </c>
      <c r="J118" s="9">
        <f t="shared" si="300"/>
        <v>6</v>
      </c>
      <c r="K118" s="9" t="str">
        <f t="shared" si="301"/>
        <v>2022_6</v>
      </c>
      <c r="L118">
        <f>MAX(0,VLOOKUP($K118,lookups!$A$1:$B$45,2,0)-12)</f>
        <v>14</v>
      </c>
      <c r="M118" s="40">
        <f t="shared" si="302"/>
        <v>44713</v>
      </c>
      <c r="N118" s="10" t="s">
        <v>37</v>
      </c>
      <c r="O118" t="str">
        <f ca="1">IF(OR($L118&gt;O$4,O$4&gt;$L118+23),"",OFFSET(Electric!$L109,0,-'Electric Calendarize'!$L118+'Electric Calendarize'!O$4+1))</f>
        <v/>
      </c>
      <c r="P118" t="str">
        <f ca="1">IF(OR($L118&gt;P$4,P$4&gt;$L118+23),"",OFFSET(Electric!$L109,0,-'Electric Calendarize'!$L118+'Electric Calendarize'!P$4+1))</f>
        <v/>
      </c>
      <c r="Q118" t="str">
        <f ca="1">IF(OR($L118&gt;Q$4,Q$4&gt;$L118+23),"",OFFSET(Electric!$L109,0,-'Electric Calendarize'!$L118+'Electric Calendarize'!Q$4+1))</f>
        <v/>
      </c>
      <c r="R118" t="str">
        <f ca="1">IF(OR($L118&gt;R$4,R$4&gt;$L118+23),"",OFFSET(Electric!$L109,0,-'Electric Calendarize'!$L118+'Electric Calendarize'!R$4+1))</f>
        <v/>
      </c>
      <c r="S118" t="str">
        <f ca="1">IF(OR($L118&gt;S$4,S$4&gt;$L118+23),"",OFFSET(Electric!$L109,0,-'Electric Calendarize'!$L118+'Electric Calendarize'!S$4+1))</f>
        <v/>
      </c>
      <c r="T118" t="str">
        <f ca="1">IF(OR($L118&gt;T$4,T$4&gt;$L118+23),"",OFFSET(Electric!$L109,0,-'Electric Calendarize'!$L118+'Electric Calendarize'!T$4+1))</f>
        <v/>
      </c>
      <c r="U118" t="str">
        <f ca="1">IF(OR($L118&gt;U$4,U$4&gt;$L118+23),"",OFFSET(Electric!$L109,0,-'Electric Calendarize'!$L118+'Electric Calendarize'!U$4+1))</f>
        <v/>
      </c>
      <c r="V118" t="str">
        <f ca="1">IF(OR($L118&gt;V$4,V$4&gt;$L118+23),"",OFFSET(Electric!$L109,0,-'Electric Calendarize'!$L118+'Electric Calendarize'!V$4+1))</f>
        <v/>
      </c>
      <c r="W118" t="str">
        <f ca="1">IF(OR($L118&gt;W$4,W$4&gt;$L118+23),"",OFFSET(Electric!$L109,0,-'Electric Calendarize'!$L118+'Electric Calendarize'!W$4+1))</f>
        <v/>
      </c>
      <c r="X118" t="str">
        <f ca="1">IF(OR($L118&gt;X$4,X$4&gt;$L118+23),"",OFFSET(Electric!$L109,0,-'Electric Calendarize'!$L118+'Electric Calendarize'!X$4+1))</f>
        <v/>
      </c>
      <c r="Y118" t="str">
        <f ca="1">IF(OR($L118&gt;Y$4,Y$4&gt;$L118+23),"",OFFSET(Electric!$L109,0,-'Electric Calendarize'!$L118+'Electric Calendarize'!Y$4+1))</f>
        <v/>
      </c>
      <c r="Z118" t="str">
        <f ca="1">IF(OR($L118&gt;Z$4,Z$4&gt;$L118+23),"",OFFSET(Electric!$L109,0,-'Electric Calendarize'!$L118+'Electric Calendarize'!Z$4+1))</f>
        <v/>
      </c>
      <c r="AA118" t="str">
        <f ca="1">IF(OR($L118&gt;AA$4,AA$4&gt;$L118+23),"",OFFSET(Electric!$L109,0,-'Electric Calendarize'!$L118+'Electric Calendarize'!AA$4+1))</f>
        <v/>
      </c>
      <c r="AB118" t="str">
        <f ca="1">IF(OR($L118&gt;AB$4,AB$4&gt;$L118+23),"",OFFSET(Electric!$L109,0,-'Electric Calendarize'!$L118+'Electric Calendarize'!AB$4+1))</f>
        <v/>
      </c>
      <c r="AC118">
        <f ca="1">IF(OR($L118&gt;AC$4,AC$4&gt;$L118+23),"",OFFSET(Electric!$L109,0,-'Electric Calendarize'!$L118+'Electric Calendarize'!AC$4+1))</f>
        <v>1078</v>
      </c>
      <c r="AD118">
        <f ca="1">IF(OR($L118&gt;AD$4,AD$4&gt;$L118+23),"",OFFSET(Electric!$L109,0,-'Electric Calendarize'!$L118+'Electric Calendarize'!AD$4+1))</f>
        <v>1580</v>
      </c>
      <c r="AE118">
        <f ca="1">IF(OR($L118&gt;AE$4,AE$4&gt;$L118+23),"",OFFSET(Electric!$L109,0,-'Electric Calendarize'!$L118+'Electric Calendarize'!AE$4+1))</f>
        <v>1630</v>
      </c>
      <c r="AF118">
        <f ca="1">IF(OR($L118&gt;AF$4,AF$4&gt;$L118+23),"",OFFSET(Electric!$L109,0,-'Electric Calendarize'!$L118+'Electric Calendarize'!AF$4+1))</f>
        <v>1716</v>
      </c>
      <c r="AG118">
        <f ca="1">IF(OR($L118&gt;AG$4,AG$4&gt;$L118+23),"",OFFSET(Electric!$L109,0,-'Electric Calendarize'!$L118+'Electric Calendarize'!AG$4+1))</f>
        <v>1170</v>
      </c>
      <c r="AH118">
        <f ca="1">IF(OR($L118&gt;AH$4,AH$4&gt;$L118+23),"",OFFSET(Electric!$L109,0,-'Electric Calendarize'!$L118+'Electric Calendarize'!AH$4+1))</f>
        <v>1102</v>
      </c>
      <c r="AI118">
        <f ca="1">IF(OR($L118&gt;AI$4,AI$4&gt;$L118+23),"",OFFSET(Electric!$L109,0,-'Electric Calendarize'!$L118+'Electric Calendarize'!AI$4+1))</f>
        <v>1534</v>
      </c>
      <c r="AJ118">
        <f ca="1">IF(OR($L118&gt;AJ$4,AJ$4&gt;$L118+23),"",OFFSET(Electric!$L109,0,-'Electric Calendarize'!$L118+'Electric Calendarize'!AJ$4+1))</f>
        <v>1338</v>
      </c>
      <c r="AK118">
        <f ca="1">IF(OR($L118&gt;AK$4,AK$4&gt;$L118+23),"",OFFSET(Electric!$L109,0,-'Electric Calendarize'!$L118+'Electric Calendarize'!AK$4+1))</f>
        <v>1222</v>
      </c>
      <c r="AL118">
        <f ca="1">IF(OR($L118&gt;AL$4,AL$4&gt;$L118+23),"",OFFSET(Electric!$L109,0,-'Electric Calendarize'!$L118+'Electric Calendarize'!AL$4+1))</f>
        <v>1386</v>
      </c>
      <c r="AM118">
        <f ca="1">IF(OR($L118&gt;AM$4,AM$4&gt;$L118+23),"",OFFSET(Electric!$L109,0,-'Electric Calendarize'!$L118+'Electric Calendarize'!AM$4+1))</f>
        <v>976</v>
      </c>
      <c r="AN118">
        <f ca="1">IF(OR($L118&gt;AN$4,AN$4&gt;$L118+23),"",OFFSET(Electric!$L109,0,-'Electric Calendarize'!$L118+'Electric Calendarize'!AN$4+1))</f>
        <v>1090</v>
      </c>
      <c r="AO118">
        <f ca="1">IF(OR($L118&gt;AO$4,AO$4&gt;$L118+23),"",OFFSET(Electric!$L109,0,-'Electric Calendarize'!$L118+'Electric Calendarize'!AO$4+1))</f>
        <v>1002</v>
      </c>
      <c r="AP118">
        <f ca="1">IF(OR($L118&gt;AP$4,AP$4&gt;$L118+23),"",OFFSET(Electric!$L109,0,-'Electric Calendarize'!$L118+'Electric Calendarize'!AP$4+1))</f>
        <v>1380</v>
      </c>
      <c r="AQ118">
        <f ca="1">IF(OR($L118&gt;AQ$4,AQ$4&gt;$L118+23),"",OFFSET(Electric!$L109,0,-'Electric Calendarize'!$L118+'Electric Calendarize'!AQ$4+1))</f>
        <v>1370</v>
      </c>
      <c r="AR118">
        <f ca="1">IF(OR($L118&gt;AR$4,AR$4&gt;$L118+23),"",OFFSET(Electric!$L109,0,-'Electric Calendarize'!$L118+'Electric Calendarize'!AR$4+1))</f>
        <v>1068</v>
      </c>
      <c r="AS118">
        <f ca="1">IF(OR($L118&gt;AS$4,AS$4&gt;$L118+23),"",OFFSET(Electric!$L109,0,-'Electric Calendarize'!$L118+'Electric Calendarize'!AS$4+1))</f>
        <v>1128</v>
      </c>
      <c r="AT118">
        <f ca="1">IF(OR($L118&gt;AT$4,AT$4&gt;$L118+23),"",OFFSET(Electric!$L109,0,-'Electric Calendarize'!$L118+'Electric Calendarize'!AT$4+1))</f>
        <v>1528</v>
      </c>
      <c r="AU118">
        <f ca="1">IF(OR($L118&gt;AU$4,AU$4&gt;$L118+23),"",OFFSET(Electric!$L109,0,-'Electric Calendarize'!$L118+'Electric Calendarize'!AU$4+1))</f>
        <v>3544</v>
      </c>
      <c r="AV118">
        <f ca="1">IF(OR($L118&gt;AV$4,AV$4&gt;$L118+23),"",OFFSET(Electric!$L109,0,-'Electric Calendarize'!$L118+'Electric Calendarize'!AV$4+1))</f>
        <v>4538</v>
      </c>
      <c r="AW118">
        <f ca="1">IF(OR($L118&gt;AW$4,AW$4&gt;$L118+23),"",OFFSET(Electric!$L109,0,-'Electric Calendarize'!$L118+'Electric Calendarize'!AW$4+1))</f>
        <v>4398</v>
      </c>
      <c r="AX118">
        <f ca="1">IF(OR($L118&gt;AX$4,AX$4&gt;$L118+23),"",OFFSET(Electric!$L109,0,-'Electric Calendarize'!$L118+'Electric Calendarize'!AX$4+1))</f>
        <v>2858</v>
      </c>
      <c r="AY118">
        <f ca="1">IF(OR($L118&gt;AY$4,AY$4&gt;$L118+23),"",OFFSET(Electric!$L109,0,-'Electric Calendarize'!$L118+'Electric Calendarize'!AY$4+1))</f>
        <v>2106</v>
      </c>
      <c r="AZ118">
        <f ca="1">IF(OR($L118&gt;AZ$4,AZ$4&gt;$L118+23),"",OFFSET(Electric!$L109,0,-'Electric Calendarize'!$L118+'Electric Calendarize'!AZ$4+1))</f>
        <v>1348</v>
      </c>
      <c r="BA118" t="str">
        <f ca="1">IF(OR($L118&gt;BA$4,BA$4&gt;$L118+23),"",OFFSET(Electric!$L109,0,-'Electric Calendarize'!$L118+'Electric Calendarize'!BA$4+1))</f>
        <v/>
      </c>
      <c r="BB118" t="str">
        <f ca="1">IF(OR($L118&gt;BB$4,BB$4&gt;$L118+23),"",OFFSET(Electric!$L109,0,-'Electric Calendarize'!$L118+'Electric Calendarize'!BB$4+1))</f>
        <v/>
      </c>
      <c r="BC118" t="str">
        <f ca="1">IF(OR($L118&gt;BC$4,BC$4&gt;$L118+23),"",OFFSET(Electric!$L109,0,-'Electric Calendarize'!$L118+'Electric Calendarize'!BC$4+1))</f>
        <v/>
      </c>
      <c r="BD118" t="str">
        <f ca="1">IF(OR($L118&gt;BD$4,BD$4&gt;$L118+23),"",OFFSET(Electric!$L109,0,-'Electric Calendarize'!$L118+'Electric Calendarize'!BD$4+1))</f>
        <v/>
      </c>
      <c r="BE118" t="str">
        <f ca="1">IF(OR($L118&gt;BE$4,BE$4&gt;$L118+23),"",OFFSET(Electric!$L109,0,-'Electric Calendarize'!$L118+'Electric Calendarize'!BE$4+1))</f>
        <v/>
      </c>
      <c r="BF118" t="str">
        <f ca="1">IF(OR($L118&gt;BF$4,BF$4&gt;$L118+23),"",OFFSET(Electric!$L109,0,-'Electric Calendarize'!$L118+'Electric Calendarize'!BF$4+1))</f>
        <v/>
      </c>
      <c r="BG118" t="str">
        <f ca="1">IF(OR($L118&gt;BG$4,BG$4&gt;$L118+23),"",OFFSET(Electric!$L109,0,-'Electric Calendarize'!$L118+'Electric Calendarize'!BG$4+1))</f>
        <v/>
      </c>
      <c r="BJ118" s="10" t="s">
        <v>37</v>
      </c>
      <c r="BK118">
        <f t="shared" si="303"/>
        <v>1</v>
      </c>
      <c r="BL118">
        <f t="shared" si="209"/>
        <v>0</v>
      </c>
      <c r="BM118">
        <f t="shared" si="210"/>
        <v>0</v>
      </c>
      <c r="BN118">
        <f t="shared" si="211"/>
        <v>0</v>
      </c>
      <c r="BO118">
        <f t="shared" si="212"/>
        <v>0</v>
      </c>
      <c r="BP118">
        <f t="shared" si="213"/>
        <v>0</v>
      </c>
      <c r="BQ118">
        <f t="shared" si="214"/>
        <v>0</v>
      </c>
      <c r="BR118">
        <f t="shared" si="215"/>
        <v>1</v>
      </c>
      <c r="BS118">
        <f t="shared" si="216"/>
        <v>1</v>
      </c>
      <c r="BT118">
        <f t="shared" si="217"/>
        <v>1</v>
      </c>
      <c r="BU118">
        <f t="shared" si="218"/>
        <v>1</v>
      </c>
      <c r="BV118">
        <f t="shared" si="219"/>
        <v>1</v>
      </c>
      <c r="BW118">
        <f t="shared" si="220"/>
        <v>1</v>
      </c>
      <c r="BX118">
        <f t="shared" si="221"/>
        <v>0</v>
      </c>
      <c r="BY118">
        <f t="shared" si="222"/>
        <v>0</v>
      </c>
      <c r="BZ118">
        <f t="shared" si="223"/>
        <v>0</v>
      </c>
      <c r="CA118">
        <f t="shared" si="224"/>
        <v>0</v>
      </c>
      <c r="CB118">
        <f t="shared" si="225"/>
        <v>0</v>
      </c>
      <c r="CC118">
        <f t="shared" si="226"/>
        <v>0</v>
      </c>
      <c r="CD118">
        <f t="shared" si="227"/>
        <v>1</v>
      </c>
      <c r="CE118">
        <f t="shared" si="228"/>
        <v>1</v>
      </c>
      <c r="CF118">
        <f t="shared" si="229"/>
        <v>1</v>
      </c>
      <c r="CG118">
        <f t="shared" si="230"/>
        <v>1</v>
      </c>
      <c r="CH118">
        <f t="shared" si="231"/>
        <v>1</v>
      </c>
      <c r="CI118">
        <f t="shared" si="232"/>
        <v>1</v>
      </c>
      <c r="CJ118">
        <f t="shared" si="233"/>
        <v>0</v>
      </c>
      <c r="CK118">
        <f t="shared" si="234"/>
        <v>0</v>
      </c>
      <c r="CL118">
        <f t="shared" si="235"/>
        <v>0</v>
      </c>
      <c r="CM118">
        <f t="shared" si="236"/>
        <v>0</v>
      </c>
      <c r="CN118">
        <f t="shared" si="237"/>
        <v>0</v>
      </c>
      <c r="CO118">
        <f t="shared" si="238"/>
        <v>0</v>
      </c>
      <c r="CP118">
        <f t="shared" si="239"/>
        <v>1</v>
      </c>
      <c r="CQ118">
        <f t="shared" si="240"/>
        <v>1</v>
      </c>
      <c r="CR118">
        <f t="shared" si="241"/>
        <v>1</v>
      </c>
      <c r="CS118">
        <f t="shared" si="242"/>
        <v>1</v>
      </c>
      <c r="CT118">
        <f t="shared" si="243"/>
        <v>1</v>
      </c>
      <c r="CU118">
        <f t="shared" si="244"/>
        <v>1</v>
      </c>
      <c r="CV118">
        <f t="shared" si="245"/>
        <v>0</v>
      </c>
      <c r="CW118">
        <f t="shared" si="246"/>
        <v>0</v>
      </c>
      <c r="CX118">
        <f t="shared" si="247"/>
        <v>0</v>
      </c>
      <c r="CY118">
        <f t="shared" si="248"/>
        <v>0</v>
      </c>
      <c r="CZ118">
        <f t="shared" si="249"/>
        <v>0</v>
      </c>
      <c r="DA118">
        <f t="shared" si="250"/>
        <v>0</v>
      </c>
      <c r="DB118">
        <f t="shared" si="251"/>
        <v>1</v>
      </c>
      <c r="DC118">
        <f t="shared" si="252"/>
        <v>1</v>
      </c>
      <c r="DF118" s="10" t="s">
        <v>37</v>
      </c>
      <c r="DG118" t="str">
        <f t="shared" si="312"/>
        <v>2022_6</v>
      </c>
      <c r="DH118" t="str">
        <f t="shared" si="312"/>
        <v>2022_6</v>
      </c>
      <c r="DI118" t="str">
        <f t="shared" si="312"/>
        <v>2022_6</v>
      </c>
      <c r="DJ118" t="str">
        <f t="shared" si="312"/>
        <v>2022_6</v>
      </c>
      <c r="DK118" t="str">
        <f t="shared" si="312"/>
        <v>2022_6</v>
      </c>
      <c r="DL118" t="str">
        <f t="shared" si="312"/>
        <v>2022_6</v>
      </c>
      <c r="DM118" t="str">
        <f t="shared" si="312"/>
        <v>2022_6</v>
      </c>
      <c r="DN118" t="str">
        <f t="shared" si="312"/>
        <v>2022_6</v>
      </c>
      <c r="DO118" t="str">
        <f t="shared" si="312"/>
        <v>2022_6</v>
      </c>
      <c r="DP118" t="str">
        <f t="shared" si="312"/>
        <v>2022_6</v>
      </c>
      <c r="DQ118" t="str">
        <f t="shared" si="312"/>
        <v>2022_6</v>
      </c>
      <c r="DR118" t="str">
        <f t="shared" si="312"/>
        <v>2022_6</v>
      </c>
      <c r="DS118" t="str">
        <f t="shared" si="312"/>
        <v>2022_6</v>
      </c>
      <c r="DT118" t="str">
        <f t="shared" si="312"/>
        <v>2022_6</v>
      </c>
      <c r="DU118" t="str">
        <f t="shared" si="312"/>
        <v>2022_6</v>
      </c>
      <c r="DV118" t="str">
        <f t="shared" si="310"/>
        <v>2022_6</v>
      </c>
      <c r="DW118" t="str">
        <f t="shared" si="310"/>
        <v>2022_6</v>
      </c>
      <c r="DX118" t="str">
        <f t="shared" si="310"/>
        <v>2022_6</v>
      </c>
      <c r="DY118" t="str">
        <f t="shared" si="310"/>
        <v>2022_6</v>
      </c>
      <c r="DZ118" t="str">
        <f t="shared" si="310"/>
        <v>2022_6</v>
      </c>
      <c r="EA118" t="str">
        <f t="shared" si="310"/>
        <v>2022_6</v>
      </c>
      <c r="EB118" t="str">
        <f t="shared" si="310"/>
        <v>2022_6</v>
      </c>
      <c r="EC118" t="str">
        <f t="shared" si="310"/>
        <v>2022_6</v>
      </c>
      <c r="ED118" t="str">
        <f t="shared" si="310"/>
        <v>2022_6</v>
      </c>
      <c r="EE118" t="str">
        <f t="shared" si="310"/>
        <v>2022_6</v>
      </c>
      <c r="EF118" t="str">
        <f t="shared" si="310"/>
        <v>2022_6</v>
      </c>
      <c r="EG118" t="str">
        <f t="shared" si="310"/>
        <v>2022_6</v>
      </c>
      <c r="EH118" t="str">
        <f t="shared" si="310"/>
        <v>2022_6</v>
      </c>
      <c r="EI118" t="str">
        <f t="shared" si="310"/>
        <v>2022_6</v>
      </c>
      <c r="EJ118" t="str">
        <f t="shared" si="310"/>
        <v>2022_6</v>
      </c>
      <c r="EK118" t="str">
        <f t="shared" si="310"/>
        <v>2022_6</v>
      </c>
      <c r="EL118" t="str">
        <f t="shared" si="311"/>
        <v>2022_6</v>
      </c>
      <c r="EM118" t="str">
        <f t="shared" si="309"/>
        <v>2022_6</v>
      </c>
      <c r="EN118" t="str">
        <f t="shared" si="309"/>
        <v>2022_6</v>
      </c>
      <c r="EO118" t="str">
        <f t="shared" si="309"/>
        <v>2022_6</v>
      </c>
      <c r="EP118" t="str">
        <f t="shared" si="309"/>
        <v>2022_6</v>
      </c>
      <c r="EQ118" t="str">
        <f t="shared" si="309"/>
        <v>2022_6</v>
      </c>
      <c r="ER118" t="str">
        <f t="shared" si="309"/>
        <v>2022_6</v>
      </c>
      <c r="ES118" t="str">
        <f t="shared" si="309"/>
        <v>2022_6</v>
      </c>
      <c r="ET118" t="str">
        <f t="shared" si="309"/>
        <v>2022_6</v>
      </c>
      <c r="EU118" t="str">
        <f t="shared" si="309"/>
        <v>2022_6</v>
      </c>
      <c r="EV118" t="str">
        <f t="shared" si="309"/>
        <v>2022_6</v>
      </c>
      <c r="EW118" t="str">
        <f t="shared" si="309"/>
        <v>2022_6</v>
      </c>
      <c r="EX118" t="str">
        <f t="shared" si="309"/>
        <v>2022_6</v>
      </c>
      <c r="EY118" t="str">
        <f t="shared" si="309"/>
        <v>2022_6</v>
      </c>
      <c r="FB118" s="10" t="s">
        <v>37</v>
      </c>
      <c r="FC118">
        <f t="shared" si="305"/>
        <v>0</v>
      </c>
      <c r="FD118">
        <f t="shared" si="255"/>
        <v>0</v>
      </c>
      <c r="FE118">
        <f t="shared" si="256"/>
        <v>0</v>
      </c>
      <c r="FF118">
        <f t="shared" si="257"/>
        <v>0</v>
      </c>
      <c r="FG118">
        <f t="shared" si="258"/>
        <v>0</v>
      </c>
      <c r="FH118">
        <f t="shared" si="259"/>
        <v>0</v>
      </c>
      <c r="FI118">
        <f t="shared" si="260"/>
        <v>0</v>
      </c>
      <c r="FJ118">
        <f t="shared" si="261"/>
        <v>0</v>
      </c>
      <c r="FK118">
        <f t="shared" si="262"/>
        <v>0</v>
      </c>
      <c r="FL118">
        <f t="shared" si="263"/>
        <v>0</v>
      </c>
      <c r="FM118">
        <f t="shared" si="264"/>
        <v>0</v>
      </c>
      <c r="FN118">
        <f t="shared" si="265"/>
        <v>0</v>
      </c>
      <c r="FO118">
        <f t="shared" si="266"/>
        <v>0</v>
      </c>
      <c r="FP118">
        <f t="shared" si="267"/>
        <v>0</v>
      </c>
      <c r="FQ118">
        <f t="shared" si="268"/>
        <v>0</v>
      </c>
      <c r="FR118">
        <f t="shared" si="269"/>
        <v>0</v>
      </c>
      <c r="FS118">
        <f t="shared" si="270"/>
        <v>0</v>
      </c>
      <c r="FT118">
        <f t="shared" si="271"/>
        <v>0</v>
      </c>
      <c r="FU118">
        <f t="shared" si="272"/>
        <v>0</v>
      </c>
      <c r="FV118">
        <f t="shared" si="273"/>
        <v>0</v>
      </c>
      <c r="FW118">
        <f t="shared" si="274"/>
        <v>0</v>
      </c>
      <c r="FX118">
        <f t="shared" si="275"/>
        <v>0</v>
      </c>
      <c r="FY118">
        <f t="shared" si="276"/>
        <v>0</v>
      </c>
      <c r="FZ118">
        <f t="shared" si="277"/>
        <v>0</v>
      </c>
      <c r="GA118">
        <f t="shared" si="278"/>
        <v>0</v>
      </c>
      <c r="GB118">
        <f t="shared" si="279"/>
        <v>0</v>
      </c>
      <c r="GC118">
        <f t="shared" si="280"/>
        <v>1</v>
      </c>
      <c r="GD118">
        <f t="shared" si="281"/>
        <v>1</v>
      </c>
      <c r="GE118">
        <f t="shared" si="282"/>
        <v>1</v>
      </c>
      <c r="GF118">
        <f t="shared" si="283"/>
        <v>1</v>
      </c>
      <c r="GG118">
        <f t="shared" si="284"/>
        <v>1</v>
      </c>
      <c r="GH118">
        <f t="shared" si="285"/>
        <v>1</v>
      </c>
      <c r="GI118">
        <f t="shared" si="286"/>
        <v>1</v>
      </c>
      <c r="GJ118">
        <f t="shared" si="287"/>
        <v>1</v>
      </c>
      <c r="GK118">
        <f t="shared" si="288"/>
        <v>1</v>
      </c>
      <c r="GL118">
        <f t="shared" si="289"/>
        <v>1</v>
      </c>
      <c r="GM118">
        <f t="shared" si="290"/>
        <v>1</v>
      </c>
      <c r="GN118">
        <f t="shared" si="291"/>
        <v>1</v>
      </c>
      <c r="GO118">
        <f t="shared" si="292"/>
        <v>1</v>
      </c>
      <c r="GP118">
        <f t="shared" si="293"/>
        <v>1</v>
      </c>
      <c r="GQ118">
        <f t="shared" si="294"/>
        <v>1</v>
      </c>
      <c r="GR118">
        <f t="shared" si="295"/>
        <v>1</v>
      </c>
      <c r="GS118">
        <f t="shared" si="296"/>
        <v>1</v>
      </c>
      <c r="GT118">
        <f t="shared" si="297"/>
        <v>1</v>
      </c>
      <c r="GU118">
        <f t="shared" si="298"/>
        <v>1</v>
      </c>
      <c r="GX118" s="10"/>
    </row>
    <row r="119" spans="1:206" x14ac:dyDescent="0.3">
      <c r="A119" s="9" t="s">
        <v>33</v>
      </c>
      <c r="B119" s="80"/>
      <c r="C119" s="9">
        <v>3082294000</v>
      </c>
      <c r="D119" s="9" t="s">
        <v>437</v>
      </c>
      <c r="E119" s="9" t="s">
        <v>34</v>
      </c>
      <c r="F119" s="9" t="s">
        <v>35</v>
      </c>
      <c r="G119" s="9" t="s">
        <v>154</v>
      </c>
      <c r="H119" s="10">
        <v>44718</v>
      </c>
      <c r="I119" s="9">
        <f t="shared" si="299"/>
        <v>2022</v>
      </c>
      <c r="J119" s="9">
        <f t="shared" si="300"/>
        <v>6</v>
      </c>
      <c r="K119" s="9" t="str">
        <f t="shared" si="301"/>
        <v>2022_6</v>
      </c>
      <c r="L119">
        <f>MAX(0,VLOOKUP($K119,lookups!$A$1:$B$45,2,0)-12)</f>
        <v>14</v>
      </c>
      <c r="M119" s="40">
        <f t="shared" si="302"/>
        <v>44713</v>
      </c>
      <c r="N119" s="10" t="s">
        <v>37</v>
      </c>
      <c r="O119" t="str">
        <f ca="1">IF(OR($L119&gt;O$4,O$4&gt;$L119+23),"",OFFSET(Electric!$L110,0,-'Electric Calendarize'!$L119+'Electric Calendarize'!O$4+1))</f>
        <v/>
      </c>
      <c r="P119" t="str">
        <f ca="1">IF(OR($L119&gt;P$4,P$4&gt;$L119+23),"",OFFSET(Electric!$L110,0,-'Electric Calendarize'!$L119+'Electric Calendarize'!P$4+1))</f>
        <v/>
      </c>
      <c r="Q119" t="str">
        <f ca="1">IF(OR($L119&gt;Q$4,Q$4&gt;$L119+23),"",OFFSET(Electric!$L110,0,-'Electric Calendarize'!$L119+'Electric Calendarize'!Q$4+1))</f>
        <v/>
      </c>
      <c r="R119" t="str">
        <f ca="1">IF(OR($L119&gt;R$4,R$4&gt;$L119+23),"",OFFSET(Electric!$L110,0,-'Electric Calendarize'!$L119+'Electric Calendarize'!R$4+1))</f>
        <v/>
      </c>
      <c r="S119" t="str">
        <f ca="1">IF(OR($L119&gt;S$4,S$4&gt;$L119+23),"",OFFSET(Electric!$L110,0,-'Electric Calendarize'!$L119+'Electric Calendarize'!S$4+1))</f>
        <v/>
      </c>
      <c r="T119" t="str">
        <f ca="1">IF(OR($L119&gt;T$4,T$4&gt;$L119+23),"",OFFSET(Electric!$L110,0,-'Electric Calendarize'!$L119+'Electric Calendarize'!T$4+1))</f>
        <v/>
      </c>
      <c r="U119" t="str">
        <f ca="1">IF(OR($L119&gt;U$4,U$4&gt;$L119+23),"",OFFSET(Electric!$L110,0,-'Electric Calendarize'!$L119+'Electric Calendarize'!U$4+1))</f>
        <v/>
      </c>
      <c r="V119" t="str">
        <f ca="1">IF(OR($L119&gt;V$4,V$4&gt;$L119+23),"",OFFSET(Electric!$L110,0,-'Electric Calendarize'!$L119+'Electric Calendarize'!V$4+1))</f>
        <v/>
      </c>
      <c r="W119" t="str">
        <f ca="1">IF(OR($L119&gt;W$4,W$4&gt;$L119+23),"",OFFSET(Electric!$L110,0,-'Electric Calendarize'!$L119+'Electric Calendarize'!W$4+1))</f>
        <v/>
      </c>
      <c r="X119" t="str">
        <f ca="1">IF(OR($L119&gt;X$4,X$4&gt;$L119+23),"",OFFSET(Electric!$L110,0,-'Electric Calendarize'!$L119+'Electric Calendarize'!X$4+1))</f>
        <v/>
      </c>
      <c r="Y119" t="str">
        <f ca="1">IF(OR($L119&gt;Y$4,Y$4&gt;$L119+23),"",OFFSET(Electric!$L110,0,-'Electric Calendarize'!$L119+'Electric Calendarize'!Y$4+1))</f>
        <v/>
      </c>
      <c r="Z119" t="str">
        <f ca="1">IF(OR($L119&gt;Z$4,Z$4&gt;$L119+23),"",OFFSET(Electric!$L110,0,-'Electric Calendarize'!$L119+'Electric Calendarize'!Z$4+1))</f>
        <v/>
      </c>
      <c r="AA119" t="str">
        <f ca="1">IF(OR($L119&gt;AA$4,AA$4&gt;$L119+23),"",OFFSET(Electric!$L110,0,-'Electric Calendarize'!$L119+'Electric Calendarize'!AA$4+1))</f>
        <v/>
      </c>
      <c r="AB119" t="str">
        <f ca="1">IF(OR($L119&gt;AB$4,AB$4&gt;$L119+23),"",OFFSET(Electric!$L110,0,-'Electric Calendarize'!$L119+'Electric Calendarize'!AB$4+1))</f>
        <v/>
      </c>
      <c r="AC119">
        <f ca="1">IF(OR($L119&gt;AC$4,AC$4&gt;$L119+23),"",OFFSET(Electric!$L110,0,-'Electric Calendarize'!$L119+'Electric Calendarize'!AC$4+1))</f>
        <v>819</v>
      </c>
      <c r="AD119">
        <f ca="1">IF(OR($L119&gt;AD$4,AD$4&gt;$L119+23),"",OFFSET(Electric!$L110,0,-'Electric Calendarize'!$L119+'Electric Calendarize'!AD$4+1))</f>
        <v>859</v>
      </c>
      <c r="AE119">
        <f ca="1">IF(OR($L119&gt;AE$4,AE$4&gt;$L119+23),"",OFFSET(Electric!$L110,0,-'Electric Calendarize'!$L119+'Electric Calendarize'!AE$4+1))</f>
        <v>954</v>
      </c>
      <c r="AF119">
        <f ca="1">IF(OR($L119&gt;AF$4,AF$4&gt;$L119+23),"",OFFSET(Electric!$L110,0,-'Electric Calendarize'!$L119+'Electric Calendarize'!AF$4+1))</f>
        <v>858</v>
      </c>
      <c r="AG119">
        <f ca="1">IF(OR($L119&gt;AG$4,AG$4&gt;$L119+23),"",OFFSET(Electric!$L110,0,-'Electric Calendarize'!$L119+'Electric Calendarize'!AG$4+1))</f>
        <v>739</v>
      </c>
      <c r="AH119">
        <f ca="1">IF(OR($L119&gt;AH$4,AH$4&gt;$L119+23),"",OFFSET(Electric!$L110,0,-'Electric Calendarize'!$L119+'Electric Calendarize'!AH$4+1))</f>
        <v>788</v>
      </c>
      <c r="AI119">
        <f ca="1">IF(OR($L119&gt;AI$4,AI$4&gt;$L119+23),"",OFFSET(Electric!$L110,0,-'Electric Calendarize'!$L119+'Electric Calendarize'!AI$4+1))</f>
        <v>1047</v>
      </c>
      <c r="AJ119">
        <f ca="1">IF(OR($L119&gt;AJ$4,AJ$4&gt;$L119+23),"",OFFSET(Electric!$L110,0,-'Electric Calendarize'!$L119+'Electric Calendarize'!AJ$4+1))</f>
        <v>1512</v>
      </c>
      <c r="AK119">
        <f ca="1">IF(OR($L119&gt;AK$4,AK$4&gt;$L119+23),"",OFFSET(Electric!$L110,0,-'Electric Calendarize'!$L119+'Electric Calendarize'!AK$4+1))</f>
        <v>859</v>
      </c>
      <c r="AL119">
        <f ca="1">IF(OR($L119&gt;AL$4,AL$4&gt;$L119+23),"",OFFSET(Electric!$L110,0,-'Electric Calendarize'!$L119+'Electric Calendarize'!AL$4+1))</f>
        <v>866</v>
      </c>
      <c r="AM119">
        <f ca="1">IF(OR($L119&gt;AM$4,AM$4&gt;$L119+23),"",OFFSET(Electric!$L110,0,-'Electric Calendarize'!$L119+'Electric Calendarize'!AM$4+1))</f>
        <v>817</v>
      </c>
      <c r="AN119">
        <f ca="1">IF(OR($L119&gt;AN$4,AN$4&gt;$L119+23),"",OFFSET(Electric!$L110,0,-'Electric Calendarize'!$L119+'Electric Calendarize'!AN$4+1))</f>
        <v>923</v>
      </c>
      <c r="AO119">
        <f ca="1">IF(OR($L119&gt;AO$4,AO$4&gt;$L119+23),"",OFFSET(Electric!$L110,0,-'Electric Calendarize'!$L119+'Electric Calendarize'!AO$4+1))</f>
        <v>956</v>
      </c>
      <c r="AP119">
        <f ca="1">IF(OR($L119&gt;AP$4,AP$4&gt;$L119+23),"",OFFSET(Electric!$L110,0,-'Electric Calendarize'!$L119+'Electric Calendarize'!AP$4+1))</f>
        <v>1075</v>
      </c>
      <c r="AQ119">
        <f ca="1">IF(OR($L119&gt;AQ$4,AQ$4&gt;$L119+23),"",OFFSET(Electric!$L110,0,-'Electric Calendarize'!$L119+'Electric Calendarize'!AQ$4+1))</f>
        <v>1243</v>
      </c>
      <c r="AR119">
        <f ca="1">IF(OR($L119&gt;AR$4,AR$4&gt;$L119+23),"",OFFSET(Electric!$L110,0,-'Electric Calendarize'!$L119+'Electric Calendarize'!AR$4+1))</f>
        <v>1016</v>
      </c>
      <c r="AS119">
        <f ca="1">IF(OR($L119&gt;AS$4,AS$4&gt;$L119+23),"",OFFSET(Electric!$L110,0,-'Electric Calendarize'!$L119+'Electric Calendarize'!AS$4+1))</f>
        <v>970</v>
      </c>
      <c r="AT119">
        <f ca="1">IF(OR($L119&gt;AT$4,AT$4&gt;$L119+23),"",OFFSET(Electric!$L110,0,-'Electric Calendarize'!$L119+'Electric Calendarize'!AT$4+1))</f>
        <v>773</v>
      </c>
      <c r="AU119">
        <f ca="1">IF(OR($L119&gt;AU$4,AU$4&gt;$L119+23),"",OFFSET(Electric!$L110,0,-'Electric Calendarize'!$L119+'Electric Calendarize'!AU$4+1))</f>
        <v>1254</v>
      </c>
      <c r="AV119">
        <f ca="1">IF(OR($L119&gt;AV$4,AV$4&gt;$L119+23),"",OFFSET(Electric!$L110,0,-'Electric Calendarize'!$L119+'Electric Calendarize'!AV$4+1))</f>
        <v>1669</v>
      </c>
      <c r="AW119">
        <f ca="1">IF(OR($L119&gt;AW$4,AW$4&gt;$L119+23),"",OFFSET(Electric!$L110,0,-'Electric Calendarize'!$L119+'Electric Calendarize'!AW$4+1))</f>
        <v>842</v>
      </c>
      <c r="AX119">
        <f ca="1">IF(OR($L119&gt;AX$4,AX$4&gt;$L119+23),"",OFFSET(Electric!$L110,0,-'Electric Calendarize'!$L119+'Electric Calendarize'!AX$4+1))</f>
        <v>870</v>
      </c>
      <c r="AY119">
        <f ca="1">IF(OR($L119&gt;AY$4,AY$4&gt;$L119+23),"",OFFSET(Electric!$L110,0,-'Electric Calendarize'!$L119+'Electric Calendarize'!AY$4+1))</f>
        <v>907</v>
      </c>
      <c r="AZ119">
        <f ca="1">IF(OR($L119&gt;AZ$4,AZ$4&gt;$L119+23),"",OFFSET(Electric!$L110,0,-'Electric Calendarize'!$L119+'Electric Calendarize'!AZ$4+1))</f>
        <v>861</v>
      </c>
      <c r="BA119" t="str">
        <f ca="1">IF(OR($L119&gt;BA$4,BA$4&gt;$L119+23),"",OFFSET(Electric!$L110,0,-'Electric Calendarize'!$L119+'Electric Calendarize'!BA$4+1))</f>
        <v/>
      </c>
      <c r="BB119" t="str">
        <f ca="1">IF(OR($L119&gt;BB$4,BB$4&gt;$L119+23),"",OFFSET(Electric!$L110,0,-'Electric Calendarize'!$L119+'Electric Calendarize'!BB$4+1))</f>
        <v/>
      </c>
      <c r="BC119" t="str">
        <f ca="1">IF(OR($L119&gt;BC$4,BC$4&gt;$L119+23),"",OFFSET(Electric!$L110,0,-'Electric Calendarize'!$L119+'Electric Calendarize'!BC$4+1))</f>
        <v/>
      </c>
      <c r="BD119" t="str">
        <f ca="1">IF(OR($L119&gt;BD$4,BD$4&gt;$L119+23),"",OFFSET(Electric!$L110,0,-'Electric Calendarize'!$L119+'Electric Calendarize'!BD$4+1))</f>
        <v/>
      </c>
      <c r="BE119" t="str">
        <f ca="1">IF(OR($L119&gt;BE$4,BE$4&gt;$L119+23),"",OFFSET(Electric!$L110,0,-'Electric Calendarize'!$L119+'Electric Calendarize'!BE$4+1))</f>
        <v/>
      </c>
      <c r="BF119" t="str">
        <f ca="1">IF(OR($L119&gt;BF$4,BF$4&gt;$L119+23),"",OFFSET(Electric!$L110,0,-'Electric Calendarize'!$L119+'Electric Calendarize'!BF$4+1))</f>
        <v/>
      </c>
      <c r="BG119" t="str">
        <f ca="1">IF(OR($L119&gt;BG$4,BG$4&gt;$L119+23),"",OFFSET(Electric!$L110,0,-'Electric Calendarize'!$L119+'Electric Calendarize'!BG$4+1))</f>
        <v/>
      </c>
      <c r="BJ119" s="10" t="s">
        <v>37</v>
      </c>
      <c r="BK119">
        <f t="shared" si="303"/>
        <v>1</v>
      </c>
      <c r="BL119">
        <f t="shared" si="209"/>
        <v>0</v>
      </c>
      <c r="BM119">
        <f t="shared" si="210"/>
        <v>0</v>
      </c>
      <c r="BN119">
        <f t="shared" si="211"/>
        <v>0</v>
      </c>
      <c r="BO119">
        <f t="shared" si="212"/>
        <v>0</v>
      </c>
      <c r="BP119">
        <f t="shared" si="213"/>
        <v>0</v>
      </c>
      <c r="BQ119">
        <f t="shared" si="214"/>
        <v>0</v>
      </c>
      <c r="BR119">
        <f t="shared" si="215"/>
        <v>1</v>
      </c>
      <c r="BS119">
        <f t="shared" si="216"/>
        <v>1</v>
      </c>
      <c r="BT119">
        <f t="shared" si="217"/>
        <v>1</v>
      </c>
      <c r="BU119">
        <f t="shared" si="218"/>
        <v>1</v>
      </c>
      <c r="BV119">
        <f t="shared" si="219"/>
        <v>1</v>
      </c>
      <c r="BW119">
        <f t="shared" si="220"/>
        <v>1</v>
      </c>
      <c r="BX119">
        <f t="shared" si="221"/>
        <v>0</v>
      </c>
      <c r="BY119">
        <f t="shared" si="222"/>
        <v>0</v>
      </c>
      <c r="BZ119">
        <f t="shared" si="223"/>
        <v>0</v>
      </c>
      <c r="CA119">
        <f t="shared" si="224"/>
        <v>0</v>
      </c>
      <c r="CB119">
        <f t="shared" si="225"/>
        <v>0</v>
      </c>
      <c r="CC119">
        <f t="shared" si="226"/>
        <v>0</v>
      </c>
      <c r="CD119">
        <f t="shared" si="227"/>
        <v>1</v>
      </c>
      <c r="CE119">
        <f t="shared" si="228"/>
        <v>1</v>
      </c>
      <c r="CF119">
        <f t="shared" si="229"/>
        <v>1</v>
      </c>
      <c r="CG119">
        <f t="shared" si="230"/>
        <v>1</v>
      </c>
      <c r="CH119">
        <f t="shared" si="231"/>
        <v>1</v>
      </c>
      <c r="CI119">
        <f t="shared" si="232"/>
        <v>1</v>
      </c>
      <c r="CJ119">
        <f t="shared" si="233"/>
        <v>0</v>
      </c>
      <c r="CK119">
        <f t="shared" si="234"/>
        <v>0</v>
      </c>
      <c r="CL119">
        <f t="shared" si="235"/>
        <v>0</v>
      </c>
      <c r="CM119">
        <f t="shared" si="236"/>
        <v>0</v>
      </c>
      <c r="CN119">
        <f t="shared" si="237"/>
        <v>0</v>
      </c>
      <c r="CO119">
        <f t="shared" si="238"/>
        <v>0</v>
      </c>
      <c r="CP119">
        <f t="shared" si="239"/>
        <v>1</v>
      </c>
      <c r="CQ119">
        <f t="shared" si="240"/>
        <v>1</v>
      </c>
      <c r="CR119">
        <f t="shared" si="241"/>
        <v>1</v>
      </c>
      <c r="CS119">
        <f t="shared" si="242"/>
        <v>1</v>
      </c>
      <c r="CT119">
        <f t="shared" si="243"/>
        <v>1</v>
      </c>
      <c r="CU119">
        <f t="shared" si="244"/>
        <v>1</v>
      </c>
      <c r="CV119">
        <f t="shared" si="245"/>
        <v>0</v>
      </c>
      <c r="CW119">
        <f t="shared" si="246"/>
        <v>0</v>
      </c>
      <c r="CX119">
        <f t="shared" si="247"/>
        <v>0</v>
      </c>
      <c r="CY119">
        <f t="shared" si="248"/>
        <v>0</v>
      </c>
      <c r="CZ119">
        <f t="shared" si="249"/>
        <v>0</v>
      </c>
      <c r="DA119">
        <f t="shared" si="250"/>
        <v>0</v>
      </c>
      <c r="DB119">
        <f t="shared" si="251"/>
        <v>1</v>
      </c>
      <c r="DC119">
        <f t="shared" si="252"/>
        <v>1</v>
      </c>
      <c r="DF119" s="10" t="s">
        <v>37</v>
      </c>
      <c r="DG119" t="str">
        <f t="shared" si="312"/>
        <v>2022_6</v>
      </c>
      <c r="DH119" t="str">
        <f t="shared" si="312"/>
        <v>2022_6</v>
      </c>
      <c r="DI119" t="str">
        <f t="shared" si="312"/>
        <v>2022_6</v>
      </c>
      <c r="DJ119" t="str">
        <f t="shared" si="312"/>
        <v>2022_6</v>
      </c>
      <c r="DK119" t="str">
        <f t="shared" si="312"/>
        <v>2022_6</v>
      </c>
      <c r="DL119" t="str">
        <f t="shared" si="312"/>
        <v>2022_6</v>
      </c>
      <c r="DM119" t="str">
        <f t="shared" si="312"/>
        <v>2022_6</v>
      </c>
      <c r="DN119" t="str">
        <f t="shared" si="312"/>
        <v>2022_6</v>
      </c>
      <c r="DO119" t="str">
        <f t="shared" si="312"/>
        <v>2022_6</v>
      </c>
      <c r="DP119" t="str">
        <f t="shared" si="312"/>
        <v>2022_6</v>
      </c>
      <c r="DQ119" t="str">
        <f t="shared" si="312"/>
        <v>2022_6</v>
      </c>
      <c r="DR119" t="str">
        <f t="shared" si="312"/>
        <v>2022_6</v>
      </c>
      <c r="DS119" t="str">
        <f t="shared" si="312"/>
        <v>2022_6</v>
      </c>
      <c r="DT119" t="str">
        <f t="shared" si="312"/>
        <v>2022_6</v>
      </c>
      <c r="DU119" t="str">
        <f t="shared" si="312"/>
        <v>2022_6</v>
      </c>
      <c r="DV119" t="str">
        <f t="shared" si="310"/>
        <v>2022_6</v>
      </c>
      <c r="DW119" t="str">
        <f t="shared" si="310"/>
        <v>2022_6</v>
      </c>
      <c r="DX119" t="str">
        <f t="shared" si="310"/>
        <v>2022_6</v>
      </c>
      <c r="DY119" t="str">
        <f t="shared" si="310"/>
        <v>2022_6</v>
      </c>
      <c r="DZ119" t="str">
        <f t="shared" si="310"/>
        <v>2022_6</v>
      </c>
      <c r="EA119" t="str">
        <f t="shared" si="310"/>
        <v>2022_6</v>
      </c>
      <c r="EB119" t="str">
        <f t="shared" si="310"/>
        <v>2022_6</v>
      </c>
      <c r="EC119" t="str">
        <f t="shared" si="310"/>
        <v>2022_6</v>
      </c>
      <c r="ED119" t="str">
        <f t="shared" si="310"/>
        <v>2022_6</v>
      </c>
      <c r="EE119" t="str">
        <f t="shared" si="310"/>
        <v>2022_6</v>
      </c>
      <c r="EF119" t="str">
        <f t="shared" si="310"/>
        <v>2022_6</v>
      </c>
      <c r="EG119" t="str">
        <f t="shared" si="310"/>
        <v>2022_6</v>
      </c>
      <c r="EH119" t="str">
        <f t="shared" si="310"/>
        <v>2022_6</v>
      </c>
      <c r="EI119" t="str">
        <f t="shared" si="310"/>
        <v>2022_6</v>
      </c>
      <c r="EJ119" t="str">
        <f t="shared" si="310"/>
        <v>2022_6</v>
      </c>
      <c r="EK119" t="str">
        <f t="shared" si="310"/>
        <v>2022_6</v>
      </c>
      <c r="EL119" t="str">
        <f t="shared" si="311"/>
        <v>2022_6</v>
      </c>
      <c r="EM119" t="str">
        <f t="shared" si="309"/>
        <v>2022_6</v>
      </c>
      <c r="EN119" t="str">
        <f t="shared" si="309"/>
        <v>2022_6</v>
      </c>
      <c r="EO119" t="str">
        <f t="shared" si="309"/>
        <v>2022_6</v>
      </c>
      <c r="EP119" t="str">
        <f t="shared" si="309"/>
        <v>2022_6</v>
      </c>
      <c r="EQ119" t="str">
        <f t="shared" si="309"/>
        <v>2022_6</v>
      </c>
      <c r="ER119" t="str">
        <f t="shared" si="309"/>
        <v>2022_6</v>
      </c>
      <c r="ES119" t="str">
        <f t="shared" si="309"/>
        <v>2022_6</v>
      </c>
      <c r="ET119" t="str">
        <f t="shared" si="309"/>
        <v>2022_6</v>
      </c>
      <c r="EU119" t="str">
        <f t="shared" si="309"/>
        <v>2022_6</v>
      </c>
      <c r="EV119" t="str">
        <f t="shared" si="309"/>
        <v>2022_6</v>
      </c>
      <c r="EW119" t="str">
        <f t="shared" si="309"/>
        <v>2022_6</v>
      </c>
      <c r="EX119" t="str">
        <f t="shared" si="309"/>
        <v>2022_6</v>
      </c>
      <c r="EY119" t="str">
        <f t="shared" si="309"/>
        <v>2022_6</v>
      </c>
      <c r="FB119" s="10" t="s">
        <v>37</v>
      </c>
      <c r="FC119">
        <f t="shared" si="305"/>
        <v>0</v>
      </c>
      <c r="FD119">
        <f t="shared" si="255"/>
        <v>0</v>
      </c>
      <c r="FE119">
        <f t="shared" si="256"/>
        <v>0</v>
      </c>
      <c r="FF119">
        <f t="shared" si="257"/>
        <v>0</v>
      </c>
      <c r="FG119">
        <f t="shared" si="258"/>
        <v>0</v>
      </c>
      <c r="FH119">
        <f t="shared" si="259"/>
        <v>0</v>
      </c>
      <c r="FI119">
        <f t="shared" si="260"/>
        <v>0</v>
      </c>
      <c r="FJ119">
        <f t="shared" si="261"/>
        <v>0</v>
      </c>
      <c r="FK119">
        <f t="shared" si="262"/>
        <v>0</v>
      </c>
      <c r="FL119">
        <f t="shared" si="263"/>
        <v>0</v>
      </c>
      <c r="FM119">
        <f t="shared" si="264"/>
        <v>0</v>
      </c>
      <c r="FN119">
        <f t="shared" si="265"/>
        <v>0</v>
      </c>
      <c r="FO119">
        <f t="shared" si="266"/>
        <v>0</v>
      </c>
      <c r="FP119">
        <f t="shared" si="267"/>
        <v>0</v>
      </c>
      <c r="FQ119">
        <f t="shared" si="268"/>
        <v>0</v>
      </c>
      <c r="FR119">
        <f t="shared" si="269"/>
        <v>0</v>
      </c>
      <c r="FS119">
        <f t="shared" si="270"/>
        <v>0</v>
      </c>
      <c r="FT119">
        <f t="shared" si="271"/>
        <v>0</v>
      </c>
      <c r="FU119">
        <f t="shared" si="272"/>
        <v>0</v>
      </c>
      <c r="FV119">
        <f t="shared" si="273"/>
        <v>0</v>
      </c>
      <c r="FW119">
        <f t="shared" si="274"/>
        <v>0</v>
      </c>
      <c r="FX119">
        <f t="shared" si="275"/>
        <v>0</v>
      </c>
      <c r="FY119">
        <f t="shared" si="276"/>
        <v>0</v>
      </c>
      <c r="FZ119">
        <f t="shared" si="277"/>
        <v>0</v>
      </c>
      <c r="GA119">
        <f t="shared" si="278"/>
        <v>0</v>
      </c>
      <c r="GB119">
        <f t="shared" si="279"/>
        <v>0</v>
      </c>
      <c r="GC119">
        <f t="shared" si="280"/>
        <v>1</v>
      </c>
      <c r="GD119">
        <f t="shared" si="281"/>
        <v>1</v>
      </c>
      <c r="GE119">
        <f t="shared" si="282"/>
        <v>1</v>
      </c>
      <c r="GF119">
        <f t="shared" si="283"/>
        <v>1</v>
      </c>
      <c r="GG119">
        <f t="shared" si="284"/>
        <v>1</v>
      </c>
      <c r="GH119">
        <f t="shared" si="285"/>
        <v>1</v>
      </c>
      <c r="GI119">
        <f t="shared" si="286"/>
        <v>1</v>
      </c>
      <c r="GJ119">
        <f t="shared" si="287"/>
        <v>1</v>
      </c>
      <c r="GK119">
        <f t="shared" si="288"/>
        <v>1</v>
      </c>
      <c r="GL119">
        <f t="shared" si="289"/>
        <v>1</v>
      </c>
      <c r="GM119">
        <f t="shared" si="290"/>
        <v>1</v>
      </c>
      <c r="GN119">
        <f t="shared" si="291"/>
        <v>1</v>
      </c>
      <c r="GO119">
        <f t="shared" si="292"/>
        <v>1</v>
      </c>
      <c r="GP119">
        <f t="shared" si="293"/>
        <v>1</v>
      </c>
      <c r="GQ119">
        <f t="shared" si="294"/>
        <v>1</v>
      </c>
      <c r="GR119">
        <f t="shared" si="295"/>
        <v>1</v>
      </c>
      <c r="GS119">
        <f t="shared" si="296"/>
        <v>1</v>
      </c>
      <c r="GT119">
        <f t="shared" si="297"/>
        <v>1</v>
      </c>
      <c r="GU119">
        <f t="shared" si="298"/>
        <v>1</v>
      </c>
      <c r="GX119" s="10"/>
    </row>
    <row r="120" spans="1:206" x14ac:dyDescent="0.3">
      <c r="A120" s="9" t="s">
        <v>33</v>
      </c>
      <c r="B120" s="80"/>
      <c r="C120" s="9">
        <v>3110303000</v>
      </c>
      <c r="D120" s="9" t="s">
        <v>388</v>
      </c>
      <c r="E120" s="9" t="s">
        <v>39</v>
      </c>
      <c r="F120" s="9" t="s">
        <v>35</v>
      </c>
      <c r="G120" s="9" t="s">
        <v>155</v>
      </c>
      <c r="H120" s="10">
        <v>44718</v>
      </c>
      <c r="I120" s="9">
        <f t="shared" si="299"/>
        <v>2022</v>
      </c>
      <c r="J120" s="9">
        <f t="shared" si="300"/>
        <v>6</v>
      </c>
      <c r="K120" s="9" t="str">
        <f t="shared" si="301"/>
        <v>2022_6</v>
      </c>
      <c r="L120">
        <f>MAX(0,VLOOKUP($K120,lookups!$A$1:$B$45,2,0)-12)</f>
        <v>14</v>
      </c>
      <c r="M120" s="40">
        <f t="shared" si="302"/>
        <v>44713</v>
      </c>
      <c r="N120" s="10" t="s">
        <v>37</v>
      </c>
      <c r="O120" t="str">
        <f ca="1">IF(OR($L120&gt;O$4,O$4&gt;$L120+23),"",OFFSET(Electric!$L111,0,-'Electric Calendarize'!$L120+'Electric Calendarize'!O$4+1))</f>
        <v/>
      </c>
      <c r="P120" t="str">
        <f ca="1">IF(OR($L120&gt;P$4,P$4&gt;$L120+23),"",OFFSET(Electric!$L111,0,-'Electric Calendarize'!$L120+'Electric Calendarize'!P$4+1))</f>
        <v/>
      </c>
      <c r="Q120" t="str">
        <f ca="1">IF(OR($L120&gt;Q$4,Q$4&gt;$L120+23),"",OFFSET(Electric!$L111,0,-'Electric Calendarize'!$L120+'Electric Calendarize'!Q$4+1))</f>
        <v/>
      </c>
      <c r="R120" t="str">
        <f ca="1">IF(OR($L120&gt;R$4,R$4&gt;$L120+23),"",OFFSET(Electric!$L111,0,-'Electric Calendarize'!$L120+'Electric Calendarize'!R$4+1))</f>
        <v/>
      </c>
      <c r="S120" t="str">
        <f ca="1">IF(OR($L120&gt;S$4,S$4&gt;$L120+23),"",OFFSET(Electric!$L111,0,-'Electric Calendarize'!$L120+'Electric Calendarize'!S$4+1))</f>
        <v/>
      </c>
      <c r="T120" t="str">
        <f ca="1">IF(OR($L120&gt;T$4,T$4&gt;$L120+23),"",OFFSET(Electric!$L111,0,-'Electric Calendarize'!$L120+'Electric Calendarize'!T$4+1))</f>
        <v/>
      </c>
      <c r="U120" t="str">
        <f ca="1">IF(OR($L120&gt;U$4,U$4&gt;$L120+23),"",OFFSET(Electric!$L111,0,-'Electric Calendarize'!$L120+'Electric Calendarize'!U$4+1))</f>
        <v/>
      </c>
      <c r="V120" t="str">
        <f ca="1">IF(OR($L120&gt;V$4,V$4&gt;$L120+23),"",OFFSET(Electric!$L111,0,-'Electric Calendarize'!$L120+'Electric Calendarize'!V$4+1))</f>
        <v/>
      </c>
      <c r="W120" t="str">
        <f ca="1">IF(OR($L120&gt;W$4,W$4&gt;$L120+23),"",OFFSET(Electric!$L111,0,-'Electric Calendarize'!$L120+'Electric Calendarize'!W$4+1))</f>
        <v/>
      </c>
      <c r="X120" t="str">
        <f ca="1">IF(OR($L120&gt;X$4,X$4&gt;$L120+23),"",OFFSET(Electric!$L111,0,-'Electric Calendarize'!$L120+'Electric Calendarize'!X$4+1))</f>
        <v/>
      </c>
      <c r="Y120" t="str">
        <f ca="1">IF(OR($L120&gt;Y$4,Y$4&gt;$L120+23),"",OFFSET(Electric!$L111,0,-'Electric Calendarize'!$L120+'Electric Calendarize'!Y$4+1))</f>
        <v/>
      </c>
      <c r="Z120" t="str">
        <f ca="1">IF(OR($L120&gt;Z$4,Z$4&gt;$L120+23),"",OFFSET(Electric!$L111,0,-'Electric Calendarize'!$L120+'Electric Calendarize'!Z$4+1))</f>
        <v/>
      </c>
      <c r="AA120" t="str">
        <f ca="1">IF(OR($L120&gt;AA$4,AA$4&gt;$L120+23),"",OFFSET(Electric!$L111,0,-'Electric Calendarize'!$L120+'Electric Calendarize'!AA$4+1))</f>
        <v/>
      </c>
      <c r="AB120" t="str">
        <f ca="1">IF(OR($L120&gt;AB$4,AB$4&gt;$L120+23),"",OFFSET(Electric!$L111,0,-'Electric Calendarize'!$L120+'Electric Calendarize'!AB$4+1))</f>
        <v/>
      </c>
      <c r="AC120">
        <f ca="1">IF(OR($L120&gt;AC$4,AC$4&gt;$L120+23),"",OFFSET(Electric!$L111,0,-'Electric Calendarize'!$L120+'Electric Calendarize'!AC$4+1))</f>
        <v>610</v>
      </c>
      <c r="AD120">
        <f ca="1">IF(OR($L120&gt;AD$4,AD$4&gt;$L120+23),"",OFFSET(Electric!$L111,0,-'Electric Calendarize'!$L120+'Electric Calendarize'!AD$4+1))</f>
        <v>762</v>
      </c>
      <c r="AE120">
        <f ca="1">IF(OR($L120&gt;AE$4,AE$4&gt;$L120+23),"",OFFSET(Electric!$L111,0,-'Electric Calendarize'!$L120+'Electric Calendarize'!AE$4+1))</f>
        <v>850</v>
      </c>
      <c r="AF120">
        <f ca="1">IF(OR($L120&gt;AF$4,AF$4&gt;$L120+23),"",OFFSET(Electric!$L111,0,-'Electric Calendarize'!$L120+'Electric Calendarize'!AF$4+1))</f>
        <v>826</v>
      </c>
      <c r="AG120">
        <f ca="1">IF(OR($L120&gt;AG$4,AG$4&gt;$L120+23),"",OFFSET(Electric!$L111,0,-'Electric Calendarize'!$L120+'Electric Calendarize'!AG$4+1))</f>
        <v>678</v>
      </c>
      <c r="AH120">
        <f ca="1">IF(OR($L120&gt;AH$4,AH$4&gt;$L120+23),"",OFFSET(Electric!$L111,0,-'Electric Calendarize'!$L120+'Electric Calendarize'!AH$4+1))</f>
        <v>746</v>
      </c>
      <c r="AI120">
        <f ca="1">IF(OR($L120&gt;AI$4,AI$4&gt;$L120+23),"",OFFSET(Electric!$L111,0,-'Electric Calendarize'!$L120+'Electric Calendarize'!AI$4+1))</f>
        <v>1034</v>
      </c>
      <c r="AJ120">
        <f ca="1">IF(OR($L120&gt;AJ$4,AJ$4&gt;$L120+23),"",OFFSET(Electric!$L111,0,-'Electric Calendarize'!$L120+'Electric Calendarize'!AJ$4+1))</f>
        <v>1198</v>
      </c>
      <c r="AK120">
        <f ca="1">IF(OR($L120&gt;AK$4,AK$4&gt;$L120+23),"",OFFSET(Electric!$L111,0,-'Electric Calendarize'!$L120+'Electric Calendarize'!AK$4+1))</f>
        <v>998</v>
      </c>
      <c r="AL120">
        <f ca="1">IF(OR($L120&gt;AL$4,AL$4&gt;$L120+23),"",OFFSET(Electric!$L111,0,-'Electric Calendarize'!$L120+'Electric Calendarize'!AL$4+1))</f>
        <v>730</v>
      </c>
      <c r="AM120">
        <f ca="1">IF(OR($L120&gt;AM$4,AM$4&gt;$L120+23),"",OFFSET(Electric!$L111,0,-'Electric Calendarize'!$L120+'Electric Calendarize'!AM$4+1))</f>
        <v>532</v>
      </c>
      <c r="AN120">
        <f ca="1">IF(OR($L120&gt;AN$4,AN$4&gt;$L120+23),"",OFFSET(Electric!$L111,0,-'Electric Calendarize'!$L120+'Electric Calendarize'!AN$4+1))</f>
        <v>540</v>
      </c>
      <c r="AO120">
        <f ca="1">IF(OR($L120&gt;AO$4,AO$4&gt;$L120+23),"",OFFSET(Electric!$L111,0,-'Electric Calendarize'!$L120+'Electric Calendarize'!AO$4+1))</f>
        <v>498</v>
      </c>
      <c r="AP120">
        <f ca="1">IF(OR($L120&gt;AP$4,AP$4&gt;$L120+23),"",OFFSET(Electric!$L111,0,-'Electric Calendarize'!$L120+'Electric Calendarize'!AP$4+1))</f>
        <v>612</v>
      </c>
      <c r="AQ120">
        <f ca="1">IF(OR($L120&gt;AQ$4,AQ$4&gt;$L120+23),"",OFFSET(Electric!$L111,0,-'Electric Calendarize'!$L120+'Electric Calendarize'!AQ$4+1))</f>
        <v>786</v>
      </c>
      <c r="AR120">
        <f ca="1">IF(OR($L120&gt;AR$4,AR$4&gt;$L120+23),"",OFFSET(Electric!$L111,0,-'Electric Calendarize'!$L120+'Electric Calendarize'!AR$4+1))</f>
        <v>750</v>
      </c>
      <c r="AS120">
        <f ca="1">IF(OR($L120&gt;AS$4,AS$4&gt;$L120+23),"",OFFSET(Electric!$L111,0,-'Electric Calendarize'!$L120+'Electric Calendarize'!AS$4+1))</f>
        <v>722</v>
      </c>
      <c r="AT120">
        <f ca="1">IF(OR($L120&gt;AT$4,AT$4&gt;$L120+23),"",OFFSET(Electric!$L111,0,-'Electric Calendarize'!$L120+'Electric Calendarize'!AT$4+1))</f>
        <v>984</v>
      </c>
      <c r="AU120">
        <f ca="1">IF(OR($L120&gt;AU$4,AU$4&gt;$L120+23),"",OFFSET(Electric!$L111,0,-'Electric Calendarize'!$L120+'Electric Calendarize'!AU$4+1))</f>
        <v>1598</v>
      </c>
      <c r="AV120">
        <f ca="1">IF(OR($L120&gt;AV$4,AV$4&gt;$L120+23),"",OFFSET(Electric!$L111,0,-'Electric Calendarize'!$L120+'Electric Calendarize'!AV$4+1))</f>
        <v>1878</v>
      </c>
      <c r="AW120">
        <f ca="1">IF(OR($L120&gt;AW$4,AW$4&gt;$L120+23),"",OFFSET(Electric!$L111,0,-'Electric Calendarize'!$L120+'Electric Calendarize'!AW$4+1))</f>
        <v>1712</v>
      </c>
      <c r="AX120">
        <f ca="1">IF(OR($L120&gt;AX$4,AX$4&gt;$L120+23),"",OFFSET(Electric!$L111,0,-'Electric Calendarize'!$L120+'Electric Calendarize'!AX$4+1))</f>
        <v>1588</v>
      </c>
      <c r="AY120">
        <f ca="1">IF(OR($L120&gt;AY$4,AY$4&gt;$L120+23),"",OFFSET(Electric!$L111,0,-'Electric Calendarize'!$L120+'Electric Calendarize'!AY$4+1))</f>
        <v>858</v>
      </c>
      <c r="AZ120">
        <f ca="1">IF(OR($L120&gt;AZ$4,AZ$4&gt;$L120+23),"",OFFSET(Electric!$L111,0,-'Electric Calendarize'!$L120+'Electric Calendarize'!AZ$4+1))</f>
        <v>720</v>
      </c>
      <c r="BA120" t="str">
        <f ca="1">IF(OR($L120&gt;BA$4,BA$4&gt;$L120+23),"",OFFSET(Electric!$L111,0,-'Electric Calendarize'!$L120+'Electric Calendarize'!BA$4+1))</f>
        <v/>
      </c>
      <c r="BB120" t="str">
        <f ca="1">IF(OR($L120&gt;BB$4,BB$4&gt;$L120+23),"",OFFSET(Electric!$L111,0,-'Electric Calendarize'!$L120+'Electric Calendarize'!BB$4+1))</f>
        <v/>
      </c>
      <c r="BC120" t="str">
        <f ca="1">IF(OR($L120&gt;BC$4,BC$4&gt;$L120+23),"",OFFSET(Electric!$L111,0,-'Electric Calendarize'!$L120+'Electric Calendarize'!BC$4+1))</f>
        <v/>
      </c>
      <c r="BD120" t="str">
        <f ca="1">IF(OR($L120&gt;BD$4,BD$4&gt;$L120+23),"",OFFSET(Electric!$L111,0,-'Electric Calendarize'!$L120+'Electric Calendarize'!BD$4+1))</f>
        <v/>
      </c>
      <c r="BE120" t="str">
        <f ca="1">IF(OR($L120&gt;BE$4,BE$4&gt;$L120+23),"",OFFSET(Electric!$L111,0,-'Electric Calendarize'!$L120+'Electric Calendarize'!BE$4+1))</f>
        <v/>
      </c>
      <c r="BF120" t="str">
        <f ca="1">IF(OR($L120&gt;BF$4,BF$4&gt;$L120+23),"",OFFSET(Electric!$L111,0,-'Electric Calendarize'!$L120+'Electric Calendarize'!BF$4+1))</f>
        <v/>
      </c>
      <c r="BG120" t="str">
        <f ca="1">IF(OR($L120&gt;BG$4,BG$4&gt;$L120+23),"",OFFSET(Electric!$L111,0,-'Electric Calendarize'!$L120+'Electric Calendarize'!BG$4+1))</f>
        <v/>
      </c>
      <c r="BJ120" s="10" t="s">
        <v>37</v>
      </c>
      <c r="BK120">
        <f t="shared" si="303"/>
        <v>1</v>
      </c>
      <c r="BL120">
        <f t="shared" si="209"/>
        <v>0</v>
      </c>
      <c r="BM120">
        <f t="shared" si="210"/>
        <v>0</v>
      </c>
      <c r="BN120">
        <f t="shared" si="211"/>
        <v>0</v>
      </c>
      <c r="BO120">
        <f t="shared" si="212"/>
        <v>0</v>
      </c>
      <c r="BP120">
        <f t="shared" si="213"/>
        <v>0</v>
      </c>
      <c r="BQ120">
        <f t="shared" si="214"/>
        <v>0</v>
      </c>
      <c r="BR120">
        <f t="shared" si="215"/>
        <v>1</v>
      </c>
      <c r="BS120">
        <f t="shared" si="216"/>
        <v>1</v>
      </c>
      <c r="BT120">
        <f t="shared" si="217"/>
        <v>1</v>
      </c>
      <c r="BU120">
        <f t="shared" si="218"/>
        <v>1</v>
      </c>
      <c r="BV120">
        <f t="shared" si="219"/>
        <v>1</v>
      </c>
      <c r="BW120">
        <f t="shared" si="220"/>
        <v>1</v>
      </c>
      <c r="BX120">
        <f t="shared" si="221"/>
        <v>0</v>
      </c>
      <c r="BY120">
        <f t="shared" si="222"/>
        <v>0</v>
      </c>
      <c r="BZ120">
        <f t="shared" si="223"/>
        <v>0</v>
      </c>
      <c r="CA120">
        <f t="shared" si="224"/>
        <v>0</v>
      </c>
      <c r="CB120">
        <f t="shared" si="225"/>
        <v>0</v>
      </c>
      <c r="CC120">
        <f t="shared" si="226"/>
        <v>0</v>
      </c>
      <c r="CD120">
        <f t="shared" si="227"/>
        <v>1</v>
      </c>
      <c r="CE120">
        <f t="shared" si="228"/>
        <v>1</v>
      </c>
      <c r="CF120">
        <f t="shared" si="229"/>
        <v>1</v>
      </c>
      <c r="CG120">
        <f t="shared" si="230"/>
        <v>1</v>
      </c>
      <c r="CH120">
        <f t="shared" si="231"/>
        <v>1</v>
      </c>
      <c r="CI120">
        <f t="shared" si="232"/>
        <v>1</v>
      </c>
      <c r="CJ120">
        <f t="shared" si="233"/>
        <v>0</v>
      </c>
      <c r="CK120">
        <f t="shared" si="234"/>
        <v>0</v>
      </c>
      <c r="CL120">
        <f t="shared" si="235"/>
        <v>0</v>
      </c>
      <c r="CM120">
        <f t="shared" si="236"/>
        <v>0</v>
      </c>
      <c r="CN120">
        <f t="shared" si="237"/>
        <v>0</v>
      </c>
      <c r="CO120">
        <f t="shared" si="238"/>
        <v>0</v>
      </c>
      <c r="CP120">
        <f t="shared" si="239"/>
        <v>1</v>
      </c>
      <c r="CQ120">
        <f t="shared" si="240"/>
        <v>1</v>
      </c>
      <c r="CR120">
        <f t="shared" si="241"/>
        <v>1</v>
      </c>
      <c r="CS120">
        <f t="shared" si="242"/>
        <v>1</v>
      </c>
      <c r="CT120">
        <f t="shared" si="243"/>
        <v>1</v>
      </c>
      <c r="CU120">
        <f t="shared" si="244"/>
        <v>1</v>
      </c>
      <c r="CV120">
        <f t="shared" si="245"/>
        <v>0</v>
      </c>
      <c r="CW120">
        <f t="shared" si="246"/>
        <v>0</v>
      </c>
      <c r="CX120">
        <f t="shared" si="247"/>
        <v>0</v>
      </c>
      <c r="CY120">
        <f t="shared" si="248"/>
        <v>0</v>
      </c>
      <c r="CZ120">
        <f t="shared" si="249"/>
        <v>0</v>
      </c>
      <c r="DA120">
        <f t="shared" si="250"/>
        <v>0</v>
      </c>
      <c r="DB120">
        <f t="shared" si="251"/>
        <v>1</v>
      </c>
      <c r="DC120">
        <f t="shared" si="252"/>
        <v>1</v>
      </c>
      <c r="DF120" s="10" t="s">
        <v>37</v>
      </c>
      <c r="DG120" t="str">
        <f t="shared" si="312"/>
        <v>2022_6</v>
      </c>
      <c r="DH120" t="str">
        <f t="shared" si="312"/>
        <v>2022_6</v>
      </c>
      <c r="DI120" t="str">
        <f t="shared" si="312"/>
        <v>2022_6</v>
      </c>
      <c r="DJ120" t="str">
        <f t="shared" si="312"/>
        <v>2022_6</v>
      </c>
      <c r="DK120" t="str">
        <f t="shared" si="312"/>
        <v>2022_6</v>
      </c>
      <c r="DL120" t="str">
        <f t="shared" si="312"/>
        <v>2022_6</v>
      </c>
      <c r="DM120" t="str">
        <f t="shared" si="312"/>
        <v>2022_6</v>
      </c>
      <c r="DN120" t="str">
        <f t="shared" si="312"/>
        <v>2022_6</v>
      </c>
      <c r="DO120" t="str">
        <f t="shared" si="312"/>
        <v>2022_6</v>
      </c>
      <c r="DP120" t="str">
        <f t="shared" si="312"/>
        <v>2022_6</v>
      </c>
      <c r="DQ120" t="str">
        <f t="shared" si="312"/>
        <v>2022_6</v>
      </c>
      <c r="DR120" t="str">
        <f t="shared" si="312"/>
        <v>2022_6</v>
      </c>
      <c r="DS120" t="str">
        <f t="shared" si="312"/>
        <v>2022_6</v>
      </c>
      <c r="DT120" t="str">
        <f t="shared" si="312"/>
        <v>2022_6</v>
      </c>
      <c r="DU120" t="str">
        <f t="shared" si="312"/>
        <v>2022_6</v>
      </c>
      <c r="DV120" t="str">
        <f t="shared" si="310"/>
        <v>2022_6</v>
      </c>
      <c r="DW120" t="str">
        <f t="shared" si="310"/>
        <v>2022_6</v>
      </c>
      <c r="DX120" t="str">
        <f t="shared" si="310"/>
        <v>2022_6</v>
      </c>
      <c r="DY120" t="str">
        <f t="shared" si="310"/>
        <v>2022_6</v>
      </c>
      <c r="DZ120" t="str">
        <f t="shared" si="310"/>
        <v>2022_6</v>
      </c>
      <c r="EA120" t="str">
        <f t="shared" si="310"/>
        <v>2022_6</v>
      </c>
      <c r="EB120" t="str">
        <f t="shared" si="310"/>
        <v>2022_6</v>
      </c>
      <c r="EC120" t="str">
        <f t="shared" si="310"/>
        <v>2022_6</v>
      </c>
      <c r="ED120" t="str">
        <f t="shared" si="310"/>
        <v>2022_6</v>
      </c>
      <c r="EE120" t="str">
        <f t="shared" si="310"/>
        <v>2022_6</v>
      </c>
      <c r="EF120" t="str">
        <f t="shared" si="310"/>
        <v>2022_6</v>
      </c>
      <c r="EG120" t="str">
        <f t="shared" si="310"/>
        <v>2022_6</v>
      </c>
      <c r="EH120" t="str">
        <f t="shared" si="310"/>
        <v>2022_6</v>
      </c>
      <c r="EI120" t="str">
        <f t="shared" si="310"/>
        <v>2022_6</v>
      </c>
      <c r="EJ120" t="str">
        <f t="shared" si="310"/>
        <v>2022_6</v>
      </c>
      <c r="EK120" t="str">
        <f t="shared" si="310"/>
        <v>2022_6</v>
      </c>
      <c r="EL120" t="str">
        <f t="shared" si="311"/>
        <v>2022_6</v>
      </c>
      <c r="EM120" t="str">
        <f t="shared" si="309"/>
        <v>2022_6</v>
      </c>
      <c r="EN120" t="str">
        <f t="shared" si="309"/>
        <v>2022_6</v>
      </c>
      <c r="EO120" t="str">
        <f t="shared" si="309"/>
        <v>2022_6</v>
      </c>
      <c r="EP120" t="str">
        <f t="shared" si="309"/>
        <v>2022_6</v>
      </c>
      <c r="EQ120" t="str">
        <f t="shared" si="309"/>
        <v>2022_6</v>
      </c>
      <c r="ER120" t="str">
        <f t="shared" si="309"/>
        <v>2022_6</v>
      </c>
      <c r="ES120" t="str">
        <f t="shared" si="309"/>
        <v>2022_6</v>
      </c>
      <c r="ET120" t="str">
        <f t="shared" si="309"/>
        <v>2022_6</v>
      </c>
      <c r="EU120" t="str">
        <f t="shared" si="309"/>
        <v>2022_6</v>
      </c>
      <c r="EV120" t="str">
        <f t="shared" si="309"/>
        <v>2022_6</v>
      </c>
      <c r="EW120" t="str">
        <f t="shared" si="309"/>
        <v>2022_6</v>
      </c>
      <c r="EX120" t="str">
        <f t="shared" si="309"/>
        <v>2022_6</v>
      </c>
      <c r="EY120" t="str">
        <f t="shared" si="309"/>
        <v>2022_6</v>
      </c>
      <c r="FB120" s="10" t="s">
        <v>37</v>
      </c>
      <c r="FC120">
        <f t="shared" si="305"/>
        <v>0</v>
      </c>
      <c r="FD120">
        <f t="shared" si="255"/>
        <v>0</v>
      </c>
      <c r="FE120">
        <f t="shared" si="256"/>
        <v>0</v>
      </c>
      <c r="FF120">
        <f t="shared" si="257"/>
        <v>0</v>
      </c>
      <c r="FG120">
        <f t="shared" si="258"/>
        <v>0</v>
      </c>
      <c r="FH120">
        <f t="shared" si="259"/>
        <v>0</v>
      </c>
      <c r="FI120">
        <f t="shared" si="260"/>
        <v>0</v>
      </c>
      <c r="FJ120">
        <f t="shared" si="261"/>
        <v>0</v>
      </c>
      <c r="FK120">
        <f t="shared" si="262"/>
        <v>0</v>
      </c>
      <c r="FL120">
        <f t="shared" si="263"/>
        <v>0</v>
      </c>
      <c r="FM120">
        <f t="shared" si="264"/>
        <v>0</v>
      </c>
      <c r="FN120">
        <f t="shared" si="265"/>
        <v>0</v>
      </c>
      <c r="FO120">
        <f t="shared" si="266"/>
        <v>0</v>
      </c>
      <c r="FP120">
        <f t="shared" si="267"/>
        <v>0</v>
      </c>
      <c r="FQ120">
        <f t="shared" si="268"/>
        <v>0</v>
      </c>
      <c r="FR120">
        <f t="shared" si="269"/>
        <v>0</v>
      </c>
      <c r="FS120">
        <f t="shared" si="270"/>
        <v>0</v>
      </c>
      <c r="FT120">
        <f t="shared" si="271"/>
        <v>0</v>
      </c>
      <c r="FU120">
        <f t="shared" si="272"/>
        <v>0</v>
      </c>
      <c r="FV120">
        <f t="shared" si="273"/>
        <v>0</v>
      </c>
      <c r="FW120">
        <f t="shared" si="274"/>
        <v>0</v>
      </c>
      <c r="FX120">
        <f t="shared" si="275"/>
        <v>0</v>
      </c>
      <c r="FY120">
        <f t="shared" si="276"/>
        <v>0</v>
      </c>
      <c r="FZ120">
        <f t="shared" si="277"/>
        <v>0</v>
      </c>
      <c r="GA120">
        <f t="shared" si="278"/>
        <v>0</v>
      </c>
      <c r="GB120">
        <f t="shared" si="279"/>
        <v>0</v>
      </c>
      <c r="GC120">
        <f t="shared" si="280"/>
        <v>1</v>
      </c>
      <c r="GD120">
        <f t="shared" si="281"/>
        <v>1</v>
      </c>
      <c r="GE120">
        <f t="shared" si="282"/>
        <v>1</v>
      </c>
      <c r="GF120">
        <f t="shared" si="283"/>
        <v>1</v>
      </c>
      <c r="GG120">
        <f t="shared" si="284"/>
        <v>1</v>
      </c>
      <c r="GH120">
        <f t="shared" si="285"/>
        <v>1</v>
      </c>
      <c r="GI120">
        <f t="shared" si="286"/>
        <v>1</v>
      </c>
      <c r="GJ120">
        <f t="shared" si="287"/>
        <v>1</v>
      </c>
      <c r="GK120">
        <f t="shared" si="288"/>
        <v>1</v>
      </c>
      <c r="GL120">
        <f t="shared" si="289"/>
        <v>1</v>
      </c>
      <c r="GM120">
        <f t="shared" si="290"/>
        <v>1</v>
      </c>
      <c r="GN120">
        <f t="shared" si="291"/>
        <v>1</v>
      </c>
      <c r="GO120">
        <f t="shared" si="292"/>
        <v>1</v>
      </c>
      <c r="GP120">
        <f t="shared" si="293"/>
        <v>1</v>
      </c>
      <c r="GQ120">
        <f t="shared" si="294"/>
        <v>1</v>
      </c>
      <c r="GR120">
        <f t="shared" si="295"/>
        <v>1</v>
      </c>
      <c r="GS120">
        <f t="shared" si="296"/>
        <v>1</v>
      </c>
      <c r="GT120">
        <f t="shared" si="297"/>
        <v>1</v>
      </c>
      <c r="GU120">
        <f t="shared" si="298"/>
        <v>1</v>
      </c>
      <c r="GX120" s="10"/>
    </row>
    <row r="121" spans="1:206" x14ac:dyDescent="0.3">
      <c r="A121" s="9" t="s">
        <v>117</v>
      </c>
      <c r="B121" s="80"/>
      <c r="C121" s="9">
        <v>3130480002</v>
      </c>
      <c r="D121" s="9" t="s">
        <v>364</v>
      </c>
      <c r="E121" s="9" t="s">
        <v>39</v>
      </c>
      <c r="F121" s="9" t="s">
        <v>35</v>
      </c>
      <c r="G121" s="9" t="s">
        <v>156</v>
      </c>
      <c r="H121" s="10">
        <v>44720</v>
      </c>
      <c r="I121" s="9">
        <f t="shared" si="299"/>
        <v>2022</v>
      </c>
      <c r="J121" s="9">
        <f t="shared" si="300"/>
        <v>6</v>
      </c>
      <c r="K121" s="9" t="str">
        <f t="shared" si="301"/>
        <v>2022_6</v>
      </c>
      <c r="L121">
        <f>MAX(0,VLOOKUP($K121,lookups!$A$1:$B$45,2,0)-12)</f>
        <v>14</v>
      </c>
      <c r="M121" s="40">
        <f t="shared" si="302"/>
        <v>44713</v>
      </c>
      <c r="N121" s="10" t="s">
        <v>37</v>
      </c>
      <c r="O121" t="str">
        <f ca="1">IF(OR($L121&gt;O$4,O$4&gt;$L121+23),"",OFFSET(Electric!$L112,0,-'Electric Calendarize'!$L121+'Electric Calendarize'!O$4+1))</f>
        <v/>
      </c>
      <c r="P121" t="str">
        <f ca="1">IF(OR($L121&gt;P$4,P$4&gt;$L121+23),"",OFFSET(Electric!$L112,0,-'Electric Calendarize'!$L121+'Electric Calendarize'!P$4+1))</f>
        <v/>
      </c>
      <c r="Q121" t="str">
        <f ca="1">IF(OR($L121&gt;Q$4,Q$4&gt;$L121+23),"",OFFSET(Electric!$L112,0,-'Electric Calendarize'!$L121+'Electric Calendarize'!Q$4+1))</f>
        <v/>
      </c>
      <c r="R121" t="str">
        <f ca="1">IF(OR($L121&gt;R$4,R$4&gt;$L121+23),"",OFFSET(Electric!$L112,0,-'Electric Calendarize'!$L121+'Electric Calendarize'!R$4+1))</f>
        <v/>
      </c>
      <c r="S121" t="str">
        <f ca="1">IF(OR($L121&gt;S$4,S$4&gt;$L121+23),"",OFFSET(Electric!$L112,0,-'Electric Calendarize'!$L121+'Electric Calendarize'!S$4+1))</f>
        <v/>
      </c>
      <c r="T121" t="str">
        <f ca="1">IF(OR($L121&gt;T$4,T$4&gt;$L121+23),"",OFFSET(Electric!$L112,0,-'Electric Calendarize'!$L121+'Electric Calendarize'!T$4+1))</f>
        <v/>
      </c>
      <c r="U121" t="str">
        <f ca="1">IF(OR($L121&gt;U$4,U$4&gt;$L121+23),"",OFFSET(Electric!$L112,0,-'Electric Calendarize'!$L121+'Electric Calendarize'!U$4+1))</f>
        <v/>
      </c>
      <c r="V121" t="str">
        <f ca="1">IF(OR($L121&gt;V$4,V$4&gt;$L121+23),"",OFFSET(Electric!$L112,0,-'Electric Calendarize'!$L121+'Electric Calendarize'!V$4+1))</f>
        <v/>
      </c>
      <c r="W121" t="str">
        <f ca="1">IF(OR($L121&gt;W$4,W$4&gt;$L121+23),"",OFFSET(Electric!$L112,0,-'Electric Calendarize'!$L121+'Electric Calendarize'!W$4+1))</f>
        <v/>
      </c>
      <c r="X121" t="str">
        <f ca="1">IF(OR($L121&gt;X$4,X$4&gt;$L121+23),"",OFFSET(Electric!$L112,0,-'Electric Calendarize'!$L121+'Electric Calendarize'!X$4+1))</f>
        <v/>
      </c>
      <c r="Y121" t="str">
        <f ca="1">IF(OR($L121&gt;Y$4,Y$4&gt;$L121+23),"",OFFSET(Electric!$L112,0,-'Electric Calendarize'!$L121+'Electric Calendarize'!Y$4+1))</f>
        <v/>
      </c>
      <c r="Z121" t="str">
        <f ca="1">IF(OR($L121&gt;Z$4,Z$4&gt;$L121+23),"",OFFSET(Electric!$L112,0,-'Electric Calendarize'!$L121+'Electric Calendarize'!Z$4+1))</f>
        <v/>
      </c>
      <c r="AA121" t="str">
        <f ca="1">IF(OR($L121&gt;AA$4,AA$4&gt;$L121+23),"",OFFSET(Electric!$L112,0,-'Electric Calendarize'!$L121+'Electric Calendarize'!AA$4+1))</f>
        <v/>
      </c>
      <c r="AB121" t="str">
        <f ca="1">IF(OR($L121&gt;AB$4,AB$4&gt;$L121+23),"",OFFSET(Electric!$L112,0,-'Electric Calendarize'!$L121+'Electric Calendarize'!AB$4+1))</f>
        <v/>
      </c>
      <c r="AC121">
        <f ca="1">IF(OR($L121&gt;AC$4,AC$4&gt;$L121+23),"",OFFSET(Electric!$L112,0,-'Electric Calendarize'!$L121+'Electric Calendarize'!AC$4+1))</f>
        <v>0</v>
      </c>
      <c r="AD121">
        <f ca="1">IF(OR($L121&gt;AD$4,AD$4&gt;$L121+23),"",OFFSET(Electric!$L112,0,-'Electric Calendarize'!$L121+'Electric Calendarize'!AD$4+1))</f>
        <v>0</v>
      </c>
      <c r="AE121">
        <f ca="1">IF(OR($L121&gt;AE$4,AE$4&gt;$L121+23),"",OFFSET(Electric!$L112,0,-'Electric Calendarize'!$L121+'Electric Calendarize'!AE$4+1))</f>
        <v>0</v>
      </c>
      <c r="AF121">
        <f ca="1">IF(OR($L121&gt;AF$4,AF$4&gt;$L121+23),"",OFFSET(Electric!$L112,0,-'Electric Calendarize'!$L121+'Electric Calendarize'!AF$4+1))</f>
        <v>0</v>
      </c>
      <c r="AG121">
        <f ca="1">IF(OR($L121&gt;AG$4,AG$4&gt;$L121+23),"",OFFSET(Electric!$L112,0,-'Electric Calendarize'!$L121+'Electric Calendarize'!AG$4+1))</f>
        <v>0</v>
      </c>
      <c r="AH121">
        <f ca="1">IF(OR($L121&gt;AH$4,AH$4&gt;$L121+23),"",OFFSET(Electric!$L112,0,-'Electric Calendarize'!$L121+'Electric Calendarize'!AH$4+1))</f>
        <v>345</v>
      </c>
      <c r="AI121">
        <f ca="1">IF(OR($L121&gt;AI$4,AI$4&gt;$L121+23),"",OFFSET(Electric!$L112,0,-'Electric Calendarize'!$L121+'Electric Calendarize'!AI$4+1))</f>
        <v>567</v>
      </c>
      <c r="AJ121">
        <f ca="1">IF(OR($L121&gt;AJ$4,AJ$4&gt;$L121+23),"",OFFSET(Electric!$L112,0,-'Electric Calendarize'!$L121+'Electric Calendarize'!AJ$4+1))</f>
        <v>660</v>
      </c>
      <c r="AK121">
        <f ca="1">IF(OR($L121&gt;AK$4,AK$4&gt;$L121+23),"",OFFSET(Electric!$L112,0,-'Electric Calendarize'!$L121+'Electric Calendarize'!AK$4+1))</f>
        <v>663</v>
      </c>
      <c r="AL121">
        <f ca="1">IF(OR($L121&gt;AL$4,AL$4&gt;$L121+23),"",OFFSET(Electric!$L112,0,-'Electric Calendarize'!$L121+'Electric Calendarize'!AL$4+1))</f>
        <v>400</v>
      </c>
      <c r="AM121">
        <f ca="1">IF(OR($L121&gt;AM$4,AM$4&gt;$L121+23),"",OFFSET(Electric!$L112,0,-'Electric Calendarize'!$L121+'Electric Calendarize'!AM$4+1))</f>
        <v>396</v>
      </c>
      <c r="AN121">
        <f ca="1">IF(OR($L121&gt;AN$4,AN$4&gt;$L121+23),"",OFFSET(Electric!$L112,0,-'Electric Calendarize'!$L121+'Electric Calendarize'!AN$4+1))</f>
        <v>466</v>
      </c>
      <c r="AO121">
        <f ca="1">IF(OR($L121&gt;AO$4,AO$4&gt;$L121+23),"",OFFSET(Electric!$L112,0,-'Electric Calendarize'!$L121+'Electric Calendarize'!AO$4+1))</f>
        <v>722</v>
      </c>
      <c r="AP121">
        <f ca="1">IF(OR($L121&gt;AP$4,AP$4&gt;$L121+23),"",OFFSET(Electric!$L112,0,-'Electric Calendarize'!$L121+'Electric Calendarize'!AP$4+1))</f>
        <v>1477</v>
      </c>
      <c r="AQ121">
        <f ca="1">IF(OR($L121&gt;AQ$4,AQ$4&gt;$L121+23),"",OFFSET(Electric!$L112,0,-'Electric Calendarize'!$L121+'Electric Calendarize'!AQ$4+1))</f>
        <v>1441</v>
      </c>
      <c r="AR121">
        <f ca="1">IF(OR($L121&gt;AR$4,AR$4&gt;$L121+23),"",OFFSET(Electric!$L112,0,-'Electric Calendarize'!$L121+'Electric Calendarize'!AR$4+1))</f>
        <v>895</v>
      </c>
      <c r="AS121">
        <f ca="1">IF(OR($L121&gt;AS$4,AS$4&gt;$L121+23),"",OFFSET(Electric!$L112,0,-'Electric Calendarize'!$L121+'Electric Calendarize'!AS$4+1))</f>
        <v>415</v>
      </c>
      <c r="AT121">
        <f ca="1">IF(OR($L121&gt;AT$4,AT$4&gt;$L121+23),"",OFFSET(Electric!$L112,0,-'Electric Calendarize'!$L121+'Electric Calendarize'!AT$4+1))</f>
        <v>454</v>
      </c>
      <c r="AU121">
        <f ca="1">IF(OR($L121&gt;AU$4,AU$4&gt;$L121+23),"",OFFSET(Electric!$L112,0,-'Electric Calendarize'!$L121+'Electric Calendarize'!AU$4+1))</f>
        <v>642</v>
      </c>
      <c r="AV121">
        <f ca="1">IF(OR($L121&gt;AV$4,AV$4&gt;$L121+23),"",OFFSET(Electric!$L112,0,-'Electric Calendarize'!$L121+'Electric Calendarize'!AV$4+1))</f>
        <v>932</v>
      </c>
      <c r="AW121">
        <f ca="1">IF(OR($L121&gt;AW$4,AW$4&gt;$L121+23),"",OFFSET(Electric!$L112,0,-'Electric Calendarize'!$L121+'Electric Calendarize'!AW$4+1))</f>
        <v>1450</v>
      </c>
      <c r="AX121">
        <f ca="1">IF(OR($L121&gt;AX$4,AX$4&gt;$L121+23),"",OFFSET(Electric!$L112,0,-'Electric Calendarize'!$L121+'Electric Calendarize'!AX$4+1))</f>
        <v>1406</v>
      </c>
      <c r="AY121">
        <f ca="1">IF(OR($L121&gt;AY$4,AY$4&gt;$L121+23),"",OFFSET(Electric!$L112,0,-'Electric Calendarize'!$L121+'Electric Calendarize'!AY$4+1))</f>
        <v>894</v>
      </c>
      <c r="AZ121">
        <f ca="1">IF(OR($L121&gt;AZ$4,AZ$4&gt;$L121+23),"",OFFSET(Electric!$L112,0,-'Electric Calendarize'!$L121+'Electric Calendarize'!AZ$4+1))</f>
        <v>640</v>
      </c>
      <c r="BA121" t="str">
        <f ca="1">IF(OR($L121&gt;BA$4,BA$4&gt;$L121+23),"",OFFSET(Electric!$L112,0,-'Electric Calendarize'!$L121+'Electric Calendarize'!BA$4+1))</f>
        <v/>
      </c>
      <c r="BB121" t="str">
        <f ca="1">IF(OR($L121&gt;BB$4,BB$4&gt;$L121+23),"",OFFSET(Electric!$L112,0,-'Electric Calendarize'!$L121+'Electric Calendarize'!BB$4+1))</f>
        <v/>
      </c>
      <c r="BC121" t="str">
        <f ca="1">IF(OR($L121&gt;BC$4,BC$4&gt;$L121+23),"",OFFSET(Electric!$L112,0,-'Electric Calendarize'!$L121+'Electric Calendarize'!BC$4+1))</f>
        <v/>
      </c>
      <c r="BD121" t="str">
        <f ca="1">IF(OR($L121&gt;BD$4,BD$4&gt;$L121+23),"",OFFSET(Electric!$L112,0,-'Electric Calendarize'!$L121+'Electric Calendarize'!BD$4+1))</f>
        <v/>
      </c>
      <c r="BE121" t="str">
        <f ca="1">IF(OR($L121&gt;BE$4,BE$4&gt;$L121+23),"",OFFSET(Electric!$L112,0,-'Electric Calendarize'!$L121+'Electric Calendarize'!BE$4+1))</f>
        <v/>
      </c>
      <c r="BF121" t="str">
        <f ca="1">IF(OR($L121&gt;BF$4,BF$4&gt;$L121+23),"",OFFSET(Electric!$L112,0,-'Electric Calendarize'!$L121+'Electric Calendarize'!BF$4+1))</f>
        <v/>
      </c>
      <c r="BG121" t="str">
        <f ca="1">IF(OR($L121&gt;BG$4,BG$4&gt;$L121+23),"",OFFSET(Electric!$L112,0,-'Electric Calendarize'!$L121+'Electric Calendarize'!BG$4+1))</f>
        <v/>
      </c>
      <c r="BJ121" s="10" t="s">
        <v>37</v>
      </c>
      <c r="BK121">
        <f t="shared" si="303"/>
        <v>1</v>
      </c>
      <c r="BL121">
        <f t="shared" si="209"/>
        <v>0</v>
      </c>
      <c r="BM121">
        <f t="shared" si="210"/>
        <v>0</v>
      </c>
      <c r="BN121">
        <f t="shared" si="211"/>
        <v>0</v>
      </c>
      <c r="BO121">
        <f t="shared" si="212"/>
        <v>0</v>
      </c>
      <c r="BP121">
        <f t="shared" si="213"/>
        <v>0</v>
      </c>
      <c r="BQ121">
        <f t="shared" si="214"/>
        <v>0</v>
      </c>
      <c r="BR121">
        <f t="shared" si="215"/>
        <v>1</v>
      </c>
      <c r="BS121">
        <f t="shared" si="216"/>
        <v>1</v>
      </c>
      <c r="BT121">
        <f t="shared" si="217"/>
        <v>1</v>
      </c>
      <c r="BU121">
        <f t="shared" si="218"/>
        <v>1</v>
      </c>
      <c r="BV121">
        <f t="shared" si="219"/>
        <v>1</v>
      </c>
      <c r="BW121">
        <f t="shared" si="220"/>
        <v>1</v>
      </c>
      <c r="BX121">
        <f t="shared" si="221"/>
        <v>0</v>
      </c>
      <c r="BY121">
        <f t="shared" si="222"/>
        <v>0</v>
      </c>
      <c r="BZ121">
        <f t="shared" si="223"/>
        <v>0</v>
      </c>
      <c r="CA121">
        <f t="shared" si="224"/>
        <v>0</v>
      </c>
      <c r="CB121">
        <f t="shared" si="225"/>
        <v>0</v>
      </c>
      <c r="CC121">
        <f t="shared" si="226"/>
        <v>0</v>
      </c>
      <c r="CD121">
        <f t="shared" si="227"/>
        <v>1</v>
      </c>
      <c r="CE121">
        <f t="shared" si="228"/>
        <v>1</v>
      </c>
      <c r="CF121">
        <f t="shared" si="229"/>
        <v>1</v>
      </c>
      <c r="CG121">
        <f t="shared" si="230"/>
        <v>1</v>
      </c>
      <c r="CH121">
        <f t="shared" si="231"/>
        <v>1</v>
      </c>
      <c r="CI121">
        <f t="shared" si="232"/>
        <v>1</v>
      </c>
      <c r="CJ121">
        <f t="shared" si="233"/>
        <v>0</v>
      </c>
      <c r="CK121">
        <f t="shared" si="234"/>
        <v>0</v>
      </c>
      <c r="CL121">
        <f t="shared" si="235"/>
        <v>0</v>
      </c>
      <c r="CM121">
        <f t="shared" si="236"/>
        <v>0</v>
      </c>
      <c r="CN121">
        <f t="shared" si="237"/>
        <v>0</v>
      </c>
      <c r="CO121">
        <f t="shared" si="238"/>
        <v>0</v>
      </c>
      <c r="CP121">
        <f t="shared" si="239"/>
        <v>1</v>
      </c>
      <c r="CQ121">
        <f t="shared" si="240"/>
        <v>1</v>
      </c>
      <c r="CR121">
        <f t="shared" si="241"/>
        <v>1</v>
      </c>
      <c r="CS121">
        <f t="shared" si="242"/>
        <v>1</v>
      </c>
      <c r="CT121">
        <f t="shared" si="243"/>
        <v>1</v>
      </c>
      <c r="CU121">
        <f t="shared" si="244"/>
        <v>1</v>
      </c>
      <c r="CV121">
        <f t="shared" si="245"/>
        <v>0</v>
      </c>
      <c r="CW121">
        <f t="shared" si="246"/>
        <v>0</v>
      </c>
      <c r="CX121">
        <f t="shared" si="247"/>
        <v>0</v>
      </c>
      <c r="CY121">
        <f t="shared" si="248"/>
        <v>0</v>
      </c>
      <c r="CZ121">
        <f t="shared" si="249"/>
        <v>0</v>
      </c>
      <c r="DA121">
        <f t="shared" si="250"/>
        <v>0</v>
      </c>
      <c r="DB121">
        <f t="shared" si="251"/>
        <v>1</v>
      </c>
      <c r="DC121">
        <f t="shared" si="252"/>
        <v>1</v>
      </c>
      <c r="DF121" s="10" t="s">
        <v>37</v>
      </c>
      <c r="DG121" t="str">
        <f t="shared" si="312"/>
        <v>2022_6</v>
      </c>
      <c r="DH121" t="str">
        <f t="shared" si="312"/>
        <v>2022_6</v>
      </c>
      <c r="DI121" t="str">
        <f t="shared" si="312"/>
        <v>2022_6</v>
      </c>
      <c r="DJ121" t="str">
        <f t="shared" si="312"/>
        <v>2022_6</v>
      </c>
      <c r="DK121" t="str">
        <f t="shared" si="312"/>
        <v>2022_6</v>
      </c>
      <c r="DL121" t="str">
        <f t="shared" si="312"/>
        <v>2022_6</v>
      </c>
      <c r="DM121" t="str">
        <f t="shared" si="312"/>
        <v>2022_6</v>
      </c>
      <c r="DN121" t="str">
        <f t="shared" si="312"/>
        <v>2022_6</v>
      </c>
      <c r="DO121" t="str">
        <f t="shared" si="312"/>
        <v>2022_6</v>
      </c>
      <c r="DP121" t="str">
        <f t="shared" si="312"/>
        <v>2022_6</v>
      </c>
      <c r="DQ121" t="str">
        <f t="shared" si="312"/>
        <v>2022_6</v>
      </c>
      <c r="DR121" t="str">
        <f t="shared" si="312"/>
        <v>2022_6</v>
      </c>
      <c r="DS121" t="str">
        <f t="shared" si="312"/>
        <v>2022_6</v>
      </c>
      <c r="DT121" t="str">
        <f t="shared" si="312"/>
        <v>2022_6</v>
      </c>
      <c r="DU121" t="str">
        <f t="shared" si="312"/>
        <v>2022_6</v>
      </c>
      <c r="DV121" t="str">
        <f t="shared" si="310"/>
        <v>2022_6</v>
      </c>
      <c r="DW121" t="str">
        <f t="shared" si="310"/>
        <v>2022_6</v>
      </c>
      <c r="DX121" t="str">
        <f t="shared" si="310"/>
        <v>2022_6</v>
      </c>
      <c r="DY121" t="str">
        <f t="shared" si="310"/>
        <v>2022_6</v>
      </c>
      <c r="DZ121" t="str">
        <f t="shared" si="310"/>
        <v>2022_6</v>
      </c>
      <c r="EA121" t="str">
        <f t="shared" si="310"/>
        <v>2022_6</v>
      </c>
      <c r="EB121" t="str">
        <f t="shared" si="310"/>
        <v>2022_6</v>
      </c>
      <c r="EC121" t="str">
        <f t="shared" si="310"/>
        <v>2022_6</v>
      </c>
      <c r="ED121" t="str">
        <f t="shared" si="310"/>
        <v>2022_6</v>
      </c>
      <c r="EE121" t="str">
        <f t="shared" si="310"/>
        <v>2022_6</v>
      </c>
      <c r="EF121" t="str">
        <f t="shared" si="310"/>
        <v>2022_6</v>
      </c>
      <c r="EG121" t="str">
        <f t="shared" si="310"/>
        <v>2022_6</v>
      </c>
      <c r="EH121" t="str">
        <f t="shared" si="310"/>
        <v>2022_6</v>
      </c>
      <c r="EI121" t="str">
        <f t="shared" si="310"/>
        <v>2022_6</v>
      </c>
      <c r="EJ121" t="str">
        <f t="shared" si="310"/>
        <v>2022_6</v>
      </c>
      <c r="EK121" t="str">
        <f t="shared" si="310"/>
        <v>2022_6</v>
      </c>
      <c r="EL121" t="str">
        <f t="shared" si="311"/>
        <v>2022_6</v>
      </c>
      <c r="EM121" t="str">
        <f t="shared" si="309"/>
        <v>2022_6</v>
      </c>
      <c r="EN121" t="str">
        <f t="shared" si="309"/>
        <v>2022_6</v>
      </c>
      <c r="EO121" t="str">
        <f t="shared" si="309"/>
        <v>2022_6</v>
      </c>
      <c r="EP121" t="str">
        <f t="shared" si="309"/>
        <v>2022_6</v>
      </c>
      <c r="EQ121" t="str">
        <f t="shared" si="309"/>
        <v>2022_6</v>
      </c>
      <c r="ER121" t="str">
        <f t="shared" si="309"/>
        <v>2022_6</v>
      </c>
      <c r="ES121" t="str">
        <f t="shared" si="309"/>
        <v>2022_6</v>
      </c>
      <c r="ET121" t="str">
        <f t="shared" si="309"/>
        <v>2022_6</v>
      </c>
      <c r="EU121" t="str">
        <f t="shared" si="309"/>
        <v>2022_6</v>
      </c>
      <c r="EV121" t="str">
        <f t="shared" si="309"/>
        <v>2022_6</v>
      </c>
      <c r="EW121" t="str">
        <f t="shared" si="309"/>
        <v>2022_6</v>
      </c>
      <c r="EX121" t="str">
        <f t="shared" si="309"/>
        <v>2022_6</v>
      </c>
      <c r="EY121" t="str">
        <f t="shared" si="309"/>
        <v>2022_6</v>
      </c>
      <c r="FB121" s="10" t="s">
        <v>37</v>
      </c>
      <c r="FC121">
        <f t="shared" si="305"/>
        <v>0</v>
      </c>
      <c r="FD121">
        <f t="shared" si="255"/>
        <v>0</v>
      </c>
      <c r="FE121">
        <f t="shared" si="256"/>
        <v>0</v>
      </c>
      <c r="FF121">
        <f t="shared" si="257"/>
        <v>0</v>
      </c>
      <c r="FG121">
        <f t="shared" si="258"/>
        <v>0</v>
      </c>
      <c r="FH121">
        <f t="shared" si="259"/>
        <v>0</v>
      </c>
      <c r="FI121">
        <f t="shared" si="260"/>
        <v>0</v>
      </c>
      <c r="FJ121">
        <f t="shared" si="261"/>
        <v>0</v>
      </c>
      <c r="FK121">
        <f t="shared" si="262"/>
        <v>0</v>
      </c>
      <c r="FL121">
        <f t="shared" si="263"/>
        <v>0</v>
      </c>
      <c r="FM121">
        <f t="shared" si="264"/>
        <v>0</v>
      </c>
      <c r="FN121">
        <f t="shared" si="265"/>
        <v>0</v>
      </c>
      <c r="FO121">
        <f t="shared" si="266"/>
        <v>0</v>
      </c>
      <c r="FP121">
        <f t="shared" si="267"/>
        <v>0</v>
      </c>
      <c r="FQ121">
        <f t="shared" si="268"/>
        <v>0</v>
      </c>
      <c r="FR121">
        <f t="shared" si="269"/>
        <v>0</v>
      </c>
      <c r="FS121">
        <f t="shared" si="270"/>
        <v>0</v>
      </c>
      <c r="FT121">
        <f t="shared" si="271"/>
        <v>0</v>
      </c>
      <c r="FU121">
        <f t="shared" si="272"/>
        <v>0</v>
      </c>
      <c r="FV121">
        <f t="shared" si="273"/>
        <v>0</v>
      </c>
      <c r="FW121">
        <f t="shared" si="274"/>
        <v>0</v>
      </c>
      <c r="FX121">
        <f t="shared" si="275"/>
        <v>0</v>
      </c>
      <c r="FY121">
        <f t="shared" si="276"/>
        <v>0</v>
      </c>
      <c r="FZ121">
        <f t="shared" si="277"/>
        <v>0</v>
      </c>
      <c r="GA121">
        <f t="shared" si="278"/>
        <v>0</v>
      </c>
      <c r="GB121">
        <f t="shared" si="279"/>
        <v>0</v>
      </c>
      <c r="GC121">
        <f t="shared" si="280"/>
        <v>1</v>
      </c>
      <c r="GD121">
        <f t="shared" si="281"/>
        <v>1</v>
      </c>
      <c r="GE121">
        <f t="shared" si="282"/>
        <v>1</v>
      </c>
      <c r="GF121">
        <f t="shared" si="283"/>
        <v>1</v>
      </c>
      <c r="GG121">
        <f t="shared" si="284"/>
        <v>1</v>
      </c>
      <c r="GH121">
        <f t="shared" si="285"/>
        <v>1</v>
      </c>
      <c r="GI121">
        <f t="shared" si="286"/>
        <v>1</v>
      </c>
      <c r="GJ121">
        <f t="shared" si="287"/>
        <v>1</v>
      </c>
      <c r="GK121">
        <f t="shared" si="288"/>
        <v>1</v>
      </c>
      <c r="GL121">
        <f t="shared" si="289"/>
        <v>1</v>
      </c>
      <c r="GM121">
        <f t="shared" si="290"/>
        <v>1</v>
      </c>
      <c r="GN121">
        <f t="shared" si="291"/>
        <v>1</v>
      </c>
      <c r="GO121">
        <f t="shared" si="292"/>
        <v>1</v>
      </c>
      <c r="GP121">
        <f t="shared" si="293"/>
        <v>1</v>
      </c>
      <c r="GQ121">
        <f t="shared" si="294"/>
        <v>1</v>
      </c>
      <c r="GR121">
        <f t="shared" si="295"/>
        <v>1</v>
      </c>
      <c r="GS121">
        <f t="shared" si="296"/>
        <v>1</v>
      </c>
      <c r="GT121">
        <f t="shared" si="297"/>
        <v>1</v>
      </c>
      <c r="GU121">
        <f t="shared" si="298"/>
        <v>1</v>
      </c>
      <c r="GX121" s="10"/>
    </row>
    <row r="122" spans="1:206" x14ac:dyDescent="0.3">
      <c r="A122" s="9" t="s">
        <v>33</v>
      </c>
      <c r="B122" s="80"/>
      <c r="C122" s="9">
        <v>3112093000</v>
      </c>
      <c r="D122" s="9" t="s">
        <v>438</v>
      </c>
      <c r="E122" s="9" t="s">
        <v>34</v>
      </c>
      <c r="F122" s="9" t="s">
        <v>35</v>
      </c>
      <c r="G122" s="9" t="s">
        <v>157</v>
      </c>
      <c r="H122" s="10">
        <v>44721</v>
      </c>
      <c r="I122" s="9">
        <f t="shared" si="299"/>
        <v>2022</v>
      </c>
      <c r="J122" s="9">
        <f t="shared" si="300"/>
        <v>6</v>
      </c>
      <c r="K122" s="9" t="str">
        <f t="shared" si="301"/>
        <v>2022_6</v>
      </c>
      <c r="L122">
        <f>MAX(0,VLOOKUP($K122,lookups!$A$1:$B$45,2,0)-12)</f>
        <v>14</v>
      </c>
      <c r="M122" s="40">
        <f t="shared" si="302"/>
        <v>44713</v>
      </c>
      <c r="N122" s="10" t="s">
        <v>37</v>
      </c>
      <c r="O122" t="str">
        <f ca="1">IF(OR($L122&gt;O$4,O$4&gt;$L122+23),"",OFFSET(Electric!$L113,0,-'Electric Calendarize'!$L122+'Electric Calendarize'!O$4+1))</f>
        <v/>
      </c>
      <c r="P122" t="str">
        <f ca="1">IF(OR($L122&gt;P$4,P$4&gt;$L122+23),"",OFFSET(Electric!$L113,0,-'Electric Calendarize'!$L122+'Electric Calendarize'!P$4+1))</f>
        <v/>
      </c>
      <c r="Q122" t="str">
        <f ca="1">IF(OR($L122&gt;Q$4,Q$4&gt;$L122+23),"",OFFSET(Electric!$L113,0,-'Electric Calendarize'!$L122+'Electric Calendarize'!Q$4+1))</f>
        <v/>
      </c>
      <c r="R122" t="str">
        <f ca="1">IF(OR($L122&gt;R$4,R$4&gt;$L122+23),"",OFFSET(Electric!$L113,0,-'Electric Calendarize'!$L122+'Electric Calendarize'!R$4+1))</f>
        <v/>
      </c>
      <c r="S122" t="str">
        <f ca="1">IF(OR($L122&gt;S$4,S$4&gt;$L122+23),"",OFFSET(Electric!$L113,0,-'Electric Calendarize'!$L122+'Electric Calendarize'!S$4+1))</f>
        <v/>
      </c>
      <c r="T122" t="str">
        <f ca="1">IF(OR($L122&gt;T$4,T$4&gt;$L122+23),"",OFFSET(Electric!$L113,0,-'Electric Calendarize'!$L122+'Electric Calendarize'!T$4+1))</f>
        <v/>
      </c>
      <c r="U122" t="str">
        <f ca="1">IF(OR($L122&gt;U$4,U$4&gt;$L122+23),"",OFFSET(Electric!$L113,0,-'Electric Calendarize'!$L122+'Electric Calendarize'!U$4+1))</f>
        <v/>
      </c>
      <c r="V122" t="str">
        <f ca="1">IF(OR($L122&gt;V$4,V$4&gt;$L122+23),"",OFFSET(Electric!$L113,0,-'Electric Calendarize'!$L122+'Electric Calendarize'!V$4+1))</f>
        <v/>
      </c>
      <c r="W122" t="str">
        <f ca="1">IF(OR($L122&gt;W$4,W$4&gt;$L122+23),"",OFFSET(Electric!$L113,0,-'Electric Calendarize'!$L122+'Electric Calendarize'!W$4+1))</f>
        <v/>
      </c>
      <c r="X122" t="str">
        <f ca="1">IF(OR($L122&gt;X$4,X$4&gt;$L122+23),"",OFFSET(Electric!$L113,0,-'Electric Calendarize'!$L122+'Electric Calendarize'!X$4+1))</f>
        <v/>
      </c>
      <c r="Y122" t="str">
        <f ca="1">IF(OR($L122&gt;Y$4,Y$4&gt;$L122+23),"",OFFSET(Electric!$L113,0,-'Electric Calendarize'!$L122+'Electric Calendarize'!Y$4+1))</f>
        <v/>
      </c>
      <c r="Z122" t="str">
        <f ca="1">IF(OR($L122&gt;Z$4,Z$4&gt;$L122+23),"",OFFSET(Electric!$L113,0,-'Electric Calendarize'!$L122+'Electric Calendarize'!Z$4+1))</f>
        <v/>
      </c>
      <c r="AA122" t="str">
        <f ca="1">IF(OR($L122&gt;AA$4,AA$4&gt;$L122+23),"",OFFSET(Electric!$L113,0,-'Electric Calendarize'!$L122+'Electric Calendarize'!AA$4+1))</f>
        <v/>
      </c>
      <c r="AB122" t="str">
        <f ca="1">IF(OR($L122&gt;AB$4,AB$4&gt;$L122+23),"",OFFSET(Electric!$L113,0,-'Electric Calendarize'!$L122+'Electric Calendarize'!AB$4+1))</f>
        <v/>
      </c>
      <c r="AC122">
        <f ca="1">IF(OR($L122&gt;AC$4,AC$4&gt;$L122+23),"",OFFSET(Electric!$L113,0,-'Electric Calendarize'!$L122+'Electric Calendarize'!AC$4+1))</f>
        <v>1210</v>
      </c>
      <c r="AD122">
        <f ca="1">IF(OR($L122&gt;AD$4,AD$4&gt;$L122+23),"",OFFSET(Electric!$L113,0,-'Electric Calendarize'!$L122+'Electric Calendarize'!AD$4+1))</f>
        <v>1416</v>
      </c>
      <c r="AE122">
        <f ca="1">IF(OR($L122&gt;AE$4,AE$4&gt;$L122+23),"",OFFSET(Electric!$L113,0,-'Electric Calendarize'!$L122+'Electric Calendarize'!AE$4+1))</f>
        <v>1290</v>
      </c>
      <c r="AF122">
        <f ca="1">IF(OR($L122&gt;AF$4,AF$4&gt;$L122+23),"",OFFSET(Electric!$L113,0,-'Electric Calendarize'!$L122+'Electric Calendarize'!AF$4+1))</f>
        <v>1492</v>
      </c>
      <c r="AG122">
        <f ca="1">IF(OR($L122&gt;AG$4,AG$4&gt;$L122+23),"",OFFSET(Electric!$L113,0,-'Electric Calendarize'!$L122+'Electric Calendarize'!AG$4+1))</f>
        <v>1114</v>
      </c>
      <c r="AH122">
        <f ca="1">IF(OR($L122&gt;AH$4,AH$4&gt;$L122+23),"",OFFSET(Electric!$L113,0,-'Electric Calendarize'!$L122+'Electric Calendarize'!AH$4+1))</f>
        <v>1048</v>
      </c>
      <c r="AI122">
        <f ca="1">IF(OR($L122&gt;AI$4,AI$4&gt;$L122+23),"",OFFSET(Electric!$L113,0,-'Electric Calendarize'!$L122+'Electric Calendarize'!AI$4+1))</f>
        <v>1672</v>
      </c>
      <c r="AJ122">
        <f ca="1">IF(OR($L122&gt;AJ$4,AJ$4&gt;$L122+23),"",OFFSET(Electric!$L113,0,-'Electric Calendarize'!$L122+'Electric Calendarize'!AJ$4+1))</f>
        <v>1936</v>
      </c>
      <c r="AK122">
        <f ca="1">IF(OR($L122&gt;AK$4,AK$4&gt;$L122+23),"",OFFSET(Electric!$L113,0,-'Electric Calendarize'!$L122+'Electric Calendarize'!AK$4+1))</f>
        <v>1238</v>
      </c>
      <c r="AL122">
        <f ca="1">IF(OR($L122&gt;AL$4,AL$4&gt;$L122+23),"",OFFSET(Electric!$L113,0,-'Electric Calendarize'!$L122+'Electric Calendarize'!AL$4+1))</f>
        <v>1172</v>
      </c>
      <c r="AM122">
        <f ca="1">IF(OR($L122&gt;AM$4,AM$4&gt;$L122+23),"",OFFSET(Electric!$L113,0,-'Electric Calendarize'!$L122+'Electric Calendarize'!AM$4+1))</f>
        <v>884</v>
      </c>
      <c r="AN122">
        <f ca="1">IF(OR($L122&gt;AN$4,AN$4&gt;$L122+23),"",OFFSET(Electric!$L113,0,-'Electric Calendarize'!$L122+'Electric Calendarize'!AN$4+1))</f>
        <v>968</v>
      </c>
      <c r="AO122">
        <f ca="1">IF(OR($L122&gt;AO$4,AO$4&gt;$L122+23),"",OFFSET(Electric!$L113,0,-'Electric Calendarize'!$L122+'Electric Calendarize'!AO$4+1))</f>
        <v>1094</v>
      </c>
      <c r="AP122">
        <f ca="1">IF(OR($L122&gt;AP$4,AP$4&gt;$L122+23),"",OFFSET(Electric!$L113,0,-'Electric Calendarize'!$L122+'Electric Calendarize'!AP$4+1))</f>
        <v>1472</v>
      </c>
      <c r="AQ122">
        <f ca="1">IF(OR($L122&gt;AQ$4,AQ$4&gt;$L122+23),"",OFFSET(Electric!$L113,0,-'Electric Calendarize'!$L122+'Electric Calendarize'!AQ$4+1))</f>
        <v>2082</v>
      </c>
      <c r="AR122">
        <f ca="1">IF(OR($L122&gt;AR$4,AR$4&gt;$L122+23),"",OFFSET(Electric!$L113,0,-'Electric Calendarize'!$L122+'Electric Calendarize'!AR$4+1))</f>
        <v>1648</v>
      </c>
      <c r="AS122">
        <f ca="1">IF(OR($L122&gt;AS$4,AS$4&gt;$L122+23),"",OFFSET(Electric!$L113,0,-'Electric Calendarize'!$L122+'Electric Calendarize'!AS$4+1))</f>
        <v>1010</v>
      </c>
      <c r="AT122">
        <f ca="1">IF(OR($L122&gt;AT$4,AT$4&gt;$L122+23),"",OFFSET(Electric!$L113,0,-'Electric Calendarize'!$L122+'Electric Calendarize'!AT$4+1))</f>
        <v>1312</v>
      </c>
      <c r="AU122">
        <f ca="1">IF(OR($L122&gt;AU$4,AU$4&gt;$L122+23),"",OFFSET(Electric!$L113,0,-'Electric Calendarize'!$L122+'Electric Calendarize'!AU$4+1))</f>
        <v>1982</v>
      </c>
      <c r="AV122">
        <f ca="1">IF(OR($L122&gt;AV$4,AV$4&gt;$L122+23),"",OFFSET(Electric!$L113,0,-'Electric Calendarize'!$L122+'Electric Calendarize'!AV$4+1))</f>
        <v>1622</v>
      </c>
      <c r="AW122">
        <f ca="1">IF(OR($L122&gt;AW$4,AW$4&gt;$L122+23),"",OFFSET(Electric!$L113,0,-'Electric Calendarize'!$L122+'Electric Calendarize'!AW$4+1))</f>
        <v>2140</v>
      </c>
      <c r="AX122">
        <f ca="1">IF(OR($L122&gt;AX$4,AX$4&gt;$L122+23),"",OFFSET(Electric!$L113,0,-'Electric Calendarize'!$L122+'Electric Calendarize'!AX$4+1))</f>
        <v>1792</v>
      </c>
      <c r="AY122">
        <f ca="1">IF(OR($L122&gt;AY$4,AY$4&gt;$L122+23),"",OFFSET(Electric!$L113,0,-'Electric Calendarize'!$L122+'Electric Calendarize'!AY$4+1))</f>
        <v>1616</v>
      </c>
      <c r="AZ122">
        <f ca="1">IF(OR($L122&gt;AZ$4,AZ$4&gt;$L122+23),"",OFFSET(Electric!$L113,0,-'Electric Calendarize'!$L122+'Electric Calendarize'!AZ$4+1))</f>
        <v>1836</v>
      </c>
      <c r="BA122" t="str">
        <f ca="1">IF(OR($L122&gt;BA$4,BA$4&gt;$L122+23),"",OFFSET(Electric!$L113,0,-'Electric Calendarize'!$L122+'Electric Calendarize'!BA$4+1))</f>
        <v/>
      </c>
      <c r="BB122" t="str">
        <f ca="1">IF(OR($L122&gt;BB$4,BB$4&gt;$L122+23),"",OFFSET(Electric!$L113,0,-'Electric Calendarize'!$L122+'Electric Calendarize'!BB$4+1))</f>
        <v/>
      </c>
      <c r="BC122" t="str">
        <f ca="1">IF(OR($L122&gt;BC$4,BC$4&gt;$L122+23),"",OFFSET(Electric!$L113,0,-'Electric Calendarize'!$L122+'Electric Calendarize'!BC$4+1))</f>
        <v/>
      </c>
      <c r="BD122" t="str">
        <f ca="1">IF(OR($L122&gt;BD$4,BD$4&gt;$L122+23),"",OFFSET(Electric!$L113,0,-'Electric Calendarize'!$L122+'Electric Calendarize'!BD$4+1))</f>
        <v/>
      </c>
      <c r="BE122" t="str">
        <f ca="1">IF(OR($L122&gt;BE$4,BE$4&gt;$L122+23),"",OFFSET(Electric!$L113,0,-'Electric Calendarize'!$L122+'Electric Calendarize'!BE$4+1))</f>
        <v/>
      </c>
      <c r="BF122" t="str">
        <f ca="1">IF(OR($L122&gt;BF$4,BF$4&gt;$L122+23),"",OFFSET(Electric!$L113,0,-'Electric Calendarize'!$L122+'Electric Calendarize'!BF$4+1))</f>
        <v/>
      </c>
      <c r="BG122" t="str">
        <f ca="1">IF(OR($L122&gt;BG$4,BG$4&gt;$L122+23),"",OFFSET(Electric!$L113,0,-'Electric Calendarize'!$L122+'Electric Calendarize'!BG$4+1))</f>
        <v/>
      </c>
      <c r="BJ122" s="10" t="s">
        <v>37</v>
      </c>
      <c r="BK122">
        <f t="shared" si="303"/>
        <v>1</v>
      </c>
      <c r="BL122">
        <f t="shared" si="209"/>
        <v>0</v>
      </c>
      <c r="BM122">
        <f t="shared" si="210"/>
        <v>0</v>
      </c>
      <c r="BN122">
        <f t="shared" si="211"/>
        <v>0</v>
      </c>
      <c r="BO122">
        <f t="shared" si="212"/>
        <v>0</v>
      </c>
      <c r="BP122">
        <f t="shared" si="213"/>
        <v>0</v>
      </c>
      <c r="BQ122">
        <f t="shared" si="214"/>
        <v>0</v>
      </c>
      <c r="BR122">
        <f t="shared" si="215"/>
        <v>1</v>
      </c>
      <c r="BS122">
        <f t="shared" si="216"/>
        <v>1</v>
      </c>
      <c r="BT122">
        <f t="shared" si="217"/>
        <v>1</v>
      </c>
      <c r="BU122">
        <f t="shared" si="218"/>
        <v>1</v>
      </c>
      <c r="BV122">
        <f t="shared" si="219"/>
        <v>1</v>
      </c>
      <c r="BW122">
        <f t="shared" si="220"/>
        <v>1</v>
      </c>
      <c r="BX122">
        <f t="shared" si="221"/>
        <v>0</v>
      </c>
      <c r="BY122">
        <f t="shared" si="222"/>
        <v>0</v>
      </c>
      <c r="BZ122">
        <f t="shared" si="223"/>
        <v>0</v>
      </c>
      <c r="CA122">
        <f t="shared" si="224"/>
        <v>0</v>
      </c>
      <c r="CB122">
        <f t="shared" si="225"/>
        <v>0</v>
      </c>
      <c r="CC122">
        <f t="shared" si="226"/>
        <v>0</v>
      </c>
      <c r="CD122">
        <f t="shared" si="227"/>
        <v>1</v>
      </c>
      <c r="CE122">
        <f t="shared" si="228"/>
        <v>1</v>
      </c>
      <c r="CF122">
        <f t="shared" si="229"/>
        <v>1</v>
      </c>
      <c r="CG122">
        <f t="shared" si="230"/>
        <v>1</v>
      </c>
      <c r="CH122">
        <f t="shared" si="231"/>
        <v>1</v>
      </c>
      <c r="CI122">
        <f t="shared" si="232"/>
        <v>1</v>
      </c>
      <c r="CJ122">
        <f t="shared" si="233"/>
        <v>0</v>
      </c>
      <c r="CK122">
        <f t="shared" si="234"/>
        <v>0</v>
      </c>
      <c r="CL122">
        <f t="shared" si="235"/>
        <v>0</v>
      </c>
      <c r="CM122">
        <f t="shared" si="236"/>
        <v>0</v>
      </c>
      <c r="CN122">
        <f t="shared" si="237"/>
        <v>0</v>
      </c>
      <c r="CO122">
        <f t="shared" si="238"/>
        <v>0</v>
      </c>
      <c r="CP122">
        <f t="shared" si="239"/>
        <v>1</v>
      </c>
      <c r="CQ122">
        <f t="shared" si="240"/>
        <v>1</v>
      </c>
      <c r="CR122">
        <f t="shared" si="241"/>
        <v>1</v>
      </c>
      <c r="CS122">
        <f t="shared" si="242"/>
        <v>1</v>
      </c>
      <c r="CT122">
        <f t="shared" si="243"/>
        <v>1</v>
      </c>
      <c r="CU122">
        <f t="shared" si="244"/>
        <v>1</v>
      </c>
      <c r="CV122">
        <f t="shared" si="245"/>
        <v>0</v>
      </c>
      <c r="CW122">
        <f t="shared" si="246"/>
        <v>0</v>
      </c>
      <c r="CX122">
        <f t="shared" si="247"/>
        <v>0</v>
      </c>
      <c r="CY122">
        <f t="shared" si="248"/>
        <v>0</v>
      </c>
      <c r="CZ122">
        <f t="shared" si="249"/>
        <v>0</v>
      </c>
      <c r="DA122">
        <f t="shared" si="250"/>
        <v>0</v>
      </c>
      <c r="DB122">
        <f t="shared" si="251"/>
        <v>1</v>
      </c>
      <c r="DC122">
        <f t="shared" si="252"/>
        <v>1</v>
      </c>
      <c r="DF122" s="10" t="s">
        <v>37</v>
      </c>
      <c r="DG122" t="str">
        <f t="shared" si="312"/>
        <v>2022_6</v>
      </c>
      <c r="DH122" t="str">
        <f t="shared" si="312"/>
        <v>2022_6</v>
      </c>
      <c r="DI122" t="str">
        <f t="shared" si="312"/>
        <v>2022_6</v>
      </c>
      <c r="DJ122" t="str">
        <f t="shared" si="312"/>
        <v>2022_6</v>
      </c>
      <c r="DK122" t="str">
        <f t="shared" si="312"/>
        <v>2022_6</v>
      </c>
      <c r="DL122" t="str">
        <f t="shared" si="312"/>
        <v>2022_6</v>
      </c>
      <c r="DM122" t="str">
        <f t="shared" si="312"/>
        <v>2022_6</v>
      </c>
      <c r="DN122" t="str">
        <f t="shared" si="312"/>
        <v>2022_6</v>
      </c>
      <c r="DO122" t="str">
        <f t="shared" si="312"/>
        <v>2022_6</v>
      </c>
      <c r="DP122" t="str">
        <f t="shared" si="312"/>
        <v>2022_6</v>
      </c>
      <c r="DQ122" t="str">
        <f t="shared" si="312"/>
        <v>2022_6</v>
      </c>
      <c r="DR122" t="str">
        <f t="shared" si="312"/>
        <v>2022_6</v>
      </c>
      <c r="DS122" t="str">
        <f t="shared" si="312"/>
        <v>2022_6</v>
      </c>
      <c r="DT122" t="str">
        <f t="shared" si="312"/>
        <v>2022_6</v>
      </c>
      <c r="DU122" t="str">
        <f t="shared" si="312"/>
        <v>2022_6</v>
      </c>
      <c r="DV122" t="str">
        <f t="shared" si="310"/>
        <v>2022_6</v>
      </c>
      <c r="DW122" t="str">
        <f t="shared" si="310"/>
        <v>2022_6</v>
      </c>
      <c r="DX122" t="str">
        <f t="shared" si="310"/>
        <v>2022_6</v>
      </c>
      <c r="DY122" t="str">
        <f t="shared" si="310"/>
        <v>2022_6</v>
      </c>
      <c r="DZ122" t="str">
        <f t="shared" si="310"/>
        <v>2022_6</v>
      </c>
      <c r="EA122" t="str">
        <f t="shared" si="310"/>
        <v>2022_6</v>
      </c>
      <c r="EB122" t="str">
        <f t="shared" si="310"/>
        <v>2022_6</v>
      </c>
      <c r="EC122" t="str">
        <f t="shared" si="310"/>
        <v>2022_6</v>
      </c>
      <c r="ED122" t="str">
        <f t="shared" si="310"/>
        <v>2022_6</v>
      </c>
      <c r="EE122" t="str">
        <f t="shared" si="310"/>
        <v>2022_6</v>
      </c>
      <c r="EF122" t="str">
        <f t="shared" si="310"/>
        <v>2022_6</v>
      </c>
      <c r="EG122" t="str">
        <f t="shared" si="310"/>
        <v>2022_6</v>
      </c>
      <c r="EH122" t="str">
        <f t="shared" si="310"/>
        <v>2022_6</v>
      </c>
      <c r="EI122" t="str">
        <f t="shared" si="310"/>
        <v>2022_6</v>
      </c>
      <c r="EJ122" t="str">
        <f t="shared" si="310"/>
        <v>2022_6</v>
      </c>
      <c r="EK122" t="str">
        <f t="shared" ref="EK122:EY137" si="313">$K122</f>
        <v>2022_6</v>
      </c>
      <c r="EL122" t="str">
        <f t="shared" si="311"/>
        <v>2022_6</v>
      </c>
      <c r="EM122" t="str">
        <f t="shared" si="311"/>
        <v>2022_6</v>
      </c>
      <c r="EN122" t="str">
        <f t="shared" si="311"/>
        <v>2022_6</v>
      </c>
      <c r="EO122" t="str">
        <f t="shared" si="311"/>
        <v>2022_6</v>
      </c>
      <c r="EP122" t="str">
        <f t="shared" si="311"/>
        <v>2022_6</v>
      </c>
      <c r="EQ122" t="str">
        <f t="shared" si="311"/>
        <v>2022_6</v>
      </c>
      <c r="ER122" t="str">
        <f t="shared" si="311"/>
        <v>2022_6</v>
      </c>
      <c r="ES122" t="str">
        <f t="shared" si="311"/>
        <v>2022_6</v>
      </c>
      <c r="ET122" t="str">
        <f t="shared" si="311"/>
        <v>2022_6</v>
      </c>
      <c r="EU122" t="str">
        <f t="shared" si="311"/>
        <v>2022_6</v>
      </c>
      <c r="EV122" t="str">
        <f t="shared" si="311"/>
        <v>2022_6</v>
      </c>
      <c r="EW122" t="str">
        <f t="shared" si="311"/>
        <v>2022_6</v>
      </c>
      <c r="EX122" t="str">
        <f t="shared" si="311"/>
        <v>2022_6</v>
      </c>
      <c r="EY122" t="str">
        <f t="shared" si="311"/>
        <v>2022_6</v>
      </c>
      <c r="FB122" s="10" t="s">
        <v>37</v>
      </c>
      <c r="FC122">
        <f t="shared" si="305"/>
        <v>0</v>
      </c>
      <c r="FD122">
        <f t="shared" si="255"/>
        <v>0</v>
      </c>
      <c r="FE122">
        <f t="shared" si="256"/>
        <v>0</v>
      </c>
      <c r="FF122">
        <f t="shared" si="257"/>
        <v>0</v>
      </c>
      <c r="FG122">
        <f t="shared" si="258"/>
        <v>0</v>
      </c>
      <c r="FH122">
        <f t="shared" si="259"/>
        <v>0</v>
      </c>
      <c r="FI122">
        <f t="shared" si="260"/>
        <v>0</v>
      </c>
      <c r="FJ122">
        <f t="shared" si="261"/>
        <v>0</v>
      </c>
      <c r="FK122">
        <f t="shared" si="262"/>
        <v>0</v>
      </c>
      <c r="FL122">
        <f t="shared" si="263"/>
        <v>0</v>
      </c>
      <c r="FM122">
        <f t="shared" si="264"/>
        <v>0</v>
      </c>
      <c r="FN122">
        <f t="shared" si="265"/>
        <v>0</v>
      </c>
      <c r="FO122">
        <f t="shared" si="266"/>
        <v>0</v>
      </c>
      <c r="FP122">
        <f t="shared" si="267"/>
        <v>0</v>
      </c>
      <c r="FQ122">
        <f t="shared" si="268"/>
        <v>0</v>
      </c>
      <c r="FR122">
        <f t="shared" si="269"/>
        <v>0</v>
      </c>
      <c r="FS122">
        <f t="shared" si="270"/>
        <v>0</v>
      </c>
      <c r="FT122">
        <f t="shared" si="271"/>
        <v>0</v>
      </c>
      <c r="FU122">
        <f t="shared" si="272"/>
        <v>0</v>
      </c>
      <c r="FV122">
        <f t="shared" si="273"/>
        <v>0</v>
      </c>
      <c r="FW122">
        <f t="shared" si="274"/>
        <v>0</v>
      </c>
      <c r="FX122">
        <f t="shared" si="275"/>
        <v>0</v>
      </c>
      <c r="FY122">
        <f t="shared" si="276"/>
        <v>0</v>
      </c>
      <c r="FZ122">
        <f t="shared" si="277"/>
        <v>0</v>
      </c>
      <c r="GA122">
        <f t="shared" si="278"/>
        <v>0</v>
      </c>
      <c r="GB122">
        <f t="shared" si="279"/>
        <v>0</v>
      </c>
      <c r="GC122">
        <f t="shared" si="280"/>
        <v>1</v>
      </c>
      <c r="GD122">
        <f t="shared" si="281"/>
        <v>1</v>
      </c>
      <c r="GE122">
        <f t="shared" si="282"/>
        <v>1</v>
      </c>
      <c r="GF122">
        <f t="shared" si="283"/>
        <v>1</v>
      </c>
      <c r="GG122">
        <f t="shared" si="284"/>
        <v>1</v>
      </c>
      <c r="GH122">
        <f t="shared" si="285"/>
        <v>1</v>
      </c>
      <c r="GI122">
        <f t="shared" si="286"/>
        <v>1</v>
      </c>
      <c r="GJ122">
        <f t="shared" si="287"/>
        <v>1</v>
      </c>
      <c r="GK122">
        <f t="shared" si="288"/>
        <v>1</v>
      </c>
      <c r="GL122">
        <f t="shared" si="289"/>
        <v>1</v>
      </c>
      <c r="GM122">
        <f t="shared" si="290"/>
        <v>1</v>
      </c>
      <c r="GN122">
        <f t="shared" si="291"/>
        <v>1</v>
      </c>
      <c r="GO122">
        <f t="shared" si="292"/>
        <v>1</v>
      </c>
      <c r="GP122">
        <f t="shared" si="293"/>
        <v>1</v>
      </c>
      <c r="GQ122">
        <f t="shared" si="294"/>
        <v>1</v>
      </c>
      <c r="GR122">
        <f t="shared" si="295"/>
        <v>1</v>
      </c>
      <c r="GS122">
        <f t="shared" si="296"/>
        <v>1</v>
      </c>
      <c r="GT122">
        <f t="shared" si="297"/>
        <v>1</v>
      </c>
      <c r="GU122">
        <f t="shared" si="298"/>
        <v>1</v>
      </c>
      <c r="GX122" s="10"/>
    </row>
    <row r="123" spans="1:206" x14ac:dyDescent="0.3">
      <c r="A123" s="9" t="s">
        <v>124</v>
      </c>
      <c r="B123" s="80"/>
      <c r="C123" s="9">
        <v>3140611000</v>
      </c>
      <c r="D123" s="9" t="s">
        <v>385</v>
      </c>
      <c r="E123" s="9" t="s">
        <v>43</v>
      </c>
      <c r="F123" s="9" t="s">
        <v>35</v>
      </c>
      <c r="G123" s="9" t="s">
        <v>158</v>
      </c>
      <c r="H123" s="10">
        <v>44722</v>
      </c>
      <c r="I123" s="9">
        <f t="shared" si="299"/>
        <v>2022</v>
      </c>
      <c r="J123" s="9">
        <f t="shared" si="300"/>
        <v>6</v>
      </c>
      <c r="K123" s="9" t="str">
        <f t="shared" si="301"/>
        <v>2022_6</v>
      </c>
      <c r="L123">
        <f>MAX(0,VLOOKUP($K123,lookups!$A$1:$B$45,2,0)-12)</f>
        <v>14</v>
      </c>
      <c r="M123" s="40">
        <f t="shared" si="302"/>
        <v>44713</v>
      </c>
      <c r="N123" s="10" t="s">
        <v>37</v>
      </c>
      <c r="O123" t="str">
        <f ca="1">IF(OR($L123&gt;O$4,O$4&gt;$L123+23),"",OFFSET(Electric!$L114,0,-'Electric Calendarize'!$L123+'Electric Calendarize'!O$4+1))</f>
        <v/>
      </c>
      <c r="P123" t="str">
        <f ca="1">IF(OR($L123&gt;P$4,P$4&gt;$L123+23),"",OFFSET(Electric!$L114,0,-'Electric Calendarize'!$L123+'Electric Calendarize'!P$4+1))</f>
        <v/>
      </c>
      <c r="Q123" t="str">
        <f ca="1">IF(OR($L123&gt;Q$4,Q$4&gt;$L123+23),"",OFFSET(Electric!$L114,0,-'Electric Calendarize'!$L123+'Electric Calendarize'!Q$4+1))</f>
        <v/>
      </c>
      <c r="R123" t="str">
        <f ca="1">IF(OR($L123&gt;R$4,R$4&gt;$L123+23),"",OFFSET(Electric!$L114,0,-'Electric Calendarize'!$L123+'Electric Calendarize'!R$4+1))</f>
        <v/>
      </c>
      <c r="S123" t="str">
        <f ca="1">IF(OR($L123&gt;S$4,S$4&gt;$L123+23),"",OFFSET(Electric!$L114,0,-'Electric Calendarize'!$L123+'Electric Calendarize'!S$4+1))</f>
        <v/>
      </c>
      <c r="T123" t="str">
        <f ca="1">IF(OR($L123&gt;T$4,T$4&gt;$L123+23),"",OFFSET(Electric!$L114,0,-'Electric Calendarize'!$L123+'Electric Calendarize'!T$4+1))</f>
        <v/>
      </c>
      <c r="U123" t="str">
        <f ca="1">IF(OR($L123&gt;U$4,U$4&gt;$L123+23),"",OFFSET(Electric!$L114,0,-'Electric Calendarize'!$L123+'Electric Calendarize'!U$4+1))</f>
        <v/>
      </c>
      <c r="V123" t="str">
        <f ca="1">IF(OR($L123&gt;V$4,V$4&gt;$L123+23),"",OFFSET(Electric!$L114,0,-'Electric Calendarize'!$L123+'Electric Calendarize'!V$4+1))</f>
        <v/>
      </c>
      <c r="W123" t="str">
        <f ca="1">IF(OR($L123&gt;W$4,W$4&gt;$L123+23),"",OFFSET(Electric!$L114,0,-'Electric Calendarize'!$L123+'Electric Calendarize'!W$4+1))</f>
        <v/>
      </c>
      <c r="X123" t="str">
        <f ca="1">IF(OR($L123&gt;X$4,X$4&gt;$L123+23),"",OFFSET(Electric!$L114,0,-'Electric Calendarize'!$L123+'Electric Calendarize'!X$4+1))</f>
        <v/>
      </c>
      <c r="Y123" t="str">
        <f ca="1">IF(OR($L123&gt;Y$4,Y$4&gt;$L123+23),"",OFFSET(Electric!$L114,0,-'Electric Calendarize'!$L123+'Electric Calendarize'!Y$4+1))</f>
        <v/>
      </c>
      <c r="Z123" t="str">
        <f ca="1">IF(OR($L123&gt;Z$4,Z$4&gt;$L123+23),"",OFFSET(Electric!$L114,0,-'Electric Calendarize'!$L123+'Electric Calendarize'!Z$4+1))</f>
        <v/>
      </c>
      <c r="AA123" t="str">
        <f ca="1">IF(OR($L123&gt;AA$4,AA$4&gt;$L123+23),"",OFFSET(Electric!$L114,0,-'Electric Calendarize'!$L123+'Electric Calendarize'!AA$4+1))</f>
        <v/>
      </c>
      <c r="AB123" t="str">
        <f ca="1">IF(OR($L123&gt;AB$4,AB$4&gt;$L123+23),"",OFFSET(Electric!$L114,0,-'Electric Calendarize'!$L123+'Electric Calendarize'!AB$4+1))</f>
        <v/>
      </c>
      <c r="AC123">
        <f ca="1">IF(OR($L123&gt;AC$4,AC$4&gt;$L123+23),"",OFFSET(Electric!$L114,0,-'Electric Calendarize'!$L123+'Electric Calendarize'!AC$4+1))</f>
        <v>652</v>
      </c>
      <c r="AD123">
        <f ca="1">IF(OR($L123&gt;AD$4,AD$4&gt;$L123+23),"",OFFSET(Electric!$L114,0,-'Electric Calendarize'!$L123+'Electric Calendarize'!AD$4+1))</f>
        <v>781</v>
      </c>
      <c r="AE123">
        <f ca="1">IF(OR($L123&gt;AE$4,AE$4&gt;$L123+23),"",OFFSET(Electric!$L114,0,-'Electric Calendarize'!$L123+'Electric Calendarize'!AE$4+1))</f>
        <v>724</v>
      </c>
      <c r="AF123">
        <f ca="1">IF(OR($L123&gt;AF$4,AF$4&gt;$L123+23),"",OFFSET(Electric!$L114,0,-'Electric Calendarize'!$L123+'Electric Calendarize'!AF$4+1))</f>
        <v>717</v>
      </c>
      <c r="AG123">
        <f ca="1">IF(OR($L123&gt;AG$4,AG$4&gt;$L123+23),"",OFFSET(Electric!$L114,0,-'Electric Calendarize'!$L123+'Electric Calendarize'!AG$4+1))</f>
        <v>702</v>
      </c>
      <c r="AH123">
        <f ca="1">IF(OR($L123&gt;AH$4,AH$4&gt;$L123+23),"",OFFSET(Electric!$L114,0,-'Electric Calendarize'!$L123+'Electric Calendarize'!AH$4+1))</f>
        <v>791</v>
      </c>
      <c r="AI123">
        <f ca="1">IF(OR($L123&gt;AI$4,AI$4&gt;$L123+23),"",OFFSET(Electric!$L114,0,-'Electric Calendarize'!$L123+'Electric Calendarize'!AI$4+1))</f>
        <v>763</v>
      </c>
      <c r="AJ123">
        <f ca="1">IF(OR($L123&gt;AJ$4,AJ$4&gt;$L123+23),"",OFFSET(Electric!$L114,0,-'Electric Calendarize'!$L123+'Electric Calendarize'!AJ$4+1))</f>
        <v>1124</v>
      </c>
      <c r="AK123">
        <f ca="1">IF(OR($L123&gt;AK$4,AK$4&gt;$L123+23),"",OFFSET(Electric!$L114,0,-'Electric Calendarize'!$L123+'Electric Calendarize'!AK$4+1))</f>
        <v>905</v>
      </c>
      <c r="AL123">
        <f ca="1">IF(OR($L123&gt;AL$4,AL$4&gt;$L123+23),"",OFFSET(Electric!$L114,0,-'Electric Calendarize'!$L123+'Electric Calendarize'!AL$4+1))</f>
        <v>800</v>
      </c>
      <c r="AM123">
        <f ca="1">IF(OR($L123&gt;AM$4,AM$4&gt;$L123+23),"",OFFSET(Electric!$L114,0,-'Electric Calendarize'!$L123+'Electric Calendarize'!AM$4+1))</f>
        <v>738</v>
      </c>
      <c r="AN123">
        <f ca="1">IF(OR($L123&gt;AN$4,AN$4&gt;$L123+23),"",OFFSET(Electric!$L114,0,-'Electric Calendarize'!$L123+'Electric Calendarize'!AN$4+1))</f>
        <v>655</v>
      </c>
      <c r="AO123">
        <f ca="1">IF(OR($L123&gt;AO$4,AO$4&gt;$L123+23),"",OFFSET(Electric!$L114,0,-'Electric Calendarize'!$L123+'Electric Calendarize'!AO$4+1))</f>
        <v>670</v>
      </c>
      <c r="AP123">
        <f ca="1">IF(OR($L123&gt;AP$4,AP$4&gt;$L123+23),"",OFFSET(Electric!$L114,0,-'Electric Calendarize'!$L123+'Electric Calendarize'!AP$4+1))</f>
        <v>867</v>
      </c>
      <c r="AQ123">
        <f ca="1">IF(OR($L123&gt;AQ$4,AQ$4&gt;$L123+23),"",OFFSET(Electric!$L114,0,-'Electric Calendarize'!$L123+'Electric Calendarize'!AQ$4+1))</f>
        <v>1083</v>
      </c>
      <c r="AR123">
        <f ca="1">IF(OR($L123&gt;AR$4,AR$4&gt;$L123+23),"",OFFSET(Electric!$L114,0,-'Electric Calendarize'!$L123+'Electric Calendarize'!AR$4+1))</f>
        <v>1028</v>
      </c>
      <c r="AS123">
        <f ca="1">IF(OR($L123&gt;AS$4,AS$4&gt;$L123+23),"",OFFSET(Electric!$L114,0,-'Electric Calendarize'!$L123+'Electric Calendarize'!AS$4+1))</f>
        <v>1069</v>
      </c>
      <c r="AT123">
        <f ca="1">IF(OR($L123&gt;AT$4,AT$4&gt;$L123+23),"",OFFSET(Electric!$L114,0,-'Electric Calendarize'!$L123+'Electric Calendarize'!AT$4+1))</f>
        <v>1320</v>
      </c>
      <c r="AU123">
        <f ca="1">IF(OR($L123&gt;AU$4,AU$4&gt;$L123+23),"",OFFSET(Electric!$L114,0,-'Electric Calendarize'!$L123+'Electric Calendarize'!AU$4+1))</f>
        <v>1698</v>
      </c>
      <c r="AV123">
        <f ca="1">IF(OR($L123&gt;AV$4,AV$4&gt;$L123+23),"",OFFSET(Electric!$L114,0,-'Electric Calendarize'!$L123+'Electric Calendarize'!AV$4+1))</f>
        <v>1980</v>
      </c>
      <c r="AW123">
        <f ca="1">IF(OR($L123&gt;AW$4,AW$4&gt;$L123+23),"",OFFSET(Electric!$L114,0,-'Electric Calendarize'!$L123+'Electric Calendarize'!AW$4+1))</f>
        <v>1951</v>
      </c>
      <c r="AX123">
        <f ca="1">IF(OR($L123&gt;AX$4,AX$4&gt;$L123+23),"",OFFSET(Electric!$L114,0,-'Electric Calendarize'!$L123+'Electric Calendarize'!AX$4+1))</f>
        <v>1950</v>
      </c>
      <c r="AY123">
        <f ca="1">IF(OR($L123&gt;AY$4,AY$4&gt;$L123+23),"",OFFSET(Electric!$L114,0,-'Electric Calendarize'!$L123+'Electric Calendarize'!AY$4+1))</f>
        <v>889</v>
      </c>
      <c r="AZ123">
        <f ca="1">IF(OR($L123&gt;AZ$4,AZ$4&gt;$L123+23),"",OFFSET(Electric!$L114,0,-'Electric Calendarize'!$L123+'Electric Calendarize'!AZ$4+1))</f>
        <v>680</v>
      </c>
      <c r="BA123" t="str">
        <f ca="1">IF(OR($L123&gt;BA$4,BA$4&gt;$L123+23),"",OFFSET(Electric!$L114,0,-'Electric Calendarize'!$L123+'Electric Calendarize'!BA$4+1))</f>
        <v/>
      </c>
      <c r="BB123" t="str">
        <f ca="1">IF(OR($L123&gt;BB$4,BB$4&gt;$L123+23),"",OFFSET(Electric!$L114,0,-'Electric Calendarize'!$L123+'Electric Calendarize'!BB$4+1))</f>
        <v/>
      </c>
      <c r="BC123" t="str">
        <f ca="1">IF(OR($L123&gt;BC$4,BC$4&gt;$L123+23),"",OFFSET(Electric!$L114,0,-'Electric Calendarize'!$L123+'Electric Calendarize'!BC$4+1))</f>
        <v/>
      </c>
      <c r="BD123" t="str">
        <f ca="1">IF(OR($L123&gt;BD$4,BD$4&gt;$L123+23),"",OFFSET(Electric!$L114,0,-'Electric Calendarize'!$L123+'Electric Calendarize'!BD$4+1))</f>
        <v/>
      </c>
      <c r="BE123" t="str">
        <f ca="1">IF(OR($L123&gt;BE$4,BE$4&gt;$L123+23),"",OFFSET(Electric!$L114,0,-'Electric Calendarize'!$L123+'Electric Calendarize'!BE$4+1))</f>
        <v/>
      </c>
      <c r="BF123" t="str">
        <f ca="1">IF(OR($L123&gt;BF$4,BF$4&gt;$L123+23),"",OFFSET(Electric!$L114,0,-'Electric Calendarize'!$L123+'Electric Calendarize'!BF$4+1))</f>
        <v/>
      </c>
      <c r="BG123" t="str">
        <f ca="1">IF(OR($L123&gt;BG$4,BG$4&gt;$L123+23),"",OFFSET(Electric!$L114,0,-'Electric Calendarize'!$L123+'Electric Calendarize'!BG$4+1))</f>
        <v/>
      </c>
      <c r="BJ123" s="10" t="s">
        <v>37</v>
      </c>
      <c r="BK123">
        <f t="shared" si="303"/>
        <v>1</v>
      </c>
      <c r="BL123">
        <f t="shared" si="209"/>
        <v>0</v>
      </c>
      <c r="BM123">
        <f t="shared" si="210"/>
        <v>0</v>
      </c>
      <c r="BN123">
        <f t="shared" si="211"/>
        <v>0</v>
      </c>
      <c r="BO123">
        <f t="shared" si="212"/>
        <v>0</v>
      </c>
      <c r="BP123">
        <f t="shared" si="213"/>
        <v>0</v>
      </c>
      <c r="BQ123">
        <f t="shared" si="214"/>
        <v>0</v>
      </c>
      <c r="BR123">
        <f t="shared" si="215"/>
        <v>1</v>
      </c>
      <c r="BS123">
        <f t="shared" si="216"/>
        <v>1</v>
      </c>
      <c r="BT123">
        <f t="shared" si="217"/>
        <v>1</v>
      </c>
      <c r="BU123">
        <f t="shared" si="218"/>
        <v>1</v>
      </c>
      <c r="BV123">
        <f t="shared" si="219"/>
        <v>1</v>
      </c>
      <c r="BW123">
        <f t="shared" si="220"/>
        <v>1</v>
      </c>
      <c r="BX123">
        <f t="shared" si="221"/>
        <v>0</v>
      </c>
      <c r="BY123">
        <f t="shared" si="222"/>
        <v>0</v>
      </c>
      <c r="BZ123">
        <f t="shared" si="223"/>
        <v>0</v>
      </c>
      <c r="CA123">
        <f t="shared" si="224"/>
        <v>0</v>
      </c>
      <c r="CB123">
        <f t="shared" si="225"/>
        <v>0</v>
      </c>
      <c r="CC123">
        <f t="shared" si="226"/>
        <v>0</v>
      </c>
      <c r="CD123">
        <f t="shared" si="227"/>
        <v>1</v>
      </c>
      <c r="CE123">
        <f t="shared" si="228"/>
        <v>1</v>
      </c>
      <c r="CF123">
        <f t="shared" si="229"/>
        <v>1</v>
      </c>
      <c r="CG123">
        <f t="shared" si="230"/>
        <v>1</v>
      </c>
      <c r="CH123">
        <f t="shared" si="231"/>
        <v>1</v>
      </c>
      <c r="CI123">
        <f t="shared" si="232"/>
        <v>1</v>
      </c>
      <c r="CJ123">
        <f t="shared" si="233"/>
        <v>0</v>
      </c>
      <c r="CK123">
        <f t="shared" si="234"/>
        <v>0</v>
      </c>
      <c r="CL123">
        <f t="shared" si="235"/>
        <v>0</v>
      </c>
      <c r="CM123">
        <f t="shared" si="236"/>
        <v>0</v>
      </c>
      <c r="CN123">
        <f t="shared" si="237"/>
        <v>0</v>
      </c>
      <c r="CO123">
        <f t="shared" si="238"/>
        <v>0</v>
      </c>
      <c r="CP123">
        <f t="shared" si="239"/>
        <v>1</v>
      </c>
      <c r="CQ123">
        <f t="shared" si="240"/>
        <v>1</v>
      </c>
      <c r="CR123">
        <f t="shared" si="241"/>
        <v>1</v>
      </c>
      <c r="CS123">
        <f t="shared" si="242"/>
        <v>1</v>
      </c>
      <c r="CT123">
        <f t="shared" si="243"/>
        <v>1</v>
      </c>
      <c r="CU123">
        <f t="shared" si="244"/>
        <v>1</v>
      </c>
      <c r="CV123">
        <f t="shared" si="245"/>
        <v>0</v>
      </c>
      <c r="CW123">
        <f t="shared" si="246"/>
        <v>0</v>
      </c>
      <c r="CX123">
        <f t="shared" si="247"/>
        <v>0</v>
      </c>
      <c r="CY123">
        <f t="shared" si="248"/>
        <v>0</v>
      </c>
      <c r="CZ123">
        <f t="shared" si="249"/>
        <v>0</v>
      </c>
      <c r="DA123">
        <f t="shared" si="250"/>
        <v>0</v>
      </c>
      <c r="DB123">
        <f t="shared" si="251"/>
        <v>1</v>
      </c>
      <c r="DC123">
        <f t="shared" si="252"/>
        <v>1</v>
      </c>
      <c r="DF123" s="10" t="s">
        <v>37</v>
      </c>
      <c r="DG123" t="str">
        <f t="shared" si="312"/>
        <v>2022_6</v>
      </c>
      <c r="DH123" t="str">
        <f t="shared" si="312"/>
        <v>2022_6</v>
      </c>
      <c r="DI123" t="str">
        <f t="shared" si="312"/>
        <v>2022_6</v>
      </c>
      <c r="DJ123" t="str">
        <f t="shared" si="312"/>
        <v>2022_6</v>
      </c>
      <c r="DK123" t="str">
        <f t="shared" si="312"/>
        <v>2022_6</v>
      </c>
      <c r="DL123" t="str">
        <f t="shared" si="312"/>
        <v>2022_6</v>
      </c>
      <c r="DM123" t="str">
        <f t="shared" si="312"/>
        <v>2022_6</v>
      </c>
      <c r="DN123" t="str">
        <f t="shared" si="312"/>
        <v>2022_6</v>
      </c>
      <c r="DO123" t="str">
        <f t="shared" si="312"/>
        <v>2022_6</v>
      </c>
      <c r="DP123" t="str">
        <f t="shared" si="312"/>
        <v>2022_6</v>
      </c>
      <c r="DQ123" t="str">
        <f t="shared" si="312"/>
        <v>2022_6</v>
      </c>
      <c r="DR123" t="str">
        <f t="shared" si="312"/>
        <v>2022_6</v>
      </c>
      <c r="DS123" t="str">
        <f t="shared" si="312"/>
        <v>2022_6</v>
      </c>
      <c r="DT123" t="str">
        <f t="shared" si="312"/>
        <v>2022_6</v>
      </c>
      <c r="DU123" t="str">
        <f t="shared" si="312"/>
        <v>2022_6</v>
      </c>
      <c r="DV123" t="str">
        <f t="shared" si="312"/>
        <v>2022_6</v>
      </c>
      <c r="DW123" t="str">
        <f t="shared" ref="DW123:EL138" si="314">$K123</f>
        <v>2022_6</v>
      </c>
      <c r="DX123" t="str">
        <f t="shared" si="314"/>
        <v>2022_6</v>
      </c>
      <c r="DY123" t="str">
        <f t="shared" si="314"/>
        <v>2022_6</v>
      </c>
      <c r="DZ123" t="str">
        <f t="shared" si="314"/>
        <v>2022_6</v>
      </c>
      <c r="EA123" t="str">
        <f t="shared" si="314"/>
        <v>2022_6</v>
      </c>
      <c r="EB123" t="str">
        <f t="shared" si="314"/>
        <v>2022_6</v>
      </c>
      <c r="EC123" t="str">
        <f t="shared" si="314"/>
        <v>2022_6</v>
      </c>
      <c r="ED123" t="str">
        <f t="shared" si="314"/>
        <v>2022_6</v>
      </c>
      <c r="EE123" t="str">
        <f t="shared" si="314"/>
        <v>2022_6</v>
      </c>
      <c r="EF123" t="str">
        <f t="shared" si="314"/>
        <v>2022_6</v>
      </c>
      <c r="EG123" t="str">
        <f t="shared" si="314"/>
        <v>2022_6</v>
      </c>
      <c r="EH123" t="str">
        <f t="shared" si="314"/>
        <v>2022_6</v>
      </c>
      <c r="EI123" t="str">
        <f t="shared" si="314"/>
        <v>2022_6</v>
      </c>
      <c r="EJ123" t="str">
        <f t="shared" si="314"/>
        <v>2022_6</v>
      </c>
      <c r="EK123" t="str">
        <f t="shared" si="313"/>
        <v>2022_6</v>
      </c>
      <c r="EL123" t="str">
        <f t="shared" si="313"/>
        <v>2022_6</v>
      </c>
      <c r="EM123" t="str">
        <f t="shared" si="313"/>
        <v>2022_6</v>
      </c>
      <c r="EN123" t="str">
        <f t="shared" si="313"/>
        <v>2022_6</v>
      </c>
      <c r="EO123" t="str">
        <f t="shared" si="313"/>
        <v>2022_6</v>
      </c>
      <c r="EP123" t="str">
        <f t="shared" si="313"/>
        <v>2022_6</v>
      </c>
      <c r="EQ123" t="str">
        <f t="shared" si="313"/>
        <v>2022_6</v>
      </c>
      <c r="ER123" t="str">
        <f t="shared" si="313"/>
        <v>2022_6</v>
      </c>
      <c r="ES123" t="str">
        <f t="shared" si="313"/>
        <v>2022_6</v>
      </c>
      <c r="ET123" t="str">
        <f t="shared" si="313"/>
        <v>2022_6</v>
      </c>
      <c r="EU123" t="str">
        <f t="shared" si="313"/>
        <v>2022_6</v>
      </c>
      <c r="EV123" t="str">
        <f t="shared" si="313"/>
        <v>2022_6</v>
      </c>
      <c r="EW123" t="str">
        <f t="shared" si="313"/>
        <v>2022_6</v>
      </c>
      <c r="EX123" t="str">
        <f t="shared" si="313"/>
        <v>2022_6</v>
      </c>
      <c r="EY123" t="str">
        <f t="shared" si="313"/>
        <v>2022_6</v>
      </c>
      <c r="FB123" s="10" t="s">
        <v>37</v>
      </c>
      <c r="FC123">
        <f t="shared" si="305"/>
        <v>0</v>
      </c>
      <c r="FD123">
        <f t="shared" si="255"/>
        <v>0</v>
      </c>
      <c r="FE123">
        <f t="shared" si="256"/>
        <v>0</v>
      </c>
      <c r="FF123">
        <f t="shared" si="257"/>
        <v>0</v>
      </c>
      <c r="FG123">
        <f t="shared" si="258"/>
        <v>0</v>
      </c>
      <c r="FH123">
        <f t="shared" si="259"/>
        <v>0</v>
      </c>
      <c r="FI123">
        <f t="shared" si="260"/>
        <v>0</v>
      </c>
      <c r="FJ123">
        <f t="shared" si="261"/>
        <v>0</v>
      </c>
      <c r="FK123">
        <f t="shared" si="262"/>
        <v>0</v>
      </c>
      <c r="FL123">
        <f t="shared" si="263"/>
        <v>0</v>
      </c>
      <c r="FM123">
        <f t="shared" si="264"/>
        <v>0</v>
      </c>
      <c r="FN123">
        <f t="shared" si="265"/>
        <v>0</v>
      </c>
      <c r="FO123">
        <f t="shared" si="266"/>
        <v>0</v>
      </c>
      <c r="FP123">
        <f t="shared" si="267"/>
        <v>0</v>
      </c>
      <c r="FQ123">
        <f t="shared" si="268"/>
        <v>0</v>
      </c>
      <c r="FR123">
        <f t="shared" si="269"/>
        <v>0</v>
      </c>
      <c r="FS123">
        <f t="shared" si="270"/>
        <v>0</v>
      </c>
      <c r="FT123">
        <f t="shared" si="271"/>
        <v>0</v>
      </c>
      <c r="FU123">
        <f t="shared" si="272"/>
        <v>0</v>
      </c>
      <c r="FV123">
        <f t="shared" si="273"/>
        <v>0</v>
      </c>
      <c r="FW123">
        <f t="shared" si="274"/>
        <v>0</v>
      </c>
      <c r="FX123">
        <f t="shared" si="275"/>
        <v>0</v>
      </c>
      <c r="FY123">
        <f t="shared" si="276"/>
        <v>0</v>
      </c>
      <c r="FZ123">
        <f t="shared" si="277"/>
        <v>0</v>
      </c>
      <c r="GA123">
        <f t="shared" si="278"/>
        <v>0</v>
      </c>
      <c r="GB123">
        <f t="shared" si="279"/>
        <v>0</v>
      </c>
      <c r="GC123">
        <f t="shared" si="280"/>
        <v>1</v>
      </c>
      <c r="GD123">
        <f t="shared" si="281"/>
        <v>1</v>
      </c>
      <c r="GE123">
        <f t="shared" si="282"/>
        <v>1</v>
      </c>
      <c r="GF123">
        <f t="shared" si="283"/>
        <v>1</v>
      </c>
      <c r="GG123">
        <f t="shared" si="284"/>
        <v>1</v>
      </c>
      <c r="GH123">
        <f t="shared" si="285"/>
        <v>1</v>
      </c>
      <c r="GI123">
        <f t="shared" si="286"/>
        <v>1</v>
      </c>
      <c r="GJ123">
        <f t="shared" si="287"/>
        <v>1</v>
      </c>
      <c r="GK123">
        <f t="shared" si="288"/>
        <v>1</v>
      </c>
      <c r="GL123">
        <f t="shared" si="289"/>
        <v>1</v>
      </c>
      <c r="GM123">
        <f t="shared" si="290"/>
        <v>1</v>
      </c>
      <c r="GN123">
        <f t="shared" si="291"/>
        <v>1</v>
      </c>
      <c r="GO123">
        <f t="shared" si="292"/>
        <v>1</v>
      </c>
      <c r="GP123">
        <f t="shared" si="293"/>
        <v>1</v>
      </c>
      <c r="GQ123">
        <f t="shared" si="294"/>
        <v>1</v>
      </c>
      <c r="GR123">
        <f t="shared" si="295"/>
        <v>1</v>
      </c>
      <c r="GS123">
        <f t="shared" si="296"/>
        <v>1</v>
      </c>
      <c r="GT123">
        <f t="shared" si="297"/>
        <v>1</v>
      </c>
      <c r="GU123">
        <f t="shared" si="298"/>
        <v>1</v>
      </c>
      <c r="GX123" s="10"/>
    </row>
    <row r="124" spans="1:206" x14ac:dyDescent="0.3">
      <c r="A124" s="9" t="s">
        <v>33</v>
      </c>
      <c r="B124" s="80"/>
      <c r="C124" s="9">
        <v>3131785000</v>
      </c>
      <c r="D124" s="9" t="s">
        <v>355</v>
      </c>
      <c r="E124" s="9" t="s">
        <v>39</v>
      </c>
      <c r="F124" s="9" t="s">
        <v>35</v>
      </c>
      <c r="G124" s="9" t="s">
        <v>159</v>
      </c>
      <c r="H124" s="10">
        <v>44727</v>
      </c>
      <c r="I124" s="9">
        <f t="shared" si="299"/>
        <v>2022</v>
      </c>
      <c r="J124" s="9">
        <f t="shared" si="300"/>
        <v>6</v>
      </c>
      <c r="K124" s="9" t="str">
        <f t="shared" si="301"/>
        <v>2022_6</v>
      </c>
      <c r="L124">
        <f>MAX(0,VLOOKUP($K124,lookups!$A$1:$B$45,2,0)-12)</f>
        <v>14</v>
      </c>
      <c r="M124" s="40">
        <f t="shared" si="302"/>
        <v>44713</v>
      </c>
      <c r="N124" s="10" t="s">
        <v>37</v>
      </c>
      <c r="O124" t="str">
        <f ca="1">IF(OR($L124&gt;O$4,O$4&gt;$L124+23),"",OFFSET(Electric!$L115,0,-'Electric Calendarize'!$L124+'Electric Calendarize'!O$4+1))</f>
        <v/>
      </c>
      <c r="P124" t="str">
        <f ca="1">IF(OR($L124&gt;P$4,P$4&gt;$L124+23),"",OFFSET(Electric!$L115,0,-'Electric Calendarize'!$L124+'Electric Calendarize'!P$4+1))</f>
        <v/>
      </c>
      <c r="Q124" t="str">
        <f ca="1">IF(OR($L124&gt;Q$4,Q$4&gt;$L124+23),"",OFFSET(Electric!$L115,0,-'Electric Calendarize'!$L124+'Electric Calendarize'!Q$4+1))</f>
        <v/>
      </c>
      <c r="R124" t="str">
        <f ca="1">IF(OR($L124&gt;R$4,R$4&gt;$L124+23),"",OFFSET(Electric!$L115,0,-'Electric Calendarize'!$L124+'Electric Calendarize'!R$4+1))</f>
        <v/>
      </c>
      <c r="S124" t="str">
        <f ca="1">IF(OR($L124&gt;S$4,S$4&gt;$L124+23),"",OFFSET(Electric!$L115,0,-'Electric Calendarize'!$L124+'Electric Calendarize'!S$4+1))</f>
        <v/>
      </c>
      <c r="T124" t="str">
        <f ca="1">IF(OR($L124&gt;T$4,T$4&gt;$L124+23),"",OFFSET(Electric!$L115,0,-'Electric Calendarize'!$L124+'Electric Calendarize'!T$4+1))</f>
        <v/>
      </c>
      <c r="U124" t="str">
        <f ca="1">IF(OR($L124&gt;U$4,U$4&gt;$L124+23),"",OFFSET(Electric!$L115,0,-'Electric Calendarize'!$L124+'Electric Calendarize'!U$4+1))</f>
        <v/>
      </c>
      <c r="V124" t="str">
        <f ca="1">IF(OR($L124&gt;V$4,V$4&gt;$L124+23),"",OFFSET(Electric!$L115,0,-'Electric Calendarize'!$L124+'Electric Calendarize'!V$4+1))</f>
        <v/>
      </c>
      <c r="W124" t="str">
        <f ca="1">IF(OR($L124&gt;W$4,W$4&gt;$L124+23),"",OFFSET(Electric!$L115,0,-'Electric Calendarize'!$L124+'Electric Calendarize'!W$4+1))</f>
        <v/>
      </c>
      <c r="X124" t="str">
        <f ca="1">IF(OR($L124&gt;X$4,X$4&gt;$L124+23),"",OFFSET(Electric!$L115,0,-'Electric Calendarize'!$L124+'Electric Calendarize'!X$4+1))</f>
        <v/>
      </c>
      <c r="Y124" t="str">
        <f ca="1">IF(OR($L124&gt;Y$4,Y$4&gt;$L124+23),"",OFFSET(Electric!$L115,0,-'Electric Calendarize'!$L124+'Electric Calendarize'!Y$4+1))</f>
        <v/>
      </c>
      <c r="Z124" t="str">
        <f ca="1">IF(OR($L124&gt;Z$4,Z$4&gt;$L124+23),"",OFFSET(Electric!$L115,0,-'Electric Calendarize'!$L124+'Electric Calendarize'!Z$4+1))</f>
        <v/>
      </c>
      <c r="AA124" t="str">
        <f ca="1">IF(OR($L124&gt;AA$4,AA$4&gt;$L124+23),"",OFFSET(Electric!$L115,0,-'Electric Calendarize'!$L124+'Electric Calendarize'!AA$4+1))</f>
        <v/>
      </c>
      <c r="AB124" t="str">
        <f ca="1">IF(OR($L124&gt;AB$4,AB$4&gt;$L124+23),"",OFFSET(Electric!$L115,0,-'Electric Calendarize'!$L124+'Electric Calendarize'!AB$4+1))</f>
        <v/>
      </c>
      <c r="AC124">
        <f ca="1">IF(OR($L124&gt;AC$4,AC$4&gt;$L124+23),"",OFFSET(Electric!$L115,0,-'Electric Calendarize'!$L124+'Electric Calendarize'!AC$4+1))</f>
        <v>830</v>
      </c>
      <c r="AD124">
        <f ca="1">IF(OR($L124&gt;AD$4,AD$4&gt;$L124+23),"",OFFSET(Electric!$L115,0,-'Electric Calendarize'!$L124+'Electric Calendarize'!AD$4+1))</f>
        <v>913</v>
      </c>
      <c r="AE124">
        <f ca="1">IF(OR($L124&gt;AE$4,AE$4&gt;$L124+23),"",OFFSET(Electric!$L115,0,-'Electric Calendarize'!$L124+'Electric Calendarize'!AE$4+1))</f>
        <v>898</v>
      </c>
      <c r="AF124">
        <f ca="1">IF(OR($L124&gt;AF$4,AF$4&gt;$L124+23),"",OFFSET(Electric!$L115,0,-'Electric Calendarize'!$L124+'Electric Calendarize'!AF$4+1))</f>
        <v>737</v>
      </c>
      <c r="AG124">
        <f ca="1">IF(OR($L124&gt;AG$4,AG$4&gt;$L124+23),"",OFFSET(Electric!$L115,0,-'Electric Calendarize'!$L124+'Electric Calendarize'!AG$4+1))</f>
        <v>805</v>
      </c>
      <c r="AH124">
        <f ca="1">IF(OR($L124&gt;AH$4,AH$4&gt;$L124+23),"",OFFSET(Electric!$L115,0,-'Electric Calendarize'!$L124+'Electric Calendarize'!AH$4+1))</f>
        <v>824</v>
      </c>
      <c r="AI124">
        <f ca="1">IF(OR($L124&gt;AI$4,AI$4&gt;$L124+23),"",OFFSET(Electric!$L115,0,-'Electric Calendarize'!$L124+'Electric Calendarize'!AI$4+1))</f>
        <v>861</v>
      </c>
      <c r="AJ124">
        <f ca="1">IF(OR($L124&gt;AJ$4,AJ$4&gt;$L124+23),"",OFFSET(Electric!$L115,0,-'Electric Calendarize'!$L124+'Electric Calendarize'!AJ$4+1))</f>
        <v>1029</v>
      </c>
      <c r="AK124">
        <f ca="1">IF(OR($L124&gt;AK$4,AK$4&gt;$L124+23),"",OFFSET(Electric!$L115,0,-'Electric Calendarize'!$L124+'Electric Calendarize'!AK$4+1))</f>
        <v>942</v>
      </c>
      <c r="AL124">
        <f ca="1">IF(OR($L124&gt;AL$4,AL$4&gt;$L124+23),"",OFFSET(Electric!$L115,0,-'Electric Calendarize'!$L124+'Electric Calendarize'!AL$4+1))</f>
        <v>980</v>
      </c>
      <c r="AM124">
        <f ca="1">IF(OR($L124&gt;AM$4,AM$4&gt;$L124+23),"",OFFSET(Electric!$L115,0,-'Electric Calendarize'!$L124+'Electric Calendarize'!AM$4+1))</f>
        <v>855</v>
      </c>
      <c r="AN124">
        <f ca="1">IF(OR($L124&gt;AN$4,AN$4&gt;$L124+23),"",OFFSET(Electric!$L115,0,-'Electric Calendarize'!$L124+'Electric Calendarize'!AN$4+1))</f>
        <v>868</v>
      </c>
      <c r="AO124">
        <f ca="1">IF(OR($L124&gt;AO$4,AO$4&gt;$L124+23),"",OFFSET(Electric!$L115,0,-'Electric Calendarize'!$L124+'Electric Calendarize'!AO$4+1))</f>
        <v>794</v>
      </c>
      <c r="AP124">
        <f ca="1">IF(OR($L124&gt;AP$4,AP$4&gt;$L124+23),"",OFFSET(Electric!$L115,0,-'Electric Calendarize'!$L124+'Electric Calendarize'!AP$4+1))</f>
        <v>810</v>
      </c>
      <c r="AQ124">
        <f ca="1">IF(OR($L124&gt;AQ$4,AQ$4&gt;$L124+23),"",OFFSET(Electric!$L115,0,-'Electric Calendarize'!$L124+'Electric Calendarize'!AQ$4+1))</f>
        <v>786</v>
      </c>
      <c r="AR124">
        <f ca="1">IF(OR($L124&gt;AR$4,AR$4&gt;$L124+23),"",OFFSET(Electric!$L115,0,-'Electric Calendarize'!$L124+'Electric Calendarize'!AR$4+1))</f>
        <v>763</v>
      </c>
      <c r="AS124">
        <f ca="1">IF(OR($L124&gt;AS$4,AS$4&gt;$L124+23),"",OFFSET(Electric!$L115,0,-'Electric Calendarize'!$L124+'Electric Calendarize'!AS$4+1))</f>
        <v>765</v>
      </c>
      <c r="AT124">
        <f ca="1">IF(OR($L124&gt;AT$4,AT$4&gt;$L124+23),"",OFFSET(Electric!$L115,0,-'Electric Calendarize'!$L124+'Electric Calendarize'!AT$4+1))</f>
        <v>1243</v>
      </c>
      <c r="AU124">
        <f ca="1">IF(OR($L124&gt;AU$4,AU$4&gt;$L124+23),"",OFFSET(Electric!$L115,0,-'Electric Calendarize'!$L124+'Electric Calendarize'!AU$4+1))</f>
        <v>1342</v>
      </c>
      <c r="AV124">
        <f ca="1">IF(OR($L124&gt;AV$4,AV$4&gt;$L124+23),"",OFFSET(Electric!$L115,0,-'Electric Calendarize'!$L124+'Electric Calendarize'!AV$4+1))</f>
        <v>1372</v>
      </c>
      <c r="AW124">
        <f ca="1">IF(OR($L124&gt;AW$4,AW$4&gt;$L124+23),"",OFFSET(Electric!$L115,0,-'Electric Calendarize'!$L124+'Electric Calendarize'!AW$4+1))</f>
        <v>771</v>
      </c>
      <c r="AX124">
        <f ca="1">IF(OR($L124&gt;AX$4,AX$4&gt;$L124+23),"",OFFSET(Electric!$L115,0,-'Electric Calendarize'!$L124+'Electric Calendarize'!AX$4+1))</f>
        <v>813</v>
      </c>
      <c r="AY124">
        <f ca="1">IF(OR($L124&gt;AY$4,AY$4&gt;$L124+23),"",OFFSET(Electric!$L115,0,-'Electric Calendarize'!$L124+'Electric Calendarize'!AY$4+1))</f>
        <v>780</v>
      </c>
      <c r="AZ124">
        <f ca="1">IF(OR($L124&gt;AZ$4,AZ$4&gt;$L124+23),"",OFFSET(Electric!$L115,0,-'Electric Calendarize'!$L124+'Electric Calendarize'!AZ$4+1))</f>
        <v>775</v>
      </c>
      <c r="BA124" t="str">
        <f ca="1">IF(OR($L124&gt;BA$4,BA$4&gt;$L124+23),"",OFFSET(Electric!$L115,0,-'Electric Calendarize'!$L124+'Electric Calendarize'!BA$4+1))</f>
        <v/>
      </c>
      <c r="BB124" t="str">
        <f ca="1">IF(OR($L124&gt;BB$4,BB$4&gt;$L124+23),"",OFFSET(Electric!$L115,0,-'Electric Calendarize'!$L124+'Electric Calendarize'!BB$4+1))</f>
        <v/>
      </c>
      <c r="BC124" t="str">
        <f ca="1">IF(OR($L124&gt;BC$4,BC$4&gt;$L124+23),"",OFFSET(Electric!$L115,0,-'Electric Calendarize'!$L124+'Electric Calendarize'!BC$4+1))</f>
        <v/>
      </c>
      <c r="BD124" t="str">
        <f ca="1">IF(OR($L124&gt;BD$4,BD$4&gt;$L124+23),"",OFFSET(Electric!$L115,0,-'Electric Calendarize'!$L124+'Electric Calendarize'!BD$4+1))</f>
        <v/>
      </c>
      <c r="BE124" t="str">
        <f ca="1">IF(OR($L124&gt;BE$4,BE$4&gt;$L124+23),"",OFFSET(Electric!$L115,0,-'Electric Calendarize'!$L124+'Electric Calendarize'!BE$4+1))</f>
        <v/>
      </c>
      <c r="BF124" t="str">
        <f ca="1">IF(OR($L124&gt;BF$4,BF$4&gt;$L124+23),"",OFFSET(Electric!$L115,0,-'Electric Calendarize'!$L124+'Electric Calendarize'!BF$4+1))</f>
        <v/>
      </c>
      <c r="BG124" t="str">
        <f ca="1">IF(OR($L124&gt;BG$4,BG$4&gt;$L124+23),"",OFFSET(Electric!$L115,0,-'Electric Calendarize'!$L124+'Electric Calendarize'!BG$4+1))</f>
        <v/>
      </c>
      <c r="BJ124" s="10" t="s">
        <v>37</v>
      </c>
      <c r="BK124">
        <f t="shared" si="303"/>
        <v>1</v>
      </c>
      <c r="BL124">
        <f t="shared" si="209"/>
        <v>0</v>
      </c>
      <c r="BM124">
        <f t="shared" si="210"/>
        <v>0</v>
      </c>
      <c r="BN124">
        <f t="shared" si="211"/>
        <v>0</v>
      </c>
      <c r="BO124">
        <f t="shared" si="212"/>
        <v>0</v>
      </c>
      <c r="BP124">
        <f t="shared" si="213"/>
        <v>0</v>
      </c>
      <c r="BQ124">
        <f t="shared" si="214"/>
        <v>0</v>
      </c>
      <c r="BR124">
        <f t="shared" si="215"/>
        <v>1</v>
      </c>
      <c r="BS124">
        <f t="shared" si="216"/>
        <v>1</v>
      </c>
      <c r="BT124">
        <f t="shared" si="217"/>
        <v>1</v>
      </c>
      <c r="BU124">
        <f t="shared" si="218"/>
        <v>1</v>
      </c>
      <c r="BV124">
        <f t="shared" si="219"/>
        <v>1</v>
      </c>
      <c r="BW124">
        <f t="shared" si="220"/>
        <v>1</v>
      </c>
      <c r="BX124">
        <f t="shared" si="221"/>
        <v>0</v>
      </c>
      <c r="BY124">
        <f t="shared" si="222"/>
        <v>0</v>
      </c>
      <c r="BZ124">
        <f t="shared" si="223"/>
        <v>0</v>
      </c>
      <c r="CA124">
        <f t="shared" si="224"/>
        <v>0</v>
      </c>
      <c r="CB124">
        <f t="shared" si="225"/>
        <v>0</v>
      </c>
      <c r="CC124">
        <f t="shared" si="226"/>
        <v>0</v>
      </c>
      <c r="CD124">
        <f t="shared" si="227"/>
        <v>1</v>
      </c>
      <c r="CE124">
        <f t="shared" si="228"/>
        <v>1</v>
      </c>
      <c r="CF124">
        <f t="shared" si="229"/>
        <v>1</v>
      </c>
      <c r="CG124">
        <f t="shared" si="230"/>
        <v>1</v>
      </c>
      <c r="CH124">
        <f t="shared" si="231"/>
        <v>1</v>
      </c>
      <c r="CI124">
        <f t="shared" si="232"/>
        <v>1</v>
      </c>
      <c r="CJ124">
        <f t="shared" si="233"/>
        <v>0</v>
      </c>
      <c r="CK124">
        <f t="shared" si="234"/>
        <v>0</v>
      </c>
      <c r="CL124">
        <f t="shared" si="235"/>
        <v>0</v>
      </c>
      <c r="CM124">
        <f t="shared" si="236"/>
        <v>0</v>
      </c>
      <c r="CN124">
        <f t="shared" si="237"/>
        <v>0</v>
      </c>
      <c r="CO124">
        <f t="shared" si="238"/>
        <v>0</v>
      </c>
      <c r="CP124">
        <f t="shared" si="239"/>
        <v>1</v>
      </c>
      <c r="CQ124">
        <f t="shared" si="240"/>
        <v>1</v>
      </c>
      <c r="CR124">
        <f t="shared" si="241"/>
        <v>1</v>
      </c>
      <c r="CS124">
        <f t="shared" si="242"/>
        <v>1</v>
      </c>
      <c r="CT124">
        <f t="shared" si="243"/>
        <v>1</v>
      </c>
      <c r="CU124">
        <f t="shared" si="244"/>
        <v>1</v>
      </c>
      <c r="CV124">
        <f t="shared" si="245"/>
        <v>0</v>
      </c>
      <c r="CW124">
        <f t="shared" si="246"/>
        <v>0</v>
      </c>
      <c r="CX124">
        <f t="shared" si="247"/>
        <v>0</v>
      </c>
      <c r="CY124">
        <f t="shared" si="248"/>
        <v>0</v>
      </c>
      <c r="CZ124">
        <f t="shared" si="249"/>
        <v>0</v>
      </c>
      <c r="DA124">
        <f t="shared" si="250"/>
        <v>0</v>
      </c>
      <c r="DB124">
        <f t="shared" si="251"/>
        <v>1</v>
      </c>
      <c r="DC124">
        <f t="shared" si="252"/>
        <v>1</v>
      </c>
      <c r="DF124" s="10" t="s">
        <v>37</v>
      </c>
      <c r="DG124" t="str">
        <f t="shared" ref="DG124:DV139" si="315">$K124</f>
        <v>2022_6</v>
      </c>
      <c r="DH124" t="str">
        <f t="shared" si="315"/>
        <v>2022_6</v>
      </c>
      <c r="DI124" t="str">
        <f t="shared" si="315"/>
        <v>2022_6</v>
      </c>
      <c r="DJ124" t="str">
        <f t="shared" si="315"/>
        <v>2022_6</v>
      </c>
      <c r="DK124" t="str">
        <f t="shared" si="315"/>
        <v>2022_6</v>
      </c>
      <c r="DL124" t="str">
        <f t="shared" si="315"/>
        <v>2022_6</v>
      </c>
      <c r="DM124" t="str">
        <f t="shared" si="315"/>
        <v>2022_6</v>
      </c>
      <c r="DN124" t="str">
        <f t="shared" si="315"/>
        <v>2022_6</v>
      </c>
      <c r="DO124" t="str">
        <f t="shared" si="315"/>
        <v>2022_6</v>
      </c>
      <c r="DP124" t="str">
        <f t="shared" si="315"/>
        <v>2022_6</v>
      </c>
      <c r="DQ124" t="str">
        <f t="shared" si="315"/>
        <v>2022_6</v>
      </c>
      <c r="DR124" t="str">
        <f t="shared" si="315"/>
        <v>2022_6</v>
      </c>
      <c r="DS124" t="str">
        <f t="shared" si="315"/>
        <v>2022_6</v>
      </c>
      <c r="DT124" t="str">
        <f t="shared" si="315"/>
        <v>2022_6</v>
      </c>
      <c r="DU124" t="str">
        <f t="shared" si="315"/>
        <v>2022_6</v>
      </c>
      <c r="DV124" t="str">
        <f t="shared" si="315"/>
        <v>2022_6</v>
      </c>
      <c r="DW124" t="str">
        <f t="shared" si="314"/>
        <v>2022_6</v>
      </c>
      <c r="DX124" t="str">
        <f t="shared" si="314"/>
        <v>2022_6</v>
      </c>
      <c r="DY124" t="str">
        <f t="shared" si="314"/>
        <v>2022_6</v>
      </c>
      <c r="DZ124" t="str">
        <f t="shared" si="314"/>
        <v>2022_6</v>
      </c>
      <c r="EA124" t="str">
        <f t="shared" si="314"/>
        <v>2022_6</v>
      </c>
      <c r="EB124" t="str">
        <f t="shared" si="314"/>
        <v>2022_6</v>
      </c>
      <c r="EC124" t="str">
        <f t="shared" si="314"/>
        <v>2022_6</v>
      </c>
      <c r="ED124" t="str">
        <f t="shared" si="314"/>
        <v>2022_6</v>
      </c>
      <c r="EE124" t="str">
        <f t="shared" si="314"/>
        <v>2022_6</v>
      </c>
      <c r="EF124" t="str">
        <f t="shared" si="314"/>
        <v>2022_6</v>
      </c>
      <c r="EG124" t="str">
        <f t="shared" si="314"/>
        <v>2022_6</v>
      </c>
      <c r="EH124" t="str">
        <f t="shared" si="314"/>
        <v>2022_6</v>
      </c>
      <c r="EI124" t="str">
        <f t="shared" si="314"/>
        <v>2022_6</v>
      </c>
      <c r="EJ124" t="str">
        <f t="shared" si="314"/>
        <v>2022_6</v>
      </c>
      <c r="EK124" t="str">
        <f t="shared" si="313"/>
        <v>2022_6</v>
      </c>
      <c r="EL124" t="str">
        <f t="shared" si="313"/>
        <v>2022_6</v>
      </c>
      <c r="EM124" t="str">
        <f t="shared" si="313"/>
        <v>2022_6</v>
      </c>
      <c r="EN124" t="str">
        <f t="shared" si="313"/>
        <v>2022_6</v>
      </c>
      <c r="EO124" t="str">
        <f t="shared" si="313"/>
        <v>2022_6</v>
      </c>
      <c r="EP124" t="str">
        <f t="shared" si="313"/>
        <v>2022_6</v>
      </c>
      <c r="EQ124" t="str">
        <f t="shared" si="313"/>
        <v>2022_6</v>
      </c>
      <c r="ER124" t="str">
        <f t="shared" si="313"/>
        <v>2022_6</v>
      </c>
      <c r="ES124" t="str">
        <f t="shared" si="313"/>
        <v>2022_6</v>
      </c>
      <c r="ET124" t="str">
        <f t="shared" si="313"/>
        <v>2022_6</v>
      </c>
      <c r="EU124" t="str">
        <f t="shared" si="313"/>
        <v>2022_6</v>
      </c>
      <c r="EV124" t="str">
        <f t="shared" si="313"/>
        <v>2022_6</v>
      </c>
      <c r="EW124" t="str">
        <f t="shared" si="313"/>
        <v>2022_6</v>
      </c>
      <c r="EX124" t="str">
        <f t="shared" si="313"/>
        <v>2022_6</v>
      </c>
      <c r="EY124" t="str">
        <f t="shared" si="313"/>
        <v>2022_6</v>
      </c>
      <c r="FB124" s="10" t="s">
        <v>37</v>
      </c>
      <c r="FC124">
        <f t="shared" si="305"/>
        <v>0</v>
      </c>
      <c r="FD124">
        <f t="shared" si="255"/>
        <v>0</v>
      </c>
      <c r="FE124">
        <f t="shared" si="256"/>
        <v>0</v>
      </c>
      <c r="FF124">
        <f t="shared" si="257"/>
        <v>0</v>
      </c>
      <c r="FG124">
        <f t="shared" si="258"/>
        <v>0</v>
      </c>
      <c r="FH124">
        <f t="shared" si="259"/>
        <v>0</v>
      </c>
      <c r="FI124">
        <f t="shared" si="260"/>
        <v>0</v>
      </c>
      <c r="FJ124">
        <f t="shared" si="261"/>
        <v>0</v>
      </c>
      <c r="FK124">
        <f t="shared" si="262"/>
        <v>0</v>
      </c>
      <c r="FL124">
        <f t="shared" si="263"/>
        <v>0</v>
      </c>
      <c r="FM124">
        <f t="shared" si="264"/>
        <v>0</v>
      </c>
      <c r="FN124">
        <f t="shared" si="265"/>
        <v>0</v>
      </c>
      <c r="FO124">
        <f t="shared" si="266"/>
        <v>0</v>
      </c>
      <c r="FP124">
        <f t="shared" si="267"/>
        <v>0</v>
      </c>
      <c r="FQ124">
        <f t="shared" si="268"/>
        <v>0</v>
      </c>
      <c r="FR124">
        <f t="shared" si="269"/>
        <v>0</v>
      </c>
      <c r="FS124">
        <f t="shared" si="270"/>
        <v>0</v>
      </c>
      <c r="FT124">
        <f t="shared" si="271"/>
        <v>0</v>
      </c>
      <c r="FU124">
        <f t="shared" si="272"/>
        <v>0</v>
      </c>
      <c r="FV124">
        <f t="shared" si="273"/>
        <v>0</v>
      </c>
      <c r="FW124">
        <f t="shared" si="274"/>
        <v>0</v>
      </c>
      <c r="FX124">
        <f t="shared" si="275"/>
        <v>0</v>
      </c>
      <c r="FY124">
        <f t="shared" si="276"/>
        <v>0</v>
      </c>
      <c r="FZ124">
        <f t="shared" si="277"/>
        <v>0</v>
      </c>
      <c r="GA124">
        <f t="shared" si="278"/>
        <v>0</v>
      </c>
      <c r="GB124">
        <f t="shared" si="279"/>
        <v>0</v>
      </c>
      <c r="GC124">
        <f t="shared" si="280"/>
        <v>1</v>
      </c>
      <c r="GD124">
        <f t="shared" si="281"/>
        <v>1</v>
      </c>
      <c r="GE124">
        <f t="shared" si="282"/>
        <v>1</v>
      </c>
      <c r="GF124">
        <f t="shared" si="283"/>
        <v>1</v>
      </c>
      <c r="GG124">
        <f t="shared" si="284"/>
        <v>1</v>
      </c>
      <c r="GH124">
        <f t="shared" si="285"/>
        <v>1</v>
      </c>
      <c r="GI124">
        <f t="shared" si="286"/>
        <v>1</v>
      </c>
      <c r="GJ124">
        <f t="shared" si="287"/>
        <v>1</v>
      </c>
      <c r="GK124">
        <f t="shared" si="288"/>
        <v>1</v>
      </c>
      <c r="GL124">
        <f t="shared" si="289"/>
        <v>1</v>
      </c>
      <c r="GM124">
        <f t="shared" si="290"/>
        <v>1</v>
      </c>
      <c r="GN124">
        <f t="shared" si="291"/>
        <v>1</v>
      </c>
      <c r="GO124">
        <f t="shared" si="292"/>
        <v>1</v>
      </c>
      <c r="GP124">
        <f t="shared" si="293"/>
        <v>1</v>
      </c>
      <c r="GQ124">
        <f t="shared" si="294"/>
        <v>1</v>
      </c>
      <c r="GR124">
        <f t="shared" si="295"/>
        <v>1</v>
      </c>
      <c r="GS124">
        <f t="shared" si="296"/>
        <v>1</v>
      </c>
      <c r="GT124">
        <f t="shared" si="297"/>
        <v>1</v>
      </c>
      <c r="GU124">
        <f t="shared" si="298"/>
        <v>1</v>
      </c>
      <c r="GX124" s="10"/>
    </row>
    <row r="125" spans="1:206" x14ac:dyDescent="0.3">
      <c r="A125" s="9" t="s">
        <v>33</v>
      </c>
      <c r="B125" s="80"/>
      <c r="C125" s="29">
        <v>3131786001</v>
      </c>
      <c r="D125" s="9" t="s">
        <v>355</v>
      </c>
      <c r="E125" s="9" t="s">
        <v>39</v>
      </c>
      <c r="F125" s="9" t="s">
        <v>35</v>
      </c>
      <c r="G125" s="9" t="s">
        <v>159</v>
      </c>
      <c r="H125" s="10">
        <v>44727</v>
      </c>
      <c r="I125" s="9">
        <f t="shared" si="299"/>
        <v>2022</v>
      </c>
      <c r="J125" s="9">
        <f t="shared" si="300"/>
        <v>6</v>
      </c>
      <c r="K125" s="9" t="str">
        <f t="shared" si="301"/>
        <v>2022_6</v>
      </c>
      <c r="L125">
        <f>MAX(0,VLOOKUP($K125,lookups!$A$1:$B$45,2,0)-12)</f>
        <v>14</v>
      </c>
      <c r="M125" s="40">
        <f t="shared" si="302"/>
        <v>44713</v>
      </c>
      <c r="N125" s="10" t="s">
        <v>37</v>
      </c>
      <c r="O125" t="str">
        <f ca="1">IF(OR($L125&gt;O$4,O$4&gt;$L125+23),"",OFFSET(Electric!$L116,0,-'Electric Calendarize'!$L125+'Electric Calendarize'!O$4+1))</f>
        <v/>
      </c>
      <c r="P125" t="str">
        <f ca="1">IF(OR($L125&gt;P$4,P$4&gt;$L125+23),"",OFFSET(Electric!$L116,0,-'Electric Calendarize'!$L125+'Electric Calendarize'!P$4+1))</f>
        <v/>
      </c>
      <c r="Q125" t="str">
        <f ca="1">IF(OR($L125&gt;Q$4,Q$4&gt;$L125+23),"",OFFSET(Electric!$L116,0,-'Electric Calendarize'!$L125+'Electric Calendarize'!Q$4+1))</f>
        <v/>
      </c>
      <c r="R125" t="str">
        <f ca="1">IF(OR($L125&gt;R$4,R$4&gt;$L125+23),"",OFFSET(Electric!$L116,0,-'Electric Calendarize'!$L125+'Electric Calendarize'!R$4+1))</f>
        <v/>
      </c>
      <c r="S125" t="str">
        <f ca="1">IF(OR($L125&gt;S$4,S$4&gt;$L125+23),"",OFFSET(Electric!$L116,0,-'Electric Calendarize'!$L125+'Electric Calendarize'!S$4+1))</f>
        <v/>
      </c>
      <c r="T125" t="str">
        <f ca="1">IF(OR($L125&gt;T$4,T$4&gt;$L125+23),"",OFFSET(Electric!$L116,0,-'Electric Calendarize'!$L125+'Electric Calendarize'!T$4+1))</f>
        <v/>
      </c>
      <c r="U125" t="str">
        <f ca="1">IF(OR($L125&gt;U$4,U$4&gt;$L125+23),"",OFFSET(Electric!$L116,0,-'Electric Calendarize'!$L125+'Electric Calendarize'!U$4+1))</f>
        <v/>
      </c>
      <c r="V125" t="str">
        <f ca="1">IF(OR($L125&gt;V$4,V$4&gt;$L125+23),"",OFFSET(Electric!$L116,0,-'Electric Calendarize'!$L125+'Electric Calendarize'!V$4+1))</f>
        <v/>
      </c>
      <c r="W125" t="str">
        <f ca="1">IF(OR($L125&gt;W$4,W$4&gt;$L125+23),"",OFFSET(Electric!$L116,0,-'Electric Calendarize'!$L125+'Electric Calendarize'!W$4+1))</f>
        <v/>
      </c>
      <c r="X125" t="str">
        <f ca="1">IF(OR($L125&gt;X$4,X$4&gt;$L125+23),"",OFFSET(Electric!$L116,0,-'Electric Calendarize'!$L125+'Electric Calendarize'!X$4+1))</f>
        <v/>
      </c>
      <c r="Y125" t="str">
        <f ca="1">IF(OR($L125&gt;Y$4,Y$4&gt;$L125+23),"",OFFSET(Electric!$L116,0,-'Electric Calendarize'!$L125+'Electric Calendarize'!Y$4+1))</f>
        <v/>
      </c>
      <c r="Z125" t="str">
        <f ca="1">IF(OR($L125&gt;Z$4,Z$4&gt;$L125+23),"",OFFSET(Electric!$L116,0,-'Electric Calendarize'!$L125+'Electric Calendarize'!Z$4+1))</f>
        <v/>
      </c>
      <c r="AA125" t="str">
        <f ca="1">IF(OR($L125&gt;AA$4,AA$4&gt;$L125+23),"",OFFSET(Electric!$L116,0,-'Electric Calendarize'!$L125+'Electric Calendarize'!AA$4+1))</f>
        <v/>
      </c>
      <c r="AB125" t="str">
        <f ca="1">IF(OR($L125&gt;AB$4,AB$4&gt;$L125+23),"",OFFSET(Electric!$L116,0,-'Electric Calendarize'!$L125+'Electric Calendarize'!AB$4+1))</f>
        <v/>
      </c>
      <c r="AC125">
        <f ca="1">IF(OR($L125&gt;AC$4,AC$4&gt;$L125+23),"",OFFSET(Electric!$L116,0,-'Electric Calendarize'!$L125+'Electric Calendarize'!AC$4+1))</f>
        <v>494</v>
      </c>
      <c r="AD125">
        <f ca="1">IF(OR($L125&gt;AD$4,AD$4&gt;$L125+23),"",OFFSET(Electric!$L116,0,-'Electric Calendarize'!$L125+'Electric Calendarize'!AD$4+1))</f>
        <v>560</v>
      </c>
      <c r="AE125">
        <f ca="1">IF(OR($L125&gt;AE$4,AE$4&gt;$L125+23),"",OFFSET(Electric!$L116,0,-'Electric Calendarize'!$L125+'Electric Calendarize'!AE$4+1))</f>
        <v>626</v>
      </c>
      <c r="AF125">
        <f ca="1">IF(OR($L125&gt;AF$4,AF$4&gt;$L125+23),"",OFFSET(Electric!$L116,0,-'Electric Calendarize'!$L125+'Electric Calendarize'!AF$4+1))</f>
        <v>457</v>
      </c>
      <c r="AG125">
        <f ca="1">IF(OR($L125&gt;AG$4,AG$4&gt;$L125+23),"",OFFSET(Electric!$L116,0,-'Electric Calendarize'!$L125+'Electric Calendarize'!AG$4+1))</f>
        <v>447</v>
      </c>
      <c r="AH125">
        <f ca="1">IF(OR($L125&gt;AH$4,AH$4&gt;$L125+23),"",OFFSET(Electric!$L116,0,-'Electric Calendarize'!$L125+'Electric Calendarize'!AH$4+1))</f>
        <v>350</v>
      </c>
      <c r="AI125">
        <f ca="1">IF(OR($L125&gt;AI$4,AI$4&gt;$L125+23),"",OFFSET(Electric!$L116,0,-'Electric Calendarize'!$L125+'Electric Calendarize'!AI$4+1))</f>
        <v>343</v>
      </c>
      <c r="AJ125">
        <f ca="1">IF(OR($L125&gt;AJ$4,AJ$4&gt;$L125+23),"",OFFSET(Electric!$L116,0,-'Electric Calendarize'!$L125+'Electric Calendarize'!AJ$4+1))</f>
        <v>440</v>
      </c>
      <c r="AK125">
        <f ca="1">IF(OR($L125&gt;AK$4,AK$4&gt;$L125+23),"",OFFSET(Electric!$L116,0,-'Electric Calendarize'!$L125+'Electric Calendarize'!AK$4+1))</f>
        <v>493</v>
      </c>
      <c r="AL125">
        <f ca="1">IF(OR($L125&gt;AL$4,AL$4&gt;$L125+23),"",OFFSET(Electric!$L116,0,-'Electric Calendarize'!$L125+'Electric Calendarize'!AL$4+1))</f>
        <v>424</v>
      </c>
      <c r="AM125">
        <f ca="1">IF(OR($L125&gt;AM$4,AM$4&gt;$L125+23),"",OFFSET(Electric!$L116,0,-'Electric Calendarize'!$L125+'Electric Calendarize'!AM$4+1))</f>
        <v>353</v>
      </c>
      <c r="AN125">
        <f ca="1">IF(OR($L125&gt;AN$4,AN$4&gt;$L125+23),"",OFFSET(Electric!$L116,0,-'Electric Calendarize'!$L125+'Electric Calendarize'!AN$4+1))</f>
        <v>475</v>
      </c>
      <c r="AO125">
        <f ca="1">IF(OR($L125&gt;AO$4,AO$4&gt;$L125+23),"",OFFSET(Electric!$L116,0,-'Electric Calendarize'!$L125+'Electric Calendarize'!AO$4+1))</f>
        <v>598</v>
      </c>
      <c r="AP125">
        <f ca="1">IF(OR($L125&gt;AP$4,AP$4&gt;$L125+23),"",OFFSET(Electric!$L116,0,-'Electric Calendarize'!$L125+'Electric Calendarize'!AP$4+1))</f>
        <v>678</v>
      </c>
      <c r="AQ125">
        <f ca="1">IF(OR($L125&gt;AQ$4,AQ$4&gt;$L125+23),"",OFFSET(Electric!$L116,0,-'Electric Calendarize'!$L125+'Electric Calendarize'!AQ$4+1))</f>
        <v>655</v>
      </c>
      <c r="AR125">
        <f ca="1">IF(OR($L125&gt;AR$4,AR$4&gt;$L125+23),"",OFFSET(Electric!$L116,0,-'Electric Calendarize'!$L125+'Electric Calendarize'!AR$4+1))</f>
        <v>581</v>
      </c>
      <c r="AS125">
        <f ca="1">IF(OR($L125&gt;AS$4,AS$4&gt;$L125+23),"",OFFSET(Electric!$L116,0,-'Electric Calendarize'!$L125+'Electric Calendarize'!AS$4+1))</f>
        <v>594</v>
      </c>
      <c r="AT125">
        <f ca="1">IF(OR($L125&gt;AT$4,AT$4&gt;$L125+23),"",OFFSET(Electric!$L116,0,-'Electric Calendarize'!$L125+'Electric Calendarize'!AT$4+1))</f>
        <v>809</v>
      </c>
      <c r="AU125">
        <f ca="1">IF(OR($L125&gt;AU$4,AU$4&gt;$L125+23),"",OFFSET(Electric!$L116,0,-'Electric Calendarize'!$L125+'Electric Calendarize'!AU$4+1))</f>
        <v>729</v>
      </c>
      <c r="AV125">
        <f ca="1">IF(OR($L125&gt;AV$4,AV$4&gt;$L125+23),"",OFFSET(Electric!$L116,0,-'Electric Calendarize'!$L125+'Electric Calendarize'!AV$4+1))</f>
        <v>548</v>
      </c>
      <c r="AW125">
        <f ca="1">IF(OR($L125&gt;AW$4,AW$4&gt;$L125+23),"",OFFSET(Electric!$L116,0,-'Electric Calendarize'!$L125+'Electric Calendarize'!AW$4+1))</f>
        <v>496</v>
      </c>
      <c r="AX125">
        <f ca="1">IF(OR($L125&gt;AX$4,AX$4&gt;$L125+23),"",OFFSET(Electric!$L116,0,-'Electric Calendarize'!$L125+'Electric Calendarize'!AX$4+1))</f>
        <v>469</v>
      </c>
      <c r="AY125">
        <f ca="1">IF(OR($L125&gt;AY$4,AY$4&gt;$L125+23),"",OFFSET(Electric!$L116,0,-'Electric Calendarize'!$L125+'Electric Calendarize'!AY$4+1))</f>
        <v>529</v>
      </c>
      <c r="AZ125">
        <f ca="1">IF(OR($L125&gt;AZ$4,AZ$4&gt;$L125+23),"",OFFSET(Electric!$L116,0,-'Electric Calendarize'!$L125+'Electric Calendarize'!AZ$4+1))</f>
        <v>498</v>
      </c>
      <c r="BA125" t="str">
        <f ca="1">IF(OR($L125&gt;BA$4,BA$4&gt;$L125+23),"",OFFSET(Electric!$L116,0,-'Electric Calendarize'!$L125+'Electric Calendarize'!BA$4+1))</f>
        <v/>
      </c>
      <c r="BB125" t="str">
        <f ca="1">IF(OR($L125&gt;BB$4,BB$4&gt;$L125+23),"",OFFSET(Electric!$L116,0,-'Electric Calendarize'!$L125+'Electric Calendarize'!BB$4+1))</f>
        <v/>
      </c>
      <c r="BC125" t="str">
        <f ca="1">IF(OR($L125&gt;BC$4,BC$4&gt;$L125+23),"",OFFSET(Electric!$L116,0,-'Electric Calendarize'!$L125+'Electric Calendarize'!BC$4+1))</f>
        <v/>
      </c>
      <c r="BD125" t="str">
        <f ca="1">IF(OR($L125&gt;BD$4,BD$4&gt;$L125+23),"",OFFSET(Electric!$L116,0,-'Electric Calendarize'!$L125+'Electric Calendarize'!BD$4+1))</f>
        <v/>
      </c>
      <c r="BE125" t="str">
        <f ca="1">IF(OR($L125&gt;BE$4,BE$4&gt;$L125+23),"",OFFSET(Electric!$L116,0,-'Electric Calendarize'!$L125+'Electric Calendarize'!BE$4+1))</f>
        <v/>
      </c>
      <c r="BF125" t="str">
        <f ca="1">IF(OR($L125&gt;BF$4,BF$4&gt;$L125+23),"",OFFSET(Electric!$L116,0,-'Electric Calendarize'!$L125+'Electric Calendarize'!BF$4+1))</f>
        <v/>
      </c>
      <c r="BG125" t="str">
        <f ca="1">IF(OR($L125&gt;BG$4,BG$4&gt;$L125+23),"",OFFSET(Electric!$L116,0,-'Electric Calendarize'!$L125+'Electric Calendarize'!BG$4+1))</f>
        <v/>
      </c>
      <c r="BJ125" s="10" t="s">
        <v>37</v>
      </c>
      <c r="BK125">
        <f t="shared" si="303"/>
        <v>1</v>
      </c>
      <c r="BL125">
        <f t="shared" si="209"/>
        <v>0</v>
      </c>
      <c r="BM125">
        <f t="shared" si="210"/>
        <v>0</v>
      </c>
      <c r="BN125">
        <f t="shared" si="211"/>
        <v>0</v>
      </c>
      <c r="BO125">
        <f t="shared" si="212"/>
        <v>0</v>
      </c>
      <c r="BP125">
        <f t="shared" si="213"/>
        <v>0</v>
      </c>
      <c r="BQ125">
        <f t="shared" si="214"/>
        <v>0</v>
      </c>
      <c r="BR125">
        <f t="shared" si="215"/>
        <v>1</v>
      </c>
      <c r="BS125">
        <f t="shared" si="216"/>
        <v>1</v>
      </c>
      <c r="BT125">
        <f t="shared" si="217"/>
        <v>1</v>
      </c>
      <c r="BU125">
        <f t="shared" si="218"/>
        <v>1</v>
      </c>
      <c r="BV125">
        <f t="shared" si="219"/>
        <v>1</v>
      </c>
      <c r="BW125">
        <f t="shared" si="220"/>
        <v>1</v>
      </c>
      <c r="BX125">
        <f t="shared" si="221"/>
        <v>0</v>
      </c>
      <c r="BY125">
        <f t="shared" si="222"/>
        <v>0</v>
      </c>
      <c r="BZ125">
        <f t="shared" si="223"/>
        <v>0</v>
      </c>
      <c r="CA125">
        <f t="shared" si="224"/>
        <v>0</v>
      </c>
      <c r="CB125">
        <f t="shared" si="225"/>
        <v>0</v>
      </c>
      <c r="CC125">
        <f t="shared" si="226"/>
        <v>0</v>
      </c>
      <c r="CD125">
        <f t="shared" si="227"/>
        <v>1</v>
      </c>
      <c r="CE125">
        <f t="shared" si="228"/>
        <v>1</v>
      </c>
      <c r="CF125">
        <f t="shared" si="229"/>
        <v>1</v>
      </c>
      <c r="CG125">
        <f t="shared" si="230"/>
        <v>1</v>
      </c>
      <c r="CH125">
        <f t="shared" si="231"/>
        <v>1</v>
      </c>
      <c r="CI125">
        <f t="shared" si="232"/>
        <v>1</v>
      </c>
      <c r="CJ125">
        <f t="shared" si="233"/>
        <v>0</v>
      </c>
      <c r="CK125">
        <f t="shared" si="234"/>
        <v>0</v>
      </c>
      <c r="CL125">
        <f t="shared" si="235"/>
        <v>0</v>
      </c>
      <c r="CM125">
        <f t="shared" si="236"/>
        <v>0</v>
      </c>
      <c r="CN125">
        <f t="shared" si="237"/>
        <v>0</v>
      </c>
      <c r="CO125">
        <f t="shared" si="238"/>
        <v>0</v>
      </c>
      <c r="CP125">
        <f t="shared" si="239"/>
        <v>1</v>
      </c>
      <c r="CQ125">
        <f t="shared" si="240"/>
        <v>1</v>
      </c>
      <c r="CR125">
        <f t="shared" si="241"/>
        <v>1</v>
      </c>
      <c r="CS125">
        <f t="shared" si="242"/>
        <v>1</v>
      </c>
      <c r="CT125">
        <f t="shared" si="243"/>
        <v>1</v>
      </c>
      <c r="CU125">
        <f t="shared" si="244"/>
        <v>1</v>
      </c>
      <c r="CV125">
        <f t="shared" si="245"/>
        <v>0</v>
      </c>
      <c r="CW125">
        <f t="shared" si="246"/>
        <v>0</v>
      </c>
      <c r="CX125">
        <f t="shared" si="247"/>
        <v>0</v>
      </c>
      <c r="CY125">
        <f t="shared" si="248"/>
        <v>0</v>
      </c>
      <c r="CZ125">
        <f t="shared" si="249"/>
        <v>0</v>
      </c>
      <c r="DA125">
        <f t="shared" si="250"/>
        <v>0</v>
      </c>
      <c r="DB125">
        <f t="shared" si="251"/>
        <v>1</v>
      </c>
      <c r="DC125">
        <f t="shared" si="252"/>
        <v>1</v>
      </c>
      <c r="DF125" s="10" t="s">
        <v>37</v>
      </c>
      <c r="DG125" t="str">
        <f t="shared" si="315"/>
        <v>2022_6</v>
      </c>
      <c r="DH125" t="str">
        <f t="shared" si="315"/>
        <v>2022_6</v>
      </c>
      <c r="DI125" t="str">
        <f t="shared" si="315"/>
        <v>2022_6</v>
      </c>
      <c r="DJ125" t="str">
        <f t="shared" si="315"/>
        <v>2022_6</v>
      </c>
      <c r="DK125" t="str">
        <f t="shared" si="315"/>
        <v>2022_6</v>
      </c>
      <c r="DL125" t="str">
        <f t="shared" si="315"/>
        <v>2022_6</v>
      </c>
      <c r="DM125" t="str">
        <f t="shared" si="315"/>
        <v>2022_6</v>
      </c>
      <c r="DN125" t="str">
        <f t="shared" si="315"/>
        <v>2022_6</v>
      </c>
      <c r="DO125" t="str">
        <f t="shared" si="315"/>
        <v>2022_6</v>
      </c>
      <c r="DP125" t="str">
        <f t="shared" si="315"/>
        <v>2022_6</v>
      </c>
      <c r="DQ125" t="str">
        <f t="shared" si="315"/>
        <v>2022_6</v>
      </c>
      <c r="DR125" t="str">
        <f t="shared" si="315"/>
        <v>2022_6</v>
      </c>
      <c r="DS125" t="str">
        <f t="shared" si="315"/>
        <v>2022_6</v>
      </c>
      <c r="DT125" t="str">
        <f t="shared" si="315"/>
        <v>2022_6</v>
      </c>
      <c r="DU125" t="str">
        <f t="shared" si="315"/>
        <v>2022_6</v>
      </c>
      <c r="DV125" t="str">
        <f t="shared" si="315"/>
        <v>2022_6</v>
      </c>
      <c r="DW125" t="str">
        <f t="shared" si="314"/>
        <v>2022_6</v>
      </c>
      <c r="DX125" t="str">
        <f t="shared" si="314"/>
        <v>2022_6</v>
      </c>
      <c r="DY125" t="str">
        <f t="shared" si="314"/>
        <v>2022_6</v>
      </c>
      <c r="DZ125" t="str">
        <f t="shared" si="314"/>
        <v>2022_6</v>
      </c>
      <c r="EA125" t="str">
        <f t="shared" si="314"/>
        <v>2022_6</v>
      </c>
      <c r="EB125" t="str">
        <f t="shared" si="314"/>
        <v>2022_6</v>
      </c>
      <c r="EC125" t="str">
        <f t="shared" si="314"/>
        <v>2022_6</v>
      </c>
      <c r="ED125" t="str">
        <f t="shared" si="314"/>
        <v>2022_6</v>
      </c>
      <c r="EE125" t="str">
        <f t="shared" si="314"/>
        <v>2022_6</v>
      </c>
      <c r="EF125" t="str">
        <f t="shared" si="314"/>
        <v>2022_6</v>
      </c>
      <c r="EG125" t="str">
        <f t="shared" si="314"/>
        <v>2022_6</v>
      </c>
      <c r="EH125" t="str">
        <f t="shared" si="314"/>
        <v>2022_6</v>
      </c>
      <c r="EI125" t="str">
        <f t="shared" si="314"/>
        <v>2022_6</v>
      </c>
      <c r="EJ125" t="str">
        <f t="shared" si="314"/>
        <v>2022_6</v>
      </c>
      <c r="EK125" t="str">
        <f t="shared" si="313"/>
        <v>2022_6</v>
      </c>
      <c r="EL125" t="str">
        <f t="shared" si="313"/>
        <v>2022_6</v>
      </c>
      <c r="EM125" t="str">
        <f t="shared" si="313"/>
        <v>2022_6</v>
      </c>
      <c r="EN125" t="str">
        <f t="shared" si="313"/>
        <v>2022_6</v>
      </c>
      <c r="EO125" t="str">
        <f t="shared" si="313"/>
        <v>2022_6</v>
      </c>
      <c r="EP125" t="str">
        <f t="shared" si="313"/>
        <v>2022_6</v>
      </c>
      <c r="EQ125" t="str">
        <f t="shared" si="313"/>
        <v>2022_6</v>
      </c>
      <c r="ER125" t="str">
        <f t="shared" si="313"/>
        <v>2022_6</v>
      </c>
      <c r="ES125" t="str">
        <f t="shared" si="313"/>
        <v>2022_6</v>
      </c>
      <c r="ET125" t="str">
        <f t="shared" si="313"/>
        <v>2022_6</v>
      </c>
      <c r="EU125" t="str">
        <f t="shared" si="313"/>
        <v>2022_6</v>
      </c>
      <c r="EV125" t="str">
        <f t="shared" si="313"/>
        <v>2022_6</v>
      </c>
      <c r="EW125" t="str">
        <f t="shared" si="313"/>
        <v>2022_6</v>
      </c>
      <c r="EX125" t="str">
        <f t="shared" si="313"/>
        <v>2022_6</v>
      </c>
      <c r="EY125" t="str">
        <f t="shared" si="313"/>
        <v>2022_6</v>
      </c>
      <c r="FB125" s="10" t="s">
        <v>37</v>
      </c>
      <c r="FC125">
        <f t="shared" si="305"/>
        <v>0</v>
      </c>
      <c r="FD125">
        <f t="shared" si="255"/>
        <v>0</v>
      </c>
      <c r="FE125">
        <f t="shared" si="256"/>
        <v>0</v>
      </c>
      <c r="FF125">
        <f t="shared" si="257"/>
        <v>0</v>
      </c>
      <c r="FG125">
        <f t="shared" si="258"/>
        <v>0</v>
      </c>
      <c r="FH125">
        <f t="shared" si="259"/>
        <v>0</v>
      </c>
      <c r="FI125">
        <f t="shared" si="260"/>
        <v>0</v>
      </c>
      <c r="FJ125">
        <f t="shared" si="261"/>
        <v>0</v>
      </c>
      <c r="FK125">
        <f t="shared" si="262"/>
        <v>0</v>
      </c>
      <c r="FL125">
        <f t="shared" si="263"/>
        <v>0</v>
      </c>
      <c r="FM125">
        <f t="shared" si="264"/>
        <v>0</v>
      </c>
      <c r="FN125">
        <f t="shared" si="265"/>
        <v>0</v>
      </c>
      <c r="FO125">
        <f t="shared" si="266"/>
        <v>0</v>
      </c>
      <c r="FP125">
        <f t="shared" si="267"/>
        <v>0</v>
      </c>
      <c r="FQ125">
        <f t="shared" si="268"/>
        <v>0</v>
      </c>
      <c r="FR125">
        <f t="shared" si="269"/>
        <v>0</v>
      </c>
      <c r="FS125">
        <f t="shared" si="270"/>
        <v>0</v>
      </c>
      <c r="FT125">
        <f t="shared" si="271"/>
        <v>0</v>
      </c>
      <c r="FU125">
        <f t="shared" si="272"/>
        <v>0</v>
      </c>
      <c r="FV125">
        <f t="shared" si="273"/>
        <v>0</v>
      </c>
      <c r="FW125">
        <f t="shared" si="274"/>
        <v>0</v>
      </c>
      <c r="FX125">
        <f t="shared" si="275"/>
        <v>0</v>
      </c>
      <c r="FY125">
        <f t="shared" si="276"/>
        <v>0</v>
      </c>
      <c r="FZ125">
        <f t="shared" si="277"/>
        <v>0</v>
      </c>
      <c r="GA125">
        <f t="shared" si="278"/>
        <v>0</v>
      </c>
      <c r="GB125">
        <f t="shared" si="279"/>
        <v>0</v>
      </c>
      <c r="GC125">
        <f t="shared" si="280"/>
        <v>1</v>
      </c>
      <c r="GD125">
        <f t="shared" si="281"/>
        <v>1</v>
      </c>
      <c r="GE125">
        <f t="shared" si="282"/>
        <v>1</v>
      </c>
      <c r="GF125">
        <f t="shared" si="283"/>
        <v>1</v>
      </c>
      <c r="GG125">
        <f t="shared" si="284"/>
        <v>1</v>
      </c>
      <c r="GH125">
        <f t="shared" si="285"/>
        <v>1</v>
      </c>
      <c r="GI125">
        <f t="shared" si="286"/>
        <v>1</v>
      </c>
      <c r="GJ125">
        <f t="shared" si="287"/>
        <v>1</v>
      </c>
      <c r="GK125">
        <f t="shared" si="288"/>
        <v>1</v>
      </c>
      <c r="GL125">
        <f t="shared" si="289"/>
        <v>1</v>
      </c>
      <c r="GM125">
        <f t="shared" si="290"/>
        <v>1</v>
      </c>
      <c r="GN125">
        <f t="shared" si="291"/>
        <v>1</v>
      </c>
      <c r="GO125">
        <f t="shared" si="292"/>
        <v>1</v>
      </c>
      <c r="GP125">
        <f t="shared" si="293"/>
        <v>1</v>
      </c>
      <c r="GQ125">
        <f t="shared" si="294"/>
        <v>1</v>
      </c>
      <c r="GR125">
        <f t="shared" si="295"/>
        <v>1</v>
      </c>
      <c r="GS125">
        <f t="shared" si="296"/>
        <v>1</v>
      </c>
      <c r="GT125">
        <f t="shared" si="297"/>
        <v>1</v>
      </c>
      <c r="GU125">
        <f t="shared" si="298"/>
        <v>1</v>
      </c>
      <c r="GX125" s="10"/>
    </row>
    <row r="126" spans="1:206" x14ac:dyDescent="0.3">
      <c r="A126" s="9" t="s">
        <v>46</v>
      </c>
      <c r="B126" s="80"/>
      <c r="C126" s="9">
        <v>3132098001</v>
      </c>
      <c r="D126" s="9" t="s">
        <v>375</v>
      </c>
      <c r="E126" s="9" t="s">
        <v>39</v>
      </c>
      <c r="F126" s="9" t="s">
        <v>35</v>
      </c>
      <c r="G126" s="9" t="s">
        <v>160</v>
      </c>
      <c r="H126" s="10">
        <v>44728</v>
      </c>
      <c r="I126" s="9">
        <f t="shared" si="299"/>
        <v>2022</v>
      </c>
      <c r="J126" s="9">
        <f t="shared" si="300"/>
        <v>6</v>
      </c>
      <c r="K126" s="9" t="str">
        <f t="shared" si="301"/>
        <v>2022_6</v>
      </c>
      <c r="L126">
        <f>MAX(0,VLOOKUP($K126,lookups!$A$1:$B$45,2,0)-12)</f>
        <v>14</v>
      </c>
      <c r="M126" s="40">
        <f t="shared" si="302"/>
        <v>44713</v>
      </c>
      <c r="N126" s="10" t="s">
        <v>37</v>
      </c>
      <c r="O126" t="str">
        <f ca="1">IF(OR($L126&gt;O$4,O$4&gt;$L126+23),"",OFFSET(Electric!$L117,0,-'Electric Calendarize'!$L126+'Electric Calendarize'!O$4+1))</f>
        <v/>
      </c>
      <c r="P126" t="str">
        <f ca="1">IF(OR($L126&gt;P$4,P$4&gt;$L126+23),"",OFFSET(Electric!$L117,0,-'Electric Calendarize'!$L126+'Electric Calendarize'!P$4+1))</f>
        <v/>
      </c>
      <c r="Q126" t="str">
        <f ca="1">IF(OR($L126&gt;Q$4,Q$4&gt;$L126+23),"",OFFSET(Electric!$L117,0,-'Electric Calendarize'!$L126+'Electric Calendarize'!Q$4+1))</f>
        <v/>
      </c>
      <c r="R126" t="str">
        <f ca="1">IF(OR($L126&gt;R$4,R$4&gt;$L126+23),"",OFFSET(Electric!$L117,0,-'Electric Calendarize'!$L126+'Electric Calendarize'!R$4+1))</f>
        <v/>
      </c>
      <c r="S126" t="str">
        <f ca="1">IF(OR($L126&gt;S$4,S$4&gt;$L126+23),"",OFFSET(Electric!$L117,0,-'Electric Calendarize'!$L126+'Electric Calendarize'!S$4+1))</f>
        <v/>
      </c>
      <c r="T126" t="str">
        <f ca="1">IF(OR($L126&gt;T$4,T$4&gt;$L126+23),"",OFFSET(Electric!$L117,0,-'Electric Calendarize'!$L126+'Electric Calendarize'!T$4+1))</f>
        <v/>
      </c>
      <c r="U126" t="str">
        <f ca="1">IF(OR($L126&gt;U$4,U$4&gt;$L126+23),"",OFFSET(Electric!$L117,0,-'Electric Calendarize'!$L126+'Electric Calendarize'!U$4+1))</f>
        <v/>
      </c>
      <c r="V126" t="str">
        <f ca="1">IF(OR($L126&gt;V$4,V$4&gt;$L126+23),"",OFFSET(Electric!$L117,0,-'Electric Calendarize'!$L126+'Electric Calendarize'!V$4+1))</f>
        <v/>
      </c>
      <c r="W126" t="str">
        <f ca="1">IF(OR($L126&gt;W$4,W$4&gt;$L126+23),"",OFFSET(Electric!$L117,0,-'Electric Calendarize'!$L126+'Electric Calendarize'!W$4+1))</f>
        <v/>
      </c>
      <c r="X126" t="str">
        <f ca="1">IF(OR($L126&gt;X$4,X$4&gt;$L126+23),"",OFFSET(Electric!$L117,0,-'Electric Calendarize'!$L126+'Electric Calendarize'!X$4+1))</f>
        <v/>
      </c>
      <c r="Y126" t="str">
        <f ca="1">IF(OR($L126&gt;Y$4,Y$4&gt;$L126+23),"",OFFSET(Electric!$L117,0,-'Electric Calendarize'!$L126+'Electric Calendarize'!Y$4+1))</f>
        <v/>
      </c>
      <c r="Z126" t="str">
        <f ca="1">IF(OR($L126&gt;Z$4,Z$4&gt;$L126+23),"",OFFSET(Electric!$L117,0,-'Electric Calendarize'!$L126+'Electric Calendarize'!Z$4+1))</f>
        <v/>
      </c>
      <c r="AA126" t="str">
        <f ca="1">IF(OR($L126&gt;AA$4,AA$4&gt;$L126+23),"",OFFSET(Electric!$L117,0,-'Electric Calendarize'!$L126+'Electric Calendarize'!AA$4+1))</f>
        <v/>
      </c>
      <c r="AB126" t="str">
        <f ca="1">IF(OR($L126&gt;AB$4,AB$4&gt;$L126+23),"",OFFSET(Electric!$L117,0,-'Electric Calendarize'!$L126+'Electric Calendarize'!AB$4+1))</f>
        <v/>
      </c>
      <c r="AC126">
        <f ca="1">IF(OR($L126&gt;AC$4,AC$4&gt;$L126+23),"",OFFSET(Electric!$L117,0,-'Electric Calendarize'!$L126+'Electric Calendarize'!AC$4+1))</f>
        <v>321</v>
      </c>
      <c r="AD126">
        <f ca="1">IF(OR($L126&gt;AD$4,AD$4&gt;$L126+23),"",OFFSET(Electric!$L117,0,-'Electric Calendarize'!$L126+'Electric Calendarize'!AD$4+1))</f>
        <v>448</v>
      </c>
      <c r="AE126">
        <f ca="1">IF(OR($L126&gt;AE$4,AE$4&gt;$L126+23),"",OFFSET(Electric!$L117,0,-'Electric Calendarize'!$L126+'Electric Calendarize'!AE$4+1))</f>
        <v>372</v>
      </c>
      <c r="AF126">
        <f ca="1">IF(OR($L126&gt;AF$4,AF$4&gt;$L126+23),"",OFFSET(Electric!$L117,0,-'Electric Calendarize'!$L126+'Electric Calendarize'!AF$4+1))</f>
        <v>397</v>
      </c>
      <c r="AG126">
        <f ca="1">IF(OR($L126&gt;AG$4,AG$4&gt;$L126+23),"",OFFSET(Electric!$L117,0,-'Electric Calendarize'!$L126+'Electric Calendarize'!AG$4+1))</f>
        <v>271</v>
      </c>
      <c r="AH126">
        <f ca="1">IF(OR($L126&gt;AH$4,AH$4&gt;$L126+23),"",OFFSET(Electric!$L117,0,-'Electric Calendarize'!$L126+'Electric Calendarize'!AH$4+1))</f>
        <v>315</v>
      </c>
      <c r="AI126">
        <f ca="1">IF(OR($L126&gt;AI$4,AI$4&gt;$L126+23),"",OFFSET(Electric!$L117,0,-'Electric Calendarize'!$L126+'Electric Calendarize'!AI$4+1))</f>
        <v>366</v>
      </c>
      <c r="AJ126">
        <f ca="1">IF(OR($L126&gt;AJ$4,AJ$4&gt;$L126+23),"",OFFSET(Electric!$L117,0,-'Electric Calendarize'!$L126+'Electric Calendarize'!AJ$4+1))</f>
        <v>473</v>
      </c>
      <c r="AK126">
        <f ca="1">IF(OR($L126&gt;AK$4,AK$4&gt;$L126+23),"",OFFSET(Electric!$L117,0,-'Electric Calendarize'!$L126+'Electric Calendarize'!AK$4+1))</f>
        <v>319</v>
      </c>
      <c r="AL126">
        <f ca="1">IF(OR($L126&gt;AL$4,AL$4&gt;$L126+23),"",OFFSET(Electric!$L117,0,-'Electric Calendarize'!$L126+'Electric Calendarize'!AL$4+1))</f>
        <v>340</v>
      </c>
      <c r="AM126">
        <f ca="1">IF(OR($L126&gt;AM$4,AM$4&gt;$L126+23),"",OFFSET(Electric!$L117,0,-'Electric Calendarize'!$L126+'Electric Calendarize'!AM$4+1))</f>
        <v>258</v>
      </c>
      <c r="AN126">
        <f ca="1">IF(OR($L126&gt;AN$4,AN$4&gt;$L126+23),"",OFFSET(Electric!$L117,0,-'Electric Calendarize'!$L126+'Electric Calendarize'!AN$4+1))</f>
        <v>227</v>
      </c>
      <c r="AO126">
        <f ca="1">IF(OR($L126&gt;AO$4,AO$4&gt;$L126+23),"",OFFSET(Electric!$L117,0,-'Electric Calendarize'!$L126+'Electric Calendarize'!AO$4+1))</f>
        <v>233</v>
      </c>
      <c r="AP126">
        <f ca="1">IF(OR($L126&gt;AP$4,AP$4&gt;$L126+23),"",OFFSET(Electric!$L117,0,-'Electric Calendarize'!$L126+'Electric Calendarize'!AP$4+1))</f>
        <v>486</v>
      </c>
      <c r="AQ126">
        <f ca="1">IF(OR($L126&gt;AQ$4,AQ$4&gt;$L126+23),"",OFFSET(Electric!$L117,0,-'Electric Calendarize'!$L126+'Electric Calendarize'!AQ$4+1))</f>
        <v>603</v>
      </c>
      <c r="AR126">
        <f ca="1">IF(OR($L126&gt;AR$4,AR$4&gt;$L126+23),"",OFFSET(Electric!$L117,0,-'Electric Calendarize'!$L126+'Electric Calendarize'!AR$4+1))</f>
        <v>398</v>
      </c>
      <c r="AS126">
        <f ca="1">IF(OR($L126&gt;AS$4,AS$4&gt;$L126+23),"",OFFSET(Electric!$L117,0,-'Electric Calendarize'!$L126+'Electric Calendarize'!AS$4+1))</f>
        <v>404</v>
      </c>
      <c r="AT126">
        <f ca="1">IF(OR($L126&gt;AT$4,AT$4&gt;$L126+23),"",OFFSET(Electric!$L117,0,-'Electric Calendarize'!$L126+'Electric Calendarize'!AT$4+1))</f>
        <v>768</v>
      </c>
      <c r="AU126">
        <f ca="1">IF(OR($L126&gt;AU$4,AU$4&gt;$L126+23),"",OFFSET(Electric!$L117,0,-'Electric Calendarize'!$L126+'Electric Calendarize'!AU$4+1))</f>
        <v>1301</v>
      </c>
      <c r="AV126">
        <f ca="1">IF(OR($L126&gt;AV$4,AV$4&gt;$L126+23),"",OFFSET(Electric!$L117,0,-'Electric Calendarize'!$L126+'Electric Calendarize'!AV$4+1))</f>
        <v>1446</v>
      </c>
      <c r="AW126">
        <f ca="1">IF(OR($L126&gt;AW$4,AW$4&gt;$L126+23),"",OFFSET(Electric!$L117,0,-'Electric Calendarize'!$L126+'Electric Calendarize'!AW$4+1))</f>
        <v>1239</v>
      </c>
      <c r="AX126">
        <f ca="1">IF(OR($L126&gt;AX$4,AX$4&gt;$L126+23),"",OFFSET(Electric!$L117,0,-'Electric Calendarize'!$L126+'Electric Calendarize'!AX$4+1))</f>
        <v>1269</v>
      </c>
      <c r="AY126">
        <f ca="1">IF(OR($L126&gt;AY$4,AY$4&gt;$L126+23),"",OFFSET(Electric!$L117,0,-'Electric Calendarize'!$L126+'Electric Calendarize'!AY$4+1))</f>
        <v>896</v>
      </c>
      <c r="AZ126">
        <f ca="1">IF(OR($L126&gt;AZ$4,AZ$4&gt;$L126+23),"",OFFSET(Electric!$L117,0,-'Electric Calendarize'!$L126+'Electric Calendarize'!AZ$4+1))</f>
        <v>566</v>
      </c>
      <c r="BA126" t="str">
        <f ca="1">IF(OR($L126&gt;BA$4,BA$4&gt;$L126+23),"",OFFSET(Electric!$L117,0,-'Electric Calendarize'!$L126+'Electric Calendarize'!BA$4+1))</f>
        <v/>
      </c>
      <c r="BB126" t="str">
        <f ca="1">IF(OR($L126&gt;BB$4,BB$4&gt;$L126+23),"",OFFSET(Electric!$L117,0,-'Electric Calendarize'!$L126+'Electric Calendarize'!BB$4+1))</f>
        <v/>
      </c>
      <c r="BC126" t="str">
        <f ca="1">IF(OR($L126&gt;BC$4,BC$4&gt;$L126+23),"",OFFSET(Electric!$L117,0,-'Electric Calendarize'!$L126+'Electric Calendarize'!BC$4+1))</f>
        <v/>
      </c>
      <c r="BD126" t="str">
        <f ca="1">IF(OR($L126&gt;BD$4,BD$4&gt;$L126+23),"",OFFSET(Electric!$L117,0,-'Electric Calendarize'!$L126+'Electric Calendarize'!BD$4+1))</f>
        <v/>
      </c>
      <c r="BE126" t="str">
        <f ca="1">IF(OR($L126&gt;BE$4,BE$4&gt;$L126+23),"",OFFSET(Electric!$L117,0,-'Electric Calendarize'!$L126+'Electric Calendarize'!BE$4+1))</f>
        <v/>
      </c>
      <c r="BF126" t="str">
        <f ca="1">IF(OR($L126&gt;BF$4,BF$4&gt;$L126+23),"",OFFSET(Electric!$L117,0,-'Electric Calendarize'!$L126+'Electric Calendarize'!BF$4+1))</f>
        <v/>
      </c>
      <c r="BG126" t="str">
        <f ca="1">IF(OR($L126&gt;BG$4,BG$4&gt;$L126+23),"",OFFSET(Electric!$L117,0,-'Electric Calendarize'!$L126+'Electric Calendarize'!BG$4+1))</f>
        <v/>
      </c>
      <c r="BJ126" s="10" t="s">
        <v>37</v>
      </c>
      <c r="BK126">
        <f t="shared" si="303"/>
        <v>1</v>
      </c>
      <c r="BL126">
        <f t="shared" si="209"/>
        <v>0</v>
      </c>
      <c r="BM126">
        <f t="shared" si="210"/>
        <v>0</v>
      </c>
      <c r="BN126">
        <f t="shared" si="211"/>
        <v>0</v>
      </c>
      <c r="BO126">
        <f t="shared" si="212"/>
        <v>0</v>
      </c>
      <c r="BP126">
        <f t="shared" si="213"/>
        <v>0</v>
      </c>
      <c r="BQ126">
        <f t="shared" si="214"/>
        <v>0</v>
      </c>
      <c r="BR126">
        <f t="shared" si="215"/>
        <v>1</v>
      </c>
      <c r="BS126">
        <f t="shared" si="216"/>
        <v>1</v>
      </c>
      <c r="BT126">
        <f t="shared" si="217"/>
        <v>1</v>
      </c>
      <c r="BU126">
        <f t="shared" si="218"/>
        <v>1</v>
      </c>
      <c r="BV126">
        <f t="shared" si="219"/>
        <v>1</v>
      </c>
      <c r="BW126">
        <f t="shared" si="220"/>
        <v>1</v>
      </c>
      <c r="BX126">
        <f t="shared" si="221"/>
        <v>0</v>
      </c>
      <c r="BY126">
        <f t="shared" si="222"/>
        <v>0</v>
      </c>
      <c r="BZ126">
        <f t="shared" si="223"/>
        <v>0</v>
      </c>
      <c r="CA126">
        <f t="shared" si="224"/>
        <v>0</v>
      </c>
      <c r="CB126">
        <f t="shared" si="225"/>
        <v>0</v>
      </c>
      <c r="CC126">
        <f t="shared" si="226"/>
        <v>0</v>
      </c>
      <c r="CD126">
        <f t="shared" si="227"/>
        <v>1</v>
      </c>
      <c r="CE126">
        <f t="shared" si="228"/>
        <v>1</v>
      </c>
      <c r="CF126">
        <f t="shared" si="229"/>
        <v>1</v>
      </c>
      <c r="CG126">
        <f t="shared" si="230"/>
        <v>1</v>
      </c>
      <c r="CH126">
        <f t="shared" si="231"/>
        <v>1</v>
      </c>
      <c r="CI126">
        <f t="shared" si="232"/>
        <v>1</v>
      </c>
      <c r="CJ126">
        <f t="shared" si="233"/>
        <v>0</v>
      </c>
      <c r="CK126">
        <f t="shared" si="234"/>
        <v>0</v>
      </c>
      <c r="CL126">
        <f t="shared" si="235"/>
        <v>0</v>
      </c>
      <c r="CM126">
        <f t="shared" si="236"/>
        <v>0</v>
      </c>
      <c r="CN126">
        <f t="shared" si="237"/>
        <v>0</v>
      </c>
      <c r="CO126">
        <f t="shared" si="238"/>
        <v>0</v>
      </c>
      <c r="CP126">
        <f t="shared" si="239"/>
        <v>1</v>
      </c>
      <c r="CQ126">
        <f t="shared" si="240"/>
        <v>1</v>
      </c>
      <c r="CR126">
        <f t="shared" si="241"/>
        <v>1</v>
      </c>
      <c r="CS126">
        <f t="shared" si="242"/>
        <v>1</v>
      </c>
      <c r="CT126">
        <f t="shared" si="243"/>
        <v>1</v>
      </c>
      <c r="CU126">
        <f t="shared" si="244"/>
        <v>1</v>
      </c>
      <c r="CV126">
        <f t="shared" si="245"/>
        <v>0</v>
      </c>
      <c r="CW126">
        <f t="shared" si="246"/>
        <v>0</v>
      </c>
      <c r="CX126">
        <f t="shared" si="247"/>
        <v>0</v>
      </c>
      <c r="CY126">
        <f t="shared" si="248"/>
        <v>0</v>
      </c>
      <c r="CZ126">
        <f t="shared" si="249"/>
        <v>0</v>
      </c>
      <c r="DA126">
        <f t="shared" si="250"/>
        <v>0</v>
      </c>
      <c r="DB126">
        <f t="shared" si="251"/>
        <v>1</v>
      </c>
      <c r="DC126">
        <f t="shared" si="252"/>
        <v>1</v>
      </c>
      <c r="DF126" s="10" t="s">
        <v>37</v>
      </c>
      <c r="DG126" t="str">
        <f t="shared" si="315"/>
        <v>2022_6</v>
      </c>
      <c r="DH126" t="str">
        <f t="shared" si="315"/>
        <v>2022_6</v>
      </c>
      <c r="DI126" t="str">
        <f t="shared" si="315"/>
        <v>2022_6</v>
      </c>
      <c r="DJ126" t="str">
        <f t="shared" si="315"/>
        <v>2022_6</v>
      </c>
      <c r="DK126" t="str">
        <f t="shared" si="315"/>
        <v>2022_6</v>
      </c>
      <c r="DL126" t="str">
        <f t="shared" si="315"/>
        <v>2022_6</v>
      </c>
      <c r="DM126" t="str">
        <f t="shared" si="315"/>
        <v>2022_6</v>
      </c>
      <c r="DN126" t="str">
        <f t="shared" si="315"/>
        <v>2022_6</v>
      </c>
      <c r="DO126" t="str">
        <f t="shared" si="315"/>
        <v>2022_6</v>
      </c>
      <c r="DP126" t="str">
        <f t="shared" si="315"/>
        <v>2022_6</v>
      </c>
      <c r="DQ126" t="str">
        <f t="shared" si="315"/>
        <v>2022_6</v>
      </c>
      <c r="DR126" t="str">
        <f t="shared" si="315"/>
        <v>2022_6</v>
      </c>
      <c r="DS126" t="str">
        <f t="shared" si="315"/>
        <v>2022_6</v>
      </c>
      <c r="DT126" t="str">
        <f t="shared" si="315"/>
        <v>2022_6</v>
      </c>
      <c r="DU126" t="str">
        <f t="shared" si="315"/>
        <v>2022_6</v>
      </c>
      <c r="DV126" t="str">
        <f t="shared" si="315"/>
        <v>2022_6</v>
      </c>
      <c r="DW126" t="str">
        <f t="shared" si="314"/>
        <v>2022_6</v>
      </c>
      <c r="DX126" t="str">
        <f t="shared" si="314"/>
        <v>2022_6</v>
      </c>
      <c r="DY126" t="str">
        <f t="shared" si="314"/>
        <v>2022_6</v>
      </c>
      <c r="DZ126" t="str">
        <f t="shared" si="314"/>
        <v>2022_6</v>
      </c>
      <c r="EA126" t="str">
        <f t="shared" si="314"/>
        <v>2022_6</v>
      </c>
      <c r="EB126" t="str">
        <f t="shared" si="314"/>
        <v>2022_6</v>
      </c>
      <c r="EC126" t="str">
        <f t="shared" si="314"/>
        <v>2022_6</v>
      </c>
      <c r="ED126" t="str">
        <f t="shared" si="314"/>
        <v>2022_6</v>
      </c>
      <c r="EE126" t="str">
        <f t="shared" si="314"/>
        <v>2022_6</v>
      </c>
      <c r="EF126" t="str">
        <f t="shared" si="314"/>
        <v>2022_6</v>
      </c>
      <c r="EG126" t="str">
        <f t="shared" si="314"/>
        <v>2022_6</v>
      </c>
      <c r="EH126" t="str">
        <f t="shared" si="314"/>
        <v>2022_6</v>
      </c>
      <c r="EI126" t="str">
        <f t="shared" si="314"/>
        <v>2022_6</v>
      </c>
      <c r="EJ126" t="str">
        <f t="shared" si="314"/>
        <v>2022_6</v>
      </c>
      <c r="EK126" t="str">
        <f t="shared" si="313"/>
        <v>2022_6</v>
      </c>
      <c r="EL126" t="str">
        <f t="shared" si="313"/>
        <v>2022_6</v>
      </c>
      <c r="EM126" t="str">
        <f t="shared" si="313"/>
        <v>2022_6</v>
      </c>
      <c r="EN126" t="str">
        <f t="shared" si="313"/>
        <v>2022_6</v>
      </c>
      <c r="EO126" t="str">
        <f t="shared" si="313"/>
        <v>2022_6</v>
      </c>
      <c r="EP126" t="str">
        <f t="shared" si="313"/>
        <v>2022_6</v>
      </c>
      <c r="EQ126" t="str">
        <f t="shared" si="313"/>
        <v>2022_6</v>
      </c>
      <c r="ER126" t="str">
        <f t="shared" si="313"/>
        <v>2022_6</v>
      </c>
      <c r="ES126" t="str">
        <f t="shared" si="313"/>
        <v>2022_6</v>
      </c>
      <c r="ET126" t="str">
        <f t="shared" si="313"/>
        <v>2022_6</v>
      </c>
      <c r="EU126" t="str">
        <f t="shared" si="313"/>
        <v>2022_6</v>
      </c>
      <c r="EV126" t="str">
        <f t="shared" si="313"/>
        <v>2022_6</v>
      </c>
      <c r="EW126" t="str">
        <f t="shared" si="313"/>
        <v>2022_6</v>
      </c>
      <c r="EX126" t="str">
        <f t="shared" si="313"/>
        <v>2022_6</v>
      </c>
      <c r="EY126" t="str">
        <f t="shared" si="313"/>
        <v>2022_6</v>
      </c>
      <c r="FB126" s="10" t="s">
        <v>37</v>
      </c>
      <c r="FC126">
        <f t="shared" si="305"/>
        <v>0</v>
      </c>
      <c r="FD126">
        <f t="shared" si="255"/>
        <v>0</v>
      </c>
      <c r="FE126">
        <f t="shared" si="256"/>
        <v>0</v>
      </c>
      <c r="FF126">
        <f t="shared" si="257"/>
        <v>0</v>
      </c>
      <c r="FG126">
        <f t="shared" si="258"/>
        <v>0</v>
      </c>
      <c r="FH126">
        <f t="shared" si="259"/>
        <v>0</v>
      </c>
      <c r="FI126">
        <f t="shared" si="260"/>
        <v>0</v>
      </c>
      <c r="FJ126">
        <f t="shared" si="261"/>
        <v>0</v>
      </c>
      <c r="FK126">
        <f t="shared" si="262"/>
        <v>0</v>
      </c>
      <c r="FL126">
        <f t="shared" si="263"/>
        <v>0</v>
      </c>
      <c r="FM126">
        <f t="shared" si="264"/>
        <v>0</v>
      </c>
      <c r="FN126">
        <f t="shared" si="265"/>
        <v>0</v>
      </c>
      <c r="FO126">
        <f t="shared" si="266"/>
        <v>0</v>
      </c>
      <c r="FP126">
        <f t="shared" si="267"/>
        <v>0</v>
      </c>
      <c r="FQ126">
        <f t="shared" si="268"/>
        <v>0</v>
      </c>
      <c r="FR126">
        <f t="shared" si="269"/>
        <v>0</v>
      </c>
      <c r="FS126">
        <f t="shared" si="270"/>
        <v>0</v>
      </c>
      <c r="FT126">
        <f t="shared" si="271"/>
        <v>0</v>
      </c>
      <c r="FU126">
        <f t="shared" si="272"/>
        <v>0</v>
      </c>
      <c r="FV126">
        <f t="shared" si="273"/>
        <v>0</v>
      </c>
      <c r="FW126">
        <f t="shared" si="274"/>
        <v>0</v>
      </c>
      <c r="FX126">
        <f t="shared" si="275"/>
        <v>0</v>
      </c>
      <c r="FY126">
        <f t="shared" si="276"/>
        <v>0</v>
      </c>
      <c r="FZ126">
        <f t="shared" si="277"/>
        <v>0</v>
      </c>
      <c r="GA126">
        <f t="shared" si="278"/>
        <v>0</v>
      </c>
      <c r="GB126">
        <f t="shared" si="279"/>
        <v>0</v>
      </c>
      <c r="GC126">
        <f t="shared" si="280"/>
        <v>1</v>
      </c>
      <c r="GD126">
        <f t="shared" si="281"/>
        <v>1</v>
      </c>
      <c r="GE126">
        <f t="shared" si="282"/>
        <v>1</v>
      </c>
      <c r="GF126">
        <f t="shared" si="283"/>
        <v>1</v>
      </c>
      <c r="GG126">
        <f t="shared" si="284"/>
        <v>1</v>
      </c>
      <c r="GH126">
        <f t="shared" si="285"/>
        <v>1</v>
      </c>
      <c r="GI126">
        <f t="shared" si="286"/>
        <v>1</v>
      </c>
      <c r="GJ126">
        <f t="shared" si="287"/>
        <v>1</v>
      </c>
      <c r="GK126">
        <f t="shared" si="288"/>
        <v>1</v>
      </c>
      <c r="GL126">
        <f t="shared" si="289"/>
        <v>1</v>
      </c>
      <c r="GM126">
        <f t="shared" si="290"/>
        <v>1</v>
      </c>
      <c r="GN126">
        <f t="shared" si="291"/>
        <v>1</v>
      </c>
      <c r="GO126">
        <f t="shared" si="292"/>
        <v>1</v>
      </c>
      <c r="GP126">
        <f t="shared" si="293"/>
        <v>1</v>
      </c>
      <c r="GQ126">
        <f t="shared" si="294"/>
        <v>1</v>
      </c>
      <c r="GR126">
        <f t="shared" si="295"/>
        <v>1</v>
      </c>
      <c r="GS126">
        <f t="shared" si="296"/>
        <v>1</v>
      </c>
      <c r="GT126">
        <f t="shared" si="297"/>
        <v>1</v>
      </c>
      <c r="GU126">
        <f t="shared" si="298"/>
        <v>1</v>
      </c>
      <c r="GX126" s="10"/>
    </row>
    <row r="127" spans="1:206" x14ac:dyDescent="0.3">
      <c r="A127" s="28" t="s">
        <v>124</v>
      </c>
      <c r="B127" s="81"/>
      <c r="C127" s="28">
        <v>3121405000</v>
      </c>
      <c r="D127" s="28" t="s">
        <v>439</v>
      </c>
      <c r="E127" s="28" t="s">
        <v>39</v>
      </c>
      <c r="F127" s="28" t="s">
        <v>35</v>
      </c>
      <c r="G127" s="28" t="s">
        <v>161</v>
      </c>
      <c r="H127" s="10">
        <v>44730</v>
      </c>
      <c r="I127" s="9">
        <f t="shared" si="299"/>
        <v>2022</v>
      </c>
      <c r="J127" s="9">
        <f t="shared" si="300"/>
        <v>6</v>
      </c>
      <c r="K127" s="9" t="str">
        <f t="shared" si="301"/>
        <v>2022_6</v>
      </c>
      <c r="L127">
        <f>MAX(0,VLOOKUP($K127,lookups!$A$1:$B$45,2,0)-12)</f>
        <v>14</v>
      </c>
      <c r="M127" s="40">
        <f t="shared" si="302"/>
        <v>44713</v>
      </c>
      <c r="N127" s="10" t="s">
        <v>37</v>
      </c>
      <c r="O127" t="str">
        <f ca="1">IF(OR($L127&gt;O$4,O$4&gt;$L127+23),"",OFFSET(Electric!$L118,0,-'Electric Calendarize'!$L127+'Electric Calendarize'!O$4+1))</f>
        <v/>
      </c>
      <c r="P127" t="str">
        <f ca="1">IF(OR($L127&gt;P$4,P$4&gt;$L127+23),"",OFFSET(Electric!$L118,0,-'Electric Calendarize'!$L127+'Electric Calendarize'!P$4+1))</f>
        <v/>
      </c>
      <c r="Q127" t="str">
        <f ca="1">IF(OR($L127&gt;Q$4,Q$4&gt;$L127+23),"",OFFSET(Electric!$L118,0,-'Electric Calendarize'!$L127+'Electric Calendarize'!Q$4+1))</f>
        <v/>
      </c>
      <c r="R127" t="str">
        <f ca="1">IF(OR($L127&gt;R$4,R$4&gt;$L127+23),"",OFFSET(Electric!$L118,0,-'Electric Calendarize'!$L127+'Electric Calendarize'!R$4+1))</f>
        <v/>
      </c>
      <c r="S127" t="str">
        <f ca="1">IF(OR($L127&gt;S$4,S$4&gt;$L127+23),"",OFFSET(Electric!$L118,0,-'Electric Calendarize'!$L127+'Electric Calendarize'!S$4+1))</f>
        <v/>
      </c>
      <c r="T127" t="str">
        <f ca="1">IF(OR($L127&gt;T$4,T$4&gt;$L127+23),"",OFFSET(Electric!$L118,0,-'Electric Calendarize'!$L127+'Electric Calendarize'!T$4+1))</f>
        <v/>
      </c>
      <c r="U127" t="str">
        <f ca="1">IF(OR($L127&gt;U$4,U$4&gt;$L127+23),"",OFFSET(Electric!$L118,0,-'Electric Calendarize'!$L127+'Electric Calendarize'!U$4+1))</f>
        <v/>
      </c>
      <c r="V127" t="str">
        <f ca="1">IF(OR($L127&gt;V$4,V$4&gt;$L127+23),"",OFFSET(Electric!$L118,0,-'Electric Calendarize'!$L127+'Electric Calendarize'!V$4+1))</f>
        <v/>
      </c>
      <c r="W127" t="str">
        <f ca="1">IF(OR($L127&gt;W$4,W$4&gt;$L127+23),"",OFFSET(Electric!$L118,0,-'Electric Calendarize'!$L127+'Electric Calendarize'!W$4+1))</f>
        <v/>
      </c>
      <c r="X127" t="str">
        <f ca="1">IF(OR($L127&gt;X$4,X$4&gt;$L127+23),"",OFFSET(Electric!$L118,0,-'Electric Calendarize'!$L127+'Electric Calendarize'!X$4+1))</f>
        <v/>
      </c>
      <c r="Y127" t="str">
        <f ca="1">IF(OR($L127&gt;Y$4,Y$4&gt;$L127+23),"",OFFSET(Electric!$L118,0,-'Electric Calendarize'!$L127+'Electric Calendarize'!Y$4+1))</f>
        <v/>
      </c>
      <c r="Z127" t="str">
        <f ca="1">IF(OR($L127&gt;Z$4,Z$4&gt;$L127+23),"",OFFSET(Electric!$L118,0,-'Electric Calendarize'!$L127+'Electric Calendarize'!Z$4+1))</f>
        <v/>
      </c>
      <c r="AA127" t="str">
        <f ca="1">IF(OR($L127&gt;AA$4,AA$4&gt;$L127+23),"",OFFSET(Electric!$L118,0,-'Electric Calendarize'!$L127+'Electric Calendarize'!AA$4+1))</f>
        <v/>
      </c>
      <c r="AB127" t="str">
        <f ca="1">IF(OR($L127&gt;AB$4,AB$4&gt;$L127+23),"",OFFSET(Electric!$L118,0,-'Electric Calendarize'!$L127+'Electric Calendarize'!AB$4+1))</f>
        <v/>
      </c>
      <c r="AC127">
        <f ca="1">IF(OR($L127&gt;AC$4,AC$4&gt;$L127+23),"",OFFSET(Electric!$L118,0,-'Electric Calendarize'!$L127+'Electric Calendarize'!AC$4+1))</f>
        <v>230</v>
      </c>
      <c r="AD127">
        <f ca="1">IF(OR($L127&gt;AD$4,AD$4&gt;$L127+23),"",OFFSET(Electric!$L118,0,-'Electric Calendarize'!$L127+'Electric Calendarize'!AD$4+1))</f>
        <v>365</v>
      </c>
      <c r="AE127">
        <f ca="1">IF(OR($L127&gt;AE$4,AE$4&gt;$L127+23),"",OFFSET(Electric!$L118,0,-'Electric Calendarize'!$L127+'Electric Calendarize'!AE$4+1))</f>
        <v>488</v>
      </c>
      <c r="AF127">
        <f ca="1">IF(OR($L127&gt;AF$4,AF$4&gt;$L127+23),"",OFFSET(Electric!$L118,0,-'Electric Calendarize'!$L127+'Electric Calendarize'!AF$4+1))</f>
        <v>505</v>
      </c>
      <c r="AG127">
        <f ca="1">IF(OR($L127&gt;AG$4,AG$4&gt;$L127+23),"",OFFSET(Electric!$L118,0,-'Electric Calendarize'!$L127+'Electric Calendarize'!AG$4+1))</f>
        <v>313</v>
      </c>
      <c r="AH127">
        <f ca="1">IF(OR($L127&gt;AH$4,AH$4&gt;$L127+23),"",OFFSET(Electric!$L118,0,-'Electric Calendarize'!$L127+'Electric Calendarize'!AH$4+1))</f>
        <v>322</v>
      </c>
      <c r="AI127">
        <f ca="1">IF(OR($L127&gt;AI$4,AI$4&gt;$L127+23),"",OFFSET(Electric!$L118,0,-'Electric Calendarize'!$L127+'Electric Calendarize'!AI$4+1))</f>
        <v>382</v>
      </c>
      <c r="AJ127">
        <f ca="1">IF(OR($L127&gt;AJ$4,AJ$4&gt;$L127+23),"",OFFSET(Electric!$L118,0,-'Electric Calendarize'!$L127+'Electric Calendarize'!AJ$4+1))</f>
        <v>284</v>
      </c>
      <c r="AK127">
        <f ca="1">IF(OR($L127&gt;AK$4,AK$4&gt;$L127+23),"",OFFSET(Electric!$L118,0,-'Electric Calendarize'!$L127+'Electric Calendarize'!AK$4+1))</f>
        <v>261</v>
      </c>
      <c r="AL127">
        <f ca="1">IF(OR($L127&gt;AL$4,AL$4&gt;$L127+23),"",OFFSET(Electric!$L118,0,-'Electric Calendarize'!$L127+'Electric Calendarize'!AL$4+1))</f>
        <v>259</v>
      </c>
      <c r="AM127">
        <f ca="1">IF(OR($L127&gt;AM$4,AM$4&gt;$L127+23),"",OFFSET(Electric!$L118,0,-'Electric Calendarize'!$L127+'Electric Calendarize'!AM$4+1))</f>
        <v>208</v>
      </c>
      <c r="AN127">
        <f ca="1">IF(OR($L127&gt;AN$4,AN$4&gt;$L127+23),"",OFFSET(Electric!$L118,0,-'Electric Calendarize'!$L127+'Electric Calendarize'!AN$4+1))</f>
        <v>209</v>
      </c>
      <c r="AO127">
        <f ca="1">IF(OR($L127&gt;AO$4,AO$4&gt;$L127+23),"",OFFSET(Electric!$L118,0,-'Electric Calendarize'!$L127+'Electric Calendarize'!AO$4+1))</f>
        <v>210</v>
      </c>
      <c r="AP127">
        <f ca="1">IF(OR($L127&gt;AP$4,AP$4&gt;$L127+23),"",OFFSET(Electric!$L118,0,-'Electric Calendarize'!$L127+'Electric Calendarize'!AP$4+1))</f>
        <v>310</v>
      </c>
      <c r="AQ127">
        <f ca="1">IF(OR($L127&gt;AQ$4,AQ$4&gt;$L127+23),"",OFFSET(Electric!$L118,0,-'Electric Calendarize'!$L127+'Electric Calendarize'!AQ$4+1))</f>
        <v>380</v>
      </c>
      <c r="AR127">
        <f ca="1">IF(OR($L127&gt;AR$4,AR$4&gt;$L127+23),"",OFFSET(Electric!$L118,0,-'Electric Calendarize'!$L127+'Electric Calendarize'!AR$4+1))</f>
        <v>265</v>
      </c>
      <c r="AS127">
        <f ca="1">IF(OR($L127&gt;AS$4,AS$4&gt;$L127+23),"",OFFSET(Electric!$L118,0,-'Electric Calendarize'!$L127+'Electric Calendarize'!AS$4+1))</f>
        <v>250</v>
      </c>
      <c r="AT127">
        <f ca="1">IF(OR($L127&gt;AT$4,AT$4&gt;$L127+23),"",OFFSET(Electric!$L118,0,-'Electric Calendarize'!$L127+'Electric Calendarize'!AT$4+1))</f>
        <v>572</v>
      </c>
      <c r="AU127">
        <f ca="1">IF(OR($L127&gt;AU$4,AU$4&gt;$L127+23),"",OFFSET(Electric!$L118,0,-'Electric Calendarize'!$L127+'Electric Calendarize'!AU$4+1))</f>
        <v>1768</v>
      </c>
      <c r="AV127">
        <f ca="1">IF(OR($L127&gt;AV$4,AV$4&gt;$L127+23),"",OFFSET(Electric!$L118,0,-'Electric Calendarize'!$L127+'Electric Calendarize'!AV$4+1))</f>
        <v>1308</v>
      </c>
      <c r="AW127">
        <f ca="1">IF(OR($L127&gt;AW$4,AW$4&gt;$L127+23),"",OFFSET(Electric!$L118,0,-'Electric Calendarize'!$L127+'Electric Calendarize'!AW$4+1))</f>
        <v>1041</v>
      </c>
      <c r="AX127">
        <f ca="1">IF(OR($L127&gt;AX$4,AX$4&gt;$L127+23),"",OFFSET(Electric!$L118,0,-'Electric Calendarize'!$L127+'Electric Calendarize'!AX$4+1))</f>
        <v>982</v>
      </c>
      <c r="AY127">
        <f ca="1">IF(OR($L127&gt;AY$4,AY$4&gt;$L127+23),"",OFFSET(Electric!$L118,0,-'Electric Calendarize'!$L127+'Electric Calendarize'!AY$4+1))</f>
        <v>453</v>
      </c>
      <c r="AZ127">
        <f ca="1">IF(OR($L127&gt;AZ$4,AZ$4&gt;$L127+23),"",OFFSET(Electric!$L118,0,-'Electric Calendarize'!$L127+'Electric Calendarize'!AZ$4+1))</f>
        <v>327</v>
      </c>
      <c r="BA127" t="str">
        <f ca="1">IF(OR($L127&gt;BA$4,BA$4&gt;$L127+23),"",OFFSET(Electric!$L118,0,-'Electric Calendarize'!$L127+'Electric Calendarize'!BA$4+1))</f>
        <v/>
      </c>
      <c r="BB127" t="str">
        <f ca="1">IF(OR($L127&gt;BB$4,BB$4&gt;$L127+23),"",OFFSET(Electric!$L118,0,-'Electric Calendarize'!$L127+'Electric Calendarize'!BB$4+1))</f>
        <v/>
      </c>
      <c r="BC127" t="str">
        <f ca="1">IF(OR($L127&gt;BC$4,BC$4&gt;$L127+23),"",OFFSET(Electric!$L118,0,-'Electric Calendarize'!$L127+'Electric Calendarize'!BC$4+1))</f>
        <v/>
      </c>
      <c r="BD127" t="str">
        <f ca="1">IF(OR($L127&gt;BD$4,BD$4&gt;$L127+23),"",OFFSET(Electric!$L118,0,-'Electric Calendarize'!$L127+'Electric Calendarize'!BD$4+1))</f>
        <v/>
      </c>
      <c r="BE127" t="str">
        <f ca="1">IF(OR($L127&gt;BE$4,BE$4&gt;$L127+23),"",OFFSET(Electric!$L118,0,-'Electric Calendarize'!$L127+'Electric Calendarize'!BE$4+1))</f>
        <v/>
      </c>
      <c r="BF127" t="str">
        <f ca="1">IF(OR($L127&gt;BF$4,BF$4&gt;$L127+23),"",OFFSET(Electric!$L118,0,-'Electric Calendarize'!$L127+'Electric Calendarize'!BF$4+1))</f>
        <v/>
      </c>
      <c r="BG127" t="str">
        <f ca="1">IF(OR($L127&gt;BG$4,BG$4&gt;$L127+23),"",OFFSET(Electric!$L118,0,-'Electric Calendarize'!$L127+'Electric Calendarize'!BG$4+1))</f>
        <v/>
      </c>
      <c r="BJ127" s="10" t="s">
        <v>37</v>
      </c>
      <c r="BK127">
        <f t="shared" si="303"/>
        <v>1</v>
      </c>
      <c r="BL127">
        <f t="shared" si="209"/>
        <v>0</v>
      </c>
      <c r="BM127">
        <f t="shared" si="210"/>
        <v>0</v>
      </c>
      <c r="BN127">
        <f t="shared" si="211"/>
        <v>0</v>
      </c>
      <c r="BO127">
        <f t="shared" si="212"/>
        <v>0</v>
      </c>
      <c r="BP127">
        <f t="shared" si="213"/>
        <v>0</v>
      </c>
      <c r="BQ127">
        <f t="shared" si="214"/>
        <v>0</v>
      </c>
      <c r="BR127">
        <f t="shared" si="215"/>
        <v>1</v>
      </c>
      <c r="BS127">
        <f t="shared" si="216"/>
        <v>1</v>
      </c>
      <c r="BT127">
        <f t="shared" si="217"/>
        <v>1</v>
      </c>
      <c r="BU127">
        <f t="shared" si="218"/>
        <v>1</v>
      </c>
      <c r="BV127">
        <f t="shared" si="219"/>
        <v>1</v>
      </c>
      <c r="BW127">
        <f t="shared" si="220"/>
        <v>1</v>
      </c>
      <c r="BX127">
        <f t="shared" si="221"/>
        <v>0</v>
      </c>
      <c r="BY127">
        <f t="shared" si="222"/>
        <v>0</v>
      </c>
      <c r="BZ127">
        <f t="shared" si="223"/>
        <v>0</v>
      </c>
      <c r="CA127">
        <f t="shared" si="224"/>
        <v>0</v>
      </c>
      <c r="CB127">
        <f t="shared" si="225"/>
        <v>0</v>
      </c>
      <c r="CC127">
        <f t="shared" si="226"/>
        <v>0</v>
      </c>
      <c r="CD127">
        <f t="shared" si="227"/>
        <v>1</v>
      </c>
      <c r="CE127">
        <f t="shared" si="228"/>
        <v>1</v>
      </c>
      <c r="CF127">
        <f t="shared" si="229"/>
        <v>1</v>
      </c>
      <c r="CG127">
        <f t="shared" si="230"/>
        <v>1</v>
      </c>
      <c r="CH127">
        <f t="shared" si="231"/>
        <v>1</v>
      </c>
      <c r="CI127">
        <f t="shared" si="232"/>
        <v>1</v>
      </c>
      <c r="CJ127">
        <f t="shared" si="233"/>
        <v>0</v>
      </c>
      <c r="CK127">
        <f t="shared" si="234"/>
        <v>0</v>
      </c>
      <c r="CL127">
        <f t="shared" si="235"/>
        <v>0</v>
      </c>
      <c r="CM127">
        <f t="shared" si="236"/>
        <v>0</v>
      </c>
      <c r="CN127">
        <f t="shared" si="237"/>
        <v>0</v>
      </c>
      <c r="CO127">
        <f t="shared" si="238"/>
        <v>0</v>
      </c>
      <c r="CP127">
        <f t="shared" si="239"/>
        <v>1</v>
      </c>
      <c r="CQ127">
        <f t="shared" si="240"/>
        <v>1</v>
      </c>
      <c r="CR127">
        <f t="shared" si="241"/>
        <v>1</v>
      </c>
      <c r="CS127">
        <f t="shared" si="242"/>
        <v>1</v>
      </c>
      <c r="CT127">
        <f t="shared" si="243"/>
        <v>1</v>
      </c>
      <c r="CU127">
        <f t="shared" si="244"/>
        <v>1</v>
      </c>
      <c r="CV127">
        <f t="shared" si="245"/>
        <v>0</v>
      </c>
      <c r="CW127">
        <f t="shared" si="246"/>
        <v>0</v>
      </c>
      <c r="CX127">
        <f t="shared" si="247"/>
        <v>0</v>
      </c>
      <c r="CY127">
        <f t="shared" si="248"/>
        <v>0</v>
      </c>
      <c r="CZ127">
        <f t="shared" si="249"/>
        <v>0</v>
      </c>
      <c r="DA127">
        <f t="shared" si="250"/>
        <v>0</v>
      </c>
      <c r="DB127">
        <f t="shared" si="251"/>
        <v>1</v>
      </c>
      <c r="DC127">
        <f t="shared" si="252"/>
        <v>1</v>
      </c>
      <c r="DF127" s="10" t="s">
        <v>37</v>
      </c>
      <c r="DG127" t="str">
        <f t="shared" si="315"/>
        <v>2022_6</v>
      </c>
      <c r="DH127" t="str">
        <f t="shared" si="315"/>
        <v>2022_6</v>
      </c>
      <c r="DI127" t="str">
        <f t="shared" si="315"/>
        <v>2022_6</v>
      </c>
      <c r="DJ127" t="str">
        <f t="shared" si="315"/>
        <v>2022_6</v>
      </c>
      <c r="DK127" t="str">
        <f t="shared" si="315"/>
        <v>2022_6</v>
      </c>
      <c r="DL127" t="str">
        <f t="shared" si="315"/>
        <v>2022_6</v>
      </c>
      <c r="DM127" t="str">
        <f t="shared" si="315"/>
        <v>2022_6</v>
      </c>
      <c r="DN127" t="str">
        <f t="shared" si="315"/>
        <v>2022_6</v>
      </c>
      <c r="DO127" t="str">
        <f t="shared" si="315"/>
        <v>2022_6</v>
      </c>
      <c r="DP127" t="str">
        <f t="shared" si="315"/>
        <v>2022_6</v>
      </c>
      <c r="DQ127" t="str">
        <f t="shared" si="315"/>
        <v>2022_6</v>
      </c>
      <c r="DR127" t="str">
        <f t="shared" si="315"/>
        <v>2022_6</v>
      </c>
      <c r="DS127" t="str">
        <f t="shared" si="315"/>
        <v>2022_6</v>
      </c>
      <c r="DT127" t="str">
        <f t="shared" si="315"/>
        <v>2022_6</v>
      </c>
      <c r="DU127" t="str">
        <f t="shared" si="315"/>
        <v>2022_6</v>
      </c>
      <c r="DV127" t="str">
        <f t="shared" si="315"/>
        <v>2022_6</v>
      </c>
      <c r="DW127" t="str">
        <f t="shared" si="314"/>
        <v>2022_6</v>
      </c>
      <c r="DX127" t="str">
        <f t="shared" si="314"/>
        <v>2022_6</v>
      </c>
      <c r="DY127" t="str">
        <f t="shared" si="314"/>
        <v>2022_6</v>
      </c>
      <c r="DZ127" t="str">
        <f t="shared" si="314"/>
        <v>2022_6</v>
      </c>
      <c r="EA127" t="str">
        <f t="shared" si="314"/>
        <v>2022_6</v>
      </c>
      <c r="EB127" t="str">
        <f t="shared" si="314"/>
        <v>2022_6</v>
      </c>
      <c r="EC127" t="str">
        <f t="shared" si="314"/>
        <v>2022_6</v>
      </c>
      <c r="ED127" t="str">
        <f t="shared" si="314"/>
        <v>2022_6</v>
      </c>
      <c r="EE127" t="str">
        <f t="shared" si="314"/>
        <v>2022_6</v>
      </c>
      <c r="EF127" t="str">
        <f t="shared" si="314"/>
        <v>2022_6</v>
      </c>
      <c r="EG127" t="str">
        <f t="shared" si="314"/>
        <v>2022_6</v>
      </c>
      <c r="EH127" t="str">
        <f t="shared" si="314"/>
        <v>2022_6</v>
      </c>
      <c r="EI127" t="str">
        <f t="shared" si="314"/>
        <v>2022_6</v>
      </c>
      <c r="EJ127" t="str">
        <f t="shared" si="314"/>
        <v>2022_6</v>
      </c>
      <c r="EK127" t="str">
        <f t="shared" si="313"/>
        <v>2022_6</v>
      </c>
      <c r="EL127" t="str">
        <f t="shared" si="313"/>
        <v>2022_6</v>
      </c>
      <c r="EM127" t="str">
        <f t="shared" si="313"/>
        <v>2022_6</v>
      </c>
      <c r="EN127" t="str">
        <f t="shared" si="313"/>
        <v>2022_6</v>
      </c>
      <c r="EO127" t="str">
        <f t="shared" si="313"/>
        <v>2022_6</v>
      </c>
      <c r="EP127" t="str">
        <f t="shared" si="313"/>
        <v>2022_6</v>
      </c>
      <c r="EQ127" t="str">
        <f t="shared" si="313"/>
        <v>2022_6</v>
      </c>
      <c r="ER127" t="str">
        <f t="shared" si="313"/>
        <v>2022_6</v>
      </c>
      <c r="ES127" t="str">
        <f t="shared" si="313"/>
        <v>2022_6</v>
      </c>
      <c r="ET127" t="str">
        <f t="shared" si="313"/>
        <v>2022_6</v>
      </c>
      <c r="EU127" t="str">
        <f t="shared" si="313"/>
        <v>2022_6</v>
      </c>
      <c r="EV127" t="str">
        <f t="shared" si="313"/>
        <v>2022_6</v>
      </c>
      <c r="EW127" t="str">
        <f t="shared" si="313"/>
        <v>2022_6</v>
      </c>
      <c r="EX127" t="str">
        <f t="shared" si="313"/>
        <v>2022_6</v>
      </c>
      <c r="EY127" t="str">
        <f t="shared" si="313"/>
        <v>2022_6</v>
      </c>
      <c r="FB127" s="10" t="s">
        <v>37</v>
      </c>
      <c r="FC127">
        <f t="shared" si="305"/>
        <v>0</v>
      </c>
      <c r="FD127">
        <f t="shared" si="255"/>
        <v>0</v>
      </c>
      <c r="FE127">
        <f t="shared" si="256"/>
        <v>0</v>
      </c>
      <c r="FF127">
        <f t="shared" si="257"/>
        <v>0</v>
      </c>
      <c r="FG127">
        <f t="shared" si="258"/>
        <v>0</v>
      </c>
      <c r="FH127">
        <f t="shared" si="259"/>
        <v>0</v>
      </c>
      <c r="FI127">
        <f t="shared" si="260"/>
        <v>0</v>
      </c>
      <c r="FJ127">
        <f t="shared" si="261"/>
        <v>0</v>
      </c>
      <c r="FK127">
        <f t="shared" si="262"/>
        <v>0</v>
      </c>
      <c r="FL127">
        <f t="shared" si="263"/>
        <v>0</v>
      </c>
      <c r="FM127">
        <f t="shared" si="264"/>
        <v>0</v>
      </c>
      <c r="FN127">
        <f t="shared" si="265"/>
        <v>0</v>
      </c>
      <c r="FO127">
        <f t="shared" si="266"/>
        <v>0</v>
      </c>
      <c r="FP127">
        <f t="shared" si="267"/>
        <v>0</v>
      </c>
      <c r="FQ127">
        <f t="shared" si="268"/>
        <v>0</v>
      </c>
      <c r="FR127">
        <f t="shared" si="269"/>
        <v>0</v>
      </c>
      <c r="FS127">
        <f t="shared" si="270"/>
        <v>0</v>
      </c>
      <c r="FT127">
        <f t="shared" si="271"/>
        <v>0</v>
      </c>
      <c r="FU127">
        <f t="shared" si="272"/>
        <v>0</v>
      </c>
      <c r="FV127">
        <f t="shared" si="273"/>
        <v>0</v>
      </c>
      <c r="FW127">
        <f t="shared" si="274"/>
        <v>0</v>
      </c>
      <c r="FX127">
        <f t="shared" si="275"/>
        <v>0</v>
      </c>
      <c r="FY127">
        <f t="shared" si="276"/>
        <v>0</v>
      </c>
      <c r="FZ127">
        <f t="shared" si="277"/>
        <v>0</v>
      </c>
      <c r="GA127">
        <f t="shared" si="278"/>
        <v>0</v>
      </c>
      <c r="GB127">
        <f t="shared" si="279"/>
        <v>0</v>
      </c>
      <c r="GC127">
        <f t="shared" si="280"/>
        <v>1</v>
      </c>
      <c r="GD127">
        <f t="shared" si="281"/>
        <v>1</v>
      </c>
      <c r="GE127">
        <f t="shared" si="282"/>
        <v>1</v>
      </c>
      <c r="GF127">
        <f t="shared" si="283"/>
        <v>1</v>
      </c>
      <c r="GG127">
        <f t="shared" si="284"/>
        <v>1</v>
      </c>
      <c r="GH127">
        <f t="shared" si="285"/>
        <v>1</v>
      </c>
      <c r="GI127">
        <f t="shared" si="286"/>
        <v>1</v>
      </c>
      <c r="GJ127">
        <f t="shared" si="287"/>
        <v>1</v>
      </c>
      <c r="GK127">
        <f t="shared" si="288"/>
        <v>1</v>
      </c>
      <c r="GL127">
        <f t="shared" si="289"/>
        <v>1</v>
      </c>
      <c r="GM127">
        <f t="shared" si="290"/>
        <v>1</v>
      </c>
      <c r="GN127">
        <f t="shared" si="291"/>
        <v>1</v>
      </c>
      <c r="GO127">
        <f t="shared" si="292"/>
        <v>1</v>
      </c>
      <c r="GP127">
        <f t="shared" si="293"/>
        <v>1</v>
      </c>
      <c r="GQ127">
        <f t="shared" si="294"/>
        <v>1</v>
      </c>
      <c r="GR127">
        <f t="shared" si="295"/>
        <v>1</v>
      </c>
      <c r="GS127">
        <f t="shared" si="296"/>
        <v>1</v>
      </c>
      <c r="GT127">
        <f t="shared" si="297"/>
        <v>1</v>
      </c>
      <c r="GU127">
        <f t="shared" si="298"/>
        <v>1</v>
      </c>
      <c r="GX127" s="10"/>
    </row>
    <row r="128" spans="1:206" x14ac:dyDescent="0.3">
      <c r="A128" s="9" t="s">
        <v>33</v>
      </c>
      <c r="B128" s="80"/>
      <c r="C128" s="9">
        <v>3132560000</v>
      </c>
      <c r="D128" s="9" t="s">
        <v>440</v>
      </c>
      <c r="E128" s="9" t="s">
        <v>39</v>
      </c>
      <c r="F128" s="9" t="s">
        <v>35</v>
      </c>
      <c r="G128" s="9" t="s">
        <v>162</v>
      </c>
      <c r="H128" s="10">
        <v>44733</v>
      </c>
      <c r="I128" s="9">
        <f t="shared" si="299"/>
        <v>2022</v>
      </c>
      <c r="J128" s="9">
        <f t="shared" si="300"/>
        <v>6</v>
      </c>
      <c r="K128" s="9" t="str">
        <f t="shared" si="301"/>
        <v>2022_6</v>
      </c>
      <c r="L128">
        <f>MAX(0,VLOOKUP($K128,lookups!$A$1:$B$45,2,0)-12)</f>
        <v>14</v>
      </c>
      <c r="M128" s="40">
        <f t="shared" si="302"/>
        <v>44713</v>
      </c>
      <c r="N128" s="10" t="s">
        <v>37</v>
      </c>
      <c r="O128" t="str">
        <f ca="1">IF(OR($L128&gt;O$4,O$4&gt;$L128+23),"",OFFSET(Electric!$L119,0,-'Electric Calendarize'!$L128+'Electric Calendarize'!O$4+1))</f>
        <v/>
      </c>
      <c r="P128" t="str">
        <f ca="1">IF(OR($L128&gt;P$4,P$4&gt;$L128+23),"",OFFSET(Electric!$L119,0,-'Electric Calendarize'!$L128+'Electric Calendarize'!P$4+1))</f>
        <v/>
      </c>
      <c r="Q128" t="str">
        <f ca="1">IF(OR($L128&gt;Q$4,Q$4&gt;$L128+23),"",OFFSET(Electric!$L119,0,-'Electric Calendarize'!$L128+'Electric Calendarize'!Q$4+1))</f>
        <v/>
      </c>
      <c r="R128" t="str">
        <f ca="1">IF(OR($L128&gt;R$4,R$4&gt;$L128+23),"",OFFSET(Electric!$L119,0,-'Electric Calendarize'!$L128+'Electric Calendarize'!R$4+1))</f>
        <v/>
      </c>
      <c r="S128" t="str">
        <f ca="1">IF(OR($L128&gt;S$4,S$4&gt;$L128+23),"",OFFSET(Electric!$L119,0,-'Electric Calendarize'!$L128+'Electric Calendarize'!S$4+1))</f>
        <v/>
      </c>
      <c r="T128" t="str">
        <f ca="1">IF(OR($L128&gt;T$4,T$4&gt;$L128+23),"",OFFSET(Electric!$L119,0,-'Electric Calendarize'!$L128+'Electric Calendarize'!T$4+1))</f>
        <v/>
      </c>
      <c r="U128" t="str">
        <f ca="1">IF(OR($L128&gt;U$4,U$4&gt;$L128+23),"",OFFSET(Electric!$L119,0,-'Electric Calendarize'!$L128+'Electric Calendarize'!U$4+1))</f>
        <v/>
      </c>
      <c r="V128" t="str">
        <f ca="1">IF(OR($L128&gt;V$4,V$4&gt;$L128+23),"",OFFSET(Electric!$L119,0,-'Electric Calendarize'!$L128+'Electric Calendarize'!V$4+1))</f>
        <v/>
      </c>
      <c r="W128" t="str">
        <f ca="1">IF(OR($L128&gt;W$4,W$4&gt;$L128+23),"",OFFSET(Electric!$L119,0,-'Electric Calendarize'!$L128+'Electric Calendarize'!W$4+1))</f>
        <v/>
      </c>
      <c r="X128" t="str">
        <f ca="1">IF(OR($L128&gt;X$4,X$4&gt;$L128+23),"",OFFSET(Electric!$L119,0,-'Electric Calendarize'!$L128+'Electric Calendarize'!X$4+1))</f>
        <v/>
      </c>
      <c r="Y128" t="str">
        <f ca="1">IF(OR($L128&gt;Y$4,Y$4&gt;$L128+23),"",OFFSET(Electric!$L119,0,-'Electric Calendarize'!$L128+'Electric Calendarize'!Y$4+1))</f>
        <v/>
      </c>
      <c r="Z128" t="str">
        <f ca="1">IF(OR($L128&gt;Z$4,Z$4&gt;$L128+23),"",OFFSET(Electric!$L119,0,-'Electric Calendarize'!$L128+'Electric Calendarize'!Z$4+1))</f>
        <v/>
      </c>
      <c r="AA128" t="str">
        <f ca="1">IF(OR($L128&gt;AA$4,AA$4&gt;$L128+23),"",OFFSET(Electric!$L119,0,-'Electric Calendarize'!$L128+'Electric Calendarize'!AA$4+1))</f>
        <v/>
      </c>
      <c r="AB128" t="str">
        <f ca="1">IF(OR($L128&gt;AB$4,AB$4&gt;$L128+23),"",OFFSET(Electric!$L119,0,-'Electric Calendarize'!$L128+'Electric Calendarize'!AB$4+1))</f>
        <v/>
      </c>
      <c r="AC128">
        <f ca="1">IF(OR($L128&gt;AC$4,AC$4&gt;$L128+23),"",OFFSET(Electric!$L119,0,-'Electric Calendarize'!$L128+'Electric Calendarize'!AC$4+1))</f>
        <v>626</v>
      </c>
      <c r="AD128">
        <f ca="1">IF(OR($L128&gt;AD$4,AD$4&gt;$L128+23),"",OFFSET(Electric!$L119,0,-'Electric Calendarize'!$L128+'Electric Calendarize'!AD$4+1))</f>
        <v>775</v>
      </c>
      <c r="AE128">
        <f ca="1">IF(OR($L128&gt;AE$4,AE$4&gt;$L128+23),"",OFFSET(Electric!$L119,0,-'Electric Calendarize'!$L128+'Electric Calendarize'!AE$4+1))</f>
        <v>697</v>
      </c>
      <c r="AF128">
        <f ca="1">IF(OR($L128&gt;AF$4,AF$4&gt;$L128+23),"",OFFSET(Electric!$L119,0,-'Electric Calendarize'!$L128+'Electric Calendarize'!AF$4+1))</f>
        <v>605</v>
      </c>
      <c r="AG128">
        <f ca="1">IF(OR($L128&gt;AG$4,AG$4&gt;$L128+23),"",OFFSET(Electric!$L119,0,-'Electric Calendarize'!$L128+'Electric Calendarize'!AG$4+1))</f>
        <v>461</v>
      </c>
      <c r="AH128">
        <f ca="1">IF(OR($L128&gt;AH$4,AH$4&gt;$L128+23),"",OFFSET(Electric!$L119,0,-'Electric Calendarize'!$L128+'Electric Calendarize'!AH$4+1))</f>
        <v>535</v>
      </c>
      <c r="AI128">
        <f ca="1">IF(OR($L128&gt;AI$4,AI$4&gt;$L128+23),"",OFFSET(Electric!$L119,0,-'Electric Calendarize'!$L128+'Electric Calendarize'!AI$4+1))</f>
        <v>689</v>
      </c>
      <c r="AJ128">
        <f ca="1">IF(OR($L128&gt;AJ$4,AJ$4&gt;$L128+23),"",OFFSET(Electric!$L119,0,-'Electric Calendarize'!$L128+'Electric Calendarize'!AJ$4+1))</f>
        <v>527</v>
      </c>
      <c r="AK128">
        <f ca="1">IF(OR($L128&gt;AK$4,AK$4&gt;$L128+23),"",OFFSET(Electric!$L119,0,-'Electric Calendarize'!$L128+'Electric Calendarize'!AK$4+1))</f>
        <v>254</v>
      </c>
      <c r="AL128">
        <f ca="1">IF(OR($L128&gt;AL$4,AL$4&gt;$L128+23),"",OFFSET(Electric!$L119,0,-'Electric Calendarize'!$L128+'Electric Calendarize'!AL$4+1))</f>
        <v>255</v>
      </c>
      <c r="AM128">
        <f ca="1">IF(OR($L128&gt;AM$4,AM$4&gt;$L128+23),"",OFFSET(Electric!$L119,0,-'Electric Calendarize'!$L128+'Electric Calendarize'!AM$4+1))</f>
        <v>241</v>
      </c>
      <c r="AN128">
        <f ca="1">IF(OR($L128&gt;AN$4,AN$4&gt;$L128+23),"",OFFSET(Electric!$L119,0,-'Electric Calendarize'!$L128+'Electric Calendarize'!AN$4+1))</f>
        <v>467</v>
      </c>
      <c r="AO128">
        <f ca="1">IF(OR($L128&gt;AO$4,AO$4&gt;$L128+23),"",OFFSET(Electric!$L119,0,-'Electric Calendarize'!$L128+'Electric Calendarize'!AO$4+1))</f>
        <v>539</v>
      </c>
      <c r="AP128">
        <f ca="1">IF(OR($L128&gt;AP$4,AP$4&gt;$L128+23),"",OFFSET(Electric!$L119,0,-'Electric Calendarize'!$L128+'Electric Calendarize'!AP$4+1))</f>
        <v>800</v>
      </c>
      <c r="AQ128">
        <f ca="1">IF(OR($L128&gt;AQ$4,AQ$4&gt;$L128+23),"",OFFSET(Electric!$L119,0,-'Electric Calendarize'!$L128+'Electric Calendarize'!AQ$4+1))</f>
        <v>590</v>
      </c>
      <c r="AR128">
        <f ca="1">IF(OR($L128&gt;AR$4,AR$4&gt;$L128+23),"",OFFSET(Electric!$L119,0,-'Electric Calendarize'!$L128+'Electric Calendarize'!AR$4+1))</f>
        <v>553</v>
      </c>
      <c r="AS128">
        <f ca="1">IF(OR($L128&gt;AS$4,AS$4&gt;$L128+23),"",OFFSET(Electric!$L119,0,-'Electric Calendarize'!$L128+'Electric Calendarize'!AS$4+1))</f>
        <v>504</v>
      </c>
      <c r="AT128">
        <f ca="1">IF(OR($L128&gt;AT$4,AT$4&gt;$L128+23),"",OFFSET(Electric!$L119,0,-'Electric Calendarize'!$L128+'Electric Calendarize'!AT$4+1))</f>
        <v>448</v>
      </c>
      <c r="AU128">
        <f ca="1">IF(OR($L128&gt;AU$4,AU$4&gt;$L128+23),"",OFFSET(Electric!$L119,0,-'Electric Calendarize'!$L128+'Electric Calendarize'!AU$4+1))</f>
        <v>506</v>
      </c>
      <c r="AV128">
        <f ca="1">IF(OR($L128&gt;AV$4,AV$4&gt;$L128+23),"",OFFSET(Electric!$L119,0,-'Electric Calendarize'!$L128+'Electric Calendarize'!AV$4+1))</f>
        <v>397</v>
      </c>
      <c r="AW128">
        <f ca="1">IF(OR($L128&gt;AW$4,AW$4&gt;$L128+23),"",OFFSET(Electric!$L119,0,-'Electric Calendarize'!$L128+'Electric Calendarize'!AW$4+1))</f>
        <v>265</v>
      </c>
      <c r="AX128">
        <f ca="1">IF(OR($L128&gt;AX$4,AX$4&gt;$L128+23),"",OFFSET(Electric!$L119,0,-'Electric Calendarize'!$L128+'Electric Calendarize'!AX$4+1))</f>
        <v>261</v>
      </c>
      <c r="AY128">
        <f ca="1">IF(OR($L128&gt;AY$4,AY$4&gt;$L128+23),"",OFFSET(Electric!$L119,0,-'Electric Calendarize'!$L128+'Electric Calendarize'!AY$4+1))</f>
        <v>260</v>
      </c>
      <c r="AZ128">
        <f ca="1">IF(OR($L128&gt;AZ$4,AZ$4&gt;$L128+23),"",OFFSET(Electric!$L119,0,-'Electric Calendarize'!$L128+'Electric Calendarize'!AZ$4+1))</f>
        <v>378</v>
      </c>
      <c r="BA128" t="str">
        <f ca="1">IF(OR($L128&gt;BA$4,BA$4&gt;$L128+23),"",OFFSET(Electric!$L119,0,-'Electric Calendarize'!$L128+'Electric Calendarize'!BA$4+1))</f>
        <v/>
      </c>
      <c r="BB128" t="str">
        <f ca="1">IF(OR($L128&gt;BB$4,BB$4&gt;$L128+23),"",OFFSET(Electric!$L119,0,-'Electric Calendarize'!$L128+'Electric Calendarize'!BB$4+1))</f>
        <v/>
      </c>
      <c r="BC128" t="str">
        <f ca="1">IF(OR($L128&gt;BC$4,BC$4&gt;$L128+23),"",OFFSET(Electric!$L119,0,-'Electric Calendarize'!$L128+'Electric Calendarize'!BC$4+1))</f>
        <v/>
      </c>
      <c r="BD128" t="str">
        <f ca="1">IF(OR($L128&gt;BD$4,BD$4&gt;$L128+23),"",OFFSET(Electric!$L119,0,-'Electric Calendarize'!$L128+'Electric Calendarize'!BD$4+1))</f>
        <v/>
      </c>
      <c r="BE128" t="str">
        <f ca="1">IF(OR($L128&gt;BE$4,BE$4&gt;$L128+23),"",OFFSET(Electric!$L119,0,-'Electric Calendarize'!$L128+'Electric Calendarize'!BE$4+1))</f>
        <v/>
      </c>
      <c r="BF128" t="str">
        <f ca="1">IF(OR($L128&gt;BF$4,BF$4&gt;$L128+23),"",OFFSET(Electric!$L119,0,-'Electric Calendarize'!$L128+'Electric Calendarize'!BF$4+1))</f>
        <v/>
      </c>
      <c r="BG128" t="str">
        <f ca="1">IF(OR($L128&gt;BG$4,BG$4&gt;$L128+23),"",OFFSET(Electric!$L119,0,-'Electric Calendarize'!$L128+'Electric Calendarize'!BG$4+1))</f>
        <v/>
      </c>
      <c r="BJ128" s="10" t="s">
        <v>37</v>
      </c>
      <c r="BK128">
        <f t="shared" si="303"/>
        <v>1</v>
      </c>
      <c r="BL128">
        <f t="shared" si="209"/>
        <v>0</v>
      </c>
      <c r="BM128">
        <f t="shared" si="210"/>
        <v>0</v>
      </c>
      <c r="BN128">
        <f t="shared" si="211"/>
        <v>0</v>
      </c>
      <c r="BO128">
        <f t="shared" si="212"/>
        <v>0</v>
      </c>
      <c r="BP128">
        <f t="shared" si="213"/>
        <v>0</v>
      </c>
      <c r="BQ128">
        <f t="shared" si="214"/>
        <v>0</v>
      </c>
      <c r="BR128">
        <f t="shared" si="215"/>
        <v>1</v>
      </c>
      <c r="BS128">
        <f t="shared" si="216"/>
        <v>1</v>
      </c>
      <c r="BT128">
        <f t="shared" si="217"/>
        <v>1</v>
      </c>
      <c r="BU128">
        <f t="shared" si="218"/>
        <v>1</v>
      </c>
      <c r="BV128">
        <f t="shared" si="219"/>
        <v>1</v>
      </c>
      <c r="BW128">
        <f t="shared" si="220"/>
        <v>1</v>
      </c>
      <c r="BX128">
        <f t="shared" si="221"/>
        <v>0</v>
      </c>
      <c r="BY128">
        <f t="shared" si="222"/>
        <v>0</v>
      </c>
      <c r="BZ128">
        <f t="shared" si="223"/>
        <v>0</v>
      </c>
      <c r="CA128">
        <f t="shared" si="224"/>
        <v>0</v>
      </c>
      <c r="CB128">
        <f t="shared" si="225"/>
        <v>0</v>
      </c>
      <c r="CC128">
        <f t="shared" si="226"/>
        <v>0</v>
      </c>
      <c r="CD128">
        <f t="shared" si="227"/>
        <v>1</v>
      </c>
      <c r="CE128">
        <f t="shared" si="228"/>
        <v>1</v>
      </c>
      <c r="CF128">
        <f t="shared" si="229"/>
        <v>1</v>
      </c>
      <c r="CG128">
        <f t="shared" si="230"/>
        <v>1</v>
      </c>
      <c r="CH128">
        <f t="shared" si="231"/>
        <v>1</v>
      </c>
      <c r="CI128">
        <f t="shared" si="232"/>
        <v>1</v>
      </c>
      <c r="CJ128">
        <f t="shared" si="233"/>
        <v>0</v>
      </c>
      <c r="CK128">
        <f t="shared" si="234"/>
        <v>0</v>
      </c>
      <c r="CL128">
        <f t="shared" si="235"/>
        <v>0</v>
      </c>
      <c r="CM128">
        <f t="shared" si="236"/>
        <v>0</v>
      </c>
      <c r="CN128">
        <f t="shared" si="237"/>
        <v>0</v>
      </c>
      <c r="CO128">
        <f t="shared" si="238"/>
        <v>0</v>
      </c>
      <c r="CP128">
        <f t="shared" si="239"/>
        <v>1</v>
      </c>
      <c r="CQ128">
        <f t="shared" si="240"/>
        <v>1</v>
      </c>
      <c r="CR128">
        <f t="shared" si="241"/>
        <v>1</v>
      </c>
      <c r="CS128">
        <f t="shared" si="242"/>
        <v>1</v>
      </c>
      <c r="CT128">
        <f t="shared" si="243"/>
        <v>1</v>
      </c>
      <c r="CU128">
        <f t="shared" si="244"/>
        <v>1</v>
      </c>
      <c r="CV128">
        <f t="shared" si="245"/>
        <v>0</v>
      </c>
      <c r="CW128">
        <f t="shared" si="246"/>
        <v>0</v>
      </c>
      <c r="CX128">
        <f t="shared" si="247"/>
        <v>0</v>
      </c>
      <c r="CY128">
        <f t="shared" si="248"/>
        <v>0</v>
      </c>
      <c r="CZ128">
        <f t="shared" si="249"/>
        <v>0</v>
      </c>
      <c r="DA128">
        <f t="shared" si="250"/>
        <v>0</v>
      </c>
      <c r="DB128">
        <f t="shared" si="251"/>
        <v>1</v>
      </c>
      <c r="DC128">
        <f t="shared" si="252"/>
        <v>1</v>
      </c>
      <c r="DF128" s="10" t="s">
        <v>37</v>
      </c>
      <c r="DG128" t="str">
        <f t="shared" si="315"/>
        <v>2022_6</v>
      </c>
      <c r="DH128" t="str">
        <f t="shared" si="315"/>
        <v>2022_6</v>
      </c>
      <c r="DI128" t="str">
        <f t="shared" si="315"/>
        <v>2022_6</v>
      </c>
      <c r="DJ128" t="str">
        <f t="shared" si="315"/>
        <v>2022_6</v>
      </c>
      <c r="DK128" t="str">
        <f t="shared" si="315"/>
        <v>2022_6</v>
      </c>
      <c r="DL128" t="str">
        <f t="shared" si="315"/>
        <v>2022_6</v>
      </c>
      <c r="DM128" t="str">
        <f t="shared" si="315"/>
        <v>2022_6</v>
      </c>
      <c r="DN128" t="str">
        <f t="shared" si="315"/>
        <v>2022_6</v>
      </c>
      <c r="DO128" t="str">
        <f t="shared" si="315"/>
        <v>2022_6</v>
      </c>
      <c r="DP128" t="str">
        <f t="shared" si="315"/>
        <v>2022_6</v>
      </c>
      <c r="DQ128" t="str">
        <f t="shared" si="315"/>
        <v>2022_6</v>
      </c>
      <c r="DR128" t="str">
        <f t="shared" si="315"/>
        <v>2022_6</v>
      </c>
      <c r="DS128" t="str">
        <f t="shared" si="315"/>
        <v>2022_6</v>
      </c>
      <c r="DT128" t="str">
        <f t="shared" si="315"/>
        <v>2022_6</v>
      </c>
      <c r="DU128" t="str">
        <f t="shared" si="315"/>
        <v>2022_6</v>
      </c>
      <c r="DV128" t="str">
        <f t="shared" si="315"/>
        <v>2022_6</v>
      </c>
      <c r="DW128" t="str">
        <f t="shared" si="314"/>
        <v>2022_6</v>
      </c>
      <c r="DX128" t="str">
        <f t="shared" si="314"/>
        <v>2022_6</v>
      </c>
      <c r="DY128" t="str">
        <f t="shared" si="314"/>
        <v>2022_6</v>
      </c>
      <c r="DZ128" t="str">
        <f t="shared" si="314"/>
        <v>2022_6</v>
      </c>
      <c r="EA128" t="str">
        <f t="shared" si="314"/>
        <v>2022_6</v>
      </c>
      <c r="EB128" t="str">
        <f t="shared" si="314"/>
        <v>2022_6</v>
      </c>
      <c r="EC128" t="str">
        <f t="shared" si="314"/>
        <v>2022_6</v>
      </c>
      <c r="ED128" t="str">
        <f t="shared" si="314"/>
        <v>2022_6</v>
      </c>
      <c r="EE128" t="str">
        <f t="shared" si="314"/>
        <v>2022_6</v>
      </c>
      <c r="EF128" t="str">
        <f t="shared" si="314"/>
        <v>2022_6</v>
      </c>
      <c r="EG128" t="str">
        <f t="shared" si="314"/>
        <v>2022_6</v>
      </c>
      <c r="EH128" t="str">
        <f t="shared" si="314"/>
        <v>2022_6</v>
      </c>
      <c r="EI128" t="str">
        <f t="shared" si="314"/>
        <v>2022_6</v>
      </c>
      <c r="EJ128" t="str">
        <f t="shared" si="314"/>
        <v>2022_6</v>
      </c>
      <c r="EK128" t="str">
        <f t="shared" si="313"/>
        <v>2022_6</v>
      </c>
      <c r="EL128" t="str">
        <f t="shared" si="313"/>
        <v>2022_6</v>
      </c>
      <c r="EM128" t="str">
        <f t="shared" si="313"/>
        <v>2022_6</v>
      </c>
      <c r="EN128" t="str">
        <f t="shared" si="313"/>
        <v>2022_6</v>
      </c>
      <c r="EO128" t="str">
        <f t="shared" si="313"/>
        <v>2022_6</v>
      </c>
      <c r="EP128" t="str">
        <f t="shared" si="313"/>
        <v>2022_6</v>
      </c>
      <c r="EQ128" t="str">
        <f t="shared" si="313"/>
        <v>2022_6</v>
      </c>
      <c r="ER128" t="str">
        <f t="shared" si="313"/>
        <v>2022_6</v>
      </c>
      <c r="ES128" t="str">
        <f t="shared" si="313"/>
        <v>2022_6</v>
      </c>
      <c r="ET128" t="str">
        <f t="shared" si="313"/>
        <v>2022_6</v>
      </c>
      <c r="EU128" t="str">
        <f t="shared" si="313"/>
        <v>2022_6</v>
      </c>
      <c r="EV128" t="str">
        <f t="shared" si="313"/>
        <v>2022_6</v>
      </c>
      <c r="EW128" t="str">
        <f t="shared" si="313"/>
        <v>2022_6</v>
      </c>
      <c r="EX128" t="str">
        <f t="shared" si="313"/>
        <v>2022_6</v>
      </c>
      <c r="EY128" t="str">
        <f t="shared" si="313"/>
        <v>2022_6</v>
      </c>
      <c r="FB128" s="10" t="s">
        <v>37</v>
      </c>
      <c r="FC128">
        <f t="shared" si="305"/>
        <v>0</v>
      </c>
      <c r="FD128">
        <f t="shared" si="255"/>
        <v>0</v>
      </c>
      <c r="FE128">
        <f t="shared" si="256"/>
        <v>0</v>
      </c>
      <c r="FF128">
        <f t="shared" si="257"/>
        <v>0</v>
      </c>
      <c r="FG128">
        <f t="shared" si="258"/>
        <v>0</v>
      </c>
      <c r="FH128">
        <f t="shared" si="259"/>
        <v>0</v>
      </c>
      <c r="FI128">
        <f t="shared" si="260"/>
        <v>0</v>
      </c>
      <c r="FJ128">
        <f t="shared" si="261"/>
        <v>0</v>
      </c>
      <c r="FK128">
        <f t="shared" si="262"/>
        <v>0</v>
      </c>
      <c r="FL128">
        <f t="shared" si="263"/>
        <v>0</v>
      </c>
      <c r="FM128">
        <f t="shared" si="264"/>
        <v>0</v>
      </c>
      <c r="FN128">
        <f t="shared" si="265"/>
        <v>0</v>
      </c>
      <c r="FO128">
        <f t="shared" si="266"/>
        <v>0</v>
      </c>
      <c r="FP128">
        <f t="shared" si="267"/>
        <v>0</v>
      </c>
      <c r="FQ128">
        <f t="shared" si="268"/>
        <v>0</v>
      </c>
      <c r="FR128">
        <f t="shared" si="269"/>
        <v>0</v>
      </c>
      <c r="FS128">
        <f t="shared" si="270"/>
        <v>0</v>
      </c>
      <c r="FT128">
        <f t="shared" si="271"/>
        <v>0</v>
      </c>
      <c r="FU128">
        <f t="shared" si="272"/>
        <v>0</v>
      </c>
      <c r="FV128">
        <f t="shared" si="273"/>
        <v>0</v>
      </c>
      <c r="FW128">
        <f t="shared" si="274"/>
        <v>0</v>
      </c>
      <c r="FX128">
        <f t="shared" si="275"/>
        <v>0</v>
      </c>
      <c r="FY128">
        <f t="shared" si="276"/>
        <v>0</v>
      </c>
      <c r="FZ128">
        <f t="shared" si="277"/>
        <v>0</v>
      </c>
      <c r="GA128">
        <f t="shared" si="278"/>
        <v>0</v>
      </c>
      <c r="GB128">
        <f t="shared" si="279"/>
        <v>0</v>
      </c>
      <c r="GC128">
        <f t="shared" si="280"/>
        <v>1</v>
      </c>
      <c r="GD128">
        <f t="shared" si="281"/>
        <v>1</v>
      </c>
      <c r="GE128">
        <f t="shared" si="282"/>
        <v>1</v>
      </c>
      <c r="GF128">
        <f t="shared" si="283"/>
        <v>1</v>
      </c>
      <c r="GG128">
        <f t="shared" si="284"/>
        <v>1</v>
      </c>
      <c r="GH128">
        <f t="shared" si="285"/>
        <v>1</v>
      </c>
      <c r="GI128">
        <f t="shared" si="286"/>
        <v>1</v>
      </c>
      <c r="GJ128">
        <f t="shared" si="287"/>
        <v>1</v>
      </c>
      <c r="GK128">
        <f t="shared" si="288"/>
        <v>1</v>
      </c>
      <c r="GL128">
        <f t="shared" si="289"/>
        <v>1</v>
      </c>
      <c r="GM128">
        <f t="shared" si="290"/>
        <v>1</v>
      </c>
      <c r="GN128">
        <f t="shared" si="291"/>
        <v>1</v>
      </c>
      <c r="GO128">
        <f t="shared" si="292"/>
        <v>1</v>
      </c>
      <c r="GP128">
        <f t="shared" si="293"/>
        <v>1</v>
      </c>
      <c r="GQ128">
        <f t="shared" si="294"/>
        <v>1</v>
      </c>
      <c r="GR128">
        <f t="shared" si="295"/>
        <v>1</v>
      </c>
      <c r="GS128">
        <f t="shared" si="296"/>
        <v>1</v>
      </c>
      <c r="GT128">
        <f t="shared" si="297"/>
        <v>1</v>
      </c>
      <c r="GU128">
        <f t="shared" si="298"/>
        <v>1</v>
      </c>
      <c r="GX128" s="10"/>
    </row>
    <row r="129" spans="1:206" x14ac:dyDescent="0.3">
      <c r="A129" s="9" t="s">
        <v>33</v>
      </c>
      <c r="B129" s="80"/>
      <c r="C129" s="9">
        <v>3060470002</v>
      </c>
      <c r="D129" s="9" t="s">
        <v>441</v>
      </c>
      <c r="E129" s="9" t="s">
        <v>34</v>
      </c>
      <c r="F129" s="9" t="s">
        <v>35</v>
      </c>
      <c r="G129" s="9" t="s">
        <v>163</v>
      </c>
      <c r="H129" s="10">
        <v>44734</v>
      </c>
      <c r="I129" s="9">
        <f t="shared" si="299"/>
        <v>2022</v>
      </c>
      <c r="J129" s="9">
        <f t="shared" si="300"/>
        <v>6</v>
      </c>
      <c r="K129" s="9" t="str">
        <f t="shared" si="301"/>
        <v>2022_6</v>
      </c>
      <c r="L129">
        <f>MAX(0,VLOOKUP($K129,lookups!$A$1:$B$45,2,0)-12)</f>
        <v>14</v>
      </c>
      <c r="M129" s="40">
        <f t="shared" si="302"/>
        <v>44713</v>
      </c>
      <c r="N129" s="10" t="s">
        <v>37</v>
      </c>
      <c r="O129" t="str">
        <f ca="1">IF(OR($L129&gt;O$4,O$4&gt;$L129+23),"",OFFSET(Electric!$L120,0,-'Electric Calendarize'!$L129+'Electric Calendarize'!O$4+1))</f>
        <v/>
      </c>
      <c r="P129" t="str">
        <f ca="1">IF(OR($L129&gt;P$4,P$4&gt;$L129+23),"",OFFSET(Electric!$L120,0,-'Electric Calendarize'!$L129+'Electric Calendarize'!P$4+1))</f>
        <v/>
      </c>
      <c r="Q129" t="str">
        <f ca="1">IF(OR($L129&gt;Q$4,Q$4&gt;$L129+23),"",OFFSET(Electric!$L120,0,-'Electric Calendarize'!$L129+'Electric Calendarize'!Q$4+1))</f>
        <v/>
      </c>
      <c r="R129" t="str">
        <f ca="1">IF(OR($L129&gt;R$4,R$4&gt;$L129+23),"",OFFSET(Electric!$L120,0,-'Electric Calendarize'!$L129+'Electric Calendarize'!R$4+1))</f>
        <v/>
      </c>
      <c r="S129" t="str">
        <f ca="1">IF(OR($L129&gt;S$4,S$4&gt;$L129+23),"",OFFSET(Electric!$L120,0,-'Electric Calendarize'!$L129+'Electric Calendarize'!S$4+1))</f>
        <v/>
      </c>
      <c r="T129" t="str">
        <f ca="1">IF(OR($L129&gt;T$4,T$4&gt;$L129+23),"",OFFSET(Electric!$L120,0,-'Electric Calendarize'!$L129+'Electric Calendarize'!T$4+1))</f>
        <v/>
      </c>
      <c r="U129" t="str">
        <f ca="1">IF(OR($L129&gt;U$4,U$4&gt;$L129+23),"",OFFSET(Electric!$L120,0,-'Electric Calendarize'!$L129+'Electric Calendarize'!U$4+1))</f>
        <v/>
      </c>
      <c r="V129" t="str">
        <f ca="1">IF(OR($L129&gt;V$4,V$4&gt;$L129+23),"",OFFSET(Electric!$L120,0,-'Electric Calendarize'!$L129+'Electric Calendarize'!V$4+1))</f>
        <v/>
      </c>
      <c r="W129" t="str">
        <f ca="1">IF(OR($L129&gt;W$4,W$4&gt;$L129+23),"",OFFSET(Electric!$L120,0,-'Electric Calendarize'!$L129+'Electric Calendarize'!W$4+1))</f>
        <v/>
      </c>
      <c r="X129" t="str">
        <f ca="1">IF(OR($L129&gt;X$4,X$4&gt;$L129+23),"",OFFSET(Electric!$L120,0,-'Electric Calendarize'!$L129+'Electric Calendarize'!X$4+1))</f>
        <v/>
      </c>
      <c r="Y129" t="str">
        <f ca="1">IF(OR($L129&gt;Y$4,Y$4&gt;$L129+23),"",OFFSET(Electric!$L120,0,-'Electric Calendarize'!$L129+'Electric Calendarize'!Y$4+1))</f>
        <v/>
      </c>
      <c r="Z129" t="str">
        <f ca="1">IF(OR($L129&gt;Z$4,Z$4&gt;$L129+23),"",OFFSET(Electric!$L120,0,-'Electric Calendarize'!$L129+'Electric Calendarize'!Z$4+1))</f>
        <v/>
      </c>
      <c r="AA129" t="str">
        <f ca="1">IF(OR($L129&gt;AA$4,AA$4&gt;$L129+23),"",OFFSET(Electric!$L120,0,-'Electric Calendarize'!$L129+'Electric Calendarize'!AA$4+1))</f>
        <v/>
      </c>
      <c r="AB129" t="str">
        <f ca="1">IF(OR($L129&gt;AB$4,AB$4&gt;$L129+23),"",OFFSET(Electric!$L120,0,-'Electric Calendarize'!$L129+'Electric Calendarize'!AB$4+1))</f>
        <v/>
      </c>
      <c r="AC129">
        <f ca="1">IF(OR($L129&gt;AC$4,AC$4&gt;$L129+23),"",OFFSET(Electric!$L120,0,-'Electric Calendarize'!$L129+'Electric Calendarize'!AC$4+1))</f>
        <v>742</v>
      </c>
      <c r="AD129">
        <f ca="1">IF(OR($L129&gt;AD$4,AD$4&gt;$L129+23),"",OFFSET(Electric!$L120,0,-'Electric Calendarize'!$L129+'Electric Calendarize'!AD$4+1))</f>
        <v>585</v>
      </c>
      <c r="AE129">
        <f ca="1">IF(OR($L129&gt;AE$4,AE$4&gt;$L129+23),"",OFFSET(Electric!$L120,0,-'Electric Calendarize'!$L129+'Electric Calendarize'!AE$4+1))</f>
        <v>637</v>
      </c>
      <c r="AF129">
        <f ca="1">IF(OR($L129&gt;AF$4,AF$4&gt;$L129+23),"",OFFSET(Electric!$L120,0,-'Electric Calendarize'!$L129+'Electric Calendarize'!AF$4+1))</f>
        <v>716</v>
      </c>
      <c r="AG129">
        <f ca="1">IF(OR($L129&gt;AG$4,AG$4&gt;$L129+23),"",OFFSET(Electric!$L120,0,-'Electric Calendarize'!$L129+'Electric Calendarize'!AG$4+1))</f>
        <v>537</v>
      </c>
      <c r="AH129">
        <f ca="1">IF(OR($L129&gt;AH$4,AH$4&gt;$L129+23),"",OFFSET(Electric!$L120,0,-'Electric Calendarize'!$L129+'Electric Calendarize'!AH$4+1))</f>
        <v>561</v>
      </c>
      <c r="AI129">
        <f ca="1">IF(OR($L129&gt;AI$4,AI$4&gt;$L129+23),"",OFFSET(Electric!$L120,0,-'Electric Calendarize'!$L129+'Electric Calendarize'!AI$4+1))</f>
        <v>735</v>
      </c>
      <c r="AJ129">
        <f ca="1">IF(OR($L129&gt;AJ$4,AJ$4&gt;$L129+23),"",OFFSET(Electric!$L120,0,-'Electric Calendarize'!$L129+'Electric Calendarize'!AJ$4+1))</f>
        <v>581</v>
      </c>
      <c r="AK129">
        <f ca="1">IF(OR($L129&gt;AK$4,AK$4&gt;$L129+23),"",OFFSET(Electric!$L120,0,-'Electric Calendarize'!$L129+'Electric Calendarize'!AK$4+1))</f>
        <v>511</v>
      </c>
      <c r="AL129">
        <f ca="1">IF(OR($L129&gt;AL$4,AL$4&gt;$L129+23),"",OFFSET(Electric!$L120,0,-'Electric Calendarize'!$L129+'Electric Calendarize'!AL$4+1))</f>
        <v>555</v>
      </c>
      <c r="AM129">
        <f ca="1">IF(OR($L129&gt;AM$4,AM$4&gt;$L129+23),"",OFFSET(Electric!$L120,0,-'Electric Calendarize'!$L129+'Electric Calendarize'!AM$4+1))</f>
        <v>493</v>
      </c>
      <c r="AN129">
        <f ca="1">IF(OR($L129&gt;AN$4,AN$4&gt;$L129+23),"",OFFSET(Electric!$L120,0,-'Electric Calendarize'!$L129+'Electric Calendarize'!AN$4+1))</f>
        <v>469</v>
      </c>
      <c r="AO129">
        <f ca="1">IF(OR($L129&gt;AO$4,AO$4&gt;$L129+23),"",OFFSET(Electric!$L120,0,-'Electric Calendarize'!$L129+'Electric Calendarize'!AO$4+1))</f>
        <v>590</v>
      </c>
      <c r="AP129">
        <f ca="1">IF(OR($L129&gt;AP$4,AP$4&gt;$L129+23),"",OFFSET(Electric!$L120,0,-'Electric Calendarize'!$L129+'Electric Calendarize'!AP$4+1))</f>
        <v>534</v>
      </c>
      <c r="AQ129">
        <f ca="1">IF(OR($L129&gt;AQ$4,AQ$4&gt;$L129+23),"",OFFSET(Electric!$L120,0,-'Electric Calendarize'!$L129+'Electric Calendarize'!AQ$4+1))</f>
        <v>699</v>
      </c>
      <c r="AR129">
        <f ca="1">IF(OR($L129&gt;AR$4,AR$4&gt;$L129+23),"",OFFSET(Electric!$L120,0,-'Electric Calendarize'!$L129+'Electric Calendarize'!AR$4+1))</f>
        <v>585</v>
      </c>
      <c r="AS129">
        <f ca="1">IF(OR($L129&gt;AS$4,AS$4&gt;$L129+23),"",OFFSET(Electric!$L120,0,-'Electric Calendarize'!$L129+'Electric Calendarize'!AS$4+1))</f>
        <v>604</v>
      </c>
      <c r="AT129">
        <f ca="1">IF(OR($L129&gt;AT$4,AT$4&gt;$L129+23),"",OFFSET(Electric!$L120,0,-'Electric Calendarize'!$L129+'Electric Calendarize'!AT$4+1))</f>
        <v>664</v>
      </c>
      <c r="AU129">
        <f ca="1">IF(OR($L129&gt;AU$4,AU$4&gt;$L129+23),"",OFFSET(Electric!$L120,0,-'Electric Calendarize'!$L129+'Electric Calendarize'!AU$4+1))</f>
        <v>981</v>
      </c>
      <c r="AV129">
        <f ca="1">IF(OR($L129&gt;AV$4,AV$4&gt;$L129+23),"",OFFSET(Electric!$L120,0,-'Electric Calendarize'!$L129+'Electric Calendarize'!AV$4+1))</f>
        <v>801</v>
      </c>
      <c r="AW129">
        <f ca="1">IF(OR($L129&gt;AW$4,AW$4&gt;$L129+23),"",OFFSET(Electric!$L120,0,-'Electric Calendarize'!$L129+'Electric Calendarize'!AW$4+1))</f>
        <v>521</v>
      </c>
      <c r="AX129">
        <f ca="1">IF(OR($L129&gt;AX$4,AX$4&gt;$L129+23),"",OFFSET(Electric!$L120,0,-'Electric Calendarize'!$L129+'Electric Calendarize'!AX$4+1))</f>
        <v>459</v>
      </c>
      <c r="AY129">
        <f ca="1">IF(OR($L129&gt;AY$4,AY$4&gt;$L129+23),"",OFFSET(Electric!$L120,0,-'Electric Calendarize'!$L129+'Electric Calendarize'!AY$4+1))</f>
        <v>451</v>
      </c>
      <c r="AZ129">
        <f ca="1">IF(OR($L129&gt;AZ$4,AZ$4&gt;$L129+23),"",OFFSET(Electric!$L120,0,-'Electric Calendarize'!$L129+'Electric Calendarize'!AZ$4+1))</f>
        <v>515</v>
      </c>
      <c r="BA129" t="str">
        <f ca="1">IF(OR($L129&gt;BA$4,BA$4&gt;$L129+23),"",OFFSET(Electric!$L120,0,-'Electric Calendarize'!$L129+'Electric Calendarize'!BA$4+1))</f>
        <v/>
      </c>
      <c r="BB129" t="str">
        <f ca="1">IF(OR($L129&gt;BB$4,BB$4&gt;$L129+23),"",OFFSET(Electric!$L120,0,-'Electric Calendarize'!$L129+'Electric Calendarize'!BB$4+1))</f>
        <v/>
      </c>
      <c r="BC129" t="str">
        <f ca="1">IF(OR($L129&gt;BC$4,BC$4&gt;$L129+23),"",OFFSET(Electric!$L120,0,-'Electric Calendarize'!$L129+'Electric Calendarize'!BC$4+1))</f>
        <v/>
      </c>
      <c r="BD129" t="str">
        <f ca="1">IF(OR($L129&gt;BD$4,BD$4&gt;$L129+23),"",OFFSET(Electric!$L120,0,-'Electric Calendarize'!$L129+'Electric Calendarize'!BD$4+1))</f>
        <v/>
      </c>
      <c r="BE129" t="str">
        <f ca="1">IF(OR($L129&gt;BE$4,BE$4&gt;$L129+23),"",OFFSET(Electric!$L120,0,-'Electric Calendarize'!$L129+'Electric Calendarize'!BE$4+1))</f>
        <v/>
      </c>
      <c r="BF129" t="str">
        <f ca="1">IF(OR($L129&gt;BF$4,BF$4&gt;$L129+23),"",OFFSET(Electric!$L120,0,-'Electric Calendarize'!$L129+'Electric Calendarize'!BF$4+1))</f>
        <v/>
      </c>
      <c r="BG129" t="str">
        <f ca="1">IF(OR($L129&gt;BG$4,BG$4&gt;$L129+23),"",OFFSET(Electric!$L120,0,-'Electric Calendarize'!$L129+'Electric Calendarize'!BG$4+1))</f>
        <v/>
      </c>
      <c r="BJ129" s="10" t="s">
        <v>37</v>
      </c>
      <c r="BK129">
        <f t="shared" si="303"/>
        <v>1</v>
      </c>
      <c r="BL129">
        <f t="shared" si="209"/>
        <v>0</v>
      </c>
      <c r="BM129">
        <f t="shared" si="210"/>
        <v>0</v>
      </c>
      <c r="BN129">
        <f t="shared" si="211"/>
        <v>0</v>
      </c>
      <c r="BO129">
        <f t="shared" si="212"/>
        <v>0</v>
      </c>
      <c r="BP129">
        <f t="shared" si="213"/>
        <v>0</v>
      </c>
      <c r="BQ129">
        <f t="shared" si="214"/>
        <v>0</v>
      </c>
      <c r="BR129">
        <f t="shared" si="215"/>
        <v>1</v>
      </c>
      <c r="BS129">
        <f t="shared" si="216"/>
        <v>1</v>
      </c>
      <c r="BT129">
        <f t="shared" si="217"/>
        <v>1</v>
      </c>
      <c r="BU129">
        <f t="shared" si="218"/>
        <v>1</v>
      </c>
      <c r="BV129">
        <f t="shared" si="219"/>
        <v>1</v>
      </c>
      <c r="BW129">
        <f t="shared" si="220"/>
        <v>1</v>
      </c>
      <c r="BX129">
        <f t="shared" si="221"/>
        <v>0</v>
      </c>
      <c r="BY129">
        <f t="shared" si="222"/>
        <v>0</v>
      </c>
      <c r="BZ129">
        <f t="shared" si="223"/>
        <v>0</v>
      </c>
      <c r="CA129">
        <f t="shared" si="224"/>
        <v>0</v>
      </c>
      <c r="CB129">
        <f t="shared" si="225"/>
        <v>0</v>
      </c>
      <c r="CC129">
        <f t="shared" si="226"/>
        <v>0</v>
      </c>
      <c r="CD129">
        <f t="shared" si="227"/>
        <v>1</v>
      </c>
      <c r="CE129">
        <f t="shared" si="228"/>
        <v>1</v>
      </c>
      <c r="CF129">
        <f t="shared" si="229"/>
        <v>1</v>
      </c>
      <c r="CG129">
        <f t="shared" si="230"/>
        <v>1</v>
      </c>
      <c r="CH129">
        <f t="shared" si="231"/>
        <v>1</v>
      </c>
      <c r="CI129">
        <f t="shared" si="232"/>
        <v>1</v>
      </c>
      <c r="CJ129">
        <f t="shared" si="233"/>
        <v>0</v>
      </c>
      <c r="CK129">
        <f t="shared" si="234"/>
        <v>0</v>
      </c>
      <c r="CL129">
        <f t="shared" si="235"/>
        <v>0</v>
      </c>
      <c r="CM129">
        <f t="shared" si="236"/>
        <v>0</v>
      </c>
      <c r="CN129">
        <f t="shared" si="237"/>
        <v>0</v>
      </c>
      <c r="CO129">
        <f t="shared" si="238"/>
        <v>0</v>
      </c>
      <c r="CP129">
        <f t="shared" si="239"/>
        <v>1</v>
      </c>
      <c r="CQ129">
        <f t="shared" si="240"/>
        <v>1</v>
      </c>
      <c r="CR129">
        <f t="shared" si="241"/>
        <v>1</v>
      </c>
      <c r="CS129">
        <f t="shared" si="242"/>
        <v>1</v>
      </c>
      <c r="CT129">
        <f t="shared" si="243"/>
        <v>1</v>
      </c>
      <c r="CU129">
        <f t="shared" si="244"/>
        <v>1</v>
      </c>
      <c r="CV129">
        <f t="shared" si="245"/>
        <v>0</v>
      </c>
      <c r="CW129">
        <f t="shared" si="246"/>
        <v>0</v>
      </c>
      <c r="CX129">
        <f t="shared" si="247"/>
        <v>0</v>
      </c>
      <c r="CY129">
        <f t="shared" si="248"/>
        <v>0</v>
      </c>
      <c r="CZ129">
        <f t="shared" si="249"/>
        <v>0</v>
      </c>
      <c r="DA129">
        <f t="shared" si="250"/>
        <v>0</v>
      </c>
      <c r="DB129">
        <f t="shared" si="251"/>
        <v>1</v>
      </c>
      <c r="DC129">
        <f t="shared" si="252"/>
        <v>1</v>
      </c>
      <c r="DF129" s="10" t="s">
        <v>37</v>
      </c>
      <c r="DG129" t="str">
        <f t="shared" si="315"/>
        <v>2022_6</v>
      </c>
      <c r="DH129" t="str">
        <f t="shared" si="315"/>
        <v>2022_6</v>
      </c>
      <c r="DI129" t="str">
        <f t="shared" si="315"/>
        <v>2022_6</v>
      </c>
      <c r="DJ129" t="str">
        <f t="shared" si="315"/>
        <v>2022_6</v>
      </c>
      <c r="DK129" t="str">
        <f t="shared" si="315"/>
        <v>2022_6</v>
      </c>
      <c r="DL129" t="str">
        <f t="shared" si="315"/>
        <v>2022_6</v>
      </c>
      <c r="DM129" t="str">
        <f t="shared" si="315"/>
        <v>2022_6</v>
      </c>
      <c r="DN129" t="str">
        <f t="shared" si="315"/>
        <v>2022_6</v>
      </c>
      <c r="DO129" t="str">
        <f t="shared" si="315"/>
        <v>2022_6</v>
      </c>
      <c r="DP129" t="str">
        <f t="shared" si="315"/>
        <v>2022_6</v>
      </c>
      <c r="DQ129" t="str">
        <f t="shared" si="315"/>
        <v>2022_6</v>
      </c>
      <c r="DR129" t="str">
        <f t="shared" si="315"/>
        <v>2022_6</v>
      </c>
      <c r="DS129" t="str">
        <f t="shared" si="315"/>
        <v>2022_6</v>
      </c>
      <c r="DT129" t="str">
        <f t="shared" si="315"/>
        <v>2022_6</v>
      </c>
      <c r="DU129" t="str">
        <f t="shared" si="315"/>
        <v>2022_6</v>
      </c>
      <c r="DV129" t="str">
        <f t="shared" si="315"/>
        <v>2022_6</v>
      </c>
      <c r="DW129" t="str">
        <f t="shared" si="314"/>
        <v>2022_6</v>
      </c>
      <c r="DX129" t="str">
        <f t="shared" si="314"/>
        <v>2022_6</v>
      </c>
      <c r="DY129" t="str">
        <f t="shared" si="314"/>
        <v>2022_6</v>
      </c>
      <c r="DZ129" t="str">
        <f t="shared" si="314"/>
        <v>2022_6</v>
      </c>
      <c r="EA129" t="str">
        <f t="shared" si="314"/>
        <v>2022_6</v>
      </c>
      <c r="EB129" t="str">
        <f t="shared" si="314"/>
        <v>2022_6</v>
      </c>
      <c r="EC129" t="str">
        <f t="shared" si="314"/>
        <v>2022_6</v>
      </c>
      <c r="ED129" t="str">
        <f t="shared" si="314"/>
        <v>2022_6</v>
      </c>
      <c r="EE129" t="str">
        <f t="shared" si="314"/>
        <v>2022_6</v>
      </c>
      <c r="EF129" t="str">
        <f t="shared" si="314"/>
        <v>2022_6</v>
      </c>
      <c r="EG129" t="str">
        <f t="shared" si="314"/>
        <v>2022_6</v>
      </c>
      <c r="EH129" t="str">
        <f t="shared" si="314"/>
        <v>2022_6</v>
      </c>
      <c r="EI129" t="str">
        <f t="shared" si="314"/>
        <v>2022_6</v>
      </c>
      <c r="EJ129" t="str">
        <f t="shared" si="314"/>
        <v>2022_6</v>
      </c>
      <c r="EK129" t="str">
        <f t="shared" si="313"/>
        <v>2022_6</v>
      </c>
      <c r="EL129" t="str">
        <f t="shared" si="313"/>
        <v>2022_6</v>
      </c>
      <c r="EM129" t="str">
        <f t="shared" si="313"/>
        <v>2022_6</v>
      </c>
      <c r="EN129" t="str">
        <f t="shared" si="313"/>
        <v>2022_6</v>
      </c>
      <c r="EO129" t="str">
        <f t="shared" si="313"/>
        <v>2022_6</v>
      </c>
      <c r="EP129" t="str">
        <f t="shared" si="313"/>
        <v>2022_6</v>
      </c>
      <c r="EQ129" t="str">
        <f t="shared" si="313"/>
        <v>2022_6</v>
      </c>
      <c r="ER129" t="str">
        <f t="shared" si="313"/>
        <v>2022_6</v>
      </c>
      <c r="ES129" t="str">
        <f t="shared" si="313"/>
        <v>2022_6</v>
      </c>
      <c r="ET129" t="str">
        <f t="shared" si="313"/>
        <v>2022_6</v>
      </c>
      <c r="EU129" t="str">
        <f t="shared" si="313"/>
        <v>2022_6</v>
      </c>
      <c r="EV129" t="str">
        <f t="shared" si="313"/>
        <v>2022_6</v>
      </c>
      <c r="EW129" t="str">
        <f t="shared" si="313"/>
        <v>2022_6</v>
      </c>
      <c r="EX129" t="str">
        <f t="shared" si="313"/>
        <v>2022_6</v>
      </c>
      <c r="EY129" t="str">
        <f t="shared" si="313"/>
        <v>2022_6</v>
      </c>
      <c r="FB129" s="10" t="s">
        <v>37</v>
      </c>
      <c r="FC129">
        <f t="shared" si="305"/>
        <v>0</v>
      </c>
      <c r="FD129">
        <f t="shared" si="255"/>
        <v>0</v>
      </c>
      <c r="FE129">
        <f t="shared" si="256"/>
        <v>0</v>
      </c>
      <c r="FF129">
        <f t="shared" si="257"/>
        <v>0</v>
      </c>
      <c r="FG129">
        <f t="shared" si="258"/>
        <v>0</v>
      </c>
      <c r="FH129">
        <f t="shared" si="259"/>
        <v>0</v>
      </c>
      <c r="FI129">
        <f t="shared" si="260"/>
        <v>0</v>
      </c>
      <c r="FJ129">
        <f t="shared" si="261"/>
        <v>0</v>
      </c>
      <c r="FK129">
        <f t="shared" si="262"/>
        <v>0</v>
      </c>
      <c r="FL129">
        <f t="shared" si="263"/>
        <v>0</v>
      </c>
      <c r="FM129">
        <f t="shared" si="264"/>
        <v>0</v>
      </c>
      <c r="FN129">
        <f t="shared" si="265"/>
        <v>0</v>
      </c>
      <c r="FO129">
        <f t="shared" si="266"/>
        <v>0</v>
      </c>
      <c r="FP129">
        <f t="shared" si="267"/>
        <v>0</v>
      </c>
      <c r="FQ129">
        <f t="shared" si="268"/>
        <v>0</v>
      </c>
      <c r="FR129">
        <f t="shared" si="269"/>
        <v>0</v>
      </c>
      <c r="FS129">
        <f t="shared" si="270"/>
        <v>0</v>
      </c>
      <c r="FT129">
        <f t="shared" si="271"/>
        <v>0</v>
      </c>
      <c r="FU129">
        <f t="shared" si="272"/>
        <v>0</v>
      </c>
      <c r="FV129">
        <f t="shared" si="273"/>
        <v>0</v>
      </c>
      <c r="FW129">
        <f t="shared" si="274"/>
        <v>0</v>
      </c>
      <c r="FX129">
        <f t="shared" si="275"/>
        <v>0</v>
      </c>
      <c r="FY129">
        <f t="shared" si="276"/>
        <v>0</v>
      </c>
      <c r="FZ129">
        <f t="shared" si="277"/>
        <v>0</v>
      </c>
      <c r="GA129">
        <f t="shared" si="278"/>
        <v>0</v>
      </c>
      <c r="GB129">
        <f t="shared" si="279"/>
        <v>0</v>
      </c>
      <c r="GC129">
        <f t="shared" si="280"/>
        <v>1</v>
      </c>
      <c r="GD129">
        <f t="shared" si="281"/>
        <v>1</v>
      </c>
      <c r="GE129">
        <f t="shared" si="282"/>
        <v>1</v>
      </c>
      <c r="GF129">
        <f t="shared" si="283"/>
        <v>1</v>
      </c>
      <c r="GG129">
        <f t="shared" si="284"/>
        <v>1</v>
      </c>
      <c r="GH129">
        <f t="shared" si="285"/>
        <v>1</v>
      </c>
      <c r="GI129">
        <f t="shared" si="286"/>
        <v>1</v>
      </c>
      <c r="GJ129">
        <f t="shared" si="287"/>
        <v>1</v>
      </c>
      <c r="GK129">
        <f t="shared" si="288"/>
        <v>1</v>
      </c>
      <c r="GL129">
        <f t="shared" si="289"/>
        <v>1</v>
      </c>
      <c r="GM129">
        <f t="shared" si="290"/>
        <v>1</v>
      </c>
      <c r="GN129">
        <f t="shared" si="291"/>
        <v>1</v>
      </c>
      <c r="GO129">
        <f t="shared" si="292"/>
        <v>1</v>
      </c>
      <c r="GP129">
        <f t="shared" si="293"/>
        <v>1</v>
      </c>
      <c r="GQ129">
        <f t="shared" si="294"/>
        <v>1</v>
      </c>
      <c r="GR129">
        <f t="shared" si="295"/>
        <v>1</v>
      </c>
      <c r="GS129">
        <f t="shared" si="296"/>
        <v>1</v>
      </c>
      <c r="GT129">
        <f t="shared" si="297"/>
        <v>1</v>
      </c>
      <c r="GU129">
        <f t="shared" si="298"/>
        <v>1</v>
      </c>
      <c r="GX129" s="10"/>
    </row>
    <row r="130" spans="1:206" x14ac:dyDescent="0.3">
      <c r="A130" s="9" t="s">
        <v>128</v>
      </c>
      <c r="B130" s="80"/>
      <c r="C130" s="9">
        <v>3120343001</v>
      </c>
      <c r="D130" s="9" t="s">
        <v>442</v>
      </c>
      <c r="E130" s="9" t="s">
        <v>39</v>
      </c>
      <c r="F130" s="9" t="s">
        <v>35</v>
      </c>
      <c r="G130" s="9" t="s">
        <v>164</v>
      </c>
      <c r="H130" s="10">
        <v>44735</v>
      </c>
      <c r="I130" s="9">
        <f t="shared" si="299"/>
        <v>2022</v>
      </c>
      <c r="J130" s="9">
        <f t="shared" si="300"/>
        <v>6</v>
      </c>
      <c r="K130" s="9" t="str">
        <f t="shared" si="301"/>
        <v>2022_6</v>
      </c>
      <c r="L130">
        <f>MAX(0,VLOOKUP($K130,lookups!$A$1:$B$45,2,0)-12)</f>
        <v>14</v>
      </c>
      <c r="M130" s="40">
        <f t="shared" si="302"/>
        <v>44713</v>
      </c>
      <c r="N130" s="10" t="s">
        <v>37</v>
      </c>
      <c r="O130" t="str">
        <f ca="1">IF(OR($L130&gt;O$4,O$4&gt;$L130+23),"",OFFSET(Electric!$L121,0,-'Electric Calendarize'!$L130+'Electric Calendarize'!O$4+1))</f>
        <v/>
      </c>
      <c r="P130" t="str">
        <f ca="1">IF(OR($L130&gt;P$4,P$4&gt;$L130+23),"",OFFSET(Electric!$L121,0,-'Electric Calendarize'!$L130+'Electric Calendarize'!P$4+1))</f>
        <v/>
      </c>
      <c r="Q130" t="str">
        <f ca="1">IF(OR($L130&gt;Q$4,Q$4&gt;$L130+23),"",OFFSET(Electric!$L121,0,-'Electric Calendarize'!$L130+'Electric Calendarize'!Q$4+1))</f>
        <v/>
      </c>
      <c r="R130" t="str">
        <f ca="1">IF(OR($L130&gt;R$4,R$4&gt;$L130+23),"",OFFSET(Electric!$L121,0,-'Electric Calendarize'!$L130+'Electric Calendarize'!R$4+1))</f>
        <v/>
      </c>
      <c r="S130" t="str">
        <f ca="1">IF(OR($L130&gt;S$4,S$4&gt;$L130+23),"",OFFSET(Electric!$L121,0,-'Electric Calendarize'!$L130+'Electric Calendarize'!S$4+1))</f>
        <v/>
      </c>
      <c r="T130" t="str">
        <f ca="1">IF(OR($L130&gt;T$4,T$4&gt;$L130+23),"",OFFSET(Electric!$L121,0,-'Electric Calendarize'!$L130+'Electric Calendarize'!T$4+1))</f>
        <v/>
      </c>
      <c r="U130" t="str">
        <f ca="1">IF(OR($L130&gt;U$4,U$4&gt;$L130+23),"",OFFSET(Electric!$L121,0,-'Electric Calendarize'!$L130+'Electric Calendarize'!U$4+1))</f>
        <v/>
      </c>
      <c r="V130" t="str">
        <f ca="1">IF(OR($L130&gt;V$4,V$4&gt;$L130+23),"",OFFSET(Electric!$L121,0,-'Electric Calendarize'!$L130+'Electric Calendarize'!V$4+1))</f>
        <v/>
      </c>
      <c r="W130" t="str">
        <f ca="1">IF(OR($L130&gt;W$4,W$4&gt;$L130+23),"",OFFSET(Electric!$L121,0,-'Electric Calendarize'!$L130+'Electric Calendarize'!W$4+1))</f>
        <v/>
      </c>
      <c r="X130" t="str">
        <f ca="1">IF(OR($L130&gt;X$4,X$4&gt;$L130+23),"",OFFSET(Electric!$L121,0,-'Electric Calendarize'!$L130+'Electric Calendarize'!X$4+1))</f>
        <v/>
      </c>
      <c r="Y130" t="str">
        <f ca="1">IF(OR($L130&gt;Y$4,Y$4&gt;$L130+23),"",OFFSET(Electric!$L121,0,-'Electric Calendarize'!$L130+'Electric Calendarize'!Y$4+1))</f>
        <v/>
      </c>
      <c r="Z130" t="str">
        <f ca="1">IF(OR($L130&gt;Z$4,Z$4&gt;$L130+23),"",OFFSET(Electric!$L121,0,-'Electric Calendarize'!$L130+'Electric Calendarize'!Z$4+1))</f>
        <v/>
      </c>
      <c r="AA130" t="str">
        <f ca="1">IF(OR($L130&gt;AA$4,AA$4&gt;$L130+23),"",OFFSET(Electric!$L121,0,-'Electric Calendarize'!$L130+'Electric Calendarize'!AA$4+1))</f>
        <v/>
      </c>
      <c r="AB130" t="str">
        <f ca="1">IF(OR($L130&gt;AB$4,AB$4&gt;$L130+23),"",OFFSET(Electric!$L121,0,-'Electric Calendarize'!$L130+'Electric Calendarize'!AB$4+1))</f>
        <v/>
      </c>
      <c r="AC130">
        <f ca="1">IF(OR($L130&gt;AC$4,AC$4&gt;$L130+23),"",OFFSET(Electric!$L121,0,-'Electric Calendarize'!$L130+'Electric Calendarize'!AC$4+1))</f>
        <v>0</v>
      </c>
      <c r="AD130">
        <f ca="1">IF(OR($L130&gt;AD$4,AD$4&gt;$L130+23),"",OFFSET(Electric!$L121,0,-'Electric Calendarize'!$L130+'Electric Calendarize'!AD$4+1))</f>
        <v>0</v>
      </c>
      <c r="AE130">
        <f ca="1">IF(OR($L130&gt;AE$4,AE$4&gt;$L130+23),"",OFFSET(Electric!$L121,0,-'Electric Calendarize'!$L130+'Electric Calendarize'!AE$4+1))</f>
        <v>0</v>
      </c>
      <c r="AF130">
        <f ca="1">IF(OR($L130&gt;AF$4,AF$4&gt;$L130+23),"",OFFSET(Electric!$L121,0,-'Electric Calendarize'!$L130+'Electric Calendarize'!AF$4+1))</f>
        <v>0</v>
      </c>
      <c r="AG130">
        <f ca="1">IF(OR($L130&gt;AG$4,AG$4&gt;$L130+23),"",OFFSET(Electric!$L121,0,-'Electric Calendarize'!$L130+'Electric Calendarize'!AG$4+1))</f>
        <v>0</v>
      </c>
      <c r="AH130">
        <f ca="1">IF(OR($L130&gt;AH$4,AH$4&gt;$L130+23),"",OFFSET(Electric!$L121,0,-'Electric Calendarize'!$L130+'Electric Calendarize'!AH$4+1))</f>
        <v>0</v>
      </c>
      <c r="AI130">
        <f ca="1">IF(OR($L130&gt;AI$4,AI$4&gt;$L130+23),"",OFFSET(Electric!$L121,0,-'Electric Calendarize'!$L130+'Electric Calendarize'!AI$4+1))</f>
        <v>158</v>
      </c>
      <c r="AJ130">
        <f ca="1">IF(OR($L130&gt;AJ$4,AJ$4&gt;$L130+23),"",OFFSET(Electric!$L121,0,-'Electric Calendarize'!$L130+'Electric Calendarize'!AJ$4+1))</f>
        <v>493</v>
      </c>
      <c r="AK130">
        <f ca="1">IF(OR($L130&gt;AK$4,AK$4&gt;$L130+23),"",OFFSET(Electric!$L121,0,-'Electric Calendarize'!$L130+'Electric Calendarize'!AK$4+1))</f>
        <v>588</v>
      </c>
      <c r="AL130">
        <f ca="1">IF(OR($L130&gt;AL$4,AL$4&gt;$L130+23),"",OFFSET(Electric!$L121,0,-'Electric Calendarize'!$L130+'Electric Calendarize'!AL$4+1))</f>
        <v>593</v>
      </c>
      <c r="AM130">
        <f ca="1">IF(OR($L130&gt;AM$4,AM$4&gt;$L130+23),"",OFFSET(Electric!$L121,0,-'Electric Calendarize'!$L130+'Electric Calendarize'!AM$4+1))</f>
        <v>496</v>
      </c>
      <c r="AN130">
        <f ca="1">IF(OR($L130&gt;AN$4,AN$4&gt;$L130+23),"",OFFSET(Electric!$L121,0,-'Electric Calendarize'!$L130+'Electric Calendarize'!AN$4+1))</f>
        <v>390</v>
      </c>
      <c r="AO130">
        <f ca="1">IF(OR($L130&gt;AO$4,AO$4&gt;$L130+23),"",OFFSET(Electric!$L121,0,-'Electric Calendarize'!$L130+'Electric Calendarize'!AO$4+1))</f>
        <v>389</v>
      </c>
      <c r="AP130">
        <f ca="1">IF(OR($L130&gt;AP$4,AP$4&gt;$L130+23),"",OFFSET(Electric!$L121,0,-'Electric Calendarize'!$L130+'Electric Calendarize'!AP$4+1))</f>
        <v>632</v>
      </c>
      <c r="AQ130">
        <f ca="1">IF(OR($L130&gt;AQ$4,AQ$4&gt;$L130+23),"",OFFSET(Electric!$L121,0,-'Electric Calendarize'!$L130+'Electric Calendarize'!AQ$4+1))</f>
        <v>746</v>
      </c>
      <c r="AR130">
        <f ca="1">IF(OR($L130&gt;AR$4,AR$4&gt;$L130+23),"",OFFSET(Electric!$L121,0,-'Electric Calendarize'!$L130+'Electric Calendarize'!AR$4+1))</f>
        <v>458</v>
      </c>
      <c r="AS130">
        <f ca="1">IF(OR($L130&gt;AS$4,AS$4&gt;$L130+23),"",OFFSET(Electric!$L121,0,-'Electric Calendarize'!$L130+'Electric Calendarize'!AS$4+1))</f>
        <v>427</v>
      </c>
      <c r="AT130">
        <f ca="1">IF(OR($L130&gt;AT$4,AT$4&gt;$L130+23),"",OFFSET(Electric!$L121,0,-'Electric Calendarize'!$L130+'Electric Calendarize'!AT$4+1))</f>
        <v>1063</v>
      </c>
      <c r="AU130">
        <f ca="1">IF(OR($L130&gt;AU$4,AU$4&gt;$L130+23),"",OFFSET(Electric!$L121,0,-'Electric Calendarize'!$L130+'Electric Calendarize'!AU$4+1))</f>
        <v>1779</v>
      </c>
      <c r="AV130">
        <f ca="1">IF(OR($L130&gt;AV$4,AV$4&gt;$L130+23),"",OFFSET(Electric!$L121,0,-'Electric Calendarize'!$L130+'Electric Calendarize'!AV$4+1))</f>
        <v>1216</v>
      </c>
      <c r="AW130">
        <f ca="1">IF(OR($L130&gt;AW$4,AW$4&gt;$L130+23),"",OFFSET(Electric!$L121,0,-'Electric Calendarize'!$L130+'Electric Calendarize'!AW$4+1))</f>
        <v>1312</v>
      </c>
      <c r="AX130">
        <f ca="1">IF(OR($L130&gt;AX$4,AX$4&gt;$L130+23),"",OFFSET(Electric!$L121,0,-'Electric Calendarize'!$L130+'Electric Calendarize'!AX$4+1))</f>
        <v>847</v>
      </c>
      <c r="AY130">
        <f ca="1">IF(OR($L130&gt;AY$4,AY$4&gt;$L130+23),"",OFFSET(Electric!$L121,0,-'Electric Calendarize'!$L130+'Electric Calendarize'!AY$4+1))</f>
        <v>440</v>
      </c>
      <c r="AZ130">
        <f ca="1">IF(OR($L130&gt;AZ$4,AZ$4&gt;$L130+23),"",OFFSET(Electric!$L121,0,-'Electric Calendarize'!$L130+'Electric Calendarize'!AZ$4+1))</f>
        <v>441</v>
      </c>
      <c r="BA130" t="str">
        <f ca="1">IF(OR($L130&gt;BA$4,BA$4&gt;$L130+23),"",OFFSET(Electric!$L121,0,-'Electric Calendarize'!$L130+'Electric Calendarize'!BA$4+1))</f>
        <v/>
      </c>
      <c r="BB130" t="str">
        <f ca="1">IF(OR($L130&gt;BB$4,BB$4&gt;$L130+23),"",OFFSET(Electric!$L121,0,-'Electric Calendarize'!$L130+'Electric Calendarize'!BB$4+1))</f>
        <v/>
      </c>
      <c r="BC130" t="str">
        <f ca="1">IF(OR($L130&gt;BC$4,BC$4&gt;$L130+23),"",OFFSET(Electric!$L121,0,-'Electric Calendarize'!$L130+'Electric Calendarize'!BC$4+1))</f>
        <v/>
      </c>
      <c r="BD130" t="str">
        <f ca="1">IF(OR($L130&gt;BD$4,BD$4&gt;$L130+23),"",OFFSET(Electric!$L121,0,-'Electric Calendarize'!$L130+'Electric Calendarize'!BD$4+1))</f>
        <v/>
      </c>
      <c r="BE130" t="str">
        <f ca="1">IF(OR($L130&gt;BE$4,BE$4&gt;$L130+23),"",OFFSET(Electric!$L121,0,-'Electric Calendarize'!$L130+'Electric Calendarize'!BE$4+1))</f>
        <v/>
      </c>
      <c r="BF130" t="str">
        <f ca="1">IF(OR($L130&gt;BF$4,BF$4&gt;$L130+23),"",OFFSET(Electric!$L121,0,-'Electric Calendarize'!$L130+'Electric Calendarize'!BF$4+1))</f>
        <v/>
      </c>
      <c r="BG130" t="str">
        <f ca="1">IF(OR($L130&gt;BG$4,BG$4&gt;$L130+23),"",OFFSET(Electric!$L121,0,-'Electric Calendarize'!$L130+'Electric Calendarize'!BG$4+1))</f>
        <v/>
      </c>
      <c r="BJ130" s="10" t="s">
        <v>37</v>
      </c>
      <c r="BK130">
        <f t="shared" si="303"/>
        <v>1</v>
      </c>
      <c r="BL130">
        <f t="shared" si="209"/>
        <v>0</v>
      </c>
      <c r="BM130">
        <f t="shared" si="210"/>
        <v>0</v>
      </c>
      <c r="BN130">
        <f t="shared" si="211"/>
        <v>0</v>
      </c>
      <c r="BO130">
        <f t="shared" si="212"/>
        <v>0</v>
      </c>
      <c r="BP130">
        <f t="shared" si="213"/>
        <v>0</v>
      </c>
      <c r="BQ130">
        <f t="shared" si="214"/>
        <v>0</v>
      </c>
      <c r="BR130">
        <f t="shared" si="215"/>
        <v>1</v>
      </c>
      <c r="BS130">
        <f t="shared" si="216"/>
        <v>1</v>
      </c>
      <c r="BT130">
        <f t="shared" si="217"/>
        <v>1</v>
      </c>
      <c r="BU130">
        <f t="shared" si="218"/>
        <v>1</v>
      </c>
      <c r="BV130">
        <f t="shared" si="219"/>
        <v>1</v>
      </c>
      <c r="BW130">
        <f t="shared" si="220"/>
        <v>1</v>
      </c>
      <c r="BX130">
        <f t="shared" si="221"/>
        <v>0</v>
      </c>
      <c r="BY130">
        <f t="shared" si="222"/>
        <v>0</v>
      </c>
      <c r="BZ130">
        <f t="shared" si="223"/>
        <v>0</v>
      </c>
      <c r="CA130">
        <f t="shared" si="224"/>
        <v>0</v>
      </c>
      <c r="CB130">
        <f t="shared" si="225"/>
        <v>0</v>
      </c>
      <c r="CC130">
        <f t="shared" si="226"/>
        <v>0</v>
      </c>
      <c r="CD130">
        <f t="shared" si="227"/>
        <v>1</v>
      </c>
      <c r="CE130">
        <f t="shared" si="228"/>
        <v>1</v>
      </c>
      <c r="CF130">
        <f t="shared" si="229"/>
        <v>1</v>
      </c>
      <c r="CG130">
        <f t="shared" si="230"/>
        <v>1</v>
      </c>
      <c r="CH130">
        <f t="shared" si="231"/>
        <v>1</v>
      </c>
      <c r="CI130">
        <f t="shared" si="232"/>
        <v>1</v>
      </c>
      <c r="CJ130">
        <f t="shared" si="233"/>
        <v>0</v>
      </c>
      <c r="CK130">
        <f t="shared" si="234"/>
        <v>0</v>
      </c>
      <c r="CL130">
        <f t="shared" si="235"/>
        <v>0</v>
      </c>
      <c r="CM130">
        <f t="shared" si="236"/>
        <v>0</v>
      </c>
      <c r="CN130">
        <f t="shared" si="237"/>
        <v>0</v>
      </c>
      <c r="CO130">
        <f t="shared" si="238"/>
        <v>0</v>
      </c>
      <c r="CP130">
        <f t="shared" si="239"/>
        <v>1</v>
      </c>
      <c r="CQ130">
        <f t="shared" si="240"/>
        <v>1</v>
      </c>
      <c r="CR130">
        <f t="shared" si="241"/>
        <v>1</v>
      </c>
      <c r="CS130">
        <f t="shared" si="242"/>
        <v>1</v>
      </c>
      <c r="CT130">
        <f t="shared" si="243"/>
        <v>1</v>
      </c>
      <c r="CU130">
        <f t="shared" si="244"/>
        <v>1</v>
      </c>
      <c r="CV130">
        <f t="shared" si="245"/>
        <v>0</v>
      </c>
      <c r="CW130">
        <f t="shared" si="246"/>
        <v>0</v>
      </c>
      <c r="CX130">
        <f t="shared" si="247"/>
        <v>0</v>
      </c>
      <c r="CY130">
        <f t="shared" si="248"/>
        <v>0</v>
      </c>
      <c r="CZ130">
        <f t="shared" si="249"/>
        <v>0</v>
      </c>
      <c r="DA130">
        <f t="shared" si="250"/>
        <v>0</v>
      </c>
      <c r="DB130">
        <f t="shared" si="251"/>
        <v>1</v>
      </c>
      <c r="DC130">
        <f t="shared" si="252"/>
        <v>1</v>
      </c>
      <c r="DF130" s="10" t="s">
        <v>37</v>
      </c>
      <c r="DG130" t="str">
        <f t="shared" si="315"/>
        <v>2022_6</v>
      </c>
      <c r="DH130" t="str">
        <f t="shared" si="315"/>
        <v>2022_6</v>
      </c>
      <c r="DI130" t="str">
        <f t="shared" si="315"/>
        <v>2022_6</v>
      </c>
      <c r="DJ130" t="str">
        <f t="shared" si="315"/>
        <v>2022_6</v>
      </c>
      <c r="DK130" t="str">
        <f t="shared" si="315"/>
        <v>2022_6</v>
      </c>
      <c r="DL130" t="str">
        <f t="shared" si="315"/>
        <v>2022_6</v>
      </c>
      <c r="DM130" t="str">
        <f t="shared" si="315"/>
        <v>2022_6</v>
      </c>
      <c r="DN130" t="str">
        <f t="shared" si="315"/>
        <v>2022_6</v>
      </c>
      <c r="DO130" t="str">
        <f t="shared" si="315"/>
        <v>2022_6</v>
      </c>
      <c r="DP130" t="str">
        <f t="shared" si="315"/>
        <v>2022_6</v>
      </c>
      <c r="DQ130" t="str">
        <f t="shared" si="315"/>
        <v>2022_6</v>
      </c>
      <c r="DR130" t="str">
        <f t="shared" si="315"/>
        <v>2022_6</v>
      </c>
      <c r="DS130" t="str">
        <f t="shared" si="315"/>
        <v>2022_6</v>
      </c>
      <c r="DT130" t="str">
        <f t="shared" si="315"/>
        <v>2022_6</v>
      </c>
      <c r="DU130" t="str">
        <f t="shared" si="315"/>
        <v>2022_6</v>
      </c>
      <c r="DV130" t="str">
        <f t="shared" si="315"/>
        <v>2022_6</v>
      </c>
      <c r="DW130" t="str">
        <f t="shared" si="314"/>
        <v>2022_6</v>
      </c>
      <c r="DX130" t="str">
        <f t="shared" si="314"/>
        <v>2022_6</v>
      </c>
      <c r="DY130" t="str">
        <f t="shared" si="314"/>
        <v>2022_6</v>
      </c>
      <c r="DZ130" t="str">
        <f t="shared" si="314"/>
        <v>2022_6</v>
      </c>
      <c r="EA130" t="str">
        <f t="shared" si="314"/>
        <v>2022_6</v>
      </c>
      <c r="EB130" t="str">
        <f t="shared" si="314"/>
        <v>2022_6</v>
      </c>
      <c r="EC130" t="str">
        <f t="shared" si="314"/>
        <v>2022_6</v>
      </c>
      <c r="ED130" t="str">
        <f t="shared" si="314"/>
        <v>2022_6</v>
      </c>
      <c r="EE130" t="str">
        <f t="shared" si="314"/>
        <v>2022_6</v>
      </c>
      <c r="EF130" t="str">
        <f t="shared" si="314"/>
        <v>2022_6</v>
      </c>
      <c r="EG130" t="str">
        <f t="shared" si="314"/>
        <v>2022_6</v>
      </c>
      <c r="EH130" t="str">
        <f t="shared" si="314"/>
        <v>2022_6</v>
      </c>
      <c r="EI130" t="str">
        <f t="shared" si="314"/>
        <v>2022_6</v>
      </c>
      <c r="EJ130" t="str">
        <f t="shared" si="314"/>
        <v>2022_6</v>
      </c>
      <c r="EK130" t="str">
        <f t="shared" si="313"/>
        <v>2022_6</v>
      </c>
      <c r="EL130" t="str">
        <f t="shared" si="313"/>
        <v>2022_6</v>
      </c>
      <c r="EM130" t="str">
        <f t="shared" si="313"/>
        <v>2022_6</v>
      </c>
      <c r="EN130" t="str">
        <f t="shared" si="313"/>
        <v>2022_6</v>
      </c>
      <c r="EO130" t="str">
        <f t="shared" si="313"/>
        <v>2022_6</v>
      </c>
      <c r="EP130" t="str">
        <f t="shared" si="313"/>
        <v>2022_6</v>
      </c>
      <c r="EQ130" t="str">
        <f t="shared" si="313"/>
        <v>2022_6</v>
      </c>
      <c r="ER130" t="str">
        <f t="shared" si="313"/>
        <v>2022_6</v>
      </c>
      <c r="ES130" t="str">
        <f t="shared" si="313"/>
        <v>2022_6</v>
      </c>
      <c r="ET130" t="str">
        <f t="shared" si="313"/>
        <v>2022_6</v>
      </c>
      <c r="EU130" t="str">
        <f t="shared" si="313"/>
        <v>2022_6</v>
      </c>
      <c r="EV130" t="str">
        <f t="shared" si="313"/>
        <v>2022_6</v>
      </c>
      <c r="EW130" t="str">
        <f t="shared" si="313"/>
        <v>2022_6</v>
      </c>
      <c r="EX130" t="str">
        <f t="shared" si="313"/>
        <v>2022_6</v>
      </c>
      <c r="EY130" t="str">
        <f t="shared" si="313"/>
        <v>2022_6</v>
      </c>
      <c r="FB130" s="10" t="s">
        <v>37</v>
      </c>
      <c r="FC130">
        <f t="shared" si="305"/>
        <v>0</v>
      </c>
      <c r="FD130">
        <f t="shared" si="255"/>
        <v>0</v>
      </c>
      <c r="FE130">
        <f t="shared" si="256"/>
        <v>0</v>
      </c>
      <c r="FF130">
        <f t="shared" si="257"/>
        <v>0</v>
      </c>
      <c r="FG130">
        <f t="shared" si="258"/>
        <v>0</v>
      </c>
      <c r="FH130">
        <f t="shared" si="259"/>
        <v>0</v>
      </c>
      <c r="FI130">
        <f t="shared" si="260"/>
        <v>0</v>
      </c>
      <c r="FJ130">
        <f t="shared" si="261"/>
        <v>0</v>
      </c>
      <c r="FK130">
        <f t="shared" si="262"/>
        <v>0</v>
      </c>
      <c r="FL130">
        <f t="shared" si="263"/>
        <v>0</v>
      </c>
      <c r="FM130">
        <f t="shared" si="264"/>
        <v>0</v>
      </c>
      <c r="FN130">
        <f t="shared" si="265"/>
        <v>0</v>
      </c>
      <c r="FO130">
        <f t="shared" si="266"/>
        <v>0</v>
      </c>
      <c r="FP130">
        <f t="shared" si="267"/>
        <v>0</v>
      </c>
      <c r="FQ130">
        <f t="shared" si="268"/>
        <v>0</v>
      </c>
      <c r="FR130">
        <f t="shared" si="269"/>
        <v>0</v>
      </c>
      <c r="FS130">
        <f t="shared" si="270"/>
        <v>0</v>
      </c>
      <c r="FT130">
        <f t="shared" si="271"/>
        <v>0</v>
      </c>
      <c r="FU130">
        <f t="shared" si="272"/>
        <v>0</v>
      </c>
      <c r="FV130">
        <f t="shared" si="273"/>
        <v>0</v>
      </c>
      <c r="FW130">
        <f t="shared" si="274"/>
        <v>0</v>
      </c>
      <c r="FX130">
        <f t="shared" si="275"/>
        <v>0</v>
      </c>
      <c r="FY130">
        <f t="shared" si="276"/>
        <v>0</v>
      </c>
      <c r="FZ130">
        <f t="shared" si="277"/>
        <v>0</v>
      </c>
      <c r="GA130">
        <f t="shared" si="278"/>
        <v>0</v>
      </c>
      <c r="GB130">
        <f t="shared" si="279"/>
        <v>0</v>
      </c>
      <c r="GC130">
        <f t="shared" si="280"/>
        <v>1</v>
      </c>
      <c r="GD130">
        <f t="shared" si="281"/>
        <v>1</v>
      </c>
      <c r="GE130">
        <f t="shared" si="282"/>
        <v>1</v>
      </c>
      <c r="GF130">
        <f t="shared" si="283"/>
        <v>1</v>
      </c>
      <c r="GG130">
        <f t="shared" si="284"/>
        <v>1</v>
      </c>
      <c r="GH130">
        <f t="shared" si="285"/>
        <v>1</v>
      </c>
      <c r="GI130">
        <f t="shared" si="286"/>
        <v>1</v>
      </c>
      <c r="GJ130">
        <f t="shared" si="287"/>
        <v>1</v>
      </c>
      <c r="GK130">
        <f t="shared" si="288"/>
        <v>1</v>
      </c>
      <c r="GL130">
        <f t="shared" si="289"/>
        <v>1</v>
      </c>
      <c r="GM130">
        <f t="shared" si="290"/>
        <v>1</v>
      </c>
      <c r="GN130">
        <f t="shared" si="291"/>
        <v>1</v>
      </c>
      <c r="GO130">
        <f t="shared" si="292"/>
        <v>1</v>
      </c>
      <c r="GP130">
        <f t="shared" si="293"/>
        <v>1</v>
      </c>
      <c r="GQ130">
        <f t="shared" si="294"/>
        <v>1</v>
      </c>
      <c r="GR130">
        <f t="shared" si="295"/>
        <v>1</v>
      </c>
      <c r="GS130">
        <f t="shared" si="296"/>
        <v>1</v>
      </c>
      <c r="GT130">
        <f t="shared" si="297"/>
        <v>1</v>
      </c>
      <c r="GU130">
        <f t="shared" si="298"/>
        <v>1</v>
      </c>
      <c r="GX130" s="10"/>
    </row>
    <row r="131" spans="1:206" x14ac:dyDescent="0.3">
      <c r="A131" s="9" t="s">
        <v>46</v>
      </c>
      <c r="B131" s="80"/>
      <c r="C131" s="9">
        <v>3132732001</v>
      </c>
      <c r="D131" s="9" t="s">
        <v>443</v>
      </c>
      <c r="E131" s="9" t="s">
        <v>39</v>
      </c>
      <c r="F131" s="9" t="s">
        <v>35</v>
      </c>
      <c r="G131" s="9" t="s">
        <v>165</v>
      </c>
      <c r="H131" s="10">
        <v>44735</v>
      </c>
      <c r="I131" s="9">
        <f t="shared" si="299"/>
        <v>2022</v>
      </c>
      <c r="J131" s="9">
        <f t="shared" si="300"/>
        <v>6</v>
      </c>
      <c r="K131" s="9" t="str">
        <f t="shared" si="301"/>
        <v>2022_6</v>
      </c>
      <c r="L131">
        <f>MAX(0,VLOOKUP($K131,lookups!$A$1:$B$45,2,0)-12)</f>
        <v>14</v>
      </c>
      <c r="M131" s="40">
        <f t="shared" si="302"/>
        <v>44713</v>
      </c>
      <c r="N131" s="10" t="s">
        <v>37</v>
      </c>
      <c r="O131" t="str">
        <f ca="1">IF(OR($L131&gt;O$4,O$4&gt;$L131+23),"",OFFSET(Electric!$L122,0,-'Electric Calendarize'!$L131+'Electric Calendarize'!O$4+1))</f>
        <v/>
      </c>
      <c r="P131" t="str">
        <f ca="1">IF(OR($L131&gt;P$4,P$4&gt;$L131+23),"",OFFSET(Electric!$L122,0,-'Electric Calendarize'!$L131+'Electric Calendarize'!P$4+1))</f>
        <v/>
      </c>
      <c r="Q131" t="str">
        <f ca="1">IF(OR($L131&gt;Q$4,Q$4&gt;$L131+23),"",OFFSET(Electric!$L122,0,-'Electric Calendarize'!$L131+'Electric Calendarize'!Q$4+1))</f>
        <v/>
      </c>
      <c r="R131" t="str">
        <f ca="1">IF(OR($L131&gt;R$4,R$4&gt;$L131+23),"",OFFSET(Electric!$L122,0,-'Electric Calendarize'!$L131+'Electric Calendarize'!R$4+1))</f>
        <v/>
      </c>
      <c r="S131" t="str">
        <f ca="1">IF(OR($L131&gt;S$4,S$4&gt;$L131+23),"",OFFSET(Electric!$L122,0,-'Electric Calendarize'!$L131+'Electric Calendarize'!S$4+1))</f>
        <v/>
      </c>
      <c r="T131" t="str">
        <f ca="1">IF(OR($L131&gt;T$4,T$4&gt;$L131+23),"",OFFSET(Electric!$L122,0,-'Electric Calendarize'!$L131+'Electric Calendarize'!T$4+1))</f>
        <v/>
      </c>
      <c r="U131" t="str">
        <f ca="1">IF(OR($L131&gt;U$4,U$4&gt;$L131+23),"",OFFSET(Electric!$L122,0,-'Electric Calendarize'!$L131+'Electric Calendarize'!U$4+1))</f>
        <v/>
      </c>
      <c r="V131" t="str">
        <f ca="1">IF(OR($L131&gt;V$4,V$4&gt;$L131+23),"",OFFSET(Electric!$L122,0,-'Electric Calendarize'!$L131+'Electric Calendarize'!V$4+1))</f>
        <v/>
      </c>
      <c r="W131" t="str">
        <f ca="1">IF(OR($L131&gt;W$4,W$4&gt;$L131+23),"",OFFSET(Electric!$L122,0,-'Electric Calendarize'!$L131+'Electric Calendarize'!W$4+1))</f>
        <v/>
      </c>
      <c r="X131" t="str">
        <f ca="1">IF(OR($L131&gt;X$4,X$4&gt;$L131+23),"",OFFSET(Electric!$L122,0,-'Electric Calendarize'!$L131+'Electric Calendarize'!X$4+1))</f>
        <v/>
      </c>
      <c r="Y131" t="str">
        <f ca="1">IF(OR($L131&gt;Y$4,Y$4&gt;$L131+23),"",OFFSET(Electric!$L122,0,-'Electric Calendarize'!$L131+'Electric Calendarize'!Y$4+1))</f>
        <v/>
      </c>
      <c r="Z131" t="str">
        <f ca="1">IF(OR($L131&gt;Z$4,Z$4&gt;$L131+23),"",OFFSET(Electric!$L122,0,-'Electric Calendarize'!$L131+'Electric Calendarize'!Z$4+1))</f>
        <v/>
      </c>
      <c r="AA131" t="str">
        <f ca="1">IF(OR($L131&gt;AA$4,AA$4&gt;$L131+23),"",OFFSET(Electric!$L122,0,-'Electric Calendarize'!$L131+'Electric Calendarize'!AA$4+1))</f>
        <v/>
      </c>
      <c r="AB131" t="str">
        <f ca="1">IF(OR($L131&gt;AB$4,AB$4&gt;$L131+23),"",OFFSET(Electric!$L122,0,-'Electric Calendarize'!$L131+'Electric Calendarize'!AB$4+1))</f>
        <v/>
      </c>
      <c r="AC131">
        <f ca="1">IF(OR($L131&gt;AC$4,AC$4&gt;$L131+23),"",OFFSET(Electric!$L122,0,-'Electric Calendarize'!$L131+'Electric Calendarize'!AC$4+1))</f>
        <v>0</v>
      </c>
      <c r="AD131">
        <f ca="1">IF(OR($L131&gt;AD$4,AD$4&gt;$L131+23),"",OFFSET(Electric!$L122,0,-'Electric Calendarize'!$L131+'Electric Calendarize'!AD$4+1))</f>
        <v>0</v>
      </c>
      <c r="AE131">
        <f ca="1">IF(OR($L131&gt;AE$4,AE$4&gt;$L131+23),"",OFFSET(Electric!$L122,0,-'Electric Calendarize'!$L131+'Electric Calendarize'!AE$4+1))</f>
        <v>0</v>
      </c>
      <c r="AF131">
        <f ca="1">IF(OR($L131&gt;AF$4,AF$4&gt;$L131+23),"",OFFSET(Electric!$L122,0,-'Electric Calendarize'!$L131+'Electric Calendarize'!AF$4+1))</f>
        <v>0</v>
      </c>
      <c r="AG131">
        <f ca="1">IF(OR($L131&gt;AG$4,AG$4&gt;$L131+23),"",OFFSET(Electric!$L122,0,-'Electric Calendarize'!$L131+'Electric Calendarize'!AG$4+1))</f>
        <v>0</v>
      </c>
      <c r="AH131">
        <f ca="1">IF(OR($L131&gt;AH$4,AH$4&gt;$L131+23),"",OFFSET(Electric!$L122,0,-'Electric Calendarize'!$L131+'Electric Calendarize'!AH$4+1))</f>
        <v>0</v>
      </c>
      <c r="AI131">
        <f ca="1">IF(OR($L131&gt;AI$4,AI$4&gt;$L131+23),"",OFFSET(Electric!$L122,0,-'Electric Calendarize'!$L131+'Electric Calendarize'!AI$4+1))</f>
        <v>894</v>
      </c>
      <c r="AJ131">
        <f ca="1">IF(OR($L131&gt;AJ$4,AJ$4&gt;$L131+23),"",OFFSET(Electric!$L122,0,-'Electric Calendarize'!$L131+'Electric Calendarize'!AJ$4+1))</f>
        <v>1115</v>
      </c>
      <c r="AK131">
        <f ca="1">IF(OR($L131&gt;AK$4,AK$4&gt;$L131+23),"",OFFSET(Electric!$L122,0,-'Electric Calendarize'!$L131+'Electric Calendarize'!AK$4+1))</f>
        <v>1159</v>
      </c>
      <c r="AL131">
        <f ca="1">IF(OR($L131&gt;AL$4,AL$4&gt;$L131+23),"",OFFSET(Electric!$L122,0,-'Electric Calendarize'!$L131+'Electric Calendarize'!AL$4+1))</f>
        <v>875</v>
      </c>
      <c r="AM131">
        <f ca="1">IF(OR($L131&gt;AM$4,AM$4&gt;$L131+23),"",OFFSET(Electric!$L122,0,-'Electric Calendarize'!$L131+'Electric Calendarize'!AM$4+1))</f>
        <v>628</v>
      </c>
      <c r="AN131">
        <f ca="1">IF(OR($L131&gt;AN$4,AN$4&gt;$L131+23),"",OFFSET(Electric!$L122,0,-'Electric Calendarize'!$L131+'Electric Calendarize'!AN$4+1))</f>
        <v>605</v>
      </c>
      <c r="AO131">
        <f ca="1">IF(OR($L131&gt;AO$4,AO$4&gt;$L131+23),"",OFFSET(Electric!$L122,0,-'Electric Calendarize'!$L131+'Electric Calendarize'!AO$4+1))</f>
        <v>709</v>
      </c>
      <c r="AP131">
        <f ca="1">IF(OR($L131&gt;AP$4,AP$4&gt;$L131+23),"",OFFSET(Electric!$L122,0,-'Electric Calendarize'!$L131+'Electric Calendarize'!AP$4+1))</f>
        <v>742</v>
      </c>
      <c r="AQ131">
        <f ca="1">IF(OR($L131&gt;AQ$4,AQ$4&gt;$L131+23),"",OFFSET(Electric!$L122,0,-'Electric Calendarize'!$L131+'Electric Calendarize'!AQ$4+1))</f>
        <v>569</v>
      </c>
      <c r="AR131">
        <f ca="1">IF(OR($L131&gt;AR$4,AR$4&gt;$L131+23),"",OFFSET(Electric!$L122,0,-'Electric Calendarize'!$L131+'Electric Calendarize'!AR$4+1))</f>
        <v>549</v>
      </c>
      <c r="AS131">
        <f ca="1">IF(OR($L131&gt;AS$4,AS$4&gt;$L131+23),"",OFFSET(Electric!$L122,0,-'Electric Calendarize'!$L131+'Electric Calendarize'!AS$4+1))</f>
        <v>496</v>
      </c>
      <c r="AT131">
        <f ca="1">IF(OR($L131&gt;AT$4,AT$4&gt;$L131+23),"",OFFSET(Electric!$L122,0,-'Electric Calendarize'!$L131+'Electric Calendarize'!AT$4+1))</f>
        <v>489</v>
      </c>
      <c r="AU131">
        <f ca="1">IF(OR($L131&gt;AU$4,AU$4&gt;$L131+23),"",OFFSET(Electric!$L122,0,-'Electric Calendarize'!$L131+'Electric Calendarize'!AU$4+1))</f>
        <v>687</v>
      </c>
      <c r="AV131">
        <f ca="1">IF(OR($L131&gt;AV$4,AV$4&gt;$L131+23),"",OFFSET(Electric!$L122,0,-'Electric Calendarize'!$L131+'Electric Calendarize'!AV$4+1))</f>
        <v>862</v>
      </c>
      <c r="AW131">
        <f ca="1">IF(OR($L131&gt;AW$4,AW$4&gt;$L131+23),"",OFFSET(Electric!$L122,0,-'Electric Calendarize'!$L131+'Electric Calendarize'!AW$4+1))</f>
        <v>829</v>
      </c>
      <c r="AX131">
        <f ca="1">IF(OR($L131&gt;AX$4,AX$4&gt;$L131+23),"",OFFSET(Electric!$L122,0,-'Electric Calendarize'!$L131+'Electric Calendarize'!AX$4+1))</f>
        <v>690</v>
      </c>
      <c r="AY131">
        <f ca="1">IF(OR($L131&gt;AY$4,AY$4&gt;$L131+23),"",OFFSET(Electric!$L122,0,-'Electric Calendarize'!$L131+'Electric Calendarize'!AY$4+1))</f>
        <v>691</v>
      </c>
      <c r="AZ131">
        <f ca="1">IF(OR($L131&gt;AZ$4,AZ$4&gt;$L131+23),"",OFFSET(Electric!$L122,0,-'Electric Calendarize'!$L131+'Electric Calendarize'!AZ$4+1))</f>
        <v>537</v>
      </c>
      <c r="BA131" t="str">
        <f ca="1">IF(OR($L131&gt;BA$4,BA$4&gt;$L131+23),"",OFFSET(Electric!$L122,0,-'Electric Calendarize'!$L131+'Electric Calendarize'!BA$4+1))</f>
        <v/>
      </c>
      <c r="BB131" t="str">
        <f ca="1">IF(OR($L131&gt;BB$4,BB$4&gt;$L131+23),"",OFFSET(Electric!$L122,0,-'Electric Calendarize'!$L131+'Electric Calendarize'!BB$4+1))</f>
        <v/>
      </c>
      <c r="BC131" t="str">
        <f ca="1">IF(OR($L131&gt;BC$4,BC$4&gt;$L131+23),"",OFFSET(Electric!$L122,0,-'Electric Calendarize'!$L131+'Electric Calendarize'!BC$4+1))</f>
        <v/>
      </c>
      <c r="BD131" t="str">
        <f ca="1">IF(OR($L131&gt;BD$4,BD$4&gt;$L131+23),"",OFFSET(Electric!$L122,0,-'Electric Calendarize'!$L131+'Electric Calendarize'!BD$4+1))</f>
        <v/>
      </c>
      <c r="BE131" t="str">
        <f ca="1">IF(OR($L131&gt;BE$4,BE$4&gt;$L131+23),"",OFFSET(Electric!$L122,0,-'Electric Calendarize'!$L131+'Electric Calendarize'!BE$4+1))</f>
        <v/>
      </c>
      <c r="BF131" t="str">
        <f ca="1">IF(OR($L131&gt;BF$4,BF$4&gt;$L131+23),"",OFFSET(Electric!$L122,0,-'Electric Calendarize'!$L131+'Electric Calendarize'!BF$4+1))</f>
        <v/>
      </c>
      <c r="BG131" t="str">
        <f ca="1">IF(OR($L131&gt;BG$4,BG$4&gt;$L131+23),"",OFFSET(Electric!$L122,0,-'Electric Calendarize'!$L131+'Electric Calendarize'!BG$4+1))</f>
        <v/>
      </c>
      <c r="BJ131" s="10" t="s">
        <v>37</v>
      </c>
      <c r="BK131">
        <f t="shared" si="303"/>
        <v>1</v>
      </c>
      <c r="BL131">
        <f t="shared" si="209"/>
        <v>0</v>
      </c>
      <c r="BM131">
        <f t="shared" si="210"/>
        <v>0</v>
      </c>
      <c r="BN131">
        <f t="shared" si="211"/>
        <v>0</v>
      </c>
      <c r="BO131">
        <f t="shared" si="212"/>
        <v>0</v>
      </c>
      <c r="BP131">
        <f t="shared" si="213"/>
        <v>0</v>
      </c>
      <c r="BQ131">
        <f t="shared" si="214"/>
        <v>0</v>
      </c>
      <c r="BR131">
        <f t="shared" si="215"/>
        <v>1</v>
      </c>
      <c r="BS131">
        <f t="shared" si="216"/>
        <v>1</v>
      </c>
      <c r="BT131">
        <f t="shared" si="217"/>
        <v>1</v>
      </c>
      <c r="BU131">
        <f t="shared" si="218"/>
        <v>1</v>
      </c>
      <c r="BV131">
        <f t="shared" si="219"/>
        <v>1</v>
      </c>
      <c r="BW131">
        <f t="shared" si="220"/>
        <v>1</v>
      </c>
      <c r="BX131">
        <f t="shared" si="221"/>
        <v>0</v>
      </c>
      <c r="BY131">
        <f t="shared" si="222"/>
        <v>0</v>
      </c>
      <c r="BZ131">
        <f t="shared" si="223"/>
        <v>0</v>
      </c>
      <c r="CA131">
        <f t="shared" si="224"/>
        <v>0</v>
      </c>
      <c r="CB131">
        <f t="shared" si="225"/>
        <v>0</v>
      </c>
      <c r="CC131">
        <f t="shared" si="226"/>
        <v>0</v>
      </c>
      <c r="CD131">
        <f t="shared" si="227"/>
        <v>1</v>
      </c>
      <c r="CE131">
        <f t="shared" si="228"/>
        <v>1</v>
      </c>
      <c r="CF131">
        <f t="shared" si="229"/>
        <v>1</v>
      </c>
      <c r="CG131">
        <f t="shared" si="230"/>
        <v>1</v>
      </c>
      <c r="CH131">
        <f t="shared" si="231"/>
        <v>1</v>
      </c>
      <c r="CI131">
        <f t="shared" si="232"/>
        <v>1</v>
      </c>
      <c r="CJ131">
        <f t="shared" si="233"/>
        <v>0</v>
      </c>
      <c r="CK131">
        <f t="shared" si="234"/>
        <v>0</v>
      </c>
      <c r="CL131">
        <f t="shared" si="235"/>
        <v>0</v>
      </c>
      <c r="CM131">
        <f t="shared" si="236"/>
        <v>0</v>
      </c>
      <c r="CN131">
        <f t="shared" si="237"/>
        <v>0</v>
      </c>
      <c r="CO131">
        <f t="shared" si="238"/>
        <v>0</v>
      </c>
      <c r="CP131">
        <f t="shared" si="239"/>
        <v>1</v>
      </c>
      <c r="CQ131">
        <f t="shared" si="240"/>
        <v>1</v>
      </c>
      <c r="CR131">
        <f t="shared" si="241"/>
        <v>1</v>
      </c>
      <c r="CS131">
        <f t="shared" si="242"/>
        <v>1</v>
      </c>
      <c r="CT131">
        <f t="shared" si="243"/>
        <v>1</v>
      </c>
      <c r="CU131">
        <f t="shared" si="244"/>
        <v>1</v>
      </c>
      <c r="CV131">
        <f t="shared" si="245"/>
        <v>0</v>
      </c>
      <c r="CW131">
        <f t="shared" si="246"/>
        <v>0</v>
      </c>
      <c r="CX131">
        <f t="shared" si="247"/>
        <v>0</v>
      </c>
      <c r="CY131">
        <f t="shared" si="248"/>
        <v>0</v>
      </c>
      <c r="CZ131">
        <f t="shared" si="249"/>
        <v>0</v>
      </c>
      <c r="DA131">
        <f t="shared" si="250"/>
        <v>0</v>
      </c>
      <c r="DB131">
        <f t="shared" si="251"/>
        <v>1</v>
      </c>
      <c r="DC131">
        <f t="shared" si="252"/>
        <v>1</v>
      </c>
      <c r="DF131" s="10" t="s">
        <v>37</v>
      </c>
      <c r="DG131" t="str">
        <f t="shared" si="315"/>
        <v>2022_6</v>
      </c>
      <c r="DH131" t="str">
        <f t="shared" si="315"/>
        <v>2022_6</v>
      </c>
      <c r="DI131" t="str">
        <f t="shared" si="315"/>
        <v>2022_6</v>
      </c>
      <c r="DJ131" t="str">
        <f t="shared" si="315"/>
        <v>2022_6</v>
      </c>
      <c r="DK131" t="str">
        <f t="shared" si="315"/>
        <v>2022_6</v>
      </c>
      <c r="DL131" t="str">
        <f t="shared" si="315"/>
        <v>2022_6</v>
      </c>
      <c r="DM131" t="str">
        <f t="shared" si="315"/>
        <v>2022_6</v>
      </c>
      <c r="DN131" t="str">
        <f t="shared" si="315"/>
        <v>2022_6</v>
      </c>
      <c r="DO131" t="str">
        <f t="shared" si="315"/>
        <v>2022_6</v>
      </c>
      <c r="DP131" t="str">
        <f t="shared" si="315"/>
        <v>2022_6</v>
      </c>
      <c r="DQ131" t="str">
        <f t="shared" si="315"/>
        <v>2022_6</v>
      </c>
      <c r="DR131" t="str">
        <f t="shared" si="315"/>
        <v>2022_6</v>
      </c>
      <c r="DS131" t="str">
        <f t="shared" si="315"/>
        <v>2022_6</v>
      </c>
      <c r="DT131" t="str">
        <f t="shared" si="315"/>
        <v>2022_6</v>
      </c>
      <c r="DU131" t="str">
        <f t="shared" si="315"/>
        <v>2022_6</v>
      </c>
      <c r="DV131" t="str">
        <f t="shared" si="315"/>
        <v>2022_6</v>
      </c>
      <c r="DW131" t="str">
        <f t="shared" si="314"/>
        <v>2022_6</v>
      </c>
      <c r="DX131" t="str">
        <f t="shared" si="314"/>
        <v>2022_6</v>
      </c>
      <c r="DY131" t="str">
        <f t="shared" si="314"/>
        <v>2022_6</v>
      </c>
      <c r="DZ131" t="str">
        <f t="shared" si="314"/>
        <v>2022_6</v>
      </c>
      <c r="EA131" t="str">
        <f t="shared" si="314"/>
        <v>2022_6</v>
      </c>
      <c r="EB131" t="str">
        <f t="shared" si="314"/>
        <v>2022_6</v>
      </c>
      <c r="EC131" t="str">
        <f t="shared" si="314"/>
        <v>2022_6</v>
      </c>
      <c r="ED131" t="str">
        <f t="shared" si="314"/>
        <v>2022_6</v>
      </c>
      <c r="EE131" t="str">
        <f t="shared" si="314"/>
        <v>2022_6</v>
      </c>
      <c r="EF131" t="str">
        <f t="shared" si="314"/>
        <v>2022_6</v>
      </c>
      <c r="EG131" t="str">
        <f t="shared" si="314"/>
        <v>2022_6</v>
      </c>
      <c r="EH131" t="str">
        <f t="shared" si="314"/>
        <v>2022_6</v>
      </c>
      <c r="EI131" t="str">
        <f t="shared" si="314"/>
        <v>2022_6</v>
      </c>
      <c r="EJ131" t="str">
        <f t="shared" si="314"/>
        <v>2022_6</v>
      </c>
      <c r="EK131" t="str">
        <f t="shared" si="313"/>
        <v>2022_6</v>
      </c>
      <c r="EL131" t="str">
        <f t="shared" si="313"/>
        <v>2022_6</v>
      </c>
      <c r="EM131" t="str">
        <f t="shared" si="313"/>
        <v>2022_6</v>
      </c>
      <c r="EN131" t="str">
        <f t="shared" si="313"/>
        <v>2022_6</v>
      </c>
      <c r="EO131" t="str">
        <f t="shared" si="313"/>
        <v>2022_6</v>
      </c>
      <c r="EP131" t="str">
        <f t="shared" si="313"/>
        <v>2022_6</v>
      </c>
      <c r="EQ131" t="str">
        <f t="shared" si="313"/>
        <v>2022_6</v>
      </c>
      <c r="ER131" t="str">
        <f t="shared" si="313"/>
        <v>2022_6</v>
      </c>
      <c r="ES131" t="str">
        <f t="shared" si="313"/>
        <v>2022_6</v>
      </c>
      <c r="ET131" t="str">
        <f t="shared" si="313"/>
        <v>2022_6</v>
      </c>
      <c r="EU131" t="str">
        <f t="shared" si="313"/>
        <v>2022_6</v>
      </c>
      <c r="EV131" t="str">
        <f t="shared" si="313"/>
        <v>2022_6</v>
      </c>
      <c r="EW131" t="str">
        <f t="shared" si="313"/>
        <v>2022_6</v>
      </c>
      <c r="EX131" t="str">
        <f t="shared" si="313"/>
        <v>2022_6</v>
      </c>
      <c r="EY131" t="str">
        <f t="shared" si="313"/>
        <v>2022_6</v>
      </c>
      <c r="FB131" s="10" t="s">
        <v>37</v>
      </c>
      <c r="FC131">
        <f t="shared" si="305"/>
        <v>0</v>
      </c>
      <c r="FD131">
        <f t="shared" si="255"/>
        <v>0</v>
      </c>
      <c r="FE131">
        <f t="shared" si="256"/>
        <v>0</v>
      </c>
      <c r="FF131">
        <f t="shared" si="257"/>
        <v>0</v>
      </c>
      <c r="FG131">
        <f t="shared" si="258"/>
        <v>0</v>
      </c>
      <c r="FH131">
        <f t="shared" si="259"/>
        <v>0</v>
      </c>
      <c r="FI131">
        <f t="shared" si="260"/>
        <v>0</v>
      </c>
      <c r="FJ131">
        <f t="shared" si="261"/>
        <v>0</v>
      </c>
      <c r="FK131">
        <f t="shared" si="262"/>
        <v>0</v>
      </c>
      <c r="FL131">
        <f t="shared" si="263"/>
        <v>0</v>
      </c>
      <c r="FM131">
        <f t="shared" si="264"/>
        <v>0</v>
      </c>
      <c r="FN131">
        <f t="shared" si="265"/>
        <v>0</v>
      </c>
      <c r="FO131">
        <f t="shared" si="266"/>
        <v>0</v>
      </c>
      <c r="FP131">
        <f t="shared" si="267"/>
        <v>0</v>
      </c>
      <c r="FQ131">
        <f t="shared" si="268"/>
        <v>0</v>
      </c>
      <c r="FR131">
        <f t="shared" si="269"/>
        <v>0</v>
      </c>
      <c r="FS131">
        <f t="shared" si="270"/>
        <v>0</v>
      </c>
      <c r="FT131">
        <f t="shared" si="271"/>
        <v>0</v>
      </c>
      <c r="FU131">
        <f t="shared" si="272"/>
        <v>0</v>
      </c>
      <c r="FV131">
        <f t="shared" si="273"/>
        <v>0</v>
      </c>
      <c r="FW131">
        <f t="shared" si="274"/>
        <v>0</v>
      </c>
      <c r="FX131">
        <f t="shared" si="275"/>
        <v>0</v>
      </c>
      <c r="FY131">
        <f t="shared" si="276"/>
        <v>0</v>
      </c>
      <c r="FZ131">
        <f t="shared" si="277"/>
        <v>0</v>
      </c>
      <c r="GA131">
        <f t="shared" si="278"/>
        <v>0</v>
      </c>
      <c r="GB131">
        <f t="shared" si="279"/>
        <v>0</v>
      </c>
      <c r="GC131">
        <f t="shared" si="280"/>
        <v>1</v>
      </c>
      <c r="GD131">
        <f t="shared" si="281"/>
        <v>1</v>
      </c>
      <c r="GE131">
        <f t="shared" si="282"/>
        <v>1</v>
      </c>
      <c r="GF131">
        <f t="shared" si="283"/>
        <v>1</v>
      </c>
      <c r="GG131">
        <f t="shared" si="284"/>
        <v>1</v>
      </c>
      <c r="GH131">
        <f t="shared" si="285"/>
        <v>1</v>
      </c>
      <c r="GI131">
        <f t="shared" si="286"/>
        <v>1</v>
      </c>
      <c r="GJ131">
        <f t="shared" si="287"/>
        <v>1</v>
      </c>
      <c r="GK131">
        <f t="shared" si="288"/>
        <v>1</v>
      </c>
      <c r="GL131">
        <f t="shared" si="289"/>
        <v>1</v>
      </c>
      <c r="GM131">
        <f t="shared" si="290"/>
        <v>1</v>
      </c>
      <c r="GN131">
        <f t="shared" si="291"/>
        <v>1</v>
      </c>
      <c r="GO131">
        <f t="shared" si="292"/>
        <v>1</v>
      </c>
      <c r="GP131">
        <f t="shared" si="293"/>
        <v>1</v>
      </c>
      <c r="GQ131">
        <f t="shared" si="294"/>
        <v>1</v>
      </c>
      <c r="GR131">
        <f t="shared" si="295"/>
        <v>1</v>
      </c>
      <c r="GS131">
        <f t="shared" si="296"/>
        <v>1</v>
      </c>
      <c r="GT131">
        <f t="shared" si="297"/>
        <v>1</v>
      </c>
      <c r="GU131">
        <f t="shared" si="298"/>
        <v>1</v>
      </c>
      <c r="GX131" s="10"/>
    </row>
    <row r="132" spans="1:206" x14ac:dyDescent="0.3">
      <c r="A132" s="9" t="s">
        <v>124</v>
      </c>
      <c r="B132" s="80"/>
      <c r="C132" s="9">
        <v>3062413000</v>
      </c>
      <c r="D132" s="9" t="s">
        <v>444</v>
      </c>
      <c r="E132" s="9" t="s">
        <v>34</v>
      </c>
      <c r="F132" s="9" t="s">
        <v>35</v>
      </c>
      <c r="G132" s="9" t="s">
        <v>166</v>
      </c>
      <c r="H132" s="10">
        <v>44736</v>
      </c>
      <c r="I132" s="9">
        <f t="shared" si="299"/>
        <v>2022</v>
      </c>
      <c r="J132" s="9">
        <f t="shared" si="300"/>
        <v>6</v>
      </c>
      <c r="K132" s="9" t="str">
        <f t="shared" si="301"/>
        <v>2022_6</v>
      </c>
      <c r="L132">
        <f>MAX(0,VLOOKUP($K132,lookups!$A$1:$B$45,2,0)-12)</f>
        <v>14</v>
      </c>
      <c r="M132" s="40">
        <f t="shared" si="302"/>
        <v>44713</v>
      </c>
      <c r="N132" s="10" t="s">
        <v>37</v>
      </c>
      <c r="O132" t="str">
        <f ca="1">IF(OR($L132&gt;O$4,O$4&gt;$L132+23),"",OFFSET(Electric!$L123,0,-'Electric Calendarize'!$L132+'Electric Calendarize'!O$4+1))</f>
        <v/>
      </c>
      <c r="P132" t="str">
        <f ca="1">IF(OR($L132&gt;P$4,P$4&gt;$L132+23),"",OFFSET(Electric!$L123,0,-'Electric Calendarize'!$L132+'Electric Calendarize'!P$4+1))</f>
        <v/>
      </c>
      <c r="Q132" t="str">
        <f ca="1">IF(OR($L132&gt;Q$4,Q$4&gt;$L132+23),"",OFFSET(Electric!$L123,0,-'Electric Calendarize'!$L132+'Electric Calendarize'!Q$4+1))</f>
        <v/>
      </c>
      <c r="R132" t="str">
        <f ca="1">IF(OR($L132&gt;R$4,R$4&gt;$L132+23),"",OFFSET(Electric!$L123,0,-'Electric Calendarize'!$L132+'Electric Calendarize'!R$4+1))</f>
        <v/>
      </c>
      <c r="S132" t="str">
        <f ca="1">IF(OR($L132&gt;S$4,S$4&gt;$L132+23),"",OFFSET(Electric!$L123,0,-'Electric Calendarize'!$L132+'Electric Calendarize'!S$4+1))</f>
        <v/>
      </c>
      <c r="T132" t="str">
        <f ca="1">IF(OR($L132&gt;T$4,T$4&gt;$L132+23),"",OFFSET(Electric!$L123,0,-'Electric Calendarize'!$L132+'Electric Calendarize'!T$4+1))</f>
        <v/>
      </c>
      <c r="U132" t="str">
        <f ca="1">IF(OR($L132&gt;U$4,U$4&gt;$L132+23),"",OFFSET(Electric!$L123,0,-'Electric Calendarize'!$L132+'Electric Calendarize'!U$4+1))</f>
        <v/>
      </c>
      <c r="V132" t="str">
        <f ca="1">IF(OR($L132&gt;V$4,V$4&gt;$L132+23),"",OFFSET(Electric!$L123,0,-'Electric Calendarize'!$L132+'Electric Calendarize'!V$4+1))</f>
        <v/>
      </c>
      <c r="W132" t="str">
        <f ca="1">IF(OR($L132&gt;W$4,W$4&gt;$L132+23),"",OFFSET(Electric!$L123,0,-'Electric Calendarize'!$L132+'Electric Calendarize'!W$4+1))</f>
        <v/>
      </c>
      <c r="X132" t="str">
        <f ca="1">IF(OR($L132&gt;X$4,X$4&gt;$L132+23),"",OFFSET(Electric!$L123,0,-'Electric Calendarize'!$L132+'Electric Calendarize'!X$4+1))</f>
        <v/>
      </c>
      <c r="Y132" t="str">
        <f ca="1">IF(OR($L132&gt;Y$4,Y$4&gt;$L132+23),"",OFFSET(Electric!$L123,0,-'Electric Calendarize'!$L132+'Electric Calendarize'!Y$4+1))</f>
        <v/>
      </c>
      <c r="Z132" t="str">
        <f ca="1">IF(OR($L132&gt;Z$4,Z$4&gt;$L132+23),"",OFFSET(Electric!$L123,0,-'Electric Calendarize'!$L132+'Electric Calendarize'!Z$4+1))</f>
        <v/>
      </c>
      <c r="AA132" t="str">
        <f ca="1">IF(OR($L132&gt;AA$4,AA$4&gt;$L132+23),"",OFFSET(Electric!$L123,0,-'Electric Calendarize'!$L132+'Electric Calendarize'!AA$4+1))</f>
        <v/>
      </c>
      <c r="AB132" t="str">
        <f ca="1">IF(OR($L132&gt;AB$4,AB$4&gt;$L132+23),"",OFFSET(Electric!$L123,0,-'Electric Calendarize'!$L132+'Electric Calendarize'!AB$4+1))</f>
        <v/>
      </c>
      <c r="AC132">
        <f ca="1">IF(OR($L132&gt;AC$4,AC$4&gt;$L132+23),"",OFFSET(Electric!$L123,0,-'Electric Calendarize'!$L132+'Electric Calendarize'!AC$4+1))</f>
        <v>748</v>
      </c>
      <c r="AD132">
        <f ca="1">IF(OR($L132&gt;AD$4,AD$4&gt;$L132+23),"",OFFSET(Electric!$L123,0,-'Electric Calendarize'!$L132+'Electric Calendarize'!AD$4+1))</f>
        <v>669</v>
      </c>
      <c r="AE132">
        <f ca="1">IF(OR($L132&gt;AE$4,AE$4&gt;$L132+23),"",OFFSET(Electric!$L123,0,-'Electric Calendarize'!$L132+'Electric Calendarize'!AE$4+1))</f>
        <v>744</v>
      </c>
      <c r="AF132">
        <f ca="1">IF(OR($L132&gt;AF$4,AF$4&gt;$L132+23),"",OFFSET(Electric!$L123,0,-'Electric Calendarize'!$L132+'Electric Calendarize'!AF$4+1))</f>
        <v>822</v>
      </c>
      <c r="AG132">
        <f ca="1">IF(OR($L132&gt;AG$4,AG$4&gt;$L132+23),"",OFFSET(Electric!$L123,0,-'Electric Calendarize'!$L132+'Electric Calendarize'!AG$4+1))</f>
        <v>525</v>
      </c>
      <c r="AH132">
        <f ca="1">IF(OR($L132&gt;AH$4,AH$4&gt;$L132+23),"",OFFSET(Electric!$L123,0,-'Electric Calendarize'!$L132+'Electric Calendarize'!AH$4+1))</f>
        <v>467</v>
      </c>
      <c r="AI132">
        <f ca="1">IF(OR($L132&gt;AI$4,AI$4&gt;$L132+23),"",OFFSET(Electric!$L123,0,-'Electric Calendarize'!$L132+'Electric Calendarize'!AI$4+1))</f>
        <v>626</v>
      </c>
      <c r="AJ132">
        <f ca="1">IF(OR($L132&gt;AJ$4,AJ$4&gt;$L132+23),"",OFFSET(Electric!$L123,0,-'Electric Calendarize'!$L132+'Electric Calendarize'!AJ$4+1))</f>
        <v>682</v>
      </c>
      <c r="AK132">
        <f ca="1">IF(OR($L132&gt;AK$4,AK$4&gt;$L132+23),"",OFFSET(Electric!$L123,0,-'Electric Calendarize'!$L132+'Electric Calendarize'!AK$4+1))</f>
        <v>535</v>
      </c>
      <c r="AL132">
        <f ca="1">IF(OR($L132&gt;AL$4,AL$4&gt;$L132+23),"",OFFSET(Electric!$L123,0,-'Electric Calendarize'!$L132+'Electric Calendarize'!AL$4+1))</f>
        <v>595</v>
      </c>
      <c r="AM132">
        <f ca="1">IF(OR($L132&gt;AM$4,AM$4&gt;$L132+23),"",OFFSET(Electric!$L123,0,-'Electric Calendarize'!$L132+'Electric Calendarize'!AM$4+1))</f>
        <v>496</v>
      </c>
      <c r="AN132">
        <f ca="1">IF(OR($L132&gt;AN$4,AN$4&gt;$L132+23),"",OFFSET(Electric!$L123,0,-'Electric Calendarize'!$L132+'Electric Calendarize'!AN$4+1))</f>
        <v>533</v>
      </c>
      <c r="AO132">
        <f ca="1">IF(OR($L132&gt;AO$4,AO$4&gt;$L132+23),"",OFFSET(Electric!$L123,0,-'Electric Calendarize'!$L132+'Electric Calendarize'!AO$4+1))</f>
        <v>796</v>
      </c>
      <c r="AP132">
        <f ca="1">IF(OR($L132&gt;AP$4,AP$4&gt;$L132+23),"",OFFSET(Electric!$L123,0,-'Electric Calendarize'!$L132+'Electric Calendarize'!AP$4+1))</f>
        <v>747</v>
      </c>
      <c r="AQ132">
        <f ca="1">IF(OR($L132&gt;AQ$4,AQ$4&gt;$L132+23),"",OFFSET(Electric!$L123,0,-'Electric Calendarize'!$L132+'Electric Calendarize'!AQ$4+1))</f>
        <v>860</v>
      </c>
      <c r="AR132">
        <f ca="1">IF(OR($L132&gt;AR$4,AR$4&gt;$L132+23),"",OFFSET(Electric!$L123,0,-'Electric Calendarize'!$L132+'Electric Calendarize'!AR$4+1))</f>
        <v>563</v>
      </c>
      <c r="AS132">
        <f ca="1">IF(OR($L132&gt;AS$4,AS$4&gt;$L132+23),"",OFFSET(Electric!$L123,0,-'Electric Calendarize'!$L132+'Electric Calendarize'!AS$4+1))</f>
        <v>509</v>
      </c>
      <c r="AT132">
        <f ca="1">IF(OR($L132&gt;AT$4,AT$4&gt;$L132+23),"",OFFSET(Electric!$L123,0,-'Electric Calendarize'!$L132+'Electric Calendarize'!AT$4+1))</f>
        <v>556</v>
      </c>
      <c r="AU132">
        <f ca="1">IF(OR($L132&gt;AU$4,AU$4&gt;$L132+23),"",OFFSET(Electric!$L123,0,-'Electric Calendarize'!$L132+'Electric Calendarize'!AU$4+1))</f>
        <v>1087</v>
      </c>
      <c r="AV132">
        <f ca="1">IF(OR($L132&gt;AV$4,AV$4&gt;$L132+23),"",OFFSET(Electric!$L123,0,-'Electric Calendarize'!$L132+'Electric Calendarize'!AV$4+1))</f>
        <v>1368</v>
      </c>
      <c r="AW132">
        <f ca="1">IF(OR($L132&gt;AW$4,AW$4&gt;$L132+23),"",OFFSET(Electric!$L123,0,-'Electric Calendarize'!$L132+'Electric Calendarize'!AW$4+1))</f>
        <v>1609</v>
      </c>
      <c r="AX132">
        <f ca="1">IF(OR($L132&gt;AX$4,AX$4&gt;$L132+23),"",OFFSET(Electric!$L123,0,-'Electric Calendarize'!$L132+'Electric Calendarize'!AX$4+1))</f>
        <v>1248</v>
      </c>
      <c r="AY132">
        <f ca="1">IF(OR($L132&gt;AY$4,AY$4&gt;$L132+23),"",OFFSET(Electric!$L123,0,-'Electric Calendarize'!$L132+'Electric Calendarize'!AY$4+1))</f>
        <v>791</v>
      </c>
      <c r="AZ132">
        <f ca="1">IF(OR($L132&gt;AZ$4,AZ$4&gt;$L132+23),"",OFFSET(Electric!$L123,0,-'Electric Calendarize'!$L132+'Electric Calendarize'!AZ$4+1))</f>
        <v>559</v>
      </c>
      <c r="BA132" t="str">
        <f ca="1">IF(OR($L132&gt;BA$4,BA$4&gt;$L132+23),"",OFFSET(Electric!$L123,0,-'Electric Calendarize'!$L132+'Electric Calendarize'!BA$4+1))</f>
        <v/>
      </c>
      <c r="BB132" t="str">
        <f ca="1">IF(OR($L132&gt;BB$4,BB$4&gt;$L132+23),"",OFFSET(Electric!$L123,0,-'Electric Calendarize'!$L132+'Electric Calendarize'!BB$4+1))</f>
        <v/>
      </c>
      <c r="BC132" t="str">
        <f ca="1">IF(OR($L132&gt;BC$4,BC$4&gt;$L132+23),"",OFFSET(Electric!$L123,0,-'Electric Calendarize'!$L132+'Electric Calendarize'!BC$4+1))</f>
        <v/>
      </c>
      <c r="BD132" t="str">
        <f ca="1">IF(OR($L132&gt;BD$4,BD$4&gt;$L132+23),"",OFFSET(Electric!$L123,0,-'Electric Calendarize'!$L132+'Electric Calendarize'!BD$4+1))</f>
        <v/>
      </c>
      <c r="BE132" t="str">
        <f ca="1">IF(OR($L132&gt;BE$4,BE$4&gt;$L132+23),"",OFFSET(Electric!$L123,0,-'Electric Calendarize'!$L132+'Electric Calendarize'!BE$4+1))</f>
        <v/>
      </c>
      <c r="BF132" t="str">
        <f ca="1">IF(OR($L132&gt;BF$4,BF$4&gt;$L132+23),"",OFFSET(Electric!$L123,0,-'Electric Calendarize'!$L132+'Electric Calendarize'!BF$4+1))</f>
        <v/>
      </c>
      <c r="BG132" t="str">
        <f ca="1">IF(OR($L132&gt;BG$4,BG$4&gt;$L132+23),"",OFFSET(Electric!$L123,0,-'Electric Calendarize'!$L132+'Electric Calendarize'!BG$4+1))</f>
        <v/>
      </c>
      <c r="BJ132" s="10" t="s">
        <v>37</v>
      </c>
      <c r="BK132">
        <f t="shared" si="303"/>
        <v>1</v>
      </c>
      <c r="BL132">
        <f t="shared" si="209"/>
        <v>0</v>
      </c>
      <c r="BM132">
        <f t="shared" si="210"/>
        <v>0</v>
      </c>
      <c r="BN132">
        <f t="shared" si="211"/>
        <v>0</v>
      </c>
      <c r="BO132">
        <f t="shared" si="212"/>
        <v>0</v>
      </c>
      <c r="BP132">
        <f t="shared" si="213"/>
        <v>0</v>
      </c>
      <c r="BQ132">
        <f t="shared" si="214"/>
        <v>0</v>
      </c>
      <c r="BR132">
        <f t="shared" si="215"/>
        <v>1</v>
      </c>
      <c r="BS132">
        <f t="shared" si="216"/>
        <v>1</v>
      </c>
      <c r="BT132">
        <f t="shared" si="217"/>
        <v>1</v>
      </c>
      <c r="BU132">
        <f t="shared" si="218"/>
        <v>1</v>
      </c>
      <c r="BV132">
        <f t="shared" si="219"/>
        <v>1</v>
      </c>
      <c r="BW132">
        <f t="shared" si="220"/>
        <v>1</v>
      </c>
      <c r="BX132">
        <f t="shared" si="221"/>
        <v>0</v>
      </c>
      <c r="BY132">
        <f t="shared" si="222"/>
        <v>0</v>
      </c>
      <c r="BZ132">
        <f t="shared" si="223"/>
        <v>0</v>
      </c>
      <c r="CA132">
        <f t="shared" si="224"/>
        <v>0</v>
      </c>
      <c r="CB132">
        <f t="shared" si="225"/>
        <v>0</v>
      </c>
      <c r="CC132">
        <f t="shared" si="226"/>
        <v>0</v>
      </c>
      <c r="CD132">
        <f t="shared" si="227"/>
        <v>1</v>
      </c>
      <c r="CE132">
        <f t="shared" si="228"/>
        <v>1</v>
      </c>
      <c r="CF132">
        <f t="shared" si="229"/>
        <v>1</v>
      </c>
      <c r="CG132">
        <f t="shared" si="230"/>
        <v>1</v>
      </c>
      <c r="CH132">
        <f t="shared" si="231"/>
        <v>1</v>
      </c>
      <c r="CI132">
        <f t="shared" si="232"/>
        <v>1</v>
      </c>
      <c r="CJ132">
        <f t="shared" si="233"/>
        <v>0</v>
      </c>
      <c r="CK132">
        <f t="shared" si="234"/>
        <v>0</v>
      </c>
      <c r="CL132">
        <f t="shared" si="235"/>
        <v>0</v>
      </c>
      <c r="CM132">
        <f t="shared" si="236"/>
        <v>0</v>
      </c>
      <c r="CN132">
        <f t="shared" si="237"/>
        <v>0</v>
      </c>
      <c r="CO132">
        <f t="shared" si="238"/>
        <v>0</v>
      </c>
      <c r="CP132">
        <f t="shared" si="239"/>
        <v>1</v>
      </c>
      <c r="CQ132">
        <f t="shared" si="240"/>
        <v>1</v>
      </c>
      <c r="CR132">
        <f t="shared" si="241"/>
        <v>1</v>
      </c>
      <c r="CS132">
        <f t="shared" si="242"/>
        <v>1</v>
      </c>
      <c r="CT132">
        <f t="shared" si="243"/>
        <v>1</v>
      </c>
      <c r="CU132">
        <f t="shared" si="244"/>
        <v>1</v>
      </c>
      <c r="CV132">
        <f t="shared" si="245"/>
        <v>0</v>
      </c>
      <c r="CW132">
        <f t="shared" si="246"/>
        <v>0</v>
      </c>
      <c r="CX132">
        <f t="shared" si="247"/>
        <v>0</v>
      </c>
      <c r="CY132">
        <f t="shared" si="248"/>
        <v>0</v>
      </c>
      <c r="CZ132">
        <f t="shared" si="249"/>
        <v>0</v>
      </c>
      <c r="DA132">
        <f t="shared" si="250"/>
        <v>0</v>
      </c>
      <c r="DB132">
        <f t="shared" si="251"/>
        <v>1</v>
      </c>
      <c r="DC132">
        <f t="shared" si="252"/>
        <v>1</v>
      </c>
      <c r="DF132" s="10" t="s">
        <v>37</v>
      </c>
      <c r="DG132" t="str">
        <f t="shared" si="315"/>
        <v>2022_6</v>
      </c>
      <c r="DH132" t="str">
        <f t="shared" si="315"/>
        <v>2022_6</v>
      </c>
      <c r="DI132" t="str">
        <f t="shared" si="315"/>
        <v>2022_6</v>
      </c>
      <c r="DJ132" t="str">
        <f t="shared" si="315"/>
        <v>2022_6</v>
      </c>
      <c r="DK132" t="str">
        <f t="shared" si="315"/>
        <v>2022_6</v>
      </c>
      <c r="DL132" t="str">
        <f t="shared" si="315"/>
        <v>2022_6</v>
      </c>
      <c r="DM132" t="str">
        <f t="shared" si="315"/>
        <v>2022_6</v>
      </c>
      <c r="DN132" t="str">
        <f t="shared" si="315"/>
        <v>2022_6</v>
      </c>
      <c r="DO132" t="str">
        <f t="shared" si="315"/>
        <v>2022_6</v>
      </c>
      <c r="DP132" t="str">
        <f t="shared" si="315"/>
        <v>2022_6</v>
      </c>
      <c r="DQ132" t="str">
        <f t="shared" si="315"/>
        <v>2022_6</v>
      </c>
      <c r="DR132" t="str">
        <f t="shared" si="315"/>
        <v>2022_6</v>
      </c>
      <c r="DS132" t="str">
        <f t="shared" si="315"/>
        <v>2022_6</v>
      </c>
      <c r="DT132" t="str">
        <f t="shared" si="315"/>
        <v>2022_6</v>
      </c>
      <c r="DU132" t="str">
        <f t="shared" si="315"/>
        <v>2022_6</v>
      </c>
      <c r="DV132" t="str">
        <f t="shared" si="315"/>
        <v>2022_6</v>
      </c>
      <c r="DW132" t="str">
        <f t="shared" si="314"/>
        <v>2022_6</v>
      </c>
      <c r="DX132" t="str">
        <f t="shared" si="314"/>
        <v>2022_6</v>
      </c>
      <c r="DY132" t="str">
        <f t="shared" si="314"/>
        <v>2022_6</v>
      </c>
      <c r="DZ132" t="str">
        <f t="shared" si="314"/>
        <v>2022_6</v>
      </c>
      <c r="EA132" t="str">
        <f t="shared" si="314"/>
        <v>2022_6</v>
      </c>
      <c r="EB132" t="str">
        <f t="shared" si="314"/>
        <v>2022_6</v>
      </c>
      <c r="EC132" t="str">
        <f t="shared" si="314"/>
        <v>2022_6</v>
      </c>
      <c r="ED132" t="str">
        <f t="shared" si="314"/>
        <v>2022_6</v>
      </c>
      <c r="EE132" t="str">
        <f t="shared" si="314"/>
        <v>2022_6</v>
      </c>
      <c r="EF132" t="str">
        <f t="shared" si="314"/>
        <v>2022_6</v>
      </c>
      <c r="EG132" t="str">
        <f t="shared" si="314"/>
        <v>2022_6</v>
      </c>
      <c r="EH132" t="str">
        <f t="shared" si="314"/>
        <v>2022_6</v>
      </c>
      <c r="EI132" t="str">
        <f t="shared" si="314"/>
        <v>2022_6</v>
      </c>
      <c r="EJ132" t="str">
        <f t="shared" si="314"/>
        <v>2022_6</v>
      </c>
      <c r="EK132" t="str">
        <f t="shared" si="313"/>
        <v>2022_6</v>
      </c>
      <c r="EL132" t="str">
        <f t="shared" si="313"/>
        <v>2022_6</v>
      </c>
      <c r="EM132" t="str">
        <f t="shared" si="313"/>
        <v>2022_6</v>
      </c>
      <c r="EN132" t="str">
        <f t="shared" si="313"/>
        <v>2022_6</v>
      </c>
      <c r="EO132" t="str">
        <f t="shared" si="313"/>
        <v>2022_6</v>
      </c>
      <c r="EP132" t="str">
        <f t="shared" si="313"/>
        <v>2022_6</v>
      </c>
      <c r="EQ132" t="str">
        <f t="shared" si="313"/>
        <v>2022_6</v>
      </c>
      <c r="ER132" t="str">
        <f t="shared" si="313"/>
        <v>2022_6</v>
      </c>
      <c r="ES132" t="str">
        <f t="shared" si="313"/>
        <v>2022_6</v>
      </c>
      <c r="ET132" t="str">
        <f t="shared" si="313"/>
        <v>2022_6</v>
      </c>
      <c r="EU132" t="str">
        <f t="shared" si="313"/>
        <v>2022_6</v>
      </c>
      <c r="EV132" t="str">
        <f t="shared" si="313"/>
        <v>2022_6</v>
      </c>
      <c r="EW132" t="str">
        <f t="shared" si="313"/>
        <v>2022_6</v>
      </c>
      <c r="EX132" t="str">
        <f t="shared" si="313"/>
        <v>2022_6</v>
      </c>
      <c r="EY132" t="str">
        <f t="shared" si="313"/>
        <v>2022_6</v>
      </c>
      <c r="FB132" s="10" t="s">
        <v>37</v>
      </c>
      <c r="FC132">
        <f t="shared" si="305"/>
        <v>0</v>
      </c>
      <c r="FD132">
        <f t="shared" si="255"/>
        <v>0</v>
      </c>
      <c r="FE132">
        <f t="shared" si="256"/>
        <v>0</v>
      </c>
      <c r="FF132">
        <f t="shared" si="257"/>
        <v>0</v>
      </c>
      <c r="FG132">
        <f t="shared" si="258"/>
        <v>0</v>
      </c>
      <c r="FH132">
        <f t="shared" si="259"/>
        <v>0</v>
      </c>
      <c r="FI132">
        <f t="shared" si="260"/>
        <v>0</v>
      </c>
      <c r="FJ132">
        <f t="shared" si="261"/>
        <v>0</v>
      </c>
      <c r="FK132">
        <f t="shared" si="262"/>
        <v>0</v>
      </c>
      <c r="FL132">
        <f t="shared" si="263"/>
        <v>0</v>
      </c>
      <c r="FM132">
        <f t="shared" si="264"/>
        <v>0</v>
      </c>
      <c r="FN132">
        <f t="shared" si="265"/>
        <v>0</v>
      </c>
      <c r="FO132">
        <f t="shared" si="266"/>
        <v>0</v>
      </c>
      <c r="FP132">
        <f t="shared" si="267"/>
        <v>0</v>
      </c>
      <c r="FQ132">
        <f t="shared" si="268"/>
        <v>0</v>
      </c>
      <c r="FR132">
        <f t="shared" si="269"/>
        <v>0</v>
      </c>
      <c r="FS132">
        <f t="shared" si="270"/>
        <v>0</v>
      </c>
      <c r="FT132">
        <f t="shared" si="271"/>
        <v>0</v>
      </c>
      <c r="FU132">
        <f t="shared" si="272"/>
        <v>0</v>
      </c>
      <c r="FV132">
        <f t="shared" si="273"/>
        <v>0</v>
      </c>
      <c r="FW132">
        <f t="shared" si="274"/>
        <v>0</v>
      </c>
      <c r="FX132">
        <f t="shared" si="275"/>
        <v>0</v>
      </c>
      <c r="FY132">
        <f t="shared" si="276"/>
        <v>0</v>
      </c>
      <c r="FZ132">
        <f t="shared" si="277"/>
        <v>0</v>
      </c>
      <c r="GA132">
        <f t="shared" si="278"/>
        <v>0</v>
      </c>
      <c r="GB132">
        <f t="shared" si="279"/>
        <v>0</v>
      </c>
      <c r="GC132">
        <f t="shared" si="280"/>
        <v>1</v>
      </c>
      <c r="GD132">
        <f t="shared" si="281"/>
        <v>1</v>
      </c>
      <c r="GE132">
        <f t="shared" si="282"/>
        <v>1</v>
      </c>
      <c r="GF132">
        <f t="shared" si="283"/>
        <v>1</v>
      </c>
      <c r="GG132">
        <f t="shared" si="284"/>
        <v>1</v>
      </c>
      <c r="GH132">
        <f t="shared" si="285"/>
        <v>1</v>
      </c>
      <c r="GI132">
        <f t="shared" si="286"/>
        <v>1</v>
      </c>
      <c r="GJ132">
        <f t="shared" si="287"/>
        <v>1</v>
      </c>
      <c r="GK132">
        <f t="shared" si="288"/>
        <v>1</v>
      </c>
      <c r="GL132">
        <f t="shared" si="289"/>
        <v>1</v>
      </c>
      <c r="GM132">
        <f t="shared" si="290"/>
        <v>1</v>
      </c>
      <c r="GN132">
        <f t="shared" si="291"/>
        <v>1</v>
      </c>
      <c r="GO132">
        <f t="shared" si="292"/>
        <v>1</v>
      </c>
      <c r="GP132">
        <f t="shared" si="293"/>
        <v>1</v>
      </c>
      <c r="GQ132">
        <f t="shared" si="294"/>
        <v>1</v>
      </c>
      <c r="GR132">
        <f t="shared" si="295"/>
        <v>1</v>
      </c>
      <c r="GS132">
        <f t="shared" si="296"/>
        <v>1</v>
      </c>
      <c r="GT132">
        <f t="shared" si="297"/>
        <v>1</v>
      </c>
      <c r="GU132">
        <f t="shared" si="298"/>
        <v>1</v>
      </c>
      <c r="GX132" s="10"/>
    </row>
    <row r="133" spans="1:206" x14ac:dyDescent="0.3">
      <c r="A133" s="9" t="s">
        <v>33</v>
      </c>
      <c r="B133" s="80"/>
      <c r="C133" s="9">
        <v>3081836001</v>
      </c>
      <c r="D133" s="9" t="s">
        <v>445</v>
      </c>
      <c r="E133" s="9" t="s">
        <v>34</v>
      </c>
      <c r="F133" s="9" t="s">
        <v>35</v>
      </c>
      <c r="G133" s="9" t="s">
        <v>167</v>
      </c>
      <c r="H133" s="10">
        <v>44742</v>
      </c>
      <c r="I133" s="9">
        <f t="shared" si="299"/>
        <v>2022</v>
      </c>
      <c r="J133" s="9">
        <f t="shared" si="300"/>
        <v>6</v>
      </c>
      <c r="K133" s="9" t="str">
        <f t="shared" si="301"/>
        <v>2022_6</v>
      </c>
      <c r="L133">
        <f>MAX(0,VLOOKUP($K133,lookups!$A$1:$B$45,2,0)-12)</f>
        <v>14</v>
      </c>
      <c r="M133" s="40">
        <f t="shared" si="302"/>
        <v>44713</v>
      </c>
      <c r="N133" s="10" t="s">
        <v>37</v>
      </c>
      <c r="O133" t="str">
        <f ca="1">IF(OR($L133&gt;O$4,O$4&gt;$L133+23),"",OFFSET(Electric!$L124,0,-'Electric Calendarize'!$L133+'Electric Calendarize'!O$4+1))</f>
        <v/>
      </c>
      <c r="P133" t="str">
        <f ca="1">IF(OR($L133&gt;P$4,P$4&gt;$L133+23),"",OFFSET(Electric!$L124,0,-'Electric Calendarize'!$L133+'Electric Calendarize'!P$4+1))</f>
        <v/>
      </c>
      <c r="Q133" t="str">
        <f ca="1">IF(OR($L133&gt;Q$4,Q$4&gt;$L133+23),"",OFFSET(Electric!$L124,0,-'Electric Calendarize'!$L133+'Electric Calendarize'!Q$4+1))</f>
        <v/>
      </c>
      <c r="R133" t="str">
        <f ca="1">IF(OR($L133&gt;R$4,R$4&gt;$L133+23),"",OFFSET(Electric!$L124,0,-'Electric Calendarize'!$L133+'Electric Calendarize'!R$4+1))</f>
        <v/>
      </c>
      <c r="S133" t="str">
        <f ca="1">IF(OR($L133&gt;S$4,S$4&gt;$L133+23),"",OFFSET(Electric!$L124,0,-'Electric Calendarize'!$L133+'Electric Calendarize'!S$4+1))</f>
        <v/>
      </c>
      <c r="T133" t="str">
        <f ca="1">IF(OR($L133&gt;T$4,T$4&gt;$L133+23),"",OFFSET(Electric!$L124,0,-'Electric Calendarize'!$L133+'Electric Calendarize'!T$4+1))</f>
        <v/>
      </c>
      <c r="U133" t="str">
        <f ca="1">IF(OR($L133&gt;U$4,U$4&gt;$L133+23),"",OFFSET(Electric!$L124,0,-'Electric Calendarize'!$L133+'Electric Calendarize'!U$4+1))</f>
        <v/>
      </c>
      <c r="V133" t="str">
        <f ca="1">IF(OR($L133&gt;V$4,V$4&gt;$L133+23),"",OFFSET(Electric!$L124,0,-'Electric Calendarize'!$L133+'Electric Calendarize'!V$4+1))</f>
        <v/>
      </c>
      <c r="W133" t="str">
        <f ca="1">IF(OR($L133&gt;W$4,W$4&gt;$L133+23),"",OFFSET(Electric!$L124,0,-'Electric Calendarize'!$L133+'Electric Calendarize'!W$4+1))</f>
        <v/>
      </c>
      <c r="X133" t="str">
        <f ca="1">IF(OR($L133&gt;X$4,X$4&gt;$L133+23),"",OFFSET(Electric!$L124,0,-'Electric Calendarize'!$L133+'Electric Calendarize'!X$4+1))</f>
        <v/>
      </c>
      <c r="Y133" t="str">
        <f ca="1">IF(OR($L133&gt;Y$4,Y$4&gt;$L133+23),"",OFFSET(Electric!$L124,0,-'Electric Calendarize'!$L133+'Electric Calendarize'!Y$4+1))</f>
        <v/>
      </c>
      <c r="Z133" t="str">
        <f ca="1">IF(OR($L133&gt;Z$4,Z$4&gt;$L133+23),"",OFFSET(Electric!$L124,0,-'Electric Calendarize'!$L133+'Electric Calendarize'!Z$4+1))</f>
        <v/>
      </c>
      <c r="AA133" t="str">
        <f ca="1">IF(OR($L133&gt;AA$4,AA$4&gt;$L133+23),"",OFFSET(Electric!$L124,0,-'Electric Calendarize'!$L133+'Electric Calendarize'!AA$4+1))</f>
        <v/>
      </c>
      <c r="AB133" t="str">
        <f ca="1">IF(OR($L133&gt;AB$4,AB$4&gt;$L133+23),"",OFFSET(Electric!$L124,0,-'Electric Calendarize'!$L133+'Electric Calendarize'!AB$4+1))</f>
        <v/>
      </c>
      <c r="AC133">
        <f ca="1">IF(OR($L133&gt;AC$4,AC$4&gt;$L133+23),"",OFFSET(Electric!$L124,0,-'Electric Calendarize'!$L133+'Electric Calendarize'!AC$4+1))</f>
        <v>517</v>
      </c>
      <c r="AD133">
        <f ca="1">IF(OR($L133&gt;AD$4,AD$4&gt;$L133+23),"",OFFSET(Electric!$L124,0,-'Electric Calendarize'!$L133+'Electric Calendarize'!AD$4+1))</f>
        <v>593</v>
      </c>
      <c r="AE133">
        <f ca="1">IF(OR($L133&gt;AE$4,AE$4&gt;$L133+23),"",OFFSET(Electric!$L124,0,-'Electric Calendarize'!$L133+'Electric Calendarize'!AE$4+1))</f>
        <v>562</v>
      </c>
      <c r="AF133">
        <f ca="1">IF(OR($L133&gt;AF$4,AF$4&gt;$L133+23),"",OFFSET(Electric!$L124,0,-'Electric Calendarize'!$L133+'Electric Calendarize'!AF$4+1))</f>
        <v>628</v>
      </c>
      <c r="AG133">
        <f ca="1">IF(OR($L133&gt;AG$4,AG$4&gt;$L133+23),"",OFFSET(Electric!$L124,0,-'Electric Calendarize'!$L133+'Electric Calendarize'!AG$4+1))</f>
        <v>448</v>
      </c>
      <c r="AH133">
        <f ca="1">IF(OR($L133&gt;AH$4,AH$4&gt;$L133+23),"",OFFSET(Electric!$L124,0,-'Electric Calendarize'!$L133+'Electric Calendarize'!AH$4+1))</f>
        <v>478</v>
      </c>
      <c r="AI133">
        <f ca="1">IF(OR($L133&gt;AI$4,AI$4&gt;$L133+23),"",OFFSET(Electric!$L124,0,-'Electric Calendarize'!$L133+'Electric Calendarize'!AI$4+1))</f>
        <v>557</v>
      </c>
      <c r="AJ133">
        <f ca="1">IF(OR($L133&gt;AJ$4,AJ$4&gt;$L133+23),"",OFFSET(Electric!$L124,0,-'Electric Calendarize'!$L133+'Electric Calendarize'!AJ$4+1))</f>
        <v>640</v>
      </c>
      <c r="AK133">
        <f ca="1">IF(OR($L133&gt;AK$4,AK$4&gt;$L133+23),"",OFFSET(Electric!$L124,0,-'Electric Calendarize'!$L133+'Electric Calendarize'!AK$4+1))</f>
        <v>541</v>
      </c>
      <c r="AL133">
        <f ca="1">IF(OR($L133&gt;AL$4,AL$4&gt;$L133+23),"",OFFSET(Electric!$L124,0,-'Electric Calendarize'!$L133+'Electric Calendarize'!AL$4+1))</f>
        <v>567</v>
      </c>
      <c r="AM133">
        <f ca="1">IF(OR($L133&gt;AM$4,AM$4&gt;$L133+23),"",OFFSET(Electric!$L124,0,-'Electric Calendarize'!$L133+'Electric Calendarize'!AM$4+1))</f>
        <v>516</v>
      </c>
      <c r="AN133">
        <f ca="1">IF(OR($L133&gt;AN$4,AN$4&gt;$L133+23),"",OFFSET(Electric!$L124,0,-'Electric Calendarize'!$L133+'Electric Calendarize'!AN$4+1))</f>
        <v>542</v>
      </c>
      <c r="AO133">
        <f ca="1">IF(OR($L133&gt;AO$4,AO$4&gt;$L133+23),"",OFFSET(Electric!$L124,0,-'Electric Calendarize'!$L133+'Electric Calendarize'!AO$4+1))</f>
        <v>500</v>
      </c>
      <c r="AP133">
        <f ca="1">IF(OR($L133&gt;AP$4,AP$4&gt;$L133+23),"",OFFSET(Electric!$L124,0,-'Electric Calendarize'!$L133+'Electric Calendarize'!AP$4+1))</f>
        <v>625</v>
      </c>
      <c r="AQ133">
        <f ca="1">IF(OR($L133&gt;AQ$4,AQ$4&gt;$L133+23),"",OFFSET(Electric!$L124,0,-'Electric Calendarize'!$L133+'Electric Calendarize'!AQ$4+1))</f>
        <v>707</v>
      </c>
      <c r="AR133">
        <f ca="1">IF(OR($L133&gt;AR$4,AR$4&gt;$L133+23),"",OFFSET(Electric!$L124,0,-'Electric Calendarize'!$L133+'Electric Calendarize'!AR$4+1))</f>
        <v>618</v>
      </c>
      <c r="AS133">
        <f ca="1">IF(OR($L133&gt;AS$4,AS$4&gt;$L133+23),"",OFFSET(Electric!$L124,0,-'Electric Calendarize'!$L133+'Electric Calendarize'!AS$4+1))</f>
        <v>503</v>
      </c>
      <c r="AT133">
        <f ca="1">IF(OR($L133&gt;AT$4,AT$4&gt;$L133+23),"",OFFSET(Electric!$L124,0,-'Electric Calendarize'!$L133+'Electric Calendarize'!AT$4+1))</f>
        <v>539</v>
      </c>
      <c r="AU133">
        <f ca="1">IF(OR($L133&gt;AU$4,AU$4&gt;$L133+23),"",OFFSET(Electric!$L124,0,-'Electric Calendarize'!$L133+'Electric Calendarize'!AU$4+1))</f>
        <v>558</v>
      </c>
      <c r="AV133">
        <f ca="1">IF(OR($L133&gt;AV$4,AV$4&gt;$L133+23),"",OFFSET(Electric!$L124,0,-'Electric Calendarize'!$L133+'Electric Calendarize'!AV$4+1))</f>
        <v>720</v>
      </c>
      <c r="AW133">
        <f ca="1">IF(OR($L133&gt;AW$4,AW$4&gt;$L133+23),"",OFFSET(Electric!$L124,0,-'Electric Calendarize'!$L133+'Electric Calendarize'!AW$4+1))</f>
        <v>669</v>
      </c>
      <c r="AX133">
        <f ca="1">IF(OR($L133&gt;AX$4,AX$4&gt;$L133+23),"",OFFSET(Electric!$L124,0,-'Electric Calendarize'!$L133+'Electric Calendarize'!AX$4+1))</f>
        <v>673</v>
      </c>
      <c r="AY133">
        <f ca="1">IF(OR($L133&gt;AY$4,AY$4&gt;$L133+23),"",OFFSET(Electric!$L124,0,-'Electric Calendarize'!$L133+'Electric Calendarize'!AY$4+1))</f>
        <v>643</v>
      </c>
      <c r="AZ133">
        <f ca="1">IF(OR($L133&gt;AZ$4,AZ$4&gt;$L133+23),"",OFFSET(Electric!$L124,0,-'Electric Calendarize'!$L133+'Electric Calendarize'!AZ$4+1))</f>
        <v>531</v>
      </c>
      <c r="BA133" t="str">
        <f ca="1">IF(OR($L133&gt;BA$4,BA$4&gt;$L133+23),"",OFFSET(Electric!$L124,0,-'Electric Calendarize'!$L133+'Electric Calendarize'!BA$4+1))</f>
        <v/>
      </c>
      <c r="BB133" t="str">
        <f ca="1">IF(OR($L133&gt;BB$4,BB$4&gt;$L133+23),"",OFFSET(Electric!$L124,0,-'Electric Calendarize'!$L133+'Electric Calendarize'!BB$4+1))</f>
        <v/>
      </c>
      <c r="BC133" t="str">
        <f ca="1">IF(OR($L133&gt;BC$4,BC$4&gt;$L133+23),"",OFFSET(Electric!$L124,0,-'Electric Calendarize'!$L133+'Electric Calendarize'!BC$4+1))</f>
        <v/>
      </c>
      <c r="BD133" t="str">
        <f ca="1">IF(OR($L133&gt;BD$4,BD$4&gt;$L133+23),"",OFFSET(Electric!$L124,0,-'Electric Calendarize'!$L133+'Electric Calendarize'!BD$4+1))</f>
        <v/>
      </c>
      <c r="BE133" t="str">
        <f ca="1">IF(OR($L133&gt;BE$4,BE$4&gt;$L133+23),"",OFFSET(Electric!$L124,0,-'Electric Calendarize'!$L133+'Electric Calendarize'!BE$4+1))</f>
        <v/>
      </c>
      <c r="BF133" t="str">
        <f ca="1">IF(OR($L133&gt;BF$4,BF$4&gt;$L133+23),"",OFFSET(Electric!$L124,0,-'Electric Calendarize'!$L133+'Electric Calendarize'!BF$4+1))</f>
        <v/>
      </c>
      <c r="BG133" t="str">
        <f ca="1">IF(OR($L133&gt;BG$4,BG$4&gt;$L133+23),"",OFFSET(Electric!$L124,0,-'Electric Calendarize'!$L133+'Electric Calendarize'!BG$4+1))</f>
        <v/>
      </c>
      <c r="BJ133" s="10" t="s">
        <v>37</v>
      </c>
      <c r="BK133">
        <f t="shared" si="303"/>
        <v>1</v>
      </c>
      <c r="BL133">
        <f t="shared" si="209"/>
        <v>0</v>
      </c>
      <c r="BM133">
        <f t="shared" si="210"/>
        <v>0</v>
      </c>
      <c r="BN133">
        <f t="shared" si="211"/>
        <v>0</v>
      </c>
      <c r="BO133">
        <f t="shared" si="212"/>
        <v>0</v>
      </c>
      <c r="BP133">
        <f t="shared" si="213"/>
        <v>0</v>
      </c>
      <c r="BQ133">
        <f t="shared" si="214"/>
        <v>0</v>
      </c>
      <c r="BR133">
        <f t="shared" si="215"/>
        <v>1</v>
      </c>
      <c r="BS133">
        <f t="shared" si="216"/>
        <v>1</v>
      </c>
      <c r="BT133">
        <f t="shared" si="217"/>
        <v>1</v>
      </c>
      <c r="BU133">
        <f t="shared" si="218"/>
        <v>1</v>
      </c>
      <c r="BV133">
        <f t="shared" si="219"/>
        <v>1</v>
      </c>
      <c r="BW133">
        <f t="shared" si="220"/>
        <v>1</v>
      </c>
      <c r="BX133">
        <f t="shared" si="221"/>
        <v>0</v>
      </c>
      <c r="BY133">
        <f t="shared" si="222"/>
        <v>0</v>
      </c>
      <c r="BZ133">
        <f t="shared" si="223"/>
        <v>0</v>
      </c>
      <c r="CA133">
        <f t="shared" si="224"/>
        <v>0</v>
      </c>
      <c r="CB133">
        <f t="shared" si="225"/>
        <v>0</v>
      </c>
      <c r="CC133">
        <f t="shared" si="226"/>
        <v>0</v>
      </c>
      <c r="CD133">
        <f t="shared" si="227"/>
        <v>1</v>
      </c>
      <c r="CE133">
        <f t="shared" si="228"/>
        <v>1</v>
      </c>
      <c r="CF133">
        <f t="shared" si="229"/>
        <v>1</v>
      </c>
      <c r="CG133">
        <f t="shared" si="230"/>
        <v>1</v>
      </c>
      <c r="CH133">
        <f t="shared" si="231"/>
        <v>1</v>
      </c>
      <c r="CI133">
        <f t="shared" si="232"/>
        <v>1</v>
      </c>
      <c r="CJ133">
        <f t="shared" si="233"/>
        <v>0</v>
      </c>
      <c r="CK133">
        <f t="shared" si="234"/>
        <v>0</v>
      </c>
      <c r="CL133">
        <f t="shared" si="235"/>
        <v>0</v>
      </c>
      <c r="CM133">
        <f t="shared" si="236"/>
        <v>0</v>
      </c>
      <c r="CN133">
        <f t="shared" si="237"/>
        <v>0</v>
      </c>
      <c r="CO133">
        <f t="shared" si="238"/>
        <v>0</v>
      </c>
      <c r="CP133">
        <f t="shared" si="239"/>
        <v>1</v>
      </c>
      <c r="CQ133">
        <f t="shared" si="240"/>
        <v>1</v>
      </c>
      <c r="CR133">
        <f t="shared" si="241"/>
        <v>1</v>
      </c>
      <c r="CS133">
        <f t="shared" si="242"/>
        <v>1</v>
      </c>
      <c r="CT133">
        <f t="shared" si="243"/>
        <v>1</v>
      </c>
      <c r="CU133">
        <f t="shared" si="244"/>
        <v>1</v>
      </c>
      <c r="CV133">
        <f t="shared" si="245"/>
        <v>0</v>
      </c>
      <c r="CW133">
        <f t="shared" si="246"/>
        <v>0</v>
      </c>
      <c r="CX133">
        <f t="shared" si="247"/>
        <v>0</v>
      </c>
      <c r="CY133">
        <f t="shared" si="248"/>
        <v>0</v>
      </c>
      <c r="CZ133">
        <f t="shared" si="249"/>
        <v>0</v>
      </c>
      <c r="DA133">
        <f t="shared" si="250"/>
        <v>0</v>
      </c>
      <c r="DB133">
        <f t="shared" si="251"/>
        <v>1</v>
      </c>
      <c r="DC133">
        <f t="shared" si="252"/>
        <v>1</v>
      </c>
      <c r="DF133" s="10" t="s">
        <v>37</v>
      </c>
      <c r="DG133" t="str">
        <f t="shared" si="315"/>
        <v>2022_6</v>
      </c>
      <c r="DH133" t="str">
        <f t="shared" si="315"/>
        <v>2022_6</v>
      </c>
      <c r="DI133" t="str">
        <f t="shared" si="315"/>
        <v>2022_6</v>
      </c>
      <c r="DJ133" t="str">
        <f t="shared" si="315"/>
        <v>2022_6</v>
      </c>
      <c r="DK133" t="str">
        <f t="shared" si="315"/>
        <v>2022_6</v>
      </c>
      <c r="DL133" t="str">
        <f t="shared" si="315"/>
        <v>2022_6</v>
      </c>
      <c r="DM133" t="str">
        <f t="shared" si="315"/>
        <v>2022_6</v>
      </c>
      <c r="DN133" t="str">
        <f t="shared" si="315"/>
        <v>2022_6</v>
      </c>
      <c r="DO133" t="str">
        <f t="shared" si="315"/>
        <v>2022_6</v>
      </c>
      <c r="DP133" t="str">
        <f t="shared" si="315"/>
        <v>2022_6</v>
      </c>
      <c r="DQ133" t="str">
        <f t="shared" si="315"/>
        <v>2022_6</v>
      </c>
      <c r="DR133" t="str">
        <f t="shared" si="315"/>
        <v>2022_6</v>
      </c>
      <c r="DS133" t="str">
        <f t="shared" si="315"/>
        <v>2022_6</v>
      </c>
      <c r="DT133" t="str">
        <f t="shared" si="315"/>
        <v>2022_6</v>
      </c>
      <c r="DU133" t="str">
        <f t="shared" si="315"/>
        <v>2022_6</v>
      </c>
      <c r="DV133" t="str">
        <f t="shared" si="315"/>
        <v>2022_6</v>
      </c>
      <c r="DW133" t="str">
        <f t="shared" si="314"/>
        <v>2022_6</v>
      </c>
      <c r="DX133" t="str">
        <f t="shared" si="314"/>
        <v>2022_6</v>
      </c>
      <c r="DY133" t="str">
        <f t="shared" si="314"/>
        <v>2022_6</v>
      </c>
      <c r="DZ133" t="str">
        <f t="shared" si="314"/>
        <v>2022_6</v>
      </c>
      <c r="EA133" t="str">
        <f t="shared" si="314"/>
        <v>2022_6</v>
      </c>
      <c r="EB133" t="str">
        <f t="shared" si="314"/>
        <v>2022_6</v>
      </c>
      <c r="EC133" t="str">
        <f t="shared" si="314"/>
        <v>2022_6</v>
      </c>
      <c r="ED133" t="str">
        <f t="shared" si="314"/>
        <v>2022_6</v>
      </c>
      <c r="EE133" t="str">
        <f t="shared" si="314"/>
        <v>2022_6</v>
      </c>
      <c r="EF133" t="str">
        <f t="shared" si="314"/>
        <v>2022_6</v>
      </c>
      <c r="EG133" t="str">
        <f t="shared" si="314"/>
        <v>2022_6</v>
      </c>
      <c r="EH133" t="str">
        <f t="shared" si="314"/>
        <v>2022_6</v>
      </c>
      <c r="EI133" t="str">
        <f t="shared" si="314"/>
        <v>2022_6</v>
      </c>
      <c r="EJ133" t="str">
        <f t="shared" si="314"/>
        <v>2022_6</v>
      </c>
      <c r="EK133" t="str">
        <f t="shared" si="313"/>
        <v>2022_6</v>
      </c>
      <c r="EL133" t="str">
        <f t="shared" si="313"/>
        <v>2022_6</v>
      </c>
      <c r="EM133" t="str">
        <f t="shared" si="313"/>
        <v>2022_6</v>
      </c>
      <c r="EN133" t="str">
        <f t="shared" si="313"/>
        <v>2022_6</v>
      </c>
      <c r="EO133" t="str">
        <f t="shared" si="313"/>
        <v>2022_6</v>
      </c>
      <c r="EP133" t="str">
        <f t="shared" si="313"/>
        <v>2022_6</v>
      </c>
      <c r="EQ133" t="str">
        <f t="shared" si="313"/>
        <v>2022_6</v>
      </c>
      <c r="ER133" t="str">
        <f t="shared" si="313"/>
        <v>2022_6</v>
      </c>
      <c r="ES133" t="str">
        <f t="shared" si="313"/>
        <v>2022_6</v>
      </c>
      <c r="ET133" t="str">
        <f t="shared" si="313"/>
        <v>2022_6</v>
      </c>
      <c r="EU133" t="str">
        <f t="shared" si="313"/>
        <v>2022_6</v>
      </c>
      <c r="EV133" t="str">
        <f t="shared" si="313"/>
        <v>2022_6</v>
      </c>
      <c r="EW133" t="str">
        <f t="shared" si="313"/>
        <v>2022_6</v>
      </c>
      <c r="EX133" t="str">
        <f t="shared" si="313"/>
        <v>2022_6</v>
      </c>
      <c r="EY133" t="str">
        <f t="shared" si="313"/>
        <v>2022_6</v>
      </c>
      <c r="FB133" s="10" t="s">
        <v>37</v>
      </c>
      <c r="FC133">
        <f t="shared" si="305"/>
        <v>0</v>
      </c>
      <c r="FD133">
        <f t="shared" si="255"/>
        <v>0</v>
      </c>
      <c r="FE133">
        <f t="shared" si="256"/>
        <v>0</v>
      </c>
      <c r="FF133">
        <f t="shared" si="257"/>
        <v>0</v>
      </c>
      <c r="FG133">
        <f t="shared" si="258"/>
        <v>0</v>
      </c>
      <c r="FH133">
        <f t="shared" si="259"/>
        <v>0</v>
      </c>
      <c r="FI133">
        <f t="shared" si="260"/>
        <v>0</v>
      </c>
      <c r="FJ133">
        <f t="shared" si="261"/>
        <v>0</v>
      </c>
      <c r="FK133">
        <f t="shared" si="262"/>
        <v>0</v>
      </c>
      <c r="FL133">
        <f t="shared" si="263"/>
        <v>0</v>
      </c>
      <c r="FM133">
        <f t="shared" si="264"/>
        <v>0</v>
      </c>
      <c r="FN133">
        <f t="shared" si="265"/>
        <v>0</v>
      </c>
      <c r="FO133">
        <f t="shared" si="266"/>
        <v>0</v>
      </c>
      <c r="FP133">
        <f t="shared" si="267"/>
        <v>0</v>
      </c>
      <c r="FQ133">
        <f t="shared" si="268"/>
        <v>0</v>
      </c>
      <c r="FR133">
        <f t="shared" si="269"/>
        <v>0</v>
      </c>
      <c r="FS133">
        <f t="shared" si="270"/>
        <v>0</v>
      </c>
      <c r="FT133">
        <f t="shared" si="271"/>
        <v>0</v>
      </c>
      <c r="FU133">
        <f t="shared" si="272"/>
        <v>0</v>
      </c>
      <c r="FV133">
        <f t="shared" si="273"/>
        <v>0</v>
      </c>
      <c r="FW133">
        <f t="shared" si="274"/>
        <v>0</v>
      </c>
      <c r="FX133">
        <f t="shared" si="275"/>
        <v>0</v>
      </c>
      <c r="FY133">
        <f t="shared" si="276"/>
        <v>0</v>
      </c>
      <c r="FZ133">
        <f t="shared" si="277"/>
        <v>0</v>
      </c>
      <c r="GA133">
        <f t="shared" si="278"/>
        <v>0</v>
      </c>
      <c r="GB133">
        <f t="shared" si="279"/>
        <v>0</v>
      </c>
      <c r="GC133">
        <f t="shared" si="280"/>
        <v>1</v>
      </c>
      <c r="GD133">
        <f t="shared" si="281"/>
        <v>1</v>
      </c>
      <c r="GE133">
        <f t="shared" si="282"/>
        <v>1</v>
      </c>
      <c r="GF133">
        <f t="shared" si="283"/>
        <v>1</v>
      </c>
      <c r="GG133">
        <f t="shared" si="284"/>
        <v>1</v>
      </c>
      <c r="GH133">
        <f t="shared" si="285"/>
        <v>1</v>
      </c>
      <c r="GI133">
        <f t="shared" si="286"/>
        <v>1</v>
      </c>
      <c r="GJ133">
        <f t="shared" si="287"/>
        <v>1</v>
      </c>
      <c r="GK133">
        <f t="shared" si="288"/>
        <v>1</v>
      </c>
      <c r="GL133">
        <f t="shared" si="289"/>
        <v>1</v>
      </c>
      <c r="GM133">
        <f t="shared" si="290"/>
        <v>1</v>
      </c>
      <c r="GN133">
        <f t="shared" si="291"/>
        <v>1</v>
      </c>
      <c r="GO133">
        <f t="shared" si="292"/>
        <v>1</v>
      </c>
      <c r="GP133">
        <f t="shared" si="293"/>
        <v>1</v>
      </c>
      <c r="GQ133">
        <f t="shared" si="294"/>
        <v>1</v>
      </c>
      <c r="GR133">
        <f t="shared" si="295"/>
        <v>1</v>
      </c>
      <c r="GS133">
        <f t="shared" si="296"/>
        <v>1</v>
      </c>
      <c r="GT133">
        <f t="shared" si="297"/>
        <v>1</v>
      </c>
      <c r="GU133">
        <f t="shared" si="298"/>
        <v>1</v>
      </c>
      <c r="GX133" s="10"/>
    </row>
    <row r="134" spans="1:206" x14ac:dyDescent="0.3">
      <c r="A134" s="9" t="s">
        <v>124</v>
      </c>
      <c r="B134" s="80"/>
      <c r="C134" s="9">
        <v>3112224002</v>
      </c>
      <c r="D134" s="9" t="s">
        <v>425</v>
      </c>
      <c r="E134" s="9" t="s">
        <v>34</v>
      </c>
      <c r="F134" s="9" t="s">
        <v>35</v>
      </c>
      <c r="G134" s="9" t="s">
        <v>168</v>
      </c>
      <c r="H134" s="10">
        <v>44742</v>
      </c>
      <c r="I134" s="9">
        <f t="shared" si="299"/>
        <v>2022</v>
      </c>
      <c r="J134" s="9">
        <f t="shared" si="300"/>
        <v>6</v>
      </c>
      <c r="K134" s="9" t="str">
        <f t="shared" si="301"/>
        <v>2022_6</v>
      </c>
      <c r="L134">
        <f>MAX(0,VLOOKUP($K134,lookups!$A$1:$B$45,2,0)-12)</f>
        <v>14</v>
      </c>
      <c r="M134" s="40">
        <f t="shared" si="302"/>
        <v>44713</v>
      </c>
      <c r="N134" s="10" t="s">
        <v>37</v>
      </c>
      <c r="O134" t="str">
        <f ca="1">IF(OR($L134&gt;O$4,O$4&gt;$L134+23),"",OFFSET(Electric!$L125,0,-'Electric Calendarize'!$L134+'Electric Calendarize'!O$4+1))</f>
        <v/>
      </c>
      <c r="P134" t="str">
        <f ca="1">IF(OR($L134&gt;P$4,P$4&gt;$L134+23),"",OFFSET(Electric!$L125,0,-'Electric Calendarize'!$L134+'Electric Calendarize'!P$4+1))</f>
        <v/>
      </c>
      <c r="Q134" t="str">
        <f ca="1">IF(OR($L134&gt;Q$4,Q$4&gt;$L134+23),"",OFFSET(Electric!$L125,0,-'Electric Calendarize'!$L134+'Electric Calendarize'!Q$4+1))</f>
        <v/>
      </c>
      <c r="R134" t="str">
        <f ca="1">IF(OR($L134&gt;R$4,R$4&gt;$L134+23),"",OFFSET(Electric!$L125,0,-'Electric Calendarize'!$L134+'Electric Calendarize'!R$4+1))</f>
        <v/>
      </c>
      <c r="S134" t="str">
        <f ca="1">IF(OR($L134&gt;S$4,S$4&gt;$L134+23),"",OFFSET(Electric!$L125,0,-'Electric Calendarize'!$L134+'Electric Calendarize'!S$4+1))</f>
        <v/>
      </c>
      <c r="T134" t="str">
        <f ca="1">IF(OR($L134&gt;T$4,T$4&gt;$L134+23),"",OFFSET(Electric!$L125,0,-'Electric Calendarize'!$L134+'Electric Calendarize'!T$4+1))</f>
        <v/>
      </c>
      <c r="U134" t="str">
        <f ca="1">IF(OR($L134&gt;U$4,U$4&gt;$L134+23),"",OFFSET(Electric!$L125,0,-'Electric Calendarize'!$L134+'Electric Calendarize'!U$4+1))</f>
        <v/>
      </c>
      <c r="V134" t="str">
        <f ca="1">IF(OR($L134&gt;V$4,V$4&gt;$L134+23),"",OFFSET(Electric!$L125,0,-'Electric Calendarize'!$L134+'Electric Calendarize'!V$4+1))</f>
        <v/>
      </c>
      <c r="W134" t="str">
        <f ca="1">IF(OR($L134&gt;W$4,W$4&gt;$L134+23),"",OFFSET(Electric!$L125,0,-'Electric Calendarize'!$L134+'Electric Calendarize'!W$4+1))</f>
        <v/>
      </c>
      <c r="X134" t="str">
        <f ca="1">IF(OR($L134&gt;X$4,X$4&gt;$L134+23),"",OFFSET(Electric!$L125,0,-'Electric Calendarize'!$L134+'Electric Calendarize'!X$4+1))</f>
        <v/>
      </c>
      <c r="Y134" t="str">
        <f ca="1">IF(OR($L134&gt;Y$4,Y$4&gt;$L134+23),"",OFFSET(Electric!$L125,0,-'Electric Calendarize'!$L134+'Electric Calendarize'!Y$4+1))</f>
        <v/>
      </c>
      <c r="Z134" t="str">
        <f ca="1">IF(OR($L134&gt;Z$4,Z$4&gt;$L134+23),"",OFFSET(Electric!$L125,0,-'Electric Calendarize'!$L134+'Electric Calendarize'!Z$4+1))</f>
        <v/>
      </c>
      <c r="AA134" t="str">
        <f ca="1">IF(OR($L134&gt;AA$4,AA$4&gt;$L134+23),"",OFFSET(Electric!$L125,0,-'Electric Calendarize'!$L134+'Electric Calendarize'!AA$4+1))</f>
        <v/>
      </c>
      <c r="AB134" t="str">
        <f ca="1">IF(OR($L134&gt;AB$4,AB$4&gt;$L134+23),"",OFFSET(Electric!$L125,0,-'Electric Calendarize'!$L134+'Electric Calendarize'!AB$4+1))</f>
        <v/>
      </c>
      <c r="AC134">
        <f ca="1">IF(OR($L134&gt;AC$4,AC$4&gt;$L134+23),"",OFFSET(Electric!$L125,0,-'Electric Calendarize'!$L134+'Electric Calendarize'!AC$4+1))</f>
        <v>1074</v>
      </c>
      <c r="AD134">
        <f ca="1">IF(OR($L134&gt;AD$4,AD$4&gt;$L134+23),"",OFFSET(Electric!$L125,0,-'Electric Calendarize'!$L134+'Electric Calendarize'!AD$4+1))</f>
        <v>1098</v>
      </c>
      <c r="AE134">
        <f ca="1">IF(OR($L134&gt;AE$4,AE$4&gt;$L134+23),"",OFFSET(Electric!$L125,0,-'Electric Calendarize'!$L134+'Electric Calendarize'!AE$4+1))</f>
        <v>1236</v>
      </c>
      <c r="AF134">
        <f ca="1">IF(OR($L134&gt;AF$4,AF$4&gt;$L134+23),"",OFFSET(Electric!$L125,0,-'Electric Calendarize'!$L134+'Electric Calendarize'!AF$4+1))</f>
        <v>1350</v>
      </c>
      <c r="AG134">
        <f ca="1">IF(OR($L134&gt;AG$4,AG$4&gt;$L134+23),"",OFFSET(Electric!$L125,0,-'Electric Calendarize'!$L134+'Electric Calendarize'!AG$4+1))</f>
        <v>1172</v>
      </c>
      <c r="AH134">
        <f ca="1">IF(OR($L134&gt;AH$4,AH$4&gt;$L134+23),"",OFFSET(Electric!$L125,0,-'Electric Calendarize'!$L134+'Electric Calendarize'!AH$4+1))</f>
        <v>1234</v>
      </c>
      <c r="AI134">
        <f ca="1">IF(OR($L134&gt;AI$4,AI$4&gt;$L134+23),"",OFFSET(Electric!$L125,0,-'Electric Calendarize'!$L134+'Electric Calendarize'!AI$4+1))</f>
        <v>1242</v>
      </c>
      <c r="AJ134">
        <f ca="1">IF(OR($L134&gt;AJ$4,AJ$4&gt;$L134+23),"",OFFSET(Electric!$L125,0,-'Electric Calendarize'!$L134+'Electric Calendarize'!AJ$4+1))</f>
        <v>1708</v>
      </c>
      <c r="AK134">
        <f ca="1">IF(OR($L134&gt;AK$4,AK$4&gt;$L134+23),"",OFFSET(Electric!$L125,0,-'Electric Calendarize'!$L134+'Electric Calendarize'!AK$4+1))</f>
        <v>1206</v>
      </c>
      <c r="AL134">
        <f ca="1">IF(OR($L134&gt;AL$4,AL$4&gt;$L134+23),"",OFFSET(Electric!$L125,0,-'Electric Calendarize'!$L134+'Electric Calendarize'!AL$4+1))</f>
        <v>1294</v>
      </c>
      <c r="AM134">
        <f ca="1">IF(OR($L134&gt;AM$4,AM$4&gt;$L134+23),"",OFFSET(Electric!$L125,0,-'Electric Calendarize'!$L134+'Electric Calendarize'!AM$4+1))</f>
        <v>1144</v>
      </c>
      <c r="AN134">
        <f ca="1">IF(OR($L134&gt;AN$4,AN$4&gt;$L134+23),"",OFFSET(Electric!$L125,0,-'Electric Calendarize'!$L134+'Electric Calendarize'!AN$4+1))</f>
        <v>1066</v>
      </c>
      <c r="AO134">
        <f ca="1">IF(OR($L134&gt;AO$4,AO$4&gt;$L134+23),"",OFFSET(Electric!$L125,0,-'Electric Calendarize'!$L134+'Electric Calendarize'!AO$4+1))</f>
        <v>114</v>
      </c>
      <c r="AP134">
        <f ca="1">IF(OR($L134&gt;AP$4,AP$4&gt;$L134+23),"",OFFSET(Electric!$L125,0,-'Electric Calendarize'!$L134+'Electric Calendarize'!AP$4+1))</f>
        <v>1270</v>
      </c>
      <c r="AQ134">
        <f ca="1">IF(OR($L134&gt;AQ$4,AQ$4&gt;$L134+23),"",OFFSET(Electric!$L125,0,-'Electric Calendarize'!$L134+'Electric Calendarize'!AQ$4+1))</f>
        <v>100</v>
      </c>
      <c r="AR134">
        <f ca="1">IF(OR($L134&gt;AR$4,AR$4&gt;$L134+23),"",OFFSET(Electric!$L125,0,-'Electric Calendarize'!$L134+'Electric Calendarize'!AR$4+1))</f>
        <v>1104</v>
      </c>
      <c r="AS134">
        <f ca="1">IF(OR($L134&gt;AS$4,AS$4&gt;$L134+23),"",OFFSET(Electric!$L125,0,-'Electric Calendarize'!$L134+'Electric Calendarize'!AS$4+1))</f>
        <v>1754</v>
      </c>
      <c r="AT134">
        <f ca="1">IF(OR($L134&gt;AT$4,AT$4&gt;$L134+23),"",OFFSET(Electric!$L125,0,-'Electric Calendarize'!$L134+'Electric Calendarize'!AT$4+1))</f>
        <v>2270</v>
      </c>
      <c r="AU134">
        <f ca="1">IF(OR($L134&gt;AU$4,AU$4&gt;$L134+23),"",OFFSET(Electric!$L125,0,-'Electric Calendarize'!$L134+'Electric Calendarize'!AU$4+1))</f>
        <v>4210</v>
      </c>
      <c r="AV134">
        <f ca="1">IF(OR($L134&gt;AV$4,AV$4&gt;$L134+23),"",OFFSET(Electric!$L125,0,-'Electric Calendarize'!$L134+'Electric Calendarize'!AV$4+1))</f>
        <v>6014</v>
      </c>
      <c r="AW134">
        <f ca="1">IF(OR($L134&gt;AW$4,AW$4&gt;$L134+23),"",OFFSET(Electric!$L125,0,-'Electric Calendarize'!$L134+'Electric Calendarize'!AW$4+1))</f>
        <v>5378</v>
      </c>
      <c r="AX134">
        <f ca="1">IF(OR($L134&gt;AX$4,AX$4&gt;$L134+23),"",OFFSET(Electric!$L125,0,-'Electric Calendarize'!$L134+'Electric Calendarize'!AX$4+1))</f>
        <v>4728</v>
      </c>
      <c r="AY134">
        <f ca="1">IF(OR($L134&gt;AY$4,AY$4&gt;$L134+23),"",OFFSET(Electric!$L125,0,-'Electric Calendarize'!$L134+'Electric Calendarize'!AY$4+1))</f>
        <v>3080</v>
      </c>
      <c r="AZ134">
        <f ca="1">IF(OR($L134&gt;AZ$4,AZ$4&gt;$L134+23),"",OFFSET(Electric!$L125,0,-'Electric Calendarize'!$L134+'Electric Calendarize'!AZ$4+1))</f>
        <v>2094</v>
      </c>
      <c r="BA134" t="str">
        <f ca="1">IF(OR($L134&gt;BA$4,BA$4&gt;$L134+23),"",OFFSET(Electric!$L125,0,-'Electric Calendarize'!$L134+'Electric Calendarize'!BA$4+1))</f>
        <v/>
      </c>
      <c r="BB134" t="str">
        <f ca="1">IF(OR($L134&gt;BB$4,BB$4&gt;$L134+23),"",OFFSET(Electric!$L125,0,-'Electric Calendarize'!$L134+'Electric Calendarize'!BB$4+1))</f>
        <v/>
      </c>
      <c r="BC134" t="str">
        <f ca="1">IF(OR($L134&gt;BC$4,BC$4&gt;$L134+23),"",OFFSET(Electric!$L125,0,-'Electric Calendarize'!$L134+'Electric Calendarize'!BC$4+1))</f>
        <v/>
      </c>
      <c r="BD134" t="str">
        <f ca="1">IF(OR($L134&gt;BD$4,BD$4&gt;$L134+23),"",OFFSET(Electric!$L125,0,-'Electric Calendarize'!$L134+'Electric Calendarize'!BD$4+1))</f>
        <v/>
      </c>
      <c r="BE134" t="str">
        <f ca="1">IF(OR($L134&gt;BE$4,BE$4&gt;$L134+23),"",OFFSET(Electric!$L125,0,-'Electric Calendarize'!$L134+'Electric Calendarize'!BE$4+1))</f>
        <v/>
      </c>
      <c r="BF134" t="str">
        <f ca="1">IF(OR($L134&gt;BF$4,BF$4&gt;$L134+23),"",OFFSET(Electric!$L125,0,-'Electric Calendarize'!$L134+'Electric Calendarize'!BF$4+1))</f>
        <v/>
      </c>
      <c r="BG134" t="str">
        <f ca="1">IF(OR($L134&gt;BG$4,BG$4&gt;$L134+23),"",OFFSET(Electric!$L125,0,-'Electric Calendarize'!$L134+'Electric Calendarize'!BG$4+1))</f>
        <v/>
      </c>
      <c r="BJ134" s="10" t="s">
        <v>37</v>
      </c>
      <c r="BK134">
        <f t="shared" si="303"/>
        <v>1</v>
      </c>
      <c r="BL134">
        <f t="shared" si="209"/>
        <v>0</v>
      </c>
      <c r="BM134">
        <f t="shared" si="210"/>
        <v>0</v>
      </c>
      <c r="BN134">
        <f t="shared" si="211"/>
        <v>0</v>
      </c>
      <c r="BO134">
        <f t="shared" si="212"/>
        <v>0</v>
      </c>
      <c r="BP134">
        <f t="shared" si="213"/>
        <v>0</v>
      </c>
      <c r="BQ134">
        <f t="shared" si="214"/>
        <v>0</v>
      </c>
      <c r="BR134">
        <f t="shared" si="215"/>
        <v>1</v>
      </c>
      <c r="BS134">
        <f t="shared" si="216"/>
        <v>1</v>
      </c>
      <c r="BT134">
        <f t="shared" si="217"/>
        <v>1</v>
      </c>
      <c r="BU134">
        <f t="shared" si="218"/>
        <v>1</v>
      </c>
      <c r="BV134">
        <f t="shared" si="219"/>
        <v>1</v>
      </c>
      <c r="BW134">
        <f t="shared" si="220"/>
        <v>1</v>
      </c>
      <c r="BX134">
        <f t="shared" si="221"/>
        <v>0</v>
      </c>
      <c r="BY134">
        <f t="shared" si="222"/>
        <v>0</v>
      </c>
      <c r="BZ134">
        <f t="shared" si="223"/>
        <v>0</v>
      </c>
      <c r="CA134">
        <f t="shared" si="224"/>
        <v>0</v>
      </c>
      <c r="CB134">
        <f t="shared" si="225"/>
        <v>0</v>
      </c>
      <c r="CC134">
        <f t="shared" si="226"/>
        <v>0</v>
      </c>
      <c r="CD134">
        <f t="shared" si="227"/>
        <v>1</v>
      </c>
      <c r="CE134">
        <f t="shared" si="228"/>
        <v>1</v>
      </c>
      <c r="CF134">
        <f t="shared" si="229"/>
        <v>1</v>
      </c>
      <c r="CG134">
        <f t="shared" si="230"/>
        <v>1</v>
      </c>
      <c r="CH134">
        <f t="shared" si="231"/>
        <v>1</v>
      </c>
      <c r="CI134">
        <f t="shared" si="232"/>
        <v>1</v>
      </c>
      <c r="CJ134">
        <f t="shared" si="233"/>
        <v>0</v>
      </c>
      <c r="CK134">
        <f t="shared" si="234"/>
        <v>0</v>
      </c>
      <c r="CL134">
        <f t="shared" si="235"/>
        <v>0</v>
      </c>
      <c r="CM134">
        <f t="shared" si="236"/>
        <v>0</v>
      </c>
      <c r="CN134">
        <f t="shared" si="237"/>
        <v>0</v>
      </c>
      <c r="CO134">
        <f t="shared" si="238"/>
        <v>0</v>
      </c>
      <c r="CP134">
        <f t="shared" si="239"/>
        <v>1</v>
      </c>
      <c r="CQ134">
        <f t="shared" si="240"/>
        <v>1</v>
      </c>
      <c r="CR134">
        <f t="shared" si="241"/>
        <v>1</v>
      </c>
      <c r="CS134">
        <f t="shared" si="242"/>
        <v>1</v>
      </c>
      <c r="CT134">
        <f t="shared" si="243"/>
        <v>1</v>
      </c>
      <c r="CU134">
        <f t="shared" si="244"/>
        <v>1</v>
      </c>
      <c r="CV134">
        <f t="shared" si="245"/>
        <v>0</v>
      </c>
      <c r="CW134">
        <f t="shared" si="246"/>
        <v>0</v>
      </c>
      <c r="CX134">
        <f t="shared" si="247"/>
        <v>0</v>
      </c>
      <c r="CY134">
        <f t="shared" si="248"/>
        <v>0</v>
      </c>
      <c r="CZ134">
        <f t="shared" si="249"/>
        <v>0</v>
      </c>
      <c r="DA134">
        <f t="shared" si="250"/>
        <v>0</v>
      </c>
      <c r="DB134">
        <f t="shared" si="251"/>
        <v>1</v>
      </c>
      <c r="DC134">
        <f t="shared" si="252"/>
        <v>1</v>
      </c>
      <c r="DF134" s="10" t="s">
        <v>37</v>
      </c>
      <c r="DG134" t="str">
        <f t="shared" si="315"/>
        <v>2022_6</v>
      </c>
      <c r="DH134" t="str">
        <f t="shared" si="315"/>
        <v>2022_6</v>
      </c>
      <c r="DI134" t="str">
        <f t="shared" si="315"/>
        <v>2022_6</v>
      </c>
      <c r="DJ134" t="str">
        <f t="shared" si="315"/>
        <v>2022_6</v>
      </c>
      <c r="DK134" t="str">
        <f t="shared" si="315"/>
        <v>2022_6</v>
      </c>
      <c r="DL134" t="str">
        <f t="shared" si="315"/>
        <v>2022_6</v>
      </c>
      <c r="DM134" t="str">
        <f t="shared" si="315"/>
        <v>2022_6</v>
      </c>
      <c r="DN134" t="str">
        <f t="shared" si="315"/>
        <v>2022_6</v>
      </c>
      <c r="DO134" t="str">
        <f t="shared" si="315"/>
        <v>2022_6</v>
      </c>
      <c r="DP134" t="str">
        <f t="shared" si="315"/>
        <v>2022_6</v>
      </c>
      <c r="DQ134" t="str">
        <f t="shared" si="315"/>
        <v>2022_6</v>
      </c>
      <c r="DR134" t="str">
        <f t="shared" si="315"/>
        <v>2022_6</v>
      </c>
      <c r="DS134" t="str">
        <f t="shared" si="315"/>
        <v>2022_6</v>
      </c>
      <c r="DT134" t="str">
        <f t="shared" si="315"/>
        <v>2022_6</v>
      </c>
      <c r="DU134" t="str">
        <f t="shared" si="315"/>
        <v>2022_6</v>
      </c>
      <c r="DV134" t="str">
        <f t="shared" si="315"/>
        <v>2022_6</v>
      </c>
      <c r="DW134" t="str">
        <f t="shared" si="314"/>
        <v>2022_6</v>
      </c>
      <c r="DX134" t="str">
        <f t="shared" si="314"/>
        <v>2022_6</v>
      </c>
      <c r="DY134" t="str">
        <f t="shared" si="314"/>
        <v>2022_6</v>
      </c>
      <c r="DZ134" t="str">
        <f t="shared" si="314"/>
        <v>2022_6</v>
      </c>
      <c r="EA134" t="str">
        <f t="shared" si="314"/>
        <v>2022_6</v>
      </c>
      <c r="EB134" t="str">
        <f t="shared" si="314"/>
        <v>2022_6</v>
      </c>
      <c r="EC134" t="str">
        <f t="shared" si="314"/>
        <v>2022_6</v>
      </c>
      <c r="ED134" t="str">
        <f t="shared" si="314"/>
        <v>2022_6</v>
      </c>
      <c r="EE134" t="str">
        <f t="shared" si="314"/>
        <v>2022_6</v>
      </c>
      <c r="EF134" t="str">
        <f t="shared" si="314"/>
        <v>2022_6</v>
      </c>
      <c r="EG134" t="str">
        <f t="shared" si="314"/>
        <v>2022_6</v>
      </c>
      <c r="EH134" t="str">
        <f t="shared" si="314"/>
        <v>2022_6</v>
      </c>
      <c r="EI134" t="str">
        <f t="shared" si="314"/>
        <v>2022_6</v>
      </c>
      <c r="EJ134" t="str">
        <f t="shared" si="314"/>
        <v>2022_6</v>
      </c>
      <c r="EK134" t="str">
        <f t="shared" si="313"/>
        <v>2022_6</v>
      </c>
      <c r="EL134" t="str">
        <f t="shared" si="313"/>
        <v>2022_6</v>
      </c>
      <c r="EM134" t="str">
        <f t="shared" si="313"/>
        <v>2022_6</v>
      </c>
      <c r="EN134" t="str">
        <f t="shared" si="313"/>
        <v>2022_6</v>
      </c>
      <c r="EO134" t="str">
        <f t="shared" si="313"/>
        <v>2022_6</v>
      </c>
      <c r="EP134" t="str">
        <f t="shared" si="313"/>
        <v>2022_6</v>
      </c>
      <c r="EQ134" t="str">
        <f t="shared" si="313"/>
        <v>2022_6</v>
      </c>
      <c r="ER134" t="str">
        <f t="shared" si="313"/>
        <v>2022_6</v>
      </c>
      <c r="ES134" t="str">
        <f t="shared" si="313"/>
        <v>2022_6</v>
      </c>
      <c r="ET134" t="str">
        <f t="shared" si="313"/>
        <v>2022_6</v>
      </c>
      <c r="EU134" t="str">
        <f t="shared" si="313"/>
        <v>2022_6</v>
      </c>
      <c r="EV134" t="str">
        <f t="shared" si="313"/>
        <v>2022_6</v>
      </c>
      <c r="EW134" t="str">
        <f t="shared" si="313"/>
        <v>2022_6</v>
      </c>
      <c r="EX134" t="str">
        <f t="shared" si="313"/>
        <v>2022_6</v>
      </c>
      <c r="EY134" t="str">
        <f t="shared" si="313"/>
        <v>2022_6</v>
      </c>
      <c r="FB134" s="10" t="s">
        <v>37</v>
      </c>
      <c r="FC134">
        <f t="shared" si="305"/>
        <v>0</v>
      </c>
      <c r="FD134">
        <f t="shared" si="255"/>
        <v>0</v>
      </c>
      <c r="FE134">
        <f t="shared" si="256"/>
        <v>0</v>
      </c>
      <c r="FF134">
        <f t="shared" si="257"/>
        <v>0</v>
      </c>
      <c r="FG134">
        <f t="shared" si="258"/>
        <v>0</v>
      </c>
      <c r="FH134">
        <f t="shared" si="259"/>
        <v>0</v>
      </c>
      <c r="FI134">
        <f t="shared" si="260"/>
        <v>0</v>
      </c>
      <c r="FJ134">
        <f t="shared" si="261"/>
        <v>0</v>
      </c>
      <c r="FK134">
        <f t="shared" si="262"/>
        <v>0</v>
      </c>
      <c r="FL134">
        <f t="shared" si="263"/>
        <v>0</v>
      </c>
      <c r="FM134">
        <f t="shared" si="264"/>
        <v>0</v>
      </c>
      <c r="FN134">
        <f t="shared" si="265"/>
        <v>0</v>
      </c>
      <c r="FO134">
        <f t="shared" si="266"/>
        <v>0</v>
      </c>
      <c r="FP134">
        <f t="shared" si="267"/>
        <v>0</v>
      </c>
      <c r="FQ134">
        <f t="shared" si="268"/>
        <v>0</v>
      </c>
      <c r="FR134">
        <f t="shared" si="269"/>
        <v>0</v>
      </c>
      <c r="FS134">
        <f t="shared" si="270"/>
        <v>0</v>
      </c>
      <c r="FT134">
        <f t="shared" si="271"/>
        <v>0</v>
      </c>
      <c r="FU134">
        <f t="shared" si="272"/>
        <v>0</v>
      </c>
      <c r="FV134">
        <f t="shared" si="273"/>
        <v>0</v>
      </c>
      <c r="FW134">
        <f t="shared" si="274"/>
        <v>0</v>
      </c>
      <c r="FX134">
        <f t="shared" si="275"/>
        <v>0</v>
      </c>
      <c r="FY134">
        <f t="shared" si="276"/>
        <v>0</v>
      </c>
      <c r="FZ134">
        <f t="shared" si="277"/>
        <v>0</v>
      </c>
      <c r="GA134">
        <f t="shared" si="278"/>
        <v>0</v>
      </c>
      <c r="GB134">
        <f t="shared" si="279"/>
        <v>0</v>
      </c>
      <c r="GC134">
        <f t="shared" si="280"/>
        <v>1</v>
      </c>
      <c r="GD134">
        <f t="shared" si="281"/>
        <v>1</v>
      </c>
      <c r="GE134">
        <f t="shared" si="282"/>
        <v>1</v>
      </c>
      <c r="GF134">
        <f t="shared" si="283"/>
        <v>1</v>
      </c>
      <c r="GG134">
        <f t="shared" si="284"/>
        <v>1</v>
      </c>
      <c r="GH134">
        <f t="shared" si="285"/>
        <v>1</v>
      </c>
      <c r="GI134">
        <f t="shared" si="286"/>
        <v>1</v>
      </c>
      <c r="GJ134">
        <f t="shared" si="287"/>
        <v>1</v>
      </c>
      <c r="GK134">
        <f t="shared" si="288"/>
        <v>1</v>
      </c>
      <c r="GL134">
        <f t="shared" si="289"/>
        <v>1</v>
      </c>
      <c r="GM134">
        <f t="shared" si="290"/>
        <v>1</v>
      </c>
      <c r="GN134">
        <f t="shared" si="291"/>
        <v>1</v>
      </c>
      <c r="GO134">
        <f t="shared" si="292"/>
        <v>1</v>
      </c>
      <c r="GP134">
        <f t="shared" si="293"/>
        <v>1</v>
      </c>
      <c r="GQ134">
        <f t="shared" si="294"/>
        <v>1</v>
      </c>
      <c r="GR134">
        <f t="shared" si="295"/>
        <v>1</v>
      </c>
      <c r="GS134">
        <f t="shared" si="296"/>
        <v>1</v>
      </c>
      <c r="GT134">
        <f t="shared" si="297"/>
        <v>1</v>
      </c>
      <c r="GU134">
        <f t="shared" si="298"/>
        <v>1</v>
      </c>
      <c r="GX134" s="10"/>
    </row>
    <row r="135" spans="1:206" x14ac:dyDescent="0.3">
      <c r="A135" s="9" t="s">
        <v>124</v>
      </c>
      <c r="B135" s="80"/>
      <c r="C135" s="9">
        <v>3160726002</v>
      </c>
      <c r="D135" s="9" t="s">
        <v>446</v>
      </c>
      <c r="E135" s="9" t="s">
        <v>100</v>
      </c>
      <c r="F135" s="9" t="s">
        <v>35</v>
      </c>
      <c r="G135" s="9" t="s">
        <v>169</v>
      </c>
      <c r="H135" s="10">
        <v>44742</v>
      </c>
      <c r="I135" s="9">
        <f t="shared" si="299"/>
        <v>2022</v>
      </c>
      <c r="J135" s="9">
        <f t="shared" si="300"/>
        <v>6</v>
      </c>
      <c r="K135" s="9" t="str">
        <f t="shared" si="301"/>
        <v>2022_6</v>
      </c>
      <c r="L135">
        <f>MAX(0,VLOOKUP($K135,lookups!$A$1:$B$45,2,0)-12)</f>
        <v>14</v>
      </c>
      <c r="M135" s="40">
        <f t="shared" si="302"/>
        <v>44713</v>
      </c>
      <c r="N135" s="10" t="s">
        <v>37</v>
      </c>
      <c r="O135" t="str">
        <f ca="1">IF(OR($L135&gt;O$4,O$4&gt;$L135+23),"",OFFSET(Electric!$L126,0,-'Electric Calendarize'!$L135+'Electric Calendarize'!O$4+1))</f>
        <v/>
      </c>
      <c r="P135" t="str">
        <f ca="1">IF(OR($L135&gt;P$4,P$4&gt;$L135+23),"",OFFSET(Electric!$L126,0,-'Electric Calendarize'!$L135+'Electric Calendarize'!P$4+1))</f>
        <v/>
      </c>
      <c r="Q135" t="str">
        <f ca="1">IF(OR($L135&gt;Q$4,Q$4&gt;$L135+23),"",OFFSET(Electric!$L126,0,-'Electric Calendarize'!$L135+'Electric Calendarize'!Q$4+1))</f>
        <v/>
      </c>
      <c r="R135" t="str">
        <f ca="1">IF(OR($L135&gt;R$4,R$4&gt;$L135+23),"",OFFSET(Electric!$L126,0,-'Electric Calendarize'!$L135+'Electric Calendarize'!R$4+1))</f>
        <v/>
      </c>
      <c r="S135" t="str">
        <f ca="1">IF(OR($L135&gt;S$4,S$4&gt;$L135+23),"",OFFSET(Electric!$L126,0,-'Electric Calendarize'!$L135+'Electric Calendarize'!S$4+1))</f>
        <v/>
      </c>
      <c r="T135" t="str">
        <f ca="1">IF(OR($L135&gt;T$4,T$4&gt;$L135+23),"",OFFSET(Electric!$L126,0,-'Electric Calendarize'!$L135+'Electric Calendarize'!T$4+1))</f>
        <v/>
      </c>
      <c r="U135" t="str">
        <f ca="1">IF(OR($L135&gt;U$4,U$4&gt;$L135+23),"",OFFSET(Electric!$L126,0,-'Electric Calendarize'!$L135+'Electric Calendarize'!U$4+1))</f>
        <v/>
      </c>
      <c r="V135" t="str">
        <f ca="1">IF(OR($L135&gt;V$4,V$4&gt;$L135+23),"",OFFSET(Electric!$L126,0,-'Electric Calendarize'!$L135+'Electric Calendarize'!V$4+1))</f>
        <v/>
      </c>
      <c r="W135" t="str">
        <f ca="1">IF(OR($L135&gt;W$4,W$4&gt;$L135+23),"",OFFSET(Electric!$L126,0,-'Electric Calendarize'!$L135+'Electric Calendarize'!W$4+1))</f>
        <v/>
      </c>
      <c r="X135" t="str">
        <f ca="1">IF(OR($L135&gt;X$4,X$4&gt;$L135+23),"",OFFSET(Electric!$L126,0,-'Electric Calendarize'!$L135+'Electric Calendarize'!X$4+1))</f>
        <v/>
      </c>
      <c r="Y135" t="str">
        <f ca="1">IF(OR($L135&gt;Y$4,Y$4&gt;$L135+23),"",OFFSET(Electric!$L126,0,-'Electric Calendarize'!$L135+'Electric Calendarize'!Y$4+1))</f>
        <v/>
      </c>
      <c r="Z135" t="str">
        <f ca="1">IF(OR($L135&gt;Z$4,Z$4&gt;$L135+23),"",OFFSET(Electric!$L126,0,-'Electric Calendarize'!$L135+'Electric Calendarize'!Z$4+1))</f>
        <v/>
      </c>
      <c r="AA135" t="str">
        <f ca="1">IF(OR($L135&gt;AA$4,AA$4&gt;$L135+23),"",OFFSET(Electric!$L126,0,-'Electric Calendarize'!$L135+'Electric Calendarize'!AA$4+1))</f>
        <v/>
      </c>
      <c r="AB135" t="str">
        <f ca="1">IF(OR($L135&gt;AB$4,AB$4&gt;$L135+23),"",OFFSET(Electric!$L126,0,-'Electric Calendarize'!$L135+'Electric Calendarize'!AB$4+1))</f>
        <v/>
      </c>
      <c r="AC135">
        <f ca="1">IF(OR($L135&gt;AC$4,AC$4&gt;$L135+23),"",OFFSET(Electric!$L126,0,-'Electric Calendarize'!$L135+'Electric Calendarize'!AC$4+1))</f>
        <v>709</v>
      </c>
      <c r="AD135">
        <f ca="1">IF(OR($L135&gt;AD$4,AD$4&gt;$L135+23),"",OFFSET(Electric!$L126,0,-'Electric Calendarize'!$L135+'Electric Calendarize'!AD$4+1))</f>
        <v>1007</v>
      </c>
      <c r="AE135">
        <f ca="1">IF(OR($L135&gt;AE$4,AE$4&gt;$L135+23),"",OFFSET(Electric!$L126,0,-'Electric Calendarize'!$L135+'Electric Calendarize'!AE$4+1))</f>
        <v>1346</v>
      </c>
      <c r="AF135">
        <f ca="1">IF(OR($L135&gt;AF$4,AF$4&gt;$L135+23),"",OFFSET(Electric!$L126,0,-'Electric Calendarize'!$L135+'Electric Calendarize'!AF$4+1))</f>
        <v>995</v>
      </c>
      <c r="AG135">
        <f ca="1">IF(OR($L135&gt;AG$4,AG$4&gt;$L135+23),"",OFFSET(Electric!$L126,0,-'Electric Calendarize'!$L135+'Electric Calendarize'!AG$4+1))</f>
        <v>723</v>
      </c>
      <c r="AH135">
        <f ca="1">IF(OR($L135&gt;AH$4,AH$4&gt;$L135+23),"",OFFSET(Electric!$L126,0,-'Electric Calendarize'!$L135+'Electric Calendarize'!AH$4+1))</f>
        <v>478</v>
      </c>
      <c r="AI135">
        <f ca="1">IF(OR($L135&gt;AI$4,AI$4&gt;$L135+23),"",OFFSET(Electric!$L126,0,-'Electric Calendarize'!$L135+'Electric Calendarize'!AI$4+1))</f>
        <v>827</v>
      </c>
      <c r="AJ135">
        <f ca="1">IF(OR($L135&gt;AJ$4,AJ$4&gt;$L135+23),"",OFFSET(Electric!$L126,0,-'Electric Calendarize'!$L135+'Electric Calendarize'!AJ$4+1))</f>
        <v>267</v>
      </c>
      <c r="AK135">
        <f ca="1">IF(OR($L135&gt;AK$4,AK$4&gt;$L135+23),"",OFFSET(Electric!$L126,0,-'Electric Calendarize'!$L135+'Electric Calendarize'!AK$4+1))</f>
        <v>507</v>
      </c>
      <c r="AL135">
        <f ca="1">IF(OR($L135&gt;AL$4,AL$4&gt;$L135+23),"",OFFSET(Electric!$L126,0,-'Electric Calendarize'!$L135+'Electric Calendarize'!AL$4+1))</f>
        <v>569</v>
      </c>
      <c r="AM135">
        <f ca="1">IF(OR($L135&gt;AM$4,AM$4&gt;$L135+23),"",OFFSET(Electric!$L126,0,-'Electric Calendarize'!$L135+'Electric Calendarize'!AM$4+1))</f>
        <v>475</v>
      </c>
      <c r="AN135">
        <f ca="1">IF(OR($L135&gt;AN$4,AN$4&gt;$L135+23),"",OFFSET(Electric!$L126,0,-'Electric Calendarize'!$L135+'Electric Calendarize'!AN$4+1))</f>
        <v>594</v>
      </c>
      <c r="AO135">
        <f ca="1">IF(OR($L135&gt;AO$4,AO$4&gt;$L135+23),"",OFFSET(Electric!$L126,0,-'Electric Calendarize'!$L135+'Electric Calendarize'!AO$4+1))</f>
        <v>915</v>
      </c>
      <c r="AP135">
        <f ca="1">IF(OR($L135&gt;AP$4,AP$4&gt;$L135+23),"",OFFSET(Electric!$L126,0,-'Electric Calendarize'!$L135+'Electric Calendarize'!AP$4+1))</f>
        <v>805</v>
      </c>
      <c r="AQ135">
        <f ca="1">IF(OR($L135&gt;AQ$4,AQ$4&gt;$L135+23),"",OFFSET(Electric!$L126,0,-'Electric Calendarize'!$L135+'Electric Calendarize'!AQ$4+1))</f>
        <v>821</v>
      </c>
      <c r="AR135">
        <f ca="1">IF(OR($L135&gt;AR$4,AR$4&gt;$L135+23),"",OFFSET(Electric!$L126,0,-'Electric Calendarize'!$L135+'Electric Calendarize'!AR$4+1))</f>
        <v>642</v>
      </c>
      <c r="AS135">
        <f ca="1">IF(OR($L135&gt;AS$4,AS$4&gt;$L135+23),"",OFFSET(Electric!$L126,0,-'Electric Calendarize'!$L135+'Electric Calendarize'!AS$4+1))</f>
        <v>635</v>
      </c>
      <c r="AT135">
        <f ca="1">IF(OR($L135&gt;AT$4,AT$4&gt;$L135+23),"",OFFSET(Electric!$L126,0,-'Electric Calendarize'!$L135+'Electric Calendarize'!AT$4+1))</f>
        <v>882</v>
      </c>
      <c r="AU135">
        <f ca="1">IF(OR($L135&gt;AU$4,AU$4&gt;$L135+23),"",OFFSET(Electric!$L126,0,-'Electric Calendarize'!$L135+'Electric Calendarize'!AU$4+1))</f>
        <v>1193</v>
      </c>
      <c r="AV135">
        <f ca="1">IF(OR($L135&gt;AV$4,AV$4&gt;$L135+23),"",OFFSET(Electric!$L126,0,-'Electric Calendarize'!$L135+'Electric Calendarize'!AV$4+1))</f>
        <v>1315</v>
      </c>
      <c r="AW135">
        <f ca="1">IF(OR($L135&gt;AW$4,AW$4&gt;$L135+23),"",OFFSET(Electric!$L126,0,-'Electric Calendarize'!$L135+'Electric Calendarize'!AW$4+1))</f>
        <v>1229</v>
      </c>
      <c r="AX135">
        <f ca="1">IF(OR($L135&gt;AX$4,AX$4&gt;$L135+23),"",OFFSET(Electric!$L126,0,-'Electric Calendarize'!$L135+'Electric Calendarize'!AX$4+1))</f>
        <v>1033</v>
      </c>
      <c r="AY135">
        <f ca="1">IF(OR($L135&gt;AY$4,AY$4&gt;$L135+23),"",OFFSET(Electric!$L126,0,-'Electric Calendarize'!$L135+'Electric Calendarize'!AY$4+1))</f>
        <v>710</v>
      </c>
      <c r="AZ135">
        <f ca="1">IF(OR($L135&gt;AZ$4,AZ$4&gt;$L135+23),"",OFFSET(Electric!$L126,0,-'Electric Calendarize'!$L135+'Electric Calendarize'!AZ$4+1))</f>
        <v>564</v>
      </c>
      <c r="BA135" t="str">
        <f ca="1">IF(OR($L135&gt;BA$4,BA$4&gt;$L135+23),"",OFFSET(Electric!$L126,0,-'Electric Calendarize'!$L135+'Electric Calendarize'!BA$4+1))</f>
        <v/>
      </c>
      <c r="BB135" t="str">
        <f ca="1">IF(OR($L135&gt;BB$4,BB$4&gt;$L135+23),"",OFFSET(Electric!$L126,0,-'Electric Calendarize'!$L135+'Electric Calendarize'!BB$4+1))</f>
        <v/>
      </c>
      <c r="BC135" t="str">
        <f ca="1">IF(OR($L135&gt;BC$4,BC$4&gt;$L135+23),"",OFFSET(Electric!$L126,0,-'Electric Calendarize'!$L135+'Electric Calendarize'!BC$4+1))</f>
        <v/>
      </c>
      <c r="BD135" t="str">
        <f ca="1">IF(OR($L135&gt;BD$4,BD$4&gt;$L135+23),"",OFFSET(Electric!$L126,0,-'Electric Calendarize'!$L135+'Electric Calendarize'!BD$4+1))</f>
        <v/>
      </c>
      <c r="BE135" t="str">
        <f ca="1">IF(OR($L135&gt;BE$4,BE$4&gt;$L135+23),"",OFFSET(Electric!$L126,0,-'Electric Calendarize'!$L135+'Electric Calendarize'!BE$4+1))</f>
        <v/>
      </c>
      <c r="BF135" t="str">
        <f ca="1">IF(OR($L135&gt;BF$4,BF$4&gt;$L135+23),"",OFFSET(Electric!$L126,0,-'Electric Calendarize'!$L135+'Electric Calendarize'!BF$4+1))</f>
        <v/>
      </c>
      <c r="BG135" t="str">
        <f ca="1">IF(OR($L135&gt;BG$4,BG$4&gt;$L135+23),"",OFFSET(Electric!$L126,0,-'Electric Calendarize'!$L135+'Electric Calendarize'!BG$4+1))</f>
        <v/>
      </c>
      <c r="BJ135" s="10" t="s">
        <v>37</v>
      </c>
      <c r="BK135">
        <f t="shared" si="303"/>
        <v>1</v>
      </c>
      <c r="BL135">
        <f t="shared" si="209"/>
        <v>0</v>
      </c>
      <c r="BM135">
        <f t="shared" si="210"/>
        <v>0</v>
      </c>
      <c r="BN135">
        <f t="shared" si="211"/>
        <v>0</v>
      </c>
      <c r="BO135">
        <f t="shared" si="212"/>
        <v>0</v>
      </c>
      <c r="BP135">
        <f t="shared" si="213"/>
        <v>0</v>
      </c>
      <c r="BQ135">
        <f t="shared" si="214"/>
        <v>0</v>
      </c>
      <c r="BR135">
        <f t="shared" si="215"/>
        <v>1</v>
      </c>
      <c r="BS135">
        <f t="shared" si="216"/>
        <v>1</v>
      </c>
      <c r="BT135">
        <f t="shared" si="217"/>
        <v>1</v>
      </c>
      <c r="BU135">
        <f t="shared" si="218"/>
        <v>1</v>
      </c>
      <c r="BV135">
        <f t="shared" si="219"/>
        <v>1</v>
      </c>
      <c r="BW135">
        <f t="shared" si="220"/>
        <v>1</v>
      </c>
      <c r="BX135">
        <f t="shared" si="221"/>
        <v>0</v>
      </c>
      <c r="BY135">
        <f t="shared" si="222"/>
        <v>0</v>
      </c>
      <c r="BZ135">
        <f t="shared" si="223"/>
        <v>0</v>
      </c>
      <c r="CA135">
        <f t="shared" si="224"/>
        <v>0</v>
      </c>
      <c r="CB135">
        <f t="shared" si="225"/>
        <v>0</v>
      </c>
      <c r="CC135">
        <f t="shared" si="226"/>
        <v>0</v>
      </c>
      <c r="CD135">
        <f t="shared" si="227"/>
        <v>1</v>
      </c>
      <c r="CE135">
        <f t="shared" si="228"/>
        <v>1</v>
      </c>
      <c r="CF135">
        <f t="shared" si="229"/>
        <v>1</v>
      </c>
      <c r="CG135">
        <f t="shared" si="230"/>
        <v>1</v>
      </c>
      <c r="CH135">
        <f t="shared" si="231"/>
        <v>1</v>
      </c>
      <c r="CI135">
        <f t="shared" si="232"/>
        <v>1</v>
      </c>
      <c r="CJ135">
        <f t="shared" si="233"/>
        <v>0</v>
      </c>
      <c r="CK135">
        <f t="shared" si="234"/>
        <v>0</v>
      </c>
      <c r="CL135">
        <f t="shared" si="235"/>
        <v>0</v>
      </c>
      <c r="CM135">
        <f t="shared" si="236"/>
        <v>0</v>
      </c>
      <c r="CN135">
        <f t="shared" si="237"/>
        <v>0</v>
      </c>
      <c r="CO135">
        <f t="shared" si="238"/>
        <v>0</v>
      </c>
      <c r="CP135">
        <f t="shared" si="239"/>
        <v>1</v>
      </c>
      <c r="CQ135">
        <f t="shared" si="240"/>
        <v>1</v>
      </c>
      <c r="CR135">
        <f t="shared" si="241"/>
        <v>1</v>
      </c>
      <c r="CS135">
        <f t="shared" si="242"/>
        <v>1</v>
      </c>
      <c r="CT135">
        <f t="shared" si="243"/>
        <v>1</v>
      </c>
      <c r="CU135">
        <f t="shared" si="244"/>
        <v>1</v>
      </c>
      <c r="CV135">
        <f t="shared" si="245"/>
        <v>0</v>
      </c>
      <c r="CW135">
        <f t="shared" si="246"/>
        <v>0</v>
      </c>
      <c r="CX135">
        <f t="shared" si="247"/>
        <v>0</v>
      </c>
      <c r="CY135">
        <f t="shared" si="248"/>
        <v>0</v>
      </c>
      <c r="CZ135">
        <f t="shared" si="249"/>
        <v>0</v>
      </c>
      <c r="DA135">
        <f t="shared" si="250"/>
        <v>0</v>
      </c>
      <c r="DB135">
        <f t="shared" si="251"/>
        <v>1</v>
      </c>
      <c r="DC135">
        <f t="shared" si="252"/>
        <v>1</v>
      </c>
      <c r="DF135" s="10" t="s">
        <v>37</v>
      </c>
      <c r="DG135" t="str">
        <f t="shared" si="315"/>
        <v>2022_6</v>
      </c>
      <c r="DH135" t="str">
        <f t="shared" si="315"/>
        <v>2022_6</v>
      </c>
      <c r="DI135" t="str">
        <f t="shared" si="315"/>
        <v>2022_6</v>
      </c>
      <c r="DJ135" t="str">
        <f t="shared" si="315"/>
        <v>2022_6</v>
      </c>
      <c r="DK135" t="str">
        <f t="shared" si="315"/>
        <v>2022_6</v>
      </c>
      <c r="DL135" t="str">
        <f t="shared" si="315"/>
        <v>2022_6</v>
      </c>
      <c r="DM135" t="str">
        <f t="shared" si="315"/>
        <v>2022_6</v>
      </c>
      <c r="DN135" t="str">
        <f t="shared" si="315"/>
        <v>2022_6</v>
      </c>
      <c r="DO135" t="str">
        <f t="shared" si="315"/>
        <v>2022_6</v>
      </c>
      <c r="DP135" t="str">
        <f t="shared" si="315"/>
        <v>2022_6</v>
      </c>
      <c r="DQ135" t="str">
        <f t="shared" si="315"/>
        <v>2022_6</v>
      </c>
      <c r="DR135" t="str">
        <f t="shared" si="315"/>
        <v>2022_6</v>
      </c>
      <c r="DS135" t="str">
        <f t="shared" si="315"/>
        <v>2022_6</v>
      </c>
      <c r="DT135" t="str">
        <f t="shared" si="315"/>
        <v>2022_6</v>
      </c>
      <c r="DU135" t="str">
        <f t="shared" si="315"/>
        <v>2022_6</v>
      </c>
      <c r="DV135" t="str">
        <f t="shared" si="315"/>
        <v>2022_6</v>
      </c>
      <c r="DW135" t="str">
        <f t="shared" si="314"/>
        <v>2022_6</v>
      </c>
      <c r="DX135" t="str">
        <f t="shared" si="314"/>
        <v>2022_6</v>
      </c>
      <c r="DY135" t="str">
        <f t="shared" si="314"/>
        <v>2022_6</v>
      </c>
      <c r="DZ135" t="str">
        <f t="shared" si="314"/>
        <v>2022_6</v>
      </c>
      <c r="EA135" t="str">
        <f t="shared" si="314"/>
        <v>2022_6</v>
      </c>
      <c r="EB135" t="str">
        <f t="shared" si="314"/>
        <v>2022_6</v>
      </c>
      <c r="EC135" t="str">
        <f t="shared" si="314"/>
        <v>2022_6</v>
      </c>
      <c r="ED135" t="str">
        <f t="shared" si="314"/>
        <v>2022_6</v>
      </c>
      <c r="EE135" t="str">
        <f t="shared" si="314"/>
        <v>2022_6</v>
      </c>
      <c r="EF135" t="str">
        <f t="shared" si="314"/>
        <v>2022_6</v>
      </c>
      <c r="EG135" t="str">
        <f t="shared" si="314"/>
        <v>2022_6</v>
      </c>
      <c r="EH135" t="str">
        <f t="shared" si="314"/>
        <v>2022_6</v>
      </c>
      <c r="EI135" t="str">
        <f t="shared" si="314"/>
        <v>2022_6</v>
      </c>
      <c r="EJ135" t="str">
        <f t="shared" si="314"/>
        <v>2022_6</v>
      </c>
      <c r="EK135" t="str">
        <f t="shared" si="313"/>
        <v>2022_6</v>
      </c>
      <c r="EL135" t="str">
        <f t="shared" si="313"/>
        <v>2022_6</v>
      </c>
      <c r="EM135" t="str">
        <f t="shared" si="313"/>
        <v>2022_6</v>
      </c>
      <c r="EN135" t="str">
        <f t="shared" si="313"/>
        <v>2022_6</v>
      </c>
      <c r="EO135" t="str">
        <f t="shared" si="313"/>
        <v>2022_6</v>
      </c>
      <c r="EP135" t="str">
        <f t="shared" si="313"/>
        <v>2022_6</v>
      </c>
      <c r="EQ135" t="str">
        <f t="shared" si="313"/>
        <v>2022_6</v>
      </c>
      <c r="ER135" t="str">
        <f t="shared" si="313"/>
        <v>2022_6</v>
      </c>
      <c r="ES135" t="str">
        <f t="shared" si="313"/>
        <v>2022_6</v>
      </c>
      <c r="ET135" t="str">
        <f t="shared" si="313"/>
        <v>2022_6</v>
      </c>
      <c r="EU135" t="str">
        <f t="shared" si="313"/>
        <v>2022_6</v>
      </c>
      <c r="EV135" t="str">
        <f t="shared" si="313"/>
        <v>2022_6</v>
      </c>
      <c r="EW135" t="str">
        <f t="shared" si="313"/>
        <v>2022_6</v>
      </c>
      <c r="EX135" t="str">
        <f t="shared" si="313"/>
        <v>2022_6</v>
      </c>
      <c r="EY135" t="str">
        <f t="shared" si="313"/>
        <v>2022_6</v>
      </c>
      <c r="FB135" s="10" t="s">
        <v>37</v>
      </c>
      <c r="FC135">
        <f t="shared" si="305"/>
        <v>0</v>
      </c>
      <c r="FD135">
        <f t="shared" si="255"/>
        <v>0</v>
      </c>
      <c r="FE135">
        <f t="shared" si="256"/>
        <v>0</v>
      </c>
      <c r="FF135">
        <f t="shared" si="257"/>
        <v>0</v>
      </c>
      <c r="FG135">
        <f t="shared" si="258"/>
        <v>0</v>
      </c>
      <c r="FH135">
        <f t="shared" si="259"/>
        <v>0</v>
      </c>
      <c r="FI135">
        <f t="shared" si="260"/>
        <v>0</v>
      </c>
      <c r="FJ135">
        <f t="shared" si="261"/>
        <v>0</v>
      </c>
      <c r="FK135">
        <f t="shared" si="262"/>
        <v>0</v>
      </c>
      <c r="FL135">
        <f t="shared" si="263"/>
        <v>0</v>
      </c>
      <c r="FM135">
        <f t="shared" si="264"/>
        <v>0</v>
      </c>
      <c r="FN135">
        <f t="shared" si="265"/>
        <v>0</v>
      </c>
      <c r="FO135">
        <f t="shared" si="266"/>
        <v>0</v>
      </c>
      <c r="FP135">
        <f t="shared" si="267"/>
        <v>0</v>
      </c>
      <c r="FQ135">
        <f t="shared" si="268"/>
        <v>0</v>
      </c>
      <c r="FR135">
        <f t="shared" si="269"/>
        <v>0</v>
      </c>
      <c r="FS135">
        <f t="shared" si="270"/>
        <v>0</v>
      </c>
      <c r="FT135">
        <f t="shared" si="271"/>
        <v>0</v>
      </c>
      <c r="FU135">
        <f t="shared" si="272"/>
        <v>0</v>
      </c>
      <c r="FV135">
        <f t="shared" si="273"/>
        <v>0</v>
      </c>
      <c r="FW135">
        <f t="shared" si="274"/>
        <v>0</v>
      </c>
      <c r="FX135">
        <f t="shared" si="275"/>
        <v>0</v>
      </c>
      <c r="FY135">
        <f t="shared" si="276"/>
        <v>0</v>
      </c>
      <c r="FZ135">
        <f t="shared" si="277"/>
        <v>0</v>
      </c>
      <c r="GA135">
        <f t="shared" si="278"/>
        <v>0</v>
      </c>
      <c r="GB135">
        <f t="shared" si="279"/>
        <v>0</v>
      </c>
      <c r="GC135">
        <f t="shared" si="280"/>
        <v>1</v>
      </c>
      <c r="GD135">
        <f t="shared" si="281"/>
        <v>1</v>
      </c>
      <c r="GE135">
        <f t="shared" si="282"/>
        <v>1</v>
      </c>
      <c r="GF135">
        <f t="shared" si="283"/>
        <v>1</v>
      </c>
      <c r="GG135">
        <f t="shared" si="284"/>
        <v>1</v>
      </c>
      <c r="GH135">
        <f t="shared" si="285"/>
        <v>1</v>
      </c>
      <c r="GI135">
        <f t="shared" si="286"/>
        <v>1</v>
      </c>
      <c r="GJ135">
        <f t="shared" si="287"/>
        <v>1</v>
      </c>
      <c r="GK135">
        <f t="shared" si="288"/>
        <v>1</v>
      </c>
      <c r="GL135">
        <f t="shared" si="289"/>
        <v>1</v>
      </c>
      <c r="GM135">
        <f t="shared" si="290"/>
        <v>1</v>
      </c>
      <c r="GN135">
        <f t="shared" si="291"/>
        <v>1</v>
      </c>
      <c r="GO135">
        <f t="shared" si="292"/>
        <v>1</v>
      </c>
      <c r="GP135">
        <f t="shared" si="293"/>
        <v>1</v>
      </c>
      <c r="GQ135">
        <f t="shared" si="294"/>
        <v>1</v>
      </c>
      <c r="GR135">
        <f t="shared" si="295"/>
        <v>1</v>
      </c>
      <c r="GS135">
        <f t="shared" si="296"/>
        <v>1</v>
      </c>
      <c r="GT135">
        <f t="shared" si="297"/>
        <v>1</v>
      </c>
      <c r="GU135">
        <f t="shared" si="298"/>
        <v>1</v>
      </c>
      <c r="GX135" s="10"/>
    </row>
    <row r="136" spans="1:206" x14ac:dyDescent="0.3">
      <c r="A136" s="9" t="s">
        <v>170</v>
      </c>
      <c r="B136" s="80"/>
      <c r="C136" s="9">
        <v>3020598002</v>
      </c>
      <c r="D136" s="9" t="s">
        <v>447</v>
      </c>
      <c r="E136" s="9" t="s">
        <v>34</v>
      </c>
      <c r="F136" s="9" t="s">
        <v>35</v>
      </c>
      <c r="G136" s="9" t="s">
        <v>171</v>
      </c>
      <c r="H136" s="10">
        <v>44743</v>
      </c>
      <c r="I136" s="9">
        <f t="shared" si="299"/>
        <v>2022</v>
      </c>
      <c r="J136" s="9">
        <f t="shared" si="300"/>
        <v>7</v>
      </c>
      <c r="K136" s="9" t="str">
        <f t="shared" si="301"/>
        <v>2022_7</v>
      </c>
      <c r="L136">
        <f>MAX(0,VLOOKUP($K136,lookups!$A$1:$B$45,2,0)-12)</f>
        <v>15</v>
      </c>
      <c r="M136" s="40">
        <f t="shared" si="302"/>
        <v>44743</v>
      </c>
      <c r="N136" s="10" t="s">
        <v>172</v>
      </c>
      <c r="O136" t="str">
        <f ca="1">IF(OR($L136&gt;O$4,O$4&gt;$L136+23),"",OFFSET(Electric!$L127,0,-'Electric Calendarize'!$L136+'Electric Calendarize'!O$4+1))</f>
        <v/>
      </c>
      <c r="P136" t="str">
        <f ca="1">IF(OR($L136&gt;P$4,P$4&gt;$L136+23),"",OFFSET(Electric!$L127,0,-'Electric Calendarize'!$L136+'Electric Calendarize'!P$4+1))</f>
        <v/>
      </c>
      <c r="Q136" t="str">
        <f ca="1">IF(OR($L136&gt;Q$4,Q$4&gt;$L136+23),"",OFFSET(Electric!$L127,0,-'Electric Calendarize'!$L136+'Electric Calendarize'!Q$4+1))</f>
        <v/>
      </c>
      <c r="R136" t="str">
        <f ca="1">IF(OR($L136&gt;R$4,R$4&gt;$L136+23),"",OFFSET(Electric!$L127,0,-'Electric Calendarize'!$L136+'Electric Calendarize'!R$4+1))</f>
        <v/>
      </c>
      <c r="S136" t="str">
        <f ca="1">IF(OR($L136&gt;S$4,S$4&gt;$L136+23),"",OFFSET(Electric!$L127,0,-'Electric Calendarize'!$L136+'Electric Calendarize'!S$4+1))</f>
        <v/>
      </c>
      <c r="T136" t="str">
        <f ca="1">IF(OR($L136&gt;T$4,T$4&gt;$L136+23),"",OFFSET(Electric!$L127,0,-'Electric Calendarize'!$L136+'Electric Calendarize'!T$4+1))</f>
        <v/>
      </c>
      <c r="U136" t="str">
        <f ca="1">IF(OR($L136&gt;U$4,U$4&gt;$L136+23),"",OFFSET(Electric!$L127,0,-'Electric Calendarize'!$L136+'Electric Calendarize'!U$4+1))</f>
        <v/>
      </c>
      <c r="V136" t="str">
        <f ca="1">IF(OR($L136&gt;V$4,V$4&gt;$L136+23),"",OFFSET(Electric!$L127,0,-'Electric Calendarize'!$L136+'Electric Calendarize'!V$4+1))</f>
        <v/>
      </c>
      <c r="W136" t="str">
        <f ca="1">IF(OR($L136&gt;W$4,W$4&gt;$L136+23),"",OFFSET(Electric!$L127,0,-'Electric Calendarize'!$L136+'Electric Calendarize'!W$4+1))</f>
        <v/>
      </c>
      <c r="X136" t="str">
        <f ca="1">IF(OR($L136&gt;X$4,X$4&gt;$L136+23),"",OFFSET(Electric!$L127,0,-'Electric Calendarize'!$L136+'Electric Calendarize'!X$4+1))</f>
        <v/>
      </c>
      <c r="Y136" t="str">
        <f ca="1">IF(OR($L136&gt;Y$4,Y$4&gt;$L136+23),"",OFFSET(Electric!$L127,0,-'Electric Calendarize'!$L136+'Electric Calendarize'!Y$4+1))</f>
        <v/>
      </c>
      <c r="Z136" t="str">
        <f ca="1">IF(OR($L136&gt;Z$4,Z$4&gt;$L136+23),"",OFFSET(Electric!$L127,0,-'Electric Calendarize'!$L136+'Electric Calendarize'!Z$4+1))</f>
        <v/>
      </c>
      <c r="AA136" t="str">
        <f ca="1">IF(OR($L136&gt;AA$4,AA$4&gt;$L136+23),"",OFFSET(Electric!$L127,0,-'Electric Calendarize'!$L136+'Electric Calendarize'!AA$4+1))</f>
        <v/>
      </c>
      <c r="AB136" t="str">
        <f ca="1">IF(OR($L136&gt;AB$4,AB$4&gt;$L136+23),"",OFFSET(Electric!$L127,0,-'Electric Calendarize'!$L136+'Electric Calendarize'!AB$4+1))</f>
        <v/>
      </c>
      <c r="AC136" t="str">
        <f ca="1">IF(OR($L136&gt;AC$4,AC$4&gt;$L136+23),"",OFFSET(Electric!$L127,0,-'Electric Calendarize'!$L136+'Electric Calendarize'!AC$4+1))</f>
        <v/>
      </c>
      <c r="AD136">
        <f ca="1">IF(OR($L136&gt;AD$4,AD$4&gt;$L136+23),"",OFFSET(Electric!$L127,0,-'Electric Calendarize'!$L136+'Electric Calendarize'!AD$4+1))</f>
        <v>1636</v>
      </c>
      <c r="AE136">
        <f ca="1">IF(OR($L136&gt;AE$4,AE$4&gt;$L136+23),"",OFFSET(Electric!$L127,0,-'Electric Calendarize'!$L136+'Electric Calendarize'!AE$4+1))</f>
        <v>1886</v>
      </c>
      <c r="AF136">
        <f ca="1">IF(OR($L136&gt;AF$4,AF$4&gt;$L136+23),"",OFFSET(Electric!$L127,0,-'Electric Calendarize'!$L136+'Electric Calendarize'!AF$4+1))</f>
        <v>1651</v>
      </c>
      <c r="AG136">
        <f ca="1">IF(OR($L136&gt;AG$4,AG$4&gt;$L136+23),"",OFFSET(Electric!$L127,0,-'Electric Calendarize'!$L136+'Electric Calendarize'!AG$4+1))</f>
        <v>1335</v>
      </c>
      <c r="AH136">
        <f ca="1">IF(OR($L136&gt;AH$4,AH$4&gt;$L136+23),"",OFFSET(Electric!$L127,0,-'Electric Calendarize'!$L136+'Electric Calendarize'!AH$4+1))</f>
        <v>1226</v>
      </c>
      <c r="AI136">
        <f ca="1">IF(OR($L136&gt;AI$4,AI$4&gt;$L136+23),"",OFFSET(Electric!$L127,0,-'Electric Calendarize'!$L136+'Electric Calendarize'!AI$4+1))</f>
        <v>2813</v>
      </c>
      <c r="AJ136">
        <f ca="1">IF(OR($L136&gt;AJ$4,AJ$4&gt;$L136+23),"",OFFSET(Electric!$L127,0,-'Electric Calendarize'!$L136+'Electric Calendarize'!AJ$4+1))</f>
        <v>3261</v>
      </c>
      <c r="AK136">
        <f ca="1">IF(OR($L136&gt;AK$4,AK$4&gt;$L136+23),"",OFFSET(Electric!$L127,0,-'Electric Calendarize'!$L136+'Electric Calendarize'!AK$4+1))</f>
        <v>4604</v>
      </c>
      <c r="AL136">
        <f ca="1">IF(OR($L136&gt;AL$4,AL$4&gt;$L136+23),"",OFFSET(Electric!$L127,0,-'Electric Calendarize'!$L136+'Electric Calendarize'!AL$4+1))</f>
        <v>3661</v>
      </c>
      <c r="AM136">
        <f ca="1">IF(OR($L136&gt;AM$4,AM$4&gt;$L136+23),"",OFFSET(Electric!$L127,0,-'Electric Calendarize'!$L136+'Electric Calendarize'!AM$4+1))</f>
        <v>2663</v>
      </c>
      <c r="AN136">
        <f ca="1">IF(OR($L136&gt;AN$4,AN$4&gt;$L136+23),"",OFFSET(Electric!$L127,0,-'Electric Calendarize'!$L136+'Electric Calendarize'!AN$4+1))</f>
        <v>2056</v>
      </c>
      <c r="AO136">
        <f ca="1">IF(OR($L136&gt;AO$4,AO$4&gt;$L136+23),"",OFFSET(Electric!$L127,0,-'Electric Calendarize'!$L136+'Electric Calendarize'!AO$4+1))</f>
        <v>1609</v>
      </c>
      <c r="AP136">
        <f ca="1">IF(OR($L136&gt;AP$4,AP$4&gt;$L136+23),"",OFFSET(Electric!$L127,0,-'Electric Calendarize'!$L136+'Electric Calendarize'!AP$4+1))</f>
        <v>1509</v>
      </c>
      <c r="AQ136">
        <f ca="1">IF(OR($L136&gt;AQ$4,AQ$4&gt;$L136+23),"",OFFSET(Electric!$L127,0,-'Electric Calendarize'!$L136+'Electric Calendarize'!AQ$4+1))</f>
        <v>1861</v>
      </c>
      <c r="AR136">
        <f ca="1">IF(OR($L136&gt;AR$4,AR$4&gt;$L136+23),"",OFFSET(Electric!$L127,0,-'Electric Calendarize'!$L136+'Electric Calendarize'!AR$4+1))</f>
        <v>1517</v>
      </c>
      <c r="AS136">
        <f ca="1">IF(OR($L136&gt;AS$4,AS$4&gt;$L136+23),"",OFFSET(Electric!$L127,0,-'Electric Calendarize'!$L136+'Electric Calendarize'!AS$4+1))</f>
        <v>1180</v>
      </c>
      <c r="AT136">
        <f ca="1">IF(OR($L136&gt;AT$4,AT$4&gt;$L136+23),"",OFFSET(Electric!$L127,0,-'Electric Calendarize'!$L136+'Electric Calendarize'!AT$4+1))</f>
        <v>1180</v>
      </c>
      <c r="AU136">
        <f ca="1">IF(OR($L136&gt;AU$4,AU$4&gt;$L136+23),"",OFFSET(Electric!$L127,0,-'Electric Calendarize'!$L136+'Electric Calendarize'!AU$4+1))</f>
        <v>1976</v>
      </c>
      <c r="AV136">
        <f ca="1">IF(OR($L136&gt;AV$4,AV$4&gt;$L136+23),"",OFFSET(Electric!$L127,0,-'Electric Calendarize'!$L136+'Electric Calendarize'!AV$4+1))</f>
        <v>2567</v>
      </c>
      <c r="AW136">
        <f ca="1">IF(OR($L136&gt;AW$4,AW$4&gt;$L136+23),"",OFFSET(Electric!$L127,0,-'Electric Calendarize'!$L136+'Electric Calendarize'!AW$4+1))</f>
        <v>2797</v>
      </c>
      <c r="AX136">
        <f ca="1">IF(OR($L136&gt;AX$4,AX$4&gt;$L136+23),"",OFFSET(Electric!$L127,0,-'Electric Calendarize'!$L136+'Electric Calendarize'!AX$4+1))</f>
        <v>2437</v>
      </c>
      <c r="AY136">
        <f ca="1">IF(OR($L136&gt;AY$4,AY$4&gt;$L136+23),"",OFFSET(Electric!$L127,0,-'Electric Calendarize'!$L136+'Electric Calendarize'!AY$4+1))</f>
        <v>2015</v>
      </c>
      <c r="AZ136">
        <f ca="1">IF(OR($L136&gt;AZ$4,AZ$4&gt;$L136+23),"",OFFSET(Electric!$L127,0,-'Electric Calendarize'!$L136+'Electric Calendarize'!AZ$4+1))</f>
        <v>1630</v>
      </c>
      <c r="BA136">
        <f ca="1">IF(OR($L136&gt;BA$4,BA$4&gt;$L136+23),"",OFFSET(Electric!$L127,0,-'Electric Calendarize'!$L136+'Electric Calendarize'!BA$4+1))</f>
        <v>1409</v>
      </c>
      <c r="BB136" t="str">
        <f ca="1">IF(OR($L136&gt;BB$4,BB$4&gt;$L136+23),"",OFFSET(Electric!$L127,0,-'Electric Calendarize'!$L136+'Electric Calendarize'!BB$4+1))</f>
        <v/>
      </c>
      <c r="BC136" t="str">
        <f ca="1">IF(OR($L136&gt;BC$4,BC$4&gt;$L136+23),"",OFFSET(Electric!$L127,0,-'Electric Calendarize'!$L136+'Electric Calendarize'!BC$4+1))</f>
        <v/>
      </c>
      <c r="BD136" t="str">
        <f ca="1">IF(OR($L136&gt;BD$4,BD$4&gt;$L136+23),"",OFFSET(Electric!$L127,0,-'Electric Calendarize'!$L136+'Electric Calendarize'!BD$4+1))</f>
        <v/>
      </c>
      <c r="BE136" t="str">
        <f ca="1">IF(OR($L136&gt;BE$4,BE$4&gt;$L136+23),"",OFFSET(Electric!$L127,0,-'Electric Calendarize'!$L136+'Electric Calendarize'!BE$4+1))</f>
        <v/>
      </c>
      <c r="BF136" t="str">
        <f ca="1">IF(OR($L136&gt;BF$4,BF$4&gt;$L136+23),"",OFFSET(Electric!$L127,0,-'Electric Calendarize'!$L136+'Electric Calendarize'!BF$4+1))</f>
        <v/>
      </c>
      <c r="BG136" t="str">
        <f ca="1">IF(OR($L136&gt;BG$4,BG$4&gt;$L136+23),"",OFFSET(Electric!$L127,0,-'Electric Calendarize'!$L136+'Electric Calendarize'!BG$4+1))</f>
        <v/>
      </c>
      <c r="BJ136" s="10" t="s">
        <v>172</v>
      </c>
      <c r="BK136">
        <f t="shared" si="303"/>
        <v>1</v>
      </c>
      <c r="BL136">
        <f t="shared" si="209"/>
        <v>0</v>
      </c>
      <c r="BM136">
        <f t="shared" si="210"/>
        <v>0</v>
      </c>
      <c r="BN136">
        <f t="shared" si="211"/>
        <v>0</v>
      </c>
      <c r="BO136">
        <f t="shared" si="212"/>
        <v>0</v>
      </c>
      <c r="BP136">
        <f t="shared" si="213"/>
        <v>0</v>
      </c>
      <c r="BQ136">
        <f t="shared" si="214"/>
        <v>0</v>
      </c>
      <c r="BR136">
        <f t="shared" si="215"/>
        <v>1</v>
      </c>
      <c r="BS136">
        <f t="shared" si="216"/>
        <v>1</v>
      </c>
      <c r="BT136">
        <f t="shared" si="217"/>
        <v>1</v>
      </c>
      <c r="BU136">
        <f t="shared" si="218"/>
        <v>1</v>
      </c>
      <c r="BV136">
        <f t="shared" si="219"/>
        <v>1</v>
      </c>
      <c r="BW136">
        <f t="shared" si="220"/>
        <v>1</v>
      </c>
      <c r="BX136">
        <f t="shared" si="221"/>
        <v>0</v>
      </c>
      <c r="BY136">
        <f t="shared" si="222"/>
        <v>0</v>
      </c>
      <c r="BZ136">
        <f t="shared" si="223"/>
        <v>0</v>
      </c>
      <c r="CA136">
        <f t="shared" si="224"/>
        <v>0</v>
      </c>
      <c r="CB136">
        <f t="shared" si="225"/>
        <v>0</v>
      </c>
      <c r="CC136">
        <f t="shared" si="226"/>
        <v>0</v>
      </c>
      <c r="CD136">
        <f t="shared" si="227"/>
        <v>1</v>
      </c>
      <c r="CE136">
        <f t="shared" si="228"/>
        <v>1</v>
      </c>
      <c r="CF136">
        <f t="shared" si="229"/>
        <v>1</v>
      </c>
      <c r="CG136">
        <f t="shared" si="230"/>
        <v>1</v>
      </c>
      <c r="CH136">
        <f t="shared" si="231"/>
        <v>1</v>
      </c>
      <c r="CI136">
        <f t="shared" si="232"/>
        <v>1</v>
      </c>
      <c r="CJ136">
        <f t="shared" si="233"/>
        <v>0</v>
      </c>
      <c r="CK136">
        <f t="shared" si="234"/>
        <v>0</v>
      </c>
      <c r="CL136">
        <f t="shared" si="235"/>
        <v>0</v>
      </c>
      <c r="CM136">
        <f t="shared" si="236"/>
        <v>0</v>
      </c>
      <c r="CN136">
        <f t="shared" si="237"/>
        <v>0</v>
      </c>
      <c r="CO136">
        <f t="shared" si="238"/>
        <v>0</v>
      </c>
      <c r="CP136">
        <f t="shared" si="239"/>
        <v>1</v>
      </c>
      <c r="CQ136">
        <f t="shared" si="240"/>
        <v>1</v>
      </c>
      <c r="CR136">
        <f t="shared" si="241"/>
        <v>1</v>
      </c>
      <c r="CS136">
        <f t="shared" si="242"/>
        <v>1</v>
      </c>
      <c r="CT136">
        <f t="shared" si="243"/>
        <v>1</v>
      </c>
      <c r="CU136">
        <f t="shared" si="244"/>
        <v>1</v>
      </c>
      <c r="CV136">
        <f t="shared" si="245"/>
        <v>0</v>
      </c>
      <c r="CW136">
        <f t="shared" si="246"/>
        <v>0</v>
      </c>
      <c r="CX136">
        <f t="shared" si="247"/>
        <v>0</v>
      </c>
      <c r="CY136">
        <f t="shared" si="248"/>
        <v>0</v>
      </c>
      <c r="CZ136">
        <f t="shared" si="249"/>
        <v>0</v>
      </c>
      <c r="DA136">
        <f t="shared" si="250"/>
        <v>0</v>
      </c>
      <c r="DB136">
        <f t="shared" si="251"/>
        <v>1</v>
      </c>
      <c r="DC136">
        <f t="shared" si="252"/>
        <v>1</v>
      </c>
      <c r="DF136" s="10" t="s">
        <v>172</v>
      </c>
      <c r="DG136" t="str">
        <f t="shared" si="315"/>
        <v>2022_7</v>
      </c>
      <c r="DH136" t="str">
        <f t="shared" si="315"/>
        <v>2022_7</v>
      </c>
      <c r="DI136" t="str">
        <f t="shared" si="315"/>
        <v>2022_7</v>
      </c>
      <c r="DJ136" t="str">
        <f t="shared" si="315"/>
        <v>2022_7</v>
      </c>
      <c r="DK136" t="str">
        <f t="shared" si="315"/>
        <v>2022_7</v>
      </c>
      <c r="DL136" t="str">
        <f t="shared" si="315"/>
        <v>2022_7</v>
      </c>
      <c r="DM136" t="str">
        <f t="shared" si="315"/>
        <v>2022_7</v>
      </c>
      <c r="DN136" t="str">
        <f t="shared" si="315"/>
        <v>2022_7</v>
      </c>
      <c r="DO136" t="str">
        <f t="shared" si="315"/>
        <v>2022_7</v>
      </c>
      <c r="DP136" t="str">
        <f t="shared" si="315"/>
        <v>2022_7</v>
      </c>
      <c r="DQ136" t="str">
        <f t="shared" si="315"/>
        <v>2022_7</v>
      </c>
      <c r="DR136" t="str">
        <f t="shared" si="315"/>
        <v>2022_7</v>
      </c>
      <c r="DS136" t="str">
        <f t="shared" si="315"/>
        <v>2022_7</v>
      </c>
      <c r="DT136" t="str">
        <f t="shared" si="315"/>
        <v>2022_7</v>
      </c>
      <c r="DU136" t="str">
        <f t="shared" si="315"/>
        <v>2022_7</v>
      </c>
      <c r="DV136" t="str">
        <f t="shared" si="315"/>
        <v>2022_7</v>
      </c>
      <c r="DW136" t="str">
        <f t="shared" si="314"/>
        <v>2022_7</v>
      </c>
      <c r="DX136" t="str">
        <f t="shared" si="314"/>
        <v>2022_7</v>
      </c>
      <c r="DY136" t="str">
        <f t="shared" si="314"/>
        <v>2022_7</v>
      </c>
      <c r="DZ136" t="str">
        <f t="shared" si="314"/>
        <v>2022_7</v>
      </c>
      <c r="EA136" t="str">
        <f t="shared" si="314"/>
        <v>2022_7</v>
      </c>
      <c r="EB136" t="str">
        <f t="shared" si="314"/>
        <v>2022_7</v>
      </c>
      <c r="EC136" t="str">
        <f t="shared" si="314"/>
        <v>2022_7</v>
      </c>
      <c r="ED136" t="str">
        <f t="shared" si="314"/>
        <v>2022_7</v>
      </c>
      <c r="EE136" t="str">
        <f t="shared" si="314"/>
        <v>2022_7</v>
      </c>
      <c r="EF136" t="str">
        <f t="shared" si="314"/>
        <v>2022_7</v>
      </c>
      <c r="EG136" t="str">
        <f t="shared" si="314"/>
        <v>2022_7</v>
      </c>
      <c r="EH136" t="str">
        <f t="shared" si="314"/>
        <v>2022_7</v>
      </c>
      <c r="EI136" t="str">
        <f t="shared" si="314"/>
        <v>2022_7</v>
      </c>
      <c r="EJ136" t="str">
        <f t="shared" si="314"/>
        <v>2022_7</v>
      </c>
      <c r="EK136" t="str">
        <f t="shared" si="313"/>
        <v>2022_7</v>
      </c>
      <c r="EL136" t="str">
        <f t="shared" si="313"/>
        <v>2022_7</v>
      </c>
      <c r="EM136" t="str">
        <f t="shared" si="313"/>
        <v>2022_7</v>
      </c>
      <c r="EN136" t="str">
        <f t="shared" si="313"/>
        <v>2022_7</v>
      </c>
      <c r="EO136" t="str">
        <f t="shared" si="313"/>
        <v>2022_7</v>
      </c>
      <c r="EP136" t="str">
        <f t="shared" si="313"/>
        <v>2022_7</v>
      </c>
      <c r="EQ136" t="str">
        <f t="shared" si="313"/>
        <v>2022_7</v>
      </c>
      <c r="ER136" t="str">
        <f t="shared" si="313"/>
        <v>2022_7</v>
      </c>
      <c r="ES136" t="str">
        <f t="shared" si="313"/>
        <v>2022_7</v>
      </c>
      <c r="ET136" t="str">
        <f t="shared" si="313"/>
        <v>2022_7</v>
      </c>
      <c r="EU136" t="str">
        <f t="shared" si="313"/>
        <v>2022_7</v>
      </c>
      <c r="EV136" t="str">
        <f t="shared" si="313"/>
        <v>2022_7</v>
      </c>
      <c r="EW136" t="str">
        <f t="shared" si="313"/>
        <v>2022_7</v>
      </c>
      <c r="EX136" t="str">
        <f t="shared" si="313"/>
        <v>2022_7</v>
      </c>
      <c r="EY136" t="str">
        <f t="shared" si="313"/>
        <v>2022_7</v>
      </c>
      <c r="FB136" s="10" t="s">
        <v>172</v>
      </c>
      <c r="FC136">
        <f t="shared" si="305"/>
        <v>0</v>
      </c>
      <c r="FD136">
        <f t="shared" si="255"/>
        <v>0</v>
      </c>
      <c r="FE136">
        <f t="shared" si="256"/>
        <v>0</v>
      </c>
      <c r="FF136">
        <f t="shared" si="257"/>
        <v>0</v>
      </c>
      <c r="FG136">
        <f t="shared" si="258"/>
        <v>0</v>
      </c>
      <c r="FH136">
        <f t="shared" si="259"/>
        <v>0</v>
      </c>
      <c r="FI136">
        <f t="shared" si="260"/>
        <v>0</v>
      </c>
      <c r="FJ136">
        <f t="shared" si="261"/>
        <v>0</v>
      </c>
      <c r="FK136">
        <f t="shared" si="262"/>
        <v>0</v>
      </c>
      <c r="FL136">
        <f t="shared" si="263"/>
        <v>0</v>
      </c>
      <c r="FM136">
        <f t="shared" si="264"/>
        <v>0</v>
      </c>
      <c r="FN136">
        <f t="shared" si="265"/>
        <v>0</v>
      </c>
      <c r="FO136">
        <f t="shared" si="266"/>
        <v>0</v>
      </c>
      <c r="FP136">
        <f t="shared" si="267"/>
        <v>0</v>
      </c>
      <c r="FQ136">
        <f t="shared" si="268"/>
        <v>0</v>
      </c>
      <c r="FR136">
        <f t="shared" si="269"/>
        <v>0</v>
      </c>
      <c r="FS136">
        <f t="shared" si="270"/>
        <v>0</v>
      </c>
      <c r="FT136">
        <f t="shared" si="271"/>
        <v>0</v>
      </c>
      <c r="FU136">
        <f t="shared" si="272"/>
        <v>0</v>
      </c>
      <c r="FV136">
        <f t="shared" si="273"/>
        <v>0</v>
      </c>
      <c r="FW136">
        <f t="shared" si="274"/>
        <v>0</v>
      </c>
      <c r="FX136">
        <f t="shared" si="275"/>
        <v>0</v>
      </c>
      <c r="FY136">
        <f t="shared" si="276"/>
        <v>0</v>
      </c>
      <c r="FZ136">
        <f t="shared" si="277"/>
        <v>0</v>
      </c>
      <c r="GA136">
        <f t="shared" si="278"/>
        <v>0</v>
      </c>
      <c r="GB136">
        <f t="shared" si="279"/>
        <v>0</v>
      </c>
      <c r="GC136">
        <f t="shared" si="280"/>
        <v>0</v>
      </c>
      <c r="GD136">
        <f t="shared" si="281"/>
        <v>1</v>
      </c>
      <c r="GE136">
        <f t="shared" si="282"/>
        <v>1</v>
      </c>
      <c r="GF136">
        <f t="shared" si="283"/>
        <v>1</v>
      </c>
      <c r="GG136">
        <f t="shared" si="284"/>
        <v>1</v>
      </c>
      <c r="GH136">
        <f t="shared" si="285"/>
        <v>1</v>
      </c>
      <c r="GI136">
        <f t="shared" si="286"/>
        <v>1</v>
      </c>
      <c r="GJ136">
        <f t="shared" si="287"/>
        <v>1</v>
      </c>
      <c r="GK136">
        <f t="shared" si="288"/>
        <v>1</v>
      </c>
      <c r="GL136">
        <f t="shared" si="289"/>
        <v>1</v>
      </c>
      <c r="GM136">
        <f t="shared" si="290"/>
        <v>1</v>
      </c>
      <c r="GN136">
        <f t="shared" si="291"/>
        <v>1</v>
      </c>
      <c r="GO136">
        <f t="shared" si="292"/>
        <v>1</v>
      </c>
      <c r="GP136">
        <f t="shared" si="293"/>
        <v>1</v>
      </c>
      <c r="GQ136">
        <f t="shared" si="294"/>
        <v>1</v>
      </c>
      <c r="GR136">
        <f t="shared" si="295"/>
        <v>1</v>
      </c>
      <c r="GS136">
        <f t="shared" si="296"/>
        <v>1</v>
      </c>
      <c r="GT136">
        <f t="shared" si="297"/>
        <v>1</v>
      </c>
      <c r="GU136">
        <f t="shared" si="298"/>
        <v>1</v>
      </c>
      <c r="GX136" s="10"/>
    </row>
    <row r="137" spans="1:206" x14ac:dyDescent="0.3">
      <c r="A137" s="28" t="s">
        <v>33</v>
      </c>
      <c r="B137" s="81"/>
      <c r="C137" s="28">
        <v>3160897000</v>
      </c>
      <c r="D137" s="28" t="s">
        <v>448</v>
      </c>
      <c r="E137" s="28" t="s">
        <v>100</v>
      </c>
      <c r="F137" s="28" t="s">
        <v>35</v>
      </c>
      <c r="G137" s="28" t="s">
        <v>173</v>
      </c>
      <c r="H137" s="10">
        <v>44743</v>
      </c>
      <c r="I137" s="9">
        <f t="shared" si="299"/>
        <v>2022</v>
      </c>
      <c r="J137" s="9">
        <f t="shared" si="300"/>
        <v>7</v>
      </c>
      <c r="K137" s="9" t="str">
        <f t="shared" si="301"/>
        <v>2022_7</v>
      </c>
      <c r="L137">
        <f>MAX(0,VLOOKUP($K137,lookups!$A$1:$B$45,2,0)-12)</f>
        <v>15</v>
      </c>
      <c r="M137" s="40">
        <f t="shared" si="302"/>
        <v>44743</v>
      </c>
      <c r="N137" s="10" t="s">
        <v>37</v>
      </c>
      <c r="O137" t="str">
        <f ca="1">IF(OR($L137&gt;O$4,O$4&gt;$L137+23),"",OFFSET(Electric!$L128,0,-'Electric Calendarize'!$L137+'Electric Calendarize'!O$4+1))</f>
        <v/>
      </c>
      <c r="P137" t="str">
        <f ca="1">IF(OR($L137&gt;P$4,P$4&gt;$L137+23),"",OFFSET(Electric!$L128,0,-'Electric Calendarize'!$L137+'Electric Calendarize'!P$4+1))</f>
        <v/>
      </c>
      <c r="Q137" t="str">
        <f ca="1">IF(OR($L137&gt;Q$4,Q$4&gt;$L137+23),"",OFFSET(Electric!$L128,0,-'Electric Calendarize'!$L137+'Electric Calendarize'!Q$4+1))</f>
        <v/>
      </c>
      <c r="R137" t="str">
        <f ca="1">IF(OR($L137&gt;R$4,R$4&gt;$L137+23),"",OFFSET(Electric!$L128,0,-'Electric Calendarize'!$L137+'Electric Calendarize'!R$4+1))</f>
        <v/>
      </c>
      <c r="S137" t="str">
        <f ca="1">IF(OR($L137&gt;S$4,S$4&gt;$L137+23),"",OFFSET(Electric!$L128,0,-'Electric Calendarize'!$L137+'Electric Calendarize'!S$4+1))</f>
        <v/>
      </c>
      <c r="T137" t="str">
        <f ca="1">IF(OR($L137&gt;T$4,T$4&gt;$L137+23),"",OFFSET(Electric!$L128,0,-'Electric Calendarize'!$L137+'Electric Calendarize'!T$4+1))</f>
        <v/>
      </c>
      <c r="U137" t="str">
        <f ca="1">IF(OR($L137&gt;U$4,U$4&gt;$L137+23),"",OFFSET(Electric!$L128,0,-'Electric Calendarize'!$L137+'Electric Calendarize'!U$4+1))</f>
        <v/>
      </c>
      <c r="V137" t="str">
        <f ca="1">IF(OR($L137&gt;V$4,V$4&gt;$L137+23),"",OFFSET(Electric!$L128,0,-'Electric Calendarize'!$L137+'Electric Calendarize'!V$4+1))</f>
        <v/>
      </c>
      <c r="W137" t="str">
        <f ca="1">IF(OR($L137&gt;W$4,W$4&gt;$L137+23),"",OFFSET(Electric!$L128,0,-'Electric Calendarize'!$L137+'Electric Calendarize'!W$4+1))</f>
        <v/>
      </c>
      <c r="X137" t="str">
        <f ca="1">IF(OR($L137&gt;X$4,X$4&gt;$L137+23),"",OFFSET(Electric!$L128,0,-'Electric Calendarize'!$L137+'Electric Calendarize'!X$4+1))</f>
        <v/>
      </c>
      <c r="Y137" t="str">
        <f ca="1">IF(OR($L137&gt;Y$4,Y$4&gt;$L137+23),"",OFFSET(Electric!$L128,0,-'Electric Calendarize'!$L137+'Electric Calendarize'!Y$4+1))</f>
        <v/>
      </c>
      <c r="Z137" t="str">
        <f ca="1">IF(OR($L137&gt;Z$4,Z$4&gt;$L137+23),"",OFFSET(Electric!$L128,0,-'Electric Calendarize'!$L137+'Electric Calendarize'!Z$4+1))</f>
        <v/>
      </c>
      <c r="AA137" t="str">
        <f ca="1">IF(OR($L137&gt;AA$4,AA$4&gt;$L137+23),"",OFFSET(Electric!$L128,0,-'Electric Calendarize'!$L137+'Electric Calendarize'!AA$4+1))</f>
        <v/>
      </c>
      <c r="AB137" t="str">
        <f ca="1">IF(OR($L137&gt;AB$4,AB$4&gt;$L137+23),"",OFFSET(Electric!$L128,0,-'Electric Calendarize'!$L137+'Electric Calendarize'!AB$4+1))</f>
        <v/>
      </c>
      <c r="AC137" t="str">
        <f ca="1">IF(OR($L137&gt;AC$4,AC$4&gt;$L137+23),"",OFFSET(Electric!$L128,0,-'Electric Calendarize'!$L137+'Electric Calendarize'!AC$4+1))</f>
        <v/>
      </c>
      <c r="AD137">
        <f ca="1">IF(OR($L137&gt;AD$4,AD$4&gt;$L137+23),"",OFFSET(Electric!$L128,0,-'Electric Calendarize'!$L137+'Electric Calendarize'!AD$4+1))</f>
        <v>1671</v>
      </c>
      <c r="AE137">
        <f ca="1">IF(OR($L137&gt;AE$4,AE$4&gt;$L137+23),"",OFFSET(Electric!$L128,0,-'Electric Calendarize'!$L137+'Electric Calendarize'!AE$4+1))</f>
        <v>1557</v>
      </c>
      <c r="AF137">
        <f ca="1">IF(OR($L137&gt;AF$4,AF$4&gt;$L137+23),"",OFFSET(Electric!$L128,0,-'Electric Calendarize'!$L137+'Electric Calendarize'!AF$4+1))</f>
        <v>1036</v>
      </c>
      <c r="AG137">
        <f ca="1">IF(OR($L137&gt;AG$4,AG$4&gt;$L137+23),"",OFFSET(Electric!$L128,0,-'Electric Calendarize'!$L137+'Electric Calendarize'!AG$4+1))</f>
        <v>682</v>
      </c>
      <c r="AH137">
        <f ca="1">IF(OR($L137&gt;AH$4,AH$4&gt;$L137+23),"",OFFSET(Electric!$L128,0,-'Electric Calendarize'!$L137+'Electric Calendarize'!AH$4+1))</f>
        <v>892</v>
      </c>
      <c r="AI137">
        <f ca="1">IF(OR($L137&gt;AI$4,AI$4&gt;$L137+23),"",OFFSET(Electric!$L128,0,-'Electric Calendarize'!$L137+'Electric Calendarize'!AI$4+1))</f>
        <v>962</v>
      </c>
      <c r="AJ137">
        <f ca="1">IF(OR($L137&gt;AJ$4,AJ$4&gt;$L137+23),"",OFFSET(Electric!$L128,0,-'Electric Calendarize'!$L137+'Electric Calendarize'!AJ$4+1))</f>
        <v>1326</v>
      </c>
      <c r="AK137">
        <f ca="1">IF(OR($L137&gt;AK$4,AK$4&gt;$L137+23),"",OFFSET(Electric!$L128,0,-'Electric Calendarize'!$L137+'Electric Calendarize'!AK$4+1))</f>
        <v>886</v>
      </c>
      <c r="AL137">
        <f ca="1">IF(OR($L137&gt;AL$4,AL$4&gt;$L137+23),"",OFFSET(Electric!$L128,0,-'Electric Calendarize'!$L137+'Electric Calendarize'!AL$4+1))</f>
        <v>191</v>
      </c>
      <c r="AM137">
        <f ca="1">IF(OR($L137&gt;AM$4,AM$4&gt;$L137+23),"",OFFSET(Electric!$L128,0,-'Electric Calendarize'!$L137+'Electric Calendarize'!AM$4+1))</f>
        <v>667</v>
      </c>
      <c r="AN137">
        <f ca="1">IF(OR($L137&gt;AN$4,AN$4&gt;$L137+23),"",OFFSET(Electric!$L128,0,-'Electric Calendarize'!$L137+'Electric Calendarize'!AN$4+1))</f>
        <v>1109</v>
      </c>
      <c r="AO137">
        <f ca="1">IF(OR($L137&gt;AO$4,AO$4&gt;$L137+23),"",OFFSET(Electric!$L128,0,-'Electric Calendarize'!$L137+'Electric Calendarize'!AO$4+1))</f>
        <v>1093</v>
      </c>
      <c r="AP137">
        <f ca="1">IF(OR($L137&gt;AP$4,AP$4&gt;$L137+23),"",OFFSET(Electric!$L128,0,-'Electric Calendarize'!$L137+'Electric Calendarize'!AP$4+1))</f>
        <v>1394</v>
      </c>
      <c r="AQ137">
        <f ca="1">IF(OR($L137&gt;AQ$4,AQ$4&gt;$L137+23),"",OFFSET(Electric!$L128,0,-'Electric Calendarize'!$L137+'Electric Calendarize'!AQ$4+1))</f>
        <v>1524</v>
      </c>
      <c r="AR137">
        <f ca="1">IF(OR($L137&gt;AR$4,AR$4&gt;$L137+23),"",OFFSET(Electric!$L128,0,-'Electric Calendarize'!$L137+'Electric Calendarize'!AR$4+1))</f>
        <v>1020</v>
      </c>
      <c r="AS137">
        <f ca="1">IF(OR($L137&gt;AS$4,AS$4&gt;$L137+23),"",OFFSET(Electric!$L128,0,-'Electric Calendarize'!$L137+'Electric Calendarize'!AS$4+1))</f>
        <v>600</v>
      </c>
      <c r="AT137">
        <f ca="1">IF(OR($L137&gt;AT$4,AT$4&gt;$L137+23),"",OFFSET(Electric!$L128,0,-'Electric Calendarize'!$L137+'Electric Calendarize'!AT$4+1))</f>
        <v>779</v>
      </c>
      <c r="AU137">
        <f ca="1">IF(OR($L137&gt;AU$4,AU$4&gt;$L137+23),"",OFFSET(Electric!$L128,0,-'Electric Calendarize'!$L137+'Electric Calendarize'!AU$4+1))</f>
        <v>883</v>
      </c>
      <c r="AV137">
        <f ca="1">IF(OR($L137&gt;AV$4,AV$4&gt;$L137+23),"",OFFSET(Electric!$L128,0,-'Electric Calendarize'!$L137+'Electric Calendarize'!AV$4+1))</f>
        <v>851</v>
      </c>
      <c r="AW137">
        <f ca="1">IF(OR($L137&gt;AW$4,AW$4&gt;$L137+23),"",OFFSET(Electric!$L128,0,-'Electric Calendarize'!$L137+'Electric Calendarize'!AW$4+1))</f>
        <v>940</v>
      </c>
      <c r="AX137">
        <f ca="1">IF(OR($L137&gt;AX$4,AX$4&gt;$L137+23),"",OFFSET(Electric!$L128,0,-'Electric Calendarize'!$L137+'Electric Calendarize'!AX$4+1))</f>
        <v>694</v>
      </c>
      <c r="AY137">
        <f ca="1">IF(OR($L137&gt;AY$4,AY$4&gt;$L137+23),"",OFFSET(Electric!$L128,0,-'Electric Calendarize'!$L137+'Electric Calendarize'!AY$4+1))</f>
        <v>649</v>
      </c>
      <c r="AZ137">
        <f ca="1">IF(OR($L137&gt;AZ$4,AZ$4&gt;$L137+23),"",OFFSET(Electric!$L128,0,-'Electric Calendarize'!$L137+'Electric Calendarize'!AZ$4+1))</f>
        <v>735</v>
      </c>
      <c r="BA137">
        <f ca="1">IF(OR($L137&gt;BA$4,BA$4&gt;$L137+23),"",OFFSET(Electric!$L128,0,-'Electric Calendarize'!$L137+'Electric Calendarize'!BA$4+1))</f>
        <v>779</v>
      </c>
      <c r="BB137" t="str">
        <f ca="1">IF(OR($L137&gt;BB$4,BB$4&gt;$L137+23),"",OFFSET(Electric!$L128,0,-'Electric Calendarize'!$L137+'Electric Calendarize'!BB$4+1))</f>
        <v/>
      </c>
      <c r="BC137" t="str">
        <f ca="1">IF(OR($L137&gt;BC$4,BC$4&gt;$L137+23),"",OFFSET(Electric!$L128,0,-'Electric Calendarize'!$L137+'Electric Calendarize'!BC$4+1))</f>
        <v/>
      </c>
      <c r="BD137" t="str">
        <f ca="1">IF(OR($L137&gt;BD$4,BD$4&gt;$L137+23),"",OFFSET(Electric!$L128,0,-'Electric Calendarize'!$L137+'Electric Calendarize'!BD$4+1))</f>
        <v/>
      </c>
      <c r="BE137" t="str">
        <f ca="1">IF(OR($L137&gt;BE$4,BE$4&gt;$L137+23),"",OFFSET(Electric!$L128,0,-'Electric Calendarize'!$L137+'Electric Calendarize'!BE$4+1))</f>
        <v/>
      </c>
      <c r="BF137" t="str">
        <f ca="1">IF(OR($L137&gt;BF$4,BF$4&gt;$L137+23),"",OFFSET(Electric!$L128,0,-'Electric Calendarize'!$L137+'Electric Calendarize'!BF$4+1))</f>
        <v/>
      </c>
      <c r="BG137" t="str">
        <f ca="1">IF(OR($L137&gt;BG$4,BG$4&gt;$L137+23),"",OFFSET(Electric!$L128,0,-'Electric Calendarize'!$L137+'Electric Calendarize'!BG$4+1))</f>
        <v/>
      </c>
      <c r="BJ137" s="10" t="s">
        <v>37</v>
      </c>
      <c r="BK137">
        <f t="shared" si="303"/>
        <v>1</v>
      </c>
      <c r="BL137">
        <f t="shared" si="209"/>
        <v>0</v>
      </c>
      <c r="BM137">
        <f t="shared" si="210"/>
        <v>0</v>
      </c>
      <c r="BN137">
        <f t="shared" si="211"/>
        <v>0</v>
      </c>
      <c r="BO137">
        <f t="shared" si="212"/>
        <v>0</v>
      </c>
      <c r="BP137">
        <f t="shared" si="213"/>
        <v>0</v>
      </c>
      <c r="BQ137">
        <f t="shared" si="214"/>
        <v>0</v>
      </c>
      <c r="BR137">
        <f t="shared" si="215"/>
        <v>1</v>
      </c>
      <c r="BS137">
        <f t="shared" si="216"/>
        <v>1</v>
      </c>
      <c r="BT137">
        <f t="shared" si="217"/>
        <v>1</v>
      </c>
      <c r="BU137">
        <f t="shared" si="218"/>
        <v>1</v>
      </c>
      <c r="BV137">
        <f t="shared" si="219"/>
        <v>1</v>
      </c>
      <c r="BW137">
        <f t="shared" si="220"/>
        <v>1</v>
      </c>
      <c r="BX137">
        <f t="shared" si="221"/>
        <v>0</v>
      </c>
      <c r="BY137">
        <f t="shared" si="222"/>
        <v>0</v>
      </c>
      <c r="BZ137">
        <f t="shared" si="223"/>
        <v>0</v>
      </c>
      <c r="CA137">
        <f t="shared" si="224"/>
        <v>0</v>
      </c>
      <c r="CB137">
        <f t="shared" si="225"/>
        <v>0</v>
      </c>
      <c r="CC137">
        <f t="shared" si="226"/>
        <v>0</v>
      </c>
      <c r="CD137">
        <f t="shared" si="227"/>
        <v>1</v>
      </c>
      <c r="CE137">
        <f t="shared" si="228"/>
        <v>1</v>
      </c>
      <c r="CF137">
        <f t="shared" si="229"/>
        <v>1</v>
      </c>
      <c r="CG137">
        <f t="shared" si="230"/>
        <v>1</v>
      </c>
      <c r="CH137">
        <f t="shared" si="231"/>
        <v>1</v>
      </c>
      <c r="CI137">
        <f t="shared" si="232"/>
        <v>1</v>
      </c>
      <c r="CJ137">
        <f t="shared" si="233"/>
        <v>0</v>
      </c>
      <c r="CK137">
        <f t="shared" si="234"/>
        <v>0</v>
      </c>
      <c r="CL137">
        <f t="shared" si="235"/>
        <v>0</v>
      </c>
      <c r="CM137">
        <f t="shared" si="236"/>
        <v>0</v>
      </c>
      <c r="CN137">
        <f t="shared" si="237"/>
        <v>0</v>
      </c>
      <c r="CO137">
        <f t="shared" si="238"/>
        <v>0</v>
      </c>
      <c r="CP137">
        <f t="shared" si="239"/>
        <v>1</v>
      </c>
      <c r="CQ137">
        <f t="shared" si="240"/>
        <v>1</v>
      </c>
      <c r="CR137">
        <f t="shared" si="241"/>
        <v>1</v>
      </c>
      <c r="CS137">
        <f t="shared" si="242"/>
        <v>1</v>
      </c>
      <c r="CT137">
        <f t="shared" si="243"/>
        <v>1</v>
      </c>
      <c r="CU137">
        <f t="shared" si="244"/>
        <v>1</v>
      </c>
      <c r="CV137">
        <f t="shared" si="245"/>
        <v>0</v>
      </c>
      <c r="CW137">
        <f t="shared" si="246"/>
        <v>0</v>
      </c>
      <c r="CX137">
        <f t="shared" si="247"/>
        <v>0</v>
      </c>
      <c r="CY137">
        <f t="shared" si="248"/>
        <v>0</v>
      </c>
      <c r="CZ137">
        <f t="shared" si="249"/>
        <v>0</v>
      </c>
      <c r="DA137">
        <f t="shared" si="250"/>
        <v>0</v>
      </c>
      <c r="DB137">
        <f t="shared" si="251"/>
        <v>1</v>
      </c>
      <c r="DC137">
        <f t="shared" si="252"/>
        <v>1</v>
      </c>
      <c r="DF137" s="10" t="s">
        <v>37</v>
      </c>
      <c r="DG137" t="str">
        <f t="shared" si="315"/>
        <v>2022_7</v>
      </c>
      <c r="DH137" t="str">
        <f t="shared" si="315"/>
        <v>2022_7</v>
      </c>
      <c r="DI137" t="str">
        <f t="shared" si="315"/>
        <v>2022_7</v>
      </c>
      <c r="DJ137" t="str">
        <f t="shared" si="315"/>
        <v>2022_7</v>
      </c>
      <c r="DK137" t="str">
        <f t="shared" si="315"/>
        <v>2022_7</v>
      </c>
      <c r="DL137" t="str">
        <f t="shared" si="315"/>
        <v>2022_7</v>
      </c>
      <c r="DM137" t="str">
        <f t="shared" si="315"/>
        <v>2022_7</v>
      </c>
      <c r="DN137" t="str">
        <f t="shared" si="315"/>
        <v>2022_7</v>
      </c>
      <c r="DO137" t="str">
        <f t="shared" si="315"/>
        <v>2022_7</v>
      </c>
      <c r="DP137" t="str">
        <f t="shared" si="315"/>
        <v>2022_7</v>
      </c>
      <c r="DQ137" t="str">
        <f t="shared" si="315"/>
        <v>2022_7</v>
      </c>
      <c r="DR137" t="str">
        <f t="shared" si="315"/>
        <v>2022_7</v>
      </c>
      <c r="DS137" t="str">
        <f t="shared" si="315"/>
        <v>2022_7</v>
      </c>
      <c r="DT137" t="str">
        <f t="shared" si="315"/>
        <v>2022_7</v>
      </c>
      <c r="DU137" t="str">
        <f t="shared" si="315"/>
        <v>2022_7</v>
      </c>
      <c r="DV137" t="str">
        <f t="shared" si="315"/>
        <v>2022_7</v>
      </c>
      <c r="DW137" t="str">
        <f t="shared" si="314"/>
        <v>2022_7</v>
      </c>
      <c r="DX137" t="str">
        <f t="shared" si="314"/>
        <v>2022_7</v>
      </c>
      <c r="DY137" t="str">
        <f t="shared" si="314"/>
        <v>2022_7</v>
      </c>
      <c r="DZ137" t="str">
        <f t="shared" si="314"/>
        <v>2022_7</v>
      </c>
      <c r="EA137" t="str">
        <f t="shared" si="314"/>
        <v>2022_7</v>
      </c>
      <c r="EB137" t="str">
        <f t="shared" si="314"/>
        <v>2022_7</v>
      </c>
      <c r="EC137" t="str">
        <f t="shared" si="314"/>
        <v>2022_7</v>
      </c>
      <c r="ED137" t="str">
        <f t="shared" si="314"/>
        <v>2022_7</v>
      </c>
      <c r="EE137" t="str">
        <f t="shared" si="314"/>
        <v>2022_7</v>
      </c>
      <c r="EF137" t="str">
        <f t="shared" si="314"/>
        <v>2022_7</v>
      </c>
      <c r="EG137" t="str">
        <f t="shared" si="314"/>
        <v>2022_7</v>
      </c>
      <c r="EH137" t="str">
        <f t="shared" si="314"/>
        <v>2022_7</v>
      </c>
      <c r="EI137" t="str">
        <f t="shared" si="314"/>
        <v>2022_7</v>
      </c>
      <c r="EJ137" t="str">
        <f t="shared" si="314"/>
        <v>2022_7</v>
      </c>
      <c r="EK137" t="str">
        <f t="shared" si="313"/>
        <v>2022_7</v>
      </c>
      <c r="EL137" t="str">
        <f t="shared" si="313"/>
        <v>2022_7</v>
      </c>
      <c r="EM137" t="str">
        <f t="shared" si="313"/>
        <v>2022_7</v>
      </c>
      <c r="EN137" t="str">
        <f t="shared" si="313"/>
        <v>2022_7</v>
      </c>
      <c r="EO137" t="str">
        <f t="shared" si="313"/>
        <v>2022_7</v>
      </c>
      <c r="EP137" t="str">
        <f t="shared" si="313"/>
        <v>2022_7</v>
      </c>
      <c r="EQ137" t="str">
        <f t="shared" si="313"/>
        <v>2022_7</v>
      </c>
      <c r="ER137" t="str">
        <f t="shared" si="313"/>
        <v>2022_7</v>
      </c>
      <c r="ES137" t="str">
        <f t="shared" si="313"/>
        <v>2022_7</v>
      </c>
      <c r="ET137" t="str">
        <f t="shared" si="313"/>
        <v>2022_7</v>
      </c>
      <c r="EU137" t="str">
        <f t="shared" si="313"/>
        <v>2022_7</v>
      </c>
      <c r="EV137" t="str">
        <f t="shared" si="313"/>
        <v>2022_7</v>
      </c>
      <c r="EW137" t="str">
        <f t="shared" si="313"/>
        <v>2022_7</v>
      </c>
      <c r="EX137" t="str">
        <f t="shared" si="313"/>
        <v>2022_7</v>
      </c>
      <c r="EY137" t="str">
        <f t="shared" si="313"/>
        <v>2022_7</v>
      </c>
      <c r="FB137" s="10" t="s">
        <v>37</v>
      </c>
      <c r="FC137">
        <f t="shared" si="305"/>
        <v>0</v>
      </c>
      <c r="FD137">
        <f t="shared" si="255"/>
        <v>0</v>
      </c>
      <c r="FE137">
        <f t="shared" si="256"/>
        <v>0</v>
      </c>
      <c r="FF137">
        <f t="shared" si="257"/>
        <v>0</v>
      </c>
      <c r="FG137">
        <f t="shared" si="258"/>
        <v>0</v>
      </c>
      <c r="FH137">
        <f t="shared" si="259"/>
        <v>0</v>
      </c>
      <c r="FI137">
        <f t="shared" si="260"/>
        <v>0</v>
      </c>
      <c r="FJ137">
        <f t="shared" si="261"/>
        <v>0</v>
      </c>
      <c r="FK137">
        <f t="shared" si="262"/>
        <v>0</v>
      </c>
      <c r="FL137">
        <f t="shared" si="263"/>
        <v>0</v>
      </c>
      <c r="FM137">
        <f t="shared" si="264"/>
        <v>0</v>
      </c>
      <c r="FN137">
        <f t="shared" si="265"/>
        <v>0</v>
      </c>
      <c r="FO137">
        <f t="shared" si="266"/>
        <v>0</v>
      </c>
      <c r="FP137">
        <f t="shared" si="267"/>
        <v>0</v>
      </c>
      <c r="FQ137">
        <f t="shared" si="268"/>
        <v>0</v>
      </c>
      <c r="FR137">
        <f t="shared" si="269"/>
        <v>0</v>
      </c>
      <c r="FS137">
        <f t="shared" si="270"/>
        <v>0</v>
      </c>
      <c r="FT137">
        <f t="shared" si="271"/>
        <v>0</v>
      </c>
      <c r="FU137">
        <f t="shared" si="272"/>
        <v>0</v>
      </c>
      <c r="FV137">
        <f t="shared" si="273"/>
        <v>0</v>
      </c>
      <c r="FW137">
        <f t="shared" si="274"/>
        <v>0</v>
      </c>
      <c r="FX137">
        <f t="shared" si="275"/>
        <v>0</v>
      </c>
      <c r="FY137">
        <f t="shared" si="276"/>
        <v>0</v>
      </c>
      <c r="FZ137">
        <f t="shared" si="277"/>
        <v>0</v>
      </c>
      <c r="GA137">
        <f t="shared" si="278"/>
        <v>0</v>
      </c>
      <c r="GB137">
        <f t="shared" si="279"/>
        <v>0</v>
      </c>
      <c r="GC137">
        <f t="shared" si="280"/>
        <v>0</v>
      </c>
      <c r="GD137">
        <f t="shared" si="281"/>
        <v>1</v>
      </c>
      <c r="GE137">
        <f t="shared" si="282"/>
        <v>1</v>
      </c>
      <c r="GF137">
        <f t="shared" si="283"/>
        <v>1</v>
      </c>
      <c r="GG137">
        <f t="shared" si="284"/>
        <v>1</v>
      </c>
      <c r="GH137">
        <f t="shared" si="285"/>
        <v>1</v>
      </c>
      <c r="GI137">
        <f t="shared" si="286"/>
        <v>1</v>
      </c>
      <c r="GJ137">
        <f t="shared" si="287"/>
        <v>1</v>
      </c>
      <c r="GK137">
        <f t="shared" si="288"/>
        <v>1</v>
      </c>
      <c r="GL137">
        <f t="shared" si="289"/>
        <v>1</v>
      </c>
      <c r="GM137">
        <f t="shared" si="290"/>
        <v>1</v>
      </c>
      <c r="GN137">
        <f t="shared" si="291"/>
        <v>1</v>
      </c>
      <c r="GO137">
        <f t="shared" si="292"/>
        <v>1</v>
      </c>
      <c r="GP137">
        <f t="shared" si="293"/>
        <v>1</v>
      </c>
      <c r="GQ137">
        <f t="shared" si="294"/>
        <v>1</v>
      </c>
      <c r="GR137">
        <f t="shared" si="295"/>
        <v>1</v>
      </c>
      <c r="GS137">
        <f t="shared" si="296"/>
        <v>1</v>
      </c>
      <c r="GT137">
        <f t="shared" si="297"/>
        <v>1</v>
      </c>
      <c r="GU137">
        <f t="shared" si="298"/>
        <v>1</v>
      </c>
      <c r="GX137" s="10"/>
    </row>
    <row r="138" spans="1:206" x14ac:dyDescent="0.3">
      <c r="A138" s="9" t="s">
        <v>117</v>
      </c>
      <c r="B138" s="80"/>
      <c r="C138" s="9">
        <v>3111773002</v>
      </c>
      <c r="D138" s="9" t="s">
        <v>449</v>
      </c>
      <c r="E138" s="9" t="s">
        <v>43</v>
      </c>
      <c r="F138" s="9" t="s">
        <v>35</v>
      </c>
      <c r="G138" s="9" t="s">
        <v>174</v>
      </c>
      <c r="H138" s="10">
        <v>44747</v>
      </c>
      <c r="I138" s="9">
        <f t="shared" si="299"/>
        <v>2022</v>
      </c>
      <c r="J138" s="9">
        <f t="shared" si="300"/>
        <v>7</v>
      </c>
      <c r="K138" s="9" t="str">
        <f t="shared" si="301"/>
        <v>2022_7</v>
      </c>
      <c r="L138">
        <f>MAX(0,VLOOKUP($K138,lookups!$A$1:$B$45,2,0)-12)</f>
        <v>15</v>
      </c>
      <c r="M138" s="40">
        <f t="shared" si="302"/>
        <v>44743</v>
      </c>
      <c r="N138" s="10" t="s">
        <v>37</v>
      </c>
      <c r="O138" t="str">
        <f ca="1">IF(OR($L138&gt;O$4,O$4&gt;$L138+23),"",OFFSET(Electric!$L129,0,-'Electric Calendarize'!$L138+'Electric Calendarize'!O$4+1))</f>
        <v/>
      </c>
      <c r="P138" t="str">
        <f ca="1">IF(OR($L138&gt;P$4,P$4&gt;$L138+23),"",OFFSET(Electric!$L129,0,-'Electric Calendarize'!$L138+'Electric Calendarize'!P$4+1))</f>
        <v/>
      </c>
      <c r="Q138" t="str">
        <f ca="1">IF(OR($L138&gt;Q$4,Q$4&gt;$L138+23),"",OFFSET(Electric!$L129,0,-'Electric Calendarize'!$L138+'Electric Calendarize'!Q$4+1))</f>
        <v/>
      </c>
      <c r="R138" t="str">
        <f ca="1">IF(OR($L138&gt;R$4,R$4&gt;$L138+23),"",OFFSET(Electric!$L129,0,-'Electric Calendarize'!$L138+'Electric Calendarize'!R$4+1))</f>
        <v/>
      </c>
      <c r="S138" t="str">
        <f ca="1">IF(OR($L138&gt;S$4,S$4&gt;$L138+23),"",OFFSET(Electric!$L129,0,-'Electric Calendarize'!$L138+'Electric Calendarize'!S$4+1))</f>
        <v/>
      </c>
      <c r="T138" t="str">
        <f ca="1">IF(OR($L138&gt;T$4,T$4&gt;$L138+23),"",OFFSET(Electric!$L129,0,-'Electric Calendarize'!$L138+'Electric Calendarize'!T$4+1))</f>
        <v/>
      </c>
      <c r="U138" t="str">
        <f ca="1">IF(OR($L138&gt;U$4,U$4&gt;$L138+23),"",OFFSET(Electric!$L129,0,-'Electric Calendarize'!$L138+'Electric Calendarize'!U$4+1))</f>
        <v/>
      </c>
      <c r="V138" t="str">
        <f ca="1">IF(OR($L138&gt;V$4,V$4&gt;$L138+23),"",OFFSET(Electric!$L129,0,-'Electric Calendarize'!$L138+'Electric Calendarize'!V$4+1))</f>
        <v/>
      </c>
      <c r="W138" t="str">
        <f ca="1">IF(OR($L138&gt;W$4,W$4&gt;$L138+23),"",OFFSET(Electric!$L129,0,-'Electric Calendarize'!$L138+'Electric Calendarize'!W$4+1))</f>
        <v/>
      </c>
      <c r="X138" t="str">
        <f ca="1">IF(OR($L138&gt;X$4,X$4&gt;$L138+23),"",OFFSET(Electric!$L129,0,-'Electric Calendarize'!$L138+'Electric Calendarize'!X$4+1))</f>
        <v/>
      </c>
      <c r="Y138" t="str">
        <f ca="1">IF(OR($L138&gt;Y$4,Y$4&gt;$L138+23),"",OFFSET(Electric!$L129,0,-'Electric Calendarize'!$L138+'Electric Calendarize'!Y$4+1))</f>
        <v/>
      </c>
      <c r="Z138" t="str">
        <f ca="1">IF(OR($L138&gt;Z$4,Z$4&gt;$L138+23),"",OFFSET(Electric!$L129,0,-'Electric Calendarize'!$L138+'Electric Calendarize'!Z$4+1))</f>
        <v/>
      </c>
      <c r="AA138" t="str">
        <f ca="1">IF(OR($L138&gt;AA$4,AA$4&gt;$L138+23),"",OFFSET(Electric!$L129,0,-'Electric Calendarize'!$L138+'Electric Calendarize'!AA$4+1))</f>
        <v/>
      </c>
      <c r="AB138" t="str">
        <f ca="1">IF(OR($L138&gt;AB$4,AB$4&gt;$L138+23),"",OFFSET(Electric!$L129,0,-'Electric Calendarize'!$L138+'Electric Calendarize'!AB$4+1))</f>
        <v/>
      </c>
      <c r="AC138" t="str">
        <f ca="1">IF(OR($L138&gt;AC$4,AC$4&gt;$L138+23),"",OFFSET(Electric!$L129,0,-'Electric Calendarize'!$L138+'Electric Calendarize'!AC$4+1))</f>
        <v/>
      </c>
      <c r="AD138">
        <f ca="1">IF(OR($L138&gt;AD$4,AD$4&gt;$L138+23),"",OFFSET(Electric!$L129,0,-'Electric Calendarize'!$L138+'Electric Calendarize'!AD$4+1))</f>
        <v>1478</v>
      </c>
      <c r="AE138">
        <f ca="1">IF(OR($L138&gt;AE$4,AE$4&gt;$L138+23),"",OFFSET(Electric!$L129,0,-'Electric Calendarize'!$L138+'Electric Calendarize'!AE$4+1))</f>
        <v>1760</v>
      </c>
      <c r="AF138">
        <f ca="1">IF(OR($L138&gt;AF$4,AF$4&gt;$L138+23),"",OFFSET(Electric!$L129,0,-'Electric Calendarize'!$L138+'Electric Calendarize'!AF$4+1))</f>
        <v>1352</v>
      </c>
      <c r="AG138">
        <f ca="1">IF(OR($L138&gt;AG$4,AG$4&gt;$L138+23),"",OFFSET(Electric!$L129,0,-'Electric Calendarize'!$L138+'Electric Calendarize'!AG$4+1))</f>
        <v>968</v>
      </c>
      <c r="AH138">
        <f ca="1">IF(OR($L138&gt;AH$4,AH$4&gt;$L138+23),"",OFFSET(Electric!$L129,0,-'Electric Calendarize'!$L138+'Electric Calendarize'!AH$4+1))</f>
        <v>786</v>
      </c>
      <c r="AI138">
        <f ca="1">IF(OR($L138&gt;AI$4,AI$4&gt;$L138+23),"",OFFSET(Electric!$L129,0,-'Electric Calendarize'!$L138+'Electric Calendarize'!AI$4+1))</f>
        <v>1136</v>
      </c>
      <c r="AJ138">
        <f ca="1">IF(OR($L138&gt;AJ$4,AJ$4&gt;$L138+23),"",OFFSET(Electric!$L129,0,-'Electric Calendarize'!$L138+'Electric Calendarize'!AJ$4+1))</f>
        <v>1560</v>
      </c>
      <c r="AK138">
        <f ca="1">IF(OR($L138&gt;AK$4,AK$4&gt;$L138+23),"",OFFSET(Electric!$L129,0,-'Electric Calendarize'!$L138+'Electric Calendarize'!AK$4+1))</f>
        <v>1606</v>
      </c>
      <c r="AL138">
        <f ca="1">IF(OR($L138&gt;AL$4,AL$4&gt;$L138+23),"",OFFSET(Electric!$L129,0,-'Electric Calendarize'!$L138+'Electric Calendarize'!AL$4+1))</f>
        <v>1438</v>
      </c>
      <c r="AM138">
        <f ca="1">IF(OR($L138&gt;AM$4,AM$4&gt;$L138+23),"",OFFSET(Electric!$L129,0,-'Electric Calendarize'!$L138+'Electric Calendarize'!AM$4+1))</f>
        <v>1150</v>
      </c>
      <c r="AN138">
        <f ca="1">IF(OR($L138&gt;AN$4,AN$4&gt;$L138+23),"",OFFSET(Electric!$L129,0,-'Electric Calendarize'!$L138+'Electric Calendarize'!AN$4+1))</f>
        <v>1078</v>
      </c>
      <c r="AO138">
        <f ca="1">IF(OR($L138&gt;AO$4,AO$4&gt;$L138+23),"",OFFSET(Electric!$L129,0,-'Electric Calendarize'!$L138+'Electric Calendarize'!AO$4+1))</f>
        <v>1140</v>
      </c>
      <c r="AP138">
        <f ca="1">IF(OR($L138&gt;AP$4,AP$4&gt;$L138+23),"",OFFSET(Electric!$L129,0,-'Electric Calendarize'!$L138+'Electric Calendarize'!AP$4+1))</f>
        <v>1620</v>
      </c>
      <c r="AQ138">
        <f ca="1">IF(OR($L138&gt;AQ$4,AQ$4&gt;$L138+23),"",OFFSET(Electric!$L129,0,-'Electric Calendarize'!$L138+'Electric Calendarize'!AQ$4+1))</f>
        <v>1478</v>
      </c>
      <c r="AR138">
        <f ca="1">IF(OR($L138&gt;AR$4,AR$4&gt;$L138+23),"",OFFSET(Electric!$L129,0,-'Electric Calendarize'!$L138+'Electric Calendarize'!AR$4+1))</f>
        <v>1600</v>
      </c>
      <c r="AS138">
        <f ca="1">IF(OR($L138&gt;AS$4,AS$4&gt;$L138+23),"",OFFSET(Electric!$L129,0,-'Electric Calendarize'!$L138+'Electric Calendarize'!AS$4+1))</f>
        <v>1014</v>
      </c>
      <c r="AT138">
        <f ca="1">IF(OR($L138&gt;AT$4,AT$4&gt;$L138+23),"",OFFSET(Electric!$L129,0,-'Electric Calendarize'!$L138+'Electric Calendarize'!AT$4+1))</f>
        <v>1176</v>
      </c>
      <c r="AU138">
        <f ca="1">IF(OR($L138&gt;AU$4,AU$4&gt;$L138+23),"",OFFSET(Electric!$L129,0,-'Electric Calendarize'!$L138+'Electric Calendarize'!AU$4+1))</f>
        <v>1404</v>
      </c>
      <c r="AV138">
        <f ca="1">IF(OR($L138&gt;AV$4,AV$4&gt;$L138+23),"",OFFSET(Electric!$L129,0,-'Electric Calendarize'!$L138+'Electric Calendarize'!AV$4+1))</f>
        <v>1642</v>
      </c>
      <c r="AW138">
        <f ca="1">IF(OR($L138&gt;AW$4,AW$4&gt;$L138+23),"",OFFSET(Electric!$L129,0,-'Electric Calendarize'!$L138+'Electric Calendarize'!AW$4+1))</f>
        <v>1334</v>
      </c>
      <c r="AX138">
        <f ca="1">IF(OR($L138&gt;AX$4,AX$4&gt;$L138+23),"",OFFSET(Electric!$L129,0,-'Electric Calendarize'!$L138+'Electric Calendarize'!AX$4+1))</f>
        <v>1504</v>
      </c>
      <c r="AY138">
        <f ca="1">IF(OR($L138&gt;AY$4,AY$4&gt;$L138+23),"",OFFSET(Electric!$L129,0,-'Electric Calendarize'!$L138+'Electric Calendarize'!AY$4+1))</f>
        <v>1162</v>
      </c>
      <c r="AZ138">
        <f ca="1">IF(OR($L138&gt;AZ$4,AZ$4&gt;$L138+23),"",OFFSET(Electric!$L129,0,-'Electric Calendarize'!$L138+'Electric Calendarize'!AZ$4+1))</f>
        <v>1062</v>
      </c>
      <c r="BA138">
        <f ca="1">IF(OR($L138&gt;BA$4,BA$4&gt;$L138+23),"",OFFSET(Electric!$L129,0,-'Electric Calendarize'!$L138+'Electric Calendarize'!BA$4+1))</f>
        <v>1212</v>
      </c>
      <c r="BB138" t="str">
        <f ca="1">IF(OR($L138&gt;BB$4,BB$4&gt;$L138+23),"",OFFSET(Electric!$L129,0,-'Electric Calendarize'!$L138+'Electric Calendarize'!BB$4+1))</f>
        <v/>
      </c>
      <c r="BC138" t="str">
        <f ca="1">IF(OR($L138&gt;BC$4,BC$4&gt;$L138+23),"",OFFSET(Electric!$L129,0,-'Electric Calendarize'!$L138+'Electric Calendarize'!BC$4+1))</f>
        <v/>
      </c>
      <c r="BD138" t="str">
        <f ca="1">IF(OR($L138&gt;BD$4,BD$4&gt;$L138+23),"",OFFSET(Electric!$L129,0,-'Electric Calendarize'!$L138+'Electric Calendarize'!BD$4+1))</f>
        <v/>
      </c>
      <c r="BE138" t="str">
        <f ca="1">IF(OR($L138&gt;BE$4,BE$4&gt;$L138+23),"",OFFSET(Electric!$L129,0,-'Electric Calendarize'!$L138+'Electric Calendarize'!BE$4+1))</f>
        <v/>
      </c>
      <c r="BF138" t="str">
        <f ca="1">IF(OR($L138&gt;BF$4,BF$4&gt;$L138+23),"",OFFSET(Electric!$L129,0,-'Electric Calendarize'!$L138+'Electric Calendarize'!BF$4+1))</f>
        <v/>
      </c>
      <c r="BG138" t="str">
        <f ca="1">IF(OR($L138&gt;BG$4,BG$4&gt;$L138+23),"",OFFSET(Electric!$L129,0,-'Electric Calendarize'!$L138+'Electric Calendarize'!BG$4+1))</f>
        <v/>
      </c>
      <c r="BJ138" s="10" t="s">
        <v>37</v>
      </c>
      <c r="BK138">
        <f t="shared" si="303"/>
        <v>1</v>
      </c>
      <c r="BL138">
        <f t="shared" si="209"/>
        <v>0</v>
      </c>
      <c r="BM138">
        <f t="shared" si="210"/>
        <v>0</v>
      </c>
      <c r="BN138">
        <f t="shared" si="211"/>
        <v>0</v>
      </c>
      <c r="BO138">
        <f t="shared" si="212"/>
        <v>0</v>
      </c>
      <c r="BP138">
        <f t="shared" si="213"/>
        <v>0</v>
      </c>
      <c r="BQ138">
        <f t="shared" si="214"/>
        <v>0</v>
      </c>
      <c r="BR138">
        <f t="shared" si="215"/>
        <v>1</v>
      </c>
      <c r="BS138">
        <f t="shared" si="216"/>
        <v>1</v>
      </c>
      <c r="BT138">
        <f t="shared" si="217"/>
        <v>1</v>
      </c>
      <c r="BU138">
        <f t="shared" si="218"/>
        <v>1</v>
      </c>
      <c r="BV138">
        <f t="shared" si="219"/>
        <v>1</v>
      </c>
      <c r="BW138">
        <f t="shared" si="220"/>
        <v>1</v>
      </c>
      <c r="BX138">
        <f t="shared" si="221"/>
        <v>0</v>
      </c>
      <c r="BY138">
        <f t="shared" si="222"/>
        <v>0</v>
      </c>
      <c r="BZ138">
        <f t="shared" si="223"/>
        <v>0</v>
      </c>
      <c r="CA138">
        <f t="shared" si="224"/>
        <v>0</v>
      </c>
      <c r="CB138">
        <f t="shared" si="225"/>
        <v>0</v>
      </c>
      <c r="CC138">
        <f t="shared" si="226"/>
        <v>0</v>
      </c>
      <c r="CD138">
        <f t="shared" si="227"/>
        <v>1</v>
      </c>
      <c r="CE138">
        <f t="shared" si="228"/>
        <v>1</v>
      </c>
      <c r="CF138">
        <f t="shared" si="229"/>
        <v>1</v>
      </c>
      <c r="CG138">
        <f t="shared" si="230"/>
        <v>1</v>
      </c>
      <c r="CH138">
        <f t="shared" si="231"/>
        <v>1</v>
      </c>
      <c r="CI138">
        <f t="shared" si="232"/>
        <v>1</v>
      </c>
      <c r="CJ138">
        <f t="shared" si="233"/>
        <v>0</v>
      </c>
      <c r="CK138">
        <f t="shared" si="234"/>
        <v>0</v>
      </c>
      <c r="CL138">
        <f t="shared" si="235"/>
        <v>0</v>
      </c>
      <c r="CM138">
        <f t="shared" si="236"/>
        <v>0</v>
      </c>
      <c r="CN138">
        <f t="shared" si="237"/>
        <v>0</v>
      </c>
      <c r="CO138">
        <f t="shared" si="238"/>
        <v>0</v>
      </c>
      <c r="CP138">
        <f t="shared" si="239"/>
        <v>1</v>
      </c>
      <c r="CQ138">
        <f t="shared" si="240"/>
        <v>1</v>
      </c>
      <c r="CR138">
        <f t="shared" si="241"/>
        <v>1</v>
      </c>
      <c r="CS138">
        <f t="shared" si="242"/>
        <v>1</v>
      </c>
      <c r="CT138">
        <f t="shared" si="243"/>
        <v>1</v>
      </c>
      <c r="CU138">
        <f t="shared" si="244"/>
        <v>1</v>
      </c>
      <c r="CV138">
        <f t="shared" si="245"/>
        <v>0</v>
      </c>
      <c r="CW138">
        <f t="shared" si="246"/>
        <v>0</v>
      </c>
      <c r="CX138">
        <f t="shared" si="247"/>
        <v>0</v>
      </c>
      <c r="CY138">
        <f t="shared" si="248"/>
        <v>0</v>
      </c>
      <c r="CZ138">
        <f t="shared" si="249"/>
        <v>0</v>
      </c>
      <c r="DA138">
        <f t="shared" si="250"/>
        <v>0</v>
      </c>
      <c r="DB138">
        <f t="shared" si="251"/>
        <v>1</v>
      </c>
      <c r="DC138">
        <f t="shared" si="252"/>
        <v>1</v>
      </c>
      <c r="DF138" s="10" t="s">
        <v>37</v>
      </c>
      <c r="DG138" t="str">
        <f t="shared" si="315"/>
        <v>2022_7</v>
      </c>
      <c r="DH138" t="str">
        <f t="shared" si="315"/>
        <v>2022_7</v>
      </c>
      <c r="DI138" t="str">
        <f t="shared" si="315"/>
        <v>2022_7</v>
      </c>
      <c r="DJ138" t="str">
        <f t="shared" si="315"/>
        <v>2022_7</v>
      </c>
      <c r="DK138" t="str">
        <f t="shared" si="315"/>
        <v>2022_7</v>
      </c>
      <c r="DL138" t="str">
        <f t="shared" si="315"/>
        <v>2022_7</v>
      </c>
      <c r="DM138" t="str">
        <f t="shared" si="315"/>
        <v>2022_7</v>
      </c>
      <c r="DN138" t="str">
        <f t="shared" si="315"/>
        <v>2022_7</v>
      </c>
      <c r="DO138" t="str">
        <f t="shared" si="315"/>
        <v>2022_7</v>
      </c>
      <c r="DP138" t="str">
        <f t="shared" si="315"/>
        <v>2022_7</v>
      </c>
      <c r="DQ138" t="str">
        <f t="shared" si="315"/>
        <v>2022_7</v>
      </c>
      <c r="DR138" t="str">
        <f t="shared" si="315"/>
        <v>2022_7</v>
      </c>
      <c r="DS138" t="str">
        <f t="shared" si="315"/>
        <v>2022_7</v>
      </c>
      <c r="DT138" t="str">
        <f t="shared" si="315"/>
        <v>2022_7</v>
      </c>
      <c r="DU138" t="str">
        <f t="shared" si="315"/>
        <v>2022_7</v>
      </c>
      <c r="DV138" t="str">
        <f t="shared" si="315"/>
        <v>2022_7</v>
      </c>
      <c r="DW138" t="str">
        <f t="shared" si="314"/>
        <v>2022_7</v>
      </c>
      <c r="DX138" t="str">
        <f t="shared" si="314"/>
        <v>2022_7</v>
      </c>
      <c r="DY138" t="str">
        <f t="shared" si="314"/>
        <v>2022_7</v>
      </c>
      <c r="DZ138" t="str">
        <f t="shared" si="314"/>
        <v>2022_7</v>
      </c>
      <c r="EA138" t="str">
        <f t="shared" si="314"/>
        <v>2022_7</v>
      </c>
      <c r="EB138" t="str">
        <f t="shared" si="314"/>
        <v>2022_7</v>
      </c>
      <c r="EC138" t="str">
        <f t="shared" si="314"/>
        <v>2022_7</v>
      </c>
      <c r="ED138" t="str">
        <f t="shared" si="314"/>
        <v>2022_7</v>
      </c>
      <c r="EE138" t="str">
        <f t="shared" si="314"/>
        <v>2022_7</v>
      </c>
      <c r="EF138" t="str">
        <f t="shared" si="314"/>
        <v>2022_7</v>
      </c>
      <c r="EG138" t="str">
        <f t="shared" si="314"/>
        <v>2022_7</v>
      </c>
      <c r="EH138" t="str">
        <f t="shared" si="314"/>
        <v>2022_7</v>
      </c>
      <c r="EI138" t="str">
        <f t="shared" si="314"/>
        <v>2022_7</v>
      </c>
      <c r="EJ138" t="str">
        <f t="shared" si="314"/>
        <v>2022_7</v>
      </c>
      <c r="EK138" t="str">
        <f t="shared" si="314"/>
        <v>2022_7</v>
      </c>
      <c r="EL138" t="str">
        <f t="shared" si="314"/>
        <v>2022_7</v>
      </c>
      <c r="EM138" t="str">
        <f t="shared" ref="EM138:EY153" si="316">$K138</f>
        <v>2022_7</v>
      </c>
      <c r="EN138" t="str">
        <f t="shared" si="316"/>
        <v>2022_7</v>
      </c>
      <c r="EO138" t="str">
        <f t="shared" si="316"/>
        <v>2022_7</v>
      </c>
      <c r="EP138" t="str">
        <f t="shared" si="316"/>
        <v>2022_7</v>
      </c>
      <c r="EQ138" t="str">
        <f t="shared" si="316"/>
        <v>2022_7</v>
      </c>
      <c r="ER138" t="str">
        <f t="shared" si="316"/>
        <v>2022_7</v>
      </c>
      <c r="ES138" t="str">
        <f t="shared" si="316"/>
        <v>2022_7</v>
      </c>
      <c r="ET138" t="str">
        <f t="shared" si="316"/>
        <v>2022_7</v>
      </c>
      <c r="EU138" t="str">
        <f t="shared" si="316"/>
        <v>2022_7</v>
      </c>
      <c r="EV138" t="str">
        <f t="shared" si="316"/>
        <v>2022_7</v>
      </c>
      <c r="EW138" t="str">
        <f t="shared" si="316"/>
        <v>2022_7</v>
      </c>
      <c r="EX138" t="str">
        <f t="shared" si="316"/>
        <v>2022_7</v>
      </c>
      <c r="EY138" t="str">
        <f t="shared" si="316"/>
        <v>2022_7</v>
      </c>
      <c r="FB138" s="10" t="s">
        <v>37</v>
      </c>
      <c r="FC138">
        <f t="shared" si="305"/>
        <v>0</v>
      </c>
      <c r="FD138">
        <f t="shared" si="255"/>
        <v>0</v>
      </c>
      <c r="FE138">
        <f t="shared" si="256"/>
        <v>0</v>
      </c>
      <c r="FF138">
        <f t="shared" si="257"/>
        <v>0</v>
      </c>
      <c r="FG138">
        <f t="shared" si="258"/>
        <v>0</v>
      </c>
      <c r="FH138">
        <f t="shared" si="259"/>
        <v>0</v>
      </c>
      <c r="FI138">
        <f t="shared" si="260"/>
        <v>0</v>
      </c>
      <c r="FJ138">
        <f t="shared" si="261"/>
        <v>0</v>
      </c>
      <c r="FK138">
        <f t="shared" si="262"/>
        <v>0</v>
      </c>
      <c r="FL138">
        <f t="shared" si="263"/>
        <v>0</v>
      </c>
      <c r="FM138">
        <f t="shared" si="264"/>
        <v>0</v>
      </c>
      <c r="FN138">
        <f t="shared" si="265"/>
        <v>0</v>
      </c>
      <c r="FO138">
        <f t="shared" si="266"/>
        <v>0</v>
      </c>
      <c r="FP138">
        <f t="shared" si="267"/>
        <v>0</v>
      </c>
      <c r="FQ138">
        <f t="shared" si="268"/>
        <v>0</v>
      </c>
      <c r="FR138">
        <f t="shared" si="269"/>
        <v>0</v>
      </c>
      <c r="FS138">
        <f t="shared" si="270"/>
        <v>0</v>
      </c>
      <c r="FT138">
        <f t="shared" si="271"/>
        <v>0</v>
      </c>
      <c r="FU138">
        <f t="shared" si="272"/>
        <v>0</v>
      </c>
      <c r="FV138">
        <f t="shared" si="273"/>
        <v>0</v>
      </c>
      <c r="FW138">
        <f t="shared" si="274"/>
        <v>0</v>
      </c>
      <c r="FX138">
        <f t="shared" si="275"/>
        <v>0</v>
      </c>
      <c r="FY138">
        <f t="shared" si="276"/>
        <v>0</v>
      </c>
      <c r="FZ138">
        <f t="shared" si="277"/>
        <v>0</v>
      </c>
      <c r="GA138">
        <f t="shared" si="278"/>
        <v>0</v>
      </c>
      <c r="GB138">
        <f t="shared" si="279"/>
        <v>0</v>
      </c>
      <c r="GC138">
        <f t="shared" si="280"/>
        <v>0</v>
      </c>
      <c r="GD138">
        <f t="shared" si="281"/>
        <v>1</v>
      </c>
      <c r="GE138">
        <f t="shared" si="282"/>
        <v>1</v>
      </c>
      <c r="GF138">
        <f t="shared" si="283"/>
        <v>1</v>
      </c>
      <c r="GG138">
        <f t="shared" si="284"/>
        <v>1</v>
      </c>
      <c r="GH138">
        <f t="shared" si="285"/>
        <v>1</v>
      </c>
      <c r="GI138">
        <f t="shared" si="286"/>
        <v>1</v>
      </c>
      <c r="GJ138">
        <f t="shared" si="287"/>
        <v>1</v>
      </c>
      <c r="GK138">
        <f t="shared" si="288"/>
        <v>1</v>
      </c>
      <c r="GL138">
        <f t="shared" si="289"/>
        <v>1</v>
      </c>
      <c r="GM138">
        <f t="shared" si="290"/>
        <v>1</v>
      </c>
      <c r="GN138">
        <f t="shared" si="291"/>
        <v>1</v>
      </c>
      <c r="GO138">
        <f t="shared" si="292"/>
        <v>1</v>
      </c>
      <c r="GP138">
        <f t="shared" si="293"/>
        <v>1</v>
      </c>
      <c r="GQ138">
        <f t="shared" si="294"/>
        <v>1</v>
      </c>
      <c r="GR138">
        <f t="shared" si="295"/>
        <v>1</v>
      </c>
      <c r="GS138">
        <f t="shared" si="296"/>
        <v>1</v>
      </c>
      <c r="GT138">
        <f t="shared" si="297"/>
        <v>1</v>
      </c>
      <c r="GU138">
        <f t="shared" si="298"/>
        <v>1</v>
      </c>
      <c r="GX138" s="10"/>
    </row>
    <row r="139" spans="1:206" x14ac:dyDescent="0.3">
      <c r="A139" s="9" t="s">
        <v>124</v>
      </c>
      <c r="B139" s="80"/>
      <c r="C139" s="9">
        <v>3062581000</v>
      </c>
      <c r="D139" s="9" t="s">
        <v>450</v>
      </c>
      <c r="E139" s="9" t="s">
        <v>34</v>
      </c>
      <c r="F139" s="9" t="s">
        <v>35</v>
      </c>
      <c r="G139" s="9" t="s">
        <v>175</v>
      </c>
      <c r="H139" s="10">
        <v>44748</v>
      </c>
      <c r="I139" s="9">
        <f t="shared" si="299"/>
        <v>2022</v>
      </c>
      <c r="J139" s="9">
        <f t="shared" si="300"/>
        <v>7</v>
      </c>
      <c r="K139" s="9" t="str">
        <f t="shared" si="301"/>
        <v>2022_7</v>
      </c>
      <c r="L139">
        <f>MAX(0,VLOOKUP($K139,lookups!$A$1:$B$45,2,0)-12)</f>
        <v>15</v>
      </c>
      <c r="M139" s="40">
        <f t="shared" si="302"/>
        <v>44743</v>
      </c>
      <c r="N139" s="10" t="s">
        <v>37</v>
      </c>
      <c r="O139" t="str">
        <f ca="1">IF(OR($L139&gt;O$4,O$4&gt;$L139+23),"",OFFSET(Electric!$L130,0,-'Electric Calendarize'!$L139+'Electric Calendarize'!O$4+1))</f>
        <v/>
      </c>
      <c r="P139" t="str">
        <f ca="1">IF(OR($L139&gt;P$4,P$4&gt;$L139+23),"",OFFSET(Electric!$L130,0,-'Electric Calendarize'!$L139+'Electric Calendarize'!P$4+1))</f>
        <v/>
      </c>
      <c r="Q139" t="str">
        <f ca="1">IF(OR($L139&gt;Q$4,Q$4&gt;$L139+23),"",OFFSET(Electric!$L130,0,-'Electric Calendarize'!$L139+'Electric Calendarize'!Q$4+1))</f>
        <v/>
      </c>
      <c r="R139" t="str">
        <f ca="1">IF(OR($L139&gt;R$4,R$4&gt;$L139+23),"",OFFSET(Electric!$L130,0,-'Electric Calendarize'!$L139+'Electric Calendarize'!R$4+1))</f>
        <v/>
      </c>
      <c r="S139" t="str">
        <f ca="1">IF(OR($L139&gt;S$4,S$4&gt;$L139+23),"",OFFSET(Electric!$L130,0,-'Electric Calendarize'!$L139+'Electric Calendarize'!S$4+1))</f>
        <v/>
      </c>
      <c r="T139" t="str">
        <f ca="1">IF(OR($L139&gt;T$4,T$4&gt;$L139+23),"",OFFSET(Electric!$L130,0,-'Electric Calendarize'!$L139+'Electric Calendarize'!T$4+1))</f>
        <v/>
      </c>
      <c r="U139" t="str">
        <f ca="1">IF(OR($L139&gt;U$4,U$4&gt;$L139+23),"",OFFSET(Electric!$L130,0,-'Electric Calendarize'!$L139+'Electric Calendarize'!U$4+1))</f>
        <v/>
      </c>
      <c r="V139" t="str">
        <f ca="1">IF(OR($L139&gt;V$4,V$4&gt;$L139+23),"",OFFSET(Electric!$L130,0,-'Electric Calendarize'!$L139+'Electric Calendarize'!V$4+1))</f>
        <v/>
      </c>
      <c r="W139" t="str">
        <f ca="1">IF(OR($L139&gt;W$4,W$4&gt;$L139+23),"",OFFSET(Electric!$L130,0,-'Electric Calendarize'!$L139+'Electric Calendarize'!W$4+1))</f>
        <v/>
      </c>
      <c r="X139" t="str">
        <f ca="1">IF(OR($L139&gt;X$4,X$4&gt;$L139+23),"",OFFSET(Electric!$L130,0,-'Electric Calendarize'!$L139+'Electric Calendarize'!X$4+1))</f>
        <v/>
      </c>
      <c r="Y139" t="str">
        <f ca="1">IF(OR($L139&gt;Y$4,Y$4&gt;$L139+23),"",OFFSET(Electric!$L130,0,-'Electric Calendarize'!$L139+'Electric Calendarize'!Y$4+1))</f>
        <v/>
      </c>
      <c r="Z139" t="str">
        <f ca="1">IF(OR($L139&gt;Z$4,Z$4&gt;$L139+23),"",OFFSET(Electric!$L130,0,-'Electric Calendarize'!$L139+'Electric Calendarize'!Z$4+1))</f>
        <v/>
      </c>
      <c r="AA139" t="str">
        <f ca="1">IF(OR($L139&gt;AA$4,AA$4&gt;$L139+23),"",OFFSET(Electric!$L130,0,-'Electric Calendarize'!$L139+'Electric Calendarize'!AA$4+1))</f>
        <v/>
      </c>
      <c r="AB139" t="str">
        <f ca="1">IF(OR($L139&gt;AB$4,AB$4&gt;$L139+23),"",OFFSET(Electric!$L130,0,-'Electric Calendarize'!$L139+'Electric Calendarize'!AB$4+1))</f>
        <v/>
      </c>
      <c r="AC139" t="str">
        <f ca="1">IF(OR($L139&gt;AC$4,AC$4&gt;$L139+23),"",OFFSET(Electric!$L130,0,-'Electric Calendarize'!$L139+'Electric Calendarize'!AC$4+1))</f>
        <v/>
      </c>
      <c r="AD139">
        <f ca="1">IF(OR($L139&gt;AD$4,AD$4&gt;$L139+23),"",OFFSET(Electric!$L130,0,-'Electric Calendarize'!$L139+'Electric Calendarize'!AD$4+1))</f>
        <v>561</v>
      </c>
      <c r="AE139">
        <f ca="1">IF(OR($L139&gt;AE$4,AE$4&gt;$L139+23),"",OFFSET(Electric!$L130,0,-'Electric Calendarize'!$L139+'Electric Calendarize'!AE$4+1))</f>
        <v>551</v>
      </c>
      <c r="AF139">
        <f ca="1">IF(OR($L139&gt;AF$4,AF$4&gt;$L139+23),"",OFFSET(Electric!$L130,0,-'Electric Calendarize'!$L139+'Electric Calendarize'!AF$4+1))</f>
        <v>679</v>
      </c>
      <c r="AG139">
        <f ca="1">IF(OR($L139&gt;AG$4,AG$4&gt;$L139+23),"",OFFSET(Electric!$L130,0,-'Electric Calendarize'!$L139+'Electric Calendarize'!AG$4+1))</f>
        <v>644</v>
      </c>
      <c r="AH139">
        <f ca="1">IF(OR($L139&gt;AH$4,AH$4&gt;$L139+23),"",OFFSET(Electric!$L130,0,-'Electric Calendarize'!$L139+'Electric Calendarize'!AH$4+1))</f>
        <v>584</v>
      </c>
      <c r="AI139">
        <f ca="1">IF(OR($L139&gt;AI$4,AI$4&gt;$L139+23),"",OFFSET(Electric!$L130,0,-'Electric Calendarize'!$L139+'Electric Calendarize'!AI$4+1))</f>
        <v>933</v>
      </c>
      <c r="AJ139">
        <f ca="1">IF(OR($L139&gt;AJ$4,AJ$4&gt;$L139+23),"",OFFSET(Electric!$L130,0,-'Electric Calendarize'!$L139+'Electric Calendarize'!AJ$4+1))</f>
        <v>810</v>
      </c>
      <c r="AK139">
        <f ca="1">IF(OR($L139&gt;AK$4,AK$4&gt;$L139+23),"",OFFSET(Electric!$L130,0,-'Electric Calendarize'!$L139+'Electric Calendarize'!AK$4+1))</f>
        <v>709</v>
      </c>
      <c r="AL139">
        <f ca="1">IF(OR($L139&gt;AL$4,AL$4&gt;$L139+23),"",OFFSET(Electric!$L130,0,-'Electric Calendarize'!$L139+'Electric Calendarize'!AL$4+1))</f>
        <v>709</v>
      </c>
      <c r="AM139">
        <f ca="1">IF(OR($L139&gt;AM$4,AM$4&gt;$L139+23),"",OFFSET(Electric!$L130,0,-'Electric Calendarize'!$L139+'Electric Calendarize'!AM$4+1))</f>
        <v>644</v>
      </c>
      <c r="AN139">
        <f ca="1">IF(OR($L139&gt;AN$4,AN$4&gt;$L139+23),"",OFFSET(Electric!$L130,0,-'Electric Calendarize'!$L139+'Electric Calendarize'!AN$4+1))</f>
        <v>631</v>
      </c>
      <c r="AO139">
        <f ca="1">IF(OR($L139&gt;AO$4,AO$4&gt;$L139+23),"",OFFSET(Electric!$L130,0,-'Electric Calendarize'!$L139+'Electric Calendarize'!AO$4+1))</f>
        <v>690</v>
      </c>
      <c r="AP139">
        <f ca="1">IF(OR($L139&gt;AP$4,AP$4&gt;$L139+23),"",OFFSET(Electric!$L130,0,-'Electric Calendarize'!$L139+'Electric Calendarize'!AP$4+1))</f>
        <v>727</v>
      </c>
      <c r="AQ139">
        <f ca="1">IF(OR($L139&gt;AQ$4,AQ$4&gt;$L139+23),"",OFFSET(Electric!$L130,0,-'Electric Calendarize'!$L139+'Electric Calendarize'!AQ$4+1))</f>
        <v>903</v>
      </c>
      <c r="AR139">
        <f ca="1">IF(OR($L139&gt;AR$4,AR$4&gt;$L139+23),"",OFFSET(Electric!$L130,0,-'Electric Calendarize'!$L139+'Electric Calendarize'!AR$4+1))</f>
        <v>747</v>
      </c>
      <c r="AS139">
        <f ca="1">IF(OR($L139&gt;AS$4,AS$4&gt;$L139+23),"",OFFSET(Electric!$L130,0,-'Electric Calendarize'!$L139+'Electric Calendarize'!AS$4+1))</f>
        <v>1004</v>
      </c>
      <c r="AT139">
        <f ca="1">IF(OR($L139&gt;AT$4,AT$4&gt;$L139+23),"",OFFSET(Electric!$L130,0,-'Electric Calendarize'!$L139+'Electric Calendarize'!AT$4+1))</f>
        <v>1174</v>
      </c>
      <c r="AU139">
        <f ca="1">IF(OR($L139&gt;AU$4,AU$4&gt;$L139+23),"",OFFSET(Electric!$L130,0,-'Electric Calendarize'!$L139+'Electric Calendarize'!AU$4+1))</f>
        <v>2366</v>
      </c>
      <c r="AV139">
        <f ca="1">IF(OR($L139&gt;AV$4,AV$4&gt;$L139+23),"",OFFSET(Electric!$L130,0,-'Electric Calendarize'!$L139+'Electric Calendarize'!AV$4+1))</f>
        <v>2960</v>
      </c>
      <c r="AW139">
        <f ca="1">IF(OR($L139&gt;AW$4,AW$4&gt;$L139+23),"",OFFSET(Electric!$L130,0,-'Electric Calendarize'!$L139+'Electric Calendarize'!AW$4+1))</f>
        <v>2612</v>
      </c>
      <c r="AX139">
        <f ca="1">IF(OR($L139&gt;AX$4,AX$4&gt;$L139+23),"",OFFSET(Electric!$L130,0,-'Electric Calendarize'!$L139+'Electric Calendarize'!AX$4+1))</f>
        <v>2102</v>
      </c>
      <c r="AY139">
        <f ca="1">IF(OR($L139&gt;AY$4,AY$4&gt;$L139+23),"",OFFSET(Electric!$L130,0,-'Electric Calendarize'!$L139+'Electric Calendarize'!AY$4+1))</f>
        <v>1580</v>
      </c>
      <c r="AZ139">
        <f ca="1">IF(OR($L139&gt;AZ$4,AZ$4&gt;$L139+23),"",OFFSET(Electric!$L130,0,-'Electric Calendarize'!$L139+'Electric Calendarize'!AZ$4+1))</f>
        <v>1138</v>
      </c>
      <c r="BA139">
        <f ca="1">IF(OR($L139&gt;BA$4,BA$4&gt;$L139+23),"",OFFSET(Electric!$L130,0,-'Electric Calendarize'!$L139+'Electric Calendarize'!BA$4+1))</f>
        <v>706</v>
      </c>
      <c r="BB139" t="str">
        <f ca="1">IF(OR($L139&gt;BB$4,BB$4&gt;$L139+23),"",OFFSET(Electric!$L130,0,-'Electric Calendarize'!$L139+'Electric Calendarize'!BB$4+1))</f>
        <v/>
      </c>
      <c r="BC139" t="str">
        <f ca="1">IF(OR($L139&gt;BC$4,BC$4&gt;$L139+23),"",OFFSET(Electric!$L130,0,-'Electric Calendarize'!$L139+'Electric Calendarize'!BC$4+1))</f>
        <v/>
      </c>
      <c r="BD139" t="str">
        <f ca="1">IF(OR($L139&gt;BD$4,BD$4&gt;$L139+23),"",OFFSET(Electric!$L130,0,-'Electric Calendarize'!$L139+'Electric Calendarize'!BD$4+1))</f>
        <v/>
      </c>
      <c r="BE139" t="str">
        <f ca="1">IF(OR($L139&gt;BE$4,BE$4&gt;$L139+23),"",OFFSET(Electric!$L130,0,-'Electric Calendarize'!$L139+'Electric Calendarize'!BE$4+1))</f>
        <v/>
      </c>
      <c r="BF139" t="str">
        <f ca="1">IF(OR($L139&gt;BF$4,BF$4&gt;$L139+23),"",OFFSET(Electric!$L130,0,-'Electric Calendarize'!$L139+'Electric Calendarize'!BF$4+1))</f>
        <v/>
      </c>
      <c r="BG139" t="str">
        <f ca="1">IF(OR($L139&gt;BG$4,BG$4&gt;$L139+23),"",OFFSET(Electric!$L130,0,-'Electric Calendarize'!$L139+'Electric Calendarize'!BG$4+1))</f>
        <v/>
      </c>
      <c r="BJ139" s="10" t="s">
        <v>37</v>
      </c>
      <c r="BK139">
        <f t="shared" si="303"/>
        <v>1</v>
      </c>
      <c r="BL139">
        <f t="shared" ref="BL139:BL202" si="317">+P$8</f>
        <v>0</v>
      </c>
      <c r="BM139">
        <f t="shared" ref="BM139:BM202" si="318">+Q$8</f>
        <v>0</v>
      </c>
      <c r="BN139">
        <f t="shared" ref="BN139:BN202" si="319">+R$8</f>
        <v>0</v>
      </c>
      <c r="BO139">
        <f t="shared" ref="BO139:BO202" si="320">+S$8</f>
        <v>0</v>
      </c>
      <c r="BP139">
        <f t="shared" ref="BP139:BP202" si="321">+T$8</f>
        <v>0</v>
      </c>
      <c r="BQ139">
        <f t="shared" ref="BQ139:BQ202" si="322">+U$8</f>
        <v>0</v>
      </c>
      <c r="BR139">
        <f t="shared" ref="BR139:BR202" si="323">+V$8</f>
        <v>1</v>
      </c>
      <c r="BS139">
        <f t="shared" ref="BS139:BS202" si="324">+W$8</f>
        <v>1</v>
      </c>
      <c r="BT139">
        <f t="shared" ref="BT139:BT202" si="325">+X$8</f>
        <v>1</v>
      </c>
      <c r="BU139">
        <f t="shared" ref="BU139:BU202" si="326">+Y$8</f>
        <v>1</v>
      </c>
      <c r="BV139">
        <f t="shared" ref="BV139:BV202" si="327">+Z$8</f>
        <v>1</v>
      </c>
      <c r="BW139">
        <f t="shared" ref="BW139:BW202" si="328">+AA$8</f>
        <v>1</v>
      </c>
      <c r="BX139">
        <f t="shared" ref="BX139:BX202" si="329">+AB$8</f>
        <v>0</v>
      </c>
      <c r="BY139">
        <f t="shared" ref="BY139:BY202" si="330">+AC$8</f>
        <v>0</v>
      </c>
      <c r="BZ139">
        <f t="shared" ref="BZ139:BZ202" si="331">+AD$8</f>
        <v>0</v>
      </c>
      <c r="CA139">
        <f t="shared" ref="CA139:CA202" si="332">+AE$8</f>
        <v>0</v>
      </c>
      <c r="CB139">
        <f t="shared" ref="CB139:CB202" si="333">+AF$8</f>
        <v>0</v>
      </c>
      <c r="CC139">
        <f t="shared" ref="CC139:CC202" si="334">+AG$8</f>
        <v>0</v>
      </c>
      <c r="CD139">
        <f t="shared" ref="CD139:CD202" si="335">+AH$8</f>
        <v>1</v>
      </c>
      <c r="CE139">
        <f t="shared" ref="CE139:CE202" si="336">+AI$8</f>
        <v>1</v>
      </c>
      <c r="CF139">
        <f t="shared" ref="CF139:CF202" si="337">+AJ$8</f>
        <v>1</v>
      </c>
      <c r="CG139">
        <f t="shared" ref="CG139:CG202" si="338">+AK$8</f>
        <v>1</v>
      </c>
      <c r="CH139">
        <f t="shared" ref="CH139:CH202" si="339">+AL$8</f>
        <v>1</v>
      </c>
      <c r="CI139">
        <f t="shared" ref="CI139:CI202" si="340">+AM$8</f>
        <v>1</v>
      </c>
      <c r="CJ139">
        <f t="shared" ref="CJ139:CJ202" si="341">+AN$8</f>
        <v>0</v>
      </c>
      <c r="CK139">
        <f t="shared" ref="CK139:CK202" si="342">+AO$8</f>
        <v>0</v>
      </c>
      <c r="CL139">
        <f t="shared" ref="CL139:CL202" si="343">+AP$8</f>
        <v>0</v>
      </c>
      <c r="CM139">
        <f t="shared" ref="CM139:CM202" si="344">+AQ$8</f>
        <v>0</v>
      </c>
      <c r="CN139">
        <f t="shared" ref="CN139:CN202" si="345">+AR$8</f>
        <v>0</v>
      </c>
      <c r="CO139">
        <f t="shared" ref="CO139:CO202" si="346">+AS$8</f>
        <v>0</v>
      </c>
      <c r="CP139">
        <f t="shared" ref="CP139:CP202" si="347">+AT$8</f>
        <v>1</v>
      </c>
      <c r="CQ139">
        <f t="shared" ref="CQ139:CQ202" si="348">+AU$8</f>
        <v>1</v>
      </c>
      <c r="CR139">
        <f t="shared" ref="CR139:CR202" si="349">+AV$8</f>
        <v>1</v>
      </c>
      <c r="CS139">
        <f t="shared" ref="CS139:CS202" si="350">+AW$8</f>
        <v>1</v>
      </c>
      <c r="CT139">
        <f t="shared" ref="CT139:CT202" si="351">+AX$8</f>
        <v>1</v>
      </c>
      <c r="CU139">
        <f t="shared" ref="CU139:CU202" si="352">+AY$8</f>
        <v>1</v>
      </c>
      <c r="CV139">
        <f t="shared" ref="CV139:CV202" si="353">+AZ$8</f>
        <v>0</v>
      </c>
      <c r="CW139">
        <f t="shared" ref="CW139:CW202" si="354">+BA$8</f>
        <v>0</v>
      </c>
      <c r="CX139">
        <f t="shared" ref="CX139:CX202" si="355">+BB$8</f>
        <v>0</v>
      </c>
      <c r="CY139">
        <f t="shared" ref="CY139:CY202" si="356">+BC$8</f>
        <v>0</v>
      </c>
      <c r="CZ139">
        <f t="shared" ref="CZ139:CZ202" si="357">+BD$8</f>
        <v>0</v>
      </c>
      <c r="DA139">
        <f t="shared" ref="DA139:DA202" si="358">+BE$8</f>
        <v>0</v>
      </c>
      <c r="DB139">
        <f t="shared" ref="DB139:DB202" si="359">+BF$8</f>
        <v>1</v>
      </c>
      <c r="DC139">
        <f t="shared" ref="DC139:DC202" si="360">+BG$8</f>
        <v>1</v>
      </c>
      <c r="DF139" s="10" t="s">
        <v>37</v>
      </c>
      <c r="DG139" t="str">
        <f t="shared" si="315"/>
        <v>2022_7</v>
      </c>
      <c r="DH139" t="str">
        <f t="shared" si="315"/>
        <v>2022_7</v>
      </c>
      <c r="DI139" t="str">
        <f t="shared" si="315"/>
        <v>2022_7</v>
      </c>
      <c r="DJ139" t="str">
        <f t="shared" si="315"/>
        <v>2022_7</v>
      </c>
      <c r="DK139" t="str">
        <f t="shared" si="315"/>
        <v>2022_7</v>
      </c>
      <c r="DL139" t="str">
        <f t="shared" si="315"/>
        <v>2022_7</v>
      </c>
      <c r="DM139" t="str">
        <f t="shared" si="315"/>
        <v>2022_7</v>
      </c>
      <c r="DN139" t="str">
        <f t="shared" si="315"/>
        <v>2022_7</v>
      </c>
      <c r="DO139" t="str">
        <f t="shared" si="315"/>
        <v>2022_7</v>
      </c>
      <c r="DP139" t="str">
        <f t="shared" si="315"/>
        <v>2022_7</v>
      </c>
      <c r="DQ139" t="str">
        <f t="shared" si="315"/>
        <v>2022_7</v>
      </c>
      <c r="DR139" t="str">
        <f t="shared" si="315"/>
        <v>2022_7</v>
      </c>
      <c r="DS139" t="str">
        <f t="shared" si="315"/>
        <v>2022_7</v>
      </c>
      <c r="DT139" t="str">
        <f t="shared" si="315"/>
        <v>2022_7</v>
      </c>
      <c r="DU139" t="str">
        <f t="shared" si="315"/>
        <v>2022_7</v>
      </c>
      <c r="DV139" t="str">
        <f t="shared" ref="DV139:EK154" si="361">$K139</f>
        <v>2022_7</v>
      </c>
      <c r="DW139" t="str">
        <f t="shared" si="361"/>
        <v>2022_7</v>
      </c>
      <c r="DX139" t="str">
        <f t="shared" si="361"/>
        <v>2022_7</v>
      </c>
      <c r="DY139" t="str">
        <f t="shared" si="361"/>
        <v>2022_7</v>
      </c>
      <c r="DZ139" t="str">
        <f t="shared" si="361"/>
        <v>2022_7</v>
      </c>
      <c r="EA139" t="str">
        <f t="shared" si="361"/>
        <v>2022_7</v>
      </c>
      <c r="EB139" t="str">
        <f t="shared" si="361"/>
        <v>2022_7</v>
      </c>
      <c r="EC139" t="str">
        <f t="shared" si="361"/>
        <v>2022_7</v>
      </c>
      <c r="ED139" t="str">
        <f t="shared" si="361"/>
        <v>2022_7</v>
      </c>
      <c r="EE139" t="str">
        <f t="shared" si="361"/>
        <v>2022_7</v>
      </c>
      <c r="EF139" t="str">
        <f t="shared" si="361"/>
        <v>2022_7</v>
      </c>
      <c r="EG139" t="str">
        <f t="shared" si="361"/>
        <v>2022_7</v>
      </c>
      <c r="EH139" t="str">
        <f t="shared" si="361"/>
        <v>2022_7</v>
      </c>
      <c r="EI139" t="str">
        <f t="shared" si="361"/>
        <v>2022_7</v>
      </c>
      <c r="EJ139" t="str">
        <f t="shared" si="361"/>
        <v>2022_7</v>
      </c>
      <c r="EK139" t="str">
        <f t="shared" si="361"/>
        <v>2022_7</v>
      </c>
      <c r="EL139" t="str">
        <f t="shared" ref="EL139:EY154" si="362">$K139</f>
        <v>2022_7</v>
      </c>
      <c r="EM139" t="str">
        <f t="shared" si="316"/>
        <v>2022_7</v>
      </c>
      <c r="EN139" t="str">
        <f t="shared" si="316"/>
        <v>2022_7</v>
      </c>
      <c r="EO139" t="str">
        <f t="shared" si="316"/>
        <v>2022_7</v>
      </c>
      <c r="EP139" t="str">
        <f t="shared" si="316"/>
        <v>2022_7</v>
      </c>
      <c r="EQ139" t="str">
        <f t="shared" si="316"/>
        <v>2022_7</v>
      </c>
      <c r="ER139" t="str">
        <f t="shared" si="316"/>
        <v>2022_7</v>
      </c>
      <c r="ES139" t="str">
        <f t="shared" si="316"/>
        <v>2022_7</v>
      </c>
      <c r="ET139" t="str">
        <f t="shared" si="316"/>
        <v>2022_7</v>
      </c>
      <c r="EU139" t="str">
        <f t="shared" si="316"/>
        <v>2022_7</v>
      </c>
      <c r="EV139" t="str">
        <f t="shared" si="316"/>
        <v>2022_7</v>
      </c>
      <c r="EW139" t="str">
        <f t="shared" si="316"/>
        <v>2022_7</v>
      </c>
      <c r="EX139" t="str">
        <f t="shared" si="316"/>
        <v>2022_7</v>
      </c>
      <c r="EY139" t="str">
        <f t="shared" si="316"/>
        <v>2022_7</v>
      </c>
      <c r="FB139" s="10" t="s">
        <v>37</v>
      </c>
      <c r="FC139">
        <f t="shared" si="305"/>
        <v>0</v>
      </c>
      <c r="FD139">
        <f t="shared" ref="FD139:FD202" si="363">IF($M139&lt;=P$3,1,0)</f>
        <v>0</v>
      </c>
      <c r="FE139">
        <f t="shared" ref="FE139:FE202" si="364">IF($M139&lt;=Q$3,1,0)</f>
        <v>0</v>
      </c>
      <c r="FF139">
        <f t="shared" ref="FF139:FF202" si="365">IF($M139&lt;=R$3,1,0)</f>
        <v>0</v>
      </c>
      <c r="FG139">
        <f t="shared" ref="FG139:FG202" si="366">IF($M139&lt;=S$3,1,0)</f>
        <v>0</v>
      </c>
      <c r="FH139">
        <f t="shared" ref="FH139:FH202" si="367">IF($M139&lt;=T$3,1,0)</f>
        <v>0</v>
      </c>
      <c r="FI139">
        <f t="shared" ref="FI139:FI202" si="368">IF($M139&lt;=U$3,1,0)</f>
        <v>0</v>
      </c>
      <c r="FJ139">
        <f t="shared" ref="FJ139:FJ202" si="369">IF($M139&lt;=V$3,1,0)</f>
        <v>0</v>
      </c>
      <c r="FK139">
        <f t="shared" ref="FK139:FK202" si="370">IF($M139&lt;=W$3,1,0)</f>
        <v>0</v>
      </c>
      <c r="FL139">
        <f t="shared" ref="FL139:FL202" si="371">IF($M139&lt;=X$3,1,0)</f>
        <v>0</v>
      </c>
      <c r="FM139">
        <f t="shared" ref="FM139:FM202" si="372">IF($M139&lt;=Y$3,1,0)</f>
        <v>0</v>
      </c>
      <c r="FN139">
        <f t="shared" ref="FN139:FN202" si="373">IF($M139&lt;=Z$3,1,0)</f>
        <v>0</v>
      </c>
      <c r="FO139">
        <f t="shared" ref="FO139:FO202" si="374">IF($M139&lt;=AA$3,1,0)</f>
        <v>0</v>
      </c>
      <c r="FP139">
        <f t="shared" ref="FP139:FP202" si="375">IF($M139&lt;=AB$3,1,0)</f>
        <v>0</v>
      </c>
      <c r="FQ139">
        <f t="shared" ref="FQ139:FQ202" si="376">IF($M139&lt;=AC$3,1,0)</f>
        <v>0</v>
      </c>
      <c r="FR139">
        <f t="shared" ref="FR139:FR202" si="377">IF($M139&lt;=AD$3,1,0)</f>
        <v>0</v>
      </c>
      <c r="FS139">
        <f t="shared" ref="FS139:FS202" si="378">IF($M139&lt;=AE$3,1,0)</f>
        <v>0</v>
      </c>
      <c r="FT139">
        <f t="shared" ref="FT139:FT202" si="379">IF($M139&lt;=AF$3,1,0)</f>
        <v>0</v>
      </c>
      <c r="FU139">
        <f t="shared" ref="FU139:FU202" si="380">IF($M139&lt;=AG$3,1,0)</f>
        <v>0</v>
      </c>
      <c r="FV139">
        <f t="shared" ref="FV139:FV202" si="381">IF($M139&lt;=AH$3,1,0)</f>
        <v>0</v>
      </c>
      <c r="FW139">
        <f t="shared" ref="FW139:FW202" si="382">IF($M139&lt;=AI$3,1,0)</f>
        <v>0</v>
      </c>
      <c r="FX139">
        <f t="shared" ref="FX139:FX202" si="383">IF($M139&lt;=AJ$3,1,0)</f>
        <v>0</v>
      </c>
      <c r="FY139">
        <f t="shared" ref="FY139:FY202" si="384">IF($M139&lt;=AK$3,1,0)</f>
        <v>0</v>
      </c>
      <c r="FZ139">
        <f t="shared" ref="FZ139:FZ202" si="385">IF($M139&lt;=AL$3,1,0)</f>
        <v>0</v>
      </c>
      <c r="GA139">
        <f t="shared" ref="GA139:GA202" si="386">IF($M139&lt;=AM$3,1,0)</f>
        <v>0</v>
      </c>
      <c r="GB139">
        <f t="shared" ref="GB139:GB202" si="387">IF($M139&lt;=AN$3,1,0)</f>
        <v>0</v>
      </c>
      <c r="GC139">
        <f t="shared" ref="GC139:GC202" si="388">IF($M139&lt;=AO$3,1,0)</f>
        <v>0</v>
      </c>
      <c r="GD139">
        <f t="shared" ref="GD139:GD202" si="389">IF($M139&lt;=AP$3,1,0)</f>
        <v>1</v>
      </c>
      <c r="GE139">
        <f t="shared" ref="GE139:GE202" si="390">IF($M139&lt;=AQ$3,1,0)</f>
        <v>1</v>
      </c>
      <c r="GF139">
        <f t="shared" ref="GF139:GF202" si="391">IF($M139&lt;=AR$3,1,0)</f>
        <v>1</v>
      </c>
      <c r="GG139">
        <f t="shared" ref="GG139:GG202" si="392">IF($M139&lt;=AS$3,1,0)</f>
        <v>1</v>
      </c>
      <c r="GH139">
        <f t="shared" ref="GH139:GH202" si="393">IF($M139&lt;=AT$3,1,0)</f>
        <v>1</v>
      </c>
      <c r="GI139">
        <f t="shared" ref="GI139:GI202" si="394">IF($M139&lt;=AU$3,1,0)</f>
        <v>1</v>
      </c>
      <c r="GJ139">
        <f t="shared" ref="GJ139:GJ202" si="395">IF($M139&lt;=AV$3,1,0)</f>
        <v>1</v>
      </c>
      <c r="GK139">
        <f t="shared" ref="GK139:GK202" si="396">IF($M139&lt;=AW$3,1,0)</f>
        <v>1</v>
      </c>
      <c r="GL139">
        <f t="shared" ref="GL139:GL202" si="397">IF($M139&lt;=AX$3,1,0)</f>
        <v>1</v>
      </c>
      <c r="GM139">
        <f t="shared" ref="GM139:GM202" si="398">IF($M139&lt;=AY$3,1,0)</f>
        <v>1</v>
      </c>
      <c r="GN139">
        <f t="shared" ref="GN139:GN202" si="399">IF($M139&lt;=AZ$3,1,0)</f>
        <v>1</v>
      </c>
      <c r="GO139">
        <f t="shared" ref="GO139:GO202" si="400">IF($M139&lt;=BA$3,1,0)</f>
        <v>1</v>
      </c>
      <c r="GP139">
        <f t="shared" ref="GP139:GP202" si="401">IF($M139&lt;=BB$3,1,0)</f>
        <v>1</v>
      </c>
      <c r="GQ139">
        <f t="shared" ref="GQ139:GQ202" si="402">IF($M139&lt;=BC$3,1,0)</f>
        <v>1</v>
      </c>
      <c r="GR139">
        <f t="shared" ref="GR139:GR202" si="403">IF($M139&lt;=BD$3,1,0)</f>
        <v>1</v>
      </c>
      <c r="GS139">
        <f t="shared" ref="GS139:GS202" si="404">IF($M139&lt;=BE$3,1,0)</f>
        <v>1</v>
      </c>
      <c r="GT139">
        <f t="shared" ref="GT139:GT202" si="405">IF($M139&lt;=BF$3,1,0)</f>
        <v>1</v>
      </c>
      <c r="GU139">
        <f t="shared" ref="GU139:GU202" si="406">IF($M139&lt;=BG$3,1,0)</f>
        <v>1</v>
      </c>
      <c r="GX139" s="10"/>
    </row>
    <row r="140" spans="1:206" x14ac:dyDescent="0.3">
      <c r="A140" s="9" t="s">
        <v>124</v>
      </c>
      <c r="B140" s="80"/>
      <c r="C140" s="9">
        <v>3132066000</v>
      </c>
      <c r="D140" s="9" t="s">
        <v>351</v>
      </c>
      <c r="E140" s="9" t="s">
        <v>39</v>
      </c>
      <c r="F140" s="9" t="s">
        <v>35</v>
      </c>
      <c r="G140" s="9" t="s">
        <v>176</v>
      </c>
      <c r="H140" s="10">
        <v>44748</v>
      </c>
      <c r="I140" s="9">
        <f t="shared" ref="I140:I203" si="407">YEAR(H140)</f>
        <v>2022</v>
      </c>
      <c r="J140" s="9">
        <f t="shared" ref="J140:J203" si="408">MONTH(H140)</f>
        <v>7</v>
      </c>
      <c r="K140" s="9" t="str">
        <f t="shared" ref="K140:K203" si="409">I140&amp;"_"&amp;J140</f>
        <v>2022_7</v>
      </c>
      <c r="L140">
        <f>MAX(0,VLOOKUP($K140,lookups!$A$1:$B$45,2,0)-12)</f>
        <v>15</v>
      </c>
      <c r="M140" s="40">
        <f t="shared" ref="M140:M203" si="410">DATE(I140,J140,1)</f>
        <v>44743</v>
      </c>
      <c r="N140" s="10" t="s">
        <v>37</v>
      </c>
      <c r="O140" t="str">
        <f ca="1">IF(OR($L140&gt;O$4,O$4&gt;$L140+23),"",OFFSET(Electric!$L131,0,-'Electric Calendarize'!$L140+'Electric Calendarize'!O$4+1))</f>
        <v/>
      </c>
      <c r="P140" t="str">
        <f ca="1">IF(OR($L140&gt;P$4,P$4&gt;$L140+23),"",OFFSET(Electric!$L131,0,-'Electric Calendarize'!$L140+'Electric Calendarize'!P$4+1))</f>
        <v/>
      </c>
      <c r="Q140" t="str">
        <f ca="1">IF(OR($L140&gt;Q$4,Q$4&gt;$L140+23),"",OFFSET(Electric!$L131,0,-'Electric Calendarize'!$L140+'Electric Calendarize'!Q$4+1))</f>
        <v/>
      </c>
      <c r="R140" t="str">
        <f ca="1">IF(OR($L140&gt;R$4,R$4&gt;$L140+23),"",OFFSET(Electric!$L131,0,-'Electric Calendarize'!$L140+'Electric Calendarize'!R$4+1))</f>
        <v/>
      </c>
      <c r="S140" t="str">
        <f ca="1">IF(OR($L140&gt;S$4,S$4&gt;$L140+23),"",OFFSET(Electric!$L131,0,-'Electric Calendarize'!$L140+'Electric Calendarize'!S$4+1))</f>
        <v/>
      </c>
      <c r="T140" t="str">
        <f ca="1">IF(OR($L140&gt;T$4,T$4&gt;$L140+23),"",OFFSET(Electric!$L131,0,-'Electric Calendarize'!$L140+'Electric Calendarize'!T$4+1))</f>
        <v/>
      </c>
      <c r="U140" t="str">
        <f ca="1">IF(OR($L140&gt;U$4,U$4&gt;$L140+23),"",OFFSET(Electric!$L131,0,-'Electric Calendarize'!$L140+'Electric Calendarize'!U$4+1))</f>
        <v/>
      </c>
      <c r="V140" t="str">
        <f ca="1">IF(OR($L140&gt;V$4,V$4&gt;$L140+23),"",OFFSET(Electric!$L131,0,-'Electric Calendarize'!$L140+'Electric Calendarize'!V$4+1))</f>
        <v/>
      </c>
      <c r="W140" t="str">
        <f ca="1">IF(OR($L140&gt;W$4,W$4&gt;$L140+23),"",OFFSET(Electric!$L131,0,-'Electric Calendarize'!$L140+'Electric Calendarize'!W$4+1))</f>
        <v/>
      </c>
      <c r="X140" t="str">
        <f ca="1">IF(OR($L140&gt;X$4,X$4&gt;$L140+23),"",OFFSET(Electric!$L131,0,-'Electric Calendarize'!$L140+'Electric Calendarize'!X$4+1))</f>
        <v/>
      </c>
      <c r="Y140" t="str">
        <f ca="1">IF(OR($L140&gt;Y$4,Y$4&gt;$L140+23),"",OFFSET(Electric!$L131,0,-'Electric Calendarize'!$L140+'Electric Calendarize'!Y$4+1))</f>
        <v/>
      </c>
      <c r="Z140" t="str">
        <f ca="1">IF(OR($L140&gt;Z$4,Z$4&gt;$L140+23),"",OFFSET(Electric!$L131,0,-'Electric Calendarize'!$L140+'Electric Calendarize'!Z$4+1))</f>
        <v/>
      </c>
      <c r="AA140" t="str">
        <f ca="1">IF(OR($L140&gt;AA$4,AA$4&gt;$L140+23),"",OFFSET(Electric!$L131,0,-'Electric Calendarize'!$L140+'Electric Calendarize'!AA$4+1))</f>
        <v/>
      </c>
      <c r="AB140" t="str">
        <f ca="1">IF(OR($L140&gt;AB$4,AB$4&gt;$L140+23),"",OFFSET(Electric!$L131,0,-'Electric Calendarize'!$L140+'Electric Calendarize'!AB$4+1))</f>
        <v/>
      </c>
      <c r="AC140" t="str">
        <f ca="1">IF(OR($L140&gt;AC$4,AC$4&gt;$L140+23),"",OFFSET(Electric!$L131,0,-'Electric Calendarize'!$L140+'Electric Calendarize'!AC$4+1))</f>
        <v/>
      </c>
      <c r="AD140">
        <f ca="1">IF(OR($L140&gt;AD$4,AD$4&gt;$L140+23),"",OFFSET(Electric!$L131,0,-'Electric Calendarize'!$L140+'Electric Calendarize'!AD$4+1))</f>
        <v>1206</v>
      </c>
      <c r="AE140">
        <f ca="1">IF(OR($L140&gt;AE$4,AE$4&gt;$L140+23),"",OFFSET(Electric!$L131,0,-'Electric Calendarize'!$L140+'Electric Calendarize'!AE$4+1))</f>
        <v>840</v>
      </c>
      <c r="AF140">
        <f ca="1">IF(OR($L140&gt;AF$4,AF$4&gt;$L140+23),"",OFFSET(Electric!$L131,0,-'Electric Calendarize'!$L140+'Electric Calendarize'!AF$4+1))</f>
        <v>742</v>
      </c>
      <c r="AG140">
        <f ca="1">IF(OR($L140&gt;AG$4,AG$4&gt;$L140+23),"",OFFSET(Electric!$L131,0,-'Electric Calendarize'!$L140+'Electric Calendarize'!AG$4+1))</f>
        <v>1166</v>
      </c>
      <c r="AH140">
        <f ca="1">IF(OR($L140&gt;AH$4,AH$4&gt;$L140+23),"",OFFSET(Electric!$L131,0,-'Electric Calendarize'!$L140+'Electric Calendarize'!AH$4+1))</f>
        <v>910</v>
      </c>
      <c r="AI140">
        <f ca="1">IF(OR($L140&gt;AI$4,AI$4&gt;$L140+23),"",OFFSET(Electric!$L131,0,-'Electric Calendarize'!$L140+'Electric Calendarize'!AI$4+1))</f>
        <v>874</v>
      </c>
      <c r="AJ140">
        <f ca="1">IF(OR($L140&gt;AJ$4,AJ$4&gt;$L140+23),"",OFFSET(Electric!$L131,0,-'Electric Calendarize'!$L140+'Electric Calendarize'!AJ$4+1))</f>
        <v>1136</v>
      </c>
      <c r="AK140">
        <f ca="1">IF(OR($L140&gt;AK$4,AK$4&gt;$L140+23),"",OFFSET(Electric!$L131,0,-'Electric Calendarize'!$L140+'Electric Calendarize'!AK$4+1))</f>
        <v>1024</v>
      </c>
      <c r="AL140">
        <f ca="1">IF(OR($L140&gt;AL$4,AL$4&gt;$L140+23),"",OFFSET(Electric!$L131,0,-'Electric Calendarize'!$L140+'Electric Calendarize'!AL$4+1))</f>
        <v>1132</v>
      </c>
      <c r="AM140">
        <f ca="1">IF(OR($L140&gt;AM$4,AM$4&gt;$L140+23),"",OFFSET(Electric!$L131,0,-'Electric Calendarize'!$L140+'Electric Calendarize'!AM$4+1))</f>
        <v>1244</v>
      </c>
      <c r="AN140">
        <f ca="1">IF(OR($L140&gt;AN$4,AN$4&gt;$L140+23),"",OFFSET(Electric!$L131,0,-'Electric Calendarize'!$L140+'Electric Calendarize'!AN$4+1))</f>
        <v>1052</v>
      </c>
      <c r="AO140">
        <f ca="1">IF(OR($L140&gt;AO$4,AO$4&gt;$L140+23),"",OFFSET(Electric!$L131,0,-'Electric Calendarize'!$L140+'Electric Calendarize'!AO$4+1))</f>
        <v>614</v>
      </c>
      <c r="AP140">
        <f ca="1">IF(OR($L140&gt;AP$4,AP$4&gt;$L140+23),"",OFFSET(Electric!$L131,0,-'Electric Calendarize'!$L140+'Electric Calendarize'!AP$4+1))</f>
        <v>690</v>
      </c>
      <c r="AQ140">
        <f ca="1">IF(OR($L140&gt;AQ$4,AQ$4&gt;$L140+23),"",OFFSET(Electric!$L131,0,-'Electric Calendarize'!$L140+'Electric Calendarize'!AQ$4+1))</f>
        <v>900</v>
      </c>
      <c r="AR140">
        <f ca="1">IF(OR($L140&gt;AR$4,AR$4&gt;$L140+23),"",OFFSET(Electric!$L131,0,-'Electric Calendarize'!$L140+'Electric Calendarize'!AR$4+1))</f>
        <v>770</v>
      </c>
      <c r="AS140">
        <f ca="1">IF(OR($L140&gt;AS$4,AS$4&gt;$L140+23),"",OFFSET(Electric!$L131,0,-'Electric Calendarize'!$L140+'Electric Calendarize'!AS$4+1))</f>
        <v>946</v>
      </c>
      <c r="AT140">
        <f ca="1">IF(OR($L140&gt;AT$4,AT$4&gt;$L140+23),"",OFFSET(Electric!$L131,0,-'Electric Calendarize'!$L140+'Electric Calendarize'!AT$4+1))</f>
        <v>1904</v>
      </c>
      <c r="AU140">
        <f ca="1">IF(OR($L140&gt;AU$4,AU$4&gt;$L140+23),"",OFFSET(Electric!$L131,0,-'Electric Calendarize'!$L140+'Electric Calendarize'!AU$4+1))</f>
        <v>2808</v>
      </c>
      <c r="AV140">
        <f ca="1">IF(OR($L140&gt;AV$4,AV$4&gt;$L140+23),"",OFFSET(Electric!$L131,0,-'Electric Calendarize'!$L140+'Electric Calendarize'!AV$4+1))</f>
        <v>3458</v>
      </c>
      <c r="AW140">
        <f ca="1">IF(OR($L140&gt;AW$4,AW$4&gt;$L140+23),"",OFFSET(Electric!$L131,0,-'Electric Calendarize'!$L140+'Electric Calendarize'!AW$4+1))</f>
        <v>2892</v>
      </c>
      <c r="AX140">
        <f ca="1">IF(OR($L140&gt;AX$4,AX$4&gt;$L140+23),"",OFFSET(Electric!$L131,0,-'Electric Calendarize'!$L140+'Electric Calendarize'!AX$4+1))</f>
        <v>2810</v>
      </c>
      <c r="AY140">
        <f ca="1">IF(OR($L140&gt;AY$4,AY$4&gt;$L140+23),"",OFFSET(Electric!$L131,0,-'Electric Calendarize'!$L140+'Electric Calendarize'!AY$4+1))</f>
        <v>1448</v>
      </c>
      <c r="AZ140">
        <f ca="1">IF(OR($L140&gt;AZ$4,AZ$4&gt;$L140+23),"",OFFSET(Electric!$L131,0,-'Electric Calendarize'!$L140+'Electric Calendarize'!AZ$4+1))</f>
        <v>986</v>
      </c>
      <c r="BA140">
        <f ca="1">IF(OR($L140&gt;BA$4,BA$4&gt;$L140+23),"",OFFSET(Electric!$L131,0,-'Electric Calendarize'!$L140+'Electric Calendarize'!BA$4+1))</f>
        <v>1156</v>
      </c>
      <c r="BB140" t="str">
        <f ca="1">IF(OR($L140&gt;BB$4,BB$4&gt;$L140+23),"",OFFSET(Electric!$L131,0,-'Electric Calendarize'!$L140+'Electric Calendarize'!BB$4+1))</f>
        <v/>
      </c>
      <c r="BC140" t="str">
        <f ca="1">IF(OR($L140&gt;BC$4,BC$4&gt;$L140+23),"",OFFSET(Electric!$L131,0,-'Electric Calendarize'!$L140+'Electric Calendarize'!BC$4+1))</f>
        <v/>
      </c>
      <c r="BD140" t="str">
        <f ca="1">IF(OR($L140&gt;BD$4,BD$4&gt;$L140+23),"",OFFSET(Electric!$L131,0,-'Electric Calendarize'!$L140+'Electric Calendarize'!BD$4+1))</f>
        <v/>
      </c>
      <c r="BE140" t="str">
        <f ca="1">IF(OR($L140&gt;BE$4,BE$4&gt;$L140+23),"",OFFSET(Electric!$L131,0,-'Electric Calendarize'!$L140+'Electric Calendarize'!BE$4+1))</f>
        <v/>
      </c>
      <c r="BF140" t="str">
        <f ca="1">IF(OR($L140&gt;BF$4,BF$4&gt;$L140+23),"",OFFSET(Electric!$L131,0,-'Electric Calendarize'!$L140+'Electric Calendarize'!BF$4+1))</f>
        <v/>
      </c>
      <c r="BG140" t="str">
        <f ca="1">IF(OR($L140&gt;BG$4,BG$4&gt;$L140+23),"",OFFSET(Electric!$L131,0,-'Electric Calendarize'!$L140+'Electric Calendarize'!BG$4+1))</f>
        <v/>
      </c>
      <c r="BJ140" s="10" t="s">
        <v>37</v>
      </c>
      <c r="BK140">
        <f t="shared" ref="BK140:BK203" si="411">+O$8</f>
        <v>1</v>
      </c>
      <c r="BL140">
        <f t="shared" si="317"/>
        <v>0</v>
      </c>
      <c r="BM140">
        <f t="shared" si="318"/>
        <v>0</v>
      </c>
      <c r="BN140">
        <f t="shared" si="319"/>
        <v>0</v>
      </c>
      <c r="BO140">
        <f t="shared" si="320"/>
        <v>0</v>
      </c>
      <c r="BP140">
        <f t="shared" si="321"/>
        <v>0</v>
      </c>
      <c r="BQ140">
        <f t="shared" si="322"/>
        <v>0</v>
      </c>
      <c r="BR140">
        <f t="shared" si="323"/>
        <v>1</v>
      </c>
      <c r="BS140">
        <f t="shared" si="324"/>
        <v>1</v>
      </c>
      <c r="BT140">
        <f t="shared" si="325"/>
        <v>1</v>
      </c>
      <c r="BU140">
        <f t="shared" si="326"/>
        <v>1</v>
      </c>
      <c r="BV140">
        <f t="shared" si="327"/>
        <v>1</v>
      </c>
      <c r="BW140">
        <f t="shared" si="328"/>
        <v>1</v>
      </c>
      <c r="BX140">
        <f t="shared" si="329"/>
        <v>0</v>
      </c>
      <c r="BY140">
        <f t="shared" si="330"/>
        <v>0</v>
      </c>
      <c r="BZ140">
        <f t="shared" si="331"/>
        <v>0</v>
      </c>
      <c r="CA140">
        <f t="shared" si="332"/>
        <v>0</v>
      </c>
      <c r="CB140">
        <f t="shared" si="333"/>
        <v>0</v>
      </c>
      <c r="CC140">
        <f t="shared" si="334"/>
        <v>0</v>
      </c>
      <c r="CD140">
        <f t="shared" si="335"/>
        <v>1</v>
      </c>
      <c r="CE140">
        <f t="shared" si="336"/>
        <v>1</v>
      </c>
      <c r="CF140">
        <f t="shared" si="337"/>
        <v>1</v>
      </c>
      <c r="CG140">
        <f t="shared" si="338"/>
        <v>1</v>
      </c>
      <c r="CH140">
        <f t="shared" si="339"/>
        <v>1</v>
      </c>
      <c r="CI140">
        <f t="shared" si="340"/>
        <v>1</v>
      </c>
      <c r="CJ140">
        <f t="shared" si="341"/>
        <v>0</v>
      </c>
      <c r="CK140">
        <f t="shared" si="342"/>
        <v>0</v>
      </c>
      <c r="CL140">
        <f t="shared" si="343"/>
        <v>0</v>
      </c>
      <c r="CM140">
        <f t="shared" si="344"/>
        <v>0</v>
      </c>
      <c r="CN140">
        <f t="shared" si="345"/>
        <v>0</v>
      </c>
      <c r="CO140">
        <f t="shared" si="346"/>
        <v>0</v>
      </c>
      <c r="CP140">
        <f t="shared" si="347"/>
        <v>1</v>
      </c>
      <c r="CQ140">
        <f t="shared" si="348"/>
        <v>1</v>
      </c>
      <c r="CR140">
        <f t="shared" si="349"/>
        <v>1</v>
      </c>
      <c r="CS140">
        <f t="shared" si="350"/>
        <v>1</v>
      </c>
      <c r="CT140">
        <f t="shared" si="351"/>
        <v>1</v>
      </c>
      <c r="CU140">
        <f t="shared" si="352"/>
        <v>1</v>
      </c>
      <c r="CV140">
        <f t="shared" si="353"/>
        <v>0</v>
      </c>
      <c r="CW140">
        <f t="shared" si="354"/>
        <v>0</v>
      </c>
      <c r="CX140">
        <f t="shared" si="355"/>
        <v>0</v>
      </c>
      <c r="CY140">
        <f t="shared" si="356"/>
        <v>0</v>
      </c>
      <c r="CZ140">
        <f t="shared" si="357"/>
        <v>0</v>
      </c>
      <c r="DA140">
        <f t="shared" si="358"/>
        <v>0</v>
      </c>
      <c r="DB140">
        <f t="shared" si="359"/>
        <v>1</v>
      </c>
      <c r="DC140">
        <f t="shared" si="360"/>
        <v>1</v>
      </c>
      <c r="DF140" s="10" t="s">
        <v>37</v>
      </c>
      <c r="DG140" t="str">
        <f t="shared" ref="DG140:DV155" si="412">$K140</f>
        <v>2022_7</v>
      </c>
      <c r="DH140" t="str">
        <f t="shared" si="412"/>
        <v>2022_7</v>
      </c>
      <c r="DI140" t="str">
        <f t="shared" si="412"/>
        <v>2022_7</v>
      </c>
      <c r="DJ140" t="str">
        <f t="shared" si="412"/>
        <v>2022_7</v>
      </c>
      <c r="DK140" t="str">
        <f t="shared" si="412"/>
        <v>2022_7</v>
      </c>
      <c r="DL140" t="str">
        <f t="shared" si="412"/>
        <v>2022_7</v>
      </c>
      <c r="DM140" t="str">
        <f t="shared" si="412"/>
        <v>2022_7</v>
      </c>
      <c r="DN140" t="str">
        <f t="shared" si="412"/>
        <v>2022_7</v>
      </c>
      <c r="DO140" t="str">
        <f t="shared" si="412"/>
        <v>2022_7</v>
      </c>
      <c r="DP140" t="str">
        <f t="shared" si="412"/>
        <v>2022_7</v>
      </c>
      <c r="DQ140" t="str">
        <f t="shared" si="412"/>
        <v>2022_7</v>
      </c>
      <c r="DR140" t="str">
        <f t="shared" si="412"/>
        <v>2022_7</v>
      </c>
      <c r="DS140" t="str">
        <f t="shared" si="412"/>
        <v>2022_7</v>
      </c>
      <c r="DT140" t="str">
        <f t="shared" si="412"/>
        <v>2022_7</v>
      </c>
      <c r="DU140" t="str">
        <f t="shared" si="412"/>
        <v>2022_7</v>
      </c>
      <c r="DV140" t="str">
        <f t="shared" si="361"/>
        <v>2022_7</v>
      </c>
      <c r="DW140" t="str">
        <f t="shared" si="361"/>
        <v>2022_7</v>
      </c>
      <c r="DX140" t="str">
        <f t="shared" si="361"/>
        <v>2022_7</v>
      </c>
      <c r="DY140" t="str">
        <f t="shared" si="361"/>
        <v>2022_7</v>
      </c>
      <c r="DZ140" t="str">
        <f t="shared" si="361"/>
        <v>2022_7</v>
      </c>
      <c r="EA140" t="str">
        <f t="shared" si="361"/>
        <v>2022_7</v>
      </c>
      <c r="EB140" t="str">
        <f t="shared" si="361"/>
        <v>2022_7</v>
      </c>
      <c r="EC140" t="str">
        <f t="shared" si="361"/>
        <v>2022_7</v>
      </c>
      <c r="ED140" t="str">
        <f t="shared" si="361"/>
        <v>2022_7</v>
      </c>
      <c r="EE140" t="str">
        <f t="shared" si="361"/>
        <v>2022_7</v>
      </c>
      <c r="EF140" t="str">
        <f t="shared" si="361"/>
        <v>2022_7</v>
      </c>
      <c r="EG140" t="str">
        <f t="shared" si="361"/>
        <v>2022_7</v>
      </c>
      <c r="EH140" t="str">
        <f t="shared" si="361"/>
        <v>2022_7</v>
      </c>
      <c r="EI140" t="str">
        <f t="shared" si="361"/>
        <v>2022_7</v>
      </c>
      <c r="EJ140" t="str">
        <f t="shared" si="361"/>
        <v>2022_7</v>
      </c>
      <c r="EK140" t="str">
        <f t="shared" si="361"/>
        <v>2022_7</v>
      </c>
      <c r="EL140" t="str">
        <f t="shared" si="362"/>
        <v>2022_7</v>
      </c>
      <c r="EM140" t="str">
        <f t="shared" si="316"/>
        <v>2022_7</v>
      </c>
      <c r="EN140" t="str">
        <f t="shared" si="316"/>
        <v>2022_7</v>
      </c>
      <c r="EO140" t="str">
        <f t="shared" si="316"/>
        <v>2022_7</v>
      </c>
      <c r="EP140" t="str">
        <f t="shared" si="316"/>
        <v>2022_7</v>
      </c>
      <c r="EQ140" t="str">
        <f t="shared" si="316"/>
        <v>2022_7</v>
      </c>
      <c r="ER140" t="str">
        <f t="shared" si="316"/>
        <v>2022_7</v>
      </c>
      <c r="ES140" t="str">
        <f t="shared" si="316"/>
        <v>2022_7</v>
      </c>
      <c r="ET140" t="str">
        <f t="shared" si="316"/>
        <v>2022_7</v>
      </c>
      <c r="EU140" t="str">
        <f t="shared" si="316"/>
        <v>2022_7</v>
      </c>
      <c r="EV140" t="str">
        <f t="shared" si="316"/>
        <v>2022_7</v>
      </c>
      <c r="EW140" t="str">
        <f t="shared" si="316"/>
        <v>2022_7</v>
      </c>
      <c r="EX140" t="str">
        <f t="shared" si="316"/>
        <v>2022_7</v>
      </c>
      <c r="EY140" t="str">
        <f t="shared" si="316"/>
        <v>2022_7</v>
      </c>
      <c r="FB140" s="10" t="s">
        <v>37</v>
      </c>
      <c r="FC140">
        <f t="shared" ref="FC140:FC203" si="413">IF($M140&lt;=O$3,1,0)</f>
        <v>0</v>
      </c>
      <c r="FD140">
        <f t="shared" si="363"/>
        <v>0</v>
      </c>
      <c r="FE140">
        <f t="shared" si="364"/>
        <v>0</v>
      </c>
      <c r="FF140">
        <f t="shared" si="365"/>
        <v>0</v>
      </c>
      <c r="FG140">
        <f t="shared" si="366"/>
        <v>0</v>
      </c>
      <c r="FH140">
        <f t="shared" si="367"/>
        <v>0</v>
      </c>
      <c r="FI140">
        <f t="shared" si="368"/>
        <v>0</v>
      </c>
      <c r="FJ140">
        <f t="shared" si="369"/>
        <v>0</v>
      </c>
      <c r="FK140">
        <f t="shared" si="370"/>
        <v>0</v>
      </c>
      <c r="FL140">
        <f t="shared" si="371"/>
        <v>0</v>
      </c>
      <c r="FM140">
        <f t="shared" si="372"/>
        <v>0</v>
      </c>
      <c r="FN140">
        <f t="shared" si="373"/>
        <v>0</v>
      </c>
      <c r="FO140">
        <f t="shared" si="374"/>
        <v>0</v>
      </c>
      <c r="FP140">
        <f t="shared" si="375"/>
        <v>0</v>
      </c>
      <c r="FQ140">
        <f t="shared" si="376"/>
        <v>0</v>
      </c>
      <c r="FR140">
        <f t="shared" si="377"/>
        <v>0</v>
      </c>
      <c r="FS140">
        <f t="shared" si="378"/>
        <v>0</v>
      </c>
      <c r="FT140">
        <f t="shared" si="379"/>
        <v>0</v>
      </c>
      <c r="FU140">
        <f t="shared" si="380"/>
        <v>0</v>
      </c>
      <c r="FV140">
        <f t="shared" si="381"/>
        <v>0</v>
      </c>
      <c r="FW140">
        <f t="shared" si="382"/>
        <v>0</v>
      </c>
      <c r="FX140">
        <f t="shared" si="383"/>
        <v>0</v>
      </c>
      <c r="FY140">
        <f t="shared" si="384"/>
        <v>0</v>
      </c>
      <c r="FZ140">
        <f t="shared" si="385"/>
        <v>0</v>
      </c>
      <c r="GA140">
        <f t="shared" si="386"/>
        <v>0</v>
      </c>
      <c r="GB140">
        <f t="shared" si="387"/>
        <v>0</v>
      </c>
      <c r="GC140">
        <f t="shared" si="388"/>
        <v>0</v>
      </c>
      <c r="GD140">
        <f t="shared" si="389"/>
        <v>1</v>
      </c>
      <c r="GE140">
        <f t="shared" si="390"/>
        <v>1</v>
      </c>
      <c r="GF140">
        <f t="shared" si="391"/>
        <v>1</v>
      </c>
      <c r="GG140">
        <f t="shared" si="392"/>
        <v>1</v>
      </c>
      <c r="GH140">
        <f t="shared" si="393"/>
        <v>1</v>
      </c>
      <c r="GI140">
        <f t="shared" si="394"/>
        <v>1</v>
      </c>
      <c r="GJ140">
        <f t="shared" si="395"/>
        <v>1</v>
      </c>
      <c r="GK140">
        <f t="shared" si="396"/>
        <v>1</v>
      </c>
      <c r="GL140">
        <f t="shared" si="397"/>
        <v>1</v>
      </c>
      <c r="GM140">
        <f t="shared" si="398"/>
        <v>1</v>
      </c>
      <c r="GN140">
        <f t="shared" si="399"/>
        <v>1</v>
      </c>
      <c r="GO140">
        <f t="shared" si="400"/>
        <v>1</v>
      </c>
      <c r="GP140">
        <f t="shared" si="401"/>
        <v>1</v>
      </c>
      <c r="GQ140">
        <f t="shared" si="402"/>
        <v>1</v>
      </c>
      <c r="GR140">
        <f t="shared" si="403"/>
        <v>1</v>
      </c>
      <c r="GS140">
        <f t="shared" si="404"/>
        <v>1</v>
      </c>
      <c r="GT140">
        <f t="shared" si="405"/>
        <v>1</v>
      </c>
      <c r="GU140">
        <f t="shared" si="406"/>
        <v>1</v>
      </c>
      <c r="GX140" s="10"/>
    </row>
    <row r="141" spans="1:206" x14ac:dyDescent="0.3">
      <c r="A141" s="9" t="s">
        <v>124</v>
      </c>
      <c r="B141" s="80"/>
      <c r="C141" s="9">
        <v>3130982001</v>
      </c>
      <c r="D141" s="9" t="s">
        <v>362</v>
      </c>
      <c r="E141" s="9" t="s">
        <v>39</v>
      </c>
      <c r="F141" s="9" t="s">
        <v>35</v>
      </c>
      <c r="G141" s="9" t="s">
        <v>177</v>
      </c>
      <c r="H141" s="10">
        <v>44751</v>
      </c>
      <c r="I141" s="9">
        <f t="shared" si="407"/>
        <v>2022</v>
      </c>
      <c r="J141" s="9">
        <f t="shared" si="408"/>
        <v>7</v>
      </c>
      <c r="K141" s="9" t="str">
        <f t="shared" si="409"/>
        <v>2022_7</v>
      </c>
      <c r="L141">
        <f>MAX(0,VLOOKUP($K141,lookups!$A$1:$B$45,2,0)-12)</f>
        <v>15</v>
      </c>
      <c r="M141" s="40">
        <f t="shared" si="410"/>
        <v>44743</v>
      </c>
      <c r="N141" s="10" t="s">
        <v>37</v>
      </c>
      <c r="O141" t="str">
        <f ca="1">IF(OR($L141&gt;O$4,O$4&gt;$L141+23),"",OFFSET(Electric!$L132,0,-'Electric Calendarize'!$L141+'Electric Calendarize'!O$4+1))</f>
        <v/>
      </c>
      <c r="P141" t="str">
        <f ca="1">IF(OR($L141&gt;P$4,P$4&gt;$L141+23),"",OFFSET(Electric!$L132,0,-'Electric Calendarize'!$L141+'Electric Calendarize'!P$4+1))</f>
        <v/>
      </c>
      <c r="Q141" t="str">
        <f ca="1">IF(OR($L141&gt;Q$4,Q$4&gt;$L141+23),"",OFFSET(Electric!$L132,0,-'Electric Calendarize'!$L141+'Electric Calendarize'!Q$4+1))</f>
        <v/>
      </c>
      <c r="R141" t="str">
        <f ca="1">IF(OR($L141&gt;R$4,R$4&gt;$L141+23),"",OFFSET(Electric!$L132,0,-'Electric Calendarize'!$L141+'Electric Calendarize'!R$4+1))</f>
        <v/>
      </c>
      <c r="S141" t="str">
        <f ca="1">IF(OR($L141&gt;S$4,S$4&gt;$L141+23),"",OFFSET(Electric!$L132,0,-'Electric Calendarize'!$L141+'Electric Calendarize'!S$4+1))</f>
        <v/>
      </c>
      <c r="T141" t="str">
        <f ca="1">IF(OR($L141&gt;T$4,T$4&gt;$L141+23),"",OFFSET(Electric!$L132,0,-'Electric Calendarize'!$L141+'Electric Calendarize'!T$4+1))</f>
        <v/>
      </c>
      <c r="U141" t="str">
        <f ca="1">IF(OR($L141&gt;U$4,U$4&gt;$L141+23),"",OFFSET(Electric!$L132,0,-'Electric Calendarize'!$L141+'Electric Calendarize'!U$4+1))</f>
        <v/>
      </c>
      <c r="V141" t="str">
        <f ca="1">IF(OR($L141&gt;V$4,V$4&gt;$L141+23),"",OFFSET(Electric!$L132,0,-'Electric Calendarize'!$L141+'Electric Calendarize'!V$4+1))</f>
        <v/>
      </c>
      <c r="W141" t="str">
        <f ca="1">IF(OR($L141&gt;W$4,W$4&gt;$L141+23),"",OFFSET(Electric!$L132,0,-'Electric Calendarize'!$L141+'Electric Calendarize'!W$4+1))</f>
        <v/>
      </c>
      <c r="X141" t="str">
        <f ca="1">IF(OR($L141&gt;X$4,X$4&gt;$L141+23),"",OFFSET(Electric!$L132,0,-'Electric Calendarize'!$L141+'Electric Calendarize'!X$4+1))</f>
        <v/>
      </c>
      <c r="Y141" t="str">
        <f ca="1">IF(OR($L141&gt;Y$4,Y$4&gt;$L141+23),"",OFFSET(Electric!$L132,0,-'Electric Calendarize'!$L141+'Electric Calendarize'!Y$4+1))</f>
        <v/>
      </c>
      <c r="Z141" t="str">
        <f ca="1">IF(OR($L141&gt;Z$4,Z$4&gt;$L141+23),"",OFFSET(Electric!$L132,0,-'Electric Calendarize'!$L141+'Electric Calendarize'!Z$4+1))</f>
        <v/>
      </c>
      <c r="AA141" t="str">
        <f ca="1">IF(OR($L141&gt;AA$4,AA$4&gt;$L141+23),"",OFFSET(Electric!$L132,0,-'Electric Calendarize'!$L141+'Electric Calendarize'!AA$4+1))</f>
        <v/>
      </c>
      <c r="AB141" t="str">
        <f ca="1">IF(OR($L141&gt;AB$4,AB$4&gt;$L141+23),"",OFFSET(Electric!$L132,0,-'Electric Calendarize'!$L141+'Electric Calendarize'!AB$4+1))</f>
        <v/>
      </c>
      <c r="AC141" t="str">
        <f ca="1">IF(OR($L141&gt;AC$4,AC$4&gt;$L141+23),"",OFFSET(Electric!$L132,0,-'Electric Calendarize'!$L141+'Electric Calendarize'!AC$4+1))</f>
        <v/>
      </c>
      <c r="AD141">
        <f ca="1">IF(OR($L141&gt;AD$4,AD$4&gt;$L141+23),"",OFFSET(Electric!$L132,0,-'Electric Calendarize'!$L141+'Electric Calendarize'!AD$4+1))</f>
        <v>0</v>
      </c>
      <c r="AE141">
        <f ca="1">IF(OR($L141&gt;AE$4,AE$4&gt;$L141+23),"",OFFSET(Electric!$L132,0,-'Electric Calendarize'!$L141+'Electric Calendarize'!AE$4+1))</f>
        <v>0</v>
      </c>
      <c r="AF141">
        <f ca="1">IF(OR($L141&gt;AF$4,AF$4&gt;$L141+23),"",OFFSET(Electric!$L132,0,-'Electric Calendarize'!$L141+'Electric Calendarize'!AF$4+1))</f>
        <v>0</v>
      </c>
      <c r="AG141">
        <f ca="1">IF(OR($L141&gt;AG$4,AG$4&gt;$L141+23),"",OFFSET(Electric!$L132,0,-'Electric Calendarize'!$L141+'Electric Calendarize'!AG$4+1))</f>
        <v>0</v>
      </c>
      <c r="AH141">
        <f ca="1">IF(OR($L141&gt;AH$4,AH$4&gt;$L141+23),"",OFFSET(Electric!$L132,0,-'Electric Calendarize'!$L141+'Electric Calendarize'!AH$4+1))</f>
        <v>0</v>
      </c>
      <c r="AI141">
        <f ca="1">IF(OR($L141&gt;AI$4,AI$4&gt;$L141+23),"",OFFSET(Electric!$L132,0,-'Electric Calendarize'!$L141+'Electric Calendarize'!AI$4+1))</f>
        <v>0</v>
      </c>
      <c r="AJ141">
        <f ca="1">IF(OR($L141&gt;AJ$4,AJ$4&gt;$L141+23),"",OFFSET(Electric!$L132,0,-'Electric Calendarize'!$L141+'Electric Calendarize'!AJ$4+1))</f>
        <v>0</v>
      </c>
      <c r="AK141">
        <f ca="1">IF(OR($L141&gt;AK$4,AK$4&gt;$L141+23),"",OFFSET(Electric!$L132,0,-'Electric Calendarize'!$L141+'Electric Calendarize'!AK$4+1))</f>
        <v>175</v>
      </c>
      <c r="AL141">
        <f ca="1">IF(OR($L141&gt;AL$4,AL$4&gt;$L141+23),"",OFFSET(Electric!$L132,0,-'Electric Calendarize'!$L141+'Electric Calendarize'!AL$4+1))</f>
        <v>300</v>
      </c>
      <c r="AM141">
        <f ca="1">IF(OR($L141&gt;AM$4,AM$4&gt;$L141+23),"",OFFSET(Electric!$L132,0,-'Electric Calendarize'!$L141+'Electric Calendarize'!AM$4+1))</f>
        <v>333</v>
      </c>
      <c r="AN141">
        <f ca="1">IF(OR($L141&gt;AN$4,AN$4&gt;$L141+23),"",OFFSET(Electric!$L132,0,-'Electric Calendarize'!$L141+'Electric Calendarize'!AN$4+1))</f>
        <v>582</v>
      </c>
      <c r="AO141">
        <f ca="1">IF(OR($L141&gt;AO$4,AO$4&gt;$L141+23),"",OFFSET(Electric!$L132,0,-'Electric Calendarize'!$L141+'Electric Calendarize'!AO$4+1))</f>
        <v>602</v>
      </c>
      <c r="AP141">
        <f ca="1">IF(OR($L141&gt;AP$4,AP$4&gt;$L141+23),"",OFFSET(Electric!$L132,0,-'Electric Calendarize'!$L141+'Electric Calendarize'!AP$4+1))</f>
        <v>591</v>
      </c>
      <c r="AQ141">
        <f ca="1">IF(OR($L141&gt;AQ$4,AQ$4&gt;$L141+23),"",OFFSET(Electric!$L132,0,-'Electric Calendarize'!$L141+'Electric Calendarize'!AQ$4+1))</f>
        <v>551</v>
      </c>
      <c r="AR141">
        <f ca="1">IF(OR($L141&gt;AR$4,AR$4&gt;$L141+23),"",OFFSET(Electric!$L132,0,-'Electric Calendarize'!$L141+'Electric Calendarize'!AR$4+1))</f>
        <v>523</v>
      </c>
      <c r="AS141">
        <f ca="1">IF(OR($L141&gt;AS$4,AS$4&gt;$L141+23),"",OFFSET(Electric!$L132,0,-'Electric Calendarize'!$L141+'Electric Calendarize'!AS$4+1))</f>
        <v>635</v>
      </c>
      <c r="AT141">
        <f ca="1">IF(OR($L141&gt;AT$4,AT$4&gt;$L141+23),"",OFFSET(Electric!$L132,0,-'Electric Calendarize'!$L141+'Electric Calendarize'!AT$4+1))</f>
        <v>1357</v>
      </c>
      <c r="AU141">
        <f ca="1">IF(OR($L141&gt;AU$4,AU$4&gt;$L141+23),"",OFFSET(Electric!$L132,0,-'Electric Calendarize'!$L141+'Electric Calendarize'!AU$4+1))</f>
        <v>1723</v>
      </c>
      <c r="AV141">
        <f ca="1">IF(OR($L141&gt;AV$4,AV$4&gt;$L141+23),"",OFFSET(Electric!$L132,0,-'Electric Calendarize'!$L141+'Electric Calendarize'!AV$4+1))</f>
        <v>2090</v>
      </c>
      <c r="AW141">
        <f ca="1">IF(OR($L141&gt;AW$4,AW$4&gt;$L141+23),"",OFFSET(Electric!$L132,0,-'Electric Calendarize'!$L141+'Electric Calendarize'!AW$4+1))</f>
        <v>2077</v>
      </c>
      <c r="AX141">
        <f ca="1">IF(OR($L141&gt;AX$4,AX$4&gt;$L141+23),"",OFFSET(Electric!$L132,0,-'Electric Calendarize'!$L141+'Electric Calendarize'!AX$4+1))</f>
        <v>1686</v>
      </c>
      <c r="AY141">
        <f ca="1">IF(OR($L141&gt;AY$4,AY$4&gt;$L141+23),"",OFFSET(Electric!$L132,0,-'Electric Calendarize'!$L141+'Electric Calendarize'!AY$4+1))</f>
        <v>1160</v>
      </c>
      <c r="AZ141">
        <f ca="1">IF(OR($L141&gt;AZ$4,AZ$4&gt;$L141+23),"",OFFSET(Electric!$L132,0,-'Electric Calendarize'!$L141+'Electric Calendarize'!AZ$4+1))</f>
        <v>583</v>
      </c>
      <c r="BA141">
        <f ca="1">IF(OR($L141&gt;BA$4,BA$4&gt;$L141+23),"",OFFSET(Electric!$L132,0,-'Electric Calendarize'!$L141+'Electric Calendarize'!BA$4+1))</f>
        <v>498</v>
      </c>
      <c r="BB141" t="str">
        <f ca="1">IF(OR($L141&gt;BB$4,BB$4&gt;$L141+23),"",OFFSET(Electric!$L132,0,-'Electric Calendarize'!$L141+'Electric Calendarize'!BB$4+1))</f>
        <v/>
      </c>
      <c r="BC141" t="str">
        <f ca="1">IF(OR($L141&gt;BC$4,BC$4&gt;$L141+23),"",OFFSET(Electric!$L132,0,-'Electric Calendarize'!$L141+'Electric Calendarize'!BC$4+1))</f>
        <v/>
      </c>
      <c r="BD141" t="str">
        <f ca="1">IF(OR($L141&gt;BD$4,BD$4&gt;$L141+23),"",OFFSET(Electric!$L132,0,-'Electric Calendarize'!$L141+'Electric Calendarize'!BD$4+1))</f>
        <v/>
      </c>
      <c r="BE141" t="str">
        <f ca="1">IF(OR($L141&gt;BE$4,BE$4&gt;$L141+23),"",OFFSET(Electric!$L132,0,-'Electric Calendarize'!$L141+'Electric Calendarize'!BE$4+1))</f>
        <v/>
      </c>
      <c r="BF141" t="str">
        <f ca="1">IF(OR($L141&gt;BF$4,BF$4&gt;$L141+23),"",OFFSET(Electric!$L132,0,-'Electric Calendarize'!$L141+'Electric Calendarize'!BF$4+1))</f>
        <v/>
      </c>
      <c r="BG141" t="str">
        <f ca="1">IF(OR($L141&gt;BG$4,BG$4&gt;$L141+23),"",OFFSET(Electric!$L132,0,-'Electric Calendarize'!$L141+'Electric Calendarize'!BG$4+1))</f>
        <v/>
      </c>
      <c r="BJ141" s="10" t="s">
        <v>37</v>
      </c>
      <c r="BK141">
        <f t="shared" si="411"/>
        <v>1</v>
      </c>
      <c r="BL141">
        <f t="shared" si="317"/>
        <v>0</v>
      </c>
      <c r="BM141">
        <f t="shared" si="318"/>
        <v>0</v>
      </c>
      <c r="BN141">
        <f t="shared" si="319"/>
        <v>0</v>
      </c>
      <c r="BO141">
        <f t="shared" si="320"/>
        <v>0</v>
      </c>
      <c r="BP141">
        <f t="shared" si="321"/>
        <v>0</v>
      </c>
      <c r="BQ141">
        <f t="shared" si="322"/>
        <v>0</v>
      </c>
      <c r="BR141">
        <f t="shared" si="323"/>
        <v>1</v>
      </c>
      <c r="BS141">
        <f t="shared" si="324"/>
        <v>1</v>
      </c>
      <c r="BT141">
        <f t="shared" si="325"/>
        <v>1</v>
      </c>
      <c r="BU141">
        <f t="shared" si="326"/>
        <v>1</v>
      </c>
      <c r="BV141">
        <f t="shared" si="327"/>
        <v>1</v>
      </c>
      <c r="BW141">
        <f t="shared" si="328"/>
        <v>1</v>
      </c>
      <c r="BX141">
        <f t="shared" si="329"/>
        <v>0</v>
      </c>
      <c r="BY141">
        <f t="shared" si="330"/>
        <v>0</v>
      </c>
      <c r="BZ141">
        <f t="shared" si="331"/>
        <v>0</v>
      </c>
      <c r="CA141">
        <f t="shared" si="332"/>
        <v>0</v>
      </c>
      <c r="CB141">
        <f t="shared" si="333"/>
        <v>0</v>
      </c>
      <c r="CC141">
        <f t="shared" si="334"/>
        <v>0</v>
      </c>
      <c r="CD141">
        <f t="shared" si="335"/>
        <v>1</v>
      </c>
      <c r="CE141">
        <f t="shared" si="336"/>
        <v>1</v>
      </c>
      <c r="CF141">
        <f t="shared" si="337"/>
        <v>1</v>
      </c>
      <c r="CG141">
        <f t="shared" si="338"/>
        <v>1</v>
      </c>
      <c r="CH141">
        <f t="shared" si="339"/>
        <v>1</v>
      </c>
      <c r="CI141">
        <f t="shared" si="340"/>
        <v>1</v>
      </c>
      <c r="CJ141">
        <f t="shared" si="341"/>
        <v>0</v>
      </c>
      <c r="CK141">
        <f t="shared" si="342"/>
        <v>0</v>
      </c>
      <c r="CL141">
        <f t="shared" si="343"/>
        <v>0</v>
      </c>
      <c r="CM141">
        <f t="shared" si="344"/>
        <v>0</v>
      </c>
      <c r="CN141">
        <f t="shared" si="345"/>
        <v>0</v>
      </c>
      <c r="CO141">
        <f t="shared" si="346"/>
        <v>0</v>
      </c>
      <c r="CP141">
        <f t="shared" si="347"/>
        <v>1</v>
      </c>
      <c r="CQ141">
        <f t="shared" si="348"/>
        <v>1</v>
      </c>
      <c r="CR141">
        <f t="shared" si="349"/>
        <v>1</v>
      </c>
      <c r="CS141">
        <f t="shared" si="350"/>
        <v>1</v>
      </c>
      <c r="CT141">
        <f t="shared" si="351"/>
        <v>1</v>
      </c>
      <c r="CU141">
        <f t="shared" si="352"/>
        <v>1</v>
      </c>
      <c r="CV141">
        <f t="shared" si="353"/>
        <v>0</v>
      </c>
      <c r="CW141">
        <f t="shared" si="354"/>
        <v>0</v>
      </c>
      <c r="CX141">
        <f t="shared" si="355"/>
        <v>0</v>
      </c>
      <c r="CY141">
        <f t="shared" si="356"/>
        <v>0</v>
      </c>
      <c r="CZ141">
        <f t="shared" si="357"/>
        <v>0</v>
      </c>
      <c r="DA141">
        <f t="shared" si="358"/>
        <v>0</v>
      </c>
      <c r="DB141">
        <f t="shared" si="359"/>
        <v>1</v>
      </c>
      <c r="DC141">
        <f t="shared" si="360"/>
        <v>1</v>
      </c>
      <c r="DF141" s="10" t="s">
        <v>37</v>
      </c>
      <c r="DG141" t="str">
        <f t="shared" si="412"/>
        <v>2022_7</v>
      </c>
      <c r="DH141" t="str">
        <f t="shared" si="412"/>
        <v>2022_7</v>
      </c>
      <c r="DI141" t="str">
        <f t="shared" si="412"/>
        <v>2022_7</v>
      </c>
      <c r="DJ141" t="str">
        <f t="shared" si="412"/>
        <v>2022_7</v>
      </c>
      <c r="DK141" t="str">
        <f t="shared" si="412"/>
        <v>2022_7</v>
      </c>
      <c r="DL141" t="str">
        <f t="shared" si="412"/>
        <v>2022_7</v>
      </c>
      <c r="DM141" t="str">
        <f t="shared" si="412"/>
        <v>2022_7</v>
      </c>
      <c r="DN141" t="str">
        <f t="shared" si="412"/>
        <v>2022_7</v>
      </c>
      <c r="DO141" t="str">
        <f t="shared" si="412"/>
        <v>2022_7</v>
      </c>
      <c r="DP141" t="str">
        <f t="shared" si="412"/>
        <v>2022_7</v>
      </c>
      <c r="DQ141" t="str">
        <f t="shared" si="412"/>
        <v>2022_7</v>
      </c>
      <c r="DR141" t="str">
        <f t="shared" si="412"/>
        <v>2022_7</v>
      </c>
      <c r="DS141" t="str">
        <f t="shared" si="412"/>
        <v>2022_7</v>
      </c>
      <c r="DT141" t="str">
        <f t="shared" si="412"/>
        <v>2022_7</v>
      </c>
      <c r="DU141" t="str">
        <f t="shared" si="412"/>
        <v>2022_7</v>
      </c>
      <c r="DV141" t="str">
        <f t="shared" si="361"/>
        <v>2022_7</v>
      </c>
      <c r="DW141" t="str">
        <f t="shared" si="361"/>
        <v>2022_7</v>
      </c>
      <c r="DX141" t="str">
        <f t="shared" si="361"/>
        <v>2022_7</v>
      </c>
      <c r="DY141" t="str">
        <f t="shared" si="361"/>
        <v>2022_7</v>
      </c>
      <c r="DZ141" t="str">
        <f t="shared" si="361"/>
        <v>2022_7</v>
      </c>
      <c r="EA141" t="str">
        <f t="shared" si="361"/>
        <v>2022_7</v>
      </c>
      <c r="EB141" t="str">
        <f t="shared" si="361"/>
        <v>2022_7</v>
      </c>
      <c r="EC141" t="str">
        <f t="shared" si="361"/>
        <v>2022_7</v>
      </c>
      <c r="ED141" t="str">
        <f t="shared" si="361"/>
        <v>2022_7</v>
      </c>
      <c r="EE141" t="str">
        <f t="shared" si="361"/>
        <v>2022_7</v>
      </c>
      <c r="EF141" t="str">
        <f t="shared" si="361"/>
        <v>2022_7</v>
      </c>
      <c r="EG141" t="str">
        <f t="shared" si="361"/>
        <v>2022_7</v>
      </c>
      <c r="EH141" t="str">
        <f t="shared" si="361"/>
        <v>2022_7</v>
      </c>
      <c r="EI141" t="str">
        <f t="shared" si="361"/>
        <v>2022_7</v>
      </c>
      <c r="EJ141" t="str">
        <f t="shared" si="361"/>
        <v>2022_7</v>
      </c>
      <c r="EK141" t="str">
        <f t="shared" si="361"/>
        <v>2022_7</v>
      </c>
      <c r="EL141" t="str">
        <f t="shared" si="362"/>
        <v>2022_7</v>
      </c>
      <c r="EM141" t="str">
        <f t="shared" si="316"/>
        <v>2022_7</v>
      </c>
      <c r="EN141" t="str">
        <f t="shared" si="316"/>
        <v>2022_7</v>
      </c>
      <c r="EO141" t="str">
        <f t="shared" si="316"/>
        <v>2022_7</v>
      </c>
      <c r="EP141" t="str">
        <f t="shared" si="316"/>
        <v>2022_7</v>
      </c>
      <c r="EQ141" t="str">
        <f t="shared" si="316"/>
        <v>2022_7</v>
      </c>
      <c r="ER141" t="str">
        <f t="shared" si="316"/>
        <v>2022_7</v>
      </c>
      <c r="ES141" t="str">
        <f t="shared" si="316"/>
        <v>2022_7</v>
      </c>
      <c r="ET141" t="str">
        <f t="shared" si="316"/>
        <v>2022_7</v>
      </c>
      <c r="EU141" t="str">
        <f t="shared" si="316"/>
        <v>2022_7</v>
      </c>
      <c r="EV141" t="str">
        <f t="shared" si="316"/>
        <v>2022_7</v>
      </c>
      <c r="EW141" t="str">
        <f t="shared" si="316"/>
        <v>2022_7</v>
      </c>
      <c r="EX141" t="str">
        <f t="shared" si="316"/>
        <v>2022_7</v>
      </c>
      <c r="EY141" t="str">
        <f t="shared" si="316"/>
        <v>2022_7</v>
      </c>
      <c r="FB141" s="10" t="s">
        <v>37</v>
      </c>
      <c r="FC141">
        <f t="shared" si="413"/>
        <v>0</v>
      </c>
      <c r="FD141">
        <f t="shared" si="363"/>
        <v>0</v>
      </c>
      <c r="FE141">
        <f t="shared" si="364"/>
        <v>0</v>
      </c>
      <c r="FF141">
        <f t="shared" si="365"/>
        <v>0</v>
      </c>
      <c r="FG141">
        <f t="shared" si="366"/>
        <v>0</v>
      </c>
      <c r="FH141">
        <f t="shared" si="367"/>
        <v>0</v>
      </c>
      <c r="FI141">
        <f t="shared" si="368"/>
        <v>0</v>
      </c>
      <c r="FJ141">
        <f t="shared" si="369"/>
        <v>0</v>
      </c>
      <c r="FK141">
        <f t="shared" si="370"/>
        <v>0</v>
      </c>
      <c r="FL141">
        <f t="shared" si="371"/>
        <v>0</v>
      </c>
      <c r="FM141">
        <f t="shared" si="372"/>
        <v>0</v>
      </c>
      <c r="FN141">
        <f t="shared" si="373"/>
        <v>0</v>
      </c>
      <c r="FO141">
        <f t="shared" si="374"/>
        <v>0</v>
      </c>
      <c r="FP141">
        <f t="shared" si="375"/>
        <v>0</v>
      </c>
      <c r="FQ141">
        <f t="shared" si="376"/>
        <v>0</v>
      </c>
      <c r="FR141">
        <f t="shared" si="377"/>
        <v>0</v>
      </c>
      <c r="FS141">
        <f t="shared" si="378"/>
        <v>0</v>
      </c>
      <c r="FT141">
        <f t="shared" si="379"/>
        <v>0</v>
      </c>
      <c r="FU141">
        <f t="shared" si="380"/>
        <v>0</v>
      </c>
      <c r="FV141">
        <f t="shared" si="381"/>
        <v>0</v>
      </c>
      <c r="FW141">
        <f t="shared" si="382"/>
        <v>0</v>
      </c>
      <c r="FX141">
        <f t="shared" si="383"/>
        <v>0</v>
      </c>
      <c r="FY141">
        <f t="shared" si="384"/>
        <v>0</v>
      </c>
      <c r="FZ141">
        <f t="shared" si="385"/>
        <v>0</v>
      </c>
      <c r="GA141">
        <f t="shared" si="386"/>
        <v>0</v>
      </c>
      <c r="GB141">
        <f t="shared" si="387"/>
        <v>0</v>
      </c>
      <c r="GC141">
        <f t="shared" si="388"/>
        <v>0</v>
      </c>
      <c r="GD141">
        <f t="shared" si="389"/>
        <v>1</v>
      </c>
      <c r="GE141">
        <f t="shared" si="390"/>
        <v>1</v>
      </c>
      <c r="GF141">
        <f t="shared" si="391"/>
        <v>1</v>
      </c>
      <c r="GG141">
        <f t="shared" si="392"/>
        <v>1</v>
      </c>
      <c r="GH141">
        <f t="shared" si="393"/>
        <v>1</v>
      </c>
      <c r="GI141">
        <f t="shared" si="394"/>
        <v>1</v>
      </c>
      <c r="GJ141">
        <f t="shared" si="395"/>
        <v>1</v>
      </c>
      <c r="GK141">
        <f t="shared" si="396"/>
        <v>1</v>
      </c>
      <c r="GL141">
        <f t="shared" si="397"/>
        <v>1</v>
      </c>
      <c r="GM141">
        <f t="shared" si="398"/>
        <v>1</v>
      </c>
      <c r="GN141">
        <f t="shared" si="399"/>
        <v>1</v>
      </c>
      <c r="GO141">
        <f t="shared" si="400"/>
        <v>1</v>
      </c>
      <c r="GP141">
        <f t="shared" si="401"/>
        <v>1</v>
      </c>
      <c r="GQ141">
        <f t="shared" si="402"/>
        <v>1</v>
      </c>
      <c r="GR141">
        <f t="shared" si="403"/>
        <v>1</v>
      </c>
      <c r="GS141">
        <f t="shared" si="404"/>
        <v>1</v>
      </c>
      <c r="GT141">
        <f t="shared" si="405"/>
        <v>1</v>
      </c>
      <c r="GU141">
        <f t="shared" si="406"/>
        <v>1</v>
      </c>
      <c r="GX141" s="10"/>
    </row>
    <row r="142" spans="1:206" x14ac:dyDescent="0.3">
      <c r="A142" s="9" t="s">
        <v>124</v>
      </c>
      <c r="B142" s="80"/>
      <c r="C142" s="9">
        <v>3052964000</v>
      </c>
      <c r="D142" s="9" t="s">
        <v>451</v>
      </c>
      <c r="E142" s="9" t="s">
        <v>34</v>
      </c>
      <c r="F142" s="9" t="s">
        <v>35</v>
      </c>
      <c r="G142" s="9" t="s">
        <v>86</v>
      </c>
      <c r="H142" s="10">
        <v>44753</v>
      </c>
      <c r="I142" s="9">
        <f t="shared" si="407"/>
        <v>2022</v>
      </c>
      <c r="J142" s="9">
        <f t="shared" si="408"/>
        <v>7</v>
      </c>
      <c r="K142" s="9" t="str">
        <f t="shared" si="409"/>
        <v>2022_7</v>
      </c>
      <c r="L142">
        <f>MAX(0,VLOOKUP($K142,lookups!$A$1:$B$45,2,0)-12)</f>
        <v>15</v>
      </c>
      <c r="M142" s="40">
        <f t="shared" si="410"/>
        <v>44743</v>
      </c>
      <c r="N142" s="10" t="s">
        <v>37</v>
      </c>
      <c r="O142" t="str">
        <f ca="1">IF(OR($L142&gt;O$4,O$4&gt;$L142+23),"",OFFSET(Electric!$L133,0,-'Electric Calendarize'!$L142+'Electric Calendarize'!O$4+1))</f>
        <v/>
      </c>
      <c r="P142" t="str">
        <f ca="1">IF(OR($L142&gt;P$4,P$4&gt;$L142+23),"",OFFSET(Electric!$L133,0,-'Electric Calendarize'!$L142+'Electric Calendarize'!P$4+1))</f>
        <v/>
      </c>
      <c r="Q142" t="str">
        <f ca="1">IF(OR($L142&gt;Q$4,Q$4&gt;$L142+23),"",OFFSET(Electric!$L133,0,-'Electric Calendarize'!$L142+'Electric Calendarize'!Q$4+1))</f>
        <v/>
      </c>
      <c r="R142" t="str">
        <f ca="1">IF(OR($L142&gt;R$4,R$4&gt;$L142+23),"",OFFSET(Electric!$L133,0,-'Electric Calendarize'!$L142+'Electric Calendarize'!R$4+1))</f>
        <v/>
      </c>
      <c r="S142" t="str">
        <f ca="1">IF(OR($L142&gt;S$4,S$4&gt;$L142+23),"",OFFSET(Electric!$L133,0,-'Electric Calendarize'!$L142+'Electric Calendarize'!S$4+1))</f>
        <v/>
      </c>
      <c r="T142" t="str">
        <f ca="1">IF(OR($L142&gt;T$4,T$4&gt;$L142+23),"",OFFSET(Electric!$L133,0,-'Electric Calendarize'!$L142+'Electric Calendarize'!T$4+1))</f>
        <v/>
      </c>
      <c r="U142" t="str">
        <f ca="1">IF(OR($L142&gt;U$4,U$4&gt;$L142+23),"",OFFSET(Electric!$L133,0,-'Electric Calendarize'!$L142+'Electric Calendarize'!U$4+1))</f>
        <v/>
      </c>
      <c r="V142" t="str">
        <f ca="1">IF(OR($L142&gt;V$4,V$4&gt;$L142+23),"",OFFSET(Electric!$L133,0,-'Electric Calendarize'!$L142+'Electric Calendarize'!V$4+1))</f>
        <v/>
      </c>
      <c r="W142" t="str">
        <f ca="1">IF(OR($L142&gt;W$4,W$4&gt;$L142+23),"",OFFSET(Electric!$L133,0,-'Electric Calendarize'!$L142+'Electric Calendarize'!W$4+1))</f>
        <v/>
      </c>
      <c r="X142" t="str">
        <f ca="1">IF(OR($L142&gt;X$4,X$4&gt;$L142+23),"",OFFSET(Electric!$L133,0,-'Electric Calendarize'!$L142+'Electric Calendarize'!X$4+1))</f>
        <v/>
      </c>
      <c r="Y142" t="str">
        <f ca="1">IF(OR($L142&gt;Y$4,Y$4&gt;$L142+23),"",OFFSET(Electric!$L133,0,-'Electric Calendarize'!$L142+'Electric Calendarize'!Y$4+1))</f>
        <v/>
      </c>
      <c r="Z142" t="str">
        <f ca="1">IF(OR($L142&gt;Z$4,Z$4&gt;$L142+23),"",OFFSET(Electric!$L133,0,-'Electric Calendarize'!$L142+'Electric Calendarize'!Z$4+1))</f>
        <v/>
      </c>
      <c r="AA142" t="str">
        <f ca="1">IF(OR($L142&gt;AA$4,AA$4&gt;$L142+23),"",OFFSET(Electric!$L133,0,-'Electric Calendarize'!$L142+'Electric Calendarize'!AA$4+1))</f>
        <v/>
      </c>
      <c r="AB142" t="str">
        <f ca="1">IF(OR($L142&gt;AB$4,AB$4&gt;$L142+23),"",OFFSET(Electric!$L133,0,-'Electric Calendarize'!$L142+'Electric Calendarize'!AB$4+1))</f>
        <v/>
      </c>
      <c r="AC142" t="str">
        <f ca="1">IF(OR($L142&gt;AC$4,AC$4&gt;$L142+23),"",OFFSET(Electric!$L133,0,-'Electric Calendarize'!$L142+'Electric Calendarize'!AC$4+1))</f>
        <v/>
      </c>
      <c r="AD142">
        <f ca="1">IF(OR($L142&gt;AD$4,AD$4&gt;$L142+23),"",OFFSET(Electric!$L133,0,-'Electric Calendarize'!$L142+'Electric Calendarize'!AD$4+1))</f>
        <v>0</v>
      </c>
      <c r="AE142">
        <f ca="1">IF(OR($L142&gt;AE$4,AE$4&gt;$L142+23),"",OFFSET(Electric!$L133,0,-'Electric Calendarize'!$L142+'Electric Calendarize'!AE$4+1))</f>
        <v>0</v>
      </c>
      <c r="AF142">
        <f ca="1">IF(OR($L142&gt;AF$4,AF$4&gt;$L142+23),"",OFFSET(Electric!$L133,0,-'Electric Calendarize'!$L142+'Electric Calendarize'!AF$4+1))</f>
        <v>0</v>
      </c>
      <c r="AG142">
        <f ca="1">IF(OR($L142&gt;AG$4,AG$4&gt;$L142+23),"",OFFSET(Electric!$L133,0,-'Electric Calendarize'!$L142+'Electric Calendarize'!AG$4+1))</f>
        <v>0</v>
      </c>
      <c r="AH142">
        <f ca="1">IF(OR($L142&gt;AH$4,AH$4&gt;$L142+23),"",OFFSET(Electric!$L133,0,-'Electric Calendarize'!$L142+'Electric Calendarize'!AH$4+1))</f>
        <v>0</v>
      </c>
      <c r="AI142">
        <f ca="1">IF(OR($L142&gt;AI$4,AI$4&gt;$L142+23),"",OFFSET(Electric!$L133,0,-'Electric Calendarize'!$L142+'Electric Calendarize'!AI$4+1))</f>
        <v>0</v>
      </c>
      <c r="AJ142">
        <f ca="1">IF(OR($L142&gt;AJ$4,AJ$4&gt;$L142+23),"",OFFSET(Electric!$L133,0,-'Electric Calendarize'!$L142+'Electric Calendarize'!AJ$4+1))</f>
        <v>0</v>
      </c>
      <c r="AK142">
        <f ca="1">IF(OR($L142&gt;AK$4,AK$4&gt;$L142+23),"",OFFSET(Electric!$L133,0,-'Electric Calendarize'!$L142+'Electric Calendarize'!AK$4+1))</f>
        <v>0</v>
      </c>
      <c r="AL142">
        <f ca="1">IF(OR($L142&gt;AL$4,AL$4&gt;$L142+23),"",OFFSET(Electric!$L133,0,-'Electric Calendarize'!$L142+'Electric Calendarize'!AL$4+1))</f>
        <v>0</v>
      </c>
      <c r="AM142">
        <f ca="1">IF(OR($L142&gt;AM$4,AM$4&gt;$L142+23),"",OFFSET(Electric!$L133,0,-'Electric Calendarize'!$L142+'Electric Calendarize'!AM$4+1))</f>
        <v>0</v>
      </c>
      <c r="AN142">
        <f ca="1">IF(OR($L142&gt;AN$4,AN$4&gt;$L142+23),"",OFFSET(Electric!$L133,0,-'Electric Calendarize'!$L142+'Electric Calendarize'!AN$4+1))</f>
        <v>0</v>
      </c>
      <c r="AO142">
        <f ca="1">IF(OR($L142&gt;AO$4,AO$4&gt;$L142+23),"",OFFSET(Electric!$L133,0,-'Electric Calendarize'!$L142+'Electric Calendarize'!AO$4+1))</f>
        <v>0</v>
      </c>
      <c r="AP142">
        <f ca="1">IF(OR($L142&gt;AP$4,AP$4&gt;$L142+23),"",OFFSET(Electric!$L133,0,-'Electric Calendarize'!$L142+'Electric Calendarize'!AP$4+1))</f>
        <v>0</v>
      </c>
      <c r="AQ142">
        <f ca="1">IF(OR($L142&gt;AQ$4,AQ$4&gt;$L142+23),"",OFFSET(Electric!$L133,0,-'Electric Calendarize'!$L142+'Electric Calendarize'!AQ$4+1))</f>
        <v>0</v>
      </c>
      <c r="AR142">
        <f ca="1">IF(OR($L142&gt;AR$4,AR$4&gt;$L142+23),"",OFFSET(Electric!$L133,0,-'Electric Calendarize'!$L142+'Electric Calendarize'!AR$4+1))</f>
        <v>0</v>
      </c>
      <c r="AS142">
        <f ca="1">IF(OR($L142&gt;AS$4,AS$4&gt;$L142+23),"",OFFSET(Electric!$L133,0,-'Electric Calendarize'!$L142+'Electric Calendarize'!AS$4+1))</f>
        <v>0</v>
      </c>
      <c r="AT142">
        <f ca="1">IF(OR($L142&gt;AT$4,AT$4&gt;$L142+23),"",OFFSET(Electric!$L133,0,-'Electric Calendarize'!$L142+'Electric Calendarize'!AT$4+1))</f>
        <v>0</v>
      </c>
      <c r="AU142">
        <f ca="1">IF(OR($L142&gt;AU$4,AU$4&gt;$L142+23),"",OFFSET(Electric!$L133,0,-'Electric Calendarize'!$L142+'Electric Calendarize'!AU$4+1))</f>
        <v>0</v>
      </c>
      <c r="AV142">
        <f ca="1">IF(OR($L142&gt;AV$4,AV$4&gt;$L142+23),"",OFFSET(Electric!$L133,0,-'Electric Calendarize'!$L142+'Electric Calendarize'!AV$4+1))</f>
        <v>0</v>
      </c>
      <c r="AW142">
        <f ca="1">IF(OR($L142&gt;AW$4,AW$4&gt;$L142+23),"",OFFSET(Electric!$L133,0,-'Electric Calendarize'!$L142+'Electric Calendarize'!AW$4+1))</f>
        <v>0</v>
      </c>
      <c r="AX142">
        <f ca="1">IF(OR($L142&gt;AX$4,AX$4&gt;$L142+23),"",OFFSET(Electric!$L133,0,-'Electric Calendarize'!$L142+'Electric Calendarize'!AX$4+1))</f>
        <v>0</v>
      </c>
      <c r="AY142">
        <f ca="1">IF(OR($L142&gt;AY$4,AY$4&gt;$L142+23),"",OFFSET(Electric!$L133,0,-'Electric Calendarize'!$L142+'Electric Calendarize'!AY$4+1))</f>
        <v>0</v>
      </c>
      <c r="AZ142">
        <f ca="1">IF(OR($L142&gt;AZ$4,AZ$4&gt;$L142+23),"",OFFSET(Electric!$L133,0,-'Electric Calendarize'!$L142+'Electric Calendarize'!AZ$4+1))</f>
        <v>0</v>
      </c>
      <c r="BA142">
        <f ca="1">IF(OR($L142&gt;BA$4,BA$4&gt;$L142+23),"",OFFSET(Electric!$L133,0,-'Electric Calendarize'!$L142+'Electric Calendarize'!BA$4+1))</f>
        <v>0</v>
      </c>
      <c r="BB142" t="str">
        <f ca="1">IF(OR($L142&gt;BB$4,BB$4&gt;$L142+23),"",OFFSET(Electric!$L133,0,-'Electric Calendarize'!$L142+'Electric Calendarize'!BB$4+1))</f>
        <v/>
      </c>
      <c r="BC142" t="str">
        <f ca="1">IF(OR($L142&gt;BC$4,BC$4&gt;$L142+23),"",OFFSET(Electric!$L133,0,-'Electric Calendarize'!$L142+'Electric Calendarize'!BC$4+1))</f>
        <v/>
      </c>
      <c r="BD142" t="str">
        <f ca="1">IF(OR($L142&gt;BD$4,BD$4&gt;$L142+23),"",OFFSET(Electric!$L133,0,-'Electric Calendarize'!$L142+'Electric Calendarize'!BD$4+1))</f>
        <v/>
      </c>
      <c r="BE142" t="str">
        <f ca="1">IF(OR($L142&gt;BE$4,BE$4&gt;$L142+23),"",OFFSET(Electric!$L133,0,-'Electric Calendarize'!$L142+'Electric Calendarize'!BE$4+1))</f>
        <v/>
      </c>
      <c r="BF142" t="str">
        <f ca="1">IF(OR($L142&gt;BF$4,BF$4&gt;$L142+23),"",OFFSET(Electric!$L133,0,-'Electric Calendarize'!$L142+'Electric Calendarize'!BF$4+1))</f>
        <v/>
      </c>
      <c r="BG142" t="str">
        <f ca="1">IF(OR($L142&gt;BG$4,BG$4&gt;$L142+23),"",OFFSET(Electric!$L133,0,-'Electric Calendarize'!$L142+'Electric Calendarize'!BG$4+1))</f>
        <v/>
      </c>
      <c r="BJ142" s="10" t="s">
        <v>37</v>
      </c>
      <c r="BK142">
        <f t="shared" si="411"/>
        <v>1</v>
      </c>
      <c r="BL142">
        <f t="shared" si="317"/>
        <v>0</v>
      </c>
      <c r="BM142">
        <f t="shared" si="318"/>
        <v>0</v>
      </c>
      <c r="BN142">
        <f t="shared" si="319"/>
        <v>0</v>
      </c>
      <c r="BO142">
        <f t="shared" si="320"/>
        <v>0</v>
      </c>
      <c r="BP142">
        <f t="shared" si="321"/>
        <v>0</v>
      </c>
      <c r="BQ142">
        <f t="shared" si="322"/>
        <v>0</v>
      </c>
      <c r="BR142">
        <f t="shared" si="323"/>
        <v>1</v>
      </c>
      <c r="BS142">
        <f t="shared" si="324"/>
        <v>1</v>
      </c>
      <c r="BT142">
        <f t="shared" si="325"/>
        <v>1</v>
      </c>
      <c r="BU142">
        <f t="shared" si="326"/>
        <v>1</v>
      </c>
      <c r="BV142">
        <f t="shared" si="327"/>
        <v>1</v>
      </c>
      <c r="BW142">
        <f t="shared" si="328"/>
        <v>1</v>
      </c>
      <c r="BX142">
        <f t="shared" si="329"/>
        <v>0</v>
      </c>
      <c r="BY142">
        <f t="shared" si="330"/>
        <v>0</v>
      </c>
      <c r="BZ142">
        <f t="shared" si="331"/>
        <v>0</v>
      </c>
      <c r="CA142">
        <f t="shared" si="332"/>
        <v>0</v>
      </c>
      <c r="CB142">
        <f t="shared" si="333"/>
        <v>0</v>
      </c>
      <c r="CC142">
        <f t="shared" si="334"/>
        <v>0</v>
      </c>
      <c r="CD142">
        <f t="shared" si="335"/>
        <v>1</v>
      </c>
      <c r="CE142">
        <f t="shared" si="336"/>
        <v>1</v>
      </c>
      <c r="CF142">
        <f t="shared" si="337"/>
        <v>1</v>
      </c>
      <c r="CG142">
        <f t="shared" si="338"/>
        <v>1</v>
      </c>
      <c r="CH142">
        <f t="shared" si="339"/>
        <v>1</v>
      </c>
      <c r="CI142">
        <f t="shared" si="340"/>
        <v>1</v>
      </c>
      <c r="CJ142">
        <f t="shared" si="341"/>
        <v>0</v>
      </c>
      <c r="CK142">
        <f t="shared" si="342"/>
        <v>0</v>
      </c>
      <c r="CL142">
        <f t="shared" si="343"/>
        <v>0</v>
      </c>
      <c r="CM142">
        <f t="shared" si="344"/>
        <v>0</v>
      </c>
      <c r="CN142">
        <f t="shared" si="345"/>
        <v>0</v>
      </c>
      <c r="CO142">
        <f t="shared" si="346"/>
        <v>0</v>
      </c>
      <c r="CP142">
        <f t="shared" si="347"/>
        <v>1</v>
      </c>
      <c r="CQ142">
        <f t="shared" si="348"/>
        <v>1</v>
      </c>
      <c r="CR142">
        <f t="shared" si="349"/>
        <v>1</v>
      </c>
      <c r="CS142">
        <f t="shared" si="350"/>
        <v>1</v>
      </c>
      <c r="CT142">
        <f t="shared" si="351"/>
        <v>1</v>
      </c>
      <c r="CU142">
        <f t="shared" si="352"/>
        <v>1</v>
      </c>
      <c r="CV142">
        <f t="shared" si="353"/>
        <v>0</v>
      </c>
      <c r="CW142">
        <f t="shared" si="354"/>
        <v>0</v>
      </c>
      <c r="CX142">
        <f t="shared" si="355"/>
        <v>0</v>
      </c>
      <c r="CY142">
        <f t="shared" si="356"/>
        <v>0</v>
      </c>
      <c r="CZ142">
        <f t="shared" si="357"/>
        <v>0</v>
      </c>
      <c r="DA142">
        <f t="shared" si="358"/>
        <v>0</v>
      </c>
      <c r="DB142">
        <f t="shared" si="359"/>
        <v>1</v>
      </c>
      <c r="DC142">
        <f t="shared" si="360"/>
        <v>1</v>
      </c>
      <c r="DF142" s="10" t="s">
        <v>37</v>
      </c>
      <c r="DG142" t="str">
        <f t="shared" si="412"/>
        <v>2022_7</v>
      </c>
      <c r="DH142" t="str">
        <f t="shared" si="412"/>
        <v>2022_7</v>
      </c>
      <c r="DI142" t="str">
        <f t="shared" si="412"/>
        <v>2022_7</v>
      </c>
      <c r="DJ142" t="str">
        <f t="shared" si="412"/>
        <v>2022_7</v>
      </c>
      <c r="DK142" t="str">
        <f t="shared" si="412"/>
        <v>2022_7</v>
      </c>
      <c r="DL142" t="str">
        <f t="shared" si="412"/>
        <v>2022_7</v>
      </c>
      <c r="DM142" t="str">
        <f t="shared" si="412"/>
        <v>2022_7</v>
      </c>
      <c r="DN142" t="str">
        <f t="shared" si="412"/>
        <v>2022_7</v>
      </c>
      <c r="DO142" t="str">
        <f t="shared" si="412"/>
        <v>2022_7</v>
      </c>
      <c r="DP142" t="str">
        <f t="shared" si="412"/>
        <v>2022_7</v>
      </c>
      <c r="DQ142" t="str">
        <f t="shared" si="412"/>
        <v>2022_7</v>
      </c>
      <c r="DR142" t="str">
        <f t="shared" si="412"/>
        <v>2022_7</v>
      </c>
      <c r="DS142" t="str">
        <f t="shared" si="412"/>
        <v>2022_7</v>
      </c>
      <c r="DT142" t="str">
        <f t="shared" si="412"/>
        <v>2022_7</v>
      </c>
      <c r="DU142" t="str">
        <f t="shared" si="412"/>
        <v>2022_7</v>
      </c>
      <c r="DV142" t="str">
        <f t="shared" si="361"/>
        <v>2022_7</v>
      </c>
      <c r="DW142" t="str">
        <f t="shared" si="361"/>
        <v>2022_7</v>
      </c>
      <c r="DX142" t="str">
        <f t="shared" si="361"/>
        <v>2022_7</v>
      </c>
      <c r="DY142" t="str">
        <f t="shared" si="361"/>
        <v>2022_7</v>
      </c>
      <c r="DZ142" t="str">
        <f t="shared" si="361"/>
        <v>2022_7</v>
      </c>
      <c r="EA142" t="str">
        <f t="shared" si="361"/>
        <v>2022_7</v>
      </c>
      <c r="EB142" t="str">
        <f t="shared" si="361"/>
        <v>2022_7</v>
      </c>
      <c r="EC142" t="str">
        <f t="shared" si="361"/>
        <v>2022_7</v>
      </c>
      <c r="ED142" t="str">
        <f t="shared" si="361"/>
        <v>2022_7</v>
      </c>
      <c r="EE142" t="str">
        <f t="shared" si="361"/>
        <v>2022_7</v>
      </c>
      <c r="EF142" t="str">
        <f t="shared" si="361"/>
        <v>2022_7</v>
      </c>
      <c r="EG142" t="str">
        <f t="shared" si="361"/>
        <v>2022_7</v>
      </c>
      <c r="EH142" t="str">
        <f t="shared" si="361"/>
        <v>2022_7</v>
      </c>
      <c r="EI142" t="str">
        <f t="shared" si="361"/>
        <v>2022_7</v>
      </c>
      <c r="EJ142" t="str">
        <f t="shared" si="361"/>
        <v>2022_7</v>
      </c>
      <c r="EK142" t="str">
        <f t="shared" si="361"/>
        <v>2022_7</v>
      </c>
      <c r="EL142" t="str">
        <f t="shared" si="362"/>
        <v>2022_7</v>
      </c>
      <c r="EM142" t="str">
        <f t="shared" si="316"/>
        <v>2022_7</v>
      </c>
      <c r="EN142" t="str">
        <f t="shared" si="316"/>
        <v>2022_7</v>
      </c>
      <c r="EO142" t="str">
        <f t="shared" si="316"/>
        <v>2022_7</v>
      </c>
      <c r="EP142" t="str">
        <f t="shared" si="316"/>
        <v>2022_7</v>
      </c>
      <c r="EQ142" t="str">
        <f t="shared" si="316"/>
        <v>2022_7</v>
      </c>
      <c r="ER142" t="str">
        <f t="shared" si="316"/>
        <v>2022_7</v>
      </c>
      <c r="ES142" t="str">
        <f t="shared" si="316"/>
        <v>2022_7</v>
      </c>
      <c r="ET142" t="str">
        <f t="shared" si="316"/>
        <v>2022_7</v>
      </c>
      <c r="EU142" t="str">
        <f t="shared" si="316"/>
        <v>2022_7</v>
      </c>
      <c r="EV142" t="str">
        <f t="shared" si="316"/>
        <v>2022_7</v>
      </c>
      <c r="EW142" t="str">
        <f t="shared" si="316"/>
        <v>2022_7</v>
      </c>
      <c r="EX142" t="str">
        <f t="shared" si="316"/>
        <v>2022_7</v>
      </c>
      <c r="EY142" t="str">
        <f t="shared" si="316"/>
        <v>2022_7</v>
      </c>
      <c r="FB142" s="10" t="s">
        <v>37</v>
      </c>
      <c r="FC142">
        <f t="shared" si="413"/>
        <v>0</v>
      </c>
      <c r="FD142">
        <f t="shared" si="363"/>
        <v>0</v>
      </c>
      <c r="FE142">
        <f t="shared" si="364"/>
        <v>0</v>
      </c>
      <c r="FF142">
        <f t="shared" si="365"/>
        <v>0</v>
      </c>
      <c r="FG142">
        <f t="shared" si="366"/>
        <v>0</v>
      </c>
      <c r="FH142">
        <f t="shared" si="367"/>
        <v>0</v>
      </c>
      <c r="FI142">
        <f t="shared" si="368"/>
        <v>0</v>
      </c>
      <c r="FJ142">
        <f t="shared" si="369"/>
        <v>0</v>
      </c>
      <c r="FK142">
        <f t="shared" si="370"/>
        <v>0</v>
      </c>
      <c r="FL142">
        <f t="shared" si="371"/>
        <v>0</v>
      </c>
      <c r="FM142">
        <f t="shared" si="372"/>
        <v>0</v>
      </c>
      <c r="FN142">
        <f t="shared" si="373"/>
        <v>0</v>
      </c>
      <c r="FO142">
        <f t="shared" si="374"/>
        <v>0</v>
      </c>
      <c r="FP142">
        <f t="shared" si="375"/>
        <v>0</v>
      </c>
      <c r="FQ142">
        <f t="shared" si="376"/>
        <v>0</v>
      </c>
      <c r="FR142">
        <f t="shared" si="377"/>
        <v>0</v>
      </c>
      <c r="FS142">
        <f t="shared" si="378"/>
        <v>0</v>
      </c>
      <c r="FT142">
        <f t="shared" si="379"/>
        <v>0</v>
      </c>
      <c r="FU142">
        <f t="shared" si="380"/>
        <v>0</v>
      </c>
      <c r="FV142">
        <f t="shared" si="381"/>
        <v>0</v>
      </c>
      <c r="FW142">
        <f t="shared" si="382"/>
        <v>0</v>
      </c>
      <c r="FX142">
        <f t="shared" si="383"/>
        <v>0</v>
      </c>
      <c r="FY142">
        <f t="shared" si="384"/>
        <v>0</v>
      </c>
      <c r="FZ142">
        <f t="shared" si="385"/>
        <v>0</v>
      </c>
      <c r="GA142">
        <f t="shared" si="386"/>
        <v>0</v>
      </c>
      <c r="GB142">
        <f t="shared" si="387"/>
        <v>0</v>
      </c>
      <c r="GC142">
        <f t="shared" si="388"/>
        <v>0</v>
      </c>
      <c r="GD142">
        <f t="shared" si="389"/>
        <v>1</v>
      </c>
      <c r="GE142">
        <f t="shared" si="390"/>
        <v>1</v>
      </c>
      <c r="GF142">
        <f t="shared" si="391"/>
        <v>1</v>
      </c>
      <c r="GG142">
        <f t="shared" si="392"/>
        <v>1</v>
      </c>
      <c r="GH142">
        <f t="shared" si="393"/>
        <v>1</v>
      </c>
      <c r="GI142">
        <f t="shared" si="394"/>
        <v>1</v>
      </c>
      <c r="GJ142">
        <f t="shared" si="395"/>
        <v>1</v>
      </c>
      <c r="GK142">
        <f t="shared" si="396"/>
        <v>1</v>
      </c>
      <c r="GL142">
        <f t="shared" si="397"/>
        <v>1</v>
      </c>
      <c r="GM142">
        <f t="shared" si="398"/>
        <v>1</v>
      </c>
      <c r="GN142">
        <f t="shared" si="399"/>
        <v>1</v>
      </c>
      <c r="GO142">
        <f t="shared" si="400"/>
        <v>1</v>
      </c>
      <c r="GP142">
        <f t="shared" si="401"/>
        <v>1</v>
      </c>
      <c r="GQ142">
        <f t="shared" si="402"/>
        <v>1</v>
      </c>
      <c r="GR142">
        <f t="shared" si="403"/>
        <v>1</v>
      </c>
      <c r="GS142">
        <f t="shared" si="404"/>
        <v>1</v>
      </c>
      <c r="GT142">
        <f t="shared" si="405"/>
        <v>1</v>
      </c>
      <c r="GU142">
        <f t="shared" si="406"/>
        <v>1</v>
      </c>
      <c r="GX142" s="10"/>
    </row>
    <row r="143" spans="1:206" x14ac:dyDescent="0.3">
      <c r="A143" s="9" t="s">
        <v>124</v>
      </c>
      <c r="B143" s="80"/>
      <c r="C143" s="9">
        <v>3080117001</v>
      </c>
      <c r="D143" s="9" t="s">
        <v>437</v>
      </c>
      <c r="E143" s="9" t="s">
        <v>34</v>
      </c>
      <c r="F143" s="9" t="s">
        <v>35</v>
      </c>
      <c r="G143" s="9" t="s">
        <v>178</v>
      </c>
      <c r="H143" s="10">
        <v>44753</v>
      </c>
      <c r="I143" s="9">
        <f t="shared" si="407"/>
        <v>2022</v>
      </c>
      <c r="J143" s="9">
        <f t="shared" si="408"/>
        <v>7</v>
      </c>
      <c r="K143" s="9" t="str">
        <f t="shared" si="409"/>
        <v>2022_7</v>
      </c>
      <c r="L143">
        <f>MAX(0,VLOOKUP($K143,lookups!$A$1:$B$45,2,0)-12)</f>
        <v>15</v>
      </c>
      <c r="M143" s="40">
        <f t="shared" si="410"/>
        <v>44743</v>
      </c>
      <c r="N143" s="10" t="s">
        <v>37</v>
      </c>
      <c r="O143" t="str">
        <f ca="1">IF(OR($L143&gt;O$4,O$4&gt;$L143+23),"",OFFSET(Electric!$L134,0,-'Electric Calendarize'!$L143+'Electric Calendarize'!O$4+1))</f>
        <v/>
      </c>
      <c r="P143" t="str">
        <f ca="1">IF(OR($L143&gt;P$4,P$4&gt;$L143+23),"",OFFSET(Electric!$L134,0,-'Electric Calendarize'!$L143+'Electric Calendarize'!P$4+1))</f>
        <v/>
      </c>
      <c r="Q143" t="str">
        <f ca="1">IF(OR($L143&gt;Q$4,Q$4&gt;$L143+23),"",OFFSET(Electric!$L134,0,-'Electric Calendarize'!$L143+'Electric Calendarize'!Q$4+1))</f>
        <v/>
      </c>
      <c r="R143" t="str">
        <f ca="1">IF(OR($L143&gt;R$4,R$4&gt;$L143+23),"",OFFSET(Electric!$L134,0,-'Electric Calendarize'!$L143+'Electric Calendarize'!R$4+1))</f>
        <v/>
      </c>
      <c r="S143" t="str">
        <f ca="1">IF(OR($L143&gt;S$4,S$4&gt;$L143+23),"",OFFSET(Electric!$L134,0,-'Electric Calendarize'!$L143+'Electric Calendarize'!S$4+1))</f>
        <v/>
      </c>
      <c r="T143" t="str">
        <f ca="1">IF(OR($L143&gt;T$4,T$4&gt;$L143+23),"",OFFSET(Electric!$L134,0,-'Electric Calendarize'!$L143+'Electric Calendarize'!T$4+1))</f>
        <v/>
      </c>
      <c r="U143" t="str">
        <f ca="1">IF(OR($L143&gt;U$4,U$4&gt;$L143+23),"",OFFSET(Electric!$L134,0,-'Electric Calendarize'!$L143+'Electric Calendarize'!U$4+1))</f>
        <v/>
      </c>
      <c r="V143" t="str">
        <f ca="1">IF(OR($L143&gt;V$4,V$4&gt;$L143+23),"",OFFSET(Electric!$L134,0,-'Electric Calendarize'!$L143+'Electric Calendarize'!V$4+1))</f>
        <v/>
      </c>
      <c r="W143" t="str">
        <f ca="1">IF(OR($L143&gt;W$4,W$4&gt;$L143+23),"",OFFSET(Electric!$L134,0,-'Electric Calendarize'!$L143+'Electric Calendarize'!W$4+1))</f>
        <v/>
      </c>
      <c r="X143" t="str">
        <f ca="1">IF(OR($L143&gt;X$4,X$4&gt;$L143+23),"",OFFSET(Electric!$L134,0,-'Electric Calendarize'!$L143+'Electric Calendarize'!X$4+1))</f>
        <v/>
      </c>
      <c r="Y143" t="str">
        <f ca="1">IF(OR($L143&gt;Y$4,Y$4&gt;$L143+23),"",OFFSET(Electric!$L134,0,-'Electric Calendarize'!$L143+'Electric Calendarize'!Y$4+1))</f>
        <v/>
      </c>
      <c r="Z143" t="str">
        <f ca="1">IF(OR($L143&gt;Z$4,Z$4&gt;$L143+23),"",OFFSET(Electric!$L134,0,-'Electric Calendarize'!$L143+'Electric Calendarize'!Z$4+1))</f>
        <v/>
      </c>
      <c r="AA143" t="str">
        <f ca="1">IF(OR($L143&gt;AA$4,AA$4&gt;$L143+23),"",OFFSET(Electric!$L134,0,-'Electric Calendarize'!$L143+'Electric Calendarize'!AA$4+1))</f>
        <v/>
      </c>
      <c r="AB143" t="str">
        <f ca="1">IF(OR($L143&gt;AB$4,AB$4&gt;$L143+23),"",OFFSET(Electric!$L134,0,-'Electric Calendarize'!$L143+'Electric Calendarize'!AB$4+1))</f>
        <v/>
      </c>
      <c r="AC143" t="str">
        <f ca="1">IF(OR($L143&gt;AC$4,AC$4&gt;$L143+23),"",OFFSET(Electric!$L134,0,-'Electric Calendarize'!$L143+'Electric Calendarize'!AC$4+1))</f>
        <v/>
      </c>
      <c r="AD143">
        <f ca="1">IF(OR($L143&gt;AD$4,AD$4&gt;$L143+23),"",OFFSET(Electric!$L134,0,-'Electric Calendarize'!$L143+'Electric Calendarize'!AD$4+1))</f>
        <v>1298</v>
      </c>
      <c r="AE143">
        <f ca="1">IF(OR($L143&gt;AE$4,AE$4&gt;$L143+23),"",OFFSET(Electric!$L134,0,-'Electric Calendarize'!$L143+'Electric Calendarize'!AE$4+1))</f>
        <v>1352</v>
      </c>
      <c r="AF143">
        <f ca="1">IF(OR($L143&gt;AF$4,AF$4&gt;$L143+23),"",OFFSET(Electric!$L134,0,-'Electric Calendarize'!$L143+'Electric Calendarize'!AF$4+1))</f>
        <v>1240</v>
      </c>
      <c r="AG143">
        <f ca="1">IF(OR($L143&gt;AG$4,AG$4&gt;$L143+23),"",OFFSET(Electric!$L134,0,-'Electric Calendarize'!$L143+'Electric Calendarize'!AG$4+1))</f>
        <v>1294</v>
      </c>
      <c r="AH143">
        <f ca="1">IF(OR($L143&gt;AH$4,AH$4&gt;$L143+23),"",OFFSET(Electric!$L134,0,-'Electric Calendarize'!$L143+'Electric Calendarize'!AH$4+1))</f>
        <v>1372</v>
      </c>
      <c r="AI143">
        <f ca="1">IF(OR($L143&gt;AI$4,AI$4&gt;$L143+23),"",OFFSET(Electric!$L134,0,-'Electric Calendarize'!$L143+'Electric Calendarize'!AI$4+1))</f>
        <v>2050</v>
      </c>
      <c r="AJ143">
        <f ca="1">IF(OR($L143&gt;AJ$4,AJ$4&gt;$L143+23),"",OFFSET(Electric!$L134,0,-'Electric Calendarize'!$L143+'Electric Calendarize'!AJ$4+1))</f>
        <v>2346</v>
      </c>
      <c r="AK143">
        <f ca="1">IF(OR($L143&gt;AK$4,AK$4&gt;$L143+23),"",OFFSET(Electric!$L134,0,-'Electric Calendarize'!$L143+'Electric Calendarize'!AK$4+1))</f>
        <v>1906</v>
      </c>
      <c r="AL143">
        <f ca="1">IF(OR($L143&gt;AL$4,AL$4&gt;$L143+23),"",OFFSET(Electric!$L134,0,-'Electric Calendarize'!$L143+'Electric Calendarize'!AL$4+1))</f>
        <v>1608</v>
      </c>
      <c r="AM143">
        <f ca="1">IF(OR($L143&gt;AM$4,AM$4&gt;$L143+23),"",OFFSET(Electric!$L134,0,-'Electric Calendarize'!$L143+'Electric Calendarize'!AM$4+1))</f>
        <v>1176</v>
      </c>
      <c r="AN143">
        <f ca="1">IF(OR($L143&gt;AN$4,AN$4&gt;$L143+23),"",OFFSET(Electric!$L134,0,-'Electric Calendarize'!$L143+'Electric Calendarize'!AN$4+1))</f>
        <v>1118</v>
      </c>
      <c r="AO143">
        <f ca="1">IF(OR($L143&gt;AO$4,AO$4&gt;$L143+23),"",OFFSET(Electric!$L134,0,-'Electric Calendarize'!$L143+'Electric Calendarize'!AO$4+1))</f>
        <v>1030</v>
      </c>
      <c r="AP143">
        <f ca="1">IF(OR($L143&gt;AP$4,AP$4&gt;$L143+23),"",OFFSET(Electric!$L134,0,-'Electric Calendarize'!$L143+'Electric Calendarize'!AP$4+1))</f>
        <v>1102</v>
      </c>
      <c r="AQ143">
        <f ca="1">IF(OR($L143&gt;AQ$4,AQ$4&gt;$L143+23),"",OFFSET(Electric!$L134,0,-'Electric Calendarize'!$L143+'Electric Calendarize'!AQ$4+1))</f>
        <v>1248</v>
      </c>
      <c r="AR143">
        <f ca="1">IF(OR($L143&gt;AR$4,AR$4&gt;$L143+23),"",OFFSET(Electric!$L134,0,-'Electric Calendarize'!$L143+'Electric Calendarize'!AR$4+1))</f>
        <v>1492</v>
      </c>
      <c r="AS143">
        <f ca="1">IF(OR($L143&gt;AS$4,AS$4&gt;$L143+23),"",OFFSET(Electric!$L134,0,-'Electric Calendarize'!$L143+'Electric Calendarize'!AS$4+1))</f>
        <v>1506</v>
      </c>
      <c r="AT143">
        <f ca="1">IF(OR($L143&gt;AT$4,AT$4&gt;$L143+23),"",OFFSET(Electric!$L134,0,-'Electric Calendarize'!$L143+'Electric Calendarize'!AT$4+1))</f>
        <v>1652</v>
      </c>
      <c r="AU143">
        <f ca="1">IF(OR($L143&gt;AU$4,AU$4&gt;$L143+23),"",OFFSET(Electric!$L134,0,-'Electric Calendarize'!$L143+'Electric Calendarize'!AU$4+1))</f>
        <v>3500</v>
      </c>
      <c r="AV143">
        <f ca="1">IF(OR($L143&gt;AV$4,AV$4&gt;$L143+23),"",OFFSET(Electric!$L134,0,-'Electric Calendarize'!$L143+'Electric Calendarize'!AV$4+1))</f>
        <v>4744</v>
      </c>
      <c r="AW143">
        <f ca="1">IF(OR($L143&gt;AW$4,AW$4&gt;$L143+23),"",OFFSET(Electric!$L134,0,-'Electric Calendarize'!$L143+'Electric Calendarize'!AW$4+1))</f>
        <v>3492</v>
      </c>
      <c r="AX143">
        <f ca="1">IF(OR($L143&gt;AX$4,AX$4&gt;$L143+23),"",OFFSET(Electric!$L134,0,-'Electric Calendarize'!$L143+'Electric Calendarize'!AX$4+1))</f>
        <v>3010</v>
      </c>
      <c r="AY143">
        <f ca="1">IF(OR($L143&gt;AY$4,AY$4&gt;$L143+23),"",OFFSET(Electric!$L134,0,-'Electric Calendarize'!$L143+'Electric Calendarize'!AY$4+1))</f>
        <v>1808</v>
      </c>
      <c r="AZ143">
        <f ca="1">IF(OR($L143&gt;AZ$4,AZ$4&gt;$L143+23),"",OFFSET(Electric!$L134,0,-'Electric Calendarize'!$L143+'Electric Calendarize'!AZ$4+1))</f>
        <v>1264</v>
      </c>
      <c r="BA143">
        <f ca="1">IF(OR($L143&gt;BA$4,BA$4&gt;$L143+23),"",OFFSET(Electric!$L134,0,-'Electric Calendarize'!$L143+'Electric Calendarize'!BA$4+1))</f>
        <v>974</v>
      </c>
      <c r="BB143" t="str">
        <f ca="1">IF(OR($L143&gt;BB$4,BB$4&gt;$L143+23),"",OFFSET(Electric!$L134,0,-'Electric Calendarize'!$L143+'Electric Calendarize'!BB$4+1))</f>
        <v/>
      </c>
      <c r="BC143" t="str">
        <f ca="1">IF(OR($L143&gt;BC$4,BC$4&gt;$L143+23),"",OFFSET(Electric!$L134,0,-'Electric Calendarize'!$L143+'Electric Calendarize'!BC$4+1))</f>
        <v/>
      </c>
      <c r="BD143" t="str">
        <f ca="1">IF(OR($L143&gt;BD$4,BD$4&gt;$L143+23),"",OFFSET(Electric!$L134,0,-'Electric Calendarize'!$L143+'Electric Calendarize'!BD$4+1))</f>
        <v/>
      </c>
      <c r="BE143" t="str">
        <f ca="1">IF(OR($L143&gt;BE$4,BE$4&gt;$L143+23),"",OFFSET(Electric!$L134,0,-'Electric Calendarize'!$L143+'Electric Calendarize'!BE$4+1))</f>
        <v/>
      </c>
      <c r="BF143" t="str">
        <f ca="1">IF(OR($L143&gt;BF$4,BF$4&gt;$L143+23),"",OFFSET(Electric!$L134,0,-'Electric Calendarize'!$L143+'Electric Calendarize'!BF$4+1))</f>
        <v/>
      </c>
      <c r="BG143" t="str">
        <f ca="1">IF(OR($L143&gt;BG$4,BG$4&gt;$L143+23),"",OFFSET(Electric!$L134,0,-'Electric Calendarize'!$L143+'Electric Calendarize'!BG$4+1))</f>
        <v/>
      </c>
      <c r="BJ143" s="10" t="s">
        <v>37</v>
      </c>
      <c r="BK143">
        <f t="shared" si="411"/>
        <v>1</v>
      </c>
      <c r="BL143">
        <f t="shared" si="317"/>
        <v>0</v>
      </c>
      <c r="BM143">
        <f t="shared" si="318"/>
        <v>0</v>
      </c>
      <c r="BN143">
        <f t="shared" si="319"/>
        <v>0</v>
      </c>
      <c r="BO143">
        <f t="shared" si="320"/>
        <v>0</v>
      </c>
      <c r="BP143">
        <f t="shared" si="321"/>
        <v>0</v>
      </c>
      <c r="BQ143">
        <f t="shared" si="322"/>
        <v>0</v>
      </c>
      <c r="BR143">
        <f t="shared" si="323"/>
        <v>1</v>
      </c>
      <c r="BS143">
        <f t="shared" si="324"/>
        <v>1</v>
      </c>
      <c r="BT143">
        <f t="shared" si="325"/>
        <v>1</v>
      </c>
      <c r="BU143">
        <f t="shared" si="326"/>
        <v>1</v>
      </c>
      <c r="BV143">
        <f t="shared" si="327"/>
        <v>1</v>
      </c>
      <c r="BW143">
        <f t="shared" si="328"/>
        <v>1</v>
      </c>
      <c r="BX143">
        <f t="shared" si="329"/>
        <v>0</v>
      </c>
      <c r="BY143">
        <f t="shared" si="330"/>
        <v>0</v>
      </c>
      <c r="BZ143">
        <f t="shared" si="331"/>
        <v>0</v>
      </c>
      <c r="CA143">
        <f t="shared" si="332"/>
        <v>0</v>
      </c>
      <c r="CB143">
        <f t="shared" si="333"/>
        <v>0</v>
      </c>
      <c r="CC143">
        <f t="shared" si="334"/>
        <v>0</v>
      </c>
      <c r="CD143">
        <f t="shared" si="335"/>
        <v>1</v>
      </c>
      <c r="CE143">
        <f t="shared" si="336"/>
        <v>1</v>
      </c>
      <c r="CF143">
        <f t="shared" si="337"/>
        <v>1</v>
      </c>
      <c r="CG143">
        <f t="shared" si="338"/>
        <v>1</v>
      </c>
      <c r="CH143">
        <f t="shared" si="339"/>
        <v>1</v>
      </c>
      <c r="CI143">
        <f t="shared" si="340"/>
        <v>1</v>
      </c>
      <c r="CJ143">
        <f t="shared" si="341"/>
        <v>0</v>
      </c>
      <c r="CK143">
        <f t="shared" si="342"/>
        <v>0</v>
      </c>
      <c r="CL143">
        <f t="shared" si="343"/>
        <v>0</v>
      </c>
      <c r="CM143">
        <f t="shared" si="344"/>
        <v>0</v>
      </c>
      <c r="CN143">
        <f t="shared" si="345"/>
        <v>0</v>
      </c>
      <c r="CO143">
        <f t="shared" si="346"/>
        <v>0</v>
      </c>
      <c r="CP143">
        <f t="shared" si="347"/>
        <v>1</v>
      </c>
      <c r="CQ143">
        <f t="shared" si="348"/>
        <v>1</v>
      </c>
      <c r="CR143">
        <f t="shared" si="349"/>
        <v>1</v>
      </c>
      <c r="CS143">
        <f t="shared" si="350"/>
        <v>1</v>
      </c>
      <c r="CT143">
        <f t="shared" si="351"/>
        <v>1</v>
      </c>
      <c r="CU143">
        <f t="shared" si="352"/>
        <v>1</v>
      </c>
      <c r="CV143">
        <f t="shared" si="353"/>
        <v>0</v>
      </c>
      <c r="CW143">
        <f t="shared" si="354"/>
        <v>0</v>
      </c>
      <c r="CX143">
        <f t="shared" si="355"/>
        <v>0</v>
      </c>
      <c r="CY143">
        <f t="shared" si="356"/>
        <v>0</v>
      </c>
      <c r="CZ143">
        <f t="shared" si="357"/>
        <v>0</v>
      </c>
      <c r="DA143">
        <f t="shared" si="358"/>
        <v>0</v>
      </c>
      <c r="DB143">
        <f t="shared" si="359"/>
        <v>1</v>
      </c>
      <c r="DC143">
        <f t="shared" si="360"/>
        <v>1</v>
      </c>
      <c r="DF143" s="10" t="s">
        <v>37</v>
      </c>
      <c r="DG143" t="str">
        <f t="shared" si="412"/>
        <v>2022_7</v>
      </c>
      <c r="DH143" t="str">
        <f t="shared" si="412"/>
        <v>2022_7</v>
      </c>
      <c r="DI143" t="str">
        <f t="shared" si="412"/>
        <v>2022_7</v>
      </c>
      <c r="DJ143" t="str">
        <f t="shared" si="412"/>
        <v>2022_7</v>
      </c>
      <c r="DK143" t="str">
        <f t="shared" si="412"/>
        <v>2022_7</v>
      </c>
      <c r="DL143" t="str">
        <f t="shared" si="412"/>
        <v>2022_7</v>
      </c>
      <c r="DM143" t="str">
        <f t="shared" si="412"/>
        <v>2022_7</v>
      </c>
      <c r="DN143" t="str">
        <f t="shared" si="412"/>
        <v>2022_7</v>
      </c>
      <c r="DO143" t="str">
        <f t="shared" si="412"/>
        <v>2022_7</v>
      </c>
      <c r="DP143" t="str">
        <f t="shared" si="412"/>
        <v>2022_7</v>
      </c>
      <c r="DQ143" t="str">
        <f t="shared" si="412"/>
        <v>2022_7</v>
      </c>
      <c r="DR143" t="str">
        <f t="shared" si="412"/>
        <v>2022_7</v>
      </c>
      <c r="DS143" t="str">
        <f t="shared" si="412"/>
        <v>2022_7</v>
      </c>
      <c r="DT143" t="str">
        <f t="shared" si="412"/>
        <v>2022_7</v>
      </c>
      <c r="DU143" t="str">
        <f t="shared" si="412"/>
        <v>2022_7</v>
      </c>
      <c r="DV143" t="str">
        <f t="shared" si="361"/>
        <v>2022_7</v>
      </c>
      <c r="DW143" t="str">
        <f t="shared" si="361"/>
        <v>2022_7</v>
      </c>
      <c r="DX143" t="str">
        <f t="shared" si="361"/>
        <v>2022_7</v>
      </c>
      <c r="DY143" t="str">
        <f t="shared" si="361"/>
        <v>2022_7</v>
      </c>
      <c r="DZ143" t="str">
        <f t="shared" si="361"/>
        <v>2022_7</v>
      </c>
      <c r="EA143" t="str">
        <f t="shared" si="361"/>
        <v>2022_7</v>
      </c>
      <c r="EB143" t="str">
        <f t="shared" si="361"/>
        <v>2022_7</v>
      </c>
      <c r="EC143" t="str">
        <f t="shared" si="361"/>
        <v>2022_7</v>
      </c>
      <c r="ED143" t="str">
        <f t="shared" si="361"/>
        <v>2022_7</v>
      </c>
      <c r="EE143" t="str">
        <f t="shared" si="361"/>
        <v>2022_7</v>
      </c>
      <c r="EF143" t="str">
        <f t="shared" si="361"/>
        <v>2022_7</v>
      </c>
      <c r="EG143" t="str">
        <f t="shared" si="361"/>
        <v>2022_7</v>
      </c>
      <c r="EH143" t="str">
        <f t="shared" si="361"/>
        <v>2022_7</v>
      </c>
      <c r="EI143" t="str">
        <f t="shared" si="361"/>
        <v>2022_7</v>
      </c>
      <c r="EJ143" t="str">
        <f t="shared" si="361"/>
        <v>2022_7</v>
      </c>
      <c r="EK143" t="str">
        <f t="shared" si="361"/>
        <v>2022_7</v>
      </c>
      <c r="EL143" t="str">
        <f t="shared" si="362"/>
        <v>2022_7</v>
      </c>
      <c r="EM143" t="str">
        <f t="shared" si="316"/>
        <v>2022_7</v>
      </c>
      <c r="EN143" t="str">
        <f t="shared" si="316"/>
        <v>2022_7</v>
      </c>
      <c r="EO143" t="str">
        <f t="shared" si="316"/>
        <v>2022_7</v>
      </c>
      <c r="EP143" t="str">
        <f t="shared" si="316"/>
        <v>2022_7</v>
      </c>
      <c r="EQ143" t="str">
        <f t="shared" si="316"/>
        <v>2022_7</v>
      </c>
      <c r="ER143" t="str">
        <f t="shared" si="316"/>
        <v>2022_7</v>
      </c>
      <c r="ES143" t="str">
        <f t="shared" si="316"/>
        <v>2022_7</v>
      </c>
      <c r="ET143" t="str">
        <f t="shared" si="316"/>
        <v>2022_7</v>
      </c>
      <c r="EU143" t="str">
        <f t="shared" si="316"/>
        <v>2022_7</v>
      </c>
      <c r="EV143" t="str">
        <f t="shared" si="316"/>
        <v>2022_7</v>
      </c>
      <c r="EW143" t="str">
        <f t="shared" si="316"/>
        <v>2022_7</v>
      </c>
      <c r="EX143" t="str">
        <f t="shared" si="316"/>
        <v>2022_7</v>
      </c>
      <c r="EY143" t="str">
        <f t="shared" si="316"/>
        <v>2022_7</v>
      </c>
      <c r="FB143" s="10" t="s">
        <v>37</v>
      </c>
      <c r="FC143">
        <f t="shared" si="413"/>
        <v>0</v>
      </c>
      <c r="FD143">
        <f t="shared" si="363"/>
        <v>0</v>
      </c>
      <c r="FE143">
        <f t="shared" si="364"/>
        <v>0</v>
      </c>
      <c r="FF143">
        <f t="shared" si="365"/>
        <v>0</v>
      </c>
      <c r="FG143">
        <f t="shared" si="366"/>
        <v>0</v>
      </c>
      <c r="FH143">
        <f t="shared" si="367"/>
        <v>0</v>
      </c>
      <c r="FI143">
        <f t="shared" si="368"/>
        <v>0</v>
      </c>
      <c r="FJ143">
        <f t="shared" si="369"/>
        <v>0</v>
      </c>
      <c r="FK143">
        <f t="shared" si="370"/>
        <v>0</v>
      </c>
      <c r="FL143">
        <f t="shared" si="371"/>
        <v>0</v>
      </c>
      <c r="FM143">
        <f t="shared" si="372"/>
        <v>0</v>
      </c>
      <c r="FN143">
        <f t="shared" si="373"/>
        <v>0</v>
      </c>
      <c r="FO143">
        <f t="shared" si="374"/>
        <v>0</v>
      </c>
      <c r="FP143">
        <f t="shared" si="375"/>
        <v>0</v>
      </c>
      <c r="FQ143">
        <f t="shared" si="376"/>
        <v>0</v>
      </c>
      <c r="FR143">
        <f t="shared" si="377"/>
        <v>0</v>
      </c>
      <c r="FS143">
        <f t="shared" si="378"/>
        <v>0</v>
      </c>
      <c r="FT143">
        <f t="shared" si="379"/>
        <v>0</v>
      </c>
      <c r="FU143">
        <f t="shared" si="380"/>
        <v>0</v>
      </c>
      <c r="FV143">
        <f t="shared" si="381"/>
        <v>0</v>
      </c>
      <c r="FW143">
        <f t="shared" si="382"/>
        <v>0</v>
      </c>
      <c r="FX143">
        <f t="shared" si="383"/>
        <v>0</v>
      </c>
      <c r="FY143">
        <f t="shared" si="384"/>
        <v>0</v>
      </c>
      <c r="FZ143">
        <f t="shared" si="385"/>
        <v>0</v>
      </c>
      <c r="GA143">
        <f t="shared" si="386"/>
        <v>0</v>
      </c>
      <c r="GB143">
        <f t="shared" si="387"/>
        <v>0</v>
      </c>
      <c r="GC143">
        <f t="shared" si="388"/>
        <v>0</v>
      </c>
      <c r="GD143">
        <f t="shared" si="389"/>
        <v>1</v>
      </c>
      <c r="GE143">
        <f t="shared" si="390"/>
        <v>1</v>
      </c>
      <c r="GF143">
        <f t="shared" si="391"/>
        <v>1</v>
      </c>
      <c r="GG143">
        <f t="shared" si="392"/>
        <v>1</v>
      </c>
      <c r="GH143">
        <f t="shared" si="393"/>
        <v>1</v>
      </c>
      <c r="GI143">
        <f t="shared" si="394"/>
        <v>1</v>
      </c>
      <c r="GJ143">
        <f t="shared" si="395"/>
        <v>1</v>
      </c>
      <c r="GK143">
        <f t="shared" si="396"/>
        <v>1</v>
      </c>
      <c r="GL143">
        <f t="shared" si="397"/>
        <v>1</v>
      </c>
      <c r="GM143">
        <f t="shared" si="398"/>
        <v>1</v>
      </c>
      <c r="GN143">
        <f t="shared" si="399"/>
        <v>1</v>
      </c>
      <c r="GO143">
        <f t="shared" si="400"/>
        <v>1</v>
      </c>
      <c r="GP143">
        <f t="shared" si="401"/>
        <v>1</v>
      </c>
      <c r="GQ143">
        <f t="shared" si="402"/>
        <v>1</v>
      </c>
      <c r="GR143">
        <f t="shared" si="403"/>
        <v>1</v>
      </c>
      <c r="GS143">
        <f t="shared" si="404"/>
        <v>1</v>
      </c>
      <c r="GT143">
        <f t="shared" si="405"/>
        <v>1</v>
      </c>
      <c r="GU143">
        <f t="shared" si="406"/>
        <v>1</v>
      </c>
      <c r="GX143" s="10"/>
    </row>
    <row r="144" spans="1:206" x14ac:dyDescent="0.3">
      <c r="A144" s="9" t="s">
        <v>33</v>
      </c>
      <c r="B144" s="80"/>
      <c r="C144" s="9">
        <v>3140612001</v>
      </c>
      <c r="D144" s="9" t="s">
        <v>385</v>
      </c>
      <c r="E144" s="9" t="s">
        <v>43</v>
      </c>
      <c r="F144" s="9" t="s">
        <v>35</v>
      </c>
      <c r="G144" s="9" t="s">
        <v>158</v>
      </c>
      <c r="H144" s="10">
        <v>44754</v>
      </c>
      <c r="I144" s="9">
        <f t="shared" si="407"/>
        <v>2022</v>
      </c>
      <c r="J144" s="9">
        <f t="shared" si="408"/>
        <v>7</v>
      </c>
      <c r="K144" s="9" t="str">
        <f t="shared" si="409"/>
        <v>2022_7</v>
      </c>
      <c r="L144">
        <f>MAX(0,VLOOKUP($K144,lookups!$A$1:$B$45,2,0)-12)</f>
        <v>15</v>
      </c>
      <c r="M144" s="40">
        <f t="shared" si="410"/>
        <v>44743</v>
      </c>
      <c r="N144" s="10" t="s">
        <v>37</v>
      </c>
      <c r="O144" t="str">
        <f ca="1">IF(OR($L144&gt;O$4,O$4&gt;$L144+23),"",OFFSET(Electric!$L135,0,-'Electric Calendarize'!$L144+'Electric Calendarize'!O$4+1))</f>
        <v/>
      </c>
      <c r="P144" t="str">
        <f ca="1">IF(OR($L144&gt;P$4,P$4&gt;$L144+23),"",OFFSET(Electric!$L135,0,-'Electric Calendarize'!$L144+'Electric Calendarize'!P$4+1))</f>
        <v/>
      </c>
      <c r="Q144" t="str">
        <f ca="1">IF(OR($L144&gt;Q$4,Q$4&gt;$L144+23),"",OFFSET(Electric!$L135,0,-'Electric Calendarize'!$L144+'Electric Calendarize'!Q$4+1))</f>
        <v/>
      </c>
      <c r="R144" t="str">
        <f ca="1">IF(OR($L144&gt;R$4,R$4&gt;$L144+23),"",OFFSET(Electric!$L135,0,-'Electric Calendarize'!$L144+'Electric Calendarize'!R$4+1))</f>
        <v/>
      </c>
      <c r="S144" t="str">
        <f ca="1">IF(OR($L144&gt;S$4,S$4&gt;$L144+23),"",OFFSET(Electric!$L135,0,-'Electric Calendarize'!$L144+'Electric Calendarize'!S$4+1))</f>
        <v/>
      </c>
      <c r="T144" t="str">
        <f ca="1">IF(OR($L144&gt;T$4,T$4&gt;$L144+23),"",OFFSET(Electric!$L135,0,-'Electric Calendarize'!$L144+'Electric Calendarize'!T$4+1))</f>
        <v/>
      </c>
      <c r="U144" t="str">
        <f ca="1">IF(OR($L144&gt;U$4,U$4&gt;$L144+23),"",OFFSET(Electric!$L135,0,-'Electric Calendarize'!$L144+'Electric Calendarize'!U$4+1))</f>
        <v/>
      </c>
      <c r="V144" t="str">
        <f ca="1">IF(OR($L144&gt;V$4,V$4&gt;$L144+23),"",OFFSET(Electric!$L135,0,-'Electric Calendarize'!$L144+'Electric Calendarize'!V$4+1))</f>
        <v/>
      </c>
      <c r="W144" t="str">
        <f ca="1">IF(OR($L144&gt;W$4,W$4&gt;$L144+23),"",OFFSET(Electric!$L135,0,-'Electric Calendarize'!$L144+'Electric Calendarize'!W$4+1))</f>
        <v/>
      </c>
      <c r="X144" t="str">
        <f ca="1">IF(OR($L144&gt;X$4,X$4&gt;$L144+23),"",OFFSET(Electric!$L135,0,-'Electric Calendarize'!$L144+'Electric Calendarize'!X$4+1))</f>
        <v/>
      </c>
      <c r="Y144" t="str">
        <f ca="1">IF(OR($L144&gt;Y$4,Y$4&gt;$L144+23),"",OFFSET(Electric!$L135,0,-'Electric Calendarize'!$L144+'Electric Calendarize'!Y$4+1))</f>
        <v/>
      </c>
      <c r="Z144" t="str">
        <f ca="1">IF(OR($L144&gt;Z$4,Z$4&gt;$L144+23),"",OFFSET(Electric!$L135,0,-'Electric Calendarize'!$L144+'Electric Calendarize'!Z$4+1))</f>
        <v/>
      </c>
      <c r="AA144" t="str">
        <f ca="1">IF(OR($L144&gt;AA$4,AA$4&gt;$L144+23),"",OFFSET(Electric!$L135,0,-'Electric Calendarize'!$L144+'Electric Calendarize'!AA$4+1))</f>
        <v/>
      </c>
      <c r="AB144" t="str">
        <f ca="1">IF(OR($L144&gt;AB$4,AB$4&gt;$L144+23),"",OFFSET(Electric!$L135,0,-'Electric Calendarize'!$L144+'Electric Calendarize'!AB$4+1))</f>
        <v/>
      </c>
      <c r="AC144" t="str">
        <f ca="1">IF(OR($L144&gt;AC$4,AC$4&gt;$L144+23),"",OFFSET(Electric!$L135,0,-'Electric Calendarize'!$L144+'Electric Calendarize'!AC$4+1))</f>
        <v/>
      </c>
      <c r="AD144">
        <f ca="1">IF(OR($L144&gt;AD$4,AD$4&gt;$L144+23),"",OFFSET(Electric!$L135,0,-'Electric Calendarize'!$L144+'Electric Calendarize'!AD$4+1))</f>
        <v>49</v>
      </c>
      <c r="AE144">
        <f ca="1">IF(OR($L144&gt;AE$4,AE$4&gt;$L144+23),"",OFFSET(Electric!$L135,0,-'Electric Calendarize'!$L144+'Electric Calendarize'!AE$4+1))</f>
        <v>28</v>
      </c>
      <c r="AF144">
        <f ca="1">IF(OR($L144&gt;AF$4,AF$4&gt;$L144+23),"",OFFSET(Electric!$L135,0,-'Electric Calendarize'!$L144+'Electric Calendarize'!AF$4+1))</f>
        <v>76</v>
      </c>
      <c r="AG144">
        <f ca="1">IF(OR($L144&gt;AG$4,AG$4&gt;$L144+23),"",OFFSET(Electric!$L135,0,-'Electric Calendarize'!$L144+'Electric Calendarize'!AG$4+1))</f>
        <v>36</v>
      </c>
      <c r="AH144">
        <f ca="1">IF(OR($L144&gt;AH$4,AH$4&gt;$L144+23),"",OFFSET(Electric!$L135,0,-'Electric Calendarize'!$L144+'Electric Calendarize'!AH$4+1))</f>
        <v>67</v>
      </c>
      <c r="AI144">
        <f ca="1">IF(OR($L144&gt;AI$4,AI$4&gt;$L144+23),"",OFFSET(Electric!$L135,0,-'Electric Calendarize'!$L144+'Electric Calendarize'!AI$4+1))</f>
        <v>272</v>
      </c>
      <c r="AJ144">
        <f ca="1">IF(OR($L144&gt;AJ$4,AJ$4&gt;$L144+23),"",OFFSET(Electric!$L135,0,-'Electric Calendarize'!$L144+'Electric Calendarize'!AJ$4+1))</f>
        <v>689</v>
      </c>
      <c r="AK144">
        <f ca="1">IF(OR($L144&gt;AK$4,AK$4&gt;$L144+23),"",OFFSET(Electric!$L135,0,-'Electric Calendarize'!$L144+'Electric Calendarize'!AK$4+1))</f>
        <v>624</v>
      </c>
      <c r="AL144">
        <f ca="1">IF(OR($L144&gt;AL$4,AL$4&gt;$L144+23),"",OFFSET(Electric!$L135,0,-'Electric Calendarize'!$L144+'Electric Calendarize'!AL$4+1))</f>
        <v>481</v>
      </c>
      <c r="AM144">
        <f ca="1">IF(OR($L144&gt;AM$4,AM$4&gt;$L144+23),"",OFFSET(Electric!$L135,0,-'Electric Calendarize'!$L144+'Electric Calendarize'!AM$4+1))</f>
        <v>495</v>
      </c>
      <c r="AN144">
        <f ca="1">IF(OR($L144&gt;AN$4,AN$4&gt;$L144+23),"",OFFSET(Electric!$L135,0,-'Electric Calendarize'!$L144+'Electric Calendarize'!AN$4+1))</f>
        <v>379</v>
      </c>
      <c r="AO144">
        <f ca="1">IF(OR($L144&gt;AO$4,AO$4&gt;$L144+23),"",OFFSET(Electric!$L135,0,-'Electric Calendarize'!$L144+'Electric Calendarize'!AO$4+1))</f>
        <v>368</v>
      </c>
      <c r="AP144">
        <f ca="1">IF(OR($L144&gt;AP$4,AP$4&gt;$L144+23),"",OFFSET(Electric!$L135,0,-'Electric Calendarize'!$L144+'Electric Calendarize'!AP$4+1))</f>
        <v>565</v>
      </c>
      <c r="AQ144">
        <f ca="1">IF(OR($L144&gt;AQ$4,AQ$4&gt;$L144+23),"",OFFSET(Electric!$L135,0,-'Electric Calendarize'!$L144+'Electric Calendarize'!AQ$4+1))</f>
        <v>849</v>
      </c>
      <c r="AR144">
        <f ca="1">IF(OR($L144&gt;AR$4,AR$4&gt;$L144+23),"",OFFSET(Electric!$L135,0,-'Electric Calendarize'!$L144+'Electric Calendarize'!AR$4+1))</f>
        <v>810</v>
      </c>
      <c r="AS144">
        <f ca="1">IF(OR($L144&gt;AS$4,AS$4&gt;$L144+23),"",OFFSET(Electric!$L135,0,-'Electric Calendarize'!$L144+'Electric Calendarize'!AS$4+1))</f>
        <v>954</v>
      </c>
      <c r="AT144">
        <f ca="1">IF(OR($L144&gt;AT$4,AT$4&gt;$L144+23),"",OFFSET(Electric!$L135,0,-'Electric Calendarize'!$L144+'Electric Calendarize'!AT$4+1))</f>
        <v>1158</v>
      </c>
      <c r="AU144">
        <f ca="1">IF(OR($L144&gt;AU$4,AU$4&gt;$L144+23),"",OFFSET(Electric!$L135,0,-'Electric Calendarize'!$L144+'Electric Calendarize'!AU$4+1))</f>
        <v>2364</v>
      </c>
      <c r="AV144">
        <f ca="1">IF(OR($L144&gt;AV$4,AV$4&gt;$L144+23),"",OFFSET(Electric!$L135,0,-'Electric Calendarize'!$L144+'Electric Calendarize'!AV$4+1))</f>
        <v>2536</v>
      </c>
      <c r="AW144">
        <f ca="1">IF(OR($L144&gt;AW$4,AW$4&gt;$L144+23),"",OFFSET(Electric!$L135,0,-'Electric Calendarize'!$L144+'Electric Calendarize'!AW$4+1))</f>
        <v>1294</v>
      </c>
      <c r="AX144">
        <f ca="1">IF(OR($L144&gt;AX$4,AX$4&gt;$L144+23),"",OFFSET(Electric!$L135,0,-'Electric Calendarize'!$L144+'Electric Calendarize'!AX$4+1))</f>
        <v>1166</v>
      </c>
      <c r="AY144">
        <f ca="1">IF(OR($L144&gt;AY$4,AY$4&gt;$L144+23),"",OFFSET(Electric!$L135,0,-'Electric Calendarize'!$L144+'Electric Calendarize'!AY$4+1))</f>
        <v>780</v>
      </c>
      <c r="AZ144">
        <f ca="1">IF(OR($L144&gt;AZ$4,AZ$4&gt;$L144+23),"",OFFSET(Electric!$L135,0,-'Electric Calendarize'!$L144+'Electric Calendarize'!AZ$4+1))</f>
        <v>592</v>
      </c>
      <c r="BA144">
        <f ca="1">IF(OR($L144&gt;BA$4,BA$4&gt;$L144+23),"",OFFSET(Electric!$L135,0,-'Electric Calendarize'!$L144+'Electric Calendarize'!BA$4+1))</f>
        <v>694</v>
      </c>
      <c r="BB144" t="str">
        <f ca="1">IF(OR($L144&gt;BB$4,BB$4&gt;$L144+23),"",OFFSET(Electric!$L135,0,-'Electric Calendarize'!$L144+'Electric Calendarize'!BB$4+1))</f>
        <v/>
      </c>
      <c r="BC144" t="str">
        <f ca="1">IF(OR($L144&gt;BC$4,BC$4&gt;$L144+23),"",OFFSET(Electric!$L135,0,-'Electric Calendarize'!$L144+'Electric Calendarize'!BC$4+1))</f>
        <v/>
      </c>
      <c r="BD144" t="str">
        <f ca="1">IF(OR($L144&gt;BD$4,BD$4&gt;$L144+23),"",OFFSET(Electric!$L135,0,-'Electric Calendarize'!$L144+'Electric Calendarize'!BD$4+1))</f>
        <v/>
      </c>
      <c r="BE144" t="str">
        <f ca="1">IF(OR($L144&gt;BE$4,BE$4&gt;$L144+23),"",OFFSET(Electric!$L135,0,-'Electric Calendarize'!$L144+'Electric Calendarize'!BE$4+1))</f>
        <v/>
      </c>
      <c r="BF144" t="str">
        <f ca="1">IF(OR($L144&gt;BF$4,BF$4&gt;$L144+23),"",OFFSET(Electric!$L135,0,-'Electric Calendarize'!$L144+'Electric Calendarize'!BF$4+1))</f>
        <v/>
      </c>
      <c r="BG144" t="str">
        <f ca="1">IF(OR($L144&gt;BG$4,BG$4&gt;$L144+23),"",OFFSET(Electric!$L135,0,-'Electric Calendarize'!$L144+'Electric Calendarize'!BG$4+1))</f>
        <v/>
      </c>
      <c r="BJ144" s="10" t="s">
        <v>37</v>
      </c>
      <c r="BK144">
        <f t="shared" si="411"/>
        <v>1</v>
      </c>
      <c r="BL144">
        <f t="shared" si="317"/>
        <v>0</v>
      </c>
      <c r="BM144">
        <f t="shared" si="318"/>
        <v>0</v>
      </c>
      <c r="BN144">
        <f t="shared" si="319"/>
        <v>0</v>
      </c>
      <c r="BO144">
        <f t="shared" si="320"/>
        <v>0</v>
      </c>
      <c r="BP144">
        <f t="shared" si="321"/>
        <v>0</v>
      </c>
      <c r="BQ144">
        <f t="shared" si="322"/>
        <v>0</v>
      </c>
      <c r="BR144">
        <f t="shared" si="323"/>
        <v>1</v>
      </c>
      <c r="BS144">
        <f t="shared" si="324"/>
        <v>1</v>
      </c>
      <c r="BT144">
        <f t="shared" si="325"/>
        <v>1</v>
      </c>
      <c r="BU144">
        <f t="shared" si="326"/>
        <v>1</v>
      </c>
      <c r="BV144">
        <f t="shared" si="327"/>
        <v>1</v>
      </c>
      <c r="BW144">
        <f t="shared" si="328"/>
        <v>1</v>
      </c>
      <c r="BX144">
        <f t="shared" si="329"/>
        <v>0</v>
      </c>
      <c r="BY144">
        <f t="shared" si="330"/>
        <v>0</v>
      </c>
      <c r="BZ144">
        <f t="shared" si="331"/>
        <v>0</v>
      </c>
      <c r="CA144">
        <f t="shared" si="332"/>
        <v>0</v>
      </c>
      <c r="CB144">
        <f t="shared" si="333"/>
        <v>0</v>
      </c>
      <c r="CC144">
        <f t="shared" si="334"/>
        <v>0</v>
      </c>
      <c r="CD144">
        <f t="shared" si="335"/>
        <v>1</v>
      </c>
      <c r="CE144">
        <f t="shared" si="336"/>
        <v>1</v>
      </c>
      <c r="CF144">
        <f t="shared" si="337"/>
        <v>1</v>
      </c>
      <c r="CG144">
        <f t="shared" si="338"/>
        <v>1</v>
      </c>
      <c r="CH144">
        <f t="shared" si="339"/>
        <v>1</v>
      </c>
      <c r="CI144">
        <f t="shared" si="340"/>
        <v>1</v>
      </c>
      <c r="CJ144">
        <f t="shared" si="341"/>
        <v>0</v>
      </c>
      <c r="CK144">
        <f t="shared" si="342"/>
        <v>0</v>
      </c>
      <c r="CL144">
        <f t="shared" si="343"/>
        <v>0</v>
      </c>
      <c r="CM144">
        <f t="shared" si="344"/>
        <v>0</v>
      </c>
      <c r="CN144">
        <f t="shared" si="345"/>
        <v>0</v>
      </c>
      <c r="CO144">
        <f t="shared" si="346"/>
        <v>0</v>
      </c>
      <c r="CP144">
        <f t="shared" si="347"/>
        <v>1</v>
      </c>
      <c r="CQ144">
        <f t="shared" si="348"/>
        <v>1</v>
      </c>
      <c r="CR144">
        <f t="shared" si="349"/>
        <v>1</v>
      </c>
      <c r="CS144">
        <f t="shared" si="350"/>
        <v>1</v>
      </c>
      <c r="CT144">
        <f t="shared" si="351"/>
        <v>1</v>
      </c>
      <c r="CU144">
        <f t="shared" si="352"/>
        <v>1</v>
      </c>
      <c r="CV144">
        <f t="shared" si="353"/>
        <v>0</v>
      </c>
      <c r="CW144">
        <f t="shared" si="354"/>
        <v>0</v>
      </c>
      <c r="CX144">
        <f t="shared" si="355"/>
        <v>0</v>
      </c>
      <c r="CY144">
        <f t="shared" si="356"/>
        <v>0</v>
      </c>
      <c r="CZ144">
        <f t="shared" si="357"/>
        <v>0</v>
      </c>
      <c r="DA144">
        <f t="shared" si="358"/>
        <v>0</v>
      </c>
      <c r="DB144">
        <f t="shared" si="359"/>
        <v>1</v>
      </c>
      <c r="DC144">
        <f t="shared" si="360"/>
        <v>1</v>
      </c>
      <c r="DF144" s="10" t="s">
        <v>37</v>
      </c>
      <c r="DG144" t="str">
        <f t="shared" si="412"/>
        <v>2022_7</v>
      </c>
      <c r="DH144" t="str">
        <f t="shared" si="412"/>
        <v>2022_7</v>
      </c>
      <c r="DI144" t="str">
        <f t="shared" si="412"/>
        <v>2022_7</v>
      </c>
      <c r="DJ144" t="str">
        <f t="shared" si="412"/>
        <v>2022_7</v>
      </c>
      <c r="DK144" t="str">
        <f t="shared" si="412"/>
        <v>2022_7</v>
      </c>
      <c r="DL144" t="str">
        <f t="shared" si="412"/>
        <v>2022_7</v>
      </c>
      <c r="DM144" t="str">
        <f t="shared" si="412"/>
        <v>2022_7</v>
      </c>
      <c r="DN144" t="str">
        <f t="shared" si="412"/>
        <v>2022_7</v>
      </c>
      <c r="DO144" t="str">
        <f t="shared" si="412"/>
        <v>2022_7</v>
      </c>
      <c r="DP144" t="str">
        <f t="shared" si="412"/>
        <v>2022_7</v>
      </c>
      <c r="DQ144" t="str">
        <f t="shared" si="412"/>
        <v>2022_7</v>
      </c>
      <c r="DR144" t="str">
        <f t="shared" si="412"/>
        <v>2022_7</v>
      </c>
      <c r="DS144" t="str">
        <f t="shared" si="412"/>
        <v>2022_7</v>
      </c>
      <c r="DT144" t="str">
        <f t="shared" si="412"/>
        <v>2022_7</v>
      </c>
      <c r="DU144" t="str">
        <f t="shared" si="412"/>
        <v>2022_7</v>
      </c>
      <c r="DV144" t="str">
        <f t="shared" si="361"/>
        <v>2022_7</v>
      </c>
      <c r="DW144" t="str">
        <f t="shared" si="361"/>
        <v>2022_7</v>
      </c>
      <c r="DX144" t="str">
        <f t="shared" si="361"/>
        <v>2022_7</v>
      </c>
      <c r="DY144" t="str">
        <f t="shared" si="361"/>
        <v>2022_7</v>
      </c>
      <c r="DZ144" t="str">
        <f t="shared" si="361"/>
        <v>2022_7</v>
      </c>
      <c r="EA144" t="str">
        <f t="shared" si="361"/>
        <v>2022_7</v>
      </c>
      <c r="EB144" t="str">
        <f t="shared" si="361"/>
        <v>2022_7</v>
      </c>
      <c r="EC144" t="str">
        <f t="shared" si="361"/>
        <v>2022_7</v>
      </c>
      <c r="ED144" t="str">
        <f t="shared" si="361"/>
        <v>2022_7</v>
      </c>
      <c r="EE144" t="str">
        <f t="shared" si="361"/>
        <v>2022_7</v>
      </c>
      <c r="EF144" t="str">
        <f t="shared" si="361"/>
        <v>2022_7</v>
      </c>
      <c r="EG144" t="str">
        <f t="shared" si="361"/>
        <v>2022_7</v>
      </c>
      <c r="EH144" t="str">
        <f t="shared" si="361"/>
        <v>2022_7</v>
      </c>
      <c r="EI144" t="str">
        <f t="shared" si="361"/>
        <v>2022_7</v>
      </c>
      <c r="EJ144" t="str">
        <f t="shared" si="361"/>
        <v>2022_7</v>
      </c>
      <c r="EK144" t="str">
        <f t="shared" si="361"/>
        <v>2022_7</v>
      </c>
      <c r="EL144" t="str">
        <f t="shared" si="362"/>
        <v>2022_7</v>
      </c>
      <c r="EM144" t="str">
        <f t="shared" si="316"/>
        <v>2022_7</v>
      </c>
      <c r="EN144" t="str">
        <f t="shared" si="316"/>
        <v>2022_7</v>
      </c>
      <c r="EO144" t="str">
        <f t="shared" si="316"/>
        <v>2022_7</v>
      </c>
      <c r="EP144" t="str">
        <f t="shared" si="316"/>
        <v>2022_7</v>
      </c>
      <c r="EQ144" t="str">
        <f t="shared" si="316"/>
        <v>2022_7</v>
      </c>
      <c r="ER144" t="str">
        <f t="shared" si="316"/>
        <v>2022_7</v>
      </c>
      <c r="ES144" t="str">
        <f t="shared" si="316"/>
        <v>2022_7</v>
      </c>
      <c r="ET144" t="str">
        <f t="shared" si="316"/>
        <v>2022_7</v>
      </c>
      <c r="EU144" t="str">
        <f t="shared" si="316"/>
        <v>2022_7</v>
      </c>
      <c r="EV144" t="str">
        <f t="shared" si="316"/>
        <v>2022_7</v>
      </c>
      <c r="EW144" t="str">
        <f t="shared" si="316"/>
        <v>2022_7</v>
      </c>
      <c r="EX144" t="str">
        <f t="shared" si="316"/>
        <v>2022_7</v>
      </c>
      <c r="EY144" t="str">
        <f t="shared" si="316"/>
        <v>2022_7</v>
      </c>
      <c r="FB144" s="10" t="s">
        <v>37</v>
      </c>
      <c r="FC144">
        <f t="shared" si="413"/>
        <v>0</v>
      </c>
      <c r="FD144">
        <f t="shared" si="363"/>
        <v>0</v>
      </c>
      <c r="FE144">
        <f t="shared" si="364"/>
        <v>0</v>
      </c>
      <c r="FF144">
        <f t="shared" si="365"/>
        <v>0</v>
      </c>
      <c r="FG144">
        <f t="shared" si="366"/>
        <v>0</v>
      </c>
      <c r="FH144">
        <f t="shared" si="367"/>
        <v>0</v>
      </c>
      <c r="FI144">
        <f t="shared" si="368"/>
        <v>0</v>
      </c>
      <c r="FJ144">
        <f t="shared" si="369"/>
        <v>0</v>
      </c>
      <c r="FK144">
        <f t="shared" si="370"/>
        <v>0</v>
      </c>
      <c r="FL144">
        <f t="shared" si="371"/>
        <v>0</v>
      </c>
      <c r="FM144">
        <f t="shared" si="372"/>
        <v>0</v>
      </c>
      <c r="FN144">
        <f t="shared" si="373"/>
        <v>0</v>
      </c>
      <c r="FO144">
        <f t="shared" si="374"/>
        <v>0</v>
      </c>
      <c r="FP144">
        <f t="shared" si="375"/>
        <v>0</v>
      </c>
      <c r="FQ144">
        <f t="shared" si="376"/>
        <v>0</v>
      </c>
      <c r="FR144">
        <f t="shared" si="377"/>
        <v>0</v>
      </c>
      <c r="FS144">
        <f t="shared" si="378"/>
        <v>0</v>
      </c>
      <c r="FT144">
        <f t="shared" si="379"/>
        <v>0</v>
      </c>
      <c r="FU144">
        <f t="shared" si="380"/>
        <v>0</v>
      </c>
      <c r="FV144">
        <f t="shared" si="381"/>
        <v>0</v>
      </c>
      <c r="FW144">
        <f t="shared" si="382"/>
        <v>0</v>
      </c>
      <c r="FX144">
        <f t="shared" si="383"/>
        <v>0</v>
      </c>
      <c r="FY144">
        <f t="shared" si="384"/>
        <v>0</v>
      </c>
      <c r="FZ144">
        <f t="shared" si="385"/>
        <v>0</v>
      </c>
      <c r="GA144">
        <f t="shared" si="386"/>
        <v>0</v>
      </c>
      <c r="GB144">
        <f t="shared" si="387"/>
        <v>0</v>
      </c>
      <c r="GC144">
        <f t="shared" si="388"/>
        <v>0</v>
      </c>
      <c r="GD144">
        <f t="shared" si="389"/>
        <v>1</v>
      </c>
      <c r="GE144">
        <f t="shared" si="390"/>
        <v>1</v>
      </c>
      <c r="GF144">
        <f t="shared" si="391"/>
        <v>1</v>
      </c>
      <c r="GG144">
        <f t="shared" si="392"/>
        <v>1</v>
      </c>
      <c r="GH144">
        <f t="shared" si="393"/>
        <v>1</v>
      </c>
      <c r="GI144">
        <f t="shared" si="394"/>
        <v>1</v>
      </c>
      <c r="GJ144">
        <f t="shared" si="395"/>
        <v>1</v>
      </c>
      <c r="GK144">
        <f t="shared" si="396"/>
        <v>1</v>
      </c>
      <c r="GL144">
        <f t="shared" si="397"/>
        <v>1</v>
      </c>
      <c r="GM144">
        <f t="shared" si="398"/>
        <v>1</v>
      </c>
      <c r="GN144">
        <f t="shared" si="399"/>
        <v>1</v>
      </c>
      <c r="GO144">
        <f t="shared" si="400"/>
        <v>1</v>
      </c>
      <c r="GP144">
        <f t="shared" si="401"/>
        <v>1</v>
      </c>
      <c r="GQ144">
        <f t="shared" si="402"/>
        <v>1</v>
      </c>
      <c r="GR144">
        <f t="shared" si="403"/>
        <v>1</v>
      </c>
      <c r="GS144">
        <f t="shared" si="404"/>
        <v>1</v>
      </c>
      <c r="GT144">
        <f t="shared" si="405"/>
        <v>1</v>
      </c>
      <c r="GU144">
        <f t="shared" si="406"/>
        <v>1</v>
      </c>
      <c r="GX144" s="10"/>
    </row>
    <row r="145" spans="1:206" x14ac:dyDescent="0.3">
      <c r="A145" s="9" t="s">
        <v>128</v>
      </c>
      <c r="B145" s="80"/>
      <c r="C145" s="9">
        <v>3111433001</v>
      </c>
      <c r="D145" s="9" t="s">
        <v>354</v>
      </c>
      <c r="E145" s="9" t="s">
        <v>39</v>
      </c>
      <c r="F145" s="9" t="s">
        <v>35</v>
      </c>
      <c r="G145" s="9" t="s">
        <v>47</v>
      </c>
      <c r="H145" s="10">
        <v>44756</v>
      </c>
      <c r="I145" s="9">
        <f t="shared" si="407"/>
        <v>2022</v>
      </c>
      <c r="J145" s="9">
        <f t="shared" si="408"/>
        <v>7</v>
      </c>
      <c r="K145" s="9" t="str">
        <f t="shared" si="409"/>
        <v>2022_7</v>
      </c>
      <c r="L145">
        <f>MAX(0,VLOOKUP($K145,lookups!$A$1:$B$45,2,0)-12)</f>
        <v>15</v>
      </c>
      <c r="M145" s="40">
        <f t="shared" si="410"/>
        <v>44743</v>
      </c>
      <c r="N145" s="10" t="s">
        <v>37</v>
      </c>
      <c r="O145" t="str">
        <f ca="1">IF(OR($L145&gt;O$4,O$4&gt;$L145+23),"",OFFSET(Electric!$L136,0,-'Electric Calendarize'!$L145+'Electric Calendarize'!O$4+1))</f>
        <v/>
      </c>
      <c r="P145" t="str">
        <f ca="1">IF(OR($L145&gt;P$4,P$4&gt;$L145+23),"",OFFSET(Electric!$L136,0,-'Electric Calendarize'!$L145+'Electric Calendarize'!P$4+1))</f>
        <v/>
      </c>
      <c r="Q145" t="str">
        <f ca="1">IF(OR($L145&gt;Q$4,Q$4&gt;$L145+23),"",OFFSET(Electric!$L136,0,-'Electric Calendarize'!$L145+'Electric Calendarize'!Q$4+1))</f>
        <v/>
      </c>
      <c r="R145" t="str">
        <f ca="1">IF(OR($L145&gt;R$4,R$4&gt;$L145+23),"",OFFSET(Electric!$L136,0,-'Electric Calendarize'!$L145+'Electric Calendarize'!R$4+1))</f>
        <v/>
      </c>
      <c r="S145" t="str">
        <f ca="1">IF(OR($L145&gt;S$4,S$4&gt;$L145+23),"",OFFSET(Electric!$L136,0,-'Electric Calendarize'!$L145+'Electric Calendarize'!S$4+1))</f>
        <v/>
      </c>
      <c r="T145" t="str">
        <f ca="1">IF(OR($L145&gt;T$4,T$4&gt;$L145+23),"",OFFSET(Electric!$L136,0,-'Electric Calendarize'!$L145+'Electric Calendarize'!T$4+1))</f>
        <v/>
      </c>
      <c r="U145" t="str">
        <f ca="1">IF(OR($L145&gt;U$4,U$4&gt;$L145+23),"",OFFSET(Electric!$L136,0,-'Electric Calendarize'!$L145+'Electric Calendarize'!U$4+1))</f>
        <v/>
      </c>
      <c r="V145" t="str">
        <f ca="1">IF(OR($L145&gt;V$4,V$4&gt;$L145+23),"",OFFSET(Electric!$L136,0,-'Electric Calendarize'!$L145+'Electric Calendarize'!V$4+1))</f>
        <v/>
      </c>
      <c r="W145" t="str">
        <f ca="1">IF(OR($L145&gt;W$4,W$4&gt;$L145+23),"",OFFSET(Electric!$L136,0,-'Electric Calendarize'!$L145+'Electric Calendarize'!W$4+1))</f>
        <v/>
      </c>
      <c r="X145" t="str">
        <f ca="1">IF(OR($L145&gt;X$4,X$4&gt;$L145+23),"",OFFSET(Electric!$L136,0,-'Electric Calendarize'!$L145+'Electric Calendarize'!X$4+1))</f>
        <v/>
      </c>
      <c r="Y145" t="str">
        <f ca="1">IF(OR($L145&gt;Y$4,Y$4&gt;$L145+23),"",OFFSET(Electric!$L136,0,-'Electric Calendarize'!$L145+'Electric Calendarize'!Y$4+1))</f>
        <v/>
      </c>
      <c r="Z145" t="str">
        <f ca="1">IF(OR($L145&gt;Z$4,Z$4&gt;$L145+23),"",OFFSET(Electric!$L136,0,-'Electric Calendarize'!$L145+'Electric Calendarize'!Z$4+1))</f>
        <v/>
      </c>
      <c r="AA145" t="str">
        <f ca="1">IF(OR($L145&gt;AA$4,AA$4&gt;$L145+23),"",OFFSET(Electric!$L136,0,-'Electric Calendarize'!$L145+'Electric Calendarize'!AA$4+1))</f>
        <v/>
      </c>
      <c r="AB145" t="str">
        <f ca="1">IF(OR($L145&gt;AB$4,AB$4&gt;$L145+23),"",OFFSET(Electric!$L136,0,-'Electric Calendarize'!$L145+'Electric Calendarize'!AB$4+1))</f>
        <v/>
      </c>
      <c r="AC145" t="str">
        <f ca="1">IF(OR($L145&gt;AC$4,AC$4&gt;$L145+23),"",OFFSET(Electric!$L136,0,-'Electric Calendarize'!$L145+'Electric Calendarize'!AC$4+1))</f>
        <v/>
      </c>
      <c r="AD145">
        <f ca="1">IF(OR($L145&gt;AD$4,AD$4&gt;$L145+23),"",OFFSET(Electric!$L136,0,-'Electric Calendarize'!$L145+'Electric Calendarize'!AD$4+1))</f>
        <v>0</v>
      </c>
      <c r="AE145">
        <f ca="1">IF(OR($L145&gt;AE$4,AE$4&gt;$L145+23),"",OFFSET(Electric!$L136,0,-'Electric Calendarize'!$L145+'Electric Calendarize'!AE$4+1))</f>
        <v>0</v>
      </c>
      <c r="AF145">
        <f ca="1">IF(OR($L145&gt;AF$4,AF$4&gt;$L145+23),"",OFFSET(Electric!$L136,0,-'Electric Calendarize'!$L145+'Electric Calendarize'!AF$4+1))</f>
        <v>0</v>
      </c>
      <c r="AG145">
        <f ca="1">IF(OR($L145&gt;AG$4,AG$4&gt;$L145+23),"",OFFSET(Electric!$L136,0,-'Electric Calendarize'!$L145+'Electric Calendarize'!AG$4+1))</f>
        <v>0</v>
      </c>
      <c r="AH145">
        <f ca="1">IF(OR($L145&gt;AH$4,AH$4&gt;$L145+23),"",OFFSET(Electric!$L136,0,-'Electric Calendarize'!$L145+'Electric Calendarize'!AH$4+1))</f>
        <v>0</v>
      </c>
      <c r="AI145">
        <f ca="1">IF(OR($L145&gt;AI$4,AI$4&gt;$L145+23),"",OFFSET(Electric!$L136,0,-'Electric Calendarize'!$L145+'Electric Calendarize'!AI$4+1))</f>
        <v>0</v>
      </c>
      <c r="AJ145">
        <f ca="1">IF(OR($L145&gt;AJ$4,AJ$4&gt;$L145+23),"",OFFSET(Electric!$L136,0,-'Electric Calendarize'!$L145+'Electric Calendarize'!AJ$4+1))</f>
        <v>120</v>
      </c>
      <c r="AK145">
        <f ca="1">IF(OR($L145&gt;AK$4,AK$4&gt;$L145+23),"",OFFSET(Electric!$L136,0,-'Electric Calendarize'!$L145+'Electric Calendarize'!AK$4+1))</f>
        <v>1042</v>
      </c>
      <c r="AL145">
        <f ca="1">IF(OR($L145&gt;AL$4,AL$4&gt;$L145+23),"",OFFSET(Electric!$L136,0,-'Electric Calendarize'!$L145+'Electric Calendarize'!AL$4+1))</f>
        <v>792</v>
      </c>
      <c r="AM145">
        <f ca="1">IF(OR($L145&gt;AM$4,AM$4&gt;$L145+23),"",OFFSET(Electric!$L136,0,-'Electric Calendarize'!$L145+'Electric Calendarize'!AM$4+1))</f>
        <v>546</v>
      </c>
      <c r="AN145">
        <f ca="1">IF(OR($L145&gt;AN$4,AN$4&gt;$L145+23),"",OFFSET(Electric!$L136,0,-'Electric Calendarize'!$L145+'Electric Calendarize'!AN$4+1))</f>
        <v>690</v>
      </c>
      <c r="AO145">
        <f ca="1">IF(OR($L145&gt;AO$4,AO$4&gt;$L145+23),"",OFFSET(Electric!$L136,0,-'Electric Calendarize'!$L145+'Electric Calendarize'!AO$4+1))</f>
        <v>710</v>
      </c>
      <c r="AP145">
        <f ca="1">IF(OR($L145&gt;AP$4,AP$4&gt;$L145+23),"",OFFSET(Electric!$L136,0,-'Electric Calendarize'!$L145+'Electric Calendarize'!AP$4+1))</f>
        <v>2820</v>
      </c>
      <c r="AQ145">
        <f ca="1">IF(OR($L145&gt;AQ$4,AQ$4&gt;$L145+23),"",OFFSET(Electric!$L136,0,-'Electric Calendarize'!$L145+'Electric Calendarize'!AQ$4+1))</f>
        <v>3396</v>
      </c>
      <c r="AR145">
        <f ca="1">IF(OR($L145&gt;AR$4,AR$4&gt;$L145+23),"",OFFSET(Electric!$L136,0,-'Electric Calendarize'!$L145+'Electric Calendarize'!AR$4+1))</f>
        <v>2202</v>
      </c>
      <c r="AS145">
        <f ca="1">IF(OR($L145&gt;AS$4,AS$4&gt;$L145+23),"",OFFSET(Electric!$L136,0,-'Electric Calendarize'!$L145+'Electric Calendarize'!AS$4+1))</f>
        <v>1124</v>
      </c>
      <c r="AT145">
        <f ca="1">IF(OR($L145&gt;AT$4,AT$4&gt;$L145+23),"",OFFSET(Electric!$L136,0,-'Electric Calendarize'!$L145+'Electric Calendarize'!AT$4+1))</f>
        <v>1448</v>
      </c>
      <c r="AU145">
        <f ca="1">IF(OR($L145&gt;AU$4,AU$4&gt;$L145+23),"",OFFSET(Electric!$L136,0,-'Electric Calendarize'!$L145+'Electric Calendarize'!AU$4+1))</f>
        <v>2642</v>
      </c>
      <c r="AV145">
        <f ca="1">IF(OR($L145&gt;AV$4,AV$4&gt;$L145+23),"",OFFSET(Electric!$L136,0,-'Electric Calendarize'!$L145+'Electric Calendarize'!AV$4+1))</f>
        <v>2998</v>
      </c>
      <c r="AW145">
        <f ca="1">IF(OR($L145&gt;AW$4,AW$4&gt;$L145+23),"",OFFSET(Electric!$L136,0,-'Electric Calendarize'!$L145+'Electric Calendarize'!AW$4+1))</f>
        <v>2386</v>
      </c>
      <c r="AX145">
        <f ca="1">IF(OR($L145&gt;AX$4,AX$4&gt;$L145+23),"",OFFSET(Electric!$L136,0,-'Electric Calendarize'!$L145+'Electric Calendarize'!AX$4+1))</f>
        <v>1366</v>
      </c>
      <c r="AY145">
        <f ca="1">IF(OR($L145&gt;AY$4,AY$4&gt;$L145+23),"",OFFSET(Electric!$L136,0,-'Electric Calendarize'!$L145+'Electric Calendarize'!AY$4+1))</f>
        <v>1332</v>
      </c>
      <c r="AZ145">
        <f ca="1">IF(OR($L145&gt;AZ$4,AZ$4&gt;$L145+23),"",OFFSET(Electric!$L136,0,-'Electric Calendarize'!$L145+'Electric Calendarize'!AZ$4+1))</f>
        <v>1116</v>
      </c>
      <c r="BA145">
        <f ca="1">IF(OR($L145&gt;BA$4,BA$4&gt;$L145+23),"",OFFSET(Electric!$L136,0,-'Electric Calendarize'!$L145+'Electric Calendarize'!BA$4+1))</f>
        <v>2516</v>
      </c>
      <c r="BB145" t="str">
        <f ca="1">IF(OR($L145&gt;BB$4,BB$4&gt;$L145+23),"",OFFSET(Electric!$L136,0,-'Electric Calendarize'!$L145+'Electric Calendarize'!BB$4+1))</f>
        <v/>
      </c>
      <c r="BC145" t="str">
        <f ca="1">IF(OR($L145&gt;BC$4,BC$4&gt;$L145+23),"",OFFSET(Electric!$L136,0,-'Electric Calendarize'!$L145+'Electric Calendarize'!BC$4+1))</f>
        <v/>
      </c>
      <c r="BD145" t="str">
        <f ca="1">IF(OR($L145&gt;BD$4,BD$4&gt;$L145+23),"",OFFSET(Electric!$L136,0,-'Electric Calendarize'!$L145+'Electric Calendarize'!BD$4+1))</f>
        <v/>
      </c>
      <c r="BE145" t="str">
        <f ca="1">IF(OR($L145&gt;BE$4,BE$4&gt;$L145+23),"",OFFSET(Electric!$L136,0,-'Electric Calendarize'!$L145+'Electric Calendarize'!BE$4+1))</f>
        <v/>
      </c>
      <c r="BF145" t="str">
        <f ca="1">IF(OR($L145&gt;BF$4,BF$4&gt;$L145+23),"",OFFSET(Electric!$L136,0,-'Electric Calendarize'!$L145+'Electric Calendarize'!BF$4+1))</f>
        <v/>
      </c>
      <c r="BG145" t="str">
        <f ca="1">IF(OR($L145&gt;BG$4,BG$4&gt;$L145+23),"",OFFSET(Electric!$L136,0,-'Electric Calendarize'!$L145+'Electric Calendarize'!BG$4+1))</f>
        <v/>
      </c>
      <c r="BJ145" s="10" t="s">
        <v>37</v>
      </c>
      <c r="BK145">
        <f t="shared" si="411"/>
        <v>1</v>
      </c>
      <c r="BL145">
        <f t="shared" si="317"/>
        <v>0</v>
      </c>
      <c r="BM145">
        <f t="shared" si="318"/>
        <v>0</v>
      </c>
      <c r="BN145">
        <f t="shared" si="319"/>
        <v>0</v>
      </c>
      <c r="BO145">
        <f t="shared" si="320"/>
        <v>0</v>
      </c>
      <c r="BP145">
        <f t="shared" si="321"/>
        <v>0</v>
      </c>
      <c r="BQ145">
        <f t="shared" si="322"/>
        <v>0</v>
      </c>
      <c r="BR145">
        <f t="shared" si="323"/>
        <v>1</v>
      </c>
      <c r="BS145">
        <f t="shared" si="324"/>
        <v>1</v>
      </c>
      <c r="BT145">
        <f t="shared" si="325"/>
        <v>1</v>
      </c>
      <c r="BU145">
        <f t="shared" si="326"/>
        <v>1</v>
      </c>
      <c r="BV145">
        <f t="shared" si="327"/>
        <v>1</v>
      </c>
      <c r="BW145">
        <f t="shared" si="328"/>
        <v>1</v>
      </c>
      <c r="BX145">
        <f t="shared" si="329"/>
        <v>0</v>
      </c>
      <c r="BY145">
        <f t="shared" si="330"/>
        <v>0</v>
      </c>
      <c r="BZ145">
        <f t="shared" si="331"/>
        <v>0</v>
      </c>
      <c r="CA145">
        <f t="shared" si="332"/>
        <v>0</v>
      </c>
      <c r="CB145">
        <f t="shared" si="333"/>
        <v>0</v>
      </c>
      <c r="CC145">
        <f t="shared" si="334"/>
        <v>0</v>
      </c>
      <c r="CD145">
        <f t="shared" si="335"/>
        <v>1</v>
      </c>
      <c r="CE145">
        <f t="shared" si="336"/>
        <v>1</v>
      </c>
      <c r="CF145">
        <f t="shared" si="337"/>
        <v>1</v>
      </c>
      <c r="CG145">
        <f t="shared" si="338"/>
        <v>1</v>
      </c>
      <c r="CH145">
        <f t="shared" si="339"/>
        <v>1</v>
      </c>
      <c r="CI145">
        <f t="shared" si="340"/>
        <v>1</v>
      </c>
      <c r="CJ145">
        <f t="shared" si="341"/>
        <v>0</v>
      </c>
      <c r="CK145">
        <f t="shared" si="342"/>
        <v>0</v>
      </c>
      <c r="CL145">
        <f t="shared" si="343"/>
        <v>0</v>
      </c>
      <c r="CM145">
        <f t="shared" si="344"/>
        <v>0</v>
      </c>
      <c r="CN145">
        <f t="shared" si="345"/>
        <v>0</v>
      </c>
      <c r="CO145">
        <f t="shared" si="346"/>
        <v>0</v>
      </c>
      <c r="CP145">
        <f t="shared" si="347"/>
        <v>1</v>
      </c>
      <c r="CQ145">
        <f t="shared" si="348"/>
        <v>1</v>
      </c>
      <c r="CR145">
        <f t="shared" si="349"/>
        <v>1</v>
      </c>
      <c r="CS145">
        <f t="shared" si="350"/>
        <v>1</v>
      </c>
      <c r="CT145">
        <f t="shared" si="351"/>
        <v>1</v>
      </c>
      <c r="CU145">
        <f t="shared" si="352"/>
        <v>1</v>
      </c>
      <c r="CV145">
        <f t="shared" si="353"/>
        <v>0</v>
      </c>
      <c r="CW145">
        <f t="shared" si="354"/>
        <v>0</v>
      </c>
      <c r="CX145">
        <f t="shared" si="355"/>
        <v>0</v>
      </c>
      <c r="CY145">
        <f t="shared" si="356"/>
        <v>0</v>
      </c>
      <c r="CZ145">
        <f t="shared" si="357"/>
        <v>0</v>
      </c>
      <c r="DA145">
        <f t="shared" si="358"/>
        <v>0</v>
      </c>
      <c r="DB145">
        <f t="shared" si="359"/>
        <v>1</v>
      </c>
      <c r="DC145">
        <f t="shared" si="360"/>
        <v>1</v>
      </c>
      <c r="DF145" s="10" t="s">
        <v>37</v>
      </c>
      <c r="DG145" t="str">
        <f t="shared" si="412"/>
        <v>2022_7</v>
      </c>
      <c r="DH145" t="str">
        <f t="shared" si="412"/>
        <v>2022_7</v>
      </c>
      <c r="DI145" t="str">
        <f t="shared" si="412"/>
        <v>2022_7</v>
      </c>
      <c r="DJ145" t="str">
        <f t="shared" si="412"/>
        <v>2022_7</v>
      </c>
      <c r="DK145" t="str">
        <f t="shared" si="412"/>
        <v>2022_7</v>
      </c>
      <c r="DL145" t="str">
        <f t="shared" si="412"/>
        <v>2022_7</v>
      </c>
      <c r="DM145" t="str">
        <f t="shared" si="412"/>
        <v>2022_7</v>
      </c>
      <c r="DN145" t="str">
        <f t="shared" si="412"/>
        <v>2022_7</v>
      </c>
      <c r="DO145" t="str">
        <f t="shared" si="412"/>
        <v>2022_7</v>
      </c>
      <c r="DP145" t="str">
        <f t="shared" si="412"/>
        <v>2022_7</v>
      </c>
      <c r="DQ145" t="str">
        <f t="shared" si="412"/>
        <v>2022_7</v>
      </c>
      <c r="DR145" t="str">
        <f t="shared" si="412"/>
        <v>2022_7</v>
      </c>
      <c r="DS145" t="str">
        <f t="shared" si="412"/>
        <v>2022_7</v>
      </c>
      <c r="DT145" t="str">
        <f t="shared" si="412"/>
        <v>2022_7</v>
      </c>
      <c r="DU145" t="str">
        <f t="shared" si="412"/>
        <v>2022_7</v>
      </c>
      <c r="DV145" t="str">
        <f t="shared" si="361"/>
        <v>2022_7</v>
      </c>
      <c r="DW145" t="str">
        <f t="shared" si="361"/>
        <v>2022_7</v>
      </c>
      <c r="DX145" t="str">
        <f t="shared" si="361"/>
        <v>2022_7</v>
      </c>
      <c r="DY145" t="str">
        <f t="shared" si="361"/>
        <v>2022_7</v>
      </c>
      <c r="DZ145" t="str">
        <f t="shared" si="361"/>
        <v>2022_7</v>
      </c>
      <c r="EA145" t="str">
        <f t="shared" si="361"/>
        <v>2022_7</v>
      </c>
      <c r="EB145" t="str">
        <f t="shared" si="361"/>
        <v>2022_7</v>
      </c>
      <c r="EC145" t="str">
        <f t="shared" si="361"/>
        <v>2022_7</v>
      </c>
      <c r="ED145" t="str">
        <f t="shared" si="361"/>
        <v>2022_7</v>
      </c>
      <c r="EE145" t="str">
        <f t="shared" si="361"/>
        <v>2022_7</v>
      </c>
      <c r="EF145" t="str">
        <f t="shared" si="361"/>
        <v>2022_7</v>
      </c>
      <c r="EG145" t="str">
        <f t="shared" si="361"/>
        <v>2022_7</v>
      </c>
      <c r="EH145" t="str">
        <f t="shared" si="361"/>
        <v>2022_7</v>
      </c>
      <c r="EI145" t="str">
        <f t="shared" si="361"/>
        <v>2022_7</v>
      </c>
      <c r="EJ145" t="str">
        <f t="shared" si="361"/>
        <v>2022_7</v>
      </c>
      <c r="EK145" t="str">
        <f t="shared" si="361"/>
        <v>2022_7</v>
      </c>
      <c r="EL145" t="str">
        <f t="shared" si="362"/>
        <v>2022_7</v>
      </c>
      <c r="EM145" t="str">
        <f t="shared" si="316"/>
        <v>2022_7</v>
      </c>
      <c r="EN145" t="str">
        <f t="shared" si="316"/>
        <v>2022_7</v>
      </c>
      <c r="EO145" t="str">
        <f t="shared" si="316"/>
        <v>2022_7</v>
      </c>
      <c r="EP145" t="str">
        <f t="shared" si="316"/>
        <v>2022_7</v>
      </c>
      <c r="EQ145" t="str">
        <f t="shared" si="316"/>
        <v>2022_7</v>
      </c>
      <c r="ER145" t="str">
        <f t="shared" si="316"/>
        <v>2022_7</v>
      </c>
      <c r="ES145" t="str">
        <f t="shared" si="316"/>
        <v>2022_7</v>
      </c>
      <c r="ET145" t="str">
        <f t="shared" si="316"/>
        <v>2022_7</v>
      </c>
      <c r="EU145" t="str">
        <f t="shared" si="316"/>
        <v>2022_7</v>
      </c>
      <c r="EV145" t="str">
        <f t="shared" si="316"/>
        <v>2022_7</v>
      </c>
      <c r="EW145" t="str">
        <f t="shared" si="316"/>
        <v>2022_7</v>
      </c>
      <c r="EX145" t="str">
        <f t="shared" si="316"/>
        <v>2022_7</v>
      </c>
      <c r="EY145" t="str">
        <f t="shared" si="316"/>
        <v>2022_7</v>
      </c>
      <c r="FB145" s="10" t="s">
        <v>37</v>
      </c>
      <c r="FC145">
        <f t="shared" si="413"/>
        <v>0</v>
      </c>
      <c r="FD145">
        <f t="shared" si="363"/>
        <v>0</v>
      </c>
      <c r="FE145">
        <f t="shared" si="364"/>
        <v>0</v>
      </c>
      <c r="FF145">
        <f t="shared" si="365"/>
        <v>0</v>
      </c>
      <c r="FG145">
        <f t="shared" si="366"/>
        <v>0</v>
      </c>
      <c r="FH145">
        <f t="shared" si="367"/>
        <v>0</v>
      </c>
      <c r="FI145">
        <f t="shared" si="368"/>
        <v>0</v>
      </c>
      <c r="FJ145">
        <f t="shared" si="369"/>
        <v>0</v>
      </c>
      <c r="FK145">
        <f t="shared" si="370"/>
        <v>0</v>
      </c>
      <c r="FL145">
        <f t="shared" si="371"/>
        <v>0</v>
      </c>
      <c r="FM145">
        <f t="shared" si="372"/>
        <v>0</v>
      </c>
      <c r="FN145">
        <f t="shared" si="373"/>
        <v>0</v>
      </c>
      <c r="FO145">
        <f t="shared" si="374"/>
        <v>0</v>
      </c>
      <c r="FP145">
        <f t="shared" si="375"/>
        <v>0</v>
      </c>
      <c r="FQ145">
        <f t="shared" si="376"/>
        <v>0</v>
      </c>
      <c r="FR145">
        <f t="shared" si="377"/>
        <v>0</v>
      </c>
      <c r="FS145">
        <f t="shared" si="378"/>
        <v>0</v>
      </c>
      <c r="FT145">
        <f t="shared" si="379"/>
        <v>0</v>
      </c>
      <c r="FU145">
        <f t="shared" si="380"/>
        <v>0</v>
      </c>
      <c r="FV145">
        <f t="shared" si="381"/>
        <v>0</v>
      </c>
      <c r="FW145">
        <f t="shared" si="382"/>
        <v>0</v>
      </c>
      <c r="FX145">
        <f t="shared" si="383"/>
        <v>0</v>
      </c>
      <c r="FY145">
        <f t="shared" si="384"/>
        <v>0</v>
      </c>
      <c r="FZ145">
        <f t="shared" si="385"/>
        <v>0</v>
      </c>
      <c r="GA145">
        <f t="shared" si="386"/>
        <v>0</v>
      </c>
      <c r="GB145">
        <f t="shared" si="387"/>
        <v>0</v>
      </c>
      <c r="GC145">
        <f t="shared" si="388"/>
        <v>0</v>
      </c>
      <c r="GD145">
        <f t="shared" si="389"/>
        <v>1</v>
      </c>
      <c r="GE145">
        <f t="shared" si="390"/>
        <v>1</v>
      </c>
      <c r="GF145">
        <f t="shared" si="391"/>
        <v>1</v>
      </c>
      <c r="GG145">
        <f t="shared" si="392"/>
        <v>1</v>
      </c>
      <c r="GH145">
        <f t="shared" si="393"/>
        <v>1</v>
      </c>
      <c r="GI145">
        <f t="shared" si="394"/>
        <v>1</v>
      </c>
      <c r="GJ145">
        <f t="shared" si="395"/>
        <v>1</v>
      </c>
      <c r="GK145">
        <f t="shared" si="396"/>
        <v>1</v>
      </c>
      <c r="GL145">
        <f t="shared" si="397"/>
        <v>1</v>
      </c>
      <c r="GM145">
        <f t="shared" si="398"/>
        <v>1</v>
      </c>
      <c r="GN145">
        <f t="shared" si="399"/>
        <v>1</v>
      </c>
      <c r="GO145">
        <f t="shared" si="400"/>
        <v>1</v>
      </c>
      <c r="GP145">
        <f t="shared" si="401"/>
        <v>1</v>
      </c>
      <c r="GQ145">
        <f t="shared" si="402"/>
        <v>1</v>
      </c>
      <c r="GR145">
        <f t="shared" si="403"/>
        <v>1</v>
      </c>
      <c r="GS145">
        <f t="shared" si="404"/>
        <v>1</v>
      </c>
      <c r="GT145">
        <f t="shared" si="405"/>
        <v>1</v>
      </c>
      <c r="GU145">
        <f t="shared" si="406"/>
        <v>1</v>
      </c>
      <c r="GX145" s="10"/>
    </row>
    <row r="146" spans="1:206" x14ac:dyDescent="0.3">
      <c r="A146" s="9" t="s">
        <v>33</v>
      </c>
      <c r="B146" s="80"/>
      <c r="C146" s="9">
        <v>3080988001</v>
      </c>
      <c r="D146" s="9" t="s">
        <v>452</v>
      </c>
      <c r="E146" s="9" t="s">
        <v>100</v>
      </c>
      <c r="F146" s="9" t="s">
        <v>35</v>
      </c>
      <c r="G146" s="9" t="s">
        <v>179</v>
      </c>
      <c r="H146" s="10">
        <v>44764</v>
      </c>
      <c r="I146" s="9">
        <f t="shared" si="407"/>
        <v>2022</v>
      </c>
      <c r="J146" s="9">
        <f t="shared" si="408"/>
        <v>7</v>
      </c>
      <c r="K146" s="9" t="str">
        <f t="shared" si="409"/>
        <v>2022_7</v>
      </c>
      <c r="L146">
        <f>MAX(0,VLOOKUP($K146,lookups!$A$1:$B$45,2,0)-12)</f>
        <v>15</v>
      </c>
      <c r="M146" s="40">
        <f t="shared" si="410"/>
        <v>44743</v>
      </c>
      <c r="N146" s="10" t="s">
        <v>37</v>
      </c>
      <c r="O146" t="str">
        <f ca="1">IF(OR($L146&gt;O$4,O$4&gt;$L146+23),"",OFFSET(Electric!$L137,0,-'Electric Calendarize'!$L146+'Electric Calendarize'!O$4+1))</f>
        <v/>
      </c>
      <c r="P146" t="str">
        <f ca="1">IF(OR($L146&gt;P$4,P$4&gt;$L146+23),"",OFFSET(Electric!$L137,0,-'Electric Calendarize'!$L146+'Electric Calendarize'!P$4+1))</f>
        <v/>
      </c>
      <c r="Q146" t="str">
        <f ca="1">IF(OR($L146&gt;Q$4,Q$4&gt;$L146+23),"",OFFSET(Electric!$L137,0,-'Electric Calendarize'!$L146+'Electric Calendarize'!Q$4+1))</f>
        <v/>
      </c>
      <c r="R146" t="str">
        <f ca="1">IF(OR($L146&gt;R$4,R$4&gt;$L146+23),"",OFFSET(Electric!$L137,0,-'Electric Calendarize'!$L146+'Electric Calendarize'!R$4+1))</f>
        <v/>
      </c>
      <c r="S146" t="str">
        <f ca="1">IF(OR($L146&gt;S$4,S$4&gt;$L146+23),"",OFFSET(Electric!$L137,0,-'Electric Calendarize'!$L146+'Electric Calendarize'!S$4+1))</f>
        <v/>
      </c>
      <c r="T146" t="str">
        <f ca="1">IF(OR($L146&gt;T$4,T$4&gt;$L146+23),"",OFFSET(Electric!$L137,0,-'Electric Calendarize'!$L146+'Electric Calendarize'!T$4+1))</f>
        <v/>
      </c>
      <c r="U146" t="str">
        <f ca="1">IF(OR($L146&gt;U$4,U$4&gt;$L146+23),"",OFFSET(Electric!$L137,0,-'Electric Calendarize'!$L146+'Electric Calendarize'!U$4+1))</f>
        <v/>
      </c>
      <c r="V146" t="str">
        <f ca="1">IF(OR($L146&gt;V$4,V$4&gt;$L146+23),"",OFFSET(Electric!$L137,0,-'Electric Calendarize'!$L146+'Electric Calendarize'!V$4+1))</f>
        <v/>
      </c>
      <c r="W146" t="str">
        <f ca="1">IF(OR($L146&gt;W$4,W$4&gt;$L146+23),"",OFFSET(Electric!$L137,0,-'Electric Calendarize'!$L146+'Electric Calendarize'!W$4+1))</f>
        <v/>
      </c>
      <c r="X146" t="str">
        <f ca="1">IF(OR($L146&gt;X$4,X$4&gt;$L146+23),"",OFFSET(Electric!$L137,0,-'Electric Calendarize'!$L146+'Electric Calendarize'!X$4+1))</f>
        <v/>
      </c>
      <c r="Y146" t="str">
        <f ca="1">IF(OR($L146&gt;Y$4,Y$4&gt;$L146+23),"",OFFSET(Electric!$L137,0,-'Electric Calendarize'!$L146+'Electric Calendarize'!Y$4+1))</f>
        <v/>
      </c>
      <c r="Z146" t="str">
        <f ca="1">IF(OR($L146&gt;Z$4,Z$4&gt;$L146+23),"",OFFSET(Electric!$L137,0,-'Electric Calendarize'!$L146+'Electric Calendarize'!Z$4+1))</f>
        <v/>
      </c>
      <c r="AA146" t="str">
        <f ca="1">IF(OR($L146&gt;AA$4,AA$4&gt;$L146+23),"",OFFSET(Electric!$L137,0,-'Electric Calendarize'!$L146+'Electric Calendarize'!AA$4+1))</f>
        <v/>
      </c>
      <c r="AB146" t="str">
        <f ca="1">IF(OR($L146&gt;AB$4,AB$4&gt;$L146+23),"",OFFSET(Electric!$L137,0,-'Electric Calendarize'!$L146+'Electric Calendarize'!AB$4+1))</f>
        <v/>
      </c>
      <c r="AC146" t="str">
        <f ca="1">IF(OR($L146&gt;AC$4,AC$4&gt;$L146+23),"",OFFSET(Electric!$L137,0,-'Electric Calendarize'!$L146+'Electric Calendarize'!AC$4+1))</f>
        <v/>
      </c>
      <c r="AD146">
        <f ca="1">IF(OR($L146&gt;AD$4,AD$4&gt;$L146+23),"",OFFSET(Electric!$L137,0,-'Electric Calendarize'!$L146+'Electric Calendarize'!AD$4+1))</f>
        <v>0</v>
      </c>
      <c r="AE146">
        <f ca="1">IF(OR($L146&gt;AE$4,AE$4&gt;$L146+23),"",OFFSET(Electric!$L137,0,-'Electric Calendarize'!$L146+'Electric Calendarize'!AE$4+1))</f>
        <v>0</v>
      </c>
      <c r="AF146">
        <f ca="1">IF(OR($L146&gt;AF$4,AF$4&gt;$L146+23),"",OFFSET(Electric!$L137,0,-'Electric Calendarize'!$L146+'Electric Calendarize'!AF$4+1))</f>
        <v>0</v>
      </c>
      <c r="AG146">
        <f ca="1">IF(OR($L146&gt;AG$4,AG$4&gt;$L146+23),"",OFFSET(Electric!$L137,0,-'Electric Calendarize'!$L146+'Electric Calendarize'!AG$4+1))</f>
        <v>0</v>
      </c>
      <c r="AH146">
        <f ca="1">IF(OR($L146&gt;AH$4,AH$4&gt;$L146+23),"",OFFSET(Electric!$L137,0,-'Electric Calendarize'!$L146+'Electric Calendarize'!AH$4+1))</f>
        <v>0</v>
      </c>
      <c r="AI146">
        <f ca="1">IF(OR($L146&gt;AI$4,AI$4&gt;$L146+23),"",OFFSET(Electric!$L137,0,-'Electric Calendarize'!$L146+'Electric Calendarize'!AI$4+1))</f>
        <v>0</v>
      </c>
      <c r="AJ146">
        <f ca="1">IF(OR($L146&gt;AJ$4,AJ$4&gt;$L146+23),"",OFFSET(Electric!$L137,0,-'Electric Calendarize'!$L146+'Electric Calendarize'!AJ$4+1))</f>
        <v>1033</v>
      </c>
      <c r="AK146">
        <f ca="1">IF(OR($L146&gt;AK$4,AK$4&gt;$L146+23),"",OFFSET(Electric!$L137,0,-'Electric Calendarize'!$L146+'Electric Calendarize'!AK$4+1))</f>
        <v>1058</v>
      </c>
      <c r="AL146">
        <f ca="1">IF(OR($L146&gt;AL$4,AL$4&gt;$L146+23),"",OFFSET(Electric!$L137,0,-'Electric Calendarize'!$L146+'Electric Calendarize'!AL$4+1))</f>
        <v>297</v>
      </c>
      <c r="AM146">
        <f ca="1">IF(OR($L146&gt;AM$4,AM$4&gt;$L146+23),"",OFFSET(Electric!$L137,0,-'Electric Calendarize'!$L146+'Electric Calendarize'!AM$4+1))</f>
        <v>207</v>
      </c>
      <c r="AN146">
        <f ca="1">IF(OR($L146&gt;AN$4,AN$4&gt;$L146+23),"",OFFSET(Electric!$L137,0,-'Electric Calendarize'!$L146+'Electric Calendarize'!AN$4+1))</f>
        <v>231</v>
      </c>
      <c r="AO146">
        <f ca="1">IF(OR($L146&gt;AO$4,AO$4&gt;$L146+23),"",OFFSET(Electric!$L137,0,-'Electric Calendarize'!$L146+'Electric Calendarize'!AO$4+1))</f>
        <v>464</v>
      </c>
      <c r="AP146">
        <f ca="1">IF(OR($L146&gt;AP$4,AP$4&gt;$L146+23),"",OFFSET(Electric!$L137,0,-'Electric Calendarize'!$L146+'Electric Calendarize'!AP$4+1))</f>
        <v>609</v>
      </c>
      <c r="AQ146">
        <f ca="1">IF(OR($L146&gt;AQ$4,AQ$4&gt;$L146+23),"",OFFSET(Electric!$L137,0,-'Electric Calendarize'!$L146+'Electric Calendarize'!AQ$4+1))</f>
        <v>891</v>
      </c>
      <c r="AR146">
        <f ca="1">IF(OR($L146&gt;AR$4,AR$4&gt;$L146+23),"",OFFSET(Electric!$L137,0,-'Electric Calendarize'!$L146+'Electric Calendarize'!AR$4+1))</f>
        <v>361</v>
      </c>
      <c r="AS146">
        <f ca="1">IF(OR($L146&gt;AS$4,AS$4&gt;$L146+23),"",OFFSET(Electric!$L137,0,-'Electric Calendarize'!$L146+'Electric Calendarize'!AS$4+1))</f>
        <v>397</v>
      </c>
      <c r="AT146">
        <f ca="1">IF(OR($L146&gt;AT$4,AT$4&gt;$L146+23),"",OFFSET(Electric!$L137,0,-'Electric Calendarize'!$L146+'Electric Calendarize'!AT$4+1))</f>
        <v>470</v>
      </c>
      <c r="AU146">
        <f ca="1">IF(OR($L146&gt;AU$4,AU$4&gt;$L146+23),"",OFFSET(Electric!$L137,0,-'Electric Calendarize'!$L146+'Electric Calendarize'!AU$4+1))</f>
        <v>1087</v>
      </c>
      <c r="AV146">
        <f ca="1">IF(OR($L146&gt;AV$4,AV$4&gt;$L146+23),"",OFFSET(Electric!$L137,0,-'Electric Calendarize'!$L146+'Electric Calendarize'!AV$4+1))</f>
        <v>1450</v>
      </c>
      <c r="AW146">
        <f ca="1">IF(OR($L146&gt;AW$4,AW$4&gt;$L146+23),"",OFFSET(Electric!$L137,0,-'Electric Calendarize'!$L146+'Electric Calendarize'!AW$4+1))</f>
        <v>1419</v>
      </c>
      <c r="AX146">
        <f ca="1">IF(OR($L146&gt;AX$4,AX$4&gt;$L146+23),"",OFFSET(Electric!$L137,0,-'Electric Calendarize'!$L146+'Electric Calendarize'!AX$4+1))</f>
        <v>1354</v>
      </c>
      <c r="AY146">
        <f ca="1">IF(OR($L146&gt;AY$4,AY$4&gt;$L146+23),"",OFFSET(Electric!$L137,0,-'Electric Calendarize'!$L146+'Electric Calendarize'!AY$4+1))</f>
        <v>885</v>
      </c>
      <c r="AZ146">
        <f ca="1">IF(OR($L146&gt;AZ$4,AZ$4&gt;$L146+23),"",OFFSET(Electric!$L137,0,-'Electric Calendarize'!$L146+'Electric Calendarize'!AZ$4+1))</f>
        <v>551</v>
      </c>
      <c r="BA146">
        <f ca="1">IF(OR($L146&gt;BA$4,BA$4&gt;$L146+23),"",OFFSET(Electric!$L137,0,-'Electric Calendarize'!$L146+'Electric Calendarize'!BA$4+1))</f>
        <v>530</v>
      </c>
      <c r="BB146" t="str">
        <f ca="1">IF(OR($L146&gt;BB$4,BB$4&gt;$L146+23),"",OFFSET(Electric!$L137,0,-'Electric Calendarize'!$L146+'Electric Calendarize'!BB$4+1))</f>
        <v/>
      </c>
      <c r="BC146" t="str">
        <f ca="1">IF(OR($L146&gt;BC$4,BC$4&gt;$L146+23),"",OFFSET(Electric!$L137,0,-'Electric Calendarize'!$L146+'Electric Calendarize'!BC$4+1))</f>
        <v/>
      </c>
      <c r="BD146" t="str">
        <f ca="1">IF(OR($L146&gt;BD$4,BD$4&gt;$L146+23),"",OFFSET(Electric!$L137,0,-'Electric Calendarize'!$L146+'Electric Calendarize'!BD$4+1))</f>
        <v/>
      </c>
      <c r="BE146" t="str">
        <f ca="1">IF(OR($L146&gt;BE$4,BE$4&gt;$L146+23),"",OFFSET(Electric!$L137,0,-'Electric Calendarize'!$L146+'Electric Calendarize'!BE$4+1))</f>
        <v/>
      </c>
      <c r="BF146" t="str">
        <f ca="1">IF(OR($L146&gt;BF$4,BF$4&gt;$L146+23),"",OFFSET(Electric!$L137,0,-'Electric Calendarize'!$L146+'Electric Calendarize'!BF$4+1))</f>
        <v/>
      </c>
      <c r="BG146" t="str">
        <f ca="1">IF(OR($L146&gt;BG$4,BG$4&gt;$L146+23),"",OFFSET(Electric!$L137,0,-'Electric Calendarize'!$L146+'Electric Calendarize'!BG$4+1))</f>
        <v/>
      </c>
      <c r="BJ146" s="10" t="s">
        <v>37</v>
      </c>
      <c r="BK146">
        <f t="shared" si="411"/>
        <v>1</v>
      </c>
      <c r="BL146">
        <f t="shared" si="317"/>
        <v>0</v>
      </c>
      <c r="BM146">
        <f t="shared" si="318"/>
        <v>0</v>
      </c>
      <c r="BN146">
        <f t="shared" si="319"/>
        <v>0</v>
      </c>
      <c r="BO146">
        <f t="shared" si="320"/>
        <v>0</v>
      </c>
      <c r="BP146">
        <f t="shared" si="321"/>
        <v>0</v>
      </c>
      <c r="BQ146">
        <f t="shared" si="322"/>
        <v>0</v>
      </c>
      <c r="BR146">
        <f t="shared" si="323"/>
        <v>1</v>
      </c>
      <c r="BS146">
        <f t="shared" si="324"/>
        <v>1</v>
      </c>
      <c r="BT146">
        <f t="shared" si="325"/>
        <v>1</v>
      </c>
      <c r="BU146">
        <f t="shared" si="326"/>
        <v>1</v>
      </c>
      <c r="BV146">
        <f t="shared" si="327"/>
        <v>1</v>
      </c>
      <c r="BW146">
        <f t="shared" si="328"/>
        <v>1</v>
      </c>
      <c r="BX146">
        <f t="shared" si="329"/>
        <v>0</v>
      </c>
      <c r="BY146">
        <f t="shared" si="330"/>
        <v>0</v>
      </c>
      <c r="BZ146">
        <f t="shared" si="331"/>
        <v>0</v>
      </c>
      <c r="CA146">
        <f t="shared" si="332"/>
        <v>0</v>
      </c>
      <c r="CB146">
        <f t="shared" si="333"/>
        <v>0</v>
      </c>
      <c r="CC146">
        <f t="shared" si="334"/>
        <v>0</v>
      </c>
      <c r="CD146">
        <f t="shared" si="335"/>
        <v>1</v>
      </c>
      <c r="CE146">
        <f t="shared" si="336"/>
        <v>1</v>
      </c>
      <c r="CF146">
        <f t="shared" si="337"/>
        <v>1</v>
      </c>
      <c r="CG146">
        <f t="shared" si="338"/>
        <v>1</v>
      </c>
      <c r="CH146">
        <f t="shared" si="339"/>
        <v>1</v>
      </c>
      <c r="CI146">
        <f t="shared" si="340"/>
        <v>1</v>
      </c>
      <c r="CJ146">
        <f t="shared" si="341"/>
        <v>0</v>
      </c>
      <c r="CK146">
        <f t="shared" si="342"/>
        <v>0</v>
      </c>
      <c r="CL146">
        <f t="shared" si="343"/>
        <v>0</v>
      </c>
      <c r="CM146">
        <f t="shared" si="344"/>
        <v>0</v>
      </c>
      <c r="CN146">
        <f t="shared" si="345"/>
        <v>0</v>
      </c>
      <c r="CO146">
        <f t="shared" si="346"/>
        <v>0</v>
      </c>
      <c r="CP146">
        <f t="shared" si="347"/>
        <v>1</v>
      </c>
      <c r="CQ146">
        <f t="shared" si="348"/>
        <v>1</v>
      </c>
      <c r="CR146">
        <f t="shared" si="349"/>
        <v>1</v>
      </c>
      <c r="CS146">
        <f t="shared" si="350"/>
        <v>1</v>
      </c>
      <c r="CT146">
        <f t="shared" si="351"/>
        <v>1</v>
      </c>
      <c r="CU146">
        <f t="shared" si="352"/>
        <v>1</v>
      </c>
      <c r="CV146">
        <f t="shared" si="353"/>
        <v>0</v>
      </c>
      <c r="CW146">
        <f t="shared" si="354"/>
        <v>0</v>
      </c>
      <c r="CX146">
        <f t="shared" si="355"/>
        <v>0</v>
      </c>
      <c r="CY146">
        <f t="shared" si="356"/>
        <v>0</v>
      </c>
      <c r="CZ146">
        <f t="shared" si="357"/>
        <v>0</v>
      </c>
      <c r="DA146">
        <f t="shared" si="358"/>
        <v>0</v>
      </c>
      <c r="DB146">
        <f t="shared" si="359"/>
        <v>1</v>
      </c>
      <c r="DC146">
        <f t="shared" si="360"/>
        <v>1</v>
      </c>
      <c r="DF146" s="10" t="s">
        <v>37</v>
      </c>
      <c r="DG146" t="str">
        <f t="shared" si="412"/>
        <v>2022_7</v>
      </c>
      <c r="DH146" t="str">
        <f t="shared" si="412"/>
        <v>2022_7</v>
      </c>
      <c r="DI146" t="str">
        <f t="shared" si="412"/>
        <v>2022_7</v>
      </c>
      <c r="DJ146" t="str">
        <f t="shared" si="412"/>
        <v>2022_7</v>
      </c>
      <c r="DK146" t="str">
        <f t="shared" si="412"/>
        <v>2022_7</v>
      </c>
      <c r="DL146" t="str">
        <f t="shared" si="412"/>
        <v>2022_7</v>
      </c>
      <c r="DM146" t="str">
        <f t="shared" si="412"/>
        <v>2022_7</v>
      </c>
      <c r="DN146" t="str">
        <f t="shared" si="412"/>
        <v>2022_7</v>
      </c>
      <c r="DO146" t="str">
        <f t="shared" si="412"/>
        <v>2022_7</v>
      </c>
      <c r="DP146" t="str">
        <f t="shared" si="412"/>
        <v>2022_7</v>
      </c>
      <c r="DQ146" t="str">
        <f t="shared" si="412"/>
        <v>2022_7</v>
      </c>
      <c r="DR146" t="str">
        <f t="shared" si="412"/>
        <v>2022_7</v>
      </c>
      <c r="DS146" t="str">
        <f t="shared" si="412"/>
        <v>2022_7</v>
      </c>
      <c r="DT146" t="str">
        <f t="shared" si="412"/>
        <v>2022_7</v>
      </c>
      <c r="DU146" t="str">
        <f t="shared" si="412"/>
        <v>2022_7</v>
      </c>
      <c r="DV146" t="str">
        <f t="shared" si="361"/>
        <v>2022_7</v>
      </c>
      <c r="DW146" t="str">
        <f t="shared" si="361"/>
        <v>2022_7</v>
      </c>
      <c r="DX146" t="str">
        <f t="shared" si="361"/>
        <v>2022_7</v>
      </c>
      <c r="DY146" t="str">
        <f t="shared" si="361"/>
        <v>2022_7</v>
      </c>
      <c r="DZ146" t="str">
        <f t="shared" si="361"/>
        <v>2022_7</v>
      </c>
      <c r="EA146" t="str">
        <f t="shared" si="361"/>
        <v>2022_7</v>
      </c>
      <c r="EB146" t="str">
        <f t="shared" si="361"/>
        <v>2022_7</v>
      </c>
      <c r="EC146" t="str">
        <f t="shared" si="361"/>
        <v>2022_7</v>
      </c>
      <c r="ED146" t="str">
        <f t="shared" si="361"/>
        <v>2022_7</v>
      </c>
      <c r="EE146" t="str">
        <f t="shared" si="361"/>
        <v>2022_7</v>
      </c>
      <c r="EF146" t="str">
        <f t="shared" si="361"/>
        <v>2022_7</v>
      </c>
      <c r="EG146" t="str">
        <f t="shared" si="361"/>
        <v>2022_7</v>
      </c>
      <c r="EH146" t="str">
        <f t="shared" si="361"/>
        <v>2022_7</v>
      </c>
      <c r="EI146" t="str">
        <f t="shared" si="361"/>
        <v>2022_7</v>
      </c>
      <c r="EJ146" t="str">
        <f t="shared" si="361"/>
        <v>2022_7</v>
      </c>
      <c r="EK146" t="str">
        <f t="shared" si="361"/>
        <v>2022_7</v>
      </c>
      <c r="EL146" t="str">
        <f t="shared" si="362"/>
        <v>2022_7</v>
      </c>
      <c r="EM146" t="str">
        <f t="shared" si="316"/>
        <v>2022_7</v>
      </c>
      <c r="EN146" t="str">
        <f t="shared" si="316"/>
        <v>2022_7</v>
      </c>
      <c r="EO146" t="str">
        <f t="shared" si="316"/>
        <v>2022_7</v>
      </c>
      <c r="EP146" t="str">
        <f t="shared" si="316"/>
        <v>2022_7</v>
      </c>
      <c r="EQ146" t="str">
        <f t="shared" si="316"/>
        <v>2022_7</v>
      </c>
      <c r="ER146" t="str">
        <f t="shared" si="316"/>
        <v>2022_7</v>
      </c>
      <c r="ES146" t="str">
        <f t="shared" si="316"/>
        <v>2022_7</v>
      </c>
      <c r="ET146" t="str">
        <f t="shared" si="316"/>
        <v>2022_7</v>
      </c>
      <c r="EU146" t="str">
        <f t="shared" si="316"/>
        <v>2022_7</v>
      </c>
      <c r="EV146" t="str">
        <f t="shared" si="316"/>
        <v>2022_7</v>
      </c>
      <c r="EW146" t="str">
        <f t="shared" si="316"/>
        <v>2022_7</v>
      </c>
      <c r="EX146" t="str">
        <f t="shared" si="316"/>
        <v>2022_7</v>
      </c>
      <c r="EY146" t="str">
        <f t="shared" si="316"/>
        <v>2022_7</v>
      </c>
      <c r="FB146" s="10" t="s">
        <v>37</v>
      </c>
      <c r="FC146">
        <f t="shared" si="413"/>
        <v>0</v>
      </c>
      <c r="FD146">
        <f t="shared" si="363"/>
        <v>0</v>
      </c>
      <c r="FE146">
        <f t="shared" si="364"/>
        <v>0</v>
      </c>
      <c r="FF146">
        <f t="shared" si="365"/>
        <v>0</v>
      </c>
      <c r="FG146">
        <f t="shared" si="366"/>
        <v>0</v>
      </c>
      <c r="FH146">
        <f t="shared" si="367"/>
        <v>0</v>
      </c>
      <c r="FI146">
        <f t="shared" si="368"/>
        <v>0</v>
      </c>
      <c r="FJ146">
        <f t="shared" si="369"/>
        <v>0</v>
      </c>
      <c r="FK146">
        <f t="shared" si="370"/>
        <v>0</v>
      </c>
      <c r="FL146">
        <f t="shared" si="371"/>
        <v>0</v>
      </c>
      <c r="FM146">
        <f t="shared" si="372"/>
        <v>0</v>
      </c>
      <c r="FN146">
        <f t="shared" si="373"/>
        <v>0</v>
      </c>
      <c r="FO146">
        <f t="shared" si="374"/>
        <v>0</v>
      </c>
      <c r="FP146">
        <f t="shared" si="375"/>
        <v>0</v>
      </c>
      <c r="FQ146">
        <f t="shared" si="376"/>
        <v>0</v>
      </c>
      <c r="FR146">
        <f t="shared" si="377"/>
        <v>0</v>
      </c>
      <c r="FS146">
        <f t="shared" si="378"/>
        <v>0</v>
      </c>
      <c r="FT146">
        <f t="shared" si="379"/>
        <v>0</v>
      </c>
      <c r="FU146">
        <f t="shared" si="380"/>
        <v>0</v>
      </c>
      <c r="FV146">
        <f t="shared" si="381"/>
        <v>0</v>
      </c>
      <c r="FW146">
        <f t="shared" si="382"/>
        <v>0</v>
      </c>
      <c r="FX146">
        <f t="shared" si="383"/>
        <v>0</v>
      </c>
      <c r="FY146">
        <f t="shared" si="384"/>
        <v>0</v>
      </c>
      <c r="FZ146">
        <f t="shared" si="385"/>
        <v>0</v>
      </c>
      <c r="GA146">
        <f t="shared" si="386"/>
        <v>0</v>
      </c>
      <c r="GB146">
        <f t="shared" si="387"/>
        <v>0</v>
      </c>
      <c r="GC146">
        <f t="shared" si="388"/>
        <v>0</v>
      </c>
      <c r="GD146">
        <f t="shared" si="389"/>
        <v>1</v>
      </c>
      <c r="GE146">
        <f t="shared" si="390"/>
        <v>1</v>
      </c>
      <c r="GF146">
        <f t="shared" si="391"/>
        <v>1</v>
      </c>
      <c r="GG146">
        <f t="shared" si="392"/>
        <v>1</v>
      </c>
      <c r="GH146">
        <f t="shared" si="393"/>
        <v>1</v>
      </c>
      <c r="GI146">
        <f t="shared" si="394"/>
        <v>1</v>
      </c>
      <c r="GJ146">
        <f t="shared" si="395"/>
        <v>1</v>
      </c>
      <c r="GK146">
        <f t="shared" si="396"/>
        <v>1</v>
      </c>
      <c r="GL146">
        <f t="shared" si="397"/>
        <v>1</v>
      </c>
      <c r="GM146">
        <f t="shared" si="398"/>
        <v>1</v>
      </c>
      <c r="GN146">
        <f t="shared" si="399"/>
        <v>1</v>
      </c>
      <c r="GO146">
        <f t="shared" si="400"/>
        <v>1</v>
      </c>
      <c r="GP146">
        <f t="shared" si="401"/>
        <v>1</v>
      </c>
      <c r="GQ146">
        <f t="shared" si="402"/>
        <v>1</v>
      </c>
      <c r="GR146">
        <f t="shared" si="403"/>
        <v>1</v>
      </c>
      <c r="GS146">
        <f t="shared" si="404"/>
        <v>1</v>
      </c>
      <c r="GT146">
        <f t="shared" si="405"/>
        <v>1</v>
      </c>
      <c r="GU146">
        <f t="shared" si="406"/>
        <v>1</v>
      </c>
      <c r="GX146" s="10"/>
    </row>
    <row r="147" spans="1:206" x14ac:dyDescent="0.3">
      <c r="A147" s="9" t="s">
        <v>180</v>
      </c>
      <c r="B147" s="80"/>
      <c r="C147" s="9">
        <v>3130129000</v>
      </c>
      <c r="D147" s="9" t="s">
        <v>453</v>
      </c>
      <c r="E147" s="9" t="s">
        <v>39</v>
      </c>
      <c r="F147" s="9" t="s">
        <v>35</v>
      </c>
      <c r="G147" s="9" t="s">
        <v>141</v>
      </c>
      <c r="H147" s="10">
        <v>44767</v>
      </c>
      <c r="I147" s="9">
        <f t="shared" si="407"/>
        <v>2022</v>
      </c>
      <c r="J147" s="9">
        <f t="shared" si="408"/>
        <v>7</v>
      </c>
      <c r="K147" s="9" t="str">
        <f t="shared" si="409"/>
        <v>2022_7</v>
      </c>
      <c r="L147">
        <f>MAX(0,VLOOKUP($K147,lookups!$A$1:$B$45,2,0)-12)</f>
        <v>15</v>
      </c>
      <c r="M147" s="40">
        <f t="shared" si="410"/>
        <v>44743</v>
      </c>
      <c r="N147" s="10" t="s">
        <v>37</v>
      </c>
      <c r="O147" t="str">
        <f ca="1">IF(OR($L147&gt;O$4,O$4&gt;$L147+23),"",OFFSET(Electric!$L138,0,-'Electric Calendarize'!$L147+'Electric Calendarize'!O$4+1))</f>
        <v/>
      </c>
      <c r="P147" t="str">
        <f ca="1">IF(OR($L147&gt;P$4,P$4&gt;$L147+23),"",OFFSET(Electric!$L138,0,-'Electric Calendarize'!$L147+'Electric Calendarize'!P$4+1))</f>
        <v/>
      </c>
      <c r="Q147" t="str">
        <f ca="1">IF(OR($L147&gt;Q$4,Q$4&gt;$L147+23),"",OFFSET(Electric!$L138,0,-'Electric Calendarize'!$L147+'Electric Calendarize'!Q$4+1))</f>
        <v/>
      </c>
      <c r="R147" t="str">
        <f ca="1">IF(OR($L147&gt;R$4,R$4&gt;$L147+23),"",OFFSET(Electric!$L138,0,-'Electric Calendarize'!$L147+'Electric Calendarize'!R$4+1))</f>
        <v/>
      </c>
      <c r="S147" t="str">
        <f ca="1">IF(OR($L147&gt;S$4,S$4&gt;$L147+23),"",OFFSET(Electric!$L138,0,-'Electric Calendarize'!$L147+'Electric Calendarize'!S$4+1))</f>
        <v/>
      </c>
      <c r="T147" t="str">
        <f ca="1">IF(OR($L147&gt;T$4,T$4&gt;$L147+23),"",OFFSET(Electric!$L138,0,-'Electric Calendarize'!$L147+'Electric Calendarize'!T$4+1))</f>
        <v/>
      </c>
      <c r="U147" t="str">
        <f ca="1">IF(OR($L147&gt;U$4,U$4&gt;$L147+23),"",OFFSET(Electric!$L138,0,-'Electric Calendarize'!$L147+'Electric Calendarize'!U$4+1))</f>
        <v/>
      </c>
      <c r="V147" t="str">
        <f ca="1">IF(OR($L147&gt;V$4,V$4&gt;$L147+23),"",OFFSET(Electric!$L138,0,-'Electric Calendarize'!$L147+'Electric Calendarize'!V$4+1))</f>
        <v/>
      </c>
      <c r="W147" t="str">
        <f ca="1">IF(OR($L147&gt;W$4,W$4&gt;$L147+23),"",OFFSET(Electric!$L138,0,-'Electric Calendarize'!$L147+'Electric Calendarize'!W$4+1))</f>
        <v/>
      </c>
      <c r="X147" t="str">
        <f ca="1">IF(OR($L147&gt;X$4,X$4&gt;$L147+23),"",OFFSET(Electric!$L138,0,-'Electric Calendarize'!$L147+'Electric Calendarize'!X$4+1))</f>
        <v/>
      </c>
      <c r="Y147" t="str">
        <f ca="1">IF(OR($L147&gt;Y$4,Y$4&gt;$L147+23),"",OFFSET(Electric!$L138,0,-'Electric Calendarize'!$L147+'Electric Calendarize'!Y$4+1))</f>
        <v/>
      </c>
      <c r="Z147" t="str">
        <f ca="1">IF(OR($L147&gt;Z$4,Z$4&gt;$L147+23),"",OFFSET(Electric!$L138,0,-'Electric Calendarize'!$L147+'Electric Calendarize'!Z$4+1))</f>
        <v/>
      </c>
      <c r="AA147" t="str">
        <f ca="1">IF(OR($L147&gt;AA$4,AA$4&gt;$L147+23),"",OFFSET(Electric!$L138,0,-'Electric Calendarize'!$L147+'Electric Calendarize'!AA$4+1))</f>
        <v/>
      </c>
      <c r="AB147" t="str">
        <f ca="1">IF(OR($L147&gt;AB$4,AB$4&gt;$L147+23),"",OFFSET(Electric!$L138,0,-'Electric Calendarize'!$L147+'Electric Calendarize'!AB$4+1))</f>
        <v/>
      </c>
      <c r="AC147" t="str">
        <f ca="1">IF(OR($L147&gt;AC$4,AC$4&gt;$L147+23),"",OFFSET(Electric!$L138,0,-'Electric Calendarize'!$L147+'Electric Calendarize'!AC$4+1))</f>
        <v/>
      </c>
      <c r="AD147">
        <f ca="1">IF(OR($L147&gt;AD$4,AD$4&gt;$L147+23),"",OFFSET(Electric!$L138,0,-'Electric Calendarize'!$L147+'Electric Calendarize'!AD$4+1))</f>
        <v>251</v>
      </c>
      <c r="AE147">
        <f ca="1">IF(OR($L147&gt;AE$4,AE$4&gt;$L147+23),"",OFFSET(Electric!$L138,0,-'Electric Calendarize'!$L147+'Electric Calendarize'!AE$4+1))</f>
        <v>186</v>
      </c>
      <c r="AF147">
        <f ca="1">IF(OR($L147&gt;AF$4,AF$4&gt;$L147+23),"",OFFSET(Electric!$L138,0,-'Electric Calendarize'!$L147+'Electric Calendarize'!AF$4+1))</f>
        <v>231</v>
      </c>
      <c r="AG147">
        <f ca="1">IF(OR($L147&gt;AG$4,AG$4&gt;$L147+23),"",OFFSET(Electric!$L138,0,-'Electric Calendarize'!$L147+'Electric Calendarize'!AG$4+1))</f>
        <v>43</v>
      </c>
      <c r="AH147">
        <f ca="1">IF(OR($L147&gt;AH$4,AH$4&gt;$L147+23),"",OFFSET(Electric!$L138,0,-'Electric Calendarize'!$L147+'Electric Calendarize'!AH$4+1))</f>
        <v>7</v>
      </c>
      <c r="AI147">
        <f ca="1">IF(OR($L147&gt;AI$4,AI$4&gt;$L147+23),"",OFFSET(Electric!$L138,0,-'Electric Calendarize'!$L147+'Electric Calendarize'!AI$4+1))</f>
        <v>22</v>
      </c>
      <c r="AJ147">
        <f ca="1">IF(OR($L147&gt;AJ$4,AJ$4&gt;$L147+23),"",OFFSET(Electric!$L138,0,-'Electric Calendarize'!$L147+'Electric Calendarize'!AJ$4+1))</f>
        <v>25</v>
      </c>
      <c r="AK147">
        <f ca="1">IF(OR($L147&gt;AK$4,AK$4&gt;$L147+23),"",OFFSET(Electric!$L138,0,-'Electric Calendarize'!$L147+'Electric Calendarize'!AK$4+1))</f>
        <v>16</v>
      </c>
      <c r="AL147">
        <f ca="1">IF(OR($L147&gt;AL$4,AL$4&gt;$L147+23),"",OFFSET(Electric!$L138,0,-'Electric Calendarize'!$L147+'Electric Calendarize'!AL$4+1))</f>
        <v>0</v>
      </c>
      <c r="AM147">
        <f ca="1">IF(OR($L147&gt;AM$4,AM$4&gt;$L147+23),"",OFFSET(Electric!$L138,0,-'Electric Calendarize'!$L147+'Electric Calendarize'!AM$4+1))</f>
        <v>17</v>
      </c>
      <c r="AN147">
        <f ca="1">IF(OR($L147&gt;AN$4,AN$4&gt;$L147+23),"",OFFSET(Electric!$L138,0,-'Electric Calendarize'!$L147+'Electric Calendarize'!AN$4+1))</f>
        <v>18</v>
      </c>
      <c r="AO147">
        <f ca="1">IF(OR($L147&gt;AO$4,AO$4&gt;$L147+23),"",OFFSET(Electric!$L138,0,-'Electric Calendarize'!$L147+'Electric Calendarize'!AO$4+1))</f>
        <v>52</v>
      </c>
      <c r="AP147">
        <f ca="1">IF(OR($L147&gt;AP$4,AP$4&gt;$L147+23),"",OFFSET(Electric!$L138,0,-'Electric Calendarize'!$L147+'Electric Calendarize'!AP$4+1))</f>
        <v>425</v>
      </c>
      <c r="AQ147">
        <f ca="1">IF(OR($L147&gt;AQ$4,AQ$4&gt;$L147+23),"",OFFSET(Electric!$L138,0,-'Electric Calendarize'!$L147+'Electric Calendarize'!AQ$4+1))</f>
        <v>200</v>
      </c>
      <c r="AR147">
        <f ca="1">IF(OR($L147&gt;AR$4,AR$4&gt;$L147+23),"",OFFSET(Electric!$L138,0,-'Electric Calendarize'!$L147+'Electric Calendarize'!AR$4+1))</f>
        <v>173</v>
      </c>
      <c r="AS147">
        <f ca="1">IF(OR($L147&gt;AS$4,AS$4&gt;$L147+23),"",OFFSET(Electric!$L138,0,-'Electric Calendarize'!$L147+'Electric Calendarize'!AS$4+1))</f>
        <v>44</v>
      </c>
      <c r="AT147">
        <f ca="1">IF(OR($L147&gt;AT$4,AT$4&gt;$L147+23),"",OFFSET(Electric!$L138,0,-'Electric Calendarize'!$L147+'Electric Calendarize'!AT$4+1))</f>
        <v>-14</v>
      </c>
      <c r="AU147">
        <f ca="1">IF(OR($L147&gt;AU$4,AU$4&gt;$L147+23),"",OFFSET(Electric!$L138,0,-'Electric Calendarize'!$L147+'Electric Calendarize'!AU$4+1))</f>
        <v>0</v>
      </c>
      <c r="AV147">
        <f ca="1">IF(OR($L147&gt;AV$4,AV$4&gt;$L147+23),"",OFFSET(Electric!$L138,0,-'Electric Calendarize'!$L147+'Electric Calendarize'!AV$4+1))</f>
        <v>0</v>
      </c>
      <c r="AW147">
        <f ca="1">IF(OR($L147&gt;AW$4,AW$4&gt;$L147+23),"",OFFSET(Electric!$L138,0,-'Electric Calendarize'!$L147+'Electric Calendarize'!AW$4+1))</f>
        <v>0</v>
      </c>
      <c r="AX147">
        <f ca="1">IF(OR($L147&gt;AX$4,AX$4&gt;$L147+23),"",OFFSET(Electric!$L138,0,-'Electric Calendarize'!$L147+'Electric Calendarize'!AX$4+1))</f>
        <v>0</v>
      </c>
      <c r="AY147">
        <f ca="1">IF(OR($L147&gt;AY$4,AY$4&gt;$L147+23),"",OFFSET(Electric!$L138,0,-'Electric Calendarize'!$L147+'Electric Calendarize'!AY$4+1))</f>
        <v>0</v>
      </c>
      <c r="AZ147">
        <f ca="1">IF(OR($L147&gt;AZ$4,AZ$4&gt;$L147+23),"",OFFSET(Electric!$L138,0,-'Electric Calendarize'!$L147+'Electric Calendarize'!AZ$4+1))</f>
        <v>0</v>
      </c>
      <c r="BA147">
        <f ca="1">IF(OR($L147&gt;BA$4,BA$4&gt;$L147+23),"",OFFSET(Electric!$L138,0,-'Electric Calendarize'!$L147+'Electric Calendarize'!BA$4+1))</f>
        <v>0</v>
      </c>
      <c r="BB147" t="str">
        <f ca="1">IF(OR($L147&gt;BB$4,BB$4&gt;$L147+23),"",OFFSET(Electric!$L138,0,-'Electric Calendarize'!$L147+'Electric Calendarize'!BB$4+1))</f>
        <v/>
      </c>
      <c r="BC147" t="str">
        <f ca="1">IF(OR($L147&gt;BC$4,BC$4&gt;$L147+23),"",OFFSET(Electric!$L138,0,-'Electric Calendarize'!$L147+'Electric Calendarize'!BC$4+1))</f>
        <v/>
      </c>
      <c r="BD147" t="str">
        <f ca="1">IF(OR($L147&gt;BD$4,BD$4&gt;$L147+23),"",OFFSET(Electric!$L138,0,-'Electric Calendarize'!$L147+'Electric Calendarize'!BD$4+1))</f>
        <v/>
      </c>
      <c r="BE147" t="str">
        <f ca="1">IF(OR($L147&gt;BE$4,BE$4&gt;$L147+23),"",OFFSET(Electric!$L138,0,-'Electric Calendarize'!$L147+'Electric Calendarize'!BE$4+1))</f>
        <v/>
      </c>
      <c r="BF147" t="str">
        <f ca="1">IF(OR($L147&gt;BF$4,BF$4&gt;$L147+23),"",OFFSET(Electric!$L138,0,-'Electric Calendarize'!$L147+'Electric Calendarize'!BF$4+1))</f>
        <v/>
      </c>
      <c r="BG147" t="str">
        <f ca="1">IF(OR($L147&gt;BG$4,BG$4&gt;$L147+23),"",OFFSET(Electric!$L138,0,-'Electric Calendarize'!$L147+'Electric Calendarize'!BG$4+1))</f>
        <v/>
      </c>
      <c r="BJ147" s="10" t="s">
        <v>37</v>
      </c>
      <c r="BK147">
        <f t="shared" si="411"/>
        <v>1</v>
      </c>
      <c r="BL147">
        <f t="shared" si="317"/>
        <v>0</v>
      </c>
      <c r="BM147">
        <f t="shared" si="318"/>
        <v>0</v>
      </c>
      <c r="BN147">
        <f t="shared" si="319"/>
        <v>0</v>
      </c>
      <c r="BO147">
        <f t="shared" si="320"/>
        <v>0</v>
      </c>
      <c r="BP147">
        <f t="shared" si="321"/>
        <v>0</v>
      </c>
      <c r="BQ147">
        <f t="shared" si="322"/>
        <v>0</v>
      </c>
      <c r="BR147">
        <f t="shared" si="323"/>
        <v>1</v>
      </c>
      <c r="BS147">
        <f t="shared" si="324"/>
        <v>1</v>
      </c>
      <c r="BT147">
        <f t="shared" si="325"/>
        <v>1</v>
      </c>
      <c r="BU147">
        <f t="shared" si="326"/>
        <v>1</v>
      </c>
      <c r="BV147">
        <f t="shared" si="327"/>
        <v>1</v>
      </c>
      <c r="BW147">
        <f t="shared" si="328"/>
        <v>1</v>
      </c>
      <c r="BX147">
        <f t="shared" si="329"/>
        <v>0</v>
      </c>
      <c r="BY147">
        <f t="shared" si="330"/>
        <v>0</v>
      </c>
      <c r="BZ147">
        <f t="shared" si="331"/>
        <v>0</v>
      </c>
      <c r="CA147">
        <f t="shared" si="332"/>
        <v>0</v>
      </c>
      <c r="CB147">
        <f t="shared" si="333"/>
        <v>0</v>
      </c>
      <c r="CC147">
        <f t="shared" si="334"/>
        <v>0</v>
      </c>
      <c r="CD147">
        <f t="shared" si="335"/>
        <v>1</v>
      </c>
      <c r="CE147">
        <f t="shared" si="336"/>
        <v>1</v>
      </c>
      <c r="CF147">
        <f t="shared" si="337"/>
        <v>1</v>
      </c>
      <c r="CG147">
        <f t="shared" si="338"/>
        <v>1</v>
      </c>
      <c r="CH147">
        <f t="shared" si="339"/>
        <v>1</v>
      </c>
      <c r="CI147">
        <f t="shared" si="340"/>
        <v>1</v>
      </c>
      <c r="CJ147">
        <f t="shared" si="341"/>
        <v>0</v>
      </c>
      <c r="CK147">
        <f t="shared" si="342"/>
        <v>0</v>
      </c>
      <c r="CL147">
        <f t="shared" si="343"/>
        <v>0</v>
      </c>
      <c r="CM147">
        <f t="shared" si="344"/>
        <v>0</v>
      </c>
      <c r="CN147">
        <f t="shared" si="345"/>
        <v>0</v>
      </c>
      <c r="CO147">
        <f t="shared" si="346"/>
        <v>0</v>
      </c>
      <c r="CP147">
        <f t="shared" si="347"/>
        <v>1</v>
      </c>
      <c r="CQ147">
        <f t="shared" si="348"/>
        <v>1</v>
      </c>
      <c r="CR147">
        <f t="shared" si="349"/>
        <v>1</v>
      </c>
      <c r="CS147">
        <f t="shared" si="350"/>
        <v>1</v>
      </c>
      <c r="CT147">
        <f t="shared" si="351"/>
        <v>1</v>
      </c>
      <c r="CU147">
        <f t="shared" si="352"/>
        <v>1</v>
      </c>
      <c r="CV147">
        <f t="shared" si="353"/>
        <v>0</v>
      </c>
      <c r="CW147">
        <f t="shared" si="354"/>
        <v>0</v>
      </c>
      <c r="CX147">
        <f t="shared" si="355"/>
        <v>0</v>
      </c>
      <c r="CY147">
        <f t="shared" si="356"/>
        <v>0</v>
      </c>
      <c r="CZ147">
        <f t="shared" si="357"/>
        <v>0</v>
      </c>
      <c r="DA147">
        <f t="shared" si="358"/>
        <v>0</v>
      </c>
      <c r="DB147">
        <f t="shared" si="359"/>
        <v>1</v>
      </c>
      <c r="DC147">
        <f t="shared" si="360"/>
        <v>1</v>
      </c>
      <c r="DF147" s="10" t="s">
        <v>37</v>
      </c>
      <c r="DG147" t="str">
        <f t="shared" si="412"/>
        <v>2022_7</v>
      </c>
      <c r="DH147" t="str">
        <f t="shared" si="412"/>
        <v>2022_7</v>
      </c>
      <c r="DI147" t="str">
        <f t="shared" si="412"/>
        <v>2022_7</v>
      </c>
      <c r="DJ147" t="str">
        <f t="shared" si="412"/>
        <v>2022_7</v>
      </c>
      <c r="DK147" t="str">
        <f t="shared" si="412"/>
        <v>2022_7</v>
      </c>
      <c r="DL147" t="str">
        <f t="shared" si="412"/>
        <v>2022_7</v>
      </c>
      <c r="DM147" t="str">
        <f t="shared" si="412"/>
        <v>2022_7</v>
      </c>
      <c r="DN147" t="str">
        <f t="shared" si="412"/>
        <v>2022_7</v>
      </c>
      <c r="DO147" t="str">
        <f t="shared" si="412"/>
        <v>2022_7</v>
      </c>
      <c r="DP147" t="str">
        <f t="shared" si="412"/>
        <v>2022_7</v>
      </c>
      <c r="DQ147" t="str">
        <f t="shared" si="412"/>
        <v>2022_7</v>
      </c>
      <c r="DR147" t="str">
        <f t="shared" si="412"/>
        <v>2022_7</v>
      </c>
      <c r="DS147" t="str">
        <f t="shared" si="412"/>
        <v>2022_7</v>
      </c>
      <c r="DT147" t="str">
        <f t="shared" si="412"/>
        <v>2022_7</v>
      </c>
      <c r="DU147" t="str">
        <f t="shared" si="412"/>
        <v>2022_7</v>
      </c>
      <c r="DV147" t="str">
        <f t="shared" si="361"/>
        <v>2022_7</v>
      </c>
      <c r="DW147" t="str">
        <f t="shared" si="361"/>
        <v>2022_7</v>
      </c>
      <c r="DX147" t="str">
        <f t="shared" si="361"/>
        <v>2022_7</v>
      </c>
      <c r="DY147" t="str">
        <f t="shared" si="361"/>
        <v>2022_7</v>
      </c>
      <c r="DZ147" t="str">
        <f t="shared" si="361"/>
        <v>2022_7</v>
      </c>
      <c r="EA147" t="str">
        <f t="shared" si="361"/>
        <v>2022_7</v>
      </c>
      <c r="EB147" t="str">
        <f t="shared" si="361"/>
        <v>2022_7</v>
      </c>
      <c r="EC147" t="str">
        <f t="shared" si="361"/>
        <v>2022_7</v>
      </c>
      <c r="ED147" t="str">
        <f t="shared" si="361"/>
        <v>2022_7</v>
      </c>
      <c r="EE147" t="str">
        <f t="shared" si="361"/>
        <v>2022_7</v>
      </c>
      <c r="EF147" t="str">
        <f t="shared" si="361"/>
        <v>2022_7</v>
      </c>
      <c r="EG147" t="str">
        <f t="shared" si="361"/>
        <v>2022_7</v>
      </c>
      <c r="EH147" t="str">
        <f t="shared" si="361"/>
        <v>2022_7</v>
      </c>
      <c r="EI147" t="str">
        <f t="shared" si="361"/>
        <v>2022_7</v>
      </c>
      <c r="EJ147" t="str">
        <f t="shared" si="361"/>
        <v>2022_7</v>
      </c>
      <c r="EK147" t="str">
        <f t="shared" si="361"/>
        <v>2022_7</v>
      </c>
      <c r="EL147" t="str">
        <f t="shared" si="362"/>
        <v>2022_7</v>
      </c>
      <c r="EM147" t="str">
        <f t="shared" si="316"/>
        <v>2022_7</v>
      </c>
      <c r="EN147" t="str">
        <f t="shared" si="316"/>
        <v>2022_7</v>
      </c>
      <c r="EO147" t="str">
        <f t="shared" si="316"/>
        <v>2022_7</v>
      </c>
      <c r="EP147" t="str">
        <f t="shared" si="316"/>
        <v>2022_7</v>
      </c>
      <c r="EQ147" t="str">
        <f t="shared" si="316"/>
        <v>2022_7</v>
      </c>
      <c r="ER147" t="str">
        <f t="shared" si="316"/>
        <v>2022_7</v>
      </c>
      <c r="ES147" t="str">
        <f t="shared" si="316"/>
        <v>2022_7</v>
      </c>
      <c r="ET147" t="str">
        <f t="shared" si="316"/>
        <v>2022_7</v>
      </c>
      <c r="EU147" t="str">
        <f t="shared" si="316"/>
        <v>2022_7</v>
      </c>
      <c r="EV147" t="str">
        <f t="shared" si="316"/>
        <v>2022_7</v>
      </c>
      <c r="EW147" t="str">
        <f t="shared" si="316"/>
        <v>2022_7</v>
      </c>
      <c r="EX147" t="str">
        <f t="shared" si="316"/>
        <v>2022_7</v>
      </c>
      <c r="EY147" t="str">
        <f t="shared" si="316"/>
        <v>2022_7</v>
      </c>
      <c r="FB147" s="10" t="s">
        <v>37</v>
      </c>
      <c r="FC147">
        <f t="shared" si="413"/>
        <v>0</v>
      </c>
      <c r="FD147">
        <f t="shared" si="363"/>
        <v>0</v>
      </c>
      <c r="FE147">
        <f t="shared" si="364"/>
        <v>0</v>
      </c>
      <c r="FF147">
        <f t="shared" si="365"/>
        <v>0</v>
      </c>
      <c r="FG147">
        <f t="shared" si="366"/>
        <v>0</v>
      </c>
      <c r="FH147">
        <f t="shared" si="367"/>
        <v>0</v>
      </c>
      <c r="FI147">
        <f t="shared" si="368"/>
        <v>0</v>
      </c>
      <c r="FJ147">
        <f t="shared" si="369"/>
        <v>0</v>
      </c>
      <c r="FK147">
        <f t="shared" si="370"/>
        <v>0</v>
      </c>
      <c r="FL147">
        <f t="shared" si="371"/>
        <v>0</v>
      </c>
      <c r="FM147">
        <f t="shared" si="372"/>
        <v>0</v>
      </c>
      <c r="FN147">
        <f t="shared" si="373"/>
        <v>0</v>
      </c>
      <c r="FO147">
        <f t="shared" si="374"/>
        <v>0</v>
      </c>
      <c r="FP147">
        <f t="shared" si="375"/>
        <v>0</v>
      </c>
      <c r="FQ147">
        <f t="shared" si="376"/>
        <v>0</v>
      </c>
      <c r="FR147">
        <f t="shared" si="377"/>
        <v>0</v>
      </c>
      <c r="FS147">
        <f t="shared" si="378"/>
        <v>0</v>
      </c>
      <c r="FT147">
        <f t="shared" si="379"/>
        <v>0</v>
      </c>
      <c r="FU147">
        <f t="shared" si="380"/>
        <v>0</v>
      </c>
      <c r="FV147">
        <f t="shared" si="381"/>
        <v>0</v>
      </c>
      <c r="FW147">
        <f t="shared" si="382"/>
        <v>0</v>
      </c>
      <c r="FX147">
        <f t="shared" si="383"/>
        <v>0</v>
      </c>
      <c r="FY147">
        <f t="shared" si="384"/>
        <v>0</v>
      </c>
      <c r="FZ147">
        <f t="shared" si="385"/>
        <v>0</v>
      </c>
      <c r="GA147">
        <f t="shared" si="386"/>
        <v>0</v>
      </c>
      <c r="GB147">
        <f t="shared" si="387"/>
        <v>0</v>
      </c>
      <c r="GC147">
        <f t="shared" si="388"/>
        <v>0</v>
      </c>
      <c r="GD147">
        <f t="shared" si="389"/>
        <v>1</v>
      </c>
      <c r="GE147">
        <f t="shared" si="390"/>
        <v>1</v>
      </c>
      <c r="GF147">
        <f t="shared" si="391"/>
        <v>1</v>
      </c>
      <c r="GG147">
        <f t="shared" si="392"/>
        <v>1</v>
      </c>
      <c r="GH147">
        <f t="shared" si="393"/>
        <v>1</v>
      </c>
      <c r="GI147">
        <f t="shared" si="394"/>
        <v>1</v>
      </c>
      <c r="GJ147">
        <f t="shared" si="395"/>
        <v>1</v>
      </c>
      <c r="GK147">
        <f t="shared" si="396"/>
        <v>1</v>
      </c>
      <c r="GL147">
        <f t="shared" si="397"/>
        <v>1</v>
      </c>
      <c r="GM147">
        <f t="shared" si="398"/>
        <v>1</v>
      </c>
      <c r="GN147">
        <f t="shared" si="399"/>
        <v>1</v>
      </c>
      <c r="GO147">
        <f t="shared" si="400"/>
        <v>1</v>
      </c>
      <c r="GP147">
        <f t="shared" si="401"/>
        <v>1</v>
      </c>
      <c r="GQ147">
        <f t="shared" si="402"/>
        <v>1</v>
      </c>
      <c r="GR147">
        <f t="shared" si="403"/>
        <v>1</v>
      </c>
      <c r="GS147">
        <f t="shared" si="404"/>
        <v>1</v>
      </c>
      <c r="GT147">
        <f t="shared" si="405"/>
        <v>1</v>
      </c>
      <c r="GU147">
        <f t="shared" si="406"/>
        <v>1</v>
      </c>
      <c r="GX147" s="10"/>
    </row>
    <row r="148" spans="1:206" x14ac:dyDescent="0.3">
      <c r="A148" s="9" t="s">
        <v>33</v>
      </c>
      <c r="B148" s="80"/>
      <c r="C148" s="9">
        <v>3110299002</v>
      </c>
      <c r="D148" s="9" t="s">
        <v>454</v>
      </c>
      <c r="E148" s="9" t="s">
        <v>39</v>
      </c>
      <c r="F148" s="9" t="s">
        <v>35</v>
      </c>
      <c r="G148" s="9" t="s">
        <v>181</v>
      </c>
      <c r="H148" s="10">
        <v>44769</v>
      </c>
      <c r="I148" s="9">
        <f t="shared" si="407"/>
        <v>2022</v>
      </c>
      <c r="J148" s="9">
        <f t="shared" si="408"/>
        <v>7</v>
      </c>
      <c r="K148" s="9" t="str">
        <f t="shared" si="409"/>
        <v>2022_7</v>
      </c>
      <c r="L148">
        <f>MAX(0,VLOOKUP($K148,lookups!$A$1:$B$45,2,0)-12)</f>
        <v>15</v>
      </c>
      <c r="M148" s="40">
        <f t="shared" si="410"/>
        <v>44743</v>
      </c>
      <c r="N148" s="10" t="s">
        <v>37</v>
      </c>
      <c r="O148" t="str">
        <f ca="1">IF(OR($L148&gt;O$4,O$4&gt;$L148+23),"",OFFSET(Electric!$L139,0,-'Electric Calendarize'!$L148+'Electric Calendarize'!O$4+1))</f>
        <v/>
      </c>
      <c r="P148" t="str">
        <f ca="1">IF(OR($L148&gt;P$4,P$4&gt;$L148+23),"",OFFSET(Electric!$L139,0,-'Electric Calendarize'!$L148+'Electric Calendarize'!P$4+1))</f>
        <v/>
      </c>
      <c r="Q148" t="str">
        <f ca="1">IF(OR($L148&gt;Q$4,Q$4&gt;$L148+23),"",OFFSET(Electric!$L139,0,-'Electric Calendarize'!$L148+'Electric Calendarize'!Q$4+1))</f>
        <v/>
      </c>
      <c r="R148" t="str">
        <f ca="1">IF(OR($L148&gt;R$4,R$4&gt;$L148+23),"",OFFSET(Electric!$L139,0,-'Electric Calendarize'!$L148+'Electric Calendarize'!R$4+1))</f>
        <v/>
      </c>
      <c r="S148" t="str">
        <f ca="1">IF(OR($L148&gt;S$4,S$4&gt;$L148+23),"",OFFSET(Electric!$L139,0,-'Electric Calendarize'!$L148+'Electric Calendarize'!S$4+1))</f>
        <v/>
      </c>
      <c r="T148" t="str">
        <f ca="1">IF(OR($L148&gt;T$4,T$4&gt;$L148+23),"",OFFSET(Electric!$L139,0,-'Electric Calendarize'!$L148+'Electric Calendarize'!T$4+1))</f>
        <v/>
      </c>
      <c r="U148" t="str">
        <f ca="1">IF(OR($L148&gt;U$4,U$4&gt;$L148+23),"",OFFSET(Electric!$L139,0,-'Electric Calendarize'!$L148+'Electric Calendarize'!U$4+1))</f>
        <v/>
      </c>
      <c r="V148" t="str">
        <f ca="1">IF(OR($L148&gt;V$4,V$4&gt;$L148+23),"",OFFSET(Electric!$L139,0,-'Electric Calendarize'!$L148+'Electric Calendarize'!V$4+1))</f>
        <v/>
      </c>
      <c r="W148" t="str">
        <f ca="1">IF(OR($L148&gt;W$4,W$4&gt;$L148+23),"",OFFSET(Electric!$L139,0,-'Electric Calendarize'!$L148+'Electric Calendarize'!W$4+1))</f>
        <v/>
      </c>
      <c r="X148" t="str">
        <f ca="1">IF(OR($L148&gt;X$4,X$4&gt;$L148+23),"",OFFSET(Electric!$L139,0,-'Electric Calendarize'!$L148+'Electric Calendarize'!X$4+1))</f>
        <v/>
      </c>
      <c r="Y148" t="str">
        <f ca="1">IF(OR($L148&gt;Y$4,Y$4&gt;$L148+23),"",OFFSET(Electric!$L139,0,-'Electric Calendarize'!$L148+'Electric Calendarize'!Y$4+1))</f>
        <v/>
      </c>
      <c r="Z148" t="str">
        <f ca="1">IF(OR($L148&gt;Z$4,Z$4&gt;$L148+23),"",OFFSET(Electric!$L139,0,-'Electric Calendarize'!$L148+'Electric Calendarize'!Z$4+1))</f>
        <v/>
      </c>
      <c r="AA148" t="str">
        <f ca="1">IF(OR($L148&gt;AA$4,AA$4&gt;$L148+23),"",OFFSET(Electric!$L139,0,-'Electric Calendarize'!$L148+'Electric Calendarize'!AA$4+1))</f>
        <v/>
      </c>
      <c r="AB148" t="str">
        <f ca="1">IF(OR($L148&gt;AB$4,AB$4&gt;$L148+23),"",OFFSET(Electric!$L139,0,-'Electric Calendarize'!$L148+'Electric Calendarize'!AB$4+1))</f>
        <v/>
      </c>
      <c r="AC148" t="str">
        <f ca="1">IF(OR($L148&gt;AC$4,AC$4&gt;$L148+23),"",OFFSET(Electric!$L139,0,-'Electric Calendarize'!$L148+'Electric Calendarize'!AC$4+1))</f>
        <v/>
      </c>
      <c r="AD148">
        <f ca="1">IF(OR($L148&gt;AD$4,AD$4&gt;$L148+23),"",OFFSET(Electric!$L139,0,-'Electric Calendarize'!$L148+'Electric Calendarize'!AD$4+1))</f>
        <v>0</v>
      </c>
      <c r="AE148">
        <f ca="1">IF(OR($L148&gt;AE$4,AE$4&gt;$L148+23),"",OFFSET(Electric!$L139,0,-'Electric Calendarize'!$L148+'Electric Calendarize'!AE$4+1))</f>
        <v>0</v>
      </c>
      <c r="AF148">
        <f ca="1">IF(OR($L148&gt;AF$4,AF$4&gt;$L148+23),"",OFFSET(Electric!$L139,0,-'Electric Calendarize'!$L148+'Electric Calendarize'!AF$4+1))</f>
        <v>0</v>
      </c>
      <c r="AG148">
        <f ca="1">IF(OR($L148&gt;AG$4,AG$4&gt;$L148+23),"",OFFSET(Electric!$L139,0,-'Electric Calendarize'!$L148+'Electric Calendarize'!AG$4+1))</f>
        <v>0</v>
      </c>
      <c r="AH148">
        <f ca="1">IF(OR($L148&gt;AH$4,AH$4&gt;$L148+23),"",OFFSET(Electric!$L139,0,-'Electric Calendarize'!$L148+'Electric Calendarize'!AH$4+1))</f>
        <v>0</v>
      </c>
      <c r="AI148">
        <f ca="1">IF(OR($L148&gt;AI$4,AI$4&gt;$L148+23),"",OFFSET(Electric!$L139,0,-'Electric Calendarize'!$L148+'Electric Calendarize'!AI$4+1))</f>
        <v>1046</v>
      </c>
      <c r="AJ148">
        <f ca="1">IF(OR($L148&gt;AJ$4,AJ$4&gt;$L148+23),"",OFFSET(Electric!$L139,0,-'Electric Calendarize'!$L148+'Electric Calendarize'!AJ$4+1))</f>
        <v>1356</v>
      </c>
      <c r="AK148">
        <f ca="1">IF(OR($L148&gt;AK$4,AK$4&gt;$L148+23),"",OFFSET(Electric!$L139,0,-'Electric Calendarize'!$L148+'Electric Calendarize'!AK$4+1))</f>
        <v>990</v>
      </c>
      <c r="AL148">
        <f ca="1">IF(OR($L148&gt;AL$4,AL$4&gt;$L148+23),"",OFFSET(Electric!$L139,0,-'Electric Calendarize'!$L148+'Electric Calendarize'!AL$4+1))</f>
        <v>820</v>
      </c>
      <c r="AM148">
        <f ca="1">IF(OR($L148&gt;AM$4,AM$4&gt;$L148+23),"",OFFSET(Electric!$L139,0,-'Electric Calendarize'!$L148+'Electric Calendarize'!AM$4+1))</f>
        <v>776</v>
      </c>
      <c r="AN148">
        <f ca="1">IF(OR($L148&gt;AN$4,AN$4&gt;$L148+23),"",OFFSET(Electric!$L139,0,-'Electric Calendarize'!$L148+'Electric Calendarize'!AN$4+1))</f>
        <v>756</v>
      </c>
      <c r="AO148">
        <f ca="1">IF(OR($L148&gt;AO$4,AO$4&gt;$L148+23),"",OFFSET(Electric!$L139,0,-'Electric Calendarize'!$L148+'Electric Calendarize'!AO$4+1))</f>
        <v>930</v>
      </c>
      <c r="AP148">
        <f ca="1">IF(OR($L148&gt;AP$4,AP$4&gt;$L148+23),"",OFFSET(Electric!$L139,0,-'Electric Calendarize'!$L148+'Electric Calendarize'!AP$4+1))</f>
        <v>908</v>
      </c>
      <c r="AQ148">
        <f ca="1">IF(OR($L148&gt;AQ$4,AQ$4&gt;$L148+23),"",OFFSET(Electric!$L139,0,-'Electric Calendarize'!$L148+'Electric Calendarize'!AQ$4+1))</f>
        <v>1732</v>
      </c>
      <c r="AR148">
        <f ca="1">IF(OR($L148&gt;AR$4,AR$4&gt;$L148+23),"",OFFSET(Electric!$L139,0,-'Electric Calendarize'!$L148+'Electric Calendarize'!AR$4+1))</f>
        <v>1374</v>
      </c>
      <c r="AS148">
        <f ca="1">IF(OR($L148&gt;AS$4,AS$4&gt;$L148+23),"",OFFSET(Electric!$L139,0,-'Electric Calendarize'!$L148+'Electric Calendarize'!AS$4+1))</f>
        <v>1068</v>
      </c>
      <c r="AT148">
        <f ca="1">IF(OR($L148&gt;AT$4,AT$4&gt;$L148+23),"",OFFSET(Electric!$L139,0,-'Electric Calendarize'!$L148+'Electric Calendarize'!AT$4+1))</f>
        <v>2084</v>
      </c>
      <c r="AU148">
        <f ca="1">IF(OR($L148&gt;AU$4,AU$4&gt;$L148+23),"",OFFSET(Electric!$L139,0,-'Electric Calendarize'!$L148+'Electric Calendarize'!AU$4+1))</f>
        <v>2060</v>
      </c>
      <c r="AV148">
        <f ca="1">IF(OR($L148&gt;AV$4,AV$4&gt;$L148+23),"",OFFSET(Electric!$L139,0,-'Electric Calendarize'!$L148+'Electric Calendarize'!AV$4+1))</f>
        <v>1162</v>
      </c>
      <c r="AW148">
        <f ca="1">IF(OR($L148&gt;AW$4,AW$4&gt;$L148+23),"",OFFSET(Electric!$L139,0,-'Electric Calendarize'!$L148+'Electric Calendarize'!AW$4+1))</f>
        <v>1044</v>
      </c>
      <c r="AX148">
        <f ca="1">IF(OR($L148&gt;AX$4,AX$4&gt;$L148+23),"",OFFSET(Electric!$L139,0,-'Electric Calendarize'!$L148+'Electric Calendarize'!AX$4+1))</f>
        <v>894</v>
      </c>
      <c r="AY148">
        <f ca="1">IF(OR($L148&gt;AY$4,AY$4&gt;$L148+23),"",OFFSET(Electric!$L139,0,-'Electric Calendarize'!$L148+'Electric Calendarize'!AY$4+1))</f>
        <v>772</v>
      </c>
      <c r="AZ148">
        <f ca="1">IF(OR($L148&gt;AZ$4,AZ$4&gt;$L148+23),"",OFFSET(Electric!$L139,0,-'Electric Calendarize'!$L148+'Electric Calendarize'!AZ$4+1))</f>
        <v>1324</v>
      </c>
      <c r="BA148">
        <f ca="1">IF(OR($L148&gt;BA$4,BA$4&gt;$L148+23),"",OFFSET(Electric!$L139,0,-'Electric Calendarize'!$L148+'Electric Calendarize'!BA$4+1))</f>
        <v>1260</v>
      </c>
      <c r="BB148" t="str">
        <f ca="1">IF(OR($L148&gt;BB$4,BB$4&gt;$L148+23),"",OFFSET(Electric!$L139,0,-'Electric Calendarize'!$L148+'Electric Calendarize'!BB$4+1))</f>
        <v/>
      </c>
      <c r="BC148" t="str">
        <f ca="1">IF(OR($L148&gt;BC$4,BC$4&gt;$L148+23),"",OFFSET(Electric!$L139,0,-'Electric Calendarize'!$L148+'Electric Calendarize'!BC$4+1))</f>
        <v/>
      </c>
      <c r="BD148" t="str">
        <f ca="1">IF(OR($L148&gt;BD$4,BD$4&gt;$L148+23),"",OFFSET(Electric!$L139,0,-'Electric Calendarize'!$L148+'Electric Calendarize'!BD$4+1))</f>
        <v/>
      </c>
      <c r="BE148" t="str">
        <f ca="1">IF(OR($L148&gt;BE$4,BE$4&gt;$L148+23),"",OFFSET(Electric!$L139,0,-'Electric Calendarize'!$L148+'Electric Calendarize'!BE$4+1))</f>
        <v/>
      </c>
      <c r="BF148" t="str">
        <f ca="1">IF(OR($L148&gt;BF$4,BF$4&gt;$L148+23),"",OFFSET(Electric!$L139,0,-'Electric Calendarize'!$L148+'Electric Calendarize'!BF$4+1))</f>
        <v/>
      </c>
      <c r="BG148" t="str">
        <f ca="1">IF(OR($L148&gt;BG$4,BG$4&gt;$L148+23),"",OFFSET(Electric!$L139,0,-'Electric Calendarize'!$L148+'Electric Calendarize'!BG$4+1))</f>
        <v/>
      </c>
      <c r="BJ148" s="10" t="s">
        <v>37</v>
      </c>
      <c r="BK148">
        <f t="shared" si="411"/>
        <v>1</v>
      </c>
      <c r="BL148">
        <f t="shared" si="317"/>
        <v>0</v>
      </c>
      <c r="BM148">
        <f t="shared" si="318"/>
        <v>0</v>
      </c>
      <c r="BN148">
        <f t="shared" si="319"/>
        <v>0</v>
      </c>
      <c r="BO148">
        <f t="shared" si="320"/>
        <v>0</v>
      </c>
      <c r="BP148">
        <f t="shared" si="321"/>
        <v>0</v>
      </c>
      <c r="BQ148">
        <f t="shared" si="322"/>
        <v>0</v>
      </c>
      <c r="BR148">
        <f t="shared" si="323"/>
        <v>1</v>
      </c>
      <c r="BS148">
        <f t="shared" si="324"/>
        <v>1</v>
      </c>
      <c r="BT148">
        <f t="shared" si="325"/>
        <v>1</v>
      </c>
      <c r="BU148">
        <f t="shared" si="326"/>
        <v>1</v>
      </c>
      <c r="BV148">
        <f t="shared" si="327"/>
        <v>1</v>
      </c>
      <c r="BW148">
        <f t="shared" si="328"/>
        <v>1</v>
      </c>
      <c r="BX148">
        <f t="shared" si="329"/>
        <v>0</v>
      </c>
      <c r="BY148">
        <f t="shared" si="330"/>
        <v>0</v>
      </c>
      <c r="BZ148">
        <f t="shared" si="331"/>
        <v>0</v>
      </c>
      <c r="CA148">
        <f t="shared" si="332"/>
        <v>0</v>
      </c>
      <c r="CB148">
        <f t="shared" si="333"/>
        <v>0</v>
      </c>
      <c r="CC148">
        <f t="shared" si="334"/>
        <v>0</v>
      </c>
      <c r="CD148">
        <f t="shared" si="335"/>
        <v>1</v>
      </c>
      <c r="CE148">
        <f t="shared" si="336"/>
        <v>1</v>
      </c>
      <c r="CF148">
        <f t="shared" si="337"/>
        <v>1</v>
      </c>
      <c r="CG148">
        <f t="shared" si="338"/>
        <v>1</v>
      </c>
      <c r="CH148">
        <f t="shared" si="339"/>
        <v>1</v>
      </c>
      <c r="CI148">
        <f t="shared" si="340"/>
        <v>1</v>
      </c>
      <c r="CJ148">
        <f t="shared" si="341"/>
        <v>0</v>
      </c>
      <c r="CK148">
        <f t="shared" si="342"/>
        <v>0</v>
      </c>
      <c r="CL148">
        <f t="shared" si="343"/>
        <v>0</v>
      </c>
      <c r="CM148">
        <f t="shared" si="344"/>
        <v>0</v>
      </c>
      <c r="CN148">
        <f t="shared" si="345"/>
        <v>0</v>
      </c>
      <c r="CO148">
        <f t="shared" si="346"/>
        <v>0</v>
      </c>
      <c r="CP148">
        <f t="shared" si="347"/>
        <v>1</v>
      </c>
      <c r="CQ148">
        <f t="shared" si="348"/>
        <v>1</v>
      </c>
      <c r="CR148">
        <f t="shared" si="349"/>
        <v>1</v>
      </c>
      <c r="CS148">
        <f t="shared" si="350"/>
        <v>1</v>
      </c>
      <c r="CT148">
        <f t="shared" si="351"/>
        <v>1</v>
      </c>
      <c r="CU148">
        <f t="shared" si="352"/>
        <v>1</v>
      </c>
      <c r="CV148">
        <f t="shared" si="353"/>
        <v>0</v>
      </c>
      <c r="CW148">
        <f t="shared" si="354"/>
        <v>0</v>
      </c>
      <c r="CX148">
        <f t="shared" si="355"/>
        <v>0</v>
      </c>
      <c r="CY148">
        <f t="shared" si="356"/>
        <v>0</v>
      </c>
      <c r="CZ148">
        <f t="shared" si="357"/>
        <v>0</v>
      </c>
      <c r="DA148">
        <f t="shared" si="358"/>
        <v>0</v>
      </c>
      <c r="DB148">
        <f t="shared" si="359"/>
        <v>1</v>
      </c>
      <c r="DC148">
        <f t="shared" si="360"/>
        <v>1</v>
      </c>
      <c r="DF148" s="10" t="s">
        <v>37</v>
      </c>
      <c r="DG148" t="str">
        <f t="shared" si="412"/>
        <v>2022_7</v>
      </c>
      <c r="DH148" t="str">
        <f t="shared" si="412"/>
        <v>2022_7</v>
      </c>
      <c r="DI148" t="str">
        <f t="shared" si="412"/>
        <v>2022_7</v>
      </c>
      <c r="DJ148" t="str">
        <f t="shared" si="412"/>
        <v>2022_7</v>
      </c>
      <c r="DK148" t="str">
        <f t="shared" si="412"/>
        <v>2022_7</v>
      </c>
      <c r="DL148" t="str">
        <f t="shared" si="412"/>
        <v>2022_7</v>
      </c>
      <c r="DM148" t="str">
        <f t="shared" si="412"/>
        <v>2022_7</v>
      </c>
      <c r="DN148" t="str">
        <f t="shared" si="412"/>
        <v>2022_7</v>
      </c>
      <c r="DO148" t="str">
        <f t="shared" si="412"/>
        <v>2022_7</v>
      </c>
      <c r="DP148" t="str">
        <f t="shared" si="412"/>
        <v>2022_7</v>
      </c>
      <c r="DQ148" t="str">
        <f t="shared" si="412"/>
        <v>2022_7</v>
      </c>
      <c r="DR148" t="str">
        <f t="shared" si="412"/>
        <v>2022_7</v>
      </c>
      <c r="DS148" t="str">
        <f t="shared" si="412"/>
        <v>2022_7</v>
      </c>
      <c r="DT148" t="str">
        <f t="shared" si="412"/>
        <v>2022_7</v>
      </c>
      <c r="DU148" t="str">
        <f t="shared" si="412"/>
        <v>2022_7</v>
      </c>
      <c r="DV148" t="str">
        <f t="shared" si="361"/>
        <v>2022_7</v>
      </c>
      <c r="DW148" t="str">
        <f t="shared" si="361"/>
        <v>2022_7</v>
      </c>
      <c r="DX148" t="str">
        <f t="shared" si="361"/>
        <v>2022_7</v>
      </c>
      <c r="DY148" t="str">
        <f t="shared" si="361"/>
        <v>2022_7</v>
      </c>
      <c r="DZ148" t="str">
        <f t="shared" si="361"/>
        <v>2022_7</v>
      </c>
      <c r="EA148" t="str">
        <f t="shared" si="361"/>
        <v>2022_7</v>
      </c>
      <c r="EB148" t="str">
        <f t="shared" si="361"/>
        <v>2022_7</v>
      </c>
      <c r="EC148" t="str">
        <f t="shared" si="361"/>
        <v>2022_7</v>
      </c>
      <c r="ED148" t="str">
        <f t="shared" si="361"/>
        <v>2022_7</v>
      </c>
      <c r="EE148" t="str">
        <f t="shared" si="361"/>
        <v>2022_7</v>
      </c>
      <c r="EF148" t="str">
        <f t="shared" si="361"/>
        <v>2022_7</v>
      </c>
      <c r="EG148" t="str">
        <f t="shared" si="361"/>
        <v>2022_7</v>
      </c>
      <c r="EH148" t="str">
        <f t="shared" si="361"/>
        <v>2022_7</v>
      </c>
      <c r="EI148" t="str">
        <f t="shared" si="361"/>
        <v>2022_7</v>
      </c>
      <c r="EJ148" t="str">
        <f t="shared" si="361"/>
        <v>2022_7</v>
      </c>
      <c r="EK148" t="str">
        <f t="shared" si="361"/>
        <v>2022_7</v>
      </c>
      <c r="EL148" t="str">
        <f t="shared" si="362"/>
        <v>2022_7</v>
      </c>
      <c r="EM148" t="str">
        <f t="shared" si="316"/>
        <v>2022_7</v>
      </c>
      <c r="EN148" t="str">
        <f t="shared" si="316"/>
        <v>2022_7</v>
      </c>
      <c r="EO148" t="str">
        <f t="shared" si="316"/>
        <v>2022_7</v>
      </c>
      <c r="EP148" t="str">
        <f t="shared" si="316"/>
        <v>2022_7</v>
      </c>
      <c r="EQ148" t="str">
        <f t="shared" si="316"/>
        <v>2022_7</v>
      </c>
      <c r="ER148" t="str">
        <f t="shared" si="316"/>
        <v>2022_7</v>
      </c>
      <c r="ES148" t="str">
        <f t="shared" si="316"/>
        <v>2022_7</v>
      </c>
      <c r="ET148" t="str">
        <f t="shared" si="316"/>
        <v>2022_7</v>
      </c>
      <c r="EU148" t="str">
        <f t="shared" si="316"/>
        <v>2022_7</v>
      </c>
      <c r="EV148" t="str">
        <f t="shared" si="316"/>
        <v>2022_7</v>
      </c>
      <c r="EW148" t="str">
        <f t="shared" si="316"/>
        <v>2022_7</v>
      </c>
      <c r="EX148" t="str">
        <f t="shared" si="316"/>
        <v>2022_7</v>
      </c>
      <c r="EY148" t="str">
        <f t="shared" si="316"/>
        <v>2022_7</v>
      </c>
      <c r="FB148" s="10" t="s">
        <v>37</v>
      </c>
      <c r="FC148">
        <f t="shared" si="413"/>
        <v>0</v>
      </c>
      <c r="FD148">
        <f t="shared" si="363"/>
        <v>0</v>
      </c>
      <c r="FE148">
        <f t="shared" si="364"/>
        <v>0</v>
      </c>
      <c r="FF148">
        <f t="shared" si="365"/>
        <v>0</v>
      </c>
      <c r="FG148">
        <f t="shared" si="366"/>
        <v>0</v>
      </c>
      <c r="FH148">
        <f t="shared" si="367"/>
        <v>0</v>
      </c>
      <c r="FI148">
        <f t="shared" si="368"/>
        <v>0</v>
      </c>
      <c r="FJ148">
        <f t="shared" si="369"/>
        <v>0</v>
      </c>
      <c r="FK148">
        <f t="shared" si="370"/>
        <v>0</v>
      </c>
      <c r="FL148">
        <f t="shared" si="371"/>
        <v>0</v>
      </c>
      <c r="FM148">
        <f t="shared" si="372"/>
        <v>0</v>
      </c>
      <c r="FN148">
        <f t="shared" si="373"/>
        <v>0</v>
      </c>
      <c r="FO148">
        <f t="shared" si="374"/>
        <v>0</v>
      </c>
      <c r="FP148">
        <f t="shared" si="375"/>
        <v>0</v>
      </c>
      <c r="FQ148">
        <f t="shared" si="376"/>
        <v>0</v>
      </c>
      <c r="FR148">
        <f t="shared" si="377"/>
        <v>0</v>
      </c>
      <c r="FS148">
        <f t="shared" si="378"/>
        <v>0</v>
      </c>
      <c r="FT148">
        <f t="shared" si="379"/>
        <v>0</v>
      </c>
      <c r="FU148">
        <f t="shared" si="380"/>
        <v>0</v>
      </c>
      <c r="FV148">
        <f t="shared" si="381"/>
        <v>0</v>
      </c>
      <c r="FW148">
        <f t="shared" si="382"/>
        <v>0</v>
      </c>
      <c r="FX148">
        <f t="shared" si="383"/>
        <v>0</v>
      </c>
      <c r="FY148">
        <f t="shared" si="384"/>
        <v>0</v>
      </c>
      <c r="FZ148">
        <f t="shared" si="385"/>
        <v>0</v>
      </c>
      <c r="GA148">
        <f t="shared" si="386"/>
        <v>0</v>
      </c>
      <c r="GB148">
        <f t="shared" si="387"/>
        <v>0</v>
      </c>
      <c r="GC148">
        <f t="shared" si="388"/>
        <v>0</v>
      </c>
      <c r="GD148">
        <f t="shared" si="389"/>
        <v>1</v>
      </c>
      <c r="GE148">
        <f t="shared" si="390"/>
        <v>1</v>
      </c>
      <c r="GF148">
        <f t="shared" si="391"/>
        <v>1</v>
      </c>
      <c r="GG148">
        <f t="shared" si="392"/>
        <v>1</v>
      </c>
      <c r="GH148">
        <f t="shared" si="393"/>
        <v>1</v>
      </c>
      <c r="GI148">
        <f t="shared" si="394"/>
        <v>1</v>
      </c>
      <c r="GJ148">
        <f t="shared" si="395"/>
        <v>1</v>
      </c>
      <c r="GK148">
        <f t="shared" si="396"/>
        <v>1</v>
      </c>
      <c r="GL148">
        <f t="shared" si="397"/>
        <v>1</v>
      </c>
      <c r="GM148">
        <f t="shared" si="398"/>
        <v>1</v>
      </c>
      <c r="GN148">
        <f t="shared" si="399"/>
        <v>1</v>
      </c>
      <c r="GO148">
        <f t="shared" si="400"/>
        <v>1</v>
      </c>
      <c r="GP148">
        <f t="shared" si="401"/>
        <v>1</v>
      </c>
      <c r="GQ148">
        <f t="shared" si="402"/>
        <v>1</v>
      </c>
      <c r="GR148">
        <f t="shared" si="403"/>
        <v>1</v>
      </c>
      <c r="GS148">
        <f t="shared" si="404"/>
        <v>1</v>
      </c>
      <c r="GT148">
        <f t="shared" si="405"/>
        <v>1</v>
      </c>
      <c r="GU148">
        <f t="shared" si="406"/>
        <v>1</v>
      </c>
      <c r="GX148" s="10"/>
    </row>
    <row r="149" spans="1:206" x14ac:dyDescent="0.3">
      <c r="A149" s="9" t="s">
        <v>124</v>
      </c>
      <c r="B149" s="80"/>
      <c r="C149" s="9">
        <v>3132074002</v>
      </c>
      <c r="D149" s="9" t="s">
        <v>351</v>
      </c>
      <c r="E149" s="9" t="s">
        <v>39</v>
      </c>
      <c r="F149" s="9" t="s">
        <v>35</v>
      </c>
      <c r="G149" s="9" t="s">
        <v>182</v>
      </c>
      <c r="H149" s="10">
        <v>44769</v>
      </c>
      <c r="I149" s="9">
        <f t="shared" si="407"/>
        <v>2022</v>
      </c>
      <c r="J149" s="9">
        <f t="shared" si="408"/>
        <v>7</v>
      </c>
      <c r="K149" s="9" t="str">
        <f t="shared" si="409"/>
        <v>2022_7</v>
      </c>
      <c r="L149">
        <f>MAX(0,VLOOKUP($K149,lookups!$A$1:$B$45,2,0)-12)</f>
        <v>15</v>
      </c>
      <c r="M149" s="40">
        <f t="shared" si="410"/>
        <v>44743</v>
      </c>
      <c r="N149" s="10" t="s">
        <v>37</v>
      </c>
      <c r="O149" t="str">
        <f ca="1">IF(OR($L149&gt;O$4,O$4&gt;$L149+23),"",OFFSET(Electric!$L140,0,-'Electric Calendarize'!$L149+'Electric Calendarize'!O$4+1))</f>
        <v/>
      </c>
      <c r="P149" t="str">
        <f ca="1">IF(OR($L149&gt;P$4,P$4&gt;$L149+23),"",OFFSET(Electric!$L140,0,-'Electric Calendarize'!$L149+'Electric Calendarize'!P$4+1))</f>
        <v/>
      </c>
      <c r="Q149" t="str">
        <f ca="1">IF(OR($L149&gt;Q$4,Q$4&gt;$L149+23),"",OFFSET(Electric!$L140,0,-'Electric Calendarize'!$L149+'Electric Calendarize'!Q$4+1))</f>
        <v/>
      </c>
      <c r="R149" t="str">
        <f ca="1">IF(OR($L149&gt;R$4,R$4&gt;$L149+23),"",OFFSET(Electric!$L140,0,-'Electric Calendarize'!$L149+'Electric Calendarize'!R$4+1))</f>
        <v/>
      </c>
      <c r="S149" t="str">
        <f ca="1">IF(OR($L149&gt;S$4,S$4&gt;$L149+23),"",OFFSET(Electric!$L140,0,-'Electric Calendarize'!$L149+'Electric Calendarize'!S$4+1))</f>
        <v/>
      </c>
      <c r="T149" t="str">
        <f ca="1">IF(OR($L149&gt;T$4,T$4&gt;$L149+23),"",OFFSET(Electric!$L140,0,-'Electric Calendarize'!$L149+'Electric Calendarize'!T$4+1))</f>
        <v/>
      </c>
      <c r="U149" t="str">
        <f ca="1">IF(OR($L149&gt;U$4,U$4&gt;$L149+23),"",OFFSET(Electric!$L140,0,-'Electric Calendarize'!$L149+'Electric Calendarize'!U$4+1))</f>
        <v/>
      </c>
      <c r="V149" t="str">
        <f ca="1">IF(OR($L149&gt;V$4,V$4&gt;$L149+23),"",OFFSET(Electric!$L140,0,-'Electric Calendarize'!$L149+'Electric Calendarize'!V$4+1))</f>
        <v/>
      </c>
      <c r="W149" t="str">
        <f ca="1">IF(OR($L149&gt;W$4,W$4&gt;$L149+23),"",OFFSET(Electric!$L140,0,-'Electric Calendarize'!$L149+'Electric Calendarize'!W$4+1))</f>
        <v/>
      </c>
      <c r="X149" t="str">
        <f ca="1">IF(OR($L149&gt;X$4,X$4&gt;$L149+23),"",OFFSET(Electric!$L140,0,-'Electric Calendarize'!$L149+'Electric Calendarize'!X$4+1))</f>
        <v/>
      </c>
      <c r="Y149" t="str">
        <f ca="1">IF(OR($L149&gt;Y$4,Y$4&gt;$L149+23),"",OFFSET(Electric!$L140,0,-'Electric Calendarize'!$L149+'Electric Calendarize'!Y$4+1))</f>
        <v/>
      </c>
      <c r="Z149" t="str">
        <f ca="1">IF(OR($L149&gt;Z$4,Z$4&gt;$L149+23),"",OFFSET(Electric!$L140,0,-'Electric Calendarize'!$L149+'Electric Calendarize'!Z$4+1))</f>
        <v/>
      </c>
      <c r="AA149" t="str">
        <f ca="1">IF(OR($L149&gt;AA$4,AA$4&gt;$L149+23),"",OFFSET(Electric!$L140,0,-'Electric Calendarize'!$L149+'Electric Calendarize'!AA$4+1))</f>
        <v/>
      </c>
      <c r="AB149" t="str">
        <f ca="1">IF(OR($L149&gt;AB$4,AB$4&gt;$L149+23),"",OFFSET(Electric!$L140,0,-'Electric Calendarize'!$L149+'Electric Calendarize'!AB$4+1))</f>
        <v/>
      </c>
      <c r="AC149" t="str">
        <f ca="1">IF(OR($L149&gt;AC$4,AC$4&gt;$L149+23),"",OFFSET(Electric!$L140,0,-'Electric Calendarize'!$L149+'Electric Calendarize'!AC$4+1))</f>
        <v/>
      </c>
      <c r="AD149">
        <f ca="1">IF(OR($L149&gt;AD$4,AD$4&gt;$L149+23),"",OFFSET(Electric!$L140,0,-'Electric Calendarize'!$L149+'Electric Calendarize'!AD$4+1))</f>
        <v>763</v>
      </c>
      <c r="AE149">
        <f ca="1">IF(OR($L149&gt;AE$4,AE$4&gt;$L149+23),"",OFFSET(Electric!$L140,0,-'Electric Calendarize'!$L149+'Electric Calendarize'!AE$4+1))</f>
        <v>676</v>
      </c>
      <c r="AF149">
        <f ca="1">IF(OR($L149&gt;AF$4,AF$4&gt;$L149+23),"",OFFSET(Electric!$L140,0,-'Electric Calendarize'!$L149+'Electric Calendarize'!AF$4+1))</f>
        <v>666</v>
      </c>
      <c r="AG149">
        <f ca="1">IF(OR($L149&gt;AG$4,AG$4&gt;$L149+23),"",OFFSET(Electric!$L140,0,-'Electric Calendarize'!$L149+'Electric Calendarize'!AG$4+1))</f>
        <v>519</v>
      </c>
      <c r="AH149">
        <f ca="1">IF(OR($L149&gt;AH$4,AH$4&gt;$L149+23),"",OFFSET(Electric!$L140,0,-'Electric Calendarize'!$L149+'Electric Calendarize'!AH$4+1))</f>
        <v>491</v>
      </c>
      <c r="AI149">
        <f ca="1">IF(OR($L149&gt;AI$4,AI$4&gt;$L149+23),"",OFFSET(Electric!$L140,0,-'Electric Calendarize'!$L149+'Electric Calendarize'!AI$4+1))</f>
        <v>523</v>
      </c>
      <c r="AJ149">
        <f ca="1">IF(OR($L149&gt;AJ$4,AJ$4&gt;$L149+23),"",OFFSET(Electric!$L140,0,-'Electric Calendarize'!$L149+'Electric Calendarize'!AJ$4+1))</f>
        <v>610</v>
      </c>
      <c r="AK149">
        <f ca="1">IF(OR($L149&gt;AK$4,AK$4&gt;$L149+23),"",OFFSET(Electric!$L140,0,-'Electric Calendarize'!$L149+'Electric Calendarize'!AK$4+1))</f>
        <v>508</v>
      </c>
      <c r="AL149">
        <f ca="1">IF(OR($L149&gt;AL$4,AL$4&gt;$L149+23),"",OFFSET(Electric!$L140,0,-'Electric Calendarize'!$L149+'Electric Calendarize'!AL$4+1))</f>
        <v>476</v>
      </c>
      <c r="AM149">
        <f ca="1">IF(OR($L149&gt;AM$4,AM$4&gt;$L149+23),"",OFFSET(Electric!$L140,0,-'Electric Calendarize'!$L149+'Electric Calendarize'!AM$4+1))</f>
        <v>388</v>
      </c>
      <c r="AN149">
        <f ca="1">IF(OR($L149&gt;AN$4,AN$4&gt;$L149+23),"",OFFSET(Electric!$L140,0,-'Electric Calendarize'!$L149+'Electric Calendarize'!AN$4+1))</f>
        <v>497</v>
      </c>
      <c r="AO149">
        <f ca="1">IF(OR($L149&gt;AO$4,AO$4&gt;$L149+23),"",OFFSET(Electric!$L140,0,-'Electric Calendarize'!$L149+'Electric Calendarize'!AO$4+1))</f>
        <v>454</v>
      </c>
      <c r="AP149">
        <f ca="1">IF(OR($L149&gt;AP$4,AP$4&gt;$L149+23),"",OFFSET(Electric!$L140,0,-'Electric Calendarize'!$L149+'Electric Calendarize'!AP$4+1))</f>
        <v>629</v>
      </c>
      <c r="AQ149">
        <f ca="1">IF(OR($L149&gt;AQ$4,AQ$4&gt;$L149+23),"",OFFSET(Electric!$L140,0,-'Electric Calendarize'!$L149+'Electric Calendarize'!AQ$4+1))</f>
        <v>589</v>
      </c>
      <c r="AR149">
        <f ca="1">IF(OR($L149&gt;AR$4,AR$4&gt;$L149+23),"",OFFSET(Electric!$L140,0,-'Electric Calendarize'!$L149+'Electric Calendarize'!AR$4+1))</f>
        <v>485</v>
      </c>
      <c r="AS149">
        <f ca="1">IF(OR($L149&gt;AS$4,AS$4&gt;$L149+23),"",OFFSET(Electric!$L140,0,-'Electric Calendarize'!$L149+'Electric Calendarize'!AS$4+1))</f>
        <v>544</v>
      </c>
      <c r="AT149">
        <f ca="1">IF(OR($L149&gt;AT$4,AT$4&gt;$L149+23),"",OFFSET(Electric!$L140,0,-'Electric Calendarize'!$L149+'Electric Calendarize'!AT$4+1))</f>
        <v>649</v>
      </c>
      <c r="AU149">
        <f ca="1">IF(OR($L149&gt;AU$4,AU$4&gt;$L149+23),"",OFFSET(Electric!$L140,0,-'Electric Calendarize'!$L149+'Electric Calendarize'!AU$4+1))</f>
        <v>1171</v>
      </c>
      <c r="AV149">
        <f ca="1">IF(OR($L149&gt;AV$4,AV$4&gt;$L149+23),"",OFFSET(Electric!$L140,0,-'Electric Calendarize'!$L149+'Electric Calendarize'!AV$4+1))</f>
        <v>1685</v>
      </c>
      <c r="AW149">
        <f ca="1">IF(OR($L149&gt;AW$4,AW$4&gt;$L149+23),"",OFFSET(Electric!$L140,0,-'Electric Calendarize'!$L149+'Electric Calendarize'!AW$4+1))</f>
        <v>1396</v>
      </c>
      <c r="AX149">
        <f ca="1">IF(OR($L149&gt;AX$4,AX$4&gt;$L149+23),"",OFFSET(Electric!$L140,0,-'Electric Calendarize'!$L149+'Electric Calendarize'!AX$4+1))</f>
        <v>804</v>
      </c>
      <c r="AY149">
        <f ca="1">IF(OR($L149&gt;AY$4,AY$4&gt;$L149+23),"",OFFSET(Electric!$L140,0,-'Electric Calendarize'!$L149+'Electric Calendarize'!AY$4+1))</f>
        <v>454</v>
      </c>
      <c r="AZ149">
        <f ca="1">IF(OR($L149&gt;AZ$4,AZ$4&gt;$L149+23),"",OFFSET(Electric!$L140,0,-'Electric Calendarize'!$L149+'Electric Calendarize'!AZ$4+1))</f>
        <v>409</v>
      </c>
      <c r="BA149">
        <f ca="1">IF(OR($L149&gt;BA$4,BA$4&gt;$L149+23),"",OFFSET(Electric!$L140,0,-'Electric Calendarize'!$L149+'Electric Calendarize'!BA$4+1))</f>
        <v>402</v>
      </c>
      <c r="BB149" t="str">
        <f ca="1">IF(OR($L149&gt;BB$4,BB$4&gt;$L149+23),"",OFFSET(Electric!$L140,0,-'Electric Calendarize'!$L149+'Electric Calendarize'!BB$4+1))</f>
        <v/>
      </c>
      <c r="BC149" t="str">
        <f ca="1">IF(OR($L149&gt;BC$4,BC$4&gt;$L149+23),"",OFFSET(Electric!$L140,0,-'Electric Calendarize'!$L149+'Electric Calendarize'!BC$4+1))</f>
        <v/>
      </c>
      <c r="BD149" t="str">
        <f ca="1">IF(OR($L149&gt;BD$4,BD$4&gt;$L149+23),"",OFFSET(Electric!$L140,0,-'Electric Calendarize'!$L149+'Electric Calendarize'!BD$4+1))</f>
        <v/>
      </c>
      <c r="BE149" t="str">
        <f ca="1">IF(OR($L149&gt;BE$4,BE$4&gt;$L149+23),"",OFFSET(Electric!$L140,0,-'Electric Calendarize'!$L149+'Electric Calendarize'!BE$4+1))</f>
        <v/>
      </c>
      <c r="BF149" t="str">
        <f ca="1">IF(OR($L149&gt;BF$4,BF$4&gt;$L149+23),"",OFFSET(Electric!$L140,0,-'Electric Calendarize'!$L149+'Electric Calendarize'!BF$4+1))</f>
        <v/>
      </c>
      <c r="BG149" t="str">
        <f ca="1">IF(OR($L149&gt;BG$4,BG$4&gt;$L149+23),"",OFFSET(Electric!$L140,0,-'Electric Calendarize'!$L149+'Electric Calendarize'!BG$4+1))</f>
        <v/>
      </c>
      <c r="BJ149" s="10" t="s">
        <v>37</v>
      </c>
      <c r="BK149">
        <f t="shared" si="411"/>
        <v>1</v>
      </c>
      <c r="BL149">
        <f t="shared" si="317"/>
        <v>0</v>
      </c>
      <c r="BM149">
        <f t="shared" si="318"/>
        <v>0</v>
      </c>
      <c r="BN149">
        <f t="shared" si="319"/>
        <v>0</v>
      </c>
      <c r="BO149">
        <f t="shared" si="320"/>
        <v>0</v>
      </c>
      <c r="BP149">
        <f t="shared" si="321"/>
        <v>0</v>
      </c>
      <c r="BQ149">
        <f t="shared" si="322"/>
        <v>0</v>
      </c>
      <c r="BR149">
        <f t="shared" si="323"/>
        <v>1</v>
      </c>
      <c r="BS149">
        <f t="shared" si="324"/>
        <v>1</v>
      </c>
      <c r="BT149">
        <f t="shared" si="325"/>
        <v>1</v>
      </c>
      <c r="BU149">
        <f t="shared" si="326"/>
        <v>1</v>
      </c>
      <c r="BV149">
        <f t="shared" si="327"/>
        <v>1</v>
      </c>
      <c r="BW149">
        <f t="shared" si="328"/>
        <v>1</v>
      </c>
      <c r="BX149">
        <f t="shared" si="329"/>
        <v>0</v>
      </c>
      <c r="BY149">
        <f t="shared" si="330"/>
        <v>0</v>
      </c>
      <c r="BZ149">
        <f t="shared" si="331"/>
        <v>0</v>
      </c>
      <c r="CA149">
        <f t="shared" si="332"/>
        <v>0</v>
      </c>
      <c r="CB149">
        <f t="shared" si="333"/>
        <v>0</v>
      </c>
      <c r="CC149">
        <f t="shared" si="334"/>
        <v>0</v>
      </c>
      <c r="CD149">
        <f t="shared" si="335"/>
        <v>1</v>
      </c>
      <c r="CE149">
        <f t="shared" si="336"/>
        <v>1</v>
      </c>
      <c r="CF149">
        <f t="shared" si="337"/>
        <v>1</v>
      </c>
      <c r="CG149">
        <f t="shared" si="338"/>
        <v>1</v>
      </c>
      <c r="CH149">
        <f t="shared" si="339"/>
        <v>1</v>
      </c>
      <c r="CI149">
        <f t="shared" si="340"/>
        <v>1</v>
      </c>
      <c r="CJ149">
        <f t="shared" si="341"/>
        <v>0</v>
      </c>
      <c r="CK149">
        <f t="shared" si="342"/>
        <v>0</v>
      </c>
      <c r="CL149">
        <f t="shared" si="343"/>
        <v>0</v>
      </c>
      <c r="CM149">
        <f t="shared" si="344"/>
        <v>0</v>
      </c>
      <c r="CN149">
        <f t="shared" si="345"/>
        <v>0</v>
      </c>
      <c r="CO149">
        <f t="shared" si="346"/>
        <v>0</v>
      </c>
      <c r="CP149">
        <f t="shared" si="347"/>
        <v>1</v>
      </c>
      <c r="CQ149">
        <f t="shared" si="348"/>
        <v>1</v>
      </c>
      <c r="CR149">
        <f t="shared" si="349"/>
        <v>1</v>
      </c>
      <c r="CS149">
        <f t="shared" si="350"/>
        <v>1</v>
      </c>
      <c r="CT149">
        <f t="shared" si="351"/>
        <v>1</v>
      </c>
      <c r="CU149">
        <f t="shared" si="352"/>
        <v>1</v>
      </c>
      <c r="CV149">
        <f t="shared" si="353"/>
        <v>0</v>
      </c>
      <c r="CW149">
        <f t="shared" si="354"/>
        <v>0</v>
      </c>
      <c r="CX149">
        <f t="shared" si="355"/>
        <v>0</v>
      </c>
      <c r="CY149">
        <f t="shared" si="356"/>
        <v>0</v>
      </c>
      <c r="CZ149">
        <f t="shared" si="357"/>
        <v>0</v>
      </c>
      <c r="DA149">
        <f t="shared" si="358"/>
        <v>0</v>
      </c>
      <c r="DB149">
        <f t="shared" si="359"/>
        <v>1</v>
      </c>
      <c r="DC149">
        <f t="shared" si="360"/>
        <v>1</v>
      </c>
      <c r="DF149" s="10" t="s">
        <v>37</v>
      </c>
      <c r="DG149" t="str">
        <f t="shared" si="412"/>
        <v>2022_7</v>
      </c>
      <c r="DH149" t="str">
        <f t="shared" si="412"/>
        <v>2022_7</v>
      </c>
      <c r="DI149" t="str">
        <f t="shared" si="412"/>
        <v>2022_7</v>
      </c>
      <c r="DJ149" t="str">
        <f t="shared" si="412"/>
        <v>2022_7</v>
      </c>
      <c r="DK149" t="str">
        <f t="shared" si="412"/>
        <v>2022_7</v>
      </c>
      <c r="DL149" t="str">
        <f t="shared" si="412"/>
        <v>2022_7</v>
      </c>
      <c r="DM149" t="str">
        <f t="shared" si="412"/>
        <v>2022_7</v>
      </c>
      <c r="DN149" t="str">
        <f t="shared" si="412"/>
        <v>2022_7</v>
      </c>
      <c r="DO149" t="str">
        <f t="shared" si="412"/>
        <v>2022_7</v>
      </c>
      <c r="DP149" t="str">
        <f t="shared" si="412"/>
        <v>2022_7</v>
      </c>
      <c r="DQ149" t="str">
        <f t="shared" si="412"/>
        <v>2022_7</v>
      </c>
      <c r="DR149" t="str">
        <f t="shared" si="412"/>
        <v>2022_7</v>
      </c>
      <c r="DS149" t="str">
        <f t="shared" si="412"/>
        <v>2022_7</v>
      </c>
      <c r="DT149" t="str">
        <f t="shared" si="412"/>
        <v>2022_7</v>
      </c>
      <c r="DU149" t="str">
        <f t="shared" si="412"/>
        <v>2022_7</v>
      </c>
      <c r="DV149" t="str">
        <f t="shared" si="361"/>
        <v>2022_7</v>
      </c>
      <c r="DW149" t="str">
        <f t="shared" si="361"/>
        <v>2022_7</v>
      </c>
      <c r="DX149" t="str">
        <f t="shared" si="361"/>
        <v>2022_7</v>
      </c>
      <c r="DY149" t="str">
        <f t="shared" si="361"/>
        <v>2022_7</v>
      </c>
      <c r="DZ149" t="str">
        <f t="shared" si="361"/>
        <v>2022_7</v>
      </c>
      <c r="EA149" t="str">
        <f t="shared" si="361"/>
        <v>2022_7</v>
      </c>
      <c r="EB149" t="str">
        <f t="shared" si="361"/>
        <v>2022_7</v>
      </c>
      <c r="EC149" t="str">
        <f t="shared" si="361"/>
        <v>2022_7</v>
      </c>
      <c r="ED149" t="str">
        <f t="shared" si="361"/>
        <v>2022_7</v>
      </c>
      <c r="EE149" t="str">
        <f t="shared" si="361"/>
        <v>2022_7</v>
      </c>
      <c r="EF149" t="str">
        <f t="shared" si="361"/>
        <v>2022_7</v>
      </c>
      <c r="EG149" t="str">
        <f t="shared" si="361"/>
        <v>2022_7</v>
      </c>
      <c r="EH149" t="str">
        <f t="shared" si="361"/>
        <v>2022_7</v>
      </c>
      <c r="EI149" t="str">
        <f t="shared" si="361"/>
        <v>2022_7</v>
      </c>
      <c r="EJ149" t="str">
        <f t="shared" si="361"/>
        <v>2022_7</v>
      </c>
      <c r="EK149" t="str">
        <f t="shared" si="361"/>
        <v>2022_7</v>
      </c>
      <c r="EL149" t="str">
        <f t="shared" si="362"/>
        <v>2022_7</v>
      </c>
      <c r="EM149" t="str">
        <f t="shared" si="316"/>
        <v>2022_7</v>
      </c>
      <c r="EN149" t="str">
        <f t="shared" si="316"/>
        <v>2022_7</v>
      </c>
      <c r="EO149" t="str">
        <f t="shared" si="316"/>
        <v>2022_7</v>
      </c>
      <c r="EP149" t="str">
        <f t="shared" si="316"/>
        <v>2022_7</v>
      </c>
      <c r="EQ149" t="str">
        <f t="shared" si="316"/>
        <v>2022_7</v>
      </c>
      <c r="ER149" t="str">
        <f t="shared" si="316"/>
        <v>2022_7</v>
      </c>
      <c r="ES149" t="str">
        <f t="shared" si="316"/>
        <v>2022_7</v>
      </c>
      <c r="ET149" t="str">
        <f t="shared" si="316"/>
        <v>2022_7</v>
      </c>
      <c r="EU149" t="str">
        <f t="shared" si="316"/>
        <v>2022_7</v>
      </c>
      <c r="EV149" t="str">
        <f t="shared" si="316"/>
        <v>2022_7</v>
      </c>
      <c r="EW149" t="str">
        <f t="shared" si="316"/>
        <v>2022_7</v>
      </c>
      <c r="EX149" t="str">
        <f t="shared" si="316"/>
        <v>2022_7</v>
      </c>
      <c r="EY149" t="str">
        <f t="shared" si="316"/>
        <v>2022_7</v>
      </c>
      <c r="FB149" s="10" t="s">
        <v>37</v>
      </c>
      <c r="FC149">
        <f t="shared" si="413"/>
        <v>0</v>
      </c>
      <c r="FD149">
        <f t="shared" si="363"/>
        <v>0</v>
      </c>
      <c r="FE149">
        <f t="shared" si="364"/>
        <v>0</v>
      </c>
      <c r="FF149">
        <f t="shared" si="365"/>
        <v>0</v>
      </c>
      <c r="FG149">
        <f t="shared" si="366"/>
        <v>0</v>
      </c>
      <c r="FH149">
        <f t="shared" si="367"/>
        <v>0</v>
      </c>
      <c r="FI149">
        <f t="shared" si="368"/>
        <v>0</v>
      </c>
      <c r="FJ149">
        <f t="shared" si="369"/>
        <v>0</v>
      </c>
      <c r="FK149">
        <f t="shared" si="370"/>
        <v>0</v>
      </c>
      <c r="FL149">
        <f t="shared" si="371"/>
        <v>0</v>
      </c>
      <c r="FM149">
        <f t="shared" si="372"/>
        <v>0</v>
      </c>
      <c r="FN149">
        <f t="shared" si="373"/>
        <v>0</v>
      </c>
      <c r="FO149">
        <f t="shared" si="374"/>
        <v>0</v>
      </c>
      <c r="FP149">
        <f t="shared" si="375"/>
        <v>0</v>
      </c>
      <c r="FQ149">
        <f t="shared" si="376"/>
        <v>0</v>
      </c>
      <c r="FR149">
        <f t="shared" si="377"/>
        <v>0</v>
      </c>
      <c r="FS149">
        <f t="shared" si="378"/>
        <v>0</v>
      </c>
      <c r="FT149">
        <f t="shared" si="379"/>
        <v>0</v>
      </c>
      <c r="FU149">
        <f t="shared" si="380"/>
        <v>0</v>
      </c>
      <c r="FV149">
        <f t="shared" si="381"/>
        <v>0</v>
      </c>
      <c r="FW149">
        <f t="shared" si="382"/>
        <v>0</v>
      </c>
      <c r="FX149">
        <f t="shared" si="383"/>
        <v>0</v>
      </c>
      <c r="FY149">
        <f t="shared" si="384"/>
        <v>0</v>
      </c>
      <c r="FZ149">
        <f t="shared" si="385"/>
        <v>0</v>
      </c>
      <c r="GA149">
        <f t="shared" si="386"/>
        <v>0</v>
      </c>
      <c r="GB149">
        <f t="shared" si="387"/>
        <v>0</v>
      </c>
      <c r="GC149">
        <f t="shared" si="388"/>
        <v>0</v>
      </c>
      <c r="GD149">
        <f t="shared" si="389"/>
        <v>1</v>
      </c>
      <c r="GE149">
        <f t="shared" si="390"/>
        <v>1</v>
      </c>
      <c r="GF149">
        <f t="shared" si="391"/>
        <v>1</v>
      </c>
      <c r="GG149">
        <f t="shared" si="392"/>
        <v>1</v>
      </c>
      <c r="GH149">
        <f t="shared" si="393"/>
        <v>1</v>
      </c>
      <c r="GI149">
        <f t="shared" si="394"/>
        <v>1</v>
      </c>
      <c r="GJ149">
        <f t="shared" si="395"/>
        <v>1</v>
      </c>
      <c r="GK149">
        <f t="shared" si="396"/>
        <v>1</v>
      </c>
      <c r="GL149">
        <f t="shared" si="397"/>
        <v>1</v>
      </c>
      <c r="GM149">
        <f t="shared" si="398"/>
        <v>1</v>
      </c>
      <c r="GN149">
        <f t="shared" si="399"/>
        <v>1</v>
      </c>
      <c r="GO149">
        <f t="shared" si="400"/>
        <v>1</v>
      </c>
      <c r="GP149">
        <f t="shared" si="401"/>
        <v>1</v>
      </c>
      <c r="GQ149">
        <f t="shared" si="402"/>
        <v>1</v>
      </c>
      <c r="GR149">
        <f t="shared" si="403"/>
        <v>1</v>
      </c>
      <c r="GS149">
        <f t="shared" si="404"/>
        <v>1</v>
      </c>
      <c r="GT149">
        <f t="shared" si="405"/>
        <v>1</v>
      </c>
      <c r="GU149">
        <f t="shared" si="406"/>
        <v>1</v>
      </c>
      <c r="GX149" s="10"/>
    </row>
    <row r="150" spans="1:206" x14ac:dyDescent="0.3">
      <c r="A150" s="9" t="s">
        <v>124</v>
      </c>
      <c r="B150" s="80"/>
      <c r="C150" s="9">
        <v>3120841002</v>
      </c>
      <c r="D150" s="9" t="s">
        <v>455</v>
      </c>
      <c r="E150" s="9" t="s">
        <v>39</v>
      </c>
      <c r="F150" s="9" t="s">
        <v>35</v>
      </c>
      <c r="G150" s="9" t="s">
        <v>183</v>
      </c>
      <c r="H150" s="10">
        <v>44771</v>
      </c>
      <c r="I150" s="9">
        <f t="shared" si="407"/>
        <v>2022</v>
      </c>
      <c r="J150" s="9">
        <f t="shared" si="408"/>
        <v>7</v>
      </c>
      <c r="K150" s="9" t="str">
        <f t="shared" si="409"/>
        <v>2022_7</v>
      </c>
      <c r="L150">
        <f>MAX(0,VLOOKUP($K150,lookups!$A$1:$B$45,2,0)-12)</f>
        <v>15</v>
      </c>
      <c r="M150" s="40">
        <f t="shared" si="410"/>
        <v>44743</v>
      </c>
      <c r="N150" s="10" t="s">
        <v>37</v>
      </c>
      <c r="O150" t="str">
        <f ca="1">IF(OR($L150&gt;O$4,O$4&gt;$L150+23),"",OFFSET(Electric!$L141,0,-'Electric Calendarize'!$L150+'Electric Calendarize'!O$4+1))</f>
        <v/>
      </c>
      <c r="P150" t="str">
        <f ca="1">IF(OR($L150&gt;P$4,P$4&gt;$L150+23),"",OFFSET(Electric!$L141,0,-'Electric Calendarize'!$L150+'Electric Calendarize'!P$4+1))</f>
        <v/>
      </c>
      <c r="Q150" t="str">
        <f ca="1">IF(OR($L150&gt;Q$4,Q$4&gt;$L150+23),"",OFFSET(Electric!$L141,0,-'Electric Calendarize'!$L150+'Electric Calendarize'!Q$4+1))</f>
        <v/>
      </c>
      <c r="R150" t="str">
        <f ca="1">IF(OR($L150&gt;R$4,R$4&gt;$L150+23),"",OFFSET(Electric!$L141,0,-'Electric Calendarize'!$L150+'Electric Calendarize'!R$4+1))</f>
        <v/>
      </c>
      <c r="S150" t="str">
        <f ca="1">IF(OR($L150&gt;S$4,S$4&gt;$L150+23),"",OFFSET(Electric!$L141,0,-'Electric Calendarize'!$L150+'Electric Calendarize'!S$4+1))</f>
        <v/>
      </c>
      <c r="T150" t="str">
        <f ca="1">IF(OR($L150&gt;T$4,T$4&gt;$L150+23),"",OFFSET(Electric!$L141,0,-'Electric Calendarize'!$L150+'Electric Calendarize'!T$4+1))</f>
        <v/>
      </c>
      <c r="U150" t="str">
        <f ca="1">IF(OR($L150&gt;U$4,U$4&gt;$L150+23),"",OFFSET(Electric!$L141,0,-'Electric Calendarize'!$L150+'Electric Calendarize'!U$4+1))</f>
        <v/>
      </c>
      <c r="V150" t="str">
        <f ca="1">IF(OR($L150&gt;V$4,V$4&gt;$L150+23),"",OFFSET(Electric!$L141,0,-'Electric Calendarize'!$L150+'Electric Calendarize'!V$4+1))</f>
        <v/>
      </c>
      <c r="W150" t="str">
        <f ca="1">IF(OR($L150&gt;W$4,W$4&gt;$L150+23),"",OFFSET(Electric!$L141,0,-'Electric Calendarize'!$L150+'Electric Calendarize'!W$4+1))</f>
        <v/>
      </c>
      <c r="X150" t="str">
        <f ca="1">IF(OR($L150&gt;X$4,X$4&gt;$L150+23),"",OFFSET(Electric!$L141,0,-'Electric Calendarize'!$L150+'Electric Calendarize'!X$4+1))</f>
        <v/>
      </c>
      <c r="Y150" t="str">
        <f ca="1">IF(OR($L150&gt;Y$4,Y$4&gt;$L150+23),"",OFFSET(Electric!$L141,0,-'Electric Calendarize'!$L150+'Electric Calendarize'!Y$4+1))</f>
        <v/>
      </c>
      <c r="Z150" t="str">
        <f ca="1">IF(OR($L150&gt;Z$4,Z$4&gt;$L150+23),"",OFFSET(Electric!$L141,0,-'Electric Calendarize'!$L150+'Electric Calendarize'!Z$4+1))</f>
        <v/>
      </c>
      <c r="AA150" t="str">
        <f ca="1">IF(OR($L150&gt;AA$4,AA$4&gt;$L150+23),"",OFFSET(Electric!$L141,0,-'Electric Calendarize'!$L150+'Electric Calendarize'!AA$4+1))</f>
        <v/>
      </c>
      <c r="AB150" t="str">
        <f ca="1">IF(OR($L150&gt;AB$4,AB$4&gt;$L150+23),"",OFFSET(Electric!$L141,0,-'Electric Calendarize'!$L150+'Electric Calendarize'!AB$4+1))</f>
        <v/>
      </c>
      <c r="AC150" t="str">
        <f ca="1">IF(OR($L150&gt;AC$4,AC$4&gt;$L150+23),"",OFFSET(Electric!$L141,0,-'Electric Calendarize'!$L150+'Electric Calendarize'!AC$4+1))</f>
        <v/>
      </c>
      <c r="AD150">
        <f ca="1">IF(OR($L150&gt;AD$4,AD$4&gt;$L150+23),"",OFFSET(Electric!$L141,0,-'Electric Calendarize'!$L150+'Electric Calendarize'!AD$4+1))</f>
        <v>824</v>
      </c>
      <c r="AE150">
        <f ca="1">IF(OR($L150&gt;AE$4,AE$4&gt;$L150+23),"",OFFSET(Electric!$L141,0,-'Electric Calendarize'!$L150+'Electric Calendarize'!AE$4+1))</f>
        <v>790</v>
      </c>
      <c r="AF150">
        <f ca="1">IF(OR($L150&gt;AF$4,AF$4&gt;$L150+23),"",OFFSET(Electric!$L141,0,-'Electric Calendarize'!$L150+'Electric Calendarize'!AF$4+1))</f>
        <v>749</v>
      </c>
      <c r="AG150">
        <f ca="1">IF(OR($L150&gt;AG$4,AG$4&gt;$L150+23),"",OFFSET(Electric!$L141,0,-'Electric Calendarize'!$L150+'Electric Calendarize'!AG$4+1))</f>
        <v>657</v>
      </c>
      <c r="AH150">
        <f ca="1">IF(OR($L150&gt;AH$4,AH$4&gt;$L150+23),"",OFFSET(Electric!$L141,0,-'Electric Calendarize'!$L150+'Electric Calendarize'!AH$4+1))</f>
        <v>620</v>
      </c>
      <c r="AI150">
        <f ca="1">IF(OR($L150&gt;AI$4,AI$4&gt;$L150+23),"",OFFSET(Electric!$L141,0,-'Electric Calendarize'!$L150+'Electric Calendarize'!AI$4+1))</f>
        <v>608</v>
      </c>
      <c r="AJ150">
        <f ca="1">IF(OR($L150&gt;AJ$4,AJ$4&gt;$L150+23),"",OFFSET(Electric!$L141,0,-'Electric Calendarize'!$L150+'Electric Calendarize'!AJ$4+1))</f>
        <v>576</v>
      </c>
      <c r="AK150">
        <f ca="1">IF(OR($L150&gt;AK$4,AK$4&gt;$L150+23),"",OFFSET(Electric!$L141,0,-'Electric Calendarize'!$L150+'Electric Calendarize'!AK$4+1))</f>
        <v>622</v>
      </c>
      <c r="AL150">
        <f ca="1">IF(OR($L150&gt;AL$4,AL$4&gt;$L150+23),"",OFFSET(Electric!$L141,0,-'Electric Calendarize'!$L150+'Electric Calendarize'!AL$4+1))</f>
        <v>782</v>
      </c>
      <c r="AM150">
        <f ca="1">IF(OR($L150&gt;AM$4,AM$4&gt;$L150+23),"",OFFSET(Electric!$L141,0,-'Electric Calendarize'!$L150+'Electric Calendarize'!AM$4+1))</f>
        <v>785</v>
      </c>
      <c r="AN150">
        <f ca="1">IF(OR($L150&gt;AN$4,AN$4&gt;$L150+23),"",OFFSET(Electric!$L141,0,-'Electric Calendarize'!$L150+'Electric Calendarize'!AN$4+1))</f>
        <v>792</v>
      </c>
      <c r="AO150">
        <f ca="1">IF(OR($L150&gt;AO$4,AO$4&gt;$L150+23),"",OFFSET(Electric!$L141,0,-'Electric Calendarize'!$L150+'Electric Calendarize'!AO$4+1))</f>
        <v>778</v>
      </c>
      <c r="AP150">
        <f ca="1">IF(OR($L150&gt;AP$4,AP$4&gt;$L150+23),"",OFFSET(Electric!$L141,0,-'Electric Calendarize'!$L150+'Electric Calendarize'!AP$4+1))</f>
        <v>812</v>
      </c>
      <c r="AQ150">
        <f ca="1">IF(OR($L150&gt;AQ$4,AQ$4&gt;$L150+23),"",OFFSET(Electric!$L141,0,-'Electric Calendarize'!$L150+'Electric Calendarize'!AQ$4+1))</f>
        <v>1018</v>
      </c>
      <c r="AR150">
        <f ca="1">IF(OR($L150&gt;AR$4,AR$4&gt;$L150+23),"",OFFSET(Electric!$L141,0,-'Electric Calendarize'!$L150+'Electric Calendarize'!AR$4+1))</f>
        <v>887</v>
      </c>
      <c r="AS150">
        <f ca="1">IF(OR($L150&gt;AS$4,AS$4&gt;$L150+23),"",OFFSET(Electric!$L141,0,-'Electric Calendarize'!$L150+'Electric Calendarize'!AS$4+1))</f>
        <v>880</v>
      </c>
      <c r="AT150">
        <f ca="1">IF(OR($L150&gt;AT$4,AT$4&gt;$L150+23),"",OFFSET(Electric!$L141,0,-'Electric Calendarize'!$L150+'Electric Calendarize'!AT$4+1))</f>
        <v>1025</v>
      </c>
      <c r="AU150">
        <f ca="1">IF(OR($L150&gt;AU$4,AU$4&gt;$L150+23),"",OFFSET(Electric!$L141,0,-'Electric Calendarize'!$L150+'Electric Calendarize'!AU$4+1))</f>
        <v>1181</v>
      </c>
      <c r="AV150">
        <f ca="1">IF(OR($L150&gt;AV$4,AV$4&gt;$L150+23),"",OFFSET(Electric!$L141,0,-'Electric Calendarize'!$L150+'Electric Calendarize'!AV$4+1))</f>
        <v>1465</v>
      </c>
      <c r="AW150">
        <f ca="1">IF(OR($L150&gt;AW$4,AW$4&gt;$L150+23),"",OFFSET(Electric!$L141,0,-'Electric Calendarize'!$L150+'Electric Calendarize'!AW$4+1))</f>
        <v>1502</v>
      </c>
      <c r="AX150">
        <f ca="1">IF(OR($L150&gt;AX$4,AX$4&gt;$L150+23),"",OFFSET(Electric!$L141,0,-'Electric Calendarize'!$L150+'Electric Calendarize'!AX$4+1))</f>
        <v>1308</v>
      </c>
      <c r="AY150">
        <f ca="1">IF(OR($L150&gt;AY$4,AY$4&gt;$L150+23),"",OFFSET(Electric!$L141,0,-'Electric Calendarize'!$L150+'Electric Calendarize'!AY$4+1))</f>
        <v>930</v>
      </c>
      <c r="AZ150">
        <f ca="1">IF(OR($L150&gt;AZ$4,AZ$4&gt;$L150+23),"",OFFSET(Electric!$L141,0,-'Electric Calendarize'!$L150+'Electric Calendarize'!AZ$4+1))</f>
        <v>1034</v>
      </c>
      <c r="BA150">
        <f ca="1">IF(OR($L150&gt;BA$4,BA$4&gt;$L150+23),"",OFFSET(Electric!$L141,0,-'Electric Calendarize'!$L150+'Electric Calendarize'!BA$4+1))</f>
        <v>959</v>
      </c>
      <c r="BB150" t="str">
        <f ca="1">IF(OR($L150&gt;BB$4,BB$4&gt;$L150+23),"",OFFSET(Electric!$L141,0,-'Electric Calendarize'!$L150+'Electric Calendarize'!BB$4+1))</f>
        <v/>
      </c>
      <c r="BC150" t="str">
        <f ca="1">IF(OR($L150&gt;BC$4,BC$4&gt;$L150+23),"",OFFSET(Electric!$L141,0,-'Electric Calendarize'!$L150+'Electric Calendarize'!BC$4+1))</f>
        <v/>
      </c>
      <c r="BD150" t="str">
        <f ca="1">IF(OR($L150&gt;BD$4,BD$4&gt;$L150+23),"",OFFSET(Electric!$L141,0,-'Electric Calendarize'!$L150+'Electric Calendarize'!BD$4+1))</f>
        <v/>
      </c>
      <c r="BE150" t="str">
        <f ca="1">IF(OR($L150&gt;BE$4,BE$4&gt;$L150+23),"",OFFSET(Electric!$L141,0,-'Electric Calendarize'!$L150+'Electric Calendarize'!BE$4+1))</f>
        <v/>
      </c>
      <c r="BF150" t="str">
        <f ca="1">IF(OR($L150&gt;BF$4,BF$4&gt;$L150+23),"",OFFSET(Electric!$L141,0,-'Electric Calendarize'!$L150+'Electric Calendarize'!BF$4+1))</f>
        <v/>
      </c>
      <c r="BG150" t="str">
        <f ca="1">IF(OR($L150&gt;BG$4,BG$4&gt;$L150+23),"",OFFSET(Electric!$L141,0,-'Electric Calendarize'!$L150+'Electric Calendarize'!BG$4+1))</f>
        <v/>
      </c>
      <c r="BJ150" s="10" t="s">
        <v>37</v>
      </c>
      <c r="BK150">
        <f t="shared" si="411"/>
        <v>1</v>
      </c>
      <c r="BL150">
        <f t="shared" si="317"/>
        <v>0</v>
      </c>
      <c r="BM150">
        <f t="shared" si="318"/>
        <v>0</v>
      </c>
      <c r="BN150">
        <f t="shared" si="319"/>
        <v>0</v>
      </c>
      <c r="BO150">
        <f t="shared" si="320"/>
        <v>0</v>
      </c>
      <c r="BP150">
        <f t="shared" si="321"/>
        <v>0</v>
      </c>
      <c r="BQ150">
        <f t="shared" si="322"/>
        <v>0</v>
      </c>
      <c r="BR150">
        <f t="shared" si="323"/>
        <v>1</v>
      </c>
      <c r="BS150">
        <f t="shared" si="324"/>
        <v>1</v>
      </c>
      <c r="BT150">
        <f t="shared" si="325"/>
        <v>1</v>
      </c>
      <c r="BU150">
        <f t="shared" si="326"/>
        <v>1</v>
      </c>
      <c r="BV150">
        <f t="shared" si="327"/>
        <v>1</v>
      </c>
      <c r="BW150">
        <f t="shared" si="328"/>
        <v>1</v>
      </c>
      <c r="BX150">
        <f t="shared" si="329"/>
        <v>0</v>
      </c>
      <c r="BY150">
        <f t="shared" si="330"/>
        <v>0</v>
      </c>
      <c r="BZ150">
        <f t="shared" si="331"/>
        <v>0</v>
      </c>
      <c r="CA150">
        <f t="shared" si="332"/>
        <v>0</v>
      </c>
      <c r="CB150">
        <f t="shared" si="333"/>
        <v>0</v>
      </c>
      <c r="CC150">
        <f t="shared" si="334"/>
        <v>0</v>
      </c>
      <c r="CD150">
        <f t="shared" si="335"/>
        <v>1</v>
      </c>
      <c r="CE150">
        <f t="shared" si="336"/>
        <v>1</v>
      </c>
      <c r="CF150">
        <f t="shared" si="337"/>
        <v>1</v>
      </c>
      <c r="CG150">
        <f t="shared" si="338"/>
        <v>1</v>
      </c>
      <c r="CH150">
        <f t="shared" si="339"/>
        <v>1</v>
      </c>
      <c r="CI150">
        <f t="shared" si="340"/>
        <v>1</v>
      </c>
      <c r="CJ150">
        <f t="shared" si="341"/>
        <v>0</v>
      </c>
      <c r="CK150">
        <f t="shared" si="342"/>
        <v>0</v>
      </c>
      <c r="CL150">
        <f t="shared" si="343"/>
        <v>0</v>
      </c>
      <c r="CM150">
        <f t="shared" si="344"/>
        <v>0</v>
      </c>
      <c r="CN150">
        <f t="shared" si="345"/>
        <v>0</v>
      </c>
      <c r="CO150">
        <f t="shared" si="346"/>
        <v>0</v>
      </c>
      <c r="CP150">
        <f t="shared" si="347"/>
        <v>1</v>
      </c>
      <c r="CQ150">
        <f t="shared" si="348"/>
        <v>1</v>
      </c>
      <c r="CR150">
        <f t="shared" si="349"/>
        <v>1</v>
      </c>
      <c r="CS150">
        <f t="shared" si="350"/>
        <v>1</v>
      </c>
      <c r="CT150">
        <f t="shared" si="351"/>
        <v>1</v>
      </c>
      <c r="CU150">
        <f t="shared" si="352"/>
        <v>1</v>
      </c>
      <c r="CV150">
        <f t="shared" si="353"/>
        <v>0</v>
      </c>
      <c r="CW150">
        <f t="shared" si="354"/>
        <v>0</v>
      </c>
      <c r="CX150">
        <f t="shared" si="355"/>
        <v>0</v>
      </c>
      <c r="CY150">
        <f t="shared" si="356"/>
        <v>0</v>
      </c>
      <c r="CZ150">
        <f t="shared" si="357"/>
        <v>0</v>
      </c>
      <c r="DA150">
        <f t="shared" si="358"/>
        <v>0</v>
      </c>
      <c r="DB150">
        <f t="shared" si="359"/>
        <v>1</v>
      </c>
      <c r="DC150">
        <f t="shared" si="360"/>
        <v>1</v>
      </c>
      <c r="DF150" s="10" t="s">
        <v>37</v>
      </c>
      <c r="DG150" t="str">
        <f t="shared" si="412"/>
        <v>2022_7</v>
      </c>
      <c r="DH150" t="str">
        <f t="shared" si="412"/>
        <v>2022_7</v>
      </c>
      <c r="DI150" t="str">
        <f t="shared" si="412"/>
        <v>2022_7</v>
      </c>
      <c r="DJ150" t="str">
        <f t="shared" si="412"/>
        <v>2022_7</v>
      </c>
      <c r="DK150" t="str">
        <f t="shared" si="412"/>
        <v>2022_7</v>
      </c>
      <c r="DL150" t="str">
        <f t="shared" si="412"/>
        <v>2022_7</v>
      </c>
      <c r="DM150" t="str">
        <f t="shared" si="412"/>
        <v>2022_7</v>
      </c>
      <c r="DN150" t="str">
        <f t="shared" si="412"/>
        <v>2022_7</v>
      </c>
      <c r="DO150" t="str">
        <f t="shared" si="412"/>
        <v>2022_7</v>
      </c>
      <c r="DP150" t="str">
        <f t="shared" si="412"/>
        <v>2022_7</v>
      </c>
      <c r="DQ150" t="str">
        <f t="shared" si="412"/>
        <v>2022_7</v>
      </c>
      <c r="DR150" t="str">
        <f t="shared" si="412"/>
        <v>2022_7</v>
      </c>
      <c r="DS150" t="str">
        <f t="shared" si="412"/>
        <v>2022_7</v>
      </c>
      <c r="DT150" t="str">
        <f t="shared" si="412"/>
        <v>2022_7</v>
      </c>
      <c r="DU150" t="str">
        <f t="shared" si="412"/>
        <v>2022_7</v>
      </c>
      <c r="DV150" t="str">
        <f t="shared" si="361"/>
        <v>2022_7</v>
      </c>
      <c r="DW150" t="str">
        <f t="shared" si="361"/>
        <v>2022_7</v>
      </c>
      <c r="DX150" t="str">
        <f t="shared" si="361"/>
        <v>2022_7</v>
      </c>
      <c r="DY150" t="str">
        <f t="shared" si="361"/>
        <v>2022_7</v>
      </c>
      <c r="DZ150" t="str">
        <f t="shared" si="361"/>
        <v>2022_7</v>
      </c>
      <c r="EA150" t="str">
        <f t="shared" si="361"/>
        <v>2022_7</v>
      </c>
      <c r="EB150" t="str">
        <f t="shared" si="361"/>
        <v>2022_7</v>
      </c>
      <c r="EC150" t="str">
        <f t="shared" si="361"/>
        <v>2022_7</v>
      </c>
      <c r="ED150" t="str">
        <f t="shared" si="361"/>
        <v>2022_7</v>
      </c>
      <c r="EE150" t="str">
        <f t="shared" si="361"/>
        <v>2022_7</v>
      </c>
      <c r="EF150" t="str">
        <f t="shared" si="361"/>
        <v>2022_7</v>
      </c>
      <c r="EG150" t="str">
        <f t="shared" si="361"/>
        <v>2022_7</v>
      </c>
      <c r="EH150" t="str">
        <f t="shared" si="361"/>
        <v>2022_7</v>
      </c>
      <c r="EI150" t="str">
        <f t="shared" si="361"/>
        <v>2022_7</v>
      </c>
      <c r="EJ150" t="str">
        <f t="shared" si="361"/>
        <v>2022_7</v>
      </c>
      <c r="EK150" t="str">
        <f t="shared" si="361"/>
        <v>2022_7</v>
      </c>
      <c r="EL150" t="str">
        <f t="shared" si="362"/>
        <v>2022_7</v>
      </c>
      <c r="EM150" t="str">
        <f t="shared" si="316"/>
        <v>2022_7</v>
      </c>
      <c r="EN150" t="str">
        <f t="shared" si="316"/>
        <v>2022_7</v>
      </c>
      <c r="EO150" t="str">
        <f t="shared" si="316"/>
        <v>2022_7</v>
      </c>
      <c r="EP150" t="str">
        <f t="shared" si="316"/>
        <v>2022_7</v>
      </c>
      <c r="EQ150" t="str">
        <f t="shared" si="316"/>
        <v>2022_7</v>
      </c>
      <c r="ER150" t="str">
        <f t="shared" si="316"/>
        <v>2022_7</v>
      </c>
      <c r="ES150" t="str">
        <f t="shared" si="316"/>
        <v>2022_7</v>
      </c>
      <c r="ET150" t="str">
        <f t="shared" si="316"/>
        <v>2022_7</v>
      </c>
      <c r="EU150" t="str">
        <f t="shared" si="316"/>
        <v>2022_7</v>
      </c>
      <c r="EV150" t="str">
        <f t="shared" si="316"/>
        <v>2022_7</v>
      </c>
      <c r="EW150" t="str">
        <f t="shared" si="316"/>
        <v>2022_7</v>
      </c>
      <c r="EX150" t="str">
        <f t="shared" si="316"/>
        <v>2022_7</v>
      </c>
      <c r="EY150" t="str">
        <f t="shared" si="316"/>
        <v>2022_7</v>
      </c>
      <c r="FB150" s="10" t="s">
        <v>37</v>
      </c>
      <c r="FC150">
        <f t="shared" si="413"/>
        <v>0</v>
      </c>
      <c r="FD150">
        <f t="shared" si="363"/>
        <v>0</v>
      </c>
      <c r="FE150">
        <f t="shared" si="364"/>
        <v>0</v>
      </c>
      <c r="FF150">
        <f t="shared" si="365"/>
        <v>0</v>
      </c>
      <c r="FG150">
        <f t="shared" si="366"/>
        <v>0</v>
      </c>
      <c r="FH150">
        <f t="shared" si="367"/>
        <v>0</v>
      </c>
      <c r="FI150">
        <f t="shared" si="368"/>
        <v>0</v>
      </c>
      <c r="FJ150">
        <f t="shared" si="369"/>
        <v>0</v>
      </c>
      <c r="FK150">
        <f t="shared" si="370"/>
        <v>0</v>
      </c>
      <c r="FL150">
        <f t="shared" si="371"/>
        <v>0</v>
      </c>
      <c r="FM150">
        <f t="shared" si="372"/>
        <v>0</v>
      </c>
      <c r="FN150">
        <f t="shared" si="373"/>
        <v>0</v>
      </c>
      <c r="FO150">
        <f t="shared" si="374"/>
        <v>0</v>
      </c>
      <c r="FP150">
        <f t="shared" si="375"/>
        <v>0</v>
      </c>
      <c r="FQ150">
        <f t="shared" si="376"/>
        <v>0</v>
      </c>
      <c r="FR150">
        <f t="shared" si="377"/>
        <v>0</v>
      </c>
      <c r="FS150">
        <f t="shared" si="378"/>
        <v>0</v>
      </c>
      <c r="FT150">
        <f t="shared" si="379"/>
        <v>0</v>
      </c>
      <c r="FU150">
        <f t="shared" si="380"/>
        <v>0</v>
      </c>
      <c r="FV150">
        <f t="shared" si="381"/>
        <v>0</v>
      </c>
      <c r="FW150">
        <f t="shared" si="382"/>
        <v>0</v>
      </c>
      <c r="FX150">
        <f t="shared" si="383"/>
        <v>0</v>
      </c>
      <c r="FY150">
        <f t="shared" si="384"/>
        <v>0</v>
      </c>
      <c r="FZ150">
        <f t="shared" si="385"/>
        <v>0</v>
      </c>
      <c r="GA150">
        <f t="shared" si="386"/>
        <v>0</v>
      </c>
      <c r="GB150">
        <f t="shared" si="387"/>
        <v>0</v>
      </c>
      <c r="GC150">
        <f t="shared" si="388"/>
        <v>0</v>
      </c>
      <c r="GD150">
        <f t="shared" si="389"/>
        <v>1</v>
      </c>
      <c r="GE150">
        <f t="shared" si="390"/>
        <v>1</v>
      </c>
      <c r="GF150">
        <f t="shared" si="391"/>
        <v>1</v>
      </c>
      <c r="GG150">
        <f t="shared" si="392"/>
        <v>1</v>
      </c>
      <c r="GH150">
        <f t="shared" si="393"/>
        <v>1</v>
      </c>
      <c r="GI150">
        <f t="shared" si="394"/>
        <v>1</v>
      </c>
      <c r="GJ150">
        <f t="shared" si="395"/>
        <v>1</v>
      </c>
      <c r="GK150">
        <f t="shared" si="396"/>
        <v>1</v>
      </c>
      <c r="GL150">
        <f t="shared" si="397"/>
        <v>1</v>
      </c>
      <c r="GM150">
        <f t="shared" si="398"/>
        <v>1</v>
      </c>
      <c r="GN150">
        <f t="shared" si="399"/>
        <v>1</v>
      </c>
      <c r="GO150">
        <f t="shared" si="400"/>
        <v>1</v>
      </c>
      <c r="GP150">
        <f t="shared" si="401"/>
        <v>1</v>
      </c>
      <c r="GQ150">
        <f t="shared" si="402"/>
        <v>1</v>
      </c>
      <c r="GR150">
        <f t="shared" si="403"/>
        <v>1</v>
      </c>
      <c r="GS150">
        <f t="shared" si="404"/>
        <v>1</v>
      </c>
      <c r="GT150">
        <f t="shared" si="405"/>
        <v>1</v>
      </c>
      <c r="GU150">
        <f t="shared" si="406"/>
        <v>1</v>
      </c>
      <c r="GX150" s="10"/>
    </row>
    <row r="151" spans="1:206" x14ac:dyDescent="0.3">
      <c r="A151" s="9" t="s">
        <v>33</v>
      </c>
      <c r="B151" s="80"/>
      <c r="C151" s="9">
        <v>3100221002</v>
      </c>
      <c r="D151" s="9" t="s">
        <v>456</v>
      </c>
      <c r="E151" s="9" t="s">
        <v>34</v>
      </c>
      <c r="F151" s="9" t="s">
        <v>35</v>
      </c>
      <c r="G151" s="9" t="s">
        <v>184</v>
      </c>
      <c r="H151" s="10">
        <v>44774</v>
      </c>
      <c r="I151" s="9">
        <f t="shared" si="407"/>
        <v>2022</v>
      </c>
      <c r="J151" s="9">
        <f t="shared" si="408"/>
        <v>8</v>
      </c>
      <c r="K151" s="9" t="str">
        <f t="shared" si="409"/>
        <v>2022_8</v>
      </c>
      <c r="L151">
        <f>MAX(0,VLOOKUP($K151,lookups!$A$1:$B$45,2,0)-12)</f>
        <v>16</v>
      </c>
      <c r="M151" s="40">
        <f t="shared" si="410"/>
        <v>44774</v>
      </c>
      <c r="N151" s="10" t="s">
        <v>37</v>
      </c>
      <c r="O151" t="str">
        <f ca="1">IF(OR($L151&gt;O$4,O$4&gt;$L151+23),"",OFFSET(Electric!$L142,0,-'Electric Calendarize'!$L151+'Electric Calendarize'!O$4+1))</f>
        <v/>
      </c>
      <c r="P151" t="str">
        <f ca="1">IF(OR($L151&gt;P$4,P$4&gt;$L151+23),"",OFFSET(Electric!$L142,0,-'Electric Calendarize'!$L151+'Electric Calendarize'!P$4+1))</f>
        <v/>
      </c>
      <c r="Q151" t="str">
        <f ca="1">IF(OR($L151&gt;Q$4,Q$4&gt;$L151+23),"",OFFSET(Electric!$L142,0,-'Electric Calendarize'!$L151+'Electric Calendarize'!Q$4+1))</f>
        <v/>
      </c>
      <c r="R151" t="str">
        <f ca="1">IF(OR($L151&gt;R$4,R$4&gt;$L151+23),"",OFFSET(Electric!$L142,0,-'Electric Calendarize'!$L151+'Electric Calendarize'!R$4+1))</f>
        <v/>
      </c>
      <c r="S151" t="str">
        <f ca="1">IF(OR($L151&gt;S$4,S$4&gt;$L151+23),"",OFFSET(Electric!$L142,0,-'Electric Calendarize'!$L151+'Electric Calendarize'!S$4+1))</f>
        <v/>
      </c>
      <c r="T151" t="str">
        <f ca="1">IF(OR($L151&gt;T$4,T$4&gt;$L151+23),"",OFFSET(Electric!$L142,0,-'Electric Calendarize'!$L151+'Electric Calendarize'!T$4+1))</f>
        <v/>
      </c>
      <c r="U151" t="str">
        <f ca="1">IF(OR($L151&gt;U$4,U$4&gt;$L151+23),"",OFFSET(Electric!$L142,0,-'Electric Calendarize'!$L151+'Electric Calendarize'!U$4+1))</f>
        <v/>
      </c>
      <c r="V151" t="str">
        <f ca="1">IF(OR($L151&gt;V$4,V$4&gt;$L151+23),"",OFFSET(Electric!$L142,0,-'Electric Calendarize'!$L151+'Electric Calendarize'!V$4+1))</f>
        <v/>
      </c>
      <c r="W151" t="str">
        <f ca="1">IF(OR($L151&gt;W$4,W$4&gt;$L151+23),"",OFFSET(Electric!$L142,0,-'Electric Calendarize'!$L151+'Electric Calendarize'!W$4+1))</f>
        <v/>
      </c>
      <c r="X151" t="str">
        <f ca="1">IF(OR($L151&gt;X$4,X$4&gt;$L151+23),"",OFFSET(Electric!$L142,0,-'Electric Calendarize'!$L151+'Electric Calendarize'!X$4+1))</f>
        <v/>
      </c>
      <c r="Y151" t="str">
        <f ca="1">IF(OR($L151&gt;Y$4,Y$4&gt;$L151+23),"",OFFSET(Electric!$L142,0,-'Electric Calendarize'!$L151+'Electric Calendarize'!Y$4+1))</f>
        <v/>
      </c>
      <c r="Z151" t="str">
        <f ca="1">IF(OR($L151&gt;Z$4,Z$4&gt;$L151+23),"",OFFSET(Electric!$L142,0,-'Electric Calendarize'!$L151+'Electric Calendarize'!Z$4+1))</f>
        <v/>
      </c>
      <c r="AA151" t="str">
        <f ca="1">IF(OR($L151&gt;AA$4,AA$4&gt;$L151+23),"",OFFSET(Electric!$L142,0,-'Electric Calendarize'!$L151+'Electric Calendarize'!AA$4+1))</f>
        <v/>
      </c>
      <c r="AB151" t="str">
        <f ca="1">IF(OR($L151&gt;AB$4,AB$4&gt;$L151+23),"",OFFSET(Electric!$L142,0,-'Electric Calendarize'!$L151+'Electric Calendarize'!AB$4+1))</f>
        <v/>
      </c>
      <c r="AC151" t="str">
        <f ca="1">IF(OR($L151&gt;AC$4,AC$4&gt;$L151+23),"",OFFSET(Electric!$L142,0,-'Electric Calendarize'!$L151+'Electric Calendarize'!AC$4+1))</f>
        <v/>
      </c>
      <c r="AD151" t="str">
        <f ca="1">IF(OR($L151&gt;AD$4,AD$4&gt;$L151+23),"",OFFSET(Electric!$L142,0,-'Electric Calendarize'!$L151+'Electric Calendarize'!AD$4+1))</f>
        <v/>
      </c>
      <c r="AE151">
        <f ca="1">IF(OR($L151&gt;AE$4,AE$4&gt;$L151+23),"",OFFSET(Electric!$L142,0,-'Electric Calendarize'!$L151+'Electric Calendarize'!AE$4+1))</f>
        <v>672</v>
      </c>
      <c r="AF151">
        <f ca="1">IF(OR($L151&gt;AF$4,AF$4&gt;$L151+23),"",OFFSET(Electric!$L142,0,-'Electric Calendarize'!$L151+'Electric Calendarize'!AF$4+1))</f>
        <v>690</v>
      </c>
      <c r="AG151">
        <f ca="1">IF(OR($L151&gt;AG$4,AG$4&gt;$L151+23),"",OFFSET(Electric!$L142,0,-'Electric Calendarize'!$L151+'Electric Calendarize'!AG$4+1))</f>
        <v>511</v>
      </c>
      <c r="AH151">
        <f ca="1">IF(OR($L151&gt;AH$4,AH$4&gt;$L151+23),"",OFFSET(Electric!$L142,0,-'Electric Calendarize'!$L151+'Electric Calendarize'!AH$4+1))</f>
        <v>359</v>
      </c>
      <c r="AI151">
        <f ca="1">IF(OR($L151&gt;AI$4,AI$4&gt;$L151+23),"",OFFSET(Electric!$L142,0,-'Electric Calendarize'!$L151+'Electric Calendarize'!AI$4+1))</f>
        <v>546</v>
      </c>
      <c r="AJ151">
        <f ca="1">IF(OR($L151&gt;AJ$4,AJ$4&gt;$L151+23),"",OFFSET(Electric!$L142,0,-'Electric Calendarize'!$L151+'Electric Calendarize'!AJ$4+1))</f>
        <v>594</v>
      </c>
      <c r="AK151">
        <f ca="1">IF(OR($L151&gt;AK$4,AK$4&gt;$L151+23),"",OFFSET(Electric!$L142,0,-'Electric Calendarize'!$L151+'Electric Calendarize'!AK$4+1))</f>
        <v>532</v>
      </c>
      <c r="AL151">
        <f ca="1">IF(OR($L151&gt;AL$4,AL$4&gt;$L151+23),"",OFFSET(Electric!$L142,0,-'Electric Calendarize'!$L151+'Electric Calendarize'!AL$4+1))</f>
        <v>582</v>
      </c>
      <c r="AM151">
        <f ca="1">IF(OR($L151&gt;AM$4,AM$4&gt;$L151+23),"",OFFSET(Electric!$L142,0,-'Electric Calendarize'!$L151+'Electric Calendarize'!AM$4+1))</f>
        <v>461</v>
      </c>
      <c r="AN151">
        <f ca="1">IF(OR($L151&gt;AN$4,AN$4&gt;$L151+23),"",OFFSET(Electric!$L142,0,-'Electric Calendarize'!$L151+'Electric Calendarize'!AN$4+1))</f>
        <v>452</v>
      </c>
      <c r="AO151">
        <f ca="1">IF(OR($L151&gt;AO$4,AO$4&gt;$L151+23),"",OFFSET(Electric!$L142,0,-'Electric Calendarize'!$L151+'Electric Calendarize'!AO$4+1))</f>
        <v>457</v>
      </c>
      <c r="AP151">
        <f ca="1">IF(OR($L151&gt;AP$4,AP$4&gt;$L151+23),"",OFFSET(Electric!$L142,0,-'Electric Calendarize'!$L151+'Electric Calendarize'!AP$4+1))</f>
        <v>363</v>
      </c>
      <c r="AQ151">
        <f ca="1">IF(OR($L151&gt;AQ$4,AQ$4&gt;$L151+23),"",OFFSET(Electric!$L142,0,-'Electric Calendarize'!$L151+'Electric Calendarize'!AQ$4+1))</f>
        <v>433</v>
      </c>
      <c r="AR151">
        <f ca="1">IF(OR($L151&gt;AR$4,AR$4&gt;$L151+23),"",OFFSET(Electric!$L142,0,-'Electric Calendarize'!$L151+'Electric Calendarize'!AR$4+1))</f>
        <v>471</v>
      </c>
      <c r="AS151">
        <f ca="1">IF(OR($L151&gt;AS$4,AS$4&gt;$L151+23),"",OFFSET(Electric!$L142,0,-'Electric Calendarize'!$L151+'Electric Calendarize'!AS$4+1))</f>
        <v>442</v>
      </c>
      <c r="AT151">
        <f ca="1">IF(OR($L151&gt;AT$4,AT$4&gt;$L151+23),"",OFFSET(Electric!$L142,0,-'Electric Calendarize'!$L151+'Electric Calendarize'!AT$4+1))</f>
        <v>418</v>
      </c>
      <c r="AU151">
        <f ca="1">IF(OR($L151&gt;AU$4,AU$4&gt;$L151+23),"",OFFSET(Electric!$L142,0,-'Electric Calendarize'!$L151+'Electric Calendarize'!AU$4+1))</f>
        <v>480</v>
      </c>
      <c r="AV151">
        <f ca="1">IF(OR($L151&gt;AV$4,AV$4&gt;$L151+23),"",OFFSET(Electric!$L142,0,-'Electric Calendarize'!$L151+'Electric Calendarize'!AV$4+1))</f>
        <v>785</v>
      </c>
      <c r="AW151">
        <f ca="1">IF(OR($L151&gt;AW$4,AW$4&gt;$L151+23),"",OFFSET(Electric!$L142,0,-'Electric Calendarize'!$L151+'Electric Calendarize'!AW$4+1))</f>
        <v>551</v>
      </c>
      <c r="AX151">
        <f ca="1">IF(OR($L151&gt;AX$4,AX$4&gt;$L151+23),"",OFFSET(Electric!$L142,0,-'Electric Calendarize'!$L151+'Electric Calendarize'!AX$4+1))</f>
        <v>581</v>
      </c>
      <c r="AY151">
        <f ca="1">IF(OR($L151&gt;AY$4,AY$4&gt;$L151+23),"",OFFSET(Electric!$L142,0,-'Electric Calendarize'!$L151+'Electric Calendarize'!AY$4+1))</f>
        <v>538</v>
      </c>
      <c r="AZ151">
        <f ca="1">IF(OR($L151&gt;AZ$4,AZ$4&gt;$L151+23),"",OFFSET(Electric!$L142,0,-'Electric Calendarize'!$L151+'Electric Calendarize'!AZ$4+1))</f>
        <v>569</v>
      </c>
      <c r="BA151">
        <f ca="1">IF(OR($L151&gt;BA$4,BA$4&gt;$L151+23),"",OFFSET(Electric!$L142,0,-'Electric Calendarize'!$L151+'Electric Calendarize'!BA$4+1))</f>
        <v>547</v>
      </c>
      <c r="BB151">
        <f ca="1">IF(OR($L151&gt;BB$4,BB$4&gt;$L151+23),"",OFFSET(Electric!$L142,0,-'Electric Calendarize'!$L151+'Electric Calendarize'!BB$4+1))</f>
        <v>539</v>
      </c>
      <c r="BC151" t="str">
        <f ca="1">IF(OR($L151&gt;BC$4,BC$4&gt;$L151+23),"",OFFSET(Electric!$L142,0,-'Electric Calendarize'!$L151+'Electric Calendarize'!BC$4+1))</f>
        <v/>
      </c>
      <c r="BD151" t="str">
        <f ca="1">IF(OR($L151&gt;BD$4,BD$4&gt;$L151+23),"",OFFSET(Electric!$L142,0,-'Electric Calendarize'!$L151+'Electric Calendarize'!BD$4+1))</f>
        <v/>
      </c>
      <c r="BE151" t="str">
        <f ca="1">IF(OR($L151&gt;BE$4,BE$4&gt;$L151+23),"",OFFSET(Electric!$L142,0,-'Electric Calendarize'!$L151+'Electric Calendarize'!BE$4+1))</f>
        <v/>
      </c>
      <c r="BF151" t="str">
        <f ca="1">IF(OR($L151&gt;BF$4,BF$4&gt;$L151+23),"",OFFSET(Electric!$L142,0,-'Electric Calendarize'!$L151+'Electric Calendarize'!BF$4+1))</f>
        <v/>
      </c>
      <c r="BG151" t="str">
        <f ca="1">IF(OR($L151&gt;BG$4,BG$4&gt;$L151+23),"",OFFSET(Electric!$L142,0,-'Electric Calendarize'!$L151+'Electric Calendarize'!BG$4+1))</f>
        <v/>
      </c>
      <c r="BJ151" s="10" t="s">
        <v>37</v>
      </c>
      <c r="BK151">
        <f t="shared" si="411"/>
        <v>1</v>
      </c>
      <c r="BL151">
        <f t="shared" si="317"/>
        <v>0</v>
      </c>
      <c r="BM151">
        <f t="shared" si="318"/>
        <v>0</v>
      </c>
      <c r="BN151">
        <f t="shared" si="319"/>
        <v>0</v>
      </c>
      <c r="BO151">
        <f t="shared" si="320"/>
        <v>0</v>
      </c>
      <c r="BP151">
        <f t="shared" si="321"/>
        <v>0</v>
      </c>
      <c r="BQ151">
        <f t="shared" si="322"/>
        <v>0</v>
      </c>
      <c r="BR151">
        <f t="shared" si="323"/>
        <v>1</v>
      </c>
      <c r="BS151">
        <f t="shared" si="324"/>
        <v>1</v>
      </c>
      <c r="BT151">
        <f t="shared" si="325"/>
        <v>1</v>
      </c>
      <c r="BU151">
        <f t="shared" si="326"/>
        <v>1</v>
      </c>
      <c r="BV151">
        <f t="shared" si="327"/>
        <v>1</v>
      </c>
      <c r="BW151">
        <f t="shared" si="328"/>
        <v>1</v>
      </c>
      <c r="BX151">
        <f t="shared" si="329"/>
        <v>0</v>
      </c>
      <c r="BY151">
        <f t="shared" si="330"/>
        <v>0</v>
      </c>
      <c r="BZ151">
        <f t="shared" si="331"/>
        <v>0</v>
      </c>
      <c r="CA151">
        <f t="shared" si="332"/>
        <v>0</v>
      </c>
      <c r="CB151">
        <f t="shared" si="333"/>
        <v>0</v>
      </c>
      <c r="CC151">
        <f t="shared" si="334"/>
        <v>0</v>
      </c>
      <c r="CD151">
        <f t="shared" si="335"/>
        <v>1</v>
      </c>
      <c r="CE151">
        <f t="shared" si="336"/>
        <v>1</v>
      </c>
      <c r="CF151">
        <f t="shared" si="337"/>
        <v>1</v>
      </c>
      <c r="CG151">
        <f t="shared" si="338"/>
        <v>1</v>
      </c>
      <c r="CH151">
        <f t="shared" si="339"/>
        <v>1</v>
      </c>
      <c r="CI151">
        <f t="shared" si="340"/>
        <v>1</v>
      </c>
      <c r="CJ151">
        <f t="shared" si="341"/>
        <v>0</v>
      </c>
      <c r="CK151">
        <f t="shared" si="342"/>
        <v>0</v>
      </c>
      <c r="CL151">
        <f t="shared" si="343"/>
        <v>0</v>
      </c>
      <c r="CM151">
        <f t="shared" si="344"/>
        <v>0</v>
      </c>
      <c r="CN151">
        <f t="shared" si="345"/>
        <v>0</v>
      </c>
      <c r="CO151">
        <f t="shared" si="346"/>
        <v>0</v>
      </c>
      <c r="CP151">
        <f t="shared" si="347"/>
        <v>1</v>
      </c>
      <c r="CQ151">
        <f t="shared" si="348"/>
        <v>1</v>
      </c>
      <c r="CR151">
        <f t="shared" si="349"/>
        <v>1</v>
      </c>
      <c r="CS151">
        <f t="shared" si="350"/>
        <v>1</v>
      </c>
      <c r="CT151">
        <f t="shared" si="351"/>
        <v>1</v>
      </c>
      <c r="CU151">
        <f t="shared" si="352"/>
        <v>1</v>
      </c>
      <c r="CV151">
        <f t="shared" si="353"/>
        <v>0</v>
      </c>
      <c r="CW151">
        <f t="shared" si="354"/>
        <v>0</v>
      </c>
      <c r="CX151">
        <f t="shared" si="355"/>
        <v>0</v>
      </c>
      <c r="CY151">
        <f t="shared" si="356"/>
        <v>0</v>
      </c>
      <c r="CZ151">
        <f t="shared" si="357"/>
        <v>0</v>
      </c>
      <c r="DA151">
        <f t="shared" si="358"/>
        <v>0</v>
      </c>
      <c r="DB151">
        <f t="shared" si="359"/>
        <v>1</v>
      </c>
      <c r="DC151">
        <f t="shared" si="360"/>
        <v>1</v>
      </c>
      <c r="DF151" s="10" t="s">
        <v>37</v>
      </c>
      <c r="DG151" t="str">
        <f t="shared" si="412"/>
        <v>2022_8</v>
      </c>
      <c r="DH151" t="str">
        <f t="shared" si="412"/>
        <v>2022_8</v>
      </c>
      <c r="DI151" t="str">
        <f t="shared" si="412"/>
        <v>2022_8</v>
      </c>
      <c r="DJ151" t="str">
        <f t="shared" si="412"/>
        <v>2022_8</v>
      </c>
      <c r="DK151" t="str">
        <f t="shared" si="412"/>
        <v>2022_8</v>
      </c>
      <c r="DL151" t="str">
        <f t="shared" si="412"/>
        <v>2022_8</v>
      </c>
      <c r="DM151" t="str">
        <f t="shared" si="412"/>
        <v>2022_8</v>
      </c>
      <c r="DN151" t="str">
        <f t="shared" si="412"/>
        <v>2022_8</v>
      </c>
      <c r="DO151" t="str">
        <f t="shared" si="412"/>
        <v>2022_8</v>
      </c>
      <c r="DP151" t="str">
        <f t="shared" si="412"/>
        <v>2022_8</v>
      </c>
      <c r="DQ151" t="str">
        <f t="shared" si="412"/>
        <v>2022_8</v>
      </c>
      <c r="DR151" t="str">
        <f t="shared" si="412"/>
        <v>2022_8</v>
      </c>
      <c r="DS151" t="str">
        <f t="shared" si="412"/>
        <v>2022_8</v>
      </c>
      <c r="DT151" t="str">
        <f t="shared" si="412"/>
        <v>2022_8</v>
      </c>
      <c r="DU151" t="str">
        <f t="shared" si="412"/>
        <v>2022_8</v>
      </c>
      <c r="DV151" t="str">
        <f t="shared" si="361"/>
        <v>2022_8</v>
      </c>
      <c r="DW151" t="str">
        <f t="shared" si="361"/>
        <v>2022_8</v>
      </c>
      <c r="DX151" t="str">
        <f t="shared" si="361"/>
        <v>2022_8</v>
      </c>
      <c r="DY151" t="str">
        <f t="shared" si="361"/>
        <v>2022_8</v>
      </c>
      <c r="DZ151" t="str">
        <f t="shared" si="361"/>
        <v>2022_8</v>
      </c>
      <c r="EA151" t="str">
        <f t="shared" si="361"/>
        <v>2022_8</v>
      </c>
      <c r="EB151" t="str">
        <f t="shared" si="361"/>
        <v>2022_8</v>
      </c>
      <c r="EC151" t="str">
        <f t="shared" si="361"/>
        <v>2022_8</v>
      </c>
      <c r="ED151" t="str">
        <f t="shared" si="361"/>
        <v>2022_8</v>
      </c>
      <c r="EE151" t="str">
        <f t="shared" si="361"/>
        <v>2022_8</v>
      </c>
      <c r="EF151" t="str">
        <f t="shared" si="361"/>
        <v>2022_8</v>
      </c>
      <c r="EG151" t="str">
        <f t="shared" si="361"/>
        <v>2022_8</v>
      </c>
      <c r="EH151" t="str">
        <f t="shared" si="361"/>
        <v>2022_8</v>
      </c>
      <c r="EI151" t="str">
        <f t="shared" si="361"/>
        <v>2022_8</v>
      </c>
      <c r="EJ151" t="str">
        <f t="shared" si="361"/>
        <v>2022_8</v>
      </c>
      <c r="EK151" t="str">
        <f t="shared" si="361"/>
        <v>2022_8</v>
      </c>
      <c r="EL151" t="str">
        <f t="shared" si="362"/>
        <v>2022_8</v>
      </c>
      <c r="EM151" t="str">
        <f t="shared" si="316"/>
        <v>2022_8</v>
      </c>
      <c r="EN151" t="str">
        <f t="shared" si="316"/>
        <v>2022_8</v>
      </c>
      <c r="EO151" t="str">
        <f t="shared" si="316"/>
        <v>2022_8</v>
      </c>
      <c r="EP151" t="str">
        <f t="shared" si="316"/>
        <v>2022_8</v>
      </c>
      <c r="EQ151" t="str">
        <f t="shared" si="316"/>
        <v>2022_8</v>
      </c>
      <c r="ER151" t="str">
        <f t="shared" si="316"/>
        <v>2022_8</v>
      </c>
      <c r="ES151" t="str">
        <f t="shared" si="316"/>
        <v>2022_8</v>
      </c>
      <c r="ET151" t="str">
        <f t="shared" si="316"/>
        <v>2022_8</v>
      </c>
      <c r="EU151" t="str">
        <f t="shared" si="316"/>
        <v>2022_8</v>
      </c>
      <c r="EV151" t="str">
        <f t="shared" si="316"/>
        <v>2022_8</v>
      </c>
      <c r="EW151" t="str">
        <f t="shared" si="316"/>
        <v>2022_8</v>
      </c>
      <c r="EX151" t="str">
        <f t="shared" si="316"/>
        <v>2022_8</v>
      </c>
      <c r="EY151" t="str">
        <f t="shared" si="316"/>
        <v>2022_8</v>
      </c>
      <c r="FB151" s="10" t="s">
        <v>37</v>
      </c>
      <c r="FC151">
        <f t="shared" si="413"/>
        <v>0</v>
      </c>
      <c r="FD151">
        <f t="shared" si="363"/>
        <v>0</v>
      </c>
      <c r="FE151">
        <f t="shared" si="364"/>
        <v>0</v>
      </c>
      <c r="FF151">
        <f t="shared" si="365"/>
        <v>0</v>
      </c>
      <c r="FG151">
        <f t="shared" si="366"/>
        <v>0</v>
      </c>
      <c r="FH151">
        <f t="shared" si="367"/>
        <v>0</v>
      </c>
      <c r="FI151">
        <f t="shared" si="368"/>
        <v>0</v>
      </c>
      <c r="FJ151">
        <f t="shared" si="369"/>
        <v>0</v>
      </c>
      <c r="FK151">
        <f t="shared" si="370"/>
        <v>0</v>
      </c>
      <c r="FL151">
        <f t="shared" si="371"/>
        <v>0</v>
      </c>
      <c r="FM151">
        <f t="shared" si="372"/>
        <v>0</v>
      </c>
      <c r="FN151">
        <f t="shared" si="373"/>
        <v>0</v>
      </c>
      <c r="FO151">
        <f t="shared" si="374"/>
        <v>0</v>
      </c>
      <c r="FP151">
        <f t="shared" si="375"/>
        <v>0</v>
      </c>
      <c r="FQ151">
        <f t="shared" si="376"/>
        <v>0</v>
      </c>
      <c r="FR151">
        <f t="shared" si="377"/>
        <v>0</v>
      </c>
      <c r="FS151">
        <f t="shared" si="378"/>
        <v>0</v>
      </c>
      <c r="FT151">
        <f t="shared" si="379"/>
        <v>0</v>
      </c>
      <c r="FU151">
        <f t="shared" si="380"/>
        <v>0</v>
      </c>
      <c r="FV151">
        <f t="shared" si="381"/>
        <v>0</v>
      </c>
      <c r="FW151">
        <f t="shared" si="382"/>
        <v>0</v>
      </c>
      <c r="FX151">
        <f t="shared" si="383"/>
        <v>0</v>
      </c>
      <c r="FY151">
        <f t="shared" si="384"/>
        <v>0</v>
      </c>
      <c r="FZ151">
        <f t="shared" si="385"/>
        <v>0</v>
      </c>
      <c r="GA151">
        <f t="shared" si="386"/>
        <v>0</v>
      </c>
      <c r="GB151">
        <f t="shared" si="387"/>
        <v>0</v>
      </c>
      <c r="GC151">
        <f t="shared" si="388"/>
        <v>0</v>
      </c>
      <c r="GD151">
        <f t="shared" si="389"/>
        <v>0</v>
      </c>
      <c r="GE151">
        <f t="shared" si="390"/>
        <v>1</v>
      </c>
      <c r="GF151">
        <f t="shared" si="391"/>
        <v>1</v>
      </c>
      <c r="GG151">
        <f t="shared" si="392"/>
        <v>1</v>
      </c>
      <c r="GH151">
        <f t="shared" si="393"/>
        <v>1</v>
      </c>
      <c r="GI151">
        <f t="shared" si="394"/>
        <v>1</v>
      </c>
      <c r="GJ151">
        <f t="shared" si="395"/>
        <v>1</v>
      </c>
      <c r="GK151">
        <f t="shared" si="396"/>
        <v>1</v>
      </c>
      <c r="GL151">
        <f t="shared" si="397"/>
        <v>1</v>
      </c>
      <c r="GM151">
        <f t="shared" si="398"/>
        <v>1</v>
      </c>
      <c r="GN151">
        <f t="shared" si="399"/>
        <v>1</v>
      </c>
      <c r="GO151">
        <f t="shared" si="400"/>
        <v>1</v>
      </c>
      <c r="GP151">
        <f t="shared" si="401"/>
        <v>1</v>
      </c>
      <c r="GQ151">
        <f t="shared" si="402"/>
        <v>1</v>
      </c>
      <c r="GR151">
        <f t="shared" si="403"/>
        <v>1</v>
      </c>
      <c r="GS151">
        <f t="shared" si="404"/>
        <v>1</v>
      </c>
      <c r="GT151">
        <f t="shared" si="405"/>
        <v>1</v>
      </c>
      <c r="GU151">
        <f t="shared" si="406"/>
        <v>1</v>
      </c>
      <c r="GX151" s="10"/>
    </row>
    <row r="152" spans="1:206" x14ac:dyDescent="0.3">
      <c r="A152" s="9" t="s">
        <v>33</v>
      </c>
      <c r="B152" s="80"/>
      <c r="C152" s="9">
        <v>3041327000</v>
      </c>
      <c r="D152" s="9" t="s">
        <v>457</v>
      </c>
      <c r="E152" s="9" t="s">
        <v>34</v>
      </c>
      <c r="F152" s="9" t="s">
        <v>35</v>
      </c>
      <c r="G152" s="9" t="s">
        <v>86</v>
      </c>
      <c r="H152" s="10">
        <v>44775</v>
      </c>
      <c r="I152" s="9">
        <f t="shared" si="407"/>
        <v>2022</v>
      </c>
      <c r="J152" s="9">
        <f t="shared" si="408"/>
        <v>8</v>
      </c>
      <c r="K152" s="9" t="str">
        <f t="shared" si="409"/>
        <v>2022_8</v>
      </c>
      <c r="L152">
        <f>MAX(0,VLOOKUP($K152,lookups!$A$1:$B$45,2,0)-12)</f>
        <v>16</v>
      </c>
      <c r="M152" s="40">
        <f t="shared" si="410"/>
        <v>44774</v>
      </c>
      <c r="N152" s="10" t="s">
        <v>37</v>
      </c>
      <c r="O152" t="str">
        <f ca="1">IF(OR($L152&gt;O$4,O$4&gt;$L152+23),"",OFFSET(Electric!$L143,0,-'Electric Calendarize'!$L152+'Electric Calendarize'!O$4+1))</f>
        <v/>
      </c>
      <c r="P152" t="str">
        <f ca="1">IF(OR($L152&gt;P$4,P$4&gt;$L152+23),"",OFFSET(Electric!$L143,0,-'Electric Calendarize'!$L152+'Electric Calendarize'!P$4+1))</f>
        <v/>
      </c>
      <c r="Q152" t="str">
        <f ca="1">IF(OR($L152&gt;Q$4,Q$4&gt;$L152+23),"",OFFSET(Electric!$L143,0,-'Electric Calendarize'!$L152+'Electric Calendarize'!Q$4+1))</f>
        <v/>
      </c>
      <c r="R152" t="str">
        <f ca="1">IF(OR($L152&gt;R$4,R$4&gt;$L152+23),"",OFFSET(Electric!$L143,0,-'Electric Calendarize'!$L152+'Electric Calendarize'!R$4+1))</f>
        <v/>
      </c>
      <c r="S152" t="str">
        <f ca="1">IF(OR($L152&gt;S$4,S$4&gt;$L152+23),"",OFFSET(Electric!$L143,0,-'Electric Calendarize'!$L152+'Electric Calendarize'!S$4+1))</f>
        <v/>
      </c>
      <c r="T152" t="str">
        <f ca="1">IF(OR($L152&gt;T$4,T$4&gt;$L152+23),"",OFFSET(Electric!$L143,0,-'Electric Calendarize'!$L152+'Electric Calendarize'!T$4+1))</f>
        <v/>
      </c>
      <c r="U152" t="str">
        <f ca="1">IF(OR($L152&gt;U$4,U$4&gt;$L152+23),"",OFFSET(Electric!$L143,0,-'Electric Calendarize'!$L152+'Electric Calendarize'!U$4+1))</f>
        <v/>
      </c>
      <c r="V152" t="str">
        <f ca="1">IF(OR($L152&gt;V$4,V$4&gt;$L152+23),"",OFFSET(Electric!$L143,0,-'Electric Calendarize'!$L152+'Electric Calendarize'!V$4+1))</f>
        <v/>
      </c>
      <c r="W152" t="str">
        <f ca="1">IF(OR($L152&gt;W$4,W$4&gt;$L152+23),"",OFFSET(Electric!$L143,0,-'Electric Calendarize'!$L152+'Electric Calendarize'!W$4+1))</f>
        <v/>
      </c>
      <c r="X152" t="str">
        <f ca="1">IF(OR($L152&gt;X$4,X$4&gt;$L152+23),"",OFFSET(Electric!$L143,0,-'Electric Calendarize'!$L152+'Electric Calendarize'!X$4+1))</f>
        <v/>
      </c>
      <c r="Y152" t="str">
        <f ca="1">IF(OR($L152&gt;Y$4,Y$4&gt;$L152+23),"",OFFSET(Electric!$L143,0,-'Electric Calendarize'!$L152+'Electric Calendarize'!Y$4+1))</f>
        <v/>
      </c>
      <c r="Z152" t="str">
        <f ca="1">IF(OR($L152&gt;Z$4,Z$4&gt;$L152+23),"",OFFSET(Electric!$L143,0,-'Electric Calendarize'!$L152+'Electric Calendarize'!Z$4+1))</f>
        <v/>
      </c>
      <c r="AA152" t="str">
        <f ca="1">IF(OR($L152&gt;AA$4,AA$4&gt;$L152+23),"",OFFSET(Electric!$L143,0,-'Electric Calendarize'!$L152+'Electric Calendarize'!AA$4+1))</f>
        <v/>
      </c>
      <c r="AB152" t="str">
        <f ca="1">IF(OR($L152&gt;AB$4,AB$4&gt;$L152+23),"",OFFSET(Electric!$L143,0,-'Electric Calendarize'!$L152+'Electric Calendarize'!AB$4+1))</f>
        <v/>
      </c>
      <c r="AC152" t="str">
        <f ca="1">IF(OR($L152&gt;AC$4,AC$4&gt;$L152+23),"",OFFSET(Electric!$L143,0,-'Electric Calendarize'!$L152+'Electric Calendarize'!AC$4+1))</f>
        <v/>
      </c>
      <c r="AD152" t="str">
        <f ca="1">IF(OR($L152&gt;AD$4,AD$4&gt;$L152+23),"",OFFSET(Electric!$L143,0,-'Electric Calendarize'!$L152+'Electric Calendarize'!AD$4+1))</f>
        <v/>
      </c>
      <c r="AE152">
        <f ca="1">IF(OR($L152&gt;AE$4,AE$4&gt;$L152+23),"",OFFSET(Electric!$L143,0,-'Electric Calendarize'!$L152+'Electric Calendarize'!AE$4+1))</f>
        <v>930</v>
      </c>
      <c r="AF152">
        <f ca="1">IF(OR($L152&gt;AF$4,AF$4&gt;$L152+23),"",OFFSET(Electric!$L143,0,-'Electric Calendarize'!$L152+'Electric Calendarize'!AF$4+1))</f>
        <v>1132</v>
      </c>
      <c r="AG152">
        <f ca="1">IF(OR($L152&gt;AG$4,AG$4&gt;$L152+23),"",OFFSET(Electric!$L143,0,-'Electric Calendarize'!$L152+'Electric Calendarize'!AG$4+1))</f>
        <v>704</v>
      </c>
      <c r="AH152">
        <f ca="1">IF(OR($L152&gt;AH$4,AH$4&gt;$L152+23),"",OFFSET(Electric!$L143,0,-'Electric Calendarize'!$L152+'Electric Calendarize'!AH$4+1))</f>
        <v>639</v>
      </c>
      <c r="AI152">
        <f ca="1">IF(OR($L152&gt;AI$4,AI$4&gt;$L152+23),"",OFFSET(Electric!$L143,0,-'Electric Calendarize'!$L152+'Electric Calendarize'!AI$4+1))</f>
        <v>661</v>
      </c>
      <c r="AJ152">
        <f ca="1">IF(OR($L152&gt;AJ$4,AJ$4&gt;$L152+23),"",OFFSET(Electric!$L143,0,-'Electric Calendarize'!$L152+'Electric Calendarize'!AJ$4+1))</f>
        <v>636</v>
      </c>
      <c r="AK152">
        <f ca="1">IF(OR($L152&gt;AK$4,AK$4&gt;$L152+23),"",OFFSET(Electric!$L143,0,-'Electric Calendarize'!$L152+'Electric Calendarize'!AK$4+1))</f>
        <v>610</v>
      </c>
      <c r="AL152">
        <f ca="1">IF(OR($L152&gt;AL$4,AL$4&gt;$L152+23),"",OFFSET(Electric!$L143,0,-'Electric Calendarize'!$L152+'Electric Calendarize'!AL$4+1))</f>
        <v>526</v>
      </c>
      <c r="AM152">
        <f ca="1">IF(OR($L152&gt;AM$4,AM$4&gt;$L152+23),"",OFFSET(Electric!$L143,0,-'Electric Calendarize'!$L152+'Electric Calendarize'!AM$4+1))</f>
        <v>553</v>
      </c>
      <c r="AN152">
        <f ca="1">IF(OR($L152&gt;AN$4,AN$4&gt;$L152+23),"",OFFSET(Electric!$L143,0,-'Electric Calendarize'!$L152+'Electric Calendarize'!AN$4+1))</f>
        <v>460</v>
      </c>
      <c r="AO152">
        <f ca="1">IF(OR($L152&gt;AO$4,AO$4&gt;$L152+23),"",OFFSET(Electric!$L143,0,-'Electric Calendarize'!$L152+'Electric Calendarize'!AO$4+1))</f>
        <v>614</v>
      </c>
      <c r="AP152">
        <f ca="1">IF(OR($L152&gt;AP$4,AP$4&gt;$L152+23),"",OFFSET(Electric!$L143,0,-'Electric Calendarize'!$L152+'Electric Calendarize'!AP$4+1))</f>
        <v>858</v>
      </c>
      <c r="AQ152">
        <f ca="1">IF(OR($L152&gt;AQ$4,AQ$4&gt;$L152+23),"",OFFSET(Electric!$L143,0,-'Electric Calendarize'!$L152+'Electric Calendarize'!AQ$4+1))</f>
        <v>1387</v>
      </c>
      <c r="AR152">
        <f ca="1">IF(OR($L152&gt;AR$4,AR$4&gt;$L152+23),"",OFFSET(Electric!$L143,0,-'Electric Calendarize'!$L152+'Electric Calendarize'!AR$4+1))</f>
        <v>771</v>
      </c>
      <c r="AS152">
        <f ca="1">IF(OR($L152&gt;AS$4,AS$4&gt;$L152+23),"",OFFSET(Electric!$L143,0,-'Electric Calendarize'!$L152+'Electric Calendarize'!AS$4+1))</f>
        <v>551</v>
      </c>
      <c r="AT152">
        <f ca="1">IF(OR($L152&gt;AT$4,AT$4&gt;$L152+23),"",OFFSET(Electric!$L143,0,-'Electric Calendarize'!$L152+'Electric Calendarize'!AT$4+1))</f>
        <v>624</v>
      </c>
      <c r="AU152">
        <f ca="1">IF(OR($L152&gt;AU$4,AU$4&gt;$L152+23),"",OFFSET(Electric!$L143,0,-'Electric Calendarize'!$L152+'Electric Calendarize'!AU$4+1))</f>
        <v>1063</v>
      </c>
      <c r="AV152">
        <f ca="1">IF(OR($L152&gt;AV$4,AV$4&gt;$L152+23),"",OFFSET(Electric!$L143,0,-'Electric Calendarize'!$L152+'Electric Calendarize'!AV$4+1))</f>
        <v>1218</v>
      </c>
      <c r="AW152">
        <f ca="1">IF(OR($L152&gt;AW$4,AW$4&gt;$L152+23),"",OFFSET(Electric!$L143,0,-'Electric Calendarize'!$L152+'Electric Calendarize'!AW$4+1))</f>
        <v>1037</v>
      </c>
      <c r="AX152">
        <f ca="1">IF(OR($L152&gt;AX$4,AX$4&gt;$L152+23),"",OFFSET(Electric!$L143,0,-'Electric Calendarize'!$L152+'Electric Calendarize'!AX$4+1))</f>
        <v>1013</v>
      </c>
      <c r="AY152">
        <f ca="1">IF(OR($L152&gt;AY$4,AY$4&gt;$L152+23),"",OFFSET(Electric!$L143,0,-'Electric Calendarize'!$L152+'Electric Calendarize'!AY$4+1))</f>
        <v>785</v>
      </c>
      <c r="AZ152">
        <f ca="1">IF(OR($L152&gt;AZ$4,AZ$4&gt;$L152+23),"",OFFSET(Electric!$L143,0,-'Electric Calendarize'!$L152+'Electric Calendarize'!AZ$4+1))</f>
        <v>547</v>
      </c>
      <c r="BA152">
        <f ca="1">IF(OR($L152&gt;BA$4,BA$4&gt;$L152+23),"",OFFSET(Electric!$L143,0,-'Electric Calendarize'!$L152+'Electric Calendarize'!BA$4+1))</f>
        <v>588</v>
      </c>
      <c r="BB152">
        <f ca="1">IF(OR($L152&gt;BB$4,BB$4&gt;$L152+23),"",OFFSET(Electric!$L143,0,-'Electric Calendarize'!$L152+'Electric Calendarize'!BB$4+1))</f>
        <v>805</v>
      </c>
      <c r="BC152" t="str">
        <f ca="1">IF(OR($L152&gt;BC$4,BC$4&gt;$L152+23),"",OFFSET(Electric!$L143,0,-'Electric Calendarize'!$L152+'Electric Calendarize'!BC$4+1))</f>
        <v/>
      </c>
      <c r="BD152" t="str">
        <f ca="1">IF(OR($L152&gt;BD$4,BD$4&gt;$L152+23),"",OFFSET(Electric!$L143,0,-'Electric Calendarize'!$L152+'Electric Calendarize'!BD$4+1))</f>
        <v/>
      </c>
      <c r="BE152" t="str">
        <f ca="1">IF(OR($L152&gt;BE$4,BE$4&gt;$L152+23),"",OFFSET(Electric!$L143,0,-'Electric Calendarize'!$L152+'Electric Calendarize'!BE$4+1))</f>
        <v/>
      </c>
      <c r="BF152" t="str">
        <f ca="1">IF(OR($L152&gt;BF$4,BF$4&gt;$L152+23),"",OFFSET(Electric!$L143,0,-'Electric Calendarize'!$L152+'Electric Calendarize'!BF$4+1))</f>
        <v/>
      </c>
      <c r="BG152" t="str">
        <f ca="1">IF(OR($L152&gt;BG$4,BG$4&gt;$L152+23),"",OFFSET(Electric!$L143,0,-'Electric Calendarize'!$L152+'Electric Calendarize'!BG$4+1))</f>
        <v/>
      </c>
      <c r="BJ152" s="10" t="s">
        <v>37</v>
      </c>
      <c r="BK152">
        <f t="shared" si="411"/>
        <v>1</v>
      </c>
      <c r="BL152">
        <f t="shared" si="317"/>
        <v>0</v>
      </c>
      <c r="BM152">
        <f t="shared" si="318"/>
        <v>0</v>
      </c>
      <c r="BN152">
        <f t="shared" si="319"/>
        <v>0</v>
      </c>
      <c r="BO152">
        <f t="shared" si="320"/>
        <v>0</v>
      </c>
      <c r="BP152">
        <f t="shared" si="321"/>
        <v>0</v>
      </c>
      <c r="BQ152">
        <f t="shared" si="322"/>
        <v>0</v>
      </c>
      <c r="BR152">
        <f t="shared" si="323"/>
        <v>1</v>
      </c>
      <c r="BS152">
        <f t="shared" si="324"/>
        <v>1</v>
      </c>
      <c r="BT152">
        <f t="shared" si="325"/>
        <v>1</v>
      </c>
      <c r="BU152">
        <f t="shared" si="326"/>
        <v>1</v>
      </c>
      <c r="BV152">
        <f t="shared" si="327"/>
        <v>1</v>
      </c>
      <c r="BW152">
        <f t="shared" si="328"/>
        <v>1</v>
      </c>
      <c r="BX152">
        <f t="shared" si="329"/>
        <v>0</v>
      </c>
      <c r="BY152">
        <f t="shared" si="330"/>
        <v>0</v>
      </c>
      <c r="BZ152">
        <f t="shared" si="331"/>
        <v>0</v>
      </c>
      <c r="CA152">
        <f t="shared" si="332"/>
        <v>0</v>
      </c>
      <c r="CB152">
        <f t="shared" si="333"/>
        <v>0</v>
      </c>
      <c r="CC152">
        <f t="shared" si="334"/>
        <v>0</v>
      </c>
      <c r="CD152">
        <f t="shared" si="335"/>
        <v>1</v>
      </c>
      <c r="CE152">
        <f t="shared" si="336"/>
        <v>1</v>
      </c>
      <c r="CF152">
        <f t="shared" si="337"/>
        <v>1</v>
      </c>
      <c r="CG152">
        <f t="shared" si="338"/>
        <v>1</v>
      </c>
      <c r="CH152">
        <f t="shared" si="339"/>
        <v>1</v>
      </c>
      <c r="CI152">
        <f t="shared" si="340"/>
        <v>1</v>
      </c>
      <c r="CJ152">
        <f t="shared" si="341"/>
        <v>0</v>
      </c>
      <c r="CK152">
        <f t="shared" si="342"/>
        <v>0</v>
      </c>
      <c r="CL152">
        <f t="shared" si="343"/>
        <v>0</v>
      </c>
      <c r="CM152">
        <f t="shared" si="344"/>
        <v>0</v>
      </c>
      <c r="CN152">
        <f t="shared" si="345"/>
        <v>0</v>
      </c>
      <c r="CO152">
        <f t="shared" si="346"/>
        <v>0</v>
      </c>
      <c r="CP152">
        <f t="shared" si="347"/>
        <v>1</v>
      </c>
      <c r="CQ152">
        <f t="shared" si="348"/>
        <v>1</v>
      </c>
      <c r="CR152">
        <f t="shared" si="349"/>
        <v>1</v>
      </c>
      <c r="CS152">
        <f t="shared" si="350"/>
        <v>1</v>
      </c>
      <c r="CT152">
        <f t="shared" si="351"/>
        <v>1</v>
      </c>
      <c r="CU152">
        <f t="shared" si="352"/>
        <v>1</v>
      </c>
      <c r="CV152">
        <f t="shared" si="353"/>
        <v>0</v>
      </c>
      <c r="CW152">
        <f t="shared" si="354"/>
        <v>0</v>
      </c>
      <c r="CX152">
        <f t="shared" si="355"/>
        <v>0</v>
      </c>
      <c r="CY152">
        <f t="shared" si="356"/>
        <v>0</v>
      </c>
      <c r="CZ152">
        <f t="shared" si="357"/>
        <v>0</v>
      </c>
      <c r="DA152">
        <f t="shared" si="358"/>
        <v>0</v>
      </c>
      <c r="DB152">
        <f t="shared" si="359"/>
        <v>1</v>
      </c>
      <c r="DC152">
        <f t="shared" si="360"/>
        <v>1</v>
      </c>
      <c r="DF152" s="10" t="s">
        <v>37</v>
      </c>
      <c r="DG152" t="str">
        <f t="shared" si="412"/>
        <v>2022_8</v>
      </c>
      <c r="DH152" t="str">
        <f t="shared" si="412"/>
        <v>2022_8</v>
      </c>
      <c r="DI152" t="str">
        <f t="shared" si="412"/>
        <v>2022_8</v>
      </c>
      <c r="DJ152" t="str">
        <f t="shared" si="412"/>
        <v>2022_8</v>
      </c>
      <c r="DK152" t="str">
        <f t="shared" si="412"/>
        <v>2022_8</v>
      </c>
      <c r="DL152" t="str">
        <f t="shared" si="412"/>
        <v>2022_8</v>
      </c>
      <c r="DM152" t="str">
        <f t="shared" si="412"/>
        <v>2022_8</v>
      </c>
      <c r="DN152" t="str">
        <f t="shared" si="412"/>
        <v>2022_8</v>
      </c>
      <c r="DO152" t="str">
        <f t="shared" si="412"/>
        <v>2022_8</v>
      </c>
      <c r="DP152" t="str">
        <f t="shared" si="412"/>
        <v>2022_8</v>
      </c>
      <c r="DQ152" t="str">
        <f t="shared" si="412"/>
        <v>2022_8</v>
      </c>
      <c r="DR152" t="str">
        <f t="shared" si="412"/>
        <v>2022_8</v>
      </c>
      <c r="DS152" t="str">
        <f t="shared" si="412"/>
        <v>2022_8</v>
      </c>
      <c r="DT152" t="str">
        <f t="shared" si="412"/>
        <v>2022_8</v>
      </c>
      <c r="DU152" t="str">
        <f t="shared" si="412"/>
        <v>2022_8</v>
      </c>
      <c r="DV152" t="str">
        <f t="shared" si="361"/>
        <v>2022_8</v>
      </c>
      <c r="DW152" t="str">
        <f t="shared" si="361"/>
        <v>2022_8</v>
      </c>
      <c r="DX152" t="str">
        <f t="shared" si="361"/>
        <v>2022_8</v>
      </c>
      <c r="DY152" t="str">
        <f t="shared" si="361"/>
        <v>2022_8</v>
      </c>
      <c r="DZ152" t="str">
        <f t="shared" si="361"/>
        <v>2022_8</v>
      </c>
      <c r="EA152" t="str">
        <f t="shared" si="361"/>
        <v>2022_8</v>
      </c>
      <c r="EB152" t="str">
        <f t="shared" si="361"/>
        <v>2022_8</v>
      </c>
      <c r="EC152" t="str">
        <f t="shared" si="361"/>
        <v>2022_8</v>
      </c>
      <c r="ED152" t="str">
        <f t="shared" si="361"/>
        <v>2022_8</v>
      </c>
      <c r="EE152" t="str">
        <f t="shared" si="361"/>
        <v>2022_8</v>
      </c>
      <c r="EF152" t="str">
        <f t="shared" si="361"/>
        <v>2022_8</v>
      </c>
      <c r="EG152" t="str">
        <f t="shared" si="361"/>
        <v>2022_8</v>
      </c>
      <c r="EH152" t="str">
        <f t="shared" si="361"/>
        <v>2022_8</v>
      </c>
      <c r="EI152" t="str">
        <f t="shared" si="361"/>
        <v>2022_8</v>
      </c>
      <c r="EJ152" t="str">
        <f t="shared" si="361"/>
        <v>2022_8</v>
      </c>
      <c r="EK152" t="str">
        <f t="shared" si="361"/>
        <v>2022_8</v>
      </c>
      <c r="EL152" t="str">
        <f t="shared" si="362"/>
        <v>2022_8</v>
      </c>
      <c r="EM152" t="str">
        <f t="shared" si="316"/>
        <v>2022_8</v>
      </c>
      <c r="EN152" t="str">
        <f t="shared" si="316"/>
        <v>2022_8</v>
      </c>
      <c r="EO152" t="str">
        <f t="shared" si="316"/>
        <v>2022_8</v>
      </c>
      <c r="EP152" t="str">
        <f t="shared" si="316"/>
        <v>2022_8</v>
      </c>
      <c r="EQ152" t="str">
        <f t="shared" si="316"/>
        <v>2022_8</v>
      </c>
      <c r="ER152" t="str">
        <f t="shared" si="316"/>
        <v>2022_8</v>
      </c>
      <c r="ES152" t="str">
        <f t="shared" si="316"/>
        <v>2022_8</v>
      </c>
      <c r="ET152" t="str">
        <f t="shared" si="316"/>
        <v>2022_8</v>
      </c>
      <c r="EU152" t="str">
        <f t="shared" si="316"/>
        <v>2022_8</v>
      </c>
      <c r="EV152" t="str">
        <f t="shared" si="316"/>
        <v>2022_8</v>
      </c>
      <c r="EW152" t="str">
        <f t="shared" si="316"/>
        <v>2022_8</v>
      </c>
      <c r="EX152" t="str">
        <f t="shared" si="316"/>
        <v>2022_8</v>
      </c>
      <c r="EY152" t="str">
        <f t="shared" si="316"/>
        <v>2022_8</v>
      </c>
      <c r="FB152" s="10" t="s">
        <v>37</v>
      </c>
      <c r="FC152">
        <f t="shared" si="413"/>
        <v>0</v>
      </c>
      <c r="FD152">
        <f t="shared" si="363"/>
        <v>0</v>
      </c>
      <c r="FE152">
        <f t="shared" si="364"/>
        <v>0</v>
      </c>
      <c r="FF152">
        <f t="shared" si="365"/>
        <v>0</v>
      </c>
      <c r="FG152">
        <f t="shared" si="366"/>
        <v>0</v>
      </c>
      <c r="FH152">
        <f t="shared" si="367"/>
        <v>0</v>
      </c>
      <c r="FI152">
        <f t="shared" si="368"/>
        <v>0</v>
      </c>
      <c r="FJ152">
        <f t="shared" si="369"/>
        <v>0</v>
      </c>
      <c r="FK152">
        <f t="shared" si="370"/>
        <v>0</v>
      </c>
      <c r="FL152">
        <f t="shared" si="371"/>
        <v>0</v>
      </c>
      <c r="FM152">
        <f t="shared" si="372"/>
        <v>0</v>
      </c>
      <c r="FN152">
        <f t="shared" si="373"/>
        <v>0</v>
      </c>
      <c r="FO152">
        <f t="shared" si="374"/>
        <v>0</v>
      </c>
      <c r="FP152">
        <f t="shared" si="375"/>
        <v>0</v>
      </c>
      <c r="FQ152">
        <f t="shared" si="376"/>
        <v>0</v>
      </c>
      <c r="FR152">
        <f t="shared" si="377"/>
        <v>0</v>
      </c>
      <c r="FS152">
        <f t="shared" si="378"/>
        <v>0</v>
      </c>
      <c r="FT152">
        <f t="shared" si="379"/>
        <v>0</v>
      </c>
      <c r="FU152">
        <f t="shared" si="380"/>
        <v>0</v>
      </c>
      <c r="FV152">
        <f t="shared" si="381"/>
        <v>0</v>
      </c>
      <c r="FW152">
        <f t="shared" si="382"/>
        <v>0</v>
      </c>
      <c r="FX152">
        <f t="shared" si="383"/>
        <v>0</v>
      </c>
      <c r="FY152">
        <f t="shared" si="384"/>
        <v>0</v>
      </c>
      <c r="FZ152">
        <f t="shared" si="385"/>
        <v>0</v>
      </c>
      <c r="GA152">
        <f t="shared" si="386"/>
        <v>0</v>
      </c>
      <c r="GB152">
        <f t="shared" si="387"/>
        <v>0</v>
      </c>
      <c r="GC152">
        <f t="shared" si="388"/>
        <v>0</v>
      </c>
      <c r="GD152">
        <f t="shared" si="389"/>
        <v>0</v>
      </c>
      <c r="GE152">
        <f t="shared" si="390"/>
        <v>1</v>
      </c>
      <c r="GF152">
        <f t="shared" si="391"/>
        <v>1</v>
      </c>
      <c r="GG152">
        <f t="shared" si="392"/>
        <v>1</v>
      </c>
      <c r="GH152">
        <f t="shared" si="393"/>
        <v>1</v>
      </c>
      <c r="GI152">
        <f t="shared" si="394"/>
        <v>1</v>
      </c>
      <c r="GJ152">
        <f t="shared" si="395"/>
        <v>1</v>
      </c>
      <c r="GK152">
        <f t="shared" si="396"/>
        <v>1</v>
      </c>
      <c r="GL152">
        <f t="shared" si="397"/>
        <v>1</v>
      </c>
      <c r="GM152">
        <f t="shared" si="398"/>
        <v>1</v>
      </c>
      <c r="GN152">
        <f t="shared" si="399"/>
        <v>1</v>
      </c>
      <c r="GO152">
        <f t="shared" si="400"/>
        <v>1</v>
      </c>
      <c r="GP152">
        <f t="shared" si="401"/>
        <v>1</v>
      </c>
      <c r="GQ152">
        <f t="shared" si="402"/>
        <v>1</v>
      </c>
      <c r="GR152">
        <f t="shared" si="403"/>
        <v>1</v>
      </c>
      <c r="GS152">
        <f t="shared" si="404"/>
        <v>1</v>
      </c>
      <c r="GT152">
        <f t="shared" si="405"/>
        <v>1</v>
      </c>
      <c r="GU152">
        <f t="shared" si="406"/>
        <v>1</v>
      </c>
      <c r="GX152" s="10"/>
    </row>
    <row r="153" spans="1:206" x14ac:dyDescent="0.3">
      <c r="A153" s="9" t="s">
        <v>33</v>
      </c>
      <c r="B153" s="80"/>
      <c r="C153" s="9">
        <v>3060575000</v>
      </c>
      <c r="D153" s="9" t="s">
        <v>458</v>
      </c>
      <c r="E153" s="9" t="s">
        <v>34</v>
      </c>
      <c r="F153" s="9" t="s">
        <v>35</v>
      </c>
      <c r="G153" s="9" t="s">
        <v>185</v>
      </c>
      <c r="H153" s="10">
        <v>44776</v>
      </c>
      <c r="I153" s="9">
        <f t="shared" si="407"/>
        <v>2022</v>
      </c>
      <c r="J153" s="9">
        <f t="shared" si="408"/>
        <v>8</v>
      </c>
      <c r="K153" s="9" t="str">
        <f t="shared" si="409"/>
        <v>2022_8</v>
      </c>
      <c r="L153">
        <f>MAX(0,VLOOKUP($K153,lookups!$A$1:$B$45,2,0)-12)</f>
        <v>16</v>
      </c>
      <c r="M153" s="40">
        <f t="shared" si="410"/>
        <v>44774</v>
      </c>
      <c r="N153" s="10" t="s">
        <v>37</v>
      </c>
      <c r="O153" t="str">
        <f ca="1">IF(OR($L153&gt;O$4,O$4&gt;$L153+23),"",OFFSET(Electric!$L144,0,-'Electric Calendarize'!$L153+'Electric Calendarize'!O$4+1))</f>
        <v/>
      </c>
      <c r="P153" t="str">
        <f ca="1">IF(OR($L153&gt;P$4,P$4&gt;$L153+23),"",OFFSET(Electric!$L144,0,-'Electric Calendarize'!$L153+'Electric Calendarize'!P$4+1))</f>
        <v/>
      </c>
      <c r="Q153" t="str">
        <f ca="1">IF(OR($L153&gt;Q$4,Q$4&gt;$L153+23),"",OFFSET(Electric!$L144,0,-'Electric Calendarize'!$L153+'Electric Calendarize'!Q$4+1))</f>
        <v/>
      </c>
      <c r="R153" t="str">
        <f ca="1">IF(OR($L153&gt;R$4,R$4&gt;$L153+23),"",OFFSET(Electric!$L144,0,-'Electric Calendarize'!$L153+'Electric Calendarize'!R$4+1))</f>
        <v/>
      </c>
      <c r="S153" t="str">
        <f ca="1">IF(OR($L153&gt;S$4,S$4&gt;$L153+23),"",OFFSET(Electric!$L144,0,-'Electric Calendarize'!$L153+'Electric Calendarize'!S$4+1))</f>
        <v/>
      </c>
      <c r="T153" t="str">
        <f ca="1">IF(OR($L153&gt;T$4,T$4&gt;$L153+23),"",OFFSET(Electric!$L144,0,-'Electric Calendarize'!$L153+'Electric Calendarize'!T$4+1))</f>
        <v/>
      </c>
      <c r="U153" t="str">
        <f ca="1">IF(OR($L153&gt;U$4,U$4&gt;$L153+23),"",OFFSET(Electric!$L144,0,-'Electric Calendarize'!$L153+'Electric Calendarize'!U$4+1))</f>
        <v/>
      </c>
      <c r="V153" t="str">
        <f ca="1">IF(OR($L153&gt;V$4,V$4&gt;$L153+23),"",OFFSET(Electric!$L144,0,-'Electric Calendarize'!$L153+'Electric Calendarize'!V$4+1))</f>
        <v/>
      </c>
      <c r="W153" t="str">
        <f ca="1">IF(OR($L153&gt;W$4,W$4&gt;$L153+23),"",OFFSET(Electric!$L144,0,-'Electric Calendarize'!$L153+'Electric Calendarize'!W$4+1))</f>
        <v/>
      </c>
      <c r="X153" t="str">
        <f ca="1">IF(OR($L153&gt;X$4,X$4&gt;$L153+23),"",OFFSET(Electric!$L144,0,-'Electric Calendarize'!$L153+'Electric Calendarize'!X$4+1))</f>
        <v/>
      </c>
      <c r="Y153" t="str">
        <f ca="1">IF(OR($L153&gt;Y$4,Y$4&gt;$L153+23),"",OFFSET(Electric!$L144,0,-'Electric Calendarize'!$L153+'Electric Calendarize'!Y$4+1))</f>
        <v/>
      </c>
      <c r="Z153" t="str">
        <f ca="1">IF(OR($L153&gt;Z$4,Z$4&gt;$L153+23),"",OFFSET(Electric!$L144,0,-'Electric Calendarize'!$L153+'Electric Calendarize'!Z$4+1))</f>
        <v/>
      </c>
      <c r="AA153" t="str">
        <f ca="1">IF(OR($L153&gt;AA$4,AA$4&gt;$L153+23),"",OFFSET(Electric!$L144,0,-'Electric Calendarize'!$L153+'Electric Calendarize'!AA$4+1))</f>
        <v/>
      </c>
      <c r="AB153" t="str">
        <f ca="1">IF(OR($L153&gt;AB$4,AB$4&gt;$L153+23),"",OFFSET(Electric!$L144,0,-'Electric Calendarize'!$L153+'Electric Calendarize'!AB$4+1))</f>
        <v/>
      </c>
      <c r="AC153" t="str">
        <f ca="1">IF(OR($L153&gt;AC$4,AC$4&gt;$L153+23),"",OFFSET(Electric!$L144,0,-'Electric Calendarize'!$L153+'Electric Calendarize'!AC$4+1))</f>
        <v/>
      </c>
      <c r="AD153" t="str">
        <f ca="1">IF(OR($L153&gt;AD$4,AD$4&gt;$L153+23),"",OFFSET(Electric!$L144,0,-'Electric Calendarize'!$L153+'Electric Calendarize'!AD$4+1))</f>
        <v/>
      </c>
      <c r="AE153">
        <f ca="1">IF(OR($L153&gt;AE$4,AE$4&gt;$L153+23),"",OFFSET(Electric!$L144,0,-'Electric Calendarize'!$L153+'Electric Calendarize'!AE$4+1))</f>
        <v>889</v>
      </c>
      <c r="AF153">
        <f ca="1">IF(OR($L153&gt;AF$4,AF$4&gt;$L153+23),"",OFFSET(Electric!$L144,0,-'Electric Calendarize'!$L153+'Electric Calendarize'!AF$4+1))</f>
        <v>1229</v>
      </c>
      <c r="AG153">
        <f ca="1">IF(OR($L153&gt;AG$4,AG$4&gt;$L153+23),"",OFFSET(Electric!$L144,0,-'Electric Calendarize'!$L153+'Electric Calendarize'!AG$4+1))</f>
        <v>656</v>
      </c>
      <c r="AH153">
        <f ca="1">IF(OR($L153&gt;AH$4,AH$4&gt;$L153+23),"",OFFSET(Electric!$L144,0,-'Electric Calendarize'!$L153+'Electric Calendarize'!AH$4+1))</f>
        <v>480</v>
      </c>
      <c r="AI153">
        <f ca="1">IF(OR($L153&gt;AI$4,AI$4&gt;$L153+23),"",OFFSET(Electric!$L144,0,-'Electric Calendarize'!$L153+'Electric Calendarize'!AI$4+1))</f>
        <v>600</v>
      </c>
      <c r="AJ153">
        <f ca="1">IF(OR($L153&gt;AJ$4,AJ$4&gt;$L153+23),"",OFFSET(Electric!$L144,0,-'Electric Calendarize'!$L153+'Electric Calendarize'!AJ$4+1))</f>
        <v>634</v>
      </c>
      <c r="AK153">
        <f ca="1">IF(OR($L153&gt;AK$4,AK$4&gt;$L153+23),"",OFFSET(Electric!$L144,0,-'Electric Calendarize'!$L153+'Electric Calendarize'!AK$4+1))</f>
        <v>417</v>
      </c>
      <c r="AL153">
        <f ca="1">IF(OR($L153&gt;AL$4,AL$4&gt;$L153+23),"",OFFSET(Electric!$L144,0,-'Electric Calendarize'!$L153+'Electric Calendarize'!AL$4+1))</f>
        <v>484</v>
      </c>
      <c r="AM153">
        <f ca="1">IF(OR($L153&gt;AM$4,AM$4&gt;$L153+23),"",OFFSET(Electric!$L144,0,-'Electric Calendarize'!$L153+'Electric Calendarize'!AM$4+1))</f>
        <v>326</v>
      </c>
      <c r="AN153">
        <f ca="1">IF(OR($L153&gt;AN$4,AN$4&gt;$L153+23),"",OFFSET(Electric!$L144,0,-'Electric Calendarize'!$L153+'Electric Calendarize'!AN$4+1))</f>
        <v>331</v>
      </c>
      <c r="AO153">
        <f ca="1">IF(OR($L153&gt;AO$4,AO$4&gt;$L153+23),"",OFFSET(Electric!$L144,0,-'Electric Calendarize'!$L153+'Electric Calendarize'!AO$4+1))</f>
        <v>563</v>
      </c>
      <c r="AP153">
        <f ca="1">IF(OR($L153&gt;AP$4,AP$4&gt;$L153+23),"",OFFSET(Electric!$L144,0,-'Electric Calendarize'!$L153+'Electric Calendarize'!AP$4+1))</f>
        <v>665</v>
      </c>
      <c r="AQ153">
        <f ca="1">IF(OR($L153&gt;AQ$4,AQ$4&gt;$L153+23),"",OFFSET(Electric!$L144,0,-'Electric Calendarize'!$L153+'Electric Calendarize'!AQ$4+1))</f>
        <v>763</v>
      </c>
      <c r="AR153">
        <f ca="1">IF(OR($L153&gt;AR$4,AR$4&gt;$L153+23),"",OFFSET(Electric!$L144,0,-'Electric Calendarize'!$L153+'Electric Calendarize'!AR$4+1))</f>
        <v>548</v>
      </c>
      <c r="AS153">
        <f ca="1">IF(OR($L153&gt;AS$4,AS$4&gt;$L153+23),"",OFFSET(Electric!$L144,0,-'Electric Calendarize'!$L153+'Electric Calendarize'!AS$4+1))</f>
        <v>398</v>
      </c>
      <c r="AT153">
        <f ca="1">IF(OR($L153&gt;AT$4,AT$4&gt;$L153+23),"",OFFSET(Electric!$L144,0,-'Electric Calendarize'!$L153+'Electric Calendarize'!AT$4+1))</f>
        <v>345</v>
      </c>
      <c r="AU153">
        <f ca="1">IF(OR($L153&gt;AU$4,AU$4&gt;$L153+23),"",OFFSET(Electric!$L144,0,-'Electric Calendarize'!$L153+'Electric Calendarize'!AU$4+1))</f>
        <v>417</v>
      </c>
      <c r="AV153">
        <f ca="1">IF(OR($L153&gt;AV$4,AV$4&gt;$L153+23),"",OFFSET(Electric!$L144,0,-'Electric Calendarize'!$L153+'Electric Calendarize'!AV$4+1))</f>
        <v>518</v>
      </c>
      <c r="AW153">
        <f ca="1">IF(OR($L153&gt;AW$4,AW$4&gt;$L153+23),"",OFFSET(Electric!$L144,0,-'Electric Calendarize'!$L153+'Electric Calendarize'!AW$4+1))</f>
        <v>428</v>
      </c>
      <c r="AX153">
        <f ca="1">IF(OR($L153&gt;AX$4,AX$4&gt;$L153+23),"",OFFSET(Electric!$L144,0,-'Electric Calendarize'!$L153+'Electric Calendarize'!AX$4+1))</f>
        <v>371</v>
      </c>
      <c r="AY153">
        <f ca="1">IF(OR($L153&gt;AY$4,AY$4&gt;$L153+23),"",OFFSET(Electric!$L144,0,-'Electric Calendarize'!$L153+'Electric Calendarize'!AY$4+1))</f>
        <v>480</v>
      </c>
      <c r="AZ153">
        <f ca="1">IF(OR($L153&gt;AZ$4,AZ$4&gt;$L153+23),"",OFFSET(Electric!$L144,0,-'Electric Calendarize'!$L153+'Electric Calendarize'!AZ$4+1))</f>
        <v>539</v>
      </c>
      <c r="BA153">
        <f ca="1">IF(OR($L153&gt;BA$4,BA$4&gt;$L153+23),"",OFFSET(Electric!$L144,0,-'Electric Calendarize'!$L153+'Electric Calendarize'!BA$4+1))</f>
        <v>505</v>
      </c>
      <c r="BB153">
        <f ca="1">IF(OR($L153&gt;BB$4,BB$4&gt;$L153+23),"",OFFSET(Electric!$L144,0,-'Electric Calendarize'!$L153+'Electric Calendarize'!BB$4+1))</f>
        <v>858</v>
      </c>
      <c r="BC153" t="str">
        <f ca="1">IF(OR($L153&gt;BC$4,BC$4&gt;$L153+23),"",OFFSET(Electric!$L144,0,-'Electric Calendarize'!$L153+'Electric Calendarize'!BC$4+1))</f>
        <v/>
      </c>
      <c r="BD153" t="str">
        <f ca="1">IF(OR($L153&gt;BD$4,BD$4&gt;$L153+23),"",OFFSET(Electric!$L144,0,-'Electric Calendarize'!$L153+'Electric Calendarize'!BD$4+1))</f>
        <v/>
      </c>
      <c r="BE153" t="str">
        <f ca="1">IF(OR($L153&gt;BE$4,BE$4&gt;$L153+23),"",OFFSET(Electric!$L144,0,-'Electric Calendarize'!$L153+'Electric Calendarize'!BE$4+1))</f>
        <v/>
      </c>
      <c r="BF153" t="str">
        <f ca="1">IF(OR($L153&gt;BF$4,BF$4&gt;$L153+23),"",OFFSET(Electric!$L144,0,-'Electric Calendarize'!$L153+'Electric Calendarize'!BF$4+1))</f>
        <v/>
      </c>
      <c r="BG153" t="str">
        <f ca="1">IF(OR($L153&gt;BG$4,BG$4&gt;$L153+23),"",OFFSET(Electric!$L144,0,-'Electric Calendarize'!$L153+'Electric Calendarize'!BG$4+1))</f>
        <v/>
      </c>
      <c r="BJ153" s="10" t="s">
        <v>37</v>
      </c>
      <c r="BK153">
        <f t="shared" si="411"/>
        <v>1</v>
      </c>
      <c r="BL153">
        <f t="shared" si="317"/>
        <v>0</v>
      </c>
      <c r="BM153">
        <f t="shared" si="318"/>
        <v>0</v>
      </c>
      <c r="BN153">
        <f t="shared" si="319"/>
        <v>0</v>
      </c>
      <c r="BO153">
        <f t="shared" si="320"/>
        <v>0</v>
      </c>
      <c r="BP153">
        <f t="shared" si="321"/>
        <v>0</v>
      </c>
      <c r="BQ153">
        <f t="shared" si="322"/>
        <v>0</v>
      </c>
      <c r="BR153">
        <f t="shared" si="323"/>
        <v>1</v>
      </c>
      <c r="BS153">
        <f t="shared" si="324"/>
        <v>1</v>
      </c>
      <c r="BT153">
        <f t="shared" si="325"/>
        <v>1</v>
      </c>
      <c r="BU153">
        <f t="shared" si="326"/>
        <v>1</v>
      </c>
      <c r="BV153">
        <f t="shared" si="327"/>
        <v>1</v>
      </c>
      <c r="BW153">
        <f t="shared" si="328"/>
        <v>1</v>
      </c>
      <c r="BX153">
        <f t="shared" si="329"/>
        <v>0</v>
      </c>
      <c r="BY153">
        <f t="shared" si="330"/>
        <v>0</v>
      </c>
      <c r="BZ153">
        <f t="shared" si="331"/>
        <v>0</v>
      </c>
      <c r="CA153">
        <f t="shared" si="332"/>
        <v>0</v>
      </c>
      <c r="CB153">
        <f t="shared" si="333"/>
        <v>0</v>
      </c>
      <c r="CC153">
        <f t="shared" si="334"/>
        <v>0</v>
      </c>
      <c r="CD153">
        <f t="shared" si="335"/>
        <v>1</v>
      </c>
      <c r="CE153">
        <f t="shared" si="336"/>
        <v>1</v>
      </c>
      <c r="CF153">
        <f t="shared" si="337"/>
        <v>1</v>
      </c>
      <c r="CG153">
        <f t="shared" si="338"/>
        <v>1</v>
      </c>
      <c r="CH153">
        <f t="shared" si="339"/>
        <v>1</v>
      </c>
      <c r="CI153">
        <f t="shared" si="340"/>
        <v>1</v>
      </c>
      <c r="CJ153">
        <f t="shared" si="341"/>
        <v>0</v>
      </c>
      <c r="CK153">
        <f t="shared" si="342"/>
        <v>0</v>
      </c>
      <c r="CL153">
        <f t="shared" si="343"/>
        <v>0</v>
      </c>
      <c r="CM153">
        <f t="shared" si="344"/>
        <v>0</v>
      </c>
      <c r="CN153">
        <f t="shared" si="345"/>
        <v>0</v>
      </c>
      <c r="CO153">
        <f t="shared" si="346"/>
        <v>0</v>
      </c>
      <c r="CP153">
        <f t="shared" si="347"/>
        <v>1</v>
      </c>
      <c r="CQ153">
        <f t="shared" si="348"/>
        <v>1</v>
      </c>
      <c r="CR153">
        <f t="shared" si="349"/>
        <v>1</v>
      </c>
      <c r="CS153">
        <f t="shared" si="350"/>
        <v>1</v>
      </c>
      <c r="CT153">
        <f t="shared" si="351"/>
        <v>1</v>
      </c>
      <c r="CU153">
        <f t="shared" si="352"/>
        <v>1</v>
      </c>
      <c r="CV153">
        <f t="shared" si="353"/>
        <v>0</v>
      </c>
      <c r="CW153">
        <f t="shared" si="354"/>
        <v>0</v>
      </c>
      <c r="CX153">
        <f t="shared" si="355"/>
        <v>0</v>
      </c>
      <c r="CY153">
        <f t="shared" si="356"/>
        <v>0</v>
      </c>
      <c r="CZ153">
        <f t="shared" si="357"/>
        <v>0</v>
      </c>
      <c r="DA153">
        <f t="shared" si="358"/>
        <v>0</v>
      </c>
      <c r="DB153">
        <f t="shared" si="359"/>
        <v>1</v>
      </c>
      <c r="DC153">
        <f t="shared" si="360"/>
        <v>1</v>
      </c>
      <c r="DF153" s="10" t="s">
        <v>37</v>
      </c>
      <c r="DG153" t="str">
        <f t="shared" si="412"/>
        <v>2022_8</v>
      </c>
      <c r="DH153" t="str">
        <f t="shared" si="412"/>
        <v>2022_8</v>
      </c>
      <c r="DI153" t="str">
        <f t="shared" si="412"/>
        <v>2022_8</v>
      </c>
      <c r="DJ153" t="str">
        <f t="shared" si="412"/>
        <v>2022_8</v>
      </c>
      <c r="DK153" t="str">
        <f t="shared" si="412"/>
        <v>2022_8</v>
      </c>
      <c r="DL153" t="str">
        <f t="shared" si="412"/>
        <v>2022_8</v>
      </c>
      <c r="DM153" t="str">
        <f t="shared" si="412"/>
        <v>2022_8</v>
      </c>
      <c r="DN153" t="str">
        <f t="shared" si="412"/>
        <v>2022_8</v>
      </c>
      <c r="DO153" t="str">
        <f t="shared" si="412"/>
        <v>2022_8</v>
      </c>
      <c r="DP153" t="str">
        <f t="shared" si="412"/>
        <v>2022_8</v>
      </c>
      <c r="DQ153" t="str">
        <f t="shared" si="412"/>
        <v>2022_8</v>
      </c>
      <c r="DR153" t="str">
        <f t="shared" si="412"/>
        <v>2022_8</v>
      </c>
      <c r="DS153" t="str">
        <f t="shared" si="412"/>
        <v>2022_8</v>
      </c>
      <c r="DT153" t="str">
        <f t="shared" si="412"/>
        <v>2022_8</v>
      </c>
      <c r="DU153" t="str">
        <f t="shared" si="412"/>
        <v>2022_8</v>
      </c>
      <c r="DV153" t="str">
        <f t="shared" si="361"/>
        <v>2022_8</v>
      </c>
      <c r="DW153" t="str">
        <f t="shared" si="361"/>
        <v>2022_8</v>
      </c>
      <c r="DX153" t="str">
        <f t="shared" si="361"/>
        <v>2022_8</v>
      </c>
      <c r="DY153" t="str">
        <f t="shared" si="361"/>
        <v>2022_8</v>
      </c>
      <c r="DZ153" t="str">
        <f t="shared" si="361"/>
        <v>2022_8</v>
      </c>
      <c r="EA153" t="str">
        <f t="shared" si="361"/>
        <v>2022_8</v>
      </c>
      <c r="EB153" t="str">
        <f t="shared" si="361"/>
        <v>2022_8</v>
      </c>
      <c r="EC153" t="str">
        <f t="shared" si="361"/>
        <v>2022_8</v>
      </c>
      <c r="ED153" t="str">
        <f t="shared" si="361"/>
        <v>2022_8</v>
      </c>
      <c r="EE153" t="str">
        <f t="shared" si="361"/>
        <v>2022_8</v>
      </c>
      <c r="EF153" t="str">
        <f t="shared" si="361"/>
        <v>2022_8</v>
      </c>
      <c r="EG153" t="str">
        <f t="shared" si="361"/>
        <v>2022_8</v>
      </c>
      <c r="EH153" t="str">
        <f t="shared" si="361"/>
        <v>2022_8</v>
      </c>
      <c r="EI153" t="str">
        <f t="shared" si="361"/>
        <v>2022_8</v>
      </c>
      <c r="EJ153" t="str">
        <f t="shared" si="361"/>
        <v>2022_8</v>
      </c>
      <c r="EK153" t="str">
        <f t="shared" si="361"/>
        <v>2022_8</v>
      </c>
      <c r="EL153" t="str">
        <f t="shared" si="362"/>
        <v>2022_8</v>
      </c>
      <c r="EM153" t="str">
        <f t="shared" si="316"/>
        <v>2022_8</v>
      </c>
      <c r="EN153" t="str">
        <f t="shared" si="316"/>
        <v>2022_8</v>
      </c>
      <c r="EO153" t="str">
        <f t="shared" si="316"/>
        <v>2022_8</v>
      </c>
      <c r="EP153" t="str">
        <f t="shared" si="316"/>
        <v>2022_8</v>
      </c>
      <c r="EQ153" t="str">
        <f t="shared" si="316"/>
        <v>2022_8</v>
      </c>
      <c r="ER153" t="str">
        <f t="shared" si="316"/>
        <v>2022_8</v>
      </c>
      <c r="ES153" t="str">
        <f t="shared" si="316"/>
        <v>2022_8</v>
      </c>
      <c r="ET153" t="str">
        <f t="shared" si="316"/>
        <v>2022_8</v>
      </c>
      <c r="EU153" t="str">
        <f t="shared" si="316"/>
        <v>2022_8</v>
      </c>
      <c r="EV153" t="str">
        <f t="shared" si="316"/>
        <v>2022_8</v>
      </c>
      <c r="EW153" t="str">
        <f t="shared" si="316"/>
        <v>2022_8</v>
      </c>
      <c r="EX153" t="str">
        <f t="shared" si="316"/>
        <v>2022_8</v>
      </c>
      <c r="EY153" t="str">
        <f t="shared" si="316"/>
        <v>2022_8</v>
      </c>
      <c r="FB153" s="10" t="s">
        <v>37</v>
      </c>
      <c r="FC153">
        <f t="shared" si="413"/>
        <v>0</v>
      </c>
      <c r="FD153">
        <f t="shared" si="363"/>
        <v>0</v>
      </c>
      <c r="FE153">
        <f t="shared" si="364"/>
        <v>0</v>
      </c>
      <c r="FF153">
        <f t="shared" si="365"/>
        <v>0</v>
      </c>
      <c r="FG153">
        <f t="shared" si="366"/>
        <v>0</v>
      </c>
      <c r="FH153">
        <f t="shared" si="367"/>
        <v>0</v>
      </c>
      <c r="FI153">
        <f t="shared" si="368"/>
        <v>0</v>
      </c>
      <c r="FJ153">
        <f t="shared" si="369"/>
        <v>0</v>
      </c>
      <c r="FK153">
        <f t="shared" si="370"/>
        <v>0</v>
      </c>
      <c r="FL153">
        <f t="shared" si="371"/>
        <v>0</v>
      </c>
      <c r="FM153">
        <f t="shared" si="372"/>
        <v>0</v>
      </c>
      <c r="FN153">
        <f t="shared" si="373"/>
        <v>0</v>
      </c>
      <c r="FO153">
        <f t="shared" si="374"/>
        <v>0</v>
      </c>
      <c r="FP153">
        <f t="shared" si="375"/>
        <v>0</v>
      </c>
      <c r="FQ153">
        <f t="shared" si="376"/>
        <v>0</v>
      </c>
      <c r="FR153">
        <f t="shared" si="377"/>
        <v>0</v>
      </c>
      <c r="FS153">
        <f t="shared" si="378"/>
        <v>0</v>
      </c>
      <c r="FT153">
        <f t="shared" si="379"/>
        <v>0</v>
      </c>
      <c r="FU153">
        <f t="shared" si="380"/>
        <v>0</v>
      </c>
      <c r="FV153">
        <f t="shared" si="381"/>
        <v>0</v>
      </c>
      <c r="FW153">
        <f t="shared" si="382"/>
        <v>0</v>
      </c>
      <c r="FX153">
        <f t="shared" si="383"/>
        <v>0</v>
      </c>
      <c r="FY153">
        <f t="shared" si="384"/>
        <v>0</v>
      </c>
      <c r="FZ153">
        <f t="shared" si="385"/>
        <v>0</v>
      </c>
      <c r="GA153">
        <f t="shared" si="386"/>
        <v>0</v>
      </c>
      <c r="GB153">
        <f t="shared" si="387"/>
        <v>0</v>
      </c>
      <c r="GC153">
        <f t="shared" si="388"/>
        <v>0</v>
      </c>
      <c r="GD153">
        <f t="shared" si="389"/>
        <v>0</v>
      </c>
      <c r="GE153">
        <f t="shared" si="390"/>
        <v>1</v>
      </c>
      <c r="GF153">
        <f t="shared" si="391"/>
        <v>1</v>
      </c>
      <c r="GG153">
        <f t="shared" si="392"/>
        <v>1</v>
      </c>
      <c r="GH153">
        <f t="shared" si="393"/>
        <v>1</v>
      </c>
      <c r="GI153">
        <f t="shared" si="394"/>
        <v>1</v>
      </c>
      <c r="GJ153">
        <f t="shared" si="395"/>
        <v>1</v>
      </c>
      <c r="GK153">
        <f t="shared" si="396"/>
        <v>1</v>
      </c>
      <c r="GL153">
        <f t="shared" si="397"/>
        <v>1</v>
      </c>
      <c r="GM153">
        <f t="shared" si="398"/>
        <v>1</v>
      </c>
      <c r="GN153">
        <f t="shared" si="399"/>
        <v>1</v>
      </c>
      <c r="GO153">
        <f t="shared" si="400"/>
        <v>1</v>
      </c>
      <c r="GP153">
        <f t="shared" si="401"/>
        <v>1</v>
      </c>
      <c r="GQ153">
        <f t="shared" si="402"/>
        <v>1</v>
      </c>
      <c r="GR153">
        <f t="shared" si="403"/>
        <v>1</v>
      </c>
      <c r="GS153">
        <f t="shared" si="404"/>
        <v>1</v>
      </c>
      <c r="GT153">
        <f t="shared" si="405"/>
        <v>1</v>
      </c>
      <c r="GU153">
        <f t="shared" si="406"/>
        <v>1</v>
      </c>
      <c r="GX153" s="10"/>
    </row>
    <row r="154" spans="1:206" x14ac:dyDescent="0.3">
      <c r="A154" s="9" t="s">
        <v>33</v>
      </c>
      <c r="B154" s="80"/>
      <c r="C154" s="9">
        <v>3060511001</v>
      </c>
      <c r="D154" s="9" t="s">
        <v>421</v>
      </c>
      <c r="E154" s="9" t="s">
        <v>34</v>
      </c>
      <c r="F154" s="9" t="s">
        <v>35</v>
      </c>
      <c r="G154" s="9" t="s">
        <v>186</v>
      </c>
      <c r="H154" s="10">
        <v>44777</v>
      </c>
      <c r="I154" s="9">
        <f t="shared" si="407"/>
        <v>2022</v>
      </c>
      <c r="J154" s="9">
        <f t="shared" si="408"/>
        <v>8</v>
      </c>
      <c r="K154" s="9" t="str">
        <f t="shared" si="409"/>
        <v>2022_8</v>
      </c>
      <c r="L154">
        <f>MAX(0,VLOOKUP($K154,lookups!$A$1:$B$45,2,0)-12)</f>
        <v>16</v>
      </c>
      <c r="M154" s="40">
        <f t="shared" si="410"/>
        <v>44774</v>
      </c>
      <c r="N154" s="10" t="s">
        <v>37</v>
      </c>
      <c r="O154" t="str">
        <f ca="1">IF(OR($L154&gt;O$4,O$4&gt;$L154+23),"",OFFSET(Electric!$L145,0,-'Electric Calendarize'!$L154+'Electric Calendarize'!O$4+1))</f>
        <v/>
      </c>
      <c r="P154" t="str">
        <f ca="1">IF(OR($L154&gt;P$4,P$4&gt;$L154+23),"",OFFSET(Electric!$L145,0,-'Electric Calendarize'!$L154+'Electric Calendarize'!P$4+1))</f>
        <v/>
      </c>
      <c r="Q154" t="str">
        <f ca="1">IF(OR($L154&gt;Q$4,Q$4&gt;$L154+23),"",OFFSET(Electric!$L145,0,-'Electric Calendarize'!$L154+'Electric Calendarize'!Q$4+1))</f>
        <v/>
      </c>
      <c r="R154" t="str">
        <f ca="1">IF(OR($L154&gt;R$4,R$4&gt;$L154+23),"",OFFSET(Electric!$L145,0,-'Electric Calendarize'!$L154+'Electric Calendarize'!R$4+1))</f>
        <v/>
      </c>
      <c r="S154" t="str">
        <f ca="1">IF(OR($L154&gt;S$4,S$4&gt;$L154+23),"",OFFSET(Electric!$L145,0,-'Electric Calendarize'!$L154+'Electric Calendarize'!S$4+1))</f>
        <v/>
      </c>
      <c r="T154" t="str">
        <f ca="1">IF(OR($L154&gt;T$4,T$4&gt;$L154+23),"",OFFSET(Electric!$L145,0,-'Electric Calendarize'!$L154+'Electric Calendarize'!T$4+1))</f>
        <v/>
      </c>
      <c r="U154" t="str">
        <f ca="1">IF(OR($L154&gt;U$4,U$4&gt;$L154+23),"",OFFSET(Electric!$L145,0,-'Electric Calendarize'!$L154+'Electric Calendarize'!U$4+1))</f>
        <v/>
      </c>
      <c r="V154" t="str">
        <f ca="1">IF(OR($L154&gt;V$4,V$4&gt;$L154+23),"",OFFSET(Electric!$L145,0,-'Electric Calendarize'!$L154+'Electric Calendarize'!V$4+1))</f>
        <v/>
      </c>
      <c r="W154" t="str">
        <f ca="1">IF(OR($L154&gt;W$4,W$4&gt;$L154+23),"",OFFSET(Electric!$L145,0,-'Electric Calendarize'!$L154+'Electric Calendarize'!W$4+1))</f>
        <v/>
      </c>
      <c r="X154" t="str">
        <f ca="1">IF(OR($L154&gt;X$4,X$4&gt;$L154+23),"",OFFSET(Electric!$L145,0,-'Electric Calendarize'!$L154+'Electric Calendarize'!X$4+1))</f>
        <v/>
      </c>
      <c r="Y154" t="str">
        <f ca="1">IF(OR($L154&gt;Y$4,Y$4&gt;$L154+23),"",OFFSET(Electric!$L145,0,-'Electric Calendarize'!$L154+'Electric Calendarize'!Y$4+1))</f>
        <v/>
      </c>
      <c r="Z154" t="str">
        <f ca="1">IF(OR($L154&gt;Z$4,Z$4&gt;$L154+23),"",OFFSET(Electric!$L145,0,-'Electric Calendarize'!$L154+'Electric Calendarize'!Z$4+1))</f>
        <v/>
      </c>
      <c r="AA154" t="str">
        <f ca="1">IF(OR($L154&gt;AA$4,AA$4&gt;$L154+23),"",OFFSET(Electric!$L145,0,-'Electric Calendarize'!$L154+'Electric Calendarize'!AA$4+1))</f>
        <v/>
      </c>
      <c r="AB154" t="str">
        <f ca="1">IF(OR($L154&gt;AB$4,AB$4&gt;$L154+23),"",OFFSET(Electric!$L145,0,-'Electric Calendarize'!$L154+'Electric Calendarize'!AB$4+1))</f>
        <v/>
      </c>
      <c r="AC154" t="str">
        <f ca="1">IF(OR($L154&gt;AC$4,AC$4&gt;$L154+23),"",OFFSET(Electric!$L145,0,-'Electric Calendarize'!$L154+'Electric Calendarize'!AC$4+1))</f>
        <v/>
      </c>
      <c r="AD154" t="str">
        <f ca="1">IF(OR($L154&gt;AD$4,AD$4&gt;$L154+23),"",OFFSET(Electric!$L145,0,-'Electric Calendarize'!$L154+'Electric Calendarize'!AD$4+1))</f>
        <v/>
      </c>
      <c r="AE154">
        <f ca="1">IF(OR($L154&gt;AE$4,AE$4&gt;$L154+23),"",OFFSET(Electric!$L145,0,-'Electric Calendarize'!$L154+'Electric Calendarize'!AE$4+1))</f>
        <v>768</v>
      </c>
      <c r="AF154">
        <f ca="1">IF(OR($L154&gt;AF$4,AF$4&gt;$L154+23),"",OFFSET(Electric!$L145,0,-'Electric Calendarize'!$L154+'Electric Calendarize'!AF$4+1))</f>
        <v>903</v>
      </c>
      <c r="AG154">
        <f ca="1">IF(OR($L154&gt;AG$4,AG$4&gt;$L154+23),"",OFFSET(Electric!$L145,0,-'Electric Calendarize'!$L154+'Electric Calendarize'!AG$4+1))</f>
        <v>525</v>
      </c>
      <c r="AH154">
        <f ca="1">IF(OR($L154&gt;AH$4,AH$4&gt;$L154+23),"",OFFSET(Electric!$L145,0,-'Electric Calendarize'!$L154+'Electric Calendarize'!AH$4+1))</f>
        <v>467</v>
      </c>
      <c r="AI154">
        <f ca="1">IF(OR($L154&gt;AI$4,AI$4&gt;$L154+23),"",OFFSET(Electric!$L145,0,-'Electric Calendarize'!$L154+'Electric Calendarize'!AI$4+1))</f>
        <v>273</v>
      </c>
      <c r="AJ154">
        <f ca="1">IF(OR($L154&gt;AJ$4,AJ$4&gt;$L154+23),"",OFFSET(Electric!$L145,0,-'Electric Calendarize'!$L154+'Electric Calendarize'!AJ$4+1))</f>
        <v>149</v>
      </c>
      <c r="AK154">
        <f ca="1">IF(OR($L154&gt;AK$4,AK$4&gt;$L154+23),"",OFFSET(Electric!$L145,0,-'Electric Calendarize'!$L154+'Electric Calendarize'!AK$4+1))</f>
        <v>148</v>
      </c>
      <c r="AL154">
        <f ca="1">IF(OR($L154&gt;AL$4,AL$4&gt;$L154+23),"",OFFSET(Electric!$L145,0,-'Electric Calendarize'!$L154+'Electric Calendarize'!AL$4+1))</f>
        <v>278</v>
      </c>
      <c r="AM154">
        <f ca="1">IF(OR($L154&gt;AM$4,AM$4&gt;$L154+23),"",OFFSET(Electric!$L145,0,-'Electric Calendarize'!$L154+'Electric Calendarize'!AM$4+1))</f>
        <v>524</v>
      </c>
      <c r="AN154">
        <f ca="1">IF(OR($L154&gt;AN$4,AN$4&gt;$L154+23),"",OFFSET(Electric!$L145,0,-'Electric Calendarize'!$L154+'Electric Calendarize'!AN$4+1))</f>
        <v>434</v>
      </c>
      <c r="AO154">
        <f ca="1">IF(OR($L154&gt;AO$4,AO$4&gt;$L154+23),"",OFFSET(Electric!$L145,0,-'Electric Calendarize'!$L154+'Electric Calendarize'!AO$4+1))</f>
        <v>500</v>
      </c>
      <c r="AP154">
        <f ca="1">IF(OR($L154&gt;AP$4,AP$4&gt;$L154+23),"",OFFSET(Electric!$L145,0,-'Electric Calendarize'!$L154+'Electric Calendarize'!AP$4+1))</f>
        <v>505</v>
      </c>
      <c r="AQ154">
        <f ca="1">IF(OR($L154&gt;AQ$4,AQ$4&gt;$L154+23),"",OFFSET(Electric!$L145,0,-'Electric Calendarize'!$L154+'Electric Calendarize'!AQ$4+1))</f>
        <v>708</v>
      </c>
      <c r="AR154">
        <f ca="1">IF(OR($L154&gt;AR$4,AR$4&gt;$L154+23),"",OFFSET(Electric!$L145,0,-'Electric Calendarize'!$L154+'Electric Calendarize'!AR$4+1))</f>
        <v>592</v>
      </c>
      <c r="AS154">
        <f ca="1">IF(OR($L154&gt;AS$4,AS$4&gt;$L154+23),"",OFFSET(Electric!$L145,0,-'Electric Calendarize'!$L154+'Electric Calendarize'!AS$4+1))</f>
        <v>780</v>
      </c>
      <c r="AT154">
        <f ca="1">IF(OR($L154&gt;AT$4,AT$4&gt;$L154+23),"",OFFSET(Electric!$L145,0,-'Electric Calendarize'!$L154+'Electric Calendarize'!AT$4+1))</f>
        <v>873</v>
      </c>
      <c r="AU154">
        <f ca="1">IF(OR($L154&gt;AU$4,AU$4&gt;$L154+23),"",OFFSET(Electric!$L145,0,-'Electric Calendarize'!$L154+'Electric Calendarize'!AU$4+1))</f>
        <v>1080</v>
      </c>
      <c r="AV154">
        <f ca="1">IF(OR($L154&gt;AV$4,AV$4&gt;$L154+23),"",OFFSET(Electric!$L145,0,-'Electric Calendarize'!$L154+'Electric Calendarize'!AV$4+1))</f>
        <v>947</v>
      </c>
      <c r="AW154">
        <f ca="1">IF(OR($L154&gt;AW$4,AW$4&gt;$L154+23),"",OFFSET(Electric!$L145,0,-'Electric Calendarize'!$L154+'Electric Calendarize'!AW$4+1))</f>
        <v>282</v>
      </c>
      <c r="AX154">
        <f ca="1">IF(OR($L154&gt;AX$4,AX$4&gt;$L154+23),"",OFFSET(Electric!$L145,0,-'Electric Calendarize'!$L154+'Electric Calendarize'!AX$4+1))</f>
        <v>225</v>
      </c>
      <c r="AY154">
        <f ca="1">IF(OR($L154&gt;AY$4,AY$4&gt;$L154+23),"",OFFSET(Electric!$L145,0,-'Electric Calendarize'!$L154+'Electric Calendarize'!AY$4+1))</f>
        <v>364</v>
      </c>
      <c r="AZ154">
        <f ca="1">IF(OR($L154&gt;AZ$4,AZ$4&gt;$L154+23),"",OFFSET(Electric!$L145,0,-'Electric Calendarize'!$L154+'Electric Calendarize'!AZ$4+1))</f>
        <v>514</v>
      </c>
      <c r="BA154">
        <f ca="1">IF(OR($L154&gt;BA$4,BA$4&gt;$L154+23),"",OFFSET(Electric!$L145,0,-'Electric Calendarize'!$L154+'Electric Calendarize'!BA$4+1))</f>
        <v>428</v>
      </c>
      <c r="BB154">
        <f ca="1">IF(OR($L154&gt;BB$4,BB$4&gt;$L154+23),"",OFFSET(Electric!$L145,0,-'Electric Calendarize'!$L154+'Electric Calendarize'!BB$4+1))</f>
        <v>540</v>
      </c>
      <c r="BC154" t="str">
        <f ca="1">IF(OR($L154&gt;BC$4,BC$4&gt;$L154+23),"",OFFSET(Electric!$L145,0,-'Electric Calendarize'!$L154+'Electric Calendarize'!BC$4+1))</f>
        <v/>
      </c>
      <c r="BD154" t="str">
        <f ca="1">IF(OR($L154&gt;BD$4,BD$4&gt;$L154+23),"",OFFSET(Electric!$L145,0,-'Electric Calendarize'!$L154+'Electric Calendarize'!BD$4+1))</f>
        <v/>
      </c>
      <c r="BE154" t="str">
        <f ca="1">IF(OR($L154&gt;BE$4,BE$4&gt;$L154+23),"",OFFSET(Electric!$L145,0,-'Electric Calendarize'!$L154+'Electric Calendarize'!BE$4+1))</f>
        <v/>
      </c>
      <c r="BF154" t="str">
        <f ca="1">IF(OR($L154&gt;BF$4,BF$4&gt;$L154+23),"",OFFSET(Electric!$L145,0,-'Electric Calendarize'!$L154+'Electric Calendarize'!BF$4+1))</f>
        <v/>
      </c>
      <c r="BG154" t="str">
        <f ca="1">IF(OR($L154&gt;BG$4,BG$4&gt;$L154+23),"",OFFSET(Electric!$L145,0,-'Electric Calendarize'!$L154+'Electric Calendarize'!BG$4+1))</f>
        <v/>
      </c>
      <c r="BJ154" s="10" t="s">
        <v>37</v>
      </c>
      <c r="BK154">
        <f t="shared" si="411"/>
        <v>1</v>
      </c>
      <c r="BL154">
        <f t="shared" si="317"/>
        <v>0</v>
      </c>
      <c r="BM154">
        <f t="shared" si="318"/>
        <v>0</v>
      </c>
      <c r="BN154">
        <f t="shared" si="319"/>
        <v>0</v>
      </c>
      <c r="BO154">
        <f t="shared" si="320"/>
        <v>0</v>
      </c>
      <c r="BP154">
        <f t="shared" si="321"/>
        <v>0</v>
      </c>
      <c r="BQ154">
        <f t="shared" si="322"/>
        <v>0</v>
      </c>
      <c r="BR154">
        <f t="shared" si="323"/>
        <v>1</v>
      </c>
      <c r="BS154">
        <f t="shared" si="324"/>
        <v>1</v>
      </c>
      <c r="BT154">
        <f t="shared" si="325"/>
        <v>1</v>
      </c>
      <c r="BU154">
        <f t="shared" si="326"/>
        <v>1</v>
      </c>
      <c r="BV154">
        <f t="shared" si="327"/>
        <v>1</v>
      </c>
      <c r="BW154">
        <f t="shared" si="328"/>
        <v>1</v>
      </c>
      <c r="BX154">
        <f t="shared" si="329"/>
        <v>0</v>
      </c>
      <c r="BY154">
        <f t="shared" si="330"/>
        <v>0</v>
      </c>
      <c r="BZ154">
        <f t="shared" si="331"/>
        <v>0</v>
      </c>
      <c r="CA154">
        <f t="shared" si="332"/>
        <v>0</v>
      </c>
      <c r="CB154">
        <f t="shared" si="333"/>
        <v>0</v>
      </c>
      <c r="CC154">
        <f t="shared" si="334"/>
        <v>0</v>
      </c>
      <c r="CD154">
        <f t="shared" si="335"/>
        <v>1</v>
      </c>
      <c r="CE154">
        <f t="shared" si="336"/>
        <v>1</v>
      </c>
      <c r="CF154">
        <f t="shared" si="337"/>
        <v>1</v>
      </c>
      <c r="CG154">
        <f t="shared" si="338"/>
        <v>1</v>
      </c>
      <c r="CH154">
        <f t="shared" si="339"/>
        <v>1</v>
      </c>
      <c r="CI154">
        <f t="shared" si="340"/>
        <v>1</v>
      </c>
      <c r="CJ154">
        <f t="shared" si="341"/>
        <v>0</v>
      </c>
      <c r="CK154">
        <f t="shared" si="342"/>
        <v>0</v>
      </c>
      <c r="CL154">
        <f t="shared" si="343"/>
        <v>0</v>
      </c>
      <c r="CM154">
        <f t="shared" si="344"/>
        <v>0</v>
      </c>
      <c r="CN154">
        <f t="shared" si="345"/>
        <v>0</v>
      </c>
      <c r="CO154">
        <f t="shared" si="346"/>
        <v>0</v>
      </c>
      <c r="CP154">
        <f t="shared" si="347"/>
        <v>1</v>
      </c>
      <c r="CQ154">
        <f t="shared" si="348"/>
        <v>1</v>
      </c>
      <c r="CR154">
        <f t="shared" si="349"/>
        <v>1</v>
      </c>
      <c r="CS154">
        <f t="shared" si="350"/>
        <v>1</v>
      </c>
      <c r="CT154">
        <f t="shared" si="351"/>
        <v>1</v>
      </c>
      <c r="CU154">
        <f t="shared" si="352"/>
        <v>1</v>
      </c>
      <c r="CV154">
        <f t="shared" si="353"/>
        <v>0</v>
      </c>
      <c r="CW154">
        <f t="shared" si="354"/>
        <v>0</v>
      </c>
      <c r="CX154">
        <f t="shared" si="355"/>
        <v>0</v>
      </c>
      <c r="CY154">
        <f t="shared" si="356"/>
        <v>0</v>
      </c>
      <c r="CZ154">
        <f t="shared" si="357"/>
        <v>0</v>
      </c>
      <c r="DA154">
        <f t="shared" si="358"/>
        <v>0</v>
      </c>
      <c r="DB154">
        <f t="shared" si="359"/>
        <v>1</v>
      </c>
      <c r="DC154">
        <f t="shared" si="360"/>
        <v>1</v>
      </c>
      <c r="DF154" s="10" t="s">
        <v>37</v>
      </c>
      <c r="DG154" t="str">
        <f t="shared" si="412"/>
        <v>2022_8</v>
      </c>
      <c r="DH154" t="str">
        <f t="shared" si="412"/>
        <v>2022_8</v>
      </c>
      <c r="DI154" t="str">
        <f t="shared" si="412"/>
        <v>2022_8</v>
      </c>
      <c r="DJ154" t="str">
        <f t="shared" si="412"/>
        <v>2022_8</v>
      </c>
      <c r="DK154" t="str">
        <f t="shared" si="412"/>
        <v>2022_8</v>
      </c>
      <c r="DL154" t="str">
        <f t="shared" si="412"/>
        <v>2022_8</v>
      </c>
      <c r="DM154" t="str">
        <f t="shared" si="412"/>
        <v>2022_8</v>
      </c>
      <c r="DN154" t="str">
        <f t="shared" si="412"/>
        <v>2022_8</v>
      </c>
      <c r="DO154" t="str">
        <f t="shared" si="412"/>
        <v>2022_8</v>
      </c>
      <c r="DP154" t="str">
        <f t="shared" si="412"/>
        <v>2022_8</v>
      </c>
      <c r="DQ154" t="str">
        <f t="shared" si="412"/>
        <v>2022_8</v>
      </c>
      <c r="DR154" t="str">
        <f t="shared" si="412"/>
        <v>2022_8</v>
      </c>
      <c r="DS154" t="str">
        <f t="shared" si="412"/>
        <v>2022_8</v>
      </c>
      <c r="DT154" t="str">
        <f t="shared" si="412"/>
        <v>2022_8</v>
      </c>
      <c r="DU154" t="str">
        <f t="shared" si="412"/>
        <v>2022_8</v>
      </c>
      <c r="DV154" t="str">
        <f t="shared" si="361"/>
        <v>2022_8</v>
      </c>
      <c r="DW154" t="str">
        <f t="shared" si="361"/>
        <v>2022_8</v>
      </c>
      <c r="DX154" t="str">
        <f t="shared" si="361"/>
        <v>2022_8</v>
      </c>
      <c r="DY154" t="str">
        <f t="shared" si="361"/>
        <v>2022_8</v>
      </c>
      <c r="DZ154" t="str">
        <f t="shared" si="361"/>
        <v>2022_8</v>
      </c>
      <c r="EA154" t="str">
        <f t="shared" si="361"/>
        <v>2022_8</v>
      </c>
      <c r="EB154" t="str">
        <f t="shared" si="361"/>
        <v>2022_8</v>
      </c>
      <c r="EC154" t="str">
        <f t="shared" si="361"/>
        <v>2022_8</v>
      </c>
      <c r="ED154" t="str">
        <f t="shared" si="361"/>
        <v>2022_8</v>
      </c>
      <c r="EE154" t="str">
        <f t="shared" si="361"/>
        <v>2022_8</v>
      </c>
      <c r="EF154" t="str">
        <f t="shared" si="361"/>
        <v>2022_8</v>
      </c>
      <c r="EG154" t="str">
        <f t="shared" si="361"/>
        <v>2022_8</v>
      </c>
      <c r="EH154" t="str">
        <f t="shared" si="361"/>
        <v>2022_8</v>
      </c>
      <c r="EI154" t="str">
        <f t="shared" si="361"/>
        <v>2022_8</v>
      </c>
      <c r="EJ154" t="str">
        <f t="shared" si="361"/>
        <v>2022_8</v>
      </c>
      <c r="EK154" t="str">
        <f t="shared" ref="EK154:EY169" si="414">$K154</f>
        <v>2022_8</v>
      </c>
      <c r="EL154" t="str">
        <f t="shared" si="362"/>
        <v>2022_8</v>
      </c>
      <c r="EM154" t="str">
        <f t="shared" si="362"/>
        <v>2022_8</v>
      </c>
      <c r="EN154" t="str">
        <f t="shared" si="362"/>
        <v>2022_8</v>
      </c>
      <c r="EO154" t="str">
        <f t="shared" si="362"/>
        <v>2022_8</v>
      </c>
      <c r="EP154" t="str">
        <f t="shared" si="362"/>
        <v>2022_8</v>
      </c>
      <c r="EQ154" t="str">
        <f t="shared" si="362"/>
        <v>2022_8</v>
      </c>
      <c r="ER154" t="str">
        <f t="shared" si="362"/>
        <v>2022_8</v>
      </c>
      <c r="ES154" t="str">
        <f t="shared" si="362"/>
        <v>2022_8</v>
      </c>
      <c r="ET154" t="str">
        <f t="shared" si="362"/>
        <v>2022_8</v>
      </c>
      <c r="EU154" t="str">
        <f t="shared" si="362"/>
        <v>2022_8</v>
      </c>
      <c r="EV154" t="str">
        <f t="shared" si="362"/>
        <v>2022_8</v>
      </c>
      <c r="EW154" t="str">
        <f t="shared" si="362"/>
        <v>2022_8</v>
      </c>
      <c r="EX154" t="str">
        <f t="shared" si="362"/>
        <v>2022_8</v>
      </c>
      <c r="EY154" t="str">
        <f t="shared" si="362"/>
        <v>2022_8</v>
      </c>
      <c r="FB154" s="10" t="s">
        <v>37</v>
      </c>
      <c r="FC154">
        <f t="shared" si="413"/>
        <v>0</v>
      </c>
      <c r="FD154">
        <f t="shared" si="363"/>
        <v>0</v>
      </c>
      <c r="FE154">
        <f t="shared" si="364"/>
        <v>0</v>
      </c>
      <c r="FF154">
        <f t="shared" si="365"/>
        <v>0</v>
      </c>
      <c r="FG154">
        <f t="shared" si="366"/>
        <v>0</v>
      </c>
      <c r="FH154">
        <f t="shared" si="367"/>
        <v>0</v>
      </c>
      <c r="FI154">
        <f t="shared" si="368"/>
        <v>0</v>
      </c>
      <c r="FJ154">
        <f t="shared" si="369"/>
        <v>0</v>
      </c>
      <c r="FK154">
        <f t="shared" si="370"/>
        <v>0</v>
      </c>
      <c r="FL154">
        <f t="shared" si="371"/>
        <v>0</v>
      </c>
      <c r="FM154">
        <f t="shared" si="372"/>
        <v>0</v>
      </c>
      <c r="FN154">
        <f t="shared" si="373"/>
        <v>0</v>
      </c>
      <c r="FO154">
        <f t="shared" si="374"/>
        <v>0</v>
      </c>
      <c r="FP154">
        <f t="shared" si="375"/>
        <v>0</v>
      </c>
      <c r="FQ154">
        <f t="shared" si="376"/>
        <v>0</v>
      </c>
      <c r="FR154">
        <f t="shared" si="377"/>
        <v>0</v>
      </c>
      <c r="FS154">
        <f t="shared" si="378"/>
        <v>0</v>
      </c>
      <c r="FT154">
        <f t="shared" si="379"/>
        <v>0</v>
      </c>
      <c r="FU154">
        <f t="shared" si="380"/>
        <v>0</v>
      </c>
      <c r="FV154">
        <f t="shared" si="381"/>
        <v>0</v>
      </c>
      <c r="FW154">
        <f t="shared" si="382"/>
        <v>0</v>
      </c>
      <c r="FX154">
        <f t="shared" si="383"/>
        <v>0</v>
      </c>
      <c r="FY154">
        <f t="shared" si="384"/>
        <v>0</v>
      </c>
      <c r="FZ154">
        <f t="shared" si="385"/>
        <v>0</v>
      </c>
      <c r="GA154">
        <f t="shared" si="386"/>
        <v>0</v>
      </c>
      <c r="GB154">
        <f t="shared" si="387"/>
        <v>0</v>
      </c>
      <c r="GC154">
        <f t="shared" si="388"/>
        <v>0</v>
      </c>
      <c r="GD154">
        <f t="shared" si="389"/>
        <v>0</v>
      </c>
      <c r="GE154">
        <f t="shared" si="390"/>
        <v>1</v>
      </c>
      <c r="GF154">
        <f t="shared" si="391"/>
        <v>1</v>
      </c>
      <c r="GG154">
        <f t="shared" si="392"/>
        <v>1</v>
      </c>
      <c r="GH154">
        <f t="shared" si="393"/>
        <v>1</v>
      </c>
      <c r="GI154">
        <f t="shared" si="394"/>
        <v>1</v>
      </c>
      <c r="GJ154">
        <f t="shared" si="395"/>
        <v>1</v>
      </c>
      <c r="GK154">
        <f t="shared" si="396"/>
        <v>1</v>
      </c>
      <c r="GL154">
        <f t="shared" si="397"/>
        <v>1</v>
      </c>
      <c r="GM154">
        <f t="shared" si="398"/>
        <v>1</v>
      </c>
      <c r="GN154">
        <f t="shared" si="399"/>
        <v>1</v>
      </c>
      <c r="GO154">
        <f t="shared" si="400"/>
        <v>1</v>
      </c>
      <c r="GP154">
        <f t="shared" si="401"/>
        <v>1</v>
      </c>
      <c r="GQ154">
        <f t="shared" si="402"/>
        <v>1</v>
      </c>
      <c r="GR154">
        <f t="shared" si="403"/>
        <v>1</v>
      </c>
      <c r="GS154">
        <f t="shared" si="404"/>
        <v>1</v>
      </c>
      <c r="GT154">
        <f t="shared" si="405"/>
        <v>1</v>
      </c>
      <c r="GU154">
        <f t="shared" si="406"/>
        <v>1</v>
      </c>
      <c r="GX154" s="10"/>
    </row>
    <row r="155" spans="1:206" x14ac:dyDescent="0.3">
      <c r="A155" s="9" t="s">
        <v>124</v>
      </c>
      <c r="B155" s="80"/>
      <c r="C155" s="9">
        <v>3130539000</v>
      </c>
      <c r="D155" s="9" t="s">
        <v>358</v>
      </c>
      <c r="E155" s="9" t="s">
        <v>39</v>
      </c>
      <c r="F155" s="9" t="s">
        <v>35</v>
      </c>
      <c r="G155" s="9" t="s">
        <v>187</v>
      </c>
      <c r="H155" s="10">
        <v>44778</v>
      </c>
      <c r="I155" s="9">
        <f t="shared" si="407"/>
        <v>2022</v>
      </c>
      <c r="J155" s="9">
        <f t="shared" si="408"/>
        <v>8</v>
      </c>
      <c r="K155" s="9" t="str">
        <f t="shared" si="409"/>
        <v>2022_8</v>
      </c>
      <c r="L155">
        <f>MAX(0,VLOOKUP($K155,lookups!$A$1:$B$45,2,0)-12)</f>
        <v>16</v>
      </c>
      <c r="M155" s="40">
        <f t="shared" si="410"/>
        <v>44774</v>
      </c>
      <c r="N155" s="10" t="s">
        <v>37</v>
      </c>
      <c r="O155" t="str">
        <f ca="1">IF(OR($L155&gt;O$4,O$4&gt;$L155+23),"",OFFSET(Electric!$L146,0,-'Electric Calendarize'!$L155+'Electric Calendarize'!O$4+1))</f>
        <v/>
      </c>
      <c r="P155" t="str">
        <f ca="1">IF(OR($L155&gt;P$4,P$4&gt;$L155+23),"",OFFSET(Electric!$L146,0,-'Electric Calendarize'!$L155+'Electric Calendarize'!P$4+1))</f>
        <v/>
      </c>
      <c r="Q155" t="str">
        <f ca="1">IF(OR($L155&gt;Q$4,Q$4&gt;$L155+23),"",OFFSET(Electric!$L146,0,-'Electric Calendarize'!$L155+'Electric Calendarize'!Q$4+1))</f>
        <v/>
      </c>
      <c r="R155" t="str">
        <f ca="1">IF(OR($L155&gt;R$4,R$4&gt;$L155+23),"",OFFSET(Electric!$L146,0,-'Electric Calendarize'!$L155+'Electric Calendarize'!R$4+1))</f>
        <v/>
      </c>
      <c r="S155" t="str">
        <f ca="1">IF(OR($L155&gt;S$4,S$4&gt;$L155+23),"",OFFSET(Electric!$L146,0,-'Electric Calendarize'!$L155+'Electric Calendarize'!S$4+1))</f>
        <v/>
      </c>
      <c r="T155" t="str">
        <f ca="1">IF(OR($L155&gt;T$4,T$4&gt;$L155+23),"",OFFSET(Electric!$L146,0,-'Electric Calendarize'!$L155+'Electric Calendarize'!T$4+1))</f>
        <v/>
      </c>
      <c r="U155" t="str">
        <f ca="1">IF(OR($L155&gt;U$4,U$4&gt;$L155+23),"",OFFSET(Electric!$L146,0,-'Electric Calendarize'!$L155+'Electric Calendarize'!U$4+1))</f>
        <v/>
      </c>
      <c r="V155" t="str">
        <f ca="1">IF(OR($L155&gt;V$4,V$4&gt;$L155+23),"",OFFSET(Electric!$L146,0,-'Electric Calendarize'!$L155+'Electric Calendarize'!V$4+1))</f>
        <v/>
      </c>
      <c r="W155" t="str">
        <f ca="1">IF(OR($L155&gt;W$4,W$4&gt;$L155+23),"",OFFSET(Electric!$L146,0,-'Electric Calendarize'!$L155+'Electric Calendarize'!W$4+1))</f>
        <v/>
      </c>
      <c r="X155" t="str">
        <f ca="1">IF(OR($L155&gt;X$4,X$4&gt;$L155+23),"",OFFSET(Electric!$L146,0,-'Electric Calendarize'!$L155+'Electric Calendarize'!X$4+1))</f>
        <v/>
      </c>
      <c r="Y155" t="str">
        <f ca="1">IF(OR($L155&gt;Y$4,Y$4&gt;$L155+23),"",OFFSET(Electric!$L146,0,-'Electric Calendarize'!$L155+'Electric Calendarize'!Y$4+1))</f>
        <v/>
      </c>
      <c r="Z155" t="str">
        <f ca="1">IF(OR($L155&gt;Z$4,Z$4&gt;$L155+23),"",OFFSET(Electric!$L146,0,-'Electric Calendarize'!$L155+'Electric Calendarize'!Z$4+1))</f>
        <v/>
      </c>
      <c r="AA155" t="str">
        <f ca="1">IF(OR($L155&gt;AA$4,AA$4&gt;$L155+23),"",OFFSET(Electric!$L146,0,-'Electric Calendarize'!$L155+'Electric Calendarize'!AA$4+1))</f>
        <v/>
      </c>
      <c r="AB155" t="str">
        <f ca="1">IF(OR($L155&gt;AB$4,AB$4&gt;$L155+23),"",OFFSET(Electric!$L146,0,-'Electric Calendarize'!$L155+'Electric Calendarize'!AB$4+1))</f>
        <v/>
      </c>
      <c r="AC155" t="str">
        <f ca="1">IF(OR($L155&gt;AC$4,AC$4&gt;$L155+23),"",OFFSET(Electric!$L146,0,-'Electric Calendarize'!$L155+'Electric Calendarize'!AC$4+1))</f>
        <v/>
      </c>
      <c r="AD155" t="str">
        <f ca="1">IF(OR($L155&gt;AD$4,AD$4&gt;$L155+23),"",OFFSET(Electric!$L146,0,-'Electric Calendarize'!$L155+'Electric Calendarize'!AD$4+1))</f>
        <v/>
      </c>
      <c r="AE155">
        <f ca="1">IF(OR($L155&gt;AE$4,AE$4&gt;$L155+23),"",OFFSET(Electric!$L146,0,-'Electric Calendarize'!$L155+'Electric Calendarize'!AE$4+1))</f>
        <v>1595</v>
      </c>
      <c r="AF155">
        <f ca="1">IF(OR($L155&gt;AF$4,AF$4&gt;$L155+23),"",OFFSET(Electric!$L146,0,-'Electric Calendarize'!$L155+'Electric Calendarize'!AF$4+1))</f>
        <v>1116</v>
      </c>
      <c r="AG155">
        <f ca="1">IF(OR($L155&gt;AG$4,AG$4&gt;$L155+23),"",OFFSET(Electric!$L146,0,-'Electric Calendarize'!$L155+'Electric Calendarize'!AG$4+1))</f>
        <v>723</v>
      </c>
      <c r="AH155">
        <f ca="1">IF(OR($L155&gt;AH$4,AH$4&gt;$L155+23),"",OFFSET(Electric!$L146,0,-'Electric Calendarize'!$L155+'Electric Calendarize'!AH$4+1))</f>
        <v>762</v>
      </c>
      <c r="AI155">
        <f ca="1">IF(OR($L155&gt;AI$4,AI$4&gt;$L155+23),"",OFFSET(Electric!$L146,0,-'Electric Calendarize'!$L155+'Electric Calendarize'!AI$4+1))</f>
        <v>806</v>
      </c>
      <c r="AJ155">
        <f ca="1">IF(OR($L155&gt;AJ$4,AJ$4&gt;$L155+23),"",OFFSET(Electric!$L146,0,-'Electric Calendarize'!$L155+'Electric Calendarize'!AJ$4+1))</f>
        <v>935</v>
      </c>
      <c r="AK155">
        <f ca="1">IF(OR($L155&gt;AK$4,AK$4&gt;$L155+23),"",OFFSET(Electric!$L146,0,-'Electric Calendarize'!$L155+'Electric Calendarize'!AK$4+1))</f>
        <v>672</v>
      </c>
      <c r="AL155">
        <f ca="1">IF(OR($L155&gt;AL$4,AL$4&gt;$L155+23),"",OFFSET(Electric!$L146,0,-'Electric Calendarize'!$L155+'Electric Calendarize'!AL$4+1))</f>
        <v>670</v>
      </c>
      <c r="AM155">
        <f ca="1">IF(OR($L155&gt;AM$4,AM$4&gt;$L155+23),"",OFFSET(Electric!$L146,0,-'Electric Calendarize'!$L155+'Electric Calendarize'!AM$4+1))</f>
        <v>630</v>
      </c>
      <c r="AN155">
        <f ca="1">IF(OR($L155&gt;AN$4,AN$4&gt;$L155+23),"",OFFSET(Electric!$L146,0,-'Electric Calendarize'!$L155+'Electric Calendarize'!AN$4+1))</f>
        <v>838</v>
      </c>
      <c r="AO155">
        <f ca="1">IF(OR($L155&gt;AO$4,AO$4&gt;$L155+23),"",OFFSET(Electric!$L146,0,-'Electric Calendarize'!$L155+'Electric Calendarize'!AO$4+1))</f>
        <v>1306</v>
      </c>
      <c r="AP155">
        <f ca="1">IF(OR($L155&gt;AP$4,AP$4&gt;$L155+23),"",OFFSET(Electric!$L146,0,-'Electric Calendarize'!$L155+'Electric Calendarize'!AP$4+1))</f>
        <v>1509</v>
      </c>
      <c r="AQ155">
        <f ca="1">IF(OR($L155&gt;AQ$4,AQ$4&gt;$L155+23),"",OFFSET(Electric!$L146,0,-'Electric Calendarize'!$L155+'Electric Calendarize'!AQ$4+1))</f>
        <v>1519</v>
      </c>
      <c r="AR155">
        <f ca="1">IF(OR($L155&gt;AR$4,AR$4&gt;$L155+23),"",OFFSET(Electric!$L146,0,-'Electric Calendarize'!$L155+'Electric Calendarize'!AR$4+1))</f>
        <v>1248</v>
      </c>
      <c r="AS155">
        <f ca="1">IF(OR($L155&gt;AS$4,AS$4&gt;$L155+23),"",OFFSET(Electric!$L146,0,-'Electric Calendarize'!$L155+'Electric Calendarize'!AS$4+1))</f>
        <v>853</v>
      </c>
      <c r="AT155">
        <f ca="1">IF(OR($L155&gt;AT$4,AT$4&gt;$L155+23),"",OFFSET(Electric!$L146,0,-'Electric Calendarize'!$L155+'Electric Calendarize'!AT$4+1))</f>
        <v>916</v>
      </c>
      <c r="AU155">
        <f ca="1">IF(OR($L155&gt;AU$4,AU$4&gt;$L155+23),"",OFFSET(Electric!$L146,0,-'Electric Calendarize'!$L155+'Electric Calendarize'!AU$4+1))</f>
        <v>1255</v>
      </c>
      <c r="AV155">
        <f ca="1">IF(OR($L155&gt;AV$4,AV$4&gt;$L155+23),"",OFFSET(Electric!$L146,0,-'Electric Calendarize'!$L155+'Electric Calendarize'!AV$4+1))</f>
        <v>1697</v>
      </c>
      <c r="AW155">
        <f ca="1">IF(OR($L155&gt;AW$4,AW$4&gt;$L155+23),"",OFFSET(Electric!$L146,0,-'Electric Calendarize'!$L155+'Electric Calendarize'!AW$4+1))</f>
        <v>1289</v>
      </c>
      <c r="AX155">
        <f ca="1">IF(OR($L155&gt;AX$4,AX$4&gt;$L155+23),"",OFFSET(Electric!$L146,0,-'Electric Calendarize'!$L155+'Electric Calendarize'!AX$4+1))</f>
        <v>1106</v>
      </c>
      <c r="AY155">
        <f ca="1">IF(OR($L155&gt;AY$4,AY$4&gt;$L155+23),"",OFFSET(Electric!$L146,0,-'Electric Calendarize'!$L155+'Electric Calendarize'!AY$4+1))</f>
        <v>960</v>
      </c>
      <c r="AZ155">
        <f ca="1">IF(OR($L155&gt;AZ$4,AZ$4&gt;$L155+23),"",OFFSET(Electric!$L146,0,-'Electric Calendarize'!$L155+'Electric Calendarize'!AZ$4+1))</f>
        <v>835</v>
      </c>
      <c r="BA155">
        <f ca="1">IF(OR($L155&gt;BA$4,BA$4&gt;$L155+23),"",OFFSET(Electric!$L146,0,-'Electric Calendarize'!$L155+'Electric Calendarize'!BA$4+1))</f>
        <v>1405</v>
      </c>
      <c r="BB155">
        <f ca="1">IF(OR($L155&gt;BB$4,BB$4&gt;$L155+23),"",OFFSET(Electric!$L146,0,-'Electric Calendarize'!$L155+'Electric Calendarize'!BB$4+1))</f>
        <v>1702</v>
      </c>
      <c r="BC155" t="str">
        <f ca="1">IF(OR($L155&gt;BC$4,BC$4&gt;$L155+23),"",OFFSET(Electric!$L146,0,-'Electric Calendarize'!$L155+'Electric Calendarize'!BC$4+1))</f>
        <v/>
      </c>
      <c r="BD155" t="str">
        <f ca="1">IF(OR($L155&gt;BD$4,BD$4&gt;$L155+23),"",OFFSET(Electric!$L146,0,-'Electric Calendarize'!$L155+'Electric Calendarize'!BD$4+1))</f>
        <v/>
      </c>
      <c r="BE155" t="str">
        <f ca="1">IF(OR($L155&gt;BE$4,BE$4&gt;$L155+23),"",OFFSET(Electric!$L146,0,-'Electric Calendarize'!$L155+'Electric Calendarize'!BE$4+1))</f>
        <v/>
      </c>
      <c r="BF155" t="str">
        <f ca="1">IF(OR($L155&gt;BF$4,BF$4&gt;$L155+23),"",OFFSET(Electric!$L146,0,-'Electric Calendarize'!$L155+'Electric Calendarize'!BF$4+1))</f>
        <v/>
      </c>
      <c r="BG155" t="str">
        <f ca="1">IF(OR($L155&gt;BG$4,BG$4&gt;$L155+23),"",OFFSET(Electric!$L146,0,-'Electric Calendarize'!$L155+'Electric Calendarize'!BG$4+1))</f>
        <v/>
      </c>
      <c r="BJ155" s="10" t="s">
        <v>37</v>
      </c>
      <c r="BK155">
        <f t="shared" si="411"/>
        <v>1</v>
      </c>
      <c r="BL155">
        <f t="shared" si="317"/>
        <v>0</v>
      </c>
      <c r="BM155">
        <f t="shared" si="318"/>
        <v>0</v>
      </c>
      <c r="BN155">
        <f t="shared" si="319"/>
        <v>0</v>
      </c>
      <c r="BO155">
        <f t="shared" si="320"/>
        <v>0</v>
      </c>
      <c r="BP155">
        <f t="shared" si="321"/>
        <v>0</v>
      </c>
      <c r="BQ155">
        <f t="shared" si="322"/>
        <v>0</v>
      </c>
      <c r="BR155">
        <f t="shared" si="323"/>
        <v>1</v>
      </c>
      <c r="BS155">
        <f t="shared" si="324"/>
        <v>1</v>
      </c>
      <c r="BT155">
        <f t="shared" si="325"/>
        <v>1</v>
      </c>
      <c r="BU155">
        <f t="shared" si="326"/>
        <v>1</v>
      </c>
      <c r="BV155">
        <f t="shared" si="327"/>
        <v>1</v>
      </c>
      <c r="BW155">
        <f t="shared" si="328"/>
        <v>1</v>
      </c>
      <c r="BX155">
        <f t="shared" si="329"/>
        <v>0</v>
      </c>
      <c r="BY155">
        <f t="shared" si="330"/>
        <v>0</v>
      </c>
      <c r="BZ155">
        <f t="shared" si="331"/>
        <v>0</v>
      </c>
      <c r="CA155">
        <f t="shared" si="332"/>
        <v>0</v>
      </c>
      <c r="CB155">
        <f t="shared" si="333"/>
        <v>0</v>
      </c>
      <c r="CC155">
        <f t="shared" si="334"/>
        <v>0</v>
      </c>
      <c r="CD155">
        <f t="shared" si="335"/>
        <v>1</v>
      </c>
      <c r="CE155">
        <f t="shared" si="336"/>
        <v>1</v>
      </c>
      <c r="CF155">
        <f t="shared" si="337"/>
        <v>1</v>
      </c>
      <c r="CG155">
        <f t="shared" si="338"/>
        <v>1</v>
      </c>
      <c r="CH155">
        <f t="shared" si="339"/>
        <v>1</v>
      </c>
      <c r="CI155">
        <f t="shared" si="340"/>
        <v>1</v>
      </c>
      <c r="CJ155">
        <f t="shared" si="341"/>
        <v>0</v>
      </c>
      <c r="CK155">
        <f t="shared" si="342"/>
        <v>0</v>
      </c>
      <c r="CL155">
        <f t="shared" si="343"/>
        <v>0</v>
      </c>
      <c r="CM155">
        <f t="shared" si="344"/>
        <v>0</v>
      </c>
      <c r="CN155">
        <f t="shared" si="345"/>
        <v>0</v>
      </c>
      <c r="CO155">
        <f t="shared" si="346"/>
        <v>0</v>
      </c>
      <c r="CP155">
        <f t="shared" si="347"/>
        <v>1</v>
      </c>
      <c r="CQ155">
        <f t="shared" si="348"/>
        <v>1</v>
      </c>
      <c r="CR155">
        <f t="shared" si="349"/>
        <v>1</v>
      </c>
      <c r="CS155">
        <f t="shared" si="350"/>
        <v>1</v>
      </c>
      <c r="CT155">
        <f t="shared" si="351"/>
        <v>1</v>
      </c>
      <c r="CU155">
        <f t="shared" si="352"/>
        <v>1</v>
      </c>
      <c r="CV155">
        <f t="shared" si="353"/>
        <v>0</v>
      </c>
      <c r="CW155">
        <f t="shared" si="354"/>
        <v>0</v>
      </c>
      <c r="CX155">
        <f t="shared" si="355"/>
        <v>0</v>
      </c>
      <c r="CY155">
        <f t="shared" si="356"/>
        <v>0</v>
      </c>
      <c r="CZ155">
        <f t="shared" si="357"/>
        <v>0</v>
      </c>
      <c r="DA155">
        <f t="shared" si="358"/>
        <v>0</v>
      </c>
      <c r="DB155">
        <f t="shared" si="359"/>
        <v>1</v>
      </c>
      <c r="DC155">
        <f t="shared" si="360"/>
        <v>1</v>
      </c>
      <c r="DF155" s="10" t="s">
        <v>37</v>
      </c>
      <c r="DG155" t="str">
        <f t="shared" si="412"/>
        <v>2022_8</v>
      </c>
      <c r="DH155" t="str">
        <f t="shared" si="412"/>
        <v>2022_8</v>
      </c>
      <c r="DI155" t="str">
        <f t="shared" si="412"/>
        <v>2022_8</v>
      </c>
      <c r="DJ155" t="str">
        <f t="shared" si="412"/>
        <v>2022_8</v>
      </c>
      <c r="DK155" t="str">
        <f t="shared" si="412"/>
        <v>2022_8</v>
      </c>
      <c r="DL155" t="str">
        <f t="shared" si="412"/>
        <v>2022_8</v>
      </c>
      <c r="DM155" t="str">
        <f t="shared" si="412"/>
        <v>2022_8</v>
      </c>
      <c r="DN155" t="str">
        <f t="shared" si="412"/>
        <v>2022_8</v>
      </c>
      <c r="DO155" t="str">
        <f t="shared" si="412"/>
        <v>2022_8</v>
      </c>
      <c r="DP155" t="str">
        <f t="shared" si="412"/>
        <v>2022_8</v>
      </c>
      <c r="DQ155" t="str">
        <f t="shared" si="412"/>
        <v>2022_8</v>
      </c>
      <c r="DR155" t="str">
        <f t="shared" si="412"/>
        <v>2022_8</v>
      </c>
      <c r="DS155" t="str">
        <f t="shared" si="412"/>
        <v>2022_8</v>
      </c>
      <c r="DT155" t="str">
        <f t="shared" si="412"/>
        <v>2022_8</v>
      </c>
      <c r="DU155" t="str">
        <f t="shared" si="412"/>
        <v>2022_8</v>
      </c>
      <c r="DV155" t="str">
        <f t="shared" si="412"/>
        <v>2022_8</v>
      </c>
      <c r="DW155" t="str">
        <f t="shared" ref="DW155:EL170" si="415">$K155</f>
        <v>2022_8</v>
      </c>
      <c r="DX155" t="str">
        <f t="shared" si="415"/>
        <v>2022_8</v>
      </c>
      <c r="DY155" t="str">
        <f t="shared" si="415"/>
        <v>2022_8</v>
      </c>
      <c r="DZ155" t="str">
        <f t="shared" si="415"/>
        <v>2022_8</v>
      </c>
      <c r="EA155" t="str">
        <f t="shared" si="415"/>
        <v>2022_8</v>
      </c>
      <c r="EB155" t="str">
        <f t="shared" si="415"/>
        <v>2022_8</v>
      </c>
      <c r="EC155" t="str">
        <f t="shared" si="415"/>
        <v>2022_8</v>
      </c>
      <c r="ED155" t="str">
        <f t="shared" si="415"/>
        <v>2022_8</v>
      </c>
      <c r="EE155" t="str">
        <f t="shared" si="415"/>
        <v>2022_8</v>
      </c>
      <c r="EF155" t="str">
        <f t="shared" si="415"/>
        <v>2022_8</v>
      </c>
      <c r="EG155" t="str">
        <f t="shared" si="415"/>
        <v>2022_8</v>
      </c>
      <c r="EH155" t="str">
        <f t="shared" si="415"/>
        <v>2022_8</v>
      </c>
      <c r="EI155" t="str">
        <f t="shared" si="415"/>
        <v>2022_8</v>
      </c>
      <c r="EJ155" t="str">
        <f t="shared" si="415"/>
        <v>2022_8</v>
      </c>
      <c r="EK155" t="str">
        <f t="shared" si="414"/>
        <v>2022_8</v>
      </c>
      <c r="EL155" t="str">
        <f t="shared" si="414"/>
        <v>2022_8</v>
      </c>
      <c r="EM155" t="str">
        <f t="shared" si="414"/>
        <v>2022_8</v>
      </c>
      <c r="EN155" t="str">
        <f t="shared" si="414"/>
        <v>2022_8</v>
      </c>
      <c r="EO155" t="str">
        <f t="shared" si="414"/>
        <v>2022_8</v>
      </c>
      <c r="EP155" t="str">
        <f t="shared" si="414"/>
        <v>2022_8</v>
      </c>
      <c r="EQ155" t="str">
        <f t="shared" si="414"/>
        <v>2022_8</v>
      </c>
      <c r="ER155" t="str">
        <f t="shared" si="414"/>
        <v>2022_8</v>
      </c>
      <c r="ES155" t="str">
        <f t="shared" si="414"/>
        <v>2022_8</v>
      </c>
      <c r="ET155" t="str">
        <f t="shared" si="414"/>
        <v>2022_8</v>
      </c>
      <c r="EU155" t="str">
        <f t="shared" si="414"/>
        <v>2022_8</v>
      </c>
      <c r="EV155" t="str">
        <f t="shared" si="414"/>
        <v>2022_8</v>
      </c>
      <c r="EW155" t="str">
        <f t="shared" si="414"/>
        <v>2022_8</v>
      </c>
      <c r="EX155" t="str">
        <f t="shared" si="414"/>
        <v>2022_8</v>
      </c>
      <c r="EY155" t="str">
        <f t="shared" si="414"/>
        <v>2022_8</v>
      </c>
      <c r="FB155" s="10" t="s">
        <v>37</v>
      </c>
      <c r="FC155">
        <f t="shared" si="413"/>
        <v>0</v>
      </c>
      <c r="FD155">
        <f t="shared" si="363"/>
        <v>0</v>
      </c>
      <c r="FE155">
        <f t="shared" si="364"/>
        <v>0</v>
      </c>
      <c r="FF155">
        <f t="shared" si="365"/>
        <v>0</v>
      </c>
      <c r="FG155">
        <f t="shared" si="366"/>
        <v>0</v>
      </c>
      <c r="FH155">
        <f t="shared" si="367"/>
        <v>0</v>
      </c>
      <c r="FI155">
        <f t="shared" si="368"/>
        <v>0</v>
      </c>
      <c r="FJ155">
        <f t="shared" si="369"/>
        <v>0</v>
      </c>
      <c r="FK155">
        <f t="shared" si="370"/>
        <v>0</v>
      </c>
      <c r="FL155">
        <f t="shared" si="371"/>
        <v>0</v>
      </c>
      <c r="FM155">
        <f t="shared" si="372"/>
        <v>0</v>
      </c>
      <c r="FN155">
        <f t="shared" si="373"/>
        <v>0</v>
      </c>
      <c r="FO155">
        <f t="shared" si="374"/>
        <v>0</v>
      </c>
      <c r="FP155">
        <f t="shared" si="375"/>
        <v>0</v>
      </c>
      <c r="FQ155">
        <f t="shared" si="376"/>
        <v>0</v>
      </c>
      <c r="FR155">
        <f t="shared" si="377"/>
        <v>0</v>
      </c>
      <c r="FS155">
        <f t="shared" si="378"/>
        <v>0</v>
      </c>
      <c r="FT155">
        <f t="shared" si="379"/>
        <v>0</v>
      </c>
      <c r="FU155">
        <f t="shared" si="380"/>
        <v>0</v>
      </c>
      <c r="FV155">
        <f t="shared" si="381"/>
        <v>0</v>
      </c>
      <c r="FW155">
        <f t="shared" si="382"/>
        <v>0</v>
      </c>
      <c r="FX155">
        <f t="shared" si="383"/>
        <v>0</v>
      </c>
      <c r="FY155">
        <f t="shared" si="384"/>
        <v>0</v>
      </c>
      <c r="FZ155">
        <f t="shared" si="385"/>
        <v>0</v>
      </c>
      <c r="GA155">
        <f t="shared" si="386"/>
        <v>0</v>
      </c>
      <c r="GB155">
        <f t="shared" si="387"/>
        <v>0</v>
      </c>
      <c r="GC155">
        <f t="shared" si="388"/>
        <v>0</v>
      </c>
      <c r="GD155">
        <f t="shared" si="389"/>
        <v>0</v>
      </c>
      <c r="GE155">
        <f t="shared" si="390"/>
        <v>1</v>
      </c>
      <c r="GF155">
        <f t="shared" si="391"/>
        <v>1</v>
      </c>
      <c r="GG155">
        <f t="shared" si="392"/>
        <v>1</v>
      </c>
      <c r="GH155">
        <f t="shared" si="393"/>
        <v>1</v>
      </c>
      <c r="GI155">
        <f t="shared" si="394"/>
        <v>1</v>
      </c>
      <c r="GJ155">
        <f t="shared" si="395"/>
        <v>1</v>
      </c>
      <c r="GK155">
        <f t="shared" si="396"/>
        <v>1</v>
      </c>
      <c r="GL155">
        <f t="shared" si="397"/>
        <v>1</v>
      </c>
      <c r="GM155">
        <f t="shared" si="398"/>
        <v>1</v>
      </c>
      <c r="GN155">
        <f t="shared" si="399"/>
        <v>1</v>
      </c>
      <c r="GO155">
        <f t="shared" si="400"/>
        <v>1</v>
      </c>
      <c r="GP155">
        <f t="shared" si="401"/>
        <v>1</v>
      </c>
      <c r="GQ155">
        <f t="shared" si="402"/>
        <v>1</v>
      </c>
      <c r="GR155">
        <f t="shared" si="403"/>
        <v>1</v>
      </c>
      <c r="GS155">
        <f t="shared" si="404"/>
        <v>1</v>
      </c>
      <c r="GT155">
        <f t="shared" si="405"/>
        <v>1</v>
      </c>
      <c r="GU155">
        <f t="shared" si="406"/>
        <v>1</v>
      </c>
      <c r="GX155" s="10"/>
    </row>
    <row r="156" spans="1:206" x14ac:dyDescent="0.3">
      <c r="A156" s="9" t="s">
        <v>33</v>
      </c>
      <c r="B156" s="80"/>
      <c r="C156" s="9">
        <v>3080022000</v>
      </c>
      <c r="D156" s="9" t="s">
        <v>459</v>
      </c>
      <c r="E156" s="9" t="s">
        <v>34</v>
      </c>
      <c r="F156" s="9" t="s">
        <v>35</v>
      </c>
      <c r="G156" s="9" t="s">
        <v>188</v>
      </c>
      <c r="H156" s="10">
        <v>44781</v>
      </c>
      <c r="I156" s="9">
        <f t="shared" si="407"/>
        <v>2022</v>
      </c>
      <c r="J156" s="9">
        <f t="shared" si="408"/>
        <v>8</v>
      </c>
      <c r="K156" s="9" t="str">
        <f t="shared" si="409"/>
        <v>2022_8</v>
      </c>
      <c r="L156">
        <f>MAX(0,VLOOKUP($K156,lookups!$A$1:$B$45,2,0)-12)</f>
        <v>16</v>
      </c>
      <c r="M156" s="40">
        <f t="shared" si="410"/>
        <v>44774</v>
      </c>
      <c r="N156" s="10" t="s">
        <v>37</v>
      </c>
      <c r="O156" t="str">
        <f ca="1">IF(OR($L156&gt;O$4,O$4&gt;$L156+23),"",OFFSET(Electric!$L147,0,-'Electric Calendarize'!$L156+'Electric Calendarize'!O$4+1))</f>
        <v/>
      </c>
      <c r="P156" t="str">
        <f ca="1">IF(OR($L156&gt;P$4,P$4&gt;$L156+23),"",OFFSET(Electric!$L147,0,-'Electric Calendarize'!$L156+'Electric Calendarize'!P$4+1))</f>
        <v/>
      </c>
      <c r="Q156" t="str">
        <f ca="1">IF(OR($L156&gt;Q$4,Q$4&gt;$L156+23),"",OFFSET(Electric!$L147,0,-'Electric Calendarize'!$L156+'Electric Calendarize'!Q$4+1))</f>
        <v/>
      </c>
      <c r="R156" t="str">
        <f ca="1">IF(OR($L156&gt;R$4,R$4&gt;$L156+23),"",OFFSET(Electric!$L147,0,-'Electric Calendarize'!$L156+'Electric Calendarize'!R$4+1))</f>
        <v/>
      </c>
      <c r="S156" t="str">
        <f ca="1">IF(OR($L156&gt;S$4,S$4&gt;$L156+23),"",OFFSET(Electric!$L147,0,-'Electric Calendarize'!$L156+'Electric Calendarize'!S$4+1))</f>
        <v/>
      </c>
      <c r="T156" t="str">
        <f ca="1">IF(OR($L156&gt;T$4,T$4&gt;$L156+23),"",OFFSET(Electric!$L147,0,-'Electric Calendarize'!$L156+'Electric Calendarize'!T$4+1))</f>
        <v/>
      </c>
      <c r="U156" t="str">
        <f ca="1">IF(OR($L156&gt;U$4,U$4&gt;$L156+23),"",OFFSET(Electric!$L147,0,-'Electric Calendarize'!$L156+'Electric Calendarize'!U$4+1))</f>
        <v/>
      </c>
      <c r="V156" t="str">
        <f ca="1">IF(OR($L156&gt;V$4,V$4&gt;$L156+23),"",OFFSET(Electric!$L147,0,-'Electric Calendarize'!$L156+'Electric Calendarize'!V$4+1))</f>
        <v/>
      </c>
      <c r="W156" t="str">
        <f ca="1">IF(OR($L156&gt;W$4,W$4&gt;$L156+23),"",OFFSET(Electric!$L147,0,-'Electric Calendarize'!$L156+'Electric Calendarize'!W$4+1))</f>
        <v/>
      </c>
      <c r="X156" t="str">
        <f ca="1">IF(OR($L156&gt;X$4,X$4&gt;$L156+23),"",OFFSET(Electric!$L147,0,-'Electric Calendarize'!$L156+'Electric Calendarize'!X$4+1))</f>
        <v/>
      </c>
      <c r="Y156" t="str">
        <f ca="1">IF(OR($L156&gt;Y$4,Y$4&gt;$L156+23),"",OFFSET(Electric!$L147,0,-'Electric Calendarize'!$L156+'Electric Calendarize'!Y$4+1))</f>
        <v/>
      </c>
      <c r="Z156" t="str">
        <f ca="1">IF(OR($L156&gt;Z$4,Z$4&gt;$L156+23),"",OFFSET(Electric!$L147,0,-'Electric Calendarize'!$L156+'Electric Calendarize'!Z$4+1))</f>
        <v/>
      </c>
      <c r="AA156" t="str">
        <f ca="1">IF(OR($L156&gt;AA$4,AA$4&gt;$L156+23),"",OFFSET(Electric!$L147,0,-'Electric Calendarize'!$L156+'Electric Calendarize'!AA$4+1))</f>
        <v/>
      </c>
      <c r="AB156" t="str">
        <f ca="1">IF(OR($L156&gt;AB$4,AB$4&gt;$L156+23),"",OFFSET(Electric!$L147,0,-'Electric Calendarize'!$L156+'Electric Calendarize'!AB$4+1))</f>
        <v/>
      </c>
      <c r="AC156" t="str">
        <f ca="1">IF(OR($L156&gt;AC$4,AC$4&gt;$L156+23),"",OFFSET(Electric!$L147,0,-'Electric Calendarize'!$L156+'Electric Calendarize'!AC$4+1))</f>
        <v/>
      </c>
      <c r="AD156" t="str">
        <f ca="1">IF(OR($L156&gt;AD$4,AD$4&gt;$L156+23),"",OFFSET(Electric!$L147,0,-'Electric Calendarize'!$L156+'Electric Calendarize'!AD$4+1))</f>
        <v/>
      </c>
      <c r="AE156">
        <f ca="1">IF(OR($L156&gt;AE$4,AE$4&gt;$L156+23),"",OFFSET(Electric!$L147,0,-'Electric Calendarize'!$L156+'Electric Calendarize'!AE$4+1))</f>
        <v>1039</v>
      </c>
      <c r="AF156">
        <f ca="1">IF(OR($L156&gt;AF$4,AF$4&gt;$L156+23),"",OFFSET(Electric!$L147,0,-'Electric Calendarize'!$L156+'Electric Calendarize'!AF$4+1))</f>
        <v>924</v>
      </c>
      <c r="AG156">
        <f ca="1">IF(OR($L156&gt;AG$4,AG$4&gt;$L156+23),"",OFFSET(Electric!$L147,0,-'Electric Calendarize'!$L156+'Electric Calendarize'!AG$4+1))</f>
        <v>442</v>
      </c>
      <c r="AH156">
        <f ca="1">IF(OR($L156&gt;AH$4,AH$4&gt;$L156+23),"",OFFSET(Electric!$L147,0,-'Electric Calendarize'!$L156+'Electric Calendarize'!AH$4+1))</f>
        <v>418</v>
      </c>
      <c r="AI156">
        <f ca="1">IF(OR($L156&gt;AI$4,AI$4&gt;$L156+23),"",OFFSET(Electric!$L147,0,-'Electric Calendarize'!$L156+'Electric Calendarize'!AI$4+1))</f>
        <v>442</v>
      </c>
      <c r="AJ156">
        <f ca="1">IF(OR($L156&gt;AJ$4,AJ$4&gt;$L156+23),"",OFFSET(Electric!$L147,0,-'Electric Calendarize'!$L156+'Electric Calendarize'!AJ$4+1))</f>
        <v>430</v>
      </c>
      <c r="AK156">
        <f ca="1">IF(OR($L156&gt;AK$4,AK$4&gt;$L156+23),"",OFFSET(Electric!$L147,0,-'Electric Calendarize'!$L156+'Electric Calendarize'!AK$4+1))</f>
        <v>455</v>
      </c>
      <c r="AL156">
        <f ca="1">IF(OR($L156&gt;AL$4,AL$4&gt;$L156+23),"",OFFSET(Electric!$L147,0,-'Electric Calendarize'!$L156+'Electric Calendarize'!AL$4+1))</f>
        <v>440</v>
      </c>
      <c r="AM156">
        <f ca="1">IF(OR($L156&gt;AM$4,AM$4&gt;$L156+23),"",OFFSET(Electric!$L147,0,-'Electric Calendarize'!$L156+'Electric Calendarize'!AM$4+1))</f>
        <v>383</v>
      </c>
      <c r="AN156">
        <f ca="1">IF(OR($L156&gt;AN$4,AN$4&gt;$L156+23),"",OFFSET(Electric!$L147,0,-'Electric Calendarize'!$L156+'Electric Calendarize'!AN$4+1))</f>
        <v>412</v>
      </c>
      <c r="AO156">
        <f ca="1">IF(OR($L156&gt;AO$4,AO$4&gt;$L156+23),"",OFFSET(Electric!$L147,0,-'Electric Calendarize'!$L156+'Electric Calendarize'!AO$4+1))</f>
        <v>474</v>
      </c>
      <c r="AP156">
        <f ca="1">IF(OR($L156&gt;AP$4,AP$4&gt;$L156+23),"",OFFSET(Electric!$L147,0,-'Electric Calendarize'!$L156+'Electric Calendarize'!AP$4+1))</f>
        <v>957</v>
      </c>
      <c r="AQ156">
        <f ca="1">IF(OR($L156&gt;AQ$4,AQ$4&gt;$L156+23),"",OFFSET(Electric!$L147,0,-'Electric Calendarize'!$L156+'Electric Calendarize'!AQ$4+1))</f>
        <v>1284</v>
      </c>
      <c r="AR156">
        <f ca="1">IF(OR($L156&gt;AR$4,AR$4&gt;$L156+23),"",OFFSET(Electric!$L147,0,-'Electric Calendarize'!$L156+'Electric Calendarize'!AR$4+1))</f>
        <v>861</v>
      </c>
      <c r="AS156">
        <f ca="1">IF(OR($L156&gt;AS$4,AS$4&gt;$L156+23),"",OFFSET(Electric!$L147,0,-'Electric Calendarize'!$L156+'Electric Calendarize'!AS$4+1))</f>
        <v>421</v>
      </c>
      <c r="AT156">
        <f ca="1">IF(OR($L156&gt;AT$4,AT$4&gt;$L156+23),"",OFFSET(Electric!$L147,0,-'Electric Calendarize'!$L156+'Electric Calendarize'!AT$4+1))</f>
        <v>372</v>
      </c>
      <c r="AU156">
        <f ca="1">IF(OR($L156&gt;AU$4,AU$4&gt;$L156+23),"",OFFSET(Electric!$L147,0,-'Electric Calendarize'!$L156+'Electric Calendarize'!AU$4+1))</f>
        <v>413</v>
      </c>
      <c r="AV156">
        <f ca="1">IF(OR($L156&gt;AV$4,AV$4&gt;$L156+23),"",OFFSET(Electric!$L147,0,-'Electric Calendarize'!$L156+'Electric Calendarize'!AV$4+1))</f>
        <v>487</v>
      </c>
      <c r="AW156">
        <f ca="1">IF(OR($L156&gt;AW$4,AW$4&gt;$L156+23),"",OFFSET(Electric!$L147,0,-'Electric Calendarize'!$L156+'Electric Calendarize'!AW$4+1))</f>
        <v>507</v>
      </c>
      <c r="AX156">
        <f ca="1">IF(OR($L156&gt;AX$4,AX$4&gt;$L156+23),"",OFFSET(Electric!$L147,0,-'Electric Calendarize'!$L156+'Electric Calendarize'!AX$4+1))</f>
        <v>550</v>
      </c>
      <c r="AY156">
        <f ca="1">IF(OR($L156&gt;AY$4,AY$4&gt;$L156+23),"",OFFSET(Electric!$L147,0,-'Electric Calendarize'!$L156+'Electric Calendarize'!AY$4+1))</f>
        <v>465</v>
      </c>
      <c r="AZ156">
        <f ca="1">IF(OR($L156&gt;AZ$4,AZ$4&gt;$L156+23),"",OFFSET(Electric!$L147,0,-'Electric Calendarize'!$L156+'Electric Calendarize'!AZ$4+1))</f>
        <v>369</v>
      </c>
      <c r="BA156">
        <f ca="1">IF(OR($L156&gt;BA$4,BA$4&gt;$L156+23),"",OFFSET(Electric!$L147,0,-'Electric Calendarize'!$L156+'Electric Calendarize'!BA$4+1))</f>
        <v>382</v>
      </c>
      <c r="BB156">
        <f ca="1">IF(OR($L156&gt;BB$4,BB$4&gt;$L156+23),"",OFFSET(Electric!$L147,0,-'Electric Calendarize'!$L156+'Electric Calendarize'!BB$4+1))</f>
        <v>720</v>
      </c>
      <c r="BC156" t="str">
        <f ca="1">IF(OR($L156&gt;BC$4,BC$4&gt;$L156+23),"",OFFSET(Electric!$L147,0,-'Electric Calendarize'!$L156+'Electric Calendarize'!BC$4+1))</f>
        <v/>
      </c>
      <c r="BD156" t="str">
        <f ca="1">IF(OR($L156&gt;BD$4,BD$4&gt;$L156+23),"",OFFSET(Electric!$L147,0,-'Electric Calendarize'!$L156+'Electric Calendarize'!BD$4+1))</f>
        <v/>
      </c>
      <c r="BE156" t="str">
        <f ca="1">IF(OR($L156&gt;BE$4,BE$4&gt;$L156+23),"",OFFSET(Electric!$L147,0,-'Electric Calendarize'!$L156+'Electric Calendarize'!BE$4+1))</f>
        <v/>
      </c>
      <c r="BF156" t="str">
        <f ca="1">IF(OR($L156&gt;BF$4,BF$4&gt;$L156+23),"",OFFSET(Electric!$L147,0,-'Electric Calendarize'!$L156+'Electric Calendarize'!BF$4+1))</f>
        <v/>
      </c>
      <c r="BG156" t="str">
        <f ca="1">IF(OR($L156&gt;BG$4,BG$4&gt;$L156+23),"",OFFSET(Electric!$L147,0,-'Electric Calendarize'!$L156+'Electric Calendarize'!BG$4+1))</f>
        <v/>
      </c>
      <c r="BJ156" s="10" t="s">
        <v>37</v>
      </c>
      <c r="BK156">
        <f t="shared" si="411"/>
        <v>1</v>
      </c>
      <c r="BL156">
        <f t="shared" si="317"/>
        <v>0</v>
      </c>
      <c r="BM156">
        <f t="shared" si="318"/>
        <v>0</v>
      </c>
      <c r="BN156">
        <f t="shared" si="319"/>
        <v>0</v>
      </c>
      <c r="BO156">
        <f t="shared" si="320"/>
        <v>0</v>
      </c>
      <c r="BP156">
        <f t="shared" si="321"/>
        <v>0</v>
      </c>
      <c r="BQ156">
        <f t="shared" si="322"/>
        <v>0</v>
      </c>
      <c r="BR156">
        <f t="shared" si="323"/>
        <v>1</v>
      </c>
      <c r="BS156">
        <f t="shared" si="324"/>
        <v>1</v>
      </c>
      <c r="BT156">
        <f t="shared" si="325"/>
        <v>1</v>
      </c>
      <c r="BU156">
        <f t="shared" si="326"/>
        <v>1</v>
      </c>
      <c r="BV156">
        <f t="shared" si="327"/>
        <v>1</v>
      </c>
      <c r="BW156">
        <f t="shared" si="328"/>
        <v>1</v>
      </c>
      <c r="BX156">
        <f t="shared" si="329"/>
        <v>0</v>
      </c>
      <c r="BY156">
        <f t="shared" si="330"/>
        <v>0</v>
      </c>
      <c r="BZ156">
        <f t="shared" si="331"/>
        <v>0</v>
      </c>
      <c r="CA156">
        <f t="shared" si="332"/>
        <v>0</v>
      </c>
      <c r="CB156">
        <f t="shared" si="333"/>
        <v>0</v>
      </c>
      <c r="CC156">
        <f t="shared" si="334"/>
        <v>0</v>
      </c>
      <c r="CD156">
        <f t="shared" si="335"/>
        <v>1</v>
      </c>
      <c r="CE156">
        <f t="shared" si="336"/>
        <v>1</v>
      </c>
      <c r="CF156">
        <f t="shared" si="337"/>
        <v>1</v>
      </c>
      <c r="CG156">
        <f t="shared" si="338"/>
        <v>1</v>
      </c>
      <c r="CH156">
        <f t="shared" si="339"/>
        <v>1</v>
      </c>
      <c r="CI156">
        <f t="shared" si="340"/>
        <v>1</v>
      </c>
      <c r="CJ156">
        <f t="shared" si="341"/>
        <v>0</v>
      </c>
      <c r="CK156">
        <f t="shared" si="342"/>
        <v>0</v>
      </c>
      <c r="CL156">
        <f t="shared" si="343"/>
        <v>0</v>
      </c>
      <c r="CM156">
        <f t="shared" si="344"/>
        <v>0</v>
      </c>
      <c r="CN156">
        <f t="shared" si="345"/>
        <v>0</v>
      </c>
      <c r="CO156">
        <f t="shared" si="346"/>
        <v>0</v>
      </c>
      <c r="CP156">
        <f t="shared" si="347"/>
        <v>1</v>
      </c>
      <c r="CQ156">
        <f t="shared" si="348"/>
        <v>1</v>
      </c>
      <c r="CR156">
        <f t="shared" si="349"/>
        <v>1</v>
      </c>
      <c r="CS156">
        <f t="shared" si="350"/>
        <v>1</v>
      </c>
      <c r="CT156">
        <f t="shared" si="351"/>
        <v>1</v>
      </c>
      <c r="CU156">
        <f t="shared" si="352"/>
        <v>1</v>
      </c>
      <c r="CV156">
        <f t="shared" si="353"/>
        <v>0</v>
      </c>
      <c r="CW156">
        <f t="shared" si="354"/>
        <v>0</v>
      </c>
      <c r="CX156">
        <f t="shared" si="355"/>
        <v>0</v>
      </c>
      <c r="CY156">
        <f t="shared" si="356"/>
        <v>0</v>
      </c>
      <c r="CZ156">
        <f t="shared" si="357"/>
        <v>0</v>
      </c>
      <c r="DA156">
        <f t="shared" si="358"/>
        <v>0</v>
      </c>
      <c r="DB156">
        <f t="shared" si="359"/>
        <v>1</v>
      </c>
      <c r="DC156">
        <f t="shared" si="360"/>
        <v>1</v>
      </c>
      <c r="DF156" s="10" t="s">
        <v>37</v>
      </c>
      <c r="DG156" t="str">
        <f t="shared" ref="DG156:DV171" si="416">$K156</f>
        <v>2022_8</v>
      </c>
      <c r="DH156" t="str">
        <f t="shared" si="416"/>
        <v>2022_8</v>
      </c>
      <c r="DI156" t="str">
        <f t="shared" si="416"/>
        <v>2022_8</v>
      </c>
      <c r="DJ156" t="str">
        <f t="shared" si="416"/>
        <v>2022_8</v>
      </c>
      <c r="DK156" t="str">
        <f t="shared" si="416"/>
        <v>2022_8</v>
      </c>
      <c r="DL156" t="str">
        <f t="shared" si="416"/>
        <v>2022_8</v>
      </c>
      <c r="DM156" t="str">
        <f t="shared" si="416"/>
        <v>2022_8</v>
      </c>
      <c r="DN156" t="str">
        <f t="shared" si="416"/>
        <v>2022_8</v>
      </c>
      <c r="DO156" t="str">
        <f t="shared" si="416"/>
        <v>2022_8</v>
      </c>
      <c r="DP156" t="str">
        <f t="shared" si="416"/>
        <v>2022_8</v>
      </c>
      <c r="DQ156" t="str">
        <f t="shared" si="416"/>
        <v>2022_8</v>
      </c>
      <c r="DR156" t="str">
        <f t="shared" si="416"/>
        <v>2022_8</v>
      </c>
      <c r="DS156" t="str">
        <f t="shared" si="416"/>
        <v>2022_8</v>
      </c>
      <c r="DT156" t="str">
        <f t="shared" si="416"/>
        <v>2022_8</v>
      </c>
      <c r="DU156" t="str">
        <f t="shared" si="416"/>
        <v>2022_8</v>
      </c>
      <c r="DV156" t="str">
        <f t="shared" si="416"/>
        <v>2022_8</v>
      </c>
      <c r="DW156" t="str">
        <f t="shared" si="415"/>
        <v>2022_8</v>
      </c>
      <c r="DX156" t="str">
        <f t="shared" si="415"/>
        <v>2022_8</v>
      </c>
      <c r="DY156" t="str">
        <f t="shared" si="415"/>
        <v>2022_8</v>
      </c>
      <c r="DZ156" t="str">
        <f t="shared" si="415"/>
        <v>2022_8</v>
      </c>
      <c r="EA156" t="str">
        <f t="shared" si="415"/>
        <v>2022_8</v>
      </c>
      <c r="EB156" t="str">
        <f t="shared" si="415"/>
        <v>2022_8</v>
      </c>
      <c r="EC156" t="str">
        <f t="shared" si="415"/>
        <v>2022_8</v>
      </c>
      <c r="ED156" t="str">
        <f t="shared" si="415"/>
        <v>2022_8</v>
      </c>
      <c r="EE156" t="str">
        <f t="shared" si="415"/>
        <v>2022_8</v>
      </c>
      <c r="EF156" t="str">
        <f t="shared" si="415"/>
        <v>2022_8</v>
      </c>
      <c r="EG156" t="str">
        <f t="shared" si="415"/>
        <v>2022_8</v>
      </c>
      <c r="EH156" t="str">
        <f t="shared" si="415"/>
        <v>2022_8</v>
      </c>
      <c r="EI156" t="str">
        <f t="shared" si="415"/>
        <v>2022_8</v>
      </c>
      <c r="EJ156" t="str">
        <f t="shared" si="415"/>
        <v>2022_8</v>
      </c>
      <c r="EK156" t="str">
        <f t="shared" si="414"/>
        <v>2022_8</v>
      </c>
      <c r="EL156" t="str">
        <f t="shared" si="414"/>
        <v>2022_8</v>
      </c>
      <c r="EM156" t="str">
        <f t="shared" si="414"/>
        <v>2022_8</v>
      </c>
      <c r="EN156" t="str">
        <f t="shared" si="414"/>
        <v>2022_8</v>
      </c>
      <c r="EO156" t="str">
        <f t="shared" si="414"/>
        <v>2022_8</v>
      </c>
      <c r="EP156" t="str">
        <f t="shared" si="414"/>
        <v>2022_8</v>
      </c>
      <c r="EQ156" t="str">
        <f t="shared" si="414"/>
        <v>2022_8</v>
      </c>
      <c r="ER156" t="str">
        <f t="shared" si="414"/>
        <v>2022_8</v>
      </c>
      <c r="ES156" t="str">
        <f t="shared" si="414"/>
        <v>2022_8</v>
      </c>
      <c r="ET156" t="str">
        <f t="shared" si="414"/>
        <v>2022_8</v>
      </c>
      <c r="EU156" t="str">
        <f t="shared" si="414"/>
        <v>2022_8</v>
      </c>
      <c r="EV156" t="str">
        <f t="shared" si="414"/>
        <v>2022_8</v>
      </c>
      <c r="EW156" t="str">
        <f t="shared" si="414"/>
        <v>2022_8</v>
      </c>
      <c r="EX156" t="str">
        <f t="shared" si="414"/>
        <v>2022_8</v>
      </c>
      <c r="EY156" t="str">
        <f t="shared" si="414"/>
        <v>2022_8</v>
      </c>
      <c r="FB156" s="10" t="s">
        <v>37</v>
      </c>
      <c r="FC156">
        <f t="shared" si="413"/>
        <v>0</v>
      </c>
      <c r="FD156">
        <f t="shared" si="363"/>
        <v>0</v>
      </c>
      <c r="FE156">
        <f t="shared" si="364"/>
        <v>0</v>
      </c>
      <c r="FF156">
        <f t="shared" si="365"/>
        <v>0</v>
      </c>
      <c r="FG156">
        <f t="shared" si="366"/>
        <v>0</v>
      </c>
      <c r="FH156">
        <f t="shared" si="367"/>
        <v>0</v>
      </c>
      <c r="FI156">
        <f t="shared" si="368"/>
        <v>0</v>
      </c>
      <c r="FJ156">
        <f t="shared" si="369"/>
        <v>0</v>
      </c>
      <c r="FK156">
        <f t="shared" si="370"/>
        <v>0</v>
      </c>
      <c r="FL156">
        <f t="shared" si="371"/>
        <v>0</v>
      </c>
      <c r="FM156">
        <f t="shared" si="372"/>
        <v>0</v>
      </c>
      <c r="FN156">
        <f t="shared" si="373"/>
        <v>0</v>
      </c>
      <c r="FO156">
        <f t="shared" si="374"/>
        <v>0</v>
      </c>
      <c r="FP156">
        <f t="shared" si="375"/>
        <v>0</v>
      </c>
      <c r="FQ156">
        <f t="shared" si="376"/>
        <v>0</v>
      </c>
      <c r="FR156">
        <f t="shared" si="377"/>
        <v>0</v>
      </c>
      <c r="FS156">
        <f t="shared" si="378"/>
        <v>0</v>
      </c>
      <c r="FT156">
        <f t="shared" si="379"/>
        <v>0</v>
      </c>
      <c r="FU156">
        <f t="shared" si="380"/>
        <v>0</v>
      </c>
      <c r="FV156">
        <f t="shared" si="381"/>
        <v>0</v>
      </c>
      <c r="FW156">
        <f t="shared" si="382"/>
        <v>0</v>
      </c>
      <c r="FX156">
        <f t="shared" si="383"/>
        <v>0</v>
      </c>
      <c r="FY156">
        <f t="shared" si="384"/>
        <v>0</v>
      </c>
      <c r="FZ156">
        <f t="shared" si="385"/>
        <v>0</v>
      </c>
      <c r="GA156">
        <f t="shared" si="386"/>
        <v>0</v>
      </c>
      <c r="GB156">
        <f t="shared" si="387"/>
        <v>0</v>
      </c>
      <c r="GC156">
        <f t="shared" si="388"/>
        <v>0</v>
      </c>
      <c r="GD156">
        <f t="shared" si="389"/>
        <v>0</v>
      </c>
      <c r="GE156">
        <f t="shared" si="390"/>
        <v>1</v>
      </c>
      <c r="GF156">
        <f t="shared" si="391"/>
        <v>1</v>
      </c>
      <c r="GG156">
        <f t="shared" si="392"/>
        <v>1</v>
      </c>
      <c r="GH156">
        <f t="shared" si="393"/>
        <v>1</v>
      </c>
      <c r="GI156">
        <f t="shared" si="394"/>
        <v>1</v>
      </c>
      <c r="GJ156">
        <f t="shared" si="395"/>
        <v>1</v>
      </c>
      <c r="GK156">
        <f t="shared" si="396"/>
        <v>1</v>
      </c>
      <c r="GL156">
        <f t="shared" si="397"/>
        <v>1</v>
      </c>
      <c r="GM156">
        <f t="shared" si="398"/>
        <v>1</v>
      </c>
      <c r="GN156">
        <f t="shared" si="399"/>
        <v>1</v>
      </c>
      <c r="GO156">
        <f t="shared" si="400"/>
        <v>1</v>
      </c>
      <c r="GP156">
        <f t="shared" si="401"/>
        <v>1</v>
      </c>
      <c r="GQ156">
        <f t="shared" si="402"/>
        <v>1</v>
      </c>
      <c r="GR156">
        <f t="shared" si="403"/>
        <v>1</v>
      </c>
      <c r="GS156">
        <f t="shared" si="404"/>
        <v>1</v>
      </c>
      <c r="GT156">
        <f t="shared" si="405"/>
        <v>1</v>
      </c>
      <c r="GU156">
        <f t="shared" si="406"/>
        <v>1</v>
      </c>
      <c r="GX156" s="10"/>
    </row>
    <row r="157" spans="1:206" x14ac:dyDescent="0.3">
      <c r="A157" s="30" t="s">
        <v>33</v>
      </c>
      <c r="B157" s="82"/>
      <c r="C157" s="27">
        <v>3140579003</v>
      </c>
      <c r="D157" s="27" t="s">
        <v>460</v>
      </c>
      <c r="E157" s="27" t="s">
        <v>34</v>
      </c>
      <c r="F157" s="27" t="s">
        <v>35</v>
      </c>
      <c r="G157" s="27" t="s">
        <v>86</v>
      </c>
      <c r="H157" s="10">
        <v>44781</v>
      </c>
      <c r="I157" s="9">
        <f t="shared" si="407"/>
        <v>2022</v>
      </c>
      <c r="J157" s="9">
        <f t="shared" si="408"/>
        <v>8</v>
      </c>
      <c r="K157" s="9" t="str">
        <f t="shared" si="409"/>
        <v>2022_8</v>
      </c>
      <c r="L157">
        <f>MAX(0,VLOOKUP($K157,lookups!$A$1:$B$45,2,0)-12)</f>
        <v>16</v>
      </c>
      <c r="M157" s="40">
        <f t="shared" si="410"/>
        <v>44774</v>
      </c>
      <c r="N157" s="10" t="s">
        <v>37</v>
      </c>
      <c r="O157" t="str">
        <f ca="1">IF(OR($L157&gt;O$4,O$4&gt;$L157+23),"",OFFSET(Electric!$L148,0,-'Electric Calendarize'!$L157+'Electric Calendarize'!O$4+1))</f>
        <v/>
      </c>
      <c r="P157" t="str">
        <f ca="1">IF(OR($L157&gt;P$4,P$4&gt;$L157+23),"",OFFSET(Electric!$L148,0,-'Electric Calendarize'!$L157+'Electric Calendarize'!P$4+1))</f>
        <v/>
      </c>
      <c r="Q157" t="str">
        <f ca="1">IF(OR($L157&gt;Q$4,Q$4&gt;$L157+23),"",OFFSET(Electric!$L148,0,-'Electric Calendarize'!$L157+'Electric Calendarize'!Q$4+1))</f>
        <v/>
      </c>
      <c r="R157" t="str">
        <f ca="1">IF(OR($L157&gt;R$4,R$4&gt;$L157+23),"",OFFSET(Electric!$L148,0,-'Electric Calendarize'!$L157+'Electric Calendarize'!R$4+1))</f>
        <v/>
      </c>
      <c r="S157" t="str">
        <f ca="1">IF(OR($L157&gt;S$4,S$4&gt;$L157+23),"",OFFSET(Electric!$L148,0,-'Electric Calendarize'!$L157+'Electric Calendarize'!S$4+1))</f>
        <v/>
      </c>
      <c r="T157" t="str">
        <f ca="1">IF(OR($L157&gt;T$4,T$4&gt;$L157+23),"",OFFSET(Electric!$L148,0,-'Electric Calendarize'!$L157+'Electric Calendarize'!T$4+1))</f>
        <v/>
      </c>
      <c r="U157" t="str">
        <f ca="1">IF(OR($L157&gt;U$4,U$4&gt;$L157+23),"",OFFSET(Electric!$L148,0,-'Electric Calendarize'!$L157+'Electric Calendarize'!U$4+1))</f>
        <v/>
      </c>
      <c r="V157" t="str">
        <f ca="1">IF(OR($L157&gt;V$4,V$4&gt;$L157+23),"",OFFSET(Electric!$L148,0,-'Electric Calendarize'!$L157+'Electric Calendarize'!V$4+1))</f>
        <v/>
      </c>
      <c r="W157" t="str">
        <f ca="1">IF(OR($L157&gt;W$4,W$4&gt;$L157+23),"",OFFSET(Electric!$L148,0,-'Electric Calendarize'!$L157+'Electric Calendarize'!W$4+1))</f>
        <v/>
      </c>
      <c r="X157" t="str">
        <f ca="1">IF(OR($L157&gt;X$4,X$4&gt;$L157+23),"",OFFSET(Electric!$L148,0,-'Electric Calendarize'!$L157+'Electric Calendarize'!X$4+1))</f>
        <v/>
      </c>
      <c r="Y157" t="str">
        <f ca="1">IF(OR($L157&gt;Y$4,Y$4&gt;$L157+23),"",OFFSET(Electric!$L148,0,-'Electric Calendarize'!$L157+'Electric Calendarize'!Y$4+1))</f>
        <v/>
      </c>
      <c r="Z157" t="str">
        <f ca="1">IF(OR($L157&gt;Z$4,Z$4&gt;$L157+23),"",OFFSET(Electric!$L148,0,-'Electric Calendarize'!$L157+'Electric Calendarize'!Z$4+1))</f>
        <v/>
      </c>
      <c r="AA157" t="str">
        <f ca="1">IF(OR($L157&gt;AA$4,AA$4&gt;$L157+23),"",OFFSET(Electric!$L148,0,-'Electric Calendarize'!$L157+'Electric Calendarize'!AA$4+1))</f>
        <v/>
      </c>
      <c r="AB157" t="str">
        <f ca="1">IF(OR($L157&gt;AB$4,AB$4&gt;$L157+23),"",OFFSET(Electric!$L148,0,-'Electric Calendarize'!$L157+'Electric Calendarize'!AB$4+1))</f>
        <v/>
      </c>
      <c r="AC157" t="str">
        <f ca="1">IF(OR($L157&gt;AC$4,AC$4&gt;$L157+23),"",OFFSET(Electric!$L148,0,-'Electric Calendarize'!$L157+'Electric Calendarize'!AC$4+1))</f>
        <v/>
      </c>
      <c r="AD157" t="str">
        <f ca="1">IF(OR($L157&gt;AD$4,AD$4&gt;$L157+23),"",OFFSET(Electric!$L148,0,-'Electric Calendarize'!$L157+'Electric Calendarize'!AD$4+1))</f>
        <v/>
      </c>
      <c r="AE157">
        <f ca="1">IF(OR($L157&gt;AE$4,AE$4&gt;$L157+23),"",OFFSET(Electric!$L148,0,-'Electric Calendarize'!$L157+'Electric Calendarize'!AE$4+1))</f>
        <v>0</v>
      </c>
      <c r="AF157">
        <f ca="1">IF(OR($L157&gt;AF$4,AF$4&gt;$L157+23),"",OFFSET(Electric!$L148,0,-'Electric Calendarize'!$L157+'Electric Calendarize'!AF$4+1))</f>
        <v>0</v>
      </c>
      <c r="AG157">
        <f ca="1">IF(OR($L157&gt;AG$4,AG$4&gt;$L157+23),"",OFFSET(Electric!$L148,0,-'Electric Calendarize'!$L157+'Electric Calendarize'!AG$4+1))</f>
        <v>0</v>
      </c>
      <c r="AH157">
        <f ca="1">IF(OR($L157&gt;AH$4,AH$4&gt;$L157+23),"",OFFSET(Electric!$L148,0,-'Electric Calendarize'!$L157+'Electric Calendarize'!AH$4+1))</f>
        <v>0</v>
      </c>
      <c r="AI157">
        <f ca="1">IF(OR($L157&gt;AI$4,AI$4&gt;$L157+23),"",OFFSET(Electric!$L148,0,-'Electric Calendarize'!$L157+'Electric Calendarize'!AI$4+1))</f>
        <v>0</v>
      </c>
      <c r="AJ157">
        <f ca="1">IF(OR($L157&gt;AJ$4,AJ$4&gt;$L157+23),"",OFFSET(Electric!$L148,0,-'Electric Calendarize'!$L157+'Electric Calendarize'!AJ$4+1))</f>
        <v>0</v>
      </c>
      <c r="AK157">
        <f ca="1">IF(OR($L157&gt;AK$4,AK$4&gt;$L157+23),"",OFFSET(Electric!$L148,0,-'Electric Calendarize'!$L157+'Electric Calendarize'!AK$4+1))</f>
        <v>750</v>
      </c>
      <c r="AL157">
        <f ca="1">IF(OR($L157&gt;AL$4,AL$4&gt;$L157+23),"",OFFSET(Electric!$L148,0,-'Electric Calendarize'!$L157+'Electric Calendarize'!AL$4+1))</f>
        <v>986</v>
      </c>
      <c r="AM157">
        <f ca="1">IF(OR($L157&gt;AM$4,AM$4&gt;$L157+23),"",OFFSET(Electric!$L148,0,-'Electric Calendarize'!$L157+'Electric Calendarize'!AM$4+1))</f>
        <v>642</v>
      </c>
      <c r="AN157">
        <f ca="1">IF(OR($L157&gt;AN$4,AN$4&gt;$L157+23),"",OFFSET(Electric!$L148,0,-'Electric Calendarize'!$L157+'Electric Calendarize'!AN$4+1))</f>
        <v>458</v>
      </c>
      <c r="AO157">
        <f ca="1">IF(OR($L157&gt;AO$4,AO$4&gt;$L157+23),"",OFFSET(Electric!$L148,0,-'Electric Calendarize'!$L157+'Electric Calendarize'!AO$4+1))</f>
        <v>492</v>
      </c>
      <c r="AP157">
        <f ca="1">IF(OR($L157&gt;AP$4,AP$4&gt;$L157+23),"",OFFSET(Electric!$L148,0,-'Electric Calendarize'!$L157+'Electric Calendarize'!AP$4+1))</f>
        <v>667</v>
      </c>
      <c r="AQ157">
        <f ca="1">IF(OR($L157&gt;AQ$4,AQ$4&gt;$L157+23),"",OFFSET(Electric!$L148,0,-'Electric Calendarize'!$L157+'Electric Calendarize'!AQ$4+1))</f>
        <v>755</v>
      </c>
      <c r="AR157">
        <f ca="1">IF(OR($L157&gt;AR$4,AR$4&gt;$L157+23),"",OFFSET(Electric!$L148,0,-'Electric Calendarize'!$L157+'Electric Calendarize'!AR$4+1))</f>
        <v>930</v>
      </c>
      <c r="AS157">
        <f ca="1">IF(OR($L157&gt;AS$4,AS$4&gt;$L157+23),"",OFFSET(Electric!$L148,0,-'Electric Calendarize'!$L157+'Electric Calendarize'!AS$4+1))</f>
        <v>1196</v>
      </c>
      <c r="AT157">
        <f ca="1">IF(OR($L157&gt;AT$4,AT$4&gt;$L157+23),"",OFFSET(Electric!$L148,0,-'Electric Calendarize'!$L157+'Electric Calendarize'!AT$4+1))</f>
        <v>1601</v>
      </c>
      <c r="AU157">
        <f ca="1">IF(OR($L157&gt;AU$4,AU$4&gt;$L157+23),"",OFFSET(Electric!$L148,0,-'Electric Calendarize'!$L157+'Electric Calendarize'!AU$4+1))</f>
        <v>3257</v>
      </c>
      <c r="AV157">
        <f ca="1">IF(OR($L157&gt;AV$4,AV$4&gt;$L157+23),"",OFFSET(Electric!$L148,0,-'Electric Calendarize'!$L157+'Electric Calendarize'!AV$4+1))</f>
        <v>3917</v>
      </c>
      <c r="AW157">
        <f ca="1">IF(OR($L157&gt;AW$4,AW$4&gt;$L157+23),"",OFFSET(Electric!$L148,0,-'Electric Calendarize'!$L157+'Electric Calendarize'!AW$4+1))</f>
        <v>3320</v>
      </c>
      <c r="AX157">
        <f ca="1">IF(OR($L157&gt;AX$4,AX$4&gt;$L157+23),"",OFFSET(Electric!$L148,0,-'Electric Calendarize'!$L157+'Electric Calendarize'!AX$4+1))</f>
        <v>2919</v>
      </c>
      <c r="AY157">
        <f ca="1">IF(OR($L157&gt;AY$4,AY$4&gt;$L157+23),"",OFFSET(Electric!$L148,0,-'Electric Calendarize'!$L157+'Electric Calendarize'!AY$4+1))</f>
        <v>1993</v>
      </c>
      <c r="AZ157">
        <f ca="1">IF(OR($L157&gt;AZ$4,AZ$4&gt;$L157+23),"",OFFSET(Electric!$L148,0,-'Electric Calendarize'!$L157+'Electric Calendarize'!AZ$4+1))</f>
        <v>1264</v>
      </c>
      <c r="BA157">
        <f ca="1">IF(OR($L157&gt;BA$4,BA$4&gt;$L157+23),"",OFFSET(Electric!$L148,0,-'Electric Calendarize'!$L157+'Electric Calendarize'!BA$4+1))</f>
        <v>1270</v>
      </c>
      <c r="BB157">
        <f ca="1">IF(OR($L157&gt;BB$4,BB$4&gt;$L157+23),"",OFFSET(Electric!$L148,0,-'Electric Calendarize'!$L157+'Electric Calendarize'!BB$4+1))</f>
        <v>1556</v>
      </c>
      <c r="BC157" t="str">
        <f ca="1">IF(OR($L157&gt;BC$4,BC$4&gt;$L157+23),"",OFFSET(Electric!$L148,0,-'Electric Calendarize'!$L157+'Electric Calendarize'!BC$4+1))</f>
        <v/>
      </c>
      <c r="BD157" t="str">
        <f ca="1">IF(OR($L157&gt;BD$4,BD$4&gt;$L157+23),"",OFFSET(Electric!$L148,0,-'Electric Calendarize'!$L157+'Electric Calendarize'!BD$4+1))</f>
        <v/>
      </c>
      <c r="BE157" t="str">
        <f ca="1">IF(OR($L157&gt;BE$4,BE$4&gt;$L157+23),"",OFFSET(Electric!$L148,0,-'Electric Calendarize'!$L157+'Electric Calendarize'!BE$4+1))</f>
        <v/>
      </c>
      <c r="BF157" t="str">
        <f ca="1">IF(OR($L157&gt;BF$4,BF$4&gt;$L157+23),"",OFFSET(Electric!$L148,0,-'Electric Calendarize'!$L157+'Electric Calendarize'!BF$4+1))</f>
        <v/>
      </c>
      <c r="BG157" t="str">
        <f ca="1">IF(OR($L157&gt;BG$4,BG$4&gt;$L157+23),"",OFFSET(Electric!$L148,0,-'Electric Calendarize'!$L157+'Electric Calendarize'!BG$4+1))</f>
        <v/>
      </c>
      <c r="BJ157" s="10" t="s">
        <v>37</v>
      </c>
      <c r="BK157">
        <f t="shared" si="411"/>
        <v>1</v>
      </c>
      <c r="BL157">
        <f t="shared" si="317"/>
        <v>0</v>
      </c>
      <c r="BM157">
        <f t="shared" si="318"/>
        <v>0</v>
      </c>
      <c r="BN157">
        <f t="shared" si="319"/>
        <v>0</v>
      </c>
      <c r="BO157">
        <f t="shared" si="320"/>
        <v>0</v>
      </c>
      <c r="BP157">
        <f t="shared" si="321"/>
        <v>0</v>
      </c>
      <c r="BQ157">
        <f t="shared" si="322"/>
        <v>0</v>
      </c>
      <c r="BR157">
        <f t="shared" si="323"/>
        <v>1</v>
      </c>
      <c r="BS157">
        <f t="shared" si="324"/>
        <v>1</v>
      </c>
      <c r="BT157">
        <f t="shared" si="325"/>
        <v>1</v>
      </c>
      <c r="BU157">
        <f t="shared" si="326"/>
        <v>1</v>
      </c>
      <c r="BV157">
        <f t="shared" si="327"/>
        <v>1</v>
      </c>
      <c r="BW157">
        <f t="shared" si="328"/>
        <v>1</v>
      </c>
      <c r="BX157">
        <f t="shared" si="329"/>
        <v>0</v>
      </c>
      <c r="BY157">
        <f t="shared" si="330"/>
        <v>0</v>
      </c>
      <c r="BZ157">
        <f t="shared" si="331"/>
        <v>0</v>
      </c>
      <c r="CA157">
        <f t="shared" si="332"/>
        <v>0</v>
      </c>
      <c r="CB157">
        <f t="shared" si="333"/>
        <v>0</v>
      </c>
      <c r="CC157">
        <f t="shared" si="334"/>
        <v>0</v>
      </c>
      <c r="CD157">
        <f t="shared" si="335"/>
        <v>1</v>
      </c>
      <c r="CE157">
        <f t="shared" si="336"/>
        <v>1</v>
      </c>
      <c r="CF157">
        <f t="shared" si="337"/>
        <v>1</v>
      </c>
      <c r="CG157">
        <f t="shared" si="338"/>
        <v>1</v>
      </c>
      <c r="CH157">
        <f t="shared" si="339"/>
        <v>1</v>
      </c>
      <c r="CI157">
        <f t="shared" si="340"/>
        <v>1</v>
      </c>
      <c r="CJ157">
        <f t="shared" si="341"/>
        <v>0</v>
      </c>
      <c r="CK157">
        <f t="shared" si="342"/>
        <v>0</v>
      </c>
      <c r="CL157">
        <f t="shared" si="343"/>
        <v>0</v>
      </c>
      <c r="CM157">
        <f t="shared" si="344"/>
        <v>0</v>
      </c>
      <c r="CN157">
        <f t="shared" si="345"/>
        <v>0</v>
      </c>
      <c r="CO157">
        <f t="shared" si="346"/>
        <v>0</v>
      </c>
      <c r="CP157">
        <f t="shared" si="347"/>
        <v>1</v>
      </c>
      <c r="CQ157">
        <f t="shared" si="348"/>
        <v>1</v>
      </c>
      <c r="CR157">
        <f t="shared" si="349"/>
        <v>1</v>
      </c>
      <c r="CS157">
        <f t="shared" si="350"/>
        <v>1</v>
      </c>
      <c r="CT157">
        <f t="shared" si="351"/>
        <v>1</v>
      </c>
      <c r="CU157">
        <f t="shared" si="352"/>
        <v>1</v>
      </c>
      <c r="CV157">
        <f t="shared" si="353"/>
        <v>0</v>
      </c>
      <c r="CW157">
        <f t="shared" si="354"/>
        <v>0</v>
      </c>
      <c r="CX157">
        <f t="shared" si="355"/>
        <v>0</v>
      </c>
      <c r="CY157">
        <f t="shared" si="356"/>
        <v>0</v>
      </c>
      <c r="CZ157">
        <f t="shared" si="357"/>
        <v>0</v>
      </c>
      <c r="DA157">
        <f t="shared" si="358"/>
        <v>0</v>
      </c>
      <c r="DB157">
        <f t="shared" si="359"/>
        <v>1</v>
      </c>
      <c r="DC157">
        <f t="shared" si="360"/>
        <v>1</v>
      </c>
      <c r="DF157" s="10" t="s">
        <v>37</v>
      </c>
      <c r="DG157" t="str">
        <f t="shared" si="416"/>
        <v>2022_8</v>
      </c>
      <c r="DH157" t="str">
        <f t="shared" si="416"/>
        <v>2022_8</v>
      </c>
      <c r="DI157" t="str">
        <f t="shared" si="416"/>
        <v>2022_8</v>
      </c>
      <c r="DJ157" t="str">
        <f t="shared" si="416"/>
        <v>2022_8</v>
      </c>
      <c r="DK157" t="str">
        <f t="shared" si="416"/>
        <v>2022_8</v>
      </c>
      <c r="DL157" t="str">
        <f t="shared" si="416"/>
        <v>2022_8</v>
      </c>
      <c r="DM157" t="str">
        <f t="shared" si="416"/>
        <v>2022_8</v>
      </c>
      <c r="DN157" t="str">
        <f t="shared" si="416"/>
        <v>2022_8</v>
      </c>
      <c r="DO157" t="str">
        <f t="shared" si="416"/>
        <v>2022_8</v>
      </c>
      <c r="DP157" t="str">
        <f t="shared" si="416"/>
        <v>2022_8</v>
      </c>
      <c r="DQ157" t="str">
        <f t="shared" si="416"/>
        <v>2022_8</v>
      </c>
      <c r="DR157" t="str">
        <f t="shared" si="416"/>
        <v>2022_8</v>
      </c>
      <c r="DS157" t="str">
        <f t="shared" si="416"/>
        <v>2022_8</v>
      </c>
      <c r="DT157" t="str">
        <f t="shared" si="416"/>
        <v>2022_8</v>
      </c>
      <c r="DU157" t="str">
        <f t="shared" si="416"/>
        <v>2022_8</v>
      </c>
      <c r="DV157" t="str">
        <f t="shared" si="416"/>
        <v>2022_8</v>
      </c>
      <c r="DW157" t="str">
        <f t="shared" si="415"/>
        <v>2022_8</v>
      </c>
      <c r="DX157" t="str">
        <f t="shared" si="415"/>
        <v>2022_8</v>
      </c>
      <c r="DY157" t="str">
        <f t="shared" si="415"/>
        <v>2022_8</v>
      </c>
      <c r="DZ157" t="str">
        <f t="shared" si="415"/>
        <v>2022_8</v>
      </c>
      <c r="EA157" t="str">
        <f t="shared" si="415"/>
        <v>2022_8</v>
      </c>
      <c r="EB157" t="str">
        <f t="shared" si="415"/>
        <v>2022_8</v>
      </c>
      <c r="EC157" t="str">
        <f t="shared" si="415"/>
        <v>2022_8</v>
      </c>
      <c r="ED157" t="str">
        <f t="shared" si="415"/>
        <v>2022_8</v>
      </c>
      <c r="EE157" t="str">
        <f t="shared" si="415"/>
        <v>2022_8</v>
      </c>
      <c r="EF157" t="str">
        <f t="shared" si="415"/>
        <v>2022_8</v>
      </c>
      <c r="EG157" t="str">
        <f t="shared" si="415"/>
        <v>2022_8</v>
      </c>
      <c r="EH157" t="str">
        <f t="shared" si="415"/>
        <v>2022_8</v>
      </c>
      <c r="EI157" t="str">
        <f t="shared" si="415"/>
        <v>2022_8</v>
      </c>
      <c r="EJ157" t="str">
        <f t="shared" si="415"/>
        <v>2022_8</v>
      </c>
      <c r="EK157" t="str">
        <f t="shared" si="414"/>
        <v>2022_8</v>
      </c>
      <c r="EL157" t="str">
        <f t="shared" si="414"/>
        <v>2022_8</v>
      </c>
      <c r="EM157" t="str">
        <f t="shared" si="414"/>
        <v>2022_8</v>
      </c>
      <c r="EN157" t="str">
        <f t="shared" si="414"/>
        <v>2022_8</v>
      </c>
      <c r="EO157" t="str">
        <f t="shared" si="414"/>
        <v>2022_8</v>
      </c>
      <c r="EP157" t="str">
        <f t="shared" si="414"/>
        <v>2022_8</v>
      </c>
      <c r="EQ157" t="str">
        <f t="shared" si="414"/>
        <v>2022_8</v>
      </c>
      <c r="ER157" t="str">
        <f t="shared" si="414"/>
        <v>2022_8</v>
      </c>
      <c r="ES157" t="str">
        <f t="shared" si="414"/>
        <v>2022_8</v>
      </c>
      <c r="ET157" t="str">
        <f t="shared" si="414"/>
        <v>2022_8</v>
      </c>
      <c r="EU157" t="str">
        <f t="shared" si="414"/>
        <v>2022_8</v>
      </c>
      <c r="EV157" t="str">
        <f t="shared" si="414"/>
        <v>2022_8</v>
      </c>
      <c r="EW157" t="str">
        <f t="shared" si="414"/>
        <v>2022_8</v>
      </c>
      <c r="EX157" t="str">
        <f t="shared" si="414"/>
        <v>2022_8</v>
      </c>
      <c r="EY157" t="str">
        <f t="shared" si="414"/>
        <v>2022_8</v>
      </c>
      <c r="FB157" s="10" t="s">
        <v>37</v>
      </c>
      <c r="FC157">
        <f t="shared" si="413"/>
        <v>0</v>
      </c>
      <c r="FD157">
        <f t="shared" si="363"/>
        <v>0</v>
      </c>
      <c r="FE157">
        <f t="shared" si="364"/>
        <v>0</v>
      </c>
      <c r="FF157">
        <f t="shared" si="365"/>
        <v>0</v>
      </c>
      <c r="FG157">
        <f t="shared" si="366"/>
        <v>0</v>
      </c>
      <c r="FH157">
        <f t="shared" si="367"/>
        <v>0</v>
      </c>
      <c r="FI157">
        <f t="shared" si="368"/>
        <v>0</v>
      </c>
      <c r="FJ157">
        <f t="shared" si="369"/>
        <v>0</v>
      </c>
      <c r="FK157">
        <f t="shared" si="370"/>
        <v>0</v>
      </c>
      <c r="FL157">
        <f t="shared" si="371"/>
        <v>0</v>
      </c>
      <c r="FM157">
        <f t="shared" si="372"/>
        <v>0</v>
      </c>
      <c r="FN157">
        <f t="shared" si="373"/>
        <v>0</v>
      </c>
      <c r="FO157">
        <f t="shared" si="374"/>
        <v>0</v>
      </c>
      <c r="FP157">
        <f t="shared" si="375"/>
        <v>0</v>
      </c>
      <c r="FQ157">
        <f t="shared" si="376"/>
        <v>0</v>
      </c>
      <c r="FR157">
        <f t="shared" si="377"/>
        <v>0</v>
      </c>
      <c r="FS157">
        <f t="shared" si="378"/>
        <v>0</v>
      </c>
      <c r="FT157">
        <f t="shared" si="379"/>
        <v>0</v>
      </c>
      <c r="FU157">
        <f t="shared" si="380"/>
        <v>0</v>
      </c>
      <c r="FV157">
        <f t="shared" si="381"/>
        <v>0</v>
      </c>
      <c r="FW157">
        <f t="shared" si="382"/>
        <v>0</v>
      </c>
      <c r="FX157">
        <f t="shared" si="383"/>
        <v>0</v>
      </c>
      <c r="FY157">
        <f t="shared" si="384"/>
        <v>0</v>
      </c>
      <c r="FZ157">
        <f t="shared" si="385"/>
        <v>0</v>
      </c>
      <c r="GA157">
        <f t="shared" si="386"/>
        <v>0</v>
      </c>
      <c r="GB157">
        <f t="shared" si="387"/>
        <v>0</v>
      </c>
      <c r="GC157">
        <f t="shared" si="388"/>
        <v>0</v>
      </c>
      <c r="GD157">
        <f t="shared" si="389"/>
        <v>0</v>
      </c>
      <c r="GE157">
        <f t="shared" si="390"/>
        <v>1</v>
      </c>
      <c r="GF157">
        <f t="shared" si="391"/>
        <v>1</v>
      </c>
      <c r="GG157">
        <f t="shared" si="392"/>
        <v>1</v>
      </c>
      <c r="GH157">
        <f t="shared" si="393"/>
        <v>1</v>
      </c>
      <c r="GI157">
        <f t="shared" si="394"/>
        <v>1</v>
      </c>
      <c r="GJ157">
        <f t="shared" si="395"/>
        <v>1</v>
      </c>
      <c r="GK157">
        <f t="shared" si="396"/>
        <v>1</v>
      </c>
      <c r="GL157">
        <f t="shared" si="397"/>
        <v>1</v>
      </c>
      <c r="GM157">
        <f t="shared" si="398"/>
        <v>1</v>
      </c>
      <c r="GN157">
        <f t="shared" si="399"/>
        <v>1</v>
      </c>
      <c r="GO157">
        <f t="shared" si="400"/>
        <v>1</v>
      </c>
      <c r="GP157">
        <f t="shared" si="401"/>
        <v>1</v>
      </c>
      <c r="GQ157">
        <f t="shared" si="402"/>
        <v>1</v>
      </c>
      <c r="GR157">
        <f t="shared" si="403"/>
        <v>1</v>
      </c>
      <c r="GS157">
        <f t="shared" si="404"/>
        <v>1</v>
      </c>
      <c r="GT157">
        <f t="shared" si="405"/>
        <v>1</v>
      </c>
      <c r="GU157">
        <f t="shared" si="406"/>
        <v>1</v>
      </c>
      <c r="GX157" s="10"/>
    </row>
    <row r="158" spans="1:206" x14ac:dyDescent="0.3">
      <c r="A158" t="s">
        <v>124</v>
      </c>
      <c r="B158" s="83"/>
      <c r="C158">
        <v>3130904000</v>
      </c>
      <c r="D158" t="s">
        <v>362</v>
      </c>
      <c r="E158" t="s">
        <v>39</v>
      </c>
      <c r="F158" t="s">
        <v>35</v>
      </c>
      <c r="G158" t="s">
        <v>189</v>
      </c>
      <c r="H158" s="10">
        <v>44782</v>
      </c>
      <c r="I158" s="9">
        <f t="shared" si="407"/>
        <v>2022</v>
      </c>
      <c r="J158" s="9">
        <f t="shared" si="408"/>
        <v>8</v>
      </c>
      <c r="K158" s="9" t="str">
        <f t="shared" si="409"/>
        <v>2022_8</v>
      </c>
      <c r="L158">
        <f>MAX(0,VLOOKUP($K158,lookups!$A$1:$B$45,2,0)-12)</f>
        <v>16</v>
      </c>
      <c r="M158" s="40">
        <f t="shared" si="410"/>
        <v>44774</v>
      </c>
      <c r="N158" s="10" t="s">
        <v>37</v>
      </c>
      <c r="O158" t="str">
        <f ca="1">IF(OR($L158&gt;O$4,O$4&gt;$L158+23),"",OFFSET(Electric!$L149,0,-'Electric Calendarize'!$L158+'Electric Calendarize'!O$4+1))</f>
        <v/>
      </c>
      <c r="P158" t="str">
        <f ca="1">IF(OR($L158&gt;P$4,P$4&gt;$L158+23),"",OFFSET(Electric!$L149,0,-'Electric Calendarize'!$L158+'Electric Calendarize'!P$4+1))</f>
        <v/>
      </c>
      <c r="Q158" t="str">
        <f ca="1">IF(OR($L158&gt;Q$4,Q$4&gt;$L158+23),"",OFFSET(Electric!$L149,0,-'Electric Calendarize'!$L158+'Electric Calendarize'!Q$4+1))</f>
        <v/>
      </c>
      <c r="R158" t="str">
        <f ca="1">IF(OR($L158&gt;R$4,R$4&gt;$L158+23),"",OFFSET(Electric!$L149,0,-'Electric Calendarize'!$L158+'Electric Calendarize'!R$4+1))</f>
        <v/>
      </c>
      <c r="S158" t="str">
        <f ca="1">IF(OR($L158&gt;S$4,S$4&gt;$L158+23),"",OFFSET(Electric!$L149,0,-'Electric Calendarize'!$L158+'Electric Calendarize'!S$4+1))</f>
        <v/>
      </c>
      <c r="T158" t="str">
        <f ca="1">IF(OR($L158&gt;T$4,T$4&gt;$L158+23),"",OFFSET(Electric!$L149,0,-'Electric Calendarize'!$L158+'Electric Calendarize'!T$4+1))</f>
        <v/>
      </c>
      <c r="U158" t="str">
        <f ca="1">IF(OR($L158&gt;U$4,U$4&gt;$L158+23),"",OFFSET(Electric!$L149,0,-'Electric Calendarize'!$L158+'Electric Calendarize'!U$4+1))</f>
        <v/>
      </c>
      <c r="V158" t="str">
        <f ca="1">IF(OR($L158&gt;V$4,V$4&gt;$L158+23),"",OFFSET(Electric!$L149,0,-'Electric Calendarize'!$L158+'Electric Calendarize'!V$4+1))</f>
        <v/>
      </c>
      <c r="W158" t="str">
        <f ca="1">IF(OR($L158&gt;W$4,W$4&gt;$L158+23),"",OFFSET(Electric!$L149,0,-'Electric Calendarize'!$L158+'Electric Calendarize'!W$4+1))</f>
        <v/>
      </c>
      <c r="X158" t="str">
        <f ca="1">IF(OR($L158&gt;X$4,X$4&gt;$L158+23),"",OFFSET(Electric!$L149,0,-'Electric Calendarize'!$L158+'Electric Calendarize'!X$4+1))</f>
        <v/>
      </c>
      <c r="Y158" t="str">
        <f ca="1">IF(OR($L158&gt;Y$4,Y$4&gt;$L158+23),"",OFFSET(Electric!$L149,0,-'Electric Calendarize'!$L158+'Electric Calendarize'!Y$4+1))</f>
        <v/>
      </c>
      <c r="Z158" t="str">
        <f ca="1">IF(OR($L158&gt;Z$4,Z$4&gt;$L158+23),"",OFFSET(Electric!$L149,0,-'Electric Calendarize'!$L158+'Electric Calendarize'!Z$4+1))</f>
        <v/>
      </c>
      <c r="AA158" t="str">
        <f ca="1">IF(OR($L158&gt;AA$4,AA$4&gt;$L158+23),"",OFFSET(Electric!$L149,0,-'Electric Calendarize'!$L158+'Electric Calendarize'!AA$4+1))</f>
        <v/>
      </c>
      <c r="AB158" t="str">
        <f ca="1">IF(OR($L158&gt;AB$4,AB$4&gt;$L158+23),"",OFFSET(Electric!$L149,0,-'Electric Calendarize'!$L158+'Electric Calendarize'!AB$4+1))</f>
        <v/>
      </c>
      <c r="AC158" t="str">
        <f ca="1">IF(OR($L158&gt;AC$4,AC$4&gt;$L158+23),"",OFFSET(Electric!$L149,0,-'Electric Calendarize'!$L158+'Electric Calendarize'!AC$4+1))</f>
        <v/>
      </c>
      <c r="AD158" t="str">
        <f ca="1">IF(OR($L158&gt;AD$4,AD$4&gt;$L158+23),"",OFFSET(Electric!$L149,0,-'Electric Calendarize'!$L158+'Electric Calendarize'!AD$4+1))</f>
        <v/>
      </c>
      <c r="AE158">
        <f ca="1">IF(OR($L158&gt;AE$4,AE$4&gt;$L158+23),"",OFFSET(Electric!$L149,0,-'Electric Calendarize'!$L158+'Electric Calendarize'!AE$4+1))</f>
        <v>1677</v>
      </c>
      <c r="AF158">
        <f ca="1">IF(OR($L158&gt;AF$4,AF$4&gt;$L158+23),"",OFFSET(Electric!$L149,0,-'Electric Calendarize'!$L158+'Electric Calendarize'!AF$4+1))</f>
        <v>1411</v>
      </c>
      <c r="AG158">
        <f ca="1">IF(OR($L158&gt;AG$4,AG$4&gt;$L158+23),"",OFFSET(Electric!$L149,0,-'Electric Calendarize'!$L158+'Electric Calendarize'!AG$4+1))</f>
        <v>1140</v>
      </c>
      <c r="AH158">
        <f ca="1">IF(OR($L158&gt;AH$4,AH$4&gt;$L158+23),"",OFFSET(Electric!$L149,0,-'Electric Calendarize'!$L158+'Electric Calendarize'!AH$4+1))</f>
        <v>1189</v>
      </c>
      <c r="AI158">
        <f ca="1">IF(OR($L158&gt;AI$4,AI$4&gt;$L158+23),"",OFFSET(Electric!$L149,0,-'Electric Calendarize'!$L158+'Electric Calendarize'!AI$4+1))</f>
        <v>994</v>
      </c>
      <c r="AJ158">
        <f ca="1">IF(OR($L158&gt;AJ$4,AJ$4&gt;$L158+23),"",OFFSET(Electric!$L149,0,-'Electric Calendarize'!$L158+'Electric Calendarize'!AJ$4+1))</f>
        <v>1084</v>
      </c>
      <c r="AK158">
        <f ca="1">IF(OR($L158&gt;AK$4,AK$4&gt;$L158+23),"",OFFSET(Electric!$L149,0,-'Electric Calendarize'!$L158+'Electric Calendarize'!AK$4+1))</f>
        <v>897</v>
      </c>
      <c r="AL158">
        <f ca="1">IF(OR($L158&gt;AL$4,AL$4&gt;$L158+23),"",OFFSET(Electric!$L149,0,-'Electric Calendarize'!$L158+'Electric Calendarize'!AL$4+1))</f>
        <v>961</v>
      </c>
      <c r="AM158">
        <f ca="1">IF(OR($L158&gt;AM$4,AM$4&gt;$L158+23),"",OFFSET(Electric!$L149,0,-'Electric Calendarize'!$L158+'Electric Calendarize'!AM$4+1))</f>
        <v>927</v>
      </c>
      <c r="AN158">
        <f ca="1">IF(OR($L158&gt;AN$4,AN$4&gt;$L158+23),"",OFFSET(Electric!$L149,0,-'Electric Calendarize'!$L158+'Electric Calendarize'!AN$4+1))</f>
        <v>1251</v>
      </c>
      <c r="AO158">
        <f ca="1">IF(OR($L158&gt;AO$4,AO$4&gt;$L158+23),"",OFFSET(Electric!$L149,0,-'Electric Calendarize'!$L158+'Electric Calendarize'!AO$4+1))</f>
        <v>1318</v>
      </c>
      <c r="AP158">
        <f ca="1">IF(OR($L158&gt;AP$4,AP$4&gt;$L158+23),"",OFFSET(Electric!$L149,0,-'Electric Calendarize'!$L158+'Electric Calendarize'!AP$4+1))</f>
        <v>1656</v>
      </c>
      <c r="AQ158">
        <f ca="1">IF(OR($L158&gt;AQ$4,AQ$4&gt;$L158+23),"",OFFSET(Electric!$L149,0,-'Electric Calendarize'!$L158+'Electric Calendarize'!AQ$4+1))</f>
        <v>1735</v>
      </c>
      <c r="AR158">
        <f ca="1">IF(OR($L158&gt;AR$4,AR$4&gt;$L158+23),"",OFFSET(Electric!$L149,0,-'Electric Calendarize'!$L158+'Electric Calendarize'!AR$4+1))</f>
        <v>1588</v>
      </c>
      <c r="AS158">
        <f ca="1">IF(OR($L158&gt;AS$4,AS$4&gt;$L158+23),"",OFFSET(Electric!$L149,0,-'Electric Calendarize'!$L158+'Electric Calendarize'!AS$4+1))</f>
        <v>1187</v>
      </c>
      <c r="AT158">
        <f ca="1">IF(OR($L158&gt;AT$4,AT$4&gt;$L158+23),"",OFFSET(Electric!$L149,0,-'Electric Calendarize'!$L158+'Electric Calendarize'!AT$4+1))</f>
        <v>1461</v>
      </c>
      <c r="AU158">
        <f ca="1">IF(OR($L158&gt;AU$4,AU$4&gt;$L158+23),"",OFFSET(Electric!$L149,0,-'Electric Calendarize'!$L158+'Electric Calendarize'!AU$4+1))</f>
        <v>1734</v>
      </c>
      <c r="AV158">
        <f ca="1">IF(OR($L158&gt;AV$4,AV$4&gt;$L158+23),"",OFFSET(Electric!$L149,0,-'Electric Calendarize'!$L158+'Electric Calendarize'!AV$4+1))</f>
        <v>2385</v>
      </c>
      <c r="AW158">
        <f ca="1">IF(OR($L158&gt;AW$4,AW$4&gt;$L158+23),"",OFFSET(Electric!$L149,0,-'Electric Calendarize'!$L158+'Electric Calendarize'!AW$4+1))</f>
        <v>2145</v>
      </c>
      <c r="AX158">
        <f ca="1">IF(OR($L158&gt;AX$4,AX$4&gt;$L158+23),"",OFFSET(Electric!$L149,0,-'Electric Calendarize'!$L158+'Electric Calendarize'!AX$4+1))</f>
        <v>1652</v>
      </c>
      <c r="AY158">
        <f ca="1">IF(OR($L158&gt;AY$4,AY$4&gt;$L158+23),"",OFFSET(Electric!$L149,0,-'Electric Calendarize'!$L158+'Electric Calendarize'!AY$4+1))</f>
        <v>1332</v>
      </c>
      <c r="AZ158">
        <f ca="1">IF(OR($L158&gt;AZ$4,AZ$4&gt;$L158+23),"",OFFSET(Electric!$L149,0,-'Electric Calendarize'!$L158+'Electric Calendarize'!AZ$4+1))</f>
        <v>1016</v>
      </c>
      <c r="BA158">
        <f ca="1">IF(OR($L158&gt;BA$4,BA$4&gt;$L158+23),"",OFFSET(Electric!$L149,0,-'Electric Calendarize'!$L158+'Electric Calendarize'!BA$4+1))</f>
        <v>919</v>
      </c>
      <c r="BB158">
        <f ca="1">IF(OR($L158&gt;BB$4,BB$4&gt;$L158+23),"",OFFSET(Electric!$L149,0,-'Electric Calendarize'!$L158+'Electric Calendarize'!BB$4+1))</f>
        <v>1386</v>
      </c>
      <c r="BC158" t="str">
        <f ca="1">IF(OR($L158&gt;BC$4,BC$4&gt;$L158+23),"",OFFSET(Electric!$L149,0,-'Electric Calendarize'!$L158+'Electric Calendarize'!BC$4+1))</f>
        <v/>
      </c>
      <c r="BD158" t="str">
        <f ca="1">IF(OR($L158&gt;BD$4,BD$4&gt;$L158+23),"",OFFSET(Electric!$L149,0,-'Electric Calendarize'!$L158+'Electric Calendarize'!BD$4+1))</f>
        <v/>
      </c>
      <c r="BE158" t="str">
        <f ca="1">IF(OR($L158&gt;BE$4,BE$4&gt;$L158+23),"",OFFSET(Electric!$L149,0,-'Electric Calendarize'!$L158+'Electric Calendarize'!BE$4+1))</f>
        <v/>
      </c>
      <c r="BF158" t="str">
        <f ca="1">IF(OR($L158&gt;BF$4,BF$4&gt;$L158+23),"",OFFSET(Electric!$L149,0,-'Electric Calendarize'!$L158+'Electric Calendarize'!BF$4+1))</f>
        <v/>
      </c>
      <c r="BG158" t="str">
        <f ca="1">IF(OR($L158&gt;BG$4,BG$4&gt;$L158+23),"",OFFSET(Electric!$L149,0,-'Electric Calendarize'!$L158+'Electric Calendarize'!BG$4+1))</f>
        <v/>
      </c>
      <c r="BJ158" s="10" t="s">
        <v>37</v>
      </c>
      <c r="BK158">
        <f t="shared" si="411"/>
        <v>1</v>
      </c>
      <c r="BL158">
        <f t="shared" si="317"/>
        <v>0</v>
      </c>
      <c r="BM158">
        <f t="shared" si="318"/>
        <v>0</v>
      </c>
      <c r="BN158">
        <f t="shared" si="319"/>
        <v>0</v>
      </c>
      <c r="BO158">
        <f t="shared" si="320"/>
        <v>0</v>
      </c>
      <c r="BP158">
        <f t="shared" si="321"/>
        <v>0</v>
      </c>
      <c r="BQ158">
        <f t="shared" si="322"/>
        <v>0</v>
      </c>
      <c r="BR158">
        <f t="shared" si="323"/>
        <v>1</v>
      </c>
      <c r="BS158">
        <f t="shared" si="324"/>
        <v>1</v>
      </c>
      <c r="BT158">
        <f t="shared" si="325"/>
        <v>1</v>
      </c>
      <c r="BU158">
        <f t="shared" si="326"/>
        <v>1</v>
      </c>
      <c r="BV158">
        <f t="shared" si="327"/>
        <v>1</v>
      </c>
      <c r="BW158">
        <f t="shared" si="328"/>
        <v>1</v>
      </c>
      <c r="BX158">
        <f t="shared" si="329"/>
        <v>0</v>
      </c>
      <c r="BY158">
        <f t="shared" si="330"/>
        <v>0</v>
      </c>
      <c r="BZ158">
        <f t="shared" si="331"/>
        <v>0</v>
      </c>
      <c r="CA158">
        <f t="shared" si="332"/>
        <v>0</v>
      </c>
      <c r="CB158">
        <f t="shared" si="333"/>
        <v>0</v>
      </c>
      <c r="CC158">
        <f t="shared" si="334"/>
        <v>0</v>
      </c>
      <c r="CD158">
        <f t="shared" si="335"/>
        <v>1</v>
      </c>
      <c r="CE158">
        <f t="shared" si="336"/>
        <v>1</v>
      </c>
      <c r="CF158">
        <f t="shared" si="337"/>
        <v>1</v>
      </c>
      <c r="CG158">
        <f t="shared" si="338"/>
        <v>1</v>
      </c>
      <c r="CH158">
        <f t="shared" si="339"/>
        <v>1</v>
      </c>
      <c r="CI158">
        <f t="shared" si="340"/>
        <v>1</v>
      </c>
      <c r="CJ158">
        <f t="shared" si="341"/>
        <v>0</v>
      </c>
      <c r="CK158">
        <f t="shared" si="342"/>
        <v>0</v>
      </c>
      <c r="CL158">
        <f t="shared" si="343"/>
        <v>0</v>
      </c>
      <c r="CM158">
        <f t="shared" si="344"/>
        <v>0</v>
      </c>
      <c r="CN158">
        <f t="shared" si="345"/>
        <v>0</v>
      </c>
      <c r="CO158">
        <f t="shared" si="346"/>
        <v>0</v>
      </c>
      <c r="CP158">
        <f t="shared" si="347"/>
        <v>1</v>
      </c>
      <c r="CQ158">
        <f t="shared" si="348"/>
        <v>1</v>
      </c>
      <c r="CR158">
        <f t="shared" si="349"/>
        <v>1</v>
      </c>
      <c r="CS158">
        <f t="shared" si="350"/>
        <v>1</v>
      </c>
      <c r="CT158">
        <f t="shared" si="351"/>
        <v>1</v>
      </c>
      <c r="CU158">
        <f t="shared" si="352"/>
        <v>1</v>
      </c>
      <c r="CV158">
        <f t="shared" si="353"/>
        <v>0</v>
      </c>
      <c r="CW158">
        <f t="shared" si="354"/>
        <v>0</v>
      </c>
      <c r="CX158">
        <f t="shared" si="355"/>
        <v>0</v>
      </c>
      <c r="CY158">
        <f t="shared" si="356"/>
        <v>0</v>
      </c>
      <c r="CZ158">
        <f t="shared" si="357"/>
        <v>0</v>
      </c>
      <c r="DA158">
        <f t="shared" si="358"/>
        <v>0</v>
      </c>
      <c r="DB158">
        <f t="shared" si="359"/>
        <v>1</v>
      </c>
      <c r="DC158">
        <f t="shared" si="360"/>
        <v>1</v>
      </c>
      <c r="DF158" s="10" t="s">
        <v>37</v>
      </c>
      <c r="DG158" t="str">
        <f t="shared" si="416"/>
        <v>2022_8</v>
      </c>
      <c r="DH158" t="str">
        <f t="shared" si="416"/>
        <v>2022_8</v>
      </c>
      <c r="DI158" t="str">
        <f t="shared" si="416"/>
        <v>2022_8</v>
      </c>
      <c r="DJ158" t="str">
        <f t="shared" si="416"/>
        <v>2022_8</v>
      </c>
      <c r="DK158" t="str">
        <f t="shared" si="416"/>
        <v>2022_8</v>
      </c>
      <c r="DL158" t="str">
        <f t="shared" si="416"/>
        <v>2022_8</v>
      </c>
      <c r="DM158" t="str">
        <f t="shared" si="416"/>
        <v>2022_8</v>
      </c>
      <c r="DN158" t="str">
        <f t="shared" si="416"/>
        <v>2022_8</v>
      </c>
      <c r="DO158" t="str">
        <f t="shared" si="416"/>
        <v>2022_8</v>
      </c>
      <c r="DP158" t="str">
        <f t="shared" si="416"/>
        <v>2022_8</v>
      </c>
      <c r="DQ158" t="str">
        <f t="shared" si="416"/>
        <v>2022_8</v>
      </c>
      <c r="DR158" t="str">
        <f t="shared" si="416"/>
        <v>2022_8</v>
      </c>
      <c r="DS158" t="str">
        <f t="shared" si="416"/>
        <v>2022_8</v>
      </c>
      <c r="DT158" t="str">
        <f t="shared" si="416"/>
        <v>2022_8</v>
      </c>
      <c r="DU158" t="str">
        <f t="shared" si="416"/>
        <v>2022_8</v>
      </c>
      <c r="DV158" t="str">
        <f t="shared" si="416"/>
        <v>2022_8</v>
      </c>
      <c r="DW158" t="str">
        <f t="shared" si="415"/>
        <v>2022_8</v>
      </c>
      <c r="DX158" t="str">
        <f t="shared" si="415"/>
        <v>2022_8</v>
      </c>
      <c r="DY158" t="str">
        <f t="shared" si="415"/>
        <v>2022_8</v>
      </c>
      <c r="DZ158" t="str">
        <f t="shared" si="415"/>
        <v>2022_8</v>
      </c>
      <c r="EA158" t="str">
        <f t="shared" si="415"/>
        <v>2022_8</v>
      </c>
      <c r="EB158" t="str">
        <f t="shared" si="415"/>
        <v>2022_8</v>
      </c>
      <c r="EC158" t="str">
        <f t="shared" si="415"/>
        <v>2022_8</v>
      </c>
      <c r="ED158" t="str">
        <f t="shared" si="415"/>
        <v>2022_8</v>
      </c>
      <c r="EE158" t="str">
        <f t="shared" si="415"/>
        <v>2022_8</v>
      </c>
      <c r="EF158" t="str">
        <f t="shared" si="415"/>
        <v>2022_8</v>
      </c>
      <c r="EG158" t="str">
        <f t="shared" si="415"/>
        <v>2022_8</v>
      </c>
      <c r="EH158" t="str">
        <f t="shared" si="415"/>
        <v>2022_8</v>
      </c>
      <c r="EI158" t="str">
        <f t="shared" si="415"/>
        <v>2022_8</v>
      </c>
      <c r="EJ158" t="str">
        <f t="shared" si="415"/>
        <v>2022_8</v>
      </c>
      <c r="EK158" t="str">
        <f t="shared" si="414"/>
        <v>2022_8</v>
      </c>
      <c r="EL158" t="str">
        <f t="shared" si="414"/>
        <v>2022_8</v>
      </c>
      <c r="EM158" t="str">
        <f t="shared" si="414"/>
        <v>2022_8</v>
      </c>
      <c r="EN158" t="str">
        <f t="shared" si="414"/>
        <v>2022_8</v>
      </c>
      <c r="EO158" t="str">
        <f t="shared" si="414"/>
        <v>2022_8</v>
      </c>
      <c r="EP158" t="str">
        <f t="shared" si="414"/>
        <v>2022_8</v>
      </c>
      <c r="EQ158" t="str">
        <f t="shared" si="414"/>
        <v>2022_8</v>
      </c>
      <c r="ER158" t="str">
        <f t="shared" si="414"/>
        <v>2022_8</v>
      </c>
      <c r="ES158" t="str">
        <f t="shared" si="414"/>
        <v>2022_8</v>
      </c>
      <c r="ET158" t="str">
        <f t="shared" si="414"/>
        <v>2022_8</v>
      </c>
      <c r="EU158" t="str">
        <f t="shared" si="414"/>
        <v>2022_8</v>
      </c>
      <c r="EV158" t="str">
        <f t="shared" si="414"/>
        <v>2022_8</v>
      </c>
      <c r="EW158" t="str">
        <f t="shared" si="414"/>
        <v>2022_8</v>
      </c>
      <c r="EX158" t="str">
        <f t="shared" si="414"/>
        <v>2022_8</v>
      </c>
      <c r="EY158" t="str">
        <f t="shared" si="414"/>
        <v>2022_8</v>
      </c>
      <c r="FB158" s="10" t="s">
        <v>37</v>
      </c>
      <c r="FC158">
        <f t="shared" si="413"/>
        <v>0</v>
      </c>
      <c r="FD158">
        <f t="shared" si="363"/>
        <v>0</v>
      </c>
      <c r="FE158">
        <f t="shared" si="364"/>
        <v>0</v>
      </c>
      <c r="FF158">
        <f t="shared" si="365"/>
        <v>0</v>
      </c>
      <c r="FG158">
        <f t="shared" si="366"/>
        <v>0</v>
      </c>
      <c r="FH158">
        <f t="shared" si="367"/>
        <v>0</v>
      </c>
      <c r="FI158">
        <f t="shared" si="368"/>
        <v>0</v>
      </c>
      <c r="FJ158">
        <f t="shared" si="369"/>
        <v>0</v>
      </c>
      <c r="FK158">
        <f t="shared" si="370"/>
        <v>0</v>
      </c>
      <c r="FL158">
        <f t="shared" si="371"/>
        <v>0</v>
      </c>
      <c r="FM158">
        <f t="shared" si="372"/>
        <v>0</v>
      </c>
      <c r="FN158">
        <f t="shared" si="373"/>
        <v>0</v>
      </c>
      <c r="FO158">
        <f t="shared" si="374"/>
        <v>0</v>
      </c>
      <c r="FP158">
        <f t="shared" si="375"/>
        <v>0</v>
      </c>
      <c r="FQ158">
        <f t="shared" si="376"/>
        <v>0</v>
      </c>
      <c r="FR158">
        <f t="shared" si="377"/>
        <v>0</v>
      </c>
      <c r="FS158">
        <f t="shared" si="378"/>
        <v>0</v>
      </c>
      <c r="FT158">
        <f t="shared" si="379"/>
        <v>0</v>
      </c>
      <c r="FU158">
        <f t="shared" si="380"/>
        <v>0</v>
      </c>
      <c r="FV158">
        <f t="shared" si="381"/>
        <v>0</v>
      </c>
      <c r="FW158">
        <f t="shared" si="382"/>
        <v>0</v>
      </c>
      <c r="FX158">
        <f t="shared" si="383"/>
        <v>0</v>
      </c>
      <c r="FY158">
        <f t="shared" si="384"/>
        <v>0</v>
      </c>
      <c r="FZ158">
        <f t="shared" si="385"/>
        <v>0</v>
      </c>
      <c r="GA158">
        <f t="shared" si="386"/>
        <v>0</v>
      </c>
      <c r="GB158">
        <f t="shared" si="387"/>
        <v>0</v>
      </c>
      <c r="GC158">
        <f t="shared" si="388"/>
        <v>0</v>
      </c>
      <c r="GD158">
        <f t="shared" si="389"/>
        <v>0</v>
      </c>
      <c r="GE158">
        <f t="shared" si="390"/>
        <v>1</v>
      </c>
      <c r="GF158">
        <f t="shared" si="391"/>
        <v>1</v>
      </c>
      <c r="GG158">
        <f t="shared" si="392"/>
        <v>1</v>
      </c>
      <c r="GH158">
        <f t="shared" si="393"/>
        <v>1</v>
      </c>
      <c r="GI158">
        <f t="shared" si="394"/>
        <v>1</v>
      </c>
      <c r="GJ158">
        <f t="shared" si="395"/>
        <v>1</v>
      </c>
      <c r="GK158">
        <f t="shared" si="396"/>
        <v>1</v>
      </c>
      <c r="GL158">
        <f t="shared" si="397"/>
        <v>1</v>
      </c>
      <c r="GM158">
        <f t="shared" si="398"/>
        <v>1</v>
      </c>
      <c r="GN158">
        <f t="shared" si="399"/>
        <v>1</v>
      </c>
      <c r="GO158">
        <f t="shared" si="400"/>
        <v>1</v>
      </c>
      <c r="GP158">
        <f t="shared" si="401"/>
        <v>1</v>
      </c>
      <c r="GQ158">
        <f t="shared" si="402"/>
        <v>1</v>
      </c>
      <c r="GR158">
        <f t="shared" si="403"/>
        <v>1</v>
      </c>
      <c r="GS158">
        <f t="shared" si="404"/>
        <v>1</v>
      </c>
      <c r="GT158">
        <f t="shared" si="405"/>
        <v>1</v>
      </c>
      <c r="GU158">
        <f t="shared" si="406"/>
        <v>1</v>
      </c>
      <c r="GX158" s="10"/>
    </row>
    <row r="159" spans="1:206" x14ac:dyDescent="0.3">
      <c r="A159" s="9" t="s">
        <v>33</v>
      </c>
      <c r="B159" s="82"/>
      <c r="C159" s="27">
        <v>3140386000</v>
      </c>
      <c r="D159" s="27" t="s">
        <v>460</v>
      </c>
      <c r="E159" s="27" t="s">
        <v>43</v>
      </c>
      <c r="F159" s="27" t="s">
        <v>35</v>
      </c>
      <c r="G159" s="27" t="s">
        <v>190</v>
      </c>
      <c r="H159" s="10">
        <v>44785</v>
      </c>
      <c r="I159" s="9">
        <f t="shared" si="407"/>
        <v>2022</v>
      </c>
      <c r="J159" s="9">
        <f t="shared" si="408"/>
        <v>8</v>
      </c>
      <c r="K159" s="9" t="str">
        <f t="shared" si="409"/>
        <v>2022_8</v>
      </c>
      <c r="L159">
        <f>MAX(0,VLOOKUP($K159,lookups!$A$1:$B$45,2,0)-12)</f>
        <v>16</v>
      </c>
      <c r="M159" s="40">
        <f t="shared" si="410"/>
        <v>44774</v>
      </c>
      <c r="N159" s="10" t="s">
        <v>37</v>
      </c>
      <c r="O159" t="str">
        <f ca="1">IF(OR($L159&gt;O$4,O$4&gt;$L159+23),"",OFFSET(Electric!$L150,0,-'Electric Calendarize'!$L159+'Electric Calendarize'!O$4+1))</f>
        <v/>
      </c>
      <c r="P159" t="str">
        <f ca="1">IF(OR($L159&gt;P$4,P$4&gt;$L159+23),"",OFFSET(Electric!$L150,0,-'Electric Calendarize'!$L159+'Electric Calendarize'!P$4+1))</f>
        <v/>
      </c>
      <c r="Q159" t="str">
        <f ca="1">IF(OR($L159&gt;Q$4,Q$4&gt;$L159+23),"",OFFSET(Electric!$L150,0,-'Electric Calendarize'!$L159+'Electric Calendarize'!Q$4+1))</f>
        <v/>
      </c>
      <c r="R159" t="str">
        <f ca="1">IF(OR($L159&gt;R$4,R$4&gt;$L159+23),"",OFFSET(Electric!$L150,0,-'Electric Calendarize'!$L159+'Electric Calendarize'!R$4+1))</f>
        <v/>
      </c>
      <c r="S159" t="str">
        <f ca="1">IF(OR($L159&gt;S$4,S$4&gt;$L159+23),"",OFFSET(Electric!$L150,0,-'Electric Calendarize'!$L159+'Electric Calendarize'!S$4+1))</f>
        <v/>
      </c>
      <c r="T159" t="str">
        <f ca="1">IF(OR($L159&gt;T$4,T$4&gt;$L159+23),"",OFFSET(Electric!$L150,0,-'Electric Calendarize'!$L159+'Electric Calendarize'!T$4+1))</f>
        <v/>
      </c>
      <c r="U159" t="str">
        <f ca="1">IF(OR($L159&gt;U$4,U$4&gt;$L159+23),"",OFFSET(Electric!$L150,0,-'Electric Calendarize'!$L159+'Electric Calendarize'!U$4+1))</f>
        <v/>
      </c>
      <c r="V159" t="str">
        <f ca="1">IF(OR($L159&gt;V$4,V$4&gt;$L159+23),"",OFFSET(Electric!$L150,0,-'Electric Calendarize'!$L159+'Electric Calendarize'!V$4+1))</f>
        <v/>
      </c>
      <c r="W159" t="str">
        <f ca="1">IF(OR($L159&gt;W$4,W$4&gt;$L159+23),"",OFFSET(Electric!$L150,0,-'Electric Calendarize'!$L159+'Electric Calendarize'!W$4+1))</f>
        <v/>
      </c>
      <c r="X159" t="str">
        <f ca="1">IF(OR($L159&gt;X$4,X$4&gt;$L159+23),"",OFFSET(Electric!$L150,0,-'Electric Calendarize'!$L159+'Electric Calendarize'!X$4+1))</f>
        <v/>
      </c>
      <c r="Y159" t="str">
        <f ca="1">IF(OR($L159&gt;Y$4,Y$4&gt;$L159+23),"",OFFSET(Electric!$L150,0,-'Electric Calendarize'!$L159+'Electric Calendarize'!Y$4+1))</f>
        <v/>
      </c>
      <c r="Z159" t="str">
        <f ca="1">IF(OR($L159&gt;Z$4,Z$4&gt;$L159+23),"",OFFSET(Electric!$L150,0,-'Electric Calendarize'!$L159+'Electric Calendarize'!Z$4+1))</f>
        <v/>
      </c>
      <c r="AA159" t="str">
        <f ca="1">IF(OR($L159&gt;AA$4,AA$4&gt;$L159+23),"",OFFSET(Electric!$L150,0,-'Electric Calendarize'!$L159+'Electric Calendarize'!AA$4+1))</f>
        <v/>
      </c>
      <c r="AB159" t="str">
        <f ca="1">IF(OR($L159&gt;AB$4,AB$4&gt;$L159+23),"",OFFSET(Electric!$L150,0,-'Electric Calendarize'!$L159+'Electric Calendarize'!AB$4+1))</f>
        <v/>
      </c>
      <c r="AC159" t="str">
        <f ca="1">IF(OR($L159&gt;AC$4,AC$4&gt;$L159+23),"",OFFSET(Electric!$L150,0,-'Electric Calendarize'!$L159+'Electric Calendarize'!AC$4+1))</f>
        <v/>
      </c>
      <c r="AD159" t="str">
        <f ca="1">IF(OR($L159&gt;AD$4,AD$4&gt;$L159+23),"",OFFSET(Electric!$L150,0,-'Electric Calendarize'!$L159+'Electric Calendarize'!AD$4+1))</f>
        <v/>
      </c>
      <c r="AE159">
        <f ca="1">IF(OR($L159&gt;AE$4,AE$4&gt;$L159+23),"",OFFSET(Electric!$L150,0,-'Electric Calendarize'!$L159+'Electric Calendarize'!AE$4+1))</f>
        <v>632</v>
      </c>
      <c r="AF159">
        <f ca="1">IF(OR($L159&gt;AF$4,AF$4&gt;$L159+23),"",OFFSET(Electric!$L150,0,-'Electric Calendarize'!$L159+'Electric Calendarize'!AF$4+1))</f>
        <v>358</v>
      </c>
      <c r="AG159">
        <f ca="1">IF(OR($L159&gt;AG$4,AG$4&gt;$L159+23),"",OFFSET(Electric!$L150,0,-'Electric Calendarize'!$L159+'Electric Calendarize'!AG$4+1))</f>
        <v>481</v>
      </c>
      <c r="AH159">
        <f ca="1">IF(OR($L159&gt;AH$4,AH$4&gt;$L159+23),"",OFFSET(Electric!$L150,0,-'Electric Calendarize'!$L159+'Electric Calendarize'!AH$4+1))</f>
        <v>456</v>
      </c>
      <c r="AI159">
        <f ca="1">IF(OR($L159&gt;AI$4,AI$4&gt;$L159+23),"",OFFSET(Electric!$L150,0,-'Electric Calendarize'!$L159+'Electric Calendarize'!AI$4+1))</f>
        <v>726</v>
      </c>
      <c r="AJ159">
        <f ca="1">IF(OR($L159&gt;AJ$4,AJ$4&gt;$L159+23),"",OFFSET(Electric!$L150,0,-'Electric Calendarize'!$L159+'Electric Calendarize'!AJ$4+1))</f>
        <v>563</v>
      </c>
      <c r="AK159">
        <f ca="1">IF(OR($L159&gt;AK$4,AK$4&gt;$L159+23),"",OFFSET(Electric!$L150,0,-'Electric Calendarize'!$L159+'Electric Calendarize'!AK$4+1))</f>
        <v>381</v>
      </c>
      <c r="AL159">
        <f ca="1">IF(OR($L159&gt;AL$4,AL$4&gt;$L159+23),"",OFFSET(Electric!$L150,0,-'Electric Calendarize'!$L159+'Electric Calendarize'!AL$4+1))</f>
        <v>390</v>
      </c>
      <c r="AM159">
        <f ca="1">IF(OR($L159&gt;AM$4,AM$4&gt;$L159+23),"",OFFSET(Electric!$L150,0,-'Electric Calendarize'!$L159+'Electric Calendarize'!AM$4+1))</f>
        <v>433</v>
      </c>
      <c r="AN159">
        <f ca="1">IF(OR($L159&gt;AN$4,AN$4&gt;$L159+23),"",OFFSET(Electric!$L150,0,-'Electric Calendarize'!$L159+'Electric Calendarize'!AN$4+1))</f>
        <v>537</v>
      </c>
      <c r="AO159">
        <f ca="1">IF(OR($L159&gt;AO$4,AO$4&gt;$L159+23),"",OFFSET(Electric!$L150,0,-'Electric Calendarize'!$L159+'Electric Calendarize'!AO$4+1))</f>
        <v>261</v>
      </c>
      <c r="AP159">
        <f ca="1">IF(OR($L159&gt;AP$4,AP$4&gt;$L159+23),"",OFFSET(Electric!$L150,0,-'Electric Calendarize'!$L159+'Electric Calendarize'!AP$4+1))</f>
        <v>536</v>
      </c>
      <c r="AQ159">
        <f ca="1">IF(OR($L159&gt;AQ$4,AQ$4&gt;$L159+23),"",OFFSET(Electric!$L150,0,-'Electric Calendarize'!$L159+'Electric Calendarize'!AQ$4+1))</f>
        <v>641</v>
      </c>
      <c r="AR159">
        <f ca="1">IF(OR($L159&gt;AR$4,AR$4&gt;$L159+23),"",OFFSET(Electric!$L150,0,-'Electric Calendarize'!$L159+'Electric Calendarize'!AR$4+1))</f>
        <v>710</v>
      </c>
      <c r="AS159">
        <f ca="1">IF(OR($L159&gt;AS$4,AS$4&gt;$L159+23),"",OFFSET(Electric!$L150,0,-'Electric Calendarize'!$L159+'Electric Calendarize'!AS$4+1))</f>
        <v>600</v>
      </c>
      <c r="AT159">
        <f ca="1">IF(OR($L159&gt;AT$4,AT$4&gt;$L159+23),"",OFFSET(Electric!$L150,0,-'Electric Calendarize'!$L159+'Electric Calendarize'!AT$4+1))</f>
        <v>515</v>
      </c>
      <c r="AU159">
        <f ca="1">IF(OR($L159&gt;AU$4,AU$4&gt;$L159+23),"",OFFSET(Electric!$L150,0,-'Electric Calendarize'!$L159+'Electric Calendarize'!AU$4+1))</f>
        <v>785</v>
      </c>
      <c r="AV159">
        <f ca="1">IF(OR($L159&gt;AV$4,AV$4&gt;$L159+23),"",OFFSET(Electric!$L150,0,-'Electric Calendarize'!$L159+'Electric Calendarize'!AV$4+1))</f>
        <v>1110</v>
      </c>
      <c r="AW159">
        <f ca="1">IF(OR($L159&gt;AW$4,AW$4&gt;$L159+23),"",OFFSET(Electric!$L150,0,-'Electric Calendarize'!$L159+'Electric Calendarize'!AW$4+1))</f>
        <v>848</v>
      </c>
      <c r="AX159">
        <f ca="1">IF(OR($L159&gt;AX$4,AX$4&gt;$L159+23),"",OFFSET(Electric!$L150,0,-'Electric Calendarize'!$L159+'Electric Calendarize'!AX$4+1))</f>
        <v>811</v>
      </c>
      <c r="AY159">
        <f ca="1">IF(OR($L159&gt;AY$4,AY$4&gt;$L159+23),"",OFFSET(Electric!$L150,0,-'Electric Calendarize'!$L159+'Electric Calendarize'!AY$4+1))</f>
        <v>500</v>
      </c>
      <c r="AZ159">
        <f ca="1">IF(OR($L159&gt;AZ$4,AZ$4&gt;$L159+23),"",OFFSET(Electric!$L150,0,-'Electric Calendarize'!$L159+'Electric Calendarize'!AZ$4+1))</f>
        <v>452</v>
      </c>
      <c r="BA159">
        <f ca="1">IF(OR($L159&gt;BA$4,BA$4&gt;$L159+23),"",OFFSET(Electric!$L150,0,-'Electric Calendarize'!$L159+'Electric Calendarize'!BA$4+1))</f>
        <v>357</v>
      </c>
      <c r="BB159">
        <f ca="1">IF(OR($L159&gt;BB$4,BB$4&gt;$L159+23),"",OFFSET(Electric!$L150,0,-'Electric Calendarize'!$L159+'Electric Calendarize'!BB$4+1))</f>
        <v>613</v>
      </c>
      <c r="BC159" t="str">
        <f ca="1">IF(OR($L159&gt;BC$4,BC$4&gt;$L159+23),"",OFFSET(Electric!$L150,0,-'Electric Calendarize'!$L159+'Electric Calendarize'!BC$4+1))</f>
        <v/>
      </c>
      <c r="BD159" t="str">
        <f ca="1">IF(OR($L159&gt;BD$4,BD$4&gt;$L159+23),"",OFFSET(Electric!$L150,0,-'Electric Calendarize'!$L159+'Electric Calendarize'!BD$4+1))</f>
        <v/>
      </c>
      <c r="BE159" t="str">
        <f ca="1">IF(OR($L159&gt;BE$4,BE$4&gt;$L159+23),"",OFFSET(Electric!$L150,0,-'Electric Calendarize'!$L159+'Electric Calendarize'!BE$4+1))</f>
        <v/>
      </c>
      <c r="BF159" t="str">
        <f ca="1">IF(OR($L159&gt;BF$4,BF$4&gt;$L159+23),"",OFFSET(Electric!$L150,0,-'Electric Calendarize'!$L159+'Electric Calendarize'!BF$4+1))</f>
        <v/>
      </c>
      <c r="BG159" t="str">
        <f ca="1">IF(OR($L159&gt;BG$4,BG$4&gt;$L159+23),"",OFFSET(Electric!$L150,0,-'Electric Calendarize'!$L159+'Electric Calendarize'!BG$4+1))</f>
        <v/>
      </c>
      <c r="BJ159" s="10" t="s">
        <v>37</v>
      </c>
      <c r="BK159">
        <f t="shared" si="411"/>
        <v>1</v>
      </c>
      <c r="BL159">
        <f t="shared" si="317"/>
        <v>0</v>
      </c>
      <c r="BM159">
        <f t="shared" si="318"/>
        <v>0</v>
      </c>
      <c r="BN159">
        <f t="shared" si="319"/>
        <v>0</v>
      </c>
      <c r="BO159">
        <f t="shared" si="320"/>
        <v>0</v>
      </c>
      <c r="BP159">
        <f t="shared" si="321"/>
        <v>0</v>
      </c>
      <c r="BQ159">
        <f t="shared" si="322"/>
        <v>0</v>
      </c>
      <c r="BR159">
        <f t="shared" si="323"/>
        <v>1</v>
      </c>
      <c r="BS159">
        <f t="shared" si="324"/>
        <v>1</v>
      </c>
      <c r="BT159">
        <f t="shared" si="325"/>
        <v>1</v>
      </c>
      <c r="BU159">
        <f t="shared" si="326"/>
        <v>1</v>
      </c>
      <c r="BV159">
        <f t="shared" si="327"/>
        <v>1</v>
      </c>
      <c r="BW159">
        <f t="shared" si="328"/>
        <v>1</v>
      </c>
      <c r="BX159">
        <f t="shared" si="329"/>
        <v>0</v>
      </c>
      <c r="BY159">
        <f t="shared" si="330"/>
        <v>0</v>
      </c>
      <c r="BZ159">
        <f t="shared" si="331"/>
        <v>0</v>
      </c>
      <c r="CA159">
        <f t="shared" si="332"/>
        <v>0</v>
      </c>
      <c r="CB159">
        <f t="shared" si="333"/>
        <v>0</v>
      </c>
      <c r="CC159">
        <f t="shared" si="334"/>
        <v>0</v>
      </c>
      <c r="CD159">
        <f t="shared" si="335"/>
        <v>1</v>
      </c>
      <c r="CE159">
        <f t="shared" si="336"/>
        <v>1</v>
      </c>
      <c r="CF159">
        <f t="shared" si="337"/>
        <v>1</v>
      </c>
      <c r="CG159">
        <f t="shared" si="338"/>
        <v>1</v>
      </c>
      <c r="CH159">
        <f t="shared" si="339"/>
        <v>1</v>
      </c>
      <c r="CI159">
        <f t="shared" si="340"/>
        <v>1</v>
      </c>
      <c r="CJ159">
        <f t="shared" si="341"/>
        <v>0</v>
      </c>
      <c r="CK159">
        <f t="shared" si="342"/>
        <v>0</v>
      </c>
      <c r="CL159">
        <f t="shared" si="343"/>
        <v>0</v>
      </c>
      <c r="CM159">
        <f t="shared" si="344"/>
        <v>0</v>
      </c>
      <c r="CN159">
        <f t="shared" si="345"/>
        <v>0</v>
      </c>
      <c r="CO159">
        <f t="shared" si="346"/>
        <v>0</v>
      </c>
      <c r="CP159">
        <f t="shared" si="347"/>
        <v>1</v>
      </c>
      <c r="CQ159">
        <f t="shared" si="348"/>
        <v>1</v>
      </c>
      <c r="CR159">
        <f t="shared" si="349"/>
        <v>1</v>
      </c>
      <c r="CS159">
        <f t="shared" si="350"/>
        <v>1</v>
      </c>
      <c r="CT159">
        <f t="shared" si="351"/>
        <v>1</v>
      </c>
      <c r="CU159">
        <f t="shared" si="352"/>
        <v>1</v>
      </c>
      <c r="CV159">
        <f t="shared" si="353"/>
        <v>0</v>
      </c>
      <c r="CW159">
        <f t="shared" si="354"/>
        <v>0</v>
      </c>
      <c r="CX159">
        <f t="shared" si="355"/>
        <v>0</v>
      </c>
      <c r="CY159">
        <f t="shared" si="356"/>
        <v>0</v>
      </c>
      <c r="CZ159">
        <f t="shared" si="357"/>
        <v>0</v>
      </c>
      <c r="DA159">
        <f t="shared" si="358"/>
        <v>0</v>
      </c>
      <c r="DB159">
        <f t="shared" si="359"/>
        <v>1</v>
      </c>
      <c r="DC159">
        <f t="shared" si="360"/>
        <v>1</v>
      </c>
      <c r="DF159" s="10" t="s">
        <v>37</v>
      </c>
      <c r="DG159" t="str">
        <f t="shared" si="416"/>
        <v>2022_8</v>
      </c>
      <c r="DH159" t="str">
        <f t="shared" si="416"/>
        <v>2022_8</v>
      </c>
      <c r="DI159" t="str">
        <f t="shared" si="416"/>
        <v>2022_8</v>
      </c>
      <c r="DJ159" t="str">
        <f t="shared" si="416"/>
        <v>2022_8</v>
      </c>
      <c r="DK159" t="str">
        <f t="shared" si="416"/>
        <v>2022_8</v>
      </c>
      <c r="DL159" t="str">
        <f t="shared" si="416"/>
        <v>2022_8</v>
      </c>
      <c r="DM159" t="str">
        <f t="shared" si="416"/>
        <v>2022_8</v>
      </c>
      <c r="DN159" t="str">
        <f t="shared" si="416"/>
        <v>2022_8</v>
      </c>
      <c r="DO159" t="str">
        <f t="shared" si="416"/>
        <v>2022_8</v>
      </c>
      <c r="DP159" t="str">
        <f t="shared" si="416"/>
        <v>2022_8</v>
      </c>
      <c r="DQ159" t="str">
        <f t="shared" si="416"/>
        <v>2022_8</v>
      </c>
      <c r="DR159" t="str">
        <f t="shared" si="416"/>
        <v>2022_8</v>
      </c>
      <c r="DS159" t="str">
        <f t="shared" si="416"/>
        <v>2022_8</v>
      </c>
      <c r="DT159" t="str">
        <f t="shared" si="416"/>
        <v>2022_8</v>
      </c>
      <c r="DU159" t="str">
        <f t="shared" si="416"/>
        <v>2022_8</v>
      </c>
      <c r="DV159" t="str">
        <f t="shared" si="416"/>
        <v>2022_8</v>
      </c>
      <c r="DW159" t="str">
        <f t="shared" si="415"/>
        <v>2022_8</v>
      </c>
      <c r="DX159" t="str">
        <f t="shared" si="415"/>
        <v>2022_8</v>
      </c>
      <c r="DY159" t="str">
        <f t="shared" si="415"/>
        <v>2022_8</v>
      </c>
      <c r="DZ159" t="str">
        <f t="shared" si="415"/>
        <v>2022_8</v>
      </c>
      <c r="EA159" t="str">
        <f t="shared" si="415"/>
        <v>2022_8</v>
      </c>
      <c r="EB159" t="str">
        <f t="shared" si="415"/>
        <v>2022_8</v>
      </c>
      <c r="EC159" t="str">
        <f t="shared" si="415"/>
        <v>2022_8</v>
      </c>
      <c r="ED159" t="str">
        <f t="shared" si="415"/>
        <v>2022_8</v>
      </c>
      <c r="EE159" t="str">
        <f t="shared" si="415"/>
        <v>2022_8</v>
      </c>
      <c r="EF159" t="str">
        <f t="shared" si="415"/>
        <v>2022_8</v>
      </c>
      <c r="EG159" t="str">
        <f t="shared" si="415"/>
        <v>2022_8</v>
      </c>
      <c r="EH159" t="str">
        <f t="shared" si="415"/>
        <v>2022_8</v>
      </c>
      <c r="EI159" t="str">
        <f t="shared" si="415"/>
        <v>2022_8</v>
      </c>
      <c r="EJ159" t="str">
        <f t="shared" si="415"/>
        <v>2022_8</v>
      </c>
      <c r="EK159" t="str">
        <f t="shared" si="414"/>
        <v>2022_8</v>
      </c>
      <c r="EL159" t="str">
        <f t="shared" si="414"/>
        <v>2022_8</v>
      </c>
      <c r="EM159" t="str">
        <f t="shared" si="414"/>
        <v>2022_8</v>
      </c>
      <c r="EN159" t="str">
        <f t="shared" si="414"/>
        <v>2022_8</v>
      </c>
      <c r="EO159" t="str">
        <f t="shared" si="414"/>
        <v>2022_8</v>
      </c>
      <c r="EP159" t="str">
        <f t="shared" si="414"/>
        <v>2022_8</v>
      </c>
      <c r="EQ159" t="str">
        <f t="shared" si="414"/>
        <v>2022_8</v>
      </c>
      <c r="ER159" t="str">
        <f t="shared" si="414"/>
        <v>2022_8</v>
      </c>
      <c r="ES159" t="str">
        <f t="shared" si="414"/>
        <v>2022_8</v>
      </c>
      <c r="ET159" t="str">
        <f t="shared" si="414"/>
        <v>2022_8</v>
      </c>
      <c r="EU159" t="str">
        <f t="shared" si="414"/>
        <v>2022_8</v>
      </c>
      <c r="EV159" t="str">
        <f t="shared" si="414"/>
        <v>2022_8</v>
      </c>
      <c r="EW159" t="str">
        <f t="shared" si="414"/>
        <v>2022_8</v>
      </c>
      <c r="EX159" t="str">
        <f t="shared" si="414"/>
        <v>2022_8</v>
      </c>
      <c r="EY159" t="str">
        <f t="shared" si="414"/>
        <v>2022_8</v>
      </c>
      <c r="FB159" s="10" t="s">
        <v>37</v>
      </c>
      <c r="FC159">
        <f t="shared" si="413"/>
        <v>0</v>
      </c>
      <c r="FD159">
        <f t="shared" si="363"/>
        <v>0</v>
      </c>
      <c r="FE159">
        <f t="shared" si="364"/>
        <v>0</v>
      </c>
      <c r="FF159">
        <f t="shared" si="365"/>
        <v>0</v>
      </c>
      <c r="FG159">
        <f t="shared" si="366"/>
        <v>0</v>
      </c>
      <c r="FH159">
        <f t="shared" si="367"/>
        <v>0</v>
      </c>
      <c r="FI159">
        <f t="shared" si="368"/>
        <v>0</v>
      </c>
      <c r="FJ159">
        <f t="shared" si="369"/>
        <v>0</v>
      </c>
      <c r="FK159">
        <f t="shared" si="370"/>
        <v>0</v>
      </c>
      <c r="FL159">
        <f t="shared" si="371"/>
        <v>0</v>
      </c>
      <c r="FM159">
        <f t="shared" si="372"/>
        <v>0</v>
      </c>
      <c r="FN159">
        <f t="shared" si="373"/>
        <v>0</v>
      </c>
      <c r="FO159">
        <f t="shared" si="374"/>
        <v>0</v>
      </c>
      <c r="FP159">
        <f t="shared" si="375"/>
        <v>0</v>
      </c>
      <c r="FQ159">
        <f t="shared" si="376"/>
        <v>0</v>
      </c>
      <c r="FR159">
        <f t="shared" si="377"/>
        <v>0</v>
      </c>
      <c r="FS159">
        <f t="shared" si="378"/>
        <v>0</v>
      </c>
      <c r="FT159">
        <f t="shared" si="379"/>
        <v>0</v>
      </c>
      <c r="FU159">
        <f t="shared" si="380"/>
        <v>0</v>
      </c>
      <c r="FV159">
        <f t="shared" si="381"/>
        <v>0</v>
      </c>
      <c r="FW159">
        <f t="shared" si="382"/>
        <v>0</v>
      </c>
      <c r="FX159">
        <f t="shared" si="383"/>
        <v>0</v>
      </c>
      <c r="FY159">
        <f t="shared" si="384"/>
        <v>0</v>
      </c>
      <c r="FZ159">
        <f t="shared" si="385"/>
        <v>0</v>
      </c>
      <c r="GA159">
        <f t="shared" si="386"/>
        <v>0</v>
      </c>
      <c r="GB159">
        <f t="shared" si="387"/>
        <v>0</v>
      </c>
      <c r="GC159">
        <f t="shared" si="388"/>
        <v>0</v>
      </c>
      <c r="GD159">
        <f t="shared" si="389"/>
        <v>0</v>
      </c>
      <c r="GE159">
        <f t="shared" si="390"/>
        <v>1</v>
      </c>
      <c r="GF159">
        <f t="shared" si="391"/>
        <v>1</v>
      </c>
      <c r="GG159">
        <f t="shared" si="392"/>
        <v>1</v>
      </c>
      <c r="GH159">
        <f t="shared" si="393"/>
        <v>1</v>
      </c>
      <c r="GI159">
        <f t="shared" si="394"/>
        <v>1</v>
      </c>
      <c r="GJ159">
        <f t="shared" si="395"/>
        <v>1</v>
      </c>
      <c r="GK159">
        <f t="shared" si="396"/>
        <v>1</v>
      </c>
      <c r="GL159">
        <f t="shared" si="397"/>
        <v>1</v>
      </c>
      <c r="GM159">
        <f t="shared" si="398"/>
        <v>1</v>
      </c>
      <c r="GN159">
        <f t="shared" si="399"/>
        <v>1</v>
      </c>
      <c r="GO159">
        <f t="shared" si="400"/>
        <v>1</v>
      </c>
      <c r="GP159">
        <f t="shared" si="401"/>
        <v>1</v>
      </c>
      <c r="GQ159">
        <f t="shared" si="402"/>
        <v>1</v>
      </c>
      <c r="GR159">
        <f t="shared" si="403"/>
        <v>1</v>
      </c>
      <c r="GS159">
        <f t="shared" si="404"/>
        <v>1</v>
      </c>
      <c r="GT159">
        <f t="shared" si="405"/>
        <v>1</v>
      </c>
      <c r="GU159">
        <f t="shared" si="406"/>
        <v>1</v>
      </c>
      <c r="GX159" s="10"/>
    </row>
    <row r="160" spans="1:206" x14ac:dyDescent="0.3">
      <c r="A160" s="27" t="s">
        <v>191</v>
      </c>
      <c r="B160" s="82"/>
      <c r="C160" s="27">
        <v>3081133000</v>
      </c>
      <c r="D160" s="27" t="s">
        <v>461</v>
      </c>
      <c r="E160" s="27" t="s">
        <v>39</v>
      </c>
      <c r="F160" s="27" t="s">
        <v>35</v>
      </c>
      <c r="G160" s="27" t="s">
        <v>192</v>
      </c>
      <c r="H160" s="10">
        <v>44786</v>
      </c>
      <c r="I160" s="9">
        <f t="shared" si="407"/>
        <v>2022</v>
      </c>
      <c r="J160" s="9">
        <f t="shared" si="408"/>
        <v>8</v>
      </c>
      <c r="K160" s="9" t="str">
        <f t="shared" si="409"/>
        <v>2022_8</v>
      </c>
      <c r="L160">
        <f>MAX(0,VLOOKUP($K160,lookups!$A$1:$B$45,2,0)-12)</f>
        <v>16</v>
      </c>
      <c r="M160" s="40">
        <f t="shared" si="410"/>
        <v>44774</v>
      </c>
      <c r="N160" s="10" t="s">
        <v>37</v>
      </c>
      <c r="O160" t="str">
        <f ca="1">IF(OR($L160&gt;O$4,O$4&gt;$L160+23),"",OFFSET(Electric!$L151,0,-'Electric Calendarize'!$L160+'Electric Calendarize'!O$4+1))</f>
        <v/>
      </c>
      <c r="P160" t="str">
        <f ca="1">IF(OR($L160&gt;P$4,P$4&gt;$L160+23),"",OFFSET(Electric!$L151,0,-'Electric Calendarize'!$L160+'Electric Calendarize'!P$4+1))</f>
        <v/>
      </c>
      <c r="Q160" t="str">
        <f ca="1">IF(OR($L160&gt;Q$4,Q$4&gt;$L160+23),"",OFFSET(Electric!$L151,0,-'Electric Calendarize'!$L160+'Electric Calendarize'!Q$4+1))</f>
        <v/>
      </c>
      <c r="R160" t="str">
        <f ca="1">IF(OR($L160&gt;R$4,R$4&gt;$L160+23),"",OFFSET(Electric!$L151,0,-'Electric Calendarize'!$L160+'Electric Calendarize'!R$4+1))</f>
        <v/>
      </c>
      <c r="S160" t="str">
        <f ca="1">IF(OR($L160&gt;S$4,S$4&gt;$L160+23),"",OFFSET(Electric!$L151,0,-'Electric Calendarize'!$L160+'Electric Calendarize'!S$4+1))</f>
        <v/>
      </c>
      <c r="T160" t="str">
        <f ca="1">IF(OR($L160&gt;T$4,T$4&gt;$L160+23),"",OFFSET(Electric!$L151,0,-'Electric Calendarize'!$L160+'Electric Calendarize'!T$4+1))</f>
        <v/>
      </c>
      <c r="U160" t="str">
        <f ca="1">IF(OR($L160&gt;U$4,U$4&gt;$L160+23),"",OFFSET(Electric!$L151,0,-'Electric Calendarize'!$L160+'Electric Calendarize'!U$4+1))</f>
        <v/>
      </c>
      <c r="V160" t="str">
        <f ca="1">IF(OR($L160&gt;V$4,V$4&gt;$L160+23),"",OFFSET(Electric!$L151,0,-'Electric Calendarize'!$L160+'Electric Calendarize'!V$4+1))</f>
        <v/>
      </c>
      <c r="W160" t="str">
        <f ca="1">IF(OR($L160&gt;W$4,W$4&gt;$L160+23),"",OFFSET(Electric!$L151,0,-'Electric Calendarize'!$L160+'Electric Calendarize'!W$4+1))</f>
        <v/>
      </c>
      <c r="X160" t="str">
        <f ca="1">IF(OR($L160&gt;X$4,X$4&gt;$L160+23),"",OFFSET(Electric!$L151,0,-'Electric Calendarize'!$L160+'Electric Calendarize'!X$4+1))</f>
        <v/>
      </c>
      <c r="Y160" t="str">
        <f ca="1">IF(OR($L160&gt;Y$4,Y$4&gt;$L160+23),"",OFFSET(Electric!$L151,0,-'Electric Calendarize'!$L160+'Electric Calendarize'!Y$4+1))</f>
        <v/>
      </c>
      <c r="Z160" t="str">
        <f ca="1">IF(OR($L160&gt;Z$4,Z$4&gt;$L160+23),"",OFFSET(Electric!$L151,0,-'Electric Calendarize'!$L160+'Electric Calendarize'!Z$4+1))</f>
        <v/>
      </c>
      <c r="AA160" t="str">
        <f ca="1">IF(OR($L160&gt;AA$4,AA$4&gt;$L160+23),"",OFFSET(Electric!$L151,0,-'Electric Calendarize'!$L160+'Electric Calendarize'!AA$4+1))</f>
        <v/>
      </c>
      <c r="AB160" t="str">
        <f ca="1">IF(OR($L160&gt;AB$4,AB$4&gt;$L160+23),"",OFFSET(Electric!$L151,0,-'Electric Calendarize'!$L160+'Electric Calendarize'!AB$4+1))</f>
        <v/>
      </c>
      <c r="AC160" t="str">
        <f ca="1">IF(OR($L160&gt;AC$4,AC$4&gt;$L160+23),"",OFFSET(Electric!$L151,0,-'Electric Calendarize'!$L160+'Electric Calendarize'!AC$4+1))</f>
        <v/>
      </c>
      <c r="AD160" t="str">
        <f ca="1">IF(OR($L160&gt;AD$4,AD$4&gt;$L160+23),"",OFFSET(Electric!$L151,0,-'Electric Calendarize'!$L160+'Electric Calendarize'!AD$4+1))</f>
        <v/>
      </c>
      <c r="AE160">
        <f ca="1">IF(OR($L160&gt;AE$4,AE$4&gt;$L160+23),"",OFFSET(Electric!$L151,0,-'Electric Calendarize'!$L160+'Electric Calendarize'!AE$4+1))</f>
        <v>459</v>
      </c>
      <c r="AF160">
        <f ca="1">IF(OR($L160&gt;AF$4,AF$4&gt;$L160+23),"",OFFSET(Electric!$L151,0,-'Electric Calendarize'!$L160+'Electric Calendarize'!AF$4+1))</f>
        <v>444</v>
      </c>
      <c r="AG160">
        <f ca="1">IF(OR($L160&gt;AG$4,AG$4&gt;$L160+23),"",OFFSET(Electric!$L151,0,-'Electric Calendarize'!$L160+'Electric Calendarize'!AG$4+1))</f>
        <v>360</v>
      </c>
      <c r="AH160">
        <f ca="1">IF(OR($L160&gt;AH$4,AH$4&gt;$L160+23),"",OFFSET(Electric!$L151,0,-'Electric Calendarize'!$L160+'Electric Calendarize'!AH$4+1))</f>
        <v>392</v>
      </c>
      <c r="AI160">
        <f ca="1">IF(OR($L160&gt;AI$4,AI$4&gt;$L160+23),"",OFFSET(Electric!$L151,0,-'Electric Calendarize'!$L160+'Electric Calendarize'!AI$4+1))</f>
        <v>466</v>
      </c>
      <c r="AJ160">
        <f ca="1">IF(OR($L160&gt;AJ$4,AJ$4&gt;$L160+23),"",OFFSET(Electric!$L151,0,-'Electric Calendarize'!$L160+'Electric Calendarize'!AJ$4+1))</f>
        <v>495</v>
      </c>
      <c r="AK160">
        <f ca="1">IF(OR($L160&gt;AK$4,AK$4&gt;$L160+23),"",OFFSET(Electric!$L151,0,-'Electric Calendarize'!$L160+'Electric Calendarize'!AK$4+1))</f>
        <v>583</v>
      </c>
      <c r="AL160">
        <f ca="1">IF(OR($L160&gt;AL$4,AL$4&gt;$L160+23),"",OFFSET(Electric!$L151,0,-'Electric Calendarize'!$L160+'Electric Calendarize'!AL$4+1))</f>
        <v>548</v>
      </c>
      <c r="AM160">
        <f ca="1">IF(OR($L160&gt;AM$4,AM$4&gt;$L160+23),"",OFFSET(Electric!$L151,0,-'Electric Calendarize'!$L160+'Electric Calendarize'!AM$4+1))</f>
        <v>444</v>
      </c>
      <c r="AN160">
        <f ca="1">IF(OR($L160&gt;AN$4,AN$4&gt;$L160+23),"",OFFSET(Electric!$L151,0,-'Electric Calendarize'!$L160+'Electric Calendarize'!AN$4+1))</f>
        <v>454</v>
      </c>
      <c r="AO160">
        <f ca="1">IF(OR($L160&gt;AO$4,AO$4&gt;$L160+23),"",OFFSET(Electric!$L151,0,-'Electric Calendarize'!$L160+'Electric Calendarize'!AO$4+1))</f>
        <v>327</v>
      </c>
      <c r="AP160">
        <f ca="1">IF(OR($L160&gt;AP$4,AP$4&gt;$L160+23),"",OFFSET(Electric!$L151,0,-'Electric Calendarize'!$L160+'Electric Calendarize'!AP$4+1))</f>
        <v>350</v>
      </c>
      <c r="AQ160">
        <f ca="1">IF(OR($L160&gt;AQ$4,AQ$4&gt;$L160+23),"",OFFSET(Electric!$L151,0,-'Electric Calendarize'!$L160+'Electric Calendarize'!AQ$4+1))</f>
        <v>345</v>
      </c>
      <c r="AR160">
        <f ca="1">IF(OR($L160&gt;AR$4,AR$4&gt;$L160+23),"",OFFSET(Electric!$L151,0,-'Electric Calendarize'!$L160+'Electric Calendarize'!AR$4+1))</f>
        <v>402</v>
      </c>
      <c r="AS160">
        <f ca="1">IF(OR($L160&gt;AS$4,AS$4&gt;$L160+23),"",OFFSET(Electric!$L151,0,-'Electric Calendarize'!$L160+'Electric Calendarize'!AS$4+1))</f>
        <v>375</v>
      </c>
      <c r="AT160">
        <f ca="1">IF(OR($L160&gt;AT$4,AT$4&gt;$L160+23),"",OFFSET(Electric!$L151,0,-'Electric Calendarize'!$L160+'Electric Calendarize'!AT$4+1))</f>
        <v>389</v>
      </c>
      <c r="AU160">
        <f ca="1">IF(OR($L160&gt;AU$4,AU$4&gt;$L160+23),"",OFFSET(Electric!$L151,0,-'Electric Calendarize'!$L160+'Electric Calendarize'!AU$4+1))</f>
        <v>419</v>
      </c>
      <c r="AV160">
        <f ca="1">IF(OR($L160&gt;AV$4,AV$4&gt;$L160+23),"",OFFSET(Electric!$L151,0,-'Electric Calendarize'!$L160+'Electric Calendarize'!AV$4+1))</f>
        <v>437</v>
      </c>
      <c r="AW160">
        <f ca="1">IF(OR($L160&gt;AW$4,AW$4&gt;$L160+23),"",OFFSET(Electric!$L151,0,-'Electric Calendarize'!$L160+'Electric Calendarize'!AW$4+1))</f>
        <v>360</v>
      </c>
      <c r="AX160">
        <f ca="1">IF(OR($L160&gt;AX$4,AX$4&gt;$L160+23),"",OFFSET(Electric!$L151,0,-'Electric Calendarize'!$L160+'Electric Calendarize'!AX$4+1))</f>
        <v>355</v>
      </c>
      <c r="AY160">
        <f ca="1">IF(OR($L160&gt;AY$4,AY$4&gt;$L160+23),"",OFFSET(Electric!$L151,0,-'Electric Calendarize'!$L160+'Electric Calendarize'!AY$4+1))</f>
        <v>368</v>
      </c>
      <c r="AZ160">
        <f ca="1">IF(OR($L160&gt;AZ$4,AZ$4&gt;$L160+23),"",OFFSET(Electric!$L151,0,-'Electric Calendarize'!$L160+'Electric Calendarize'!AZ$4+1))</f>
        <v>327</v>
      </c>
      <c r="BA160">
        <f ca="1">IF(OR($L160&gt;BA$4,BA$4&gt;$L160+23),"",OFFSET(Electric!$L151,0,-'Electric Calendarize'!$L160+'Electric Calendarize'!BA$4+1))</f>
        <v>314</v>
      </c>
      <c r="BB160">
        <f ca="1">IF(OR($L160&gt;BB$4,BB$4&gt;$L160+23),"",OFFSET(Electric!$L151,0,-'Electric Calendarize'!$L160+'Electric Calendarize'!BB$4+1))</f>
        <v>386</v>
      </c>
      <c r="BC160" t="str">
        <f ca="1">IF(OR($L160&gt;BC$4,BC$4&gt;$L160+23),"",OFFSET(Electric!$L151,0,-'Electric Calendarize'!$L160+'Electric Calendarize'!BC$4+1))</f>
        <v/>
      </c>
      <c r="BD160" t="str">
        <f ca="1">IF(OR($L160&gt;BD$4,BD$4&gt;$L160+23),"",OFFSET(Electric!$L151,0,-'Electric Calendarize'!$L160+'Electric Calendarize'!BD$4+1))</f>
        <v/>
      </c>
      <c r="BE160" t="str">
        <f ca="1">IF(OR($L160&gt;BE$4,BE$4&gt;$L160+23),"",OFFSET(Electric!$L151,0,-'Electric Calendarize'!$L160+'Electric Calendarize'!BE$4+1))</f>
        <v/>
      </c>
      <c r="BF160" t="str">
        <f ca="1">IF(OR($L160&gt;BF$4,BF$4&gt;$L160+23),"",OFFSET(Electric!$L151,0,-'Electric Calendarize'!$L160+'Electric Calendarize'!BF$4+1))</f>
        <v/>
      </c>
      <c r="BG160" t="str">
        <f ca="1">IF(OR($L160&gt;BG$4,BG$4&gt;$L160+23),"",OFFSET(Electric!$L151,0,-'Electric Calendarize'!$L160+'Electric Calendarize'!BG$4+1))</f>
        <v/>
      </c>
      <c r="BJ160" s="10" t="s">
        <v>37</v>
      </c>
      <c r="BK160">
        <f t="shared" si="411"/>
        <v>1</v>
      </c>
      <c r="BL160">
        <f t="shared" si="317"/>
        <v>0</v>
      </c>
      <c r="BM160">
        <f t="shared" si="318"/>
        <v>0</v>
      </c>
      <c r="BN160">
        <f t="shared" si="319"/>
        <v>0</v>
      </c>
      <c r="BO160">
        <f t="shared" si="320"/>
        <v>0</v>
      </c>
      <c r="BP160">
        <f t="shared" si="321"/>
        <v>0</v>
      </c>
      <c r="BQ160">
        <f t="shared" si="322"/>
        <v>0</v>
      </c>
      <c r="BR160">
        <f t="shared" si="323"/>
        <v>1</v>
      </c>
      <c r="BS160">
        <f t="shared" si="324"/>
        <v>1</v>
      </c>
      <c r="BT160">
        <f t="shared" si="325"/>
        <v>1</v>
      </c>
      <c r="BU160">
        <f t="shared" si="326"/>
        <v>1</v>
      </c>
      <c r="BV160">
        <f t="shared" si="327"/>
        <v>1</v>
      </c>
      <c r="BW160">
        <f t="shared" si="328"/>
        <v>1</v>
      </c>
      <c r="BX160">
        <f t="shared" si="329"/>
        <v>0</v>
      </c>
      <c r="BY160">
        <f t="shared" si="330"/>
        <v>0</v>
      </c>
      <c r="BZ160">
        <f t="shared" si="331"/>
        <v>0</v>
      </c>
      <c r="CA160">
        <f t="shared" si="332"/>
        <v>0</v>
      </c>
      <c r="CB160">
        <f t="shared" si="333"/>
        <v>0</v>
      </c>
      <c r="CC160">
        <f t="shared" si="334"/>
        <v>0</v>
      </c>
      <c r="CD160">
        <f t="shared" si="335"/>
        <v>1</v>
      </c>
      <c r="CE160">
        <f t="shared" si="336"/>
        <v>1</v>
      </c>
      <c r="CF160">
        <f t="shared" si="337"/>
        <v>1</v>
      </c>
      <c r="CG160">
        <f t="shared" si="338"/>
        <v>1</v>
      </c>
      <c r="CH160">
        <f t="shared" si="339"/>
        <v>1</v>
      </c>
      <c r="CI160">
        <f t="shared" si="340"/>
        <v>1</v>
      </c>
      <c r="CJ160">
        <f t="shared" si="341"/>
        <v>0</v>
      </c>
      <c r="CK160">
        <f t="shared" si="342"/>
        <v>0</v>
      </c>
      <c r="CL160">
        <f t="shared" si="343"/>
        <v>0</v>
      </c>
      <c r="CM160">
        <f t="shared" si="344"/>
        <v>0</v>
      </c>
      <c r="CN160">
        <f t="shared" si="345"/>
        <v>0</v>
      </c>
      <c r="CO160">
        <f t="shared" si="346"/>
        <v>0</v>
      </c>
      <c r="CP160">
        <f t="shared" si="347"/>
        <v>1</v>
      </c>
      <c r="CQ160">
        <f t="shared" si="348"/>
        <v>1</v>
      </c>
      <c r="CR160">
        <f t="shared" si="349"/>
        <v>1</v>
      </c>
      <c r="CS160">
        <f t="shared" si="350"/>
        <v>1</v>
      </c>
      <c r="CT160">
        <f t="shared" si="351"/>
        <v>1</v>
      </c>
      <c r="CU160">
        <f t="shared" si="352"/>
        <v>1</v>
      </c>
      <c r="CV160">
        <f t="shared" si="353"/>
        <v>0</v>
      </c>
      <c r="CW160">
        <f t="shared" si="354"/>
        <v>0</v>
      </c>
      <c r="CX160">
        <f t="shared" si="355"/>
        <v>0</v>
      </c>
      <c r="CY160">
        <f t="shared" si="356"/>
        <v>0</v>
      </c>
      <c r="CZ160">
        <f t="shared" si="357"/>
        <v>0</v>
      </c>
      <c r="DA160">
        <f t="shared" si="358"/>
        <v>0</v>
      </c>
      <c r="DB160">
        <f t="shared" si="359"/>
        <v>1</v>
      </c>
      <c r="DC160">
        <f t="shared" si="360"/>
        <v>1</v>
      </c>
      <c r="DF160" s="10" t="s">
        <v>37</v>
      </c>
      <c r="DG160" t="str">
        <f t="shared" si="416"/>
        <v>2022_8</v>
      </c>
      <c r="DH160" t="str">
        <f t="shared" si="416"/>
        <v>2022_8</v>
      </c>
      <c r="DI160" t="str">
        <f t="shared" si="416"/>
        <v>2022_8</v>
      </c>
      <c r="DJ160" t="str">
        <f t="shared" si="416"/>
        <v>2022_8</v>
      </c>
      <c r="DK160" t="str">
        <f t="shared" si="416"/>
        <v>2022_8</v>
      </c>
      <c r="DL160" t="str">
        <f t="shared" si="416"/>
        <v>2022_8</v>
      </c>
      <c r="DM160" t="str">
        <f t="shared" si="416"/>
        <v>2022_8</v>
      </c>
      <c r="DN160" t="str">
        <f t="shared" si="416"/>
        <v>2022_8</v>
      </c>
      <c r="DO160" t="str">
        <f t="shared" si="416"/>
        <v>2022_8</v>
      </c>
      <c r="DP160" t="str">
        <f t="shared" si="416"/>
        <v>2022_8</v>
      </c>
      <c r="DQ160" t="str">
        <f t="shared" si="416"/>
        <v>2022_8</v>
      </c>
      <c r="DR160" t="str">
        <f t="shared" si="416"/>
        <v>2022_8</v>
      </c>
      <c r="DS160" t="str">
        <f t="shared" si="416"/>
        <v>2022_8</v>
      </c>
      <c r="DT160" t="str">
        <f t="shared" si="416"/>
        <v>2022_8</v>
      </c>
      <c r="DU160" t="str">
        <f t="shared" si="416"/>
        <v>2022_8</v>
      </c>
      <c r="DV160" t="str">
        <f t="shared" si="416"/>
        <v>2022_8</v>
      </c>
      <c r="DW160" t="str">
        <f t="shared" si="415"/>
        <v>2022_8</v>
      </c>
      <c r="DX160" t="str">
        <f t="shared" si="415"/>
        <v>2022_8</v>
      </c>
      <c r="DY160" t="str">
        <f t="shared" si="415"/>
        <v>2022_8</v>
      </c>
      <c r="DZ160" t="str">
        <f t="shared" si="415"/>
        <v>2022_8</v>
      </c>
      <c r="EA160" t="str">
        <f t="shared" si="415"/>
        <v>2022_8</v>
      </c>
      <c r="EB160" t="str">
        <f t="shared" si="415"/>
        <v>2022_8</v>
      </c>
      <c r="EC160" t="str">
        <f t="shared" si="415"/>
        <v>2022_8</v>
      </c>
      <c r="ED160" t="str">
        <f t="shared" si="415"/>
        <v>2022_8</v>
      </c>
      <c r="EE160" t="str">
        <f t="shared" si="415"/>
        <v>2022_8</v>
      </c>
      <c r="EF160" t="str">
        <f t="shared" si="415"/>
        <v>2022_8</v>
      </c>
      <c r="EG160" t="str">
        <f t="shared" si="415"/>
        <v>2022_8</v>
      </c>
      <c r="EH160" t="str">
        <f t="shared" si="415"/>
        <v>2022_8</v>
      </c>
      <c r="EI160" t="str">
        <f t="shared" si="415"/>
        <v>2022_8</v>
      </c>
      <c r="EJ160" t="str">
        <f t="shared" si="415"/>
        <v>2022_8</v>
      </c>
      <c r="EK160" t="str">
        <f t="shared" si="414"/>
        <v>2022_8</v>
      </c>
      <c r="EL160" t="str">
        <f t="shared" si="414"/>
        <v>2022_8</v>
      </c>
      <c r="EM160" t="str">
        <f t="shared" si="414"/>
        <v>2022_8</v>
      </c>
      <c r="EN160" t="str">
        <f t="shared" si="414"/>
        <v>2022_8</v>
      </c>
      <c r="EO160" t="str">
        <f t="shared" si="414"/>
        <v>2022_8</v>
      </c>
      <c r="EP160" t="str">
        <f t="shared" si="414"/>
        <v>2022_8</v>
      </c>
      <c r="EQ160" t="str">
        <f t="shared" si="414"/>
        <v>2022_8</v>
      </c>
      <c r="ER160" t="str">
        <f t="shared" si="414"/>
        <v>2022_8</v>
      </c>
      <c r="ES160" t="str">
        <f t="shared" si="414"/>
        <v>2022_8</v>
      </c>
      <c r="ET160" t="str">
        <f t="shared" si="414"/>
        <v>2022_8</v>
      </c>
      <c r="EU160" t="str">
        <f t="shared" si="414"/>
        <v>2022_8</v>
      </c>
      <c r="EV160" t="str">
        <f t="shared" si="414"/>
        <v>2022_8</v>
      </c>
      <c r="EW160" t="str">
        <f t="shared" si="414"/>
        <v>2022_8</v>
      </c>
      <c r="EX160" t="str">
        <f t="shared" si="414"/>
        <v>2022_8</v>
      </c>
      <c r="EY160" t="str">
        <f t="shared" si="414"/>
        <v>2022_8</v>
      </c>
      <c r="FB160" s="10" t="s">
        <v>37</v>
      </c>
      <c r="FC160">
        <f t="shared" si="413"/>
        <v>0</v>
      </c>
      <c r="FD160">
        <f t="shared" si="363"/>
        <v>0</v>
      </c>
      <c r="FE160">
        <f t="shared" si="364"/>
        <v>0</v>
      </c>
      <c r="FF160">
        <f t="shared" si="365"/>
        <v>0</v>
      </c>
      <c r="FG160">
        <f t="shared" si="366"/>
        <v>0</v>
      </c>
      <c r="FH160">
        <f t="shared" si="367"/>
        <v>0</v>
      </c>
      <c r="FI160">
        <f t="shared" si="368"/>
        <v>0</v>
      </c>
      <c r="FJ160">
        <f t="shared" si="369"/>
        <v>0</v>
      </c>
      <c r="FK160">
        <f t="shared" si="370"/>
        <v>0</v>
      </c>
      <c r="FL160">
        <f t="shared" si="371"/>
        <v>0</v>
      </c>
      <c r="FM160">
        <f t="shared" si="372"/>
        <v>0</v>
      </c>
      <c r="FN160">
        <f t="shared" si="373"/>
        <v>0</v>
      </c>
      <c r="FO160">
        <f t="shared" si="374"/>
        <v>0</v>
      </c>
      <c r="FP160">
        <f t="shared" si="375"/>
        <v>0</v>
      </c>
      <c r="FQ160">
        <f t="shared" si="376"/>
        <v>0</v>
      </c>
      <c r="FR160">
        <f t="shared" si="377"/>
        <v>0</v>
      </c>
      <c r="FS160">
        <f t="shared" si="378"/>
        <v>0</v>
      </c>
      <c r="FT160">
        <f t="shared" si="379"/>
        <v>0</v>
      </c>
      <c r="FU160">
        <f t="shared" si="380"/>
        <v>0</v>
      </c>
      <c r="FV160">
        <f t="shared" si="381"/>
        <v>0</v>
      </c>
      <c r="FW160">
        <f t="shared" si="382"/>
        <v>0</v>
      </c>
      <c r="FX160">
        <f t="shared" si="383"/>
        <v>0</v>
      </c>
      <c r="FY160">
        <f t="shared" si="384"/>
        <v>0</v>
      </c>
      <c r="FZ160">
        <f t="shared" si="385"/>
        <v>0</v>
      </c>
      <c r="GA160">
        <f t="shared" si="386"/>
        <v>0</v>
      </c>
      <c r="GB160">
        <f t="shared" si="387"/>
        <v>0</v>
      </c>
      <c r="GC160">
        <f t="shared" si="388"/>
        <v>0</v>
      </c>
      <c r="GD160">
        <f t="shared" si="389"/>
        <v>0</v>
      </c>
      <c r="GE160">
        <f t="shared" si="390"/>
        <v>1</v>
      </c>
      <c r="GF160">
        <f t="shared" si="391"/>
        <v>1</v>
      </c>
      <c r="GG160">
        <f t="shared" si="392"/>
        <v>1</v>
      </c>
      <c r="GH160">
        <f t="shared" si="393"/>
        <v>1</v>
      </c>
      <c r="GI160">
        <f t="shared" si="394"/>
        <v>1</v>
      </c>
      <c r="GJ160">
        <f t="shared" si="395"/>
        <v>1</v>
      </c>
      <c r="GK160">
        <f t="shared" si="396"/>
        <v>1</v>
      </c>
      <c r="GL160">
        <f t="shared" si="397"/>
        <v>1</v>
      </c>
      <c r="GM160">
        <f t="shared" si="398"/>
        <v>1</v>
      </c>
      <c r="GN160">
        <f t="shared" si="399"/>
        <v>1</v>
      </c>
      <c r="GO160">
        <f t="shared" si="400"/>
        <v>1</v>
      </c>
      <c r="GP160">
        <f t="shared" si="401"/>
        <v>1</v>
      </c>
      <c r="GQ160">
        <f t="shared" si="402"/>
        <v>1</v>
      </c>
      <c r="GR160">
        <f t="shared" si="403"/>
        <v>1</v>
      </c>
      <c r="GS160">
        <f t="shared" si="404"/>
        <v>1</v>
      </c>
      <c r="GT160">
        <f t="shared" si="405"/>
        <v>1</v>
      </c>
      <c r="GU160">
        <f t="shared" si="406"/>
        <v>1</v>
      </c>
      <c r="GX160" s="10"/>
    </row>
    <row r="161" spans="1:206" x14ac:dyDescent="0.3">
      <c r="A161" s="27" t="s">
        <v>124</v>
      </c>
      <c r="B161" s="82"/>
      <c r="C161" s="27">
        <v>3150033000</v>
      </c>
      <c r="D161" s="27" t="s">
        <v>462</v>
      </c>
      <c r="E161" s="27" t="s">
        <v>34</v>
      </c>
      <c r="F161" s="27" t="s">
        <v>35</v>
      </c>
      <c r="G161" s="27" t="s">
        <v>193</v>
      </c>
      <c r="H161" s="10">
        <v>44788</v>
      </c>
      <c r="I161" s="9">
        <f t="shared" si="407"/>
        <v>2022</v>
      </c>
      <c r="J161" s="9">
        <f t="shared" si="408"/>
        <v>8</v>
      </c>
      <c r="K161" s="9" t="str">
        <f t="shared" si="409"/>
        <v>2022_8</v>
      </c>
      <c r="L161">
        <f>MAX(0,VLOOKUP($K161,lookups!$A$1:$B$45,2,0)-12)</f>
        <v>16</v>
      </c>
      <c r="M161" s="40">
        <f t="shared" si="410"/>
        <v>44774</v>
      </c>
      <c r="N161" s="10" t="s">
        <v>37</v>
      </c>
      <c r="O161" t="str">
        <f ca="1">IF(OR($L161&gt;O$4,O$4&gt;$L161+23),"",OFFSET(Electric!$L152,0,-'Electric Calendarize'!$L161+'Electric Calendarize'!O$4+1))</f>
        <v/>
      </c>
      <c r="P161" t="str">
        <f ca="1">IF(OR($L161&gt;P$4,P$4&gt;$L161+23),"",OFFSET(Electric!$L152,0,-'Electric Calendarize'!$L161+'Electric Calendarize'!P$4+1))</f>
        <v/>
      </c>
      <c r="Q161" t="str">
        <f ca="1">IF(OR($L161&gt;Q$4,Q$4&gt;$L161+23),"",OFFSET(Electric!$L152,0,-'Electric Calendarize'!$L161+'Electric Calendarize'!Q$4+1))</f>
        <v/>
      </c>
      <c r="R161" t="str">
        <f ca="1">IF(OR($L161&gt;R$4,R$4&gt;$L161+23),"",OFFSET(Electric!$L152,0,-'Electric Calendarize'!$L161+'Electric Calendarize'!R$4+1))</f>
        <v/>
      </c>
      <c r="S161" t="str">
        <f ca="1">IF(OR($L161&gt;S$4,S$4&gt;$L161+23),"",OFFSET(Electric!$L152,0,-'Electric Calendarize'!$L161+'Electric Calendarize'!S$4+1))</f>
        <v/>
      </c>
      <c r="T161" t="str">
        <f ca="1">IF(OR($L161&gt;T$4,T$4&gt;$L161+23),"",OFFSET(Electric!$L152,0,-'Electric Calendarize'!$L161+'Electric Calendarize'!T$4+1))</f>
        <v/>
      </c>
      <c r="U161" t="str">
        <f ca="1">IF(OR($L161&gt;U$4,U$4&gt;$L161+23),"",OFFSET(Electric!$L152,0,-'Electric Calendarize'!$L161+'Electric Calendarize'!U$4+1))</f>
        <v/>
      </c>
      <c r="V161" t="str">
        <f ca="1">IF(OR($L161&gt;V$4,V$4&gt;$L161+23),"",OFFSET(Electric!$L152,0,-'Electric Calendarize'!$L161+'Electric Calendarize'!V$4+1))</f>
        <v/>
      </c>
      <c r="W161" t="str">
        <f ca="1">IF(OR($L161&gt;W$4,W$4&gt;$L161+23),"",OFFSET(Electric!$L152,0,-'Electric Calendarize'!$L161+'Electric Calendarize'!W$4+1))</f>
        <v/>
      </c>
      <c r="X161" t="str">
        <f ca="1">IF(OR($L161&gt;X$4,X$4&gt;$L161+23),"",OFFSET(Electric!$L152,0,-'Electric Calendarize'!$L161+'Electric Calendarize'!X$4+1))</f>
        <v/>
      </c>
      <c r="Y161" t="str">
        <f ca="1">IF(OR($L161&gt;Y$4,Y$4&gt;$L161+23),"",OFFSET(Electric!$L152,0,-'Electric Calendarize'!$L161+'Electric Calendarize'!Y$4+1))</f>
        <v/>
      </c>
      <c r="Z161" t="str">
        <f ca="1">IF(OR($L161&gt;Z$4,Z$4&gt;$L161+23),"",OFFSET(Electric!$L152,0,-'Electric Calendarize'!$L161+'Electric Calendarize'!Z$4+1))</f>
        <v/>
      </c>
      <c r="AA161" t="str">
        <f ca="1">IF(OR($L161&gt;AA$4,AA$4&gt;$L161+23),"",OFFSET(Electric!$L152,0,-'Electric Calendarize'!$L161+'Electric Calendarize'!AA$4+1))</f>
        <v/>
      </c>
      <c r="AB161" t="str">
        <f ca="1">IF(OR($L161&gt;AB$4,AB$4&gt;$L161+23),"",OFFSET(Electric!$L152,0,-'Electric Calendarize'!$L161+'Electric Calendarize'!AB$4+1))</f>
        <v/>
      </c>
      <c r="AC161" t="str">
        <f ca="1">IF(OR($L161&gt;AC$4,AC$4&gt;$L161+23),"",OFFSET(Electric!$L152,0,-'Electric Calendarize'!$L161+'Electric Calendarize'!AC$4+1))</f>
        <v/>
      </c>
      <c r="AD161" t="str">
        <f ca="1">IF(OR($L161&gt;AD$4,AD$4&gt;$L161+23),"",OFFSET(Electric!$L152,0,-'Electric Calendarize'!$L161+'Electric Calendarize'!AD$4+1))</f>
        <v/>
      </c>
      <c r="AE161">
        <f ca="1">IF(OR($L161&gt;AE$4,AE$4&gt;$L161+23),"",OFFSET(Electric!$L152,0,-'Electric Calendarize'!$L161+'Electric Calendarize'!AE$4+1))</f>
        <v>988</v>
      </c>
      <c r="AF161">
        <f ca="1">IF(OR($L161&gt;AF$4,AF$4&gt;$L161+23),"",OFFSET(Electric!$L152,0,-'Electric Calendarize'!$L161+'Electric Calendarize'!AF$4+1))</f>
        <v>868</v>
      </c>
      <c r="AG161">
        <f ca="1">IF(OR($L161&gt;AG$4,AG$4&gt;$L161+23),"",OFFSET(Electric!$L152,0,-'Electric Calendarize'!$L161+'Electric Calendarize'!AG$4+1))</f>
        <v>766</v>
      </c>
      <c r="AH161">
        <f ca="1">IF(OR($L161&gt;AH$4,AH$4&gt;$L161+23),"",OFFSET(Electric!$L152,0,-'Electric Calendarize'!$L161+'Electric Calendarize'!AH$4+1))</f>
        <v>848</v>
      </c>
      <c r="AI161">
        <f ca="1">IF(OR($L161&gt;AI$4,AI$4&gt;$L161+23),"",OFFSET(Electric!$L152,0,-'Electric Calendarize'!$L161+'Electric Calendarize'!AI$4+1))</f>
        <v>966</v>
      </c>
      <c r="AJ161">
        <f ca="1">IF(OR($L161&gt;AJ$4,AJ$4&gt;$L161+23),"",OFFSET(Electric!$L152,0,-'Electric Calendarize'!$L161+'Electric Calendarize'!AJ$4+1))</f>
        <v>1206</v>
      </c>
      <c r="AK161">
        <f ca="1">IF(OR($L161&gt;AK$4,AK$4&gt;$L161+23),"",OFFSET(Electric!$L152,0,-'Electric Calendarize'!$L161+'Electric Calendarize'!AK$4+1))</f>
        <v>974</v>
      </c>
      <c r="AL161">
        <f ca="1">IF(OR($L161&gt;AL$4,AL$4&gt;$L161+23),"",OFFSET(Electric!$L152,0,-'Electric Calendarize'!$L161+'Electric Calendarize'!AL$4+1))</f>
        <v>876</v>
      </c>
      <c r="AM161">
        <f ca="1">IF(OR($L161&gt;AM$4,AM$4&gt;$L161+23),"",OFFSET(Electric!$L152,0,-'Electric Calendarize'!$L161+'Electric Calendarize'!AM$4+1))</f>
        <v>706</v>
      </c>
      <c r="AN161">
        <f ca="1">IF(OR($L161&gt;AN$4,AN$4&gt;$L161+23),"",OFFSET(Electric!$L152,0,-'Electric Calendarize'!$L161+'Electric Calendarize'!AN$4+1))</f>
        <v>618</v>
      </c>
      <c r="AO161">
        <f ca="1">IF(OR($L161&gt;AO$4,AO$4&gt;$L161+23),"",OFFSET(Electric!$L152,0,-'Electric Calendarize'!$L161+'Electric Calendarize'!AO$4+1))</f>
        <v>652</v>
      </c>
      <c r="AP161">
        <f ca="1">IF(OR($L161&gt;AP$4,AP$4&gt;$L161+23),"",OFFSET(Electric!$L152,0,-'Electric Calendarize'!$L161+'Electric Calendarize'!AP$4+1))</f>
        <v>648</v>
      </c>
      <c r="AQ161">
        <f ca="1">IF(OR($L161&gt;AQ$4,AQ$4&gt;$L161+23),"",OFFSET(Electric!$L152,0,-'Electric Calendarize'!$L161+'Electric Calendarize'!AQ$4+1))</f>
        <v>642</v>
      </c>
      <c r="AR161">
        <f ca="1">IF(OR($L161&gt;AR$4,AR$4&gt;$L161+23),"",OFFSET(Electric!$L152,0,-'Electric Calendarize'!$L161+'Electric Calendarize'!AR$4+1))</f>
        <v>922</v>
      </c>
      <c r="AS161">
        <f ca="1">IF(OR($L161&gt;AS$4,AS$4&gt;$L161+23),"",OFFSET(Electric!$L152,0,-'Electric Calendarize'!$L161+'Electric Calendarize'!AS$4+1))</f>
        <v>1050</v>
      </c>
      <c r="AT161">
        <f ca="1">IF(OR($L161&gt;AT$4,AT$4&gt;$L161+23),"",OFFSET(Electric!$L152,0,-'Electric Calendarize'!$L161+'Electric Calendarize'!AT$4+1))</f>
        <v>1300</v>
      </c>
      <c r="AU161">
        <f ca="1">IF(OR($L161&gt;AU$4,AU$4&gt;$L161+23),"",OFFSET(Electric!$L152,0,-'Electric Calendarize'!$L161+'Electric Calendarize'!AU$4+1))</f>
        <v>3048</v>
      </c>
      <c r="AV161">
        <f ca="1">IF(OR($L161&gt;AV$4,AV$4&gt;$L161+23),"",OFFSET(Electric!$L152,0,-'Electric Calendarize'!$L161+'Electric Calendarize'!AV$4+1))</f>
        <v>4190</v>
      </c>
      <c r="AW161">
        <f ca="1">IF(OR($L161&gt;AW$4,AW$4&gt;$L161+23),"",OFFSET(Electric!$L152,0,-'Electric Calendarize'!$L161+'Electric Calendarize'!AW$4+1))</f>
        <v>3322</v>
      </c>
      <c r="AX161">
        <f ca="1">IF(OR($L161&gt;AX$4,AX$4&gt;$L161+23),"",OFFSET(Electric!$L152,0,-'Electric Calendarize'!$L161+'Electric Calendarize'!AX$4+1))</f>
        <v>3326</v>
      </c>
      <c r="AY161">
        <f ca="1">IF(OR($L161&gt;AY$4,AY$4&gt;$L161+23),"",OFFSET(Electric!$L152,0,-'Electric Calendarize'!$L161+'Electric Calendarize'!AY$4+1))</f>
        <v>1986</v>
      </c>
      <c r="AZ161">
        <f ca="1">IF(OR($L161&gt;AZ$4,AZ$4&gt;$L161+23),"",OFFSET(Electric!$L152,0,-'Electric Calendarize'!$L161+'Electric Calendarize'!AZ$4+1))</f>
        <v>800</v>
      </c>
      <c r="BA161">
        <f ca="1">IF(OR($L161&gt;BA$4,BA$4&gt;$L161+23),"",OFFSET(Electric!$L152,0,-'Electric Calendarize'!$L161+'Electric Calendarize'!BA$4+1))</f>
        <v>634</v>
      </c>
      <c r="BB161">
        <f ca="1">IF(OR($L161&gt;BB$4,BB$4&gt;$L161+23),"",OFFSET(Electric!$L152,0,-'Electric Calendarize'!$L161+'Electric Calendarize'!BB$4+1))</f>
        <v>1242</v>
      </c>
      <c r="BC161" t="str">
        <f ca="1">IF(OR($L161&gt;BC$4,BC$4&gt;$L161+23),"",OFFSET(Electric!$L152,0,-'Electric Calendarize'!$L161+'Electric Calendarize'!BC$4+1))</f>
        <v/>
      </c>
      <c r="BD161" t="str">
        <f ca="1">IF(OR($L161&gt;BD$4,BD$4&gt;$L161+23),"",OFFSET(Electric!$L152,0,-'Electric Calendarize'!$L161+'Electric Calendarize'!BD$4+1))</f>
        <v/>
      </c>
      <c r="BE161" t="str">
        <f ca="1">IF(OR($L161&gt;BE$4,BE$4&gt;$L161+23),"",OFFSET(Electric!$L152,0,-'Electric Calendarize'!$L161+'Electric Calendarize'!BE$4+1))</f>
        <v/>
      </c>
      <c r="BF161" t="str">
        <f ca="1">IF(OR($L161&gt;BF$4,BF$4&gt;$L161+23),"",OFFSET(Electric!$L152,0,-'Electric Calendarize'!$L161+'Electric Calendarize'!BF$4+1))</f>
        <v/>
      </c>
      <c r="BG161" t="str">
        <f ca="1">IF(OR($L161&gt;BG$4,BG$4&gt;$L161+23),"",OFFSET(Electric!$L152,0,-'Electric Calendarize'!$L161+'Electric Calendarize'!BG$4+1))</f>
        <v/>
      </c>
      <c r="BJ161" s="10" t="s">
        <v>37</v>
      </c>
      <c r="BK161">
        <f t="shared" si="411"/>
        <v>1</v>
      </c>
      <c r="BL161">
        <f t="shared" si="317"/>
        <v>0</v>
      </c>
      <c r="BM161">
        <f t="shared" si="318"/>
        <v>0</v>
      </c>
      <c r="BN161">
        <f t="shared" si="319"/>
        <v>0</v>
      </c>
      <c r="BO161">
        <f t="shared" si="320"/>
        <v>0</v>
      </c>
      <c r="BP161">
        <f t="shared" si="321"/>
        <v>0</v>
      </c>
      <c r="BQ161">
        <f t="shared" si="322"/>
        <v>0</v>
      </c>
      <c r="BR161">
        <f t="shared" si="323"/>
        <v>1</v>
      </c>
      <c r="BS161">
        <f t="shared" si="324"/>
        <v>1</v>
      </c>
      <c r="BT161">
        <f t="shared" si="325"/>
        <v>1</v>
      </c>
      <c r="BU161">
        <f t="shared" si="326"/>
        <v>1</v>
      </c>
      <c r="BV161">
        <f t="shared" si="327"/>
        <v>1</v>
      </c>
      <c r="BW161">
        <f t="shared" si="328"/>
        <v>1</v>
      </c>
      <c r="BX161">
        <f t="shared" si="329"/>
        <v>0</v>
      </c>
      <c r="BY161">
        <f t="shared" si="330"/>
        <v>0</v>
      </c>
      <c r="BZ161">
        <f t="shared" si="331"/>
        <v>0</v>
      </c>
      <c r="CA161">
        <f t="shared" si="332"/>
        <v>0</v>
      </c>
      <c r="CB161">
        <f t="shared" si="333"/>
        <v>0</v>
      </c>
      <c r="CC161">
        <f t="shared" si="334"/>
        <v>0</v>
      </c>
      <c r="CD161">
        <f t="shared" si="335"/>
        <v>1</v>
      </c>
      <c r="CE161">
        <f t="shared" si="336"/>
        <v>1</v>
      </c>
      <c r="CF161">
        <f t="shared" si="337"/>
        <v>1</v>
      </c>
      <c r="CG161">
        <f t="shared" si="338"/>
        <v>1</v>
      </c>
      <c r="CH161">
        <f t="shared" si="339"/>
        <v>1</v>
      </c>
      <c r="CI161">
        <f t="shared" si="340"/>
        <v>1</v>
      </c>
      <c r="CJ161">
        <f t="shared" si="341"/>
        <v>0</v>
      </c>
      <c r="CK161">
        <f t="shared" si="342"/>
        <v>0</v>
      </c>
      <c r="CL161">
        <f t="shared" si="343"/>
        <v>0</v>
      </c>
      <c r="CM161">
        <f t="shared" si="344"/>
        <v>0</v>
      </c>
      <c r="CN161">
        <f t="shared" si="345"/>
        <v>0</v>
      </c>
      <c r="CO161">
        <f t="shared" si="346"/>
        <v>0</v>
      </c>
      <c r="CP161">
        <f t="shared" si="347"/>
        <v>1</v>
      </c>
      <c r="CQ161">
        <f t="shared" si="348"/>
        <v>1</v>
      </c>
      <c r="CR161">
        <f t="shared" si="349"/>
        <v>1</v>
      </c>
      <c r="CS161">
        <f t="shared" si="350"/>
        <v>1</v>
      </c>
      <c r="CT161">
        <f t="shared" si="351"/>
        <v>1</v>
      </c>
      <c r="CU161">
        <f t="shared" si="352"/>
        <v>1</v>
      </c>
      <c r="CV161">
        <f t="shared" si="353"/>
        <v>0</v>
      </c>
      <c r="CW161">
        <f t="shared" si="354"/>
        <v>0</v>
      </c>
      <c r="CX161">
        <f t="shared" si="355"/>
        <v>0</v>
      </c>
      <c r="CY161">
        <f t="shared" si="356"/>
        <v>0</v>
      </c>
      <c r="CZ161">
        <f t="shared" si="357"/>
        <v>0</v>
      </c>
      <c r="DA161">
        <f t="shared" si="358"/>
        <v>0</v>
      </c>
      <c r="DB161">
        <f t="shared" si="359"/>
        <v>1</v>
      </c>
      <c r="DC161">
        <f t="shared" si="360"/>
        <v>1</v>
      </c>
      <c r="DF161" s="10" t="s">
        <v>37</v>
      </c>
      <c r="DG161" t="str">
        <f t="shared" si="416"/>
        <v>2022_8</v>
      </c>
      <c r="DH161" t="str">
        <f t="shared" si="416"/>
        <v>2022_8</v>
      </c>
      <c r="DI161" t="str">
        <f t="shared" si="416"/>
        <v>2022_8</v>
      </c>
      <c r="DJ161" t="str">
        <f t="shared" si="416"/>
        <v>2022_8</v>
      </c>
      <c r="DK161" t="str">
        <f t="shared" si="416"/>
        <v>2022_8</v>
      </c>
      <c r="DL161" t="str">
        <f t="shared" si="416"/>
        <v>2022_8</v>
      </c>
      <c r="DM161" t="str">
        <f t="shared" si="416"/>
        <v>2022_8</v>
      </c>
      <c r="DN161" t="str">
        <f t="shared" si="416"/>
        <v>2022_8</v>
      </c>
      <c r="DO161" t="str">
        <f t="shared" si="416"/>
        <v>2022_8</v>
      </c>
      <c r="DP161" t="str">
        <f t="shared" si="416"/>
        <v>2022_8</v>
      </c>
      <c r="DQ161" t="str">
        <f t="shared" si="416"/>
        <v>2022_8</v>
      </c>
      <c r="DR161" t="str">
        <f t="shared" si="416"/>
        <v>2022_8</v>
      </c>
      <c r="DS161" t="str">
        <f t="shared" si="416"/>
        <v>2022_8</v>
      </c>
      <c r="DT161" t="str">
        <f t="shared" si="416"/>
        <v>2022_8</v>
      </c>
      <c r="DU161" t="str">
        <f t="shared" si="416"/>
        <v>2022_8</v>
      </c>
      <c r="DV161" t="str">
        <f t="shared" si="416"/>
        <v>2022_8</v>
      </c>
      <c r="DW161" t="str">
        <f t="shared" si="415"/>
        <v>2022_8</v>
      </c>
      <c r="DX161" t="str">
        <f t="shared" si="415"/>
        <v>2022_8</v>
      </c>
      <c r="DY161" t="str">
        <f t="shared" si="415"/>
        <v>2022_8</v>
      </c>
      <c r="DZ161" t="str">
        <f t="shared" si="415"/>
        <v>2022_8</v>
      </c>
      <c r="EA161" t="str">
        <f t="shared" si="415"/>
        <v>2022_8</v>
      </c>
      <c r="EB161" t="str">
        <f t="shared" si="415"/>
        <v>2022_8</v>
      </c>
      <c r="EC161" t="str">
        <f t="shared" si="415"/>
        <v>2022_8</v>
      </c>
      <c r="ED161" t="str">
        <f t="shared" si="415"/>
        <v>2022_8</v>
      </c>
      <c r="EE161" t="str">
        <f t="shared" si="415"/>
        <v>2022_8</v>
      </c>
      <c r="EF161" t="str">
        <f t="shared" si="415"/>
        <v>2022_8</v>
      </c>
      <c r="EG161" t="str">
        <f t="shared" si="415"/>
        <v>2022_8</v>
      </c>
      <c r="EH161" t="str">
        <f t="shared" si="415"/>
        <v>2022_8</v>
      </c>
      <c r="EI161" t="str">
        <f t="shared" si="415"/>
        <v>2022_8</v>
      </c>
      <c r="EJ161" t="str">
        <f t="shared" si="415"/>
        <v>2022_8</v>
      </c>
      <c r="EK161" t="str">
        <f t="shared" si="414"/>
        <v>2022_8</v>
      </c>
      <c r="EL161" t="str">
        <f t="shared" si="414"/>
        <v>2022_8</v>
      </c>
      <c r="EM161" t="str">
        <f t="shared" si="414"/>
        <v>2022_8</v>
      </c>
      <c r="EN161" t="str">
        <f t="shared" si="414"/>
        <v>2022_8</v>
      </c>
      <c r="EO161" t="str">
        <f t="shared" si="414"/>
        <v>2022_8</v>
      </c>
      <c r="EP161" t="str">
        <f t="shared" si="414"/>
        <v>2022_8</v>
      </c>
      <c r="EQ161" t="str">
        <f t="shared" si="414"/>
        <v>2022_8</v>
      </c>
      <c r="ER161" t="str">
        <f t="shared" si="414"/>
        <v>2022_8</v>
      </c>
      <c r="ES161" t="str">
        <f t="shared" si="414"/>
        <v>2022_8</v>
      </c>
      <c r="ET161" t="str">
        <f t="shared" si="414"/>
        <v>2022_8</v>
      </c>
      <c r="EU161" t="str">
        <f t="shared" si="414"/>
        <v>2022_8</v>
      </c>
      <c r="EV161" t="str">
        <f t="shared" si="414"/>
        <v>2022_8</v>
      </c>
      <c r="EW161" t="str">
        <f t="shared" si="414"/>
        <v>2022_8</v>
      </c>
      <c r="EX161" t="str">
        <f t="shared" si="414"/>
        <v>2022_8</v>
      </c>
      <c r="EY161" t="str">
        <f t="shared" si="414"/>
        <v>2022_8</v>
      </c>
      <c r="FB161" s="10" t="s">
        <v>37</v>
      </c>
      <c r="FC161">
        <f t="shared" si="413"/>
        <v>0</v>
      </c>
      <c r="FD161">
        <f t="shared" si="363"/>
        <v>0</v>
      </c>
      <c r="FE161">
        <f t="shared" si="364"/>
        <v>0</v>
      </c>
      <c r="FF161">
        <f t="shared" si="365"/>
        <v>0</v>
      </c>
      <c r="FG161">
        <f t="shared" si="366"/>
        <v>0</v>
      </c>
      <c r="FH161">
        <f t="shared" si="367"/>
        <v>0</v>
      </c>
      <c r="FI161">
        <f t="shared" si="368"/>
        <v>0</v>
      </c>
      <c r="FJ161">
        <f t="shared" si="369"/>
        <v>0</v>
      </c>
      <c r="FK161">
        <f t="shared" si="370"/>
        <v>0</v>
      </c>
      <c r="FL161">
        <f t="shared" si="371"/>
        <v>0</v>
      </c>
      <c r="FM161">
        <f t="shared" si="372"/>
        <v>0</v>
      </c>
      <c r="FN161">
        <f t="shared" si="373"/>
        <v>0</v>
      </c>
      <c r="FO161">
        <f t="shared" si="374"/>
        <v>0</v>
      </c>
      <c r="FP161">
        <f t="shared" si="375"/>
        <v>0</v>
      </c>
      <c r="FQ161">
        <f t="shared" si="376"/>
        <v>0</v>
      </c>
      <c r="FR161">
        <f t="shared" si="377"/>
        <v>0</v>
      </c>
      <c r="FS161">
        <f t="shared" si="378"/>
        <v>0</v>
      </c>
      <c r="FT161">
        <f t="shared" si="379"/>
        <v>0</v>
      </c>
      <c r="FU161">
        <f t="shared" si="380"/>
        <v>0</v>
      </c>
      <c r="FV161">
        <f t="shared" si="381"/>
        <v>0</v>
      </c>
      <c r="FW161">
        <f t="shared" si="382"/>
        <v>0</v>
      </c>
      <c r="FX161">
        <f t="shared" si="383"/>
        <v>0</v>
      </c>
      <c r="FY161">
        <f t="shared" si="384"/>
        <v>0</v>
      </c>
      <c r="FZ161">
        <f t="shared" si="385"/>
        <v>0</v>
      </c>
      <c r="GA161">
        <f t="shared" si="386"/>
        <v>0</v>
      </c>
      <c r="GB161">
        <f t="shared" si="387"/>
        <v>0</v>
      </c>
      <c r="GC161">
        <f t="shared" si="388"/>
        <v>0</v>
      </c>
      <c r="GD161">
        <f t="shared" si="389"/>
        <v>0</v>
      </c>
      <c r="GE161">
        <f t="shared" si="390"/>
        <v>1</v>
      </c>
      <c r="GF161">
        <f t="shared" si="391"/>
        <v>1</v>
      </c>
      <c r="GG161">
        <f t="shared" si="392"/>
        <v>1</v>
      </c>
      <c r="GH161">
        <f t="shared" si="393"/>
        <v>1</v>
      </c>
      <c r="GI161">
        <f t="shared" si="394"/>
        <v>1</v>
      </c>
      <c r="GJ161">
        <f t="shared" si="395"/>
        <v>1</v>
      </c>
      <c r="GK161">
        <f t="shared" si="396"/>
        <v>1</v>
      </c>
      <c r="GL161">
        <f t="shared" si="397"/>
        <v>1</v>
      </c>
      <c r="GM161">
        <f t="shared" si="398"/>
        <v>1</v>
      </c>
      <c r="GN161">
        <f t="shared" si="399"/>
        <v>1</v>
      </c>
      <c r="GO161">
        <f t="shared" si="400"/>
        <v>1</v>
      </c>
      <c r="GP161">
        <f t="shared" si="401"/>
        <v>1</v>
      </c>
      <c r="GQ161">
        <f t="shared" si="402"/>
        <v>1</v>
      </c>
      <c r="GR161">
        <f t="shared" si="403"/>
        <v>1</v>
      </c>
      <c r="GS161">
        <f t="shared" si="404"/>
        <v>1</v>
      </c>
      <c r="GT161">
        <f t="shared" si="405"/>
        <v>1</v>
      </c>
      <c r="GU161">
        <f t="shared" si="406"/>
        <v>1</v>
      </c>
      <c r="GX161" s="10"/>
    </row>
    <row r="162" spans="1:206" x14ac:dyDescent="0.3">
      <c r="A162" s="27" t="s">
        <v>191</v>
      </c>
      <c r="B162" s="82"/>
      <c r="C162" s="27">
        <v>3140492000</v>
      </c>
      <c r="D162" s="27" t="s">
        <v>463</v>
      </c>
      <c r="E162" s="27" t="s">
        <v>43</v>
      </c>
      <c r="F162" s="27" t="s">
        <v>35</v>
      </c>
      <c r="G162" s="27" t="s">
        <v>194</v>
      </c>
      <c r="H162" s="10">
        <v>44789</v>
      </c>
      <c r="I162" s="9">
        <f t="shared" si="407"/>
        <v>2022</v>
      </c>
      <c r="J162" s="9">
        <f t="shared" si="408"/>
        <v>8</v>
      </c>
      <c r="K162" s="9" t="str">
        <f t="shared" si="409"/>
        <v>2022_8</v>
      </c>
      <c r="L162">
        <f>MAX(0,VLOOKUP($K162,lookups!$A$1:$B$45,2,0)-12)</f>
        <v>16</v>
      </c>
      <c r="M162" s="40">
        <f t="shared" si="410"/>
        <v>44774</v>
      </c>
      <c r="N162" s="10" t="s">
        <v>37</v>
      </c>
      <c r="O162" t="str">
        <f ca="1">IF(OR($L162&gt;O$4,O$4&gt;$L162+23),"",OFFSET(Electric!$L153,0,-'Electric Calendarize'!$L162+'Electric Calendarize'!O$4+1))</f>
        <v/>
      </c>
      <c r="P162" t="str">
        <f ca="1">IF(OR($L162&gt;P$4,P$4&gt;$L162+23),"",OFFSET(Electric!$L153,0,-'Electric Calendarize'!$L162+'Electric Calendarize'!P$4+1))</f>
        <v/>
      </c>
      <c r="Q162" t="str">
        <f ca="1">IF(OR($L162&gt;Q$4,Q$4&gt;$L162+23),"",OFFSET(Electric!$L153,0,-'Electric Calendarize'!$L162+'Electric Calendarize'!Q$4+1))</f>
        <v/>
      </c>
      <c r="R162" t="str">
        <f ca="1">IF(OR($L162&gt;R$4,R$4&gt;$L162+23),"",OFFSET(Electric!$L153,0,-'Electric Calendarize'!$L162+'Electric Calendarize'!R$4+1))</f>
        <v/>
      </c>
      <c r="S162" t="str">
        <f ca="1">IF(OR($L162&gt;S$4,S$4&gt;$L162+23),"",OFFSET(Electric!$L153,0,-'Electric Calendarize'!$L162+'Electric Calendarize'!S$4+1))</f>
        <v/>
      </c>
      <c r="T162" t="str">
        <f ca="1">IF(OR($L162&gt;T$4,T$4&gt;$L162+23),"",OFFSET(Electric!$L153,0,-'Electric Calendarize'!$L162+'Electric Calendarize'!T$4+1))</f>
        <v/>
      </c>
      <c r="U162" t="str">
        <f ca="1">IF(OR($L162&gt;U$4,U$4&gt;$L162+23),"",OFFSET(Electric!$L153,0,-'Electric Calendarize'!$L162+'Electric Calendarize'!U$4+1))</f>
        <v/>
      </c>
      <c r="V162" t="str">
        <f ca="1">IF(OR($L162&gt;V$4,V$4&gt;$L162+23),"",OFFSET(Electric!$L153,0,-'Electric Calendarize'!$L162+'Electric Calendarize'!V$4+1))</f>
        <v/>
      </c>
      <c r="W162" t="str">
        <f ca="1">IF(OR($L162&gt;W$4,W$4&gt;$L162+23),"",OFFSET(Electric!$L153,0,-'Electric Calendarize'!$L162+'Electric Calendarize'!W$4+1))</f>
        <v/>
      </c>
      <c r="X162" t="str">
        <f ca="1">IF(OR($L162&gt;X$4,X$4&gt;$L162+23),"",OFFSET(Electric!$L153,0,-'Electric Calendarize'!$L162+'Electric Calendarize'!X$4+1))</f>
        <v/>
      </c>
      <c r="Y162" t="str">
        <f ca="1">IF(OR($L162&gt;Y$4,Y$4&gt;$L162+23),"",OFFSET(Electric!$L153,0,-'Electric Calendarize'!$L162+'Electric Calendarize'!Y$4+1))</f>
        <v/>
      </c>
      <c r="Z162" t="str">
        <f ca="1">IF(OR($L162&gt;Z$4,Z$4&gt;$L162+23),"",OFFSET(Electric!$L153,0,-'Electric Calendarize'!$L162+'Electric Calendarize'!Z$4+1))</f>
        <v/>
      </c>
      <c r="AA162" t="str">
        <f ca="1">IF(OR($L162&gt;AA$4,AA$4&gt;$L162+23),"",OFFSET(Electric!$L153,0,-'Electric Calendarize'!$L162+'Electric Calendarize'!AA$4+1))</f>
        <v/>
      </c>
      <c r="AB162" t="str">
        <f ca="1">IF(OR($L162&gt;AB$4,AB$4&gt;$L162+23),"",OFFSET(Electric!$L153,0,-'Electric Calendarize'!$L162+'Electric Calendarize'!AB$4+1))</f>
        <v/>
      </c>
      <c r="AC162" t="str">
        <f ca="1">IF(OR($L162&gt;AC$4,AC$4&gt;$L162+23),"",OFFSET(Electric!$L153,0,-'Electric Calendarize'!$L162+'Electric Calendarize'!AC$4+1))</f>
        <v/>
      </c>
      <c r="AD162" t="str">
        <f ca="1">IF(OR($L162&gt;AD$4,AD$4&gt;$L162+23),"",OFFSET(Electric!$L153,0,-'Electric Calendarize'!$L162+'Electric Calendarize'!AD$4+1))</f>
        <v/>
      </c>
      <c r="AE162">
        <f ca="1">IF(OR($L162&gt;AE$4,AE$4&gt;$L162+23),"",OFFSET(Electric!$L153,0,-'Electric Calendarize'!$L162+'Electric Calendarize'!AE$4+1))</f>
        <v>828</v>
      </c>
      <c r="AF162">
        <f ca="1">IF(OR($L162&gt;AF$4,AF$4&gt;$L162+23),"",OFFSET(Electric!$L153,0,-'Electric Calendarize'!$L162+'Electric Calendarize'!AF$4+1))</f>
        <v>631</v>
      </c>
      <c r="AG162">
        <f ca="1">IF(OR($L162&gt;AG$4,AG$4&gt;$L162+23),"",OFFSET(Electric!$L153,0,-'Electric Calendarize'!$L162+'Electric Calendarize'!AG$4+1))</f>
        <v>499</v>
      </c>
      <c r="AH162">
        <f ca="1">IF(OR($L162&gt;AH$4,AH$4&gt;$L162+23),"",OFFSET(Electric!$L153,0,-'Electric Calendarize'!$L162+'Electric Calendarize'!AH$4+1))</f>
        <v>421</v>
      </c>
      <c r="AI162">
        <f ca="1">IF(OR($L162&gt;AI$4,AI$4&gt;$L162+23),"",OFFSET(Electric!$L153,0,-'Electric Calendarize'!$L162+'Electric Calendarize'!AI$4+1))</f>
        <v>502</v>
      </c>
      <c r="AJ162">
        <f ca="1">IF(OR($L162&gt;AJ$4,AJ$4&gt;$L162+23),"",OFFSET(Electric!$L153,0,-'Electric Calendarize'!$L162+'Electric Calendarize'!AJ$4+1))</f>
        <v>542</v>
      </c>
      <c r="AK162">
        <f ca="1">IF(OR($L162&gt;AK$4,AK$4&gt;$L162+23),"",OFFSET(Electric!$L153,0,-'Electric Calendarize'!$L162+'Electric Calendarize'!AK$4+1))</f>
        <v>318</v>
      </c>
      <c r="AL162">
        <f ca="1">IF(OR($L162&gt;AL$4,AL$4&gt;$L162+23),"",OFFSET(Electric!$L153,0,-'Electric Calendarize'!$L162+'Electric Calendarize'!AL$4+1))</f>
        <v>347</v>
      </c>
      <c r="AM162">
        <f ca="1">IF(OR($L162&gt;AM$4,AM$4&gt;$L162+23),"",OFFSET(Electric!$L153,0,-'Electric Calendarize'!$L162+'Electric Calendarize'!AM$4+1))</f>
        <v>364</v>
      </c>
      <c r="AN162">
        <f ca="1">IF(OR($L162&gt;AN$4,AN$4&gt;$L162+23),"",OFFSET(Electric!$L153,0,-'Electric Calendarize'!$L162+'Electric Calendarize'!AN$4+1))</f>
        <v>406</v>
      </c>
      <c r="AO162">
        <f ca="1">IF(OR($L162&gt;AO$4,AO$4&gt;$L162+23),"",OFFSET(Electric!$L153,0,-'Electric Calendarize'!$L162+'Electric Calendarize'!AO$4+1))</f>
        <v>408</v>
      </c>
      <c r="AP162">
        <f ca="1">IF(OR($L162&gt;AP$4,AP$4&gt;$L162+23),"",OFFSET(Electric!$L153,0,-'Electric Calendarize'!$L162+'Electric Calendarize'!AP$4+1))</f>
        <v>873</v>
      </c>
      <c r="AQ162">
        <f ca="1">IF(OR($L162&gt;AQ$4,AQ$4&gt;$L162+23),"",OFFSET(Electric!$L153,0,-'Electric Calendarize'!$L162+'Electric Calendarize'!AQ$4+1))</f>
        <v>949</v>
      </c>
      <c r="AR162">
        <f ca="1">IF(OR($L162&gt;AR$4,AR$4&gt;$L162+23),"",OFFSET(Electric!$L153,0,-'Electric Calendarize'!$L162+'Electric Calendarize'!AR$4+1))</f>
        <v>644</v>
      </c>
      <c r="AS162">
        <f ca="1">IF(OR($L162&gt;AS$4,AS$4&gt;$L162+23),"",OFFSET(Electric!$L153,0,-'Electric Calendarize'!$L162+'Electric Calendarize'!AS$4+1))</f>
        <v>473</v>
      </c>
      <c r="AT162">
        <f ca="1">IF(OR($L162&gt;AT$4,AT$4&gt;$L162+23),"",OFFSET(Electric!$L153,0,-'Electric Calendarize'!$L162+'Electric Calendarize'!AT$4+1))</f>
        <v>474</v>
      </c>
      <c r="AU162">
        <f ca="1">IF(OR($L162&gt;AU$4,AU$4&gt;$L162+23),"",OFFSET(Electric!$L153,0,-'Electric Calendarize'!$L162+'Electric Calendarize'!AU$4+1))</f>
        <v>632</v>
      </c>
      <c r="AV162">
        <f ca="1">IF(OR($L162&gt;AV$4,AV$4&gt;$L162+23),"",OFFSET(Electric!$L153,0,-'Electric Calendarize'!$L162+'Electric Calendarize'!AV$4+1))</f>
        <v>576</v>
      </c>
      <c r="AW162">
        <f ca="1">IF(OR($L162&gt;AW$4,AW$4&gt;$L162+23),"",OFFSET(Electric!$L153,0,-'Electric Calendarize'!$L162+'Electric Calendarize'!AW$4+1))</f>
        <v>449</v>
      </c>
      <c r="AX162">
        <f ca="1">IF(OR($L162&gt;AX$4,AX$4&gt;$L162+23),"",OFFSET(Electric!$L153,0,-'Electric Calendarize'!$L162+'Electric Calendarize'!AX$4+1))</f>
        <v>402</v>
      </c>
      <c r="AY162">
        <f ca="1">IF(OR($L162&gt;AY$4,AY$4&gt;$L162+23),"",OFFSET(Electric!$L153,0,-'Electric Calendarize'!$L162+'Electric Calendarize'!AY$4+1))</f>
        <v>444</v>
      </c>
      <c r="AZ162">
        <f ca="1">IF(OR($L162&gt;AZ$4,AZ$4&gt;$L162+23),"",OFFSET(Electric!$L153,0,-'Electric Calendarize'!$L162+'Electric Calendarize'!AZ$4+1))</f>
        <v>303</v>
      </c>
      <c r="BA162">
        <f ca="1">IF(OR($L162&gt;BA$4,BA$4&gt;$L162+23),"",OFFSET(Electric!$L153,0,-'Electric Calendarize'!$L162+'Electric Calendarize'!BA$4+1))</f>
        <v>514</v>
      </c>
      <c r="BB162">
        <f ca="1">IF(OR($L162&gt;BB$4,BB$4&gt;$L162+23),"",OFFSET(Electric!$L153,0,-'Electric Calendarize'!$L162+'Electric Calendarize'!BB$4+1))</f>
        <v>913</v>
      </c>
      <c r="BC162" t="str">
        <f ca="1">IF(OR($L162&gt;BC$4,BC$4&gt;$L162+23),"",OFFSET(Electric!$L153,0,-'Electric Calendarize'!$L162+'Electric Calendarize'!BC$4+1))</f>
        <v/>
      </c>
      <c r="BD162" t="str">
        <f ca="1">IF(OR($L162&gt;BD$4,BD$4&gt;$L162+23),"",OFFSET(Electric!$L153,0,-'Electric Calendarize'!$L162+'Electric Calendarize'!BD$4+1))</f>
        <v/>
      </c>
      <c r="BE162" t="str">
        <f ca="1">IF(OR($L162&gt;BE$4,BE$4&gt;$L162+23),"",OFFSET(Electric!$L153,0,-'Electric Calendarize'!$L162+'Electric Calendarize'!BE$4+1))</f>
        <v/>
      </c>
      <c r="BF162" t="str">
        <f ca="1">IF(OR($L162&gt;BF$4,BF$4&gt;$L162+23),"",OFFSET(Electric!$L153,0,-'Electric Calendarize'!$L162+'Electric Calendarize'!BF$4+1))</f>
        <v/>
      </c>
      <c r="BG162" t="str">
        <f ca="1">IF(OR($L162&gt;BG$4,BG$4&gt;$L162+23),"",OFFSET(Electric!$L153,0,-'Electric Calendarize'!$L162+'Electric Calendarize'!BG$4+1))</f>
        <v/>
      </c>
      <c r="BJ162" s="10" t="s">
        <v>37</v>
      </c>
      <c r="BK162">
        <f t="shared" si="411"/>
        <v>1</v>
      </c>
      <c r="BL162">
        <f t="shared" si="317"/>
        <v>0</v>
      </c>
      <c r="BM162">
        <f t="shared" si="318"/>
        <v>0</v>
      </c>
      <c r="BN162">
        <f t="shared" si="319"/>
        <v>0</v>
      </c>
      <c r="BO162">
        <f t="shared" si="320"/>
        <v>0</v>
      </c>
      <c r="BP162">
        <f t="shared" si="321"/>
        <v>0</v>
      </c>
      <c r="BQ162">
        <f t="shared" si="322"/>
        <v>0</v>
      </c>
      <c r="BR162">
        <f t="shared" si="323"/>
        <v>1</v>
      </c>
      <c r="BS162">
        <f t="shared" si="324"/>
        <v>1</v>
      </c>
      <c r="BT162">
        <f t="shared" si="325"/>
        <v>1</v>
      </c>
      <c r="BU162">
        <f t="shared" si="326"/>
        <v>1</v>
      </c>
      <c r="BV162">
        <f t="shared" si="327"/>
        <v>1</v>
      </c>
      <c r="BW162">
        <f t="shared" si="328"/>
        <v>1</v>
      </c>
      <c r="BX162">
        <f t="shared" si="329"/>
        <v>0</v>
      </c>
      <c r="BY162">
        <f t="shared" si="330"/>
        <v>0</v>
      </c>
      <c r="BZ162">
        <f t="shared" si="331"/>
        <v>0</v>
      </c>
      <c r="CA162">
        <f t="shared" si="332"/>
        <v>0</v>
      </c>
      <c r="CB162">
        <f t="shared" si="333"/>
        <v>0</v>
      </c>
      <c r="CC162">
        <f t="shared" si="334"/>
        <v>0</v>
      </c>
      <c r="CD162">
        <f t="shared" si="335"/>
        <v>1</v>
      </c>
      <c r="CE162">
        <f t="shared" si="336"/>
        <v>1</v>
      </c>
      <c r="CF162">
        <f t="shared" si="337"/>
        <v>1</v>
      </c>
      <c r="CG162">
        <f t="shared" si="338"/>
        <v>1</v>
      </c>
      <c r="CH162">
        <f t="shared" si="339"/>
        <v>1</v>
      </c>
      <c r="CI162">
        <f t="shared" si="340"/>
        <v>1</v>
      </c>
      <c r="CJ162">
        <f t="shared" si="341"/>
        <v>0</v>
      </c>
      <c r="CK162">
        <f t="shared" si="342"/>
        <v>0</v>
      </c>
      <c r="CL162">
        <f t="shared" si="343"/>
        <v>0</v>
      </c>
      <c r="CM162">
        <f t="shared" si="344"/>
        <v>0</v>
      </c>
      <c r="CN162">
        <f t="shared" si="345"/>
        <v>0</v>
      </c>
      <c r="CO162">
        <f t="shared" si="346"/>
        <v>0</v>
      </c>
      <c r="CP162">
        <f t="shared" si="347"/>
        <v>1</v>
      </c>
      <c r="CQ162">
        <f t="shared" si="348"/>
        <v>1</v>
      </c>
      <c r="CR162">
        <f t="shared" si="349"/>
        <v>1</v>
      </c>
      <c r="CS162">
        <f t="shared" si="350"/>
        <v>1</v>
      </c>
      <c r="CT162">
        <f t="shared" si="351"/>
        <v>1</v>
      </c>
      <c r="CU162">
        <f t="shared" si="352"/>
        <v>1</v>
      </c>
      <c r="CV162">
        <f t="shared" si="353"/>
        <v>0</v>
      </c>
      <c r="CW162">
        <f t="shared" si="354"/>
        <v>0</v>
      </c>
      <c r="CX162">
        <f t="shared" si="355"/>
        <v>0</v>
      </c>
      <c r="CY162">
        <f t="shared" si="356"/>
        <v>0</v>
      </c>
      <c r="CZ162">
        <f t="shared" si="357"/>
        <v>0</v>
      </c>
      <c r="DA162">
        <f t="shared" si="358"/>
        <v>0</v>
      </c>
      <c r="DB162">
        <f t="shared" si="359"/>
        <v>1</v>
      </c>
      <c r="DC162">
        <f t="shared" si="360"/>
        <v>1</v>
      </c>
      <c r="DF162" s="10" t="s">
        <v>37</v>
      </c>
      <c r="DG162" t="str">
        <f t="shared" si="416"/>
        <v>2022_8</v>
      </c>
      <c r="DH162" t="str">
        <f t="shared" si="416"/>
        <v>2022_8</v>
      </c>
      <c r="DI162" t="str">
        <f t="shared" si="416"/>
        <v>2022_8</v>
      </c>
      <c r="DJ162" t="str">
        <f t="shared" si="416"/>
        <v>2022_8</v>
      </c>
      <c r="DK162" t="str">
        <f t="shared" si="416"/>
        <v>2022_8</v>
      </c>
      <c r="DL162" t="str">
        <f t="shared" si="416"/>
        <v>2022_8</v>
      </c>
      <c r="DM162" t="str">
        <f t="shared" si="416"/>
        <v>2022_8</v>
      </c>
      <c r="DN162" t="str">
        <f t="shared" si="416"/>
        <v>2022_8</v>
      </c>
      <c r="DO162" t="str">
        <f t="shared" si="416"/>
        <v>2022_8</v>
      </c>
      <c r="DP162" t="str">
        <f t="shared" si="416"/>
        <v>2022_8</v>
      </c>
      <c r="DQ162" t="str">
        <f t="shared" si="416"/>
        <v>2022_8</v>
      </c>
      <c r="DR162" t="str">
        <f t="shared" si="416"/>
        <v>2022_8</v>
      </c>
      <c r="DS162" t="str">
        <f t="shared" si="416"/>
        <v>2022_8</v>
      </c>
      <c r="DT162" t="str">
        <f t="shared" si="416"/>
        <v>2022_8</v>
      </c>
      <c r="DU162" t="str">
        <f t="shared" si="416"/>
        <v>2022_8</v>
      </c>
      <c r="DV162" t="str">
        <f t="shared" si="416"/>
        <v>2022_8</v>
      </c>
      <c r="DW162" t="str">
        <f t="shared" si="415"/>
        <v>2022_8</v>
      </c>
      <c r="DX162" t="str">
        <f t="shared" si="415"/>
        <v>2022_8</v>
      </c>
      <c r="DY162" t="str">
        <f t="shared" si="415"/>
        <v>2022_8</v>
      </c>
      <c r="DZ162" t="str">
        <f t="shared" si="415"/>
        <v>2022_8</v>
      </c>
      <c r="EA162" t="str">
        <f t="shared" si="415"/>
        <v>2022_8</v>
      </c>
      <c r="EB162" t="str">
        <f t="shared" si="415"/>
        <v>2022_8</v>
      </c>
      <c r="EC162" t="str">
        <f t="shared" si="415"/>
        <v>2022_8</v>
      </c>
      <c r="ED162" t="str">
        <f t="shared" si="415"/>
        <v>2022_8</v>
      </c>
      <c r="EE162" t="str">
        <f t="shared" si="415"/>
        <v>2022_8</v>
      </c>
      <c r="EF162" t="str">
        <f t="shared" si="415"/>
        <v>2022_8</v>
      </c>
      <c r="EG162" t="str">
        <f t="shared" si="415"/>
        <v>2022_8</v>
      </c>
      <c r="EH162" t="str">
        <f t="shared" si="415"/>
        <v>2022_8</v>
      </c>
      <c r="EI162" t="str">
        <f t="shared" si="415"/>
        <v>2022_8</v>
      </c>
      <c r="EJ162" t="str">
        <f t="shared" si="415"/>
        <v>2022_8</v>
      </c>
      <c r="EK162" t="str">
        <f t="shared" si="414"/>
        <v>2022_8</v>
      </c>
      <c r="EL162" t="str">
        <f t="shared" si="414"/>
        <v>2022_8</v>
      </c>
      <c r="EM162" t="str">
        <f t="shared" si="414"/>
        <v>2022_8</v>
      </c>
      <c r="EN162" t="str">
        <f t="shared" si="414"/>
        <v>2022_8</v>
      </c>
      <c r="EO162" t="str">
        <f t="shared" si="414"/>
        <v>2022_8</v>
      </c>
      <c r="EP162" t="str">
        <f t="shared" si="414"/>
        <v>2022_8</v>
      </c>
      <c r="EQ162" t="str">
        <f t="shared" si="414"/>
        <v>2022_8</v>
      </c>
      <c r="ER162" t="str">
        <f t="shared" si="414"/>
        <v>2022_8</v>
      </c>
      <c r="ES162" t="str">
        <f t="shared" si="414"/>
        <v>2022_8</v>
      </c>
      <c r="ET162" t="str">
        <f t="shared" si="414"/>
        <v>2022_8</v>
      </c>
      <c r="EU162" t="str">
        <f t="shared" si="414"/>
        <v>2022_8</v>
      </c>
      <c r="EV162" t="str">
        <f t="shared" si="414"/>
        <v>2022_8</v>
      </c>
      <c r="EW162" t="str">
        <f t="shared" si="414"/>
        <v>2022_8</v>
      </c>
      <c r="EX162" t="str">
        <f t="shared" si="414"/>
        <v>2022_8</v>
      </c>
      <c r="EY162" t="str">
        <f t="shared" si="414"/>
        <v>2022_8</v>
      </c>
      <c r="FB162" s="10" t="s">
        <v>37</v>
      </c>
      <c r="FC162">
        <f t="shared" si="413"/>
        <v>0</v>
      </c>
      <c r="FD162">
        <f t="shared" si="363"/>
        <v>0</v>
      </c>
      <c r="FE162">
        <f t="shared" si="364"/>
        <v>0</v>
      </c>
      <c r="FF162">
        <f t="shared" si="365"/>
        <v>0</v>
      </c>
      <c r="FG162">
        <f t="shared" si="366"/>
        <v>0</v>
      </c>
      <c r="FH162">
        <f t="shared" si="367"/>
        <v>0</v>
      </c>
      <c r="FI162">
        <f t="shared" si="368"/>
        <v>0</v>
      </c>
      <c r="FJ162">
        <f t="shared" si="369"/>
        <v>0</v>
      </c>
      <c r="FK162">
        <f t="shared" si="370"/>
        <v>0</v>
      </c>
      <c r="FL162">
        <f t="shared" si="371"/>
        <v>0</v>
      </c>
      <c r="FM162">
        <f t="shared" si="372"/>
        <v>0</v>
      </c>
      <c r="FN162">
        <f t="shared" si="373"/>
        <v>0</v>
      </c>
      <c r="FO162">
        <f t="shared" si="374"/>
        <v>0</v>
      </c>
      <c r="FP162">
        <f t="shared" si="375"/>
        <v>0</v>
      </c>
      <c r="FQ162">
        <f t="shared" si="376"/>
        <v>0</v>
      </c>
      <c r="FR162">
        <f t="shared" si="377"/>
        <v>0</v>
      </c>
      <c r="FS162">
        <f t="shared" si="378"/>
        <v>0</v>
      </c>
      <c r="FT162">
        <f t="shared" si="379"/>
        <v>0</v>
      </c>
      <c r="FU162">
        <f t="shared" si="380"/>
        <v>0</v>
      </c>
      <c r="FV162">
        <f t="shared" si="381"/>
        <v>0</v>
      </c>
      <c r="FW162">
        <f t="shared" si="382"/>
        <v>0</v>
      </c>
      <c r="FX162">
        <f t="shared" si="383"/>
        <v>0</v>
      </c>
      <c r="FY162">
        <f t="shared" si="384"/>
        <v>0</v>
      </c>
      <c r="FZ162">
        <f t="shared" si="385"/>
        <v>0</v>
      </c>
      <c r="GA162">
        <f t="shared" si="386"/>
        <v>0</v>
      </c>
      <c r="GB162">
        <f t="shared" si="387"/>
        <v>0</v>
      </c>
      <c r="GC162">
        <f t="shared" si="388"/>
        <v>0</v>
      </c>
      <c r="GD162">
        <f t="shared" si="389"/>
        <v>0</v>
      </c>
      <c r="GE162">
        <f t="shared" si="390"/>
        <v>1</v>
      </c>
      <c r="GF162">
        <f t="shared" si="391"/>
        <v>1</v>
      </c>
      <c r="GG162">
        <f t="shared" si="392"/>
        <v>1</v>
      </c>
      <c r="GH162">
        <f t="shared" si="393"/>
        <v>1</v>
      </c>
      <c r="GI162">
        <f t="shared" si="394"/>
        <v>1</v>
      </c>
      <c r="GJ162">
        <f t="shared" si="395"/>
        <v>1</v>
      </c>
      <c r="GK162">
        <f t="shared" si="396"/>
        <v>1</v>
      </c>
      <c r="GL162">
        <f t="shared" si="397"/>
        <v>1</v>
      </c>
      <c r="GM162">
        <f t="shared" si="398"/>
        <v>1</v>
      </c>
      <c r="GN162">
        <f t="shared" si="399"/>
        <v>1</v>
      </c>
      <c r="GO162">
        <f t="shared" si="400"/>
        <v>1</v>
      </c>
      <c r="GP162">
        <f t="shared" si="401"/>
        <v>1</v>
      </c>
      <c r="GQ162">
        <f t="shared" si="402"/>
        <v>1</v>
      </c>
      <c r="GR162">
        <f t="shared" si="403"/>
        <v>1</v>
      </c>
      <c r="GS162">
        <f t="shared" si="404"/>
        <v>1</v>
      </c>
      <c r="GT162">
        <f t="shared" si="405"/>
        <v>1</v>
      </c>
      <c r="GU162">
        <f t="shared" si="406"/>
        <v>1</v>
      </c>
      <c r="GX162" s="10"/>
    </row>
    <row r="163" spans="1:206" x14ac:dyDescent="0.3">
      <c r="A163" t="s">
        <v>117</v>
      </c>
      <c r="B163" s="83"/>
      <c r="C163">
        <v>3151075000</v>
      </c>
      <c r="D163" t="s">
        <v>464</v>
      </c>
      <c r="E163" t="s">
        <v>43</v>
      </c>
      <c r="F163" t="s">
        <v>35</v>
      </c>
      <c r="G163" t="s">
        <v>195</v>
      </c>
      <c r="H163" s="10">
        <v>44789</v>
      </c>
      <c r="I163" s="9">
        <f t="shared" si="407"/>
        <v>2022</v>
      </c>
      <c r="J163" s="9">
        <f t="shared" si="408"/>
        <v>8</v>
      </c>
      <c r="K163" s="9" t="str">
        <f t="shared" si="409"/>
        <v>2022_8</v>
      </c>
      <c r="L163">
        <f>MAX(0,VLOOKUP($K163,lookups!$A$1:$B$45,2,0)-12)</f>
        <v>16</v>
      </c>
      <c r="M163" s="40">
        <f t="shared" si="410"/>
        <v>44774</v>
      </c>
      <c r="N163" s="10" t="s">
        <v>37</v>
      </c>
      <c r="O163" t="str">
        <f ca="1">IF(OR($L163&gt;O$4,O$4&gt;$L163+23),"",OFFSET(Electric!$L154,0,-'Electric Calendarize'!$L163+'Electric Calendarize'!O$4+1))</f>
        <v/>
      </c>
      <c r="P163" t="str">
        <f ca="1">IF(OR($L163&gt;P$4,P$4&gt;$L163+23),"",OFFSET(Electric!$L154,0,-'Electric Calendarize'!$L163+'Electric Calendarize'!P$4+1))</f>
        <v/>
      </c>
      <c r="Q163" t="str">
        <f ca="1">IF(OR($L163&gt;Q$4,Q$4&gt;$L163+23),"",OFFSET(Electric!$L154,0,-'Electric Calendarize'!$L163+'Electric Calendarize'!Q$4+1))</f>
        <v/>
      </c>
      <c r="R163" t="str">
        <f ca="1">IF(OR($L163&gt;R$4,R$4&gt;$L163+23),"",OFFSET(Electric!$L154,0,-'Electric Calendarize'!$L163+'Electric Calendarize'!R$4+1))</f>
        <v/>
      </c>
      <c r="S163" t="str">
        <f ca="1">IF(OR($L163&gt;S$4,S$4&gt;$L163+23),"",OFFSET(Electric!$L154,0,-'Electric Calendarize'!$L163+'Electric Calendarize'!S$4+1))</f>
        <v/>
      </c>
      <c r="T163" t="str">
        <f ca="1">IF(OR($L163&gt;T$4,T$4&gt;$L163+23),"",OFFSET(Electric!$L154,0,-'Electric Calendarize'!$L163+'Electric Calendarize'!T$4+1))</f>
        <v/>
      </c>
      <c r="U163" t="str">
        <f ca="1">IF(OR($L163&gt;U$4,U$4&gt;$L163+23),"",OFFSET(Electric!$L154,0,-'Electric Calendarize'!$L163+'Electric Calendarize'!U$4+1))</f>
        <v/>
      </c>
      <c r="V163" t="str">
        <f ca="1">IF(OR($L163&gt;V$4,V$4&gt;$L163+23),"",OFFSET(Electric!$L154,0,-'Electric Calendarize'!$L163+'Electric Calendarize'!V$4+1))</f>
        <v/>
      </c>
      <c r="W163" t="str">
        <f ca="1">IF(OR($L163&gt;W$4,W$4&gt;$L163+23),"",OFFSET(Electric!$L154,0,-'Electric Calendarize'!$L163+'Electric Calendarize'!W$4+1))</f>
        <v/>
      </c>
      <c r="X163" t="str">
        <f ca="1">IF(OR($L163&gt;X$4,X$4&gt;$L163+23),"",OFFSET(Electric!$L154,0,-'Electric Calendarize'!$L163+'Electric Calendarize'!X$4+1))</f>
        <v/>
      </c>
      <c r="Y163" t="str">
        <f ca="1">IF(OR($L163&gt;Y$4,Y$4&gt;$L163+23),"",OFFSET(Electric!$L154,0,-'Electric Calendarize'!$L163+'Electric Calendarize'!Y$4+1))</f>
        <v/>
      </c>
      <c r="Z163" t="str">
        <f ca="1">IF(OR($L163&gt;Z$4,Z$4&gt;$L163+23),"",OFFSET(Electric!$L154,0,-'Electric Calendarize'!$L163+'Electric Calendarize'!Z$4+1))</f>
        <v/>
      </c>
      <c r="AA163" t="str">
        <f ca="1">IF(OR($L163&gt;AA$4,AA$4&gt;$L163+23),"",OFFSET(Electric!$L154,0,-'Electric Calendarize'!$L163+'Electric Calendarize'!AA$4+1))</f>
        <v/>
      </c>
      <c r="AB163" t="str">
        <f ca="1">IF(OR($L163&gt;AB$4,AB$4&gt;$L163+23),"",OFFSET(Electric!$L154,0,-'Electric Calendarize'!$L163+'Electric Calendarize'!AB$4+1))</f>
        <v/>
      </c>
      <c r="AC163" t="str">
        <f ca="1">IF(OR($L163&gt;AC$4,AC$4&gt;$L163+23),"",OFFSET(Electric!$L154,0,-'Electric Calendarize'!$L163+'Electric Calendarize'!AC$4+1))</f>
        <v/>
      </c>
      <c r="AD163" t="str">
        <f ca="1">IF(OR($L163&gt;AD$4,AD$4&gt;$L163+23),"",OFFSET(Electric!$L154,0,-'Electric Calendarize'!$L163+'Electric Calendarize'!AD$4+1))</f>
        <v/>
      </c>
      <c r="AE163">
        <f ca="1">IF(OR($L163&gt;AE$4,AE$4&gt;$L163+23),"",OFFSET(Electric!$L154,0,-'Electric Calendarize'!$L163+'Electric Calendarize'!AE$4+1))</f>
        <v>1396</v>
      </c>
      <c r="AF163">
        <f ca="1">IF(OR($L163&gt;AF$4,AF$4&gt;$L163+23),"",OFFSET(Electric!$L154,0,-'Electric Calendarize'!$L163+'Electric Calendarize'!AF$4+1))</f>
        <v>1006</v>
      </c>
      <c r="AG163">
        <f ca="1">IF(OR($L163&gt;AG$4,AG$4&gt;$L163+23),"",OFFSET(Electric!$L154,0,-'Electric Calendarize'!$L163+'Electric Calendarize'!AG$4+1))</f>
        <v>1000</v>
      </c>
      <c r="AH163">
        <f ca="1">IF(OR($L163&gt;AH$4,AH$4&gt;$L163+23),"",OFFSET(Electric!$L154,0,-'Electric Calendarize'!$L163+'Electric Calendarize'!AH$4+1))</f>
        <v>1230</v>
      </c>
      <c r="AI163">
        <f ca="1">IF(OR($L163&gt;AI$4,AI$4&gt;$L163+23),"",OFFSET(Electric!$L154,0,-'Electric Calendarize'!$L163+'Electric Calendarize'!AI$4+1))</f>
        <v>2044</v>
      </c>
      <c r="AJ163">
        <f ca="1">IF(OR($L163&gt;AJ$4,AJ$4&gt;$L163+23),"",OFFSET(Electric!$L154,0,-'Electric Calendarize'!$L163+'Electric Calendarize'!AJ$4+1))</f>
        <v>1702</v>
      </c>
      <c r="AK163">
        <f ca="1">IF(OR($L163&gt;AK$4,AK$4&gt;$L163+23),"",OFFSET(Electric!$L154,0,-'Electric Calendarize'!$L163+'Electric Calendarize'!AK$4+1))</f>
        <v>1886</v>
      </c>
      <c r="AL163">
        <f ca="1">IF(OR($L163&gt;AL$4,AL$4&gt;$L163+23),"",OFFSET(Electric!$L154,0,-'Electric Calendarize'!$L163+'Electric Calendarize'!AL$4+1))</f>
        <v>1552</v>
      </c>
      <c r="AM163">
        <f ca="1">IF(OR($L163&gt;AM$4,AM$4&gt;$L163+23),"",OFFSET(Electric!$L154,0,-'Electric Calendarize'!$L163+'Electric Calendarize'!AM$4+1))</f>
        <v>1034</v>
      </c>
      <c r="AN163">
        <f ca="1">IF(OR($L163&gt;AN$4,AN$4&gt;$L163+23),"",OFFSET(Electric!$L154,0,-'Electric Calendarize'!$L163+'Electric Calendarize'!AN$4+1))</f>
        <v>1224</v>
      </c>
      <c r="AO163">
        <f ca="1">IF(OR($L163&gt;AO$4,AO$4&gt;$L163+23),"",OFFSET(Electric!$L154,0,-'Electric Calendarize'!$L163+'Electric Calendarize'!AO$4+1))</f>
        <v>964</v>
      </c>
      <c r="AP163">
        <f ca="1">IF(OR($L163&gt;AP$4,AP$4&gt;$L163+23),"",OFFSET(Electric!$L154,0,-'Electric Calendarize'!$L163+'Electric Calendarize'!AP$4+1))</f>
        <v>1264</v>
      </c>
      <c r="AQ163">
        <f ca="1">IF(OR($L163&gt;AQ$4,AQ$4&gt;$L163+23),"",OFFSET(Electric!$L154,0,-'Electric Calendarize'!$L163+'Electric Calendarize'!AQ$4+1))</f>
        <v>1314</v>
      </c>
      <c r="AR163">
        <f ca="1">IF(OR($L163&gt;AR$4,AR$4&gt;$L163+23),"",OFFSET(Electric!$L154,0,-'Electric Calendarize'!$L163+'Electric Calendarize'!AR$4+1))</f>
        <v>1390</v>
      </c>
      <c r="AS163">
        <f ca="1">IF(OR($L163&gt;AS$4,AS$4&gt;$L163+23),"",OFFSET(Electric!$L154,0,-'Electric Calendarize'!$L163+'Electric Calendarize'!AS$4+1))</f>
        <v>1450</v>
      </c>
      <c r="AT163">
        <f ca="1">IF(OR($L163&gt;AT$4,AT$4&gt;$L163+23),"",OFFSET(Electric!$L154,0,-'Electric Calendarize'!$L163+'Electric Calendarize'!AT$4+1))</f>
        <v>1816</v>
      </c>
      <c r="AU163">
        <f ca="1">IF(OR($L163&gt;AU$4,AU$4&gt;$L163+23),"",OFFSET(Electric!$L154,0,-'Electric Calendarize'!$L163+'Electric Calendarize'!AU$4+1))</f>
        <v>2178</v>
      </c>
      <c r="AV163">
        <f ca="1">IF(OR($L163&gt;AV$4,AV$4&gt;$L163+23),"",OFFSET(Electric!$L154,0,-'Electric Calendarize'!$L163+'Electric Calendarize'!AV$4+1))</f>
        <v>2036</v>
      </c>
      <c r="AW163">
        <f ca="1">IF(OR($L163&gt;AW$4,AW$4&gt;$L163+23),"",OFFSET(Electric!$L154,0,-'Electric Calendarize'!$L163+'Electric Calendarize'!AW$4+1))</f>
        <v>1746</v>
      </c>
      <c r="AX163">
        <f ca="1">IF(OR($L163&gt;AX$4,AX$4&gt;$L163+23),"",OFFSET(Electric!$L154,0,-'Electric Calendarize'!$L163+'Electric Calendarize'!AX$4+1))</f>
        <v>2004</v>
      </c>
      <c r="AY163">
        <f ca="1">IF(OR($L163&gt;AY$4,AY$4&gt;$L163+23),"",OFFSET(Electric!$L154,0,-'Electric Calendarize'!$L163+'Electric Calendarize'!AY$4+1))</f>
        <v>1176</v>
      </c>
      <c r="AZ163">
        <f ca="1">IF(OR($L163&gt;AZ$4,AZ$4&gt;$L163+23),"",OFFSET(Electric!$L154,0,-'Electric Calendarize'!$L163+'Electric Calendarize'!AZ$4+1))</f>
        <v>994</v>
      </c>
      <c r="BA163">
        <f ca="1">IF(OR($L163&gt;BA$4,BA$4&gt;$L163+23),"",OFFSET(Electric!$L154,0,-'Electric Calendarize'!$L163+'Electric Calendarize'!BA$4+1))</f>
        <v>1226</v>
      </c>
      <c r="BB163">
        <f ca="1">IF(OR($L163&gt;BB$4,BB$4&gt;$L163+23),"",OFFSET(Electric!$L154,0,-'Electric Calendarize'!$L163+'Electric Calendarize'!BB$4+1))</f>
        <v>1782</v>
      </c>
      <c r="BC163" t="str">
        <f ca="1">IF(OR($L163&gt;BC$4,BC$4&gt;$L163+23),"",OFFSET(Electric!$L154,0,-'Electric Calendarize'!$L163+'Electric Calendarize'!BC$4+1))</f>
        <v/>
      </c>
      <c r="BD163" t="str">
        <f ca="1">IF(OR($L163&gt;BD$4,BD$4&gt;$L163+23),"",OFFSET(Electric!$L154,0,-'Electric Calendarize'!$L163+'Electric Calendarize'!BD$4+1))</f>
        <v/>
      </c>
      <c r="BE163" t="str">
        <f ca="1">IF(OR($L163&gt;BE$4,BE$4&gt;$L163+23),"",OFFSET(Electric!$L154,0,-'Electric Calendarize'!$L163+'Electric Calendarize'!BE$4+1))</f>
        <v/>
      </c>
      <c r="BF163" t="str">
        <f ca="1">IF(OR($L163&gt;BF$4,BF$4&gt;$L163+23),"",OFFSET(Electric!$L154,0,-'Electric Calendarize'!$L163+'Electric Calendarize'!BF$4+1))</f>
        <v/>
      </c>
      <c r="BG163" t="str">
        <f ca="1">IF(OR($L163&gt;BG$4,BG$4&gt;$L163+23),"",OFFSET(Electric!$L154,0,-'Electric Calendarize'!$L163+'Electric Calendarize'!BG$4+1))</f>
        <v/>
      </c>
      <c r="BJ163" s="10" t="s">
        <v>37</v>
      </c>
      <c r="BK163">
        <f t="shared" si="411"/>
        <v>1</v>
      </c>
      <c r="BL163">
        <f t="shared" si="317"/>
        <v>0</v>
      </c>
      <c r="BM163">
        <f t="shared" si="318"/>
        <v>0</v>
      </c>
      <c r="BN163">
        <f t="shared" si="319"/>
        <v>0</v>
      </c>
      <c r="BO163">
        <f t="shared" si="320"/>
        <v>0</v>
      </c>
      <c r="BP163">
        <f t="shared" si="321"/>
        <v>0</v>
      </c>
      <c r="BQ163">
        <f t="shared" si="322"/>
        <v>0</v>
      </c>
      <c r="BR163">
        <f t="shared" si="323"/>
        <v>1</v>
      </c>
      <c r="BS163">
        <f t="shared" si="324"/>
        <v>1</v>
      </c>
      <c r="BT163">
        <f t="shared" si="325"/>
        <v>1</v>
      </c>
      <c r="BU163">
        <f t="shared" si="326"/>
        <v>1</v>
      </c>
      <c r="BV163">
        <f t="shared" si="327"/>
        <v>1</v>
      </c>
      <c r="BW163">
        <f t="shared" si="328"/>
        <v>1</v>
      </c>
      <c r="BX163">
        <f t="shared" si="329"/>
        <v>0</v>
      </c>
      <c r="BY163">
        <f t="shared" si="330"/>
        <v>0</v>
      </c>
      <c r="BZ163">
        <f t="shared" si="331"/>
        <v>0</v>
      </c>
      <c r="CA163">
        <f t="shared" si="332"/>
        <v>0</v>
      </c>
      <c r="CB163">
        <f t="shared" si="333"/>
        <v>0</v>
      </c>
      <c r="CC163">
        <f t="shared" si="334"/>
        <v>0</v>
      </c>
      <c r="CD163">
        <f t="shared" si="335"/>
        <v>1</v>
      </c>
      <c r="CE163">
        <f t="shared" si="336"/>
        <v>1</v>
      </c>
      <c r="CF163">
        <f t="shared" si="337"/>
        <v>1</v>
      </c>
      <c r="CG163">
        <f t="shared" si="338"/>
        <v>1</v>
      </c>
      <c r="CH163">
        <f t="shared" si="339"/>
        <v>1</v>
      </c>
      <c r="CI163">
        <f t="shared" si="340"/>
        <v>1</v>
      </c>
      <c r="CJ163">
        <f t="shared" si="341"/>
        <v>0</v>
      </c>
      <c r="CK163">
        <f t="shared" si="342"/>
        <v>0</v>
      </c>
      <c r="CL163">
        <f t="shared" si="343"/>
        <v>0</v>
      </c>
      <c r="CM163">
        <f t="shared" si="344"/>
        <v>0</v>
      </c>
      <c r="CN163">
        <f t="shared" si="345"/>
        <v>0</v>
      </c>
      <c r="CO163">
        <f t="shared" si="346"/>
        <v>0</v>
      </c>
      <c r="CP163">
        <f t="shared" si="347"/>
        <v>1</v>
      </c>
      <c r="CQ163">
        <f t="shared" si="348"/>
        <v>1</v>
      </c>
      <c r="CR163">
        <f t="shared" si="349"/>
        <v>1</v>
      </c>
      <c r="CS163">
        <f t="shared" si="350"/>
        <v>1</v>
      </c>
      <c r="CT163">
        <f t="shared" si="351"/>
        <v>1</v>
      </c>
      <c r="CU163">
        <f t="shared" si="352"/>
        <v>1</v>
      </c>
      <c r="CV163">
        <f t="shared" si="353"/>
        <v>0</v>
      </c>
      <c r="CW163">
        <f t="shared" si="354"/>
        <v>0</v>
      </c>
      <c r="CX163">
        <f t="shared" si="355"/>
        <v>0</v>
      </c>
      <c r="CY163">
        <f t="shared" si="356"/>
        <v>0</v>
      </c>
      <c r="CZ163">
        <f t="shared" si="357"/>
        <v>0</v>
      </c>
      <c r="DA163">
        <f t="shared" si="358"/>
        <v>0</v>
      </c>
      <c r="DB163">
        <f t="shared" si="359"/>
        <v>1</v>
      </c>
      <c r="DC163">
        <f t="shared" si="360"/>
        <v>1</v>
      </c>
      <c r="DF163" s="10" t="s">
        <v>37</v>
      </c>
      <c r="DG163" t="str">
        <f t="shared" si="416"/>
        <v>2022_8</v>
      </c>
      <c r="DH163" t="str">
        <f t="shared" si="416"/>
        <v>2022_8</v>
      </c>
      <c r="DI163" t="str">
        <f t="shared" si="416"/>
        <v>2022_8</v>
      </c>
      <c r="DJ163" t="str">
        <f t="shared" si="416"/>
        <v>2022_8</v>
      </c>
      <c r="DK163" t="str">
        <f t="shared" si="416"/>
        <v>2022_8</v>
      </c>
      <c r="DL163" t="str">
        <f t="shared" si="416"/>
        <v>2022_8</v>
      </c>
      <c r="DM163" t="str">
        <f t="shared" si="416"/>
        <v>2022_8</v>
      </c>
      <c r="DN163" t="str">
        <f t="shared" si="416"/>
        <v>2022_8</v>
      </c>
      <c r="DO163" t="str">
        <f t="shared" si="416"/>
        <v>2022_8</v>
      </c>
      <c r="DP163" t="str">
        <f t="shared" si="416"/>
        <v>2022_8</v>
      </c>
      <c r="DQ163" t="str">
        <f t="shared" si="416"/>
        <v>2022_8</v>
      </c>
      <c r="DR163" t="str">
        <f t="shared" si="416"/>
        <v>2022_8</v>
      </c>
      <c r="DS163" t="str">
        <f t="shared" si="416"/>
        <v>2022_8</v>
      </c>
      <c r="DT163" t="str">
        <f t="shared" si="416"/>
        <v>2022_8</v>
      </c>
      <c r="DU163" t="str">
        <f t="shared" si="416"/>
        <v>2022_8</v>
      </c>
      <c r="DV163" t="str">
        <f t="shared" si="416"/>
        <v>2022_8</v>
      </c>
      <c r="DW163" t="str">
        <f t="shared" si="415"/>
        <v>2022_8</v>
      </c>
      <c r="DX163" t="str">
        <f t="shared" si="415"/>
        <v>2022_8</v>
      </c>
      <c r="DY163" t="str">
        <f t="shared" si="415"/>
        <v>2022_8</v>
      </c>
      <c r="DZ163" t="str">
        <f t="shared" si="415"/>
        <v>2022_8</v>
      </c>
      <c r="EA163" t="str">
        <f t="shared" si="415"/>
        <v>2022_8</v>
      </c>
      <c r="EB163" t="str">
        <f t="shared" si="415"/>
        <v>2022_8</v>
      </c>
      <c r="EC163" t="str">
        <f t="shared" si="415"/>
        <v>2022_8</v>
      </c>
      <c r="ED163" t="str">
        <f t="shared" si="415"/>
        <v>2022_8</v>
      </c>
      <c r="EE163" t="str">
        <f t="shared" si="415"/>
        <v>2022_8</v>
      </c>
      <c r="EF163" t="str">
        <f t="shared" si="415"/>
        <v>2022_8</v>
      </c>
      <c r="EG163" t="str">
        <f t="shared" si="415"/>
        <v>2022_8</v>
      </c>
      <c r="EH163" t="str">
        <f t="shared" si="415"/>
        <v>2022_8</v>
      </c>
      <c r="EI163" t="str">
        <f t="shared" si="415"/>
        <v>2022_8</v>
      </c>
      <c r="EJ163" t="str">
        <f t="shared" si="415"/>
        <v>2022_8</v>
      </c>
      <c r="EK163" t="str">
        <f t="shared" si="414"/>
        <v>2022_8</v>
      </c>
      <c r="EL163" t="str">
        <f t="shared" si="414"/>
        <v>2022_8</v>
      </c>
      <c r="EM163" t="str">
        <f t="shared" si="414"/>
        <v>2022_8</v>
      </c>
      <c r="EN163" t="str">
        <f t="shared" si="414"/>
        <v>2022_8</v>
      </c>
      <c r="EO163" t="str">
        <f t="shared" si="414"/>
        <v>2022_8</v>
      </c>
      <c r="EP163" t="str">
        <f t="shared" si="414"/>
        <v>2022_8</v>
      </c>
      <c r="EQ163" t="str">
        <f t="shared" si="414"/>
        <v>2022_8</v>
      </c>
      <c r="ER163" t="str">
        <f t="shared" si="414"/>
        <v>2022_8</v>
      </c>
      <c r="ES163" t="str">
        <f t="shared" si="414"/>
        <v>2022_8</v>
      </c>
      <c r="ET163" t="str">
        <f t="shared" si="414"/>
        <v>2022_8</v>
      </c>
      <c r="EU163" t="str">
        <f t="shared" si="414"/>
        <v>2022_8</v>
      </c>
      <c r="EV163" t="str">
        <f t="shared" si="414"/>
        <v>2022_8</v>
      </c>
      <c r="EW163" t="str">
        <f t="shared" si="414"/>
        <v>2022_8</v>
      </c>
      <c r="EX163" t="str">
        <f t="shared" si="414"/>
        <v>2022_8</v>
      </c>
      <c r="EY163" t="str">
        <f t="shared" si="414"/>
        <v>2022_8</v>
      </c>
      <c r="FB163" s="10" t="s">
        <v>37</v>
      </c>
      <c r="FC163">
        <f t="shared" si="413"/>
        <v>0</v>
      </c>
      <c r="FD163">
        <f t="shared" si="363"/>
        <v>0</v>
      </c>
      <c r="FE163">
        <f t="shared" si="364"/>
        <v>0</v>
      </c>
      <c r="FF163">
        <f t="shared" si="365"/>
        <v>0</v>
      </c>
      <c r="FG163">
        <f t="shared" si="366"/>
        <v>0</v>
      </c>
      <c r="FH163">
        <f t="shared" si="367"/>
        <v>0</v>
      </c>
      <c r="FI163">
        <f t="shared" si="368"/>
        <v>0</v>
      </c>
      <c r="FJ163">
        <f t="shared" si="369"/>
        <v>0</v>
      </c>
      <c r="FK163">
        <f t="shared" si="370"/>
        <v>0</v>
      </c>
      <c r="FL163">
        <f t="shared" si="371"/>
        <v>0</v>
      </c>
      <c r="FM163">
        <f t="shared" si="372"/>
        <v>0</v>
      </c>
      <c r="FN163">
        <f t="shared" si="373"/>
        <v>0</v>
      </c>
      <c r="FO163">
        <f t="shared" si="374"/>
        <v>0</v>
      </c>
      <c r="FP163">
        <f t="shared" si="375"/>
        <v>0</v>
      </c>
      <c r="FQ163">
        <f t="shared" si="376"/>
        <v>0</v>
      </c>
      <c r="FR163">
        <f t="shared" si="377"/>
        <v>0</v>
      </c>
      <c r="FS163">
        <f t="shared" si="378"/>
        <v>0</v>
      </c>
      <c r="FT163">
        <f t="shared" si="379"/>
        <v>0</v>
      </c>
      <c r="FU163">
        <f t="shared" si="380"/>
        <v>0</v>
      </c>
      <c r="FV163">
        <f t="shared" si="381"/>
        <v>0</v>
      </c>
      <c r="FW163">
        <f t="shared" si="382"/>
        <v>0</v>
      </c>
      <c r="FX163">
        <f t="shared" si="383"/>
        <v>0</v>
      </c>
      <c r="FY163">
        <f t="shared" si="384"/>
        <v>0</v>
      </c>
      <c r="FZ163">
        <f t="shared" si="385"/>
        <v>0</v>
      </c>
      <c r="GA163">
        <f t="shared" si="386"/>
        <v>0</v>
      </c>
      <c r="GB163">
        <f t="shared" si="387"/>
        <v>0</v>
      </c>
      <c r="GC163">
        <f t="shared" si="388"/>
        <v>0</v>
      </c>
      <c r="GD163">
        <f t="shared" si="389"/>
        <v>0</v>
      </c>
      <c r="GE163">
        <f t="shared" si="390"/>
        <v>1</v>
      </c>
      <c r="GF163">
        <f t="shared" si="391"/>
        <v>1</v>
      </c>
      <c r="GG163">
        <f t="shared" si="392"/>
        <v>1</v>
      </c>
      <c r="GH163">
        <f t="shared" si="393"/>
        <v>1</v>
      </c>
      <c r="GI163">
        <f t="shared" si="394"/>
        <v>1</v>
      </c>
      <c r="GJ163">
        <f t="shared" si="395"/>
        <v>1</v>
      </c>
      <c r="GK163">
        <f t="shared" si="396"/>
        <v>1</v>
      </c>
      <c r="GL163">
        <f t="shared" si="397"/>
        <v>1</v>
      </c>
      <c r="GM163">
        <f t="shared" si="398"/>
        <v>1</v>
      </c>
      <c r="GN163">
        <f t="shared" si="399"/>
        <v>1</v>
      </c>
      <c r="GO163">
        <f t="shared" si="400"/>
        <v>1</v>
      </c>
      <c r="GP163">
        <f t="shared" si="401"/>
        <v>1</v>
      </c>
      <c r="GQ163">
        <f t="shared" si="402"/>
        <v>1</v>
      </c>
      <c r="GR163">
        <f t="shared" si="403"/>
        <v>1</v>
      </c>
      <c r="GS163">
        <f t="shared" si="404"/>
        <v>1</v>
      </c>
      <c r="GT163">
        <f t="shared" si="405"/>
        <v>1</v>
      </c>
      <c r="GU163">
        <f t="shared" si="406"/>
        <v>1</v>
      </c>
      <c r="GX163" s="10"/>
    </row>
    <row r="164" spans="1:206" x14ac:dyDescent="0.3">
      <c r="A164" s="9" t="s">
        <v>33</v>
      </c>
      <c r="B164" s="80"/>
      <c r="C164" s="9">
        <v>3151171005</v>
      </c>
      <c r="D164" s="9" t="s">
        <v>465</v>
      </c>
      <c r="E164" s="9" t="s">
        <v>43</v>
      </c>
      <c r="F164" s="9" t="s">
        <v>35</v>
      </c>
      <c r="G164" s="9" t="s">
        <v>196</v>
      </c>
      <c r="H164" s="10">
        <v>44799</v>
      </c>
      <c r="I164" s="9">
        <f t="shared" si="407"/>
        <v>2022</v>
      </c>
      <c r="J164" s="9">
        <f t="shared" si="408"/>
        <v>8</v>
      </c>
      <c r="K164" s="9" t="str">
        <f t="shared" si="409"/>
        <v>2022_8</v>
      </c>
      <c r="L164">
        <f>MAX(0,VLOOKUP($K164,lookups!$A$1:$B$45,2,0)-12)</f>
        <v>16</v>
      </c>
      <c r="M164" s="40">
        <f t="shared" si="410"/>
        <v>44774</v>
      </c>
      <c r="N164" s="10" t="s">
        <v>37</v>
      </c>
      <c r="O164" t="str">
        <f ca="1">IF(OR($L164&gt;O$4,O$4&gt;$L164+23),"",OFFSET(Electric!$L155,0,-'Electric Calendarize'!$L164+'Electric Calendarize'!O$4+1))</f>
        <v/>
      </c>
      <c r="P164" t="str">
        <f ca="1">IF(OR($L164&gt;P$4,P$4&gt;$L164+23),"",OFFSET(Electric!$L155,0,-'Electric Calendarize'!$L164+'Electric Calendarize'!P$4+1))</f>
        <v/>
      </c>
      <c r="Q164" t="str">
        <f ca="1">IF(OR($L164&gt;Q$4,Q$4&gt;$L164+23),"",OFFSET(Electric!$L155,0,-'Electric Calendarize'!$L164+'Electric Calendarize'!Q$4+1))</f>
        <v/>
      </c>
      <c r="R164" t="str">
        <f ca="1">IF(OR($L164&gt;R$4,R$4&gt;$L164+23),"",OFFSET(Electric!$L155,0,-'Electric Calendarize'!$L164+'Electric Calendarize'!R$4+1))</f>
        <v/>
      </c>
      <c r="S164" t="str">
        <f ca="1">IF(OR($L164&gt;S$4,S$4&gt;$L164+23),"",OFFSET(Electric!$L155,0,-'Electric Calendarize'!$L164+'Electric Calendarize'!S$4+1))</f>
        <v/>
      </c>
      <c r="T164" t="str">
        <f ca="1">IF(OR($L164&gt;T$4,T$4&gt;$L164+23),"",OFFSET(Electric!$L155,0,-'Electric Calendarize'!$L164+'Electric Calendarize'!T$4+1))</f>
        <v/>
      </c>
      <c r="U164" t="str">
        <f ca="1">IF(OR($L164&gt;U$4,U$4&gt;$L164+23),"",OFFSET(Electric!$L155,0,-'Electric Calendarize'!$L164+'Electric Calendarize'!U$4+1))</f>
        <v/>
      </c>
      <c r="V164" t="str">
        <f ca="1">IF(OR($L164&gt;V$4,V$4&gt;$L164+23),"",OFFSET(Electric!$L155,0,-'Electric Calendarize'!$L164+'Electric Calendarize'!V$4+1))</f>
        <v/>
      </c>
      <c r="W164" t="str">
        <f ca="1">IF(OR($L164&gt;W$4,W$4&gt;$L164+23),"",OFFSET(Electric!$L155,0,-'Electric Calendarize'!$L164+'Electric Calendarize'!W$4+1))</f>
        <v/>
      </c>
      <c r="X164" t="str">
        <f ca="1">IF(OR($L164&gt;X$4,X$4&gt;$L164+23),"",OFFSET(Electric!$L155,0,-'Electric Calendarize'!$L164+'Electric Calendarize'!X$4+1))</f>
        <v/>
      </c>
      <c r="Y164" t="str">
        <f ca="1">IF(OR($L164&gt;Y$4,Y$4&gt;$L164+23),"",OFFSET(Electric!$L155,0,-'Electric Calendarize'!$L164+'Electric Calendarize'!Y$4+1))</f>
        <v/>
      </c>
      <c r="Z164" t="str">
        <f ca="1">IF(OR($L164&gt;Z$4,Z$4&gt;$L164+23),"",OFFSET(Electric!$L155,0,-'Electric Calendarize'!$L164+'Electric Calendarize'!Z$4+1))</f>
        <v/>
      </c>
      <c r="AA164" t="str">
        <f ca="1">IF(OR($L164&gt;AA$4,AA$4&gt;$L164+23),"",OFFSET(Electric!$L155,0,-'Electric Calendarize'!$L164+'Electric Calendarize'!AA$4+1))</f>
        <v/>
      </c>
      <c r="AB164" t="str">
        <f ca="1">IF(OR($L164&gt;AB$4,AB$4&gt;$L164+23),"",OFFSET(Electric!$L155,0,-'Electric Calendarize'!$L164+'Electric Calendarize'!AB$4+1))</f>
        <v/>
      </c>
      <c r="AC164" t="str">
        <f ca="1">IF(OR($L164&gt;AC$4,AC$4&gt;$L164+23),"",OFFSET(Electric!$L155,0,-'Electric Calendarize'!$L164+'Electric Calendarize'!AC$4+1))</f>
        <v/>
      </c>
      <c r="AD164" t="str">
        <f ca="1">IF(OR($L164&gt;AD$4,AD$4&gt;$L164+23),"",OFFSET(Electric!$L155,0,-'Electric Calendarize'!$L164+'Electric Calendarize'!AD$4+1))</f>
        <v/>
      </c>
      <c r="AE164">
        <f ca="1">IF(OR($L164&gt;AE$4,AE$4&gt;$L164+23),"",OFFSET(Electric!$L155,0,-'Electric Calendarize'!$L164+'Electric Calendarize'!AE$4+1))</f>
        <v>326</v>
      </c>
      <c r="AF164">
        <f ca="1">IF(OR($L164&gt;AF$4,AF$4&gt;$L164+23),"",OFFSET(Electric!$L155,0,-'Electric Calendarize'!$L164+'Electric Calendarize'!AF$4+1))</f>
        <v>308</v>
      </c>
      <c r="AG164">
        <f ca="1">IF(OR($L164&gt;AG$4,AG$4&gt;$L164+23),"",OFFSET(Electric!$L155,0,-'Electric Calendarize'!$L164+'Electric Calendarize'!AG$4+1))</f>
        <v>268</v>
      </c>
      <c r="AH164">
        <f ca="1">IF(OR($L164&gt;AH$4,AH$4&gt;$L164+23),"",OFFSET(Electric!$L155,0,-'Electric Calendarize'!$L164+'Electric Calendarize'!AH$4+1))</f>
        <v>288</v>
      </c>
      <c r="AI164">
        <f ca="1">IF(OR($L164&gt;AI$4,AI$4&gt;$L164+23),"",OFFSET(Electric!$L155,0,-'Electric Calendarize'!$L164+'Electric Calendarize'!AI$4+1))</f>
        <v>414</v>
      </c>
      <c r="AJ164">
        <f ca="1">IF(OR($L164&gt;AJ$4,AJ$4&gt;$L164+23),"",OFFSET(Electric!$L155,0,-'Electric Calendarize'!$L164+'Electric Calendarize'!AJ$4+1))</f>
        <v>676</v>
      </c>
      <c r="AK164">
        <f ca="1">IF(OR($L164&gt;AK$4,AK$4&gt;$L164+23),"",OFFSET(Electric!$L155,0,-'Electric Calendarize'!$L164+'Electric Calendarize'!AK$4+1))</f>
        <v>553</v>
      </c>
      <c r="AL164">
        <f ca="1">IF(OR($L164&gt;AL$4,AL$4&gt;$L164+23),"",OFFSET(Electric!$L155,0,-'Electric Calendarize'!$L164+'Electric Calendarize'!AL$4+1))</f>
        <v>358</v>
      </c>
      <c r="AM164">
        <f ca="1">IF(OR($L164&gt;AM$4,AM$4&gt;$L164+23),"",OFFSET(Electric!$L155,0,-'Electric Calendarize'!$L164+'Electric Calendarize'!AM$4+1))</f>
        <v>372</v>
      </c>
      <c r="AN164">
        <f ca="1">IF(OR($L164&gt;AN$4,AN$4&gt;$L164+23),"",OFFSET(Electric!$L155,0,-'Electric Calendarize'!$L164+'Electric Calendarize'!AN$4+1))</f>
        <v>326</v>
      </c>
      <c r="AO164">
        <f ca="1">IF(OR($L164&gt;AO$4,AO$4&gt;$L164+23),"",OFFSET(Electric!$L155,0,-'Electric Calendarize'!$L164+'Electric Calendarize'!AO$4+1))</f>
        <v>320</v>
      </c>
      <c r="AP164">
        <f ca="1">IF(OR($L164&gt;AP$4,AP$4&gt;$L164+23),"",OFFSET(Electric!$L155,0,-'Electric Calendarize'!$L164+'Electric Calendarize'!AP$4+1))</f>
        <v>344</v>
      </c>
      <c r="AQ164">
        <f ca="1">IF(OR($L164&gt;AQ$4,AQ$4&gt;$L164+23),"",OFFSET(Electric!$L155,0,-'Electric Calendarize'!$L164+'Electric Calendarize'!AQ$4+1))</f>
        <v>536</v>
      </c>
      <c r="AR164">
        <f ca="1">IF(OR($L164&gt;AR$4,AR$4&gt;$L164+23),"",OFFSET(Electric!$L155,0,-'Electric Calendarize'!$L164+'Electric Calendarize'!AR$4+1))</f>
        <v>441</v>
      </c>
      <c r="AS164">
        <f ca="1">IF(OR($L164&gt;AS$4,AS$4&gt;$L164+23),"",OFFSET(Electric!$L155,0,-'Electric Calendarize'!$L164+'Electric Calendarize'!AS$4+1))</f>
        <v>341</v>
      </c>
      <c r="AT164">
        <f ca="1">IF(OR($L164&gt;AT$4,AT$4&gt;$L164+23),"",OFFSET(Electric!$L155,0,-'Electric Calendarize'!$L164+'Electric Calendarize'!AT$4+1))</f>
        <v>429</v>
      </c>
      <c r="AU164">
        <f ca="1">IF(OR($L164&gt;AU$4,AU$4&gt;$L164+23),"",OFFSET(Electric!$L155,0,-'Electric Calendarize'!$L164+'Electric Calendarize'!AU$4+1))</f>
        <v>624</v>
      </c>
      <c r="AV164">
        <f ca="1">IF(OR($L164&gt;AV$4,AV$4&gt;$L164+23),"",OFFSET(Electric!$L155,0,-'Electric Calendarize'!$L164+'Electric Calendarize'!AV$4+1))</f>
        <v>572</v>
      </c>
      <c r="AW164">
        <f ca="1">IF(OR($L164&gt;AW$4,AW$4&gt;$L164+23),"",OFFSET(Electric!$L155,0,-'Electric Calendarize'!$L164+'Electric Calendarize'!AW$4+1))</f>
        <v>573</v>
      </c>
      <c r="AX164">
        <f ca="1">IF(OR($L164&gt;AX$4,AX$4&gt;$L164+23),"",OFFSET(Electric!$L155,0,-'Electric Calendarize'!$L164+'Electric Calendarize'!AX$4+1))</f>
        <v>533</v>
      </c>
      <c r="AY164">
        <f ca="1">IF(OR($L164&gt;AY$4,AY$4&gt;$L164+23),"",OFFSET(Electric!$L155,0,-'Electric Calendarize'!$L164+'Electric Calendarize'!AY$4+1))</f>
        <v>367</v>
      </c>
      <c r="AZ164">
        <f ca="1">IF(OR($L164&gt;AZ$4,AZ$4&gt;$L164+23),"",OFFSET(Electric!$L155,0,-'Electric Calendarize'!$L164+'Electric Calendarize'!AZ$4+1))</f>
        <v>246</v>
      </c>
      <c r="BA164">
        <f ca="1">IF(OR($L164&gt;BA$4,BA$4&gt;$L164+23),"",OFFSET(Electric!$L155,0,-'Electric Calendarize'!$L164+'Electric Calendarize'!BA$4+1))</f>
        <v>287</v>
      </c>
      <c r="BB164">
        <f ca="1">IF(OR($L164&gt;BB$4,BB$4&gt;$L164+23),"",OFFSET(Electric!$L155,0,-'Electric Calendarize'!$L164+'Electric Calendarize'!BB$4+1))</f>
        <v>448</v>
      </c>
      <c r="BC164" t="str">
        <f ca="1">IF(OR($L164&gt;BC$4,BC$4&gt;$L164+23),"",OFFSET(Electric!$L155,0,-'Electric Calendarize'!$L164+'Electric Calendarize'!BC$4+1))</f>
        <v/>
      </c>
      <c r="BD164" t="str">
        <f ca="1">IF(OR($L164&gt;BD$4,BD$4&gt;$L164+23),"",OFFSET(Electric!$L155,0,-'Electric Calendarize'!$L164+'Electric Calendarize'!BD$4+1))</f>
        <v/>
      </c>
      <c r="BE164" t="str">
        <f ca="1">IF(OR($L164&gt;BE$4,BE$4&gt;$L164+23),"",OFFSET(Electric!$L155,0,-'Electric Calendarize'!$L164+'Electric Calendarize'!BE$4+1))</f>
        <v/>
      </c>
      <c r="BF164" t="str">
        <f ca="1">IF(OR($L164&gt;BF$4,BF$4&gt;$L164+23),"",OFFSET(Electric!$L155,0,-'Electric Calendarize'!$L164+'Electric Calendarize'!BF$4+1))</f>
        <v/>
      </c>
      <c r="BG164" t="str">
        <f ca="1">IF(OR($L164&gt;BG$4,BG$4&gt;$L164+23),"",OFFSET(Electric!$L155,0,-'Electric Calendarize'!$L164+'Electric Calendarize'!BG$4+1))</f>
        <v/>
      </c>
      <c r="BJ164" s="10" t="s">
        <v>37</v>
      </c>
      <c r="BK164">
        <f t="shared" si="411"/>
        <v>1</v>
      </c>
      <c r="BL164">
        <f t="shared" si="317"/>
        <v>0</v>
      </c>
      <c r="BM164">
        <f t="shared" si="318"/>
        <v>0</v>
      </c>
      <c r="BN164">
        <f t="shared" si="319"/>
        <v>0</v>
      </c>
      <c r="BO164">
        <f t="shared" si="320"/>
        <v>0</v>
      </c>
      <c r="BP164">
        <f t="shared" si="321"/>
        <v>0</v>
      </c>
      <c r="BQ164">
        <f t="shared" si="322"/>
        <v>0</v>
      </c>
      <c r="BR164">
        <f t="shared" si="323"/>
        <v>1</v>
      </c>
      <c r="BS164">
        <f t="shared" si="324"/>
        <v>1</v>
      </c>
      <c r="BT164">
        <f t="shared" si="325"/>
        <v>1</v>
      </c>
      <c r="BU164">
        <f t="shared" si="326"/>
        <v>1</v>
      </c>
      <c r="BV164">
        <f t="shared" si="327"/>
        <v>1</v>
      </c>
      <c r="BW164">
        <f t="shared" si="328"/>
        <v>1</v>
      </c>
      <c r="BX164">
        <f t="shared" si="329"/>
        <v>0</v>
      </c>
      <c r="BY164">
        <f t="shared" si="330"/>
        <v>0</v>
      </c>
      <c r="BZ164">
        <f t="shared" si="331"/>
        <v>0</v>
      </c>
      <c r="CA164">
        <f t="shared" si="332"/>
        <v>0</v>
      </c>
      <c r="CB164">
        <f t="shared" si="333"/>
        <v>0</v>
      </c>
      <c r="CC164">
        <f t="shared" si="334"/>
        <v>0</v>
      </c>
      <c r="CD164">
        <f t="shared" si="335"/>
        <v>1</v>
      </c>
      <c r="CE164">
        <f t="shared" si="336"/>
        <v>1</v>
      </c>
      <c r="CF164">
        <f t="shared" si="337"/>
        <v>1</v>
      </c>
      <c r="CG164">
        <f t="shared" si="338"/>
        <v>1</v>
      </c>
      <c r="CH164">
        <f t="shared" si="339"/>
        <v>1</v>
      </c>
      <c r="CI164">
        <f t="shared" si="340"/>
        <v>1</v>
      </c>
      <c r="CJ164">
        <f t="shared" si="341"/>
        <v>0</v>
      </c>
      <c r="CK164">
        <f t="shared" si="342"/>
        <v>0</v>
      </c>
      <c r="CL164">
        <f t="shared" si="343"/>
        <v>0</v>
      </c>
      <c r="CM164">
        <f t="shared" si="344"/>
        <v>0</v>
      </c>
      <c r="CN164">
        <f t="shared" si="345"/>
        <v>0</v>
      </c>
      <c r="CO164">
        <f t="shared" si="346"/>
        <v>0</v>
      </c>
      <c r="CP164">
        <f t="shared" si="347"/>
        <v>1</v>
      </c>
      <c r="CQ164">
        <f t="shared" si="348"/>
        <v>1</v>
      </c>
      <c r="CR164">
        <f t="shared" si="349"/>
        <v>1</v>
      </c>
      <c r="CS164">
        <f t="shared" si="350"/>
        <v>1</v>
      </c>
      <c r="CT164">
        <f t="shared" si="351"/>
        <v>1</v>
      </c>
      <c r="CU164">
        <f t="shared" si="352"/>
        <v>1</v>
      </c>
      <c r="CV164">
        <f t="shared" si="353"/>
        <v>0</v>
      </c>
      <c r="CW164">
        <f t="shared" si="354"/>
        <v>0</v>
      </c>
      <c r="CX164">
        <f t="shared" si="355"/>
        <v>0</v>
      </c>
      <c r="CY164">
        <f t="shared" si="356"/>
        <v>0</v>
      </c>
      <c r="CZ164">
        <f t="shared" si="357"/>
        <v>0</v>
      </c>
      <c r="DA164">
        <f t="shared" si="358"/>
        <v>0</v>
      </c>
      <c r="DB164">
        <f t="shared" si="359"/>
        <v>1</v>
      </c>
      <c r="DC164">
        <f t="shared" si="360"/>
        <v>1</v>
      </c>
      <c r="DF164" s="10" t="s">
        <v>37</v>
      </c>
      <c r="DG164" t="str">
        <f t="shared" si="416"/>
        <v>2022_8</v>
      </c>
      <c r="DH164" t="str">
        <f t="shared" si="416"/>
        <v>2022_8</v>
      </c>
      <c r="DI164" t="str">
        <f t="shared" si="416"/>
        <v>2022_8</v>
      </c>
      <c r="DJ164" t="str">
        <f t="shared" si="416"/>
        <v>2022_8</v>
      </c>
      <c r="DK164" t="str">
        <f t="shared" si="416"/>
        <v>2022_8</v>
      </c>
      <c r="DL164" t="str">
        <f t="shared" si="416"/>
        <v>2022_8</v>
      </c>
      <c r="DM164" t="str">
        <f t="shared" si="416"/>
        <v>2022_8</v>
      </c>
      <c r="DN164" t="str">
        <f t="shared" si="416"/>
        <v>2022_8</v>
      </c>
      <c r="DO164" t="str">
        <f t="shared" si="416"/>
        <v>2022_8</v>
      </c>
      <c r="DP164" t="str">
        <f t="shared" si="416"/>
        <v>2022_8</v>
      </c>
      <c r="DQ164" t="str">
        <f t="shared" si="416"/>
        <v>2022_8</v>
      </c>
      <c r="DR164" t="str">
        <f t="shared" si="416"/>
        <v>2022_8</v>
      </c>
      <c r="DS164" t="str">
        <f t="shared" si="416"/>
        <v>2022_8</v>
      </c>
      <c r="DT164" t="str">
        <f t="shared" si="416"/>
        <v>2022_8</v>
      </c>
      <c r="DU164" t="str">
        <f t="shared" si="416"/>
        <v>2022_8</v>
      </c>
      <c r="DV164" t="str">
        <f t="shared" si="416"/>
        <v>2022_8</v>
      </c>
      <c r="DW164" t="str">
        <f t="shared" si="415"/>
        <v>2022_8</v>
      </c>
      <c r="DX164" t="str">
        <f t="shared" si="415"/>
        <v>2022_8</v>
      </c>
      <c r="DY164" t="str">
        <f t="shared" si="415"/>
        <v>2022_8</v>
      </c>
      <c r="DZ164" t="str">
        <f t="shared" si="415"/>
        <v>2022_8</v>
      </c>
      <c r="EA164" t="str">
        <f t="shared" si="415"/>
        <v>2022_8</v>
      </c>
      <c r="EB164" t="str">
        <f t="shared" si="415"/>
        <v>2022_8</v>
      </c>
      <c r="EC164" t="str">
        <f t="shared" si="415"/>
        <v>2022_8</v>
      </c>
      <c r="ED164" t="str">
        <f t="shared" si="415"/>
        <v>2022_8</v>
      </c>
      <c r="EE164" t="str">
        <f t="shared" si="415"/>
        <v>2022_8</v>
      </c>
      <c r="EF164" t="str">
        <f t="shared" si="415"/>
        <v>2022_8</v>
      </c>
      <c r="EG164" t="str">
        <f t="shared" si="415"/>
        <v>2022_8</v>
      </c>
      <c r="EH164" t="str">
        <f t="shared" si="415"/>
        <v>2022_8</v>
      </c>
      <c r="EI164" t="str">
        <f t="shared" si="415"/>
        <v>2022_8</v>
      </c>
      <c r="EJ164" t="str">
        <f t="shared" si="415"/>
        <v>2022_8</v>
      </c>
      <c r="EK164" t="str">
        <f t="shared" si="414"/>
        <v>2022_8</v>
      </c>
      <c r="EL164" t="str">
        <f t="shared" si="414"/>
        <v>2022_8</v>
      </c>
      <c r="EM164" t="str">
        <f t="shared" si="414"/>
        <v>2022_8</v>
      </c>
      <c r="EN164" t="str">
        <f t="shared" si="414"/>
        <v>2022_8</v>
      </c>
      <c r="EO164" t="str">
        <f t="shared" si="414"/>
        <v>2022_8</v>
      </c>
      <c r="EP164" t="str">
        <f t="shared" si="414"/>
        <v>2022_8</v>
      </c>
      <c r="EQ164" t="str">
        <f t="shared" si="414"/>
        <v>2022_8</v>
      </c>
      <c r="ER164" t="str">
        <f t="shared" si="414"/>
        <v>2022_8</v>
      </c>
      <c r="ES164" t="str">
        <f t="shared" si="414"/>
        <v>2022_8</v>
      </c>
      <c r="ET164" t="str">
        <f t="shared" si="414"/>
        <v>2022_8</v>
      </c>
      <c r="EU164" t="str">
        <f t="shared" si="414"/>
        <v>2022_8</v>
      </c>
      <c r="EV164" t="str">
        <f t="shared" si="414"/>
        <v>2022_8</v>
      </c>
      <c r="EW164" t="str">
        <f t="shared" si="414"/>
        <v>2022_8</v>
      </c>
      <c r="EX164" t="str">
        <f t="shared" si="414"/>
        <v>2022_8</v>
      </c>
      <c r="EY164" t="str">
        <f t="shared" si="414"/>
        <v>2022_8</v>
      </c>
      <c r="FB164" s="10" t="s">
        <v>37</v>
      </c>
      <c r="FC164">
        <f t="shared" si="413"/>
        <v>0</v>
      </c>
      <c r="FD164">
        <f t="shared" si="363"/>
        <v>0</v>
      </c>
      <c r="FE164">
        <f t="shared" si="364"/>
        <v>0</v>
      </c>
      <c r="FF164">
        <f t="shared" si="365"/>
        <v>0</v>
      </c>
      <c r="FG164">
        <f t="shared" si="366"/>
        <v>0</v>
      </c>
      <c r="FH164">
        <f t="shared" si="367"/>
        <v>0</v>
      </c>
      <c r="FI164">
        <f t="shared" si="368"/>
        <v>0</v>
      </c>
      <c r="FJ164">
        <f t="shared" si="369"/>
        <v>0</v>
      </c>
      <c r="FK164">
        <f t="shared" si="370"/>
        <v>0</v>
      </c>
      <c r="FL164">
        <f t="shared" si="371"/>
        <v>0</v>
      </c>
      <c r="FM164">
        <f t="shared" si="372"/>
        <v>0</v>
      </c>
      <c r="FN164">
        <f t="shared" si="373"/>
        <v>0</v>
      </c>
      <c r="FO164">
        <f t="shared" si="374"/>
        <v>0</v>
      </c>
      <c r="FP164">
        <f t="shared" si="375"/>
        <v>0</v>
      </c>
      <c r="FQ164">
        <f t="shared" si="376"/>
        <v>0</v>
      </c>
      <c r="FR164">
        <f t="shared" si="377"/>
        <v>0</v>
      </c>
      <c r="FS164">
        <f t="shared" si="378"/>
        <v>0</v>
      </c>
      <c r="FT164">
        <f t="shared" si="379"/>
        <v>0</v>
      </c>
      <c r="FU164">
        <f t="shared" si="380"/>
        <v>0</v>
      </c>
      <c r="FV164">
        <f t="shared" si="381"/>
        <v>0</v>
      </c>
      <c r="FW164">
        <f t="shared" si="382"/>
        <v>0</v>
      </c>
      <c r="FX164">
        <f t="shared" si="383"/>
        <v>0</v>
      </c>
      <c r="FY164">
        <f t="shared" si="384"/>
        <v>0</v>
      </c>
      <c r="FZ164">
        <f t="shared" si="385"/>
        <v>0</v>
      </c>
      <c r="GA164">
        <f t="shared" si="386"/>
        <v>0</v>
      </c>
      <c r="GB164">
        <f t="shared" si="387"/>
        <v>0</v>
      </c>
      <c r="GC164">
        <f t="shared" si="388"/>
        <v>0</v>
      </c>
      <c r="GD164">
        <f t="shared" si="389"/>
        <v>0</v>
      </c>
      <c r="GE164">
        <f t="shared" si="390"/>
        <v>1</v>
      </c>
      <c r="GF164">
        <f t="shared" si="391"/>
        <v>1</v>
      </c>
      <c r="GG164">
        <f t="shared" si="392"/>
        <v>1</v>
      </c>
      <c r="GH164">
        <f t="shared" si="393"/>
        <v>1</v>
      </c>
      <c r="GI164">
        <f t="shared" si="394"/>
        <v>1</v>
      </c>
      <c r="GJ164">
        <f t="shared" si="395"/>
        <v>1</v>
      </c>
      <c r="GK164">
        <f t="shared" si="396"/>
        <v>1</v>
      </c>
      <c r="GL164">
        <f t="shared" si="397"/>
        <v>1</v>
      </c>
      <c r="GM164">
        <f t="shared" si="398"/>
        <v>1</v>
      </c>
      <c r="GN164">
        <f t="shared" si="399"/>
        <v>1</v>
      </c>
      <c r="GO164">
        <f t="shared" si="400"/>
        <v>1</v>
      </c>
      <c r="GP164">
        <f t="shared" si="401"/>
        <v>1</v>
      </c>
      <c r="GQ164">
        <f t="shared" si="402"/>
        <v>1</v>
      </c>
      <c r="GR164">
        <f t="shared" si="403"/>
        <v>1</v>
      </c>
      <c r="GS164">
        <f t="shared" si="404"/>
        <v>1</v>
      </c>
      <c r="GT164">
        <f t="shared" si="405"/>
        <v>1</v>
      </c>
      <c r="GU164">
        <f t="shared" si="406"/>
        <v>1</v>
      </c>
      <c r="GX164" s="10"/>
    </row>
    <row r="165" spans="1:206" x14ac:dyDescent="0.3">
      <c r="A165" s="9" t="s">
        <v>33</v>
      </c>
      <c r="B165" s="80"/>
      <c r="C165" s="9">
        <v>3120150001</v>
      </c>
      <c r="D165" s="9" t="s">
        <v>388</v>
      </c>
      <c r="E165" s="9" t="s">
        <v>39</v>
      </c>
      <c r="F165" s="9" t="s">
        <v>35</v>
      </c>
      <c r="G165" s="9" t="s">
        <v>197</v>
      </c>
      <c r="H165" s="10">
        <v>44805</v>
      </c>
      <c r="I165" s="9">
        <f t="shared" si="407"/>
        <v>2022</v>
      </c>
      <c r="J165" s="9">
        <f t="shared" si="408"/>
        <v>9</v>
      </c>
      <c r="K165" s="9" t="str">
        <f t="shared" si="409"/>
        <v>2022_9</v>
      </c>
      <c r="L165">
        <f>MAX(0,VLOOKUP($K165,lookups!$A$1:$B$45,2,0)-12)</f>
        <v>17</v>
      </c>
      <c r="M165" s="40">
        <f t="shared" si="410"/>
        <v>44805</v>
      </c>
      <c r="N165" s="10" t="s">
        <v>37</v>
      </c>
      <c r="O165" t="str">
        <f ca="1">IF(OR($L165&gt;O$4,O$4&gt;$L165+23),"",OFFSET(Electric!$L156,0,-'Electric Calendarize'!$L165+'Electric Calendarize'!O$4+1))</f>
        <v/>
      </c>
      <c r="P165" t="str">
        <f ca="1">IF(OR($L165&gt;P$4,P$4&gt;$L165+23),"",OFFSET(Electric!$L156,0,-'Electric Calendarize'!$L165+'Electric Calendarize'!P$4+1))</f>
        <v/>
      </c>
      <c r="Q165" t="str">
        <f ca="1">IF(OR($L165&gt;Q$4,Q$4&gt;$L165+23),"",OFFSET(Electric!$L156,0,-'Electric Calendarize'!$L165+'Electric Calendarize'!Q$4+1))</f>
        <v/>
      </c>
      <c r="R165" t="str">
        <f ca="1">IF(OR($L165&gt;R$4,R$4&gt;$L165+23),"",OFFSET(Electric!$L156,0,-'Electric Calendarize'!$L165+'Electric Calendarize'!R$4+1))</f>
        <v/>
      </c>
      <c r="S165" t="str">
        <f ca="1">IF(OR($L165&gt;S$4,S$4&gt;$L165+23),"",OFFSET(Electric!$L156,0,-'Electric Calendarize'!$L165+'Electric Calendarize'!S$4+1))</f>
        <v/>
      </c>
      <c r="T165" t="str">
        <f ca="1">IF(OR($L165&gt;T$4,T$4&gt;$L165+23),"",OFFSET(Electric!$L156,0,-'Electric Calendarize'!$L165+'Electric Calendarize'!T$4+1))</f>
        <v/>
      </c>
      <c r="U165" t="str">
        <f ca="1">IF(OR($L165&gt;U$4,U$4&gt;$L165+23),"",OFFSET(Electric!$L156,0,-'Electric Calendarize'!$L165+'Electric Calendarize'!U$4+1))</f>
        <v/>
      </c>
      <c r="V165" t="str">
        <f ca="1">IF(OR($L165&gt;V$4,V$4&gt;$L165+23),"",OFFSET(Electric!$L156,0,-'Electric Calendarize'!$L165+'Electric Calendarize'!V$4+1))</f>
        <v/>
      </c>
      <c r="W165" t="str">
        <f ca="1">IF(OR($L165&gt;W$4,W$4&gt;$L165+23),"",OFFSET(Electric!$L156,0,-'Electric Calendarize'!$L165+'Electric Calendarize'!W$4+1))</f>
        <v/>
      </c>
      <c r="X165" t="str">
        <f ca="1">IF(OR($L165&gt;X$4,X$4&gt;$L165+23),"",OFFSET(Electric!$L156,0,-'Electric Calendarize'!$L165+'Electric Calendarize'!X$4+1))</f>
        <v/>
      </c>
      <c r="Y165" t="str">
        <f ca="1">IF(OR($L165&gt;Y$4,Y$4&gt;$L165+23),"",OFFSET(Electric!$L156,0,-'Electric Calendarize'!$L165+'Electric Calendarize'!Y$4+1))</f>
        <v/>
      </c>
      <c r="Z165" t="str">
        <f ca="1">IF(OR($L165&gt;Z$4,Z$4&gt;$L165+23),"",OFFSET(Electric!$L156,0,-'Electric Calendarize'!$L165+'Electric Calendarize'!Z$4+1))</f>
        <v/>
      </c>
      <c r="AA165" t="str">
        <f ca="1">IF(OR($L165&gt;AA$4,AA$4&gt;$L165+23),"",OFFSET(Electric!$L156,0,-'Electric Calendarize'!$L165+'Electric Calendarize'!AA$4+1))</f>
        <v/>
      </c>
      <c r="AB165" t="str">
        <f ca="1">IF(OR($L165&gt;AB$4,AB$4&gt;$L165+23),"",OFFSET(Electric!$L156,0,-'Electric Calendarize'!$L165+'Electric Calendarize'!AB$4+1))</f>
        <v/>
      </c>
      <c r="AC165" t="str">
        <f ca="1">IF(OR($L165&gt;AC$4,AC$4&gt;$L165+23),"",OFFSET(Electric!$L156,0,-'Electric Calendarize'!$L165+'Electric Calendarize'!AC$4+1))</f>
        <v/>
      </c>
      <c r="AD165" t="str">
        <f ca="1">IF(OR($L165&gt;AD$4,AD$4&gt;$L165+23),"",OFFSET(Electric!$L156,0,-'Electric Calendarize'!$L165+'Electric Calendarize'!AD$4+1))</f>
        <v/>
      </c>
      <c r="AE165" t="str">
        <f ca="1">IF(OR($L165&gt;AE$4,AE$4&gt;$L165+23),"",OFFSET(Electric!$L156,0,-'Electric Calendarize'!$L165+'Electric Calendarize'!AE$4+1))</f>
        <v/>
      </c>
      <c r="AF165">
        <f ca="1">IF(OR($L165&gt;AF$4,AF$4&gt;$L165+23),"",OFFSET(Electric!$L156,0,-'Electric Calendarize'!$L165+'Electric Calendarize'!AF$4+1))</f>
        <v>462</v>
      </c>
      <c r="AG165">
        <f ca="1">IF(OR($L165&gt;AG$4,AG$4&gt;$L165+23),"",OFFSET(Electric!$L156,0,-'Electric Calendarize'!$L165+'Electric Calendarize'!AG$4+1))</f>
        <v>403</v>
      </c>
      <c r="AH165">
        <f ca="1">IF(OR($L165&gt;AH$4,AH$4&gt;$L165+23),"",OFFSET(Electric!$L156,0,-'Electric Calendarize'!$L165+'Electric Calendarize'!AH$4+1))</f>
        <v>560</v>
      </c>
      <c r="AI165">
        <f ca="1">IF(OR($L165&gt;AI$4,AI$4&gt;$L165+23),"",OFFSET(Electric!$L156,0,-'Electric Calendarize'!$L165+'Electric Calendarize'!AI$4+1))</f>
        <v>732</v>
      </c>
      <c r="AJ165">
        <f ca="1">IF(OR($L165&gt;AJ$4,AJ$4&gt;$L165+23),"",OFFSET(Electric!$L156,0,-'Electric Calendarize'!$L165+'Electric Calendarize'!AJ$4+1))</f>
        <v>861</v>
      </c>
      <c r="AK165">
        <f ca="1">IF(OR($L165&gt;AK$4,AK$4&gt;$L165+23),"",OFFSET(Electric!$L156,0,-'Electric Calendarize'!$L165+'Electric Calendarize'!AK$4+1))</f>
        <v>946</v>
      </c>
      <c r="AL165">
        <f ca="1">IF(OR($L165&gt;AL$4,AL$4&gt;$L165+23),"",OFFSET(Electric!$L156,0,-'Electric Calendarize'!$L165+'Electric Calendarize'!AL$4+1))</f>
        <v>736</v>
      </c>
      <c r="AM165">
        <f ca="1">IF(OR($L165&gt;AM$4,AM$4&gt;$L165+23),"",OFFSET(Electric!$L156,0,-'Electric Calendarize'!$L165+'Electric Calendarize'!AM$4+1))</f>
        <v>627</v>
      </c>
      <c r="AN165">
        <f ca="1">IF(OR($L165&gt;AN$4,AN$4&gt;$L165+23),"",OFFSET(Electric!$L156,0,-'Electric Calendarize'!$L165+'Electric Calendarize'!AN$4+1))</f>
        <v>587</v>
      </c>
      <c r="AO165">
        <f ca="1">IF(OR($L165&gt;AO$4,AO$4&gt;$L165+23),"",OFFSET(Electric!$L156,0,-'Electric Calendarize'!$L165+'Electric Calendarize'!AO$4+1))</f>
        <v>443</v>
      </c>
      <c r="AP165">
        <f ca="1">IF(OR($L165&gt;AP$4,AP$4&gt;$L165+23),"",OFFSET(Electric!$L156,0,-'Electric Calendarize'!$L165+'Electric Calendarize'!AP$4+1))</f>
        <v>573</v>
      </c>
      <c r="AQ165">
        <f ca="1">IF(OR($L165&gt;AQ$4,AQ$4&gt;$L165+23),"",OFFSET(Electric!$L156,0,-'Electric Calendarize'!$L165+'Electric Calendarize'!AQ$4+1))</f>
        <v>751</v>
      </c>
      <c r="AR165">
        <f ca="1">IF(OR($L165&gt;AR$4,AR$4&gt;$L165+23),"",OFFSET(Electric!$L156,0,-'Electric Calendarize'!$L165+'Electric Calendarize'!AR$4+1))</f>
        <v>438</v>
      </c>
      <c r="AS165">
        <f ca="1">IF(OR($L165&gt;AS$4,AS$4&gt;$L165+23),"",OFFSET(Electric!$L156,0,-'Electric Calendarize'!$L165+'Electric Calendarize'!AS$4+1))</f>
        <v>451</v>
      </c>
      <c r="AT165">
        <f ca="1">IF(OR($L165&gt;AT$4,AT$4&gt;$L165+23),"",OFFSET(Electric!$L156,0,-'Electric Calendarize'!$L165+'Electric Calendarize'!AT$4+1))</f>
        <v>1219</v>
      </c>
      <c r="AU165">
        <f ca="1">IF(OR($L165&gt;AU$4,AU$4&gt;$L165+23),"",OFFSET(Electric!$L156,0,-'Electric Calendarize'!$L165+'Electric Calendarize'!AU$4+1))</f>
        <v>1287</v>
      </c>
      <c r="AV165">
        <f ca="1">IF(OR($L165&gt;AV$4,AV$4&gt;$L165+23),"",OFFSET(Electric!$L156,0,-'Electric Calendarize'!$L165+'Electric Calendarize'!AV$4+1))</f>
        <v>1428</v>
      </c>
      <c r="AW165">
        <f ca="1">IF(OR($L165&gt;AW$4,AW$4&gt;$L165+23),"",OFFSET(Electric!$L156,0,-'Electric Calendarize'!$L165+'Electric Calendarize'!AW$4+1))</f>
        <v>1143</v>
      </c>
      <c r="AX165">
        <f ca="1">IF(OR($L165&gt;AX$4,AX$4&gt;$L165+23),"",OFFSET(Electric!$L156,0,-'Electric Calendarize'!$L165+'Electric Calendarize'!AX$4+1))</f>
        <v>890</v>
      </c>
      <c r="AY165">
        <f ca="1">IF(OR($L165&gt;AY$4,AY$4&gt;$L165+23),"",OFFSET(Electric!$L156,0,-'Electric Calendarize'!$L165+'Electric Calendarize'!AY$4+1))</f>
        <v>640</v>
      </c>
      <c r="AZ165">
        <f ca="1">IF(OR($L165&gt;AZ$4,AZ$4&gt;$L165+23),"",OFFSET(Electric!$L156,0,-'Electric Calendarize'!$L165+'Electric Calendarize'!AZ$4+1))</f>
        <v>451</v>
      </c>
      <c r="BA165">
        <f ca="1">IF(OR($L165&gt;BA$4,BA$4&gt;$L165+23),"",OFFSET(Electric!$L156,0,-'Electric Calendarize'!$L165+'Electric Calendarize'!BA$4+1))</f>
        <v>370</v>
      </c>
      <c r="BB165">
        <f ca="1">IF(OR($L165&gt;BB$4,BB$4&gt;$L165+23),"",OFFSET(Electric!$L156,0,-'Electric Calendarize'!$L165+'Electric Calendarize'!BB$4+1))</f>
        <v>519</v>
      </c>
      <c r="BC165">
        <f ca="1">IF(OR($L165&gt;BC$4,BC$4&gt;$L165+23),"",OFFSET(Electric!$L156,0,-'Electric Calendarize'!$L165+'Electric Calendarize'!BC$4+1))</f>
        <v>435</v>
      </c>
      <c r="BD165" t="str">
        <f ca="1">IF(OR($L165&gt;BD$4,BD$4&gt;$L165+23),"",OFFSET(Electric!$L156,0,-'Electric Calendarize'!$L165+'Electric Calendarize'!BD$4+1))</f>
        <v/>
      </c>
      <c r="BE165" t="str">
        <f ca="1">IF(OR($L165&gt;BE$4,BE$4&gt;$L165+23),"",OFFSET(Electric!$L156,0,-'Electric Calendarize'!$L165+'Electric Calendarize'!BE$4+1))</f>
        <v/>
      </c>
      <c r="BF165" t="str">
        <f ca="1">IF(OR($L165&gt;BF$4,BF$4&gt;$L165+23),"",OFFSET(Electric!$L156,0,-'Electric Calendarize'!$L165+'Electric Calendarize'!BF$4+1))</f>
        <v/>
      </c>
      <c r="BG165" t="str">
        <f ca="1">IF(OR($L165&gt;BG$4,BG$4&gt;$L165+23),"",OFFSET(Electric!$L156,0,-'Electric Calendarize'!$L165+'Electric Calendarize'!BG$4+1))</f>
        <v/>
      </c>
      <c r="BJ165" s="10" t="s">
        <v>37</v>
      </c>
      <c r="BK165">
        <f t="shared" si="411"/>
        <v>1</v>
      </c>
      <c r="BL165">
        <f t="shared" si="317"/>
        <v>0</v>
      </c>
      <c r="BM165">
        <f t="shared" si="318"/>
        <v>0</v>
      </c>
      <c r="BN165">
        <f t="shared" si="319"/>
        <v>0</v>
      </c>
      <c r="BO165">
        <f t="shared" si="320"/>
        <v>0</v>
      </c>
      <c r="BP165">
        <f t="shared" si="321"/>
        <v>0</v>
      </c>
      <c r="BQ165">
        <f t="shared" si="322"/>
        <v>0</v>
      </c>
      <c r="BR165">
        <f t="shared" si="323"/>
        <v>1</v>
      </c>
      <c r="BS165">
        <f t="shared" si="324"/>
        <v>1</v>
      </c>
      <c r="BT165">
        <f t="shared" si="325"/>
        <v>1</v>
      </c>
      <c r="BU165">
        <f t="shared" si="326"/>
        <v>1</v>
      </c>
      <c r="BV165">
        <f t="shared" si="327"/>
        <v>1</v>
      </c>
      <c r="BW165">
        <f t="shared" si="328"/>
        <v>1</v>
      </c>
      <c r="BX165">
        <f t="shared" si="329"/>
        <v>0</v>
      </c>
      <c r="BY165">
        <f t="shared" si="330"/>
        <v>0</v>
      </c>
      <c r="BZ165">
        <f t="shared" si="331"/>
        <v>0</v>
      </c>
      <c r="CA165">
        <f t="shared" si="332"/>
        <v>0</v>
      </c>
      <c r="CB165">
        <f t="shared" si="333"/>
        <v>0</v>
      </c>
      <c r="CC165">
        <f t="shared" si="334"/>
        <v>0</v>
      </c>
      <c r="CD165">
        <f t="shared" si="335"/>
        <v>1</v>
      </c>
      <c r="CE165">
        <f t="shared" si="336"/>
        <v>1</v>
      </c>
      <c r="CF165">
        <f t="shared" si="337"/>
        <v>1</v>
      </c>
      <c r="CG165">
        <f t="shared" si="338"/>
        <v>1</v>
      </c>
      <c r="CH165">
        <f t="shared" si="339"/>
        <v>1</v>
      </c>
      <c r="CI165">
        <f t="shared" si="340"/>
        <v>1</v>
      </c>
      <c r="CJ165">
        <f t="shared" si="341"/>
        <v>0</v>
      </c>
      <c r="CK165">
        <f t="shared" si="342"/>
        <v>0</v>
      </c>
      <c r="CL165">
        <f t="shared" si="343"/>
        <v>0</v>
      </c>
      <c r="CM165">
        <f t="shared" si="344"/>
        <v>0</v>
      </c>
      <c r="CN165">
        <f t="shared" si="345"/>
        <v>0</v>
      </c>
      <c r="CO165">
        <f t="shared" si="346"/>
        <v>0</v>
      </c>
      <c r="CP165">
        <f t="shared" si="347"/>
        <v>1</v>
      </c>
      <c r="CQ165">
        <f t="shared" si="348"/>
        <v>1</v>
      </c>
      <c r="CR165">
        <f t="shared" si="349"/>
        <v>1</v>
      </c>
      <c r="CS165">
        <f t="shared" si="350"/>
        <v>1</v>
      </c>
      <c r="CT165">
        <f t="shared" si="351"/>
        <v>1</v>
      </c>
      <c r="CU165">
        <f t="shared" si="352"/>
        <v>1</v>
      </c>
      <c r="CV165">
        <f t="shared" si="353"/>
        <v>0</v>
      </c>
      <c r="CW165">
        <f t="shared" si="354"/>
        <v>0</v>
      </c>
      <c r="CX165">
        <f t="shared" si="355"/>
        <v>0</v>
      </c>
      <c r="CY165">
        <f t="shared" si="356"/>
        <v>0</v>
      </c>
      <c r="CZ165">
        <f t="shared" si="357"/>
        <v>0</v>
      </c>
      <c r="DA165">
        <f t="shared" si="358"/>
        <v>0</v>
      </c>
      <c r="DB165">
        <f t="shared" si="359"/>
        <v>1</v>
      </c>
      <c r="DC165">
        <f t="shared" si="360"/>
        <v>1</v>
      </c>
      <c r="DF165" s="10" t="s">
        <v>37</v>
      </c>
      <c r="DG165" t="str">
        <f t="shared" si="416"/>
        <v>2022_9</v>
      </c>
      <c r="DH165" t="str">
        <f t="shared" si="416"/>
        <v>2022_9</v>
      </c>
      <c r="DI165" t="str">
        <f t="shared" si="416"/>
        <v>2022_9</v>
      </c>
      <c r="DJ165" t="str">
        <f t="shared" si="416"/>
        <v>2022_9</v>
      </c>
      <c r="DK165" t="str">
        <f t="shared" si="416"/>
        <v>2022_9</v>
      </c>
      <c r="DL165" t="str">
        <f t="shared" si="416"/>
        <v>2022_9</v>
      </c>
      <c r="DM165" t="str">
        <f t="shared" si="416"/>
        <v>2022_9</v>
      </c>
      <c r="DN165" t="str">
        <f t="shared" si="416"/>
        <v>2022_9</v>
      </c>
      <c r="DO165" t="str">
        <f t="shared" si="416"/>
        <v>2022_9</v>
      </c>
      <c r="DP165" t="str">
        <f t="shared" si="416"/>
        <v>2022_9</v>
      </c>
      <c r="DQ165" t="str">
        <f t="shared" si="416"/>
        <v>2022_9</v>
      </c>
      <c r="DR165" t="str">
        <f t="shared" si="416"/>
        <v>2022_9</v>
      </c>
      <c r="DS165" t="str">
        <f t="shared" si="416"/>
        <v>2022_9</v>
      </c>
      <c r="DT165" t="str">
        <f t="shared" si="416"/>
        <v>2022_9</v>
      </c>
      <c r="DU165" t="str">
        <f t="shared" si="416"/>
        <v>2022_9</v>
      </c>
      <c r="DV165" t="str">
        <f t="shared" si="416"/>
        <v>2022_9</v>
      </c>
      <c r="DW165" t="str">
        <f t="shared" si="415"/>
        <v>2022_9</v>
      </c>
      <c r="DX165" t="str">
        <f t="shared" si="415"/>
        <v>2022_9</v>
      </c>
      <c r="DY165" t="str">
        <f t="shared" si="415"/>
        <v>2022_9</v>
      </c>
      <c r="DZ165" t="str">
        <f t="shared" si="415"/>
        <v>2022_9</v>
      </c>
      <c r="EA165" t="str">
        <f t="shared" si="415"/>
        <v>2022_9</v>
      </c>
      <c r="EB165" t="str">
        <f t="shared" si="415"/>
        <v>2022_9</v>
      </c>
      <c r="EC165" t="str">
        <f t="shared" si="415"/>
        <v>2022_9</v>
      </c>
      <c r="ED165" t="str">
        <f t="shared" si="415"/>
        <v>2022_9</v>
      </c>
      <c r="EE165" t="str">
        <f t="shared" si="415"/>
        <v>2022_9</v>
      </c>
      <c r="EF165" t="str">
        <f t="shared" si="415"/>
        <v>2022_9</v>
      </c>
      <c r="EG165" t="str">
        <f t="shared" si="415"/>
        <v>2022_9</v>
      </c>
      <c r="EH165" t="str">
        <f t="shared" si="415"/>
        <v>2022_9</v>
      </c>
      <c r="EI165" t="str">
        <f t="shared" si="415"/>
        <v>2022_9</v>
      </c>
      <c r="EJ165" t="str">
        <f t="shared" si="415"/>
        <v>2022_9</v>
      </c>
      <c r="EK165" t="str">
        <f t="shared" si="414"/>
        <v>2022_9</v>
      </c>
      <c r="EL165" t="str">
        <f t="shared" si="414"/>
        <v>2022_9</v>
      </c>
      <c r="EM165" t="str">
        <f t="shared" si="414"/>
        <v>2022_9</v>
      </c>
      <c r="EN165" t="str">
        <f t="shared" si="414"/>
        <v>2022_9</v>
      </c>
      <c r="EO165" t="str">
        <f t="shared" si="414"/>
        <v>2022_9</v>
      </c>
      <c r="EP165" t="str">
        <f t="shared" si="414"/>
        <v>2022_9</v>
      </c>
      <c r="EQ165" t="str">
        <f t="shared" si="414"/>
        <v>2022_9</v>
      </c>
      <c r="ER165" t="str">
        <f t="shared" si="414"/>
        <v>2022_9</v>
      </c>
      <c r="ES165" t="str">
        <f t="shared" si="414"/>
        <v>2022_9</v>
      </c>
      <c r="ET165" t="str">
        <f t="shared" si="414"/>
        <v>2022_9</v>
      </c>
      <c r="EU165" t="str">
        <f t="shared" si="414"/>
        <v>2022_9</v>
      </c>
      <c r="EV165" t="str">
        <f t="shared" si="414"/>
        <v>2022_9</v>
      </c>
      <c r="EW165" t="str">
        <f t="shared" si="414"/>
        <v>2022_9</v>
      </c>
      <c r="EX165" t="str">
        <f t="shared" si="414"/>
        <v>2022_9</v>
      </c>
      <c r="EY165" t="str">
        <f t="shared" si="414"/>
        <v>2022_9</v>
      </c>
      <c r="FB165" s="10" t="s">
        <v>37</v>
      </c>
      <c r="FC165">
        <f t="shared" si="413"/>
        <v>0</v>
      </c>
      <c r="FD165">
        <f t="shared" si="363"/>
        <v>0</v>
      </c>
      <c r="FE165">
        <f t="shared" si="364"/>
        <v>0</v>
      </c>
      <c r="FF165">
        <f t="shared" si="365"/>
        <v>0</v>
      </c>
      <c r="FG165">
        <f t="shared" si="366"/>
        <v>0</v>
      </c>
      <c r="FH165">
        <f t="shared" si="367"/>
        <v>0</v>
      </c>
      <c r="FI165">
        <f t="shared" si="368"/>
        <v>0</v>
      </c>
      <c r="FJ165">
        <f t="shared" si="369"/>
        <v>0</v>
      </c>
      <c r="FK165">
        <f t="shared" si="370"/>
        <v>0</v>
      </c>
      <c r="FL165">
        <f t="shared" si="371"/>
        <v>0</v>
      </c>
      <c r="FM165">
        <f t="shared" si="372"/>
        <v>0</v>
      </c>
      <c r="FN165">
        <f t="shared" si="373"/>
        <v>0</v>
      </c>
      <c r="FO165">
        <f t="shared" si="374"/>
        <v>0</v>
      </c>
      <c r="FP165">
        <f t="shared" si="375"/>
        <v>0</v>
      </c>
      <c r="FQ165">
        <f t="shared" si="376"/>
        <v>0</v>
      </c>
      <c r="FR165">
        <f t="shared" si="377"/>
        <v>0</v>
      </c>
      <c r="FS165">
        <f t="shared" si="378"/>
        <v>0</v>
      </c>
      <c r="FT165">
        <f t="shared" si="379"/>
        <v>0</v>
      </c>
      <c r="FU165">
        <f t="shared" si="380"/>
        <v>0</v>
      </c>
      <c r="FV165">
        <f t="shared" si="381"/>
        <v>0</v>
      </c>
      <c r="FW165">
        <f t="shared" si="382"/>
        <v>0</v>
      </c>
      <c r="FX165">
        <f t="shared" si="383"/>
        <v>0</v>
      </c>
      <c r="FY165">
        <f t="shared" si="384"/>
        <v>0</v>
      </c>
      <c r="FZ165">
        <f t="shared" si="385"/>
        <v>0</v>
      </c>
      <c r="GA165">
        <f t="shared" si="386"/>
        <v>0</v>
      </c>
      <c r="GB165">
        <f t="shared" si="387"/>
        <v>0</v>
      </c>
      <c r="GC165">
        <f t="shared" si="388"/>
        <v>0</v>
      </c>
      <c r="GD165">
        <f t="shared" si="389"/>
        <v>0</v>
      </c>
      <c r="GE165">
        <f t="shared" si="390"/>
        <v>0</v>
      </c>
      <c r="GF165">
        <f t="shared" si="391"/>
        <v>1</v>
      </c>
      <c r="GG165">
        <f t="shared" si="392"/>
        <v>1</v>
      </c>
      <c r="GH165">
        <f t="shared" si="393"/>
        <v>1</v>
      </c>
      <c r="GI165">
        <f t="shared" si="394"/>
        <v>1</v>
      </c>
      <c r="GJ165">
        <f t="shared" si="395"/>
        <v>1</v>
      </c>
      <c r="GK165">
        <f t="shared" si="396"/>
        <v>1</v>
      </c>
      <c r="GL165">
        <f t="shared" si="397"/>
        <v>1</v>
      </c>
      <c r="GM165">
        <f t="shared" si="398"/>
        <v>1</v>
      </c>
      <c r="GN165">
        <f t="shared" si="399"/>
        <v>1</v>
      </c>
      <c r="GO165">
        <f t="shared" si="400"/>
        <v>1</v>
      </c>
      <c r="GP165">
        <f t="shared" si="401"/>
        <v>1</v>
      </c>
      <c r="GQ165">
        <f t="shared" si="402"/>
        <v>1</v>
      </c>
      <c r="GR165">
        <f t="shared" si="403"/>
        <v>1</v>
      </c>
      <c r="GS165">
        <f t="shared" si="404"/>
        <v>1</v>
      </c>
      <c r="GT165">
        <f t="shared" si="405"/>
        <v>1</v>
      </c>
      <c r="GU165">
        <f t="shared" si="406"/>
        <v>1</v>
      </c>
      <c r="GX165" s="10"/>
    </row>
    <row r="166" spans="1:206" x14ac:dyDescent="0.3">
      <c r="A166" s="9" t="s">
        <v>33</v>
      </c>
      <c r="B166" s="80"/>
      <c r="C166" s="9">
        <v>3130140000</v>
      </c>
      <c r="D166" s="9" t="s">
        <v>428</v>
      </c>
      <c r="E166" s="9" t="s">
        <v>39</v>
      </c>
      <c r="F166" s="9" t="s">
        <v>35</v>
      </c>
      <c r="G166" s="9" t="s">
        <v>135</v>
      </c>
      <c r="H166" s="10">
        <v>44810</v>
      </c>
      <c r="I166" s="9">
        <f t="shared" si="407"/>
        <v>2022</v>
      </c>
      <c r="J166" s="9">
        <f t="shared" si="408"/>
        <v>9</v>
      </c>
      <c r="K166" s="9" t="str">
        <f t="shared" si="409"/>
        <v>2022_9</v>
      </c>
      <c r="L166">
        <f>MAX(0,VLOOKUP($K166,lookups!$A$1:$B$45,2,0)-12)</f>
        <v>17</v>
      </c>
      <c r="M166" s="40">
        <f t="shared" si="410"/>
        <v>44805</v>
      </c>
      <c r="N166" s="10" t="s">
        <v>37</v>
      </c>
      <c r="O166" t="str">
        <f ca="1">IF(OR($L166&gt;O$4,O$4&gt;$L166+23),"",OFFSET(Electric!$L157,0,-'Electric Calendarize'!$L166+'Electric Calendarize'!O$4+1))</f>
        <v/>
      </c>
      <c r="P166" t="str">
        <f ca="1">IF(OR($L166&gt;P$4,P$4&gt;$L166+23),"",OFFSET(Electric!$L157,0,-'Electric Calendarize'!$L166+'Electric Calendarize'!P$4+1))</f>
        <v/>
      </c>
      <c r="Q166" t="str">
        <f ca="1">IF(OR($L166&gt;Q$4,Q$4&gt;$L166+23),"",OFFSET(Electric!$L157,0,-'Electric Calendarize'!$L166+'Electric Calendarize'!Q$4+1))</f>
        <v/>
      </c>
      <c r="R166" t="str">
        <f ca="1">IF(OR($L166&gt;R$4,R$4&gt;$L166+23),"",OFFSET(Electric!$L157,0,-'Electric Calendarize'!$L166+'Electric Calendarize'!R$4+1))</f>
        <v/>
      </c>
      <c r="S166" t="str">
        <f ca="1">IF(OR($L166&gt;S$4,S$4&gt;$L166+23),"",OFFSET(Electric!$L157,0,-'Electric Calendarize'!$L166+'Electric Calendarize'!S$4+1))</f>
        <v/>
      </c>
      <c r="T166" t="str">
        <f ca="1">IF(OR($L166&gt;T$4,T$4&gt;$L166+23),"",OFFSET(Electric!$L157,0,-'Electric Calendarize'!$L166+'Electric Calendarize'!T$4+1))</f>
        <v/>
      </c>
      <c r="U166" t="str">
        <f ca="1">IF(OR($L166&gt;U$4,U$4&gt;$L166+23),"",OFFSET(Electric!$L157,0,-'Electric Calendarize'!$L166+'Electric Calendarize'!U$4+1))</f>
        <v/>
      </c>
      <c r="V166" t="str">
        <f ca="1">IF(OR($L166&gt;V$4,V$4&gt;$L166+23),"",OFFSET(Electric!$L157,0,-'Electric Calendarize'!$L166+'Electric Calendarize'!V$4+1))</f>
        <v/>
      </c>
      <c r="W166" t="str">
        <f ca="1">IF(OR($L166&gt;W$4,W$4&gt;$L166+23),"",OFFSET(Electric!$L157,0,-'Electric Calendarize'!$L166+'Electric Calendarize'!W$4+1))</f>
        <v/>
      </c>
      <c r="X166" t="str">
        <f ca="1">IF(OR($L166&gt;X$4,X$4&gt;$L166+23),"",OFFSET(Electric!$L157,0,-'Electric Calendarize'!$L166+'Electric Calendarize'!X$4+1))</f>
        <v/>
      </c>
      <c r="Y166" t="str">
        <f ca="1">IF(OR($L166&gt;Y$4,Y$4&gt;$L166+23),"",OFFSET(Electric!$L157,0,-'Electric Calendarize'!$L166+'Electric Calendarize'!Y$4+1))</f>
        <v/>
      </c>
      <c r="Z166" t="str">
        <f ca="1">IF(OR($L166&gt;Z$4,Z$4&gt;$L166+23),"",OFFSET(Electric!$L157,0,-'Electric Calendarize'!$L166+'Electric Calendarize'!Z$4+1))</f>
        <v/>
      </c>
      <c r="AA166" t="str">
        <f ca="1">IF(OR($L166&gt;AA$4,AA$4&gt;$L166+23),"",OFFSET(Electric!$L157,0,-'Electric Calendarize'!$L166+'Electric Calendarize'!AA$4+1))</f>
        <v/>
      </c>
      <c r="AB166" t="str">
        <f ca="1">IF(OR($L166&gt;AB$4,AB$4&gt;$L166+23),"",OFFSET(Electric!$L157,0,-'Electric Calendarize'!$L166+'Electric Calendarize'!AB$4+1))</f>
        <v/>
      </c>
      <c r="AC166" t="str">
        <f ca="1">IF(OR($L166&gt;AC$4,AC$4&gt;$L166+23),"",OFFSET(Electric!$L157,0,-'Electric Calendarize'!$L166+'Electric Calendarize'!AC$4+1))</f>
        <v/>
      </c>
      <c r="AD166" t="str">
        <f ca="1">IF(OR($L166&gt;AD$4,AD$4&gt;$L166+23),"",OFFSET(Electric!$L157,0,-'Electric Calendarize'!$L166+'Electric Calendarize'!AD$4+1))</f>
        <v/>
      </c>
      <c r="AE166" t="str">
        <f ca="1">IF(OR($L166&gt;AE$4,AE$4&gt;$L166+23),"",OFFSET(Electric!$L157,0,-'Electric Calendarize'!$L166+'Electric Calendarize'!AE$4+1))</f>
        <v/>
      </c>
      <c r="AF166">
        <f ca="1">IF(OR($L166&gt;AF$4,AF$4&gt;$L166+23),"",OFFSET(Electric!$L157,0,-'Electric Calendarize'!$L166+'Electric Calendarize'!AF$4+1))</f>
        <v>1505</v>
      </c>
      <c r="AG166">
        <f ca="1">IF(OR($L166&gt;AG$4,AG$4&gt;$L166+23),"",OFFSET(Electric!$L157,0,-'Electric Calendarize'!$L166+'Electric Calendarize'!AG$4+1))</f>
        <v>971</v>
      </c>
      <c r="AH166">
        <f ca="1">IF(OR($L166&gt;AH$4,AH$4&gt;$L166+23),"",OFFSET(Electric!$L157,0,-'Electric Calendarize'!$L166+'Electric Calendarize'!AH$4+1))</f>
        <v>785</v>
      </c>
      <c r="AI166">
        <f ca="1">IF(OR($L166&gt;AI$4,AI$4&gt;$L166+23),"",OFFSET(Electric!$L157,0,-'Electric Calendarize'!$L166+'Electric Calendarize'!AI$4+1))</f>
        <v>863</v>
      </c>
      <c r="AJ166">
        <f ca="1">IF(OR($L166&gt;AJ$4,AJ$4&gt;$L166+23),"",OFFSET(Electric!$L157,0,-'Electric Calendarize'!$L166+'Electric Calendarize'!AJ$4+1))</f>
        <v>976</v>
      </c>
      <c r="AK166">
        <f ca="1">IF(OR($L166&gt;AK$4,AK$4&gt;$L166+23),"",OFFSET(Electric!$L157,0,-'Electric Calendarize'!$L166+'Electric Calendarize'!AK$4+1))</f>
        <v>844</v>
      </c>
      <c r="AL166">
        <f ca="1">IF(OR($L166&gt;AL$4,AL$4&gt;$L166+23),"",OFFSET(Electric!$L157,0,-'Electric Calendarize'!$L166+'Electric Calendarize'!AL$4+1))</f>
        <v>735</v>
      </c>
      <c r="AM166">
        <f ca="1">IF(OR($L166&gt;AM$4,AM$4&gt;$L166+23),"",OFFSET(Electric!$L157,0,-'Electric Calendarize'!$L166+'Electric Calendarize'!AM$4+1))</f>
        <v>727</v>
      </c>
      <c r="AN166">
        <f ca="1">IF(OR($L166&gt;AN$4,AN$4&gt;$L166+23),"",OFFSET(Electric!$L157,0,-'Electric Calendarize'!$L166+'Electric Calendarize'!AN$4+1))</f>
        <v>1027</v>
      </c>
      <c r="AO166">
        <f ca="1">IF(OR($L166&gt;AO$4,AO$4&gt;$L166+23),"",OFFSET(Electric!$L157,0,-'Electric Calendarize'!$L166+'Electric Calendarize'!AO$4+1))</f>
        <v>1237</v>
      </c>
      <c r="AP166">
        <f ca="1">IF(OR($L166&gt;AP$4,AP$4&gt;$L166+23),"",OFFSET(Electric!$L157,0,-'Electric Calendarize'!$L166+'Electric Calendarize'!AP$4+1))</f>
        <v>2006</v>
      </c>
      <c r="AQ166">
        <f ca="1">IF(OR($L166&gt;AQ$4,AQ$4&gt;$L166+23),"",OFFSET(Electric!$L157,0,-'Electric Calendarize'!$L166+'Electric Calendarize'!AQ$4+1))</f>
        <v>1788</v>
      </c>
      <c r="AR166">
        <f ca="1">IF(OR($L166&gt;AR$4,AR$4&gt;$L166+23),"",OFFSET(Electric!$L157,0,-'Electric Calendarize'!$L166+'Electric Calendarize'!AR$4+1))</f>
        <v>919</v>
      </c>
      <c r="AS166">
        <f ca="1">IF(OR($L166&gt;AS$4,AS$4&gt;$L166+23),"",OFFSET(Electric!$L157,0,-'Electric Calendarize'!$L166+'Electric Calendarize'!AS$4+1))</f>
        <v>1082</v>
      </c>
      <c r="AT166">
        <f ca="1">IF(OR($L166&gt;AT$4,AT$4&gt;$L166+23),"",OFFSET(Electric!$L157,0,-'Electric Calendarize'!$L166+'Electric Calendarize'!AT$4+1))</f>
        <v>951</v>
      </c>
      <c r="AU166">
        <f ca="1">IF(OR($L166&gt;AU$4,AU$4&gt;$L166+23),"",OFFSET(Electric!$L157,0,-'Electric Calendarize'!$L166+'Electric Calendarize'!AU$4+1))</f>
        <v>1873</v>
      </c>
      <c r="AV166">
        <f ca="1">IF(OR($L166&gt;AV$4,AV$4&gt;$L166+23),"",OFFSET(Electric!$L157,0,-'Electric Calendarize'!$L166+'Electric Calendarize'!AV$4+1))</f>
        <v>2392</v>
      </c>
      <c r="AW166">
        <f ca="1">IF(OR($L166&gt;AW$4,AW$4&gt;$L166+23),"",OFFSET(Electric!$L157,0,-'Electric Calendarize'!$L166+'Electric Calendarize'!AW$4+1))</f>
        <v>1937</v>
      </c>
      <c r="AX166">
        <f ca="1">IF(OR($L166&gt;AX$4,AX$4&gt;$L166+23),"",OFFSET(Electric!$L157,0,-'Electric Calendarize'!$L166+'Electric Calendarize'!AX$4+1))</f>
        <v>1739</v>
      </c>
      <c r="AY166">
        <f ca="1">IF(OR($L166&gt;AY$4,AY$4&gt;$L166+23),"",OFFSET(Electric!$L157,0,-'Electric Calendarize'!$L166+'Electric Calendarize'!AY$4+1))</f>
        <v>1414</v>
      </c>
      <c r="AZ166">
        <f ca="1">IF(OR($L166&gt;AZ$4,AZ$4&gt;$L166+23),"",OFFSET(Electric!$L157,0,-'Electric Calendarize'!$L166+'Electric Calendarize'!AZ$4+1))</f>
        <v>1089</v>
      </c>
      <c r="BA166">
        <f ca="1">IF(OR($L166&gt;BA$4,BA$4&gt;$L166+23),"",OFFSET(Electric!$L157,0,-'Electric Calendarize'!$L166+'Electric Calendarize'!BA$4+1))</f>
        <v>1240</v>
      </c>
      <c r="BB166">
        <f ca="1">IF(OR($L166&gt;BB$4,BB$4&gt;$L166+23),"",OFFSET(Electric!$L157,0,-'Electric Calendarize'!$L166+'Electric Calendarize'!BB$4+1))</f>
        <v>1466</v>
      </c>
      <c r="BC166">
        <f ca="1">IF(OR($L166&gt;BC$4,BC$4&gt;$L166+23),"",OFFSET(Electric!$L157,0,-'Electric Calendarize'!$L166+'Electric Calendarize'!BC$4+1))</f>
        <v>1199</v>
      </c>
      <c r="BD166" t="str">
        <f ca="1">IF(OR($L166&gt;BD$4,BD$4&gt;$L166+23),"",OFFSET(Electric!$L157,0,-'Electric Calendarize'!$L166+'Electric Calendarize'!BD$4+1))</f>
        <v/>
      </c>
      <c r="BE166" t="str">
        <f ca="1">IF(OR($L166&gt;BE$4,BE$4&gt;$L166+23),"",OFFSET(Electric!$L157,0,-'Electric Calendarize'!$L166+'Electric Calendarize'!BE$4+1))</f>
        <v/>
      </c>
      <c r="BF166" t="str">
        <f ca="1">IF(OR($L166&gt;BF$4,BF$4&gt;$L166+23),"",OFFSET(Electric!$L157,0,-'Electric Calendarize'!$L166+'Electric Calendarize'!BF$4+1))</f>
        <v/>
      </c>
      <c r="BG166" t="str">
        <f ca="1">IF(OR($L166&gt;BG$4,BG$4&gt;$L166+23),"",OFFSET(Electric!$L157,0,-'Electric Calendarize'!$L166+'Electric Calendarize'!BG$4+1))</f>
        <v/>
      </c>
      <c r="BJ166" s="10" t="s">
        <v>37</v>
      </c>
      <c r="BK166">
        <f t="shared" si="411"/>
        <v>1</v>
      </c>
      <c r="BL166">
        <f t="shared" si="317"/>
        <v>0</v>
      </c>
      <c r="BM166">
        <f t="shared" si="318"/>
        <v>0</v>
      </c>
      <c r="BN166">
        <f t="shared" si="319"/>
        <v>0</v>
      </c>
      <c r="BO166">
        <f t="shared" si="320"/>
        <v>0</v>
      </c>
      <c r="BP166">
        <f t="shared" si="321"/>
        <v>0</v>
      </c>
      <c r="BQ166">
        <f t="shared" si="322"/>
        <v>0</v>
      </c>
      <c r="BR166">
        <f t="shared" si="323"/>
        <v>1</v>
      </c>
      <c r="BS166">
        <f t="shared" si="324"/>
        <v>1</v>
      </c>
      <c r="BT166">
        <f t="shared" si="325"/>
        <v>1</v>
      </c>
      <c r="BU166">
        <f t="shared" si="326"/>
        <v>1</v>
      </c>
      <c r="BV166">
        <f t="shared" si="327"/>
        <v>1</v>
      </c>
      <c r="BW166">
        <f t="shared" si="328"/>
        <v>1</v>
      </c>
      <c r="BX166">
        <f t="shared" si="329"/>
        <v>0</v>
      </c>
      <c r="BY166">
        <f t="shared" si="330"/>
        <v>0</v>
      </c>
      <c r="BZ166">
        <f t="shared" si="331"/>
        <v>0</v>
      </c>
      <c r="CA166">
        <f t="shared" si="332"/>
        <v>0</v>
      </c>
      <c r="CB166">
        <f t="shared" si="333"/>
        <v>0</v>
      </c>
      <c r="CC166">
        <f t="shared" si="334"/>
        <v>0</v>
      </c>
      <c r="CD166">
        <f t="shared" si="335"/>
        <v>1</v>
      </c>
      <c r="CE166">
        <f t="shared" si="336"/>
        <v>1</v>
      </c>
      <c r="CF166">
        <f t="shared" si="337"/>
        <v>1</v>
      </c>
      <c r="CG166">
        <f t="shared" si="338"/>
        <v>1</v>
      </c>
      <c r="CH166">
        <f t="shared" si="339"/>
        <v>1</v>
      </c>
      <c r="CI166">
        <f t="shared" si="340"/>
        <v>1</v>
      </c>
      <c r="CJ166">
        <f t="shared" si="341"/>
        <v>0</v>
      </c>
      <c r="CK166">
        <f t="shared" si="342"/>
        <v>0</v>
      </c>
      <c r="CL166">
        <f t="shared" si="343"/>
        <v>0</v>
      </c>
      <c r="CM166">
        <f t="shared" si="344"/>
        <v>0</v>
      </c>
      <c r="CN166">
        <f t="shared" si="345"/>
        <v>0</v>
      </c>
      <c r="CO166">
        <f t="shared" si="346"/>
        <v>0</v>
      </c>
      <c r="CP166">
        <f t="shared" si="347"/>
        <v>1</v>
      </c>
      <c r="CQ166">
        <f t="shared" si="348"/>
        <v>1</v>
      </c>
      <c r="CR166">
        <f t="shared" si="349"/>
        <v>1</v>
      </c>
      <c r="CS166">
        <f t="shared" si="350"/>
        <v>1</v>
      </c>
      <c r="CT166">
        <f t="shared" si="351"/>
        <v>1</v>
      </c>
      <c r="CU166">
        <f t="shared" si="352"/>
        <v>1</v>
      </c>
      <c r="CV166">
        <f t="shared" si="353"/>
        <v>0</v>
      </c>
      <c r="CW166">
        <f t="shared" si="354"/>
        <v>0</v>
      </c>
      <c r="CX166">
        <f t="shared" si="355"/>
        <v>0</v>
      </c>
      <c r="CY166">
        <f t="shared" si="356"/>
        <v>0</v>
      </c>
      <c r="CZ166">
        <f t="shared" si="357"/>
        <v>0</v>
      </c>
      <c r="DA166">
        <f t="shared" si="358"/>
        <v>0</v>
      </c>
      <c r="DB166">
        <f t="shared" si="359"/>
        <v>1</v>
      </c>
      <c r="DC166">
        <f t="shared" si="360"/>
        <v>1</v>
      </c>
      <c r="DF166" s="10" t="s">
        <v>37</v>
      </c>
      <c r="DG166" t="str">
        <f t="shared" si="416"/>
        <v>2022_9</v>
      </c>
      <c r="DH166" t="str">
        <f t="shared" si="416"/>
        <v>2022_9</v>
      </c>
      <c r="DI166" t="str">
        <f t="shared" si="416"/>
        <v>2022_9</v>
      </c>
      <c r="DJ166" t="str">
        <f t="shared" si="416"/>
        <v>2022_9</v>
      </c>
      <c r="DK166" t="str">
        <f t="shared" si="416"/>
        <v>2022_9</v>
      </c>
      <c r="DL166" t="str">
        <f t="shared" si="416"/>
        <v>2022_9</v>
      </c>
      <c r="DM166" t="str">
        <f t="shared" si="416"/>
        <v>2022_9</v>
      </c>
      <c r="DN166" t="str">
        <f t="shared" si="416"/>
        <v>2022_9</v>
      </c>
      <c r="DO166" t="str">
        <f t="shared" si="416"/>
        <v>2022_9</v>
      </c>
      <c r="DP166" t="str">
        <f t="shared" si="416"/>
        <v>2022_9</v>
      </c>
      <c r="DQ166" t="str">
        <f t="shared" si="416"/>
        <v>2022_9</v>
      </c>
      <c r="DR166" t="str">
        <f t="shared" si="416"/>
        <v>2022_9</v>
      </c>
      <c r="DS166" t="str">
        <f t="shared" si="416"/>
        <v>2022_9</v>
      </c>
      <c r="DT166" t="str">
        <f t="shared" si="416"/>
        <v>2022_9</v>
      </c>
      <c r="DU166" t="str">
        <f t="shared" si="416"/>
        <v>2022_9</v>
      </c>
      <c r="DV166" t="str">
        <f t="shared" si="416"/>
        <v>2022_9</v>
      </c>
      <c r="DW166" t="str">
        <f t="shared" si="415"/>
        <v>2022_9</v>
      </c>
      <c r="DX166" t="str">
        <f t="shared" si="415"/>
        <v>2022_9</v>
      </c>
      <c r="DY166" t="str">
        <f t="shared" si="415"/>
        <v>2022_9</v>
      </c>
      <c r="DZ166" t="str">
        <f t="shared" si="415"/>
        <v>2022_9</v>
      </c>
      <c r="EA166" t="str">
        <f t="shared" si="415"/>
        <v>2022_9</v>
      </c>
      <c r="EB166" t="str">
        <f t="shared" si="415"/>
        <v>2022_9</v>
      </c>
      <c r="EC166" t="str">
        <f t="shared" si="415"/>
        <v>2022_9</v>
      </c>
      <c r="ED166" t="str">
        <f t="shared" si="415"/>
        <v>2022_9</v>
      </c>
      <c r="EE166" t="str">
        <f t="shared" si="415"/>
        <v>2022_9</v>
      </c>
      <c r="EF166" t="str">
        <f t="shared" si="415"/>
        <v>2022_9</v>
      </c>
      <c r="EG166" t="str">
        <f t="shared" si="415"/>
        <v>2022_9</v>
      </c>
      <c r="EH166" t="str">
        <f t="shared" si="415"/>
        <v>2022_9</v>
      </c>
      <c r="EI166" t="str">
        <f t="shared" si="415"/>
        <v>2022_9</v>
      </c>
      <c r="EJ166" t="str">
        <f t="shared" si="415"/>
        <v>2022_9</v>
      </c>
      <c r="EK166" t="str">
        <f t="shared" si="414"/>
        <v>2022_9</v>
      </c>
      <c r="EL166" t="str">
        <f t="shared" si="414"/>
        <v>2022_9</v>
      </c>
      <c r="EM166" t="str">
        <f t="shared" si="414"/>
        <v>2022_9</v>
      </c>
      <c r="EN166" t="str">
        <f t="shared" si="414"/>
        <v>2022_9</v>
      </c>
      <c r="EO166" t="str">
        <f t="shared" si="414"/>
        <v>2022_9</v>
      </c>
      <c r="EP166" t="str">
        <f t="shared" si="414"/>
        <v>2022_9</v>
      </c>
      <c r="EQ166" t="str">
        <f t="shared" si="414"/>
        <v>2022_9</v>
      </c>
      <c r="ER166" t="str">
        <f t="shared" si="414"/>
        <v>2022_9</v>
      </c>
      <c r="ES166" t="str">
        <f t="shared" si="414"/>
        <v>2022_9</v>
      </c>
      <c r="ET166" t="str">
        <f t="shared" si="414"/>
        <v>2022_9</v>
      </c>
      <c r="EU166" t="str">
        <f t="shared" si="414"/>
        <v>2022_9</v>
      </c>
      <c r="EV166" t="str">
        <f t="shared" si="414"/>
        <v>2022_9</v>
      </c>
      <c r="EW166" t="str">
        <f t="shared" si="414"/>
        <v>2022_9</v>
      </c>
      <c r="EX166" t="str">
        <f t="shared" si="414"/>
        <v>2022_9</v>
      </c>
      <c r="EY166" t="str">
        <f t="shared" si="414"/>
        <v>2022_9</v>
      </c>
      <c r="FB166" s="10" t="s">
        <v>37</v>
      </c>
      <c r="FC166">
        <f t="shared" si="413"/>
        <v>0</v>
      </c>
      <c r="FD166">
        <f t="shared" si="363"/>
        <v>0</v>
      </c>
      <c r="FE166">
        <f t="shared" si="364"/>
        <v>0</v>
      </c>
      <c r="FF166">
        <f t="shared" si="365"/>
        <v>0</v>
      </c>
      <c r="FG166">
        <f t="shared" si="366"/>
        <v>0</v>
      </c>
      <c r="FH166">
        <f t="shared" si="367"/>
        <v>0</v>
      </c>
      <c r="FI166">
        <f t="shared" si="368"/>
        <v>0</v>
      </c>
      <c r="FJ166">
        <f t="shared" si="369"/>
        <v>0</v>
      </c>
      <c r="FK166">
        <f t="shared" si="370"/>
        <v>0</v>
      </c>
      <c r="FL166">
        <f t="shared" si="371"/>
        <v>0</v>
      </c>
      <c r="FM166">
        <f t="shared" si="372"/>
        <v>0</v>
      </c>
      <c r="FN166">
        <f t="shared" si="373"/>
        <v>0</v>
      </c>
      <c r="FO166">
        <f t="shared" si="374"/>
        <v>0</v>
      </c>
      <c r="FP166">
        <f t="shared" si="375"/>
        <v>0</v>
      </c>
      <c r="FQ166">
        <f t="shared" si="376"/>
        <v>0</v>
      </c>
      <c r="FR166">
        <f t="shared" si="377"/>
        <v>0</v>
      </c>
      <c r="FS166">
        <f t="shared" si="378"/>
        <v>0</v>
      </c>
      <c r="FT166">
        <f t="shared" si="379"/>
        <v>0</v>
      </c>
      <c r="FU166">
        <f t="shared" si="380"/>
        <v>0</v>
      </c>
      <c r="FV166">
        <f t="shared" si="381"/>
        <v>0</v>
      </c>
      <c r="FW166">
        <f t="shared" si="382"/>
        <v>0</v>
      </c>
      <c r="FX166">
        <f t="shared" si="383"/>
        <v>0</v>
      </c>
      <c r="FY166">
        <f t="shared" si="384"/>
        <v>0</v>
      </c>
      <c r="FZ166">
        <f t="shared" si="385"/>
        <v>0</v>
      </c>
      <c r="GA166">
        <f t="shared" si="386"/>
        <v>0</v>
      </c>
      <c r="GB166">
        <f t="shared" si="387"/>
        <v>0</v>
      </c>
      <c r="GC166">
        <f t="shared" si="388"/>
        <v>0</v>
      </c>
      <c r="GD166">
        <f t="shared" si="389"/>
        <v>0</v>
      </c>
      <c r="GE166">
        <f t="shared" si="390"/>
        <v>0</v>
      </c>
      <c r="GF166">
        <f t="shared" si="391"/>
        <v>1</v>
      </c>
      <c r="GG166">
        <f t="shared" si="392"/>
        <v>1</v>
      </c>
      <c r="GH166">
        <f t="shared" si="393"/>
        <v>1</v>
      </c>
      <c r="GI166">
        <f t="shared" si="394"/>
        <v>1</v>
      </c>
      <c r="GJ166">
        <f t="shared" si="395"/>
        <v>1</v>
      </c>
      <c r="GK166">
        <f t="shared" si="396"/>
        <v>1</v>
      </c>
      <c r="GL166">
        <f t="shared" si="397"/>
        <v>1</v>
      </c>
      <c r="GM166">
        <f t="shared" si="398"/>
        <v>1</v>
      </c>
      <c r="GN166">
        <f t="shared" si="399"/>
        <v>1</v>
      </c>
      <c r="GO166">
        <f t="shared" si="400"/>
        <v>1</v>
      </c>
      <c r="GP166">
        <f t="shared" si="401"/>
        <v>1</v>
      </c>
      <c r="GQ166">
        <f t="shared" si="402"/>
        <v>1</v>
      </c>
      <c r="GR166">
        <f t="shared" si="403"/>
        <v>1</v>
      </c>
      <c r="GS166">
        <f t="shared" si="404"/>
        <v>1</v>
      </c>
      <c r="GT166">
        <f t="shared" si="405"/>
        <v>1</v>
      </c>
      <c r="GU166">
        <f t="shared" si="406"/>
        <v>1</v>
      </c>
      <c r="GX166" s="10"/>
    </row>
    <row r="167" spans="1:206" x14ac:dyDescent="0.3">
      <c r="A167" s="9" t="s">
        <v>33</v>
      </c>
      <c r="B167" s="80"/>
      <c r="C167" s="32">
        <v>3131616001</v>
      </c>
      <c r="D167" s="9" t="s">
        <v>443</v>
      </c>
      <c r="E167" s="9" t="s">
        <v>39</v>
      </c>
      <c r="F167" s="9" t="s">
        <v>35</v>
      </c>
      <c r="G167" s="9" t="s">
        <v>198</v>
      </c>
      <c r="H167" s="10">
        <v>44810</v>
      </c>
      <c r="I167" s="9">
        <f t="shared" si="407"/>
        <v>2022</v>
      </c>
      <c r="J167" s="9">
        <f t="shared" si="408"/>
        <v>9</v>
      </c>
      <c r="K167" s="9" t="str">
        <f t="shared" si="409"/>
        <v>2022_9</v>
      </c>
      <c r="L167">
        <f>MAX(0,VLOOKUP($K167,lookups!$A$1:$B$45,2,0)-12)</f>
        <v>17</v>
      </c>
      <c r="M167" s="40">
        <f t="shared" si="410"/>
        <v>44805</v>
      </c>
      <c r="N167" s="10" t="s">
        <v>37</v>
      </c>
      <c r="O167" t="str">
        <f ca="1">IF(OR($L167&gt;O$4,O$4&gt;$L167+23),"",OFFSET(Electric!$L158,0,-'Electric Calendarize'!$L167+'Electric Calendarize'!O$4+1))</f>
        <v/>
      </c>
      <c r="P167" t="str">
        <f ca="1">IF(OR($L167&gt;P$4,P$4&gt;$L167+23),"",OFFSET(Electric!$L158,0,-'Electric Calendarize'!$L167+'Electric Calendarize'!P$4+1))</f>
        <v/>
      </c>
      <c r="Q167" t="str">
        <f ca="1">IF(OR($L167&gt;Q$4,Q$4&gt;$L167+23),"",OFFSET(Electric!$L158,0,-'Electric Calendarize'!$L167+'Electric Calendarize'!Q$4+1))</f>
        <v/>
      </c>
      <c r="R167" t="str">
        <f ca="1">IF(OR($L167&gt;R$4,R$4&gt;$L167+23),"",OFFSET(Electric!$L158,0,-'Electric Calendarize'!$L167+'Electric Calendarize'!R$4+1))</f>
        <v/>
      </c>
      <c r="S167" t="str">
        <f ca="1">IF(OR($L167&gt;S$4,S$4&gt;$L167+23),"",OFFSET(Electric!$L158,0,-'Electric Calendarize'!$L167+'Electric Calendarize'!S$4+1))</f>
        <v/>
      </c>
      <c r="T167" t="str">
        <f ca="1">IF(OR($L167&gt;T$4,T$4&gt;$L167+23),"",OFFSET(Electric!$L158,0,-'Electric Calendarize'!$L167+'Electric Calendarize'!T$4+1))</f>
        <v/>
      </c>
      <c r="U167" t="str">
        <f ca="1">IF(OR($L167&gt;U$4,U$4&gt;$L167+23),"",OFFSET(Electric!$L158,0,-'Electric Calendarize'!$L167+'Electric Calendarize'!U$4+1))</f>
        <v/>
      </c>
      <c r="V167" t="str">
        <f ca="1">IF(OR($L167&gt;V$4,V$4&gt;$L167+23),"",OFFSET(Electric!$L158,0,-'Electric Calendarize'!$L167+'Electric Calendarize'!V$4+1))</f>
        <v/>
      </c>
      <c r="W167" t="str">
        <f ca="1">IF(OR($L167&gt;W$4,W$4&gt;$L167+23),"",OFFSET(Electric!$L158,0,-'Electric Calendarize'!$L167+'Electric Calendarize'!W$4+1))</f>
        <v/>
      </c>
      <c r="X167" t="str">
        <f ca="1">IF(OR($L167&gt;X$4,X$4&gt;$L167+23),"",OFFSET(Electric!$L158,0,-'Electric Calendarize'!$L167+'Electric Calendarize'!X$4+1))</f>
        <v/>
      </c>
      <c r="Y167" t="str">
        <f ca="1">IF(OR($L167&gt;Y$4,Y$4&gt;$L167+23),"",OFFSET(Electric!$L158,0,-'Electric Calendarize'!$L167+'Electric Calendarize'!Y$4+1))</f>
        <v/>
      </c>
      <c r="Z167" t="str">
        <f ca="1">IF(OR($L167&gt;Z$4,Z$4&gt;$L167+23),"",OFFSET(Electric!$L158,0,-'Electric Calendarize'!$L167+'Electric Calendarize'!Z$4+1))</f>
        <v/>
      </c>
      <c r="AA167" t="str">
        <f ca="1">IF(OR($L167&gt;AA$4,AA$4&gt;$L167+23),"",OFFSET(Electric!$L158,0,-'Electric Calendarize'!$L167+'Electric Calendarize'!AA$4+1))</f>
        <v/>
      </c>
      <c r="AB167" t="str">
        <f ca="1">IF(OR($L167&gt;AB$4,AB$4&gt;$L167+23),"",OFFSET(Electric!$L158,0,-'Electric Calendarize'!$L167+'Electric Calendarize'!AB$4+1))</f>
        <v/>
      </c>
      <c r="AC167" t="str">
        <f ca="1">IF(OR($L167&gt;AC$4,AC$4&gt;$L167+23),"",OFFSET(Electric!$L158,0,-'Electric Calendarize'!$L167+'Electric Calendarize'!AC$4+1))</f>
        <v/>
      </c>
      <c r="AD167" t="str">
        <f ca="1">IF(OR($L167&gt;AD$4,AD$4&gt;$L167+23),"",OFFSET(Electric!$L158,0,-'Electric Calendarize'!$L167+'Electric Calendarize'!AD$4+1))</f>
        <v/>
      </c>
      <c r="AE167" t="str">
        <f ca="1">IF(OR($L167&gt;AE$4,AE$4&gt;$L167+23),"",OFFSET(Electric!$L158,0,-'Electric Calendarize'!$L167+'Electric Calendarize'!AE$4+1))</f>
        <v/>
      </c>
      <c r="AF167">
        <f ca="1">IF(OR($L167&gt;AF$4,AF$4&gt;$L167+23),"",OFFSET(Electric!$L158,0,-'Electric Calendarize'!$L167+'Electric Calendarize'!AF$4+1))</f>
        <v>689</v>
      </c>
      <c r="AG167">
        <f ca="1">IF(OR($L167&gt;AG$4,AG$4&gt;$L167+23),"",OFFSET(Electric!$L158,0,-'Electric Calendarize'!$L167+'Electric Calendarize'!AG$4+1))</f>
        <v>680</v>
      </c>
      <c r="AH167">
        <f ca="1">IF(OR($L167&gt;AH$4,AH$4&gt;$L167+23),"",OFFSET(Electric!$L158,0,-'Electric Calendarize'!$L167+'Electric Calendarize'!AH$4+1))</f>
        <v>1273</v>
      </c>
      <c r="AI167">
        <f ca="1">IF(OR($L167&gt;AI$4,AI$4&gt;$L167+23),"",OFFSET(Electric!$L158,0,-'Electric Calendarize'!$L167+'Electric Calendarize'!AI$4+1))</f>
        <v>1666</v>
      </c>
      <c r="AJ167">
        <f ca="1">IF(OR($L167&gt;AJ$4,AJ$4&gt;$L167+23),"",OFFSET(Electric!$L158,0,-'Electric Calendarize'!$L167+'Electric Calendarize'!AJ$4+1))</f>
        <v>1827</v>
      </c>
      <c r="AK167">
        <f ca="1">IF(OR($L167&gt;AK$4,AK$4&gt;$L167+23),"",OFFSET(Electric!$L158,0,-'Electric Calendarize'!$L167+'Electric Calendarize'!AK$4+1))</f>
        <v>1431</v>
      </c>
      <c r="AL167">
        <f ca="1">IF(OR($L167&gt;AL$4,AL$4&gt;$L167+23),"",OFFSET(Electric!$L158,0,-'Electric Calendarize'!$L167+'Electric Calendarize'!AL$4+1))</f>
        <v>1286</v>
      </c>
      <c r="AM167">
        <f ca="1">IF(OR($L167&gt;AM$4,AM$4&gt;$L167+23),"",OFFSET(Electric!$L158,0,-'Electric Calendarize'!$L167+'Electric Calendarize'!AM$4+1))</f>
        <v>1136</v>
      </c>
      <c r="AN167">
        <f ca="1">IF(OR($L167&gt;AN$4,AN$4&gt;$L167+23),"",OFFSET(Electric!$L158,0,-'Electric Calendarize'!$L167+'Electric Calendarize'!AN$4+1))</f>
        <v>1008</v>
      </c>
      <c r="AO167">
        <f ca="1">IF(OR($L167&gt;AO$4,AO$4&gt;$L167+23),"",OFFSET(Electric!$L158,0,-'Electric Calendarize'!$L167+'Electric Calendarize'!AO$4+1))</f>
        <v>574</v>
      </c>
      <c r="AP167">
        <f ca="1">IF(OR($L167&gt;AP$4,AP$4&gt;$L167+23),"",OFFSET(Electric!$L158,0,-'Electric Calendarize'!$L167+'Electric Calendarize'!AP$4+1))</f>
        <v>417</v>
      </c>
      <c r="AQ167">
        <f ca="1">IF(OR($L167&gt;AQ$4,AQ$4&gt;$L167+23),"",OFFSET(Electric!$L158,0,-'Electric Calendarize'!$L167+'Electric Calendarize'!AQ$4+1))</f>
        <v>667</v>
      </c>
      <c r="AR167">
        <f ca="1">IF(OR($L167&gt;AR$4,AR$4&gt;$L167+23),"",OFFSET(Electric!$L158,0,-'Electric Calendarize'!$L167+'Electric Calendarize'!AR$4+1))</f>
        <v>609</v>
      </c>
      <c r="AS167">
        <f ca="1">IF(OR($L167&gt;AS$4,AS$4&gt;$L167+23),"",OFFSET(Electric!$L158,0,-'Electric Calendarize'!$L167+'Electric Calendarize'!AS$4+1))</f>
        <v>814</v>
      </c>
      <c r="AT167">
        <f ca="1">IF(OR($L167&gt;AT$4,AT$4&gt;$L167+23),"",OFFSET(Electric!$L158,0,-'Electric Calendarize'!$L167+'Electric Calendarize'!AT$4+1))</f>
        <v>808</v>
      </c>
      <c r="AU167">
        <f ca="1">IF(OR($L167&gt;AU$4,AU$4&gt;$L167+23),"",OFFSET(Electric!$L158,0,-'Electric Calendarize'!$L167+'Electric Calendarize'!AU$4+1))</f>
        <v>768</v>
      </c>
      <c r="AV167">
        <f ca="1">IF(OR($L167&gt;AV$4,AV$4&gt;$L167+23),"",OFFSET(Electric!$L158,0,-'Electric Calendarize'!$L167+'Electric Calendarize'!AV$4+1))</f>
        <v>1283</v>
      </c>
      <c r="AW167">
        <f ca="1">IF(OR($L167&gt;AW$4,AW$4&gt;$L167+23),"",OFFSET(Electric!$L158,0,-'Electric Calendarize'!$L167+'Electric Calendarize'!AW$4+1))</f>
        <v>1015</v>
      </c>
      <c r="AX167">
        <f ca="1">IF(OR($L167&gt;AX$4,AX$4&gt;$L167+23),"",OFFSET(Electric!$L158,0,-'Electric Calendarize'!$L167+'Electric Calendarize'!AX$4+1))</f>
        <v>820</v>
      </c>
      <c r="AY167">
        <f ca="1">IF(OR($L167&gt;AY$4,AY$4&gt;$L167+23),"",OFFSET(Electric!$L158,0,-'Electric Calendarize'!$L167+'Electric Calendarize'!AY$4+1))</f>
        <v>1055</v>
      </c>
      <c r="AZ167">
        <f ca="1">IF(OR($L167&gt;AZ$4,AZ$4&gt;$L167+23),"",OFFSET(Electric!$L158,0,-'Electric Calendarize'!$L167+'Electric Calendarize'!AZ$4+1))</f>
        <v>890</v>
      </c>
      <c r="BA167">
        <f ca="1">IF(OR($L167&gt;BA$4,BA$4&gt;$L167+23),"",OFFSET(Electric!$L158,0,-'Electric Calendarize'!$L167+'Electric Calendarize'!BA$4+1))</f>
        <v>578</v>
      </c>
      <c r="BB167">
        <f ca="1">IF(OR($L167&gt;BB$4,BB$4&gt;$L167+23),"",OFFSET(Electric!$L158,0,-'Electric Calendarize'!$L167+'Electric Calendarize'!BB$4+1))</f>
        <v>404</v>
      </c>
      <c r="BC167">
        <f ca="1">IF(OR($L167&gt;BC$4,BC$4&gt;$L167+23),"",OFFSET(Electric!$L158,0,-'Electric Calendarize'!$L167+'Electric Calendarize'!BC$4+1))</f>
        <v>408</v>
      </c>
      <c r="BD167" t="str">
        <f ca="1">IF(OR($L167&gt;BD$4,BD$4&gt;$L167+23),"",OFFSET(Electric!$L158,0,-'Electric Calendarize'!$L167+'Electric Calendarize'!BD$4+1))</f>
        <v/>
      </c>
      <c r="BE167" t="str">
        <f ca="1">IF(OR($L167&gt;BE$4,BE$4&gt;$L167+23),"",OFFSET(Electric!$L158,0,-'Electric Calendarize'!$L167+'Electric Calendarize'!BE$4+1))</f>
        <v/>
      </c>
      <c r="BF167" t="str">
        <f ca="1">IF(OR($L167&gt;BF$4,BF$4&gt;$L167+23),"",OFFSET(Electric!$L158,0,-'Electric Calendarize'!$L167+'Electric Calendarize'!BF$4+1))</f>
        <v/>
      </c>
      <c r="BG167" t="str">
        <f ca="1">IF(OR($L167&gt;BG$4,BG$4&gt;$L167+23),"",OFFSET(Electric!$L158,0,-'Electric Calendarize'!$L167+'Electric Calendarize'!BG$4+1))</f>
        <v/>
      </c>
      <c r="BJ167" s="10" t="s">
        <v>37</v>
      </c>
      <c r="BK167">
        <f t="shared" si="411"/>
        <v>1</v>
      </c>
      <c r="BL167">
        <f t="shared" si="317"/>
        <v>0</v>
      </c>
      <c r="BM167">
        <f t="shared" si="318"/>
        <v>0</v>
      </c>
      <c r="BN167">
        <f t="shared" si="319"/>
        <v>0</v>
      </c>
      <c r="BO167">
        <f t="shared" si="320"/>
        <v>0</v>
      </c>
      <c r="BP167">
        <f t="shared" si="321"/>
        <v>0</v>
      </c>
      <c r="BQ167">
        <f t="shared" si="322"/>
        <v>0</v>
      </c>
      <c r="BR167">
        <f t="shared" si="323"/>
        <v>1</v>
      </c>
      <c r="BS167">
        <f t="shared" si="324"/>
        <v>1</v>
      </c>
      <c r="BT167">
        <f t="shared" si="325"/>
        <v>1</v>
      </c>
      <c r="BU167">
        <f t="shared" si="326"/>
        <v>1</v>
      </c>
      <c r="BV167">
        <f t="shared" si="327"/>
        <v>1</v>
      </c>
      <c r="BW167">
        <f t="shared" si="328"/>
        <v>1</v>
      </c>
      <c r="BX167">
        <f t="shared" si="329"/>
        <v>0</v>
      </c>
      <c r="BY167">
        <f t="shared" si="330"/>
        <v>0</v>
      </c>
      <c r="BZ167">
        <f t="shared" si="331"/>
        <v>0</v>
      </c>
      <c r="CA167">
        <f t="shared" si="332"/>
        <v>0</v>
      </c>
      <c r="CB167">
        <f t="shared" si="333"/>
        <v>0</v>
      </c>
      <c r="CC167">
        <f t="shared" si="334"/>
        <v>0</v>
      </c>
      <c r="CD167">
        <f t="shared" si="335"/>
        <v>1</v>
      </c>
      <c r="CE167">
        <f t="shared" si="336"/>
        <v>1</v>
      </c>
      <c r="CF167">
        <f t="shared" si="337"/>
        <v>1</v>
      </c>
      <c r="CG167">
        <f t="shared" si="338"/>
        <v>1</v>
      </c>
      <c r="CH167">
        <f t="shared" si="339"/>
        <v>1</v>
      </c>
      <c r="CI167">
        <f t="shared" si="340"/>
        <v>1</v>
      </c>
      <c r="CJ167">
        <f t="shared" si="341"/>
        <v>0</v>
      </c>
      <c r="CK167">
        <f t="shared" si="342"/>
        <v>0</v>
      </c>
      <c r="CL167">
        <f t="shared" si="343"/>
        <v>0</v>
      </c>
      <c r="CM167">
        <f t="shared" si="344"/>
        <v>0</v>
      </c>
      <c r="CN167">
        <f t="shared" si="345"/>
        <v>0</v>
      </c>
      <c r="CO167">
        <f t="shared" si="346"/>
        <v>0</v>
      </c>
      <c r="CP167">
        <f t="shared" si="347"/>
        <v>1</v>
      </c>
      <c r="CQ167">
        <f t="shared" si="348"/>
        <v>1</v>
      </c>
      <c r="CR167">
        <f t="shared" si="349"/>
        <v>1</v>
      </c>
      <c r="CS167">
        <f t="shared" si="350"/>
        <v>1</v>
      </c>
      <c r="CT167">
        <f t="shared" si="351"/>
        <v>1</v>
      </c>
      <c r="CU167">
        <f t="shared" si="352"/>
        <v>1</v>
      </c>
      <c r="CV167">
        <f t="shared" si="353"/>
        <v>0</v>
      </c>
      <c r="CW167">
        <f t="shared" si="354"/>
        <v>0</v>
      </c>
      <c r="CX167">
        <f t="shared" si="355"/>
        <v>0</v>
      </c>
      <c r="CY167">
        <f t="shared" si="356"/>
        <v>0</v>
      </c>
      <c r="CZ167">
        <f t="shared" si="357"/>
        <v>0</v>
      </c>
      <c r="DA167">
        <f t="shared" si="358"/>
        <v>0</v>
      </c>
      <c r="DB167">
        <f t="shared" si="359"/>
        <v>1</v>
      </c>
      <c r="DC167">
        <f t="shared" si="360"/>
        <v>1</v>
      </c>
      <c r="DF167" s="10" t="s">
        <v>37</v>
      </c>
      <c r="DG167" t="str">
        <f t="shared" si="416"/>
        <v>2022_9</v>
      </c>
      <c r="DH167" t="str">
        <f t="shared" si="416"/>
        <v>2022_9</v>
      </c>
      <c r="DI167" t="str">
        <f t="shared" si="416"/>
        <v>2022_9</v>
      </c>
      <c r="DJ167" t="str">
        <f t="shared" si="416"/>
        <v>2022_9</v>
      </c>
      <c r="DK167" t="str">
        <f t="shared" si="416"/>
        <v>2022_9</v>
      </c>
      <c r="DL167" t="str">
        <f t="shared" si="416"/>
        <v>2022_9</v>
      </c>
      <c r="DM167" t="str">
        <f t="shared" si="416"/>
        <v>2022_9</v>
      </c>
      <c r="DN167" t="str">
        <f t="shared" si="416"/>
        <v>2022_9</v>
      </c>
      <c r="DO167" t="str">
        <f t="shared" si="416"/>
        <v>2022_9</v>
      </c>
      <c r="DP167" t="str">
        <f t="shared" si="416"/>
        <v>2022_9</v>
      </c>
      <c r="DQ167" t="str">
        <f t="shared" si="416"/>
        <v>2022_9</v>
      </c>
      <c r="DR167" t="str">
        <f t="shared" si="416"/>
        <v>2022_9</v>
      </c>
      <c r="DS167" t="str">
        <f t="shared" si="416"/>
        <v>2022_9</v>
      </c>
      <c r="DT167" t="str">
        <f t="shared" si="416"/>
        <v>2022_9</v>
      </c>
      <c r="DU167" t="str">
        <f t="shared" si="416"/>
        <v>2022_9</v>
      </c>
      <c r="DV167" t="str">
        <f t="shared" si="416"/>
        <v>2022_9</v>
      </c>
      <c r="DW167" t="str">
        <f t="shared" si="415"/>
        <v>2022_9</v>
      </c>
      <c r="DX167" t="str">
        <f t="shared" si="415"/>
        <v>2022_9</v>
      </c>
      <c r="DY167" t="str">
        <f t="shared" si="415"/>
        <v>2022_9</v>
      </c>
      <c r="DZ167" t="str">
        <f t="shared" si="415"/>
        <v>2022_9</v>
      </c>
      <c r="EA167" t="str">
        <f t="shared" si="415"/>
        <v>2022_9</v>
      </c>
      <c r="EB167" t="str">
        <f t="shared" si="415"/>
        <v>2022_9</v>
      </c>
      <c r="EC167" t="str">
        <f t="shared" si="415"/>
        <v>2022_9</v>
      </c>
      <c r="ED167" t="str">
        <f t="shared" si="415"/>
        <v>2022_9</v>
      </c>
      <c r="EE167" t="str">
        <f t="shared" si="415"/>
        <v>2022_9</v>
      </c>
      <c r="EF167" t="str">
        <f t="shared" si="415"/>
        <v>2022_9</v>
      </c>
      <c r="EG167" t="str">
        <f t="shared" si="415"/>
        <v>2022_9</v>
      </c>
      <c r="EH167" t="str">
        <f t="shared" si="415"/>
        <v>2022_9</v>
      </c>
      <c r="EI167" t="str">
        <f t="shared" si="415"/>
        <v>2022_9</v>
      </c>
      <c r="EJ167" t="str">
        <f t="shared" si="415"/>
        <v>2022_9</v>
      </c>
      <c r="EK167" t="str">
        <f t="shared" si="414"/>
        <v>2022_9</v>
      </c>
      <c r="EL167" t="str">
        <f t="shared" si="414"/>
        <v>2022_9</v>
      </c>
      <c r="EM167" t="str">
        <f t="shared" si="414"/>
        <v>2022_9</v>
      </c>
      <c r="EN167" t="str">
        <f t="shared" si="414"/>
        <v>2022_9</v>
      </c>
      <c r="EO167" t="str">
        <f t="shared" si="414"/>
        <v>2022_9</v>
      </c>
      <c r="EP167" t="str">
        <f t="shared" si="414"/>
        <v>2022_9</v>
      </c>
      <c r="EQ167" t="str">
        <f t="shared" si="414"/>
        <v>2022_9</v>
      </c>
      <c r="ER167" t="str">
        <f t="shared" si="414"/>
        <v>2022_9</v>
      </c>
      <c r="ES167" t="str">
        <f t="shared" si="414"/>
        <v>2022_9</v>
      </c>
      <c r="ET167" t="str">
        <f t="shared" si="414"/>
        <v>2022_9</v>
      </c>
      <c r="EU167" t="str">
        <f t="shared" si="414"/>
        <v>2022_9</v>
      </c>
      <c r="EV167" t="str">
        <f t="shared" si="414"/>
        <v>2022_9</v>
      </c>
      <c r="EW167" t="str">
        <f t="shared" si="414"/>
        <v>2022_9</v>
      </c>
      <c r="EX167" t="str">
        <f t="shared" si="414"/>
        <v>2022_9</v>
      </c>
      <c r="EY167" t="str">
        <f t="shared" si="414"/>
        <v>2022_9</v>
      </c>
      <c r="FB167" s="10" t="s">
        <v>37</v>
      </c>
      <c r="FC167">
        <f t="shared" si="413"/>
        <v>0</v>
      </c>
      <c r="FD167">
        <f t="shared" si="363"/>
        <v>0</v>
      </c>
      <c r="FE167">
        <f t="shared" si="364"/>
        <v>0</v>
      </c>
      <c r="FF167">
        <f t="shared" si="365"/>
        <v>0</v>
      </c>
      <c r="FG167">
        <f t="shared" si="366"/>
        <v>0</v>
      </c>
      <c r="FH167">
        <f t="shared" si="367"/>
        <v>0</v>
      </c>
      <c r="FI167">
        <f t="shared" si="368"/>
        <v>0</v>
      </c>
      <c r="FJ167">
        <f t="shared" si="369"/>
        <v>0</v>
      </c>
      <c r="FK167">
        <f t="shared" si="370"/>
        <v>0</v>
      </c>
      <c r="FL167">
        <f t="shared" si="371"/>
        <v>0</v>
      </c>
      <c r="FM167">
        <f t="shared" si="372"/>
        <v>0</v>
      </c>
      <c r="FN167">
        <f t="shared" si="373"/>
        <v>0</v>
      </c>
      <c r="FO167">
        <f t="shared" si="374"/>
        <v>0</v>
      </c>
      <c r="FP167">
        <f t="shared" si="375"/>
        <v>0</v>
      </c>
      <c r="FQ167">
        <f t="shared" si="376"/>
        <v>0</v>
      </c>
      <c r="FR167">
        <f t="shared" si="377"/>
        <v>0</v>
      </c>
      <c r="FS167">
        <f t="shared" si="378"/>
        <v>0</v>
      </c>
      <c r="FT167">
        <f t="shared" si="379"/>
        <v>0</v>
      </c>
      <c r="FU167">
        <f t="shared" si="380"/>
        <v>0</v>
      </c>
      <c r="FV167">
        <f t="shared" si="381"/>
        <v>0</v>
      </c>
      <c r="FW167">
        <f t="shared" si="382"/>
        <v>0</v>
      </c>
      <c r="FX167">
        <f t="shared" si="383"/>
        <v>0</v>
      </c>
      <c r="FY167">
        <f t="shared" si="384"/>
        <v>0</v>
      </c>
      <c r="FZ167">
        <f t="shared" si="385"/>
        <v>0</v>
      </c>
      <c r="GA167">
        <f t="shared" si="386"/>
        <v>0</v>
      </c>
      <c r="GB167">
        <f t="shared" si="387"/>
        <v>0</v>
      </c>
      <c r="GC167">
        <f t="shared" si="388"/>
        <v>0</v>
      </c>
      <c r="GD167">
        <f t="shared" si="389"/>
        <v>0</v>
      </c>
      <c r="GE167">
        <f t="shared" si="390"/>
        <v>0</v>
      </c>
      <c r="GF167">
        <f t="shared" si="391"/>
        <v>1</v>
      </c>
      <c r="GG167">
        <f t="shared" si="392"/>
        <v>1</v>
      </c>
      <c r="GH167">
        <f t="shared" si="393"/>
        <v>1</v>
      </c>
      <c r="GI167">
        <f t="shared" si="394"/>
        <v>1</v>
      </c>
      <c r="GJ167">
        <f t="shared" si="395"/>
        <v>1</v>
      </c>
      <c r="GK167">
        <f t="shared" si="396"/>
        <v>1</v>
      </c>
      <c r="GL167">
        <f t="shared" si="397"/>
        <v>1</v>
      </c>
      <c r="GM167">
        <f t="shared" si="398"/>
        <v>1</v>
      </c>
      <c r="GN167">
        <f t="shared" si="399"/>
        <v>1</v>
      </c>
      <c r="GO167">
        <f t="shared" si="400"/>
        <v>1</v>
      </c>
      <c r="GP167">
        <f t="shared" si="401"/>
        <v>1</v>
      </c>
      <c r="GQ167">
        <f t="shared" si="402"/>
        <v>1</v>
      </c>
      <c r="GR167">
        <f t="shared" si="403"/>
        <v>1</v>
      </c>
      <c r="GS167">
        <f t="shared" si="404"/>
        <v>1</v>
      </c>
      <c r="GT167">
        <f t="shared" si="405"/>
        <v>1</v>
      </c>
      <c r="GU167">
        <f t="shared" si="406"/>
        <v>1</v>
      </c>
      <c r="GX167" s="10"/>
    </row>
    <row r="168" spans="1:206" x14ac:dyDescent="0.3">
      <c r="A168" s="9" t="s">
        <v>199</v>
      </c>
      <c r="B168" s="80"/>
      <c r="C168" s="9">
        <v>3140123000</v>
      </c>
      <c r="D168" s="9" t="s">
        <v>449</v>
      </c>
      <c r="E168" s="9" t="s">
        <v>43</v>
      </c>
      <c r="F168" s="9" t="s">
        <v>35</v>
      </c>
      <c r="G168" s="9" t="s">
        <v>200</v>
      </c>
      <c r="H168" s="10">
        <v>44811</v>
      </c>
      <c r="I168" s="9">
        <f t="shared" si="407"/>
        <v>2022</v>
      </c>
      <c r="J168" s="9">
        <f t="shared" si="408"/>
        <v>9</v>
      </c>
      <c r="K168" s="9" t="str">
        <f t="shared" si="409"/>
        <v>2022_9</v>
      </c>
      <c r="L168">
        <f>MAX(0,VLOOKUP($K168,lookups!$A$1:$B$45,2,0)-12)</f>
        <v>17</v>
      </c>
      <c r="M168" s="40">
        <f t="shared" si="410"/>
        <v>44805</v>
      </c>
      <c r="N168" s="10" t="s">
        <v>37</v>
      </c>
      <c r="O168" t="str">
        <f ca="1">IF(OR($L168&gt;O$4,O$4&gt;$L168+23),"",OFFSET(Electric!$L159,0,-'Electric Calendarize'!$L168+'Electric Calendarize'!O$4+1))</f>
        <v/>
      </c>
      <c r="P168" t="str">
        <f ca="1">IF(OR($L168&gt;P$4,P$4&gt;$L168+23),"",OFFSET(Electric!$L159,0,-'Electric Calendarize'!$L168+'Electric Calendarize'!P$4+1))</f>
        <v/>
      </c>
      <c r="Q168" t="str">
        <f ca="1">IF(OR($L168&gt;Q$4,Q$4&gt;$L168+23),"",OFFSET(Electric!$L159,0,-'Electric Calendarize'!$L168+'Electric Calendarize'!Q$4+1))</f>
        <v/>
      </c>
      <c r="R168" t="str">
        <f ca="1">IF(OR($L168&gt;R$4,R$4&gt;$L168+23),"",OFFSET(Electric!$L159,0,-'Electric Calendarize'!$L168+'Electric Calendarize'!R$4+1))</f>
        <v/>
      </c>
      <c r="S168" t="str">
        <f ca="1">IF(OR($L168&gt;S$4,S$4&gt;$L168+23),"",OFFSET(Electric!$L159,0,-'Electric Calendarize'!$L168+'Electric Calendarize'!S$4+1))</f>
        <v/>
      </c>
      <c r="T168" t="str">
        <f ca="1">IF(OR($L168&gt;T$4,T$4&gt;$L168+23),"",OFFSET(Electric!$L159,0,-'Electric Calendarize'!$L168+'Electric Calendarize'!T$4+1))</f>
        <v/>
      </c>
      <c r="U168" t="str">
        <f ca="1">IF(OR($L168&gt;U$4,U$4&gt;$L168+23),"",OFFSET(Electric!$L159,0,-'Electric Calendarize'!$L168+'Electric Calendarize'!U$4+1))</f>
        <v/>
      </c>
      <c r="V168" t="str">
        <f ca="1">IF(OR($L168&gt;V$4,V$4&gt;$L168+23),"",OFFSET(Electric!$L159,0,-'Electric Calendarize'!$L168+'Electric Calendarize'!V$4+1))</f>
        <v/>
      </c>
      <c r="W168" t="str">
        <f ca="1">IF(OR($L168&gt;W$4,W$4&gt;$L168+23),"",OFFSET(Electric!$L159,0,-'Electric Calendarize'!$L168+'Electric Calendarize'!W$4+1))</f>
        <v/>
      </c>
      <c r="X168" t="str">
        <f ca="1">IF(OR($L168&gt;X$4,X$4&gt;$L168+23),"",OFFSET(Electric!$L159,0,-'Electric Calendarize'!$L168+'Electric Calendarize'!X$4+1))</f>
        <v/>
      </c>
      <c r="Y168" t="str">
        <f ca="1">IF(OR($L168&gt;Y$4,Y$4&gt;$L168+23),"",OFFSET(Electric!$L159,0,-'Electric Calendarize'!$L168+'Electric Calendarize'!Y$4+1))</f>
        <v/>
      </c>
      <c r="Z168" t="str">
        <f ca="1">IF(OR($L168&gt;Z$4,Z$4&gt;$L168+23),"",OFFSET(Electric!$L159,0,-'Electric Calendarize'!$L168+'Electric Calendarize'!Z$4+1))</f>
        <v/>
      </c>
      <c r="AA168" t="str">
        <f ca="1">IF(OR($L168&gt;AA$4,AA$4&gt;$L168+23),"",OFFSET(Electric!$L159,0,-'Electric Calendarize'!$L168+'Electric Calendarize'!AA$4+1))</f>
        <v/>
      </c>
      <c r="AB168" t="str">
        <f ca="1">IF(OR($L168&gt;AB$4,AB$4&gt;$L168+23),"",OFFSET(Electric!$L159,0,-'Electric Calendarize'!$L168+'Electric Calendarize'!AB$4+1))</f>
        <v/>
      </c>
      <c r="AC168" t="str">
        <f ca="1">IF(OR($L168&gt;AC$4,AC$4&gt;$L168+23),"",OFFSET(Electric!$L159,0,-'Electric Calendarize'!$L168+'Electric Calendarize'!AC$4+1))</f>
        <v/>
      </c>
      <c r="AD168" t="str">
        <f ca="1">IF(OR($L168&gt;AD$4,AD$4&gt;$L168+23),"",OFFSET(Electric!$L159,0,-'Electric Calendarize'!$L168+'Electric Calendarize'!AD$4+1))</f>
        <v/>
      </c>
      <c r="AE168" t="str">
        <f ca="1">IF(OR($L168&gt;AE$4,AE$4&gt;$L168+23),"",OFFSET(Electric!$L159,0,-'Electric Calendarize'!$L168+'Electric Calendarize'!AE$4+1))</f>
        <v/>
      </c>
      <c r="AF168">
        <f ca="1">IF(OR($L168&gt;AF$4,AF$4&gt;$L168+23),"",OFFSET(Electric!$L159,0,-'Electric Calendarize'!$L168+'Electric Calendarize'!AF$4+1))</f>
        <v>515</v>
      </c>
      <c r="AG168">
        <f ca="1">IF(OR($L168&gt;AG$4,AG$4&gt;$L168+23),"",OFFSET(Electric!$L159,0,-'Electric Calendarize'!$L168+'Electric Calendarize'!AG$4+1))</f>
        <v>336</v>
      </c>
      <c r="AH168">
        <f ca="1">IF(OR($L168&gt;AH$4,AH$4&gt;$L168+23),"",OFFSET(Electric!$L159,0,-'Electric Calendarize'!$L168+'Electric Calendarize'!AH$4+1))</f>
        <v>355</v>
      </c>
      <c r="AI168">
        <f ca="1">IF(OR($L168&gt;AI$4,AI$4&gt;$L168+23),"",OFFSET(Electric!$L159,0,-'Electric Calendarize'!$L168+'Electric Calendarize'!AI$4+1))</f>
        <v>421</v>
      </c>
      <c r="AJ168">
        <f ca="1">IF(OR($L168&gt;AJ$4,AJ$4&gt;$L168+23),"",OFFSET(Electric!$L159,0,-'Electric Calendarize'!$L168+'Electric Calendarize'!AJ$4+1))</f>
        <v>560</v>
      </c>
      <c r="AK168">
        <f ca="1">IF(OR($L168&gt;AK$4,AK$4&gt;$L168+23),"",OFFSET(Electric!$L159,0,-'Electric Calendarize'!$L168+'Electric Calendarize'!AK$4+1))</f>
        <v>465</v>
      </c>
      <c r="AL168">
        <f ca="1">IF(OR($L168&gt;AL$4,AL$4&gt;$L168+23),"",OFFSET(Electric!$L159,0,-'Electric Calendarize'!$L168+'Electric Calendarize'!AL$4+1))</f>
        <v>389</v>
      </c>
      <c r="AM168">
        <f ca="1">IF(OR($L168&gt;AM$4,AM$4&gt;$L168+23),"",OFFSET(Electric!$L159,0,-'Electric Calendarize'!$L168+'Electric Calendarize'!AM$4+1))</f>
        <v>336</v>
      </c>
      <c r="AN168">
        <f ca="1">IF(OR($L168&gt;AN$4,AN$4&gt;$L168+23),"",OFFSET(Electric!$L159,0,-'Electric Calendarize'!$L168+'Electric Calendarize'!AN$4+1))</f>
        <v>396</v>
      </c>
      <c r="AO168">
        <f ca="1">IF(OR($L168&gt;AO$4,AO$4&gt;$L168+23),"",OFFSET(Electric!$L159,0,-'Electric Calendarize'!$L168+'Electric Calendarize'!AO$4+1))</f>
        <v>332</v>
      </c>
      <c r="AP168">
        <f ca="1">IF(OR($L168&gt;AP$4,AP$4&gt;$L168+23),"",OFFSET(Electric!$L159,0,-'Electric Calendarize'!$L168+'Electric Calendarize'!AP$4+1))</f>
        <v>615</v>
      </c>
      <c r="AQ168">
        <f ca="1">IF(OR($L168&gt;AQ$4,AQ$4&gt;$L168+23),"",OFFSET(Electric!$L159,0,-'Electric Calendarize'!$L168+'Electric Calendarize'!AQ$4+1))</f>
        <v>515</v>
      </c>
      <c r="AR168">
        <f ca="1">IF(OR($L168&gt;AR$4,AR$4&gt;$L168+23),"",OFFSET(Electric!$L159,0,-'Electric Calendarize'!$L168+'Electric Calendarize'!AR$4+1))</f>
        <v>414</v>
      </c>
      <c r="AS168">
        <f ca="1">IF(OR($L168&gt;AS$4,AS$4&gt;$L168+23),"",OFFSET(Electric!$L159,0,-'Electric Calendarize'!$L168+'Electric Calendarize'!AS$4+1))</f>
        <v>461</v>
      </c>
      <c r="AT168">
        <f ca="1">IF(OR($L168&gt;AT$4,AT$4&gt;$L168+23),"",OFFSET(Electric!$L159,0,-'Electric Calendarize'!$L168+'Electric Calendarize'!AT$4+1))</f>
        <v>497</v>
      </c>
      <c r="AU168">
        <f ca="1">IF(OR($L168&gt;AU$4,AU$4&gt;$L168+23),"",OFFSET(Electric!$L159,0,-'Electric Calendarize'!$L168+'Electric Calendarize'!AU$4+1))</f>
        <v>1045</v>
      </c>
      <c r="AV168">
        <f ca="1">IF(OR($L168&gt;AV$4,AV$4&gt;$L168+23),"",OFFSET(Electric!$L159,0,-'Electric Calendarize'!$L168+'Electric Calendarize'!AV$4+1))</f>
        <v>1192</v>
      </c>
      <c r="AW168">
        <f ca="1">IF(OR($L168&gt;AW$4,AW$4&gt;$L168+23),"",OFFSET(Electric!$L159,0,-'Electric Calendarize'!$L168+'Electric Calendarize'!AW$4+1))</f>
        <v>948</v>
      </c>
      <c r="AX168">
        <f ca="1">IF(OR($L168&gt;AX$4,AX$4&gt;$L168+23),"",OFFSET(Electric!$L159,0,-'Electric Calendarize'!$L168+'Electric Calendarize'!AX$4+1))</f>
        <v>1045</v>
      </c>
      <c r="AY168">
        <f ca="1">IF(OR($L168&gt;AY$4,AY$4&gt;$L168+23),"",OFFSET(Electric!$L159,0,-'Electric Calendarize'!$L168+'Electric Calendarize'!AY$4+1))</f>
        <v>570</v>
      </c>
      <c r="AZ168">
        <f ca="1">IF(OR($L168&gt;AZ$4,AZ$4&gt;$L168+23),"",OFFSET(Electric!$L159,0,-'Electric Calendarize'!$L168+'Electric Calendarize'!AZ$4+1))</f>
        <v>408</v>
      </c>
      <c r="BA168">
        <f ca="1">IF(OR($L168&gt;BA$4,BA$4&gt;$L168+23),"",OFFSET(Electric!$L159,0,-'Electric Calendarize'!$L168+'Electric Calendarize'!BA$4+1))</f>
        <v>461</v>
      </c>
      <c r="BB168">
        <f ca="1">IF(OR($L168&gt;BB$4,BB$4&gt;$L168+23),"",OFFSET(Electric!$L159,0,-'Electric Calendarize'!$L168+'Electric Calendarize'!BB$4+1))</f>
        <v>442</v>
      </c>
      <c r="BC168">
        <f ca="1">IF(OR($L168&gt;BC$4,BC$4&gt;$L168+23),"",OFFSET(Electric!$L159,0,-'Electric Calendarize'!$L168+'Electric Calendarize'!BC$4+1))</f>
        <v>398</v>
      </c>
      <c r="BD168" t="str">
        <f ca="1">IF(OR($L168&gt;BD$4,BD$4&gt;$L168+23),"",OFFSET(Electric!$L159,0,-'Electric Calendarize'!$L168+'Electric Calendarize'!BD$4+1))</f>
        <v/>
      </c>
      <c r="BE168" t="str">
        <f ca="1">IF(OR($L168&gt;BE$4,BE$4&gt;$L168+23),"",OFFSET(Electric!$L159,0,-'Electric Calendarize'!$L168+'Electric Calendarize'!BE$4+1))</f>
        <v/>
      </c>
      <c r="BF168" t="str">
        <f ca="1">IF(OR($L168&gt;BF$4,BF$4&gt;$L168+23),"",OFFSET(Electric!$L159,0,-'Electric Calendarize'!$L168+'Electric Calendarize'!BF$4+1))</f>
        <v/>
      </c>
      <c r="BG168" t="str">
        <f ca="1">IF(OR($L168&gt;BG$4,BG$4&gt;$L168+23),"",OFFSET(Electric!$L159,0,-'Electric Calendarize'!$L168+'Electric Calendarize'!BG$4+1))</f>
        <v/>
      </c>
      <c r="BJ168" s="10" t="s">
        <v>37</v>
      </c>
      <c r="BK168">
        <f t="shared" si="411"/>
        <v>1</v>
      </c>
      <c r="BL168">
        <f t="shared" si="317"/>
        <v>0</v>
      </c>
      <c r="BM168">
        <f t="shared" si="318"/>
        <v>0</v>
      </c>
      <c r="BN168">
        <f t="shared" si="319"/>
        <v>0</v>
      </c>
      <c r="BO168">
        <f t="shared" si="320"/>
        <v>0</v>
      </c>
      <c r="BP168">
        <f t="shared" si="321"/>
        <v>0</v>
      </c>
      <c r="BQ168">
        <f t="shared" si="322"/>
        <v>0</v>
      </c>
      <c r="BR168">
        <f t="shared" si="323"/>
        <v>1</v>
      </c>
      <c r="BS168">
        <f t="shared" si="324"/>
        <v>1</v>
      </c>
      <c r="BT168">
        <f t="shared" si="325"/>
        <v>1</v>
      </c>
      <c r="BU168">
        <f t="shared" si="326"/>
        <v>1</v>
      </c>
      <c r="BV168">
        <f t="shared" si="327"/>
        <v>1</v>
      </c>
      <c r="BW168">
        <f t="shared" si="328"/>
        <v>1</v>
      </c>
      <c r="BX168">
        <f t="shared" si="329"/>
        <v>0</v>
      </c>
      <c r="BY168">
        <f t="shared" si="330"/>
        <v>0</v>
      </c>
      <c r="BZ168">
        <f t="shared" si="331"/>
        <v>0</v>
      </c>
      <c r="CA168">
        <f t="shared" si="332"/>
        <v>0</v>
      </c>
      <c r="CB168">
        <f t="shared" si="333"/>
        <v>0</v>
      </c>
      <c r="CC168">
        <f t="shared" si="334"/>
        <v>0</v>
      </c>
      <c r="CD168">
        <f t="shared" si="335"/>
        <v>1</v>
      </c>
      <c r="CE168">
        <f t="shared" si="336"/>
        <v>1</v>
      </c>
      <c r="CF168">
        <f t="shared" si="337"/>
        <v>1</v>
      </c>
      <c r="CG168">
        <f t="shared" si="338"/>
        <v>1</v>
      </c>
      <c r="CH168">
        <f t="shared" si="339"/>
        <v>1</v>
      </c>
      <c r="CI168">
        <f t="shared" si="340"/>
        <v>1</v>
      </c>
      <c r="CJ168">
        <f t="shared" si="341"/>
        <v>0</v>
      </c>
      <c r="CK168">
        <f t="shared" si="342"/>
        <v>0</v>
      </c>
      <c r="CL168">
        <f t="shared" si="343"/>
        <v>0</v>
      </c>
      <c r="CM168">
        <f t="shared" si="344"/>
        <v>0</v>
      </c>
      <c r="CN168">
        <f t="shared" si="345"/>
        <v>0</v>
      </c>
      <c r="CO168">
        <f t="shared" si="346"/>
        <v>0</v>
      </c>
      <c r="CP168">
        <f t="shared" si="347"/>
        <v>1</v>
      </c>
      <c r="CQ168">
        <f t="shared" si="348"/>
        <v>1</v>
      </c>
      <c r="CR168">
        <f t="shared" si="349"/>
        <v>1</v>
      </c>
      <c r="CS168">
        <f t="shared" si="350"/>
        <v>1</v>
      </c>
      <c r="CT168">
        <f t="shared" si="351"/>
        <v>1</v>
      </c>
      <c r="CU168">
        <f t="shared" si="352"/>
        <v>1</v>
      </c>
      <c r="CV168">
        <f t="shared" si="353"/>
        <v>0</v>
      </c>
      <c r="CW168">
        <f t="shared" si="354"/>
        <v>0</v>
      </c>
      <c r="CX168">
        <f t="shared" si="355"/>
        <v>0</v>
      </c>
      <c r="CY168">
        <f t="shared" si="356"/>
        <v>0</v>
      </c>
      <c r="CZ168">
        <f t="shared" si="357"/>
        <v>0</v>
      </c>
      <c r="DA168">
        <f t="shared" si="358"/>
        <v>0</v>
      </c>
      <c r="DB168">
        <f t="shared" si="359"/>
        <v>1</v>
      </c>
      <c r="DC168">
        <f t="shared" si="360"/>
        <v>1</v>
      </c>
      <c r="DF168" s="10" t="s">
        <v>37</v>
      </c>
      <c r="DG168" t="str">
        <f t="shared" si="416"/>
        <v>2022_9</v>
      </c>
      <c r="DH168" t="str">
        <f t="shared" si="416"/>
        <v>2022_9</v>
      </c>
      <c r="DI168" t="str">
        <f t="shared" si="416"/>
        <v>2022_9</v>
      </c>
      <c r="DJ168" t="str">
        <f t="shared" si="416"/>
        <v>2022_9</v>
      </c>
      <c r="DK168" t="str">
        <f t="shared" si="416"/>
        <v>2022_9</v>
      </c>
      <c r="DL168" t="str">
        <f t="shared" si="416"/>
        <v>2022_9</v>
      </c>
      <c r="DM168" t="str">
        <f t="shared" si="416"/>
        <v>2022_9</v>
      </c>
      <c r="DN168" t="str">
        <f t="shared" si="416"/>
        <v>2022_9</v>
      </c>
      <c r="DO168" t="str">
        <f t="shared" si="416"/>
        <v>2022_9</v>
      </c>
      <c r="DP168" t="str">
        <f t="shared" si="416"/>
        <v>2022_9</v>
      </c>
      <c r="DQ168" t="str">
        <f t="shared" si="416"/>
        <v>2022_9</v>
      </c>
      <c r="DR168" t="str">
        <f t="shared" si="416"/>
        <v>2022_9</v>
      </c>
      <c r="DS168" t="str">
        <f t="shared" si="416"/>
        <v>2022_9</v>
      </c>
      <c r="DT168" t="str">
        <f t="shared" si="416"/>
        <v>2022_9</v>
      </c>
      <c r="DU168" t="str">
        <f t="shared" si="416"/>
        <v>2022_9</v>
      </c>
      <c r="DV168" t="str">
        <f t="shared" si="416"/>
        <v>2022_9</v>
      </c>
      <c r="DW168" t="str">
        <f t="shared" si="415"/>
        <v>2022_9</v>
      </c>
      <c r="DX168" t="str">
        <f t="shared" si="415"/>
        <v>2022_9</v>
      </c>
      <c r="DY168" t="str">
        <f t="shared" si="415"/>
        <v>2022_9</v>
      </c>
      <c r="DZ168" t="str">
        <f t="shared" si="415"/>
        <v>2022_9</v>
      </c>
      <c r="EA168" t="str">
        <f t="shared" si="415"/>
        <v>2022_9</v>
      </c>
      <c r="EB168" t="str">
        <f t="shared" si="415"/>
        <v>2022_9</v>
      </c>
      <c r="EC168" t="str">
        <f t="shared" si="415"/>
        <v>2022_9</v>
      </c>
      <c r="ED168" t="str">
        <f t="shared" si="415"/>
        <v>2022_9</v>
      </c>
      <c r="EE168" t="str">
        <f t="shared" si="415"/>
        <v>2022_9</v>
      </c>
      <c r="EF168" t="str">
        <f t="shared" si="415"/>
        <v>2022_9</v>
      </c>
      <c r="EG168" t="str">
        <f t="shared" si="415"/>
        <v>2022_9</v>
      </c>
      <c r="EH168" t="str">
        <f t="shared" si="415"/>
        <v>2022_9</v>
      </c>
      <c r="EI168" t="str">
        <f t="shared" si="415"/>
        <v>2022_9</v>
      </c>
      <c r="EJ168" t="str">
        <f t="shared" si="415"/>
        <v>2022_9</v>
      </c>
      <c r="EK168" t="str">
        <f t="shared" si="414"/>
        <v>2022_9</v>
      </c>
      <c r="EL168" t="str">
        <f t="shared" si="414"/>
        <v>2022_9</v>
      </c>
      <c r="EM168" t="str">
        <f t="shared" si="414"/>
        <v>2022_9</v>
      </c>
      <c r="EN168" t="str">
        <f t="shared" si="414"/>
        <v>2022_9</v>
      </c>
      <c r="EO168" t="str">
        <f t="shared" si="414"/>
        <v>2022_9</v>
      </c>
      <c r="EP168" t="str">
        <f t="shared" si="414"/>
        <v>2022_9</v>
      </c>
      <c r="EQ168" t="str">
        <f t="shared" si="414"/>
        <v>2022_9</v>
      </c>
      <c r="ER168" t="str">
        <f t="shared" si="414"/>
        <v>2022_9</v>
      </c>
      <c r="ES168" t="str">
        <f t="shared" si="414"/>
        <v>2022_9</v>
      </c>
      <c r="ET168" t="str">
        <f t="shared" si="414"/>
        <v>2022_9</v>
      </c>
      <c r="EU168" t="str">
        <f t="shared" si="414"/>
        <v>2022_9</v>
      </c>
      <c r="EV168" t="str">
        <f t="shared" si="414"/>
        <v>2022_9</v>
      </c>
      <c r="EW168" t="str">
        <f t="shared" si="414"/>
        <v>2022_9</v>
      </c>
      <c r="EX168" t="str">
        <f t="shared" si="414"/>
        <v>2022_9</v>
      </c>
      <c r="EY168" t="str">
        <f t="shared" si="414"/>
        <v>2022_9</v>
      </c>
      <c r="FB168" s="10" t="s">
        <v>37</v>
      </c>
      <c r="FC168">
        <f t="shared" si="413"/>
        <v>0</v>
      </c>
      <c r="FD168">
        <f t="shared" si="363"/>
        <v>0</v>
      </c>
      <c r="FE168">
        <f t="shared" si="364"/>
        <v>0</v>
      </c>
      <c r="FF168">
        <f t="shared" si="365"/>
        <v>0</v>
      </c>
      <c r="FG168">
        <f t="shared" si="366"/>
        <v>0</v>
      </c>
      <c r="FH168">
        <f t="shared" si="367"/>
        <v>0</v>
      </c>
      <c r="FI168">
        <f t="shared" si="368"/>
        <v>0</v>
      </c>
      <c r="FJ168">
        <f t="shared" si="369"/>
        <v>0</v>
      </c>
      <c r="FK168">
        <f t="shared" si="370"/>
        <v>0</v>
      </c>
      <c r="FL168">
        <f t="shared" si="371"/>
        <v>0</v>
      </c>
      <c r="FM168">
        <f t="shared" si="372"/>
        <v>0</v>
      </c>
      <c r="FN168">
        <f t="shared" si="373"/>
        <v>0</v>
      </c>
      <c r="FO168">
        <f t="shared" si="374"/>
        <v>0</v>
      </c>
      <c r="FP168">
        <f t="shared" si="375"/>
        <v>0</v>
      </c>
      <c r="FQ168">
        <f t="shared" si="376"/>
        <v>0</v>
      </c>
      <c r="FR168">
        <f t="shared" si="377"/>
        <v>0</v>
      </c>
      <c r="FS168">
        <f t="shared" si="378"/>
        <v>0</v>
      </c>
      <c r="FT168">
        <f t="shared" si="379"/>
        <v>0</v>
      </c>
      <c r="FU168">
        <f t="shared" si="380"/>
        <v>0</v>
      </c>
      <c r="FV168">
        <f t="shared" si="381"/>
        <v>0</v>
      </c>
      <c r="FW168">
        <f t="shared" si="382"/>
        <v>0</v>
      </c>
      <c r="FX168">
        <f t="shared" si="383"/>
        <v>0</v>
      </c>
      <c r="FY168">
        <f t="shared" si="384"/>
        <v>0</v>
      </c>
      <c r="FZ168">
        <f t="shared" si="385"/>
        <v>0</v>
      </c>
      <c r="GA168">
        <f t="shared" si="386"/>
        <v>0</v>
      </c>
      <c r="GB168">
        <f t="shared" si="387"/>
        <v>0</v>
      </c>
      <c r="GC168">
        <f t="shared" si="388"/>
        <v>0</v>
      </c>
      <c r="GD168">
        <f t="shared" si="389"/>
        <v>0</v>
      </c>
      <c r="GE168">
        <f t="shared" si="390"/>
        <v>0</v>
      </c>
      <c r="GF168">
        <f t="shared" si="391"/>
        <v>1</v>
      </c>
      <c r="GG168">
        <f t="shared" si="392"/>
        <v>1</v>
      </c>
      <c r="GH168">
        <f t="shared" si="393"/>
        <v>1</v>
      </c>
      <c r="GI168">
        <f t="shared" si="394"/>
        <v>1</v>
      </c>
      <c r="GJ168">
        <f t="shared" si="395"/>
        <v>1</v>
      </c>
      <c r="GK168">
        <f t="shared" si="396"/>
        <v>1</v>
      </c>
      <c r="GL168">
        <f t="shared" si="397"/>
        <v>1</v>
      </c>
      <c r="GM168">
        <f t="shared" si="398"/>
        <v>1</v>
      </c>
      <c r="GN168">
        <f t="shared" si="399"/>
        <v>1</v>
      </c>
      <c r="GO168">
        <f t="shared" si="400"/>
        <v>1</v>
      </c>
      <c r="GP168">
        <f t="shared" si="401"/>
        <v>1</v>
      </c>
      <c r="GQ168">
        <f t="shared" si="402"/>
        <v>1</v>
      </c>
      <c r="GR168">
        <f t="shared" si="403"/>
        <v>1</v>
      </c>
      <c r="GS168">
        <f t="shared" si="404"/>
        <v>1</v>
      </c>
      <c r="GT168">
        <f t="shared" si="405"/>
        <v>1</v>
      </c>
      <c r="GU168">
        <f t="shared" si="406"/>
        <v>1</v>
      </c>
      <c r="GX168" s="10"/>
    </row>
    <row r="169" spans="1:206" x14ac:dyDescent="0.3">
      <c r="A169" s="9" t="s">
        <v>46</v>
      </c>
      <c r="B169" s="80"/>
      <c r="C169" s="9">
        <v>3132807000</v>
      </c>
      <c r="D169" s="9" t="s">
        <v>422</v>
      </c>
      <c r="E169" s="9" t="s">
        <v>39</v>
      </c>
      <c r="F169" s="9" t="s">
        <v>35</v>
      </c>
      <c r="G169" s="9" t="s">
        <v>126</v>
      </c>
      <c r="H169" s="10">
        <v>44812</v>
      </c>
      <c r="I169" s="9">
        <f t="shared" si="407"/>
        <v>2022</v>
      </c>
      <c r="J169" s="9">
        <f t="shared" si="408"/>
        <v>9</v>
      </c>
      <c r="K169" s="9" t="str">
        <f t="shared" si="409"/>
        <v>2022_9</v>
      </c>
      <c r="L169">
        <f>MAX(0,VLOOKUP($K169,lookups!$A$1:$B$45,2,0)-12)</f>
        <v>17</v>
      </c>
      <c r="M169" s="40">
        <f t="shared" si="410"/>
        <v>44805</v>
      </c>
      <c r="N169" s="10" t="s">
        <v>37</v>
      </c>
      <c r="O169" t="str">
        <f ca="1">IF(OR($L169&gt;O$4,O$4&gt;$L169+23),"",OFFSET(Electric!$L160,0,-'Electric Calendarize'!$L169+'Electric Calendarize'!O$4+1))</f>
        <v/>
      </c>
      <c r="P169" t="str">
        <f ca="1">IF(OR($L169&gt;P$4,P$4&gt;$L169+23),"",OFFSET(Electric!$L160,0,-'Electric Calendarize'!$L169+'Electric Calendarize'!P$4+1))</f>
        <v/>
      </c>
      <c r="Q169" t="str">
        <f ca="1">IF(OR($L169&gt;Q$4,Q$4&gt;$L169+23),"",OFFSET(Electric!$L160,0,-'Electric Calendarize'!$L169+'Electric Calendarize'!Q$4+1))</f>
        <v/>
      </c>
      <c r="R169" t="str">
        <f ca="1">IF(OR($L169&gt;R$4,R$4&gt;$L169+23),"",OFFSET(Electric!$L160,0,-'Electric Calendarize'!$L169+'Electric Calendarize'!R$4+1))</f>
        <v/>
      </c>
      <c r="S169" t="str">
        <f ca="1">IF(OR($L169&gt;S$4,S$4&gt;$L169+23),"",OFFSET(Electric!$L160,0,-'Electric Calendarize'!$L169+'Electric Calendarize'!S$4+1))</f>
        <v/>
      </c>
      <c r="T169" t="str">
        <f ca="1">IF(OR($L169&gt;T$4,T$4&gt;$L169+23),"",OFFSET(Electric!$L160,0,-'Electric Calendarize'!$L169+'Electric Calendarize'!T$4+1))</f>
        <v/>
      </c>
      <c r="U169" t="str">
        <f ca="1">IF(OR($L169&gt;U$4,U$4&gt;$L169+23),"",OFFSET(Electric!$L160,0,-'Electric Calendarize'!$L169+'Electric Calendarize'!U$4+1))</f>
        <v/>
      </c>
      <c r="V169" t="str">
        <f ca="1">IF(OR($L169&gt;V$4,V$4&gt;$L169+23),"",OFFSET(Electric!$L160,0,-'Electric Calendarize'!$L169+'Electric Calendarize'!V$4+1))</f>
        <v/>
      </c>
      <c r="W169" t="str">
        <f ca="1">IF(OR($L169&gt;W$4,W$4&gt;$L169+23),"",OFFSET(Electric!$L160,0,-'Electric Calendarize'!$L169+'Electric Calendarize'!W$4+1))</f>
        <v/>
      </c>
      <c r="X169" t="str">
        <f ca="1">IF(OR($L169&gt;X$4,X$4&gt;$L169+23),"",OFFSET(Electric!$L160,0,-'Electric Calendarize'!$L169+'Electric Calendarize'!X$4+1))</f>
        <v/>
      </c>
      <c r="Y169" t="str">
        <f ca="1">IF(OR($L169&gt;Y$4,Y$4&gt;$L169+23),"",OFFSET(Electric!$L160,0,-'Electric Calendarize'!$L169+'Electric Calendarize'!Y$4+1))</f>
        <v/>
      </c>
      <c r="Z169" t="str">
        <f ca="1">IF(OR($L169&gt;Z$4,Z$4&gt;$L169+23),"",OFFSET(Electric!$L160,0,-'Electric Calendarize'!$L169+'Electric Calendarize'!Z$4+1))</f>
        <v/>
      </c>
      <c r="AA169" t="str">
        <f ca="1">IF(OR($L169&gt;AA$4,AA$4&gt;$L169+23),"",OFFSET(Electric!$L160,0,-'Electric Calendarize'!$L169+'Electric Calendarize'!AA$4+1))</f>
        <v/>
      </c>
      <c r="AB169" t="str">
        <f ca="1">IF(OR($L169&gt;AB$4,AB$4&gt;$L169+23),"",OFFSET(Electric!$L160,0,-'Electric Calendarize'!$L169+'Electric Calendarize'!AB$4+1))</f>
        <v/>
      </c>
      <c r="AC169" t="str">
        <f ca="1">IF(OR($L169&gt;AC$4,AC$4&gt;$L169+23),"",OFFSET(Electric!$L160,0,-'Electric Calendarize'!$L169+'Electric Calendarize'!AC$4+1))</f>
        <v/>
      </c>
      <c r="AD169" t="str">
        <f ca="1">IF(OR($L169&gt;AD$4,AD$4&gt;$L169+23),"",OFFSET(Electric!$L160,0,-'Electric Calendarize'!$L169+'Electric Calendarize'!AD$4+1))</f>
        <v/>
      </c>
      <c r="AE169" t="str">
        <f ca="1">IF(OR($L169&gt;AE$4,AE$4&gt;$L169+23),"",OFFSET(Electric!$L160,0,-'Electric Calendarize'!$L169+'Electric Calendarize'!AE$4+1))</f>
        <v/>
      </c>
      <c r="AF169">
        <f ca="1">IF(OR($L169&gt;AF$4,AF$4&gt;$L169+23),"",OFFSET(Electric!$L160,0,-'Electric Calendarize'!$L169+'Electric Calendarize'!AF$4+1))</f>
        <v>926</v>
      </c>
      <c r="AG169">
        <f ca="1">IF(OR($L169&gt;AG$4,AG$4&gt;$L169+23),"",OFFSET(Electric!$L160,0,-'Electric Calendarize'!$L169+'Electric Calendarize'!AG$4+1))</f>
        <v>741</v>
      </c>
      <c r="AH169">
        <f ca="1">IF(OR($L169&gt;AH$4,AH$4&gt;$L169+23),"",OFFSET(Electric!$L160,0,-'Electric Calendarize'!$L169+'Electric Calendarize'!AH$4+1))</f>
        <v>932</v>
      </c>
      <c r="AI169">
        <f ca="1">IF(OR($L169&gt;AI$4,AI$4&gt;$L169+23),"",OFFSET(Electric!$L160,0,-'Electric Calendarize'!$L169+'Electric Calendarize'!AI$4+1))</f>
        <v>1364</v>
      </c>
      <c r="AJ169">
        <f ca="1">IF(OR($L169&gt;AJ$4,AJ$4&gt;$L169+23),"",OFFSET(Electric!$L160,0,-'Electric Calendarize'!$L169+'Electric Calendarize'!AJ$4+1))</f>
        <v>1374</v>
      </c>
      <c r="AK169">
        <f ca="1">IF(OR($L169&gt;AK$4,AK$4&gt;$L169+23),"",OFFSET(Electric!$L160,0,-'Electric Calendarize'!$L169+'Electric Calendarize'!AK$4+1))</f>
        <v>1480</v>
      </c>
      <c r="AL169">
        <f ca="1">IF(OR($L169&gt;AL$4,AL$4&gt;$L169+23),"",OFFSET(Electric!$L160,0,-'Electric Calendarize'!$L169+'Electric Calendarize'!AL$4+1))</f>
        <v>1282</v>
      </c>
      <c r="AM169">
        <f ca="1">IF(OR($L169&gt;AM$4,AM$4&gt;$L169+23),"",OFFSET(Electric!$L160,0,-'Electric Calendarize'!$L169+'Electric Calendarize'!AM$4+1))</f>
        <v>1144</v>
      </c>
      <c r="AN169">
        <f ca="1">IF(OR($L169&gt;AN$4,AN$4&gt;$L169+23),"",OFFSET(Electric!$L160,0,-'Electric Calendarize'!$L169+'Electric Calendarize'!AN$4+1))</f>
        <v>1102</v>
      </c>
      <c r="AO169">
        <f ca="1">IF(OR($L169&gt;AO$4,AO$4&gt;$L169+23),"",OFFSET(Electric!$L160,0,-'Electric Calendarize'!$L169+'Electric Calendarize'!AO$4+1))</f>
        <v>982</v>
      </c>
      <c r="AP169">
        <f ca="1">IF(OR($L169&gt;AP$4,AP$4&gt;$L169+23),"",OFFSET(Electric!$L160,0,-'Electric Calendarize'!$L169+'Electric Calendarize'!AP$4+1))</f>
        <v>1103</v>
      </c>
      <c r="AQ169">
        <f ca="1">IF(OR($L169&gt;AQ$4,AQ$4&gt;$L169+23),"",OFFSET(Electric!$L160,0,-'Electric Calendarize'!$L169+'Electric Calendarize'!AQ$4+1))</f>
        <v>1219</v>
      </c>
      <c r="AR169">
        <f ca="1">IF(OR($L169&gt;AR$4,AR$4&gt;$L169+23),"",OFFSET(Electric!$L160,0,-'Electric Calendarize'!$L169+'Electric Calendarize'!AR$4+1))</f>
        <v>748</v>
      </c>
      <c r="AS169">
        <f ca="1">IF(OR($L169&gt;AS$4,AS$4&gt;$L169+23),"",OFFSET(Electric!$L160,0,-'Electric Calendarize'!$L169+'Electric Calendarize'!AS$4+1))</f>
        <v>874</v>
      </c>
      <c r="AT169">
        <f ca="1">IF(OR($L169&gt;AT$4,AT$4&gt;$L169+23),"",OFFSET(Electric!$L160,0,-'Electric Calendarize'!$L169+'Electric Calendarize'!AT$4+1))</f>
        <v>1515</v>
      </c>
      <c r="AU169">
        <f ca="1">IF(OR($L169&gt;AU$4,AU$4&gt;$L169+23),"",OFFSET(Electric!$L160,0,-'Electric Calendarize'!$L169+'Electric Calendarize'!AU$4+1))</f>
        <v>1914</v>
      </c>
      <c r="AV169">
        <f ca="1">IF(OR($L169&gt;AV$4,AV$4&gt;$L169+23),"",OFFSET(Electric!$L160,0,-'Electric Calendarize'!$L169+'Electric Calendarize'!AV$4+1))</f>
        <v>2051</v>
      </c>
      <c r="AW169">
        <f ca="1">IF(OR($L169&gt;AW$4,AW$4&gt;$L169+23),"",OFFSET(Electric!$L160,0,-'Electric Calendarize'!$L169+'Electric Calendarize'!AW$4+1))</f>
        <v>2242</v>
      </c>
      <c r="AX169">
        <f ca="1">IF(OR($L169&gt;AX$4,AX$4&gt;$L169+23),"",OFFSET(Electric!$L160,0,-'Electric Calendarize'!$L169+'Electric Calendarize'!AX$4+1))</f>
        <v>1888</v>
      </c>
      <c r="AY169">
        <f ca="1">IF(OR($L169&gt;AY$4,AY$4&gt;$L169+23),"",OFFSET(Electric!$L160,0,-'Electric Calendarize'!$L169+'Electric Calendarize'!AY$4+1))</f>
        <v>1405</v>
      </c>
      <c r="AZ169">
        <f ca="1">IF(OR($L169&gt;AZ$4,AZ$4&gt;$L169+23),"",OFFSET(Electric!$L160,0,-'Electric Calendarize'!$L169+'Electric Calendarize'!AZ$4+1))</f>
        <v>958</v>
      </c>
      <c r="BA169">
        <f ca="1">IF(OR($L169&gt;BA$4,BA$4&gt;$L169+23),"",OFFSET(Electric!$L160,0,-'Electric Calendarize'!$L169+'Electric Calendarize'!BA$4+1))</f>
        <v>840</v>
      </c>
      <c r="BB169">
        <f ca="1">IF(OR($L169&gt;BB$4,BB$4&gt;$L169+23),"",OFFSET(Electric!$L160,0,-'Electric Calendarize'!$L169+'Electric Calendarize'!BB$4+1))</f>
        <v>1105</v>
      </c>
      <c r="BC169">
        <f ca="1">IF(OR($L169&gt;BC$4,BC$4&gt;$L169+23),"",OFFSET(Electric!$L160,0,-'Electric Calendarize'!$L169+'Electric Calendarize'!BC$4+1))</f>
        <v>1089</v>
      </c>
      <c r="BD169" t="str">
        <f ca="1">IF(OR($L169&gt;BD$4,BD$4&gt;$L169+23),"",OFFSET(Electric!$L160,0,-'Electric Calendarize'!$L169+'Electric Calendarize'!BD$4+1))</f>
        <v/>
      </c>
      <c r="BE169" t="str">
        <f ca="1">IF(OR($L169&gt;BE$4,BE$4&gt;$L169+23),"",OFFSET(Electric!$L160,0,-'Electric Calendarize'!$L169+'Electric Calendarize'!BE$4+1))</f>
        <v/>
      </c>
      <c r="BF169" t="str">
        <f ca="1">IF(OR($L169&gt;BF$4,BF$4&gt;$L169+23),"",OFFSET(Electric!$L160,0,-'Electric Calendarize'!$L169+'Electric Calendarize'!BF$4+1))</f>
        <v/>
      </c>
      <c r="BG169" t="str">
        <f ca="1">IF(OR($L169&gt;BG$4,BG$4&gt;$L169+23),"",OFFSET(Electric!$L160,0,-'Electric Calendarize'!$L169+'Electric Calendarize'!BG$4+1))</f>
        <v/>
      </c>
      <c r="BJ169" s="10" t="s">
        <v>37</v>
      </c>
      <c r="BK169">
        <f t="shared" si="411"/>
        <v>1</v>
      </c>
      <c r="BL169">
        <f t="shared" si="317"/>
        <v>0</v>
      </c>
      <c r="BM169">
        <f t="shared" si="318"/>
        <v>0</v>
      </c>
      <c r="BN169">
        <f t="shared" si="319"/>
        <v>0</v>
      </c>
      <c r="BO169">
        <f t="shared" si="320"/>
        <v>0</v>
      </c>
      <c r="BP169">
        <f t="shared" si="321"/>
        <v>0</v>
      </c>
      <c r="BQ169">
        <f t="shared" si="322"/>
        <v>0</v>
      </c>
      <c r="BR169">
        <f t="shared" si="323"/>
        <v>1</v>
      </c>
      <c r="BS169">
        <f t="shared" si="324"/>
        <v>1</v>
      </c>
      <c r="BT169">
        <f t="shared" si="325"/>
        <v>1</v>
      </c>
      <c r="BU169">
        <f t="shared" si="326"/>
        <v>1</v>
      </c>
      <c r="BV169">
        <f t="shared" si="327"/>
        <v>1</v>
      </c>
      <c r="BW169">
        <f t="shared" si="328"/>
        <v>1</v>
      </c>
      <c r="BX169">
        <f t="shared" si="329"/>
        <v>0</v>
      </c>
      <c r="BY169">
        <f t="shared" si="330"/>
        <v>0</v>
      </c>
      <c r="BZ169">
        <f t="shared" si="331"/>
        <v>0</v>
      </c>
      <c r="CA169">
        <f t="shared" si="332"/>
        <v>0</v>
      </c>
      <c r="CB169">
        <f t="shared" si="333"/>
        <v>0</v>
      </c>
      <c r="CC169">
        <f t="shared" si="334"/>
        <v>0</v>
      </c>
      <c r="CD169">
        <f t="shared" si="335"/>
        <v>1</v>
      </c>
      <c r="CE169">
        <f t="shared" si="336"/>
        <v>1</v>
      </c>
      <c r="CF169">
        <f t="shared" si="337"/>
        <v>1</v>
      </c>
      <c r="CG169">
        <f t="shared" si="338"/>
        <v>1</v>
      </c>
      <c r="CH169">
        <f t="shared" si="339"/>
        <v>1</v>
      </c>
      <c r="CI169">
        <f t="shared" si="340"/>
        <v>1</v>
      </c>
      <c r="CJ169">
        <f t="shared" si="341"/>
        <v>0</v>
      </c>
      <c r="CK169">
        <f t="shared" si="342"/>
        <v>0</v>
      </c>
      <c r="CL169">
        <f t="shared" si="343"/>
        <v>0</v>
      </c>
      <c r="CM169">
        <f t="shared" si="344"/>
        <v>0</v>
      </c>
      <c r="CN169">
        <f t="shared" si="345"/>
        <v>0</v>
      </c>
      <c r="CO169">
        <f t="shared" si="346"/>
        <v>0</v>
      </c>
      <c r="CP169">
        <f t="shared" si="347"/>
        <v>1</v>
      </c>
      <c r="CQ169">
        <f t="shared" si="348"/>
        <v>1</v>
      </c>
      <c r="CR169">
        <f t="shared" si="349"/>
        <v>1</v>
      </c>
      <c r="CS169">
        <f t="shared" si="350"/>
        <v>1</v>
      </c>
      <c r="CT169">
        <f t="shared" si="351"/>
        <v>1</v>
      </c>
      <c r="CU169">
        <f t="shared" si="352"/>
        <v>1</v>
      </c>
      <c r="CV169">
        <f t="shared" si="353"/>
        <v>0</v>
      </c>
      <c r="CW169">
        <f t="shared" si="354"/>
        <v>0</v>
      </c>
      <c r="CX169">
        <f t="shared" si="355"/>
        <v>0</v>
      </c>
      <c r="CY169">
        <f t="shared" si="356"/>
        <v>0</v>
      </c>
      <c r="CZ169">
        <f t="shared" si="357"/>
        <v>0</v>
      </c>
      <c r="DA169">
        <f t="shared" si="358"/>
        <v>0</v>
      </c>
      <c r="DB169">
        <f t="shared" si="359"/>
        <v>1</v>
      </c>
      <c r="DC169">
        <f t="shared" si="360"/>
        <v>1</v>
      </c>
      <c r="DF169" s="10" t="s">
        <v>37</v>
      </c>
      <c r="DG169" t="str">
        <f t="shared" si="416"/>
        <v>2022_9</v>
      </c>
      <c r="DH169" t="str">
        <f t="shared" si="416"/>
        <v>2022_9</v>
      </c>
      <c r="DI169" t="str">
        <f t="shared" si="416"/>
        <v>2022_9</v>
      </c>
      <c r="DJ169" t="str">
        <f t="shared" si="416"/>
        <v>2022_9</v>
      </c>
      <c r="DK169" t="str">
        <f t="shared" si="416"/>
        <v>2022_9</v>
      </c>
      <c r="DL169" t="str">
        <f t="shared" si="416"/>
        <v>2022_9</v>
      </c>
      <c r="DM169" t="str">
        <f t="shared" si="416"/>
        <v>2022_9</v>
      </c>
      <c r="DN169" t="str">
        <f t="shared" si="416"/>
        <v>2022_9</v>
      </c>
      <c r="DO169" t="str">
        <f t="shared" si="416"/>
        <v>2022_9</v>
      </c>
      <c r="DP169" t="str">
        <f t="shared" si="416"/>
        <v>2022_9</v>
      </c>
      <c r="DQ169" t="str">
        <f t="shared" si="416"/>
        <v>2022_9</v>
      </c>
      <c r="DR169" t="str">
        <f t="shared" si="416"/>
        <v>2022_9</v>
      </c>
      <c r="DS169" t="str">
        <f t="shared" si="416"/>
        <v>2022_9</v>
      </c>
      <c r="DT169" t="str">
        <f t="shared" si="416"/>
        <v>2022_9</v>
      </c>
      <c r="DU169" t="str">
        <f t="shared" si="416"/>
        <v>2022_9</v>
      </c>
      <c r="DV169" t="str">
        <f t="shared" si="416"/>
        <v>2022_9</v>
      </c>
      <c r="DW169" t="str">
        <f t="shared" si="415"/>
        <v>2022_9</v>
      </c>
      <c r="DX169" t="str">
        <f t="shared" si="415"/>
        <v>2022_9</v>
      </c>
      <c r="DY169" t="str">
        <f t="shared" si="415"/>
        <v>2022_9</v>
      </c>
      <c r="DZ169" t="str">
        <f t="shared" si="415"/>
        <v>2022_9</v>
      </c>
      <c r="EA169" t="str">
        <f t="shared" si="415"/>
        <v>2022_9</v>
      </c>
      <c r="EB169" t="str">
        <f t="shared" si="415"/>
        <v>2022_9</v>
      </c>
      <c r="EC169" t="str">
        <f t="shared" si="415"/>
        <v>2022_9</v>
      </c>
      <c r="ED169" t="str">
        <f t="shared" si="415"/>
        <v>2022_9</v>
      </c>
      <c r="EE169" t="str">
        <f t="shared" si="415"/>
        <v>2022_9</v>
      </c>
      <c r="EF169" t="str">
        <f t="shared" si="415"/>
        <v>2022_9</v>
      </c>
      <c r="EG169" t="str">
        <f t="shared" si="415"/>
        <v>2022_9</v>
      </c>
      <c r="EH169" t="str">
        <f t="shared" si="415"/>
        <v>2022_9</v>
      </c>
      <c r="EI169" t="str">
        <f t="shared" si="415"/>
        <v>2022_9</v>
      </c>
      <c r="EJ169" t="str">
        <f t="shared" si="415"/>
        <v>2022_9</v>
      </c>
      <c r="EK169" t="str">
        <f t="shared" si="414"/>
        <v>2022_9</v>
      </c>
      <c r="EL169" t="str">
        <f t="shared" si="414"/>
        <v>2022_9</v>
      </c>
      <c r="EM169" t="str">
        <f t="shared" si="414"/>
        <v>2022_9</v>
      </c>
      <c r="EN169" t="str">
        <f t="shared" si="414"/>
        <v>2022_9</v>
      </c>
      <c r="EO169" t="str">
        <f t="shared" si="414"/>
        <v>2022_9</v>
      </c>
      <c r="EP169" t="str">
        <f t="shared" si="414"/>
        <v>2022_9</v>
      </c>
      <c r="EQ169" t="str">
        <f t="shared" si="414"/>
        <v>2022_9</v>
      </c>
      <c r="ER169" t="str">
        <f t="shared" si="414"/>
        <v>2022_9</v>
      </c>
      <c r="ES169" t="str">
        <f t="shared" si="414"/>
        <v>2022_9</v>
      </c>
      <c r="ET169" t="str">
        <f t="shared" si="414"/>
        <v>2022_9</v>
      </c>
      <c r="EU169" t="str">
        <f t="shared" si="414"/>
        <v>2022_9</v>
      </c>
      <c r="EV169" t="str">
        <f t="shared" si="414"/>
        <v>2022_9</v>
      </c>
      <c r="EW169" t="str">
        <f t="shared" si="414"/>
        <v>2022_9</v>
      </c>
      <c r="EX169" t="str">
        <f t="shared" si="414"/>
        <v>2022_9</v>
      </c>
      <c r="EY169" t="str">
        <f t="shared" si="414"/>
        <v>2022_9</v>
      </c>
      <c r="FB169" s="10" t="s">
        <v>37</v>
      </c>
      <c r="FC169">
        <f t="shared" si="413"/>
        <v>0</v>
      </c>
      <c r="FD169">
        <f t="shared" si="363"/>
        <v>0</v>
      </c>
      <c r="FE169">
        <f t="shared" si="364"/>
        <v>0</v>
      </c>
      <c r="FF169">
        <f t="shared" si="365"/>
        <v>0</v>
      </c>
      <c r="FG169">
        <f t="shared" si="366"/>
        <v>0</v>
      </c>
      <c r="FH169">
        <f t="shared" si="367"/>
        <v>0</v>
      </c>
      <c r="FI169">
        <f t="shared" si="368"/>
        <v>0</v>
      </c>
      <c r="FJ169">
        <f t="shared" si="369"/>
        <v>0</v>
      </c>
      <c r="FK169">
        <f t="shared" si="370"/>
        <v>0</v>
      </c>
      <c r="FL169">
        <f t="shared" si="371"/>
        <v>0</v>
      </c>
      <c r="FM169">
        <f t="shared" si="372"/>
        <v>0</v>
      </c>
      <c r="FN169">
        <f t="shared" si="373"/>
        <v>0</v>
      </c>
      <c r="FO169">
        <f t="shared" si="374"/>
        <v>0</v>
      </c>
      <c r="FP169">
        <f t="shared" si="375"/>
        <v>0</v>
      </c>
      <c r="FQ169">
        <f t="shared" si="376"/>
        <v>0</v>
      </c>
      <c r="FR169">
        <f t="shared" si="377"/>
        <v>0</v>
      </c>
      <c r="FS169">
        <f t="shared" si="378"/>
        <v>0</v>
      </c>
      <c r="FT169">
        <f t="shared" si="379"/>
        <v>0</v>
      </c>
      <c r="FU169">
        <f t="shared" si="380"/>
        <v>0</v>
      </c>
      <c r="FV169">
        <f t="shared" si="381"/>
        <v>0</v>
      </c>
      <c r="FW169">
        <f t="shared" si="382"/>
        <v>0</v>
      </c>
      <c r="FX169">
        <f t="shared" si="383"/>
        <v>0</v>
      </c>
      <c r="FY169">
        <f t="shared" si="384"/>
        <v>0</v>
      </c>
      <c r="FZ169">
        <f t="shared" si="385"/>
        <v>0</v>
      </c>
      <c r="GA169">
        <f t="shared" si="386"/>
        <v>0</v>
      </c>
      <c r="GB169">
        <f t="shared" si="387"/>
        <v>0</v>
      </c>
      <c r="GC169">
        <f t="shared" si="388"/>
        <v>0</v>
      </c>
      <c r="GD169">
        <f t="shared" si="389"/>
        <v>0</v>
      </c>
      <c r="GE169">
        <f t="shared" si="390"/>
        <v>0</v>
      </c>
      <c r="GF169">
        <f t="shared" si="391"/>
        <v>1</v>
      </c>
      <c r="GG169">
        <f t="shared" si="392"/>
        <v>1</v>
      </c>
      <c r="GH169">
        <f t="shared" si="393"/>
        <v>1</v>
      </c>
      <c r="GI169">
        <f t="shared" si="394"/>
        <v>1</v>
      </c>
      <c r="GJ169">
        <f t="shared" si="395"/>
        <v>1</v>
      </c>
      <c r="GK169">
        <f t="shared" si="396"/>
        <v>1</v>
      </c>
      <c r="GL169">
        <f t="shared" si="397"/>
        <v>1</v>
      </c>
      <c r="GM169">
        <f t="shared" si="398"/>
        <v>1</v>
      </c>
      <c r="GN169">
        <f t="shared" si="399"/>
        <v>1</v>
      </c>
      <c r="GO169">
        <f t="shared" si="400"/>
        <v>1</v>
      </c>
      <c r="GP169">
        <f t="shared" si="401"/>
        <v>1</v>
      </c>
      <c r="GQ169">
        <f t="shared" si="402"/>
        <v>1</v>
      </c>
      <c r="GR169">
        <f t="shared" si="403"/>
        <v>1</v>
      </c>
      <c r="GS169">
        <f t="shared" si="404"/>
        <v>1</v>
      </c>
      <c r="GT169">
        <f t="shared" si="405"/>
        <v>1</v>
      </c>
      <c r="GU169">
        <f t="shared" si="406"/>
        <v>1</v>
      </c>
      <c r="GX169" s="10"/>
    </row>
    <row r="170" spans="1:206" x14ac:dyDescent="0.3">
      <c r="A170" s="9" t="s">
        <v>33</v>
      </c>
      <c r="B170" s="80"/>
      <c r="C170" s="9">
        <v>3110075000</v>
      </c>
      <c r="D170" s="9" t="s">
        <v>466</v>
      </c>
      <c r="E170" s="9" t="s">
        <v>34</v>
      </c>
      <c r="F170" s="9" t="s">
        <v>35</v>
      </c>
      <c r="G170" s="9" t="s">
        <v>201</v>
      </c>
      <c r="H170" s="10">
        <v>44816</v>
      </c>
      <c r="I170" s="9">
        <f t="shared" si="407"/>
        <v>2022</v>
      </c>
      <c r="J170" s="9">
        <f t="shared" si="408"/>
        <v>9</v>
      </c>
      <c r="K170" s="9" t="str">
        <f t="shared" si="409"/>
        <v>2022_9</v>
      </c>
      <c r="L170">
        <f>MAX(0,VLOOKUP($K170,lookups!$A$1:$B$45,2,0)-12)</f>
        <v>17</v>
      </c>
      <c r="M170" s="40">
        <f t="shared" si="410"/>
        <v>44805</v>
      </c>
      <c r="N170" s="10" t="s">
        <v>37</v>
      </c>
      <c r="O170" t="str">
        <f ca="1">IF(OR($L170&gt;O$4,O$4&gt;$L170+23),"",OFFSET(Electric!$L161,0,-'Electric Calendarize'!$L170+'Electric Calendarize'!O$4+1))</f>
        <v/>
      </c>
      <c r="P170" t="str">
        <f ca="1">IF(OR($L170&gt;P$4,P$4&gt;$L170+23),"",OFFSET(Electric!$L161,0,-'Electric Calendarize'!$L170+'Electric Calendarize'!P$4+1))</f>
        <v/>
      </c>
      <c r="Q170" t="str">
        <f ca="1">IF(OR($L170&gt;Q$4,Q$4&gt;$L170+23),"",OFFSET(Electric!$L161,0,-'Electric Calendarize'!$L170+'Electric Calendarize'!Q$4+1))</f>
        <v/>
      </c>
      <c r="R170" t="str">
        <f ca="1">IF(OR($L170&gt;R$4,R$4&gt;$L170+23),"",OFFSET(Electric!$L161,0,-'Electric Calendarize'!$L170+'Electric Calendarize'!R$4+1))</f>
        <v/>
      </c>
      <c r="S170" t="str">
        <f ca="1">IF(OR($L170&gt;S$4,S$4&gt;$L170+23),"",OFFSET(Electric!$L161,0,-'Electric Calendarize'!$L170+'Electric Calendarize'!S$4+1))</f>
        <v/>
      </c>
      <c r="T170" t="str">
        <f ca="1">IF(OR($L170&gt;T$4,T$4&gt;$L170+23),"",OFFSET(Electric!$L161,0,-'Electric Calendarize'!$L170+'Electric Calendarize'!T$4+1))</f>
        <v/>
      </c>
      <c r="U170" t="str">
        <f ca="1">IF(OR($L170&gt;U$4,U$4&gt;$L170+23),"",OFFSET(Electric!$L161,0,-'Electric Calendarize'!$L170+'Electric Calendarize'!U$4+1))</f>
        <v/>
      </c>
      <c r="V170" t="str">
        <f ca="1">IF(OR($L170&gt;V$4,V$4&gt;$L170+23),"",OFFSET(Electric!$L161,0,-'Electric Calendarize'!$L170+'Electric Calendarize'!V$4+1))</f>
        <v/>
      </c>
      <c r="W170" t="str">
        <f ca="1">IF(OR($L170&gt;W$4,W$4&gt;$L170+23),"",OFFSET(Electric!$L161,0,-'Electric Calendarize'!$L170+'Electric Calendarize'!W$4+1))</f>
        <v/>
      </c>
      <c r="X170" t="str">
        <f ca="1">IF(OR($L170&gt;X$4,X$4&gt;$L170+23),"",OFFSET(Electric!$L161,0,-'Electric Calendarize'!$L170+'Electric Calendarize'!X$4+1))</f>
        <v/>
      </c>
      <c r="Y170" t="str">
        <f ca="1">IF(OR($L170&gt;Y$4,Y$4&gt;$L170+23),"",OFFSET(Electric!$L161,0,-'Electric Calendarize'!$L170+'Electric Calendarize'!Y$4+1))</f>
        <v/>
      </c>
      <c r="Z170" t="str">
        <f ca="1">IF(OR($L170&gt;Z$4,Z$4&gt;$L170+23),"",OFFSET(Electric!$L161,0,-'Electric Calendarize'!$L170+'Electric Calendarize'!Z$4+1))</f>
        <v/>
      </c>
      <c r="AA170" t="str">
        <f ca="1">IF(OR($L170&gt;AA$4,AA$4&gt;$L170+23),"",OFFSET(Electric!$L161,0,-'Electric Calendarize'!$L170+'Electric Calendarize'!AA$4+1))</f>
        <v/>
      </c>
      <c r="AB170" t="str">
        <f ca="1">IF(OR($L170&gt;AB$4,AB$4&gt;$L170+23),"",OFFSET(Electric!$L161,0,-'Electric Calendarize'!$L170+'Electric Calendarize'!AB$4+1))</f>
        <v/>
      </c>
      <c r="AC170" t="str">
        <f ca="1">IF(OR($L170&gt;AC$4,AC$4&gt;$L170+23),"",OFFSET(Electric!$L161,0,-'Electric Calendarize'!$L170+'Electric Calendarize'!AC$4+1))</f>
        <v/>
      </c>
      <c r="AD170" t="str">
        <f ca="1">IF(OR($L170&gt;AD$4,AD$4&gt;$L170+23),"",OFFSET(Electric!$L161,0,-'Electric Calendarize'!$L170+'Electric Calendarize'!AD$4+1))</f>
        <v/>
      </c>
      <c r="AE170" t="str">
        <f ca="1">IF(OR($L170&gt;AE$4,AE$4&gt;$L170+23),"",OFFSET(Electric!$L161,0,-'Electric Calendarize'!$L170+'Electric Calendarize'!AE$4+1))</f>
        <v/>
      </c>
      <c r="AF170">
        <f ca="1">IF(OR($L170&gt;AF$4,AF$4&gt;$L170+23),"",OFFSET(Electric!$L161,0,-'Electric Calendarize'!$L170+'Electric Calendarize'!AF$4+1))</f>
        <v>1042</v>
      </c>
      <c r="AG170">
        <f ca="1">IF(OR($L170&gt;AG$4,AG$4&gt;$L170+23),"",OFFSET(Electric!$L161,0,-'Electric Calendarize'!$L170+'Electric Calendarize'!AG$4+1))</f>
        <v>782</v>
      </c>
      <c r="AH170">
        <f ca="1">IF(OR($L170&gt;AH$4,AH$4&gt;$L170+23),"",OFFSET(Electric!$L161,0,-'Electric Calendarize'!$L170+'Electric Calendarize'!AH$4+1))</f>
        <v>894</v>
      </c>
      <c r="AI170">
        <f ca="1">IF(OR($L170&gt;AI$4,AI$4&gt;$L170+23),"",OFFSET(Electric!$L161,0,-'Electric Calendarize'!$L170+'Electric Calendarize'!AI$4+1))</f>
        <v>1688</v>
      </c>
      <c r="AJ170">
        <f ca="1">IF(OR($L170&gt;AJ$4,AJ$4&gt;$L170+23),"",OFFSET(Electric!$L161,0,-'Electric Calendarize'!$L170+'Electric Calendarize'!AJ$4+1))</f>
        <v>1664</v>
      </c>
      <c r="AK170">
        <f ca="1">IF(OR($L170&gt;AK$4,AK$4&gt;$L170+23),"",OFFSET(Electric!$L161,0,-'Electric Calendarize'!$L170+'Electric Calendarize'!AK$4+1))</f>
        <v>2920</v>
      </c>
      <c r="AL170">
        <f ca="1">IF(OR($L170&gt;AL$4,AL$4&gt;$L170+23),"",OFFSET(Electric!$L161,0,-'Electric Calendarize'!$L170+'Electric Calendarize'!AL$4+1))</f>
        <v>2048</v>
      </c>
      <c r="AM170">
        <f ca="1">IF(OR($L170&gt;AM$4,AM$4&gt;$L170+23),"",OFFSET(Electric!$L161,0,-'Electric Calendarize'!$L170+'Electric Calendarize'!AM$4+1))</f>
        <v>1410</v>
      </c>
      <c r="AN170">
        <f ca="1">IF(OR($L170&gt;AN$4,AN$4&gt;$L170+23),"",OFFSET(Electric!$L161,0,-'Electric Calendarize'!$L170+'Electric Calendarize'!AN$4+1))</f>
        <v>1356</v>
      </c>
      <c r="AO170">
        <f ca="1">IF(OR($L170&gt;AO$4,AO$4&gt;$L170+23),"",OFFSET(Electric!$L161,0,-'Electric Calendarize'!$L170+'Electric Calendarize'!AO$4+1))</f>
        <v>594</v>
      </c>
      <c r="AP170">
        <f ca="1">IF(OR($L170&gt;AP$4,AP$4&gt;$L170+23),"",OFFSET(Electric!$L161,0,-'Electric Calendarize'!$L170+'Electric Calendarize'!AP$4+1))</f>
        <v>656</v>
      </c>
      <c r="AQ170">
        <f ca="1">IF(OR($L170&gt;AQ$4,AQ$4&gt;$L170+23),"",OFFSET(Electric!$L161,0,-'Electric Calendarize'!$L170+'Electric Calendarize'!AQ$4+1))</f>
        <v>1390</v>
      </c>
      <c r="AR170">
        <f ca="1">IF(OR($L170&gt;AR$4,AR$4&gt;$L170+23),"",OFFSET(Electric!$L161,0,-'Electric Calendarize'!$L170+'Electric Calendarize'!AR$4+1))</f>
        <v>1110</v>
      </c>
      <c r="AS170">
        <f ca="1">IF(OR($L170&gt;AS$4,AS$4&gt;$L170+23),"",OFFSET(Electric!$L161,0,-'Electric Calendarize'!$L170+'Electric Calendarize'!AS$4+1))</f>
        <v>708</v>
      </c>
      <c r="AT170">
        <f ca="1">IF(OR($L170&gt;AT$4,AT$4&gt;$L170+23),"",OFFSET(Electric!$L161,0,-'Electric Calendarize'!$L170+'Electric Calendarize'!AT$4+1))</f>
        <v>1006</v>
      </c>
      <c r="AU170">
        <f ca="1">IF(OR($L170&gt;AU$4,AU$4&gt;$L170+23),"",OFFSET(Electric!$L161,0,-'Electric Calendarize'!$L170+'Electric Calendarize'!AU$4+1))</f>
        <v>1484</v>
      </c>
      <c r="AV170">
        <f ca="1">IF(OR($L170&gt;AV$4,AV$4&gt;$L170+23),"",OFFSET(Electric!$L161,0,-'Electric Calendarize'!$L170+'Electric Calendarize'!AV$4+1))</f>
        <v>1188</v>
      </c>
      <c r="AW170">
        <f ca="1">IF(OR($L170&gt;AW$4,AW$4&gt;$L170+23),"",OFFSET(Electric!$L161,0,-'Electric Calendarize'!$L170+'Electric Calendarize'!AW$4+1))</f>
        <v>1286</v>
      </c>
      <c r="AX170">
        <f ca="1">IF(OR($L170&gt;AX$4,AX$4&gt;$L170+23),"",OFFSET(Electric!$L161,0,-'Electric Calendarize'!$L170+'Electric Calendarize'!AX$4+1))</f>
        <v>1078</v>
      </c>
      <c r="AY170">
        <f ca="1">IF(OR($L170&gt;AY$4,AY$4&gt;$L170+23),"",OFFSET(Electric!$L161,0,-'Electric Calendarize'!$L170+'Electric Calendarize'!AY$4+1))</f>
        <v>690</v>
      </c>
      <c r="AZ170">
        <f ca="1">IF(OR($L170&gt;AZ$4,AZ$4&gt;$L170+23),"",OFFSET(Electric!$L161,0,-'Electric Calendarize'!$L170+'Electric Calendarize'!AZ$4+1))</f>
        <v>630</v>
      </c>
      <c r="BA170">
        <f ca="1">IF(OR($L170&gt;BA$4,BA$4&gt;$L170+23),"",OFFSET(Electric!$L161,0,-'Electric Calendarize'!$L170+'Electric Calendarize'!BA$4+1))</f>
        <v>418</v>
      </c>
      <c r="BB170">
        <f ca="1">IF(OR($L170&gt;BB$4,BB$4&gt;$L170+23),"",OFFSET(Electric!$L161,0,-'Electric Calendarize'!$L170+'Electric Calendarize'!BB$4+1))</f>
        <v>616</v>
      </c>
      <c r="BC170">
        <f ca="1">IF(OR($L170&gt;BC$4,BC$4&gt;$L170+23),"",OFFSET(Electric!$L161,0,-'Electric Calendarize'!$L170+'Electric Calendarize'!BC$4+1))</f>
        <v>994</v>
      </c>
      <c r="BD170" t="str">
        <f ca="1">IF(OR($L170&gt;BD$4,BD$4&gt;$L170+23),"",OFFSET(Electric!$L161,0,-'Electric Calendarize'!$L170+'Electric Calendarize'!BD$4+1))</f>
        <v/>
      </c>
      <c r="BE170" t="str">
        <f ca="1">IF(OR($L170&gt;BE$4,BE$4&gt;$L170+23),"",OFFSET(Electric!$L161,0,-'Electric Calendarize'!$L170+'Electric Calendarize'!BE$4+1))</f>
        <v/>
      </c>
      <c r="BF170" t="str">
        <f ca="1">IF(OR($L170&gt;BF$4,BF$4&gt;$L170+23),"",OFFSET(Electric!$L161,0,-'Electric Calendarize'!$L170+'Electric Calendarize'!BF$4+1))</f>
        <v/>
      </c>
      <c r="BG170" t="str">
        <f ca="1">IF(OR($L170&gt;BG$4,BG$4&gt;$L170+23),"",OFFSET(Electric!$L161,0,-'Electric Calendarize'!$L170+'Electric Calendarize'!BG$4+1))</f>
        <v/>
      </c>
      <c r="BJ170" s="10" t="s">
        <v>37</v>
      </c>
      <c r="BK170">
        <f t="shared" si="411"/>
        <v>1</v>
      </c>
      <c r="BL170">
        <f t="shared" si="317"/>
        <v>0</v>
      </c>
      <c r="BM170">
        <f t="shared" si="318"/>
        <v>0</v>
      </c>
      <c r="BN170">
        <f t="shared" si="319"/>
        <v>0</v>
      </c>
      <c r="BO170">
        <f t="shared" si="320"/>
        <v>0</v>
      </c>
      <c r="BP170">
        <f t="shared" si="321"/>
        <v>0</v>
      </c>
      <c r="BQ170">
        <f t="shared" si="322"/>
        <v>0</v>
      </c>
      <c r="BR170">
        <f t="shared" si="323"/>
        <v>1</v>
      </c>
      <c r="BS170">
        <f t="shared" si="324"/>
        <v>1</v>
      </c>
      <c r="BT170">
        <f t="shared" si="325"/>
        <v>1</v>
      </c>
      <c r="BU170">
        <f t="shared" si="326"/>
        <v>1</v>
      </c>
      <c r="BV170">
        <f t="shared" si="327"/>
        <v>1</v>
      </c>
      <c r="BW170">
        <f t="shared" si="328"/>
        <v>1</v>
      </c>
      <c r="BX170">
        <f t="shared" si="329"/>
        <v>0</v>
      </c>
      <c r="BY170">
        <f t="shared" si="330"/>
        <v>0</v>
      </c>
      <c r="BZ170">
        <f t="shared" si="331"/>
        <v>0</v>
      </c>
      <c r="CA170">
        <f t="shared" si="332"/>
        <v>0</v>
      </c>
      <c r="CB170">
        <f t="shared" si="333"/>
        <v>0</v>
      </c>
      <c r="CC170">
        <f t="shared" si="334"/>
        <v>0</v>
      </c>
      <c r="CD170">
        <f t="shared" si="335"/>
        <v>1</v>
      </c>
      <c r="CE170">
        <f t="shared" si="336"/>
        <v>1</v>
      </c>
      <c r="CF170">
        <f t="shared" si="337"/>
        <v>1</v>
      </c>
      <c r="CG170">
        <f t="shared" si="338"/>
        <v>1</v>
      </c>
      <c r="CH170">
        <f t="shared" si="339"/>
        <v>1</v>
      </c>
      <c r="CI170">
        <f t="shared" si="340"/>
        <v>1</v>
      </c>
      <c r="CJ170">
        <f t="shared" si="341"/>
        <v>0</v>
      </c>
      <c r="CK170">
        <f t="shared" si="342"/>
        <v>0</v>
      </c>
      <c r="CL170">
        <f t="shared" si="343"/>
        <v>0</v>
      </c>
      <c r="CM170">
        <f t="shared" si="344"/>
        <v>0</v>
      </c>
      <c r="CN170">
        <f t="shared" si="345"/>
        <v>0</v>
      </c>
      <c r="CO170">
        <f t="shared" si="346"/>
        <v>0</v>
      </c>
      <c r="CP170">
        <f t="shared" si="347"/>
        <v>1</v>
      </c>
      <c r="CQ170">
        <f t="shared" si="348"/>
        <v>1</v>
      </c>
      <c r="CR170">
        <f t="shared" si="349"/>
        <v>1</v>
      </c>
      <c r="CS170">
        <f t="shared" si="350"/>
        <v>1</v>
      </c>
      <c r="CT170">
        <f t="shared" si="351"/>
        <v>1</v>
      </c>
      <c r="CU170">
        <f t="shared" si="352"/>
        <v>1</v>
      </c>
      <c r="CV170">
        <f t="shared" si="353"/>
        <v>0</v>
      </c>
      <c r="CW170">
        <f t="shared" si="354"/>
        <v>0</v>
      </c>
      <c r="CX170">
        <f t="shared" si="355"/>
        <v>0</v>
      </c>
      <c r="CY170">
        <f t="shared" si="356"/>
        <v>0</v>
      </c>
      <c r="CZ170">
        <f t="shared" si="357"/>
        <v>0</v>
      </c>
      <c r="DA170">
        <f t="shared" si="358"/>
        <v>0</v>
      </c>
      <c r="DB170">
        <f t="shared" si="359"/>
        <v>1</v>
      </c>
      <c r="DC170">
        <f t="shared" si="360"/>
        <v>1</v>
      </c>
      <c r="DF170" s="10" t="s">
        <v>37</v>
      </c>
      <c r="DG170" t="str">
        <f t="shared" si="416"/>
        <v>2022_9</v>
      </c>
      <c r="DH170" t="str">
        <f t="shared" si="416"/>
        <v>2022_9</v>
      </c>
      <c r="DI170" t="str">
        <f t="shared" si="416"/>
        <v>2022_9</v>
      </c>
      <c r="DJ170" t="str">
        <f t="shared" si="416"/>
        <v>2022_9</v>
      </c>
      <c r="DK170" t="str">
        <f t="shared" si="416"/>
        <v>2022_9</v>
      </c>
      <c r="DL170" t="str">
        <f t="shared" si="416"/>
        <v>2022_9</v>
      </c>
      <c r="DM170" t="str">
        <f t="shared" si="416"/>
        <v>2022_9</v>
      </c>
      <c r="DN170" t="str">
        <f t="shared" si="416"/>
        <v>2022_9</v>
      </c>
      <c r="DO170" t="str">
        <f t="shared" si="416"/>
        <v>2022_9</v>
      </c>
      <c r="DP170" t="str">
        <f t="shared" si="416"/>
        <v>2022_9</v>
      </c>
      <c r="DQ170" t="str">
        <f t="shared" si="416"/>
        <v>2022_9</v>
      </c>
      <c r="DR170" t="str">
        <f t="shared" si="416"/>
        <v>2022_9</v>
      </c>
      <c r="DS170" t="str">
        <f t="shared" si="416"/>
        <v>2022_9</v>
      </c>
      <c r="DT170" t="str">
        <f t="shared" si="416"/>
        <v>2022_9</v>
      </c>
      <c r="DU170" t="str">
        <f t="shared" si="416"/>
        <v>2022_9</v>
      </c>
      <c r="DV170" t="str">
        <f t="shared" si="416"/>
        <v>2022_9</v>
      </c>
      <c r="DW170" t="str">
        <f t="shared" si="415"/>
        <v>2022_9</v>
      </c>
      <c r="DX170" t="str">
        <f t="shared" si="415"/>
        <v>2022_9</v>
      </c>
      <c r="DY170" t="str">
        <f t="shared" si="415"/>
        <v>2022_9</v>
      </c>
      <c r="DZ170" t="str">
        <f t="shared" si="415"/>
        <v>2022_9</v>
      </c>
      <c r="EA170" t="str">
        <f t="shared" si="415"/>
        <v>2022_9</v>
      </c>
      <c r="EB170" t="str">
        <f t="shared" si="415"/>
        <v>2022_9</v>
      </c>
      <c r="EC170" t="str">
        <f t="shared" si="415"/>
        <v>2022_9</v>
      </c>
      <c r="ED170" t="str">
        <f t="shared" si="415"/>
        <v>2022_9</v>
      </c>
      <c r="EE170" t="str">
        <f t="shared" si="415"/>
        <v>2022_9</v>
      </c>
      <c r="EF170" t="str">
        <f t="shared" si="415"/>
        <v>2022_9</v>
      </c>
      <c r="EG170" t="str">
        <f t="shared" si="415"/>
        <v>2022_9</v>
      </c>
      <c r="EH170" t="str">
        <f t="shared" si="415"/>
        <v>2022_9</v>
      </c>
      <c r="EI170" t="str">
        <f t="shared" si="415"/>
        <v>2022_9</v>
      </c>
      <c r="EJ170" t="str">
        <f t="shared" si="415"/>
        <v>2022_9</v>
      </c>
      <c r="EK170" t="str">
        <f t="shared" si="415"/>
        <v>2022_9</v>
      </c>
      <c r="EL170" t="str">
        <f t="shared" si="415"/>
        <v>2022_9</v>
      </c>
      <c r="EM170" t="str">
        <f t="shared" ref="EM170:EY185" si="417">$K170</f>
        <v>2022_9</v>
      </c>
      <c r="EN170" t="str">
        <f t="shared" si="417"/>
        <v>2022_9</v>
      </c>
      <c r="EO170" t="str">
        <f t="shared" si="417"/>
        <v>2022_9</v>
      </c>
      <c r="EP170" t="str">
        <f t="shared" si="417"/>
        <v>2022_9</v>
      </c>
      <c r="EQ170" t="str">
        <f t="shared" si="417"/>
        <v>2022_9</v>
      </c>
      <c r="ER170" t="str">
        <f t="shared" si="417"/>
        <v>2022_9</v>
      </c>
      <c r="ES170" t="str">
        <f t="shared" si="417"/>
        <v>2022_9</v>
      </c>
      <c r="ET170" t="str">
        <f t="shared" si="417"/>
        <v>2022_9</v>
      </c>
      <c r="EU170" t="str">
        <f t="shared" si="417"/>
        <v>2022_9</v>
      </c>
      <c r="EV170" t="str">
        <f t="shared" si="417"/>
        <v>2022_9</v>
      </c>
      <c r="EW170" t="str">
        <f t="shared" si="417"/>
        <v>2022_9</v>
      </c>
      <c r="EX170" t="str">
        <f t="shared" si="417"/>
        <v>2022_9</v>
      </c>
      <c r="EY170" t="str">
        <f t="shared" si="417"/>
        <v>2022_9</v>
      </c>
      <c r="FB170" s="10" t="s">
        <v>37</v>
      </c>
      <c r="FC170">
        <f t="shared" si="413"/>
        <v>0</v>
      </c>
      <c r="FD170">
        <f t="shared" si="363"/>
        <v>0</v>
      </c>
      <c r="FE170">
        <f t="shared" si="364"/>
        <v>0</v>
      </c>
      <c r="FF170">
        <f t="shared" si="365"/>
        <v>0</v>
      </c>
      <c r="FG170">
        <f t="shared" si="366"/>
        <v>0</v>
      </c>
      <c r="FH170">
        <f t="shared" si="367"/>
        <v>0</v>
      </c>
      <c r="FI170">
        <f t="shared" si="368"/>
        <v>0</v>
      </c>
      <c r="FJ170">
        <f t="shared" si="369"/>
        <v>0</v>
      </c>
      <c r="FK170">
        <f t="shared" si="370"/>
        <v>0</v>
      </c>
      <c r="FL170">
        <f t="shared" si="371"/>
        <v>0</v>
      </c>
      <c r="FM170">
        <f t="shared" si="372"/>
        <v>0</v>
      </c>
      <c r="FN170">
        <f t="shared" si="373"/>
        <v>0</v>
      </c>
      <c r="FO170">
        <f t="shared" si="374"/>
        <v>0</v>
      </c>
      <c r="FP170">
        <f t="shared" si="375"/>
        <v>0</v>
      </c>
      <c r="FQ170">
        <f t="shared" si="376"/>
        <v>0</v>
      </c>
      <c r="FR170">
        <f t="shared" si="377"/>
        <v>0</v>
      </c>
      <c r="FS170">
        <f t="shared" si="378"/>
        <v>0</v>
      </c>
      <c r="FT170">
        <f t="shared" si="379"/>
        <v>0</v>
      </c>
      <c r="FU170">
        <f t="shared" si="380"/>
        <v>0</v>
      </c>
      <c r="FV170">
        <f t="shared" si="381"/>
        <v>0</v>
      </c>
      <c r="FW170">
        <f t="shared" si="382"/>
        <v>0</v>
      </c>
      <c r="FX170">
        <f t="shared" si="383"/>
        <v>0</v>
      </c>
      <c r="FY170">
        <f t="shared" si="384"/>
        <v>0</v>
      </c>
      <c r="FZ170">
        <f t="shared" si="385"/>
        <v>0</v>
      </c>
      <c r="GA170">
        <f t="shared" si="386"/>
        <v>0</v>
      </c>
      <c r="GB170">
        <f t="shared" si="387"/>
        <v>0</v>
      </c>
      <c r="GC170">
        <f t="shared" si="388"/>
        <v>0</v>
      </c>
      <c r="GD170">
        <f t="shared" si="389"/>
        <v>0</v>
      </c>
      <c r="GE170">
        <f t="shared" si="390"/>
        <v>0</v>
      </c>
      <c r="GF170">
        <f t="shared" si="391"/>
        <v>1</v>
      </c>
      <c r="GG170">
        <f t="shared" si="392"/>
        <v>1</v>
      </c>
      <c r="GH170">
        <f t="shared" si="393"/>
        <v>1</v>
      </c>
      <c r="GI170">
        <f t="shared" si="394"/>
        <v>1</v>
      </c>
      <c r="GJ170">
        <f t="shared" si="395"/>
        <v>1</v>
      </c>
      <c r="GK170">
        <f t="shared" si="396"/>
        <v>1</v>
      </c>
      <c r="GL170">
        <f t="shared" si="397"/>
        <v>1</v>
      </c>
      <c r="GM170">
        <f t="shared" si="398"/>
        <v>1</v>
      </c>
      <c r="GN170">
        <f t="shared" si="399"/>
        <v>1</v>
      </c>
      <c r="GO170">
        <f t="shared" si="400"/>
        <v>1</v>
      </c>
      <c r="GP170">
        <f t="shared" si="401"/>
        <v>1</v>
      </c>
      <c r="GQ170">
        <f t="shared" si="402"/>
        <v>1</v>
      </c>
      <c r="GR170">
        <f t="shared" si="403"/>
        <v>1</v>
      </c>
      <c r="GS170">
        <f t="shared" si="404"/>
        <v>1</v>
      </c>
      <c r="GT170">
        <f t="shared" si="405"/>
        <v>1</v>
      </c>
      <c r="GU170">
        <f t="shared" si="406"/>
        <v>1</v>
      </c>
      <c r="GX170" s="10"/>
    </row>
    <row r="171" spans="1:206" x14ac:dyDescent="0.3">
      <c r="A171" s="9" t="s">
        <v>124</v>
      </c>
      <c r="B171" s="80"/>
      <c r="C171" s="9">
        <v>3131463000</v>
      </c>
      <c r="D171" s="9" t="s">
        <v>467</v>
      </c>
      <c r="E171" s="9" t="s">
        <v>34</v>
      </c>
      <c r="F171" s="9" t="s">
        <v>35</v>
      </c>
      <c r="G171" s="9" t="s">
        <v>202</v>
      </c>
      <c r="H171" s="10">
        <v>44820</v>
      </c>
      <c r="I171" s="9">
        <f t="shared" si="407"/>
        <v>2022</v>
      </c>
      <c r="J171" s="9">
        <f t="shared" si="408"/>
        <v>9</v>
      </c>
      <c r="K171" s="9" t="str">
        <f t="shared" si="409"/>
        <v>2022_9</v>
      </c>
      <c r="L171">
        <f>MAX(0,VLOOKUP($K171,lookups!$A$1:$B$45,2,0)-12)</f>
        <v>17</v>
      </c>
      <c r="M171" s="40">
        <f t="shared" si="410"/>
        <v>44805</v>
      </c>
      <c r="N171" s="10" t="s">
        <v>37</v>
      </c>
      <c r="O171" t="str">
        <f ca="1">IF(OR($L171&gt;O$4,O$4&gt;$L171+23),"",OFFSET(Electric!$L162,0,-'Electric Calendarize'!$L171+'Electric Calendarize'!O$4+1))</f>
        <v/>
      </c>
      <c r="P171" t="str">
        <f ca="1">IF(OR($L171&gt;P$4,P$4&gt;$L171+23),"",OFFSET(Electric!$L162,0,-'Electric Calendarize'!$L171+'Electric Calendarize'!P$4+1))</f>
        <v/>
      </c>
      <c r="Q171" t="str">
        <f ca="1">IF(OR($L171&gt;Q$4,Q$4&gt;$L171+23),"",OFFSET(Electric!$L162,0,-'Electric Calendarize'!$L171+'Electric Calendarize'!Q$4+1))</f>
        <v/>
      </c>
      <c r="R171" t="str">
        <f ca="1">IF(OR($L171&gt;R$4,R$4&gt;$L171+23),"",OFFSET(Electric!$L162,0,-'Electric Calendarize'!$L171+'Electric Calendarize'!R$4+1))</f>
        <v/>
      </c>
      <c r="S171" t="str">
        <f ca="1">IF(OR($L171&gt;S$4,S$4&gt;$L171+23),"",OFFSET(Electric!$L162,0,-'Electric Calendarize'!$L171+'Electric Calendarize'!S$4+1))</f>
        <v/>
      </c>
      <c r="T171" t="str">
        <f ca="1">IF(OR($L171&gt;T$4,T$4&gt;$L171+23),"",OFFSET(Electric!$L162,0,-'Electric Calendarize'!$L171+'Electric Calendarize'!T$4+1))</f>
        <v/>
      </c>
      <c r="U171" t="str">
        <f ca="1">IF(OR($L171&gt;U$4,U$4&gt;$L171+23),"",OFFSET(Electric!$L162,0,-'Electric Calendarize'!$L171+'Electric Calendarize'!U$4+1))</f>
        <v/>
      </c>
      <c r="V171" t="str">
        <f ca="1">IF(OR($L171&gt;V$4,V$4&gt;$L171+23),"",OFFSET(Electric!$L162,0,-'Electric Calendarize'!$L171+'Electric Calendarize'!V$4+1))</f>
        <v/>
      </c>
      <c r="W171" t="str">
        <f ca="1">IF(OR($L171&gt;W$4,W$4&gt;$L171+23),"",OFFSET(Electric!$L162,0,-'Electric Calendarize'!$L171+'Electric Calendarize'!W$4+1))</f>
        <v/>
      </c>
      <c r="X171" t="str">
        <f ca="1">IF(OR($L171&gt;X$4,X$4&gt;$L171+23),"",OFFSET(Electric!$L162,0,-'Electric Calendarize'!$L171+'Electric Calendarize'!X$4+1))</f>
        <v/>
      </c>
      <c r="Y171" t="str">
        <f ca="1">IF(OR($L171&gt;Y$4,Y$4&gt;$L171+23),"",OFFSET(Electric!$L162,0,-'Electric Calendarize'!$L171+'Electric Calendarize'!Y$4+1))</f>
        <v/>
      </c>
      <c r="Z171" t="str">
        <f ca="1">IF(OR($L171&gt;Z$4,Z$4&gt;$L171+23),"",OFFSET(Electric!$L162,0,-'Electric Calendarize'!$L171+'Electric Calendarize'!Z$4+1))</f>
        <v/>
      </c>
      <c r="AA171" t="str">
        <f ca="1">IF(OR($L171&gt;AA$4,AA$4&gt;$L171+23),"",OFFSET(Electric!$L162,0,-'Electric Calendarize'!$L171+'Electric Calendarize'!AA$4+1))</f>
        <v/>
      </c>
      <c r="AB171" t="str">
        <f ca="1">IF(OR($L171&gt;AB$4,AB$4&gt;$L171+23),"",OFFSET(Electric!$L162,0,-'Electric Calendarize'!$L171+'Electric Calendarize'!AB$4+1))</f>
        <v/>
      </c>
      <c r="AC171" t="str">
        <f ca="1">IF(OR($L171&gt;AC$4,AC$4&gt;$L171+23),"",OFFSET(Electric!$L162,0,-'Electric Calendarize'!$L171+'Electric Calendarize'!AC$4+1))</f>
        <v/>
      </c>
      <c r="AD171" t="str">
        <f ca="1">IF(OR($L171&gt;AD$4,AD$4&gt;$L171+23),"",OFFSET(Electric!$L162,0,-'Electric Calendarize'!$L171+'Electric Calendarize'!AD$4+1))</f>
        <v/>
      </c>
      <c r="AE171" t="str">
        <f ca="1">IF(OR($L171&gt;AE$4,AE$4&gt;$L171+23),"",OFFSET(Electric!$L162,0,-'Electric Calendarize'!$L171+'Electric Calendarize'!AE$4+1))</f>
        <v/>
      </c>
      <c r="AF171">
        <f ca="1">IF(OR($L171&gt;AF$4,AF$4&gt;$L171+23),"",OFFSET(Electric!$L162,0,-'Electric Calendarize'!$L171+'Electric Calendarize'!AF$4+1))</f>
        <v>537</v>
      </c>
      <c r="AG171">
        <f ca="1">IF(OR($L171&gt;AG$4,AG$4&gt;$L171+23),"",OFFSET(Electric!$L162,0,-'Electric Calendarize'!$L171+'Electric Calendarize'!AG$4+1))</f>
        <v>544</v>
      </c>
      <c r="AH171">
        <f ca="1">IF(OR($L171&gt;AH$4,AH$4&gt;$L171+23),"",OFFSET(Electric!$L162,0,-'Electric Calendarize'!$L171+'Electric Calendarize'!AH$4+1))</f>
        <v>662</v>
      </c>
      <c r="AI171">
        <f ca="1">IF(OR($L171&gt;AI$4,AI$4&gt;$L171+23),"",OFFSET(Electric!$L162,0,-'Electric Calendarize'!$L171+'Electric Calendarize'!AI$4+1))</f>
        <v>772</v>
      </c>
      <c r="AJ171">
        <f ca="1">IF(OR($L171&gt;AJ$4,AJ$4&gt;$L171+23),"",OFFSET(Electric!$L162,0,-'Electric Calendarize'!$L171+'Electric Calendarize'!AJ$4+1))</f>
        <v>960</v>
      </c>
      <c r="AK171">
        <f ca="1">IF(OR($L171&gt;AK$4,AK$4&gt;$L171+23),"",OFFSET(Electric!$L162,0,-'Electric Calendarize'!$L171+'Electric Calendarize'!AK$4+1))</f>
        <v>827</v>
      </c>
      <c r="AL171">
        <f ca="1">IF(OR($L171&gt;AL$4,AL$4&gt;$L171+23),"",OFFSET(Electric!$L162,0,-'Electric Calendarize'!$L171+'Electric Calendarize'!AL$4+1))</f>
        <v>749</v>
      </c>
      <c r="AM171">
        <f ca="1">IF(OR($L171&gt;AM$4,AM$4&gt;$L171+23),"",OFFSET(Electric!$L162,0,-'Electric Calendarize'!$L171+'Electric Calendarize'!AM$4+1))</f>
        <v>620</v>
      </c>
      <c r="AN171">
        <f ca="1">IF(OR($L171&gt;AN$4,AN$4&gt;$L171+23),"",OFFSET(Electric!$L162,0,-'Electric Calendarize'!$L171+'Electric Calendarize'!AN$4+1))</f>
        <v>605</v>
      </c>
      <c r="AO171">
        <f ca="1">IF(OR($L171&gt;AO$4,AO$4&gt;$L171+23),"",OFFSET(Electric!$L162,0,-'Electric Calendarize'!$L171+'Electric Calendarize'!AO$4+1))</f>
        <v>463</v>
      </c>
      <c r="AP171">
        <f ca="1">IF(OR($L171&gt;AP$4,AP$4&gt;$L171+23),"",OFFSET(Electric!$L162,0,-'Electric Calendarize'!$L171+'Electric Calendarize'!AP$4+1))</f>
        <v>618</v>
      </c>
      <c r="AQ171">
        <f ca="1">IF(OR($L171&gt;AQ$4,AQ$4&gt;$L171+23),"",OFFSET(Electric!$L162,0,-'Electric Calendarize'!$L171+'Electric Calendarize'!AQ$4+1))</f>
        <v>656</v>
      </c>
      <c r="AR171">
        <f ca="1">IF(OR($L171&gt;AR$4,AR$4&gt;$L171+23),"",OFFSET(Electric!$L162,0,-'Electric Calendarize'!$L171+'Electric Calendarize'!AR$4+1))</f>
        <v>525</v>
      </c>
      <c r="AS171">
        <f ca="1">IF(OR($L171&gt;AS$4,AS$4&gt;$L171+23),"",OFFSET(Electric!$L162,0,-'Electric Calendarize'!$L171+'Electric Calendarize'!AS$4+1))</f>
        <v>566</v>
      </c>
      <c r="AT171">
        <f ca="1">IF(OR($L171&gt;AT$4,AT$4&gt;$L171+23),"",OFFSET(Electric!$L162,0,-'Electric Calendarize'!$L171+'Electric Calendarize'!AT$4+1))</f>
        <v>692</v>
      </c>
      <c r="AU171">
        <f ca="1">IF(OR($L171&gt;AU$4,AU$4&gt;$L171+23),"",OFFSET(Electric!$L162,0,-'Electric Calendarize'!$L171+'Electric Calendarize'!AU$4+1))</f>
        <v>786</v>
      </c>
      <c r="AV171">
        <f ca="1">IF(OR($L171&gt;AV$4,AV$4&gt;$L171+23),"",OFFSET(Electric!$L162,0,-'Electric Calendarize'!$L171+'Electric Calendarize'!AV$4+1))</f>
        <v>896</v>
      </c>
      <c r="AW171">
        <f ca="1">IF(OR($L171&gt;AW$4,AW$4&gt;$L171+23),"",OFFSET(Electric!$L162,0,-'Electric Calendarize'!$L171+'Electric Calendarize'!AW$4+1))</f>
        <v>785</v>
      </c>
      <c r="AX171">
        <f ca="1">IF(OR($L171&gt;AX$4,AX$4&gt;$L171+23),"",OFFSET(Electric!$L162,0,-'Electric Calendarize'!$L171+'Electric Calendarize'!AX$4+1))</f>
        <v>730</v>
      </c>
      <c r="AY171">
        <f ca="1">IF(OR($L171&gt;AY$4,AY$4&gt;$L171+23),"",OFFSET(Electric!$L162,0,-'Electric Calendarize'!$L171+'Electric Calendarize'!AY$4+1))</f>
        <v>652</v>
      </c>
      <c r="AZ171">
        <f ca="1">IF(OR($L171&gt;AZ$4,AZ$4&gt;$L171+23),"",OFFSET(Electric!$L162,0,-'Electric Calendarize'!$L171+'Electric Calendarize'!AZ$4+1))</f>
        <v>534</v>
      </c>
      <c r="BA171">
        <f ca="1">IF(OR($L171&gt;BA$4,BA$4&gt;$L171+23),"",OFFSET(Electric!$L162,0,-'Electric Calendarize'!$L171+'Electric Calendarize'!BA$4+1))</f>
        <v>479</v>
      </c>
      <c r="BB171">
        <f ca="1">IF(OR($L171&gt;BB$4,BB$4&gt;$L171+23),"",OFFSET(Electric!$L162,0,-'Electric Calendarize'!$L171+'Electric Calendarize'!BB$4+1))</f>
        <v>690</v>
      </c>
      <c r="BC171">
        <f ca="1">IF(OR($L171&gt;BC$4,BC$4&gt;$L171+23),"",OFFSET(Electric!$L162,0,-'Electric Calendarize'!$L171+'Electric Calendarize'!BC$4+1))</f>
        <v>522</v>
      </c>
      <c r="BD171" t="str">
        <f ca="1">IF(OR($L171&gt;BD$4,BD$4&gt;$L171+23),"",OFFSET(Electric!$L162,0,-'Electric Calendarize'!$L171+'Electric Calendarize'!BD$4+1))</f>
        <v/>
      </c>
      <c r="BE171" t="str">
        <f ca="1">IF(OR($L171&gt;BE$4,BE$4&gt;$L171+23),"",OFFSET(Electric!$L162,0,-'Electric Calendarize'!$L171+'Electric Calendarize'!BE$4+1))</f>
        <v/>
      </c>
      <c r="BF171" t="str">
        <f ca="1">IF(OR($L171&gt;BF$4,BF$4&gt;$L171+23),"",OFFSET(Electric!$L162,0,-'Electric Calendarize'!$L171+'Electric Calendarize'!BF$4+1))</f>
        <v/>
      </c>
      <c r="BG171" t="str">
        <f ca="1">IF(OR($L171&gt;BG$4,BG$4&gt;$L171+23),"",OFFSET(Electric!$L162,0,-'Electric Calendarize'!$L171+'Electric Calendarize'!BG$4+1))</f>
        <v/>
      </c>
      <c r="BJ171" s="10" t="s">
        <v>37</v>
      </c>
      <c r="BK171">
        <f t="shared" si="411"/>
        <v>1</v>
      </c>
      <c r="BL171">
        <f t="shared" si="317"/>
        <v>0</v>
      </c>
      <c r="BM171">
        <f t="shared" si="318"/>
        <v>0</v>
      </c>
      <c r="BN171">
        <f t="shared" si="319"/>
        <v>0</v>
      </c>
      <c r="BO171">
        <f t="shared" si="320"/>
        <v>0</v>
      </c>
      <c r="BP171">
        <f t="shared" si="321"/>
        <v>0</v>
      </c>
      <c r="BQ171">
        <f t="shared" si="322"/>
        <v>0</v>
      </c>
      <c r="BR171">
        <f t="shared" si="323"/>
        <v>1</v>
      </c>
      <c r="BS171">
        <f t="shared" si="324"/>
        <v>1</v>
      </c>
      <c r="BT171">
        <f t="shared" si="325"/>
        <v>1</v>
      </c>
      <c r="BU171">
        <f t="shared" si="326"/>
        <v>1</v>
      </c>
      <c r="BV171">
        <f t="shared" si="327"/>
        <v>1</v>
      </c>
      <c r="BW171">
        <f t="shared" si="328"/>
        <v>1</v>
      </c>
      <c r="BX171">
        <f t="shared" si="329"/>
        <v>0</v>
      </c>
      <c r="BY171">
        <f t="shared" si="330"/>
        <v>0</v>
      </c>
      <c r="BZ171">
        <f t="shared" si="331"/>
        <v>0</v>
      </c>
      <c r="CA171">
        <f t="shared" si="332"/>
        <v>0</v>
      </c>
      <c r="CB171">
        <f t="shared" si="333"/>
        <v>0</v>
      </c>
      <c r="CC171">
        <f t="shared" si="334"/>
        <v>0</v>
      </c>
      <c r="CD171">
        <f t="shared" si="335"/>
        <v>1</v>
      </c>
      <c r="CE171">
        <f t="shared" si="336"/>
        <v>1</v>
      </c>
      <c r="CF171">
        <f t="shared" si="337"/>
        <v>1</v>
      </c>
      <c r="CG171">
        <f t="shared" si="338"/>
        <v>1</v>
      </c>
      <c r="CH171">
        <f t="shared" si="339"/>
        <v>1</v>
      </c>
      <c r="CI171">
        <f t="shared" si="340"/>
        <v>1</v>
      </c>
      <c r="CJ171">
        <f t="shared" si="341"/>
        <v>0</v>
      </c>
      <c r="CK171">
        <f t="shared" si="342"/>
        <v>0</v>
      </c>
      <c r="CL171">
        <f t="shared" si="343"/>
        <v>0</v>
      </c>
      <c r="CM171">
        <f t="shared" si="344"/>
        <v>0</v>
      </c>
      <c r="CN171">
        <f t="shared" si="345"/>
        <v>0</v>
      </c>
      <c r="CO171">
        <f t="shared" si="346"/>
        <v>0</v>
      </c>
      <c r="CP171">
        <f t="shared" si="347"/>
        <v>1</v>
      </c>
      <c r="CQ171">
        <f t="shared" si="348"/>
        <v>1</v>
      </c>
      <c r="CR171">
        <f t="shared" si="349"/>
        <v>1</v>
      </c>
      <c r="CS171">
        <f t="shared" si="350"/>
        <v>1</v>
      </c>
      <c r="CT171">
        <f t="shared" si="351"/>
        <v>1</v>
      </c>
      <c r="CU171">
        <f t="shared" si="352"/>
        <v>1</v>
      </c>
      <c r="CV171">
        <f t="shared" si="353"/>
        <v>0</v>
      </c>
      <c r="CW171">
        <f t="shared" si="354"/>
        <v>0</v>
      </c>
      <c r="CX171">
        <f t="shared" si="355"/>
        <v>0</v>
      </c>
      <c r="CY171">
        <f t="shared" si="356"/>
        <v>0</v>
      </c>
      <c r="CZ171">
        <f t="shared" si="357"/>
        <v>0</v>
      </c>
      <c r="DA171">
        <f t="shared" si="358"/>
        <v>0</v>
      </c>
      <c r="DB171">
        <f t="shared" si="359"/>
        <v>1</v>
      </c>
      <c r="DC171">
        <f t="shared" si="360"/>
        <v>1</v>
      </c>
      <c r="DF171" s="10" t="s">
        <v>37</v>
      </c>
      <c r="DG171" t="str">
        <f t="shared" si="416"/>
        <v>2022_9</v>
      </c>
      <c r="DH171" t="str">
        <f t="shared" si="416"/>
        <v>2022_9</v>
      </c>
      <c r="DI171" t="str">
        <f t="shared" si="416"/>
        <v>2022_9</v>
      </c>
      <c r="DJ171" t="str">
        <f t="shared" si="416"/>
        <v>2022_9</v>
      </c>
      <c r="DK171" t="str">
        <f t="shared" si="416"/>
        <v>2022_9</v>
      </c>
      <c r="DL171" t="str">
        <f t="shared" si="416"/>
        <v>2022_9</v>
      </c>
      <c r="DM171" t="str">
        <f t="shared" si="416"/>
        <v>2022_9</v>
      </c>
      <c r="DN171" t="str">
        <f t="shared" si="416"/>
        <v>2022_9</v>
      </c>
      <c r="DO171" t="str">
        <f t="shared" si="416"/>
        <v>2022_9</v>
      </c>
      <c r="DP171" t="str">
        <f t="shared" si="416"/>
        <v>2022_9</v>
      </c>
      <c r="DQ171" t="str">
        <f t="shared" si="416"/>
        <v>2022_9</v>
      </c>
      <c r="DR171" t="str">
        <f t="shared" si="416"/>
        <v>2022_9</v>
      </c>
      <c r="DS171" t="str">
        <f t="shared" si="416"/>
        <v>2022_9</v>
      </c>
      <c r="DT171" t="str">
        <f t="shared" si="416"/>
        <v>2022_9</v>
      </c>
      <c r="DU171" t="str">
        <f t="shared" si="416"/>
        <v>2022_9</v>
      </c>
      <c r="DV171" t="str">
        <f t="shared" ref="DV171:EK186" si="418">$K171</f>
        <v>2022_9</v>
      </c>
      <c r="DW171" t="str">
        <f t="shared" si="418"/>
        <v>2022_9</v>
      </c>
      <c r="DX171" t="str">
        <f t="shared" si="418"/>
        <v>2022_9</v>
      </c>
      <c r="DY171" t="str">
        <f t="shared" si="418"/>
        <v>2022_9</v>
      </c>
      <c r="DZ171" t="str">
        <f t="shared" si="418"/>
        <v>2022_9</v>
      </c>
      <c r="EA171" t="str">
        <f t="shared" si="418"/>
        <v>2022_9</v>
      </c>
      <c r="EB171" t="str">
        <f t="shared" si="418"/>
        <v>2022_9</v>
      </c>
      <c r="EC171" t="str">
        <f t="shared" si="418"/>
        <v>2022_9</v>
      </c>
      <c r="ED171" t="str">
        <f t="shared" si="418"/>
        <v>2022_9</v>
      </c>
      <c r="EE171" t="str">
        <f t="shared" si="418"/>
        <v>2022_9</v>
      </c>
      <c r="EF171" t="str">
        <f t="shared" si="418"/>
        <v>2022_9</v>
      </c>
      <c r="EG171" t="str">
        <f t="shared" si="418"/>
        <v>2022_9</v>
      </c>
      <c r="EH171" t="str">
        <f t="shared" si="418"/>
        <v>2022_9</v>
      </c>
      <c r="EI171" t="str">
        <f t="shared" si="418"/>
        <v>2022_9</v>
      </c>
      <c r="EJ171" t="str">
        <f t="shared" si="418"/>
        <v>2022_9</v>
      </c>
      <c r="EK171" t="str">
        <f t="shared" si="418"/>
        <v>2022_9</v>
      </c>
      <c r="EL171" t="str">
        <f t="shared" ref="EL171:EY186" si="419">$K171</f>
        <v>2022_9</v>
      </c>
      <c r="EM171" t="str">
        <f t="shared" si="417"/>
        <v>2022_9</v>
      </c>
      <c r="EN171" t="str">
        <f t="shared" si="417"/>
        <v>2022_9</v>
      </c>
      <c r="EO171" t="str">
        <f t="shared" si="417"/>
        <v>2022_9</v>
      </c>
      <c r="EP171" t="str">
        <f t="shared" si="417"/>
        <v>2022_9</v>
      </c>
      <c r="EQ171" t="str">
        <f t="shared" si="417"/>
        <v>2022_9</v>
      </c>
      <c r="ER171" t="str">
        <f t="shared" si="417"/>
        <v>2022_9</v>
      </c>
      <c r="ES171" t="str">
        <f t="shared" si="417"/>
        <v>2022_9</v>
      </c>
      <c r="ET171" t="str">
        <f t="shared" si="417"/>
        <v>2022_9</v>
      </c>
      <c r="EU171" t="str">
        <f t="shared" si="417"/>
        <v>2022_9</v>
      </c>
      <c r="EV171" t="str">
        <f t="shared" si="417"/>
        <v>2022_9</v>
      </c>
      <c r="EW171" t="str">
        <f t="shared" si="417"/>
        <v>2022_9</v>
      </c>
      <c r="EX171" t="str">
        <f t="shared" si="417"/>
        <v>2022_9</v>
      </c>
      <c r="EY171" t="str">
        <f t="shared" si="417"/>
        <v>2022_9</v>
      </c>
      <c r="FB171" s="10" t="s">
        <v>37</v>
      </c>
      <c r="FC171">
        <f t="shared" si="413"/>
        <v>0</v>
      </c>
      <c r="FD171">
        <f t="shared" si="363"/>
        <v>0</v>
      </c>
      <c r="FE171">
        <f t="shared" si="364"/>
        <v>0</v>
      </c>
      <c r="FF171">
        <f t="shared" si="365"/>
        <v>0</v>
      </c>
      <c r="FG171">
        <f t="shared" si="366"/>
        <v>0</v>
      </c>
      <c r="FH171">
        <f t="shared" si="367"/>
        <v>0</v>
      </c>
      <c r="FI171">
        <f t="shared" si="368"/>
        <v>0</v>
      </c>
      <c r="FJ171">
        <f t="shared" si="369"/>
        <v>0</v>
      </c>
      <c r="FK171">
        <f t="shared" si="370"/>
        <v>0</v>
      </c>
      <c r="FL171">
        <f t="shared" si="371"/>
        <v>0</v>
      </c>
      <c r="FM171">
        <f t="shared" si="372"/>
        <v>0</v>
      </c>
      <c r="FN171">
        <f t="shared" si="373"/>
        <v>0</v>
      </c>
      <c r="FO171">
        <f t="shared" si="374"/>
        <v>0</v>
      </c>
      <c r="FP171">
        <f t="shared" si="375"/>
        <v>0</v>
      </c>
      <c r="FQ171">
        <f t="shared" si="376"/>
        <v>0</v>
      </c>
      <c r="FR171">
        <f t="shared" si="377"/>
        <v>0</v>
      </c>
      <c r="FS171">
        <f t="shared" si="378"/>
        <v>0</v>
      </c>
      <c r="FT171">
        <f t="shared" si="379"/>
        <v>0</v>
      </c>
      <c r="FU171">
        <f t="shared" si="380"/>
        <v>0</v>
      </c>
      <c r="FV171">
        <f t="shared" si="381"/>
        <v>0</v>
      </c>
      <c r="FW171">
        <f t="shared" si="382"/>
        <v>0</v>
      </c>
      <c r="FX171">
        <f t="shared" si="383"/>
        <v>0</v>
      </c>
      <c r="FY171">
        <f t="shared" si="384"/>
        <v>0</v>
      </c>
      <c r="FZ171">
        <f t="shared" si="385"/>
        <v>0</v>
      </c>
      <c r="GA171">
        <f t="shared" si="386"/>
        <v>0</v>
      </c>
      <c r="GB171">
        <f t="shared" si="387"/>
        <v>0</v>
      </c>
      <c r="GC171">
        <f t="shared" si="388"/>
        <v>0</v>
      </c>
      <c r="GD171">
        <f t="shared" si="389"/>
        <v>0</v>
      </c>
      <c r="GE171">
        <f t="shared" si="390"/>
        <v>0</v>
      </c>
      <c r="GF171">
        <f t="shared" si="391"/>
        <v>1</v>
      </c>
      <c r="GG171">
        <f t="shared" si="392"/>
        <v>1</v>
      </c>
      <c r="GH171">
        <f t="shared" si="393"/>
        <v>1</v>
      </c>
      <c r="GI171">
        <f t="shared" si="394"/>
        <v>1</v>
      </c>
      <c r="GJ171">
        <f t="shared" si="395"/>
        <v>1</v>
      </c>
      <c r="GK171">
        <f t="shared" si="396"/>
        <v>1</v>
      </c>
      <c r="GL171">
        <f t="shared" si="397"/>
        <v>1</v>
      </c>
      <c r="GM171">
        <f t="shared" si="398"/>
        <v>1</v>
      </c>
      <c r="GN171">
        <f t="shared" si="399"/>
        <v>1</v>
      </c>
      <c r="GO171">
        <f t="shared" si="400"/>
        <v>1</v>
      </c>
      <c r="GP171">
        <f t="shared" si="401"/>
        <v>1</v>
      </c>
      <c r="GQ171">
        <f t="shared" si="402"/>
        <v>1</v>
      </c>
      <c r="GR171">
        <f t="shared" si="403"/>
        <v>1</v>
      </c>
      <c r="GS171">
        <f t="shared" si="404"/>
        <v>1</v>
      </c>
      <c r="GT171">
        <f t="shared" si="405"/>
        <v>1</v>
      </c>
      <c r="GU171">
        <f t="shared" si="406"/>
        <v>1</v>
      </c>
      <c r="GX171" s="10"/>
    </row>
    <row r="172" spans="1:206" x14ac:dyDescent="0.3">
      <c r="A172" s="9" t="s">
        <v>124</v>
      </c>
      <c r="B172" s="80"/>
      <c r="C172" s="9">
        <v>3160858006</v>
      </c>
      <c r="D172" s="9" t="s">
        <v>468</v>
      </c>
      <c r="E172" s="9" t="s">
        <v>100</v>
      </c>
      <c r="F172" s="9" t="s">
        <v>35</v>
      </c>
      <c r="G172" s="9" t="s">
        <v>203</v>
      </c>
      <c r="H172" s="10">
        <v>44825</v>
      </c>
      <c r="I172" s="9">
        <f t="shared" si="407"/>
        <v>2022</v>
      </c>
      <c r="J172" s="9">
        <f t="shared" si="408"/>
        <v>9</v>
      </c>
      <c r="K172" s="9" t="str">
        <f t="shared" si="409"/>
        <v>2022_9</v>
      </c>
      <c r="L172">
        <f>MAX(0,VLOOKUP($K172,lookups!$A$1:$B$45,2,0)-12)</f>
        <v>17</v>
      </c>
      <c r="M172" s="40">
        <f t="shared" si="410"/>
        <v>44805</v>
      </c>
      <c r="N172" s="10" t="s">
        <v>37</v>
      </c>
      <c r="O172" t="str">
        <f ca="1">IF(OR($L172&gt;O$4,O$4&gt;$L172+23),"",OFFSET(Electric!$L163,0,-'Electric Calendarize'!$L172+'Electric Calendarize'!O$4+1))</f>
        <v/>
      </c>
      <c r="P172" t="str">
        <f ca="1">IF(OR($L172&gt;P$4,P$4&gt;$L172+23),"",OFFSET(Electric!$L163,0,-'Electric Calendarize'!$L172+'Electric Calendarize'!P$4+1))</f>
        <v/>
      </c>
      <c r="Q172" t="str">
        <f ca="1">IF(OR($L172&gt;Q$4,Q$4&gt;$L172+23),"",OFFSET(Electric!$L163,0,-'Electric Calendarize'!$L172+'Electric Calendarize'!Q$4+1))</f>
        <v/>
      </c>
      <c r="R172" t="str">
        <f ca="1">IF(OR($L172&gt;R$4,R$4&gt;$L172+23),"",OFFSET(Electric!$L163,0,-'Electric Calendarize'!$L172+'Electric Calendarize'!R$4+1))</f>
        <v/>
      </c>
      <c r="S172" t="str">
        <f ca="1">IF(OR($L172&gt;S$4,S$4&gt;$L172+23),"",OFFSET(Electric!$L163,0,-'Electric Calendarize'!$L172+'Electric Calendarize'!S$4+1))</f>
        <v/>
      </c>
      <c r="T172" t="str">
        <f ca="1">IF(OR($L172&gt;T$4,T$4&gt;$L172+23),"",OFFSET(Electric!$L163,0,-'Electric Calendarize'!$L172+'Electric Calendarize'!T$4+1))</f>
        <v/>
      </c>
      <c r="U172" t="str">
        <f ca="1">IF(OR($L172&gt;U$4,U$4&gt;$L172+23),"",OFFSET(Electric!$L163,0,-'Electric Calendarize'!$L172+'Electric Calendarize'!U$4+1))</f>
        <v/>
      </c>
      <c r="V172" t="str">
        <f ca="1">IF(OR($L172&gt;V$4,V$4&gt;$L172+23),"",OFFSET(Electric!$L163,0,-'Electric Calendarize'!$L172+'Electric Calendarize'!V$4+1))</f>
        <v/>
      </c>
      <c r="W172" t="str">
        <f ca="1">IF(OR($L172&gt;W$4,W$4&gt;$L172+23),"",OFFSET(Electric!$L163,0,-'Electric Calendarize'!$L172+'Electric Calendarize'!W$4+1))</f>
        <v/>
      </c>
      <c r="X172" t="str">
        <f ca="1">IF(OR($L172&gt;X$4,X$4&gt;$L172+23),"",OFFSET(Electric!$L163,0,-'Electric Calendarize'!$L172+'Electric Calendarize'!X$4+1))</f>
        <v/>
      </c>
      <c r="Y172" t="str">
        <f ca="1">IF(OR($L172&gt;Y$4,Y$4&gt;$L172+23),"",OFFSET(Electric!$L163,0,-'Electric Calendarize'!$L172+'Electric Calendarize'!Y$4+1))</f>
        <v/>
      </c>
      <c r="Z172" t="str">
        <f ca="1">IF(OR($L172&gt;Z$4,Z$4&gt;$L172+23),"",OFFSET(Electric!$L163,0,-'Electric Calendarize'!$L172+'Electric Calendarize'!Z$4+1))</f>
        <v/>
      </c>
      <c r="AA172" t="str">
        <f ca="1">IF(OR($L172&gt;AA$4,AA$4&gt;$L172+23),"",OFFSET(Electric!$L163,0,-'Electric Calendarize'!$L172+'Electric Calendarize'!AA$4+1))</f>
        <v/>
      </c>
      <c r="AB172" t="str">
        <f ca="1">IF(OR($L172&gt;AB$4,AB$4&gt;$L172+23),"",OFFSET(Electric!$L163,0,-'Electric Calendarize'!$L172+'Electric Calendarize'!AB$4+1))</f>
        <v/>
      </c>
      <c r="AC172" t="str">
        <f ca="1">IF(OR($L172&gt;AC$4,AC$4&gt;$L172+23),"",OFFSET(Electric!$L163,0,-'Electric Calendarize'!$L172+'Electric Calendarize'!AC$4+1))</f>
        <v/>
      </c>
      <c r="AD172" t="str">
        <f ca="1">IF(OR($L172&gt;AD$4,AD$4&gt;$L172+23),"",OFFSET(Electric!$L163,0,-'Electric Calendarize'!$L172+'Electric Calendarize'!AD$4+1))</f>
        <v/>
      </c>
      <c r="AE172" t="str">
        <f ca="1">IF(OR($L172&gt;AE$4,AE$4&gt;$L172+23),"",OFFSET(Electric!$L163,0,-'Electric Calendarize'!$L172+'Electric Calendarize'!AE$4+1))</f>
        <v/>
      </c>
      <c r="AF172">
        <f ca="1">IF(OR($L172&gt;AF$4,AF$4&gt;$L172+23),"",OFFSET(Electric!$L163,0,-'Electric Calendarize'!$L172+'Electric Calendarize'!AF$4+1))</f>
        <v>701</v>
      </c>
      <c r="AG172">
        <f ca="1">IF(OR($L172&gt;AG$4,AG$4&gt;$L172+23),"",OFFSET(Electric!$L163,0,-'Electric Calendarize'!$L172+'Electric Calendarize'!AG$4+1))</f>
        <v>498</v>
      </c>
      <c r="AH172">
        <f ca="1">IF(OR($L172&gt;AH$4,AH$4&gt;$L172+23),"",OFFSET(Electric!$L163,0,-'Electric Calendarize'!$L172+'Electric Calendarize'!AH$4+1))</f>
        <v>840</v>
      </c>
      <c r="AI172">
        <f ca="1">IF(OR($L172&gt;AI$4,AI$4&gt;$L172+23),"",OFFSET(Electric!$L163,0,-'Electric Calendarize'!$L172+'Electric Calendarize'!AI$4+1))</f>
        <v>729</v>
      </c>
      <c r="AJ172">
        <f ca="1">IF(OR($L172&gt;AJ$4,AJ$4&gt;$L172+23),"",OFFSET(Electric!$L163,0,-'Electric Calendarize'!$L172+'Electric Calendarize'!AJ$4+1))</f>
        <v>972</v>
      </c>
      <c r="AK172">
        <f ca="1">IF(OR($L172&gt;AK$4,AK$4&gt;$L172+23),"",OFFSET(Electric!$L163,0,-'Electric Calendarize'!$L172+'Electric Calendarize'!AK$4+1))</f>
        <v>917</v>
      </c>
      <c r="AL172">
        <f ca="1">IF(OR($L172&gt;AL$4,AL$4&gt;$L172+23),"",OFFSET(Electric!$L163,0,-'Electric Calendarize'!$L172+'Electric Calendarize'!AL$4+1))</f>
        <v>976</v>
      </c>
      <c r="AM172">
        <f ca="1">IF(OR($L172&gt;AM$4,AM$4&gt;$L172+23),"",OFFSET(Electric!$L163,0,-'Electric Calendarize'!$L172+'Electric Calendarize'!AM$4+1))</f>
        <v>732</v>
      </c>
      <c r="AN172">
        <f ca="1">IF(OR($L172&gt;AN$4,AN$4&gt;$L172+23),"",OFFSET(Electric!$L163,0,-'Electric Calendarize'!$L172+'Electric Calendarize'!AN$4+1))</f>
        <v>602</v>
      </c>
      <c r="AO172">
        <f ca="1">IF(OR($L172&gt;AO$4,AO$4&gt;$L172+23),"",OFFSET(Electric!$L163,0,-'Electric Calendarize'!$L172+'Electric Calendarize'!AO$4+1))</f>
        <v>712</v>
      </c>
      <c r="AP172">
        <f ca="1">IF(OR($L172&gt;AP$4,AP$4&gt;$L172+23),"",OFFSET(Electric!$L163,0,-'Electric Calendarize'!$L172+'Electric Calendarize'!AP$4+1))</f>
        <v>1087</v>
      </c>
      <c r="AQ172">
        <f ca="1">IF(OR($L172&gt;AQ$4,AQ$4&gt;$L172+23),"",OFFSET(Electric!$L163,0,-'Electric Calendarize'!$L172+'Electric Calendarize'!AQ$4+1))</f>
        <v>1149</v>
      </c>
      <c r="AR172">
        <f ca="1">IF(OR($L172&gt;AR$4,AR$4&gt;$L172+23),"",OFFSET(Electric!$L163,0,-'Electric Calendarize'!$L172+'Electric Calendarize'!AR$4+1))</f>
        <v>705</v>
      </c>
      <c r="AS172">
        <f ca="1">IF(OR($L172&gt;AS$4,AS$4&gt;$L172+23),"",OFFSET(Electric!$L163,0,-'Electric Calendarize'!$L172+'Electric Calendarize'!AS$4+1))</f>
        <v>1079</v>
      </c>
      <c r="AT172">
        <f ca="1">IF(OR($L172&gt;AT$4,AT$4&gt;$L172+23),"",OFFSET(Electric!$L163,0,-'Electric Calendarize'!$L172+'Electric Calendarize'!AT$4+1))</f>
        <v>2012</v>
      </c>
      <c r="AU172">
        <f ca="1">IF(OR($L172&gt;AU$4,AU$4&gt;$L172+23),"",OFFSET(Electric!$L163,0,-'Electric Calendarize'!$L172+'Electric Calendarize'!AU$4+1))</f>
        <v>2924</v>
      </c>
      <c r="AV172">
        <f ca="1">IF(OR($L172&gt;AV$4,AV$4&gt;$L172+23),"",OFFSET(Electric!$L163,0,-'Electric Calendarize'!$L172+'Electric Calendarize'!AV$4+1))</f>
        <v>2590</v>
      </c>
      <c r="AW172">
        <f ca="1">IF(OR($L172&gt;AW$4,AW$4&gt;$L172+23),"",OFFSET(Electric!$L163,0,-'Electric Calendarize'!$L172+'Electric Calendarize'!AW$4+1))</f>
        <v>3035</v>
      </c>
      <c r="AX172">
        <f ca="1">IF(OR($L172&gt;AX$4,AX$4&gt;$L172+23),"",OFFSET(Electric!$L163,0,-'Electric Calendarize'!$L172+'Electric Calendarize'!AX$4+1))</f>
        <v>2405</v>
      </c>
      <c r="AY172">
        <f ca="1">IF(OR($L172&gt;AY$4,AY$4&gt;$L172+23),"",OFFSET(Electric!$L163,0,-'Electric Calendarize'!$L172+'Electric Calendarize'!AY$4+1))</f>
        <v>1448</v>
      </c>
      <c r="AZ172">
        <f ca="1">IF(OR($L172&gt;AZ$4,AZ$4&gt;$L172+23),"",OFFSET(Electric!$L163,0,-'Electric Calendarize'!$L172+'Electric Calendarize'!AZ$4+1))</f>
        <v>858</v>
      </c>
      <c r="BA172">
        <f ca="1">IF(OR($L172&gt;BA$4,BA$4&gt;$L172+23),"",OFFSET(Electric!$L163,0,-'Electric Calendarize'!$L172+'Electric Calendarize'!BA$4+1))</f>
        <v>856</v>
      </c>
      <c r="BB172">
        <f ca="1">IF(OR($L172&gt;BB$4,BB$4&gt;$L172+23),"",OFFSET(Electric!$L163,0,-'Electric Calendarize'!$L172+'Electric Calendarize'!BB$4+1))</f>
        <v>1364</v>
      </c>
      <c r="BC172">
        <f ca="1">IF(OR($L172&gt;BC$4,BC$4&gt;$L172+23),"",OFFSET(Electric!$L163,0,-'Electric Calendarize'!$L172+'Electric Calendarize'!BC$4+1))</f>
        <v>1220</v>
      </c>
      <c r="BD172" t="str">
        <f ca="1">IF(OR($L172&gt;BD$4,BD$4&gt;$L172+23),"",OFFSET(Electric!$L163,0,-'Electric Calendarize'!$L172+'Electric Calendarize'!BD$4+1))</f>
        <v/>
      </c>
      <c r="BE172" t="str">
        <f ca="1">IF(OR($L172&gt;BE$4,BE$4&gt;$L172+23),"",OFFSET(Electric!$L163,0,-'Electric Calendarize'!$L172+'Electric Calendarize'!BE$4+1))</f>
        <v/>
      </c>
      <c r="BF172" t="str">
        <f ca="1">IF(OR($L172&gt;BF$4,BF$4&gt;$L172+23),"",OFFSET(Electric!$L163,0,-'Electric Calendarize'!$L172+'Electric Calendarize'!BF$4+1))</f>
        <v/>
      </c>
      <c r="BG172" t="str">
        <f ca="1">IF(OR($L172&gt;BG$4,BG$4&gt;$L172+23),"",OFFSET(Electric!$L163,0,-'Electric Calendarize'!$L172+'Electric Calendarize'!BG$4+1))</f>
        <v/>
      </c>
      <c r="BJ172" s="10" t="s">
        <v>37</v>
      </c>
      <c r="BK172">
        <f t="shared" si="411"/>
        <v>1</v>
      </c>
      <c r="BL172">
        <f t="shared" si="317"/>
        <v>0</v>
      </c>
      <c r="BM172">
        <f t="shared" si="318"/>
        <v>0</v>
      </c>
      <c r="BN172">
        <f t="shared" si="319"/>
        <v>0</v>
      </c>
      <c r="BO172">
        <f t="shared" si="320"/>
        <v>0</v>
      </c>
      <c r="BP172">
        <f t="shared" si="321"/>
        <v>0</v>
      </c>
      <c r="BQ172">
        <f t="shared" si="322"/>
        <v>0</v>
      </c>
      <c r="BR172">
        <f t="shared" si="323"/>
        <v>1</v>
      </c>
      <c r="BS172">
        <f t="shared" si="324"/>
        <v>1</v>
      </c>
      <c r="BT172">
        <f t="shared" si="325"/>
        <v>1</v>
      </c>
      <c r="BU172">
        <f t="shared" si="326"/>
        <v>1</v>
      </c>
      <c r="BV172">
        <f t="shared" si="327"/>
        <v>1</v>
      </c>
      <c r="BW172">
        <f t="shared" si="328"/>
        <v>1</v>
      </c>
      <c r="BX172">
        <f t="shared" si="329"/>
        <v>0</v>
      </c>
      <c r="BY172">
        <f t="shared" si="330"/>
        <v>0</v>
      </c>
      <c r="BZ172">
        <f t="shared" si="331"/>
        <v>0</v>
      </c>
      <c r="CA172">
        <f t="shared" si="332"/>
        <v>0</v>
      </c>
      <c r="CB172">
        <f t="shared" si="333"/>
        <v>0</v>
      </c>
      <c r="CC172">
        <f t="shared" si="334"/>
        <v>0</v>
      </c>
      <c r="CD172">
        <f t="shared" si="335"/>
        <v>1</v>
      </c>
      <c r="CE172">
        <f t="shared" si="336"/>
        <v>1</v>
      </c>
      <c r="CF172">
        <f t="shared" si="337"/>
        <v>1</v>
      </c>
      <c r="CG172">
        <f t="shared" si="338"/>
        <v>1</v>
      </c>
      <c r="CH172">
        <f t="shared" si="339"/>
        <v>1</v>
      </c>
      <c r="CI172">
        <f t="shared" si="340"/>
        <v>1</v>
      </c>
      <c r="CJ172">
        <f t="shared" si="341"/>
        <v>0</v>
      </c>
      <c r="CK172">
        <f t="shared" si="342"/>
        <v>0</v>
      </c>
      <c r="CL172">
        <f t="shared" si="343"/>
        <v>0</v>
      </c>
      <c r="CM172">
        <f t="shared" si="344"/>
        <v>0</v>
      </c>
      <c r="CN172">
        <f t="shared" si="345"/>
        <v>0</v>
      </c>
      <c r="CO172">
        <f t="shared" si="346"/>
        <v>0</v>
      </c>
      <c r="CP172">
        <f t="shared" si="347"/>
        <v>1</v>
      </c>
      <c r="CQ172">
        <f t="shared" si="348"/>
        <v>1</v>
      </c>
      <c r="CR172">
        <f t="shared" si="349"/>
        <v>1</v>
      </c>
      <c r="CS172">
        <f t="shared" si="350"/>
        <v>1</v>
      </c>
      <c r="CT172">
        <f t="shared" si="351"/>
        <v>1</v>
      </c>
      <c r="CU172">
        <f t="shared" si="352"/>
        <v>1</v>
      </c>
      <c r="CV172">
        <f t="shared" si="353"/>
        <v>0</v>
      </c>
      <c r="CW172">
        <f t="shared" si="354"/>
        <v>0</v>
      </c>
      <c r="CX172">
        <f t="shared" si="355"/>
        <v>0</v>
      </c>
      <c r="CY172">
        <f t="shared" si="356"/>
        <v>0</v>
      </c>
      <c r="CZ172">
        <f t="shared" si="357"/>
        <v>0</v>
      </c>
      <c r="DA172">
        <f t="shared" si="358"/>
        <v>0</v>
      </c>
      <c r="DB172">
        <f t="shared" si="359"/>
        <v>1</v>
      </c>
      <c r="DC172">
        <f t="shared" si="360"/>
        <v>1</v>
      </c>
      <c r="DF172" s="10" t="s">
        <v>37</v>
      </c>
      <c r="DG172" t="str">
        <f t="shared" ref="DG172:DV187" si="420">$K172</f>
        <v>2022_9</v>
      </c>
      <c r="DH172" t="str">
        <f t="shared" si="420"/>
        <v>2022_9</v>
      </c>
      <c r="DI172" t="str">
        <f t="shared" si="420"/>
        <v>2022_9</v>
      </c>
      <c r="DJ172" t="str">
        <f t="shared" si="420"/>
        <v>2022_9</v>
      </c>
      <c r="DK172" t="str">
        <f t="shared" si="420"/>
        <v>2022_9</v>
      </c>
      <c r="DL172" t="str">
        <f t="shared" si="420"/>
        <v>2022_9</v>
      </c>
      <c r="DM172" t="str">
        <f t="shared" si="420"/>
        <v>2022_9</v>
      </c>
      <c r="DN172" t="str">
        <f t="shared" si="420"/>
        <v>2022_9</v>
      </c>
      <c r="DO172" t="str">
        <f t="shared" si="420"/>
        <v>2022_9</v>
      </c>
      <c r="DP172" t="str">
        <f t="shared" si="420"/>
        <v>2022_9</v>
      </c>
      <c r="DQ172" t="str">
        <f t="shared" si="420"/>
        <v>2022_9</v>
      </c>
      <c r="DR172" t="str">
        <f t="shared" si="420"/>
        <v>2022_9</v>
      </c>
      <c r="DS172" t="str">
        <f t="shared" si="420"/>
        <v>2022_9</v>
      </c>
      <c r="DT172" t="str">
        <f t="shared" si="420"/>
        <v>2022_9</v>
      </c>
      <c r="DU172" t="str">
        <f t="shared" si="420"/>
        <v>2022_9</v>
      </c>
      <c r="DV172" t="str">
        <f t="shared" si="418"/>
        <v>2022_9</v>
      </c>
      <c r="DW172" t="str">
        <f t="shared" si="418"/>
        <v>2022_9</v>
      </c>
      <c r="DX172" t="str">
        <f t="shared" si="418"/>
        <v>2022_9</v>
      </c>
      <c r="DY172" t="str">
        <f t="shared" si="418"/>
        <v>2022_9</v>
      </c>
      <c r="DZ172" t="str">
        <f t="shared" si="418"/>
        <v>2022_9</v>
      </c>
      <c r="EA172" t="str">
        <f t="shared" si="418"/>
        <v>2022_9</v>
      </c>
      <c r="EB172" t="str">
        <f t="shared" si="418"/>
        <v>2022_9</v>
      </c>
      <c r="EC172" t="str">
        <f t="shared" si="418"/>
        <v>2022_9</v>
      </c>
      <c r="ED172" t="str">
        <f t="shared" si="418"/>
        <v>2022_9</v>
      </c>
      <c r="EE172" t="str">
        <f t="shared" si="418"/>
        <v>2022_9</v>
      </c>
      <c r="EF172" t="str">
        <f t="shared" si="418"/>
        <v>2022_9</v>
      </c>
      <c r="EG172" t="str">
        <f t="shared" si="418"/>
        <v>2022_9</v>
      </c>
      <c r="EH172" t="str">
        <f t="shared" si="418"/>
        <v>2022_9</v>
      </c>
      <c r="EI172" t="str">
        <f t="shared" si="418"/>
        <v>2022_9</v>
      </c>
      <c r="EJ172" t="str">
        <f t="shared" si="418"/>
        <v>2022_9</v>
      </c>
      <c r="EK172" t="str">
        <f t="shared" si="418"/>
        <v>2022_9</v>
      </c>
      <c r="EL172" t="str">
        <f t="shared" si="419"/>
        <v>2022_9</v>
      </c>
      <c r="EM172" t="str">
        <f t="shared" si="417"/>
        <v>2022_9</v>
      </c>
      <c r="EN172" t="str">
        <f t="shared" si="417"/>
        <v>2022_9</v>
      </c>
      <c r="EO172" t="str">
        <f t="shared" si="417"/>
        <v>2022_9</v>
      </c>
      <c r="EP172" t="str">
        <f t="shared" si="417"/>
        <v>2022_9</v>
      </c>
      <c r="EQ172" t="str">
        <f t="shared" si="417"/>
        <v>2022_9</v>
      </c>
      <c r="ER172" t="str">
        <f t="shared" si="417"/>
        <v>2022_9</v>
      </c>
      <c r="ES172" t="str">
        <f t="shared" si="417"/>
        <v>2022_9</v>
      </c>
      <c r="ET172" t="str">
        <f t="shared" si="417"/>
        <v>2022_9</v>
      </c>
      <c r="EU172" t="str">
        <f t="shared" si="417"/>
        <v>2022_9</v>
      </c>
      <c r="EV172" t="str">
        <f t="shared" si="417"/>
        <v>2022_9</v>
      </c>
      <c r="EW172" t="str">
        <f t="shared" si="417"/>
        <v>2022_9</v>
      </c>
      <c r="EX172" t="str">
        <f t="shared" si="417"/>
        <v>2022_9</v>
      </c>
      <c r="EY172" t="str">
        <f t="shared" si="417"/>
        <v>2022_9</v>
      </c>
      <c r="FB172" s="10" t="s">
        <v>37</v>
      </c>
      <c r="FC172">
        <f t="shared" si="413"/>
        <v>0</v>
      </c>
      <c r="FD172">
        <f t="shared" si="363"/>
        <v>0</v>
      </c>
      <c r="FE172">
        <f t="shared" si="364"/>
        <v>0</v>
      </c>
      <c r="FF172">
        <f t="shared" si="365"/>
        <v>0</v>
      </c>
      <c r="FG172">
        <f t="shared" si="366"/>
        <v>0</v>
      </c>
      <c r="FH172">
        <f t="shared" si="367"/>
        <v>0</v>
      </c>
      <c r="FI172">
        <f t="shared" si="368"/>
        <v>0</v>
      </c>
      <c r="FJ172">
        <f t="shared" si="369"/>
        <v>0</v>
      </c>
      <c r="FK172">
        <f t="shared" si="370"/>
        <v>0</v>
      </c>
      <c r="FL172">
        <f t="shared" si="371"/>
        <v>0</v>
      </c>
      <c r="FM172">
        <f t="shared" si="372"/>
        <v>0</v>
      </c>
      <c r="FN172">
        <f t="shared" si="373"/>
        <v>0</v>
      </c>
      <c r="FO172">
        <f t="shared" si="374"/>
        <v>0</v>
      </c>
      <c r="FP172">
        <f t="shared" si="375"/>
        <v>0</v>
      </c>
      <c r="FQ172">
        <f t="shared" si="376"/>
        <v>0</v>
      </c>
      <c r="FR172">
        <f t="shared" si="377"/>
        <v>0</v>
      </c>
      <c r="FS172">
        <f t="shared" si="378"/>
        <v>0</v>
      </c>
      <c r="FT172">
        <f t="shared" si="379"/>
        <v>0</v>
      </c>
      <c r="FU172">
        <f t="shared" si="380"/>
        <v>0</v>
      </c>
      <c r="FV172">
        <f t="shared" si="381"/>
        <v>0</v>
      </c>
      <c r="FW172">
        <f t="shared" si="382"/>
        <v>0</v>
      </c>
      <c r="FX172">
        <f t="shared" si="383"/>
        <v>0</v>
      </c>
      <c r="FY172">
        <f t="shared" si="384"/>
        <v>0</v>
      </c>
      <c r="FZ172">
        <f t="shared" si="385"/>
        <v>0</v>
      </c>
      <c r="GA172">
        <f t="shared" si="386"/>
        <v>0</v>
      </c>
      <c r="GB172">
        <f t="shared" si="387"/>
        <v>0</v>
      </c>
      <c r="GC172">
        <f t="shared" si="388"/>
        <v>0</v>
      </c>
      <c r="GD172">
        <f t="shared" si="389"/>
        <v>0</v>
      </c>
      <c r="GE172">
        <f t="shared" si="390"/>
        <v>0</v>
      </c>
      <c r="GF172">
        <f t="shared" si="391"/>
        <v>1</v>
      </c>
      <c r="GG172">
        <f t="shared" si="392"/>
        <v>1</v>
      </c>
      <c r="GH172">
        <f t="shared" si="393"/>
        <v>1</v>
      </c>
      <c r="GI172">
        <f t="shared" si="394"/>
        <v>1</v>
      </c>
      <c r="GJ172">
        <f t="shared" si="395"/>
        <v>1</v>
      </c>
      <c r="GK172">
        <f t="shared" si="396"/>
        <v>1</v>
      </c>
      <c r="GL172">
        <f t="shared" si="397"/>
        <v>1</v>
      </c>
      <c r="GM172">
        <f t="shared" si="398"/>
        <v>1</v>
      </c>
      <c r="GN172">
        <f t="shared" si="399"/>
        <v>1</v>
      </c>
      <c r="GO172">
        <f t="shared" si="400"/>
        <v>1</v>
      </c>
      <c r="GP172">
        <f t="shared" si="401"/>
        <v>1</v>
      </c>
      <c r="GQ172">
        <f t="shared" si="402"/>
        <v>1</v>
      </c>
      <c r="GR172">
        <f t="shared" si="403"/>
        <v>1</v>
      </c>
      <c r="GS172">
        <f t="shared" si="404"/>
        <v>1</v>
      </c>
      <c r="GT172">
        <f t="shared" si="405"/>
        <v>1</v>
      </c>
      <c r="GU172">
        <f t="shared" si="406"/>
        <v>1</v>
      </c>
      <c r="GX172" s="10"/>
    </row>
    <row r="173" spans="1:206" x14ac:dyDescent="0.3">
      <c r="A173" s="28" t="s">
        <v>124</v>
      </c>
      <c r="B173" s="81"/>
      <c r="C173" s="28">
        <v>3120824005</v>
      </c>
      <c r="D173" s="28" t="s">
        <v>469</v>
      </c>
      <c r="E173" s="28" t="s">
        <v>39</v>
      </c>
      <c r="F173" s="28" t="s">
        <v>35</v>
      </c>
      <c r="G173" s="28" t="s">
        <v>204</v>
      </c>
      <c r="H173" s="10">
        <v>44830</v>
      </c>
      <c r="I173" s="9">
        <f t="shared" si="407"/>
        <v>2022</v>
      </c>
      <c r="J173" s="9">
        <f t="shared" si="408"/>
        <v>9</v>
      </c>
      <c r="K173" s="9" t="str">
        <f t="shared" si="409"/>
        <v>2022_9</v>
      </c>
      <c r="L173">
        <f>MAX(0,VLOOKUP($K173,lookups!$A$1:$B$45,2,0)-12)</f>
        <v>17</v>
      </c>
      <c r="M173" s="40">
        <f t="shared" si="410"/>
        <v>44805</v>
      </c>
      <c r="N173" s="10" t="s">
        <v>37</v>
      </c>
      <c r="O173" t="str">
        <f ca="1">IF(OR($L173&gt;O$4,O$4&gt;$L173+23),"",OFFSET(Electric!$L164,0,-'Electric Calendarize'!$L173+'Electric Calendarize'!O$4+1))</f>
        <v/>
      </c>
      <c r="P173" t="str">
        <f ca="1">IF(OR($L173&gt;P$4,P$4&gt;$L173+23),"",OFFSET(Electric!$L164,0,-'Electric Calendarize'!$L173+'Electric Calendarize'!P$4+1))</f>
        <v/>
      </c>
      <c r="Q173" t="str">
        <f ca="1">IF(OR($L173&gt;Q$4,Q$4&gt;$L173+23),"",OFFSET(Electric!$L164,0,-'Electric Calendarize'!$L173+'Electric Calendarize'!Q$4+1))</f>
        <v/>
      </c>
      <c r="R173" t="str">
        <f ca="1">IF(OR($L173&gt;R$4,R$4&gt;$L173+23),"",OFFSET(Electric!$L164,0,-'Electric Calendarize'!$L173+'Electric Calendarize'!R$4+1))</f>
        <v/>
      </c>
      <c r="S173" t="str">
        <f ca="1">IF(OR($L173&gt;S$4,S$4&gt;$L173+23),"",OFFSET(Electric!$L164,0,-'Electric Calendarize'!$L173+'Electric Calendarize'!S$4+1))</f>
        <v/>
      </c>
      <c r="T173" t="str">
        <f ca="1">IF(OR($L173&gt;T$4,T$4&gt;$L173+23),"",OFFSET(Electric!$L164,0,-'Electric Calendarize'!$L173+'Electric Calendarize'!T$4+1))</f>
        <v/>
      </c>
      <c r="U173" t="str">
        <f ca="1">IF(OR($L173&gt;U$4,U$4&gt;$L173+23),"",OFFSET(Electric!$L164,0,-'Electric Calendarize'!$L173+'Electric Calendarize'!U$4+1))</f>
        <v/>
      </c>
      <c r="V173" t="str">
        <f ca="1">IF(OR($L173&gt;V$4,V$4&gt;$L173+23),"",OFFSET(Electric!$L164,0,-'Electric Calendarize'!$L173+'Electric Calendarize'!V$4+1))</f>
        <v/>
      </c>
      <c r="W173" t="str">
        <f ca="1">IF(OR($L173&gt;W$4,W$4&gt;$L173+23),"",OFFSET(Electric!$L164,0,-'Electric Calendarize'!$L173+'Electric Calendarize'!W$4+1))</f>
        <v/>
      </c>
      <c r="X173" t="str">
        <f ca="1">IF(OR($L173&gt;X$4,X$4&gt;$L173+23),"",OFFSET(Electric!$L164,0,-'Electric Calendarize'!$L173+'Electric Calendarize'!X$4+1))</f>
        <v/>
      </c>
      <c r="Y173" t="str">
        <f ca="1">IF(OR($L173&gt;Y$4,Y$4&gt;$L173+23),"",OFFSET(Electric!$L164,0,-'Electric Calendarize'!$L173+'Electric Calendarize'!Y$4+1))</f>
        <v/>
      </c>
      <c r="Z173" t="str">
        <f ca="1">IF(OR($L173&gt;Z$4,Z$4&gt;$L173+23),"",OFFSET(Electric!$L164,0,-'Electric Calendarize'!$L173+'Electric Calendarize'!Z$4+1))</f>
        <v/>
      </c>
      <c r="AA173" t="str">
        <f ca="1">IF(OR($L173&gt;AA$4,AA$4&gt;$L173+23),"",OFFSET(Electric!$L164,0,-'Electric Calendarize'!$L173+'Electric Calendarize'!AA$4+1))</f>
        <v/>
      </c>
      <c r="AB173" t="str">
        <f ca="1">IF(OR($L173&gt;AB$4,AB$4&gt;$L173+23),"",OFFSET(Electric!$L164,0,-'Electric Calendarize'!$L173+'Electric Calendarize'!AB$4+1))</f>
        <v/>
      </c>
      <c r="AC173" t="str">
        <f ca="1">IF(OR($L173&gt;AC$4,AC$4&gt;$L173+23),"",OFFSET(Electric!$L164,0,-'Electric Calendarize'!$L173+'Electric Calendarize'!AC$4+1))</f>
        <v/>
      </c>
      <c r="AD173" t="str">
        <f ca="1">IF(OR($L173&gt;AD$4,AD$4&gt;$L173+23),"",OFFSET(Electric!$L164,0,-'Electric Calendarize'!$L173+'Electric Calendarize'!AD$4+1))</f>
        <v/>
      </c>
      <c r="AE173" t="str">
        <f ca="1">IF(OR($L173&gt;AE$4,AE$4&gt;$L173+23),"",OFFSET(Electric!$L164,0,-'Electric Calendarize'!$L173+'Electric Calendarize'!AE$4+1))</f>
        <v/>
      </c>
      <c r="AF173">
        <f ca="1">IF(OR($L173&gt;AF$4,AF$4&gt;$L173+23),"",OFFSET(Electric!$L164,0,-'Electric Calendarize'!$L173+'Electric Calendarize'!AF$4+1))</f>
        <v>367</v>
      </c>
      <c r="AG173">
        <f ca="1">IF(OR($L173&gt;AG$4,AG$4&gt;$L173+23),"",OFFSET(Electric!$L164,0,-'Electric Calendarize'!$L173+'Electric Calendarize'!AG$4+1))</f>
        <v>311</v>
      </c>
      <c r="AH173">
        <f ca="1">IF(OR($L173&gt;AH$4,AH$4&gt;$L173+23),"",OFFSET(Electric!$L164,0,-'Electric Calendarize'!$L173+'Electric Calendarize'!AH$4+1))</f>
        <v>331</v>
      </c>
      <c r="AI173">
        <f ca="1">IF(OR($L173&gt;AI$4,AI$4&gt;$L173+23),"",OFFSET(Electric!$L164,0,-'Electric Calendarize'!$L173+'Electric Calendarize'!AI$4+1))</f>
        <v>398</v>
      </c>
      <c r="AJ173">
        <f ca="1">IF(OR($L173&gt;AJ$4,AJ$4&gt;$L173+23),"",OFFSET(Electric!$L164,0,-'Electric Calendarize'!$L173+'Electric Calendarize'!AJ$4+1))</f>
        <v>430</v>
      </c>
      <c r="AK173">
        <f ca="1">IF(OR($L173&gt;AK$4,AK$4&gt;$L173+23),"",OFFSET(Electric!$L164,0,-'Electric Calendarize'!$L173+'Electric Calendarize'!AK$4+1))</f>
        <v>444</v>
      </c>
      <c r="AL173">
        <f ca="1">IF(OR($L173&gt;AL$4,AL$4&gt;$L173+23),"",OFFSET(Electric!$L164,0,-'Electric Calendarize'!$L173+'Electric Calendarize'!AL$4+1))</f>
        <v>341</v>
      </c>
      <c r="AM173">
        <f ca="1">IF(OR($L173&gt;AM$4,AM$4&gt;$L173+23),"",OFFSET(Electric!$L164,0,-'Electric Calendarize'!$L173+'Electric Calendarize'!AM$4+1))</f>
        <v>276</v>
      </c>
      <c r="AN173">
        <f ca="1">IF(OR($L173&gt;AN$4,AN$4&gt;$L173+23),"",OFFSET(Electric!$L164,0,-'Electric Calendarize'!$L173+'Electric Calendarize'!AN$4+1))</f>
        <v>337</v>
      </c>
      <c r="AO173">
        <f ca="1">IF(OR($L173&gt;AO$4,AO$4&gt;$L173+23),"",OFFSET(Electric!$L164,0,-'Electric Calendarize'!$L173+'Electric Calendarize'!AO$4+1))</f>
        <v>281</v>
      </c>
      <c r="AP173">
        <f ca="1">IF(OR($L173&gt;AP$4,AP$4&gt;$L173+23),"",OFFSET(Electric!$L164,0,-'Electric Calendarize'!$L173+'Electric Calendarize'!AP$4+1))</f>
        <v>299</v>
      </c>
      <c r="AQ173">
        <f ca="1">IF(OR($L173&gt;AQ$4,AQ$4&gt;$L173+23),"",OFFSET(Electric!$L164,0,-'Electric Calendarize'!$L173+'Electric Calendarize'!AQ$4+1))</f>
        <v>349</v>
      </c>
      <c r="AR173">
        <f ca="1">IF(OR($L173&gt;AR$4,AR$4&gt;$L173+23),"",OFFSET(Electric!$L164,0,-'Electric Calendarize'!$L173+'Electric Calendarize'!AR$4+1))</f>
        <v>3008</v>
      </c>
      <c r="AS173">
        <f ca="1">IF(OR($L173&gt;AS$4,AS$4&gt;$L173+23),"",OFFSET(Electric!$L164,0,-'Electric Calendarize'!$L173+'Electric Calendarize'!AS$4+1))</f>
        <v>302</v>
      </c>
      <c r="AT173">
        <f ca="1">IF(OR($L173&gt;AT$4,AT$4&gt;$L173+23),"",OFFSET(Electric!$L164,0,-'Electric Calendarize'!$L173+'Electric Calendarize'!AT$4+1))</f>
        <v>444</v>
      </c>
      <c r="AU173">
        <f ca="1">IF(OR($L173&gt;AU$4,AU$4&gt;$L173+23),"",OFFSET(Electric!$L164,0,-'Electric Calendarize'!$L173+'Electric Calendarize'!AU$4+1))</f>
        <v>701</v>
      </c>
      <c r="AV173">
        <f ca="1">IF(OR($L173&gt;AV$4,AV$4&gt;$L173+23),"",OFFSET(Electric!$L164,0,-'Electric Calendarize'!$L173+'Electric Calendarize'!AV$4+1))</f>
        <v>1099</v>
      </c>
      <c r="AW173">
        <f ca="1">IF(OR($L173&gt;AW$4,AW$4&gt;$L173+23),"",OFFSET(Electric!$L164,0,-'Electric Calendarize'!$L173+'Electric Calendarize'!AW$4+1))</f>
        <v>892</v>
      </c>
      <c r="AX173">
        <f ca="1">IF(OR($L173&gt;AX$4,AX$4&gt;$L173+23),"",OFFSET(Electric!$L164,0,-'Electric Calendarize'!$L173+'Electric Calendarize'!AX$4+1))</f>
        <v>897</v>
      </c>
      <c r="AY173">
        <f ca="1">IF(OR($L173&gt;AY$4,AY$4&gt;$L173+23),"",OFFSET(Electric!$L164,0,-'Electric Calendarize'!$L173+'Electric Calendarize'!AY$4+1))</f>
        <v>442</v>
      </c>
      <c r="AZ173">
        <f ca="1">IF(OR($L173&gt;AZ$4,AZ$4&gt;$L173+23),"",OFFSET(Electric!$L164,0,-'Electric Calendarize'!$L173+'Electric Calendarize'!AZ$4+1))</f>
        <v>303</v>
      </c>
      <c r="BA173">
        <f ca="1">IF(OR($L173&gt;BA$4,BA$4&gt;$L173+23),"",OFFSET(Electric!$L164,0,-'Electric Calendarize'!$L173+'Electric Calendarize'!BA$4+1))</f>
        <v>176</v>
      </c>
      <c r="BB173">
        <f ca="1">IF(OR($L173&gt;BB$4,BB$4&gt;$L173+23),"",OFFSET(Electric!$L164,0,-'Electric Calendarize'!$L173+'Electric Calendarize'!BB$4+1))</f>
        <v>267</v>
      </c>
      <c r="BC173">
        <f ca="1">IF(OR($L173&gt;BC$4,BC$4&gt;$L173+23),"",OFFSET(Electric!$L164,0,-'Electric Calendarize'!$L173+'Electric Calendarize'!BC$4+1))</f>
        <v>176</v>
      </c>
      <c r="BD173" t="str">
        <f ca="1">IF(OR($L173&gt;BD$4,BD$4&gt;$L173+23),"",OFFSET(Electric!$L164,0,-'Electric Calendarize'!$L173+'Electric Calendarize'!BD$4+1))</f>
        <v/>
      </c>
      <c r="BE173" t="str">
        <f ca="1">IF(OR($L173&gt;BE$4,BE$4&gt;$L173+23),"",OFFSET(Electric!$L164,0,-'Electric Calendarize'!$L173+'Electric Calendarize'!BE$4+1))</f>
        <v/>
      </c>
      <c r="BF173" t="str">
        <f ca="1">IF(OR($L173&gt;BF$4,BF$4&gt;$L173+23),"",OFFSET(Electric!$L164,0,-'Electric Calendarize'!$L173+'Electric Calendarize'!BF$4+1))</f>
        <v/>
      </c>
      <c r="BG173" t="str">
        <f ca="1">IF(OR($L173&gt;BG$4,BG$4&gt;$L173+23),"",OFFSET(Electric!$L164,0,-'Electric Calendarize'!$L173+'Electric Calendarize'!BG$4+1))</f>
        <v/>
      </c>
      <c r="BJ173" s="10" t="s">
        <v>37</v>
      </c>
      <c r="BK173">
        <f t="shared" si="411"/>
        <v>1</v>
      </c>
      <c r="BL173">
        <f t="shared" si="317"/>
        <v>0</v>
      </c>
      <c r="BM173">
        <f t="shared" si="318"/>
        <v>0</v>
      </c>
      <c r="BN173">
        <f t="shared" si="319"/>
        <v>0</v>
      </c>
      <c r="BO173">
        <f t="shared" si="320"/>
        <v>0</v>
      </c>
      <c r="BP173">
        <f t="shared" si="321"/>
        <v>0</v>
      </c>
      <c r="BQ173">
        <f t="shared" si="322"/>
        <v>0</v>
      </c>
      <c r="BR173">
        <f t="shared" si="323"/>
        <v>1</v>
      </c>
      <c r="BS173">
        <f t="shared" si="324"/>
        <v>1</v>
      </c>
      <c r="BT173">
        <f t="shared" si="325"/>
        <v>1</v>
      </c>
      <c r="BU173">
        <f t="shared" si="326"/>
        <v>1</v>
      </c>
      <c r="BV173">
        <f t="shared" si="327"/>
        <v>1</v>
      </c>
      <c r="BW173">
        <f t="shared" si="328"/>
        <v>1</v>
      </c>
      <c r="BX173">
        <f t="shared" si="329"/>
        <v>0</v>
      </c>
      <c r="BY173">
        <f t="shared" si="330"/>
        <v>0</v>
      </c>
      <c r="BZ173">
        <f t="shared" si="331"/>
        <v>0</v>
      </c>
      <c r="CA173">
        <f t="shared" si="332"/>
        <v>0</v>
      </c>
      <c r="CB173">
        <f t="shared" si="333"/>
        <v>0</v>
      </c>
      <c r="CC173">
        <f t="shared" si="334"/>
        <v>0</v>
      </c>
      <c r="CD173">
        <f t="shared" si="335"/>
        <v>1</v>
      </c>
      <c r="CE173">
        <f t="shared" si="336"/>
        <v>1</v>
      </c>
      <c r="CF173">
        <f t="shared" si="337"/>
        <v>1</v>
      </c>
      <c r="CG173">
        <f t="shared" si="338"/>
        <v>1</v>
      </c>
      <c r="CH173">
        <f t="shared" si="339"/>
        <v>1</v>
      </c>
      <c r="CI173">
        <f t="shared" si="340"/>
        <v>1</v>
      </c>
      <c r="CJ173">
        <f t="shared" si="341"/>
        <v>0</v>
      </c>
      <c r="CK173">
        <f t="shared" si="342"/>
        <v>0</v>
      </c>
      <c r="CL173">
        <f t="shared" si="343"/>
        <v>0</v>
      </c>
      <c r="CM173">
        <f t="shared" si="344"/>
        <v>0</v>
      </c>
      <c r="CN173">
        <f t="shared" si="345"/>
        <v>0</v>
      </c>
      <c r="CO173">
        <f t="shared" si="346"/>
        <v>0</v>
      </c>
      <c r="CP173">
        <f t="shared" si="347"/>
        <v>1</v>
      </c>
      <c r="CQ173">
        <f t="shared" si="348"/>
        <v>1</v>
      </c>
      <c r="CR173">
        <f t="shared" si="349"/>
        <v>1</v>
      </c>
      <c r="CS173">
        <f t="shared" si="350"/>
        <v>1</v>
      </c>
      <c r="CT173">
        <f t="shared" si="351"/>
        <v>1</v>
      </c>
      <c r="CU173">
        <f t="shared" si="352"/>
        <v>1</v>
      </c>
      <c r="CV173">
        <f t="shared" si="353"/>
        <v>0</v>
      </c>
      <c r="CW173">
        <f t="shared" si="354"/>
        <v>0</v>
      </c>
      <c r="CX173">
        <f t="shared" si="355"/>
        <v>0</v>
      </c>
      <c r="CY173">
        <f t="shared" si="356"/>
        <v>0</v>
      </c>
      <c r="CZ173">
        <f t="shared" si="357"/>
        <v>0</v>
      </c>
      <c r="DA173">
        <f t="shared" si="358"/>
        <v>0</v>
      </c>
      <c r="DB173">
        <f t="shared" si="359"/>
        <v>1</v>
      </c>
      <c r="DC173">
        <f t="shared" si="360"/>
        <v>1</v>
      </c>
      <c r="DF173" s="10" t="s">
        <v>37</v>
      </c>
      <c r="DG173" t="str">
        <f t="shared" si="420"/>
        <v>2022_9</v>
      </c>
      <c r="DH173" t="str">
        <f t="shared" si="420"/>
        <v>2022_9</v>
      </c>
      <c r="DI173" t="str">
        <f t="shared" si="420"/>
        <v>2022_9</v>
      </c>
      <c r="DJ173" t="str">
        <f t="shared" si="420"/>
        <v>2022_9</v>
      </c>
      <c r="DK173" t="str">
        <f t="shared" si="420"/>
        <v>2022_9</v>
      </c>
      <c r="DL173" t="str">
        <f t="shared" si="420"/>
        <v>2022_9</v>
      </c>
      <c r="DM173" t="str">
        <f t="shared" si="420"/>
        <v>2022_9</v>
      </c>
      <c r="DN173" t="str">
        <f t="shared" si="420"/>
        <v>2022_9</v>
      </c>
      <c r="DO173" t="str">
        <f t="shared" si="420"/>
        <v>2022_9</v>
      </c>
      <c r="DP173" t="str">
        <f t="shared" si="420"/>
        <v>2022_9</v>
      </c>
      <c r="DQ173" t="str">
        <f t="shared" si="420"/>
        <v>2022_9</v>
      </c>
      <c r="DR173" t="str">
        <f t="shared" si="420"/>
        <v>2022_9</v>
      </c>
      <c r="DS173" t="str">
        <f t="shared" si="420"/>
        <v>2022_9</v>
      </c>
      <c r="DT173" t="str">
        <f t="shared" si="420"/>
        <v>2022_9</v>
      </c>
      <c r="DU173" t="str">
        <f t="shared" si="420"/>
        <v>2022_9</v>
      </c>
      <c r="DV173" t="str">
        <f t="shared" si="418"/>
        <v>2022_9</v>
      </c>
      <c r="DW173" t="str">
        <f t="shared" si="418"/>
        <v>2022_9</v>
      </c>
      <c r="DX173" t="str">
        <f t="shared" si="418"/>
        <v>2022_9</v>
      </c>
      <c r="DY173" t="str">
        <f t="shared" si="418"/>
        <v>2022_9</v>
      </c>
      <c r="DZ173" t="str">
        <f t="shared" si="418"/>
        <v>2022_9</v>
      </c>
      <c r="EA173" t="str">
        <f t="shared" si="418"/>
        <v>2022_9</v>
      </c>
      <c r="EB173" t="str">
        <f t="shared" si="418"/>
        <v>2022_9</v>
      </c>
      <c r="EC173" t="str">
        <f t="shared" si="418"/>
        <v>2022_9</v>
      </c>
      <c r="ED173" t="str">
        <f t="shared" si="418"/>
        <v>2022_9</v>
      </c>
      <c r="EE173" t="str">
        <f t="shared" si="418"/>
        <v>2022_9</v>
      </c>
      <c r="EF173" t="str">
        <f t="shared" si="418"/>
        <v>2022_9</v>
      </c>
      <c r="EG173" t="str">
        <f t="shared" si="418"/>
        <v>2022_9</v>
      </c>
      <c r="EH173" t="str">
        <f t="shared" si="418"/>
        <v>2022_9</v>
      </c>
      <c r="EI173" t="str">
        <f t="shared" si="418"/>
        <v>2022_9</v>
      </c>
      <c r="EJ173" t="str">
        <f t="shared" si="418"/>
        <v>2022_9</v>
      </c>
      <c r="EK173" t="str">
        <f t="shared" si="418"/>
        <v>2022_9</v>
      </c>
      <c r="EL173" t="str">
        <f t="shared" si="419"/>
        <v>2022_9</v>
      </c>
      <c r="EM173" t="str">
        <f t="shared" si="417"/>
        <v>2022_9</v>
      </c>
      <c r="EN173" t="str">
        <f t="shared" si="417"/>
        <v>2022_9</v>
      </c>
      <c r="EO173" t="str">
        <f t="shared" si="417"/>
        <v>2022_9</v>
      </c>
      <c r="EP173" t="str">
        <f t="shared" si="417"/>
        <v>2022_9</v>
      </c>
      <c r="EQ173" t="str">
        <f t="shared" si="417"/>
        <v>2022_9</v>
      </c>
      <c r="ER173" t="str">
        <f t="shared" si="417"/>
        <v>2022_9</v>
      </c>
      <c r="ES173" t="str">
        <f t="shared" si="417"/>
        <v>2022_9</v>
      </c>
      <c r="ET173" t="str">
        <f t="shared" si="417"/>
        <v>2022_9</v>
      </c>
      <c r="EU173" t="str">
        <f t="shared" si="417"/>
        <v>2022_9</v>
      </c>
      <c r="EV173" t="str">
        <f t="shared" si="417"/>
        <v>2022_9</v>
      </c>
      <c r="EW173" t="str">
        <f t="shared" si="417"/>
        <v>2022_9</v>
      </c>
      <c r="EX173" t="str">
        <f t="shared" si="417"/>
        <v>2022_9</v>
      </c>
      <c r="EY173" t="str">
        <f t="shared" si="417"/>
        <v>2022_9</v>
      </c>
      <c r="FB173" s="10" t="s">
        <v>37</v>
      </c>
      <c r="FC173">
        <f t="shared" si="413"/>
        <v>0</v>
      </c>
      <c r="FD173">
        <f t="shared" si="363"/>
        <v>0</v>
      </c>
      <c r="FE173">
        <f t="shared" si="364"/>
        <v>0</v>
      </c>
      <c r="FF173">
        <f t="shared" si="365"/>
        <v>0</v>
      </c>
      <c r="FG173">
        <f t="shared" si="366"/>
        <v>0</v>
      </c>
      <c r="FH173">
        <f t="shared" si="367"/>
        <v>0</v>
      </c>
      <c r="FI173">
        <f t="shared" si="368"/>
        <v>0</v>
      </c>
      <c r="FJ173">
        <f t="shared" si="369"/>
        <v>0</v>
      </c>
      <c r="FK173">
        <f t="shared" si="370"/>
        <v>0</v>
      </c>
      <c r="FL173">
        <f t="shared" si="371"/>
        <v>0</v>
      </c>
      <c r="FM173">
        <f t="shared" si="372"/>
        <v>0</v>
      </c>
      <c r="FN173">
        <f t="shared" si="373"/>
        <v>0</v>
      </c>
      <c r="FO173">
        <f t="shared" si="374"/>
        <v>0</v>
      </c>
      <c r="FP173">
        <f t="shared" si="375"/>
        <v>0</v>
      </c>
      <c r="FQ173">
        <f t="shared" si="376"/>
        <v>0</v>
      </c>
      <c r="FR173">
        <f t="shared" si="377"/>
        <v>0</v>
      </c>
      <c r="FS173">
        <f t="shared" si="378"/>
        <v>0</v>
      </c>
      <c r="FT173">
        <f t="shared" si="379"/>
        <v>0</v>
      </c>
      <c r="FU173">
        <f t="shared" si="380"/>
        <v>0</v>
      </c>
      <c r="FV173">
        <f t="shared" si="381"/>
        <v>0</v>
      </c>
      <c r="FW173">
        <f t="shared" si="382"/>
        <v>0</v>
      </c>
      <c r="FX173">
        <f t="shared" si="383"/>
        <v>0</v>
      </c>
      <c r="FY173">
        <f t="shared" si="384"/>
        <v>0</v>
      </c>
      <c r="FZ173">
        <f t="shared" si="385"/>
        <v>0</v>
      </c>
      <c r="GA173">
        <f t="shared" si="386"/>
        <v>0</v>
      </c>
      <c r="GB173">
        <f t="shared" si="387"/>
        <v>0</v>
      </c>
      <c r="GC173">
        <f t="shared" si="388"/>
        <v>0</v>
      </c>
      <c r="GD173">
        <f t="shared" si="389"/>
        <v>0</v>
      </c>
      <c r="GE173">
        <f t="shared" si="390"/>
        <v>0</v>
      </c>
      <c r="GF173">
        <f t="shared" si="391"/>
        <v>1</v>
      </c>
      <c r="GG173">
        <f t="shared" si="392"/>
        <v>1</v>
      </c>
      <c r="GH173">
        <f t="shared" si="393"/>
        <v>1</v>
      </c>
      <c r="GI173">
        <f t="shared" si="394"/>
        <v>1</v>
      </c>
      <c r="GJ173">
        <f t="shared" si="395"/>
        <v>1</v>
      </c>
      <c r="GK173">
        <f t="shared" si="396"/>
        <v>1</v>
      </c>
      <c r="GL173">
        <f t="shared" si="397"/>
        <v>1</v>
      </c>
      <c r="GM173">
        <f t="shared" si="398"/>
        <v>1</v>
      </c>
      <c r="GN173">
        <f t="shared" si="399"/>
        <v>1</v>
      </c>
      <c r="GO173">
        <f t="shared" si="400"/>
        <v>1</v>
      </c>
      <c r="GP173">
        <f t="shared" si="401"/>
        <v>1</v>
      </c>
      <c r="GQ173">
        <f t="shared" si="402"/>
        <v>1</v>
      </c>
      <c r="GR173">
        <f t="shared" si="403"/>
        <v>1</v>
      </c>
      <c r="GS173">
        <f t="shared" si="404"/>
        <v>1</v>
      </c>
      <c r="GT173">
        <f t="shared" si="405"/>
        <v>1</v>
      </c>
      <c r="GU173">
        <f t="shared" si="406"/>
        <v>1</v>
      </c>
      <c r="GX173" s="10"/>
    </row>
    <row r="174" spans="1:206" x14ac:dyDescent="0.3">
      <c r="A174" s="28" t="s">
        <v>33</v>
      </c>
      <c r="B174" s="81"/>
      <c r="C174" s="28">
        <v>3121884001</v>
      </c>
      <c r="D174" s="28" t="s">
        <v>419</v>
      </c>
      <c r="E174" s="28" t="s">
        <v>39</v>
      </c>
      <c r="F174" s="28" t="s">
        <v>35</v>
      </c>
      <c r="G174" s="28" t="s">
        <v>205</v>
      </c>
      <c r="H174" s="10">
        <v>44833</v>
      </c>
      <c r="I174" s="9">
        <f t="shared" si="407"/>
        <v>2022</v>
      </c>
      <c r="J174" s="9">
        <f t="shared" si="408"/>
        <v>9</v>
      </c>
      <c r="K174" s="9" t="str">
        <f t="shared" si="409"/>
        <v>2022_9</v>
      </c>
      <c r="L174">
        <f>MAX(0,VLOOKUP($K174,lookups!$A$1:$B$45,2,0)-12)</f>
        <v>17</v>
      </c>
      <c r="M174" s="40">
        <f t="shared" si="410"/>
        <v>44805</v>
      </c>
      <c r="N174" s="10" t="s">
        <v>37</v>
      </c>
      <c r="O174" t="str">
        <f ca="1">IF(OR($L174&gt;O$4,O$4&gt;$L174+23),"",OFFSET(Electric!$L165,0,-'Electric Calendarize'!$L174+'Electric Calendarize'!O$4+1))</f>
        <v/>
      </c>
      <c r="P174" t="str">
        <f ca="1">IF(OR($L174&gt;P$4,P$4&gt;$L174+23),"",OFFSET(Electric!$L165,0,-'Electric Calendarize'!$L174+'Electric Calendarize'!P$4+1))</f>
        <v/>
      </c>
      <c r="Q174" t="str">
        <f ca="1">IF(OR($L174&gt;Q$4,Q$4&gt;$L174+23),"",OFFSET(Electric!$L165,0,-'Electric Calendarize'!$L174+'Electric Calendarize'!Q$4+1))</f>
        <v/>
      </c>
      <c r="R174" t="str">
        <f ca="1">IF(OR($L174&gt;R$4,R$4&gt;$L174+23),"",OFFSET(Electric!$L165,0,-'Electric Calendarize'!$L174+'Electric Calendarize'!R$4+1))</f>
        <v/>
      </c>
      <c r="S174" t="str">
        <f ca="1">IF(OR($L174&gt;S$4,S$4&gt;$L174+23),"",OFFSET(Electric!$L165,0,-'Electric Calendarize'!$L174+'Electric Calendarize'!S$4+1))</f>
        <v/>
      </c>
      <c r="T174" t="str">
        <f ca="1">IF(OR($L174&gt;T$4,T$4&gt;$L174+23),"",OFFSET(Electric!$L165,0,-'Electric Calendarize'!$L174+'Electric Calendarize'!T$4+1))</f>
        <v/>
      </c>
      <c r="U174" t="str">
        <f ca="1">IF(OR($L174&gt;U$4,U$4&gt;$L174+23),"",OFFSET(Electric!$L165,0,-'Electric Calendarize'!$L174+'Electric Calendarize'!U$4+1))</f>
        <v/>
      </c>
      <c r="V174" t="str">
        <f ca="1">IF(OR($L174&gt;V$4,V$4&gt;$L174+23),"",OFFSET(Electric!$L165,0,-'Electric Calendarize'!$L174+'Electric Calendarize'!V$4+1))</f>
        <v/>
      </c>
      <c r="W174" t="str">
        <f ca="1">IF(OR($L174&gt;W$4,W$4&gt;$L174+23),"",OFFSET(Electric!$L165,0,-'Electric Calendarize'!$L174+'Electric Calendarize'!W$4+1))</f>
        <v/>
      </c>
      <c r="X174" t="str">
        <f ca="1">IF(OR($L174&gt;X$4,X$4&gt;$L174+23),"",OFFSET(Electric!$L165,0,-'Electric Calendarize'!$L174+'Electric Calendarize'!X$4+1))</f>
        <v/>
      </c>
      <c r="Y174" t="str">
        <f ca="1">IF(OR($L174&gt;Y$4,Y$4&gt;$L174+23),"",OFFSET(Electric!$L165,0,-'Electric Calendarize'!$L174+'Electric Calendarize'!Y$4+1))</f>
        <v/>
      </c>
      <c r="Z174" t="str">
        <f ca="1">IF(OR($L174&gt;Z$4,Z$4&gt;$L174+23),"",OFFSET(Electric!$L165,0,-'Electric Calendarize'!$L174+'Electric Calendarize'!Z$4+1))</f>
        <v/>
      </c>
      <c r="AA174" t="str">
        <f ca="1">IF(OR($L174&gt;AA$4,AA$4&gt;$L174+23),"",OFFSET(Electric!$L165,0,-'Electric Calendarize'!$L174+'Electric Calendarize'!AA$4+1))</f>
        <v/>
      </c>
      <c r="AB174" t="str">
        <f ca="1">IF(OR($L174&gt;AB$4,AB$4&gt;$L174+23),"",OFFSET(Electric!$L165,0,-'Electric Calendarize'!$L174+'Electric Calendarize'!AB$4+1))</f>
        <v/>
      </c>
      <c r="AC174" t="str">
        <f ca="1">IF(OR($L174&gt;AC$4,AC$4&gt;$L174+23),"",OFFSET(Electric!$L165,0,-'Electric Calendarize'!$L174+'Electric Calendarize'!AC$4+1))</f>
        <v/>
      </c>
      <c r="AD174" t="str">
        <f ca="1">IF(OR($L174&gt;AD$4,AD$4&gt;$L174+23),"",OFFSET(Electric!$L165,0,-'Electric Calendarize'!$L174+'Electric Calendarize'!AD$4+1))</f>
        <v/>
      </c>
      <c r="AE174" t="str">
        <f ca="1">IF(OR($L174&gt;AE$4,AE$4&gt;$L174+23),"",OFFSET(Electric!$L165,0,-'Electric Calendarize'!$L174+'Electric Calendarize'!AE$4+1))</f>
        <v/>
      </c>
      <c r="AF174">
        <f ca="1">IF(OR($L174&gt;AF$4,AF$4&gt;$L174+23),"",OFFSET(Electric!$L165,0,-'Electric Calendarize'!$L174+'Electric Calendarize'!AF$4+1))</f>
        <v>531</v>
      </c>
      <c r="AG174">
        <f ca="1">IF(OR($L174&gt;AG$4,AG$4&gt;$L174+23),"",OFFSET(Electric!$L165,0,-'Electric Calendarize'!$L174+'Electric Calendarize'!AG$4+1))</f>
        <v>478</v>
      </c>
      <c r="AH174">
        <f ca="1">IF(OR($L174&gt;AH$4,AH$4&gt;$L174+23),"",OFFSET(Electric!$L165,0,-'Electric Calendarize'!$L174+'Electric Calendarize'!AH$4+1))</f>
        <v>535</v>
      </c>
      <c r="AI174">
        <f ca="1">IF(OR($L174&gt;AI$4,AI$4&gt;$L174+23),"",OFFSET(Electric!$L165,0,-'Electric Calendarize'!$L174+'Electric Calendarize'!AI$4+1))</f>
        <v>585</v>
      </c>
      <c r="AJ174">
        <f ca="1">IF(OR($L174&gt;AJ$4,AJ$4&gt;$L174+23),"",OFFSET(Electric!$L165,0,-'Electric Calendarize'!$L174+'Electric Calendarize'!AJ$4+1))</f>
        <v>926</v>
      </c>
      <c r="AK174">
        <f ca="1">IF(OR($L174&gt;AK$4,AK$4&gt;$L174+23),"",OFFSET(Electric!$L165,0,-'Electric Calendarize'!$L174+'Electric Calendarize'!AK$4+1))</f>
        <v>776</v>
      </c>
      <c r="AL174">
        <f ca="1">IF(OR($L174&gt;AL$4,AL$4&gt;$L174+23),"",OFFSET(Electric!$L165,0,-'Electric Calendarize'!$L174+'Electric Calendarize'!AL$4+1))</f>
        <v>651</v>
      </c>
      <c r="AM174">
        <f ca="1">IF(OR($L174&gt;AM$4,AM$4&gt;$L174+23),"",OFFSET(Electric!$L165,0,-'Electric Calendarize'!$L174+'Electric Calendarize'!AM$4+1))</f>
        <v>627</v>
      </c>
      <c r="AN174">
        <f ca="1">IF(OR($L174&gt;AN$4,AN$4&gt;$L174+23),"",OFFSET(Electric!$L165,0,-'Electric Calendarize'!$L174+'Electric Calendarize'!AN$4+1))</f>
        <v>626</v>
      </c>
      <c r="AO174">
        <f ca="1">IF(OR($L174&gt;AO$4,AO$4&gt;$L174+23),"",OFFSET(Electric!$L165,0,-'Electric Calendarize'!$L174+'Electric Calendarize'!AO$4+1))</f>
        <v>607</v>
      </c>
      <c r="AP174">
        <f ca="1">IF(OR($L174&gt;AP$4,AP$4&gt;$L174+23),"",OFFSET(Electric!$L165,0,-'Electric Calendarize'!$L174+'Electric Calendarize'!AP$4+1))</f>
        <v>594</v>
      </c>
      <c r="AQ174">
        <f ca="1">IF(OR($L174&gt;AQ$4,AQ$4&gt;$L174+23),"",OFFSET(Electric!$L165,0,-'Electric Calendarize'!$L174+'Electric Calendarize'!AQ$4+1))</f>
        <v>738</v>
      </c>
      <c r="AR174">
        <f ca="1">IF(OR($L174&gt;AR$4,AR$4&gt;$L174+23),"",OFFSET(Electric!$L165,0,-'Electric Calendarize'!$L174+'Electric Calendarize'!AR$4+1))</f>
        <v>621</v>
      </c>
      <c r="AS174">
        <f ca="1">IF(OR($L174&gt;AS$4,AS$4&gt;$L174+23),"",OFFSET(Electric!$L165,0,-'Electric Calendarize'!$L174+'Electric Calendarize'!AS$4+1))</f>
        <v>480</v>
      </c>
      <c r="AT174">
        <f ca="1">IF(OR($L174&gt;AT$4,AT$4&gt;$L174+23),"",OFFSET(Electric!$L165,0,-'Electric Calendarize'!$L174+'Electric Calendarize'!AT$4+1))</f>
        <v>787</v>
      </c>
      <c r="AU174">
        <f ca="1">IF(OR($L174&gt;AU$4,AU$4&gt;$L174+23),"",OFFSET(Electric!$L165,0,-'Electric Calendarize'!$L174+'Electric Calendarize'!AU$4+1))</f>
        <v>633</v>
      </c>
      <c r="AV174">
        <f ca="1">IF(OR($L174&gt;AV$4,AV$4&gt;$L174+23),"",OFFSET(Electric!$L165,0,-'Electric Calendarize'!$L174+'Electric Calendarize'!AV$4+1))</f>
        <v>682</v>
      </c>
      <c r="AW174">
        <f ca="1">IF(OR($L174&gt;AW$4,AW$4&gt;$L174+23),"",OFFSET(Electric!$L165,0,-'Electric Calendarize'!$L174+'Electric Calendarize'!AW$4+1))</f>
        <v>614</v>
      </c>
      <c r="AX174">
        <f ca="1">IF(OR($L174&gt;AX$4,AX$4&gt;$L174+23),"",OFFSET(Electric!$L165,0,-'Electric Calendarize'!$L174+'Electric Calendarize'!AX$4+1))</f>
        <v>584</v>
      </c>
      <c r="AY174">
        <f ca="1">IF(OR($L174&gt;AY$4,AY$4&gt;$L174+23),"",OFFSET(Electric!$L165,0,-'Electric Calendarize'!$L174+'Electric Calendarize'!AY$4+1))</f>
        <v>559</v>
      </c>
      <c r="AZ174">
        <f ca="1">IF(OR($L174&gt;AZ$4,AZ$4&gt;$L174+23),"",OFFSET(Electric!$L165,0,-'Electric Calendarize'!$L174+'Electric Calendarize'!AZ$4+1))</f>
        <v>653</v>
      </c>
      <c r="BA174">
        <f ca="1">IF(OR($L174&gt;BA$4,BA$4&gt;$L174+23),"",OFFSET(Electric!$L165,0,-'Electric Calendarize'!$L174+'Electric Calendarize'!BA$4+1))</f>
        <v>698</v>
      </c>
      <c r="BB174">
        <f ca="1">IF(OR($L174&gt;BB$4,BB$4&gt;$L174+23),"",OFFSET(Electric!$L165,0,-'Electric Calendarize'!$L174+'Electric Calendarize'!BB$4+1))</f>
        <v>658</v>
      </c>
      <c r="BC174">
        <f ca="1">IF(OR($L174&gt;BC$4,BC$4&gt;$L174+23),"",OFFSET(Electric!$L165,0,-'Electric Calendarize'!$L174+'Electric Calendarize'!BC$4+1))</f>
        <v>664</v>
      </c>
      <c r="BD174" t="str">
        <f ca="1">IF(OR($L174&gt;BD$4,BD$4&gt;$L174+23),"",OFFSET(Electric!$L165,0,-'Electric Calendarize'!$L174+'Electric Calendarize'!BD$4+1))</f>
        <v/>
      </c>
      <c r="BE174" t="str">
        <f ca="1">IF(OR($L174&gt;BE$4,BE$4&gt;$L174+23),"",OFFSET(Electric!$L165,0,-'Electric Calendarize'!$L174+'Electric Calendarize'!BE$4+1))</f>
        <v/>
      </c>
      <c r="BF174" t="str">
        <f ca="1">IF(OR($L174&gt;BF$4,BF$4&gt;$L174+23),"",OFFSET(Electric!$L165,0,-'Electric Calendarize'!$L174+'Electric Calendarize'!BF$4+1))</f>
        <v/>
      </c>
      <c r="BG174" t="str">
        <f ca="1">IF(OR($L174&gt;BG$4,BG$4&gt;$L174+23),"",OFFSET(Electric!$L165,0,-'Electric Calendarize'!$L174+'Electric Calendarize'!BG$4+1))</f>
        <v/>
      </c>
      <c r="BJ174" s="10" t="s">
        <v>37</v>
      </c>
      <c r="BK174">
        <f t="shared" si="411"/>
        <v>1</v>
      </c>
      <c r="BL174">
        <f t="shared" si="317"/>
        <v>0</v>
      </c>
      <c r="BM174">
        <f t="shared" si="318"/>
        <v>0</v>
      </c>
      <c r="BN174">
        <f t="shared" si="319"/>
        <v>0</v>
      </c>
      <c r="BO174">
        <f t="shared" si="320"/>
        <v>0</v>
      </c>
      <c r="BP174">
        <f t="shared" si="321"/>
        <v>0</v>
      </c>
      <c r="BQ174">
        <f t="shared" si="322"/>
        <v>0</v>
      </c>
      <c r="BR174">
        <f t="shared" si="323"/>
        <v>1</v>
      </c>
      <c r="BS174">
        <f t="shared" si="324"/>
        <v>1</v>
      </c>
      <c r="BT174">
        <f t="shared" si="325"/>
        <v>1</v>
      </c>
      <c r="BU174">
        <f t="shared" si="326"/>
        <v>1</v>
      </c>
      <c r="BV174">
        <f t="shared" si="327"/>
        <v>1</v>
      </c>
      <c r="BW174">
        <f t="shared" si="328"/>
        <v>1</v>
      </c>
      <c r="BX174">
        <f t="shared" si="329"/>
        <v>0</v>
      </c>
      <c r="BY174">
        <f t="shared" si="330"/>
        <v>0</v>
      </c>
      <c r="BZ174">
        <f t="shared" si="331"/>
        <v>0</v>
      </c>
      <c r="CA174">
        <f t="shared" si="332"/>
        <v>0</v>
      </c>
      <c r="CB174">
        <f t="shared" si="333"/>
        <v>0</v>
      </c>
      <c r="CC174">
        <f t="shared" si="334"/>
        <v>0</v>
      </c>
      <c r="CD174">
        <f t="shared" si="335"/>
        <v>1</v>
      </c>
      <c r="CE174">
        <f t="shared" si="336"/>
        <v>1</v>
      </c>
      <c r="CF174">
        <f t="shared" si="337"/>
        <v>1</v>
      </c>
      <c r="CG174">
        <f t="shared" si="338"/>
        <v>1</v>
      </c>
      <c r="CH174">
        <f t="shared" si="339"/>
        <v>1</v>
      </c>
      <c r="CI174">
        <f t="shared" si="340"/>
        <v>1</v>
      </c>
      <c r="CJ174">
        <f t="shared" si="341"/>
        <v>0</v>
      </c>
      <c r="CK174">
        <f t="shared" si="342"/>
        <v>0</v>
      </c>
      <c r="CL174">
        <f t="shared" si="343"/>
        <v>0</v>
      </c>
      <c r="CM174">
        <f t="shared" si="344"/>
        <v>0</v>
      </c>
      <c r="CN174">
        <f t="shared" si="345"/>
        <v>0</v>
      </c>
      <c r="CO174">
        <f t="shared" si="346"/>
        <v>0</v>
      </c>
      <c r="CP174">
        <f t="shared" si="347"/>
        <v>1</v>
      </c>
      <c r="CQ174">
        <f t="shared" si="348"/>
        <v>1</v>
      </c>
      <c r="CR174">
        <f t="shared" si="349"/>
        <v>1</v>
      </c>
      <c r="CS174">
        <f t="shared" si="350"/>
        <v>1</v>
      </c>
      <c r="CT174">
        <f t="shared" si="351"/>
        <v>1</v>
      </c>
      <c r="CU174">
        <f t="shared" si="352"/>
        <v>1</v>
      </c>
      <c r="CV174">
        <f t="shared" si="353"/>
        <v>0</v>
      </c>
      <c r="CW174">
        <f t="shared" si="354"/>
        <v>0</v>
      </c>
      <c r="CX174">
        <f t="shared" si="355"/>
        <v>0</v>
      </c>
      <c r="CY174">
        <f t="shared" si="356"/>
        <v>0</v>
      </c>
      <c r="CZ174">
        <f t="shared" si="357"/>
        <v>0</v>
      </c>
      <c r="DA174">
        <f t="shared" si="358"/>
        <v>0</v>
      </c>
      <c r="DB174">
        <f t="shared" si="359"/>
        <v>1</v>
      </c>
      <c r="DC174">
        <f t="shared" si="360"/>
        <v>1</v>
      </c>
      <c r="DF174" s="10" t="s">
        <v>37</v>
      </c>
      <c r="DG174" t="str">
        <f t="shared" si="420"/>
        <v>2022_9</v>
      </c>
      <c r="DH174" t="str">
        <f t="shared" si="420"/>
        <v>2022_9</v>
      </c>
      <c r="DI174" t="str">
        <f t="shared" si="420"/>
        <v>2022_9</v>
      </c>
      <c r="DJ174" t="str">
        <f t="shared" si="420"/>
        <v>2022_9</v>
      </c>
      <c r="DK174" t="str">
        <f t="shared" si="420"/>
        <v>2022_9</v>
      </c>
      <c r="DL174" t="str">
        <f t="shared" si="420"/>
        <v>2022_9</v>
      </c>
      <c r="DM174" t="str">
        <f t="shared" si="420"/>
        <v>2022_9</v>
      </c>
      <c r="DN174" t="str">
        <f t="shared" si="420"/>
        <v>2022_9</v>
      </c>
      <c r="DO174" t="str">
        <f t="shared" si="420"/>
        <v>2022_9</v>
      </c>
      <c r="DP174" t="str">
        <f t="shared" si="420"/>
        <v>2022_9</v>
      </c>
      <c r="DQ174" t="str">
        <f t="shared" si="420"/>
        <v>2022_9</v>
      </c>
      <c r="DR174" t="str">
        <f t="shared" si="420"/>
        <v>2022_9</v>
      </c>
      <c r="DS174" t="str">
        <f t="shared" si="420"/>
        <v>2022_9</v>
      </c>
      <c r="DT174" t="str">
        <f t="shared" si="420"/>
        <v>2022_9</v>
      </c>
      <c r="DU174" t="str">
        <f t="shared" si="420"/>
        <v>2022_9</v>
      </c>
      <c r="DV174" t="str">
        <f t="shared" si="418"/>
        <v>2022_9</v>
      </c>
      <c r="DW174" t="str">
        <f t="shared" si="418"/>
        <v>2022_9</v>
      </c>
      <c r="DX174" t="str">
        <f t="shared" si="418"/>
        <v>2022_9</v>
      </c>
      <c r="DY174" t="str">
        <f t="shared" si="418"/>
        <v>2022_9</v>
      </c>
      <c r="DZ174" t="str">
        <f t="shared" si="418"/>
        <v>2022_9</v>
      </c>
      <c r="EA174" t="str">
        <f t="shared" si="418"/>
        <v>2022_9</v>
      </c>
      <c r="EB174" t="str">
        <f t="shared" si="418"/>
        <v>2022_9</v>
      </c>
      <c r="EC174" t="str">
        <f t="shared" si="418"/>
        <v>2022_9</v>
      </c>
      <c r="ED174" t="str">
        <f t="shared" si="418"/>
        <v>2022_9</v>
      </c>
      <c r="EE174" t="str">
        <f t="shared" si="418"/>
        <v>2022_9</v>
      </c>
      <c r="EF174" t="str">
        <f t="shared" si="418"/>
        <v>2022_9</v>
      </c>
      <c r="EG174" t="str">
        <f t="shared" si="418"/>
        <v>2022_9</v>
      </c>
      <c r="EH174" t="str">
        <f t="shared" si="418"/>
        <v>2022_9</v>
      </c>
      <c r="EI174" t="str">
        <f t="shared" si="418"/>
        <v>2022_9</v>
      </c>
      <c r="EJ174" t="str">
        <f t="shared" si="418"/>
        <v>2022_9</v>
      </c>
      <c r="EK174" t="str">
        <f t="shared" si="418"/>
        <v>2022_9</v>
      </c>
      <c r="EL174" t="str">
        <f t="shared" si="419"/>
        <v>2022_9</v>
      </c>
      <c r="EM174" t="str">
        <f t="shared" si="417"/>
        <v>2022_9</v>
      </c>
      <c r="EN174" t="str">
        <f t="shared" si="417"/>
        <v>2022_9</v>
      </c>
      <c r="EO174" t="str">
        <f t="shared" si="417"/>
        <v>2022_9</v>
      </c>
      <c r="EP174" t="str">
        <f t="shared" si="417"/>
        <v>2022_9</v>
      </c>
      <c r="EQ174" t="str">
        <f t="shared" si="417"/>
        <v>2022_9</v>
      </c>
      <c r="ER174" t="str">
        <f t="shared" si="417"/>
        <v>2022_9</v>
      </c>
      <c r="ES174" t="str">
        <f t="shared" si="417"/>
        <v>2022_9</v>
      </c>
      <c r="ET174" t="str">
        <f t="shared" si="417"/>
        <v>2022_9</v>
      </c>
      <c r="EU174" t="str">
        <f t="shared" si="417"/>
        <v>2022_9</v>
      </c>
      <c r="EV174" t="str">
        <f t="shared" si="417"/>
        <v>2022_9</v>
      </c>
      <c r="EW174" t="str">
        <f t="shared" si="417"/>
        <v>2022_9</v>
      </c>
      <c r="EX174" t="str">
        <f t="shared" si="417"/>
        <v>2022_9</v>
      </c>
      <c r="EY174" t="str">
        <f t="shared" si="417"/>
        <v>2022_9</v>
      </c>
      <c r="FB174" s="10" t="s">
        <v>37</v>
      </c>
      <c r="FC174">
        <f t="shared" si="413"/>
        <v>0</v>
      </c>
      <c r="FD174">
        <f t="shared" si="363"/>
        <v>0</v>
      </c>
      <c r="FE174">
        <f t="shared" si="364"/>
        <v>0</v>
      </c>
      <c r="FF174">
        <f t="shared" si="365"/>
        <v>0</v>
      </c>
      <c r="FG174">
        <f t="shared" si="366"/>
        <v>0</v>
      </c>
      <c r="FH174">
        <f t="shared" si="367"/>
        <v>0</v>
      </c>
      <c r="FI174">
        <f t="shared" si="368"/>
        <v>0</v>
      </c>
      <c r="FJ174">
        <f t="shared" si="369"/>
        <v>0</v>
      </c>
      <c r="FK174">
        <f t="shared" si="370"/>
        <v>0</v>
      </c>
      <c r="FL174">
        <f t="shared" si="371"/>
        <v>0</v>
      </c>
      <c r="FM174">
        <f t="shared" si="372"/>
        <v>0</v>
      </c>
      <c r="FN174">
        <f t="shared" si="373"/>
        <v>0</v>
      </c>
      <c r="FO174">
        <f t="shared" si="374"/>
        <v>0</v>
      </c>
      <c r="FP174">
        <f t="shared" si="375"/>
        <v>0</v>
      </c>
      <c r="FQ174">
        <f t="shared" si="376"/>
        <v>0</v>
      </c>
      <c r="FR174">
        <f t="shared" si="377"/>
        <v>0</v>
      </c>
      <c r="FS174">
        <f t="shared" si="378"/>
        <v>0</v>
      </c>
      <c r="FT174">
        <f t="shared" si="379"/>
        <v>0</v>
      </c>
      <c r="FU174">
        <f t="shared" si="380"/>
        <v>0</v>
      </c>
      <c r="FV174">
        <f t="shared" si="381"/>
        <v>0</v>
      </c>
      <c r="FW174">
        <f t="shared" si="382"/>
        <v>0</v>
      </c>
      <c r="FX174">
        <f t="shared" si="383"/>
        <v>0</v>
      </c>
      <c r="FY174">
        <f t="shared" si="384"/>
        <v>0</v>
      </c>
      <c r="FZ174">
        <f t="shared" si="385"/>
        <v>0</v>
      </c>
      <c r="GA174">
        <f t="shared" si="386"/>
        <v>0</v>
      </c>
      <c r="GB174">
        <f t="shared" si="387"/>
        <v>0</v>
      </c>
      <c r="GC174">
        <f t="shared" si="388"/>
        <v>0</v>
      </c>
      <c r="GD174">
        <f t="shared" si="389"/>
        <v>0</v>
      </c>
      <c r="GE174">
        <f t="shared" si="390"/>
        <v>0</v>
      </c>
      <c r="GF174">
        <f t="shared" si="391"/>
        <v>1</v>
      </c>
      <c r="GG174">
        <f t="shared" si="392"/>
        <v>1</v>
      </c>
      <c r="GH174">
        <f t="shared" si="393"/>
        <v>1</v>
      </c>
      <c r="GI174">
        <f t="shared" si="394"/>
        <v>1</v>
      </c>
      <c r="GJ174">
        <f t="shared" si="395"/>
        <v>1</v>
      </c>
      <c r="GK174">
        <f t="shared" si="396"/>
        <v>1</v>
      </c>
      <c r="GL174">
        <f t="shared" si="397"/>
        <v>1</v>
      </c>
      <c r="GM174">
        <f t="shared" si="398"/>
        <v>1</v>
      </c>
      <c r="GN174">
        <f t="shared" si="399"/>
        <v>1</v>
      </c>
      <c r="GO174">
        <f t="shared" si="400"/>
        <v>1</v>
      </c>
      <c r="GP174">
        <f t="shared" si="401"/>
        <v>1</v>
      </c>
      <c r="GQ174">
        <f t="shared" si="402"/>
        <v>1</v>
      </c>
      <c r="GR174">
        <f t="shared" si="403"/>
        <v>1</v>
      </c>
      <c r="GS174">
        <f t="shared" si="404"/>
        <v>1</v>
      </c>
      <c r="GT174">
        <f t="shared" si="405"/>
        <v>1</v>
      </c>
      <c r="GU174">
        <f t="shared" si="406"/>
        <v>1</v>
      </c>
      <c r="GX174" s="10"/>
    </row>
    <row r="175" spans="1:206" x14ac:dyDescent="0.3">
      <c r="A175" s="32" t="s">
        <v>33</v>
      </c>
      <c r="B175" s="80"/>
      <c r="C175" s="9">
        <v>3011309006</v>
      </c>
      <c r="D175" s="9" t="s">
        <v>460</v>
      </c>
      <c r="E175" s="9" t="s">
        <v>34</v>
      </c>
      <c r="F175" s="9" t="s">
        <v>35</v>
      </c>
      <c r="G175" s="9" t="s">
        <v>86</v>
      </c>
      <c r="H175" s="10">
        <v>44852</v>
      </c>
      <c r="I175" s="9">
        <f t="shared" si="407"/>
        <v>2022</v>
      </c>
      <c r="J175" s="9">
        <f t="shared" si="408"/>
        <v>10</v>
      </c>
      <c r="K175" s="9" t="str">
        <f t="shared" si="409"/>
        <v>2022_10</v>
      </c>
      <c r="L175">
        <f>MAX(0,VLOOKUP($K175,lookups!$A$1:$B$45,2,0)-12)</f>
        <v>18</v>
      </c>
      <c r="M175" s="40">
        <f t="shared" si="410"/>
        <v>44835</v>
      </c>
      <c r="N175" s="10" t="s">
        <v>37</v>
      </c>
      <c r="O175" t="str">
        <f ca="1">IF(OR($L175&gt;O$4,O$4&gt;$L175+23),"",OFFSET(Electric!$L166,0,-'Electric Calendarize'!$L175+'Electric Calendarize'!O$4+1))</f>
        <v/>
      </c>
      <c r="P175" t="str">
        <f ca="1">IF(OR($L175&gt;P$4,P$4&gt;$L175+23),"",OFFSET(Electric!$L166,0,-'Electric Calendarize'!$L175+'Electric Calendarize'!P$4+1))</f>
        <v/>
      </c>
      <c r="Q175" t="str">
        <f ca="1">IF(OR($L175&gt;Q$4,Q$4&gt;$L175+23),"",OFFSET(Electric!$L166,0,-'Electric Calendarize'!$L175+'Electric Calendarize'!Q$4+1))</f>
        <v/>
      </c>
      <c r="R175" t="str">
        <f ca="1">IF(OR($L175&gt;R$4,R$4&gt;$L175+23),"",OFFSET(Electric!$L166,0,-'Electric Calendarize'!$L175+'Electric Calendarize'!R$4+1))</f>
        <v/>
      </c>
      <c r="S175" t="str">
        <f ca="1">IF(OR($L175&gt;S$4,S$4&gt;$L175+23),"",OFFSET(Electric!$L166,0,-'Electric Calendarize'!$L175+'Electric Calendarize'!S$4+1))</f>
        <v/>
      </c>
      <c r="T175" t="str">
        <f ca="1">IF(OR($L175&gt;T$4,T$4&gt;$L175+23),"",OFFSET(Electric!$L166,0,-'Electric Calendarize'!$L175+'Electric Calendarize'!T$4+1))</f>
        <v/>
      </c>
      <c r="U175" t="str">
        <f ca="1">IF(OR($L175&gt;U$4,U$4&gt;$L175+23),"",OFFSET(Electric!$L166,0,-'Electric Calendarize'!$L175+'Electric Calendarize'!U$4+1))</f>
        <v/>
      </c>
      <c r="V175" t="str">
        <f ca="1">IF(OR($L175&gt;V$4,V$4&gt;$L175+23),"",OFFSET(Electric!$L166,0,-'Electric Calendarize'!$L175+'Electric Calendarize'!V$4+1))</f>
        <v/>
      </c>
      <c r="W175" t="str">
        <f ca="1">IF(OR($L175&gt;W$4,W$4&gt;$L175+23),"",OFFSET(Electric!$L166,0,-'Electric Calendarize'!$L175+'Electric Calendarize'!W$4+1))</f>
        <v/>
      </c>
      <c r="X175" t="str">
        <f ca="1">IF(OR($L175&gt;X$4,X$4&gt;$L175+23),"",OFFSET(Electric!$L166,0,-'Electric Calendarize'!$L175+'Electric Calendarize'!X$4+1))</f>
        <v/>
      </c>
      <c r="Y175" t="str">
        <f ca="1">IF(OR($L175&gt;Y$4,Y$4&gt;$L175+23),"",OFFSET(Electric!$L166,0,-'Electric Calendarize'!$L175+'Electric Calendarize'!Y$4+1))</f>
        <v/>
      </c>
      <c r="Z175" t="str">
        <f ca="1">IF(OR($L175&gt;Z$4,Z$4&gt;$L175+23),"",OFFSET(Electric!$L166,0,-'Electric Calendarize'!$L175+'Electric Calendarize'!Z$4+1))</f>
        <v/>
      </c>
      <c r="AA175" t="str">
        <f ca="1">IF(OR($L175&gt;AA$4,AA$4&gt;$L175+23),"",OFFSET(Electric!$L166,0,-'Electric Calendarize'!$L175+'Electric Calendarize'!AA$4+1))</f>
        <v/>
      </c>
      <c r="AB175" t="str">
        <f ca="1">IF(OR($L175&gt;AB$4,AB$4&gt;$L175+23),"",OFFSET(Electric!$L166,0,-'Electric Calendarize'!$L175+'Electric Calendarize'!AB$4+1))</f>
        <v/>
      </c>
      <c r="AC175" t="str">
        <f ca="1">IF(OR($L175&gt;AC$4,AC$4&gt;$L175+23),"",OFFSET(Electric!$L166,0,-'Electric Calendarize'!$L175+'Electric Calendarize'!AC$4+1))</f>
        <v/>
      </c>
      <c r="AD175" t="str">
        <f ca="1">IF(OR($L175&gt;AD$4,AD$4&gt;$L175+23),"",OFFSET(Electric!$L166,0,-'Electric Calendarize'!$L175+'Electric Calendarize'!AD$4+1))</f>
        <v/>
      </c>
      <c r="AE175" t="str">
        <f ca="1">IF(OR($L175&gt;AE$4,AE$4&gt;$L175+23),"",OFFSET(Electric!$L166,0,-'Electric Calendarize'!$L175+'Electric Calendarize'!AE$4+1))</f>
        <v/>
      </c>
      <c r="AF175" t="str">
        <f ca="1">IF(OR($L175&gt;AF$4,AF$4&gt;$L175+23),"",OFFSET(Electric!$L166,0,-'Electric Calendarize'!$L175+'Electric Calendarize'!AF$4+1))</f>
        <v/>
      </c>
      <c r="AG175">
        <f ca="1">IF(OR($L175&gt;AG$4,AG$4&gt;$L175+23),"",OFFSET(Electric!$L166,0,-'Electric Calendarize'!$L175+'Electric Calendarize'!AG$4+1))</f>
        <v>0</v>
      </c>
      <c r="AH175">
        <f ca="1">IF(OR($L175&gt;AH$4,AH$4&gt;$L175+23),"",OFFSET(Electric!$L166,0,-'Electric Calendarize'!$L175+'Electric Calendarize'!AH$4+1))</f>
        <v>0</v>
      </c>
      <c r="AI175">
        <f ca="1">IF(OR($L175&gt;AI$4,AI$4&gt;$L175+23),"",OFFSET(Electric!$L166,0,-'Electric Calendarize'!$L175+'Electric Calendarize'!AI$4+1))</f>
        <v>0</v>
      </c>
      <c r="AJ175">
        <f ca="1">IF(OR($L175&gt;AJ$4,AJ$4&gt;$L175+23),"",OFFSET(Electric!$L166,0,-'Electric Calendarize'!$L175+'Electric Calendarize'!AJ$4+1))</f>
        <v>0</v>
      </c>
      <c r="AK175">
        <f ca="1">IF(OR($L175&gt;AK$4,AK$4&gt;$L175+23),"",OFFSET(Electric!$L166,0,-'Electric Calendarize'!$L175+'Electric Calendarize'!AK$4+1))</f>
        <v>0</v>
      </c>
      <c r="AL175">
        <f ca="1">IF(OR($L175&gt;AL$4,AL$4&gt;$L175+23),"",OFFSET(Electric!$L166,0,-'Electric Calendarize'!$L175+'Electric Calendarize'!AL$4+1))</f>
        <v>0</v>
      </c>
      <c r="AM175">
        <f ca="1">IF(OR($L175&gt;AM$4,AM$4&gt;$L175+23),"",OFFSET(Electric!$L166,0,-'Electric Calendarize'!$L175+'Electric Calendarize'!AM$4+1))</f>
        <v>0</v>
      </c>
      <c r="AN175">
        <f ca="1">IF(OR($L175&gt;AN$4,AN$4&gt;$L175+23),"",OFFSET(Electric!$L166,0,-'Electric Calendarize'!$L175+'Electric Calendarize'!AN$4+1))</f>
        <v>0</v>
      </c>
      <c r="AO175">
        <f ca="1">IF(OR($L175&gt;AO$4,AO$4&gt;$L175+23),"",OFFSET(Electric!$L166,0,-'Electric Calendarize'!$L175+'Electric Calendarize'!AO$4+1))</f>
        <v>0</v>
      </c>
      <c r="AP175">
        <f ca="1">IF(OR($L175&gt;AP$4,AP$4&gt;$L175+23),"",OFFSET(Electric!$L166,0,-'Electric Calendarize'!$L175+'Electric Calendarize'!AP$4+1))</f>
        <v>0</v>
      </c>
      <c r="AQ175">
        <f ca="1">IF(OR($L175&gt;AQ$4,AQ$4&gt;$L175+23),"",OFFSET(Electric!$L166,0,-'Electric Calendarize'!$L175+'Electric Calendarize'!AQ$4+1))</f>
        <v>62</v>
      </c>
      <c r="AR175">
        <f ca="1">IF(OR($L175&gt;AR$4,AR$4&gt;$L175+23),"",OFFSET(Electric!$L166,0,-'Electric Calendarize'!$L175+'Electric Calendarize'!AR$4+1))</f>
        <v>184</v>
      </c>
      <c r="AS175">
        <f ca="1">IF(OR($L175&gt;AS$4,AS$4&gt;$L175+23),"",OFFSET(Electric!$L166,0,-'Electric Calendarize'!$L175+'Electric Calendarize'!AS$4+1))</f>
        <v>143</v>
      </c>
      <c r="AT175">
        <f ca="1">IF(OR($L175&gt;AT$4,AT$4&gt;$L175+23),"",OFFSET(Electric!$L166,0,-'Electric Calendarize'!$L175+'Electric Calendarize'!AT$4+1))</f>
        <v>155</v>
      </c>
      <c r="AU175">
        <f ca="1">IF(OR($L175&gt;AU$4,AU$4&gt;$L175+23),"",OFFSET(Electric!$L166,0,-'Electric Calendarize'!$L175+'Electric Calendarize'!AU$4+1))</f>
        <v>186</v>
      </c>
      <c r="AV175">
        <f ca="1">IF(OR($L175&gt;AV$4,AV$4&gt;$L175+23),"",OFFSET(Electric!$L166,0,-'Electric Calendarize'!$L175+'Electric Calendarize'!AV$4+1))</f>
        <v>207</v>
      </c>
      <c r="AW175">
        <f ca="1">IF(OR($L175&gt;AW$4,AW$4&gt;$L175+23),"",OFFSET(Electric!$L166,0,-'Electric Calendarize'!$L175+'Electric Calendarize'!AW$4+1))</f>
        <v>215</v>
      </c>
      <c r="AX175">
        <f ca="1">IF(OR($L175&gt;AX$4,AX$4&gt;$L175+23),"",OFFSET(Electric!$L166,0,-'Electric Calendarize'!$L175+'Electric Calendarize'!AX$4+1))</f>
        <v>194</v>
      </c>
      <c r="AY175">
        <f ca="1">IF(OR($L175&gt;AY$4,AY$4&gt;$L175+23),"",OFFSET(Electric!$L166,0,-'Electric Calendarize'!$L175+'Electric Calendarize'!AY$4+1))</f>
        <v>168</v>
      </c>
      <c r="AZ175">
        <f ca="1">IF(OR($L175&gt;AZ$4,AZ$4&gt;$L175+23),"",OFFSET(Electric!$L166,0,-'Electric Calendarize'!$L175+'Electric Calendarize'!AZ$4+1))</f>
        <v>204</v>
      </c>
      <c r="BA175">
        <f ca="1">IF(OR($L175&gt;BA$4,BA$4&gt;$L175+23),"",OFFSET(Electric!$L166,0,-'Electric Calendarize'!$L175+'Electric Calendarize'!BA$4+1))</f>
        <v>174</v>
      </c>
      <c r="BB175">
        <f ca="1">IF(OR($L175&gt;BB$4,BB$4&gt;$L175+23),"",OFFSET(Electric!$L166,0,-'Electric Calendarize'!$L175+'Electric Calendarize'!BB$4+1))</f>
        <v>214</v>
      </c>
      <c r="BC175">
        <f ca="1">IF(OR($L175&gt;BC$4,BC$4&gt;$L175+23),"",OFFSET(Electric!$L166,0,-'Electric Calendarize'!$L175+'Electric Calendarize'!BC$4+1))</f>
        <v>227</v>
      </c>
      <c r="BD175">
        <f ca="1">IF(OR($L175&gt;BD$4,BD$4&gt;$L175+23),"",OFFSET(Electric!$L166,0,-'Electric Calendarize'!$L175+'Electric Calendarize'!BD$4+1))</f>
        <v>181</v>
      </c>
      <c r="BE175" t="str">
        <f ca="1">IF(OR($L175&gt;BE$4,BE$4&gt;$L175+23),"",OFFSET(Electric!$L166,0,-'Electric Calendarize'!$L175+'Electric Calendarize'!BE$4+1))</f>
        <v/>
      </c>
      <c r="BF175" t="str">
        <f ca="1">IF(OR($L175&gt;BF$4,BF$4&gt;$L175+23),"",OFFSET(Electric!$L166,0,-'Electric Calendarize'!$L175+'Electric Calendarize'!BF$4+1))</f>
        <v/>
      </c>
      <c r="BG175" t="str">
        <f ca="1">IF(OR($L175&gt;BG$4,BG$4&gt;$L175+23),"",OFFSET(Electric!$L166,0,-'Electric Calendarize'!$L175+'Electric Calendarize'!BG$4+1))</f>
        <v/>
      </c>
      <c r="BJ175" s="10" t="s">
        <v>37</v>
      </c>
      <c r="BK175">
        <f t="shared" si="411"/>
        <v>1</v>
      </c>
      <c r="BL175">
        <f t="shared" si="317"/>
        <v>0</v>
      </c>
      <c r="BM175">
        <f t="shared" si="318"/>
        <v>0</v>
      </c>
      <c r="BN175">
        <f t="shared" si="319"/>
        <v>0</v>
      </c>
      <c r="BO175">
        <f t="shared" si="320"/>
        <v>0</v>
      </c>
      <c r="BP175">
        <f t="shared" si="321"/>
        <v>0</v>
      </c>
      <c r="BQ175">
        <f t="shared" si="322"/>
        <v>0</v>
      </c>
      <c r="BR175">
        <f t="shared" si="323"/>
        <v>1</v>
      </c>
      <c r="BS175">
        <f t="shared" si="324"/>
        <v>1</v>
      </c>
      <c r="BT175">
        <f t="shared" si="325"/>
        <v>1</v>
      </c>
      <c r="BU175">
        <f t="shared" si="326"/>
        <v>1</v>
      </c>
      <c r="BV175">
        <f t="shared" si="327"/>
        <v>1</v>
      </c>
      <c r="BW175">
        <f t="shared" si="328"/>
        <v>1</v>
      </c>
      <c r="BX175">
        <f t="shared" si="329"/>
        <v>0</v>
      </c>
      <c r="BY175">
        <f t="shared" si="330"/>
        <v>0</v>
      </c>
      <c r="BZ175">
        <f t="shared" si="331"/>
        <v>0</v>
      </c>
      <c r="CA175">
        <f t="shared" si="332"/>
        <v>0</v>
      </c>
      <c r="CB175">
        <f t="shared" si="333"/>
        <v>0</v>
      </c>
      <c r="CC175">
        <f t="shared" si="334"/>
        <v>0</v>
      </c>
      <c r="CD175">
        <f t="shared" si="335"/>
        <v>1</v>
      </c>
      <c r="CE175">
        <f t="shared" si="336"/>
        <v>1</v>
      </c>
      <c r="CF175">
        <f t="shared" si="337"/>
        <v>1</v>
      </c>
      <c r="CG175">
        <f t="shared" si="338"/>
        <v>1</v>
      </c>
      <c r="CH175">
        <f t="shared" si="339"/>
        <v>1</v>
      </c>
      <c r="CI175">
        <f t="shared" si="340"/>
        <v>1</v>
      </c>
      <c r="CJ175">
        <f t="shared" si="341"/>
        <v>0</v>
      </c>
      <c r="CK175">
        <f t="shared" si="342"/>
        <v>0</v>
      </c>
      <c r="CL175">
        <f t="shared" si="343"/>
        <v>0</v>
      </c>
      <c r="CM175">
        <f t="shared" si="344"/>
        <v>0</v>
      </c>
      <c r="CN175">
        <f t="shared" si="345"/>
        <v>0</v>
      </c>
      <c r="CO175">
        <f t="shared" si="346"/>
        <v>0</v>
      </c>
      <c r="CP175">
        <f t="shared" si="347"/>
        <v>1</v>
      </c>
      <c r="CQ175">
        <f t="shared" si="348"/>
        <v>1</v>
      </c>
      <c r="CR175">
        <f t="shared" si="349"/>
        <v>1</v>
      </c>
      <c r="CS175">
        <f t="shared" si="350"/>
        <v>1</v>
      </c>
      <c r="CT175">
        <f t="shared" si="351"/>
        <v>1</v>
      </c>
      <c r="CU175">
        <f t="shared" si="352"/>
        <v>1</v>
      </c>
      <c r="CV175">
        <f t="shared" si="353"/>
        <v>0</v>
      </c>
      <c r="CW175">
        <f t="shared" si="354"/>
        <v>0</v>
      </c>
      <c r="CX175">
        <f t="shared" si="355"/>
        <v>0</v>
      </c>
      <c r="CY175">
        <f t="shared" si="356"/>
        <v>0</v>
      </c>
      <c r="CZ175">
        <f t="shared" si="357"/>
        <v>0</v>
      </c>
      <c r="DA175">
        <f t="shared" si="358"/>
        <v>0</v>
      </c>
      <c r="DB175">
        <f t="shared" si="359"/>
        <v>1</v>
      </c>
      <c r="DC175">
        <f t="shared" si="360"/>
        <v>1</v>
      </c>
      <c r="DF175" s="10" t="s">
        <v>37</v>
      </c>
      <c r="DG175" t="str">
        <f t="shared" si="420"/>
        <v>2022_10</v>
      </c>
      <c r="DH175" t="str">
        <f t="shared" si="420"/>
        <v>2022_10</v>
      </c>
      <c r="DI175" t="str">
        <f t="shared" si="420"/>
        <v>2022_10</v>
      </c>
      <c r="DJ175" t="str">
        <f t="shared" si="420"/>
        <v>2022_10</v>
      </c>
      <c r="DK175" t="str">
        <f t="shared" si="420"/>
        <v>2022_10</v>
      </c>
      <c r="DL175" t="str">
        <f t="shared" si="420"/>
        <v>2022_10</v>
      </c>
      <c r="DM175" t="str">
        <f t="shared" si="420"/>
        <v>2022_10</v>
      </c>
      <c r="DN175" t="str">
        <f t="shared" si="420"/>
        <v>2022_10</v>
      </c>
      <c r="DO175" t="str">
        <f t="shared" si="420"/>
        <v>2022_10</v>
      </c>
      <c r="DP175" t="str">
        <f t="shared" si="420"/>
        <v>2022_10</v>
      </c>
      <c r="DQ175" t="str">
        <f t="shared" si="420"/>
        <v>2022_10</v>
      </c>
      <c r="DR175" t="str">
        <f t="shared" si="420"/>
        <v>2022_10</v>
      </c>
      <c r="DS175" t="str">
        <f t="shared" si="420"/>
        <v>2022_10</v>
      </c>
      <c r="DT175" t="str">
        <f t="shared" si="420"/>
        <v>2022_10</v>
      </c>
      <c r="DU175" t="str">
        <f t="shared" si="420"/>
        <v>2022_10</v>
      </c>
      <c r="DV175" t="str">
        <f t="shared" si="418"/>
        <v>2022_10</v>
      </c>
      <c r="DW175" t="str">
        <f t="shared" si="418"/>
        <v>2022_10</v>
      </c>
      <c r="DX175" t="str">
        <f t="shared" si="418"/>
        <v>2022_10</v>
      </c>
      <c r="DY175" t="str">
        <f t="shared" si="418"/>
        <v>2022_10</v>
      </c>
      <c r="DZ175" t="str">
        <f t="shared" si="418"/>
        <v>2022_10</v>
      </c>
      <c r="EA175" t="str">
        <f t="shared" si="418"/>
        <v>2022_10</v>
      </c>
      <c r="EB175" t="str">
        <f t="shared" si="418"/>
        <v>2022_10</v>
      </c>
      <c r="EC175" t="str">
        <f t="shared" si="418"/>
        <v>2022_10</v>
      </c>
      <c r="ED175" t="str">
        <f t="shared" si="418"/>
        <v>2022_10</v>
      </c>
      <c r="EE175" t="str">
        <f t="shared" si="418"/>
        <v>2022_10</v>
      </c>
      <c r="EF175" t="str">
        <f t="shared" si="418"/>
        <v>2022_10</v>
      </c>
      <c r="EG175" t="str">
        <f t="shared" si="418"/>
        <v>2022_10</v>
      </c>
      <c r="EH175" t="str">
        <f t="shared" si="418"/>
        <v>2022_10</v>
      </c>
      <c r="EI175" t="str">
        <f t="shared" si="418"/>
        <v>2022_10</v>
      </c>
      <c r="EJ175" t="str">
        <f t="shared" si="418"/>
        <v>2022_10</v>
      </c>
      <c r="EK175" t="str">
        <f t="shared" si="418"/>
        <v>2022_10</v>
      </c>
      <c r="EL175" t="str">
        <f t="shared" si="419"/>
        <v>2022_10</v>
      </c>
      <c r="EM175" t="str">
        <f t="shared" si="417"/>
        <v>2022_10</v>
      </c>
      <c r="EN175" t="str">
        <f t="shared" si="417"/>
        <v>2022_10</v>
      </c>
      <c r="EO175" t="str">
        <f t="shared" si="417"/>
        <v>2022_10</v>
      </c>
      <c r="EP175" t="str">
        <f t="shared" si="417"/>
        <v>2022_10</v>
      </c>
      <c r="EQ175" t="str">
        <f t="shared" si="417"/>
        <v>2022_10</v>
      </c>
      <c r="ER175" t="str">
        <f t="shared" si="417"/>
        <v>2022_10</v>
      </c>
      <c r="ES175" t="str">
        <f t="shared" si="417"/>
        <v>2022_10</v>
      </c>
      <c r="ET175" t="str">
        <f t="shared" si="417"/>
        <v>2022_10</v>
      </c>
      <c r="EU175" t="str">
        <f t="shared" si="417"/>
        <v>2022_10</v>
      </c>
      <c r="EV175" t="str">
        <f t="shared" si="417"/>
        <v>2022_10</v>
      </c>
      <c r="EW175" t="str">
        <f t="shared" si="417"/>
        <v>2022_10</v>
      </c>
      <c r="EX175" t="str">
        <f t="shared" si="417"/>
        <v>2022_10</v>
      </c>
      <c r="EY175" t="str">
        <f t="shared" si="417"/>
        <v>2022_10</v>
      </c>
      <c r="FB175" s="10" t="s">
        <v>37</v>
      </c>
      <c r="FC175">
        <f t="shared" si="413"/>
        <v>0</v>
      </c>
      <c r="FD175">
        <f t="shared" si="363"/>
        <v>0</v>
      </c>
      <c r="FE175">
        <f t="shared" si="364"/>
        <v>0</v>
      </c>
      <c r="FF175">
        <f t="shared" si="365"/>
        <v>0</v>
      </c>
      <c r="FG175">
        <f t="shared" si="366"/>
        <v>0</v>
      </c>
      <c r="FH175">
        <f t="shared" si="367"/>
        <v>0</v>
      </c>
      <c r="FI175">
        <f t="shared" si="368"/>
        <v>0</v>
      </c>
      <c r="FJ175">
        <f t="shared" si="369"/>
        <v>0</v>
      </c>
      <c r="FK175">
        <f t="shared" si="370"/>
        <v>0</v>
      </c>
      <c r="FL175">
        <f t="shared" si="371"/>
        <v>0</v>
      </c>
      <c r="FM175">
        <f t="shared" si="372"/>
        <v>0</v>
      </c>
      <c r="FN175">
        <f t="shared" si="373"/>
        <v>0</v>
      </c>
      <c r="FO175">
        <f t="shared" si="374"/>
        <v>0</v>
      </c>
      <c r="FP175">
        <f t="shared" si="375"/>
        <v>0</v>
      </c>
      <c r="FQ175">
        <f t="shared" si="376"/>
        <v>0</v>
      </c>
      <c r="FR175">
        <f t="shared" si="377"/>
        <v>0</v>
      </c>
      <c r="FS175">
        <f t="shared" si="378"/>
        <v>0</v>
      </c>
      <c r="FT175">
        <f t="shared" si="379"/>
        <v>0</v>
      </c>
      <c r="FU175">
        <f t="shared" si="380"/>
        <v>0</v>
      </c>
      <c r="FV175">
        <f t="shared" si="381"/>
        <v>0</v>
      </c>
      <c r="FW175">
        <f t="shared" si="382"/>
        <v>0</v>
      </c>
      <c r="FX175">
        <f t="shared" si="383"/>
        <v>0</v>
      </c>
      <c r="FY175">
        <f t="shared" si="384"/>
        <v>0</v>
      </c>
      <c r="FZ175">
        <f t="shared" si="385"/>
        <v>0</v>
      </c>
      <c r="GA175">
        <f t="shared" si="386"/>
        <v>0</v>
      </c>
      <c r="GB175">
        <f t="shared" si="387"/>
        <v>0</v>
      </c>
      <c r="GC175">
        <f t="shared" si="388"/>
        <v>0</v>
      </c>
      <c r="GD175">
        <f t="shared" si="389"/>
        <v>0</v>
      </c>
      <c r="GE175">
        <f t="shared" si="390"/>
        <v>0</v>
      </c>
      <c r="GF175">
        <f t="shared" si="391"/>
        <v>0</v>
      </c>
      <c r="GG175">
        <f t="shared" si="392"/>
        <v>1</v>
      </c>
      <c r="GH175">
        <f t="shared" si="393"/>
        <v>1</v>
      </c>
      <c r="GI175">
        <f t="shared" si="394"/>
        <v>1</v>
      </c>
      <c r="GJ175">
        <f t="shared" si="395"/>
        <v>1</v>
      </c>
      <c r="GK175">
        <f t="shared" si="396"/>
        <v>1</v>
      </c>
      <c r="GL175">
        <f t="shared" si="397"/>
        <v>1</v>
      </c>
      <c r="GM175">
        <f t="shared" si="398"/>
        <v>1</v>
      </c>
      <c r="GN175">
        <f t="shared" si="399"/>
        <v>1</v>
      </c>
      <c r="GO175">
        <f t="shared" si="400"/>
        <v>1</v>
      </c>
      <c r="GP175">
        <f t="shared" si="401"/>
        <v>1</v>
      </c>
      <c r="GQ175">
        <f t="shared" si="402"/>
        <v>1</v>
      </c>
      <c r="GR175">
        <f t="shared" si="403"/>
        <v>1</v>
      </c>
      <c r="GS175">
        <f t="shared" si="404"/>
        <v>1</v>
      </c>
      <c r="GT175">
        <f t="shared" si="405"/>
        <v>1</v>
      </c>
      <c r="GU175">
        <f t="shared" si="406"/>
        <v>1</v>
      </c>
      <c r="GX175" s="10"/>
    </row>
    <row r="176" spans="1:206" x14ac:dyDescent="0.3">
      <c r="A176" s="9" t="s">
        <v>124</v>
      </c>
      <c r="B176" s="80"/>
      <c r="C176" s="9">
        <v>3011310000</v>
      </c>
      <c r="D176" s="9" t="s">
        <v>470</v>
      </c>
      <c r="E176" s="9" t="s">
        <v>34</v>
      </c>
      <c r="F176" s="9" t="s">
        <v>35</v>
      </c>
      <c r="G176" s="9" t="s">
        <v>206</v>
      </c>
      <c r="H176" s="10">
        <v>44852</v>
      </c>
      <c r="I176" s="9">
        <f t="shared" si="407"/>
        <v>2022</v>
      </c>
      <c r="J176" s="9">
        <f t="shared" si="408"/>
        <v>10</v>
      </c>
      <c r="K176" s="9" t="str">
        <f t="shared" si="409"/>
        <v>2022_10</v>
      </c>
      <c r="L176">
        <f>MAX(0,VLOOKUP($K176,lookups!$A$1:$B$45,2,0)-12)</f>
        <v>18</v>
      </c>
      <c r="M176" s="40">
        <f t="shared" si="410"/>
        <v>44835</v>
      </c>
      <c r="N176" s="10" t="s">
        <v>37</v>
      </c>
      <c r="O176" t="str">
        <f ca="1">IF(OR($L176&gt;O$4,O$4&gt;$L176+23),"",OFFSET(Electric!$L167,0,-'Electric Calendarize'!$L176+'Electric Calendarize'!O$4+1))</f>
        <v/>
      </c>
      <c r="P176" t="str">
        <f ca="1">IF(OR($L176&gt;P$4,P$4&gt;$L176+23),"",OFFSET(Electric!$L167,0,-'Electric Calendarize'!$L176+'Electric Calendarize'!P$4+1))</f>
        <v/>
      </c>
      <c r="Q176" t="str">
        <f ca="1">IF(OR($L176&gt;Q$4,Q$4&gt;$L176+23),"",OFFSET(Electric!$L167,0,-'Electric Calendarize'!$L176+'Electric Calendarize'!Q$4+1))</f>
        <v/>
      </c>
      <c r="R176" t="str">
        <f ca="1">IF(OR($L176&gt;R$4,R$4&gt;$L176+23),"",OFFSET(Electric!$L167,0,-'Electric Calendarize'!$L176+'Electric Calendarize'!R$4+1))</f>
        <v/>
      </c>
      <c r="S176" t="str">
        <f ca="1">IF(OR($L176&gt;S$4,S$4&gt;$L176+23),"",OFFSET(Electric!$L167,0,-'Electric Calendarize'!$L176+'Electric Calendarize'!S$4+1))</f>
        <v/>
      </c>
      <c r="T176" t="str">
        <f ca="1">IF(OR($L176&gt;T$4,T$4&gt;$L176+23),"",OFFSET(Electric!$L167,0,-'Electric Calendarize'!$L176+'Electric Calendarize'!T$4+1))</f>
        <v/>
      </c>
      <c r="U176" t="str">
        <f ca="1">IF(OR($L176&gt;U$4,U$4&gt;$L176+23),"",OFFSET(Electric!$L167,0,-'Electric Calendarize'!$L176+'Electric Calendarize'!U$4+1))</f>
        <v/>
      </c>
      <c r="V176" t="str">
        <f ca="1">IF(OR($L176&gt;V$4,V$4&gt;$L176+23),"",OFFSET(Electric!$L167,0,-'Electric Calendarize'!$L176+'Electric Calendarize'!V$4+1))</f>
        <v/>
      </c>
      <c r="W176" t="str">
        <f ca="1">IF(OR($L176&gt;W$4,W$4&gt;$L176+23),"",OFFSET(Electric!$L167,0,-'Electric Calendarize'!$L176+'Electric Calendarize'!W$4+1))</f>
        <v/>
      </c>
      <c r="X176" t="str">
        <f ca="1">IF(OR($L176&gt;X$4,X$4&gt;$L176+23),"",OFFSET(Electric!$L167,0,-'Electric Calendarize'!$L176+'Electric Calendarize'!X$4+1))</f>
        <v/>
      </c>
      <c r="Y176" t="str">
        <f ca="1">IF(OR($L176&gt;Y$4,Y$4&gt;$L176+23),"",OFFSET(Electric!$L167,0,-'Electric Calendarize'!$L176+'Electric Calendarize'!Y$4+1))</f>
        <v/>
      </c>
      <c r="Z176" t="str">
        <f ca="1">IF(OR($L176&gt;Z$4,Z$4&gt;$L176+23),"",OFFSET(Electric!$L167,0,-'Electric Calendarize'!$L176+'Electric Calendarize'!Z$4+1))</f>
        <v/>
      </c>
      <c r="AA176" t="str">
        <f ca="1">IF(OR($L176&gt;AA$4,AA$4&gt;$L176+23),"",OFFSET(Electric!$L167,0,-'Electric Calendarize'!$L176+'Electric Calendarize'!AA$4+1))</f>
        <v/>
      </c>
      <c r="AB176" t="str">
        <f ca="1">IF(OR($L176&gt;AB$4,AB$4&gt;$L176+23),"",OFFSET(Electric!$L167,0,-'Electric Calendarize'!$L176+'Electric Calendarize'!AB$4+1))</f>
        <v/>
      </c>
      <c r="AC176" t="str">
        <f ca="1">IF(OR($L176&gt;AC$4,AC$4&gt;$L176+23),"",OFFSET(Electric!$L167,0,-'Electric Calendarize'!$L176+'Electric Calendarize'!AC$4+1))</f>
        <v/>
      </c>
      <c r="AD176" t="str">
        <f ca="1">IF(OR($L176&gt;AD$4,AD$4&gt;$L176+23),"",OFFSET(Electric!$L167,0,-'Electric Calendarize'!$L176+'Electric Calendarize'!AD$4+1))</f>
        <v/>
      </c>
      <c r="AE176" t="str">
        <f ca="1">IF(OR($L176&gt;AE$4,AE$4&gt;$L176+23),"",OFFSET(Electric!$L167,0,-'Electric Calendarize'!$L176+'Electric Calendarize'!AE$4+1))</f>
        <v/>
      </c>
      <c r="AF176" t="str">
        <f ca="1">IF(OR($L176&gt;AF$4,AF$4&gt;$L176+23),"",OFFSET(Electric!$L167,0,-'Electric Calendarize'!$L176+'Electric Calendarize'!AF$4+1))</f>
        <v/>
      </c>
      <c r="AG176">
        <f ca="1">IF(OR($L176&gt;AG$4,AG$4&gt;$L176+23),"",OFFSET(Electric!$L167,0,-'Electric Calendarize'!$L176+'Electric Calendarize'!AG$4+1))</f>
        <v>256</v>
      </c>
      <c r="AH176">
        <f ca="1">IF(OR($L176&gt;AH$4,AH$4&gt;$L176+23),"",OFFSET(Electric!$L167,0,-'Electric Calendarize'!$L176+'Electric Calendarize'!AH$4+1))</f>
        <v>251</v>
      </c>
      <c r="AI176">
        <f ca="1">IF(OR($L176&gt;AI$4,AI$4&gt;$L176+23),"",OFFSET(Electric!$L167,0,-'Electric Calendarize'!$L176+'Electric Calendarize'!AI$4+1))</f>
        <v>369</v>
      </c>
      <c r="AJ176">
        <f ca="1">IF(OR($L176&gt;AJ$4,AJ$4&gt;$L176+23),"",OFFSET(Electric!$L167,0,-'Electric Calendarize'!$L176+'Electric Calendarize'!AJ$4+1))</f>
        <v>289</v>
      </c>
      <c r="AK176">
        <f ca="1">IF(OR($L176&gt;AK$4,AK$4&gt;$L176+23),"",OFFSET(Electric!$L167,0,-'Electric Calendarize'!$L176+'Electric Calendarize'!AK$4+1))</f>
        <v>294</v>
      </c>
      <c r="AL176">
        <f ca="1">IF(OR($L176&gt;AL$4,AL$4&gt;$L176+23),"",OFFSET(Electric!$L167,0,-'Electric Calendarize'!$L176+'Electric Calendarize'!AL$4+1))</f>
        <v>281</v>
      </c>
      <c r="AM176">
        <f ca="1">IF(OR($L176&gt;AM$4,AM$4&gt;$L176+23),"",OFFSET(Electric!$L167,0,-'Electric Calendarize'!$L176+'Electric Calendarize'!AM$4+1))</f>
        <v>267</v>
      </c>
      <c r="AN176">
        <f ca="1">IF(OR($L176&gt;AN$4,AN$4&gt;$L176+23),"",OFFSET(Electric!$L167,0,-'Electric Calendarize'!$L176+'Electric Calendarize'!AN$4+1))</f>
        <v>250</v>
      </c>
      <c r="AO176">
        <f ca="1">IF(OR($L176&gt;AO$4,AO$4&gt;$L176+23),"",OFFSET(Electric!$L167,0,-'Electric Calendarize'!$L176+'Electric Calendarize'!AO$4+1))</f>
        <v>252</v>
      </c>
      <c r="AP176">
        <f ca="1">IF(OR($L176&gt;AP$4,AP$4&gt;$L176+23),"",OFFSET(Electric!$L167,0,-'Electric Calendarize'!$L176+'Electric Calendarize'!AP$4+1))</f>
        <v>327</v>
      </c>
      <c r="AQ176">
        <f ca="1">IF(OR($L176&gt;AQ$4,AQ$4&gt;$L176+23),"",OFFSET(Electric!$L167,0,-'Electric Calendarize'!$L176+'Electric Calendarize'!AQ$4+1))</f>
        <v>560</v>
      </c>
      <c r="AR176">
        <f ca="1">IF(OR($L176&gt;AR$4,AR$4&gt;$L176+23),"",OFFSET(Electric!$L167,0,-'Electric Calendarize'!$L176+'Electric Calendarize'!AR$4+1))</f>
        <v>336</v>
      </c>
      <c r="AS176">
        <f ca="1">IF(OR($L176&gt;AS$4,AS$4&gt;$L176+23),"",OFFSET(Electric!$L167,0,-'Electric Calendarize'!$L176+'Electric Calendarize'!AS$4+1))</f>
        <v>235</v>
      </c>
      <c r="AT176">
        <f ca="1">IF(OR($L176&gt;AT$4,AT$4&gt;$L176+23),"",OFFSET(Electric!$L167,0,-'Electric Calendarize'!$L176+'Electric Calendarize'!AT$4+1))</f>
        <v>273</v>
      </c>
      <c r="AU176">
        <f ca="1">IF(OR($L176&gt;AU$4,AU$4&gt;$L176+23),"",OFFSET(Electric!$L167,0,-'Electric Calendarize'!$L176+'Electric Calendarize'!AU$4+1))</f>
        <v>318</v>
      </c>
      <c r="AV176">
        <f ca="1">IF(OR($L176&gt;AV$4,AV$4&gt;$L176+23),"",OFFSET(Electric!$L167,0,-'Electric Calendarize'!$L176+'Electric Calendarize'!AV$4+1))</f>
        <v>405</v>
      </c>
      <c r="AW176">
        <f ca="1">IF(OR($L176&gt;AW$4,AW$4&gt;$L176+23),"",OFFSET(Electric!$L167,0,-'Electric Calendarize'!$L176+'Electric Calendarize'!AW$4+1))</f>
        <v>443</v>
      </c>
      <c r="AX176">
        <f ca="1">IF(OR($L176&gt;AX$4,AX$4&gt;$L176+23),"",OFFSET(Electric!$L167,0,-'Electric Calendarize'!$L176+'Electric Calendarize'!AX$4+1))</f>
        <v>389</v>
      </c>
      <c r="AY176">
        <f ca="1">IF(OR($L176&gt;AY$4,AY$4&gt;$L176+23),"",OFFSET(Electric!$L167,0,-'Electric Calendarize'!$L176+'Electric Calendarize'!AY$4+1))</f>
        <v>318</v>
      </c>
      <c r="AZ176">
        <f ca="1">IF(OR($L176&gt;AZ$4,AZ$4&gt;$L176+23),"",OFFSET(Electric!$L167,0,-'Electric Calendarize'!$L176+'Electric Calendarize'!AZ$4+1))</f>
        <v>302</v>
      </c>
      <c r="BA176">
        <f ca="1">IF(OR($L176&gt;BA$4,BA$4&gt;$L176+23),"",OFFSET(Electric!$L167,0,-'Electric Calendarize'!$L176+'Electric Calendarize'!BA$4+1))</f>
        <v>263</v>
      </c>
      <c r="BB176">
        <f ca="1">IF(OR($L176&gt;BB$4,BB$4&gt;$L176+23),"",OFFSET(Electric!$L167,0,-'Electric Calendarize'!$L176+'Electric Calendarize'!BB$4+1))</f>
        <v>369</v>
      </c>
      <c r="BC176">
        <f ca="1">IF(OR($L176&gt;BC$4,BC$4&gt;$L176+23),"",OFFSET(Electric!$L167,0,-'Electric Calendarize'!$L176+'Electric Calendarize'!BC$4+1))</f>
        <v>347</v>
      </c>
      <c r="BD176">
        <f ca="1">IF(OR($L176&gt;BD$4,BD$4&gt;$L176+23),"",OFFSET(Electric!$L167,0,-'Electric Calendarize'!$L176+'Electric Calendarize'!BD$4+1))</f>
        <v>296</v>
      </c>
      <c r="BE176" t="str">
        <f ca="1">IF(OR($L176&gt;BE$4,BE$4&gt;$L176+23),"",OFFSET(Electric!$L167,0,-'Electric Calendarize'!$L176+'Electric Calendarize'!BE$4+1))</f>
        <v/>
      </c>
      <c r="BF176" t="str">
        <f ca="1">IF(OR($L176&gt;BF$4,BF$4&gt;$L176+23),"",OFFSET(Electric!$L167,0,-'Electric Calendarize'!$L176+'Electric Calendarize'!BF$4+1))</f>
        <v/>
      </c>
      <c r="BG176" t="str">
        <f ca="1">IF(OR($L176&gt;BG$4,BG$4&gt;$L176+23),"",OFFSET(Electric!$L167,0,-'Electric Calendarize'!$L176+'Electric Calendarize'!BG$4+1))</f>
        <v/>
      </c>
      <c r="BJ176" s="10" t="s">
        <v>37</v>
      </c>
      <c r="BK176">
        <f t="shared" si="411"/>
        <v>1</v>
      </c>
      <c r="BL176">
        <f t="shared" si="317"/>
        <v>0</v>
      </c>
      <c r="BM176">
        <f t="shared" si="318"/>
        <v>0</v>
      </c>
      <c r="BN176">
        <f t="shared" si="319"/>
        <v>0</v>
      </c>
      <c r="BO176">
        <f t="shared" si="320"/>
        <v>0</v>
      </c>
      <c r="BP176">
        <f t="shared" si="321"/>
        <v>0</v>
      </c>
      <c r="BQ176">
        <f t="shared" si="322"/>
        <v>0</v>
      </c>
      <c r="BR176">
        <f t="shared" si="323"/>
        <v>1</v>
      </c>
      <c r="BS176">
        <f t="shared" si="324"/>
        <v>1</v>
      </c>
      <c r="BT176">
        <f t="shared" si="325"/>
        <v>1</v>
      </c>
      <c r="BU176">
        <f t="shared" si="326"/>
        <v>1</v>
      </c>
      <c r="BV176">
        <f t="shared" si="327"/>
        <v>1</v>
      </c>
      <c r="BW176">
        <f t="shared" si="328"/>
        <v>1</v>
      </c>
      <c r="BX176">
        <f t="shared" si="329"/>
        <v>0</v>
      </c>
      <c r="BY176">
        <f t="shared" si="330"/>
        <v>0</v>
      </c>
      <c r="BZ176">
        <f t="shared" si="331"/>
        <v>0</v>
      </c>
      <c r="CA176">
        <f t="shared" si="332"/>
        <v>0</v>
      </c>
      <c r="CB176">
        <f t="shared" si="333"/>
        <v>0</v>
      </c>
      <c r="CC176">
        <f t="shared" si="334"/>
        <v>0</v>
      </c>
      <c r="CD176">
        <f t="shared" si="335"/>
        <v>1</v>
      </c>
      <c r="CE176">
        <f t="shared" si="336"/>
        <v>1</v>
      </c>
      <c r="CF176">
        <f t="shared" si="337"/>
        <v>1</v>
      </c>
      <c r="CG176">
        <f t="shared" si="338"/>
        <v>1</v>
      </c>
      <c r="CH176">
        <f t="shared" si="339"/>
        <v>1</v>
      </c>
      <c r="CI176">
        <f t="shared" si="340"/>
        <v>1</v>
      </c>
      <c r="CJ176">
        <f t="shared" si="341"/>
        <v>0</v>
      </c>
      <c r="CK176">
        <f t="shared" si="342"/>
        <v>0</v>
      </c>
      <c r="CL176">
        <f t="shared" si="343"/>
        <v>0</v>
      </c>
      <c r="CM176">
        <f t="shared" si="344"/>
        <v>0</v>
      </c>
      <c r="CN176">
        <f t="shared" si="345"/>
        <v>0</v>
      </c>
      <c r="CO176">
        <f t="shared" si="346"/>
        <v>0</v>
      </c>
      <c r="CP176">
        <f t="shared" si="347"/>
        <v>1</v>
      </c>
      <c r="CQ176">
        <f t="shared" si="348"/>
        <v>1</v>
      </c>
      <c r="CR176">
        <f t="shared" si="349"/>
        <v>1</v>
      </c>
      <c r="CS176">
        <f t="shared" si="350"/>
        <v>1</v>
      </c>
      <c r="CT176">
        <f t="shared" si="351"/>
        <v>1</v>
      </c>
      <c r="CU176">
        <f t="shared" si="352"/>
        <v>1</v>
      </c>
      <c r="CV176">
        <f t="shared" si="353"/>
        <v>0</v>
      </c>
      <c r="CW176">
        <f t="shared" si="354"/>
        <v>0</v>
      </c>
      <c r="CX176">
        <f t="shared" si="355"/>
        <v>0</v>
      </c>
      <c r="CY176">
        <f t="shared" si="356"/>
        <v>0</v>
      </c>
      <c r="CZ176">
        <f t="shared" si="357"/>
        <v>0</v>
      </c>
      <c r="DA176">
        <f t="shared" si="358"/>
        <v>0</v>
      </c>
      <c r="DB176">
        <f t="shared" si="359"/>
        <v>1</v>
      </c>
      <c r="DC176">
        <f t="shared" si="360"/>
        <v>1</v>
      </c>
      <c r="DF176" s="10" t="s">
        <v>37</v>
      </c>
      <c r="DG176" t="str">
        <f t="shared" si="420"/>
        <v>2022_10</v>
      </c>
      <c r="DH176" t="str">
        <f t="shared" si="420"/>
        <v>2022_10</v>
      </c>
      <c r="DI176" t="str">
        <f t="shared" si="420"/>
        <v>2022_10</v>
      </c>
      <c r="DJ176" t="str">
        <f t="shared" si="420"/>
        <v>2022_10</v>
      </c>
      <c r="DK176" t="str">
        <f t="shared" si="420"/>
        <v>2022_10</v>
      </c>
      <c r="DL176" t="str">
        <f t="shared" si="420"/>
        <v>2022_10</v>
      </c>
      <c r="DM176" t="str">
        <f t="shared" si="420"/>
        <v>2022_10</v>
      </c>
      <c r="DN176" t="str">
        <f t="shared" si="420"/>
        <v>2022_10</v>
      </c>
      <c r="DO176" t="str">
        <f t="shared" si="420"/>
        <v>2022_10</v>
      </c>
      <c r="DP176" t="str">
        <f t="shared" si="420"/>
        <v>2022_10</v>
      </c>
      <c r="DQ176" t="str">
        <f t="shared" si="420"/>
        <v>2022_10</v>
      </c>
      <c r="DR176" t="str">
        <f t="shared" si="420"/>
        <v>2022_10</v>
      </c>
      <c r="DS176" t="str">
        <f t="shared" si="420"/>
        <v>2022_10</v>
      </c>
      <c r="DT176" t="str">
        <f t="shared" si="420"/>
        <v>2022_10</v>
      </c>
      <c r="DU176" t="str">
        <f t="shared" si="420"/>
        <v>2022_10</v>
      </c>
      <c r="DV176" t="str">
        <f t="shared" si="418"/>
        <v>2022_10</v>
      </c>
      <c r="DW176" t="str">
        <f t="shared" si="418"/>
        <v>2022_10</v>
      </c>
      <c r="DX176" t="str">
        <f t="shared" si="418"/>
        <v>2022_10</v>
      </c>
      <c r="DY176" t="str">
        <f t="shared" si="418"/>
        <v>2022_10</v>
      </c>
      <c r="DZ176" t="str">
        <f t="shared" si="418"/>
        <v>2022_10</v>
      </c>
      <c r="EA176" t="str">
        <f t="shared" si="418"/>
        <v>2022_10</v>
      </c>
      <c r="EB176" t="str">
        <f t="shared" si="418"/>
        <v>2022_10</v>
      </c>
      <c r="EC176" t="str">
        <f t="shared" si="418"/>
        <v>2022_10</v>
      </c>
      <c r="ED176" t="str">
        <f t="shared" si="418"/>
        <v>2022_10</v>
      </c>
      <c r="EE176" t="str">
        <f t="shared" si="418"/>
        <v>2022_10</v>
      </c>
      <c r="EF176" t="str">
        <f t="shared" si="418"/>
        <v>2022_10</v>
      </c>
      <c r="EG176" t="str">
        <f t="shared" si="418"/>
        <v>2022_10</v>
      </c>
      <c r="EH176" t="str">
        <f t="shared" si="418"/>
        <v>2022_10</v>
      </c>
      <c r="EI176" t="str">
        <f t="shared" si="418"/>
        <v>2022_10</v>
      </c>
      <c r="EJ176" t="str">
        <f t="shared" si="418"/>
        <v>2022_10</v>
      </c>
      <c r="EK176" t="str">
        <f t="shared" si="418"/>
        <v>2022_10</v>
      </c>
      <c r="EL176" t="str">
        <f t="shared" si="419"/>
        <v>2022_10</v>
      </c>
      <c r="EM176" t="str">
        <f t="shared" si="417"/>
        <v>2022_10</v>
      </c>
      <c r="EN176" t="str">
        <f t="shared" si="417"/>
        <v>2022_10</v>
      </c>
      <c r="EO176" t="str">
        <f t="shared" si="417"/>
        <v>2022_10</v>
      </c>
      <c r="EP176" t="str">
        <f t="shared" si="417"/>
        <v>2022_10</v>
      </c>
      <c r="EQ176" t="str">
        <f t="shared" si="417"/>
        <v>2022_10</v>
      </c>
      <c r="ER176" t="str">
        <f t="shared" si="417"/>
        <v>2022_10</v>
      </c>
      <c r="ES176" t="str">
        <f t="shared" si="417"/>
        <v>2022_10</v>
      </c>
      <c r="ET176" t="str">
        <f t="shared" si="417"/>
        <v>2022_10</v>
      </c>
      <c r="EU176" t="str">
        <f t="shared" si="417"/>
        <v>2022_10</v>
      </c>
      <c r="EV176" t="str">
        <f t="shared" si="417"/>
        <v>2022_10</v>
      </c>
      <c r="EW176" t="str">
        <f t="shared" si="417"/>
        <v>2022_10</v>
      </c>
      <c r="EX176" t="str">
        <f t="shared" si="417"/>
        <v>2022_10</v>
      </c>
      <c r="EY176" t="str">
        <f t="shared" si="417"/>
        <v>2022_10</v>
      </c>
      <c r="FB176" s="10" t="s">
        <v>37</v>
      </c>
      <c r="FC176">
        <f t="shared" si="413"/>
        <v>0</v>
      </c>
      <c r="FD176">
        <f t="shared" si="363"/>
        <v>0</v>
      </c>
      <c r="FE176">
        <f t="shared" si="364"/>
        <v>0</v>
      </c>
      <c r="FF176">
        <f t="shared" si="365"/>
        <v>0</v>
      </c>
      <c r="FG176">
        <f t="shared" si="366"/>
        <v>0</v>
      </c>
      <c r="FH176">
        <f t="shared" si="367"/>
        <v>0</v>
      </c>
      <c r="FI176">
        <f t="shared" si="368"/>
        <v>0</v>
      </c>
      <c r="FJ176">
        <f t="shared" si="369"/>
        <v>0</v>
      </c>
      <c r="FK176">
        <f t="shared" si="370"/>
        <v>0</v>
      </c>
      <c r="FL176">
        <f t="shared" si="371"/>
        <v>0</v>
      </c>
      <c r="FM176">
        <f t="shared" si="372"/>
        <v>0</v>
      </c>
      <c r="FN176">
        <f t="shared" si="373"/>
        <v>0</v>
      </c>
      <c r="FO176">
        <f t="shared" si="374"/>
        <v>0</v>
      </c>
      <c r="FP176">
        <f t="shared" si="375"/>
        <v>0</v>
      </c>
      <c r="FQ176">
        <f t="shared" si="376"/>
        <v>0</v>
      </c>
      <c r="FR176">
        <f t="shared" si="377"/>
        <v>0</v>
      </c>
      <c r="FS176">
        <f t="shared" si="378"/>
        <v>0</v>
      </c>
      <c r="FT176">
        <f t="shared" si="379"/>
        <v>0</v>
      </c>
      <c r="FU176">
        <f t="shared" si="380"/>
        <v>0</v>
      </c>
      <c r="FV176">
        <f t="shared" si="381"/>
        <v>0</v>
      </c>
      <c r="FW176">
        <f t="shared" si="382"/>
        <v>0</v>
      </c>
      <c r="FX176">
        <f t="shared" si="383"/>
        <v>0</v>
      </c>
      <c r="FY176">
        <f t="shared" si="384"/>
        <v>0</v>
      </c>
      <c r="FZ176">
        <f t="shared" si="385"/>
        <v>0</v>
      </c>
      <c r="GA176">
        <f t="shared" si="386"/>
        <v>0</v>
      </c>
      <c r="GB176">
        <f t="shared" si="387"/>
        <v>0</v>
      </c>
      <c r="GC176">
        <f t="shared" si="388"/>
        <v>0</v>
      </c>
      <c r="GD176">
        <f t="shared" si="389"/>
        <v>0</v>
      </c>
      <c r="GE176">
        <f t="shared" si="390"/>
        <v>0</v>
      </c>
      <c r="GF176">
        <f t="shared" si="391"/>
        <v>0</v>
      </c>
      <c r="GG176">
        <f t="shared" si="392"/>
        <v>1</v>
      </c>
      <c r="GH176">
        <f t="shared" si="393"/>
        <v>1</v>
      </c>
      <c r="GI176">
        <f t="shared" si="394"/>
        <v>1</v>
      </c>
      <c r="GJ176">
        <f t="shared" si="395"/>
        <v>1</v>
      </c>
      <c r="GK176">
        <f t="shared" si="396"/>
        <v>1</v>
      </c>
      <c r="GL176">
        <f t="shared" si="397"/>
        <v>1</v>
      </c>
      <c r="GM176">
        <f t="shared" si="398"/>
        <v>1</v>
      </c>
      <c r="GN176">
        <f t="shared" si="399"/>
        <v>1</v>
      </c>
      <c r="GO176">
        <f t="shared" si="400"/>
        <v>1</v>
      </c>
      <c r="GP176">
        <f t="shared" si="401"/>
        <v>1</v>
      </c>
      <c r="GQ176">
        <f t="shared" si="402"/>
        <v>1</v>
      </c>
      <c r="GR176">
        <f t="shared" si="403"/>
        <v>1</v>
      </c>
      <c r="GS176">
        <f t="shared" si="404"/>
        <v>1</v>
      </c>
      <c r="GT176">
        <f t="shared" si="405"/>
        <v>1</v>
      </c>
      <c r="GU176">
        <f t="shared" si="406"/>
        <v>1</v>
      </c>
      <c r="GX176" s="10"/>
    </row>
    <row r="177" spans="1:206" x14ac:dyDescent="0.3">
      <c r="A177" s="9" t="s">
        <v>124</v>
      </c>
      <c r="B177" s="80"/>
      <c r="C177" s="9">
        <v>3080076001</v>
      </c>
      <c r="D177" s="9" t="s">
        <v>437</v>
      </c>
      <c r="E177" s="9" t="s">
        <v>34</v>
      </c>
      <c r="F177" s="9" t="s">
        <v>35</v>
      </c>
      <c r="G177" s="9" t="s">
        <v>207</v>
      </c>
      <c r="H177" s="10">
        <v>44858</v>
      </c>
      <c r="I177" s="9">
        <f t="shared" si="407"/>
        <v>2022</v>
      </c>
      <c r="J177" s="9">
        <f t="shared" si="408"/>
        <v>10</v>
      </c>
      <c r="K177" s="9" t="str">
        <f t="shared" si="409"/>
        <v>2022_10</v>
      </c>
      <c r="L177">
        <f>MAX(0,VLOOKUP($K177,lookups!$A$1:$B$45,2,0)-12)</f>
        <v>18</v>
      </c>
      <c r="M177" s="40">
        <f t="shared" si="410"/>
        <v>44835</v>
      </c>
      <c r="N177" s="10" t="s">
        <v>37</v>
      </c>
      <c r="O177" t="str">
        <f ca="1">IF(OR($L177&gt;O$4,O$4&gt;$L177+23),"",OFFSET(Electric!$L168,0,-'Electric Calendarize'!$L177+'Electric Calendarize'!O$4+1))</f>
        <v/>
      </c>
      <c r="P177" t="str">
        <f ca="1">IF(OR($L177&gt;P$4,P$4&gt;$L177+23),"",OFFSET(Electric!$L168,0,-'Electric Calendarize'!$L177+'Electric Calendarize'!P$4+1))</f>
        <v/>
      </c>
      <c r="Q177" t="str">
        <f ca="1">IF(OR($L177&gt;Q$4,Q$4&gt;$L177+23),"",OFFSET(Electric!$L168,0,-'Electric Calendarize'!$L177+'Electric Calendarize'!Q$4+1))</f>
        <v/>
      </c>
      <c r="R177" t="str">
        <f ca="1">IF(OR($L177&gt;R$4,R$4&gt;$L177+23),"",OFFSET(Electric!$L168,0,-'Electric Calendarize'!$L177+'Electric Calendarize'!R$4+1))</f>
        <v/>
      </c>
      <c r="S177" t="str">
        <f ca="1">IF(OR($L177&gt;S$4,S$4&gt;$L177+23),"",OFFSET(Electric!$L168,0,-'Electric Calendarize'!$L177+'Electric Calendarize'!S$4+1))</f>
        <v/>
      </c>
      <c r="T177" t="str">
        <f ca="1">IF(OR($L177&gt;T$4,T$4&gt;$L177+23),"",OFFSET(Electric!$L168,0,-'Electric Calendarize'!$L177+'Electric Calendarize'!T$4+1))</f>
        <v/>
      </c>
      <c r="U177" t="str">
        <f ca="1">IF(OR($L177&gt;U$4,U$4&gt;$L177+23),"",OFFSET(Electric!$L168,0,-'Electric Calendarize'!$L177+'Electric Calendarize'!U$4+1))</f>
        <v/>
      </c>
      <c r="V177" t="str">
        <f ca="1">IF(OR($L177&gt;V$4,V$4&gt;$L177+23),"",OFFSET(Electric!$L168,0,-'Electric Calendarize'!$L177+'Electric Calendarize'!V$4+1))</f>
        <v/>
      </c>
      <c r="W177" t="str">
        <f ca="1">IF(OR($L177&gt;W$4,W$4&gt;$L177+23),"",OFFSET(Electric!$L168,0,-'Electric Calendarize'!$L177+'Electric Calendarize'!W$4+1))</f>
        <v/>
      </c>
      <c r="X177" t="str">
        <f ca="1">IF(OR($L177&gt;X$4,X$4&gt;$L177+23),"",OFFSET(Electric!$L168,0,-'Electric Calendarize'!$L177+'Electric Calendarize'!X$4+1))</f>
        <v/>
      </c>
      <c r="Y177" t="str">
        <f ca="1">IF(OR($L177&gt;Y$4,Y$4&gt;$L177+23),"",OFFSET(Electric!$L168,0,-'Electric Calendarize'!$L177+'Electric Calendarize'!Y$4+1))</f>
        <v/>
      </c>
      <c r="Z177" t="str">
        <f ca="1">IF(OR($L177&gt;Z$4,Z$4&gt;$L177+23),"",OFFSET(Electric!$L168,0,-'Electric Calendarize'!$L177+'Electric Calendarize'!Z$4+1))</f>
        <v/>
      </c>
      <c r="AA177" t="str">
        <f ca="1">IF(OR($L177&gt;AA$4,AA$4&gt;$L177+23),"",OFFSET(Electric!$L168,0,-'Electric Calendarize'!$L177+'Electric Calendarize'!AA$4+1))</f>
        <v/>
      </c>
      <c r="AB177" t="str">
        <f ca="1">IF(OR($L177&gt;AB$4,AB$4&gt;$L177+23),"",OFFSET(Electric!$L168,0,-'Electric Calendarize'!$L177+'Electric Calendarize'!AB$4+1))</f>
        <v/>
      </c>
      <c r="AC177" t="str">
        <f ca="1">IF(OR($L177&gt;AC$4,AC$4&gt;$L177+23),"",OFFSET(Electric!$L168,0,-'Electric Calendarize'!$L177+'Electric Calendarize'!AC$4+1))</f>
        <v/>
      </c>
      <c r="AD177" t="str">
        <f ca="1">IF(OR($L177&gt;AD$4,AD$4&gt;$L177+23),"",OFFSET(Electric!$L168,0,-'Electric Calendarize'!$L177+'Electric Calendarize'!AD$4+1))</f>
        <v/>
      </c>
      <c r="AE177" t="str">
        <f ca="1">IF(OR($L177&gt;AE$4,AE$4&gt;$L177+23),"",OFFSET(Electric!$L168,0,-'Electric Calendarize'!$L177+'Electric Calendarize'!AE$4+1))</f>
        <v/>
      </c>
      <c r="AF177" t="str">
        <f ca="1">IF(OR($L177&gt;AF$4,AF$4&gt;$L177+23),"",OFFSET(Electric!$L168,0,-'Electric Calendarize'!$L177+'Electric Calendarize'!AF$4+1))</f>
        <v/>
      </c>
      <c r="AG177">
        <f ca="1">IF(OR($L177&gt;AG$4,AG$4&gt;$L177+23),"",OFFSET(Electric!$L168,0,-'Electric Calendarize'!$L177+'Electric Calendarize'!AG$4+1))</f>
        <v>0</v>
      </c>
      <c r="AH177">
        <f ca="1">IF(OR($L177&gt;AH$4,AH$4&gt;$L177+23),"",OFFSET(Electric!$L168,0,-'Electric Calendarize'!$L177+'Electric Calendarize'!AH$4+1))</f>
        <v>0</v>
      </c>
      <c r="AI177">
        <f ca="1">IF(OR($L177&gt;AI$4,AI$4&gt;$L177+23),"",OFFSET(Electric!$L168,0,-'Electric Calendarize'!$L177+'Electric Calendarize'!AI$4+1))</f>
        <v>0</v>
      </c>
      <c r="AJ177">
        <f ca="1">IF(OR($L177&gt;AJ$4,AJ$4&gt;$L177+23),"",OFFSET(Electric!$L168,0,-'Electric Calendarize'!$L177+'Electric Calendarize'!AJ$4+1))</f>
        <v>0</v>
      </c>
      <c r="AK177">
        <f ca="1">IF(OR($L177&gt;AK$4,AK$4&gt;$L177+23),"",OFFSET(Electric!$L168,0,-'Electric Calendarize'!$L177+'Electric Calendarize'!AK$4+1))</f>
        <v>0</v>
      </c>
      <c r="AL177">
        <f ca="1">IF(OR($L177&gt;AL$4,AL$4&gt;$L177+23),"",OFFSET(Electric!$L168,0,-'Electric Calendarize'!$L177+'Electric Calendarize'!AL$4+1))</f>
        <v>0</v>
      </c>
      <c r="AM177">
        <f ca="1">IF(OR($L177&gt;AM$4,AM$4&gt;$L177+23),"",OFFSET(Electric!$L168,0,-'Electric Calendarize'!$L177+'Electric Calendarize'!AM$4+1))</f>
        <v>0</v>
      </c>
      <c r="AN177">
        <f ca="1">IF(OR($L177&gt;AN$4,AN$4&gt;$L177+23),"",OFFSET(Electric!$L168,0,-'Electric Calendarize'!$L177+'Electric Calendarize'!AN$4+1))</f>
        <v>175</v>
      </c>
      <c r="AO177">
        <f ca="1">IF(OR($L177&gt;AO$4,AO$4&gt;$L177+23),"",OFFSET(Electric!$L168,0,-'Electric Calendarize'!$L177+'Electric Calendarize'!AO$4+1))</f>
        <v>700</v>
      </c>
      <c r="AP177">
        <f ca="1">IF(OR($L177&gt;AP$4,AP$4&gt;$L177+23),"",OFFSET(Electric!$L168,0,-'Electric Calendarize'!$L177+'Electric Calendarize'!AP$4+1))</f>
        <v>761</v>
      </c>
      <c r="AQ177">
        <f ca="1">IF(OR($L177&gt;AQ$4,AQ$4&gt;$L177+23),"",OFFSET(Electric!$L168,0,-'Electric Calendarize'!$L177+'Electric Calendarize'!AQ$4+1))</f>
        <v>922</v>
      </c>
      <c r="AR177">
        <f ca="1">IF(OR($L177&gt;AR$4,AR$4&gt;$L177+23),"",OFFSET(Electric!$L168,0,-'Electric Calendarize'!$L177+'Electric Calendarize'!AR$4+1))</f>
        <v>720</v>
      </c>
      <c r="AS177">
        <f ca="1">IF(OR($L177&gt;AS$4,AS$4&gt;$L177+23),"",OFFSET(Electric!$L168,0,-'Electric Calendarize'!$L177+'Electric Calendarize'!AS$4+1))</f>
        <v>569</v>
      </c>
      <c r="AT177">
        <f ca="1">IF(OR($L177&gt;AT$4,AT$4&gt;$L177+23),"",OFFSET(Electric!$L168,0,-'Electric Calendarize'!$L177+'Electric Calendarize'!AT$4+1))</f>
        <v>1237</v>
      </c>
      <c r="AU177">
        <f ca="1">IF(OR($L177&gt;AU$4,AU$4&gt;$L177+23),"",OFFSET(Electric!$L168,0,-'Electric Calendarize'!$L177+'Electric Calendarize'!AU$4+1))</f>
        <v>3200</v>
      </c>
      <c r="AV177">
        <f ca="1">IF(OR($L177&gt;AV$4,AV$4&gt;$L177+23),"",OFFSET(Electric!$L168,0,-'Electric Calendarize'!$L177+'Electric Calendarize'!AV$4+1))</f>
        <v>3494</v>
      </c>
      <c r="AW177">
        <f ca="1">IF(OR($L177&gt;AW$4,AW$4&gt;$L177+23),"",OFFSET(Electric!$L168,0,-'Electric Calendarize'!$L177+'Electric Calendarize'!AW$4+1))</f>
        <v>2800</v>
      </c>
      <c r="AX177">
        <f ca="1">IF(OR($L177&gt;AX$4,AX$4&gt;$L177+23),"",OFFSET(Electric!$L168,0,-'Electric Calendarize'!$L177+'Electric Calendarize'!AX$4+1))</f>
        <v>2510</v>
      </c>
      <c r="AY177">
        <f ca="1">IF(OR($L177&gt;AY$4,AY$4&gt;$L177+23),"",OFFSET(Electric!$L168,0,-'Electric Calendarize'!$L177+'Electric Calendarize'!AY$4+1))</f>
        <v>1302</v>
      </c>
      <c r="AZ177">
        <f ca="1">IF(OR($L177&gt;AZ$4,AZ$4&gt;$L177+23),"",OFFSET(Electric!$L168,0,-'Electric Calendarize'!$L177+'Electric Calendarize'!AZ$4+1))</f>
        <v>574</v>
      </c>
      <c r="BA177">
        <f ca="1">IF(OR($L177&gt;BA$4,BA$4&gt;$L177+23),"",OFFSET(Electric!$L168,0,-'Electric Calendarize'!$L177+'Electric Calendarize'!BA$4+1))</f>
        <v>510</v>
      </c>
      <c r="BB177">
        <f ca="1">IF(OR($L177&gt;BB$4,BB$4&gt;$L177+23),"",OFFSET(Electric!$L168,0,-'Electric Calendarize'!$L177+'Electric Calendarize'!BB$4+1))</f>
        <v>1144</v>
      </c>
      <c r="BC177">
        <f ca="1">IF(OR($L177&gt;BC$4,BC$4&gt;$L177+23),"",OFFSET(Electric!$L168,0,-'Electric Calendarize'!$L177+'Electric Calendarize'!BC$4+1))</f>
        <v>950</v>
      </c>
      <c r="BD177">
        <f ca="1">IF(OR($L177&gt;BD$4,BD$4&gt;$L177+23),"",OFFSET(Electric!$L168,0,-'Electric Calendarize'!$L177+'Electric Calendarize'!BD$4+1))</f>
        <v>782</v>
      </c>
      <c r="BE177" t="str">
        <f ca="1">IF(OR($L177&gt;BE$4,BE$4&gt;$L177+23),"",OFFSET(Electric!$L168,0,-'Electric Calendarize'!$L177+'Electric Calendarize'!BE$4+1))</f>
        <v/>
      </c>
      <c r="BF177" t="str">
        <f ca="1">IF(OR($L177&gt;BF$4,BF$4&gt;$L177+23),"",OFFSET(Electric!$L168,0,-'Electric Calendarize'!$L177+'Electric Calendarize'!BF$4+1))</f>
        <v/>
      </c>
      <c r="BG177" t="str">
        <f ca="1">IF(OR($L177&gt;BG$4,BG$4&gt;$L177+23),"",OFFSET(Electric!$L168,0,-'Electric Calendarize'!$L177+'Electric Calendarize'!BG$4+1))</f>
        <v/>
      </c>
      <c r="BJ177" s="10" t="s">
        <v>37</v>
      </c>
      <c r="BK177">
        <f t="shared" si="411"/>
        <v>1</v>
      </c>
      <c r="BL177">
        <f t="shared" si="317"/>
        <v>0</v>
      </c>
      <c r="BM177">
        <f t="shared" si="318"/>
        <v>0</v>
      </c>
      <c r="BN177">
        <f t="shared" si="319"/>
        <v>0</v>
      </c>
      <c r="BO177">
        <f t="shared" si="320"/>
        <v>0</v>
      </c>
      <c r="BP177">
        <f t="shared" si="321"/>
        <v>0</v>
      </c>
      <c r="BQ177">
        <f t="shared" si="322"/>
        <v>0</v>
      </c>
      <c r="BR177">
        <f t="shared" si="323"/>
        <v>1</v>
      </c>
      <c r="BS177">
        <f t="shared" si="324"/>
        <v>1</v>
      </c>
      <c r="BT177">
        <f t="shared" si="325"/>
        <v>1</v>
      </c>
      <c r="BU177">
        <f t="shared" si="326"/>
        <v>1</v>
      </c>
      <c r="BV177">
        <f t="shared" si="327"/>
        <v>1</v>
      </c>
      <c r="BW177">
        <f t="shared" si="328"/>
        <v>1</v>
      </c>
      <c r="BX177">
        <f t="shared" si="329"/>
        <v>0</v>
      </c>
      <c r="BY177">
        <f t="shared" si="330"/>
        <v>0</v>
      </c>
      <c r="BZ177">
        <f t="shared" si="331"/>
        <v>0</v>
      </c>
      <c r="CA177">
        <f t="shared" si="332"/>
        <v>0</v>
      </c>
      <c r="CB177">
        <f t="shared" si="333"/>
        <v>0</v>
      </c>
      <c r="CC177">
        <f t="shared" si="334"/>
        <v>0</v>
      </c>
      <c r="CD177">
        <f t="shared" si="335"/>
        <v>1</v>
      </c>
      <c r="CE177">
        <f t="shared" si="336"/>
        <v>1</v>
      </c>
      <c r="CF177">
        <f t="shared" si="337"/>
        <v>1</v>
      </c>
      <c r="CG177">
        <f t="shared" si="338"/>
        <v>1</v>
      </c>
      <c r="CH177">
        <f t="shared" si="339"/>
        <v>1</v>
      </c>
      <c r="CI177">
        <f t="shared" si="340"/>
        <v>1</v>
      </c>
      <c r="CJ177">
        <f t="shared" si="341"/>
        <v>0</v>
      </c>
      <c r="CK177">
        <f t="shared" si="342"/>
        <v>0</v>
      </c>
      <c r="CL177">
        <f t="shared" si="343"/>
        <v>0</v>
      </c>
      <c r="CM177">
        <f t="shared" si="344"/>
        <v>0</v>
      </c>
      <c r="CN177">
        <f t="shared" si="345"/>
        <v>0</v>
      </c>
      <c r="CO177">
        <f t="shared" si="346"/>
        <v>0</v>
      </c>
      <c r="CP177">
        <f t="shared" si="347"/>
        <v>1</v>
      </c>
      <c r="CQ177">
        <f t="shared" si="348"/>
        <v>1</v>
      </c>
      <c r="CR177">
        <f t="shared" si="349"/>
        <v>1</v>
      </c>
      <c r="CS177">
        <f t="shared" si="350"/>
        <v>1</v>
      </c>
      <c r="CT177">
        <f t="shared" si="351"/>
        <v>1</v>
      </c>
      <c r="CU177">
        <f t="shared" si="352"/>
        <v>1</v>
      </c>
      <c r="CV177">
        <f t="shared" si="353"/>
        <v>0</v>
      </c>
      <c r="CW177">
        <f t="shared" si="354"/>
        <v>0</v>
      </c>
      <c r="CX177">
        <f t="shared" si="355"/>
        <v>0</v>
      </c>
      <c r="CY177">
        <f t="shared" si="356"/>
        <v>0</v>
      </c>
      <c r="CZ177">
        <f t="shared" si="357"/>
        <v>0</v>
      </c>
      <c r="DA177">
        <f t="shared" si="358"/>
        <v>0</v>
      </c>
      <c r="DB177">
        <f t="shared" si="359"/>
        <v>1</v>
      </c>
      <c r="DC177">
        <f t="shared" si="360"/>
        <v>1</v>
      </c>
      <c r="DF177" s="10" t="s">
        <v>37</v>
      </c>
      <c r="DG177" t="str">
        <f t="shared" si="420"/>
        <v>2022_10</v>
      </c>
      <c r="DH177" t="str">
        <f t="shared" si="420"/>
        <v>2022_10</v>
      </c>
      <c r="DI177" t="str">
        <f t="shared" si="420"/>
        <v>2022_10</v>
      </c>
      <c r="DJ177" t="str">
        <f t="shared" si="420"/>
        <v>2022_10</v>
      </c>
      <c r="DK177" t="str">
        <f t="shared" si="420"/>
        <v>2022_10</v>
      </c>
      <c r="DL177" t="str">
        <f t="shared" si="420"/>
        <v>2022_10</v>
      </c>
      <c r="DM177" t="str">
        <f t="shared" si="420"/>
        <v>2022_10</v>
      </c>
      <c r="DN177" t="str">
        <f t="shared" si="420"/>
        <v>2022_10</v>
      </c>
      <c r="DO177" t="str">
        <f t="shared" si="420"/>
        <v>2022_10</v>
      </c>
      <c r="DP177" t="str">
        <f t="shared" si="420"/>
        <v>2022_10</v>
      </c>
      <c r="DQ177" t="str">
        <f t="shared" si="420"/>
        <v>2022_10</v>
      </c>
      <c r="DR177" t="str">
        <f t="shared" si="420"/>
        <v>2022_10</v>
      </c>
      <c r="DS177" t="str">
        <f t="shared" si="420"/>
        <v>2022_10</v>
      </c>
      <c r="DT177" t="str">
        <f t="shared" si="420"/>
        <v>2022_10</v>
      </c>
      <c r="DU177" t="str">
        <f t="shared" si="420"/>
        <v>2022_10</v>
      </c>
      <c r="DV177" t="str">
        <f t="shared" si="418"/>
        <v>2022_10</v>
      </c>
      <c r="DW177" t="str">
        <f t="shared" si="418"/>
        <v>2022_10</v>
      </c>
      <c r="DX177" t="str">
        <f t="shared" si="418"/>
        <v>2022_10</v>
      </c>
      <c r="DY177" t="str">
        <f t="shared" si="418"/>
        <v>2022_10</v>
      </c>
      <c r="DZ177" t="str">
        <f t="shared" si="418"/>
        <v>2022_10</v>
      </c>
      <c r="EA177" t="str">
        <f t="shared" si="418"/>
        <v>2022_10</v>
      </c>
      <c r="EB177" t="str">
        <f t="shared" si="418"/>
        <v>2022_10</v>
      </c>
      <c r="EC177" t="str">
        <f t="shared" si="418"/>
        <v>2022_10</v>
      </c>
      <c r="ED177" t="str">
        <f t="shared" si="418"/>
        <v>2022_10</v>
      </c>
      <c r="EE177" t="str">
        <f t="shared" si="418"/>
        <v>2022_10</v>
      </c>
      <c r="EF177" t="str">
        <f t="shared" si="418"/>
        <v>2022_10</v>
      </c>
      <c r="EG177" t="str">
        <f t="shared" si="418"/>
        <v>2022_10</v>
      </c>
      <c r="EH177" t="str">
        <f t="shared" si="418"/>
        <v>2022_10</v>
      </c>
      <c r="EI177" t="str">
        <f t="shared" si="418"/>
        <v>2022_10</v>
      </c>
      <c r="EJ177" t="str">
        <f t="shared" si="418"/>
        <v>2022_10</v>
      </c>
      <c r="EK177" t="str">
        <f t="shared" si="418"/>
        <v>2022_10</v>
      </c>
      <c r="EL177" t="str">
        <f t="shared" si="419"/>
        <v>2022_10</v>
      </c>
      <c r="EM177" t="str">
        <f t="shared" si="417"/>
        <v>2022_10</v>
      </c>
      <c r="EN177" t="str">
        <f t="shared" si="417"/>
        <v>2022_10</v>
      </c>
      <c r="EO177" t="str">
        <f t="shared" si="417"/>
        <v>2022_10</v>
      </c>
      <c r="EP177" t="str">
        <f t="shared" si="417"/>
        <v>2022_10</v>
      </c>
      <c r="EQ177" t="str">
        <f t="shared" si="417"/>
        <v>2022_10</v>
      </c>
      <c r="ER177" t="str">
        <f t="shared" si="417"/>
        <v>2022_10</v>
      </c>
      <c r="ES177" t="str">
        <f t="shared" si="417"/>
        <v>2022_10</v>
      </c>
      <c r="ET177" t="str">
        <f t="shared" si="417"/>
        <v>2022_10</v>
      </c>
      <c r="EU177" t="str">
        <f t="shared" si="417"/>
        <v>2022_10</v>
      </c>
      <c r="EV177" t="str">
        <f t="shared" si="417"/>
        <v>2022_10</v>
      </c>
      <c r="EW177" t="str">
        <f t="shared" si="417"/>
        <v>2022_10</v>
      </c>
      <c r="EX177" t="str">
        <f t="shared" si="417"/>
        <v>2022_10</v>
      </c>
      <c r="EY177" t="str">
        <f t="shared" si="417"/>
        <v>2022_10</v>
      </c>
      <c r="FB177" s="10" t="s">
        <v>37</v>
      </c>
      <c r="FC177">
        <f t="shared" si="413"/>
        <v>0</v>
      </c>
      <c r="FD177">
        <f t="shared" si="363"/>
        <v>0</v>
      </c>
      <c r="FE177">
        <f t="shared" si="364"/>
        <v>0</v>
      </c>
      <c r="FF177">
        <f t="shared" si="365"/>
        <v>0</v>
      </c>
      <c r="FG177">
        <f t="shared" si="366"/>
        <v>0</v>
      </c>
      <c r="FH177">
        <f t="shared" si="367"/>
        <v>0</v>
      </c>
      <c r="FI177">
        <f t="shared" si="368"/>
        <v>0</v>
      </c>
      <c r="FJ177">
        <f t="shared" si="369"/>
        <v>0</v>
      </c>
      <c r="FK177">
        <f t="shared" si="370"/>
        <v>0</v>
      </c>
      <c r="FL177">
        <f t="shared" si="371"/>
        <v>0</v>
      </c>
      <c r="FM177">
        <f t="shared" si="372"/>
        <v>0</v>
      </c>
      <c r="FN177">
        <f t="shared" si="373"/>
        <v>0</v>
      </c>
      <c r="FO177">
        <f t="shared" si="374"/>
        <v>0</v>
      </c>
      <c r="FP177">
        <f t="shared" si="375"/>
        <v>0</v>
      </c>
      <c r="FQ177">
        <f t="shared" si="376"/>
        <v>0</v>
      </c>
      <c r="FR177">
        <f t="shared" si="377"/>
        <v>0</v>
      </c>
      <c r="FS177">
        <f t="shared" si="378"/>
        <v>0</v>
      </c>
      <c r="FT177">
        <f t="shared" si="379"/>
        <v>0</v>
      </c>
      <c r="FU177">
        <f t="shared" si="380"/>
        <v>0</v>
      </c>
      <c r="FV177">
        <f t="shared" si="381"/>
        <v>0</v>
      </c>
      <c r="FW177">
        <f t="shared" si="382"/>
        <v>0</v>
      </c>
      <c r="FX177">
        <f t="shared" si="383"/>
        <v>0</v>
      </c>
      <c r="FY177">
        <f t="shared" si="384"/>
        <v>0</v>
      </c>
      <c r="FZ177">
        <f t="shared" si="385"/>
        <v>0</v>
      </c>
      <c r="GA177">
        <f t="shared" si="386"/>
        <v>0</v>
      </c>
      <c r="GB177">
        <f t="shared" si="387"/>
        <v>0</v>
      </c>
      <c r="GC177">
        <f t="shared" si="388"/>
        <v>0</v>
      </c>
      <c r="GD177">
        <f t="shared" si="389"/>
        <v>0</v>
      </c>
      <c r="GE177">
        <f t="shared" si="390"/>
        <v>0</v>
      </c>
      <c r="GF177">
        <f t="shared" si="391"/>
        <v>0</v>
      </c>
      <c r="GG177">
        <f t="shared" si="392"/>
        <v>1</v>
      </c>
      <c r="GH177">
        <f t="shared" si="393"/>
        <v>1</v>
      </c>
      <c r="GI177">
        <f t="shared" si="394"/>
        <v>1</v>
      </c>
      <c r="GJ177">
        <f t="shared" si="395"/>
        <v>1</v>
      </c>
      <c r="GK177">
        <f t="shared" si="396"/>
        <v>1</v>
      </c>
      <c r="GL177">
        <f t="shared" si="397"/>
        <v>1</v>
      </c>
      <c r="GM177">
        <f t="shared" si="398"/>
        <v>1</v>
      </c>
      <c r="GN177">
        <f t="shared" si="399"/>
        <v>1</v>
      </c>
      <c r="GO177">
        <f t="shared" si="400"/>
        <v>1</v>
      </c>
      <c r="GP177">
        <f t="shared" si="401"/>
        <v>1</v>
      </c>
      <c r="GQ177">
        <f t="shared" si="402"/>
        <v>1</v>
      </c>
      <c r="GR177">
        <f t="shared" si="403"/>
        <v>1</v>
      </c>
      <c r="GS177">
        <f t="shared" si="404"/>
        <v>1</v>
      </c>
      <c r="GT177">
        <f t="shared" si="405"/>
        <v>1</v>
      </c>
      <c r="GU177">
        <f t="shared" si="406"/>
        <v>1</v>
      </c>
      <c r="GX177" s="10"/>
    </row>
    <row r="178" spans="1:206" x14ac:dyDescent="0.3">
      <c r="A178" s="9" t="s">
        <v>128</v>
      </c>
      <c r="B178" s="80"/>
      <c r="C178" s="9">
        <v>3111796000</v>
      </c>
      <c r="D178" s="9" t="s">
        <v>471</v>
      </c>
      <c r="E178" s="9" t="s">
        <v>34</v>
      </c>
      <c r="F178" s="9" t="s">
        <v>35</v>
      </c>
      <c r="G178" s="9" t="s">
        <v>208</v>
      </c>
      <c r="H178" s="10">
        <v>44858</v>
      </c>
      <c r="I178" s="9">
        <f t="shared" si="407"/>
        <v>2022</v>
      </c>
      <c r="J178" s="9">
        <f t="shared" si="408"/>
        <v>10</v>
      </c>
      <c r="K178" s="9" t="str">
        <f t="shared" si="409"/>
        <v>2022_10</v>
      </c>
      <c r="L178">
        <f>MAX(0,VLOOKUP($K178,lookups!$A$1:$B$45,2,0)-12)</f>
        <v>18</v>
      </c>
      <c r="M178" s="40">
        <f t="shared" si="410"/>
        <v>44835</v>
      </c>
      <c r="N178" s="10" t="s">
        <v>37</v>
      </c>
      <c r="O178" t="str">
        <f ca="1">IF(OR($L178&gt;O$4,O$4&gt;$L178+23),"",OFFSET(Electric!$L169,0,-'Electric Calendarize'!$L178+'Electric Calendarize'!O$4+1))</f>
        <v/>
      </c>
      <c r="P178" t="str">
        <f ca="1">IF(OR($L178&gt;P$4,P$4&gt;$L178+23),"",OFFSET(Electric!$L169,0,-'Electric Calendarize'!$L178+'Electric Calendarize'!P$4+1))</f>
        <v/>
      </c>
      <c r="Q178" t="str">
        <f ca="1">IF(OR($L178&gt;Q$4,Q$4&gt;$L178+23),"",OFFSET(Electric!$L169,0,-'Electric Calendarize'!$L178+'Electric Calendarize'!Q$4+1))</f>
        <v/>
      </c>
      <c r="R178" t="str">
        <f ca="1">IF(OR($L178&gt;R$4,R$4&gt;$L178+23),"",OFFSET(Electric!$L169,0,-'Electric Calendarize'!$L178+'Electric Calendarize'!R$4+1))</f>
        <v/>
      </c>
      <c r="S178" t="str">
        <f ca="1">IF(OR($L178&gt;S$4,S$4&gt;$L178+23),"",OFFSET(Electric!$L169,0,-'Electric Calendarize'!$L178+'Electric Calendarize'!S$4+1))</f>
        <v/>
      </c>
      <c r="T178" t="str">
        <f ca="1">IF(OR($L178&gt;T$4,T$4&gt;$L178+23),"",OFFSET(Electric!$L169,0,-'Electric Calendarize'!$L178+'Electric Calendarize'!T$4+1))</f>
        <v/>
      </c>
      <c r="U178" t="str">
        <f ca="1">IF(OR($L178&gt;U$4,U$4&gt;$L178+23),"",OFFSET(Electric!$L169,0,-'Electric Calendarize'!$L178+'Electric Calendarize'!U$4+1))</f>
        <v/>
      </c>
      <c r="V178" t="str">
        <f ca="1">IF(OR($L178&gt;V$4,V$4&gt;$L178+23),"",OFFSET(Electric!$L169,0,-'Electric Calendarize'!$L178+'Electric Calendarize'!V$4+1))</f>
        <v/>
      </c>
      <c r="W178" t="str">
        <f ca="1">IF(OR($L178&gt;W$4,W$4&gt;$L178+23),"",OFFSET(Electric!$L169,0,-'Electric Calendarize'!$L178+'Electric Calendarize'!W$4+1))</f>
        <v/>
      </c>
      <c r="X178" t="str">
        <f ca="1">IF(OR($L178&gt;X$4,X$4&gt;$L178+23),"",OFFSET(Electric!$L169,0,-'Electric Calendarize'!$L178+'Electric Calendarize'!X$4+1))</f>
        <v/>
      </c>
      <c r="Y178" t="str">
        <f ca="1">IF(OR($L178&gt;Y$4,Y$4&gt;$L178+23),"",OFFSET(Electric!$L169,0,-'Electric Calendarize'!$L178+'Electric Calendarize'!Y$4+1))</f>
        <v/>
      </c>
      <c r="Z178" t="str">
        <f ca="1">IF(OR($L178&gt;Z$4,Z$4&gt;$L178+23),"",OFFSET(Electric!$L169,0,-'Electric Calendarize'!$L178+'Electric Calendarize'!Z$4+1))</f>
        <v/>
      </c>
      <c r="AA178" t="str">
        <f ca="1">IF(OR($L178&gt;AA$4,AA$4&gt;$L178+23),"",OFFSET(Electric!$L169,0,-'Electric Calendarize'!$L178+'Electric Calendarize'!AA$4+1))</f>
        <v/>
      </c>
      <c r="AB178" t="str">
        <f ca="1">IF(OR($L178&gt;AB$4,AB$4&gt;$L178+23),"",OFFSET(Electric!$L169,0,-'Electric Calendarize'!$L178+'Electric Calendarize'!AB$4+1))</f>
        <v/>
      </c>
      <c r="AC178" t="str">
        <f ca="1">IF(OR($L178&gt;AC$4,AC$4&gt;$L178+23),"",OFFSET(Electric!$L169,0,-'Electric Calendarize'!$L178+'Electric Calendarize'!AC$4+1))</f>
        <v/>
      </c>
      <c r="AD178" t="str">
        <f ca="1">IF(OR($L178&gt;AD$4,AD$4&gt;$L178+23),"",OFFSET(Electric!$L169,0,-'Electric Calendarize'!$L178+'Electric Calendarize'!AD$4+1))</f>
        <v/>
      </c>
      <c r="AE178" t="str">
        <f ca="1">IF(OR($L178&gt;AE$4,AE$4&gt;$L178+23),"",OFFSET(Electric!$L169,0,-'Electric Calendarize'!$L178+'Electric Calendarize'!AE$4+1))</f>
        <v/>
      </c>
      <c r="AF178" t="str">
        <f ca="1">IF(OR($L178&gt;AF$4,AF$4&gt;$L178+23),"",OFFSET(Electric!$L169,0,-'Electric Calendarize'!$L178+'Electric Calendarize'!AF$4+1))</f>
        <v/>
      </c>
      <c r="AG178">
        <f ca="1">IF(OR($L178&gt;AG$4,AG$4&gt;$L178+23),"",OFFSET(Electric!$L169,0,-'Electric Calendarize'!$L178+'Electric Calendarize'!AG$4+1))</f>
        <v>614</v>
      </c>
      <c r="AH178">
        <f ca="1">IF(OR($L178&gt;AH$4,AH$4&gt;$L178+23),"",OFFSET(Electric!$L169,0,-'Electric Calendarize'!$L178+'Electric Calendarize'!AH$4+1))</f>
        <v>712</v>
      </c>
      <c r="AI178">
        <f ca="1">IF(OR($L178&gt;AI$4,AI$4&gt;$L178+23),"",OFFSET(Electric!$L169,0,-'Electric Calendarize'!$L178+'Electric Calendarize'!AI$4+1))</f>
        <v>862</v>
      </c>
      <c r="AJ178">
        <f ca="1">IF(OR($L178&gt;AJ$4,AJ$4&gt;$L178+23),"",OFFSET(Electric!$L169,0,-'Electric Calendarize'!$L178+'Electric Calendarize'!AJ$4+1))</f>
        <v>942</v>
      </c>
      <c r="AK178">
        <f ca="1">IF(OR($L178&gt;AK$4,AK$4&gt;$L178+23),"",OFFSET(Electric!$L169,0,-'Electric Calendarize'!$L178+'Electric Calendarize'!AK$4+1))</f>
        <v>680</v>
      </c>
      <c r="AL178">
        <f ca="1">IF(OR($L178&gt;AL$4,AL$4&gt;$L178+23),"",OFFSET(Electric!$L169,0,-'Electric Calendarize'!$L178+'Electric Calendarize'!AL$4+1))</f>
        <v>550</v>
      </c>
      <c r="AM178">
        <f ca="1">IF(OR($L178&gt;AM$4,AM$4&gt;$L178+23),"",OFFSET(Electric!$L169,0,-'Electric Calendarize'!$L178+'Electric Calendarize'!AM$4+1))</f>
        <v>532</v>
      </c>
      <c r="AN178">
        <f ca="1">IF(OR($L178&gt;AN$4,AN$4&gt;$L178+23),"",OFFSET(Electric!$L169,0,-'Electric Calendarize'!$L178+'Electric Calendarize'!AN$4+1))</f>
        <v>564</v>
      </c>
      <c r="AO178">
        <f ca="1">IF(OR($L178&gt;AO$4,AO$4&gt;$L178+23),"",OFFSET(Electric!$L169,0,-'Electric Calendarize'!$L178+'Electric Calendarize'!AO$4+1))</f>
        <v>408</v>
      </c>
      <c r="AP178">
        <f ca="1">IF(OR($L178&gt;AP$4,AP$4&gt;$L178+23),"",OFFSET(Electric!$L169,0,-'Electric Calendarize'!$L178+'Electric Calendarize'!AP$4+1))</f>
        <v>642</v>
      </c>
      <c r="AQ178">
        <f ca="1">IF(OR($L178&gt;AQ$4,AQ$4&gt;$L178+23),"",OFFSET(Electric!$L169,0,-'Electric Calendarize'!$L178+'Electric Calendarize'!AQ$4+1))</f>
        <v>568</v>
      </c>
      <c r="AR178">
        <f ca="1">IF(OR($L178&gt;AR$4,AR$4&gt;$L178+23),"",OFFSET(Electric!$L169,0,-'Electric Calendarize'!$L178+'Electric Calendarize'!AR$4+1))</f>
        <v>648</v>
      </c>
      <c r="AS178">
        <f ca="1">IF(OR($L178&gt;AS$4,AS$4&gt;$L178+23),"",OFFSET(Electric!$L169,0,-'Electric Calendarize'!$L178+'Electric Calendarize'!AS$4+1))</f>
        <v>634</v>
      </c>
      <c r="AT178">
        <f ca="1">IF(OR($L178&gt;AT$4,AT$4&gt;$L178+23),"",OFFSET(Electric!$L169,0,-'Electric Calendarize'!$L178+'Electric Calendarize'!AT$4+1))</f>
        <v>616</v>
      </c>
      <c r="AU178">
        <f ca="1">IF(OR($L178&gt;AU$4,AU$4&gt;$L178+23),"",OFFSET(Electric!$L169,0,-'Electric Calendarize'!$L178+'Electric Calendarize'!AU$4+1))</f>
        <v>790</v>
      </c>
      <c r="AV178">
        <f ca="1">IF(OR($L178&gt;AV$4,AV$4&gt;$L178+23),"",OFFSET(Electric!$L169,0,-'Electric Calendarize'!$L178+'Electric Calendarize'!AV$4+1))</f>
        <v>834</v>
      </c>
      <c r="AW178">
        <f ca="1">IF(OR($L178&gt;AW$4,AW$4&gt;$L178+23),"",OFFSET(Electric!$L169,0,-'Electric Calendarize'!$L178+'Electric Calendarize'!AW$4+1))</f>
        <v>630</v>
      </c>
      <c r="AX178">
        <f ca="1">IF(OR($L178&gt;AX$4,AX$4&gt;$L178+23),"",OFFSET(Electric!$L169,0,-'Electric Calendarize'!$L178+'Electric Calendarize'!AX$4+1))</f>
        <v>554</v>
      </c>
      <c r="AY178">
        <f ca="1">IF(OR($L178&gt;AY$4,AY$4&gt;$L178+23),"",OFFSET(Electric!$L169,0,-'Electric Calendarize'!$L178+'Electric Calendarize'!AY$4+1))</f>
        <v>446</v>
      </c>
      <c r="AZ178">
        <f ca="1">IF(OR($L178&gt;AZ$4,AZ$4&gt;$L178+23),"",OFFSET(Electric!$L169,0,-'Electric Calendarize'!$L178+'Electric Calendarize'!AZ$4+1))</f>
        <v>382</v>
      </c>
      <c r="BA178">
        <f ca="1">IF(OR($L178&gt;BA$4,BA$4&gt;$L178+23),"",OFFSET(Electric!$L169,0,-'Electric Calendarize'!$L178+'Electric Calendarize'!BA$4+1))</f>
        <v>516</v>
      </c>
      <c r="BB178">
        <f ca="1">IF(OR($L178&gt;BB$4,BB$4&gt;$L178+23),"",OFFSET(Electric!$L169,0,-'Electric Calendarize'!$L178+'Electric Calendarize'!BB$4+1))</f>
        <v>672</v>
      </c>
      <c r="BC178">
        <f ca="1">IF(OR($L178&gt;BC$4,BC$4&gt;$L178+23),"",OFFSET(Electric!$L169,0,-'Electric Calendarize'!$L178+'Electric Calendarize'!BC$4+1))</f>
        <v>564</v>
      </c>
      <c r="BD178">
        <f ca="1">IF(OR($L178&gt;BD$4,BD$4&gt;$L178+23),"",OFFSET(Electric!$L169,0,-'Electric Calendarize'!$L178+'Electric Calendarize'!BD$4+1))</f>
        <v>668</v>
      </c>
      <c r="BE178" t="str">
        <f ca="1">IF(OR($L178&gt;BE$4,BE$4&gt;$L178+23),"",OFFSET(Electric!$L169,0,-'Electric Calendarize'!$L178+'Electric Calendarize'!BE$4+1))</f>
        <v/>
      </c>
      <c r="BF178" t="str">
        <f ca="1">IF(OR($L178&gt;BF$4,BF$4&gt;$L178+23),"",OFFSET(Electric!$L169,0,-'Electric Calendarize'!$L178+'Electric Calendarize'!BF$4+1))</f>
        <v/>
      </c>
      <c r="BG178" t="str">
        <f ca="1">IF(OR($L178&gt;BG$4,BG$4&gt;$L178+23),"",OFFSET(Electric!$L169,0,-'Electric Calendarize'!$L178+'Electric Calendarize'!BG$4+1))</f>
        <v/>
      </c>
      <c r="BJ178" s="10" t="s">
        <v>37</v>
      </c>
      <c r="BK178">
        <f t="shared" si="411"/>
        <v>1</v>
      </c>
      <c r="BL178">
        <f t="shared" si="317"/>
        <v>0</v>
      </c>
      <c r="BM178">
        <f t="shared" si="318"/>
        <v>0</v>
      </c>
      <c r="BN178">
        <f t="shared" si="319"/>
        <v>0</v>
      </c>
      <c r="BO178">
        <f t="shared" si="320"/>
        <v>0</v>
      </c>
      <c r="BP178">
        <f t="shared" si="321"/>
        <v>0</v>
      </c>
      <c r="BQ178">
        <f t="shared" si="322"/>
        <v>0</v>
      </c>
      <c r="BR178">
        <f t="shared" si="323"/>
        <v>1</v>
      </c>
      <c r="BS178">
        <f t="shared" si="324"/>
        <v>1</v>
      </c>
      <c r="BT178">
        <f t="shared" si="325"/>
        <v>1</v>
      </c>
      <c r="BU178">
        <f t="shared" si="326"/>
        <v>1</v>
      </c>
      <c r="BV178">
        <f t="shared" si="327"/>
        <v>1</v>
      </c>
      <c r="BW178">
        <f t="shared" si="328"/>
        <v>1</v>
      </c>
      <c r="BX178">
        <f t="shared" si="329"/>
        <v>0</v>
      </c>
      <c r="BY178">
        <f t="shared" si="330"/>
        <v>0</v>
      </c>
      <c r="BZ178">
        <f t="shared" si="331"/>
        <v>0</v>
      </c>
      <c r="CA178">
        <f t="shared" si="332"/>
        <v>0</v>
      </c>
      <c r="CB178">
        <f t="shared" si="333"/>
        <v>0</v>
      </c>
      <c r="CC178">
        <f t="shared" si="334"/>
        <v>0</v>
      </c>
      <c r="CD178">
        <f t="shared" si="335"/>
        <v>1</v>
      </c>
      <c r="CE178">
        <f t="shared" si="336"/>
        <v>1</v>
      </c>
      <c r="CF178">
        <f t="shared" si="337"/>
        <v>1</v>
      </c>
      <c r="CG178">
        <f t="shared" si="338"/>
        <v>1</v>
      </c>
      <c r="CH178">
        <f t="shared" si="339"/>
        <v>1</v>
      </c>
      <c r="CI178">
        <f t="shared" si="340"/>
        <v>1</v>
      </c>
      <c r="CJ178">
        <f t="shared" si="341"/>
        <v>0</v>
      </c>
      <c r="CK178">
        <f t="shared" si="342"/>
        <v>0</v>
      </c>
      <c r="CL178">
        <f t="shared" si="343"/>
        <v>0</v>
      </c>
      <c r="CM178">
        <f t="shared" si="344"/>
        <v>0</v>
      </c>
      <c r="CN178">
        <f t="shared" si="345"/>
        <v>0</v>
      </c>
      <c r="CO178">
        <f t="shared" si="346"/>
        <v>0</v>
      </c>
      <c r="CP178">
        <f t="shared" si="347"/>
        <v>1</v>
      </c>
      <c r="CQ178">
        <f t="shared" si="348"/>
        <v>1</v>
      </c>
      <c r="CR178">
        <f t="shared" si="349"/>
        <v>1</v>
      </c>
      <c r="CS178">
        <f t="shared" si="350"/>
        <v>1</v>
      </c>
      <c r="CT178">
        <f t="shared" si="351"/>
        <v>1</v>
      </c>
      <c r="CU178">
        <f t="shared" si="352"/>
        <v>1</v>
      </c>
      <c r="CV178">
        <f t="shared" si="353"/>
        <v>0</v>
      </c>
      <c r="CW178">
        <f t="shared" si="354"/>
        <v>0</v>
      </c>
      <c r="CX178">
        <f t="shared" si="355"/>
        <v>0</v>
      </c>
      <c r="CY178">
        <f t="shared" si="356"/>
        <v>0</v>
      </c>
      <c r="CZ178">
        <f t="shared" si="357"/>
        <v>0</v>
      </c>
      <c r="DA178">
        <f t="shared" si="358"/>
        <v>0</v>
      </c>
      <c r="DB178">
        <f t="shared" si="359"/>
        <v>1</v>
      </c>
      <c r="DC178">
        <f t="shared" si="360"/>
        <v>1</v>
      </c>
      <c r="DF178" s="10" t="s">
        <v>37</v>
      </c>
      <c r="DG178" t="str">
        <f t="shared" si="420"/>
        <v>2022_10</v>
      </c>
      <c r="DH178" t="str">
        <f t="shared" si="420"/>
        <v>2022_10</v>
      </c>
      <c r="DI178" t="str">
        <f t="shared" si="420"/>
        <v>2022_10</v>
      </c>
      <c r="DJ178" t="str">
        <f t="shared" si="420"/>
        <v>2022_10</v>
      </c>
      <c r="DK178" t="str">
        <f t="shared" si="420"/>
        <v>2022_10</v>
      </c>
      <c r="DL178" t="str">
        <f t="shared" si="420"/>
        <v>2022_10</v>
      </c>
      <c r="DM178" t="str">
        <f t="shared" si="420"/>
        <v>2022_10</v>
      </c>
      <c r="DN178" t="str">
        <f t="shared" si="420"/>
        <v>2022_10</v>
      </c>
      <c r="DO178" t="str">
        <f t="shared" si="420"/>
        <v>2022_10</v>
      </c>
      <c r="DP178" t="str">
        <f t="shared" si="420"/>
        <v>2022_10</v>
      </c>
      <c r="DQ178" t="str">
        <f t="shared" si="420"/>
        <v>2022_10</v>
      </c>
      <c r="DR178" t="str">
        <f t="shared" si="420"/>
        <v>2022_10</v>
      </c>
      <c r="DS178" t="str">
        <f t="shared" si="420"/>
        <v>2022_10</v>
      </c>
      <c r="DT178" t="str">
        <f t="shared" si="420"/>
        <v>2022_10</v>
      </c>
      <c r="DU178" t="str">
        <f t="shared" si="420"/>
        <v>2022_10</v>
      </c>
      <c r="DV178" t="str">
        <f t="shared" si="418"/>
        <v>2022_10</v>
      </c>
      <c r="DW178" t="str">
        <f t="shared" si="418"/>
        <v>2022_10</v>
      </c>
      <c r="DX178" t="str">
        <f t="shared" si="418"/>
        <v>2022_10</v>
      </c>
      <c r="DY178" t="str">
        <f t="shared" si="418"/>
        <v>2022_10</v>
      </c>
      <c r="DZ178" t="str">
        <f t="shared" si="418"/>
        <v>2022_10</v>
      </c>
      <c r="EA178" t="str">
        <f t="shared" si="418"/>
        <v>2022_10</v>
      </c>
      <c r="EB178" t="str">
        <f t="shared" si="418"/>
        <v>2022_10</v>
      </c>
      <c r="EC178" t="str">
        <f t="shared" si="418"/>
        <v>2022_10</v>
      </c>
      <c r="ED178" t="str">
        <f t="shared" si="418"/>
        <v>2022_10</v>
      </c>
      <c r="EE178" t="str">
        <f t="shared" si="418"/>
        <v>2022_10</v>
      </c>
      <c r="EF178" t="str">
        <f t="shared" si="418"/>
        <v>2022_10</v>
      </c>
      <c r="EG178" t="str">
        <f t="shared" si="418"/>
        <v>2022_10</v>
      </c>
      <c r="EH178" t="str">
        <f t="shared" si="418"/>
        <v>2022_10</v>
      </c>
      <c r="EI178" t="str">
        <f t="shared" si="418"/>
        <v>2022_10</v>
      </c>
      <c r="EJ178" t="str">
        <f t="shared" si="418"/>
        <v>2022_10</v>
      </c>
      <c r="EK178" t="str">
        <f t="shared" si="418"/>
        <v>2022_10</v>
      </c>
      <c r="EL178" t="str">
        <f t="shared" si="419"/>
        <v>2022_10</v>
      </c>
      <c r="EM178" t="str">
        <f t="shared" si="417"/>
        <v>2022_10</v>
      </c>
      <c r="EN178" t="str">
        <f t="shared" si="417"/>
        <v>2022_10</v>
      </c>
      <c r="EO178" t="str">
        <f t="shared" si="417"/>
        <v>2022_10</v>
      </c>
      <c r="EP178" t="str">
        <f t="shared" si="417"/>
        <v>2022_10</v>
      </c>
      <c r="EQ178" t="str">
        <f t="shared" si="417"/>
        <v>2022_10</v>
      </c>
      <c r="ER178" t="str">
        <f t="shared" si="417"/>
        <v>2022_10</v>
      </c>
      <c r="ES178" t="str">
        <f t="shared" si="417"/>
        <v>2022_10</v>
      </c>
      <c r="ET178" t="str">
        <f t="shared" si="417"/>
        <v>2022_10</v>
      </c>
      <c r="EU178" t="str">
        <f t="shared" si="417"/>
        <v>2022_10</v>
      </c>
      <c r="EV178" t="str">
        <f t="shared" si="417"/>
        <v>2022_10</v>
      </c>
      <c r="EW178" t="str">
        <f t="shared" si="417"/>
        <v>2022_10</v>
      </c>
      <c r="EX178" t="str">
        <f t="shared" si="417"/>
        <v>2022_10</v>
      </c>
      <c r="EY178" t="str">
        <f t="shared" si="417"/>
        <v>2022_10</v>
      </c>
      <c r="FB178" s="10" t="s">
        <v>37</v>
      </c>
      <c r="FC178">
        <f t="shared" si="413"/>
        <v>0</v>
      </c>
      <c r="FD178">
        <f t="shared" si="363"/>
        <v>0</v>
      </c>
      <c r="FE178">
        <f t="shared" si="364"/>
        <v>0</v>
      </c>
      <c r="FF178">
        <f t="shared" si="365"/>
        <v>0</v>
      </c>
      <c r="FG178">
        <f t="shared" si="366"/>
        <v>0</v>
      </c>
      <c r="FH178">
        <f t="shared" si="367"/>
        <v>0</v>
      </c>
      <c r="FI178">
        <f t="shared" si="368"/>
        <v>0</v>
      </c>
      <c r="FJ178">
        <f t="shared" si="369"/>
        <v>0</v>
      </c>
      <c r="FK178">
        <f t="shared" si="370"/>
        <v>0</v>
      </c>
      <c r="FL178">
        <f t="shared" si="371"/>
        <v>0</v>
      </c>
      <c r="FM178">
        <f t="shared" si="372"/>
        <v>0</v>
      </c>
      <c r="FN178">
        <f t="shared" si="373"/>
        <v>0</v>
      </c>
      <c r="FO178">
        <f t="shared" si="374"/>
        <v>0</v>
      </c>
      <c r="FP178">
        <f t="shared" si="375"/>
        <v>0</v>
      </c>
      <c r="FQ178">
        <f t="shared" si="376"/>
        <v>0</v>
      </c>
      <c r="FR178">
        <f t="shared" si="377"/>
        <v>0</v>
      </c>
      <c r="FS178">
        <f t="shared" si="378"/>
        <v>0</v>
      </c>
      <c r="FT178">
        <f t="shared" si="379"/>
        <v>0</v>
      </c>
      <c r="FU178">
        <f t="shared" si="380"/>
        <v>0</v>
      </c>
      <c r="FV178">
        <f t="shared" si="381"/>
        <v>0</v>
      </c>
      <c r="FW178">
        <f t="shared" si="382"/>
        <v>0</v>
      </c>
      <c r="FX178">
        <f t="shared" si="383"/>
        <v>0</v>
      </c>
      <c r="FY178">
        <f t="shared" si="384"/>
        <v>0</v>
      </c>
      <c r="FZ178">
        <f t="shared" si="385"/>
        <v>0</v>
      </c>
      <c r="GA178">
        <f t="shared" si="386"/>
        <v>0</v>
      </c>
      <c r="GB178">
        <f t="shared" si="387"/>
        <v>0</v>
      </c>
      <c r="GC178">
        <f t="shared" si="388"/>
        <v>0</v>
      </c>
      <c r="GD178">
        <f t="shared" si="389"/>
        <v>0</v>
      </c>
      <c r="GE178">
        <f t="shared" si="390"/>
        <v>0</v>
      </c>
      <c r="GF178">
        <f t="shared" si="391"/>
        <v>0</v>
      </c>
      <c r="GG178">
        <f t="shared" si="392"/>
        <v>1</v>
      </c>
      <c r="GH178">
        <f t="shared" si="393"/>
        <v>1</v>
      </c>
      <c r="GI178">
        <f t="shared" si="394"/>
        <v>1</v>
      </c>
      <c r="GJ178">
        <f t="shared" si="395"/>
        <v>1</v>
      </c>
      <c r="GK178">
        <f t="shared" si="396"/>
        <v>1</v>
      </c>
      <c r="GL178">
        <f t="shared" si="397"/>
        <v>1</v>
      </c>
      <c r="GM178">
        <f t="shared" si="398"/>
        <v>1</v>
      </c>
      <c r="GN178">
        <f t="shared" si="399"/>
        <v>1</v>
      </c>
      <c r="GO178">
        <f t="shared" si="400"/>
        <v>1</v>
      </c>
      <c r="GP178">
        <f t="shared" si="401"/>
        <v>1</v>
      </c>
      <c r="GQ178">
        <f t="shared" si="402"/>
        <v>1</v>
      </c>
      <c r="GR178">
        <f t="shared" si="403"/>
        <v>1</v>
      </c>
      <c r="GS178">
        <f t="shared" si="404"/>
        <v>1</v>
      </c>
      <c r="GT178">
        <f t="shared" si="405"/>
        <v>1</v>
      </c>
      <c r="GU178">
        <f t="shared" si="406"/>
        <v>1</v>
      </c>
      <c r="GX178" s="10"/>
    </row>
    <row r="179" spans="1:206" x14ac:dyDescent="0.3">
      <c r="A179" s="9" t="s">
        <v>209</v>
      </c>
      <c r="B179" s="80"/>
      <c r="C179" s="9">
        <v>3080583000</v>
      </c>
      <c r="D179" s="9" t="s">
        <v>472</v>
      </c>
      <c r="E179" s="9" t="s">
        <v>39</v>
      </c>
      <c r="F179" s="9" t="s">
        <v>35</v>
      </c>
      <c r="G179" s="9" t="s">
        <v>210</v>
      </c>
      <c r="H179" s="10">
        <v>44872</v>
      </c>
      <c r="I179" s="9">
        <f t="shared" si="407"/>
        <v>2022</v>
      </c>
      <c r="J179" s="9">
        <f t="shared" si="408"/>
        <v>11</v>
      </c>
      <c r="K179" s="9" t="str">
        <f t="shared" si="409"/>
        <v>2022_11</v>
      </c>
      <c r="L179">
        <f>MAX(0,VLOOKUP($K179,lookups!$A$1:$B$45,2,0)-12)</f>
        <v>19</v>
      </c>
      <c r="M179" s="40">
        <f t="shared" si="410"/>
        <v>44866</v>
      </c>
      <c r="N179" s="10" t="s">
        <v>37</v>
      </c>
      <c r="O179" t="str">
        <f ca="1">IF(OR($L179&gt;O$4,O$4&gt;$L179+23),"",OFFSET(Electric!$L170,0,-'Electric Calendarize'!$L179+'Electric Calendarize'!O$4+1))</f>
        <v/>
      </c>
      <c r="P179" t="str">
        <f ca="1">IF(OR($L179&gt;P$4,P$4&gt;$L179+23),"",OFFSET(Electric!$L170,0,-'Electric Calendarize'!$L179+'Electric Calendarize'!P$4+1))</f>
        <v/>
      </c>
      <c r="Q179" t="str">
        <f ca="1">IF(OR($L179&gt;Q$4,Q$4&gt;$L179+23),"",OFFSET(Electric!$L170,0,-'Electric Calendarize'!$L179+'Electric Calendarize'!Q$4+1))</f>
        <v/>
      </c>
      <c r="R179" t="str">
        <f ca="1">IF(OR($L179&gt;R$4,R$4&gt;$L179+23),"",OFFSET(Electric!$L170,0,-'Electric Calendarize'!$L179+'Electric Calendarize'!R$4+1))</f>
        <v/>
      </c>
      <c r="S179" t="str">
        <f ca="1">IF(OR($L179&gt;S$4,S$4&gt;$L179+23),"",OFFSET(Electric!$L170,0,-'Electric Calendarize'!$L179+'Electric Calendarize'!S$4+1))</f>
        <v/>
      </c>
      <c r="T179" t="str">
        <f ca="1">IF(OR($L179&gt;T$4,T$4&gt;$L179+23),"",OFFSET(Electric!$L170,0,-'Electric Calendarize'!$L179+'Electric Calendarize'!T$4+1))</f>
        <v/>
      </c>
      <c r="U179" t="str">
        <f ca="1">IF(OR($L179&gt;U$4,U$4&gt;$L179+23),"",OFFSET(Electric!$L170,0,-'Electric Calendarize'!$L179+'Electric Calendarize'!U$4+1))</f>
        <v/>
      </c>
      <c r="V179" t="str">
        <f ca="1">IF(OR($L179&gt;V$4,V$4&gt;$L179+23),"",OFFSET(Electric!$L170,0,-'Electric Calendarize'!$L179+'Electric Calendarize'!V$4+1))</f>
        <v/>
      </c>
      <c r="W179" t="str">
        <f ca="1">IF(OR($L179&gt;W$4,W$4&gt;$L179+23),"",OFFSET(Electric!$L170,0,-'Electric Calendarize'!$L179+'Electric Calendarize'!W$4+1))</f>
        <v/>
      </c>
      <c r="X179" t="str">
        <f ca="1">IF(OR($L179&gt;X$4,X$4&gt;$L179+23),"",OFFSET(Electric!$L170,0,-'Electric Calendarize'!$L179+'Electric Calendarize'!X$4+1))</f>
        <v/>
      </c>
      <c r="Y179" t="str">
        <f ca="1">IF(OR($L179&gt;Y$4,Y$4&gt;$L179+23),"",OFFSET(Electric!$L170,0,-'Electric Calendarize'!$L179+'Electric Calendarize'!Y$4+1))</f>
        <v/>
      </c>
      <c r="Z179" t="str">
        <f ca="1">IF(OR($L179&gt;Z$4,Z$4&gt;$L179+23),"",OFFSET(Electric!$L170,0,-'Electric Calendarize'!$L179+'Electric Calendarize'!Z$4+1))</f>
        <v/>
      </c>
      <c r="AA179" t="str">
        <f ca="1">IF(OR($L179&gt;AA$4,AA$4&gt;$L179+23),"",OFFSET(Electric!$L170,0,-'Electric Calendarize'!$L179+'Electric Calendarize'!AA$4+1))</f>
        <v/>
      </c>
      <c r="AB179" t="str">
        <f ca="1">IF(OR($L179&gt;AB$4,AB$4&gt;$L179+23),"",OFFSET(Electric!$L170,0,-'Electric Calendarize'!$L179+'Electric Calendarize'!AB$4+1))</f>
        <v/>
      </c>
      <c r="AC179" t="str">
        <f ca="1">IF(OR($L179&gt;AC$4,AC$4&gt;$L179+23),"",OFFSET(Electric!$L170,0,-'Electric Calendarize'!$L179+'Electric Calendarize'!AC$4+1))</f>
        <v/>
      </c>
      <c r="AD179" t="str">
        <f ca="1">IF(OR($L179&gt;AD$4,AD$4&gt;$L179+23),"",OFFSET(Electric!$L170,0,-'Electric Calendarize'!$L179+'Electric Calendarize'!AD$4+1))</f>
        <v/>
      </c>
      <c r="AE179" t="str">
        <f ca="1">IF(OR($L179&gt;AE$4,AE$4&gt;$L179+23),"",OFFSET(Electric!$L170,0,-'Electric Calendarize'!$L179+'Electric Calendarize'!AE$4+1))</f>
        <v/>
      </c>
      <c r="AF179" t="str">
        <f ca="1">IF(OR($L179&gt;AF$4,AF$4&gt;$L179+23),"",OFFSET(Electric!$L170,0,-'Electric Calendarize'!$L179+'Electric Calendarize'!AF$4+1))</f>
        <v/>
      </c>
      <c r="AG179" t="str">
        <f ca="1">IF(OR($L179&gt;AG$4,AG$4&gt;$L179+23),"",OFFSET(Electric!$L170,0,-'Electric Calendarize'!$L179+'Electric Calendarize'!AG$4+1))</f>
        <v/>
      </c>
      <c r="AH179">
        <f ca="1">IF(OR($L179&gt;AH$4,AH$4&gt;$L179+23),"",OFFSET(Electric!$L170,0,-'Electric Calendarize'!$L179+'Electric Calendarize'!AH$4+1))</f>
        <v>0</v>
      </c>
      <c r="AI179">
        <f ca="1">IF(OR($L179&gt;AI$4,AI$4&gt;$L179+23),"",OFFSET(Electric!$L170,0,-'Electric Calendarize'!$L179+'Electric Calendarize'!AI$4+1))</f>
        <v>0</v>
      </c>
      <c r="AJ179">
        <f ca="1">IF(OR($L179&gt;AJ$4,AJ$4&gt;$L179+23),"",OFFSET(Electric!$L170,0,-'Electric Calendarize'!$L179+'Electric Calendarize'!AJ$4+1))</f>
        <v>0</v>
      </c>
      <c r="AK179">
        <f ca="1">IF(OR($L179&gt;AK$4,AK$4&gt;$L179+23),"",OFFSET(Electric!$L170,0,-'Electric Calendarize'!$L179+'Electric Calendarize'!AK$4+1))</f>
        <v>0</v>
      </c>
      <c r="AL179">
        <f ca="1">IF(OR($L179&gt;AL$4,AL$4&gt;$L179+23),"",OFFSET(Electric!$L170,0,-'Electric Calendarize'!$L179+'Electric Calendarize'!AL$4+1))</f>
        <v>0</v>
      </c>
      <c r="AM179">
        <f ca="1">IF(OR($L179&gt;AM$4,AM$4&gt;$L179+23),"",OFFSET(Electric!$L170,0,-'Electric Calendarize'!$L179+'Electric Calendarize'!AM$4+1))</f>
        <v>0</v>
      </c>
      <c r="AN179">
        <f ca="1">IF(OR($L179&gt;AN$4,AN$4&gt;$L179+23),"",OFFSET(Electric!$L170,0,-'Electric Calendarize'!$L179+'Electric Calendarize'!AN$4+1))</f>
        <v>0</v>
      </c>
      <c r="AO179">
        <f ca="1">IF(OR($L179&gt;AO$4,AO$4&gt;$L179+23),"",OFFSET(Electric!$L170,0,-'Electric Calendarize'!$L179+'Electric Calendarize'!AO$4+1))</f>
        <v>0</v>
      </c>
      <c r="AP179">
        <f ca="1">IF(OR($L179&gt;AP$4,AP$4&gt;$L179+23),"",OFFSET(Electric!$L170,0,-'Electric Calendarize'!$L179+'Electric Calendarize'!AP$4+1))</f>
        <v>0</v>
      </c>
      <c r="AQ179">
        <f ca="1">IF(OR($L179&gt;AQ$4,AQ$4&gt;$L179+23),"",OFFSET(Electric!$L170,0,-'Electric Calendarize'!$L179+'Electric Calendarize'!AQ$4+1))</f>
        <v>0</v>
      </c>
      <c r="AR179">
        <f ca="1">IF(OR($L179&gt;AR$4,AR$4&gt;$L179+23),"",OFFSET(Electric!$L170,0,-'Electric Calendarize'!$L179+'Electric Calendarize'!AR$4+1))</f>
        <v>0</v>
      </c>
      <c r="AS179">
        <f ca="1">IF(OR($L179&gt;AS$4,AS$4&gt;$L179+23),"",OFFSET(Electric!$L170,0,-'Electric Calendarize'!$L179+'Electric Calendarize'!AS$4+1))</f>
        <v>0</v>
      </c>
      <c r="AT179">
        <f ca="1">IF(OR($L179&gt;AT$4,AT$4&gt;$L179+23),"",OFFSET(Electric!$L170,0,-'Electric Calendarize'!$L179+'Electric Calendarize'!AT$4+1))</f>
        <v>0</v>
      </c>
      <c r="AU179">
        <f ca="1">IF(OR($L179&gt;AU$4,AU$4&gt;$L179+23),"",OFFSET(Electric!$L170,0,-'Electric Calendarize'!$L179+'Electric Calendarize'!AU$4+1))</f>
        <v>0</v>
      </c>
      <c r="AV179">
        <f ca="1">IF(OR($L179&gt;AV$4,AV$4&gt;$L179+23),"",OFFSET(Electric!$L170,0,-'Electric Calendarize'!$L179+'Electric Calendarize'!AV$4+1))</f>
        <v>0</v>
      </c>
      <c r="AW179">
        <f ca="1">IF(OR($L179&gt;AW$4,AW$4&gt;$L179+23),"",OFFSET(Electric!$L170,0,-'Electric Calendarize'!$L179+'Electric Calendarize'!AW$4+1))</f>
        <v>0</v>
      </c>
      <c r="AX179">
        <f ca="1">IF(OR($L179&gt;AX$4,AX$4&gt;$L179+23),"",OFFSET(Electric!$L170,0,-'Electric Calendarize'!$L179+'Electric Calendarize'!AX$4+1))</f>
        <v>0</v>
      </c>
      <c r="AY179">
        <f ca="1">IF(OR($L179&gt;AY$4,AY$4&gt;$L179+23),"",OFFSET(Electric!$L170,0,-'Electric Calendarize'!$L179+'Electric Calendarize'!AY$4+1))</f>
        <v>0</v>
      </c>
      <c r="AZ179">
        <f ca="1">IF(OR($L179&gt;AZ$4,AZ$4&gt;$L179+23),"",OFFSET(Electric!$L170,0,-'Electric Calendarize'!$L179+'Electric Calendarize'!AZ$4+1))</f>
        <v>0</v>
      </c>
      <c r="BA179">
        <f ca="1">IF(OR($L179&gt;BA$4,BA$4&gt;$L179+23),"",OFFSET(Electric!$L170,0,-'Electric Calendarize'!$L179+'Electric Calendarize'!BA$4+1))</f>
        <v>0</v>
      </c>
      <c r="BB179">
        <f ca="1">IF(OR($L179&gt;BB$4,BB$4&gt;$L179+23),"",OFFSET(Electric!$L170,0,-'Electric Calendarize'!$L179+'Electric Calendarize'!BB$4+1))</f>
        <v>0</v>
      </c>
      <c r="BC179">
        <f ca="1">IF(OR($L179&gt;BC$4,BC$4&gt;$L179+23),"",OFFSET(Electric!$L170,0,-'Electric Calendarize'!$L179+'Electric Calendarize'!BC$4+1))</f>
        <v>0</v>
      </c>
      <c r="BD179">
        <f ca="1">IF(OR($L179&gt;BD$4,BD$4&gt;$L179+23),"",OFFSET(Electric!$L170,0,-'Electric Calendarize'!$L179+'Electric Calendarize'!BD$4+1))</f>
        <v>0</v>
      </c>
      <c r="BE179">
        <f ca="1">IF(OR($L179&gt;BE$4,BE$4&gt;$L179+23),"",OFFSET(Electric!$L170,0,-'Electric Calendarize'!$L179+'Electric Calendarize'!BE$4+1))</f>
        <v>0</v>
      </c>
      <c r="BF179" t="str">
        <f ca="1">IF(OR($L179&gt;BF$4,BF$4&gt;$L179+23),"",OFFSET(Electric!$L170,0,-'Electric Calendarize'!$L179+'Electric Calendarize'!BF$4+1))</f>
        <v/>
      </c>
      <c r="BG179" t="str">
        <f ca="1">IF(OR($L179&gt;BG$4,BG$4&gt;$L179+23),"",OFFSET(Electric!$L170,0,-'Electric Calendarize'!$L179+'Electric Calendarize'!BG$4+1))</f>
        <v/>
      </c>
      <c r="BJ179" s="10" t="s">
        <v>37</v>
      </c>
      <c r="BK179">
        <f t="shared" si="411"/>
        <v>1</v>
      </c>
      <c r="BL179">
        <f t="shared" si="317"/>
        <v>0</v>
      </c>
      <c r="BM179">
        <f t="shared" si="318"/>
        <v>0</v>
      </c>
      <c r="BN179">
        <f t="shared" si="319"/>
        <v>0</v>
      </c>
      <c r="BO179">
        <f t="shared" si="320"/>
        <v>0</v>
      </c>
      <c r="BP179">
        <f t="shared" si="321"/>
        <v>0</v>
      </c>
      <c r="BQ179">
        <f t="shared" si="322"/>
        <v>0</v>
      </c>
      <c r="BR179">
        <f t="shared" si="323"/>
        <v>1</v>
      </c>
      <c r="BS179">
        <f t="shared" si="324"/>
        <v>1</v>
      </c>
      <c r="BT179">
        <f t="shared" si="325"/>
        <v>1</v>
      </c>
      <c r="BU179">
        <f t="shared" si="326"/>
        <v>1</v>
      </c>
      <c r="BV179">
        <f t="shared" si="327"/>
        <v>1</v>
      </c>
      <c r="BW179">
        <f t="shared" si="328"/>
        <v>1</v>
      </c>
      <c r="BX179">
        <f t="shared" si="329"/>
        <v>0</v>
      </c>
      <c r="BY179">
        <f t="shared" si="330"/>
        <v>0</v>
      </c>
      <c r="BZ179">
        <f t="shared" si="331"/>
        <v>0</v>
      </c>
      <c r="CA179">
        <f t="shared" si="332"/>
        <v>0</v>
      </c>
      <c r="CB179">
        <f t="shared" si="333"/>
        <v>0</v>
      </c>
      <c r="CC179">
        <f t="shared" si="334"/>
        <v>0</v>
      </c>
      <c r="CD179">
        <f t="shared" si="335"/>
        <v>1</v>
      </c>
      <c r="CE179">
        <f t="shared" si="336"/>
        <v>1</v>
      </c>
      <c r="CF179">
        <f t="shared" si="337"/>
        <v>1</v>
      </c>
      <c r="CG179">
        <f t="shared" si="338"/>
        <v>1</v>
      </c>
      <c r="CH179">
        <f t="shared" si="339"/>
        <v>1</v>
      </c>
      <c r="CI179">
        <f t="shared" si="340"/>
        <v>1</v>
      </c>
      <c r="CJ179">
        <f t="shared" si="341"/>
        <v>0</v>
      </c>
      <c r="CK179">
        <f t="shared" si="342"/>
        <v>0</v>
      </c>
      <c r="CL179">
        <f t="shared" si="343"/>
        <v>0</v>
      </c>
      <c r="CM179">
        <f t="shared" si="344"/>
        <v>0</v>
      </c>
      <c r="CN179">
        <f t="shared" si="345"/>
        <v>0</v>
      </c>
      <c r="CO179">
        <f t="shared" si="346"/>
        <v>0</v>
      </c>
      <c r="CP179">
        <f t="shared" si="347"/>
        <v>1</v>
      </c>
      <c r="CQ179">
        <f t="shared" si="348"/>
        <v>1</v>
      </c>
      <c r="CR179">
        <f t="shared" si="349"/>
        <v>1</v>
      </c>
      <c r="CS179">
        <f t="shared" si="350"/>
        <v>1</v>
      </c>
      <c r="CT179">
        <f t="shared" si="351"/>
        <v>1</v>
      </c>
      <c r="CU179">
        <f t="shared" si="352"/>
        <v>1</v>
      </c>
      <c r="CV179">
        <f t="shared" si="353"/>
        <v>0</v>
      </c>
      <c r="CW179">
        <f t="shared" si="354"/>
        <v>0</v>
      </c>
      <c r="CX179">
        <f t="shared" si="355"/>
        <v>0</v>
      </c>
      <c r="CY179">
        <f t="shared" si="356"/>
        <v>0</v>
      </c>
      <c r="CZ179">
        <f t="shared" si="357"/>
        <v>0</v>
      </c>
      <c r="DA179">
        <f t="shared" si="358"/>
        <v>0</v>
      </c>
      <c r="DB179">
        <f t="shared" si="359"/>
        <v>1</v>
      </c>
      <c r="DC179">
        <f t="shared" si="360"/>
        <v>1</v>
      </c>
      <c r="DF179" s="10" t="s">
        <v>37</v>
      </c>
      <c r="DG179" t="str">
        <f t="shared" si="420"/>
        <v>2022_11</v>
      </c>
      <c r="DH179" t="str">
        <f t="shared" si="420"/>
        <v>2022_11</v>
      </c>
      <c r="DI179" t="str">
        <f t="shared" si="420"/>
        <v>2022_11</v>
      </c>
      <c r="DJ179" t="str">
        <f t="shared" si="420"/>
        <v>2022_11</v>
      </c>
      <c r="DK179" t="str">
        <f t="shared" si="420"/>
        <v>2022_11</v>
      </c>
      <c r="DL179" t="str">
        <f t="shared" si="420"/>
        <v>2022_11</v>
      </c>
      <c r="DM179" t="str">
        <f t="shared" si="420"/>
        <v>2022_11</v>
      </c>
      <c r="DN179" t="str">
        <f t="shared" si="420"/>
        <v>2022_11</v>
      </c>
      <c r="DO179" t="str">
        <f t="shared" si="420"/>
        <v>2022_11</v>
      </c>
      <c r="DP179" t="str">
        <f t="shared" si="420"/>
        <v>2022_11</v>
      </c>
      <c r="DQ179" t="str">
        <f t="shared" si="420"/>
        <v>2022_11</v>
      </c>
      <c r="DR179" t="str">
        <f t="shared" si="420"/>
        <v>2022_11</v>
      </c>
      <c r="DS179" t="str">
        <f t="shared" si="420"/>
        <v>2022_11</v>
      </c>
      <c r="DT179" t="str">
        <f t="shared" si="420"/>
        <v>2022_11</v>
      </c>
      <c r="DU179" t="str">
        <f t="shared" si="420"/>
        <v>2022_11</v>
      </c>
      <c r="DV179" t="str">
        <f t="shared" si="418"/>
        <v>2022_11</v>
      </c>
      <c r="DW179" t="str">
        <f t="shared" si="418"/>
        <v>2022_11</v>
      </c>
      <c r="DX179" t="str">
        <f t="shared" si="418"/>
        <v>2022_11</v>
      </c>
      <c r="DY179" t="str">
        <f t="shared" si="418"/>
        <v>2022_11</v>
      </c>
      <c r="DZ179" t="str">
        <f t="shared" si="418"/>
        <v>2022_11</v>
      </c>
      <c r="EA179" t="str">
        <f t="shared" si="418"/>
        <v>2022_11</v>
      </c>
      <c r="EB179" t="str">
        <f t="shared" si="418"/>
        <v>2022_11</v>
      </c>
      <c r="EC179" t="str">
        <f t="shared" si="418"/>
        <v>2022_11</v>
      </c>
      <c r="ED179" t="str">
        <f t="shared" si="418"/>
        <v>2022_11</v>
      </c>
      <c r="EE179" t="str">
        <f t="shared" si="418"/>
        <v>2022_11</v>
      </c>
      <c r="EF179" t="str">
        <f t="shared" si="418"/>
        <v>2022_11</v>
      </c>
      <c r="EG179" t="str">
        <f t="shared" si="418"/>
        <v>2022_11</v>
      </c>
      <c r="EH179" t="str">
        <f t="shared" si="418"/>
        <v>2022_11</v>
      </c>
      <c r="EI179" t="str">
        <f t="shared" si="418"/>
        <v>2022_11</v>
      </c>
      <c r="EJ179" t="str">
        <f t="shared" si="418"/>
        <v>2022_11</v>
      </c>
      <c r="EK179" t="str">
        <f t="shared" si="418"/>
        <v>2022_11</v>
      </c>
      <c r="EL179" t="str">
        <f t="shared" si="419"/>
        <v>2022_11</v>
      </c>
      <c r="EM179" t="str">
        <f t="shared" si="417"/>
        <v>2022_11</v>
      </c>
      <c r="EN179" t="str">
        <f t="shared" si="417"/>
        <v>2022_11</v>
      </c>
      <c r="EO179" t="str">
        <f t="shared" si="417"/>
        <v>2022_11</v>
      </c>
      <c r="EP179" t="str">
        <f t="shared" si="417"/>
        <v>2022_11</v>
      </c>
      <c r="EQ179" t="str">
        <f t="shared" si="417"/>
        <v>2022_11</v>
      </c>
      <c r="ER179" t="str">
        <f t="shared" si="417"/>
        <v>2022_11</v>
      </c>
      <c r="ES179" t="str">
        <f t="shared" si="417"/>
        <v>2022_11</v>
      </c>
      <c r="ET179" t="str">
        <f t="shared" si="417"/>
        <v>2022_11</v>
      </c>
      <c r="EU179" t="str">
        <f t="shared" si="417"/>
        <v>2022_11</v>
      </c>
      <c r="EV179" t="str">
        <f t="shared" si="417"/>
        <v>2022_11</v>
      </c>
      <c r="EW179" t="str">
        <f t="shared" si="417"/>
        <v>2022_11</v>
      </c>
      <c r="EX179" t="str">
        <f t="shared" si="417"/>
        <v>2022_11</v>
      </c>
      <c r="EY179" t="str">
        <f t="shared" si="417"/>
        <v>2022_11</v>
      </c>
      <c r="FB179" s="10" t="s">
        <v>37</v>
      </c>
      <c r="FC179">
        <f t="shared" si="413"/>
        <v>0</v>
      </c>
      <c r="FD179">
        <f t="shared" si="363"/>
        <v>0</v>
      </c>
      <c r="FE179">
        <f t="shared" si="364"/>
        <v>0</v>
      </c>
      <c r="FF179">
        <f t="shared" si="365"/>
        <v>0</v>
      </c>
      <c r="FG179">
        <f t="shared" si="366"/>
        <v>0</v>
      </c>
      <c r="FH179">
        <f t="shared" si="367"/>
        <v>0</v>
      </c>
      <c r="FI179">
        <f t="shared" si="368"/>
        <v>0</v>
      </c>
      <c r="FJ179">
        <f t="shared" si="369"/>
        <v>0</v>
      </c>
      <c r="FK179">
        <f t="shared" si="370"/>
        <v>0</v>
      </c>
      <c r="FL179">
        <f t="shared" si="371"/>
        <v>0</v>
      </c>
      <c r="FM179">
        <f t="shared" si="372"/>
        <v>0</v>
      </c>
      <c r="FN179">
        <f t="shared" si="373"/>
        <v>0</v>
      </c>
      <c r="FO179">
        <f t="shared" si="374"/>
        <v>0</v>
      </c>
      <c r="FP179">
        <f t="shared" si="375"/>
        <v>0</v>
      </c>
      <c r="FQ179">
        <f t="shared" si="376"/>
        <v>0</v>
      </c>
      <c r="FR179">
        <f t="shared" si="377"/>
        <v>0</v>
      </c>
      <c r="FS179">
        <f t="shared" si="378"/>
        <v>0</v>
      </c>
      <c r="FT179">
        <f t="shared" si="379"/>
        <v>0</v>
      </c>
      <c r="FU179">
        <f t="shared" si="380"/>
        <v>0</v>
      </c>
      <c r="FV179">
        <f t="shared" si="381"/>
        <v>0</v>
      </c>
      <c r="FW179">
        <f t="shared" si="382"/>
        <v>0</v>
      </c>
      <c r="FX179">
        <f t="shared" si="383"/>
        <v>0</v>
      </c>
      <c r="FY179">
        <f t="shared" si="384"/>
        <v>0</v>
      </c>
      <c r="FZ179">
        <f t="shared" si="385"/>
        <v>0</v>
      </c>
      <c r="GA179">
        <f t="shared" si="386"/>
        <v>0</v>
      </c>
      <c r="GB179">
        <f t="shared" si="387"/>
        <v>0</v>
      </c>
      <c r="GC179">
        <f t="shared" si="388"/>
        <v>0</v>
      </c>
      <c r="GD179">
        <f t="shared" si="389"/>
        <v>0</v>
      </c>
      <c r="GE179">
        <f t="shared" si="390"/>
        <v>0</v>
      </c>
      <c r="GF179">
        <f t="shared" si="391"/>
        <v>0</v>
      </c>
      <c r="GG179">
        <f t="shared" si="392"/>
        <v>0</v>
      </c>
      <c r="GH179">
        <f t="shared" si="393"/>
        <v>1</v>
      </c>
      <c r="GI179">
        <f t="shared" si="394"/>
        <v>1</v>
      </c>
      <c r="GJ179">
        <f t="shared" si="395"/>
        <v>1</v>
      </c>
      <c r="GK179">
        <f t="shared" si="396"/>
        <v>1</v>
      </c>
      <c r="GL179">
        <f t="shared" si="397"/>
        <v>1</v>
      </c>
      <c r="GM179">
        <f t="shared" si="398"/>
        <v>1</v>
      </c>
      <c r="GN179">
        <f t="shared" si="399"/>
        <v>1</v>
      </c>
      <c r="GO179">
        <f t="shared" si="400"/>
        <v>1</v>
      </c>
      <c r="GP179">
        <f t="shared" si="401"/>
        <v>1</v>
      </c>
      <c r="GQ179">
        <f t="shared" si="402"/>
        <v>1</v>
      </c>
      <c r="GR179">
        <f t="shared" si="403"/>
        <v>1</v>
      </c>
      <c r="GS179">
        <f t="shared" si="404"/>
        <v>1</v>
      </c>
      <c r="GT179">
        <f t="shared" si="405"/>
        <v>1</v>
      </c>
      <c r="GU179">
        <f t="shared" si="406"/>
        <v>1</v>
      </c>
      <c r="GX179" s="10"/>
    </row>
    <row r="180" spans="1:206" x14ac:dyDescent="0.3">
      <c r="A180" s="9" t="s">
        <v>33</v>
      </c>
      <c r="B180" s="80"/>
      <c r="C180" s="9">
        <v>3151981002</v>
      </c>
      <c r="D180" s="9" t="s">
        <v>421</v>
      </c>
      <c r="E180" s="9" t="s">
        <v>34</v>
      </c>
      <c r="F180" s="9" t="s">
        <v>35</v>
      </c>
      <c r="G180" s="9" t="s">
        <v>211</v>
      </c>
      <c r="H180" s="10">
        <v>44879</v>
      </c>
      <c r="I180" s="9">
        <f t="shared" si="407"/>
        <v>2022</v>
      </c>
      <c r="J180" s="9">
        <f t="shared" si="408"/>
        <v>11</v>
      </c>
      <c r="K180" s="9" t="str">
        <f t="shared" si="409"/>
        <v>2022_11</v>
      </c>
      <c r="L180">
        <f>MAX(0,VLOOKUP($K180,lookups!$A$1:$B$45,2,0)-12)</f>
        <v>19</v>
      </c>
      <c r="M180" s="40">
        <f t="shared" si="410"/>
        <v>44866</v>
      </c>
      <c r="N180" s="10" t="s">
        <v>37</v>
      </c>
      <c r="O180" t="str">
        <f ca="1">IF(OR($L180&gt;O$4,O$4&gt;$L180+23),"",OFFSET(Electric!$L171,0,-'Electric Calendarize'!$L180+'Electric Calendarize'!O$4+1))</f>
        <v/>
      </c>
      <c r="P180" t="str">
        <f ca="1">IF(OR($L180&gt;P$4,P$4&gt;$L180+23),"",OFFSET(Electric!$L171,0,-'Electric Calendarize'!$L180+'Electric Calendarize'!P$4+1))</f>
        <v/>
      </c>
      <c r="Q180" t="str">
        <f ca="1">IF(OR($L180&gt;Q$4,Q$4&gt;$L180+23),"",OFFSET(Electric!$L171,0,-'Electric Calendarize'!$L180+'Electric Calendarize'!Q$4+1))</f>
        <v/>
      </c>
      <c r="R180" t="str">
        <f ca="1">IF(OR($L180&gt;R$4,R$4&gt;$L180+23),"",OFFSET(Electric!$L171,0,-'Electric Calendarize'!$L180+'Electric Calendarize'!R$4+1))</f>
        <v/>
      </c>
      <c r="S180" t="str">
        <f ca="1">IF(OR($L180&gt;S$4,S$4&gt;$L180+23),"",OFFSET(Electric!$L171,0,-'Electric Calendarize'!$L180+'Electric Calendarize'!S$4+1))</f>
        <v/>
      </c>
      <c r="T180" t="str">
        <f ca="1">IF(OR($L180&gt;T$4,T$4&gt;$L180+23),"",OFFSET(Electric!$L171,0,-'Electric Calendarize'!$L180+'Electric Calendarize'!T$4+1))</f>
        <v/>
      </c>
      <c r="U180" t="str">
        <f ca="1">IF(OR($L180&gt;U$4,U$4&gt;$L180+23),"",OFFSET(Electric!$L171,0,-'Electric Calendarize'!$L180+'Electric Calendarize'!U$4+1))</f>
        <v/>
      </c>
      <c r="V180" t="str">
        <f ca="1">IF(OR($L180&gt;V$4,V$4&gt;$L180+23),"",OFFSET(Electric!$L171,0,-'Electric Calendarize'!$L180+'Electric Calendarize'!V$4+1))</f>
        <v/>
      </c>
      <c r="W180" t="str">
        <f ca="1">IF(OR($L180&gt;W$4,W$4&gt;$L180+23),"",OFFSET(Electric!$L171,0,-'Electric Calendarize'!$L180+'Electric Calendarize'!W$4+1))</f>
        <v/>
      </c>
      <c r="X180" t="str">
        <f ca="1">IF(OR($L180&gt;X$4,X$4&gt;$L180+23),"",OFFSET(Electric!$L171,0,-'Electric Calendarize'!$L180+'Electric Calendarize'!X$4+1))</f>
        <v/>
      </c>
      <c r="Y180" t="str">
        <f ca="1">IF(OR($L180&gt;Y$4,Y$4&gt;$L180+23),"",OFFSET(Electric!$L171,0,-'Electric Calendarize'!$L180+'Electric Calendarize'!Y$4+1))</f>
        <v/>
      </c>
      <c r="Z180" t="str">
        <f ca="1">IF(OR($L180&gt;Z$4,Z$4&gt;$L180+23),"",OFFSET(Electric!$L171,0,-'Electric Calendarize'!$L180+'Electric Calendarize'!Z$4+1))</f>
        <v/>
      </c>
      <c r="AA180" t="str">
        <f ca="1">IF(OR($L180&gt;AA$4,AA$4&gt;$L180+23),"",OFFSET(Electric!$L171,0,-'Electric Calendarize'!$L180+'Electric Calendarize'!AA$4+1))</f>
        <v/>
      </c>
      <c r="AB180" t="str">
        <f ca="1">IF(OR($L180&gt;AB$4,AB$4&gt;$L180+23),"",OFFSET(Electric!$L171,0,-'Electric Calendarize'!$L180+'Electric Calendarize'!AB$4+1))</f>
        <v/>
      </c>
      <c r="AC180" t="str">
        <f ca="1">IF(OR($L180&gt;AC$4,AC$4&gt;$L180+23),"",OFFSET(Electric!$L171,0,-'Electric Calendarize'!$L180+'Electric Calendarize'!AC$4+1))</f>
        <v/>
      </c>
      <c r="AD180" t="str">
        <f ca="1">IF(OR($L180&gt;AD$4,AD$4&gt;$L180+23),"",OFFSET(Electric!$L171,0,-'Electric Calendarize'!$L180+'Electric Calendarize'!AD$4+1))</f>
        <v/>
      </c>
      <c r="AE180" t="str">
        <f ca="1">IF(OR($L180&gt;AE$4,AE$4&gt;$L180+23),"",OFFSET(Electric!$L171,0,-'Electric Calendarize'!$L180+'Electric Calendarize'!AE$4+1))</f>
        <v/>
      </c>
      <c r="AF180" t="str">
        <f ca="1">IF(OR($L180&gt;AF$4,AF$4&gt;$L180+23),"",OFFSET(Electric!$L171,0,-'Electric Calendarize'!$L180+'Electric Calendarize'!AF$4+1))</f>
        <v/>
      </c>
      <c r="AG180" t="str">
        <f ca="1">IF(OR($L180&gt;AG$4,AG$4&gt;$L180+23),"",OFFSET(Electric!$L171,0,-'Electric Calendarize'!$L180+'Electric Calendarize'!AG$4+1))</f>
        <v/>
      </c>
      <c r="AH180">
        <f ca="1">IF(OR($L180&gt;AH$4,AH$4&gt;$L180+23),"",OFFSET(Electric!$L171,0,-'Electric Calendarize'!$L180+'Electric Calendarize'!AH$4+1))</f>
        <v>536</v>
      </c>
      <c r="AI180">
        <f ca="1">IF(OR($L180&gt;AI$4,AI$4&gt;$L180+23),"",OFFSET(Electric!$L171,0,-'Electric Calendarize'!$L180+'Electric Calendarize'!AI$4+1))</f>
        <v>868</v>
      </c>
      <c r="AJ180">
        <f ca="1">IF(OR($L180&gt;AJ$4,AJ$4&gt;$L180+23),"",OFFSET(Electric!$L171,0,-'Electric Calendarize'!$L180+'Electric Calendarize'!AJ$4+1))</f>
        <v>1264</v>
      </c>
      <c r="AK180">
        <f ca="1">IF(OR($L180&gt;AK$4,AK$4&gt;$L180+23),"",OFFSET(Electric!$L171,0,-'Electric Calendarize'!$L180+'Electric Calendarize'!AK$4+1))</f>
        <v>1212</v>
      </c>
      <c r="AL180">
        <f ca="1">IF(OR($L180&gt;AL$4,AL$4&gt;$L180+23),"",OFFSET(Electric!$L171,0,-'Electric Calendarize'!$L180+'Electric Calendarize'!AL$4+1))</f>
        <v>1118</v>
      </c>
      <c r="AM180">
        <f ca="1">IF(OR($L180&gt;AM$4,AM$4&gt;$L180+23),"",OFFSET(Electric!$L171,0,-'Electric Calendarize'!$L180+'Electric Calendarize'!AM$4+1))</f>
        <v>736</v>
      </c>
      <c r="AN180">
        <f ca="1">IF(OR($L180&gt;AN$4,AN$4&gt;$L180+23),"",OFFSET(Electric!$L171,0,-'Electric Calendarize'!$L180+'Electric Calendarize'!AN$4+1))</f>
        <v>574</v>
      </c>
      <c r="AO180">
        <f ca="1">IF(OR($L180&gt;AO$4,AO$4&gt;$L180+23),"",OFFSET(Electric!$L171,0,-'Electric Calendarize'!$L180+'Electric Calendarize'!AO$4+1))</f>
        <v>720</v>
      </c>
      <c r="AP180">
        <f ca="1">IF(OR($L180&gt;AP$4,AP$4&gt;$L180+23),"",OFFSET(Electric!$L171,0,-'Electric Calendarize'!$L180+'Electric Calendarize'!AP$4+1))</f>
        <v>760</v>
      </c>
      <c r="AQ180">
        <f ca="1">IF(OR($L180&gt;AQ$4,AQ$4&gt;$L180+23),"",OFFSET(Electric!$L171,0,-'Electric Calendarize'!$L180+'Electric Calendarize'!AQ$4+1))</f>
        <v>1084</v>
      </c>
      <c r="AR180">
        <f ca="1">IF(OR($L180&gt;AR$4,AR$4&gt;$L180+23),"",OFFSET(Electric!$L171,0,-'Electric Calendarize'!$L180+'Electric Calendarize'!AR$4+1))</f>
        <v>960</v>
      </c>
      <c r="AS180">
        <f ca="1">IF(OR($L180&gt;AS$4,AS$4&gt;$L180+23),"",OFFSET(Electric!$L171,0,-'Electric Calendarize'!$L180+'Electric Calendarize'!AS$4+1))</f>
        <v>686</v>
      </c>
      <c r="AT180">
        <f ca="1">IF(OR($L180&gt;AT$4,AT$4&gt;$L180+23),"",OFFSET(Electric!$L171,0,-'Electric Calendarize'!$L180+'Electric Calendarize'!AT$4+1))</f>
        <v>580</v>
      </c>
      <c r="AU180">
        <f ca="1">IF(OR($L180&gt;AU$4,AU$4&gt;$L180+23),"",OFFSET(Electric!$L171,0,-'Electric Calendarize'!$L180+'Electric Calendarize'!AU$4+1))</f>
        <v>998</v>
      </c>
      <c r="AV180">
        <f ca="1">IF(OR($L180&gt;AV$4,AV$4&gt;$L180+23),"",OFFSET(Electric!$L171,0,-'Electric Calendarize'!$L180+'Electric Calendarize'!AV$4+1))</f>
        <v>1614</v>
      </c>
      <c r="AW180">
        <f ca="1">IF(OR($L180&gt;AW$4,AW$4&gt;$L180+23),"",OFFSET(Electric!$L171,0,-'Electric Calendarize'!$L180+'Electric Calendarize'!AW$4+1))</f>
        <v>1270</v>
      </c>
      <c r="AX180">
        <f ca="1">IF(OR($L180&gt;AX$4,AX$4&gt;$L180+23),"",OFFSET(Electric!$L171,0,-'Electric Calendarize'!$L180+'Electric Calendarize'!AX$4+1))</f>
        <v>1110</v>
      </c>
      <c r="AY180">
        <f ca="1">IF(OR($L180&gt;AY$4,AY$4&gt;$L180+23),"",OFFSET(Electric!$L171,0,-'Electric Calendarize'!$L180+'Electric Calendarize'!AY$4+1))</f>
        <v>778</v>
      </c>
      <c r="AZ180">
        <f ca="1">IF(OR($L180&gt;AZ$4,AZ$4&gt;$L180+23),"",OFFSET(Electric!$L171,0,-'Electric Calendarize'!$L180+'Electric Calendarize'!AZ$4+1))</f>
        <v>610</v>
      </c>
      <c r="BA180">
        <f ca="1">IF(OR($L180&gt;BA$4,BA$4&gt;$L180+23),"",OFFSET(Electric!$L171,0,-'Electric Calendarize'!$L180+'Electric Calendarize'!BA$4+1))</f>
        <v>456</v>
      </c>
      <c r="BB180">
        <f ca="1">IF(OR($L180&gt;BB$4,BB$4&gt;$L180+23),"",OFFSET(Electric!$L171,0,-'Electric Calendarize'!$L180+'Electric Calendarize'!BB$4+1))</f>
        <v>534</v>
      </c>
      <c r="BC180">
        <f ca="1">IF(OR($L180&gt;BC$4,BC$4&gt;$L180+23),"",OFFSET(Electric!$L171,0,-'Electric Calendarize'!$L180+'Electric Calendarize'!BC$4+1))</f>
        <v>894</v>
      </c>
      <c r="BD180">
        <f ca="1">IF(OR($L180&gt;BD$4,BD$4&gt;$L180+23),"",OFFSET(Electric!$L171,0,-'Electric Calendarize'!$L180+'Electric Calendarize'!BD$4+1))</f>
        <v>844</v>
      </c>
      <c r="BE180">
        <f ca="1">IF(OR($L180&gt;BE$4,BE$4&gt;$L180+23),"",OFFSET(Electric!$L171,0,-'Electric Calendarize'!$L180+'Electric Calendarize'!BE$4+1))</f>
        <v>756</v>
      </c>
      <c r="BF180" t="str">
        <f ca="1">IF(OR($L180&gt;BF$4,BF$4&gt;$L180+23),"",OFFSET(Electric!$L171,0,-'Electric Calendarize'!$L180+'Electric Calendarize'!BF$4+1))</f>
        <v/>
      </c>
      <c r="BG180" t="str">
        <f ca="1">IF(OR($L180&gt;BG$4,BG$4&gt;$L180+23),"",OFFSET(Electric!$L171,0,-'Electric Calendarize'!$L180+'Electric Calendarize'!BG$4+1))</f>
        <v/>
      </c>
      <c r="BJ180" s="10" t="s">
        <v>37</v>
      </c>
      <c r="BK180">
        <f t="shared" si="411"/>
        <v>1</v>
      </c>
      <c r="BL180">
        <f t="shared" si="317"/>
        <v>0</v>
      </c>
      <c r="BM180">
        <f t="shared" si="318"/>
        <v>0</v>
      </c>
      <c r="BN180">
        <f t="shared" si="319"/>
        <v>0</v>
      </c>
      <c r="BO180">
        <f t="shared" si="320"/>
        <v>0</v>
      </c>
      <c r="BP180">
        <f t="shared" si="321"/>
        <v>0</v>
      </c>
      <c r="BQ180">
        <f t="shared" si="322"/>
        <v>0</v>
      </c>
      <c r="BR180">
        <f t="shared" si="323"/>
        <v>1</v>
      </c>
      <c r="BS180">
        <f t="shared" si="324"/>
        <v>1</v>
      </c>
      <c r="BT180">
        <f t="shared" si="325"/>
        <v>1</v>
      </c>
      <c r="BU180">
        <f t="shared" si="326"/>
        <v>1</v>
      </c>
      <c r="BV180">
        <f t="shared" si="327"/>
        <v>1</v>
      </c>
      <c r="BW180">
        <f t="shared" si="328"/>
        <v>1</v>
      </c>
      <c r="BX180">
        <f t="shared" si="329"/>
        <v>0</v>
      </c>
      <c r="BY180">
        <f t="shared" si="330"/>
        <v>0</v>
      </c>
      <c r="BZ180">
        <f t="shared" si="331"/>
        <v>0</v>
      </c>
      <c r="CA180">
        <f t="shared" si="332"/>
        <v>0</v>
      </c>
      <c r="CB180">
        <f t="shared" si="333"/>
        <v>0</v>
      </c>
      <c r="CC180">
        <f t="shared" si="334"/>
        <v>0</v>
      </c>
      <c r="CD180">
        <f t="shared" si="335"/>
        <v>1</v>
      </c>
      <c r="CE180">
        <f t="shared" si="336"/>
        <v>1</v>
      </c>
      <c r="CF180">
        <f t="shared" si="337"/>
        <v>1</v>
      </c>
      <c r="CG180">
        <f t="shared" si="338"/>
        <v>1</v>
      </c>
      <c r="CH180">
        <f t="shared" si="339"/>
        <v>1</v>
      </c>
      <c r="CI180">
        <f t="shared" si="340"/>
        <v>1</v>
      </c>
      <c r="CJ180">
        <f t="shared" si="341"/>
        <v>0</v>
      </c>
      <c r="CK180">
        <f t="shared" si="342"/>
        <v>0</v>
      </c>
      <c r="CL180">
        <f t="shared" si="343"/>
        <v>0</v>
      </c>
      <c r="CM180">
        <f t="shared" si="344"/>
        <v>0</v>
      </c>
      <c r="CN180">
        <f t="shared" si="345"/>
        <v>0</v>
      </c>
      <c r="CO180">
        <f t="shared" si="346"/>
        <v>0</v>
      </c>
      <c r="CP180">
        <f t="shared" si="347"/>
        <v>1</v>
      </c>
      <c r="CQ180">
        <f t="shared" si="348"/>
        <v>1</v>
      </c>
      <c r="CR180">
        <f t="shared" si="349"/>
        <v>1</v>
      </c>
      <c r="CS180">
        <f t="shared" si="350"/>
        <v>1</v>
      </c>
      <c r="CT180">
        <f t="shared" si="351"/>
        <v>1</v>
      </c>
      <c r="CU180">
        <f t="shared" si="352"/>
        <v>1</v>
      </c>
      <c r="CV180">
        <f t="shared" si="353"/>
        <v>0</v>
      </c>
      <c r="CW180">
        <f t="shared" si="354"/>
        <v>0</v>
      </c>
      <c r="CX180">
        <f t="shared" si="355"/>
        <v>0</v>
      </c>
      <c r="CY180">
        <f t="shared" si="356"/>
        <v>0</v>
      </c>
      <c r="CZ180">
        <f t="shared" si="357"/>
        <v>0</v>
      </c>
      <c r="DA180">
        <f t="shared" si="358"/>
        <v>0</v>
      </c>
      <c r="DB180">
        <f t="shared" si="359"/>
        <v>1</v>
      </c>
      <c r="DC180">
        <f t="shared" si="360"/>
        <v>1</v>
      </c>
      <c r="DF180" s="10" t="s">
        <v>37</v>
      </c>
      <c r="DG180" t="str">
        <f t="shared" si="420"/>
        <v>2022_11</v>
      </c>
      <c r="DH180" t="str">
        <f t="shared" si="420"/>
        <v>2022_11</v>
      </c>
      <c r="DI180" t="str">
        <f t="shared" si="420"/>
        <v>2022_11</v>
      </c>
      <c r="DJ180" t="str">
        <f t="shared" si="420"/>
        <v>2022_11</v>
      </c>
      <c r="DK180" t="str">
        <f t="shared" si="420"/>
        <v>2022_11</v>
      </c>
      <c r="DL180" t="str">
        <f t="shared" si="420"/>
        <v>2022_11</v>
      </c>
      <c r="DM180" t="str">
        <f t="shared" si="420"/>
        <v>2022_11</v>
      </c>
      <c r="DN180" t="str">
        <f t="shared" si="420"/>
        <v>2022_11</v>
      </c>
      <c r="DO180" t="str">
        <f t="shared" si="420"/>
        <v>2022_11</v>
      </c>
      <c r="DP180" t="str">
        <f t="shared" si="420"/>
        <v>2022_11</v>
      </c>
      <c r="DQ180" t="str">
        <f t="shared" si="420"/>
        <v>2022_11</v>
      </c>
      <c r="DR180" t="str">
        <f t="shared" si="420"/>
        <v>2022_11</v>
      </c>
      <c r="DS180" t="str">
        <f t="shared" si="420"/>
        <v>2022_11</v>
      </c>
      <c r="DT180" t="str">
        <f t="shared" si="420"/>
        <v>2022_11</v>
      </c>
      <c r="DU180" t="str">
        <f t="shared" si="420"/>
        <v>2022_11</v>
      </c>
      <c r="DV180" t="str">
        <f t="shared" si="418"/>
        <v>2022_11</v>
      </c>
      <c r="DW180" t="str">
        <f t="shared" si="418"/>
        <v>2022_11</v>
      </c>
      <c r="DX180" t="str">
        <f t="shared" si="418"/>
        <v>2022_11</v>
      </c>
      <c r="DY180" t="str">
        <f t="shared" si="418"/>
        <v>2022_11</v>
      </c>
      <c r="DZ180" t="str">
        <f t="shared" si="418"/>
        <v>2022_11</v>
      </c>
      <c r="EA180" t="str">
        <f t="shared" si="418"/>
        <v>2022_11</v>
      </c>
      <c r="EB180" t="str">
        <f t="shared" si="418"/>
        <v>2022_11</v>
      </c>
      <c r="EC180" t="str">
        <f t="shared" si="418"/>
        <v>2022_11</v>
      </c>
      <c r="ED180" t="str">
        <f t="shared" si="418"/>
        <v>2022_11</v>
      </c>
      <c r="EE180" t="str">
        <f t="shared" si="418"/>
        <v>2022_11</v>
      </c>
      <c r="EF180" t="str">
        <f t="shared" si="418"/>
        <v>2022_11</v>
      </c>
      <c r="EG180" t="str">
        <f t="shared" si="418"/>
        <v>2022_11</v>
      </c>
      <c r="EH180" t="str">
        <f t="shared" si="418"/>
        <v>2022_11</v>
      </c>
      <c r="EI180" t="str">
        <f t="shared" si="418"/>
        <v>2022_11</v>
      </c>
      <c r="EJ180" t="str">
        <f t="shared" si="418"/>
        <v>2022_11</v>
      </c>
      <c r="EK180" t="str">
        <f t="shared" si="418"/>
        <v>2022_11</v>
      </c>
      <c r="EL180" t="str">
        <f t="shared" si="419"/>
        <v>2022_11</v>
      </c>
      <c r="EM180" t="str">
        <f t="shared" si="417"/>
        <v>2022_11</v>
      </c>
      <c r="EN180" t="str">
        <f t="shared" si="417"/>
        <v>2022_11</v>
      </c>
      <c r="EO180" t="str">
        <f t="shared" si="417"/>
        <v>2022_11</v>
      </c>
      <c r="EP180" t="str">
        <f t="shared" si="417"/>
        <v>2022_11</v>
      </c>
      <c r="EQ180" t="str">
        <f t="shared" si="417"/>
        <v>2022_11</v>
      </c>
      <c r="ER180" t="str">
        <f t="shared" si="417"/>
        <v>2022_11</v>
      </c>
      <c r="ES180" t="str">
        <f t="shared" si="417"/>
        <v>2022_11</v>
      </c>
      <c r="ET180" t="str">
        <f t="shared" si="417"/>
        <v>2022_11</v>
      </c>
      <c r="EU180" t="str">
        <f t="shared" si="417"/>
        <v>2022_11</v>
      </c>
      <c r="EV180" t="str">
        <f t="shared" si="417"/>
        <v>2022_11</v>
      </c>
      <c r="EW180" t="str">
        <f t="shared" si="417"/>
        <v>2022_11</v>
      </c>
      <c r="EX180" t="str">
        <f t="shared" si="417"/>
        <v>2022_11</v>
      </c>
      <c r="EY180" t="str">
        <f t="shared" si="417"/>
        <v>2022_11</v>
      </c>
      <c r="FB180" s="10" t="s">
        <v>37</v>
      </c>
      <c r="FC180">
        <f t="shared" si="413"/>
        <v>0</v>
      </c>
      <c r="FD180">
        <f t="shared" si="363"/>
        <v>0</v>
      </c>
      <c r="FE180">
        <f t="shared" si="364"/>
        <v>0</v>
      </c>
      <c r="FF180">
        <f t="shared" si="365"/>
        <v>0</v>
      </c>
      <c r="FG180">
        <f t="shared" si="366"/>
        <v>0</v>
      </c>
      <c r="FH180">
        <f t="shared" si="367"/>
        <v>0</v>
      </c>
      <c r="FI180">
        <f t="shared" si="368"/>
        <v>0</v>
      </c>
      <c r="FJ180">
        <f t="shared" si="369"/>
        <v>0</v>
      </c>
      <c r="FK180">
        <f t="shared" si="370"/>
        <v>0</v>
      </c>
      <c r="FL180">
        <f t="shared" si="371"/>
        <v>0</v>
      </c>
      <c r="FM180">
        <f t="shared" si="372"/>
        <v>0</v>
      </c>
      <c r="FN180">
        <f t="shared" si="373"/>
        <v>0</v>
      </c>
      <c r="FO180">
        <f t="shared" si="374"/>
        <v>0</v>
      </c>
      <c r="FP180">
        <f t="shared" si="375"/>
        <v>0</v>
      </c>
      <c r="FQ180">
        <f t="shared" si="376"/>
        <v>0</v>
      </c>
      <c r="FR180">
        <f t="shared" si="377"/>
        <v>0</v>
      </c>
      <c r="FS180">
        <f t="shared" si="378"/>
        <v>0</v>
      </c>
      <c r="FT180">
        <f t="shared" si="379"/>
        <v>0</v>
      </c>
      <c r="FU180">
        <f t="shared" si="380"/>
        <v>0</v>
      </c>
      <c r="FV180">
        <f t="shared" si="381"/>
        <v>0</v>
      </c>
      <c r="FW180">
        <f t="shared" si="382"/>
        <v>0</v>
      </c>
      <c r="FX180">
        <f t="shared" si="383"/>
        <v>0</v>
      </c>
      <c r="FY180">
        <f t="shared" si="384"/>
        <v>0</v>
      </c>
      <c r="FZ180">
        <f t="shared" si="385"/>
        <v>0</v>
      </c>
      <c r="GA180">
        <f t="shared" si="386"/>
        <v>0</v>
      </c>
      <c r="GB180">
        <f t="shared" si="387"/>
        <v>0</v>
      </c>
      <c r="GC180">
        <f t="shared" si="388"/>
        <v>0</v>
      </c>
      <c r="GD180">
        <f t="shared" si="389"/>
        <v>0</v>
      </c>
      <c r="GE180">
        <f t="shared" si="390"/>
        <v>0</v>
      </c>
      <c r="GF180">
        <f t="shared" si="391"/>
        <v>0</v>
      </c>
      <c r="GG180">
        <f t="shared" si="392"/>
        <v>0</v>
      </c>
      <c r="GH180">
        <f t="shared" si="393"/>
        <v>1</v>
      </c>
      <c r="GI180">
        <f t="shared" si="394"/>
        <v>1</v>
      </c>
      <c r="GJ180">
        <f t="shared" si="395"/>
        <v>1</v>
      </c>
      <c r="GK180">
        <f t="shared" si="396"/>
        <v>1</v>
      </c>
      <c r="GL180">
        <f t="shared" si="397"/>
        <v>1</v>
      </c>
      <c r="GM180">
        <f t="shared" si="398"/>
        <v>1</v>
      </c>
      <c r="GN180">
        <f t="shared" si="399"/>
        <v>1</v>
      </c>
      <c r="GO180">
        <f t="shared" si="400"/>
        <v>1</v>
      </c>
      <c r="GP180">
        <f t="shared" si="401"/>
        <v>1</v>
      </c>
      <c r="GQ180">
        <f t="shared" si="402"/>
        <v>1</v>
      </c>
      <c r="GR180">
        <f t="shared" si="403"/>
        <v>1</v>
      </c>
      <c r="GS180">
        <f t="shared" si="404"/>
        <v>1</v>
      </c>
      <c r="GT180">
        <f t="shared" si="405"/>
        <v>1</v>
      </c>
      <c r="GU180">
        <f t="shared" si="406"/>
        <v>1</v>
      </c>
      <c r="GX180" s="10"/>
    </row>
    <row r="181" spans="1:206" x14ac:dyDescent="0.3">
      <c r="A181" s="9" t="s">
        <v>33</v>
      </c>
      <c r="B181" s="80"/>
      <c r="C181" s="9">
        <v>3131469000</v>
      </c>
      <c r="D181" s="9" t="s">
        <v>473</v>
      </c>
      <c r="E181" s="9" t="s">
        <v>43</v>
      </c>
      <c r="F181" s="9" t="s">
        <v>35</v>
      </c>
      <c r="G181" s="9" t="s">
        <v>212</v>
      </c>
      <c r="H181" s="10">
        <v>44888</v>
      </c>
      <c r="I181" s="9">
        <f t="shared" si="407"/>
        <v>2022</v>
      </c>
      <c r="J181" s="9">
        <f t="shared" si="408"/>
        <v>11</v>
      </c>
      <c r="K181" s="9" t="str">
        <f t="shared" si="409"/>
        <v>2022_11</v>
      </c>
      <c r="L181">
        <f>MAX(0,VLOOKUP($K181,lookups!$A$1:$B$45,2,0)-12)</f>
        <v>19</v>
      </c>
      <c r="M181" s="40">
        <f t="shared" si="410"/>
        <v>44866</v>
      </c>
      <c r="N181" s="10" t="s">
        <v>37</v>
      </c>
      <c r="O181" t="str">
        <f ca="1">IF(OR($L181&gt;O$4,O$4&gt;$L181+23),"",OFFSET(Electric!$L172,0,-'Electric Calendarize'!$L181+'Electric Calendarize'!O$4+1))</f>
        <v/>
      </c>
      <c r="P181" t="str">
        <f ca="1">IF(OR($L181&gt;P$4,P$4&gt;$L181+23),"",OFFSET(Electric!$L172,0,-'Electric Calendarize'!$L181+'Electric Calendarize'!P$4+1))</f>
        <v/>
      </c>
      <c r="Q181" t="str">
        <f ca="1">IF(OR($L181&gt;Q$4,Q$4&gt;$L181+23),"",OFFSET(Electric!$L172,0,-'Electric Calendarize'!$L181+'Electric Calendarize'!Q$4+1))</f>
        <v/>
      </c>
      <c r="R181" t="str">
        <f ca="1">IF(OR($L181&gt;R$4,R$4&gt;$L181+23),"",OFFSET(Electric!$L172,0,-'Electric Calendarize'!$L181+'Electric Calendarize'!R$4+1))</f>
        <v/>
      </c>
      <c r="S181" t="str">
        <f ca="1">IF(OR($L181&gt;S$4,S$4&gt;$L181+23),"",OFFSET(Electric!$L172,0,-'Electric Calendarize'!$L181+'Electric Calendarize'!S$4+1))</f>
        <v/>
      </c>
      <c r="T181" t="str">
        <f ca="1">IF(OR($L181&gt;T$4,T$4&gt;$L181+23),"",OFFSET(Electric!$L172,0,-'Electric Calendarize'!$L181+'Electric Calendarize'!T$4+1))</f>
        <v/>
      </c>
      <c r="U181" t="str">
        <f ca="1">IF(OR($L181&gt;U$4,U$4&gt;$L181+23),"",OFFSET(Electric!$L172,0,-'Electric Calendarize'!$L181+'Electric Calendarize'!U$4+1))</f>
        <v/>
      </c>
      <c r="V181" t="str">
        <f ca="1">IF(OR($L181&gt;V$4,V$4&gt;$L181+23),"",OFFSET(Electric!$L172,0,-'Electric Calendarize'!$L181+'Electric Calendarize'!V$4+1))</f>
        <v/>
      </c>
      <c r="W181" t="str">
        <f ca="1">IF(OR($L181&gt;W$4,W$4&gt;$L181+23),"",OFFSET(Electric!$L172,0,-'Electric Calendarize'!$L181+'Electric Calendarize'!W$4+1))</f>
        <v/>
      </c>
      <c r="X181" t="str">
        <f ca="1">IF(OR($L181&gt;X$4,X$4&gt;$L181+23),"",OFFSET(Electric!$L172,0,-'Electric Calendarize'!$L181+'Electric Calendarize'!X$4+1))</f>
        <v/>
      </c>
      <c r="Y181" t="str">
        <f ca="1">IF(OR($L181&gt;Y$4,Y$4&gt;$L181+23),"",OFFSET(Electric!$L172,0,-'Electric Calendarize'!$L181+'Electric Calendarize'!Y$4+1))</f>
        <v/>
      </c>
      <c r="Z181" t="str">
        <f ca="1">IF(OR($L181&gt;Z$4,Z$4&gt;$L181+23),"",OFFSET(Electric!$L172,0,-'Electric Calendarize'!$L181+'Electric Calendarize'!Z$4+1))</f>
        <v/>
      </c>
      <c r="AA181" t="str">
        <f ca="1">IF(OR($L181&gt;AA$4,AA$4&gt;$L181+23),"",OFFSET(Electric!$L172,0,-'Electric Calendarize'!$L181+'Electric Calendarize'!AA$4+1))</f>
        <v/>
      </c>
      <c r="AB181" t="str">
        <f ca="1">IF(OR($L181&gt;AB$4,AB$4&gt;$L181+23),"",OFFSET(Electric!$L172,0,-'Electric Calendarize'!$L181+'Electric Calendarize'!AB$4+1))</f>
        <v/>
      </c>
      <c r="AC181" t="str">
        <f ca="1">IF(OR($L181&gt;AC$4,AC$4&gt;$L181+23),"",OFFSET(Electric!$L172,0,-'Electric Calendarize'!$L181+'Electric Calendarize'!AC$4+1))</f>
        <v/>
      </c>
      <c r="AD181" t="str">
        <f ca="1">IF(OR($L181&gt;AD$4,AD$4&gt;$L181+23),"",OFFSET(Electric!$L172,0,-'Electric Calendarize'!$L181+'Electric Calendarize'!AD$4+1))</f>
        <v/>
      </c>
      <c r="AE181" t="str">
        <f ca="1">IF(OR($L181&gt;AE$4,AE$4&gt;$L181+23),"",OFFSET(Electric!$L172,0,-'Electric Calendarize'!$L181+'Electric Calendarize'!AE$4+1))</f>
        <v/>
      </c>
      <c r="AF181" t="str">
        <f ca="1">IF(OR($L181&gt;AF$4,AF$4&gt;$L181+23),"",OFFSET(Electric!$L172,0,-'Electric Calendarize'!$L181+'Electric Calendarize'!AF$4+1))</f>
        <v/>
      </c>
      <c r="AG181" t="str">
        <f ca="1">IF(OR($L181&gt;AG$4,AG$4&gt;$L181+23),"",OFFSET(Electric!$L172,0,-'Electric Calendarize'!$L181+'Electric Calendarize'!AG$4+1))</f>
        <v/>
      </c>
      <c r="AH181">
        <f ca="1">IF(OR($L181&gt;AH$4,AH$4&gt;$L181+23),"",OFFSET(Electric!$L172,0,-'Electric Calendarize'!$L181+'Electric Calendarize'!AH$4+1))</f>
        <v>408</v>
      </c>
      <c r="AI181">
        <f ca="1">IF(OR($L181&gt;AI$4,AI$4&gt;$L181+23),"",OFFSET(Electric!$L172,0,-'Electric Calendarize'!$L181+'Electric Calendarize'!AI$4+1))</f>
        <v>559</v>
      </c>
      <c r="AJ181">
        <f ca="1">IF(OR($L181&gt;AJ$4,AJ$4&gt;$L181+23),"",OFFSET(Electric!$L172,0,-'Electric Calendarize'!$L181+'Electric Calendarize'!AJ$4+1))</f>
        <v>780</v>
      </c>
      <c r="AK181">
        <f ca="1">IF(OR($L181&gt;AK$4,AK$4&gt;$L181+23),"",OFFSET(Electric!$L172,0,-'Electric Calendarize'!$L181+'Electric Calendarize'!AK$4+1))</f>
        <v>460</v>
      </c>
      <c r="AL181">
        <f ca="1">IF(OR($L181&gt;AL$4,AL$4&gt;$L181+23),"",OFFSET(Electric!$L172,0,-'Electric Calendarize'!$L181+'Electric Calendarize'!AL$4+1))</f>
        <v>462</v>
      </c>
      <c r="AM181">
        <f ca="1">IF(OR($L181&gt;AM$4,AM$4&gt;$L181+23),"",OFFSET(Electric!$L172,0,-'Electric Calendarize'!$L181+'Electric Calendarize'!AM$4+1))</f>
        <v>356</v>
      </c>
      <c r="AN181">
        <f ca="1">IF(OR($L181&gt;AN$4,AN$4&gt;$L181+23),"",OFFSET(Electric!$L172,0,-'Electric Calendarize'!$L181+'Electric Calendarize'!AN$4+1))</f>
        <v>376</v>
      </c>
      <c r="AO181">
        <f ca="1">IF(OR($L181&gt;AO$4,AO$4&gt;$L181+23),"",OFFSET(Electric!$L172,0,-'Electric Calendarize'!$L181+'Electric Calendarize'!AO$4+1))</f>
        <v>446</v>
      </c>
      <c r="AP181">
        <f ca="1">IF(OR($L181&gt;AP$4,AP$4&gt;$L181+23),"",OFFSET(Electric!$L172,0,-'Electric Calendarize'!$L181+'Electric Calendarize'!AP$4+1))</f>
        <v>734</v>
      </c>
      <c r="AQ181">
        <f ca="1">IF(OR($L181&gt;AQ$4,AQ$4&gt;$L181+23),"",OFFSET(Electric!$L172,0,-'Electric Calendarize'!$L181+'Electric Calendarize'!AQ$4+1))</f>
        <v>759</v>
      </c>
      <c r="AR181">
        <f ca="1">IF(OR($L181&gt;AR$4,AR$4&gt;$L181+23),"",OFFSET(Electric!$L172,0,-'Electric Calendarize'!$L181+'Electric Calendarize'!AR$4+1))</f>
        <v>686</v>
      </c>
      <c r="AS181">
        <f ca="1">IF(OR($L181&gt;AS$4,AS$4&gt;$L181+23),"",OFFSET(Electric!$L172,0,-'Electric Calendarize'!$L181+'Electric Calendarize'!AS$4+1))</f>
        <v>420</v>
      </c>
      <c r="AT181">
        <f ca="1">IF(OR($L181&gt;AT$4,AT$4&gt;$L181+23),"",OFFSET(Electric!$L172,0,-'Electric Calendarize'!$L181+'Electric Calendarize'!AT$4+1))</f>
        <v>649</v>
      </c>
      <c r="AU181">
        <f ca="1">IF(OR($L181&gt;AU$4,AU$4&gt;$L181+23),"",OFFSET(Electric!$L172,0,-'Electric Calendarize'!$L181+'Electric Calendarize'!AU$4+1))</f>
        <v>680</v>
      </c>
      <c r="AV181">
        <f ca="1">IF(OR($L181&gt;AV$4,AV$4&gt;$L181+23),"",OFFSET(Electric!$L172,0,-'Electric Calendarize'!$L181+'Electric Calendarize'!AV$4+1))</f>
        <v>854</v>
      </c>
      <c r="AW181">
        <f ca="1">IF(OR($L181&gt;AW$4,AW$4&gt;$L181+23),"",OFFSET(Electric!$L172,0,-'Electric Calendarize'!$L181+'Electric Calendarize'!AW$4+1))</f>
        <v>519</v>
      </c>
      <c r="AX181">
        <f ca="1">IF(OR($L181&gt;AX$4,AX$4&gt;$L181+23),"",OFFSET(Electric!$L172,0,-'Electric Calendarize'!$L181+'Electric Calendarize'!AX$4+1))</f>
        <v>415</v>
      </c>
      <c r="AY181">
        <f ca="1">IF(OR($L181&gt;AY$4,AY$4&gt;$L181+23),"",OFFSET(Electric!$L172,0,-'Electric Calendarize'!$L181+'Electric Calendarize'!AY$4+1))</f>
        <v>428</v>
      </c>
      <c r="AZ181">
        <f ca="1">IF(OR($L181&gt;AZ$4,AZ$4&gt;$L181+23),"",OFFSET(Electric!$L172,0,-'Electric Calendarize'!$L181+'Electric Calendarize'!AZ$4+1))</f>
        <v>407</v>
      </c>
      <c r="BA181">
        <f ca="1">IF(OR($L181&gt;BA$4,BA$4&gt;$L181+23),"",OFFSET(Electric!$L172,0,-'Electric Calendarize'!$L181+'Electric Calendarize'!BA$4+1))</f>
        <v>540</v>
      </c>
      <c r="BB181">
        <f ca="1">IF(OR($L181&gt;BB$4,BB$4&gt;$L181+23),"",OFFSET(Electric!$L172,0,-'Electric Calendarize'!$L181+'Electric Calendarize'!BB$4+1))</f>
        <v>865</v>
      </c>
      <c r="BC181">
        <f ca="1">IF(OR($L181&gt;BC$4,BC$4&gt;$L181+23),"",OFFSET(Electric!$L172,0,-'Electric Calendarize'!$L181+'Electric Calendarize'!BC$4+1))</f>
        <v>700</v>
      </c>
      <c r="BD181">
        <f ca="1">IF(OR($L181&gt;BD$4,BD$4&gt;$L181+23),"",OFFSET(Electric!$L172,0,-'Electric Calendarize'!$L181+'Electric Calendarize'!BD$4+1))</f>
        <v>641</v>
      </c>
      <c r="BE181">
        <f ca="1">IF(OR($L181&gt;BE$4,BE$4&gt;$L181+23),"",OFFSET(Electric!$L172,0,-'Electric Calendarize'!$L181+'Electric Calendarize'!BE$4+1))</f>
        <v>544</v>
      </c>
      <c r="BF181" t="str">
        <f ca="1">IF(OR($L181&gt;BF$4,BF$4&gt;$L181+23),"",OFFSET(Electric!$L172,0,-'Electric Calendarize'!$L181+'Electric Calendarize'!BF$4+1))</f>
        <v/>
      </c>
      <c r="BG181" t="str">
        <f ca="1">IF(OR($L181&gt;BG$4,BG$4&gt;$L181+23),"",OFFSET(Electric!$L172,0,-'Electric Calendarize'!$L181+'Electric Calendarize'!BG$4+1))</f>
        <v/>
      </c>
      <c r="BJ181" s="10" t="s">
        <v>37</v>
      </c>
      <c r="BK181">
        <f t="shared" si="411"/>
        <v>1</v>
      </c>
      <c r="BL181">
        <f t="shared" si="317"/>
        <v>0</v>
      </c>
      <c r="BM181">
        <f t="shared" si="318"/>
        <v>0</v>
      </c>
      <c r="BN181">
        <f t="shared" si="319"/>
        <v>0</v>
      </c>
      <c r="BO181">
        <f t="shared" si="320"/>
        <v>0</v>
      </c>
      <c r="BP181">
        <f t="shared" si="321"/>
        <v>0</v>
      </c>
      <c r="BQ181">
        <f t="shared" si="322"/>
        <v>0</v>
      </c>
      <c r="BR181">
        <f t="shared" si="323"/>
        <v>1</v>
      </c>
      <c r="BS181">
        <f t="shared" si="324"/>
        <v>1</v>
      </c>
      <c r="BT181">
        <f t="shared" si="325"/>
        <v>1</v>
      </c>
      <c r="BU181">
        <f t="shared" si="326"/>
        <v>1</v>
      </c>
      <c r="BV181">
        <f t="shared" si="327"/>
        <v>1</v>
      </c>
      <c r="BW181">
        <f t="shared" si="328"/>
        <v>1</v>
      </c>
      <c r="BX181">
        <f t="shared" si="329"/>
        <v>0</v>
      </c>
      <c r="BY181">
        <f t="shared" si="330"/>
        <v>0</v>
      </c>
      <c r="BZ181">
        <f t="shared" si="331"/>
        <v>0</v>
      </c>
      <c r="CA181">
        <f t="shared" si="332"/>
        <v>0</v>
      </c>
      <c r="CB181">
        <f t="shared" si="333"/>
        <v>0</v>
      </c>
      <c r="CC181">
        <f t="shared" si="334"/>
        <v>0</v>
      </c>
      <c r="CD181">
        <f t="shared" si="335"/>
        <v>1</v>
      </c>
      <c r="CE181">
        <f t="shared" si="336"/>
        <v>1</v>
      </c>
      <c r="CF181">
        <f t="shared" si="337"/>
        <v>1</v>
      </c>
      <c r="CG181">
        <f t="shared" si="338"/>
        <v>1</v>
      </c>
      <c r="CH181">
        <f t="shared" si="339"/>
        <v>1</v>
      </c>
      <c r="CI181">
        <f t="shared" si="340"/>
        <v>1</v>
      </c>
      <c r="CJ181">
        <f t="shared" si="341"/>
        <v>0</v>
      </c>
      <c r="CK181">
        <f t="shared" si="342"/>
        <v>0</v>
      </c>
      <c r="CL181">
        <f t="shared" si="343"/>
        <v>0</v>
      </c>
      <c r="CM181">
        <f t="shared" si="344"/>
        <v>0</v>
      </c>
      <c r="CN181">
        <f t="shared" si="345"/>
        <v>0</v>
      </c>
      <c r="CO181">
        <f t="shared" si="346"/>
        <v>0</v>
      </c>
      <c r="CP181">
        <f t="shared" si="347"/>
        <v>1</v>
      </c>
      <c r="CQ181">
        <f t="shared" si="348"/>
        <v>1</v>
      </c>
      <c r="CR181">
        <f t="shared" si="349"/>
        <v>1</v>
      </c>
      <c r="CS181">
        <f t="shared" si="350"/>
        <v>1</v>
      </c>
      <c r="CT181">
        <f t="shared" si="351"/>
        <v>1</v>
      </c>
      <c r="CU181">
        <f t="shared" si="352"/>
        <v>1</v>
      </c>
      <c r="CV181">
        <f t="shared" si="353"/>
        <v>0</v>
      </c>
      <c r="CW181">
        <f t="shared" si="354"/>
        <v>0</v>
      </c>
      <c r="CX181">
        <f t="shared" si="355"/>
        <v>0</v>
      </c>
      <c r="CY181">
        <f t="shared" si="356"/>
        <v>0</v>
      </c>
      <c r="CZ181">
        <f t="shared" si="357"/>
        <v>0</v>
      </c>
      <c r="DA181">
        <f t="shared" si="358"/>
        <v>0</v>
      </c>
      <c r="DB181">
        <f t="shared" si="359"/>
        <v>1</v>
      </c>
      <c r="DC181">
        <f t="shared" si="360"/>
        <v>1</v>
      </c>
      <c r="DF181" s="10" t="s">
        <v>37</v>
      </c>
      <c r="DG181" t="str">
        <f t="shared" si="420"/>
        <v>2022_11</v>
      </c>
      <c r="DH181" t="str">
        <f t="shared" si="420"/>
        <v>2022_11</v>
      </c>
      <c r="DI181" t="str">
        <f t="shared" si="420"/>
        <v>2022_11</v>
      </c>
      <c r="DJ181" t="str">
        <f t="shared" si="420"/>
        <v>2022_11</v>
      </c>
      <c r="DK181" t="str">
        <f t="shared" si="420"/>
        <v>2022_11</v>
      </c>
      <c r="DL181" t="str">
        <f t="shared" si="420"/>
        <v>2022_11</v>
      </c>
      <c r="DM181" t="str">
        <f t="shared" si="420"/>
        <v>2022_11</v>
      </c>
      <c r="DN181" t="str">
        <f t="shared" si="420"/>
        <v>2022_11</v>
      </c>
      <c r="DO181" t="str">
        <f t="shared" si="420"/>
        <v>2022_11</v>
      </c>
      <c r="DP181" t="str">
        <f t="shared" si="420"/>
        <v>2022_11</v>
      </c>
      <c r="DQ181" t="str">
        <f t="shared" si="420"/>
        <v>2022_11</v>
      </c>
      <c r="DR181" t="str">
        <f t="shared" si="420"/>
        <v>2022_11</v>
      </c>
      <c r="DS181" t="str">
        <f t="shared" si="420"/>
        <v>2022_11</v>
      </c>
      <c r="DT181" t="str">
        <f t="shared" si="420"/>
        <v>2022_11</v>
      </c>
      <c r="DU181" t="str">
        <f t="shared" si="420"/>
        <v>2022_11</v>
      </c>
      <c r="DV181" t="str">
        <f t="shared" si="418"/>
        <v>2022_11</v>
      </c>
      <c r="DW181" t="str">
        <f t="shared" si="418"/>
        <v>2022_11</v>
      </c>
      <c r="DX181" t="str">
        <f t="shared" si="418"/>
        <v>2022_11</v>
      </c>
      <c r="DY181" t="str">
        <f t="shared" si="418"/>
        <v>2022_11</v>
      </c>
      <c r="DZ181" t="str">
        <f t="shared" si="418"/>
        <v>2022_11</v>
      </c>
      <c r="EA181" t="str">
        <f t="shared" si="418"/>
        <v>2022_11</v>
      </c>
      <c r="EB181" t="str">
        <f t="shared" si="418"/>
        <v>2022_11</v>
      </c>
      <c r="EC181" t="str">
        <f t="shared" si="418"/>
        <v>2022_11</v>
      </c>
      <c r="ED181" t="str">
        <f t="shared" si="418"/>
        <v>2022_11</v>
      </c>
      <c r="EE181" t="str">
        <f t="shared" si="418"/>
        <v>2022_11</v>
      </c>
      <c r="EF181" t="str">
        <f t="shared" si="418"/>
        <v>2022_11</v>
      </c>
      <c r="EG181" t="str">
        <f t="shared" si="418"/>
        <v>2022_11</v>
      </c>
      <c r="EH181" t="str">
        <f t="shared" si="418"/>
        <v>2022_11</v>
      </c>
      <c r="EI181" t="str">
        <f t="shared" si="418"/>
        <v>2022_11</v>
      </c>
      <c r="EJ181" t="str">
        <f t="shared" si="418"/>
        <v>2022_11</v>
      </c>
      <c r="EK181" t="str">
        <f t="shared" si="418"/>
        <v>2022_11</v>
      </c>
      <c r="EL181" t="str">
        <f t="shared" si="419"/>
        <v>2022_11</v>
      </c>
      <c r="EM181" t="str">
        <f t="shared" si="417"/>
        <v>2022_11</v>
      </c>
      <c r="EN181" t="str">
        <f t="shared" si="417"/>
        <v>2022_11</v>
      </c>
      <c r="EO181" t="str">
        <f t="shared" si="417"/>
        <v>2022_11</v>
      </c>
      <c r="EP181" t="str">
        <f t="shared" si="417"/>
        <v>2022_11</v>
      </c>
      <c r="EQ181" t="str">
        <f t="shared" si="417"/>
        <v>2022_11</v>
      </c>
      <c r="ER181" t="str">
        <f t="shared" si="417"/>
        <v>2022_11</v>
      </c>
      <c r="ES181" t="str">
        <f t="shared" si="417"/>
        <v>2022_11</v>
      </c>
      <c r="ET181" t="str">
        <f t="shared" si="417"/>
        <v>2022_11</v>
      </c>
      <c r="EU181" t="str">
        <f t="shared" si="417"/>
        <v>2022_11</v>
      </c>
      <c r="EV181" t="str">
        <f t="shared" si="417"/>
        <v>2022_11</v>
      </c>
      <c r="EW181" t="str">
        <f t="shared" si="417"/>
        <v>2022_11</v>
      </c>
      <c r="EX181" t="str">
        <f t="shared" si="417"/>
        <v>2022_11</v>
      </c>
      <c r="EY181" t="str">
        <f t="shared" si="417"/>
        <v>2022_11</v>
      </c>
      <c r="FB181" s="10" t="s">
        <v>37</v>
      </c>
      <c r="FC181">
        <f t="shared" si="413"/>
        <v>0</v>
      </c>
      <c r="FD181">
        <f t="shared" si="363"/>
        <v>0</v>
      </c>
      <c r="FE181">
        <f t="shared" si="364"/>
        <v>0</v>
      </c>
      <c r="FF181">
        <f t="shared" si="365"/>
        <v>0</v>
      </c>
      <c r="FG181">
        <f t="shared" si="366"/>
        <v>0</v>
      </c>
      <c r="FH181">
        <f t="shared" si="367"/>
        <v>0</v>
      </c>
      <c r="FI181">
        <f t="shared" si="368"/>
        <v>0</v>
      </c>
      <c r="FJ181">
        <f t="shared" si="369"/>
        <v>0</v>
      </c>
      <c r="FK181">
        <f t="shared" si="370"/>
        <v>0</v>
      </c>
      <c r="FL181">
        <f t="shared" si="371"/>
        <v>0</v>
      </c>
      <c r="FM181">
        <f t="shared" si="372"/>
        <v>0</v>
      </c>
      <c r="FN181">
        <f t="shared" si="373"/>
        <v>0</v>
      </c>
      <c r="FO181">
        <f t="shared" si="374"/>
        <v>0</v>
      </c>
      <c r="FP181">
        <f t="shared" si="375"/>
        <v>0</v>
      </c>
      <c r="FQ181">
        <f t="shared" si="376"/>
        <v>0</v>
      </c>
      <c r="FR181">
        <f t="shared" si="377"/>
        <v>0</v>
      </c>
      <c r="FS181">
        <f t="shared" si="378"/>
        <v>0</v>
      </c>
      <c r="FT181">
        <f t="shared" si="379"/>
        <v>0</v>
      </c>
      <c r="FU181">
        <f t="shared" si="380"/>
        <v>0</v>
      </c>
      <c r="FV181">
        <f t="shared" si="381"/>
        <v>0</v>
      </c>
      <c r="FW181">
        <f t="shared" si="382"/>
        <v>0</v>
      </c>
      <c r="FX181">
        <f t="shared" si="383"/>
        <v>0</v>
      </c>
      <c r="FY181">
        <f t="shared" si="384"/>
        <v>0</v>
      </c>
      <c r="FZ181">
        <f t="shared" si="385"/>
        <v>0</v>
      </c>
      <c r="GA181">
        <f t="shared" si="386"/>
        <v>0</v>
      </c>
      <c r="GB181">
        <f t="shared" si="387"/>
        <v>0</v>
      </c>
      <c r="GC181">
        <f t="shared" si="388"/>
        <v>0</v>
      </c>
      <c r="GD181">
        <f t="shared" si="389"/>
        <v>0</v>
      </c>
      <c r="GE181">
        <f t="shared" si="390"/>
        <v>0</v>
      </c>
      <c r="GF181">
        <f t="shared" si="391"/>
        <v>0</v>
      </c>
      <c r="GG181">
        <f t="shared" si="392"/>
        <v>0</v>
      </c>
      <c r="GH181">
        <f t="shared" si="393"/>
        <v>1</v>
      </c>
      <c r="GI181">
        <f t="shared" si="394"/>
        <v>1</v>
      </c>
      <c r="GJ181">
        <f t="shared" si="395"/>
        <v>1</v>
      </c>
      <c r="GK181">
        <f t="shared" si="396"/>
        <v>1</v>
      </c>
      <c r="GL181">
        <f t="shared" si="397"/>
        <v>1</v>
      </c>
      <c r="GM181">
        <f t="shared" si="398"/>
        <v>1</v>
      </c>
      <c r="GN181">
        <f t="shared" si="399"/>
        <v>1</v>
      </c>
      <c r="GO181">
        <f t="shared" si="400"/>
        <v>1</v>
      </c>
      <c r="GP181">
        <f t="shared" si="401"/>
        <v>1</v>
      </c>
      <c r="GQ181">
        <f t="shared" si="402"/>
        <v>1</v>
      </c>
      <c r="GR181">
        <f t="shared" si="403"/>
        <v>1</v>
      </c>
      <c r="GS181">
        <f t="shared" si="404"/>
        <v>1</v>
      </c>
      <c r="GT181">
        <f t="shared" si="405"/>
        <v>1</v>
      </c>
      <c r="GU181">
        <f t="shared" si="406"/>
        <v>1</v>
      </c>
      <c r="GX181" s="10"/>
    </row>
    <row r="182" spans="1:206" x14ac:dyDescent="0.3">
      <c r="A182" s="9" t="s">
        <v>124</v>
      </c>
      <c r="B182" s="80"/>
      <c r="C182" s="9">
        <v>3151474001</v>
      </c>
      <c r="D182" s="9" t="s">
        <v>474</v>
      </c>
      <c r="E182" s="9" t="s">
        <v>34</v>
      </c>
      <c r="F182" s="9" t="s">
        <v>35</v>
      </c>
      <c r="G182" s="9" t="s">
        <v>213</v>
      </c>
      <c r="H182" s="10">
        <v>44891</v>
      </c>
      <c r="I182" s="9">
        <f t="shared" si="407"/>
        <v>2022</v>
      </c>
      <c r="J182" s="9">
        <f t="shared" si="408"/>
        <v>11</v>
      </c>
      <c r="K182" s="9" t="str">
        <f t="shared" si="409"/>
        <v>2022_11</v>
      </c>
      <c r="L182">
        <f>MAX(0,VLOOKUP($K182,lookups!$A$1:$B$45,2,0)-12)</f>
        <v>19</v>
      </c>
      <c r="M182" s="40">
        <f t="shared" si="410"/>
        <v>44866</v>
      </c>
      <c r="N182" s="10" t="s">
        <v>37</v>
      </c>
      <c r="O182" t="str">
        <f ca="1">IF(OR($L182&gt;O$4,O$4&gt;$L182+23),"",OFFSET(Electric!$L173,0,-'Electric Calendarize'!$L182+'Electric Calendarize'!O$4+1))</f>
        <v/>
      </c>
      <c r="P182" t="str">
        <f ca="1">IF(OR($L182&gt;P$4,P$4&gt;$L182+23),"",OFFSET(Electric!$L173,0,-'Electric Calendarize'!$L182+'Electric Calendarize'!P$4+1))</f>
        <v/>
      </c>
      <c r="Q182" t="str">
        <f ca="1">IF(OR($L182&gt;Q$4,Q$4&gt;$L182+23),"",OFFSET(Electric!$L173,0,-'Electric Calendarize'!$L182+'Electric Calendarize'!Q$4+1))</f>
        <v/>
      </c>
      <c r="R182" t="str">
        <f ca="1">IF(OR($L182&gt;R$4,R$4&gt;$L182+23),"",OFFSET(Electric!$L173,0,-'Electric Calendarize'!$L182+'Electric Calendarize'!R$4+1))</f>
        <v/>
      </c>
      <c r="S182" t="str">
        <f ca="1">IF(OR($L182&gt;S$4,S$4&gt;$L182+23),"",OFFSET(Electric!$L173,0,-'Electric Calendarize'!$L182+'Electric Calendarize'!S$4+1))</f>
        <v/>
      </c>
      <c r="T182" t="str">
        <f ca="1">IF(OR($L182&gt;T$4,T$4&gt;$L182+23),"",OFFSET(Electric!$L173,0,-'Electric Calendarize'!$L182+'Electric Calendarize'!T$4+1))</f>
        <v/>
      </c>
      <c r="U182" t="str">
        <f ca="1">IF(OR($L182&gt;U$4,U$4&gt;$L182+23),"",OFFSET(Electric!$L173,0,-'Electric Calendarize'!$L182+'Electric Calendarize'!U$4+1))</f>
        <v/>
      </c>
      <c r="V182" t="str">
        <f ca="1">IF(OR($L182&gt;V$4,V$4&gt;$L182+23),"",OFFSET(Electric!$L173,0,-'Electric Calendarize'!$L182+'Electric Calendarize'!V$4+1))</f>
        <v/>
      </c>
      <c r="W182" t="str">
        <f ca="1">IF(OR($L182&gt;W$4,W$4&gt;$L182+23),"",OFFSET(Electric!$L173,0,-'Electric Calendarize'!$L182+'Electric Calendarize'!W$4+1))</f>
        <v/>
      </c>
      <c r="X182" t="str">
        <f ca="1">IF(OR($L182&gt;X$4,X$4&gt;$L182+23),"",OFFSET(Electric!$L173,0,-'Electric Calendarize'!$L182+'Electric Calendarize'!X$4+1))</f>
        <v/>
      </c>
      <c r="Y182" t="str">
        <f ca="1">IF(OR($L182&gt;Y$4,Y$4&gt;$L182+23),"",OFFSET(Electric!$L173,0,-'Electric Calendarize'!$L182+'Electric Calendarize'!Y$4+1))</f>
        <v/>
      </c>
      <c r="Z182" t="str">
        <f ca="1">IF(OR($L182&gt;Z$4,Z$4&gt;$L182+23),"",OFFSET(Electric!$L173,0,-'Electric Calendarize'!$L182+'Electric Calendarize'!Z$4+1))</f>
        <v/>
      </c>
      <c r="AA182" t="str">
        <f ca="1">IF(OR($L182&gt;AA$4,AA$4&gt;$L182+23),"",OFFSET(Electric!$L173,0,-'Electric Calendarize'!$L182+'Electric Calendarize'!AA$4+1))</f>
        <v/>
      </c>
      <c r="AB182" t="str">
        <f ca="1">IF(OR($L182&gt;AB$4,AB$4&gt;$L182+23),"",OFFSET(Electric!$L173,0,-'Electric Calendarize'!$L182+'Electric Calendarize'!AB$4+1))</f>
        <v/>
      </c>
      <c r="AC182" t="str">
        <f ca="1">IF(OR($L182&gt;AC$4,AC$4&gt;$L182+23),"",OFFSET(Electric!$L173,0,-'Electric Calendarize'!$L182+'Electric Calendarize'!AC$4+1))</f>
        <v/>
      </c>
      <c r="AD182" t="str">
        <f ca="1">IF(OR($L182&gt;AD$4,AD$4&gt;$L182+23),"",OFFSET(Electric!$L173,0,-'Electric Calendarize'!$L182+'Electric Calendarize'!AD$4+1))</f>
        <v/>
      </c>
      <c r="AE182" t="str">
        <f ca="1">IF(OR($L182&gt;AE$4,AE$4&gt;$L182+23),"",OFFSET(Electric!$L173,0,-'Electric Calendarize'!$L182+'Electric Calendarize'!AE$4+1))</f>
        <v/>
      </c>
      <c r="AF182" t="str">
        <f ca="1">IF(OR($L182&gt;AF$4,AF$4&gt;$L182+23),"",OFFSET(Electric!$L173,0,-'Electric Calendarize'!$L182+'Electric Calendarize'!AF$4+1))</f>
        <v/>
      </c>
      <c r="AG182" t="str">
        <f ca="1">IF(OR($L182&gt;AG$4,AG$4&gt;$L182+23),"",OFFSET(Electric!$L173,0,-'Electric Calendarize'!$L182+'Electric Calendarize'!AG$4+1))</f>
        <v/>
      </c>
      <c r="AH182">
        <f ca="1">IF(OR($L182&gt;AH$4,AH$4&gt;$L182+23),"",OFFSET(Electric!$L173,0,-'Electric Calendarize'!$L182+'Electric Calendarize'!AH$4+1))</f>
        <v>0</v>
      </c>
      <c r="AI182">
        <f ca="1">IF(OR($L182&gt;AI$4,AI$4&gt;$L182+23),"",OFFSET(Electric!$L173,0,-'Electric Calendarize'!$L182+'Electric Calendarize'!AI$4+1))</f>
        <v>0</v>
      </c>
      <c r="AJ182">
        <f ca="1">IF(OR($L182&gt;AJ$4,AJ$4&gt;$L182+23),"",OFFSET(Electric!$L173,0,-'Electric Calendarize'!$L182+'Electric Calendarize'!AJ$4+1))</f>
        <v>0</v>
      </c>
      <c r="AK182">
        <f ca="1">IF(OR($L182&gt;AK$4,AK$4&gt;$L182+23),"",OFFSET(Electric!$L173,0,-'Electric Calendarize'!$L182+'Electric Calendarize'!AK$4+1))</f>
        <v>0</v>
      </c>
      <c r="AL182">
        <f ca="1">IF(OR($L182&gt;AL$4,AL$4&gt;$L182+23),"",OFFSET(Electric!$L173,0,-'Electric Calendarize'!$L182+'Electric Calendarize'!AL$4+1))</f>
        <v>656</v>
      </c>
      <c r="AM182">
        <f ca="1">IF(OR($L182&gt;AM$4,AM$4&gt;$L182+23),"",OFFSET(Electric!$L173,0,-'Electric Calendarize'!$L182+'Electric Calendarize'!AM$4+1))</f>
        <v>968</v>
      </c>
      <c r="AN182">
        <f ca="1">IF(OR($L182&gt;AN$4,AN$4&gt;$L182+23),"",OFFSET(Electric!$L173,0,-'Electric Calendarize'!$L182+'Electric Calendarize'!AN$4+1))</f>
        <v>846</v>
      </c>
      <c r="AO182">
        <f ca="1">IF(OR($L182&gt;AO$4,AO$4&gt;$L182+23),"",OFFSET(Electric!$L173,0,-'Electric Calendarize'!$L182+'Electric Calendarize'!AO$4+1))</f>
        <v>849</v>
      </c>
      <c r="AP182">
        <f ca="1">IF(OR($L182&gt;AP$4,AP$4&gt;$L182+23),"",OFFSET(Electric!$L173,0,-'Electric Calendarize'!$L182+'Electric Calendarize'!AP$4+1))</f>
        <v>987</v>
      </c>
      <c r="AQ182">
        <f ca="1">IF(OR($L182&gt;AQ$4,AQ$4&gt;$L182+23),"",OFFSET(Electric!$L173,0,-'Electric Calendarize'!$L182+'Electric Calendarize'!AQ$4+1))</f>
        <v>966</v>
      </c>
      <c r="AR182">
        <f ca="1">IF(OR($L182&gt;AR$4,AR$4&gt;$L182+23),"",OFFSET(Electric!$L173,0,-'Electric Calendarize'!$L182+'Electric Calendarize'!AR$4+1))</f>
        <v>846</v>
      </c>
      <c r="AS182">
        <f ca="1">IF(OR($L182&gt;AS$4,AS$4&gt;$L182+23),"",OFFSET(Electric!$L173,0,-'Electric Calendarize'!$L182+'Electric Calendarize'!AS$4+1))</f>
        <v>857</v>
      </c>
      <c r="AT182">
        <f ca="1">IF(OR($L182&gt;AT$4,AT$4&gt;$L182+23),"",OFFSET(Electric!$L173,0,-'Electric Calendarize'!$L182+'Electric Calendarize'!AT$4+1))</f>
        <v>1816</v>
      </c>
      <c r="AU182">
        <f ca="1">IF(OR($L182&gt;AU$4,AU$4&gt;$L182+23),"",OFFSET(Electric!$L173,0,-'Electric Calendarize'!$L182+'Electric Calendarize'!AU$4+1))</f>
        <v>1093</v>
      </c>
      <c r="AV182">
        <f ca="1">IF(OR($L182&gt;AV$4,AV$4&gt;$L182+23),"",OFFSET(Electric!$L173,0,-'Electric Calendarize'!$L182+'Electric Calendarize'!AV$4+1))</f>
        <v>1329</v>
      </c>
      <c r="AW182">
        <f ca="1">IF(OR($L182&gt;AW$4,AW$4&gt;$L182+23),"",OFFSET(Electric!$L173,0,-'Electric Calendarize'!$L182+'Electric Calendarize'!AW$4+1))</f>
        <v>1245</v>
      </c>
      <c r="AX182">
        <f ca="1">IF(OR($L182&gt;AX$4,AX$4&gt;$L182+23),"",OFFSET(Electric!$L173,0,-'Electric Calendarize'!$L182+'Electric Calendarize'!AX$4+1))</f>
        <v>960</v>
      </c>
      <c r="AY182">
        <f ca="1">IF(OR($L182&gt;AY$4,AY$4&gt;$L182+23),"",OFFSET(Electric!$L173,0,-'Electric Calendarize'!$L182+'Electric Calendarize'!AY$4+1))</f>
        <v>616</v>
      </c>
      <c r="AZ182">
        <f ca="1">IF(OR($L182&gt;AZ$4,AZ$4&gt;$L182+23),"",OFFSET(Electric!$L173,0,-'Electric Calendarize'!$L182+'Electric Calendarize'!AZ$4+1))</f>
        <v>634</v>
      </c>
      <c r="BA182">
        <f ca="1">IF(OR($L182&gt;BA$4,BA$4&gt;$L182+23),"",OFFSET(Electric!$L173,0,-'Electric Calendarize'!$L182+'Electric Calendarize'!BA$4+1))</f>
        <v>705</v>
      </c>
      <c r="BB182">
        <f ca="1">IF(OR($L182&gt;BB$4,BB$4&gt;$L182+23),"",OFFSET(Electric!$L173,0,-'Electric Calendarize'!$L182+'Electric Calendarize'!BB$4+1))</f>
        <v>937</v>
      </c>
      <c r="BC182">
        <f ca="1">IF(OR($L182&gt;BC$4,BC$4&gt;$L182+23),"",OFFSET(Electric!$L173,0,-'Electric Calendarize'!$L182+'Electric Calendarize'!BC$4+1))</f>
        <v>822</v>
      </c>
      <c r="BD182">
        <f ca="1">IF(OR($L182&gt;BD$4,BD$4&gt;$L182+23),"",OFFSET(Electric!$L173,0,-'Electric Calendarize'!$L182+'Electric Calendarize'!BD$4+1))</f>
        <v>830</v>
      </c>
      <c r="BE182">
        <f ca="1">IF(OR($L182&gt;BE$4,BE$4&gt;$L182+23),"",OFFSET(Electric!$L173,0,-'Electric Calendarize'!$L182+'Electric Calendarize'!BE$4+1))</f>
        <v>998</v>
      </c>
      <c r="BF182" t="str">
        <f ca="1">IF(OR($L182&gt;BF$4,BF$4&gt;$L182+23),"",OFFSET(Electric!$L173,0,-'Electric Calendarize'!$L182+'Electric Calendarize'!BF$4+1))</f>
        <v/>
      </c>
      <c r="BG182" t="str">
        <f ca="1">IF(OR($L182&gt;BG$4,BG$4&gt;$L182+23),"",OFFSET(Electric!$L173,0,-'Electric Calendarize'!$L182+'Electric Calendarize'!BG$4+1))</f>
        <v/>
      </c>
      <c r="BJ182" s="10" t="s">
        <v>37</v>
      </c>
      <c r="BK182">
        <f t="shared" si="411"/>
        <v>1</v>
      </c>
      <c r="BL182">
        <f t="shared" si="317"/>
        <v>0</v>
      </c>
      <c r="BM182">
        <f t="shared" si="318"/>
        <v>0</v>
      </c>
      <c r="BN182">
        <f t="shared" si="319"/>
        <v>0</v>
      </c>
      <c r="BO182">
        <f t="shared" si="320"/>
        <v>0</v>
      </c>
      <c r="BP182">
        <f t="shared" si="321"/>
        <v>0</v>
      </c>
      <c r="BQ182">
        <f t="shared" si="322"/>
        <v>0</v>
      </c>
      <c r="BR182">
        <f t="shared" si="323"/>
        <v>1</v>
      </c>
      <c r="BS182">
        <f t="shared" si="324"/>
        <v>1</v>
      </c>
      <c r="BT182">
        <f t="shared" si="325"/>
        <v>1</v>
      </c>
      <c r="BU182">
        <f t="shared" si="326"/>
        <v>1</v>
      </c>
      <c r="BV182">
        <f t="shared" si="327"/>
        <v>1</v>
      </c>
      <c r="BW182">
        <f t="shared" si="328"/>
        <v>1</v>
      </c>
      <c r="BX182">
        <f t="shared" si="329"/>
        <v>0</v>
      </c>
      <c r="BY182">
        <f t="shared" si="330"/>
        <v>0</v>
      </c>
      <c r="BZ182">
        <f t="shared" si="331"/>
        <v>0</v>
      </c>
      <c r="CA182">
        <f t="shared" si="332"/>
        <v>0</v>
      </c>
      <c r="CB182">
        <f t="shared" si="333"/>
        <v>0</v>
      </c>
      <c r="CC182">
        <f t="shared" si="334"/>
        <v>0</v>
      </c>
      <c r="CD182">
        <f t="shared" si="335"/>
        <v>1</v>
      </c>
      <c r="CE182">
        <f t="shared" si="336"/>
        <v>1</v>
      </c>
      <c r="CF182">
        <f t="shared" si="337"/>
        <v>1</v>
      </c>
      <c r="CG182">
        <f t="shared" si="338"/>
        <v>1</v>
      </c>
      <c r="CH182">
        <f t="shared" si="339"/>
        <v>1</v>
      </c>
      <c r="CI182">
        <f t="shared" si="340"/>
        <v>1</v>
      </c>
      <c r="CJ182">
        <f t="shared" si="341"/>
        <v>0</v>
      </c>
      <c r="CK182">
        <f t="shared" si="342"/>
        <v>0</v>
      </c>
      <c r="CL182">
        <f t="shared" si="343"/>
        <v>0</v>
      </c>
      <c r="CM182">
        <f t="shared" si="344"/>
        <v>0</v>
      </c>
      <c r="CN182">
        <f t="shared" si="345"/>
        <v>0</v>
      </c>
      <c r="CO182">
        <f t="shared" si="346"/>
        <v>0</v>
      </c>
      <c r="CP182">
        <f t="shared" si="347"/>
        <v>1</v>
      </c>
      <c r="CQ182">
        <f t="shared" si="348"/>
        <v>1</v>
      </c>
      <c r="CR182">
        <f t="shared" si="349"/>
        <v>1</v>
      </c>
      <c r="CS182">
        <f t="shared" si="350"/>
        <v>1</v>
      </c>
      <c r="CT182">
        <f t="shared" si="351"/>
        <v>1</v>
      </c>
      <c r="CU182">
        <f t="shared" si="352"/>
        <v>1</v>
      </c>
      <c r="CV182">
        <f t="shared" si="353"/>
        <v>0</v>
      </c>
      <c r="CW182">
        <f t="shared" si="354"/>
        <v>0</v>
      </c>
      <c r="CX182">
        <f t="shared" si="355"/>
        <v>0</v>
      </c>
      <c r="CY182">
        <f t="shared" si="356"/>
        <v>0</v>
      </c>
      <c r="CZ182">
        <f t="shared" si="357"/>
        <v>0</v>
      </c>
      <c r="DA182">
        <f t="shared" si="358"/>
        <v>0</v>
      </c>
      <c r="DB182">
        <f t="shared" si="359"/>
        <v>1</v>
      </c>
      <c r="DC182">
        <f t="shared" si="360"/>
        <v>1</v>
      </c>
      <c r="DF182" s="10" t="s">
        <v>37</v>
      </c>
      <c r="DG182" t="str">
        <f t="shared" si="420"/>
        <v>2022_11</v>
      </c>
      <c r="DH182" t="str">
        <f t="shared" si="420"/>
        <v>2022_11</v>
      </c>
      <c r="DI182" t="str">
        <f t="shared" si="420"/>
        <v>2022_11</v>
      </c>
      <c r="DJ182" t="str">
        <f t="shared" si="420"/>
        <v>2022_11</v>
      </c>
      <c r="DK182" t="str">
        <f t="shared" si="420"/>
        <v>2022_11</v>
      </c>
      <c r="DL182" t="str">
        <f t="shared" si="420"/>
        <v>2022_11</v>
      </c>
      <c r="DM182" t="str">
        <f t="shared" si="420"/>
        <v>2022_11</v>
      </c>
      <c r="DN182" t="str">
        <f t="shared" si="420"/>
        <v>2022_11</v>
      </c>
      <c r="DO182" t="str">
        <f t="shared" si="420"/>
        <v>2022_11</v>
      </c>
      <c r="DP182" t="str">
        <f t="shared" si="420"/>
        <v>2022_11</v>
      </c>
      <c r="DQ182" t="str">
        <f t="shared" si="420"/>
        <v>2022_11</v>
      </c>
      <c r="DR182" t="str">
        <f t="shared" si="420"/>
        <v>2022_11</v>
      </c>
      <c r="DS182" t="str">
        <f t="shared" si="420"/>
        <v>2022_11</v>
      </c>
      <c r="DT182" t="str">
        <f t="shared" si="420"/>
        <v>2022_11</v>
      </c>
      <c r="DU182" t="str">
        <f t="shared" si="420"/>
        <v>2022_11</v>
      </c>
      <c r="DV182" t="str">
        <f t="shared" si="418"/>
        <v>2022_11</v>
      </c>
      <c r="DW182" t="str">
        <f t="shared" si="418"/>
        <v>2022_11</v>
      </c>
      <c r="DX182" t="str">
        <f t="shared" si="418"/>
        <v>2022_11</v>
      </c>
      <c r="DY182" t="str">
        <f t="shared" si="418"/>
        <v>2022_11</v>
      </c>
      <c r="DZ182" t="str">
        <f t="shared" si="418"/>
        <v>2022_11</v>
      </c>
      <c r="EA182" t="str">
        <f t="shared" si="418"/>
        <v>2022_11</v>
      </c>
      <c r="EB182" t="str">
        <f t="shared" si="418"/>
        <v>2022_11</v>
      </c>
      <c r="EC182" t="str">
        <f t="shared" si="418"/>
        <v>2022_11</v>
      </c>
      <c r="ED182" t="str">
        <f t="shared" si="418"/>
        <v>2022_11</v>
      </c>
      <c r="EE182" t="str">
        <f t="shared" si="418"/>
        <v>2022_11</v>
      </c>
      <c r="EF182" t="str">
        <f t="shared" si="418"/>
        <v>2022_11</v>
      </c>
      <c r="EG182" t="str">
        <f t="shared" si="418"/>
        <v>2022_11</v>
      </c>
      <c r="EH182" t="str">
        <f t="shared" si="418"/>
        <v>2022_11</v>
      </c>
      <c r="EI182" t="str">
        <f t="shared" si="418"/>
        <v>2022_11</v>
      </c>
      <c r="EJ182" t="str">
        <f t="shared" si="418"/>
        <v>2022_11</v>
      </c>
      <c r="EK182" t="str">
        <f t="shared" si="418"/>
        <v>2022_11</v>
      </c>
      <c r="EL182" t="str">
        <f t="shared" si="419"/>
        <v>2022_11</v>
      </c>
      <c r="EM182" t="str">
        <f t="shared" si="417"/>
        <v>2022_11</v>
      </c>
      <c r="EN182" t="str">
        <f t="shared" si="417"/>
        <v>2022_11</v>
      </c>
      <c r="EO182" t="str">
        <f t="shared" si="417"/>
        <v>2022_11</v>
      </c>
      <c r="EP182" t="str">
        <f t="shared" si="417"/>
        <v>2022_11</v>
      </c>
      <c r="EQ182" t="str">
        <f t="shared" si="417"/>
        <v>2022_11</v>
      </c>
      <c r="ER182" t="str">
        <f t="shared" si="417"/>
        <v>2022_11</v>
      </c>
      <c r="ES182" t="str">
        <f t="shared" si="417"/>
        <v>2022_11</v>
      </c>
      <c r="ET182" t="str">
        <f t="shared" si="417"/>
        <v>2022_11</v>
      </c>
      <c r="EU182" t="str">
        <f t="shared" si="417"/>
        <v>2022_11</v>
      </c>
      <c r="EV182" t="str">
        <f t="shared" si="417"/>
        <v>2022_11</v>
      </c>
      <c r="EW182" t="str">
        <f t="shared" si="417"/>
        <v>2022_11</v>
      </c>
      <c r="EX182" t="str">
        <f t="shared" si="417"/>
        <v>2022_11</v>
      </c>
      <c r="EY182" t="str">
        <f t="shared" si="417"/>
        <v>2022_11</v>
      </c>
      <c r="FB182" s="10" t="s">
        <v>37</v>
      </c>
      <c r="FC182">
        <f t="shared" si="413"/>
        <v>0</v>
      </c>
      <c r="FD182">
        <f t="shared" si="363"/>
        <v>0</v>
      </c>
      <c r="FE182">
        <f t="shared" si="364"/>
        <v>0</v>
      </c>
      <c r="FF182">
        <f t="shared" si="365"/>
        <v>0</v>
      </c>
      <c r="FG182">
        <f t="shared" si="366"/>
        <v>0</v>
      </c>
      <c r="FH182">
        <f t="shared" si="367"/>
        <v>0</v>
      </c>
      <c r="FI182">
        <f t="shared" si="368"/>
        <v>0</v>
      </c>
      <c r="FJ182">
        <f t="shared" si="369"/>
        <v>0</v>
      </c>
      <c r="FK182">
        <f t="shared" si="370"/>
        <v>0</v>
      </c>
      <c r="FL182">
        <f t="shared" si="371"/>
        <v>0</v>
      </c>
      <c r="FM182">
        <f t="shared" si="372"/>
        <v>0</v>
      </c>
      <c r="FN182">
        <f t="shared" si="373"/>
        <v>0</v>
      </c>
      <c r="FO182">
        <f t="shared" si="374"/>
        <v>0</v>
      </c>
      <c r="FP182">
        <f t="shared" si="375"/>
        <v>0</v>
      </c>
      <c r="FQ182">
        <f t="shared" si="376"/>
        <v>0</v>
      </c>
      <c r="FR182">
        <f t="shared" si="377"/>
        <v>0</v>
      </c>
      <c r="FS182">
        <f t="shared" si="378"/>
        <v>0</v>
      </c>
      <c r="FT182">
        <f t="shared" si="379"/>
        <v>0</v>
      </c>
      <c r="FU182">
        <f t="shared" si="380"/>
        <v>0</v>
      </c>
      <c r="FV182">
        <f t="shared" si="381"/>
        <v>0</v>
      </c>
      <c r="FW182">
        <f t="shared" si="382"/>
        <v>0</v>
      </c>
      <c r="FX182">
        <f t="shared" si="383"/>
        <v>0</v>
      </c>
      <c r="FY182">
        <f t="shared" si="384"/>
        <v>0</v>
      </c>
      <c r="FZ182">
        <f t="shared" si="385"/>
        <v>0</v>
      </c>
      <c r="GA182">
        <f t="shared" si="386"/>
        <v>0</v>
      </c>
      <c r="GB182">
        <f t="shared" si="387"/>
        <v>0</v>
      </c>
      <c r="GC182">
        <f t="shared" si="388"/>
        <v>0</v>
      </c>
      <c r="GD182">
        <f t="shared" si="389"/>
        <v>0</v>
      </c>
      <c r="GE182">
        <f t="shared" si="390"/>
        <v>0</v>
      </c>
      <c r="GF182">
        <f t="shared" si="391"/>
        <v>0</v>
      </c>
      <c r="GG182">
        <f t="shared" si="392"/>
        <v>0</v>
      </c>
      <c r="GH182">
        <f t="shared" si="393"/>
        <v>1</v>
      </c>
      <c r="GI182">
        <f t="shared" si="394"/>
        <v>1</v>
      </c>
      <c r="GJ182">
        <f t="shared" si="395"/>
        <v>1</v>
      </c>
      <c r="GK182">
        <f t="shared" si="396"/>
        <v>1</v>
      </c>
      <c r="GL182">
        <f t="shared" si="397"/>
        <v>1</v>
      </c>
      <c r="GM182">
        <f t="shared" si="398"/>
        <v>1</v>
      </c>
      <c r="GN182">
        <f t="shared" si="399"/>
        <v>1</v>
      </c>
      <c r="GO182">
        <f t="shared" si="400"/>
        <v>1</v>
      </c>
      <c r="GP182">
        <f t="shared" si="401"/>
        <v>1</v>
      </c>
      <c r="GQ182">
        <f t="shared" si="402"/>
        <v>1</v>
      </c>
      <c r="GR182">
        <f t="shared" si="403"/>
        <v>1</v>
      </c>
      <c r="GS182">
        <f t="shared" si="404"/>
        <v>1</v>
      </c>
      <c r="GT182">
        <f t="shared" si="405"/>
        <v>1</v>
      </c>
      <c r="GU182">
        <f t="shared" si="406"/>
        <v>1</v>
      </c>
      <c r="GX182" s="10"/>
    </row>
    <row r="183" spans="1:206" x14ac:dyDescent="0.3">
      <c r="A183" s="32" t="s">
        <v>33</v>
      </c>
      <c r="B183" s="80"/>
      <c r="C183" s="9">
        <v>3141343006</v>
      </c>
      <c r="D183" s="9" t="s">
        <v>460</v>
      </c>
      <c r="E183" s="9" t="s">
        <v>34</v>
      </c>
      <c r="F183" s="9" t="s">
        <v>35</v>
      </c>
      <c r="G183" s="9" t="s">
        <v>86</v>
      </c>
      <c r="H183" s="10">
        <v>44895</v>
      </c>
      <c r="I183" s="9">
        <f t="shared" si="407"/>
        <v>2022</v>
      </c>
      <c r="J183" s="9">
        <f t="shared" si="408"/>
        <v>11</v>
      </c>
      <c r="K183" s="9" t="str">
        <f t="shared" si="409"/>
        <v>2022_11</v>
      </c>
      <c r="L183">
        <f>MAX(0,VLOOKUP($K183,lookups!$A$1:$B$45,2,0)-12)</f>
        <v>19</v>
      </c>
      <c r="M183" s="40">
        <f t="shared" si="410"/>
        <v>44866</v>
      </c>
      <c r="N183" s="10" t="s">
        <v>37</v>
      </c>
      <c r="O183" t="str">
        <f ca="1">IF(OR($L183&gt;O$4,O$4&gt;$L183+23),"",OFFSET(Electric!$L174,0,-'Electric Calendarize'!$L183+'Electric Calendarize'!O$4+1))</f>
        <v/>
      </c>
      <c r="P183" t="str">
        <f ca="1">IF(OR($L183&gt;P$4,P$4&gt;$L183+23),"",OFFSET(Electric!$L174,0,-'Electric Calendarize'!$L183+'Electric Calendarize'!P$4+1))</f>
        <v/>
      </c>
      <c r="Q183" t="str">
        <f ca="1">IF(OR($L183&gt;Q$4,Q$4&gt;$L183+23),"",OFFSET(Electric!$L174,0,-'Electric Calendarize'!$L183+'Electric Calendarize'!Q$4+1))</f>
        <v/>
      </c>
      <c r="R183" t="str">
        <f ca="1">IF(OR($L183&gt;R$4,R$4&gt;$L183+23),"",OFFSET(Electric!$L174,0,-'Electric Calendarize'!$L183+'Electric Calendarize'!R$4+1))</f>
        <v/>
      </c>
      <c r="S183" t="str">
        <f ca="1">IF(OR($L183&gt;S$4,S$4&gt;$L183+23),"",OFFSET(Electric!$L174,0,-'Electric Calendarize'!$L183+'Electric Calendarize'!S$4+1))</f>
        <v/>
      </c>
      <c r="T183" t="str">
        <f ca="1">IF(OR($L183&gt;T$4,T$4&gt;$L183+23),"",OFFSET(Electric!$L174,0,-'Electric Calendarize'!$L183+'Electric Calendarize'!T$4+1))</f>
        <v/>
      </c>
      <c r="U183" t="str">
        <f ca="1">IF(OR($L183&gt;U$4,U$4&gt;$L183+23),"",OFFSET(Electric!$L174,0,-'Electric Calendarize'!$L183+'Electric Calendarize'!U$4+1))</f>
        <v/>
      </c>
      <c r="V183" t="str">
        <f ca="1">IF(OR($L183&gt;V$4,V$4&gt;$L183+23),"",OFFSET(Electric!$L174,0,-'Electric Calendarize'!$L183+'Electric Calendarize'!V$4+1))</f>
        <v/>
      </c>
      <c r="W183" t="str">
        <f ca="1">IF(OR($L183&gt;W$4,W$4&gt;$L183+23),"",OFFSET(Electric!$L174,0,-'Electric Calendarize'!$L183+'Electric Calendarize'!W$4+1))</f>
        <v/>
      </c>
      <c r="X183" t="str">
        <f ca="1">IF(OR($L183&gt;X$4,X$4&gt;$L183+23),"",OFFSET(Electric!$L174,0,-'Electric Calendarize'!$L183+'Electric Calendarize'!X$4+1))</f>
        <v/>
      </c>
      <c r="Y183" t="str">
        <f ca="1">IF(OR($L183&gt;Y$4,Y$4&gt;$L183+23),"",OFFSET(Electric!$L174,0,-'Electric Calendarize'!$L183+'Electric Calendarize'!Y$4+1))</f>
        <v/>
      </c>
      <c r="Z183" t="str">
        <f ca="1">IF(OR($L183&gt;Z$4,Z$4&gt;$L183+23),"",OFFSET(Electric!$L174,0,-'Electric Calendarize'!$L183+'Electric Calendarize'!Z$4+1))</f>
        <v/>
      </c>
      <c r="AA183" t="str">
        <f ca="1">IF(OR($L183&gt;AA$4,AA$4&gt;$L183+23),"",OFFSET(Electric!$L174,0,-'Electric Calendarize'!$L183+'Electric Calendarize'!AA$4+1))</f>
        <v/>
      </c>
      <c r="AB183" t="str">
        <f ca="1">IF(OR($L183&gt;AB$4,AB$4&gt;$L183+23),"",OFFSET(Electric!$L174,0,-'Electric Calendarize'!$L183+'Electric Calendarize'!AB$4+1))</f>
        <v/>
      </c>
      <c r="AC183" t="str">
        <f ca="1">IF(OR($L183&gt;AC$4,AC$4&gt;$L183+23),"",OFFSET(Electric!$L174,0,-'Electric Calendarize'!$L183+'Electric Calendarize'!AC$4+1))</f>
        <v/>
      </c>
      <c r="AD183" t="str">
        <f ca="1">IF(OR($L183&gt;AD$4,AD$4&gt;$L183+23),"",OFFSET(Electric!$L174,0,-'Electric Calendarize'!$L183+'Electric Calendarize'!AD$4+1))</f>
        <v/>
      </c>
      <c r="AE183" t="str">
        <f ca="1">IF(OR($L183&gt;AE$4,AE$4&gt;$L183+23),"",OFFSET(Electric!$L174,0,-'Electric Calendarize'!$L183+'Electric Calendarize'!AE$4+1))</f>
        <v/>
      </c>
      <c r="AF183" t="str">
        <f ca="1">IF(OR($L183&gt;AF$4,AF$4&gt;$L183+23),"",OFFSET(Electric!$L174,0,-'Electric Calendarize'!$L183+'Electric Calendarize'!AF$4+1))</f>
        <v/>
      </c>
      <c r="AG183" t="str">
        <f ca="1">IF(OR($L183&gt;AG$4,AG$4&gt;$L183+23),"",OFFSET(Electric!$L174,0,-'Electric Calendarize'!$L183+'Electric Calendarize'!AG$4+1))</f>
        <v/>
      </c>
      <c r="AH183">
        <f ca="1">IF(OR($L183&gt;AH$4,AH$4&gt;$L183+23),"",OFFSET(Electric!$L174,0,-'Electric Calendarize'!$L183+'Electric Calendarize'!AH$4+1))</f>
        <v>560</v>
      </c>
      <c r="AI183">
        <f ca="1">IF(OR($L183&gt;AI$4,AI$4&gt;$L183+23),"",OFFSET(Electric!$L174,0,-'Electric Calendarize'!$L183+'Electric Calendarize'!AI$4+1))</f>
        <v>606</v>
      </c>
      <c r="AJ183">
        <f ca="1">IF(OR($L183&gt;AJ$4,AJ$4&gt;$L183+23),"",OFFSET(Electric!$L174,0,-'Electric Calendarize'!$L183+'Electric Calendarize'!AJ$4+1))</f>
        <v>717</v>
      </c>
      <c r="AK183">
        <f ca="1">IF(OR($L183&gt;AK$4,AK$4&gt;$L183+23),"",OFFSET(Electric!$L174,0,-'Electric Calendarize'!$L183+'Electric Calendarize'!AK$4+1))</f>
        <v>526</v>
      </c>
      <c r="AL183">
        <f ca="1">IF(OR($L183&gt;AL$4,AL$4&gt;$L183+23),"",OFFSET(Electric!$L174,0,-'Electric Calendarize'!$L183+'Electric Calendarize'!AL$4+1))</f>
        <v>561</v>
      </c>
      <c r="AM183">
        <f ca="1">IF(OR($L183&gt;AM$4,AM$4&gt;$L183+23),"",OFFSET(Electric!$L174,0,-'Electric Calendarize'!$L183+'Electric Calendarize'!AM$4+1))</f>
        <v>545</v>
      </c>
      <c r="AN183">
        <f ca="1">IF(OR($L183&gt;AN$4,AN$4&gt;$L183+23),"",OFFSET(Electric!$L174,0,-'Electric Calendarize'!$L183+'Electric Calendarize'!AN$4+1))</f>
        <v>625</v>
      </c>
      <c r="AO183">
        <f ca="1">IF(OR($L183&gt;AO$4,AO$4&gt;$L183+23),"",OFFSET(Electric!$L174,0,-'Electric Calendarize'!$L183+'Electric Calendarize'!AO$4+1))</f>
        <v>728</v>
      </c>
      <c r="AP183">
        <f ca="1">IF(OR($L183&gt;AP$4,AP$4&gt;$L183+23),"",OFFSET(Electric!$L174,0,-'Electric Calendarize'!$L183+'Electric Calendarize'!AP$4+1))</f>
        <v>929</v>
      </c>
      <c r="AQ183">
        <f ca="1">IF(OR($L183&gt;AQ$4,AQ$4&gt;$L183+23),"",OFFSET(Electric!$L174,0,-'Electric Calendarize'!$L183+'Electric Calendarize'!AQ$4+1))</f>
        <v>1075</v>
      </c>
      <c r="AR183">
        <f ca="1">IF(OR($L183&gt;AR$4,AR$4&gt;$L183+23),"",OFFSET(Electric!$L174,0,-'Electric Calendarize'!$L183+'Electric Calendarize'!AR$4+1))</f>
        <v>785</v>
      </c>
      <c r="AS183">
        <f ca="1">IF(OR($L183&gt;AS$4,AS$4&gt;$L183+23),"",OFFSET(Electric!$L174,0,-'Electric Calendarize'!$L183+'Electric Calendarize'!AS$4+1))</f>
        <v>643</v>
      </c>
      <c r="AT183">
        <f ca="1">IF(OR($L183&gt;AT$4,AT$4&gt;$L183+23),"",OFFSET(Electric!$L174,0,-'Electric Calendarize'!$L183+'Electric Calendarize'!AT$4+1))</f>
        <v>621</v>
      </c>
      <c r="AU183">
        <f ca="1">IF(OR($L183&gt;AU$4,AU$4&gt;$L183+23),"",OFFSET(Electric!$L174,0,-'Electric Calendarize'!$L183+'Electric Calendarize'!AU$4+1))</f>
        <v>1242</v>
      </c>
      <c r="AV183">
        <f ca="1">IF(OR($L183&gt;AV$4,AV$4&gt;$L183+23),"",OFFSET(Electric!$L174,0,-'Electric Calendarize'!$L183+'Electric Calendarize'!AV$4+1))</f>
        <v>2071</v>
      </c>
      <c r="AW183">
        <f ca="1">IF(OR($L183&gt;AW$4,AW$4&gt;$L183+23),"",OFFSET(Electric!$L174,0,-'Electric Calendarize'!$L183+'Electric Calendarize'!AW$4+1))</f>
        <v>2244</v>
      </c>
      <c r="AX183">
        <f ca="1">IF(OR($L183&gt;AX$4,AX$4&gt;$L183+23),"",OFFSET(Electric!$L174,0,-'Electric Calendarize'!$L183+'Electric Calendarize'!AX$4+1))</f>
        <v>2090</v>
      </c>
      <c r="AY183">
        <f ca="1">IF(OR($L183&gt;AY$4,AY$4&gt;$L183+23),"",OFFSET(Electric!$L174,0,-'Electric Calendarize'!$L183+'Electric Calendarize'!AY$4+1))</f>
        <v>1344</v>
      </c>
      <c r="AZ183">
        <f ca="1">IF(OR($L183&gt;AZ$4,AZ$4&gt;$L183+23),"",OFFSET(Electric!$L174,0,-'Electric Calendarize'!$L183+'Electric Calendarize'!AZ$4+1))</f>
        <v>1026</v>
      </c>
      <c r="BA183">
        <f ca="1">IF(OR($L183&gt;BA$4,BA$4&gt;$L183+23),"",OFFSET(Electric!$L174,0,-'Electric Calendarize'!$L183+'Electric Calendarize'!BA$4+1))</f>
        <v>976</v>
      </c>
      <c r="BB183">
        <f ca="1">IF(OR($L183&gt;BB$4,BB$4&gt;$L183+23),"",OFFSET(Electric!$L174,0,-'Electric Calendarize'!$L183+'Electric Calendarize'!BB$4+1))</f>
        <v>1061</v>
      </c>
      <c r="BC183">
        <f ca="1">IF(OR($L183&gt;BC$4,BC$4&gt;$L183+23),"",OFFSET(Electric!$L174,0,-'Electric Calendarize'!$L183+'Electric Calendarize'!BC$4+1))</f>
        <v>930</v>
      </c>
      <c r="BD183">
        <f ca="1">IF(OR($L183&gt;BD$4,BD$4&gt;$L183+23),"",OFFSET(Electric!$L174,0,-'Electric Calendarize'!$L183+'Electric Calendarize'!BD$4+1))</f>
        <v>1049</v>
      </c>
      <c r="BE183">
        <f ca="1">IF(OR($L183&gt;BE$4,BE$4&gt;$L183+23),"",OFFSET(Electric!$L174,0,-'Electric Calendarize'!$L183+'Electric Calendarize'!BE$4+1))</f>
        <v>1096</v>
      </c>
      <c r="BF183" t="str">
        <f ca="1">IF(OR($L183&gt;BF$4,BF$4&gt;$L183+23),"",OFFSET(Electric!$L174,0,-'Electric Calendarize'!$L183+'Electric Calendarize'!BF$4+1))</f>
        <v/>
      </c>
      <c r="BG183" t="str">
        <f ca="1">IF(OR($L183&gt;BG$4,BG$4&gt;$L183+23),"",OFFSET(Electric!$L174,0,-'Electric Calendarize'!$L183+'Electric Calendarize'!BG$4+1))</f>
        <v/>
      </c>
      <c r="BJ183" s="10" t="s">
        <v>37</v>
      </c>
      <c r="BK183">
        <f t="shared" si="411"/>
        <v>1</v>
      </c>
      <c r="BL183">
        <f t="shared" si="317"/>
        <v>0</v>
      </c>
      <c r="BM183">
        <f t="shared" si="318"/>
        <v>0</v>
      </c>
      <c r="BN183">
        <f t="shared" si="319"/>
        <v>0</v>
      </c>
      <c r="BO183">
        <f t="shared" si="320"/>
        <v>0</v>
      </c>
      <c r="BP183">
        <f t="shared" si="321"/>
        <v>0</v>
      </c>
      <c r="BQ183">
        <f t="shared" si="322"/>
        <v>0</v>
      </c>
      <c r="BR183">
        <f t="shared" si="323"/>
        <v>1</v>
      </c>
      <c r="BS183">
        <f t="shared" si="324"/>
        <v>1</v>
      </c>
      <c r="BT183">
        <f t="shared" si="325"/>
        <v>1</v>
      </c>
      <c r="BU183">
        <f t="shared" si="326"/>
        <v>1</v>
      </c>
      <c r="BV183">
        <f t="shared" si="327"/>
        <v>1</v>
      </c>
      <c r="BW183">
        <f t="shared" si="328"/>
        <v>1</v>
      </c>
      <c r="BX183">
        <f t="shared" si="329"/>
        <v>0</v>
      </c>
      <c r="BY183">
        <f t="shared" si="330"/>
        <v>0</v>
      </c>
      <c r="BZ183">
        <f t="shared" si="331"/>
        <v>0</v>
      </c>
      <c r="CA183">
        <f t="shared" si="332"/>
        <v>0</v>
      </c>
      <c r="CB183">
        <f t="shared" si="333"/>
        <v>0</v>
      </c>
      <c r="CC183">
        <f t="shared" si="334"/>
        <v>0</v>
      </c>
      <c r="CD183">
        <f t="shared" si="335"/>
        <v>1</v>
      </c>
      <c r="CE183">
        <f t="shared" si="336"/>
        <v>1</v>
      </c>
      <c r="CF183">
        <f t="shared" si="337"/>
        <v>1</v>
      </c>
      <c r="CG183">
        <f t="shared" si="338"/>
        <v>1</v>
      </c>
      <c r="CH183">
        <f t="shared" si="339"/>
        <v>1</v>
      </c>
      <c r="CI183">
        <f t="shared" si="340"/>
        <v>1</v>
      </c>
      <c r="CJ183">
        <f t="shared" si="341"/>
        <v>0</v>
      </c>
      <c r="CK183">
        <f t="shared" si="342"/>
        <v>0</v>
      </c>
      <c r="CL183">
        <f t="shared" si="343"/>
        <v>0</v>
      </c>
      <c r="CM183">
        <f t="shared" si="344"/>
        <v>0</v>
      </c>
      <c r="CN183">
        <f t="shared" si="345"/>
        <v>0</v>
      </c>
      <c r="CO183">
        <f t="shared" si="346"/>
        <v>0</v>
      </c>
      <c r="CP183">
        <f t="shared" si="347"/>
        <v>1</v>
      </c>
      <c r="CQ183">
        <f t="shared" si="348"/>
        <v>1</v>
      </c>
      <c r="CR183">
        <f t="shared" si="349"/>
        <v>1</v>
      </c>
      <c r="CS183">
        <f t="shared" si="350"/>
        <v>1</v>
      </c>
      <c r="CT183">
        <f t="shared" si="351"/>
        <v>1</v>
      </c>
      <c r="CU183">
        <f t="shared" si="352"/>
        <v>1</v>
      </c>
      <c r="CV183">
        <f t="shared" si="353"/>
        <v>0</v>
      </c>
      <c r="CW183">
        <f t="shared" si="354"/>
        <v>0</v>
      </c>
      <c r="CX183">
        <f t="shared" si="355"/>
        <v>0</v>
      </c>
      <c r="CY183">
        <f t="shared" si="356"/>
        <v>0</v>
      </c>
      <c r="CZ183">
        <f t="shared" si="357"/>
        <v>0</v>
      </c>
      <c r="DA183">
        <f t="shared" si="358"/>
        <v>0</v>
      </c>
      <c r="DB183">
        <f t="shared" si="359"/>
        <v>1</v>
      </c>
      <c r="DC183">
        <f t="shared" si="360"/>
        <v>1</v>
      </c>
      <c r="DF183" s="10" t="s">
        <v>37</v>
      </c>
      <c r="DG183" t="str">
        <f t="shared" si="420"/>
        <v>2022_11</v>
      </c>
      <c r="DH183" t="str">
        <f t="shared" si="420"/>
        <v>2022_11</v>
      </c>
      <c r="DI183" t="str">
        <f t="shared" si="420"/>
        <v>2022_11</v>
      </c>
      <c r="DJ183" t="str">
        <f t="shared" si="420"/>
        <v>2022_11</v>
      </c>
      <c r="DK183" t="str">
        <f t="shared" si="420"/>
        <v>2022_11</v>
      </c>
      <c r="DL183" t="str">
        <f t="shared" si="420"/>
        <v>2022_11</v>
      </c>
      <c r="DM183" t="str">
        <f t="shared" si="420"/>
        <v>2022_11</v>
      </c>
      <c r="DN183" t="str">
        <f t="shared" si="420"/>
        <v>2022_11</v>
      </c>
      <c r="DO183" t="str">
        <f t="shared" si="420"/>
        <v>2022_11</v>
      </c>
      <c r="DP183" t="str">
        <f t="shared" si="420"/>
        <v>2022_11</v>
      </c>
      <c r="DQ183" t="str">
        <f t="shared" si="420"/>
        <v>2022_11</v>
      </c>
      <c r="DR183" t="str">
        <f t="shared" si="420"/>
        <v>2022_11</v>
      </c>
      <c r="DS183" t="str">
        <f t="shared" si="420"/>
        <v>2022_11</v>
      </c>
      <c r="DT183" t="str">
        <f t="shared" si="420"/>
        <v>2022_11</v>
      </c>
      <c r="DU183" t="str">
        <f t="shared" si="420"/>
        <v>2022_11</v>
      </c>
      <c r="DV183" t="str">
        <f t="shared" si="418"/>
        <v>2022_11</v>
      </c>
      <c r="DW183" t="str">
        <f t="shared" si="418"/>
        <v>2022_11</v>
      </c>
      <c r="DX183" t="str">
        <f t="shared" si="418"/>
        <v>2022_11</v>
      </c>
      <c r="DY183" t="str">
        <f t="shared" si="418"/>
        <v>2022_11</v>
      </c>
      <c r="DZ183" t="str">
        <f t="shared" si="418"/>
        <v>2022_11</v>
      </c>
      <c r="EA183" t="str">
        <f t="shared" si="418"/>
        <v>2022_11</v>
      </c>
      <c r="EB183" t="str">
        <f t="shared" si="418"/>
        <v>2022_11</v>
      </c>
      <c r="EC183" t="str">
        <f t="shared" si="418"/>
        <v>2022_11</v>
      </c>
      <c r="ED183" t="str">
        <f t="shared" si="418"/>
        <v>2022_11</v>
      </c>
      <c r="EE183" t="str">
        <f t="shared" si="418"/>
        <v>2022_11</v>
      </c>
      <c r="EF183" t="str">
        <f t="shared" si="418"/>
        <v>2022_11</v>
      </c>
      <c r="EG183" t="str">
        <f t="shared" si="418"/>
        <v>2022_11</v>
      </c>
      <c r="EH183" t="str">
        <f t="shared" si="418"/>
        <v>2022_11</v>
      </c>
      <c r="EI183" t="str">
        <f t="shared" si="418"/>
        <v>2022_11</v>
      </c>
      <c r="EJ183" t="str">
        <f t="shared" si="418"/>
        <v>2022_11</v>
      </c>
      <c r="EK183" t="str">
        <f t="shared" si="418"/>
        <v>2022_11</v>
      </c>
      <c r="EL183" t="str">
        <f t="shared" si="419"/>
        <v>2022_11</v>
      </c>
      <c r="EM183" t="str">
        <f t="shared" si="417"/>
        <v>2022_11</v>
      </c>
      <c r="EN183" t="str">
        <f t="shared" si="417"/>
        <v>2022_11</v>
      </c>
      <c r="EO183" t="str">
        <f t="shared" si="417"/>
        <v>2022_11</v>
      </c>
      <c r="EP183" t="str">
        <f t="shared" si="417"/>
        <v>2022_11</v>
      </c>
      <c r="EQ183" t="str">
        <f t="shared" si="417"/>
        <v>2022_11</v>
      </c>
      <c r="ER183" t="str">
        <f t="shared" si="417"/>
        <v>2022_11</v>
      </c>
      <c r="ES183" t="str">
        <f t="shared" si="417"/>
        <v>2022_11</v>
      </c>
      <c r="ET183" t="str">
        <f t="shared" si="417"/>
        <v>2022_11</v>
      </c>
      <c r="EU183" t="str">
        <f t="shared" si="417"/>
        <v>2022_11</v>
      </c>
      <c r="EV183" t="str">
        <f t="shared" si="417"/>
        <v>2022_11</v>
      </c>
      <c r="EW183" t="str">
        <f t="shared" si="417"/>
        <v>2022_11</v>
      </c>
      <c r="EX183" t="str">
        <f t="shared" si="417"/>
        <v>2022_11</v>
      </c>
      <c r="EY183" t="str">
        <f t="shared" si="417"/>
        <v>2022_11</v>
      </c>
      <c r="FB183" s="10" t="s">
        <v>37</v>
      </c>
      <c r="FC183">
        <f t="shared" si="413"/>
        <v>0</v>
      </c>
      <c r="FD183">
        <f t="shared" si="363"/>
        <v>0</v>
      </c>
      <c r="FE183">
        <f t="shared" si="364"/>
        <v>0</v>
      </c>
      <c r="FF183">
        <f t="shared" si="365"/>
        <v>0</v>
      </c>
      <c r="FG183">
        <f t="shared" si="366"/>
        <v>0</v>
      </c>
      <c r="FH183">
        <f t="shared" si="367"/>
        <v>0</v>
      </c>
      <c r="FI183">
        <f t="shared" si="368"/>
        <v>0</v>
      </c>
      <c r="FJ183">
        <f t="shared" si="369"/>
        <v>0</v>
      </c>
      <c r="FK183">
        <f t="shared" si="370"/>
        <v>0</v>
      </c>
      <c r="FL183">
        <f t="shared" si="371"/>
        <v>0</v>
      </c>
      <c r="FM183">
        <f t="shared" si="372"/>
        <v>0</v>
      </c>
      <c r="FN183">
        <f t="shared" si="373"/>
        <v>0</v>
      </c>
      <c r="FO183">
        <f t="shared" si="374"/>
        <v>0</v>
      </c>
      <c r="FP183">
        <f t="shared" si="375"/>
        <v>0</v>
      </c>
      <c r="FQ183">
        <f t="shared" si="376"/>
        <v>0</v>
      </c>
      <c r="FR183">
        <f t="shared" si="377"/>
        <v>0</v>
      </c>
      <c r="FS183">
        <f t="shared" si="378"/>
        <v>0</v>
      </c>
      <c r="FT183">
        <f t="shared" si="379"/>
        <v>0</v>
      </c>
      <c r="FU183">
        <f t="shared" si="380"/>
        <v>0</v>
      </c>
      <c r="FV183">
        <f t="shared" si="381"/>
        <v>0</v>
      </c>
      <c r="FW183">
        <f t="shared" si="382"/>
        <v>0</v>
      </c>
      <c r="FX183">
        <f t="shared" si="383"/>
        <v>0</v>
      </c>
      <c r="FY183">
        <f t="shared" si="384"/>
        <v>0</v>
      </c>
      <c r="FZ183">
        <f t="shared" si="385"/>
        <v>0</v>
      </c>
      <c r="GA183">
        <f t="shared" si="386"/>
        <v>0</v>
      </c>
      <c r="GB183">
        <f t="shared" si="387"/>
        <v>0</v>
      </c>
      <c r="GC183">
        <f t="shared" si="388"/>
        <v>0</v>
      </c>
      <c r="GD183">
        <f t="shared" si="389"/>
        <v>0</v>
      </c>
      <c r="GE183">
        <f t="shared" si="390"/>
        <v>0</v>
      </c>
      <c r="GF183">
        <f t="shared" si="391"/>
        <v>0</v>
      </c>
      <c r="GG183">
        <f t="shared" si="392"/>
        <v>0</v>
      </c>
      <c r="GH183">
        <f t="shared" si="393"/>
        <v>1</v>
      </c>
      <c r="GI183">
        <f t="shared" si="394"/>
        <v>1</v>
      </c>
      <c r="GJ183">
        <f t="shared" si="395"/>
        <v>1</v>
      </c>
      <c r="GK183">
        <f t="shared" si="396"/>
        <v>1</v>
      </c>
      <c r="GL183">
        <f t="shared" si="397"/>
        <v>1</v>
      </c>
      <c r="GM183">
        <f t="shared" si="398"/>
        <v>1</v>
      </c>
      <c r="GN183">
        <f t="shared" si="399"/>
        <v>1</v>
      </c>
      <c r="GO183">
        <f t="shared" si="400"/>
        <v>1</v>
      </c>
      <c r="GP183">
        <f t="shared" si="401"/>
        <v>1</v>
      </c>
      <c r="GQ183">
        <f t="shared" si="402"/>
        <v>1</v>
      </c>
      <c r="GR183">
        <f t="shared" si="403"/>
        <v>1</v>
      </c>
      <c r="GS183">
        <f t="shared" si="404"/>
        <v>1</v>
      </c>
      <c r="GT183">
        <f t="shared" si="405"/>
        <v>1</v>
      </c>
      <c r="GU183">
        <f t="shared" si="406"/>
        <v>1</v>
      </c>
      <c r="GX183" s="10"/>
    </row>
    <row r="184" spans="1:206" x14ac:dyDescent="0.3">
      <c r="A184" s="9" t="s">
        <v>124</v>
      </c>
      <c r="B184" s="80"/>
      <c r="C184" s="9">
        <v>3020014000</v>
      </c>
      <c r="D184" s="9" t="s">
        <v>395</v>
      </c>
      <c r="E184" s="9" t="s">
        <v>43</v>
      </c>
      <c r="F184" s="9" t="s">
        <v>35</v>
      </c>
      <c r="G184" s="9" t="s">
        <v>214</v>
      </c>
      <c r="H184" s="10">
        <v>44900</v>
      </c>
      <c r="I184" s="9">
        <f t="shared" si="407"/>
        <v>2022</v>
      </c>
      <c r="J184" s="9">
        <f t="shared" si="408"/>
        <v>12</v>
      </c>
      <c r="K184" s="9" t="str">
        <f t="shared" si="409"/>
        <v>2022_12</v>
      </c>
      <c r="L184">
        <f>MAX(0,VLOOKUP($K184,lookups!$A$1:$B$45,2,0)-12)</f>
        <v>20</v>
      </c>
      <c r="M184" s="40">
        <f t="shared" si="410"/>
        <v>44896</v>
      </c>
      <c r="N184" s="10" t="s">
        <v>37</v>
      </c>
      <c r="O184" t="str">
        <f ca="1">IF(OR($L184&gt;O$4,O$4&gt;$L184+23),"",OFFSET(Electric!$L175,0,-'Electric Calendarize'!$L184+'Electric Calendarize'!O$4+1))</f>
        <v/>
      </c>
      <c r="P184" t="str">
        <f ca="1">IF(OR($L184&gt;P$4,P$4&gt;$L184+23),"",OFFSET(Electric!$L175,0,-'Electric Calendarize'!$L184+'Electric Calendarize'!P$4+1))</f>
        <v/>
      </c>
      <c r="Q184" t="str">
        <f ca="1">IF(OR($L184&gt;Q$4,Q$4&gt;$L184+23),"",OFFSET(Electric!$L175,0,-'Electric Calendarize'!$L184+'Electric Calendarize'!Q$4+1))</f>
        <v/>
      </c>
      <c r="R184" t="str">
        <f ca="1">IF(OR($L184&gt;R$4,R$4&gt;$L184+23),"",OFFSET(Electric!$L175,0,-'Electric Calendarize'!$L184+'Electric Calendarize'!R$4+1))</f>
        <v/>
      </c>
      <c r="S184" t="str">
        <f ca="1">IF(OR($L184&gt;S$4,S$4&gt;$L184+23),"",OFFSET(Electric!$L175,0,-'Electric Calendarize'!$L184+'Electric Calendarize'!S$4+1))</f>
        <v/>
      </c>
      <c r="T184" t="str">
        <f ca="1">IF(OR($L184&gt;T$4,T$4&gt;$L184+23),"",OFFSET(Electric!$L175,0,-'Electric Calendarize'!$L184+'Electric Calendarize'!T$4+1))</f>
        <v/>
      </c>
      <c r="U184" t="str">
        <f ca="1">IF(OR($L184&gt;U$4,U$4&gt;$L184+23),"",OFFSET(Electric!$L175,0,-'Electric Calendarize'!$L184+'Electric Calendarize'!U$4+1))</f>
        <v/>
      </c>
      <c r="V184" t="str">
        <f ca="1">IF(OR($L184&gt;V$4,V$4&gt;$L184+23),"",OFFSET(Electric!$L175,0,-'Electric Calendarize'!$L184+'Electric Calendarize'!V$4+1))</f>
        <v/>
      </c>
      <c r="W184" t="str">
        <f ca="1">IF(OR($L184&gt;W$4,W$4&gt;$L184+23),"",OFFSET(Electric!$L175,0,-'Electric Calendarize'!$L184+'Electric Calendarize'!W$4+1))</f>
        <v/>
      </c>
      <c r="X184" t="str">
        <f ca="1">IF(OR($L184&gt;X$4,X$4&gt;$L184+23),"",OFFSET(Electric!$L175,0,-'Electric Calendarize'!$L184+'Electric Calendarize'!X$4+1))</f>
        <v/>
      </c>
      <c r="Y184" t="str">
        <f ca="1">IF(OR($L184&gt;Y$4,Y$4&gt;$L184+23),"",OFFSET(Electric!$L175,0,-'Electric Calendarize'!$L184+'Electric Calendarize'!Y$4+1))</f>
        <v/>
      </c>
      <c r="Z184" t="str">
        <f ca="1">IF(OR($L184&gt;Z$4,Z$4&gt;$L184+23),"",OFFSET(Electric!$L175,0,-'Electric Calendarize'!$L184+'Electric Calendarize'!Z$4+1))</f>
        <v/>
      </c>
      <c r="AA184" t="str">
        <f ca="1">IF(OR($L184&gt;AA$4,AA$4&gt;$L184+23),"",OFFSET(Electric!$L175,0,-'Electric Calendarize'!$L184+'Electric Calendarize'!AA$4+1))</f>
        <v/>
      </c>
      <c r="AB184" t="str">
        <f ca="1">IF(OR($L184&gt;AB$4,AB$4&gt;$L184+23),"",OFFSET(Electric!$L175,0,-'Electric Calendarize'!$L184+'Electric Calendarize'!AB$4+1))</f>
        <v/>
      </c>
      <c r="AC184" t="str">
        <f ca="1">IF(OR($L184&gt;AC$4,AC$4&gt;$L184+23),"",OFFSET(Electric!$L175,0,-'Electric Calendarize'!$L184+'Electric Calendarize'!AC$4+1))</f>
        <v/>
      </c>
      <c r="AD184" t="str">
        <f ca="1">IF(OR($L184&gt;AD$4,AD$4&gt;$L184+23),"",OFFSET(Electric!$L175,0,-'Electric Calendarize'!$L184+'Electric Calendarize'!AD$4+1))</f>
        <v/>
      </c>
      <c r="AE184" t="str">
        <f ca="1">IF(OR($L184&gt;AE$4,AE$4&gt;$L184+23),"",OFFSET(Electric!$L175,0,-'Electric Calendarize'!$L184+'Electric Calendarize'!AE$4+1))</f>
        <v/>
      </c>
      <c r="AF184" t="str">
        <f ca="1">IF(OR($L184&gt;AF$4,AF$4&gt;$L184+23),"",OFFSET(Electric!$L175,0,-'Electric Calendarize'!$L184+'Electric Calendarize'!AF$4+1))</f>
        <v/>
      </c>
      <c r="AG184" t="str">
        <f ca="1">IF(OR($L184&gt;AG$4,AG$4&gt;$L184+23),"",OFFSET(Electric!$L175,0,-'Electric Calendarize'!$L184+'Electric Calendarize'!AG$4+1))</f>
        <v/>
      </c>
      <c r="AH184" t="str">
        <f ca="1">IF(OR($L184&gt;AH$4,AH$4&gt;$L184+23),"",OFFSET(Electric!$L175,0,-'Electric Calendarize'!$L184+'Electric Calendarize'!AH$4+1))</f>
        <v/>
      </c>
      <c r="AI184">
        <f ca="1">IF(OR($L184&gt;AI$4,AI$4&gt;$L184+23),"",OFFSET(Electric!$L175,0,-'Electric Calendarize'!$L184+'Electric Calendarize'!AI$4+1))</f>
        <v>1376</v>
      </c>
      <c r="AJ184">
        <f ca="1">IF(OR($L184&gt;AJ$4,AJ$4&gt;$L184+23),"",OFFSET(Electric!$L175,0,-'Electric Calendarize'!$L184+'Electric Calendarize'!AJ$4+1))</f>
        <v>1268</v>
      </c>
      <c r="AK184">
        <f ca="1">IF(OR($L184&gt;AK$4,AK$4&gt;$L184+23),"",OFFSET(Electric!$L175,0,-'Electric Calendarize'!$L184+'Electric Calendarize'!AK$4+1))</f>
        <v>1060</v>
      </c>
      <c r="AL184">
        <f ca="1">IF(OR($L184&gt;AL$4,AL$4&gt;$L184+23),"",OFFSET(Electric!$L175,0,-'Electric Calendarize'!$L184+'Electric Calendarize'!AL$4+1))</f>
        <v>1798</v>
      </c>
      <c r="AM184">
        <f ca="1">IF(OR($L184&gt;AM$4,AM$4&gt;$L184+23),"",OFFSET(Electric!$L175,0,-'Electric Calendarize'!$L184+'Electric Calendarize'!AM$4+1))</f>
        <v>886</v>
      </c>
      <c r="AN184">
        <f ca="1">IF(OR($L184&gt;AN$4,AN$4&gt;$L184+23),"",OFFSET(Electric!$L175,0,-'Electric Calendarize'!$L184+'Electric Calendarize'!AN$4+1))</f>
        <v>916</v>
      </c>
      <c r="AO184">
        <f ca="1">IF(OR($L184&gt;AO$4,AO$4&gt;$L184+23),"",OFFSET(Electric!$L175,0,-'Electric Calendarize'!$L184+'Electric Calendarize'!AO$4+1))</f>
        <v>678</v>
      </c>
      <c r="AP184">
        <f ca="1">IF(OR($L184&gt;AP$4,AP$4&gt;$L184+23),"",OFFSET(Electric!$L175,0,-'Electric Calendarize'!$L184+'Electric Calendarize'!AP$4+1))</f>
        <v>540</v>
      </c>
      <c r="AQ184">
        <f ca="1">IF(OR($L184&gt;AQ$4,AQ$4&gt;$L184+23),"",OFFSET(Electric!$L175,0,-'Electric Calendarize'!$L184+'Electric Calendarize'!AQ$4+1))</f>
        <v>1084</v>
      </c>
      <c r="AR184">
        <f ca="1">IF(OR($L184&gt;AR$4,AR$4&gt;$L184+23),"",OFFSET(Electric!$L175,0,-'Electric Calendarize'!$L184+'Electric Calendarize'!AR$4+1))</f>
        <v>964</v>
      </c>
      <c r="AS184">
        <f ca="1">IF(OR($L184&gt;AS$4,AS$4&gt;$L184+23),"",OFFSET(Electric!$L175,0,-'Electric Calendarize'!$L184+'Electric Calendarize'!AS$4+1))</f>
        <v>872</v>
      </c>
      <c r="AT184">
        <f ca="1">IF(OR($L184&gt;AT$4,AT$4&gt;$L184+23),"",OFFSET(Electric!$L175,0,-'Electric Calendarize'!$L184+'Electric Calendarize'!AT$4+1))</f>
        <v>914</v>
      </c>
      <c r="AU184">
        <f ca="1">IF(OR($L184&gt;AU$4,AU$4&gt;$L184+23),"",OFFSET(Electric!$L175,0,-'Electric Calendarize'!$L184+'Electric Calendarize'!AU$4+1))</f>
        <v>1256</v>
      </c>
      <c r="AV184">
        <f ca="1">IF(OR($L184&gt;AV$4,AV$4&gt;$L184+23),"",OFFSET(Electric!$L175,0,-'Electric Calendarize'!$L184+'Electric Calendarize'!AV$4+1))</f>
        <v>1082</v>
      </c>
      <c r="AW184">
        <f ca="1">IF(OR($L184&gt;AW$4,AW$4&gt;$L184+23),"",OFFSET(Electric!$L175,0,-'Electric Calendarize'!$L184+'Electric Calendarize'!AW$4+1))</f>
        <v>1362</v>
      </c>
      <c r="AX184">
        <f ca="1">IF(OR($L184&gt;AX$4,AX$4&gt;$L184+23),"",OFFSET(Electric!$L175,0,-'Electric Calendarize'!$L184+'Electric Calendarize'!AX$4+1))</f>
        <v>1270</v>
      </c>
      <c r="AY184">
        <f ca="1">IF(OR($L184&gt;AY$4,AY$4&gt;$L184+23),"",OFFSET(Electric!$L175,0,-'Electric Calendarize'!$L184+'Electric Calendarize'!AY$4+1))</f>
        <v>882</v>
      </c>
      <c r="AZ184">
        <f ca="1">IF(OR($L184&gt;AZ$4,AZ$4&gt;$L184+23),"",OFFSET(Electric!$L175,0,-'Electric Calendarize'!$L184+'Electric Calendarize'!AZ$4+1))</f>
        <v>768</v>
      </c>
      <c r="BA184">
        <f ca="1">IF(OR($L184&gt;BA$4,BA$4&gt;$L184+23),"",OFFSET(Electric!$L175,0,-'Electric Calendarize'!$L184+'Electric Calendarize'!BA$4+1))</f>
        <v>478</v>
      </c>
      <c r="BB184">
        <f ca="1">IF(OR($L184&gt;BB$4,BB$4&gt;$L184+23),"",OFFSET(Electric!$L175,0,-'Electric Calendarize'!$L184+'Electric Calendarize'!BB$4+1))</f>
        <v>824</v>
      </c>
      <c r="BC184">
        <f ca="1">IF(OR($L184&gt;BC$4,BC$4&gt;$L184+23),"",OFFSET(Electric!$L175,0,-'Electric Calendarize'!$L184+'Electric Calendarize'!BC$4+1))</f>
        <v>966</v>
      </c>
      <c r="BD184">
        <f ca="1">IF(OR($L184&gt;BD$4,BD$4&gt;$L184+23),"",OFFSET(Electric!$L175,0,-'Electric Calendarize'!$L184+'Electric Calendarize'!BD$4+1))</f>
        <v>812</v>
      </c>
      <c r="BE184">
        <f ca="1">IF(OR($L184&gt;BE$4,BE$4&gt;$L184+23),"",OFFSET(Electric!$L175,0,-'Electric Calendarize'!$L184+'Electric Calendarize'!BE$4+1))</f>
        <v>992</v>
      </c>
      <c r="BF184">
        <f ca="1">IF(OR($L184&gt;BF$4,BF$4&gt;$L184+23),"",OFFSET(Electric!$L175,0,-'Electric Calendarize'!$L184+'Electric Calendarize'!BF$4+1))</f>
        <v>936</v>
      </c>
      <c r="BG184" t="str">
        <f ca="1">IF(OR($L184&gt;BG$4,BG$4&gt;$L184+23),"",OFFSET(Electric!$L175,0,-'Electric Calendarize'!$L184+'Electric Calendarize'!BG$4+1))</f>
        <v/>
      </c>
      <c r="BJ184" s="10" t="s">
        <v>37</v>
      </c>
      <c r="BK184">
        <f t="shared" si="411"/>
        <v>1</v>
      </c>
      <c r="BL184">
        <f t="shared" si="317"/>
        <v>0</v>
      </c>
      <c r="BM184">
        <f t="shared" si="318"/>
        <v>0</v>
      </c>
      <c r="BN184">
        <f t="shared" si="319"/>
        <v>0</v>
      </c>
      <c r="BO184">
        <f t="shared" si="320"/>
        <v>0</v>
      </c>
      <c r="BP184">
        <f t="shared" si="321"/>
        <v>0</v>
      </c>
      <c r="BQ184">
        <f t="shared" si="322"/>
        <v>0</v>
      </c>
      <c r="BR184">
        <f t="shared" si="323"/>
        <v>1</v>
      </c>
      <c r="BS184">
        <f t="shared" si="324"/>
        <v>1</v>
      </c>
      <c r="BT184">
        <f t="shared" si="325"/>
        <v>1</v>
      </c>
      <c r="BU184">
        <f t="shared" si="326"/>
        <v>1</v>
      </c>
      <c r="BV184">
        <f t="shared" si="327"/>
        <v>1</v>
      </c>
      <c r="BW184">
        <f t="shared" si="328"/>
        <v>1</v>
      </c>
      <c r="BX184">
        <f t="shared" si="329"/>
        <v>0</v>
      </c>
      <c r="BY184">
        <f t="shared" si="330"/>
        <v>0</v>
      </c>
      <c r="BZ184">
        <f t="shared" si="331"/>
        <v>0</v>
      </c>
      <c r="CA184">
        <f t="shared" si="332"/>
        <v>0</v>
      </c>
      <c r="CB184">
        <f t="shared" si="333"/>
        <v>0</v>
      </c>
      <c r="CC184">
        <f t="shared" si="334"/>
        <v>0</v>
      </c>
      <c r="CD184">
        <f t="shared" si="335"/>
        <v>1</v>
      </c>
      <c r="CE184">
        <f t="shared" si="336"/>
        <v>1</v>
      </c>
      <c r="CF184">
        <f t="shared" si="337"/>
        <v>1</v>
      </c>
      <c r="CG184">
        <f t="shared" si="338"/>
        <v>1</v>
      </c>
      <c r="CH184">
        <f t="shared" si="339"/>
        <v>1</v>
      </c>
      <c r="CI184">
        <f t="shared" si="340"/>
        <v>1</v>
      </c>
      <c r="CJ184">
        <f t="shared" si="341"/>
        <v>0</v>
      </c>
      <c r="CK184">
        <f t="shared" si="342"/>
        <v>0</v>
      </c>
      <c r="CL184">
        <f t="shared" si="343"/>
        <v>0</v>
      </c>
      <c r="CM184">
        <f t="shared" si="344"/>
        <v>0</v>
      </c>
      <c r="CN184">
        <f t="shared" si="345"/>
        <v>0</v>
      </c>
      <c r="CO184">
        <f t="shared" si="346"/>
        <v>0</v>
      </c>
      <c r="CP184">
        <f t="shared" si="347"/>
        <v>1</v>
      </c>
      <c r="CQ184">
        <f t="shared" si="348"/>
        <v>1</v>
      </c>
      <c r="CR184">
        <f t="shared" si="349"/>
        <v>1</v>
      </c>
      <c r="CS184">
        <f t="shared" si="350"/>
        <v>1</v>
      </c>
      <c r="CT184">
        <f t="shared" si="351"/>
        <v>1</v>
      </c>
      <c r="CU184">
        <f t="shared" si="352"/>
        <v>1</v>
      </c>
      <c r="CV184">
        <f t="shared" si="353"/>
        <v>0</v>
      </c>
      <c r="CW184">
        <f t="shared" si="354"/>
        <v>0</v>
      </c>
      <c r="CX184">
        <f t="shared" si="355"/>
        <v>0</v>
      </c>
      <c r="CY184">
        <f t="shared" si="356"/>
        <v>0</v>
      </c>
      <c r="CZ184">
        <f t="shared" si="357"/>
        <v>0</v>
      </c>
      <c r="DA184">
        <f t="shared" si="358"/>
        <v>0</v>
      </c>
      <c r="DB184">
        <f t="shared" si="359"/>
        <v>1</v>
      </c>
      <c r="DC184">
        <f t="shared" si="360"/>
        <v>1</v>
      </c>
      <c r="DF184" s="10" t="s">
        <v>37</v>
      </c>
      <c r="DG184" t="str">
        <f t="shared" si="420"/>
        <v>2022_12</v>
      </c>
      <c r="DH184" t="str">
        <f t="shared" si="420"/>
        <v>2022_12</v>
      </c>
      <c r="DI184" t="str">
        <f t="shared" si="420"/>
        <v>2022_12</v>
      </c>
      <c r="DJ184" t="str">
        <f t="shared" si="420"/>
        <v>2022_12</v>
      </c>
      <c r="DK184" t="str">
        <f t="shared" si="420"/>
        <v>2022_12</v>
      </c>
      <c r="DL184" t="str">
        <f t="shared" si="420"/>
        <v>2022_12</v>
      </c>
      <c r="DM184" t="str">
        <f t="shared" si="420"/>
        <v>2022_12</v>
      </c>
      <c r="DN184" t="str">
        <f t="shared" si="420"/>
        <v>2022_12</v>
      </c>
      <c r="DO184" t="str">
        <f t="shared" si="420"/>
        <v>2022_12</v>
      </c>
      <c r="DP184" t="str">
        <f t="shared" si="420"/>
        <v>2022_12</v>
      </c>
      <c r="DQ184" t="str">
        <f t="shared" si="420"/>
        <v>2022_12</v>
      </c>
      <c r="DR184" t="str">
        <f t="shared" si="420"/>
        <v>2022_12</v>
      </c>
      <c r="DS184" t="str">
        <f t="shared" si="420"/>
        <v>2022_12</v>
      </c>
      <c r="DT184" t="str">
        <f t="shared" si="420"/>
        <v>2022_12</v>
      </c>
      <c r="DU184" t="str">
        <f t="shared" si="420"/>
        <v>2022_12</v>
      </c>
      <c r="DV184" t="str">
        <f t="shared" si="418"/>
        <v>2022_12</v>
      </c>
      <c r="DW184" t="str">
        <f t="shared" si="418"/>
        <v>2022_12</v>
      </c>
      <c r="DX184" t="str">
        <f t="shared" si="418"/>
        <v>2022_12</v>
      </c>
      <c r="DY184" t="str">
        <f t="shared" si="418"/>
        <v>2022_12</v>
      </c>
      <c r="DZ184" t="str">
        <f t="shared" si="418"/>
        <v>2022_12</v>
      </c>
      <c r="EA184" t="str">
        <f t="shared" si="418"/>
        <v>2022_12</v>
      </c>
      <c r="EB184" t="str">
        <f t="shared" si="418"/>
        <v>2022_12</v>
      </c>
      <c r="EC184" t="str">
        <f t="shared" si="418"/>
        <v>2022_12</v>
      </c>
      <c r="ED184" t="str">
        <f t="shared" si="418"/>
        <v>2022_12</v>
      </c>
      <c r="EE184" t="str">
        <f t="shared" si="418"/>
        <v>2022_12</v>
      </c>
      <c r="EF184" t="str">
        <f t="shared" si="418"/>
        <v>2022_12</v>
      </c>
      <c r="EG184" t="str">
        <f t="shared" si="418"/>
        <v>2022_12</v>
      </c>
      <c r="EH184" t="str">
        <f t="shared" si="418"/>
        <v>2022_12</v>
      </c>
      <c r="EI184" t="str">
        <f t="shared" si="418"/>
        <v>2022_12</v>
      </c>
      <c r="EJ184" t="str">
        <f t="shared" si="418"/>
        <v>2022_12</v>
      </c>
      <c r="EK184" t="str">
        <f t="shared" si="418"/>
        <v>2022_12</v>
      </c>
      <c r="EL184" t="str">
        <f t="shared" si="419"/>
        <v>2022_12</v>
      </c>
      <c r="EM184" t="str">
        <f t="shared" si="417"/>
        <v>2022_12</v>
      </c>
      <c r="EN184" t="str">
        <f t="shared" si="417"/>
        <v>2022_12</v>
      </c>
      <c r="EO184" t="str">
        <f t="shared" si="417"/>
        <v>2022_12</v>
      </c>
      <c r="EP184" t="str">
        <f t="shared" si="417"/>
        <v>2022_12</v>
      </c>
      <c r="EQ184" t="str">
        <f t="shared" si="417"/>
        <v>2022_12</v>
      </c>
      <c r="ER184" t="str">
        <f t="shared" si="417"/>
        <v>2022_12</v>
      </c>
      <c r="ES184" t="str">
        <f t="shared" si="417"/>
        <v>2022_12</v>
      </c>
      <c r="ET184" t="str">
        <f t="shared" si="417"/>
        <v>2022_12</v>
      </c>
      <c r="EU184" t="str">
        <f t="shared" si="417"/>
        <v>2022_12</v>
      </c>
      <c r="EV184" t="str">
        <f t="shared" si="417"/>
        <v>2022_12</v>
      </c>
      <c r="EW184" t="str">
        <f t="shared" si="417"/>
        <v>2022_12</v>
      </c>
      <c r="EX184" t="str">
        <f t="shared" si="417"/>
        <v>2022_12</v>
      </c>
      <c r="EY184" t="str">
        <f t="shared" si="417"/>
        <v>2022_12</v>
      </c>
      <c r="FB184" s="10" t="s">
        <v>37</v>
      </c>
      <c r="FC184">
        <f t="shared" si="413"/>
        <v>0</v>
      </c>
      <c r="FD184">
        <f t="shared" si="363"/>
        <v>0</v>
      </c>
      <c r="FE184">
        <f t="shared" si="364"/>
        <v>0</v>
      </c>
      <c r="FF184">
        <f t="shared" si="365"/>
        <v>0</v>
      </c>
      <c r="FG184">
        <f t="shared" si="366"/>
        <v>0</v>
      </c>
      <c r="FH184">
        <f t="shared" si="367"/>
        <v>0</v>
      </c>
      <c r="FI184">
        <f t="shared" si="368"/>
        <v>0</v>
      </c>
      <c r="FJ184">
        <f t="shared" si="369"/>
        <v>0</v>
      </c>
      <c r="FK184">
        <f t="shared" si="370"/>
        <v>0</v>
      </c>
      <c r="FL184">
        <f t="shared" si="371"/>
        <v>0</v>
      </c>
      <c r="FM184">
        <f t="shared" si="372"/>
        <v>0</v>
      </c>
      <c r="FN184">
        <f t="shared" si="373"/>
        <v>0</v>
      </c>
      <c r="FO184">
        <f t="shared" si="374"/>
        <v>0</v>
      </c>
      <c r="FP184">
        <f t="shared" si="375"/>
        <v>0</v>
      </c>
      <c r="FQ184">
        <f t="shared" si="376"/>
        <v>0</v>
      </c>
      <c r="FR184">
        <f t="shared" si="377"/>
        <v>0</v>
      </c>
      <c r="FS184">
        <f t="shared" si="378"/>
        <v>0</v>
      </c>
      <c r="FT184">
        <f t="shared" si="379"/>
        <v>0</v>
      </c>
      <c r="FU184">
        <f t="shared" si="380"/>
        <v>0</v>
      </c>
      <c r="FV184">
        <f t="shared" si="381"/>
        <v>0</v>
      </c>
      <c r="FW184">
        <f t="shared" si="382"/>
        <v>0</v>
      </c>
      <c r="FX184">
        <f t="shared" si="383"/>
        <v>0</v>
      </c>
      <c r="FY184">
        <f t="shared" si="384"/>
        <v>0</v>
      </c>
      <c r="FZ184">
        <f t="shared" si="385"/>
        <v>0</v>
      </c>
      <c r="GA184">
        <f t="shared" si="386"/>
        <v>0</v>
      </c>
      <c r="GB184">
        <f t="shared" si="387"/>
        <v>0</v>
      </c>
      <c r="GC184">
        <f t="shared" si="388"/>
        <v>0</v>
      </c>
      <c r="GD184">
        <f t="shared" si="389"/>
        <v>0</v>
      </c>
      <c r="GE184">
        <f t="shared" si="390"/>
        <v>0</v>
      </c>
      <c r="GF184">
        <f t="shared" si="391"/>
        <v>0</v>
      </c>
      <c r="GG184">
        <f t="shared" si="392"/>
        <v>0</v>
      </c>
      <c r="GH184">
        <f t="shared" si="393"/>
        <v>0</v>
      </c>
      <c r="GI184">
        <f t="shared" si="394"/>
        <v>1</v>
      </c>
      <c r="GJ184">
        <f t="shared" si="395"/>
        <v>1</v>
      </c>
      <c r="GK184">
        <f t="shared" si="396"/>
        <v>1</v>
      </c>
      <c r="GL184">
        <f t="shared" si="397"/>
        <v>1</v>
      </c>
      <c r="GM184">
        <f t="shared" si="398"/>
        <v>1</v>
      </c>
      <c r="GN184">
        <f t="shared" si="399"/>
        <v>1</v>
      </c>
      <c r="GO184">
        <f t="shared" si="400"/>
        <v>1</v>
      </c>
      <c r="GP184">
        <f t="shared" si="401"/>
        <v>1</v>
      </c>
      <c r="GQ184">
        <f t="shared" si="402"/>
        <v>1</v>
      </c>
      <c r="GR184">
        <f t="shared" si="403"/>
        <v>1</v>
      </c>
      <c r="GS184">
        <f t="shared" si="404"/>
        <v>1</v>
      </c>
      <c r="GT184">
        <f t="shared" si="405"/>
        <v>1</v>
      </c>
      <c r="GU184">
        <f t="shared" si="406"/>
        <v>1</v>
      </c>
      <c r="GX184" s="10"/>
    </row>
    <row r="185" spans="1:206" x14ac:dyDescent="0.3">
      <c r="A185" s="9" t="s">
        <v>55</v>
      </c>
      <c r="B185" s="80"/>
      <c r="C185" s="9">
        <v>3100237006</v>
      </c>
      <c r="D185" s="9" t="s">
        <v>475</v>
      </c>
      <c r="E185" s="9" t="s">
        <v>34</v>
      </c>
      <c r="F185" s="9" t="s">
        <v>35</v>
      </c>
      <c r="G185" s="9" t="s">
        <v>215</v>
      </c>
      <c r="H185" s="10">
        <v>44900</v>
      </c>
      <c r="I185" s="9">
        <f t="shared" si="407"/>
        <v>2022</v>
      </c>
      <c r="J185" s="9">
        <f t="shared" si="408"/>
        <v>12</v>
      </c>
      <c r="K185" s="9" t="str">
        <f t="shared" si="409"/>
        <v>2022_12</v>
      </c>
      <c r="L185">
        <f>MAX(0,VLOOKUP($K185,lookups!$A$1:$B$45,2,0)-12)</f>
        <v>20</v>
      </c>
      <c r="M185" s="40">
        <f t="shared" si="410"/>
        <v>44896</v>
      </c>
      <c r="N185" s="10" t="s">
        <v>37</v>
      </c>
      <c r="O185" t="str">
        <f ca="1">IF(OR($L185&gt;O$4,O$4&gt;$L185+23),"",OFFSET(Electric!$L176,0,-'Electric Calendarize'!$L185+'Electric Calendarize'!O$4+1))</f>
        <v/>
      </c>
      <c r="P185" t="str">
        <f ca="1">IF(OR($L185&gt;P$4,P$4&gt;$L185+23),"",OFFSET(Electric!$L176,0,-'Electric Calendarize'!$L185+'Electric Calendarize'!P$4+1))</f>
        <v/>
      </c>
      <c r="Q185" t="str">
        <f ca="1">IF(OR($L185&gt;Q$4,Q$4&gt;$L185+23),"",OFFSET(Electric!$L176,0,-'Electric Calendarize'!$L185+'Electric Calendarize'!Q$4+1))</f>
        <v/>
      </c>
      <c r="R185" t="str">
        <f ca="1">IF(OR($L185&gt;R$4,R$4&gt;$L185+23),"",OFFSET(Electric!$L176,0,-'Electric Calendarize'!$L185+'Electric Calendarize'!R$4+1))</f>
        <v/>
      </c>
      <c r="S185" t="str">
        <f ca="1">IF(OR($L185&gt;S$4,S$4&gt;$L185+23),"",OFFSET(Electric!$L176,0,-'Electric Calendarize'!$L185+'Electric Calendarize'!S$4+1))</f>
        <v/>
      </c>
      <c r="T185" t="str">
        <f ca="1">IF(OR($L185&gt;T$4,T$4&gt;$L185+23),"",OFFSET(Electric!$L176,0,-'Electric Calendarize'!$L185+'Electric Calendarize'!T$4+1))</f>
        <v/>
      </c>
      <c r="U185" t="str">
        <f ca="1">IF(OR($L185&gt;U$4,U$4&gt;$L185+23),"",OFFSET(Electric!$L176,0,-'Electric Calendarize'!$L185+'Electric Calendarize'!U$4+1))</f>
        <v/>
      </c>
      <c r="V185" t="str">
        <f ca="1">IF(OR($L185&gt;V$4,V$4&gt;$L185+23),"",OFFSET(Electric!$L176,0,-'Electric Calendarize'!$L185+'Electric Calendarize'!V$4+1))</f>
        <v/>
      </c>
      <c r="W185" t="str">
        <f ca="1">IF(OR($L185&gt;W$4,W$4&gt;$L185+23),"",OFFSET(Electric!$L176,0,-'Electric Calendarize'!$L185+'Electric Calendarize'!W$4+1))</f>
        <v/>
      </c>
      <c r="X185" t="str">
        <f ca="1">IF(OR($L185&gt;X$4,X$4&gt;$L185+23),"",OFFSET(Electric!$L176,0,-'Electric Calendarize'!$L185+'Electric Calendarize'!X$4+1))</f>
        <v/>
      </c>
      <c r="Y185" t="str">
        <f ca="1">IF(OR($L185&gt;Y$4,Y$4&gt;$L185+23),"",OFFSET(Electric!$L176,0,-'Electric Calendarize'!$L185+'Electric Calendarize'!Y$4+1))</f>
        <v/>
      </c>
      <c r="Z185" t="str">
        <f ca="1">IF(OR($L185&gt;Z$4,Z$4&gt;$L185+23),"",OFFSET(Electric!$L176,0,-'Electric Calendarize'!$L185+'Electric Calendarize'!Z$4+1))</f>
        <v/>
      </c>
      <c r="AA185" t="str">
        <f ca="1">IF(OR($L185&gt;AA$4,AA$4&gt;$L185+23),"",OFFSET(Electric!$L176,0,-'Electric Calendarize'!$L185+'Electric Calendarize'!AA$4+1))</f>
        <v/>
      </c>
      <c r="AB185" t="str">
        <f ca="1">IF(OR($L185&gt;AB$4,AB$4&gt;$L185+23),"",OFFSET(Electric!$L176,0,-'Electric Calendarize'!$L185+'Electric Calendarize'!AB$4+1))</f>
        <v/>
      </c>
      <c r="AC185" t="str">
        <f ca="1">IF(OR($L185&gt;AC$4,AC$4&gt;$L185+23),"",OFFSET(Electric!$L176,0,-'Electric Calendarize'!$L185+'Electric Calendarize'!AC$4+1))</f>
        <v/>
      </c>
      <c r="AD185" t="str">
        <f ca="1">IF(OR($L185&gt;AD$4,AD$4&gt;$L185+23),"",OFFSET(Electric!$L176,0,-'Electric Calendarize'!$L185+'Electric Calendarize'!AD$4+1))</f>
        <v/>
      </c>
      <c r="AE185" t="str">
        <f ca="1">IF(OR($L185&gt;AE$4,AE$4&gt;$L185+23),"",OFFSET(Electric!$L176,0,-'Electric Calendarize'!$L185+'Electric Calendarize'!AE$4+1))</f>
        <v/>
      </c>
      <c r="AF185" t="str">
        <f ca="1">IF(OR($L185&gt;AF$4,AF$4&gt;$L185+23),"",OFFSET(Electric!$L176,0,-'Electric Calendarize'!$L185+'Electric Calendarize'!AF$4+1))</f>
        <v/>
      </c>
      <c r="AG185" t="str">
        <f ca="1">IF(OR($L185&gt;AG$4,AG$4&gt;$L185+23),"",OFFSET(Electric!$L176,0,-'Electric Calendarize'!$L185+'Electric Calendarize'!AG$4+1))</f>
        <v/>
      </c>
      <c r="AH185" t="str">
        <f ca="1">IF(OR($L185&gt;AH$4,AH$4&gt;$L185+23),"",OFFSET(Electric!$L176,0,-'Electric Calendarize'!$L185+'Electric Calendarize'!AH$4+1))</f>
        <v/>
      </c>
      <c r="AI185">
        <f ca="1">IF(OR($L185&gt;AI$4,AI$4&gt;$L185+23),"",OFFSET(Electric!$L176,0,-'Electric Calendarize'!$L185+'Electric Calendarize'!AI$4+1))</f>
        <v>0</v>
      </c>
      <c r="AJ185">
        <f ca="1">IF(OR($L185&gt;AJ$4,AJ$4&gt;$L185+23),"",OFFSET(Electric!$L176,0,-'Electric Calendarize'!$L185+'Electric Calendarize'!AJ$4+1))</f>
        <v>0</v>
      </c>
      <c r="AK185">
        <f ca="1">IF(OR($L185&gt;AK$4,AK$4&gt;$L185+23),"",OFFSET(Electric!$L176,0,-'Electric Calendarize'!$L185+'Electric Calendarize'!AK$4+1))</f>
        <v>0</v>
      </c>
      <c r="AL185">
        <f ca="1">IF(OR($L185&gt;AL$4,AL$4&gt;$L185+23),"",OFFSET(Electric!$L176,0,-'Electric Calendarize'!$L185+'Electric Calendarize'!AL$4+1))</f>
        <v>0</v>
      </c>
      <c r="AM185">
        <f ca="1">IF(OR($L185&gt;AM$4,AM$4&gt;$L185+23),"",OFFSET(Electric!$L176,0,-'Electric Calendarize'!$L185+'Electric Calendarize'!AM$4+1))</f>
        <v>0</v>
      </c>
      <c r="AN185">
        <f ca="1">IF(OR($L185&gt;AN$4,AN$4&gt;$L185+23),"",OFFSET(Electric!$L176,0,-'Electric Calendarize'!$L185+'Electric Calendarize'!AN$4+1))</f>
        <v>0</v>
      </c>
      <c r="AO185">
        <f ca="1">IF(OR($L185&gt;AO$4,AO$4&gt;$L185+23),"",OFFSET(Electric!$L176,0,-'Electric Calendarize'!$L185+'Electric Calendarize'!AO$4+1))</f>
        <v>0</v>
      </c>
      <c r="AP185">
        <f ca="1">IF(OR($L185&gt;AP$4,AP$4&gt;$L185+23),"",OFFSET(Electric!$L176,0,-'Electric Calendarize'!$L185+'Electric Calendarize'!AP$4+1))</f>
        <v>531</v>
      </c>
      <c r="AQ185">
        <f ca="1">IF(OR($L185&gt;AQ$4,AQ$4&gt;$L185+23),"",OFFSET(Electric!$L176,0,-'Electric Calendarize'!$L185+'Electric Calendarize'!AQ$4+1))</f>
        <v>560</v>
      </c>
      <c r="AR185">
        <f ca="1">IF(OR($L185&gt;AR$4,AR$4&gt;$L185+23),"",OFFSET(Electric!$L176,0,-'Electric Calendarize'!$L185+'Electric Calendarize'!AR$4+1))</f>
        <v>565</v>
      </c>
      <c r="AS185">
        <f ca="1">IF(OR($L185&gt;AS$4,AS$4&gt;$L185+23),"",OFFSET(Electric!$L176,0,-'Electric Calendarize'!$L185+'Electric Calendarize'!AS$4+1))</f>
        <v>452</v>
      </c>
      <c r="AT185">
        <f ca="1">IF(OR($L185&gt;AT$4,AT$4&gt;$L185+23),"",OFFSET(Electric!$L176,0,-'Electric Calendarize'!$L185+'Electric Calendarize'!AT$4+1))</f>
        <v>437</v>
      </c>
      <c r="AU185">
        <f ca="1">IF(OR($L185&gt;AU$4,AU$4&gt;$L185+23),"",OFFSET(Electric!$L176,0,-'Electric Calendarize'!$L185+'Electric Calendarize'!AU$4+1))</f>
        <v>480</v>
      </c>
      <c r="AV185">
        <f ca="1">IF(OR($L185&gt;AV$4,AV$4&gt;$L185+23),"",OFFSET(Electric!$L176,0,-'Electric Calendarize'!$L185+'Electric Calendarize'!AV$4+1))</f>
        <v>515</v>
      </c>
      <c r="AW185">
        <f ca="1">IF(OR($L185&gt;AW$4,AW$4&gt;$L185+23),"",OFFSET(Electric!$L176,0,-'Electric Calendarize'!$L185+'Electric Calendarize'!AW$4+1))</f>
        <v>541</v>
      </c>
      <c r="AX185">
        <f ca="1">IF(OR($L185&gt;AX$4,AX$4&gt;$L185+23),"",OFFSET(Electric!$L176,0,-'Electric Calendarize'!$L185+'Electric Calendarize'!AX$4+1))</f>
        <v>569</v>
      </c>
      <c r="AY185">
        <f ca="1">IF(OR($L185&gt;AY$4,AY$4&gt;$L185+23),"",OFFSET(Electric!$L176,0,-'Electric Calendarize'!$L185+'Electric Calendarize'!AY$4+1))</f>
        <v>448</v>
      </c>
      <c r="AZ185">
        <f ca="1">IF(OR($L185&gt;AZ$4,AZ$4&gt;$L185+23),"",OFFSET(Electric!$L176,0,-'Electric Calendarize'!$L185+'Electric Calendarize'!AZ$4+1))</f>
        <v>424</v>
      </c>
      <c r="BA185">
        <f ca="1">IF(OR($L185&gt;BA$4,BA$4&gt;$L185+23),"",OFFSET(Electric!$L176,0,-'Electric Calendarize'!$L185+'Electric Calendarize'!BA$4+1))</f>
        <v>525</v>
      </c>
      <c r="BB185">
        <f ca="1">IF(OR($L185&gt;BB$4,BB$4&gt;$L185+23),"",OFFSET(Electric!$L176,0,-'Electric Calendarize'!$L185+'Electric Calendarize'!BB$4+1))</f>
        <v>599</v>
      </c>
      <c r="BC185">
        <f ca="1">IF(OR($L185&gt;BC$4,BC$4&gt;$L185+23),"",OFFSET(Electric!$L176,0,-'Electric Calendarize'!$L185+'Electric Calendarize'!BC$4+1))</f>
        <v>632</v>
      </c>
      <c r="BD185">
        <f ca="1">IF(OR($L185&gt;BD$4,BD$4&gt;$L185+23),"",OFFSET(Electric!$L176,0,-'Electric Calendarize'!$L185+'Electric Calendarize'!BD$4+1))</f>
        <v>680</v>
      </c>
      <c r="BE185">
        <f ca="1">IF(OR($L185&gt;BE$4,BE$4&gt;$L185+23),"",OFFSET(Electric!$L176,0,-'Electric Calendarize'!$L185+'Electric Calendarize'!BE$4+1))</f>
        <v>561</v>
      </c>
      <c r="BF185">
        <f ca="1">IF(OR($L185&gt;BF$4,BF$4&gt;$L185+23),"",OFFSET(Electric!$L176,0,-'Electric Calendarize'!$L185+'Electric Calendarize'!BF$4+1))</f>
        <v>421</v>
      </c>
      <c r="BG185" t="str">
        <f ca="1">IF(OR($L185&gt;BG$4,BG$4&gt;$L185+23),"",OFFSET(Electric!$L176,0,-'Electric Calendarize'!$L185+'Electric Calendarize'!BG$4+1))</f>
        <v/>
      </c>
      <c r="BJ185" s="10" t="s">
        <v>37</v>
      </c>
      <c r="BK185">
        <f t="shared" si="411"/>
        <v>1</v>
      </c>
      <c r="BL185">
        <f t="shared" si="317"/>
        <v>0</v>
      </c>
      <c r="BM185">
        <f t="shared" si="318"/>
        <v>0</v>
      </c>
      <c r="BN185">
        <f t="shared" si="319"/>
        <v>0</v>
      </c>
      <c r="BO185">
        <f t="shared" si="320"/>
        <v>0</v>
      </c>
      <c r="BP185">
        <f t="shared" si="321"/>
        <v>0</v>
      </c>
      <c r="BQ185">
        <f t="shared" si="322"/>
        <v>0</v>
      </c>
      <c r="BR185">
        <f t="shared" si="323"/>
        <v>1</v>
      </c>
      <c r="BS185">
        <f t="shared" si="324"/>
        <v>1</v>
      </c>
      <c r="BT185">
        <f t="shared" si="325"/>
        <v>1</v>
      </c>
      <c r="BU185">
        <f t="shared" si="326"/>
        <v>1</v>
      </c>
      <c r="BV185">
        <f t="shared" si="327"/>
        <v>1</v>
      </c>
      <c r="BW185">
        <f t="shared" si="328"/>
        <v>1</v>
      </c>
      <c r="BX185">
        <f t="shared" si="329"/>
        <v>0</v>
      </c>
      <c r="BY185">
        <f t="shared" si="330"/>
        <v>0</v>
      </c>
      <c r="BZ185">
        <f t="shared" si="331"/>
        <v>0</v>
      </c>
      <c r="CA185">
        <f t="shared" si="332"/>
        <v>0</v>
      </c>
      <c r="CB185">
        <f t="shared" si="333"/>
        <v>0</v>
      </c>
      <c r="CC185">
        <f t="shared" si="334"/>
        <v>0</v>
      </c>
      <c r="CD185">
        <f t="shared" si="335"/>
        <v>1</v>
      </c>
      <c r="CE185">
        <f t="shared" si="336"/>
        <v>1</v>
      </c>
      <c r="CF185">
        <f t="shared" si="337"/>
        <v>1</v>
      </c>
      <c r="CG185">
        <f t="shared" si="338"/>
        <v>1</v>
      </c>
      <c r="CH185">
        <f t="shared" si="339"/>
        <v>1</v>
      </c>
      <c r="CI185">
        <f t="shared" si="340"/>
        <v>1</v>
      </c>
      <c r="CJ185">
        <f t="shared" si="341"/>
        <v>0</v>
      </c>
      <c r="CK185">
        <f t="shared" si="342"/>
        <v>0</v>
      </c>
      <c r="CL185">
        <f t="shared" si="343"/>
        <v>0</v>
      </c>
      <c r="CM185">
        <f t="shared" si="344"/>
        <v>0</v>
      </c>
      <c r="CN185">
        <f t="shared" si="345"/>
        <v>0</v>
      </c>
      <c r="CO185">
        <f t="shared" si="346"/>
        <v>0</v>
      </c>
      <c r="CP185">
        <f t="shared" si="347"/>
        <v>1</v>
      </c>
      <c r="CQ185">
        <f t="shared" si="348"/>
        <v>1</v>
      </c>
      <c r="CR185">
        <f t="shared" si="349"/>
        <v>1</v>
      </c>
      <c r="CS185">
        <f t="shared" si="350"/>
        <v>1</v>
      </c>
      <c r="CT185">
        <f t="shared" si="351"/>
        <v>1</v>
      </c>
      <c r="CU185">
        <f t="shared" si="352"/>
        <v>1</v>
      </c>
      <c r="CV185">
        <f t="shared" si="353"/>
        <v>0</v>
      </c>
      <c r="CW185">
        <f t="shared" si="354"/>
        <v>0</v>
      </c>
      <c r="CX185">
        <f t="shared" si="355"/>
        <v>0</v>
      </c>
      <c r="CY185">
        <f t="shared" si="356"/>
        <v>0</v>
      </c>
      <c r="CZ185">
        <f t="shared" si="357"/>
        <v>0</v>
      </c>
      <c r="DA185">
        <f t="shared" si="358"/>
        <v>0</v>
      </c>
      <c r="DB185">
        <f t="shared" si="359"/>
        <v>1</v>
      </c>
      <c r="DC185">
        <f t="shared" si="360"/>
        <v>1</v>
      </c>
      <c r="DF185" s="10" t="s">
        <v>37</v>
      </c>
      <c r="DG185" t="str">
        <f t="shared" si="420"/>
        <v>2022_12</v>
      </c>
      <c r="DH185" t="str">
        <f t="shared" si="420"/>
        <v>2022_12</v>
      </c>
      <c r="DI185" t="str">
        <f t="shared" si="420"/>
        <v>2022_12</v>
      </c>
      <c r="DJ185" t="str">
        <f t="shared" si="420"/>
        <v>2022_12</v>
      </c>
      <c r="DK185" t="str">
        <f t="shared" si="420"/>
        <v>2022_12</v>
      </c>
      <c r="DL185" t="str">
        <f t="shared" si="420"/>
        <v>2022_12</v>
      </c>
      <c r="DM185" t="str">
        <f t="shared" si="420"/>
        <v>2022_12</v>
      </c>
      <c r="DN185" t="str">
        <f t="shared" si="420"/>
        <v>2022_12</v>
      </c>
      <c r="DO185" t="str">
        <f t="shared" si="420"/>
        <v>2022_12</v>
      </c>
      <c r="DP185" t="str">
        <f t="shared" si="420"/>
        <v>2022_12</v>
      </c>
      <c r="DQ185" t="str">
        <f t="shared" si="420"/>
        <v>2022_12</v>
      </c>
      <c r="DR185" t="str">
        <f t="shared" si="420"/>
        <v>2022_12</v>
      </c>
      <c r="DS185" t="str">
        <f t="shared" si="420"/>
        <v>2022_12</v>
      </c>
      <c r="DT185" t="str">
        <f t="shared" si="420"/>
        <v>2022_12</v>
      </c>
      <c r="DU185" t="str">
        <f t="shared" si="420"/>
        <v>2022_12</v>
      </c>
      <c r="DV185" t="str">
        <f t="shared" si="418"/>
        <v>2022_12</v>
      </c>
      <c r="DW185" t="str">
        <f t="shared" si="418"/>
        <v>2022_12</v>
      </c>
      <c r="DX185" t="str">
        <f t="shared" si="418"/>
        <v>2022_12</v>
      </c>
      <c r="DY185" t="str">
        <f t="shared" si="418"/>
        <v>2022_12</v>
      </c>
      <c r="DZ185" t="str">
        <f t="shared" si="418"/>
        <v>2022_12</v>
      </c>
      <c r="EA185" t="str">
        <f t="shared" si="418"/>
        <v>2022_12</v>
      </c>
      <c r="EB185" t="str">
        <f t="shared" si="418"/>
        <v>2022_12</v>
      </c>
      <c r="EC185" t="str">
        <f t="shared" si="418"/>
        <v>2022_12</v>
      </c>
      <c r="ED185" t="str">
        <f t="shared" si="418"/>
        <v>2022_12</v>
      </c>
      <c r="EE185" t="str">
        <f t="shared" si="418"/>
        <v>2022_12</v>
      </c>
      <c r="EF185" t="str">
        <f t="shared" si="418"/>
        <v>2022_12</v>
      </c>
      <c r="EG185" t="str">
        <f t="shared" si="418"/>
        <v>2022_12</v>
      </c>
      <c r="EH185" t="str">
        <f t="shared" si="418"/>
        <v>2022_12</v>
      </c>
      <c r="EI185" t="str">
        <f t="shared" si="418"/>
        <v>2022_12</v>
      </c>
      <c r="EJ185" t="str">
        <f t="shared" si="418"/>
        <v>2022_12</v>
      </c>
      <c r="EK185" t="str">
        <f t="shared" si="418"/>
        <v>2022_12</v>
      </c>
      <c r="EL185" t="str">
        <f t="shared" si="419"/>
        <v>2022_12</v>
      </c>
      <c r="EM185" t="str">
        <f t="shared" si="417"/>
        <v>2022_12</v>
      </c>
      <c r="EN185" t="str">
        <f t="shared" si="417"/>
        <v>2022_12</v>
      </c>
      <c r="EO185" t="str">
        <f t="shared" si="417"/>
        <v>2022_12</v>
      </c>
      <c r="EP185" t="str">
        <f t="shared" si="417"/>
        <v>2022_12</v>
      </c>
      <c r="EQ185" t="str">
        <f t="shared" si="417"/>
        <v>2022_12</v>
      </c>
      <c r="ER185" t="str">
        <f t="shared" si="417"/>
        <v>2022_12</v>
      </c>
      <c r="ES185" t="str">
        <f t="shared" si="417"/>
        <v>2022_12</v>
      </c>
      <c r="ET185" t="str">
        <f t="shared" si="417"/>
        <v>2022_12</v>
      </c>
      <c r="EU185" t="str">
        <f t="shared" si="417"/>
        <v>2022_12</v>
      </c>
      <c r="EV185" t="str">
        <f t="shared" si="417"/>
        <v>2022_12</v>
      </c>
      <c r="EW185" t="str">
        <f t="shared" si="417"/>
        <v>2022_12</v>
      </c>
      <c r="EX185" t="str">
        <f t="shared" si="417"/>
        <v>2022_12</v>
      </c>
      <c r="EY185" t="str">
        <f t="shared" si="417"/>
        <v>2022_12</v>
      </c>
      <c r="FB185" s="10" t="s">
        <v>37</v>
      </c>
      <c r="FC185">
        <f t="shared" si="413"/>
        <v>0</v>
      </c>
      <c r="FD185">
        <f t="shared" si="363"/>
        <v>0</v>
      </c>
      <c r="FE185">
        <f t="shared" si="364"/>
        <v>0</v>
      </c>
      <c r="FF185">
        <f t="shared" si="365"/>
        <v>0</v>
      </c>
      <c r="FG185">
        <f t="shared" si="366"/>
        <v>0</v>
      </c>
      <c r="FH185">
        <f t="shared" si="367"/>
        <v>0</v>
      </c>
      <c r="FI185">
        <f t="shared" si="368"/>
        <v>0</v>
      </c>
      <c r="FJ185">
        <f t="shared" si="369"/>
        <v>0</v>
      </c>
      <c r="FK185">
        <f t="shared" si="370"/>
        <v>0</v>
      </c>
      <c r="FL185">
        <f t="shared" si="371"/>
        <v>0</v>
      </c>
      <c r="FM185">
        <f t="shared" si="372"/>
        <v>0</v>
      </c>
      <c r="FN185">
        <f t="shared" si="373"/>
        <v>0</v>
      </c>
      <c r="FO185">
        <f t="shared" si="374"/>
        <v>0</v>
      </c>
      <c r="FP185">
        <f t="shared" si="375"/>
        <v>0</v>
      </c>
      <c r="FQ185">
        <f t="shared" si="376"/>
        <v>0</v>
      </c>
      <c r="FR185">
        <f t="shared" si="377"/>
        <v>0</v>
      </c>
      <c r="FS185">
        <f t="shared" si="378"/>
        <v>0</v>
      </c>
      <c r="FT185">
        <f t="shared" si="379"/>
        <v>0</v>
      </c>
      <c r="FU185">
        <f t="shared" si="380"/>
        <v>0</v>
      </c>
      <c r="FV185">
        <f t="shared" si="381"/>
        <v>0</v>
      </c>
      <c r="FW185">
        <f t="shared" si="382"/>
        <v>0</v>
      </c>
      <c r="FX185">
        <f t="shared" si="383"/>
        <v>0</v>
      </c>
      <c r="FY185">
        <f t="shared" si="384"/>
        <v>0</v>
      </c>
      <c r="FZ185">
        <f t="shared" si="385"/>
        <v>0</v>
      </c>
      <c r="GA185">
        <f t="shared" si="386"/>
        <v>0</v>
      </c>
      <c r="GB185">
        <f t="shared" si="387"/>
        <v>0</v>
      </c>
      <c r="GC185">
        <f t="shared" si="388"/>
        <v>0</v>
      </c>
      <c r="GD185">
        <f t="shared" si="389"/>
        <v>0</v>
      </c>
      <c r="GE185">
        <f t="shared" si="390"/>
        <v>0</v>
      </c>
      <c r="GF185">
        <f t="shared" si="391"/>
        <v>0</v>
      </c>
      <c r="GG185">
        <f t="shared" si="392"/>
        <v>0</v>
      </c>
      <c r="GH185">
        <f t="shared" si="393"/>
        <v>0</v>
      </c>
      <c r="GI185">
        <f t="shared" si="394"/>
        <v>1</v>
      </c>
      <c r="GJ185">
        <f t="shared" si="395"/>
        <v>1</v>
      </c>
      <c r="GK185">
        <f t="shared" si="396"/>
        <v>1</v>
      </c>
      <c r="GL185">
        <f t="shared" si="397"/>
        <v>1</v>
      </c>
      <c r="GM185">
        <f t="shared" si="398"/>
        <v>1</v>
      </c>
      <c r="GN185">
        <f t="shared" si="399"/>
        <v>1</v>
      </c>
      <c r="GO185">
        <f t="shared" si="400"/>
        <v>1</v>
      </c>
      <c r="GP185">
        <f t="shared" si="401"/>
        <v>1</v>
      </c>
      <c r="GQ185">
        <f t="shared" si="402"/>
        <v>1</v>
      </c>
      <c r="GR185">
        <f t="shared" si="403"/>
        <v>1</v>
      </c>
      <c r="GS185">
        <f t="shared" si="404"/>
        <v>1</v>
      </c>
      <c r="GT185">
        <f t="shared" si="405"/>
        <v>1</v>
      </c>
      <c r="GU185">
        <f t="shared" si="406"/>
        <v>1</v>
      </c>
      <c r="GX185" s="10"/>
    </row>
    <row r="186" spans="1:206" x14ac:dyDescent="0.3">
      <c r="A186" s="9" t="s">
        <v>124</v>
      </c>
      <c r="B186" s="80"/>
      <c r="C186" s="9">
        <v>3132771002</v>
      </c>
      <c r="D186" s="9" t="s">
        <v>470</v>
      </c>
      <c r="E186" s="9" t="s">
        <v>34</v>
      </c>
      <c r="F186" s="9" t="s">
        <v>35</v>
      </c>
      <c r="G186" s="9" t="s">
        <v>206</v>
      </c>
      <c r="H186" s="10">
        <v>44904</v>
      </c>
      <c r="I186" s="9">
        <f t="shared" si="407"/>
        <v>2022</v>
      </c>
      <c r="J186" s="9">
        <f t="shared" si="408"/>
        <v>12</v>
      </c>
      <c r="K186" s="9" t="str">
        <f t="shared" si="409"/>
        <v>2022_12</v>
      </c>
      <c r="L186">
        <f>MAX(0,VLOOKUP($K186,lookups!$A$1:$B$45,2,0)-12)</f>
        <v>20</v>
      </c>
      <c r="M186" s="40">
        <f t="shared" si="410"/>
        <v>44896</v>
      </c>
      <c r="N186" s="10" t="s">
        <v>37</v>
      </c>
      <c r="O186" t="str">
        <f ca="1">IF(OR($L186&gt;O$4,O$4&gt;$L186+23),"",OFFSET(Electric!$L177,0,-'Electric Calendarize'!$L186+'Electric Calendarize'!O$4+1))</f>
        <v/>
      </c>
      <c r="P186" t="str">
        <f ca="1">IF(OR($L186&gt;P$4,P$4&gt;$L186+23),"",OFFSET(Electric!$L177,0,-'Electric Calendarize'!$L186+'Electric Calendarize'!P$4+1))</f>
        <v/>
      </c>
      <c r="Q186" t="str">
        <f ca="1">IF(OR($L186&gt;Q$4,Q$4&gt;$L186+23),"",OFFSET(Electric!$L177,0,-'Electric Calendarize'!$L186+'Electric Calendarize'!Q$4+1))</f>
        <v/>
      </c>
      <c r="R186" t="str">
        <f ca="1">IF(OR($L186&gt;R$4,R$4&gt;$L186+23),"",OFFSET(Electric!$L177,0,-'Electric Calendarize'!$L186+'Electric Calendarize'!R$4+1))</f>
        <v/>
      </c>
      <c r="S186" t="str">
        <f ca="1">IF(OR($L186&gt;S$4,S$4&gt;$L186+23),"",OFFSET(Electric!$L177,0,-'Electric Calendarize'!$L186+'Electric Calendarize'!S$4+1))</f>
        <v/>
      </c>
      <c r="T186" t="str">
        <f ca="1">IF(OR($L186&gt;T$4,T$4&gt;$L186+23),"",OFFSET(Electric!$L177,0,-'Electric Calendarize'!$L186+'Electric Calendarize'!T$4+1))</f>
        <v/>
      </c>
      <c r="U186" t="str">
        <f ca="1">IF(OR($L186&gt;U$4,U$4&gt;$L186+23),"",OFFSET(Electric!$L177,0,-'Electric Calendarize'!$L186+'Electric Calendarize'!U$4+1))</f>
        <v/>
      </c>
      <c r="V186" t="str">
        <f ca="1">IF(OR($L186&gt;V$4,V$4&gt;$L186+23),"",OFFSET(Electric!$L177,0,-'Electric Calendarize'!$L186+'Electric Calendarize'!V$4+1))</f>
        <v/>
      </c>
      <c r="W186" t="str">
        <f ca="1">IF(OR($L186&gt;W$4,W$4&gt;$L186+23),"",OFFSET(Electric!$L177,0,-'Electric Calendarize'!$L186+'Electric Calendarize'!W$4+1))</f>
        <v/>
      </c>
      <c r="X186" t="str">
        <f ca="1">IF(OR($L186&gt;X$4,X$4&gt;$L186+23),"",OFFSET(Electric!$L177,0,-'Electric Calendarize'!$L186+'Electric Calendarize'!X$4+1))</f>
        <v/>
      </c>
      <c r="Y186" t="str">
        <f ca="1">IF(OR($L186&gt;Y$4,Y$4&gt;$L186+23),"",OFFSET(Electric!$L177,0,-'Electric Calendarize'!$L186+'Electric Calendarize'!Y$4+1))</f>
        <v/>
      </c>
      <c r="Z186" t="str">
        <f ca="1">IF(OR($L186&gt;Z$4,Z$4&gt;$L186+23),"",OFFSET(Electric!$L177,0,-'Electric Calendarize'!$L186+'Electric Calendarize'!Z$4+1))</f>
        <v/>
      </c>
      <c r="AA186" t="str">
        <f ca="1">IF(OR($L186&gt;AA$4,AA$4&gt;$L186+23),"",OFFSET(Electric!$L177,0,-'Electric Calendarize'!$L186+'Electric Calendarize'!AA$4+1))</f>
        <v/>
      </c>
      <c r="AB186" t="str">
        <f ca="1">IF(OR($L186&gt;AB$4,AB$4&gt;$L186+23),"",OFFSET(Electric!$L177,0,-'Electric Calendarize'!$L186+'Electric Calendarize'!AB$4+1))</f>
        <v/>
      </c>
      <c r="AC186" t="str">
        <f ca="1">IF(OR($L186&gt;AC$4,AC$4&gt;$L186+23),"",OFFSET(Electric!$L177,0,-'Electric Calendarize'!$L186+'Electric Calendarize'!AC$4+1))</f>
        <v/>
      </c>
      <c r="AD186" t="str">
        <f ca="1">IF(OR($L186&gt;AD$4,AD$4&gt;$L186+23),"",OFFSET(Electric!$L177,0,-'Electric Calendarize'!$L186+'Electric Calendarize'!AD$4+1))</f>
        <v/>
      </c>
      <c r="AE186" t="str">
        <f ca="1">IF(OR($L186&gt;AE$4,AE$4&gt;$L186+23),"",OFFSET(Electric!$L177,0,-'Electric Calendarize'!$L186+'Electric Calendarize'!AE$4+1))</f>
        <v/>
      </c>
      <c r="AF186" t="str">
        <f ca="1">IF(OR($L186&gt;AF$4,AF$4&gt;$L186+23),"",OFFSET(Electric!$L177,0,-'Electric Calendarize'!$L186+'Electric Calendarize'!AF$4+1))</f>
        <v/>
      </c>
      <c r="AG186" t="str">
        <f ca="1">IF(OR($L186&gt;AG$4,AG$4&gt;$L186+23),"",OFFSET(Electric!$L177,0,-'Electric Calendarize'!$L186+'Electric Calendarize'!AG$4+1))</f>
        <v/>
      </c>
      <c r="AH186" t="str">
        <f ca="1">IF(OR($L186&gt;AH$4,AH$4&gt;$L186+23),"",OFFSET(Electric!$L177,0,-'Electric Calendarize'!$L186+'Electric Calendarize'!AH$4+1))</f>
        <v/>
      </c>
      <c r="AI186">
        <f ca="1">IF(OR($L186&gt;AI$4,AI$4&gt;$L186+23),"",OFFSET(Electric!$L177,0,-'Electric Calendarize'!$L186+'Electric Calendarize'!AI$4+1))</f>
        <v>0</v>
      </c>
      <c r="AJ186">
        <f ca="1">IF(OR($L186&gt;AJ$4,AJ$4&gt;$L186+23),"",OFFSET(Electric!$L177,0,-'Electric Calendarize'!$L186+'Electric Calendarize'!AJ$4+1))</f>
        <v>0</v>
      </c>
      <c r="AK186">
        <f ca="1">IF(OR($L186&gt;AK$4,AK$4&gt;$L186+23),"",OFFSET(Electric!$L177,0,-'Electric Calendarize'!$L186+'Electric Calendarize'!AK$4+1))</f>
        <v>0</v>
      </c>
      <c r="AL186">
        <f ca="1">IF(OR($L186&gt;AL$4,AL$4&gt;$L186+23),"",OFFSET(Electric!$L177,0,-'Electric Calendarize'!$L186+'Electric Calendarize'!AL$4+1))</f>
        <v>0</v>
      </c>
      <c r="AM186">
        <f ca="1">IF(OR($L186&gt;AM$4,AM$4&gt;$L186+23),"",OFFSET(Electric!$L177,0,-'Electric Calendarize'!$L186+'Electric Calendarize'!AM$4+1))</f>
        <v>0</v>
      </c>
      <c r="AN186">
        <f ca="1">IF(OR($L186&gt;AN$4,AN$4&gt;$L186+23),"",OFFSET(Electric!$L177,0,-'Electric Calendarize'!$L186+'Electric Calendarize'!AN$4+1))</f>
        <v>0</v>
      </c>
      <c r="AO186">
        <f ca="1">IF(OR($L186&gt;AO$4,AO$4&gt;$L186+23),"",OFFSET(Electric!$L177,0,-'Electric Calendarize'!$L186+'Electric Calendarize'!AO$4+1))</f>
        <v>0</v>
      </c>
      <c r="AP186">
        <f ca="1">IF(OR($L186&gt;AP$4,AP$4&gt;$L186+23),"",OFFSET(Electric!$L177,0,-'Electric Calendarize'!$L186+'Electric Calendarize'!AP$4+1))</f>
        <v>934</v>
      </c>
      <c r="AQ186">
        <f ca="1">IF(OR($L186&gt;AQ$4,AQ$4&gt;$L186+23),"",OFFSET(Electric!$L177,0,-'Electric Calendarize'!$L186+'Electric Calendarize'!AQ$4+1))</f>
        <v>1543</v>
      </c>
      <c r="AR186">
        <f ca="1">IF(OR($L186&gt;AR$4,AR$4&gt;$L186+23),"",OFFSET(Electric!$L177,0,-'Electric Calendarize'!$L186+'Electric Calendarize'!AR$4+1))</f>
        <v>948</v>
      </c>
      <c r="AS186">
        <f ca="1">IF(OR($L186&gt;AS$4,AS$4&gt;$L186+23),"",OFFSET(Electric!$L177,0,-'Electric Calendarize'!$L186+'Electric Calendarize'!AS$4+1))</f>
        <v>844</v>
      </c>
      <c r="AT186">
        <f ca="1">IF(OR($L186&gt;AT$4,AT$4&gt;$L186+23),"",OFFSET(Electric!$L177,0,-'Electric Calendarize'!$L186+'Electric Calendarize'!AT$4+1))</f>
        <v>600</v>
      </c>
      <c r="AU186">
        <f ca="1">IF(OR($L186&gt;AU$4,AU$4&gt;$L186+23),"",OFFSET(Electric!$L177,0,-'Electric Calendarize'!$L186+'Electric Calendarize'!AU$4+1))</f>
        <v>1225</v>
      </c>
      <c r="AV186">
        <f ca="1">IF(OR($L186&gt;AV$4,AV$4&gt;$L186+23),"",OFFSET(Electric!$L177,0,-'Electric Calendarize'!$L186+'Electric Calendarize'!AV$4+1))</f>
        <v>1482</v>
      </c>
      <c r="AW186">
        <f ca="1">IF(OR($L186&gt;AW$4,AW$4&gt;$L186+23),"",OFFSET(Electric!$L177,0,-'Electric Calendarize'!$L186+'Electric Calendarize'!AW$4+1))</f>
        <v>1519</v>
      </c>
      <c r="AX186">
        <f ca="1">IF(OR($L186&gt;AX$4,AX$4&gt;$L186+23),"",OFFSET(Electric!$L177,0,-'Electric Calendarize'!$L186+'Electric Calendarize'!AX$4+1))</f>
        <v>1527</v>
      </c>
      <c r="AY186">
        <f ca="1">IF(OR($L186&gt;AY$4,AY$4&gt;$L186+23),"",OFFSET(Electric!$L177,0,-'Electric Calendarize'!$L186+'Electric Calendarize'!AY$4+1))</f>
        <v>1380</v>
      </c>
      <c r="AZ186">
        <f ca="1">IF(OR($L186&gt;AZ$4,AZ$4&gt;$L186+23),"",OFFSET(Electric!$L177,0,-'Electric Calendarize'!$L186+'Electric Calendarize'!AZ$4+1))</f>
        <v>780</v>
      </c>
      <c r="BA186">
        <f ca="1">IF(OR($L186&gt;BA$4,BA$4&gt;$L186+23),"",OFFSET(Electric!$L177,0,-'Electric Calendarize'!$L186+'Electric Calendarize'!BA$4+1))</f>
        <v>720</v>
      </c>
      <c r="BB186">
        <f ca="1">IF(OR($L186&gt;BB$4,BB$4&gt;$L186+23),"",OFFSET(Electric!$L177,0,-'Electric Calendarize'!$L186+'Electric Calendarize'!BB$4+1))</f>
        <v>1017</v>
      </c>
      <c r="BC186">
        <f ca="1">IF(OR($L186&gt;BC$4,BC$4&gt;$L186+23),"",OFFSET(Electric!$L177,0,-'Electric Calendarize'!$L186+'Electric Calendarize'!BC$4+1))</f>
        <v>648</v>
      </c>
      <c r="BD186">
        <f ca="1">IF(OR($L186&gt;BD$4,BD$4&gt;$L186+23),"",OFFSET(Electric!$L177,0,-'Electric Calendarize'!$L186+'Electric Calendarize'!BD$4+1))</f>
        <v>755</v>
      </c>
      <c r="BE186">
        <f ca="1">IF(OR($L186&gt;BE$4,BE$4&gt;$L186+23),"",OFFSET(Electric!$L177,0,-'Electric Calendarize'!$L186+'Electric Calendarize'!BE$4+1))</f>
        <v>903</v>
      </c>
      <c r="BF186">
        <f ca="1">IF(OR($L186&gt;BF$4,BF$4&gt;$L186+23),"",OFFSET(Electric!$L177,0,-'Electric Calendarize'!$L186+'Electric Calendarize'!BF$4+1))</f>
        <v>1228</v>
      </c>
      <c r="BG186" t="str">
        <f ca="1">IF(OR($L186&gt;BG$4,BG$4&gt;$L186+23),"",OFFSET(Electric!$L177,0,-'Electric Calendarize'!$L186+'Electric Calendarize'!BG$4+1))</f>
        <v/>
      </c>
      <c r="BJ186" s="10" t="s">
        <v>37</v>
      </c>
      <c r="BK186">
        <f t="shared" si="411"/>
        <v>1</v>
      </c>
      <c r="BL186">
        <f t="shared" si="317"/>
        <v>0</v>
      </c>
      <c r="BM186">
        <f t="shared" si="318"/>
        <v>0</v>
      </c>
      <c r="BN186">
        <f t="shared" si="319"/>
        <v>0</v>
      </c>
      <c r="BO186">
        <f t="shared" si="320"/>
        <v>0</v>
      </c>
      <c r="BP186">
        <f t="shared" si="321"/>
        <v>0</v>
      </c>
      <c r="BQ186">
        <f t="shared" si="322"/>
        <v>0</v>
      </c>
      <c r="BR186">
        <f t="shared" si="323"/>
        <v>1</v>
      </c>
      <c r="BS186">
        <f t="shared" si="324"/>
        <v>1</v>
      </c>
      <c r="BT186">
        <f t="shared" si="325"/>
        <v>1</v>
      </c>
      <c r="BU186">
        <f t="shared" si="326"/>
        <v>1</v>
      </c>
      <c r="BV186">
        <f t="shared" si="327"/>
        <v>1</v>
      </c>
      <c r="BW186">
        <f t="shared" si="328"/>
        <v>1</v>
      </c>
      <c r="BX186">
        <f t="shared" si="329"/>
        <v>0</v>
      </c>
      <c r="BY186">
        <f t="shared" si="330"/>
        <v>0</v>
      </c>
      <c r="BZ186">
        <f t="shared" si="331"/>
        <v>0</v>
      </c>
      <c r="CA186">
        <f t="shared" si="332"/>
        <v>0</v>
      </c>
      <c r="CB186">
        <f t="shared" si="333"/>
        <v>0</v>
      </c>
      <c r="CC186">
        <f t="shared" si="334"/>
        <v>0</v>
      </c>
      <c r="CD186">
        <f t="shared" si="335"/>
        <v>1</v>
      </c>
      <c r="CE186">
        <f t="shared" si="336"/>
        <v>1</v>
      </c>
      <c r="CF186">
        <f t="shared" si="337"/>
        <v>1</v>
      </c>
      <c r="CG186">
        <f t="shared" si="338"/>
        <v>1</v>
      </c>
      <c r="CH186">
        <f t="shared" si="339"/>
        <v>1</v>
      </c>
      <c r="CI186">
        <f t="shared" si="340"/>
        <v>1</v>
      </c>
      <c r="CJ186">
        <f t="shared" si="341"/>
        <v>0</v>
      </c>
      <c r="CK186">
        <f t="shared" si="342"/>
        <v>0</v>
      </c>
      <c r="CL186">
        <f t="shared" si="343"/>
        <v>0</v>
      </c>
      <c r="CM186">
        <f t="shared" si="344"/>
        <v>0</v>
      </c>
      <c r="CN186">
        <f t="shared" si="345"/>
        <v>0</v>
      </c>
      <c r="CO186">
        <f t="shared" si="346"/>
        <v>0</v>
      </c>
      <c r="CP186">
        <f t="shared" si="347"/>
        <v>1</v>
      </c>
      <c r="CQ186">
        <f t="shared" si="348"/>
        <v>1</v>
      </c>
      <c r="CR186">
        <f t="shared" si="349"/>
        <v>1</v>
      </c>
      <c r="CS186">
        <f t="shared" si="350"/>
        <v>1</v>
      </c>
      <c r="CT186">
        <f t="shared" si="351"/>
        <v>1</v>
      </c>
      <c r="CU186">
        <f t="shared" si="352"/>
        <v>1</v>
      </c>
      <c r="CV186">
        <f t="shared" si="353"/>
        <v>0</v>
      </c>
      <c r="CW186">
        <f t="shared" si="354"/>
        <v>0</v>
      </c>
      <c r="CX186">
        <f t="shared" si="355"/>
        <v>0</v>
      </c>
      <c r="CY186">
        <f t="shared" si="356"/>
        <v>0</v>
      </c>
      <c r="CZ186">
        <f t="shared" si="357"/>
        <v>0</v>
      </c>
      <c r="DA186">
        <f t="shared" si="358"/>
        <v>0</v>
      </c>
      <c r="DB186">
        <f t="shared" si="359"/>
        <v>1</v>
      </c>
      <c r="DC186">
        <f t="shared" si="360"/>
        <v>1</v>
      </c>
      <c r="DF186" s="10" t="s">
        <v>37</v>
      </c>
      <c r="DG186" t="str">
        <f t="shared" si="420"/>
        <v>2022_12</v>
      </c>
      <c r="DH186" t="str">
        <f t="shared" si="420"/>
        <v>2022_12</v>
      </c>
      <c r="DI186" t="str">
        <f t="shared" si="420"/>
        <v>2022_12</v>
      </c>
      <c r="DJ186" t="str">
        <f t="shared" si="420"/>
        <v>2022_12</v>
      </c>
      <c r="DK186" t="str">
        <f t="shared" si="420"/>
        <v>2022_12</v>
      </c>
      <c r="DL186" t="str">
        <f t="shared" si="420"/>
        <v>2022_12</v>
      </c>
      <c r="DM186" t="str">
        <f t="shared" si="420"/>
        <v>2022_12</v>
      </c>
      <c r="DN186" t="str">
        <f t="shared" si="420"/>
        <v>2022_12</v>
      </c>
      <c r="DO186" t="str">
        <f t="shared" si="420"/>
        <v>2022_12</v>
      </c>
      <c r="DP186" t="str">
        <f t="shared" si="420"/>
        <v>2022_12</v>
      </c>
      <c r="DQ186" t="str">
        <f t="shared" si="420"/>
        <v>2022_12</v>
      </c>
      <c r="DR186" t="str">
        <f t="shared" si="420"/>
        <v>2022_12</v>
      </c>
      <c r="DS186" t="str">
        <f t="shared" si="420"/>
        <v>2022_12</v>
      </c>
      <c r="DT186" t="str">
        <f t="shared" si="420"/>
        <v>2022_12</v>
      </c>
      <c r="DU186" t="str">
        <f t="shared" si="420"/>
        <v>2022_12</v>
      </c>
      <c r="DV186" t="str">
        <f t="shared" si="418"/>
        <v>2022_12</v>
      </c>
      <c r="DW186" t="str">
        <f t="shared" si="418"/>
        <v>2022_12</v>
      </c>
      <c r="DX186" t="str">
        <f t="shared" si="418"/>
        <v>2022_12</v>
      </c>
      <c r="DY186" t="str">
        <f t="shared" si="418"/>
        <v>2022_12</v>
      </c>
      <c r="DZ186" t="str">
        <f t="shared" si="418"/>
        <v>2022_12</v>
      </c>
      <c r="EA186" t="str">
        <f t="shared" si="418"/>
        <v>2022_12</v>
      </c>
      <c r="EB186" t="str">
        <f t="shared" si="418"/>
        <v>2022_12</v>
      </c>
      <c r="EC186" t="str">
        <f t="shared" si="418"/>
        <v>2022_12</v>
      </c>
      <c r="ED186" t="str">
        <f t="shared" si="418"/>
        <v>2022_12</v>
      </c>
      <c r="EE186" t="str">
        <f t="shared" si="418"/>
        <v>2022_12</v>
      </c>
      <c r="EF186" t="str">
        <f t="shared" si="418"/>
        <v>2022_12</v>
      </c>
      <c r="EG186" t="str">
        <f t="shared" si="418"/>
        <v>2022_12</v>
      </c>
      <c r="EH186" t="str">
        <f t="shared" si="418"/>
        <v>2022_12</v>
      </c>
      <c r="EI186" t="str">
        <f t="shared" si="418"/>
        <v>2022_12</v>
      </c>
      <c r="EJ186" t="str">
        <f t="shared" si="418"/>
        <v>2022_12</v>
      </c>
      <c r="EK186" t="str">
        <f t="shared" ref="EK186:EY201" si="421">$K186</f>
        <v>2022_12</v>
      </c>
      <c r="EL186" t="str">
        <f t="shared" si="419"/>
        <v>2022_12</v>
      </c>
      <c r="EM186" t="str">
        <f t="shared" si="419"/>
        <v>2022_12</v>
      </c>
      <c r="EN186" t="str">
        <f t="shared" si="419"/>
        <v>2022_12</v>
      </c>
      <c r="EO186" t="str">
        <f t="shared" si="419"/>
        <v>2022_12</v>
      </c>
      <c r="EP186" t="str">
        <f t="shared" si="419"/>
        <v>2022_12</v>
      </c>
      <c r="EQ186" t="str">
        <f t="shared" si="419"/>
        <v>2022_12</v>
      </c>
      <c r="ER186" t="str">
        <f t="shared" si="419"/>
        <v>2022_12</v>
      </c>
      <c r="ES186" t="str">
        <f t="shared" si="419"/>
        <v>2022_12</v>
      </c>
      <c r="ET186" t="str">
        <f t="shared" si="419"/>
        <v>2022_12</v>
      </c>
      <c r="EU186" t="str">
        <f t="shared" si="419"/>
        <v>2022_12</v>
      </c>
      <c r="EV186" t="str">
        <f t="shared" si="419"/>
        <v>2022_12</v>
      </c>
      <c r="EW186" t="str">
        <f t="shared" si="419"/>
        <v>2022_12</v>
      </c>
      <c r="EX186" t="str">
        <f t="shared" si="419"/>
        <v>2022_12</v>
      </c>
      <c r="EY186" t="str">
        <f t="shared" si="419"/>
        <v>2022_12</v>
      </c>
      <c r="FB186" s="10" t="s">
        <v>37</v>
      </c>
      <c r="FC186">
        <f t="shared" si="413"/>
        <v>0</v>
      </c>
      <c r="FD186">
        <f t="shared" si="363"/>
        <v>0</v>
      </c>
      <c r="FE186">
        <f t="shared" si="364"/>
        <v>0</v>
      </c>
      <c r="FF186">
        <f t="shared" si="365"/>
        <v>0</v>
      </c>
      <c r="FG186">
        <f t="shared" si="366"/>
        <v>0</v>
      </c>
      <c r="FH186">
        <f t="shared" si="367"/>
        <v>0</v>
      </c>
      <c r="FI186">
        <f t="shared" si="368"/>
        <v>0</v>
      </c>
      <c r="FJ186">
        <f t="shared" si="369"/>
        <v>0</v>
      </c>
      <c r="FK186">
        <f t="shared" si="370"/>
        <v>0</v>
      </c>
      <c r="FL186">
        <f t="shared" si="371"/>
        <v>0</v>
      </c>
      <c r="FM186">
        <f t="shared" si="372"/>
        <v>0</v>
      </c>
      <c r="FN186">
        <f t="shared" si="373"/>
        <v>0</v>
      </c>
      <c r="FO186">
        <f t="shared" si="374"/>
        <v>0</v>
      </c>
      <c r="FP186">
        <f t="shared" si="375"/>
        <v>0</v>
      </c>
      <c r="FQ186">
        <f t="shared" si="376"/>
        <v>0</v>
      </c>
      <c r="FR186">
        <f t="shared" si="377"/>
        <v>0</v>
      </c>
      <c r="FS186">
        <f t="shared" si="378"/>
        <v>0</v>
      </c>
      <c r="FT186">
        <f t="shared" si="379"/>
        <v>0</v>
      </c>
      <c r="FU186">
        <f t="shared" si="380"/>
        <v>0</v>
      </c>
      <c r="FV186">
        <f t="shared" si="381"/>
        <v>0</v>
      </c>
      <c r="FW186">
        <f t="shared" si="382"/>
        <v>0</v>
      </c>
      <c r="FX186">
        <f t="shared" si="383"/>
        <v>0</v>
      </c>
      <c r="FY186">
        <f t="shared" si="384"/>
        <v>0</v>
      </c>
      <c r="FZ186">
        <f t="shared" si="385"/>
        <v>0</v>
      </c>
      <c r="GA186">
        <f t="shared" si="386"/>
        <v>0</v>
      </c>
      <c r="GB186">
        <f t="shared" si="387"/>
        <v>0</v>
      </c>
      <c r="GC186">
        <f t="shared" si="388"/>
        <v>0</v>
      </c>
      <c r="GD186">
        <f t="shared" si="389"/>
        <v>0</v>
      </c>
      <c r="GE186">
        <f t="shared" si="390"/>
        <v>0</v>
      </c>
      <c r="GF186">
        <f t="shared" si="391"/>
        <v>0</v>
      </c>
      <c r="GG186">
        <f t="shared" si="392"/>
        <v>0</v>
      </c>
      <c r="GH186">
        <f t="shared" si="393"/>
        <v>0</v>
      </c>
      <c r="GI186">
        <f t="shared" si="394"/>
        <v>1</v>
      </c>
      <c r="GJ186">
        <f t="shared" si="395"/>
        <v>1</v>
      </c>
      <c r="GK186">
        <f t="shared" si="396"/>
        <v>1</v>
      </c>
      <c r="GL186">
        <f t="shared" si="397"/>
        <v>1</v>
      </c>
      <c r="GM186">
        <f t="shared" si="398"/>
        <v>1</v>
      </c>
      <c r="GN186">
        <f t="shared" si="399"/>
        <v>1</v>
      </c>
      <c r="GO186">
        <f t="shared" si="400"/>
        <v>1</v>
      </c>
      <c r="GP186">
        <f t="shared" si="401"/>
        <v>1</v>
      </c>
      <c r="GQ186">
        <f t="shared" si="402"/>
        <v>1</v>
      </c>
      <c r="GR186">
        <f t="shared" si="403"/>
        <v>1</v>
      </c>
      <c r="GS186">
        <f t="shared" si="404"/>
        <v>1</v>
      </c>
      <c r="GT186">
        <f t="shared" si="405"/>
        <v>1</v>
      </c>
      <c r="GU186">
        <f t="shared" si="406"/>
        <v>1</v>
      </c>
      <c r="GX186" s="10"/>
    </row>
    <row r="187" spans="1:206" x14ac:dyDescent="0.3">
      <c r="A187" s="9" t="s">
        <v>55</v>
      </c>
      <c r="B187" s="80"/>
      <c r="C187" s="9">
        <v>3101476003</v>
      </c>
      <c r="D187" s="9" t="s">
        <v>476</v>
      </c>
      <c r="E187" s="9" t="s">
        <v>39</v>
      </c>
      <c r="F187" s="9" t="s">
        <v>35</v>
      </c>
      <c r="G187" s="9" t="s">
        <v>216</v>
      </c>
      <c r="H187" s="10">
        <v>44910</v>
      </c>
      <c r="I187" s="9">
        <f t="shared" si="407"/>
        <v>2022</v>
      </c>
      <c r="J187" s="9">
        <f t="shared" si="408"/>
        <v>12</v>
      </c>
      <c r="K187" s="9" t="str">
        <f t="shared" si="409"/>
        <v>2022_12</v>
      </c>
      <c r="L187">
        <f>MAX(0,VLOOKUP($K187,lookups!$A$1:$B$45,2,0)-12)</f>
        <v>20</v>
      </c>
      <c r="M187" s="40">
        <f t="shared" si="410"/>
        <v>44896</v>
      </c>
      <c r="N187" s="10" t="s">
        <v>37</v>
      </c>
      <c r="O187" t="str">
        <f ca="1">IF(OR($L187&gt;O$4,O$4&gt;$L187+23),"",OFFSET(Electric!$L178,0,-'Electric Calendarize'!$L187+'Electric Calendarize'!O$4+1))</f>
        <v/>
      </c>
      <c r="P187" t="str">
        <f ca="1">IF(OR($L187&gt;P$4,P$4&gt;$L187+23),"",OFFSET(Electric!$L178,0,-'Electric Calendarize'!$L187+'Electric Calendarize'!P$4+1))</f>
        <v/>
      </c>
      <c r="Q187" t="str">
        <f ca="1">IF(OR($L187&gt;Q$4,Q$4&gt;$L187+23),"",OFFSET(Electric!$L178,0,-'Electric Calendarize'!$L187+'Electric Calendarize'!Q$4+1))</f>
        <v/>
      </c>
      <c r="R187" t="str">
        <f ca="1">IF(OR($L187&gt;R$4,R$4&gt;$L187+23),"",OFFSET(Electric!$L178,0,-'Electric Calendarize'!$L187+'Electric Calendarize'!R$4+1))</f>
        <v/>
      </c>
      <c r="S187" t="str">
        <f ca="1">IF(OR($L187&gt;S$4,S$4&gt;$L187+23),"",OFFSET(Electric!$L178,0,-'Electric Calendarize'!$L187+'Electric Calendarize'!S$4+1))</f>
        <v/>
      </c>
      <c r="T187" t="str">
        <f ca="1">IF(OR($L187&gt;T$4,T$4&gt;$L187+23),"",OFFSET(Electric!$L178,0,-'Electric Calendarize'!$L187+'Electric Calendarize'!T$4+1))</f>
        <v/>
      </c>
      <c r="U187" t="str">
        <f ca="1">IF(OR($L187&gt;U$4,U$4&gt;$L187+23),"",OFFSET(Electric!$L178,0,-'Electric Calendarize'!$L187+'Electric Calendarize'!U$4+1))</f>
        <v/>
      </c>
      <c r="V187" t="str">
        <f ca="1">IF(OR($L187&gt;V$4,V$4&gt;$L187+23),"",OFFSET(Electric!$L178,0,-'Electric Calendarize'!$L187+'Electric Calendarize'!V$4+1))</f>
        <v/>
      </c>
      <c r="W187" t="str">
        <f ca="1">IF(OR($L187&gt;W$4,W$4&gt;$L187+23),"",OFFSET(Electric!$L178,0,-'Electric Calendarize'!$L187+'Electric Calendarize'!W$4+1))</f>
        <v/>
      </c>
      <c r="X187" t="str">
        <f ca="1">IF(OR($L187&gt;X$4,X$4&gt;$L187+23),"",OFFSET(Electric!$L178,0,-'Electric Calendarize'!$L187+'Electric Calendarize'!X$4+1))</f>
        <v/>
      </c>
      <c r="Y187" t="str">
        <f ca="1">IF(OR($L187&gt;Y$4,Y$4&gt;$L187+23),"",OFFSET(Electric!$L178,0,-'Electric Calendarize'!$L187+'Electric Calendarize'!Y$4+1))</f>
        <v/>
      </c>
      <c r="Z187" t="str">
        <f ca="1">IF(OR($L187&gt;Z$4,Z$4&gt;$L187+23),"",OFFSET(Electric!$L178,0,-'Electric Calendarize'!$L187+'Electric Calendarize'!Z$4+1))</f>
        <v/>
      </c>
      <c r="AA187" t="str">
        <f ca="1">IF(OR($L187&gt;AA$4,AA$4&gt;$L187+23),"",OFFSET(Electric!$L178,0,-'Electric Calendarize'!$L187+'Electric Calendarize'!AA$4+1))</f>
        <v/>
      </c>
      <c r="AB187" t="str">
        <f ca="1">IF(OR($L187&gt;AB$4,AB$4&gt;$L187+23),"",OFFSET(Electric!$L178,0,-'Electric Calendarize'!$L187+'Electric Calendarize'!AB$4+1))</f>
        <v/>
      </c>
      <c r="AC187" t="str">
        <f ca="1">IF(OR($L187&gt;AC$4,AC$4&gt;$L187+23),"",OFFSET(Electric!$L178,0,-'Electric Calendarize'!$L187+'Electric Calendarize'!AC$4+1))</f>
        <v/>
      </c>
      <c r="AD187" t="str">
        <f ca="1">IF(OR($L187&gt;AD$4,AD$4&gt;$L187+23),"",OFFSET(Electric!$L178,0,-'Electric Calendarize'!$L187+'Electric Calendarize'!AD$4+1))</f>
        <v/>
      </c>
      <c r="AE187" t="str">
        <f ca="1">IF(OR($L187&gt;AE$4,AE$4&gt;$L187+23),"",OFFSET(Electric!$L178,0,-'Electric Calendarize'!$L187+'Electric Calendarize'!AE$4+1))</f>
        <v/>
      </c>
      <c r="AF187" t="str">
        <f ca="1">IF(OR($L187&gt;AF$4,AF$4&gt;$L187+23),"",OFFSET(Electric!$L178,0,-'Electric Calendarize'!$L187+'Electric Calendarize'!AF$4+1))</f>
        <v/>
      </c>
      <c r="AG187" t="str">
        <f ca="1">IF(OR($L187&gt;AG$4,AG$4&gt;$L187+23),"",OFFSET(Electric!$L178,0,-'Electric Calendarize'!$L187+'Electric Calendarize'!AG$4+1))</f>
        <v/>
      </c>
      <c r="AH187" t="str">
        <f ca="1">IF(OR($L187&gt;AH$4,AH$4&gt;$L187+23),"",OFFSET(Electric!$L178,0,-'Electric Calendarize'!$L187+'Electric Calendarize'!AH$4+1))</f>
        <v/>
      </c>
      <c r="AI187">
        <f ca="1">IF(OR($L187&gt;AI$4,AI$4&gt;$L187+23),"",OFFSET(Electric!$L178,0,-'Electric Calendarize'!$L187+'Electric Calendarize'!AI$4+1))</f>
        <v>1338</v>
      </c>
      <c r="AJ187">
        <f ca="1">IF(OR($L187&gt;AJ$4,AJ$4&gt;$L187+23),"",OFFSET(Electric!$L178,0,-'Electric Calendarize'!$L187+'Electric Calendarize'!AJ$4+1))</f>
        <v>1670</v>
      </c>
      <c r="AK187">
        <f ca="1">IF(OR($L187&gt;AK$4,AK$4&gt;$L187+23),"",OFFSET(Electric!$L178,0,-'Electric Calendarize'!$L187+'Electric Calendarize'!AK$4+1))</f>
        <v>1342</v>
      </c>
      <c r="AL187">
        <f ca="1">IF(OR($L187&gt;AL$4,AL$4&gt;$L187+23),"",OFFSET(Electric!$L178,0,-'Electric Calendarize'!$L187+'Electric Calendarize'!AL$4+1))</f>
        <v>1314</v>
      </c>
      <c r="AM187">
        <f ca="1">IF(OR($L187&gt;AM$4,AM$4&gt;$L187+23),"",OFFSET(Electric!$L178,0,-'Electric Calendarize'!$L187+'Electric Calendarize'!AM$4+1))</f>
        <v>944</v>
      </c>
      <c r="AN187">
        <f ca="1">IF(OR($L187&gt;AN$4,AN$4&gt;$L187+23),"",OFFSET(Electric!$L178,0,-'Electric Calendarize'!$L187+'Electric Calendarize'!AN$4+1))</f>
        <v>582</v>
      </c>
      <c r="AO187">
        <f ca="1">IF(OR($L187&gt;AO$4,AO$4&gt;$L187+23),"",OFFSET(Electric!$L178,0,-'Electric Calendarize'!$L187+'Electric Calendarize'!AO$4+1))</f>
        <v>1002</v>
      </c>
      <c r="AP187">
        <f ca="1">IF(OR($L187&gt;AP$4,AP$4&gt;$L187+23),"",OFFSET(Electric!$L178,0,-'Electric Calendarize'!$L187+'Electric Calendarize'!AP$4+1))</f>
        <v>1136</v>
      </c>
      <c r="AQ187">
        <f ca="1">IF(OR($L187&gt;AQ$4,AQ$4&gt;$L187+23),"",OFFSET(Electric!$L178,0,-'Electric Calendarize'!$L187+'Electric Calendarize'!AQ$4+1))</f>
        <v>1334</v>
      </c>
      <c r="AR187">
        <f ca="1">IF(OR($L187&gt;AR$4,AR$4&gt;$L187+23),"",OFFSET(Electric!$L178,0,-'Electric Calendarize'!$L187+'Electric Calendarize'!AR$4+1))</f>
        <v>1110</v>
      </c>
      <c r="AS187">
        <f ca="1">IF(OR($L187&gt;AS$4,AS$4&gt;$L187+23),"",OFFSET(Electric!$L178,0,-'Electric Calendarize'!$L187+'Electric Calendarize'!AS$4+1))</f>
        <v>932</v>
      </c>
      <c r="AT187">
        <f ca="1">IF(OR($L187&gt;AT$4,AT$4&gt;$L187+23),"",OFFSET(Electric!$L178,0,-'Electric Calendarize'!$L187+'Electric Calendarize'!AT$4+1))</f>
        <v>998</v>
      </c>
      <c r="AU187">
        <f ca="1">IF(OR($L187&gt;AU$4,AU$4&gt;$L187+23),"",OFFSET(Electric!$L178,0,-'Electric Calendarize'!$L187+'Electric Calendarize'!AU$4+1))</f>
        <v>1794</v>
      </c>
      <c r="AV187">
        <f ca="1">IF(OR($L187&gt;AV$4,AV$4&gt;$L187+23),"",OFFSET(Electric!$L178,0,-'Electric Calendarize'!$L187+'Electric Calendarize'!AV$4+1))</f>
        <v>3290</v>
      </c>
      <c r="AW187">
        <f ca="1">IF(OR($L187&gt;AW$4,AW$4&gt;$L187+23),"",OFFSET(Electric!$L178,0,-'Electric Calendarize'!$L187+'Electric Calendarize'!AW$4+1))</f>
        <v>2432</v>
      </c>
      <c r="AX187">
        <f ca="1">IF(OR($L187&gt;AX$4,AX$4&gt;$L187+23),"",OFFSET(Electric!$L178,0,-'Electric Calendarize'!$L187+'Electric Calendarize'!AX$4+1))</f>
        <v>2794</v>
      </c>
      <c r="AY187">
        <f ca="1">IF(OR($L187&gt;AY$4,AY$4&gt;$L187+23),"",OFFSET(Electric!$L178,0,-'Electric Calendarize'!$L187+'Electric Calendarize'!AY$4+1))</f>
        <v>1466</v>
      </c>
      <c r="AZ187">
        <f ca="1">IF(OR($L187&gt;AZ$4,AZ$4&gt;$L187+23),"",OFFSET(Electric!$L178,0,-'Electric Calendarize'!$L187+'Electric Calendarize'!AZ$4+1))</f>
        <v>1004</v>
      </c>
      <c r="BA187">
        <f ca="1">IF(OR($L187&gt;BA$4,BA$4&gt;$L187+23),"",OFFSET(Electric!$L178,0,-'Electric Calendarize'!$L187+'Electric Calendarize'!BA$4+1))</f>
        <v>584</v>
      </c>
      <c r="BB187">
        <f ca="1">IF(OR($L187&gt;BB$4,BB$4&gt;$L187+23),"",OFFSET(Electric!$L178,0,-'Electric Calendarize'!$L187+'Electric Calendarize'!BB$4+1))</f>
        <v>910</v>
      </c>
      <c r="BC187">
        <f ca="1">IF(OR($L187&gt;BC$4,BC$4&gt;$L187+23),"",OFFSET(Electric!$L178,0,-'Electric Calendarize'!$L187+'Electric Calendarize'!BC$4+1))</f>
        <v>756</v>
      </c>
      <c r="BD187">
        <f ca="1">IF(OR($L187&gt;BD$4,BD$4&gt;$L187+23),"",OFFSET(Electric!$L178,0,-'Electric Calendarize'!$L187+'Electric Calendarize'!BD$4+1))</f>
        <v>722</v>
      </c>
      <c r="BE187">
        <f ca="1">IF(OR($L187&gt;BE$4,BE$4&gt;$L187+23),"",OFFSET(Electric!$L178,0,-'Electric Calendarize'!$L187+'Electric Calendarize'!BE$4+1))</f>
        <v>910</v>
      </c>
      <c r="BF187">
        <f ca="1">IF(OR($L187&gt;BF$4,BF$4&gt;$L187+23),"",OFFSET(Electric!$L178,0,-'Electric Calendarize'!$L187+'Electric Calendarize'!BF$4+1))</f>
        <v>1512</v>
      </c>
      <c r="BG187" t="str">
        <f ca="1">IF(OR($L187&gt;BG$4,BG$4&gt;$L187+23),"",OFFSET(Electric!$L178,0,-'Electric Calendarize'!$L187+'Electric Calendarize'!BG$4+1))</f>
        <v/>
      </c>
      <c r="BJ187" s="10" t="s">
        <v>37</v>
      </c>
      <c r="BK187">
        <f t="shared" si="411"/>
        <v>1</v>
      </c>
      <c r="BL187">
        <f t="shared" si="317"/>
        <v>0</v>
      </c>
      <c r="BM187">
        <f t="shared" si="318"/>
        <v>0</v>
      </c>
      <c r="BN187">
        <f t="shared" si="319"/>
        <v>0</v>
      </c>
      <c r="BO187">
        <f t="shared" si="320"/>
        <v>0</v>
      </c>
      <c r="BP187">
        <f t="shared" si="321"/>
        <v>0</v>
      </c>
      <c r="BQ187">
        <f t="shared" si="322"/>
        <v>0</v>
      </c>
      <c r="BR187">
        <f t="shared" si="323"/>
        <v>1</v>
      </c>
      <c r="BS187">
        <f t="shared" si="324"/>
        <v>1</v>
      </c>
      <c r="BT187">
        <f t="shared" si="325"/>
        <v>1</v>
      </c>
      <c r="BU187">
        <f t="shared" si="326"/>
        <v>1</v>
      </c>
      <c r="BV187">
        <f t="shared" si="327"/>
        <v>1</v>
      </c>
      <c r="BW187">
        <f t="shared" si="328"/>
        <v>1</v>
      </c>
      <c r="BX187">
        <f t="shared" si="329"/>
        <v>0</v>
      </c>
      <c r="BY187">
        <f t="shared" si="330"/>
        <v>0</v>
      </c>
      <c r="BZ187">
        <f t="shared" si="331"/>
        <v>0</v>
      </c>
      <c r="CA187">
        <f t="shared" si="332"/>
        <v>0</v>
      </c>
      <c r="CB187">
        <f t="shared" si="333"/>
        <v>0</v>
      </c>
      <c r="CC187">
        <f t="shared" si="334"/>
        <v>0</v>
      </c>
      <c r="CD187">
        <f t="shared" si="335"/>
        <v>1</v>
      </c>
      <c r="CE187">
        <f t="shared" si="336"/>
        <v>1</v>
      </c>
      <c r="CF187">
        <f t="shared" si="337"/>
        <v>1</v>
      </c>
      <c r="CG187">
        <f t="shared" si="338"/>
        <v>1</v>
      </c>
      <c r="CH187">
        <f t="shared" si="339"/>
        <v>1</v>
      </c>
      <c r="CI187">
        <f t="shared" si="340"/>
        <v>1</v>
      </c>
      <c r="CJ187">
        <f t="shared" si="341"/>
        <v>0</v>
      </c>
      <c r="CK187">
        <f t="shared" si="342"/>
        <v>0</v>
      </c>
      <c r="CL187">
        <f t="shared" si="343"/>
        <v>0</v>
      </c>
      <c r="CM187">
        <f t="shared" si="344"/>
        <v>0</v>
      </c>
      <c r="CN187">
        <f t="shared" si="345"/>
        <v>0</v>
      </c>
      <c r="CO187">
        <f t="shared" si="346"/>
        <v>0</v>
      </c>
      <c r="CP187">
        <f t="shared" si="347"/>
        <v>1</v>
      </c>
      <c r="CQ187">
        <f t="shared" si="348"/>
        <v>1</v>
      </c>
      <c r="CR187">
        <f t="shared" si="349"/>
        <v>1</v>
      </c>
      <c r="CS187">
        <f t="shared" si="350"/>
        <v>1</v>
      </c>
      <c r="CT187">
        <f t="shared" si="351"/>
        <v>1</v>
      </c>
      <c r="CU187">
        <f t="shared" si="352"/>
        <v>1</v>
      </c>
      <c r="CV187">
        <f t="shared" si="353"/>
        <v>0</v>
      </c>
      <c r="CW187">
        <f t="shared" si="354"/>
        <v>0</v>
      </c>
      <c r="CX187">
        <f t="shared" si="355"/>
        <v>0</v>
      </c>
      <c r="CY187">
        <f t="shared" si="356"/>
        <v>0</v>
      </c>
      <c r="CZ187">
        <f t="shared" si="357"/>
        <v>0</v>
      </c>
      <c r="DA187">
        <f t="shared" si="358"/>
        <v>0</v>
      </c>
      <c r="DB187">
        <f t="shared" si="359"/>
        <v>1</v>
      </c>
      <c r="DC187">
        <f t="shared" si="360"/>
        <v>1</v>
      </c>
      <c r="DF187" s="10" t="s">
        <v>37</v>
      </c>
      <c r="DG187" t="str">
        <f t="shared" si="420"/>
        <v>2022_12</v>
      </c>
      <c r="DH187" t="str">
        <f t="shared" si="420"/>
        <v>2022_12</v>
      </c>
      <c r="DI187" t="str">
        <f t="shared" si="420"/>
        <v>2022_12</v>
      </c>
      <c r="DJ187" t="str">
        <f t="shared" si="420"/>
        <v>2022_12</v>
      </c>
      <c r="DK187" t="str">
        <f t="shared" si="420"/>
        <v>2022_12</v>
      </c>
      <c r="DL187" t="str">
        <f t="shared" si="420"/>
        <v>2022_12</v>
      </c>
      <c r="DM187" t="str">
        <f t="shared" si="420"/>
        <v>2022_12</v>
      </c>
      <c r="DN187" t="str">
        <f t="shared" si="420"/>
        <v>2022_12</v>
      </c>
      <c r="DO187" t="str">
        <f t="shared" si="420"/>
        <v>2022_12</v>
      </c>
      <c r="DP187" t="str">
        <f t="shared" si="420"/>
        <v>2022_12</v>
      </c>
      <c r="DQ187" t="str">
        <f t="shared" si="420"/>
        <v>2022_12</v>
      </c>
      <c r="DR187" t="str">
        <f t="shared" si="420"/>
        <v>2022_12</v>
      </c>
      <c r="DS187" t="str">
        <f t="shared" si="420"/>
        <v>2022_12</v>
      </c>
      <c r="DT187" t="str">
        <f t="shared" si="420"/>
        <v>2022_12</v>
      </c>
      <c r="DU187" t="str">
        <f t="shared" si="420"/>
        <v>2022_12</v>
      </c>
      <c r="DV187" t="str">
        <f t="shared" si="420"/>
        <v>2022_12</v>
      </c>
      <c r="DW187" t="str">
        <f t="shared" ref="DW187:EL202" si="422">$K187</f>
        <v>2022_12</v>
      </c>
      <c r="DX187" t="str">
        <f t="shared" si="422"/>
        <v>2022_12</v>
      </c>
      <c r="DY187" t="str">
        <f t="shared" si="422"/>
        <v>2022_12</v>
      </c>
      <c r="DZ187" t="str">
        <f t="shared" si="422"/>
        <v>2022_12</v>
      </c>
      <c r="EA187" t="str">
        <f t="shared" si="422"/>
        <v>2022_12</v>
      </c>
      <c r="EB187" t="str">
        <f t="shared" si="422"/>
        <v>2022_12</v>
      </c>
      <c r="EC187" t="str">
        <f t="shared" si="422"/>
        <v>2022_12</v>
      </c>
      <c r="ED187" t="str">
        <f t="shared" si="422"/>
        <v>2022_12</v>
      </c>
      <c r="EE187" t="str">
        <f t="shared" si="422"/>
        <v>2022_12</v>
      </c>
      <c r="EF187" t="str">
        <f t="shared" si="422"/>
        <v>2022_12</v>
      </c>
      <c r="EG187" t="str">
        <f t="shared" si="422"/>
        <v>2022_12</v>
      </c>
      <c r="EH187" t="str">
        <f t="shared" si="422"/>
        <v>2022_12</v>
      </c>
      <c r="EI187" t="str">
        <f t="shared" si="422"/>
        <v>2022_12</v>
      </c>
      <c r="EJ187" t="str">
        <f t="shared" si="422"/>
        <v>2022_12</v>
      </c>
      <c r="EK187" t="str">
        <f t="shared" si="421"/>
        <v>2022_12</v>
      </c>
      <c r="EL187" t="str">
        <f t="shared" si="421"/>
        <v>2022_12</v>
      </c>
      <c r="EM187" t="str">
        <f t="shared" si="421"/>
        <v>2022_12</v>
      </c>
      <c r="EN187" t="str">
        <f t="shared" si="421"/>
        <v>2022_12</v>
      </c>
      <c r="EO187" t="str">
        <f t="shared" si="421"/>
        <v>2022_12</v>
      </c>
      <c r="EP187" t="str">
        <f t="shared" si="421"/>
        <v>2022_12</v>
      </c>
      <c r="EQ187" t="str">
        <f t="shared" si="421"/>
        <v>2022_12</v>
      </c>
      <c r="ER187" t="str">
        <f t="shared" si="421"/>
        <v>2022_12</v>
      </c>
      <c r="ES187" t="str">
        <f t="shared" si="421"/>
        <v>2022_12</v>
      </c>
      <c r="ET187" t="str">
        <f t="shared" si="421"/>
        <v>2022_12</v>
      </c>
      <c r="EU187" t="str">
        <f t="shared" si="421"/>
        <v>2022_12</v>
      </c>
      <c r="EV187" t="str">
        <f t="shared" si="421"/>
        <v>2022_12</v>
      </c>
      <c r="EW187" t="str">
        <f t="shared" si="421"/>
        <v>2022_12</v>
      </c>
      <c r="EX187" t="str">
        <f t="shared" si="421"/>
        <v>2022_12</v>
      </c>
      <c r="EY187" t="str">
        <f t="shared" si="421"/>
        <v>2022_12</v>
      </c>
      <c r="FB187" s="10" t="s">
        <v>37</v>
      </c>
      <c r="FC187">
        <f t="shared" si="413"/>
        <v>0</v>
      </c>
      <c r="FD187">
        <f t="shared" si="363"/>
        <v>0</v>
      </c>
      <c r="FE187">
        <f t="shared" si="364"/>
        <v>0</v>
      </c>
      <c r="FF187">
        <f t="shared" si="365"/>
        <v>0</v>
      </c>
      <c r="FG187">
        <f t="shared" si="366"/>
        <v>0</v>
      </c>
      <c r="FH187">
        <f t="shared" si="367"/>
        <v>0</v>
      </c>
      <c r="FI187">
        <f t="shared" si="368"/>
        <v>0</v>
      </c>
      <c r="FJ187">
        <f t="shared" si="369"/>
        <v>0</v>
      </c>
      <c r="FK187">
        <f t="shared" si="370"/>
        <v>0</v>
      </c>
      <c r="FL187">
        <f t="shared" si="371"/>
        <v>0</v>
      </c>
      <c r="FM187">
        <f t="shared" si="372"/>
        <v>0</v>
      </c>
      <c r="FN187">
        <f t="shared" si="373"/>
        <v>0</v>
      </c>
      <c r="FO187">
        <f t="shared" si="374"/>
        <v>0</v>
      </c>
      <c r="FP187">
        <f t="shared" si="375"/>
        <v>0</v>
      </c>
      <c r="FQ187">
        <f t="shared" si="376"/>
        <v>0</v>
      </c>
      <c r="FR187">
        <f t="shared" si="377"/>
        <v>0</v>
      </c>
      <c r="FS187">
        <f t="shared" si="378"/>
        <v>0</v>
      </c>
      <c r="FT187">
        <f t="shared" si="379"/>
        <v>0</v>
      </c>
      <c r="FU187">
        <f t="shared" si="380"/>
        <v>0</v>
      </c>
      <c r="FV187">
        <f t="shared" si="381"/>
        <v>0</v>
      </c>
      <c r="FW187">
        <f t="shared" si="382"/>
        <v>0</v>
      </c>
      <c r="FX187">
        <f t="shared" si="383"/>
        <v>0</v>
      </c>
      <c r="FY187">
        <f t="shared" si="384"/>
        <v>0</v>
      </c>
      <c r="FZ187">
        <f t="shared" si="385"/>
        <v>0</v>
      </c>
      <c r="GA187">
        <f t="shared" si="386"/>
        <v>0</v>
      </c>
      <c r="GB187">
        <f t="shared" si="387"/>
        <v>0</v>
      </c>
      <c r="GC187">
        <f t="shared" si="388"/>
        <v>0</v>
      </c>
      <c r="GD187">
        <f t="shared" si="389"/>
        <v>0</v>
      </c>
      <c r="GE187">
        <f t="shared" si="390"/>
        <v>0</v>
      </c>
      <c r="GF187">
        <f t="shared" si="391"/>
        <v>0</v>
      </c>
      <c r="GG187">
        <f t="shared" si="392"/>
        <v>0</v>
      </c>
      <c r="GH187">
        <f t="shared" si="393"/>
        <v>0</v>
      </c>
      <c r="GI187">
        <f t="shared" si="394"/>
        <v>1</v>
      </c>
      <c r="GJ187">
        <f t="shared" si="395"/>
        <v>1</v>
      </c>
      <c r="GK187">
        <f t="shared" si="396"/>
        <v>1</v>
      </c>
      <c r="GL187">
        <f t="shared" si="397"/>
        <v>1</v>
      </c>
      <c r="GM187">
        <f t="shared" si="398"/>
        <v>1</v>
      </c>
      <c r="GN187">
        <f t="shared" si="399"/>
        <v>1</v>
      </c>
      <c r="GO187">
        <f t="shared" si="400"/>
        <v>1</v>
      </c>
      <c r="GP187">
        <f t="shared" si="401"/>
        <v>1</v>
      </c>
      <c r="GQ187">
        <f t="shared" si="402"/>
        <v>1</v>
      </c>
      <c r="GR187">
        <f t="shared" si="403"/>
        <v>1</v>
      </c>
      <c r="GS187">
        <f t="shared" si="404"/>
        <v>1</v>
      </c>
      <c r="GT187">
        <f t="shared" si="405"/>
        <v>1</v>
      </c>
      <c r="GU187">
        <f t="shared" si="406"/>
        <v>1</v>
      </c>
      <c r="GX187" s="10"/>
    </row>
    <row r="188" spans="1:206" x14ac:dyDescent="0.3">
      <c r="A188" s="9" t="s">
        <v>124</v>
      </c>
      <c r="B188" s="80"/>
      <c r="C188" s="9">
        <v>3132061002</v>
      </c>
      <c r="D188" s="9" t="s">
        <v>477</v>
      </c>
      <c r="E188" s="9" t="s">
        <v>34</v>
      </c>
      <c r="F188" s="9" t="s">
        <v>35</v>
      </c>
      <c r="G188" s="9" t="s">
        <v>217</v>
      </c>
      <c r="H188" s="10">
        <v>44913</v>
      </c>
      <c r="I188" s="9">
        <f t="shared" si="407"/>
        <v>2022</v>
      </c>
      <c r="J188" s="9">
        <f t="shared" si="408"/>
        <v>12</v>
      </c>
      <c r="K188" s="9" t="str">
        <f t="shared" si="409"/>
        <v>2022_12</v>
      </c>
      <c r="L188">
        <f>MAX(0,VLOOKUP($K188,lookups!$A$1:$B$45,2,0)-12)</f>
        <v>20</v>
      </c>
      <c r="M188" s="40">
        <f t="shared" si="410"/>
        <v>44896</v>
      </c>
      <c r="N188" s="10" t="s">
        <v>37</v>
      </c>
      <c r="O188" t="str">
        <f ca="1">IF(OR($L188&gt;O$4,O$4&gt;$L188+23),"",OFFSET(Electric!$L179,0,-'Electric Calendarize'!$L188+'Electric Calendarize'!O$4+1))</f>
        <v/>
      </c>
      <c r="P188" t="str">
        <f ca="1">IF(OR($L188&gt;P$4,P$4&gt;$L188+23),"",OFFSET(Electric!$L179,0,-'Electric Calendarize'!$L188+'Electric Calendarize'!P$4+1))</f>
        <v/>
      </c>
      <c r="Q188" t="str">
        <f ca="1">IF(OR($L188&gt;Q$4,Q$4&gt;$L188+23),"",OFFSET(Electric!$L179,0,-'Electric Calendarize'!$L188+'Electric Calendarize'!Q$4+1))</f>
        <v/>
      </c>
      <c r="R188" t="str">
        <f ca="1">IF(OR($L188&gt;R$4,R$4&gt;$L188+23),"",OFFSET(Electric!$L179,0,-'Electric Calendarize'!$L188+'Electric Calendarize'!R$4+1))</f>
        <v/>
      </c>
      <c r="S188" t="str">
        <f ca="1">IF(OR($L188&gt;S$4,S$4&gt;$L188+23),"",OFFSET(Electric!$L179,0,-'Electric Calendarize'!$L188+'Electric Calendarize'!S$4+1))</f>
        <v/>
      </c>
      <c r="T188" t="str">
        <f ca="1">IF(OR($L188&gt;T$4,T$4&gt;$L188+23),"",OFFSET(Electric!$L179,0,-'Electric Calendarize'!$L188+'Electric Calendarize'!T$4+1))</f>
        <v/>
      </c>
      <c r="U188" t="str">
        <f ca="1">IF(OR($L188&gt;U$4,U$4&gt;$L188+23),"",OFFSET(Electric!$L179,0,-'Electric Calendarize'!$L188+'Electric Calendarize'!U$4+1))</f>
        <v/>
      </c>
      <c r="V188" t="str">
        <f ca="1">IF(OR($L188&gt;V$4,V$4&gt;$L188+23),"",OFFSET(Electric!$L179,0,-'Electric Calendarize'!$L188+'Electric Calendarize'!V$4+1))</f>
        <v/>
      </c>
      <c r="W188" t="str">
        <f ca="1">IF(OR($L188&gt;W$4,W$4&gt;$L188+23),"",OFFSET(Electric!$L179,0,-'Electric Calendarize'!$L188+'Electric Calendarize'!W$4+1))</f>
        <v/>
      </c>
      <c r="X188" t="str">
        <f ca="1">IF(OR($L188&gt;X$4,X$4&gt;$L188+23),"",OFFSET(Electric!$L179,0,-'Electric Calendarize'!$L188+'Electric Calendarize'!X$4+1))</f>
        <v/>
      </c>
      <c r="Y188" t="str">
        <f ca="1">IF(OR($L188&gt;Y$4,Y$4&gt;$L188+23),"",OFFSET(Electric!$L179,0,-'Electric Calendarize'!$L188+'Electric Calendarize'!Y$4+1))</f>
        <v/>
      </c>
      <c r="Z188" t="str">
        <f ca="1">IF(OR($L188&gt;Z$4,Z$4&gt;$L188+23),"",OFFSET(Electric!$L179,0,-'Electric Calendarize'!$L188+'Electric Calendarize'!Z$4+1))</f>
        <v/>
      </c>
      <c r="AA188" t="str">
        <f ca="1">IF(OR($L188&gt;AA$4,AA$4&gt;$L188+23),"",OFFSET(Electric!$L179,0,-'Electric Calendarize'!$L188+'Electric Calendarize'!AA$4+1))</f>
        <v/>
      </c>
      <c r="AB188" t="str">
        <f ca="1">IF(OR($L188&gt;AB$4,AB$4&gt;$L188+23),"",OFFSET(Electric!$L179,0,-'Electric Calendarize'!$L188+'Electric Calendarize'!AB$4+1))</f>
        <v/>
      </c>
      <c r="AC188" t="str">
        <f ca="1">IF(OR($L188&gt;AC$4,AC$4&gt;$L188+23),"",OFFSET(Electric!$L179,0,-'Electric Calendarize'!$L188+'Electric Calendarize'!AC$4+1))</f>
        <v/>
      </c>
      <c r="AD188" t="str">
        <f ca="1">IF(OR($L188&gt;AD$4,AD$4&gt;$L188+23),"",OFFSET(Electric!$L179,0,-'Electric Calendarize'!$L188+'Electric Calendarize'!AD$4+1))</f>
        <v/>
      </c>
      <c r="AE188" t="str">
        <f ca="1">IF(OR($L188&gt;AE$4,AE$4&gt;$L188+23),"",OFFSET(Electric!$L179,0,-'Electric Calendarize'!$L188+'Electric Calendarize'!AE$4+1))</f>
        <v/>
      </c>
      <c r="AF188" t="str">
        <f ca="1">IF(OR($L188&gt;AF$4,AF$4&gt;$L188+23),"",OFFSET(Electric!$L179,0,-'Electric Calendarize'!$L188+'Electric Calendarize'!AF$4+1))</f>
        <v/>
      </c>
      <c r="AG188" t="str">
        <f ca="1">IF(OR($L188&gt;AG$4,AG$4&gt;$L188+23),"",OFFSET(Electric!$L179,0,-'Electric Calendarize'!$L188+'Electric Calendarize'!AG$4+1))</f>
        <v/>
      </c>
      <c r="AH188" t="str">
        <f ca="1">IF(OR($L188&gt;AH$4,AH$4&gt;$L188+23),"",OFFSET(Electric!$L179,0,-'Electric Calendarize'!$L188+'Electric Calendarize'!AH$4+1))</f>
        <v/>
      </c>
      <c r="AI188">
        <f ca="1">IF(OR($L188&gt;AI$4,AI$4&gt;$L188+23),"",OFFSET(Electric!$L179,0,-'Electric Calendarize'!$L188+'Electric Calendarize'!AI$4+1))</f>
        <v>461</v>
      </c>
      <c r="AJ188">
        <f ca="1">IF(OR($L188&gt;AJ$4,AJ$4&gt;$L188+23),"",OFFSET(Electric!$L179,0,-'Electric Calendarize'!$L188+'Electric Calendarize'!AJ$4+1))</f>
        <v>398</v>
      </c>
      <c r="AK188">
        <f ca="1">IF(OR($L188&gt;AK$4,AK$4&gt;$L188+23),"",OFFSET(Electric!$L179,0,-'Electric Calendarize'!$L188+'Electric Calendarize'!AK$4+1))</f>
        <v>337</v>
      </c>
      <c r="AL188">
        <f ca="1">IF(OR($L188&gt;AL$4,AL$4&gt;$L188+23),"",OFFSET(Electric!$L179,0,-'Electric Calendarize'!$L188+'Electric Calendarize'!AL$4+1))</f>
        <v>559</v>
      </c>
      <c r="AM188">
        <f ca="1">IF(OR($L188&gt;AM$4,AM$4&gt;$L188+23),"",OFFSET(Electric!$L179,0,-'Electric Calendarize'!$L188+'Electric Calendarize'!AM$4+1))</f>
        <v>622</v>
      </c>
      <c r="AN188">
        <f ca="1">IF(OR($L188&gt;AN$4,AN$4&gt;$L188+23),"",OFFSET(Electric!$L179,0,-'Electric Calendarize'!$L188+'Electric Calendarize'!AN$4+1))</f>
        <v>521</v>
      </c>
      <c r="AO188">
        <f ca="1">IF(OR($L188&gt;AO$4,AO$4&gt;$L188+23),"",OFFSET(Electric!$L179,0,-'Electric Calendarize'!$L188+'Electric Calendarize'!AO$4+1))</f>
        <v>387</v>
      </c>
      <c r="AP188">
        <f ca="1">IF(OR($L188&gt;AP$4,AP$4&gt;$L188+23),"",OFFSET(Electric!$L179,0,-'Electric Calendarize'!$L188+'Electric Calendarize'!AP$4+1))</f>
        <v>416</v>
      </c>
      <c r="AQ188">
        <f ca="1">IF(OR($L188&gt;AQ$4,AQ$4&gt;$L188+23),"",OFFSET(Electric!$L179,0,-'Electric Calendarize'!$L188+'Electric Calendarize'!AQ$4+1))</f>
        <v>381</v>
      </c>
      <c r="AR188">
        <f ca="1">IF(OR($L188&gt;AR$4,AR$4&gt;$L188+23),"",OFFSET(Electric!$L179,0,-'Electric Calendarize'!$L188+'Electric Calendarize'!AR$4+1))</f>
        <v>376</v>
      </c>
      <c r="AS188">
        <f ca="1">IF(OR($L188&gt;AS$4,AS$4&gt;$L188+23),"",OFFSET(Electric!$L179,0,-'Electric Calendarize'!$L188+'Electric Calendarize'!AS$4+1))</f>
        <v>356</v>
      </c>
      <c r="AT188">
        <f ca="1">IF(OR($L188&gt;AT$4,AT$4&gt;$L188+23),"",OFFSET(Electric!$L179,0,-'Electric Calendarize'!$L188+'Electric Calendarize'!AT$4+1))</f>
        <v>776</v>
      </c>
      <c r="AU188">
        <f ca="1">IF(OR($L188&gt;AU$4,AU$4&gt;$L188+23),"",OFFSET(Electric!$L179,0,-'Electric Calendarize'!$L188+'Electric Calendarize'!AU$4+1))</f>
        <v>723</v>
      </c>
      <c r="AV188">
        <f ca="1">IF(OR($L188&gt;AV$4,AV$4&gt;$L188+23),"",OFFSET(Electric!$L179,0,-'Electric Calendarize'!$L188+'Electric Calendarize'!AV$4+1))</f>
        <v>777</v>
      </c>
      <c r="AW188">
        <f ca="1">IF(OR($L188&gt;AW$4,AW$4&gt;$L188+23),"",OFFSET(Electric!$L179,0,-'Electric Calendarize'!$L188+'Electric Calendarize'!AW$4+1))</f>
        <v>685</v>
      </c>
      <c r="AX188">
        <f ca="1">IF(OR($L188&gt;AX$4,AX$4&gt;$L188+23),"",OFFSET(Electric!$L179,0,-'Electric Calendarize'!$L188+'Electric Calendarize'!AX$4+1))</f>
        <v>687</v>
      </c>
      <c r="AY188">
        <f ca="1">IF(OR($L188&gt;AY$4,AY$4&gt;$L188+23),"",OFFSET(Electric!$L179,0,-'Electric Calendarize'!$L188+'Electric Calendarize'!AY$4+1))</f>
        <v>571</v>
      </c>
      <c r="AZ188">
        <f ca="1">IF(OR($L188&gt;AZ$4,AZ$4&gt;$L188+23),"",OFFSET(Electric!$L179,0,-'Electric Calendarize'!$L188+'Electric Calendarize'!AZ$4+1))</f>
        <v>462</v>
      </c>
      <c r="BA188">
        <f ca="1">IF(OR($L188&gt;BA$4,BA$4&gt;$L188+23),"",OFFSET(Electric!$L179,0,-'Electric Calendarize'!$L188+'Electric Calendarize'!BA$4+1))</f>
        <v>397</v>
      </c>
      <c r="BB188">
        <f ca="1">IF(OR($L188&gt;BB$4,BB$4&gt;$L188+23),"",OFFSET(Electric!$L179,0,-'Electric Calendarize'!$L188+'Electric Calendarize'!BB$4+1))</f>
        <v>537</v>
      </c>
      <c r="BC188">
        <f ca="1">IF(OR($L188&gt;BC$4,BC$4&gt;$L188+23),"",OFFSET(Electric!$L179,0,-'Electric Calendarize'!$L188+'Electric Calendarize'!BC$4+1))</f>
        <v>428</v>
      </c>
      <c r="BD188">
        <f ca="1">IF(OR($L188&gt;BD$4,BD$4&gt;$L188+23),"",OFFSET(Electric!$L179,0,-'Electric Calendarize'!$L188+'Electric Calendarize'!BD$4+1))</f>
        <v>513</v>
      </c>
      <c r="BE188">
        <f ca="1">IF(OR($L188&gt;BE$4,BE$4&gt;$L188+23),"",OFFSET(Electric!$L179,0,-'Electric Calendarize'!$L188+'Electric Calendarize'!BE$4+1))</f>
        <v>516</v>
      </c>
      <c r="BF188">
        <f ca="1">IF(OR($L188&gt;BF$4,BF$4&gt;$L188+23),"",OFFSET(Electric!$L179,0,-'Electric Calendarize'!$L188+'Electric Calendarize'!BF$4+1))</f>
        <v>549</v>
      </c>
      <c r="BG188" t="str">
        <f ca="1">IF(OR($L188&gt;BG$4,BG$4&gt;$L188+23),"",OFFSET(Electric!$L179,0,-'Electric Calendarize'!$L188+'Electric Calendarize'!BG$4+1))</f>
        <v/>
      </c>
      <c r="BJ188" s="10" t="s">
        <v>37</v>
      </c>
      <c r="BK188">
        <f t="shared" si="411"/>
        <v>1</v>
      </c>
      <c r="BL188">
        <f t="shared" si="317"/>
        <v>0</v>
      </c>
      <c r="BM188">
        <f t="shared" si="318"/>
        <v>0</v>
      </c>
      <c r="BN188">
        <f t="shared" si="319"/>
        <v>0</v>
      </c>
      <c r="BO188">
        <f t="shared" si="320"/>
        <v>0</v>
      </c>
      <c r="BP188">
        <f t="shared" si="321"/>
        <v>0</v>
      </c>
      <c r="BQ188">
        <f t="shared" si="322"/>
        <v>0</v>
      </c>
      <c r="BR188">
        <f t="shared" si="323"/>
        <v>1</v>
      </c>
      <c r="BS188">
        <f t="shared" si="324"/>
        <v>1</v>
      </c>
      <c r="BT188">
        <f t="shared" si="325"/>
        <v>1</v>
      </c>
      <c r="BU188">
        <f t="shared" si="326"/>
        <v>1</v>
      </c>
      <c r="BV188">
        <f t="shared" si="327"/>
        <v>1</v>
      </c>
      <c r="BW188">
        <f t="shared" si="328"/>
        <v>1</v>
      </c>
      <c r="BX188">
        <f t="shared" si="329"/>
        <v>0</v>
      </c>
      <c r="BY188">
        <f t="shared" si="330"/>
        <v>0</v>
      </c>
      <c r="BZ188">
        <f t="shared" si="331"/>
        <v>0</v>
      </c>
      <c r="CA188">
        <f t="shared" si="332"/>
        <v>0</v>
      </c>
      <c r="CB188">
        <f t="shared" si="333"/>
        <v>0</v>
      </c>
      <c r="CC188">
        <f t="shared" si="334"/>
        <v>0</v>
      </c>
      <c r="CD188">
        <f t="shared" si="335"/>
        <v>1</v>
      </c>
      <c r="CE188">
        <f t="shared" si="336"/>
        <v>1</v>
      </c>
      <c r="CF188">
        <f t="shared" si="337"/>
        <v>1</v>
      </c>
      <c r="CG188">
        <f t="shared" si="338"/>
        <v>1</v>
      </c>
      <c r="CH188">
        <f t="shared" si="339"/>
        <v>1</v>
      </c>
      <c r="CI188">
        <f t="shared" si="340"/>
        <v>1</v>
      </c>
      <c r="CJ188">
        <f t="shared" si="341"/>
        <v>0</v>
      </c>
      <c r="CK188">
        <f t="shared" si="342"/>
        <v>0</v>
      </c>
      <c r="CL188">
        <f t="shared" si="343"/>
        <v>0</v>
      </c>
      <c r="CM188">
        <f t="shared" si="344"/>
        <v>0</v>
      </c>
      <c r="CN188">
        <f t="shared" si="345"/>
        <v>0</v>
      </c>
      <c r="CO188">
        <f t="shared" si="346"/>
        <v>0</v>
      </c>
      <c r="CP188">
        <f t="shared" si="347"/>
        <v>1</v>
      </c>
      <c r="CQ188">
        <f t="shared" si="348"/>
        <v>1</v>
      </c>
      <c r="CR188">
        <f t="shared" si="349"/>
        <v>1</v>
      </c>
      <c r="CS188">
        <f t="shared" si="350"/>
        <v>1</v>
      </c>
      <c r="CT188">
        <f t="shared" si="351"/>
        <v>1</v>
      </c>
      <c r="CU188">
        <f t="shared" si="352"/>
        <v>1</v>
      </c>
      <c r="CV188">
        <f t="shared" si="353"/>
        <v>0</v>
      </c>
      <c r="CW188">
        <f t="shared" si="354"/>
        <v>0</v>
      </c>
      <c r="CX188">
        <f t="shared" si="355"/>
        <v>0</v>
      </c>
      <c r="CY188">
        <f t="shared" si="356"/>
        <v>0</v>
      </c>
      <c r="CZ188">
        <f t="shared" si="357"/>
        <v>0</v>
      </c>
      <c r="DA188">
        <f t="shared" si="358"/>
        <v>0</v>
      </c>
      <c r="DB188">
        <f t="shared" si="359"/>
        <v>1</v>
      </c>
      <c r="DC188">
        <f t="shared" si="360"/>
        <v>1</v>
      </c>
      <c r="DF188" s="10" t="s">
        <v>37</v>
      </c>
      <c r="DG188" t="str">
        <f t="shared" ref="DG188:DV203" si="423">$K188</f>
        <v>2022_12</v>
      </c>
      <c r="DH188" t="str">
        <f t="shared" si="423"/>
        <v>2022_12</v>
      </c>
      <c r="DI188" t="str">
        <f t="shared" si="423"/>
        <v>2022_12</v>
      </c>
      <c r="DJ188" t="str">
        <f t="shared" si="423"/>
        <v>2022_12</v>
      </c>
      <c r="DK188" t="str">
        <f t="shared" si="423"/>
        <v>2022_12</v>
      </c>
      <c r="DL188" t="str">
        <f t="shared" si="423"/>
        <v>2022_12</v>
      </c>
      <c r="DM188" t="str">
        <f t="shared" si="423"/>
        <v>2022_12</v>
      </c>
      <c r="DN188" t="str">
        <f t="shared" si="423"/>
        <v>2022_12</v>
      </c>
      <c r="DO188" t="str">
        <f t="shared" si="423"/>
        <v>2022_12</v>
      </c>
      <c r="DP188" t="str">
        <f t="shared" si="423"/>
        <v>2022_12</v>
      </c>
      <c r="DQ188" t="str">
        <f t="shared" si="423"/>
        <v>2022_12</v>
      </c>
      <c r="DR188" t="str">
        <f t="shared" si="423"/>
        <v>2022_12</v>
      </c>
      <c r="DS188" t="str">
        <f t="shared" si="423"/>
        <v>2022_12</v>
      </c>
      <c r="DT188" t="str">
        <f t="shared" si="423"/>
        <v>2022_12</v>
      </c>
      <c r="DU188" t="str">
        <f t="shared" si="423"/>
        <v>2022_12</v>
      </c>
      <c r="DV188" t="str">
        <f t="shared" si="423"/>
        <v>2022_12</v>
      </c>
      <c r="DW188" t="str">
        <f t="shared" si="422"/>
        <v>2022_12</v>
      </c>
      <c r="DX188" t="str">
        <f t="shared" si="422"/>
        <v>2022_12</v>
      </c>
      <c r="DY188" t="str">
        <f t="shared" si="422"/>
        <v>2022_12</v>
      </c>
      <c r="DZ188" t="str">
        <f t="shared" si="422"/>
        <v>2022_12</v>
      </c>
      <c r="EA188" t="str">
        <f t="shared" si="422"/>
        <v>2022_12</v>
      </c>
      <c r="EB188" t="str">
        <f t="shared" si="422"/>
        <v>2022_12</v>
      </c>
      <c r="EC188" t="str">
        <f t="shared" si="422"/>
        <v>2022_12</v>
      </c>
      <c r="ED188" t="str">
        <f t="shared" si="422"/>
        <v>2022_12</v>
      </c>
      <c r="EE188" t="str">
        <f t="shared" si="422"/>
        <v>2022_12</v>
      </c>
      <c r="EF188" t="str">
        <f t="shared" si="422"/>
        <v>2022_12</v>
      </c>
      <c r="EG188" t="str">
        <f t="shared" si="422"/>
        <v>2022_12</v>
      </c>
      <c r="EH188" t="str">
        <f t="shared" si="422"/>
        <v>2022_12</v>
      </c>
      <c r="EI188" t="str">
        <f t="shared" si="422"/>
        <v>2022_12</v>
      </c>
      <c r="EJ188" t="str">
        <f t="shared" si="422"/>
        <v>2022_12</v>
      </c>
      <c r="EK188" t="str">
        <f t="shared" si="421"/>
        <v>2022_12</v>
      </c>
      <c r="EL188" t="str">
        <f t="shared" si="421"/>
        <v>2022_12</v>
      </c>
      <c r="EM188" t="str">
        <f t="shared" si="421"/>
        <v>2022_12</v>
      </c>
      <c r="EN188" t="str">
        <f t="shared" si="421"/>
        <v>2022_12</v>
      </c>
      <c r="EO188" t="str">
        <f t="shared" si="421"/>
        <v>2022_12</v>
      </c>
      <c r="EP188" t="str">
        <f t="shared" si="421"/>
        <v>2022_12</v>
      </c>
      <c r="EQ188" t="str">
        <f t="shared" si="421"/>
        <v>2022_12</v>
      </c>
      <c r="ER188" t="str">
        <f t="shared" si="421"/>
        <v>2022_12</v>
      </c>
      <c r="ES188" t="str">
        <f t="shared" si="421"/>
        <v>2022_12</v>
      </c>
      <c r="ET188" t="str">
        <f t="shared" si="421"/>
        <v>2022_12</v>
      </c>
      <c r="EU188" t="str">
        <f t="shared" si="421"/>
        <v>2022_12</v>
      </c>
      <c r="EV188" t="str">
        <f t="shared" si="421"/>
        <v>2022_12</v>
      </c>
      <c r="EW188" t="str">
        <f t="shared" si="421"/>
        <v>2022_12</v>
      </c>
      <c r="EX188" t="str">
        <f t="shared" si="421"/>
        <v>2022_12</v>
      </c>
      <c r="EY188" t="str">
        <f t="shared" si="421"/>
        <v>2022_12</v>
      </c>
      <c r="FB188" s="10" t="s">
        <v>37</v>
      </c>
      <c r="FC188">
        <f t="shared" si="413"/>
        <v>0</v>
      </c>
      <c r="FD188">
        <f t="shared" si="363"/>
        <v>0</v>
      </c>
      <c r="FE188">
        <f t="shared" si="364"/>
        <v>0</v>
      </c>
      <c r="FF188">
        <f t="shared" si="365"/>
        <v>0</v>
      </c>
      <c r="FG188">
        <f t="shared" si="366"/>
        <v>0</v>
      </c>
      <c r="FH188">
        <f t="shared" si="367"/>
        <v>0</v>
      </c>
      <c r="FI188">
        <f t="shared" si="368"/>
        <v>0</v>
      </c>
      <c r="FJ188">
        <f t="shared" si="369"/>
        <v>0</v>
      </c>
      <c r="FK188">
        <f t="shared" si="370"/>
        <v>0</v>
      </c>
      <c r="FL188">
        <f t="shared" si="371"/>
        <v>0</v>
      </c>
      <c r="FM188">
        <f t="shared" si="372"/>
        <v>0</v>
      </c>
      <c r="FN188">
        <f t="shared" si="373"/>
        <v>0</v>
      </c>
      <c r="FO188">
        <f t="shared" si="374"/>
        <v>0</v>
      </c>
      <c r="FP188">
        <f t="shared" si="375"/>
        <v>0</v>
      </c>
      <c r="FQ188">
        <f t="shared" si="376"/>
        <v>0</v>
      </c>
      <c r="FR188">
        <f t="shared" si="377"/>
        <v>0</v>
      </c>
      <c r="FS188">
        <f t="shared" si="378"/>
        <v>0</v>
      </c>
      <c r="FT188">
        <f t="shared" si="379"/>
        <v>0</v>
      </c>
      <c r="FU188">
        <f t="shared" si="380"/>
        <v>0</v>
      </c>
      <c r="FV188">
        <f t="shared" si="381"/>
        <v>0</v>
      </c>
      <c r="FW188">
        <f t="shared" si="382"/>
        <v>0</v>
      </c>
      <c r="FX188">
        <f t="shared" si="383"/>
        <v>0</v>
      </c>
      <c r="FY188">
        <f t="shared" si="384"/>
        <v>0</v>
      </c>
      <c r="FZ188">
        <f t="shared" si="385"/>
        <v>0</v>
      </c>
      <c r="GA188">
        <f t="shared" si="386"/>
        <v>0</v>
      </c>
      <c r="GB188">
        <f t="shared" si="387"/>
        <v>0</v>
      </c>
      <c r="GC188">
        <f t="shared" si="388"/>
        <v>0</v>
      </c>
      <c r="GD188">
        <f t="shared" si="389"/>
        <v>0</v>
      </c>
      <c r="GE188">
        <f t="shared" si="390"/>
        <v>0</v>
      </c>
      <c r="GF188">
        <f t="shared" si="391"/>
        <v>0</v>
      </c>
      <c r="GG188">
        <f t="shared" si="392"/>
        <v>0</v>
      </c>
      <c r="GH188">
        <f t="shared" si="393"/>
        <v>0</v>
      </c>
      <c r="GI188">
        <f t="shared" si="394"/>
        <v>1</v>
      </c>
      <c r="GJ188">
        <f t="shared" si="395"/>
        <v>1</v>
      </c>
      <c r="GK188">
        <f t="shared" si="396"/>
        <v>1</v>
      </c>
      <c r="GL188">
        <f t="shared" si="397"/>
        <v>1</v>
      </c>
      <c r="GM188">
        <f t="shared" si="398"/>
        <v>1</v>
      </c>
      <c r="GN188">
        <f t="shared" si="399"/>
        <v>1</v>
      </c>
      <c r="GO188">
        <f t="shared" si="400"/>
        <v>1</v>
      </c>
      <c r="GP188">
        <f t="shared" si="401"/>
        <v>1</v>
      </c>
      <c r="GQ188">
        <f t="shared" si="402"/>
        <v>1</v>
      </c>
      <c r="GR188">
        <f t="shared" si="403"/>
        <v>1</v>
      </c>
      <c r="GS188">
        <f t="shared" si="404"/>
        <v>1</v>
      </c>
      <c r="GT188">
        <f t="shared" si="405"/>
        <v>1</v>
      </c>
      <c r="GU188">
        <f t="shared" si="406"/>
        <v>1</v>
      </c>
      <c r="GX188" s="10"/>
    </row>
    <row r="189" spans="1:206" x14ac:dyDescent="0.3">
      <c r="A189" s="9" t="s">
        <v>128</v>
      </c>
      <c r="B189" s="80"/>
      <c r="C189" s="9">
        <v>3062482000</v>
      </c>
      <c r="D189" s="9" t="s">
        <v>388</v>
      </c>
      <c r="E189" s="9" t="s">
        <v>39</v>
      </c>
      <c r="F189" s="9" t="s">
        <v>35</v>
      </c>
      <c r="G189" s="9" t="s">
        <v>218</v>
      </c>
      <c r="H189" s="10">
        <v>44924</v>
      </c>
      <c r="I189" s="9">
        <f t="shared" si="407"/>
        <v>2022</v>
      </c>
      <c r="J189" s="9">
        <f t="shared" si="408"/>
        <v>12</v>
      </c>
      <c r="K189" s="9" t="str">
        <f t="shared" si="409"/>
        <v>2022_12</v>
      </c>
      <c r="L189">
        <f>MAX(0,VLOOKUP($K189,lookups!$A$1:$B$45,2,0)-12)</f>
        <v>20</v>
      </c>
      <c r="M189" s="40">
        <f t="shared" si="410"/>
        <v>44896</v>
      </c>
      <c r="N189" s="10" t="s">
        <v>37</v>
      </c>
      <c r="O189" t="str">
        <f ca="1">IF(OR($L189&gt;O$4,O$4&gt;$L189+23),"",OFFSET(Electric!$L180,0,-'Electric Calendarize'!$L189+'Electric Calendarize'!O$4+1))</f>
        <v/>
      </c>
      <c r="P189" t="str">
        <f ca="1">IF(OR($L189&gt;P$4,P$4&gt;$L189+23),"",OFFSET(Electric!$L180,0,-'Electric Calendarize'!$L189+'Electric Calendarize'!P$4+1))</f>
        <v/>
      </c>
      <c r="Q189" t="str">
        <f ca="1">IF(OR($L189&gt;Q$4,Q$4&gt;$L189+23),"",OFFSET(Electric!$L180,0,-'Electric Calendarize'!$L189+'Electric Calendarize'!Q$4+1))</f>
        <v/>
      </c>
      <c r="R189" t="str">
        <f ca="1">IF(OR($L189&gt;R$4,R$4&gt;$L189+23),"",OFFSET(Electric!$L180,0,-'Electric Calendarize'!$L189+'Electric Calendarize'!R$4+1))</f>
        <v/>
      </c>
      <c r="S189" t="str">
        <f ca="1">IF(OR($L189&gt;S$4,S$4&gt;$L189+23),"",OFFSET(Electric!$L180,0,-'Electric Calendarize'!$L189+'Electric Calendarize'!S$4+1))</f>
        <v/>
      </c>
      <c r="T189" t="str">
        <f ca="1">IF(OR($L189&gt;T$4,T$4&gt;$L189+23),"",OFFSET(Electric!$L180,0,-'Electric Calendarize'!$L189+'Electric Calendarize'!T$4+1))</f>
        <v/>
      </c>
      <c r="U189" t="str">
        <f ca="1">IF(OR($L189&gt;U$4,U$4&gt;$L189+23),"",OFFSET(Electric!$L180,0,-'Electric Calendarize'!$L189+'Electric Calendarize'!U$4+1))</f>
        <v/>
      </c>
      <c r="V189" t="str">
        <f ca="1">IF(OR($L189&gt;V$4,V$4&gt;$L189+23),"",OFFSET(Electric!$L180,0,-'Electric Calendarize'!$L189+'Electric Calendarize'!V$4+1))</f>
        <v/>
      </c>
      <c r="W189" t="str">
        <f ca="1">IF(OR($L189&gt;W$4,W$4&gt;$L189+23),"",OFFSET(Electric!$L180,0,-'Electric Calendarize'!$L189+'Electric Calendarize'!W$4+1))</f>
        <v/>
      </c>
      <c r="X189" t="str">
        <f ca="1">IF(OR($L189&gt;X$4,X$4&gt;$L189+23),"",OFFSET(Electric!$L180,0,-'Electric Calendarize'!$L189+'Electric Calendarize'!X$4+1))</f>
        <v/>
      </c>
      <c r="Y189" t="str">
        <f ca="1">IF(OR($L189&gt;Y$4,Y$4&gt;$L189+23),"",OFFSET(Electric!$L180,0,-'Electric Calendarize'!$L189+'Electric Calendarize'!Y$4+1))</f>
        <v/>
      </c>
      <c r="Z189" t="str">
        <f ca="1">IF(OR($L189&gt;Z$4,Z$4&gt;$L189+23),"",OFFSET(Electric!$L180,0,-'Electric Calendarize'!$L189+'Electric Calendarize'!Z$4+1))</f>
        <v/>
      </c>
      <c r="AA189" t="str">
        <f ca="1">IF(OR($L189&gt;AA$4,AA$4&gt;$L189+23),"",OFFSET(Electric!$L180,0,-'Electric Calendarize'!$L189+'Electric Calendarize'!AA$4+1))</f>
        <v/>
      </c>
      <c r="AB189" t="str">
        <f ca="1">IF(OR($L189&gt;AB$4,AB$4&gt;$L189+23),"",OFFSET(Electric!$L180,0,-'Electric Calendarize'!$L189+'Electric Calendarize'!AB$4+1))</f>
        <v/>
      </c>
      <c r="AC189" t="str">
        <f ca="1">IF(OR($L189&gt;AC$4,AC$4&gt;$L189+23),"",OFFSET(Electric!$L180,0,-'Electric Calendarize'!$L189+'Electric Calendarize'!AC$4+1))</f>
        <v/>
      </c>
      <c r="AD189" t="str">
        <f ca="1">IF(OR($L189&gt;AD$4,AD$4&gt;$L189+23),"",OFFSET(Electric!$L180,0,-'Electric Calendarize'!$L189+'Electric Calendarize'!AD$4+1))</f>
        <v/>
      </c>
      <c r="AE189" t="str">
        <f ca="1">IF(OR($L189&gt;AE$4,AE$4&gt;$L189+23),"",OFFSET(Electric!$L180,0,-'Electric Calendarize'!$L189+'Electric Calendarize'!AE$4+1))</f>
        <v/>
      </c>
      <c r="AF189" t="str">
        <f ca="1">IF(OR($L189&gt;AF$4,AF$4&gt;$L189+23),"",OFFSET(Electric!$L180,0,-'Electric Calendarize'!$L189+'Electric Calendarize'!AF$4+1))</f>
        <v/>
      </c>
      <c r="AG189" t="str">
        <f ca="1">IF(OR($L189&gt;AG$4,AG$4&gt;$L189+23),"",OFFSET(Electric!$L180,0,-'Electric Calendarize'!$L189+'Electric Calendarize'!AG$4+1))</f>
        <v/>
      </c>
      <c r="AH189" t="str">
        <f ca="1">IF(OR($L189&gt;AH$4,AH$4&gt;$L189+23),"",OFFSET(Electric!$L180,0,-'Electric Calendarize'!$L189+'Electric Calendarize'!AH$4+1))</f>
        <v/>
      </c>
      <c r="AI189">
        <f ca="1">IF(OR($L189&gt;AI$4,AI$4&gt;$L189+23),"",OFFSET(Electric!$L180,0,-'Electric Calendarize'!$L189+'Electric Calendarize'!AI$4+1))</f>
        <v>637</v>
      </c>
      <c r="AJ189">
        <f ca="1">IF(OR($L189&gt;AJ$4,AJ$4&gt;$L189+23),"",OFFSET(Electric!$L180,0,-'Electric Calendarize'!$L189+'Electric Calendarize'!AJ$4+1))</f>
        <v>638</v>
      </c>
      <c r="AK189">
        <f ca="1">IF(OR($L189&gt;AK$4,AK$4&gt;$L189+23),"",OFFSET(Electric!$L180,0,-'Electric Calendarize'!$L189+'Electric Calendarize'!AK$4+1))</f>
        <v>547</v>
      </c>
      <c r="AL189">
        <f ca="1">IF(OR($L189&gt;AL$4,AL$4&gt;$L189+23),"",OFFSET(Electric!$L180,0,-'Electric Calendarize'!$L189+'Electric Calendarize'!AL$4+1))</f>
        <v>536</v>
      </c>
      <c r="AM189">
        <f ca="1">IF(OR($L189&gt;AM$4,AM$4&gt;$L189+23),"",OFFSET(Electric!$L180,0,-'Electric Calendarize'!$L189+'Electric Calendarize'!AM$4+1))</f>
        <v>489</v>
      </c>
      <c r="AN189">
        <f ca="1">IF(OR($L189&gt;AN$4,AN$4&gt;$L189+23),"",OFFSET(Electric!$L180,0,-'Electric Calendarize'!$L189+'Electric Calendarize'!AN$4+1))</f>
        <v>476</v>
      </c>
      <c r="AO189">
        <f ca="1">IF(OR($L189&gt;AO$4,AO$4&gt;$L189+23),"",OFFSET(Electric!$L180,0,-'Electric Calendarize'!$L189+'Electric Calendarize'!AO$4+1))</f>
        <v>499</v>
      </c>
      <c r="AP189">
        <f ca="1">IF(OR($L189&gt;AP$4,AP$4&gt;$L189+23),"",OFFSET(Electric!$L180,0,-'Electric Calendarize'!$L189+'Electric Calendarize'!AP$4+1))</f>
        <v>803</v>
      </c>
      <c r="AQ189">
        <f ca="1">IF(OR($L189&gt;AQ$4,AQ$4&gt;$L189+23),"",OFFSET(Electric!$L180,0,-'Electric Calendarize'!$L189+'Electric Calendarize'!AQ$4+1))</f>
        <v>1159</v>
      </c>
      <c r="AR189">
        <f ca="1">IF(OR($L189&gt;AR$4,AR$4&gt;$L189+23),"",OFFSET(Electric!$L180,0,-'Electric Calendarize'!$L189+'Electric Calendarize'!AR$4+1))</f>
        <v>808</v>
      </c>
      <c r="AS189">
        <f ca="1">IF(OR($L189&gt;AS$4,AS$4&gt;$L189+23),"",OFFSET(Electric!$L180,0,-'Electric Calendarize'!$L189+'Electric Calendarize'!AS$4+1))</f>
        <v>587</v>
      </c>
      <c r="AT189">
        <f ca="1">IF(OR($L189&gt;AT$4,AT$4&gt;$L189+23),"",OFFSET(Electric!$L180,0,-'Electric Calendarize'!$L189+'Electric Calendarize'!AT$4+1))</f>
        <v>650</v>
      </c>
      <c r="AU189">
        <f ca="1">IF(OR($L189&gt;AU$4,AU$4&gt;$L189+23),"",OFFSET(Electric!$L180,0,-'Electric Calendarize'!$L189+'Electric Calendarize'!AU$4+1))</f>
        <v>693</v>
      </c>
      <c r="AV189">
        <f ca="1">IF(OR($L189&gt;AV$4,AV$4&gt;$L189+23),"",OFFSET(Electric!$L180,0,-'Electric Calendarize'!$L189+'Electric Calendarize'!AV$4+1))</f>
        <v>591</v>
      </c>
      <c r="AW189">
        <f ca="1">IF(OR($L189&gt;AW$4,AW$4&gt;$L189+23),"",OFFSET(Electric!$L180,0,-'Electric Calendarize'!$L189+'Electric Calendarize'!AW$4+1))</f>
        <v>544</v>
      </c>
      <c r="AX189">
        <f ca="1">IF(OR($L189&gt;AX$4,AX$4&gt;$L189+23),"",OFFSET(Electric!$L180,0,-'Electric Calendarize'!$L189+'Electric Calendarize'!AX$4+1))</f>
        <v>498</v>
      </c>
      <c r="AY189">
        <f ca="1">IF(OR($L189&gt;AY$4,AY$4&gt;$L189+23),"",OFFSET(Electric!$L180,0,-'Electric Calendarize'!$L189+'Electric Calendarize'!AY$4+1))</f>
        <v>464</v>
      </c>
      <c r="AZ189">
        <f ca="1">IF(OR($L189&gt;AZ$4,AZ$4&gt;$L189+23),"",OFFSET(Electric!$L180,0,-'Electric Calendarize'!$L189+'Electric Calendarize'!AZ$4+1))</f>
        <v>561</v>
      </c>
      <c r="BA189">
        <f ca="1">IF(OR($L189&gt;BA$4,BA$4&gt;$L189+23),"",OFFSET(Electric!$L180,0,-'Electric Calendarize'!$L189+'Electric Calendarize'!BA$4+1))</f>
        <v>523</v>
      </c>
      <c r="BB189">
        <f ca="1">IF(OR($L189&gt;BB$4,BB$4&gt;$L189+23),"",OFFSET(Electric!$L180,0,-'Electric Calendarize'!$L189+'Electric Calendarize'!BB$4+1))</f>
        <v>1078</v>
      </c>
      <c r="BC189">
        <f ca="1">IF(OR($L189&gt;BC$4,BC$4&gt;$L189+23),"",OFFSET(Electric!$L180,0,-'Electric Calendarize'!$L189+'Electric Calendarize'!BC$4+1))</f>
        <v>1155</v>
      </c>
      <c r="BD189">
        <f ca="1">IF(OR($L189&gt;BD$4,BD$4&gt;$L189+23),"",OFFSET(Electric!$L180,0,-'Electric Calendarize'!$L189+'Electric Calendarize'!BD$4+1))</f>
        <v>953</v>
      </c>
      <c r="BE189">
        <f ca="1">IF(OR($L189&gt;BE$4,BE$4&gt;$L189+23),"",OFFSET(Electric!$L180,0,-'Electric Calendarize'!$L189+'Electric Calendarize'!BE$4+1))</f>
        <v>641</v>
      </c>
      <c r="BF189">
        <f ca="1">IF(OR($L189&gt;BF$4,BF$4&gt;$L189+23),"",OFFSET(Electric!$L180,0,-'Electric Calendarize'!$L189+'Electric Calendarize'!BF$4+1))</f>
        <v>610</v>
      </c>
      <c r="BG189" t="str">
        <f ca="1">IF(OR($L189&gt;BG$4,BG$4&gt;$L189+23),"",OFFSET(Electric!$L180,0,-'Electric Calendarize'!$L189+'Electric Calendarize'!BG$4+1))</f>
        <v/>
      </c>
      <c r="BJ189" s="10" t="s">
        <v>37</v>
      </c>
      <c r="BK189">
        <f t="shared" si="411"/>
        <v>1</v>
      </c>
      <c r="BL189">
        <f t="shared" si="317"/>
        <v>0</v>
      </c>
      <c r="BM189">
        <f t="shared" si="318"/>
        <v>0</v>
      </c>
      <c r="BN189">
        <f t="shared" si="319"/>
        <v>0</v>
      </c>
      <c r="BO189">
        <f t="shared" si="320"/>
        <v>0</v>
      </c>
      <c r="BP189">
        <f t="shared" si="321"/>
        <v>0</v>
      </c>
      <c r="BQ189">
        <f t="shared" si="322"/>
        <v>0</v>
      </c>
      <c r="BR189">
        <f t="shared" si="323"/>
        <v>1</v>
      </c>
      <c r="BS189">
        <f t="shared" si="324"/>
        <v>1</v>
      </c>
      <c r="BT189">
        <f t="shared" si="325"/>
        <v>1</v>
      </c>
      <c r="BU189">
        <f t="shared" si="326"/>
        <v>1</v>
      </c>
      <c r="BV189">
        <f t="shared" si="327"/>
        <v>1</v>
      </c>
      <c r="BW189">
        <f t="shared" si="328"/>
        <v>1</v>
      </c>
      <c r="BX189">
        <f t="shared" si="329"/>
        <v>0</v>
      </c>
      <c r="BY189">
        <f t="shared" si="330"/>
        <v>0</v>
      </c>
      <c r="BZ189">
        <f t="shared" si="331"/>
        <v>0</v>
      </c>
      <c r="CA189">
        <f t="shared" si="332"/>
        <v>0</v>
      </c>
      <c r="CB189">
        <f t="shared" si="333"/>
        <v>0</v>
      </c>
      <c r="CC189">
        <f t="shared" si="334"/>
        <v>0</v>
      </c>
      <c r="CD189">
        <f t="shared" si="335"/>
        <v>1</v>
      </c>
      <c r="CE189">
        <f t="shared" si="336"/>
        <v>1</v>
      </c>
      <c r="CF189">
        <f t="shared" si="337"/>
        <v>1</v>
      </c>
      <c r="CG189">
        <f t="shared" si="338"/>
        <v>1</v>
      </c>
      <c r="CH189">
        <f t="shared" si="339"/>
        <v>1</v>
      </c>
      <c r="CI189">
        <f t="shared" si="340"/>
        <v>1</v>
      </c>
      <c r="CJ189">
        <f t="shared" si="341"/>
        <v>0</v>
      </c>
      <c r="CK189">
        <f t="shared" si="342"/>
        <v>0</v>
      </c>
      <c r="CL189">
        <f t="shared" si="343"/>
        <v>0</v>
      </c>
      <c r="CM189">
        <f t="shared" si="344"/>
        <v>0</v>
      </c>
      <c r="CN189">
        <f t="shared" si="345"/>
        <v>0</v>
      </c>
      <c r="CO189">
        <f t="shared" si="346"/>
        <v>0</v>
      </c>
      <c r="CP189">
        <f t="shared" si="347"/>
        <v>1</v>
      </c>
      <c r="CQ189">
        <f t="shared" si="348"/>
        <v>1</v>
      </c>
      <c r="CR189">
        <f t="shared" si="349"/>
        <v>1</v>
      </c>
      <c r="CS189">
        <f t="shared" si="350"/>
        <v>1</v>
      </c>
      <c r="CT189">
        <f t="shared" si="351"/>
        <v>1</v>
      </c>
      <c r="CU189">
        <f t="shared" si="352"/>
        <v>1</v>
      </c>
      <c r="CV189">
        <f t="shared" si="353"/>
        <v>0</v>
      </c>
      <c r="CW189">
        <f t="shared" si="354"/>
        <v>0</v>
      </c>
      <c r="CX189">
        <f t="shared" si="355"/>
        <v>0</v>
      </c>
      <c r="CY189">
        <f t="shared" si="356"/>
        <v>0</v>
      </c>
      <c r="CZ189">
        <f t="shared" si="357"/>
        <v>0</v>
      </c>
      <c r="DA189">
        <f t="shared" si="358"/>
        <v>0</v>
      </c>
      <c r="DB189">
        <f t="shared" si="359"/>
        <v>1</v>
      </c>
      <c r="DC189">
        <f t="shared" si="360"/>
        <v>1</v>
      </c>
      <c r="DF189" s="10" t="s">
        <v>37</v>
      </c>
      <c r="DG189" t="str">
        <f t="shared" si="423"/>
        <v>2022_12</v>
      </c>
      <c r="DH189" t="str">
        <f t="shared" si="423"/>
        <v>2022_12</v>
      </c>
      <c r="DI189" t="str">
        <f t="shared" si="423"/>
        <v>2022_12</v>
      </c>
      <c r="DJ189" t="str">
        <f t="shared" si="423"/>
        <v>2022_12</v>
      </c>
      <c r="DK189" t="str">
        <f t="shared" si="423"/>
        <v>2022_12</v>
      </c>
      <c r="DL189" t="str">
        <f t="shared" si="423"/>
        <v>2022_12</v>
      </c>
      <c r="DM189" t="str">
        <f t="shared" si="423"/>
        <v>2022_12</v>
      </c>
      <c r="DN189" t="str">
        <f t="shared" si="423"/>
        <v>2022_12</v>
      </c>
      <c r="DO189" t="str">
        <f t="shared" si="423"/>
        <v>2022_12</v>
      </c>
      <c r="DP189" t="str">
        <f t="shared" si="423"/>
        <v>2022_12</v>
      </c>
      <c r="DQ189" t="str">
        <f t="shared" si="423"/>
        <v>2022_12</v>
      </c>
      <c r="DR189" t="str">
        <f t="shared" si="423"/>
        <v>2022_12</v>
      </c>
      <c r="DS189" t="str">
        <f t="shared" si="423"/>
        <v>2022_12</v>
      </c>
      <c r="DT189" t="str">
        <f t="shared" si="423"/>
        <v>2022_12</v>
      </c>
      <c r="DU189" t="str">
        <f t="shared" si="423"/>
        <v>2022_12</v>
      </c>
      <c r="DV189" t="str">
        <f t="shared" si="423"/>
        <v>2022_12</v>
      </c>
      <c r="DW189" t="str">
        <f t="shared" si="422"/>
        <v>2022_12</v>
      </c>
      <c r="DX189" t="str">
        <f t="shared" si="422"/>
        <v>2022_12</v>
      </c>
      <c r="DY189" t="str">
        <f t="shared" si="422"/>
        <v>2022_12</v>
      </c>
      <c r="DZ189" t="str">
        <f t="shared" si="422"/>
        <v>2022_12</v>
      </c>
      <c r="EA189" t="str">
        <f t="shared" si="422"/>
        <v>2022_12</v>
      </c>
      <c r="EB189" t="str">
        <f t="shared" si="422"/>
        <v>2022_12</v>
      </c>
      <c r="EC189" t="str">
        <f t="shared" si="422"/>
        <v>2022_12</v>
      </c>
      <c r="ED189" t="str">
        <f t="shared" si="422"/>
        <v>2022_12</v>
      </c>
      <c r="EE189" t="str">
        <f t="shared" si="422"/>
        <v>2022_12</v>
      </c>
      <c r="EF189" t="str">
        <f t="shared" si="422"/>
        <v>2022_12</v>
      </c>
      <c r="EG189" t="str">
        <f t="shared" si="422"/>
        <v>2022_12</v>
      </c>
      <c r="EH189" t="str">
        <f t="shared" si="422"/>
        <v>2022_12</v>
      </c>
      <c r="EI189" t="str">
        <f t="shared" si="422"/>
        <v>2022_12</v>
      </c>
      <c r="EJ189" t="str">
        <f t="shared" si="422"/>
        <v>2022_12</v>
      </c>
      <c r="EK189" t="str">
        <f t="shared" si="421"/>
        <v>2022_12</v>
      </c>
      <c r="EL189" t="str">
        <f t="shared" si="421"/>
        <v>2022_12</v>
      </c>
      <c r="EM189" t="str">
        <f t="shared" si="421"/>
        <v>2022_12</v>
      </c>
      <c r="EN189" t="str">
        <f t="shared" si="421"/>
        <v>2022_12</v>
      </c>
      <c r="EO189" t="str">
        <f t="shared" si="421"/>
        <v>2022_12</v>
      </c>
      <c r="EP189" t="str">
        <f t="shared" si="421"/>
        <v>2022_12</v>
      </c>
      <c r="EQ189" t="str">
        <f t="shared" si="421"/>
        <v>2022_12</v>
      </c>
      <c r="ER189" t="str">
        <f t="shared" si="421"/>
        <v>2022_12</v>
      </c>
      <c r="ES189" t="str">
        <f t="shared" si="421"/>
        <v>2022_12</v>
      </c>
      <c r="ET189" t="str">
        <f t="shared" si="421"/>
        <v>2022_12</v>
      </c>
      <c r="EU189" t="str">
        <f t="shared" si="421"/>
        <v>2022_12</v>
      </c>
      <c r="EV189" t="str">
        <f t="shared" si="421"/>
        <v>2022_12</v>
      </c>
      <c r="EW189" t="str">
        <f t="shared" si="421"/>
        <v>2022_12</v>
      </c>
      <c r="EX189" t="str">
        <f t="shared" si="421"/>
        <v>2022_12</v>
      </c>
      <c r="EY189" t="str">
        <f t="shared" si="421"/>
        <v>2022_12</v>
      </c>
      <c r="FB189" s="10" t="s">
        <v>37</v>
      </c>
      <c r="FC189">
        <f t="shared" si="413"/>
        <v>0</v>
      </c>
      <c r="FD189">
        <f t="shared" si="363"/>
        <v>0</v>
      </c>
      <c r="FE189">
        <f t="shared" si="364"/>
        <v>0</v>
      </c>
      <c r="FF189">
        <f t="shared" si="365"/>
        <v>0</v>
      </c>
      <c r="FG189">
        <f t="shared" si="366"/>
        <v>0</v>
      </c>
      <c r="FH189">
        <f t="shared" si="367"/>
        <v>0</v>
      </c>
      <c r="FI189">
        <f t="shared" si="368"/>
        <v>0</v>
      </c>
      <c r="FJ189">
        <f t="shared" si="369"/>
        <v>0</v>
      </c>
      <c r="FK189">
        <f t="shared" si="370"/>
        <v>0</v>
      </c>
      <c r="FL189">
        <f t="shared" si="371"/>
        <v>0</v>
      </c>
      <c r="FM189">
        <f t="shared" si="372"/>
        <v>0</v>
      </c>
      <c r="FN189">
        <f t="shared" si="373"/>
        <v>0</v>
      </c>
      <c r="FO189">
        <f t="shared" si="374"/>
        <v>0</v>
      </c>
      <c r="FP189">
        <f t="shared" si="375"/>
        <v>0</v>
      </c>
      <c r="FQ189">
        <f t="shared" si="376"/>
        <v>0</v>
      </c>
      <c r="FR189">
        <f t="shared" si="377"/>
        <v>0</v>
      </c>
      <c r="FS189">
        <f t="shared" si="378"/>
        <v>0</v>
      </c>
      <c r="FT189">
        <f t="shared" si="379"/>
        <v>0</v>
      </c>
      <c r="FU189">
        <f t="shared" si="380"/>
        <v>0</v>
      </c>
      <c r="FV189">
        <f t="shared" si="381"/>
        <v>0</v>
      </c>
      <c r="FW189">
        <f t="shared" si="382"/>
        <v>0</v>
      </c>
      <c r="FX189">
        <f t="shared" si="383"/>
        <v>0</v>
      </c>
      <c r="FY189">
        <f t="shared" si="384"/>
        <v>0</v>
      </c>
      <c r="FZ189">
        <f t="shared" si="385"/>
        <v>0</v>
      </c>
      <c r="GA189">
        <f t="shared" si="386"/>
        <v>0</v>
      </c>
      <c r="GB189">
        <f t="shared" si="387"/>
        <v>0</v>
      </c>
      <c r="GC189">
        <f t="shared" si="388"/>
        <v>0</v>
      </c>
      <c r="GD189">
        <f t="shared" si="389"/>
        <v>0</v>
      </c>
      <c r="GE189">
        <f t="shared" si="390"/>
        <v>0</v>
      </c>
      <c r="GF189">
        <f t="shared" si="391"/>
        <v>0</v>
      </c>
      <c r="GG189">
        <f t="shared" si="392"/>
        <v>0</v>
      </c>
      <c r="GH189">
        <f t="shared" si="393"/>
        <v>0</v>
      </c>
      <c r="GI189">
        <f t="shared" si="394"/>
        <v>1</v>
      </c>
      <c r="GJ189">
        <f t="shared" si="395"/>
        <v>1</v>
      </c>
      <c r="GK189">
        <f t="shared" si="396"/>
        <v>1</v>
      </c>
      <c r="GL189">
        <f t="shared" si="397"/>
        <v>1</v>
      </c>
      <c r="GM189">
        <f t="shared" si="398"/>
        <v>1</v>
      </c>
      <c r="GN189">
        <f t="shared" si="399"/>
        <v>1</v>
      </c>
      <c r="GO189">
        <f t="shared" si="400"/>
        <v>1</v>
      </c>
      <c r="GP189">
        <f t="shared" si="401"/>
        <v>1</v>
      </c>
      <c r="GQ189">
        <f t="shared" si="402"/>
        <v>1</v>
      </c>
      <c r="GR189">
        <f t="shared" si="403"/>
        <v>1</v>
      </c>
      <c r="GS189">
        <f t="shared" si="404"/>
        <v>1</v>
      </c>
      <c r="GT189">
        <f t="shared" si="405"/>
        <v>1</v>
      </c>
      <c r="GU189">
        <f t="shared" si="406"/>
        <v>1</v>
      </c>
      <c r="GX189" s="10"/>
    </row>
    <row r="190" spans="1:206" x14ac:dyDescent="0.3">
      <c r="A190" s="9" t="s">
        <v>124</v>
      </c>
      <c r="B190" s="80"/>
      <c r="C190" s="9">
        <v>3160837000</v>
      </c>
      <c r="D190" s="9" t="s">
        <v>478</v>
      </c>
      <c r="E190" s="9" t="s">
        <v>43</v>
      </c>
      <c r="F190" s="9" t="s">
        <v>35</v>
      </c>
      <c r="G190" s="9" t="s">
        <v>219</v>
      </c>
      <c r="H190" s="10">
        <v>44924</v>
      </c>
      <c r="I190" s="9">
        <f t="shared" si="407"/>
        <v>2022</v>
      </c>
      <c r="J190" s="9">
        <f t="shared" si="408"/>
        <v>12</v>
      </c>
      <c r="K190" s="9" t="str">
        <f t="shared" si="409"/>
        <v>2022_12</v>
      </c>
      <c r="L190">
        <f>MAX(0,VLOOKUP($K190,lookups!$A$1:$B$45,2,0)-12)</f>
        <v>20</v>
      </c>
      <c r="M190" s="40">
        <f t="shared" si="410"/>
        <v>44896</v>
      </c>
      <c r="N190" s="10" t="s">
        <v>37</v>
      </c>
      <c r="O190" t="str">
        <f ca="1">IF(OR($L190&gt;O$4,O$4&gt;$L190+23),"",OFFSET(Electric!$L181,0,-'Electric Calendarize'!$L190+'Electric Calendarize'!O$4+1))</f>
        <v/>
      </c>
      <c r="P190" t="str">
        <f ca="1">IF(OR($L190&gt;P$4,P$4&gt;$L190+23),"",OFFSET(Electric!$L181,0,-'Electric Calendarize'!$L190+'Electric Calendarize'!P$4+1))</f>
        <v/>
      </c>
      <c r="Q190" t="str">
        <f ca="1">IF(OR($L190&gt;Q$4,Q$4&gt;$L190+23),"",OFFSET(Electric!$L181,0,-'Electric Calendarize'!$L190+'Electric Calendarize'!Q$4+1))</f>
        <v/>
      </c>
      <c r="R190" t="str">
        <f ca="1">IF(OR($L190&gt;R$4,R$4&gt;$L190+23),"",OFFSET(Electric!$L181,0,-'Electric Calendarize'!$L190+'Electric Calendarize'!R$4+1))</f>
        <v/>
      </c>
      <c r="S190" t="str">
        <f ca="1">IF(OR($L190&gt;S$4,S$4&gt;$L190+23),"",OFFSET(Electric!$L181,0,-'Electric Calendarize'!$L190+'Electric Calendarize'!S$4+1))</f>
        <v/>
      </c>
      <c r="T190" t="str">
        <f ca="1">IF(OR($L190&gt;T$4,T$4&gt;$L190+23),"",OFFSET(Electric!$L181,0,-'Electric Calendarize'!$L190+'Electric Calendarize'!T$4+1))</f>
        <v/>
      </c>
      <c r="U190" t="str">
        <f ca="1">IF(OR($L190&gt;U$4,U$4&gt;$L190+23),"",OFFSET(Electric!$L181,0,-'Electric Calendarize'!$L190+'Electric Calendarize'!U$4+1))</f>
        <v/>
      </c>
      <c r="V190" t="str">
        <f ca="1">IF(OR($L190&gt;V$4,V$4&gt;$L190+23),"",OFFSET(Electric!$L181,0,-'Electric Calendarize'!$L190+'Electric Calendarize'!V$4+1))</f>
        <v/>
      </c>
      <c r="W190" t="str">
        <f ca="1">IF(OR($L190&gt;W$4,W$4&gt;$L190+23),"",OFFSET(Electric!$L181,0,-'Electric Calendarize'!$L190+'Electric Calendarize'!W$4+1))</f>
        <v/>
      </c>
      <c r="X190" t="str">
        <f ca="1">IF(OR($L190&gt;X$4,X$4&gt;$L190+23),"",OFFSET(Electric!$L181,0,-'Electric Calendarize'!$L190+'Electric Calendarize'!X$4+1))</f>
        <v/>
      </c>
      <c r="Y190" t="str">
        <f ca="1">IF(OR($L190&gt;Y$4,Y$4&gt;$L190+23),"",OFFSET(Electric!$L181,0,-'Electric Calendarize'!$L190+'Electric Calendarize'!Y$4+1))</f>
        <v/>
      </c>
      <c r="Z190" t="str">
        <f ca="1">IF(OR($L190&gt;Z$4,Z$4&gt;$L190+23),"",OFFSET(Electric!$L181,0,-'Electric Calendarize'!$L190+'Electric Calendarize'!Z$4+1))</f>
        <v/>
      </c>
      <c r="AA190" t="str">
        <f ca="1">IF(OR($L190&gt;AA$4,AA$4&gt;$L190+23),"",OFFSET(Electric!$L181,0,-'Electric Calendarize'!$L190+'Electric Calendarize'!AA$4+1))</f>
        <v/>
      </c>
      <c r="AB190" t="str">
        <f ca="1">IF(OR($L190&gt;AB$4,AB$4&gt;$L190+23),"",OFFSET(Electric!$L181,0,-'Electric Calendarize'!$L190+'Electric Calendarize'!AB$4+1))</f>
        <v/>
      </c>
      <c r="AC190" t="str">
        <f ca="1">IF(OR($L190&gt;AC$4,AC$4&gt;$L190+23),"",OFFSET(Electric!$L181,0,-'Electric Calendarize'!$L190+'Electric Calendarize'!AC$4+1))</f>
        <v/>
      </c>
      <c r="AD190" t="str">
        <f ca="1">IF(OR($L190&gt;AD$4,AD$4&gt;$L190+23),"",OFFSET(Electric!$L181,0,-'Electric Calendarize'!$L190+'Electric Calendarize'!AD$4+1))</f>
        <v/>
      </c>
      <c r="AE190" t="str">
        <f ca="1">IF(OR($L190&gt;AE$4,AE$4&gt;$L190+23),"",OFFSET(Electric!$L181,0,-'Electric Calendarize'!$L190+'Electric Calendarize'!AE$4+1))</f>
        <v/>
      </c>
      <c r="AF190" t="str">
        <f ca="1">IF(OR($L190&gt;AF$4,AF$4&gt;$L190+23),"",OFFSET(Electric!$L181,0,-'Electric Calendarize'!$L190+'Electric Calendarize'!AF$4+1))</f>
        <v/>
      </c>
      <c r="AG190" t="str">
        <f ca="1">IF(OR($L190&gt;AG$4,AG$4&gt;$L190+23),"",OFFSET(Electric!$L181,0,-'Electric Calendarize'!$L190+'Electric Calendarize'!AG$4+1))</f>
        <v/>
      </c>
      <c r="AH190" t="str">
        <f ca="1">IF(OR($L190&gt;AH$4,AH$4&gt;$L190+23),"",OFFSET(Electric!$L181,0,-'Electric Calendarize'!$L190+'Electric Calendarize'!AH$4+1))</f>
        <v/>
      </c>
      <c r="AI190">
        <f ca="1">IF(OR($L190&gt;AI$4,AI$4&gt;$L190+23),"",OFFSET(Electric!$L181,0,-'Electric Calendarize'!$L190+'Electric Calendarize'!AI$4+1))</f>
        <v>1095</v>
      </c>
      <c r="AJ190">
        <f ca="1">IF(OR($L190&gt;AJ$4,AJ$4&gt;$L190+23),"",OFFSET(Electric!$L181,0,-'Electric Calendarize'!$L190+'Electric Calendarize'!AJ$4+1))</f>
        <v>1404</v>
      </c>
      <c r="AK190">
        <f ca="1">IF(OR($L190&gt;AK$4,AK$4&gt;$L190+23),"",OFFSET(Electric!$L181,0,-'Electric Calendarize'!$L190+'Electric Calendarize'!AK$4+1))</f>
        <v>1280</v>
      </c>
      <c r="AL190">
        <f ca="1">IF(OR($L190&gt;AL$4,AL$4&gt;$L190+23),"",OFFSET(Electric!$L181,0,-'Electric Calendarize'!$L190+'Electric Calendarize'!AL$4+1))</f>
        <v>1273</v>
      </c>
      <c r="AM190">
        <f ca="1">IF(OR($L190&gt;AM$4,AM$4&gt;$L190+23),"",OFFSET(Electric!$L181,0,-'Electric Calendarize'!$L190+'Electric Calendarize'!AM$4+1))</f>
        <v>1023</v>
      </c>
      <c r="AN190">
        <f ca="1">IF(OR($L190&gt;AN$4,AN$4&gt;$L190+23),"",OFFSET(Electric!$L181,0,-'Electric Calendarize'!$L190+'Electric Calendarize'!AN$4+1))</f>
        <v>910</v>
      </c>
      <c r="AO190">
        <f ca="1">IF(OR($L190&gt;AO$4,AO$4&gt;$L190+23),"",OFFSET(Electric!$L181,0,-'Electric Calendarize'!$L190+'Electric Calendarize'!AO$4+1))</f>
        <v>878</v>
      </c>
      <c r="AP190">
        <f ca="1">IF(OR($L190&gt;AP$4,AP$4&gt;$L190+23),"",OFFSET(Electric!$L181,0,-'Electric Calendarize'!$L190+'Electric Calendarize'!AP$4+1))</f>
        <v>852</v>
      </c>
      <c r="AQ190">
        <f ca="1">IF(OR($L190&gt;AQ$4,AQ$4&gt;$L190+23),"",OFFSET(Electric!$L181,0,-'Electric Calendarize'!$L190+'Electric Calendarize'!AQ$4+1))</f>
        <v>990</v>
      </c>
      <c r="AR190">
        <f ca="1">IF(OR($L190&gt;AR$4,AR$4&gt;$L190+23),"",OFFSET(Electric!$L181,0,-'Electric Calendarize'!$L190+'Electric Calendarize'!AR$4+1))</f>
        <v>795</v>
      </c>
      <c r="AS190">
        <f ca="1">IF(OR($L190&gt;AS$4,AS$4&gt;$L190+23),"",OFFSET(Electric!$L181,0,-'Electric Calendarize'!$L190+'Electric Calendarize'!AS$4+1))</f>
        <v>818</v>
      </c>
      <c r="AT190">
        <f ca="1">IF(OR($L190&gt;AT$4,AT$4&gt;$L190+23),"",OFFSET(Electric!$L181,0,-'Electric Calendarize'!$L190+'Electric Calendarize'!AT$4+1))</f>
        <v>1000</v>
      </c>
      <c r="AU190">
        <f ca="1">IF(OR($L190&gt;AU$4,AU$4&gt;$L190+23),"",OFFSET(Electric!$L181,0,-'Electric Calendarize'!$L190+'Electric Calendarize'!AU$4+1))</f>
        <v>1157</v>
      </c>
      <c r="AV190">
        <f ca="1">IF(OR($L190&gt;AV$4,AV$4&gt;$L190+23),"",OFFSET(Electric!$L181,0,-'Electric Calendarize'!$L190+'Electric Calendarize'!AV$4+1))</f>
        <v>1328</v>
      </c>
      <c r="AW190">
        <f ca="1">IF(OR($L190&gt;AW$4,AW$4&gt;$L190+23),"",OFFSET(Electric!$L181,0,-'Electric Calendarize'!$L190+'Electric Calendarize'!AW$4+1))</f>
        <v>1355</v>
      </c>
      <c r="AX190">
        <f ca="1">IF(OR($L190&gt;AX$4,AX$4&gt;$L190+23),"",OFFSET(Electric!$L181,0,-'Electric Calendarize'!$L190+'Electric Calendarize'!AX$4+1))</f>
        <v>1423</v>
      </c>
      <c r="AY190">
        <f ca="1">IF(OR($L190&gt;AY$4,AY$4&gt;$L190+23),"",OFFSET(Electric!$L181,0,-'Electric Calendarize'!$L190+'Electric Calendarize'!AY$4+1))</f>
        <v>990</v>
      </c>
      <c r="AZ190">
        <f ca="1">IF(OR($L190&gt;AZ$4,AZ$4&gt;$L190+23),"",OFFSET(Electric!$L181,0,-'Electric Calendarize'!$L190+'Electric Calendarize'!AZ$4+1))</f>
        <v>894</v>
      </c>
      <c r="BA190">
        <f ca="1">IF(OR($L190&gt;BA$4,BA$4&gt;$L190+23),"",OFFSET(Electric!$L181,0,-'Electric Calendarize'!$L190+'Electric Calendarize'!BA$4+1))</f>
        <v>802</v>
      </c>
      <c r="BB190">
        <f ca="1">IF(OR($L190&gt;BB$4,BB$4&gt;$L190+23),"",OFFSET(Electric!$L181,0,-'Electric Calendarize'!$L190+'Electric Calendarize'!BB$4+1))</f>
        <v>1008</v>
      </c>
      <c r="BC190">
        <f ca="1">IF(OR($L190&gt;BC$4,BC$4&gt;$L190+23),"",OFFSET(Electric!$L181,0,-'Electric Calendarize'!$L190+'Electric Calendarize'!BC$4+1))</f>
        <v>1068</v>
      </c>
      <c r="BD190">
        <f ca="1">IF(OR($L190&gt;BD$4,BD$4&gt;$L190+23),"",OFFSET(Electric!$L181,0,-'Electric Calendarize'!$L190+'Electric Calendarize'!BD$4+1))</f>
        <v>925</v>
      </c>
      <c r="BE190">
        <f ca="1">IF(OR($L190&gt;BE$4,BE$4&gt;$L190+23),"",OFFSET(Electric!$L181,0,-'Electric Calendarize'!$L190+'Electric Calendarize'!BE$4+1))</f>
        <v>1264</v>
      </c>
      <c r="BF190">
        <f ca="1">IF(OR($L190&gt;BF$4,BF$4&gt;$L190+23),"",OFFSET(Electric!$L181,0,-'Electric Calendarize'!$L190+'Electric Calendarize'!BF$4+1))</f>
        <v>1265</v>
      </c>
      <c r="BG190" t="str">
        <f ca="1">IF(OR($L190&gt;BG$4,BG$4&gt;$L190+23),"",OFFSET(Electric!$L181,0,-'Electric Calendarize'!$L190+'Electric Calendarize'!BG$4+1))</f>
        <v/>
      </c>
      <c r="BJ190" s="10" t="s">
        <v>37</v>
      </c>
      <c r="BK190">
        <f t="shared" si="411"/>
        <v>1</v>
      </c>
      <c r="BL190">
        <f t="shared" si="317"/>
        <v>0</v>
      </c>
      <c r="BM190">
        <f t="shared" si="318"/>
        <v>0</v>
      </c>
      <c r="BN190">
        <f t="shared" si="319"/>
        <v>0</v>
      </c>
      <c r="BO190">
        <f t="shared" si="320"/>
        <v>0</v>
      </c>
      <c r="BP190">
        <f t="shared" si="321"/>
        <v>0</v>
      </c>
      <c r="BQ190">
        <f t="shared" si="322"/>
        <v>0</v>
      </c>
      <c r="BR190">
        <f t="shared" si="323"/>
        <v>1</v>
      </c>
      <c r="BS190">
        <f t="shared" si="324"/>
        <v>1</v>
      </c>
      <c r="BT190">
        <f t="shared" si="325"/>
        <v>1</v>
      </c>
      <c r="BU190">
        <f t="shared" si="326"/>
        <v>1</v>
      </c>
      <c r="BV190">
        <f t="shared" si="327"/>
        <v>1</v>
      </c>
      <c r="BW190">
        <f t="shared" si="328"/>
        <v>1</v>
      </c>
      <c r="BX190">
        <f t="shared" si="329"/>
        <v>0</v>
      </c>
      <c r="BY190">
        <f t="shared" si="330"/>
        <v>0</v>
      </c>
      <c r="BZ190">
        <f t="shared" si="331"/>
        <v>0</v>
      </c>
      <c r="CA190">
        <f t="shared" si="332"/>
        <v>0</v>
      </c>
      <c r="CB190">
        <f t="shared" si="333"/>
        <v>0</v>
      </c>
      <c r="CC190">
        <f t="shared" si="334"/>
        <v>0</v>
      </c>
      <c r="CD190">
        <f t="shared" si="335"/>
        <v>1</v>
      </c>
      <c r="CE190">
        <f t="shared" si="336"/>
        <v>1</v>
      </c>
      <c r="CF190">
        <f t="shared" si="337"/>
        <v>1</v>
      </c>
      <c r="CG190">
        <f t="shared" si="338"/>
        <v>1</v>
      </c>
      <c r="CH190">
        <f t="shared" si="339"/>
        <v>1</v>
      </c>
      <c r="CI190">
        <f t="shared" si="340"/>
        <v>1</v>
      </c>
      <c r="CJ190">
        <f t="shared" si="341"/>
        <v>0</v>
      </c>
      <c r="CK190">
        <f t="shared" si="342"/>
        <v>0</v>
      </c>
      <c r="CL190">
        <f t="shared" si="343"/>
        <v>0</v>
      </c>
      <c r="CM190">
        <f t="shared" si="344"/>
        <v>0</v>
      </c>
      <c r="CN190">
        <f t="shared" si="345"/>
        <v>0</v>
      </c>
      <c r="CO190">
        <f t="shared" si="346"/>
        <v>0</v>
      </c>
      <c r="CP190">
        <f t="shared" si="347"/>
        <v>1</v>
      </c>
      <c r="CQ190">
        <f t="shared" si="348"/>
        <v>1</v>
      </c>
      <c r="CR190">
        <f t="shared" si="349"/>
        <v>1</v>
      </c>
      <c r="CS190">
        <f t="shared" si="350"/>
        <v>1</v>
      </c>
      <c r="CT190">
        <f t="shared" si="351"/>
        <v>1</v>
      </c>
      <c r="CU190">
        <f t="shared" si="352"/>
        <v>1</v>
      </c>
      <c r="CV190">
        <f t="shared" si="353"/>
        <v>0</v>
      </c>
      <c r="CW190">
        <f t="shared" si="354"/>
        <v>0</v>
      </c>
      <c r="CX190">
        <f t="shared" si="355"/>
        <v>0</v>
      </c>
      <c r="CY190">
        <f t="shared" si="356"/>
        <v>0</v>
      </c>
      <c r="CZ190">
        <f t="shared" si="357"/>
        <v>0</v>
      </c>
      <c r="DA190">
        <f t="shared" si="358"/>
        <v>0</v>
      </c>
      <c r="DB190">
        <f t="shared" si="359"/>
        <v>1</v>
      </c>
      <c r="DC190">
        <f t="shared" si="360"/>
        <v>1</v>
      </c>
      <c r="DF190" s="10" t="s">
        <v>37</v>
      </c>
      <c r="DG190" t="str">
        <f t="shared" si="423"/>
        <v>2022_12</v>
      </c>
      <c r="DH190" t="str">
        <f t="shared" si="423"/>
        <v>2022_12</v>
      </c>
      <c r="DI190" t="str">
        <f t="shared" si="423"/>
        <v>2022_12</v>
      </c>
      <c r="DJ190" t="str">
        <f t="shared" si="423"/>
        <v>2022_12</v>
      </c>
      <c r="DK190" t="str">
        <f t="shared" si="423"/>
        <v>2022_12</v>
      </c>
      <c r="DL190" t="str">
        <f t="shared" si="423"/>
        <v>2022_12</v>
      </c>
      <c r="DM190" t="str">
        <f t="shared" si="423"/>
        <v>2022_12</v>
      </c>
      <c r="DN190" t="str">
        <f t="shared" si="423"/>
        <v>2022_12</v>
      </c>
      <c r="DO190" t="str">
        <f t="shared" si="423"/>
        <v>2022_12</v>
      </c>
      <c r="DP190" t="str">
        <f t="shared" si="423"/>
        <v>2022_12</v>
      </c>
      <c r="DQ190" t="str">
        <f t="shared" si="423"/>
        <v>2022_12</v>
      </c>
      <c r="DR190" t="str">
        <f t="shared" si="423"/>
        <v>2022_12</v>
      </c>
      <c r="DS190" t="str">
        <f t="shared" si="423"/>
        <v>2022_12</v>
      </c>
      <c r="DT190" t="str">
        <f t="shared" si="423"/>
        <v>2022_12</v>
      </c>
      <c r="DU190" t="str">
        <f t="shared" si="423"/>
        <v>2022_12</v>
      </c>
      <c r="DV190" t="str">
        <f t="shared" si="423"/>
        <v>2022_12</v>
      </c>
      <c r="DW190" t="str">
        <f t="shared" si="422"/>
        <v>2022_12</v>
      </c>
      <c r="DX190" t="str">
        <f t="shared" si="422"/>
        <v>2022_12</v>
      </c>
      <c r="DY190" t="str">
        <f t="shared" si="422"/>
        <v>2022_12</v>
      </c>
      <c r="DZ190" t="str">
        <f t="shared" si="422"/>
        <v>2022_12</v>
      </c>
      <c r="EA190" t="str">
        <f t="shared" si="422"/>
        <v>2022_12</v>
      </c>
      <c r="EB190" t="str">
        <f t="shared" si="422"/>
        <v>2022_12</v>
      </c>
      <c r="EC190" t="str">
        <f t="shared" si="422"/>
        <v>2022_12</v>
      </c>
      <c r="ED190" t="str">
        <f t="shared" si="422"/>
        <v>2022_12</v>
      </c>
      <c r="EE190" t="str">
        <f t="shared" si="422"/>
        <v>2022_12</v>
      </c>
      <c r="EF190" t="str">
        <f t="shared" si="422"/>
        <v>2022_12</v>
      </c>
      <c r="EG190" t="str">
        <f t="shared" si="422"/>
        <v>2022_12</v>
      </c>
      <c r="EH190" t="str">
        <f t="shared" si="422"/>
        <v>2022_12</v>
      </c>
      <c r="EI190" t="str">
        <f t="shared" si="422"/>
        <v>2022_12</v>
      </c>
      <c r="EJ190" t="str">
        <f t="shared" si="422"/>
        <v>2022_12</v>
      </c>
      <c r="EK190" t="str">
        <f t="shared" si="421"/>
        <v>2022_12</v>
      </c>
      <c r="EL190" t="str">
        <f t="shared" si="421"/>
        <v>2022_12</v>
      </c>
      <c r="EM190" t="str">
        <f t="shared" si="421"/>
        <v>2022_12</v>
      </c>
      <c r="EN190" t="str">
        <f t="shared" si="421"/>
        <v>2022_12</v>
      </c>
      <c r="EO190" t="str">
        <f t="shared" si="421"/>
        <v>2022_12</v>
      </c>
      <c r="EP190" t="str">
        <f t="shared" si="421"/>
        <v>2022_12</v>
      </c>
      <c r="EQ190" t="str">
        <f t="shared" si="421"/>
        <v>2022_12</v>
      </c>
      <c r="ER190" t="str">
        <f t="shared" si="421"/>
        <v>2022_12</v>
      </c>
      <c r="ES190" t="str">
        <f t="shared" si="421"/>
        <v>2022_12</v>
      </c>
      <c r="ET190" t="str">
        <f t="shared" si="421"/>
        <v>2022_12</v>
      </c>
      <c r="EU190" t="str">
        <f t="shared" si="421"/>
        <v>2022_12</v>
      </c>
      <c r="EV190" t="str">
        <f t="shared" si="421"/>
        <v>2022_12</v>
      </c>
      <c r="EW190" t="str">
        <f t="shared" si="421"/>
        <v>2022_12</v>
      </c>
      <c r="EX190" t="str">
        <f t="shared" si="421"/>
        <v>2022_12</v>
      </c>
      <c r="EY190" t="str">
        <f t="shared" si="421"/>
        <v>2022_12</v>
      </c>
      <c r="FB190" s="10" t="s">
        <v>37</v>
      </c>
      <c r="FC190">
        <f t="shared" si="413"/>
        <v>0</v>
      </c>
      <c r="FD190">
        <f t="shared" si="363"/>
        <v>0</v>
      </c>
      <c r="FE190">
        <f t="shared" si="364"/>
        <v>0</v>
      </c>
      <c r="FF190">
        <f t="shared" si="365"/>
        <v>0</v>
      </c>
      <c r="FG190">
        <f t="shared" si="366"/>
        <v>0</v>
      </c>
      <c r="FH190">
        <f t="shared" si="367"/>
        <v>0</v>
      </c>
      <c r="FI190">
        <f t="shared" si="368"/>
        <v>0</v>
      </c>
      <c r="FJ190">
        <f t="shared" si="369"/>
        <v>0</v>
      </c>
      <c r="FK190">
        <f t="shared" si="370"/>
        <v>0</v>
      </c>
      <c r="FL190">
        <f t="shared" si="371"/>
        <v>0</v>
      </c>
      <c r="FM190">
        <f t="shared" si="372"/>
        <v>0</v>
      </c>
      <c r="FN190">
        <f t="shared" si="373"/>
        <v>0</v>
      </c>
      <c r="FO190">
        <f t="shared" si="374"/>
        <v>0</v>
      </c>
      <c r="FP190">
        <f t="shared" si="375"/>
        <v>0</v>
      </c>
      <c r="FQ190">
        <f t="shared" si="376"/>
        <v>0</v>
      </c>
      <c r="FR190">
        <f t="shared" si="377"/>
        <v>0</v>
      </c>
      <c r="FS190">
        <f t="shared" si="378"/>
        <v>0</v>
      </c>
      <c r="FT190">
        <f t="shared" si="379"/>
        <v>0</v>
      </c>
      <c r="FU190">
        <f t="shared" si="380"/>
        <v>0</v>
      </c>
      <c r="FV190">
        <f t="shared" si="381"/>
        <v>0</v>
      </c>
      <c r="FW190">
        <f t="shared" si="382"/>
        <v>0</v>
      </c>
      <c r="FX190">
        <f t="shared" si="383"/>
        <v>0</v>
      </c>
      <c r="FY190">
        <f t="shared" si="384"/>
        <v>0</v>
      </c>
      <c r="FZ190">
        <f t="shared" si="385"/>
        <v>0</v>
      </c>
      <c r="GA190">
        <f t="shared" si="386"/>
        <v>0</v>
      </c>
      <c r="GB190">
        <f t="shared" si="387"/>
        <v>0</v>
      </c>
      <c r="GC190">
        <f t="shared" si="388"/>
        <v>0</v>
      </c>
      <c r="GD190">
        <f t="shared" si="389"/>
        <v>0</v>
      </c>
      <c r="GE190">
        <f t="shared" si="390"/>
        <v>0</v>
      </c>
      <c r="GF190">
        <f t="shared" si="391"/>
        <v>0</v>
      </c>
      <c r="GG190">
        <f t="shared" si="392"/>
        <v>0</v>
      </c>
      <c r="GH190">
        <f t="shared" si="393"/>
        <v>0</v>
      </c>
      <c r="GI190">
        <f t="shared" si="394"/>
        <v>1</v>
      </c>
      <c r="GJ190">
        <f t="shared" si="395"/>
        <v>1</v>
      </c>
      <c r="GK190">
        <f t="shared" si="396"/>
        <v>1</v>
      </c>
      <c r="GL190">
        <f t="shared" si="397"/>
        <v>1</v>
      </c>
      <c r="GM190">
        <f t="shared" si="398"/>
        <v>1</v>
      </c>
      <c r="GN190">
        <f t="shared" si="399"/>
        <v>1</v>
      </c>
      <c r="GO190">
        <f t="shared" si="400"/>
        <v>1</v>
      </c>
      <c r="GP190">
        <f t="shared" si="401"/>
        <v>1</v>
      </c>
      <c r="GQ190">
        <f t="shared" si="402"/>
        <v>1</v>
      </c>
      <c r="GR190">
        <f t="shared" si="403"/>
        <v>1</v>
      </c>
      <c r="GS190">
        <f t="shared" si="404"/>
        <v>1</v>
      </c>
      <c r="GT190">
        <f t="shared" si="405"/>
        <v>1</v>
      </c>
      <c r="GU190">
        <f t="shared" si="406"/>
        <v>1</v>
      </c>
      <c r="GX190" s="10"/>
    </row>
    <row r="191" spans="1:206" x14ac:dyDescent="0.3">
      <c r="A191" s="9" t="s">
        <v>124</v>
      </c>
      <c r="B191" s="80"/>
      <c r="C191" s="9">
        <v>3010134001</v>
      </c>
      <c r="D191" s="9" t="s">
        <v>380</v>
      </c>
      <c r="E191" s="9" t="s">
        <v>34</v>
      </c>
      <c r="F191" s="9" t="s">
        <v>35</v>
      </c>
      <c r="G191" s="9" t="s">
        <v>220</v>
      </c>
      <c r="H191" s="10">
        <v>44925</v>
      </c>
      <c r="I191" s="9">
        <f t="shared" si="407"/>
        <v>2022</v>
      </c>
      <c r="J191" s="9">
        <f t="shared" si="408"/>
        <v>12</v>
      </c>
      <c r="K191" s="9" t="str">
        <f t="shared" si="409"/>
        <v>2022_12</v>
      </c>
      <c r="L191">
        <f>MAX(0,VLOOKUP($K191,lookups!$A$1:$B$45,2,0)-12)</f>
        <v>20</v>
      </c>
      <c r="M191" s="40">
        <f t="shared" si="410"/>
        <v>44896</v>
      </c>
      <c r="N191" s="10" t="s">
        <v>37</v>
      </c>
      <c r="O191" t="str">
        <f ca="1">IF(OR($L191&gt;O$4,O$4&gt;$L191+23),"",OFFSET(Electric!$L182,0,-'Electric Calendarize'!$L191+'Electric Calendarize'!O$4+1))</f>
        <v/>
      </c>
      <c r="P191" t="str">
        <f ca="1">IF(OR($L191&gt;P$4,P$4&gt;$L191+23),"",OFFSET(Electric!$L182,0,-'Electric Calendarize'!$L191+'Electric Calendarize'!P$4+1))</f>
        <v/>
      </c>
      <c r="Q191" t="str">
        <f ca="1">IF(OR($L191&gt;Q$4,Q$4&gt;$L191+23),"",OFFSET(Electric!$L182,0,-'Electric Calendarize'!$L191+'Electric Calendarize'!Q$4+1))</f>
        <v/>
      </c>
      <c r="R191" t="str">
        <f ca="1">IF(OR($L191&gt;R$4,R$4&gt;$L191+23),"",OFFSET(Electric!$L182,0,-'Electric Calendarize'!$L191+'Electric Calendarize'!R$4+1))</f>
        <v/>
      </c>
      <c r="S191" t="str">
        <f ca="1">IF(OR($L191&gt;S$4,S$4&gt;$L191+23),"",OFFSET(Electric!$L182,0,-'Electric Calendarize'!$L191+'Electric Calendarize'!S$4+1))</f>
        <v/>
      </c>
      <c r="T191" t="str">
        <f ca="1">IF(OR($L191&gt;T$4,T$4&gt;$L191+23),"",OFFSET(Electric!$L182,0,-'Electric Calendarize'!$L191+'Electric Calendarize'!T$4+1))</f>
        <v/>
      </c>
      <c r="U191" t="str">
        <f ca="1">IF(OR($L191&gt;U$4,U$4&gt;$L191+23),"",OFFSET(Electric!$L182,0,-'Electric Calendarize'!$L191+'Electric Calendarize'!U$4+1))</f>
        <v/>
      </c>
      <c r="V191" t="str">
        <f ca="1">IF(OR($L191&gt;V$4,V$4&gt;$L191+23),"",OFFSET(Electric!$L182,0,-'Electric Calendarize'!$L191+'Electric Calendarize'!V$4+1))</f>
        <v/>
      </c>
      <c r="W191" t="str">
        <f ca="1">IF(OR($L191&gt;W$4,W$4&gt;$L191+23),"",OFFSET(Electric!$L182,0,-'Electric Calendarize'!$L191+'Electric Calendarize'!W$4+1))</f>
        <v/>
      </c>
      <c r="X191" t="str">
        <f ca="1">IF(OR($L191&gt;X$4,X$4&gt;$L191+23),"",OFFSET(Electric!$L182,0,-'Electric Calendarize'!$L191+'Electric Calendarize'!X$4+1))</f>
        <v/>
      </c>
      <c r="Y191" t="str">
        <f ca="1">IF(OR($L191&gt;Y$4,Y$4&gt;$L191+23),"",OFFSET(Electric!$L182,0,-'Electric Calendarize'!$L191+'Electric Calendarize'!Y$4+1))</f>
        <v/>
      </c>
      <c r="Z191" t="str">
        <f ca="1">IF(OR($L191&gt;Z$4,Z$4&gt;$L191+23),"",OFFSET(Electric!$L182,0,-'Electric Calendarize'!$L191+'Electric Calendarize'!Z$4+1))</f>
        <v/>
      </c>
      <c r="AA191" t="str">
        <f ca="1">IF(OR($L191&gt;AA$4,AA$4&gt;$L191+23),"",OFFSET(Electric!$L182,0,-'Electric Calendarize'!$L191+'Electric Calendarize'!AA$4+1))</f>
        <v/>
      </c>
      <c r="AB191" t="str">
        <f ca="1">IF(OR($L191&gt;AB$4,AB$4&gt;$L191+23),"",OFFSET(Electric!$L182,0,-'Electric Calendarize'!$L191+'Electric Calendarize'!AB$4+1))</f>
        <v/>
      </c>
      <c r="AC191" t="str">
        <f ca="1">IF(OR($L191&gt;AC$4,AC$4&gt;$L191+23),"",OFFSET(Electric!$L182,0,-'Electric Calendarize'!$L191+'Electric Calendarize'!AC$4+1))</f>
        <v/>
      </c>
      <c r="AD191" t="str">
        <f ca="1">IF(OR($L191&gt;AD$4,AD$4&gt;$L191+23),"",OFFSET(Electric!$L182,0,-'Electric Calendarize'!$L191+'Electric Calendarize'!AD$4+1))</f>
        <v/>
      </c>
      <c r="AE191" t="str">
        <f ca="1">IF(OR($L191&gt;AE$4,AE$4&gt;$L191+23),"",OFFSET(Electric!$L182,0,-'Electric Calendarize'!$L191+'Electric Calendarize'!AE$4+1))</f>
        <v/>
      </c>
      <c r="AF191" t="str">
        <f ca="1">IF(OR($L191&gt;AF$4,AF$4&gt;$L191+23),"",OFFSET(Electric!$L182,0,-'Electric Calendarize'!$L191+'Electric Calendarize'!AF$4+1))</f>
        <v/>
      </c>
      <c r="AG191" t="str">
        <f ca="1">IF(OR($L191&gt;AG$4,AG$4&gt;$L191+23),"",OFFSET(Electric!$L182,0,-'Electric Calendarize'!$L191+'Electric Calendarize'!AG$4+1))</f>
        <v/>
      </c>
      <c r="AH191" t="str">
        <f ca="1">IF(OR($L191&gt;AH$4,AH$4&gt;$L191+23),"",OFFSET(Electric!$L182,0,-'Electric Calendarize'!$L191+'Electric Calendarize'!AH$4+1))</f>
        <v/>
      </c>
      <c r="AI191">
        <f ca="1">IF(OR($L191&gt;AI$4,AI$4&gt;$L191+23),"",OFFSET(Electric!$L182,0,-'Electric Calendarize'!$L191+'Electric Calendarize'!AI$4+1))</f>
        <v>178</v>
      </c>
      <c r="AJ191">
        <f ca="1">IF(OR($L191&gt;AJ$4,AJ$4&gt;$L191+23),"",OFFSET(Electric!$L182,0,-'Electric Calendarize'!$L191+'Electric Calendarize'!AJ$4+1))</f>
        <v>235</v>
      </c>
      <c r="AK191">
        <f ca="1">IF(OR($L191&gt;AK$4,AK$4&gt;$L191+23),"",OFFSET(Electric!$L182,0,-'Electric Calendarize'!$L191+'Electric Calendarize'!AK$4+1))</f>
        <v>183</v>
      </c>
      <c r="AL191">
        <f ca="1">IF(OR($L191&gt;AL$4,AL$4&gt;$L191+23),"",OFFSET(Electric!$L182,0,-'Electric Calendarize'!$L191+'Electric Calendarize'!AL$4+1))</f>
        <v>167</v>
      </c>
      <c r="AM191">
        <f ca="1">IF(OR($L191&gt;AM$4,AM$4&gt;$L191+23),"",OFFSET(Electric!$L182,0,-'Electric Calendarize'!$L191+'Electric Calendarize'!AM$4+1))</f>
        <v>168</v>
      </c>
      <c r="AN191">
        <f ca="1">IF(OR($L191&gt;AN$4,AN$4&gt;$L191+23),"",OFFSET(Electric!$L182,0,-'Electric Calendarize'!$L191+'Electric Calendarize'!AN$4+1))</f>
        <v>153</v>
      </c>
      <c r="AO191">
        <f ca="1">IF(OR($L191&gt;AO$4,AO$4&gt;$L191+23),"",OFFSET(Electric!$L182,0,-'Electric Calendarize'!$L191+'Electric Calendarize'!AO$4+1))</f>
        <v>193</v>
      </c>
      <c r="AP191">
        <f ca="1">IF(OR($L191&gt;AP$4,AP$4&gt;$L191+23),"",OFFSET(Electric!$L182,0,-'Electric Calendarize'!$L191+'Electric Calendarize'!AP$4+1))</f>
        <v>197</v>
      </c>
      <c r="AQ191">
        <f ca="1">IF(OR($L191&gt;AQ$4,AQ$4&gt;$L191+23),"",OFFSET(Electric!$L182,0,-'Electric Calendarize'!$L191+'Electric Calendarize'!AQ$4+1))</f>
        <v>426</v>
      </c>
      <c r="AR191">
        <f ca="1">IF(OR($L191&gt;AR$4,AR$4&gt;$L191+23),"",OFFSET(Electric!$L182,0,-'Electric Calendarize'!$L191+'Electric Calendarize'!AR$4+1))</f>
        <v>219</v>
      </c>
      <c r="AS191">
        <f ca="1">IF(OR($L191&gt;AS$4,AS$4&gt;$L191+23),"",OFFSET(Electric!$L182,0,-'Electric Calendarize'!$L191+'Electric Calendarize'!AS$4+1))</f>
        <v>190</v>
      </c>
      <c r="AT191">
        <f ca="1">IF(OR($L191&gt;AT$4,AT$4&gt;$L191+23),"",OFFSET(Electric!$L182,0,-'Electric Calendarize'!$L191+'Electric Calendarize'!AT$4+1))</f>
        <v>216</v>
      </c>
      <c r="AU191">
        <f ca="1">IF(OR($L191&gt;AU$4,AU$4&gt;$L191+23),"",OFFSET(Electric!$L182,0,-'Electric Calendarize'!$L191+'Electric Calendarize'!AU$4+1))</f>
        <v>337</v>
      </c>
      <c r="AV191">
        <f ca="1">IF(OR($L191&gt;AV$4,AV$4&gt;$L191+23),"",OFFSET(Electric!$L182,0,-'Electric Calendarize'!$L191+'Electric Calendarize'!AV$4+1))</f>
        <v>273</v>
      </c>
      <c r="AW191">
        <f ca="1">IF(OR($L191&gt;AW$4,AW$4&gt;$L191+23),"",OFFSET(Electric!$L182,0,-'Electric Calendarize'!$L191+'Electric Calendarize'!AW$4+1))</f>
        <v>1658</v>
      </c>
      <c r="AX191">
        <f ca="1">IF(OR($L191&gt;AX$4,AX$4&gt;$L191+23),"",OFFSET(Electric!$L182,0,-'Electric Calendarize'!$L191+'Electric Calendarize'!AX$4+1))</f>
        <v>1561</v>
      </c>
      <c r="AY191">
        <f ca="1">IF(OR($L191&gt;AY$4,AY$4&gt;$L191+23),"",OFFSET(Electric!$L182,0,-'Electric Calendarize'!$L191+'Electric Calendarize'!AY$4+1))</f>
        <v>1122</v>
      </c>
      <c r="AZ191">
        <f ca="1">IF(OR($L191&gt;AZ$4,AZ$4&gt;$L191+23),"",OFFSET(Electric!$L182,0,-'Electric Calendarize'!$L191+'Electric Calendarize'!AZ$4+1))</f>
        <v>867</v>
      </c>
      <c r="BA191">
        <f ca="1">IF(OR($L191&gt;BA$4,BA$4&gt;$L191+23),"",OFFSET(Electric!$L182,0,-'Electric Calendarize'!$L191+'Electric Calendarize'!BA$4+1))</f>
        <v>440</v>
      </c>
      <c r="BB191">
        <f ca="1">IF(OR($L191&gt;BB$4,BB$4&gt;$L191+23),"",OFFSET(Electric!$L182,0,-'Electric Calendarize'!$L191+'Electric Calendarize'!BB$4+1))</f>
        <v>464</v>
      </c>
      <c r="BC191">
        <f ca="1">IF(OR($L191&gt;BC$4,BC$4&gt;$L191+23),"",OFFSET(Electric!$L182,0,-'Electric Calendarize'!$L191+'Electric Calendarize'!BC$4+1))</f>
        <v>568</v>
      </c>
      <c r="BD191">
        <f ca="1">IF(OR($L191&gt;BD$4,BD$4&gt;$L191+23),"",OFFSET(Electric!$L182,0,-'Electric Calendarize'!$L191+'Electric Calendarize'!BD$4+1))</f>
        <v>388</v>
      </c>
      <c r="BE191">
        <f ca="1">IF(OR($L191&gt;BE$4,BE$4&gt;$L191+23),"",OFFSET(Electric!$L182,0,-'Electric Calendarize'!$L191+'Electric Calendarize'!BE$4+1))</f>
        <v>421</v>
      </c>
      <c r="BF191">
        <f ca="1">IF(OR($L191&gt;BF$4,BF$4&gt;$L191+23),"",OFFSET(Electric!$L182,0,-'Electric Calendarize'!$L191+'Electric Calendarize'!BF$4+1))</f>
        <v>606</v>
      </c>
      <c r="BG191" t="str">
        <f ca="1">IF(OR($L191&gt;BG$4,BG$4&gt;$L191+23),"",OFFSET(Electric!$L182,0,-'Electric Calendarize'!$L191+'Electric Calendarize'!BG$4+1))</f>
        <v/>
      </c>
      <c r="BJ191" s="10" t="s">
        <v>37</v>
      </c>
      <c r="BK191">
        <f t="shared" si="411"/>
        <v>1</v>
      </c>
      <c r="BL191">
        <f t="shared" si="317"/>
        <v>0</v>
      </c>
      <c r="BM191">
        <f t="shared" si="318"/>
        <v>0</v>
      </c>
      <c r="BN191">
        <f t="shared" si="319"/>
        <v>0</v>
      </c>
      <c r="BO191">
        <f t="shared" si="320"/>
        <v>0</v>
      </c>
      <c r="BP191">
        <f t="shared" si="321"/>
        <v>0</v>
      </c>
      <c r="BQ191">
        <f t="shared" si="322"/>
        <v>0</v>
      </c>
      <c r="BR191">
        <f t="shared" si="323"/>
        <v>1</v>
      </c>
      <c r="BS191">
        <f t="shared" si="324"/>
        <v>1</v>
      </c>
      <c r="BT191">
        <f t="shared" si="325"/>
        <v>1</v>
      </c>
      <c r="BU191">
        <f t="shared" si="326"/>
        <v>1</v>
      </c>
      <c r="BV191">
        <f t="shared" si="327"/>
        <v>1</v>
      </c>
      <c r="BW191">
        <f t="shared" si="328"/>
        <v>1</v>
      </c>
      <c r="BX191">
        <f t="shared" si="329"/>
        <v>0</v>
      </c>
      <c r="BY191">
        <f t="shared" si="330"/>
        <v>0</v>
      </c>
      <c r="BZ191">
        <f t="shared" si="331"/>
        <v>0</v>
      </c>
      <c r="CA191">
        <f t="shared" si="332"/>
        <v>0</v>
      </c>
      <c r="CB191">
        <f t="shared" si="333"/>
        <v>0</v>
      </c>
      <c r="CC191">
        <f t="shared" si="334"/>
        <v>0</v>
      </c>
      <c r="CD191">
        <f t="shared" si="335"/>
        <v>1</v>
      </c>
      <c r="CE191">
        <f t="shared" si="336"/>
        <v>1</v>
      </c>
      <c r="CF191">
        <f t="shared" si="337"/>
        <v>1</v>
      </c>
      <c r="CG191">
        <f t="shared" si="338"/>
        <v>1</v>
      </c>
      <c r="CH191">
        <f t="shared" si="339"/>
        <v>1</v>
      </c>
      <c r="CI191">
        <f t="shared" si="340"/>
        <v>1</v>
      </c>
      <c r="CJ191">
        <f t="shared" si="341"/>
        <v>0</v>
      </c>
      <c r="CK191">
        <f t="shared" si="342"/>
        <v>0</v>
      </c>
      <c r="CL191">
        <f t="shared" si="343"/>
        <v>0</v>
      </c>
      <c r="CM191">
        <f t="shared" si="344"/>
        <v>0</v>
      </c>
      <c r="CN191">
        <f t="shared" si="345"/>
        <v>0</v>
      </c>
      <c r="CO191">
        <f t="shared" si="346"/>
        <v>0</v>
      </c>
      <c r="CP191">
        <f t="shared" si="347"/>
        <v>1</v>
      </c>
      <c r="CQ191">
        <f t="shared" si="348"/>
        <v>1</v>
      </c>
      <c r="CR191">
        <f t="shared" si="349"/>
        <v>1</v>
      </c>
      <c r="CS191">
        <f t="shared" si="350"/>
        <v>1</v>
      </c>
      <c r="CT191">
        <f t="shared" si="351"/>
        <v>1</v>
      </c>
      <c r="CU191">
        <f t="shared" si="352"/>
        <v>1</v>
      </c>
      <c r="CV191">
        <f t="shared" si="353"/>
        <v>0</v>
      </c>
      <c r="CW191">
        <f t="shared" si="354"/>
        <v>0</v>
      </c>
      <c r="CX191">
        <f t="shared" si="355"/>
        <v>0</v>
      </c>
      <c r="CY191">
        <f t="shared" si="356"/>
        <v>0</v>
      </c>
      <c r="CZ191">
        <f t="shared" si="357"/>
        <v>0</v>
      </c>
      <c r="DA191">
        <f t="shared" si="358"/>
        <v>0</v>
      </c>
      <c r="DB191">
        <f t="shared" si="359"/>
        <v>1</v>
      </c>
      <c r="DC191">
        <f t="shared" si="360"/>
        <v>1</v>
      </c>
      <c r="DF191" s="10" t="s">
        <v>37</v>
      </c>
      <c r="DG191" t="str">
        <f t="shared" si="423"/>
        <v>2022_12</v>
      </c>
      <c r="DH191" t="str">
        <f t="shared" si="423"/>
        <v>2022_12</v>
      </c>
      <c r="DI191" t="str">
        <f t="shared" si="423"/>
        <v>2022_12</v>
      </c>
      <c r="DJ191" t="str">
        <f t="shared" si="423"/>
        <v>2022_12</v>
      </c>
      <c r="DK191" t="str">
        <f t="shared" si="423"/>
        <v>2022_12</v>
      </c>
      <c r="DL191" t="str">
        <f t="shared" si="423"/>
        <v>2022_12</v>
      </c>
      <c r="DM191" t="str">
        <f t="shared" si="423"/>
        <v>2022_12</v>
      </c>
      <c r="DN191" t="str">
        <f t="shared" si="423"/>
        <v>2022_12</v>
      </c>
      <c r="DO191" t="str">
        <f t="shared" si="423"/>
        <v>2022_12</v>
      </c>
      <c r="DP191" t="str">
        <f t="shared" si="423"/>
        <v>2022_12</v>
      </c>
      <c r="DQ191" t="str">
        <f t="shared" si="423"/>
        <v>2022_12</v>
      </c>
      <c r="DR191" t="str">
        <f t="shared" si="423"/>
        <v>2022_12</v>
      </c>
      <c r="DS191" t="str">
        <f t="shared" si="423"/>
        <v>2022_12</v>
      </c>
      <c r="DT191" t="str">
        <f t="shared" si="423"/>
        <v>2022_12</v>
      </c>
      <c r="DU191" t="str">
        <f t="shared" si="423"/>
        <v>2022_12</v>
      </c>
      <c r="DV191" t="str">
        <f t="shared" si="423"/>
        <v>2022_12</v>
      </c>
      <c r="DW191" t="str">
        <f t="shared" si="422"/>
        <v>2022_12</v>
      </c>
      <c r="DX191" t="str">
        <f t="shared" si="422"/>
        <v>2022_12</v>
      </c>
      <c r="DY191" t="str">
        <f t="shared" si="422"/>
        <v>2022_12</v>
      </c>
      <c r="DZ191" t="str">
        <f t="shared" si="422"/>
        <v>2022_12</v>
      </c>
      <c r="EA191" t="str">
        <f t="shared" si="422"/>
        <v>2022_12</v>
      </c>
      <c r="EB191" t="str">
        <f t="shared" si="422"/>
        <v>2022_12</v>
      </c>
      <c r="EC191" t="str">
        <f t="shared" si="422"/>
        <v>2022_12</v>
      </c>
      <c r="ED191" t="str">
        <f t="shared" si="422"/>
        <v>2022_12</v>
      </c>
      <c r="EE191" t="str">
        <f t="shared" si="422"/>
        <v>2022_12</v>
      </c>
      <c r="EF191" t="str">
        <f t="shared" si="422"/>
        <v>2022_12</v>
      </c>
      <c r="EG191" t="str">
        <f t="shared" si="422"/>
        <v>2022_12</v>
      </c>
      <c r="EH191" t="str">
        <f t="shared" si="422"/>
        <v>2022_12</v>
      </c>
      <c r="EI191" t="str">
        <f t="shared" si="422"/>
        <v>2022_12</v>
      </c>
      <c r="EJ191" t="str">
        <f t="shared" si="422"/>
        <v>2022_12</v>
      </c>
      <c r="EK191" t="str">
        <f t="shared" si="421"/>
        <v>2022_12</v>
      </c>
      <c r="EL191" t="str">
        <f t="shared" si="421"/>
        <v>2022_12</v>
      </c>
      <c r="EM191" t="str">
        <f t="shared" si="421"/>
        <v>2022_12</v>
      </c>
      <c r="EN191" t="str">
        <f t="shared" si="421"/>
        <v>2022_12</v>
      </c>
      <c r="EO191" t="str">
        <f t="shared" si="421"/>
        <v>2022_12</v>
      </c>
      <c r="EP191" t="str">
        <f t="shared" si="421"/>
        <v>2022_12</v>
      </c>
      <c r="EQ191" t="str">
        <f t="shared" si="421"/>
        <v>2022_12</v>
      </c>
      <c r="ER191" t="str">
        <f t="shared" si="421"/>
        <v>2022_12</v>
      </c>
      <c r="ES191" t="str">
        <f t="shared" si="421"/>
        <v>2022_12</v>
      </c>
      <c r="ET191" t="str">
        <f t="shared" si="421"/>
        <v>2022_12</v>
      </c>
      <c r="EU191" t="str">
        <f t="shared" si="421"/>
        <v>2022_12</v>
      </c>
      <c r="EV191" t="str">
        <f t="shared" si="421"/>
        <v>2022_12</v>
      </c>
      <c r="EW191" t="str">
        <f t="shared" si="421"/>
        <v>2022_12</v>
      </c>
      <c r="EX191" t="str">
        <f t="shared" si="421"/>
        <v>2022_12</v>
      </c>
      <c r="EY191" t="str">
        <f t="shared" si="421"/>
        <v>2022_12</v>
      </c>
      <c r="FB191" s="10" t="s">
        <v>37</v>
      </c>
      <c r="FC191">
        <f t="shared" si="413"/>
        <v>0</v>
      </c>
      <c r="FD191">
        <f t="shared" si="363"/>
        <v>0</v>
      </c>
      <c r="FE191">
        <f t="shared" si="364"/>
        <v>0</v>
      </c>
      <c r="FF191">
        <f t="shared" si="365"/>
        <v>0</v>
      </c>
      <c r="FG191">
        <f t="shared" si="366"/>
        <v>0</v>
      </c>
      <c r="FH191">
        <f t="shared" si="367"/>
        <v>0</v>
      </c>
      <c r="FI191">
        <f t="shared" si="368"/>
        <v>0</v>
      </c>
      <c r="FJ191">
        <f t="shared" si="369"/>
        <v>0</v>
      </c>
      <c r="FK191">
        <f t="shared" si="370"/>
        <v>0</v>
      </c>
      <c r="FL191">
        <f t="shared" si="371"/>
        <v>0</v>
      </c>
      <c r="FM191">
        <f t="shared" si="372"/>
        <v>0</v>
      </c>
      <c r="FN191">
        <f t="shared" si="373"/>
        <v>0</v>
      </c>
      <c r="FO191">
        <f t="shared" si="374"/>
        <v>0</v>
      </c>
      <c r="FP191">
        <f t="shared" si="375"/>
        <v>0</v>
      </c>
      <c r="FQ191">
        <f t="shared" si="376"/>
        <v>0</v>
      </c>
      <c r="FR191">
        <f t="shared" si="377"/>
        <v>0</v>
      </c>
      <c r="FS191">
        <f t="shared" si="378"/>
        <v>0</v>
      </c>
      <c r="FT191">
        <f t="shared" si="379"/>
        <v>0</v>
      </c>
      <c r="FU191">
        <f t="shared" si="380"/>
        <v>0</v>
      </c>
      <c r="FV191">
        <f t="shared" si="381"/>
        <v>0</v>
      </c>
      <c r="FW191">
        <f t="shared" si="382"/>
        <v>0</v>
      </c>
      <c r="FX191">
        <f t="shared" si="383"/>
        <v>0</v>
      </c>
      <c r="FY191">
        <f t="shared" si="384"/>
        <v>0</v>
      </c>
      <c r="FZ191">
        <f t="shared" si="385"/>
        <v>0</v>
      </c>
      <c r="GA191">
        <f t="shared" si="386"/>
        <v>0</v>
      </c>
      <c r="GB191">
        <f t="shared" si="387"/>
        <v>0</v>
      </c>
      <c r="GC191">
        <f t="shared" si="388"/>
        <v>0</v>
      </c>
      <c r="GD191">
        <f t="shared" si="389"/>
        <v>0</v>
      </c>
      <c r="GE191">
        <f t="shared" si="390"/>
        <v>0</v>
      </c>
      <c r="GF191">
        <f t="shared" si="391"/>
        <v>0</v>
      </c>
      <c r="GG191">
        <f t="shared" si="392"/>
        <v>0</v>
      </c>
      <c r="GH191">
        <f t="shared" si="393"/>
        <v>0</v>
      </c>
      <c r="GI191">
        <f t="shared" si="394"/>
        <v>1</v>
      </c>
      <c r="GJ191">
        <f t="shared" si="395"/>
        <v>1</v>
      </c>
      <c r="GK191">
        <f t="shared" si="396"/>
        <v>1</v>
      </c>
      <c r="GL191">
        <f t="shared" si="397"/>
        <v>1</v>
      </c>
      <c r="GM191">
        <f t="shared" si="398"/>
        <v>1</v>
      </c>
      <c r="GN191">
        <f t="shared" si="399"/>
        <v>1</v>
      </c>
      <c r="GO191">
        <f t="shared" si="400"/>
        <v>1</v>
      </c>
      <c r="GP191">
        <f t="shared" si="401"/>
        <v>1</v>
      </c>
      <c r="GQ191">
        <f t="shared" si="402"/>
        <v>1</v>
      </c>
      <c r="GR191">
        <f t="shared" si="403"/>
        <v>1</v>
      </c>
      <c r="GS191">
        <f t="shared" si="404"/>
        <v>1</v>
      </c>
      <c r="GT191">
        <f t="shared" si="405"/>
        <v>1</v>
      </c>
      <c r="GU191">
        <f t="shared" si="406"/>
        <v>1</v>
      </c>
      <c r="GX191" s="10"/>
    </row>
    <row r="192" spans="1:206" x14ac:dyDescent="0.3">
      <c r="A192" s="9" t="s">
        <v>209</v>
      </c>
      <c r="B192" s="80"/>
      <c r="C192" s="9">
        <v>3061188000</v>
      </c>
      <c r="D192" s="9" t="s">
        <v>457</v>
      </c>
      <c r="E192" s="9" t="s">
        <v>34</v>
      </c>
      <c r="F192" s="9" t="s">
        <v>35</v>
      </c>
      <c r="G192" s="9" t="s">
        <v>221</v>
      </c>
      <c r="H192" s="10">
        <v>44925</v>
      </c>
      <c r="I192" s="9">
        <f t="shared" si="407"/>
        <v>2022</v>
      </c>
      <c r="J192" s="9">
        <f t="shared" si="408"/>
        <v>12</v>
      </c>
      <c r="K192" s="9" t="str">
        <f t="shared" si="409"/>
        <v>2022_12</v>
      </c>
      <c r="L192">
        <f>MAX(0,VLOOKUP($K192,lookups!$A$1:$B$45,2,0)-12)</f>
        <v>20</v>
      </c>
      <c r="M192" s="40">
        <f t="shared" si="410"/>
        <v>44896</v>
      </c>
      <c r="N192" s="10" t="s">
        <v>37</v>
      </c>
      <c r="O192" t="str">
        <f ca="1">IF(OR($L192&gt;O$4,O$4&gt;$L192+23),"",OFFSET(Electric!$L183,0,-'Electric Calendarize'!$L192+'Electric Calendarize'!O$4+1))</f>
        <v/>
      </c>
      <c r="P192" t="str">
        <f ca="1">IF(OR($L192&gt;P$4,P$4&gt;$L192+23),"",OFFSET(Electric!$L183,0,-'Electric Calendarize'!$L192+'Electric Calendarize'!P$4+1))</f>
        <v/>
      </c>
      <c r="Q192" t="str">
        <f ca="1">IF(OR($L192&gt;Q$4,Q$4&gt;$L192+23),"",OFFSET(Electric!$L183,0,-'Electric Calendarize'!$L192+'Electric Calendarize'!Q$4+1))</f>
        <v/>
      </c>
      <c r="R192" t="str">
        <f ca="1">IF(OR($L192&gt;R$4,R$4&gt;$L192+23),"",OFFSET(Electric!$L183,0,-'Electric Calendarize'!$L192+'Electric Calendarize'!R$4+1))</f>
        <v/>
      </c>
      <c r="S192" t="str">
        <f ca="1">IF(OR($L192&gt;S$4,S$4&gt;$L192+23),"",OFFSET(Electric!$L183,0,-'Electric Calendarize'!$L192+'Electric Calendarize'!S$4+1))</f>
        <v/>
      </c>
      <c r="T192" t="str">
        <f ca="1">IF(OR($L192&gt;T$4,T$4&gt;$L192+23),"",OFFSET(Electric!$L183,0,-'Electric Calendarize'!$L192+'Electric Calendarize'!T$4+1))</f>
        <v/>
      </c>
      <c r="U192" t="str">
        <f ca="1">IF(OR($L192&gt;U$4,U$4&gt;$L192+23),"",OFFSET(Electric!$L183,0,-'Electric Calendarize'!$L192+'Electric Calendarize'!U$4+1))</f>
        <v/>
      </c>
      <c r="V192" t="str">
        <f ca="1">IF(OR($L192&gt;V$4,V$4&gt;$L192+23),"",OFFSET(Electric!$L183,0,-'Electric Calendarize'!$L192+'Electric Calendarize'!V$4+1))</f>
        <v/>
      </c>
      <c r="W192" t="str">
        <f ca="1">IF(OR($L192&gt;W$4,W$4&gt;$L192+23),"",OFFSET(Electric!$L183,0,-'Electric Calendarize'!$L192+'Electric Calendarize'!W$4+1))</f>
        <v/>
      </c>
      <c r="X192" t="str">
        <f ca="1">IF(OR($L192&gt;X$4,X$4&gt;$L192+23),"",OFFSET(Electric!$L183,0,-'Electric Calendarize'!$L192+'Electric Calendarize'!X$4+1))</f>
        <v/>
      </c>
      <c r="Y192" t="str">
        <f ca="1">IF(OR($L192&gt;Y$4,Y$4&gt;$L192+23),"",OFFSET(Electric!$L183,0,-'Electric Calendarize'!$L192+'Electric Calendarize'!Y$4+1))</f>
        <v/>
      </c>
      <c r="Z192" t="str">
        <f ca="1">IF(OR($L192&gt;Z$4,Z$4&gt;$L192+23),"",OFFSET(Electric!$L183,0,-'Electric Calendarize'!$L192+'Electric Calendarize'!Z$4+1))</f>
        <v/>
      </c>
      <c r="AA192" t="str">
        <f ca="1">IF(OR($L192&gt;AA$4,AA$4&gt;$L192+23),"",OFFSET(Electric!$L183,0,-'Electric Calendarize'!$L192+'Electric Calendarize'!AA$4+1))</f>
        <v/>
      </c>
      <c r="AB192" t="str">
        <f ca="1">IF(OR($L192&gt;AB$4,AB$4&gt;$L192+23),"",OFFSET(Electric!$L183,0,-'Electric Calendarize'!$L192+'Electric Calendarize'!AB$4+1))</f>
        <v/>
      </c>
      <c r="AC192" t="str">
        <f ca="1">IF(OR($L192&gt;AC$4,AC$4&gt;$L192+23),"",OFFSET(Electric!$L183,0,-'Electric Calendarize'!$L192+'Electric Calendarize'!AC$4+1))</f>
        <v/>
      </c>
      <c r="AD192" t="str">
        <f ca="1">IF(OR($L192&gt;AD$4,AD$4&gt;$L192+23),"",OFFSET(Electric!$L183,0,-'Electric Calendarize'!$L192+'Electric Calendarize'!AD$4+1))</f>
        <v/>
      </c>
      <c r="AE192" t="str">
        <f ca="1">IF(OR($L192&gt;AE$4,AE$4&gt;$L192+23),"",OFFSET(Electric!$L183,0,-'Electric Calendarize'!$L192+'Electric Calendarize'!AE$4+1))</f>
        <v/>
      </c>
      <c r="AF192" t="str">
        <f ca="1">IF(OR($L192&gt;AF$4,AF$4&gt;$L192+23),"",OFFSET(Electric!$L183,0,-'Electric Calendarize'!$L192+'Electric Calendarize'!AF$4+1))</f>
        <v/>
      </c>
      <c r="AG192" t="str">
        <f ca="1">IF(OR($L192&gt;AG$4,AG$4&gt;$L192+23),"",OFFSET(Electric!$L183,0,-'Electric Calendarize'!$L192+'Electric Calendarize'!AG$4+1))</f>
        <v/>
      </c>
      <c r="AH192" t="str">
        <f ca="1">IF(OR($L192&gt;AH$4,AH$4&gt;$L192+23),"",OFFSET(Electric!$L183,0,-'Electric Calendarize'!$L192+'Electric Calendarize'!AH$4+1))</f>
        <v/>
      </c>
      <c r="AI192">
        <f ca="1">IF(OR($L192&gt;AI$4,AI$4&gt;$L192+23),"",OFFSET(Electric!$L183,0,-'Electric Calendarize'!$L192+'Electric Calendarize'!AI$4+1))</f>
        <v>467</v>
      </c>
      <c r="AJ192">
        <f ca="1">IF(OR($L192&gt;AJ$4,AJ$4&gt;$L192+23),"",OFFSET(Electric!$L183,0,-'Electric Calendarize'!$L192+'Electric Calendarize'!AJ$4+1))</f>
        <v>471</v>
      </c>
      <c r="AK192">
        <f ca="1">IF(OR($L192&gt;AK$4,AK$4&gt;$L192+23),"",OFFSET(Electric!$L183,0,-'Electric Calendarize'!$L192+'Electric Calendarize'!AK$4+1))</f>
        <v>461</v>
      </c>
      <c r="AL192">
        <f ca="1">IF(OR($L192&gt;AL$4,AL$4&gt;$L192+23),"",OFFSET(Electric!$L183,0,-'Electric Calendarize'!$L192+'Electric Calendarize'!AL$4+1))</f>
        <v>471</v>
      </c>
      <c r="AM192">
        <f ca="1">IF(OR($L192&gt;AM$4,AM$4&gt;$L192+23),"",OFFSET(Electric!$L183,0,-'Electric Calendarize'!$L192+'Electric Calendarize'!AM$4+1))</f>
        <v>382</v>
      </c>
      <c r="AN192">
        <f ca="1">IF(OR($L192&gt;AN$4,AN$4&gt;$L192+23),"",OFFSET(Electric!$L183,0,-'Electric Calendarize'!$L192+'Electric Calendarize'!AN$4+1))</f>
        <v>367</v>
      </c>
      <c r="AO192">
        <f ca="1">IF(OR($L192&gt;AO$4,AO$4&gt;$L192+23),"",OFFSET(Electric!$L183,0,-'Electric Calendarize'!$L192+'Electric Calendarize'!AO$4+1))</f>
        <v>401</v>
      </c>
      <c r="AP192">
        <f ca="1">IF(OR($L192&gt;AP$4,AP$4&gt;$L192+23),"",OFFSET(Electric!$L183,0,-'Electric Calendarize'!$L192+'Electric Calendarize'!AP$4+1))</f>
        <v>449</v>
      </c>
      <c r="AQ192">
        <f ca="1">IF(OR($L192&gt;AQ$4,AQ$4&gt;$L192+23),"",OFFSET(Electric!$L183,0,-'Electric Calendarize'!$L192+'Electric Calendarize'!AQ$4+1))</f>
        <v>652</v>
      </c>
      <c r="AR192">
        <f ca="1">IF(OR($L192&gt;AR$4,AR$4&gt;$L192+23),"",OFFSET(Electric!$L183,0,-'Electric Calendarize'!$L192+'Electric Calendarize'!AR$4+1))</f>
        <v>492</v>
      </c>
      <c r="AS192">
        <f ca="1">IF(OR($L192&gt;AS$4,AS$4&gt;$L192+23),"",OFFSET(Electric!$L183,0,-'Electric Calendarize'!$L192+'Electric Calendarize'!AS$4+1))</f>
        <v>376</v>
      </c>
      <c r="AT192">
        <f ca="1">IF(OR($L192&gt;AT$4,AT$4&gt;$L192+23),"",OFFSET(Electric!$L183,0,-'Electric Calendarize'!$L192+'Electric Calendarize'!AT$4+1))</f>
        <v>356</v>
      </c>
      <c r="AU192">
        <f ca="1">IF(OR($L192&gt;AU$4,AU$4&gt;$L192+23),"",OFFSET(Electric!$L183,0,-'Electric Calendarize'!$L192+'Electric Calendarize'!AU$4+1))</f>
        <v>470</v>
      </c>
      <c r="AV192">
        <f ca="1">IF(OR($L192&gt;AV$4,AV$4&gt;$L192+23),"",OFFSET(Electric!$L183,0,-'Electric Calendarize'!$L192+'Electric Calendarize'!AV$4+1))</f>
        <v>470</v>
      </c>
      <c r="AW192">
        <f ca="1">IF(OR($L192&gt;AW$4,AW$4&gt;$L192+23),"",OFFSET(Electric!$L183,0,-'Electric Calendarize'!$L192+'Electric Calendarize'!AW$4+1))</f>
        <v>457</v>
      </c>
      <c r="AX192">
        <f ca="1">IF(OR($L192&gt;AX$4,AX$4&gt;$L192+23),"",OFFSET(Electric!$L183,0,-'Electric Calendarize'!$L192+'Electric Calendarize'!AX$4+1))</f>
        <v>383</v>
      </c>
      <c r="AY192">
        <f ca="1">IF(OR($L192&gt;AY$4,AY$4&gt;$L192+23),"",OFFSET(Electric!$L183,0,-'Electric Calendarize'!$L192+'Electric Calendarize'!AY$4+1))</f>
        <v>380</v>
      </c>
      <c r="AZ192">
        <f ca="1">IF(OR($L192&gt;AZ$4,AZ$4&gt;$L192+23),"",OFFSET(Electric!$L183,0,-'Electric Calendarize'!$L192+'Electric Calendarize'!AZ$4+1))</f>
        <v>402</v>
      </c>
      <c r="BA192">
        <f ca="1">IF(OR($L192&gt;BA$4,BA$4&gt;$L192+23),"",OFFSET(Electric!$L183,0,-'Electric Calendarize'!$L192+'Electric Calendarize'!BA$4+1))</f>
        <v>345</v>
      </c>
      <c r="BB192">
        <f ca="1">IF(OR($L192&gt;BB$4,BB$4&gt;$L192+23),"",OFFSET(Electric!$L183,0,-'Electric Calendarize'!$L192+'Electric Calendarize'!BB$4+1))</f>
        <v>426</v>
      </c>
      <c r="BC192">
        <f ca="1">IF(OR($L192&gt;BC$4,BC$4&gt;$L192+23),"",OFFSET(Electric!$L183,0,-'Electric Calendarize'!$L192+'Electric Calendarize'!BC$4+1))</f>
        <v>425</v>
      </c>
      <c r="BD192">
        <f ca="1">IF(OR($L192&gt;BD$4,BD$4&gt;$L192+23),"",OFFSET(Electric!$L183,0,-'Electric Calendarize'!$L192+'Electric Calendarize'!BD$4+1))</f>
        <v>377</v>
      </c>
      <c r="BE192">
        <f ca="1">IF(OR($L192&gt;BE$4,BE$4&gt;$L192+23),"",OFFSET(Electric!$L183,0,-'Electric Calendarize'!$L192+'Electric Calendarize'!BE$4+1))</f>
        <v>417</v>
      </c>
      <c r="BF192">
        <f ca="1">IF(OR($L192&gt;BF$4,BF$4&gt;$L192+23),"",OFFSET(Electric!$L183,0,-'Electric Calendarize'!$L192+'Electric Calendarize'!BF$4+1))</f>
        <v>417</v>
      </c>
      <c r="BG192" t="str">
        <f ca="1">IF(OR($L192&gt;BG$4,BG$4&gt;$L192+23),"",OFFSET(Electric!$L183,0,-'Electric Calendarize'!$L192+'Electric Calendarize'!BG$4+1))</f>
        <v/>
      </c>
      <c r="BJ192" s="10" t="s">
        <v>37</v>
      </c>
      <c r="BK192">
        <f t="shared" si="411"/>
        <v>1</v>
      </c>
      <c r="BL192">
        <f t="shared" si="317"/>
        <v>0</v>
      </c>
      <c r="BM192">
        <f t="shared" si="318"/>
        <v>0</v>
      </c>
      <c r="BN192">
        <f t="shared" si="319"/>
        <v>0</v>
      </c>
      <c r="BO192">
        <f t="shared" si="320"/>
        <v>0</v>
      </c>
      <c r="BP192">
        <f t="shared" si="321"/>
        <v>0</v>
      </c>
      <c r="BQ192">
        <f t="shared" si="322"/>
        <v>0</v>
      </c>
      <c r="BR192">
        <f t="shared" si="323"/>
        <v>1</v>
      </c>
      <c r="BS192">
        <f t="shared" si="324"/>
        <v>1</v>
      </c>
      <c r="BT192">
        <f t="shared" si="325"/>
        <v>1</v>
      </c>
      <c r="BU192">
        <f t="shared" si="326"/>
        <v>1</v>
      </c>
      <c r="BV192">
        <f t="shared" si="327"/>
        <v>1</v>
      </c>
      <c r="BW192">
        <f t="shared" si="328"/>
        <v>1</v>
      </c>
      <c r="BX192">
        <f t="shared" si="329"/>
        <v>0</v>
      </c>
      <c r="BY192">
        <f t="shared" si="330"/>
        <v>0</v>
      </c>
      <c r="BZ192">
        <f t="shared" si="331"/>
        <v>0</v>
      </c>
      <c r="CA192">
        <f t="shared" si="332"/>
        <v>0</v>
      </c>
      <c r="CB192">
        <f t="shared" si="333"/>
        <v>0</v>
      </c>
      <c r="CC192">
        <f t="shared" si="334"/>
        <v>0</v>
      </c>
      <c r="CD192">
        <f t="shared" si="335"/>
        <v>1</v>
      </c>
      <c r="CE192">
        <f t="shared" si="336"/>
        <v>1</v>
      </c>
      <c r="CF192">
        <f t="shared" si="337"/>
        <v>1</v>
      </c>
      <c r="CG192">
        <f t="shared" si="338"/>
        <v>1</v>
      </c>
      <c r="CH192">
        <f t="shared" si="339"/>
        <v>1</v>
      </c>
      <c r="CI192">
        <f t="shared" si="340"/>
        <v>1</v>
      </c>
      <c r="CJ192">
        <f t="shared" si="341"/>
        <v>0</v>
      </c>
      <c r="CK192">
        <f t="shared" si="342"/>
        <v>0</v>
      </c>
      <c r="CL192">
        <f t="shared" si="343"/>
        <v>0</v>
      </c>
      <c r="CM192">
        <f t="shared" si="344"/>
        <v>0</v>
      </c>
      <c r="CN192">
        <f t="shared" si="345"/>
        <v>0</v>
      </c>
      <c r="CO192">
        <f t="shared" si="346"/>
        <v>0</v>
      </c>
      <c r="CP192">
        <f t="shared" si="347"/>
        <v>1</v>
      </c>
      <c r="CQ192">
        <f t="shared" si="348"/>
        <v>1</v>
      </c>
      <c r="CR192">
        <f t="shared" si="349"/>
        <v>1</v>
      </c>
      <c r="CS192">
        <f t="shared" si="350"/>
        <v>1</v>
      </c>
      <c r="CT192">
        <f t="shared" si="351"/>
        <v>1</v>
      </c>
      <c r="CU192">
        <f t="shared" si="352"/>
        <v>1</v>
      </c>
      <c r="CV192">
        <f t="shared" si="353"/>
        <v>0</v>
      </c>
      <c r="CW192">
        <f t="shared" si="354"/>
        <v>0</v>
      </c>
      <c r="CX192">
        <f t="shared" si="355"/>
        <v>0</v>
      </c>
      <c r="CY192">
        <f t="shared" si="356"/>
        <v>0</v>
      </c>
      <c r="CZ192">
        <f t="shared" si="357"/>
        <v>0</v>
      </c>
      <c r="DA192">
        <f t="shared" si="358"/>
        <v>0</v>
      </c>
      <c r="DB192">
        <f t="shared" si="359"/>
        <v>1</v>
      </c>
      <c r="DC192">
        <f t="shared" si="360"/>
        <v>1</v>
      </c>
      <c r="DF192" s="10" t="s">
        <v>37</v>
      </c>
      <c r="DG192" t="str">
        <f t="shared" si="423"/>
        <v>2022_12</v>
      </c>
      <c r="DH192" t="str">
        <f t="shared" si="423"/>
        <v>2022_12</v>
      </c>
      <c r="DI192" t="str">
        <f t="shared" si="423"/>
        <v>2022_12</v>
      </c>
      <c r="DJ192" t="str">
        <f t="shared" si="423"/>
        <v>2022_12</v>
      </c>
      <c r="DK192" t="str">
        <f t="shared" si="423"/>
        <v>2022_12</v>
      </c>
      <c r="DL192" t="str">
        <f t="shared" si="423"/>
        <v>2022_12</v>
      </c>
      <c r="DM192" t="str">
        <f t="shared" si="423"/>
        <v>2022_12</v>
      </c>
      <c r="DN192" t="str">
        <f t="shared" si="423"/>
        <v>2022_12</v>
      </c>
      <c r="DO192" t="str">
        <f t="shared" si="423"/>
        <v>2022_12</v>
      </c>
      <c r="DP192" t="str">
        <f t="shared" si="423"/>
        <v>2022_12</v>
      </c>
      <c r="DQ192" t="str">
        <f t="shared" si="423"/>
        <v>2022_12</v>
      </c>
      <c r="DR192" t="str">
        <f t="shared" si="423"/>
        <v>2022_12</v>
      </c>
      <c r="DS192" t="str">
        <f t="shared" si="423"/>
        <v>2022_12</v>
      </c>
      <c r="DT192" t="str">
        <f t="shared" si="423"/>
        <v>2022_12</v>
      </c>
      <c r="DU192" t="str">
        <f t="shared" si="423"/>
        <v>2022_12</v>
      </c>
      <c r="DV192" t="str">
        <f t="shared" si="423"/>
        <v>2022_12</v>
      </c>
      <c r="DW192" t="str">
        <f t="shared" si="422"/>
        <v>2022_12</v>
      </c>
      <c r="DX192" t="str">
        <f t="shared" si="422"/>
        <v>2022_12</v>
      </c>
      <c r="DY192" t="str">
        <f t="shared" si="422"/>
        <v>2022_12</v>
      </c>
      <c r="DZ192" t="str">
        <f t="shared" si="422"/>
        <v>2022_12</v>
      </c>
      <c r="EA192" t="str">
        <f t="shared" si="422"/>
        <v>2022_12</v>
      </c>
      <c r="EB192" t="str">
        <f t="shared" si="422"/>
        <v>2022_12</v>
      </c>
      <c r="EC192" t="str">
        <f t="shared" si="422"/>
        <v>2022_12</v>
      </c>
      <c r="ED192" t="str">
        <f t="shared" si="422"/>
        <v>2022_12</v>
      </c>
      <c r="EE192" t="str">
        <f t="shared" si="422"/>
        <v>2022_12</v>
      </c>
      <c r="EF192" t="str">
        <f t="shared" si="422"/>
        <v>2022_12</v>
      </c>
      <c r="EG192" t="str">
        <f t="shared" si="422"/>
        <v>2022_12</v>
      </c>
      <c r="EH192" t="str">
        <f t="shared" si="422"/>
        <v>2022_12</v>
      </c>
      <c r="EI192" t="str">
        <f t="shared" si="422"/>
        <v>2022_12</v>
      </c>
      <c r="EJ192" t="str">
        <f t="shared" si="422"/>
        <v>2022_12</v>
      </c>
      <c r="EK192" t="str">
        <f t="shared" si="421"/>
        <v>2022_12</v>
      </c>
      <c r="EL192" t="str">
        <f t="shared" si="421"/>
        <v>2022_12</v>
      </c>
      <c r="EM192" t="str">
        <f t="shared" si="421"/>
        <v>2022_12</v>
      </c>
      <c r="EN192" t="str">
        <f t="shared" si="421"/>
        <v>2022_12</v>
      </c>
      <c r="EO192" t="str">
        <f t="shared" si="421"/>
        <v>2022_12</v>
      </c>
      <c r="EP192" t="str">
        <f t="shared" si="421"/>
        <v>2022_12</v>
      </c>
      <c r="EQ192" t="str">
        <f t="shared" si="421"/>
        <v>2022_12</v>
      </c>
      <c r="ER192" t="str">
        <f t="shared" si="421"/>
        <v>2022_12</v>
      </c>
      <c r="ES192" t="str">
        <f t="shared" si="421"/>
        <v>2022_12</v>
      </c>
      <c r="ET192" t="str">
        <f t="shared" si="421"/>
        <v>2022_12</v>
      </c>
      <c r="EU192" t="str">
        <f t="shared" si="421"/>
        <v>2022_12</v>
      </c>
      <c r="EV192" t="str">
        <f t="shared" si="421"/>
        <v>2022_12</v>
      </c>
      <c r="EW192" t="str">
        <f t="shared" si="421"/>
        <v>2022_12</v>
      </c>
      <c r="EX192" t="str">
        <f t="shared" si="421"/>
        <v>2022_12</v>
      </c>
      <c r="EY192" t="str">
        <f t="shared" si="421"/>
        <v>2022_12</v>
      </c>
      <c r="FB192" s="10" t="s">
        <v>37</v>
      </c>
      <c r="FC192">
        <f t="shared" si="413"/>
        <v>0</v>
      </c>
      <c r="FD192">
        <f t="shared" si="363"/>
        <v>0</v>
      </c>
      <c r="FE192">
        <f t="shared" si="364"/>
        <v>0</v>
      </c>
      <c r="FF192">
        <f t="shared" si="365"/>
        <v>0</v>
      </c>
      <c r="FG192">
        <f t="shared" si="366"/>
        <v>0</v>
      </c>
      <c r="FH192">
        <f t="shared" si="367"/>
        <v>0</v>
      </c>
      <c r="FI192">
        <f t="shared" si="368"/>
        <v>0</v>
      </c>
      <c r="FJ192">
        <f t="shared" si="369"/>
        <v>0</v>
      </c>
      <c r="FK192">
        <f t="shared" si="370"/>
        <v>0</v>
      </c>
      <c r="FL192">
        <f t="shared" si="371"/>
        <v>0</v>
      </c>
      <c r="FM192">
        <f t="shared" si="372"/>
        <v>0</v>
      </c>
      <c r="FN192">
        <f t="shared" si="373"/>
        <v>0</v>
      </c>
      <c r="FO192">
        <f t="shared" si="374"/>
        <v>0</v>
      </c>
      <c r="FP192">
        <f t="shared" si="375"/>
        <v>0</v>
      </c>
      <c r="FQ192">
        <f t="shared" si="376"/>
        <v>0</v>
      </c>
      <c r="FR192">
        <f t="shared" si="377"/>
        <v>0</v>
      </c>
      <c r="FS192">
        <f t="shared" si="378"/>
        <v>0</v>
      </c>
      <c r="FT192">
        <f t="shared" si="379"/>
        <v>0</v>
      </c>
      <c r="FU192">
        <f t="shared" si="380"/>
        <v>0</v>
      </c>
      <c r="FV192">
        <f t="shared" si="381"/>
        <v>0</v>
      </c>
      <c r="FW192">
        <f t="shared" si="382"/>
        <v>0</v>
      </c>
      <c r="FX192">
        <f t="shared" si="383"/>
        <v>0</v>
      </c>
      <c r="FY192">
        <f t="shared" si="384"/>
        <v>0</v>
      </c>
      <c r="FZ192">
        <f t="shared" si="385"/>
        <v>0</v>
      </c>
      <c r="GA192">
        <f t="shared" si="386"/>
        <v>0</v>
      </c>
      <c r="GB192">
        <f t="shared" si="387"/>
        <v>0</v>
      </c>
      <c r="GC192">
        <f t="shared" si="388"/>
        <v>0</v>
      </c>
      <c r="GD192">
        <f t="shared" si="389"/>
        <v>0</v>
      </c>
      <c r="GE192">
        <f t="shared" si="390"/>
        <v>0</v>
      </c>
      <c r="GF192">
        <f t="shared" si="391"/>
        <v>0</v>
      </c>
      <c r="GG192">
        <f t="shared" si="392"/>
        <v>0</v>
      </c>
      <c r="GH192">
        <f t="shared" si="393"/>
        <v>0</v>
      </c>
      <c r="GI192">
        <f t="shared" si="394"/>
        <v>1</v>
      </c>
      <c r="GJ192">
        <f t="shared" si="395"/>
        <v>1</v>
      </c>
      <c r="GK192">
        <f t="shared" si="396"/>
        <v>1</v>
      </c>
      <c r="GL192">
        <f t="shared" si="397"/>
        <v>1</v>
      </c>
      <c r="GM192">
        <f t="shared" si="398"/>
        <v>1</v>
      </c>
      <c r="GN192">
        <f t="shared" si="399"/>
        <v>1</v>
      </c>
      <c r="GO192">
        <f t="shared" si="400"/>
        <v>1</v>
      </c>
      <c r="GP192">
        <f t="shared" si="401"/>
        <v>1</v>
      </c>
      <c r="GQ192">
        <f t="shared" si="402"/>
        <v>1</v>
      </c>
      <c r="GR192">
        <f t="shared" si="403"/>
        <v>1</v>
      </c>
      <c r="GS192">
        <f t="shared" si="404"/>
        <v>1</v>
      </c>
      <c r="GT192">
        <f t="shared" si="405"/>
        <v>1</v>
      </c>
      <c r="GU192">
        <f t="shared" si="406"/>
        <v>1</v>
      </c>
      <c r="GX192" s="10"/>
    </row>
    <row r="193" spans="1:206" x14ac:dyDescent="0.3">
      <c r="A193" s="9" t="s">
        <v>209</v>
      </c>
      <c r="B193" s="80"/>
      <c r="C193" s="9">
        <v>3160609001</v>
      </c>
      <c r="D193" s="9" t="s">
        <v>479</v>
      </c>
      <c r="E193" s="9" t="s">
        <v>100</v>
      </c>
      <c r="F193" s="9" t="s">
        <v>35</v>
      </c>
      <c r="G193" s="9" t="s">
        <v>222</v>
      </c>
      <c r="H193" s="10">
        <v>44925</v>
      </c>
      <c r="I193" s="9">
        <f t="shared" si="407"/>
        <v>2022</v>
      </c>
      <c r="J193" s="9">
        <f t="shared" si="408"/>
        <v>12</v>
      </c>
      <c r="K193" s="9" t="str">
        <f t="shared" si="409"/>
        <v>2022_12</v>
      </c>
      <c r="L193">
        <f>MAX(0,VLOOKUP($K193,lookups!$A$1:$B$45,2,0)-12)</f>
        <v>20</v>
      </c>
      <c r="M193" s="40">
        <f t="shared" si="410"/>
        <v>44896</v>
      </c>
      <c r="N193" s="10" t="s">
        <v>37</v>
      </c>
      <c r="O193" t="str">
        <f ca="1">IF(OR($L193&gt;O$4,O$4&gt;$L193+23),"",OFFSET(Electric!$L184,0,-'Electric Calendarize'!$L193+'Electric Calendarize'!O$4+1))</f>
        <v/>
      </c>
      <c r="P193" t="str">
        <f ca="1">IF(OR($L193&gt;P$4,P$4&gt;$L193+23),"",OFFSET(Electric!$L184,0,-'Electric Calendarize'!$L193+'Electric Calendarize'!P$4+1))</f>
        <v/>
      </c>
      <c r="Q193" t="str">
        <f ca="1">IF(OR($L193&gt;Q$4,Q$4&gt;$L193+23),"",OFFSET(Electric!$L184,0,-'Electric Calendarize'!$L193+'Electric Calendarize'!Q$4+1))</f>
        <v/>
      </c>
      <c r="R193" t="str">
        <f ca="1">IF(OR($L193&gt;R$4,R$4&gt;$L193+23),"",OFFSET(Electric!$L184,0,-'Electric Calendarize'!$L193+'Electric Calendarize'!R$4+1))</f>
        <v/>
      </c>
      <c r="S193" t="str">
        <f ca="1">IF(OR($L193&gt;S$4,S$4&gt;$L193+23),"",OFFSET(Electric!$L184,0,-'Electric Calendarize'!$L193+'Electric Calendarize'!S$4+1))</f>
        <v/>
      </c>
      <c r="T193" t="str">
        <f ca="1">IF(OR($L193&gt;T$4,T$4&gt;$L193+23),"",OFFSET(Electric!$L184,0,-'Electric Calendarize'!$L193+'Electric Calendarize'!T$4+1))</f>
        <v/>
      </c>
      <c r="U193" t="str">
        <f ca="1">IF(OR($L193&gt;U$4,U$4&gt;$L193+23),"",OFFSET(Electric!$L184,0,-'Electric Calendarize'!$L193+'Electric Calendarize'!U$4+1))</f>
        <v/>
      </c>
      <c r="V193" t="str">
        <f ca="1">IF(OR($L193&gt;V$4,V$4&gt;$L193+23),"",OFFSET(Electric!$L184,0,-'Electric Calendarize'!$L193+'Electric Calendarize'!V$4+1))</f>
        <v/>
      </c>
      <c r="W193" t="str">
        <f ca="1">IF(OR($L193&gt;W$4,W$4&gt;$L193+23),"",OFFSET(Electric!$L184,0,-'Electric Calendarize'!$L193+'Electric Calendarize'!W$4+1))</f>
        <v/>
      </c>
      <c r="X193" t="str">
        <f ca="1">IF(OR($L193&gt;X$4,X$4&gt;$L193+23),"",OFFSET(Electric!$L184,0,-'Electric Calendarize'!$L193+'Electric Calendarize'!X$4+1))</f>
        <v/>
      </c>
      <c r="Y193" t="str">
        <f ca="1">IF(OR($L193&gt;Y$4,Y$4&gt;$L193+23),"",OFFSET(Electric!$L184,0,-'Electric Calendarize'!$L193+'Electric Calendarize'!Y$4+1))</f>
        <v/>
      </c>
      <c r="Z193" t="str">
        <f ca="1">IF(OR($L193&gt;Z$4,Z$4&gt;$L193+23),"",OFFSET(Electric!$L184,0,-'Electric Calendarize'!$L193+'Electric Calendarize'!Z$4+1))</f>
        <v/>
      </c>
      <c r="AA193" t="str">
        <f ca="1">IF(OR($L193&gt;AA$4,AA$4&gt;$L193+23),"",OFFSET(Electric!$L184,0,-'Electric Calendarize'!$L193+'Electric Calendarize'!AA$4+1))</f>
        <v/>
      </c>
      <c r="AB193" t="str">
        <f ca="1">IF(OR($L193&gt;AB$4,AB$4&gt;$L193+23),"",OFFSET(Electric!$L184,0,-'Electric Calendarize'!$L193+'Electric Calendarize'!AB$4+1))</f>
        <v/>
      </c>
      <c r="AC193" t="str">
        <f ca="1">IF(OR($L193&gt;AC$4,AC$4&gt;$L193+23),"",OFFSET(Electric!$L184,0,-'Electric Calendarize'!$L193+'Electric Calendarize'!AC$4+1))</f>
        <v/>
      </c>
      <c r="AD193" t="str">
        <f ca="1">IF(OR($L193&gt;AD$4,AD$4&gt;$L193+23),"",OFFSET(Electric!$L184,0,-'Electric Calendarize'!$L193+'Electric Calendarize'!AD$4+1))</f>
        <v/>
      </c>
      <c r="AE193" t="str">
        <f ca="1">IF(OR($L193&gt;AE$4,AE$4&gt;$L193+23),"",OFFSET(Electric!$L184,0,-'Electric Calendarize'!$L193+'Electric Calendarize'!AE$4+1))</f>
        <v/>
      </c>
      <c r="AF193" t="str">
        <f ca="1">IF(OR($L193&gt;AF$4,AF$4&gt;$L193+23),"",OFFSET(Electric!$L184,0,-'Electric Calendarize'!$L193+'Electric Calendarize'!AF$4+1))</f>
        <v/>
      </c>
      <c r="AG193" t="str">
        <f ca="1">IF(OR($L193&gt;AG$4,AG$4&gt;$L193+23),"",OFFSET(Electric!$L184,0,-'Electric Calendarize'!$L193+'Electric Calendarize'!AG$4+1))</f>
        <v/>
      </c>
      <c r="AH193" t="str">
        <f ca="1">IF(OR($L193&gt;AH$4,AH$4&gt;$L193+23),"",OFFSET(Electric!$L184,0,-'Electric Calendarize'!$L193+'Electric Calendarize'!AH$4+1))</f>
        <v/>
      </c>
      <c r="AI193">
        <f ca="1">IF(OR($L193&gt;AI$4,AI$4&gt;$L193+23),"",OFFSET(Electric!$L184,0,-'Electric Calendarize'!$L193+'Electric Calendarize'!AI$4+1))</f>
        <v>2640</v>
      </c>
      <c r="AJ193">
        <f ca="1">IF(OR($L193&gt;AJ$4,AJ$4&gt;$L193+23),"",OFFSET(Electric!$L184,0,-'Electric Calendarize'!$L193+'Electric Calendarize'!AJ$4+1))</f>
        <v>4210</v>
      </c>
      <c r="AK193">
        <f ca="1">IF(OR($L193&gt;AK$4,AK$4&gt;$L193+23),"",OFFSET(Electric!$L184,0,-'Electric Calendarize'!$L193+'Electric Calendarize'!AK$4+1))</f>
        <v>3132</v>
      </c>
      <c r="AL193">
        <f ca="1">IF(OR($L193&gt;AL$4,AL$4&gt;$L193+23),"",OFFSET(Electric!$L184,0,-'Electric Calendarize'!$L193+'Electric Calendarize'!AL$4+1))</f>
        <v>2892</v>
      </c>
      <c r="AM193">
        <f ca="1">IF(OR($L193&gt;AM$4,AM$4&gt;$L193+23),"",OFFSET(Electric!$L184,0,-'Electric Calendarize'!$L193+'Electric Calendarize'!AM$4+1))</f>
        <v>2038</v>
      </c>
      <c r="AN193">
        <f ca="1">IF(OR($L193&gt;AN$4,AN$4&gt;$L193+23),"",OFFSET(Electric!$L184,0,-'Electric Calendarize'!$L193+'Electric Calendarize'!AN$4+1))</f>
        <v>2182</v>
      </c>
      <c r="AO193">
        <f ca="1">IF(OR($L193&gt;AO$4,AO$4&gt;$L193+23),"",OFFSET(Electric!$L184,0,-'Electric Calendarize'!$L193+'Electric Calendarize'!AO$4+1))</f>
        <v>2952</v>
      </c>
      <c r="AP193">
        <f ca="1">IF(OR($L193&gt;AP$4,AP$4&gt;$L193+23),"",OFFSET(Electric!$L184,0,-'Electric Calendarize'!$L193+'Electric Calendarize'!AP$4+1))</f>
        <v>3132</v>
      </c>
      <c r="AQ193">
        <f ca="1">IF(OR($L193&gt;AQ$4,AQ$4&gt;$L193+23),"",OFFSET(Electric!$L184,0,-'Electric Calendarize'!$L193+'Electric Calendarize'!AQ$4+1))</f>
        <v>3700</v>
      </c>
      <c r="AR193">
        <f ca="1">IF(OR($L193&gt;AR$4,AR$4&gt;$L193+23),"",OFFSET(Electric!$L184,0,-'Electric Calendarize'!$L193+'Electric Calendarize'!AR$4+1))</f>
        <v>3462</v>
      </c>
      <c r="AS193">
        <f ca="1">IF(OR($L193&gt;AS$4,AS$4&gt;$L193+23),"",OFFSET(Electric!$L184,0,-'Electric Calendarize'!$L193+'Electric Calendarize'!AS$4+1))</f>
        <v>2854</v>
      </c>
      <c r="AT193">
        <f ca="1">IF(OR($L193&gt;AT$4,AT$4&gt;$L193+23),"",OFFSET(Electric!$L184,0,-'Electric Calendarize'!$L193+'Electric Calendarize'!AT$4+1))</f>
        <v>3282</v>
      </c>
      <c r="AU193">
        <f ca="1">IF(OR($L193&gt;AU$4,AU$4&gt;$L193+23),"",OFFSET(Electric!$L184,0,-'Electric Calendarize'!$L193+'Electric Calendarize'!AU$4+1))</f>
        <v>3718</v>
      </c>
      <c r="AV193">
        <f ca="1">IF(OR($L193&gt;AV$4,AV$4&gt;$L193+23),"",OFFSET(Electric!$L184,0,-'Electric Calendarize'!$L193+'Electric Calendarize'!AV$4+1))</f>
        <v>3466</v>
      </c>
      <c r="AW193">
        <f ca="1">IF(OR($L193&gt;AW$4,AW$4&gt;$L193+23),"",OFFSET(Electric!$L184,0,-'Electric Calendarize'!$L193+'Electric Calendarize'!AW$4+1))</f>
        <v>4226</v>
      </c>
      <c r="AX193">
        <f ca="1">IF(OR($L193&gt;AX$4,AX$4&gt;$L193+23),"",OFFSET(Electric!$L184,0,-'Electric Calendarize'!$L193+'Electric Calendarize'!AX$4+1))</f>
        <v>2976</v>
      </c>
      <c r="AY193">
        <f ca="1">IF(OR($L193&gt;AY$4,AY$4&gt;$L193+23),"",OFFSET(Electric!$L184,0,-'Electric Calendarize'!$L193+'Electric Calendarize'!AY$4+1))</f>
        <v>2832</v>
      </c>
      <c r="AZ193">
        <f ca="1">IF(OR($L193&gt;AZ$4,AZ$4&gt;$L193+23),"",OFFSET(Electric!$L184,0,-'Electric Calendarize'!$L193+'Electric Calendarize'!AZ$4+1))</f>
        <v>2862</v>
      </c>
      <c r="BA193">
        <f ca="1">IF(OR($L193&gt;BA$4,BA$4&gt;$L193+23),"",OFFSET(Electric!$L184,0,-'Electric Calendarize'!$L193+'Electric Calendarize'!BA$4+1))</f>
        <v>2862</v>
      </c>
      <c r="BB193">
        <f ca="1">IF(OR($L193&gt;BB$4,BB$4&gt;$L193+23),"",OFFSET(Electric!$L184,0,-'Electric Calendarize'!$L193+'Electric Calendarize'!BB$4+1))</f>
        <v>3826</v>
      </c>
      <c r="BC193">
        <f ca="1">IF(OR($L193&gt;BC$4,BC$4&gt;$L193+23),"",OFFSET(Electric!$L184,0,-'Electric Calendarize'!$L193+'Electric Calendarize'!BC$4+1))</f>
        <v>3826</v>
      </c>
      <c r="BD193">
        <f ca="1">IF(OR($L193&gt;BD$4,BD$4&gt;$L193+23),"",OFFSET(Electric!$L184,0,-'Electric Calendarize'!$L193+'Electric Calendarize'!BD$4+1))</f>
        <v>3378</v>
      </c>
      <c r="BE193">
        <f ca="1">IF(OR($L193&gt;BE$4,BE$4&gt;$L193+23),"",OFFSET(Electric!$L184,0,-'Electric Calendarize'!$L193+'Electric Calendarize'!BE$4+1))</f>
        <v>3030</v>
      </c>
      <c r="BF193">
        <f ca="1">IF(OR($L193&gt;BF$4,BF$4&gt;$L193+23),"",OFFSET(Electric!$L184,0,-'Electric Calendarize'!$L193+'Electric Calendarize'!BF$4+1))</f>
        <v>3962</v>
      </c>
      <c r="BG193" t="str">
        <f ca="1">IF(OR($L193&gt;BG$4,BG$4&gt;$L193+23),"",OFFSET(Electric!$L184,0,-'Electric Calendarize'!$L193+'Electric Calendarize'!BG$4+1))</f>
        <v/>
      </c>
      <c r="BJ193" s="10" t="s">
        <v>37</v>
      </c>
      <c r="BK193">
        <f t="shared" si="411"/>
        <v>1</v>
      </c>
      <c r="BL193">
        <f t="shared" si="317"/>
        <v>0</v>
      </c>
      <c r="BM193">
        <f t="shared" si="318"/>
        <v>0</v>
      </c>
      <c r="BN193">
        <f t="shared" si="319"/>
        <v>0</v>
      </c>
      <c r="BO193">
        <f t="shared" si="320"/>
        <v>0</v>
      </c>
      <c r="BP193">
        <f t="shared" si="321"/>
        <v>0</v>
      </c>
      <c r="BQ193">
        <f t="shared" si="322"/>
        <v>0</v>
      </c>
      <c r="BR193">
        <f t="shared" si="323"/>
        <v>1</v>
      </c>
      <c r="BS193">
        <f t="shared" si="324"/>
        <v>1</v>
      </c>
      <c r="BT193">
        <f t="shared" si="325"/>
        <v>1</v>
      </c>
      <c r="BU193">
        <f t="shared" si="326"/>
        <v>1</v>
      </c>
      <c r="BV193">
        <f t="shared" si="327"/>
        <v>1</v>
      </c>
      <c r="BW193">
        <f t="shared" si="328"/>
        <v>1</v>
      </c>
      <c r="BX193">
        <f t="shared" si="329"/>
        <v>0</v>
      </c>
      <c r="BY193">
        <f t="shared" si="330"/>
        <v>0</v>
      </c>
      <c r="BZ193">
        <f t="shared" si="331"/>
        <v>0</v>
      </c>
      <c r="CA193">
        <f t="shared" si="332"/>
        <v>0</v>
      </c>
      <c r="CB193">
        <f t="shared" si="333"/>
        <v>0</v>
      </c>
      <c r="CC193">
        <f t="shared" si="334"/>
        <v>0</v>
      </c>
      <c r="CD193">
        <f t="shared" si="335"/>
        <v>1</v>
      </c>
      <c r="CE193">
        <f t="shared" si="336"/>
        <v>1</v>
      </c>
      <c r="CF193">
        <f t="shared" si="337"/>
        <v>1</v>
      </c>
      <c r="CG193">
        <f t="shared" si="338"/>
        <v>1</v>
      </c>
      <c r="CH193">
        <f t="shared" si="339"/>
        <v>1</v>
      </c>
      <c r="CI193">
        <f t="shared" si="340"/>
        <v>1</v>
      </c>
      <c r="CJ193">
        <f t="shared" si="341"/>
        <v>0</v>
      </c>
      <c r="CK193">
        <f t="shared" si="342"/>
        <v>0</v>
      </c>
      <c r="CL193">
        <f t="shared" si="343"/>
        <v>0</v>
      </c>
      <c r="CM193">
        <f t="shared" si="344"/>
        <v>0</v>
      </c>
      <c r="CN193">
        <f t="shared" si="345"/>
        <v>0</v>
      </c>
      <c r="CO193">
        <f t="shared" si="346"/>
        <v>0</v>
      </c>
      <c r="CP193">
        <f t="shared" si="347"/>
        <v>1</v>
      </c>
      <c r="CQ193">
        <f t="shared" si="348"/>
        <v>1</v>
      </c>
      <c r="CR193">
        <f t="shared" si="349"/>
        <v>1</v>
      </c>
      <c r="CS193">
        <f t="shared" si="350"/>
        <v>1</v>
      </c>
      <c r="CT193">
        <f t="shared" si="351"/>
        <v>1</v>
      </c>
      <c r="CU193">
        <f t="shared" si="352"/>
        <v>1</v>
      </c>
      <c r="CV193">
        <f t="shared" si="353"/>
        <v>0</v>
      </c>
      <c r="CW193">
        <f t="shared" si="354"/>
        <v>0</v>
      </c>
      <c r="CX193">
        <f t="shared" si="355"/>
        <v>0</v>
      </c>
      <c r="CY193">
        <f t="shared" si="356"/>
        <v>0</v>
      </c>
      <c r="CZ193">
        <f t="shared" si="357"/>
        <v>0</v>
      </c>
      <c r="DA193">
        <f t="shared" si="358"/>
        <v>0</v>
      </c>
      <c r="DB193">
        <f t="shared" si="359"/>
        <v>1</v>
      </c>
      <c r="DC193">
        <f t="shared" si="360"/>
        <v>1</v>
      </c>
      <c r="DF193" s="10" t="s">
        <v>37</v>
      </c>
      <c r="DG193" t="str">
        <f t="shared" si="423"/>
        <v>2022_12</v>
      </c>
      <c r="DH193" t="str">
        <f t="shared" si="423"/>
        <v>2022_12</v>
      </c>
      <c r="DI193" t="str">
        <f t="shared" si="423"/>
        <v>2022_12</v>
      </c>
      <c r="DJ193" t="str">
        <f t="shared" si="423"/>
        <v>2022_12</v>
      </c>
      <c r="DK193" t="str">
        <f t="shared" si="423"/>
        <v>2022_12</v>
      </c>
      <c r="DL193" t="str">
        <f t="shared" si="423"/>
        <v>2022_12</v>
      </c>
      <c r="DM193" t="str">
        <f t="shared" si="423"/>
        <v>2022_12</v>
      </c>
      <c r="DN193" t="str">
        <f t="shared" si="423"/>
        <v>2022_12</v>
      </c>
      <c r="DO193" t="str">
        <f t="shared" si="423"/>
        <v>2022_12</v>
      </c>
      <c r="DP193" t="str">
        <f t="shared" si="423"/>
        <v>2022_12</v>
      </c>
      <c r="DQ193" t="str">
        <f t="shared" si="423"/>
        <v>2022_12</v>
      </c>
      <c r="DR193" t="str">
        <f t="shared" si="423"/>
        <v>2022_12</v>
      </c>
      <c r="DS193" t="str">
        <f t="shared" si="423"/>
        <v>2022_12</v>
      </c>
      <c r="DT193" t="str">
        <f t="shared" si="423"/>
        <v>2022_12</v>
      </c>
      <c r="DU193" t="str">
        <f t="shared" si="423"/>
        <v>2022_12</v>
      </c>
      <c r="DV193" t="str">
        <f t="shared" si="423"/>
        <v>2022_12</v>
      </c>
      <c r="DW193" t="str">
        <f t="shared" si="422"/>
        <v>2022_12</v>
      </c>
      <c r="DX193" t="str">
        <f t="shared" si="422"/>
        <v>2022_12</v>
      </c>
      <c r="DY193" t="str">
        <f t="shared" si="422"/>
        <v>2022_12</v>
      </c>
      <c r="DZ193" t="str">
        <f t="shared" si="422"/>
        <v>2022_12</v>
      </c>
      <c r="EA193" t="str">
        <f t="shared" si="422"/>
        <v>2022_12</v>
      </c>
      <c r="EB193" t="str">
        <f t="shared" si="422"/>
        <v>2022_12</v>
      </c>
      <c r="EC193" t="str">
        <f t="shared" si="422"/>
        <v>2022_12</v>
      </c>
      <c r="ED193" t="str">
        <f t="shared" si="422"/>
        <v>2022_12</v>
      </c>
      <c r="EE193" t="str">
        <f t="shared" si="422"/>
        <v>2022_12</v>
      </c>
      <c r="EF193" t="str">
        <f t="shared" si="422"/>
        <v>2022_12</v>
      </c>
      <c r="EG193" t="str">
        <f t="shared" si="422"/>
        <v>2022_12</v>
      </c>
      <c r="EH193" t="str">
        <f t="shared" si="422"/>
        <v>2022_12</v>
      </c>
      <c r="EI193" t="str">
        <f t="shared" si="422"/>
        <v>2022_12</v>
      </c>
      <c r="EJ193" t="str">
        <f t="shared" si="422"/>
        <v>2022_12</v>
      </c>
      <c r="EK193" t="str">
        <f t="shared" si="421"/>
        <v>2022_12</v>
      </c>
      <c r="EL193" t="str">
        <f t="shared" si="421"/>
        <v>2022_12</v>
      </c>
      <c r="EM193" t="str">
        <f t="shared" si="421"/>
        <v>2022_12</v>
      </c>
      <c r="EN193" t="str">
        <f t="shared" si="421"/>
        <v>2022_12</v>
      </c>
      <c r="EO193" t="str">
        <f t="shared" si="421"/>
        <v>2022_12</v>
      </c>
      <c r="EP193" t="str">
        <f t="shared" si="421"/>
        <v>2022_12</v>
      </c>
      <c r="EQ193" t="str">
        <f t="shared" si="421"/>
        <v>2022_12</v>
      </c>
      <c r="ER193" t="str">
        <f t="shared" si="421"/>
        <v>2022_12</v>
      </c>
      <c r="ES193" t="str">
        <f t="shared" si="421"/>
        <v>2022_12</v>
      </c>
      <c r="ET193" t="str">
        <f t="shared" si="421"/>
        <v>2022_12</v>
      </c>
      <c r="EU193" t="str">
        <f t="shared" si="421"/>
        <v>2022_12</v>
      </c>
      <c r="EV193" t="str">
        <f t="shared" si="421"/>
        <v>2022_12</v>
      </c>
      <c r="EW193" t="str">
        <f t="shared" si="421"/>
        <v>2022_12</v>
      </c>
      <c r="EX193" t="str">
        <f t="shared" si="421"/>
        <v>2022_12</v>
      </c>
      <c r="EY193" t="str">
        <f t="shared" si="421"/>
        <v>2022_12</v>
      </c>
      <c r="FB193" s="10" t="s">
        <v>37</v>
      </c>
      <c r="FC193">
        <f t="shared" si="413"/>
        <v>0</v>
      </c>
      <c r="FD193">
        <f t="shared" si="363"/>
        <v>0</v>
      </c>
      <c r="FE193">
        <f t="shared" si="364"/>
        <v>0</v>
      </c>
      <c r="FF193">
        <f t="shared" si="365"/>
        <v>0</v>
      </c>
      <c r="FG193">
        <f t="shared" si="366"/>
        <v>0</v>
      </c>
      <c r="FH193">
        <f t="shared" si="367"/>
        <v>0</v>
      </c>
      <c r="FI193">
        <f t="shared" si="368"/>
        <v>0</v>
      </c>
      <c r="FJ193">
        <f t="shared" si="369"/>
        <v>0</v>
      </c>
      <c r="FK193">
        <f t="shared" si="370"/>
        <v>0</v>
      </c>
      <c r="FL193">
        <f t="shared" si="371"/>
        <v>0</v>
      </c>
      <c r="FM193">
        <f t="shared" si="372"/>
        <v>0</v>
      </c>
      <c r="FN193">
        <f t="shared" si="373"/>
        <v>0</v>
      </c>
      <c r="FO193">
        <f t="shared" si="374"/>
        <v>0</v>
      </c>
      <c r="FP193">
        <f t="shared" si="375"/>
        <v>0</v>
      </c>
      <c r="FQ193">
        <f t="shared" si="376"/>
        <v>0</v>
      </c>
      <c r="FR193">
        <f t="shared" si="377"/>
        <v>0</v>
      </c>
      <c r="FS193">
        <f t="shared" si="378"/>
        <v>0</v>
      </c>
      <c r="FT193">
        <f t="shared" si="379"/>
        <v>0</v>
      </c>
      <c r="FU193">
        <f t="shared" si="380"/>
        <v>0</v>
      </c>
      <c r="FV193">
        <f t="shared" si="381"/>
        <v>0</v>
      </c>
      <c r="FW193">
        <f t="shared" si="382"/>
        <v>0</v>
      </c>
      <c r="FX193">
        <f t="shared" si="383"/>
        <v>0</v>
      </c>
      <c r="FY193">
        <f t="shared" si="384"/>
        <v>0</v>
      </c>
      <c r="FZ193">
        <f t="shared" si="385"/>
        <v>0</v>
      </c>
      <c r="GA193">
        <f t="shared" si="386"/>
        <v>0</v>
      </c>
      <c r="GB193">
        <f t="shared" si="387"/>
        <v>0</v>
      </c>
      <c r="GC193">
        <f t="shared" si="388"/>
        <v>0</v>
      </c>
      <c r="GD193">
        <f t="shared" si="389"/>
        <v>0</v>
      </c>
      <c r="GE193">
        <f t="shared" si="390"/>
        <v>0</v>
      </c>
      <c r="GF193">
        <f t="shared" si="391"/>
        <v>0</v>
      </c>
      <c r="GG193">
        <f t="shared" si="392"/>
        <v>0</v>
      </c>
      <c r="GH193">
        <f t="shared" si="393"/>
        <v>0</v>
      </c>
      <c r="GI193">
        <f t="shared" si="394"/>
        <v>1</v>
      </c>
      <c r="GJ193">
        <f t="shared" si="395"/>
        <v>1</v>
      </c>
      <c r="GK193">
        <f t="shared" si="396"/>
        <v>1</v>
      </c>
      <c r="GL193">
        <f t="shared" si="397"/>
        <v>1</v>
      </c>
      <c r="GM193">
        <f t="shared" si="398"/>
        <v>1</v>
      </c>
      <c r="GN193">
        <f t="shared" si="399"/>
        <v>1</v>
      </c>
      <c r="GO193">
        <f t="shared" si="400"/>
        <v>1</v>
      </c>
      <c r="GP193">
        <f t="shared" si="401"/>
        <v>1</v>
      </c>
      <c r="GQ193">
        <f t="shared" si="402"/>
        <v>1</v>
      </c>
      <c r="GR193">
        <f t="shared" si="403"/>
        <v>1</v>
      </c>
      <c r="GS193">
        <f t="shared" si="404"/>
        <v>1</v>
      </c>
      <c r="GT193">
        <f t="shared" si="405"/>
        <v>1</v>
      </c>
      <c r="GU193">
        <f t="shared" si="406"/>
        <v>1</v>
      </c>
      <c r="GX193" s="10"/>
    </row>
    <row r="194" spans="1:206" x14ac:dyDescent="0.3">
      <c r="A194" s="9" t="s">
        <v>124</v>
      </c>
      <c r="B194" s="80"/>
      <c r="C194" s="9">
        <v>3111829001</v>
      </c>
      <c r="D194" s="9" t="s">
        <v>417</v>
      </c>
      <c r="E194" s="9" t="s">
        <v>39</v>
      </c>
      <c r="F194" s="9" t="s">
        <v>35</v>
      </c>
      <c r="G194" s="9" t="s">
        <v>122</v>
      </c>
      <c r="H194" s="10">
        <v>44930</v>
      </c>
      <c r="I194" s="9">
        <f t="shared" si="407"/>
        <v>2023</v>
      </c>
      <c r="J194" s="9">
        <f t="shared" si="408"/>
        <v>1</v>
      </c>
      <c r="K194" s="9" t="str">
        <f t="shared" si="409"/>
        <v>2023_1</v>
      </c>
      <c r="L194">
        <f>MAX(0,VLOOKUP($K194,lookups!$A$1:$B$45,2,0)-12)</f>
        <v>21</v>
      </c>
      <c r="M194" s="40">
        <f t="shared" si="410"/>
        <v>44927</v>
      </c>
      <c r="N194" s="10" t="s">
        <v>37</v>
      </c>
      <c r="O194" t="str">
        <f ca="1">IF(OR($L194&gt;O$4,O$4&gt;$L194+23),"",OFFSET(Electric!$L185,0,-'Electric Calendarize'!$L194+'Electric Calendarize'!O$4+1))</f>
        <v/>
      </c>
      <c r="P194" t="str">
        <f ca="1">IF(OR($L194&gt;P$4,P$4&gt;$L194+23),"",OFFSET(Electric!$L185,0,-'Electric Calendarize'!$L194+'Electric Calendarize'!P$4+1))</f>
        <v/>
      </c>
      <c r="Q194" t="str">
        <f ca="1">IF(OR($L194&gt;Q$4,Q$4&gt;$L194+23),"",OFFSET(Electric!$L185,0,-'Electric Calendarize'!$L194+'Electric Calendarize'!Q$4+1))</f>
        <v/>
      </c>
      <c r="R194" t="str">
        <f ca="1">IF(OR($L194&gt;R$4,R$4&gt;$L194+23),"",OFFSET(Electric!$L185,0,-'Electric Calendarize'!$L194+'Electric Calendarize'!R$4+1))</f>
        <v/>
      </c>
      <c r="S194" t="str">
        <f ca="1">IF(OR($L194&gt;S$4,S$4&gt;$L194+23),"",OFFSET(Electric!$L185,0,-'Electric Calendarize'!$L194+'Electric Calendarize'!S$4+1))</f>
        <v/>
      </c>
      <c r="T194" t="str">
        <f ca="1">IF(OR($L194&gt;T$4,T$4&gt;$L194+23),"",OFFSET(Electric!$L185,0,-'Electric Calendarize'!$L194+'Electric Calendarize'!T$4+1))</f>
        <v/>
      </c>
      <c r="U194" t="str">
        <f ca="1">IF(OR($L194&gt;U$4,U$4&gt;$L194+23),"",OFFSET(Electric!$L185,0,-'Electric Calendarize'!$L194+'Electric Calendarize'!U$4+1))</f>
        <v/>
      </c>
      <c r="V194" t="str">
        <f ca="1">IF(OR($L194&gt;V$4,V$4&gt;$L194+23),"",OFFSET(Electric!$L185,0,-'Electric Calendarize'!$L194+'Electric Calendarize'!V$4+1))</f>
        <v/>
      </c>
      <c r="W194" t="str">
        <f ca="1">IF(OR($L194&gt;W$4,W$4&gt;$L194+23),"",OFFSET(Electric!$L185,0,-'Electric Calendarize'!$L194+'Electric Calendarize'!W$4+1))</f>
        <v/>
      </c>
      <c r="X194" t="str">
        <f ca="1">IF(OR($L194&gt;X$4,X$4&gt;$L194+23),"",OFFSET(Electric!$L185,0,-'Electric Calendarize'!$L194+'Electric Calendarize'!X$4+1))</f>
        <v/>
      </c>
      <c r="Y194" t="str">
        <f ca="1">IF(OR($L194&gt;Y$4,Y$4&gt;$L194+23),"",OFFSET(Electric!$L185,0,-'Electric Calendarize'!$L194+'Electric Calendarize'!Y$4+1))</f>
        <v/>
      </c>
      <c r="Z194" t="str">
        <f ca="1">IF(OR($L194&gt;Z$4,Z$4&gt;$L194+23),"",OFFSET(Electric!$L185,0,-'Electric Calendarize'!$L194+'Electric Calendarize'!Z$4+1))</f>
        <v/>
      </c>
      <c r="AA194" t="str">
        <f ca="1">IF(OR($L194&gt;AA$4,AA$4&gt;$L194+23),"",OFFSET(Electric!$L185,0,-'Electric Calendarize'!$L194+'Electric Calendarize'!AA$4+1))</f>
        <v/>
      </c>
      <c r="AB194" t="str">
        <f ca="1">IF(OR($L194&gt;AB$4,AB$4&gt;$L194+23),"",OFFSET(Electric!$L185,0,-'Electric Calendarize'!$L194+'Electric Calendarize'!AB$4+1))</f>
        <v/>
      </c>
      <c r="AC194" t="str">
        <f ca="1">IF(OR($L194&gt;AC$4,AC$4&gt;$L194+23),"",OFFSET(Electric!$L185,0,-'Electric Calendarize'!$L194+'Electric Calendarize'!AC$4+1))</f>
        <v/>
      </c>
      <c r="AD194" t="str">
        <f ca="1">IF(OR($L194&gt;AD$4,AD$4&gt;$L194+23),"",OFFSET(Electric!$L185,0,-'Electric Calendarize'!$L194+'Electric Calendarize'!AD$4+1))</f>
        <v/>
      </c>
      <c r="AE194" t="str">
        <f ca="1">IF(OR($L194&gt;AE$4,AE$4&gt;$L194+23),"",OFFSET(Electric!$L185,0,-'Electric Calendarize'!$L194+'Electric Calendarize'!AE$4+1))</f>
        <v/>
      </c>
      <c r="AF194" t="str">
        <f ca="1">IF(OR($L194&gt;AF$4,AF$4&gt;$L194+23),"",OFFSET(Electric!$L185,0,-'Electric Calendarize'!$L194+'Electric Calendarize'!AF$4+1))</f>
        <v/>
      </c>
      <c r="AG194" t="str">
        <f ca="1">IF(OR($L194&gt;AG$4,AG$4&gt;$L194+23),"",OFFSET(Electric!$L185,0,-'Electric Calendarize'!$L194+'Electric Calendarize'!AG$4+1))</f>
        <v/>
      </c>
      <c r="AH194" t="str">
        <f ca="1">IF(OR($L194&gt;AH$4,AH$4&gt;$L194+23),"",OFFSET(Electric!$L185,0,-'Electric Calendarize'!$L194+'Electric Calendarize'!AH$4+1))</f>
        <v/>
      </c>
      <c r="AI194" t="str">
        <f ca="1">IF(OR($L194&gt;AI$4,AI$4&gt;$L194+23),"",OFFSET(Electric!$L185,0,-'Electric Calendarize'!$L194+'Electric Calendarize'!AI$4+1))</f>
        <v/>
      </c>
      <c r="AJ194">
        <f ca="1">IF(OR($L194&gt;AJ$4,AJ$4&gt;$L194+23),"",OFFSET(Electric!$L185,0,-'Electric Calendarize'!$L194+'Electric Calendarize'!AJ$4+1))</f>
        <v>0</v>
      </c>
      <c r="AK194">
        <f ca="1">IF(OR($L194&gt;AK$4,AK$4&gt;$L194+23),"",OFFSET(Electric!$L185,0,-'Electric Calendarize'!$L194+'Electric Calendarize'!AK$4+1))</f>
        <v>4262</v>
      </c>
      <c r="AL194">
        <f ca="1">IF(OR($L194&gt;AL$4,AL$4&gt;$L194+23),"",OFFSET(Electric!$L185,0,-'Electric Calendarize'!$L194+'Electric Calendarize'!AL$4+1))</f>
        <v>3574</v>
      </c>
      <c r="AM194">
        <f ca="1">IF(OR($L194&gt;AM$4,AM$4&gt;$L194+23),"",OFFSET(Electric!$L185,0,-'Electric Calendarize'!$L194+'Electric Calendarize'!AM$4+1))</f>
        <v>2590</v>
      </c>
      <c r="AN194">
        <f ca="1">IF(OR($L194&gt;AN$4,AN$4&gt;$L194+23),"",OFFSET(Electric!$L185,0,-'Electric Calendarize'!$L194+'Electric Calendarize'!AN$4+1))</f>
        <v>1474</v>
      </c>
      <c r="AO194">
        <f ca="1">IF(OR($L194&gt;AO$4,AO$4&gt;$L194+23),"",OFFSET(Electric!$L185,0,-'Electric Calendarize'!$L194+'Electric Calendarize'!AO$4+1))</f>
        <v>1212</v>
      </c>
      <c r="AP194">
        <f ca="1">IF(OR($L194&gt;AP$4,AP$4&gt;$L194+23),"",OFFSET(Electric!$L185,0,-'Electric Calendarize'!$L194+'Electric Calendarize'!AP$4+1))</f>
        <v>1202</v>
      </c>
      <c r="AQ194">
        <f ca="1">IF(OR($L194&gt;AQ$4,AQ$4&gt;$L194+23),"",OFFSET(Electric!$L185,0,-'Electric Calendarize'!$L194+'Electric Calendarize'!AQ$4+1))</f>
        <v>1908</v>
      </c>
      <c r="AR194">
        <f ca="1">IF(OR($L194&gt;AR$4,AR$4&gt;$L194+23),"",OFFSET(Electric!$L185,0,-'Electric Calendarize'!$L194+'Electric Calendarize'!AR$4+1))</f>
        <v>2512</v>
      </c>
      <c r="AS194">
        <f ca="1">IF(OR($L194&gt;AS$4,AS$4&gt;$L194+23),"",OFFSET(Electric!$L185,0,-'Electric Calendarize'!$L194+'Electric Calendarize'!AS$4+1))</f>
        <v>1054</v>
      </c>
      <c r="AT194">
        <f ca="1">IF(OR($L194&gt;AT$4,AT$4&gt;$L194+23),"",OFFSET(Electric!$L185,0,-'Electric Calendarize'!$L194+'Electric Calendarize'!AT$4+1))</f>
        <v>1370</v>
      </c>
      <c r="AU194">
        <f ca="1">IF(OR($L194&gt;AU$4,AU$4&gt;$L194+23),"",OFFSET(Electric!$L185,0,-'Electric Calendarize'!$L194+'Electric Calendarize'!AU$4+1))</f>
        <v>1850</v>
      </c>
      <c r="AV194">
        <f ca="1">IF(OR($L194&gt;AV$4,AV$4&gt;$L194+23),"",OFFSET(Electric!$L185,0,-'Electric Calendarize'!$L194+'Electric Calendarize'!AV$4+1))</f>
        <v>2362</v>
      </c>
      <c r="AW194">
        <f ca="1">IF(OR($L194&gt;AW$4,AW$4&gt;$L194+23),"",OFFSET(Electric!$L185,0,-'Electric Calendarize'!$L194+'Electric Calendarize'!AW$4+1))</f>
        <v>2808</v>
      </c>
      <c r="AX194">
        <f ca="1">IF(OR($L194&gt;AX$4,AX$4&gt;$L194+23),"",OFFSET(Electric!$L185,0,-'Electric Calendarize'!$L194+'Electric Calendarize'!AX$4+1))</f>
        <v>2948</v>
      </c>
      <c r="AY194">
        <f ca="1">IF(OR($L194&gt;AY$4,AY$4&gt;$L194+23),"",OFFSET(Electric!$L185,0,-'Electric Calendarize'!$L194+'Electric Calendarize'!AY$4+1))</f>
        <v>2544</v>
      </c>
      <c r="AZ194">
        <f ca="1">IF(OR($L194&gt;AZ$4,AZ$4&gt;$L194+23),"",OFFSET(Electric!$L185,0,-'Electric Calendarize'!$L194+'Electric Calendarize'!AZ$4+1))</f>
        <v>1658</v>
      </c>
      <c r="BA194">
        <f ca="1">IF(OR($L194&gt;BA$4,BA$4&gt;$L194+23),"",OFFSET(Electric!$L185,0,-'Electric Calendarize'!$L194+'Electric Calendarize'!BA$4+1))</f>
        <v>1520</v>
      </c>
      <c r="BB194">
        <f ca="1">IF(OR($L194&gt;BB$4,BB$4&gt;$L194+23),"",OFFSET(Electric!$L185,0,-'Electric Calendarize'!$L194+'Electric Calendarize'!BB$4+1))</f>
        <v>1042</v>
      </c>
      <c r="BC194">
        <f ca="1">IF(OR($L194&gt;BC$4,BC$4&gt;$L194+23),"",OFFSET(Electric!$L185,0,-'Electric Calendarize'!$L194+'Electric Calendarize'!BC$4+1))</f>
        <v>1814</v>
      </c>
      <c r="BD194">
        <f ca="1">IF(OR($L194&gt;BD$4,BD$4&gt;$L194+23),"",OFFSET(Electric!$L185,0,-'Electric Calendarize'!$L194+'Electric Calendarize'!BD$4+1))</f>
        <v>1090</v>
      </c>
      <c r="BE194">
        <f ca="1">IF(OR($L194&gt;BE$4,BE$4&gt;$L194+23),"",OFFSET(Electric!$L185,0,-'Electric Calendarize'!$L194+'Electric Calendarize'!BE$4+1))</f>
        <v>1294</v>
      </c>
      <c r="BF194">
        <f ca="1">IF(OR($L194&gt;BF$4,BF$4&gt;$L194+23),"",OFFSET(Electric!$L185,0,-'Electric Calendarize'!$L194+'Electric Calendarize'!BF$4+1))</f>
        <v>1628</v>
      </c>
      <c r="BG194">
        <f ca="1">IF(OR($L194&gt;BG$4,BG$4&gt;$L194+23),"",OFFSET(Electric!$L185,0,-'Electric Calendarize'!$L194+'Electric Calendarize'!BG$4+1))</f>
        <v>1960</v>
      </c>
      <c r="BJ194" s="10" t="s">
        <v>37</v>
      </c>
      <c r="BK194">
        <f t="shared" si="411"/>
        <v>1</v>
      </c>
      <c r="BL194">
        <f t="shared" si="317"/>
        <v>0</v>
      </c>
      <c r="BM194">
        <f t="shared" si="318"/>
        <v>0</v>
      </c>
      <c r="BN194">
        <f t="shared" si="319"/>
        <v>0</v>
      </c>
      <c r="BO194">
        <f t="shared" si="320"/>
        <v>0</v>
      </c>
      <c r="BP194">
        <f t="shared" si="321"/>
        <v>0</v>
      </c>
      <c r="BQ194">
        <f t="shared" si="322"/>
        <v>0</v>
      </c>
      <c r="BR194">
        <f t="shared" si="323"/>
        <v>1</v>
      </c>
      <c r="BS194">
        <f t="shared" si="324"/>
        <v>1</v>
      </c>
      <c r="BT194">
        <f t="shared" si="325"/>
        <v>1</v>
      </c>
      <c r="BU194">
        <f t="shared" si="326"/>
        <v>1</v>
      </c>
      <c r="BV194">
        <f t="shared" si="327"/>
        <v>1</v>
      </c>
      <c r="BW194">
        <f t="shared" si="328"/>
        <v>1</v>
      </c>
      <c r="BX194">
        <f t="shared" si="329"/>
        <v>0</v>
      </c>
      <c r="BY194">
        <f t="shared" si="330"/>
        <v>0</v>
      </c>
      <c r="BZ194">
        <f t="shared" si="331"/>
        <v>0</v>
      </c>
      <c r="CA194">
        <f t="shared" si="332"/>
        <v>0</v>
      </c>
      <c r="CB194">
        <f t="shared" si="333"/>
        <v>0</v>
      </c>
      <c r="CC194">
        <f t="shared" si="334"/>
        <v>0</v>
      </c>
      <c r="CD194">
        <f t="shared" si="335"/>
        <v>1</v>
      </c>
      <c r="CE194">
        <f t="shared" si="336"/>
        <v>1</v>
      </c>
      <c r="CF194">
        <f t="shared" si="337"/>
        <v>1</v>
      </c>
      <c r="CG194">
        <f t="shared" si="338"/>
        <v>1</v>
      </c>
      <c r="CH194">
        <f t="shared" si="339"/>
        <v>1</v>
      </c>
      <c r="CI194">
        <f t="shared" si="340"/>
        <v>1</v>
      </c>
      <c r="CJ194">
        <f t="shared" si="341"/>
        <v>0</v>
      </c>
      <c r="CK194">
        <f t="shared" si="342"/>
        <v>0</v>
      </c>
      <c r="CL194">
        <f t="shared" si="343"/>
        <v>0</v>
      </c>
      <c r="CM194">
        <f t="shared" si="344"/>
        <v>0</v>
      </c>
      <c r="CN194">
        <f t="shared" si="345"/>
        <v>0</v>
      </c>
      <c r="CO194">
        <f t="shared" si="346"/>
        <v>0</v>
      </c>
      <c r="CP194">
        <f t="shared" si="347"/>
        <v>1</v>
      </c>
      <c r="CQ194">
        <f t="shared" si="348"/>
        <v>1</v>
      </c>
      <c r="CR194">
        <f t="shared" si="349"/>
        <v>1</v>
      </c>
      <c r="CS194">
        <f t="shared" si="350"/>
        <v>1</v>
      </c>
      <c r="CT194">
        <f t="shared" si="351"/>
        <v>1</v>
      </c>
      <c r="CU194">
        <f t="shared" si="352"/>
        <v>1</v>
      </c>
      <c r="CV194">
        <f t="shared" si="353"/>
        <v>0</v>
      </c>
      <c r="CW194">
        <f t="shared" si="354"/>
        <v>0</v>
      </c>
      <c r="CX194">
        <f t="shared" si="355"/>
        <v>0</v>
      </c>
      <c r="CY194">
        <f t="shared" si="356"/>
        <v>0</v>
      </c>
      <c r="CZ194">
        <f t="shared" si="357"/>
        <v>0</v>
      </c>
      <c r="DA194">
        <f t="shared" si="358"/>
        <v>0</v>
      </c>
      <c r="DB194">
        <f t="shared" si="359"/>
        <v>1</v>
      </c>
      <c r="DC194">
        <f t="shared" si="360"/>
        <v>1</v>
      </c>
      <c r="DF194" s="10" t="s">
        <v>37</v>
      </c>
      <c r="DG194" t="str">
        <f t="shared" si="423"/>
        <v>2023_1</v>
      </c>
      <c r="DH194" t="str">
        <f t="shared" si="423"/>
        <v>2023_1</v>
      </c>
      <c r="DI194" t="str">
        <f t="shared" si="423"/>
        <v>2023_1</v>
      </c>
      <c r="DJ194" t="str">
        <f t="shared" si="423"/>
        <v>2023_1</v>
      </c>
      <c r="DK194" t="str">
        <f t="shared" si="423"/>
        <v>2023_1</v>
      </c>
      <c r="DL194" t="str">
        <f t="shared" si="423"/>
        <v>2023_1</v>
      </c>
      <c r="DM194" t="str">
        <f t="shared" si="423"/>
        <v>2023_1</v>
      </c>
      <c r="DN194" t="str">
        <f t="shared" si="423"/>
        <v>2023_1</v>
      </c>
      <c r="DO194" t="str">
        <f t="shared" si="423"/>
        <v>2023_1</v>
      </c>
      <c r="DP194" t="str">
        <f t="shared" si="423"/>
        <v>2023_1</v>
      </c>
      <c r="DQ194" t="str">
        <f t="shared" si="423"/>
        <v>2023_1</v>
      </c>
      <c r="DR194" t="str">
        <f t="shared" si="423"/>
        <v>2023_1</v>
      </c>
      <c r="DS194" t="str">
        <f t="shared" si="423"/>
        <v>2023_1</v>
      </c>
      <c r="DT194" t="str">
        <f t="shared" si="423"/>
        <v>2023_1</v>
      </c>
      <c r="DU194" t="str">
        <f t="shared" si="423"/>
        <v>2023_1</v>
      </c>
      <c r="DV194" t="str">
        <f t="shared" si="423"/>
        <v>2023_1</v>
      </c>
      <c r="DW194" t="str">
        <f t="shared" si="422"/>
        <v>2023_1</v>
      </c>
      <c r="DX194" t="str">
        <f t="shared" si="422"/>
        <v>2023_1</v>
      </c>
      <c r="DY194" t="str">
        <f t="shared" si="422"/>
        <v>2023_1</v>
      </c>
      <c r="DZ194" t="str">
        <f t="shared" si="422"/>
        <v>2023_1</v>
      </c>
      <c r="EA194" t="str">
        <f t="shared" si="422"/>
        <v>2023_1</v>
      </c>
      <c r="EB194" t="str">
        <f t="shared" si="422"/>
        <v>2023_1</v>
      </c>
      <c r="EC194" t="str">
        <f t="shared" si="422"/>
        <v>2023_1</v>
      </c>
      <c r="ED194" t="str">
        <f t="shared" si="422"/>
        <v>2023_1</v>
      </c>
      <c r="EE194" t="str">
        <f t="shared" si="422"/>
        <v>2023_1</v>
      </c>
      <c r="EF194" t="str">
        <f t="shared" si="422"/>
        <v>2023_1</v>
      </c>
      <c r="EG194" t="str">
        <f t="shared" si="422"/>
        <v>2023_1</v>
      </c>
      <c r="EH194" t="str">
        <f t="shared" si="422"/>
        <v>2023_1</v>
      </c>
      <c r="EI194" t="str">
        <f t="shared" si="422"/>
        <v>2023_1</v>
      </c>
      <c r="EJ194" t="str">
        <f t="shared" si="422"/>
        <v>2023_1</v>
      </c>
      <c r="EK194" t="str">
        <f t="shared" si="421"/>
        <v>2023_1</v>
      </c>
      <c r="EL194" t="str">
        <f t="shared" si="421"/>
        <v>2023_1</v>
      </c>
      <c r="EM194" t="str">
        <f t="shared" si="421"/>
        <v>2023_1</v>
      </c>
      <c r="EN194" t="str">
        <f t="shared" si="421"/>
        <v>2023_1</v>
      </c>
      <c r="EO194" t="str">
        <f t="shared" si="421"/>
        <v>2023_1</v>
      </c>
      <c r="EP194" t="str">
        <f t="shared" si="421"/>
        <v>2023_1</v>
      </c>
      <c r="EQ194" t="str">
        <f t="shared" si="421"/>
        <v>2023_1</v>
      </c>
      <c r="ER194" t="str">
        <f t="shared" si="421"/>
        <v>2023_1</v>
      </c>
      <c r="ES194" t="str">
        <f t="shared" si="421"/>
        <v>2023_1</v>
      </c>
      <c r="ET194" t="str">
        <f t="shared" si="421"/>
        <v>2023_1</v>
      </c>
      <c r="EU194" t="str">
        <f t="shared" si="421"/>
        <v>2023_1</v>
      </c>
      <c r="EV194" t="str">
        <f t="shared" si="421"/>
        <v>2023_1</v>
      </c>
      <c r="EW194" t="str">
        <f t="shared" si="421"/>
        <v>2023_1</v>
      </c>
      <c r="EX194" t="str">
        <f t="shared" si="421"/>
        <v>2023_1</v>
      </c>
      <c r="EY194" t="str">
        <f t="shared" si="421"/>
        <v>2023_1</v>
      </c>
      <c r="FB194" s="10" t="s">
        <v>37</v>
      </c>
      <c r="FC194">
        <f t="shared" si="413"/>
        <v>0</v>
      </c>
      <c r="FD194">
        <f t="shared" si="363"/>
        <v>0</v>
      </c>
      <c r="FE194">
        <f t="shared" si="364"/>
        <v>0</v>
      </c>
      <c r="FF194">
        <f t="shared" si="365"/>
        <v>0</v>
      </c>
      <c r="FG194">
        <f t="shared" si="366"/>
        <v>0</v>
      </c>
      <c r="FH194">
        <f t="shared" si="367"/>
        <v>0</v>
      </c>
      <c r="FI194">
        <f t="shared" si="368"/>
        <v>0</v>
      </c>
      <c r="FJ194">
        <f t="shared" si="369"/>
        <v>0</v>
      </c>
      <c r="FK194">
        <f t="shared" si="370"/>
        <v>0</v>
      </c>
      <c r="FL194">
        <f t="shared" si="371"/>
        <v>0</v>
      </c>
      <c r="FM194">
        <f t="shared" si="372"/>
        <v>0</v>
      </c>
      <c r="FN194">
        <f t="shared" si="373"/>
        <v>0</v>
      </c>
      <c r="FO194">
        <f t="shared" si="374"/>
        <v>0</v>
      </c>
      <c r="FP194">
        <f t="shared" si="375"/>
        <v>0</v>
      </c>
      <c r="FQ194">
        <f t="shared" si="376"/>
        <v>0</v>
      </c>
      <c r="FR194">
        <f t="shared" si="377"/>
        <v>0</v>
      </c>
      <c r="FS194">
        <f t="shared" si="378"/>
        <v>0</v>
      </c>
      <c r="FT194">
        <f t="shared" si="379"/>
        <v>0</v>
      </c>
      <c r="FU194">
        <f t="shared" si="380"/>
        <v>0</v>
      </c>
      <c r="FV194">
        <f t="shared" si="381"/>
        <v>0</v>
      </c>
      <c r="FW194">
        <f t="shared" si="382"/>
        <v>0</v>
      </c>
      <c r="FX194">
        <f t="shared" si="383"/>
        <v>0</v>
      </c>
      <c r="FY194">
        <f t="shared" si="384"/>
        <v>0</v>
      </c>
      <c r="FZ194">
        <f t="shared" si="385"/>
        <v>0</v>
      </c>
      <c r="GA194">
        <f t="shared" si="386"/>
        <v>0</v>
      </c>
      <c r="GB194">
        <f t="shared" si="387"/>
        <v>0</v>
      </c>
      <c r="GC194">
        <f t="shared" si="388"/>
        <v>0</v>
      </c>
      <c r="GD194">
        <f t="shared" si="389"/>
        <v>0</v>
      </c>
      <c r="GE194">
        <f t="shared" si="390"/>
        <v>0</v>
      </c>
      <c r="GF194">
        <f t="shared" si="391"/>
        <v>0</v>
      </c>
      <c r="GG194">
        <f t="shared" si="392"/>
        <v>0</v>
      </c>
      <c r="GH194">
        <f t="shared" si="393"/>
        <v>0</v>
      </c>
      <c r="GI194">
        <f t="shared" si="394"/>
        <v>0</v>
      </c>
      <c r="GJ194">
        <f t="shared" si="395"/>
        <v>1</v>
      </c>
      <c r="GK194">
        <f t="shared" si="396"/>
        <v>1</v>
      </c>
      <c r="GL194">
        <f t="shared" si="397"/>
        <v>1</v>
      </c>
      <c r="GM194">
        <f t="shared" si="398"/>
        <v>1</v>
      </c>
      <c r="GN194">
        <f t="shared" si="399"/>
        <v>1</v>
      </c>
      <c r="GO194">
        <f t="shared" si="400"/>
        <v>1</v>
      </c>
      <c r="GP194">
        <f t="shared" si="401"/>
        <v>1</v>
      </c>
      <c r="GQ194">
        <f t="shared" si="402"/>
        <v>1</v>
      </c>
      <c r="GR194">
        <f t="shared" si="403"/>
        <v>1</v>
      </c>
      <c r="GS194">
        <f t="shared" si="404"/>
        <v>1</v>
      </c>
      <c r="GT194">
        <f t="shared" si="405"/>
        <v>1</v>
      </c>
      <c r="GU194">
        <f t="shared" si="406"/>
        <v>1</v>
      </c>
      <c r="GX194" s="10"/>
    </row>
    <row r="195" spans="1:206" x14ac:dyDescent="0.3">
      <c r="A195" s="9" t="s">
        <v>33</v>
      </c>
      <c r="B195" s="80"/>
      <c r="C195" s="9">
        <v>3120381003</v>
      </c>
      <c r="D195" s="9" t="s">
        <v>480</v>
      </c>
      <c r="E195" s="9" t="s">
        <v>39</v>
      </c>
      <c r="F195" s="9" t="s">
        <v>35</v>
      </c>
      <c r="G195" s="9" t="s">
        <v>223</v>
      </c>
      <c r="H195" s="10">
        <v>44935</v>
      </c>
      <c r="I195" s="9">
        <f t="shared" si="407"/>
        <v>2023</v>
      </c>
      <c r="J195" s="9">
        <f t="shared" si="408"/>
        <v>1</v>
      </c>
      <c r="K195" s="9" t="str">
        <f t="shared" si="409"/>
        <v>2023_1</v>
      </c>
      <c r="L195">
        <f>MAX(0,VLOOKUP($K195,lookups!$A$1:$B$45,2,0)-12)</f>
        <v>21</v>
      </c>
      <c r="M195" s="40">
        <f t="shared" si="410"/>
        <v>44927</v>
      </c>
      <c r="N195" s="10" t="s">
        <v>37</v>
      </c>
      <c r="O195" t="str">
        <f ca="1">IF(OR($L195&gt;O$4,O$4&gt;$L195+23),"",OFFSET(Electric!$L186,0,-'Electric Calendarize'!$L195+'Electric Calendarize'!O$4+1))</f>
        <v/>
      </c>
      <c r="P195" t="str">
        <f ca="1">IF(OR($L195&gt;P$4,P$4&gt;$L195+23),"",OFFSET(Electric!$L186,0,-'Electric Calendarize'!$L195+'Electric Calendarize'!P$4+1))</f>
        <v/>
      </c>
      <c r="Q195" t="str">
        <f ca="1">IF(OR($L195&gt;Q$4,Q$4&gt;$L195+23),"",OFFSET(Electric!$L186,0,-'Electric Calendarize'!$L195+'Electric Calendarize'!Q$4+1))</f>
        <v/>
      </c>
      <c r="R195" t="str">
        <f ca="1">IF(OR($L195&gt;R$4,R$4&gt;$L195+23),"",OFFSET(Electric!$L186,0,-'Electric Calendarize'!$L195+'Electric Calendarize'!R$4+1))</f>
        <v/>
      </c>
      <c r="S195" t="str">
        <f ca="1">IF(OR($L195&gt;S$4,S$4&gt;$L195+23),"",OFFSET(Electric!$L186,0,-'Electric Calendarize'!$L195+'Electric Calendarize'!S$4+1))</f>
        <v/>
      </c>
      <c r="T195" t="str">
        <f ca="1">IF(OR($L195&gt;T$4,T$4&gt;$L195+23),"",OFFSET(Electric!$L186,0,-'Electric Calendarize'!$L195+'Electric Calendarize'!T$4+1))</f>
        <v/>
      </c>
      <c r="U195" t="str">
        <f ca="1">IF(OR($L195&gt;U$4,U$4&gt;$L195+23),"",OFFSET(Electric!$L186,0,-'Electric Calendarize'!$L195+'Electric Calendarize'!U$4+1))</f>
        <v/>
      </c>
      <c r="V195" t="str">
        <f ca="1">IF(OR($L195&gt;V$4,V$4&gt;$L195+23),"",OFFSET(Electric!$L186,0,-'Electric Calendarize'!$L195+'Electric Calendarize'!V$4+1))</f>
        <v/>
      </c>
      <c r="W195" t="str">
        <f ca="1">IF(OR($L195&gt;W$4,W$4&gt;$L195+23),"",OFFSET(Electric!$L186,0,-'Electric Calendarize'!$L195+'Electric Calendarize'!W$4+1))</f>
        <v/>
      </c>
      <c r="X195" t="str">
        <f ca="1">IF(OR($L195&gt;X$4,X$4&gt;$L195+23),"",OFFSET(Electric!$L186,0,-'Electric Calendarize'!$L195+'Electric Calendarize'!X$4+1))</f>
        <v/>
      </c>
      <c r="Y195" t="str">
        <f ca="1">IF(OR($L195&gt;Y$4,Y$4&gt;$L195+23),"",OFFSET(Electric!$L186,0,-'Electric Calendarize'!$L195+'Electric Calendarize'!Y$4+1))</f>
        <v/>
      </c>
      <c r="Z195" t="str">
        <f ca="1">IF(OR($L195&gt;Z$4,Z$4&gt;$L195+23),"",OFFSET(Electric!$L186,0,-'Electric Calendarize'!$L195+'Electric Calendarize'!Z$4+1))</f>
        <v/>
      </c>
      <c r="AA195" t="str">
        <f ca="1">IF(OR($L195&gt;AA$4,AA$4&gt;$L195+23),"",OFFSET(Electric!$L186,0,-'Electric Calendarize'!$L195+'Electric Calendarize'!AA$4+1))</f>
        <v/>
      </c>
      <c r="AB195" t="str">
        <f ca="1">IF(OR($L195&gt;AB$4,AB$4&gt;$L195+23),"",OFFSET(Electric!$L186,0,-'Electric Calendarize'!$L195+'Electric Calendarize'!AB$4+1))</f>
        <v/>
      </c>
      <c r="AC195" t="str">
        <f ca="1">IF(OR($L195&gt;AC$4,AC$4&gt;$L195+23),"",OFFSET(Electric!$L186,0,-'Electric Calendarize'!$L195+'Electric Calendarize'!AC$4+1))</f>
        <v/>
      </c>
      <c r="AD195" t="str">
        <f ca="1">IF(OR($L195&gt;AD$4,AD$4&gt;$L195+23),"",OFFSET(Electric!$L186,0,-'Electric Calendarize'!$L195+'Electric Calendarize'!AD$4+1))</f>
        <v/>
      </c>
      <c r="AE195" t="str">
        <f ca="1">IF(OR($L195&gt;AE$4,AE$4&gt;$L195+23),"",OFFSET(Electric!$L186,0,-'Electric Calendarize'!$L195+'Electric Calendarize'!AE$4+1))</f>
        <v/>
      </c>
      <c r="AF195" t="str">
        <f ca="1">IF(OR($L195&gt;AF$4,AF$4&gt;$L195+23),"",OFFSET(Electric!$L186,0,-'Electric Calendarize'!$L195+'Electric Calendarize'!AF$4+1))</f>
        <v/>
      </c>
      <c r="AG195" t="str">
        <f ca="1">IF(OR($L195&gt;AG$4,AG$4&gt;$L195+23),"",OFFSET(Electric!$L186,0,-'Electric Calendarize'!$L195+'Electric Calendarize'!AG$4+1))</f>
        <v/>
      </c>
      <c r="AH195" t="str">
        <f ca="1">IF(OR($L195&gt;AH$4,AH$4&gt;$L195+23),"",OFFSET(Electric!$L186,0,-'Electric Calendarize'!$L195+'Electric Calendarize'!AH$4+1))</f>
        <v/>
      </c>
      <c r="AI195" t="str">
        <f ca="1">IF(OR($L195&gt;AI$4,AI$4&gt;$L195+23),"",OFFSET(Electric!$L186,0,-'Electric Calendarize'!$L195+'Electric Calendarize'!AI$4+1))</f>
        <v/>
      </c>
      <c r="AJ195">
        <f ca="1">IF(OR($L195&gt;AJ$4,AJ$4&gt;$L195+23),"",OFFSET(Electric!$L186,0,-'Electric Calendarize'!$L195+'Electric Calendarize'!AJ$4+1))</f>
        <v>0</v>
      </c>
      <c r="AK195">
        <f ca="1">IF(OR($L195&gt;AK$4,AK$4&gt;$L195+23),"",OFFSET(Electric!$L186,0,-'Electric Calendarize'!$L195+'Electric Calendarize'!AK$4+1))</f>
        <v>0</v>
      </c>
      <c r="AL195">
        <f ca="1">IF(OR($L195&gt;AL$4,AL$4&gt;$L195+23),"",OFFSET(Electric!$L186,0,-'Electric Calendarize'!$L195+'Electric Calendarize'!AL$4+1))</f>
        <v>0</v>
      </c>
      <c r="AM195">
        <f ca="1">IF(OR($L195&gt;AM$4,AM$4&gt;$L195+23),"",OFFSET(Electric!$L186,0,-'Electric Calendarize'!$L195+'Electric Calendarize'!AM$4+1))</f>
        <v>0</v>
      </c>
      <c r="AN195">
        <f ca="1">IF(OR($L195&gt;AN$4,AN$4&gt;$L195+23),"",OFFSET(Electric!$L186,0,-'Electric Calendarize'!$L195+'Electric Calendarize'!AN$4+1))</f>
        <v>0</v>
      </c>
      <c r="AO195">
        <f ca="1">IF(OR($L195&gt;AO$4,AO$4&gt;$L195+23),"",OFFSET(Electric!$L186,0,-'Electric Calendarize'!$L195+'Electric Calendarize'!AO$4+1))</f>
        <v>0</v>
      </c>
      <c r="AP195">
        <f ca="1">IF(OR($L195&gt;AP$4,AP$4&gt;$L195+23),"",OFFSET(Electric!$L186,0,-'Electric Calendarize'!$L195+'Electric Calendarize'!AP$4+1))</f>
        <v>0</v>
      </c>
      <c r="AQ195">
        <f ca="1">IF(OR($L195&gt;AQ$4,AQ$4&gt;$L195+23),"",OFFSET(Electric!$L186,0,-'Electric Calendarize'!$L195+'Electric Calendarize'!AQ$4+1))</f>
        <v>0</v>
      </c>
      <c r="AR195">
        <f ca="1">IF(OR($L195&gt;AR$4,AR$4&gt;$L195+23),"",OFFSET(Electric!$L186,0,-'Electric Calendarize'!$L195+'Electric Calendarize'!AR$4+1))</f>
        <v>0</v>
      </c>
      <c r="AS195">
        <f ca="1">IF(OR($L195&gt;AS$4,AS$4&gt;$L195+23),"",OFFSET(Electric!$L186,0,-'Electric Calendarize'!$L195+'Electric Calendarize'!AS$4+1))</f>
        <v>0</v>
      </c>
      <c r="AT195">
        <f ca="1">IF(OR($L195&gt;AT$4,AT$4&gt;$L195+23),"",OFFSET(Electric!$L186,0,-'Electric Calendarize'!$L195+'Electric Calendarize'!AT$4+1))</f>
        <v>0</v>
      </c>
      <c r="AU195">
        <f ca="1">IF(OR($L195&gt;AU$4,AU$4&gt;$L195+23),"",OFFSET(Electric!$L186,0,-'Electric Calendarize'!$L195+'Electric Calendarize'!AU$4+1))</f>
        <v>172</v>
      </c>
      <c r="AV195">
        <f ca="1">IF(OR($L195&gt;AV$4,AV$4&gt;$L195+23),"",OFFSET(Electric!$L186,0,-'Electric Calendarize'!$L195+'Electric Calendarize'!AV$4+1))</f>
        <v>266</v>
      </c>
      <c r="AW195">
        <f ca="1">IF(OR($L195&gt;AW$4,AW$4&gt;$L195+23),"",OFFSET(Electric!$L186,0,-'Electric Calendarize'!$L195+'Electric Calendarize'!AW$4+1))</f>
        <v>911</v>
      </c>
      <c r="AX195">
        <f ca="1">IF(OR($L195&gt;AX$4,AX$4&gt;$L195+23),"",OFFSET(Electric!$L186,0,-'Electric Calendarize'!$L195+'Electric Calendarize'!AX$4+1))</f>
        <v>1100</v>
      </c>
      <c r="AY195">
        <f ca="1">IF(OR($L195&gt;AY$4,AY$4&gt;$L195+23),"",OFFSET(Electric!$L186,0,-'Electric Calendarize'!$L195+'Electric Calendarize'!AY$4+1))</f>
        <v>980</v>
      </c>
      <c r="AZ195">
        <f ca="1">IF(OR($L195&gt;AZ$4,AZ$4&gt;$L195+23),"",OFFSET(Electric!$L186,0,-'Electric Calendarize'!$L195+'Electric Calendarize'!AZ$4+1))</f>
        <v>850</v>
      </c>
      <c r="BA195">
        <f ca="1">IF(OR($L195&gt;BA$4,BA$4&gt;$L195+23),"",OFFSET(Electric!$L186,0,-'Electric Calendarize'!$L195+'Electric Calendarize'!BA$4+1))</f>
        <v>1231</v>
      </c>
      <c r="BB195">
        <f ca="1">IF(OR($L195&gt;BB$4,BB$4&gt;$L195+23),"",OFFSET(Electric!$L186,0,-'Electric Calendarize'!$L195+'Electric Calendarize'!BB$4+1))</f>
        <v>928</v>
      </c>
      <c r="BC195">
        <f ca="1">IF(OR($L195&gt;BC$4,BC$4&gt;$L195+23),"",OFFSET(Electric!$L186,0,-'Electric Calendarize'!$L195+'Electric Calendarize'!BC$4+1))</f>
        <v>1046</v>
      </c>
      <c r="BD195">
        <f ca="1">IF(OR($L195&gt;BD$4,BD$4&gt;$L195+23),"",OFFSET(Electric!$L186,0,-'Electric Calendarize'!$L195+'Electric Calendarize'!BD$4+1))</f>
        <v>936</v>
      </c>
      <c r="BE195">
        <f ca="1">IF(OR($L195&gt;BE$4,BE$4&gt;$L195+23),"",OFFSET(Electric!$L186,0,-'Electric Calendarize'!$L195+'Electric Calendarize'!BE$4+1))</f>
        <v>1102</v>
      </c>
      <c r="BF195">
        <f ca="1">IF(OR($L195&gt;BF$4,BF$4&gt;$L195+23),"",OFFSET(Electric!$L186,0,-'Electric Calendarize'!$L195+'Electric Calendarize'!BF$4+1))</f>
        <v>951</v>
      </c>
      <c r="BG195">
        <f ca="1">IF(OR($L195&gt;BG$4,BG$4&gt;$L195+23),"",OFFSET(Electric!$L186,0,-'Electric Calendarize'!$L195+'Electric Calendarize'!BG$4+1))</f>
        <v>866</v>
      </c>
      <c r="BJ195" s="10" t="s">
        <v>37</v>
      </c>
      <c r="BK195">
        <f t="shared" si="411"/>
        <v>1</v>
      </c>
      <c r="BL195">
        <f t="shared" si="317"/>
        <v>0</v>
      </c>
      <c r="BM195">
        <f t="shared" si="318"/>
        <v>0</v>
      </c>
      <c r="BN195">
        <f t="shared" si="319"/>
        <v>0</v>
      </c>
      <c r="BO195">
        <f t="shared" si="320"/>
        <v>0</v>
      </c>
      <c r="BP195">
        <f t="shared" si="321"/>
        <v>0</v>
      </c>
      <c r="BQ195">
        <f t="shared" si="322"/>
        <v>0</v>
      </c>
      <c r="BR195">
        <f t="shared" si="323"/>
        <v>1</v>
      </c>
      <c r="BS195">
        <f t="shared" si="324"/>
        <v>1</v>
      </c>
      <c r="BT195">
        <f t="shared" si="325"/>
        <v>1</v>
      </c>
      <c r="BU195">
        <f t="shared" si="326"/>
        <v>1</v>
      </c>
      <c r="BV195">
        <f t="shared" si="327"/>
        <v>1</v>
      </c>
      <c r="BW195">
        <f t="shared" si="328"/>
        <v>1</v>
      </c>
      <c r="BX195">
        <f t="shared" si="329"/>
        <v>0</v>
      </c>
      <c r="BY195">
        <f t="shared" si="330"/>
        <v>0</v>
      </c>
      <c r="BZ195">
        <f t="shared" si="331"/>
        <v>0</v>
      </c>
      <c r="CA195">
        <f t="shared" si="332"/>
        <v>0</v>
      </c>
      <c r="CB195">
        <f t="shared" si="333"/>
        <v>0</v>
      </c>
      <c r="CC195">
        <f t="shared" si="334"/>
        <v>0</v>
      </c>
      <c r="CD195">
        <f t="shared" si="335"/>
        <v>1</v>
      </c>
      <c r="CE195">
        <f t="shared" si="336"/>
        <v>1</v>
      </c>
      <c r="CF195">
        <f t="shared" si="337"/>
        <v>1</v>
      </c>
      <c r="CG195">
        <f t="shared" si="338"/>
        <v>1</v>
      </c>
      <c r="CH195">
        <f t="shared" si="339"/>
        <v>1</v>
      </c>
      <c r="CI195">
        <f t="shared" si="340"/>
        <v>1</v>
      </c>
      <c r="CJ195">
        <f t="shared" si="341"/>
        <v>0</v>
      </c>
      <c r="CK195">
        <f t="shared" si="342"/>
        <v>0</v>
      </c>
      <c r="CL195">
        <f t="shared" si="343"/>
        <v>0</v>
      </c>
      <c r="CM195">
        <f t="shared" si="344"/>
        <v>0</v>
      </c>
      <c r="CN195">
        <f t="shared" si="345"/>
        <v>0</v>
      </c>
      <c r="CO195">
        <f t="shared" si="346"/>
        <v>0</v>
      </c>
      <c r="CP195">
        <f t="shared" si="347"/>
        <v>1</v>
      </c>
      <c r="CQ195">
        <f t="shared" si="348"/>
        <v>1</v>
      </c>
      <c r="CR195">
        <f t="shared" si="349"/>
        <v>1</v>
      </c>
      <c r="CS195">
        <f t="shared" si="350"/>
        <v>1</v>
      </c>
      <c r="CT195">
        <f t="shared" si="351"/>
        <v>1</v>
      </c>
      <c r="CU195">
        <f t="shared" si="352"/>
        <v>1</v>
      </c>
      <c r="CV195">
        <f t="shared" si="353"/>
        <v>0</v>
      </c>
      <c r="CW195">
        <f t="shared" si="354"/>
        <v>0</v>
      </c>
      <c r="CX195">
        <f t="shared" si="355"/>
        <v>0</v>
      </c>
      <c r="CY195">
        <f t="shared" si="356"/>
        <v>0</v>
      </c>
      <c r="CZ195">
        <f t="shared" si="357"/>
        <v>0</v>
      </c>
      <c r="DA195">
        <f t="shared" si="358"/>
        <v>0</v>
      </c>
      <c r="DB195">
        <f t="shared" si="359"/>
        <v>1</v>
      </c>
      <c r="DC195">
        <f t="shared" si="360"/>
        <v>1</v>
      </c>
      <c r="DF195" s="10" t="s">
        <v>37</v>
      </c>
      <c r="DG195" t="str">
        <f t="shared" si="423"/>
        <v>2023_1</v>
      </c>
      <c r="DH195" t="str">
        <f t="shared" si="423"/>
        <v>2023_1</v>
      </c>
      <c r="DI195" t="str">
        <f t="shared" si="423"/>
        <v>2023_1</v>
      </c>
      <c r="DJ195" t="str">
        <f t="shared" si="423"/>
        <v>2023_1</v>
      </c>
      <c r="DK195" t="str">
        <f t="shared" si="423"/>
        <v>2023_1</v>
      </c>
      <c r="DL195" t="str">
        <f t="shared" si="423"/>
        <v>2023_1</v>
      </c>
      <c r="DM195" t="str">
        <f t="shared" si="423"/>
        <v>2023_1</v>
      </c>
      <c r="DN195" t="str">
        <f t="shared" si="423"/>
        <v>2023_1</v>
      </c>
      <c r="DO195" t="str">
        <f t="shared" si="423"/>
        <v>2023_1</v>
      </c>
      <c r="DP195" t="str">
        <f t="shared" si="423"/>
        <v>2023_1</v>
      </c>
      <c r="DQ195" t="str">
        <f t="shared" si="423"/>
        <v>2023_1</v>
      </c>
      <c r="DR195" t="str">
        <f t="shared" si="423"/>
        <v>2023_1</v>
      </c>
      <c r="DS195" t="str">
        <f t="shared" si="423"/>
        <v>2023_1</v>
      </c>
      <c r="DT195" t="str">
        <f t="shared" si="423"/>
        <v>2023_1</v>
      </c>
      <c r="DU195" t="str">
        <f t="shared" si="423"/>
        <v>2023_1</v>
      </c>
      <c r="DV195" t="str">
        <f t="shared" si="423"/>
        <v>2023_1</v>
      </c>
      <c r="DW195" t="str">
        <f t="shared" si="422"/>
        <v>2023_1</v>
      </c>
      <c r="DX195" t="str">
        <f t="shared" si="422"/>
        <v>2023_1</v>
      </c>
      <c r="DY195" t="str">
        <f t="shared" si="422"/>
        <v>2023_1</v>
      </c>
      <c r="DZ195" t="str">
        <f t="shared" si="422"/>
        <v>2023_1</v>
      </c>
      <c r="EA195" t="str">
        <f t="shared" si="422"/>
        <v>2023_1</v>
      </c>
      <c r="EB195" t="str">
        <f t="shared" si="422"/>
        <v>2023_1</v>
      </c>
      <c r="EC195" t="str">
        <f t="shared" si="422"/>
        <v>2023_1</v>
      </c>
      <c r="ED195" t="str">
        <f t="shared" si="422"/>
        <v>2023_1</v>
      </c>
      <c r="EE195" t="str">
        <f t="shared" si="422"/>
        <v>2023_1</v>
      </c>
      <c r="EF195" t="str">
        <f t="shared" si="422"/>
        <v>2023_1</v>
      </c>
      <c r="EG195" t="str">
        <f t="shared" si="422"/>
        <v>2023_1</v>
      </c>
      <c r="EH195" t="str">
        <f t="shared" si="422"/>
        <v>2023_1</v>
      </c>
      <c r="EI195" t="str">
        <f t="shared" si="422"/>
        <v>2023_1</v>
      </c>
      <c r="EJ195" t="str">
        <f t="shared" si="422"/>
        <v>2023_1</v>
      </c>
      <c r="EK195" t="str">
        <f t="shared" si="421"/>
        <v>2023_1</v>
      </c>
      <c r="EL195" t="str">
        <f t="shared" si="421"/>
        <v>2023_1</v>
      </c>
      <c r="EM195" t="str">
        <f t="shared" si="421"/>
        <v>2023_1</v>
      </c>
      <c r="EN195" t="str">
        <f t="shared" si="421"/>
        <v>2023_1</v>
      </c>
      <c r="EO195" t="str">
        <f t="shared" si="421"/>
        <v>2023_1</v>
      </c>
      <c r="EP195" t="str">
        <f t="shared" si="421"/>
        <v>2023_1</v>
      </c>
      <c r="EQ195" t="str">
        <f t="shared" si="421"/>
        <v>2023_1</v>
      </c>
      <c r="ER195" t="str">
        <f t="shared" si="421"/>
        <v>2023_1</v>
      </c>
      <c r="ES195" t="str">
        <f t="shared" si="421"/>
        <v>2023_1</v>
      </c>
      <c r="ET195" t="str">
        <f t="shared" si="421"/>
        <v>2023_1</v>
      </c>
      <c r="EU195" t="str">
        <f t="shared" si="421"/>
        <v>2023_1</v>
      </c>
      <c r="EV195" t="str">
        <f t="shared" si="421"/>
        <v>2023_1</v>
      </c>
      <c r="EW195" t="str">
        <f t="shared" si="421"/>
        <v>2023_1</v>
      </c>
      <c r="EX195" t="str">
        <f t="shared" si="421"/>
        <v>2023_1</v>
      </c>
      <c r="EY195" t="str">
        <f t="shared" si="421"/>
        <v>2023_1</v>
      </c>
      <c r="FB195" s="10" t="s">
        <v>37</v>
      </c>
      <c r="FC195">
        <f t="shared" si="413"/>
        <v>0</v>
      </c>
      <c r="FD195">
        <f t="shared" si="363"/>
        <v>0</v>
      </c>
      <c r="FE195">
        <f t="shared" si="364"/>
        <v>0</v>
      </c>
      <c r="FF195">
        <f t="shared" si="365"/>
        <v>0</v>
      </c>
      <c r="FG195">
        <f t="shared" si="366"/>
        <v>0</v>
      </c>
      <c r="FH195">
        <f t="shared" si="367"/>
        <v>0</v>
      </c>
      <c r="FI195">
        <f t="shared" si="368"/>
        <v>0</v>
      </c>
      <c r="FJ195">
        <f t="shared" si="369"/>
        <v>0</v>
      </c>
      <c r="FK195">
        <f t="shared" si="370"/>
        <v>0</v>
      </c>
      <c r="FL195">
        <f t="shared" si="371"/>
        <v>0</v>
      </c>
      <c r="FM195">
        <f t="shared" si="372"/>
        <v>0</v>
      </c>
      <c r="FN195">
        <f t="shared" si="373"/>
        <v>0</v>
      </c>
      <c r="FO195">
        <f t="shared" si="374"/>
        <v>0</v>
      </c>
      <c r="FP195">
        <f t="shared" si="375"/>
        <v>0</v>
      </c>
      <c r="FQ195">
        <f t="shared" si="376"/>
        <v>0</v>
      </c>
      <c r="FR195">
        <f t="shared" si="377"/>
        <v>0</v>
      </c>
      <c r="FS195">
        <f t="shared" si="378"/>
        <v>0</v>
      </c>
      <c r="FT195">
        <f t="shared" si="379"/>
        <v>0</v>
      </c>
      <c r="FU195">
        <f t="shared" si="380"/>
        <v>0</v>
      </c>
      <c r="FV195">
        <f t="shared" si="381"/>
        <v>0</v>
      </c>
      <c r="FW195">
        <f t="shared" si="382"/>
        <v>0</v>
      </c>
      <c r="FX195">
        <f t="shared" si="383"/>
        <v>0</v>
      </c>
      <c r="FY195">
        <f t="shared" si="384"/>
        <v>0</v>
      </c>
      <c r="FZ195">
        <f t="shared" si="385"/>
        <v>0</v>
      </c>
      <c r="GA195">
        <f t="shared" si="386"/>
        <v>0</v>
      </c>
      <c r="GB195">
        <f t="shared" si="387"/>
        <v>0</v>
      </c>
      <c r="GC195">
        <f t="shared" si="388"/>
        <v>0</v>
      </c>
      <c r="GD195">
        <f t="shared" si="389"/>
        <v>0</v>
      </c>
      <c r="GE195">
        <f t="shared" si="390"/>
        <v>0</v>
      </c>
      <c r="GF195">
        <f t="shared" si="391"/>
        <v>0</v>
      </c>
      <c r="GG195">
        <f t="shared" si="392"/>
        <v>0</v>
      </c>
      <c r="GH195">
        <f t="shared" si="393"/>
        <v>0</v>
      </c>
      <c r="GI195">
        <f t="shared" si="394"/>
        <v>0</v>
      </c>
      <c r="GJ195">
        <f t="shared" si="395"/>
        <v>1</v>
      </c>
      <c r="GK195">
        <f t="shared" si="396"/>
        <v>1</v>
      </c>
      <c r="GL195">
        <f t="shared" si="397"/>
        <v>1</v>
      </c>
      <c r="GM195">
        <f t="shared" si="398"/>
        <v>1</v>
      </c>
      <c r="GN195">
        <f t="shared" si="399"/>
        <v>1</v>
      </c>
      <c r="GO195">
        <f t="shared" si="400"/>
        <v>1</v>
      </c>
      <c r="GP195">
        <f t="shared" si="401"/>
        <v>1</v>
      </c>
      <c r="GQ195">
        <f t="shared" si="402"/>
        <v>1</v>
      </c>
      <c r="GR195">
        <f t="shared" si="403"/>
        <v>1</v>
      </c>
      <c r="GS195">
        <f t="shared" si="404"/>
        <v>1</v>
      </c>
      <c r="GT195">
        <f t="shared" si="405"/>
        <v>1</v>
      </c>
      <c r="GU195">
        <f t="shared" si="406"/>
        <v>1</v>
      </c>
      <c r="GX195" s="10"/>
    </row>
    <row r="196" spans="1:206" x14ac:dyDescent="0.3">
      <c r="A196" s="9" t="s">
        <v>124</v>
      </c>
      <c r="B196" s="80"/>
      <c r="C196" s="9">
        <v>3020274000</v>
      </c>
      <c r="D196" s="9" t="s">
        <v>351</v>
      </c>
      <c r="E196" s="9" t="s">
        <v>39</v>
      </c>
      <c r="F196" s="9" t="s">
        <v>35</v>
      </c>
      <c r="G196" s="9" t="s">
        <v>224</v>
      </c>
      <c r="H196" s="10">
        <v>44938</v>
      </c>
      <c r="I196" s="9">
        <f t="shared" si="407"/>
        <v>2023</v>
      </c>
      <c r="J196" s="9">
        <f t="shared" si="408"/>
        <v>1</v>
      </c>
      <c r="K196" s="9" t="str">
        <f t="shared" si="409"/>
        <v>2023_1</v>
      </c>
      <c r="L196">
        <f>MAX(0,VLOOKUP($K196,lookups!$A$1:$B$45,2,0)-12)</f>
        <v>21</v>
      </c>
      <c r="M196" s="40">
        <f t="shared" si="410"/>
        <v>44927</v>
      </c>
      <c r="N196" s="10" t="s">
        <v>37</v>
      </c>
      <c r="O196" t="str">
        <f ca="1">IF(OR($L196&gt;O$4,O$4&gt;$L196+23),"",OFFSET(Electric!$L187,0,-'Electric Calendarize'!$L196+'Electric Calendarize'!O$4+1))</f>
        <v/>
      </c>
      <c r="P196" t="str">
        <f ca="1">IF(OR($L196&gt;P$4,P$4&gt;$L196+23),"",OFFSET(Electric!$L187,0,-'Electric Calendarize'!$L196+'Electric Calendarize'!P$4+1))</f>
        <v/>
      </c>
      <c r="Q196" t="str">
        <f ca="1">IF(OR($L196&gt;Q$4,Q$4&gt;$L196+23),"",OFFSET(Electric!$L187,0,-'Electric Calendarize'!$L196+'Electric Calendarize'!Q$4+1))</f>
        <v/>
      </c>
      <c r="R196" t="str">
        <f ca="1">IF(OR($L196&gt;R$4,R$4&gt;$L196+23),"",OFFSET(Electric!$L187,0,-'Electric Calendarize'!$L196+'Electric Calendarize'!R$4+1))</f>
        <v/>
      </c>
      <c r="S196" t="str">
        <f ca="1">IF(OR($L196&gt;S$4,S$4&gt;$L196+23),"",OFFSET(Electric!$L187,0,-'Electric Calendarize'!$L196+'Electric Calendarize'!S$4+1))</f>
        <v/>
      </c>
      <c r="T196" t="str">
        <f ca="1">IF(OR($L196&gt;T$4,T$4&gt;$L196+23),"",OFFSET(Electric!$L187,0,-'Electric Calendarize'!$L196+'Electric Calendarize'!T$4+1))</f>
        <v/>
      </c>
      <c r="U196" t="str">
        <f ca="1">IF(OR($L196&gt;U$4,U$4&gt;$L196+23),"",OFFSET(Electric!$L187,0,-'Electric Calendarize'!$L196+'Electric Calendarize'!U$4+1))</f>
        <v/>
      </c>
      <c r="V196" t="str">
        <f ca="1">IF(OR($L196&gt;V$4,V$4&gt;$L196+23),"",OFFSET(Electric!$L187,0,-'Electric Calendarize'!$L196+'Electric Calendarize'!V$4+1))</f>
        <v/>
      </c>
      <c r="W196" t="str">
        <f ca="1">IF(OR($L196&gt;W$4,W$4&gt;$L196+23),"",OFFSET(Electric!$L187,0,-'Electric Calendarize'!$L196+'Electric Calendarize'!W$4+1))</f>
        <v/>
      </c>
      <c r="X196" t="str">
        <f ca="1">IF(OR($L196&gt;X$4,X$4&gt;$L196+23),"",OFFSET(Electric!$L187,0,-'Electric Calendarize'!$L196+'Electric Calendarize'!X$4+1))</f>
        <v/>
      </c>
      <c r="Y196" t="str">
        <f ca="1">IF(OR($L196&gt;Y$4,Y$4&gt;$L196+23),"",OFFSET(Electric!$L187,0,-'Electric Calendarize'!$L196+'Electric Calendarize'!Y$4+1))</f>
        <v/>
      </c>
      <c r="Z196" t="str">
        <f ca="1">IF(OR($L196&gt;Z$4,Z$4&gt;$L196+23),"",OFFSET(Electric!$L187,0,-'Electric Calendarize'!$L196+'Electric Calendarize'!Z$4+1))</f>
        <v/>
      </c>
      <c r="AA196" t="str">
        <f ca="1">IF(OR($L196&gt;AA$4,AA$4&gt;$L196+23),"",OFFSET(Electric!$L187,0,-'Electric Calendarize'!$L196+'Electric Calendarize'!AA$4+1))</f>
        <v/>
      </c>
      <c r="AB196" t="str">
        <f ca="1">IF(OR($L196&gt;AB$4,AB$4&gt;$L196+23),"",OFFSET(Electric!$L187,0,-'Electric Calendarize'!$L196+'Electric Calendarize'!AB$4+1))</f>
        <v/>
      </c>
      <c r="AC196" t="str">
        <f ca="1">IF(OR($L196&gt;AC$4,AC$4&gt;$L196+23),"",OFFSET(Electric!$L187,0,-'Electric Calendarize'!$L196+'Electric Calendarize'!AC$4+1))</f>
        <v/>
      </c>
      <c r="AD196" t="str">
        <f ca="1">IF(OR($L196&gt;AD$4,AD$4&gt;$L196+23),"",OFFSET(Electric!$L187,0,-'Electric Calendarize'!$L196+'Electric Calendarize'!AD$4+1))</f>
        <v/>
      </c>
      <c r="AE196" t="str">
        <f ca="1">IF(OR($L196&gt;AE$4,AE$4&gt;$L196+23),"",OFFSET(Electric!$L187,0,-'Electric Calendarize'!$L196+'Electric Calendarize'!AE$4+1))</f>
        <v/>
      </c>
      <c r="AF196" t="str">
        <f ca="1">IF(OR($L196&gt;AF$4,AF$4&gt;$L196+23),"",OFFSET(Electric!$L187,0,-'Electric Calendarize'!$L196+'Electric Calendarize'!AF$4+1))</f>
        <v/>
      </c>
      <c r="AG196" t="str">
        <f ca="1">IF(OR($L196&gt;AG$4,AG$4&gt;$L196+23),"",OFFSET(Electric!$L187,0,-'Electric Calendarize'!$L196+'Electric Calendarize'!AG$4+1))</f>
        <v/>
      </c>
      <c r="AH196" t="str">
        <f ca="1">IF(OR($L196&gt;AH$4,AH$4&gt;$L196+23),"",OFFSET(Electric!$L187,0,-'Electric Calendarize'!$L196+'Electric Calendarize'!AH$4+1))</f>
        <v/>
      </c>
      <c r="AI196" t="str">
        <f ca="1">IF(OR($L196&gt;AI$4,AI$4&gt;$L196+23),"",OFFSET(Electric!$L187,0,-'Electric Calendarize'!$L196+'Electric Calendarize'!AI$4+1))</f>
        <v/>
      </c>
      <c r="AJ196">
        <f ca="1">IF(OR($L196&gt;AJ$4,AJ$4&gt;$L196+23),"",OFFSET(Electric!$L187,0,-'Electric Calendarize'!$L196+'Electric Calendarize'!AJ$4+1))</f>
        <v>735</v>
      </c>
      <c r="AK196">
        <f ca="1">IF(OR($L196&gt;AK$4,AK$4&gt;$L196+23),"",OFFSET(Electric!$L187,0,-'Electric Calendarize'!$L196+'Electric Calendarize'!AK$4+1))</f>
        <v>887</v>
      </c>
      <c r="AL196">
        <f ca="1">IF(OR($L196&gt;AL$4,AL$4&gt;$L196+23),"",OFFSET(Electric!$L187,0,-'Electric Calendarize'!$L196+'Electric Calendarize'!AL$4+1))</f>
        <v>907</v>
      </c>
      <c r="AM196">
        <f ca="1">IF(OR($L196&gt;AM$4,AM$4&gt;$L196+23),"",OFFSET(Electric!$L187,0,-'Electric Calendarize'!$L196+'Electric Calendarize'!AM$4+1))</f>
        <v>826</v>
      </c>
      <c r="AN196">
        <f ca="1">IF(OR($L196&gt;AN$4,AN$4&gt;$L196+23),"",OFFSET(Electric!$L187,0,-'Electric Calendarize'!$L196+'Electric Calendarize'!AN$4+1))</f>
        <v>743</v>
      </c>
      <c r="AO196">
        <f ca="1">IF(OR($L196&gt;AO$4,AO$4&gt;$L196+23),"",OFFSET(Electric!$L187,0,-'Electric Calendarize'!$L196+'Electric Calendarize'!AO$4+1))</f>
        <v>991</v>
      </c>
      <c r="AP196">
        <f ca="1">IF(OR($L196&gt;AP$4,AP$4&gt;$L196+23),"",OFFSET(Electric!$L187,0,-'Electric Calendarize'!$L196+'Electric Calendarize'!AP$4+1))</f>
        <v>1385</v>
      </c>
      <c r="AQ196">
        <f ca="1">IF(OR($L196&gt;AQ$4,AQ$4&gt;$L196+23),"",OFFSET(Electric!$L187,0,-'Electric Calendarize'!$L196+'Electric Calendarize'!AQ$4+1))</f>
        <v>2464</v>
      </c>
      <c r="AR196">
        <f ca="1">IF(OR($L196&gt;AR$4,AR$4&gt;$L196+23),"",OFFSET(Electric!$L187,0,-'Electric Calendarize'!$L196+'Electric Calendarize'!AR$4+1))</f>
        <v>1291</v>
      </c>
      <c r="AS196">
        <f ca="1">IF(OR($L196&gt;AS$4,AS$4&gt;$L196+23),"",OFFSET(Electric!$L187,0,-'Electric Calendarize'!$L196+'Electric Calendarize'!AS$4+1))</f>
        <v>650</v>
      </c>
      <c r="AT196">
        <f ca="1">IF(OR($L196&gt;AT$4,AT$4&gt;$L196+23),"",OFFSET(Electric!$L187,0,-'Electric Calendarize'!$L196+'Electric Calendarize'!AT$4+1))</f>
        <v>628</v>
      </c>
      <c r="AU196">
        <f ca="1">IF(OR($L196&gt;AU$4,AU$4&gt;$L196+23),"",OFFSET(Electric!$L187,0,-'Electric Calendarize'!$L196+'Electric Calendarize'!AU$4+1))</f>
        <v>1024</v>
      </c>
      <c r="AV196">
        <f ca="1">IF(OR($L196&gt;AV$4,AV$4&gt;$L196+23),"",OFFSET(Electric!$L187,0,-'Electric Calendarize'!$L196+'Electric Calendarize'!AV$4+1))</f>
        <v>1390</v>
      </c>
      <c r="AW196">
        <f ca="1">IF(OR($L196&gt;AW$4,AW$4&gt;$L196+23),"",OFFSET(Electric!$L187,0,-'Electric Calendarize'!$L196+'Electric Calendarize'!AW$4+1))</f>
        <v>2088</v>
      </c>
      <c r="AX196">
        <f ca="1">IF(OR($L196&gt;AX$4,AX$4&gt;$L196+23),"",OFFSET(Electric!$L187,0,-'Electric Calendarize'!$L196+'Electric Calendarize'!AX$4+1))</f>
        <v>1842</v>
      </c>
      <c r="AY196">
        <f ca="1">IF(OR($L196&gt;AY$4,AY$4&gt;$L196+23),"",OFFSET(Electric!$L187,0,-'Electric Calendarize'!$L196+'Electric Calendarize'!AY$4+1))</f>
        <v>1549</v>
      </c>
      <c r="AZ196">
        <f ca="1">IF(OR($L196&gt;AZ$4,AZ$4&gt;$L196+23),"",OFFSET(Electric!$L187,0,-'Electric Calendarize'!$L196+'Electric Calendarize'!AZ$4+1))</f>
        <v>968</v>
      </c>
      <c r="BA196">
        <f ca="1">IF(OR($L196&gt;BA$4,BA$4&gt;$L196+23),"",OFFSET(Electric!$L187,0,-'Electric Calendarize'!$L196+'Electric Calendarize'!BA$4+1))</f>
        <v>708</v>
      </c>
      <c r="BB196">
        <f ca="1">IF(OR($L196&gt;BB$4,BB$4&gt;$L196+23),"",OFFSET(Electric!$L187,0,-'Electric Calendarize'!$L196+'Electric Calendarize'!BB$4+1))</f>
        <v>1129</v>
      </c>
      <c r="BC196">
        <f ca="1">IF(OR($L196&gt;BC$4,BC$4&gt;$L196+23),"",OFFSET(Electric!$L187,0,-'Electric Calendarize'!$L196+'Electric Calendarize'!BC$4+1))</f>
        <v>1719</v>
      </c>
      <c r="BD196">
        <f ca="1">IF(OR($L196&gt;BD$4,BD$4&gt;$L196+23),"",OFFSET(Electric!$L187,0,-'Electric Calendarize'!$L196+'Electric Calendarize'!BD$4+1))</f>
        <v>1514</v>
      </c>
      <c r="BE196">
        <f ca="1">IF(OR($L196&gt;BE$4,BE$4&gt;$L196+23),"",OFFSET(Electric!$L187,0,-'Electric Calendarize'!$L196+'Electric Calendarize'!BE$4+1))</f>
        <v>1196</v>
      </c>
      <c r="BF196">
        <f ca="1">IF(OR($L196&gt;BF$4,BF$4&gt;$L196+23),"",OFFSET(Electric!$L187,0,-'Electric Calendarize'!$L196+'Electric Calendarize'!BF$4+1))</f>
        <v>826</v>
      </c>
      <c r="BG196">
        <f ca="1">IF(OR($L196&gt;BG$4,BG$4&gt;$L196+23),"",OFFSET(Electric!$L187,0,-'Electric Calendarize'!$L196+'Electric Calendarize'!BG$4+1))</f>
        <v>1788</v>
      </c>
      <c r="BJ196" s="10" t="s">
        <v>37</v>
      </c>
      <c r="BK196">
        <f t="shared" si="411"/>
        <v>1</v>
      </c>
      <c r="BL196">
        <f t="shared" si="317"/>
        <v>0</v>
      </c>
      <c r="BM196">
        <f t="shared" si="318"/>
        <v>0</v>
      </c>
      <c r="BN196">
        <f t="shared" si="319"/>
        <v>0</v>
      </c>
      <c r="BO196">
        <f t="shared" si="320"/>
        <v>0</v>
      </c>
      <c r="BP196">
        <f t="shared" si="321"/>
        <v>0</v>
      </c>
      <c r="BQ196">
        <f t="shared" si="322"/>
        <v>0</v>
      </c>
      <c r="BR196">
        <f t="shared" si="323"/>
        <v>1</v>
      </c>
      <c r="BS196">
        <f t="shared" si="324"/>
        <v>1</v>
      </c>
      <c r="BT196">
        <f t="shared" si="325"/>
        <v>1</v>
      </c>
      <c r="BU196">
        <f t="shared" si="326"/>
        <v>1</v>
      </c>
      <c r="BV196">
        <f t="shared" si="327"/>
        <v>1</v>
      </c>
      <c r="BW196">
        <f t="shared" si="328"/>
        <v>1</v>
      </c>
      <c r="BX196">
        <f t="shared" si="329"/>
        <v>0</v>
      </c>
      <c r="BY196">
        <f t="shared" si="330"/>
        <v>0</v>
      </c>
      <c r="BZ196">
        <f t="shared" si="331"/>
        <v>0</v>
      </c>
      <c r="CA196">
        <f t="shared" si="332"/>
        <v>0</v>
      </c>
      <c r="CB196">
        <f t="shared" si="333"/>
        <v>0</v>
      </c>
      <c r="CC196">
        <f t="shared" si="334"/>
        <v>0</v>
      </c>
      <c r="CD196">
        <f t="shared" si="335"/>
        <v>1</v>
      </c>
      <c r="CE196">
        <f t="shared" si="336"/>
        <v>1</v>
      </c>
      <c r="CF196">
        <f t="shared" si="337"/>
        <v>1</v>
      </c>
      <c r="CG196">
        <f t="shared" si="338"/>
        <v>1</v>
      </c>
      <c r="CH196">
        <f t="shared" si="339"/>
        <v>1</v>
      </c>
      <c r="CI196">
        <f t="shared" si="340"/>
        <v>1</v>
      </c>
      <c r="CJ196">
        <f t="shared" si="341"/>
        <v>0</v>
      </c>
      <c r="CK196">
        <f t="shared" si="342"/>
        <v>0</v>
      </c>
      <c r="CL196">
        <f t="shared" si="343"/>
        <v>0</v>
      </c>
      <c r="CM196">
        <f t="shared" si="344"/>
        <v>0</v>
      </c>
      <c r="CN196">
        <f t="shared" si="345"/>
        <v>0</v>
      </c>
      <c r="CO196">
        <f t="shared" si="346"/>
        <v>0</v>
      </c>
      <c r="CP196">
        <f t="shared" si="347"/>
        <v>1</v>
      </c>
      <c r="CQ196">
        <f t="shared" si="348"/>
        <v>1</v>
      </c>
      <c r="CR196">
        <f t="shared" si="349"/>
        <v>1</v>
      </c>
      <c r="CS196">
        <f t="shared" si="350"/>
        <v>1</v>
      </c>
      <c r="CT196">
        <f t="shared" si="351"/>
        <v>1</v>
      </c>
      <c r="CU196">
        <f t="shared" si="352"/>
        <v>1</v>
      </c>
      <c r="CV196">
        <f t="shared" si="353"/>
        <v>0</v>
      </c>
      <c r="CW196">
        <f t="shared" si="354"/>
        <v>0</v>
      </c>
      <c r="CX196">
        <f t="shared" si="355"/>
        <v>0</v>
      </c>
      <c r="CY196">
        <f t="shared" si="356"/>
        <v>0</v>
      </c>
      <c r="CZ196">
        <f t="shared" si="357"/>
        <v>0</v>
      </c>
      <c r="DA196">
        <f t="shared" si="358"/>
        <v>0</v>
      </c>
      <c r="DB196">
        <f t="shared" si="359"/>
        <v>1</v>
      </c>
      <c r="DC196">
        <f t="shared" si="360"/>
        <v>1</v>
      </c>
      <c r="DF196" s="10" t="s">
        <v>37</v>
      </c>
      <c r="DG196" t="str">
        <f t="shared" si="423"/>
        <v>2023_1</v>
      </c>
      <c r="DH196" t="str">
        <f t="shared" si="423"/>
        <v>2023_1</v>
      </c>
      <c r="DI196" t="str">
        <f t="shared" si="423"/>
        <v>2023_1</v>
      </c>
      <c r="DJ196" t="str">
        <f t="shared" si="423"/>
        <v>2023_1</v>
      </c>
      <c r="DK196" t="str">
        <f t="shared" si="423"/>
        <v>2023_1</v>
      </c>
      <c r="DL196" t="str">
        <f t="shared" si="423"/>
        <v>2023_1</v>
      </c>
      <c r="DM196" t="str">
        <f t="shared" si="423"/>
        <v>2023_1</v>
      </c>
      <c r="DN196" t="str">
        <f t="shared" si="423"/>
        <v>2023_1</v>
      </c>
      <c r="DO196" t="str">
        <f t="shared" si="423"/>
        <v>2023_1</v>
      </c>
      <c r="DP196" t="str">
        <f t="shared" si="423"/>
        <v>2023_1</v>
      </c>
      <c r="DQ196" t="str">
        <f t="shared" si="423"/>
        <v>2023_1</v>
      </c>
      <c r="DR196" t="str">
        <f t="shared" si="423"/>
        <v>2023_1</v>
      </c>
      <c r="DS196" t="str">
        <f t="shared" si="423"/>
        <v>2023_1</v>
      </c>
      <c r="DT196" t="str">
        <f t="shared" si="423"/>
        <v>2023_1</v>
      </c>
      <c r="DU196" t="str">
        <f t="shared" si="423"/>
        <v>2023_1</v>
      </c>
      <c r="DV196" t="str">
        <f t="shared" si="423"/>
        <v>2023_1</v>
      </c>
      <c r="DW196" t="str">
        <f t="shared" si="422"/>
        <v>2023_1</v>
      </c>
      <c r="DX196" t="str">
        <f t="shared" si="422"/>
        <v>2023_1</v>
      </c>
      <c r="DY196" t="str">
        <f t="shared" si="422"/>
        <v>2023_1</v>
      </c>
      <c r="DZ196" t="str">
        <f t="shared" si="422"/>
        <v>2023_1</v>
      </c>
      <c r="EA196" t="str">
        <f t="shared" si="422"/>
        <v>2023_1</v>
      </c>
      <c r="EB196" t="str">
        <f t="shared" si="422"/>
        <v>2023_1</v>
      </c>
      <c r="EC196" t="str">
        <f t="shared" si="422"/>
        <v>2023_1</v>
      </c>
      <c r="ED196" t="str">
        <f t="shared" si="422"/>
        <v>2023_1</v>
      </c>
      <c r="EE196" t="str">
        <f t="shared" si="422"/>
        <v>2023_1</v>
      </c>
      <c r="EF196" t="str">
        <f t="shared" si="422"/>
        <v>2023_1</v>
      </c>
      <c r="EG196" t="str">
        <f t="shared" si="422"/>
        <v>2023_1</v>
      </c>
      <c r="EH196" t="str">
        <f t="shared" si="422"/>
        <v>2023_1</v>
      </c>
      <c r="EI196" t="str">
        <f t="shared" si="422"/>
        <v>2023_1</v>
      </c>
      <c r="EJ196" t="str">
        <f t="shared" si="422"/>
        <v>2023_1</v>
      </c>
      <c r="EK196" t="str">
        <f t="shared" si="421"/>
        <v>2023_1</v>
      </c>
      <c r="EL196" t="str">
        <f t="shared" si="421"/>
        <v>2023_1</v>
      </c>
      <c r="EM196" t="str">
        <f t="shared" si="421"/>
        <v>2023_1</v>
      </c>
      <c r="EN196" t="str">
        <f t="shared" si="421"/>
        <v>2023_1</v>
      </c>
      <c r="EO196" t="str">
        <f t="shared" si="421"/>
        <v>2023_1</v>
      </c>
      <c r="EP196" t="str">
        <f t="shared" si="421"/>
        <v>2023_1</v>
      </c>
      <c r="EQ196" t="str">
        <f t="shared" si="421"/>
        <v>2023_1</v>
      </c>
      <c r="ER196" t="str">
        <f t="shared" si="421"/>
        <v>2023_1</v>
      </c>
      <c r="ES196" t="str">
        <f t="shared" si="421"/>
        <v>2023_1</v>
      </c>
      <c r="ET196" t="str">
        <f t="shared" si="421"/>
        <v>2023_1</v>
      </c>
      <c r="EU196" t="str">
        <f t="shared" si="421"/>
        <v>2023_1</v>
      </c>
      <c r="EV196" t="str">
        <f t="shared" si="421"/>
        <v>2023_1</v>
      </c>
      <c r="EW196" t="str">
        <f t="shared" si="421"/>
        <v>2023_1</v>
      </c>
      <c r="EX196" t="str">
        <f t="shared" si="421"/>
        <v>2023_1</v>
      </c>
      <c r="EY196" t="str">
        <f t="shared" si="421"/>
        <v>2023_1</v>
      </c>
      <c r="FB196" s="10" t="s">
        <v>37</v>
      </c>
      <c r="FC196">
        <f t="shared" si="413"/>
        <v>0</v>
      </c>
      <c r="FD196">
        <f t="shared" si="363"/>
        <v>0</v>
      </c>
      <c r="FE196">
        <f t="shared" si="364"/>
        <v>0</v>
      </c>
      <c r="FF196">
        <f t="shared" si="365"/>
        <v>0</v>
      </c>
      <c r="FG196">
        <f t="shared" si="366"/>
        <v>0</v>
      </c>
      <c r="FH196">
        <f t="shared" si="367"/>
        <v>0</v>
      </c>
      <c r="FI196">
        <f t="shared" si="368"/>
        <v>0</v>
      </c>
      <c r="FJ196">
        <f t="shared" si="369"/>
        <v>0</v>
      </c>
      <c r="FK196">
        <f t="shared" si="370"/>
        <v>0</v>
      </c>
      <c r="FL196">
        <f t="shared" si="371"/>
        <v>0</v>
      </c>
      <c r="FM196">
        <f t="shared" si="372"/>
        <v>0</v>
      </c>
      <c r="FN196">
        <f t="shared" si="373"/>
        <v>0</v>
      </c>
      <c r="FO196">
        <f t="shared" si="374"/>
        <v>0</v>
      </c>
      <c r="FP196">
        <f t="shared" si="375"/>
        <v>0</v>
      </c>
      <c r="FQ196">
        <f t="shared" si="376"/>
        <v>0</v>
      </c>
      <c r="FR196">
        <f t="shared" si="377"/>
        <v>0</v>
      </c>
      <c r="FS196">
        <f t="shared" si="378"/>
        <v>0</v>
      </c>
      <c r="FT196">
        <f t="shared" si="379"/>
        <v>0</v>
      </c>
      <c r="FU196">
        <f t="shared" si="380"/>
        <v>0</v>
      </c>
      <c r="FV196">
        <f t="shared" si="381"/>
        <v>0</v>
      </c>
      <c r="FW196">
        <f t="shared" si="382"/>
        <v>0</v>
      </c>
      <c r="FX196">
        <f t="shared" si="383"/>
        <v>0</v>
      </c>
      <c r="FY196">
        <f t="shared" si="384"/>
        <v>0</v>
      </c>
      <c r="FZ196">
        <f t="shared" si="385"/>
        <v>0</v>
      </c>
      <c r="GA196">
        <f t="shared" si="386"/>
        <v>0</v>
      </c>
      <c r="GB196">
        <f t="shared" si="387"/>
        <v>0</v>
      </c>
      <c r="GC196">
        <f t="shared" si="388"/>
        <v>0</v>
      </c>
      <c r="GD196">
        <f t="shared" si="389"/>
        <v>0</v>
      </c>
      <c r="GE196">
        <f t="shared" si="390"/>
        <v>0</v>
      </c>
      <c r="GF196">
        <f t="shared" si="391"/>
        <v>0</v>
      </c>
      <c r="GG196">
        <f t="shared" si="392"/>
        <v>0</v>
      </c>
      <c r="GH196">
        <f t="shared" si="393"/>
        <v>0</v>
      </c>
      <c r="GI196">
        <f t="shared" si="394"/>
        <v>0</v>
      </c>
      <c r="GJ196">
        <f t="shared" si="395"/>
        <v>1</v>
      </c>
      <c r="GK196">
        <f t="shared" si="396"/>
        <v>1</v>
      </c>
      <c r="GL196">
        <f t="shared" si="397"/>
        <v>1</v>
      </c>
      <c r="GM196">
        <f t="shared" si="398"/>
        <v>1</v>
      </c>
      <c r="GN196">
        <f t="shared" si="399"/>
        <v>1</v>
      </c>
      <c r="GO196">
        <f t="shared" si="400"/>
        <v>1</v>
      </c>
      <c r="GP196">
        <f t="shared" si="401"/>
        <v>1</v>
      </c>
      <c r="GQ196">
        <f t="shared" si="402"/>
        <v>1</v>
      </c>
      <c r="GR196">
        <f t="shared" si="403"/>
        <v>1</v>
      </c>
      <c r="GS196">
        <f t="shared" si="404"/>
        <v>1</v>
      </c>
      <c r="GT196">
        <f t="shared" si="405"/>
        <v>1</v>
      </c>
      <c r="GU196">
        <f t="shared" si="406"/>
        <v>1</v>
      </c>
      <c r="GX196" s="10"/>
    </row>
    <row r="197" spans="1:206" x14ac:dyDescent="0.3">
      <c r="A197" s="9" t="s">
        <v>124</v>
      </c>
      <c r="B197" s="80"/>
      <c r="C197" s="9">
        <v>3041201000</v>
      </c>
      <c r="D197" s="9" t="s">
        <v>368</v>
      </c>
      <c r="E197" s="9" t="s">
        <v>39</v>
      </c>
      <c r="F197" s="9" t="s">
        <v>35</v>
      </c>
      <c r="G197" s="9" t="s">
        <v>142</v>
      </c>
      <c r="H197" s="10">
        <v>44940</v>
      </c>
      <c r="I197" s="9">
        <f t="shared" si="407"/>
        <v>2023</v>
      </c>
      <c r="J197" s="9">
        <f t="shared" si="408"/>
        <v>1</v>
      </c>
      <c r="K197" s="9" t="str">
        <f t="shared" si="409"/>
        <v>2023_1</v>
      </c>
      <c r="L197">
        <f>MAX(0,VLOOKUP($K197,lookups!$A$1:$B$45,2,0)-12)</f>
        <v>21</v>
      </c>
      <c r="M197" s="40">
        <f t="shared" si="410"/>
        <v>44927</v>
      </c>
      <c r="N197" s="10" t="s">
        <v>37</v>
      </c>
      <c r="O197" t="str">
        <f ca="1">IF(OR($L197&gt;O$4,O$4&gt;$L197+23),"",OFFSET(Electric!$L188,0,-'Electric Calendarize'!$L197+'Electric Calendarize'!O$4+1))</f>
        <v/>
      </c>
      <c r="P197" t="str">
        <f ca="1">IF(OR($L197&gt;P$4,P$4&gt;$L197+23),"",OFFSET(Electric!$L188,0,-'Electric Calendarize'!$L197+'Electric Calendarize'!P$4+1))</f>
        <v/>
      </c>
      <c r="Q197" t="str">
        <f ca="1">IF(OR($L197&gt;Q$4,Q$4&gt;$L197+23),"",OFFSET(Electric!$L188,0,-'Electric Calendarize'!$L197+'Electric Calendarize'!Q$4+1))</f>
        <v/>
      </c>
      <c r="R197" t="str">
        <f ca="1">IF(OR($L197&gt;R$4,R$4&gt;$L197+23),"",OFFSET(Electric!$L188,0,-'Electric Calendarize'!$L197+'Electric Calendarize'!R$4+1))</f>
        <v/>
      </c>
      <c r="S197" t="str">
        <f ca="1">IF(OR($L197&gt;S$4,S$4&gt;$L197+23),"",OFFSET(Electric!$L188,0,-'Electric Calendarize'!$L197+'Electric Calendarize'!S$4+1))</f>
        <v/>
      </c>
      <c r="T197" t="str">
        <f ca="1">IF(OR($L197&gt;T$4,T$4&gt;$L197+23),"",OFFSET(Electric!$L188,0,-'Electric Calendarize'!$L197+'Electric Calendarize'!T$4+1))</f>
        <v/>
      </c>
      <c r="U197" t="str">
        <f ca="1">IF(OR($L197&gt;U$4,U$4&gt;$L197+23),"",OFFSET(Electric!$L188,0,-'Electric Calendarize'!$L197+'Electric Calendarize'!U$4+1))</f>
        <v/>
      </c>
      <c r="V197" t="str">
        <f ca="1">IF(OR($L197&gt;V$4,V$4&gt;$L197+23),"",OFFSET(Electric!$L188,0,-'Electric Calendarize'!$L197+'Electric Calendarize'!V$4+1))</f>
        <v/>
      </c>
      <c r="W197" t="str">
        <f ca="1">IF(OR($L197&gt;W$4,W$4&gt;$L197+23),"",OFFSET(Electric!$L188,0,-'Electric Calendarize'!$L197+'Electric Calendarize'!W$4+1))</f>
        <v/>
      </c>
      <c r="X197" t="str">
        <f ca="1">IF(OR($L197&gt;X$4,X$4&gt;$L197+23),"",OFFSET(Electric!$L188,0,-'Electric Calendarize'!$L197+'Electric Calendarize'!X$4+1))</f>
        <v/>
      </c>
      <c r="Y197" t="str">
        <f ca="1">IF(OR($L197&gt;Y$4,Y$4&gt;$L197+23),"",OFFSET(Electric!$L188,0,-'Electric Calendarize'!$L197+'Electric Calendarize'!Y$4+1))</f>
        <v/>
      </c>
      <c r="Z197" t="str">
        <f ca="1">IF(OR($L197&gt;Z$4,Z$4&gt;$L197+23),"",OFFSET(Electric!$L188,0,-'Electric Calendarize'!$L197+'Electric Calendarize'!Z$4+1))</f>
        <v/>
      </c>
      <c r="AA197" t="str">
        <f ca="1">IF(OR($L197&gt;AA$4,AA$4&gt;$L197+23),"",OFFSET(Electric!$L188,0,-'Electric Calendarize'!$L197+'Electric Calendarize'!AA$4+1))</f>
        <v/>
      </c>
      <c r="AB197" t="str">
        <f ca="1">IF(OR($L197&gt;AB$4,AB$4&gt;$L197+23),"",OFFSET(Electric!$L188,0,-'Electric Calendarize'!$L197+'Electric Calendarize'!AB$4+1))</f>
        <v/>
      </c>
      <c r="AC197" t="str">
        <f ca="1">IF(OR($L197&gt;AC$4,AC$4&gt;$L197+23),"",OFFSET(Electric!$L188,0,-'Electric Calendarize'!$L197+'Electric Calendarize'!AC$4+1))</f>
        <v/>
      </c>
      <c r="AD197" t="str">
        <f ca="1">IF(OR($L197&gt;AD$4,AD$4&gt;$L197+23),"",OFFSET(Electric!$L188,0,-'Electric Calendarize'!$L197+'Electric Calendarize'!AD$4+1))</f>
        <v/>
      </c>
      <c r="AE197" t="str">
        <f ca="1">IF(OR($L197&gt;AE$4,AE$4&gt;$L197+23),"",OFFSET(Electric!$L188,0,-'Electric Calendarize'!$L197+'Electric Calendarize'!AE$4+1))</f>
        <v/>
      </c>
      <c r="AF197" t="str">
        <f ca="1">IF(OR($L197&gt;AF$4,AF$4&gt;$L197+23),"",OFFSET(Electric!$L188,0,-'Electric Calendarize'!$L197+'Electric Calendarize'!AF$4+1))</f>
        <v/>
      </c>
      <c r="AG197" t="str">
        <f ca="1">IF(OR($L197&gt;AG$4,AG$4&gt;$L197+23),"",OFFSET(Electric!$L188,0,-'Electric Calendarize'!$L197+'Electric Calendarize'!AG$4+1))</f>
        <v/>
      </c>
      <c r="AH197" t="str">
        <f ca="1">IF(OR($L197&gt;AH$4,AH$4&gt;$L197+23),"",OFFSET(Electric!$L188,0,-'Electric Calendarize'!$L197+'Electric Calendarize'!AH$4+1))</f>
        <v/>
      </c>
      <c r="AI197" t="str">
        <f ca="1">IF(OR($L197&gt;AI$4,AI$4&gt;$L197+23),"",OFFSET(Electric!$L188,0,-'Electric Calendarize'!$L197+'Electric Calendarize'!AI$4+1))</f>
        <v/>
      </c>
      <c r="AJ197">
        <f ca="1">IF(OR($L197&gt;AJ$4,AJ$4&gt;$L197+23),"",OFFSET(Electric!$L188,0,-'Electric Calendarize'!$L197+'Electric Calendarize'!AJ$4+1))</f>
        <v>0</v>
      </c>
      <c r="AK197">
        <f ca="1">IF(OR($L197&gt;AK$4,AK$4&gt;$L197+23),"",OFFSET(Electric!$L188,0,-'Electric Calendarize'!$L197+'Electric Calendarize'!AK$4+1))</f>
        <v>1270</v>
      </c>
      <c r="AL197">
        <f ca="1">IF(OR($L197&gt;AL$4,AL$4&gt;$L197+23),"",OFFSET(Electric!$L188,0,-'Electric Calendarize'!$L197+'Electric Calendarize'!AL$4+1))</f>
        <v>1260</v>
      </c>
      <c r="AM197">
        <f ca="1">IF(OR($L197&gt;AM$4,AM$4&gt;$L197+23),"",OFFSET(Electric!$L188,0,-'Electric Calendarize'!$L197+'Electric Calendarize'!AM$4+1))</f>
        <v>1116</v>
      </c>
      <c r="AN197">
        <f ca="1">IF(OR($L197&gt;AN$4,AN$4&gt;$L197+23),"",OFFSET(Electric!$L188,0,-'Electric Calendarize'!$L197+'Electric Calendarize'!AN$4+1))</f>
        <v>804</v>
      </c>
      <c r="AO197">
        <f ca="1">IF(OR($L197&gt;AO$4,AO$4&gt;$L197+23),"",OFFSET(Electric!$L188,0,-'Electric Calendarize'!$L197+'Electric Calendarize'!AO$4+1))</f>
        <v>812</v>
      </c>
      <c r="AP197">
        <f ca="1">IF(OR($L197&gt;AP$4,AP$4&gt;$L197+23),"",OFFSET(Electric!$L188,0,-'Electric Calendarize'!$L197+'Electric Calendarize'!AP$4+1))</f>
        <v>842</v>
      </c>
      <c r="AQ197">
        <f ca="1">IF(OR($L197&gt;AQ$4,AQ$4&gt;$L197+23),"",OFFSET(Electric!$L188,0,-'Electric Calendarize'!$L197+'Electric Calendarize'!AQ$4+1))</f>
        <v>884</v>
      </c>
      <c r="AR197">
        <f ca="1">IF(OR($L197&gt;AR$4,AR$4&gt;$L197+23),"",OFFSET(Electric!$L188,0,-'Electric Calendarize'!$L197+'Electric Calendarize'!AR$4+1))</f>
        <v>1046</v>
      </c>
      <c r="AS197">
        <f ca="1">IF(OR($L197&gt;AS$4,AS$4&gt;$L197+23),"",OFFSET(Electric!$L188,0,-'Electric Calendarize'!$L197+'Electric Calendarize'!AS$4+1))</f>
        <v>978</v>
      </c>
      <c r="AT197">
        <f ca="1">IF(OR($L197&gt;AT$4,AT$4&gt;$L197+23),"",OFFSET(Electric!$L188,0,-'Electric Calendarize'!$L197+'Electric Calendarize'!AT$4+1))</f>
        <v>1104</v>
      </c>
      <c r="AU197">
        <f ca="1">IF(OR($L197&gt;AU$4,AU$4&gt;$L197+23),"",OFFSET(Electric!$L188,0,-'Electric Calendarize'!$L197+'Electric Calendarize'!AU$4+1))</f>
        <v>1384</v>
      </c>
      <c r="AV197">
        <f ca="1">IF(OR($L197&gt;AV$4,AV$4&gt;$L197+23),"",OFFSET(Electric!$L188,0,-'Electric Calendarize'!$L197+'Electric Calendarize'!AV$4+1))</f>
        <v>1276</v>
      </c>
      <c r="AW197">
        <f ca="1">IF(OR($L197&gt;AW$4,AW$4&gt;$L197+23),"",OFFSET(Electric!$L188,0,-'Electric Calendarize'!$L197+'Electric Calendarize'!AW$4+1))</f>
        <v>1186</v>
      </c>
      <c r="AX197">
        <f ca="1">IF(OR($L197&gt;AX$4,AX$4&gt;$L197+23),"",OFFSET(Electric!$L188,0,-'Electric Calendarize'!$L197+'Electric Calendarize'!AX$4+1))</f>
        <v>982</v>
      </c>
      <c r="AY197">
        <f ca="1">IF(OR($L197&gt;AY$4,AY$4&gt;$L197+23),"",OFFSET(Electric!$L188,0,-'Electric Calendarize'!$L197+'Electric Calendarize'!AY$4+1))</f>
        <v>864</v>
      </c>
      <c r="AZ197">
        <f ca="1">IF(OR($L197&gt;AZ$4,AZ$4&gt;$L197+23),"",OFFSET(Electric!$L188,0,-'Electric Calendarize'!$L197+'Electric Calendarize'!AZ$4+1))</f>
        <v>652</v>
      </c>
      <c r="BA197">
        <f ca="1">IF(OR($L197&gt;BA$4,BA$4&gt;$L197+23),"",OFFSET(Electric!$L188,0,-'Electric Calendarize'!$L197+'Electric Calendarize'!BA$4+1))</f>
        <v>652</v>
      </c>
      <c r="BB197">
        <f ca="1">IF(OR($L197&gt;BB$4,BB$4&gt;$L197+23),"",OFFSET(Electric!$L188,0,-'Electric Calendarize'!$L197+'Electric Calendarize'!BB$4+1))</f>
        <v>670</v>
      </c>
      <c r="BC197">
        <f ca="1">IF(OR($L197&gt;BC$4,BC$4&gt;$L197+23),"",OFFSET(Electric!$L188,0,-'Electric Calendarize'!$L197+'Electric Calendarize'!BC$4+1))</f>
        <v>1402</v>
      </c>
      <c r="BD197">
        <f ca="1">IF(OR($L197&gt;BD$4,BD$4&gt;$L197+23),"",OFFSET(Electric!$L188,0,-'Electric Calendarize'!$L197+'Electric Calendarize'!BD$4+1))</f>
        <v>1548</v>
      </c>
      <c r="BE197">
        <f ca="1">IF(OR($L197&gt;BE$4,BE$4&gt;$L197+23),"",OFFSET(Electric!$L188,0,-'Electric Calendarize'!$L197+'Electric Calendarize'!BE$4+1))</f>
        <v>1626</v>
      </c>
      <c r="BF197">
        <f ca="1">IF(OR($L197&gt;BF$4,BF$4&gt;$L197+23),"",OFFSET(Electric!$L188,0,-'Electric Calendarize'!$L197+'Electric Calendarize'!BF$4+1))</f>
        <v>1084</v>
      </c>
      <c r="BG197">
        <f ca="1">IF(OR($L197&gt;BG$4,BG$4&gt;$L197+23),"",OFFSET(Electric!$L188,0,-'Electric Calendarize'!$L197+'Electric Calendarize'!BG$4+1))</f>
        <v>1112</v>
      </c>
      <c r="BJ197" s="10" t="s">
        <v>37</v>
      </c>
      <c r="BK197">
        <f t="shared" si="411"/>
        <v>1</v>
      </c>
      <c r="BL197">
        <f t="shared" si="317"/>
        <v>0</v>
      </c>
      <c r="BM197">
        <f t="shared" si="318"/>
        <v>0</v>
      </c>
      <c r="BN197">
        <f t="shared" si="319"/>
        <v>0</v>
      </c>
      <c r="BO197">
        <f t="shared" si="320"/>
        <v>0</v>
      </c>
      <c r="BP197">
        <f t="shared" si="321"/>
        <v>0</v>
      </c>
      <c r="BQ197">
        <f t="shared" si="322"/>
        <v>0</v>
      </c>
      <c r="BR197">
        <f t="shared" si="323"/>
        <v>1</v>
      </c>
      <c r="BS197">
        <f t="shared" si="324"/>
        <v>1</v>
      </c>
      <c r="BT197">
        <f t="shared" si="325"/>
        <v>1</v>
      </c>
      <c r="BU197">
        <f t="shared" si="326"/>
        <v>1</v>
      </c>
      <c r="BV197">
        <f t="shared" si="327"/>
        <v>1</v>
      </c>
      <c r="BW197">
        <f t="shared" si="328"/>
        <v>1</v>
      </c>
      <c r="BX197">
        <f t="shared" si="329"/>
        <v>0</v>
      </c>
      <c r="BY197">
        <f t="shared" si="330"/>
        <v>0</v>
      </c>
      <c r="BZ197">
        <f t="shared" si="331"/>
        <v>0</v>
      </c>
      <c r="CA197">
        <f t="shared" si="332"/>
        <v>0</v>
      </c>
      <c r="CB197">
        <f t="shared" si="333"/>
        <v>0</v>
      </c>
      <c r="CC197">
        <f t="shared" si="334"/>
        <v>0</v>
      </c>
      <c r="CD197">
        <f t="shared" si="335"/>
        <v>1</v>
      </c>
      <c r="CE197">
        <f t="shared" si="336"/>
        <v>1</v>
      </c>
      <c r="CF197">
        <f t="shared" si="337"/>
        <v>1</v>
      </c>
      <c r="CG197">
        <f t="shared" si="338"/>
        <v>1</v>
      </c>
      <c r="CH197">
        <f t="shared" si="339"/>
        <v>1</v>
      </c>
      <c r="CI197">
        <f t="shared" si="340"/>
        <v>1</v>
      </c>
      <c r="CJ197">
        <f t="shared" si="341"/>
        <v>0</v>
      </c>
      <c r="CK197">
        <f t="shared" si="342"/>
        <v>0</v>
      </c>
      <c r="CL197">
        <f t="shared" si="343"/>
        <v>0</v>
      </c>
      <c r="CM197">
        <f t="shared" si="344"/>
        <v>0</v>
      </c>
      <c r="CN197">
        <f t="shared" si="345"/>
        <v>0</v>
      </c>
      <c r="CO197">
        <f t="shared" si="346"/>
        <v>0</v>
      </c>
      <c r="CP197">
        <f t="shared" si="347"/>
        <v>1</v>
      </c>
      <c r="CQ197">
        <f t="shared" si="348"/>
        <v>1</v>
      </c>
      <c r="CR197">
        <f t="shared" si="349"/>
        <v>1</v>
      </c>
      <c r="CS197">
        <f t="shared" si="350"/>
        <v>1</v>
      </c>
      <c r="CT197">
        <f t="shared" si="351"/>
        <v>1</v>
      </c>
      <c r="CU197">
        <f t="shared" si="352"/>
        <v>1</v>
      </c>
      <c r="CV197">
        <f t="shared" si="353"/>
        <v>0</v>
      </c>
      <c r="CW197">
        <f t="shared" si="354"/>
        <v>0</v>
      </c>
      <c r="CX197">
        <f t="shared" si="355"/>
        <v>0</v>
      </c>
      <c r="CY197">
        <f t="shared" si="356"/>
        <v>0</v>
      </c>
      <c r="CZ197">
        <f t="shared" si="357"/>
        <v>0</v>
      </c>
      <c r="DA197">
        <f t="shared" si="358"/>
        <v>0</v>
      </c>
      <c r="DB197">
        <f t="shared" si="359"/>
        <v>1</v>
      </c>
      <c r="DC197">
        <f t="shared" si="360"/>
        <v>1</v>
      </c>
      <c r="DF197" s="10" t="s">
        <v>37</v>
      </c>
      <c r="DG197" t="str">
        <f t="shared" si="423"/>
        <v>2023_1</v>
      </c>
      <c r="DH197" t="str">
        <f t="shared" si="423"/>
        <v>2023_1</v>
      </c>
      <c r="DI197" t="str">
        <f t="shared" si="423"/>
        <v>2023_1</v>
      </c>
      <c r="DJ197" t="str">
        <f t="shared" si="423"/>
        <v>2023_1</v>
      </c>
      <c r="DK197" t="str">
        <f t="shared" si="423"/>
        <v>2023_1</v>
      </c>
      <c r="DL197" t="str">
        <f t="shared" si="423"/>
        <v>2023_1</v>
      </c>
      <c r="DM197" t="str">
        <f t="shared" si="423"/>
        <v>2023_1</v>
      </c>
      <c r="DN197" t="str">
        <f t="shared" si="423"/>
        <v>2023_1</v>
      </c>
      <c r="DO197" t="str">
        <f t="shared" si="423"/>
        <v>2023_1</v>
      </c>
      <c r="DP197" t="str">
        <f t="shared" si="423"/>
        <v>2023_1</v>
      </c>
      <c r="DQ197" t="str">
        <f t="shared" si="423"/>
        <v>2023_1</v>
      </c>
      <c r="DR197" t="str">
        <f t="shared" si="423"/>
        <v>2023_1</v>
      </c>
      <c r="DS197" t="str">
        <f t="shared" si="423"/>
        <v>2023_1</v>
      </c>
      <c r="DT197" t="str">
        <f t="shared" si="423"/>
        <v>2023_1</v>
      </c>
      <c r="DU197" t="str">
        <f t="shared" si="423"/>
        <v>2023_1</v>
      </c>
      <c r="DV197" t="str">
        <f t="shared" si="423"/>
        <v>2023_1</v>
      </c>
      <c r="DW197" t="str">
        <f t="shared" si="422"/>
        <v>2023_1</v>
      </c>
      <c r="DX197" t="str">
        <f t="shared" si="422"/>
        <v>2023_1</v>
      </c>
      <c r="DY197" t="str">
        <f t="shared" si="422"/>
        <v>2023_1</v>
      </c>
      <c r="DZ197" t="str">
        <f t="shared" si="422"/>
        <v>2023_1</v>
      </c>
      <c r="EA197" t="str">
        <f t="shared" si="422"/>
        <v>2023_1</v>
      </c>
      <c r="EB197" t="str">
        <f t="shared" si="422"/>
        <v>2023_1</v>
      </c>
      <c r="EC197" t="str">
        <f t="shared" si="422"/>
        <v>2023_1</v>
      </c>
      <c r="ED197" t="str">
        <f t="shared" si="422"/>
        <v>2023_1</v>
      </c>
      <c r="EE197" t="str">
        <f t="shared" si="422"/>
        <v>2023_1</v>
      </c>
      <c r="EF197" t="str">
        <f t="shared" si="422"/>
        <v>2023_1</v>
      </c>
      <c r="EG197" t="str">
        <f t="shared" si="422"/>
        <v>2023_1</v>
      </c>
      <c r="EH197" t="str">
        <f t="shared" si="422"/>
        <v>2023_1</v>
      </c>
      <c r="EI197" t="str">
        <f t="shared" si="422"/>
        <v>2023_1</v>
      </c>
      <c r="EJ197" t="str">
        <f t="shared" si="422"/>
        <v>2023_1</v>
      </c>
      <c r="EK197" t="str">
        <f t="shared" si="421"/>
        <v>2023_1</v>
      </c>
      <c r="EL197" t="str">
        <f t="shared" si="421"/>
        <v>2023_1</v>
      </c>
      <c r="EM197" t="str">
        <f t="shared" si="421"/>
        <v>2023_1</v>
      </c>
      <c r="EN197" t="str">
        <f t="shared" si="421"/>
        <v>2023_1</v>
      </c>
      <c r="EO197" t="str">
        <f t="shared" si="421"/>
        <v>2023_1</v>
      </c>
      <c r="EP197" t="str">
        <f t="shared" si="421"/>
        <v>2023_1</v>
      </c>
      <c r="EQ197" t="str">
        <f t="shared" si="421"/>
        <v>2023_1</v>
      </c>
      <c r="ER197" t="str">
        <f t="shared" si="421"/>
        <v>2023_1</v>
      </c>
      <c r="ES197" t="str">
        <f t="shared" si="421"/>
        <v>2023_1</v>
      </c>
      <c r="ET197" t="str">
        <f t="shared" si="421"/>
        <v>2023_1</v>
      </c>
      <c r="EU197" t="str">
        <f t="shared" si="421"/>
        <v>2023_1</v>
      </c>
      <c r="EV197" t="str">
        <f t="shared" si="421"/>
        <v>2023_1</v>
      </c>
      <c r="EW197" t="str">
        <f t="shared" si="421"/>
        <v>2023_1</v>
      </c>
      <c r="EX197" t="str">
        <f t="shared" si="421"/>
        <v>2023_1</v>
      </c>
      <c r="EY197" t="str">
        <f t="shared" si="421"/>
        <v>2023_1</v>
      </c>
      <c r="FB197" s="10" t="s">
        <v>37</v>
      </c>
      <c r="FC197">
        <f t="shared" si="413"/>
        <v>0</v>
      </c>
      <c r="FD197">
        <f t="shared" si="363"/>
        <v>0</v>
      </c>
      <c r="FE197">
        <f t="shared" si="364"/>
        <v>0</v>
      </c>
      <c r="FF197">
        <f t="shared" si="365"/>
        <v>0</v>
      </c>
      <c r="FG197">
        <f t="shared" si="366"/>
        <v>0</v>
      </c>
      <c r="FH197">
        <f t="shared" si="367"/>
        <v>0</v>
      </c>
      <c r="FI197">
        <f t="shared" si="368"/>
        <v>0</v>
      </c>
      <c r="FJ197">
        <f t="shared" si="369"/>
        <v>0</v>
      </c>
      <c r="FK197">
        <f t="shared" si="370"/>
        <v>0</v>
      </c>
      <c r="FL197">
        <f t="shared" si="371"/>
        <v>0</v>
      </c>
      <c r="FM197">
        <f t="shared" si="372"/>
        <v>0</v>
      </c>
      <c r="FN197">
        <f t="shared" si="373"/>
        <v>0</v>
      </c>
      <c r="FO197">
        <f t="shared" si="374"/>
        <v>0</v>
      </c>
      <c r="FP197">
        <f t="shared" si="375"/>
        <v>0</v>
      </c>
      <c r="FQ197">
        <f t="shared" si="376"/>
        <v>0</v>
      </c>
      <c r="FR197">
        <f t="shared" si="377"/>
        <v>0</v>
      </c>
      <c r="FS197">
        <f t="shared" si="378"/>
        <v>0</v>
      </c>
      <c r="FT197">
        <f t="shared" si="379"/>
        <v>0</v>
      </c>
      <c r="FU197">
        <f t="shared" si="380"/>
        <v>0</v>
      </c>
      <c r="FV197">
        <f t="shared" si="381"/>
        <v>0</v>
      </c>
      <c r="FW197">
        <f t="shared" si="382"/>
        <v>0</v>
      </c>
      <c r="FX197">
        <f t="shared" si="383"/>
        <v>0</v>
      </c>
      <c r="FY197">
        <f t="shared" si="384"/>
        <v>0</v>
      </c>
      <c r="FZ197">
        <f t="shared" si="385"/>
        <v>0</v>
      </c>
      <c r="GA197">
        <f t="shared" si="386"/>
        <v>0</v>
      </c>
      <c r="GB197">
        <f t="shared" si="387"/>
        <v>0</v>
      </c>
      <c r="GC197">
        <f t="shared" si="388"/>
        <v>0</v>
      </c>
      <c r="GD197">
        <f t="shared" si="389"/>
        <v>0</v>
      </c>
      <c r="GE197">
        <f t="shared" si="390"/>
        <v>0</v>
      </c>
      <c r="GF197">
        <f t="shared" si="391"/>
        <v>0</v>
      </c>
      <c r="GG197">
        <f t="shared" si="392"/>
        <v>0</v>
      </c>
      <c r="GH197">
        <f t="shared" si="393"/>
        <v>0</v>
      </c>
      <c r="GI197">
        <f t="shared" si="394"/>
        <v>0</v>
      </c>
      <c r="GJ197">
        <f t="shared" si="395"/>
        <v>1</v>
      </c>
      <c r="GK197">
        <f t="shared" si="396"/>
        <v>1</v>
      </c>
      <c r="GL197">
        <f t="shared" si="397"/>
        <v>1</v>
      </c>
      <c r="GM197">
        <f t="shared" si="398"/>
        <v>1</v>
      </c>
      <c r="GN197">
        <f t="shared" si="399"/>
        <v>1</v>
      </c>
      <c r="GO197">
        <f t="shared" si="400"/>
        <v>1</v>
      </c>
      <c r="GP197">
        <f t="shared" si="401"/>
        <v>1</v>
      </c>
      <c r="GQ197">
        <f t="shared" si="402"/>
        <v>1</v>
      </c>
      <c r="GR197">
        <f t="shared" si="403"/>
        <v>1</v>
      </c>
      <c r="GS197">
        <f t="shared" si="404"/>
        <v>1</v>
      </c>
      <c r="GT197">
        <f t="shared" si="405"/>
        <v>1</v>
      </c>
      <c r="GU197">
        <f t="shared" si="406"/>
        <v>1</v>
      </c>
      <c r="GX197" s="10"/>
    </row>
    <row r="198" spans="1:206" x14ac:dyDescent="0.3">
      <c r="A198" s="9" t="s">
        <v>124</v>
      </c>
      <c r="B198" s="80"/>
      <c r="C198" s="9">
        <v>3120130002</v>
      </c>
      <c r="D198" s="9" t="s">
        <v>481</v>
      </c>
      <c r="E198" s="9" t="s">
        <v>34</v>
      </c>
      <c r="F198" s="9" t="s">
        <v>35</v>
      </c>
      <c r="G198" s="9" t="s">
        <v>225</v>
      </c>
      <c r="H198" s="10">
        <v>44940</v>
      </c>
      <c r="I198" s="9">
        <f t="shared" si="407"/>
        <v>2023</v>
      </c>
      <c r="J198" s="9">
        <f t="shared" si="408"/>
        <v>1</v>
      </c>
      <c r="K198" s="9" t="str">
        <f t="shared" si="409"/>
        <v>2023_1</v>
      </c>
      <c r="L198">
        <f>MAX(0,VLOOKUP($K198,lookups!$A$1:$B$45,2,0)-12)</f>
        <v>21</v>
      </c>
      <c r="M198" s="40">
        <f t="shared" si="410"/>
        <v>44927</v>
      </c>
      <c r="N198" s="10" t="s">
        <v>37</v>
      </c>
      <c r="O198" t="str">
        <f ca="1">IF(OR($L198&gt;O$4,O$4&gt;$L198+23),"",OFFSET(Electric!$L189,0,-'Electric Calendarize'!$L198+'Electric Calendarize'!O$4+1))</f>
        <v/>
      </c>
      <c r="P198" t="str">
        <f ca="1">IF(OR($L198&gt;P$4,P$4&gt;$L198+23),"",OFFSET(Electric!$L189,0,-'Electric Calendarize'!$L198+'Electric Calendarize'!P$4+1))</f>
        <v/>
      </c>
      <c r="Q198" t="str">
        <f ca="1">IF(OR($L198&gt;Q$4,Q$4&gt;$L198+23),"",OFFSET(Electric!$L189,0,-'Electric Calendarize'!$L198+'Electric Calendarize'!Q$4+1))</f>
        <v/>
      </c>
      <c r="R198" t="str">
        <f ca="1">IF(OR($L198&gt;R$4,R$4&gt;$L198+23),"",OFFSET(Electric!$L189,0,-'Electric Calendarize'!$L198+'Electric Calendarize'!R$4+1))</f>
        <v/>
      </c>
      <c r="S198" t="str">
        <f ca="1">IF(OR($L198&gt;S$4,S$4&gt;$L198+23),"",OFFSET(Electric!$L189,0,-'Electric Calendarize'!$L198+'Electric Calendarize'!S$4+1))</f>
        <v/>
      </c>
      <c r="T198" t="str">
        <f ca="1">IF(OR($L198&gt;T$4,T$4&gt;$L198+23),"",OFFSET(Electric!$L189,0,-'Electric Calendarize'!$L198+'Electric Calendarize'!T$4+1))</f>
        <v/>
      </c>
      <c r="U198" t="str">
        <f ca="1">IF(OR($L198&gt;U$4,U$4&gt;$L198+23),"",OFFSET(Electric!$L189,0,-'Electric Calendarize'!$L198+'Electric Calendarize'!U$4+1))</f>
        <v/>
      </c>
      <c r="V198" t="str">
        <f ca="1">IF(OR($L198&gt;V$4,V$4&gt;$L198+23),"",OFFSET(Electric!$L189,0,-'Electric Calendarize'!$L198+'Electric Calendarize'!V$4+1))</f>
        <v/>
      </c>
      <c r="W198" t="str">
        <f ca="1">IF(OR($L198&gt;W$4,W$4&gt;$L198+23),"",OFFSET(Electric!$L189,0,-'Electric Calendarize'!$L198+'Electric Calendarize'!W$4+1))</f>
        <v/>
      </c>
      <c r="X198" t="str">
        <f ca="1">IF(OR($L198&gt;X$4,X$4&gt;$L198+23),"",OFFSET(Electric!$L189,0,-'Electric Calendarize'!$L198+'Electric Calendarize'!X$4+1))</f>
        <v/>
      </c>
      <c r="Y198" t="str">
        <f ca="1">IF(OR($L198&gt;Y$4,Y$4&gt;$L198+23),"",OFFSET(Electric!$L189,0,-'Electric Calendarize'!$L198+'Electric Calendarize'!Y$4+1))</f>
        <v/>
      </c>
      <c r="Z198" t="str">
        <f ca="1">IF(OR($L198&gt;Z$4,Z$4&gt;$L198+23),"",OFFSET(Electric!$L189,0,-'Electric Calendarize'!$L198+'Electric Calendarize'!Z$4+1))</f>
        <v/>
      </c>
      <c r="AA198" t="str">
        <f ca="1">IF(OR($L198&gt;AA$4,AA$4&gt;$L198+23),"",OFFSET(Electric!$L189,0,-'Electric Calendarize'!$L198+'Electric Calendarize'!AA$4+1))</f>
        <v/>
      </c>
      <c r="AB198" t="str">
        <f ca="1">IF(OR($L198&gt;AB$4,AB$4&gt;$L198+23),"",OFFSET(Electric!$L189,0,-'Electric Calendarize'!$L198+'Electric Calendarize'!AB$4+1))</f>
        <v/>
      </c>
      <c r="AC198" t="str">
        <f ca="1">IF(OR($L198&gt;AC$4,AC$4&gt;$L198+23),"",OFFSET(Electric!$L189,0,-'Electric Calendarize'!$L198+'Electric Calendarize'!AC$4+1))</f>
        <v/>
      </c>
      <c r="AD198" t="str">
        <f ca="1">IF(OR($L198&gt;AD$4,AD$4&gt;$L198+23),"",OFFSET(Electric!$L189,0,-'Electric Calendarize'!$L198+'Electric Calendarize'!AD$4+1))</f>
        <v/>
      </c>
      <c r="AE198" t="str">
        <f ca="1">IF(OR($L198&gt;AE$4,AE$4&gt;$L198+23),"",OFFSET(Electric!$L189,0,-'Electric Calendarize'!$L198+'Electric Calendarize'!AE$4+1))</f>
        <v/>
      </c>
      <c r="AF198" t="str">
        <f ca="1">IF(OR($L198&gt;AF$4,AF$4&gt;$L198+23),"",OFFSET(Electric!$L189,0,-'Electric Calendarize'!$L198+'Electric Calendarize'!AF$4+1))</f>
        <v/>
      </c>
      <c r="AG198" t="str">
        <f ca="1">IF(OR($L198&gt;AG$4,AG$4&gt;$L198+23),"",OFFSET(Electric!$L189,0,-'Electric Calendarize'!$L198+'Electric Calendarize'!AG$4+1))</f>
        <v/>
      </c>
      <c r="AH198" t="str">
        <f ca="1">IF(OR($L198&gt;AH$4,AH$4&gt;$L198+23),"",OFFSET(Electric!$L189,0,-'Electric Calendarize'!$L198+'Electric Calendarize'!AH$4+1))</f>
        <v/>
      </c>
      <c r="AI198" t="str">
        <f ca="1">IF(OR($L198&gt;AI$4,AI$4&gt;$L198+23),"",OFFSET(Electric!$L189,0,-'Electric Calendarize'!$L198+'Electric Calendarize'!AI$4+1))</f>
        <v/>
      </c>
      <c r="AJ198">
        <f ca="1">IF(OR($L198&gt;AJ$4,AJ$4&gt;$L198+23),"",OFFSET(Electric!$L189,0,-'Electric Calendarize'!$L198+'Electric Calendarize'!AJ$4+1))</f>
        <v>0</v>
      </c>
      <c r="AK198">
        <f ca="1">IF(OR($L198&gt;AK$4,AK$4&gt;$L198+23),"",OFFSET(Electric!$L189,0,-'Electric Calendarize'!$L198+'Electric Calendarize'!AK$4+1))</f>
        <v>0</v>
      </c>
      <c r="AL198">
        <f ca="1">IF(OR($L198&gt;AL$4,AL$4&gt;$L198+23),"",OFFSET(Electric!$L189,0,-'Electric Calendarize'!$L198+'Electric Calendarize'!AL$4+1))</f>
        <v>0</v>
      </c>
      <c r="AM198">
        <f ca="1">IF(OR($L198&gt;AM$4,AM$4&gt;$L198+23),"",OFFSET(Electric!$L189,0,-'Electric Calendarize'!$L198+'Electric Calendarize'!AM$4+1))</f>
        <v>0</v>
      </c>
      <c r="AN198">
        <f ca="1">IF(OR($L198&gt;AN$4,AN$4&gt;$L198+23),"",OFFSET(Electric!$L189,0,-'Electric Calendarize'!$L198+'Electric Calendarize'!AN$4+1))</f>
        <v>0</v>
      </c>
      <c r="AO198">
        <f ca="1">IF(OR($L198&gt;AO$4,AO$4&gt;$L198+23),"",OFFSET(Electric!$L189,0,-'Electric Calendarize'!$L198+'Electric Calendarize'!AO$4+1))</f>
        <v>0</v>
      </c>
      <c r="AP198">
        <f ca="1">IF(OR($L198&gt;AP$4,AP$4&gt;$L198+23),"",OFFSET(Electric!$L189,0,-'Electric Calendarize'!$L198+'Electric Calendarize'!AP$4+1))</f>
        <v>0</v>
      </c>
      <c r="AQ198">
        <f ca="1">IF(OR($L198&gt;AQ$4,AQ$4&gt;$L198+23),"",OFFSET(Electric!$L189,0,-'Electric Calendarize'!$L198+'Electric Calendarize'!AQ$4+1))</f>
        <v>163</v>
      </c>
      <c r="AR198">
        <f ca="1">IF(OR($L198&gt;AR$4,AR$4&gt;$L198+23),"",OFFSET(Electric!$L189,0,-'Electric Calendarize'!$L198+'Electric Calendarize'!AR$4+1))</f>
        <v>611</v>
      </c>
      <c r="AS198">
        <f ca="1">IF(OR($L198&gt;AS$4,AS$4&gt;$L198+23),"",OFFSET(Electric!$L189,0,-'Electric Calendarize'!$L198+'Electric Calendarize'!AS$4+1))</f>
        <v>524</v>
      </c>
      <c r="AT198">
        <f ca="1">IF(OR($L198&gt;AT$4,AT$4&gt;$L198+23),"",OFFSET(Electric!$L189,0,-'Electric Calendarize'!$L198+'Electric Calendarize'!AT$4+1))</f>
        <v>555</v>
      </c>
      <c r="AU198">
        <f ca="1">IF(OR($L198&gt;AU$4,AU$4&gt;$L198+23),"",OFFSET(Electric!$L189,0,-'Electric Calendarize'!$L198+'Electric Calendarize'!AU$4+1))</f>
        <v>514</v>
      </c>
      <c r="AV198">
        <f ca="1">IF(OR($L198&gt;AV$4,AV$4&gt;$L198+23),"",OFFSET(Electric!$L189,0,-'Electric Calendarize'!$L198+'Electric Calendarize'!AV$4+1))</f>
        <v>646</v>
      </c>
      <c r="AW198">
        <f ca="1">IF(OR($L198&gt;AW$4,AW$4&gt;$L198+23),"",OFFSET(Electric!$L189,0,-'Electric Calendarize'!$L198+'Electric Calendarize'!AW$4+1))</f>
        <v>555</v>
      </c>
      <c r="AX198">
        <f ca="1">IF(OR($L198&gt;AX$4,AX$4&gt;$L198+23),"",OFFSET(Electric!$L189,0,-'Electric Calendarize'!$L198+'Electric Calendarize'!AX$4+1))</f>
        <v>409</v>
      </c>
      <c r="AY198">
        <f ca="1">IF(OR($L198&gt;AY$4,AY$4&gt;$L198+23),"",OFFSET(Electric!$L189,0,-'Electric Calendarize'!$L198+'Electric Calendarize'!AY$4+1))</f>
        <v>470</v>
      </c>
      <c r="AZ198">
        <f ca="1">IF(OR($L198&gt;AZ$4,AZ$4&gt;$L198+23),"",OFFSET(Electric!$L189,0,-'Electric Calendarize'!$L198+'Electric Calendarize'!AZ$4+1))</f>
        <v>586</v>
      </c>
      <c r="BA198">
        <f ca="1">IF(OR($L198&gt;BA$4,BA$4&gt;$L198+23),"",OFFSET(Electric!$L189,0,-'Electric Calendarize'!$L198+'Electric Calendarize'!BA$4+1))</f>
        <v>563</v>
      </c>
      <c r="BB198">
        <f ca="1">IF(OR($L198&gt;BB$4,BB$4&gt;$L198+23),"",OFFSET(Electric!$L189,0,-'Electric Calendarize'!$L198+'Electric Calendarize'!BB$4+1))</f>
        <v>699</v>
      </c>
      <c r="BC198">
        <f ca="1">IF(OR($L198&gt;BC$4,BC$4&gt;$L198+23),"",OFFSET(Electric!$L189,0,-'Electric Calendarize'!$L198+'Electric Calendarize'!BC$4+1))</f>
        <v>720</v>
      </c>
      <c r="BD198">
        <f ca="1">IF(OR($L198&gt;BD$4,BD$4&gt;$L198+23),"",OFFSET(Electric!$L189,0,-'Electric Calendarize'!$L198+'Electric Calendarize'!BD$4+1))</f>
        <v>797</v>
      </c>
      <c r="BE198">
        <f ca="1">IF(OR($L198&gt;BE$4,BE$4&gt;$L198+23),"",OFFSET(Electric!$L189,0,-'Electric Calendarize'!$L198+'Electric Calendarize'!BE$4+1))</f>
        <v>709</v>
      </c>
      <c r="BF198">
        <f ca="1">IF(OR($L198&gt;BF$4,BF$4&gt;$L198+23),"",OFFSET(Electric!$L189,0,-'Electric Calendarize'!$L198+'Electric Calendarize'!BF$4+1))</f>
        <v>577</v>
      </c>
      <c r="BG198">
        <f ca="1">IF(OR($L198&gt;BG$4,BG$4&gt;$L198+23),"",OFFSET(Electric!$L189,0,-'Electric Calendarize'!$L198+'Electric Calendarize'!BG$4+1))</f>
        <v>0</v>
      </c>
      <c r="BJ198" s="10" t="s">
        <v>37</v>
      </c>
      <c r="BK198">
        <f t="shared" si="411"/>
        <v>1</v>
      </c>
      <c r="BL198">
        <f t="shared" si="317"/>
        <v>0</v>
      </c>
      <c r="BM198">
        <f t="shared" si="318"/>
        <v>0</v>
      </c>
      <c r="BN198">
        <f t="shared" si="319"/>
        <v>0</v>
      </c>
      <c r="BO198">
        <f t="shared" si="320"/>
        <v>0</v>
      </c>
      <c r="BP198">
        <f t="shared" si="321"/>
        <v>0</v>
      </c>
      <c r="BQ198">
        <f t="shared" si="322"/>
        <v>0</v>
      </c>
      <c r="BR198">
        <f t="shared" si="323"/>
        <v>1</v>
      </c>
      <c r="BS198">
        <f t="shared" si="324"/>
        <v>1</v>
      </c>
      <c r="BT198">
        <f t="shared" si="325"/>
        <v>1</v>
      </c>
      <c r="BU198">
        <f t="shared" si="326"/>
        <v>1</v>
      </c>
      <c r="BV198">
        <f t="shared" si="327"/>
        <v>1</v>
      </c>
      <c r="BW198">
        <f t="shared" si="328"/>
        <v>1</v>
      </c>
      <c r="BX198">
        <f t="shared" si="329"/>
        <v>0</v>
      </c>
      <c r="BY198">
        <f t="shared" si="330"/>
        <v>0</v>
      </c>
      <c r="BZ198">
        <f t="shared" si="331"/>
        <v>0</v>
      </c>
      <c r="CA198">
        <f t="shared" si="332"/>
        <v>0</v>
      </c>
      <c r="CB198">
        <f t="shared" si="333"/>
        <v>0</v>
      </c>
      <c r="CC198">
        <f t="shared" si="334"/>
        <v>0</v>
      </c>
      <c r="CD198">
        <f t="shared" si="335"/>
        <v>1</v>
      </c>
      <c r="CE198">
        <f t="shared" si="336"/>
        <v>1</v>
      </c>
      <c r="CF198">
        <f t="shared" si="337"/>
        <v>1</v>
      </c>
      <c r="CG198">
        <f t="shared" si="338"/>
        <v>1</v>
      </c>
      <c r="CH198">
        <f t="shared" si="339"/>
        <v>1</v>
      </c>
      <c r="CI198">
        <f t="shared" si="340"/>
        <v>1</v>
      </c>
      <c r="CJ198">
        <f t="shared" si="341"/>
        <v>0</v>
      </c>
      <c r="CK198">
        <f t="shared" si="342"/>
        <v>0</v>
      </c>
      <c r="CL198">
        <f t="shared" si="343"/>
        <v>0</v>
      </c>
      <c r="CM198">
        <f t="shared" si="344"/>
        <v>0</v>
      </c>
      <c r="CN198">
        <f t="shared" si="345"/>
        <v>0</v>
      </c>
      <c r="CO198">
        <f t="shared" si="346"/>
        <v>0</v>
      </c>
      <c r="CP198">
        <f t="shared" si="347"/>
        <v>1</v>
      </c>
      <c r="CQ198">
        <f t="shared" si="348"/>
        <v>1</v>
      </c>
      <c r="CR198">
        <f t="shared" si="349"/>
        <v>1</v>
      </c>
      <c r="CS198">
        <f t="shared" si="350"/>
        <v>1</v>
      </c>
      <c r="CT198">
        <f t="shared" si="351"/>
        <v>1</v>
      </c>
      <c r="CU198">
        <f t="shared" si="352"/>
        <v>1</v>
      </c>
      <c r="CV198">
        <f t="shared" si="353"/>
        <v>0</v>
      </c>
      <c r="CW198">
        <f t="shared" si="354"/>
        <v>0</v>
      </c>
      <c r="CX198">
        <f t="shared" si="355"/>
        <v>0</v>
      </c>
      <c r="CY198">
        <f t="shared" si="356"/>
        <v>0</v>
      </c>
      <c r="CZ198">
        <f t="shared" si="357"/>
        <v>0</v>
      </c>
      <c r="DA198">
        <f t="shared" si="358"/>
        <v>0</v>
      </c>
      <c r="DB198">
        <f t="shared" si="359"/>
        <v>1</v>
      </c>
      <c r="DC198">
        <f t="shared" si="360"/>
        <v>1</v>
      </c>
      <c r="DF198" s="10" t="s">
        <v>37</v>
      </c>
      <c r="DG198" t="str">
        <f t="shared" si="423"/>
        <v>2023_1</v>
      </c>
      <c r="DH198" t="str">
        <f t="shared" si="423"/>
        <v>2023_1</v>
      </c>
      <c r="DI198" t="str">
        <f t="shared" si="423"/>
        <v>2023_1</v>
      </c>
      <c r="DJ198" t="str">
        <f t="shared" si="423"/>
        <v>2023_1</v>
      </c>
      <c r="DK198" t="str">
        <f t="shared" si="423"/>
        <v>2023_1</v>
      </c>
      <c r="DL198" t="str">
        <f t="shared" si="423"/>
        <v>2023_1</v>
      </c>
      <c r="DM198" t="str">
        <f t="shared" si="423"/>
        <v>2023_1</v>
      </c>
      <c r="DN198" t="str">
        <f t="shared" si="423"/>
        <v>2023_1</v>
      </c>
      <c r="DO198" t="str">
        <f t="shared" si="423"/>
        <v>2023_1</v>
      </c>
      <c r="DP198" t="str">
        <f t="shared" si="423"/>
        <v>2023_1</v>
      </c>
      <c r="DQ198" t="str">
        <f t="shared" si="423"/>
        <v>2023_1</v>
      </c>
      <c r="DR198" t="str">
        <f t="shared" si="423"/>
        <v>2023_1</v>
      </c>
      <c r="DS198" t="str">
        <f t="shared" si="423"/>
        <v>2023_1</v>
      </c>
      <c r="DT198" t="str">
        <f t="shared" si="423"/>
        <v>2023_1</v>
      </c>
      <c r="DU198" t="str">
        <f t="shared" si="423"/>
        <v>2023_1</v>
      </c>
      <c r="DV198" t="str">
        <f t="shared" si="423"/>
        <v>2023_1</v>
      </c>
      <c r="DW198" t="str">
        <f t="shared" si="422"/>
        <v>2023_1</v>
      </c>
      <c r="DX198" t="str">
        <f t="shared" si="422"/>
        <v>2023_1</v>
      </c>
      <c r="DY198" t="str">
        <f t="shared" si="422"/>
        <v>2023_1</v>
      </c>
      <c r="DZ198" t="str">
        <f t="shared" si="422"/>
        <v>2023_1</v>
      </c>
      <c r="EA198" t="str">
        <f t="shared" si="422"/>
        <v>2023_1</v>
      </c>
      <c r="EB198" t="str">
        <f t="shared" si="422"/>
        <v>2023_1</v>
      </c>
      <c r="EC198" t="str">
        <f t="shared" si="422"/>
        <v>2023_1</v>
      </c>
      <c r="ED198" t="str">
        <f t="shared" si="422"/>
        <v>2023_1</v>
      </c>
      <c r="EE198" t="str">
        <f t="shared" si="422"/>
        <v>2023_1</v>
      </c>
      <c r="EF198" t="str">
        <f t="shared" si="422"/>
        <v>2023_1</v>
      </c>
      <c r="EG198" t="str">
        <f t="shared" si="422"/>
        <v>2023_1</v>
      </c>
      <c r="EH198" t="str">
        <f t="shared" si="422"/>
        <v>2023_1</v>
      </c>
      <c r="EI198" t="str">
        <f t="shared" si="422"/>
        <v>2023_1</v>
      </c>
      <c r="EJ198" t="str">
        <f t="shared" si="422"/>
        <v>2023_1</v>
      </c>
      <c r="EK198" t="str">
        <f t="shared" si="421"/>
        <v>2023_1</v>
      </c>
      <c r="EL198" t="str">
        <f t="shared" si="421"/>
        <v>2023_1</v>
      </c>
      <c r="EM198" t="str">
        <f t="shared" si="421"/>
        <v>2023_1</v>
      </c>
      <c r="EN198" t="str">
        <f t="shared" si="421"/>
        <v>2023_1</v>
      </c>
      <c r="EO198" t="str">
        <f t="shared" si="421"/>
        <v>2023_1</v>
      </c>
      <c r="EP198" t="str">
        <f t="shared" si="421"/>
        <v>2023_1</v>
      </c>
      <c r="EQ198" t="str">
        <f t="shared" si="421"/>
        <v>2023_1</v>
      </c>
      <c r="ER198" t="str">
        <f t="shared" si="421"/>
        <v>2023_1</v>
      </c>
      <c r="ES198" t="str">
        <f t="shared" si="421"/>
        <v>2023_1</v>
      </c>
      <c r="ET198" t="str">
        <f t="shared" si="421"/>
        <v>2023_1</v>
      </c>
      <c r="EU198" t="str">
        <f t="shared" si="421"/>
        <v>2023_1</v>
      </c>
      <c r="EV198" t="str">
        <f t="shared" si="421"/>
        <v>2023_1</v>
      </c>
      <c r="EW198" t="str">
        <f t="shared" si="421"/>
        <v>2023_1</v>
      </c>
      <c r="EX198" t="str">
        <f t="shared" si="421"/>
        <v>2023_1</v>
      </c>
      <c r="EY198" t="str">
        <f t="shared" si="421"/>
        <v>2023_1</v>
      </c>
      <c r="FB198" s="10" t="s">
        <v>37</v>
      </c>
      <c r="FC198">
        <f t="shared" si="413"/>
        <v>0</v>
      </c>
      <c r="FD198">
        <f t="shared" si="363"/>
        <v>0</v>
      </c>
      <c r="FE198">
        <f t="shared" si="364"/>
        <v>0</v>
      </c>
      <c r="FF198">
        <f t="shared" si="365"/>
        <v>0</v>
      </c>
      <c r="FG198">
        <f t="shared" si="366"/>
        <v>0</v>
      </c>
      <c r="FH198">
        <f t="shared" si="367"/>
        <v>0</v>
      </c>
      <c r="FI198">
        <f t="shared" si="368"/>
        <v>0</v>
      </c>
      <c r="FJ198">
        <f t="shared" si="369"/>
        <v>0</v>
      </c>
      <c r="FK198">
        <f t="shared" si="370"/>
        <v>0</v>
      </c>
      <c r="FL198">
        <f t="shared" si="371"/>
        <v>0</v>
      </c>
      <c r="FM198">
        <f t="shared" si="372"/>
        <v>0</v>
      </c>
      <c r="FN198">
        <f t="shared" si="373"/>
        <v>0</v>
      </c>
      <c r="FO198">
        <f t="shared" si="374"/>
        <v>0</v>
      </c>
      <c r="FP198">
        <f t="shared" si="375"/>
        <v>0</v>
      </c>
      <c r="FQ198">
        <f t="shared" si="376"/>
        <v>0</v>
      </c>
      <c r="FR198">
        <f t="shared" si="377"/>
        <v>0</v>
      </c>
      <c r="FS198">
        <f t="shared" si="378"/>
        <v>0</v>
      </c>
      <c r="FT198">
        <f t="shared" si="379"/>
        <v>0</v>
      </c>
      <c r="FU198">
        <f t="shared" si="380"/>
        <v>0</v>
      </c>
      <c r="FV198">
        <f t="shared" si="381"/>
        <v>0</v>
      </c>
      <c r="FW198">
        <f t="shared" si="382"/>
        <v>0</v>
      </c>
      <c r="FX198">
        <f t="shared" si="383"/>
        <v>0</v>
      </c>
      <c r="FY198">
        <f t="shared" si="384"/>
        <v>0</v>
      </c>
      <c r="FZ198">
        <f t="shared" si="385"/>
        <v>0</v>
      </c>
      <c r="GA198">
        <f t="shared" si="386"/>
        <v>0</v>
      </c>
      <c r="GB198">
        <f t="shared" si="387"/>
        <v>0</v>
      </c>
      <c r="GC198">
        <f t="shared" si="388"/>
        <v>0</v>
      </c>
      <c r="GD198">
        <f t="shared" si="389"/>
        <v>0</v>
      </c>
      <c r="GE198">
        <f t="shared" si="390"/>
        <v>0</v>
      </c>
      <c r="GF198">
        <f t="shared" si="391"/>
        <v>0</v>
      </c>
      <c r="GG198">
        <f t="shared" si="392"/>
        <v>0</v>
      </c>
      <c r="GH198">
        <f t="shared" si="393"/>
        <v>0</v>
      </c>
      <c r="GI198">
        <f t="shared" si="394"/>
        <v>0</v>
      </c>
      <c r="GJ198">
        <f t="shared" si="395"/>
        <v>1</v>
      </c>
      <c r="GK198">
        <f t="shared" si="396"/>
        <v>1</v>
      </c>
      <c r="GL198">
        <f t="shared" si="397"/>
        <v>1</v>
      </c>
      <c r="GM198">
        <f t="shared" si="398"/>
        <v>1</v>
      </c>
      <c r="GN198">
        <f t="shared" si="399"/>
        <v>1</v>
      </c>
      <c r="GO198">
        <f t="shared" si="400"/>
        <v>1</v>
      </c>
      <c r="GP198">
        <f t="shared" si="401"/>
        <v>1</v>
      </c>
      <c r="GQ198">
        <f t="shared" si="402"/>
        <v>1</v>
      </c>
      <c r="GR198">
        <f t="shared" si="403"/>
        <v>1</v>
      </c>
      <c r="GS198">
        <f t="shared" si="404"/>
        <v>1</v>
      </c>
      <c r="GT198">
        <f t="shared" si="405"/>
        <v>1</v>
      </c>
      <c r="GU198">
        <f t="shared" si="406"/>
        <v>1</v>
      </c>
      <c r="GX198" s="10"/>
    </row>
    <row r="199" spans="1:206" x14ac:dyDescent="0.3">
      <c r="A199" s="9" t="s">
        <v>55</v>
      </c>
      <c r="B199" s="80"/>
      <c r="C199" s="9">
        <v>3011889000</v>
      </c>
      <c r="D199" s="9" t="s">
        <v>482</v>
      </c>
      <c r="E199" s="9" t="s">
        <v>34</v>
      </c>
      <c r="F199" s="9" t="s">
        <v>35</v>
      </c>
      <c r="G199" s="9" t="s">
        <v>86</v>
      </c>
      <c r="H199" s="10">
        <v>44942</v>
      </c>
      <c r="I199" s="9">
        <f t="shared" si="407"/>
        <v>2023</v>
      </c>
      <c r="J199" s="9">
        <f t="shared" si="408"/>
        <v>1</v>
      </c>
      <c r="K199" s="9" t="str">
        <f t="shared" si="409"/>
        <v>2023_1</v>
      </c>
      <c r="L199">
        <f>MAX(0,VLOOKUP($K199,lookups!$A$1:$B$45,2,0)-12)</f>
        <v>21</v>
      </c>
      <c r="M199" s="40">
        <f t="shared" si="410"/>
        <v>44927</v>
      </c>
      <c r="N199" s="10" t="s">
        <v>37</v>
      </c>
      <c r="O199" t="str">
        <f ca="1">IF(OR($L199&gt;O$4,O$4&gt;$L199+23),"",OFFSET(Electric!$L190,0,-'Electric Calendarize'!$L199+'Electric Calendarize'!O$4+1))</f>
        <v/>
      </c>
      <c r="P199" t="str">
        <f ca="1">IF(OR($L199&gt;P$4,P$4&gt;$L199+23),"",OFFSET(Electric!$L190,0,-'Electric Calendarize'!$L199+'Electric Calendarize'!P$4+1))</f>
        <v/>
      </c>
      <c r="Q199" t="str">
        <f ca="1">IF(OR($L199&gt;Q$4,Q$4&gt;$L199+23),"",OFFSET(Electric!$L190,0,-'Electric Calendarize'!$L199+'Electric Calendarize'!Q$4+1))</f>
        <v/>
      </c>
      <c r="R199" t="str">
        <f ca="1">IF(OR($L199&gt;R$4,R$4&gt;$L199+23),"",OFFSET(Electric!$L190,0,-'Electric Calendarize'!$L199+'Electric Calendarize'!R$4+1))</f>
        <v/>
      </c>
      <c r="S199" t="str">
        <f ca="1">IF(OR($L199&gt;S$4,S$4&gt;$L199+23),"",OFFSET(Electric!$L190,0,-'Electric Calendarize'!$L199+'Electric Calendarize'!S$4+1))</f>
        <v/>
      </c>
      <c r="T199" t="str">
        <f ca="1">IF(OR($L199&gt;T$4,T$4&gt;$L199+23),"",OFFSET(Electric!$L190,0,-'Electric Calendarize'!$L199+'Electric Calendarize'!T$4+1))</f>
        <v/>
      </c>
      <c r="U199" t="str">
        <f ca="1">IF(OR($L199&gt;U$4,U$4&gt;$L199+23),"",OFFSET(Electric!$L190,0,-'Electric Calendarize'!$L199+'Electric Calendarize'!U$4+1))</f>
        <v/>
      </c>
      <c r="V199" t="str">
        <f ca="1">IF(OR($L199&gt;V$4,V$4&gt;$L199+23),"",OFFSET(Electric!$L190,0,-'Electric Calendarize'!$L199+'Electric Calendarize'!V$4+1))</f>
        <v/>
      </c>
      <c r="W199" t="str">
        <f ca="1">IF(OR($L199&gt;W$4,W$4&gt;$L199+23),"",OFFSET(Electric!$L190,0,-'Electric Calendarize'!$L199+'Electric Calendarize'!W$4+1))</f>
        <v/>
      </c>
      <c r="X199" t="str">
        <f ca="1">IF(OR($L199&gt;X$4,X$4&gt;$L199+23),"",OFFSET(Electric!$L190,0,-'Electric Calendarize'!$L199+'Electric Calendarize'!X$4+1))</f>
        <v/>
      </c>
      <c r="Y199" t="str">
        <f ca="1">IF(OR($L199&gt;Y$4,Y$4&gt;$L199+23),"",OFFSET(Electric!$L190,0,-'Electric Calendarize'!$L199+'Electric Calendarize'!Y$4+1))</f>
        <v/>
      </c>
      <c r="Z199" t="str">
        <f ca="1">IF(OR($L199&gt;Z$4,Z$4&gt;$L199+23),"",OFFSET(Electric!$L190,0,-'Electric Calendarize'!$L199+'Electric Calendarize'!Z$4+1))</f>
        <v/>
      </c>
      <c r="AA199" t="str">
        <f ca="1">IF(OR($L199&gt;AA$4,AA$4&gt;$L199+23),"",OFFSET(Electric!$L190,0,-'Electric Calendarize'!$L199+'Electric Calendarize'!AA$4+1))</f>
        <v/>
      </c>
      <c r="AB199" t="str">
        <f ca="1">IF(OR($L199&gt;AB$4,AB$4&gt;$L199+23),"",OFFSET(Electric!$L190,0,-'Electric Calendarize'!$L199+'Electric Calendarize'!AB$4+1))</f>
        <v/>
      </c>
      <c r="AC199" t="str">
        <f ca="1">IF(OR($L199&gt;AC$4,AC$4&gt;$L199+23),"",OFFSET(Electric!$L190,0,-'Electric Calendarize'!$L199+'Electric Calendarize'!AC$4+1))</f>
        <v/>
      </c>
      <c r="AD199" t="str">
        <f ca="1">IF(OR($L199&gt;AD$4,AD$4&gt;$L199+23),"",OFFSET(Electric!$L190,0,-'Electric Calendarize'!$L199+'Electric Calendarize'!AD$4+1))</f>
        <v/>
      </c>
      <c r="AE199" t="str">
        <f ca="1">IF(OR($L199&gt;AE$4,AE$4&gt;$L199+23),"",OFFSET(Electric!$L190,0,-'Electric Calendarize'!$L199+'Electric Calendarize'!AE$4+1))</f>
        <v/>
      </c>
      <c r="AF199" t="str">
        <f ca="1">IF(OR($L199&gt;AF$4,AF$4&gt;$L199+23),"",OFFSET(Electric!$L190,0,-'Electric Calendarize'!$L199+'Electric Calendarize'!AF$4+1))</f>
        <v/>
      </c>
      <c r="AG199" t="str">
        <f ca="1">IF(OR($L199&gt;AG$4,AG$4&gt;$L199+23),"",OFFSET(Electric!$L190,0,-'Electric Calendarize'!$L199+'Electric Calendarize'!AG$4+1))</f>
        <v/>
      </c>
      <c r="AH199" t="str">
        <f ca="1">IF(OR($L199&gt;AH$4,AH$4&gt;$L199+23),"",OFFSET(Electric!$L190,0,-'Electric Calendarize'!$L199+'Electric Calendarize'!AH$4+1))</f>
        <v/>
      </c>
      <c r="AI199" t="str">
        <f ca="1">IF(OR($L199&gt;AI$4,AI$4&gt;$L199+23),"",OFFSET(Electric!$L190,0,-'Electric Calendarize'!$L199+'Electric Calendarize'!AI$4+1))</f>
        <v/>
      </c>
      <c r="AJ199">
        <f ca="1">IF(OR($L199&gt;AJ$4,AJ$4&gt;$L199+23),"",OFFSET(Electric!$L190,0,-'Electric Calendarize'!$L199+'Electric Calendarize'!AJ$4+1))</f>
        <v>639</v>
      </c>
      <c r="AK199">
        <f ca="1">IF(OR($L199&gt;AK$4,AK$4&gt;$L199+23),"",OFFSET(Electric!$L190,0,-'Electric Calendarize'!$L199+'Electric Calendarize'!AK$4+1))</f>
        <v>608</v>
      </c>
      <c r="AL199">
        <f ca="1">IF(OR($L199&gt;AL$4,AL$4&gt;$L199+23),"",OFFSET(Electric!$L190,0,-'Electric Calendarize'!$L199+'Electric Calendarize'!AL$4+1))</f>
        <v>638</v>
      </c>
      <c r="AM199">
        <f ca="1">IF(OR($L199&gt;AM$4,AM$4&gt;$L199+23),"",OFFSET(Electric!$L190,0,-'Electric Calendarize'!$L199+'Electric Calendarize'!AM$4+1))</f>
        <v>536</v>
      </c>
      <c r="AN199">
        <f ca="1">IF(OR($L199&gt;AN$4,AN$4&gt;$L199+23),"",OFFSET(Electric!$L190,0,-'Electric Calendarize'!$L199+'Electric Calendarize'!AN$4+1))</f>
        <v>560</v>
      </c>
      <c r="AO199">
        <f ca="1">IF(OR($L199&gt;AO$4,AO$4&gt;$L199+23),"",OFFSET(Electric!$L190,0,-'Electric Calendarize'!$L199+'Electric Calendarize'!AO$4+1))</f>
        <v>503</v>
      </c>
      <c r="AP199">
        <f ca="1">IF(OR($L199&gt;AP$4,AP$4&gt;$L199+23),"",OFFSET(Electric!$L190,0,-'Electric Calendarize'!$L199+'Electric Calendarize'!AP$4+1))</f>
        <v>446</v>
      </c>
      <c r="AQ199">
        <f ca="1">IF(OR($L199&gt;AQ$4,AQ$4&gt;$L199+23),"",OFFSET(Electric!$L190,0,-'Electric Calendarize'!$L199+'Electric Calendarize'!AQ$4+1))</f>
        <v>501</v>
      </c>
      <c r="AR199">
        <f ca="1">IF(OR($L199&gt;AR$4,AR$4&gt;$L199+23),"",OFFSET(Electric!$L190,0,-'Electric Calendarize'!$L199+'Electric Calendarize'!AR$4+1))</f>
        <v>451</v>
      </c>
      <c r="AS199">
        <f ca="1">IF(OR($L199&gt;AS$4,AS$4&gt;$L199+23),"",OFFSET(Electric!$L190,0,-'Electric Calendarize'!$L199+'Electric Calendarize'!AS$4+1))</f>
        <v>438</v>
      </c>
      <c r="AT199">
        <f ca="1">IF(OR($L199&gt;AT$4,AT$4&gt;$L199+23),"",OFFSET(Electric!$L190,0,-'Electric Calendarize'!$L199+'Electric Calendarize'!AT$4+1))</f>
        <v>445</v>
      </c>
      <c r="AU199">
        <f ca="1">IF(OR($L199&gt;AU$4,AU$4&gt;$L199+23),"",OFFSET(Electric!$L190,0,-'Electric Calendarize'!$L199+'Electric Calendarize'!AU$4+1))</f>
        <v>584</v>
      </c>
      <c r="AV199">
        <f ca="1">IF(OR($L199&gt;AV$4,AV$4&gt;$L199+23),"",OFFSET(Electric!$L190,0,-'Electric Calendarize'!$L199+'Electric Calendarize'!AV$4+1))</f>
        <v>598</v>
      </c>
      <c r="AW199">
        <f ca="1">IF(OR($L199&gt;AW$4,AW$4&gt;$L199+23),"",OFFSET(Electric!$L190,0,-'Electric Calendarize'!$L199+'Electric Calendarize'!AW$4+1))</f>
        <v>595</v>
      </c>
      <c r="AX199">
        <f ca="1">IF(OR($L199&gt;AX$4,AX$4&gt;$L199+23),"",OFFSET(Electric!$L190,0,-'Electric Calendarize'!$L199+'Electric Calendarize'!AX$4+1))</f>
        <v>556</v>
      </c>
      <c r="AY199">
        <f ca="1">IF(OR($L199&gt;AY$4,AY$4&gt;$L199+23),"",OFFSET(Electric!$L190,0,-'Electric Calendarize'!$L199+'Electric Calendarize'!AY$4+1))</f>
        <v>518</v>
      </c>
      <c r="AZ199">
        <f ca="1">IF(OR($L199&gt;AZ$4,AZ$4&gt;$L199+23),"",OFFSET(Electric!$L190,0,-'Electric Calendarize'!$L199+'Electric Calendarize'!AZ$4+1))</f>
        <v>545</v>
      </c>
      <c r="BA199">
        <f ca="1">IF(OR($L199&gt;BA$4,BA$4&gt;$L199+23),"",OFFSET(Electric!$L190,0,-'Electric Calendarize'!$L199+'Electric Calendarize'!BA$4+1))</f>
        <v>437</v>
      </c>
      <c r="BB199">
        <f ca="1">IF(OR($L199&gt;BB$4,BB$4&gt;$L199+23),"",OFFSET(Electric!$L190,0,-'Electric Calendarize'!$L199+'Electric Calendarize'!BB$4+1))</f>
        <v>447</v>
      </c>
      <c r="BC199">
        <f ca="1">IF(OR($L199&gt;BC$4,BC$4&gt;$L199+23),"",OFFSET(Electric!$L190,0,-'Electric Calendarize'!$L199+'Electric Calendarize'!BC$4+1))</f>
        <v>416</v>
      </c>
      <c r="BD199">
        <f ca="1">IF(OR($L199&gt;BD$4,BD$4&gt;$L199+23),"",OFFSET(Electric!$L190,0,-'Electric Calendarize'!$L199+'Electric Calendarize'!BD$4+1))</f>
        <v>368</v>
      </c>
      <c r="BE199">
        <f ca="1">IF(OR($L199&gt;BE$4,BE$4&gt;$L199+23),"",OFFSET(Electric!$L190,0,-'Electric Calendarize'!$L199+'Electric Calendarize'!BE$4+1))</f>
        <v>436</v>
      </c>
      <c r="BF199">
        <f ca="1">IF(OR($L199&gt;BF$4,BF$4&gt;$L199+23),"",OFFSET(Electric!$L190,0,-'Electric Calendarize'!$L199+'Electric Calendarize'!BF$4+1))</f>
        <v>491</v>
      </c>
      <c r="BG199">
        <f ca="1">IF(OR($L199&gt;BG$4,BG$4&gt;$L199+23),"",OFFSET(Electric!$L190,0,-'Electric Calendarize'!$L199+'Electric Calendarize'!BG$4+1))</f>
        <v>697</v>
      </c>
      <c r="BJ199" s="10" t="s">
        <v>37</v>
      </c>
      <c r="BK199">
        <f t="shared" si="411"/>
        <v>1</v>
      </c>
      <c r="BL199">
        <f t="shared" si="317"/>
        <v>0</v>
      </c>
      <c r="BM199">
        <f t="shared" si="318"/>
        <v>0</v>
      </c>
      <c r="BN199">
        <f t="shared" si="319"/>
        <v>0</v>
      </c>
      <c r="BO199">
        <f t="shared" si="320"/>
        <v>0</v>
      </c>
      <c r="BP199">
        <f t="shared" si="321"/>
        <v>0</v>
      </c>
      <c r="BQ199">
        <f t="shared" si="322"/>
        <v>0</v>
      </c>
      <c r="BR199">
        <f t="shared" si="323"/>
        <v>1</v>
      </c>
      <c r="BS199">
        <f t="shared" si="324"/>
        <v>1</v>
      </c>
      <c r="BT199">
        <f t="shared" si="325"/>
        <v>1</v>
      </c>
      <c r="BU199">
        <f t="shared" si="326"/>
        <v>1</v>
      </c>
      <c r="BV199">
        <f t="shared" si="327"/>
        <v>1</v>
      </c>
      <c r="BW199">
        <f t="shared" si="328"/>
        <v>1</v>
      </c>
      <c r="BX199">
        <f t="shared" si="329"/>
        <v>0</v>
      </c>
      <c r="BY199">
        <f t="shared" si="330"/>
        <v>0</v>
      </c>
      <c r="BZ199">
        <f t="shared" si="331"/>
        <v>0</v>
      </c>
      <c r="CA199">
        <f t="shared" si="332"/>
        <v>0</v>
      </c>
      <c r="CB199">
        <f t="shared" si="333"/>
        <v>0</v>
      </c>
      <c r="CC199">
        <f t="shared" si="334"/>
        <v>0</v>
      </c>
      <c r="CD199">
        <f t="shared" si="335"/>
        <v>1</v>
      </c>
      <c r="CE199">
        <f t="shared" si="336"/>
        <v>1</v>
      </c>
      <c r="CF199">
        <f t="shared" si="337"/>
        <v>1</v>
      </c>
      <c r="CG199">
        <f t="shared" si="338"/>
        <v>1</v>
      </c>
      <c r="CH199">
        <f t="shared" si="339"/>
        <v>1</v>
      </c>
      <c r="CI199">
        <f t="shared" si="340"/>
        <v>1</v>
      </c>
      <c r="CJ199">
        <f t="shared" si="341"/>
        <v>0</v>
      </c>
      <c r="CK199">
        <f t="shared" si="342"/>
        <v>0</v>
      </c>
      <c r="CL199">
        <f t="shared" si="343"/>
        <v>0</v>
      </c>
      <c r="CM199">
        <f t="shared" si="344"/>
        <v>0</v>
      </c>
      <c r="CN199">
        <f t="shared" si="345"/>
        <v>0</v>
      </c>
      <c r="CO199">
        <f t="shared" si="346"/>
        <v>0</v>
      </c>
      <c r="CP199">
        <f t="shared" si="347"/>
        <v>1</v>
      </c>
      <c r="CQ199">
        <f t="shared" si="348"/>
        <v>1</v>
      </c>
      <c r="CR199">
        <f t="shared" si="349"/>
        <v>1</v>
      </c>
      <c r="CS199">
        <f t="shared" si="350"/>
        <v>1</v>
      </c>
      <c r="CT199">
        <f t="shared" si="351"/>
        <v>1</v>
      </c>
      <c r="CU199">
        <f t="shared" si="352"/>
        <v>1</v>
      </c>
      <c r="CV199">
        <f t="shared" si="353"/>
        <v>0</v>
      </c>
      <c r="CW199">
        <f t="shared" si="354"/>
        <v>0</v>
      </c>
      <c r="CX199">
        <f t="shared" si="355"/>
        <v>0</v>
      </c>
      <c r="CY199">
        <f t="shared" si="356"/>
        <v>0</v>
      </c>
      <c r="CZ199">
        <f t="shared" si="357"/>
        <v>0</v>
      </c>
      <c r="DA199">
        <f t="shared" si="358"/>
        <v>0</v>
      </c>
      <c r="DB199">
        <f t="shared" si="359"/>
        <v>1</v>
      </c>
      <c r="DC199">
        <f t="shared" si="360"/>
        <v>1</v>
      </c>
      <c r="DF199" s="10" t="s">
        <v>37</v>
      </c>
      <c r="DG199" t="str">
        <f t="shared" si="423"/>
        <v>2023_1</v>
      </c>
      <c r="DH199" t="str">
        <f t="shared" si="423"/>
        <v>2023_1</v>
      </c>
      <c r="DI199" t="str">
        <f t="shared" si="423"/>
        <v>2023_1</v>
      </c>
      <c r="DJ199" t="str">
        <f t="shared" si="423"/>
        <v>2023_1</v>
      </c>
      <c r="DK199" t="str">
        <f t="shared" si="423"/>
        <v>2023_1</v>
      </c>
      <c r="DL199" t="str">
        <f t="shared" si="423"/>
        <v>2023_1</v>
      </c>
      <c r="DM199" t="str">
        <f t="shared" si="423"/>
        <v>2023_1</v>
      </c>
      <c r="DN199" t="str">
        <f t="shared" si="423"/>
        <v>2023_1</v>
      </c>
      <c r="DO199" t="str">
        <f t="shared" si="423"/>
        <v>2023_1</v>
      </c>
      <c r="DP199" t="str">
        <f t="shared" si="423"/>
        <v>2023_1</v>
      </c>
      <c r="DQ199" t="str">
        <f t="shared" si="423"/>
        <v>2023_1</v>
      </c>
      <c r="DR199" t="str">
        <f t="shared" si="423"/>
        <v>2023_1</v>
      </c>
      <c r="DS199" t="str">
        <f t="shared" si="423"/>
        <v>2023_1</v>
      </c>
      <c r="DT199" t="str">
        <f t="shared" si="423"/>
        <v>2023_1</v>
      </c>
      <c r="DU199" t="str">
        <f t="shared" si="423"/>
        <v>2023_1</v>
      </c>
      <c r="DV199" t="str">
        <f t="shared" si="423"/>
        <v>2023_1</v>
      </c>
      <c r="DW199" t="str">
        <f t="shared" si="422"/>
        <v>2023_1</v>
      </c>
      <c r="DX199" t="str">
        <f t="shared" si="422"/>
        <v>2023_1</v>
      </c>
      <c r="DY199" t="str">
        <f t="shared" si="422"/>
        <v>2023_1</v>
      </c>
      <c r="DZ199" t="str">
        <f t="shared" si="422"/>
        <v>2023_1</v>
      </c>
      <c r="EA199" t="str">
        <f t="shared" si="422"/>
        <v>2023_1</v>
      </c>
      <c r="EB199" t="str">
        <f t="shared" si="422"/>
        <v>2023_1</v>
      </c>
      <c r="EC199" t="str">
        <f t="shared" si="422"/>
        <v>2023_1</v>
      </c>
      <c r="ED199" t="str">
        <f t="shared" si="422"/>
        <v>2023_1</v>
      </c>
      <c r="EE199" t="str">
        <f t="shared" si="422"/>
        <v>2023_1</v>
      </c>
      <c r="EF199" t="str">
        <f t="shared" si="422"/>
        <v>2023_1</v>
      </c>
      <c r="EG199" t="str">
        <f t="shared" si="422"/>
        <v>2023_1</v>
      </c>
      <c r="EH199" t="str">
        <f t="shared" si="422"/>
        <v>2023_1</v>
      </c>
      <c r="EI199" t="str">
        <f t="shared" si="422"/>
        <v>2023_1</v>
      </c>
      <c r="EJ199" t="str">
        <f t="shared" si="422"/>
        <v>2023_1</v>
      </c>
      <c r="EK199" t="str">
        <f t="shared" si="421"/>
        <v>2023_1</v>
      </c>
      <c r="EL199" t="str">
        <f t="shared" si="421"/>
        <v>2023_1</v>
      </c>
      <c r="EM199" t="str">
        <f t="shared" si="421"/>
        <v>2023_1</v>
      </c>
      <c r="EN199" t="str">
        <f t="shared" si="421"/>
        <v>2023_1</v>
      </c>
      <c r="EO199" t="str">
        <f t="shared" si="421"/>
        <v>2023_1</v>
      </c>
      <c r="EP199" t="str">
        <f t="shared" si="421"/>
        <v>2023_1</v>
      </c>
      <c r="EQ199" t="str">
        <f t="shared" si="421"/>
        <v>2023_1</v>
      </c>
      <c r="ER199" t="str">
        <f t="shared" si="421"/>
        <v>2023_1</v>
      </c>
      <c r="ES199" t="str">
        <f t="shared" si="421"/>
        <v>2023_1</v>
      </c>
      <c r="ET199" t="str">
        <f t="shared" si="421"/>
        <v>2023_1</v>
      </c>
      <c r="EU199" t="str">
        <f t="shared" si="421"/>
        <v>2023_1</v>
      </c>
      <c r="EV199" t="str">
        <f t="shared" si="421"/>
        <v>2023_1</v>
      </c>
      <c r="EW199" t="str">
        <f t="shared" si="421"/>
        <v>2023_1</v>
      </c>
      <c r="EX199" t="str">
        <f t="shared" si="421"/>
        <v>2023_1</v>
      </c>
      <c r="EY199" t="str">
        <f t="shared" si="421"/>
        <v>2023_1</v>
      </c>
      <c r="FB199" s="10" t="s">
        <v>37</v>
      </c>
      <c r="FC199">
        <f t="shared" si="413"/>
        <v>0</v>
      </c>
      <c r="FD199">
        <f t="shared" si="363"/>
        <v>0</v>
      </c>
      <c r="FE199">
        <f t="shared" si="364"/>
        <v>0</v>
      </c>
      <c r="FF199">
        <f t="shared" si="365"/>
        <v>0</v>
      </c>
      <c r="FG199">
        <f t="shared" si="366"/>
        <v>0</v>
      </c>
      <c r="FH199">
        <f t="shared" si="367"/>
        <v>0</v>
      </c>
      <c r="FI199">
        <f t="shared" si="368"/>
        <v>0</v>
      </c>
      <c r="FJ199">
        <f t="shared" si="369"/>
        <v>0</v>
      </c>
      <c r="FK199">
        <f t="shared" si="370"/>
        <v>0</v>
      </c>
      <c r="FL199">
        <f t="shared" si="371"/>
        <v>0</v>
      </c>
      <c r="FM199">
        <f t="shared" si="372"/>
        <v>0</v>
      </c>
      <c r="FN199">
        <f t="shared" si="373"/>
        <v>0</v>
      </c>
      <c r="FO199">
        <f t="shared" si="374"/>
        <v>0</v>
      </c>
      <c r="FP199">
        <f t="shared" si="375"/>
        <v>0</v>
      </c>
      <c r="FQ199">
        <f t="shared" si="376"/>
        <v>0</v>
      </c>
      <c r="FR199">
        <f t="shared" si="377"/>
        <v>0</v>
      </c>
      <c r="FS199">
        <f t="shared" si="378"/>
        <v>0</v>
      </c>
      <c r="FT199">
        <f t="shared" si="379"/>
        <v>0</v>
      </c>
      <c r="FU199">
        <f t="shared" si="380"/>
        <v>0</v>
      </c>
      <c r="FV199">
        <f t="shared" si="381"/>
        <v>0</v>
      </c>
      <c r="FW199">
        <f t="shared" si="382"/>
        <v>0</v>
      </c>
      <c r="FX199">
        <f t="shared" si="383"/>
        <v>0</v>
      </c>
      <c r="FY199">
        <f t="shared" si="384"/>
        <v>0</v>
      </c>
      <c r="FZ199">
        <f t="shared" si="385"/>
        <v>0</v>
      </c>
      <c r="GA199">
        <f t="shared" si="386"/>
        <v>0</v>
      </c>
      <c r="GB199">
        <f t="shared" si="387"/>
        <v>0</v>
      </c>
      <c r="GC199">
        <f t="shared" si="388"/>
        <v>0</v>
      </c>
      <c r="GD199">
        <f t="shared" si="389"/>
        <v>0</v>
      </c>
      <c r="GE199">
        <f t="shared" si="390"/>
        <v>0</v>
      </c>
      <c r="GF199">
        <f t="shared" si="391"/>
        <v>0</v>
      </c>
      <c r="GG199">
        <f t="shared" si="392"/>
        <v>0</v>
      </c>
      <c r="GH199">
        <f t="shared" si="393"/>
        <v>0</v>
      </c>
      <c r="GI199">
        <f t="shared" si="394"/>
        <v>0</v>
      </c>
      <c r="GJ199">
        <f t="shared" si="395"/>
        <v>1</v>
      </c>
      <c r="GK199">
        <f t="shared" si="396"/>
        <v>1</v>
      </c>
      <c r="GL199">
        <f t="shared" si="397"/>
        <v>1</v>
      </c>
      <c r="GM199">
        <f t="shared" si="398"/>
        <v>1</v>
      </c>
      <c r="GN199">
        <f t="shared" si="399"/>
        <v>1</v>
      </c>
      <c r="GO199">
        <f t="shared" si="400"/>
        <v>1</v>
      </c>
      <c r="GP199">
        <f t="shared" si="401"/>
        <v>1</v>
      </c>
      <c r="GQ199">
        <f t="shared" si="402"/>
        <v>1</v>
      </c>
      <c r="GR199">
        <f t="shared" si="403"/>
        <v>1</v>
      </c>
      <c r="GS199">
        <f t="shared" si="404"/>
        <v>1</v>
      </c>
      <c r="GT199">
        <f t="shared" si="405"/>
        <v>1</v>
      </c>
      <c r="GU199">
        <f t="shared" si="406"/>
        <v>1</v>
      </c>
      <c r="GX199" s="10"/>
    </row>
    <row r="200" spans="1:206" x14ac:dyDescent="0.3">
      <c r="A200" s="9" t="s">
        <v>33</v>
      </c>
      <c r="B200" s="80"/>
      <c r="C200" s="9">
        <v>3141195000</v>
      </c>
      <c r="D200" s="9" t="s">
        <v>401</v>
      </c>
      <c r="E200" s="9" t="s">
        <v>39</v>
      </c>
      <c r="F200" s="9" t="s">
        <v>35</v>
      </c>
      <c r="G200" s="9" t="s">
        <v>226</v>
      </c>
      <c r="H200" s="10">
        <v>44942</v>
      </c>
      <c r="I200" s="9">
        <f t="shared" si="407"/>
        <v>2023</v>
      </c>
      <c r="J200" s="9">
        <f t="shared" si="408"/>
        <v>1</v>
      </c>
      <c r="K200" s="9" t="str">
        <f t="shared" si="409"/>
        <v>2023_1</v>
      </c>
      <c r="L200">
        <f>MAX(0,VLOOKUP($K200,lookups!$A$1:$B$45,2,0)-12)</f>
        <v>21</v>
      </c>
      <c r="M200" s="40">
        <f t="shared" si="410"/>
        <v>44927</v>
      </c>
      <c r="N200" s="10" t="s">
        <v>37</v>
      </c>
      <c r="O200" t="str">
        <f ca="1">IF(OR($L200&gt;O$4,O$4&gt;$L200+23),"",OFFSET(Electric!$L191,0,-'Electric Calendarize'!$L200+'Electric Calendarize'!O$4+1))</f>
        <v/>
      </c>
      <c r="P200" t="str">
        <f ca="1">IF(OR($L200&gt;P$4,P$4&gt;$L200+23),"",OFFSET(Electric!$L191,0,-'Electric Calendarize'!$L200+'Electric Calendarize'!P$4+1))</f>
        <v/>
      </c>
      <c r="Q200" t="str">
        <f ca="1">IF(OR($L200&gt;Q$4,Q$4&gt;$L200+23),"",OFFSET(Electric!$L191,0,-'Electric Calendarize'!$L200+'Electric Calendarize'!Q$4+1))</f>
        <v/>
      </c>
      <c r="R200" t="str">
        <f ca="1">IF(OR($L200&gt;R$4,R$4&gt;$L200+23),"",OFFSET(Electric!$L191,0,-'Electric Calendarize'!$L200+'Electric Calendarize'!R$4+1))</f>
        <v/>
      </c>
      <c r="S200" t="str">
        <f ca="1">IF(OR($L200&gt;S$4,S$4&gt;$L200+23),"",OFFSET(Electric!$L191,0,-'Electric Calendarize'!$L200+'Electric Calendarize'!S$4+1))</f>
        <v/>
      </c>
      <c r="T200" t="str">
        <f ca="1">IF(OR($L200&gt;T$4,T$4&gt;$L200+23),"",OFFSET(Electric!$L191,0,-'Electric Calendarize'!$L200+'Electric Calendarize'!T$4+1))</f>
        <v/>
      </c>
      <c r="U200" t="str">
        <f ca="1">IF(OR($L200&gt;U$4,U$4&gt;$L200+23),"",OFFSET(Electric!$L191,0,-'Electric Calendarize'!$L200+'Electric Calendarize'!U$4+1))</f>
        <v/>
      </c>
      <c r="V200" t="str">
        <f ca="1">IF(OR($L200&gt;V$4,V$4&gt;$L200+23),"",OFFSET(Electric!$L191,0,-'Electric Calendarize'!$L200+'Electric Calendarize'!V$4+1))</f>
        <v/>
      </c>
      <c r="W200" t="str">
        <f ca="1">IF(OR($L200&gt;W$4,W$4&gt;$L200+23),"",OFFSET(Electric!$L191,0,-'Electric Calendarize'!$L200+'Electric Calendarize'!W$4+1))</f>
        <v/>
      </c>
      <c r="X200" t="str">
        <f ca="1">IF(OR($L200&gt;X$4,X$4&gt;$L200+23),"",OFFSET(Electric!$L191,0,-'Electric Calendarize'!$L200+'Electric Calendarize'!X$4+1))</f>
        <v/>
      </c>
      <c r="Y200" t="str">
        <f ca="1">IF(OR($L200&gt;Y$4,Y$4&gt;$L200+23),"",OFFSET(Electric!$L191,0,-'Electric Calendarize'!$L200+'Electric Calendarize'!Y$4+1))</f>
        <v/>
      </c>
      <c r="Z200" t="str">
        <f ca="1">IF(OR($L200&gt;Z$4,Z$4&gt;$L200+23),"",OFFSET(Electric!$L191,0,-'Electric Calendarize'!$L200+'Electric Calendarize'!Z$4+1))</f>
        <v/>
      </c>
      <c r="AA200" t="str">
        <f ca="1">IF(OR($L200&gt;AA$4,AA$4&gt;$L200+23),"",OFFSET(Electric!$L191,0,-'Electric Calendarize'!$L200+'Electric Calendarize'!AA$4+1))</f>
        <v/>
      </c>
      <c r="AB200" t="str">
        <f ca="1">IF(OR($L200&gt;AB$4,AB$4&gt;$L200+23),"",OFFSET(Electric!$L191,0,-'Electric Calendarize'!$L200+'Electric Calendarize'!AB$4+1))</f>
        <v/>
      </c>
      <c r="AC200" t="str">
        <f ca="1">IF(OR($L200&gt;AC$4,AC$4&gt;$L200+23),"",OFFSET(Electric!$L191,0,-'Electric Calendarize'!$L200+'Electric Calendarize'!AC$4+1))</f>
        <v/>
      </c>
      <c r="AD200" t="str">
        <f ca="1">IF(OR($L200&gt;AD$4,AD$4&gt;$L200+23),"",OFFSET(Electric!$L191,0,-'Electric Calendarize'!$L200+'Electric Calendarize'!AD$4+1))</f>
        <v/>
      </c>
      <c r="AE200" t="str">
        <f ca="1">IF(OR($L200&gt;AE$4,AE$4&gt;$L200+23),"",OFFSET(Electric!$L191,0,-'Electric Calendarize'!$L200+'Electric Calendarize'!AE$4+1))</f>
        <v/>
      </c>
      <c r="AF200" t="str">
        <f ca="1">IF(OR($L200&gt;AF$4,AF$4&gt;$L200+23),"",OFFSET(Electric!$L191,0,-'Electric Calendarize'!$L200+'Electric Calendarize'!AF$4+1))</f>
        <v/>
      </c>
      <c r="AG200" t="str">
        <f ca="1">IF(OR($L200&gt;AG$4,AG$4&gt;$L200+23),"",OFFSET(Electric!$L191,0,-'Electric Calendarize'!$L200+'Electric Calendarize'!AG$4+1))</f>
        <v/>
      </c>
      <c r="AH200" t="str">
        <f ca="1">IF(OR($L200&gt;AH$4,AH$4&gt;$L200+23),"",OFFSET(Electric!$L191,0,-'Electric Calendarize'!$L200+'Electric Calendarize'!AH$4+1))</f>
        <v/>
      </c>
      <c r="AI200" t="str">
        <f ca="1">IF(OR($L200&gt;AI$4,AI$4&gt;$L200+23),"",OFFSET(Electric!$L191,0,-'Electric Calendarize'!$L200+'Electric Calendarize'!AI$4+1))</f>
        <v/>
      </c>
      <c r="AJ200">
        <f ca="1">IF(OR($L200&gt;AJ$4,AJ$4&gt;$L200+23),"",OFFSET(Electric!$L191,0,-'Electric Calendarize'!$L200+'Electric Calendarize'!AJ$4+1))</f>
        <v>0</v>
      </c>
      <c r="AK200">
        <f ca="1">IF(OR($L200&gt;AK$4,AK$4&gt;$L200+23),"",OFFSET(Electric!$L191,0,-'Electric Calendarize'!$L200+'Electric Calendarize'!AK$4+1))</f>
        <v>1343</v>
      </c>
      <c r="AL200">
        <f ca="1">IF(OR($L200&gt;AL$4,AL$4&gt;$L200+23),"",OFFSET(Electric!$L191,0,-'Electric Calendarize'!$L200+'Electric Calendarize'!AL$4+1))</f>
        <v>993</v>
      </c>
      <c r="AM200">
        <f ca="1">IF(OR($L200&gt;AM$4,AM$4&gt;$L200+23),"",OFFSET(Electric!$L191,0,-'Electric Calendarize'!$L200+'Electric Calendarize'!AM$4+1))</f>
        <v>993</v>
      </c>
      <c r="AN200">
        <f ca="1">IF(OR($L200&gt;AN$4,AN$4&gt;$L200+23),"",OFFSET(Electric!$L191,0,-'Electric Calendarize'!$L200+'Electric Calendarize'!AN$4+1))</f>
        <v>852</v>
      </c>
      <c r="AO200">
        <f ca="1">IF(OR($L200&gt;AO$4,AO$4&gt;$L200+23),"",OFFSET(Electric!$L191,0,-'Electric Calendarize'!$L200+'Electric Calendarize'!AO$4+1))</f>
        <v>1050</v>
      </c>
      <c r="AP200">
        <f ca="1">IF(OR($L200&gt;AP$4,AP$4&gt;$L200+23),"",OFFSET(Electric!$L191,0,-'Electric Calendarize'!$L200+'Electric Calendarize'!AP$4+1))</f>
        <v>1083</v>
      </c>
      <c r="AQ200">
        <f ca="1">IF(OR($L200&gt;AQ$4,AQ$4&gt;$L200+23),"",OFFSET(Electric!$L191,0,-'Electric Calendarize'!$L200+'Electric Calendarize'!AQ$4+1))</f>
        <v>1011</v>
      </c>
      <c r="AR200">
        <f ca="1">IF(OR($L200&gt;AR$4,AR$4&gt;$L200+23),"",OFFSET(Electric!$L191,0,-'Electric Calendarize'!$L200+'Electric Calendarize'!AR$4+1))</f>
        <v>1342</v>
      </c>
      <c r="AS200">
        <f ca="1">IF(OR($L200&gt;AS$4,AS$4&gt;$L200+23),"",OFFSET(Electric!$L191,0,-'Electric Calendarize'!$L200+'Electric Calendarize'!AS$4+1))</f>
        <v>1204</v>
      </c>
      <c r="AT200">
        <f ca="1">IF(OR($L200&gt;AT$4,AT$4&gt;$L200+23),"",OFFSET(Electric!$L191,0,-'Electric Calendarize'!$L200+'Electric Calendarize'!AT$4+1))</f>
        <v>754</v>
      </c>
      <c r="AU200">
        <f ca="1">IF(OR($L200&gt;AU$4,AU$4&gt;$L200+23),"",OFFSET(Electric!$L191,0,-'Electric Calendarize'!$L200+'Electric Calendarize'!AU$4+1))</f>
        <v>831</v>
      </c>
      <c r="AV200">
        <f ca="1">IF(OR($L200&gt;AV$4,AV$4&gt;$L200+23),"",OFFSET(Electric!$L191,0,-'Electric Calendarize'!$L200+'Electric Calendarize'!AV$4+1))</f>
        <v>859</v>
      </c>
      <c r="AW200">
        <f ca="1">IF(OR($L200&gt;AW$4,AW$4&gt;$L200+23),"",OFFSET(Electric!$L191,0,-'Electric Calendarize'!$L200+'Electric Calendarize'!AW$4+1))</f>
        <v>1079</v>
      </c>
      <c r="AX200">
        <f ca="1">IF(OR($L200&gt;AX$4,AX$4&gt;$L200+23),"",OFFSET(Electric!$L191,0,-'Electric Calendarize'!$L200+'Electric Calendarize'!AX$4+1))</f>
        <v>888</v>
      </c>
      <c r="AY200">
        <f ca="1">IF(OR($L200&gt;AY$4,AY$4&gt;$L200+23),"",OFFSET(Electric!$L191,0,-'Electric Calendarize'!$L200+'Electric Calendarize'!AY$4+1))</f>
        <v>895</v>
      </c>
      <c r="AZ200">
        <f ca="1">IF(OR($L200&gt;AZ$4,AZ$4&gt;$L200+23),"",OFFSET(Electric!$L191,0,-'Electric Calendarize'!$L200+'Electric Calendarize'!AZ$4+1))</f>
        <v>799</v>
      </c>
      <c r="BA200">
        <f ca="1">IF(OR($L200&gt;BA$4,BA$4&gt;$L200+23),"",OFFSET(Electric!$L191,0,-'Electric Calendarize'!$L200+'Electric Calendarize'!BA$4+1))</f>
        <v>861</v>
      </c>
      <c r="BB200">
        <f ca="1">IF(OR($L200&gt;BB$4,BB$4&gt;$L200+23),"",OFFSET(Electric!$L191,0,-'Electric Calendarize'!$L200+'Electric Calendarize'!BB$4+1))</f>
        <v>1008</v>
      </c>
      <c r="BC200">
        <f ca="1">IF(OR($L200&gt;BC$4,BC$4&gt;$L200+23),"",OFFSET(Electric!$L191,0,-'Electric Calendarize'!$L200+'Electric Calendarize'!BC$4+1))</f>
        <v>981</v>
      </c>
      <c r="BD200">
        <f ca="1">IF(OR($L200&gt;BD$4,BD$4&gt;$L200+23),"",OFFSET(Electric!$L191,0,-'Electric Calendarize'!$L200+'Electric Calendarize'!BD$4+1))</f>
        <v>1006</v>
      </c>
      <c r="BE200">
        <f ca="1">IF(OR($L200&gt;BE$4,BE$4&gt;$L200+23),"",OFFSET(Electric!$L191,0,-'Electric Calendarize'!$L200+'Electric Calendarize'!BE$4+1))</f>
        <v>1136</v>
      </c>
      <c r="BF200">
        <f ca="1">IF(OR($L200&gt;BF$4,BF$4&gt;$L200+23),"",OFFSET(Electric!$L191,0,-'Electric Calendarize'!$L200+'Electric Calendarize'!BF$4+1))</f>
        <v>900</v>
      </c>
      <c r="BG200">
        <f ca="1">IF(OR($L200&gt;BG$4,BG$4&gt;$L200+23),"",OFFSET(Electric!$L191,0,-'Electric Calendarize'!$L200+'Electric Calendarize'!BG$4+1))</f>
        <v>919</v>
      </c>
      <c r="BJ200" s="10" t="s">
        <v>37</v>
      </c>
      <c r="BK200">
        <f t="shared" si="411"/>
        <v>1</v>
      </c>
      <c r="BL200">
        <f t="shared" si="317"/>
        <v>0</v>
      </c>
      <c r="BM200">
        <f t="shared" si="318"/>
        <v>0</v>
      </c>
      <c r="BN200">
        <f t="shared" si="319"/>
        <v>0</v>
      </c>
      <c r="BO200">
        <f t="shared" si="320"/>
        <v>0</v>
      </c>
      <c r="BP200">
        <f t="shared" si="321"/>
        <v>0</v>
      </c>
      <c r="BQ200">
        <f t="shared" si="322"/>
        <v>0</v>
      </c>
      <c r="BR200">
        <f t="shared" si="323"/>
        <v>1</v>
      </c>
      <c r="BS200">
        <f t="shared" si="324"/>
        <v>1</v>
      </c>
      <c r="BT200">
        <f t="shared" si="325"/>
        <v>1</v>
      </c>
      <c r="BU200">
        <f t="shared" si="326"/>
        <v>1</v>
      </c>
      <c r="BV200">
        <f t="shared" si="327"/>
        <v>1</v>
      </c>
      <c r="BW200">
        <f t="shared" si="328"/>
        <v>1</v>
      </c>
      <c r="BX200">
        <f t="shared" si="329"/>
        <v>0</v>
      </c>
      <c r="BY200">
        <f t="shared" si="330"/>
        <v>0</v>
      </c>
      <c r="BZ200">
        <f t="shared" si="331"/>
        <v>0</v>
      </c>
      <c r="CA200">
        <f t="shared" si="332"/>
        <v>0</v>
      </c>
      <c r="CB200">
        <f t="shared" si="333"/>
        <v>0</v>
      </c>
      <c r="CC200">
        <f t="shared" si="334"/>
        <v>0</v>
      </c>
      <c r="CD200">
        <f t="shared" si="335"/>
        <v>1</v>
      </c>
      <c r="CE200">
        <f t="shared" si="336"/>
        <v>1</v>
      </c>
      <c r="CF200">
        <f t="shared" si="337"/>
        <v>1</v>
      </c>
      <c r="CG200">
        <f t="shared" si="338"/>
        <v>1</v>
      </c>
      <c r="CH200">
        <f t="shared" si="339"/>
        <v>1</v>
      </c>
      <c r="CI200">
        <f t="shared" si="340"/>
        <v>1</v>
      </c>
      <c r="CJ200">
        <f t="shared" si="341"/>
        <v>0</v>
      </c>
      <c r="CK200">
        <f t="shared" si="342"/>
        <v>0</v>
      </c>
      <c r="CL200">
        <f t="shared" si="343"/>
        <v>0</v>
      </c>
      <c r="CM200">
        <f t="shared" si="344"/>
        <v>0</v>
      </c>
      <c r="CN200">
        <f t="shared" si="345"/>
        <v>0</v>
      </c>
      <c r="CO200">
        <f t="shared" si="346"/>
        <v>0</v>
      </c>
      <c r="CP200">
        <f t="shared" si="347"/>
        <v>1</v>
      </c>
      <c r="CQ200">
        <f t="shared" si="348"/>
        <v>1</v>
      </c>
      <c r="CR200">
        <f t="shared" si="349"/>
        <v>1</v>
      </c>
      <c r="CS200">
        <f t="shared" si="350"/>
        <v>1</v>
      </c>
      <c r="CT200">
        <f t="shared" si="351"/>
        <v>1</v>
      </c>
      <c r="CU200">
        <f t="shared" si="352"/>
        <v>1</v>
      </c>
      <c r="CV200">
        <f t="shared" si="353"/>
        <v>0</v>
      </c>
      <c r="CW200">
        <f t="shared" si="354"/>
        <v>0</v>
      </c>
      <c r="CX200">
        <f t="shared" si="355"/>
        <v>0</v>
      </c>
      <c r="CY200">
        <f t="shared" si="356"/>
        <v>0</v>
      </c>
      <c r="CZ200">
        <f t="shared" si="357"/>
        <v>0</v>
      </c>
      <c r="DA200">
        <f t="shared" si="358"/>
        <v>0</v>
      </c>
      <c r="DB200">
        <f t="shared" si="359"/>
        <v>1</v>
      </c>
      <c r="DC200">
        <f t="shared" si="360"/>
        <v>1</v>
      </c>
      <c r="DF200" s="10" t="s">
        <v>37</v>
      </c>
      <c r="DG200" t="str">
        <f t="shared" si="423"/>
        <v>2023_1</v>
      </c>
      <c r="DH200" t="str">
        <f t="shared" si="423"/>
        <v>2023_1</v>
      </c>
      <c r="DI200" t="str">
        <f t="shared" si="423"/>
        <v>2023_1</v>
      </c>
      <c r="DJ200" t="str">
        <f t="shared" si="423"/>
        <v>2023_1</v>
      </c>
      <c r="DK200" t="str">
        <f t="shared" si="423"/>
        <v>2023_1</v>
      </c>
      <c r="DL200" t="str">
        <f t="shared" si="423"/>
        <v>2023_1</v>
      </c>
      <c r="DM200" t="str">
        <f t="shared" si="423"/>
        <v>2023_1</v>
      </c>
      <c r="DN200" t="str">
        <f t="shared" si="423"/>
        <v>2023_1</v>
      </c>
      <c r="DO200" t="str">
        <f t="shared" si="423"/>
        <v>2023_1</v>
      </c>
      <c r="DP200" t="str">
        <f t="shared" si="423"/>
        <v>2023_1</v>
      </c>
      <c r="DQ200" t="str">
        <f t="shared" si="423"/>
        <v>2023_1</v>
      </c>
      <c r="DR200" t="str">
        <f t="shared" si="423"/>
        <v>2023_1</v>
      </c>
      <c r="DS200" t="str">
        <f t="shared" si="423"/>
        <v>2023_1</v>
      </c>
      <c r="DT200" t="str">
        <f t="shared" si="423"/>
        <v>2023_1</v>
      </c>
      <c r="DU200" t="str">
        <f t="shared" si="423"/>
        <v>2023_1</v>
      </c>
      <c r="DV200" t="str">
        <f t="shared" si="423"/>
        <v>2023_1</v>
      </c>
      <c r="DW200" t="str">
        <f t="shared" si="422"/>
        <v>2023_1</v>
      </c>
      <c r="DX200" t="str">
        <f t="shared" si="422"/>
        <v>2023_1</v>
      </c>
      <c r="DY200" t="str">
        <f t="shared" si="422"/>
        <v>2023_1</v>
      </c>
      <c r="DZ200" t="str">
        <f t="shared" si="422"/>
        <v>2023_1</v>
      </c>
      <c r="EA200" t="str">
        <f t="shared" si="422"/>
        <v>2023_1</v>
      </c>
      <c r="EB200" t="str">
        <f t="shared" si="422"/>
        <v>2023_1</v>
      </c>
      <c r="EC200" t="str">
        <f t="shared" si="422"/>
        <v>2023_1</v>
      </c>
      <c r="ED200" t="str">
        <f t="shared" si="422"/>
        <v>2023_1</v>
      </c>
      <c r="EE200" t="str">
        <f t="shared" si="422"/>
        <v>2023_1</v>
      </c>
      <c r="EF200" t="str">
        <f t="shared" si="422"/>
        <v>2023_1</v>
      </c>
      <c r="EG200" t="str">
        <f t="shared" si="422"/>
        <v>2023_1</v>
      </c>
      <c r="EH200" t="str">
        <f t="shared" si="422"/>
        <v>2023_1</v>
      </c>
      <c r="EI200" t="str">
        <f t="shared" si="422"/>
        <v>2023_1</v>
      </c>
      <c r="EJ200" t="str">
        <f t="shared" si="422"/>
        <v>2023_1</v>
      </c>
      <c r="EK200" t="str">
        <f t="shared" si="421"/>
        <v>2023_1</v>
      </c>
      <c r="EL200" t="str">
        <f t="shared" si="421"/>
        <v>2023_1</v>
      </c>
      <c r="EM200" t="str">
        <f t="shared" si="421"/>
        <v>2023_1</v>
      </c>
      <c r="EN200" t="str">
        <f t="shared" si="421"/>
        <v>2023_1</v>
      </c>
      <c r="EO200" t="str">
        <f t="shared" si="421"/>
        <v>2023_1</v>
      </c>
      <c r="EP200" t="str">
        <f t="shared" si="421"/>
        <v>2023_1</v>
      </c>
      <c r="EQ200" t="str">
        <f t="shared" si="421"/>
        <v>2023_1</v>
      </c>
      <c r="ER200" t="str">
        <f t="shared" si="421"/>
        <v>2023_1</v>
      </c>
      <c r="ES200" t="str">
        <f t="shared" si="421"/>
        <v>2023_1</v>
      </c>
      <c r="ET200" t="str">
        <f t="shared" si="421"/>
        <v>2023_1</v>
      </c>
      <c r="EU200" t="str">
        <f t="shared" si="421"/>
        <v>2023_1</v>
      </c>
      <c r="EV200" t="str">
        <f t="shared" si="421"/>
        <v>2023_1</v>
      </c>
      <c r="EW200" t="str">
        <f t="shared" si="421"/>
        <v>2023_1</v>
      </c>
      <c r="EX200" t="str">
        <f t="shared" si="421"/>
        <v>2023_1</v>
      </c>
      <c r="EY200" t="str">
        <f t="shared" si="421"/>
        <v>2023_1</v>
      </c>
      <c r="FB200" s="10" t="s">
        <v>37</v>
      </c>
      <c r="FC200">
        <f t="shared" si="413"/>
        <v>0</v>
      </c>
      <c r="FD200">
        <f t="shared" si="363"/>
        <v>0</v>
      </c>
      <c r="FE200">
        <f t="shared" si="364"/>
        <v>0</v>
      </c>
      <c r="FF200">
        <f t="shared" si="365"/>
        <v>0</v>
      </c>
      <c r="FG200">
        <f t="shared" si="366"/>
        <v>0</v>
      </c>
      <c r="FH200">
        <f t="shared" si="367"/>
        <v>0</v>
      </c>
      <c r="FI200">
        <f t="shared" si="368"/>
        <v>0</v>
      </c>
      <c r="FJ200">
        <f t="shared" si="369"/>
        <v>0</v>
      </c>
      <c r="FK200">
        <f t="shared" si="370"/>
        <v>0</v>
      </c>
      <c r="FL200">
        <f t="shared" si="371"/>
        <v>0</v>
      </c>
      <c r="FM200">
        <f t="shared" si="372"/>
        <v>0</v>
      </c>
      <c r="FN200">
        <f t="shared" si="373"/>
        <v>0</v>
      </c>
      <c r="FO200">
        <f t="shared" si="374"/>
        <v>0</v>
      </c>
      <c r="FP200">
        <f t="shared" si="375"/>
        <v>0</v>
      </c>
      <c r="FQ200">
        <f t="shared" si="376"/>
        <v>0</v>
      </c>
      <c r="FR200">
        <f t="shared" si="377"/>
        <v>0</v>
      </c>
      <c r="FS200">
        <f t="shared" si="378"/>
        <v>0</v>
      </c>
      <c r="FT200">
        <f t="shared" si="379"/>
        <v>0</v>
      </c>
      <c r="FU200">
        <f t="shared" si="380"/>
        <v>0</v>
      </c>
      <c r="FV200">
        <f t="shared" si="381"/>
        <v>0</v>
      </c>
      <c r="FW200">
        <f t="shared" si="382"/>
        <v>0</v>
      </c>
      <c r="FX200">
        <f t="shared" si="383"/>
        <v>0</v>
      </c>
      <c r="FY200">
        <f t="shared" si="384"/>
        <v>0</v>
      </c>
      <c r="FZ200">
        <f t="shared" si="385"/>
        <v>0</v>
      </c>
      <c r="GA200">
        <f t="shared" si="386"/>
        <v>0</v>
      </c>
      <c r="GB200">
        <f t="shared" si="387"/>
        <v>0</v>
      </c>
      <c r="GC200">
        <f t="shared" si="388"/>
        <v>0</v>
      </c>
      <c r="GD200">
        <f t="shared" si="389"/>
        <v>0</v>
      </c>
      <c r="GE200">
        <f t="shared" si="390"/>
        <v>0</v>
      </c>
      <c r="GF200">
        <f t="shared" si="391"/>
        <v>0</v>
      </c>
      <c r="GG200">
        <f t="shared" si="392"/>
        <v>0</v>
      </c>
      <c r="GH200">
        <f t="shared" si="393"/>
        <v>0</v>
      </c>
      <c r="GI200">
        <f t="shared" si="394"/>
        <v>0</v>
      </c>
      <c r="GJ200">
        <f t="shared" si="395"/>
        <v>1</v>
      </c>
      <c r="GK200">
        <f t="shared" si="396"/>
        <v>1</v>
      </c>
      <c r="GL200">
        <f t="shared" si="397"/>
        <v>1</v>
      </c>
      <c r="GM200">
        <f t="shared" si="398"/>
        <v>1</v>
      </c>
      <c r="GN200">
        <f t="shared" si="399"/>
        <v>1</v>
      </c>
      <c r="GO200">
        <f t="shared" si="400"/>
        <v>1</v>
      </c>
      <c r="GP200">
        <f t="shared" si="401"/>
        <v>1</v>
      </c>
      <c r="GQ200">
        <f t="shared" si="402"/>
        <v>1</v>
      </c>
      <c r="GR200">
        <f t="shared" si="403"/>
        <v>1</v>
      </c>
      <c r="GS200">
        <f t="shared" si="404"/>
        <v>1</v>
      </c>
      <c r="GT200">
        <f t="shared" si="405"/>
        <v>1</v>
      </c>
      <c r="GU200">
        <f t="shared" si="406"/>
        <v>1</v>
      </c>
      <c r="GX200" s="10"/>
    </row>
    <row r="201" spans="1:206" x14ac:dyDescent="0.3">
      <c r="A201" s="9" t="s">
        <v>124</v>
      </c>
      <c r="B201" s="80"/>
      <c r="C201" s="9">
        <v>3151685002</v>
      </c>
      <c r="D201" s="9" t="s">
        <v>364</v>
      </c>
      <c r="E201" s="9" t="s">
        <v>39</v>
      </c>
      <c r="F201" s="9" t="s">
        <v>35</v>
      </c>
      <c r="G201" s="9" t="s">
        <v>227</v>
      </c>
      <c r="H201" s="10">
        <v>44942</v>
      </c>
      <c r="I201" s="9">
        <f t="shared" si="407"/>
        <v>2023</v>
      </c>
      <c r="J201" s="9">
        <f t="shared" si="408"/>
        <v>1</v>
      </c>
      <c r="K201" s="9" t="str">
        <f t="shared" si="409"/>
        <v>2023_1</v>
      </c>
      <c r="L201">
        <f>MAX(0,VLOOKUP($K201,lookups!$A$1:$B$45,2,0)-12)</f>
        <v>21</v>
      </c>
      <c r="M201" s="40">
        <f t="shared" si="410"/>
        <v>44927</v>
      </c>
      <c r="N201" s="10" t="s">
        <v>37</v>
      </c>
      <c r="O201" t="str">
        <f ca="1">IF(OR($L201&gt;O$4,O$4&gt;$L201+23),"",OFFSET(Electric!$L192,0,-'Electric Calendarize'!$L201+'Electric Calendarize'!O$4+1))</f>
        <v/>
      </c>
      <c r="P201" t="str">
        <f ca="1">IF(OR($L201&gt;P$4,P$4&gt;$L201+23),"",OFFSET(Electric!$L192,0,-'Electric Calendarize'!$L201+'Electric Calendarize'!P$4+1))</f>
        <v/>
      </c>
      <c r="Q201" t="str">
        <f ca="1">IF(OR($L201&gt;Q$4,Q$4&gt;$L201+23),"",OFFSET(Electric!$L192,0,-'Electric Calendarize'!$L201+'Electric Calendarize'!Q$4+1))</f>
        <v/>
      </c>
      <c r="R201" t="str">
        <f ca="1">IF(OR($L201&gt;R$4,R$4&gt;$L201+23),"",OFFSET(Electric!$L192,0,-'Electric Calendarize'!$L201+'Electric Calendarize'!R$4+1))</f>
        <v/>
      </c>
      <c r="S201" t="str">
        <f ca="1">IF(OR($L201&gt;S$4,S$4&gt;$L201+23),"",OFFSET(Electric!$L192,0,-'Electric Calendarize'!$L201+'Electric Calendarize'!S$4+1))</f>
        <v/>
      </c>
      <c r="T201" t="str">
        <f ca="1">IF(OR($L201&gt;T$4,T$4&gt;$L201+23),"",OFFSET(Electric!$L192,0,-'Electric Calendarize'!$L201+'Electric Calendarize'!T$4+1))</f>
        <v/>
      </c>
      <c r="U201" t="str">
        <f ca="1">IF(OR($L201&gt;U$4,U$4&gt;$L201+23),"",OFFSET(Electric!$L192,0,-'Electric Calendarize'!$L201+'Electric Calendarize'!U$4+1))</f>
        <v/>
      </c>
      <c r="V201" t="str">
        <f ca="1">IF(OR($L201&gt;V$4,V$4&gt;$L201+23),"",OFFSET(Electric!$L192,0,-'Electric Calendarize'!$L201+'Electric Calendarize'!V$4+1))</f>
        <v/>
      </c>
      <c r="W201" t="str">
        <f ca="1">IF(OR($L201&gt;W$4,W$4&gt;$L201+23),"",OFFSET(Electric!$L192,0,-'Electric Calendarize'!$L201+'Electric Calendarize'!W$4+1))</f>
        <v/>
      </c>
      <c r="X201" t="str">
        <f ca="1">IF(OR($L201&gt;X$4,X$4&gt;$L201+23),"",OFFSET(Electric!$L192,0,-'Electric Calendarize'!$L201+'Electric Calendarize'!X$4+1))</f>
        <v/>
      </c>
      <c r="Y201" t="str">
        <f ca="1">IF(OR($L201&gt;Y$4,Y$4&gt;$L201+23),"",OFFSET(Electric!$L192,0,-'Electric Calendarize'!$L201+'Electric Calendarize'!Y$4+1))</f>
        <v/>
      </c>
      <c r="Z201" t="str">
        <f ca="1">IF(OR($L201&gt;Z$4,Z$4&gt;$L201+23),"",OFFSET(Electric!$L192,0,-'Electric Calendarize'!$L201+'Electric Calendarize'!Z$4+1))</f>
        <v/>
      </c>
      <c r="AA201" t="str">
        <f ca="1">IF(OR($L201&gt;AA$4,AA$4&gt;$L201+23),"",OFFSET(Electric!$L192,0,-'Electric Calendarize'!$L201+'Electric Calendarize'!AA$4+1))</f>
        <v/>
      </c>
      <c r="AB201" t="str">
        <f ca="1">IF(OR($L201&gt;AB$4,AB$4&gt;$L201+23),"",OFFSET(Electric!$L192,0,-'Electric Calendarize'!$L201+'Electric Calendarize'!AB$4+1))</f>
        <v/>
      </c>
      <c r="AC201" t="str">
        <f ca="1">IF(OR($L201&gt;AC$4,AC$4&gt;$L201+23),"",OFFSET(Electric!$L192,0,-'Electric Calendarize'!$L201+'Electric Calendarize'!AC$4+1))</f>
        <v/>
      </c>
      <c r="AD201" t="str">
        <f ca="1">IF(OR($L201&gt;AD$4,AD$4&gt;$L201+23),"",OFFSET(Electric!$L192,0,-'Electric Calendarize'!$L201+'Electric Calendarize'!AD$4+1))</f>
        <v/>
      </c>
      <c r="AE201" t="str">
        <f ca="1">IF(OR($L201&gt;AE$4,AE$4&gt;$L201+23),"",OFFSET(Electric!$L192,0,-'Electric Calendarize'!$L201+'Electric Calendarize'!AE$4+1))</f>
        <v/>
      </c>
      <c r="AF201" t="str">
        <f ca="1">IF(OR($L201&gt;AF$4,AF$4&gt;$L201+23),"",OFFSET(Electric!$L192,0,-'Electric Calendarize'!$L201+'Electric Calendarize'!AF$4+1))</f>
        <v/>
      </c>
      <c r="AG201" t="str">
        <f ca="1">IF(OR($L201&gt;AG$4,AG$4&gt;$L201+23),"",OFFSET(Electric!$L192,0,-'Electric Calendarize'!$L201+'Electric Calendarize'!AG$4+1))</f>
        <v/>
      </c>
      <c r="AH201" t="str">
        <f ca="1">IF(OR($L201&gt;AH$4,AH$4&gt;$L201+23),"",OFFSET(Electric!$L192,0,-'Electric Calendarize'!$L201+'Electric Calendarize'!AH$4+1))</f>
        <v/>
      </c>
      <c r="AI201" t="str">
        <f ca="1">IF(OR($L201&gt;AI$4,AI$4&gt;$L201+23),"",OFFSET(Electric!$L192,0,-'Electric Calendarize'!$L201+'Electric Calendarize'!AI$4+1))</f>
        <v/>
      </c>
      <c r="AJ201">
        <f ca="1">IF(OR($L201&gt;AJ$4,AJ$4&gt;$L201+23),"",OFFSET(Electric!$L192,0,-'Electric Calendarize'!$L201+'Electric Calendarize'!AJ$4+1))</f>
        <v>600</v>
      </c>
      <c r="AK201">
        <f ca="1">IF(OR($L201&gt;AK$4,AK$4&gt;$L201+23),"",OFFSET(Electric!$L192,0,-'Electric Calendarize'!$L201+'Electric Calendarize'!AK$4+1))</f>
        <v>647</v>
      </c>
      <c r="AL201">
        <f ca="1">IF(OR($L201&gt;AL$4,AL$4&gt;$L201+23),"",OFFSET(Electric!$L192,0,-'Electric Calendarize'!$L201+'Electric Calendarize'!AL$4+1))</f>
        <v>580</v>
      </c>
      <c r="AM201">
        <f ca="1">IF(OR($L201&gt;AM$4,AM$4&gt;$L201+23),"",OFFSET(Electric!$L192,0,-'Electric Calendarize'!$L201+'Electric Calendarize'!AM$4+1))</f>
        <v>714</v>
      </c>
      <c r="AN201">
        <f ca="1">IF(OR($L201&gt;AN$4,AN$4&gt;$L201+23),"",OFFSET(Electric!$L192,0,-'Electric Calendarize'!$L201+'Electric Calendarize'!AN$4+1))</f>
        <v>1230</v>
      </c>
      <c r="AO201">
        <f ca="1">IF(OR($L201&gt;AO$4,AO$4&gt;$L201+23),"",OFFSET(Electric!$L192,0,-'Electric Calendarize'!$L201+'Electric Calendarize'!AO$4+1))</f>
        <v>1973</v>
      </c>
      <c r="AP201">
        <f ca="1">IF(OR($L201&gt;AP$4,AP$4&gt;$L201+23),"",OFFSET(Electric!$L192,0,-'Electric Calendarize'!$L201+'Electric Calendarize'!AP$4+1))</f>
        <v>2245</v>
      </c>
      <c r="AQ201">
        <f ca="1">IF(OR($L201&gt;AQ$4,AQ$4&gt;$L201+23),"",OFFSET(Electric!$L192,0,-'Electric Calendarize'!$L201+'Electric Calendarize'!AQ$4+1))</f>
        <v>2342</v>
      </c>
      <c r="AR201">
        <f ca="1">IF(OR($L201&gt;AR$4,AR$4&gt;$L201+23),"",OFFSET(Electric!$L192,0,-'Electric Calendarize'!$L201+'Electric Calendarize'!AR$4+1))</f>
        <v>1336</v>
      </c>
      <c r="AS201">
        <f ca="1">IF(OR($L201&gt;AS$4,AS$4&gt;$L201+23),"",OFFSET(Electric!$L192,0,-'Electric Calendarize'!$L201+'Electric Calendarize'!AS$4+1))</f>
        <v>1119</v>
      </c>
      <c r="AT201">
        <f ca="1">IF(OR($L201&gt;AT$4,AT$4&gt;$L201+23),"",OFFSET(Electric!$L192,0,-'Electric Calendarize'!$L201+'Electric Calendarize'!AT$4+1))</f>
        <v>718</v>
      </c>
      <c r="AU201">
        <f ca="1">IF(OR($L201&gt;AU$4,AU$4&gt;$L201+23),"",OFFSET(Electric!$L192,0,-'Electric Calendarize'!$L201+'Electric Calendarize'!AU$4+1))</f>
        <v>621</v>
      </c>
      <c r="AV201">
        <f ca="1">IF(OR($L201&gt;AV$4,AV$4&gt;$L201+23),"",OFFSET(Electric!$L192,0,-'Electric Calendarize'!$L201+'Electric Calendarize'!AV$4+1))</f>
        <v>576</v>
      </c>
      <c r="AW201">
        <f ca="1">IF(OR($L201&gt;AW$4,AW$4&gt;$L201+23),"",OFFSET(Electric!$L192,0,-'Electric Calendarize'!$L201+'Electric Calendarize'!AW$4+1))</f>
        <v>579</v>
      </c>
      <c r="AX201">
        <f ca="1">IF(OR($L201&gt;AX$4,AX$4&gt;$L201+23),"",OFFSET(Electric!$L192,0,-'Electric Calendarize'!$L201+'Electric Calendarize'!AX$4+1))</f>
        <v>549</v>
      </c>
      <c r="AY201">
        <f ca="1">IF(OR($L201&gt;AY$4,AY$4&gt;$L201+23),"",OFFSET(Electric!$L192,0,-'Electric Calendarize'!$L201+'Electric Calendarize'!AY$4+1))</f>
        <v>587</v>
      </c>
      <c r="AZ201">
        <f ca="1">IF(OR($L201&gt;AZ$4,AZ$4&gt;$L201+23),"",OFFSET(Electric!$L192,0,-'Electric Calendarize'!$L201+'Electric Calendarize'!AZ$4+1))</f>
        <v>821</v>
      </c>
      <c r="BA201">
        <f ca="1">IF(OR($L201&gt;BA$4,BA$4&gt;$L201+23),"",OFFSET(Electric!$L192,0,-'Electric Calendarize'!$L201+'Electric Calendarize'!BA$4+1))</f>
        <v>1699</v>
      </c>
      <c r="BB201">
        <f ca="1">IF(OR($L201&gt;BB$4,BB$4&gt;$L201+23),"",OFFSET(Electric!$L192,0,-'Electric Calendarize'!$L201+'Electric Calendarize'!BB$4+1))</f>
        <v>1891</v>
      </c>
      <c r="BC201">
        <f ca="1">IF(OR($L201&gt;BC$4,BC$4&gt;$L201+23),"",OFFSET(Electric!$L192,0,-'Electric Calendarize'!$L201+'Electric Calendarize'!BC$4+1))</f>
        <v>2193</v>
      </c>
      <c r="BD201">
        <f ca="1">IF(OR($L201&gt;BD$4,BD$4&gt;$L201+23),"",OFFSET(Electric!$L192,0,-'Electric Calendarize'!$L201+'Electric Calendarize'!BD$4+1))</f>
        <v>1594</v>
      </c>
      <c r="BE201">
        <f ca="1">IF(OR($L201&gt;BE$4,BE$4&gt;$L201+23),"",OFFSET(Electric!$L192,0,-'Electric Calendarize'!$L201+'Electric Calendarize'!BE$4+1))</f>
        <v>1003</v>
      </c>
      <c r="BF201">
        <f ca="1">IF(OR($L201&gt;BF$4,BF$4&gt;$L201+23),"",OFFSET(Electric!$L192,0,-'Electric Calendarize'!$L201+'Electric Calendarize'!BF$4+1))</f>
        <v>804</v>
      </c>
      <c r="BG201">
        <f ca="1">IF(OR($L201&gt;BG$4,BG$4&gt;$L201+23),"",OFFSET(Electric!$L192,0,-'Electric Calendarize'!$L201+'Electric Calendarize'!BG$4+1))</f>
        <v>0</v>
      </c>
      <c r="BJ201" s="10" t="s">
        <v>37</v>
      </c>
      <c r="BK201">
        <f t="shared" si="411"/>
        <v>1</v>
      </c>
      <c r="BL201">
        <f t="shared" si="317"/>
        <v>0</v>
      </c>
      <c r="BM201">
        <f t="shared" si="318"/>
        <v>0</v>
      </c>
      <c r="BN201">
        <f t="shared" si="319"/>
        <v>0</v>
      </c>
      <c r="BO201">
        <f t="shared" si="320"/>
        <v>0</v>
      </c>
      <c r="BP201">
        <f t="shared" si="321"/>
        <v>0</v>
      </c>
      <c r="BQ201">
        <f t="shared" si="322"/>
        <v>0</v>
      </c>
      <c r="BR201">
        <f t="shared" si="323"/>
        <v>1</v>
      </c>
      <c r="BS201">
        <f t="shared" si="324"/>
        <v>1</v>
      </c>
      <c r="BT201">
        <f t="shared" si="325"/>
        <v>1</v>
      </c>
      <c r="BU201">
        <f t="shared" si="326"/>
        <v>1</v>
      </c>
      <c r="BV201">
        <f t="shared" si="327"/>
        <v>1</v>
      </c>
      <c r="BW201">
        <f t="shared" si="328"/>
        <v>1</v>
      </c>
      <c r="BX201">
        <f t="shared" si="329"/>
        <v>0</v>
      </c>
      <c r="BY201">
        <f t="shared" si="330"/>
        <v>0</v>
      </c>
      <c r="BZ201">
        <f t="shared" si="331"/>
        <v>0</v>
      </c>
      <c r="CA201">
        <f t="shared" si="332"/>
        <v>0</v>
      </c>
      <c r="CB201">
        <f t="shared" si="333"/>
        <v>0</v>
      </c>
      <c r="CC201">
        <f t="shared" si="334"/>
        <v>0</v>
      </c>
      <c r="CD201">
        <f t="shared" si="335"/>
        <v>1</v>
      </c>
      <c r="CE201">
        <f t="shared" si="336"/>
        <v>1</v>
      </c>
      <c r="CF201">
        <f t="shared" si="337"/>
        <v>1</v>
      </c>
      <c r="CG201">
        <f t="shared" si="338"/>
        <v>1</v>
      </c>
      <c r="CH201">
        <f t="shared" si="339"/>
        <v>1</v>
      </c>
      <c r="CI201">
        <f t="shared" si="340"/>
        <v>1</v>
      </c>
      <c r="CJ201">
        <f t="shared" si="341"/>
        <v>0</v>
      </c>
      <c r="CK201">
        <f t="shared" si="342"/>
        <v>0</v>
      </c>
      <c r="CL201">
        <f t="shared" si="343"/>
        <v>0</v>
      </c>
      <c r="CM201">
        <f t="shared" si="344"/>
        <v>0</v>
      </c>
      <c r="CN201">
        <f t="shared" si="345"/>
        <v>0</v>
      </c>
      <c r="CO201">
        <f t="shared" si="346"/>
        <v>0</v>
      </c>
      <c r="CP201">
        <f t="shared" si="347"/>
        <v>1</v>
      </c>
      <c r="CQ201">
        <f t="shared" si="348"/>
        <v>1</v>
      </c>
      <c r="CR201">
        <f t="shared" si="349"/>
        <v>1</v>
      </c>
      <c r="CS201">
        <f t="shared" si="350"/>
        <v>1</v>
      </c>
      <c r="CT201">
        <f t="shared" si="351"/>
        <v>1</v>
      </c>
      <c r="CU201">
        <f t="shared" si="352"/>
        <v>1</v>
      </c>
      <c r="CV201">
        <f t="shared" si="353"/>
        <v>0</v>
      </c>
      <c r="CW201">
        <f t="shared" si="354"/>
        <v>0</v>
      </c>
      <c r="CX201">
        <f t="shared" si="355"/>
        <v>0</v>
      </c>
      <c r="CY201">
        <f t="shared" si="356"/>
        <v>0</v>
      </c>
      <c r="CZ201">
        <f t="shared" si="357"/>
        <v>0</v>
      </c>
      <c r="DA201">
        <f t="shared" si="358"/>
        <v>0</v>
      </c>
      <c r="DB201">
        <f t="shared" si="359"/>
        <v>1</v>
      </c>
      <c r="DC201">
        <f t="shared" si="360"/>
        <v>1</v>
      </c>
      <c r="DF201" s="10" t="s">
        <v>37</v>
      </c>
      <c r="DG201" t="str">
        <f t="shared" si="423"/>
        <v>2023_1</v>
      </c>
      <c r="DH201" t="str">
        <f t="shared" si="423"/>
        <v>2023_1</v>
      </c>
      <c r="DI201" t="str">
        <f t="shared" si="423"/>
        <v>2023_1</v>
      </c>
      <c r="DJ201" t="str">
        <f t="shared" si="423"/>
        <v>2023_1</v>
      </c>
      <c r="DK201" t="str">
        <f t="shared" si="423"/>
        <v>2023_1</v>
      </c>
      <c r="DL201" t="str">
        <f t="shared" si="423"/>
        <v>2023_1</v>
      </c>
      <c r="DM201" t="str">
        <f t="shared" si="423"/>
        <v>2023_1</v>
      </c>
      <c r="DN201" t="str">
        <f t="shared" si="423"/>
        <v>2023_1</v>
      </c>
      <c r="DO201" t="str">
        <f t="shared" si="423"/>
        <v>2023_1</v>
      </c>
      <c r="DP201" t="str">
        <f t="shared" si="423"/>
        <v>2023_1</v>
      </c>
      <c r="DQ201" t="str">
        <f t="shared" si="423"/>
        <v>2023_1</v>
      </c>
      <c r="DR201" t="str">
        <f t="shared" si="423"/>
        <v>2023_1</v>
      </c>
      <c r="DS201" t="str">
        <f t="shared" si="423"/>
        <v>2023_1</v>
      </c>
      <c r="DT201" t="str">
        <f t="shared" si="423"/>
        <v>2023_1</v>
      </c>
      <c r="DU201" t="str">
        <f t="shared" si="423"/>
        <v>2023_1</v>
      </c>
      <c r="DV201" t="str">
        <f t="shared" si="423"/>
        <v>2023_1</v>
      </c>
      <c r="DW201" t="str">
        <f t="shared" si="422"/>
        <v>2023_1</v>
      </c>
      <c r="DX201" t="str">
        <f t="shared" si="422"/>
        <v>2023_1</v>
      </c>
      <c r="DY201" t="str">
        <f t="shared" si="422"/>
        <v>2023_1</v>
      </c>
      <c r="DZ201" t="str">
        <f t="shared" si="422"/>
        <v>2023_1</v>
      </c>
      <c r="EA201" t="str">
        <f t="shared" si="422"/>
        <v>2023_1</v>
      </c>
      <c r="EB201" t="str">
        <f t="shared" si="422"/>
        <v>2023_1</v>
      </c>
      <c r="EC201" t="str">
        <f t="shared" si="422"/>
        <v>2023_1</v>
      </c>
      <c r="ED201" t="str">
        <f t="shared" si="422"/>
        <v>2023_1</v>
      </c>
      <c r="EE201" t="str">
        <f t="shared" si="422"/>
        <v>2023_1</v>
      </c>
      <c r="EF201" t="str">
        <f t="shared" si="422"/>
        <v>2023_1</v>
      </c>
      <c r="EG201" t="str">
        <f t="shared" si="422"/>
        <v>2023_1</v>
      </c>
      <c r="EH201" t="str">
        <f t="shared" si="422"/>
        <v>2023_1</v>
      </c>
      <c r="EI201" t="str">
        <f t="shared" si="422"/>
        <v>2023_1</v>
      </c>
      <c r="EJ201" t="str">
        <f t="shared" si="422"/>
        <v>2023_1</v>
      </c>
      <c r="EK201" t="str">
        <f t="shared" si="421"/>
        <v>2023_1</v>
      </c>
      <c r="EL201" t="str">
        <f t="shared" si="421"/>
        <v>2023_1</v>
      </c>
      <c r="EM201" t="str">
        <f t="shared" si="421"/>
        <v>2023_1</v>
      </c>
      <c r="EN201" t="str">
        <f t="shared" si="421"/>
        <v>2023_1</v>
      </c>
      <c r="EO201" t="str">
        <f t="shared" si="421"/>
        <v>2023_1</v>
      </c>
      <c r="EP201" t="str">
        <f t="shared" si="421"/>
        <v>2023_1</v>
      </c>
      <c r="EQ201" t="str">
        <f t="shared" si="421"/>
        <v>2023_1</v>
      </c>
      <c r="ER201" t="str">
        <f t="shared" si="421"/>
        <v>2023_1</v>
      </c>
      <c r="ES201" t="str">
        <f t="shared" si="421"/>
        <v>2023_1</v>
      </c>
      <c r="ET201" t="str">
        <f t="shared" si="421"/>
        <v>2023_1</v>
      </c>
      <c r="EU201" t="str">
        <f t="shared" si="421"/>
        <v>2023_1</v>
      </c>
      <c r="EV201" t="str">
        <f t="shared" si="421"/>
        <v>2023_1</v>
      </c>
      <c r="EW201" t="str">
        <f t="shared" si="421"/>
        <v>2023_1</v>
      </c>
      <c r="EX201" t="str">
        <f t="shared" si="421"/>
        <v>2023_1</v>
      </c>
      <c r="EY201" t="str">
        <f t="shared" si="421"/>
        <v>2023_1</v>
      </c>
      <c r="FB201" s="10" t="s">
        <v>37</v>
      </c>
      <c r="FC201">
        <f t="shared" si="413"/>
        <v>0</v>
      </c>
      <c r="FD201">
        <f t="shared" si="363"/>
        <v>0</v>
      </c>
      <c r="FE201">
        <f t="shared" si="364"/>
        <v>0</v>
      </c>
      <c r="FF201">
        <f t="shared" si="365"/>
        <v>0</v>
      </c>
      <c r="FG201">
        <f t="shared" si="366"/>
        <v>0</v>
      </c>
      <c r="FH201">
        <f t="shared" si="367"/>
        <v>0</v>
      </c>
      <c r="FI201">
        <f t="shared" si="368"/>
        <v>0</v>
      </c>
      <c r="FJ201">
        <f t="shared" si="369"/>
        <v>0</v>
      </c>
      <c r="FK201">
        <f t="shared" si="370"/>
        <v>0</v>
      </c>
      <c r="FL201">
        <f t="shared" si="371"/>
        <v>0</v>
      </c>
      <c r="FM201">
        <f t="shared" si="372"/>
        <v>0</v>
      </c>
      <c r="FN201">
        <f t="shared" si="373"/>
        <v>0</v>
      </c>
      <c r="FO201">
        <f t="shared" si="374"/>
        <v>0</v>
      </c>
      <c r="FP201">
        <f t="shared" si="375"/>
        <v>0</v>
      </c>
      <c r="FQ201">
        <f t="shared" si="376"/>
        <v>0</v>
      </c>
      <c r="FR201">
        <f t="shared" si="377"/>
        <v>0</v>
      </c>
      <c r="FS201">
        <f t="shared" si="378"/>
        <v>0</v>
      </c>
      <c r="FT201">
        <f t="shared" si="379"/>
        <v>0</v>
      </c>
      <c r="FU201">
        <f t="shared" si="380"/>
        <v>0</v>
      </c>
      <c r="FV201">
        <f t="shared" si="381"/>
        <v>0</v>
      </c>
      <c r="FW201">
        <f t="shared" si="382"/>
        <v>0</v>
      </c>
      <c r="FX201">
        <f t="shared" si="383"/>
        <v>0</v>
      </c>
      <c r="FY201">
        <f t="shared" si="384"/>
        <v>0</v>
      </c>
      <c r="FZ201">
        <f t="shared" si="385"/>
        <v>0</v>
      </c>
      <c r="GA201">
        <f t="shared" si="386"/>
        <v>0</v>
      </c>
      <c r="GB201">
        <f t="shared" si="387"/>
        <v>0</v>
      </c>
      <c r="GC201">
        <f t="shared" si="388"/>
        <v>0</v>
      </c>
      <c r="GD201">
        <f t="shared" si="389"/>
        <v>0</v>
      </c>
      <c r="GE201">
        <f t="shared" si="390"/>
        <v>0</v>
      </c>
      <c r="GF201">
        <f t="shared" si="391"/>
        <v>0</v>
      </c>
      <c r="GG201">
        <f t="shared" si="392"/>
        <v>0</v>
      </c>
      <c r="GH201">
        <f t="shared" si="393"/>
        <v>0</v>
      </c>
      <c r="GI201">
        <f t="shared" si="394"/>
        <v>0</v>
      </c>
      <c r="GJ201">
        <f t="shared" si="395"/>
        <v>1</v>
      </c>
      <c r="GK201">
        <f t="shared" si="396"/>
        <v>1</v>
      </c>
      <c r="GL201">
        <f t="shared" si="397"/>
        <v>1</v>
      </c>
      <c r="GM201">
        <f t="shared" si="398"/>
        <v>1</v>
      </c>
      <c r="GN201">
        <f t="shared" si="399"/>
        <v>1</v>
      </c>
      <c r="GO201">
        <f t="shared" si="400"/>
        <v>1</v>
      </c>
      <c r="GP201">
        <f t="shared" si="401"/>
        <v>1</v>
      </c>
      <c r="GQ201">
        <f t="shared" si="402"/>
        <v>1</v>
      </c>
      <c r="GR201">
        <f t="shared" si="403"/>
        <v>1</v>
      </c>
      <c r="GS201">
        <f t="shared" si="404"/>
        <v>1</v>
      </c>
      <c r="GT201">
        <f t="shared" si="405"/>
        <v>1</v>
      </c>
      <c r="GU201">
        <f t="shared" si="406"/>
        <v>1</v>
      </c>
      <c r="GX201" s="10"/>
    </row>
    <row r="202" spans="1:206" x14ac:dyDescent="0.3">
      <c r="A202" s="9" t="s">
        <v>124</v>
      </c>
      <c r="B202" s="80"/>
      <c r="C202" s="9">
        <v>3151685002</v>
      </c>
      <c r="D202" s="9" t="s">
        <v>372</v>
      </c>
      <c r="E202" s="9" t="s">
        <v>39</v>
      </c>
      <c r="F202" s="9" t="s">
        <v>35</v>
      </c>
      <c r="G202" s="9" t="s">
        <v>228</v>
      </c>
      <c r="H202" s="10">
        <v>44942</v>
      </c>
      <c r="I202" s="9">
        <f t="shared" si="407"/>
        <v>2023</v>
      </c>
      <c r="J202" s="9">
        <f t="shared" si="408"/>
        <v>1</v>
      </c>
      <c r="K202" s="9" t="str">
        <f t="shared" si="409"/>
        <v>2023_1</v>
      </c>
      <c r="L202">
        <f>MAX(0,VLOOKUP($K202,lookups!$A$1:$B$45,2,0)-12)</f>
        <v>21</v>
      </c>
      <c r="M202" s="40">
        <f t="shared" si="410"/>
        <v>44927</v>
      </c>
      <c r="N202" s="10" t="s">
        <v>37</v>
      </c>
      <c r="O202" t="str">
        <f ca="1">IF(OR($L202&gt;O$4,O$4&gt;$L202+23),"",OFFSET(Electric!$L193,0,-'Electric Calendarize'!$L202+'Electric Calendarize'!O$4+1))</f>
        <v/>
      </c>
      <c r="P202" t="str">
        <f ca="1">IF(OR($L202&gt;P$4,P$4&gt;$L202+23),"",OFFSET(Electric!$L193,0,-'Electric Calendarize'!$L202+'Electric Calendarize'!P$4+1))</f>
        <v/>
      </c>
      <c r="Q202" t="str">
        <f ca="1">IF(OR($L202&gt;Q$4,Q$4&gt;$L202+23),"",OFFSET(Electric!$L193,0,-'Electric Calendarize'!$L202+'Electric Calendarize'!Q$4+1))</f>
        <v/>
      </c>
      <c r="R202" t="str">
        <f ca="1">IF(OR($L202&gt;R$4,R$4&gt;$L202+23),"",OFFSET(Electric!$L193,0,-'Electric Calendarize'!$L202+'Electric Calendarize'!R$4+1))</f>
        <v/>
      </c>
      <c r="S202" t="str">
        <f ca="1">IF(OR($L202&gt;S$4,S$4&gt;$L202+23),"",OFFSET(Electric!$L193,0,-'Electric Calendarize'!$L202+'Electric Calendarize'!S$4+1))</f>
        <v/>
      </c>
      <c r="T202" t="str">
        <f ca="1">IF(OR($L202&gt;T$4,T$4&gt;$L202+23),"",OFFSET(Electric!$L193,0,-'Electric Calendarize'!$L202+'Electric Calendarize'!T$4+1))</f>
        <v/>
      </c>
      <c r="U202" t="str">
        <f ca="1">IF(OR($L202&gt;U$4,U$4&gt;$L202+23),"",OFFSET(Electric!$L193,0,-'Electric Calendarize'!$L202+'Electric Calendarize'!U$4+1))</f>
        <v/>
      </c>
      <c r="V202" t="str">
        <f ca="1">IF(OR($L202&gt;V$4,V$4&gt;$L202+23),"",OFFSET(Electric!$L193,0,-'Electric Calendarize'!$L202+'Electric Calendarize'!V$4+1))</f>
        <v/>
      </c>
      <c r="W202" t="str">
        <f ca="1">IF(OR($L202&gt;W$4,W$4&gt;$L202+23),"",OFFSET(Electric!$L193,0,-'Electric Calendarize'!$L202+'Electric Calendarize'!W$4+1))</f>
        <v/>
      </c>
      <c r="X202" t="str">
        <f ca="1">IF(OR($L202&gt;X$4,X$4&gt;$L202+23),"",OFFSET(Electric!$L193,0,-'Electric Calendarize'!$L202+'Electric Calendarize'!X$4+1))</f>
        <v/>
      </c>
      <c r="Y202" t="str">
        <f ca="1">IF(OR($L202&gt;Y$4,Y$4&gt;$L202+23),"",OFFSET(Electric!$L193,0,-'Electric Calendarize'!$L202+'Electric Calendarize'!Y$4+1))</f>
        <v/>
      </c>
      <c r="Z202" t="str">
        <f ca="1">IF(OR($L202&gt;Z$4,Z$4&gt;$L202+23),"",OFFSET(Electric!$L193,0,-'Electric Calendarize'!$L202+'Electric Calendarize'!Z$4+1))</f>
        <v/>
      </c>
      <c r="AA202" t="str">
        <f ca="1">IF(OR($L202&gt;AA$4,AA$4&gt;$L202+23),"",OFFSET(Electric!$L193,0,-'Electric Calendarize'!$L202+'Electric Calendarize'!AA$4+1))</f>
        <v/>
      </c>
      <c r="AB202" t="str">
        <f ca="1">IF(OR($L202&gt;AB$4,AB$4&gt;$L202+23),"",OFFSET(Electric!$L193,0,-'Electric Calendarize'!$L202+'Electric Calendarize'!AB$4+1))</f>
        <v/>
      </c>
      <c r="AC202" t="str">
        <f ca="1">IF(OR($L202&gt;AC$4,AC$4&gt;$L202+23),"",OFFSET(Electric!$L193,0,-'Electric Calendarize'!$L202+'Electric Calendarize'!AC$4+1))</f>
        <v/>
      </c>
      <c r="AD202" t="str">
        <f ca="1">IF(OR($L202&gt;AD$4,AD$4&gt;$L202+23),"",OFFSET(Electric!$L193,0,-'Electric Calendarize'!$L202+'Electric Calendarize'!AD$4+1))</f>
        <v/>
      </c>
      <c r="AE202" t="str">
        <f ca="1">IF(OR($L202&gt;AE$4,AE$4&gt;$L202+23),"",OFFSET(Electric!$L193,0,-'Electric Calendarize'!$L202+'Electric Calendarize'!AE$4+1))</f>
        <v/>
      </c>
      <c r="AF202" t="str">
        <f ca="1">IF(OR($L202&gt;AF$4,AF$4&gt;$L202+23),"",OFFSET(Electric!$L193,0,-'Electric Calendarize'!$L202+'Electric Calendarize'!AF$4+1))</f>
        <v/>
      </c>
      <c r="AG202" t="str">
        <f ca="1">IF(OR($L202&gt;AG$4,AG$4&gt;$L202+23),"",OFFSET(Electric!$L193,0,-'Electric Calendarize'!$L202+'Electric Calendarize'!AG$4+1))</f>
        <v/>
      </c>
      <c r="AH202" t="str">
        <f ca="1">IF(OR($L202&gt;AH$4,AH$4&gt;$L202+23),"",OFFSET(Electric!$L193,0,-'Electric Calendarize'!$L202+'Electric Calendarize'!AH$4+1))</f>
        <v/>
      </c>
      <c r="AI202" t="str">
        <f ca="1">IF(OR($L202&gt;AI$4,AI$4&gt;$L202+23),"",OFFSET(Electric!$L193,0,-'Electric Calendarize'!$L202+'Electric Calendarize'!AI$4+1))</f>
        <v/>
      </c>
      <c r="AJ202">
        <f ca="1">IF(OR($L202&gt;AJ$4,AJ$4&gt;$L202+23),"",OFFSET(Electric!$L193,0,-'Electric Calendarize'!$L202+'Electric Calendarize'!AJ$4+1))</f>
        <v>600</v>
      </c>
      <c r="AK202">
        <f ca="1">IF(OR($L202&gt;AK$4,AK$4&gt;$L202+23),"",OFFSET(Electric!$L193,0,-'Electric Calendarize'!$L202+'Electric Calendarize'!AK$4+1))</f>
        <v>647</v>
      </c>
      <c r="AL202">
        <f ca="1">IF(OR($L202&gt;AL$4,AL$4&gt;$L202+23),"",OFFSET(Electric!$L193,0,-'Electric Calendarize'!$L202+'Electric Calendarize'!AL$4+1))</f>
        <v>580</v>
      </c>
      <c r="AM202">
        <f ca="1">IF(OR($L202&gt;AM$4,AM$4&gt;$L202+23),"",OFFSET(Electric!$L193,0,-'Electric Calendarize'!$L202+'Electric Calendarize'!AM$4+1))</f>
        <v>714</v>
      </c>
      <c r="AN202">
        <f ca="1">IF(OR($L202&gt;AN$4,AN$4&gt;$L202+23),"",OFFSET(Electric!$L193,0,-'Electric Calendarize'!$L202+'Electric Calendarize'!AN$4+1))</f>
        <v>1230</v>
      </c>
      <c r="AO202">
        <f ca="1">IF(OR($L202&gt;AO$4,AO$4&gt;$L202+23),"",OFFSET(Electric!$L193,0,-'Electric Calendarize'!$L202+'Electric Calendarize'!AO$4+1))</f>
        <v>1973</v>
      </c>
      <c r="AP202">
        <f ca="1">IF(OR($L202&gt;AP$4,AP$4&gt;$L202+23),"",OFFSET(Electric!$L193,0,-'Electric Calendarize'!$L202+'Electric Calendarize'!AP$4+1))</f>
        <v>2245</v>
      </c>
      <c r="AQ202">
        <f ca="1">IF(OR($L202&gt;AQ$4,AQ$4&gt;$L202+23),"",OFFSET(Electric!$L193,0,-'Electric Calendarize'!$L202+'Electric Calendarize'!AQ$4+1))</f>
        <v>2342</v>
      </c>
      <c r="AR202">
        <f ca="1">IF(OR($L202&gt;AR$4,AR$4&gt;$L202+23),"",OFFSET(Electric!$L193,0,-'Electric Calendarize'!$L202+'Electric Calendarize'!AR$4+1))</f>
        <v>1336</v>
      </c>
      <c r="AS202">
        <f ca="1">IF(OR($L202&gt;AS$4,AS$4&gt;$L202+23),"",OFFSET(Electric!$L193,0,-'Electric Calendarize'!$L202+'Electric Calendarize'!AS$4+1))</f>
        <v>1119</v>
      </c>
      <c r="AT202">
        <f ca="1">IF(OR($L202&gt;AT$4,AT$4&gt;$L202+23),"",OFFSET(Electric!$L193,0,-'Electric Calendarize'!$L202+'Electric Calendarize'!AT$4+1))</f>
        <v>718</v>
      </c>
      <c r="AU202">
        <f ca="1">IF(OR($L202&gt;AU$4,AU$4&gt;$L202+23),"",OFFSET(Electric!$L193,0,-'Electric Calendarize'!$L202+'Electric Calendarize'!AU$4+1))</f>
        <v>621</v>
      </c>
      <c r="AV202">
        <f ca="1">IF(OR($L202&gt;AV$4,AV$4&gt;$L202+23),"",OFFSET(Electric!$L193,0,-'Electric Calendarize'!$L202+'Electric Calendarize'!AV$4+1))</f>
        <v>576</v>
      </c>
      <c r="AW202">
        <f ca="1">IF(OR($L202&gt;AW$4,AW$4&gt;$L202+23),"",OFFSET(Electric!$L193,0,-'Electric Calendarize'!$L202+'Electric Calendarize'!AW$4+1))</f>
        <v>579</v>
      </c>
      <c r="AX202">
        <f ca="1">IF(OR($L202&gt;AX$4,AX$4&gt;$L202+23),"",OFFSET(Electric!$L193,0,-'Electric Calendarize'!$L202+'Electric Calendarize'!AX$4+1))</f>
        <v>549</v>
      </c>
      <c r="AY202">
        <f ca="1">IF(OR($L202&gt;AY$4,AY$4&gt;$L202+23),"",OFFSET(Electric!$L193,0,-'Electric Calendarize'!$L202+'Electric Calendarize'!AY$4+1))</f>
        <v>587</v>
      </c>
      <c r="AZ202">
        <f ca="1">IF(OR($L202&gt;AZ$4,AZ$4&gt;$L202+23),"",OFFSET(Electric!$L193,0,-'Electric Calendarize'!$L202+'Electric Calendarize'!AZ$4+1))</f>
        <v>821</v>
      </c>
      <c r="BA202">
        <f ca="1">IF(OR($L202&gt;BA$4,BA$4&gt;$L202+23),"",OFFSET(Electric!$L193,0,-'Electric Calendarize'!$L202+'Electric Calendarize'!BA$4+1))</f>
        <v>1699</v>
      </c>
      <c r="BB202">
        <f ca="1">IF(OR($L202&gt;BB$4,BB$4&gt;$L202+23),"",OFFSET(Electric!$L193,0,-'Electric Calendarize'!$L202+'Electric Calendarize'!BB$4+1))</f>
        <v>1891</v>
      </c>
      <c r="BC202">
        <f ca="1">IF(OR($L202&gt;BC$4,BC$4&gt;$L202+23),"",OFFSET(Electric!$L193,0,-'Electric Calendarize'!$L202+'Electric Calendarize'!BC$4+1))</f>
        <v>2193</v>
      </c>
      <c r="BD202">
        <f ca="1">IF(OR($L202&gt;BD$4,BD$4&gt;$L202+23),"",OFFSET(Electric!$L193,0,-'Electric Calendarize'!$L202+'Electric Calendarize'!BD$4+1))</f>
        <v>1594</v>
      </c>
      <c r="BE202">
        <f ca="1">IF(OR($L202&gt;BE$4,BE$4&gt;$L202+23),"",OFFSET(Electric!$L193,0,-'Electric Calendarize'!$L202+'Electric Calendarize'!BE$4+1))</f>
        <v>1003</v>
      </c>
      <c r="BF202">
        <f ca="1">IF(OR($L202&gt;BF$4,BF$4&gt;$L202+23),"",OFFSET(Electric!$L193,0,-'Electric Calendarize'!$L202+'Electric Calendarize'!BF$4+1))</f>
        <v>804</v>
      </c>
      <c r="BG202">
        <f ca="1">IF(OR($L202&gt;BG$4,BG$4&gt;$L202+23),"",OFFSET(Electric!$L193,0,-'Electric Calendarize'!$L202+'Electric Calendarize'!BG$4+1))</f>
        <v>0</v>
      </c>
      <c r="BJ202" s="10" t="s">
        <v>37</v>
      </c>
      <c r="BK202">
        <f t="shared" si="411"/>
        <v>1</v>
      </c>
      <c r="BL202">
        <f t="shared" si="317"/>
        <v>0</v>
      </c>
      <c r="BM202">
        <f t="shared" si="318"/>
        <v>0</v>
      </c>
      <c r="BN202">
        <f t="shared" si="319"/>
        <v>0</v>
      </c>
      <c r="BO202">
        <f t="shared" si="320"/>
        <v>0</v>
      </c>
      <c r="BP202">
        <f t="shared" si="321"/>
        <v>0</v>
      </c>
      <c r="BQ202">
        <f t="shared" si="322"/>
        <v>0</v>
      </c>
      <c r="BR202">
        <f t="shared" si="323"/>
        <v>1</v>
      </c>
      <c r="BS202">
        <f t="shared" si="324"/>
        <v>1</v>
      </c>
      <c r="BT202">
        <f t="shared" si="325"/>
        <v>1</v>
      </c>
      <c r="BU202">
        <f t="shared" si="326"/>
        <v>1</v>
      </c>
      <c r="BV202">
        <f t="shared" si="327"/>
        <v>1</v>
      </c>
      <c r="BW202">
        <f t="shared" si="328"/>
        <v>1</v>
      </c>
      <c r="BX202">
        <f t="shared" si="329"/>
        <v>0</v>
      </c>
      <c r="BY202">
        <f t="shared" si="330"/>
        <v>0</v>
      </c>
      <c r="BZ202">
        <f t="shared" si="331"/>
        <v>0</v>
      </c>
      <c r="CA202">
        <f t="shared" si="332"/>
        <v>0</v>
      </c>
      <c r="CB202">
        <f t="shared" si="333"/>
        <v>0</v>
      </c>
      <c r="CC202">
        <f t="shared" si="334"/>
        <v>0</v>
      </c>
      <c r="CD202">
        <f t="shared" si="335"/>
        <v>1</v>
      </c>
      <c r="CE202">
        <f t="shared" si="336"/>
        <v>1</v>
      </c>
      <c r="CF202">
        <f t="shared" si="337"/>
        <v>1</v>
      </c>
      <c r="CG202">
        <f t="shared" si="338"/>
        <v>1</v>
      </c>
      <c r="CH202">
        <f t="shared" si="339"/>
        <v>1</v>
      </c>
      <c r="CI202">
        <f t="shared" si="340"/>
        <v>1</v>
      </c>
      <c r="CJ202">
        <f t="shared" si="341"/>
        <v>0</v>
      </c>
      <c r="CK202">
        <f t="shared" si="342"/>
        <v>0</v>
      </c>
      <c r="CL202">
        <f t="shared" si="343"/>
        <v>0</v>
      </c>
      <c r="CM202">
        <f t="shared" si="344"/>
        <v>0</v>
      </c>
      <c r="CN202">
        <f t="shared" si="345"/>
        <v>0</v>
      </c>
      <c r="CO202">
        <f t="shared" si="346"/>
        <v>0</v>
      </c>
      <c r="CP202">
        <f t="shared" si="347"/>
        <v>1</v>
      </c>
      <c r="CQ202">
        <f t="shared" si="348"/>
        <v>1</v>
      </c>
      <c r="CR202">
        <f t="shared" si="349"/>
        <v>1</v>
      </c>
      <c r="CS202">
        <f t="shared" si="350"/>
        <v>1</v>
      </c>
      <c r="CT202">
        <f t="shared" si="351"/>
        <v>1</v>
      </c>
      <c r="CU202">
        <f t="shared" si="352"/>
        <v>1</v>
      </c>
      <c r="CV202">
        <f t="shared" si="353"/>
        <v>0</v>
      </c>
      <c r="CW202">
        <f t="shared" si="354"/>
        <v>0</v>
      </c>
      <c r="CX202">
        <f t="shared" si="355"/>
        <v>0</v>
      </c>
      <c r="CY202">
        <f t="shared" si="356"/>
        <v>0</v>
      </c>
      <c r="CZ202">
        <f t="shared" si="357"/>
        <v>0</v>
      </c>
      <c r="DA202">
        <f t="shared" si="358"/>
        <v>0</v>
      </c>
      <c r="DB202">
        <f t="shared" si="359"/>
        <v>1</v>
      </c>
      <c r="DC202">
        <f t="shared" si="360"/>
        <v>1</v>
      </c>
      <c r="DF202" s="10" t="s">
        <v>37</v>
      </c>
      <c r="DG202" t="str">
        <f t="shared" si="423"/>
        <v>2023_1</v>
      </c>
      <c r="DH202" t="str">
        <f t="shared" si="423"/>
        <v>2023_1</v>
      </c>
      <c r="DI202" t="str">
        <f t="shared" si="423"/>
        <v>2023_1</v>
      </c>
      <c r="DJ202" t="str">
        <f t="shared" si="423"/>
        <v>2023_1</v>
      </c>
      <c r="DK202" t="str">
        <f t="shared" si="423"/>
        <v>2023_1</v>
      </c>
      <c r="DL202" t="str">
        <f t="shared" si="423"/>
        <v>2023_1</v>
      </c>
      <c r="DM202" t="str">
        <f t="shared" si="423"/>
        <v>2023_1</v>
      </c>
      <c r="DN202" t="str">
        <f t="shared" si="423"/>
        <v>2023_1</v>
      </c>
      <c r="DO202" t="str">
        <f t="shared" si="423"/>
        <v>2023_1</v>
      </c>
      <c r="DP202" t="str">
        <f t="shared" si="423"/>
        <v>2023_1</v>
      </c>
      <c r="DQ202" t="str">
        <f t="shared" si="423"/>
        <v>2023_1</v>
      </c>
      <c r="DR202" t="str">
        <f t="shared" si="423"/>
        <v>2023_1</v>
      </c>
      <c r="DS202" t="str">
        <f t="shared" si="423"/>
        <v>2023_1</v>
      </c>
      <c r="DT202" t="str">
        <f t="shared" si="423"/>
        <v>2023_1</v>
      </c>
      <c r="DU202" t="str">
        <f t="shared" si="423"/>
        <v>2023_1</v>
      </c>
      <c r="DV202" t="str">
        <f t="shared" si="423"/>
        <v>2023_1</v>
      </c>
      <c r="DW202" t="str">
        <f t="shared" si="422"/>
        <v>2023_1</v>
      </c>
      <c r="DX202" t="str">
        <f t="shared" si="422"/>
        <v>2023_1</v>
      </c>
      <c r="DY202" t="str">
        <f t="shared" si="422"/>
        <v>2023_1</v>
      </c>
      <c r="DZ202" t="str">
        <f t="shared" si="422"/>
        <v>2023_1</v>
      </c>
      <c r="EA202" t="str">
        <f t="shared" si="422"/>
        <v>2023_1</v>
      </c>
      <c r="EB202" t="str">
        <f t="shared" si="422"/>
        <v>2023_1</v>
      </c>
      <c r="EC202" t="str">
        <f t="shared" si="422"/>
        <v>2023_1</v>
      </c>
      <c r="ED202" t="str">
        <f t="shared" si="422"/>
        <v>2023_1</v>
      </c>
      <c r="EE202" t="str">
        <f t="shared" si="422"/>
        <v>2023_1</v>
      </c>
      <c r="EF202" t="str">
        <f t="shared" si="422"/>
        <v>2023_1</v>
      </c>
      <c r="EG202" t="str">
        <f t="shared" si="422"/>
        <v>2023_1</v>
      </c>
      <c r="EH202" t="str">
        <f t="shared" si="422"/>
        <v>2023_1</v>
      </c>
      <c r="EI202" t="str">
        <f t="shared" si="422"/>
        <v>2023_1</v>
      </c>
      <c r="EJ202" t="str">
        <f t="shared" si="422"/>
        <v>2023_1</v>
      </c>
      <c r="EK202" t="str">
        <f t="shared" si="422"/>
        <v>2023_1</v>
      </c>
      <c r="EL202" t="str">
        <f t="shared" si="422"/>
        <v>2023_1</v>
      </c>
      <c r="EM202" t="str">
        <f t="shared" ref="EM202:EY217" si="424">$K202</f>
        <v>2023_1</v>
      </c>
      <c r="EN202" t="str">
        <f t="shared" si="424"/>
        <v>2023_1</v>
      </c>
      <c r="EO202" t="str">
        <f t="shared" si="424"/>
        <v>2023_1</v>
      </c>
      <c r="EP202" t="str">
        <f t="shared" si="424"/>
        <v>2023_1</v>
      </c>
      <c r="EQ202" t="str">
        <f t="shared" si="424"/>
        <v>2023_1</v>
      </c>
      <c r="ER202" t="str">
        <f t="shared" si="424"/>
        <v>2023_1</v>
      </c>
      <c r="ES202" t="str">
        <f t="shared" si="424"/>
        <v>2023_1</v>
      </c>
      <c r="ET202" t="str">
        <f t="shared" si="424"/>
        <v>2023_1</v>
      </c>
      <c r="EU202" t="str">
        <f t="shared" si="424"/>
        <v>2023_1</v>
      </c>
      <c r="EV202" t="str">
        <f t="shared" si="424"/>
        <v>2023_1</v>
      </c>
      <c r="EW202" t="str">
        <f t="shared" si="424"/>
        <v>2023_1</v>
      </c>
      <c r="EX202" t="str">
        <f t="shared" si="424"/>
        <v>2023_1</v>
      </c>
      <c r="EY202" t="str">
        <f t="shared" si="424"/>
        <v>2023_1</v>
      </c>
      <c r="FB202" s="10" t="s">
        <v>37</v>
      </c>
      <c r="FC202">
        <f t="shared" si="413"/>
        <v>0</v>
      </c>
      <c r="FD202">
        <f t="shared" si="363"/>
        <v>0</v>
      </c>
      <c r="FE202">
        <f t="shared" si="364"/>
        <v>0</v>
      </c>
      <c r="FF202">
        <f t="shared" si="365"/>
        <v>0</v>
      </c>
      <c r="FG202">
        <f t="shared" si="366"/>
        <v>0</v>
      </c>
      <c r="FH202">
        <f t="shared" si="367"/>
        <v>0</v>
      </c>
      <c r="FI202">
        <f t="shared" si="368"/>
        <v>0</v>
      </c>
      <c r="FJ202">
        <f t="shared" si="369"/>
        <v>0</v>
      </c>
      <c r="FK202">
        <f t="shared" si="370"/>
        <v>0</v>
      </c>
      <c r="FL202">
        <f t="shared" si="371"/>
        <v>0</v>
      </c>
      <c r="FM202">
        <f t="shared" si="372"/>
        <v>0</v>
      </c>
      <c r="FN202">
        <f t="shared" si="373"/>
        <v>0</v>
      </c>
      <c r="FO202">
        <f t="shared" si="374"/>
        <v>0</v>
      </c>
      <c r="FP202">
        <f t="shared" si="375"/>
        <v>0</v>
      </c>
      <c r="FQ202">
        <f t="shared" si="376"/>
        <v>0</v>
      </c>
      <c r="FR202">
        <f t="shared" si="377"/>
        <v>0</v>
      </c>
      <c r="FS202">
        <f t="shared" si="378"/>
        <v>0</v>
      </c>
      <c r="FT202">
        <f t="shared" si="379"/>
        <v>0</v>
      </c>
      <c r="FU202">
        <f t="shared" si="380"/>
        <v>0</v>
      </c>
      <c r="FV202">
        <f t="shared" si="381"/>
        <v>0</v>
      </c>
      <c r="FW202">
        <f t="shared" si="382"/>
        <v>0</v>
      </c>
      <c r="FX202">
        <f t="shared" si="383"/>
        <v>0</v>
      </c>
      <c r="FY202">
        <f t="shared" si="384"/>
        <v>0</v>
      </c>
      <c r="FZ202">
        <f t="shared" si="385"/>
        <v>0</v>
      </c>
      <c r="GA202">
        <f t="shared" si="386"/>
        <v>0</v>
      </c>
      <c r="GB202">
        <f t="shared" si="387"/>
        <v>0</v>
      </c>
      <c r="GC202">
        <f t="shared" si="388"/>
        <v>0</v>
      </c>
      <c r="GD202">
        <f t="shared" si="389"/>
        <v>0</v>
      </c>
      <c r="GE202">
        <f t="shared" si="390"/>
        <v>0</v>
      </c>
      <c r="GF202">
        <f t="shared" si="391"/>
        <v>0</v>
      </c>
      <c r="GG202">
        <f t="shared" si="392"/>
        <v>0</v>
      </c>
      <c r="GH202">
        <f t="shared" si="393"/>
        <v>0</v>
      </c>
      <c r="GI202">
        <f t="shared" si="394"/>
        <v>0</v>
      </c>
      <c r="GJ202">
        <f t="shared" si="395"/>
        <v>1</v>
      </c>
      <c r="GK202">
        <f t="shared" si="396"/>
        <v>1</v>
      </c>
      <c r="GL202">
        <f t="shared" si="397"/>
        <v>1</v>
      </c>
      <c r="GM202">
        <f t="shared" si="398"/>
        <v>1</v>
      </c>
      <c r="GN202">
        <f t="shared" si="399"/>
        <v>1</v>
      </c>
      <c r="GO202">
        <f t="shared" si="400"/>
        <v>1</v>
      </c>
      <c r="GP202">
        <f t="shared" si="401"/>
        <v>1</v>
      </c>
      <c r="GQ202">
        <f t="shared" si="402"/>
        <v>1</v>
      </c>
      <c r="GR202">
        <f t="shared" si="403"/>
        <v>1</v>
      </c>
      <c r="GS202">
        <f t="shared" si="404"/>
        <v>1</v>
      </c>
      <c r="GT202">
        <f t="shared" si="405"/>
        <v>1</v>
      </c>
      <c r="GU202">
        <f t="shared" si="406"/>
        <v>1</v>
      </c>
      <c r="GX202" s="10"/>
    </row>
    <row r="203" spans="1:206" x14ac:dyDescent="0.3">
      <c r="A203" s="9" t="s">
        <v>33</v>
      </c>
      <c r="B203" s="80"/>
      <c r="C203" s="9">
        <v>3160638000</v>
      </c>
      <c r="D203" s="9" t="s">
        <v>401</v>
      </c>
      <c r="E203" s="9" t="s">
        <v>39</v>
      </c>
      <c r="F203" s="9" t="s">
        <v>35</v>
      </c>
      <c r="G203" s="9" t="s">
        <v>226</v>
      </c>
      <c r="H203" s="10">
        <v>44942</v>
      </c>
      <c r="I203" s="9">
        <f t="shared" si="407"/>
        <v>2023</v>
      </c>
      <c r="J203" s="9">
        <f t="shared" si="408"/>
        <v>1</v>
      </c>
      <c r="K203" s="9" t="str">
        <f t="shared" si="409"/>
        <v>2023_1</v>
      </c>
      <c r="L203">
        <f>MAX(0,VLOOKUP($K203,lookups!$A$1:$B$45,2,0)-12)</f>
        <v>21</v>
      </c>
      <c r="M203" s="40">
        <f t="shared" si="410"/>
        <v>44927</v>
      </c>
      <c r="N203" s="10" t="s">
        <v>37</v>
      </c>
      <c r="O203" t="str">
        <f ca="1">IF(OR($L203&gt;O$4,O$4&gt;$L203+23),"",OFFSET(Electric!$L194,0,-'Electric Calendarize'!$L203+'Electric Calendarize'!O$4+1))</f>
        <v/>
      </c>
      <c r="P203" t="str">
        <f ca="1">IF(OR($L203&gt;P$4,P$4&gt;$L203+23),"",OFFSET(Electric!$L194,0,-'Electric Calendarize'!$L203+'Electric Calendarize'!P$4+1))</f>
        <v/>
      </c>
      <c r="Q203" t="str">
        <f ca="1">IF(OR($L203&gt;Q$4,Q$4&gt;$L203+23),"",OFFSET(Electric!$L194,0,-'Electric Calendarize'!$L203+'Electric Calendarize'!Q$4+1))</f>
        <v/>
      </c>
      <c r="R203" t="str">
        <f ca="1">IF(OR($L203&gt;R$4,R$4&gt;$L203+23),"",OFFSET(Electric!$L194,0,-'Electric Calendarize'!$L203+'Electric Calendarize'!R$4+1))</f>
        <v/>
      </c>
      <c r="S203" t="str">
        <f ca="1">IF(OR($L203&gt;S$4,S$4&gt;$L203+23),"",OFFSET(Electric!$L194,0,-'Electric Calendarize'!$L203+'Electric Calendarize'!S$4+1))</f>
        <v/>
      </c>
      <c r="T203" t="str">
        <f ca="1">IF(OR($L203&gt;T$4,T$4&gt;$L203+23),"",OFFSET(Electric!$L194,0,-'Electric Calendarize'!$L203+'Electric Calendarize'!T$4+1))</f>
        <v/>
      </c>
      <c r="U203" t="str">
        <f ca="1">IF(OR($L203&gt;U$4,U$4&gt;$L203+23),"",OFFSET(Electric!$L194,0,-'Electric Calendarize'!$L203+'Electric Calendarize'!U$4+1))</f>
        <v/>
      </c>
      <c r="V203" t="str">
        <f ca="1">IF(OR($L203&gt;V$4,V$4&gt;$L203+23),"",OFFSET(Electric!$L194,0,-'Electric Calendarize'!$L203+'Electric Calendarize'!V$4+1))</f>
        <v/>
      </c>
      <c r="W203" t="str">
        <f ca="1">IF(OR($L203&gt;W$4,W$4&gt;$L203+23),"",OFFSET(Electric!$L194,0,-'Electric Calendarize'!$L203+'Electric Calendarize'!W$4+1))</f>
        <v/>
      </c>
      <c r="X203" t="str">
        <f ca="1">IF(OR($L203&gt;X$4,X$4&gt;$L203+23),"",OFFSET(Electric!$L194,0,-'Electric Calendarize'!$L203+'Electric Calendarize'!X$4+1))</f>
        <v/>
      </c>
      <c r="Y203" t="str">
        <f ca="1">IF(OR($L203&gt;Y$4,Y$4&gt;$L203+23),"",OFFSET(Electric!$L194,0,-'Electric Calendarize'!$L203+'Electric Calendarize'!Y$4+1))</f>
        <v/>
      </c>
      <c r="Z203" t="str">
        <f ca="1">IF(OR($L203&gt;Z$4,Z$4&gt;$L203+23),"",OFFSET(Electric!$L194,0,-'Electric Calendarize'!$L203+'Electric Calendarize'!Z$4+1))</f>
        <v/>
      </c>
      <c r="AA203" t="str">
        <f ca="1">IF(OR($L203&gt;AA$4,AA$4&gt;$L203+23),"",OFFSET(Electric!$L194,0,-'Electric Calendarize'!$L203+'Electric Calendarize'!AA$4+1))</f>
        <v/>
      </c>
      <c r="AB203" t="str">
        <f ca="1">IF(OR($L203&gt;AB$4,AB$4&gt;$L203+23),"",OFFSET(Electric!$L194,0,-'Electric Calendarize'!$L203+'Electric Calendarize'!AB$4+1))</f>
        <v/>
      </c>
      <c r="AC203" t="str">
        <f ca="1">IF(OR($L203&gt;AC$4,AC$4&gt;$L203+23),"",OFFSET(Electric!$L194,0,-'Electric Calendarize'!$L203+'Electric Calendarize'!AC$4+1))</f>
        <v/>
      </c>
      <c r="AD203" t="str">
        <f ca="1">IF(OR($L203&gt;AD$4,AD$4&gt;$L203+23),"",OFFSET(Electric!$L194,0,-'Electric Calendarize'!$L203+'Electric Calendarize'!AD$4+1))</f>
        <v/>
      </c>
      <c r="AE203" t="str">
        <f ca="1">IF(OR($L203&gt;AE$4,AE$4&gt;$L203+23),"",OFFSET(Electric!$L194,0,-'Electric Calendarize'!$L203+'Electric Calendarize'!AE$4+1))</f>
        <v/>
      </c>
      <c r="AF203" t="str">
        <f ca="1">IF(OR($L203&gt;AF$4,AF$4&gt;$L203+23),"",OFFSET(Electric!$L194,0,-'Electric Calendarize'!$L203+'Electric Calendarize'!AF$4+1))</f>
        <v/>
      </c>
      <c r="AG203" t="str">
        <f ca="1">IF(OR($L203&gt;AG$4,AG$4&gt;$L203+23),"",OFFSET(Electric!$L194,0,-'Electric Calendarize'!$L203+'Electric Calendarize'!AG$4+1))</f>
        <v/>
      </c>
      <c r="AH203" t="str">
        <f ca="1">IF(OR($L203&gt;AH$4,AH$4&gt;$L203+23),"",OFFSET(Electric!$L194,0,-'Electric Calendarize'!$L203+'Electric Calendarize'!AH$4+1))</f>
        <v/>
      </c>
      <c r="AI203" t="str">
        <f ca="1">IF(OR($L203&gt;AI$4,AI$4&gt;$L203+23),"",OFFSET(Electric!$L194,0,-'Electric Calendarize'!$L203+'Electric Calendarize'!AI$4+1))</f>
        <v/>
      </c>
      <c r="AJ203">
        <f ca="1">IF(OR($L203&gt;AJ$4,AJ$4&gt;$L203+23),"",OFFSET(Electric!$L194,0,-'Electric Calendarize'!$L203+'Electric Calendarize'!AJ$4+1))</f>
        <v>980</v>
      </c>
      <c r="AK203">
        <f ca="1">IF(OR($L203&gt;AK$4,AK$4&gt;$L203+23),"",OFFSET(Electric!$L194,0,-'Electric Calendarize'!$L203+'Electric Calendarize'!AK$4+1))</f>
        <v>848</v>
      </c>
      <c r="AL203">
        <f ca="1">IF(OR($L203&gt;AL$4,AL$4&gt;$L203+23),"",OFFSET(Electric!$L194,0,-'Electric Calendarize'!$L203+'Electric Calendarize'!AL$4+1))</f>
        <v>1117</v>
      </c>
      <c r="AM203">
        <f ca="1">IF(OR($L203&gt;AM$4,AM$4&gt;$L203+23),"",OFFSET(Electric!$L194,0,-'Electric Calendarize'!$L203+'Electric Calendarize'!AM$4+1))</f>
        <v>862</v>
      </c>
      <c r="AN203">
        <f ca="1">IF(OR($L203&gt;AN$4,AN$4&gt;$L203+23),"",OFFSET(Electric!$L194,0,-'Electric Calendarize'!$L203+'Electric Calendarize'!AN$4+1))</f>
        <v>837</v>
      </c>
      <c r="AO203">
        <f ca="1">IF(OR($L203&gt;AO$4,AO$4&gt;$L203+23),"",OFFSET(Electric!$L194,0,-'Electric Calendarize'!$L203+'Electric Calendarize'!AO$4+1))</f>
        <v>0</v>
      </c>
      <c r="AP203">
        <f ca="1">IF(OR($L203&gt;AP$4,AP$4&gt;$L203+23),"",OFFSET(Electric!$L194,0,-'Electric Calendarize'!$L203+'Electric Calendarize'!AP$4+1))</f>
        <v>903</v>
      </c>
      <c r="AQ203">
        <f ca="1">IF(OR($L203&gt;AQ$4,AQ$4&gt;$L203+23),"",OFFSET(Electric!$L194,0,-'Electric Calendarize'!$L203+'Electric Calendarize'!AQ$4+1))</f>
        <v>859</v>
      </c>
      <c r="AR203">
        <f ca="1">IF(OR($L203&gt;AR$4,AR$4&gt;$L203+23),"",OFFSET(Electric!$L194,0,-'Electric Calendarize'!$L203+'Electric Calendarize'!AR$4+1))</f>
        <v>884</v>
      </c>
      <c r="AS203">
        <f ca="1">IF(OR($L203&gt;AS$4,AS$4&gt;$L203+23),"",OFFSET(Electric!$L194,0,-'Electric Calendarize'!$L203+'Electric Calendarize'!AS$4+1))</f>
        <v>648</v>
      </c>
      <c r="AT203">
        <f ca="1">IF(OR($L203&gt;AT$4,AT$4&gt;$L203+23),"",OFFSET(Electric!$L194,0,-'Electric Calendarize'!$L203+'Electric Calendarize'!AT$4+1))</f>
        <v>695</v>
      </c>
      <c r="AU203">
        <f ca="1">IF(OR($L203&gt;AU$4,AU$4&gt;$L203+23),"",OFFSET(Electric!$L194,0,-'Electric Calendarize'!$L203+'Electric Calendarize'!AU$4+1))</f>
        <v>450</v>
      </c>
      <c r="AV203">
        <f ca="1">IF(OR($L203&gt;AV$4,AV$4&gt;$L203+23),"",OFFSET(Electric!$L194,0,-'Electric Calendarize'!$L203+'Electric Calendarize'!AV$4+1))</f>
        <v>86</v>
      </c>
      <c r="AW203">
        <f ca="1">IF(OR($L203&gt;AW$4,AW$4&gt;$L203+23),"",OFFSET(Electric!$L194,0,-'Electric Calendarize'!$L203+'Electric Calendarize'!AW$4+1))</f>
        <v>0</v>
      </c>
      <c r="AX203">
        <f ca="1">IF(OR($L203&gt;AX$4,AX$4&gt;$L203+23),"",OFFSET(Electric!$L194,0,-'Electric Calendarize'!$L203+'Electric Calendarize'!AX$4+1))</f>
        <v>0</v>
      </c>
      <c r="AY203">
        <f ca="1">IF(OR($L203&gt;AY$4,AY$4&gt;$L203+23),"",OFFSET(Electric!$L194,0,-'Electric Calendarize'!$L203+'Electric Calendarize'!AY$4+1))</f>
        <v>0</v>
      </c>
      <c r="AZ203">
        <f ca="1">IF(OR($L203&gt;AZ$4,AZ$4&gt;$L203+23),"",OFFSET(Electric!$L194,0,-'Electric Calendarize'!$L203+'Electric Calendarize'!AZ$4+1))</f>
        <v>0</v>
      </c>
      <c r="BA203">
        <f ca="1">IF(OR($L203&gt;BA$4,BA$4&gt;$L203+23),"",OFFSET(Electric!$L194,0,-'Electric Calendarize'!$L203+'Electric Calendarize'!BA$4+1))</f>
        <v>0</v>
      </c>
      <c r="BB203">
        <f ca="1">IF(OR($L203&gt;BB$4,BB$4&gt;$L203+23),"",OFFSET(Electric!$L194,0,-'Electric Calendarize'!$L203+'Electric Calendarize'!BB$4+1))</f>
        <v>0</v>
      </c>
      <c r="BC203">
        <f ca="1">IF(OR($L203&gt;BC$4,BC$4&gt;$L203+23),"",OFFSET(Electric!$L194,0,-'Electric Calendarize'!$L203+'Electric Calendarize'!BC$4+1))</f>
        <v>0</v>
      </c>
      <c r="BD203">
        <f ca="1">IF(OR($L203&gt;BD$4,BD$4&gt;$L203+23),"",OFFSET(Electric!$L194,0,-'Electric Calendarize'!$L203+'Electric Calendarize'!BD$4+1))</f>
        <v>0</v>
      </c>
      <c r="BE203">
        <f ca="1">IF(OR($L203&gt;BE$4,BE$4&gt;$L203+23),"",OFFSET(Electric!$L194,0,-'Electric Calendarize'!$L203+'Electric Calendarize'!BE$4+1))</f>
        <v>0</v>
      </c>
      <c r="BF203">
        <f ca="1">IF(OR($L203&gt;BF$4,BF$4&gt;$L203+23),"",OFFSET(Electric!$L194,0,-'Electric Calendarize'!$L203+'Electric Calendarize'!BF$4+1))</f>
        <v>0</v>
      </c>
      <c r="BG203">
        <f ca="1">IF(OR($L203&gt;BG$4,BG$4&gt;$L203+23),"",OFFSET(Electric!$L194,0,-'Electric Calendarize'!$L203+'Electric Calendarize'!BG$4+1))</f>
        <v>0</v>
      </c>
      <c r="BJ203" s="10" t="s">
        <v>37</v>
      </c>
      <c r="BK203">
        <f t="shared" si="411"/>
        <v>1</v>
      </c>
      <c r="BL203">
        <f t="shared" ref="BL203:BL266" si="425">+P$8</f>
        <v>0</v>
      </c>
      <c r="BM203">
        <f t="shared" ref="BM203:BM266" si="426">+Q$8</f>
        <v>0</v>
      </c>
      <c r="BN203">
        <f t="shared" ref="BN203:BN266" si="427">+R$8</f>
        <v>0</v>
      </c>
      <c r="BO203">
        <f t="shared" ref="BO203:BO266" si="428">+S$8</f>
        <v>0</v>
      </c>
      <c r="BP203">
        <f t="shared" ref="BP203:BP266" si="429">+T$8</f>
        <v>0</v>
      </c>
      <c r="BQ203">
        <f t="shared" ref="BQ203:BQ266" si="430">+U$8</f>
        <v>0</v>
      </c>
      <c r="BR203">
        <f t="shared" ref="BR203:BR266" si="431">+V$8</f>
        <v>1</v>
      </c>
      <c r="BS203">
        <f t="shared" ref="BS203:BS266" si="432">+W$8</f>
        <v>1</v>
      </c>
      <c r="BT203">
        <f t="shared" ref="BT203:BT266" si="433">+X$8</f>
        <v>1</v>
      </c>
      <c r="BU203">
        <f t="shared" ref="BU203:BU266" si="434">+Y$8</f>
        <v>1</v>
      </c>
      <c r="BV203">
        <f t="shared" ref="BV203:BV266" si="435">+Z$8</f>
        <v>1</v>
      </c>
      <c r="BW203">
        <f t="shared" ref="BW203:BW266" si="436">+AA$8</f>
        <v>1</v>
      </c>
      <c r="BX203">
        <f t="shared" ref="BX203:BX266" si="437">+AB$8</f>
        <v>0</v>
      </c>
      <c r="BY203">
        <f t="shared" ref="BY203:BY266" si="438">+AC$8</f>
        <v>0</v>
      </c>
      <c r="BZ203">
        <f t="shared" ref="BZ203:BZ266" si="439">+AD$8</f>
        <v>0</v>
      </c>
      <c r="CA203">
        <f t="shared" ref="CA203:CA266" si="440">+AE$8</f>
        <v>0</v>
      </c>
      <c r="CB203">
        <f t="shared" ref="CB203:CB266" si="441">+AF$8</f>
        <v>0</v>
      </c>
      <c r="CC203">
        <f t="shared" ref="CC203:CC266" si="442">+AG$8</f>
        <v>0</v>
      </c>
      <c r="CD203">
        <f t="shared" ref="CD203:CD266" si="443">+AH$8</f>
        <v>1</v>
      </c>
      <c r="CE203">
        <f t="shared" ref="CE203:CE266" si="444">+AI$8</f>
        <v>1</v>
      </c>
      <c r="CF203">
        <f t="shared" ref="CF203:CF266" si="445">+AJ$8</f>
        <v>1</v>
      </c>
      <c r="CG203">
        <f t="shared" ref="CG203:CG266" si="446">+AK$8</f>
        <v>1</v>
      </c>
      <c r="CH203">
        <f t="shared" ref="CH203:CH266" si="447">+AL$8</f>
        <v>1</v>
      </c>
      <c r="CI203">
        <f t="shared" ref="CI203:CI266" si="448">+AM$8</f>
        <v>1</v>
      </c>
      <c r="CJ203">
        <f t="shared" ref="CJ203:CJ266" si="449">+AN$8</f>
        <v>0</v>
      </c>
      <c r="CK203">
        <f t="shared" ref="CK203:CK266" si="450">+AO$8</f>
        <v>0</v>
      </c>
      <c r="CL203">
        <f t="shared" ref="CL203:CL266" si="451">+AP$8</f>
        <v>0</v>
      </c>
      <c r="CM203">
        <f t="shared" ref="CM203:CM266" si="452">+AQ$8</f>
        <v>0</v>
      </c>
      <c r="CN203">
        <f t="shared" ref="CN203:CN266" si="453">+AR$8</f>
        <v>0</v>
      </c>
      <c r="CO203">
        <f t="shared" ref="CO203:CO266" si="454">+AS$8</f>
        <v>0</v>
      </c>
      <c r="CP203">
        <f t="shared" ref="CP203:CP266" si="455">+AT$8</f>
        <v>1</v>
      </c>
      <c r="CQ203">
        <f t="shared" ref="CQ203:CQ266" si="456">+AU$8</f>
        <v>1</v>
      </c>
      <c r="CR203">
        <f t="shared" ref="CR203:CR266" si="457">+AV$8</f>
        <v>1</v>
      </c>
      <c r="CS203">
        <f t="shared" ref="CS203:CS266" si="458">+AW$8</f>
        <v>1</v>
      </c>
      <c r="CT203">
        <f t="shared" ref="CT203:CT266" si="459">+AX$8</f>
        <v>1</v>
      </c>
      <c r="CU203">
        <f t="shared" ref="CU203:CU266" si="460">+AY$8</f>
        <v>1</v>
      </c>
      <c r="CV203">
        <f t="shared" ref="CV203:CV266" si="461">+AZ$8</f>
        <v>0</v>
      </c>
      <c r="CW203">
        <f t="shared" ref="CW203:CW266" si="462">+BA$8</f>
        <v>0</v>
      </c>
      <c r="CX203">
        <f t="shared" ref="CX203:CX266" si="463">+BB$8</f>
        <v>0</v>
      </c>
      <c r="CY203">
        <f t="shared" ref="CY203:CY266" si="464">+BC$8</f>
        <v>0</v>
      </c>
      <c r="CZ203">
        <f t="shared" ref="CZ203:CZ266" si="465">+BD$8</f>
        <v>0</v>
      </c>
      <c r="DA203">
        <f t="shared" ref="DA203:DA266" si="466">+BE$8</f>
        <v>0</v>
      </c>
      <c r="DB203">
        <f t="shared" ref="DB203:DB266" si="467">+BF$8</f>
        <v>1</v>
      </c>
      <c r="DC203">
        <f t="shared" ref="DC203:DC266" si="468">+BG$8</f>
        <v>1</v>
      </c>
      <c r="DF203" s="10" t="s">
        <v>37</v>
      </c>
      <c r="DG203" t="str">
        <f t="shared" si="423"/>
        <v>2023_1</v>
      </c>
      <c r="DH203" t="str">
        <f t="shared" si="423"/>
        <v>2023_1</v>
      </c>
      <c r="DI203" t="str">
        <f t="shared" si="423"/>
        <v>2023_1</v>
      </c>
      <c r="DJ203" t="str">
        <f t="shared" si="423"/>
        <v>2023_1</v>
      </c>
      <c r="DK203" t="str">
        <f t="shared" si="423"/>
        <v>2023_1</v>
      </c>
      <c r="DL203" t="str">
        <f t="shared" si="423"/>
        <v>2023_1</v>
      </c>
      <c r="DM203" t="str">
        <f t="shared" si="423"/>
        <v>2023_1</v>
      </c>
      <c r="DN203" t="str">
        <f t="shared" si="423"/>
        <v>2023_1</v>
      </c>
      <c r="DO203" t="str">
        <f t="shared" si="423"/>
        <v>2023_1</v>
      </c>
      <c r="DP203" t="str">
        <f t="shared" si="423"/>
        <v>2023_1</v>
      </c>
      <c r="DQ203" t="str">
        <f t="shared" si="423"/>
        <v>2023_1</v>
      </c>
      <c r="DR203" t="str">
        <f t="shared" si="423"/>
        <v>2023_1</v>
      </c>
      <c r="DS203" t="str">
        <f t="shared" si="423"/>
        <v>2023_1</v>
      </c>
      <c r="DT203" t="str">
        <f t="shared" si="423"/>
        <v>2023_1</v>
      </c>
      <c r="DU203" t="str">
        <f t="shared" si="423"/>
        <v>2023_1</v>
      </c>
      <c r="DV203" t="str">
        <f t="shared" ref="DV203:EK218" si="469">$K203</f>
        <v>2023_1</v>
      </c>
      <c r="DW203" t="str">
        <f t="shared" si="469"/>
        <v>2023_1</v>
      </c>
      <c r="DX203" t="str">
        <f t="shared" si="469"/>
        <v>2023_1</v>
      </c>
      <c r="DY203" t="str">
        <f t="shared" si="469"/>
        <v>2023_1</v>
      </c>
      <c r="DZ203" t="str">
        <f t="shared" si="469"/>
        <v>2023_1</v>
      </c>
      <c r="EA203" t="str">
        <f t="shared" si="469"/>
        <v>2023_1</v>
      </c>
      <c r="EB203" t="str">
        <f t="shared" si="469"/>
        <v>2023_1</v>
      </c>
      <c r="EC203" t="str">
        <f t="shared" si="469"/>
        <v>2023_1</v>
      </c>
      <c r="ED203" t="str">
        <f t="shared" si="469"/>
        <v>2023_1</v>
      </c>
      <c r="EE203" t="str">
        <f t="shared" si="469"/>
        <v>2023_1</v>
      </c>
      <c r="EF203" t="str">
        <f t="shared" si="469"/>
        <v>2023_1</v>
      </c>
      <c r="EG203" t="str">
        <f t="shared" si="469"/>
        <v>2023_1</v>
      </c>
      <c r="EH203" t="str">
        <f t="shared" si="469"/>
        <v>2023_1</v>
      </c>
      <c r="EI203" t="str">
        <f t="shared" si="469"/>
        <v>2023_1</v>
      </c>
      <c r="EJ203" t="str">
        <f t="shared" si="469"/>
        <v>2023_1</v>
      </c>
      <c r="EK203" t="str">
        <f t="shared" si="469"/>
        <v>2023_1</v>
      </c>
      <c r="EL203" t="str">
        <f t="shared" ref="EL203:EY218" si="470">$K203</f>
        <v>2023_1</v>
      </c>
      <c r="EM203" t="str">
        <f t="shared" si="424"/>
        <v>2023_1</v>
      </c>
      <c r="EN203" t="str">
        <f t="shared" si="424"/>
        <v>2023_1</v>
      </c>
      <c r="EO203" t="str">
        <f t="shared" si="424"/>
        <v>2023_1</v>
      </c>
      <c r="EP203" t="str">
        <f t="shared" si="424"/>
        <v>2023_1</v>
      </c>
      <c r="EQ203" t="str">
        <f t="shared" si="424"/>
        <v>2023_1</v>
      </c>
      <c r="ER203" t="str">
        <f t="shared" si="424"/>
        <v>2023_1</v>
      </c>
      <c r="ES203" t="str">
        <f t="shared" si="424"/>
        <v>2023_1</v>
      </c>
      <c r="ET203" t="str">
        <f t="shared" si="424"/>
        <v>2023_1</v>
      </c>
      <c r="EU203" t="str">
        <f t="shared" si="424"/>
        <v>2023_1</v>
      </c>
      <c r="EV203" t="str">
        <f t="shared" si="424"/>
        <v>2023_1</v>
      </c>
      <c r="EW203" t="str">
        <f t="shared" si="424"/>
        <v>2023_1</v>
      </c>
      <c r="EX203" t="str">
        <f t="shared" si="424"/>
        <v>2023_1</v>
      </c>
      <c r="EY203" t="str">
        <f t="shared" si="424"/>
        <v>2023_1</v>
      </c>
      <c r="FB203" s="10" t="s">
        <v>37</v>
      </c>
      <c r="FC203">
        <f t="shared" si="413"/>
        <v>0</v>
      </c>
      <c r="FD203">
        <f t="shared" ref="FD203:FD266" si="471">IF($M203&lt;=P$3,1,0)</f>
        <v>0</v>
      </c>
      <c r="FE203">
        <f t="shared" ref="FE203:FE266" si="472">IF($M203&lt;=Q$3,1,0)</f>
        <v>0</v>
      </c>
      <c r="FF203">
        <f t="shared" ref="FF203:FF266" si="473">IF($M203&lt;=R$3,1,0)</f>
        <v>0</v>
      </c>
      <c r="FG203">
        <f t="shared" ref="FG203:FG266" si="474">IF($M203&lt;=S$3,1,0)</f>
        <v>0</v>
      </c>
      <c r="FH203">
        <f t="shared" ref="FH203:FH266" si="475">IF($M203&lt;=T$3,1,0)</f>
        <v>0</v>
      </c>
      <c r="FI203">
        <f t="shared" ref="FI203:FI266" si="476">IF($M203&lt;=U$3,1,0)</f>
        <v>0</v>
      </c>
      <c r="FJ203">
        <f t="shared" ref="FJ203:FJ266" si="477">IF($M203&lt;=V$3,1,0)</f>
        <v>0</v>
      </c>
      <c r="FK203">
        <f t="shared" ref="FK203:FK266" si="478">IF($M203&lt;=W$3,1,0)</f>
        <v>0</v>
      </c>
      <c r="FL203">
        <f t="shared" ref="FL203:FL266" si="479">IF($M203&lt;=X$3,1,0)</f>
        <v>0</v>
      </c>
      <c r="FM203">
        <f t="shared" ref="FM203:FM266" si="480">IF($M203&lt;=Y$3,1,0)</f>
        <v>0</v>
      </c>
      <c r="FN203">
        <f t="shared" ref="FN203:FN266" si="481">IF($M203&lt;=Z$3,1,0)</f>
        <v>0</v>
      </c>
      <c r="FO203">
        <f t="shared" ref="FO203:FO266" si="482">IF($M203&lt;=AA$3,1,0)</f>
        <v>0</v>
      </c>
      <c r="FP203">
        <f t="shared" ref="FP203:FP266" si="483">IF($M203&lt;=AB$3,1,0)</f>
        <v>0</v>
      </c>
      <c r="FQ203">
        <f t="shared" ref="FQ203:FQ266" si="484">IF($M203&lt;=AC$3,1,0)</f>
        <v>0</v>
      </c>
      <c r="FR203">
        <f t="shared" ref="FR203:FR266" si="485">IF($M203&lt;=AD$3,1,0)</f>
        <v>0</v>
      </c>
      <c r="FS203">
        <f t="shared" ref="FS203:FS266" si="486">IF($M203&lt;=AE$3,1,0)</f>
        <v>0</v>
      </c>
      <c r="FT203">
        <f t="shared" ref="FT203:FT266" si="487">IF($M203&lt;=AF$3,1,0)</f>
        <v>0</v>
      </c>
      <c r="FU203">
        <f t="shared" ref="FU203:FU266" si="488">IF($M203&lt;=AG$3,1,0)</f>
        <v>0</v>
      </c>
      <c r="FV203">
        <f t="shared" ref="FV203:FV266" si="489">IF($M203&lt;=AH$3,1,0)</f>
        <v>0</v>
      </c>
      <c r="FW203">
        <f t="shared" ref="FW203:FW266" si="490">IF($M203&lt;=AI$3,1,0)</f>
        <v>0</v>
      </c>
      <c r="FX203">
        <f t="shared" ref="FX203:FX266" si="491">IF($M203&lt;=AJ$3,1,0)</f>
        <v>0</v>
      </c>
      <c r="FY203">
        <f t="shared" ref="FY203:FY266" si="492">IF($M203&lt;=AK$3,1,0)</f>
        <v>0</v>
      </c>
      <c r="FZ203">
        <f t="shared" ref="FZ203:FZ266" si="493">IF($M203&lt;=AL$3,1,0)</f>
        <v>0</v>
      </c>
      <c r="GA203">
        <f t="shared" ref="GA203:GA266" si="494">IF($M203&lt;=AM$3,1,0)</f>
        <v>0</v>
      </c>
      <c r="GB203">
        <f t="shared" ref="GB203:GB266" si="495">IF($M203&lt;=AN$3,1,0)</f>
        <v>0</v>
      </c>
      <c r="GC203">
        <f t="shared" ref="GC203:GC266" si="496">IF($M203&lt;=AO$3,1,0)</f>
        <v>0</v>
      </c>
      <c r="GD203">
        <f t="shared" ref="GD203:GD266" si="497">IF($M203&lt;=AP$3,1,0)</f>
        <v>0</v>
      </c>
      <c r="GE203">
        <f t="shared" ref="GE203:GE266" si="498">IF($M203&lt;=AQ$3,1,0)</f>
        <v>0</v>
      </c>
      <c r="GF203">
        <f t="shared" ref="GF203:GF266" si="499">IF($M203&lt;=AR$3,1,0)</f>
        <v>0</v>
      </c>
      <c r="GG203">
        <f t="shared" ref="GG203:GG266" si="500">IF($M203&lt;=AS$3,1,0)</f>
        <v>0</v>
      </c>
      <c r="GH203">
        <f t="shared" ref="GH203:GH266" si="501">IF($M203&lt;=AT$3,1,0)</f>
        <v>0</v>
      </c>
      <c r="GI203">
        <f t="shared" ref="GI203:GI266" si="502">IF($M203&lt;=AU$3,1,0)</f>
        <v>0</v>
      </c>
      <c r="GJ203">
        <f t="shared" ref="GJ203:GJ266" si="503">IF($M203&lt;=AV$3,1,0)</f>
        <v>1</v>
      </c>
      <c r="GK203">
        <f t="shared" ref="GK203:GK266" si="504">IF($M203&lt;=AW$3,1,0)</f>
        <v>1</v>
      </c>
      <c r="GL203">
        <f t="shared" ref="GL203:GL266" si="505">IF($M203&lt;=AX$3,1,0)</f>
        <v>1</v>
      </c>
      <c r="GM203">
        <f t="shared" ref="GM203:GM266" si="506">IF($M203&lt;=AY$3,1,0)</f>
        <v>1</v>
      </c>
      <c r="GN203">
        <f t="shared" ref="GN203:GN266" si="507">IF($M203&lt;=AZ$3,1,0)</f>
        <v>1</v>
      </c>
      <c r="GO203">
        <f t="shared" ref="GO203:GO266" si="508">IF($M203&lt;=BA$3,1,0)</f>
        <v>1</v>
      </c>
      <c r="GP203">
        <f t="shared" ref="GP203:GP266" si="509">IF($M203&lt;=BB$3,1,0)</f>
        <v>1</v>
      </c>
      <c r="GQ203">
        <f t="shared" ref="GQ203:GQ266" si="510">IF($M203&lt;=BC$3,1,0)</f>
        <v>1</v>
      </c>
      <c r="GR203">
        <f t="shared" ref="GR203:GR266" si="511">IF($M203&lt;=BD$3,1,0)</f>
        <v>1</v>
      </c>
      <c r="GS203">
        <f t="shared" ref="GS203:GS266" si="512">IF($M203&lt;=BE$3,1,0)</f>
        <v>1</v>
      </c>
      <c r="GT203">
        <f t="shared" ref="GT203:GT266" si="513">IF($M203&lt;=BF$3,1,0)</f>
        <v>1</v>
      </c>
      <c r="GU203">
        <f t="shared" ref="GU203:GU266" si="514">IF($M203&lt;=BG$3,1,0)</f>
        <v>1</v>
      </c>
      <c r="GX203" s="10"/>
    </row>
    <row r="204" spans="1:206" x14ac:dyDescent="0.3">
      <c r="A204" s="9" t="s">
        <v>117</v>
      </c>
      <c r="B204" s="80"/>
      <c r="C204" s="9">
        <v>3010805004</v>
      </c>
      <c r="D204" s="9" t="s">
        <v>483</v>
      </c>
      <c r="E204" s="9" t="s">
        <v>39</v>
      </c>
      <c r="F204" s="9" t="s">
        <v>35</v>
      </c>
      <c r="G204" s="9" t="s">
        <v>229</v>
      </c>
      <c r="H204" s="10">
        <v>44945</v>
      </c>
      <c r="I204" s="9">
        <f t="shared" ref="I204:I267" si="515">YEAR(H204)</f>
        <v>2023</v>
      </c>
      <c r="J204" s="9">
        <f t="shared" ref="J204:J267" si="516">MONTH(H204)</f>
        <v>1</v>
      </c>
      <c r="K204" s="9" t="str">
        <f t="shared" ref="K204:K267" si="517">I204&amp;"_"&amp;J204</f>
        <v>2023_1</v>
      </c>
      <c r="L204">
        <f>MAX(0,VLOOKUP($K204,lookups!$A$1:$B$45,2,0)-12)</f>
        <v>21</v>
      </c>
      <c r="M204" s="40">
        <f t="shared" ref="M204:M267" si="518">DATE(I204,J204,1)</f>
        <v>44927</v>
      </c>
      <c r="N204" s="10" t="s">
        <v>37</v>
      </c>
      <c r="O204" t="str">
        <f ca="1">IF(OR($L204&gt;O$4,O$4&gt;$L204+23),"",OFFSET(Electric!$L195,0,-'Electric Calendarize'!$L204+'Electric Calendarize'!O$4+1))</f>
        <v/>
      </c>
      <c r="P204" t="str">
        <f ca="1">IF(OR($L204&gt;P$4,P$4&gt;$L204+23),"",OFFSET(Electric!$L195,0,-'Electric Calendarize'!$L204+'Electric Calendarize'!P$4+1))</f>
        <v/>
      </c>
      <c r="Q204" t="str">
        <f ca="1">IF(OR($L204&gt;Q$4,Q$4&gt;$L204+23),"",OFFSET(Electric!$L195,0,-'Electric Calendarize'!$L204+'Electric Calendarize'!Q$4+1))</f>
        <v/>
      </c>
      <c r="R204" t="str">
        <f ca="1">IF(OR($L204&gt;R$4,R$4&gt;$L204+23),"",OFFSET(Electric!$L195,0,-'Electric Calendarize'!$L204+'Electric Calendarize'!R$4+1))</f>
        <v/>
      </c>
      <c r="S204" t="str">
        <f ca="1">IF(OR($L204&gt;S$4,S$4&gt;$L204+23),"",OFFSET(Electric!$L195,0,-'Electric Calendarize'!$L204+'Electric Calendarize'!S$4+1))</f>
        <v/>
      </c>
      <c r="T204" t="str">
        <f ca="1">IF(OR($L204&gt;T$4,T$4&gt;$L204+23),"",OFFSET(Electric!$L195,0,-'Electric Calendarize'!$L204+'Electric Calendarize'!T$4+1))</f>
        <v/>
      </c>
      <c r="U204" t="str">
        <f ca="1">IF(OR($L204&gt;U$4,U$4&gt;$L204+23),"",OFFSET(Electric!$L195,0,-'Electric Calendarize'!$L204+'Electric Calendarize'!U$4+1))</f>
        <v/>
      </c>
      <c r="V204" t="str">
        <f ca="1">IF(OR($L204&gt;V$4,V$4&gt;$L204+23),"",OFFSET(Electric!$L195,0,-'Electric Calendarize'!$L204+'Electric Calendarize'!V$4+1))</f>
        <v/>
      </c>
      <c r="W204" t="str">
        <f ca="1">IF(OR($L204&gt;W$4,W$4&gt;$L204+23),"",OFFSET(Electric!$L195,0,-'Electric Calendarize'!$L204+'Electric Calendarize'!W$4+1))</f>
        <v/>
      </c>
      <c r="X204" t="str">
        <f ca="1">IF(OR($L204&gt;X$4,X$4&gt;$L204+23),"",OFFSET(Electric!$L195,0,-'Electric Calendarize'!$L204+'Electric Calendarize'!X$4+1))</f>
        <v/>
      </c>
      <c r="Y204" t="str">
        <f ca="1">IF(OR($L204&gt;Y$4,Y$4&gt;$L204+23),"",OFFSET(Electric!$L195,0,-'Electric Calendarize'!$L204+'Electric Calendarize'!Y$4+1))</f>
        <v/>
      </c>
      <c r="Z204" t="str">
        <f ca="1">IF(OR($L204&gt;Z$4,Z$4&gt;$L204+23),"",OFFSET(Electric!$L195,0,-'Electric Calendarize'!$L204+'Electric Calendarize'!Z$4+1))</f>
        <v/>
      </c>
      <c r="AA204" t="str">
        <f ca="1">IF(OR($L204&gt;AA$4,AA$4&gt;$L204+23),"",OFFSET(Electric!$L195,0,-'Electric Calendarize'!$L204+'Electric Calendarize'!AA$4+1))</f>
        <v/>
      </c>
      <c r="AB204" t="str">
        <f ca="1">IF(OR($L204&gt;AB$4,AB$4&gt;$L204+23),"",OFFSET(Electric!$L195,0,-'Electric Calendarize'!$L204+'Electric Calendarize'!AB$4+1))</f>
        <v/>
      </c>
      <c r="AC204" t="str">
        <f ca="1">IF(OR($L204&gt;AC$4,AC$4&gt;$L204+23),"",OFFSET(Electric!$L195,0,-'Electric Calendarize'!$L204+'Electric Calendarize'!AC$4+1))</f>
        <v/>
      </c>
      <c r="AD204" t="str">
        <f ca="1">IF(OR($L204&gt;AD$4,AD$4&gt;$L204+23),"",OFFSET(Electric!$L195,0,-'Electric Calendarize'!$L204+'Electric Calendarize'!AD$4+1))</f>
        <v/>
      </c>
      <c r="AE204" t="str">
        <f ca="1">IF(OR($L204&gt;AE$4,AE$4&gt;$L204+23),"",OFFSET(Electric!$L195,0,-'Electric Calendarize'!$L204+'Electric Calendarize'!AE$4+1))</f>
        <v/>
      </c>
      <c r="AF204" t="str">
        <f ca="1">IF(OR($L204&gt;AF$4,AF$4&gt;$L204+23),"",OFFSET(Electric!$L195,0,-'Electric Calendarize'!$L204+'Electric Calendarize'!AF$4+1))</f>
        <v/>
      </c>
      <c r="AG204" t="str">
        <f ca="1">IF(OR($L204&gt;AG$4,AG$4&gt;$L204+23),"",OFFSET(Electric!$L195,0,-'Electric Calendarize'!$L204+'Electric Calendarize'!AG$4+1))</f>
        <v/>
      </c>
      <c r="AH204" t="str">
        <f ca="1">IF(OR($L204&gt;AH$4,AH$4&gt;$L204+23),"",OFFSET(Electric!$L195,0,-'Electric Calendarize'!$L204+'Electric Calendarize'!AH$4+1))</f>
        <v/>
      </c>
      <c r="AI204" t="str">
        <f ca="1">IF(OR($L204&gt;AI$4,AI$4&gt;$L204+23),"",OFFSET(Electric!$L195,0,-'Electric Calendarize'!$L204+'Electric Calendarize'!AI$4+1))</f>
        <v/>
      </c>
      <c r="AJ204">
        <f ca="1">IF(OR($L204&gt;AJ$4,AJ$4&gt;$L204+23),"",OFFSET(Electric!$L195,0,-'Electric Calendarize'!$L204+'Electric Calendarize'!AJ$4+1))</f>
        <v>612</v>
      </c>
      <c r="AK204">
        <f ca="1">IF(OR($L204&gt;AK$4,AK$4&gt;$L204+23),"",OFFSET(Electric!$L195,0,-'Electric Calendarize'!$L204+'Electric Calendarize'!AK$4+1))</f>
        <v>441</v>
      </c>
      <c r="AL204">
        <f ca="1">IF(OR($L204&gt;AL$4,AL$4&gt;$L204+23),"",OFFSET(Electric!$L195,0,-'Electric Calendarize'!$L204+'Electric Calendarize'!AL$4+1))</f>
        <v>496</v>
      </c>
      <c r="AM204">
        <f ca="1">IF(OR($L204&gt;AM$4,AM$4&gt;$L204+23),"",OFFSET(Electric!$L195,0,-'Electric Calendarize'!$L204+'Electric Calendarize'!AM$4+1))</f>
        <v>345</v>
      </c>
      <c r="AN204">
        <f ca="1">IF(OR($L204&gt;AN$4,AN$4&gt;$L204+23),"",OFFSET(Electric!$L195,0,-'Electric Calendarize'!$L204+'Electric Calendarize'!AN$4+1))</f>
        <v>355</v>
      </c>
      <c r="AO204">
        <f ca="1">IF(OR($L204&gt;AO$4,AO$4&gt;$L204+23),"",OFFSET(Electric!$L195,0,-'Electric Calendarize'!$L204+'Electric Calendarize'!AO$4+1))</f>
        <v>420</v>
      </c>
      <c r="AP204">
        <f ca="1">IF(OR($L204&gt;AP$4,AP$4&gt;$L204+23),"",OFFSET(Electric!$L195,0,-'Electric Calendarize'!$L204+'Electric Calendarize'!AP$4+1))</f>
        <v>498</v>
      </c>
      <c r="AQ204">
        <f ca="1">IF(OR($L204&gt;AQ$4,AQ$4&gt;$L204+23),"",OFFSET(Electric!$L195,0,-'Electric Calendarize'!$L204+'Electric Calendarize'!AQ$4+1))</f>
        <v>842</v>
      </c>
      <c r="AR204">
        <f ca="1">IF(OR($L204&gt;AR$4,AR$4&gt;$L204+23),"",OFFSET(Electric!$L195,0,-'Electric Calendarize'!$L204+'Electric Calendarize'!AR$4+1))</f>
        <v>955</v>
      </c>
      <c r="AS204">
        <f ca="1">IF(OR($L204&gt;AS$4,AS$4&gt;$L204+23),"",OFFSET(Electric!$L195,0,-'Electric Calendarize'!$L204+'Electric Calendarize'!AS$4+1))</f>
        <v>628</v>
      </c>
      <c r="AT204">
        <f ca="1">IF(OR($L204&gt;AT$4,AT$4&gt;$L204+23),"",OFFSET(Electric!$L195,0,-'Electric Calendarize'!$L204+'Electric Calendarize'!AT$4+1))</f>
        <v>506</v>
      </c>
      <c r="AU204">
        <f ca="1">IF(OR($L204&gt;AU$4,AU$4&gt;$L204+23),"",OFFSET(Electric!$L195,0,-'Electric Calendarize'!$L204+'Electric Calendarize'!AU$4+1))</f>
        <v>628</v>
      </c>
      <c r="AV204">
        <f ca="1">IF(OR($L204&gt;AV$4,AV$4&gt;$L204+23),"",OFFSET(Electric!$L195,0,-'Electric Calendarize'!$L204+'Electric Calendarize'!AV$4+1))</f>
        <v>520</v>
      </c>
      <c r="AW204">
        <f ca="1">IF(OR($L204&gt;AW$4,AW$4&gt;$L204+23),"",OFFSET(Electric!$L195,0,-'Electric Calendarize'!$L204+'Electric Calendarize'!AW$4+1))</f>
        <v>578</v>
      </c>
      <c r="AX204">
        <f ca="1">IF(OR($L204&gt;AX$4,AX$4&gt;$L204+23),"",OFFSET(Electric!$L195,0,-'Electric Calendarize'!$L204+'Electric Calendarize'!AX$4+1))</f>
        <v>451</v>
      </c>
      <c r="AY204">
        <f ca="1">IF(OR($L204&gt;AY$4,AY$4&gt;$L204+23),"",OFFSET(Electric!$L195,0,-'Electric Calendarize'!$L204+'Electric Calendarize'!AY$4+1))</f>
        <v>404</v>
      </c>
      <c r="AZ204">
        <f ca="1">IF(OR($L204&gt;AZ$4,AZ$4&gt;$L204+23),"",OFFSET(Electric!$L195,0,-'Electric Calendarize'!$L204+'Electric Calendarize'!AZ$4+1))</f>
        <v>494</v>
      </c>
      <c r="BA204">
        <f ca="1">IF(OR($L204&gt;BA$4,BA$4&gt;$L204+23),"",OFFSET(Electric!$L195,0,-'Electric Calendarize'!$L204+'Electric Calendarize'!BA$4+1))</f>
        <v>458</v>
      </c>
      <c r="BB204">
        <f ca="1">IF(OR($L204&gt;BB$4,BB$4&gt;$L204+23),"",OFFSET(Electric!$L195,0,-'Electric Calendarize'!$L204+'Electric Calendarize'!BB$4+1))</f>
        <v>839</v>
      </c>
      <c r="BC204">
        <f ca="1">IF(OR($L204&gt;BC$4,BC$4&gt;$L204+23),"",OFFSET(Electric!$L195,0,-'Electric Calendarize'!$L204+'Electric Calendarize'!BC$4+1))</f>
        <v>982</v>
      </c>
      <c r="BD204">
        <f ca="1">IF(OR($L204&gt;BD$4,BD$4&gt;$L204+23),"",OFFSET(Electric!$L195,0,-'Electric Calendarize'!$L204+'Electric Calendarize'!BD$4+1))</f>
        <v>860</v>
      </c>
      <c r="BE204">
        <f ca="1">IF(OR($L204&gt;BE$4,BE$4&gt;$L204+23),"",OFFSET(Electric!$L195,0,-'Electric Calendarize'!$L204+'Electric Calendarize'!BE$4+1))</f>
        <v>742</v>
      </c>
      <c r="BF204">
        <f ca="1">IF(OR($L204&gt;BF$4,BF$4&gt;$L204+23),"",OFFSET(Electric!$L195,0,-'Electric Calendarize'!$L204+'Electric Calendarize'!BF$4+1))</f>
        <v>563</v>
      </c>
      <c r="BG204">
        <f ca="1">IF(OR($L204&gt;BG$4,BG$4&gt;$L204+23),"",OFFSET(Electric!$L195,0,-'Electric Calendarize'!$L204+'Electric Calendarize'!BG$4+1))</f>
        <v>562</v>
      </c>
      <c r="BJ204" s="10" t="s">
        <v>37</v>
      </c>
      <c r="BK204">
        <f t="shared" ref="BK204:BK267" si="519">+O$8</f>
        <v>1</v>
      </c>
      <c r="BL204">
        <f t="shared" si="425"/>
        <v>0</v>
      </c>
      <c r="BM204">
        <f t="shared" si="426"/>
        <v>0</v>
      </c>
      <c r="BN204">
        <f t="shared" si="427"/>
        <v>0</v>
      </c>
      <c r="BO204">
        <f t="shared" si="428"/>
        <v>0</v>
      </c>
      <c r="BP204">
        <f t="shared" si="429"/>
        <v>0</v>
      </c>
      <c r="BQ204">
        <f t="shared" si="430"/>
        <v>0</v>
      </c>
      <c r="BR204">
        <f t="shared" si="431"/>
        <v>1</v>
      </c>
      <c r="BS204">
        <f t="shared" si="432"/>
        <v>1</v>
      </c>
      <c r="BT204">
        <f t="shared" si="433"/>
        <v>1</v>
      </c>
      <c r="BU204">
        <f t="shared" si="434"/>
        <v>1</v>
      </c>
      <c r="BV204">
        <f t="shared" si="435"/>
        <v>1</v>
      </c>
      <c r="BW204">
        <f t="shared" si="436"/>
        <v>1</v>
      </c>
      <c r="BX204">
        <f t="shared" si="437"/>
        <v>0</v>
      </c>
      <c r="BY204">
        <f t="shared" si="438"/>
        <v>0</v>
      </c>
      <c r="BZ204">
        <f t="shared" si="439"/>
        <v>0</v>
      </c>
      <c r="CA204">
        <f t="shared" si="440"/>
        <v>0</v>
      </c>
      <c r="CB204">
        <f t="shared" si="441"/>
        <v>0</v>
      </c>
      <c r="CC204">
        <f t="shared" si="442"/>
        <v>0</v>
      </c>
      <c r="CD204">
        <f t="shared" si="443"/>
        <v>1</v>
      </c>
      <c r="CE204">
        <f t="shared" si="444"/>
        <v>1</v>
      </c>
      <c r="CF204">
        <f t="shared" si="445"/>
        <v>1</v>
      </c>
      <c r="CG204">
        <f t="shared" si="446"/>
        <v>1</v>
      </c>
      <c r="CH204">
        <f t="shared" si="447"/>
        <v>1</v>
      </c>
      <c r="CI204">
        <f t="shared" si="448"/>
        <v>1</v>
      </c>
      <c r="CJ204">
        <f t="shared" si="449"/>
        <v>0</v>
      </c>
      <c r="CK204">
        <f t="shared" si="450"/>
        <v>0</v>
      </c>
      <c r="CL204">
        <f t="shared" si="451"/>
        <v>0</v>
      </c>
      <c r="CM204">
        <f t="shared" si="452"/>
        <v>0</v>
      </c>
      <c r="CN204">
        <f t="shared" si="453"/>
        <v>0</v>
      </c>
      <c r="CO204">
        <f t="shared" si="454"/>
        <v>0</v>
      </c>
      <c r="CP204">
        <f t="shared" si="455"/>
        <v>1</v>
      </c>
      <c r="CQ204">
        <f t="shared" si="456"/>
        <v>1</v>
      </c>
      <c r="CR204">
        <f t="shared" si="457"/>
        <v>1</v>
      </c>
      <c r="CS204">
        <f t="shared" si="458"/>
        <v>1</v>
      </c>
      <c r="CT204">
        <f t="shared" si="459"/>
        <v>1</v>
      </c>
      <c r="CU204">
        <f t="shared" si="460"/>
        <v>1</v>
      </c>
      <c r="CV204">
        <f t="shared" si="461"/>
        <v>0</v>
      </c>
      <c r="CW204">
        <f t="shared" si="462"/>
        <v>0</v>
      </c>
      <c r="CX204">
        <f t="shared" si="463"/>
        <v>0</v>
      </c>
      <c r="CY204">
        <f t="shared" si="464"/>
        <v>0</v>
      </c>
      <c r="CZ204">
        <f t="shared" si="465"/>
        <v>0</v>
      </c>
      <c r="DA204">
        <f t="shared" si="466"/>
        <v>0</v>
      </c>
      <c r="DB204">
        <f t="shared" si="467"/>
        <v>1</v>
      </c>
      <c r="DC204">
        <f t="shared" si="468"/>
        <v>1</v>
      </c>
      <c r="DF204" s="10" t="s">
        <v>37</v>
      </c>
      <c r="DG204" t="str">
        <f t="shared" ref="DG204:DV219" si="520">$K204</f>
        <v>2023_1</v>
      </c>
      <c r="DH204" t="str">
        <f t="shared" si="520"/>
        <v>2023_1</v>
      </c>
      <c r="DI204" t="str">
        <f t="shared" si="520"/>
        <v>2023_1</v>
      </c>
      <c r="DJ204" t="str">
        <f t="shared" si="520"/>
        <v>2023_1</v>
      </c>
      <c r="DK204" t="str">
        <f t="shared" si="520"/>
        <v>2023_1</v>
      </c>
      <c r="DL204" t="str">
        <f t="shared" si="520"/>
        <v>2023_1</v>
      </c>
      <c r="DM204" t="str">
        <f t="shared" si="520"/>
        <v>2023_1</v>
      </c>
      <c r="DN204" t="str">
        <f t="shared" si="520"/>
        <v>2023_1</v>
      </c>
      <c r="DO204" t="str">
        <f t="shared" si="520"/>
        <v>2023_1</v>
      </c>
      <c r="DP204" t="str">
        <f t="shared" si="520"/>
        <v>2023_1</v>
      </c>
      <c r="DQ204" t="str">
        <f t="shared" si="520"/>
        <v>2023_1</v>
      </c>
      <c r="DR204" t="str">
        <f t="shared" si="520"/>
        <v>2023_1</v>
      </c>
      <c r="DS204" t="str">
        <f t="shared" si="520"/>
        <v>2023_1</v>
      </c>
      <c r="DT204" t="str">
        <f t="shared" si="520"/>
        <v>2023_1</v>
      </c>
      <c r="DU204" t="str">
        <f t="shared" si="520"/>
        <v>2023_1</v>
      </c>
      <c r="DV204" t="str">
        <f t="shared" si="469"/>
        <v>2023_1</v>
      </c>
      <c r="DW204" t="str">
        <f t="shared" si="469"/>
        <v>2023_1</v>
      </c>
      <c r="DX204" t="str">
        <f t="shared" si="469"/>
        <v>2023_1</v>
      </c>
      <c r="DY204" t="str">
        <f t="shared" si="469"/>
        <v>2023_1</v>
      </c>
      <c r="DZ204" t="str">
        <f t="shared" si="469"/>
        <v>2023_1</v>
      </c>
      <c r="EA204" t="str">
        <f t="shared" si="469"/>
        <v>2023_1</v>
      </c>
      <c r="EB204" t="str">
        <f t="shared" si="469"/>
        <v>2023_1</v>
      </c>
      <c r="EC204" t="str">
        <f t="shared" si="469"/>
        <v>2023_1</v>
      </c>
      <c r="ED204" t="str">
        <f t="shared" si="469"/>
        <v>2023_1</v>
      </c>
      <c r="EE204" t="str">
        <f t="shared" si="469"/>
        <v>2023_1</v>
      </c>
      <c r="EF204" t="str">
        <f t="shared" si="469"/>
        <v>2023_1</v>
      </c>
      <c r="EG204" t="str">
        <f t="shared" si="469"/>
        <v>2023_1</v>
      </c>
      <c r="EH204" t="str">
        <f t="shared" si="469"/>
        <v>2023_1</v>
      </c>
      <c r="EI204" t="str">
        <f t="shared" si="469"/>
        <v>2023_1</v>
      </c>
      <c r="EJ204" t="str">
        <f t="shared" si="469"/>
        <v>2023_1</v>
      </c>
      <c r="EK204" t="str">
        <f t="shared" si="469"/>
        <v>2023_1</v>
      </c>
      <c r="EL204" t="str">
        <f t="shared" si="470"/>
        <v>2023_1</v>
      </c>
      <c r="EM204" t="str">
        <f t="shared" si="424"/>
        <v>2023_1</v>
      </c>
      <c r="EN204" t="str">
        <f t="shared" si="424"/>
        <v>2023_1</v>
      </c>
      <c r="EO204" t="str">
        <f t="shared" si="424"/>
        <v>2023_1</v>
      </c>
      <c r="EP204" t="str">
        <f t="shared" si="424"/>
        <v>2023_1</v>
      </c>
      <c r="EQ204" t="str">
        <f t="shared" si="424"/>
        <v>2023_1</v>
      </c>
      <c r="ER204" t="str">
        <f t="shared" si="424"/>
        <v>2023_1</v>
      </c>
      <c r="ES204" t="str">
        <f t="shared" si="424"/>
        <v>2023_1</v>
      </c>
      <c r="ET204" t="str">
        <f t="shared" si="424"/>
        <v>2023_1</v>
      </c>
      <c r="EU204" t="str">
        <f t="shared" si="424"/>
        <v>2023_1</v>
      </c>
      <c r="EV204" t="str">
        <f t="shared" si="424"/>
        <v>2023_1</v>
      </c>
      <c r="EW204" t="str">
        <f t="shared" si="424"/>
        <v>2023_1</v>
      </c>
      <c r="EX204" t="str">
        <f t="shared" si="424"/>
        <v>2023_1</v>
      </c>
      <c r="EY204" t="str">
        <f t="shared" si="424"/>
        <v>2023_1</v>
      </c>
      <c r="FB204" s="10" t="s">
        <v>37</v>
      </c>
      <c r="FC204">
        <f t="shared" ref="FC204:FC267" si="521">IF($M204&lt;=O$3,1,0)</f>
        <v>0</v>
      </c>
      <c r="FD204">
        <f t="shared" si="471"/>
        <v>0</v>
      </c>
      <c r="FE204">
        <f t="shared" si="472"/>
        <v>0</v>
      </c>
      <c r="FF204">
        <f t="shared" si="473"/>
        <v>0</v>
      </c>
      <c r="FG204">
        <f t="shared" si="474"/>
        <v>0</v>
      </c>
      <c r="FH204">
        <f t="shared" si="475"/>
        <v>0</v>
      </c>
      <c r="FI204">
        <f t="shared" si="476"/>
        <v>0</v>
      </c>
      <c r="FJ204">
        <f t="shared" si="477"/>
        <v>0</v>
      </c>
      <c r="FK204">
        <f t="shared" si="478"/>
        <v>0</v>
      </c>
      <c r="FL204">
        <f t="shared" si="479"/>
        <v>0</v>
      </c>
      <c r="FM204">
        <f t="shared" si="480"/>
        <v>0</v>
      </c>
      <c r="FN204">
        <f t="shared" si="481"/>
        <v>0</v>
      </c>
      <c r="FO204">
        <f t="shared" si="482"/>
        <v>0</v>
      </c>
      <c r="FP204">
        <f t="shared" si="483"/>
        <v>0</v>
      </c>
      <c r="FQ204">
        <f t="shared" si="484"/>
        <v>0</v>
      </c>
      <c r="FR204">
        <f t="shared" si="485"/>
        <v>0</v>
      </c>
      <c r="FS204">
        <f t="shared" si="486"/>
        <v>0</v>
      </c>
      <c r="FT204">
        <f t="shared" si="487"/>
        <v>0</v>
      </c>
      <c r="FU204">
        <f t="shared" si="488"/>
        <v>0</v>
      </c>
      <c r="FV204">
        <f t="shared" si="489"/>
        <v>0</v>
      </c>
      <c r="FW204">
        <f t="shared" si="490"/>
        <v>0</v>
      </c>
      <c r="FX204">
        <f t="shared" si="491"/>
        <v>0</v>
      </c>
      <c r="FY204">
        <f t="shared" si="492"/>
        <v>0</v>
      </c>
      <c r="FZ204">
        <f t="shared" si="493"/>
        <v>0</v>
      </c>
      <c r="GA204">
        <f t="shared" si="494"/>
        <v>0</v>
      </c>
      <c r="GB204">
        <f t="shared" si="495"/>
        <v>0</v>
      </c>
      <c r="GC204">
        <f t="shared" si="496"/>
        <v>0</v>
      </c>
      <c r="GD204">
        <f t="shared" si="497"/>
        <v>0</v>
      </c>
      <c r="GE204">
        <f t="shared" si="498"/>
        <v>0</v>
      </c>
      <c r="GF204">
        <f t="shared" si="499"/>
        <v>0</v>
      </c>
      <c r="GG204">
        <f t="shared" si="500"/>
        <v>0</v>
      </c>
      <c r="GH204">
        <f t="shared" si="501"/>
        <v>0</v>
      </c>
      <c r="GI204">
        <f t="shared" si="502"/>
        <v>0</v>
      </c>
      <c r="GJ204">
        <f t="shared" si="503"/>
        <v>1</v>
      </c>
      <c r="GK204">
        <f t="shared" si="504"/>
        <v>1</v>
      </c>
      <c r="GL204">
        <f t="shared" si="505"/>
        <v>1</v>
      </c>
      <c r="GM204">
        <f t="shared" si="506"/>
        <v>1</v>
      </c>
      <c r="GN204">
        <f t="shared" si="507"/>
        <v>1</v>
      </c>
      <c r="GO204">
        <f t="shared" si="508"/>
        <v>1</v>
      </c>
      <c r="GP204">
        <f t="shared" si="509"/>
        <v>1</v>
      </c>
      <c r="GQ204">
        <f t="shared" si="510"/>
        <v>1</v>
      </c>
      <c r="GR204">
        <f t="shared" si="511"/>
        <v>1</v>
      </c>
      <c r="GS204">
        <f t="shared" si="512"/>
        <v>1</v>
      </c>
      <c r="GT204">
        <f t="shared" si="513"/>
        <v>1</v>
      </c>
      <c r="GU204">
        <f t="shared" si="514"/>
        <v>1</v>
      </c>
      <c r="GX204" s="10"/>
    </row>
    <row r="205" spans="1:206" x14ac:dyDescent="0.3">
      <c r="A205" s="9" t="s">
        <v>128</v>
      </c>
      <c r="B205" s="80"/>
      <c r="C205" s="9">
        <v>3010721000</v>
      </c>
      <c r="D205" s="9" t="s">
        <v>407</v>
      </c>
      <c r="E205" s="9" t="s">
        <v>34</v>
      </c>
      <c r="F205" s="9" t="s">
        <v>35</v>
      </c>
      <c r="G205" s="9" t="s">
        <v>110</v>
      </c>
      <c r="H205" s="10">
        <v>44950</v>
      </c>
      <c r="I205" s="9">
        <f t="shared" si="515"/>
        <v>2023</v>
      </c>
      <c r="J205" s="9">
        <f t="shared" si="516"/>
        <v>1</v>
      </c>
      <c r="K205" s="9" t="str">
        <f t="shared" si="517"/>
        <v>2023_1</v>
      </c>
      <c r="L205">
        <f>MAX(0,VLOOKUP($K205,lookups!$A$1:$B$45,2,0)-12)</f>
        <v>21</v>
      </c>
      <c r="M205" s="40">
        <f t="shared" si="518"/>
        <v>44927</v>
      </c>
      <c r="N205" s="10" t="s">
        <v>37</v>
      </c>
      <c r="O205" t="str">
        <f ca="1">IF(OR($L205&gt;O$4,O$4&gt;$L205+23),"",OFFSET(Electric!$L196,0,-'Electric Calendarize'!$L205+'Electric Calendarize'!O$4+1))</f>
        <v/>
      </c>
      <c r="P205" t="str">
        <f ca="1">IF(OR($L205&gt;P$4,P$4&gt;$L205+23),"",OFFSET(Electric!$L196,0,-'Electric Calendarize'!$L205+'Electric Calendarize'!P$4+1))</f>
        <v/>
      </c>
      <c r="Q205" t="str">
        <f ca="1">IF(OR($L205&gt;Q$4,Q$4&gt;$L205+23),"",OFFSET(Electric!$L196,0,-'Electric Calendarize'!$L205+'Electric Calendarize'!Q$4+1))</f>
        <v/>
      </c>
      <c r="R205" t="str">
        <f ca="1">IF(OR($L205&gt;R$4,R$4&gt;$L205+23),"",OFFSET(Electric!$L196,0,-'Electric Calendarize'!$L205+'Electric Calendarize'!R$4+1))</f>
        <v/>
      </c>
      <c r="S205" t="str">
        <f ca="1">IF(OR($L205&gt;S$4,S$4&gt;$L205+23),"",OFFSET(Electric!$L196,0,-'Electric Calendarize'!$L205+'Electric Calendarize'!S$4+1))</f>
        <v/>
      </c>
      <c r="T205" t="str">
        <f ca="1">IF(OR($L205&gt;T$4,T$4&gt;$L205+23),"",OFFSET(Electric!$L196,0,-'Electric Calendarize'!$L205+'Electric Calendarize'!T$4+1))</f>
        <v/>
      </c>
      <c r="U205" t="str">
        <f ca="1">IF(OR($L205&gt;U$4,U$4&gt;$L205+23),"",OFFSET(Electric!$L196,0,-'Electric Calendarize'!$L205+'Electric Calendarize'!U$4+1))</f>
        <v/>
      </c>
      <c r="V205" t="str">
        <f ca="1">IF(OR($L205&gt;V$4,V$4&gt;$L205+23),"",OFFSET(Electric!$L196,0,-'Electric Calendarize'!$L205+'Electric Calendarize'!V$4+1))</f>
        <v/>
      </c>
      <c r="W205" t="str">
        <f ca="1">IF(OR($L205&gt;W$4,W$4&gt;$L205+23),"",OFFSET(Electric!$L196,0,-'Electric Calendarize'!$L205+'Electric Calendarize'!W$4+1))</f>
        <v/>
      </c>
      <c r="X205" t="str">
        <f ca="1">IF(OR($L205&gt;X$4,X$4&gt;$L205+23),"",OFFSET(Electric!$L196,0,-'Electric Calendarize'!$L205+'Electric Calendarize'!X$4+1))</f>
        <v/>
      </c>
      <c r="Y205" t="str">
        <f ca="1">IF(OR($L205&gt;Y$4,Y$4&gt;$L205+23),"",OFFSET(Electric!$L196,0,-'Electric Calendarize'!$L205+'Electric Calendarize'!Y$4+1))</f>
        <v/>
      </c>
      <c r="Z205" t="str">
        <f ca="1">IF(OR($L205&gt;Z$4,Z$4&gt;$L205+23),"",OFFSET(Electric!$L196,0,-'Electric Calendarize'!$L205+'Electric Calendarize'!Z$4+1))</f>
        <v/>
      </c>
      <c r="AA205" t="str">
        <f ca="1">IF(OR($L205&gt;AA$4,AA$4&gt;$L205+23),"",OFFSET(Electric!$L196,0,-'Electric Calendarize'!$L205+'Electric Calendarize'!AA$4+1))</f>
        <v/>
      </c>
      <c r="AB205" t="str">
        <f ca="1">IF(OR($L205&gt;AB$4,AB$4&gt;$L205+23),"",OFFSET(Electric!$L196,0,-'Electric Calendarize'!$L205+'Electric Calendarize'!AB$4+1))</f>
        <v/>
      </c>
      <c r="AC205" t="str">
        <f ca="1">IF(OR($L205&gt;AC$4,AC$4&gt;$L205+23),"",OFFSET(Electric!$L196,0,-'Electric Calendarize'!$L205+'Electric Calendarize'!AC$4+1))</f>
        <v/>
      </c>
      <c r="AD205" t="str">
        <f ca="1">IF(OR($L205&gt;AD$4,AD$4&gt;$L205+23),"",OFFSET(Electric!$L196,0,-'Electric Calendarize'!$L205+'Electric Calendarize'!AD$4+1))</f>
        <v/>
      </c>
      <c r="AE205" t="str">
        <f ca="1">IF(OR($L205&gt;AE$4,AE$4&gt;$L205+23),"",OFFSET(Electric!$L196,0,-'Electric Calendarize'!$L205+'Electric Calendarize'!AE$4+1))</f>
        <v/>
      </c>
      <c r="AF205" t="str">
        <f ca="1">IF(OR($L205&gt;AF$4,AF$4&gt;$L205+23),"",OFFSET(Electric!$L196,0,-'Electric Calendarize'!$L205+'Electric Calendarize'!AF$4+1))</f>
        <v/>
      </c>
      <c r="AG205" t="str">
        <f ca="1">IF(OR($L205&gt;AG$4,AG$4&gt;$L205+23),"",OFFSET(Electric!$L196,0,-'Electric Calendarize'!$L205+'Electric Calendarize'!AG$4+1))</f>
        <v/>
      </c>
      <c r="AH205" t="str">
        <f ca="1">IF(OR($L205&gt;AH$4,AH$4&gt;$L205+23),"",OFFSET(Electric!$L196,0,-'Electric Calendarize'!$L205+'Electric Calendarize'!AH$4+1))</f>
        <v/>
      </c>
      <c r="AI205" t="str">
        <f ca="1">IF(OR($L205&gt;AI$4,AI$4&gt;$L205+23),"",OFFSET(Electric!$L196,0,-'Electric Calendarize'!$L205+'Electric Calendarize'!AI$4+1))</f>
        <v/>
      </c>
      <c r="AJ205">
        <f ca="1">IF(OR($L205&gt;AJ$4,AJ$4&gt;$L205+23),"",OFFSET(Electric!$L196,0,-'Electric Calendarize'!$L205+'Electric Calendarize'!AJ$4+1))</f>
        <v>492</v>
      </c>
      <c r="AK205">
        <f ca="1">IF(OR($L205&gt;AK$4,AK$4&gt;$L205+23),"",OFFSET(Electric!$L196,0,-'Electric Calendarize'!$L205+'Electric Calendarize'!AK$4+1))</f>
        <v>451</v>
      </c>
      <c r="AL205">
        <f ca="1">IF(OR($L205&gt;AL$4,AL$4&gt;$L205+23),"",OFFSET(Electric!$L196,0,-'Electric Calendarize'!$L205+'Electric Calendarize'!AL$4+1))</f>
        <v>472</v>
      </c>
      <c r="AM205">
        <f ca="1">IF(OR($L205&gt;AM$4,AM$4&gt;$L205+23),"",OFFSET(Electric!$L196,0,-'Electric Calendarize'!$L205+'Electric Calendarize'!AM$4+1))</f>
        <v>383</v>
      </c>
      <c r="AN205">
        <f ca="1">IF(OR($L205&gt;AN$4,AN$4&gt;$L205+23),"",OFFSET(Electric!$L196,0,-'Electric Calendarize'!$L205+'Electric Calendarize'!AN$4+1))</f>
        <v>403</v>
      </c>
      <c r="AO205">
        <f ca="1">IF(OR($L205&gt;AO$4,AO$4&gt;$L205+23),"",OFFSET(Electric!$L196,0,-'Electric Calendarize'!$L205+'Electric Calendarize'!AO$4+1))</f>
        <v>442</v>
      </c>
      <c r="AP205">
        <f ca="1">IF(OR($L205&gt;AP$4,AP$4&gt;$L205+23),"",OFFSET(Electric!$L196,0,-'Electric Calendarize'!$L205+'Electric Calendarize'!AP$4+1))</f>
        <v>531</v>
      </c>
      <c r="AQ205">
        <f ca="1">IF(OR($L205&gt;AQ$4,AQ$4&gt;$L205+23),"",OFFSET(Electric!$L196,0,-'Electric Calendarize'!$L205+'Electric Calendarize'!AQ$4+1))</f>
        <v>927</v>
      </c>
      <c r="AR205">
        <f ca="1">IF(OR($L205&gt;AR$4,AR$4&gt;$L205+23),"",OFFSET(Electric!$L196,0,-'Electric Calendarize'!$L205+'Electric Calendarize'!AR$4+1))</f>
        <v>724</v>
      </c>
      <c r="AS205">
        <f ca="1">IF(OR($L205&gt;AS$4,AS$4&gt;$L205+23),"",OFFSET(Electric!$L196,0,-'Electric Calendarize'!$L205+'Electric Calendarize'!AS$4+1))</f>
        <v>390</v>
      </c>
      <c r="AT205">
        <f ca="1">IF(OR($L205&gt;AT$4,AT$4&gt;$L205+23),"",OFFSET(Electric!$L196,0,-'Electric Calendarize'!$L205+'Electric Calendarize'!AT$4+1))</f>
        <v>403</v>
      </c>
      <c r="AU205">
        <f ca="1">IF(OR($L205&gt;AU$4,AU$4&gt;$L205+23),"",OFFSET(Electric!$L196,0,-'Electric Calendarize'!$L205+'Electric Calendarize'!AU$4+1))</f>
        <v>459</v>
      </c>
      <c r="AV205">
        <f ca="1">IF(OR($L205&gt;AV$4,AV$4&gt;$L205+23),"",OFFSET(Electric!$L196,0,-'Electric Calendarize'!$L205+'Electric Calendarize'!AV$4+1))</f>
        <v>477</v>
      </c>
      <c r="AW205">
        <f ca="1">IF(OR($L205&gt;AW$4,AW$4&gt;$L205+23),"",OFFSET(Electric!$L196,0,-'Electric Calendarize'!$L205+'Electric Calendarize'!AW$4+1))</f>
        <v>452</v>
      </c>
      <c r="AX205">
        <f ca="1">IF(OR($L205&gt;AX$4,AX$4&gt;$L205+23),"",OFFSET(Electric!$L196,0,-'Electric Calendarize'!$L205+'Electric Calendarize'!AX$4+1))</f>
        <v>433</v>
      </c>
      <c r="AY205">
        <f ca="1">IF(OR($L205&gt;AY$4,AY$4&gt;$L205+23),"",OFFSET(Electric!$L196,0,-'Electric Calendarize'!$L205+'Electric Calendarize'!AY$4+1))</f>
        <v>380</v>
      </c>
      <c r="AZ205">
        <f ca="1">IF(OR($L205&gt;AZ$4,AZ$4&gt;$L205+23),"",OFFSET(Electric!$L196,0,-'Electric Calendarize'!$L205+'Electric Calendarize'!AZ$4+1))</f>
        <v>409</v>
      </c>
      <c r="BA205">
        <f ca="1">IF(OR($L205&gt;BA$4,BA$4&gt;$L205+23),"",OFFSET(Electric!$L196,0,-'Electric Calendarize'!$L205+'Electric Calendarize'!BA$4+1))</f>
        <v>360</v>
      </c>
      <c r="BB205">
        <f ca="1">IF(OR($L205&gt;BB$4,BB$4&gt;$L205+23),"",OFFSET(Electric!$L196,0,-'Electric Calendarize'!$L205+'Electric Calendarize'!BB$4+1))</f>
        <v>472</v>
      </c>
      <c r="BC205">
        <f ca="1">IF(OR($L205&gt;BC$4,BC$4&gt;$L205+23),"",OFFSET(Electric!$L196,0,-'Electric Calendarize'!$L205+'Electric Calendarize'!BC$4+1))</f>
        <v>850</v>
      </c>
      <c r="BD205">
        <f ca="1">IF(OR($L205&gt;BD$4,BD$4&gt;$L205+23),"",OFFSET(Electric!$L196,0,-'Electric Calendarize'!$L205+'Electric Calendarize'!BD$4+1))</f>
        <v>655</v>
      </c>
      <c r="BE205">
        <f ca="1">IF(OR($L205&gt;BE$4,BE$4&gt;$L205+23),"",OFFSET(Electric!$L196,0,-'Electric Calendarize'!$L205+'Electric Calendarize'!BE$4+1))</f>
        <v>563</v>
      </c>
      <c r="BF205">
        <f ca="1">IF(OR($L205&gt;BF$4,BF$4&gt;$L205+23),"",OFFSET(Electric!$L196,0,-'Electric Calendarize'!$L205+'Electric Calendarize'!BF$4+1))</f>
        <v>394</v>
      </c>
      <c r="BG205">
        <f ca="1">IF(OR($L205&gt;BG$4,BG$4&gt;$L205+23),"",OFFSET(Electric!$L196,0,-'Electric Calendarize'!$L205+'Electric Calendarize'!BG$4+1))</f>
        <v>419</v>
      </c>
      <c r="BJ205" s="10" t="s">
        <v>37</v>
      </c>
      <c r="BK205">
        <f t="shared" si="519"/>
        <v>1</v>
      </c>
      <c r="BL205">
        <f t="shared" si="425"/>
        <v>0</v>
      </c>
      <c r="BM205">
        <f t="shared" si="426"/>
        <v>0</v>
      </c>
      <c r="BN205">
        <f t="shared" si="427"/>
        <v>0</v>
      </c>
      <c r="BO205">
        <f t="shared" si="428"/>
        <v>0</v>
      </c>
      <c r="BP205">
        <f t="shared" si="429"/>
        <v>0</v>
      </c>
      <c r="BQ205">
        <f t="shared" si="430"/>
        <v>0</v>
      </c>
      <c r="BR205">
        <f t="shared" si="431"/>
        <v>1</v>
      </c>
      <c r="BS205">
        <f t="shared" si="432"/>
        <v>1</v>
      </c>
      <c r="BT205">
        <f t="shared" si="433"/>
        <v>1</v>
      </c>
      <c r="BU205">
        <f t="shared" si="434"/>
        <v>1</v>
      </c>
      <c r="BV205">
        <f t="shared" si="435"/>
        <v>1</v>
      </c>
      <c r="BW205">
        <f t="shared" si="436"/>
        <v>1</v>
      </c>
      <c r="BX205">
        <f t="shared" si="437"/>
        <v>0</v>
      </c>
      <c r="BY205">
        <f t="shared" si="438"/>
        <v>0</v>
      </c>
      <c r="BZ205">
        <f t="shared" si="439"/>
        <v>0</v>
      </c>
      <c r="CA205">
        <f t="shared" si="440"/>
        <v>0</v>
      </c>
      <c r="CB205">
        <f t="shared" si="441"/>
        <v>0</v>
      </c>
      <c r="CC205">
        <f t="shared" si="442"/>
        <v>0</v>
      </c>
      <c r="CD205">
        <f t="shared" si="443"/>
        <v>1</v>
      </c>
      <c r="CE205">
        <f t="shared" si="444"/>
        <v>1</v>
      </c>
      <c r="CF205">
        <f t="shared" si="445"/>
        <v>1</v>
      </c>
      <c r="CG205">
        <f t="shared" si="446"/>
        <v>1</v>
      </c>
      <c r="CH205">
        <f t="shared" si="447"/>
        <v>1</v>
      </c>
      <c r="CI205">
        <f t="shared" si="448"/>
        <v>1</v>
      </c>
      <c r="CJ205">
        <f t="shared" si="449"/>
        <v>0</v>
      </c>
      <c r="CK205">
        <f t="shared" si="450"/>
        <v>0</v>
      </c>
      <c r="CL205">
        <f t="shared" si="451"/>
        <v>0</v>
      </c>
      <c r="CM205">
        <f t="shared" si="452"/>
        <v>0</v>
      </c>
      <c r="CN205">
        <f t="shared" si="453"/>
        <v>0</v>
      </c>
      <c r="CO205">
        <f t="shared" si="454"/>
        <v>0</v>
      </c>
      <c r="CP205">
        <f t="shared" si="455"/>
        <v>1</v>
      </c>
      <c r="CQ205">
        <f t="shared" si="456"/>
        <v>1</v>
      </c>
      <c r="CR205">
        <f t="shared" si="457"/>
        <v>1</v>
      </c>
      <c r="CS205">
        <f t="shared" si="458"/>
        <v>1</v>
      </c>
      <c r="CT205">
        <f t="shared" si="459"/>
        <v>1</v>
      </c>
      <c r="CU205">
        <f t="shared" si="460"/>
        <v>1</v>
      </c>
      <c r="CV205">
        <f t="shared" si="461"/>
        <v>0</v>
      </c>
      <c r="CW205">
        <f t="shared" si="462"/>
        <v>0</v>
      </c>
      <c r="CX205">
        <f t="shared" si="463"/>
        <v>0</v>
      </c>
      <c r="CY205">
        <f t="shared" si="464"/>
        <v>0</v>
      </c>
      <c r="CZ205">
        <f t="shared" si="465"/>
        <v>0</v>
      </c>
      <c r="DA205">
        <f t="shared" si="466"/>
        <v>0</v>
      </c>
      <c r="DB205">
        <f t="shared" si="467"/>
        <v>1</v>
      </c>
      <c r="DC205">
        <f t="shared" si="468"/>
        <v>1</v>
      </c>
      <c r="DF205" s="10" t="s">
        <v>37</v>
      </c>
      <c r="DG205" t="str">
        <f t="shared" si="520"/>
        <v>2023_1</v>
      </c>
      <c r="DH205" t="str">
        <f t="shared" si="520"/>
        <v>2023_1</v>
      </c>
      <c r="DI205" t="str">
        <f t="shared" si="520"/>
        <v>2023_1</v>
      </c>
      <c r="DJ205" t="str">
        <f t="shared" si="520"/>
        <v>2023_1</v>
      </c>
      <c r="DK205" t="str">
        <f t="shared" si="520"/>
        <v>2023_1</v>
      </c>
      <c r="DL205" t="str">
        <f t="shared" si="520"/>
        <v>2023_1</v>
      </c>
      <c r="DM205" t="str">
        <f t="shared" si="520"/>
        <v>2023_1</v>
      </c>
      <c r="DN205" t="str">
        <f t="shared" si="520"/>
        <v>2023_1</v>
      </c>
      <c r="DO205" t="str">
        <f t="shared" si="520"/>
        <v>2023_1</v>
      </c>
      <c r="DP205" t="str">
        <f t="shared" si="520"/>
        <v>2023_1</v>
      </c>
      <c r="DQ205" t="str">
        <f t="shared" si="520"/>
        <v>2023_1</v>
      </c>
      <c r="DR205" t="str">
        <f t="shared" si="520"/>
        <v>2023_1</v>
      </c>
      <c r="DS205" t="str">
        <f t="shared" si="520"/>
        <v>2023_1</v>
      </c>
      <c r="DT205" t="str">
        <f t="shared" si="520"/>
        <v>2023_1</v>
      </c>
      <c r="DU205" t="str">
        <f t="shared" si="520"/>
        <v>2023_1</v>
      </c>
      <c r="DV205" t="str">
        <f t="shared" si="469"/>
        <v>2023_1</v>
      </c>
      <c r="DW205" t="str">
        <f t="shared" si="469"/>
        <v>2023_1</v>
      </c>
      <c r="DX205" t="str">
        <f t="shared" si="469"/>
        <v>2023_1</v>
      </c>
      <c r="DY205" t="str">
        <f t="shared" si="469"/>
        <v>2023_1</v>
      </c>
      <c r="DZ205" t="str">
        <f t="shared" si="469"/>
        <v>2023_1</v>
      </c>
      <c r="EA205" t="str">
        <f t="shared" si="469"/>
        <v>2023_1</v>
      </c>
      <c r="EB205" t="str">
        <f t="shared" si="469"/>
        <v>2023_1</v>
      </c>
      <c r="EC205" t="str">
        <f t="shared" si="469"/>
        <v>2023_1</v>
      </c>
      <c r="ED205" t="str">
        <f t="shared" si="469"/>
        <v>2023_1</v>
      </c>
      <c r="EE205" t="str">
        <f t="shared" si="469"/>
        <v>2023_1</v>
      </c>
      <c r="EF205" t="str">
        <f t="shared" si="469"/>
        <v>2023_1</v>
      </c>
      <c r="EG205" t="str">
        <f t="shared" si="469"/>
        <v>2023_1</v>
      </c>
      <c r="EH205" t="str">
        <f t="shared" si="469"/>
        <v>2023_1</v>
      </c>
      <c r="EI205" t="str">
        <f t="shared" si="469"/>
        <v>2023_1</v>
      </c>
      <c r="EJ205" t="str">
        <f t="shared" si="469"/>
        <v>2023_1</v>
      </c>
      <c r="EK205" t="str">
        <f t="shared" si="469"/>
        <v>2023_1</v>
      </c>
      <c r="EL205" t="str">
        <f t="shared" si="470"/>
        <v>2023_1</v>
      </c>
      <c r="EM205" t="str">
        <f t="shared" si="424"/>
        <v>2023_1</v>
      </c>
      <c r="EN205" t="str">
        <f t="shared" si="424"/>
        <v>2023_1</v>
      </c>
      <c r="EO205" t="str">
        <f t="shared" si="424"/>
        <v>2023_1</v>
      </c>
      <c r="EP205" t="str">
        <f t="shared" si="424"/>
        <v>2023_1</v>
      </c>
      <c r="EQ205" t="str">
        <f t="shared" si="424"/>
        <v>2023_1</v>
      </c>
      <c r="ER205" t="str">
        <f t="shared" si="424"/>
        <v>2023_1</v>
      </c>
      <c r="ES205" t="str">
        <f t="shared" si="424"/>
        <v>2023_1</v>
      </c>
      <c r="ET205" t="str">
        <f t="shared" si="424"/>
        <v>2023_1</v>
      </c>
      <c r="EU205" t="str">
        <f t="shared" si="424"/>
        <v>2023_1</v>
      </c>
      <c r="EV205" t="str">
        <f t="shared" si="424"/>
        <v>2023_1</v>
      </c>
      <c r="EW205" t="str">
        <f t="shared" si="424"/>
        <v>2023_1</v>
      </c>
      <c r="EX205" t="str">
        <f t="shared" si="424"/>
        <v>2023_1</v>
      </c>
      <c r="EY205" t="str">
        <f t="shared" si="424"/>
        <v>2023_1</v>
      </c>
      <c r="FB205" s="10" t="s">
        <v>37</v>
      </c>
      <c r="FC205">
        <f t="shared" si="521"/>
        <v>0</v>
      </c>
      <c r="FD205">
        <f t="shared" si="471"/>
        <v>0</v>
      </c>
      <c r="FE205">
        <f t="shared" si="472"/>
        <v>0</v>
      </c>
      <c r="FF205">
        <f t="shared" si="473"/>
        <v>0</v>
      </c>
      <c r="FG205">
        <f t="shared" si="474"/>
        <v>0</v>
      </c>
      <c r="FH205">
        <f t="shared" si="475"/>
        <v>0</v>
      </c>
      <c r="FI205">
        <f t="shared" si="476"/>
        <v>0</v>
      </c>
      <c r="FJ205">
        <f t="shared" si="477"/>
        <v>0</v>
      </c>
      <c r="FK205">
        <f t="shared" si="478"/>
        <v>0</v>
      </c>
      <c r="FL205">
        <f t="shared" si="479"/>
        <v>0</v>
      </c>
      <c r="FM205">
        <f t="shared" si="480"/>
        <v>0</v>
      </c>
      <c r="FN205">
        <f t="shared" si="481"/>
        <v>0</v>
      </c>
      <c r="FO205">
        <f t="shared" si="482"/>
        <v>0</v>
      </c>
      <c r="FP205">
        <f t="shared" si="483"/>
        <v>0</v>
      </c>
      <c r="FQ205">
        <f t="shared" si="484"/>
        <v>0</v>
      </c>
      <c r="FR205">
        <f t="shared" si="485"/>
        <v>0</v>
      </c>
      <c r="FS205">
        <f t="shared" si="486"/>
        <v>0</v>
      </c>
      <c r="FT205">
        <f t="shared" si="487"/>
        <v>0</v>
      </c>
      <c r="FU205">
        <f t="shared" si="488"/>
        <v>0</v>
      </c>
      <c r="FV205">
        <f t="shared" si="489"/>
        <v>0</v>
      </c>
      <c r="FW205">
        <f t="shared" si="490"/>
        <v>0</v>
      </c>
      <c r="FX205">
        <f t="shared" si="491"/>
        <v>0</v>
      </c>
      <c r="FY205">
        <f t="shared" si="492"/>
        <v>0</v>
      </c>
      <c r="FZ205">
        <f t="shared" si="493"/>
        <v>0</v>
      </c>
      <c r="GA205">
        <f t="shared" si="494"/>
        <v>0</v>
      </c>
      <c r="GB205">
        <f t="shared" si="495"/>
        <v>0</v>
      </c>
      <c r="GC205">
        <f t="shared" si="496"/>
        <v>0</v>
      </c>
      <c r="GD205">
        <f t="shared" si="497"/>
        <v>0</v>
      </c>
      <c r="GE205">
        <f t="shared" si="498"/>
        <v>0</v>
      </c>
      <c r="GF205">
        <f t="shared" si="499"/>
        <v>0</v>
      </c>
      <c r="GG205">
        <f t="shared" si="500"/>
        <v>0</v>
      </c>
      <c r="GH205">
        <f t="shared" si="501"/>
        <v>0</v>
      </c>
      <c r="GI205">
        <f t="shared" si="502"/>
        <v>0</v>
      </c>
      <c r="GJ205">
        <f t="shared" si="503"/>
        <v>1</v>
      </c>
      <c r="GK205">
        <f t="shared" si="504"/>
        <v>1</v>
      </c>
      <c r="GL205">
        <f t="shared" si="505"/>
        <v>1</v>
      </c>
      <c r="GM205">
        <f t="shared" si="506"/>
        <v>1</v>
      </c>
      <c r="GN205">
        <f t="shared" si="507"/>
        <v>1</v>
      </c>
      <c r="GO205">
        <f t="shared" si="508"/>
        <v>1</v>
      </c>
      <c r="GP205">
        <f t="shared" si="509"/>
        <v>1</v>
      </c>
      <c r="GQ205">
        <f t="shared" si="510"/>
        <v>1</v>
      </c>
      <c r="GR205">
        <f t="shared" si="511"/>
        <v>1</v>
      </c>
      <c r="GS205">
        <f t="shared" si="512"/>
        <v>1</v>
      </c>
      <c r="GT205">
        <f t="shared" si="513"/>
        <v>1</v>
      </c>
      <c r="GU205">
        <f t="shared" si="514"/>
        <v>1</v>
      </c>
      <c r="GX205" s="10"/>
    </row>
    <row r="206" spans="1:206" x14ac:dyDescent="0.3">
      <c r="A206" s="9" t="s">
        <v>33</v>
      </c>
      <c r="B206" s="80"/>
      <c r="C206" s="9">
        <v>3031734008</v>
      </c>
      <c r="D206" s="9" t="s">
        <v>349</v>
      </c>
      <c r="E206" s="9" t="s">
        <v>39</v>
      </c>
      <c r="F206" s="9" t="s">
        <v>35</v>
      </c>
      <c r="G206" s="9" t="s">
        <v>230</v>
      </c>
      <c r="H206" s="10">
        <v>44950</v>
      </c>
      <c r="I206" s="9">
        <f t="shared" si="515"/>
        <v>2023</v>
      </c>
      <c r="J206" s="9">
        <f t="shared" si="516"/>
        <v>1</v>
      </c>
      <c r="K206" s="9" t="str">
        <f t="shared" si="517"/>
        <v>2023_1</v>
      </c>
      <c r="L206">
        <f>MAX(0,VLOOKUP($K206,lookups!$A$1:$B$45,2,0)-12)</f>
        <v>21</v>
      </c>
      <c r="M206" s="40">
        <f t="shared" si="518"/>
        <v>44927</v>
      </c>
      <c r="N206" s="10" t="s">
        <v>37</v>
      </c>
      <c r="O206" t="str">
        <f ca="1">IF(OR($L206&gt;O$4,O$4&gt;$L206+23),"",OFFSET(Electric!$L197,0,-'Electric Calendarize'!$L206+'Electric Calendarize'!O$4+1))</f>
        <v/>
      </c>
      <c r="P206" t="str">
        <f ca="1">IF(OR($L206&gt;P$4,P$4&gt;$L206+23),"",OFFSET(Electric!$L197,0,-'Electric Calendarize'!$L206+'Electric Calendarize'!P$4+1))</f>
        <v/>
      </c>
      <c r="Q206" t="str">
        <f ca="1">IF(OR($L206&gt;Q$4,Q$4&gt;$L206+23),"",OFFSET(Electric!$L197,0,-'Electric Calendarize'!$L206+'Electric Calendarize'!Q$4+1))</f>
        <v/>
      </c>
      <c r="R206" t="str">
        <f ca="1">IF(OR($L206&gt;R$4,R$4&gt;$L206+23),"",OFFSET(Electric!$L197,0,-'Electric Calendarize'!$L206+'Electric Calendarize'!R$4+1))</f>
        <v/>
      </c>
      <c r="S206" t="str">
        <f ca="1">IF(OR($L206&gt;S$4,S$4&gt;$L206+23),"",OFFSET(Electric!$L197,0,-'Electric Calendarize'!$L206+'Electric Calendarize'!S$4+1))</f>
        <v/>
      </c>
      <c r="T206" t="str">
        <f ca="1">IF(OR($L206&gt;T$4,T$4&gt;$L206+23),"",OFFSET(Electric!$L197,0,-'Electric Calendarize'!$L206+'Electric Calendarize'!T$4+1))</f>
        <v/>
      </c>
      <c r="U206" t="str">
        <f ca="1">IF(OR($L206&gt;U$4,U$4&gt;$L206+23),"",OFFSET(Electric!$L197,0,-'Electric Calendarize'!$L206+'Electric Calendarize'!U$4+1))</f>
        <v/>
      </c>
      <c r="V206" t="str">
        <f ca="1">IF(OR($L206&gt;V$4,V$4&gt;$L206+23),"",OFFSET(Electric!$L197,0,-'Electric Calendarize'!$L206+'Electric Calendarize'!V$4+1))</f>
        <v/>
      </c>
      <c r="W206" t="str">
        <f ca="1">IF(OR($L206&gt;W$4,W$4&gt;$L206+23),"",OFFSET(Electric!$L197,0,-'Electric Calendarize'!$L206+'Electric Calendarize'!W$4+1))</f>
        <v/>
      </c>
      <c r="X206" t="str">
        <f ca="1">IF(OR($L206&gt;X$4,X$4&gt;$L206+23),"",OFFSET(Electric!$L197,0,-'Electric Calendarize'!$L206+'Electric Calendarize'!X$4+1))</f>
        <v/>
      </c>
      <c r="Y206" t="str">
        <f ca="1">IF(OR($L206&gt;Y$4,Y$4&gt;$L206+23),"",OFFSET(Electric!$L197,0,-'Electric Calendarize'!$L206+'Electric Calendarize'!Y$4+1))</f>
        <v/>
      </c>
      <c r="Z206" t="str">
        <f ca="1">IF(OR($L206&gt;Z$4,Z$4&gt;$L206+23),"",OFFSET(Electric!$L197,0,-'Electric Calendarize'!$L206+'Electric Calendarize'!Z$4+1))</f>
        <v/>
      </c>
      <c r="AA206" t="str">
        <f ca="1">IF(OR($L206&gt;AA$4,AA$4&gt;$L206+23),"",OFFSET(Electric!$L197,0,-'Electric Calendarize'!$L206+'Electric Calendarize'!AA$4+1))</f>
        <v/>
      </c>
      <c r="AB206" t="str">
        <f ca="1">IF(OR($L206&gt;AB$4,AB$4&gt;$L206+23),"",OFFSET(Electric!$L197,0,-'Electric Calendarize'!$L206+'Electric Calendarize'!AB$4+1))</f>
        <v/>
      </c>
      <c r="AC206" t="str">
        <f ca="1">IF(OR($L206&gt;AC$4,AC$4&gt;$L206+23),"",OFFSET(Electric!$L197,0,-'Electric Calendarize'!$L206+'Electric Calendarize'!AC$4+1))</f>
        <v/>
      </c>
      <c r="AD206" t="str">
        <f ca="1">IF(OR($L206&gt;AD$4,AD$4&gt;$L206+23),"",OFFSET(Electric!$L197,0,-'Electric Calendarize'!$L206+'Electric Calendarize'!AD$4+1))</f>
        <v/>
      </c>
      <c r="AE206" t="str">
        <f ca="1">IF(OR($L206&gt;AE$4,AE$4&gt;$L206+23),"",OFFSET(Electric!$L197,0,-'Electric Calendarize'!$L206+'Electric Calendarize'!AE$4+1))</f>
        <v/>
      </c>
      <c r="AF206" t="str">
        <f ca="1">IF(OR($L206&gt;AF$4,AF$4&gt;$L206+23),"",OFFSET(Electric!$L197,0,-'Electric Calendarize'!$L206+'Electric Calendarize'!AF$4+1))</f>
        <v/>
      </c>
      <c r="AG206" t="str">
        <f ca="1">IF(OR($L206&gt;AG$4,AG$4&gt;$L206+23),"",OFFSET(Electric!$L197,0,-'Electric Calendarize'!$L206+'Electric Calendarize'!AG$4+1))</f>
        <v/>
      </c>
      <c r="AH206" t="str">
        <f ca="1">IF(OR($L206&gt;AH$4,AH$4&gt;$L206+23),"",OFFSET(Electric!$L197,0,-'Electric Calendarize'!$L206+'Electric Calendarize'!AH$4+1))</f>
        <v/>
      </c>
      <c r="AI206" t="str">
        <f ca="1">IF(OR($L206&gt;AI$4,AI$4&gt;$L206+23),"",OFFSET(Electric!$L197,0,-'Electric Calendarize'!$L206+'Electric Calendarize'!AI$4+1))</f>
        <v/>
      </c>
      <c r="AJ206">
        <f ca="1">IF(OR($L206&gt;AJ$4,AJ$4&gt;$L206+23),"",OFFSET(Electric!$L197,0,-'Electric Calendarize'!$L206+'Electric Calendarize'!AJ$4+1))</f>
        <v>829</v>
      </c>
      <c r="AK206">
        <f ca="1">IF(OR($L206&gt;AK$4,AK$4&gt;$L206+23),"",OFFSET(Electric!$L197,0,-'Electric Calendarize'!$L206+'Electric Calendarize'!AK$4+1))</f>
        <v>862</v>
      </c>
      <c r="AL206">
        <f ca="1">IF(OR($L206&gt;AL$4,AL$4&gt;$L206+23),"",OFFSET(Electric!$L197,0,-'Electric Calendarize'!$L206+'Electric Calendarize'!AL$4+1))</f>
        <v>855</v>
      </c>
      <c r="AM206">
        <f ca="1">IF(OR($L206&gt;AM$4,AM$4&gt;$L206+23),"",OFFSET(Electric!$L197,0,-'Electric Calendarize'!$L206+'Electric Calendarize'!AM$4+1))</f>
        <v>761</v>
      </c>
      <c r="AN206">
        <f ca="1">IF(OR($L206&gt;AN$4,AN$4&gt;$L206+23),"",OFFSET(Electric!$L197,0,-'Electric Calendarize'!$L206+'Electric Calendarize'!AN$4+1))</f>
        <v>612</v>
      </c>
      <c r="AO206">
        <f ca="1">IF(OR($L206&gt;AO$4,AO$4&gt;$L206+23),"",OFFSET(Electric!$L197,0,-'Electric Calendarize'!$L206+'Electric Calendarize'!AO$4+1))</f>
        <v>562</v>
      </c>
      <c r="AP206">
        <f ca="1">IF(OR($L206&gt;AP$4,AP$4&gt;$L206+23),"",OFFSET(Electric!$L197,0,-'Electric Calendarize'!$L206+'Electric Calendarize'!AP$4+1))</f>
        <v>648</v>
      </c>
      <c r="AQ206">
        <f ca="1">IF(OR($L206&gt;AQ$4,AQ$4&gt;$L206+23),"",OFFSET(Electric!$L197,0,-'Electric Calendarize'!$L206+'Electric Calendarize'!AQ$4+1))</f>
        <v>676</v>
      </c>
      <c r="AR206">
        <f ca="1">IF(OR($L206&gt;AR$4,AR$4&gt;$L206+23),"",OFFSET(Electric!$L197,0,-'Electric Calendarize'!$L206+'Electric Calendarize'!AR$4+1))</f>
        <v>766</v>
      </c>
      <c r="AS206">
        <f ca="1">IF(OR($L206&gt;AS$4,AS$4&gt;$L206+23),"",OFFSET(Electric!$L197,0,-'Electric Calendarize'!$L206+'Electric Calendarize'!AS$4+1))</f>
        <v>574</v>
      </c>
      <c r="AT206">
        <f ca="1">IF(OR($L206&gt;AT$4,AT$4&gt;$L206+23),"",OFFSET(Electric!$L197,0,-'Electric Calendarize'!$L206+'Electric Calendarize'!AT$4+1))</f>
        <v>467</v>
      </c>
      <c r="AU206">
        <f ca="1">IF(OR($L206&gt;AU$4,AU$4&gt;$L206+23),"",OFFSET(Electric!$L197,0,-'Electric Calendarize'!$L206+'Electric Calendarize'!AU$4+1))</f>
        <v>647</v>
      </c>
      <c r="AV206">
        <f ca="1">IF(OR($L206&gt;AV$4,AV$4&gt;$L206+23),"",OFFSET(Electric!$L197,0,-'Electric Calendarize'!$L206+'Electric Calendarize'!AV$4+1))</f>
        <v>900</v>
      </c>
      <c r="AW206">
        <f ca="1">IF(OR($L206&gt;AW$4,AW$4&gt;$L206+23),"",OFFSET(Electric!$L197,0,-'Electric Calendarize'!$L206+'Electric Calendarize'!AW$4+1))</f>
        <v>861</v>
      </c>
      <c r="AX206">
        <f ca="1">IF(OR($L206&gt;AX$4,AX$4&gt;$L206+23),"",OFFSET(Electric!$L197,0,-'Electric Calendarize'!$L206+'Electric Calendarize'!AX$4+1))</f>
        <v>788</v>
      </c>
      <c r="AY206">
        <f ca="1">IF(OR($L206&gt;AY$4,AY$4&gt;$L206+23),"",OFFSET(Electric!$L197,0,-'Electric Calendarize'!$L206+'Electric Calendarize'!AY$4+1))</f>
        <v>779</v>
      </c>
      <c r="AZ206">
        <f ca="1">IF(OR($L206&gt;AZ$4,AZ$4&gt;$L206+23),"",OFFSET(Electric!$L197,0,-'Electric Calendarize'!$L206+'Electric Calendarize'!AZ$4+1))</f>
        <v>532</v>
      </c>
      <c r="BA206">
        <f ca="1">IF(OR($L206&gt;BA$4,BA$4&gt;$L206+23),"",OFFSET(Electric!$L197,0,-'Electric Calendarize'!$L206+'Electric Calendarize'!BA$4+1))</f>
        <v>589</v>
      </c>
      <c r="BB206">
        <f ca="1">IF(OR($L206&gt;BB$4,BB$4&gt;$L206+23),"",OFFSET(Electric!$L197,0,-'Electric Calendarize'!$L206+'Electric Calendarize'!BB$4+1))</f>
        <v>890</v>
      </c>
      <c r="BC206">
        <f ca="1">IF(OR($L206&gt;BC$4,BC$4&gt;$L206+23),"",OFFSET(Electric!$L197,0,-'Electric Calendarize'!$L206+'Electric Calendarize'!BC$4+1))</f>
        <v>807</v>
      </c>
      <c r="BD206">
        <f ca="1">IF(OR($L206&gt;BD$4,BD$4&gt;$L206+23),"",OFFSET(Electric!$L197,0,-'Electric Calendarize'!$L206+'Electric Calendarize'!BD$4+1))</f>
        <v>753</v>
      </c>
      <c r="BE206">
        <f ca="1">IF(OR($L206&gt;BE$4,BE$4&gt;$L206+23),"",OFFSET(Electric!$L197,0,-'Electric Calendarize'!$L206+'Electric Calendarize'!BE$4+1))</f>
        <v>724</v>
      </c>
      <c r="BF206">
        <f ca="1">IF(OR($L206&gt;BF$4,BF$4&gt;$L206+23),"",OFFSET(Electric!$L197,0,-'Electric Calendarize'!$L206+'Electric Calendarize'!BF$4+1))</f>
        <v>542</v>
      </c>
      <c r="BG206">
        <f ca="1">IF(OR($L206&gt;BG$4,BG$4&gt;$L206+23),"",OFFSET(Electric!$L197,0,-'Electric Calendarize'!$L206+'Electric Calendarize'!BG$4+1))</f>
        <v>746</v>
      </c>
      <c r="BJ206" s="10" t="s">
        <v>37</v>
      </c>
      <c r="BK206">
        <f t="shared" si="519"/>
        <v>1</v>
      </c>
      <c r="BL206">
        <f t="shared" si="425"/>
        <v>0</v>
      </c>
      <c r="BM206">
        <f t="shared" si="426"/>
        <v>0</v>
      </c>
      <c r="BN206">
        <f t="shared" si="427"/>
        <v>0</v>
      </c>
      <c r="BO206">
        <f t="shared" si="428"/>
        <v>0</v>
      </c>
      <c r="BP206">
        <f t="shared" si="429"/>
        <v>0</v>
      </c>
      <c r="BQ206">
        <f t="shared" si="430"/>
        <v>0</v>
      </c>
      <c r="BR206">
        <f t="shared" si="431"/>
        <v>1</v>
      </c>
      <c r="BS206">
        <f t="shared" si="432"/>
        <v>1</v>
      </c>
      <c r="BT206">
        <f t="shared" si="433"/>
        <v>1</v>
      </c>
      <c r="BU206">
        <f t="shared" si="434"/>
        <v>1</v>
      </c>
      <c r="BV206">
        <f t="shared" si="435"/>
        <v>1</v>
      </c>
      <c r="BW206">
        <f t="shared" si="436"/>
        <v>1</v>
      </c>
      <c r="BX206">
        <f t="shared" si="437"/>
        <v>0</v>
      </c>
      <c r="BY206">
        <f t="shared" si="438"/>
        <v>0</v>
      </c>
      <c r="BZ206">
        <f t="shared" si="439"/>
        <v>0</v>
      </c>
      <c r="CA206">
        <f t="shared" si="440"/>
        <v>0</v>
      </c>
      <c r="CB206">
        <f t="shared" si="441"/>
        <v>0</v>
      </c>
      <c r="CC206">
        <f t="shared" si="442"/>
        <v>0</v>
      </c>
      <c r="CD206">
        <f t="shared" si="443"/>
        <v>1</v>
      </c>
      <c r="CE206">
        <f t="shared" si="444"/>
        <v>1</v>
      </c>
      <c r="CF206">
        <f t="shared" si="445"/>
        <v>1</v>
      </c>
      <c r="CG206">
        <f t="shared" si="446"/>
        <v>1</v>
      </c>
      <c r="CH206">
        <f t="shared" si="447"/>
        <v>1</v>
      </c>
      <c r="CI206">
        <f t="shared" si="448"/>
        <v>1</v>
      </c>
      <c r="CJ206">
        <f t="shared" si="449"/>
        <v>0</v>
      </c>
      <c r="CK206">
        <f t="shared" si="450"/>
        <v>0</v>
      </c>
      <c r="CL206">
        <f t="shared" si="451"/>
        <v>0</v>
      </c>
      <c r="CM206">
        <f t="shared" si="452"/>
        <v>0</v>
      </c>
      <c r="CN206">
        <f t="shared" si="453"/>
        <v>0</v>
      </c>
      <c r="CO206">
        <f t="shared" si="454"/>
        <v>0</v>
      </c>
      <c r="CP206">
        <f t="shared" si="455"/>
        <v>1</v>
      </c>
      <c r="CQ206">
        <f t="shared" si="456"/>
        <v>1</v>
      </c>
      <c r="CR206">
        <f t="shared" si="457"/>
        <v>1</v>
      </c>
      <c r="CS206">
        <f t="shared" si="458"/>
        <v>1</v>
      </c>
      <c r="CT206">
        <f t="shared" si="459"/>
        <v>1</v>
      </c>
      <c r="CU206">
        <f t="shared" si="460"/>
        <v>1</v>
      </c>
      <c r="CV206">
        <f t="shared" si="461"/>
        <v>0</v>
      </c>
      <c r="CW206">
        <f t="shared" si="462"/>
        <v>0</v>
      </c>
      <c r="CX206">
        <f t="shared" si="463"/>
        <v>0</v>
      </c>
      <c r="CY206">
        <f t="shared" si="464"/>
        <v>0</v>
      </c>
      <c r="CZ206">
        <f t="shared" si="465"/>
        <v>0</v>
      </c>
      <c r="DA206">
        <f t="shared" si="466"/>
        <v>0</v>
      </c>
      <c r="DB206">
        <f t="shared" si="467"/>
        <v>1</v>
      </c>
      <c r="DC206">
        <f t="shared" si="468"/>
        <v>1</v>
      </c>
      <c r="DF206" s="10" t="s">
        <v>37</v>
      </c>
      <c r="DG206" t="str">
        <f t="shared" si="520"/>
        <v>2023_1</v>
      </c>
      <c r="DH206" t="str">
        <f t="shared" si="520"/>
        <v>2023_1</v>
      </c>
      <c r="DI206" t="str">
        <f t="shared" si="520"/>
        <v>2023_1</v>
      </c>
      <c r="DJ206" t="str">
        <f t="shared" si="520"/>
        <v>2023_1</v>
      </c>
      <c r="DK206" t="str">
        <f t="shared" si="520"/>
        <v>2023_1</v>
      </c>
      <c r="DL206" t="str">
        <f t="shared" si="520"/>
        <v>2023_1</v>
      </c>
      <c r="DM206" t="str">
        <f t="shared" si="520"/>
        <v>2023_1</v>
      </c>
      <c r="DN206" t="str">
        <f t="shared" si="520"/>
        <v>2023_1</v>
      </c>
      <c r="DO206" t="str">
        <f t="shared" si="520"/>
        <v>2023_1</v>
      </c>
      <c r="DP206" t="str">
        <f t="shared" si="520"/>
        <v>2023_1</v>
      </c>
      <c r="DQ206" t="str">
        <f t="shared" si="520"/>
        <v>2023_1</v>
      </c>
      <c r="DR206" t="str">
        <f t="shared" si="520"/>
        <v>2023_1</v>
      </c>
      <c r="DS206" t="str">
        <f t="shared" si="520"/>
        <v>2023_1</v>
      </c>
      <c r="DT206" t="str">
        <f t="shared" si="520"/>
        <v>2023_1</v>
      </c>
      <c r="DU206" t="str">
        <f t="shared" si="520"/>
        <v>2023_1</v>
      </c>
      <c r="DV206" t="str">
        <f t="shared" si="469"/>
        <v>2023_1</v>
      </c>
      <c r="DW206" t="str">
        <f t="shared" si="469"/>
        <v>2023_1</v>
      </c>
      <c r="DX206" t="str">
        <f t="shared" si="469"/>
        <v>2023_1</v>
      </c>
      <c r="DY206" t="str">
        <f t="shared" si="469"/>
        <v>2023_1</v>
      </c>
      <c r="DZ206" t="str">
        <f t="shared" si="469"/>
        <v>2023_1</v>
      </c>
      <c r="EA206" t="str">
        <f t="shared" si="469"/>
        <v>2023_1</v>
      </c>
      <c r="EB206" t="str">
        <f t="shared" si="469"/>
        <v>2023_1</v>
      </c>
      <c r="EC206" t="str">
        <f t="shared" si="469"/>
        <v>2023_1</v>
      </c>
      <c r="ED206" t="str">
        <f t="shared" si="469"/>
        <v>2023_1</v>
      </c>
      <c r="EE206" t="str">
        <f t="shared" si="469"/>
        <v>2023_1</v>
      </c>
      <c r="EF206" t="str">
        <f t="shared" si="469"/>
        <v>2023_1</v>
      </c>
      <c r="EG206" t="str">
        <f t="shared" si="469"/>
        <v>2023_1</v>
      </c>
      <c r="EH206" t="str">
        <f t="shared" si="469"/>
        <v>2023_1</v>
      </c>
      <c r="EI206" t="str">
        <f t="shared" si="469"/>
        <v>2023_1</v>
      </c>
      <c r="EJ206" t="str">
        <f t="shared" si="469"/>
        <v>2023_1</v>
      </c>
      <c r="EK206" t="str">
        <f t="shared" si="469"/>
        <v>2023_1</v>
      </c>
      <c r="EL206" t="str">
        <f t="shared" si="470"/>
        <v>2023_1</v>
      </c>
      <c r="EM206" t="str">
        <f t="shared" si="424"/>
        <v>2023_1</v>
      </c>
      <c r="EN206" t="str">
        <f t="shared" si="424"/>
        <v>2023_1</v>
      </c>
      <c r="EO206" t="str">
        <f t="shared" si="424"/>
        <v>2023_1</v>
      </c>
      <c r="EP206" t="str">
        <f t="shared" si="424"/>
        <v>2023_1</v>
      </c>
      <c r="EQ206" t="str">
        <f t="shared" si="424"/>
        <v>2023_1</v>
      </c>
      <c r="ER206" t="str">
        <f t="shared" si="424"/>
        <v>2023_1</v>
      </c>
      <c r="ES206" t="str">
        <f t="shared" si="424"/>
        <v>2023_1</v>
      </c>
      <c r="ET206" t="str">
        <f t="shared" si="424"/>
        <v>2023_1</v>
      </c>
      <c r="EU206" t="str">
        <f t="shared" si="424"/>
        <v>2023_1</v>
      </c>
      <c r="EV206" t="str">
        <f t="shared" si="424"/>
        <v>2023_1</v>
      </c>
      <c r="EW206" t="str">
        <f t="shared" si="424"/>
        <v>2023_1</v>
      </c>
      <c r="EX206" t="str">
        <f t="shared" si="424"/>
        <v>2023_1</v>
      </c>
      <c r="EY206" t="str">
        <f t="shared" si="424"/>
        <v>2023_1</v>
      </c>
      <c r="FB206" s="10" t="s">
        <v>37</v>
      </c>
      <c r="FC206">
        <f t="shared" si="521"/>
        <v>0</v>
      </c>
      <c r="FD206">
        <f t="shared" si="471"/>
        <v>0</v>
      </c>
      <c r="FE206">
        <f t="shared" si="472"/>
        <v>0</v>
      </c>
      <c r="FF206">
        <f t="shared" si="473"/>
        <v>0</v>
      </c>
      <c r="FG206">
        <f t="shared" si="474"/>
        <v>0</v>
      </c>
      <c r="FH206">
        <f t="shared" si="475"/>
        <v>0</v>
      </c>
      <c r="FI206">
        <f t="shared" si="476"/>
        <v>0</v>
      </c>
      <c r="FJ206">
        <f t="shared" si="477"/>
        <v>0</v>
      </c>
      <c r="FK206">
        <f t="shared" si="478"/>
        <v>0</v>
      </c>
      <c r="FL206">
        <f t="shared" si="479"/>
        <v>0</v>
      </c>
      <c r="FM206">
        <f t="shared" si="480"/>
        <v>0</v>
      </c>
      <c r="FN206">
        <f t="shared" si="481"/>
        <v>0</v>
      </c>
      <c r="FO206">
        <f t="shared" si="482"/>
        <v>0</v>
      </c>
      <c r="FP206">
        <f t="shared" si="483"/>
        <v>0</v>
      </c>
      <c r="FQ206">
        <f t="shared" si="484"/>
        <v>0</v>
      </c>
      <c r="FR206">
        <f t="shared" si="485"/>
        <v>0</v>
      </c>
      <c r="FS206">
        <f t="shared" si="486"/>
        <v>0</v>
      </c>
      <c r="FT206">
        <f t="shared" si="487"/>
        <v>0</v>
      </c>
      <c r="FU206">
        <f t="shared" si="488"/>
        <v>0</v>
      </c>
      <c r="FV206">
        <f t="shared" si="489"/>
        <v>0</v>
      </c>
      <c r="FW206">
        <f t="shared" si="490"/>
        <v>0</v>
      </c>
      <c r="FX206">
        <f t="shared" si="491"/>
        <v>0</v>
      </c>
      <c r="FY206">
        <f t="shared" si="492"/>
        <v>0</v>
      </c>
      <c r="FZ206">
        <f t="shared" si="493"/>
        <v>0</v>
      </c>
      <c r="GA206">
        <f t="shared" si="494"/>
        <v>0</v>
      </c>
      <c r="GB206">
        <f t="shared" si="495"/>
        <v>0</v>
      </c>
      <c r="GC206">
        <f t="shared" si="496"/>
        <v>0</v>
      </c>
      <c r="GD206">
        <f t="shared" si="497"/>
        <v>0</v>
      </c>
      <c r="GE206">
        <f t="shared" si="498"/>
        <v>0</v>
      </c>
      <c r="GF206">
        <f t="shared" si="499"/>
        <v>0</v>
      </c>
      <c r="GG206">
        <f t="shared" si="500"/>
        <v>0</v>
      </c>
      <c r="GH206">
        <f t="shared" si="501"/>
        <v>0</v>
      </c>
      <c r="GI206">
        <f t="shared" si="502"/>
        <v>0</v>
      </c>
      <c r="GJ206">
        <f t="shared" si="503"/>
        <v>1</v>
      </c>
      <c r="GK206">
        <f t="shared" si="504"/>
        <v>1</v>
      </c>
      <c r="GL206">
        <f t="shared" si="505"/>
        <v>1</v>
      </c>
      <c r="GM206">
        <f t="shared" si="506"/>
        <v>1</v>
      </c>
      <c r="GN206">
        <f t="shared" si="507"/>
        <v>1</v>
      </c>
      <c r="GO206">
        <f t="shared" si="508"/>
        <v>1</v>
      </c>
      <c r="GP206">
        <f t="shared" si="509"/>
        <v>1</v>
      </c>
      <c r="GQ206">
        <f t="shared" si="510"/>
        <v>1</v>
      </c>
      <c r="GR206">
        <f t="shared" si="511"/>
        <v>1</v>
      </c>
      <c r="GS206">
        <f t="shared" si="512"/>
        <v>1</v>
      </c>
      <c r="GT206">
        <f t="shared" si="513"/>
        <v>1</v>
      </c>
      <c r="GU206">
        <f t="shared" si="514"/>
        <v>1</v>
      </c>
      <c r="GX206" s="10"/>
    </row>
    <row r="207" spans="1:206" x14ac:dyDescent="0.3">
      <c r="A207" s="32" t="s">
        <v>33</v>
      </c>
      <c r="B207" s="80"/>
      <c r="C207" s="9">
        <v>3074120000</v>
      </c>
      <c r="D207" s="9" t="s">
        <v>460</v>
      </c>
      <c r="E207" s="9" t="s">
        <v>34</v>
      </c>
      <c r="F207" s="9" t="s">
        <v>35</v>
      </c>
      <c r="G207" s="9" t="s">
        <v>86</v>
      </c>
      <c r="H207" s="10">
        <v>44950</v>
      </c>
      <c r="I207" s="9">
        <f t="shared" si="515"/>
        <v>2023</v>
      </c>
      <c r="J207" s="9">
        <f t="shared" si="516"/>
        <v>1</v>
      </c>
      <c r="K207" s="9" t="str">
        <f t="shared" si="517"/>
        <v>2023_1</v>
      </c>
      <c r="L207">
        <f>MAX(0,VLOOKUP($K207,lookups!$A$1:$B$45,2,0)-12)</f>
        <v>21</v>
      </c>
      <c r="M207" s="40">
        <f t="shared" si="518"/>
        <v>44927</v>
      </c>
      <c r="N207" s="10" t="s">
        <v>37</v>
      </c>
      <c r="O207" t="str">
        <f ca="1">IF(OR($L207&gt;O$4,O$4&gt;$L207+23),"",OFFSET(Electric!$L198,0,-'Electric Calendarize'!$L207+'Electric Calendarize'!O$4+1))</f>
        <v/>
      </c>
      <c r="P207" t="str">
        <f ca="1">IF(OR($L207&gt;P$4,P$4&gt;$L207+23),"",OFFSET(Electric!$L198,0,-'Electric Calendarize'!$L207+'Electric Calendarize'!P$4+1))</f>
        <v/>
      </c>
      <c r="Q207" t="str">
        <f ca="1">IF(OR($L207&gt;Q$4,Q$4&gt;$L207+23),"",OFFSET(Electric!$L198,0,-'Electric Calendarize'!$L207+'Electric Calendarize'!Q$4+1))</f>
        <v/>
      </c>
      <c r="R207" t="str">
        <f ca="1">IF(OR($L207&gt;R$4,R$4&gt;$L207+23),"",OFFSET(Electric!$L198,0,-'Electric Calendarize'!$L207+'Electric Calendarize'!R$4+1))</f>
        <v/>
      </c>
      <c r="S207" t="str">
        <f ca="1">IF(OR($L207&gt;S$4,S$4&gt;$L207+23),"",OFFSET(Electric!$L198,0,-'Electric Calendarize'!$L207+'Electric Calendarize'!S$4+1))</f>
        <v/>
      </c>
      <c r="T207" t="str">
        <f ca="1">IF(OR($L207&gt;T$4,T$4&gt;$L207+23),"",OFFSET(Electric!$L198,0,-'Electric Calendarize'!$L207+'Electric Calendarize'!T$4+1))</f>
        <v/>
      </c>
      <c r="U207" t="str">
        <f ca="1">IF(OR($L207&gt;U$4,U$4&gt;$L207+23),"",OFFSET(Electric!$L198,0,-'Electric Calendarize'!$L207+'Electric Calendarize'!U$4+1))</f>
        <v/>
      </c>
      <c r="V207" t="str">
        <f ca="1">IF(OR($L207&gt;V$4,V$4&gt;$L207+23),"",OFFSET(Electric!$L198,0,-'Electric Calendarize'!$L207+'Electric Calendarize'!V$4+1))</f>
        <v/>
      </c>
      <c r="W207" t="str">
        <f ca="1">IF(OR($L207&gt;W$4,W$4&gt;$L207+23),"",OFFSET(Electric!$L198,0,-'Electric Calendarize'!$L207+'Electric Calendarize'!W$4+1))</f>
        <v/>
      </c>
      <c r="X207" t="str">
        <f ca="1">IF(OR($L207&gt;X$4,X$4&gt;$L207+23),"",OFFSET(Electric!$L198,0,-'Electric Calendarize'!$L207+'Electric Calendarize'!X$4+1))</f>
        <v/>
      </c>
      <c r="Y207" t="str">
        <f ca="1">IF(OR($L207&gt;Y$4,Y$4&gt;$L207+23),"",OFFSET(Electric!$L198,0,-'Electric Calendarize'!$L207+'Electric Calendarize'!Y$4+1))</f>
        <v/>
      </c>
      <c r="Z207" t="str">
        <f ca="1">IF(OR($L207&gt;Z$4,Z$4&gt;$L207+23),"",OFFSET(Electric!$L198,0,-'Electric Calendarize'!$L207+'Electric Calendarize'!Z$4+1))</f>
        <v/>
      </c>
      <c r="AA207" t="str">
        <f ca="1">IF(OR($L207&gt;AA$4,AA$4&gt;$L207+23),"",OFFSET(Electric!$L198,0,-'Electric Calendarize'!$L207+'Electric Calendarize'!AA$4+1))</f>
        <v/>
      </c>
      <c r="AB207" t="str">
        <f ca="1">IF(OR($L207&gt;AB$4,AB$4&gt;$L207+23),"",OFFSET(Electric!$L198,0,-'Electric Calendarize'!$L207+'Electric Calendarize'!AB$4+1))</f>
        <v/>
      </c>
      <c r="AC207" t="str">
        <f ca="1">IF(OR($L207&gt;AC$4,AC$4&gt;$L207+23),"",OFFSET(Electric!$L198,0,-'Electric Calendarize'!$L207+'Electric Calendarize'!AC$4+1))</f>
        <v/>
      </c>
      <c r="AD207" t="str">
        <f ca="1">IF(OR($L207&gt;AD$4,AD$4&gt;$L207+23),"",OFFSET(Electric!$L198,0,-'Electric Calendarize'!$L207+'Electric Calendarize'!AD$4+1))</f>
        <v/>
      </c>
      <c r="AE207" t="str">
        <f ca="1">IF(OR($L207&gt;AE$4,AE$4&gt;$L207+23),"",OFFSET(Electric!$L198,0,-'Electric Calendarize'!$L207+'Electric Calendarize'!AE$4+1))</f>
        <v/>
      </c>
      <c r="AF207" t="str">
        <f ca="1">IF(OR($L207&gt;AF$4,AF$4&gt;$L207+23),"",OFFSET(Electric!$L198,0,-'Electric Calendarize'!$L207+'Electric Calendarize'!AF$4+1))</f>
        <v/>
      </c>
      <c r="AG207" t="str">
        <f ca="1">IF(OR($L207&gt;AG$4,AG$4&gt;$L207+23),"",OFFSET(Electric!$L198,0,-'Electric Calendarize'!$L207+'Electric Calendarize'!AG$4+1))</f>
        <v/>
      </c>
      <c r="AH207" t="str">
        <f ca="1">IF(OR($L207&gt;AH$4,AH$4&gt;$L207+23),"",OFFSET(Electric!$L198,0,-'Electric Calendarize'!$L207+'Electric Calendarize'!AH$4+1))</f>
        <v/>
      </c>
      <c r="AI207" t="str">
        <f ca="1">IF(OR($L207&gt;AI$4,AI$4&gt;$L207+23),"",OFFSET(Electric!$L198,0,-'Electric Calendarize'!$L207+'Electric Calendarize'!AI$4+1))</f>
        <v/>
      </c>
      <c r="AJ207">
        <f ca="1">IF(OR($L207&gt;AJ$4,AJ$4&gt;$L207+23),"",OFFSET(Electric!$L198,0,-'Electric Calendarize'!$L207+'Electric Calendarize'!AJ$4+1))</f>
        <v>0</v>
      </c>
      <c r="AK207">
        <f ca="1">IF(OR($L207&gt;AK$4,AK$4&gt;$L207+23),"",OFFSET(Electric!$L198,0,-'Electric Calendarize'!$L207+'Electric Calendarize'!AK$4+1))</f>
        <v>0</v>
      </c>
      <c r="AL207">
        <f ca="1">IF(OR($L207&gt;AL$4,AL$4&gt;$L207+23),"",OFFSET(Electric!$L198,0,-'Electric Calendarize'!$L207+'Electric Calendarize'!AL$4+1))</f>
        <v>0</v>
      </c>
      <c r="AM207">
        <f ca="1">IF(OR($L207&gt;AM$4,AM$4&gt;$L207+23),"",OFFSET(Electric!$L198,0,-'Electric Calendarize'!$L207+'Electric Calendarize'!AM$4+1))</f>
        <v>0</v>
      </c>
      <c r="AN207">
        <f ca="1">IF(OR($L207&gt;AN$4,AN$4&gt;$L207+23),"",OFFSET(Electric!$L198,0,-'Electric Calendarize'!$L207+'Electric Calendarize'!AN$4+1))</f>
        <v>0</v>
      </c>
      <c r="AO207">
        <f ca="1">IF(OR($L207&gt;AO$4,AO$4&gt;$L207+23),"",OFFSET(Electric!$L198,0,-'Electric Calendarize'!$L207+'Electric Calendarize'!AO$4+1))</f>
        <v>0</v>
      </c>
      <c r="AP207">
        <f ca="1">IF(OR($L207&gt;AP$4,AP$4&gt;$L207+23),"",OFFSET(Electric!$L198,0,-'Electric Calendarize'!$L207+'Electric Calendarize'!AP$4+1))</f>
        <v>0</v>
      </c>
      <c r="AQ207">
        <f ca="1">IF(OR($L207&gt;AQ$4,AQ$4&gt;$L207+23),"",OFFSET(Electric!$L198,0,-'Electric Calendarize'!$L207+'Electric Calendarize'!AQ$4+1))</f>
        <v>0</v>
      </c>
      <c r="AR207">
        <f ca="1">IF(OR($L207&gt;AR$4,AR$4&gt;$L207+23),"",OFFSET(Electric!$L198,0,-'Electric Calendarize'!$L207+'Electric Calendarize'!AR$4+1))</f>
        <v>0</v>
      </c>
      <c r="AS207">
        <f ca="1">IF(OR($L207&gt;AS$4,AS$4&gt;$L207+23),"",OFFSET(Electric!$L198,0,-'Electric Calendarize'!$L207+'Electric Calendarize'!AS$4+1))</f>
        <v>0</v>
      </c>
      <c r="AT207">
        <f ca="1">IF(OR($L207&gt;AT$4,AT$4&gt;$L207+23),"",OFFSET(Electric!$L198,0,-'Electric Calendarize'!$L207+'Electric Calendarize'!AT$4+1))</f>
        <v>4</v>
      </c>
      <c r="AU207">
        <f ca="1">IF(OR($L207&gt;AU$4,AU$4&gt;$L207+23),"",OFFSET(Electric!$L198,0,-'Electric Calendarize'!$L207+'Electric Calendarize'!AU$4+1))</f>
        <v>126</v>
      </c>
      <c r="AV207">
        <f ca="1">IF(OR($L207&gt;AV$4,AV$4&gt;$L207+23),"",OFFSET(Electric!$L198,0,-'Electric Calendarize'!$L207+'Electric Calendarize'!AV$4+1))</f>
        <v>1184</v>
      </c>
      <c r="AW207">
        <f ca="1">IF(OR($L207&gt;AW$4,AW$4&gt;$L207+23),"",OFFSET(Electric!$L198,0,-'Electric Calendarize'!$L207+'Electric Calendarize'!AW$4+1))</f>
        <v>1133</v>
      </c>
      <c r="AX207">
        <f ca="1">IF(OR($L207&gt;AX$4,AX$4&gt;$L207+23),"",OFFSET(Electric!$L198,0,-'Electric Calendarize'!$L207+'Electric Calendarize'!AX$4+1))</f>
        <v>226</v>
      </c>
      <c r="AY207">
        <f ca="1">IF(OR($L207&gt;AY$4,AY$4&gt;$L207+23),"",OFFSET(Electric!$L198,0,-'Electric Calendarize'!$L207+'Electric Calendarize'!AY$4+1))</f>
        <v>122</v>
      </c>
      <c r="AZ207">
        <f ca="1">IF(OR($L207&gt;AZ$4,AZ$4&gt;$L207+23),"",OFFSET(Electric!$L198,0,-'Electric Calendarize'!$L207+'Electric Calendarize'!AZ$4+1))</f>
        <v>0</v>
      </c>
      <c r="BA207">
        <f ca="1">IF(OR($L207&gt;BA$4,BA$4&gt;$L207+23),"",OFFSET(Electric!$L198,0,-'Electric Calendarize'!$L207+'Electric Calendarize'!BA$4+1))</f>
        <v>0</v>
      </c>
      <c r="BB207">
        <f ca="1">IF(OR($L207&gt;BB$4,BB$4&gt;$L207+23),"",OFFSET(Electric!$L198,0,-'Electric Calendarize'!$L207+'Electric Calendarize'!BB$4+1))</f>
        <v>0</v>
      </c>
      <c r="BC207">
        <f ca="1">IF(OR($L207&gt;BC$4,BC$4&gt;$L207+23),"",OFFSET(Electric!$L198,0,-'Electric Calendarize'!$L207+'Electric Calendarize'!BC$4+1))</f>
        <v>0</v>
      </c>
      <c r="BD207">
        <f ca="1">IF(OR($L207&gt;BD$4,BD$4&gt;$L207+23),"",OFFSET(Electric!$L198,0,-'Electric Calendarize'!$L207+'Electric Calendarize'!BD$4+1))</f>
        <v>0</v>
      </c>
      <c r="BE207">
        <f ca="1">IF(OR($L207&gt;BE$4,BE$4&gt;$L207+23),"",OFFSET(Electric!$L198,0,-'Electric Calendarize'!$L207+'Electric Calendarize'!BE$4+1))</f>
        <v>0</v>
      </c>
      <c r="BF207">
        <f ca="1">IF(OR($L207&gt;BF$4,BF$4&gt;$L207+23),"",OFFSET(Electric!$L198,0,-'Electric Calendarize'!$L207+'Electric Calendarize'!BF$4+1))</f>
        <v>0</v>
      </c>
      <c r="BG207">
        <f ca="1">IF(OR($L207&gt;BG$4,BG$4&gt;$L207+23),"",OFFSET(Electric!$L198,0,-'Electric Calendarize'!$L207+'Electric Calendarize'!BG$4+1))</f>
        <v>0</v>
      </c>
      <c r="BJ207" s="10" t="s">
        <v>37</v>
      </c>
      <c r="BK207">
        <f t="shared" si="519"/>
        <v>1</v>
      </c>
      <c r="BL207">
        <f t="shared" si="425"/>
        <v>0</v>
      </c>
      <c r="BM207">
        <f t="shared" si="426"/>
        <v>0</v>
      </c>
      <c r="BN207">
        <f t="shared" si="427"/>
        <v>0</v>
      </c>
      <c r="BO207">
        <f t="shared" si="428"/>
        <v>0</v>
      </c>
      <c r="BP207">
        <f t="shared" si="429"/>
        <v>0</v>
      </c>
      <c r="BQ207">
        <f t="shared" si="430"/>
        <v>0</v>
      </c>
      <c r="BR207">
        <f t="shared" si="431"/>
        <v>1</v>
      </c>
      <c r="BS207">
        <f t="shared" si="432"/>
        <v>1</v>
      </c>
      <c r="BT207">
        <f t="shared" si="433"/>
        <v>1</v>
      </c>
      <c r="BU207">
        <f t="shared" si="434"/>
        <v>1</v>
      </c>
      <c r="BV207">
        <f t="shared" si="435"/>
        <v>1</v>
      </c>
      <c r="BW207">
        <f t="shared" si="436"/>
        <v>1</v>
      </c>
      <c r="BX207">
        <f t="shared" si="437"/>
        <v>0</v>
      </c>
      <c r="BY207">
        <f t="shared" si="438"/>
        <v>0</v>
      </c>
      <c r="BZ207">
        <f t="shared" si="439"/>
        <v>0</v>
      </c>
      <c r="CA207">
        <f t="shared" si="440"/>
        <v>0</v>
      </c>
      <c r="CB207">
        <f t="shared" si="441"/>
        <v>0</v>
      </c>
      <c r="CC207">
        <f t="shared" si="442"/>
        <v>0</v>
      </c>
      <c r="CD207">
        <f t="shared" si="443"/>
        <v>1</v>
      </c>
      <c r="CE207">
        <f t="shared" si="444"/>
        <v>1</v>
      </c>
      <c r="CF207">
        <f t="shared" si="445"/>
        <v>1</v>
      </c>
      <c r="CG207">
        <f t="shared" si="446"/>
        <v>1</v>
      </c>
      <c r="CH207">
        <f t="shared" si="447"/>
        <v>1</v>
      </c>
      <c r="CI207">
        <f t="shared" si="448"/>
        <v>1</v>
      </c>
      <c r="CJ207">
        <f t="shared" si="449"/>
        <v>0</v>
      </c>
      <c r="CK207">
        <f t="shared" si="450"/>
        <v>0</v>
      </c>
      <c r="CL207">
        <f t="shared" si="451"/>
        <v>0</v>
      </c>
      <c r="CM207">
        <f t="shared" si="452"/>
        <v>0</v>
      </c>
      <c r="CN207">
        <f t="shared" si="453"/>
        <v>0</v>
      </c>
      <c r="CO207">
        <f t="shared" si="454"/>
        <v>0</v>
      </c>
      <c r="CP207">
        <f t="shared" si="455"/>
        <v>1</v>
      </c>
      <c r="CQ207">
        <f t="shared" si="456"/>
        <v>1</v>
      </c>
      <c r="CR207">
        <f t="shared" si="457"/>
        <v>1</v>
      </c>
      <c r="CS207">
        <f t="shared" si="458"/>
        <v>1</v>
      </c>
      <c r="CT207">
        <f t="shared" si="459"/>
        <v>1</v>
      </c>
      <c r="CU207">
        <f t="shared" si="460"/>
        <v>1</v>
      </c>
      <c r="CV207">
        <f t="shared" si="461"/>
        <v>0</v>
      </c>
      <c r="CW207">
        <f t="shared" si="462"/>
        <v>0</v>
      </c>
      <c r="CX207">
        <f t="shared" si="463"/>
        <v>0</v>
      </c>
      <c r="CY207">
        <f t="shared" si="464"/>
        <v>0</v>
      </c>
      <c r="CZ207">
        <f t="shared" si="465"/>
        <v>0</v>
      </c>
      <c r="DA207">
        <f t="shared" si="466"/>
        <v>0</v>
      </c>
      <c r="DB207">
        <f t="shared" si="467"/>
        <v>1</v>
      </c>
      <c r="DC207">
        <f t="shared" si="468"/>
        <v>1</v>
      </c>
      <c r="DF207" s="10" t="s">
        <v>37</v>
      </c>
      <c r="DG207" t="str">
        <f t="shared" si="520"/>
        <v>2023_1</v>
      </c>
      <c r="DH207" t="str">
        <f t="shared" si="520"/>
        <v>2023_1</v>
      </c>
      <c r="DI207" t="str">
        <f t="shared" si="520"/>
        <v>2023_1</v>
      </c>
      <c r="DJ207" t="str">
        <f t="shared" si="520"/>
        <v>2023_1</v>
      </c>
      <c r="DK207" t="str">
        <f t="shared" si="520"/>
        <v>2023_1</v>
      </c>
      <c r="DL207" t="str">
        <f t="shared" si="520"/>
        <v>2023_1</v>
      </c>
      <c r="DM207" t="str">
        <f t="shared" si="520"/>
        <v>2023_1</v>
      </c>
      <c r="DN207" t="str">
        <f t="shared" si="520"/>
        <v>2023_1</v>
      </c>
      <c r="DO207" t="str">
        <f t="shared" si="520"/>
        <v>2023_1</v>
      </c>
      <c r="DP207" t="str">
        <f t="shared" si="520"/>
        <v>2023_1</v>
      </c>
      <c r="DQ207" t="str">
        <f t="shared" si="520"/>
        <v>2023_1</v>
      </c>
      <c r="DR207" t="str">
        <f t="shared" si="520"/>
        <v>2023_1</v>
      </c>
      <c r="DS207" t="str">
        <f t="shared" si="520"/>
        <v>2023_1</v>
      </c>
      <c r="DT207" t="str">
        <f t="shared" si="520"/>
        <v>2023_1</v>
      </c>
      <c r="DU207" t="str">
        <f t="shared" si="520"/>
        <v>2023_1</v>
      </c>
      <c r="DV207" t="str">
        <f t="shared" si="469"/>
        <v>2023_1</v>
      </c>
      <c r="DW207" t="str">
        <f t="shared" si="469"/>
        <v>2023_1</v>
      </c>
      <c r="DX207" t="str">
        <f t="shared" si="469"/>
        <v>2023_1</v>
      </c>
      <c r="DY207" t="str">
        <f t="shared" si="469"/>
        <v>2023_1</v>
      </c>
      <c r="DZ207" t="str">
        <f t="shared" si="469"/>
        <v>2023_1</v>
      </c>
      <c r="EA207" t="str">
        <f t="shared" si="469"/>
        <v>2023_1</v>
      </c>
      <c r="EB207" t="str">
        <f t="shared" si="469"/>
        <v>2023_1</v>
      </c>
      <c r="EC207" t="str">
        <f t="shared" si="469"/>
        <v>2023_1</v>
      </c>
      <c r="ED207" t="str">
        <f t="shared" si="469"/>
        <v>2023_1</v>
      </c>
      <c r="EE207" t="str">
        <f t="shared" si="469"/>
        <v>2023_1</v>
      </c>
      <c r="EF207" t="str">
        <f t="shared" si="469"/>
        <v>2023_1</v>
      </c>
      <c r="EG207" t="str">
        <f t="shared" si="469"/>
        <v>2023_1</v>
      </c>
      <c r="EH207" t="str">
        <f t="shared" si="469"/>
        <v>2023_1</v>
      </c>
      <c r="EI207" t="str">
        <f t="shared" si="469"/>
        <v>2023_1</v>
      </c>
      <c r="EJ207" t="str">
        <f t="shared" si="469"/>
        <v>2023_1</v>
      </c>
      <c r="EK207" t="str">
        <f t="shared" si="469"/>
        <v>2023_1</v>
      </c>
      <c r="EL207" t="str">
        <f t="shared" si="470"/>
        <v>2023_1</v>
      </c>
      <c r="EM207" t="str">
        <f t="shared" si="424"/>
        <v>2023_1</v>
      </c>
      <c r="EN207" t="str">
        <f t="shared" si="424"/>
        <v>2023_1</v>
      </c>
      <c r="EO207" t="str">
        <f t="shared" si="424"/>
        <v>2023_1</v>
      </c>
      <c r="EP207" t="str">
        <f t="shared" si="424"/>
        <v>2023_1</v>
      </c>
      <c r="EQ207" t="str">
        <f t="shared" si="424"/>
        <v>2023_1</v>
      </c>
      <c r="ER207" t="str">
        <f t="shared" si="424"/>
        <v>2023_1</v>
      </c>
      <c r="ES207" t="str">
        <f t="shared" si="424"/>
        <v>2023_1</v>
      </c>
      <c r="ET207" t="str">
        <f t="shared" si="424"/>
        <v>2023_1</v>
      </c>
      <c r="EU207" t="str">
        <f t="shared" si="424"/>
        <v>2023_1</v>
      </c>
      <c r="EV207" t="str">
        <f t="shared" si="424"/>
        <v>2023_1</v>
      </c>
      <c r="EW207" t="str">
        <f t="shared" si="424"/>
        <v>2023_1</v>
      </c>
      <c r="EX207" t="str">
        <f t="shared" si="424"/>
        <v>2023_1</v>
      </c>
      <c r="EY207" t="str">
        <f t="shared" si="424"/>
        <v>2023_1</v>
      </c>
      <c r="FB207" s="10" t="s">
        <v>37</v>
      </c>
      <c r="FC207">
        <f t="shared" si="521"/>
        <v>0</v>
      </c>
      <c r="FD207">
        <f t="shared" si="471"/>
        <v>0</v>
      </c>
      <c r="FE207">
        <f t="shared" si="472"/>
        <v>0</v>
      </c>
      <c r="FF207">
        <f t="shared" si="473"/>
        <v>0</v>
      </c>
      <c r="FG207">
        <f t="shared" si="474"/>
        <v>0</v>
      </c>
      <c r="FH207">
        <f t="shared" si="475"/>
        <v>0</v>
      </c>
      <c r="FI207">
        <f t="shared" si="476"/>
        <v>0</v>
      </c>
      <c r="FJ207">
        <f t="shared" si="477"/>
        <v>0</v>
      </c>
      <c r="FK207">
        <f t="shared" si="478"/>
        <v>0</v>
      </c>
      <c r="FL207">
        <f t="shared" si="479"/>
        <v>0</v>
      </c>
      <c r="FM207">
        <f t="shared" si="480"/>
        <v>0</v>
      </c>
      <c r="FN207">
        <f t="shared" si="481"/>
        <v>0</v>
      </c>
      <c r="FO207">
        <f t="shared" si="482"/>
        <v>0</v>
      </c>
      <c r="FP207">
        <f t="shared" si="483"/>
        <v>0</v>
      </c>
      <c r="FQ207">
        <f t="shared" si="484"/>
        <v>0</v>
      </c>
      <c r="FR207">
        <f t="shared" si="485"/>
        <v>0</v>
      </c>
      <c r="FS207">
        <f t="shared" si="486"/>
        <v>0</v>
      </c>
      <c r="FT207">
        <f t="shared" si="487"/>
        <v>0</v>
      </c>
      <c r="FU207">
        <f t="shared" si="488"/>
        <v>0</v>
      </c>
      <c r="FV207">
        <f t="shared" si="489"/>
        <v>0</v>
      </c>
      <c r="FW207">
        <f t="shared" si="490"/>
        <v>0</v>
      </c>
      <c r="FX207">
        <f t="shared" si="491"/>
        <v>0</v>
      </c>
      <c r="FY207">
        <f t="shared" si="492"/>
        <v>0</v>
      </c>
      <c r="FZ207">
        <f t="shared" si="493"/>
        <v>0</v>
      </c>
      <c r="GA207">
        <f t="shared" si="494"/>
        <v>0</v>
      </c>
      <c r="GB207">
        <f t="shared" si="495"/>
        <v>0</v>
      </c>
      <c r="GC207">
        <f t="shared" si="496"/>
        <v>0</v>
      </c>
      <c r="GD207">
        <f t="shared" si="497"/>
        <v>0</v>
      </c>
      <c r="GE207">
        <f t="shared" si="498"/>
        <v>0</v>
      </c>
      <c r="GF207">
        <f t="shared" si="499"/>
        <v>0</v>
      </c>
      <c r="GG207">
        <f t="shared" si="500"/>
        <v>0</v>
      </c>
      <c r="GH207">
        <f t="shared" si="501"/>
        <v>0</v>
      </c>
      <c r="GI207">
        <f t="shared" si="502"/>
        <v>0</v>
      </c>
      <c r="GJ207">
        <f t="shared" si="503"/>
        <v>1</v>
      </c>
      <c r="GK207">
        <f t="shared" si="504"/>
        <v>1</v>
      </c>
      <c r="GL207">
        <f t="shared" si="505"/>
        <v>1</v>
      </c>
      <c r="GM207">
        <f t="shared" si="506"/>
        <v>1</v>
      </c>
      <c r="GN207">
        <f t="shared" si="507"/>
        <v>1</v>
      </c>
      <c r="GO207">
        <f t="shared" si="508"/>
        <v>1</v>
      </c>
      <c r="GP207">
        <f t="shared" si="509"/>
        <v>1</v>
      </c>
      <c r="GQ207">
        <f t="shared" si="510"/>
        <v>1</v>
      </c>
      <c r="GR207">
        <f t="shared" si="511"/>
        <v>1</v>
      </c>
      <c r="GS207">
        <f t="shared" si="512"/>
        <v>1</v>
      </c>
      <c r="GT207">
        <f t="shared" si="513"/>
        <v>1</v>
      </c>
      <c r="GU207">
        <f t="shared" si="514"/>
        <v>1</v>
      </c>
      <c r="GX207" s="10"/>
    </row>
    <row r="208" spans="1:206" x14ac:dyDescent="0.3">
      <c r="A208" s="9" t="s">
        <v>33</v>
      </c>
      <c r="B208" s="80"/>
      <c r="C208" s="9">
        <v>3100483001</v>
      </c>
      <c r="D208" s="9" t="s">
        <v>407</v>
      </c>
      <c r="E208" s="9" t="s">
        <v>34</v>
      </c>
      <c r="F208" s="9" t="s">
        <v>35</v>
      </c>
      <c r="G208" s="9" t="s">
        <v>231</v>
      </c>
      <c r="H208" s="10">
        <v>44950</v>
      </c>
      <c r="I208" s="9">
        <f t="shared" si="515"/>
        <v>2023</v>
      </c>
      <c r="J208" s="9">
        <f t="shared" si="516"/>
        <v>1</v>
      </c>
      <c r="K208" s="9" t="str">
        <f t="shared" si="517"/>
        <v>2023_1</v>
      </c>
      <c r="L208">
        <f>MAX(0,VLOOKUP($K208,lookups!$A$1:$B$45,2,0)-12)</f>
        <v>21</v>
      </c>
      <c r="M208" s="40">
        <f t="shared" si="518"/>
        <v>44927</v>
      </c>
      <c r="N208" s="10" t="s">
        <v>37</v>
      </c>
      <c r="O208" t="str">
        <f ca="1">IF(OR($L208&gt;O$4,O$4&gt;$L208+23),"",OFFSET(Electric!$L199,0,-'Electric Calendarize'!$L208+'Electric Calendarize'!O$4+1))</f>
        <v/>
      </c>
      <c r="P208" t="str">
        <f ca="1">IF(OR($L208&gt;P$4,P$4&gt;$L208+23),"",OFFSET(Electric!$L199,0,-'Electric Calendarize'!$L208+'Electric Calendarize'!P$4+1))</f>
        <v/>
      </c>
      <c r="Q208" t="str">
        <f ca="1">IF(OR($L208&gt;Q$4,Q$4&gt;$L208+23),"",OFFSET(Electric!$L199,0,-'Electric Calendarize'!$L208+'Electric Calendarize'!Q$4+1))</f>
        <v/>
      </c>
      <c r="R208" t="str">
        <f ca="1">IF(OR($L208&gt;R$4,R$4&gt;$L208+23),"",OFFSET(Electric!$L199,0,-'Electric Calendarize'!$L208+'Electric Calendarize'!R$4+1))</f>
        <v/>
      </c>
      <c r="S208" t="str">
        <f ca="1">IF(OR($L208&gt;S$4,S$4&gt;$L208+23),"",OFFSET(Electric!$L199,0,-'Electric Calendarize'!$L208+'Electric Calendarize'!S$4+1))</f>
        <v/>
      </c>
      <c r="T208" t="str">
        <f ca="1">IF(OR($L208&gt;T$4,T$4&gt;$L208+23),"",OFFSET(Electric!$L199,0,-'Electric Calendarize'!$L208+'Electric Calendarize'!T$4+1))</f>
        <v/>
      </c>
      <c r="U208" t="str">
        <f ca="1">IF(OR($L208&gt;U$4,U$4&gt;$L208+23),"",OFFSET(Electric!$L199,0,-'Electric Calendarize'!$L208+'Electric Calendarize'!U$4+1))</f>
        <v/>
      </c>
      <c r="V208" t="str">
        <f ca="1">IF(OR($L208&gt;V$4,V$4&gt;$L208+23),"",OFFSET(Electric!$L199,0,-'Electric Calendarize'!$L208+'Electric Calendarize'!V$4+1))</f>
        <v/>
      </c>
      <c r="W208" t="str">
        <f ca="1">IF(OR($L208&gt;W$4,W$4&gt;$L208+23),"",OFFSET(Electric!$L199,0,-'Electric Calendarize'!$L208+'Electric Calendarize'!W$4+1))</f>
        <v/>
      </c>
      <c r="X208" t="str">
        <f ca="1">IF(OR($L208&gt;X$4,X$4&gt;$L208+23),"",OFFSET(Electric!$L199,0,-'Electric Calendarize'!$L208+'Electric Calendarize'!X$4+1))</f>
        <v/>
      </c>
      <c r="Y208" t="str">
        <f ca="1">IF(OR($L208&gt;Y$4,Y$4&gt;$L208+23),"",OFFSET(Electric!$L199,0,-'Electric Calendarize'!$L208+'Electric Calendarize'!Y$4+1))</f>
        <v/>
      </c>
      <c r="Z208" t="str">
        <f ca="1">IF(OR($L208&gt;Z$4,Z$4&gt;$L208+23),"",OFFSET(Electric!$L199,0,-'Electric Calendarize'!$L208+'Electric Calendarize'!Z$4+1))</f>
        <v/>
      </c>
      <c r="AA208" t="str">
        <f ca="1">IF(OR($L208&gt;AA$4,AA$4&gt;$L208+23),"",OFFSET(Electric!$L199,0,-'Electric Calendarize'!$L208+'Electric Calendarize'!AA$4+1))</f>
        <v/>
      </c>
      <c r="AB208" t="str">
        <f ca="1">IF(OR($L208&gt;AB$4,AB$4&gt;$L208+23),"",OFFSET(Electric!$L199,0,-'Electric Calendarize'!$L208+'Electric Calendarize'!AB$4+1))</f>
        <v/>
      </c>
      <c r="AC208" t="str">
        <f ca="1">IF(OR($L208&gt;AC$4,AC$4&gt;$L208+23),"",OFFSET(Electric!$L199,0,-'Electric Calendarize'!$L208+'Electric Calendarize'!AC$4+1))</f>
        <v/>
      </c>
      <c r="AD208" t="str">
        <f ca="1">IF(OR($L208&gt;AD$4,AD$4&gt;$L208+23),"",OFFSET(Electric!$L199,0,-'Electric Calendarize'!$L208+'Electric Calendarize'!AD$4+1))</f>
        <v/>
      </c>
      <c r="AE208" t="str">
        <f ca="1">IF(OR($L208&gt;AE$4,AE$4&gt;$L208+23),"",OFFSET(Electric!$L199,0,-'Electric Calendarize'!$L208+'Electric Calendarize'!AE$4+1))</f>
        <v/>
      </c>
      <c r="AF208" t="str">
        <f ca="1">IF(OR($L208&gt;AF$4,AF$4&gt;$L208+23),"",OFFSET(Electric!$L199,0,-'Electric Calendarize'!$L208+'Electric Calendarize'!AF$4+1))</f>
        <v/>
      </c>
      <c r="AG208" t="str">
        <f ca="1">IF(OR($L208&gt;AG$4,AG$4&gt;$L208+23),"",OFFSET(Electric!$L199,0,-'Electric Calendarize'!$L208+'Electric Calendarize'!AG$4+1))</f>
        <v/>
      </c>
      <c r="AH208" t="str">
        <f ca="1">IF(OR($L208&gt;AH$4,AH$4&gt;$L208+23),"",OFFSET(Electric!$L199,0,-'Electric Calendarize'!$L208+'Electric Calendarize'!AH$4+1))</f>
        <v/>
      </c>
      <c r="AI208" t="str">
        <f ca="1">IF(OR($L208&gt;AI$4,AI$4&gt;$L208+23),"",OFFSET(Electric!$L199,0,-'Electric Calendarize'!$L208+'Electric Calendarize'!AI$4+1))</f>
        <v/>
      </c>
      <c r="AJ208">
        <f ca="1">IF(OR($L208&gt;AJ$4,AJ$4&gt;$L208+23),"",OFFSET(Electric!$L199,0,-'Electric Calendarize'!$L208+'Electric Calendarize'!AJ$4+1))</f>
        <v>501</v>
      </c>
      <c r="AK208">
        <f ca="1">IF(OR($L208&gt;AK$4,AK$4&gt;$L208+23),"",OFFSET(Electric!$L199,0,-'Electric Calendarize'!$L208+'Electric Calendarize'!AK$4+1))</f>
        <v>451</v>
      </c>
      <c r="AL208">
        <f ca="1">IF(OR($L208&gt;AL$4,AL$4&gt;$L208+23),"",OFFSET(Electric!$L199,0,-'Electric Calendarize'!$L208+'Electric Calendarize'!AL$4+1))</f>
        <v>514</v>
      </c>
      <c r="AM208">
        <f ca="1">IF(OR($L208&gt;AM$4,AM$4&gt;$L208+23),"",OFFSET(Electric!$L199,0,-'Electric Calendarize'!$L208+'Electric Calendarize'!AM$4+1))</f>
        <v>461</v>
      </c>
      <c r="AN208">
        <f ca="1">IF(OR($L208&gt;AN$4,AN$4&gt;$L208+23),"",OFFSET(Electric!$L199,0,-'Electric Calendarize'!$L208+'Electric Calendarize'!AN$4+1))</f>
        <v>467</v>
      </c>
      <c r="AO208">
        <f ca="1">IF(OR($L208&gt;AO$4,AO$4&gt;$L208+23),"",OFFSET(Electric!$L199,0,-'Electric Calendarize'!$L208+'Electric Calendarize'!AO$4+1))</f>
        <v>808</v>
      </c>
      <c r="AP208">
        <f ca="1">IF(OR($L208&gt;AP$4,AP$4&gt;$L208+23),"",OFFSET(Electric!$L199,0,-'Electric Calendarize'!$L208+'Electric Calendarize'!AP$4+1))</f>
        <v>722</v>
      </c>
      <c r="AQ208">
        <f ca="1">IF(OR($L208&gt;AQ$4,AQ$4&gt;$L208+23),"",OFFSET(Electric!$L199,0,-'Electric Calendarize'!$L208+'Electric Calendarize'!AQ$4+1))</f>
        <v>879</v>
      </c>
      <c r="AR208">
        <f ca="1">IF(OR($L208&gt;AR$4,AR$4&gt;$L208+23),"",OFFSET(Electric!$L199,0,-'Electric Calendarize'!$L208+'Electric Calendarize'!AR$4+1))</f>
        <v>963</v>
      </c>
      <c r="AS208">
        <f ca="1">IF(OR($L208&gt;AS$4,AS$4&gt;$L208+23),"",OFFSET(Electric!$L199,0,-'Electric Calendarize'!$L208+'Electric Calendarize'!AS$4+1))</f>
        <v>376</v>
      </c>
      <c r="AT208">
        <f ca="1">IF(OR($L208&gt;AT$4,AT$4&gt;$L208+23),"",OFFSET(Electric!$L199,0,-'Electric Calendarize'!$L208+'Electric Calendarize'!AT$4+1))</f>
        <v>418</v>
      </c>
      <c r="AU208">
        <f ca="1">IF(OR($L208&gt;AU$4,AU$4&gt;$L208+23),"",OFFSET(Electric!$L199,0,-'Electric Calendarize'!$L208+'Electric Calendarize'!AU$4+1))</f>
        <v>374</v>
      </c>
      <c r="AV208">
        <f ca="1">IF(OR($L208&gt;AV$4,AV$4&gt;$L208+23),"",OFFSET(Electric!$L199,0,-'Electric Calendarize'!$L208+'Electric Calendarize'!AV$4+1))</f>
        <v>442</v>
      </c>
      <c r="AW208">
        <f ca="1">IF(OR($L208&gt;AW$4,AW$4&gt;$L208+23),"",OFFSET(Electric!$L199,0,-'Electric Calendarize'!$L208+'Electric Calendarize'!AW$4+1))</f>
        <v>356</v>
      </c>
      <c r="AX208">
        <f ca="1">IF(OR($L208&gt;AX$4,AX$4&gt;$L208+23),"",OFFSET(Electric!$L199,0,-'Electric Calendarize'!$L208+'Electric Calendarize'!AX$4+1))</f>
        <v>336</v>
      </c>
      <c r="AY208">
        <f ca="1">IF(OR($L208&gt;AY$4,AY$4&gt;$L208+23),"",OFFSET(Electric!$L199,0,-'Electric Calendarize'!$L208+'Electric Calendarize'!AY$4+1))</f>
        <v>344</v>
      </c>
      <c r="AZ208">
        <f ca="1">IF(OR($L208&gt;AZ$4,AZ$4&gt;$L208+23),"",OFFSET(Electric!$L199,0,-'Electric Calendarize'!$L208+'Electric Calendarize'!AZ$4+1))</f>
        <v>411</v>
      </c>
      <c r="BA208">
        <f ca="1">IF(OR($L208&gt;BA$4,BA$4&gt;$L208+23),"",OFFSET(Electric!$L199,0,-'Electric Calendarize'!$L208+'Electric Calendarize'!BA$4+1))</f>
        <v>549</v>
      </c>
      <c r="BB208">
        <f ca="1">IF(OR($L208&gt;BB$4,BB$4&gt;$L208+23),"",OFFSET(Electric!$L199,0,-'Electric Calendarize'!$L208+'Electric Calendarize'!BB$4+1))</f>
        <v>1001</v>
      </c>
      <c r="BC208">
        <f ca="1">IF(OR($L208&gt;BC$4,BC$4&gt;$L208+23),"",OFFSET(Electric!$L199,0,-'Electric Calendarize'!$L208+'Electric Calendarize'!BC$4+1))</f>
        <v>780</v>
      </c>
      <c r="BD208">
        <f ca="1">IF(OR($L208&gt;BD$4,BD$4&gt;$L208+23),"",OFFSET(Electric!$L199,0,-'Electric Calendarize'!$L208+'Electric Calendarize'!BD$4+1))</f>
        <v>643</v>
      </c>
      <c r="BE208">
        <f ca="1">IF(OR($L208&gt;BE$4,BE$4&gt;$L208+23),"",OFFSET(Electric!$L199,0,-'Electric Calendarize'!$L208+'Electric Calendarize'!BE$4+1))</f>
        <v>461</v>
      </c>
      <c r="BF208">
        <f ca="1">IF(OR($L208&gt;BF$4,BF$4&gt;$L208+23),"",OFFSET(Electric!$L199,0,-'Electric Calendarize'!$L208+'Electric Calendarize'!BF$4+1))</f>
        <v>366</v>
      </c>
      <c r="BG208">
        <f ca="1">IF(OR($L208&gt;BG$4,BG$4&gt;$L208+23),"",OFFSET(Electric!$L199,0,-'Electric Calendarize'!$L208+'Electric Calendarize'!BG$4+1))</f>
        <v>0</v>
      </c>
      <c r="BJ208" s="10" t="s">
        <v>37</v>
      </c>
      <c r="BK208">
        <f t="shared" si="519"/>
        <v>1</v>
      </c>
      <c r="BL208">
        <f t="shared" si="425"/>
        <v>0</v>
      </c>
      <c r="BM208">
        <f t="shared" si="426"/>
        <v>0</v>
      </c>
      <c r="BN208">
        <f t="shared" si="427"/>
        <v>0</v>
      </c>
      <c r="BO208">
        <f t="shared" si="428"/>
        <v>0</v>
      </c>
      <c r="BP208">
        <f t="shared" si="429"/>
        <v>0</v>
      </c>
      <c r="BQ208">
        <f t="shared" si="430"/>
        <v>0</v>
      </c>
      <c r="BR208">
        <f t="shared" si="431"/>
        <v>1</v>
      </c>
      <c r="BS208">
        <f t="shared" si="432"/>
        <v>1</v>
      </c>
      <c r="BT208">
        <f t="shared" si="433"/>
        <v>1</v>
      </c>
      <c r="BU208">
        <f t="shared" si="434"/>
        <v>1</v>
      </c>
      <c r="BV208">
        <f t="shared" si="435"/>
        <v>1</v>
      </c>
      <c r="BW208">
        <f t="shared" si="436"/>
        <v>1</v>
      </c>
      <c r="BX208">
        <f t="shared" si="437"/>
        <v>0</v>
      </c>
      <c r="BY208">
        <f t="shared" si="438"/>
        <v>0</v>
      </c>
      <c r="BZ208">
        <f t="shared" si="439"/>
        <v>0</v>
      </c>
      <c r="CA208">
        <f t="shared" si="440"/>
        <v>0</v>
      </c>
      <c r="CB208">
        <f t="shared" si="441"/>
        <v>0</v>
      </c>
      <c r="CC208">
        <f t="shared" si="442"/>
        <v>0</v>
      </c>
      <c r="CD208">
        <f t="shared" si="443"/>
        <v>1</v>
      </c>
      <c r="CE208">
        <f t="shared" si="444"/>
        <v>1</v>
      </c>
      <c r="CF208">
        <f t="shared" si="445"/>
        <v>1</v>
      </c>
      <c r="CG208">
        <f t="shared" si="446"/>
        <v>1</v>
      </c>
      <c r="CH208">
        <f t="shared" si="447"/>
        <v>1</v>
      </c>
      <c r="CI208">
        <f t="shared" si="448"/>
        <v>1</v>
      </c>
      <c r="CJ208">
        <f t="shared" si="449"/>
        <v>0</v>
      </c>
      <c r="CK208">
        <f t="shared" si="450"/>
        <v>0</v>
      </c>
      <c r="CL208">
        <f t="shared" si="451"/>
        <v>0</v>
      </c>
      <c r="CM208">
        <f t="shared" si="452"/>
        <v>0</v>
      </c>
      <c r="CN208">
        <f t="shared" si="453"/>
        <v>0</v>
      </c>
      <c r="CO208">
        <f t="shared" si="454"/>
        <v>0</v>
      </c>
      <c r="CP208">
        <f t="shared" si="455"/>
        <v>1</v>
      </c>
      <c r="CQ208">
        <f t="shared" si="456"/>
        <v>1</v>
      </c>
      <c r="CR208">
        <f t="shared" si="457"/>
        <v>1</v>
      </c>
      <c r="CS208">
        <f t="shared" si="458"/>
        <v>1</v>
      </c>
      <c r="CT208">
        <f t="shared" si="459"/>
        <v>1</v>
      </c>
      <c r="CU208">
        <f t="shared" si="460"/>
        <v>1</v>
      </c>
      <c r="CV208">
        <f t="shared" si="461"/>
        <v>0</v>
      </c>
      <c r="CW208">
        <f t="shared" si="462"/>
        <v>0</v>
      </c>
      <c r="CX208">
        <f t="shared" si="463"/>
        <v>0</v>
      </c>
      <c r="CY208">
        <f t="shared" si="464"/>
        <v>0</v>
      </c>
      <c r="CZ208">
        <f t="shared" si="465"/>
        <v>0</v>
      </c>
      <c r="DA208">
        <f t="shared" si="466"/>
        <v>0</v>
      </c>
      <c r="DB208">
        <f t="shared" si="467"/>
        <v>1</v>
      </c>
      <c r="DC208">
        <f t="shared" si="468"/>
        <v>1</v>
      </c>
      <c r="DF208" s="10" t="s">
        <v>37</v>
      </c>
      <c r="DG208" t="str">
        <f t="shared" si="520"/>
        <v>2023_1</v>
      </c>
      <c r="DH208" t="str">
        <f t="shared" si="520"/>
        <v>2023_1</v>
      </c>
      <c r="DI208" t="str">
        <f t="shared" si="520"/>
        <v>2023_1</v>
      </c>
      <c r="DJ208" t="str">
        <f t="shared" si="520"/>
        <v>2023_1</v>
      </c>
      <c r="DK208" t="str">
        <f t="shared" si="520"/>
        <v>2023_1</v>
      </c>
      <c r="DL208" t="str">
        <f t="shared" si="520"/>
        <v>2023_1</v>
      </c>
      <c r="DM208" t="str">
        <f t="shared" si="520"/>
        <v>2023_1</v>
      </c>
      <c r="DN208" t="str">
        <f t="shared" si="520"/>
        <v>2023_1</v>
      </c>
      <c r="DO208" t="str">
        <f t="shared" si="520"/>
        <v>2023_1</v>
      </c>
      <c r="DP208" t="str">
        <f t="shared" si="520"/>
        <v>2023_1</v>
      </c>
      <c r="DQ208" t="str">
        <f t="shared" si="520"/>
        <v>2023_1</v>
      </c>
      <c r="DR208" t="str">
        <f t="shared" si="520"/>
        <v>2023_1</v>
      </c>
      <c r="DS208" t="str">
        <f t="shared" si="520"/>
        <v>2023_1</v>
      </c>
      <c r="DT208" t="str">
        <f t="shared" si="520"/>
        <v>2023_1</v>
      </c>
      <c r="DU208" t="str">
        <f t="shared" si="520"/>
        <v>2023_1</v>
      </c>
      <c r="DV208" t="str">
        <f t="shared" si="469"/>
        <v>2023_1</v>
      </c>
      <c r="DW208" t="str">
        <f t="shared" si="469"/>
        <v>2023_1</v>
      </c>
      <c r="DX208" t="str">
        <f t="shared" si="469"/>
        <v>2023_1</v>
      </c>
      <c r="DY208" t="str">
        <f t="shared" si="469"/>
        <v>2023_1</v>
      </c>
      <c r="DZ208" t="str">
        <f t="shared" si="469"/>
        <v>2023_1</v>
      </c>
      <c r="EA208" t="str">
        <f t="shared" si="469"/>
        <v>2023_1</v>
      </c>
      <c r="EB208" t="str">
        <f t="shared" si="469"/>
        <v>2023_1</v>
      </c>
      <c r="EC208" t="str">
        <f t="shared" si="469"/>
        <v>2023_1</v>
      </c>
      <c r="ED208" t="str">
        <f t="shared" si="469"/>
        <v>2023_1</v>
      </c>
      <c r="EE208" t="str">
        <f t="shared" si="469"/>
        <v>2023_1</v>
      </c>
      <c r="EF208" t="str">
        <f t="shared" si="469"/>
        <v>2023_1</v>
      </c>
      <c r="EG208" t="str">
        <f t="shared" si="469"/>
        <v>2023_1</v>
      </c>
      <c r="EH208" t="str">
        <f t="shared" si="469"/>
        <v>2023_1</v>
      </c>
      <c r="EI208" t="str">
        <f t="shared" si="469"/>
        <v>2023_1</v>
      </c>
      <c r="EJ208" t="str">
        <f t="shared" si="469"/>
        <v>2023_1</v>
      </c>
      <c r="EK208" t="str">
        <f t="shared" si="469"/>
        <v>2023_1</v>
      </c>
      <c r="EL208" t="str">
        <f t="shared" si="470"/>
        <v>2023_1</v>
      </c>
      <c r="EM208" t="str">
        <f t="shared" si="424"/>
        <v>2023_1</v>
      </c>
      <c r="EN208" t="str">
        <f t="shared" si="424"/>
        <v>2023_1</v>
      </c>
      <c r="EO208" t="str">
        <f t="shared" si="424"/>
        <v>2023_1</v>
      </c>
      <c r="EP208" t="str">
        <f t="shared" si="424"/>
        <v>2023_1</v>
      </c>
      <c r="EQ208" t="str">
        <f t="shared" si="424"/>
        <v>2023_1</v>
      </c>
      <c r="ER208" t="str">
        <f t="shared" si="424"/>
        <v>2023_1</v>
      </c>
      <c r="ES208" t="str">
        <f t="shared" si="424"/>
        <v>2023_1</v>
      </c>
      <c r="ET208" t="str">
        <f t="shared" si="424"/>
        <v>2023_1</v>
      </c>
      <c r="EU208" t="str">
        <f t="shared" si="424"/>
        <v>2023_1</v>
      </c>
      <c r="EV208" t="str">
        <f t="shared" si="424"/>
        <v>2023_1</v>
      </c>
      <c r="EW208" t="str">
        <f t="shared" si="424"/>
        <v>2023_1</v>
      </c>
      <c r="EX208" t="str">
        <f t="shared" si="424"/>
        <v>2023_1</v>
      </c>
      <c r="EY208" t="str">
        <f t="shared" si="424"/>
        <v>2023_1</v>
      </c>
      <c r="FB208" s="10" t="s">
        <v>37</v>
      </c>
      <c r="FC208">
        <f t="shared" si="521"/>
        <v>0</v>
      </c>
      <c r="FD208">
        <f t="shared" si="471"/>
        <v>0</v>
      </c>
      <c r="FE208">
        <f t="shared" si="472"/>
        <v>0</v>
      </c>
      <c r="FF208">
        <f t="shared" si="473"/>
        <v>0</v>
      </c>
      <c r="FG208">
        <f t="shared" si="474"/>
        <v>0</v>
      </c>
      <c r="FH208">
        <f t="shared" si="475"/>
        <v>0</v>
      </c>
      <c r="FI208">
        <f t="shared" si="476"/>
        <v>0</v>
      </c>
      <c r="FJ208">
        <f t="shared" si="477"/>
        <v>0</v>
      </c>
      <c r="FK208">
        <f t="shared" si="478"/>
        <v>0</v>
      </c>
      <c r="FL208">
        <f t="shared" si="479"/>
        <v>0</v>
      </c>
      <c r="FM208">
        <f t="shared" si="480"/>
        <v>0</v>
      </c>
      <c r="FN208">
        <f t="shared" si="481"/>
        <v>0</v>
      </c>
      <c r="FO208">
        <f t="shared" si="482"/>
        <v>0</v>
      </c>
      <c r="FP208">
        <f t="shared" si="483"/>
        <v>0</v>
      </c>
      <c r="FQ208">
        <f t="shared" si="484"/>
        <v>0</v>
      </c>
      <c r="FR208">
        <f t="shared" si="485"/>
        <v>0</v>
      </c>
      <c r="FS208">
        <f t="shared" si="486"/>
        <v>0</v>
      </c>
      <c r="FT208">
        <f t="shared" si="487"/>
        <v>0</v>
      </c>
      <c r="FU208">
        <f t="shared" si="488"/>
        <v>0</v>
      </c>
      <c r="FV208">
        <f t="shared" si="489"/>
        <v>0</v>
      </c>
      <c r="FW208">
        <f t="shared" si="490"/>
        <v>0</v>
      </c>
      <c r="FX208">
        <f t="shared" si="491"/>
        <v>0</v>
      </c>
      <c r="FY208">
        <f t="shared" si="492"/>
        <v>0</v>
      </c>
      <c r="FZ208">
        <f t="shared" si="493"/>
        <v>0</v>
      </c>
      <c r="GA208">
        <f t="shared" si="494"/>
        <v>0</v>
      </c>
      <c r="GB208">
        <f t="shared" si="495"/>
        <v>0</v>
      </c>
      <c r="GC208">
        <f t="shared" si="496"/>
        <v>0</v>
      </c>
      <c r="GD208">
        <f t="shared" si="497"/>
        <v>0</v>
      </c>
      <c r="GE208">
        <f t="shared" si="498"/>
        <v>0</v>
      </c>
      <c r="GF208">
        <f t="shared" si="499"/>
        <v>0</v>
      </c>
      <c r="GG208">
        <f t="shared" si="500"/>
        <v>0</v>
      </c>
      <c r="GH208">
        <f t="shared" si="501"/>
        <v>0</v>
      </c>
      <c r="GI208">
        <f t="shared" si="502"/>
        <v>0</v>
      </c>
      <c r="GJ208">
        <f t="shared" si="503"/>
        <v>1</v>
      </c>
      <c r="GK208">
        <f t="shared" si="504"/>
        <v>1</v>
      </c>
      <c r="GL208">
        <f t="shared" si="505"/>
        <v>1</v>
      </c>
      <c r="GM208">
        <f t="shared" si="506"/>
        <v>1</v>
      </c>
      <c r="GN208">
        <f t="shared" si="507"/>
        <v>1</v>
      </c>
      <c r="GO208">
        <f t="shared" si="508"/>
        <v>1</v>
      </c>
      <c r="GP208">
        <f t="shared" si="509"/>
        <v>1</v>
      </c>
      <c r="GQ208">
        <f t="shared" si="510"/>
        <v>1</v>
      </c>
      <c r="GR208">
        <f t="shared" si="511"/>
        <v>1</v>
      </c>
      <c r="GS208">
        <f t="shared" si="512"/>
        <v>1</v>
      </c>
      <c r="GT208">
        <f t="shared" si="513"/>
        <v>1</v>
      </c>
      <c r="GU208">
        <f t="shared" si="514"/>
        <v>1</v>
      </c>
      <c r="GX208" s="10"/>
    </row>
    <row r="209" spans="1:206" x14ac:dyDescent="0.3">
      <c r="A209" s="9" t="s">
        <v>209</v>
      </c>
      <c r="B209" s="80"/>
      <c r="C209" s="9">
        <v>3120137001</v>
      </c>
      <c r="D209" s="9" t="s">
        <v>484</v>
      </c>
      <c r="E209" s="9" t="s">
        <v>100</v>
      </c>
      <c r="F209" s="9" t="s">
        <v>35</v>
      </c>
      <c r="G209" s="9" t="s">
        <v>232</v>
      </c>
      <c r="H209" s="10">
        <v>44950</v>
      </c>
      <c r="I209" s="9">
        <f t="shared" si="515"/>
        <v>2023</v>
      </c>
      <c r="J209" s="9">
        <f t="shared" si="516"/>
        <v>1</v>
      </c>
      <c r="K209" s="9" t="str">
        <f t="shared" si="517"/>
        <v>2023_1</v>
      </c>
      <c r="L209">
        <f>MAX(0,VLOOKUP($K209,lookups!$A$1:$B$45,2,0)-12)</f>
        <v>21</v>
      </c>
      <c r="M209" s="40">
        <f t="shared" si="518"/>
        <v>44927</v>
      </c>
      <c r="N209" s="10" t="s">
        <v>37</v>
      </c>
      <c r="O209" t="str">
        <f ca="1">IF(OR($L209&gt;O$4,O$4&gt;$L209+23),"",OFFSET(Electric!$L200,0,-'Electric Calendarize'!$L209+'Electric Calendarize'!O$4+1))</f>
        <v/>
      </c>
      <c r="P209" t="str">
        <f ca="1">IF(OR($L209&gt;P$4,P$4&gt;$L209+23),"",OFFSET(Electric!$L200,0,-'Electric Calendarize'!$L209+'Electric Calendarize'!P$4+1))</f>
        <v/>
      </c>
      <c r="Q209" t="str">
        <f ca="1">IF(OR($L209&gt;Q$4,Q$4&gt;$L209+23),"",OFFSET(Electric!$L200,0,-'Electric Calendarize'!$L209+'Electric Calendarize'!Q$4+1))</f>
        <v/>
      </c>
      <c r="R209" t="str">
        <f ca="1">IF(OR($L209&gt;R$4,R$4&gt;$L209+23),"",OFFSET(Electric!$L200,0,-'Electric Calendarize'!$L209+'Electric Calendarize'!R$4+1))</f>
        <v/>
      </c>
      <c r="S209" t="str">
        <f ca="1">IF(OR($L209&gt;S$4,S$4&gt;$L209+23),"",OFFSET(Electric!$L200,0,-'Electric Calendarize'!$L209+'Electric Calendarize'!S$4+1))</f>
        <v/>
      </c>
      <c r="T209" t="str">
        <f ca="1">IF(OR($L209&gt;T$4,T$4&gt;$L209+23),"",OFFSET(Electric!$L200,0,-'Electric Calendarize'!$L209+'Electric Calendarize'!T$4+1))</f>
        <v/>
      </c>
      <c r="U209" t="str">
        <f ca="1">IF(OR($L209&gt;U$4,U$4&gt;$L209+23),"",OFFSET(Electric!$L200,0,-'Electric Calendarize'!$L209+'Electric Calendarize'!U$4+1))</f>
        <v/>
      </c>
      <c r="V209" t="str">
        <f ca="1">IF(OR($L209&gt;V$4,V$4&gt;$L209+23),"",OFFSET(Electric!$L200,0,-'Electric Calendarize'!$L209+'Electric Calendarize'!V$4+1))</f>
        <v/>
      </c>
      <c r="W209" t="str">
        <f ca="1">IF(OR($L209&gt;W$4,W$4&gt;$L209+23),"",OFFSET(Electric!$L200,0,-'Electric Calendarize'!$L209+'Electric Calendarize'!W$4+1))</f>
        <v/>
      </c>
      <c r="X209" t="str">
        <f ca="1">IF(OR($L209&gt;X$4,X$4&gt;$L209+23),"",OFFSET(Electric!$L200,0,-'Electric Calendarize'!$L209+'Electric Calendarize'!X$4+1))</f>
        <v/>
      </c>
      <c r="Y209" t="str">
        <f ca="1">IF(OR($L209&gt;Y$4,Y$4&gt;$L209+23),"",OFFSET(Electric!$L200,0,-'Electric Calendarize'!$L209+'Electric Calendarize'!Y$4+1))</f>
        <v/>
      </c>
      <c r="Z209" t="str">
        <f ca="1">IF(OR($L209&gt;Z$4,Z$4&gt;$L209+23),"",OFFSET(Electric!$L200,0,-'Electric Calendarize'!$L209+'Electric Calendarize'!Z$4+1))</f>
        <v/>
      </c>
      <c r="AA209" t="str">
        <f ca="1">IF(OR($L209&gt;AA$4,AA$4&gt;$L209+23),"",OFFSET(Electric!$L200,0,-'Electric Calendarize'!$L209+'Electric Calendarize'!AA$4+1))</f>
        <v/>
      </c>
      <c r="AB209" t="str">
        <f ca="1">IF(OR($L209&gt;AB$4,AB$4&gt;$L209+23),"",OFFSET(Electric!$L200,0,-'Electric Calendarize'!$L209+'Electric Calendarize'!AB$4+1))</f>
        <v/>
      </c>
      <c r="AC209" t="str">
        <f ca="1">IF(OR($L209&gt;AC$4,AC$4&gt;$L209+23),"",OFFSET(Electric!$L200,0,-'Electric Calendarize'!$L209+'Electric Calendarize'!AC$4+1))</f>
        <v/>
      </c>
      <c r="AD209" t="str">
        <f ca="1">IF(OR($L209&gt;AD$4,AD$4&gt;$L209+23),"",OFFSET(Electric!$L200,0,-'Electric Calendarize'!$L209+'Electric Calendarize'!AD$4+1))</f>
        <v/>
      </c>
      <c r="AE209" t="str">
        <f ca="1">IF(OR($L209&gt;AE$4,AE$4&gt;$L209+23),"",OFFSET(Electric!$L200,0,-'Electric Calendarize'!$L209+'Electric Calendarize'!AE$4+1))</f>
        <v/>
      </c>
      <c r="AF209" t="str">
        <f ca="1">IF(OR($L209&gt;AF$4,AF$4&gt;$L209+23),"",OFFSET(Electric!$L200,0,-'Electric Calendarize'!$L209+'Electric Calendarize'!AF$4+1))</f>
        <v/>
      </c>
      <c r="AG209" t="str">
        <f ca="1">IF(OR($L209&gt;AG$4,AG$4&gt;$L209+23),"",OFFSET(Electric!$L200,0,-'Electric Calendarize'!$L209+'Electric Calendarize'!AG$4+1))</f>
        <v/>
      </c>
      <c r="AH209" t="str">
        <f ca="1">IF(OR($L209&gt;AH$4,AH$4&gt;$L209+23),"",OFFSET(Electric!$L200,0,-'Electric Calendarize'!$L209+'Electric Calendarize'!AH$4+1))</f>
        <v/>
      </c>
      <c r="AI209" t="str">
        <f ca="1">IF(OR($L209&gt;AI$4,AI$4&gt;$L209+23),"",OFFSET(Electric!$L200,0,-'Electric Calendarize'!$L209+'Electric Calendarize'!AI$4+1))</f>
        <v/>
      </c>
      <c r="AJ209">
        <f ca="1">IF(OR($L209&gt;AJ$4,AJ$4&gt;$L209+23),"",OFFSET(Electric!$L200,0,-'Electric Calendarize'!$L209+'Electric Calendarize'!AJ$4+1))</f>
        <v>1668</v>
      </c>
      <c r="AK209">
        <f ca="1">IF(OR($L209&gt;AK$4,AK$4&gt;$L209+23),"",OFFSET(Electric!$L200,0,-'Electric Calendarize'!$L209+'Electric Calendarize'!AK$4+1))</f>
        <v>1623</v>
      </c>
      <c r="AL209">
        <f ca="1">IF(OR($L209&gt;AL$4,AL$4&gt;$L209+23),"",OFFSET(Electric!$L200,0,-'Electric Calendarize'!$L209+'Electric Calendarize'!AL$4+1))</f>
        <v>1384</v>
      </c>
      <c r="AM209">
        <f ca="1">IF(OR($L209&gt;AM$4,AM$4&gt;$L209+23),"",OFFSET(Electric!$L200,0,-'Electric Calendarize'!$L209+'Electric Calendarize'!AM$4+1))</f>
        <v>1217</v>
      </c>
      <c r="AN209">
        <f ca="1">IF(OR($L209&gt;AN$4,AN$4&gt;$L209+23),"",OFFSET(Electric!$L200,0,-'Electric Calendarize'!$L209+'Electric Calendarize'!AN$4+1))</f>
        <v>1532</v>
      </c>
      <c r="AO209">
        <f ca="1">IF(OR($L209&gt;AO$4,AO$4&gt;$L209+23),"",OFFSET(Electric!$L200,0,-'Electric Calendarize'!$L209+'Electric Calendarize'!AO$4+1))</f>
        <v>1986</v>
      </c>
      <c r="AP209">
        <f ca="1">IF(OR($L209&gt;AP$4,AP$4&gt;$L209+23),"",OFFSET(Electric!$L200,0,-'Electric Calendarize'!$L209+'Electric Calendarize'!AP$4+1))</f>
        <v>2024</v>
      </c>
      <c r="AQ209">
        <f ca="1">IF(OR($L209&gt;AQ$4,AQ$4&gt;$L209+23),"",OFFSET(Electric!$L200,0,-'Electric Calendarize'!$L209+'Electric Calendarize'!AQ$4+1))</f>
        <v>2265</v>
      </c>
      <c r="AR209">
        <f ca="1">IF(OR($L209&gt;AR$4,AR$4&gt;$L209+23),"",OFFSET(Electric!$L200,0,-'Electric Calendarize'!$L209+'Electric Calendarize'!AR$4+1))</f>
        <v>1758</v>
      </c>
      <c r="AS209">
        <f ca="1">IF(OR($L209&gt;AS$4,AS$4&gt;$L209+23),"",OFFSET(Electric!$L200,0,-'Electric Calendarize'!$L209+'Electric Calendarize'!AS$4+1))</f>
        <v>1232</v>
      </c>
      <c r="AT209">
        <f ca="1">IF(OR($L209&gt;AT$4,AT$4&gt;$L209+23),"",OFFSET(Electric!$L200,0,-'Electric Calendarize'!$L209+'Electric Calendarize'!AT$4+1))</f>
        <v>1299</v>
      </c>
      <c r="AU209">
        <f ca="1">IF(OR($L209&gt;AU$4,AU$4&gt;$L209+23),"",OFFSET(Electric!$L200,0,-'Electric Calendarize'!$L209+'Electric Calendarize'!AU$4+1))</f>
        <v>1919</v>
      </c>
      <c r="AV209">
        <f ca="1">IF(OR($L209&gt;AV$4,AV$4&gt;$L209+23),"",OFFSET(Electric!$L200,0,-'Electric Calendarize'!$L209+'Electric Calendarize'!AV$4+1))</f>
        <v>2225</v>
      </c>
      <c r="AW209">
        <f ca="1">IF(OR($L209&gt;AW$4,AW$4&gt;$L209+23),"",OFFSET(Electric!$L200,0,-'Electric Calendarize'!$L209+'Electric Calendarize'!AW$4+1))</f>
        <v>1703</v>
      </c>
      <c r="AX209">
        <f ca="1">IF(OR($L209&gt;AX$4,AX$4&gt;$L209+23),"",OFFSET(Electric!$L200,0,-'Electric Calendarize'!$L209+'Electric Calendarize'!AX$4+1))</f>
        <v>1481</v>
      </c>
      <c r="AY209">
        <f ca="1">IF(OR($L209&gt;AY$4,AY$4&gt;$L209+23),"",OFFSET(Electric!$L200,0,-'Electric Calendarize'!$L209+'Electric Calendarize'!AY$4+1))</f>
        <v>1474</v>
      </c>
      <c r="AZ209">
        <f ca="1">IF(OR($L209&gt;AZ$4,AZ$4&gt;$L209+23),"",OFFSET(Electric!$L200,0,-'Electric Calendarize'!$L209+'Electric Calendarize'!AZ$4+1))</f>
        <v>2400</v>
      </c>
      <c r="BA209">
        <f ca="1">IF(OR($L209&gt;BA$4,BA$4&gt;$L209+23),"",OFFSET(Electric!$L200,0,-'Electric Calendarize'!$L209+'Electric Calendarize'!BA$4+1))</f>
        <v>2140</v>
      </c>
      <c r="BB209">
        <f ca="1">IF(OR($L209&gt;BB$4,BB$4&gt;$L209+23),"",OFFSET(Electric!$L200,0,-'Electric Calendarize'!$L209+'Electric Calendarize'!BB$4+1))</f>
        <v>2976</v>
      </c>
      <c r="BC209">
        <f ca="1">IF(OR($L209&gt;BC$4,BC$4&gt;$L209+23),"",OFFSET(Electric!$L200,0,-'Electric Calendarize'!$L209+'Electric Calendarize'!BC$4+1))</f>
        <v>2852</v>
      </c>
      <c r="BD209">
        <f ca="1">IF(OR($L209&gt;BD$4,BD$4&gt;$L209+23),"",OFFSET(Electric!$L200,0,-'Electric Calendarize'!$L209+'Electric Calendarize'!BD$4+1))</f>
        <v>2854</v>
      </c>
      <c r="BE209">
        <f ca="1">IF(OR($L209&gt;BE$4,BE$4&gt;$L209+23),"",OFFSET(Electric!$L200,0,-'Electric Calendarize'!$L209+'Electric Calendarize'!BE$4+1))</f>
        <v>2682</v>
      </c>
      <c r="BF209">
        <f ca="1">IF(OR($L209&gt;BF$4,BF$4&gt;$L209+23),"",OFFSET(Electric!$L200,0,-'Electric Calendarize'!$L209+'Electric Calendarize'!BF$4+1))</f>
        <v>2400</v>
      </c>
      <c r="BG209">
        <f ca="1">IF(OR($L209&gt;BG$4,BG$4&gt;$L209+23),"",OFFSET(Electric!$L200,0,-'Electric Calendarize'!$L209+'Electric Calendarize'!BG$4+1))</f>
        <v>0</v>
      </c>
      <c r="BJ209" s="10" t="s">
        <v>37</v>
      </c>
      <c r="BK209">
        <f t="shared" si="519"/>
        <v>1</v>
      </c>
      <c r="BL209">
        <f t="shared" si="425"/>
        <v>0</v>
      </c>
      <c r="BM209">
        <f t="shared" si="426"/>
        <v>0</v>
      </c>
      <c r="BN209">
        <f t="shared" si="427"/>
        <v>0</v>
      </c>
      <c r="BO209">
        <f t="shared" si="428"/>
        <v>0</v>
      </c>
      <c r="BP209">
        <f t="shared" si="429"/>
        <v>0</v>
      </c>
      <c r="BQ209">
        <f t="shared" si="430"/>
        <v>0</v>
      </c>
      <c r="BR209">
        <f t="shared" si="431"/>
        <v>1</v>
      </c>
      <c r="BS209">
        <f t="shared" si="432"/>
        <v>1</v>
      </c>
      <c r="BT209">
        <f t="shared" si="433"/>
        <v>1</v>
      </c>
      <c r="BU209">
        <f t="shared" si="434"/>
        <v>1</v>
      </c>
      <c r="BV209">
        <f t="shared" si="435"/>
        <v>1</v>
      </c>
      <c r="BW209">
        <f t="shared" si="436"/>
        <v>1</v>
      </c>
      <c r="BX209">
        <f t="shared" si="437"/>
        <v>0</v>
      </c>
      <c r="BY209">
        <f t="shared" si="438"/>
        <v>0</v>
      </c>
      <c r="BZ209">
        <f t="shared" si="439"/>
        <v>0</v>
      </c>
      <c r="CA209">
        <f t="shared" si="440"/>
        <v>0</v>
      </c>
      <c r="CB209">
        <f t="shared" si="441"/>
        <v>0</v>
      </c>
      <c r="CC209">
        <f t="shared" si="442"/>
        <v>0</v>
      </c>
      <c r="CD209">
        <f t="shared" si="443"/>
        <v>1</v>
      </c>
      <c r="CE209">
        <f t="shared" si="444"/>
        <v>1</v>
      </c>
      <c r="CF209">
        <f t="shared" si="445"/>
        <v>1</v>
      </c>
      <c r="CG209">
        <f t="shared" si="446"/>
        <v>1</v>
      </c>
      <c r="CH209">
        <f t="shared" si="447"/>
        <v>1</v>
      </c>
      <c r="CI209">
        <f t="shared" si="448"/>
        <v>1</v>
      </c>
      <c r="CJ209">
        <f t="shared" si="449"/>
        <v>0</v>
      </c>
      <c r="CK209">
        <f t="shared" si="450"/>
        <v>0</v>
      </c>
      <c r="CL209">
        <f t="shared" si="451"/>
        <v>0</v>
      </c>
      <c r="CM209">
        <f t="shared" si="452"/>
        <v>0</v>
      </c>
      <c r="CN209">
        <f t="shared" si="453"/>
        <v>0</v>
      </c>
      <c r="CO209">
        <f t="shared" si="454"/>
        <v>0</v>
      </c>
      <c r="CP209">
        <f t="shared" si="455"/>
        <v>1</v>
      </c>
      <c r="CQ209">
        <f t="shared" si="456"/>
        <v>1</v>
      </c>
      <c r="CR209">
        <f t="shared" si="457"/>
        <v>1</v>
      </c>
      <c r="CS209">
        <f t="shared" si="458"/>
        <v>1</v>
      </c>
      <c r="CT209">
        <f t="shared" si="459"/>
        <v>1</v>
      </c>
      <c r="CU209">
        <f t="shared" si="460"/>
        <v>1</v>
      </c>
      <c r="CV209">
        <f t="shared" si="461"/>
        <v>0</v>
      </c>
      <c r="CW209">
        <f t="shared" si="462"/>
        <v>0</v>
      </c>
      <c r="CX209">
        <f t="shared" si="463"/>
        <v>0</v>
      </c>
      <c r="CY209">
        <f t="shared" si="464"/>
        <v>0</v>
      </c>
      <c r="CZ209">
        <f t="shared" si="465"/>
        <v>0</v>
      </c>
      <c r="DA209">
        <f t="shared" si="466"/>
        <v>0</v>
      </c>
      <c r="DB209">
        <f t="shared" si="467"/>
        <v>1</v>
      </c>
      <c r="DC209">
        <f t="shared" si="468"/>
        <v>1</v>
      </c>
      <c r="DF209" s="10" t="s">
        <v>37</v>
      </c>
      <c r="DG209" t="str">
        <f t="shared" si="520"/>
        <v>2023_1</v>
      </c>
      <c r="DH209" t="str">
        <f t="shared" si="520"/>
        <v>2023_1</v>
      </c>
      <c r="DI209" t="str">
        <f t="shared" si="520"/>
        <v>2023_1</v>
      </c>
      <c r="DJ209" t="str">
        <f t="shared" si="520"/>
        <v>2023_1</v>
      </c>
      <c r="DK209" t="str">
        <f t="shared" si="520"/>
        <v>2023_1</v>
      </c>
      <c r="DL209" t="str">
        <f t="shared" si="520"/>
        <v>2023_1</v>
      </c>
      <c r="DM209" t="str">
        <f t="shared" si="520"/>
        <v>2023_1</v>
      </c>
      <c r="DN209" t="str">
        <f t="shared" si="520"/>
        <v>2023_1</v>
      </c>
      <c r="DO209" t="str">
        <f t="shared" si="520"/>
        <v>2023_1</v>
      </c>
      <c r="DP209" t="str">
        <f t="shared" si="520"/>
        <v>2023_1</v>
      </c>
      <c r="DQ209" t="str">
        <f t="shared" si="520"/>
        <v>2023_1</v>
      </c>
      <c r="DR209" t="str">
        <f t="shared" si="520"/>
        <v>2023_1</v>
      </c>
      <c r="DS209" t="str">
        <f t="shared" si="520"/>
        <v>2023_1</v>
      </c>
      <c r="DT209" t="str">
        <f t="shared" si="520"/>
        <v>2023_1</v>
      </c>
      <c r="DU209" t="str">
        <f t="shared" si="520"/>
        <v>2023_1</v>
      </c>
      <c r="DV209" t="str">
        <f t="shared" si="469"/>
        <v>2023_1</v>
      </c>
      <c r="DW209" t="str">
        <f t="shared" si="469"/>
        <v>2023_1</v>
      </c>
      <c r="DX209" t="str">
        <f t="shared" si="469"/>
        <v>2023_1</v>
      </c>
      <c r="DY209" t="str">
        <f t="shared" si="469"/>
        <v>2023_1</v>
      </c>
      <c r="DZ209" t="str">
        <f t="shared" si="469"/>
        <v>2023_1</v>
      </c>
      <c r="EA209" t="str">
        <f t="shared" si="469"/>
        <v>2023_1</v>
      </c>
      <c r="EB209" t="str">
        <f t="shared" si="469"/>
        <v>2023_1</v>
      </c>
      <c r="EC209" t="str">
        <f t="shared" si="469"/>
        <v>2023_1</v>
      </c>
      <c r="ED209" t="str">
        <f t="shared" si="469"/>
        <v>2023_1</v>
      </c>
      <c r="EE209" t="str">
        <f t="shared" si="469"/>
        <v>2023_1</v>
      </c>
      <c r="EF209" t="str">
        <f t="shared" si="469"/>
        <v>2023_1</v>
      </c>
      <c r="EG209" t="str">
        <f t="shared" si="469"/>
        <v>2023_1</v>
      </c>
      <c r="EH209" t="str">
        <f t="shared" si="469"/>
        <v>2023_1</v>
      </c>
      <c r="EI209" t="str">
        <f t="shared" si="469"/>
        <v>2023_1</v>
      </c>
      <c r="EJ209" t="str">
        <f t="shared" si="469"/>
        <v>2023_1</v>
      </c>
      <c r="EK209" t="str">
        <f t="shared" si="469"/>
        <v>2023_1</v>
      </c>
      <c r="EL209" t="str">
        <f t="shared" si="470"/>
        <v>2023_1</v>
      </c>
      <c r="EM209" t="str">
        <f t="shared" si="424"/>
        <v>2023_1</v>
      </c>
      <c r="EN209" t="str">
        <f t="shared" si="424"/>
        <v>2023_1</v>
      </c>
      <c r="EO209" t="str">
        <f t="shared" si="424"/>
        <v>2023_1</v>
      </c>
      <c r="EP209" t="str">
        <f t="shared" si="424"/>
        <v>2023_1</v>
      </c>
      <c r="EQ209" t="str">
        <f t="shared" si="424"/>
        <v>2023_1</v>
      </c>
      <c r="ER209" t="str">
        <f t="shared" si="424"/>
        <v>2023_1</v>
      </c>
      <c r="ES209" t="str">
        <f t="shared" si="424"/>
        <v>2023_1</v>
      </c>
      <c r="ET209" t="str">
        <f t="shared" si="424"/>
        <v>2023_1</v>
      </c>
      <c r="EU209" t="str">
        <f t="shared" si="424"/>
        <v>2023_1</v>
      </c>
      <c r="EV209" t="str">
        <f t="shared" si="424"/>
        <v>2023_1</v>
      </c>
      <c r="EW209" t="str">
        <f t="shared" si="424"/>
        <v>2023_1</v>
      </c>
      <c r="EX209" t="str">
        <f t="shared" si="424"/>
        <v>2023_1</v>
      </c>
      <c r="EY209" t="str">
        <f t="shared" si="424"/>
        <v>2023_1</v>
      </c>
      <c r="FB209" s="10" t="s">
        <v>37</v>
      </c>
      <c r="FC209">
        <f t="shared" si="521"/>
        <v>0</v>
      </c>
      <c r="FD209">
        <f t="shared" si="471"/>
        <v>0</v>
      </c>
      <c r="FE209">
        <f t="shared" si="472"/>
        <v>0</v>
      </c>
      <c r="FF209">
        <f t="shared" si="473"/>
        <v>0</v>
      </c>
      <c r="FG209">
        <f t="shared" si="474"/>
        <v>0</v>
      </c>
      <c r="FH209">
        <f t="shared" si="475"/>
        <v>0</v>
      </c>
      <c r="FI209">
        <f t="shared" si="476"/>
        <v>0</v>
      </c>
      <c r="FJ209">
        <f t="shared" si="477"/>
        <v>0</v>
      </c>
      <c r="FK209">
        <f t="shared" si="478"/>
        <v>0</v>
      </c>
      <c r="FL209">
        <f t="shared" si="479"/>
        <v>0</v>
      </c>
      <c r="FM209">
        <f t="shared" si="480"/>
        <v>0</v>
      </c>
      <c r="FN209">
        <f t="shared" si="481"/>
        <v>0</v>
      </c>
      <c r="FO209">
        <f t="shared" si="482"/>
        <v>0</v>
      </c>
      <c r="FP209">
        <f t="shared" si="483"/>
        <v>0</v>
      </c>
      <c r="FQ209">
        <f t="shared" si="484"/>
        <v>0</v>
      </c>
      <c r="FR209">
        <f t="shared" si="485"/>
        <v>0</v>
      </c>
      <c r="FS209">
        <f t="shared" si="486"/>
        <v>0</v>
      </c>
      <c r="FT209">
        <f t="shared" si="487"/>
        <v>0</v>
      </c>
      <c r="FU209">
        <f t="shared" si="488"/>
        <v>0</v>
      </c>
      <c r="FV209">
        <f t="shared" si="489"/>
        <v>0</v>
      </c>
      <c r="FW209">
        <f t="shared" si="490"/>
        <v>0</v>
      </c>
      <c r="FX209">
        <f t="shared" si="491"/>
        <v>0</v>
      </c>
      <c r="FY209">
        <f t="shared" si="492"/>
        <v>0</v>
      </c>
      <c r="FZ209">
        <f t="shared" si="493"/>
        <v>0</v>
      </c>
      <c r="GA209">
        <f t="shared" si="494"/>
        <v>0</v>
      </c>
      <c r="GB209">
        <f t="shared" si="495"/>
        <v>0</v>
      </c>
      <c r="GC209">
        <f t="shared" si="496"/>
        <v>0</v>
      </c>
      <c r="GD209">
        <f t="shared" si="497"/>
        <v>0</v>
      </c>
      <c r="GE209">
        <f t="shared" si="498"/>
        <v>0</v>
      </c>
      <c r="GF209">
        <f t="shared" si="499"/>
        <v>0</v>
      </c>
      <c r="GG209">
        <f t="shared" si="500"/>
        <v>0</v>
      </c>
      <c r="GH209">
        <f t="shared" si="501"/>
        <v>0</v>
      </c>
      <c r="GI209">
        <f t="shared" si="502"/>
        <v>0</v>
      </c>
      <c r="GJ209">
        <f t="shared" si="503"/>
        <v>1</v>
      </c>
      <c r="GK209">
        <f t="shared" si="504"/>
        <v>1</v>
      </c>
      <c r="GL209">
        <f t="shared" si="505"/>
        <v>1</v>
      </c>
      <c r="GM209">
        <f t="shared" si="506"/>
        <v>1</v>
      </c>
      <c r="GN209">
        <f t="shared" si="507"/>
        <v>1</v>
      </c>
      <c r="GO209">
        <f t="shared" si="508"/>
        <v>1</v>
      </c>
      <c r="GP209">
        <f t="shared" si="509"/>
        <v>1</v>
      </c>
      <c r="GQ209">
        <f t="shared" si="510"/>
        <v>1</v>
      </c>
      <c r="GR209">
        <f t="shared" si="511"/>
        <v>1</v>
      </c>
      <c r="GS209">
        <f t="shared" si="512"/>
        <v>1</v>
      </c>
      <c r="GT209">
        <f t="shared" si="513"/>
        <v>1</v>
      </c>
      <c r="GU209">
        <f t="shared" si="514"/>
        <v>1</v>
      </c>
      <c r="GX209" s="10"/>
    </row>
    <row r="210" spans="1:206" x14ac:dyDescent="0.3">
      <c r="A210" s="9" t="s">
        <v>124</v>
      </c>
      <c r="B210" s="80"/>
      <c r="C210" s="9">
        <v>3151686002</v>
      </c>
      <c r="D210" s="9" t="s">
        <v>447</v>
      </c>
      <c r="E210" s="9" t="s">
        <v>34</v>
      </c>
      <c r="F210" s="9" t="s">
        <v>35</v>
      </c>
      <c r="G210" s="9" t="s">
        <v>233</v>
      </c>
      <c r="H210" s="10">
        <v>44950</v>
      </c>
      <c r="I210" s="9">
        <f t="shared" si="515"/>
        <v>2023</v>
      </c>
      <c r="J210" s="9">
        <f t="shared" si="516"/>
        <v>1</v>
      </c>
      <c r="K210" s="9" t="str">
        <f t="shared" si="517"/>
        <v>2023_1</v>
      </c>
      <c r="L210">
        <f>MAX(0,VLOOKUP($K210,lookups!$A$1:$B$45,2,0)-12)</f>
        <v>21</v>
      </c>
      <c r="M210" s="40">
        <f t="shared" si="518"/>
        <v>44927</v>
      </c>
      <c r="N210" s="10" t="s">
        <v>37</v>
      </c>
      <c r="O210" t="str">
        <f ca="1">IF(OR($L210&gt;O$4,O$4&gt;$L210+23),"",OFFSET(Electric!$L201,0,-'Electric Calendarize'!$L210+'Electric Calendarize'!O$4+1))</f>
        <v/>
      </c>
      <c r="P210" t="str">
        <f ca="1">IF(OR($L210&gt;P$4,P$4&gt;$L210+23),"",OFFSET(Electric!$L201,0,-'Electric Calendarize'!$L210+'Electric Calendarize'!P$4+1))</f>
        <v/>
      </c>
      <c r="Q210" t="str">
        <f ca="1">IF(OR($L210&gt;Q$4,Q$4&gt;$L210+23),"",OFFSET(Electric!$L201,0,-'Electric Calendarize'!$L210+'Electric Calendarize'!Q$4+1))</f>
        <v/>
      </c>
      <c r="R210" t="str">
        <f ca="1">IF(OR($L210&gt;R$4,R$4&gt;$L210+23),"",OFFSET(Electric!$L201,0,-'Electric Calendarize'!$L210+'Electric Calendarize'!R$4+1))</f>
        <v/>
      </c>
      <c r="S210" t="str">
        <f ca="1">IF(OR($L210&gt;S$4,S$4&gt;$L210+23),"",OFFSET(Electric!$L201,0,-'Electric Calendarize'!$L210+'Electric Calendarize'!S$4+1))</f>
        <v/>
      </c>
      <c r="T210" t="str">
        <f ca="1">IF(OR($L210&gt;T$4,T$4&gt;$L210+23),"",OFFSET(Electric!$L201,0,-'Electric Calendarize'!$L210+'Electric Calendarize'!T$4+1))</f>
        <v/>
      </c>
      <c r="U210" t="str">
        <f ca="1">IF(OR($L210&gt;U$4,U$4&gt;$L210+23),"",OFFSET(Electric!$L201,0,-'Electric Calendarize'!$L210+'Electric Calendarize'!U$4+1))</f>
        <v/>
      </c>
      <c r="V210" t="str">
        <f ca="1">IF(OR($L210&gt;V$4,V$4&gt;$L210+23),"",OFFSET(Electric!$L201,0,-'Electric Calendarize'!$L210+'Electric Calendarize'!V$4+1))</f>
        <v/>
      </c>
      <c r="W210" t="str">
        <f ca="1">IF(OR($L210&gt;W$4,W$4&gt;$L210+23),"",OFFSET(Electric!$L201,0,-'Electric Calendarize'!$L210+'Electric Calendarize'!W$4+1))</f>
        <v/>
      </c>
      <c r="X210" t="str">
        <f ca="1">IF(OR($L210&gt;X$4,X$4&gt;$L210+23),"",OFFSET(Electric!$L201,0,-'Electric Calendarize'!$L210+'Electric Calendarize'!X$4+1))</f>
        <v/>
      </c>
      <c r="Y210" t="str">
        <f ca="1">IF(OR($L210&gt;Y$4,Y$4&gt;$L210+23),"",OFFSET(Electric!$L201,0,-'Electric Calendarize'!$L210+'Electric Calendarize'!Y$4+1))</f>
        <v/>
      </c>
      <c r="Z210" t="str">
        <f ca="1">IF(OR($L210&gt;Z$4,Z$4&gt;$L210+23),"",OFFSET(Electric!$L201,0,-'Electric Calendarize'!$L210+'Electric Calendarize'!Z$4+1))</f>
        <v/>
      </c>
      <c r="AA210" t="str">
        <f ca="1">IF(OR($L210&gt;AA$4,AA$4&gt;$L210+23),"",OFFSET(Electric!$L201,0,-'Electric Calendarize'!$L210+'Electric Calendarize'!AA$4+1))</f>
        <v/>
      </c>
      <c r="AB210" t="str">
        <f ca="1">IF(OR($L210&gt;AB$4,AB$4&gt;$L210+23),"",OFFSET(Electric!$L201,0,-'Electric Calendarize'!$L210+'Electric Calendarize'!AB$4+1))</f>
        <v/>
      </c>
      <c r="AC210" t="str">
        <f ca="1">IF(OR($L210&gt;AC$4,AC$4&gt;$L210+23),"",OFFSET(Electric!$L201,0,-'Electric Calendarize'!$L210+'Electric Calendarize'!AC$4+1))</f>
        <v/>
      </c>
      <c r="AD210" t="str">
        <f ca="1">IF(OR($L210&gt;AD$4,AD$4&gt;$L210+23),"",OFFSET(Electric!$L201,0,-'Electric Calendarize'!$L210+'Electric Calendarize'!AD$4+1))</f>
        <v/>
      </c>
      <c r="AE210" t="str">
        <f ca="1">IF(OR($L210&gt;AE$4,AE$4&gt;$L210+23),"",OFFSET(Electric!$L201,0,-'Electric Calendarize'!$L210+'Electric Calendarize'!AE$4+1))</f>
        <v/>
      </c>
      <c r="AF210" t="str">
        <f ca="1">IF(OR($L210&gt;AF$4,AF$4&gt;$L210+23),"",OFFSET(Electric!$L201,0,-'Electric Calendarize'!$L210+'Electric Calendarize'!AF$4+1))</f>
        <v/>
      </c>
      <c r="AG210" t="str">
        <f ca="1">IF(OR($L210&gt;AG$4,AG$4&gt;$L210+23),"",OFFSET(Electric!$L201,0,-'Electric Calendarize'!$L210+'Electric Calendarize'!AG$4+1))</f>
        <v/>
      </c>
      <c r="AH210" t="str">
        <f ca="1">IF(OR($L210&gt;AH$4,AH$4&gt;$L210+23),"",OFFSET(Electric!$L201,0,-'Electric Calendarize'!$L210+'Electric Calendarize'!AH$4+1))</f>
        <v/>
      </c>
      <c r="AI210" t="str">
        <f ca="1">IF(OR($L210&gt;AI$4,AI$4&gt;$L210+23),"",OFFSET(Electric!$L201,0,-'Electric Calendarize'!$L210+'Electric Calendarize'!AI$4+1))</f>
        <v/>
      </c>
      <c r="AJ210">
        <f ca="1">IF(OR($L210&gt;AJ$4,AJ$4&gt;$L210+23),"",OFFSET(Electric!$L201,0,-'Electric Calendarize'!$L210+'Electric Calendarize'!AJ$4+1))</f>
        <v>2084</v>
      </c>
      <c r="AK210">
        <f ca="1">IF(OR($L210&gt;AK$4,AK$4&gt;$L210+23),"",OFFSET(Electric!$L201,0,-'Electric Calendarize'!$L210+'Electric Calendarize'!AK$4+1))</f>
        <v>1510</v>
      </c>
      <c r="AL210">
        <f ca="1">IF(OR($L210&gt;AL$4,AL$4&gt;$L210+23),"",OFFSET(Electric!$L201,0,-'Electric Calendarize'!$L210+'Electric Calendarize'!AL$4+1))</f>
        <v>1234</v>
      </c>
      <c r="AM210">
        <f ca="1">IF(OR($L210&gt;AM$4,AM$4&gt;$L210+23),"",OFFSET(Electric!$L201,0,-'Electric Calendarize'!$L210+'Electric Calendarize'!AM$4+1))</f>
        <v>870</v>
      </c>
      <c r="AN210">
        <f ca="1">IF(OR($L210&gt;AN$4,AN$4&gt;$L210+23),"",OFFSET(Electric!$L201,0,-'Electric Calendarize'!$L210+'Electric Calendarize'!AN$4+1))</f>
        <v>1006</v>
      </c>
      <c r="AO210">
        <f ca="1">IF(OR($L210&gt;AO$4,AO$4&gt;$L210+23),"",OFFSET(Electric!$L201,0,-'Electric Calendarize'!$L210+'Electric Calendarize'!AO$4+1))</f>
        <v>810</v>
      </c>
      <c r="AP210">
        <f ca="1">IF(OR($L210&gt;AP$4,AP$4&gt;$L210+23),"",OFFSET(Electric!$L201,0,-'Electric Calendarize'!$L210+'Electric Calendarize'!AP$4+1))</f>
        <v>1670</v>
      </c>
      <c r="AQ210">
        <f ca="1">IF(OR($L210&gt;AQ$4,AQ$4&gt;$L210+23),"",OFFSET(Electric!$L201,0,-'Electric Calendarize'!$L210+'Electric Calendarize'!AQ$4+1))</f>
        <v>1784</v>
      </c>
      <c r="AR210">
        <f ca="1">IF(OR($L210&gt;AR$4,AR$4&gt;$L210+23),"",OFFSET(Electric!$L201,0,-'Electric Calendarize'!$L210+'Electric Calendarize'!AR$4+1))</f>
        <v>1578</v>
      </c>
      <c r="AS210">
        <f ca="1">IF(OR($L210&gt;AS$4,AS$4&gt;$L210+23),"",OFFSET(Electric!$L201,0,-'Electric Calendarize'!$L210+'Electric Calendarize'!AS$4+1))</f>
        <v>1098</v>
      </c>
      <c r="AT210">
        <f ca="1">IF(OR($L210&gt;AT$4,AT$4&gt;$L210+23),"",OFFSET(Electric!$L201,0,-'Electric Calendarize'!$L210+'Electric Calendarize'!AT$4+1))</f>
        <v>1260</v>
      </c>
      <c r="AU210">
        <f ca="1">IF(OR($L210&gt;AU$4,AU$4&gt;$L210+23),"",OFFSET(Electric!$L201,0,-'Electric Calendarize'!$L210+'Electric Calendarize'!AU$4+1))</f>
        <v>1458</v>
      </c>
      <c r="AV210">
        <f ca="1">IF(OR($L210&gt;AV$4,AV$4&gt;$L210+23),"",OFFSET(Electric!$L201,0,-'Electric Calendarize'!$L210+'Electric Calendarize'!AV$4+1))</f>
        <v>1558</v>
      </c>
      <c r="AW210">
        <f ca="1">IF(OR($L210&gt;AW$4,AW$4&gt;$L210+23),"",OFFSET(Electric!$L201,0,-'Electric Calendarize'!$L210+'Electric Calendarize'!AW$4+1))</f>
        <v>1226</v>
      </c>
      <c r="AX210">
        <f ca="1">IF(OR($L210&gt;AX$4,AX$4&gt;$L210+23),"",OFFSET(Electric!$L201,0,-'Electric Calendarize'!$L210+'Electric Calendarize'!AX$4+1))</f>
        <v>1112</v>
      </c>
      <c r="AY210">
        <f ca="1">IF(OR($L210&gt;AY$4,AY$4&gt;$L210+23),"",OFFSET(Electric!$L201,0,-'Electric Calendarize'!$L210+'Electric Calendarize'!AY$4+1))</f>
        <v>1300</v>
      </c>
      <c r="AZ210">
        <f ca="1">IF(OR($L210&gt;AZ$4,AZ$4&gt;$L210+23),"",OFFSET(Electric!$L201,0,-'Electric Calendarize'!$L210+'Electric Calendarize'!AZ$4+1))</f>
        <v>1388</v>
      </c>
      <c r="BA210">
        <f ca="1">IF(OR($L210&gt;BA$4,BA$4&gt;$L210+23),"",OFFSET(Electric!$L201,0,-'Electric Calendarize'!$L210+'Electric Calendarize'!BA$4+1))</f>
        <v>1422</v>
      </c>
      <c r="BB210">
        <f ca="1">IF(OR($L210&gt;BB$4,BB$4&gt;$L210+23),"",OFFSET(Electric!$L201,0,-'Electric Calendarize'!$L210+'Electric Calendarize'!BB$4+1))</f>
        <v>2126</v>
      </c>
      <c r="BC210">
        <f ca="1">IF(OR($L210&gt;BC$4,BC$4&gt;$L210+23),"",OFFSET(Electric!$L201,0,-'Electric Calendarize'!$L210+'Electric Calendarize'!BC$4+1))</f>
        <v>1980</v>
      </c>
      <c r="BD210">
        <f ca="1">IF(OR($L210&gt;BD$4,BD$4&gt;$L210+23),"",OFFSET(Electric!$L201,0,-'Electric Calendarize'!$L210+'Electric Calendarize'!BD$4+1))</f>
        <v>1924</v>
      </c>
      <c r="BE210">
        <f ca="1">IF(OR($L210&gt;BE$4,BE$4&gt;$L210+23),"",OFFSET(Electric!$L201,0,-'Electric Calendarize'!$L210+'Electric Calendarize'!BE$4+1))</f>
        <v>1400</v>
      </c>
      <c r="BF210">
        <f ca="1">IF(OR($L210&gt;BF$4,BF$4&gt;$L210+23),"",OFFSET(Electric!$L201,0,-'Electric Calendarize'!$L210+'Electric Calendarize'!BF$4+1))</f>
        <v>2100</v>
      </c>
      <c r="BG210">
        <f ca="1">IF(OR($L210&gt;BG$4,BG$4&gt;$L210+23),"",OFFSET(Electric!$L201,0,-'Electric Calendarize'!$L210+'Electric Calendarize'!BG$4+1))</f>
        <v>0</v>
      </c>
      <c r="BJ210" s="10" t="s">
        <v>37</v>
      </c>
      <c r="BK210">
        <f t="shared" si="519"/>
        <v>1</v>
      </c>
      <c r="BL210">
        <f t="shared" si="425"/>
        <v>0</v>
      </c>
      <c r="BM210">
        <f t="shared" si="426"/>
        <v>0</v>
      </c>
      <c r="BN210">
        <f t="shared" si="427"/>
        <v>0</v>
      </c>
      <c r="BO210">
        <f t="shared" si="428"/>
        <v>0</v>
      </c>
      <c r="BP210">
        <f t="shared" si="429"/>
        <v>0</v>
      </c>
      <c r="BQ210">
        <f t="shared" si="430"/>
        <v>0</v>
      </c>
      <c r="BR210">
        <f t="shared" si="431"/>
        <v>1</v>
      </c>
      <c r="BS210">
        <f t="shared" si="432"/>
        <v>1</v>
      </c>
      <c r="BT210">
        <f t="shared" si="433"/>
        <v>1</v>
      </c>
      <c r="BU210">
        <f t="shared" si="434"/>
        <v>1</v>
      </c>
      <c r="BV210">
        <f t="shared" si="435"/>
        <v>1</v>
      </c>
      <c r="BW210">
        <f t="shared" si="436"/>
        <v>1</v>
      </c>
      <c r="BX210">
        <f t="shared" si="437"/>
        <v>0</v>
      </c>
      <c r="BY210">
        <f t="shared" si="438"/>
        <v>0</v>
      </c>
      <c r="BZ210">
        <f t="shared" si="439"/>
        <v>0</v>
      </c>
      <c r="CA210">
        <f t="shared" si="440"/>
        <v>0</v>
      </c>
      <c r="CB210">
        <f t="shared" si="441"/>
        <v>0</v>
      </c>
      <c r="CC210">
        <f t="shared" si="442"/>
        <v>0</v>
      </c>
      <c r="CD210">
        <f t="shared" si="443"/>
        <v>1</v>
      </c>
      <c r="CE210">
        <f t="shared" si="444"/>
        <v>1</v>
      </c>
      <c r="CF210">
        <f t="shared" si="445"/>
        <v>1</v>
      </c>
      <c r="CG210">
        <f t="shared" si="446"/>
        <v>1</v>
      </c>
      <c r="CH210">
        <f t="shared" si="447"/>
        <v>1</v>
      </c>
      <c r="CI210">
        <f t="shared" si="448"/>
        <v>1</v>
      </c>
      <c r="CJ210">
        <f t="shared" si="449"/>
        <v>0</v>
      </c>
      <c r="CK210">
        <f t="shared" si="450"/>
        <v>0</v>
      </c>
      <c r="CL210">
        <f t="shared" si="451"/>
        <v>0</v>
      </c>
      <c r="CM210">
        <f t="shared" si="452"/>
        <v>0</v>
      </c>
      <c r="CN210">
        <f t="shared" si="453"/>
        <v>0</v>
      </c>
      <c r="CO210">
        <f t="shared" si="454"/>
        <v>0</v>
      </c>
      <c r="CP210">
        <f t="shared" si="455"/>
        <v>1</v>
      </c>
      <c r="CQ210">
        <f t="shared" si="456"/>
        <v>1</v>
      </c>
      <c r="CR210">
        <f t="shared" si="457"/>
        <v>1</v>
      </c>
      <c r="CS210">
        <f t="shared" si="458"/>
        <v>1</v>
      </c>
      <c r="CT210">
        <f t="shared" si="459"/>
        <v>1</v>
      </c>
      <c r="CU210">
        <f t="shared" si="460"/>
        <v>1</v>
      </c>
      <c r="CV210">
        <f t="shared" si="461"/>
        <v>0</v>
      </c>
      <c r="CW210">
        <f t="shared" si="462"/>
        <v>0</v>
      </c>
      <c r="CX210">
        <f t="shared" si="463"/>
        <v>0</v>
      </c>
      <c r="CY210">
        <f t="shared" si="464"/>
        <v>0</v>
      </c>
      <c r="CZ210">
        <f t="shared" si="465"/>
        <v>0</v>
      </c>
      <c r="DA210">
        <f t="shared" si="466"/>
        <v>0</v>
      </c>
      <c r="DB210">
        <f t="shared" si="467"/>
        <v>1</v>
      </c>
      <c r="DC210">
        <f t="shared" si="468"/>
        <v>1</v>
      </c>
      <c r="DF210" s="10" t="s">
        <v>37</v>
      </c>
      <c r="DG210" t="str">
        <f t="shared" si="520"/>
        <v>2023_1</v>
      </c>
      <c r="DH210" t="str">
        <f t="shared" si="520"/>
        <v>2023_1</v>
      </c>
      <c r="DI210" t="str">
        <f t="shared" si="520"/>
        <v>2023_1</v>
      </c>
      <c r="DJ210" t="str">
        <f t="shared" si="520"/>
        <v>2023_1</v>
      </c>
      <c r="DK210" t="str">
        <f t="shared" si="520"/>
        <v>2023_1</v>
      </c>
      <c r="DL210" t="str">
        <f t="shared" si="520"/>
        <v>2023_1</v>
      </c>
      <c r="DM210" t="str">
        <f t="shared" si="520"/>
        <v>2023_1</v>
      </c>
      <c r="DN210" t="str">
        <f t="shared" si="520"/>
        <v>2023_1</v>
      </c>
      <c r="DO210" t="str">
        <f t="shared" si="520"/>
        <v>2023_1</v>
      </c>
      <c r="DP210" t="str">
        <f t="shared" si="520"/>
        <v>2023_1</v>
      </c>
      <c r="DQ210" t="str">
        <f t="shared" si="520"/>
        <v>2023_1</v>
      </c>
      <c r="DR210" t="str">
        <f t="shared" si="520"/>
        <v>2023_1</v>
      </c>
      <c r="DS210" t="str">
        <f t="shared" si="520"/>
        <v>2023_1</v>
      </c>
      <c r="DT210" t="str">
        <f t="shared" si="520"/>
        <v>2023_1</v>
      </c>
      <c r="DU210" t="str">
        <f t="shared" si="520"/>
        <v>2023_1</v>
      </c>
      <c r="DV210" t="str">
        <f t="shared" si="469"/>
        <v>2023_1</v>
      </c>
      <c r="DW210" t="str">
        <f t="shared" si="469"/>
        <v>2023_1</v>
      </c>
      <c r="DX210" t="str">
        <f t="shared" si="469"/>
        <v>2023_1</v>
      </c>
      <c r="DY210" t="str">
        <f t="shared" si="469"/>
        <v>2023_1</v>
      </c>
      <c r="DZ210" t="str">
        <f t="shared" si="469"/>
        <v>2023_1</v>
      </c>
      <c r="EA210" t="str">
        <f t="shared" si="469"/>
        <v>2023_1</v>
      </c>
      <c r="EB210" t="str">
        <f t="shared" si="469"/>
        <v>2023_1</v>
      </c>
      <c r="EC210" t="str">
        <f t="shared" si="469"/>
        <v>2023_1</v>
      </c>
      <c r="ED210" t="str">
        <f t="shared" si="469"/>
        <v>2023_1</v>
      </c>
      <c r="EE210" t="str">
        <f t="shared" si="469"/>
        <v>2023_1</v>
      </c>
      <c r="EF210" t="str">
        <f t="shared" si="469"/>
        <v>2023_1</v>
      </c>
      <c r="EG210" t="str">
        <f t="shared" si="469"/>
        <v>2023_1</v>
      </c>
      <c r="EH210" t="str">
        <f t="shared" si="469"/>
        <v>2023_1</v>
      </c>
      <c r="EI210" t="str">
        <f t="shared" si="469"/>
        <v>2023_1</v>
      </c>
      <c r="EJ210" t="str">
        <f t="shared" si="469"/>
        <v>2023_1</v>
      </c>
      <c r="EK210" t="str">
        <f t="shared" si="469"/>
        <v>2023_1</v>
      </c>
      <c r="EL210" t="str">
        <f t="shared" si="470"/>
        <v>2023_1</v>
      </c>
      <c r="EM210" t="str">
        <f t="shared" si="424"/>
        <v>2023_1</v>
      </c>
      <c r="EN210" t="str">
        <f t="shared" si="424"/>
        <v>2023_1</v>
      </c>
      <c r="EO210" t="str">
        <f t="shared" si="424"/>
        <v>2023_1</v>
      </c>
      <c r="EP210" t="str">
        <f t="shared" si="424"/>
        <v>2023_1</v>
      </c>
      <c r="EQ210" t="str">
        <f t="shared" si="424"/>
        <v>2023_1</v>
      </c>
      <c r="ER210" t="str">
        <f t="shared" si="424"/>
        <v>2023_1</v>
      </c>
      <c r="ES210" t="str">
        <f t="shared" si="424"/>
        <v>2023_1</v>
      </c>
      <c r="ET210" t="str">
        <f t="shared" si="424"/>
        <v>2023_1</v>
      </c>
      <c r="EU210" t="str">
        <f t="shared" si="424"/>
        <v>2023_1</v>
      </c>
      <c r="EV210" t="str">
        <f t="shared" si="424"/>
        <v>2023_1</v>
      </c>
      <c r="EW210" t="str">
        <f t="shared" si="424"/>
        <v>2023_1</v>
      </c>
      <c r="EX210" t="str">
        <f t="shared" si="424"/>
        <v>2023_1</v>
      </c>
      <c r="EY210" t="str">
        <f t="shared" si="424"/>
        <v>2023_1</v>
      </c>
      <c r="FB210" s="10" t="s">
        <v>37</v>
      </c>
      <c r="FC210">
        <f t="shared" si="521"/>
        <v>0</v>
      </c>
      <c r="FD210">
        <f t="shared" si="471"/>
        <v>0</v>
      </c>
      <c r="FE210">
        <f t="shared" si="472"/>
        <v>0</v>
      </c>
      <c r="FF210">
        <f t="shared" si="473"/>
        <v>0</v>
      </c>
      <c r="FG210">
        <f t="shared" si="474"/>
        <v>0</v>
      </c>
      <c r="FH210">
        <f t="shared" si="475"/>
        <v>0</v>
      </c>
      <c r="FI210">
        <f t="shared" si="476"/>
        <v>0</v>
      </c>
      <c r="FJ210">
        <f t="shared" si="477"/>
        <v>0</v>
      </c>
      <c r="FK210">
        <f t="shared" si="478"/>
        <v>0</v>
      </c>
      <c r="FL210">
        <f t="shared" si="479"/>
        <v>0</v>
      </c>
      <c r="FM210">
        <f t="shared" si="480"/>
        <v>0</v>
      </c>
      <c r="FN210">
        <f t="shared" si="481"/>
        <v>0</v>
      </c>
      <c r="FO210">
        <f t="shared" si="482"/>
        <v>0</v>
      </c>
      <c r="FP210">
        <f t="shared" si="483"/>
        <v>0</v>
      </c>
      <c r="FQ210">
        <f t="shared" si="484"/>
        <v>0</v>
      </c>
      <c r="FR210">
        <f t="shared" si="485"/>
        <v>0</v>
      </c>
      <c r="FS210">
        <f t="shared" si="486"/>
        <v>0</v>
      </c>
      <c r="FT210">
        <f t="shared" si="487"/>
        <v>0</v>
      </c>
      <c r="FU210">
        <f t="shared" si="488"/>
        <v>0</v>
      </c>
      <c r="FV210">
        <f t="shared" si="489"/>
        <v>0</v>
      </c>
      <c r="FW210">
        <f t="shared" si="490"/>
        <v>0</v>
      </c>
      <c r="FX210">
        <f t="shared" si="491"/>
        <v>0</v>
      </c>
      <c r="FY210">
        <f t="shared" si="492"/>
        <v>0</v>
      </c>
      <c r="FZ210">
        <f t="shared" si="493"/>
        <v>0</v>
      </c>
      <c r="GA210">
        <f t="shared" si="494"/>
        <v>0</v>
      </c>
      <c r="GB210">
        <f t="shared" si="495"/>
        <v>0</v>
      </c>
      <c r="GC210">
        <f t="shared" si="496"/>
        <v>0</v>
      </c>
      <c r="GD210">
        <f t="shared" si="497"/>
        <v>0</v>
      </c>
      <c r="GE210">
        <f t="shared" si="498"/>
        <v>0</v>
      </c>
      <c r="GF210">
        <f t="shared" si="499"/>
        <v>0</v>
      </c>
      <c r="GG210">
        <f t="shared" si="500"/>
        <v>0</v>
      </c>
      <c r="GH210">
        <f t="shared" si="501"/>
        <v>0</v>
      </c>
      <c r="GI210">
        <f t="shared" si="502"/>
        <v>0</v>
      </c>
      <c r="GJ210">
        <f t="shared" si="503"/>
        <v>1</v>
      </c>
      <c r="GK210">
        <f t="shared" si="504"/>
        <v>1</v>
      </c>
      <c r="GL210">
        <f t="shared" si="505"/>
        <v>1</v>
      </c>
      <c r="GM210">
        <f t="shared" si="506"/>
        <v>1</v>
      </c>
      <c r="GN210">
        <f t="shared" si="507"/>
        <v>1</v>
      </c>
      <c r="GO210">
        <f t="shared" si="508"/>
        <v>1</v>
      </c>
      <c r="GP210">
        <f t="shared" si="509"/>
        <v>1</v>
      </c>
      <c r="GQ210">
        <f t="shared" si="510"/>
        <v>1</v>
      </c>
      <c r="GR210">
        <f t="shared" si="511"/>
        <v>1</v>
      </c>
      <c r="GS210">
        <f t="shared" si="512"/>
        <v>1</v>
      </c>
      <c r="GT210">
        <f t="shared" si="513"/>
        <v>1</v>
      </c>
      <c r="GU210">
        <f t="shared" si="514"/>
        <v>1</v>
      </c>
      <c r="GX210" s="10"/>
    </row>
    <row r="211" spans="1:206" x14ac:dyDescent="0.3">
      <c r="A211" s="9" t="s">
        <v>234</v>
      </c>
      <c r="B211" s="80"/>
      <c r="C211" s="9">
        <v>3152019000</v>
      </c>
      <c r="D211" s="9" t="s">
        <v>368</v>
      </c>
      <c r="E211" s="9" t="s">
        <v>39</v>
      </c>
      <c r="F211" s="9" t="s">
        <v>35</v>
      </c>
      <c r="G211" s="9" t="s">
        <v>141</v>
      </c>
      <c r="H211" s="10">
        <v>44950</v>
      </c>
      <c r="I211" s="9">
        <f t="shared" si="515"/>
        <v>2023</v>
      </c>
      <c r="J211" s="9">
        <f t="shared" si="516"/>
        <v>1</v>
      </c>
      <c r="K211" s="9" t="str">
        <f t="shared" si="517"/>
        <v>2023_1</v>
      </c>
      <c r="L211">
        <f>MAX(0,VLOOKUP($K211,lookups!$A$1:$B$45,2,0)-12)</f>
        <v>21</v>
      </c>
      <c r="M211" s="40">
        <f t="shared" si="518"/>
        <v>44927</v>
      </c>
      <c r="N211" s="10" t="s">
        <v>37</v>
      </c>
      <c r="O211" t="str">
        <f ca="1">IF(OR($L211&gt;O$4,O$4&gt;$L211+23),"",OFFSET(Electric!$L202,0,-'Electric Calendarize'!$L211+'Electric Calendarize'!O$4+1))</f>
        <v/>
      </c>
      <c r="P211" t="str">
        <f ca="1">IF(OR($L211&gt;P$4,P$4&gt;$L211+23),"",OFFSET(Electric!$L202,0,-'Electric Calendarize'!$L211+'Electric Calendarize'!P$4+1))</f>
        <v/>
      </c>
      <c r="Q211" t="str">
        <f ca="1">IF(OR($L211&gt;Q$4,Q$4&gt;$L211+23),"",OFFSET(Electric!$L202,0,-'Electric Calendarize'!$L211+'Electric Calendarize'!Q$4+1))</f>
        <v/>
      </c>
      <c r="R211" t="str">
        <f ca="1">IF(OR($L211&gt;R$4,R$4&gt;$L211+23),"",OFFSET(Electric!$L202,0,-'Electric Calendarize'!$L211+'Electric Calendarize'!R$4+1))</f>
        <v/>
      </c>
      <c r="S211" t="str">
        <f ca="1">IF(OR($L211&gt;S$4,S$4&gt;$L211+23),"",OFFSET(Electric!$L202,0,-'Electric Calendarize'!$L211+'Electric Calendarize'!S$4+1))</f>
        <v/>
      </c>
      <c r="T211" t="str">
        <f ca="1">IF(OR($L211&gt;T$4,T$4&gt;$L211+23),"",OFFSET(Electric!$L202,0,-'Electric Calendarize'!$L211+'Electric Calendarize'!T$4+1))</f>
        <v/>
      </c>
      <c r="U211" t="str">
        <f ca="1">IF(OR($L211&gt;U$4,U$4&gt;$L211+23),"",OFFSET(Electric!$L202,0,-'Electric Calendarize'!$L211+'Electric Calendarize'!U$4+1))</f>
        <v/>
      </c>
      <c r="V211" t="str">
        <f ca="1">IF(OR($L211&gt;V$4,V$4&gt;$L211+23),"",OFFSET(Electric!$L202,0,-'Electric Calendarize'!$L211+'Electric Calendarize'!V$4+1))</f>
        <v/>
      </c>
      <c r="W211" t="str">
        <f ca="1">IF(OR($L211&gt;W$4,W$4&gt;$L211+23),"",OFFSET(Electric!$L202,0,-'Electric Calendarize'!$L211+'Electric Calendarize'!W$4+1))</f>
        <v/>
      </c>
      <c r="X211" t="str">
        <f ca="1">IF(OR($L211&gt;X$4,X$4&gt;$L211+23),"",OFFSET(Electric!$L202,0,-'Electric Calendarize'!$L211+'Electric Calendarize'!X$4+1))</f>
        <v/>
      </c>
      <c r="Y211" t="str">
        <f ca="1">IF(OR($L211&gt;Y$4,Y$4&gt;$L211+23),"",OFFSET(Electric!$L202,0,-'Electric Calendarize'!$L211+'Electric Calendarize'!Y$4+1))</f>
        <v/>
      </c>
      <c r="Z211" t="str">
        <f ca="1">IF(OR($L211&gt;Z$4,Z$4&gt;$L211+23),"",OFFSET(Electric!$L202,0,-'Electric Calendarize'!$L211+'Electric Calendarize'!Z$4+1))</f>
        <v/>
      </c>
      <c r="AA211" t="str">
        <f ca="1">IF(OR($L211&gt;AA$4,AA$4&gt;$L211+23),"",OFFSET(Electric!$L202,0,-'Electric Calendarize'!$L211+'Electric Calendarize'!AA$4+1))</f>
        <v/>
      </c>
      <c r="AB211" t="str">
        <f ca="1">IF(OR($L211&gt;AB$4,AB$4&gt;$L211+23),"",OFFSET(Electric!$L202,0,-'Electric Calendarize'!$L211+'Electric Calendarize'!AB$4+1))</f>
        <v/>
      </c>
      <c r="AC211" t="str">
        <f ca="1">IF(OR($L211&gt;AC$4,AC$4&gt;$L211+23),"",OFFSET(Electric!$L202,0,-'Electric Calendarize'!$L211+'Electric Calendarize'!AC$4+1))</f>
        <v/>
      </c>
      <c r="AD211" t="str">
        <f ca="1">IF(OR($L211&gt;AD$4,AD$4&gt;$L211+23),"",OFFSET(Electric!$L202,0,-'Electric Calendarize'!$L211+'Electric Calendarize'!AD$4+1))</f>
        <v/>
      </c>
      <c r="AE211" t="str">
        <f ca="1">IF(OR($L211&gt;AE$4,AE$4&gt;$L211+23),"",OFFSET(Electric!$L202,0,-'Electric Calendarize'!$L211+'Electric Calendarize'!AE$4+1))</f>
        <v/>
      </c>
      <c r="AF211" t="str">
        <f ca="1">IF(OR($L211&gt;AF$4,AF$4&gt;$L211+23),"",OFFSET(Electric!$L202,0,-'Electric Calendarize'!$L211+'Electric Calendarize'!AF$4+1))</f>
        <v/>
      </c>
      <c r="AG211" t="str">
        <f ca="1">IF(OR($L211&gt;AG$4,AG$4&gt;$L211+23),"",OFFSET(Electric!$L202,0,-'Electric Calendarize'!$L211+'Electric Calendarize'!AG$4+1))</f>
        <v/>
      </c>
      <c r="AH211" t="str">
        <f ca="1">IF(OR($L211&gt;AH$4,AH$4&gt;$L211+23),"",OFFSET(Electric!$L202,0,-'Electric Calendarize'!$L211+'Electric Calendarize'!AH$4+1))</f>
        <v/>
      </c>
      <c r="AI211" t="str">
        <f ca="1">IF(OR($L211&gt;AI$4,AI$4&gt;$L211+23),"",OFFSET(Electric!$L202,0,-'Electric Calendarize'!$L211+'Electric Calendarize'!AI$4+1))</f>
        <v/>
      </c>
      <c r="AJ211">
        <f ca="1">IF(OR($L211&gt;AJ$4,AJ$4&gt;$L211+23),"",OFFSET(Electric!$L202,0,-'Electric Calendarize'!$L211+'Electric Calendarize'!AJ$4+1))</f>
        <v>647</v>
      </c>
      <c r="AK211">
        <f ca="1">IF(OR($L211&gt;AK$4,AK$4&gt;$L211+23),"",OFFSET(Electric!$L202,0,-'Electric Calendarize'!$L211+'Electric Calendarize'!AK$4+1))</f>
        <v>603</v>
      </c>
      <c r="AL211">
        <f ca="1">IF(OR($L211&gt;AL$4,AL$4&gt;$L211+23),"",OFFSET(Electric!$L202,0,-'Electric Calendarize'!$L211+'Electric Calendarize'!AL$4+1))</f>
        <v>543</v>
      </c>
      <c r="AM211">
        <f ca="1">IF(OR($L211&gt;AM$4,AM$4&gt;$L211+23),"",OFFSET(Electric!$L202,0,-'Electric Calendarize'!$L211+'Electric Calendarize'!AM$4+1))</f>
        <v>397</v>
      </c>
      <c r="AN211">
        <f ca="1">IF(OR($L211&gt;AN$4,AN$4&gt;$L211+23),"",OFFSET(Electric!$L202,0,-'Electric Calendarize'!$L211+'Electric Calendarize'!AN$4+1))</f>
        <v>318</v>
      </c>
      <c r="AO211">
        <f ca="1">IF(OR($L211&gt;AO$4,AO$4&gt;$L211+23),"",OFFSET(Electric!$L202,0,-'Electric Calendarize'!$L211+'Electric Calendarize'!AO$4+1))</f>
        <v>331</v>
      </c>
      <c r="AP211">
        <f ca="1">IF(OR($L211&gt;AP$4,AP$4&gt;$L211+23),"",OFFSET(Electric!$L202,0,-'Electric Calendarize'!$L211+'Electric Calendarize'!AP$4+1))</f>
        <v>318</v>
      </c>
      <c r="AQ211">
        <f ca="1">IF(OR($L211&gt;AQ$4,AQ$4&gt;$L211+23),"",OFFSET(Electric!$L202,0,-'Electric Calendarize'!$L211+'Electric Calendarize'!AQ$4+1))</f>
        <v>427</v>
      </c>
      <c r="AR211">
        <f ca="1">IF(OR($L211&gt;AR$4,AR$4&gt;$L211+23),"",OFFSET(Electric!$L202,0,-'Electric Calendarize'!$L211+'Electric Calendarize'!AR$4+1))</f>
        <v>403</v>
      </c>
      <c r="AS211">
        <f ca="1">IF(OR($L211&gt;AS$4,AS$4&gt;$L211+23),"",OFFSET(Electric!$L202,0,-'Electric Calendarize'!$L211+'Electric Calendarize'!AS$4+1))</f>
        <v>372</v>
      </c>
      <c r="AT211">
        <f ca="1">IF(OR($L211&gt;AT$4,AT$4&gt;$L211+23),"",OFFSET(Electric!$L202,0,-'Electric Calendarize'!$L211+'Electric Calendarize'!AT$4+1))</f>
        <v>463</v>
      </c>
      <c r="AU211">
        <f ca="1">IF(OR($L211&gt;AU$4,AU$4&gt;$L211+23),"",OFFSET(Electric!$L202,0,-'Electric Calendarize'!$L211+'Electric Calendarize'!AU$4+1))</f>
        <v>495</v>
      </c>
      <c r="AV211">
        <f ca="1">IF(OR($L211&gt;AV$4,AV$4&gt;$L211+23),"",OFFSET(Electric!$L202,0,-'Electric Calendarize'!$L211+'Electric Calendarize'!AV$4+1))</f>
        <v>491</v>
      </c>
      <c r="AW211">
        <f ca="1">IF(OR($L211&gt;AW$4,AW$4&gt;$L211+23),"",OFFSET(Electric!$L202,0,-'Electric Calendarize'!$L211+'Electric Calendarize'!AW$4+1))</f>
        <v>525</v>
      </c>
      <c r="AX211">
        <f ca="1">IF(OR($L211&gt;AX$4,AX$4&gt;$L211+23),"",OFFSET(Electric!$L202,0,-'Electric Calendarize'!$L211+'Electric Calendarize'!AX$4+1))</f>
        <v>507</v>
      </c>
      <c r="AY211">
        <f ca="1">IF(OR($L211&gt;AY$4,AY$4&gt;$L211+23),"",OFFSET(Electric!$L202,0,-'Electric Calendarize'!$L211+'Electric Calendarize'!AY$4+1))</f>
        <v>374</v>
      </c>
      <c r="AZ211">
        <f ca="1">IF(OR($L211&gt;AZ$4,AZ$4&gt;$L211+23),"",OFFSET(Electric!$L202,0,-'Electric Calendarize'!$L211+'Electric Calendarize'!AZ$4+1))</f>
        <v>319</v>
      </c>
      <c r="BA211">
        <f ca="1">IF(OR($L211&gt;BA$4,BA$4&gt;$L211+23),"",OFFSET(Electric!$L202,0,-'Electric Calendarize'!$L211+'Electric Calendarize'!BA$4+1))</f>
        <v>316</v>
      </c>
      <c r="BB211">
        <f ca="1">IF(OR($L211&gt;BB$4,BB$4&gt;$L211+23),"",OFFSET(Electric!$L202,0,-'Electric Calendarize'!$L211+'Electric Calendarize'!BB$4+1))</f>
        <v>378</v>
      </c>
      <c r="BC211">
        <f ca="1">IF(OR($L211&gt;BC$4,BC$4&gt;$L211+23),"",OFFSET(Electric!$L202,0,-'Electric Calendarize'!$L211+'Electric Calendarize'!BC$4+1))</f>
        <v>408</v>
      </c>
      <c r="BD211">
        <f ca="1">IF(OR($L211&gt;BD$4,BD$4&gt;$L211+23),"",OFFSET(Electric!$L202,0,-'Electric Calendarize'!$L211+'Electric Calendarize'!BD$4+1))</f>
        <v>376</v>
      </c>
      <c r="BE211">
        <f ca="1">IF(OR($L211&gt;BE$4,BE$4&gt;$L211+23),"",OFFSET(Electric!$L202,0,-'Electric Calendarize'!$L211+'Electric Calendarize'!BE$4+1))</f>
        <v>350</v>
      </c>
      <c r="BF211">
        <f ca="1">IF(OR($L211&gt;BF$4,BF$4&gt;$L211+23),"",OFFSET(Electric!$L202,0,-'Electric Calendarize'!$L211+'Electric Calendarize'!BF$4+1))</f>
        <v>538</v>
      </c>
      <c r="BG211">
        <f ca="1">IF(OR($L211&gt;BG$4,BG$4&gt;$L211+23),"",OFFSET(Electric!$L202,0,-'Electric Calendarize'!$L211+'Electric Calendarize'!BG$4+1))</f>
        <v>0</v>
      </c>
      <c r="BJ211" s="10" t="s">
        <v>37</v>
      </c>
      <c r="BK211">
        <f t="shared" si="519"/>
        <v>1</v>
      </c>
      <c r="BL211">
        <f t="shared" si="425"/>
        <v>0</v>
      </c>
      <c r="BM211">
        <f t="shared" si="426"/>
        <v>0</v>
      </c>
      <c r="BN211">
        <f t="shared" si="427"/>
        <v>0</v>
      </c>
      <c r="BO211">
        <f t="shared" si="428"/>
        <v>0</v>
      </c>
      <c r="BP211">
        <f t="shared" si="429"/>
        <v>0</v>
      </c>
      <c r="BQ211">
        <f t="shared" si="430"/>
        <v>0</v>
      </c>
      <c r="BR211">
        <f t="shared" si="431"/>
        <v>1</v>
      </c>
      <c r="BS211">
        <f t="shared" si="432"/>
        <v>1</v>
      </c>
      <c r="BT211">
        <f t="shared" si="433"/>
        <v>1</v>
      </c>
      <c r="BU211">
        <f t="shared" si="434"/>
        <v>1</v>
      </c>
      <c r="BV211">
        <f t="shared" si="435"/>
        <v>1</v>
      </c>
      <c r="BW211">
        <f t="shared" si="436"/>
        <v>1</v>
      </c>
      <c r="BX211">
        <f t="shared" si="437"/>
        <v>0</v>
      </c>
      <c r="BY211">
        <f t="shared" si="438"/>
        <v>0</v>
      </c>
      <c r="BZ211">
        <f t="shared" si="439"/>
        <v>0</v>
      </c>
      <c r="CA211">
        <f t="shared" si="440"/>
        <v>0</v>
      </c>
      <c r="CB211">
        <f t="shared" si="441"/>
        <v>0</v>
      </c>
      <c r="CC211">
        <f t="shared" si="442"/>
        <v>0</v>
      </c>
      <c r="CD211">
        <f t="shared" si="443"/>
        <v>1</v>
      </c>
      <c r="CE211">
        <f t="shared" si="444"/>
        <v>1</v>
      </c>
      <c r="CF211">
        <f t="shared" si="445"/>
        <v>1</v>
      </c>
      <c r="CG211">
        <f t="shared" si="446"/>
        <v>1</v>
      </c>
      <c r="CH211">
        <f t="shared" si="447"/>
        <v>1</v>
      </c>
      <c r="CI211">
        <f t="shared" si="448"/>
        <v>1</v>
      </c>
      <c r="CJ211">
        <f t="shared" si="449"/>
        <v>0</v>
      </c>
      <c r="CK211">
        <f t="shared" si="450"/>
        <v>0</v>
      </c>
      <c r="CL211">
        <f t="shared" si="451"/>
        <v>0</v>
      </c>
      <c r="CM211">
        <f t="shared" si="452"/>
        <v>0</v>
      </c>
      <c r="CN211">
        <f t="shared" si="453"/>
        <v>0</v>
      </c>
      <c r="CO211">
        <f t="shared" si="454"/>
        <v>0</v>
      </c>
      <c r="CP211">
        <f t="shared" si="455"/>
        <v>1</v>
      </c>
      <c r="CQ211">
        <f t="shared" si="456"/>
        <v>1</v>
      </c>
      <c r="CR211">
        <f t="shared" si="457"/>
        <v>1</v>
      </c>
      <c r="CS211">
        <f t="shared" si="458"/>
        <v>1</v>
      </c>
      <c r="CT211">
        <f t="shared" si="459"/>
        <v>1</v>
      </c>
      <c r="CU211">
        <f t="shared" si="460"/>
        <v>1</v>
      </c>
      <c r="CV211">
        <f t="shared" si="461"/>
        <v>0</v>
      </c>
      <c r="CW211">
        <f t="shared" si="462"/>
        <v>0</v>
      </c>
      <c r="CX211">
        <f t="shared" si="463"/>
        <v>0</v>
      </c>
      <c r="CY211">
        <f t="shared" si="464"/>
        <v>0</v>
      </c>
      <c r="CZ211">
        <f t="shared" si="465"/>
        <v>0</v>
      </c>
      <c r="DA211">
        <f t="shared" si="466"/>
        <v>0</v>
      </c>
      <c r="DB211">
        <f t="shared" si="467"/>
        <v>1</v>
      </c>
      <c r="DC211">
        <f t="shared" si="468"/>
        <v>1</v>
      </c>
      <c r="DF211" s="10" t="s">
        <v>37</v>
      </c>
      <c r="DG211" t="str">
        <f t="shared" si="520"/>
        <v>2023_1</v>
      </c>
      <c r="DH211" t="str">
        <f t="shared" si="520"/>
        <v>2023_1</v>
      </c>
      <c r="DI211" t="str">
        <f t="shared" si="520"/>
        <v>2023_1</v>
      </c>
      <c r="DJ211" t="str">
        <f t="shared" si="520"/>
        <v>2023_1</v>
      </c>
      <c r="DK211" t="str">
        <f t="shared" si="520"/>
        <v>2023_1</v>
      </c>
      <c r="DL211" t="str">
        <f t="shared" si="520"/>
        <v>2023_1</v>
      </c>
      <c r="DM211" t="str">
        <f t="shared" si="520"/>
        <v>2023_1</v>
      </c>
      <c r="DN211" t="str">
        <f t="shared" si="520"/>
        <v>2023_1</v>
      </c>
      <c r="DO211" t="str">
        <f t="shared" si="520"/>
        <v>2023_1</v>
      </c>
      <c r="DP211" t="str">
        <f t="shared" si="520"/>
        <v>2023_1</v>
      </c>
      <c r="DQ211" t="str">
        <f t="shared" si="520"/>
        <v>2023_1</v>
      </c>
      <c r="DR211" t="str">
        <f t="shared" si="520"/>
        <v>2023_1</v>
      </c>
      <c r="DS211" t="str">
        <f t="shared" si="520"/>
        <v>2023_1</v>
      </c>
      <c r="DT211" t="str">
        <f t="shared" si="520"/>
        <v>2023_1</v>
      </c>
      <c r="DU211" t="str">
        <f t="shared" si="520"/>
        <v>2023_1</v>
      </c>
      <c r="DV211" t="str">
        <f t="shared" si="469"/>
        <v>2023_1</v>
      </c>
      <c r="DW211" t="str">
        <f t="shared" si="469"/>
        <v>2023_1</v>
      </c>
      <c r="DX211" t="str">
        <f t="shared" si="469"/>
        <v>2023_1</v>
      </c>
      <c r="DY211" t="str">
        <f t="shared" si="469"/>
        <v>2023_1</v>
      </c>
      <c r="DZ211" t="str">
        <f t="shared" si="469"/>
        <v>2023_1</v>
      </c>
      <c r="EA211" t="str">
        <f t="shared" si="469"/>
        <v>2023_1</v>
      </c>
      <c r="EB211" t="str">
        <f t="shared" si="469"/>
        <v>2023_1</v>
      </c>
      <c r="EC211" t="str">
        <f t="shared" si="469"/>
        <v>2023_1</v>
      </c>
      <c r="ED211" t="str">
        <f t="shared" si="469"/>
        <v>2023_1</v>
      </c>
      <c r="EE211" t="str">
        <f t="shared" si="469"/>
        <v>2023_1</v>
      </c>
      <c r="EF211" t="str">
        <f t="shared" si="469"/>
        <v>2023_1</v>
      </c>
      <c r="EG211" t="str">
        <f t="shared" si="469"/>
        <v>2023_1</v>
      </c>
      <c r="EH211" t="str">
        <f t="shared" si="469"/>
        <v>2023_1</v>
      </c>
      <c r="EI211" t="str">
        <f t="shared" si="469"/>
        <v>2023_1</v>
      </c>
      <c r="EJ211" t="str">
        <f t="shared" si="469"/>
        <v>2023_1</v>
      </c>
      <c r="EK211" t="str">
        <f t="shared" si="469"/>
        <v>2023_1</v>
      </c>
      <c r="EL211" t="str">
        <f t="shared" si="470"/>
        <v>2023_1</v>
      </c>
      <c r="EM211" t="str">
        <f t="shared" si="424"/>
        <v>2023_1</v>
      </c>
      <c r="EN211" t="str">
        <f t="shared" si="424"/>
        <v>2023_1</v>
      </c>
      <c r="EO211" t="str">
        <f t="shared" si="424"/>
        <v>2023_1</v>
      </c>
      <c r="EP211" t="str">
        <f t="shared" si="424"/>
        <v>2023_1</v>
      </c>
      <c r="EQ211" t="str">
        <f t="shared" si="424"/>
        <v>2023_1</v>
      </c>
      <c r="ER211" t="str">
        <f t="shared" si="424"/>
        <v>2023_1</v>
      </c>
      <c r="ES211" t="str">
        <f t="shared" si="424"/>
        <v>2023_1</v>
      </c>
      <c r="ET211" t="str">
        <f t="shared" si="424"/>
        <v>2023_1</v>
      </c>
      <c r="EU211" t="str">
        <f t="shared" si="424"/>
        <v>2023_1</v>
      </c>
      <c r="EV211" t="str">
        <f t="shared" si="424"/>
        <v>2023_1</v>
      </c>
      <c r="EW211" t="str">
        <f t="shared" si="424"/>
        <v>2023_1</v>
      </c>
      <c r="EX211" t="str">
        <f t="shared" si="424"/>
        <v>2023_1</v>
      </c>
      <c r="EY211" t="str">
        <f t="shared" si="424"/>
        <v>2023_1</v>
      </c>
      <c r="FB211" s="10" t="s">
        <v>37</v>
      </c>
      <c r="FC211">
        <f t="shared" si="521"/>
        <v>0</v>
      </c>
      <c r="FD211">
        <f t="shared" si="471"/>
        <v>0</v>
      </c>
      <c r="FE211">
        <f t="shared" si="472"/>
        <v>0</v>
      </c>
      <c r="FF211">
        <f t="shared" si="473"/>
        <v>0</v>
      </c>
      <c r="FG211">
        <f t="shared" si="474"/>
        <v>0</v>
      </c>
      <c r="FH211">
        <f t="shared" si="475"/>
        <v>0</v>
      </c>
      <c r="FI211">
        <f t="shared" si="476"/>
        <v>0</v>
      </c>
      <c r="FJ211">
        <f t="shared" si="477"/>
        <v>0</v>
      </c>
      <c r="FK211">
        <f t="shared" si="478"/>
        <v>0</v>
      </c>
      <c r="FL211">
        <f t="shared" si="479"/>
        <v>0</v>
      </c>
      <c r="FM211">
        <f t="shared" si="480"/>
        <v>0</v>
      </c>
      <c r="FN211">
        <f t="shared" si="481"/>
        <v>0</v>
      </c>
      <c r="FO211">
        <f t="shared" si="482"/>
        <v>0</v>
      </c>
      <c r="FP211">
        <f t="shared" si="483"/>
        <v>0</v>
      </c>
      <c r="FQ211">
        <f t="shared" si="484"/>
        <v>0</v>
      </c>
      <c r="FR211">
        <f t="shared" si="485"/>
        <v>0</v>
      </c>
      <c r="FS211">
        <f t="shared" si="486"/>
        <v>0</v>
      </c>
      <c r="FT211">
        <f t="shared" si="487"/>
        <v>0</v>
      </c>
      <c r="FU211">
        <f t="shared" si="488"/>
        <v>0</v>
      </c>
      <c r="FV211">
        <f t="shared" si="489"/>
        <v>0</v>
      </c>
      <c r="FW211">
        <f t="shared" si="490"/>
        <v>0</v>
      </c>
      <c r="FX211">
        <f t="shared" si="491"/>
        <v>0</v>
      </c>
      <c r="FY211">
        <f t="shared" si="492"/>
        <v>0</v>
      </c>
      <c r="FZ211">
        <f t="shared" si="493"/>
        <v>0</v>
      </c>
      <c r="GA211">
        <f t="shared" si="494"/>
        <v>0</v>
      </c>
      <c r="GB211">
        <f t="shared" si="495"/>
        <v>0</v>
      </c>
      <c r="GC211">
        <f t="shared" si="496"/>
        <v>0</v>
      </c>
      <c r="GD211">
        <f t="shared" si="497"/>
        <v>0</v>
      </c>
      <c r="GE211">
        <f t="shared" si="498"/>
        <v>0</v>
      </c>
      <c r="GF211">
        <f t="shared" si="499"/>
        <v>0</v>
      </c>
      <c r="GG211">
        <f t="shared" si="500"/>
        <v>0</v>
      </c>
      <c r="GH211">
        <f t="shared" si="501"/>
        <v>0</v>
      </c>
      <c r="GI211">
        <f t="shared" si="502"/>
        <v>0</v>
      </c>
      <c r="GJ211">
        <f t="shared" si="503"/>
        <v>1</v>
      </c>
      <c r="GK211">
        <f t="shared" si="504"/>
        <v>1</v>
      </c>
      <c r="GL211">
        <f t="shared" si="505"/>
        <v>1</v>
      </c>
      <c r="GM211">
        <f t="shared" si="506"/>
        <v>1</v>
      </c>
      <c r="GN211">
        <f t="shared" si="507"/>
        <v>1</v>
      </c>
      <c r="GO211">
        <f t="shared" si="508"/>
        <v>1</v>
      </c>
      <c r="GP211">
        <f t="shared" si="509"/>
        <v>1</v>
      </c>
      <c r="GQ211">
        <f t="shared" si="510"/>
        <v>1</v>
      </c>
      <c r="GR211">
        <f t="shared" si="511"/>
        <v>1</v>
      </c>
      <c r="GS211">
        <f t="shared" si="512"/>
        <v>1</v>
      </c>
      <c r="GT211">
        <f t="shared" si="513"/>
        <v>1</v>
      </c>
      <c r="GU211">
        <f t="shared" si="514"/>
        <v>1</v>
      </c>
      <c r="GX211" s="10"/>
    </row>
    <row r="212" spans="1:206" x14ac:dyDescent="0.3">
      <c r="A212" s="9" t="s">
        <v>235</v>
      </c>
      <c r="B212" s="80"/>
      <c r="C212" s="9">
        <v>3010079003</v>
      </c>
      <c r="D212" s="9" t="s">
        <v>373</v>
      </c>
      <c r="E212" s="9" t="s">
        <v>34</v>
      </c>
      <c r="F212" s="9" t="s">
        <v>35</v>
      </c>
      <c r="G212" s="9" t="s">
        <v>68</v>
      </c>
      <c r="H212" s="10">
        <v>44959</v>
      </c>
      <c r="I212" s="9">
        <f t="shared" si="515"/>
        <v>2023</v>
      </c>
      <c r="J212" s="9">
        <f t="shared" si="516"/>
        <v>2</v>
      </c>
      <c r="K212" s="9" t="str">
        <f t="shared" si="517"/>
        <v>2023_2</v>
      </c>
      <c r="L212">
        <f>MAX(0,VLOOKUP($K212,lookups!$A$1:$B$45,2,0)-12)</f>
        <v>22</v>
      </c>
      <c r="M212" s="40">
        <f t="shared" si="518"/>
        <v>44958</v>
      </c>
      <c r="N212" s="10" t="s">
        <v>37</v>
      </c>
      <c r="O212" t="str">
        <f ca="1">IF(OR($L212&gt;O$4,O$4&gt;$L212+23),"",OFFSET(Electric!$L203,0,-'Electric Calendarize'!$L212+'Electric Calendarize'!O$4+1))</f>
        <v/>
      </c>
      <c r="P212" t="str">
        <f ca="1">IF(OR($L212&gt;P$4,P$4&gt;$L212+23),"",OFFSET(Electric!$L203,0,-'Electric Calendarize'!$L212+'Electric Calendarize'!P$4+1))</f>
        <v/>
      </c>
      <c r="Q212" t="str">
        <f ca="1">IF(OR($L212&gt;Q$4,Q$4&gt;$L212+23),"",OFFSET(Electric!$L203,0,-'Electric Calendarize'!$L212+'Electric Calendarize'!Q$4+1))</f>
        <v/>
      </c>
      <c r="R212" t="str">
        <f ca="1">IF(OR($L212&gt;R$4,R$4&gt;$L212+23),"",OFFSET(Electric!$L203,0,-'Electric Calendarize'!$L212+'Electric Calendarize'!R$4+1))</f>
        <v/>
      </c>
      <c r="S212" t="str">
        <f ca="1">IF(OR($L212&gt;S$4,S$4&gt;$L212+23),"",OFFSET(Electric!$L203,0,-'Electric Calendarize'!$L212+'Electric Calendarize'!S$4+1))</f>
        <v/>
      </c>
      <c r="T212" t="str">
        <f ca="1">IF(OR($L212&gt;T$4,T$4&gt;$L212+23),"",OFFSET(Electric!$L203,0,-'Electric Calendarize'!$L212+'Electric Calendarize'!T$4+1))</f>
        <v/>
      </c>
      <c r="U212" t="str">
        <f ca="1">IF(OR($L212&gt;U$4,U$4&gt;$L212+23),"",OFFSET(Electric!$L203,0,-'Electric Calendarize'!$L212+'Electric Calendarize'!U$4+1))</f>
        <v/>
      </c>
      <c r="V212" t="str">
        <f ca="1">IF(OR($L212&gt;V$4,V$4&gt;$L212+23),"",OFFSET(Electric!$L203,0,-'Electric Calendarize'!$L212+'Electric Calendarize'!V$4+1))</f>
        <v/>
      </c>
      <c r="W212" t="str">
        <f ca="1">IF(OR($L212&gt;W$4,W$4&gt;$L212+23),"",OFFSET(Electric!$L203,0,-'Electric Calendarize'!$L212+'Electric Calendarize'!W$4+1))</f>
        <v/>
      </c>
      <c r="X212" t="str">
        <f ca="1">IF(OR($L212&gt;X$4,X$4&gt;$L212+23),"",OFFSET(Electric!$L203,0,-'Electric Calendarize'!$L212+'Electric Calendarize'!X$4+1))</f>
        <v/>
      </c>
      <c r="Y212" t="str">
        <f ca="1">IF(OR($L212&gt;Y$4,Y$4&gt;$L212+23),"",OFFSET(Electric!$L203,0,-'Electric Calendarize'!$L212+'Electric Calendarize'!Y$4+1))</f>
        <v/>
      </c>
      <c r="Z212" t="str">
        <f ca="1">IF(OR($L212&gt;Z$4,Z$4&gt;$L212+23),"",OFFSET(Electric!$L203,0,-'Electric Calendarize'!$L212+'Electric Calendarize'!Z$4+1))</f>
        <v/>
      </c>
      <c r="AA212" t="str">
        <f ca="1">IF(OR($L212&gt;AA$4,AA$4&gt;$L212+23),"",OFFSET(Electric!$L203,0,-'Electric Calendarize'!$L212+'Electric Calendarize'!AA$4+1))</f>
        <v/>
      </c>
      <c r="AB212" t="str">
        <f ca="1">IF(OR($L212&gt;AB$4,AB$4&gt;$L212+23),"",OFFSET(Electric!$L203,0,-'Electric Calendarize'!$L212+'Electric Calendarize'!AB$4+1))</f>
        <v/>
      </c>
      <c r="AC212" t="str">
        <f ca="1">IF(OR($L212&gt;AC$4,AC$4&gt;$L212+23),"",OFFSET(Electric!$L203,0,-'Electric Calendarize'!$L212+'Electric Calendarize'!AC$4+1))</f>
        <v/>
      </c>
      <c r="AD212" t="str">
        <f ca="1">IF(OR($L212&gt;AD$4,AD$4&gt;$L212+23),"",OFFSET(Electric!$L203,0,-'Electric Calendarize'!$L212+'Electric Calendarize'!AD$4+1))</f>
        <v/>
      </c>
      <c r="AE212" t="str">
        <f ca="1">IF(OR($L212&gt;AE$4,AE$4&gt;$L212+23),"",OFFSET(Electric!$L203,0,-'Electric Calendarize'!$L212+'Electric Calendarize'!AE$4+1))</f>
        <v/>
      </c>
      <c r="AF212" t="str">
        <f ca="1">IF(OR($L212&gt;AF$4,AF$4&gt;$L212+23),"",OFFSET(Electric!$L203,0,-'Electric Calendarize'!$L212+'Electric Calendarize'!AF$4+1))</f>
        <v/>
      </c>
      <c r="AG212" t="str">
        <f ca="1">IF(OR($L212&gt;AG$4,AG$4&gt;$L212+23),"",OFFSET(Electric!$L203,0,-'Electric Calendarize'!$L212+'Electric Calendarize'!AG$4+1))</f>
        <v/>
      </c>
      <c r="AH212" t="str">
        <f ca="1">IF(OR($L212&gt;AH$4,AH$4&gt;$L212+23),"",OFFSET(Electric!$L203,0,-'Electric Calendarize'!$L212+'Electric Calendarize'!AH$4+1))</f>
        <v/>
      </c>
      <c r="AI212" t="str">
        <f ca="1">IF(OR($L212&gt;AI$4,AI$4&gt;$L212+23),"",OFFSET(Electric!$L203,0,-'Electric Calendarize'!$L212+'Electric Calendarize'!AI$4+1))</f>
        <v/>
      </c>
      <c r="AJ212" t="str">
        <f ca="1">IF(OR($L212&gt;AJ$4,AJ$4&gt;$L212+23),"",OFFSET(Electric!$L203,0,-'Electric Calendarize'!$L212+'Electric Calendarize'!AJ$4+1))</f>
        <v/>
      </c>
      <c r="AK212">
        <f ca="1">IF(OR($L212&gt;AK$4,AK$4&gt;$L212+23),"",OFFSET(Electric!$L203,0,-'Electric Calendarize'!$L212+'Electric Calendarize'!AK$4+1))</f>
        <v>0</v>
      </c>
      <c r="AL212">
        <f ca="1">IF(OR($L212&gt;AL$4,AL$4&gt;$L212+23),"",OFFSET(Electric!$L203,0,-'Electric Calendarize'!$L212+'Electric Calendarize'!AL$4+1))</f>
        <v>71</v>
      </c>
      <c r="AM212">
        <f ca="1">IF(OR($L212&gt;AM$4,AM$4&gt;$L212+23),"",OFFSET(Electric!$L203,0,-'Electric Calendarize'!$L212+'Electric Calendarize'!AM$4+1))</f>
        <v>111</v>
      </c>
      <c r="AN212">
        <f ca="1">IF(OR($L212&gt;AN$4,AN$4&gt;$L212+23),"",OFFSET(Electric!$L203,0,-'Electric Calendarize'!$L212+'Electric Calendarize'!AN$4+1))</f>
        <v>138</v>
      </c>
      <c r="AO212">
        <f ca="1">IF(OR($L212&gt;AO$4,AO$4&gt;$L212+23),"",OFFSET(Electric!$L203,0,-'Electric Calendarize'!$L212+'Electric Calendarize'!AO$4+1))</f>
        <v>173</v>
      </c>
      <c r="AP212">
        <f ca="1">IF(OR($L212&gt;AP$4,AP$4&gt;$L212+23),"",OFFSET(Electric!$L203,0,-'Electric Calendarize'!$L212+'Electric Calendarize'!AP$4+1))</f>
        <v>186</v>
      </c>
      <c r="AQ212">
        <f ca="1">IF(OR($L212&gt;AQ$4,AQ$4&gt;$L212+23),"",OFFSET(Electric!$L203,0,-'Electric Calendarize'!$L212+'Electric Calendarize'!AQ$4+1))</f>
        <v>260</v>
      </c>
      <c r="AR212">
        <f ca="1">IF(OR($L212&gt;AR$4,AR$4&gt;$L212+23),"",OFFSET(Electric!$L203,0,-'Electric Calendarize'!$L212+'Electric Calendarize'!AR$4+1))</f>
        <v>211</v>
      </c>
      <c r="AS212">
        <f ca="1">IF(OR($L212&gt;AS$4,AS$4&gt;$L212+23),"",OFFSET(Electric!$L203,0,-'Electric Calendarize'!$L212+'Electric Calendarize'!AS$4+1))</f>
        <v>122</v>
      </c>
      <c r="AT212">
        <f ca="1">IF(OR($L212&gt;AT$4,AT$4&gt;$L212+23),"",OFFSET(Electric!$L203,0,-'Electric Calendarize'!$L212+'Electric Calendarize'!AT$4+1))</f>
        <v>115</v>
      </c>
      <c r="AU212">
        <f ca="1">IF(OR($L212&gt;AU$4,AU$4&gt;$L212+23),"",OFFSET(Electric!$L203,0,-'Electric Calendarize'!$L212+'Electric Calendarize'!AU$4+1))</f>
        <v>125</v>
      </c>
      <c r="AV212">
        <f ca="1">IF(OR($L212&gt;AV$4,AV$4&gt;$L212+23),"",OFFSET(Electric!$L203,0,-'Electric Calendarize'!$L212+'Electric Calendarize'!AV$4+1))</f>
        <v>141</v>
      </c>
      <c r="AW212">
        <f ca="1">IF(OR($L212&gt;AW$4,AW$4&gt;$L212+23),"",OFFSET(Electric!$L203,0,-'Electric Calendarize'!$L212+'Electric Calendarize'!AW$4+1))</f>
        <v>155</v>
      </c>
      <c r="AX212">
        <f ca="1">IF(OR($L212&gt;AX$4,AX$4&gt;$L212+23),"",OFFSET(Electric!$L203,0,-'Electric Calendarize'!$L212+'Electric Calendarize'!AX$4+1))</f>
        <v>104</v>
      </c>
      <c r="AY212">
        <f ca="1">IF(OR($L212&gt;AY$4,AY$4&gt;$L212+23),"",OFFSET(Electric!$L203,0,-'Electric Calendarize'!$L212+'Electric Calendarize'!AY$4+1))</f>
        <v>114</v>
      </c>
      <c r="AZ212">
        <f ca="1">IF(OR($L212&gt;AZ$4,AZ$4&gt;$L212+23),"",OFFSET(Electric!$L203,0,-'Electric Calendarize'!$L212+'Electric Calendarize'!AZ$4+1))</f>
        <v>128</v>
      </c>
      <c r="BA212">
        <f ca="1">IF(OR($L212&gt;BA$4,BA$4&gt;$L212+23),"",OFFSET(Electric!$L203,0,-'Electric Calendarize'!$L212+'Electric Calendarize'!BA$4+1))</f>
        <v>110</v>
      </c>
      <c r="BB212">
        <f ca="1">IF(OR($L212&gt;BB$4,BB$4&gt;$L212+23),"",OFFSET(Electric!$L203,0,-'Electric Calendarize'!$L212+'Electric Calendarize'!BB$4+1))</f>
        <v>143</v>
      </c>
      <c r="BC212">
        <f ca="1">IF(OR($L212&gt;BC$4,BC$4&gt;$L212+23),"",OFFSET(Electric!$L203,0,-'Electric Calendarize'!$L212+'Electric Calendarize'!BC$4+1))</f>
        <v>284</v>
      </c>
      <c r="BD212">
        <f ca="1">IF(OR($L212&gt;BD$4,BD$4&gt;$L212+23),"",OFFSET(Electric!$L203,0,-'Electric Calendarize'!$L212+'Electric Calendarize'!BD$4+1))</f>
        <v>203</v>
      </c>
      <c r="BE212">
        <f ca="1">IF(OR($L212&gt;BE$4,BE$4&gt;$L212+23),"",OFFSET(Electric!$L203,0,-'Electric Calendarize'!$L212+'Electric Calendarize'!BE$4+1))</f>
        <v>132</v>
      </c>
      <c r="BF212">
        <f ca="1">IF(OR($L212&gt;BF$4,BF$4&gt;$L212+23),"",OFFSET(Electric!$L203,0,-'Electric Calendarize'!$L212+'Electric Calendarize'!BF$4+1))</f>
        <v>126</v>
      </c>
      <c r="BG212">
        <f ca="1">IF(OR($L212&gt;BG$4,BG$4&gt;$L212+23),"",OFFSET(Electric!$L203,0,-'Electric Calendarize'!$L212+'Electric Calendarize'!BG$4+1))</f>
        <v>0</v>
      </c>
      <c r="BJ212" s="10" t="s">
        <v>37</v>
      </c>
      <c r="BK212">
        <f t="shared" si="519"/>
        <v>1</v>
      </c>
      <c r="BL212">
        <f t="shared" si="425"/>
        <v>0</v>
      </c>
      <c r="BM212">
        <f t="shared" si="426"/>
        <v>0</v>
      </c>
      <c r="BN212">
        <f t="shared" si="427"/>
        <v>0</v>
      </c>
      <c r="BO212">
        <f t="shared" si="428"/>
        <v>0</v>
      </c>
      <c r="BP212">
        <f t="shared" si="429"/>
        <v>0</v>
      </c>
      <c r="BQ212">
        <f t="shared" si="430"/>
        <v>0</v>
      </c>
      <c r="BR212">
        <f t="shared" si="431"/>
        <v>1</v>
      </c>
      <c r="BS212">
        <f t="shared" si="432"/>
        <v>1</v>
      </c>
      <c r="BT212">
        <f t="shared" si="433"/>
        <v>1</v>
      </c>
      <c r="BU212">
        <f t="shared" si="434"/>
        <v>1</v>
      </c>
      <c r="BV212">
        <f t="shared" si="435"/>
        <v>1</v>
      </c>
      <c r="BW212">
        <f t="shared" si="436"/>
        <v>1</v>
      </c>
      <c r="BX212">
        <f t="shared" si="437"/>
        <v>0</v>
      </c>
      <c r="BY212">
        <f t="shared" si="438"/>
        <v>0</v>
      </c>
      <c r="BZ212">
        <f t="shared" si="439"/>
        <v>0</v>
      </c>
      <c r="CA212">
        <f t="shared" si="440"/>
        <v>0</v>
      </c>
      <c r="CB212">
        <f t="shared" si="441"/>
        <v>0</v>
      </c>
      <c r="CC212">
        <f t="shared" si="442"/>
        <v>0</v>
      </c>
      <c r="CD212">
        <f t="shared" si="443"/>
        <v>1</v>
      </c>
      <c r="CE212">
        <f t="shared" si="444"/>
        <v>1</v>
      </c>
      <c r="CF212">
        <f t="shared" si="445"/>
        <v>1</v>
      </c>
      <c r="CG212">
        <f t="shared" si="446"/>
        <v>1</v>
      </c>
      <c r="CH212">
        <f t="shared" si="447"/>
        <v>1</v>
      </c>
      <c r="CI212">
        <f t="shared" si="448"/>
        <v>1</v>
      </c>
      <c r="CJ212">
        <f t="shared" si="449"/>
        <v>0</v>
      </c>
      <c r="CK212">
        <f t="shared" si="450"/>
        <v>0</v>
      </c>
      <c r="CL212">
        <f t="shared" si="451"/>
        <v>0</v>
      </c>
      <c r="CM212">
        <f t="shared" si="452"/>
        <v>0</v>
      </c>
      <c r="CN212">
        <f t="shared" si="453"/>
        <v>0</v>
      </c>
      <c r="CO212">
        <f t="shared" si="454"/>
        <v>0</v>
      </c>
      <c r="CP212">
        <f t="shared" si="455"/>
        <v>1</v>
      </c>
      <c r="CQ212">
        <f t="shared" si="456"/>
        <v>1</v>
      </c>
      <c r="CR212">
        <f t="shared" si="457"/>
        <v>1</v>
      </c>
      <c r="CS212">
        <f t="shared" si="458"/>
        <v>1</v>
      </c>
      <c r="CT212">
        <f t="shared" si="459"/>
        <v>1</v>
      </c>
      <c r="CU212">
        <f t="shared" si="460"/>
        <v>1</v>
      </c>
      <c r="CV212">
        <f t="shared" si="461"/>
        <v>0</v>
      </c>
      <c r="CW212">
        <f t="shared" si="462"/>
        <v>0</v>
      </c>
      <c r="CX212">
        <f t="shared" si="463"/>
        <v>0</v>
      </c>
      <c r="CY212">
        <f t="shared" si="464"/>
        <v>0</v>
      </c>
      <c r="CZ212">
        <f t="shared" si="465"/>
        <v>0</v>
      </c>
      <c r="DA212">
        <f t="shared" si="466"/>
        <v>0</v>
      </c>
      <c r="DB212">
        <f t="shared" si="467"/>
        <v>1</v>
      </c>
      <c r="DC212">
        <f t="shared" si="468"/>
        <v>1</v>
      </c>
      <c r="DF212" s="10" t="s">
        <v>37</v>
      </c>
      <c r="DG212" t="str">
        <f t="shared" si="520"/>
        <v>2023_2</v>
      </c>
      <c r="DH212" t="str">
        <f t="shared" si="520"/>
        <v>2023_2</v>
      </c>
      <c r="DI212" t="str">
        <f t="shared" si="520"/>
        <v>2023_2</v>
      </c>
      <c r="DJ212" t="str">
        <f t="shared" si="520"/>
        <v>2023_2</v>
      </c>
      <c r="DK212" t="str">
        <f t="shared" si="520"/>
        <v>2023_2</v>
      </c>
      <c r="DL212" t="str">
        <f t="shared" si="520"/>
        <v>2023_2</v>
      </c>
      <c r="DM212" t="str">
        <f t="shared" si="520"/>
        <v>2023_2</v>
      </c>
      <c r="DN212" t="str">
        <f t="shared" si="520"/>
        <v>2023_2</v>
      </c>
      <c r="DO212" t="str">
        <f t="shared" si="520"/>
        <v>2023_2</v>
      </c>
      <c r="DP212" t="str">
        <f t="shared" si="520"/>
        <v>2023_2</v>
      </c>
      <c r="DQ212" t="str">
        <f t="shared" si="520"/>
        <v>2023_2</v>
      </c>
      <c r="DR212" t="str">
        <f t="shared" si="520"/>
        <v>2023_2</v>
      </c>
      <c r="DS212" t="str">
        <f t="shared" si="520"/>
        <v>2023_2</v>
      </c>
      <c r="DT212" t="str">
        <f t="shared" si="520"/>
        <v>2023_2</v>
      </c>
      <c r="DU212" t="str">
        <f t="shared" si="520"/>
        <v>2023_2</v>
      </c>
      <c r="DV212" t="str">
        <f t="shared" si="469"/>
        <v>2023_2</v>
      </c>
      <c r="DW212" t="str">
        <f t="shared" si="469"/>
        <v>2023_2</v>
      </c>
      <c r="DX212" t="str">
        <f t="shared" si="469"/>
        <v>2023_2</v>
      </c>
      <c r="DY212" t="str">
        <f t="shared" si="469"/>
        <v>2023_2</v>
      </c>
      <c r="DZ212" t="str">
        <f t="shared" si="469"/>
        <v>2023_2</v>
      </c>
      <c r="EA212" t="str">
        <f t="shared" si="469"/>
        <v>2023_2</v>
      </c>
      <c r="EB212" t="str">
        <f t="shared" si="469"/>
        <v>2023_2</v>
      </c>
      <c r="EC212" t="str">
        <f t="shared" si="469"/>
        <v>2023_2</v>
      </c>
      <c r="ED212" t="str">
        <f t="shared" si="469"/>
        <v>2023_2</v>
      </c>
      <c r="EE212" t="str">
        <f t="shared" si="469"/>
        <v>2023_2</v>
      </c>
      <c r="EF212" t="str">
        <f t="shared" si="469"/>
        <v>2023_2</v>
      </c>
      <c r="EG212" t="str">
        <f t="shared" si="469"/>
        <v>2023_2</v>
      </c>
      <c r="EH212" t="str">
        <f t="shared" si="469"/>
        <v>2023_2</v>
      </c>
      <c r="EI212" t="str">
        <f t="shared" si="469"/>
        <v>2023_2</v>
      </c>
      <c r="EJ212" t="str">
        <f t="shared" si="469"/>
        <v>2023_2</v>
      </c>
      <c r="EK212" t="str">
        <f t="shared" si="469"/>
        <v>2023_2</v>
      </c>
      <c r="EL212" t="str">
        <f t="shared" si="470"/>
        <v>2023_2</v>
      </c>
      <c r="EM212" t="str">
        <f t="shared" si="424"/>
        <v>2023_2</v>
      </c>
      <c r="EN212" t="str">
        <f t="shared" si="424"/>
        <v>2023_2</v>
      </c>
      <c r="EO212" t="str">
        <f t="shared" si="424"/>
        <v>2023_2</v>
      </c>
      <c r="EP212" t="str">
        <f t="shared" si="424"/>
        <v>2023_2</v>
      </c>
      <c r="EQ212" t="str">
        <f t="shared" si="424"/>
        <v>2023_2</v>
      </c>
      <c r="ER212" t="str">
        <f t="shared" si="424"/>
        <v>2023_2</v>
      </c>
      <c r="ES212" t="str">
        <f t="shared" si="424"/>
        <v>2023_2</v>
      </c>
      <c r="ET212" t="str">
        <f t="shared" si="424"/>
        <v>2023_2</v>
      </c>
      <c r="EU212" t="str">
        <f t="shared" si="424"/>
        <v>2023_2</v>
      </c>
      <c r="EV212" t="str">
        <f t="shared" si="424"/>
        <v>2023_2</v>
      </c>
      <c r="EW212" t="str">
        <f t="shared" si="424"/>
        <v>2023_2</v>
      </c>
      <c r="EX212" t="str">
        <f t="shared" si="424"/>
        <v>2023_2</v>
      </c>
      <c r="EY212" t="str">
        <f t="shared" si="424"/>
        <v>2023_2</v>
      </c>
      <c r="FB212" s="10" t="s">
        <v>37</v>
      </c>
      <c r="FC212">
        <f t="shared" si="521"/>
        <v>0</v>
      </c>
      <c r="FD212">
        <f t="shared" si="471"/>
        <v>0</v>
      </c>
      <c r="FE212">
        <f t="shared" si="472"/>
        <v>0</v>
      </c>
      <c r="FF212">
        <f t="shared" si="473"/>
        <v>0</v>
      </c>
      <c r="FG212">
        <f t="shared" si="474"/>
        <v>0</v>
      </c>
      <c r="FH212">
        <f t="shared" si="475"/>
        <v>0</v>
      </c>
      <c r="FI212">
        <f t="shared" si="476"/>
        <v>0</v>
      </c>
      <c r="FJ212">
        <f t="shared" si="477"/>
        <v>0</v>
      </c>
      <c r="FK212">
        <f t="shared" si="478"/>
        <v>0</v>
      </c>
      <c r="FL212">
        <f t="shared" si="479"/>
        <v>0</v>
      </c>
      <c r="FM212">
        <f t="shared" si="480"/>
        <v>0</v>
      </c>
      <c r="FN212">
        <f t="shared" si="481"/>
        <v>0</v>
      </c>
      <c r="FO212">
        <f t="shared" si="482"/>
        <v>0</v>
      </c>
      <c r="FP212">
        <f t="shared" si="483"/>
        <v>0</v>
      </c>
      <c r="FQ212">
        <f t="shared" si="484"/>
        <v>0</v>
      </c>
      <c r="FR212">
        <f t="shared" si="485"/>
        <v>0</v>
      </c>
      <c r="FS212">
        <f t="shared" si="486"/>
        <v>0</v>
      </c>
      <c r="FT212">
        <f t="shared" si="487"/>
        <v>0</v>
      </c>
      <c r="FU212">
        <f t="shared" si="488"/>
        <v>0</v>
      </c>
      <c r="FV212">
        <f t="shared" si="489"/>
        <v>0</v>
      </c>
      <c r="FW212">
        <f t="shared" si="490"/>
        <v>0</v>
      </c>
      <c r="FX212">
        <f t="shared" si="491"/>
        <v>0</v>
      </c>
      <c r="FY212">
        <f t="shared" si="492"/>
        <v>0</v>
      </c>
      <c r="FZ212">
        <f t="shared" si="493"/>
        <v>0</v>
      </c>
      <c r="GA212">
        <f t="shared" si="494"/>
        <v>0</v>
      </c>
      <c r="GB212">
        <f t="shared" si="495"/>
        <v>0</v>
      </c>
      <c r="GC212">
        <f t="shared" si="496"/>
        <v>0</v>
      </c>
      <c r="GD212">
        <f t="shared" si="497"/>
        <v>0</v>
      </c>
      <c r="GE212">
        <f t="shared" si="498"/>
        <v>0</v>
      </c>
      <c r="GF212">
        <f t="shared" si="499"/>
        <v>0</v>
      </c>
      <c r="GG212">
        <f t="shared" si="500"/>
        <v>0</v>
      </c>
      <c r="GH212">
        <f t="shared" si="501"/>
        <v>0</v>
      </c>
      <c r="GI212">
        <f t="shared" si="502"/>
        <v>0</v>
      </c>
      <c r="GJ212">
        <f t="shared" si="503"/>
        <v>0</v>
      </c>
      <c r="GK212">
        <f t="shared" si="504"/>
        <v>1</v>
      </c>
      <c r="GL212">
        <f t="shared" si="505"/>
        <v>1</v>
      </c>
      <c r="GM212">
        <f t="shared" si="506"/>
        <v>1</v>
      </c>
      <c r="GN212">
        <f t="shared" si="507"/>
        <v>1</v>
      </c>
      <c r="GO212">
        <f t="shared" si="508"/>
        <v>1</v>
      </c>
      <c r="GP212">
        <f t="shared" si="509"/>
        <v>1</v>
      </c>
      <c r="GQ212">
        <f t="shared" si="510"/>
        <v>1</v>
      </c>
      <c r="GR212">
        <f t="shared" si="511"/>
        <v>1</v>
      </c>
      <c r="GS212">
        <f t="shared" si="512"/>
        <v>1</v>
      </c>
      <c r="GT212">
        <f t="shared" si="513"/>
        <v>1</v>
      </c>
      <c r="GU212">
        <f t="shared" si="514"/>
        <v>1</v>
      </c>
      <c r="GX212" s="10"/>
    </row>
    <row r="213" spans="1:206" x14ac:dyDescent="0.3">
      <c r="A213" s="9" t="s">
        <v>124</v>
      </c>
      <c r="B213" s="80"/>
      <c r="C213" s="9">
        <v>3150607003</v>
      </c>
      <c r="D213" s="9" t="s">
        <v>364</v>
      </c>
      <c r="E213" s="9" t="s">
        <v>39</v>
      </c>
      <c r="F213" s="9" t="s">
        <v>35</v>
      </c>
      <c r="G213" s="9" t="s">
        <v>227</v>
      </c>
      <c r="H213" s="10">
        <v>44963</v>
      </c>
      <c r="I213" s="9">
        <f t="shared" si="515"/>
        <v>2023</v>
      </c>
      <c r="J213" s="9">
        <f t="shared" si="516"/>
        <v>2</v>
      </c>
      <c r="K213" s="9" t="str">
        <f t="shared" si="517"/>
        <v>2023_2</v>
      </c>
      <c r="L213">
        <f>MAX(0,VLOOKUP($K213,lookups!$A$1:$B$45,2,0)-12)</f>
        <v>22</v>
      </c>
      <c r="M213" s="40">
        <f t="shared" si="518"/>
        <v>44958</v>
      </c>
      <c r="N213" s="10" t="s">
        <v>37</v>
      </c>
      <c r="O213" t="str">
        <f ca="1">IF(OR($L213&gt;O$4,O$4&gt;$L213+23),"",OFFSET(Electric!$L204,0,-'Electric Calendarize'!$L213+'Electric Calendarize'!O$4+1))</f>
        <v/>
      </c>
      <c r="P213" t="str">
        <f ca="1">IF(OR($L213&gt;P$4,P$4&gt;$L213+23),"",OFFSET(Electric!$L204,0,-'Electric Calendarize'!$L213+'Electric Calendarize'!P$4+1))</f>
        <v/>
      </c>
      <c r="Q213" t="str">
        <f ca="1">IF(OR($L213&gt;Q$4,Q$4&gt;$L213+23),"",OFFSET(Electric!$L204,0,-'Electric Calendarize'!$L213+'Electric Calendarize'!Q$4+1))</f>
        <v/>
      </c>
      <c r="R213" t="str">
        <f ca="1">IF(OR($L213&gt;R$4,R$4&gt;$L213+23),"",OFFSET(Electric!$L204,0,-'Electric Calendarize'!$L213+'Electric Calendarize'!R$4+1))</f>
        <v/>
      </c>
      <c r="S213" t="str">
        <f ca="1">IF(OR($L213&gt;S$4,S$4&gt;$L213+23),"",OFFSET(Electric!$L204,0,-'Electric Calendarize'!$L213+'Electric Calendarize'!S$4+1))</f>
        <v/>
      </c>
      <c r="T213" t="str">
        <f ca="1">IF(OR($L213&gt;T$4,T$4&gt;$L213+23),"",OFFSET(Electric!$L204,0,-'Electric Calendarize'!$L213+'Electric Calendarize'!T$4+1))</f>
        <v/>
      </c>
      <c r="U213" t="str">
        <f ca="1">IF(OR($L213&gt;U$4,U$4&gt;$L213+23),"",OFFSET(Electric!$L204,0,-'Electric Calendarize'!$L213+'Electric Calendarize'!U$4+1))</f>
        <v/>
      </c>
      <c r="V213" t="str">
        <f ca="1">IF(OR($L213&gt;V$4,V$4&gt;$L213+23),"",OFFSET(Electric!$L204,0,-'Electric Calendarize'!$L213+'Electric Calendarize'!V$4+1))</f>
        <v/>
      </c>
      <c r="W213" t="str">
        <f ca="1">IF(OR($L213&gt;W$4,W$4&gt;$L213+23),"",OFFSET(Electric!$L204,0,-'Electric Calendarize'!$L213+'Electric Calendarize'!W$4+1))</f>
        <v/>
      </c>
      <c r="X213" t="str">
        <f ca="1">IF(OR($L213&gt;X$4,X$4&gt;$L213+23),"",OFFSET(Electric!$L204,0,-'Electric Calendarize'!$L213+'Electric Calendarize'!X$4+1))</f>
        <v/>
      </c>
      <c r="Y213" t="str">
        <f ca="1">IF(OR($L213&gt;Y$4,Y$4&gt;$L213+23),"",OFFSET(Electric!$L204,0,-'Electric Calendarize'!$L213+'Electric Calendarize'!Y$4+1))</f>
        <v/>
      </c>
      <c r="Z213" t="str">
        <f ca="1">IF(OR($L213&gt;Z$4,Z$4&gt;$L213+23),"",OFFSET(Electric!$L204,0,-'Electric Calendarize'!$L213+'Electric Calendarize'!Z$4+1))</f>
        <v/>
      </c>
      <c r="AA213" t="str">
        <f ca="1">IF(OR($L213&gt;AA$4,AA$4&gt;$L213+23),"",OFFSET(Electric!$L204,0,-'Electric Calendarize'!$L213+'Electric Calendarize'!AA$4+1))</f>
        <v/>
      </c>
      <c r="AB213" t="str">
        <f ca="1">IF(OR($L213&gt;AB$4,AB$4&gt;$L213+23),"",OFFSET(Electric!$L204,0,-'Electric Calendarize'!$L213+'Electric Calendarize'!AB$4+1))</f>
        <v/>
      </c>
      <c r="AC213" t="str">
        <f ca="1">IF(OR($L213&gt;AC$4,AC$4&gt;$L213+23),"",OFFSET(Electric!$L204,0,-'Electric Calendarize'!$L213+'Electric Calendarize'!AC$4+1))</f>
        <v/>
      </c>
      <c r="AD213" t="str">
        <f ca="1">IF(OR($L213&gt;AD$4,AD$4&gt;$L213+23),"",OFFSET(Electric!$L204,0,-'Electric Calendarize'!$L213+'Electric Calendarize'!AD$4+1))</f>
        <v/>
      </c>
      <c r="AE213" t="str">
        <f ca="1">IF(OR($L213&gt;AE$4,AE$4&gt;$L213+23),"",OFFSET(Electric!$L204,0,-'Electric Calendarize'!$L213+'Electric Calendarize'!AE$4+1))</f>
        <v/>
      </c>
      <c r="AF213" t="str">
        <f ca="1">IF(OR($L213&gt;AF$4,AF$4&gt;$L213+23),"",OFFSET(Electric!$L204,0,-'Electric Calendarize'!$L213+'Electric Calendarize'!AF$4+1))</f>
        <v/>
      </c>
      <c r="AG213" t="str">
        <f ca="1">IF(OR($L213&gt;AG$4,AG$4&gt;$L213+23),"",OFFSET(Electric!$L204,0,-'Electric Calendarize'!$L213+'Electric Calendarize'!AG$4+1))</f>
        <v/>
      </c>
      <c r="AH213" t="str">
        <f ca="1">IF(OR($L213&gt;AH$4,AH$4&gt;$L213+23),"",OFFSET(Electric!$L204,0,-'Electric Calendarize'!$L213+'Electric Calendarize'!AH$4+1))</f>
        <v/>
      </c>
      <c r="AI213" t="str">
        <f ca="1">IF(OR($L213&gt;AI$4,AI$4&gt;$L213+23),"",OFFSET(Electric!$L204,0,-'Electric Calendarize'!$L213+'Electric Calendarize'!AI$4+1))</f>
        <v/>
      </c>
      <c r="AJ213" t="str">
        <f ca="1">IF(OR($L213&gt;AJ$4,AJ$4&gt;$L213+23),"",OFFSET(Electric!$L204,0,-'Electric Calendarize'!$L213+'Electric Calendarize'!AJ$4+1))</f>
        <v/>
      </c>
      <c r="AK213">
        <f ca="1">IF(OR($L213&gt;AK$4,AK$4&gt;$L213+23),"",OFFSET(Electric!$L204,0,-'Electric Calendarize'!$L213+'Electric Calendarize'!AK$4+1))</f>
        <v>14</v>
      </c>
      <c r="AL213">
        <f ca="1">IF(OR($L213&gt;AL$4,AL$4&gt;$L213+23),"",OFFSET(Electric!$L204,0,-'Electric Calendarize'!$L213+'Electric Calendarize'!AL$4+1))</f>
        <v>0</v>
      </c>
      <c r="AM213">
        <f ca="1">IF(OR($L213&gt;AM$4,AM$4&gt;$L213+23),"",OFFSET(Electric!$L204,0,-'Electric Calendarize'!$L213+'Electric Calendarize'!AM$4+1))</f>
        <v>0</v>
      </c>
      <c r="AN213">
        <f ca="1">IF(OR($L213&gt;AN$4,AN$4&gt;$L213+23),"",OFFSET(Electric!$L204,0,-'Electric Calendarize'!$L213+'Electric Calendarize'!AN$4+1))</f>
        <v>0</v>
      </c>
      <c r="AO213">
        <f ca="1">IF(OR($L213&gt;AO$4,AO$4&gt;$L213+23),"",OFFSET(Electric!$L204,0,-'Electric Calendarize'!$L213+'Electric Calendarize'!AO$4+1))</f>
        <v>0</v>
      </c>
      <c r="AP213">
        <f ca="1">IF(OR($L213&gt;AP$4,AP$4&gt;$L213+23),"",OFFSET(Electric!$L204,0,-'Electric Calendarize'!$L213+'Electric Calendarize'!AP$4+1))</f>
        <v>0</v>
      </c>
      <c r="AQ213">
        <f ca="1">IF(OR($L213&gt;AQ$4,AQ$4&gt;$L213+23),"",OFFSET(Electric!$L204,0,-'Electric Calendarize'!$L213+'Electric Calendarize'!AQ$4+1))</f>
        <v>0</v>
      </c>
      <c r="AR213">
        <f ca="1">IF(OR($L213&gt;AR$4,AR$4&gt;$L213+23),"",OFFSET(Electric!$L204,0,-'Electric Calendarize'!$L213+'Electric Calendarize'!AR$4+1))</f>
        <v>0</v>
      </c>
      <c r="AS213">
        <f ca="1">IF(OR($L213&gt;AS$4,AS$4&gt;$L213+23),"",OFFSET(Electric!$L204,0,-'Electric Calendarize'!$L213+'Electric Calendarize'!AS$4+1))</f>
        <v>0</v>
      </c>
      <c r="AT213">
        <f ca="1">IF(OR($L213&gt;AT$4,AT$4&gt;$L213+23),"",OFFSET(Electric!$L204,0,-'Electric Calendarize'!$L213+'Electric Calendarize'!AT$4+1))</f>
        <v>0</v>
      </c>
      <c r="AU213">
        <f ca="1">IF(OR($L213&gt;AU$4,AU$4&gt;$L213+23),"",OFFSET(Electric!$L204,0,-'Electric Calendarize'!$L213+'Electric Calendarize'!AU$4+1))</f>
        <v>0</v>
      </c>
      <c r="AV213">
        <f ca="1">IF(OR($L213&gt;AV$4,AV$4&gt;$L213+23),"",OFFSET(Electric!$L204,0,-'Electric Calendarize'!$L213+'Electric Calendarize'!AV$4+1))</f>
        <v>0</v>
      </c>
      <c r="AW213">
        <f ca="1">IF(OR($L213&gt;AW$4,AW$4&gt;$L213+23),"",OFFSET(Electric!$L204,0,-'Electric Calendarize'!$L213+'Electric Calendarize'!AW$4+1))</f>
        <v>0</v>
      </c>
      <c r="AX213">
        <f ca="1">IF(OR($L213&gt;AX$4,AX$4&gt;$L213+23),"",OFFSET(Electric!$L204,0,-'Electric Calendarize'!$L213+'Electric Calendarize'!AX$4+1))</f>
        <v>0</v>
      </c>
      <c r="AY213">
        <f ca="1">IF(OR($L213&gt;AY$4,AY$4&gt;$L213+23),"",OFFSET(Electric!$L204,0,-'Electric Calendarize'!$L213+'Electric Calendarize'!AY$4+1))</f>
        <v>0</v>
      </c>
      <c r="AZ213">
        <f ca="1">IF(OR($L213&gt;AZ$4,AZ$4&gt;$L213+23),"",OFFSET(Electric!$L204,0,-'Electric Calendarize'!$L213+'Electric Calendarize'!AZ$4+1))</f>
        <v>0</v>
      </c>
      <c r="BA213">
        <f ca="1">IF(OR($L213&gt;BA$4,BA$4&gt;$L213+23),"",OFFSET(Electric!$L204,0,-'Electric Calendarize'!$L213+'Electric Calendarize'!BA$4+1))</f>
        <v>0</v>
      </c>
      <c r="BB213">
        <f ca="1">IF(OR($L213&gt;BB$4,BB$4&gt;$L213+23),"",OFFSET(Electric!$L204,0,-'Electric Calendarize'!$L213+'Electric Calendarize'!BB$4+1))</f>
        <v>0</v>
      </c>
      <c r="BC213">
        <f ca="1">IF(OR($L213&gt;BC$4,BC$4&gt;$L213+23),"",OFFSET(Electric!$L204,0,-'Electric Calendarize'!$L213+'Electric Calendarize'!BC$4+1))</f>
        <v>0</v>
      </c>
      <c r="BD213">
        <f ca="1">IF(OR($L213&gt;BD$4,BD$4&gt;$L213+23),"",OFFSET(Electric!$L204,0,-'Electric Calendarize'!$L213+'Electric Calendarize'!BD$4+1))</f>
        <v>0</v>
      </c>
      <c r="BE213">
        <f ca="1">IF(OR($L213&gt;BE$4,BE$4&gt;$L213+23),"",OFFSET(Electric!$L204,0,-'Electric Calendarize'!$L213+'Electric Calendarize'!BE$4+1))</f>
        <v>0</v>
      </c>
      <c r="BF213">
        <f ca="1">IF(OR($L213&gt;BF$4,BF$4&gt;$L213+23),"",OFFSET(Electric!$L204,0,-'Electric Calendarize'!$L213+'Electric Calendarize'!BF$4+1))</f>
        <v>0</v>
      </c>
      <c r="BG213">
        <f ca="1">IF(OR($L213&gt;BG$4,BG$4&gt;$L213+23),"",OFFSET(Electric!$L204,0,-'Electric Calendarize'!$L213+'Electric Calendarize'!BG$4+1))</f>
        <v>0</v>
      </c>
      <c r="BJ213" s="10" t="s">
        <v>37</v>
      </c>
      <c r="BK213">
        <f t="shared" si="519"/>
        <v>1</v>
      </c>
      <c r="BL213">
        <f t="shared" si="425"/>
        <v>0</v>
      </c>
      <c r="BM213">
        <f t="shared" si="426"/>
        <v>0</v>
      </c>
      <c r="BN213">
        <f t="shared" si="427"/>
        <v>0</v>
      </c>
      <c r="BO213">
        <f t="shared" si="428"/>
        <v>0</v>
      </c>
      <c r="BP213">
        <f t="shared" si="429"/>
        <v>0</v>
      </c>
      <c r="BQ213">
        <f t="shared" si="430"/>
        <v>0</v>
      </c>
      <c r="BR213">
        <f t="shared" si="431"/>
        <v>1</v>
      </c>
      <c r="BS213">
        <f t="shared" si="432"/>
        <v>1</v>
      </c>
      <c r="BT213">
        <f t="shared" si="433"/>
        <v>1</v>
      </c>
      <c r="BU213">
        <f t="shared" si="434"/>
        <v>1</v>
      </c>
      <c r="BV213">
        <f t="shared" si="435"/>
        <v>1</v>
      </c>
      <c r="BW213">
        <f t="shared" si="436"/>
        <v>1</v>
      </c>
      <c r="BX213">
        <f t="shared" si="437"/>
        <v>0</v>
      </c>
      <c r="BY213">
        <f t="shared" si="438"/>
        <v>0</v>
      </c>
      <c r="BZ213">
        <f t="shared" si="439"/>
        <v>0</v>
      </c>
      <c r="CA213">
        <f t="shared" si="440"/>
        <v>0</v>
      </c>
      <c r="CB213">
        <f t="shared" si="441"/>
        <v>0</v>
      </c>
      <c r="CC213">
        <f t="shared" si="442"/>
        <v>0</v>
      </c>
      <c r="CD213">
        <f t="shared" si="443"/>
        <v>1</v>
      </c>
      <c r="CE213">
        <f t="shared" si="444"/>
        <v>1</v>
      </c>
      <c r="CF213">
        <f t="shared" si="445"/>
        <v>1</v>
      </c>
      <c r="CG213">
        <f t="shared" si="446"/>
        <v>1</v>
      </c>
      <c r="CH213">
        <f t="shared" si="447"/>
        <v>1</v>
      </c>
      <c r="CI213">
        <f t="shared" si="448"/>
        <v>1</v>
      </c>
      <c r="CJ213">
        <f t="shared" si="449"/>
        <v>0</v>
      </c>
      <c r="CK213">
        <f t="shared" si="450"/>
        <v>0</v>
      </c>
      <c r="CL213">
        <f t="shared" si="451"/>
        <v>0</v>
      </c>
      <c r="CM213">
        <f t="shared" si="452"/>
        <v>0</v>
      </c>
      <c r="CN213">
        <f t="shared" si="453"/>
        <v>0</v>
      </c>
      <c r="CO213">
        <f t="shared" si="454"/>
        <v>0</v>
      </c>
      <c r="CP213">
        <f t="shared" si="455"/>
        <v>1</v>
      </c>
      <c r="CQ213">
        <f t="shared" si="456"/>
        <v>1</v>
      </c>
      <c r="CR213">
        <f t="shared" si="457"/>
        <v>1</v>
      </c>
      <c r="CS213">
        <f t="shared" si="458"/>
        <v>1</v>
      </c>
      <c r="CT213">
        <f t="shared" si="459"/>
        <v>1</v>
      </c>
      <c r="CU213">
        <f t="shared" si="460"/>
        <v>1</v>
      </c>
      <c r="CV213">
        <f t="shared" si="461"/>
        <v>0</v>
      </c>
      <c r="CW213">
        <f t="shared" si="462"/>
        <v>0</v>
      </c>
      <c r="CX213">
        <f t="shared" si="463"/>
        <v>0</v>
      </c>
      <c r="CY213">
        <f t="shared" si="464"/>
        <v>0</v>
      </c>
      <c r="CZ213">
        <f t="shared" si="465"/>
        <v>0</v>
      </c>
      <c r="DA213">
        <f t="shared" si="466"/>
        <v>0</v>
      </c>
      <c r="DB213">
        <f t="shared" si="467"/>
        <v>1</v>
      </c>
      <c r="DC213">
        <f t="shared" si="468"/>
        <v>1</v>
      </c>
      <c r="DF213" s="10" t="s">
        <v>37</v>
      </c>
      <c r="DG213" t="str">
        <f t="shared" si="520"/>
        <v>2023_2</v>
      </c>
      <c r="DH213" t="str">
        <f t="shared" si="520"/>
        <v>2023_2</v>
      </c>
      <c r="DI213" t="str">
        <f t="shared" si="520"/>
        <v>2023_2</v>
      </c>
      <c r="DJ213" t="str">
        <f t="shared" si="520"/>
        <v>2023_2</v>
      </c>
      <c r="DK213" t="str">
        <f t="shared" si="520"/>
        <v>2023_2</v>
      </c>
      <c r="DL213" t="str">
        <f t="shared" si="520"/>
        <v>2023_2</v>
      </c>
      <c r="DM213" t="str">
        <f t="shared" si="520"/>
        <v>2023_2</v>
      </c>
      <c r="DN213" t="str">
        <f t="shared" si="520"/>
        <v>2023_2</v>
      </c>
      <c r="DO213" t="str">
        <f t="shared" si="520"/>
        <v>2023_2</v>
      </c>
      <c r="DP213" t="str">
        <f t="shared" si="520"/>
        <v>2023_2</v>
      </c>
      <c r="DQ213" t="str">
        <f t="shared" si="520"/>
        <v>2023_2</v>
      </c>
      <c r="DR213" t="str">
        <f t="shared" si="520"/>
        <v>2023_2</v>
      </c>
      <c r="DS213" t="str">
        <f t="shared" si="520"/>
        <v>2023_2</v>
      </c>
      <c r="DT213" t="str">
        <f t="shared" si="520"/>
        <v>2023_2</v>
      </c>
      <c r="DU213" t="str">
        <f t="shared" si="520"/>
        <v>2023_2</v>
      </c>
      <c r="DV213" t="str">
        <f t="shared" si="469"/>
        <v>2023_2</v>
      </c>
      <c r="DW213" t="str">
        <f t="shared" si="469"/>
        <v>2023_2</v>
      </c>
      <c r="DX213" t="str">
        <f t="shared" si="469"/>
        <v>2023_2</v>
      </c>
      <c r="DY213" t="str">
        <f t="shared" si="469"/>
        <v>2023_2</v>
      </c>
      <c r="DZ213" t="str">
        <f t="shared" si="469"/>
        <v>2023_2</v>
      </c>
      <c r="EA213" t="str">
        <f t="shared" si="469"/>
        <v>2023_2</v>
      </c>
      <c r="EB213" t="str">
        <f t="shared" si="469"/>
        <v>2023_2</v>
      </c>
      <c r="EC213" t="str">
        <f t="shared" si="469"/>
        <v>2023_2</v>
      </c>
      <c r="ED213" t="str">
        <f t="shared" si="469"/>
        <v>2023_2</v>
      </c>
      <c r="EE213" t="str">
        <f t="shared" si="469"/>
        <v>2023_2</v>
      </c>
      <c r="EF213" t="str">
        <f t="shared" si="469"/>
        <v>2023_2</v>
      </c>
      <c r="EG213" t="str">
        <f t="shared" si="469"/>
        <v>2023_2</v>
      </c>
      <c r="EH213" t="str">
        <f t="shared" si="469"/>
        <v>2023_2</v>
      </c>
      <c r="EI213" t="str">
        <f t="shared" si="469"/>
        <v>2023_2</v>
      </c>
      <c r="EJ213" t="str">
        <f t="shared" si="469"/>
        <v>2023_2</v>
      </c>
      <c r="EK213" t="str">
        <f t="shared" si="469"/>
        <v>2023_2</v>
      </c>
      <c r="EL213" t="str">
        <f t="shared" si="470"/>
        <v>2023_2</v>
      </c>
      <c r="EM213" t="str">
        <f t="shared" si="424"/>
        <v>2023_2</v>
      </c>
      <c r="EN213" t="str">
        <f t="shared" si="424"/>
        <v>2023_2</v>
      </c>
      <c r="EO213" t="str">
        <f t="shared" si="424"/>
        <v>2023_2</v>
      </c>
      <c r="EP213" t="str">
        <f t="shared" si="424"/>
        <v>2023_2</v>
      </c>
      <c r="EQ213" t="str">
        <f t="shared" si="424"/>
        <v>2023_2</v>
      </c>
      <c r="ER213" t="str">
        <f t="shared" si="424"/>
        <v>2023_2</v>
      </c>
      <c r="ES213" t="str">
        <f t="shared" si="424"/>
        <v>2023_2</v>
      </c>
      <c r="ET213" t="str">
        <f t="shared" si="424"/>
        <v>2023_2</v>
      </c>
      <c r="EU213" t="str">
        <f t="shared" si="424"/>
        <v>2023_2</v>
      </c>
      <c r="EV213" t="str">
        <f t="shared" si="424"/>
        <v>2023_2</v>
      </c>
      <c r="EW213" t="str">
        <f t="shared" si="424"/>
        <v>2023_2</v>
      </c>
      <c r="EX213" t="str">
        <f t="shared" si="424"/>
        <v>2023_2</v>
      </c>
      <c r="EY213" t="str">
        <f t="shared" si="424"/>
        <v>2023_2</v>
      </c>
      <c r="FB213" s="10" t="s">
        <v>37</v>
      </c>
      <c r="FC213">
        <f t="shared" si="521"/>
        <v>0</v>
      </c>
      <c r="FD213">
        <f t="shared" si="471"/>
        <v>0</v>
      </c>
      <c r="FE213">
        <f t="shared" si="472"/>
        <v>0</v>
      </c>
      <c r="FF213">
        <f t="shared" si="473"/>
        <v>0</v>
      </c>
      <c r="FG213">
        <f t="shared" si="474"/>
        <v>0</v>
      </c>
      <c r="FH213">
        <f t="shared" si="475"/>
        <v>0</v>
      </c>
      <c r="FI213">
        <f t="shared" si="476"/>
        <v>0</v>
      </c>
      <c r="FJ213">
        <f t="shared" si="477"/>
        <v>0</v>
      </c>
      <c r="FK213">
        <f t="shared" si="478"/>
        <v>0</v>
      </c>
      <c r="FL213">
        <f t="shared" si="479"/>
        <v>0</v>
      </c>
      <c r="FM213">
        <f t="shared" si="480"/>
        <v>0</v>
      </c>
      <c r="FN213">
        <f t="shared" si="481"/>
        <v>0</v>
      </c>
      <c r="FO213">
        <f t="shared" si="482"/>
        <v>0</v>
      </c>
      <c r="FP213">
        <f t="shared" si="483"/>
        <v>0</v>
      </c>
      <c r="FQ213">
        <f t="shared" si="484"/>
        <v>0</v>
      </c>
      <c r="FR213">
        <f t="shared" si="485"/>
        <v>0</v>
      </c>
      <c r="FS213">
        <f t="shared" si="486"/>
        <v>0</v>
      </c>
      <c r="FT213">
        <f t="shared" si="487"/>
        <v>0</v>
      </c>
      <c r="FU213">
        <f t="shared" si="488"/>
        <v>0</v>
      </c>
      <c r="FV213">
        <f t="shared" si="489"/>
        <v>0</v>
      </c>
      <c r="FW213">
        <f t="shared" si="490"/>
        <v>0</v>
      </c>
      <c r="FX213">
        <f t="shared" si="491"/>
        <v>0</v>
      </c>
      <c r="FY213">
        <f t="shared" si="492"/>
        <v>0</v>
      </c>
      <c r="FZ213">
        <f t="shared" si="493"/>
        <v>0</v>
      </c>
      <c r="GA213">
        <f t="shared" si="494"/>
        <v>0</v>
      </c>
      <c r="GB213">
        <f t="shared" si="495"/>
        <v>0</v>
      </c>
      <c r="GC213">
        <f t="shared" si="496"/>
        <v>0</v>
      </c>
      <c r="GD213">
        <f t="shared" si="497"/>
        <v>0</v>
      </c>
      <c r="GE213">
        <f t="shared" si="498"/>
        <v>0</v>
      </c>
      <c r="GF213">
        <f t="shared" si="499"/>
        <v>0</v>
      </c>
      <c r="GG213">
        <f t="shared" si="500"/>
        <v>0</v>
      </c>
      <c r="GH213">
        <f t="shared" si="501"/>
        <v>0</v>
      </c>
      <c r="GI213">
        <f t="shared" si="502"/>
        <v>0</v>
      </c>
      <c r="GJ213">
        <f t="shared" si="503"/>
        <v>0</v>
      </c>
      <c r="GK213">
        <f t="shared" si="504"/>
        <v>1</v>
      </c>
      <c r="GL213">
        <f t="shared" si="505"/>
        <v>1</v>
      </c>
      <c r="GM213">
        <f t="shared" si="506"/>
        <v>1</v>
      </c>
      <c r="GN213">
        <f t="shared" si="507"/>
        <v>1</v>
      </c>
      <c r="GO213">
        <f t="shared" si="508"/>
        <v>1</v>
      </c>
      <c r="GP213">
        <f t="shared" si="509"/>
        <v>1</v>
      </c>
      <c r="GQ213">
        <f t="shared" si="510"/>
        <v>1</v>
      </c>
      <c r="GR213">
        <f t="shared" si="511"/>
        <v>1</v>
      </c>
      <c r="GS213">
        <f t="shared" si="512"/>
        <v>1</v>
      </c>
      <c r="GT213">
        <f t="shared" si="513"/>
        <v>1</v>
      </c>
      <c r="GU213">
        <f t="shared" si="514"/>
        <v>1</v>
      </c>
      <c r="GX213" s="10"/>
    </row>
    <row r="214" spans="1:206" x14ac:dyDescent="0.3">
      <c r="A214" s="9" t="s">
        <v>124</v>
      </c>
      <c r="B214" s="80"/>
      <c r="C214" s="9">
        <v>3012419000</v>
      </c>
      <c r="D214" s="9" t="s">
        <v>485</v>
      </c>
      <c r="E214" s="9" t="s">
        <v>39</v>
      </c>
      <c r="F214" s="9" t="s">
        <v>35</v>
      </c>
      <c r="G214" s="9" t="s">
        <v>236</v>
      </c>
      <c r="H214" s="10">
        <v>44965</v>
      </c>
      <c r="I214" s="9">
        <f t="shared" si="515"/>
        <v>2023</v>
      </c>
      <c r="J214" s="9">
        <f t="shared" si="516"/>
        <v>2</v>
      </c>
      <c r="K214" s="9" t="str">
        <f t="shared" si="517"/>
        <v>2023_2</v>
      </c>
      <c r="L214">
        <f>MAX(0,VLOOKUP($K214,lookups!$A$1:$B$45,2,0)-12)</f>
        <v>22</v>
      </c>
      <c r="M214" s="40">
        <f t="shared" si="518"/>
        <v>44958</v>
      </c>
      <c r="N214" s="10" t="s">
        <v>37</v>
      </c>
      <c r="O214" t="str">
        <f ca="1">IF(OR($L214&gt;O$4,O$4&gt;$L214+23),"",OFFSET(Electric!$L205,0,-'Electric Calendarize'!$L214+'Electric Calendarize'!O$4+1))</f>
        <v/>
      </c>
      <c r="P214" t="str">
        <f ca="1">IF(OR($L214&gt;P$4,P$4&gt;$L214+23),"",OFFSET(Electric!$L205,0,-'Electric Calendarize'!$L214+'Electric Calendarize'!P$4+1))</f>
        <v/>
      </c>
      <c r="Q214" t="str">
        <f ca="1">IF(OR($L214&gt;Q$4,Q$4&gt;$L214+23),"",OFFSET(Electric!$L205,0,-'Electric Calendarize'!$L214+'Electric Calendarize'!Q$4+1))</f>
        <v/>
      </c>
      <c r="R214" t="str">
        <f ca="1">IF(OR($L214&gt;R$4,R$4&gt;$L214+23),"",OFFSET(Electric!$L205,0,-'Electric Calendarize'!$L214+'Electric Calendarize'!R$4+1))</f>
        <v/>
      </c>
      <c r="S214" t="str">
        <f ca="1">IF(OR($L214&gt;S$4,S$4&gt;$L214+23),"",OFFSET(Electric!$L205,0,-'Electric Calendarize'!$L214+'Electric Calendarize'!S$4+1))</f>
        <v/>
      </c>
      <c r="T214" t="str">
        <f ca="1">IF(OR($L214&gt;T$4,T$4&gt;$L214+23),"",OFFSET(Electric!$L205,0,-'Electric Calendarize'!$L214+'Electric Calendarize'!T$4+1))</f>
        <v/>
      </c>
      <c r="U214" t="str">
        <f ca="1">IF(OR($L214&gt;U$4,U$4&gt;$L214+23),"",OFFSET(Electric!$L205,0,-'Electric Calendarize'!$L214+'Electric Calendarize'!U$4+1))</f>
        <v/>
      </c>
      <c r="V214" t="str">
        <f ca="1">IF(OR($L214&gt;V$4,V$4&gt;$L214+23),"",OFFSET(Electric!$L205,0,-'Electric Calendarize'!$L214+'Electric Calendarize'!V$4+1))</f>
        <v/>
      </c>
      <c r="W214" t="str">
        <f ca="1">IF(OR($L214&gt;W$4,W$4&gt;$L214+23),"",OFFSET(Electric!$L205,0,-'Electric Calendarize'!$L214+'Electric Calendarize'!W$4+1))</f>
        <v/>
      </c>
      <c r="X214" t="str">
        <f ca="1">IF(OR($L214&gt;X$4,X$4&gt;$L214+23),"",OFFSET(Electric!$L205,0,-'Electric Calendarize'!$L214+'Electric Calendarize'!X$4+1))</f>
        <v/>
      </c>
      <c r="Y214" t="str">
        <f ca="1">IF(OR($L214&gt;Y$4,Y$4&gt;$L214+23),"",OFFSET(Electric!$L205,0,-'Electric Calendarize'!$L214+'Electric Calendarize'!Y$4+1))</f>
        <v/>
      </c>
      <c r="Z214" t="str">
        <f ca="1">IF(OR($L214&gt;Z$4,Z$4&gt;$L214+23),"",OFFSET(Electric!$L205,0,-'Electric Calendarize'!$L214+'Electric Calendarize'!Z$4+1))</f>
        <v/>
      </c>
      <c r="AA214" t="str">
        <f ca="1">IF(OR($L214&gt;AA$4,AA$4&gt;$L214+23),"",OFFSET(Electric!$L205,0,-'Electric Calendarize'!$L214+'Electric Calendarize'!AA$4+1))</f>
        <v/>
      </c>
      <c r="AB214" t="str">
        <f ca="1">IF(OR($L214&gt;AB$4,AB$4&gt;$L214+23),"",OFFSET(Electric!$L205,0,-'Electric Calendarize'!$L214+'Electric Calendarize'!AB$4+1))</f>
        <v/>
      </c>
      <c r="AC214" t="str">
        <f ca="1">IF(OR($L214&gt;AC$4,AC$4&gt;$L214+23),"",OFFSET(Electric!$L205,0,-'Electric Calendarize'!$L214+'Electric Calendarize'!AC$4+1))</f>
        <v/>
      </c>
      <c r="AD214" t="str">
        <f ca="1">IF(OR($L214&gt;AD$4,AD$4&gt;$L214+23),"",OFFSET(Electric!$L205,0,-'Electric Calendarize'!$L214+'Electric Calendarize'!AD$4+1))</f>
        <v/>
      </c>
      <c r="AE214" t="str">
        <f ca="1">IF(OR($L214&gt;AE$4,AE$4&gt;$L214+23),"",OFFSET(Electric!$L205,0,-'Electric Calendarize'!$L214+'Electric Calendarize'!AE$4+1))</f>
        <v/>
      </c>
      <c r="AF214" t="str">
        <f ca="1">IF(OR($L214&gt;AF$4,AF$4&gt;$L214+23),"",OFFSET(Electric!$L205,0,-'Electric Calendarize'!$L214+'Electric Calendarize'!AF$4+1))</f>
        <v/>
      </c>
      <c r="AG214" t="str">
        <f ca="1">IF(OR($L214&gt;AG$4,AG$4&gt;$L214+23),"",OFFSET(Electric!$L205,0,-'Electric Calendarize'!$L214+'Electric Calendarize'!AG$4+1))</f>
        <v/>
      </c>
      <c r="AH214" t="str">
        <f ca="1">IF(OR($L214&gt;AH$4,AH$4&gt;$L214+23),"",OFFSET(Electric!$L205,0,-'Electric Calendarize'!$L214+'Electric Calendarize'!AH$4+1))</f>
        <v/>
      </c>
      <c r="AI214" t="str">
        <f ca="1">IF(OR($L214&gt;AI$4,AI$4&gt;$L214+23),"",OFFSET(Electric!$L205,0,-'Electric Calendarize'!$L214+'Electric Calendarize'!AI$4+1))</f>
        <v/>
      </c>
      <c r="AJ214" t="str">
        <f ca="1">IF(OR($L214&gt;AJ$4,AJ$4&gt;$L214+23),"",OFFSET(Electric!$L205,0,-'Electric Calendarize'!$L214+'Electric Calendarize'!AJ$4+1))</f>
        <v/>
      </c>
      <c r="AK214">
        <f ca="1">IF(OR($L214&gt;AK$4,AK$4&gt;$L214+23),"",OFFSET(Electric!$L205,0,-'Electric Calendarize'!$L214+'Electric Calendarize'!AK$4+1))</f>
        <v>2099</v>
      </c>
      <c r="AL214">
        <f ca="1">IF(OR($L214&gt;AL$4,AL$4&gt;$L214+23),"",OFFSET(Electric!$L205,0,-'Electric Calendarize'!$L214+'Electric Calendarize'!AL$4+1))</f>
        <v>1876</v>
      </c>
      <c r="AM214">
        <f ca="1">IF(OR($L214&gt;AM$4,AM$4&gt;$L214+23),"",OFFSET(Electric!$L205,0,-'Electric Calendarize'!$L214+'Electric Calendarize'!AM$4+1))</f>
        <v>1955</v>
      </c>
      <c r="AN214">
        <f ca="1">IF(OR($L214&gt;AN$4,AN$4&gt;$L214+23),"",OFFSET(Electric!$L205,0,-'Electric Calendarize'!$L214+'Electric Calendarize'!AN$4+1))</f>
        <v>1694</v>
      </c>
      <c r="AO214">
        <f ca="1">IF(OR($L214&gt;AO$4,AO$4&gt;$L214+23),"",OFFSET(Electric!$L205,0,-'Electric Calendarize'!$L214+'Electric Calendarize'!AO$4+1))</f>
        <v>874</v>
      </c>
      <c r="AP214">
        <f ca="1">IF(OR($L214&gt;AP$4,AP$4&gt;$L214+23),"",OFFSET(Electric!$L205,0,-'Electric Calendarize'!$L214+'Electric Calendarize'!AP$4+1))</f>
        <v>920</v>
      </c>
      <c r="AQ214">
        <f ca="1">IF(OR($L214&gt;AQ$4,AQ$4&gt;$L214+23),"",OFFSET(Electric!$L205,0,-'Electric Calendarize'!$L214+'Electric Calendarize'!AQ$4+1))</f>
        <v>1110</v>
      </c>
      <c r="AR214">
        <f ca="1">IF(OR($L214&gt;AR$4,AR$4&gt;$L214+23),"",OFFSET(Electric!$L205,0,-'Electric Calendarize'!$L214+'Electric Calendarize'!AR$4+1))</f>
        <v>1116</v>
      </c>
      <c r="AS214">
        <f ca="1">IF(OR($L214&gt;AS$4,AS$4&gt;$L214+23),"",OFFSET(Electric!$L205,0,-'Electric Calendarize'!$L214+'Electric Calendarize'!AS$4+1))</f>
        <v>918</v>
      </c>
      <c r="AT214">
        <f ca="1">IF(OR($L214&gt;AT$4,AT$4&gt;$L214+23),"",OFFSET(Electric!$L205,0,-'Electric Calendarize'!$L214+'Electric Calendarize'!AT$4+1))</f>
        <v>762</v>
      </c>
      <c r="AU214">
        <f ca="1">IF(OR($L214&gt;AU$4,AU$4&gt;$L214+23),"",OFFSET(Electric!$L205,0,-'Electric Calendarize'!$L214+'Electric Calendarize'!AU$4+1))</f>
        <v>1890</v>
      </c>
      <c r="AV214">
        <f ca="1">IF(OR($L214&gt;AV$4,AV$4&gt;$L214+23),"",OFFSET(Electric!$L205,0,-'Electric Calendarize'!$L214+'Electric Calendarize'!AV$4+1))</f>
        <v>2910</v>
      </c>
      <c r="AW214">
        <f ca="1">IF(OR($L214&gt;AW$4,AW$4&gt;$L214+23),"",OFFSET(Electric!$L205,0,-'Electric Calendarize'!$L214+'Electric Calendarize'!AW$4+1))</f>
        <v>3120</v>
      </c>
      <c r="AX214">
        <f ca="1">IF(OR($L214&gt;AX$4,AX$4&gt;$L214+23),"",OFFSET(Electric!$L205,0,-'Electric Calendarize'!$L214+'Electric Calendarize'!AX$4+1))</f>
        <v>798</v>
      </c>
      <c r="AY214">
        <f ca="1">IF(OR($L214&gt;AY$4,AY$4&gt;$L214+23),"",OFFSET(Electric!$L205,0,-'Electric Calendarize'!$L214+'Electric Calendarize'!AY$4+1))</f>
        <v>0</v>
      </c>
      <c r="AZ214">
        <f ca="1">IF(OR($L214&gt;AZ$4,AZ$4&gt;$L214+23),"",OFFSET(Electric!$L205,0,-'Electric Calendarize'!$L214+'Electric Calendarize'!AZ$4+1))</f>
        <v>0</v>
      </c>
      <c r="BA214">
        <f ca="1">IF(OR($L214&gt;BA$4,BA$4&gt;$L214+23),"",OFFSET(Electric!$L205,0,-'Electric Calendarize'!$L214+'Electric Calendarize'!BA$4+1))</f>
        <v>0</v>
      </c>
      <c r="BB214">
        <f ca="1">IF(OR($L214&gt;BB$4,BB$4&gt;$L214+23),"",OFFSET(Electric!$L205,0,-'Electric Calendarize'!$L214+'Electric Calendarize'!BB$4+1))</f>
        <v>0</v>
      </c>
      <c r="BC214">
        <f ca="1">IF(OR($L214&gt;BC$4,BC$4&gt;$L214+23),"",OFFSET(Electric!$L205,0,-'Electric Calendarize'!$L214+'Electric Calendarize'!BC$4+1))</f>
        <v>0</v>
      </c>
      <c r="BD214">
        <f ca="1">IF(OR($L214&gt;BD$4,BD$4&gt;$L214+23),"",OFFSET(Electric!$L205,0,-'Electric Calendarize'!$L214+'Electric Calendarize'!BD$4+1))</f>
        <v>0</v>
      </c>
      <c r="BE214">
        <f ca="1">IF(OR($L214&gt;BE$4,BE$4&gt;$L214+23),"",OFFSET(Electric!$L205,0,-'Electric Calendarize'!$L214+'Electric Calendarize'!BE$4+1))</f>
        <v>0</v>
      </c>
      <c r="BF214">
        <f ca="1">IF(OR($L214&gt;BF$4,BF$4&gt;$L214+23),"",OFFSET(Electric!$L205,0,-'Electric Calendarize'!$L214+'Electric Calendarize'!BF$4+1))</f>
        <v>0</v>
      </c>
      <c r="BG214">
        <f ca="1">IF(OR($L214&gt;BG$4,BG$4&gt;$L214+23),"",OFFSET(Electric!$L205,0,-'Electric Calendarize'!$L214+'Electric Calendarize'!BG$4+1))</f>
        <v>0</v>
      </c>
      <c r="BJ214" s="10" t="s">
        <v>37</v>
      </c>
      <c r="BK214">
        <f t="shared" si="519"/>
        <v>1</v>
      </c>
      <c r="BL214">
        <f t="shared" si="425"/>
        <v>0</v>
      </c>
      <c r="BM214">
        <f t="shared" si="426"/>
        <v>0</v>
      </c>
      <c r="BN214">
        <f t="shared" si="427"/>
        <v>0</v>
      </c>
      <c r="BO214">
        <f t="shared" si="428"/>
        <v>0</v>
      </c>
      <c r="BP214">
        <f t="shared" si="429"/>
        <v>0</v>
      </c>
      <c r="BQ214">
        <f t="shared" si="430"/>
        <v>0</v>
      </c>
      <c r="BR214">
        <f t="shared" si="431"/>
        <v>1</v>
      </c>
      <c r="BS214">
        <f t="shared" si="432"/>
        <v>1</v>
      </c>
      <c r="BT214">
        <f t="shared" si="433"/>
        <v>1</v>
      </c>
      <c r="BU214">
        <f t="shared" si="434"/>
        <v>1</v>
      </c>
      <c r="BV214">
        <f t="shared" si="435"/>
        <v>1</v>
      </c>
      <c r="BW214">
        <f t="shared" si="436"/>
        <v>1</v>
      </c>
      <c r="BX214">
        <f t="shared" si="437"/>
        <v>0</v>
      </c>
      <c r="BY214">
        <f t="shared" si="438"/>
        <v>0</v>
      </c>
      <c r="BZ214">
        <f t="shared" si="439"/>
        <v>0</v>
      </c>
      <c r="CA214">
        <f t="shared" si="440"/>
        <v>0</v>
      </c>
      <c r="CB214">
        <f t="shared" si="441"/>
        <v>0</v>
      </c>
      <c r="CC214">
        <f t="shared" si="442"/>
        <v>0</v>
      </c>
      <c r="CD214">
        <f t="shared" si="443"/>
        <v>1</v>
      </c>
      <c r="CE214">
        <f t="shared" si="444"/>
        <v>1</v>
      </c>
      <c r="CF214">
        <f t="shared" si="445"/>
        <v>1</v>
      </c>
      <c r="CG214">
        <f t="shared" si="446"/>
        <v>1</v>
      </c>
      <c r="CH214">
        <f t="shared" si="447"/>
        <v>1</v>
      </c>
      <c r="CI214">
        <f t="shared" si="448"/>
        <v>1</v>
      </c>
      <c r="CJ214">
        <f t="shared" si="449"/>
        <v>0</v>
      </c>
      <c r="CK214">
        <f t="shared" si="450"/>
        <v>0</v>
      </c>
      <c r="CL214">
        <f t="shared" si="451"/>
        <v>0</v>
      </c>
      <c r="CM214">
        <f t="shared" si="452"/>
        <v>0</v>
      </c>
      <c r="CN214">
        <f t="shared" si="453"/>
        <v>0</v>
      </c>
      <c r="CO214">
        <f t="shared" si="454"/>
        <v>0</v>
      </c>
      <c r="CP214">
        <f t="shared" si="455"/>
        <v>1</v>
      </c>
      <c r="CQ214">
        <f t="shared" si="456"/>
        <v>1</v>
      </c>
      <c r="CR214">
        <f t="shared" si="457"/>
        <v>1</v>
      </c>
      <c r="CS214">
        <f t="shared" si="458"/>
        <v>1</v>
      </c>
      <c r="CT214">
        <f t="shared" si="459"/>
        <v>1</v>
      </c>
      <c r="CU214">
        <f t="shared" si="460"/>
        <v>1</v>
      </c>
      <c r="CV214">
        <f t="shared" si="461"/>
        <v>0</v>
      </c>
      <c r="CW214">
        <f t="shared" si="462"/>
        <v>0</v>
      </c>
      <c r="CX214">
        <f t="shared" si="463"/>
        <v>0</v>
      </c>
      <c r="CY214">
        <f t="shared" si="464"/>
        <v>0</v>
      </c>
      <c r="CZ214">
        <f t="shared" si="465"/>
        <v>0</v>
      </c>
      <c r="DA214">
        <f t="shared" si="466"/>
        <v>0</v>
      </c>
      <c r="DB214">
        <f t="shared" si="467"/>
        <v>1</v>
      </c>
      <c r="DC214">
        <f t="shared" si="468"/>
        <v>1</v>
      </c>
      <c r="DF214" s="10" t="s">
        <v>37</v>
      </c>
      <c r="DG214" t="str">
        <f t="shared" si="520"/>
        <v>2023_2</v>
      </c>
      <c r="DH214" t="str">
        <f t="shared" si="520"/>
        <v>2023_2</v>
      </c>
      <c r="DI214" t="str">
        <f t="shared" si="520"/>
        <v>2023_2</v>
      </c>
      <c r="DJ214" t="str">
        <f t="shared" si="520"/>
        <v>2023_2</v>
      </c>
      <c r="DK214" t="str">
        <f t="shared" si="520"/>
        <v>2023_2</v>
      </c>
      <c r="DL214" t="str">
        <f t="shared" si="520"/>
        <v>2023_2</v>
      </c>
      <c r="DM214" t="str">
        <f t="shared" si="520"/>
        <v>2023_2</v>
      </c>
      <c r="DN214" t="str">
        <f t="shared" si="520"/>
        <v>2023_2</v>
      </c>
      <c r="DO214" t="str">
        <f t="shared" si="520"/>
        <v>2023_2</v>
      </c>
      <c r="DP214" t="str">
        <f t="shared" si="520"/>
        <v>2023_2</v>
      </c>
      <c r="DQ214" t="str">
        <f t="shared" si="520"/>
        <v>2023_2</v>
      </c>
      <c r="DR214" t="str">
        <f t="shared" si="520"/>
        <v>2023_2</v>
      </c>
      <c r="DS214" t="str">
        <f t="shared" si="520"/>
        <v>2023_2</v>
      </c>
      <c r="DT214" t="str">
        <f t="shared" si="520"/>
        <v>2023_2</v>
      </c>
      <c r="DU214" t="str">
        <f t="shared" si="520"/>
        <v>2023_2</v>
      </c>
      <c r="DV214" t="str">
        <f t="shared" si="469"/>
        <v>2023_2</v>
      </c>
      <c r="DW214" t="str">
        <f t="shared" si="469"/>
        <v>2023_2</v>
      </c>
      <c r="DX214" t="str">
        <f t="shared" si="469"/>
        <v>2023_2</v>
      </c>
      <c r="DY214" t="str">
        <f t="shared" si="469"/>
        <v>2023_2</v>
      </c>
      <c r="DZ214" t="str">
        <f t="shared" si="469"/>
        <v>2023_2</v>
      </c>
      <c r="EA214" t="str">
        <f t="shared" si="469"/>
        <v>2023_2</v>
      </c>
      <c r="EB214" t="str">
        <f t="shared" si="469"/>
        <v>2023_2</v>
      </c>
      <c r="EC214" t="str">
        <f t="shared" si="469"/>
        <v>2023_2</v>
      </c>
      <c r="ED214" t="str">
        <f t="shared" si="469"/>
        <v>2023_2</v>
      </c>
      <c r="EE214" t="str">
        <f t="shared" si="469"/>
        <v>2023_2</v>
      </c>
      <c r="EF214" t="str">
        <f t="shared" si="469"/>
        <v>2023_2</v>
      </c>
      <c r="EG214" t="str">
        <f t="shared" si="469"/>
        <v>2023_2</v>
      </c>
      <c r="EH214" t="str">
        <f t="shared" si="469"/>
        <v>2023_2</v>
      </c>
      <c r="EI214" t="str">
        <f t="shared" si="469"/>
        <v>2023_2</v>
      </c>
      <c r="EJ214" t="str">
        <f t="shared" si="469"/>
        <v>2023_2</v>
      </c>
      <c r="EK214" t="str">
        <f t="shared" si="469"/>
        <v>2023_2</v>
      </c>
      <c r="EL214" t="str">
        <f t="shared" si="470"/>
        <v>2023_2</v>
      </c>
      <c r="EM214" t="str">
        <f t="shared" si="424"/>
        <v>2023_2</v>
      </c>
      <c r="EN214" t="str">
        <f t="shared" si="424"/>
        <v>2023_2</v>
      </c>
      <c r="EO214" t="str">
        <f t="shared" si="424"/>
        <v>2023_2</v>
      </c>
      <c r="EP214" t="str">
        <f t="shared" si="424"/>
        <v>2023_2</v>
      </c>
      <c r="EQ214" t="str">
        <f t="shared" si="424"/>
        <v>2023_2</v>
      </c>
      <c r="ER214" t="str">
        <f t="shared" si="424"/>
        <v>2023_2</v>
      </c>
      <c r="ES214" t="str">
        <f t="shared" si="424"/>
        <v>2023_2</v>
      </c>
      <c r="ET214" t="str">
        <f t="shared" si="424"/>
        <v>2023_2</v>
      </c>
      <c r="EU214" t="str">
        <f t="shared" si="424"/>
        <v>2023_2</v>
      </c>
      <c r="EV214" t="str">
        <f t="shared" si="424"/>
        <v>2023_2</v>
      </c>
      <c r="EW214" t="str">
        <f t="shared" si="424"/>
        <v>2023_2</v>
      </c>
      <c r="EX214" t="str">
        <f t="shared" si="424"/>
        <v>2023_2</v>
      </c>
      <c r="EY214" t="str">
        <f t="shared" si="424"/>
        <v>2023_2</v>
      </c>
      <c r="FB214" s="10" t="s">
        <v>37</v>
      </c>
      <c r="FC214">
        <f t="shared" si="521"/>
        <v>0</v>
      </c>
      <c r="FD214">
        <f t="shared" si="471"/>
        <v>0</v>
      </c>
      <c r="FE214">
        <f t="shared" si="472"/>
        <v>0</v>
      </c>
      <c r="FF214">
        <f t="shared" si="473"/>
        <v>0</v>
      </c>
      <c r="FG214">
        <f t="shared" si="474"/>
        <v>0</v>
      </c>
      <c r="FH214">
        <f t="shared" si="475"/>
        <v>0</v>
      </c>
      <c r="FI214">
        <f t="shared" si="476"/>
        <v>0</v>
      </c>
      <c r="FJ214">
        <f t="shared" si="477"/>
        <v>0</v>
      </c>
      <c r="FK214">
        <f t="shared" si="478"/>
        <v>0</v>
      </c>
      <c r="FL214">
        <f t="shared" si="479"/>
        <v>0</v>
      </c>
      <c r="FM214">
        <f t="shared" si="480"/>
        <v>0</v>
      </c>
      <c r="FN214">
        <f t="shared" si="481"/>
        <v>0</v>
      </c>
      <c r="FO214">
        <f t="shared" si="482"/>
        <v>0</v>
      </c>
      <c r="FP214">
        <f t="shared" si="483"/>
        <v>0</v>
      </c>
      <c r="FQ214">
        <f t="shared" si="484"/>
        <v>0</v>
      </c>
      <c r="FR214">
        <f t="shared" si="485"/>
        <v>0</v>
      </c>
      <c r="FS214">
        <f t="shared" si="486"/>
        <v>0</v>
      </c>
      <c r="FT214">
        <f t="shared" si="487"/>
        <v>0</v>
      </c>
      <c r="FU214">
        <f t="shared" si="488"/>
        <v>0</v>
      </c>
      <c r="FV214">
        <f t="shared" si="489"/>
        <v>0</v>
      </c>
      <c r="FW214">
        <f t="shared" si="490"/>
        <v>0</v>
      </c>
      <c r="FX214">
        <f t="shared" si="491"/>
        <v>0</v>
      </c>
      <c r="FY214">
        <f t="shared" si="492"/>
        <v>0</v>
      </c>
      <c r="FZ214">
        <f t="shared" si="493"/>
        <v>0</v>
      </c>
      <c r="GA214">
        <f t="shared" si="494"/>
        <v>0</v>
      </c>
      <c r="GB214">
        <f t="shared" si="495"/>
        <v>0</v>
      </c>
      <c r="GC214">
        <f t="shared" si="496"/>
        <v>0</v>
      </c>
      <c r="GD214">
        <f t="shared" si="497"/>
        <v>0</v>
      </c>
      <c r="GE214">
        <f t="shared" si="498"/>
        <v>0</v>
      </c>
      <c r="GF214">
        <f t="shared" si="499"/>
        <v>0</v>
      </c>
      <c r="GG214">
        <f t="shared" si="500"/>
        <v>0</v>
      </c>
      <c r="GH214">
        <f t="shared" si="501"/>
        <v>0</v>
      </c>
      <c r="GI214">
        <f t="shared" si="502"/>
        <v>0</v>
      </c>
      <c r="GJ214">
        <f t="shared" si="503"/>
        <v>0</v>
      </c>
      <c r="GK214">
        <f t="shared" si="504"/>
        <v>1</v>
      </c>
      <c r="GL214">
        <f t="shared" si="505"/>
        <v>1</v>
      </c>
      <c r="GM214">
        <f t="shared" si="506"/>
        <v>1</v>
      </c>
      <c r="GN214">
        <f t="shared" si="507"/>
        <v>1</v>
      </c>
      <c r="GO214">
        <f t="shared" si="508"/>
        <v>1</v>
      </c>
      <c r="GP214">
        <f t="shared" si="509"/>
        <v>1</v>
      </c>
      <c r="GQ214">
        <f t="shared" si="510"/>
        <v>1</v>
      </c>
      <c r="GR214">
        <f t="shared" si="511"/>
        <v>1</v>
      </c>
      <c r="GS214">
        <f t="shared" si="512"/>
        <v>1</v>
      </c>
      <c r="GT214">
        <f t="shared" si="513"/>
        <v>1</v>
      </c>
      <c r="GU214">
        <f t="shared" si="514"/>
        <v>1</v>
      </c>
      <c r="GX214" s="10"/>
    </row>
    <row r="215" spans="1:206" x14ac:dyDescent="0.3">
      <c r="A215" s="9" t="s">
        <v>124</v>
      </c>
      <c r="B215" s="80"/>
      <c r="C215" s="9">
        <v>3142095000</v>
      </c>
      <c r="D215" s="9" t="s">
        <v>474</v>
      </c>
      <c r="E215" s="9" t="s">
        <v>34</v>
      </c>
      <c r="F215" s="9" t="s">
        <v>35</v>
      </c>
      <c r="G215" s="9" t="s">
        <v>237</v>
      </c>
      <c r="H215" s="10">
        <v>44965</v>
      </c>
      <c r="I215" s="9">
        <f t="shared" si="515"/>
        <v>2023</v>
      </c>
      <c r="J215" s="9">
        <f t="shared" si="516"/>
        <v>2</v>
      </c>
      <c r="K215" s="9" t="str">
        <f t="shared" si="517"/>
        <v>2023_2</v>
      </c>
      <c r="L215">
        <f>MAX(0,VLOOKUP($K215,lookups!$A$1:$B$45,2,0)-12)</f>
        <v>22</v>
      </c>
      <c r="M215" s="40">
        <f t="shared" si="518"/>
        <v>44958</v>
      </c>
      <c r="N215" s="10" t="s">
        <v>37</v>
      </c>
      <c r="O215" t="str">
        <f ca="1">IF(OR($L215&gt;O$4,O$4&gt;$L215+23),"",OFFSET(Electric!$L206,0,-'Electric Calendarize'!$L215+'Electric Calendarize'!O$4+1))</f>
        <v/>
      </c>
      <c r="P215" t="str">
        <f ca="1">IF(OR($L215&gt;P$4,P$4&gt;$L215+23),"",OFFSET(Electric!$L206,0,-'Electric Calendarize'!$L215+'Electric Calendarize'!P$4+1))</f>
        <v/>
      </c>
      <c r="Q215" t="str">
        <f ca="1">IF(OR($L215&gt;Q$4,Q$4&gt;$L215+23),"",OFFSET(Electric!$L206,0,-'Electric Calendarize'!$L215+'Electric Calendarize'!Q$4+1))</f>
        <v/>
      </c>
      <c r="R215" t="str">
        <f ca="1">IF(OR($L215&gt;R$4,R$4&gt;$L215+23),"",OFFSET(Electric!$L206,0,-'Electric Calendarize'!$L215+'Electric Calendarize'!R$4+1))</f>
        <v/>
      </c>
      <c r="S215" t="str">
        <f ca="1">IF(OR($L215&gt;S$4,S$4&gt;$L215+23),"",OFFSET(Electric!$L206,0,-'Electric Calendarize'!$L215+'Electric Calendarize'!S$4+1))</f>
        <v/>
      </c>
      <c r="T215" t="str">
        <f ca="1">IF(OR($L215&gt;T$4,T$4&gt;$L215+23),"",OFFSET(Electric!$L206,0,-'Electric Calendarize'!$L215+'Electric Calendarize'!T$4+1))</f>
        <v/>
      </c>
      <c r="U215" t="str">
        <f ca="1">IF(OR($L215&gt;U$4,U$4&gt;$L215+23),"",OFFSET(Electric!$L206,0,-'Electric Calendarize'!$L215+'Electric Calendarize'!U$4+1))</f>
        <v/>
      </c>
      <c r="V215" t="str">
        <f ca="1">IF(OR($L215&gt;V$4,V$4&gt;$L215+23),"",OFFSET(Electric!$L206,0,-'Electric Calendarize'!$L215+'Electric Calendarize'!V$4+1))</f>
        <v/>
      </c>
      <c r="W215" t="str">
        <f ca="1">IF(OR($L215&gt;W$4,W$4&gt;$L215+23),"",OFFSET(Electric!$L206,0,-'Electric Calendarize'!$L215+'Electric Calendarize'!W$4+1))</f>
        <v/>
      </c>
      <c r="X215" t="str">
        <f ca="1">IF(OR($L215&gt;X$4,X$4&gt;$L215+23),"",OFFSET(Electric!$L206,0,-'Electric Calendarize'!$L215+'Electric Calendarize'!X$4+1))</f>
        <v/>
      </c>
      <c r="Y215" t="str">
        <f ca="1">IF(OR($L215&gt;Y$4,Y$4&gt;$L215+23),"",OFFSET(Electric!$L206,0,-'Electric Calendarize'!$L215+'Electric Calendarize'!Y$4+1))</f>
        <v/>
      </c>
      <c r="Z215" t="str">
        <f ca="1">IF(OR($L215&gt;Z$4,Z$4&gt;$L215+23),"",OFFSET(Electric!$L206,0,-'Electric Calendarize'!$L215+'Electric Calendarize'!Z$4+1))</f>
        <v/>
      </c>
      <c r="AA215" t="str">
        <f ca="1">IF(OR($L215&gt;AA$4,AA$4&gt;$L215+23),"",OFFSET(Electric!$L206,0,-'Electric Calendarize'!$L215+'Electric Calendarize'!AA$4+1))</f>
        <v/>
      </c>
      <c r="AB215" t="str">
        <f ca="1">IF(OR($L215&gt;AB$4,AB$4&gt;$L215+23),"",OFFSET(Electric!$L206,0,-'Electric Calendarize'!$L215+'Electric Calendarize'!AB$4+1))</f>
        <v/>
      </c>
      <c r="AC215" t="str">
        <f ca="1">IF(OR($L215&gt;AC$4,AC$4&gt;$L215+23),"",OFFSET(Electric!$L206,0,-'Electric Calendarize'!$L215+'Electric Calendarize'!AC$4+1))</f>
        <v/>
      </c>
      <c r="AD215" t="str">
        <f ca="1">IF(OR($L215&gt;AD$4,AD$4&gt;$L215+23),"",OFFSET(Electric!$L206,0,-'Electric Calendarize'!$L215+'Electric Calendarize'!AD$4+1))</f>
        <v/>
      </c>
      <c r="AE215" t="str">
        <f ca="1">IF(OR($L215&gt;AE$4,AE$4&gt;$L215+23),"",OFFSET(Electric!$L206,0,-'Electric Calendarize'!$L215+'Electric Calendarize'!AE$4+1))</f>
        <v/>
      </c>
      <c r="AF215" t="str">
        <f ca="1">IF(OR($L215&gt;AF$4,AF$4&gt;$L215+23),"",OFFSET(Electric!$L206,0,-'Electric Calendarize'!$L215+'Electric Calendarize'!AF$4+1))</f>
        <v/>
      </c>
      <c r="AG215" t="str">
        <f ca="1">IF(OR($L215&gt;AG$4,AG$4&gt;$L215+23),"",OFFSET(Electric!$L206,0,-'Electric Calendarize'!$L215+'Electric Calendarize'!AG$4+1))</f>
        <v/>
      </c>
      <c r="AH215" t="str">
        <f ca="1">IF(OR($L215&gt;AH$4,AH$4&gt;$L215+23),"",OFFSET(Electric!$L206,0,-'Electric Calendarize'!$L215+'Electric Calendarize'!AH$4+1))</f>
        <v/>
      </c>
      <c r="AI215" t="str">
        <f ca="1">IF(OR($L215&gt;AI$4,AI$4&gt;$L215+23),"",OFFSET(Electric!$L206,0,-'Electric Calendarize'!$L215+'Electric Calendarize'!AI$4+1))</f>
        <v/>
      </c>
      <c r="AJ215" t="str">
        <f ca="1">IF(OR($L215&gt;AJ$4,AJ$4&gt;$L215+23),"",OFFSET(Electric!$L206,0,-'Electric Calendarize'!$L215+'Electric Calendarize'!AJ$4+1))</f>
        <v/>
      </c>
      <c r="AK215">
        <f ca="1">IF(OR($L215&gt;AK$4,AK$4&gt;$L215+23),"",OFFSET(Electric!$L206,0,-'Electric Calendarize'!$L215+'Electric Calendarize'!AK$4+1))</f>
        <v>611</v>
      </c>
      <c r="AL215">
        <f ca="1">IF(OR($L215&gt;AL$4,AL$4&gt;$L215+23),"",OFFSET(Electric!$L206,0,-'Electric Calendarize'!$L215+'Electric Calendarize'!AL$4+1))</f>
        <v>686</v>
      </c>
      <c r="AM215">
        <f ca="1">IF(OR($L215&gt;AM$4,AM$4&gt;$L215+23),"",OFFSET(Electric!$L206,0,-'Electric Calendarize'!$L215+'Electric Calendarize'!AM$4+1))</f>
        <v>634</v>
      </c>
      <c r="AN215">
        <f ca="1">IF(OR($L215&gt;AN$4,AN$4&gt;$L215+23),"",OFFSET(Electric!$L206,0,-'Electric Calendarize'!$L215+'Electric Calendarize'!AN$4+1))</f>
        <v>641</v>
      </c>
      <c r="AO215">
        <f ca="1">IF(OR($L215&gt;AO$4,AO$4&gt;$L215+23),"",OFFSET(Electric!$L206,0,-'Electric Calendarize'!$L215+'Electric Calendarize'!AO$4+1))</f>
        <v>864</v>
      </c>
      <c r="AP215">
        <f ca="1">IF(OR($L215&gt;AP$4,AP$4&gt;$L215+23),"",OFFSET(Electric!$L206,0,-'Electric Calendarize'!$L215+'Electric Calendarize'!AP$4+1))</f>
        <v>1168</v>
      </c>
      <c r="AQ215">
        <f ca="1">IF(OR($L215&gt;AQ$4,AQ$4&gt;$L215+23),"",OFFSET(Electric!$L206,0,-'Electric Calendarize'!$L215+'Electric Calendarize'!AQ$4+1))</f>
        <v>1194</v>
      </c>
      <c r="AR215">
        <f ca="1">IF(OR($L215&gt;AR$4,AR$4&gt;$L215+23),"",OFFSET(Electric!$L206,0,-'Electric Calendarize'!$L215+'Electric Calendarize'!AR$4+1))</f>
        <v>906</v>
      </c>
      <c r="AS215">
        <f ca="1">IF(OR($L215&gt;AS$4,AS$4&gt;$L215+23),"",OFFSET(Electric!$L206,0,-'Electric Calendarize'!$L215+'Electric Calendarize'!AS$4+1))</f>
        <v>559</v>
      </c>
      <c r="AT215">
        <f ca="1">IF(OR($L215&gt;AT$4,AT$4&gt;$L215+23),"",OFFSET(Electric!$L206,0,-'Electric Calendarize'!$L215+'Electric Calendarize'!AT$4+1))</f>
        <v>518</v>
      </c>
      <c r="AU215">
        <f ca="1">IF(OR($L215&gt;AU$4,AU$4&gt;$L215+23),"",OFFSET(Electric!$L206,0,-'Electric Calendarize'!$L215+'Electric Calendarize'!AU$4+1))</f>
        <v>600</v>
      </c>
      <c r="AV215">
        <f ca="1">IF(OR($L215&gt;AV$4,AV$4&gt;$L215+23),"",OFFSET(Electric!$L206,0,-'Electric Calendarize'!$L215+'Electric Calendarize'!AV$4+1))</f>
        <v>777</v>
      </c>
      <c r="AW215">
        <f ca="1">IF(OR($L215&gt;AW$4,AW$4&gt;$L215+23),"",OFFSET(Electric!$L206,0,-'Electric Calendarize'!$L215+'Electric Calendarize'!AW$4+1))</f>
        <v>708</v>
      </c>
      <c r="AX215">
        <f ca="1">IF(OR($L215&gt;AX$4,AX$4&gt;$L215+23),"",OFFSET(Electric!$L206,0,-'Electric Calendarize'!$L215+'Electric Calendarize'!AX$4+1))</f>
        <v>713</v>
      </c>
      <c r="AY215">
        <f ca="1">IF(OR($L215&gt;AY$4,AY$4&gt;$L215+23),"",OFFSET(Electric!$L206,0,-'Electric Calendarize'!$L215+'Electric Calendarize'!AY$4+1))</f>
        <v>670</v>
      </c>
      <c r="AZ215">
        <f ca="1">IF(OR($L215&gt;AZ$4,AZ$4&gt;$L215+23),"",OFFSET(Electric!$L206,0,-'Electric Calendarize'!$L215+'Electric Calendarize'!AZ$4+1))</f>
        <v>709</v>
      </c>
      <c r="BA215">
        <f ca="1">IF(OR($L215&gt;BA$4,BA$4&gt;$L215+23),"",OFFSET(Electric!$L206,0,-'Electric Calendarize'!$L215+'Electric Calendarize'!BA$4+1))</f>
        <v>997</v>
      </c>
      <c r="BB215">
        <f ca="1">IF(OR($L215&gt;BB$4,BB$4&gt;$L215+23),"",OFFSET(Electric!$L206,0,-'Electric Calendarize'!$L215+'Electric Calendarize'!BB$4+1))</f>
        <v>1169</v>
      </c>
      <c r="BC215">
        <f ca="1">IF(OR($L215&gt;BC$4,BC$4&gt;$L215+23),"",OFFSET(Electric!$L206,0,-'Electric Calendarize'!$L215+'Electric Calendarize'!BC$4+1))</f>
        <v>1043</v>
      </c>
      <c r="BD215">
        <f ca="1">IF(OR($L215&gt;BD$4,BD$4&gt;$L215+23),"",OFFSET(Electric!$L206,0,-'Electric Calendarize'!$L215+'Electric Calendarize'!BD$4+1))</f>
        <v>998</v>
      </c>
      <c r="BE215">
        <f ca="1">IF(OR($L215&gt;BE$4,BE$4&gt;$L215+23),"",OFFSET(Electric!$L206,0,-'Electric Calendarize'!$L215+'Electric Calendarize'!BE$4+1))</f>
        <v>625</v>
      </c>
      <c r="BF215">
        <f ca="1">IF(OR($L215&gt;BF$4,BF$4&gt;$L215+23),"",OFFSET(Electric!$L206,0,-'Electric Calendarize'!$L215+'Electric Calendarize'!BF$4+1))</f>
        <v>826</v>
      </c>
      <c r="BG215">
        <f ca="1">IF(OR($L215&gt;BG$4,BG$4&gt;$L215+23),"",OFFSET(Electric!$L206,0,-'Electric Calendarize'!$L215+'Electric Calendarize'!BG$4+1))</f>
        <v>0</v>
      </c>
      <c r="BJ215" s="10" t="s">
        <v>37</v>
      </c>
      <c r="BK215">
        <f t="shared" si="519"/>
        <v>1</v>
      </c>
      <c r="BL215">
        <f t="shared" si="425"/>
        <v>0</v>
      </c>
      <c r="BM215">
        <f t="shared" si="426"/>
        <v>0</v>
      </c>
      <c r="BN215">
        <f t="shared" si="427"/>
        <v>0</v>
      </c>
      <c r="BO215">
        <f t="shared" si="428"/>
        <v>0</v>
      </c>
      <c r="BP215">
        <f t="shared" si="429"/>
        <v>0</v>
      </c>
      <c r="BQ215">
        <f t="shared" si="430"/>
        <v>0</v>
      </c>
      <c r="BR215">
        <f t="shared" si="431"/>
        <v>1</v>
      </c>
      <c r="BS215">
        <f t="shared" si="432"/>
        <v>1</v>
      </c>
      <c r="BT215">
        <f t="shared" si="433"/>
        <v>1</v>
      </c>
      <c r="BU215">
        <f t="shared" si="434"/>
        <v>1</v>
      </c>
      <c r="BV215">
        <f t="shared" si="435"/>
        <v>1</v>
      </c>
      <c r="BW215">
        <f t="shared" si="436"/>
        <v>1</v>
      </c>
      <c r="BX215">
        <f t="shared" si="437"/>
        <v>0</v>
      </c>
      <c r="BY215">
        <f t="shared" si="438"/>
        <v>0</v>
      </c>
      <c r="BZ215">
        <f t="shared" si="439"/>
        <v>0</v>
      </c>
      <c r="CA215">
        <f t="shared" si="440"/>
        <v>0</v>
      </c>
      <c r="CB215">
        <f t="shared" si="441"/>
        <v>0</v>
      </c>
      <c r="CC215">
        <f t="shared" si="442"/>
        <v>0</v>
      </c>
      <c r="CD215">
        <f t="shared" si="443"/>
        <v>1</v>
      </c>
      <c r="CE215">
        <f t="shared" si="444"/>
        <v>1</v>
      </c>
      <c r="CF215">
        <f t="shared" si="445"/>
        <v>1</v>
      </c>
      <c r="CG215">
        <f t="shared" si="446"/>
        <v>1</v>
      </c>
      <c r="CH215">
        <f t="shared" si="447"/>
        <v>1</v>
      </c>
      <c r="CI215">
        <f t="shared" si="448"/>
        <v>1</v>
      </c>
      <c r="CJ215">
        <f t="shared" si="449"/>
        <v>0</v>
      </c>
      <c r="CK215">
        <f t="shared" si="450"/>
        <v>0</v>
      </c>
      <c r="CL215">
        <f t="shared" si="451"/>
        <v>0</v>
      </c>
      <c r="CM215">
        <f t="shared" si="452"/>
        <v>0</v>
      </c>
      <c r="CN215">
        <f t="shared" si="453"/>
        <v>0</v>
      </c>
      <c r="CO215">
        <f t="shared" si="454"/>
        <v>0</v>
      </c>
      <c r="CP215">
        <f t="shared" si="455"/>
        <v>1</v>
      </c>
      <c r="CQ215">
        <f t="shared" si="456"/>
        <v>1</v>
      </c>
      <c r="CR215">
        <f t="shared" si="457"/>
        <v>1</v>
      </c>
      <c r="CS215">
        <f t="shared" si="458"/>
        <v>1</v>
      </c>
      <c r="CT215">
        <f t="shared" si="459"/>
        <v>1</v>
      </c>
      <c r="CU215">
        <f t="shared" si="460"/>
        <v>1</v>
      </c>
      <c r="CV215">
        <f t="shared" si="461"/>
        <v>0</v>
      </c>
      <c r="CW215">
        <f t="shared" si="462"/>
        <v>0</v>
      </c>
      <c r="CX215">
        <f t="shared" si="463"/>
        <v>0</v>
      </c>
      <c r="CY215">
        <f t="shared" si="464"/>
        <v>0</v>
      </c>
      <c r="CZ215">
        <f t="shared" si="465"/>
        <v>0</v>
      </c>
      <c r="DA215">
        <f t="shared" si="466"/>
        <v>0</v>
      </c>
      <c r="DB215">
        <f t="shared" si="467"/>
        <v>1</v>
      </c>
      <c r="DC215">
        <f t="shared" si="468"/>
        <v>1</v>
      </c>
      <c r="DF215" s="10" t="s">
        <v>37</v>
      </c>
      <c r="DG215" t="str">
        <f t="shared" si="520"/>
        <v>2023_2</v>
      </c>
      <c r="DH215" t="str">
        <f t="shared" si="520"/>
        <v>2023_2</v>
      </c>
      <c r="DI215" t="str">
        <f t="shared" si="520"/>
        <v>2023_2</v>
      </c>
      <c r="DJ215" t="str">
        <f t="shared" si="520"/>
        <v>2023_2</v>
      </c>
      <c r="DK215" t="str">
        <f t="shared" si="520"/>
        <v>2023_2</v>
      </c>
      <c r="DL215" t="str">
        <f t="shared" si="520"/>
        <v>2023_2</v>
      </c>
      <c r="DM215" t="str">
        <f t="shared" si="520"/>
        <v>2023_2</v>
      </c>
      <c r="DN215" t="str">
        <f t="shared" si="520"/>
        <v>2023_2</v>
      </c>
      <c r="DO215" t="str">
        <f t="shared" si="520"/>
        <v>2023_2</v>
      </c>
      <c r="DP215" t="str">
        <f t="shared" si="520"/>
        <v>2023_2</v>
      </c>
      <c r="DQ215" t="str">
        <f t="shared" si="520"/>
        <v>2023_2</v>
      </c>
      <c r="DR215" t="str">
        <f t="shared" si="520"/>
        <v>2023_2</v>
      </c>
      <c r="DS215" t="str">
        <f t="shared" si="520"/>
        <v>2023_2</v>
      </c>
      <c r="DT215" t="str">
        <f t="shared" si="520"/>
        <v>2023_2</v>
      </c>
      <c r="DU215" t="str">
        <f t="shared" si="520"/>
        <v>2023_2</v>
      </c>
      <c r="DV215" t="str">
        <f t="shared" si="469"/>
        <v>2023_2</v>
      </c>
      <c r="DW215" t="str">
        <f t="shared" si="469"/>
        <v>2023_2</v>
      </c>
      <c r="DX215" t="str">
        <f t="shared" si="469"/>
        <v>2023_2</v>
      </c>
      <c r="DY215" t="str">
        <f t="shared" si="469"/>
        <v>2023_2</v>
      </c>
      <c r="DZ215" t="str">
        <f t="shared" si="469"/>
        <v>2023_2</v>
      </c>
      <c r="EA215" t="str">
        <f t="shared" si="469"/>
        <v>2023_2</v>
      </c>
      <c r="EB215" t="str">
        <f t="shared" si="469"/>
        <v>2023_2</v>
      </c>
      <c r="EC215" t="str">
        <f t="shared" si="469"/>
        <v>2023_2</v>
      </c>
      <c r="ED215" t="str">
        <f t="shared" si="469"/>
        <v>2023_2</v>
      </c>
      <c r="EE215" t="str">
        <f t="shared" si="469"/>
        <v>2023_2</v>
      </c>
      <c r="EF215" t="str">
        <f t="shared" si="469"/>
        <v>2023_2</v>
      </c>
      <c r="EG215" t="str">
        <f t="shared" si="469"/>
        <v>2023_2</v>
      </c>
      <c r="EH215" t="str">
        <f t="shared" si="469"/>
        <v>2023_2</v>
      </c>
      <c r="EI215" t="str">
        <f t="shared" si="469"/>
        <v>2023_2</v>
      </c>
      <c r="EJ215" t="str">
        <f t="shared" si="469"/>
        <v>2023_2</v>
      </c>
      <c r="EK215" t="str">
        <f t="shared" si="469"/>
        <v>2023_2</v>
      </c>
      <c r="EL215" t="str">
        <f t="shared" si="470"/>
        <v>2023_2</v>
      </c>
      <c r="EM215" t="str">
        <f t="shared" si="424"/>
        <v>2023_2</v>
      </c>
      <c r="EN215" t="str">
        <f t="shared" si="424"/>
        <v>2023_2</v>
      </c>
      <c r="EO215" t="str">
        <f t="shared" si="424"/>
        <v>2023_2</v>
      </c>
      <c r="EP215" t="str">
        <f t="shared" si="424"/>
        <v>2023_2</v>
      </c>
      <c r="EQ215" t="str">
        <f t="shared" si="424"/>
        <v>2023_2</v>
      </c>
      <c r="ER215" t="str">
        <f t="shared" si="424"/>
        <v>2023_2</v>
      </c>
      <c r="ES215" t="str">
        <f t="shared" si="424"/>
        <v>2023_2</v>
      </c>
      <c r="ET215" t="str">
        <f t="shared" si="424"/>
        <v>2023_2</v>
      </c>
      <c r="EU215" t="str">
        <f t="shared" si="424"/>
        <v>2023_2</v>
      </c>
      <c r="EV215" t="str">
        <f t="shared" si="424"/>
        <v>2023_2</v>
      </c>
      <c r="EW215" t="str">
        <f t="shared" si="424"/>
        <v>2023_2</v>
      </c>
      <c r="EX215" t="str">
        <f t="shared" si="424"/>
        <v>2023_2</v>
      </c>
      <c r="EY215" t="str">
        <f t="shared" si="424"/>
        <v>2023_2</v>
      </c>
      <c r="FB215" s="10" t="s">
        <v>37</v>
      </c>
      <c r="FC215">
        <f t="shared" si="521"/>
        <v>0</v>
      </c>
      <c r="FD215">
        <f t="shared" si="471"/>
        <v>0</v>
      </c>
      <c r="FE215">
        <f t="shared" si="472"/>
        <v>0</v>
      </c>
      <c r="FF215">
        <f t="shared" si="473"/>
        <v>0</v>
      </c>
      <c r="FG215">
        <f t="shared" si="474"/>
        <v>0</v>
      </c>
      <c r="FH215">
        <f t="shared" si="475"/>
        <v>0</v>
      </c>
      <c r="FI215">
        <f t="shared" si="476"/>
        <v>0</v>
      </c>
      <c r="FJ215">
        <f t="shared" si="477"/>
        <v>0</v>
      </c>
      <c r="FK215">
        <f t="shared" si="478"/>
        <v>0</v>
      </c>
      <c r="FL215">
        <f t="shared" si="479"/>
        <v>0</v>
      </c>
      <c r="FM215">
        <f t="shared" si="480"/>
        <v>0</v>
      </c>
      <c r="FN215">
        <f t="shared" si="481"/>
        <v>0</v>
      </c>
      <c r="FO215">
        <f t="shared" si="482"/>
        <v>0</v>
      </c>
      <c r="FP215">
        <f t="shared" si="483"/>
        <v>0</v>
      </c>
      <c r="FQ215">
        <f t="shared" si="484"/>
        <v>0</v>
      </c>
      <c r="FR215">
        <f t="shared" si="485"/>
        <v>0</v>
      </c>
      <c r="FS215">
        <f t="shared" si="486"/>
        <v>0</v>
      </c>
      <c r="FT215">
        <f t="shared" si="487"/>
        <v>0</v>
      </c>
      <c r="FU215">
        <f t="shared" si="488"/>
        <v>0</v>
      </c>
      <c r="FV215">
        <f t="shared" si="489"/>
        <v>0</v>
      </c>
      <c r="FW215">
        <f t="shared" si="490"/>
        <v>0</v>
      </c>
      <c r="FX215">
        <f t="shared" si="491"/>
        <v>0</v>
      </c>
      <c r="FY215">
        <f t="shared" si="492"/>
        <v>0</v>
      </c>
      <c r="FZ215">
        <f t="shared" si="493"/>
        <v>0</v>
      </c>
      <c r="GA215">
        <f t="shared" si="494"/>
        <v>0</v>
      </c>
      <c r="GB215">
        <f t="shared" si="495"/>
        <v>0</v>
      </c>
      <c r="GC215">
        <f t="shared" si="496"/>
        <v>0</v>
      </c>
      <c r="GD215">
        <f t="shared" si="497"/>
        <v>0</v>
      </c>
      <c r="GE215">
        <f t="shared" si="498"/>
        <v>0</v>
      </c>
      <c r="GF215">
        <f t="shared" si="499"/>
        <v>0</v>
      </c>
      <c r="GG215">
        <f t="shared" si="500"/>
        <v>0</v>
      </c>
      <c r="GH215">
        <f t="shared" si="501"/>
        <v>0</v>
      </c>
      <c r="GI215">
        <f t="shared" si="502"/>
        <v>0</v>
      </c>
      <c r="GJ215">
        <f t="shared" si="503"/>
        <v>0</v>
      </c>
      <c r="GK215">
        <f t="shared" si="504"/>
        <v>1</v>
      </c>
      <c r="GL215">
        <f t="shared" si="505"/>
        <v>1</v>
      </c>
      <c r="GM215">
        <f t="shared" si="506"/>
        <v>1</v>
      </c>
      <c r="GN215">
        <f t="shared" si="507"/>
        <v>1</v>
      </c>
      <c r="GO215">
        <f t="shared" si="508"/>
        <v>1</v>
      </c>
      <c r="GP215">
        <f t="shared" si="509"/>
        <v>1</v>
      </c>
      <c r="GQ215">
        <f t="shared" si="510"/>
        <v>1</v>
      </c>
      <c r="GR215">
        <f t="shared" si="511"/>
        <v>1</v>
      </c>
      <c r="GS215">
        <f t="shared" si="512"/>
        <v>1</v>
      </c>
      <c r="GT215">
        <f t="shared" si="513"/>
        <v>1</v>
      </c>
      <c r="GU215">
        <f t="shared" si="514"/>
        <v>1</v>
      </c>
      <c r="GX215" s="10"/>
    </row>
    <row r="216" spans="1:206" x14ac:dyDescent="0.3">
      <c r="A216" s="9" t="s">
        <v>124</v>
      </c>
      <c r="B216" s="80"/>
      <c r="C216" s="9">
        <v>3142095000</v>
      </c>
      <c r="D216" s="9" t="s">
        <v>486</v>
      </c>
      <c r="E216" s="9" t="s">
        <v>34</v>
      </c>
      <c r="F216" s="9" t="s">
        <v>35</v>
      </c>
      <c r="G216" s="9" t="s">
        <v>238</v>
      </c>
      <c r="H216" s="10">
        <v>44965</v>
      </c>
      <c r="I216" s="9">
        <f t="shared" si="515"/>
        <v>2023</v>
      </c>
      <c r="J216" s="9">
        <f t="shared" si="516"/>
        <v>2</v>
      </c>
      <c r="K216" s="9" t="str">
        <f t="shared" si="517"/>
        <v>2023_2</v>
      </c>
      <c r="L216">
        <f>MAX(0,VLOOKUP($K216,lookups!$A$1:$B$45,2,0)-12)</f>
        <v>22</v>
      </c>
      <c r="M216" s="40">
        <f t="shared" si="518"/>
        <v>44958</v>
      </c>
      <c r="N216" s="10" t="s">
        <v>37</v>
      </c>
      <c r="O216" t="str">
        <f ca="1">IF(OR($L216&gt;O$4,O$4&gt;$L216+23),"",OFFSET(Electric!$L207,0,-'Electric Calendarize'!$L216+'Electric Calendarize'!O$4+1))</f>
        <v/>
      </c>
      <c r="P216" t="str">
        <f ca="1">IF(OR($L216&gt;P$4,P$4&gt;$L216+23),"",OFFSET(Electric!$L207,0,-'Electric Calendarize'!$L216+'Electric Calendarize'!P$4+1))</f>
        <v/>
      </c>
      <c r="Q216" t="str">
        <f ca="1">IF(OR($L216&gt;Q$4,Q$4&gt;$L216+23),"",OFFSET(Electric!$L207,0,-'Electric Calendarize'!$L216+'Electric Calendarize'!Q$4+1))</f>
        <v/>
      </c>
      <c r="R216" t="str">
        <f ca="1">IF(OR($L216&gt;R$4,R$4&gt;$L216+23),"",OFFSET(Electric!$L207,0,-'Electric Calendarize'!$L216+'Electric Calendarize'!R$4+1))</f>
        <v/>
      </c>
      <c r="S216" t="str">
        <f ca="1">IF(OR($L216&gt;S$4,S$4&gt;$L216+23),"",OFFSET(Electric!$L207,0,-'Electric Calendarize'!$L216+'Electric Calendarize'!S$4+1))</f>
        <v/>
      </c>
      <c r="T216" t="str">
        <f ca="1">IF(OR($L216&gt;T$4,T$4&gt;$L216+23),"",OFFSET(Electric!$L207,0,-'Electric Calendarize'!$L216+'Electric Calendarize'!T$4+1))</f>
        <v/>
      </c>
      <c r="U216" t="str">
        <f ca="1">IF(OR($L216&gt;U$4,U$4&gt;$L216+23),"",OFFSET(Electric!$L207,0,-'Electric Calendarize'!$L216+'Electric Calendarize'!U$4+1))</f>
        <v/>
      </c>
      <c r="V216" t="str">
        <f ca="1">IF(OR($L216&gt;V$4,V$4&gt;$L216+23),"",OFFSET(Electric!$L207,0,-'Electric Calendarize'!$L216+'Electric Calendarize'!V$4+1))</f>
        <v/>
      </c>
      <c r="W216" t="str">
        <f ca="1">IF(OR($L216&gt;W$4,W$4&gt;$L216+23),"",OFFSET(Electric!$L207,0,-'Electric Calendarize'!$L216+'Electric Calendarize'!W$4+1))</f>
        <v/>
      </c>
      <c r="X216" t="str">
        <f ca="1">IF(OR($L216&gt;X$4,X$4&gt;$L216+23),"",OFFSET(Electric!$L207,0,-'Electric Calendarize'!$L216+'Electric Calendarize'!X$4+1))</f>
        <v/>
      </c>
      <c r="Y216" t="str">
        <f ca="1">IF(OR($L216&gt;Y$4,Y$4&gt;$L216+23),"",OFFSET(Electric!$L207,0,-'Electric Calendarize'!$L216+'Electric Calendarize'!Y$4+1))</f>
        <v/>
      </c>
      <c r="Z216" t="str">
        <f ca="1">IF(OR($L216&gt;Z$4,Z$4&gt;$L216+23),"",OFFSET(Electric!$L207,0,-'Electric Calendarize'!$L216+'Electric Calendarize'!Z$4+1))</f>
        <v/>
      </c>
      <c r="AA216" t="str">
        <f ca="1">IF(OR($L216&gt;AA$4,AA$4&gt;$L216+23),"",OFFSET(Electric!$L207,0,-'Electric Calendarize'!$L216+'Electric Calendarize'!AA$4+1))</f>
        <v/>
      </c>
      <c r="AB216" t="str">
        <f ca="1">IF(OR($L216&gt;AB$4,AB$4&gt;$L216+23),"",OFFSET(Electric!$L207,0,-'Electric Calendarize'!$L216+'Electric Calendarize'!AB$4+1))</f>
        <v/>
      </c>
      <c r="AC216" t="str">
        <f ca="1">IF(OR($L216&gt;AC$4,AC$4&gt;$L216+23),"",OFFSET(Electric!$L207,0,-'Electric Calendarize'!$L216+'Electric Calendarize'!AC$4+1))</f>
        <v/>
      </c>
      <c r="AD216" t="str">
        <f ca="1">IF(OR($L216&gt;AD$4,AD$4&gt;$L216+23),"",OFFSET(Electric!$L207,0,-'Electric Calendarize'!$L216+'Electric Calendarize'!AD$4+1))</f>
        <v/>
      </c>
      <c r="AE216" t="str">
        <f ca="1">IF(OR($L216&gt;AE$4,AE$4&gt;$L216+23),"",OFFSET(Electric!$L207,0,-'Electric Calendarize'!$L216+'Electric Calendarize'!AE$4+1))</f>
        <v/>
      </c>
      <c r="AF216" t="str">
        <f ca="1">IF(OR($L216&gt;AF$4,AF$4&gt;$L216+23),"",OFFSET(Electric!$L207,0,-'Electric Calendarize'!$L216+'Electric Calendarize'!AF$4+1))</f>
        <v/>
      </c>
      <c r="AG216" t="str">
        <f ca="1">IF(OR($L216&gt;AG$4,AG$4&gt;$L216+23),"",OFFSET(Electric!$L207,0,-'Electric Calendarize'!$L216+'Electric Calendarize'!AG$4+1))</f>
        <v/>
      </c>
      <c r="AH216" t="str">
        <f ca="1">IF(OR($L216&gt;AH$4,AH$4&gt;$L216+23),"",OFFSET(Electric!$L207,0,-'Electric Calendarize'!$L216+'Electric Calendarize'!AH$4+1))</f>
        <v/>
      </c>
      <c r="AI216" t="str">
        <f ca="1">IF(OR($L216&gt;AI$4,AI$4&gt;$L216+23),"",OFFSET(Electric!$L207,0,-'Electric Calendarize'!$L216+'Electric Calendarize'!AI$4+1))</f>
        <v/>
      </c>
      <c r="AJ216" t="str">
        <f ca="1">IF(OR($L216&gt;AJ$4,AJ$4&gt;$L216+23),"",OFFSET(Electric!$L207,0,-'Electric Calendarize'!$L216+'Electric Calendarize'!AJ$4+1))</f>
        <v/>
      </c>
      <c r="AK216">
        <f ca="1">IF(OR($L216&gt;AK$4,AK$4&gt;$L216+23),"",OFFSET(Electric!$L207,0,-'Electric Calendarize'!$L216+'Electric Calendarize'!AK$4+1))</f>
        <v>611</v>
      </c>
      <c r="AL216">
        <f ca="1">IF(OR($L216&gt;AL$4,AL$4&gt;$L216+23),"",OFFSET(Electric!$L207,0,-'Electric Calendarize'!$L216+'Electric Calendarize'!AL$4+1))</f>
        <v>686</v>
      </c>
      <c r="AM216">
        <f ca="1">IF(OR($L216&gt;AM$4,AM$4&gt;$L216+23),"",OFFSET(Electric!$L207,0,-'Electric Calendarize'!$L216+'Electric Calendarize'!AM$4+1))</f>
        <v>634</v>
      </c>
      <c r="AN216">
        <f ca="1">IF(OR($L216&gt;AN$4,AN$4&gt;$L216+23),"",OFFSET(Electric!$L207,0,-'Electric Calendarize'!$L216+'Electric Calendarize'!AN$4+1))</f>
        <v>641</v>
      </c>
      <c r="AO216">
        <f ca="1">IF(OR($L216&gt;AO$4,AO$4&gt;$L216+23),"",OFFSET(Electric!$L207,0,-'Electric Calendarize'!$L216+'Electric Calendarize'!AO$4+1))</f>
        <v>864</v>
      </c>
      <c r="AP216">
        <f ca="1">IF(OR($L216&gt;AP$4,AP$4&gt;$L216+23),"",OFFSET(Electric!$L207,0,-'Electric Calendarize'!$L216+'Electric Calendarize'!AP$4+1))</f>
        <v>1168</v>
      </c>
      <c r="AQ216">
        <f ca="1">IF(OR($L216&gt;AQ$4,AQ$4&gt;$L216+23),"",OFFSET(Electric!$L207,0,-'Electric Calendarize'!$L216+'Electric Calendarize'!AQ$4+1))</f>
        <v>1194</v>
      </c>
      <c r="AR216">
        <f ca="1">IF(OR($L216&gt;AR$4,AR$4&gt;$L216+23),"",OFFSET(Electric!$L207,0,-'Electric Calendarize'!$L216+'Electric Calendarize'!AR$4+1))</f>
        <v>906</v>
      </c>
      <c r="AS216">
        <f ca="1">IF(OR($L216&gt;AS$4,AS$4&gt;$L216+23),"",OFFSET(Electric!$L207,0,-'Electric Calendarize'!$L216+'Electric Calendarize'!AS$4+1))</f>
        <v>559</v>
      </c>
      <c r="AT216">
        <f ca="1">IF(OR($L216&gt;AT$4,AT$4&gt;$L216+23),"",OFFSET(Electric!$L207,0,-'Electric Calendarize'!$L216+'Electric Calendarize'!AT$4+1))</f>
        <v>518</v>
      </c>
      <c r="AU216">
        <f ca="1">IF(OR($L216&gt;AU$4,AU$4&gt;$L216+23),"",OFFSET(Electric!$L207,0,-'Electric Calendarize'!$L216+'Electric Calendarize'!AU$4+1))</f>
        <v>600</v>
      </c>
      <c r="AV216">
        <f ca="1">IF(OR($L216&gt;AV$4,AV$4&gt;$L216+23),"",OFFSET(Electric!$L207,0,-'Electric Calendarize'!$L216+'Electric Calendarize'!AV$4+1))</f>
        <v>777</v>
      </c>
      <c r="AW216">
        <f ca="1">IF(OR($L216&gt;AW$4,AW$4&gt;$L216+23),"",OFFSET(Electric!$L207,0,-'Electric Calendarize'!$L216+'Electric Calendarize'!AW$4+1))</f>
        <v>708</v>
      </c>
      <c r="AX216">
        <f ca="1">IF(OR($L216&gt;AX$4,AX$4&gt;$L216+23),"",OFFSET(Electric!$L207,0,-'Electric Calendarize'!$L216+'Electric Calendarize'!AX$4+1))</f>
        <v>713</v>
      </c>
      <c r="AY216">
        <f ca="1">IF(OR($L216&gt;AY$4,AY$4&gt;$L216+23),"",OFFSET(Electric!$L207,0,-'Electric Calendarize'!$L216+'Electric Calendarize'!AY$4+1))</f>
        <v>670</v>
      </c>
      <c r="AZ216">
        <f ca="1">IF(OR($L216&gt;AZ$4,AZ$4&gt;$L216+23),"",OFFSET(Electric!$L207,0,-'Electric Calendarize'!$L216+'Electric Calendarize'!AZ$4+1))</f>
        <v>709</v>
      </c>
      <c r="BA216">
        <f ca="1">IF(OR($L216&gt;BA$4,BA$4&gt;$L216+23),"",OFFSET(Electric!$L207,0,-'Electric Calendarize'!$L216+'Electric Calendarize'!BA$4+1))</f>
        <v>997</v>
      </c>
      <c r="BB216">
        <f ca="1">IF(OR($L216&gt;BB$4,BB$4&gt;$L216+23),"",OFFSET(Electric!$L207,0,-'Electric Calendarize'!$L216+'Electric Calendarize'!BB$4+1))</f>
        <v>1169</v>
      </c>
      <c r="BC216">
        <f ca="1">IF(OR($L216&gt;BC$4,BC$4&gt;$L216+23),"",OFFSET(Electric!$L207,0,-'Electric Calendarize'!$L216+'Electric Calendarize'!BC$4+1))</f>
        <v>1043</v>
      </c>
      <c r="BD216">
        <f ca="1">IF(OR($L216&gt;BD$4,BD$4&gt;$L216+23),"",OFFSET(Electric!$L207,0,-'Electric Calendarize'!$L216+'Electric Calendarize'!BD$4+1))</f>
        <v>998</v>
      </c>
      <c r="BE216">
        <f ca="1">IF(OR($L216&gt;BE$4,BE$4&gt;$L216+23),"",OFFSET(Electric!$L207,0,-'Electric Calendarize'!$L216+'Electric Calendarize'!BE$4+1))</f>
        <v>625</v>
      </c>
      <c r="BF216">
        <f ca="1">IF(OR($L216&gt;BF$4,BF$4&gt;$L216+23),"",OFFSET(Electric!$L207,0,-'Electric Calendarize'!$L216+'Electric Calendarize'!BF$4+1))</f>
        <v>826</v>
      </c>
      <c r="BG216">
        <f ca="1">IF(OR($L216&gt;BG$4,BG$4&gt;$L216+23),"",OFFSET(Electric!$L207,0,-'Electric Calendarize'!$L216+'Electric Calendarize'!BG$4+1))</f>
        <v>0</v>
      </c>
      <c r="BJ216" s="10" t="s">
        <v>37</v>
      </c>
      <c r="BK216">
        <f t="shared" si="519"/>
        <v>1</v>
      </c>
      <c r="BL216">
        <f t="shared" si="425"/>
        <v>0</v>
      </c>
      <c r="BM216">
        <f t="shared" si="426"/>
        <v>0</v>
      </c>
      <c r="BN216">
        <f t="shared" si="427"/>
        <v>0</v>
      </c>
      <c r="BO216">
        <f t="shared" si="428"/>
        <v>0</v>
      </c>
      <c r="BP216">
        <f t="shared" si="429"/>
        <v>0</v>
      </c>
      <c r="BQ216">
        <f t="shared" si="430"/>
        <v>0</v>
      </c>
      <c r="BR216">
        <f t="shared" si="431"/>
        <v>1</v>
      </c>
      <c r="BS216">
        <f t="shared" si="432"/>
        <v>1</v>
      </c>
      <c r="BT216">
        <f t="shared" si="433"/>
        <v>1</v>
      </c>
      <c r="BU216">
        <f t="shared" si="434"/>
        <v>1</v>
      </c>
      <c r="BV216">
        <f t="shared" si="435"/>
        <v>1</v>
      </c>
      <c r="BW216">
        <f t="shared" si="436"/>
        <v>1</v>
      </c>
      <c r="BX216">
        <f t="shared" si="437"/>
        <v>0</v>
      </c>
      <c r="BY216">
        <f t="shared" si="438"/>
        <v>0</v>
      </c>
      <c r="BZ216">
        <f t="shared" si="439"/>
        <v>0</v>
      </c>
      <c r="CA216">
        <f t="shared" si="440"/>
        <v>0</v>
      </c>
      <c r="CB216">
        <f t="shared" si="441"/>
        <v>0</v>
      </c>
      <c r="CC216">
        <f t="shared" si="442"/>
        <v>0</v>
      </c>
      <c r="CD216">
        <f t="shared" si="443"/>
        <v>1</v>
      </c>
      <c r="CE216">
        <f t="shared" si="444"/>
        <v>1</v>
      </c>
      <c r="CF216">
        <f t="shared" si="445"/>
        <v>1</v>
      </c>
      <c r="CG216">
        <f t="shared" si="446"/>
        <v>1</v>
      </c>
      <c r="CH216">
        <f t="shared" si="447"/>
        <v>1</v>
      </c>
      <c r="CI216">
        <f t="shared" si="448"/>
        <v>1</v>
      </c>
      <c r="CJ216">
        <f t="shared" si="449"/>
        <v>0</v>
      </c>
      <c r="CK216">
        <f t="shared" si="450"/>
        <v>0</v>
      </c>
      <c r="CL216">
        <f t="shared" si="451"/>
        <v>0</v>
      </c>
      <c r="CM216">
        <f t="shared" si="452"/>
        <v>0</v>
      </c>
      <c r="CN216">
        <f t="shared" si="453"/>
        <v>0</v>
      </c>
      <c r="CO216">
        <f t="shared" si="454"/>
        <v>0</v>
      </c>
      <c r="CP216">
        <f t="shared" si="455"/>
        <v>1</v>
      </c>
      <c r="CQ216">
        <f t="shared" si="456"/>
        <v>1</v>
      </c>
      <c r="CR216">
        <f t="shared" si="457"/>
        <v>1</v>
      </c>
      <c r="CS216">
        <f t="shared" si="458"/>
        <v>1</v>
      </c>
      <c r="CT216">
        <f t="shared" si="459"/>
        <v>1</v>
      </c>
      <c r="CU216">
        <f t="shared" si="460"/>
        <v>1</v>
      </c>
      <c r="CV216">
        <f t="shared" si="461"/>
        <v>0</v>
      </c>
      <c r="CW216">
        <f t="shared" si="462"/>
        <v>0</v>
      </c>
      <c r="CX216">
        <f t="shared" si="463"/>
        <v>0</v>
      </c>
      <c r="CY216">
        <f t="shared" si="464"/>
        <v>0</v>
      </c>
      <c r="CZ216">
        <f t="shared" si="465"/>
        <v>0</v>
      </c>
      <c r="DA216">
        <f t="shared" si="466"/>
        <v>0</v>
      </c>
      <c r="DB216">
        <f t="shared" si="467"/>
        <v>1</v>
      </c>
      <c r="DC216">
        <f t="shared" si="468"/>
        <v>1</v>
      </c>
      <c r="DF216" s="10" t="s">
        <v>37</v>
      </c>
      <c r="DG216" t="str">
        <f t="shared" si="520"/>
        <v>2023_2</v>
      </c>
      <c r="DH216" t="str">
        <f t="shared" si="520"/>
        <v>2023_2</v>
      </c>
      <c r="DI216" t="str">
        <f t="shared" si="520"/>
        <v>2023_2</v>
      </c>
      <c r="DJ216" t="str">
        <f t="shared" si="520"/>
        <v>2023_2</v>
      </c>
      <c r="DK216" t="str">
        <f t="shared" si="520"/>
        <v>2023_2</v>
      </c>
      <c r="DL216" t="str">
        <f t="shared" si="520"/>
        <v>2023_2</v>
      </c>
      <c r="DM216" t="str">
        <f t="shared" si="520"/>
        <v>2023_2</v>
      </c>
      <c r="DN216" t="str">
        <f t="shared" si="520"/>
        <v>2023_2</v>
      </c>
      <c r="DO216" t="str">
        <f t="shared" si="520"/>
        <v>2023_2</v>
      </c>
      <c r="DP216" t="str">
        <f t="shared" si="520"/>
        <v>2023_2</v>
      </c>
      <c r="DQ216" t="str">
        <f t="shared" si="520"/>
        <v>2023_2</v>
      </c>
      <c r="DR216" t="str">
        <f t="shared" si="520"/>
        <v>2023_2</v>
      </c>
      <c r="DS216" t="str">
        <f t="shared" si="520"/>
        <v>2023_2</v>
      </c>
      <c r="DT216" t="str">
        <f t="shared" si="520"/>
        <v>2023_2</v>
      </c>
      <c r="DU216" t="str">
        <f t="shared" si="520"/>
        <v>2023_2</v>
      </c>
      <c r="DV216" t="str">
        <f t="shared" si="469"/>
        <v>2023_2</v>
      </c>
      <c r="DW216" t="str">
        <f t="shared" si="469"/>
        <v>2023_2</v>
      </c>
      <c r="DX216" t="str">
        <f t="shared" si="469"/>
        <v>2023_2</v>
      </c>
      <c r="DY216" t="str">
        <f t="shared" si="469"/>
        <v>2023_2</v>
      </c>
      <c r="DZ216" t="str">
        <f t="shared" si="469"/>
        <v>2023_2</v>
      </c>
      <c r="EA216" t="str">
        <f t="shared" si="469"/>
        <v>2023_2</v>
      </c>
      <c r="EB216" t="str">
        <f t="shared" si="469"/>
        <v>2023_2</v>
      </c>
      <c r="EC216" t="str">
        <f t="shared" si="469"/>
        <v>2023_2</v>
      </c>
      <c r="ED216" t="str">
        <f t="shared" si="469"/>
        <v>2023_2</v>
      </c>
      <c r="EE216" t="str">
        <f t="shared" si="469"/>
        <v>2023_2</v>
      </c>
      <c r="EF216" t="str">
        <f t="shared" si="469"/>
        <v>2023_2</v>
      </c>
      <c r="EG216" t="str">
        <f t="shared" si="469"/>
        <v>2023_2</v>
      </c>
      <c r="EH216" t="str">
        <f t="shared" si="469"/>
        <v>2023_2</v>
      </c>
      <c r="EI216" t="str">
        <f t="shared" si="469"/>
        <v>2023_2</v>
      </c>
      <c r="EJ216" t="str">
        <f t="shared" si="469"/>
        <v>2023_2</v>
      </c>
      <c r="EK216" t="str">
        <f t="shared" si="469"/>
        <v>2023_2</v>
      </c>
      <c r="EL216" t="str">
        <f t="shared" si="470"/>
        <v>2023_2</v>
      </c>
      <c r="EM216" t="str">
        <f t="shared" si="424"/>
        <v>2023_2</v>
      </c>
      <c r="EN216" t="str">
        <f t="shared" si="424"/>
        <v>2023_2</v>
      </c>
      <c r="EO216" t="str">
        <f t="shared" si="424"/>
        <v>2023_2</v>
      </c>
      <c r="EP216" t="str">
        <f t="shared" si="424"/>
        <v>2023_2</v>
      </c>
      <c r="EQ216" t="str">
        <f t="shared" si="424"/>
        <v>2023_2</v>
      </c>
      <c r="ER216" t="str">
        <f t="shared" si="424"/>
        <v>2023_2</v>
      </c>
      <c r="ES216" t="str">
        <f t="shared" si="424"/>
        <v>2023_2</v>
      </c>
      <c r="ET216" t="str">
        <f t="shared" si="424"/>
        <v>2023_2</v>
      </c>
      <c r="EU216" t="str">
        <f t="shared" si="424"/>
        <v>2023_2</v>
      </c>
      <c r="EV216" t="str">
        <f t="shared" si="424"/>
        <v>2023_2</v>
      </c>
      <c r="EW216" t="str">
        <f t="shared" si="424"/>
        <v>2023_2</v>
      </c>
      <c r="EX216" t="str">
        <f t="shared" si="424"/>
        <v>2023_2</v>
      </c>
      <c r="EY216" t="str">
        <f t="shared" si="424"/>
        <v>2023_2</v>
      </c>
      <c r="FB216" s="10" t="s">
        <v>37</v>
      </c>
      <c r="FC216">
        <f t="shared" si="521"/>
        <v>0</v>
      </c>
      <c r="FD216">
        <f t="shared" si="471"/>
        <v>0</v>
      </c>
      <c r="FE216">
        <f t="shared" si="472"/>
        <v>0</v>
      </c>
      <c r="FF216">
        <f t="shared" si="473"/>
        <v>0</v>
      </c>
      <c r="FG216">
        <f t="shared" si="474"/>
        <v>0</v>
      </c>
      <c r="FH216">
        <f t="shared" si="475"/>
        <v>0</v>
      </c>
      <c r="FI216">
        <f t="shared" si="476"/>
        <v>0</v>
      </c>
      <c r="FJ216">
        <f t="shared" si="477"/>
        <v>0</v>
      </c>
      <c r="FK216">
        <f t="shared" si="478"/>
        <v>0</v>
      </c>
      <c r="FL216">
        <f t="shared" si="479"/>
        <v>0</v>
      </c>
      <c r="FM216">
        <f t="shared" si="480"/>
        <v>0</v>
      </c>
      <c r="FN216">
        <f t="shared" si="481"/>
        <v>0</v>
      </c>
      <c r="FO216">
        <f t="shared" si="482"/>
        <v>0</v>
      </c>
      <c r="FP216">
        <f t="shared" si="483"/>
        <v>0</v>
      </c>
      <c r="FQ216">
        <f t="shared" si="484"/>
        <v>0</v>
      </c>
      <c r="FR216">
        <f t="shared" si="485"/>
        <v>0</v>
      </c>
      <c r="FS216">
        <f t="shared" si="486"/>
        <v>0</v>
      </c>
      <c r="FT216">
        <f t="shared" si="487"/>
        <v>0</v>
      </c>
      <c r="FU216">
        <f t="shared" si="488"/>
        <v>0</v>
      </c>
      <c r="FV216">
        <f t="shared" si="489"/>
        <v>0</v>
      </c>
      <c r="FW216">
        <f t="shared" si="490"/>
        <v>0</v>
      </c>
      <c r="FX216">
        <f t="shared" si="491"/>
        <v>0</v>
      </c>
      <c r="FY216">
        <f t="shared" si="492"/>
        <v>0</v>
      </c>
      <c r="FZ216">
        <f t="shared" si="493"/>
        <v>0</v>
      </c>
      <c r="GA216">
        <f t="shared" si="494"/>
        <v>0</v>
      </c>
      <c r="GB216">
        <f t="shared" si="495"/>
        <v>0</v>
      </c>
      <c r="GC216">
        <f t="shared" si="496"/>
        <v>0</v>
      </c>
      <c r="GD216">
        <f t="shared" si="497"/>
        <v>0</v>
      </c>
      <c r="GE216">
        <f t="shared" si="498"/>
        <v>0</v>
      </c>
      <c r="GF216">
        <f t="shared" si="499"/>
        <v>0</v>
      </c>
      <c r="GG216">
        <f t="shared" si="500"/>
        <v>0</v>
      </c>
      <c r="GH216">
        <f t="shared" si="501"/>
        <v>0</v>
      </c>
      <c r="GI216">
        <f t="shared" si="502"/>
        <v>0</v>
      </c>
      <c r="GJ216">
        <f t="shared" si="503"/>
        <v>0</v>
      </c>
      <c r="GK216">
        <f t="shared" si="504"/>
        <v>1</v>
      </c>
      <c r="GL216">
        <f t="shared" si="505"/>
        <v>1</v>
      </c>
      <c r="GM216">
        <f t="shared" si="506"/>
        <v>1</v>
      </c>
      <c r="GN216">
        <f t="shared" si="507"/>
        <v>1</v>
      </c>
      <c r="GO216">
        <f t="shared" si="508"/>
        <v>1</v>
      </c>
      <c r="GP216">
        <f t="shared" si="509"/>
        <v>1</v>
      </c>
      <c r="GQ216">
        <f t="shared" si="510"/>
        <v>1</v>
      </c>
      <c r="GR216">
        <f t="shared" si="511"/>
        <v>1</v>
      </c>
      <c r="GS216">
        <f t="shared" si="512"/>
        <v>1</v>
      </c>
      <c r="GT216">
        <f t="shared" si="513"/>
        <v>1</v>
      </c>
      <c r="GU216">
        <f t="shared" si="514"/>
        <v>1</v>
      </c>
      <c r="GX216" s="10"/>
    </row>
    <row r="217" spans="1:206" x14ac:dyDescent="0.3">
      <c r="A217" s="9" t="s">
        <v>117</v>
      </c>
      <c r="B217" s="80"/>
      <c r="C217" s="9">
        <v>3131204000</v>
      </c>
      <c r="D217" s="9" t="s">
        <v>487</v>
      </c>
      <c r="E217" s="9" t="s">
        <v>100</v>
      </c>
      <c r="F217" s="9" t="s">
        <v>35</v>
      </c>
      <c r="G217" s="9" t="s">
        <v>239</v>
      </c>
      <c r="H217" s="10">
        <v>44967</v>
      </c>
      <c r="I217" s="9">
        <f t="shared" si="515"/>
        <v>2023</v>
      </c>
      <c r="J217" s="9">
        <f t="shared" si="516"/>
        <v>2</v>
      </c>
      <c r="K217" s="9" t="str">
        <f t="shared" si="517"/>
        <v>2023_2</v>
      </c>
      <c r="L217">
        <f>MAX(0,VLOOKUP($K217,lookups!$A$1:$B$45,2,0)-12)</f>
        <v>22</v>
      </c>
      <c r="M217" s="40">
        <f t="shared" si="518"/>
        <v>44958</v>
      </c>
      <c r="N217" s="10" t="s">
        <v>37</v>
      </c>
      <c r="O217" t="str">
        <f ca="1">IF(OR($L217&gt;O$4,O$4&gt;$L217+23),"",OFFSET(Electric!$L208,0,-'Electric Calendarize'!$L217+'Electric Calendarize'!O$4+1))</f>
        <v/>
      </c>
      <c r="P217" t="str">
        <f ca="1">IF(OR($L217&gt;P$4,P$4&gt;$L217+23),"",OFFSET(Electric!$L208,0,-'Electric Calendarize'!$L217+'Electric Calendarize'!P$4+1))</f>
        <v/>
      </c>
      <c r="Q217" t="str">
        <f ca="1">IF(OR($L217&gt;Q$4,Q$4&gt;$L217+23),"",OFFSET(Electric!$L208,0,-'Electric Calendarize'!$L217+'Electric Calendarize'!Q$4+1))</f>
        <v/>
      </c>
      <c r="R217" t="str">
        <f ca="1">IF(OR($L217&gt;R$4,R$4&gt;$L217+23),"",OFFSET(Electric!$L208,0,-'Electric Calendarize'!$L217+'Electric Calendarize'!R$4+1))</f>
        <v/>
      </c>
      <c r="S217" t="str">
        <f ca="1">IF(OR($L217&gt;S$4,S$4&gt;$L217+23),"",OFFSET(Electric!$L208,0,-'Electric Calendarize'!$L217+'Electric Calendarize'!S$4+1))</f>
        <v/>
      </c>
      <c r="T217" t="str">
        <f ca="1">IF(OR($L217&gt;T$4,T$4&gt;$L217+23),"",OFFSET(Electric!$L208,0,-'Electric Calendarize'!$L217+'Electric Calendarize'!T$4+1))</f>
        <v/>
      </c>
      <c r="U217" t="str">
        <f ca="1">IF(OR($L217&gt;U$4,U$4&gt;$L217+23),"",OFFSET(Electric!$L208,0,-'Electric Calendarize'!$L217+'Electric Calendarize'!U$4+1))</f>
        <v/>
      </c>
      <c r="V217" t="str">
        <f ca="1">IF(OR($L217&gt;V$4,V$4&gt;$L217+23),"",OFFSET(Electric!$L208,0,-'Electric Calendarize'!$L217+'Electric Calendarize'!V$4+1))</f>
        <v/>
      </c>
      <c r="W217" t="str">
        <f ca="1">IF(OR($L217&gt;W$4,W$4&gt;$L217+23),"",OFFSET(Electric!$L208,0,-'Electric Calendarize'!$L217+'Electric Calendarize'!W$4+1))</f>
        <v/>
      </c>
      <c r="X217" t="str">
        <f ca="1">IF(OR($L217&gt;X$4,X$4&gt;$L217+23),"",OFFSET(Electric!$L208,0,-'Electric Calendarize'!$L217+'Electric Calendarize'!X$4+1))</f>
        <v/>
      </c>
      <c r="Y217" t="str">
        <f ca="1">IF(OR($L217&gt;Y$4,Y$4&gt;$L217+23),"",OFFSET(Electric!$L208,0,-'Electric Calendarize'!$L217+'Electric Calendarize'!Y$4+1))</f>
        <v/>
      </c>
      <c r="Z217" t="str">
        <f ca="1">IF(OR($L217&gt;Z$4,Z$4&gt;$L217+23),"",OFFSET(Electric!$L208,0,-'Electric Calendarize'!$L217+'Electric Calendarize'!Z$4+1))</f>
        <v/>
      </c>
      <c r="AA217" t="str">
        <f ca="1">IF(OR($L217&gt;AA$4,AA$4&gt;$L217+23),"",OFFSET(Electric!$L208,0,-'Electric Calendarize'!$L217+'Electric Calendarize'!AA$4+1))</f>
        <v/>
      </c>
      <c r="AB217" t="str">
        <f ca="1">IF(OR($L217&gt;AB$4,AB$4&gt;$L217+23),"",OFFSET(Electric!$L208,0,-'Electric Calendarize'!$L217+'Electric Calendarize'!AB$4+1))</f>
        <v/>
      </c>
      <c r="AC217" t="str">
        <f ca="1">IF(OR($L217&gt;AC$4,AC$4&gt;$L217+23),"",OFFSET(Electric!$L208,0,-'Electric Calendarize'!$L217+'Electric Calendarize'!AC$4+1))</f>
        <v/>
      </c>
      <c r="AD217" t="str">
        <f ca="1">IF(OR($L217&gt;AD$4,AD$4&gt;$L217+23),"",OFFSET(Electric!$L208,0,-'Electric Calendarize'!$L217+'Electric Calendarize'!AD$4+1))</f>
        <v/>
      </c>
      <c r="AE217" t="str">
        <f ca="1">IF(OR($L217&gt;AE$4,AE$4&gt;$L217+23),"",OFFSET(Electric!$L208,0,-'Electric Calendarize'!$L217+'Electric Calendarize'!AE$4+1))</f>
        <v/>
      </c>
      <c r="AF217" t="str">
        <f ca="1">IF(OR($L217&gt;AF$4,AF$4&gt;$L217+23),"",OFFSET(Electric!$L208,0,-'Electric Calendarize'!$L217+'Electric Calendarize'!AF$4+1))</f>
        <v/>
      </c>
      <c r="AG217" t="str">
        <f ca="1">IF(OR($L217&gt;AG$4,AG$4&gt;$L217+23),"",OFFSET(Electric!$L208,0,-'Electric Calendarize'!$L217+'Electric Calendarize'!AG$4+1))</f>
        <v/>
      </c>
      <c r="AH217" t="str">
        <f ca="1">IF(OR($L217&gt;AH$4,AH$4&gt;$L217+23),"",OFFSET(Electric!$L208,0,-'Electric Calendarize'!$L217+'Electric Calendarize'!AH$4+1))</f>
        <v/>
      </c>
      <c r="AI217" t="str">
        <f ca="1">IF(OR($L217&gt;AI$4,AI$4&gt;$L217+23),"",OFFSET(Electric!$L208,0,-'Electric Calendarize'!$L217+'Electric Calendarize'!AI$4+1))</f>
        <v/>
      </c>
      <c r="AJ217" t="str">
        <f ca="1">IF(OR($L217&gt;AJ$4,AJ$4&gt;$L217+23),"",OFFSET(Electric!$L208,0,-'Electric Calendarize'!$L217+'Electric Calendarize'!AJ$4+1))</f>
        <v/>
      </c>
      <c r="AK217">
        <f ca="1">IF(OR($L217&gt;AK$4,AK$4&gt;$L217+23),"",OFFSET(Electric!$L208,0,-'Electric Calendarize'!$L217+'Electric Calendarize'!AK$4+1))</f>
        <v>264</v>
      </c>
      <c r="AL217">
        <f ca="1">IF(OR($L217&gt;AL$4,AL$4&gt;$L217+23),"",OFFSET(Electric!$L208,0,-'Electric Calendarize'!$L217+'Electric Calendarize'!AL$4+1))</f>
        <v>253</v>
      </c>
      <c r="AM217">
        <f ca="1">IF(OR($L217&gt;AM$4,AM$4&gt;$L217+23),"",OFFSET(Electric!$L208,0,-'Electric Calendarize'!$L217+'Electric Calendarize'!AM$4+1))</f>
        <v>250</v>
      </c>
      <c r="AN217">
        <f ca="1">IF(OR($L217&gt;AN$4,AN$4&gt;$L217+23),"",OFFSET(Electric!$L208,0,-'Electric Calendarize'!$L217+'Electric Calendarize'!AN$4+1))</f>
        <v>257</v>
      </c>
      <c r="AO217">
        <f ca="1">IF(OR($L217&gt;AO$4,AO$4&gt;$L217+23),"",OFFSET(Electric!$L208,0,-'Electric Calendarize'!$L217+'Electric Calendarize'!AO$4+1))</f>
        <v>175</v>
      </c>
      <c r="AP217">
        <f ca="1">IF(OR($L217&gt;AP$4,AP$4&gt;$L217+23),"",OFFSET(Electric!$L208,0,-'Electric Calendarize'!$L217+'Electric Calendarize'!AP$4+1))</f>
        <v>202</v>
      </c>
      <c r="AQ217">
        <f ca="1">IF(OR($L217&gt;AQ$4,AQ$4&gt;$L217+23),"",OFFSET(Electric!$L208,0,-'Electric Calendarize'!$L217+'Electric Calendarize'!AQ$4+1))</f>
        <v>261</v>
      </c>
      <c r="AR217">
        <f ca="1">IF(OR($L217&gt;AR$4,AR$4&gt;$L217+23),"",OFFSET(Electric!$L208,0,-'Electric Calendarize'!$L217+'Electric Calendarize'!AR$4+1))</f>
        <v>219</v>
      </c>
      <c r="AS217">
        <f ca="1">IF(OR($L217&gt;AS$4,AS$4&gt;$L217+23),"",OFFSET(Electric!$L208,0,-'Electric Calendarize'!$L217+'Electric Calendarize'!AS$4+1))</f>
        <v>308</v>
      </c>
      <c r="AT217">
        <f ca="1">IF(OR($L217&gt;AT$4,AT$4&gt;$L217+23),"",OFFSET(Electric!$L208,0,-'Electric Calendarize'!$L217+'Electric Calendarize'!AT$4+1))</f>
        <v>202</v>
      </c>
      <c r="AU217">
        <f ca="1">IF(OR($L217&gt;AU$4,AU$4&gt;$L217+23),"",OFFSET(Electric!$L208,0,-'Electric Calendarize'!$L217+'Electric Calendarize'!AU$4+1))</f>
        <v>254</v>
      </c>
      <c r="AV217">
        <f ca="1">IF(OR($L217&gt;AV$4,AV$4&gt;$L217+23),"",OFFSET(Electric!$L208,0,-'Electric Calendarize'!$L217+'Electric Calendarize'!AV$4+1))</f>
        <v>352</v>
      </c>
      <c r="AW217">
        <f ca="1">IF(OR($L217&gt;AW$4,AW$4&gt;$L217+23),"",OFFSET(Electric!$L208,0,-'Electric Calendarize'!$L217+'Electric Calendarize'!AW$4+1))</f>
        <v>321</v>
      </c>
      <c r="AX217">
        <f ca="1">IF(OR($L217&gt;AX$4,AX$4&gt;$L217+23),"",OFFSET(Electric!$L208,0,-'Electric Calendarize'!$L217+'Electric Calendarize'!AX$4+1))</f>
        <v>293</v>
      </c>
      <c r="AY217">
        <f ca="1">IF(OR($L217&gt;AY$4,AY$4&gt;$L217+23),"",OFFSET(Electric!$L208,0,-'Electric Calendarize'!$L217+'Electric Calendarize'!AY$4+1))</f>
        <v>279</v>
      </c>
      <c r="AZ217">
        <f ca="1">IF(OR($L217&gt;AZ$4,AZ$4&gt;$L217+23),"",OFFSET(Electric!$L208,0,-'Electric Calendarize'!$L217+'Electric Calendarize'!AZ$4+1))</f>
        <v>240</v>
      </c>
      <c r="BA217">
        <f ca="1">IF(OR($L217&gt;BA$4,BA$4&gt;$L217+23),"",OFFSET(Electric!$L208,0,-'Electric Calendarize'!$L217+'Electric Calendarize'!BA$4+1))</f>
        <v>204</v>
      </c>
      <c r="BB217">
        <f ca="1">IF(OR($L217&gt;BB$4,BB$4&gt;$L217+23),"",OFFSET(Electric!$L208,0,-'Electric Calendarize'!$L217+'Electric Calendarize'!BB$4+1))</f>
        <v>446</v>
      </c>
      <c r="BC217">
        <f ca="1">IF(OR($L217&gt;BC$4,BC$4&gt;$L217+23),"",OFFSET(Electric!$L208,0,-'Electric Calendarize'!$L217+'Electric Calendarize'!BC$4+1))</f>
        <v>378</v>
      </c>
      <c r="BD217">
        <f ca="1">IF(OR($L217&gt;BD$4,BD$4&gt;$L217+23),"",OFFSET(Electric!$L208,0,-'Electric Calendarize'!$L217+'Electric Calendarize'!BD$4+1))</f>
        <v>281</v>
      </c>
      <c r="BE217">
        <f ca="1">IF(OR($L217&gt;BE$4,BE$4&gt;$L217+23),"",OFFSET(Electric!$L208,0,-'Electric Calendarize'!$L217+'Electric Calendarize'!BE$4+1))</f>
        <v>269</v>
      </c>
      <c r="BF217">
        <f ca="1">IF(OR($L217&gt;BF$4,BF$4&gt;$L217+23),"",OFFSET(Electric!$L208,0,-'Electric Calendarize'!$L217+'Electric Calendarize'!BF$4+1))</f>
        <v>242</v>
      </c>
      <c r="BG217">
        <f ca="1">IF(OR($L217&gt;BG$4,BG$4&gt;$L217+23),"",OFFSET(Electric!$L208,0,-'Electric Calendarize'!$L217+'Electric Calendarize'!BG$4+1))</f>
        <v>0</v>
      </c>
      <c r="BJ217" s="10" t="s">
        <v>37</v>
      </c>
      <c r="BK217">
        <f t="shared" si="519"/>
        <v>1</v>
      </c>
      <c r="BL217">
        <f t="shared" si="425"/>
        <v>0</v>
      </c>
      <c r="BM217">
        <f t="shared" si="426"/>
        <v>0</v>
      </c>
      <c r="BN217">
        <f t="shared" si="427"/>
        <v>0</v>
      </c>
      <c r="BO217">
        <f t="shared" si="428"/>
        <v>0</v>
      </c>
      <c r="BP217">
        <f t="shared" si="429"/>
        <v>0</v>
      </c>
      <c r="BQ217">
        <f t="shared" si="430"/>
        <v>0</v>
      </c>
      <c r="BR217">
        <f t="shared" si="431"/>
        <v>1</v>
      </c>
      <c r="BS217">
        <f t="shared" si="432"/>
        <v>1</v>
      </c>
      <c r="BT217">
        <f t="shared" si="433"/>
        <v>1</v>
      </c>
      <c r="BU217">
        <f t="shared" si="434"/>
        <v>1</v>
      </c>
      <c r="BV217">
        <f t="shared" si="435"/>
        <v>1</v>
      </c>
      <c r="BW217">
        <f t="shared" si="436"/>
        <v>1</v>
      </c>
      <c r="BX217">
        <f t="shared" si="437"/>
        <v>0</v>
      </c>
      <c r="BY217">
        <f t="shared" si="438"/>
        <v>0</v>
      </c>
      <c r="BZ217">
        <f t="shared" si="439"/>
        <v>0</v>
      </c>
      <c r="CA217">
        <f t="shared" si="440"/>
        <v>0</v>
      </c>
      <c r="CB217">
        <f t="shared" si="441"/>
        <v>0</v>
      </c>
      <c r="CC217">
        <f t="shared" si="442"/>
        <v>0</v>
      </c>
      <c r="CD217">
        <f t="shared" si="443"/>
        <v>1</v>
      </c>
      <c r="CE217">
        <f t="shared" si="444"/>
        <v>1</v>
      </c>
      <c r="CF217">
        <f t="shared" si="445"/>
        <v>1</v>
      </c>
      <c r="CG217">
        <f t="shared" si="446"/>
        <v>1</v>
      </c>
      <c r="CH217">
        <f t="shared" si="447"/>
        <v>1</v>
      </c>
      <c r="CI217">
        <f t="shared" si="448"/>
        <v>1</v>
      </c>
      <c r="CJ217">
        <f t="shared" si="449"/>
        <v>0</v>
      </c>
      <c r="CK217">
        <f t="shared" si="450"/>
        <v>0</v>
      </c>
      <c r="CL217">
        <f t="shared" si="451"/>
        <v>0</v>
      </c>
      <c r="CM217">
        <f t="shared" si="452"/>
        <v>0</v>
      </c>
      <c r="CN217">
        <f t="shared" si="453"/>
        <v>0</v>
      </c>
      <c r="CO217">
        <f t="shared" si="454"/>
        <v>0</v>
      </c>
      <c r="CP217">
        <f t="shared" si="455"/>
        <v>1</v>
      </c>
      <c r="CQ217">
        <f t="shared" si="456"/>
        <v>1</v>
      </c>
      <c r="CR217">
        <f t="shared" si="457"/>
        <v>1</v>
      </c>
      <c r="CS217">
        <f t="shared" si="458"/>
        <v>1</v>
      </c>
      <c r="CT217">
        <f t="shared" si="459"/>
        <v>1</v>
      </c>
      <c r="CU217">
        <f t="shared" si="460"/>
        <v>1</v>
      </c>
      <c r="CV217">
        <f t="shared" si="461"/>
        <v>0</v>
      </c>
      <c r="CW217">
        <f t="shared" si="462"/>
        <v>0</v>
      </c>
      <c r="CX217">
        <f t="shared" si="463"/>
        <v>0</v>
      </c>
      <c r="CY217">
        <f t="shared" si="464"/>
        <v>0</v>
      </c>
      <c r="CZ217">
        <f t="shared" si="465"/>
        <v>0</v>
      </c>
      <c r="DA217">
        <f t="shared" si="466"/>
        <v>0</v>
      </c>
      <c r="DB217">
        <f t="shared" si="467"/>
        <v>1</v>
      </c>
      <c r="DC217">
        <f t="shared" si="468"/>
        <v>1</v>
      </c>
      <c r="DF217" s="10" t="s">
        <v>37</v>
      </c>
      <c r="DG217" t="str">
        <f t="shared" si="520"/>
        <v>2023_2</v>
      </c>
      <c r="DH217" t="str">
        <f t="shared" si="520"/>
        <v>2023_2</v>
      </c>
      <c r="DI217" t="str">
        <f t="shared" si="520"/>
        <v>2023_2</v>
      </c>
      <c r="DJ217" t="str">
        <f t="shared" si="520"/>
        <v>2023_2</v>
      </c>
      <c r="DK217" t="str">
        <f t="shared" si="520"/>
        <v>2023_2</v>
      </c>
      <c r="DL217" t="str">
        <f t="shared" si="520"/>
        <v>2023_2</v>
      </c>
      <c r="DM217" t="str">
        <f t="shared" si="520"/>
        <v>2023_2</v>
      </c>
      <c r="DN217" t="str">
        <f t="shared" si="520"/>
        <v>2023_2</v>
      </c>
      <c r="DO217" t="str">
        <f t="shared" si="520"/>
        <v>2023_2</v>
      </c>
      <c r="DP217" t="str">
        <f t="shared" si="520"/>
        <v>2023_2</v>
      </c>
      <c r="DQ217" t="str">
        <f t="shared" si="520"/>
        <v>2023_2</v>
      </c>
      <c r="DR217" t="str">
        <f t="shared" si="520"/>
        <v>2023_2</v>
      </c>
      <c r="DS217" t="str">
        <f t="shared" si="520"/>
        <v>2023_2</v>
      </c>
      <c r="DT217" t="str">
        <f t="shared" si="520"/>
        <v>2023_2</v>
      </c>
      <c r="DU217" t="str">
        <f t="shared" si="520"/>
        <v>2023_2</v>
      </c>
      <c r="DV217" t="str">
        <f t="shared" si="469"/>
        <v>2023_2</v>
      </c>
      <c r="DW217" t="str">
        <f t="shared" si="469"/>
        <v>2023_2</v>
      </c>
      <c r="DX217" t="str">
        <f t="shared" si="469"/>
        <v>2023_2</v>
      </c>
      <c r="DY217" t="str">
        <f t="shared" si="469"/>
        <v>2023_2</v>
      </c>
      <c r="DZ217" t="str">
        <f t="shared" si="469"/>
        <v>2023_2</v>
      </c>
      <c r="EA217" t="str">
        <f t="shared" si="469"/>
        <v>2023_2</v>
      </c>
      <c r="EB217" t="str">
        <f t="shared" si="469"/>
        <v>2023_2</v>
      </c>
      <c r="EC217" t="str">
        <f t="shared" si="469"/>
        <v>2023_2</v>
      </c>
      <c r="ED217" t="str">
        <f t="shared" si="469"/>
        <v>2023_2</v>
      </c>
      <c r="EE217" t="str">
        <f t="shared" si="469"/>
        <v>2023_2</v>
      </c>
      <c r="EF217" t="str">
        <f t="shared" si="469"/>
        <v>2023_2</v>
      </c>
      <c r="EG217" t="str">
        <f t="shared" si="469"/>
        <v>2023_2</v>
      </c>
      <c r="EH217" t="str">
        <f t="shared" si="469"/>
        <v>2023_2</v>
      </c>
      <c r="EI217" t="str">
        <f t="shared" si="469"/>
        <v>2023_2</v>
      </c>
      <c r="EJ217" t="str">
        <f t="shared" si="469"/>
        <v>2023_2</v>
      </c>
      <c r="EK217" t="str">
        <f t="shared" si="469"/>
        <v>2023_2</v>
      </c>
      <c r="EL217" t="str">
        <f t="shared" si="470"/>
        <v>2023_2</v>
      </c>
      <c r="EM217" t="str">
        <f t="shared" si="424"/>
        <v>2023_2</v>
      </c>
      <c r="EN217" t="str">
        <f t="shared" si="424"/>
        <v>2023_2</v>
      </c>
      <c r="EO217" t="str">
        <f t="shared" si="424"/>
        <v>2023_2</v>
      </c>
      <c r="EP217" t="str">
        <f t="shared" si="424"/>
        <v>2023_2</v>
      </c>
      <c r="EQ217" t="str">
        <f t="shared" si="424"/>
        <v>2023_2</v>
      </c>
      <c r="ER217" t="str">
        <f t="shared" si="424"/>
        <v>2023_2</v>
      </c>
      <c r="ES217" t="str">
        <f t="shared" si="424"/>
        <v>2023_2</v>
      </c>
      <c r="ET217" t="str">
        <f t="shared" si="424"/>
        <v>2023_2</v>
      </c>
      <c r="EU217" t="str">
        <f t="shared" si="424"/>
        <v>2023_2</v>
      </c>
      <c r="EV217" t="str">
        <f t="shared" si="424"/>
        <v>2023_2</v>
      </c>
      <c r="EW217" t="str">
        <f t="shared" si="424"/>
        <v>2023_2</v>
      </c>
      <c r="EX217" t="str">
        <f t="shared" si="424"/>
        <v>2023_2</v>
      </c>
      <c r="EY217" t="str">
        <f t="shared" si="424"/>
        <v>2023_2</v>
      </c>
      <c r="FB217" s="10" t="s">
        <v>37</v>
      </c>
      <c r="FC217">
        <f t="shared" si="521"/>
        <v>0</v>
      </c>
      <c r="FD217">
        <f t="shared" si="471"/>
        <v>0</v>
      </c>
      <c r="FE217">
        <f t="shared" si="472"/>
        <v>0</v>
      </c>
      <c r="FF217">
        <f t="shared" si="473"/>
        <v>0</v>
      </c>
      <c r="FG217">
        <f t="shared" si="474"/>
        <v>0</v>
      </c>
      <c r="FH217">
        <f t="shared" si="475"/>
        <v>0</v>
      </c>
      <c r="FI217">
        <f t="shared" si="476"/>
        <v>0</v>
      </c>
      <c r="FJ217">
        <f t="shared" si="477"/>
        <v>0</v>
      </c>
      <c r="FK217">
        <f t="shared" si="478"/>
        <v>0</v>
      </c>
      <c r="FL217">
        <f t="shared" si="479"/>
        <v>0</v>
      </c>
      <c r="FM217">
        <f t="shared" si="480"/>
        <v>0</v>
      </c>
      <c r="FN217">
        <f t="shared" si="481"/>
        <v>0</v>
      </c>
      <c r="FO217">
        <f t="shared" si="482"/>
        <v>0</v>
      </c>
      <c r="FP217">
        <f t="shared" si="483"/>
        <v>0</v>
      </c>
      <c r="FQ217">
        <f t="shared" si="484"/>
        <v>0</v>
      </c>
      <c r="FR217">
        <f t="shared" si="485"/>
        <v>0</v>
      </c>
      <c r="FS217">
        <f t="shared" si="486"/>
        <v>0</v>
      </c>
      <c r="FT217">
        <f t="shared" si="487"/>
        <v>0</v>
      </c>
      <c r="FU217">
        <f t="shared" si="488"/>
        <v>0</v>
      </c>
      <c r="FV217">
        <f t="shared" si="489"/>
        <v>0</v>
      </c>
      <c r="FW217">
        <f t="shared" si="490"/>
        <v>0</v>
      </c>
      <c r="FX217">
        <f t="shared" si="491"/>
        <v>0</v>
      </c>
      <c r="FY217">
        <f t="shared" si="492"/>
        <v>0</v>
      </c>
      <c r="FZ217">
        <f t="shared" si="493"/>
        <v>0</v>
      </c>
      <c r="GA217">
        <f t="shared" si="494"/>
        <v>0</v>
      </c>
      <c r="GB217">
        <f t="shared" si="495"/>
        <v>0</v>
      </c>
      <c r="GC217">
        <f t="shared" si="496"/>
        <v>0</v>
      </c>
      <c r="GD217">
        <f t="shared" si="497"/>
        <v>0</v>
      </c>
      <c r="GE217">
        <f t="shared" si="498"/>
        <v>0</v>
      </c>
      <c r="GF217">
        <f t="shared" si="499"/>
        <v>0</v>
      </c>
      <c r="GG217">
        <f t="shared" si="500"/>
        <v>0</v>
      </c>
      <c r="GH217">
        <f t="shared" si="501"/>
        <v>0</v>
      </c>
      <c r="GI217">
        <f t="shared" si="502"/>
        <v>0</v>
      </c>
      <c r="GJ217">
        <f t="shared" si="503"/>
        <v>0</v>
      </c>
      <c r="GK217">
        <f t="shared" si="504"/>
        <v>1</v>
      </c>
      <c r="GL217">
        <f t="shared" si="505"/>
        <v>1</v>
      </c>
      <c r="GM217">
        <f t="shared" si="506"/>
        <v>1</v>
      </c>
      <c r="GN217">
        <f t="shared" si="507"/>
        <v>1</v>
      </c>
      <c r="GO217">
        <f t="shared" si="508"/>
        <v>1</v>
      </c>
      <c r="GP217">
        <f t="shared" si="509"/>
        <v>1</v>
      </c>
      <c r="GQ217">
        <f t="shared" si="510"/>
        <v>1</v>
      </c>
      <c r="GR217">
        <f t="shared" si="511"/>
        <v>1</v>
      </c>
      <c r="GS217">
        <f t="shared" si="512"/>
        <v>1</v>
      </c>
      <c r="GT217">
        <f t="shared" si="513"/>
        <v>1</v>
      </c>
      <c r="GU217">
        <f t="shared" si="514"/>
        <v>1</v>
      </c>
      <c r="GX217" s="10"/>
    </row>
    <row r="218" spans="1:206" x14ac:dyDescent="0.3">
      <c r="A218" s="9" t="s">
        <v>124</v>
      </c>
      <c r="B218" s="80"/>
      <c r="C218" s="9">
        <v>3090964008</v>
      </c>
      <c r="D218" s="9" t="s">
        <v>488</v>
      </c>
      <c r="E218" s="9" t="s">
        <v>34</v>
      </c>
      <c r="F218" s="9" t="s">
        <v>35</v>
      </c>
      <c r="G218" s="9" t="s">
        <v>240</v>
      </c>
      <c r="H218" s="10">
        <v>44971</v>
      </c>
      <c r="I218" s="9">
        <f t="shared" si="515"/>
        <v>2023</v>
      </c>
      <c r="J218" s="9">
        <f t="shared" si="516"/>
        <v>2</v>
      </c>
      <c r="K218" s="9" t="str">
        <f t="shared" si="517"/>
        <v>2023_2</v>
      </c>
      <c r="L218">
        <f>MAX(0,VLOOKUP($K218,lookups!$A$1:$B$45,2,0)-12)</f>
        <v>22</v>
      </c>
      <c r="M218" s="40">
        <f t="shared" si="518"/>
        <v>44958</v>
      </c>
      <c r="N218" s="10" t="s">
        <v>37</v>
      </c>
      <c r="O218" t="str">
        <f ca="1">IF(OR($L218&gt;O$4,O$4&gt;$L218+23),"",OFFSET(Electric!$L209,0,-'Electric Calendarize'!$L218+'Electric Calendarize'!O$4+1))</f>
        <v/>
      </c>
      <c r="P218" t="str">
        <f ca="1">IF(OR($L218&gt;P$4,P$4&gt;$L218+23),"",OFFSET(Electric!$L209,0,-'Electric Calendarize'!$L218+'Electric Calendarize'!P$4+1))</f>
        <v/>
      </c>
      <c r="Q218" t="str">
        <f ca="1">IF(OR($L218&gt;Q$4,Q$4&gt;$L218+23),"",OFFSET(Electric!$L209,0,-'Electric Calendarize'!$L218+'Electric Calendarize'!Q$4+1))</f>
        <v/>
      </c>
      <c r="R218" t="str">
        <f ca="1">IF(OR($L218&gt;R$4,R$4&gt;$L218+23),"",OFFSET(Electric!$L209,0,-'Electric Calendarize'!$L218+'Electric Calendarize'!R$4+1))</f>
        <v/>
      </c>
      <c r="S218" t="str">
        <f ca="1">IF(OR($L218&gt;S$4,S$4&gt;$L218+23),"",OFFSET(Electric!$L209,0,-'Electric Calendarize'!$L218+'Electric Calendarize'!S$4+1))</f>
        <v/>
      </c>
      <c r="T218" t="str">
        <f ca="1">IF(OR($L218&gt;T$4,T$4&gt;$L218+23),"",OFFSET(Electric!$L209,0,-'Electric Calendarize'!$L218+'Electric Calendarize'!T$4+1))</f>
        <v/>
      </c>
      <c r="U218" t="str">
        <f ca="1">IF(OR($L218&gt;U$4,U$4&gt;$L218+23),"",OFFSET(Electric!$L209,0,-'Electric Calendarize'!$L218+'Electric Calendarize'!U$4+1))</f>
        <v/>
      </c>
      <c r="V218" t="str">
        <f ca="1">IF(OR($L218&gt;V$4,V$4&gt;$L218+23),"",OFFSET(Electric!$L209,0,-'Electric Calendarize'!$L218+'Electric Calendarize'!V$4+1))</f>
        <v/>
      </c>
      <c r="W218" t="str">
        <f ca="1">IF(OR($L218&gt;W$4,W$4&gt;$L218+23),"",OFFSET(Electric!$L209,0,-'Electric Calendarize'!$L218+'Electric Calendarize'!W$4+1))</f>
        <v/>
      </c>
      <c r="X218" t="str">
        <f ca="1">IF(OR($L218&gt;X$4,X$4&gt;$L218+23),"",OFFSET(Electric!$L209,0,-'Electric Calendarize'!$L218+'Electric Calendarize'!X$4+1))</f>
        <v/>
      </c>
      <c r="Y218" t="str">
        <f ca="1">IF(OR($L218&gt;Y$4,Y$4&gt;$L218+23),"",OFFSET(Electric!$L209,0,-'Electric Calendarize'!$L218+'Electric Calendarize'!Y$4+1))</f>
        <v/>
      </c>
      <c r="Z218" t="str">
        <f ca="1">IF(OR($L218&gt;Z$4,Z$4&gt;$L218+23),"",OFFSET(Electric!$L209,0,-'Electric Calendarize'!$L218+'Electric Calendarize'!Z$4+1))</f>
        <v/>
      </c>
      <c r="AA218" t="str">
        <f ca="1">IF(OR($L218&gt;AA$4,AA$4&gt;$L218+23),"",OFFSET(Electric!$L209,0,-'Electric Calendarize'!$L218+'Electric Calendarize'!AA$4+1))</f>
        <v/>
      </c>
      <c r="AB218" t="str">
        <f ca="1">IF(OR($L218&gt;AB$4,AB$4&gt;$L218+23),"",OFFSET(Electric!$L209,0,-'Electric Calendarize'!$L218+'Electric Calendarize'!AB$4+1))</f>
        <v/>
      </c>
      <c r="AC218" t="str">
        <f ca="1">IF(OR($L218&gt;AC$4,AC$4&gt;$L218+23),"",OFFSET(Electric!$L209,0,-'Electric Calendarize'!$L218+'Electric Calendarize'!AC$4+1))</f>
        <v/>
      </c>
      <c r="AD218" t="str">
        <f ca="1">IF(OR($L218&gt;AD$4,AD$4&gt;$L218+23),"",OFFSET(Electric!$L209,0,-'Electric Calendarize'!$L218+'Electric Calendarize'!AD$4+1))</f>
        <v/>
      </c>
      <c r="AE218" t="str">
        <f ca="1">IF(OR($L218&gt;AE$4,AE$4&gt;$L218+23),"",OFFSET(Electric!$L209,0,-'Electric Calendarize'!$L218+'Electric Calendarize'!AE$4+1))</f>
        <v/>
      </c>
      <c r="AF218" t="str">
        <f ca="1">IF(OR($L218&gt;AF$4,AF$4&gt;$L218+23),"",OFFSET(Electric!$L209,0,-'Electric Calendarize'!$L218+'Electric Calendarize'!AF$4+1))</f>
        <v/>
      </c>
      <c r="AG218" t="str">
        <f ca="1">IF(OR($L218&gt;AG$4,AG$4&gt;$L218+23),"",OFFSET(Electric!$L209,0,-'Electric Calendarize'!$L218+'Electric Calendarize'!AG$4+1))</f>
        <v/>
      </c>
      <c r="AH218" t="str">
        <f ca="1">IF(OR($L218&gt;AH$4,AH$4&gt;$L218+23),"",OFFSET(Electric!$L209,0,-'Electric Calendarize'!$L218+'Electric Calendarize'!AH$4+1))</f>
        <v/>
      </c>
      <c r="AI218" t="str">
        <f ca="1">IF(OR($L218&gt;AI$4,AI$4&gt;$L218+23),"",OFFSET(Electric!$L209,0,-'Electric Calendarize'!$L218+'Electric Calendarize'!AI$4+1))</f>
        <v/>
      </c>
      <c r="AJ218" t="str">
        <f ca="1">IF(OR($L218&gt;AJ$4,AJ$4&gt;$L218+23),"",OFFSET(Electric!$L209,0,-'Electric Calendarize'!$L218+'Electric Calendarize'!AJ$4+1))</f>
        <v/>
      </c>
      <c r="AK218">
        <f ca="1">IF(OR($L218&gt;AK$4,AK$4&gt;$L218+23),"",OFFSET(Electric!$L209,0,-'Electric Calendarize'!$L218+'Electric Calendarize'!AK$4+1))</f>
        <v>824</v>
      </c>
      <c r="AL218">
        <f ca="1">IF(OR($L218&gt;AL$4,AL$4&gt;$L218+23),"",OFFSET(Electric!$L209,0,-'Electric Calendarize'!$L218+'Electric Calendarize'!AL$4+1))</f>
        <v>808</v>
      </c>
      <c r="AM218">
        <f ca="1">IF(OR($L218&gt;AM$4,AM$4&gt;$L218+23),"",OFFSET(Electric!$L209,0,-'Electric Calendarize'!$L218+'Electric Calendarize'!AM$4+1))</f>
        <v>998</v>
      </c>
      <c r="AN218">
        <f ca="1">IF(OR($L218&gt;AN$4,AN$4&gt;$L218+23),"",OFFSET(Electric!$L209,0,-'Electric Calendarize'!$L218+'Electric Calendarize'!AN$4+1))</f>
        <v>623</v>
      </c>
      <c r="AO218">
        <f ca="1">IF(OR($L218&gt;AO$4,AO$4&gt;$L218+23),"",OFFSET(Electric!$L209,0,-'Electric Calendarize'!$L218+'Electric Calendarize'!AO$4+1))</f>
        <v>377</v>
      </c>
      <c r="AP218">
        <f ca="1">IF(OR($L218&gt;AP$4,AP$4&gt;$L218+23),"",OFFSET(Electric!$L209,0,-'Electric Calendarize'!$L218+'Electric Calendarize'!AP$4+1))</f>
        <v>601</v>
      </c>
      <c r="AQ218">
        <f ca="1">IF(OR($L218&gt;AQ$4,AQ$4&gt;$L218+23),"",OFFSET(Electric!$L209,0,-'Electric Calendarize'!$L218+'Electric Calendarize'!AQ$4+1))</f>
        <v>950</v>
      </c>
      <c r="AR218">
        <f ca="1">IF(OR($L218&gt;AR$4,AR$4&gt;$L218+23),"",OFFSET(Electric!$L209,0,-'Electric Calendarize'!$L218+'Electric Calendarize'!AR$4+1))</f>
        <v>650</v>
      </c>
      <c r="AS218">
        <f ca="1">IF(OR($L218&gt;AS$4,AS$4&gt;$L218+23),"",OFFSET(Electric!$L209,0,-'Electric Calendarize'!$L218+'Electric Calendarize'!AS$4+1))</f>
        <v>362</v>
      </c>
      <c r="AT218">
        <f ca="1">IF(OR($L218&gt;AT$4,AT$4&gt;$L218+23),"",OFFSET(Electric!$L209,0,-'Electric Calendarize'!$L218+'Electric Calendarize'!AT$4+1))</f>
        <v>736</v>
      </c>
      <c r="AU218">
        <f ca="1">IF(OR($L218&gt;AU$4,AU$4&gt;$L218+23),"",OFFSET(Electric!$L209,0,-'Electric Calendarize'!$L218+'Electric Calendarize'!AU$4+1))</f>
        <v>1458</v>
      </c>
      <c r="AV218">
        <f ca="1">IF(OR($L218&gt;AV$4,AV$4&gt;$L218+23),"",OFFSET(Electric!$L209,0,-'Electric Calendarize'!$L218+'Electric Calendarize'!AV$4+1))</f>
        <v>1618</v>
      </c>
      <c r="AW218">
        <f ca="1">IF(OR($L218&gt;AW$4,AW$4&gt;$L218+23),"",OFFSET(Electric!$L209,0,-'Electric Calendarize'!$L218+'Electric Calendarize'!AW$4+1))</f>
        <v>1595</v>
      </c>
      <c r="AX218">
        <f ca="1">IF(OR($L218&gt;AX$4,AX$4&gt;$L218+23),"",OFFSET(Electric!$L209,0,-'Electric Calendarize'!$L218+'Electric Calendarize'!AX$4+1))</f>
        <v>0</v>
      </c>
      <c r="AY218">
        <f ca="1">IF(OR($L218&gt;AY$4,AY$4&gt;$L218+23),"",OFFSET(Electric!$L209,0,-'Electric Calendarize'!$L218+'Electric Calendarize'!AY$4+1))</f>
        <v>495</v>
      </c>
      <c r="AZ218">
        <f ca="1">IF(OR($L218&gt;AZ$4,AZ$4&gt;$L218+23),"",OFFSET(Electric!$L209,0,-'Electric Calendarize'!$L218+'Electric Calendarize'!AZ$4+1))</f>
        <v>359</v>
      </c>
      <c r="BA218">
        <f ca="1">IF(OR($L218&gt;BA$4,BA$4&gt;$L218+23),"",OFFSET(Electric!$L209,0,-'Electric Calendarize'!$L218+'Electric Calendarize'!BA$4+1))</f>
        <v>331</v>
      </c>
      <c r="BB218">
        <f ca="1">IF(OR($L218&gt;BB$4,BB$4&gt;$L218+23),"",OFFSET(Electric!$L209,0,-'Electric Calendarize'!$L218+'Electric Calendarize'!BB$4+1))</f>
        <v>313</v>
      </c>
      <c r="BC218">
        <f ca="1">IF(OR($L218&gt;BC$4,BC$4&gt;$L218+23),"",OFFSET(Electric!$L209,0,-'Electric Calendarize'!$L218+'Electric Calendarize'!BC$4+1))</f>
        <v>563</v>
      </c>
      <c r="BD218">
        <f ca="1">IF(OR($L218&gt;BD$4,BD$4&gt;$L218+23),"",OFFSET(Electric!$L209,0,-'Electric Calendarize'!$L218+'Electric Calendarize'!BD$4+1))</f>
        <v>624</v>
      </c>
      <c r="BE218">
        <f ca="1">IF(OR($L218&gt;BE$4,BE$4&gt;$L218+23),"",OFFSET(Electric!$L209,0,-'Electric Calendarize'!$L218+'Electric Calendarize'!BE$4+1))</f>
        <v>714</v>
      </c>
      <c r="BF218">
        <f ca="1">IF(OR($L218&gt;BF$4,BF$4&gt;$L218+23),"",OFFSET(Electric!$L209,0,-'Electric Calendarize'!$L218+'Electric Calendarize'!BF$4+1))</f>
        <v>393</v>
      </c>
      <c r="BG218">
        <f ca="1">IF(OR($L218&gt;BG$4,BG$4&gt;$L218+23),"",OFFSET(Electric!$L209,0,-'Electric Calendarize'!$L218+'Electric Calendarize'!BG$4+1))</f>
        <v>475</v>
      </c>
      <c r="BJ218" s="10" t="s">
        <v>37</v>
      </c>
      <c r="BK218">
        <f t="shared" si="519"/>
        <v>1</v>
      </c>
      <c r="BL218">
        <f t="shared" si="425"/>
        <v>0</v>
      </c>
      <c r="BM218">
        <f t="shared" si="426"/>
        <v>0</v>
      </c>
      <c r="BN218">
        <f t="shared" si="427"/>
        <v>0</v>
      </c>
      <c r="BO218">
        <f t="shared" si="428"/>
        <v>0</v>
      </c>
      <c r="BP218">
        <f t="shared" si="429"/>
        <v>0</v>
      </c>
      <c r="BQ218">
        <f t="shared" si="430"/>
        <v>0</v>
      </c>
      <c r="BR218">
        <f t="shared" si="431"/>
        <v>1</v>
      </c>
      <c r="BS218">
        <f t="shared" si="432"/>
        <v>1</v>
      </c>
      <c r="BT218">
        <f t="shared" si="433"/>
        <v>1</v>
      </c>
      <c r="BU218">
        <f t="shared" si="434"/>
        <v>1</v>
      </c>
      <c r="BV218">
        <f t="shared" si="435"/>
        <v>1</v>
      </c>
      <c r="BW218">
        <f t="shared" si="436"/>
        <v>1</v>
      </c>
      <c r="BX218">
        <f t="shared" si="437"/>
        <v>0</v>
      </c>
      <c r="BY218">
        <f t="shared" si="438"/>
        <v>0</v>
      </c>
      <c r="BZ218">
        <f t="shared" si="439"/>
        <v>0</v>
      </c>
      <c r="CA218">
        <f t="shared" si="440"/>
        <v>0</v>
      </c>
      <c r="CB218">
        <f t="shared" si="441"/>
        <v>0</v>
      </c>
      <c r="CC218">
        <f t="shared" si="442"/>
        <v>0</v>
      </c>
      <c r="CD218">
        <f t="shared" si="443"/>
        <v>1</v>
      </c>
      <c r="CE218">
        <f t="shared" si="444"/>
        <v>1</v>
      </c>
      <c r="CF218">
        <f t="shared" si="445"/>
        <v>1</v>
      </c>
      <c r="CG218">
        <f t="shared" si="446"/>
        <v>1</v>
      </c>
      <c r="CH218">
        <f t="shared" si="447"/>
        <v>1</v>
      </c>
      <c r="CI218">
        <f t="shared" si="448"/>
        <v>1</v>
      </c>
      <c r="CJ218">
        <f t="shared" si="449"/>
        <v>0</v>
      </c>
      <c r="CK218">
        <f t="shared" si="450"/>
        <v>0</v>
      </c>
      <c r="CL218">
        <f t="shared" si="451"/>
        <v>0</v>
      </c>
      <c r="CM218">
        <f t="shared" si="452"/>
        <v>0</v>
      </c>
      <c r="CN218">
        <f t="shared" si="453"/>
        <v>0</v>
      </c>
      <c r="CO218">
        <f t="shared" si="454"/>
        <v>0</v>
      </c>
      <c r="CP218">
        <f t="shared" si="455"/>
        <v>1</v>
      </c>
      <c r="CQ218">
        <f t="shared" si="456"/>
        <v>1</v>
      </c>
      <c r="CR218">
        <f t="shared" si="457"/>
        <v>1</v>
      </c>
      <c r="CS218">
        <f t="shared" si="458"/>
        <v>1</v>
      </c>
      <c r="CT218">
        <f t="shared" si="459"/>
        <v>1</v>
      </c>
      <c r="CU218">
        <f t="shared" si="460"/>
        <v>1</v>
      </c>
      <c r="CV218">
        <f t="shared" si="461"/>
        <v>0</v>
      </c>
      <c r="CW218">
        <f t="shared" si="462"/>
        <v>0</v>
      </c>
      <c r="CX218">
        <f t="shared" si="463"/>
        <v>0</v>
      </c>
      <c r="CY218">
        <f t="shared" si="464"/>
        <v>0</v>
      </c>
      <c r="CZ218">
        <f t="shared" si="465"/>
        <v>0</v>
      </c>
      <c r="DA218">
        <f t="shared" si="466"/>
        <v>0</v>
      </c>
      <c r="DB218">
        <f t="shared" si="467"/>
        <v>1</v>
      </c>
      <c r="DC218">
        <f t="shared" si="468"/>
        <v>1</v>
      </c>
      <c r="DF218" s="10" t="s">
        <v>37</v>
      </c>
      <c r="DG218" t="str">
        <f t="shared" si="520"/>
        <v>2023_2</v>
      </c>
      <c r="DH218" t="str">
        <f t="shared" si="520"/>
        <v>2023_2</v>
      </c>
      <c r="DI218" t="str">
        <f t="shared" si="520"/>
        <v>2023_2</v>
      </c>
      <c r="DJ218" t="str">
        <f t="shared" si="520"/>
        <v>2023_2</v>
      </c>
      <c r="DK218" t="str">
        <f t="shared" si="520"/>
        <v>2023_2</v>
      </c>
      <c r="DL218" t="str">
        <f t="shared" si="520"/>
        <v>2023_2</v>
      </c>
      <c r="DM218" t="str">
        <f t="shared" si="520"/>
        <v>2023_2</v>
      </c>
      <c r="DN218" t="str">
        <f t="shared" si="520"/>
        <v>2023_2</v>
      </c>
      <c r="DO218" t="str">
        <f t="shared" si="520"/>
        <v>2023_2</v>
      </c>
      <c r="DP218" t="str">
        <f t="shared" si="520"/>
        <v>2023_2</v>
      </c>
      <c r="DQ218" t="str">
        <f t="shared" si="520"/>
        <v>2023_2</v>
      </c>
      <c r="DR218" t="str">
        <f t="shared" si="520"/>
        <v>2023_2</v>
      </c>
      <c r="DS218" t="str">
        <f t="shared" si="520"/>
        <v>2023_2</v>
      </c>
      <c r="DT218" t="str">
        <f t="shared" si="520"/>
        <v>2023_2</v>
      </c>
      <c r="DU218" t="str">
        <f t="shared" si="520"/>
        <v>2023_2</v>
      </c>
      <c r="DV218" t="str">
        <f t="shared" si="469"/>
        <v>2023_2</v>
      </c>
      <c r="DW218" t="str">
        <f t="shared" si="469"/>
        <v>2023_2</v>
      </c>
      <c r="DX218" t="str">
        <f t="shared" si="469"/>
        <v>2023_2</v>
      </c>
      <c r="DY218" t="str">
        <f t="shared" si="469"/>
        <v>2023_2</v>
      </c>
      <c r="DZ218" t="str">
        <f t="shared" si="469"/>
        <v>2023_2</v>
      </c>
      <c r="EA218" t="str">
        <f t="shared" si="469"/>
        <v>2023_2</v>
      </c>
      <c r="EB218" t="str">
        <f t="shared" si="469"/>
        <v>2023_2</v>
      </c>
      <c r="EC218" t="str">
        <f t="shared" si="469"/>
        <v>2023_2</v>
      </c>
      <c r="ED218" t="str">
        <f t="shared" si="469"/>
        <v>2023_2</v>
      </c>
      <c r="EE218" t="str">
        <f t="shared" si="469"/>
        <v>2023_2</v>
      </c>
      <c r="EF218" t="str">
        <f t="shared" si="469"/>
        <v>2023_2</v>
      </c>
      <c r="EG218" t="str">
        <f t="shared" si="469"/>
        <v>2023_2</v>
      </c>
      <c r="EH218" t="str">
        <f t="shared" si="469"/>
        <v>2023_2</v>
      </c>
      <c r="EI218" t="str">
        <f t="shared" si="469"/>
        <v>2023_2</v>
      </c>
      <c r="EJ218" t="str">
        <f t="shared" si="469"/>
        <v>2023_2</v>
      </c>
      <c r="EK218" t="str">
        <f t="shared" ref="EK218:EY233" si="522">$K218</f>
        <v>2023_2</v>
      </c>
      <c r="EL218" t="str">
        <f t="shared" si="470"/>
        <v>2023_2</v>
      </c>
      <c r="EM218" t="str">
        <f t="shared" si="470"/>
        <v>2023_2</v>
      </c>
      <c r="EN218" t="str">
        <f t="shared" si="470"/>
        <v>2023_2</v>
      </c>
      <c r="EO218" t="str">
        <f t="shared" si="470"/>
        <v>2023_2</v>
      </c>
      <c r="EP218" t="str">
        <f t="shared" si="470"/>
        <v>2023_2</v>
      </c>
      <c r="EQ218" t="str">
        <f t="shared" si="470"/>
        <v>2023_2</v>
      </c>
      <c r="ER218" t="str">
        <f t="shared" si="470"/>
        <v>2023_2</v>
      </c>
      <c r="ES218" t="str">
        <f t="shared" si="470"/>
        <v>2023_2</v>
      </c>
      <c r="ET218" t="str">
        <f t="shared" si="470"/>
        <v>2023_2</v>
      </c>
      <c r="EU218" t="str">
        <f t="shared" si="470"/>
        <v>2023_2</v>
      </c>
      <c r="EV218" t="str">
        <f t="shared" si="470"/>
        <v>2023_2</v>
      </c>
      <c r="EW218" t="str">
        <f t="shared" si="470"/>
        <v>2023_2</v>
      </c>
      <c r="EX218" t="str">
        <f t="shared" si="470"/>
        <v>2023_2</v>
      </c>
      <c r="EY218" t="str">
        <f t="shared" si="470"/>
        <v>2023_2</v>
      </c>
      <c r="FB218" s="10" t="s">
        <v>37</v>
      </c>
      <c r="FC218">
        <f t="shared" si="521"/>
        <v>0</v>
      </c>
      <c r="FD218">
        <f t="shared" si="471"/>
        <v>0</v>
      </c>
      <c r="FE218">
        <f t="shared" si="472"/>
        <v>0</v>
      </c>
      <c r="FF218">
        <f t="shared" si="473"/>
        <v>0</v>
      </c>
      <c r="FG218">
        <f t="shared" si="474"/>
        <v>0</v>
      </c>
      <c r="FH218">
        <f t="shared" si="475"/>
        <v>0</v>
      </c>
      <c r="FI218">
        <f t="shared" si="476"/>
        <v>0</v>
      </c>
      <c r="FJ218">
        <f t="shared" si="477"/>
        <v>0</v>
      </c>
      <c r="FK218">
        <f t="shared" si="478"/>
        <v>0</v>
      </c>
      <c r="FL218">
        <f t="shared" si="479"/>
        <v>0</v>
      </c>
      <c r="FM218">
        <f t="shared" si="480"/>
        <v>0</v>
      </c>
      <c r="FN218">
        <f t="shared" si="481"/>
        <v>0</v>
      </c>
      <c r="FO218">
        <f t="shared" si="482"/>
        <v>0</v>
      </c>
      <c r="FP218">
        <f t="shared" si="483"/>
        <v>0</v>
      </c>
      <c r="FQ218">
        <f t="shared" si="484"/>
        <v>0</v>
      </c>
      <c r="FR218">
        <f t="shared" si="485"/>
        <v>0</v>
      </c>
      <c r="FS218">
        <f t="shared" si="486"/>
        <v>0</v>
      </c>
      <c r="FT218">
        <f t="shared" si="487"/>
        <v>0</v>
      </c>
      <c r="FU218">
        <f t="shared" si="488"/>
        <v>0</v>
      </c>
      <c r="FV218">
        <f t="shared" si="489"/>
        <v>0</v>
      </c>
      <c r="FW218">
        <f t="shared" si="490"/>
        <v>0</v>
      </c>
      <c r="FX218">
        <f t="shared" si="491"/>
        <v>0</v>
      </c>
      <c r="FY218">
        <f t="shared" si="492"/>
        <v>0</v>
      </c>
      <c r="FZ218">
        <f t="shared" si="493"/>
        <v>0</v>
      </c>
      <c r="GA218">
        <f t="shared" si="494"/>
        <v>0</v>
      </c>
      <c r="GB218">
        <f t="shared" si="495"/>
        <v>0</v>
      </c>
      <c r="GC218">
        <f t="shared" si="496"/>
        <v>0</v>
      </c>
      <c r="GD218">
        <f t="shared" si="497"/>
        <v>0</v>
      </c>
      <c r="GE218">
        <f t="shared" si="498"/>
        <v>0</v>
      </c>
      <c r="GF218">
        <f t="shared" si="499"/>
        <v>0</v>
      </c>
      <c r="GG218">
        <f t="shared" si="500"/>
        <v>0</v>
      </c>
      <c r="GH218">
        <f t="shared" si="501"/>
        <v>0</v>
      </c>
      <c r="GI218">
        <f t="shared" si="502"/>
        <v>0</v>
      </c>
      <c r="GJ218">
        <f t="shared" si="503"/>
        <v>0</v>
      </c>
      <c r="GK218">
        <f t="shared" si="504"/>
        <v>1</v>
      </c>
      <c r="GL218">
        <f t="shared" si="505"/>
        <v>1</v>
      </c>
      <c r="GM218">
        <f t="shared" si="506"/>
        <v>1</v>
      </c>
      <c r="GN218">
        <f t="shared" si="507"/>
        <v>1</v>
      </c>
      <c r="GO218">
        <f t="shared" si="508"/>
        <v>1</v>
      </c>
      <c r="GP218">
        <f t="shared" si="509"/>
        <v>1</v>
      </c>
      <c r="GQ218">
        <f t="shared" si="510"/>
        <v>1</v>
      </c>
      <c r="GR218">
        <f t="shared" si="511"/>
        <v>1</v>
      </c>
      <c r="GS218">
        <f t="shared" si="512"/>
        <v>1</v>
      </c>
      <c r="GT218">
        <f t="shared" si="513"/>
        <v>1</v>
      </c>
      <c r="GU218">
        <f t="shared" si="514"/>
        <v>1</v>
      </c>
      <c r="GX218" s="10"/>
    </row>
    <row r="219" spans="1:206" x14ac:dyDescent="0.3">
      <c r="A219" s="9" t="s">
        <v>199</v>
      </c>
      <c r="B219" s="80"/>
      <c r="C219" s="9">
        <v>3010675000</v>
      </c>
      <c r="D219" s="9" t="s">
        <v>489</v>
      </c>
      <c r="E219" s="9" t="s">
        <v>34</v>
      </c>
      <c r="F219" s="9" t="s">
        <v>35</v>
      </c>
      <c r="G219" s="9" t="s">
        <v>86</v>
      </c>
      <c r="H219" s="10">
        <v>44981</v>
      </c>
      <c r="I219" s="9">
        <f t="shared" si="515"/>
        <v>2023</v>
      </c>
      <c r="J219" s="9">
        <f t="shared" si="516"/>
        <v>2</v>
      </c>
      <c r="K219" s="9" t="str">
        <f t="shared" si="517"/>
        <v>2023_2</v>
      </c>
      <c r="L219">
        <f>MAX(0,VLOOKUP($K219,lookups!$A$1:$B$45,2,0)-12)</f>
        <v>22</v>
      </c>
      <c r="M219" s="40">
        <f t="shared" si="518"/>
        <v>44958</v>
      </c>
      <c r="N219" s="10" t="s">
        <v>37</v>
      </c>
      <c r="O219" t="str">
        <f ca="1">IF(OR($L219&gt;O$4,O$4&gt;$L219+23),"",OFFSET(Electric!$L210,0,-'Electric Calendarize'!$L219+'Electric Calendarize'!O$4+1))</f>
        <v/>
      </c>
      <c r="P219" t="str">
        <f ca="1">IF(OR($L219&gt;P$4,P$4&gt;$L219+23),"",OFFSET(Electric!$L210,0,-'Electric Calendarize'!$L219+'Electric Calendarize'!P$4+1))</f>
        <v/>
      </c>
      <c r="Q219" t="str">
        <f ca="1">IF(OR($L219&gt;Q$4,Q$4&gt;$L219+23),"",OFFSET(Electric!$L210,0,-'Electric Calendarize'!$L219+'Electric Calendarize'!Q$4+1))</f>
        <v/>
      </c>
      <c r="R219" t="str">
        <f ca="1">IF(OR($L219&gt;R$4,R$4&gt;$L219+23),"",OFFSET(Electric!$L210,0,-'Electric Calendarize'!$L219+'Electric Calendarize'!R$4+1))</f>
        <v/>
      </c>
      <c r="S219" t="str">
        <f ca="1">IF(OR($L219&gt;S$4,S$4&gt;$L219+23),"",OFFSET(Electric!$L210,0,-'Electric Calendarize'!$L219+'Electric Calendarize'!S$4+1))</f>
        <v/>
      </c>
      <c r="T219" t="str">
        <f ca="1">IF(OR($L219&gt;T$4,T$4&gt;$L219+23),"",OFFSET(Electric!$L210,0,-'Electric Calendarize'!$L219+'Electric Calendarize'!T$4+1))</f>
        <v/>
      </c>
      <c r="U219" t="str">
        <f ca="1">IF(OR($L219&gt;U$4,U$4&gt;$L219+23),"",OFFSET(Electric!$L210,0,-'Electric Calendarize'!$L219+'Electric Calendarize'!U$4+1))</f>
        <v/>
      </c>
      <c r="V219" t="str">
        <f ca="1">IF(OR($L219&gt;V$4,V$4&gt;$L219+23),"",OFFSET(Electric!$L210,0,-'Electric Calendarize'!$L219+'Electric Calendarize'!V$4+1))</f>
        <v/>
      </c>
      <c r="W219" t="str">
        <f ca="1">IF(OR($L219&gt;W$4,W$4&gt;$L219+23),"",OFFSET(Electric!$L210,0,-'Electric Calendarize'!$L219+'Electric Calendarize'!W$4+1))</f>
        <v/>
      </c>
      <c r="X219" t="str">
        <f ca="1">IF(OR($L219&gt;X$4,X$4&gt;$L219+23),"",OFFSET(Electric!$L210,0,-'Electric Calendarize'!$L219+'Electric Calendarize'!X$4+1))</f>
        <v/>
      </c>
      <c r="Y219" t="str">
        <f ca="1">IF(OR($L219&gt;Y$4,Y$4&gt;$L219+23),"",OFFSET(Electric!$L210,0,-'Electric Calendarize'!$L219+'Electric Calendarize'!Y$4+1))</f>
        <v/>
      </c>
      <c r="Z219" t="str">
        <f ca="1">IF(OR($L219&gt;Z$4,Z$4&gt;$L219+23),"",OFFSET(Electric!$L210,0,-'Electric Calendarize'!$L219+'Electric Calendarize'!Z$4+1))</f>
        <v/>
      </c>
      <c r="AA219" t="str">
        <f ca="1">IF(OR($L219&gt;AA$4,AA$4&gt;$L219+23),"",OFFSET(Electric!$L210,0,-'Electric Calendarize'!$L219+'Electric Calendarize'!AA$4+1))</f>
        <v/>
      </c>
      <c r="AB219" t="str">
        <f ca="1">IF(OR($L219&gt;AB$4,AB$4&gt;$L219+23),"",OFFSET(Electric!$L210,0,-'Electric Calendarize'!$L219+'Electric Calendarize'!AB$4+1))</f>
        <v/>
      </c>
      <c r="AC219" t="str">
        <f ca="1">IF(OR($L219&gt;AC$4,AC$4&gt;$L219+23),"",OFFSET(Electric!$L210,0,-'Electric Calendarize'!$L219+'Electric Calendarize'!AC$4+1))</f>
        <v/>
      </c>
      <c r="AD219" t="str">
        <f ca="1">IF(OR($L219&gt;AD$4,AD$4&gt;$L219+23),"",OFFSET(Electric!$L210,0,-'Electric Calendarize'!$L219+'Electric Calendarize'!AD$4+1))</f>
        <v/>
      </c>
      <c r="AE219" t="str">
        <f ca="1">IF(OR($L219&gt;AE$4,AE$4&gt;$L219+23),"",OFFSET(Electric!$L210,0,-'Electric Calendarize'!$L219+'Electric Calendarize'!AE$4+1))</f>
        <v/>
      </c>
      <c r="AF219" t="str">
        <f ca="1">IF(OR($L219&gt;AF$4,AF$4&gt;$L219+23),"",OFFSET(Electric!$L210,0,-'Electric Calendarize'!$L219+'Electric Calendarize'!AF$4+1))</f>
        <v/>
      </c>
      <c r="AG219" t="str">
        <f ca="1">IF(OR($L219&gt;AG$4,AG$4&gt;$L219+23),"",OFFSET(Electric!$L210,0,-'Electric Calendarize'!$L219+'Electric Calendarize'!AG$4+1))</f>
        <v/>
      </c>
      <c r="AH219" t="str">
        <f ca="1">IF(OR($L219&gt;AH$4,AH$4&gt;$L219+23),"",OFFSET(Electric!$L210,0,-'Electric Calendarize'!$L219+'Electric Calendarize'!AH$4+1))</f>
        <v/>
      </c>
      <c r="AI219" t="str">
        <f ca="1">IF(OR($L219&gt;AI$4,AI$4&gt;$L219+23),"",OFFSET(Electric!$L210,0,-'Electric Calendarize'!$L219+'Electric Calendarize'!AI$4+1))</f>
        <v/>
      </c>
      <c r="AJ219" t="str">
        <f ca="1">IF(OR($L219&gt;AJ$4,AJ$4&gt;$L219+23),"",OFFSET(Electric!$L210,0,-'Electric Calendarize'!$L219+'Electric Calendarize'!AJ$4+1))</f>
        <v/>
      </c>
      <c r="AK219">
        <f ca="1">IF(OR($L219&gt;AK$4,AK$4&gt;$L219+23),"",OFFSET(Electric!$L210,0,-'Electric Calendarize'!$L219+'Electric Calendarize'!AK$4+1))</f>
        <v>290</v>
      </c>
      <c r="AL219">
        <f ca="1">IF(OR($L219&gt;AL$4,AL$4&gt;$L219+23),"",OFFSET(Electric!$L210,0,-'Electric Calendarize'!$L219+'Electric Calendarize'!AL$4+1))</f>
        <v>332</v>
      </c>
      <c r="AM219">
        <f ca="1">IF(OR($L219&gt;AM$4,AM$4&gt;$L219+23),"",OFFSET(Electric!$L210,0,-'Electric Calendarize'!$L219+'Electric Calendarize'!AM$4+1))</f>
        <v>280</v>
      </c>
      <c r="AN219">
        <f ca="1">IF(OR($L219&gt;AN$4,AN$4&gt;$L219+23),"",OFFSET(Electric!$L210,0,-'Electric Calendarize'!$L219+'Electric Calendarize'!AN$4+1))</f>
        <v>236</v>
      </c>
      <c r="AO219">
        <f ca="1">IF(OR($L219&gt;AO$4,AO$4&gt;$L219+23),"",OFFSET(Electric!$L210,0,-'Electric Calendarize'!$L219+'Electric Calendarize'!AO$4+1))</f>
        <v>239</v>
      </c>
      <c r="AP219">
        <f ca="1">IF(OR($L219&gt;AP$4,AP$4&gt;$L219+23),"",OFFSET(Electric!$L210,0,-'Electric Calendarize'!$L219+'Electric Calendarize'!AP$4+1))</f>
        <v>207</v>
      </c>
      <c r="AQ219">
        <f ca="1">IF(OR($L219&gt;AQ$4,AQ$4&gt;$L219+23),"",OFFSET(Electric!$L210,0,-'Electric Calendarize'!$L219+'Electric Calendarize'!AQ$4+1))</f>
        <v>251</v>
      </c>
      <c r="AR219">
        <f ca="1">IF(OR($L219&gt;AR$4,AR$4&gt;$L219+23),"",OFFSET(Electric!$L210,0,-'Electric Calendarize'!$L219+'Electric Calendarize'!AR$4+1))</f>
        <v>213</v>
      </c>
      <c r="AS219">
        <f ca="1">IF(OR($L219&gt;AS$4,AS$4&gt;$L219+23),"",OFFSET(Electric!$L210,0,-'Electric Calendarize'!$L219+'Electric Calendarize'!AS$4+1))</f>
        <v>221</v>
      </c>
      <c r="AT219">
        <f ca="1">IF(OR($L219&gt;AT$4,AT$4&gt;$L219+23),"",OFFSET(Electric!$L210,0,-'Electric Calendarize'!$L219+'Electric Calendarize'!AT$4+1))</f>
        <v>247</v>
      </c>
      <c r="AU219">
        <f ca="1">IF(OR($L219&gt;AU$4,AU$4&gt;$L219+23),"",OFFSET(Electric!$L210,0,-'Electric Calendarize'!$L219+'Electric Calendarize'!AU$4+1))</f>
        <v>326</v>
      </c>
      <c r="AV219">
        <f ca="1">IF(OR($L219&gt;AV$4,AV$4&gt;$L219+23),"",OFFSET(Electric!$L210,0,-'Electric Calendarize'!$L219+'Electric Calendarize'!AV$4+1))</f>
        <v>299</v>
      </c>
      <c r="AW219">
        <f ca="1">IF(OR($L219&gt;AW$4,AW$4&gt;$L219+23),"",OFFSET(Electric!$L210,0,-'Electric Calendarize'!$L219+'Electric Calendarize'!AW$4+1))</f>
        <v>331</v>
      </c>
      <c r="AX219">
        <f ca="1">IF(OR($L219&gt;AX$4,AX$4&gt;$L219+23),"",OFFSET(Electric!$L210,0,-'Electric Calendarize'!$L219+'Electric Calendarize'!AX$4+1))</f>
        <v>276</v>
      </c>
      <c r="AY219">
        <f ca="1">IF(OR($L219&gt;AY$4,AY$4&gt;$L219+23),"",OFFSET(Electric!$L210,0,-'Electric Calendarize'!$L219+'Electric Calendarize'!AY$4+1))</f>
        <v>245</v>
      </c>
      <c r="AZ219">
        <f ca="1">IF(OR($L219&gt;AZ$4,AZ$4&gt;$L219+23),"",OFFSET(Electric!$L210,0,-'Electric Calendarize'!$L219+'Electric Calendarize'!AZ$4+1))</f>
        <v>248</v>
      </c>
      <c r="BA219">
        <f ca="1">IF(OR($L219&gt;BA$4,BA$4&gt;$L219+23),"",OFFSET(Electric!$L210,0,-'Electric Calendarize'!$L219+'Electric Calendarize'!BA$4+1))</f>
        <v>210</v>
      </c>
      <c r="BB219">
        <f ca="1">IF(OR($L219&gt;BB$4,BB$4&gt;$L219+23),"",OFFSET(Electric!$L210,0,-'Electric Calendarize'!$L219+'Electric Calendarize'!BB$4+1))</f>
        <v>218</v>
      </c>
      <c r="BC219">
        <f ca="1">IF(OR($L219&gt;BC$4,BC$4&gt;$L219+23),"",OFFSET(Electric!$L210,0,-'Electric Calendarize'!$L219+'Electric Calendarize'!BC$4+1))</f>
        <v>221</v>
      </c>
      <c r="BD219">
        <f ca="1">IF(OR($L219&gt;BD$4,BD$4&gt;$L219+23),"",OFFSET(Electric!$L210,0,-'Electric Calendarize'!$L219+'Electric Calendarize'!BD$4+1))</f>
        <v>197</v>
      </c>
      <c r="BE219">
        <f ca="1">IF(OR($L219&gt;BE$4,BE$4&gt;$L219+23),"",OFFSET(Electric!$L210,0,-'Electric Calendarize'!$L219+'Electric Calendarize'!BE$4+1))</f>
        <v>215</v>
      </c>
      <c r="BF219">
        <f ca="1">IF(OR($L219&gt;BF$4,BF$4&gt;$L219+23),"",OFFSET(Electric!$L210,0,-'Electric Calendarize'!$L219+'Electric Calendarize'!BF$4+1))</f>
        <v>224</v>
      </c>
      <c r="BG219">
        <f ca="1">IF(OR($L219&gt;BG$4,BG$4&gt;$L219+23),"",OFFSET(Electric!$L210,0,-'Electric Calendarize'!$L219+'Electric Calendarize'!BG$4+1))</f>
        <v>317</v>
      </c>
      <c r="BJ219" s="10" t="s">
        <v>37</v>
      </c>
      <c r="BK219">
        <f t="shared" si="519"/>
        <v>1</v>
      </c>
      <c r="BL219">
        <f t="shared" si="425"/>
        <v>0</v>
      </c>
      <c r="BM219">
        <f t="shared" si="426"/>
        <v>0</v>
      </c>
      <c r="BN219">
        <f t="shared" si="427"/>
        <v>0</v>
      </c>
      <c r="BO219">
        <f t="shared" si="428"/>
        <v>0</v>
      </c>
      <c r="BP219">
        <f t="shared" si="429"/>
        <v>0</v>
      </c>
      <c r="BQ219">
        <f t="shared" si="430"/>
        <v>0</v>
      </c>
      <c r="BR219">
        <f t="shared" si="431"/>
        <v>1</v>
      </c>
      <c r="BS219">
        <f t="shared" si="432"/>
        <v>1</v>
      </c>
      <c r="BT219">
        <f t="shared" si="433"/>
        <v>1</v>
      </c>
      <c r="BU219">
        <f t="shared" si="434"/>
        <v>1</v>
      </c>
      <c r="BV219">
        <f t="shared" si="435"/>
        <v>1</v>
      </c>
      <c r="BW219">
        <f t="shared" si="436"/>
        <v>1</v>
      </c>
      <c r="BX219">
        <f t="shared" si="437"/>
        <v>0</v>
      </c>
      <c r="BY219">
        <f t="shared" si="438"/>
        <v>0</v>
      </c>
      <c r="BZ219">
        <f t="shared" si="439"/>
        <v>0</v>
      </c>
      <c r="CA219">
        <f t="shared" si="440"/>
        <v>0</v>
      </c>
      <c r="CB219">
        <f t="shared" si="441"/>
        <v>0</v>
      </c>
      <c r="CC219">
        <f t="shared" si="442"/>
        <v>0</v>
      </c>
      <c r="CD219">
        <f t="shared" si="443"/>
        <v>1</v>
      </c>
      <c r="CE219">
        <f t="shared" si="444"/>
        <v>1</v>
      </c>
      <c r="CF219">
        <f t="shared" si="445"/>
        <v>1</v>
      </c>
      <c r="CG219">
        <f t="shared" si="446"/>
        <v>1</v>
      </c>
      <c r="CH219">
        <f t="shared" si="447"/>
        <v>1</v>
      </c>
      <c r="CI219">
        <f t="shared" si="448"/>
        <v>1</v>
      </c>
      <c r="CJ219">
        <f t="shared" si="449"/>
        <v>0</v>
      </c>
      <c r="CK219">
        <f t="shared" si="450"/>
        <v>0</v>
      </c>
      <c r="CL219">
        <f t="shared" si="451"/>
        <v>0</v>
      </c>
      <c r="CM219">
        <f t="shared" si="452"/>
        <v>0</v>
      </c>
      <c r="CN219">
        <f t="shared" si="453"/>
        <v>0</v>
      </c>
      <c r="CO219">
        <f t="shared" si="454"/>
        <v>0</v>
      </c>
      <c r="CP219">
        <f t="shared" si="455"/>
        <v>1</v>
      </c>
      <c r="CQ219">
        <f t="shared" si="456"/>
        <v>1</v>
      </c>
      <c r="CR219">
        <f t="shared" si="457"/>
        <v>1</v>
      </c>
      <c r="CS219">
        <f t="shared" si="458"/>
        <v>1</v>
      </c>
      <c r="CT219">
        <f t="shared" si="459"/>
        <v>1</v>
      </c>
      <c r="CU219">
        <f t="shared" si="460"/>
        <v>1</v>
      </c>
      <c r="CV219">
        <f t="shared" si="461"/>
        <v>0</v>
      </c>
      <c r="CW219">
        <f t="shared" si="462"/>
        <v>0</v>
      </c>
      <c r="CX219">
        <f t="shared" si="463"/>
        <v>0</v>
      </c>
      <c r="CY219">
        <f t="shared" si="464"/>
        <v>0</v>
      </c>
      <c r="CZ219">
        <f t="shared" si="465"/>
        <v>0</v>
      </c>
      <c r="DA219">
        <f t="shared" si="466"/>
        <v>0</v>
      </c>
      <c r="DB219">
        <f t="shared" si="467"/>
        <v>1</v>
      </c>
      <c r="DC219">
        <f t="shared" si="468"/>
        <v>1</v>
      </c>
      <c r="DF219" s="10" t="s">
        <v>37</v>
      </c>
      <c r="DG219" t="str">
        <f t="shared" si="520"/>
        <v>2023_2</v>
      </c>
      <c r="DH219" t="str">
        <f t="shared" si="520"/>
        <v>2023_2</v>
      </c>
      <c r="DI219" t="str">
        <f t="shared" si="520"/>
        <v>2023_2</v>
      </c>
      <c r="DJ219" t="str">
        <f t="shared" si="520"/>
        <v>2023_2</v>
      </c>
      <c r="DK219" t="str">
        <f t="shared" si="520"/>
        <v>2023_2</v>
      </c>
      <c r="DL219" t="str">
        <f t="shared" si="520"/>
        <v>2023_2</v>
      </c>
      <c r="DM219" t="str">
        <f t="shared" si="520"/>
        <v>2023_2</v>
      </c>
      <c r="DN219" t="str">
        <f t="shared" si="520"/>
        <v>2023_2</v>
      </c>
      <c r="DO219" t="str">
        <f t="shared" si="520"/>
        <v>2023_2</v>
      </c>
      <c r="DP219" t="str">
        <f t="shared" si="520"/>
        <v>2023_2</v>
      </c>
      <c r="DQ219" t="str">
        <f t="shared" si="520"/>
        <v>2023_2</v>
      </c>
      <c r="DR219" t="str">
        <f t="shared" si="520"/>
        <v>2023_2</v>
      </c>
      <c r="DS219" t="str">
        <f t="shared" si="520"/>
        <v>2023_2</v>
      </c>
      <c r="DT219" t="str">
        <f t="shared" si="520"/>
        <v>2023_2</v>
      </c>
      <c r="DU219" t="str">
        <f t="shared" si="520"/>
        <v>2023_2</v>
      </c>
      <c r="DV219" t="str">
        <f t="shared" si="520"/>
        <v>2023_2</v>
      </c>
      <c r="DW219" t="str">
        <f t="shared" ref="DW219:EL234" si="523">$K219</f>
        <v>2023_2</v>
      </c>
      <c r="DX219" t="str">
        <f t="shared" si="523"/>
        <v>2023_2</v>
      </c>
      <c r="DY219" t="str">
        <f t="shared" si="523"/>
        <v>2023_2</v>
      </c>
      <c r="DZ219" t="str">
        <f t="shared" si="523"/>
        <v>2023_2</v>
      </c>
      <c r="EA219" t="str">
        <f t="shared" si="523"/>
        <v>2023_2</v>
      </c>
      <c r="EB219" t="str">
        <f t="shared" si="523"/>
        <v>2023_2</v>
      </c>
      <c r="EC219" t="str">
        <f t="shared" si="523"/>
        <v>2023_2</v>
      </c>
      <c r="ED219" t="str">
        <f t="shared" si="523"/>
        <v>2023_2</v>
      </c>
      <c r="EE219" t="str">
        <f t="shared" si="523"/>
        <v>2023_2</v>
      </c>
      <c r="EF219" t="str">
        <f t="shared" si="523"/>
        <v>2023_2</v>
      </c>
      <c r="EG219" t="str">
        <f t="shared" si="523"/>
        <v>2023_2</v>
      </c>
      <c r="EH219" t="str">
        <f t="shared" si="523"/>
        <v>2023_2</v>
      </c>
      <c r="EI219" t="str">
        <f t="shared" si="523"/>
        <v>2023_2</v>
      </c>
      <c r="EJ219" t="str">
        <f t="shared" si="523"/>
        <v>2023_2</v>
      </c>
      <c r="EK219" t="str">
        <f t="shared" si="522"/>
        <v>2023_2</v>
      </c>
      <c r="EL219" t="str">
        <f t="shared" si="522"/>
        <v>2023_2</v>
      </c>
      <c r="EM219" t="str">
        <f t="shared" si="522"/>
        <v>2023_2</v>
      </c>
      <c r="EN219" t="str">
        <f t="shared" si="522"/>
        <v>2023_2</v>
      </c>
      <c r="EO219" t="str">
        <f t="shared" si="522"/>
        <v>2023_2</v>
      </c>
      <c r="EP219" t="str">
        <f t="shared" si="522"/>
        <v>2023_2</v>
      </c>
      <c r="EQ219" t="str">
        <f t="shared" si="522"/>
        <v>2023_2</v>
      </c>
      <c r="ER219" t="str">
        <f t="shared" si="522"/>
        <v>2023_2</v>
      </c>
      <c r="ES219" t="str">
        <f t="shared" si="522"/>
        <v>2023_2</v>
      </c>
      <c r="ET219" t="str">
        <f t="shared" si="522"/>
        <v>2023_2</v>
      </c>
      <c r="EU219" t="str">
        <f t="shared" si="522"/>
        <v>2023_2</v>
      </c>
      <c r="EV219" t="str">
        <f t="shared" si="522"/>
        <v>2023_2</v>
      </c>
      <c r="EW219" t="str">
        <f t="shared" si="522"/>
        <v>2023_2</v>
      </c>
      <c r="EX219" t="str">
        <f t="shared" si="522"/>
        <v>2023_2</v>
      </c>
      <c r="EY219" t="str">
        <f t="shared" si="522"/>
        <v>2023_2</v>
      </c>
      <c r="FB219" s="10" t="s">
        <v>37</v>
      </c>
      <c r="FC219">
        <f t="shared" si="521"/>
        <v>0</v>
      </c>
      <c r="FD219">
        <f t="shared" si="471"/>
        <v>0</v>
      </c>
      <c r="FE219">
        <f t="shared" si="472"/>
        <v>0</v>
      </c>
      <c r="FF219">
        <f t="shared" si="473"/>
        <v>0</v>
      </c>
      <c r="FG219">
        <f t="shared" si="474"/>
        <v>0</v>
      </c>
      <c r="FH219">
        <f t="shared" si="475"/>
        <v>0</v>
      </c>
      <c r="FI219">
        <f t="shared" si="476"/>
        <v>0</v>
      </c>
      <c r="FJ219">
        <f t="shared" si="477"/>
        <v>0</v>
      </c>
      <c r="FK219">
        <f t="shared" si="478"/>
        <v>0</v>
      </c>
      <c r="FL219">
        <f t="shared" si="479"/>
        <v>0</v>
      </c>
      <c r="FM219">
        <f t="shared" si="480"/>
        <v>0</v>
      </c>
      <c r="FN219">
        <f t="shared" si="481"/>
        <v>0</v>
      </c>
      <c r="FO219">
        <f t="shared" si="482"/>
        <v>0</v>
      </c>
      <c r="FP219">
        <f t="shared" si="483"/>
        <v>0</v>
      </c>
      <c r="FQ219">
        <f t="shared" si="484"/>
        <v>0</v>
      </c>
      <c r="FR219">
        <f t="shared" si="485"/>
        <v>0</v>
      </c>
      <c r="FS219">
        <f t="shared" si="486"/>
        <v>0</v>
      </c>
      <c r="FT219">
        <f t="shared" si="487"/>
        <v>0</v>
      </c>
      <c r="FU219">
        <f t="shared" si="488"/>
        <v>0</v>
      </c>
      <c r="FV219">
        <f t="shared" si="489"/>
        <v>0</v>
      </c>
      <c r="FW219">
        <f t="shared" si="490"/>
        <v>0</v>
      </c>
      <c r="FX219">
        <f t="shared" si="491"/>
        <v>0</v>
      </c>
      <c r="FY219">
        <f t="shared" si="492"/>
        <v>0</v>
      </c>
      <c r="FZ219">
        <f t="shared" si="493"/>
        <v>0</v>
      </c>
      <c r="GA219">
        <f t="shared" si="494"/>
        <v>0</v>
      </c>
      <c r="GB219">
        <f t="shared" si="495"/>
        <v>0</v>
      </c>
      <c r="GC219">
        <f t="shared" si="496"/>
        <v>0</v>
      </c>
      <c r="GD219">
        <f t="shared" si="497"/>
        <v>0</v>
      </c>
      <c r="GE219">
        <f t="shared" si="498"/>
        <v>0</v>
      </c>
      <c r="GF219">
        <f t="shared" si="499"/>
        <v>0</v>
      </c>
      <c r="GG219">
        <f t="shared" si="500"/>
        <v>0</v>
      </c>
      <c r="GH219">
        <f t="shared" si="501"/>
        <v>0</v>
      </c>
      <c r="GI219">
        <f t="shared" si="502"/>
        <v>0</v>
      </c>
      <c r="GJ219">
        <f t="shared" si="503"/>
        <v>0</v>
      </c>
      <c r="GK219">
        <f t="shared" si="504"/>
        <v>1</v>
      </c>
      <c r="GL219">
        <f t="shared" si="505"/>
        <v>1</v>
      </c>
      <c r="GM219">
        <f t="shared" si="506"/>
        <v>1</v>
      </c>
      <c r="GN219">
        <f t="shared" si="507"/>
        <v>1</v>
      </c>
      <c r="GO219">
        <f t="shared" si="508"/>
        <v>1</v>
      </c>
      <c r="GP219">
        <f t="shared" si="509"/>
        <v>1</v>
      </c>
      <c r="GQ219">
        <f t="shared" si="510"/>
        <v>1</v>
      </c>
      <c r="GR219">
        <f t="shared" si="511"/>
        <v>1</v>
      </c>
      <c r="GS219">
        <f t="shared" si="512"/>
        <v>1</v>
      </c>
      <c r="GT219">
        <f t="shared" si="513"/>
        <v>1</v>
      </c>
      <c r="GU219">
        <f t="shared" si="514"/>
        <v>1</v>
      </c>
      <c r="GX219" s="10"/>
    </row>
    <row r="220" spans="1:206" x14ac:dyDescent="0.3">
      <c r="A220" s="9" t="s">
        <v>235</v>
      </c>
      <c r="B220" s="80"/>
      <c r="C220" s="9">
        <v>3150810001</v>
      </c>
      <c r="D220" s="9" t="s">
        <v>373</v>
      </c>
      <c r="E220" s="9" t="s">
        <v>34</v>
      </c>
      <c r="F220" s="9" t="s">
        <v>35</v>
      </c>
      <c r="G220" s="9" t="s">
        <v>68</v>
      </c>
      <c r="H220" s="10">
        <v>44981</v>
      </c>
      <c r="I220" s="9">
        <f t="shared" si="515"/>
        <v>2023</v>
      </c>
      <c r="J220" s="9">
        <f t="shared" si="516"/>
        <v>2</v>
      </c>
      <c r="K220" s="9" t="str">
        <f t="shared" si="517"/>
        <v>2023_2</v>
      </c>
      <c r="L220">
        <f>MAX(0,VLOOKUP($K220,lookups!$A$1:$B$45,2,0)-12)</f>
        <v>22</v>
      </c>
      <c r="M220" s="40">
        <f t="shared" si="518"/>
        <v>44958</v>
      </c>
      <c r="N220" s="10" t="s">
        <v>37</v>
      </c>
      <c r="O220" t="str">
        <f ca="1">IF(OR($L220&gt;O$4,O$4&gt;$L220+23),"",OFFSET(Electric!$L211,0,-'Electric Calendarize'!$L220+'Electric Calendarize'!O$4+1))</f>
        <v/>
      </c>
      <c r="P220" t="str">
        <f ca="1">IF(OR($L220&gt;P$4,P$4&gt;$L220+23),"",OFFSET(Electric!$L211,0,-'Electric Calendarize'!$L220+'Electric Calendarize'!P$4+1))</f>
        <v/>
      </c>
      <c r="Q220" t="str">
        <f ca="1">IF(OR($L220&gt;Q$4,Q$4&gt;$L220+23),"",OFFSET(Electric!$L211,0,-'Electric Calendarize'!$L220+'Electric Calendarize'!Q$4+1))</f>
        <v/>
      </c>
      <c r="R220" t="str">
        <f ca="1">IF(OR($L220&gt;R$4,R$4&gt;$L220+23),"",OFFSET(Electric!$L211,0,-'Electric Calendarize'!$L220+'Electric Calendarize'!R$4+1))</f>
        <v/>
      </c>
      <c r="S220" t="str">
        <f ca="1">IF(OR($L220&gt;S$4,S$4&gt;$L220+23),"",OFFSET(Electric!$L211,0,-'Electric Calendarize'!$L220+'Electric Calendarize'!S$4+1))</f>
        <v/>
      </c>
      <c r="T220" t="str">
        <f ca="1">IF(OR($L220&gt;T$4,T$4&gt;$L220+23),"",OFFSET(Electric!$L211,0,-'Electric Calendarize'!$L220+'Electric Calendarize'!T$4+1))</f>
        <v/>
      </c>
      <c r="U220" t="str">
        <f ca="1">IF(OR($L220&gt;U$4,U$4&gt;$L220+23),"",OFFSET(Electric!$L211,0,-'Electric Calendarize'!$L220+'Electric Calendarize'!U$4+1))</f>
        <v/>
      </c>
      <c r="V220" t="str">
        <f ca="1">IF(OR($L220&gt;V$4,V$4&gt;$L220+23),"",OFFSET(Electric!$L211,0,-'Electric Calendarize'!$L220+'Electric Calendarize'!V$4+1))</f>
        <v/>
      </c>
      <c r="W220" t="str">
        <f ca="1">IF(OR($L220&gt;W$4,W$4&gt;$L220+23),"",OFFSET(Electric!$L211,0,-'Electric Calendarize'!$L220+'Electric Calendarize'!W$4+1))</f>
        <v/>
      </c>
      <c r="X220" t="str">
        <f ca="1">IF(OR($L220&gt;X$4,X$4&gt;$L220+23),"",OFFSET(Electric!$L211,0,-'Electric Calendarize'!$L220+'Electric Calendarize'!X$4+1))</f>
        <v/>
      </c>
      <c r="Y220" t="str">
        <f ca="1">IF(OR($L220&gt;Y$4,Y$4&gt;$L220+23),"",OFFSET(Electric!$L211,0,-'Electric Calendarize'!$L220+'Electric Calendarize'!Y$4+1))</f>
        <v/>
      </c>
      <c r="Z220" t="str">
        <f ca="1">IF(OR($L220&gt;Z$4,Z$4&gt;$L220+23),"",OFFSET(Electric!$L211,0,-'Electric Calendarize'!$L220+'Electric Calendarize'!Z$4+1))</f>
        <v/>
      </c>
      <c r="AA220" t="str">
        <f ca="1">IF(OR($L220&gt;AA$4,AA$4&gt;$L220+23),"",OFFSET(Electric!$L211,0,-'Electric Calendarize'!$L220+'Electric Calendarize'!AA$4+1))</f>
        <v/>
      </c>
      <c r="AB220" t="str">
        <f ca="1">IF(OR($L220&gt;AB$4,AB$4&gt;$L220+23),"",OFFSET(Electric!$L211,0,-'Electric Calendarize'!$L220+'Electric Calendarize'!AB$4+1))</f>
        <v/>
      </c>
      <c r="AC220" t="str">
        <f ca="1">IF(OR($L220&gt;AC$4,AC$4&gt;$L220+23),"",OFFSET(Electric!$L211,0,-'Electric Calendarize'!$L220+'Electric Calendarize'!AC$4+1))</f>
        <v/>
      </c>
      <c r="AD220" t="str">
        <f ca="1">IF(OR($L220&gt;AD$4,AD$4&gt;$L220+23),"",OFFSET(Electric!$L211,0,-'Electric Calendarize'!$L220+'Electric Calendarize'!AD$4+1))</f>
        <v/>
      </c>
      <c r="AE220" t="str">
        <f ca="1">IF(OR($L220&gt;AE$4,AE$4&gt;$L220+23),"",OFFSET(Electric!$L211,0,-'Electric Calendarize'!$L220+'Electric Calendarize'!AE$4+1))</f>
        <v/>
      </c>
      <c r="AF220" t="str">
        <f ca="1">IF(OR($L220&gt;AF$4,AF$4&gt;$L220+23),"",OFFSET(Electric!$L211,0,-'Electric Calendarize'!$L220+'Electric Calendarize'!AF$4+1))</f>
        <v/>
      </c>
      <c r="AG220" t="str">
        <f ca="1">IF(OR($L220&gt;AG$4,AG$4&gt;$L220+23),"",OFFSET(Electric!$L211,0,-'Electric Calendarize'!$L220+'Electric Calendarize'!AG$4+1))</f>
        <v/>
      </c>
      <c r="AH220" t="str">
        <f ca="1">IF(OR($L220&gt;AH$4,AH$4&gt;$L220+23),"",OFFSET(Electric!$L211,0,-'Electric Calendarize'!$L220+'Electric Calendarize'!AH$4+1))</f>
        <v/>
      </c>
      <c r="AI220" t="str">
        <f ca="1">IF(OR($L220&gt;AI$4,AI$4&gt;$L220+23),"",OFFSET(Electric!$L211,0,-'Electric Calendarize'!$L220+'Electric Calendarize'!AI$4+1))</f>
        <v/>
      </c>
      <c r="AJ220" t="str">
        <f ca="1">IF(OR($L220&gt;AJ$4,AJ$4&gt;$L220+23),"",OFFSET(Electric!$L211,0,-'Electric Calendarize'!$L220+'Electric Calendarize'!AJ$4+1))</f>
        <v/>
      </c>
      <c r="AK220">
        <f ca="1">IF(OR($L220&gt;AK$4,AK$4&gt;$L220+23),"",OFFSET(Electric!$L211,0,-'Electric Calendarize'!$L220+'Electric Calendarize'!AK$4+1))</f>
        <v>754</v>
      </c>
      <c r="AL220">
        <f ca="1">IF(OR($L220&gt;AL$4,AL$4&gt;$L220+23),"",OFFSET(Electric!$L211,0,-'Electric Calendarize'!$L220+'Electric Calendarize'!AL$4+1))</f>
        <v>610</v>
      </c>
      <c r="AM220">
        <f ca="1">IF(OR($L220&gt;AM$4,AM$4&gt;$L220+23),"",OFFSET(Electric!$L211,0,-'Electric Calendarize'!$L220+'Electric Calendarize'!AM$4+1))</f>
        <v>626</v>
      </c>
      <c r="AN220">
        <f ca="1">IF(OR($L220&gt;AN$4,AN$4&gt;$L220+23),"",OFFSET(Electric!$L211,0,-'Electric Calendarize'!$L220+'Electric Calendarize'!AN$4+1))</f>
        <v>622</v>
      </c>
      <c r="AO220">
        <f ca="1">IF(OR($L220&gt;AO$4,AO$4&gt;$L220+23),"",OFFSET(Electric!$L211,0,-'Electric Calendarize'!$L220+'Electric Calendarize'!AO$4+1))</f>
        <v>471</v>
      </c>
      <c r="AP220">
        <f ca="1">IF(OR($L220&gt;AP$4,AP$4&gt;$L220+23),"",OFFSET(Electric!$L211,0,-'Electric Calendarize'!$L220+'Electric Calendarize'!AP$4+1))</f>
        <v>524</v>
      </c>
      <c r="AQ220">
        <f ca="1">IF(OR($L220&gt;AQ$4,AQ$4&gt;$L220+23),"",OFFSET(Electric!$L211,0,-'Electric Calendarize'!$L220+'Electric Calendarize'!AQ$4+1))</f>
        <v>561</v>
      </c>
      <c r="AR220">
        <f ca="1">IF(OR($L220&gt;AR$4,AR$4&gt;$L220+23),"",OFFSET(Electric!$L211,0,-'Electric Calendarize'!$L220+'Electric Calendarize'!AR$4+1))</f>
        <v>726</v>
      </c>
      <c r="AS220">
        <f ca="1">IF(OR($L220&gt;AS$4,AS$4&gt;$L220+23),"",OFFSET(Electric!$L211,0,-'Electric Calendarize'!$L220+'Electric Calendarize'!AS$4+1))</f>
        <v>628</v>
      </c>
      <c r="AT220">
        <f ca="1">IF(OR($L220&gt;AT$4,AT$4&gt;$L220+23),"",OFFSET(Electric!$L211,0,-'Electric Calendarize'!$L220+'Electric Calendarize'!AT$4+1))</f>
        <v>752</v>
      </c>
      <c r="AU220">
        <f ca="1">IF(OR($L220&gt;AU$4,AU$4&gt;$L220+23),"",OFFSET(Electric!$L211,0,-'Electric Calendarize'!$L220+'Electric Calendarize'!AU$4+1))</f>
        <v>507</v>
      </c>
      <c r="AV220">
        <f ca="1">IF(OR($L220&gt;AV$4,AV$4&gt;$L220+23),"",OFFSET(Electric!$L211,0,-'Electric Calendarize'!$L220+'Electric Calendarize'!AV$4+1))</f>
        <v>762</v>
      </c>
      <c r="AW220">
        <f ca="1">IF(OR($L220&gt;AW$4,AW$4&gt;$L220+23),"",OFFSET(Electric!$L211,0,-'Electric Calendarize'!$L220+'Electric Calendarize'!AW$4+1))</f>
        <v>1419</v>
      </c>
      <c r="AX220">
        <f ca="1">IF(OR($L220&gt;AX$4,AX$4&gt;$L220+23),"",OFFSET(Electric!$L211,0,-'Electric Calendarize'!$L220+'Electric Calendarize'!AX$4+1))</f>
        <v>565</v>
      </c>
      <c r="AY220">
        <f ca="1">IF(OR($L220&gt;AY$4,AY$4&gt;$L220+23),"",OFFSET(Electric!$L211,0,-'Electric Calendarize'!$L220+'Electric Calendarize'!AY$4+1))</f>
        <v>234</v>
      </c>
      <c r="AZ220">
        <f ca="1">IF(OR($L220&gt;AZ$4,AZ$4&gt;$L220+23),"",OFFSET(Electric!$L211,0,-'Electric Calendarize'!$L220+'Electric Calendarize'!AZ$4+1))</f>
        <v>282</v>
      </c>
      <c r="BA220">
        <f ca="1">IF(OR($L220&gt;BA$4,BA$4&gt;$L220+23),"",OFFSET(Electric!$L211,0,-'Electric Calendarize'!$L220+'Electric Calendarize'!BA$4+1))</f>
        <v>330</v>
      </c>
      <c r="BB220">
        <f ca="1">IF(OR($L220&gt;BB$4,BB$4&gt;$L220+23),"",OFFSET(Electric!$L211,0,-'Electric Calendarize'!$L220+'Electric Calendarize'!BB$4+1))</f>
        <v>412</v>
      </c>
      <c r="BC220">
        <f ca="1">IF(OR($L220&gt;BC$4,BC$4&gt;$L220+23),"",OFFSET(Electric!$L211,0,-'Electric Calendarize'!$L220+'Electric Calendarize'!BC$4+1))</f>
        <v>450</v>
      </c>
      <c r="BD220">
        <f ca="1">IF(OR($L220&gt;BD$4,BD$4&gt;$L220+23),"",OFFSET(Electric!$L211,0,-'Electric Calendarize'!$L220+'Electric Calendarize'!BD$4+1))</f>
        <v>428</v>
      </c>
      <c r="BE220">
        <f ca="1">IF(OR($L220&gt;BE$4,BE$4&gt;$L220+23),"",OFFSET(Electric!$L211,0,-'Electric Calendarize'!$L220+'Electric Calendarize'!BE$4+1))</f>
        <v>387</v>
      </c>
      <c r="BF220">
        <f ca="1">IF(OR($L220&gt;BF$4,BF$4&gt;$L220+23),"",OFFSET(Electric!$L211,0,-'Electric Calendarize'!$L220+'Electric Calendarize'!BF$4+1))</f>
        <v>384</v>
      </c>
      <c r="BG220">
        <f ca="1">IF(OR($L220&gt;BG$4,BG$4&gt;$L220+23),"",OFFSET(Electric!$L211,0,-'Electric Calendarize'!$L220+'Electric Calendarize'!BG$4+1))</f>
        <v>0</v>
      </c>
      <c r="BJ220" s="10" t="s">
        <v>37</v>
      </c>
      <c r="BK220">
        <f t="shared" si="519"/>
        <v>1</v>
      </c>
      <c r="BL220">
        <f t="shared" si="425"/>
        <v>0</v>
      </c>
      <c r="BM220">
        <f t="shared" si="426"/>
        <v>0</v>
      </c>
      <c r="BN220">
        <f t="shared" si="427"/>
        <v>0</v>
      </c>
      <c r="BO220">
        <f t="shared" si="428"/>
        <v>0</v>
      </c>
      <c r="BP220">
        <f t="shared" si="429"/>
        <v>0</v>
      </c>
      <c r="BQ220">
        <f t="shared" si="430"/>
        <v>0</v>
      </c>
      <c r="BR220">
        <f t="shared" si="431"/>
        <v>1</v>
      </c>
      <c r="BS220">
        <f t="shared" si="432"/>
        <v>1</v>
      </c>
      <c r="BT220">
        <f t="shared" si="433"/>
        <v>1</v>
      </c>
      <c r="BU220">
        <f t="shared" si="434"/>
        <v>1</v>
      </c>
      <c r="BV220">
        <f t="shared" si="435"/>
        <v>1</v>
      </c>
      <c r="BW220">
        <f t="shared" si="436"/>
        <v>1</v>
      </c>
      <c r="BX220">
        <f t="shared" si="437"/>
        <v>0</v>
      </c>
      <c r="BY220">
        <f t="shared" si="438"/>
        <v>0</v>
      </c>
      <c r="BZ220">
        <f t="shared" si="439"/>
        <v>0</v>
      </c>
      <c r="CA220">
        <f t="shared" si="440"/>
        <v>0</v>
      </c>
      <c r="CB220">
        <f t="shared" si="441"/>
        <v>0</v>
      </c>
      <c r="CC220">
        <f t="shared" si="442"/>
        <v>0</v>
      </c>
      <c r="CD220">
        <f t="shared" si="443"/>
        <v>1</v>
      </c>
      <c r="CE220">
        <f t="shared" si="444"/>
        <v>1</v>
      </c>
      <c r="CF220">
        <f t="shared" si="445"/>
        <v>1</v>
      </c>
      <c r="CG220">
        <f t="shared" si="446"/>
        <v>1</v>
      </c>
      <c r="CH220">
        <f t="shared" si="447"/>
        <v>1</v>
      </c>
      <c r="CI220">
        <f t="shared" si="448"/>
        <v>1</v>
      </c>
      <c r="CJ220">
        <f t="shared" si="449"/>
        <v>0</v>
      </c>
      <c r="CK220">
        <f t="shared" si="450"/>
        <v>0</v>
      </c>
      <c r="CL220">
        <f t="shared" si="451"/>
        <v>0</v>
      </c>
      <c r="CM220">
        <f t="shared" si="452"/>
        <v>0</v>
      </c>
      <c r="CN220">
        <f t="shared" si="453"/>
        <v>0</v>
      </c>
      <c r="CO220">
        <f t="shared" si="454"/>
        <v>0</v>
      </c>
      <c r="CP220">
        <f t="shared" si="455"/>
        <v>1</v>
      </c>
      <c r="CQ220">
        <f t="shared" si="456"/>
        <v>1</v>
      </c>
      <c r="CR220">
        <f t="shared" si="457"/>
        <v>1</v>
      </c>
      <c r="CS220">
        <f t="shared" si="458"/>
        <v>1</v>
      </c>
      <c r="CT220">
        <f t="shared" si="459"/>
        <v>1</v>
      </c>
      <c r="CU220">
        <f t="shared" si="460"/>
        <v>1</v>
      </c>
      <c r="CV220">
        <f t="shared" si="461"/>
        <v>0</v>
      </c>
      <c r="CW220">
        <f t="shared" si="462"/>
        <v>0</v>
      </c>
      <c r="CX220">
        <f t="shared" si="463"/>
        <v>0</v>
      </c>
      <c r="CY220">
        <f t="shared" si="464"/>
        <v>0</v>
      </c>
      <c r="CZ220">
        <f t="shared" si="465"/>
        <v>0</v>
      </c>
      <c r="DA220">
        <f t="shared" si="466"/>
        <v>0</v>
      </c>
      <c r="DB220">
        <f t="shared" si="467"/>
        <v>1</v>
      </c>
      <c r="DC220">
        <f t="shared" si="468"/>
        <v>1</v>
      </c>
      <c r="DF220" s="10" t="s">
        <v>37</v>
      </c>
      <c r="DG220" t="str">
        <f t="shared" ref="DG220:DV235" si="524">$K220</f>
        <v>2023_2</v>
      </c>
      <c r="DH220" t="str">
        <f t="shared" si="524"/>
        <v>2023_2</v>
      </c>
      <c r="DI220" t="str">
        <f t="shared" si="524"/>
        <v>2023_2</v>
      </c>
      <c r="DJ220" t="str">
        <f t="shared" si="524"/>
        <v>2023_2</v>
      </c>
      <c r="DK220" t="str">
        <f t="shared" si="524"/>
        <v>2023_2</v>
      </c>
      <c r="DL220" t="str">
        <f t="shared" si="524"/>
        <v>2023_2</v>
      </c>
      <c r="DM220" t="str">
        <f t="shared" si="524"/>
        <v>2023_2</v>
      </c>
      <c r="DN220" t="str">
        <f t="shared" si="524"/>
        <v>2023_2</v>
      </c>
      <c r="DO220" t="str">
        <f t="shared" si="524"/>
        <v>2023_2</v>
      </c>
      <c r="DP220" t="str">
        <f t="shared" si="524"/>
        <v>2023_2</v>
      </c>
      <c r="DQ220" t="str">
        <f t="shared" si="524"/>
        <v>2023_2</v>
      </c>
      <c r="DR220" t="str">
        <f t="shared" si="524"/>
        <v>2023_2</v>
      </c>
      <c r="DS220" t="str">
        <f t="shared" si="524"/>
        <v>2023_2</v>
      </c>
      <c r="DT220" t="str">
        <f t="shared" si="524"/>
        <v>2023_2</v>
      </c>
      <c r="DU220" t="str">
        <f t="shared" si="524"/>
        <v>2023_2</v>
      </c>
      <c r="DV220" t="str">
        <f t="shared" si="524"/>
        <v>2023_2</v>
      </c>
      <c r="DW220" t="str">
        <f t="shared" si="523"/>
        <v>2023_2</v>
      </c>
      <c r="DX220" t="str">
        <f t="shared" si="523"/>
        <v>2023_2</v>
      </c>
      <c r="DY220" t="str">
        <f t="shared" si="523"/>
        <v>2023_2</v>
      </c>
      <c r="DZ220" t="str">
        <f t="shared" si="523"/>
        <v>2023_2</v>
      </c>
      <c r="EA220" t="str">
        <f t="shared" si="523"/>
        <v>2023_2</v>
      </c>
      <c r="EB220" t="str">
        <f t="shared" si="523"/>
        <v>2023_2</v>
      </c>
      <c r="EC220" t="str">
        <f t="shared" si="523"/>
        <v>2023_2</v>
      </c>
      <c r="ED220" t="str">
        <f t="shared" si="523"/>
        <v>2023_2</v>
      </c>
      <c r="EE220" t="str">
        <f t="shared" si="523"/>
        <v>2023_2</v>
      </c>
      <c r="EF220" t="str">
        <f t="shared" si="523"/>
        <v>2023_2</v>
      </c>
      <c r="EG220" t="str">
        <f t="shared" si="523"/>
        <v>2023_2</v>
      </c>
      <c r="EH220" t="str">
        <f t="shared" si="523"/>
        <v>2023_2</v>
      </c>
      <c r="EI220" t="str">
        <f t="shared" si="523"/>
        <v>2023_2</v>
      </c>
      <c r="EJ220" t="str">
        <f t="shared" si="523"/>
        <v>2023_2</v>
      </c>
      <c r="EK220" t="str">
        <f t="shared" si="522"/>
        <v>2023_2</v>
      </c>
      <c r="EL220" t="str">
        <f t="shared" si="522"/>
        <v>2023_2</v>
      </c>
      <c r="EM220" t="str">
        <f t="shared" si="522"/>
        <v>2023_2</v>
      </c>
      <c r="EN220" t="str">
        <f t="shared" si="522"/>
        <v>2023_2</v>
      </c>
      <c r="EO220" t="str">
        <f t="shared" si="522"/>
        <v>2023_2</v>
      </c>
      <c r="EP220" t="str">
        <f t="shared" si="522"/>
        <v>2023_2</v>
      </c>
      <c r="EQ220" t="str">
        <f t="shared" si="522"/>
        <v>2023_2</v>
      </c>
      <c r="ER220" t="str">
        <f t="shared" si="522"/>
        <v>2023_2</v>
      </c>
      <c r="ES220" t="str">
        <f t="shared" si="522"/>
        <v>2023_2</v>
      </c>
      <c r="ET220" t="str">
        <f t="shared" si="522"/>
        <v>2023_2</v>
      </c>
      <c r="EU220" t="str">
        <f t="shared" si="522"/>
        <v>2023_2</v>
      </c>
      <c r="EV220" t="str">
        <f t="shared" si="522"/>
        <v>2023_2</v>
      </c>
      <c r="EW220" t="str">
        <f t="shared" si="522"/>
        <v>2023_2</v>
      </c>
      <c r="EX220" t="str">
        <f t="shared" si="522"/>
        <v>2023_2</v>
      </c>
      <c r="EY220" t="str">
        <f t="shared" si="522"/>
        <v>2023_2</v>
      </c>
      <c r="FB220" s="10" t="s">
        <v>37</v>
      </c>
      <c r="FC220">
        <f t="shared" si="521"/>
        <v>0</v>
      </c>
      <c r="FD220">
        <f t="shared" si="471"/>
        <v>0</v>
      </c>
      <c r="FE220">
        <f t="shared" si="472"/>
        <v>0</v>
      </c>
      <c r="FF220">
        <f t="shared" si="473"/>
        <v>0</v>
      </c>
      <c r="FG220">
        <f t="shared" si="474"/>
        <v>0</v>
      </c>
      <c r="FH220">
        <f t="shared" si="475"/>
        <v>0</v>
      </c>
      <c r="FI220">
        <f t="shared" si="476"/>
        <v>0</v>
      </c>
      <c r="FJ220">
        <f t="shared" si="477"/>
        <v>0</v>
      </c>
      <c r="FK220">
        <f t="shared" si="478"/>
        <v>0</v>
      </c>
      <c r="FL220">
        <f t="shared" si="479"/>
        <v>0</v>
      </c>
      <c r="FM220">
        <f t="shared" si="480"/>
        <v>0</v>
      </c>
      <c r="FN220">
        <f t="shared" si="481"/>
        <v>0</v>
      </c>
      <c r="FO220">
        <f t="shared" si="482"/>
        <v>0</v>
      </c>
      <c r="FP220">
        <f t="shared" si="483"/>
        <v>0</v>
      </c>
      <c r="FQ220">
        <f t="shared" si="484"/>
        <v>0</v>
      </c>
      <c r="FR220">
        <f t="shared" si="485"/>
        <v>0</v>
      </c>
      <c r="FS220">
        <f t="shared" si="486"/>
        <v>0</v>
      </c>
      <c r="FT220">
        <f t="shared" si="487"/>
        <v>0</v>
      </c>
      <c r="FU220">
        <f t="shared" si="488"/>
        <v>0</v>
      </c>
      <c r="FV220">
        <f t="shared" si="489"/>
        <v>0</v>
      </c>
      <c r="FW220">
        <f t="shared" si="490"/>
        <v>0</v>
      </c>
      <c r="FX220">
        <f t="shared" si="491"/>
        <v>0</v>
      </c>
      <c r="FY220">
        <f t="shared" si="492"/>
        <v>0</v>
      </c>
      <c r="FZ220">
        <f t="shared" si="493"/>
        <v>0</v>
      </c>
      <c r="GA220">
        <f t="shared" si="494"/>
        <v>0</v>
      </c>
      <c r="GB220">
        <f t="shared" si="495"/>
        <v>0</v>
      </c>
      <c r="GC220">
        <f t="shared" si="496"/>
        <v>0</v>
      </c>
      <c r="GD220">
        <f t="shared" si="497"/>
        <v>0</v>
      </c>
      <c r="GE220">
        <f t="shared" si="498"/>
        <v>0</v>
      </c>
      <c r="GF220">
        <f t="shared" si="499"/>
        <v>0</v>
      </c>
      <c r="GG220">
        <f t="shared" si="500"/>
        <v>0</v>
      </c>
      <c r="GH220">
        <f t="shared" si="501"/>
        <v>0</v>
      </c>
      <c r="GI220">
        <f t="shared" si="502"/>
        <v>0</v>
      </c>
      <c r="GJ220">
        <f t="shared" si="503"/>
        <v>0</v>
      </c>
      <c r="GK220">
        <f t="shared" si="504"/>
        <v>1</v>
      </c>
      <c r="GL220">
        <f t="shared" si="505"/>
        <v>1</v>
      </c>
      <c r="GM220">
        <f t="shared" si="506"/>
        <v>1</v>
      </c>
      <c r="GN220">
        <f t="shared" si="507"/>
        <v>1</v>
      </c>
      <c r="GO220">
        <f t="shared" si="508"/>
        <v>1</v>
      </c>
      <c r="GP220">
        <f t="shared" si="509"/>
        <v>1</v>
      </c>
      <c r="GQ220">
        <f t="shared" si="510"/>
        <v>1</v>
      </c>
      <c r="GR220">
        <f t="shared" si="511"/>
        <v>1</v>
      </c>
      <c r="GS220">
        <f t="shared" si="512"/>
        <v>1</v>
      </c>
      <c r="GT220">
        <f t="shared" si="513"/>
        <v>1</v>
      </c>
      <c r="GU220">
        <f t="shared" si="514"/>
        <v>1</v>
      </c>
      <c r="GX220" s="10"/>
    </row>
    <row r="221" spans="1:206" x14ac:dyDescent="0.3">
      <c r="A221" s="9" t="s">
        <v>55</v>
      </c>
      <c r="B221" s="80"/>
      <c r="C221" s="9">
        <v>3021754002</v>
      </c>
      <c r="D221" s="9" t="s">
        <v>477</v>
      </c>
      <c r="E221" s="9" t="s">
        <v>34</v>
      </c>
      <c r="F221" s="9" t="s">
        <v>35</v>
      </c>
      <c r="G221" s="9" t="s">
        <v>241</v>
      </c>
      <c r="H221" s="10">
        <v>44984</v>
      </c>
      <c r="I221" s="9">
        <f t="shared" si="515"/>
        <v>2023</v>
      </c>
      <c r="J221" s="9">
        <f t="shared" si="516"/>
        <v>2</v>
      </c>
      <c r="K221" s="9" t="str">
        <f t="shared" si="517"/>
        <v>2023_2</v>
      </c>
      <c r="L221">
        <f>MAX(0,VLOOKUP($K221,lookups!$A$1:$B$45,2,0)-12)</f>
        <v>22</v>
      </c>
      <c r="M221" s="40">
        <f t="shared" si="518"/>
        <v>44958</v>
      </c>
      <c r="N221" s="10" t="s">
        <v>37</v>
      </c>
      <c r="O221" t="str">
        <f ca="1">IF(OR($L221&gt;O$4,O$4&gt;$L221+23),"",OFFSET(Electric!$L212,0,-'Electric Calendarize'!$L221+'Electric Calendarize'!O$4+1))</f>
        <v/>
      </c>
      <c r="P221" t="str">
        <f ca="1">IF(OR($L221&gt;P$4,P$4&gt;$L221+23),"",OFFSET(Electric!$L212,0,-'Electric Calendarize'!$L221+'Electric Calendarize'!P$4+1))</f>
        <v/>
      </c>
      <c r="Q221" t="str">
        <f ca="1">IF(OR($L221&gt;Q$4,Q$4&gt;$L221+23),"",OFFSET(Electric!$L212,0,-'Electric Calendarize'!$L221+'Electric Calendarize'!Q$4+1))</f>
        <v/>
      </c>
      <c r="R221" t="str">
        <f ca="1">IF(OR($L221&gt;R$4,R$4&gt;$L221+23),"",OFFSET(Electric!$L212,0,-'Electric Calendarize'!$L221+'Electric Calendarize'!R$4+1))</f>
        <v/>
      </c>
      <c r="S221" t="str">
        <f ca="1">IF(OR($L221&gt;S$4,S$4&gt;$L221+23),"",OFFSET(Electric!$L212,0,-'Electric Calendarize'!$L221+'Electric Calendarize'!S$4+1))</f>
        <v/>
      </c>
      <c r="T221" t="str">
        <f ca="1">IF(OR($L221&gt;T$4,T$4&gt;$L221+23),"",OFFSET(Electric!$L212,0,-'Electric Calendarize'!$L221+'Electric Calendarize'!T$4+1))</f>
        <v/>
      </c>
      <c r="U221" t="str">
        <f ca="1">IF(OR($L221&gt;U$4,U$4&gt;$L221+23),"",OFFSET(Electric!$L212,0,-'Electric Calendarize'!$L221+'Electric Calendarize'!U$4+1))</f>
        <v/>
      </c>
      <c r="V221" t="str">
        <f ca="1">IF(OR($L221&gt;V$4,V$4&gt;$L221+23),"",OFFSET(Electric!$L212,0,-'Electric Calendarize'!$L221+'Electric Calendarize'!V$4+1))</f>
        <v/>
      </c>
      <c r="W221" t="str">
        <f ca="1">IF(OR($L221&gt;W$4,W$4&gt;$L221+23),"",OFFSET(Electric!$L212,0,-'Electric Calendarize'!$L221+'Electric Calendarize'!W$4+1))</f>
        <v/>
      </c>
      <c r="X221" t="str">
        <f ca="1">IF(OR($L221&gt;X$4,X$4&gt;$L221+23),"",OFFSET(Electric!$L212,0,-'Electric Calendarize'!$L221+'Electric Calendarize'!X$4+1))</f>
        <v/>
      </c>
      <c r="Y221" t="str">
        <f ca="1">IF(OR($L221&gt;Y$4,Y$4&gt;$L221+23),"",OFFSET(Electric!$L212,0,-'Electric Calendarize'!$L221+'Electric Calendarize'!Y$4+1))</f>
        <v/>
      </c>
      <c r="Z221" t="str">
        <f ca="1">IF(OR($L221&gt;Z$4,Z$4&gt;$L221+23),"",OFFSET(Electric!$L212,0,-'Electric Calendarize'!$L221+'Electric Calendarize'!Z$4+1))</f>
        <v/>
      </c>
      <c r="AA221" t="str">
        <f ca="1">IF(OR($L221&gt;AA$4,AA$4&gt;$L221+23),"",OFFSET(Electric!$L212,0,-'Electric Calendarize'!$L221+'Electric Calendarize'!AA$4+1))</f>
        <v/>
      </c>
      <c r="AB221" t="str">
        <f ca="1">IF(OR($L221&gt;AB$4,AB$4&gt;$L221+23),"",OFFSET(Electric!$L212,0,-'Electric Calendarize'!$L221+'Electric Calendarize'!AB$4+1))</f>
        <v/>
      </c>
      <c r="AC221" t="str">
        <f ca="1">IF(OR($L221&gt;AC$4,AC$4&gt;$L221+23),"",OFFSET(Electric!$L212,0,-'Electric Calendarize'!$L221+'Electric Calendarize'!AC$4+1))</f>
        <v/>
      </c>
      <c r="AD221" t="str">
        <f ca="1">IF(OR($L221&gt;AD$4,AD$4&gt;$L221+23),"",OFFSET(Electric!$L212,0,-'Electric Calendarize'!$L221+'Electric Calendarize'!AD$4+1))</f>
        <v/>
      </c>
      <c r="AE221" t="str">
        <f ca="1">IF(OR($L221&gt;AE$4,AE$4&gt;$L221+23),"",OFFSET(Electric!$L212,0,-'Electric Calendarize'!$L221+'Electric Calendarize'!AE$4+1))</f>
        <v/>
      </c>
      <c r="AF221" t="str">
        <f ca="1">IF(OR($L221&gt;AF$4,AF$4&gt;$L221+23),"",OFFSET(Electric!$L212,0,-'Electric Calendarize'!$L221+'Electric Calendarize'!AF$4+1))</f>
        <v/>
      </c>
      <c r="AG221" t="str">
        <f ca="1">IF(OR($L221&gt;AG$4,AG$4&gt;$L221+23),"",OFFSET(Electric!$L212,0,-'Electric Calendarize'!$L221+'Electric Calendarize'!AG$4+1))</f>
        <v/>
      </c>
      <c r="AH221" t="str">
        <f ca="1">IF(OR($L221&gt;AH$4,AH$4&gt;$L221+23),"",OFFSET(Electric!$L212,0,-'Electric Calendarize'!$L221+'Electric Calendarize'!AH$4+1))</f>
        <v/>
      </c>
      <c r="AI221" t="str">
        <f ca="1">IF(OR($L221&gt;AI$4,AI$4&gt;$L221+23),"",OFFSET(Electric!$L212,0,-'Electric Calendarize'!$L221+'Electric Calendarize'!AI$4+1))</f>
        <v/>
      </c>
      <c r="AJ221" t="str">
        <f ca="1">IF(OR($L221&gt;AJ$4,AJ$4&gt;$L221+23),"",OFFSET(Electric!$L212,0,-'Electric Calendarize'!$L221+'Electric Calendarize'!AJ$4+1))</f>
        <v/>
      </c>
      <c r="AK221">
        <f ca="1">IF(OR($L221&gt;AK$4,AK$4&gt;$L221+23),"",OFFSET(Electric!$L212,0,-'Electric Calendarize'!$L221+'Electric Calendarize'!AK$4+1))</f>
        <v>1066</v>
      </c>
      <c r="AL221">
        <f ca="1">IF(OR($L221&gt;AL$4,AL$4&gt;$L221+23),"",OFFSET(Electric!$L212,0,-'Electric Calendarize'!$L221+'Electric Calendarize'!AL$4+1))</f>
        <v>788</v>
      </c>
      <c r="AM221">
        <f ca="1">IF(OR($L221&gt;AM$4,AM$4&gt;$L221+23),"",OFFSET(Electric!$L212,0,-'Electric Calendarize'!$L221+'Electric Calendarize'!AM$4+1))</f>
        <v>580</v>
      </c>
      <c r="AN221">
        <f ca="1">IF(OR($L221&gt;AN$4,AN$4&gt;$L221+23),"",OFFSET(Electric!$L212,0,-'Electric Calendarize'!$L221+'Electric Calendarize'!AN$4+1))</f>
        <v>594</v>
      </c>
      <c r="AO221">
        <f ca="1">IF(OR($L221&gt;AO$4,AO$4&gt;$L221+23),"",OFFSET(Electric!$L212,0,-'Electric Calendarize'!$L221+'Electric Calendarize'!AO$4+1))</f>
        <v>474</v>
      </c>
      <c r="AP221">
        <f ca="1">IF(OR($L221&gt;AP$4,AP$4&gt;$L221+23),"",OFFSET(Electric!$L212,0,-'Electric Calendarize'!$L221+'Electric Calendarize'!AP$4+1))</f>
        <v>1178</v>
      </c>
      <c r="AQ221">
        <f ca="1">IF(OR($L221&gt;AQ$4,AQ$4&gt;$L221+23),"",OFFSET(Electric!$L212,0,-'Electric Calendarize'!$L221+'Electric Calendarize'!AQ$4+1))</f>
        <v>1156</v>
      </c>
      <c r="AR221">
        <f ca="1">IF(OR($L221&gt;AR$4,AR$4&gt;$L221+23),"",OFFSET(Electric!$L212,0,-'Electric Calendarize'!$L221+'Electric Calendarize'!AR$4+1))</f>
        <v>886</v>
      </c>
      <c r="AS221">
        <f ca="1">IF(OR($L221&gt;AS$4,AS$4&gt;$L221+23),"",OFFSET(Electric!$L212,0,-'Electric Calendarize'!$L221+'Electric Calendarize'!AS$4+1))</f>
        <v>764</v>
      </c>
      <c r="AT221">
        <f ca="1">IF(OR($L221&gt;AT$4,AT$4&gt;$L221+23),"",OFFSET(Electric!$L212,0,-'Electric Calendarize'!$L221+'Electric Calendarize'!AT$4+1))</f>
        <v>802</v>
      </c>
      <c r="AU221">
        <f ca="1">IF(OR($L221&gt;AU$4,AU$4&gt;$L221+23),"",OFFSET(Electric!$L212,0,-'Electric Calendarize'!$L221+'Electric Calendarize'!AU$4+1))</f>
        <v>848</v>
      </c>
      <c r="AV221">
        <f ca="1">IF(OR($L221&gt;AV$4,AV$4&gt;$L221+23),"",OFFSET(Electric!$L212,0,-'Electric Calendarize'!$L221+'Electric Calendarize'!AV$4+1))</f>
        <v>874</v>
      </c>
      <c r="AW221">
        <f ca="1">IF(OR($L221&gt;AW$4,AW$4&gt;$L221+23),"",OFFSET(Electric!$L212,0,-'Electric Calendarize'!$L221+'Electric Calendarize'!AW$4+1))</f>
        <v>774</v>
      </c>
      <c r="AX221">
        <f ca="1">IF(OR($L221&gt;AX$4,AX$4&gt;$L221+23),"",OFFSET(Electric!$L212,0,-'Electric Calendarize'!$L221+'Electric Calendarize'!AX$4+1))</f>
        <v>750</v>
      </c>
      <c r="AY221">
        <f ca="1">IF(OR($L221&gt;AY$4,AY$4&gt;$L221+23),"",OFFSET(Electric!$L212,0,-'Electric Calendarize'!$L221+'Electric Calendarize'!AY$4+1))</f>
        <v>514</v>
      </c>
      <c r="AZ221">
        <f ca="1">IF(OR($L221&gt;AZ$4,AZ$4&gt;$L221+23),"",OFFSET(Electric!$L212,0,-'Electric Calendarize'!$L221+'Electric Calendarize'!AZ$4+1))</f>
        <v>472</v>
      </c>
      <c r="BA221">
        <f ca="1">IF(OR($L221&gt;BA$4,BA$4&gt;$L221+23),"",OFFSET(Electric!$L212,0,-'Electric Calendarize'!$L221+'Electric Calendarize'!BA$4+1))</f>
        <v>678</v>
      </c>
      <c r="BB221">
        <f ca="1">IF(OR($L221&gt;BB$4,BB$4&gt;$L221+23),"",OFFSET(Electric!$L212,0,-'Electric Calendarize'!$L221+'Electric Calendarize'!BB$4+1))</f>
        <v>1112</v>
      </c>
      <c r="BC221">
        <f ca="1">IF(OR($L221&gt;BC$4,BC$4&gt;$L221+23),"",OFFSET(Electric!$L212,0,-'Electric Calendarize'!$L221+'Electric Calendarize'!BC$4+1))</f>
        <v>844</v>
      </c>
      <c r="BD221">
        <f ca="1">IF(OR($L221&gt;BD$4,BD$4&gt;$L221+23),"",OFFSET(Electric!$L212,0,-'Electric Calendarize'!$L221+'Electric Calendarize'!BD$4+1))</f>
        <v>918</v>
      </c>
      <c r="BE221">
        <f ca="1">IF(OR($L221&gt;BE$4,BE$4&gt;$L221+23),"",OFFSET(Electric!$L212,0,-'Electric Calendarize'!$L221+'Electric Calendarize'!BE$4+1))</f>
        <v>804</v>
      </c>
      <c r="BF221">
        <f ca="1">IF(OR($L221&gt;BF$4,BF$4&gt;$L221+23),"",OFFSET(Electric!$L212,0,-'Electric Calendarize'!$L221+'Electric Calendarize'!BF$4+1))</f>
        <v>818</v>
      </c>
      <c r="BG221">
        <f ca="1">IF(OR($L221&gt;BG$4,BG$4&gt;$L221+23),"",OFFSET(Electric!$L212,0,-'Electric Calendarize'!$L221+'Electric Calendarize'!BG$4+1))</f>
        <v>0</v>
      </c>
      <c r="BJ221" s="10" t="s">
        <v>37</v>
      </c>
      <c r="BK221">
        <f t="shared" si="519"/>
        <v>1</v>
      </c>
      <c r="BL221">
        <f t="shared" si="425"/>
        <v>0</v>
      </c>
      <c r="BM221">
        <f t="shared" si="426"/>
        <v>0</v>
      </c>
      <c r="BN221">
        <f t="shared" si="427"/>
        <v>0</v>
      </c>
      <c r="BO221">
        <f t="shared" si="428"/>
        <v>0</v>
      </c>
      <c r="BP221">
        <f t="shared" si="429"/>
        <v>0</v>
      </c>
      <c r="BQ221">
        <f t="shared" si="430"/>
        <v>0</v>
      </c>
      <c r="BR221">
        <f t="shared" si="431"/>
        <v>1</v>
      </c>
      <c r="BS221">
        <f t="shared" si="432"/>
        <v>1</v>
      </c>
      <c r="BT221">
        <f t="shared" si="433"/>
        <v>1</v>
      </c>
      <c r="BU221">
        <f t="shared" si="434"/>
        <v>1</v>
      </c>
      <c r="BV221">
        <f t="shared" si="435"/>
        <v>1</v>
      </c>
      <c r="BW221">
        <f t="shared" si="436"/>
        <v>1</v>
      </c>
      <c r="BX221">
        <f t="shared" si="437"/>
        <v>0</v>
      </c>
      <c r="BY221">
        <f t="shared" si="438"/>
        <v>0</v>
      </c>
      <c r="BZ221">
        <f t="shared" si="439"/>
        <v>0</v>
      </c>
      <c r="CA221">
        <f t="shared" si="440"/>
        <v>0</v>
      </c>
      <c r="CB221">
        <f t="shared" si="441"/>
        <v>0</v>
      </c>
      <c r="CC221">
        <f t="shared" si="442"/>
        <v>0</v>
      </c>
      <c r="CD221">
        <f t="shared" si="443"/>
        <v>1</v>
      </c>
      <c r="CE221">
        <f t="shared" si="444"/>
        <v>1</v>
      </c>
      <c r="CF221">
        <f t="shared" si="445"/>
        <v>1</v>
      </c>
      <c r="CG221">
        <f t="shared" si="446"/>
        <v>1</v>
      </c>
      <c r="CH221">
        <f t="shared" si="447"/>
        <v>1</v>
      </c>
      <c r="CI221">
        <f t="shared" si="448"/>
        <v>1</v>
      </c>
      <c r="CJ221">
        <f t="shared" si="449"/>
        <v>0</v>
      </c>
      <c r="CK221">
        <f t="shared" si="450"/>
        <v>0</v>
      </c>
      <c r="CL221">
        <f t="shared" si="451"/>
        <v>0</v>
      </c>
      <c r="CM221">
        <f t="shared" si="452"/>
        <v>0</v>
      </c>
      <c r="CN221">
        <f t="shared" si="453"/>
        <v>0</v>
      </c>
      <c r="CO221">
        <f t="shared" si="454"/>
        <v>0</v>
      </c>
      <c r="CP221">
        <f t="shared" si="455"/>
        <v>1</v>
      </c>
      <c r="CQ221">
        <f t="shared" si="456"/>
        <v>1</v>
      </c>
      <c r="CR221">
        <f t="shared" si="457"/>
        <v>1</v>
      </c>
      <c r="CS221">
        <f t="shared" si="458"/>
        <v>1</v>
      </c>
      <c r="CT221">
        <f t="shared" si="459"/>
        <v>1</v>
      </c>
      <c r="CU221">
        <f t="shared" si="460"/>
        <v>1</v>
      </c>
      <c r="CV221">
        <f t="shared" si="461"/>
        <v>0</v>
      </c>
      <c r="CW221">
        <f t="shared" si="462"/>
        <v>0</v>
      </c>
      <c r="CX221">
        <f t="shared" si="463"/>
        <v>0</v>
      </c>
      <c r="CY221">
        <f t="shared" si="464"/>
        <v>0</v>
      </c>
      <c r="CZ221">
        <f t="shared" si="465"/>
        <v>0</v>
      </c>
      <c r="DA221">
        <f t="shared" si="466"/>
        <v>0</v>
      </c>
      <c r="DB221">
        <f t="shared" si="467"/>
        <v>1</v>
      </c>
      <c r="DC221">
        <f t="shared" si="468"/>
        <v>1</v>
      </c>
      <c r="DF221" s="10" t="s">
        <v>37</v>
      </c>
      <c r="DG221" t="str">
        <f t="shared" si="524"/>
        <v>2023_2</v>
      </c>
      <c r="DH221" t="str">
        <f t="shared" si="524"/>
        <v>2023_2</v>
      </c>
      <c r="DI221" t="str">
        <f t="shared" si="524"/>
        <v>2023_2</v>
      </c>
      <c r="DJ221" t="str">
        <f t="shared" si="524"/>
        <v>2023_2</v>
      </c>
      <c r="DK221" t="str">
        <f t="shared" si="524"/>
        <v>2023_2</v>
      </c>
      <c r="DL221" t="str">
        <f t="shared" si="524"/>
        <v>2023_2</v>
      </c>
      <c r="DM221" t="str">
        <f t="shared" si="524"/>
        <v>2023_2</v>
      </c>
      <c r="DN221" t="str">
        <f t="shared" si="524"/>
        <v>2023_2</v>
      </c>
      <c r="DO221" t="str">
        <f t="shared" si="524"/>
        <v>2023_2</v>
      </c>
      <c r="DP221" t="str">
        <f t="shared" si="524"/>
        <v>2023_2</v>
      </c>
      <c r="DQ221" t="str">
        <f t="shared" si="524"/>
        <v>2023_2</v>
      </c>
      <c r="DR221" t="str">
        <f t="shared" si="524"/>
        <v>2023_2</v>
      </c>
      <c r="DS221" t="str">
        <f t="shared" si="524"/>
        <v>2023_2</v>
      </c>
      <c r="DT221" t="str">
        <f t="shared" si="524"/>
        <v>2023_2</v>
      </c>
      <c r="DU221" t="str">
        <f t="shared" si="524"/>
        <v>2023_2</v>
      </c>
      <c r="DV221" t="str">
        <f t="shared" si="524"/>
        <v>2023_2</v>
      </c>
      <c r="DW221" t="str">
        <f t="shared" si="523"/>
        <v>2023_2</v>
      </c>
      <c r="DX221" t="str">
        <f t="shared" si="523"/>
        <v>2023_2</v>
      </c>
      <c r="DY221" t="str">
        <f t="shared" si="523"/>
        <v>2023_2</v>
      </c>
      <c r="DZ221" t="str">
        <f t="shared" si="523"/>
        <v>2023_2</v>
      </c>
      <c r="EA221" t="str">
        <f t="shared" si="523"/>
        <v>2023_2</v>
      </c>
      <c r="EB221" t="str">
        <f t="shared" si="523"/>
        <v>2023_2</v>
      </c>
      <c r="EC221" t="str">
        <f t="shared" si="523"/>
        <v>2023_2</v>
      </c>
      <c r="ED221" t="str">
        <f t="shared" si="523"/>
        <v>2023_2</v>
      </c>
      <c r="EE221" t="str">
        <f t="shared" si="523"/>
        <v>2023_2</v>
      </c>
      <c r="EF221" t="str">
        <f t="shared" si="523"/>
        <v>2023_2</v>
      </c>
      <c r="EG221" t="str">
        <f t="shared" si="523"/>
        <v>2023_2</v>
      </c>
      <c r="EH221" t="str">
        <f t="shared" si="523"/>
        <v>2023_2</v>
      </c>
      <c r="EI221" t="str">
        <f t="shared" si="523"/>
        <v>2023_2</v>
      </c>
      <c r="EJ221" t="str">
        <f t="shared" si="523"/>
        <v>2023_2</v>
      </c>
      <c r="EK221" t="str">
        <f t="shared" si="522"/>
        <v>2023_2</v>
      </c>
      <c r="EL221" t="str">
        <f t="shared" si="522"/>
        <v>2023_2</v>
      </c>
      <c r="EM221" t="str">
        <f t="shared" si="522"/>
        <v>2023_2</v>
      </c>
      <c r="EN221" t="str">
        <f t="shared" si="522"/>
        <v>2023_2</v>
      </c>
      <c r="EO221" t="str">
        <f t="shared" si="522"/>
        <v>2023_2</v>
      </c>
      <c r="EP221" t="str">
        <f t="shared" si="522"/>
        <v>2023_2</v>
      </c>
      <c r="EQ221" t="str">
        <f t="shared" si="522"/>
        <v>2023_2</v>
      </c>
      <c r="ER221" t="str">
        <f t="shared" si="522"/>
        <v>2023_2</v>
      </c>
      <c r="ES221" t="str">
        <f t="shared" si="522"/>
        <v>2023_2</v>
      </c>
      <c r="ET221" t="str">
        <f t="shared" si="522"/>
        <v>2023_2</v>
      </c>
      <c r="EU221" t="str">
        <f t="shared" si="522"/>
        <v>2023_2</v>
      </c>
      <c r="EV221" t="str">
        <f t="shared" si="522"/>
        <v>2023_2</v>
      </c>
      <c r="EW221" t="str">
        <f t="shared" si="522"/>
        <v>2023_2</v>
      </c>
      <c r="EX221" t="str">
        <f t="shared" si="522"/>
        <v>2023_2</v>
      </c>
      <c r="EY221" t="str">
        <f t="shared" si="522"/>
        <v>2023_2</v>
      </c>
      <c r="FB221" s="10" t="s">
        <v>37</v>
      </c>
      <c r="FC221">
        <f t="shared" si="521"/>
        <v>0</v>
      </c>
      <c r="FD221">
        <f t="shared" si="471"/>
        <v>0</v>
      </c>
      <c r="FE221">
        <f t="shared" si="472"/>
        <v>0</v>
      </c>
      <c r="FF221">
        <f t="shared" si="473"/>
        <v>0</v>
      </c>
      <c r="FG221">
        <f t="shared" si="474"/>
        <v>0</v>
      </c>
      <c r="FH221">
        <f t="shared" si="475"/>
        <v>0</v>
      </c>
      <c r="FI221">
        <f t="shared" si="476"/>
        <v>0</v>
      </c>
      <c r="FJ221">
        <f t="shared" si="477"/>
        <v>0</v>
      </c>
      <c r="FK221">
        <f t="shared" si="478"/>
        <v>0</v>
      </c>
      <c r="FL221">
        <f t="shared" si="479"/>
        <v>0</v>
      </c>
      <c r="FM221">
        <f t="shared" si="480"/>
        <v>0</v>
      </c>
      <c r="FN221">
        <f t="shared" si="481"/>
        <v>0</v>
      </c>
      <c r="FO221">
        <f t="shared" si="482"/>
        <v>0</v>
      </c>
      <c r="FP221">
        <f t="shared" si="483"/>
        <v>0</v>
      </c>
      <c r="FQ221">
        <f t="shared" si="484"/>
        <v>0</v>
      </c>
      <c r="FR221">
        <f t="shared" si="485"/>
        <v>0</v>
      </c>
      <c r="FS221">
        <f t="shared" si="486"/>
        <v>0</v>
      </c>
      <c r="FT221">
        <f t="shared" si="487"/>
        <v>0</v>
      </c>
      <c r="FU221">
        <f t="shared" si="488"/>
        <v>0</v>
      </c>
      <c r="FV221">
        <f t="shared" si="489"/>
        <v>0</v>
      </c>
      <c r="FW221">
        <f t="shared" si="490"/>
        <v>0</v>
      </c>
      <c r="FX221">
        <f t="shared" si="491"/>
        <v>0</v>
      </c>
      <c r="FY221">
        <f t="shared" si="492"/>
        <v>0</v>
      </c>
      <c r="FZ221">
        <f t="shared" si="493"/>
        <v>0</v>
      </c>
      <c r="GA221">
        <f t="shared" si="494"/>
        <v>0</v>
      </c>
      <c r="GB221">
        <f t="shared" si="495"/>
        <v>0</v>
      </c>
      <c r="GC221">
        <f t="shared" si="496"/>
        <v>0</v>
      </c>
      <c r="GD221">
        <f t="shared" si="497"/>
        <v>0</v>
      </c>
      <c r="GE221">
        <f t="shared" si="498"/>
        <v>0</v>
      </c>
      <c r="GF221">
        <f t="shared" si="499"/>
        <v>0</v>
      </c>
      <c r="GG221">
        <f t="shared" si="500"/>
        <v>0</v>
      </c>
      <c r="GH221">
        <f t="shared" si="501"/>
        <v>0</v>
      </c>
      <c r="GI221">
        <f t="shared" si="502"/>
        <v>0</v>
      </c>
      <c r="GJ221">
        <f t="shared" si="503"/>
        <v>0</v>
      </c>
      <c r="GK221">
        <f t="shared" si="504"/>
        <v>1</v>
      </c>
      <c r="GL221">
        <f t="shared" si="505"/>
        <v>1</v>
      </c>
      <c r="GM221">
        <f t="shared" si="506"/>
        <v>1</v>
      </c>
      <c r="GN221">
        <f t="shared" si="507"/>
        <v>1</v>
      </c>
      <c r="GO221">
        <f t="shared" si="508"/>
        <v>1</v>
      </c>
      <c r="GP221">
        <f t="shared" si="509"/>
        <v>1</v>
      </c>
      <c r="GQ221">
        <f t="shared" si="510"/>
        <v>1</v>
      </c>
      <c r="GR221">
        <f t="shared" si="511"/>
        <v>1</v>
      </c>
      <c r="GS221">
        <f t="shared" si="512"/>
        <v>1</v>
      </c>
      <c r="GT221">
        <f t="shared" si="513"/>
        <v>1</v>
      </c>
      <c r="GU221">
        <f t="shared" si="514"/>
        <v>1</v>
      </c>
      <c r="GX221" s="10"/>
    </row>
    <row r="222" spans="1:206" x14ac:dyDescent="0.3">
      <c r="A222" s="9" t="s">
        <v>124</v>
      </c>
      <c r="B222" s="80"/>
      <c r="C222" s="9">
        <v>3062712005</v>
      </c>
      <c r="D222" s="9" t="s">
        <v>490</v>
      </c>
      <c r="E222" s="9" t="s">
        <v>34</v>
      </c>
      <c r="F222" s="9" t="s">
        <v>35</v>
      </c>
      <c r="G222" s="9" t="s">
        <v>242</v>
      </c>
      <c r="H222" s="10">
        <v>44984</v>
      </c>
      <c r="I222" s="9">
        <f t="shared" si="515"/>
        <v>2023</v>
      </c>
      <c r="J222" s="9">
        <f t="shared" si="516"/>
        <v>2</v>
      </c>
      <c r="K222" s="9" t="str">
        <f t="shared" si="517"/>
        <v>2023_2</v>
      </c>
      <c r="L222">
        <f>MAX(0,VLOOKUP($K222,lookups!$A$1:$B$45,2,0)-12)</f>
        <v>22</v>
      </c>
      <c r="M222" s="40">
        <f t="shared" si="518"/>
        <v>44958</v>
      </c>
      <c r="N222" s="10" t="s">
        <v>37</v>
      </c>
      <c r="O222" t="str">
        <f ca="1">IF(OR($L222&gt;O$4,O$4&gt;$L222+23),"",OFFSET(Electric!$L213,0,-'Electric Calendarize'!$L222+'Electric Calendarize'!O$4+1))</f>
        <v/>
      </c>
      <c r="P222" t="str">
        <f ca="1">IF(OR($L222&gt;P$4,P$4&gt;$L222+23),"",OFFSET(Electric!$L213,0,-'Electric Calendarize'!$L222+'Electric Calendarize'!P$4+1))</f>
        <v/>
      </c>
      <c r="Q222" t="str">
        <f ca="1">IF(OR($L222&gt;Q$4,Q$4&gt;$L222+23),"",OFFSET(Electric!$L213,0,-'Electric Calendarize'!$L222+'Electric Calendarize'!Q$4+1))</f>
        <v/>
      </c>
      <c r="R222" t="str">
        <f ca="1">IF(OR($L222&gt;R$4,R$4&gt;$L222+23),"",OFFSET(Electric!$L213,0,-'Electric Calendarize'!$L222+'Electric Calendarize'!R$4+1))</f>
        <v/>
      </c>
      <c r="S222" t="str">
        <f ca="1">IF(OR($L222&gt;S$4,S$4&gt;$L222+23),"",OFFSET(Electric!$L213,0,-'Electric Calendarize'!$L222+'Electric Calendarize'!S$4+1))</f>
        <v/>
      </c>
      <c r="T222" t="str">
        <f ca="1">IF(OR($L222&gt;T$4,T$4&gt;$L222+23),"",OFFSET(Electric!$L213,0,-'Electric Calendarize'!$L222+'Electric Calendarize'!T$4+1))</f>
        <v/>
      </c>
      <c r="U222" t="str">
        <f ca="1">IF(OR($L222&gt;U$4,U$4&gt;$L222+23),"",OFFSET(Electric!$L213,0,-'Electric Calendarize'!$L222+'Electric Calendarize'!U$4+1))</f>
        <v/>
      </c>
      <c r="V222" t="str">
        <f ca="1">IF(OR($L222&gt;V$4,V$4&gt;$L222+23),"",OFFSET(Electric!$L213,0,-'Electric Calendarize'!$L222+'Electric Calendarize'!V$4+1))</f>
        <v/>
      </c>
      <c r="W222" t="str">
        <f ca="1">IF(OR($L222&gt;W$4,W$4&gt;$L222+23),"",OFFSET(Electric!$L213,0,-'Electric Calendarize'!$L222+'Electric Calendarize'!W$4+1))</f>
        <v/>
      </c>
      <c r="X222" t="str">
        <f ca="1">IF(OR($L222&gt;X$4,X$4&gt;$L222+23),"",OFFSET(Electric!$L213,0,-'Electric Calendarize'!$L222+'Electric Calendarize'!X$4+1))</f>
        <v/>
      </c>
      <c r="Y222" t="str">
        <f ca="1">IF(OR($L222&gt;Y$4,Y$4&gt;$L222+23),"",OFFSET(Electric!$L213,0,-'Electric Calendarize'!$L222+'Electric Calendarize'!Y$4+1))</f>
        <v/>
      </c>
      <c r="Z222" t="str">
        <f ca="1">IF(OR($L222&gt;Z$4,Z$4&gt;$L222+23),"",OFFSET(Electric!$L213,0,-'Electric Calendarize'!$L222+'Electric Calendarize'!Z$4+1))</f>
        <v/>
      </c>
      <c r="AA222" t="str">
        <f ca="1">IF(OR($L222&gt;AA$4,AA$4&gt;$L222+23),"",OFFSET(Electric!$L213,0,-'Electric Calendarize'!$L222+'Electric Calendarize'!AA$4+1))</f>
        <v/>
      </c>
      <c r="AB222" t="str">
        <f ca="1">IF(OR($L222&gt;AB$4,AB$4&gt;$L222+23),"",OFFSET(Electric!$L213,0,-'Electric Calendarize'!$L222+'Electric Calendarize'!AB$4+1))</f>
        <v/>
      </c>
      <c r="AC222" t="str">
        <f ca="1">IF(OR($L222&gt;AC$4,AC$4&gt;$L222+23),"",OFFSET(Electric!$L213,0,-'Electric Calendarize'!$L222+'Electric Calendarize'!AC$4+1))</f>
        <v/>
      </c>
      <c r="AD222" t="str">
        <f ca="1">IF(OR($L222&gt;AD$4,AD$4&gt;$L222+23),"",OFFSET(Electric!$L213,0,-'Electric Calendarize'!$L222+'Electric Calendarize'!AD$4+1))</f>
        <v/>
      </c>
      <c r="AE222" t="str">
        <f ca="1">IF(OR($L222&gt;AE$4,AE$4&gt;$L222+23),"",OFFSET(Electric!$L213,0,-'Electric Calendarize'!$L222+'Electric Calendarize'!AE$4+1))</f>
        <v/>
      </c>
      <c r="AF222" t="str">
        <f ca="1">IF(OR($L222&gt;AF$4,AF$4&gt;$L222+23),"",OFFSET(Electric!$L213,0,-'Electric Calendarize'!$L222+'Electric Calendarize'!AF$4+1))</f>
        <v/>
      </c>
      <c r="AG222" t="str">
        <f ca="1">IF(OR($L222&gt;AG$4,AG$4&gt;$L222+23),"",OFFSET(Electric!$L213,0,-'Electric Calendarize'!$L222+'Electric Calendarize'!AG$4+1))</f>
        <v/>
      </c>
      <c r="AH222" t="str">
        <f ca="1">IF(OR($L222&gt;AH$4,AH$4&gt;$L222+23),"",OFFSET(Electric!$L213,0,-'Electric Calendarize'!$L222+'Electric Calendarize'!AH$4+1))</f>
        <v/>
      </c>
      <c r="AI222" t="str">
        <f ca="1">IF(OR($L222&gt;AI$4,AI$4&gt;$L222+23),"",OFFSET(Electric!$L213,0,-'Electric Calendarize'!$L222+'Electric Calendarize'!AI$4+1))</f>
        <v/>
      </c>
      <c r="AJ222" t="str">
        <f ca="1">IF(OR($L222&gt;AJ$4,AJ$4&gt;$L222+23),"",OFFSET(Electric!$L213,0,-'Electric Calendarize'!$L222+'Electric Calendarize'!AJ$4+1))</f>
        <v/>
      </c>
      <c r="AK222">
        <f ca="1">IF(OR($L222&gt;AK$4,AK$4&gt;$L222+23),"",OFFSET(Electric!$L213,0,-'Electric Calendarize'!$L222+'Electric Calendarize'!AK$4+1))</f>
        <v>963</v>
      </c>
      <c r="AL222">
        <f ca="1">IF(OR($L222&gt;AL$4,AL$4&gt;$L222+23),"",OFFSET(Electric!$L213,0,-'Electric Calendarize'!$L222+'Electric Calendarize'!AL$4+1))</f>
        <v>1008</v>
      </c>
      <c r="AM222">
        <f ca="1">IF(OR($L222&gt;AM$4,AM$4&gt;$L222+23),"",OFFSET(Electric!$L213,0,-'Electric Calendarize'!$L222+'Electric Calendarize'!AM$4+1))</f>
        <v>801</v>
      </c>
      <c r="AN222">
        <f ca="1">IF(OR($L222&gt;AN$4,AN$4&gt;$L222+23),"",OFFSET(Electric!$L213,0,-'Electric Calendarize'!$L222+'Electric Calendarize'!AN$4+1))</f>
        <v>693</v>
      </c>
      <c r="AO222">
        <f ca="1">IF(OR($L222&gt;AO$4,AO$4&gt;$L222+23),"",OFFSET(Electric!$L213,0,-'Electric Calendarize'!$L222+'Electric Calendarize'!AO$4+1))</f>
        <v>243</v>
      </c>
      <c r="AP222">
        <f ca="1">IF(OR($L222&gt;AP$4,AP$4&gt;$L222+23),"",OFFSET(Electric!$L213,0,-'Electric Calendarize'!$L222+'Electric Calendarize'!AP$4+1))</f>
        <v>291</v>
      </c>
      <c r="AQ222">
        <f ca="1">IF(OR($L222&gt;AQ$4,AQ$4&gt;$L222+23),"",OFFSET(Electric!$L213,0,-'Electric Calendarize'!$L222+'Electric Calendarize'!AQ$4+1))</f>
        <v>353</v>
      </c>
      <c r="AR222">
        <f ca="1">IF(OR($L222&gt;AR$4,AR$4&gt;$L222+23),"",OFFSET(Electric!$L213,0,-'Electric Calendarize'!$L222+'Electric Calendarize'!AR$4+1))</f>
        <v>150</v>
      </c>
      <c r="AS222">
        <f ca="1">IF(OR($L222&gt;AS$4,AS$4&gt;$L222+23),"",OFFSET(Electric!$L213,0,-'Electric Calendarize'!$L222+'Electric Calendarize'!AS$4+1))</f>
        <v>178</v>
      </c>
      <c r="AT222">
        <f ca="1">IF(OR($L222&gt;AT$4,AT$4&gt;$L222+23),"",OFFSET(Electric!$L213,0,-'Electric Calendarize'!$L222+'Electric Calendarize'!AT$4+1))</f>
        <v>150</v>
      </c>
      <c r="AU222">
        <f ca="1">IF(OR($L222&gt;AU$4,AU$4&gt;$L222+23),"",OFFSET(Electric!$L213,0,-'Electric Calendarize'!$L222+'Electric Calendarize'!AU$4+1))</f>
        <v>403</v>
      </c>
      <c r="AV222">
        <f ca="1">IF(OR($L222&gt;AV$4,AV$4&gt;$L222+23),"",OFFSET(Electric!$L213,0,-'Electric Calendarize'!$L222+'Electric Calendarize'!AV$4+1))</f>
        <v>742</v>
      </c>
      <c r="AW222">
        <f ca="1">IF(OR($L222&gt;AW$4,AW$4&gt;$L222+23),"",OFFSET(Electric!$L213,0,-'Electric Calendarize'!$L222+'Electric Calendarize'!AW$4+1))</f>
        <v>0</v>
      </c>
      <c r="AX222">
        <f ca="1">IF(OR($L222&gt;AX$4,AX$4&gt;$L222+23),"",OFFSET(Electric!$L213,0,-'Electric Calendarize'!$L222+'Electric Calendarize'!AX$4+1))</f>
        <v>0</v>
      </c>
      <c r="AY222">
        <f ca="1">IF(OR($L222&gt;AY$4,AY$4&gt;$L222+23),"",OFFSET(Electric!$L213,0,-'Electric Calendarize'!$L222+'Electric Calendarize'!AY$4+1))</f>
        <v>0</v>
      </c>
      <c r="AZ222">
        <f ca="1">IF(OR($L222&gt;AZ$4,AZ$4&gt;$L222+23),"",OFFSET(Electric!$L213,0,-'Electric Calendarize'!$L222+'Electric Calendarize'!AZ$4+1))</f>
        <v>0</v>
      </c>
      <c r="BA222">
        <f ca="1">IF(OR($L222&gt;BA$4,BA$4&gt;$L222+23),"",OFFSET(Electric!$L213,0,-'Electric Calendarize'!$L222+'Electric Calendarize'!BA$4+1))</f>
        <v>0</v>
      </c>
      <c r="BB222">
        <f ca="1">IF(OR($L222&gt;BB$4,BB$4&gt;$L222+23),"",OFFSET(Electric!$L213,0,-'Electric Calendarize'!$L222+'Electric Calendarize'!BB$4+1))</f>
        <v>0</v>
      </c>
      <c r="BC222">
        <f ca="1">IF(OR($L222&gt;BC$4,BC$4&gt;$L222+23),"",OFFSET(Electric!$L213,0,-'Electric Calendarize'!$L222+'Electric Calendarize'!BC$4+1))</f>
        <v>0</v>
      </c>
      <c r="BD222">
        <f ca="1">IF(OR($L222&gt;BD$4,BD$4&gt;$L222+23),"",OFFSET(Electric!$L213,0,-'Electric Calendarize'!$L222+'Electric Calendarize'!BD$4+1))</f>
        <v>0</v>
      </c>
      <c r="BE222">
        <f ca="1">IF(OR($L222&gt;BE$4,BE$4&gt;$L222+23),"",OFFSET(Electric!$L213,0,-'Electric Calendarize'!$L222+'Electric Calendarize'!BE$4+1))</f>
        <v>0</v>
      </c>
      <c r="BF222">
        <f ca="1">IF(OR($L222&gt;BF$4,BF$4&gt;$L222+23),"",OFFSET(Electric!$L213,0,-'Electric Calendarize'!$L222+'Electric Calendarize'!BF$4+1))</f>
        <v>0</v>
      </c>
      <c r="BG222">
        <f ca="1">IF(OR($L222&gt;BG$4,BG$4&gt;$L222+23),"",OFFSET(Electric!$L213,0,-'Electric Calendarize'!$L222+'Electric Calendarize'!BG$4+1))</f>
        <v>0</v>
      </c>
      <c r="BJ222" s="10" t="s">
        <v>37</v>
      </c>
      <c r="BK222">
        <f t="shared" si="519"/>
        <v>1</v>
      </c>
      <c r="BL222">
        <f t="shared" si="425"/>
        <v>0</v>
      </c>
      <c r="BM222">
        <f t="shared" si="426"/>
        <v>0</v>
      </c>
      <c r="BN222">
        <f t="shared" si="427"/>
        <v>0</v>
      </c>
      <c r="BO222">
        <f t="shared" si="428"/>
        <v>0</v>
      </c>
      <c r="BP222">
        <f t="shared" si="429"/>
        <v>0</v>
      </c>
      <c r="BQ222">
        <f t="shared" si="430"/>
        <v>0</v>
      </c>
      <c r="BR222">
        <f t="shared" si="431"/>
        <v>1</v>
      </c>
      <c r="BS222">
        <f t="shared" si="432"/>
        <v>1</v>
      </c>
      <c r="BT222">
        <f t="shared" si="433"/>
        <v>1</v>
      </c>
      <c r="BU222">
        <f t="shared" si="434"/>
        <v>1</v>
      </c>
      <c r="BV222">
        <f t="shared" si="435"/>
        <v>1</v>
      </c>
      <c r="BW222">
        <f t="shared" si="436"/>
        <v>1</v>
      </c>
      <c r="BX222">
        <f t="shared" si="437"/>
        <v>0</v>
      </c>
      <c r="BY222">
        <f t="shared" si="438"/>
        <v>0</v>
      </c>
      <c r="BZ222">
        <f t="shared" si="439"/>
        <v>0</v>
      </c>
      <c r="CA222">
        <f t="shared" si="440"/>
        <v>0</v>
      </c>
      <c r="CB222">
        <f t="shared" si="441"/>
        <v>0</v>
      </c>
      <c r="CC222">
        <f t="shared" si="442"/>
        <v>0</v>
      </c>
      <c r="CD222">
        <f t="shared" si="443"/>
        <v>1</v>
      </c>
      <c r="CE222">
        <f t="shared" si="444"/>
        <v>1</v>
      </c>
      <c r="CF222">
        <f t="shared" si="445"/>
        <v>1</v>
      </c>
      <c r="CG222">
        <f t="shared" si="446"/>
        <v>1</v>
      </c>
      <c r="CH222">
        <f t="shared" si="447"/>
        <v>1</v>
      </c>
      <c r="CI222">
        <f t="shared" si="448"/>
        <v>1</v>
      </c>
      <c r="CJ222">
        <f t="shared" si="449"/>
        <v>0</v>
      </c>
      <c r="CK222">
        <f t="shared" si="450"/>
        <v>0</v>
      </c>
      <c r="CL222">
        <f t="shared" si="451"/>
        <v>0</v>
      </c>
      <c r="CM222">
        <f t="shared" si="452"/>
        <v>0</v>
      </c>
      <c r="CN222">
        <f t="shared" si="453"/>
        <v>0</v>
      </c>
      <c r="CO222">
        <f t="shared" si="454"/>
        <v>0</v>
      </c>
      <c r="CP222">
        <f t="shared" si="455"/>
        <v>1</v>
      </c>
      <c r="CQ222">
        <f t="shared" si="456"/>
        <v>1</v>
      </c>
      <c r="CR222">
        <f t="shared" si="457"/>
        <v>1</v>
      </c>
      <c r="CS222">
        <f t="shared" si="458"/>
        <v>1</v>
      </c>
      <c r="CT222">
        <f t="shared" si="459"/>
        <v>1</v>
      </c>
      <c r="CU222">
        <f t="shared" si="460"/>
        <v>1</v>
      </c>
      <c r="CV222">
        <f t="shared" si="461"/>
        <v>0</v>
      </c>
      <c r="CW222">
        <f t="shared" si="462"/>
        <v>0</v>
      </c>
      <c r="CX222">
        <f t="shared" si="463"/>
        <v>0</v>
      </c>
      <c r="CY222">
        <f t="shared" si="464"/>
        <v>0</v>
      </c>
      <c r="CZ222">
        <f t="shared" si="465"/>
        <v>0</v>
      </c>
      <c r="DA222">
        <f t="shared" si="466"/>
        <v>0</v>
      </c>
      <c r="DB222">
        <f t="shared" si="467"/>
        <v>1</v>
      </c>
      <c r="DC222">
        <f t="shared" si="468"/>
        <v>1</v>
      </c>
      <c r="DF222" s="10" t="s">
        <v>37</v>
      </c>
      <c r="DG222" t="str">
        <f t="shared" si="524"/>
        <v>2023_2</v>
      </c>
      <c r="DH222" t="str">
        <f t="shared" si="524"/>
        <v>2023_2</v>
      </c>
      <c r="DI222" t="str">
        <f t="shared" si="524"/>
        <v>2023_2</v>
      </c>
      <c r="DJ222" t="str">
        <f t="shared" si="524"/>
        <v>2023_2</v>
      </c>
      <c r="DK222" t="str">
        <f t="shared" si="524"/>
        <v>2023_2</v>
      </c>
      <c r="DL222" t="str">
        <f t="shared" si="524"/>
        <v>2023_2</v>
      </c>
      <c r="DM222" t="str">
        <f t="shared" si="524"/>
        <v>2023_2</v>
      </c>
      <c r="DN222" t="str">
        <f t="shared" si="524"/>
        <v>2023_2</v>
      </c>
      <c r="DO222" t="str">
        <f t="shared" si="524"/>
        <v>2023_2</v>
      </c>
      <c r="DP222" t="str">
        <f t="shared" si="524"/>
        <v>2023_2</v>
      </c>
      <c r="DQ222" t="str">
        <f t="shared" si="524"/>
        <v>2023_2</v>
      </c>
      <c r="DR222" t="str">
        <f t="shared" si="524"/>
        <v>2023_2</v>
      </c>
      <c r="DS222" t="str">
        <f t="shared" si="524"/>
        <v>2023_2</v>
      </c>
      <c r="DT222" t="str">
        <f t="shared" si="524"/>
        <v>2023_2</v>
      </c>
      <c r="DU222" t="str">
        <f t="shared" si="524"/>
        <v>2023_2</v>
      </c>
      <c r="DV222" t="str">
        <f t="shared" si="524"/>
        <v>2023_2</v>
      </c>
      <c r="DW222" t="str">
        <f t="shared" si="523"/>
        <v>2023_2</v>
      </c>
      <c r="DX222" t="str">
        <f t="shared" si="523"/>
        <v>2023_2</v>
      </c>
      <c r="DY222" t="str">
        <f t="shared" si="523"/>
        <v>2023_2</v>
      </c>
      <c r="DZ222" t="str">
        <f t="shared" si="523"/>
        <v>2023_2</v>
      </c>
      <c r="EA222" t="str">
        <f t="shared" si="523"/>
        <v>2023_2</v>
      </c>
      <c r="EB222" t="str">
        <f t="shared" si="523"/>
        <v>2023_2</v>
      </c>
      <c r="EC222" t="str">
        <f t="shared" si="523"/>
        <v>2023_2</v>
      </c>
      <c r="ED222" t="str">
        <f t="shared" si="523"/>
        <v>2023_2</v>
      </c>
      <c r="EE222" t="str">
        <f t="shared" si="523"/>
        <v>2023_2</v>
      </c>
      <c r="EF222" t="str">
        <f t="shared" si="523"/>
        <v>2023_2</v>
      </c>
      <c r="EG222" t="str">
        <f t="shared" si="523"/>
        <v>2023_2</v>
      </c>
      <c r="EH222" t="str">
        <f t="shared" si="523"/>
        <v>2023_2</v>
      </c>
      <c r="EI222" t="str">
        <f t="shared" si="523"/>
        <v>2023_2</v>
      </c>
      <c r="EJ222" t="str">
        <f t="shared" si="523"/>
        <v>2023_2</v>
      </c>
      <c r="EK222" t="str">
        <f t="shared" si="522"/>
        <v>2023_2</v>
      </c>
      <c r="EL222" t="str">
        <f t="shared" si="522"/>
        <v>2023_2</v>
      </c>
      <c r="EM222" t="str">
        <f t="shared" si="522"/>
        <v>2023_2</v>
      </c>
      <c r="EN222" t="str">
        <f t="shared" si="522"/>
        <v>2023_2</v>
      </c>
      <c r="EO222" t="str">
        <f t="shared" si="522"/>
        <v>2023_2</v>
      </c>
      <c r="EP222" t="str">
        <f t="shared" si="522"/>
        <v>2023_2</v>
      </c>
      <c r="EQ222" t="str">
        <f t="shared" si="522"/>
        <v>2023_2</v>
      </c>
      <c r="ER222" t="str">
        <f t="shared" si="522"/>
        <v>2023_2</v>
      </c>
      <c r="ES222" t="str">
        <f t="shared" si="522"/>
        <v>2023_2</v>
      </c>
      <c r="ET222" t="str">
        <f t="shared" si="522"/>
        <v>2023_2</v>
      </c>
      <c r="EU222" t="str">
        <f t="shared" si="522"/>
        <v>2023_2</v>
      </c>
      <c r="EV222" t="str">
        <f t="shared" si="522"/>
        <v>2023_2</v>
      </c>
      <c r="EW222" t="str">
        <f t="shared" si="522"/>
        <v>2023_2</v>
      </c>
      <c r="EX222" t="str">
        <f t="shared" si="522"/>
        <v>2023_2</v>
      </c>
      <c r="EY222" t="str">
        <f t="shared" si="522"/>
        <v>2023_2</v>
      </c>
      <c r="FB222" s="10" t="s">
        <v>37</v>
      </c>
      <c r="FC222">
        <f t="shared" si="521"/>
        <v>0</v>
      </c>
      <c r="FD222">
        <f t="shared" si="471"/>
        <v>0</v>
      </c>
      <c r="FE222">
        <f t="shared" si="472"/>
        <v>0</v>
      </c>
      <c r="FF222">
        <f t="shared" si="473"/>
        <v>0</v>
      </c>
      <c r="FG222">
        <f t="shared" si="474"/>
        <v>0</v>
      </c>
      <c r="FH222">
        <f t="shared" si="475"/>
        <v>0</v>
      </c>
      <c r="FI222">
        <f t="shared" si="476"/>
        <v>0</v>
      </c>
      <c r="FJ222">
        <f t="shared" si="477"/>
        <v>0</v>
      </c>
      <c r="FK222">
        <f t="shared" si="478"/>
        <v>0</v>
      </c>
      <c r="FL222">
        <f t="shared" si="479"/>
        <v>0</v>
      </c>
      <c r="FM222">
        <f t="shared" si="480"/>
        <v>0</v>
      </c>
      <c r="FN222">
        <f t="shared" si="481"/>
        <v>0</v>
      </c>
      <c r="FO222">
        <f t="shared" si="482"/>
        <v>0</v>
      </c>
      <c r="FP222">
        <f t="shared" si="483"/>
        <v>0</v>
      </c>
      <c r="FQ222">
        <f t="shared" si="484"/>
        <v>0</v>
      </c>
      <c r="FR222">
        <f t="shared" si="485"/>
        <v>0</v>
      </c>
      <c r="FS222">
        <f t="shared" si="486"/>
        <v>0</v>
      </c>
      <c r="FT222">
        <f t="shared" si="487"/>
        <v>0</v>
      </c>
      <c r="FU222">
        <f t="shared" si="488"/>
        <v>0</v>
      </c>
      <c r="FV222">
        <f t="shared" si="489"/>
        <v>0</v>
      </c>
      <c r="FW222">
        <f t="shared" si="490"/>
        <v>0</v>
      </c>
      <c r="FX222">
        <f t="shared" si="491"/>
        <v>0</v>
      </c>
      <c r="FY222">
        <f t="shared" si="492"/>
        <v>0</v>
      </c>
      <c r="FZ222">
        <f t="shared" si="493"/>
        <v>0</v>
      </c>
      <c r="GA222">
        <f t="shared" si="494"/>
        <v>0</v>
      </c>
      <c r="GB222">
        <f t="shared" si="495"/>
        <v>0</v>
      </c>
      <c r="GC222">
        <f t="shared" si="496"/>
        <v>0</v>
      </c>
      <c r="GD222">
        <f t="shared" si="497"/>
        <v>0</v>
      </c>
      <c r="GE222">
        <f t="shared" si="498"/>
        <v>0</v>
      </c>
      <c r="GF222">
        <f t="shared" si="499"/>
        <v>0</v>
      </c>
      <c r="GG222">
        <f t="shared" si="500"/>
        <v>0</v>
      </c>
      <c r="GH222">
        <f t="shared" si="501"/>
        <v>0</v>
      </c>
      <c r="GI222">
        <f t="shared" si="502"/>
        <v>0</v>
      </c>
      <c r="GJ222">
        <f t="shared" si="503"/>
        <v>0</v>
      </c>
      <c r="GK222">
        <f t="shared" si="504"/>
        <v>1</v>
      </c>
      <c r="GL222">
        <f t="shared" si="505"/>
        <v>1</v>
      </c>
      <c r="GM222">
        <f t="shared" si="506"/>
        <v>1</v>
      </c>
      <c r="GN222">
        <f t="shared" si="507"/>
        <v>1</v>
      </c>
      <c r="GO222">
        <f t="shared" si="508"/>
        <v>1</v>
      </c>
      <c r="GP222">
        <f t="shared" si="509"/>
        <v>1</v>
      </c>
      <c r="GQ222">
        <f t="shared" si="510"/>
        <v>1</v>
      </c>
      <c r="GR222">
        <f t="shared" si="511"/>
        <v>1</v>
      </c>
      <c r="GS222">
        <f t="shared" si="512"/>
        <v>1</v>
      </c>
      <c r="GT222">
        <f t="shared" si="513"/>
        <v>1</v>
      </c>
      <c r="GU222">
        <f t="shared" si="514"/>
        <v>1</v>
      </c>
      <c r="GX222" s="10"/>
    </row>
    <row r="223" spans="1:206" x14ac:dyDescent="0.3">
      <c r="A223" s="9" t="s">
        <v>128</v>
      </c>
      <c r="B223" s="80"/>
      <c r="C223" s="9">
        <v>3100125000</v>
      </c>
      <c r="D223" s="9" t="s">
        <v>388</v>
      </c>
      <c r="E223" s="9" t="s">
        <v>39</v>
      </c>
      <c r="F223" s="9" t="s">
        <v>35</v>
      </c>
      <c r="G223" s="9" t="s">
        <v>243</v>
      </c>
      <c r="H223" s="10">
        <v>44984</v>
      </c>
      <c r="I223" s="9">
        <f t="shared" si="515"/>
        <v>2023</v>
      </c>
      <c r="J223" s="9">
        <f t="shared" si="516"/>
        <v>2</v>
      </c>
      <c r="K223" s="9" t="str">
        <f t="shared" si="517"/>
        <v>2023_2</v>
      </c>
      <c r="L223">
        <f>MAX(0,VLOOKUP($K223,lookups!$A$1:$B$45,2,0)-12)</f>
        <v>22</v>
      </c>
      <c r="M223" s="40">
        <f t="shared" si="518"/>
        <v>44958</v>
      </c>
      <c r="N223" s="10" t="s">
        <v>37</v>
      </c>
      <c r="O223" t="str">
        <f ca="1">IF(OR($L223&gt;O$4,O$4&gt;$L223+23),"",OFFSET(Electric!$L214,0,-'Electric Calendarize'!$L223+'Electric Calendarize'!O$4+1))</f>
        <v/>
      </c>
      <c r="P223" t="str">
        <f ca="1">IF(OR($L223&gt;P$4,P$4&gt;$L223+23),"",OFFSET(Electric!$L214,0,-'Electric Calendarize'!$L223+'Electric Calendarize'!P$4+1))</f>
        <v/>
      </c>
      <c r="Q223" t="str">
        <f ca="1">IF(OR($L223&gt;Q$4,Q$4&gt;$L223+23),"",OFFSET(Electric!$L214,0,-'Electric Calendarize'!$L223+'Electric Calendarize'!Q$4+1))</f>
        <v/>
      </c>
      <c r="R223" t="str">
        <f ca="1">IF(OR($L223&gt;R$4,R$4&gt;$L223+23),"",OFFSET(Electric!$L214,0,-'Electric Calendarize'!$L223+'Electric Calendarize'!R$4+1))</f>
        <v/>
      </c>
      <c r="S223" t="str">
        <f ca="1">IF(OR($L223&gt;S$4,S$4&gt;$L223+23),"",OFFSET(Electric!$L214,0,-'Electric Calendarize'!$L223+'Electric Calendarize'!S$4+1))</f>
        <v/>
      </c>
      <c r="T223" t="str">
        <f ca="1">IF(OR($L223&gt;T$4,T$4&gt;$L223+23),"",OFFSET(Electric!$L214,0,-'Electric Calendarize'!$L223+'Electric Calendarize'!T$4+1))</f>
        <v/>
      </c>
      <c r="U223" t="str">
        <f ca="1">IF(OR($L223&gt;U$4,U$4&gt;$L223+23),"",OFFSET(Electric!$L214,0,-'Electric Calendarize'!$L223+'Electric Calendarize'!U$4+1))</f>
        <v/>
      </c>
      <c r="V223" t="str">
        <f ca="1">IF(OR($L223&gt;V$4,V$4&gt;$L223+23),"",OFFSET(Electric!$L214,0,-'Electric Calendarize'!$L223+'Electric Calendarize'!V$4+1))</f>
        <v/>
      </c>
      <c r="W223" t="str">
        <f ca="1">IF(OR($L223&gt;W$4,W$4&gt;$L223+23),"",OFFSET(Electric!$L214,0,-'Electric Calendarize'!$L223+'Electric Calendarize'!W$4+1))</f>
        <v/>
      </c>
      <c r="X223" t="str">
        <f ca="1">IF(OR($L223&gt;X$4,X$4&gt;$L223+23),"",OFFSET(Electric!$L214,0,-'Electric Calendarize'!$L223+'Electric Calendarize'!X$4+1))</f>
        <v/>
      </c>
      <c r="Y223" t="str">
        <f ca="1">IF(OR($L223&gt;Y$4,Y$4&gt;$L223+23),"",OFFSET(Electric!$L214,0,-'Electric Calendarize'!$L223+'Electric Calendarize'!Y$4+1))</f>
        <v/>
      </c>
      <c r="Z223" t="str">
        <f ca="1">IF(OR($L223&gt;Z$4,Z$4&gt;$L223+23),"",OFFSET(Electric!$L214,0,-'Electric Calendarize'!$L223+'Electric Calendarize'!Z$4+1))</f>
        <v/>
      </c>
      <c r="AA223" t="str">
        <f ca="1">IF(OR($L223&gt;AA$4,AA$4&gt;$L223+23),"",OFFSET(Electric!$L214,0,-'Electric Calendarize'!$L223+'Electric Calendarize'!AA$4+1))</f>
        <v/>
      </c>
      <c r="AB223" t="str">
        <f ca="1">IF(OR($L223&gt;AB$4,AB$4&gt;$L223+23),"",OFFSET(Electric!$L214,0,-'Electric Calendarize'!$L223+'Electric Calendarize'!AB$4+1))</f>
        <v/>
      </c>
      <c r="AC223" t="str">
        <f ca="1">IF(OR($L223&gt;AC$4,AC$4&gt;$L223+23),"",OFFSET(Electric!$L214,0,-'Electric Calendarize'!$L223+'Electric Calendarize'!AC$4+1))</f>
        <v/>
      </c>
      <c r="AD223" t="str">
        <f ca="1">IF(OR($L223&gt;AD$4,AD$4&gt;$L223+23),"",OFFSET(Electric!$L214,0,-'Electric Calendarize'!$L223+'Electric Calendarize'!AD$4+1))</f>
        <v/>
      </c>
      <c r="AE223" t="str">
        <f ca="1">IF(OR($L223&gt;AE$4,AE$4&gt;$L223+23),"",OFFSET(Electric!$L214,0,-'Electric Calendarize'!$L223+'Electric Calendarize'!AE$4+1))</f>
        <v/>
      </c>
      <c r="AF223" t="str">
        <f ca="1">IF(OR($L223&gt;AF$4,AF$4&gt;$L223+23),"",OFFSET(Electric!$L214,0,-'Electric Calendarize'!$L223+'Electric Calendarize'!AF$4+1))</f>
        <v/>
      </c>
      <c r="AG223" t="str">
        <f ca="1">IF(OR($L223&gt;AG$4,AG$4&gt;$L223+23),"",OFFSET(Electric!$L214,0,-'Electric Calendarize'!$L223+'Electric Calendarize'!AG$4+1))</f>
        <v/>
      </c>
      <c r="AH223" t="str">
        <f ca="1">IF(OR($L223&gt;AH$4,AH$4&gt;$L223+23),"",OFFSET(Electric!$L214,0,-'Electric Calendarize'!$L223+'Electric Calendarize'!AH$4+1))</f>
        <v/>
      </c>
      <c r="AI223" t="str">
        <f ca="1">IF(OR($L223&gt;AI$4,AI$4&gt;$L223+23),"",OFFSET(Electric!$L214,0,-'Electric Calendarize'!$L223+'Electric Calendarize'!AI$4+1))</f>
        <v/>
      </c>
      <c r="AJ223" t="str">
        <f ca="1">IF(OR($L223&gt;AJ$4,AJ$4&gt;$L223+23),"",OFFSET(Electric!$L214,0,-'Electric Calendarize'!$L223+'Electric Calendarize'!AJ$4+1))</f>
        <v/>
      </c>
      <c r="AK223">
        <f ca="1">IF(OR($L223&gt;AK$4,AK$4&gt;$L223+23),"",OFFSET(Electric!$L214,0,-'Electric Calendarize'!$L223+'Electric Calendarize'!AK$4+1))</f>
        <v>577</v>
      </c>
      <c r="AL223">
        <f ca="1">IF(OR($L223&gt;AL$4,AL$4&gt;$L223+23),"",OFFSET(Electric!$L214,0,-'Electric Calendarize'!$L223+'Electric Calendarize'!AL$4+1))</f>
        <v>581</v>
      </c>
      <c r="AM223">
        <f ca="1">IF(OR($L223&gt;AM$4,AM$4&gt;$L223+23),"",OFFSET(Electric!$L214,0,-'Electric Calendarize'!$L223+'Electric Calendarize'!AM$4+1))</f>
        <v>430</v>
      </c>
      <c r="AN223">
        <f ca="1">IF(OR($L223&gt;AN$4,AN$4&gt;$L223+23),"",OFFSET(Electric!$L214,0,-'Electric Calendarize'!$L223+'Electric Calendarize'!AN$4+1))</f>
        <v>414</v>
      </c>
      <c r="AO223">
        <f ca="1">IF(OR($L223&gt;AO$4,AO$4&gt;$L223+23),"",OFFSET(Electric!$L214,0,-'Electric Calendarize'!$L223+'Electric Calendarize'!AO$4+1))</f>
        <v>595</v>
      </c>
      <c r="AP223">
        <f ca="1">IF(OR($L223&gt;AP$4,AP$4&gt;$L223+23),"",OFFSET(Electric!$L214,0,-'Electric Calendarize'!$L223+'Electric Calendarize'!AP$4+1))</f>
        <v>795</v>
      </c>
      <c r="AQ223">
        <f ca="1">IF(OR($L223&gt;AQ$4,AQ$4&gt;$L223+23),"",OFFSET(Electric!$L214,0,-'Electric Calendarize'!$L223+'Electric Calendarize'!AQ$4+1))</f>
        <v>975</v>
      </c>
      <c r="AR223">
        <f ca="1">IF(OR($L223&gt;AR$4,AR$4&gt;$L223+23),"",OFFSET(Electric!$L214,0,-'Electric Calendarize'!$L223+'Electric Calendarize'!AR$4+1))</f>
        <v>806</v>
      </c>
      <c r="AS223">
        <f ca="1">IF(OR($L223&gt;AS$4,AS$4&gt;$L223+23),"",OFFSET(Electric!$L214,0,-'Electric Calendarize'!$L223+'Electric Calendarize'!AS$4+1))</f>
        <v>413</v>
      </c>
      <c r="AT223">
        <f ca="1">IF(OR($L223&gt;AT$4,AT$4&gt;$L223+23),"",OFFSET(Electric!$L214,0,-'Electric Calendarize'!$L223+'Electric Calendarize'!AT$4+1))</f>
        <v>413</v>
      </c>
      <c r="AU223">
        <f ca="1">IF(OR($L223&gt;AU$4,AU$4&gt;$L223+23),"",OFFSET(Electric!$L214,0,-'Electric Calendarize'!$L223+'Electric Calendarize'!AU$4+1))</f>
        <v>352</v>
      </c>
      <c r="AV223">
        <f ca="1">IF(OR($L223&gt;AV$4,AV$4&gt;$L223+23),"",OFFSET(Electric!$L214,0,-'Electric Calendarize'!$L223+'Electric Calendarize'!AV$4+1))</f>
        <v>369</v>
      </c>
      <c r="AW223">
        <f ca="1">IF(OR($L223&gt;AW$4,AW$4&gt;$L223+23),"",OFFSET(Electric!$L214,0,-'Electric Calendarize'!$L223+'Electric Calendarize'!AW$4+1))</f>
        <v>306</v>
      </c>
      <c r="AX223">
        <f ca="1">IF(OR($L223&gt;AX$4,AX$4&gt;$L223+23),"",OFFSET(Electric!$L214,0,-'Electric Calendarize'!$L223+'Electric Calendarize'!AX$4+1))</f>
        <v>286</v>
      </c>
      <c r="AY223">
        <f ca="1">IF(OR($L223&gt;AY$4,AY$4&gt;$L223+23),"",OFFSET(Electric!$L214,0,-'Electric Calendarize'!$L223+'Electric Calendarize'!AY$4+1))</f>
        <v>256</v>
      </c>
      <c r="AZ223">
        <f ca="1">IF(OR($L223&gt;AZ$4,AZ$4&gt;$L223+23),"",OFFSET(Electric!$L214,0,-'Electric Calendarize'!$L223+'Electric Calendarize'!AZ$4+1))</f>
        <v>275</v>
      </c>
      <c r="BA223">
        <f ca="1">IF(OR($L223&gt;BA$4,BA$4&gt;$L223+23),"",OFFSET(Electric!$L214,0,-'Electric Calendarize'!$L223+'Electric Calendarize'!BA$4+1))</f>
        <v>393</v>
      </c>
      <c r="BB223">
        <f ca="1">IF(OR($L223&gt;BB$4,BB$4&gt;$L223+23),"",OFFSET(Electric!$L214,0,-'Electric Calendarize'!$L223+'Electric Calendarize'!BB$4+1))</f>
        <v>575</v>
      </c>
      <c r="BC223">
        <f ca="1">IF(OR($L223&gt;BC$4,BC$4&gt;$L223+23),"",OFFSET(Electric!$L214,0,-'Electric Calendarize'!$L223+'Electric Calendarize'!BC$4+1))</f>
        <v>593</v>
      </c>
      <c r="BD223">
        <f ca="1">IF(OR($L223&gt;BD$4,BD$4&gt;$L223+23),"",OFFSET(Electric!$L214,0,-'Electric Calendarize'!$L223+'Electric Calendarize'!BD$4+1))</f>
        <v>538</v>
      </c>
      <c r="BE223">
        <f ca="1">IF(OR($L223&gt;BE$4,BE$4&gt;$L223+23),"",OFFSET(Electric!$L214,0,-'Electric Calendarize'!$L223+'Electric Calendarize'!BE$4+1))</f>
        <v>346</v>
      </c>
      <c r="BF223">
        <f ca="1">IF(OR($L223&gt;BF$4,BF$4&gt;$L223+23),"",OFFSET(Electric!$L214,0,-'Electric Calendarize'!$L223+'Electric Calendarize'!BF$4+1))</f>
        <v>284</v>
      </c>
      <c r="BG223">
        <f ca="1">IF(OR($L223&gt;BG$4,BG$4&gt;$L223+23),"",OFFSET(Electric!$L214,0,-'Electric Calendarize'!$L223+'Electric Calendarize'!BG$4+1))</f>
        <v>0</v>
      </c>
      <c r="BJ223" s="10" t="s">
        <v>37</v>
      </c>
      <c r="BK223">
        <f t="shared" si="519"/>
        <v>1</v>
      </c>
      <c r="BL223">
        <f t="shared" si="425"/>
        <v>0</v>
      </c>
      <c r="BM223">
        <f t="shared" si="426"/>
        <v>0</v>
      </c>
      <c r="BN223">
        <f t="shared" si="427"/>
        <v>0</v>
      </c>
      <c r="BO223">
        <f t="shared" si="428"/>
        <v>0</v>
      </c>
      <c r="BP223">
        <f t="shared" si="429"/>
        <v>0</v>
      </c>
      <c r="BQ223">
        <f t="shared" si="430"/>
        <v>0</v>
      </c>
      <c r="BR223">
        <f t="shared" si="431"/>
        <v>1</v>
      </c>
      <c r="BS223">
        <f t="shared" si="432"/>
        <v>1</v>
      </c>
      <c r="BT223">
        <f t="shared" si="433"/>
        <v>1</v>
      </c>
      <c r="BU223">
        <f t="shared" si="434"/>
        <v>1</v>
      </c>
      <c r="BV223">
        <f t="shared" si="435"/>
        <v>1</v>
      </c>
      <c r="BW223">
        <f t="shared" si="436"/>
        <v>1</v>
      </c>
      <c r="BX223">
        <f t="shared" si="437"/>
        <v>0</v>
      </c>
      <c r="BY223">
        <f t="shared" si="438"/>
        <v>0</v>
      </c>
      <c r="BZ223">
        <f t="shared" si="439"/>
        <v>0</v>
      </c>
      <c r="CA223">
        <f t="shared" si="440"/>
        <v>0</v>
      </c>
      <c r="CB223">
        <f t="shared" si="441"/>
        <v>0</v>
      </c>
      <c r="CC223">
        <f t="shared" si="442"/>
        <v>0</v>
      </c>
      <c r="CD223">
        <f t="shared" si="443"/>
        <v>1</v>
      </c>
      <c r="CE223">
        <f t="shared" si="444"/>
        <v>1</v>
      </c>
      <c r="CF223">
        <f t="shared" si="445"/>
        <v>1</v>
      </c>
      <c r="CG223">
        <f t="shared" si="446"/>
        <v>1</v>
      </c>
      <c r="CH223">
        <f t="shared" si="447"/>
        <v>1</v>
      </c>
      <c r="CI223">
        <f t="shared" si="448"/>
        <v>1</v>
      </c>
      <c r="CJ223">
        <f t="shared" si="449"/>
        <v>0</v>
      </c>
      <c r="CK223">
        <f t="shared" si="450"/>
        <v>0</v>
      </c>
      <c r="CL223">
        <f t="shared" si="451"/>
        <v>0</v>
      </c>
      <c r="CM223">
        <f t="shared" si="452"/>
        <v>0</v>
      </c>
      <c r="CN223">
        <f t="shared" si="453"/>
        <v>0</v>
      </c>
      <c r="CO223">
        <f t="shared" si="454"/>
        <v>0</v>
      </c>
      <c r="CP223">
        <f t="shared" si="455"/>
        <v>1</v>
      </c>
      <c r="CQ223">
        <f t="shared" si="456"/>
        <v>1</v>
      </c>
      <c r="CR223">
        <f t="shared" si="457"/>
        <v>1</v>
      </c>
      <c r="CS223">
        <f t="shared" si="458"/>
        <v>1</v>
      </c>
      <c r="CT223">
        <f t="shared" si="459"/>
        <v>1</v>
      </c>
      <c r="CU223">
        <f t="shared" si="460"/>
        <v>1</v>
      </c>
      <c r="CV223">
        <f t="shared" si="461"/>
        <v>0</v>
      </c>
      <c r="CW223">
        <f t="shared" si="462"/>
        <v>0</v>
      </c>
      <c r="CX223">
        <f t="shared" si="463"/>
        <v>0</v>
      </c>
      <c r="CY223">
        <f t="shared" si="464"/>
        <v>0</v>
      </c>
      <c r="CZ223">
        <f t="shared" si="465"/>
        <v>0</v>
      </c>
      <c r="DA223">
        <f t="shared" si="466"/>
        <v>0</v>
      </c>
      <c r="DB223">
        <f t="shared" si="467"/>
        <v>1</v>
      </c>
      <c r="DC223">
        <f t="shared" si="468"/>
        <v>1</v>
      </c>
      <c r="DF223" s="10" t="s">
        <v>37</v>
      </c>
      <c r="DG223" t="str">
        <f t="shared" si="524"/>
        <v>2023_2</v>
      </c>
      <c r="DH223" t="str">
        <f t="shared" si="524"/>
        <v>2023_2</v>
      </c>
      <c r="DI223" t="str">
        <f t="shared" si="524"/>
        <v>2023_2</v>
      </c>
      <c r="DJ223" t="str">
        <f t="shared" si="524"/>
        <v>2023_2</v>
      </c>
      <c r="DK223" t="str">
        <f t="shared" si="524"/>
        <v>2023_2</v>
      </c>
      <c r="DL223" t="str">
        <f t="shared" si="524"/>
        <v>2023_2</v>
      </c>
      <c r="DM223" t="str">
        <f t="shared" si="524"/>
        <v>2023_2</v>
      </c>
      <c r="DN223" t="str">
        <f t="shared" si="524"/>
        <v>2023_2</v>
      </c>
      <c r="DO223" t="str">
        <f t="shared" si="524"/>
        <v>2023_2</v>
      </c>
      <c r="DP223" t="str">
        <f t="shared" si="524"/>
        <v>2023_2</v>
      </c>
      <c r="DQ223" t="str">
        <f t="shared" si="524"/>
        <v>2023_2</v>
      </c>
      <c r="DR223" t="str">
        <f t="shared" si="524"/>
        <v>2023_2</v>
      </c>
      <c r="DS223" t="str">
        <f t="shared" si="524"/>
        <v>2023_2</v>
      </c>
      <c r="DT223" t="str">
        <f t="shared" si="524"/>
        <v>2023_2</v>
      </c>
      <c r="DU223" t="str">
        <f t="shared" si="524"/>
        <v>2023_2</v>
      </c>
      <c r="DV223" t="str">
        <f t="shared" si="524"/>
        <v>2023_2</v>
      </c>
      <c r="DW223" t="str">
        <f t="shared" si="523"/>
        <v>2023_2</v>
      </c>
      <c r="DX223" t="str">
        <f t="shared" si="523"/>
        <v>2023_2</v>
      </c>
      <c r="DY223" t="str">
        <f t="shared" si="523"/>
        <v>2023_2</v>
      </c>
      <c r="DZ223" t="str">
        <f t="shared" si="523"/>
        <v>2023_2</v>
      </c>
      <c r="EA223" t="str">
        <f t="shared" si="523"/>
        <v>2023_2</v>
      </c>
      <c r="EB223" t="str">
        <f t="shared" si="523"/>
        <v>2023_2</v>
      </c>
      <c r="EC223" t="str">
        <f t="shared" si="523"/>
        <v>2023_2</v>
      </c>
      <c r="ED223" t="str">
        <f t="shared" si="523"/>
        <v>2023_2</v>
      </c>
      <c r="EE223" t="str">
        <f t="shared" si="523"/>
        <v>2023_2</v>
      </c>
      <c r="EF223" t="str">
        <f t="shared" si="523"/>
        <v>2023_2</v>
      </c>
      <c r="EG223" t="str">
        <f t="shared" si="523"/>
        <v>2023_2</v>
      </c>
      <c r="EH223" t="str">
        <f t="shared" si="523"/>
        <v>2023_2</v>
      </c>
      <c r="EI223" t="str">
        <f t="shared" si="523"/>
        <v>2023_2</v>
      </c>
      <c r="EJ223" t="str">
        <f t="shared" si="523"/>
        <v>2023_2</v>
      </c>
      <c r="EK223" t="str">
        <f t="shared" si="522"/>
        <v>2023_2</v>
      </c>
      <c r="EL223" t="str">
        <f t="shared" si="522"/>
        <v>2023_2</v>
      </c>
      <c r="EM223" t="str">
        <f t="shared" si="522"/>
        <v>2023_2</v>
      </c>
      <c r="EN223" t="str">
        <f t="shared" si="522"/>
        <v>2023_2</v>
      </c>
      <c r="EO223" t="str">
        <f t="shared" si="522"/>
        <v>2023_2</v>
      </c>
      <c r="EP223" t="str">
        <f t="shared" si="522"/>
        <v>2023_2</v>
      </c>
      <c r="EQ223" t="str">
        <f t="shared" si="522"/>
        <v>2023_2</v>
      </c>
      <c r="ER223" t="str">
        <f t="shared" si="522"/>
        <v>2023_2</v>
      </c>
      <c r="ES223" t="str">
        <f t="shared" si="522"/>
        <v>2023_2</v>
      </c>
      <c r="ET223" t="str">
        <f t="shared" si="522"/>
        <v>2023_2</v>
      </c>
      <c r="EU223" t="str">
        <f t="shared" si="522"/>
        <v>2023_2</v>
      </c>
      <c r="EV223" t="str">
        <f t="shared" si="522"/>
        <v>2023_2</v>
      </c>
      <c r="EW223" t="str">
        <f t="shared" si="522"/>
        <v>2023_2</v>
      </c>
      <c r="EX223" t="str">
        <f t="shared" si="522"/>
        <v>2023_2</v>
      </c>
      <c r="EY223" t="str">
        <f t="shared" si="522"/>
        <v>2023_2</v>
      </c>
      <c r="FB223" s="10" t="s">
        <v>37</v>
      </c>
      <c r="FC223">
        <f t="shared" si="521"/>
        <v>0</v>
      </c>
      <c r="FD223">
        <f t="shared" si="471"/>
        <v>0</v>
      </c>
      <c r="FE223">
        <f t="shared" si="472"/>
        <v>0</v>
      </c>
      <c r="FF223">
        <f t="shared" si="473"/>
        <v>0</v>
      </c>
      <c r="FG223">
        <f t="shared" si="474"/>
        <v>0</v>
      </c>
      <c r="FH223">
        <f t="shared" si="475"/>
        <v>0</v>
      </c>
      <c r="FI223">
        <f t="shared" si="476"/>
        <v>0</v>
      </c>
      <c r="FJ223">
        <f t="shared" si="477"/>
        <v>0</v>
      </c>
      <c r="FK223">
        <f t="shared" si="478"/>
        <v>0</v>
      </c>
      <c r="FL223">
        <f t="shared" si="479"/>
        <v>0</v>
      </c>
      <c r="FM223">
        <f t="shared" si="480"/>
        <v>0</v>
      </c>
      <c r="FN223">
        <f t="shared" si="481"/>
        <v>0</v>
      </c>
      <c r="FO223">
        <f t="shared" si="482"/>
        <v>0</v>
      </c>
      <c r="FP223">
        <f t="shared" si="483"/>
        <v>0</v>
      </c>
      <c r="FQ223">
        <f t="shared" si="484"/>
        <v>0</v>
      </c>
      <c r="FR223">
        <f t="shared" si="485"/>
        <v>0</v>
      </c>
      <c r="FS223">
        <f t="shared" si="486"/>
        <v>0</v>
      </c>
      <c r="FT223">
        <f t="shared" si="487"/>
        <v>0</v>
      </c>
      <c r="FU223">
        <f t="shared" si="488"/>
        <v>0</v>
      </c>
      <c r="FV223">
        <f t="shared" si="489"/>
        <v>0</v>
      </c>
      <c r="FW223">
        <f t="shared" si="490"/>
        <v>0</v>
      </c>
      <c r="FX223">
        <f t="shared" si="491"/>
        <v>0</v>
      </c>
      <c r="FY223">
        <f t="shared" si="492"/>
        <v>0</v>
      </c>
      <c r="FZ223">
        <f t="shared" si="493"/>
        <v>0</v>
      </c>
      <c r="GA223">
        <f t="shared" si="494"/>
        <v>0</v>
      </c>
      <c r="GB223">
        <f t="shared" si="495"/>
        <v>0</v>
      </c>
      <c r="GC223">
        <f t="shared" si="496"/>
        <v>0</v>
      </c>
      <c r="GD223">
        <f t="shared" si="497"/>
        <v>0</v>
      </c>
      <c r="GE223">
        <f t="shared" si="498"/>
        <v>0</v>
      </c>
      <c r="GF223">
        <f t="shared" si="499"/>
        <v>0</v>
      </c>
      <c r="GG223">
        <f t="shared" si="500"/>
        <v>0</v>
      </c>
      <c r="GH223">
        <f t="shared" si="501"/>
        <v>0</v>
      </c>
      <c r="GI223">
        <f t="shared" si="502"/>
        <v>0</v>
      </c>
      <c r="GJ223">
        <f t="shared" si="503"/>
        <v>0</v>
      </c>
      <c r="GK223">
        <f t="shared" si="504"/>
        <v>1</v>
      </c>
      <c r="GL223">
        <f t="shared" si="505"/>
        <v>1</v>
      </c>
      <c r="GM223">
        <f t="shared" si="506"/>
        <v>1</v>
      </c>
      <c r="GN223">
        <f t="shared" si="507"/>
        <v>1</v>
      </c>
      <c r="GO223">
        <f t="shared" si="508"/>
        <v>1</v>
      </c>
      <c r="GP223">
        <f t="shared" si="509"/>
        <v>1</v>
      </c>
      <c r="GQ223">
        <f t="shared" si="510"/>
        <v>1</v>
      </c>
      <c r="GR223">
        <f t="shared" si="511"/>
        <v>1</v>
      </c>
      <c r="GS223">
        <f t="shared" si="512"/>
        <v>1</v>
      </c>
      <c r="GT223">
        <f t="shared" si="513"/>
        <v>1</v>
      </c>
      <c r="GU223">
        <f t="shared" si="514"/>
        <v>1</v>
      </c>
      <c r="GX223" s="10"/>
    </row>
    <row r="224" spans="1:206" x14ac:dyDescent="0.3">
      <c r="A224" s="9" t="s">
        <v>124</v>
      </c>
      <c r="B224" s="80"/>
      <c r="C224" s="9">
        <v>3161302000</v>
      </c>
      <c r="D224" s="9" t="s">
        <v>415</v>
      </c>
      <c r="E224" s="9" t="s">
        <v>39</v>
      </c>
      <c r="F224" s="9" t="s">
        <v>35</v>
      </c>
      <c r="G224" s="9" t="s">
        <v>244</v>
      </c>
      <c r="H224" s="10">
        <v>44988</v>
      </c>
      <c r="I224" s="9">
        <f t="shared" si="515"/>
        <v>2023</v>
      </c>
      <c r="J224" s="9">
        <f t="shared" si="516"/>
        <v>3</v>
      </c>
      <c r="K224" s="9" t="str">
        <f t="shared" si="517"/>
        <v>2023_3</v>
      </c>
      <c r="L224">
        <f>MAX(0,VLOOKUP($K224,lookups!$A$1:$B$45,2,0)-12)</f>
        <v>23</v>
      </c>
      <c r="M224" s="40">
        <f t="shared" si="518"/>
        <v>44986</v>
      </c>
      <c r="N224" s="10" t="s">
        <v>37</v>
      </c>
      <c r="O224" t="str">
        <f ca="1">IF(OR($L224&gt;O$4,O$4&gt;$L224+23),"",OFFSET(Electric!$L215,0,-'Electric Calendarize'!$L224+'Electric Calendarize'!O$4+1))</f>
        <v/>
      </c>
      <c r="P224" t="str">
        <f ca="1">IF(OR($L224&gt;P$4,P$4&gt;$L224+23),"",OFFSET(Electric!$L215,0,-'Electric Calendarize'!$L224+'Electric Calendarize'!P$4+1))</f>
        <v/>
      </c>
      <c r="Q224" t="str">
        <f ca="1">IF(OR($L224&gt;Q$4,Q$4&gt;$L224+23),"",OFFSET(Electric!$L215,0,-'Electric Calendarize'!$L224+'Electric Calendarize'!Q$4+1))</f>
        <v/>
      </c>
      <c r="R224" t="str">
        <f ca="1">IF(OR($L224&gt;R$4,R$4&gt;$L224+23),"",OFFSET(Electric!$L215,0,-'Electric Calendarize'!$L224+'Electric Calendarize'!R$4+1))</f>
        <v/>
      </c>
      <c r="S224" t="str">
        <f ca="1">IF(OR($L224&gt;S$4,S$4&gt;$L224+23),"",OFFSET(Electric!$L215,0,-'Electric Calendarize'!$L224+'Electric Calendarize'!S$4+1))</f>
        <v/>
      </c>
      <c r="T224" t="str">
        <f ca="1">IF(OR($L224&gt;T$4,T$4&gt;$L224+23),"",OFFSET(Electric!$L215,0,-'Electric Calendarize'!$L224+'Electric Calendarize'!T$4+1))</f>
        <v/>
      </c>
      <c r="U224" t="str">
        <f ca="1">IF(OR($L224&gt;U$4,U$4&gt;$L224+23),"",OFFSET(Electric!$L215,0,-'Electric Calendarize'!$L224+'Electric Calendarize'!U$4+1))</f>
        <v/>
      </c>
      <c r="V224" t="str">
        <f ca="1">IF(OR($L224&gt;V$4,V$4&gt;$L224+23),"",OFFSET(Electric!$L215,0,-'Electric Calendarize'!$L224+'Electric Calendarize'!V$4+1))</f>
        <v/>
      </c>
      <c r="W224" t="str">
        <f ca="1">IF(OR($L224&gt;W$4,W$4&gt;$L224+23),"",OFFSET(Electric!$L215,0,-'Electric Calendarize'!$L224+'Electric Calendarize'!W$4+1))</f>
        <v/>
      </c>
      <c r="X224" t="str">
        <f ca="1">IF(OR($L224&gt;X$4,X$4&gt;$L224+23),"",OFFSET(Electric!$L215,0,-'Electric Calendarize'!$L224+'Electric Calendarize'!X$4+1))</f>
        <v/>
      </c>
      <c r="Y224" t="str">
        <f ca="1">IF(OR($L224&gt;Y$4,Y$4&gt;$L224+23),"",OFFSET(Electric!$L215,0,-'Electric Calendarize'!$L224+'Electric Calendarize'!Y$4+1))</f>
        <v/>
      </c>
      <c r="Z224" t="str">
        <f ca="1">IF(OR($L224&gt;Z$4,Z$4&gt;$L224+23),"",OFFSET(Electric!$L215,0,-'Electric Calendarize'!$L224+'Electric Calendarize'!Z$4+1))</f>
        <v/>
      </c>
      <c r="AA224" t="str">
        <f ca="1">IF(OR($L224&gt;AA$4,AA$4&gt;$L224+23),"",OFFSET(Electric!$L215,0,-'Electric Calendarize'!$L224+'Electric Calendarize'!AA$4+1))</f>
        <v/>
      </c>
      <c r="AB224" t="str">
        <f ca="1">IF(OR($L224&gt;AB$4,AB$4&gt;$L224+23),"",OFFSET(Electric!$L215,0,-'Electric Calendarize'!$L224+'Electric Calendarize'!AB$4+1))</f>
        <v/>
      </c>
      <c r="AC224" t="str">
        <f ca="1">IF(OR($L224&gt;AC$4,AC$4&gt;$L224+23),"",OFFSET(Electric!$L215,0,-'Electric Calendarize'!$L224+'Electric Calendarize'!AC$4+1))</f>
        <v/>
      </c>
      <c r="AD224" t="str">
        <f ca="1">IF(OR($L224&gt;AD$4,AD$4&gt;$L224+23),"",OFFSET(Electric!$L215,0,-'Electric Calendarize'!$L224+'Electric Calendarize'!AD$4+1))</f>
        <v/>
      </c>
      <c r="AE224" t="str">
        <f ca="1">IF(OR($L224&gt;AE$4,AE$4&gt;$L224+23),"",OFFSET(Electric!$L215,0,-'Electric Calendarize'!$L224+'Electric Calendarize'!AE$4+1))</f>
        <v/>
      </c>
      <c r="AF224" t="str">
        <f ca="1">IF(OR($L224&gt;AF$4,AF$4&gt;$L224+23),"",OFFSET(Electric!$L215,0,-'Electric Calendarize'!$L224+'Electric Calendarize'!AF$4+1))</f>
        <v/>
      </c>
      <c r="AG224" t="str">
        <f ca="1">IF(OR($L224&gt;AG$4,AG$4&gt;$L224+23),"",OFFSET(Electric!$L215,0,-'Electric Calendarize'!$L224+'Electric Calendarize'!AG$4+1))</f>
        <v/>
      </c>
      <c r="AH224" t="str">
        <f ca="1">IF(OR($L224&gt;AH$4,AH$4&gt;$L224+23),"",OFFSET(Electric!$L215,0,-'Electric Calendarize'!$L224+'Electric Calendarize'!AH$4+1))</f>
        <v/>
      </c>
      <c r="AI224" t="str">
        <f ca="1">IF(OR($L224&gt;AI$4,AI$4&gt;$L224+23),"",OFFSET(Electric!$L215,0,-'Electric Calendarize'!$L224+'Electric Calendarize'!AI$4+1))</f>
        <v/>
      </c>
      <c r="AJ224" t="str">
        <f ca="1">IF(OR($L224&gt;AJ$4,AJ$4&gt;$L224+23),"",OFFSET(Electric!$L215,0,-'Electric Calendarize'!$L224+'Electric Calendarize'!AJ$4+1))</f>
        <v/>
      </c>
      <c r="AK224" t="str">
        <f ca="1">IF(OR($L224&gt;AK$4,AK$4&gt;$L224+23),"",OFFSET(Electric!$L215,0,-'Electric Calendarize'!$L224+'Electric Calendarize'!AK$4+1))</f>
        <v/>
      </c>
      <c r="AL224">
        <f ca="1">IF(OR($L224&gt;AL$4,AL$4&gt;$L224+23),"",OFFSET(Electric!$L215,0,-'Electric Calendarize'!$L224+'Electric Calendarize'!AL$4+1))</f>
        <v>905</v>
      </c>
      <c r="AM224">
        <f ca="1">IF(OR($L224&gt;AM$4,AM$4&gt;$L224+23),"",OFFSET(Electric!$L215,0,-'Electric Calendarize'!$L224+'Electric Calendarize'!AM$4+1))</f>
        <v>837</v>
      </c>
      <c r="AN224">
        <f ca="1">IF(OR($L224&gt;AN$4,AN$4&gt;$L224+23),"",OFFSET(Electric!$L215,0,-'Electric Calendarize'!$L224+'Electric Calendarize'!AN$4+1))</f>
        <v>802</v>
      </c>
      <c r="AO224">
        <f ca="1">IF(OR($L224&gt;AO$4,AO$4&gt;$L224+23),"",OFFSET(Electric!$L215,0,-'Electric Calendarize'!$L224+'Electric Calendarize'!AO$4+1))</f>
        <v>1142</v>
      </c>
      <c r="AP224">
        <f ca="1">IF(OR($L224&gt;AP$4,AP$4&gt;$L224+23),"",OFFSET(Electric!$L215,0,-'Electric Calendarize'!$L224+'Electric Calendarize'!AP$4+1))</f>
        <v>1158</v>
      </c>
      <c r="AQ224">
        <f ca="1">IF(OR($L224&gt;AQ$4,AQ$4&gt;$L224+23),"",OFFSET(Electric!$L215,0,-'Electric Calendarize'!$L224+'Electric Calendarize'!AQ$4+1))</f>
        <v>868</v>
      </c>
      <c r="AR224">
        <f ca="1">IF(OR($L224&gt;AR$4,AR$4&gt;$L224+23),"",OFFSET(Electric!$L215,0,-'Electric Calendarize'!$L224+'Electric Calendarize'!AR$4+1))</f>
        <v>781</v>
      </c>
      <c r="AS224">
        <f ca="1">IF(OR($L224&gt;AS$4,AS$4&gt;$L224+23),"",OFFSET(Electric!$L215,0,-'Electric Calendarize'!$L224+'Electric Calendarize'!AS$4+1))</f>
        <v>1027</v>
      </c>
      <c r="AT224">
        <f ca="1">IF(OR($L224&gt;AT$4,AT$4&gt;$L224+23),"",OFFSET(Electric!$L215,0,-'Electric Calendarize'!$L224+'Electric Calendarize'!AT$4+1))</f>
        <v>1068</v>
      </c>
      <c r="AU224">
        <f ca="1">IF(OR($L224&gt;AU$4,AU$4&gt;$L224+23),"",OFFSET(Electric!$L215,0,-'Electric Calendarize'!$L224+'Electric Calendarize'!AU$4+1))</f>
        <v>920</v>
      </c>
      <c r="AV224">
        <f ca="1">IF(OR($L224&gt;AV$4,AV$4&gt;$L224+23),"",OFFSET(Electric!$L215,0,-'Electric Calendarize'!$L224+'Electric Calendarize'!AV$4+1))</f>
        <v>862</v>
      </c>
      <c r="AW224">
        <f ca="1">IF(OR($L224&gt;AW$4,AW$4&gt;$L224+23),"",OFFSET(Electric!$L215,0,-'Electric Calendarize'!$L224+'Electric Calendarize'!AW$4+1))</f>
        <v>1031</v>
      </c>
      <c r="AX224">
        <f ca="1">IF(OR($L224&gt;AX$4,AX$4&gt;$L224+23),"",OFFSET(Electric!$L215,0,-'Electric Calendarize'!$L224+'Electric Calendarize'!AX$4+1))</f>
        <v>967</v>
      </c>
      <c r="AY224">
        <f ca="1">IF(OR($L224&gt;AY$4,AY$4&gt;$L224+23),"",OFFSET(Electric!$L215,0,-'Electric Calendarize'!$L224+'Electric Calendarize'!AY$4+1))</f>
        <v>814</v>
      </c>
      <c r="AZ224">
        <f ca="1">IF(OR($L224&gt;AZ$4,AZ$4&gt;$L224+23),"",OFFSET(Electric!$L215,0,-'Electric Calendarize'!$L224+'Electric Calendarize'!AZ$4+1))</f>
        <v>787</v>
      </c>
      <c r="BA224">
        <f ca="1">IF(OR($L224&gt;BA$4,BA$4&gt;$L224+23),"",OFFSET(Electric!$L215,0,-'Electric Calendarize'!$L224+'Electric Calendarize'!BA$4+1))</f>
        <v>903</v>
      </c>
      <c r="BB224">
        <f ca="1">IF(OR($L224&gt;BB$4,BB$4&gt;$L224+23),"",OFFSET(Electric!$L215,0,-'Electric Calendarize'!$L224+'Electric Calendarize'!BB$4+1))</f>
        <v>1073</v>
      </c>
      <c r="BC224">
        <f ca="1">IF(OR($L224&gt;BC$4,BC$4&gt;$L224+23),"",OFFSET(Electric!$L215,0,-'Electric Calendarize'!$L224+'Electric Calendarize'!BC$4+1))</f>
        <v>821</v>
      </c>
      <c r="BD224">
        <f ca="1">IF(OR($L224&gt;BD$4,BD$4&gt;$L224+23),"",OFFSET(Electric!$L215,0,-'Electric Calendarize'!$L224+'Electric Calendarize'!BD$4+1))</f>
        <v>1077</v>
      </c>
      <c r="BE224">
        <f ca="1">IF(OR($L224&gt;BE$4,BE$4&gt;$L224+23),"",OFFSET(Electric!$L215,0,-'Electric Calendarize'!$L224+'Electric Calendarize'!BE$4+1))</f>
        <v>913</v>
      </c>
      <c r="BF224">
        <f ca="1">IF(OR($L224&gt;BF$4,BF$4&gt;$L224+23),"",OFFSET(Electric!$L215,0,-'Electric Calendarize'!$L224+'Electric Calendarize'!BF$4+1))</f>
        <v>1060</v>
      </c>
      <c r="BG224">
        <f ca="1">IF(OR($L224&gt;BG$4,BG$4&gt;$L224+23),"",OFFSET(Electric!$L215,0,-'Electric Calendarize'!$L224+'Electric Calendarize'!BG$4+1))</f>
        <v>0</v>
      </c>
      <c r="BJ224" s="10" t="s">
        <v>37</v>
      </c>
      <c r="BK224">
        <f t="shared" si="519"/>
        <v>1</v>
      </c>
      <c r="BL224">
        <f t="shared" si="425"/>
        <v>0</v>
      </c>
      <c r="BM224">
        <f t="shared" si="426"/>
        <v>0</v>
      </c>
      <c r="BN224">
        <f t="shared" si="427"/>
        <v>0</v>
      </c>
      <c r="BO224">
        <f t="shared" si="428"/>
        <v>0</v>
      </c>
      <c r="BP224">
        <f t="shared" si="429"/>
        <v>0</v>
      </c>
      <c r="BQ224">
        <f t="shared" si="430"/>
        <v>0</v>
      </c>
      <c r="BR224">
        <f t="shared" si="431"/>
        <v>1</v>
      </c>
      <c r="BS224">
        <f t="shared" si="432"/>
        <v>1</v>
      </c>
      <c r="BT224">
        <f t="shared" si="433"/>
        <v>1</v>
      </c>
      <c r="BU224">
        <f t="shared" si="434"/>
        <v>1</v>
      </c>
      <c r="BV224">
        <f t="shared" si="435"/>
        <v>1</v>
      </c>
      <c r="BW224">
        <f t="shared" si="436"/>
        <v>1</v>
      </c>
      <c r="BX224">
        <f t="shared" si="437"/>
        <v>0</v>
      </c>
      <c r="BY224">
        <f t="shared" si="438"/>
        <v>0</v>
      </c>
      <c r="BZ224">
        <f t="shared" si="439"/>
        <v>0</v>
      </c>
      <c r="CA224">
        <f t="shared" si="440"/>
        <v>0</v>
      </c>
      <c r="CB224">
        <f t="shared" si="441"/>
        <v>0</v>
      </c>
      <c r="CC224">
        <f t="shared" si="442"/>
        <v>0</v>
      </c>
      <c r="CD224">
        <f t="shared" si="443"/>
        <v>1</v>
      </c>
      <c r="CE224">
        <f t="shared" si="444"/>
        <v>1</v>
      </c>
      <c r="CF224">
        <f t="shared" si="445"/>
        <v>1</v>
      </c>
      <c r="CG224">
        <f t="shared" si="446"/>
        <v>1</v>
      </c>
      <c r="CH224">
        <f t="shared" si="447"/>
        <v>1</v>
      </c>
      <c r="CI224">
        <f t="shared" si="448"/>
        <v>1</v>
      </c>
      <c r="CJ224">
        <f t="shared" si="449"/>
        <v>0</v>
      </c>
      <c r="CK224">
        <f t="shared" si="450"/>
        <v>0</v>
      </c>
      <c r="CL224">
        <f t="shared" si="451"/>
        <v>0</v>
      </c>
      <c r="CM224">
        <f t="shared" si="452"/>
        <v>0</v>
      </c>
      <c r="CN224">
        <f t="shared" si="453"/>
        <v>0</v>
      </c>
      <c r="CO224">
        <f t="shared" si="454"/>
        <v>0</v>
      </c>
      <c r="CP224">
        <f t="shared" si="455"/>
        <v>1</v>
      </c>
      <c r="CQ224">
        <f t="shared" si="456"/>
        <v>1</v>
      </c>
      <c r="CR224">
        <f t="shared" si="457"/>
        <v>1</v>
      </c>
      <c r="CS224">
        <f t="shared" si="458"/>
        <v>1</v>
      </c>
      <c r="CT224">
        <f t="shared" si="459"/>
        <v>1</v>
      </c>
      <c r="CU224">
        <f t="shared" si="460"/>
        <v>1</v>
      </c>
      <c r="CV224">
        <f t="shared" si="461"/>
        <v>0</v>
      </c>
      <c r="CW224">
        <f t="shared" si="462"/>
        <v>0</v>
      </c>
      <c r="CX224">
        <f t="shared" si="463"/>
        <v>0</v>
      </c>
      <c r="CY224">
        <f t="shared" si="464"/>
        <v>0</v>
      </c>
      <c r="CZ224">
        <f t="shared" si="465"/>
        <v>0</v>
      </c>
      <c r="DA224">
        <f t="shared" si="466"/>
        <v>0</v>
      </c>
      <c r="DB224">
        <f t="shared" si="467"/>
        <v>1</v>
      </c>
      <c r="DC224">
        <f t="shared" si="468"/>
        <v>1</v>
      </c>
      <c r="DF224" s="10" t="s">
        <v>37</v>
      </c>
      <c r="DG224" t="str">
        <f t="shared" si="524"/>
        <v>2023_3</v>
      </c>
      <c r="DH224" t="str">
        <f t="shared" si="524"/>
        <v>2023_3</v>
      </c>
      <c r="DI224" t="str">
        <f t="shared" si="524"/>
        <v>2023_3</v>
      </c>
      <c r="DJ224" t="str">
        <f t="shared" si="524"/>
        <v>2023_3</v>
      </c>
      <c r="DK224" t="str">
        <f t="shared" si="524"/>
        <v>2023_3</v>
      </c>
      <c r="DL224" t="str">
        <f t="shared" si="524"/>
        <v>2023_3</v>
      </c>
      <c r="DM224" t="str">
        <f t="shared" si="524"/>
        <v>2023_3</v>
      </c>
      <c r="DN224" t="str">
        <f t="shared" si="524"/>
        <v>2023_3</v>
      </c>
      <c r="DO224" t="str">
        <f t="shared" si="524"/>
        <v>2023_3</v>
      </c>
      <c r="DP224" t="str">
        <f t="shared" si="524"/>
        <v>2023_3</v>
      </c>
      <c r="DQ224" t="str">
        <f t="shared" si="524"/>
        <v>2023_3</v>
      </c>
      <c r="DR224" t="str">
        <f t="shared" si="524"/>
        <v>2023_3</v>
      </c>
      <c r="DS224" t="str">
        <f t="shared" si="524"/>
        <v>2023_3</v>
      </c>
      <c r="DT224" t="str">
        <f t="shared" si="524"/>
        <v>2023_3</v>
      </c>
      <c r="DU224" t="str">
        <f t="shared" si="524"/>
        <v>2023_3</v>
      </c>
      <c r="DV224" t="str">
        <f t="shared" si="524"/>
        <v>2023_3</v>
      </c>
      <c r="DW224" t="str">
        <f t="shared" si="523"/>
        <v>2023_3</v>
      </c>
      <c r="DX224" t="str">
        <f t="shared" si="523"/>
        <v>2023_3</v>
      </c>
      <c r="DY224" t="str">
        <f t="shared" si="523"/>
        <v>2023_3</v>
      </c>
      <c r="DZ224" t="str">
        <f t="shared" si="523"/>
        <v>2023_3</v>
      </c>
      <c r="EA224" t="str">
        <f t="shared" si="523"/>
        <v>2023_3</v>
      </c>
      <c r="EB224" t="str">
        <f t="shared" si="523"/>
        <v>2023_3</v>
      </c>
      <c r="EC224" t="str">
        <f t="shared" si="523"/>
        <v>2023_3</v>
      </c>
      <c r="ED224" t="str">
        <f t="shared" si="523"/>
        <v>2023_3</v>
      </c>
      <c r="EE224" t="str">
        <f t="shared" si="523"/>
        <v>2023_3</v>
      </c>
      <c r="EF224" t="str">
        <f t="shared" si="523"/>
        <v>2023_3</v>
      </c>
      <c r="EG224" t="str">
        <f t="shared" si="523"/>
        <v>2023_3</v>
      </c>
      <c r="EH224" t="str">
        <f t="shared" si="523"/>
        <v>2023_3</v>
      </c>
      <c r="EI224" t="str">
        <f t="shared" si="523"/>
        <v>2023_3</v>
      </c>
      <c r="EJ224" t="str">
        <f t="shared" si="523"/>
        <v>2023_3</v>
      </c>
      <c r="EK224" t="str">
        <f t="shared" si="522"/>
        <v>2023_3</v>
      </c>
      <c r="EL224" t="str">
        <f t="shared" si="522"/>
        <v>2023_3</v>
      </c>
      <c r="EM224" t="str">
        <f t="shared" si="522"/>
        <v>2023_3</v>
      </c>
      <c r="EN224" t="str">
        <f t="shared" si="522"/>
        <v>2023_3</v>
      </c>
      <c r="EO224" t="str">
        <f t="shared" si="522"/>
        <v>2023_3</v>
      </c>
      <c r="EP224" t="str">
        <f t="shared" si="522"/>
        <v>2023_3</v>
      </c>
      <c r="EQ224" t="str">
        <f t="shared" si="522"/>
        <v>2023_3</v>
      </c>
      <c r="ER224" t="str">
        <f t="shared" si="522"/>
        <v>2023_3</v>
      </c>
      <c r="ES224" t="str">
        <f t="shared" si="522"/>
        <v>2023_3</v>
      </c>
      <c r="ET224" t="str">
        <f t="shared" si="522"/>
        <v>2023_3</v>
      </c>
      <c r="EU224" t="str">
        <f t="shared" si="522"/>
        <v>2023_3</v>
      </c>
      <c r="EV224" t="str">
        <f t="shared" si="522"/>
        <v>2023_3</v>
      </c>
      <c r="EW224" t="str">
        <f t="shared" si="522"/>
        <v>2023_3</v>
      </c>
      <c r="EX224" t="str">
        <f t="shared" si="522"/>
        <v>2023_3</v>
      </c>
      <c r="EY224" t="str">
        <f t="shared" si="522"/>
        <v>2023_3</v>
      </c>
      <c r="FB224" s="10" t="s">
        <v>37</v>
      </c>
      <c r="FC224">
        <f t="shared" si="521"/>
        <v>0</v>
      </c>
      <c r="FD224">
        <f t="shared" si="471"/>
        <v>0</v>
      </c>
      <c r="FE224">
        <f t="shared" si="472"/>
        <v>0</v>
      </c>
      <c r="FF224">
        <f t="shared" si="473"/>
        <v>0</v>
      </c>
      <c r="FG224">
        <f t="shared" si="474"/>
        <v>0</v>
      </c>
      <c r="FH224">
        <f t="shared" si="475"/>
        <v>0</v>
      </c>
      <c r="FI224">
        <f t="shared" si="476"/>
        <v>0</v>
      </c>
      <c r="FJ224">
        <f t="shared" si="477"/>
        <v>0</v>
      </c>
      <c r="FK224">
        <f t="shared" si="478"/>
        <v>0</v>
      </c>
      <c r="FL224">
        <f t="shared" si="479"/>
        <v>0</v>
      </c>
      <c r="FM224">
        <f t="shared" si="480"/>
        <v>0</v>
      </c>
      <c r="FN224">
        <f t="shared" si="481"/>
        <v>0</v>
      </c>
      <c r="FO224">
        <f t="shared" si="482"/>
        <v>0</v>
      </c>
      <c r="FP224">
        <f t="shared" si="483"/>
        <v>0</v>
      </c>
      <c r="FQ224">
        <f t="shared" si="484"/>
        <v>0</v>
      </c>
      <c r="FR224">
        <f t="shared" si="485"/>
        <v>0</v>
      </c>
      <c r="FS224">
        <f t="shared" si="486"/>
        <v>0</v>
      </c>
      <c r="FT224">
        <f t="shared" si="487"/>
        <v>0</v>
      </c>
      <c r="FU224">
        <f t="shared" si="488"/>
        <v>0</v>
      </c>
      <c r="FV224">
        <f t="shared" si="489"/>
        <v>0</v>
      </c>
      <c r="FW224">
        <f t="shared" si="490"/>
        <v>0</v>
      </c>
      <c r="FX224">
        <f t="shared" si="491"/>
        <v>0</v>
      </c>
      <c r="FY224">
        <f t="shared" si="492"/>
        <v>0</v>
      </c>
      <c r="FZ224">
        <f t="shared" si="493"/>
        <v>0</v>
      </c>
      <c r="GA224">
        <f t="shared" si="494"/>
        <v>0</v>
      </c>
      <c r="GB224">
        <f t="shared" si="495"/>
        <v>0</v>
      </c>
      <c r="GC224">
        <f t="shared" si="496"/>
        <v>0</v>
      </c>
      <c r="GD224">
        <f t="shared" si="497"/>
        <v>0</v>
      </c>
      <c r="GE224">
        <f t="shared" si="498"/>
        <v>0</v>
      </c>
      <c r="GF224">
        <f t="shared" si="499"/>
        <v>0</v>
      </c>
      <c r="GG224">
        <f t="shared" si="500"/>
        <v>0</v>
      </c>
      <c r="GH224">
        <f t="shared" si="501"/>
        <v>0</v>
      </c>
      <c r="GI224">
        <f t="shared" si="502"/>
        <v>0</v>
      </c>
      <c r="GJ224">
        <f t="shared" si="503"/>
        <v>0</v>
      </c>
      <c r="GK224">
        <f t="shared" si="504"/>
        <v>0</v>
      </c>
      <c r="GL224">
        <f t="shared" si="505"/>
        <v>1</v>
      </c>
      <c r="GM224">
        <f t="shared" si="506"/>
        <v>1</v>
      </c>
      <c r="GN224">
        <f t="shared" si="507"/>
        <v>1</v>
      </c>
      <c r="GO224">
        <f t="shared" si="508"/>
        <v>1</v>
      </c>
      <c r="GP224">
        <f t="shared" si="509"/>
        <v>1</v>
      </c>
      <c r="GQ224">
        <f t="shared" si="510"/>
        <v>1</v>
      </c>
      <c r="GR224">
        <f t="shared" si="511"/>
        <v>1</v>
      </c>
      <c r="GS224">
        <f t="shared" si="512"/>
        <v>1</v>
      </c>
      <c r="GT224">
        <f t="shared" si="513"/>
        <v>1</v>
      </c>
      <c r="GU224">
        <f t="shared" si="514"/>
        <v>1</v>
      </c>
      <c r="GX224" s="10"/>
    </row>
    <row r="225" spans="1:206" x14ac:dyDescent="0.3">
      <c r="A225" s="9" t="s">
        <v>235</v>
      </c>
      <c r="B225" s="80"/>
      <c r="C225" s="9">
        <v>3041470002</v>
      </c>
      <c r="D225" s="9" t="s">
        <v>491</v>
      </c>
      <c r="E225" s="9" t="s">
        <v>34</v>
      </c>
      <c r="F225" s="9" t="s">
        <v>35</v>
      </c>
      <c r="G225" s="9" t="s">
        <v>245</v>
      </c>
      <c r="H225" s="10">
        <v>44998</v>
      </c>
      <c r="I225" s="9">
        <f t="shared" si="515"/>
        <v>2023</v>
      </c>
      <c r="J225" s="9">
        <f t="shared" si="516"/>
        <v>3</v>
      </c>
      <c r="K225" s="9" t="str">
        <f t="shared" si="517"/>
        <v>2023_3</v>
      </c>
      <c r="L225">
        <f>MAX(0,VLOOKUP($K225,lookups!$A$1:$B$45,2,0)-12)</f>
        <v>23</v>
      </c>
      <c r="M225" s="40">
        <f t="shared" si="518"/>
        <v>44986</v>
      </c>
      <c r="N225" s="10" t="s">
        <v>37</v>
      </c>
      <c r="O225" t="str">
        <f ca="1">IF(OR($L225&gt;O$4,O$4&gt;$L225+23),"",OFFSET(Electric!$L216,0,-'Electric Calendarize'!$L225+'Electric Calendarize'!O$4+1))</f>
        <v/>
      </c>
      <c r="P225" t="str">
        <f ca="1">IF(OR($L225&gt;P$4,P$4&gt;$L225+23),"",OFFSET(Electric!$L216,0,-'Electric Calendarize'!$L225+'Electric Calendarize'!P$4+1))</f>
        <v/>
      </c>
      <c r="Q225" t="str">
        <f ca="1">IF(OR($L225&gt;Q$4,Q$4&gt;$L225+23),"",OFFSET(Electric!$L216,0,-'Electric Calendarize'!$L225+'Electric Calendarize'!Q$4+1))</f>
        <v/>
      </c>
      <c r="R225" t="str">
        <f ca="1">IF(OR($L225&gt;R$4,R$4&gt;$L225+23),"",OFFSET(Electric!$L216,0,-'Electric Calendarize'!$L225+'Electric Calendarize'!R$4+1))</f>
        <v/>
      </c>
      <c r="S225" t="str">
        <f ca="1">IF(OR($L225&gt;S$4,S$4&gt;$L225+23),"",OFFSET(Electric!$L216,0,-'Electric Calendarize'!$L225+'Electric Calendarize'!S$4+1))</f>
        <v/>
      </c>
      <c r="T225" t="str">
        <f ca="1">IF(OR($L225&gt;T$4,T$4&gt;$L225+23),"",OFFSET(Electric!$L216,0,-'Electric Calendarize'!$L225+'Electric Calendarize'!T$4+1))</f>
        <v/>
      </c>
      <c r="U225" t="str">
        <f ca="1">IF(OR($L225&gt;U$4,U$4&gt;$L225+23),"",OFFSET(Electric!$L216,0,-'Electric Calendarize'!$L225+'Electric Calendarize'!U$4+1))</f>
        <v/>
      </c>
      <c r="V225" t="str">
        <f ca="1">IF(OR($L225&gt;V$4,V$4&gt;$L225+23),"",OFFSET(Electric!$L216,0,-'Electric Calendarize'!$L225+'Electric Calendarize'!V$4+1))</f>
        <v/>
      </c>
      <c r="W225" t="str">
        <f ca="1">IF(OR($L225&gt;W$4,W$4&gt;$L225+23),"",OFFSET(Electric!$L216,0,-'Electric Calendarize'!$L225+'Electric Calendarize'!W$4+1))</f>
        <v/>
      </c>
      <c r="X225" t="str">
        <f ca="1">IF(OR($L225&gt;X$4,X$4&gt;$L225+23),"",OFFSET(Electric!$L216,0,-'Electric Calendarize'!$L225+'Electric Calendarize'!X$4+1))</f>
        <v/>
      </c>
      <c r="Y225" t="str">
        <f ca="1">IF(OR($L225&gt;Y$4,Y$4&gt;$L225+23),"",OFFSET(Electric!$L216,0,-'Electric Calendarize'!$L225+'Electric Calendarize'!Y$4+1))</f>
        <v/>
      </c>
      <c r="Z225" t="str">
        <f ca="1">IF(OR($L225&gt;Z$4,Z$4&gt;$L225+23),"",OFFSET(Electric!$L216,0,-'Electric Calendarize'!$L225+'Electric Calendarize'!Z$4+1))</f>
        <v/>
      </c>
      <c r="AA225" t="str">
        <f ca="1">IF(OR($L225&gt;AA$4,AA$4&gt;$L225+23),"",OFFSET(Electric!$L216,0,-'Electric Calendarize'!$L225+'Electric Calendarize'!AA$4+1))</f>
        <v/>
      </c>
      <c r="AB225" t="str">
        <f ca="1">IF(OR($L225&gt;AB$4,AB$4&gt;$L225+23),"",OFFSET(Electric!$L216,0,-'Electric Calendarize'!$L225+'Electric Calendarize'!AB$4+1))</f>
        <v/>
      </c>
      <c r="AC225" t="str">
        <f ca="1">IF(OR($L225&gt;AC$4,AC$4&gt;$L225+23),"",OFFSET(Electric!$L216,0,-'Electric Calendarize'!$L225+'Electric Calendarize'!AC$4+1))</f>
        <v/>
      </c>
      <c r="AD225" t="str">
        <f ca="1">IF(OR($L225&gt;AD$4,AD$4&gt;$L225+23),"",OFFSET(Electric!$L216,0,-'Electric Calendarize'!$L225+'Electric Calendarize'!AD$4+1))</f>
        <v/>
      </c>
      <c r="AE225" t="str">
        <f ca="1">IF(OR($L225&gt;AE$4,AE$4&gt;$L225+23),"",OFFSET(Electric!$L216,0,-'Electric Calendarize'!$L225+'Electric Calendarize'!AE$4+1))</f>
        <v/>
      </c>
      <c r="AF225" t="str">
        <f ca="1">IF(OR($L225&gt;AF$4,AF$4&gt;$L225+23),"",OFFSET(Electric!$L216,0,-'Electric Calendarize'!$L225+'Electric Calendarize'!AF$4+1))</f>
        <v/>
      </c>
      <c r="AG225" t="str">
        <f ca="1">IF(OR($L225&gt;AG$4,AG$4&gt;$L225+23),"",OFFSET(Electric!$L216,0,-'Electric Calendarize'!$L225+'Electric Calendarize'!AG$4+1))</f>
        <v/>
      </c>
      <c r="AH225" t="str">
        <f ca="1">IF(OR($L225&gt;AH$4,AH$4&gt;$L225+23),"",OFFSET(Electric!$L216,0,-'Electric Calendarize'!$L225+'Electric Calendarize'!AH$4+1))</f>
        <v/>
      </c>
      <c r="AI225" t="str">
        <f ca="1">IF(OR($L225&gt;AI$4,AI$4&gt;$L225+23),"",OFFSET(Electric!$L216,0,-'Electric Calendarize'!$L225+'Electric Calendarize'!AI$4+1))</f>
        <v/>
      </c>
      <c r="AJ225" t="str">
        <f ca="1">IF(OR($L225&gt;AJ$4,AJ$4&gt;$L225+23),"",OFFSET(Electric!$L216,0,-'Electric Calendarize'!$L225+'Electric Calendarize'!AJ$4+1))</f>
        <v/>
      </c>
      <c r="AK225" t="str">
        <f ca="1">IF(OR($L225&gt;AK$4,AK$4&gt;$L225+23),"",OFFSET(Electric!$L216,0,-'Electric Calendarize'!$L225+'Electric Calendarize'!AK$4+1))</f>
        <v/>
      </c>
      <c r="AL225">
        <f ca="1">IF(OR($L225&gt;AL$4,AL$4&gt;$L225+23),"",OFFSET(Electric!$L216,0,-'Electric Calendarize'!$L225+'Electric Calendarize'!AL$4+1))</f>
        <v>573</v>
      </c>
      <c r="AM225">
        <f ca="1">IF(OR($L225&gt;AM$4,AM$4&gt;$L225+23),"",OFFSET(Electric!$L216,0,-'Electric Calendarize'!$L225+'Electric Calendarize'!AM$4+1))</f>
        <v>860</v>
      </c>
      <c r="AN225">
        <f ca="1">IF(OR($L225&gt;AN$4,AN$4&gt;$L225+23),"",OFFSET(Electric!$L216,0,-'Electric Calendarize'!$L225+'Electric Calendarize'!AN$4+1))</f>
        <v>686</v>
      </c>
      <c r="AO225">
        <f ca="1">IF(OR($L225&gt;AO$4,AO$4&gt;$L225+23),"",OFFSET(Electric!$L216,0,-'Electric Calendarize'!$L225+'Electric Calendarize'!AO$4+1))</f>
        <v>538</v>
      </c>
      <c r="AP225">
        <f ca="1">IF(OR($L225&gt;AP$4,AP$4&gt;$L225+23),"",OFFSET(Electric!$L216,0,-'Electric Calendarize'!$L225+'Electric Calendarize'!AP$4+1))</f>
        <v>596</v>
      </c>
      <c r="AQ225">
        <f ca="1">IF(OR($L225&gt;AQ$4,AQ$4&gt;$L225+23),"",OFFSET(Electric!$L216,0,-'Electric Calendarize'!$L225+'Electric Calendarize'!AQ$4+1))</f>
        <v>942</v>
      </c>
      <c r="AR225">
        <f ca="1">IF(OR($L225&gt;AR$4,AR$4&gt;$L225+23),"",OFFSET(Electric!$L216,0,-'Electric Calendarize'!$L225+'Electric Calendarize'!AR$4+1))</f>
        <v>479</v>
      </c>
      <c r="AS225">
        <f ca="1">IF(OR($L225&gt;AS$4,AS$4&gt;$L225+23),"",OFFSET(Electric!$L216,0,-'Electric Calendarize'!$L225+'Electric Calendarize'!AS$4+1))</f>
        <v>459</v>
      </c>
      <c r="AT225">
        <f ca="1">IF(OR($L225&gt;AT$4,AT$4&gt;$L225+23),"",OFFSET(Electric!$L216,0,-'Electric Calendarize'!$L225+'Electric Calendarize'!AT$4+1))</f>
        <v>486</v>
      </c>
      <c r="AU225">
        <f ca="1">IF(OR($L225&gt;AU$4,AU$4&gt;$L225+23),"",OFFSET(Electric!$L216,0,-'Electric Calendarize'!$L225+'Electric Calendarize'!AU$4+1))</f>
        <v>627</v>
      </c>
      <c r="AV225">
        <f ca="1">IF(OR($L225&gt;AV$4,AV$4&gt;$L225+23),"",OFFSET(Electric!$L216,0,-'Electric Calendarize'!$L225+'Electric Calendarize'!AV$4+1))</f>
        <v>896</v>
      </c>
      <c r="AW225">
        <f ca="1">IF(OR($L225&gt;AW$4,AW$4&gt;$L225+23),"",OFFSET(Electric!$L216,0,-'Electric Calendarize'!$L225+'Electric Calendarize'!AW$4+1))</f>
        <v>886</v>
      </c>
      <c r="AX225">
        <f ca="1">IF(OR($L225&gt;AX$4,AX$4&gt;$L225+23),"",OFFSET(Electric!$L216,0,-'Electric Calendarize'!$L225+'Electric Calendarize'!AX$4+1))</f>
        <v>691</v>
      </c>
      <c r="AY225">
        <f ca="1">IF(OR($L225&gt;AY$4,AY$4&gt;$L225+23),"",OFFSET(Electric!$L216,0,-'Electric Calendarize'!$L225+'Electric Calendarize'!AY$4+1))</f>
        <v>655</v>
      </c>
      <c r="AZ225">
        <f ca="1">IF(OR($L225&gt;AZ$4,AZ$4&gt;$L225+23),"",OFFSET(Electric!$L216,0,-'Electric Calendarize'!$L225+'Electric Calendarize'!AZ$4+1))</f>
        <v>402</v>
      </c>
      <c r="BA225">
        <f ca="1">IF(OR($L225&gt;BA$4,BA$4&gt;$L225+23),"",OFFSET(Electric!$L216,0,-'Electric Calendarize'!$L225+'Electric Calendarize'!BA$4+1))</f>
        <v>431</v>
      </c>
      <c r="BB225">
        <f ca="1">IF(OR($L225&gt;BB$4,BB$4&gt;$L225+23),"",OFFSET(Electric!$L216,0,-'Electric Calendarize'!$L225+'Electric Calendarize'!BB$4+1))</f>
        <v>437</v>
      </c>
      <c r="BC225">
        <f ca="1">IF(OR($L225&gt;BC$4,BC$4&gt;$L225+23),"",OFFSET(Electric!$L216,0,-'Electric Calendarize'!$L225+'Electric Calendarize'!BC$4+1))</f>
        <v>586</v>
      </c>
      <c r="BD225">
        <f ca="1">IF(OR($L225&gt;BD$4,BD$4&gt;$L225+23),"",OFFSET(Electric!$L216,0,-'Electric Calendarize'!$L225+'Electric Calendarize'!BD$4+1))</f>
        <v>580</v>
      </c>
      <c r="BE225">
        <f ca="1">IF(OR($L225&gt;BE$4,BE$4&gt;$L225+23),"",OFFSET(Electric!$L216,0,-'Electric Calendarize'!$L225+'Electric Calendarize'!BE$4+1))</f>
        <v>493</v>
      </c>
      <c r="BF225">
        <f ca="1">IF(OR($L225&gt;BF$4,BF$4&gt;$L225+23),"",OFFSET(Electric!$L216,0,-'Electric Calendarize'!$L225+'Electric Calendarize'!BF$4+1))</f>
        <v>498</v>
      </c>
      <c r="BG225">
        <f ca="1">IF(OR($L225&gt;BG$4,BG$4&gt;$L225+23),"",OFFSET(Electric!$L216,0,-'Electric Calendarize'!$L225+'Electric Calendarize'!BG$4+1))</f>
        <v>796</v>
      </c>
      <c r="BJ225" s="10" t="s">
        <v>37</v>
      </c>
      <c r="BK225">
        <f t="shared" si="519"/>
        <v>1</v>
      </c>
      <c r="BL225">
        <f t="shared" si="425"/>
        <v>0</v>
      </c>
      <c r="BM225">
        <f t="shared" si="426"/>
        <v>0</v>
      </c>
      <c r="BN225">
        <f t="shared" si="427"/>
        <v>0</v>
      </c>
      <c r="BO225">
        <f t="shared" si="428"/>
        <v>0</v>
      </c>
      <c r="BP225">
        <f t="shared" si="429"/>
        <v>0</v>
      </c>
      <c r="BQ225">
        <f t="shared" si="430"/>
        <v>0</v>
      </c>
      <c r="BR225">
        <f t="shared" si="431"/>
        <v>1</v>
      </c>
      <c r="BS225">
        <f t="shared" si="432"/>
        <v>1</v>
      </c>
      <c r="BT225">
        <f t="shared" si="433"/>
        <v>1</v>
      </c>
      <c r="BU225">
        <f t="shared" si="434"/>
        <v>1</v>
      </c>
      <c r="BV225">
        <f t="shared" si="435"/>
        <v>1</v>
      </c>
      <c r="BW225">
        <f t="shared" si="436"/>
        <v>1</v>
      </c>
      <c r="BX225">
        <f t="shared" si="437"/>
        <v>0</v>
      </c>
      <c r="BY225">
        <f t="shared" si="438"/>
        <v>0</v>
      </c>
      <c r="BZ225">
        <f t="shared" si="439"/>
        <v>0</v>
      </c>
      <c r="CA225">
        <f t="shared" si="440"/>
        <v>0</v>
      </c>
      <c r="CB225">
        <f t="shared" si="441"/>
        <v>0</v>
      </c>
      <c r="CC225">
        <f t="shared" si="442"/>
        <v>0</v>
      </c>
      <c r="CD225">
        <f t="shared" si="443"/>
        <v>1</v>
      </c>
      <c r="CE225">
        <f t="shared" si="444"/>
        <v>1</v>
      </c>
      <c r="CF225">
        <f t="shared" si="445"/>
        <v>1</v>
      </c>
      <c r="CG225">
        <f t="shared" si="446"/>
        <v>1</v>
      </c>
      <c r="CH225">
        <f t="shared" si="447"/>
        <v>1</v>
      </c>
      <c r="CI225">
        <f t="shared" si="448"/>
        <v>1</v>
      </c>
      <c r="CJ225">
        <f t="shared" si="449"/>
        <v>0</v>
      </c>
      <c r="CK225">
        <f t="shared" si="450"/>
        <v>0</v>
      </c>
      <c r="CL225">
        <f t="shared" si="451"/>
        <v>0</v>
      </c>
      <c r="CM225">
        <f t="shared" si="452"/>
        <v>0</v>
      </c>
      <c r="CN225">
        <f t="shared" si="453"/>
        <v>0</v>
      </c>
      <c r="CO225">
        <f t="shared" si="454"/>
        <v>0</v>
      </c>
      <c r="CP225">
        <f t="shared" si="455"/>
        <v>1</v>
      </c>
      <c r="CQ225">
        <f t="shared" si="456"/>
        <v>1</v>
      </c>
      <c r="CR225">
        <f t="shared" si="457"/>
        <v>1</v>
      </c>
      <c r="CS225">
        <f t="shared" si="458"/>
        <v>1</v>
      </c>
      <c r="CT225">
        <f t="shared" si="459"/>
        <v>1</v>
      </c>
      <c r="CU225">
        <f t="shared" si="460"/>
        <v>1</v>
      </c>
      <c r="CV225">
        <f t="shared" si="461"/>
        <v>0</v>
      </c>
      <c r="CW225">
        <f t="shared" si="462"/>
        <v>0</v>
      </c>
      <c r="CX225">
        <f t="shared" si="463"/>
        <v>0</v>
      </c>
      <c r="CY225">
        <f t="shared" si="464"/>
        <v>0</v>
      </c>
      <c r="CZ225">
        <f t="shared" si="465"/>
        <v>0</v>
      </c>
      <c r="DA225">
        <f t="shared" si="466"/>
        <v>0</v>
      </c>
      <c r="DB225">
        <f t="shared" si="467"/>
        <v>1</v>
      </c>
      <c r="DC225">
        <f t="shared" si="468"/>
        <v>1</v>
      </c>
      <c r="DF225" s="10" t="s">
        <v>37</v>
      </c>
      <c r="DG225" t="str">
        <f t="shared" si="524"/>
        <v>2023_3</v>
      </c>
      <c r="DH225" t="str">
        <f t="shared" si="524"/>
        <v>2023_3</v>
      </c>
      <c r="DI225" t="str">
        <f t="shared" si="524"/>
        <v>2023_3</v>
      </c>
      <c r="DJ225" t="str">
        <f t="shared" si="524"/>
        <v>2023_3</v>
      </c>
      <c r="DK225" t="str">
        <f t="shared" si="524"/>
        <v>2023_3</v>
      </c>
      <c r="DL225" t="str">
        <f t="shared" si="524"/>
        <v>2023_3</v>
      </c>
      <c r="DM225" t="str">
        <f t="shared" si="524"/>
        <v>2023_3</v>
      </c>
      <c r="DN225" t="str">
        <f t="shared" si="524"/>
        <v>2023_3</v>
      </c>
      <c r="DO225" t="str">
        <f t="shared" si="524"/>
        <v>2023_3</v>
      </c>
      <c r="DP225" t="str">
        <f t="shared" si="524"/>
        <v>2023_3</v>
      </c>
      <c r="DQ225" t="str">
        <f t="shared" si="524"/>
        <v>2023_3</v>
      </c>
      <c r="DR225" t="str">
        <f t="shared" si="524"/>
        <v>2023_3</v>
      </c>
      <c r="DS225" t="str">
        <f t="shared" si="524"/>
        <v>2023_3</v>
      </c>
      <c r="DT225" t="str">
        <f t="shared" si="524"/>
        <v>2023_3</v>
      </c>
      <c r="DU225" t="str">
        <f t="shared" si="524"/>
        <v>2023_3</v>
      </c>
      <c r="DV225" t="str">
        <f t="shared" si="524"/>
        <v>2023_3</v>
      </c>
      <c r="DW225" t="str">
        <f t="shared" si="523"/>
        <v>2023_3</v>
      </c>
      <c r="DX225" t="str">
        <f t="shared" si="523"/>
        <v>2023_3</v>
      </c>
      <c r="DY225" t="str">
        <f t="shared" si="523"/>
        <v>2023_3</v>
      </c>
      <c r="DZ225" t="str">
        <f t="shared" si="523"/>
        <v>2023_3</v>
      </c>
      <c r="EA225" t="str">
        <f t="shared" si="523"/>
        <v>2023_3</v>
      </c>
      <c r="EB225" t="str">
        <f t="shared" si="523"/>
        <v>2023_3</v>
      </c>
      <c r="EC225" t="str">
        <f t="shared" si="523"/>
        <v>2023_3</v>
      </c>
      <c r="ED225" t="str">
        <f t="shared" si="523"/>
        <v>2023_3</v>
      </c>
      <c r="EE225" t="str">
        <f t="shared" si="523"/>
        <v>2023_3</v>
      </c>
      <c r="EF225" t="str">
        <f t="shared" si="523"/>
        <v>2023_3</v>
      </c>
      <c r="EG225" t="str">
        <f t="shared" si="523"/>
        <v>2023_3</v>
      </c>
      <c r="EH225" t="str">
        <f t="shared" si="523"/>
        <v>2023_3</v>
      </c>
      <c r="EI225" t="str">
        <f t="shared" si="523"/>
        <v>2023_3</v>
      </c>
      <c r="EJ225" t="str">
        <f t="shared" si="523"/>
        <v>2023_3</v>
      </c>
      <c r="EK225" t="str">
        <f t="shared" si="522"/>
        <v>2023_3</v>
      </c>
      <c r="EL225" t="str">
        <f t="shared" si="522"/>
        <v>2023_3</v>
      </c>
      <c r="EM225" t="str">
        <f t="shared" si="522"/>
        <v>2023_3</v>
      </c>
      <c r="EN225" t="str">
        <f t="shared" si="522"/>
        <v>2023_3</v>
      </c>
      <c r="EO225" t="str">
        <f t="shared" si="522"/>
        <v>2023_3</v>
      </c>
      <c r="EP225" t="str">
        <f t="shared" si="522"/>
        <v>2023_3</v>
      </c>
      <c r="EQ225" t="str">
        <f t="shared" si="522"/>
        <v>2023_3</v>
      </c>
      <c r="ER225" t="str">
        <f t="shared" si="522"/>
        <v>2023_3</v>
      </c>
      <c r="ES225" t="str">
        <f t="shared" si="522"/>
        <v>2023_3</v>
      </c>
      <c r="ET225" t="str">
        <f t="shared" si="522"/>
        <v>2023_3</v>
      </c>
      <c r="EU225" t="str">
        <f t="shared" si="522"/>
        <v>2023_3</v>
      </c>
      <c r="EV225" t="str">
        <f t="shared" si="522"/>
        <v>2023_3</v>
      </c>
      <c r="EW225" t="str">
        <f t="shared" si="522"/>
        <v>2023_3</v>
      </c>
      <c r="EX225" t="str">
        <f t="shared" si="522"/>
        <v>2023_3</v>
      </c>
      <c r="EY225" t="str">
        <f t="shared" si="522"/>
        <v>2023_3</v>
      </c>
      <c r="FB225" s="10" t="s">
        <v>37</v>
      </c>
      <c r="FC225">
        <f t="shared" si="521"/>
        <v>0</v>
      </c>
      <c r="FD225">
        <f t="shared" si="471"/>
        <v>0</v>
      </c>
      <c r="FE225">
        <f t="shared" si="472"/>
        <v>0</v>
      </c>
      <c r="FF225">
        <f t="shared" si="473"/>
        <v>0</v>
      </c>
      <c r="FG225">
        <f t="shared" si="474"/>
        <v>0</v>
      </c>
      <c r="FH225">
        <f t="shared" si="475"/>
        <v>0</v>
      </c>
      <c r="FI225">
        <f t="shared" si="476"/>
        <v>0</v>
      </c>
      <c r="FJ225">
        <f t="shared" si="477"/>
        <v>0</v>
      </c>
      <c r="FK225">
        <f t="shared" si="478"/>
        <v>0</v>
      </c>
      <c r="FL225">
        <f t="shared" si="479"/>
        <v>0</v>
      </c>
      <c r="FM225">
        <f t="shared" si="480"/>
        <v>0</v>
      </c>
      <c r="FN225">
        <f t="shared" si="481"/>
        <v>0</v>
      </c>
      <c r="FO225">
        <f t="shared" si="482"/>
        <v>0</v>
      </c>
      <c r="FP225">
        <f t="shared" si="483"/>
        <v>0</v>
      </c>
      <c r="FQ225">
        <f t="shared" si="484"/>
        <v>0</v>
      </c>
      <c r="FR225">
        <f t="shared" si="485"/>
        <v>0</v>
      </c>
      <c r="FS225">
        <f t="shared" si="486"/>
        <v>0</v>
      </c>
      <c r="FT225">
        <f t="shared" si="487"/>
        <v>0</v>
      </c>
      <c r="FU225">
        <f t="shared" si="488"/>
        <v>0</v>
      </c>
      <c r="FV225">
        <f t="shared" si="489"/>
        <v>0</v>
      </c>
      <c r="FW225">
        <f t="shared" si="490"/>
        <v>0</v>
      </c>
      <c r="FX225">
        <f t="shared" si="491"/>
        <v>0</v>
      </c>
      <c r="FY225">
        <f t="shared" si="492"/>
        <v>0</v>
      </c>
      <c r="FZ225">
        <f t="shared" si="493"/>
        <v>0</v>
      </c>
      <c r="GA225">
        <f t="shared" si="494"/>
        <v>0</v>
      </c>
      <c r="GB225">
        <f t="shared" si="495"/>
        <v>0</v>
      </c>
      <c r="GC225">
        <f t="shared" si="496"/>
        <v>0</v>
      </c>
      <c r="GD225">
        <f t="shared" si="497"/>
        <v>0</v>
      </c>
      <c r="GE225">
        <f t="shared" si="498"/>
        <v>0</v>
      </c>
      <c r="GF225">
        <f t="shared" si="499"/>
        <v>0</v>
      </c>
      <c r="GG225">
        <f t="shared" si="500"/>
        <v>0</v>
      </c>
      <c r="GH225">
        <f t="shared" si="501"/>
        <v>0</v>
      </c>
      <c r="GI225">
        <f t="shared" si="502"/>
        <v>0</v>
      </c>
      <c r="GJ225">
        <f t="shared" si="503"/>
        <v>0</v>
      </c>
      <c r="GK225">
        <f t="shared" si="504"/>
        <v>0</v>
      </c>
      <c r="GL225">
        <f t="shared" si="505"/>
        <v>1</v>
      </c>
      <c r="GM225">
        <f t="shared" si="506"/>
        <v>1</v>
      </c>
      <c r="GN225">
        <f t="shared" si="507"/>
        <v>1</v>
      </c>
      <c r="GO225">
        <f t="shared" si="508"/>
        <v>1</v>
      </c>
      <c r="GP225">
        <f t="shared" si="509"/>
        <v>1</v>
      </c>
      <c r="GQ225">
        <f t="shared" si="510"/>
        <v>1</v>
      </c>
      <c r="GR225">
        <f t="shared" si="511"/>
        <v>1</v>
      </c>
      <c r="GS225">
        <f t="shared" si="512"/>
        <v>1</v>
      </c>
      <c r="GT225">
        <f t="shared" si="513"/>
        <v>1</v>
      </c>
      <c r="GU225">
        <f t="shared" si="514"/>
        <v>1</v>
      </c>
      <c r="GX225" s="10"/>
    </row>
    <row r="226" spans="1:206" x14ac:dyDescent="0.3">
      <c r="A226" s="9" t="s">
        <v>128</v>
      </c>
      <c r="B226" s="80"/>
      <c r="C226" s="9">
        <v>3152323000</v>
      </c>
      <c r="D226" s="9" t="s">
        <v>401</v>
      </c>
      <c r="E226" s="9" t="s">
        <v>39</v>
      </c>
      <c r="F226" s="9" t="s">
        <v>35</v>
      </c>
      <c r="G226" s="9" t="s">
        <v>104</v>
      </c>
      <c r="H226" s="10">
        <v>44998</v>
      </c>
      <c r="I226" s="9">
        <f t="shared" si="515"/>
        <v>2023</v>
      </c>
      <c r="J226" s="9">
        <f t="shared" si="516"/>
        <v>3</v>
      </c>
      <c r="K226" s="9" t="str">
        <f t="shared" si="517"/>
        <v>2023_3</v>
      </c>
      <c r="L226">
        <f>MAX(0,VLOOKUP($K226,lookups!$A$1:$B$45,2,0)-12)</f>
        <v>23</v>
      </c>
      <c r="M226" s="40">
        <f t="shared" si="518"/>
        <v>44986</v>
      </c>
      <c r="N226" s="10" t="s">
        <v>37</v>
      </c>
      <c r="O226" t="str">
        <f ca="1">IF(OR($L226&gt;O$4,O$4&gt;$L226+23),"",OFFSET(Electric!$L217,0,-'Electric Calendarize'!$L226+'Electric Calendarize'!O$4+1))</f>
        <v/>
      </c>
      <c r="P226" t="str">
        <f ca="1">IF(OR($L226&gt;P$4,P$4&gt;$L226+23),"",OFFSET(Electric!$L217,0,-'Electric Calendarize'!$L226+'Electric Calendarize'!P$4+1))</f>
        <v/>
      </c>
      <c r="Q226" t="str">
        <f ca="1">IF(OR($L226&gt;Q$4,Q$4&gt;$L226+23),"",OFFSET(Electric!$L217,0,-'Electric Calendarize'!$L226+'Electric Calendarize'!Q$4+1))</f>
        <v/>
      </c>
      <c r="R226" t="str">
        <f ca="1">IF(OR($L226&gt;R$4,R$4&gt;$L226+23),"",OFFSET(Electric!$L217,0,-'Electric Calendarize'!$L226+'Electric Calendarize'!R$4+1))</f>
        <v/>
      </c>
      <c r="S226" t="str">
        <f ca="1">IF(OR($L226&gt;S$4,S$4&gt;$L226+23),"",OFFSET(Electric!$L217,0,-'Electric Calendarize'!$L226+'Electric Calendarize'!S$4+1))</f>
        <v/>
      </c>
      <c r="T226" t="str">
        <f ca="1">IF(OR($L226&gt;T$4,T$4&gt;$L226+23),"",OFFSET(Electric!$L217,0,-'Electric Calendarize'!$L226+'Electric Calendarize'!T$4+1))</f>
        <v/>
      </c>
      <c r="U226" t="str">
        <f ca="1">IF(OR($L226&gt;U$4,U$4&gt;$L226+23),"",OFFSET(Electric!$L217,0,-'Electric Calendarize'!$L226+'Electric Calendarize'!U$4+1))</f>
        <v/>
      </c>
      <c r="V226" t="str">
        <f ca="1">IF(OR($L226&gt;V$4,V$4&gt;$L226+23),"",OFFSET(Electric!$L217,0,-'Electric Calendarize'!$L226+'Electric Calendarize'!V$4+1))</f>
        <v/>
      </c>
      <c r="W226" t="str">
        <f ca="1">IF(OR($L226&gt;W$4,W$4&gt;$L226+23),"",OFFSET(Electric!$L217,0,-'Electric Calendarize'!$L226+'Electric Calendarize'!W$4+1))</f>
        <v/>
      </c>
      <c r="X226" t="str">
        <f ca="1">IF(OR($L226&gt;X$4,X$4&gt;$L226+23),"",OFFSET(Electric!$L217,0,-'Electric Calendarize'!$L226+'Electric Calendarize'!X$4+1))</f>
        <v/>
      </c>
      <c r="Y226" t="str">
        <f ca="1">IF(OR($L226&gt;Y$4,Y$4&gt;$L226+23),"",OFFSET(Electric!$L217,0,-'Electric Calendarize'!$L226+'Electric Calendarize'!Y$4+1))</f>
        <v/>
      </c>
      <c r="Z226" t="str">
        <f ca="1">IF(OR($L226&gt;Z$4,Z$4&gt;$L226+23),"",OFFSET(Electric!$L217,0,-'Electric Calendarize'!$L226+'Electric Calendarize'!Z$4+1))</f>
        <v/>
      </c>
      <c r="AA226" t="str">
        <f ca="1">IF(OR($L226&gt;AA$4,AA$4&gt;$L226+23),"",OFFSET(Electric!$L217,0,-'Electric Calendarize'!$L226+'Electric Calendarize'!AA$4+1))</f>
        <v/>
      </c>
      <c r="AB226" t="str">
        <f ca="1">IF(OR($L226&gt;AB$4,AB$4&gt;$L226+23),"",OFFSET(Electric!$L217,0,-'Electric Calendarize'!$L226+'Electric Calendarize'!AB$4+1))</f>
        <v/>
      </c>
      <c r="AC226" t="str">
        <f ca="1">IF(OR($L226&gt;AC$4,AC$4&gt;$L226+23),"",OFFSET(Electric!$L217,0,-'Electric Calendarize'!$L226+'Electric Calendarize'!AC$4+1))</f>
        <v/>
      </c>
      <c r="AD226" t="str">
        <f ca="1">IF(OR($L226&gt;AD$4,AD$4&gt;$L226+23),"",OFFSET(Electric!$L217,0,-'Electric Calendarize'!$L226+'Electric Calendarize'!AD$4+1))</f>
        <v/>
      </c>
      <c r="AE226" t="str">
        <f ca="1">IF(OR($L226&gt;AE$4,AE$4&gt;$L226+23),"",OFFSET(Electric!$L217,0,-'Electric Calendarize'!$L226+'Electric Calendarize'!AE$4+1))</f>
        <v/>
      </c>
      <c r="AF226" t="str">
        <f ca="1">IF(OR($L226&gt;AF$4,AF$4&gt;$L226+23),"",OFFSET(Electric!$L217,0,-'Electric Calendarize'!$L226+'Electric Calendarize'!AF$4+1))</f>
        <v/>
      </c>
      <c r="AG226" t="str">
        <f ca="1">IF(OR($L226&gt;AG$4,AG$4&gt;$L226+23),"",OFFSET(Electric!$L217,0,-'Electric Calendarize'!$L226+'Electric Calendarize'!AG$4+1))</f>
        <v/>
      </c>
      <c r="AH226" t="str">
        <f ca="1">IF(OR($L226&gt;AH$4,AH$4&gt;$L226+23),"",OFFSET(Electric!$L217,0,-'Electric Calendarize'!$L226+'Electric Calendarize'!AH$4+1))</f>
        <v/>
      </c>
      <c r="AI226" t="str">
        <f ca="1">IF(OR($L226&gt;AI$4,AI$4&gt;$L226+23),"",OFFSET(Electric!$L217,0,-'Electric Calendarize'!$L226+'Electric Calendarize'!AI$4+1))</f>
        <v/>
      </c>
      <c r="AJ226" t="str">
        <f ca="1">IF(OR($L226&gt;AJ$4,AJ$4&gt;$L226+23),"",OFFSET(Electric!$L217,0,-'Electric Calendarize'!$L226+'Electric Calendarize'!AJ$4+1))</f>
        <v/>
      </c>
      <c r="AK226" t="str">
        <f ca="1">IF(OR($L226&gt;AK$4,AK$4&gt;$L226+23),"",OFFSET(Electric!$L217,0,-'Electric Calendarize'!$L226+'Electric Calendarize'!AK$4+1))</f>
        <v/>
      </c>
      <c r="AL226">
        <f ca="1">IF(OR($L226&gt;AL$4,AL$4&gt;$L226+23),"",OFFSET(Electric!$L217,0,-'Electric Calendarize'!$L226+'Electric Calendarize'!AL$4+1))</f>
        <v>1129</v>
      </c>
      <c r="AM226">
        <f ca="1">IF(OR($L226&gt;AM$4,AM$4&gt;$L226+23),"",OFFSET(Electric!$L217,0,-'Electric Calendarize'!$L226+'Electric Calendarize'!AM$4+1))</f>
        <v>940</v>
      </c>
      <c r="AN226">
        <f ca="1">IF(OR($L226&gt;AN$4,AN$4&gt;$L226+23),"",OFFSET(Electric!$L217,0,-'Electric Calendarize'!$L226+'Electric Calendarize'!AN$4+1))</f>
        <v>1005</v>
      </c>
      <c r="AO226">
        <f ca="1">IF(OR($L226&gt;AO$4,AO$4&gt;$L226+23),"",OFFSET(Electric!$L217,0,-'Electric Calendarize'!$L226+'Electric Calendarize'!AO$4+1))</f>
        <v>1115</v>
      </c>
      <c r="AP226">
        <f ca="1">IF(OR($L226&gt;AP$4,AP$4&gt;$L226+23),"",OFFSET(Electric!$L217,0,-'Electric Calendarize'!$L226+'Electric Calendarize'!AP$4+1))</f>
        <v>1615</v>
      </c>
      <c r="AQ226">
        <f ca="1">IF(OR($L226&gt;AQ$4,AQ$4&gt;$L226+23),"",OFFSET(Electric!$L217,0,-'Electric Calendarize'!$L226+'Electric Calendarize'!AQ$4+1))</f>
        <v>1859</v>
      </c>
      <c r="AR226">
        <f ca="1">IF(OR($L226&gt;AR$4,AR$4&gt;$L226+23),"",OFFSET(Electric!$L217,0,-'Electric Calendarize'!$L226+'Electric Calendarize'!AR$4+1))</f>
        <v>1410</v>
      </c>
      <c r="AS226">
        <f ca="1">IF(OR($L226&gt;AS$4,AS$4&gt;$L226+23),"",OFFSET(Electric!$L217,0,-'Electric Calendarize'!$L226+'Electric Calendarize'!AS$4+1))</f>
        <v>940</v>
      </c>
      <c r="AT226">
        <f ca="1">IF(OR($L226&gt;AT$4,AT$4&gt;$L226+23),"",OFFSET(Electric!$L217,0,-'Electric Calendarize'!$L226+'Electric Calendarize'!AT$4+1))</f>
        <v>1174</v>
      </c>
      <c r="AU226">
        <f ca="1">IF(OR($L226&gt;AU$4,AU$4&gt;$L226+23),"",OFFSET(Electric!$L217,0,-'Electric Calendarize'!$L226+'Electric Calendarize'!AU$4+1))</f>
        <v>1105</v>
      </c>
      <c r="AV226">
        <f ca="1">IF(OR($L226&gt;AV$4,AV$4&gt;$L226+23),"",OFFSET(Electric!$L217,0,-'Electric Calendarize'!$L226+'Electric Calendarize'!AV$4+1))</f>
        <v>1031</v>
      </c>
      <c r="AW226">
        <f ca="1">IF(OR($L226&gt;AW$4,AW$4&gt;$L226+23),"",OFFSET(Electric!$L217,0,-'Electric Calendarize'!$L226+'Electric Calendarize'!AW$4+1))</f>
        <v>1005</v>
      </c>
      <c r="AX226">
        <f ca="1">IF(OR($L226&gt;AX$4,AX$4&gt;$L226+23),"",OFFSET(Electric!$L217,0,-'Electric Calendarize'!$L226+'Electric Calendarize'!AX$4+1))</f>
        <v>987</v>
      </c>
      <c r="AY226">
        <f ca="1">IF(OR($L226&gt;AY$4,AY$4&gt;$L226+23),"",OFFSET(Electric!$L217,0,-'Electric Calendarize'!$L226+'Electric Calendarize'!AY$4+1))</f>
        <v>823</v>
      </c>
      <c r="AZ226">
        <f ca="1">IF(OR($L226&gt;AZ$4,AZ$4&gt;$L226+23),"",OFFSET(Electric!$L217,0,-'Electric Calendarize'!$L226+'Electric Calendarize'!AZ$4+1))</f>
        <v>882</v>
      </c>
      <c r="BA226">
        <f ca="1">IF(OR($L226&gt;BA$4,BA$4&gt;$L226+23),"",OFFSET(Electric!$L217,0,-'Electric Calendarize'!$L226+'Electric Calendarize'!BA$4+1))</f>
        <v>1223</v>
      </c>
      <c r="BB226">
        <f ca="1">IF(OR($L226&gt;BB$4,BB$4&gt;$L226+23),"",OFFSET(Electric!$L217,0,-'Electric Calendarize'!$L226+'Electric Calendarize'!BB$4+1))</f>
        <v>1763</v>
      </c>
      <c r="BC226">
        <f ca="1">IF(OR($L226&gt;BC$4,BC$4&gt;$L226+23),"",OFFSET(Electric!$L217,0,-'Electric Calendarize'!$L226+'Electric Calendarize'!BC$4+1))</f>
        <v>1315</v>
      </c>
      <c r="BD226">
        <f ca="1">IF(OR($L226&gt;BD$4,BD$4&gt;$L226+23),"",OFFSET(Electric!$L217,0,-'Electric Calendarize'!$L226+'Electric Calendarize'!BD$4+1))</f>
        <v>1308</v>
      </c>
      <c r="BE226">
        <f ca="1">IF(OR($L226&gt;BE$4,BE$4&gt;$L226+23),"",OFFSET(Electric!$L217,0,-'Electric Calendarize'!$L226+'Electric Calendarize'!BE$4+1))</f>
        <v>816</v>
      </c>
      <c r="BF226">
        <f ca="1">IF(OR($L226&gt;BF$4,BF$4&gt;$L226+23),"",OFFSET(Electric!$L217,0,-'Electric Calendarize'!$L226+'Electric Calendarize'!BF$4+1))</f>
        <v>1270</v>
      </c>
      <c r="BG226">
        <f ca="1">IF(OR($L226&gt;BG$4,BG$4&gt;$L226+23),"",OFFSET(Electric!$L217,0,-'Electric Calendarize'!$L226+'Electric Calendarize'!BG$4+1))</f>
        <v>0</v>
      </c>
      <c r="BJ226" s="10" t="s">
        <v>37</v>
      </c>
      <c r="BK226">
        <f t="shared" si="519"/>
        <v>1</v>
      </c>
      <c r="BL226">
        <f t="shared" si="425"/>
        <v>0</v>
      </c>
      <c r="BM226">
        <f t="shared" si="426"/>
        <v>0</v>
      </c>
      <c r="BN226">
        <f t="shared" si="427"/>
        <v>0</v>
      </c>
      <c r="BO226">
        <f t="shared" si="428"/>
        <v>0</v>
      </c>
      <c r="BP226">
        <f t="shared" si="429"/>
        <v>0</v>
      </c>
      <c r="BQ226">
        <f t="shared" si="430"/>
        <v>0</v>
      </c>
      <c r="BR226">
        <f t="shared" si="431"/>
        <v>1</v>
      </c>
      <c r="BS226">
        <f t="shared" si="432"/>
        <v>1</v>
      </c>
      <c r="BT226">
        <f t="shared" si="433"/>
        <v>1</v>
      </c>
      <c r="BU226">
        <f t="shared" si="434"/>
        <v>1</v>
      </c>
      <c r="BV226">
        <f t="shared" si="435"/>
        <v>1</v>
      </c>
      <c r="BW226">
        <f t="shared" si="436"/>
        <v>1</v>
      </c>
      <c r="BX226">
        <f t="shared" si="437"/>
        <v>0</v>
      </c>
      <c r="BY226">
        <f t="shared" si="438"/>
        <v>0</v>
      </c>
      <c r="BZ226">
        <f t="shared" si="439"/>
        <v>0</v>
      </c>
      <c r="CA226">
        <f t="shared" si="440"/>
        <v>0</v>
      </c>
      <c r="CB226">
        <f t="shared" si="441"/>
        <v>0</v>
      </c>
      <c r="CC226">
        <f t="shared" si="442"/>
        <v>0</v>
      </c>
      <c r="CD226">
        <f t="shared" si="443"/>
        <v>1</v>
      </c>
      <c r="CE226">
        <f t="shared" si="444"/>
        <v>1</v>
      </c>
      <c r="CF226">
        <f t="shared" si="445"/>
        <v>1</v>
      </c>
      <c r="CG226">
        <f t="shared" si="446"/>
        <v>1</v>
      </c>
      <c r="CH226">
        <f t="shared" si="447"/>
        <v>1</v>
      </c>
      <c r="CI226">
        <f t="shared" si="448"/>
        <v>1</v>
      </c>
      <c r="CJ226">
        <f t="shared" si="449"/>
        <v>0</v>
      </c>
      <c r="CK226">
        <f t="shared" si="450"/>
        <v>0</v>
      </c>
      <c r="CL226">
        <f t="shared" si="451"/>
        <v>0</v>
      </c>
      <c r="CM226">
        <f t="shared" si="452"/>
        <v>0</v>
      </c>
      <c r="CN226">
        <f t="shared" si="453"/>
        <v>0</v>
      </c>
      <c r="CO226">
        <f t="shared" si="454"/>
        <v>0</v>
      </c>
      <c r="CP226">
        <f t="shared" si="455"/>
        <v>1</v>
      </c>
      <c r="CQ226">
        <f t="shared" si="456"/>
        <v>1</v>
      </c>
      <c r="CR226">
        <f t="shared" si="457"/>
        <v>1</v>
      </c>
      <c r="CS226">
        <f t="shared" si="458"/>
        <v>1</v>
      </c>
      <c r="CT226">
        <f t="shared" si="459"/>
        <v>1</v>
      </c>
      <c r="CU226">
        <f t="shared" si="460"/>
        <v>1</v>
      </c>
      <c r="CV226">
        <f t="shared" si="461"/>
        <v>0</v>
      </c>
      <c r="CW226">
        <f t="shared" si="462"/>
        <v>0</v>
      </c>
      <c r="CX226">
        <f t="shared" si="463"/>
        <v>0</v>
      </c>
      <c r="CY226">
        <f t="shared" si="464"/>
        <v>0</v>
      </c>
      <c r="CZ226">
        <f t="shared" si="465"/>
        <v>0</v>
      </c>
      <c r="DA226">
        <f t="shared" si="466"/>
        <v>0</v>
      </c>
      <c r="DB226">
        <f t="shared" si="467"/>
        <v>1</v>
      </c>
      <c r="DC226">
        <f t="shared" si="468"/>
        <v>1</v>
      </c>
      <c r="DF226" s="10" t="s">
        <v>37</v>
      </c>
      <c r="DG226" t="str">
        <f t="shared" si="524"/>
        <v>2023_3</v>
      </c>
      <c r="DH226" t="str">
        <f t="shared" si="524"/>
        <v>2023_3</v>
      </c>
      <c r="DI226" t="str">
        <f t="shared" si="524"/>
        <v>2023_3</v>
      </c>
      <c r="DJ226" t="str">
        <f t="shared" si="524"/>
        <v>2023_3</v>
      </c>
      <c r="DK226" t="str">
        <f t="shared" si="524"/>
        <v>2023_3</v>
      </c>
      <c r="DL226" t="str">
        <f t="shared" si="524"/>
        <v>2023_3</v>
      </c>
      <c r="DM226" t="str">
        <f t="shared" si="524"/>
        <v>2023_3</v>
      </c>
      <c r="DN226" t="str">
        <f t="shared" si="524"/>
        <v>2023_3</v>
      </c>
      <c r="DO226" t="str">
        <f t="shared" si="524"/>
        <v>2023_3</v>
      </c>
      <c r="DP226" t="str">
        <f t="shared" si="524"/>
        <v>2023_3</v>
      </c>
      <c r="DQ226" t="str">
        <f t="shared" si="524"/>
        <v>2023_3</v>
      </c>
      <c r="DR226" t="str">
        <f t="shared" si="524"/>
        <v>2023_3</v>
      </c>
      <c r="DS226" t="str">
        <f t="shared" si="524"/>
        <v>2023_3</v>
      </c>
      <c r="DT226" t="str">
        <f t="shared" si="524"/>
        <v>2023_3</v>
      </c>
      <c r="DU226" t="str">
        <f t="shared" si="524"/>
        <v>2023_3</v>
      </c>
      <c r="DV226" t="str">
        <f t="shared" si="524"/>
        <v>2023_3</v>
      </c>
      <c r="DW226" t="str">
        <f t="shared" si="523"/>
        <v>2023_3</v>
      </c>
      <c r="DX226" t="str">
        <f t="shared" si="523"/>
        <v>2023_3</v>
      </c>
      <c r="DY226" t="str">
        <f t="shared" si="523"/>
        <v>2023_3</v>
      </c>
      <c r="DZ226" t="str">
        <f t="shared" si="523"/>
        <v>2023_3</v>
      </c>
      <c r="EA226" t="str">
        <f t="shared" si="523"/>
        <v>2023_3</v>
      </c>
      <c r="EB226" t="str">
        <f t="shared" si="523"/>
        <v>2023_3</v>
      </c>
      <c r="EC226" t="str">
        <f t="shared" si="523"/>
        <v>2023_3</v>
      </c>
      <c r="ED226" t="str">
        <f t="shared" si="523"/>
        <v>2023_3</v>
      </c>
      <c r="EE226" t="str">
        <f t="shared" si="523"/>
        <v>2023_3</v>
      </c>
      <c r="EF226" t="str">
        <f t="shared" si="523"/>
        <v>2023_3</v>
      </c>
      <c r="EG226" t="str">
        <f t="shared" si="523"/>
        <v>2023_3</v>
      </c>
      <c r="EH226" t="str">
        <f t="shared" si="523"/>
        <v>2023_3</v>
      </c>
      <c r="EI226" t="str">
        <f t="shared" si="523"/>
        <v>2023_3</v>
      </c>
      <c r="EJ226" t="str">
        <f t="shared" si="523"/>
        <v>2023_3</v>
      </c>
      <c r="EK226" t="str">
        <f t="shared" si="522"/>
        <v>2023_3</v>
      </c>
      <c r="EL226" t="str">
        <f t="shared" si="522"/>
        <v>2023_3</v>
      </c>
      <c r="EM226" t="str">
        <f t="shared" si="522"/>
        <v>2023_3</v>
      </c>
      <c r="EN226" t="str">
        <f t="shared" si="522"/>
        <v>2023_3</v>
      </c>
      <c r="EO226" t="str">
        <f t="shared" si="522"/>
        <v>2023_3</v>
      </c>
      <c r="EP226" t="str">
        <f t="shared" si="522"/>
        <v>2023_3</v>
      </c>
      <c r="EQ226" t="str">
        <f t="shared" si="522"/>
        <v>2023_3</v>
      </c>
      <c r="ER226" t="str">
        <f t="shared" si="522"/>
        <v>2023_3</v>
      </c>
      <c r="ES226" t="str">
        <f t="shared" si="522"/>
        <v>2023_3</v>
      </c>
      <c r="ET226" t="str">
        <f t="shared" si="522"/>
        <v>2023_3</v>
      </c>
      <c r="EU226" t="str">
        <f t="shared" si="522"/>
        <v>2023_3</v>
      </c>
      <c r="EV226" t="str">
        <f t="shared" si="522"/>
        <v>2023_3</v>
      </c>
      <c r="EW226" t="str">
        <f t="shared" si="522"/>
        <v>2023_3</v>
      </c>
      <c r="EX226" t="str">
        <f t="shared" si="522"/>
        <v>2023_3</v>
      </c>
      <c r="EY226" t="str">
        <f t="shared" si="522"/>
        <v>2023_3</v>
      </c>
      <c r="FB226" s="10" t="s">
        <v>37</v>
      </c>
      <c r="FC226">
        <f t="shared" si="521"/>
        <v>0</v>
      </c>
      <c r="FD226">
        <f t="shared" si="471"/>
        <v>0</v>
      </c>
      <c r="FE226">
        <f t="shared" si="472"/>
        <v>0</v>
      </c>
      <c r="FF226">
        <f t="shared" si="473"/>
        <v>0</v>
      </c>
      <c r="FG226">
        <f t="shared" si="474"/>
        <v>0</v>
      </c>
      <c r="FH226">
        <f t="shared" si="475"/>
        <v>0</v>
      </c>
      <c r="FI226">
        <f t="shared" si="476"/>
        <v>0</v>
      </c>
      <c r="FJ226">
        <f t="shared" si="477"/>
        <v>0</v>
      </c>
      <c r="FK226">
        <f t="shared" si="478"/>
        <v>0</v>
      </c>
      <c r="FL226">
        <f t="shared" si="479"/>
        <v>0</v>
      </c>
      <c r="FM226">
        <f t="shared" si="480"/>
        <v>0</v>
      </c>
      <c r="FN226">
        <f t="shared" si="481"/>
        <v>0</v>
      </c>
      <c r="FO226">
        <f t="shared" si="482"/>
        <v>0</v>
      </c>
      <c r="FP226">
        <f t="shared" si="483"/>
        <v>0</v>
      </c>
      <c r="FQ226">
        <f t="shared" si="484"/>
        <v>0</v>
      </c>
      <c r="FR226">
        <f t="shared" si="485"/>
        <v>0</v>
      </c>
      <c r="FS226">
        <f t="shared" si="486"/>
        <v>0</v>
      </c>
      <c r="FT226">
        <f t="shared" si="487"/>
        <v>0</v>
      </c>
      <c r="FU226">
        <f t="shared" si="488"/>
        <v>0</v>
      </c>
      <c r="FV226">
        <f t="shared" si="489"/>
        <v>0</v>
      </c>
      <c r="FW226">
        <f t="shared" si="490"/>
        <v>0</v>
      </c>
      <c r="FX226">
        <f t="shared" si="491"/>
        <v>0</v>
      </c>
      <c r="FY226">
        <f t="shared" si="492"/>
        <v>0</v>
      </c>
      <c r="FZ226">
        <f t="shared" si="493"/>
        <v>0</v>
      </c>
      <c r="GA226">
        <f t="shared" si="494"/>
        <v>0</v>
      </c>
      <c r="GB226">
        <f t="shared" si="495"/>
        <v>0</v>
      </c>
      <c r="GC226">
        <f t="shared" si="496"/>
        <v>0</v>
      </c>
      <c r="GD226">
        <f t="shared" si="497"/>
        <v>0</v>
      </c>
      <c r="GE226">
        <f t="shared" si="498"/>
        <v>0</v>
      </c>
      <c r="GF226">
        <f t="shared" si="499"/>
        <v>0</v>
      </c>
      <c r="GG226">
        <f t="shared" si="500"/>
        <v>0</v>
      </c>
      <c r="GH226">
        <f t="shared" si="501"/>
        <v>0</v>
      </c>
      <c r="GI226">
        <f t="shared" si="502"/>
        <v>0</v>
      </c>
      <c r="GJ226">
        <f t="shared" si="503"/>
        <v>0</v>
      </c>
      <c r="GK226">
        <f t="shared" si="504"/>
        <v>0</v>
      </c>
      <c r="GL226">
        <f t="shared" si="505"/>
        <v>1</v>
      </c>
      <c r="GM226">
        <f t="shared" si="506"/>
        <v>1</v>
      </c>
      <c r="GN226">
        <f t="shared" si="507"/>
        <v>1</v>
      </c>
      <c r="GO226">
        <f t="shared" si="508"/>
        <v>1</v>
      </c>
      <c r="GP226">
        <f t="shared" si="509"/>
        <v>1</v>
      </c>
      <c r="GQ226">
        <f t="shared" si="510"/>
        <v>1</v>
      </c>
      <c r="GR226">
        <f t="shared" si="511"/>
        <v>1</v>
      </c>
      <c r="GS226">
        <f t="shared" si="512"/>
        <v>1</v>
      </c>
      <c r="GT226">
        <f t="shared" si="513"/>
        <v>1</v>
      </c>
      <c r="GU226">
        <f t="shared" si="514"/>
        <v>1</v>
      </c>
      <c r="GX226" s="10"/>
    </row>
    <row r="227" spans="1:206" x14ac:dyDescent="0.3">
      <c r="A227" s="9" t="s">
        <v>124</v>
      </c>
      <c r="B227" s="80"/>
      <c r="C227" s="9">
        <v>3080538000</v>
      </c>
      <c r="D227" s="9" t="s">
        <v>492</v>
      </c>
      <c r="E227" s="9" t="s">
        <v>34</v>
      </c>
      <c r="F227" s="9" t="s">
        <v>35</v>
      </c>
      <c r="G227" s="9" t="s">
        <v>246</v>
      </c>
      <c r="H227" s="10">
        <v>45005</v>
      </c>
      <c r="I227" s="9">
        <f t="shared" si="515"/>
        <v>2023</v>
      </c>
      <c r="J227" s="9">
        <f t="shared" si="516"/>
        <v>3</v>
      </c>
      <c r="K227" s="9" t="str">
        <f t="shared" si="517"/>
        <v>2023_3</v>
      </c>
      <c r="L227">
        <f>MAX(0,VLOOKUP($K227,lookups!$A$1:$B$45,2,0)-12)</f>
        <v>23</v>
      </c>
      <c r="M227" s="40">
        <f t="shared" si="518"/>
        <v>44986</v>
      </c>
      <c r="N227" s="10" t="s">
        <v>37</v>
      </c>
      <c r="O227" t="str">
        <f ca="1">IF(OR($L227&gt;O$4,O$4&gt;$L227+23),"",OFFSET(Electric!$L218,0,-'Electric Calendarize'!$L227+'Electric Calendarize'!O$4+1))</f>
        <v/>
      </c>
      <c r="P227" t="str">
        <f ca="1">IF(OR($L227&gt;P$4,P$4&gt;$L227+23),"",OFFSET(Electric!$L218,0,-'Electric Calendarize'!$L227+'Electric Calendarize'!P$4+1))</f>
        <v/>
      </c>
      <c r="Q227" t="str">
        <f ca="1">IF(OR($L227&gt;Q$4,Q$4&gt;$L227+23),"",OFFSET(Electric!$L218,0,-'Electric Calendarize'!$L227+'Electric Calendarize'!Q$4+1))</f>
        <v/>
      </c>
      <c r="R227" t="str">
        <f ca="1">IF(OR($L227&gt;R$4,R$4&gt;$L227+23),"",OFFSET(Electric!$L218,0,-'Electric Calendarize'!$L227+'Electric Calendarize'!R$4+1))</f>
        <v/>
      </c>
      <c r="S227" t="str">
        <f ca="1">IF(OR($L227&gt;S$4,S$4&gt;$L227+23),"",OFFSET(Electric!$L218,0,-'Electric Calendarize'!$L227+'Electric Calendarize'!S$4+1))</f>
        <v/>
      </c>
      <c r="T227" t="str">
        <f ca="1">IF(OR($L227&gt;T$4,T$4&gt;$L227+23),"",OFFSET(Electric!$L218,0,-'Electric Calendarize'!$L227+'Electric Calendarize'!T$4+1))</f>
        <v/>
      </c>
      <c r="U227" t="str">
        <f ca="1">IF(OR($L227&gt;U$4,U$4&gt;$L227+23),"",OFFSET(Electric!$L218,0,-'Electric Calendarize'!$L227+'Electric Calendarize'!U$4+1))</f>
        <v/>
      </c>
      <c r="V227" t="str">
        <f ca="1">IF(OR($L227&gt;V$4,V$4&gt;$L227+23),"",OFFSET(Electric!$L218,0,-'Electric Calendarize'!$L227+'Electric Calendarize'!V$4+1))</f>
        <v/>
      </c>
      <c r="W227" t="str">
        <f ca="1">IF(OR($L227&gt;W$4,W$4&gt;$L227+23),"",OFFSET(Electric!$L218,0,-'Electric Calendarize'!$L227+'Electric Calendarize'!W$4+1))</f>
        <v/>
      </c>
      <c r="X227" t="str">
        <f ca="1">IF(OR($L227&gt;X$4,X$4&gt;$L227+23),"",OFFSET(Electric!$L218,0,-'Electric Calendarize'!$L227+'Electric Calendarize'!X$4+1))</f>
        <v/>
      </c>
      <c r="Y227" t="str">
        <f ca="1">IF(OR($L227&gt;Y$4,Y$4&gt;$L227+23),"",OFFSET(Electric!$L218,0,-'Electric Calendarize'!$L227+'Electric Calendarize'!Y$4+1))</f>
        <v/>
      </c>
      <c r="Z227" t="str">
        <f ca="1">IF(OR($L227&gt;Z$4,Z$4&gt;$L227+23),"",OFFSET(Electric!$L218,0,-'Electric Calendarize'!$L227+'Electric Calendarize'!Z$4+1))</f>
        <v/>
      </c>
      <c r="AA227" t="str">
        <f ca="1">IF(OR($L227&gt;AA$4,AA$4&gt;$L227+23),"",OFFSET(Electric!$L218,0,-'Electric Calendarize'!$L227+'Electric Calendarize'!AA$4+1))</f>
        <v/>
      </c>
      <c r="AB227" t="str">
        <f ca="1">IF(OR($L227&gt;AB$4,AB$4&gt;$L227+23),"",OFFSET(Electric!$L218,0,-'Electric Calendarize'!$L227+'Electric Calendarize'!AB$4+1))</f>
        <v/>
      </c>
      <c r="AC227" t="str">
        <f ca="1">IF(OR($L227&gt;AC$4,AC$4&gt;$L227+23),"",OFFSET(Electric!$L218,0,-'Electric Calendarize'!$L227+'Electric Calendarize'!AC$4+1))</f>
        <v/>
      </c>
      <c r="AD227" t="str">
        <f ca="1">IF(OR($L227&gt;AD$4,AD$4&gt;$L227+23),"",OFFSET(Electric!$L218,0,-'Electric Calendarize'!$L227+'Electric Calendarize'!AD$4+1))</f>
        <v/>
      </c>
      <c r="AE227" t="str">
        <f ca="1">IF(OR($L227&gt;AE$4,AE$4&gt;$L227+23),"",OFFSET(Electric!$L218,0,-'Electric Calendarize'!$L227+'Electric Calendarize'!AE$4+1))</f>
        <v/>
      </c>
      <c r="AF227" t="str">
        <f ca="1">IF(OR($L227&gt;AF$4,AF$4&gt;$L227+23),"",OFFSET(Electric!$L218,0,-'Electric Calendarize'!$L227+'Electric Calendarize'!AF$4+1))</f>
        <v/>
      </c>
      <c r="AG227" t="str">
        <f ca="1">IF(OR($L227&gt;AG$4,AG$4&gt;$L227+23),"",OFFSET(Electric!$L218,0,-'Electric Calendarize'!$L227+'Electric Calendarize'!AG$4+1))</f>
        <v/>
      </c>
      <c r="AH227" t="str">
        <f ca="1">IF(OR($L227&gt;AH$4,AH$4&gt;$L227+23),"",OFFSET(Electric!$L218,0,-'Electric Calendarize'!$L227+'Electric Calendarize'!AH$4+1))</f>
        <v/>
      </c>
      <c r="AI227" t="str">
        <f ca="1">IF(OR($L227&gt;AI$4,AI$4&gt;$L227+23),"",OFFSET(Electric!$L218,0,-'Electric Calendarize'!$L227+'Electric Calendarize'!AI$4+1))</f>
        <v/>
      </c>
      <c r="AJ227" t="str">
        <f ca="1">IF(OR($L227&gt;AJ$4,AJ$4&gt;$L227+23),"",OFFSET(Electric!$L218,0,-'Electric Calendarize'!$L227+'Electric Calendarize'!AJ$4+1))</f>
        <v/>
      </c>
      <c r="AK227" t="str">
        <f ca="1">IF(OR($L227&gt;AK$4,AK$4&gt;$L227+23),"",OFFSET(Electric!$L218,0,-'Electric Calendarize'!$L227+'Electric Calendarize'!AK$4+1))</f>
        <v/>
      </c>
      <c r="AL227">
        <f ca="1">IF(OR($L227&gt;AL$4,AL$4&gt;$L227+23),"",OFFSET(Electric!$L218,0,-'Electric Calendarize'!$L227+'Electric Calendarize'!AL$4+1))</f>
        <v>339</v>
      </c>
      <c r="AM227">
        <f ca="1">IF(OR($L227&gt;AM$4,AM$4&gt;$L227+23),"",OFFSET(Electric!$L218,0,-'Electric Calendarize'!$L227+'Electric Calendarize'!AM$4+1))</f>
        <v>318</v>
      </c>
      <c r="AN227">
        <f ca="1">IF(OR($L227&gt;AN$4,AN$4&gt;$L227+23),"",OFFSET(Electric!$L218,0,-'Electric Calendarize'!$L227+'Electric Calendarize'!AN$4+1))</f>
        <v>367</v>
      </c>
      <c r="AO227">
        <f ca="1">IF(OR($L227&gt;AO$4,AO$4&gt;$L227+23),"",OFFSET(Electric!$L218,0,-'Electric Calendarize'!$L227+'Electric Calendarize'!AO$4+1))</f>
        <v>482</v>
      </c>
      <c r="AP227">
        <f ca="1">IF(OR($L227&gt;AP$4,AP$4&gt;$L227+23),"",OFFSET(Electric!$L218,0,-'Electric Calendarize'!$L227+'Electric Calendarize'!AP$4+1))</f>
        <v>614</v>
      </c>
      <c r="AQ227">
        <f ca="1">IF(OR($L227&gt;AQ$4,AQ$4&gt;$L227+23),"",OFFSET(Electric!$L218,0,-'Electric Calendarize'!$L227+'Electric Calendarize'!AQ$4+1))</f>
        <v>864</v>
      </c>
      <c r="AR227">
        <f ca="1">IF(OR($L227&gt;AR$4,AR$4&gt;$L227+23),"",OFFSET(Electric!$L218,0,-'Electric Calendarize'!$L227+'Electric Calendarize'!AR$4+1))</f>
        <v>451</v>
      </c>
      <c r="AS227">
        <f ca="1">IF(OR($L227&gt;AS$4,AS$4&gt;$L227+23),"",OFFSET(Electric!$L218,0,-'Electric Calendarize'!$L227+'Electric Calendarize'!AS$4+1))</f>
        <v>377</v>
      </c>
      <c r="AT227">
        <f ca="1">IF(OR($L227&gt;AT$4,AT$4&gt;$L227+23),"",OFFSET(Electric!$L218,0,-'Electric Calendarize'!$L227+'Electric Calendarize'!AT$4+1))</f>
        <v>382</v>
      </c>
      <c r="AU227">
        <f ca="1">IF(OR($L227&gt;AU$4,AU$4&gt;$L227+23),"",OFFSET(Electric!$L218,0,-'Electric Calendarize'!$L227+'Electric Calendarize'!AU$4+1))</f>
        <v>540</v>
      </c>
      <c r="AV227">
        <f ca="1">IF(OR($L227&gt;AV$4,AV$4&gt;$L227+23),"",OFFSET(Electric!$L218,0,-'Electric Calendarize'!$L227+'Electric Calendarize'!AV$4+1))</f>
        <v>550</v>
      </c>
      <c r="AW227">
        <f ca="1">IF(OR($L227&gt;AW$4,AW$4&gt;$L227+23),"",OFFSET(Electric!$L218,0,-'Electric Calendarize'!$L227+'Electric Calendarize'!AW$4+1))</f>
        <v>365</v>
      </c>
      <c r="AX227">
        <f ca="1">IF(OR($L227&gt;AX$4,AX$4&gt;$L227+23),"",OFFSET(Electric!$L218,0,-'Electric Calendarize'!$L227+'Electric Calendarize'!AX$4+1))</f>
        <v>383</v>
      </c>
      <c r="AY227">
        <f ca="1">IF(OR($L227&gt;AY$4,AY$4&gt;$L227+23),"",OFFSET(Electric!$L218,0,-'Electric Calendarize'!$L227+'Electric Calendarize'!AY$4+1))</f>
        <v>334</v>
      </c>
      <c r="AZ227">
        <f ca="1">IF(OR($L227&gt;AZ$4,AZ$4&gt;$L227+23),"",OFFSET(Electric!$L218,0,-'Electric Calendarize'!$L227+'Electric Calendarize'!AZ$4+1))</f>
        <v>354</v>
      </c>
      <c r="BA227">
        <f ca="1">IF(OR($L227&gt;BA$4,BA$4&gt;$L227+23),"",OFFSET(Electric!$L218,0,-'Electric Calendarize'!$L227+'Electric Calendarize'!BA$4+1))</f>
        <v>369</v>
      </c>
      <c r="BB227">
        <f ca="1">IF(OR($L227&gt;BB$4,BB$4&gt;$L227+23),"",OFFSET(Electric!$L218,0,-'Electric Calendarize'!$L227+'Electric Calendarize'!BB$4+1))</f>
        <v>578</v>
      </c>
      <c r="BC227">
        <f ca="1">IF(OR($L227&gt;BC$4,BC$4&gt;$L227+23),"",OFFSET(Electric!$L218,0,-'Electric Calendarize'!$L227+'Electric Calendarize'!BC$4+1))</f>
        <v>683</v>
      </c>
      <c r="BD227">
        <f ca="1">IF(OR($L227&gt;BD$4,BD$4&gt;$L227+23),"",OFFSET(Electric!$L218,0,-'Electric Calendarize'!$L227+'Electric Calendarize'!BD$4+1))</f>
        <v>723</v>
      </c>
      <c r="BE227">
        <f ca="1">IF(OR($L227&gt;BE$4,BE$4&gt;$L227+23),"",OFFSET(Electric!$L218,0,-'Electric Calendarize'!$L227+'Electric Calendarize'!BE$4+1))</f>
        <v>516</v>
      </c>
      <c r="BF227">
        <f ca="1">IF(OR($L227&gt;BF$4,BF$4&gt;$L227+23),"",OFFSET(Electric!$L218,0,-'Electric Calendarize'!$L227+'Electric Calendarize'!BF$4+1))</f>
        <v>318</v>
      </c>
      <c r="BG227">
        <f ca="1">IF(OR($L227&gt;BG$4,BG$4&gt;$L227+23),"",OFFSET(Electric!$L218,0,-'Electric Calendarize'!$L227+'Electric Calendarize'!BG$4+1))</f>
        <v>333</v>
      </c>
      <c r="BJ227" s="10" t="s">
        <v>37</v>
      </c>
      <c r="BK227">
        <f t="shared" si="519"/>
        <v>1</v>
      </c>
      <c r="BL227">
        <f t="shared" si="425"/>
        <v>0</v>
      </c>
      <c r="BM227">
        <f t="shared" si="426"/>
        <v>0</v>
      </c>
      <c r="BN227">
        <f t="shared" si="427"/>
        <v>0</v>
      </c>
      <c r="BO227">
        <f t="shared" si="428"/>
        <v>0</v>
      </c>
      <c r="BP227">
        <f t="shared" si="429"/>
        <v>0</v>
      </c>
      <c r="BQ227">
        <f t="shared" si="430"/>
        <v>0</v>
      </c>
      <c r="BR227">
        <f t="shared" si="431"/>
        <v>1</v>
      </c>
      <c r="BS227">
        <f t="shared" si="432"/>
        <v>1</v>
      </c>
      <c r="BT227">
        <f t="shared" si="433"/>
        <v>1</v>
      </c>
      <c r="BU227">
        <f t="shared" si="434"/>
        <v>1</v>
      </c>
      <c r="BV227">
        <f t="shared" si="435"/>
        <v>1</v>
      </c>
      <c r="BW227">
        <f t="shared" si="436"/>
        <v>1</v>
      </c>
      <c r="BX227">
        <f t="shared" si="437"/>
        <v>0</v>
      </c>
      <c r="BY227">
        <f t="shared" si="438"/>
        <v>0</v>
      </c>
      <c r="BZ227">
        <f t="shared" si="439"/>
        <v>0</v>
      </c>
      <c r="CA227">
        <f t="shared" si="440"/>
        <v>0</v>
      </c>
      <c r="CB227">
        <f t="shared" si="441"/>
        <v>0</v>
      </c>
      <c r="CC227">
        <f t="shared" si="442"/>
        <v>0</v>
      </c>
      <c r="CD227">
        <f t="shared" si="443"/>
        <v>1</v>
      </c>
      <c r="CE227">
        <f t="shared" si="444"/>
        <v>1</v>
      </c>
      <c r="CF227">
        <f t="shared" si="445"/>
        <v>1</v>
      </c>
      <c r="CG227">
        <f t="shared" si="446"/>
        <v>1</v>
      </c>
      <c r="CH227">
        <f t="shared" si="447"/>
        <v>1</v>
      </c>
      <c r="CI227">
        <f t="shared" si="448"/>
        <v>1</v>
      </c>
      <c r="CJ227">
        <f t="shared" si="449"/>
        <v>0</v>
      </c>
      <c r="CK227">
        <f t="shared" si="450"/>
        <v>0</v>
      </c>
      <c r="CL227">
        <f t="shared" si="451"/>
        <v>0</v>
      </c>
      <c r="CM227">
        <f t="shared" si="452"/>
        <v>0</v>
      </c>
      <c r="CN227">
        <f t="shared" si="453"/>
        <v>0</v>
      </c>
      <c r="CO227">
        <f t="shared" si="454"/>
        <v>0</v>
      </c>
      <c r="CP227">
        <f t="shared" si="455"/>
        <v>1</v>
      </c>
      <c r="CQ227">
        <f t="shared" si="456"/>
        <v>1</v>
      </c>
      <c r="CR227">
        <f t="shared" si="457"/>
        <v>1</v>
      </c>
      <c r="CS227">
        <f t="shared" si="458"/>
        <v>1</v>
      </c>
      <c r="CT227">
        <f t="shared" si="459"/>
        <v>1</v>
      </c>
      <c r="CU227">
        <f t="shared" si="460"/>
        <v>1</v>
      </c>
      <c r="CV227">
        <f t="shared" si="461"/>
        <v>0</v>
      </c>
      <c r="CW227">
        <f t="shared" si="462"/>
        <v>0</v>
      </c>
      <c r="CX227">
        <f t="shared" si="463"/>
        <v>0</v>
      </c>
      <c r="CY227">
        <f t="shared" si="464"/>
        <v>0</v>
      </c>
      <c r="CZ227">
        <f t="shared" si="465"/>
        <v>0</v>
      </c>
      <c r="DA227">
        <f t="shared" si="466"/>
        <v>0</v>
      </c>
      <c r="DB227">
        <f t="shared" si="467"/>
        <v>1</v>
      </c>
      <c r="DC227">
        <f t="shared" si="468"/>
        <v>1</v>
      </c>
      <c r="DF227" s="10" t="s">
        <v>37</v>
      </c>
      <c r="DG227" t="str">
        <f t="shared" si="524"/>
        <v>2023_3</v>
      </c>
      <c r="DH227" t="str">
        <f t="shared" si="524"/>
        <v>2023_3</v>
      </c>
      <c r="DI227" t="str">
        <f t="shared" si="524"/>
        <v>2023_3</v>
      </c>
      <c r="DJ227" t="str">
        <f t="shared" si="524"/>
        <v>2023_3</v>
      </c>
      <c r="DK227" t="str">
        <f t="shared" si="524"/>
        <v>2023_3</v>
      </c>
      <c r="DL227" t="str">
        <f t="shared" si="524"/>
        <v>2023_3</v>
      </c>
      <c r="DM227" t="str">
        <f t="shared" si="524"/>
        <v>2023_3</v>
      </c>
      <c r="DN227" t="str">
        <f t="shared" si="524"/>
        <v>2023_3</v>
      </c>
      <c r="DO227" t="str">
        <f t="shared" si="524"/>
        <v>2023_3</v>
      </c>
      <c r="DP227" t="str">
        <f t="shared" si="524"/>
        <v>2023_3</v>
      </c>
      <c r="DQ227" t="str">
        <f t="shared" si="524"/>
        <v>2023_3</v>
      </c>
      <c r="DR227" t="str">
        <f t="shared" si="524"/>
        <v>2023_3</v>
      </c>
      <c r="DS227" t="str">
        <f t="shared" si="524"/>
        <v>2023_3</v>
      </c>
      <c r="DT227" t="str">
        <f t="shared" si="524"/>
        <v>2023_3</v>
      </c>
      <c r="DU227" t="str">
        <f t="shared" si="524"/>
        <v>2023_3</v>
      </c>
      <c r="DV227" t="str">
        <f t="shared" si="524"/>
        <v>2023_3</v>
      </c>
      <c r="DW227" t="str">
        <f t="shared" si="523"/>
        <v>2023_3</v>
      </c>
      <c r="DX227" t="str">
        <f t="shared" si="523"/>
        <v>2023_3</v>
      </c>
      <c r="DY227" t="str">
        <f t="shared" si="523"/>
        <v>2023_3</v>
      </c>
      <c r="DZ227" t="str">
        <f t="shared" si="523"/>
        <v>2023_3</v>
      </c>
      <c r="EA227" t="str">
        <f t="shared" si="523"/>
        <v>2023_3</v>
      </c>
      <c r="EB227" t="str">
        <f t="shared" si="523"/>
        <v>2023_3</v>
      </c>
      <c r="EC227" t="str">
        <f t="shared" si="523"/>
        <v>2023_3</v>
      </c>
      <c r="ED227" t="str">
        <f t="shared" si="523"/>
        <v>2023_3</v>
      </c>
      <c r="EE227" t="str">
        <f t="shared" si="523"/>
        <v>2023_3</v>
      </c>
      <c r="EF227" t="str">
        <f t="shared" si="523"/>
        <v>2023_3</v>
      </c>
      <c r="EG227" t="str">
        <f t="shared" si="523"/>
        <v>2023_3</v>
      </c>
      <c r="EH227" t="str">
        <f t="shared" si="523"/>
        <v>2023_3</v>
      </c>
      <c r="EI227" t="str">
        <f t="shared" si="523"/>
        <v>2023_3</v>
      </c>
      <c r="EJ227" t="str">
        <f t="shared" si="523"/>
        <v>2023_3</v>
      </c>
      <c r="EK227" t="str">
        <f t="shared" si="522"/>
        <v>2023_3</v>
      </c>
      <c r="EL227" t="str">
        <f t="shared" si="522"/>
        <v>2023_3</v>
      </c>
      <c r="EM227" t="str">
        <f t="shared" si="522"/>
        <v>2023_3</v>
      </c>
      <c r="EN227" t="str">
        <f t="shared" si="522"/>
        <v>2023_3</v>
      </c>
      <c r="EO227" t="str">
        <f t="shared" si="522"/>
        <v>2023_3</v>
      </c>
      <c r="EP227" t="str">
        <f t="shared" si="522"/>
        <v>2023_3</v>
      </c>
      <c r="EQ227" t="str">
        <f t="shared" si="522"/>
        <v>2023_3</v>
      </c>
      <c r="ER227" t="str">
        <f t="shared" si="522"/>
        <v>2023_3</v>
      </c>
      <c r="ES227" t="str">
        <f t="shared" si="522"/>
        <v>2023_3</v>
      </c>
      <c r="ET227" t="str">
        <f t="shared" si="522"/>
        <v>2023_3</v>
      </c>
      <c r="EU227" t="str">
        <f t="shared" si="522"/>
        <v>2023_3</v>
      </c>
      <c r="EV227" t="str">
        <f t="shared" si="522"/>
        <v>2023_3</v>
      </c>
      <c r="EW227" t="str">
        <f t="shared" si="522"/>
        <v>2023_3</v>
      </c>
      <c r="EX227" t="str">
        <f t="shared" si="522"/>
        <v>2023_3</v>
      </c>
      <c r="EY227" t="str">
        <f t="shared" si="522"/>
        <v>2023_3</v>
      </c>
      <c r="FB227" s="10" t="s">
        <v>37</v>
      </c>
      <c r="FC227">
        <f t="shared" si="521"/>
        <v>0</v>
      </c>
      <c r="FD227">
        <f t="shared" si="471"/>
        <v>0</v>
      </c>
      <c r="FE227">
        <f t="shared" si="472"/>
        <v>0</v>
      </c>
      <c r="FF227">
        <f t="shared" si="473"/>
        <v>0</v>
      </c>
      <c r="FG227">
        <f t="shared" si="474"/>
        <v>0</v>
      </c>
      <c r="FH227">
        <f t="shared" si="475"/>
        <v>0</v>
      </c>
      <c r="FI227">
        <f t="shared" si="476"/>
        <v>0</v>
      </c>
      <c r="FJ227">
        <f t="shared" si="477"/>
        <v>0</v>
      </c>
      <c r="FK227">
        <f t="shared" si="478"/>
        <v>0</v>
      </c>
      <c r="FL227">
        <f t="shared" si="479"/>
        <v>0</v>
      </c>
      <c r="FM227">
        <f t="shared" si="480"/>
        <v>0</v>
      </c>
      <c r="FN227">
        <f t="shared" si="481"/>
        <v>0</v>
      </c>
      <c r="FO227">
        <f t="shared" si="482"/>
        <v>0</v>
      </c>
      <c r="FP227">
        <f t="shared" si="483"/>
        <v>0</v>
      </c>
      <c r="FQ227">
        <f t="shared" si="484"/>
        <v>0</v>
      </c>
      <c r="FR227">
        <f t="shared" si="485"/>
        <v>0</v>
      </c>
      <c r="FS227">
        <f t="shared" si="486"/>
        <v>0</v>
      </c>
      <c r="FT227">
        <f t="shared" si="487"/>
        <v>0</v>
      </c>
      <c r="FU227">
        <f t="shared" si="488"/>
        <v>0</v>
      </c>
      <c r="FV227">
        <f t="shared" si="489"/>
        <v>0</v>
      </c>
      <c r="FW227">
        <f t="shared" si="490"/>
        <v>0</v>
      </c>
      <c r="FX227">
        <f t="shared" si="491"/>
        <v>0</v>
      </c>
      <c r="FY227">
        <f t="shared" si="492"/>
        <v>0</v>
      </c>
      <c r="FZ227">
        <f t="shared" si="493"/>
        <v>0</v>
      </c>
      <c r="GA227">
        <f t="shared" si="494"/>
        <v>0</v>
      </c>
      <c r="GB227">
        <f t="shared" si="495"/>
        <v>0</v>
      </c>
      <c r="GC227">
        <f t="shared" si="496"/>
        <v>0</v>
      </c>
      <c r="GD227">
        <f t="shared" si="497"/>
        <v>0</v>
      </c>
      <c r="GE227">
        <f t="shared" si="498"/>
        <v>0</v>
      </c>
      <c r="GF227">
        <f t="shared" si="499"/>
        <v>0</v>
      </c>
      <c r="GG227">
        <f t="shared" si="500"/>
        <v>0</v>
      </c>
      <c r="GH227">
        <f t="shared" si="501"/>
        <v>0</v>
      </c>
      <c r="GI227">
        <f t="shared" si="502"/>
        <v>0</v>
      </c>
      <c r="GJ227">
        <f t="shared" si="503"/>
        <v>0</v>
      </c>
      <c r="GK227">
        <f t="shared" si="504"/>
        <v>0</v>
      </c>
      <c r="GL227">
        <f t="shared" si="505"/>
        <v>1</v>
      </c>
      <c r="GM227">
        <f t="shared" si="506"/>
        <v>1</v>
      </c>
      <c r="GN227">
        <f t="shared" si="507"/>
        <v>1</v>
      </c>
      <c r="GO227">
        <f t="shared" si="508"/>
        <v>1</v>
      </c>
      <c r="GP227">
        <f t="shared" si="509"/>
        <v>1</v>
      </c>
      <c r="GQ227">
        <f t="shared" si="510"/>
        <v>1</v>
      </c>
      <c r="GR227">
        <f t="shared" si="511"/>
        <v>1</v>
      </c>
      <c r="GS227">
        <f t="shared" si="512"/>
        <v>1</v>
      </c>
      <c r="GT227">
        <f t="shared" si="513"/>
        <v>1</v>
      </c>
      <c r="GU227">
        <f t="shared" si="514"/>
        <v>1</v>
      </c>
      <c r="GX227" s="10"/>
    </row>
    <row r="228" spans="1:206" x14ac:dyDescent="0.3">
      <c r="A228" s="9" t="s">
        <v>199</v>
      </c>
      <c r="B228" s="80"/>
      <c r="C228" s="9">
        <v>3121022000</v>
      </c>
      <c r="D228" s="9" t="s">
        <v>364</v>
      </c>
      <c r="E228" s="9" t="s">
        <v>39</v>
      </c>
      <c r="F228" s="9" t="s">
        <v>35</v>
      </c>
      <c r="G228" s="9" t="s">
        <v>151</v>
      </c>
      <c r="H228" s="10">
        <v>45007</v>
      </c>
      <c r="I228" s="9">
        <f t="shared" si="515"/>
        <v>2023</v>
      </c>
      <c r="J228" s="9">
        <f t="shared" si="516"/>
        <v>3</v>
      </c>
      <c r="K228" s="9" t="str">
        <f t="shared" si="517"/>
        <v>2023_3</v>
      </c>
      <c r="L228">
        <f>MAX(0,VLOOKUP($K228,lookups!$A$1:$B$45,2,0)-12)</f>
        <v>23</v>
      </c>
      <c r="M228" s="40">
        <f t="shared" si="518"/>
        <v>44986</v>
      </c>
      <c r="N228" s="10" t="s">
        <v>37</v>
      </c>
      <c r="O228" t="str">
        <f ca="1">IF(OR($L228&gt;O$4,O$4&gt;$L228+23),"",OFFSET(Electric!$L219,0,-'Electric Calendarize'!$L228+'Electric Calendarize'!O$4+1))</f>
        <v/>
      </c>
      <c r="P228" t="str">
        <f ca="1">IF(OR($L228&gt;P$4,P$4&gt;$L228+23),"",OFFSET(Electric!$L219,0,-'Electric Calendarize'!$L228+'Electric Calendarize'!P$4+1))</f>
        <v/>
      </c>
      <c r="Q228" t="str">
        <f ca="1">IF(OR($L228&gt;Q$4,Q$4&gt;$L228+23),"",OFFSET(Electric!$L219,0,-'Electric Calendarize'!$L228+'Electric Calendarize'!Q$4+1))</f>
        <v/>
      </c>
      <c r="R228" t="str">
        <f ca="1">IF(OR($L228&gt;R$4,R$4&gt;$L228+23),"",OFFSET(Electric!$L219,0,-'Electric Calendarize'!$L228+'Electric Calendarize'!R$4+1))</f>
        <v/>
      </c>
      <c r="S228" t="str">
        <f ca="1">IF(OR($L228&gt;S$4,S$4&gt;$L228+23),"",OFFSET(Electric!$L219,0,-'Electric Calendarize'!$L228+'Electric Calendarize'!S$4+1))</f>
        <v/>
      </c>
      <c r="T228" t="str">
        <f ca="1">IF(OR($L228&gt;T$4,T$4&gt;$L228+23),"",OFFSET(Electric!$L219,0,-'Electric Calendarize'!$L228+'Electric Calendarize'!T$4+1))</f>
        <v/>
      </c>
      <c r="U228" t="str">
        <f ca="1">IF(OR($L228&gt;U$4,U$4&gt;$L228+23),"",OFFSET(Electric!$L219,0,-'Electric Calendarize'!$L228+'Electric Calendarize'!U$4+1))</f>
        <v/>
      </c>
      <c r="V228" t="str">
        <f ca="1">IF(OR($L228&gt;V$4,V$4&gt;$L228+23),"",OFFSET(Electric!$L219,0,-'Electric Calendarize'!$L228+'Electric Calendarize'!V$4+1))</f>
        <v/>
      </c>
      <c r="W228" t="str">
        <f ca="1">IF(OR($L228&gt;W$4,W$4&gt;$L228+23),"",OFFSET(Electric!$L219,0,-'Electric Calendarize'!$L228+'Electric Calendarize'!W$4+1))</f>
        <v/>
      </c>
      <c r="X228" t="str">
        <f ca="1">IF(OR($L228&gt;X$4,X$4&gt;$L228+23),"",OFFSET(Electric!$L219,0,-'Electric Calendarize'!$L228+'Electric Calendarize'!X$4+1))</f>
        <v/>
      </c>
      <c r="Y228" t="str">
        <f ca="1">IF(OR($L228&gt;Y$4,Y$4&gt;$L228+23),"",OFFSET(Electric!$L219,0,-'Electric Calendarize'!$L228+'Electric Calendarize'!Y$4+1))</f>
        <v/>
      </c>
      <c r="Z228" t="str">
        <f ca="1">IF(OR($L228&gt;Z$4,Z$4&gt;$L228+23),"",OFFSET(Electric!$L219,0,-'Electric Calendarize'!$L228+'Electric Calendarize'!Z$4+1))</f>
        <v/>
      </c>
      <c r="AA228" t="str">
        <f ca="1">IF(OR($L228&gt;AA$4,AA$4&gt;$L228+23),"",OFFSET(Electric!$L219,0,-'Electric Calendarize'!$L228+'Electric Calendarize'!AA$4+1))</f>
        <v/>
      </c>
      <c r="AB228" t="str">
        <f ca="1">IF(OR($L228&gt;AB$4,AB$4&gt;$L228+23),"",OFFSET(Electric!$L219,0,-'Electric Calendarize'!$L228+'Electric Calendarize'!AB$4+1))</f>
        <v/>
      </c>
      <c r="AC228" t="str">
        <f ca="1">IF(OR($L228&gt;AC$4,AC$4&gt;$L228+23),"",OFFSET(Electric!$L219,0,-'Electric Calendarize'!$L228+'Electric Calendarize'!AC$4+1))</f>
        <v/>
      </c>
      <c r="AD228" t="str">
        <f ca="1">IF(OR($L228&gt;AD$4,AD$4&gt;$L228+23),"",OFFSET(Electric!$L219,0,-'Electric Calendarize'!$L228+'Electric Calendarize'!AD$4+1))</f>
        <v/>
      </c>
      <c r="AE228" t="str">
        <f ca="1">IF(OR($L228&gt;AE$4,AE$4&gt;$L228+23),"",OFFSET(Electric!$L219,0,-'Electric Calendarize'!$L228+'Electric Calendarize'!AE$4+1))</f>
        <v/>
      </c>
      <c r="AF228" t="str">
        <f ca="1">IF(OR($L228&gt;AF$4,AF$4&gt;$L228+23),"",OFFSET(Electric!$L219,0,-'Electric Calendarize'!$L228+'Electric Calendarize'!AF$4+1))</f>
        <v/>
      </c>
      <c r="AG228" t="str">
        <f ca="1">IF(OR($L228&gt;AG$4,AG$4&gt;$L228+23),"",OFFSET(Electric!$L219,0,-'Electric Calendarize'!$L228+'Electric Calendarize'!AG$4+1))</f>
        <v/>
      </c>
      <c r="AH228" t="str">
        <f ca="1">IF(OR($L228&gt;AH$4,AH$4&gt;$L228+23),"",OFFSET(Electric!$L219,0,-'Electric Calendarize'!$L228+'Electric Calendarize'!AH$4+1))</f>
        <v/>
      </c>
      <c r="AI228" t="str">
        <f ca="1">IF(OR($L228&gt;AI$4,AI$4&gt;$L228+23),"",OFFSET(Electric!$L219,0,-'Electric Calendarize'!$L228+'Electric Calendarize'!AI$4+1))</f>
        <v/>
      </c>
      <c r="AJ228" t="str">
        <f ca="1">IF(OR($L228&gt;AJ$4,AJ$4&gt;$L228+23),"",OFFSET(Electric!$L219,0,-'Electric Calendarize'!$L228+'Electric Calendarize'!AJ$4+1))</f>
        <v/>
      </c>
      <c r="AK228" t="str">
        <f ca="1">IF(OR($L228&gt;AK$4,AK$4&gt;$L228+23),"",OFFSET(Electric!$L219,0,-'Electric Calendarize'!$L228+'Electric Calendarize'!AK$4+1))</f>
        <v/>
      </c>
      <c r="AL228">
        <f ca="1">IF(OR($L228&gt;AL$4,AL$4&gt;$L228+23),"",OFFSET(Electric!$L219,0,-'Electric Calendarize'!$L228+'Electric Calendarize'!AL$4+1))</f>
        <v>1119</v>
      </c>
      <c r="AM228">
        <f ca="1">IF(OR($L228&gt;AM$4,AM$4&gt;$L228+23),"",OFFSET(Electric!$L219,0,-'Electric Calendarize'!$L228+'Electric Calendarize'!AM$4+1))</f>
        <v>558</v>
      </c>
      <c r="AN228">
        <f ca="1">IF(OR($L228&gt;AN$4,AN$4&gt;$L228+23),"",OFFSET(Electric!$L219,0,-'Electric Calendarize'!$L228+'Electric Calendarize'!AN$4+1))</f>
        <v>528</v>
      </c>
      <c r="AO228">
        <f ca="1">IF(OR($L228&gt;AO$4,AO$4&gt;$L228+23),"",OFFSET(Electric!$L219,0,-'Electric Calendarize'!$L228+'Electric Calendarize'!AO$4+1))</f>
        <v>646</v>
      </c>
      <c r="AP228">
        <f ca="1">IF(OR($L228&gt;AP$4,AP$4&gt;$L228+23),"",OFFSET(Electric!$L219,0,-'Electric Calendarize'!$L228+'Electric Calendarize'!AP$4+1))</f>
        <v>991</v>
      </c>
      <c r="AQ228">
        <f ca="1">IF(OR($L228&gt;AQ$4,AQ$4&gt;$L228+23),"",OFFSET(Electric!$L219,0,-'Electric Calendarize'!$L228+'Electric Calendarize'!AQ$4+1))</f>
        <v>2060</v>
      </c>
      <c r="AR228">
        <f ca="1">IF(OR($L228&gt;AR$4,AR$4&gt;$L228+23),"",OFFSET(Electric!$L219,0,-'Electric Calendarize'!$L228+'Electric Calendarize'!AR$4+1))</f>
        <v>1378</v>
      </c>
      <c r="AS228">
        <f ca="1">IF(OR($L228&gt;AS$4,AS$4&gt;$L228+23),"",OFFSET(Electric!$L219,0,-'Electric Calendarize'!$L228+'Electric Calendarize'!AS$4+1))</f>
        <v>782</v>
      </c>
      <c r="AT228">
        <f ca="1">IF(OR($L228&gt;AT$4,AT$4&gt;$L228+23),"",OFFSET(Electric!$L219,0,-'Electric Calendarize'!$L228+'Electric Calendarize'!AT$4+1))</f>
        <v>982</v>
      </c>
      <c r="AU228">
        <f ca="1">IF(OR($L228&gt;AU$4,AU$4&gt;$L228+23),"",OFFSET(Electric!$L219,0,-'Electric Calendarize'!$L228+'Electric Calendarize'!AU$4+1))</f>
        <v>1044</v>
      </c>
      <c r="AV228">
        <f ca="1">IF(OR($L228&gt;AV$4,AV$4&gt;$L228+23),"",OFFSET(Electric!$L219,0,-'Electric Calendarize'!$L228+'Electric Calendarize'!AV$4+1))</f>
        <v>2136</v>
      </c>
      <c r="AW228">
        <f ca="1">IF(OR($L228&gt;AW$4,AW$4&gt;$L228+23),"",OFFSET(Electric!$L219,0,-'Electric Calendarize'!$L228+'Electric Calendarize'!AW$4+1))</f>
        <v>0</v>
      </c>
      <c r="AX228">
        <f ca="1">IF(OR($L228&gt;AX$4,AX$4&gt;$L228+23),"",OFFSET(Electric!$L219,0,-'Electric Calendarize'!$L228+'Electric Calendarize'!AX$4+1))</f>
        <v>1976</v>
      </c>
      <c r="AY228">
        <f ca="1">IF(OR($L228&gt;AY$4,AY$4&gt;$L228+23),"",OFFSET(Electric!$L219,0,-'Electric Calendarize'!$L228+'Electric Calendarize'!AY$4+1))</f>
        <v>1708</v>
      </c>
      <c r="AZ228">
        <f ca="1">IF(OR($L228&gt;AZ$4,AZ$4&gt;$L228+23),"",OFFSET(Electric!$L219,0,-'Electric Calendarize'!$L228+'Electric Calendarize'!AZ$4+1))</f>
        <v>966</v>
      </c>
      <c r="BA228">
        <f ca="1">IF(OR($L228&gt;BA$4,BA$4&gt;$L228+23),"",OFFSET(Electric!$L219,0,-'Electric Calendarize'!$L228+'Electric Calendarize'!BA$4+1))</f>
        <v>754</v>
      </c>
      <c r="BB228">
        <f ca="1">IF(OR($L228&gt;BB$4,BB$4&gt;$L228+23),"",OFFSET(Electric!$L219,0,-'Electric Calendarize'!$L228+'Electric Calendarize'!BB$4+1))</f>
        <v>788</v>
      </c>
      <c r="BC228">
        <f ca="1">IF(OR($L228&gt;BC$4,BC$4&gt;$L228+23),"",OFFSET(Electric!$L219,0,-'Electric Calendarize'!$L228+'Electric Calendarize'!BC$4+1))</f>
        <v>1902</v>
      </c>
      <c r="BD228">
        <f ca="1">IF(OR($L228&gt;BD$4,BD$4&gt;$L228+23),"",OFFSET(Electric!$L219,0,-'Electric Calendarize'!$L228+'Electric Calendarize'!BD$4+1))</f>
        <v>1730</v>
      </c>
      <c r="BE228">
        <f ca="1">IF(OR($L228&gt;BE$4,BE$4&gt;$L228+23),"",OFFSET(Electric!$L219,0,-'Electric Calendarize'!$L228+'Electric Calendarize'!BE$4+1))</f>
        <v>1408</v>
      </c>
      <c r="BF228">
        <f ca="1">IF(OR($L228&gt;BF$4,BF$4&gt;$L228+23),"",OFFSET(Electric!$L219,0,-'Electric Calendarize'!$L228+'Electric Calendarize'!BF$4+1))</f>
        <v>1158</v>
      </c>
      <c r="BG228">
        <f ca="1">IF(OR($L228&gt;BG$4,BG$4&gt;$L228+23),"",OFFSET(Electric!$L219,0,-'Electric Calendarize'!$L228+'Electric Calendarize'!BG$4+1))</f>
        <v>1102</v>
      </c>
      <c r="BJ228" s="10" t="s">
        <v>37</v>
      </c>
      <c r="BK228">
        <f t="shared" si="519"/>
        <v>1</v>
      </c>
      <c r="BL228">
        <f t="shared" si="425"/>
        <v>0</v>
      </c>
      <c r="BM228">
        <f t="shared" si="426"/>
        <v>0</v>
      </c>
      <c r="BN228">
        <f t="shared" si="427"/>
        <v>0</v>
      </c>
      <c r="BO228">
        <f t="shared" si="428"/>
        <v>0</v>
      </c>
      <c r="BP228">
        <f t="shared" si="429"/>
        <v>0</v>
      </c>
      <c r="BQ228">
        <f t="shared" si="430"/>
        <v>0</v>
      </c>
      <c r="BR228">
        <f t="shared" si="431"/>
        <v>1</v>
      </c>
      <c r="BS228">
        <f t="shared" si="432"/>
        <v>1</v>
      </c>
      <c r="BT228">
        <f t="shared" si="433"/>
        <v>1</v>
      </c>
      <c r="BU228">
        <f t="shared" si="434"/>
        <v>1</v>
      </c>
      <c r="BV228">
        <f t="shared" si="435"/>
        <v>1</v>
      </c>
      <c r="BW228">
        <f t="shared" si="436"/>
        <v>1</v>
      </c>
      <c r="BX228">
        <f t="shared" si="437"/>
        <v>0</v>
      </c>
      <c r="BY228">
        <f t="shared" si="438"/>
        <v>0</v>
      </c>
      <c r="BZ228">
        <f t="shared" si="439"/>
        <v>0</v>
      </c>
      <c r="CA228">
        <f t="shared" si="440"/>
        <v>0</v>
      </c>
      <c r="CB228">
        <f t="shared" si="441"/>
        <v>0</v>
      </c>
      <c r="CC228">
        <f t="shared" si="442"/>
        <v>0</v>
      </c>
      <c r="CD228">
        <f t="shared" si="443"/>
        <v>1</v>
      </c>
      <c r="CE228">
        <f t="shared" si="444"/>
        <v>1</v>
      </c>
      <c r="CF228">
        <f t="shared" si="445"/>
        <v>1</v>
      </c>
      <c r="CG228">
        <f t="shared" si="446"/>
        <v>1</v>
      </c>
      <c r="CH228">
        <f t="shared" si="447"/>
        <v>1</v>
      </c>
      <c r="CI228">
        <f t="shared" si="448"/>
        <v>1</v>
      </c>
      <c r="CJ228">
        <f t="shared" si="449"/>
        <v>0</v>
      </c>
      <c r="CK228">
        <f t="shared" si="450"/>
        <v>0</v>
      </c>
      <c r="CL228">
        <f t="shared" si="451"/>
        <v>0</v>
      </c>
      <c r="CM228">
        <f t="shared" si="452"/>
        <v>0</v>
      </c>
      <c r="CN228">
        <f t="shared" si="453"/>
        <v>0</v>
      </c>
      <c r="CO228">
        <f t="shared" si="454"/>
        <v>0</v>
      </c>
      <c r="CP228">
        <f t="shared" si="455"/>
        <v>1</v>
      </c>
      <c r="CQ228">
        <f t="shared" si="456"/>
        <v>1</v>
      </c>
      <c r="CR228">
        <f t="shared" si="457"/>
        <v>1</v>
      </c>
      <c r="CS228">
        <f t="shared" si="458"/>
        <v>1</v>
      </c>
      <c r="CT228">
        <f t="shared" si="459"/>
        <v>1</v>
      </c>
      <c r="CU228">
        <f t="shared" si="460"/>
        <v>1</v>
      </c>
      <c r="CV228">
        <f t="shared" si="461"/>
        <v>0</v>
      </c>
      <c r="CW228">
        <f t="shared" si="462"/>
        <v>0</v>
      </c>
      <c r="CX228">
        <f t="shared" si="463"/>
        <v>0</v>
      </c>
      <c r="CY228">
        <f t="shared" si="464"/>
        <v>0</v>
      </c>
      <c r="CZ228">
        <f t="shared" si="465"/>
        <v>0</v>
      </c>
      <c r="DA228">
        <f t="shared" si="466"/>
        <v>0</v>
      </c>
      <c r="DB228">
        <f t="shared" si="467"/>
        <v>1</v>
      </c>
      <c r="DC228">
        <f t="shared" si="468"/>
        <v>1</v>
      </c>
      <c r="DF228" s="10" t="s">
        <v>37</v>
      </c>
      <c r="DG228" t="str">
        <f t="shared" si="524"/>
        <v>2023_3</v>
      </c>
      <c r="DH228" t="str">
        <f t="shared" si="524"/>
        <v>2023_3</v>
      </c>
      <c r="DI228" t="str">
        <f t="shared" si="524"/>
        <v>2023_3</v>
      </c>
      <c r="DJ228" t="str">
        <f t="shared" si="524"/>
        <v>2023_3</v>
      </c>
      <c r="DK228" t="str">
        <f t="shared" si="524"/>
        <v>2023_3</v>
      </c>
      <c r="DL228" t="str">
        <f t="shared" si="524"/>
        <v>2023_3</v>
      </c>
      <c r="DM228" t="str">
        <f t="shared" si="524"/>
        <v>2023_3</v>
      </c>
      <c r="DN228" t="str">
        <f t="shared" si="524"/>
        <v>2023_3</v>
      </c>
      <c r="DO228" t="str">
        <f t="shared" si="524"/>
        <v>2023_3</v>
      </c>
      <c r="DP228" t="str">
        <f t="shared" si="524"/>
        <v>2023_3</v>
      </c>
      <c r="DQ228" t="str">
        <f t="shared" si="524"/>
        <v>2023_3</v>
      </c>
      <c r="DR228" t="str">
        <f t="shared" si="524"/>
        <v>2023_3</v>
      </c>
      <c r="DS228" t="str">
        <f t="shared" si="524"/>
        <v>2023_3</v>
      </c>
      <c r="DT228" t="str">
        <f t="shared" si="524"/>
        <v>2023_3</v>
      </c>
      <c r="DU228" t="str">
        <f t="shared" si="524"/>
        <v>2023_3</v>
      </c>
      <c r="DV228" t="str">
        <f t="shared" si="524"/>
        <v>2023_3</v>
      </c>
      <c r="DW228" t="str">
        <f t="shared" si="523"/>
        <v>2023_3</v>
      </c>
      <c r="DX228" t="str">
        <f t="shared" si="523"/>
        <v>2023_3</v>
      </c>
      <c r="DY228" t="str">
        <f t="shared" si="523"/>
        <v>2023_3</v>
      </c>
      <c r="DZ228" t="str">
        <f t="shared" si="523"/>
        <v>2023_3</v>
      </c>
      <c r="EA228" t="str">
        <f t="shared" si="523"/>
        <v>2023_3</v>
      </c>
      <c r="EB228" t="str">
        <f t="shared" si="523"/>
        <v>2023_3</v>
      </c>
      <c r="EC228" t="str">
        <f t="shared" si="523"/>
        <v>2023_3</v>
      </c>
      <c r="ED228" t="str">
        <f t="shared" si="523"/>
        <v>2023_3</v>
      </c>
      <c r="EE228" t="str">
        <f t="shared" si="523"/>
        <v>2023_3</v>
      </c>
      <c r="EF228" t="str">
        <f t="shared" si="523"/>
        <v>2023_3</v>
      </c>
      <c r="EG228" t="str">
        <f t="shared" si="523"/>
        <v>2023_3</v>
      </c>
      <c r="EH228" t="str">
        <f t="shared" si="523"/>
        <v>2023_3</v>
      </c>
      <c r="EI228" t="str">
        <f t="shared" si="523"/>
        <v>2023_3</v>
      </c>
      <c r="EJ228" t="str">
        <f t="shared" si="523"/>
        <v>2023_3</v>
      </c>
      <c r="EK228" t="str">
        <f t="shared" si="522"/>
        <v>2023_3</v>
      </c>
      <c r="EL228" t="str">
        <f t="shared" si="522"/>
        <v>2023_3</v>
      </c>
      <c r="EM228" t="str">
        <f t="shared" si="522"/>
        <v>2023_3</v>
      </c>
      <c r="EN228" t="str">
        <f t="shared" si="522"/>
        <v>2023_3</v>
      </c>
      <c r="EO228" t="str">
        <f t="shared" si="522"/>
        <v>2023_3</v>
      </c>
      <c r="EP228" t="str">
        <f t="shared" si="522"/>
        <v>2023_3</v>
      </c>
      <c r="EQ228" t="str">
        <f t="shared" si="522"/>
        <v>2023_3</v>
      </c>
      <c r="ER228" t="str">
        <f t="shared" si="522"/>
        <v>2023_3</v>
      </c>
      <c r="ES228" t="str">
        <f t="shared" si="522"/>
        <v>2023_3</v>
      </c>
      <c r="ET228" t="str">
        <f t="shared" si="522"/>
        <v>2023_3</v>
      </c>
      <c r="EU228" t="str">
        <f t="shared" si="522"/>
        <v>2023_3</v>
      </c>
      <c r="EV228" t="str">
        <f t="shared" si="522"/>
        <v>2023_3</v>
      </c>
      <c r="EW228" t="str">
        <f t="shared" si="522"/>
        <v>2023_3</v>
      </c>
      <c r="EX228" t="str">
        <f t="shared" si="522"/>
        <v>2023_3</v>
      </c>
      <c r="EY228" t="str">
        <f t="shared" si="522"/>
        <v>2023_3</v>
      </c>
      <c r="FB228" s="10" t="s">
        <v>37</v>
      </c>
      <c r="FC228">
        <f t="shared" si="521"/>
        <v>0</v>
      </c>
      <c r="FD228">
        <f t="shared" si="471"/>
        <v>0</v>
      </c>
      <c r="FE228">
        <f t="shared" si="472"/>
        <v>0</v>
      </c>
      <c r="FF228">
        <f t="shared" si="473"/>
        <v>0</v>
      </c>
      <c r="FG228">
        <f t="shared" si="474"/>
        <v>0</v>
      </c>
      <c r="FH228">
        <f t="shared" si="475"/>
        <v>0</v>
      </c>
      <c r="FI228">
        <f t="shared" si="476"/>
        <v>0</v>
      </c>
      <c r="FJ228">
        <f t="shared" si="477"/>
        <v>0</v>
      </c>
      <c r="FK228">
        <f t="shared" si="478"/>
        <v>0</v>
      </c>
      <c r="FL228">
        <f t="shared" si="479"/>
        <v>0</v>
      </c>
      <c r="FM228">
        <f t="shared" si="480"/>
        <v>0</v>
      </c>
      <c r="FN228">
        <f t="shared" si="481"/>
        <v>0</v>
      </c>
      <c r="FO228">
        <f t="shared" si="482"/>
        <v>0</v>
      </c>
      <c r="FP228">
        <f t="shared" si="483"/>
        <v>0</v>
      </c>
      <c r="FQ228">
        <f t="shared" si="484"/>
        <v>0</v>
      </c>
      <c r="FR228">
        <f t="shared" si="485"/>
        <v>0</v>
      </c>
      <c r="FS228">
        <f t="shared" si="486"/>
        <v>0</v>
      </c>
      <c r="FT228">
        <f t="shared" si="487"/>
        <v>0</v>
      </c>
      <c r="FU228">
        <f t="shared" si="488"/>
        <v>0</v>
      </c>
      <c r="FV228">
        <f t="shared" si="489"/>
        <v>0</v>
      </c>
      <c r="FW228">
        <f t="shared" si="490"/>
        <v>0</v>
      </c>
      <c r="FX228">
        <f t="shared" si="491"/>
        <v>0</v>
      </c>
      <c r="FY228">
        <f t="shared" si="492"/>
        <v>0</v>
      </c>
      <c r="FZ228">
        <f t="shared" si="493"/>
        <v>0</v>
      </c>
      <c r="GA228">
        <f t="shared" si="494"/>
        <v>0</v>
      </c>
      <c r="GB228">
        <f t="shared" si="495"/>
        <v>0</v>
      </c>
      <c r="GC228">
        <f t="shared" si="496"/>
        <v>0</v>
      </c>
      <c r="GD228">
        <f t="shared" si="497"/>
        <v>0</v>
      </c>
      <c r="GE228">
        <f t="shared" si="498"/>
        <v>0</v>
      </c>
      <c r="GF228">
        <f t="shared" si="499"/>
        <v>0</v>
      </c>
      <c r="GG228">
        <f t="shared" si="500"/>
        <v>0</v>
      </c>
      <c r="GH228">
        <f t="shared" si="501"/>
        <v>0</v>
      </c>
      <c r="GI228">
        <f t="shared" si="502"/>
        <v>0</v>
      </c>
      <c r="GJ228">
        <f t="shared" si="503"/>
        <v>0</v>
      </c>
      <c r="GK228">
        <f t="shared" si="504"/>
        <v>0</v>
      </c>
      <c r="GL228">
        <f t="shared" si="505"/>
        <v>1</v>
      </c>
      <c r="GM228">
        <f t="shared" si="506"/>
        <v>1</v>
      </c>
      <c r="GN228">
        <f t="shared" si="507"/>
        <v>1</v>
      </c>
      <c r="GO228">
        <f t="shared" si="508"/>
        <v>1</v>
      </c>
      <c r="GP228">
        <f t="shared" si="509"/>
        <v>1</v>
      </c>
      <c r="GQ228">
        <f t="shared" si="510"/>
        <v>1</v>
      </c>
      <c r="GR228">
        <f t="shared" si="511"/>
        <v>1</v>
      </c>
      <c r="GS228">
        <f t="shared" si="512"/>
        <v>1</v>
      </c>
      <c r="GT228">
        <f t="shared" si="513"/>
        <v>1</v>
      </c>
      <c r="GU228">
        <f t="shared" si="514"/>
        <v>1</v>
      </c>
      <c r="GX228" s="10"/>
    </row>
    <row r="229" spans="1:206" x14ac:dyDescent="0.3">
      <c r="A229" s="9" t="s">
        <v>33</v>
      </c>
      <c r="B229" s="80"/>
      <c r="C229" s="9">
        <v>3090922003</v>
      </c>
      <c r="D229" s="9" t="s">
        <v>370</v>
      </c>
      <c r="E229" s="9" t="s">
        <v>34</v>
      </c>
      <c r="F229" s="9" t="s">
        <v>35</v>
      </c>
      <c r="G229" s="9" t="s">
        <v>247</v>
      </c>
      <c r="H229" s="10">
        <v>45009</v>
      </c>
      <c r="I229" s="9">
        <f t="shared" si="515"/>
        <v>2023</v>
      </c>
      <c r="J229" s="9">
        <f t="shared" si="516"/>
        <v>3</v>
      </c>
      <c r="K229" s="9" t="str">
        <f t="shared" si="517"/>
        <v>2023_3</v>
      </c>
      <c r="L229">
        <f>MAX(0,VLOOKUP($K229,lookups!$A$1:$B$45,2,0)-12)</f>
        <v>23</v>
      </c>
      <c r="M229" s="40">
        <f t="shared" si="518"/>
        <v>44986</v>
      </c>
      <c r="N229" s="10" t="s">
        <v>37</v>
      </c>
      <c r="O229" t="str">
        <f ca="1">IF(OR($L229&gt;O$4,O$4&gt;$L229+23),"",OFFSET(Electric!$L220,0,-'Electric Calendarize'!$L229+'Electric Calendarize'!O$4+1))</f>
        <v/>
      </c>
      <c r="P229" t="str">
        <f ca="1">IF(OR($L229&gt;P$4,P$4&gt;$L229+23),"",OFFSET(Electric!$L220,0,-'Electric Calendarize'!$L229+'Electric Calendarize'!P$4+1))</f>
        <v/>
      </c>
      <c r="Q229" t="str">
        <f ca="1">IF(OR($L229&gt;Q$4,Q$4&gt;$L229+23),"",OFFSET(Electric!$L220,0,-'Electric Calendarize'!$L229+'Electric Calendarize'!Q$4+1))</f>
        <v/>
      </c>
      <c r="R229" t="str">
        <f ca="1">IF(OR($L229&gt;R$4,R$4&gt;$L229+23),"",OFFSET(Electric!$L220,0,-'Electric Calendarize'!$L229+'Electric Calendarize'!R$4+1))</f>
        <v/>
      </c>
      <c r="S229" t="str">
        <f ca="1">IF(OR($L229&gt;S$4,S$4&gt;$L229+23),"",OFFSET(Electric!$L220,0,-'Electric Calendarize'!$L229+'Electric Calendarize'!S$4+1))</f>
        <v/>
      </c>
      <c r="T229" t="str">
        <f ca="1">IF(OR($L229&gt;T$4,T$4&gt;$L229+23),"",OFFSET(Electric!$L220,0,-'Electric Calendarize'!$L229+'Electric Calendarize'!T$4+1))</f>
        <v/>
      </c>
      <c r="U229" t="str">
        <f ca="1">IF(OR($L229&gt;U$4,U$4&gt;$L229+23),"",OFFSET(Electric!$L220,0,-'Electric Calendarize'!$L229+'Electric Calendarize'!U$4+1))</f>
        <v/>
      </c>
      <c r="V229" t="str">
        <f ca="1">IF(OR($L229&gt;V$4,V$4&gt;$L229+23),"",OFFSET(Electric!$L220,0,-'Electric Calendarize'!$L229+'Electric Calendarize'!V$4+1))</f>
        <v/>
      </c>
      <c r="W229" t="str">
        <f ca="1">IF(OR($L229&gt;W$4,W$4&gt;$L229+23),"",OFFSET(Electric!$L220,0,-'Electric Calendarize'!$L229+'Electric Calendarize'!W$4+1))</f>
        <v/>
      </c>
      <c r="X229" t="str">
        <f ca="1">IF(OR($L229&gt;X$4,X$4&gt;$L229+23),"",OFFSET(Electric!$L220,0,-'Electric Calendarize'!$L229+'Electric Calendarize'!X$4+1))</f>
        <v/>
      </c>
      <c r="Y229" t="str">
        <f ca="1">IF(OR($L229&gt;Y$4,Y$4&gt;$L229+23),"",OFFSET(Electric!$L220,0,-'Electric Calendarize'!$L229+'Electric Calendarize'!Y$4+1))</f>
        <v/>
      </c>
      <c r="Z229" t="str">
        <f ca="1">IF(OR($L229&gt;Z$4,Z$4&gt;$L229+23),"",OFFSET(Electric!$L220,0,-'Electric Calendarize'!$L229+'Electric Calendarize'!Z$4+1))</f>
        <v/>
      </c>
      <c r="AA229" t="str">
        <f ca="1">IF(OR($L229&gt;AA$4,AA$4&gt;$L229+23),"",OFFSET(Electric!$L220,0,-'Electric Calendarize'!$L229+'Electric Calendarize'!AA$4+1))</f>
        <v/>
      </c>
      <c r="AB229" t="str">
        <f ca="1">IF(OR($L229&gt;AB$4,AB$4&gt;$L229+23),"",OFFSET(Electric!$L220,0,-'Electric Calendarize'!$L229+'Electric Calendarize'!AB$4+1))</f>
        <v/>
      </c>
      <c r="AC229" t="str">
        <f ca="1">IF(OR($L229&gt;AC$4,AC$4&gt;$L229+23),"",OFFSET(Electric!$L220,0,-'Electric Calendarize'!$L229+'Electric Calendarize'!AC$4+1))</f>
        <v/>
      </c>
      <c r="AD229" t="str">
        <f ca="1">IF(OR($L229&gt;AD$4,AD$4&gt;$L229+23),"",OFFSET(Electric!$L220,0,-'Electric Calendarize'!$L229+'Electric Calendarize'!AD$4+1))</f>
        <v/>
      </c>
      <c r="AE229" t="str">
        <f ca="1">IF(OR($L229&gt;AE$4,AE$4&gt;$L229+23),"",OFFSET(Electric!$L220,0,-'Electric Calendarize'!$L229+'Electric Calendarize'!AE$4+1))</f>
        <v/>
      </c>
      <c r="AF229" t="str">
        <f ca="1">IF(OR($L229&gt;AF$4,AF$4&gt;$L229+23),"",OFFSET(Electric!$L220,0,-'Electric Calendarize'!$L229+'Electric Calendarize'!AF$4+1))</f>
        <v/>
      </c>
      <c r="AG229" t="str">
        <f ca="1">IF(OR($L229&gt;AG$4,AG$4&gt;$L229+23),"",OFFSET(Electric!$L220,0,-'Electric Calendarize'!$L229+'Electric Calendarize'!AG$4+1))</f>
        <v/>
      </c>
      <c r="AH229" t="str">
        <f ca="1">IF(OR($L229&gt;AH$4,AH$4&gt;$L229+23),"",OFFSET(Electric!$L220,0,-'Electric Calendarize'!$L229+'Electric Calendarize'!AH$4+1))</f>
        <v/>
      </c>
      <c r="AI229" t="str">
        <f ca="1">IF(OR($L229&gt;AI$4,AI$4&gt;$L229+23),"",OFFSET(Electric!$L220,0,-'Electric Calendarize'!$L229+'Electric Calendarize'!AI$4+1))</f>
        <v/>
      </c>
      <c r="AJ229" t="str">
        <f ca="1">IF(OR($L229&gt;AJ$4,AJ$4&gt;$L229+23),"",OFFSET(Electric!$L220,0,-'Electric Calendarize'!$L229+'Electric Calendarize'!AJ$4+1))</f>
        <v/>
      </c>
      <c r="AK229" t="str">
        <f ca="1">IF(OR($L229&gt;AK$4,AK$4&gt;$L229+23),"",OFFSET(Electric!$L220,0,-'Electric Calendarize'!$L229+'Electric Calendarize'!AK$4+1))</f>
        <v/>
      </c>
      <c r="AL229">
        <f ca="1">IF(OR($L229&gt;AL$4,AL$4&gt;$L229+23),"",OFFSET(Electric!$L220,0,-'Electric Calendarize'!$L229+'Electric Calendarize'!AL$4+1))</f>
        <v>799</v>
      </c>
      <c r="AM229">
        <f ca="1">IF(OR($L229&gt;AM$4,AM$4&gt;$L229+23),"",OFFSET(Electric!$L220,0,-'Electric Calendarize'!$L229+'Electric Calendarize'!AM$4+1))</f>
        <v>751</v>
      </c>
      <c r="AN229">
        <f ca="1">IF(OR($L229&gt;AN$4,AN$4&gt;$L229+23),"",OFFSET(Electric!$L220,0,-'Electric Calendarize'!$L229+'Electric Calendarize'!AN$4+1))</f>
        <v>678</v>
      </c>
      <c r="AO229">
        <f ca="1">IF(OR($L229&gt;AO$4,AO$4&gt;$L229+23),"",OFFSET(Electric!$L220,0,-'Electric Calendarize'!$L229+'Electric Calendarize'!AO$4+1))</f>
        <v>0</v>
      </c>
      <c r="AP229">
        <f ca="1">IF(OR($L229&gt;AP$4,AP$4&gt;$L229+23),"",OFFSET(Electric!$L220,0,-'Electric Calendarize'!$L229+'Electric Calendarize'!AP$4+1))</f>
        <v>477</v>
      </c>
      <c r="AQ229">
        <f ca="1">IF(OR($L229&gt;AQ$4,AQ$4&gt;$L229+23),"",OFFSET(Electric!$L220,0,-'Electric Calendarize'!$L229+'Electric Calendarize'!AQ$4+1))</f>
        <v>418</v>
      </c>
      <c r="AR229">
        <f ca="1">IF(OR($L229&gt;AR$4,AR$4&gt;$L229+23),"",OFFSET(Electric!$L220,0,-'Electric Calendarize'!$L229+'Electric Calendarize'!AR$4+1))</f>
        <v>543</v>
      </c>
      <c r="AS229">
        <f ca="1">IF(OR($L229&gt;AS$4,AS$4&gt;$L229+23),"",OFFSET(Electric!$L220,0,-'Electric Calendarize'!$L229+'Electric Calendarize'!AS$4+1))</f>
        <v>574</v>
      </c>
      <c r="AT229">
        <f ca="1">IF(OR($L229&gt;AT$4,AT$4&gt;$L229+23),"",OFFSET(Electric!$L220,0,-'Electric Calendarize'!$L229+'Electric Calendarize'!AT$4+1))</f>
        <v>329</v>
      </c>
      <c r="AU229">
        <f ca="1">IF(OR($L229&gt;AU$4,AU$4&gt;$L229+23),"",OFFSET(Electric!$L220,0,-'Electric Calendarize'!$L229+'Electric Calendarize'!AU$4+1))</f>
        <v>361</v>
      </c>
      <c r="AV229">
        <f ca="1">IF(OR($L229&gt;AV$4,AV$4&gt;$L229+23),"",OFFSET(Electric!$L220,0,-'Electric Calendarize'!$L229+'Electric Calendarize'!AV$4+1))</f>
        <v>431</v>
      </c>
      <c r="AW229">
        <f ca="1">IF(OR($L229&gt;AW$4,AW$4&gt;$L229+23),"",OFFSET(Electric!$L220,0,-'Electric Calendarize'!$L229+'Electric Calendarize'!AW$4+1))</f>
        <v>569</v>
      </c>
      <c r="AX229">
        <f ca="1">IF(OR($L229&gt;AX$4,AX$4&gt;$L229+23),"",OFFSET(Electric!$L220,0,-'Electric Calendarize'!$L229+'Electric Calendarize'!AX$4+1))</f>
        <v>463</v>
      </c>
      <c r="AY229">
        <f ca="1">IF(OR($L229&gt;AY$4,AY$4&gt;$L229+23),"",OFFSET(Electric!$L220,0,-'Electric Calendarize'!$L229+'Electric Calendarize'!AY$4+1))</f>
        <v>483</v>
      </c>
      <c r="AZ229">
        <f ca="1">IF(OR($L229&gt;AZ$4,AZ$4&gt;$L229+23),"",OFFSET(Electric!$L220,0,-'Electric Calendarize'!$L229+'Electric Calendarize'!AZ$4+1))</f>
        <v>437</v>
      </c>
      <c r="BA229">
        <f ca="1">IF(OR($L229&gt;BA$4,BA$4&gt;$L229+23),"",OFFSET(Electric!$L220,0,-'Electric Calendarize'!$L229+'Electric Calendarize'!BA$4+1))</f>
        <v>356</v>
      </c>
      <c r="BB229">
        <f ca="1">IF(OR($L229&gt;BB$4,BB$4&gt;$L229+23),"",OFFSET(Electric!$L220,0,-'Electric Calendarize'!$L229+'Electric Calendarize'!BB$4+1))</f>
        <v>372</v>
      </c>
      <c r="BC229">
        <f ca="1">IF(OR($L229&gt;BC$4,BC$4&gt;$L229+23),"",OFFSET(Electric!$L220,0,-'Electric Calendarize'!$L229+'Electric Calendarize'!BC$4+1))</f>
        <v>565</v>
      </c>
      <c r="BD229">
        <f ca="1">IF(OR($L229&gt;BD$4,BD$4&gt;$L229+23),"",OFFSET(Electric!$L220,0,-'Electric Calendarize'!$L229+'Electric Calendarize'!BD$4+1))</f>
        <v>520</v>
      </c>
      <c r="BE229">
        <f ca="1">IF(OR($L229&gt;BE$4,BE$4&gt;$L229+23),"",OFFSET(Electric!$L220,0,-'Electric Calendarize'!$L229+'Electric Calendarize'!BE$4+1))</f>
        <v>571</v>
      </c>
      <c r="BF229">
        <f ca="1">IF(OR($L229&gt;BF$4,BF$4&gt;$L229+23),"",OFFSET(Electric!$L220,0,-'Electric Calendarize'!$L229+'Electric Calendarize'!BF$4+1))</f>
        <v>390</v>
      </c>
      <c r="BG229">
        <f ca="1">IF(OR($L229&gt;BG$4,BG$4&gt;$L229+23),"",OFFSET(Electric!$L220,0,-'Electric Calendarize'!$L229+'Electric Calendarize'!BG$4+1))</f>
        <v>392</v>
      </c>
      <c r="BJ229" s="10" t="s">
        <v>37</v>
      </c>
      <c r="BK229">
        <f t="shared" si="519"/>
        <v>1</v>
      </c>
      <c r="BL229">
        <f t="shared" si="425"/>
        <v>0</v>
      </c>
      <c r="BM229">
        <f t="shared" si="426"/>
        <v>0</v>
      </c>
      <c r="BN229">
        <f t="shared" si="427"/>
        <v>0</v>
      </c>
      <c r="BO229">
        <f t="shared" si="428"/>
        <v>0</v>
      </c>
      <c r="BP229">
        <f t="shared" si="429"/>
        <v>0</v>
      </c>
      <c r="BQ229">
        <f t="shared" si="430"/>
        <v>0</v>
      </c>
      <c r="BR229">
        <f t="shared" si="431"/>
        <v>1</v>
      </c>
      <c r="BS229">
        <f t="shared" si="432"/>
        <v>1</v>
      </c>
      <c r="BT229">
        <f t="shared" si="433"/>
        <v>1</v>
      </c>
      <c r="BU229">
        <f t="shared" si="434"/>
        <v>1</v>
      </c>
      <c r="BV229">
        <f t="shared" si="435"/>
        <v>1</v>
      </c>
      <c r="BW229">
        <f t="shared" si="436"/>
        <v>1</v>
      </c>
      <c r="BX229">
        <f t="shared" si="437"/>
        <v>0</v>
      </c>
      <c r="BY229">
        <f t="shared" si="438"/>
        <v>0</v>
      </c>
      <c r="BZ229">
        <f t="shared" si="439"/>
        <v>0</v>
      </c>
      <c r="CA229">
        <f t="shared" si="440"/>
        <v>0</v>
      </c>
      <c r="CB229">
        <f t="shared" si="441"/>
        <v>0</v>
      </c>
      <c r="CC229">
        <f t="shared" si="442"/>
        <v>0</v>
      </c>
      <c r="CD229">
        <f t="shared" si="443"/>
        <v>1</v>
      </c>
      <c r="CE229">
        <f t="shared" si="444"/>
        <v>1</v>
      </c>
      <c r="CF229">
        <f t="shared" si="445"/>
        <v>1</v>
      </c>
      <c r="CG229">
        <f t="shared" si="446"/>
        <v>1</v>
      </c>
      <c r="CH229">
        <f t="shared" si="447"/>
        <v>1</v>
      </c>
      <c r="CI229">
        <f t="shared" si="448"/>
        <v>1</v>
      </c>
      <c r="CJ229">
        <f t="shared" si="449"/>
        <v>0</v>
      </c>
      <c r="CK229">
        <f t="shared" si="450"/>
        <v>0</v>
      </c>
      <c r="CL229">
        <f t="shared" si="451"/>
        <v>0</v>
      </c>
      <c r="CM229">
        <f t="shared" si="452"/>
        <v>0</v>
      </c>
      <c r="CN229">
        <f t="shared" si="453"/>
        <v>0</v>
      </c>
      <c r="CO229">
        <f t="shared" si="454"/>
        <v>0</v>
      </c>
      <c r="CP229">
        <f t="shared" si="455"/>
        <v>1</v>
      </c>
      <c r="CQ229">
        <f t="shared" si="456"/>
        <v>1</v>
      </c>
      <c r="CR229">
        <f t="shared" si="457"/>
        <v>1</v>
      </c>
      <c r="CS229">
        <f t="shared" si="458"/>
        <v>1</v>
      </c>
      <c r="CT229">
        <f t="shared" si="459"/>
        <v>1</v>
      </c>
      <c r="CU229">
        <f t="shared" si="460"/>
        <v>1</v>
      </c>
      <c r="CV229">
        <f t="shared" si="461"/>
        <v>0</v>
      </c>
      <c r="CW229">
        <f t="shared" si="462"/>
        <v>0</v>
      </c>
      <c r="CX229">
        <f t="shared" si="463"/>
        <v>0</v>
      </c>
      <c r="CY229">
        <f t="shared" si="464"/>
        <v>0</v>
      </c>
      <c r="CZ229">
        <f t="shared" si="465"/>
        <v>0</v>
      </c>
      <c r="DA229">
        <f t="shared" si="466"/>
        <v>0</v>
      </c>
      <c r="DB229">
        <f t="shared" si="467"/>
        <v>1</v>
      </c>
      <c r="DC229">
        <f t="shared" si="468"/>
        <v>1</v>
      </c>
      <c r="DF229" s="10" t="s">
        <v>37</v>
      </c>
      <c r="DG229" t="str">
        <f t="shared" si="524"/>
        <v>2023_3</v>
      </c>
      <c r="DH229" t="str">
        <f t="shared" si="524"/>
        <v>2023_3</v>
      </c>
      <c r="DI229" t="str">
        <f t="shared" si="524"/>
        <v>2023_3</v>
      </c>
      <c r="DJ229" t="str">
        <f t="shared" si="524"/>
        <v>2023_3</v>
      </c>
      <c r="DK229" t="str">
        <f t="shared" si="524"/>
        <v>2023_3</v>
      </c>
      <c r="DL229" t="str">
        <f t="shared" si="524"/>
        <v>2023_3</v>
      </c>
      <c r="DM229" t="str">
        <f t="shared" si="524"/>
        <v>2023_3</v>
      </c>
      <c r="DN229" t="str">
        <f t="shared" si="524"/>
        <v>2023_3</v>
      </c>
      <c r="DO229" t="str">
        <f t="shared" si="524"/>
        <v>2023_3</v>
      </c>
      <c r="DP229" t="str">
        <f t="shared" si="524"/>
        <v>2023_3</v>
      </c>
      <c r="DQ229" t="str">
        <f t="shared" si="524"/>
        <v>2023_3</v>
      </c>
      <c r="DR229" t="str">
        <f t="shared" si="524"/>
        <v>2023_3</v>
      </c>
      <c r="DS229" t="str">
        <f t="shared" si="524"/>
        <v>2023_3</v>
      </c>
      <c r="DT229" t="str">
        <f t="shared" si="524"/>
        <v>2023_3</v>
      </c>
      <c r="DU229" t="str">
        <f t="shared" si="524"/>
        <v>2023_3</v>
      </c>
      <c r="DV229" t="str">
        <f t="shared" si="524"/>
        <v>2023_3</v>
      </c>
      <c r="DW229" t="str">
        <f t="shared" si="523"/>
        <v>2023_3</v>
      </c>
      <c r="DX229" t="str">
        <f t="shared" si="523"/>
        <v>2023_3</v>
      </c>
      <c r="DY229" t="str">
        <f t="shared" si="523"/>
        <v>2023_3</v>
      </c>
      <c r="DZ229" t="str">
        <f t="shared" si="523"/>
        <v>2023_3</v>
      </c>
      <c r="EA229" t="str">
        <f t="shared" si="523"/>
        <v>2023_3</v>
      </c>
      <c r="EB229" t="str">
        <f t="shared" si="523"/>
        <v>2023_3</v>
      </c>
      <c r="EC229" t="str">
        <f t="shared" si="523"/>
        <v>2023_3</v>
      </c>
      <c r="ED229" t="str">
        <f t="shared" si="523"/>
        <v>2023_3</v>
      </c>
      <c r="EE229" t="str">
        <f t="shared" si="523"/>
        <v>2023_3</v>
      </c>
      <c r="EF229" t="str">
        <f t="shared" si="523"/>
        <v>2023_3</v>
      </c>
      <c r="EG229" t="str">
        <f t="shared" si="523"/>
        <v>2023_3</v>
      </c>
      <c r="EH229" t="str">
        <f t="shared" si="523"/>
        <v>2023_3</v>
      </c>
      <c r="EI229" t="str">
        <f t="shared" si="523"/>
        <v>2023_3</v>
      </c>
      <c r="EJ229" t="str">
        <f t="shared" si="523"/>
        <v>2023_3</v>
      </c>
      <c r="EK229" t="str">
        <f t="shared" si="522"/>
        <v>2023_3</v>
      </c>
      <c r="EL229" t="str">
        <f t="shared" si="522"/>
        <v>2023_3</v>
      </c>
      <c r="EM229" t="str">
        <f t="shared" si="522"/>
        <v>2023_3</v>
      </c>
      <c r="EN229" t="str">
        <f t="shared" si="522"/>
        <v>2023_3</v>
      </c>
      <c r="EO229" t="str">
        <f t="shared" si="522"/>
        <v>2023_3</v>
      </c>
      <c r="EP229" t="str">
        <f t="shared" si="522"/>
        <v>2023_3</v>
      </c>
      <c r="EQ229" t="str">
        <f t="shared" si="522"/>
        <v>2023_3</v>
      </c>
      <c r="ER229" t="str">
        <f t="shared" si="522"/>
        <v>2023_3</v>
      </c>
      <c r="ES229" t="str">
        <f t="shared" si="522"/>
        <v>2023_3</v>
      </c>
      <c r="ET229" t="str">
        <f t="shared" si="522"/>
        <v>2023_3</v>
      </c>
      <c r="EU229" t="str">
        <f t="shared" si="522"/>
        <v>2023_3</v>
      </c>
      <c r="EV229" t="str">
        <f t="shared" si="522"/>
        <v>2023_3</v>
      </c>
      <c r="EW229" t="str">
        <f t="shared" si="522"/>
        <v>2023_3</v>
      </c>
      <c r="EX229" t="str">
        <f t="shared" si="522"/>
        <v>2023_3</v>
      </c>
      <c r="EY229" t="str">
        <f t="shared" si="522"/>
        <v>2023_3</v>
      </c>
      <c r="FB229" s="10" t="s">
        <v>37</v>
      </c>
      <c r="FC229">
        <f t="shared" si="521"/>
        <v>0</v>
      </c>
      <c r="FD229">
        <f t="shared" si="471"/>
        <v>0</v>
      </c>
      <c r="FE229">
        <f t="shared" si="472"/>
        <v>0</v>
      </c>
      <c r="FF229">
        <f t="shared" si="473"/>
        <v>0</v>
      </c>
      <c r="FG229">
        <f t="shared" si="474"/>
        <v>0</v>
      </c>
      <c r="FH229">
        <f t="shared" si="475"/>
        <v>0</v>
      </c>
      <c r="FI229">
        <f t="shared" si="476"/>
        <v>0</v>
      </c>
      <c r="FJ229">
        <f t="shared" si="477"/>
        <v>0</v>
      </c>
      <c r="FK229">
        <f t="shared" si="478"/>
        <v>0</v>
      </c>
      <c r="FL229">
        <f t="shared" si="479"/>
        <v>0</v>
      </c>
      <c r="FM229">
        <f t="shared" si="480"/>
        <v>0</v>
      </c>
      <c r="FN229">
        <f t="shared" si="481"/>
        <v>0</v>
      </c>
      <c r="FO229">
        <f t="shared" si="482"/>
        <v>0</v>
      </c>
      <c r="FP229">
        <f t="shared" si="483"/>
        <v>0</v>
      </c>
      <c r="FQ229">
        <f t="shared" si="484"/>
        <v>0</v>
      </c>
      <c r="FR229">
        <f t="shared" si="485"/>
        <v>0</v>
      </c>
      <c r="FS229">
        <f t="shared" si="486"/>
        <v>0</v>
      </c>
      <c r="FT229">
        <f t="shared" si="487"/>
        <v>0</v>
      </c>
      <c r="FU229">
        <f t="shared" si="488"/>
        <v>0</v>
      </c>
      <c r="FV229">
        <f t="shared" si="489"/>
        <v>0</v>
      </c>
      <c r="FW229">
        <f t="shared" si="490"/>
        <v>0</v>
      </c>
      <c r="FX229">
        <f t="shared" si="491"/>
        <v>0</v>
      </c>
      <c r="FY229">
        <f t="shared" si="492"/>
        <v>0</v>
      </c>
      <c r="FZ229">
        <f t="shared" si="493"/>
        <v>0</v>
      </c>
      <c r="GA229">
        <f t="shared" si="494"/>
        <v>0</v>
      </c>
      <c r="GB229">
        <f t="shared" si="495"/>
        <v>0</v>
      </c>
      <c r="GC229">
        <f t="shared" si="496"/>
        <v>0</v>
      </c>
      <c r="GD229">
        <f t="shared" si="497"/>
        <v>0</v>
      </c>
      <c r="GE229">
        <f t="shared" si="498"/>
        <v>0</v>
      </c>
      <c r="GF229">
        <f t="shared" si="499"/>
        <v>0</v>
      </c>
      <c r="GG229">
        <f t="shared" si="500"/>
        <v>0</v>
      </c>
      <c r="GH229">
        <f t="shared" si="501"/>
        <v>0</v>
      </c>
      <c r="GI229">
        <f t="shared" si="502"/>
        <v>0</v>
      </c>
      <c r="GJ229">
        <f t="shared" si="503"/>
        <v>0</v>
      </c>
      <c r="GK229">
        <f t="shared" si="504"/>
        <v>0</v>
      </c>
      <c r="GL229">
        <f t="shared" si="505"/>
        <v>1</v>
      </c>
      <c r="GM229">
        <f t="shared" si="506"/>
        <v>1</v>
      </c>
      <c r="GN229">
        <f t="shared" si="507"/>
        <v>1</v>
      </c>
      <c r="GO229">
        <f t="shared" si="508"/>
        <v>1</v>
      </c>
      <c r="GP229">
        <f t="shared" si="509"/>
        <v>1</v>
      </c>
      <c r="GQ229">
        <f t="shared" si="510"/>
        <v>1</v>
      </c>
      <c r="GR229">
        <f t="shared" si="511"/>
        <v>1</v>
      </c>
      <c r="GS229">
        <f t="shared" si="512"/>
        <v>1</v>
      </c>
      <c r="GT229">
        <f t="shared" si="513"/>
        <v>1</v>
      </c>
      <c r="GU229">
        <f t="shared" si="514"/>
        <v>1</v>
      </c>
      <c r="GX229" s="10"/>
    </row>
    <row r="230" spans="1:206" x14ac:dyDescent="0.3">
      <c r="A230" s="9" t="s">
        <v>124</v>
      </c>
      <c r="B230" s="80"/>
      <c r="C230" s="9">
        <v>3160902000</v>
      </c>
      <c r="D230" s="9" t="s">
        <v>493</v>
      </c>
      <c r="E230" s="9" t="s">
        <v>43</v>
      </c>
      <c r="F230" s="9" t="s">
        <v>35</v>
      </c>
      <c r="G230" s="9" t="s">
        <v>248</v>
      </c>
      <c r="H230" s="10">
        <v>45012</v>
      </c>
      <c r="I230" s="9">
        <f t="shared" si="515"/>
        <v>2023</v>
      </c>
      <c r="J230" s="9">
        <f t="shared" si="516"/>
        <v>3</v>
      </c>
      <c r="K230" s="9" t="str">
        <f t="shared" si="517"/>
        <v>2023_3</v>
      </c>
      <c r="L230">
        <f>MAX(0,VLOOKUP($K230,lookups!$A$1:$B$45,2,0)-12)</f>
        <v>23</v>
      </c>
      <c r="M230" s="40">
        <f t="shared" si="518"/>
        <v>44986</v>
      </c>
      <c r="N230" s="10" t="s">
        <v>37</v>
      </c>
      <c r="O230" t="str">
        <f ca="1">IF(OR($L230&gt;O$4,O$4&gt;$L230+23),"",OFFSET(Electric!$L221,0,-'Electric Calendarize'!$L230+'Electric Calendarize'!O$4+1))</f>
        <v/>
      </c>
      <c r="P230" t="str">
        <f ca="1">IF(OR($L230&gt;P$4,P$4&gt;$L230+23),"",OFFSET(Electric!$L221,0,-'Electric Calendarize'!$L230+'Electric Calendarize'!P$4+1))</f>
        <v/>
      </c>
      <c r="Q230" t="str">
        <f ca="1">IF(OR($L230&gt;Q$4,Q$4&gt;$L230+23),"",OFFSET(Electric!$L221,0,-'Electric Calendarize'!$L230+'Electric Calendarize'!Q$4+1))</f>
        <v/>
      </c>
      <c r="R230" t="str">
        <f ca="1">IF(OR($L230&gt;R$4,R$4&gt;$L230+23),"",OFFSET(Electric!$L221,0,-'Electric Calendarize'!$L230+'Electric Calendarize'!R$4+1))</f>
        <v/>
      </c>
      <c r="S230" t="str">
        <f ca="1">IF(OR($L230&gt;S$4,S$4&gt;$L230+23),"",OFFSET(Electric!$L221,0,-'Electric Calendarize'!$L230+'Electric Calendarize'!S$4+1))</f>
        <v/>
      </c>
      <c r="T230" t="str">
        <f ca="1">IF(OR($L230&gt;T$4,T$4&gt;$L230+23),"",OFFSET(Electric!$L221,0,-'Electric Calendarize'!$L230+'Electric Calendarize'!T$4+1))</f>
        <v/>
      </c>
      <c r="U230" t="str">
        <f ca="1">IF(OR($L230&gt;U$4,U$4&gt;$L230+23),"",OFFSET(Electric!$L221,0,-'Electric Calendarize'!$L230+'Electric Calendarize'!U$4+1))</f>
        <v/>
      </c>
      <c r="V230" t="str">
        <f ca="1">IF(OR($L230&gt;V$4,V$4&gt;$L230+23),"",OFFSET(Electric!$L221,0,-'Electric Calendarize'!$L230+'Electric Calendarize'!V$4+1))</f>
        <v/>
      </c>
      <c r="W230" t="str">
        <f ca="1">IF(OR($L230&gt;W$4,W$4&gt;$L230+23),"",OFFSET(Electric!$L221,0,-'Electric Calendarize'!$L230+'Electric Calendarize'!W$4+1))</f>
        <v/>
      </c>
      <c r="X230" t="str">
        <f ca="1">IF(OR($L230&gt;X$4,X$4&gt;$L230+23),"",OFFSET(Electric!$L221,0,-'Electric Calendarize'!$L230+'Electric Calendarize'!X$4+1))</f>
        <v/>
      </c>
      <c r="Y230" t="str">
        <f ca="1">IF(OR($L230&gt;Y$4,Y$4&gt;$L230+23),"",OFFSET(Electric!$L221,0,-'Electric Calendarize'!$L230+'Electric Calendarize'!Y$4+1))</f>
        <v/>
      </c>
      <c r="Z230" t="str">
        <f ca="1">IF(OR($L230&gt;Z$4,Z$4&gt;$L230+23),"",OFFSET(Electric!$L221,0,-'Electric Calendarize'!$L230+'Electric Calendarize'!Z$4+1))</f>
        <v/>
      </c>
      <c r="AA230" t="str">
        <f ca="1">IF(OR($L230&gt;AA$4,AA$4&gt;$L230+23),"",OFFSET(Electric!$L221,0,-'Electric Calendarize'!$L230+'Electric Calendarize'!AA$4+1))</f>
        <v/>
      </c>
      <c r="AB230" t="str">
        <f ca="1">IF(OR($L230&gt;AB$4,AB$4&gt;$L230+23),"",OFFSET(Electric!$L221,0,-'Electric Calendarize'!$L230+'Electric Calendarize'!AB$4+1))</f>
        <v/>
      </c>
      <c r="AC230" t="str">
        <f ca="1">IF(OR($L230&gt;AC$4,AC$4&gt;$L230+23),"",OFFSET(Electric!$L221,0,-'Electric Calendarize'!$L230+'Electric Calendarize'!AC$4+1))</f>
        <v/>
      </c>
      <c r="AD230" t="str">
        <f ca="1">IF(OR($L230&gt;AD$4,AD$4&gt;$L230+23),"",OFFSET(Electric!$L221,0,-'Electric Calendarize'!$L230+'Electric Calendarize'!AD$4+1))</f>
        <v/>
      </c>
      <c r="AE230" t="str">
        <f ca="1">IF(OR($L230&gt;AE$4,AE$4&gt;$L230+23),"",OFFSET(Electric!$L221,0,-'Electric Calendarize'!$L230+'Electric Calendarize'!AE$4+1))</f>
        <v/>
      </c>
      <c r="AF230" t="str">
        <f ca="1">IF(OR($L230&gt;AF$4,AF$4&gt;$L230+23),"",OFFSET(Electric!$L221,0,-'Electric Calendarize'!$L230+'Electric Calendarize'!AF$4+1))</f>
        <v/>
      </c>
      <c r="AG230" t="str">
        <f ca="1">IF(OR($L230&gt;AG$4,AG$4&gt;$L230+23),"",OFFSET(Electric!$L221,0,-'Electric Calendarize'!$L230+'Electric Calendarize'!AG$4+1))</f>
        <v/>
      </c>
      <c r="AH230" t="str">
        <f ca="1">IF(OR($L230&gt;AH$4,AH$4&gt;$L230+23),"",OFFSET(Electric!$L221,0,-'Electric Calendarize'!$L230+'Electric Calendarize'!AH$4+1))</f>
        <v/>
      </c>
      <c r="AI230" t="str">
        <f ca="1">IF(OR($L230&gt;AI$4,AI$4&gt;$L230+23),"",OFFSET(Electric!$L221,0,-'Electric Calendarize'!$L230+'Electric Calendarize'!AI$4+1))</f>
        <v/>
      </c>
      <c r="AJ230" t="str">
        <f ca="1">IF(OR($L230&gt;AJ$4,AJ$4&gt;$L230+23),"",OFFSET(Electric!$L221,0,-'Electric Calendarize'!$L230+'Electric Calendarize'!AJ$4+1))</f>
        <v/>
      </c>
      <c r="AK230" t="str">
        <f ca="1">IF(OR($L230&gt;AK$4,AK$4&gt;$L230+23),"",OFFSET(Electric!$L221,0,-'Electric Calendarize'!$L230+'Electric Calendarize'!AK$4+1))</f>
        <v/>
      </c>
      <c r="AL230">
        <f ca="1">IF(OR($L230&gt;AL$4,AL$4&gt;$L230+23),"",OFFSET(Electric!$L221,0,-'Electric Calendarize'!$L230+'Electric Calendarize'!AL$4+1))</f>
        <v>550</v>
      </c>
      <c r="AM230">
        <f ca="1">IF(OR($L230&gt;AM$4,AM$4&gt;$L230+23),"",OFFSET(Electric!$L221,0,-'Electric Calendarize'!$L230+'Electric Calendarize'!AM$4+1))</f>
        <v>446</v>
      </c>
      <c r="AN230">
        <f ca="1">IF(OR($L230&gt;AN$4,AN$4&gt;$L230+23),"",OFFSET(Electric!$L221,0,-'Electric Calendarize'!$L230+'Electric Calendarize'!AN$4+1))</f>
        <v>434</v>
      </c>
      <c r="AO230">
        <f ca="1">IF(OR($L230&gt;AO$4,AO$4&gt;$L230+23),"",OFFSET(Electric!$L221,0,-'Electric Calendarize'!$L230+'Electric Calendarize'!AO$4+1))</f>
        <v>550</v>
      </c>
      <c r="AP230">
        <f ca="1">IF(OR($L230&gt;AP$4,AP$4&gt;$L230+23),"",OFFSET(Electric!$L221,0,-'Electric Calendarize'!$L230+'Electric Calendarize'!AP$4+1))</f>
        <v>522</v>
      </c>
      <c r="AQ230">
        <f ca="1">IF(OR($L230&gt;AQ$4,AQ$4&gt;$L230+23),"",OFFSET(Electric!$L221,0,-'Electric Calendarize'!$L230+'Electric Calendarize'!AQ$4+1))</f>
        <v>479</v>
      </c>
      <c r="AR230">
        <f ca="1">IF(OR($L230&gt;AR$4,AR$4&gt;$L230+23),"",OFFSET(Electric!$L221,0,-'Electric Calendarize'!$L230+'Electric Calendarize'!AR$4+1))</f>
        <v>479</v>
      </c>
      <c r="AS230">
        <f ca="1">IF(OR($L230&gt;AS$4,AS$4&gt;$L230+23),"",OFFSET(Electric!$L221,0,-'Electric Calendarize'!$L230+'Electric Calendarize'!AS$4+1))</f>
        <v>466</v>
      </c>
      <c r="AT230">
        <f ca="1">IF(OR($L230&gt;AT$4,AT$4&gt;$L230+23),"",OFFSET(Electric!$L221,0,-'Electric Calendarize'!$L230+'Electric Calendarize'!AT$4+1))</f>
        <v>519</v>
      </c>
      <c r="AU230">
        <f ca="1">IF(OR($L230&gt;AU$4,AU$4&gt;$L230+23),"",OFFSET(Electric!$L221,0,-'Electric Calendarize'!$L230+'Electric Calendarize'!AU$4+1))</f>
        <v>546</v>
      </c>
      <c r="AV230">
        <f ca="1">IF(OR($L230&gt;AV$4,AV$4&gt;$L230+23),"",OFFSET(Electric!$L221,0,-'Electric Calendarize'!$L230+'Electric Calendarize'!AV$4+1))</f>
        <v>488</v>
      </c>
      <c r="AW230">
        <f ca="1">IF(OR($L230&gt;AW$4,AW$4&gt;$L230+23),"",OFFSET(Electric!$L221,0,-'Electric Calendarize'!$L230+'Electric Calendarize'!AW$4+1))</f>
        <v>584</v>
      </c>
      <c r="AX230">
        <f ca="1">IF(OR($L230&gt;AX$4,AX$4&gt;$L230+23),"",OFFSET(Electric!$L221,0,-'Electric Calendarize'!$L230+'Electric Calendarize'!AX$4+1))</f>
        <v>479</v>
      </c>
      <c r="AY230">
        <f ca="1">IF(OR($L230&gt;AY$4,AY$4&gt;$L230+23),"",OFFSET(Electric!$L221,0,-'Electric Calendarize'!$L230+'Electric Calendarize'!AY$4+1))</f>
        <v>422</v>
      </c>
      <c r="AZ230">
        <f ca="1">IF(OR($L230&gt;AZ$4,AZ$4&gt;$L230+23),"",OFFSET(Electric!$L221,0,-'Electric Calendarize'!$L230+'Electric Calendarize'!AZ$4+1))</f>
        <v>413</v>
      </c>
      <c r="BA230">
        <f ca="1">IF(OR($L230&gt;BA$4,BA$4&gt;$L230+23),"",OFFSET(Electric!$L221,0,-'Electric Calendarize'!$L230+'Electric Calendarize'!BA$4+1))</f>
        <v>386</v>
      </c>
      <c r="BB230">
        <f ca="1">IF(OR($L230&gt;BB$4,BB$4&gt;$L230+23),"",OFFSET(Electric!$L221,0,-'Electric Calendarize'!$L230+'Electric Calendarize'!BB$4+1))</f>
        <v>426</v>
      </c>
      <c r="BC230">
        <f ca="1">IF(OR($L230&gt;BC$4,BC$4&gt;$L230+23),"",OFFSET(Electric!$L221,0,-'Electric Calendarize'!$L230+'Electric Calendarize'!BC$4+1))</f>
        <v>442</v>
      </c>
      <c r="BD230">
        <f ca="1">IF(OR($L230&gt;BD$4,BD$4&gt;$L230+23),"",OFFSET(Electric!$L221,0,-'Electric Calendarize'!$L230+'Electric Calendarize'!BD$4+1))</f>
        <v>418</v>
      </c>
      <c r="BE230">
        <f ca="1">IF(OR($L230&gt;BE$4,BE$4&gt;$L230+23),"",OFFSET(Electric!$L221,0,-'Electric Calendarize'!$L230+'Electric Calendarize'!BE$4+1))</f>
        <v>400</v>
      </c>
      <c r="BF230">
        <f ca="1">IF(OR($L230&gt;BF$4,BF$4&gt;$L230+23),"",OFFSET(Electric!$L221,0,-'Electric Calendarize'!$L230+'Electric Calendarize'!BF$4+1))</f>
        <v>507</v>
      </c>
      <c r="BG230">
        <f ca="1">IF(OR($L230&gt;BG$4,BG$4&gt;$L230+23),"",OFFSET(Electric!$L221,0,-'Electric Calendarize'!$L230+'Electric Calendarize'!BG$4+1))</f>
        <v>0</v>
      </c>
      <c r="BJ230" s="10" t="s">
        <v>37</v>
      </c>
      <c r="BK230">
        <f t="shared" si="519"/>
        <v>1</v>
      </c>
      <c r="BL230">
        <f t="shared" si="425"/>
        <v>0</v>
      </c>
      <c r="BM230">
        <f t="shared" si="426"/>
        <v>0</v>
      </c>
      <c r="BN230">
        <f t="shared" si="427"/>
        <v>0</v>
      </c>
      <c r="BO230">
        <f t="shared" si="428"/>
        <v>0</v>
      </c>
      <c r="BP230">
        <f t="shared" si="429"/>
        <v>0</v>
      </c>
      <c r="BQ230">
        <f t="shared" si="430"/>
        <v>0</v>
      </c>
      <c r="BR230">
        <f t="shared" si="431"/>
        <v>1</v>
      </c>
      <c r="BS230">
        <f t="shared" si="432"/>
        <v>1</v>
      </c>
      <c r="BT230">
        <f t="shared" si="433"/>
        <v>1</v>
      </c>
      <c r="BU230">
        <f t="shared" si="434"/>
        <v>1</v>
      </c>
      <c r="BV230">
        <f t="shared" si="435"/>
        <v>1</v>
      </c>
      <c r="BW230">
        <f t="shared" si="436"/>
        <v>1</v>
      </c>
      <c r="BX230">
        <f t="shared" si="437"/>
        <v>0</v>
      </c>
      <c r="BY230">
        <f t="shared" si="438"/>
        <v>0</v>
      </c>
      <c r="BZ230">
        <f t="shared" si="439"/>
        <v>0</v>
      </c>
      <c r="CA230">
        <f t="shared" si="440"/>
        <v>0</v>
      </c>
      <c r="CB230">
        <f t="shared" si="441"/>
        <v>0</v>
      </c>
      <c r="CC230">
        <f t="shared" si="442"/>
        <v>0</v>
      </c>
      <c r="CD230">
        <f t="shared" si="443"/>
        <v>1</v>
      </c>
      <c r="CE230">
        <f t="shared" si="444"/>
        <v>1</v>
      </c>
      <c r="CF230">
        <f t="shared" si="445"/>
        <v>1</v>
      </c>
      <c r="CG230">
        <f t="shared" si="446"/>
        <v>1</v>
      </c>
      <c r="CH230">
        <f t="shared" si="447"/>
        <v>1</v>
      </c>
      <c r="CI230">
        <f t="shared" si="448"/>
        <v>1</v>
      </c>
      <c r="CJ230">
        <f t="shared" si="449"/>
        <v>0</v>
      </c>
      <c r="CK230">
        <f t="shared" si="450"/>
        <v>0</v>
      </c>
      <c r="CL230">
        <f t="shared" si="451"/>
        <v>0</v>
      </c>
      <c r="CM230">
        <f t="shared" si="452"/>
        <v>0</v>
      </c>
      <c r="CN230">
        <f t="shared" si="453"/>
        <v>0</v>
      </c>
      <c r="CO230">
        <f t="shared" si="454"/>
        <v>0</v>
      </c>
      <c r="CP230">
        <f t="shared" si="455"/>
        <v>1</v>
      </c>
      <c r="CQ230">
        <f t="shared" si="456"/>
        <v>1</v>
      </c>
      <c r="CR230">
        <f t="shared" si="457"/>
        <v>1</v>
      </c>
      <c r="CS230">
        <f t="shared" si="458"/>
        <v>1</v>
      </c>
      <c r="CT230">
        <f t="shared" si="459"/>
        <v>1</v>
      </c>
      <c r="CU230">
        <f t="shared" si="460"/>
        <v>1</v>
      </c>
      <c r="CV230">
        <f t="shared" si="461"/>
        <v>0</v>
      </c>
      <c r="CW230">
        <f t="shared" si="462"/>
        <v>0</v>
      </c>
      <c r="CX230">
        <f t="shared" si="463"/>
        <v>0</v>
      </c>
      <c r="CY230">
        <f t="shared" si="464"/>
        <v>0</v>
      </c>
      <c r="CZ230">
        <f t="shared" si="465"/>
        <v>0</v>
      </c>
      <c r="DA230">
        <f t="shared" si="466"/>
        <v>0</v>
      </c>
      <c r="DB230">
        <f t="shared" si="467"/>
        <v>1</v>
      </c>
      <c r="DC230">
        <f t="shared" si="468"/>
        <v>1</v>
      </c>
      <c r="DF230" s="10" t="s">
        <v>37</v>
      </c>
      <c r="DG230" t="str">
        <f t="shared" si="524"/>
        <v>2023_3</v>
      </c>
      <c r="DH230" t="str">
        <f t="shared" si="524"/>
        <v>2023_3</v>
      </c>
      <c r="DI230" t="str">
        <f t="shared" si="524"/>
        <v>2023_3</v>
      </c>
      <c r="DJ230" t="str">
        <f t="shared" si="524"/>
        <v>2023_3</v>
      </c>
      <c r="DK230" t="str">
        <f t="shared" si="524"/>
        <v>2023_3</v>
      </c>
      <c r="DL230" t="str">
        <f t="shared" si="524"/>
        <v>2023_3</v>
      </c>
      <c r="DM230" t="str">
        <f t="shared" si="524"/>
        <v>2023_3</v>
      </c>
      <c r="DN230" t="str">
        <f t="shared" si="524"/>
        <v>2023_3</v>
      </c>
      <c r="DO230" t="str">
        <f t="shared" si="524"/>
        <v>2023_3</v>
      </c>
      <c r="DP230" t="str">
        <f t="shared" si="524"/>
        <v>2023_3</v>
      </c>
      <c r="DQ230" t="str">
        <f t="shared" si="524"/>
        <v>2023_3</v>
      </c>
      <c r="DR230" t="str">
        <f t="shared" si="524"/>
        <v>2023_3</v>
      </c>
      <c r="DS230" t="str">
        <f t="shared" si="524"/>
        <v>2023_3</v>
      </c>
      <c r="DT230" t="str">
        <f t="shared" si="524"/>
        <v>2023_3</v>
      </c>
      <c r="DU230" t="str">
        <f t="shared" si="524"/>
        <v>2023_3</v>
      </c>
      <c r="DV230" t="str">
        <f t="shared" si="524"/>
        <v>2023_3</v>
      </c>
      <c r="DW230" t="str">
        <f t="shared" si="523"/>
        <v>2023_3</v>
      </c>
      <c r="DX230" t="str">
        <f t="shared" si="523"/>
        <v>2023_3</v>
      </c>
      <c r="DY230" t="str">
        <f t="shared" si="523"/>
        <v>2023_3</v>
      </c>
      <c r="DZ230" t="str">
        <f t="shared" si="523"/>
        <v>2023_3</v>
      </c>
      <c r="EA230" t="str">
        <f t="shared" si="523"/>
        <v>2023_3</v>
      </c>
      <c r="EB230" t="str">
        <f t="shared" si="523"/>
        <v>2023_3</v>
      </c>
      <c r="EC230" t="str">
        <f t="shared" si="523"/>
        <v>2023_3</v>
      </c>
      <c r="ED230" t="str">
        <f t="shared" si="523"/>
        <v>2023_3</v>
      </c>
      <c r="EE230" t="str">
        <f t="shared" si="523"/>
        <v>2023_3</v>
      </c>
      <c r="EF230" t="str">
        <f t="shared" si="523"/>
        <v>2023_3</v>
      </c>
      <c r="EG230" t="str">
        <f t="shared" si="523"/>
        <v>2023_3</v>
      </c>
      <c r="EH230" t="str">
        <f t="shared" si="523"/>
        <v>2023_3</v>
      </c>
      <c r="EI230" t="str">
        <f t="shared" si="523"/>
        <v>2023_3</v>
      </c>
      <c r="EJ230" t="str">
        <f t="shared" si="523"/>
        <v>2023_3</v>
      </c>
      <c r="EK230" t="str">
        <f t="shared" si="522"/>
        <v>2023_3</v>
      </c>
      <c r="EL230" t="str">
        <f t="shared" si="522"/>
        <v>2023_3</v>
      </c>
      <c r="EM230" t="str">
        <f t="shared" si="522"/>
        <v>2023_3</v>
      </c>
      <c r="EN230" t="str">
        <f t="shared" si="522"/>
        <v>2023_3</v>
      </c>
      <c r="EO230" t="str">
        <f t="shared" si="522"/>
        <v>2023_3</v>
      </c>
      <c r="EP230" t="str">
        <f t="shared" si="522"/>
        <v>2023_3</v>
      </c>
      <c r="EQ230" t="str">
        <f t="shared" si="522"/>
        <v>2023_3</v>
      </c>
      <c r="ER230" t="str">
        <f t="shared" si="522"/>
        <v>2023_3</v>
      </c>
      <c r="ES230" t="str">
        <f t="shared" si="522"/>
        <v>2023_3</v>
      </c>
      <c r="ET230" t="str">
        <f t="shared" si="522"/>
        <v>2023_3</v>
      </c>
      <c r="EU230" t="str">
        <f t="shared" si="522"/>
        <v>2023_3</v>
      </c>
      <c r="EV230" t="str">
        <f t="shared" si="522"/>
        <v>2023_3</v>
      </c>
      <c r="EW230" t="str">
        <f t="shared" si="522"/>
        <v>2023_3</v>
      </c>
      <c r="EX230" t="str">
        <f t="shared" si="522"/>
        <v>2023_3</v>
      </c>
      <c r="EY230" t="str">
        <f t="shared" si="522"/>
        <v>2023_3</v>
      </c>
      <c r="FB230" s="10" t="s">
        <v>37</v>
      </c>
      <c r="FC230">
        <f t="shared" si="521"/>
        <v>0</v>
      </c>
      <c r="FD230">
        <f t="shared" si="471"/>
        <v>0</v>
      </c>
      <c r="FE230">
        <f t="shared" si="472"/>
        <v>0</v>
      </c>
      <c r="FF230">
        <f t="shared" si="473"/>
        <v>0</v>
      </c>
      <c r="FG230">
        <f t="shared" si="474"/>
        <v>0</v>
      </c>
      <c r="FH230">
        <f t="shared" si="475"/>
        <v>0</v>
      </c>
      <c r="FI230">
        <f t="shared" si="476"/>
        <v>0</v>
      </c>
      <c r="FJ230">
        <f t="shared" si="477"/>
        <v>0</v>
      </c>
      <c r="FK230">
        <f t="shared" si="478"/>
        <v>0</v>
      </c>
      <c r="FL230">
        <f t="shared" si="479"/>
        <v>0</v>
      </c>
      <c r="FM230">
        <f t="shared" si="480"/>
        <v>0</v>
      </c>
      <c r="FN230">
        <f t="shared" si="481"/>
        <v>0</v>
      </c>
      <c r="FO230">
        <f t="shared" si="482"/>
        <v>0</v>
      </c>
      <c r="FP230">
        <f t="shared" si="483"/>
        <v>0</v>
      </c>
      <c r="FQ230">
        <f t="shared" si="484"/>
        <v>0</v>
      </c>
      <c r="FR230">
        <f t="shared" si="485"/>
        <v>0</v>
      </c>
      <c r="FS230">
        <f t="shared" si="486"/>
        <v>0</v>
      </c>
      <c r="FT230">
        <f t="shared" si="487"/>
        <v>0</v>
      </c>
      <c r="FU230">
        <f t="shared" si="488"/>
        <v>0</v>
      </c>
      <c r="FV230">
        <f t="shared" si="489"/>
        <v>0</v>
      </c>
      <c r="FW230">
        <f t="shared" si="490"/>
        <v>0</v>
      </c>
      <c r="FX230">
        <f t="shared" si="491"/>
        <v>0</v>
      </c>
      <c r="FY230">
        <f t="shared" si="492"/>
        <v>0</v>
      </c>
      <c r="FZ230">
        <f t="shared" si="493"/>
        <v>0</v>
      </c>
      <c r="GA230">
        <f t="shared" si="494"/>
        <v>0</v>
      </c>
      <c r="GB230">
        <f t="shared" si="495"/>
        <v>0</v>
      </c>
      <c r="GC230">
        <f t="shared" si="496"/>
        <v>0</v>
      </c>
      <c r="GD230">
        <f t="shared" si="497"/>
        <v>0</v>
      </c>
      <c r="GE230">
        <f t="shared" si="498"/>
        <v>0</v>
      </c>
      <c r="GF230">
        <f t="shared" si="499"/>
        <v>0</v>
      </c>
      <c r="GG230">
        <f t="shared" si="500"/>
        <v>0</v>
      </c>
      <c r="GH230">
        <f t="shared" si="501"/>
        <v>0</v>
      </c>
      <c r="GI230">
        <f t="shared" si="502"/>
        <v>0</v>
      </c>
      <c r="GJ230">
        <f t="shared" si="503"/>
        <v>0</v>
      </c>
      <c r="GK230">
        <f t="shared" si="504"/>
        <v>0</v>
      </c>
      <c r="GL230">
        <f t="shared" si="505"/>
        <v>1</v>
      </c>
      <c r="GM230">
        <f t="shared" si="506"/>
        <v>1</v>
      </c>
      <c r="GN230">
        <f t="shared" si="507"/>
        <v>1</v>
      </c>
      <c r="GO230">
        <f t="shared" si="508"/>
        <v>1</v>
      </c>
      <c r="GP230">
        <f t="shared" si="509"/>
        <v>1</v>
      </c>
      <c r="GQ230">
        <f t="shared" si="510"/>
        <v>1</v>
      </c>
      <c r="GR230">
        <f t="shared" si="511"/>
        <v>1</v>
      </c>
      <c r="GS230">
        <f t="shared" si="512"/>
        <v>1</v>
      </c>
      <c r="GT230">
        <f t="shared" si="513"/>
        <v>1</v>
      </c>
      <c r="GU230">
        <f t="shared" si="514"/>
        <v>1</v>
      </c>
      <c r="GX230" s="10"/>
    </row>
    <row r="231" spans="1:206" x14ac:dyDescent="0.3">
      <c r="A231" s="9" t="s">
        <v>55</v>
      </c>
      <c r="B231" s="80"/>
      <c r="C231" s="9">
        <v>3012519001</v>
      </c>
      <c r="D231" s="9" t="s">
        <v>488</v>
      </c>
      <c r="E231" s="9" t="s">
        <v>34</v>
      </c>
      <c r="F231" s="9" t="s">
        <v>35</v>
      </c>
      <c r="G231" s="9" t="s">
        <v>240</v>
      </c>
      <c r="H231" s="10">
        <v>45014</v>
      </c>
      <c r="I231" s="9">
        <f t="shared" si="515"/>
        <v>2023</v>
      </c>
      <c r="J231" s="9">
        <f t="shared" si="516"/>
        <v>3</v>
      </c>
      <c r="K231" s="9" t="str">
        <f t="shared" si="517"/>
        <v>2023_3</v>
      </c>
      <c r="L231">
        <f>MAX(0,VLOOKUP($K231,lookups!$A$1:$B$45,2,0)-12)</f>
        <v>23</v>
      </c>
      <c r="M231" s="40">
        <f t="shared" si="518"/>
        <v>44986</v>
      </c>
      <c r="N231" s="10" t="s">
        <v>37</v>
      </c>
      <c r="O231" t="str">
        <f ca="1">IF(OR($L231&gt;O$4,O$4&gt;$L231+23),"",OFFSET(Electric!$L222,0,-'Electric Calendarize'!$L231+'Electric Calendarize'!O$4+1))</f>
        <v/>
      </c>
      <c r="P231" t="str">
        <f ca="1">IF(OR($L231&gt;P$4,P$4&gt;$L231+23),"",OFFSET(Electric!$L222,0,-'Electric Calendarize'!$L231+'Electric Calendarize'!P$4+1))</f>
        <v/>
      </c>
      <c r="Q231" t="str">
        <f ca="1">IF(OR($L231&gt;Q$4,Q$4&gt;$L231+23),"",OFFSET(Electric!$L222,0,-'Electric Calendarize'!$L231+'Electric Calendarize'!Q$4+1))</f>
        <v/>
      </c>
      <c r="R231" t="str">
        <f ca="1">IF(OR($L231&gt;R$4,R$4&gt;$L231+23),"",OFFSET(Electric!$L222,0,-'Electric Calendarize'!$L231+'Electric Calendarize'!R$4+1))</f>
        <v/>
      </c>
      <c r="S231" t="str">
        <f ca="1">IF(OR($L231&gt;S$4,S$4&gt;$L231+23),"",OFFSET(Electric!$L222,0,-'Electric Calendarize'!$L231+'Electric Calendarize'!S$4+1))</f>
        <v/>
      </c>
      <c r="T231" t="str">
        <f ca="1">IF(OR($L231&gt;T$4,T$4&gt;$L231+23),"",OFFSET(Electric!$L222,0,-'Electric Calendarize'!$L231+'Electric Calendarize'!T$4+1))</f>
        <v/>
      </c>
      <c r="U231" t="str">
        <f ca="1">IF(OR($L231&gt;U$4,U$4&gt;$L231+23),"",OFFSET(Electric!$L222,0,-'Electric Calendarize'!$L231+'Electric Calendarize'!U$4+1))</f>
        <v/>
      </c>
      <c r="V231" t="str">
        <f ca="1">IF(OR($L231&gt;V$4,V$4&gt;$L231+23),"",OFFSET(Electric!$L222,0,-'Electric Calendarize'!$L231+'Electric Calendarize'!V$4+1))</f>
        <v/>
      </c>
      <c r="W231" t="str">
        <f ca="1">IF(OR($L231&gt;W$4,W$4&gt;$L231+23),"",OFFSET(Electric!$L222,0,-'Electric Calendarize'!$L231+'Electric Calendarize'!W$4+1))</f>
        <v/>
      </c>
      <c r="X231" t="str">
        <f ca="1">IF(OR($L231&gt;X$4,X$4&gt;$L231+23),"",OFFSET(Electric!$L222,0,-'Electric Calendarize'!$L231+'Electric Calendarize'!X$4+1))</f>
        <v/>
      </c>
      <c r="Y231" t="str">
        <f ca="1">IF(OR($L231&gt;Y$4,Y$4&gt;$L231+23),"",OFFSET(Electric!$L222,0,-'Electric Calendarize'!$L231+'Electric Calendarize'!Y$4+1))</f>
        <v/>
      </c>
      <c r="Z231" t="str">
        <f ca="1">IF(OR($L231&gt;Z$4,Z$4&gt;$L231+23),"",OFFSET(Electric!$L222,0,-'Electric Calendarize'!$L231+'Electric Calendarize'!Z$4+1))</f>
        <v/>
      </c>
      <c r="AA231" t="str">
        <f ca="1">IF(OR($L231&gt;AA$4,AA$4&gt;$L231+23),"",OFFSET(Electric!$L222,0,-'Electric Calendarize'!$L231+'Electric Calendarize'!AA$4+1))</f>
        <v/>
      </c>
      <c r="AB231" t="str">
        <f ca="1">IF(OR($L231&gt;AB$4,AB$4&gt;$L231+23),"",OFFSET(Electric!$L222,0,-'Electric Calendarize'!$L231+'Electric Calendarize'!AB$4+1))</f>
        <v/>
      </c>
      <c r="AC231" t="str">
        <f ca="1">IF(OR($L231&gt;AC$4,AC$4&gt;$L231+23),"",OFFSET(Electric!$L222,0,-'Electric Calendarize'!$L231+'Electric Calendarize'!AC$4+1))</f>
        <v/>
      </c>
      <c r="AD231" t="str">
        <f ca="1">IF(OR($L231&gt;AD$4,AD$4&gt;$L231+23),"",OFFSET(Electric!$L222,0,-'Electric Calendarize'!$L231+'Electric Calendarize'!AD$4+1))</f>
        <v/>
      </c>
      <c r="AE231" t="str">
        <f ca="1">IF(OR($L231&gt;AE$4,AE$4&gt;$L231+23),"",OFFSET(Electric!$L222,0,-'Electric Calendarize'!$L231+'Electric Calendarize'!AE$4+1))</f>
        <v/>
      </c>
      <c r="AF231" t="str">
        <f ca="1">IF(OR($L231&gt;AF$4,AF$4&gt;$L231+23),"",OFFSET(Electric!$L222,0,-'Electric Calendarize'!$L231+'Electric Calendarize'!AF$4+1))</f>
        <v/>
      </c>
      <c r="AG231" t="str">
        <f ca="1">IF(OR($L231&gt;AG$4,AG$4&gt;$L231+23),"",OFFSET(Electric!$L222,0,-'Electric Calendarize'!$L231+'Electric Calendarize'!AG$4+1))</f>
        <v/>
      </c>
      <c r="AH231" t="str">
        <f ca="1">IF(OR($L231&gt;AH$4,AH$4&gt;$L231+23),"",OFFSET(Electric!$L222,0,-'Electric Calendarize'!$L231+'Electric Calendarize'!AH$4+1))</f>
        <v/>
      </c>
      <c r="AI231" t="str">
        <f ca="1">IF(OR($L231&gt;AI$4,AI$4&gt;$L231+23),"",OFFSET(Electric!$L222,0,-'Electric Calendarize'!$L231+'Electric Calendarize'!AI$4+1))</f>
        <v/>
      </c>
      <c r="AJ231" t="str">
        <f ca="1">IF(OR($L231&gt;AJ$4,AJ$4&gt;$L231+23),"",OFFSET(Electric!$L222,0,-'Electric Calendarize'!$L231+'Electric Calendarize'!AJ$4+1))</f>
        <v/>
      </c>
      <c r="AK231" t="str">
        <f ca="1">IF(OR($L231&gt;AK$4,AK$4&gt;$L231+23),"",OFFSET(Electric!$L222,0,-'Electric Calendarize'!$L231+'Electric Calendarize'!AK$4+1))</f>
        <v/>
      </c>
      <c r="AL231">
        <f ca="1">IF(OR($L231&gt;AL$4,AL$4&gt;$L231+23),"",OFFSET(Electric!$L222,0,-'Electric Calendarize'!$L231+'Electric Calendarize'!AL$4+1))</f>
        <v>234</v>
      </c>
      <c r="AM231">
        <f ca="1">IF(OR($L231&gt;AM$4,AM$4&gt;$L231+23),"",OFFSET(Electric!$L222,0,-'Electric Calendarize'!$L231+'Electric Calendarize'!AM$4+1))</f>
        <v>362</v>
      </c>
      <c r="AN231">
        <f ca="1">IF(OR($L231&gt;AN$4,AN$4&gt;$L231+23),"",OFFSET(Electric!$L222,0,-'Electric Calendarize'!$L231+'Electric Calendarize'!AN$4+1))</f>
        <v>364</v>
      </c>
      <c r="AO231">
        <f ca="1">IF(OR($L231&gt;AO$4,AO$4&gt;$L231+23),"",OFFSET(Electric!$L222,0,-'Electric Calendarize'!$L231+'Electric Calendarize'!AO$4+1))</f>
        <v>346</v>
      </c>
      <c r="AP231">
        <f ca="1">IF(OR($L231&gt;AP$4,AP$4&gt;$L231+23),"",OFFSET(Electric!$L222,0,-'Electric Calendarize'!$L231+'Electric Calendarize'!AP$4+1))</f>
        <v>668</v>
      </c>
      <c r="AQ231">
        <f ca="1">IF(OR($L231&gt;AQ$4,AQ$4&gt;$L231+23),"",OFFSET(Electric!$L222,0,-'Electric Calendarize'!$L231+'Electric Calendarize'!AQ$4+1))</f>
        <v>443</v>
      </c>
      <c r="AR231">
        <f ca="1">IF(OR($L231&gt;AR$4,AR$4&gt;$L231+23),"",OFFSET(Electric!$L222,0,-'Electric Calendarize'!$L231+'Electric Calendarize'!AR$4+1))</f>
        <v>362</v>
      </c>
      <c r="AS231">
        <f ca="1">IF(OR($L231&gt;AS$4,AS$4&gt;$L231+23),"",OFFSET(Electric!$L222,0,-'Electric Calendarize'!$L231+'Electric Calendarize'!AS$4+1))</f>
        <v>335</v>
      </c>
      <c r="AT231">
        <f ca="1">IF(OR($L231&gt;AT$4,AT$4&gt;$L231+23),"",OFFSET(Electric!$L222,0,-'Electric Calendarize'!$L231+'Electric Calendarize'!AT$4+1))</f>
        <v>421</v>
      </c>
      <c r="AU231">
        <f ca="1">IF(OR($L231&gt;AU$4,AU$4&gt;$L231+23),"",OFFSET(Electric!$L222,0,-'Electric Calendarize'!$L231+'Electric Calendarize'!AU$4+1))</f>
        <v>435</v>
      </c>
      <c r="AV231">
        <f ca="1">IF(OR($L231&gt;AV$4,AV$4&gt;$L231+23),"",OFFSET(Electric!$L222,0,-'Electric Calendarize'!$L231+'Electric Calendarize'!AV$4+1))</f>
        <v>422</v>
      </c>
      <c r="AW231">
        <f ca="1">IF(OR($L231&gt;AW$4,AW$4&gt;$L231+23),"",OFFSET(Electric!$L222,0,-'Electric Calendarize'!$L231+'Electric Calendarize'!AW$4+1))</f>
        <v>381</v>
      </c>
      <c r="AX231">
        <f ca="1">IF(OR($L231&gt;AX$4,AX$4&gt;$L231+23),"",OFFSET(Electric!$L222,0,-'Electric Calendarize'!$L231+'Electric Calendarize'!AX$4+1))</f>
        <v>352</v>
      </c>
      <c r="AY231">
        <f ca="1">IF(OR($L231&gt;AY$4,AY$4&gt;$L231+23),"",OFFSET(Electric!$L222,0,-'Electric Calendarize'!$L231+'Electric Calendarize'!AY$4+1))</f>
        <v>401</v>
      </c>
      <c r="AZ231">
        <f ca="1">IF(OR($L231&gt;AZ$4,AZ$4&gt;$L231+23),"",OFFSET(Electric!$L222,0,-'Electric Calendarize'!$L231+'Electric Calendarize'!AZ$4+1))</f>
        <v>403</v>
      </c>
      <c r="BA231">
        <f ca="1">IF(OR($L231&gt;BA$4,BA$4&gt;$L231+23),"",OFFSET(Electric!$L222,0,-'Electric Calendarize'!$L231+'Electric Calendarize'!BA$4+1))</f>
        <v>497</v>
      </c>
      <c r="BB231">
        <f ca="1">IF(OR($L231&gt;BB$4,BB$4&gt;$L231+23),"",OFFSET(Electric!$L222,0,-'Electric Calendarize'!$L231+'Electric Calendarize'!BB$4+1))</f>
        <v>562</v>
      </c>
      <c r="BC231">
        <f ca="1">IF(OR($L231&gt;BC$4,BC$4&gt;$L231+23),"",OFFSET(Electric!$L222,0,-'Electric Calendarize'!$L231+'Electric Calendarize'!BC$4+1))</f>
        <v>481</v>
      </c>
      <c r="BD231">
        <f ca="1">IF(OR($L231&gt;BD$4,BD$4&gt;$L231+23),"",OFFSET(Electric!$L222,0,-'Electric Calendarize'!$L231+'Electric Calendarize'!BD$4+1))</f>
        <v>430</v>
      </c>
      <c r="BE231">
        <f ca="1">IF(OR($L231&gt;BE$4,BE$4&gt;$L231+23),"",OFFSET(Electric!$L222,0,-'Electric Calendarize'!$L231+'Electric Calendarize'!BE$4+1))</f>
        <v>363</v>
      </c>
      <c r="BF231">
        <f ca="1">IF(OR($L231&gt;BF$4,BF$4&gt;$L231+23),"",OFFSET(Electric!$L222,0,-'Electric Calendarize'!$L231+'Electric Calendarize'!BF$4+1))</f>
        <v>482</v>
      </c>
      <c r="BG231">
        <f ca="1">IF(OR($L231&gt;BG$4,BG$4&gt;$L231+23),"",OFFSET(Electric!$L222,0,-'Electric Calendarize'!$L231+'Electric Calendarize'!BG$4+1))</f>
        <v>0</v>
      </c>
      <c r="BJ231" s="10" t="s">
        <v>37</v>
      </c>
      <c r="BK231">
        <f t="shared" si="519"/>
        <v>1</v>
      </c>
      <c r="BL231">
        <f t="shared" si="425"/>
        <v>0</v>
      </c>
      <c r="BM231">
        <f t="shared" si="426"/>
        <v>0</v>
      </c>
      <c r="BN231">
        <f t="shared" si="427"/>
        <v>0</v>
      </c>
      <c r="BO231">
        <f t="shared" si="428"/>
        <v>0</v>
      </c>
      <c r="BP231">
        <f t="shared" si="429"/>
        <v>0</v>
      </c>
      <c r="BQ231">
        <f t="shared" si="430"/>
        <v>0</v>
      </c>
      <c r="BR231">
        <f t="shared" si="431"/>
        <v>1</v>
      </c>
      <c r="BS231">
        <f t="shared" si="432"/>
        <v>1</v>
      </c>
      <c r="BT231">
        <f t="shared" si="433"/>
        <v>1</v>
      </c>
      <c r="BU231">
        <f t="shared" si="434"/>
        <v>1</v>
      </c>
      <c r="BV231">
        <f t="shared" si="435"/>
        <v>1</v>
      </c>
      <c r="BW231">
        <f t="shared" si="436"/>
        <v>1</v>
      </c>
      <c r="BX231">
        <f t="shared" si="437"/>
        <v>0</v>
      </c>
      <c r="BY231">
        <f t="shared" si="438"/>
        <v>0</v>
      </c>
      <c r="BZ231">
        <f t="shared" si="439"/>
        <v>0</v>
      </c>
      <c r="CA231">
        <f t="shared" si="440"/>
        <v>0</v>
      </c>
      <c r="CB231">
        <f t="shared" si="441"/>
        <v>0</v>
      </c>
      <c r="CC231">
        <f t="shared" si="442"/>
        <v>0</v>
      </c>
      <c r="CD231">
        <f t="shared" si="443"/>
        <v>1</v>
      </c>
      <c r="CE231">
        <f t="shared" si="444"/>
        <v>1</v>
      </c>
      <c r="CF231">
        <f t="shared" si="445"/>
        <v>1</v>
      </c>
      <c r="CG231">
        <f t="shared" si="446"/>
        <v>1</v>
      </c>
      <c r="CH231">
        <f t="shared" si="447"/>
        <v>1</v>
      </c>
      <c r="CI231">
        <f t="shared" si="448"/>
        <v>1</v>
      </c>
      <c r="CJ231">
        <f t="shared" si="449"/>
        <v>0</v>
      </c>
      <c r="CK231">
        <f t="shared" si="450"/>
        <v>0</v>
      </c>
      <c r="CL231">
        <f t="shared" si="451"/>
        <v>0</v>
      </c>
      <c r="CM231">
        <f t="shared" si="452"/>
        <v>0</v>
      </c>
      <c r="CN231">
        <f t="shared" si="453"/>
        <v>0</v>
      </c>
      <c r="CO231">
        <f t="shared" si="454"/>
        <v>0</v>
      </c>
      <c r="CP231">
        <f t="shared" si="455"/>
        <v>1</v>
      </c>
      <c r="CQ231">
        <f t="shared" si="456"/>
        <v>1</v>
      </c>
      <c r="CR231">
        <f t="shared" si="457"/>
        <v>1</v>
      </c>
      <c r="CS231">
        <f t="shared" si="458"/>
        <v>1</v>
      </c>
      <c r="CT231">
        <f t="shared" si="459"/>
        <v>1</v>
      </c>
      <c r="CU231">
        <f t="shared" si="460"/>
        <v>1</v>
      </c>
      <c r="CV231">
        <f t="shared" si="461"/>
        <v>0</v>
      </c>
      <c r="CW231">
        <f t="shared" si="462"/>
        <v>0</v>
      </c>
      <c r="CX231">
        <f t="shared" si="463"/>
        <v>0</v>
      </c>
      <c r="CY231">
        <f t="shared" si="464"/>
        <v>0</v>
      </c>
      <c r="CZ231">
        <f t="shared" si="465"/>
        <v>0</v>
      </c>
      <c r="DA231">
        <f t="shared" si="466"/>
        <v>0</v>
      </c>
      <c r="DB231">
        <f t="shared" si="467"/>
        <v>1</v>
      </c>
      <c r="DC231">
        <f t="shared" si="468"/>
        <v>1</v>
      </c>
      <c r="DF231" s="10" t="s">
        <v>37</v>
      </c>
      <c r="DG231" t="str">
        <f t="shared" si="524"/>
        <v>2023_3</v>
      </c>
      <c r="DH231" t="str">
        <f t="shared" si="524"/>
        <v>2023_3</v>
      </c>
      <c r="DI231" t="str">
        <f t="shared" si="524"/>
        <v>2023_3</v>
      </c>
      <c r="DJ231" t="str">
        <f t="shared" si="524"/>
        <v>2023_3</v>
      </c>
      <c r="DK231" t="str">
        <f t="shared" si="524"/>
        <v>2023_3</v>
      </c>
      <c r="DL231" t="str">
        <f t="shared" si="524"/>
        <v>2023_3</v>
      </c>
      <c r="DM231" t="str">
        <f t="shared" si="524"/>
        <v>2023_3</v>
      </c>
      <c r="DN231" t="str">
        <f t="shared" si="524"/>
        <v>2023_3</v>
      </c>
      <c r="DO231" t="str">
        <f t="shared" si="524"/>
        <v>2023_3</v>
      </c>
      <c r="DP231" t="str">
        <f t="shared" si="524"/>
        <v>2023_3</v>
      </c>
      <c r="DQ231" t="str">
        <f t="shared" si="524"/>
        <v>2023_3</v>
      </c>
      <c r="DR231" t="str">
        <f t="shared" si="524"/>
        <v>2023_3</v>
      </c>
      <c r="DS231" t="str">
        <f t="shared" si="524"/>
        <v>2023_3</v>
      </c>
      <c r="DT231" t="str">
        <f t="shared" si="524"/>
        <v>2023_3</v>
      </c>
      <c r="DU231" t="str">
        <f t="shared" si="524"/>
        <v>2023_3</v>
      </c>
      <c r="DV231" t="str">
        <f t="shared" si="524"/>
        <v>2023_3</v>
      </c>
      <c r="DW231" t="str">
        <f t="shared" si="523"/>
        <v>2023_3</v>
      </c>
      <c r="DX231" t="str">
        <f t="shared" si="523"/>
        <v>2023_3</v>
      </c>
      <c r="DY231" t="str">
        <f t="shared" si="523"/>
        <v>2023_3</v>
      </c>
      <c r="DZ231" t="str">
        <f t="shared" si="523"/>
        <v>2023_3</v>
      </c>
      <c r="EA231" t="str">
        <f t="shared" si="523"/>
        <v>2023_3</v>
      </c>
      <c r="EB231" t="str">
        <f t="shared" si="523"/>
        <v>2023_3</v>
      </c>
      <c r="EC231" t="str">
        <f t="shared" si="523"/>
        <v>2023_3</v>
      </c>
      <c r="ED231" t="str">
        <f t="shared" si="523"/>
        <v>2023_3</v>
      </c>
      <c r="EE231" t="str">
        <f t="shared" si="523"/>
        <v>2023_3</v>
      </c>
      <c r="EF231" t="str">
        <f t="shared" si="523"/>
        <v>2023_3</v>
      </c>
      <c r="EG231" t="str">
        <f t="shared" si="523"/>
        <v>2023_3</v>
      </c>
      <c r="EH231" t="str">
        <f t="shared" si="523"/>
        <v>2023_3</v>
      </c>
      <c r="EI231" t="str">
        <f t="shared" si="523"/>
        <v>2023_3</v>
      </c>
      <c r="EJ231" t="str">
        <f t="shared" si="523"/>
        <v>2023_3</v>
      </c>
      <c r="EK231" t="str">
        <f t="shared" si="522"/>
        <v>2023_3</v>
      </c>
      <c r="EL231" t="str">
        <f t="shared" si="522"/>
        <v>2023_3</v>
      </c>
      <c r="EM231" t="str">
        <f t="shared" si="522"/>
        <v>2023_3</v>
      </c>
      <c r="EN231" t="str">
        <f t="shared" si="522"/>
        <v>2023_3</v>
      </c>
      <c r="EO231" t="str">
        <f t="shared" si="522"/>
        <v>2023_3</v>
      </c>
      <c r="EP231" t="str">
        <f t="shared" si="522"/>
        <v>2023_3</v>
      </c>
      <c r="EQ231" t="str">
        <f t="shared" si="522"/>
        <v>2023_3</v>
      </c>
      <c r="ER231" t="str">
        <f t="shared" si="522"/>
        <v>2023_3</v>
      </c>
      <c r="ES231" t="str">
        <f t="shared" si="522"/>
        <v>2023_3</v>
      </c>
      <c r="ET231" t="str">
        <f t="shared" si="522"/>
        <v>2023_3</v>
      </c>
      <c r="EU231" t="str">
        <f t="shared" si="522"/>
        <v>2023_3</v>
      </c>
      <c r="EV231" t="str">
        <f t="shared" si="522"/>
        <v>2023_3</v>
      </c>
      <c r="EW231" t="str">
        <f t="shared" si="522"/>
        <v>2023_3</v>
      </c>
      <c r="EX231" t="str">
        <f t="shared" si="522"/>
        <v>2023_3</v>
      </c>
      <c r="EY231" t="str">
        <f t="shared" si="522"/>
        <v>2023_3</v>
      </c>
      <c r="FB231" s="10" t="s">
        <v>37</v>
      </c>
      <c r="FC231">
        <f t="shared" si="521"/>
        <v>0</v>
      </c>
      <c r="FD231">
        <f t="shared" si="471"/>
        <v>0</v>
      </c>
      <c r="FE231">
        <f t="shared" si="472"/>
        <v>0</v>
      </c>
      <c r="FF231">
        <f t="shared" si="473"/>
        <v>0</v>
      </c>
      <c r="FG231">
        <f t="shared" si="474"/>
        <v>0</v>
      </c>
      <c r="FH231">
        <f t="shared" si="475"/>
        <v>0</v>
      </c>
      <c r="FI231">
        <f t="shared" si="476"/>
        <v>0</v>
      </c>
      <c r="FJ231">
        <f t="shared" si="477"/>
        <v>0</v>
      </c>
      <c r="FK231">
        <f t="shared" si="478"/>
        <v>0</v>
      </c>
      <c r="FL231">
        <f t="shared" si="479"/>
        <v>0</v>
      </c>
      <c r="FM231">
        <f t="shared" si="480"/>
        <v>0</v>
      </c>
      <c r="FN231">
        <f t="shared" si="481"/>
        <v>0</v>
      </c>
      <c r="FO231">
        <f t="shared" si="482"/>
        <v>0</v>
      </c>
      <c r="FP231">
        <f t="shared" si="483"/>
        <v>0</v>
      </c>
      <c r="FQ231">
        <f t="shared" si="484"/>
        <v>0</v>
      </c>
      <c r="FR231">
        <f t="shared" si="485"/>
        <v>0</v>
      </c>
      <c r="FS231">
        <f t="shared" si="486"/>
        <v>0</v>
      </c>
      <c r="FT231">
        <f t="shared" si="487"/>
        <v>0</v>
      </c>
      <c r="FU231">
        <f t="shared" si="488"/>
        <v>0</v>
      </c>
      <c r="FV231">
        <f t="shared" si="489"/>
        <v>0</v>
      </c>
      <c r="FW231">
        <f t="shared" si="490"/>
        <v>0</v>
      </c>
      <c r="FX231">
        <f t="shared" si="491"/>
        <v>0</v>
      </c>
      <c r="FY231">
        <f t="shared" si="492"/>
        <v>0</v>
      </c>
      <c r="FZ231">
        <f t="shared" si="493"/>
        <v>0</v>
      </c>
      <c r="GA231">
        <f t="shared" si="494"/>
        <v>0</v>
      </c>
      <c r="GB231">
        <f t="shared" si="495"/>
        <v>0</v>
      </c>
      <c r="GC231">
        <f t="shared" si="496"/>
        <v>0</v>
      </c>
      <c r="GD231">
        <f t="shared" si="497"/>
        <v>0</v>
      </c>
      <c r="GE231">
        <f t="shared" si="498"/>
        <v>0</v>
      </c>
      <c r="GF231">
        <f t="shared" si="499"/>
        <v>0</v>
      </c>
      <c r="GG231">
        <f t="shared" si="500"/>
        <v>0</v>
      </c>
      <c r="GH231">
        <f t="shared" si="501"/>
        <v>0</v>
      </c>
      <c r="GI231">
        <f t="shared" si="502"/>
        <v>0</v>
      </c>
      <c r="GJ231">
        <f t="shared" si="503"/>
        <v>0</v>
      </c>
      <c r="GK231">
        <f t="shared" si="504"/>
        <v>0</v>
      </c>
      <c r="GL231">
        <f t="shared" si="505"/>
        <v>1</v>
      </c>
      <c r="GM231">
        <f t="shared" si="506"/>
        <v>1</v>
      </c>
      <c r="GN231">
        <f t="shared" si="507"/>
        <v>1</v>
      </c>
      <c r="GO231">
        <f t="shared" si="508"/>
        <v>1</v>
      </c>
      <c r="GP231">
        <f t="shared" si="509"/>
        <v>1</v>
      </c>
      <c r="GQ231">
        <f t="shared" si="510"/>
        <v>1</v>
      </c>
      <c r="GR231">
        <f t="shared" si="511"/>
        <v>1</v>
      </c>
      <c r="GS231">
        <f t="shared" si="512"/>
        <v>1</v>
      </c>
      <c r="GT231">
        <f t="shared" si="513"/>
        <v>1</v>
      </c>
      <c r="GU231">
        <f t="shared" si="514"/>
        <v>1</v>
      </c>
      <c r="GX231" s="10"/>
    </row>
    <row r="232" spans="1:206" x14ac:dyDescent="0.3">
      <c r="A232" s="9" t="s">
        <v>33</v>
      </c>
      <c r="B232" s="80"/>
      <c r="C232" s="34">
        <v>3132564000</v>
      </c>
      <c r="D232" s="9" t="s">
        <v>494</v>
      </c>
      <c r="E232" s="9" t="s">
        <v>39</v>
      </c>
      <c r="F232" s="9" t="s">
        <v>35</v>
      </c>
      <c r="G232" s="9" t="s">
        <v>249</v>
      </c>
      <c r="H232" s="10">
        <v>45025</v>
      </c>
      <c r="I232" s="9">
        <f t="shared" si="515"/>
        <v>2023</v>
      </c>
      <c r="J232" s="9">
        <f t="shared" si="516"/>
        <v>4</v>
      </c>
      <c r="K232" s="9" t="str">
        <f t="shared" si="517"/>
        <v>2023_4</v>
      </c>
      <c r="L232">
        <f>MAX(0,VLOOKUP($K232,lookups!$A$1:$B$45,2,0)-12)</f>
        <v>24</v>
      </c>
      <c r="M232" s="40">
        <f t="shared" si="518"/>
        <v>45017</v>
      </c>
      <c r="N232" s="10" t="s">
        <v>37</v>
      </c>
      <c r="O232" t="str">
        <f ca="1">IF(OR($L232&gt;O$4,O$4&gt;$L232+23),"",OFFSET(Electric!$L223,0,-'Electric Calendarize'!$L232+'Electric Calendarize'!O$4+1))</f>
        <v/>
      </c>
      <c r="P232" t="str">
        <f ca="1">IF(OR($L232&gt;P$4,P$4&gt;$L232+23),"",OFFSET(Electric!$L223,0,-'Electric Calendarize'!$L232+'Electric Calendarize'!P$4+1))</f>
        <v/>
      </c>
      <c r="Q232" t="str">
        <f ca="1">IF(OR($L232&gt;Q$4,Q$4&gt;$L232+23),"",OFFSET(Electric!$L223,0,-'Electric Calendarize'!$L232+'Electric Calendarize'!Q$4+1))</f>
        <v/>
      </c>
      <c r="R232" t="str">
        <f ca="1">IF(OR($L232&gt;R$4,R$4&gt;$L232+23),"",OFFSET(Electric!$L223,0,-'Electric Calendarize'!$L232+'Electric Calendarize'!R$4+1))</f>
        <v/>
      </c>
      <c r="S232" t="str">
        <f ca="1">IF(OR($L232&gt;S$4,S$4&gt;$L232+23),"",OFFSET(Electric!$L223,0,-'Electric Calendarize'!$L232+'Electric Calendarize'!S$4+1))</f>
        <v/>
      </c>
      <c r="T232" t="str">
        <f ca="1">IF(OR($L232&gt;T$4,T$4&gt;$L232+23),"",OFFSET(Electric!$L223,0,-'Electric Calendarize'!$L232+'Electric Calendarize'!T$4+1))</f>
        <v/>
      </c>
      <c r="U232" t="str">
        <f ca="1">IF(OR($L232&gt;U$4,U$4&gt;$L232+23),"",OFFSET(Electric!$L223,0,-'Electric Calendarize'!$L232+'Electric Calendarize'!U$4+1))</f>
        <v/>
      </c>
      <c r="V232" t="str">
        <f ca="1">IF(OR($L232&gt;V$4,V$4&gt;$L232+23),"",OFFSET(Electric!$L223,0,-'Electric Calendarize'!$L232+'Electric Calendarize'!V$4+1))</f>
        <v/>
      </c>
      <c r="W232" t="str">
        <f ca="1">IF(OR($L232&gt;W$4,W$4&gt;$L232+23),"",OFFSET(Electric!$L223,0,-'Electric Calendarize'!$L232+'Electric Calendarize'!W$4+1))</f>
        <v/>
      </c>
      <c r="X232" t="str">
        <f ca="1">IF(OR($L232&gt;X$4,X$4&gt;$L232+23),"",OFFSET(Electric!$L223,0,-'Electric Calendarize'!$L232+'Electric Calendarize'!X$4+1))</f>
        <v/>
      </c>
      <c r="Y232" t="str">
        <f ca="1">IF(OR($L232&gt;Y$4,Y$4&gt;$L232+23),"",OFFSET(Electric!$L223,0,-'Electric Calendarize'!$L232+'Electric Calendarize'!Y$4+1))</f>
        <v/>
      </c>
      <c r="Z232" t="str">
        <f ca="1">IF(OR($L232&gt;Z$4,Z$4&gt;$L232+23),"",OFFSET(Electric!$L223,0,-'Electric Calendarize'!$L232+'Electric Calendarize'!Z$4+1))</f>
        <v/>
      </c>
      <c r="AA232" t="str">
        <f ca="1">IF(OR($L232&gt;AA$4,AA$4&gt;$L232+23),"",OFFSET(Electric!$L223,0,-'Electric Calendarize'!$L232+'Electric Calendarize'!AA$4+1))</f>
        <v/>
      </c>
      <c r="AB232" t="str">
        <f ca="1">IF(OR($L232&gt;AB$4,AB$4&gt;$L232+23),"",OFFSET(Electric!$L223,0,-'Electric Calendarize'!$L232+'Electric Calendarize'!AB$4+1))</f>
        <v/>
      </c>
      <c r="AC232" t="str">
        <f ca="1">IF(OR($L232&gt;AC$4,AC$4&gt;$L232+23),"",OFFSET(Electric!$L223,0,-'Electric Calendarize'!$L232+'Electric Calendarize'!AC$4+1))</f>
        <v/>
      </c>
      <c r="AD232" t="str">
        <f ca="1">IF(OR($L232&gt;AD$4,AD$4&gt;$L232+23),"",OFFSET(Electric!$L223,0,-'Electric Calendarize'!$L232+'Electric Calendarize'!AD$4+1))</f>
        <v/>
      </c>
      <c r="AE232" t="str">
        <f ca="1">IF(OR($L232&gt;AE$4,AE$4&gt;$L232+23),"",OFFSET(Electric!$L223,0,-'Electric Calendarize'!$L232+'Electric Calendarize'!AE$4+1))</f>
        <v/>
      </c>
      <c r="AF232" t="str">
        <f ca="1">IF(OR($L232&gt;AF$4,AF$4&gt;$L232+23),"",OFFSET(Electric!$L223,0,-'Electric Calendarize'!$L232+'Electric Calendarize'!AF$4+1))</f>
        <v/>
      </c>
      <c r="AG232" t="str">
        <f ca="1">IF(OR($L232&gt;AG$4,AG$4&gt;$L232+23),"",OFFSET(Electric!$L223,0,-'Electric Calendarize'!$L232+'Electric Calendarize'!AG$4+1))</f>
        <v/>
      </c>
      <c r="AH232" t="str">
        <f ca="1">IF(OR($L232&gt;AH$4,AH$4&gt;$L232+23),"",OFFSET(Electric!$L223,0,-'Electric Calendarize'!$L232+'Electric Calendarize'!AH$4+1))</f>
        <v/>
      </c>
      <c r="AI232" t="str">
        <f ca="1">IF(OR($L232&gt;AI$4,AI$4&gt;$L232+23),"",OFFSET(Electric!$L223,0,-'Electric Calendarize'!$L232+'Electric Calendarize'!AI$4+1))</f>
        <v/>
      </c>
      <c r="AJ232" t="str">
        <f ca="1">IF(OR($L232&gt;AJ$4,AJ$4&gt;$L232+23),"",OFFSET(Electric!$L223,0,-'Electric Calendarize'!$L232+'Electric Calendarize'!AJ$4+1))</f>
        <v/>
      </c>
      <c r="AK232" t="str">
        <f ca="1">IF(OR($L232&gt;AK$4,AK$4&gt;$L232+23),"",OFFSET(Electric!$L223,0,-'Electric Calendarize'!$L232+'Electric Calendarize'!AK$4+1))</f>
        <v/>
      </c>
      <c r="AL232" t="str">
        <f ca="1">IF(OR($L232&gt;AL$4,AL$4&gt;$L232+23),"",OFFSET(Electric!$L223,0,-'Electric Calendarize'!$L232+'Electric Calendarize'!AL$4+1))</f>
        <v/>
      </c>
      <c r="AM232">
        <f ca="1">IF(OR($L232&gt;AM$4,AM$4&gt;$L232+23),"",OFFSET(Electric!$L223,0,-'Electric Calendarize'!$L232+'Electric Calendarize'!AM$4+1))</f>
        <v>1034</v>
      </c>
      <c r="AN232">
        <f ca="1">IF(OR($L232&gt;AN$4,AN$4&gt;$L232+23),"",OFFSET(Electric!$L223,0,-'Electric Calendarize'!$L232+'Electric Calendarize'!AN$4+1))</f>
        <v>1055</v>
      </c>
      <c r="AO232">
        <f ca="1">IF(OR($L232&gt;AO$4,AO$4&gt;$L232+23),"",OFFSET(Electric!$L223,0,-'Electric Calendarize'!$L232+'Electric Calendarize'!AO$4+1))</f>
        <v>1165</v>
      </c>
      <c r="AP232">
        <f ca="1">IF(OR($L232&gt;AP$4,AP$4&gt;$L232+23),"",OFFSET(Electric!$L223,0,-'Electric Calendarize'!$L232+'Electric Calendarize'!AP$4+1))</f>
        <v>1274</v>
      </c>
      <c r="AQ232">
        <f ca="1">IF(OR($L232&gt;AQ$4,AQ$4&gt;$L232+23),"",OFFSET(Electric!$L223,0,-'Electric Calendarize'!$L232+'Electric Calendarize'!AQ$4+1))</f>
        <v>1119</v>
      </c>
      <c r="AR232">
        <f ca="1">IF(OR($L232&gt;AR$4,AR$4&gt;$L232+23),"",OFFSET(Electric!$L223,0,-'Electric Calendarize'!$L232+'Electric Calendarize'!AR$4+1))</f>
        <v>1050</v>
      </c>
      <c r="AS232">
        <f ca="1">IF(OR($L232&gt;AS$4,AS$4&gt;$L232+23),"",OFFSET(Electric!$L223,0,-'Electric Calendarize'!$L232+'Electric Calendarize'!AS$4+1))</f>
        <v>1118</v>
      </c>
      <c r="AT232">
        <f ca="1">IF(OR($L232&gt;AT$4,AT$4&gt;$L232+23),"",OFFSET(Electric!$L223,0,-'Electric Calendarize'!$L232+'Electric Calendarize'!AT$4+1))</f>
        <v>743</v>
      </c>
      <c r="AU232">
        <f ca="1">IF(OR($L232&gt;AU$4,AU$4&gt;$L232+23),"",OFFSET(Electric!$L223,0,-'Electric Calendarize'!$L232+'Electric Calendarize'!AU$4+1))</f>
        <v>1028</v>
      </c>
      <c r="AV232">
        <f ca="1">IF(OR($L232&gt;AV$4,AV$4&gt;$L232+23),"",OFFSET(Electric!$L223,0,-'Electric Calendarize'!$L232+'Electric Calendarize'!AV$4+1))</f>
        <v>1220</v>
      </c>
      <c r="AW232">
        <f ca="1">IF(OR($L232&gt;AW$4,AW$4&gt;$L232+23),"",OFFSET(Electric!$L223,0,-'Electric Calendarize'!$L232+'Electric Calendarize'!AW$4+1))</f>
        <v>1126</v>
      </c>
      <c r="AX232">
        <f ca="1">IF(OR($L232&gt;AX$4,AX$4&gt;$L232+23),"",OFFSET(Electric!$L223,0,-'Electric Calendarize'!$L232+'Electric Calendarize'!AX$4+1))</f>
        <v>1058</v>
      </c>
      <c r="AY232">
        <f ca="1">IF(OR($L232&gt;AY$4,AY$4&gt;$L232+23),"",OFFSET(Electric!$L223,0,-'Electric Calendarize'!$L232+'Electric Calendarize'!AY$4+1))</f>
        <v>1033</v>
      </c>
      <c r="AZ232">
        <f ca="1">IF(OR($L232&gt;AZ$4,AZ$4&gt;$L232+23),"",OFFSET(Electric!$L223,0,-'Electric Calendarize'!$L232+'Electric Calendarize'!AZ$4+1))</f>
        <v>905</v>
      </c>
      <c r="BA232">
        <f ca="1">IF(OR($L232&gt;BA$4,BA$4&gt;$L232+23),"",OFFSET(Electric!$L223,0,-'Electric Calendarize'!$L232+'Electric Calendarize'!BA$4+1))</f>
        <v>871</v>
      </c>
      <c r="BB232">
        <f ca="1">IF(OR($L232&gt;BB$4,BB$4&gt;$L232+23),"",OFFSET(Electric!$L223,0,-'Electric Calendarize'!$L232+'Electric Calendarize'!BB$4+1))</f>
        <v>1308</v>
      </c>
      <c r="BC232">
        <f ca="1">IF(OR($L232&gt;BC$4,BC$4&gt;$L232+23),"",OFFSET(Electric!$L223,0,-'Electric Calendarize'!$L232+'Electric Calendarize'!BC$4+1))</f>
        <v>1050</v>
      </c>
      <c r="BD232">
        <f ca="1">IF(OR($L232&gt;BD$4,BD$4&gt;$L232+23),"",OFFSET(Electric!$L223,0,-'Electric Calendarize'!$L232+'Electric Calendarize'!BD$4+1))</f>
        <v>972</v>
      </c>
      <c r="BE232">
        <f ca="1">IF(OR($L232&gt;BE$4,BE$4&gt;$L232+23),"",OFFSET(Electric!$L223,0,-'Electric Calendarize'!$L232+'Electric Calendarize'!BE$4+1))</f>
        <v>922</v>
      </c>
      <c r="BF232">
        <f ca="1">IF(OR($L232&gt;BF$4,BF$4&gt;$L232+23),"",OFFSET(Electric!$L223,0,-'Electric Calendarize'!$L232+'Electric Calendarize'!BF$4+1))</f>
        <v>900</v>
      </c>
      <c r="BG232">
        <f ca="1">IF(OR($L232&gt;BG$4,BG$4&gt;$L232+23),"",OFFSET(Electric!$L223,0,-'Electric Calendarize'!$L232+'Electric Calendarize'!BG$4+1))</f>
        <v>0</v>
      </c>
      <c r="BJ232" s="10" t="s">
        <v>37</v>
      </c>
      <c r="BK232">
        <f t="shared" si="519"/>
        <v>1</v>
      </c>
      <c r="BL232">
        <f t="shared" si="425"/>
        <v>0</v>
      </c>
      <c r="BM232">
        <f t="shared" si="426"/>
        <v>0</v>
      </c>
      <c r="BN232">
        <f t="shared" si="427"/>
        <v>0</v>
      </c>
      <c r="BO232">
        <f t="shared" si="428"/>
        <v>0</v>
      </c>
      <c r="BP232">
        <f t="shared" si="429"/>
        <v>0</v>
      </c>
      <c r="BQ232">
        <f t="shared" si="430"/>
        <v>0</v>
      </c>
      <c r="BR232">
        <f t="shared" si="431"/>
        <v>1</v>
      </c>
      <c r="BS232">
        <f t="shared" si="432"/>
        <v>1</v>
      </c>
      <c r="BT232">
        <f t="shared" si="433"/>
        <v>1</v>
      </c>
      <c r="BU232">
        <f t="shared" si="434"/>
        <v>1</v>
      </c>
      <c r="BV232">
        <f t="shared" si="435"/>
        <v>1</v>
      </c>
      <c r="BW232">
        <f t="shared" si="436"/>
        <v>1</v>
      </c>
      <c r="BX232">
        <f t="shared" si="437"/>
        <v>0</v>
      </c>
      <c r="BY232">
        <f t="shared" si="438"/>
        <v>0</v>
      </c>
      <c r="BZ232">
        <f t="shared" si="439"/>
        <v>0</v>
      </c>
      <c r="CA232">
        <f t="shared" si="440"/>
        <v>0</v>
      </c>
      <c r="CB232">
        <f t="shared" si="441"/>
        <v>0</v>
      </c>
      <c r="CC232">
        <f t="shared" si="442"/>
        <v>0</v>
      </c>
      <c r="CD232">
        <f t="shared" si="443"/>
        <v>1</v>
      </c>
      <c r="CE232">
        <f t="shared" si="444"/>
        <v>1</v>
      </c>
      <c r="CF232">
        <f t="shared" si="445"/>
        <v>1</v>
      </c>
      <c r="CG232">
        <f t="shared" si="446"/>
        <v>1</v>
      </c>
      <c r="CH232">
        <f t="shared" si="447"/>
        <v>1</v>
      </c>
      <c r="CI232">
        <f t="shared" si="448"/>
        <v>1</v>
      </c>
      <c r="CJ232">
        <f t="shared" si="449"/>
        <v>0</v>
      </c>
      <c r="CK232">
        <f t="shared" si="450"/>
        <v>0</v>
      </c>
      <c r="CL232">
        <f t="shared" si="451"/>
        <v>0</v>
      </c>
      <c r="CM232">
        <f t="shared" si="452"/>
        <v>0</v>
      </c>
      <c r="CN232">
        <f t="shared" si="453"/>
        <v>0</v>
      </c>
      <c r="CO232">
        <f t="shared" si="454"/>
        <v>0</v>
      </c>
      <c r="CP232">
        <f t="shared" si="455"/>
        <v>1</v>
      </c>
      <c r="CQ232">
        <f t="shared" si="456"/>
        <v>1</v>
      </c>
      <c r="CR232">
        <f t="shared" si="457"/>
        <v>1</v>
      </c>
      <c r="CS232">
        <f t="shared" si="458"/>
        <v>1</v>
      </c>
      <c r="CT232">
        <f t="shared" si="459"/>
        <v>1</v>
      </c>
      <c r="CU232">
        <f t="shared" si="460"/>
        <v>1</v>
      </c>
      <c r="CV232">
        <f t="shared" si="461"/>
        <v>0</v>
      </c>
      <c r="CW232">
        <f t="shared" si="462"/>
        <v>0</v>
      </c>
      <c r="CX232">
        <f t="shared" si="463"/>
        <v>0</v>
      </c>
      <c r="CY232">
        <f t="shared" si="464"/>
        <v>0</v>
      </c>
      <c r="CZ232">
        <f t="shared" si="465"/>
        <v>0</v>
      </c>
      <c r="DA232">
        <f t="shared" si="466"/>
        <v>0</v>
      </c>
      <c r="DB232">
        <f t="shared" si="467"/>
        <v>1</v>
      </c>
      <c r="DC232">
        <f t="shared" si="468"/>
        <v>1</v>
      </c>
      <c r="DF232" s="10" t="s">
        <v>37</v>
      </c>
      <c r="DG232" t="str">
        <f t="shared" si="524"/>
        <v>2023_4</v>
      </c>
      <c r="DH232" t="str">
        <f t="shared" si="524"/>
        <v>2023_4</v>
      </c>
      <c r="DI232" t="str">
        <f t="shared" si="524"/>
        <v>2023_4</v>
      </c>
      <c r="DJ232" t="str">
        <f t="shared" si="524"/>
        <v>2023_4</v>
      </c>
      <c r="DK232" t="str">
        <f t="shared" si="524"/>
        <v>2023_4</v>
      </c>
      <c r="DL232" t="str">
        <f t="shared" si="524"/>
        <v>2023_4</v>
      </c>
      <c r="DM232" t="str">
        <f t="shared" si="524"/>
        <v>2023_4</v>
      </c>
      <c r="DN232" t="str">
        <f t="shared" si="524"/>
        <v>2023_4</v>
      </c>
      <c r="DO232" t="str">
        <f t="shared" si="524"/>
        <v>2023_4</v>
      </c>
      <c r="DP232" t="str">
        <f t="shared" si="524"/>
        <v>2023_4</v>
      </c>
      <c r="DQ232" t="str">
        <f t="shared" si="524"/>
        <v>2023_4</v>
      </c>
      <c r="DR232" t="str">
        <f t="shared" si="524"/>
        <v>2023_4</v>
      </c>
      <c r="DS232" t="str">
        <f t="shared" si="524"/>
        <v>2023_4</v>
      </c>
      <c r="DT232" t="str">
        <f t="shared" si="524"/>
        <v>2023_4</v>
      </c>
      <c r="DU232" t="str">
        <f t="shared" si="524"/>
        <v>2023_4</v>
      </c>
      <c r="DV232" t="str">
        <f t="shared" si="524"/>
        <v>2023_4</v>
      </c>
      <c r="DW232" t="str">
        <f t="shared" si="523"/>
        <v>2023_4</v>
      </c>
      <c r="DX232" t="str">
        <f t="shared" si="523"/>
        <v>2023_4</v>
      </c>
      <c r="DY232" t="str">
        <f t="shared" si="523"/>
        <v>2023_4</v>
      </c>
      <c r="DZ232" t="str">
        <f t="shared" si="523"/>
        <v>2023_4</v>
      </c>
      <c r="EA232" t="str">
        <f t="shared" si="523"/>
        <v>2023_4</v>
      </c>
      <c r="EB232" t="str">
        <f t="shared" si="523"/>
        <v>2023_4</v>
      </c>
      <c r="EC232" t="str">
        <f t="shared" si="523"/>
        <v>2023_4</v>
      </c>
      <c r="ED232" t="str">
        <f t="shared" si="523"/>
        <v>2023_4</v>
      </c>
      <c r="EE232" t="str">
        <f t="shared" si="523"/>
        <v>2023_4</v>
      </c>
      <c r="EF232" t="str">
        <f t="shared" si="523"/>
        <v>2023_4</v>
      </c>
      <c r="EG232" t="str">
        <f t="shared" si="523"/>
        <v>2023_4</v>
      </c>
      <c r="EH232" t="str">
        <f t="shared" si="523"/>
        <v>2023_4</v>
      </c>
      <c r="EI232" t="str">
        <f t="shared" si="523"/>
        <v>2023_4</v>
      </c>
      <c r="EJ232" t="str">
        <f t="shared" si="523"/>
        <v>2023_4</v>
      </c>
      <c r="EK232" t="str">
        <f t="shared" si="522"/>
        <v>2023_4</v>
      </c>
      <c r="EL232" t="str">
        <f t="shared" si="522"/>
        <v>2023_4</v>
      </c>
      <c r="EM232" t="str">
        <f t="shared" si="522"/>
        <v>2023_4</v>
      </c>
      <c r="EN232" t="str">
        <f t="shared" si="522"/>
        <v>2023_4</v>
      </c>
      <c r="EO232" t="str">
        <f t="shared" si="522"/>
        <v>2023_4</v>
      </c>
      <c r="EP232" t="str">
        <f t="shared" si="522"/>
        <v>2023_4</v>
      </c>
      <c r="EQ232" t="str">
        <f t="shared" si="522"/>
        <v>2023_4</v>
      </c>
      <c r="ER232" t="str">
        <f t="shared" si="522"/>
        <v>2023_4</v>
      </c>
      <c r="ES232" t="str">
        <f t="shared" si="522"/>
        <v>2023_4</v>
      </c>
      <c r="ET232" t="str">
        <f t="shared" si="522"/>
        <v>2023_4</v>
      </c>
      <c r="EU232" t="str">
        <f t="shared" si="522"/>
        <v>2023_4</v>
      </c>
      <c r="EV232" t="str">
        <f t="shared" si="522"/>
        <v>2023_4</v>
      </c>
      <c r="EW232" t="str">
        <f t="shared" si="522"/>
        <v>2023_4</v>
      </c>
      <c r="EX232" t="str">
        <f t="shared" si="522"/>
        <v>2023_4</v>
      </c>
      <c r="EY232" t="str">
        <f t="shared" si="522"/>
        <v>2023_4</v>
      </c>
      <c r="FB232" s="10" t="s">
        <v>37</v>
      </c>
      <c r="FC232">
        <f t="shared" si="521"/>
        <v>0</v>
      </c>
      <c r="FD232">
        <f t="shared" si="471"/>
        <v>0</v>
      </c>
      <c r="FE232">
        <f t="shared" si="472"/>
        <v>0</v>
      </c>
      <c r="FF232">
        <f t="shared" si="473"/>
        <v>0</v>
      </c>
      <c r="FG232">
        <f t="shared" si="474"/>
        <v>0</v>
      </c>
      <c r="FH232">
        <f t="shared" si="475"/>
        <v>0</v>
      </c>
      <c r="FI232">
        <f t="shared" si="476"/>
        <v>0</v>
      </c>
      <c r="FJ232">
        <f t="shared" si="477"/>
        <v>0</v>
      </c>
      <c r="FK232">
        <f t="shared" si="478"/>
        <v>0</v>
      </c>
      <c r="FL232">
        <f t="shared" si="479"/>
        <v>0</v>
      </c>
      <c r="FM232">
        <f t="shared" si="480"/>
        <v>0</v>
      </c>
      <c r="FN232">
        <f t="shared" si="481"/>
        <v>0</v>
      </c>
      <c r="FO232">
        <f t="shared" si="482"/>
        <v>0</v>
      </c>
      <c r="FP232">
        <f t="shared" si="483"/>
        <v>0</v>
      </c>
      <c r="FQ232">
        <f t="shared" si="484"/>
        <v>0</v>
      </c>
      <c r="FR232">
        <f t="shared" si="485"/>
        <v>0</v>
      </c>
      <c r="FS232">
        <f t="shared" si="486"/>
        <v>0</v>
      </c>
      <c r="FT232">
        <f t="shared" si="487"/>
        <v>0</v>
      </c>
      <c r="FU232">
        <f t="shared" si="488"/>
        <v>0</v>
      </c>
      <c r="FV232">
        <f t="shared" si="489"/>
        <v>0</v>
      </c>
      <c r="FW232">
        <f t="shared" si="490"/>
        <v>0</v>
      </c>
      <c r="FX232">
        <f t="shared" si="491"/>
        <v>0</v>
      </c>
      <c r="FY232">
        <f t="shared" si="492"/>
        <v>0</v>
      </c>
      <c r="FZ232">
        <f t="shared" si="493"/>
        <v>0</v>
      </c>
      <c r="GA232">
        <f t="shared" si="494"/>
        <v>0</v>
      </c>
      <c r="GB232">
        <f t="shared" si="495"/>
        <v>0</v>
      </c>
      <c r="GC232">
        <f t="shared" si="496"/>
        <v>0</v>
      </c>
      <c r="GD232">
        <f t="shared" si="497"/>
        <v>0</v>
      </c>
      <c r="GE232">
        <f t="shared" si="498"/>
        <v>0</v>
      </c>
      <c r="GF232">
        <f t="shared" si="499"/>
        <v>0</v>
      </c>
      <c r="GG232">
        <f t="shared" si="500"/>
        <v>0</v>
      </c>
      <c r="GH232">
        <f t="shared" si="501"/>
        <v>0</v>
      </c>
      <c r="GI232">
        <f t="shared" si="502"/>
        <v>0</v>
      </c>
      <c r="GJ232">
        <f t="shared" si="503"/>
        <v>0</v>
      </c>
      <c r="GK232">
        <f t="shared" si="504"/>
        <v>0</v>
      </c>
      <c r="GL232">
        <f t="shared" si="505"/>
        <v>0</v>
      </c>
      <c r="GM232">
        <f t="shared" si="506"/>
        <v>1</v>
      </c>
      <c r="GN232">
        <f t="shared" si="507"/>
        <v>1</v>
      </c>
      <c r="GO232">
        <f t="shared" si="508"/>
        <v>1</v>
      </c>
      <c r="GP232">
        <f t="shared" si="509"/>
        <v>1</v>
      </c>
      <c r="GQ232">
        <f t="shared" si="510"/>
        <v>1</v>
      </c>
      <c r="GR232">
        <f t="shared" si="511"/>
        <v>1</v>
      </c>
      <c r="GS232">
        <f t="shared" si="512"/>
        <v>1</v>
      </c>
      <c r="GT232">
        <f t="shared" si="513"/>
        <v>1</v>
      </c>
      <c r="GU232">
        <f t="shared" si="514"/>
        <v>1</v>
      </c>
      <c r="GX232" s="10"/>
    </row>
    <row r="233" spans="1:206" x14ac:dyDescent="0.3">
      <c r="A233" s="9" t="s">
        <v>33</v>
      </c>
      <c r="B233" s="80"/>
      <c r="C233" s="9">
        <v>3152397001</v>
      </c>
      <c r="D233" s="9" t="s">
        <v>370</v>
      </c>
      <c r="E233" s="9" t="s">
        <v>34</v>
      </c>
      <c r="F233" s="9" t="s">
        <v>35</v>
      </c>
      <c r="G233" s="9" t="s">
        <v>247</v>
      </c>
      <c r="H233" s="10">
        <v>45026</v>
      </c>
      <c r="I233" s="9">
        <f t="shared" si="515"/>
        <v>2023</v>
      </c>
      <c r="J233" s="9">
        <f t="shared" si="516"/>
        <v>4</v>
      </c>
      <c r="K233" s="9" t="str">
        <f t="shared" si="517"/>
        <v>2023_4</v>
      </c>
      <c r="L233">
        <f>MAX(0,VLOOKUP($K233,lookups!$A$1:$B$45,2,0)-12)</f>
        <v>24</v>
      </c>
      <c r="M233" s="40">
        <f t="shared" si="518"/>
        <v>45017</v>
      </c>
      <c r="N233" s="10" t="s">
        <v>37</v>
      </c>
      <c r="O233" t="str">
        <f ca="1">IF(OR($L233&gt;O$4,O$4&gt;$L233+23),"",OFFSET(Electric!$L224,0,-'Electric Calendarize'!$L233+'Electric Calendarize'!O$4+1))</f>
        <v/>
      </c>
      <c r="P233" t="str">
        <f ca="1">IF(OR($L233&gt;P$4,P$4&gt;$L233+23),"",OFFSET(Electric!$L224,0,-'Electric Calendarize'!$L233+'Electric Calendarize'!P$4+1))</f>
        <v/>
      </c>
      <c r="Q233" t="str">
        <f ca="1">IF(OR($L233&gt;Q$4,Q$4&gt;$L233+23),"",OFFSET(Electric!$L224,0,-'Electric Calendarize'!$L233+'Electric Calendarize'!Q$4+1))</f>
        <v/>
      </c>
      <c r="R233" t="str">
        <f ca="1">IF(OR($L233&gt;R$4,R$4&gt;$L233+23),"",OFFSET(Electric!$L224,0,-'Electric Calendarize'!$L233+'Electric Calendarize'!R$4+1))</f>
        <v/>
      </c>
      <c r="S233" t="str">
        <f ca="1">IF(OR($L233&gt;S$4,S$4&gt;$L233+23),"",OFFSET(Electric!$L224,0,-'Electric Calendarize'!$L233+'Electric Calendarize'!S$4+1))</f>
        <v/>
      </c>
      <c r="T233" t="str">
        <f ca="1">IF(OR($L233&gt;T$4,T$4&gt;$L233+23),"",OFFSET(Electric!$L224,0,-'Electric Calendarize'!$L233+'Electric Calendarize'!T$4+1))</f>
        <v/>
      </c>
      <c r="U233" t="str">
        <f ca="1">IF(OR($L233&gt;U$4,U$4&gt;$L233+23),"",OFFSET(Electric!$L224,0,-'Electric Calendarize'!$L233+'Electric Calendarize'!U$4+1))</f>
        <v/>
      </c>
      <c r="V233" t="str">
        <f ca="1">IF(OR($L233&gt;V$4,V$4&gt;$L233+23),"",OFFSET(Electric!$L224,0,-'Electric Calendarize'!$L233+'Electric Calendarize'!V$4+1))</f>
        <v/>
      </c>
      <c r="W233" t="str">
        <f ca="1">IF(OR($L233&gt;W$4,W$4&gt;$L233+23),"",OFFSET(Electric!$L224,0,-'Electric Calendarize'!$L233+'Electric Calendarize'!W$4+1))</f>
        <v/>
      </c>
      <c r="X233" t="str">
        <f ca="1">IF(OR($L233&gt;X$4,X$4&gt;$L233+23),"",OFFSET(Electric!$L224,0,-'Electric Calendarize'!$L233+'Electric Calendarize'!X$4+1))</f>
        <v/>
      </c>
      <c r="Y233" t="str">
        <f ca="1">IF(OR($L233&gt;Y$4,Y$4&gt;$L233+23),"",OFFSET(Electric!$L224,0,-'Electric Calendarize'!$L233+'Electric Calendarize'!Y$4+1))</f>
        <v/>
      </c>
      <c r="Z233" t="str">
        <f ca="1">IF(OR($L233&gt;Z$4,Z$4&gt;$L233+23),"",OFFSET(Electric!$L224,0,-'Electric Calendarize'!$L233+'Electric Calendarize'!Z$4+1))</f>
        <v/>
      </c>
      <c r="AA233" t="str">
        <f ca="1">IF(OR($L233&gt;AA$4,AA$4&gt;$L233+23),"",OFFSET(Electric!$L224,0,-'Electric Calendarize'!$L233+'Electric Calendarize'!AA$4+1))</f>
        <v/>
      </c>
      <c r="AB233" t="str">
        <f ca="1">IF(OR($L233&gt;AB$4,AB$4&gt;$L233+23),"",OFFSET(Electric!$L224,0,-'Electric Calendarize'!$L233+'Electric Calendarize'!AB$4+1))</f>
        <v/>
      </c>
      <c r="AC233" t="str">
        <f ca="1">IF(OR($L233&gt;AC$4,AC$4&gt;$L233+23),"",OFFSET(Electric!$L224,0,-'Electric Calendarize'!$L233+'Electric Calendarize'!AC$4+1))</f>
        <v/>
      </c>
      <c r="AD233" t="str">
        <f ca="1">IF(OR($L233&gt;AD$4,AD$4&gt;$L233+23),"",OFFSET(Electric!$L224,0,-'Electric Calendarize'!$L233+'Electric Calendarize'!AD$4+1))</f>
        <v/>
      </c>
      <c r="AE233" t="str">
        <f ca="1">IF(OR($L233&gt;AE$4,AE$4&gt;$L233+23),"",OFFSET(Electric!$L224,0,-'Electric Calendarize'!$L233+'Electric Calendarize'!AE$4+1))</f>
        <v/>
      </c>
      <c r="AF233" t="str">
        <f ca="1">IF(OR($L233&gt;AF$4,AF$4&gt;$L233+23),"",OFFSET(Electric!$L224,0,-'Electric Calendarize'!$L233+'Electric Calendarize'!AF$4+1))</f>
        <v/>
      </c>
      <c r="AG233" t="str">
        <f ca="1">IF(OR($L233&gt;AG$4,AG$4&gt;$L233+23),"",OFFSET(Electric!$L224,0,-'Electric Calendarize'!$L233+'Electric Calendarize'!AG$4+1))</f>
        <v/>
      </c>
      <c r="AH233" t="str">
        <f ca="1">IF(OR($L233&gt;AH$4,AH$4&gt;$L233+23),"",OFFSET(Electric!$L224,0,-'Electric Calendarize'!$L233+'Electric Calendarize'!AH$4+1))</f>
        <v/>
      </c>
      <c r="AI233" t="str">
        <f ca="1">IF(OR($L233&gt;AI$4,AI$4&gt;$L233+23),"",OFFSET(Electric!$L224,0,-'Electric Calendarize'!$L233+'Electric Calendarize'!AI$4+1))</f>
        <v/>
      </c>
      <c r="AJ233" t="str">
        <f ca="1">IF(OR($L233&gt;AJ$4,AJ$4&gt;$L233+23),"",OFFSET(Electric!$L224,0,-'Electric Calendarize'!$L233+'Electric Calendarize'!AJ$4+1))</f>
        <v/>
      </c>
      <c r="AK233" t="str">
        <f ca="1">IF(OR($L233&gt;AK$4,AK$4&gt;$L233+23),"",OFFSET(Electric!$L224,0,-'Electric Calendarize'!$L233+'Electric Calendarize'!AK$4+1))</f>
        <v/>
      </c>
      <c r="AL233" t="str">
        <f ca="1">IF(OR($L233&gt;AL$4,AL$4&gt;$L233+23),"",OFFSET(Electric!$L224,0,-'Electric Calendarize'!$L233+'Electric Calendarize'!AL$4+1))</f>
        <v/>
      </c>
      <c r="AM233">
        <f ca="1">IF(OR($L233&gt;AM$4,AM$4&gt;$L233+23),"",OFFSET(Electric!$L224,0,-'Electric Calendarize'!$L233+'Electric Calendarize'!AM$4+1))</f>
        <v>651</v>
      </c>
      <c r="AN233">
        <f ca="1">IF(OR($L233&gt;AN$4,AN$4&gt;$L233+23),"",OFFSET(Electric!$L224,0,-'Electric Calendarize'!$L233+'Electric Calendarize'!AN$4+1))</f>
        <v>712</v>
      </c>
      <c r="AO233">
        <f ca="1">IF(OR($L233&gt;AO$4,AO$4&gt;$L233+23),"",OFFSET(Electric!$L224,0,-'Electric Calendarize'!$L233+'Electric Calendarize'!AO$4+1))</f>
        <v>969</v>
      </c>
      <c r="AP233">
        <f ca="1">IF(OR($L233&gt;AP$4,AP$4&gt;$L233+23),"",OFFSET(Electric!$L224,0,-'Electric Calendarize'!$L233+'Electric Calendarize'!AP$4+1))</f>
        <v>1351</v>
      </c>
      <c r="AQ233">
        <f ca="1">IF(OR($L233&gt;AQ$4,AQ$4&gt;$L233+23),"",OFFSET(Electric!$L224,0,-'Electric Calendarize'!$L233+'Electric Calendarize'!AQ$4+1))</f>
        <v>1381</v>
      </c>
      <c r="AR233">
        <f ca="1">IF(OR($L233&gt;AR$4,AR$4&gt;$L233+23),"",OFFSET(Electric!$L224,0,-'Electric Calendarize'!$L233+'Electric Calendarize'!AR$4+1))</f>
        <v>1062</v>
      </c>
      <c r="AS233">
        <f ca="1">IF(OR($L233&gt;AS$4,AS$4&gt;$L233+23),"",OFFSET(Electric!$L224,0,-'Electric Calendarize'!$L233+'Electric Calendarize'!AS$4+1))</f>
        <v>674</v>
      </c>
      <c r="AT233">
        <f ca="1">IF(OR($L233&gt;AT$4,AT$4&gt;$L233+23),"",OFFSET(Electric!$L224,0,-'Electric Calendarize'!$L233+'Electric Calendarize'!AT$4+1))</f>
        <v>697</v>
      </c>
      <c r="AU233">
        <f ca="1">IF(OR($L233&gt;AU$4,AU$4&gt;$L233+23),"",OFFSET(Electric!$L224,0,-'Electric Calendarize'!$L233+'Electric Calendarize'!AU$4+1))</f>
        <v>686</v>
      </c>
      <c r="AV233">
        <f ca="1">IF(OR($L233&gt;AV$4,AV$4&gt;$L233+23),"",OFFSET(Electric!$L224,0,-'Electric Calendarize'!$L233+'Electric Calendarize'!AV$4+1))</f>
        <v>794</v>
      </c>
      <c r="AW233">
        <f ca="1">IF(OR($L233&gt;AW$4,AW$4&gt;$L233+23),"",OFFSET(Electric!$L224,0,-'Electric Calendarize'!$L233+'Electric Calendarize'!AW$4+1))</f>
        <v>666</v>
      </c>
      <c r="AX233">
        <f ca="1">IF(OR($L233&gt;AX$4,AX$4&gt;$L233+23),"",OFFSET(Electric!$L224,0,-'Electric Calendarize'!$L233+'Electric Calendarize'!AX$4+1))</f>
        <v>727</v>
      </c>
      <c r="AY233">
        <f ca="1">IF(OR($L233&gt;AY$4,AY$4&gt;$L233+23),"",OFFSET(Electric!$L224,0,-'Electric Calendarize'!$L233+'Electric Calendarize'!AY$4+1))</f>
        <v>603</v>
      </c>
      <c r="AZ233">
        <f ca="1">IF(OR($L233&gt;AZ$4,AZ$4&gt;$L233+23),"",OFFSET(Electric!$L224,0,-'Electric Calendarize'!$L233+'Electric Calendarize'!AZ$4+1))</f>
        <v>669</v>
      </c>
      <c r="BA233">
        <f ca="1">IF(OR($L233&gt;BA$4,BA$4&gt;$L233+23),"",OFFSET(Electric!$L224,0,-'Electric Calendarize'!$L233+'Electric Calendarize'!BA$4+1))</f>
        <v>1002</v>
      </c>
      <c r="BB233">
        <f ca="1">IF(OR($L233&gt;BB$4,BB$4&gt;$L233+23),"",OFFSET(Electric!$L224,0,-'Electric Calendarize'!$L233+'Electric Calendarize'!BB$4+1))</f>
        <v>1132</v>
      </c>
      <c r="BC233">
        <f ca="1">IF(OR($L233&gt;BC$4,BC$4&gt;$L233+23),"",OFFSET(Electric!$L224,0,-'Electric Calendarize'!$L233+'Electric Calendarize'!BC$4+1))</f>
        <v>999</v>
      </c>
      <c r="BD233">
        <f ca="1">IF(OR($L233&gt;BD$4,BD$4&gt;$L233+23),"",OFFSET(Electric!$L224,0,-'Electric Calendarize'!$L233+'Electric Calendarize'!BD$4+1))</f>
        <v>1012</v>
      </c>
      <c r="BE233">
        <f ca="1">IF(OR($L233&gt;BE$4,BE$4&gt;$L233+23),"",OFFSET(Electric!$L224,0,-'Electric Calendarize'!$L233+'Electric Calendarize'!BE$4+1))</f>
        <v>686</v>
      </c>
      <c r="BF233">
        <f ca="1">IF(OR($L233&gt;BF$4,BF$4&gt;$L233+23),"",OFFSET(Electric!$L224,0,-'Electric Calendarize'!$L233+'Electric Calendarize'!BF$4+1))</f>
        <v>755</v>
      </c>
      <c r="BG233">
        <f ca="1">IF(OR($L233&gt;BG$4,BG$4&gt;$L233+23),"",OFFSET(Electric!$L224,0,-'Electric Calendarize'!$L233+'Electric Calendarize'!BG$4+1))</f>
        <v>0</v>
      </c>
      <c r="BJ233" s="10" t="s">
        <v>37</v>
      </c>
      <c r="BK233">
        <f t="shared" si="519"/>
        <v>1</v>
      </c>
      <c r="BL233">
        <f t="shared" si="425"/>
        <v>0</v>
      </c>
      <c r="BM233">
        <f t="shared" si="426"/>
        <v>0</v>
      </c>
      <c r="BN233">
        <f t="shared" si="427"/>
        <v>0</v>
      </c>
      <c r="BO233">
        <f t="shared" si="428"/>
        <v>0</v>
      </c>
      <c r="BP233">
        <f t="shared" si="429"/>
        <v>0</v>
      </c>
      <c r="BQ233">
        <f t="shared" si="430"/>
        <v>0</v>
      </c>
      <c r="BR233">
        <f t="shared" si="431"/>
        <v>1</v>
      </c>
      <c r="BS233">
        <f t="shared" si="432"/>
        <v>1</v>
      </c>
      <c r="BT233">
        <f t="shared" si="433"/>
        <v>1</v>
      </c>
      <c r="BU233">
        <f t="shared" si="434"/>
        <v>1</v>
      </c>
      <c r="BV233">
        <f t="shared" si="435"/>
        <v>1</v>
      </c>
      <c r="BW233">
        <f t="shared" si="436"/>
        <v>1</v>
      </c>
      <c r="BX233">
        <f t="shared" si="437"/>
        <v>0</v>
      </c>
      <c r="BY233">
        <f t="shared" si="438"/>
        <v>0</v>
      </c>
      <c r="BZ233">
        <f t="shared" si="439"/>
        <v>0</v>
      </c>
      <c r="CA233">
        <f t="shared" si="440"/>
        <v>0</v>
      </c>
      <c r="CB233">
        <f t="shared" si="441"/>
        <v>0</v>
      </c>
      <c r="CC233">
        <f t="shared" si="442"/>
        <v>0</v>
      </c>
      <c r="CD233">
        <f t="shared" si="443"/>
        <v>1</v>
      </c>
      <c r="CE233">
        <f t="shared" si="444"/>
        <v>1</v>
      </c>
      <c r="CF233">
        <f t="shared" si="445"/>
        <v>1</v>
      </c>
      <c r="CG233">
        <f t="shared" si="446"/>
        <v>1</v>
      </c>
      <c r="CH233">
        <f t="shared" si="447"/>
        <v>1</v>
      </c>
      <c r="CI233">
        <f t="shared" si="448"/>
        <v>1</v>
      </c>
      <c r="CJ233">
        <f t="shared" si="449"/>
        <v>0</v>
      </c>
      <c r="CK233">
        <f t="shared" si="450"/>
        <v>0</v>
      </c>
      <c r="CL233">
        <f t="shared" si="451"/>
        <v>0</v>
      </c>
      <c r="CM233">
        <f t="shared" si="452"/>
        <v>0</v>
      </c>
      <c r="CN233">
        <f t="shared" si="453"/>
        <v>0</v>
      </c>
      <c r="CO233">
        <f t="shared" si="454"/>
        <v>0</v>
      </c>
      <c r="CP233">
        <f t="shared" si="455"/>
        <v>1</v>
      </c>
      <c r="CQ233">
        <f t="shared" si="456"/>
        <v>1</v>
      </c>
      <c r="CR233">
        <f t="shared" si="457"/>
        <v>1</v>
      </c>
      <c r="CS233">
        <f t="shared" si="458"/>
        <v>1</v>
      </c>
      <c r="CT233">
        <f t="shared" si="459"/>
        <v>1</v>
      </c>
      <c r="CU233">
        <f t="shared" si="460"/>
        <v>1</v>
      </c>
      <c r="CV233">
        <f t="shared" si="461"/>
        <v>0</v>
      </c>
      <c r="CW233">
        <f t="shared" si="462"/>
        <v>0</v>
      </c>
      <c r="CX233">
        <f t="shared" si="463"/>
        <v>0</v>
      </c>
      <c r="CY233">
        <f t="shared" si="464"/>
        <v>0</v>
      </c>
      <c r="CZ233">
        <f t="shared" si="465"/>
        <v>0</v>
      </c>
      <c r="DA233">
        <f t="shared" si="466"/>
        <v>0</v>
      </c>
      <c r="DB233">
        <f t="shared" si="467"/>
        <v>1</v>
      </c>
      <c r="DC233">
        <f t="shared" si="468"/>
        <v>1</v>
      </c>
      <c r="DF233" s="10" t="s">
        <v>37</v>
      </c>
      <c r="DG233" t="str">
        <f t="shared" si="524"/>
        <v>2023_4</v>
      </c>
      <c r="DH233" t="str">
        <f t="shared" si="524"/>
        <v>2023_4</v>
      </c>
      <c r="DI233" t="str">
        <f t="shared" si="524"/>
        <v>2023_4</v>
      </c>
      <c r="DJ233" t="str">
        <f t="shared" si="524"/>
        <v>2023_4</v>
      </c>
      <c r="DK233" t="str">
        <f t="shared" si="524"/>
        <v>2023_4</v>
      </c>
      <c r="DL233" t="str">
        <f t="shared" si="524"/>
        <v>2023_4</v>
      </c>
      <c r="DM233" t="str">
        <f t="shared" si="524"/>
        <v>2023_4</v>
      </c>
      <c r="DN233" t="str">
        <f t="shared" si="524"/>
        <v>2023_4</v>
      </c>
      <c r="DO233" t="str">
        <f t="shared" si="524"/>
        <v>2023_4</v>
      </c>
      <c r="DP233" t="str">
        <f t="shared" si="524"/>
        <v>2023_4</v>
      </c>
      <c r="DQ233" t="str">
        <f t="shared" si="524"/>
        <v>2023_4</v>
      </c>
      <c r="DR233" t="str">
        <f t="shared" si="524"/>
        <v>2023_4</v>
      </c>
      <c r="DS233" t="str">
        <f t="shared" si="524"/>
        <v>2023_4</v>
      </c>
      <c r="DT233" t="str">
        <f t="shared" si="524"/>
        <v>2023_4</v>
      </c>
      <c r="DU233" t="str">
        <f t="shared" si="524"/>
        <v>2023_4</v>
      </c>
      <c r="DV233" t="str">
        <f t="shared" si="524"/>
        <v>2023_4</v>
      </c>
      <c r="DW233" t="str">
        <f t="shared" si="523"/>
        <v>2023_4</v>
      </c>
      <c r="DX233" t="str">
        <f t="shared" si="523"/>
        <v>2023_4</v>
      </c>
      <c r="DY233" t="str">
        <f t="shared" si="523"/>
        <v>2023_4</v>
      </c>
      <c r="DZ233" t="str">
        <f t="shared" si="523"/>
        <v>2023_4</v>
      </c>
      <c r="EA233" t="str">
        <f t="shared" si="523"/>
        <v>2023_4</v>
      </c>
      <c r="EB233" t="str">
        <f t="shared" si="523"/>
        <v>2023_4</v>
      </c>
      <c r="EC233" t="str">
        <f t="shared" si="523"/>
        <v>2023_4</v>
      </c>
      <c r="ED233" t="str">
        <f t="shared" si="523"/>
        <v>2023_4</v>
      </c>
      <c r="EE233" t="str">
        <f t="shared" si="523"/>
        <v>2023_4</v>
      </c>
      <c r="EF233" t="str">
        <f t="shared" si="523"/>
        <v>2023_4</v>
      </c>
      <c r="EG233" t="str">
        <f t="shared" si="523"/>
        <v>2023_4</v>
      </c>
      <c r="EH233" t="str">
        <f t="shared" si="523"/>
        <v>2023_4</v>
      </c>
      <c r="EI233" t="str">
        <f t="shared" si="523"/>
        <v>2023_4</v>
      </c>
      <c r="EJ233" t="str">
        <f t="shared" si="523"/>
        <v>2023_4</v>
      </c>
      <c r="EK233" t="str">
        <f t="shared" si="522"/>
        <v>2023_4</v>
      </c>
      <c r="EL233" t="str">
        <f t="shared" si="522"/>
        <v>2023_4</v>
      </c>
      <c r="EM233" t="str">
        <f t="shared" si="522"/>
        <v>2023_4</v>
      </c>
      <c r="EN233" t="str">
        <f t="shared" si="522"/>
        <v>2023_4</v>
      </c>
      <c r="EO233" t="str">
        <f t="shared" si="522"/>
        <v>2023_4</v>
      </c>
      <c r="EP233" t="str">
        <f t="shared" si="522"/>
        <v>2023_4</v>
      </c>
      <c r="EQ233" t="str">
        <f t="shared" si="522"/>
        <v>2023_4</v>
      </c>
      <c r="ER233" t="str">
        <f t="shared" si="522"/>
        <v>2023_4</v>
      </c>
      <c r="ES233" t="str">
        <f t="shared" si="522"/>
        <v>2023_4</v>
      </c>
      <c r="ET233" t="str">
        <f t="shared" si="522"/>
        <v>2023_4</v>
      </c>
      <c r="EU233" t="str">
        <f t="shared" si="522"/>
        <v>2023_4</v>
      </c>
      <c r="EV233" t="str">
        <f t="shared" si="522"/>
        <v>2023_4</v>
      </c>
      <c r="EW233" t="str">
        <f t="shared" si="522"/>
        <v>2023_4</v>
      </c>
      <c r="EX233" t="str">
        <f t="shared" si="522"/>
        <v>2023_4</v>
      </c>
      <c r="EY233" t="str">
        <f t="shared" si="522"/>
        <v>2023_4</v>
      </c>
      <c r="FB233" s="10" t="s">
        <v>37</v>
      </c>
      <c r="FC233">
        <f t="shared" si="521"/>
        <v>0</v>
      </c>
      <c r="FD233">
        <f t="shared" si="471"/>
        <v>0</v>
      </c>
      <c r="FE233">
        <f t="shared" si="472"/>
        <v>0</v>
      </c>
      <c r="FF233">
        <f t="shared" si="473"/>
        <v>0</v>
      </c>
      <c r="FG233">
        <f t="shared" si="474"/>
        <v>0</v>
      </c>
      <c r="FH233">
        <f t="shared" si="475"/>
        <v>0</v>
      </c>
      <c r="FI233">
        <f t="shared" si="476"/>
        <v>0</v>
      </c>
      <c r="FJ233">
        <f t="shared" si="477"/>
        <v>0</v>
      </c>
      <c r="FK233">
        <f t="shared" si="478"/>
        <v>0</v>
      </c>
      <c r="FL233">
        <f t="shared" si="479"/>
        <v>0</v>
      </c>
      <c r="FM233">
        <f t="shared" si="480"/>
        <v>0</v>
      </c>
      <c r="FN233">
        <f t="shared" si="481"/>
        <v>0</v>
      </c>
      <c r="FO233">
        <f t="shared" si="482"/>
        <v>0</v>
      </c>
      <c r="FP233">
        <f t="shared" si="483"/>
        <v>0</v>
      </c>
      <c r="FQ233">
        <f t="shared" si="484"/>
        <v>0</v>
      </c>
      <c r="FR233">
        <f t="shared" si="485"/>
        <v>0</v>
      </c>
      <c r="FS233">
        <f t="shared" si="486"/>
        <v>0</v>
      </c>
      <c r="FT233">
        <f t="shared" si="487"/>
        <v>0</v>
      </c>
      <c r="FU233">
        <f t="shared" si="488"/>
        <v>0</v>
      </c>
      <c r="FV233">
        <f t="shared" si="489"/>
        <v>0</v>
      </c>
      <c r="FW233">
        <f t="shared" si="490"/>
        <v>0</v>
      </c>
      <c r="FX233">
        <f t="shared" si="491"/>
        <v>0</v>
      </c>
      <c r="FY233">
        <f t="shared" si="492"/>
        <v>0</v>
      </c>
      <c r="FZ233">
        <f t="shared" si="493"/>
        <v>0</v>
      </c>
      <c r="GA233">
        <f t="shared" si="494"/>
        <v>0</v>
      </c>
      <c r="GB233">
        <f t="shared" si="495"/>
        <v>0</v>
      </c>
      <c r="GC233">
        <f t="shared" si="496"/>
        <v>0</v>
      </c>
      <c r="GD233">
        <f t="shared" si="497"/>
        <v>0</v>
      </c>
      <c r="GE233">
        <f t="shared" si="498"/>
        <v>0</v>
      </c>
      <c r="GF233">
        <f t="shared" si="499"/>
        <v>0</v>
      </c>
      <c r="GG233">
        <f t="shared" si="500"/>
        <v>0</v>
      </c>
      <c r="GH233">
        <f t="shared" si="501"/>
        <v>0</v>
      </c>
      <c r="GI233">
        <f t="shared" si="502"/>
        <v>0</v>
      </c>
      <c r="GJ233">
        <f t="shared" si="503"/>
        <v>0</v>
      </c>
      <c r="GK233">
        <f t="shared" si="504"/>
        <v>0</v>
      </c>
      <c r="GL233">
        <f t="shared" si="505"/>
        <v>0</v>
      </c>
      <c r="GM233">
        <f t="shared" si="506"/>
        <v>1</v>
      </c>
      <c r="GN233">
        <f t="shared" si="507"/>
        <v>1</v>
      </c>
      <c r="GO233">
        <f t="shared" si="508"/>
        <v>1</v>
      </c>
      <c r="GP233">
        <f t="shared" si="509"/>
        <v>1</v>
      </c>
      <c r="GQ233">
        <f t="shared" si="510"/>
        <v>1</v>
      </c>
      <c r="GR233">
        <f t="shared" si="511"/>
        <v>1</v>
      </c>
      <c r="GS233">
        <f t="shared" si="512"/>
        <v>1</v>
      </c>
      <c r="GT233">
        <f t="shared" si="513"/>
        <v>1</v>
      </c>
      <c r="GU233">
        <f t="shared" si="514"/>
        <v>1</v>
      </c>
      <c r="GX233" s="10"/>
    </row>
    <row r="234" spans="1:206" x14ac:dyDescent="0.3">
      <c r="A234" s="34" t="s">
        <v>250</v>
      </c>
      <c r="B234" s="84"/>
      <c r="C234" s="9">
        <v>3062130000</v>
      </c>
      <c r="D234" s="34" t="s">
        <v>385</v>
      </c>
      <c r="E234" s="34" t="s">
        <v>43</v>
      </c>
      <c r="F234" s="34" t="s">
        <v>35</v>
      </c>
      <c r="G234" s="34" t="s">
        <v>83</v>
      </c>
      <c r="H234" s="10">
        <v>45041</v>
      </c>
      <c r="I234" s="9">
        <f t="shared" si="515"/>
        <v>2023</v>
      </c>
      <c r="J234" s="9">
        <f t="shared" si="516"/>
        <v>4</v>
      </c>
      <c r="K234" s="9" t="str">
        <f t="shared" si="517"/>
        <v>2023_4</v>
      </c>
      <c r="L234">
        <f>MAX(0,VLOOKUP($K234,lookups!$A$1:$B$45,2,0)-12)</f>
        <v>24</v>
      </c>
      <c r="M234" s="40">
        <f t="shared" si="518"/>
        <v>45017</v>
      </c>
      <c r="N234" s="10" t="s">
        <v>37</v>
      </c>
      <c r="O234" t="str">
        <f ca="1">IF(OR($L234&gt;O$4,O$4&gt;$L234+23),"",OFFSET(Electric!$L225,0,-'Electric Calendarize'!$L234+'Electric Calendarize'!O$4+1))</f>
        <v/>
      </c>
      <c r="P234" t="str">
        <f ca="1">IF(OR($L234&gt;P$4,P$4&gt;$L234+23),"",OFFSET(Electric!$L225,0,-'Electric Calendarize'!$L234+'Electric Calendarize'!P$4+1))</f>
        <v/>
      </c>
      <c r="Q234" t="str">
        <f ca="1">IF(OR($L234&gt;Q$4,Q$4&gt;$L234+23),"",OFFSET(Electric!$L225,0,-'Electric Calendarize'!$L234+'Electric Calendarize'!Q$4+1))</f>
        <v/>
      </c>
      <c r="R234" t="str">
        <f ca="1">IF(OR($L234&gt;R$4,R$4&gt;$L234+23),"",OFFSET(Electric!$L225,0,-'Electric Calendarize'!$L234+'Electric Calendarize'!R$4+1))</f>
        <v/>
      </c>
      <c r="S234" t="str">
        <f ca="1">IF(OR($L234&gt;S$4,S$4&gt;$L234+23),"",OFFSET(Electric!$L225,0,-'Electric Calendarize'!$L234+'Electric Calendarize'!S$4+1))</f>
        <v/>
      </c>
      <c r="T234" t="str">
        <f ca="1">IF(OR($L234&gt;T$4,T$4&gt;$L234+23),"",OFFSET(Electric!$L225,0,-'Electric Calendarize'!$L234+'Electric Calendarize'!T$4+1))</f>
        <v/>
      </c>
      <c r="U234" t="str">
        <f ca="1">IF(OR($L234&gt;U$4,U$4&gt;$L234+23),"",OFFSET(Electric!$L225,0,-'Electric Calendarize'!$L234+'Electric Calendarize'!U$4+1))</f>
        <v/>
      </c>
      <c r="V234" t="str">
        <f ca="1">IF(OR($L234&gt;V$4,V$4&gt;$L234+23),"",OFFSET(Electric!$L225,0,-'Electric Calendarize'!$L234+'Electric Calendarize'!V$4+1))</f>
        <v/>
      </c>
      <c r="W234" t="str">
        <f ca="1">IF(OR($L234&gt;W$4,W$4&gt;$L234+23),"",OFFSET(Electric!$L225,0,-'Electric Calendarize'!$L234+'Electric Calendarize'!W$4+1))</f>
        <v/>
      </c>
      <c r="X234" t="str">
        <f ca="1">IF(OR($L234&gt;X$4,X$4&gt;$L234+23),"",OFFSET(Electric!$L225,0,-'Electric Calendarize'!$L234+'Electric Calendarize'!X$4+1))</f>
        <v/>
      </c>
      <c r="Y234" t="str">
        <f ca="1">IF(OR($L234&gt;Y$4,Y$4&gt;$L234+23),"",OFFSET(Electric!$L225,0,-'Electric Calendarize'!$L234+'Electric Calendarize'!Y$4+1))</f>
        <v/>
      </c>
      <c r="Z234" t="str">
        <f ca="1">IF(OR($L234&gt;Z$4,Z$4&gt;$L234+23),"",OFFSET(Electric!$L225,0,-'Electric Calendarize'!$L234+'Electric Calendarize'!Z$4+1))</f>
        <v/>
      </c>
      <c r="AA234" t="str">
        <f ca="1">IF(OR($L234&gt;AA$4,AA$4&gt;$L234+23),"",OFFSET(Electric!$L225,0,-'Electric Calendarize'!$L234+'Electric Calendarize'!AA$4+1))</f>
        <v/>
      </c>
      <c r="AB234" t="str">
        <f ca="1">IF(OR($L234&gt;AB$4,AB$4&gt;$L234+23),"",OFFSET(Electric!$L225,0,-'Electric Calendarize'!$L234+'Electric Calendarize'!AB$4+1))</f>
        <v/>
      </c>
      <c r="AC234" t="str">
        <f ca="1">IF(OR($L234&gt;AC$4,AC$4&gt;$L234+23),"",OFFSET(Electric!$L225,0,-'Electric Calendarize'!$L234+'Electric Calendarize'!AC$4+1))</f>
        <v/>
      </c>
      <c r="AD234" t="str">
        <f ca="1">IF(OR($L234&gt;AD$4,AD$4&gt;$L234+23),"",OFFSET(Electric!$L225,0,-'Electric Calendarize'!$L234+'Electric Calendarize'!AD$4+1))</f>
        <v/>
      </c>
      <c r="AE234" t="str">
        <f ca="1">IF(OR($L234&gt;AE$4,AE$4&gt;$L234+23),"",OFFSET(Electric!$L225,0,-'Electric Calendarize'!$L234+'Electric Calendarize'!AE$4+1))</f>
        <v/>
      </c>
      <c r="AF234" t="str">
        <f ca="1">IF(OR($L234&gt;AF$4,AF$4&gt;$L234+23),"",OFFSET(Electric!$L225,0,-'Electric Calendarize'!$L234+'Electric Calendarize'!AF$4+1))</f>
        <v/>
      </c>
      <c r="AG234" t="str">
        <f ca="1">IF(OR($L234&gt;AG$4,AG$4&gt;$L234+23),"",OFFSET(Electric!$L225,0,-'Electric Calendarize'!$L234+'Electric Calendarize'!AG$4+1))</f>
        <v/>
      </c>
      <c r="AH234" t="str">
        <f ca="1">IF(OR($L234&gt;AH$4,AH$4&gt;$L234+23),"",OFFSET(Electric!$L225,0,-'Electric Calendarize'!$L234+'Electric Calendarize'!AH$4+1))</f>
        <v/>
      </c>
      <c r="AI234" t="str">
        <f ca="1">IF(OR($L234&gt;AI$4,AI$4&gt;$L234+23),"",OFFSET(Electric!$L225,0,-'Electric Calendarize'!$L234+'Electric Calendarize'!AI$4+1))</f>
        <v/>
      </c>
      <c r="AJ234" t="str">
        <f ca="1">IF(OR($L234&gt;AJ$4,AJ$4&gt;$L234+23),"",OFFSET(Electric!$L225,0,-'Electric Calendarize'!$L234+'Electric Calendarize'!AJ$4+1))</f>
        <v/>
      </c>
      <c r="AK234" t="str">
        <f ca="1">IF(OR($L234&gt;AK$4,AK$4&gt;$L234+23),"",OFFSET(Electric!$L225,0,-'Electric Calendarize'!$L234+'Electric Calendarize'!AK$4+1))</f>
        <v/>
      </c>
      <c r="AL234" t="str">
        <f ca="1">IF(OR($L234&gt;AL$4,AL$4&gt;$L234+23),"",OFFSET(Electric!$L225,0,-'Electric Calendarize'!$L234+'Electric Calendarize'!AL$4+1))</f>
        <v/>
      </c>
      <c r="AM234">
        <f ca="1">IF(OR($L234&gt;AM$4,AM$4&gt;$L234+23),"",OFFSET(Electric!$L225,0,-'Electric Calendarize'!$L234+'Electric Calendarize'!AM$4+1))</f>
        <v>114</v>
      </c>
      <c r="AN234">
        <f ca="1">IF(OR($L234&gt;AN$4,AN$4&gt;$L234+23),"",OFFSET(Electric!$L225,0,-'Electric Calendarize'!$L234+'Electric Calendarize'!AN$4+1))</f>
        <v>145</v>
      </c>
      <c r="AO234">
        <f ca="1">IF(OR($L234&gt;AO$4,AO$4&gt;$L234+23),"",OFFSET(Electric!$L225,0,-'Electric Calendarize'!$L234+'Electric Calendarize'!AO$4+1))</f>
        <v>161</v>
      </c>
      <c r="AP234">
        <f ca="1">IF(OR($L234&gt;AP$4,AP$4&gt;$L234+23),"",OFFSET(Electric!$L225,0,-'Electric Calendarize'!$L234+'Electric Calendarize'!AP$4+1))</f>
        <v>22</v>
      </c>
      <c r="AQ234">
        <f ca="1">IF(OR($L234&gt;AQ$4,AQ$4&gt;$L234+23),"",OFFSET(Electric!$L225,0,-'Electric Calendarize'!$L234+'Electric Calendarize'!AQ$4+1))</f>
        <v>9</v>
      </c>
      <c r="AR234">
        <f ca="1">IF(OR($L234&gt;AR$4,AR$4&gt;$L234+23),"",OFFSET(Electric!$L225,0,-'Electric Calendarize'!$L234+'Electric Calendarize'!AR$4+1))</f>
        <v>10</v>
      </c>
      <c r="AS234">
        <f ca="1">IF(OR($L234&gt;AS$4,AS$4&gt;$L234+23),"",OFFSET(Electric!$L225,0,-'Electric Calendarize'!$L234+'Electric Calendarize'!AS$4+1))</f>
        <v>4</v>
      </c>
      <c r="AT234">
        <f ca="1">IF(OR($L234&gt;AT$4,AT$4&gt;$L234+23),"",OFFSET(Electric!$L225,0,-'Electric Calendarize'!$L234+'Electric Calendarize'!AT$4+1))</f>
        <v>0</v>
      </c>
      <c r="AU234">
        <f ca="1">IF(OR($L234&gt;AU$4,AU$4&gt;$L234+23),"",OFFSET(Electric!$L225,0,-'Electric Calendarize'!$L234+'Electric Calendarize'!AU$4+1))</f>
        <v>0</v>
      </c>
      <c r="AV234">
        <f ca="1">IF(OR($L234&gt;AV$4,AV$4&gt;$L234+23),"",OFFSET(Electric!$L225,0,-'Electric Calendarize'!$L234+'Electric Calendarize'!AV$4+1))</f>
        <v>0</v>
      </c>
      <c r="AW234">
        <f ca="1">IF(OR($L234&gt;AW$4,AW$4&gt;$L234+23),"",OFFSET(Electric!$L225,0,-'Electric Calendarize'!$L234+'Electric Calendarize'!AW$4+1))</f>
        <v>0</v>
      </c>
      <c r="AX234">
        <f ca="1">IF(OR($L234&gt;AX$4,AX$4&gt;$L234+23),"",OFFSET(Electric!$L225,0,-'Electric Calendarize'!$L234+'Electric Calendarize'!AX$4+1))</f>
        <v>0</v>
      </c>
      <c r="AY234">
        <f ca="1">IF(OR($L234&gt;AY$4,AY$4&gt;$L234+23),"",OFFSET(Electric!$L225,0,-'Electric Calendarize'!$L234+'Electric Calendarize'!AY$4+1))</f>
        <v>0</v>
      </c>
      <c r="AZ234">
        <f ca="1">IF(OR($L234&gt;AZ$4,AZ$4&gt;$L234+23),"",OFFSET(Electric!$L225,0,-'Electric Calendarize'!$L234+'Electric Calendarize'!AZ$4+1))</f>
        <v>0</v>
      </c>
      <c r="BA234">
        <f ca="1">IF(OR($L234&gt;BA$4,BA$4&gt;$L234+23),"",OFFSET(Electric!$L225,0,-'Electric Calendarize'!$L234+'Electric Calendarize'!BA$4+1))</f>
        <v>0</v>
      </c>
      <c r="BB234">
        <f ca="1">IF(OR($L234&gt;BB$4,BB$4&gt;$L234+23),"",OFFSET(Electric!$L225,0,-'Electric Calendarize'!$L234+'Electric Calendarize'!BB$4+1))</f>
        <v>0</v>
      </c>
      <c r="BC234">
        <f ca="1">IF(OR($L234&gt;BC$4,BC$4&gt;$L234+23),"",OFFSET(Electric!$L225,0,-'Electric Calendarize'!$L234+'Electric Calendarize'!BC$4+1))</f>
        <v>0</v>
      </c>
      <c r="BD234">
        <f ca="1">IF(OR($L234&gt;BD$4,BD$4&gt;$L234+23),"",OFFSET(Electric!$L225,0,-'Electric Calendarize'!$L234+'Electric Calendarize'!BD$4+1))</f>
        <v>0</v>
      </c>
      <c r="BE234">
        <f ca="1">IF(OR($L234&gt;BE$4,BE$4&gt;$L234+23),"",OFFSET(Electric!$L225,0,-'Electric Calendarize'!$L234+'Electric Calendarize'!BE$4+1))</f>
        <v>0</v>
      </c>
      <c r="BF234">
        <f ca="1">IF(OR($L234&gt;BF$4,BF$4&gt;$L234+23),"",OFFSET(Electric!$L225,0,-'Electric Calendarize'!$L234+'Electric Calendarize'!BF$4+1))</f>
        <v>0</v>
      </c>
      <c r="BG234">
        <f ca="1">IF(OR($L234&gt;BG$4,BG$4&gt;$L234+23),"",OFFSET(Electric!$L225,0,-'Electric Calendarize'!$L234+'Electric Calendarize'!BG$4+1))</f>
        <v>0</v>
      </c>
      <c r="BJ234" s="10" t="s">
        <v>37</v>
      </c>
      <c r="BK234">
        <f t="shared" si="519"/>
        <v>1</v>
      </c>
      <c r="BL234">
        <f t="shared" si="425"/>
        <v>0</v>
      </c>
      <c r="BM234">
        <f t="shared" si="426"/>
        <v>0</v>
      </c>
      <c r="BN234">
        <f t="shared" si="427"/>
        <v>0</v>
      </c>
      <c r="BO234">
        <f t="shared" si="428"/>
        <v>0</v>
      </c>
      <c r="BP234">
        <f t="shared" si="429"/>
        <v>0</v>
      </c>
      <c r="BQ234">
        <f t="shared" si="430"/>
        <v>0</v>
      </c>
      <c r="BR234">
        <f t="shared" si="431"/>
        <v>1</v>
      </c>
      <c r="BS234">
        <f t="shared" si="432"/>
        <v>1</v>
      </c>
      <c r="BT234">
        <f t="shared" si="433"/>
        <v>1</v>
      </c>
      <c r="BU234">
        <f t="shared" si="434"/>
        <v>1</v>
      </c>
      <c r="BV234">
        <f t="shared" si="435"/>
        <v>1</v>
      </c>
      <c r="BW234">
        <f t="shared" si="436"/>
        <v>1</v>
      </c>
      <c r="BX234">
        <f t="shared" si="437"/>
        <v>0</v>
      </c>
      <c r="BY234">
        <f t="shared" si="438"/>
        <v>0</v>
      </c>
      <c r="BZ234">
        <f t="shared" si="439"/>
        <v>0</v>
      </c>
      <c r="CA234">
        <f t="shared" si="440"/>
        <v>0</v>
      </c>
      <c r="CB234">
        <f t="shared" si="441"/>
        <v>0</v>
      </c>
      <c r="CC234">
        <f t="shared" si="442"/>
        <v>0</v>
      </c>
      <c r="CD234">
        <f t="shared" si="443"/>
        <v>1</v>
      </c>
      <c r="CE234">
        <f t="shared" si="444"/>
        <v>1</v>
      </c>
      <c r="CF234">
        <f t="shared" si="445"/>
        <v>1</v>
      </c>
      <c r="CG234">
        <f t="shared" si="446"/>
        <v>1</v>
      </c>
      <c r="CH234">
        <f t="shared" si="447"/>
        <v>1</v>
      </c>
      <c r="CI234">
        <f t="shared" si="448"/>
        <v>1</v>
      </c>
      <c r="CJ234">
        <f t="shared" si="449"/>
        <v>0</v>
      </c>
      <c r="CK234">
        <f t="shared" si="450"/>
        <v>0</v>
      </c>
      <c r="CL234">
        <f t="shared" si="451"/>
        <v>0</v>
      </c>
      <c r="CM234">
        <f t="shared" si="452"/>
        <v>0</v>
      </c>
      <c r="CN234">
        <f t="shared" si="453"/>
        <v>0</v>
      </c>
      <c r="CO234">
        <f t="shared" si="454"/>
        <v>0</v>
      </c>
      <c r="CP234">
        <f t="shared" si="455"/>
        <v>1</v>
      </c>
      <c r="CQ234">
        <f t="shared" si="456"/>
        <v>1</v>
      </c>
      <c r="CR234">
        <f t="shared" si="457"/>
        <v>1</v>
      </c>
      <c r="CS234">
        <f t="shared" si="458"/>
        <v>1</v>
      </c>
      <c r="CT234">
        <f t="shared" si="459"/>
        <v>1</v>
      </c>
      <c r="CU234">
        <f t="shared" si="460"/>
        <v>1</v>
      </c>
      <c r="CV234">
        <f t="shared" si="461"/>
        <v>0</v>
      </c>
      <c r="CW234">
        <f t="shared" si="462"/>
        <v>0</v>
      </c>
      <c r="CX234">
        <f t="shared" si="463"/>
        <v>0</v>
      </c>
      <c r="CY234">
        <f t="shared" si="464"/>
        <v>0</v>
      </c>
      <c r="CZ234">
        <f t="shared" si="465"/>
        <v>0</v>
      </c>
      <c r="DA234">
        <f t="shared" si="466"/>
        <v>0</v>
      </c>
      <c r="DB234">
        <f t="shared" si="467"/>
        <v>1</v>
      </c>
      <c r="DC234">
        <f t="shared" si="468"/>
        <v>1</v>
      </c>
      <c r="DF234" s="10" t="s">
        <v>37</v>
      </c>
      <c r="DG234" t="str">
        <f t="shared" si="524"/>
        <v>2023_4</v>
      </c>
      <c r="DH234" t="str">
        <f t="shared" si="524"/>
        <v>2023_4</v>
      </c>
      <c r="DI234" t="str">
        <f t="shared" si="524"/>
        <v>2023_4</v>
      </c>
      <c r="DJ234" t="str">
        <f t="shared" si="524"/>
        <v>2023_4</v>
      </c>
      <c r="DK234" t="str">
        <f t="shared" si="524"/>
        <v>2023_4</v>
      </c>
      <c r="DL234" t="str">
        <f t="shared" si="524"/>
        <v>2023_4</v>
      </c>
      <c r="DM234" t="str">
        <f t="shared" si="524"/>
        <v>2023_4</v>
      </c>
      <c r="DN234" t="str">
        <f t="shared" si="524"/>
        <v>2023_4</v>
      </c>
      <c r="DO234" t="str">
        <f t="shared" si="524"/>
        <v>2023_4</v>
      </c>
      <c r="DP234" t="str">
        <f t="shared" si="524"/>
        <v>2023_4</v>
      </c>
      <c r="DQ234" t="str">
        <f t="shared" si="524"/>
        <v>2023_4</v>
      </c>
      <c r="DR234" t="str">
        <f t="shared" si="524"/>
        <v>2023_4</v>
      </c>
      <c r="DS234" t="str">
        <f t="shared" si="524"/>
        <v>2023_4</v>
      </c>
      <c r="DT234" t="str">
        <f t="shared" si="524"/>
        <v>2023_4</v>
      </c>
      <c r="DU234" t="str">
        <f t="shared" si="524"/>
        <v>2023_4</v>
      </c>
      <c r="DV234" t="str">
        <f t="shared" si="524"/>
        <v>2023_4</v>
      </c>
      <c r="DW234" t="str">
        <f t="shared" si="523"/>
        <v>2023_4</v>
      </c>
      <c r="DX234" t="str">
        <f t="shared" si="523"/>
        <v>2023_4</v>
      </c>
      <c r="DY234" t="str">
        <f t="shared" si="523"/>
        <v>2023_4</v>
      </c>
      <c r="DZ234" t="str">
        <f t="shared" si="523"/>
        <v>2023_4</v>
      </c>
      <c r="EA234" t="str">
        <f t="shared" si="523"/>
        <v>2023_4</v>
      </c>
      <c r="EB234" t="str">
        <f t="shared" si="523"/>
        <v>2023_4</v>
      </c>
      <c r="EC234" t="str">
        <f t="shared" si="523"/>
        <v>2023_4</v>
      </c>
      <c r="ED234" t="str">
        <f t="shared" si="523"/>
        <v>2023_4</v>
      </c>
      <c r="EE234" t="str">
        <f t="shared" si="523"/>
        <v>2023_4</v>
      </c>
      <c r="EF234" t="str">
        <f t="shared" si="523"/>
        <v>2023_4</v>
      </c>
      <c r="EG234" t="str">
        <f t="shared" si="523"/>
        <v>2023_4</v>
      </c>
      <c r="EH234" t="str">
        <f t="shared" si="523"/>
        <v>2023_4</v>
      </c>
      <c r="EI234" t="str">
        <f t="shared" si="523"/>
        <v>2023_4</v>
      </c>
      <c r="EJ234" t="str">
        <f t="shared" si="523"/>
        <v>2023_4</v>
      </c>
      <c r="EK234" t="str">
        <f t="shared" si="523"/>
        <v>2023_4</v>
      </c>
      <c r="EL234" t="str">
        <f t="shared" si="523"/>
        <v>2023_4</v>
      </c>
      <c r="EM234" t="str">
        <f t="shared" ref="EM234:EY249" si="525">$K234</f>
        <v>2023_4</v>
      </c>
      <c r="EN234" t="str">
        <f t="shared" si="525"/>
        <v>2023_4</v>
      </c>
      <c r="EO234" t="str">
        <f t="shared" si="525"/>
        <v>2023_4</v>
      </c>
      <c r="EP234" t="str">
        <f t="shared" si="525"/>
        <v>2023_4</v>
      </c>
      <c r="EQ234" t="str">
        <f t="shared" si="525"/>
        <v>2023_4</v>
      </c>
      <c r="ER234" t="str">
        <f t="shared" si="525"/>
        <v>2023_4</v>
      </c>
      <c r="ES234" t="str">
        <f t="shared" si="525"/>
        <v>2023_4</v>
      </c>
      <c r="ET234" t="str">
        <f t="shared" si="525"/>
        <v>2023_4</v>
      </c>
      <c r="EU234" t="str">
        <f t="shared" si="525"/>
        <v>2023_4</v>
      </c>
      <c r="EV234" t="str">
        <f t="shared" si="525"/>
        <v>2023_4</v>
      </c>
      <c r="EW234" t="str">
        <f t="shared" si="525"/>
        <v>2023_4</v>
      </c>
      <c r="EX234" t="str">
        <f t="shared" si="525"/>
        <v>2023_4</v>
      </c>
      <c r="EY234" t="str">
        <f t="shared" si="525"/>
        <v>2023_4</v>
      </c>
      <c r="FB234" s="10" t="s">
        <v>37</v>
      </c>
      <c r="FC234">
        <f t="shared" si="521"/>
        <v>0</v>
      </c>
      <c r="FD234">
        <f t="shared" si="471"/>
        <v>0</v>
      </c>
      <c r="FE234">
        <f t="shared" si="472"/>
        <v>0</v>
      </c>
      <c r="FF234">
        <f t="shared" si="473"/>
        <v>0</v>
      </c>
      <c r="FG234">
        <f t="shared" si="474"/>
        <v>0</v>
      </c>
      <c r="FH234">
        <f t="shared" si="475"/>
        <v>0</v>
      </c>
      <c r="FI234">
        <f t="shared" si="476"/>
        <v>0</v>
      </c>
      <c r="FJ234">
        <f t="shared" si="477"/>
        <v>0</v>
      </c>
      <c r="FK234">
        <f t="shared" si="478"/>
        <v>0</v>
      </c>
      <c r="FL234">
        <f t="shared" si="479"/>
        <v>0</v>
      </c>
      <c r="FM234">
        <f t="shared" si="480"/>
        <v>0</v>
      </c>
      <c r="FN234">
        <f t="shared" si="481"/>
        <v>0</v>
      </c>
      <c r="FO234">
        <f t="shared" si="482"/>
        <v>0</v>
      </c>
      <c r="FP234">
        <f t="shared" si="483"/>
        <v>0</v>
      </c>
      <c r="FQ234">
        <f t="shared" si="484"/>
        <v>0</v>
      </c>
      <c r="FR234">
        <f t="shared" si="485"/>
        <v>0</v>
      </c>
      <c r="FS234">
        <f t="shared" si="486"/>
        <v>0</v>
      </c>
      <c r="FT234">
        <f t="shared" si="487"/>
        <v>0</v>
      </c>
      <c r="FU234">
        <f t="shared" si="488"/>
        <v>0</v>
      </c>
      <c r="FV234">
        <f t="shared" si="489"/>
        <v>0</v>
      </c>
      <c r="FW234">
        <f t="shared" si="490"/>
        <v>0</v>
      </c>
      <c r="FX234">
        <f t="shared" si="491"/>
        <v>0</v>
      </c>
      <c r="FY234">
        <f t="shared" si="492"/>
        <v>0</v>
      </c>
      <c r="FZ234">
        <f t="shared" si="493"/>
        <v>0</v>
      </c>
      <c r="GA234">
        <f t="shared" si="494"/>
        <v>0</v>
      </c>
      <c r="GB234">
        <f t="shared" si="495"/>
        <v>0</v>
      </c>
      <c r="GC234">
        <f t="shared" si="496"/>
        <v>0</v>
      </c>
      <c r="GD234">
        <f t="shared" si="497"/>
        <v>0</v>
      </c>
      <c r="GE234">
        <f t="shared" si="498"/>
        <v>0</v>
      </c>
      <c r="GF234">
        <f t="shared" si="499"/>
        <v>0</v>
      </c>
      <c r="GG234">
        <f t="shared" si="500"/>
        <v>0</v>
      </c>
      <c r="GH234">
        <f t="shared" si="501"/>
        <v>0</v>
      </c>
      <c r="GI234">
        <f t="shared" si="502"/>
        <v>0</v>
      </c>
      <c r="GJ234">
        <f t="shared" si="503"/>
        <v>0</v>
      </c>
      <c r="GK234">
        <f t="shared" si="504"/>
        <v>0</v>
      </c>
      <c r="GL234">
        <f t="shared" si="505"/>
        <v>0</v>
      </c>
      <c r="GM234">
        <f t="shared" si="506"/>
        <v>1</v>
      </c>
      <c r="GN234">
        <f t="shared" si="507"/>
        <v>1</v>
      </c>
      <c r="GO234">
        <f t="shared" si="508"/>
        <v>1</v>
      </c>
      <c r="GP234">
        <f t="shared" si="509"/>
        <v>1</v>
      </c>
      <c r="GQ234">
        <f t="shared" si="510"/>
        <v>1</v>
      </c>
      <c r="GR234">
        <f t="shared" si="511"/>
        <v>1</v>
      </c>
      <c r="GS234">
        <f t="shared" si="512"/>
        <v>1</v>
      </c>
      <c r="GT234">
        <f t="shared" si="513"/>
        <v>1</v>
      </c>
      <c r="GU234">
        <f t="shared" si="514"/>
        <v>1</v>
      </c>
      <c r="GX234" s="10"/>
    </row>
    <row r="235" spans="1:206" x14ac:dyDescent="0.3">
      <c r="A235" s="36" t="s">
        <v>124</v>
      </c>
      <c r="B235" s="85"/>
      <c r="C235" s="9">
        <v>3151125000</v>
      </c>
      <c r="D235" s="36" t="s">
        <v>399</v>
      </c>
      <c r="E235" s="36" t="s">
        <v>100</v>
      </c>
      <c r="F235" s="36" t="s">
        <v>35</v>
      </c>
      <c r="G235" s="36" t="s">
        <v>251</v>
      </c>
      <c r="H235" s="10">
        <v>45041</v>
      </c>
      <c r="I235" s="9">
        <f t="shared" si="515"/>
        <v>2023</v>
      </c>
      <c r="J235" s="9">
        <f t="shared" si="516"/>
        <v>4</v>
      </c>
      <c r="K235" s="9" t="str">
        <f t="shared" si="517"/>
        <v>2023_4</v>
      </c>
      <c r="L235">
        <f>MAX(0,VLOOKUP($K235,lookups!$A$1:$B$45,2,0)-12)</f>
        <v>24</v>
      </c>
      <c r="M235" s="40">
        <f t="shared" si="518"/>
        <v>45017</v>
      </c>
      <c r="N235" s="10" t="s">
        <v>37</v>
      </c>
      <c r="O235" t="str">
        <f ca="1">IF(OR($L235&gt;O$4,O$4&gt;$L235+23),"",OFFSET(Electric!$L226,0,-'Electric Calendarize'!$L235+'Electric Calendarize'!O$4+1))</f>
        <v/>
      </c>
      <c r="P235" t="str">
        <f ca="1">IF(OR($L235&gt;P$4,P$4&gt;$L235+23),"",OFFSET(Electric!$L226,0,-'Electric Calendarize'!$L235+'Electric Calendarize'!P$4+1))</f>
        <v/>
      </c>
      <c r="Q235" t="str">
        <f ca="1">IF(OR($L235&gt;Q$4,Q$4&gt;$L235+23),"",OFFSET(Electric!$L226,0,-'Electric Calendarize'!$L235+'Electric Calendarize'!Q$4+1))</f>
        <v/>
      </c>
      <c r="R235" t="str">
        <f ca="1">IF(OR($L235&gt;R$4,R$4&gt;$L235+23),"",OFFSET(Electric!$L226,0,-'Electric Calendarize'!$L235+'Electric Calendarize'!R$4+1))</f>
        <v/>
      </c>
      <c r="S235" t="str">
        <f ca="1">IF(OR($L235&gt;S$4,S$4&gt;$L235+23),"",OFFSET(Electric!$L226,0,-'Electric Calendarize'!$L235+'Electric Calendarize'!S$4+1))</f>
        <v/>
      </c>
      <c r="T235" t="str">
        <f ca="1">IF(OR($L235&gt;T$4,T$4&gt;$L235+23),"",OFFSET(Electric!$L226,0,-'Electric Calendarize'!$L235+'Electric Calendarize'!T$4+1))</f>
        <v/>
      </c>
      <c r="U235" t="str">
        <f ca="1">IF(OR($L235&gt;U$4,U$4&gt;$L235+23),"",OFFSET(Electric!$L226,0,-'Electric Calendarize'!$L235+'Electric Calendarize'!U$4+1))</f>
        <v/>
      </c>
      <c r="V235" t="str">
        <f ca="1">IF(OR($L235&gt;V$4,V$4&gt;$L235+23),"",OFFSET(Electric!$L226,0,-'Electric Calendarize'!$L235+'Electric Calendarize'!V$4+1))</f>
        <v/>
      </c>
      <c r="W235" t="str">
        <f ca="1">IF(OR($L235&gt;W$4,W$4&gt;$L235+23),"",OFFSET(Electric!$L226,0,-'Electric Calendarize'!$L235+'Electric Calendarize'!W$4+1))</f>
        <v/>
      </c>
      <c r="X235" t="str">
        <f ca="1">IF(OR($L235&gt;X$4,X$4&gt;$L235+23),"",OFFSET(Electric!$L226,0,-'Electric Calendarize'!$L235+'Electric Calendarize'!X$4+1))</f>
        <v/>
      </c>
      <c r="Y235" t="str">
        <f ca="1">IF(OR($L235&gt;Y$4,Y$4&gt;$L235+23),"",OFFSET(Electric!$L226,0,-'Electric Calendarize'!$L235+'Electric Calendarize'!Y$4+1))</f>
        <v/>
      </c>
      <c r="Z235" t="str">
        <f ca="1">IF(OR($L235&gt;Z$4,Z$4&gt;$L235+23),"",OFFSET(Electric!$L226,0,-'Electric Calendarize'!$L235+'Electric Calendarize'!Z$4+1))</f>
        <v/>
      </c>
      <c r="AA235" t="str">
        <f ca="1">IF(OR($L235&gt;AA$4,AA$4&gt;$L235+23),"",OFFSET(Electric!$L226,0,-'Electric Calendarize'!$L235+'Electric Calendarize'!AA$4+1))</f>
        <v/>
      </c>
      <c r="AB235" t="str">
        <f ca="1">IF(OR($L235&gt;AB$4,AB$4&gt;$L235+23),"",OFFSET(Electric!$L226,0,-'Electric Calendarize'!$L235+'Electric Calendarize'!AB$4+1))</f>
        <v/>
      </c>
      <c r="AC235" t="str">
        <f ca="1">IF(OR($L235&gt;AC$4,AC$4&gt;$L235+23),"",OFFSET(Electric!$L226,0,-'Electric Calendarize'!$L235+'Electric Calendarize'!AC$4+1))</f>
        <v/>
      </c>
      <c r="AD235" t="str">
        <f ca="1">IF(OR($L235&gt;AD$4,AD$4&gt;$L235+23),"",OFFSET(Electric!$L226,0,-'Electric Calendarize'!$L235+'Electric Calendarize'!AD$4+1))</f>
        <v/>
      </c>
      <c r="AE235" t="str">
        <f ca="1">IF(OR($L235&gt;AE$4,AE$4&gt;$L235+23),"",OFFSET(Electric!$L226,0,-'Electric Calendarize'!$L235+'Electric Calendarize'!AE$4+1))</f>
        <v/>
      </c>
      <c r="AF235" t="str">
        <f ca="1">IF(OR($L235&gt;AF$4,AF$4&gt;$L235+23),"",OFFSET(Electric!$L226,0,-'Electric Calendarize'!$L235+'Electric Calendarize'!AF$4+1))</f>
        <v/>
      </c>
      <c r="AG235" t="str">
        <f ca="1">IF(OR($L235&gt;AG$4,AG$4&gt;$L235+23),"",OFFSET(Electric!$L226,0,-'Electric Calendarize'!$L235+'Electric Calendarize'!AG$4+1))</f>
        <v/>
      </c>
      <c r="AH235" t="str">
        <f ca="1">IF(OR($L235&gt;AH$4,AH$4&gt;$L235+23),"",OFFSET(Electric!$L226,0,-'Electric Calendarize'!$L235+'Electric Calendarize'!AH$4+1))</f>
        <v/>
      </c>
      <c r="AI235" t="str">
        <f ca="1">IF(OR($L235&gt;AI$4,AI$4&gt;$L235+23),"",OFFSET(Electric!$L226,0,-'Electric Calendarize'!$L235+'Electric Calendarize'!AI$4+1))</f>
        <v/>
      </c>
      <c r="AJ235" t="str">
        <f ca="1">IF(OR($L235&gt;AJ$4,AJ$4&gt;$L235+23),"",OFFSET(Electric!$L226,0,-'Electric Calendarize'!$L235+'Electric Calendarize'!AJ$4+1))</f>
        <v/>
      </c>
      <c r="AK235" t="str">
        <f ca="1">IF(OR($L235&gt;AK$4,AK$4&gt;$L235+23),"",OFFSET(Electric!$L226,0,-'Electric Calendarize'!$L235+'Electric Calendarize'!AK$4+1))</f>
        <v/>
      </c>
      <c r="AL235" t="str">
        <f ca="1">IF(OR($L235&gt;AL$4,AL$4&gt;$L235+23),"",OFFSET(Electric!$L226,0,-'Electric Calendarize'!$L235+'Electric Calendarize'!AL$4+1))</f>
        <v/>
      </c>
      <c r="AM235">
        <f ca="1">IF(OR($L235&gt;AM$4,AM$4&gt;$L235+23),"",OFFSET(Electric!$L226,0,-'Electric Calendarize'!$L235+'Electric Calendarize'!AM$4+1))</f>
        <v>421</v>
      </c>
      <c r="AN235">
        <f ca="1">IF(OR($L235&gt;AN$4,AN$4&gt;$L235+23),"",OFFSET(Electric!$L226,0,-'Electric Calendarize'!$L235+'Electric Calendarize'!AN$4+1))</f>
        <v>498</v>
      </c>
      <c r="AO235">
        <f ca="1">IF(OR($L235&gt;AO$4,AO$4&gt;$L235+23),"",OFFSET(Electric!$L226,0,-'Electric Calendarize'!$L235+'Electric Calendarize'!AO$4+1))</f>
        <v>579</v>
      </c>
      <c r="AP235">
        <f ca="1">IF(OR($L235&gt;AP$4,AP$4&gt;$L235+23),"",OFFSET(Electric!$L226,0,-'Electric Calendarize'!$L235+'Electric Calendarize'!AP$4+1))</f>
        <v>652</v>
      </c>
      <c r="AQ235">
        <f ca="1">IF(OR($L235&gt;AQ$4,AQ$4&gt;$L235+23),"",OFFSET(Electric!$L226,0,-'Electric Calendarize'!$L235+'Electric Calendarize'!AQ$4+1))</f>
        <v>528</v>
      </c>
      <c r="AR235">
        <f ca="1">IF(OR($L235&gt;AR$4,AR$4&gt;$L235+23),"",OFFSET(Electric!$L226,0,-'Electric Calendarize'!$L235+'Electric Calendarize'!AR$4+1))</f>
        <v>496</v>
      </c>
      <c r="AS235">
        <f ca="1">IF(OR($L235&gt;AS$4,AS$4&gt;$L235+23),"",OFFSET(Electric!$L226,0,-'Electric Calendarize'!$L235+'Electric Calendarize'!AS$4+1))</f>
        <v>440</v>
      </c>
      <c r="AT235">
        <f ca="1">IF(OR($L235&gt;AT$4,AT$4&gt;$L235+23),"",OFFSET(Electric!$L226,0,-'Electric Calendarize'!$L235+'Electric Calendarize'!AT$4+1))</f>
        <v>525</v>
      </c>
      <c r="AU235">
        <f ca="1">IF(OR($L235&gt;AU$4,AU$4&gt;$L235+23),"",OFFSET(Electric!$L226,0,-'Electric Calendarize'!$L235+'Electric Calendarize'!AU$4+1))</f>
        <v>488</v>
      </c>
      <c r="AV235">
        <f ca="1">IF(OR($L235&gt;AV$4,AV$4&gt;$L235+23),"",OFFSET(Electric!$L226,0,-'Electric Calendarize'!$L235+'Electric Calendarize'!AV$4+1))</f>
        <v>427</v>
      </c>
      <c r="AW235">
        <f ca="1">IF(OR($L235&gt;AW$4,AW$4&gt;$L235+23),"",OFFSET(Electric!$L226,0,-'Electric Calendarize'!$L235+'Electric Calendarize'!AW$4+1))</f>
        <v>476</v>
      </c>
      <c r="AX235">
        <f ca="1">IF(OR($L235&gt;AX$4,AX$4&gt;$L235+23),"",OFFSET(Electric!$L226,0,-'Electric Calendarize'!$L235+'Electric Calendarize'!AX$4+1))</f>
        <v>430</v>
      </c>
      <c r="AY235">
        <f ca="1">IF(OR($L235&gt;AY$4,AY$4&gt;$L235+23),"",OFFSET(Electric!$L226,0,-'Electric Calendarize'!$L235+'Electric Calendarize'!AY$4+1))</f>
        <v>394</v>
      </c>
      <c r="AZ235">
        <f ca="1">IF(OR($L235&gt;AZ$4,AZ$4&gt;$L235+23),"",OFFSET(Electric!$L226,0,-'Electric Calendarize'!$L235+'Electric Calendarize'!AZ$4+1))</f>
        <v>390</v>
      </c>
      <c r="BA235">
        <f ca="1">IF(OR($L235&gt;BA$4,BA$4&gt;$L235+23),"",OFFSET(Electric!$L226,0,-'Electric Calendarize'!$L235+'Electric Calendarize'!BA$4+1))</f>
        <v>483</v>
      </c>
      <c r="BB235">
        <f ca="1">IF(OR($L235&gt;BB$4,BB$4&gt;$L235+23),"",OFFSET(Electric!$L226,0,-'Electric Calendarize'!$L235+'Electric Calendarize'!BB$4+1))</f>
        <v>645</v>
      </c>
      <c r="BC235">
        <f ca="1">IF(OR($L235&gt;BC$4,BC$4&gt;$L235+23),"",OFFSET(Electric!$L226,0,-'Electric Calendarize'!$L235+'Electric Calendarize'!BC$4+1))</f>
        <v>508</v>
      </c>
      <c r="BD235">
        <f ca="1">IF(OR($L235&gt;BD$4,BD$4&gt;$L235+23),"",OFFSET(Electric!$L226,0,-'Electric Calendarize'!$L235+'Electric Calendarize'!BD$4+1))</f>
        <v>438</v>
      </c>
      <c r="BE235">
        <f ca="1">IF(OR($L235&gt;BE$4,BE$4&gt;$L235+23),"",OFFSET(Electric!$L226,0,-'Electric Calendarize'!$L235+'Electric Calendarize'!BE$4+1))</f>
        <v>349</v>
      </c>
      <c r="BF235">
        <f ca="1">IF(OR($L235&gt;BF$4,BF$4&gt;$L235+23),"",OFFSET(Electric!$L226,0,-'Electric Calendarize'!$L235+'Electric Calendarize'!BF$4+1))</f>
        <v>392</v>
      </c>
      <c r="BG235">
        <f ca="1">IF(OR($L235&gt;BG$4,BG$4&gt;$L235+23),"",OFFSET(Electric!$L226,0,-'Electric Calendarize'!$L235+'Electric Calendarize'!BG$4+1))</f>
        <v>0</v>
      </c>
      <c r="BJ235" s="10" t="s">
        <v>37</v>
      </c>
      <c r="BK235">
        <f t="shared" si="519"/>
        <v>1</v>
      </c>
      <c r="BL235">
        <f t="shared" si="425"/>
        <v>0</v>
      </c>
      <c r="BM235">
        <f t="shared" si="426"/>
        <v>0</v>
      </c>
      <c r="BN235">
        <f t="shared" si="427"/>
        <v>0</v>
      </c>
      <c r="BO235">
        <f t="shared" si="428"/>
        <v>0</v>
      </c>
      <c r="BP235">
        <f t="shared" si="429"/>
        <v>0</v>
      </c>
      <c r="BQ235">
        <f t="shared" si="430"/>
        <v>0</v>
      </c>
      <c r="BR235">
        <f t="shared" si="431"/>
        <v>1</v>
      </c>
      <c r="BS235">
        <f t="shared" si="432"/>
        <v>1</v>
      </c>
      <c r="BT235">
        <f t="shared" si="433"/>
        <v>1</v>
      </c>
      <c r="BU235">
        <f t="shared" si="434"/>
        <v>1</v>
      </c>
      <c r="BV235">
        <f t="shared" si="435"/>
        <v>1</v>
      </c>
      <c r="BW235">
        <f t="shared" si="436"/>
        <v>1</v>
      </c>
      <c r="BX235">
        <f t="shared" si="437"/>
        <v>0</v>
      </c>
      <c r="BY235">
        <f t="shared" si="438"/>
        <v>0</v>
      </c>
      <c r="BZ235">
        <f t="shared" si="439"/>
        <v>0</v>
      </c>
      <c r="CA235">
        <f t="shared" si="440"/>
        <v>0</v>
      </c>
      <c r="CB235">
        <f t="shared" si="441"/>
        <v>0</v>
      </c>
      <c r="CC235">
        <f t="shared" si="442"/>
        <v>0</v>
      </c>
      <c r="CD235">
        <f t="shared" si="443"/>
        <v>1</v>
      </c>
      <c r="CE235">
        <f t="shared" si="444"/>
        <v>1</v>
      </c>
      <c r="CF235">
        <f t="shared" si="445"/>
        <v>1</v>
      </c>
      <c r="CG235">
        <f t="shared" si="446"/>
        <v>1</v>
      </c>
      <c r="CH235">
        <f t="shared" si="447"/>
        <v>1</v>
      </c>
      <c r="CI235">
        <f t="shared" si="448"/>
        <v>1</v>
      </c>
      <c r="CJ235">
        <f t="shared" si="449"/>
        <v>0</v>
      </c>
      <c r="CK235">
        <f t="shared" si="450"/>
        <v>0</v>
      </c>
      <c r="CL235">
        <f t="shared" si="451"/>
        <v>0</v>
      </c>
      <c r="CM235">
        <f t="shared" si="452"/>
        <v>0</v>
      </c>
      <c r="CN235">
        <f t="shared" si="453"/>
        <v>0</v>
      </c>
      <c r="CO235">
        <f t="shared" si="454"/>
        <v>0</v>
      </c>
      <c r="CP235">
        <f t="shared" si="455"/>
        <v>1</v>
      </c>
      <c r="CQ235">
        <f t="shared" si="456"/>
        <v>1</v>
      </c>
      <c r="CR235">
        <f t="shared" si="457"/>
        <v>1</v>
      </c>
      <c r="CS235">
        <f t="shared" si="458"/>
        <v>1</v>
      </c>
      <c r="CT235">
        <f t="shared" si="459"/>
        <v>1</v>
      </c>
      <c r="CU235">
        <f t="shared" si="460"/>
        <v>1</v>
      </c>
      <c r="CV235">
        <f t="shared" si="461"/>
        <v>0</v>
      </c>
      <c r="CW235">
        <f t="shared" si="462"/>
        <v>0</v>
      </c>
      <c r="CX235">
        <f t="shared" si="463"/>
        <v>0</v>
      </c>
      <c r="CY235">
        <f t="shared" si="464"/>
        <v>0</v>
      </c>
      <c r="CZ235">
        <f t="shared" si="465"/>
        <v>0</v>
      </c>
      <c r="DA235">
        <f t="shared" si="466"/>
        <v>0</v>
      </c>
      <c r="DB235">
        <f t="shared" si="467"/>
        <v>1</v>
      </c>
      <c r="DC235">
        <f t="shared" si="468"/>
        <v>1</v>
      </c>
      <c r="DF235" s="10" t="s">
        <v>37</v>
      </c>
      <c r="DG235" t="str">
        <f t="shared" si="524"/>
        <v>2023_4</v>
      </c>
      <c r="DH235" t="str">
        <f t="shared" si="524"/>
        <v>2023_4</v>
      </c>
      <c r="DI235" t="str">
        <f t="shared" si="524"/>
        <v>2023_4</v>
      </c>
      <c r="DJ235" t="str">
        <f t="shared" si="524"/>
        <v>2023_4</v>
      </c>
      <c r="DK235" t="str">
        <f t="shared" si="524"/>
        <v>2023_4</v>
      </c>
      <c r="DL235" t="str">
        <f t="shared" si="524"/>
        <v>2023_4</v>
      </c>
      <c r="DM235" t="str">
        <f t="shared" si="524"/>
        <v>2023_4</v>
      </c>
      <c r="DN235" t="str">
        <f t="shared" si="524"/>
        <v>2023_4</v>
      </c>
      <c r="DO235" t="str">
        <f t="shared" si="524"/>
        <v>2023_4</v>
      </c>
      <c r="DP235" t="str">
        <f t="shared" si="524"/>
        <v>2023_4</v>
      </c>
      <c r="DQ235" t="str">
        <f t="shared" si="524"/>
        <v>2023_4</v>
      </c>
      <c r="DR235" t="str">
        <f t="shared" si="524"/>
        <v>2023_4</v>
      </c>
      <c r="DS235" t="str">
        <f t="shared" si="524"/>
        <v>2023_4</v>
      </c>
      <c r="DT235" t="str">
        <f t="shared" si="524"/>
        <v>2023_4</v>
      </c>
      <c r="DU235" t="str">
        <f t="shared" si="524"/>
        <v>2023_4</v>
      </c>
      <c r="DV235" t="str">
        <f t="shared" ref="DV235:EK250" si="526">$K235</f>
        <v>2023_4</v>
      </c>
      <c r="DW235" t="str">
        <f t="shared" si="526"/>
        <v>2023_4</v>
      </c>
      <c r="DX235" t="str">
        <f t="shared" si="526"/>
        <v>2023_4</v>
      </c>
      <c r="DY235" t="str">
        <f t="shared" si="526"/>
        <v>2023_4</v>
      </c>
      <c r="DZ235" t="str">
        <f t="shared" si="526"/>
        <v>2023_4</v>
      </c>
      <c r="EA235" t="str">
        <f t="shared" si="526"/>
        <v>2023_4</v>
      </c>
      <c r="EB235" t="str">
        <f t="shared" si="526"/>
        <v>2023_4</v>
      </c>
      <c r="EC235" t="str">
        <f t="shared" si="526"/>
        <v>2023_4</v>
      </c>
      <c r="ED235" t="str">
        <f t="shared" si="526"/>
        <v>2023_4</v>
      </c>
      <c r="EE235" t="str">
        <f t="shared" si="526"/>
        <v>2023_4</v>
      </c>
      <c r="EF235" t="str">
        <f t="shared" si="526"/>
        <v>2023_4</v>
      </c>
      <c r="EG235" t="str">
        <f t="shared" si="526"/>
        <v>2023_4</v>
      </c>
      <c r="EH235" t="str">
        <f t="shared" si="526"/>
        <v>2023_4</v>
      </c>
      <c r="EI235" t="str">
        <f t="shared" si="526"/>
        <v>2023_4</v>
      </c>
      <c r="EJ235" t="str">
        <f t="shared" si="526"/>
        <v>2023_4</v>
      </c>
      <c r="EK235" t="str">
        <f t="shared" si="526"/>
        <v>2023_4</v>
      </c>
      <c r="EL235" t="str">
        <f t="shared" ref="EL235:EY250" si="527">$K235</f>
        <v>2023_4</v>
      </c>
      <c r="EM235" t="str">
        <f t="shared" si="525"/>
        <v>2023_4</v>
      </c>
      <c r="EN235" t="str">
        <f t="shared" si="525"/>
        <v>2023_4</v>
      </c>
      <c r="EO235" t="str">
        <f t="shared" si="525"/>
        <v>2023_4</v>
      </c>
      <c r="EP235" t="str">
        <f t="shared" si="525"/>
        <v>2023_4</v>
      </c>
      <c r="EQ235" t="str">
        <f t="shared" si="525"/>
        <v>2023_4</v>
      </c>
      <c r="ER235" t="str">
        <f t="shared" si="525"/>
        <v>2023_4</v>
      </c>
      <c r="ES235" t="str">
        <f t="shared" si="525"/>
        <v>2023_4</v>
      </c>
      <c r="ET235" t="str">
        <f t="shared" si="525"/>
        <v>2023_4</v>
      </c>
      <c r="EU235" t="str">
        <f t="shared" si="525"/>
        <v>2023_4</v>
      </c>
      <c r="EV235" t="str">
        <f t="shared" si="525"/>
        <v>2023_4</v>
      </c>
      <c r="EW235" t="str">
        <f t="shared" si="525"/>
        <v>2023_4</v>
      </c>
      <c r="EX235" t="str">
        <f t="shared" si="525"/>
        <v>2023_4</v>
      </c>
      <c r="EY235" t="str">
        <f t="shared" si="525"/>
        <v>2023_4</v>
      </c>
      <c r="FB235" s="10" t="s">
        <v>37</v>
      </c>
      <c r="FC235">
        <f t="shared" si="521"/>
        <v>0</v>
      </c>
      <c r="FD235">
        <f t="shared" si="471"/>
        <v>0</v>
      </c>
      <c r="FE235">
        <f t="shared" si="472"/>
        <v>0</v>
      </c>
      <c r="FF235">
        <f t="shared" si="473"/>
        <v>0</v>
      </c>
      <c r="FG235">
        <f t="shared" si="474"/>
        <v>0</v>
      </c>
      <c r="FH235">
        <f t="shared" si="475"/>
        <v>0</v>
      </c>
      <c r="FI235">
        <f t="shared" si="476"/>
        <v>0</v>
      </c>
      <c r="FJ235">
        <f t="shared" si="477"/>
        <v>0</v>
      </c>
      <c r="FK235">
        <f t="shared" si="478"/>
        <v>0</v>
      </c>
      <c r="FL235">
        <f t="shared" si="479"/>
        <v>0</v>
      </c>
      <c r="FM235">
        <f t="shared" si="480"/>
        <v>0</v>
      </c>
      <c r="FN235">
        <f t="shared" si="481"/>
        <v>0</v>
      </c>
      <c r="FO235">
        <f t="shared" si="482"/>
        <v>0</v>
      </c>
      <c r="FP235">
        <f t="shared" si="483"/>
        <v>0</v>
      </c>
      <c r="FQ235">
        <f t="shared" si="484"/>
        <v>0</v>
      </c>
      <c r="FR235">
        <f t="shared" si="485"/>
        <v>0</v>
      </c>
      <c r="FS235">
        <f t="shared" si="486"/>
        <v>0</v>
      </c>
      <c r="FT235">
        <f t="shared" si="487"/>
        <v>0</v>
      </c>
      <c r="FU235">
        <f t="shared" si="488"/>
        <v>0</v>
      </c>
      <c r="FV235">
        <f t="shared" si="489"/>
        <v>0</v>
      </c>
      <c r="FW235">
        <f t="shared" si="490"/>
        <v>0</v>
      </c>
      <c r="FX235">
        <f t="shared" si="491"/>
        <v>0</v>
      </c>
      <c r="FY235">
        <f t="shared" si="492"/>
        <v>0</v>
      </c>
      <c r="FZ235">
        <f t="shared" si="493"/>
        <v>0</v>
      </c>
      <c r="GA235">
        <f t="shared" si="494"/>
        <v>0</v>
      </c>
      <c r="GB235">
        <f t="shared" si="495"/>
        <v>0</v>
      </c>
      <c r="GC235">
        <f t="shared" si="496"/>
        <v>0</v>
      </c>
      <c r="GD235">
        <f t="shared" si="497"/>
        <v>0</v>
      </c>
      <c r="GE235">
        <f t="shared" si="498"/>
        <v>0</v>
      </c>
      <c r="GF235">
        <f t="shared" si="499"/>
        <v>0</v>
      </c>
      <c r="GG235">
        <f t="shared" si="500"/>
        <v>0</v>
      </c>
      <c r="GH235">
        <f t="shared" si="501"/>
        <v>0</v>
      </c>
      <c r="GI235">
        <f t="shared" si="502"/>
        <v>0</v>
      </c>
      <c r="GJ235">
        <f t="shared" si="503"/>
        <v>0</v>
      </c>
      <c r="GK235">
        <f t="shared" si="504"/>
        <v>0</v>
      </c>
      <c r="GL235">
        <f t="shared" si="505"/>
        <v>0</v>
      </c>
      <c r="GM235">
        <f t="shared" si="506"/>
        <v>1</v>
      </c>
      <c r="GN235">
        <f t="shared" si="507"/>
        <v>1</v>
      </c>
      <c r="GO235">
        <f t="shared" si="508"/>
        <v>1</v>
      </c>
      <c r="GP235">
        <f t="shared" si="509"/>
        <v>1</v>
      </c>
      <c r="GQ235">
        <f t="shared" si="510"/>
        <v>1</v>
      </c>
      <c r="GR235">
        <f t="shared" si="511"/>
        <v>1</v>
      </c>
      <c r="GS235">
        <f t="shared" si="512"/>
        <v>1</v>
      </c>
      <c r="GT235">
        <f t="shared" si="513"/>
        <v>1</v>
      </c>
      <c r="GU235">
        <f t="shared" si="514"/>
        <v>1</v>
      </c>
      <c r="GX235" s="10"/>
    </row>
    <row r="236" spans="1:206" x14ac:dyDescent="0.3">
      <c r="A236" s="9" t="s">
        <v>128</v>
      </c>
      <c r="B236" s="80"/>
      <c r="C236" s="34">
        <v>3120757000</v>
      </c>
      <c r="D236" s="9" t="s">
        <v>495</v>
      </c>
      <c r="E236" s="9" t="s">
        <v>34</v>
      </c>
      <c r="F236" s="9" t="s">
        <v>35</v>
      </c>
      <c r="G236" s="9" t="s">
        <v>252</v>
      </c>
      <c r="H236" s="10">
        <v>45048</v>
      </c>
      <c r="I236" s="9">
        <f t="shared" si="515"/>
        <v>2023</v>
      </c>
      <c r="J236" s="9">
        <f t="shared" si="516"/>
        <v>5</v>
      </c>
      <c r="K236" s="9" t="str">
        <f t="shared" si="517"/>
        <v>2023_5</v>
      </c>
      <c r="L236">
        <f>MAX(0,VLOOKUP($K236,lookups!$A$1:$B$45,2,0)-12)</f>
        <v>25</v>
      </c>
      <c r="M236" s="40">
        <f t="shared" si="518"/>
        <v>45047</v>
      </c>
      <c r="N236" s="10" t="s">
        <v>37</v>
      </c>
      <c r="O236" t="str">
        <f ca="1">IF(OR($L236&gt;O$4,O$4&gt;$L236+23),"",OFFSET(Electric!$L227,0,-'Electric Calendarize'!$L236+'Electric Calendarize'!O$4+1))</f>
        <v/>
      </c>
      <c r="P236" t="str">
        <f ca="1">IF(OR($L236&gt;P$4,P$4&gt;$L236+23),"",OFFSET(Electric!$L227,0,-'Electric Calendarize'!$L236+'Electric Calendarize'!P$4+1))</f>
        <v/>
      </c>
      <c r="Q236" t="str">
        <f ca="1">IF(OR($L236&gt;Q$4,Q$4&gt;$L236+23),"",OFFSET(Electric!$L227,0,-'Electric Calendarize'!$L236+'Electric Calendarize'!Q$4+1))</f>
        <v/>
      </c>
      <c r="R236" t="str">
        <f ca="1">IF(OR($L236&gt;R$4,R$4&gt;$L236+23),"",OFFSET(Electric!$L227,0,-'Electric Calendarize'!$L236+'Electric Calendarize'!R$4+1))</f>
        <v/>
      </c>
      <c r="S236" t="str">
        <f ca="1">IF(OR($L236&gt;S$4,S$4&gt;$L236+23),"",OFFSET(Electric!$L227,0,-'Electric Calendarize'!$L236+'Electric Calendarize'!S$4+1))</f>
        <v/>
      </c>
      <c r="T236" t="str">
        <f ca="1">IF(OR($L236&gt;T$4,T$4&gt;$L236+23),"",OFFSET(Electric!$L227,0,-'Electric Calendarize'!$L236+'Electric Calendarize'!T$4+1))</f>
        <v/>
      </c>
      <c r="U236" t="str">
        <f ca="1">IF(OR($L236&gt;U$4,U$4&gt;$L236+23),"",OFFSET(Electric!$L227,0,-'Electric Calendarize'!$L236+'Electric Calendarize'!U$4+1))</f>
        <v/>
      </c>
      <c r="V236" t="str">
        <f ca="1">IF(OR($L236&gt;V$4,V$4&gt;$L236+23),"",OFFSET(Electric!$L227,0,-'Electric Calendarize'!$L236+'Electric Calendarize'!V$4+1))</f>
        <v/>
      </c>
      <c r="W236" t="str">
        <f ca="1">IF(OR($L236&gt;W$4,W$4&gt;$L236+23),"",OFFSET(Electric!$L227,0,-'Electric Calendarize'!$L236+'Electric Calendarize'!W$4+1))</f>
        <v/>
      </c>
      <c r="X236" t="str">
        <f ca="1">IF(OR($L236&gt;X$4,X$4&gt;$L236+23),"",OFFSET(Electric!$L227,0,-'Electric Calendarize'!$L236+'Electric Calendarize'!X$4+1))</f>
        <v/>
      </c>
      <c r="Y236" t="str">
        <f ca="1">IF(OR($L236&gt;Y$4,Y$4&gt;$L236+23),"",OFFSET(Electric!$L227,0,-'Electric Calendarize'!$L236+'Electric Calendarize'!Y$4+1))</f>
        <v/>
      </c>
      <c r="Z236" t="str">
        <f ca="1">IF(OR($L236&gt;Z$4,Z$4&gt;$L236+23),"",OFFSET(Electric!$L227,0,-'Electric Calendarize'!$L236+'Electric Calendarize'!Z$4+1))</f>
        <v/>
      </c>
      <c r="AA236" t="str">
        <f ca="1">IF(OR($L236&gt;AA$4,AA$4&gt;$L236+23),"",OFFSET(Electric!$L227,0,-'Electric Calendarize'!$L236+'Electric Calendarize'!AA$4+1))</f>
        <v/>
      </c>
      <c r="AB236" t="str">
        <f ca="1">IF(OR($L236&gt;AB$4,AB$4&gt;$L236+23),"",OFFSET(Electric!$L227,0,-'Electric Calendarize'!$L236+'Electric Calendarize'!AB$4+1))</f>
        <v/>
      </c>
      <c r="AC236" t="str">
        <f ca="1">IF(OR($L236&gt;AC$4,AC$4&gt;$L236+23),"",OFFSET(Electric!$L227,0,-'Electric Calendarize'!$L236+'Electric Calendarize'!AC$4+1))</f>
        <v/>
      </c>
      <c r="AD236" t="str">
        <f ca="1">IF(OR($L236&gt;AD$4,AD$4&gt;$L236+23),"",OFFSET(Electric!$L227,0,-'Electric Calendarize'!$L236+'Electric Calendarize'!AD$4+1))</f>
        <v/>
      </c>
      <c r="AE236" t="str">
        <f ca="1">IF(OR($L236&gt;AE$4,AE$4&gt;$L236+23),"",OFFSET(Electric!$L227,0,-'Electric Calendarize'!$L236+'Electric Calendarize'!AE$4+1))</f>
        <v/>
      </c>
      <c r="AF236" t="str">
        <f ca="1">IF(OR($L236&gt;AF$4,AF$4&gt;$L236+23),"",OFFSET(Electric!$L227,0,-'Electric Calendarize'!$L236+'Electric Calendarize'!AF$4+1))</f>
        <v/>
      </c>
      <c r="AG236" t="str">
        <f ca="1">IF(OR($L236&gt;AG$4,AG$4&gt;$L236+23),"",OFFSET(Electric!$L227,0,-'Electric Calendarize'!$L236+'Electric Calendarize'!AG$4+1))</f>
        <v/>
      </c>
      <c r="AH236" t="str">
        <f ca="1">IF(OR($L236&gt;AH$4,AH$4&gt;$L236+23),"",OFFSET(Electric!$L227,0,-'Electric Calendarize'!$L236+'Electric Calendarize'!AH$4+1))</f>
        <v/>
      </c>
      <c r="AI236" t="str">
        <f ca="1">IF(OR($L236&gt;AI$4,AI$4&gt;$L236+23),"",OFFSET(Electric!$L227,0,-'Electric Calendarize'!$L236+'Electric Calendarize'!AI$4+1))</f>
        <v/>
      </c>
      <c r="AJ236" t="str">
        <f ca="1">IF(OR($L236&gt;AJ$4,AJ$4&gt;$L236+23),"",OFFSET(Electric!$L227,0,-'Electric Calendarize'!$L236+'Electric Calendarize'!AJ$4+1))</f>
        <v/>
      </c>
      <c r="AK236" t="str">
        <f ca="1">IF(OR($L236&gt;AK$4,AK$4&gt;$L236+23),"",OFFSET(Electric!$L227,0,-'Electric Calendarize'!$L236+'Electric Calendarize'!AK$4+1))</f>
        <v/>
      </c>
      <c r="AL236" t="str">
        <f ca="1">IF(OR($L236&gt;AL$4,AL$4&gt;$L236+23),"",OFFSET(Electric!$L227,0,-'Electric Calendarize'!$L236+'Electric Calendarize'!AL$4+1))</f>
        <v/>
      </c>
      <c r="AM236" t="str">
        <f ca="1">IF(OR($L236&gt;AM$4,AM$4&gt;$L236+23),"",OFFSET(Electric!$L227,0,-'Electric Calendarize'!$L236+'Electric Calendarize'!AM$4+1))</f>
        <v/>
      </c>
      <c r="AN236">
        <f ca="1">IF(OR($L236&gt;AN$4,AN$4&gt;$L236+23),"",OFFSET(Electric!$L227,0,-'Electric Calendarize'!$L236+'Electric Calendarize'!AN$4+1))</f>
        <v>234</v>
      </c>
      <c r="AO236">
        <f ca="1">IF(OR($L236&gt;AO$4,AO$4&gt;$L236+23),"",OFFSET(Electric!$L227,0,-'Electric Calendarize'!$L236+'Electric Calendarize'!AO$4+1))</f>
        <v>213</v>
      </c>
      <c r="AP236">
        <f ca="1">IF(OR($L236&gt;AP$4,AP$4&gt;$L236+23),"",OFFSET(Electric!$L227,0,-'Electric Calendarize'!$L236+'Electric Calendarize'!AP$4+1))</f>
        <v>365</v>
      </c>
      <c r="AQ236">
        <f ca="1">IF(OR($L236&gt;AQ$4,AQ$4&gt;$L236+23),"",OFFSET(Electric!$L227,0,-'Electric Calendarize'!$L236+'Electric Calendarize'!AQ$4+1))</f>
        <v>527</v>
      </c>
      <c r="AR236">
        <f ca="1">IF(OR($L236&gt;AR$4,AR$4&gt;$L236+23),"",OFFSET(Electric!$L227,0,-'Electric Calendarize'!$L236+'Electric Calendarize'!AR$4+1))</f>
        <v>290</v>
      </c>
      <c r="AS236">
        <f ca="1">IF(OR($L236&gt;AS$4,AS$4&gt;$L236+23),"",OFFSET(Electric!$L227,0,-'Electric Calendarize'!$L236+'Electric Calendarize'!AS$4+1))</f>
        <v>194</v>
      </c>
      <c r="AT236">
        <f ca="1">IF(OR($L236&gt;AT$4,AT$4&gt;$L236+23),"",OFFSET(Electric!$L227,0,-'Electric Calendarize'!$L236+'Electric Calendarize'!AT$4+1))</f>
        <v>221</v>
      </c>
      <c r="AU236">
        <f ca="1">IF(OR($L236&gt;AU$4,AU$4&gt;$L236+23),"",OFFSET(Electric!$L227,0,-'Electric Calendarize'!$L236+'Electric Calendarize'!AU$4+1))</f>
        <v>210</v>
      </c>
      <c r="AV236">
        <f ca="1">IF(OR($L236&gt;AV$4,AV$4&gt;$L236+23),"",OFFSET(Electric!$L227,0,-'Electric Calendarize'!$L236+'Electric Calendarize'!AV$4+1))</f>
        <v>230</v>
      </c>
      <c r="AW236">
        <f ca="1">IF(OR($L236&gt;AW$4,AW$4&gt;$L236+23),"",OFFSET(Electric!$L227,0,-'Electric Calendarize'!$L236+'Electric Calendarize'!AW$4+1))</f>
        <v>235</v>
      </c>
      <c r="AX236">
        <f ca="1">IF(OR($L236&gt;AX$4,AX$4&gt;$L236+23),"",OFFSET(Electric!$L227,0,-'Electric Calendarize'!$L236+'Electric Calendarize'!AX$4+1))</f>
        <v>206</v>
      </c>
      <c r="AY236">
        <f ca="1">IF(OR($L236&gt;AY$4,AY$4&gt;$L236+23),"",OFFSET(Electric!$L227,0,-'Electric Calendarize'!$L236+'Electric Calendarize'!AY$4+1))</f>
        <v>204</v>
      </c>
      <c r="AZ236">
        <f ca="1">IF(OR($L236&gt;AZ$4,AZ$4&gt;$L236+23),"",OFFSET(Electric!$L227,0,-'Electric Calendarize'!$L236+'Electric Calendarize'!AZ$4+1))</f>
        <v>222</v>
      </c>
      <c r="BA236">
        <f ca="1">IF(OR($L236&gt;BA$4,BA$4&gt;$L236+23),"",OFFSET(Electric!$L227,0,-'Electric Calendarize'!$L236+'Electric Calendarize'!BA$4+1))</f>
        <v>236</v>
      </c>
      <c r="BB236">
        <f ca="1">IF(OR($L236&gt;BB$4,BB$4&gt;$L236+23),"",OFFSET(Electric!$L227,0,-'Electric Calendarize'!$L236+'Electric Calendarize'!BB$4+1))</f>
        <v>445</v>
      </c>
      <c r="BC236">
        <f ca="1">IF(OR($L236&gt;BC$4,BC$4&gt;$L236+23),"",OFFSET(Electric!$L227,0,-'Electric Calendarize'!$L236+'Electric Calendarize'!BC$4+1))</f>
        <v>308</v>
      </c>
      <c r="BD236">
        <f ca="1">IF(OR($L236&gt;BD$4,BD$4&gt;$L236+23),"",OFFSET(Electric!$L227,0,-'Electric Calendarize'!$L236+'Electric Calendarize'!BD$4+1))</f>
        <v>265</v>
      </c>
      <c r="BE236">
        <f ca="1">IF(OR($L236&gt;BE$4,BE$4&gt;$L236+23),"",OFFSET(Electric!$L227,0,-'Electric Calendarize'!$L236+'Electric Calendarize'!BE$4+1))</f>
        <v>240</v>
      </c>
      <c r="BF236">
        <f ca="1">IF(OR($L236&gt;BF$4,BF$4&gt;$L236+23),"",OFFSET(Electric!$L227,0,-'Electric Calendarize'!$L236+'Electric Calendarize'!BF$4+1))</f>
        <v>207</v>
      </c>
      <c r="BG236">
        <f ca="1">IF(OR($L236&gt;BG$4,BG$4&gt;$L236+23),"",OFFSET(Electric!$L227,0,-'Electric Calendarize'!$L236+'Electric Calendarize'!BG$4+1))</f>
        <v>0</v>
      </c>
      <c r="BJ236" s="10" t="s">
        <v>37</v>
      </c>
      <c r="BK236">
        <f t="shared" si="519"/>
        <v>1</v>
      </c>
      <c r="BL236">
        <f t="shared" si="425"/>
        <v>0</v>
      </c>
      <c r="BM236">
        <f t="shared" si="426"/>
        <v>0</v>
      </c>
      <c r="BN236">
        <f t="shared" si="427"/>
        <v>0</v>
      </c>
      <c r="BO236">
        <f t="shared" si="428"/>
        <v>0</v>
      </c>
      <c r="BP236">
        <f t="shared" si="429"/>
        <v>0</v>
      </c>
      <c r="BQ236">
        <f t="shared" si="430"/>
        <v>0</v>
      </c>
      <c r="BR236">
        <f t="shared" si="431"/>
        <v>1</v>
      </c>
      <c r="BS236">
        <f t="shared" si="432"/>
        <v>1</v>
      </c>
      <c r="BT236">
        <f t="shared" si="433"/>
        <v>1</v>
      </c>
      <c r="BU236">
        <f t="shared" si="434"/>
        <v>1</v>
      </c>
      <c r="BV236">
        <f t="shared" si="435"/>
        <v>1</v>
      </c>
      <c r="BW236">
        <f t="shared" si="436"/>
        <v>1</v>
      </c>
      <c r="BX236">
        <f t="shared" si="437"/>
        <v>0</v>
      </c>
      <c r="BY236">
        <f t="shared" si="438"/>
        <v>0</v>
      </c>
      <c r="BZ236">
        <f t="shared" si="439"/>
        <v>0</v>
      </c>
      <c r="CA236">
        <f t="shared" si="440"/>
        <v>0</v>
      </c>
      <c r="CB236">
        <f t="shared" si="441"/>
        <v>0</v>
      </c>
      <c r="CC236">
        <f t="shared" si="442"/>
        <v>0</v>
      </c>
      <c r="CD236">
        <f t="shared" si="443"/>
        <v>1</v>
      </c>
      <c r="CE236">
        <f t="shared" si="444"/>
        <v>1</v>
      </c>
      <c r="CF236">
        <f t="shared" si="445"/>
        <v>1</v>
      </c>
      <c r="CG236">
        <f t="shared" si="446"/>
        <v>1</v>
      </c>
      <c r="CH236">
        <f t="shared" si="447"/>
        <v>1</v>
      </c>
      <c r="CI236">
        <f t="shared" si="448"/>
        <v>1</v>
      </c>
      <c r="CJ236">
        <f t="shared" si="449"/>
        <v>0</v>
      </c>
      <c r="CK236">
        <f t="shared" si="450"/>
        <v>0</v>
      </c>
      <c r="CL236">
        <f t="shared" si="451"/>
        <v>0</v>
      </c>
      <c r="CM236">
        <f t="shared" si="452"/>
        <v>0</v>
      </c>
      <c r="CN236">
        <f t="shared" si="453"/>
        <v>0</v>
      </c>
      <c r="CO236">
        <f t="shared" si="454"/>
        <v>0</v>
      </c>
      <c r="CP236">
        <f t="shared" si="455"/>
        <v>1</v>
      </c>
      <c r="CQ236">
        <f t="shared" si="456"/>
        <v>1</v>
      </c>
      <c r="CR236">
        <f t="shared" si="457"/>
        <v>1</v>
      </c>
      <c r="CS236">
        <f t="shared" si="458"/>
        <v>1</v>
      </c>
      <c r="CT236">
        <f t="shared" si="459"/>
        <v>1</v>
      </c>
      <c r="CU236">
        <f t="shared" si="460"/>
        <v>1</v>
      </c>
      <c r="CV236">
        <f t="shared" si="461"/>
        <v>0</v>
      </c>
      <c r="CW236">
        <f t="shared" si="462"/>
        <v>0</v>
      </c>
      <c r="CX236">
        <f t="shared" si="463"/>
        <v>0</v>
      </c>
      <c r="CY236">
        <f t="shared" si="464"/>
        <v>0</v>
      </c>
      <c r="CZ236">
        <f t="shared" si="465"/>
        <v>0</v>
      </c>
      <c r="DA236">
        <f t="shared" si="466"/>
        <v>0</v>
      </c>
      <c r="DB236">
        <f t="shared" si="467"/>
        <v>1</v>
      </c>
      <c r="DC236">
        <f t="shared" si="468"/>
        <v>1</v>
      </c>
      <c r="DF236" s="10" t="s">
        <v>37</v>
      </c>
      <c r="DG236" t="str">
        <f t="shared" ref="DG236:DV251" si="528">$K236</f>
        <v>2023_5</v>
      </c>
      <c r="DH236" t="str">
        <f t="shared" si="528"/>
        <v>2023_5</v>
      </c>
      <c r="DI236" t="str">
        <f t="shared" si="528"/>
        <v>2023_5</v>
      </c>
      <c r="DJ236" t="str">
        <f t="shared" si="528"/>
        <v>2023_5</v>
      </c>
      <c r="DK236" t="str">
        <f t="shared" si="528"/>
        <v>2023_5</v>
      </c>
      <c r="DL236" t="str">
        <f t="shared" si="528"/>
        <v>2023_5</v>
      </c>
      <c r="DM236" t="str">
        <f t="shared" si="528"/>
        <v>2023_5</v>
      </c>
      <c r="DN236" t="str">
        <f t="shared" si="528"/>
        <v>2023_5</v>
      </c>
      <c r="DO236" t="str">
        <f t="shared" si="528"/>
        <v>2023_5</v>
      </c>
      <c r="DP236" t="str">
        <f t="shared" si="528"/>
        <v>2023_5</v>
      </c>
      <c r="DQ236" t="str">
        <f t="shared" si="528"/>
        <v>2023_5</v>
      </c>
      <c r="DR236" t="str">
        <f t="shared" si="528"/>
        <v>2023_5</v>
      </c>
      <c r="DS236" t="str">
        <f t="shared" si="528"/>
        <v>2023_5</v>
      </c>
      <c r="DT236" t="str">
        <f t="shared" si="528"/>
        <v>2023_5</v>
      </c>
      <c r="DU236" t="str">
        <f t="shared" si="528"/>
        <v>2023_5</v>
      </c>
      <c r="DV236" t="str">
        <f t="shared" si="526"/>
        <v>2023_5</v>
      </c>
      <c r="DW236" t="str">
        <f t="shared" si="526"/>
        <v>2023_5</v>
      </c>
      <c r="DX236" t="str">
        <f t="shared" si="526"/>
        <v>2023_5</v>
      </c>
      <c r="DY236" t="str">
        <f t="shared" si="526"/>
        <v>2023_5</v>
      </c>
      <c r="DZ236" t="str">
        <f t="shared" si="526"/>
        <v>2023_5</v>
      </c>
      <c r="EA236" t="str">
        <f t="shared" si="526"/>
        <v>2023_5</v>
      </c>
      <c r="EB236" t="str">
        <f t="shared" si="526"/>
        <v>2023_5</v>
      </c>
      <c r="EC236" t="str">
        <f t="shared" si="526"/>
        <v>2023_5</v>
      </c>
      <c r="ED236" t="str">
        <f t="shared" si="526"/>
        <v>2023_5</v>
      </c>
      <c r="EE236" t="str">
        <f t="shared" si="526"/>
        <v>2023_5</v>
      </c>
      <c r="EF236" t="str">
        <f t="shared" si="526"/>
        <v>2023_5</v>
      </c>
      <c r="EG236" t="str">
        <f t="shared" si="526"/>
        <v>2023_5</v>
      </c>
      <c r="EH236" t="str">
        <f t="shared" si="526"/>
        <v>2023_5</v>
      </c>
      <c r="EI236" t="str">
        <f t="shared" si="526"/>
        <v>2023_5</v>
      </c>
      <c r="EJ236" t="str">
        <f t="shared" si="526"/>
        <v>2023_5</v>
      </c>
      <c r="EK236" t="str">
        <f t="shared" si="526"/>
        <v>2023_5</v>
      </c>
      <c r="EL236" t="str">
        <f t="shared" si="527"/>
        <v>2023_5</v>
      </c>
      <c r="EM236" t="str">
        <f t="shared" si="525"/>
        <v>2023_5</v>
      </c>
      <c r="EN236" t="str">
        <f t="shared" si="525"/>
        <v>2023_5</v>
      </c>
      <c r="EO236" t="str">
        <f t="shared" si="525"/>
        <v>2023_5</v>
      </c>
      <c r="EP236" t="str">
        <f t="shared" si="525"/>
        <v>2023_5</v>
      </c>
      <c r="EQ236" t="str">
        <f t="shared" si="525"/>
        <v>2023_5</v>
      </c>
      <c r="ER236" t="str">
        <f t="shared" si="525"/>
        <v>2023_5</v>
      </c>
      <c r="ES236" t="str">
        <f t="shared" si="525"/>
        <v>2023_5</v>
      </c>
      <c r="ET236" t="str">
        <f t="shared" si="525"/>
        <v>2023_5</v>
      </c>
      <c r="EU236" t="str">
        <f t="shared" si="525"/>
        <v>2023_5</v>
      </c>
      <c r="EV236" t="str">
        <f t="shared" si="525"/>
        <v>2023_5</v>
      </c>
      <c r="EW236" t="str">
        <f t="shared" si="525"/>
        <v>2023_5</v>
      </c>
      <c r="EX236" t="str">
        <f t="shared" si="525"/>
        <v>2023_5</v>
      </c>
      <c r="EY236" t="str">
        <f t="shared" si="525"/>
        <v>2023_5</v>
      </c>
      <c r="FB236" s="10" t="s">
        <v>37</v>
      </c>
      <c r="FC236">
        <f t="shared" si="521"/>
        <v>0</v>
      </c>
      <c r="FD236">
        <f t="shared" si="471"/>
        <v>0</v>
      </c>
      <c r="FE236">
        <f t="shared" si="472"/>
        <v>0</v>
      </c>
      <c r="FF236">
        <f t="shared" si="473"/>
        <v>0</v>
      </c>
      <c r="FG236">
        <f t="shared" si="474"/>
        <v>0</v>
      </c>
      <c r="FH236">
        <f t="shared" si="475"/>
        <v>0</v>
      </c>
      <c r="FI236">
        <f t="shared" si="476"/>
        <v>0</v>
      </c>
      <c r="FJ236">
        <f t="shared" si="477"/>
        <v>0</v>
      </c>
      <c r="FK236">
        <f t="shared" si="478"/>
        <v>0</v>
      </c>
      <c r="FL236">
        <f t="shared" si="479"/>
        <v>0</v>
      </c>
      <c r="FM236">
        <f t="shared" si="480"/>
        <v>0</v>
      </c>
      <c r="FN236">
        <f t="shared" si="481"/>
        <v>0</v>
      </c>
      <c r="FO236">
        <f t="shared" si="482"/>
        <v>0</v>
      </c>
      <c r="FP236">
        <f t="shared" si="483"/>
        <v>0</v>
      </c>
      <c r="FQ236">
        <f t="shared" si="484"/>
        <v>0</v>
      </c>
      <c r="FR236">
        <f t="shared" si="485"/>
        <v>0</v>
      </c>
      <c r="FS236">
        <f t="shared" si="486"/>
        <v>0</v>
      </c>
      <c r="FT236">
        <f t="shared" si="487"/>
        <v>0</v>
      </c>
      <c r="FU236">
        <f t="shared" si="488"/>
        <v>0</v>
      </c>
      <c r="FV236">
        <f t="shared" si="489"/>
        <v>0</v>
      </c>
      <c r="FW236">
        <f t="shared" si="490"/>
        <v>0</v>
      </c>
      <c r="FX236">
        <f t="shared" si="491"/>
        <v>0</v>
      </c>
      <c r="FY236">
        <f t="shared" si="492"/>
        <v>0</v>
      </c>
      <c r="FZ236">
        <f t="shared" si="493"/>
        <v>0</v>
      </c>
      <c r="GA236">
        <f t="shared" si="494"/>
        <v>0</v>
      </c>
      <c r="GB236">
        <f t="shared" si="495"/>
        <v>0</v>
      </c>
      <c r="GC236">
        <f t="shared" si="496"/>
        <v>0</v>
      </c>
      <c r="GD236">
        <f t="shared" si="497"/>
        <v>0</v>
      </c>
      <c r="GE236">
        <f t="shared" si="498"/>
        <v>0</v>
      </c>
      <c r="GF236">
        <f t="shared" si="499"/>
        <v>0</v>
      </c>
      <c r="GG236">
        <f t="shared" si="500"/>
        <v>0</v>
      </c>
      <c r="GH236">
        <f t="shared" si="501"/>
        <v>0</v>
      </c>
      <c r="GI236">
        <f t="shared" si="502"/>
        <v>0</v>
      </c>
      <c r="GJ236">
        <f t="shared" si="503"/>
        <v>0</v>
      </c>
      <c r="GK236">
        <f t="shared" si="504"/>
        <v>0</v>
      </c>
      <c r="GL236">
        <f t="shared" si="505"/>
        <v>0</v>
      </c>
      <c r="GM236">
        <f t="shared" si="506"/>
        <v>0</v>
      </c>
      <c r="GN236">
        <f t="shared" si="507"/>
        <v>1</v>
      </c>
      <c r="GO236">
        <f t="shared" si="508"/>
        <v>1</v>
      </c>
      <c r="GP236">
        <f t="shared" si="509"/>
        <v>1</v>
      </c>
      <c r="GQ236">
        <f t="shared" si="510"/>
        <v>1</v>
      </c>
      <c r="GR236">
        <f t="shared" si="511"/>
        <v>1</v>
      </c>
      <c r="GS236">
        <f t="shared" si="512"/>
        <v>1</v>
      </c>
      <c r="GT236">
        <f t="shared" si="513"/>
        <v>1</v>
      </c>
      <c r="GU236">
        <f t="shared" si="514"/>
        <v>1</v>
      </c>
      <c r="GX236" s="10"/>
    </row>
    <row r="237" spans="1:206" x14ac:dyDescent="0.3">
      <c r="A237" s="37" t="s">
        <v>33</v>
      </c>
      <c r="B237" s="86"/>
      <c r="C237" s="37">
        <v>3131020003</v>
      </c>
      <c r="D237" s="37" t="s">
        <v>496</v>
      </c>
      <c r="E237" s="37" t="s">
        <v>39</v>
      </c>
      <c r="F237" s="37" t="s">
        <v>35</v>
      </c>
      <c r="G237" s="37" t="s">
        <v>253</v>
      </c>
      <c r="H237" s="10">
        <v>45049</v>
      </c>
      <c r="I237" s="9">
        <f t="shared" si="515"/>
        <v>2023</v>
      </c>
      <c r="J237" s="9">
        <f t="shared" si="516"/>
        <v>5</v>
      </c>
      <c r="K237" s="9" t="str">
        <f t="shared" si="517"/>
        <v>2023_5</v>
      </c>
      <c r="L237">
        <f>MAX(0,VLOOKUP($K237,lookups!$A$1:$B$45,2,0)-12)</f>
        <v>25</v>
      </c>
      <c r="M237" s="40">
        <f t="shared" si="518"/>
        <v>45047</v>
      </c>
      <c r="N237" s="10" t="s">
        <v>37</v>
      </c>
      <c r="O237" t="str">
        <f ca="1">IF(OR($L237&gt;O$4,O$4&gt;$L237+23),"",OFFSET(Electric!$L228,0,-'Electric Calendarize'!$L237+'Electric Calendarize'!O$4+1))</f>
        <v/>
      </c>
      <c r="P237" t="str">
        <f ca="1">IF(OR($L237&gt;P$4,P$4&gt;$L237+23),"",OFFSET(Electric!$L228,0,-'Electric Calendarize'!$L237+'Electric Calendarize'!P$4+1))</f>
        <v/>
      </c>
      <c r="Q237" t="str">
        <f ca="1">IF(OR($L237&gt;Q$4,Q$4&gt;$L237+23),"",OFFSET(Electric!$L228,0,-'Electric Calendarize'!$L237+'Electric Calendarize'!Q$4+1))</f>
        <v/>
      </c>
      <c r="R237" t="str">
        <f ca="1">IF(OR($L237&gt;R$4,R$4&gt;$L237+23),"",OFFSET(Electric!$L228,0,-'Electric Calendarize'!$L237+'Electric Calendarize'!R$4+1))</f>
        <v/>
      </c>
      <c r="S237" t="str">
        <f ca="1">IF(OR($L237&gt;S$4,S$4&gt;$L237+23),"",OFFSET(Electric!$L228,0,-'Electric Calendarize'!$L237+'Electric Calendarize'!S$4+1))</f>
        <v/>
      </c>
      <c r="T237" t="str">
        <f ca="1">IF(OR($L237&gt;T$4,T$4&gt;$L237+23),"",OFFSET(Electric!$L228,0,-'Electric Calendarize'!$L237+'Electric Calendarize'!T$4+1))</f>
        <v/>
      </c>
      <c r="U237" t="str">
        <f ca="1">IF(OR($L237&gt;U$4,U$4&gt;$L237+23),"",OFFSET(Electric!$L228,0,-'Electric Calendarize'!$L237+'Electric Calendarize'!U$4+1))</f>
        <v/>
      </c>
      <c r="V237" t="str">
        <f ca="1">IF(OR($L237&gt;V$4,V$4&gt;$L237+23),"",OFFSET(Electric!$L228,0,-'Electric Calendarize'!$L237+'Electric Calendarize'!V$4+1))</f>
        <v/>
      </c>
      <c r="W237" t="str">
        <f ca="1">IF(OR($L237&gt;W$4,W$4&gt;$L237+23),"",OFFSET(Electric!$L228,0,-'Electric Calendarize'!$L237+'Electric Calendarize'!W$4+1))</f>
        <v/>
      </c>
      <c r="X237" t="str">
        <f ca="1">IF(OR($L237&gt;X$4,X$4&gt;$L237+23),"",OFFSET(Electric!$L228,0,-'Electric Calendarize'!$L237+'Electric Calendarize'!X$4+1))</f>
        <v/>
      </c>
      <c r="Y237" t="str">
        <f ca="1">IF(OR($L237&gt;Y$4,Y$4&gt;$L237+23),"",OFFSET(Electric!$L228,0,-'Electric Calendarize'!$L237+'Electric Calendarize'!Y$4+1))</f>
        <v/>
      </c>
      <c r="Z237" t="str">
        <f ca="1">IF(OR($L237&gt;Z$4,Z$4&gt;$L237+23),"",OFFSET(Electric!$L228,0,-'Electric Calendarize'!$L237+'Electric Calendarize'!Z$4+1))</f>
        <v/>
      </c>
      <c r="AA237" t="str">
        <f ca="1">IF(OR($L237&gt;AA$4,AA$4&gt;$L237+23),"",OFFSET(Electric!$L228,0,-'Electric Calendarize'!$L237+'Electric Calendarize'!AA$4+1))</f>
        <v/>
      </c>
      <c r="AB237" t="str">
        <f ca="1">IF(OR($L237&gt;AB$4,AB$4&gt;$L237+23),"",OFFSET(Electric!$L228,0,-'Electric Calendarize'!$L237+'Electric Calendarize'!AB$4+1))</f>
        <v/>
      </c>
      <c r="AC237" t="str">
        <f ca="1">IF(OR($L237&gt;AC$4,AC$4&gt;$L237+23),"",OFFSET(Electric!$L228,0,-'Electric Calendarize'!$L237+'Electric Calendarize'!AC$4+1))</f>
        <v/>
      </c>
      <c r="AD237" t="str">
        <f ca="1">IF(OR($L237&gt;AD$4,AD$4&gt;$L237+23),"",OFFSET(Electric!$L228,0,-'Electric Calendarize'!$L237+'Electric Calendarize'!AD$4+1))</f>
        <v/>
      </c>
      <c r="AE237" t="str">
        <f ca="1">IF(OR($L237&gt;AE$4,AE$4&gt;$L237+23),"",OFFSET(Electric!$L228,0,-'Electric Calendarize'!$L237+'Electric Calendarize'!AE$4+1))</f>
        <v/>
      </c>
      <c r="AF237" t="str">
        <f ca="1">IF(OR($L237&gt;AF$4,AF$4&gt;$L237+23),"",OFFSET(Electric!$L228,0,-'Electric Calendarize'!$L237+'Electric Calendarize'!AF$4+1))</f>
        <v/>
      </c>
      <c r="AG237" t="str">
        <f ca="1">IF(OR($L237&gt;AG$4,AG$4&gt;$L237+23),"",OFFSET(Electric!$L228,0,-'Electric Calendarize'!$L237+'Electric Calendarize'!AG$4+1))</f>
        <v/>
      </c>
      <c r="AH237" t="str">
        <f ca="1">IF(OR($L237&gt;AH$4,AH$4&gt;$L237+23),"",OFFSET(Electric!$L228,0,-'Electric Calendarize'!$L237+'Electric Calendarize'!AH$4+1))</f>
        <v/>
      </c>
      <c r="AI237" t="str">
        <f ca="1">IF(OR($L237&gt;AI$4,AI$4&gt;$L237+23),"",OFFSET(Electric!$L228,0,-'Electric Calendarize'!$L237+'Electric Calendarize'!AI$4+1))</f>
        <v/>
      </c>
      <c r="AJ237" t="str">
        <f ca="1">IF(OR($L237&gt;AJ$4,AJ$4&gt;$L237+23),"",OFFSET(Electric!$L228,0,-'Electric Calendarize'!$L237+'Electric Calendarize'!AJ$4+1))</f>
        <v/>
      </c>
      <c r="AK237" t="str">
        <f ca="1">IF(OR($L237&gt;AK$4,AK$4&gt;$L237+23),"",OFFSET(Electric!$L228,0,-'Electric Calendarize'!$L237+'Electric Calendarize'!AK$4+1))</f>
        <v/>
      </c>
      <c r="AL237" t="str">
        <f ca="1">IF(OR($L237&gt;AL$4,AL$4&gt;$L237+23),"",OFFSET(Electric!$L228,0,-'Electric Calendarize'!$L237+'Electric Calendarize'!AL$4+1))</f>
        <v/>
      </c>
      <c r="AM237" t="str">
        <f ca="1">IF(OR($L237&gt;AM$4,AM$4&gt;$L237+23),"",OFFSET(Electric!$L228,0,-'Electric Calendarize'!$L237+'Electric Calendarize'!AM$4+1))</f>
        <v/>
      </c>
      <c r="AN237">
        <f ca="1">IF(OR($L237&gt;AN$4,AN$4&gt;$L237+23),"",OFFSET(Electric!$L228,0,-'Electric Calendarize'!$L237+'Electric Calendarize'!AN$4+1))</f>
        <v>484</v>
      </c>
      <c r="AO237">
        <f ca="1">IF(OR($L237&gt;AO$4,AO$4&gt;$L237+23),"",OFFSET(Electric!$L228,0,-'Electric Calendarize'!$L237+'Electric Calendarize'!AO$4+1))</f>
        <v>456</v>
      </c>
      <c r="AP237">
        <f ca="1">IF(OR($L237&gt;AP$4,AP$4&gt;$L237+23),"",OFFSET(Electric!$L228,0,-'Electric Calendarize'!$L237+'Electric Calendarize'!AP$4+1))</f>
        <v>578</v>
      </c>
      <c r="AQ237">
        <f ca="1">IF(OR($L237&gt;AQ$4,AQ$4&gt;$L237+23),"",OFFSET(Electric!$L228,0,-'Electric Calendarize'!$L237+'Electric Calendarize'!AQ$4+1))</f>
        <v>548</v>
      </c>
      <c r="AR237">
        <f ca="1">IF(OR($L237&gt;AR$4,AR$4&gt;$L237+23),"",OFFSET(Electric!$L228,0,-'Electric Calendarize'!$L237+'Electric Calendarize'!AR$4+1))</f>
        <v>464</v>
      </c>
      <c r="AS237">
        <f ca="1">IF(OR($L237&gt;AS$4,AS$4&gt;$L237+23),"",OFFSET(Electric!$L228,0,-'Electric Calendarize'!$L237+'Electric Calendarize'!AS$4+1))</f>
        <v>517</v>
      </c>
      <c r="AT237">
        <f ca="1">IF(OR($L237&gt;AT$4,AT$4&gt;$L237+23),"",OFFSET(Electric!$L228,0,-'Electric Calendarize'!$L237+'Electric Calendarize'!AT$4+1))</f>
        <v>472</v>
      </c>
      <c r="AU237">
        <f ca="1">IF(OR($L237&gt;AU$4,AU$4&gt;$L237+23),"",OFFSET(Electric!$L228,0,-'Electric Calendarize'!$L237+'Electric Calendarize'!AU$4+1))</f>
        <v>471</v>
      </c>
      <c r="AV237">
        <f ca="1">IF(OR($L237&gt;AV$4,AV$4&gt;$L237+23),"",OFFSET(Electric!$L228,0,-'Electric Calendarize'!$L237+'Electric Calendarize'!AV$4+1))</f>
        <v>506</v>
      </c>
      <c r="AW237">
        <f ca="1">IF(OR($L237&gt;AW$4,AW$4&gt;$L237+23),"",OFFSET(Electric!$L228,0,-'Electric Calendarize'!$L237+'Electric Calendarize'!AW$4+1))</f>
        <v>444</v>
      </c>
      <c r="AX237">
        <f ca="1">IF(OR($L237&gt;AX$4,AX$4&gt;$L237+23),"",OFFSET(Electric!$L228,0,-'Electric Calendarize'!$L237+'Electric Calendarize'!AX$4+1))</f>
        <v>441</v>
      </c>
      <c r="AY237">
        <f ca="1">IF(OR($L237&gt;AY$4,AY$4&gt;$L237+23),"",OFFSET(Electric!$L228,0,-'Electric Calendarize'!$L237+'Electric Calendarize'!AY$4+1))</f>
        <v>492</v>
      </c>
      <c r="AZ237">
        <f ca="1">IF(OR($L237&gt;AZ$4,AZ$4&gt;$L237+23),"",OFFSET(Electric!$L228,0,-'Electric Calendarize'!$L237+'Electric Calendarize'!AZ$4+1))</f>
        <v>544</v>
      </c>
      <c r="BA237">
        <f ca="1">IF(OR($L237&gt;BA$4,BA$4&gt;$L237+23),"",OFFSET(Electric!$L228,0,-'Electric Calendarize'!$L237+'Electric Calendarize'!BA$4+1))</f>
        <v>466</v>
      </c>
      <c r="BB237">
        <f ca="1">IF(OR($L237&gt;BB$4,BB$4&gt;$L237+23),"",OFFSET(Electric!$L228,0,-'Electric Calendarize'!$L237+'Electric Calendarize'!BB$4+1))</f>
        <v>914</v>
      </c>
      <c r="BC237">
        <f ca="1">IF(OR($L237&gt;BC$4,BC$4&gt;$L237+23),"",OFFSET(Electric!$L228,0,-'Electric Calendarize'!$L237+'Electric Calendarize'!BC$4+1))</f>
        <v>611</v>
      </c>
      <c r="BD237">
        <f ca="1">IF(OR($L237&gt;BD$4,BD$4&gt;$L237+23),"",OFFSET(Electric!$L228,0,-'Electric Calendarize'!$L237+'Electric Calendarize'!BD$4+1))</f>
        <v>481</v>
      </c>
      <c r="BE237">
        <f ca="1">IF(OR($L237&gt;BE$4,BE$4&gt;$L237+23),"",OFFSET(Electric!$L228,0,-'Electric Calendarize'!$L237+'Electric Calendarize'!BE$4+1))</f>
        <v>590</v>
      </c>
      <c r="BF237">
        <f ca="1">IF(OR($L237&gt;BF$4,BF$4&gt;$L237+23),"",OFFSET(Electric!$L228,0,-'Electric Calendarize'!$L237+'Electric Calendarize'!BF$4+1))</f>
        <v>720</v>
      </c>
      <c r="BG237">
        <f ca="1">IF(OR($L237&gt;BG$4,BG$4&gt;$L237+23),"",OFFSET(Electric!$L228,0,-'Electric Calendarize'!$L237+'Electric Calendarize'!BG$4+1))</f>
        <v>0</v>
      </c>
      <c r="BJ237" s="10" t="s">
        <v>37</v>
      </c>
      <c r="BK237">
        <f t="shared" si="519"/>
        <v>1</v>
      </c>
      <c r="BL237">
        <f t="shared" si="425"/>
        <v>0</v>
      </c>
      <c r="BM237">
        <f t="shared" si="426"/>
        <v>0</v>
      </c>
      <c r="BN237">
        <f t="shared" si="427"/>
        <v>0</v>
      </c>
      <c r="BO237">
        <f t="shared" si="428"/>
        <v>0</v>
      </c>
      <c r="BP237">
        <f t="shared" si="429"/>
        <v>0</v>
      </c>
      <c r="BQ237">
        <f t="shared" si="430"/>
        <v>0</v>
      </c>
      <c r="BR237">
        <f t="shared" si="431"/>
        <v>1</v>
      </c>
      <c r="BS237">
        <f t="shared" si="432"/>
        <v>1</v>
      </c>
      <c r="BT237">
        <f t="shared" si="433"/>
        <v>1</v>
      </c>
      <c r="BU237">
        <f t="shared" si="434"/>
        <v>1</v>
      </c>
      <c r="BV237">
        <f t="shared" si="435"/>
        <v>1</v>
      </c>
      <c r="BW237">
        <f t="shared" si="436"/>
        <v>1</v>
      </c>
      <c r="BX237">
        <f t="shared" si="437"/>
        <v>0</v>
      </c>
      <c r="BY237">
        <f t="shared" si="438"/>
        <v>0</v>
      </c>
      <c r="BZ237">
        <f t="shared" si="439"/>
        <v>0</v>
      </c>
      <c r="CA237">
        <f t="shared" si="440"/>
        <v>0</v>
      </c>
      <c r="CB237">
        <f t="shared" si="441"/>
        <v>0</v>
      </c>
      <c r="CC237">
        <f t="shared" si="442"/>
        <v>0</v>
      </c>
      <c r="CD237">
        <f t="shared" si="443"/>
        <v>1</v>
      </c>
      <c r="CE237">
        <f t="shared" si="444"/>
        <v>1</v>
      </c>
      <c r="CF237">
        <f t="shared" si="445"/>
        <v>1</v>
      </c>
      <c r="CG237">
        <f t="shared" si="446"/>
        <v>1</v>
      </c>
      <c r="CH237">
        <f t="shared" si="447"/>
        <v>1</v>
      </c>
      <c r="CI237">
        <f t="shared" si="448"/>
        <v>1</v>
      </c>
      <c r="CJ237">
        <f t="shared" si="449"/>
        <v>0</v>
      </c>
      <c r="CK237">
        <f t="shared" si="450"/>
        <v>0</v>
      </c>
      <c r="CL237">
        <f t="shared" si="451"/>
        <v>0</v>
      </c>
      <c r="CM237">
        <f t="shared" si="452"/>
        <v>0</v>
      </c>
      <c r="CN237">
        <f t="shared" si="453"/>
        <v>0</v>
      </c>
      <c r="CO237">
        <f t="shared" si="454"/>
        <v>0</v>
      </c>
      <c r="CP237">
        <f t="shared" si="455"/>
        <v>1</v>
      </c>
      <c r="CQ237">
        <f t="shared" si="456"/>
        <v>1</v>
      </c>
      <c r="CR237">
        <f t="shared" si="457"/>
        <v>1</v>
      </c>
      <c r="CS237">
        <f t="shared" si="458"/>
        <v>1</v>
      </c>
      <c r="CT237">
        <f t="shared" si="459"/>
        <v>1</v>
      </c>
      <c r="CU237">
        <f t="shared" si="460"/>
        <v>1</v>
      </c>
      <c r="CV237">
        <f t="shared" si="461"/>
        <v>0</v>
      </c>
      <c r="CW237">
        <f t="shared" si="462"/>
        <v>0</v>
      </c>
      <c r="CX237">
        <f t="shared" si="463"/>
        <v>0</v>
      </c>
      <c r="CY237">
        <f t="shared" si="464"/>
        <v>0</v>
      </c>
      <c r="CZ237">
        <f t="shared" si="465"/>
        <v>0</v>
      </c>
      <c r="DA237">
        <f t="shared" si="466"/>
        <v>0</v>
      </c>
      <c r="DB237">
        <f t="shared" si="467"/>
        <v>1</v>
      </c>
      <c r="DC237">
        <f t="shared" si="468"/>
        <v>1</v>
      </c>
      <c r="DF237" s="10" t="s">
        <v>37</v>
      </c>
      <c r="DG237" t="str">
        <f t="shared" si="528"/>
        <v>2023_5</v>
      </c>
      <c r="DH237" t="str">
        <f t="shared" si="528"/>
        <v>2023_5</v>
      </c>
      <c r="DI237" t="str">
        <f t="shared" si="528"/>
        <v>2023_5</v>
      </c>
      <c r="DJ237" t="str">
        <f t="shared" si="528"/>
        <v>2023_5</v>
      </c>
      <c r="DK237" t="str">
        <f t="shared" si="528"/>
        <v>2023_5</v>
      </c>
      <c r="DL237" t="str">
        <f t="shared" si="528"/>
        <v>2023_5</v>
      </c>
      <c r="DM237" t="str">
        <f t="shared" si="528"/>
        <v>2023_5</v>
      </c>
      <c r="DN237" t="str">
        <f t="shared" si="528"/>
        <v>2023_5</v>
      </c>
      <c r="DO237" t="str">
        <f t="shared" si="528"/>
        <v>2023_5</v>
      </c>
      <c r="DP237" t="str">
        <f t="shared" si="528"/>
        <v>2023_5</v>
      </c>
      <c r="DQ237" t="str">
        <f t="shared" si="528"/>
        <v>2023_5</v>
      </c>
      <c r="DR237" t="str">
        <f t="shared" si="528"/>
        <v>2023_5</v>
      </c>
      <c r="DS237" t="str">
        <f t="shared" si="528"/>
        <v>2023_5</v>
      </c>
      <c r="DT237" t="str">
        <f t="shared" si="528"/>
        <v>2023_5</v>
      </c>
      <c r="DU237" t="str">
        <f t="shared" si="528"/>
        <v>2023_5</v>
      </c>
      <c r="DV237" t="str">
        <f t="shared" si="526"/>
        <v>2023_5</v>
      </c>
      <c r="DW237" t="str">
        <f t="shared" si="526"/>
        <v>2023_5</v>
      </c>
      <c r="DX237" t="str">
        <f t="shared" si="526"/>
        <v>2023_5</v>
      </c>
      <c r="DY237" t="str">
        <f t="shared" si="526"/>
        <v>2023_5</v>
      </c>
      <c r="DZ237" t="str">
        <f t="shared" si="526"/>
        <v>2023_5</v>
      </c>
      <c r="EA237" t="str">
        <f t="shared" si="526"/>
        <v>2023_5</v>
      </c>
      <c r="EB237" t="str">
        <f t="shared" si="526"/>
        <v>2023_5</v>
      </c>
      <c r="EC237" t="str">
        <f t="shared" si="526"/>
        <v>2023_5</v>
      </c>
      <c r="ED237" t="str">
        <f t="shared" si="526"/>
        <v>2023_5</v>
      </c>
      <c r="EE237" t="str">
        <f t="shared" si="526"/>
        <v>2023_5</v>
      </c>
      <c r="EF237" t="str">
        <f t="shared" si="526"/>
        <v>2023_5</v>
      </c>
      <c r="EG237" t="str">
        <f t="shared" si="526"/>
        <v>2023_5</v>
      </c>
      <c r="EH237" t="str">
        <f t="shared" si="526"/>
        <v>2023_5</v>
      </c>
      <c r="EI237" t="str">
        <f t="shared" si="526"/>
        <v>2023_5</v>
      </c>
      <c r="EJ237" t="str">
        <f t="shared" si="526"/>
        <v>2023_5</v>
      </c>
      <c r="EK237" t="str">
        <f t="shared" si="526"/>
        <v>2023_5</v>
      </c>
      <c r="EL237" t="str">
        <f t="shared" si="527"/>
        <v>2023_5</v>
      </c>
      <c r="EM237" t="str">
        <f t="shared" si="525"/>
        <v>2023_5</v>
      </c>
      <c r="EN237" t="str">
        <f t="shared" si="525"/>
        <v>2023_5</v>
      </c>
      <c r="EO237" t="str">
        <f t="shared" si="525"/>
        <v>2023_5</v>
      </c>
      <c r="EP237" t="str">
        <f t="shared" si="525"/>
        <v>2023_5</v>
      </c>
      <c r="EQ237" t="str">
        <f t="shared" si="525"/>
        <v>2023_5</v>
      </c>
      <c r="ER237" t="str">
        <f t="shared" si="525"/>
        <v>2023_5</v>
      </c>
      <c r="ES237" t="str">
        <f t="shared" si="525"/>
        <v>2023_5</v>
      </c>
      <c r="ET237" t="str">
        <f t="shared" si="525"/>
        <v>2023_5</v>
      </c>
      <c r="EU237" t="str">
        <f t="shared" si="525"/>
        <v>2023_5</v>
      </c>
      <c r="EV237" t="str">
        <f t="shared" si="525"/>
        <v>2023_5</v>
      </c>
      <c r="EW237" t="str">
        <f t="shared" si="525"/>
        <v>2023_5</v>
      </c>
      <c r="EX237" t="str">
        <f t="shared" si="525"/>
        <v>2023_5</v>
      </c>
      <c r="EY237" t="str">
        <f t="shared" si="525"/>
        <v>2023_5</v>
      </c>
      <c r="FB237" s="10" t="s">
        <v>37</v>
      </c>
      <c r="FC237">
        <f t="shared" si="521"/>
        <v>0</v>
      </c>
      <c r="FD237">
        <f t="shared" si="471"/>
        <v>0</v>
      </c>
      <c r="FE237">
        <f t="shared" si="472"/>
        <v>0</v>
      </c>
      <c r="FF237">
        <f t="shared" si="473"/>
        <v>0</v>
      </c>
      <c r="FG237">
        <f t="shared" si="474"/>
        <v>0</v>
      </c>
      <c r="FH237">
        <f t="shared" si="475"/>
        <v>0</v>
      </c>
      <c r="FI237">
        <f t="shared" si="476"/>
        <v>0</v>
      </c>
      <c r="FJ237">
        <f t="shared" si="477"/>
        <v>0</v>
      </c>
      <c r="FK237">
        <f t="shared" si="478"/>
        <v>0</v>
      </c>
      <c r="FL237">
        <f t="shared" si="479"/>
        <v>0</v>
      </c>
      <c r="FM237">
        <f t="shared" si="480"/>
        <v>0</v>
      </c>
      <c r="FN237">
        <f t="shared" si="481"/>
        <v>0</v>
      </c>
      <c r="FO237">
        <f t="shared" si="482"/>
        <v>0</v>
      </c>
      <c r="FP237">
        <f t="shared" si="483"/>
        <v>0</v>
      </c>
      <c r="FQ237">
        <f t="shared" si="484"/>
        <v>0</v>
      </c>
      <c r="FR237">
        <f t="shared" si="485"/>
        <v>0</v>
      </c>
      <c r="FS237">
        <f t="shared" si="486"/>
        <v>0</v>
      </c>
      <c r="FT237">
        <f t="shared" si="487"/>
        <v>0</v>
      </c>
      <c r="FU237">
        <f t="shared" si="488"/>
        <v>0</v>
      </c>
      <c r="FV237">
        <f t="shared" si="489"/>
        <v>0</v>
      </c>
      <c r="FW237">
        <f t="shared" si="490"/>
        <v>0</v>
      </c>
      <c r="FX237">
        <f t="shared" si="491"/>
        <v>0</v>
      </c>
      <c r="FY237">
        <f t="shared" si="492"/>
        <v>0</v>
      </c>
      <c r="FZ237">
        <f t="shared" si="493"/>
        <v>0</v>
      </c>
      <c r="GA237">
        <f t="shared" si="494"/>
        <v>0</v>
      </c>
      <c r="GB237">
        <f t="shared" si="495"/>
        <v>0</v>
      </c>
      <c r="GC237">
        <f t="shared" si="496"/>
        <v>0</v>
      </c>
      <c r="GD237">
        <f t="shared" si="497"/>
        <v>0</v>
      </c>
      <c r="GE237">
        <f t="shared" si="498"/>
        <v>0</v>
      </c>
      <c r="GF237">
        <f t="shared" si="499"/>
        <v>0</v>
      </c>
      <c r="GG237">
        <f t="shared" si="500"/>
        <v>0</v>
      </c>
      <c r="GH237">
        <f t="shared" si="501"/>
        <v>0</v>
      </c>
      <c r="GI237">
        <f t="shared" si="502"/>
        <v>0</v>
      </c>
      <c r="GJ237">
        <f t="shared" si="503"/>
        <v>0</v>
      </c>
      <c r="GK237">
        <f t="shared" si="504"/>
        <v>0</v>
      </c>
      <c r="GL237">
        <f t="shared" si="505"/>
        <v>0</v>
      </c>
      <c r="GM237">
        <f t="shared" si="506"/>
        <v>0</v>
      </c>
      <c r="GN237">
        <f t="shared" si="507"/>
        <v>1</v>
      </c>
      <c r="GO237">
        <f t="shared" si="508"/>
        <v>1</v>
      </c>
      <c r="GP237">
        <f t="shared" si="509"/>
        <v>1</v>
      </c>
      <c r="GQ237">
        <f t="shared" si="510"/>
        <v>1</v>
      </c>
      <c r="GR237">
        <f t="shared" si="511"/>
        <v>1</v>
      </c>
      <c r="GS237">
        <f t="shared" si="512"/>
        <v>1</v>
      </c>
      <c r="GT237">
        <f t="shared" si="513"/>
        <v>1</v>
      </c>
      <c r="GU237">
        <f t="shared" si="514"/>
        <v>1</v>
      </c>
      <c r="GX237" s="10"/>
    </row>
    <row r="238" spans="1:206" x14ac:dyDescent="0.3">
      <c r="A238" s="9" t="s">
        <v>33</v>
      </c>
      <c r="B238" s="80"/>
      <c r="C238" s="9">
        <v>3060750001</v>
      </c>
      <c r="D238" s="9" t="s">
        <v>497</v>
      </c>
      <c r="E238" s="9" t="s">
        <v>34</v>
      </c>
      <c r="F238" s="9" t="s">
        <v>35</v>
      </c>
      <c r="G238" s="9" t="s">
        <v>254</v>
      </c>
      <c r="H238" s="10">
        <v>45050</v>
      </c>
      <c r="I238" s="9">
        <f t="shared" si="515"/>
        <v>2023</v>
      </c>
      <c r="J238" s="9">
        <f t="shared" si="516"/>
        <v>5</v>
      </c>
      <c r="K238" s="9" t="str">
        <f t="shared" si="517"/>
        <v>2023_5</v>
      </c>
      <c r="L238">
        <f>MAX(0,VLOOKUP($K238,lookups!$A$1:$B$45,2,0)-12)</f>
        <v>25</v>
      </c>
      <c r="M238" s="40">
        <f t="shared" si="518"/>
        <v>45047</v>
      </c>
      <c r="N238" s="10" t="s">
        <v>37</v>
      </c>
      <c r="O238" t="str">
        <f ca="1">IF(OR($L238&gt;O$4,O$4&gt;$L238+23),"",OFFSET(Electric!$L229,0,-'Electric Calendarize'!$L238+'Electric Calendarize'!O$4+1))</f>
        <v/>
      </c>
      <c r="P238" t="str">
        <f ca="1">IF(OR($L238&gt;P$4,P$4&gt;$L238+23),"",OFFSET(Electric!$L229,0,-'Electric Calendarize'!$L238+'Electric Calendarize'!P$4+1))</f>
        <v/>
      </c>
      <c r="Q238" t="str">
        <f ca="1">IF(OR($L238&gt;Q$4,Q$4&gt;$L238+23),"",OFFSET(Electric!$L229,0,-'Electric Calendarize'!$L238+'Electric Calendarize'!Q$4+1))</f>
        <v/>
      </c>
      <c r="R238" t="str">
        <f ca="1">IF(OR($L238&gt;R$4,R$4&gt;$L238+23),"",OFFSET(Electric!$L229,0,-'Electric Calendarize'!$L238+'Electric Calendarize'!R$4+1))</f>
        <v/>
      </c>
      <c r="S238" t="str">
        <f ca="1">IF(OR($L238&gt;S$4,S$4&gt;$L238+23),"",OFFSET(Electric!$L229,0,-'Electric Calendarize'!$L238+'Electric Calendarize'!S$4+1))</f>
        <v/>
      </c>
      <c r="T238" t="str">
        <f ca="1">IF(OR($L238&gt;T$4,T$4&gt;$L238+23),"",OFFSET(Electric!$L229,0,-'Electric Calendarize'!$L238+'Electric Calendarize'!T$4+1))</f>
        <v/>
      </c>
      <c r="U238" t="str">
        <f ca="1">IF(OR($L238&gt;U$4,U$4&gt;$L238+23),"",OFFSET(Electric!$L229,0,-'Electric Calendarize'!$L238+'Electric Calendarize'!U$4+1))</f>
        <v/>
      </c>
      <c r="V238" t="str">
        <f ca="1">IF(OR($L238&gt;V$4,V$4&gt;$L238+23),"",OFFSET(Electric!$L229,0,-'Electric Calendarize'!$L238+'Electric Calendarize'!V$4+1))</f>
        <v/>
      </c>
      <c r="W238" t="str">
        <f ca="1">IF(OR($L238&gt;W$4,W$4&gt;$L238+23),"",OFFSET(Electric!$L229,0,-'Electric Calendarize'!$L238+'Electric Calendarize'!W$4+1))</f>
        <v/>
      </c>
      <c r="X238" t="str">
        <f ca="1">IF(OR($L238&gt;X$4,X$4&gt;$L238+23),"",OFFSET(Electric!$L229,0,-'Electric Calendarize'!$L238+'Electric Calendarize'!X$4+1))</f>
        <v/>
      </c>
      <c r="Y238" t="str">
        <f ca="1">IF(OR($L238&gt;Y$4,Y$4&gt;$L238+23),"",OFFSET(Electric!$L229,0,-'Electric Calendarize'!$L238+'Electric Calendarize'!Y$4+1))</f>
        <v/>
      </c>
      <c r="Z238" t="str">
        <f ca="1">IF(OR($L238&gt;Z$4,Z$4&gt;$L238+23),"",OFFSET(Electric!$L229,0,-'Electric Calendarize'!$L238+'Electric Calendarize'!Z$4+1))</f>
        <v/>
      </c>
      <c r="AA238" t="str">
        <f ca="1">IF(OR($L238&gt;AA$4,AA$4&gt;$L238+23),"",OFFSET(Electric!$L229,0,-'Electric Calendarize'!$L238+'Electric Calendarize'!AA$4+1))</f>
        <v/>
      </c>
      <c r="AB238" t="str">
        <f ca="1">IF(OR($L238&gt;AB$4,AB$4&gt;$L238+23),"",OFFSET(Electric!$L229,0,-'Electric Calendarize'!$L238+'Electric Calendarize'!AB$4+1))</f>
        <v/>
      </c>
      <c r="AC238" t="str">
        <f ca="1">IF(OR($L238&gt;AC$4,AC$4&gt;$L238+23),"",OFFSET(Electric!$L229,0,-'Electric Calendarize'!$L238+'Electric Calendarize'!AC$4+1))</f>
        <v/>
      </c>
      <c r="AD238" t="str">
        <f ca="1">IF(OR($L238&gt;AD$4,AD$4&gt;$L238+23),"",OFFSET(Electric!$L229,0,-'Electric Calendarize'!$L238+'Electric Calendarize'!AD$4+1))</f>
        <v/>
      </c>
      <c r="AE238" t="str">
        <f ca="1">IF(OR($L238&gt;AE$4,AE$4&gt;$L238+23),"",OFFSET(Electric!$L229,0,-'Electric Calendarize'!$L238+'Electric Calendarize'!AE$4+1))</f>
        <v/>
      </c>
      <c r="AF238" t="str">
        <f ca="1">IF(OR($L238&gt;AF$4,AF$4&gt;$L238+23),"",OFFSET(Electric!$L229,0,-'Electric Calendarize'!$L238+'Electric Calendarize'!AF$4+1))</f>
        <v/>
      </c>
      <c r="AG238" t="str">
        <f ca="1">IF(OR($L238&gt;AG$4,AG$4&gt;$L238+23),"",OFFSET(Electric!$L229,0,-'Electric Calendarize'!$L238+'Electric Calendarize'!AG$4+1))</f>
        <v/>
      </c>
      <c r="AH238" t="str">
        <f ca="1">IF(OR($L238&gt;AH$4,AH$4&gt;$L238+23),"",OFFSET(Electric!$L229,0,-'Electric Calendarize'!$L238+'Electric Calendarize'!AH$4+1))</f>
        <v/>
      </c>
      <c r="AI238" t="str">
        <f ca="1">IF(OR($L238&gt;AI$4,AI$4&gt;$L238+23),"",OFFSET(Electric!$L229,0,-'Electric Calendarize'!$L238+'Electric Calendarize'!AI$4+1))</f>
        <v/>
      </c>
      <c r="AJ238" t="str">
        <f ca="1">IF(OR($L238&gt;AJ$4,AJ$4&gt;$L238+23),"",OFFSET(Electric!$L229,0,-'Electric Calendarize'!$L238+'Electric Calendarize'!AJ$4+1))</f>
        <v/>
      </c>
      <c r="AK238" t="str">
        <f ca="1">IF(OR($L238&gt;AK$4,AK$4&gt;$L238+23),"",OFFSET(Electric!$L229,0,-'Electric Calendarize'!$L238+'Electric Calendarize'!AK$4+1))</f>
        <v/>
      </c>
      <c r="AL238" t="str">
        <f ca="1">IF(OR($L238&gt;AL$4,AL$4&gt;$L238+23),"",OFFSET(Electric!$L229,0,-'Electric Calendarize'!$L238+'Electric Calendarize'!AL$4+1))</f>
        <v/>
      </c>
      <c r="AM238" t="str">
        <f ca="1">IF(OR($L238&gt;AM$4,AM$4&gt;$L238+23),"",OFFSET(Electric!$L229,0,-'Electric Calendarize'!$L238+'Electric Calendarize'!AM$4+1))</f>
        <v/>
      </c>
      <c r="AN238">
        <f ca="1">IF(OR($L238&gt;AN$4,AN$4&gt;$L238+23),"",OFFSET(Electric!$L229,0,-'Electric Calendarize'!$L238+'Electric Calendarize'!AN$4+1))</f>
        <v>367</v>
      </c>
      <c r="AO238">
        <f ca="1">IF(OR($L238&gt;AO$4,AO$4&gt;$L238+23),"",OFFSET(Electric!$L229,0,-'Electric Calendarize'!$L238+'Electric Calendarize'!AO$4+1))</f>
        <v>380</v>
      </c>
      <c r="AP238">
        <f ca="1">IF(OR($L238&gt;AP$4,AP$4&gt;$L238+23),"",OFFSET(Electric!$L229,0,-'Electric Calendarize'!$L238+'Electric Calendarize'!AP$4+1))</f>
        <v>428</v>
      </c>
      <c r="AQ238">
        <f ca="1">IF(OR($L238&gt;AQ$4,AQ$4&gt;$L238+23),"",OFFSET(Electric!$L229,0,-'Electric Calendarize'!$L238+'Electric Calendarize'!AQ$4+1))</f>
        <v>738</v>
      </c>
      <c r="AR238">
        <f ca="1">IF(OR($L238&gt;AR$4,AR$4&gt;$L238+23),"",OFFSET(Electric!$L229,0,-'Electric Calendarize'!$L238+'Electric Calendarize'!AR$4+1))</f>
        <v>538</v>
      </c>
      <c r="AS238">
        <f ca="1">IF(OR($L238&gt;AS$4,AS$4&gt;$L238+23),"",OFFSET(Electric!$L229,0,-'Electric Calendarize'!$L238+'Electric Calendarize'!AS$4+1))</f>
        <v>366</v>
      </c>
      <c r="AT238">
        <f ca="1">IF(OR($L238&gt;AT$4,AT$4&gt;$L238+23),"",OFFSET(Electric!$L229,0,-'Electric Calendarize'!$L238+'Electric Calendarize'!AT$4+1))</f>
        <v>345</v>
      </c>
      <c r="AU238">
        <f ca="1">IF(OR($L238&gt;AU$4,AU$4&gt;$L238+23),"",OFFSET(Electric!$L229,0,-'Electric Calendarize'!$L238+'Electric Calendarize'!AU$4+1))</f>
        <v>451</v>
      </c>
      <c r="AV238">
        <f ca="1">IF(OR($L238&gt;AV$4,AV$4&gt;$L238+23),"",OFFSET(Electric!$L229,0,-'Electric Calendarize'!$L238+'Electric Calendarize'!AV$4+1))</f>
        <v>484</v>
      </c>
      <c r="AW238">
        <f ca="1">IF(OR($L238&gt;AW$4,AW$4&gt;$L238+23),"",OFFSET(Electric!$L229,0,-'Electric Calendarize'!$L238+'Electric Calendarize'!AW$4+1))</f>
        <v>442</v>
      </c>
      <c r="AX238">
        <f ca="1">IF(OR($L238&gt;AX$4,AX$4&gt;$L238+23),"",OFFSET(Electric!$L229,0,-'Electric Calendarize'!$L238+'Electric Calendarize'!AX$4+1))</f>
        <v>408</v>
      </c>
      <c r="AY238">
        <f ca="1">IF(OR($L238&gt;AY$4,AY$4&gt;$L238+23),"",OFFSET(Electric!$L229,0,-'Electric Calendarize'!$L238+'Electric Calendarize'!AY$4+1))</f>
        <v>374</v>
      </c>
      <c r="AZ238">
        <f ca="1">IF(OR($L238&gt;AZ$4,AZ$4&gt;$L238+23),"",OFFSET(Electric!$L229,0,-'Electric Calendarize'!$L238+'Electric Calendarize'!AZ$4+1))</f>
        <v>394</v>
      </c>
      <c r="BA238">
        <f ca="1">IF(OR($L238&gt;BA$4,BA$4&gt;$L238+23),"",OFFSET(Electric!$L229,0,-'Electric Calendarize'!$L238+'Electric Calendarize'!BA$4+1))</f>
        <v>334</v>
      </c>
      <c r="BB238">
        <f ca="1">IF(OR($L238&gt;BB$4,BB$4&gt;$L238+23),"",OFFSET(Electric!$L229,0,-'Electric Calendarize'!$L238+'Electric Calendarize'!BB$4+1))</f>
        <v>621</v>
      </c>
      <c r="BC238">
        <f ca="1">IF(OR($L238&gt;BC$4,BC$4&gt;$L238+23),"",OFFSET(Electric!$L229,0,-'Electric Calendarize'!$L238+'Electric Calendarize'!BC$4+1))</f>
        <v>610</v>
      </c>
      <c r="BD238">
        <f ca="1">IF(OR($L238&gt;BD$4,BD$4&gt;$L238+23),"",OFFSET(Electric!$L229,0,-'Electric Calendarize'!$L238+'Electric Calendarize'!BD$4+1))</f>
        <v>534</v>
      </c>
      <c r="BE238">
        <f ca="1">IF(OR($L238&gt;BE$4,BE$4&gt;$L238+23),"",OFFSET(Electric!$L229,0,-'Electric Calendarize'!$L238+'Electric Calendarize'!BE$4+1))</f>
        <v>485</v>
      </c>
      <c r="BF238">
        <f ca="1">IF(OR($L238&gt;BF$4,BF$4&gt;$L238+23),"",OFFSET(Electric!$L229,0,-'Electric Calendarize'!$L238+'Electric Calendarize'!BF$4+1))</f>
        <v>427</v>
      </c>
      <c r="BG238">
        <f ca="1">IF(OR($L238&gt;BG$4,BG$4&gt;$L238+23),"",OFFSET(Electric!$L229,0,-'Electric Calendarize'!$L238+'Electric Calendarize'!BG$4+1))</f>
        <v>451</v>
      </c>
      <c r="BJ238" s="10" t="s">
        <v>37</v>
      </c>
      <c r="BK238">
        <f t="shared" si="519"/>
        <v>1</v>
      </c>
      <c r="BL238">
        <f t="shared" si="425"/>
        <v>0</v>
      </c>
      <c r="BM238">
        <f t="shared" si="426"/>
        <v>0</v>
      </c>
      <c r="BN238">
        <f t="shared" si="427"/>
        <v>0</v>
      </c>
      <c r="BO238">
        <f t="shared" si="428"/>
        <v>0</v>
      </c>
      <c r="BP238">
        <f t="shared" si="429"/>
        <v>0</v>
      </c>
      <c r="BQ238">
        <f t="shared" si="430"/>
        <v>0</v>
      </c>
      <c r="BR238">
        <f t="shared" si="431"/>
        <v>1</v>
      </c>
      <c r="BS238">
        <f t="shared" si="432"/>
        <v>1</v>
      </c>
      <c r="BT238">
        <f t="shared" si="433"/>
        <v>1</v>
      </c>
      <c r="BU238">
        <f t="shared" si="434"/>
        <v>1</v>
      </c>
      <c r="BV238">
        <f t="shared" si="435"/>
        <v>1</v>
      </c>
      <c r="BW238">
        <f t="shared" si="436"/>
        <v>1</v>
      </c>
      <c r="BX238">
        <f t="shared" si="437"/>
        <v>0</v>
      </c>
      <c r="BY238">
        <f t="shared" si="438"/>
        <v>0</v>
      </c>
      <c r="BZ238">
        <f t="shared" si="439"/>
        <v>0</v>
      </c>
      <c r="CA238">
        <f t="shared" si="440"/>
        <v>0</v>
      </c>
      <c r="CB238">
        <f t="shared" si="441"/>
        <v>0</v>
      </c>
      <c r="CC238">
        <f t="shared" si="442"/>
        <v>0</v>
      </c>
      <c r="CD238">
        <f t="shared" si="443"/>
        <v>1</v>
      </c>
      <c r="CE238">
        <f t="shared" si="444"/>
        <v>1</v>
      </c>
      <c r="CF238">
        <f t="shared" si="445"/>
        <v>1</v>
      </c>
      <c r="CG238">
        <f t="shared" si="446"/>
        <v>1</v>
      </c>
      <c r="CH238">
        <f t="shared" si="447"/>
        <v>1</v>
      </c>
      <c r="CI238">
        <f t="shared" si="448"/>
        <v>1</v>
      </c>
      <c r="CJ238">
        <f t="shared" si="449"/>
        <v>0</v>
      </c>
      <c r="CK238">
        <f t="shared" si="450"/>
        <v>0</v>
      </c>
      <c r="CL238">
        <f t="shared" si="451"/>
        <v>0</v>
      </c>
      <c r="CM238">
        <f t="shared" si="452"/>
        <v>0</v>
      </c>
      <c r="CN238">
        <f t="shared" si="453"/>
        <v>0</v>
      </c>
      <c r="CO238">
        <f t="shared" si="454"/>
        <v>0</v>
      </c>
      <c r="CP238">
        <f t="shared" si="455"/>
        <v>1</v>
      </c>
      <c r="CQ238">
        <f t="shared" si="456"/>
        <v>1</v>
      </c>
      <c r="CR238">
        <f t="shared" si="457"/>
        <v>1</v>
      </c>
      <c r="CS238">
        <f t="shared" si="458"/>
        <v>1</v>
      </c>
      <c r="CT238">
        <f t="shared" si="459"/>
        <v>1</v>
      </c>
      <c r="CU238">
        <f t="shared" si="460"/>
        <v>1</v>
      </c>
      <c r="CV238">
        <f t="shared" si="461"/>
        <v>0</v>
      </c>
      <c r="CW238">
        <f t="shared" si="462"/>
        <v>0</v>
      </c>
      <c r="CX238">
        <f t="shared" si="463"/>
        <v>0</v>
      </c>
      <c r="CY238">
        <f t="shared" si="464"/>
        <v>0</v>
      </c>
      <c r="CZ238">
        <f t="shared" si="465"/>
        <v>0</v>
      </c>
      <c r="DA238">
        <f t="shared" si="466"/>
        <v>0</v>
      </c>
      <c r="DB238">
        <f t="shared" si="467"/>
        <v>1</v>
      </c>
      <c r="DC238">
        <f t="shared" si="468"/>
        <v>1</v>
      </c>
      <c r="DF238" s="10" t="s">
        <v>37</v>
      </c>
      <c r="DG238" t="str">
        <f t="shared" si="528"/>
        <v>2023_5</v>
      </c>
      <c r="DH238" t="str">
        <f t="shared" si="528"/>
        <v>2023_5</v>
      </c>
      <c r="DI238" t="str">
        <f t="shared" si="528"/>
        <v>2023_5</v>
      </c>
      <c r="DJ238" t="str">
        <f t="shared" si="528"/>
        <v>2023_5</v>
      </c>
      <c r="DK238" t="str">
        <f t="shared" si="528"/>
        <v>2023_5</v>
      </c>
      <c r="DL238" t="str">
        <f t="shared" si="528"/>
        <v>2023_5</v>
      </c>
      <c r="DM238" t="str">
        <f t="shared" si="528"/>
        <v>2023_5</v>
      </c>
      <c r="DN238" t="str">
        <f t="shared" si="528"/>
        <v>2023_5</v>
      </c>
      <c r="DO238" t="str">
        <f t="shared" si="528"/>
        <v>2023_5</v>
      </c>
      <c r="DP238" t="str">
        <f t="shared" si="528"/>
        <v>2023_5</v>
      </c>
      <c r="DQ238" t="str">
        <f t="shared" si="528"/>
        <v>2023_5</v>
      </c>
      <c r="DR238" t="str">
        <f t="shared" si="528"/>
        <v>2023_5</v>
      </c>
      <c r="DS238" t="str">
        <f t="shared" si="528"/>
        <v>2023_5</v>
      </c>
      <c r="DT238" t="str">
        <f t="shared" si="528"/>
        <v>2023_5</v>
      </c>
      <c r="DU238" t="str">
        <f t="shared" si="528"/>
        <v>2023_5</v>
      </c>
      <c r="DV238" t="str">
        <f t="shared" si="526"/>
        <v>2023_5</v>
      </c>
      <c r="DW238" t="str">
        <f t="shared" si="526"/>
        <v>2023_5</v>
      </c>
      <c r="DX238" t="str">
        <f t="shared" si="526"/>
        <v>2023_5</v>
      </c>
      <c r="DY238" t="str">
        <f t="shared" si="526"/>
        <v>2023_5</v>
      </c>
      <c r="DZ238" t="str">
        <f t="shared" si="526"/>
        <v>2023_5</v>
      </c>
      <c r="EA238" t="str">
        <f t="shared" si="526"/>
        <v>2023_5</v>
      </c>
      <c r="EB238" t="str">
        <f t="shared" si="526"/>
        <v>2023_5</v>
      </c>
      <c r="EC238" t="str">
        <f t="shared" si="526"/>
        <v>2023_5</v>
      </c>
      <c r="ED238" t="str">
        <f t="shared" si="526"/>
        <v>2023_5</v>
      </c>
      <c r="EE238" t="str">
        <f t="shared" si="526"/>
        <v>2023_5</v>
      </c>
      <c r="EF238" t="str">
        <f t="shared" si="526"/>
        <v>2023_5</v>
      </c>
      <c r="EG238" t="str">
        <f t="shared" si="526"/>
        <v>2023_5</v>
      </c>
      <c r="EH238" t="str">
        <f t="shared" si="526"/>
        <v>2023_5</v>
      </c>
      <c r="EI238" t="str">
        <f t="shared" si="526"/>
        <v>2023_5</v>
      </c>
      <c r="EJ238" t="str">
        <f t="shared" si="526"/>
        <v>2023_5</v>
      </c>
      <c r="EK238" t="str">
        <f t="shared" si="526"/>
        <v>2023_5</v>
      </c>
      <c r="EL238" t="str">
        <f t="shared" si="527"/>
        <v>2023_5</v>
      </c>
      <c r="EM238" t="str">
        <f t="shared" si="525"/>
        <v>2023_5</v>
      </c>
      <c r="EN238" t="str">
        <f t="shared" si="525"/>
        <v>2023_5</v>
      </c>
      <c r="EO238" t="str">
        <f t="shared" si="525"/>
        <v>2023_5</v>
      </c>
      <c r="EP238" t="str">
        <f t="shared" si="525"/>
        <v>2023_5</v>
      </c>
      <c r="EQ238" t="str">
        <f t="shared" si="525"/>
        <v>2023_5</v>
      </c>
      <c r="ER238" t="str">
        <f t="shared" si="525"/>
        <v>2023_5</v>
      </c>
      <c r="ES238" t="str">
        <f t="shared" si="525"/>
        <v>2023_5</v>
      </c>
      <c r="ET238" t="str">
        <f t="shared" si="525"/>
        <v>2023_5</v>
      </c>
      <c r="EU238" t="str">
        <f t="shared" si="525"/>
        <v>2023_5</v>
      </c>
      <c r="EV238" t="str">
        <f t="shared" si="525"/>
        <v>2023_5</v>
      </c>
      <c r="EW238" t="str">
        <f t="shared" si="525"/>
        <v>2023_5</v>
      </c>
      <c r="EX238" t="str">
        <f t="shared" si="525"/>
        <v>2023_5</v>
      </c>
      <c r="EY238" t="str">
        <f t="shared" si="525"/>
        <v>2023_5</v>
      </c>
      <c r="FB238" s="10" t="s">
        <v>37</v>
      </c>
      <c r="FC238">
        <f t="shared" si="521"/>
        <v>0</v>
      </c>
      <c r="FD238">
        <f t="shared" si="471"/>
        <v>0</v>
      </c>
      <c r="FE238">
        <f t="shared" si="472"/>
        <v>0</v>
      </c>
      <c r="FF238">
        <f t="shared" si="473"/>
        <v>0</v>
      </c>
      <c r="FG238">
        <f t="shared" si="474"/>
        <v>0</v>
      </c>
      <c r="FH238">
        <f t="shared" si="475"/>
        <v>0</v>
      </c>
      <c r="FI238">
        <f t="shared" si="476"/>
        <v>0</v>
      </c>
      <c r="FJ238">
        <f t="shared" si="477"/>
        <v>0</v>
      </c>
      <c r="FK238">
        <f t="shared" si="478"/>
        <v>0</v>
      </c>
      <c r="FL238">
        <f t="shared" si="479"/>
        <v>0</v>
      </c>
      <c r="FM238">
        <f t="shared" si="480"/>
        <v>0</v>
      </c>
      <c r="FN238">
        <f t="shared" si="481"/>
        <v>0</v>
      </c>
      <c r="FO238">
        <f t="shared" si="482"/>
        <v>0</v>
      </c>
      <c r="FP238">
        <f t="shared" si="483"/>
        <v>0</v>
      </c>
      <c r="FQ238">
        <f t="shared" si="484"/>
        <v>0</v>
      </c>
      <c r="FR238">
        <f t="shared" si="485"/>
        <v>0</v>
      </c>
      <c r="FS238">
        <f t="shared" si="486"/>
        <v>0</v>
      </c>
      <c r="FT238">
        <f t="shared" si="487"/>
        <v>0</v>
      </c>
      <c r="FU238">
        <f t="shared" si="488"/>
        <v>0</v>
      </c>
      <c r="FV238">
        <f t="shared" si="489"/>
        <v>0</v>
      </c>
      <c r="FW238">
        <f t="shared" si="490"/>
        <v>0</v>
      </c>
      <c r="FX238">
        <f t="shared" si="491"/>
        <v>0</v>
      </c>
      <c r="FY238">
        <f t="shared" si="492"/>
        <v>0</v>
      </c>
      <c r="FZ238">
        <f t="shared" si="493"/>
        <v>0</v>
      </c>
      <c r="GA238">
        <f t="shared" si="494"/>
        <v>0</v>
      </c>
      <c r="GB238">
        <f t="shared" si="495"/>
        <v>0</v>
      </c>
      <c r="GC238">
        <f t="shared" si="496"/>
        <v>0</v>
      </c>
      <c r="GD238">
        <f t="shared" si="497"/>
        <v>0</v>
      </c>
      <c r="GE238">
        <f t="shared" si="498"/>
        <v>0</v>
      </c>
      <c r="GF238">
        <f t="shared" si="499"/>
        <v>0</v>
      </c>
      <c r="GG238">
        <f t="shared" si="500"/>
        <v>0</v>
      </c>
      <c r="GH238">
        <f t="shared" si="501"/>
        <v>0</v>
      </c>
      <c r="GI238">
        <f t="shared" si="502"/>
        <v>0</v>
      </c>
      <c r="GJ238">
        <f t="shared" si="503"/>
        <v>0</v>
      </c>
      <c r="GK238">
        <f t="shared" si="504"/>
        <v>0</v>
      </c>
      <c r="GL238">
        <f t="shared" si="505"/>
        <v>0</v>
      </c>
      <c r="GM238">
        <f t="shared" si="506"/>
        <v>0</v>
      </c>
      <c r="GN238">
        <f t="shared" si="507"/>
        <v>1</v>
      </c>
      <c r="GO238">
        <f t="shared" si="508"/>
        <v>1</v>
      </c>
      <c r="GP238">
        <f t="shared" si="509"/>
        <v>1</v>
      </c>
      <c r="GQ238">
        <f t="shared" si="510"/>
        <v>1</v>
      </c>
      <c r="GR238">
        <f t="shared" si="511"/>
        <v>1</v>
      </c>
      <c r="GS238">
        <f t="shared" si="512"/>
        <v>1</v>
      </c>
      <c r="GT238">
        <f t="shared" si="513"/>
        <v>1</v>
      </c>
      <c r="GU238">
        <f t="shared" si="514"/>
        <v>1</v>
      </c>
      <c r="GX238" s="10"/>
    </row>
    <row r="239" spans="1:206" x14ac:dyDescent="0.3">
      <c r="A239" s="9" t="s">
        <v>124</v>
      </c>
      <c r="B239" s="80"/>
      <c r="C239" s="34">
        <v>3041035000</v>
      </c>
      <c r="D239" s="9" t="s">
        <v>498</v>
      </c>
      <c r="E239" s="9" t="s">
        <v>43</v>
      </c>
      <c r="F239" s="9" t="s">
        <v>35</v>
      </c>
      <c r="G239" s="9" t="s">
        <v>255</v>
      </c>
      <c r="H239" s="10">
        <v>45057</v>
      </c>
      <c r="I239" s="9">
        <f t="shared" si="515"/>
        <v>2023</v>
      </c>
      <c r="J239" s="9">
        <f t="shared" si="516"/>
        <v>5</v>
      </c>
      <c r="K239" s="9" t="str">
        <f t="shared" si="517"/>
        <v>2023_5</v>
      </c>
      <c r="L239">
        <f>MAX(0,VLOOKUP($K239,lookups!$A$1:$B$45,2,0)-12)</f>
        <v>25</v>
      </c>
      <c r="M239" s="40">
        <f t="shared" si="518"/>
        <v>45047</v>
      </c>
      <c r="N239" s="10" t="s">
        <v>37</v>
      </c>
      <c r="O239" t="str">
        <f ca="1">IF(OR($L239&gt;O$4,O$4&gt;$L239+23),"",OFFSET(Electric!$L230,0,-'Electric Calendarize'!$L239+'Electric Calendarize'!O$4+1))</f>
        <v/>
      </c>
      <c r="P239" t="str">
        <f ca="1">IF(OR($L239&gt;P$4,P$4&gt;$L239+23),"",OFFSET(Electric!$L230,0,-'Electric Calendarize'!$L239+'Electric Calendarize'!P$4+1))</f>
        <v/>
      </c>
      <c r="Q239" t="str">
        <f ca="1">IF(OR($L239&gt;Q$4,Q$4&gt;$L239+23),"",OFFSET(Electric!$L230,0,-'Electric Calendarize'!$L239+'Electric Calendarize'!Q$4+1))</f>
        <v/>
      </c>
      <c r="R239" t="str">
        <f ca="1">IF(OR($L239&gt;R$4,R$4&gt;$L239+23),"",OFFSET(Electric!$L230,0,-'Electric Calendarize'!$L239+'Electric Calendarize'!R$4+1))</f>
        <v/>
      </c>
      <c r="S239" t="str">
        <f ca="1">IF(OR($L239&gt;S$4,S$4&gt;$L239+23),"",OFFSET(Electric!$L230,0,-'Electric Calendarize'!$L239+'Electric Calendarize'!S$4+1))</f>
        <v/>
      </c>
      <c r="T239" t="str">
        <f ca="1">IF(OR($L239&gt;T$4,T$4&gt;$L239+23),"",OFFSET(Electric!$L230,0,-'Electric Calendarize'!$L239+'Electric Calendarize'!T$4+1))</f>
        <v/>
      </c>
      <c r="U239" t="str">
        <f ca="1">IF(OR($L239&gt;U$4,U$4&gt;$L239+23),"",OFFSET(Electric!$L230,0,-'Electric Calendarize'!$L239+'Electric Calendarize'!U$4+1))</f>
        <v/>
      </c>
      <c r="V239" t="str">
        <f ca="1">IF(OR($L239&gt;V$4,V$4&gt;$L239+23),"",OFFSET(Electric!$L230,0,-'Electric Calendarize'!$L239+'Electric Calendarize'!V$4+1))</f>
        <v/>
      </c>
      <c r="W239" t="str">
        <f ca="1">IF(OR($L239&gt;W$4,W$4&gt;$L239+23),"",OFFSET(Electric!$L230,0,-'Electric Calendarize'!$L239+'Electric Calendarize'!W$4+1))</f>
        <v/>
      </c>
      <c r="X239" t="str">
        <f ca="1">IF(OR($L239&gt;X$4,X$4&gt;$L239+23),"",OFFSET(Electric!$L230,0,-'Electric Calendarize'!$L239+'Electric Calendarize'!X$4+1))</f>
        <v/>
      </c>
      <c r="Y239" t="str">
        <f ca="1">IF(OR($L239&gt;Y$4,Y$4&gt;$L239+23),"",OFFSET(Electric!$L230,0,-'Electric Calendarize'!$L239+'Electric Calendarize'!Y$4+1))</f>
        <v/>
      </c>
      <c r="Z239" t="str">
        <f ca="1">IF(OR($L239&gt;Z$4,Z$4&gt;$L239+23),"",OFFSET(Electric!$L230,0,-'Electric Calendarize'!$L239+'Electric Calendarize'!Z$4+1))</f>
        <v/>
      </c>
      <c r="AA239" t="str">
        <f ca="1">IF(OR($L239&gt;AA$4,AA$4&gt;$L239+23),"",OFFSET(Electric!$L230,0,-'Electric Calendarize'!$L239+'Electric Calendarize'!AA$4+1))</f>
        <v/>
      </c>
      <c r="AB239" t="str">
        <f ca="1">IF(OR($L239&gt;AB$4,AB$4&gt;$L239+23),"",OFFSET(Electric!$L230,0,-'Electric Calendarize'!$L239+'Electric Calendarize'!AB$4+1))</f>
        <v/>
      </c>
      <c r="AC239" t="str">
        <f ca="1">IF(OR($L239&gt;AC$4,AC$4&gt;$L239+23),"",OFFSET(Electric!$L230,0,-'Electric Calendarize'!$L239+'Electric Calendarize'!AC$4+1))</f>
        <v/>
      </c>
      <c r="AD239" t="str">
        <f ca="1">IF(OR($L239&gt;AD$4,AD$4&gt;$L239+23),"",OFFSET(Electric!$L230,0,-'Electric Calendarize'!$L239+'Electric Calendarize'!AD$4+1))</f>
        <v/>
      </c>
      <c r="AE239" t="str">
        <f ca="1">IF(OR($L239&gt;AE$4,AE$4&gt;$L239+23),"",OFFSET(Electric!$L230,0,-'Electric Calendarize'!$L239+'Electric Calendarize'!AE$4+1))</f>
        <v/>
      </c>
      <c r="AF239" t="str">
        <f ca="1">IF(OR($L239&gt;AF$4,AF$4&gt;$L239+23),"",OFFSET(Electric!$L230,0,-'Electric Calendarize'!$L239+'Electric Calendarize'!AF$4+1))</f>
        <v/>
      </c>
      <c r="AG239" t="str">
        <f ca="1">IF(OR($L239&gt;AG$4,AG$4&gt;$L239+23),"",OFFSET(Electric!$L230,0,-'Electric Calendarize'!$L239+'Electric Calendarize'!AG$4+1))</f>
        <v/>
      </c>
      <c r="AH239" t="str">
        <f ca="1">IF(OR($L239&gt;AH$4,AH$4&gt;$L239+23),"",OFFSET(Electric!$L230,0,-'Electric Calendarize'!$L239+'Electric Calendarize'!AH$4+1))</f>
        <v/>
      </c>
      <c r="AI239" t="str">
        <f ca="1">IF(OR($L239&gt;AI$4,AI$4&gt;$L239+23),"",OFFSET(Electric!$L230,0,-'Electric Calendarize'!$L239+'Electric Calendarize'!AI$4+1))</f>
        <v/>
      </c>
      <c r="AJ239" t="str">
        <f ca="1">IF(OR($L239&gt;AJ$4,AJ$4&gt;$L239+23),"",OFFSET(Electric!$L230,0,-'Electric Calendarize'!$L239+'Electric Calendarize'!AJ$4+1))</f>
        <v/>
      </c>
      <c r="AK239" t="str">
        <f ca="1">IF(OR($L239&gt;AK$4,AK$4&gt;$L239+23),"",OFFSET(Electric!$L230,0,-'Electric Calendarize'!$L239+'Electric Calendarize'!AK$4+1))</f>
        <v/>
      </c>
      <c r="AL239" t="str">
        <f ca="1">IF(OR($L239&gt;AL$4,AL$4&gt;$L239+23),"",OFFSET(Electric!$L230,0,-'Electric Calendarize'!$L239+'Electric Calendarize'!AL$4+1))</f>
        <v/>
      </c>
      <c r="AM239" t="str">
        <f ca="1">IF(OR($L239&gt;AM$4,AM$4&gt;$L239+23),"",OFFSET(Electric!$L230,0,-'Electric Calendarize'!$L239+'Electric Calendarize'!AM$4+1))</f>
        <v/>
      </c>
      <c r="AN239">
        <f ca="1">IF(OR($L239&gt;AN$4,AN$4&gt;$L239+23),"",OFFSET(Electric!$L230,0,-'Electric Calendarize'!$L239+'Electric Calendarize'!AN$4+1))</f>
        <v>600</v>
      </c>
      <c r="AO239">
        <f ca="1">IF(OR($L239&gt;AO$4,AO$4&gt;$L239+23),"",OFFSET(Electric!$L230,0,-'Electric Calendarize'!$L239+'Electric Calendarize'!AO$4+1))</f>
        <v>667</v>
      </c>
      <c r="AP239">
        <f ca="1">IF(OR($L239&gt;AP$4,AP$4&gt;$L239+23),"",OFFSET(Electric!$L230,0,-'Electric Calendarize'!$L239+'Electric Calendarize'!AP$4+1))</f>
        <v>1061</v>
      </c>
      <c r="AQ239">
        <f ca="1">IF(OR($L239&gt;AQ$4,AQ$4&gt;$L239+23),"",OFFSET(Electric!$L230,0,-'Electric Calendarize'!$L239+'Electric Calendarize'!AQ$4+1))</f>
        <v>1289</v>
      </c>
      <c r="AR239">
        <f ca="1">IF(OR($L239&gt;AR$4,AR$4&gt;$L239+23),"",OFFSET(Electric!$L230,0,-'Electric Calendarize'!$L239+'Electric Calendarize'!AR$4+1))</f>
        <v>1001</v>
      </c>
      <c r="AS239">
        <f ca="1">IF(OR($L239&gt;AS$4,AS$4&gt;$L239+23),"",OFFSET(Electric!$L230,0,-'Electric Calendarize'!$L239+'Electric Calendarize'!AS$4+1))</f>
        <v>769</v>
      </c>
      <c r="AT239">
        <f ca="1">IF(OR($L239&gt;AT$4,AT$4&gt;$L239+23),"",OFFSET(Electric!$L230,0,-'Electric Calendarize'!$L239+'Electric Calendarize'!AT$4+1))</f>
        <v>1103</v>
      </c>
      <c r="AU239">
        <f ca="1">IF(OR($L239&gt;AU$4,AU$4&gt;$L239+23),"",OFFSET(Electric!$L230,0,-'Electric Calendarize'!$L239+'Electric Calendarize'!AU$4+1))</f>
        <v>959</v>
      </c>
      <c r="AV239">
        <f ca="1">IF(OR($L239&gt;AV$4,AV$4&gt;$L239+23),"",OFFSET(Electric!$L230,0,-'Electric Calendarize'!$L239+'Electric Calendarize'!AV$4+1))</f>
        <v>1081</v>
      </c>
      <c r="AW239">
        <f ca="1">IF(OR($L239&gt;AW$4,AW$4&gt;$L239+23),"",OFFSET(Electric!$L230,0,-'Electric Calendarize'!$L239+'Electric Calendarize'!AW$4+1))</f>
        <v>701</v>
      </c>
      <c r="AX239">
        <f ca="1">IF(OR($L239&gt;AX$4,AX$4&gt;$L239+23),"",OFFSET(Electric!$L230,0,-'Electric Calendarize'!$L239+'Electric Calendarize'!AX$4+1))</f>
        <v>798</v>
      </c>
      <c r="AY239">
        <f ca="1">IF(OR($L239&gt;AY$4,AY$4&gt;$L239+23),"",OFFSET(Electric!$L230,0,-'Electric Calendarize'!$L239+'Electric Calendarize'!AY$4+1))</f>
        <v>633</v>
      </c>
      <c r="AZ239">
        <f ca="1">IF(OR($L239&gt;AZ$4,AZ$4&gt;$L239+23),"",OFFSET(Electric!$L230,0,-'Electric Calendarize'!$L239+'Electric Calendarize'!AZ$4+1))</f>
        <v>716</v>
      </c>
      <c r="BA239">
        <f ca="1">IF(OR($L239&gt;BA$4,BA$4&gt;$L239+23),"",OFFSET(Electric!$L230,0,-'Electric Calendarize'!$L239+'Electric Calendarize'!BA$4+1))</f>
        <v>539</v>
      </c>
      <c r="BB239">
        <f ca="1">IF(OR($L239&gt;BB$4,BB$4&gt;$L239+23),"",OFFSET(Electric!$L230,0,-'Electric Calendarize'!$L239+'Electric Calendarize'!BB$4+1))</f>
        <v>846</v>
      </c>
      <c r="BC239">
        <f ca="1">IF(OR($L239&gt;BC$4,BC$4&gt;$L239+23),"",OFFSET(Electric!$L230,0,-'Electric Calendarize'!$L239+'Electric Calendarize'!BC$4+1))</f>
        <v>688</v>
      </c>
      <c r="BD239">
        <f ca="1">IF(OR($L239&gt;BD$4,BD$4&gt;$L239+23),"",OFFSET(Electric!$L230,0,-'Electric Calendarize'!$L239+'Electric Calendarize'!BD$4+1))</f>
        <v>927</v>
      </c>
      <c r="BE239">
        <f ca="1">IF(OR($L239&gt;BE$4,BE$4&gt;$L239+23),"",OFFSET(Electric!$L230,0,-'Electric Calendarize'!$L239+'Electric Calendarize'!BE$4+1))</f>
        <v>541</v>
      </c>
      <c r="BF239">
        <f ca="1">IF(OR($L239&gt;BF$4,BF$4&gt;$L239+23),"",OFFSET(Electric!$L230,0,-'Electric Calendarize'!$L239+'Electric Calendarize'!BF$4+1))</f>
        <v>214</v>
      </c>
      <c r="BG239">
        <f ca="1">IF(OR($L239&gt;BG$4,BG$4&gt;$L239+23),"",OFFSET(Electric!$L230,0,-'Electric Calendarize'!$L239+'Electric Calendarize'!BG$4+1))</f>
        <v>174</v>
      </c>
      <c r="BJ239" s="10" t="s">
        <v>37</v>
      </c>
      <c r="BK239">
        <f t="shared" si="519"/>
        <v>1</v>
      </c>
      <c r="BL239">
        <f t="shared" si="425"/>
        <v>0</v>
      </c>
      <c r="BM239">
        <f t="shared" si="426"/>
        <v>0</v>
      </c>
      <c r="BN239">
        <f t="shared" si="427"/>
        <v>0</v>
      </c>
      <c r="BO239">
        <f t="shared" si="428"/>
        <v>0</v>
      </c>
      <c r="BP239">
        <f t="shared" si="429"/>
        <v>0</v>
      </c>
      <c r="BQ239">
        <f t="shared" si="430"/>
        <v>0</v>
      </c>
      <c r="BR239">
        <f t="shared" si="431"/>
        <v>1</v>
      </c>
      <c r="BS239">
        <f t="shared" si="432"/>
        <v>1</v>
      </c>
      <c r="BT239">
        <f t="shared" si="433"/>
        <v>1</v>
      </c>
      <c r="BU239">
        <f t="shared" si="434"/>
        <v>1</v>
      </c>
      <c r="BV239">
        <f t="shared" si="435"/>
        <v>1</v>
      </c>
      <c r="BW239">
        <f t="shared" si="436"/>
        <v>1</v>
      </c>
      <c r="BX239">
        <f t="shared" si="437"/>
        <v>0</v>
      </c>
      <c r="BY239">
        <f t="shared" si="438"/>
        <v>0</v>
      </c>
      <c r="BZ239">
        <f t="shared" si="439"/>
        <v>0</v>
      </c>
      <c r="CA239">
        <f t="shared" si="440"/>
        <v>0</v>
      </c>
      <c r="CB239">
        <f t="shared" si="441"/>
        <v>0</v>
      </c>
      <c r="CC239">
        <f t="shared" si="442"/>
        <v>0</v>
      </c>
      <c r="CD239">
        <f t="shared" si="443"/>
        <v>1</v>
      </c>
      <c r="CE239">
        <f t="shared" si="444"/>
        <v>1</v>
      </c>
      <c r="CF239">
        <f t="shared" si="445"/>
        <v>1</v>
      </c>
      <c r="CG239">
        <f t="shared" si="446"/>
        <v>1</v>
      </c>
      <c r="CH239">
        <f t="shared" si="447"/>
        <v>1</v>
      </c>
      <c r="CI239">
        <f t="shared" si="448"/>
        <v>1</v>
      </c>
      <c r="CJ239">
        <f t="shared" si="449"/>
        <v>0</v>
      </c>
      <c r="CK239">
        <f t="shared" si="450"/>
        <v>0</v>
      </c>
      <c r="CL239">
        <f t="shared" si="451"/>
        <v>0</v>
      </c>
      <c r="CM239">
        <f t="shared" si="452"/>
        <v>0</v>
      </c>
      <c r="CN239">
        <f t="shared" si="453"/>
        <v>0</v>
      </c>
      <c r="CO239">
        <f t="shared" si="454"/>
        <v>0</v>
      </c>
      <c r="CP239">
        <f t="shared" si="455"/>
        <v>1</v>
      </c>
      <c r="CQ239">
        <f t="shared" si="456"/>
        <v>1</v>
      </c>
      <c r="CR239">
        <f t="shared" si="457"/>
        <v>1</v>
      </c>
      <c r="CS239">
        <f t="shared" si="458"/>
        <v>1</v>
      </c>
      <c r="CT239">
        <f t="shared" si="459"/>
        <v>1</v>
      </c>
      <c r="CU239">
        <f t="shared" si="460"/>
        <v>1</v>
      </c>
      <c r="CV239">
        <f t="shared" si="461"/>
        <v>0</v>
      </c>
      <c r="CW239">
        <f t="shared" si="462"/>
        <v>0</v>
      </c>
      <c r="CX239">
        <f t="shared" si="463"/>
        <v>0</v>
      </c>
      <c r="CY239">
        <f t="shared" si="464"/>
        <v>0</v>
      </c>
      <c r="CZ239">
        <f t="shared" si="465"/>
        <v>0</v>
      </c>
      <c r="DA239">
        <f t="shared" si="466"/>
        <v>0</v>
      </c>
      <c r="DB239">
        <f t="shared" si="467"/>
        <v>1</v>
      </c>
      <c r="DC239">
        <f t="shared" si="468"/>
        <v>1</v>
      </c>
      <c r="DF239" s="10" t="s">
        <v>37</v>
      </c>
      <c r="DG239" t="str">
        <f t="shared" si="528"/>
        <v>2023_5</v>
      </c>
      <c r="DH239" t="str">
        <f t="shared" si="528"/>
        <v>2023_5</v>
      </c>
      <c r="DI239" t="str">
        <f t="shared" si="528"/>
        <v>2023_5</v>
      </c>
      <c r="DJ239" t="str">
        <f t="shared" si="528"/>
        <v>2023_5</v>
      </c>
      <c r="DK239" t="str">
        <f t="shared" si="528"/>
        <v>2023_5</v>
      </c>
      <c r="DL239" t="str">
        <f t="shared" si="528"/>
        <v>2023_5</v>
      </c>
      <c r="DM239" t="str">
        <f t="shared" si="528"/>
        <v>2023_5</v>
      </c>
      <c r="DN239" t="str">
        <f t="shared" si="528"/>
        <v>2023_5</v>
      </c>
      <c r="DO239" t="str">
        <f t="shared" si="528"/>
        <v>2023_5</v>
      </c>
      <c r="DP239" t="str">
        <f t="shared" si="528"/>
        <v>2023_5</v>
      </c>
      <c r="DQ239" t="str">
        <f t="shared" si="528"/>
        <v>2023_5</v>
      </c>
      <c r="DR239" t="str">
        <f t="shared" si="528"/>
        <v>2023_5</v>
      </c>
      <c r="DS239" t="str">
        <f t="shared" si="528"/>
        <v>2023_5</v>
      </c>
      <c r="DT239" t="str">
        <f t="shared" si="528"/>
        <v>2023_5</v>
      </c>
      <c r="DU239" t="str">
        <f t="shared" si="528"/>
        <v>2023_5</v>
      </c>
      <c r="DV239" t="str">
        <f t="shared" si="526"/>
        <v>2023_5</v>
      </c>
      <c r="DW239" t="str">
        <f t="shared" si="526"/>
        <v>2023_5</v>
      </c>
      <c r="DX239" t="str">
        <f t="shared" si="526"/>
        <v>2023_5</v>
      </c>
      <c r="DY239" t="str">
        <f t="shared" si="526"/>
        <v>2023_5</v>
      </c>
      <c r="DZ239" t="str">
        <f t="shared" si="526"/>
        <v>2023_5</v>
      </c>
      <c r="EA239" t="str">
        <f t="shared" si="526"/>
        <v>2023_5</v>
      </c>
      <c r="EB239" t="str">
        <f t="shared" si="526"/>
        <v>2023_5</v>
      </c>
      <c r="EC239" t="str">
        <f t="shared" si="526"/>
        <v>2023_5</v>
      </c>
      <c r="ED239" t="str">
        <f t="shared" si="526"/>
        <v>2023_5</v>
      </c>
      <c r="EE239" t="str">
        <f t="shared" si="526"/>
        <v>2023_5</v>
      </c>
      <c r="EF239" t="str">
        <f t="shared" si="526"/>
        <v>2023_5</v>
      </c>
      <c r="EG239" t="str">
        <f t="shared" si="526"/>
        <v>2023_5</v>
      </c>
      <c r="EH239" t="str">
        <f t="shared" si="526"/>
        <v>2023_5</v>
      </c>
      <c r="EI239" t="str">
        <f t="shared" si="526"/>
        <v>2023_5</v>
      </c>
      <c r="EJ239" t="str">
        <f t="shared" si="526"/>
        <v>2023_5</v>
      </c>
      <c r="EK239" t="str">
        <f t="shared" si="526"/>
        <v>2023_5</v>
      </c>
      <c r="EL239" t="str">
        <f t="shared" si="527"/>
        <v>2023_5</v>
      </c>
      <c r="EM239" t="str">
        <f t="shared" si="525"/>
        <v>2023_5</v>
      </c>
      <c r="EN239" t="str">
        <f t="shared" si="525"/>
        <v>2023_5</v>
      </c>
      <c r="EO239" t="str">
        <f t="shared" si="525"/>
        <v>2023_5</v>
      </c>
      <c r="EP239" t="str">
        <f t="shared" si="525"/>
        <v>2023_5</v>
      </c>
      <c r="EQ239" t="str">
        <f t="shared" si="525"/>
        <v>2023_5</v>
      </c>
      <c r="ER239" t="str">
        <f t="shared" si="525"/>
        <v>2023_5</v>
      </c>
      <c r="ES239" t="str">
        <f t="shared" si="525"/>
        <v>2023_5</v>
      </c>
      <c r="ET239" t="str">
        <f t="shared" si="525"/>
        <v>2023_5</v>
      </c>
      <c r="EU239" t="str">
        <f t="shared" si="525"/>
        <v>2023_5</v>
      </c>
      <c r="EV239" t="str">
        <f t="shared" si="525"/>
        <v>2023_5</v>
      </c>
      <c r="EW239" t="str">
        <f t="shared" si="525"/>
        <v>2023_5</v>
      </c>
      <c r="EX239" t="str">
        <f t="shared" si="525"/>
        <v>2023_5</v>
      </c>
      <c r="EY239" t="str">
        <f t="shared" si="525"/>
        <v>2023_5</v>
      </c>
      <c r="FB239" s="10" t="s">
        <v>37</v>
      </c>
      <c r="FC239">
        <f t="shared" si="521"/>
        <v>0</v>
      </c>
      <c r="FD239">
        <f t="shared" si="471"/>
        <v>0</v>
      </c>
      <c r="FE239">
        <f t="shared" si="472"/>
        <v>0</v>
      </c>
      <c r="FF239">
        <f t="shared" si="473"/>
        <v>0</v>
      </c>
      <c r="FG239">
        <f t="shared" si="474"/>
        <v>0</v>
      </c>
      <c r="FH239">
        <f t="shared" si="475"/>
        <v>0</v>
      </c>
      <c r="FI239">
        <f t="shared" si="476"/>
        <v>0</v>
      </c>
      <c r="FJ239">
        <f t="shared" si="477"/>
        <v>0</v>
      </c>
      <c r="FK239">
        <f t="shared" si="478"/>
        <v>0</v>
      </c>
      <c r="FL239">
        <f t="shared" si="479"/>
        <v>0</v>
      </c>
      <c r="FM239">
        <f t="shared" si="480"/>
        <v>0</v>
      </c>
      <c r="FN239">
        <f t="shared" si="481"/>
        <v>0</v>
      </c>
      <c r="FO239">
        <f t="shared" si="482"/>
        <v>0</v>
      </c>
      <c r="FP239">
        <f t="shared" si="483"/>
        <v>0</v>
      </c>
      <c r="FQ239">
        <f t="shared" si="484"/>
        <v>0</v>
      </c>
      <c r="FR239">
        <f t="shared" si="485"/>
        <v>0</v>
      </c>
      <c r="FS239">
        <f t="shared" si="486"/>
        <v>0</v>
      </c>
      <c r="FT239">
        <f t="shared" si="487"/>
        <v>0</v>
      </c>
      <c r="FU239">
        <f t="shared" si="488"/>
        <v>0</v>
      </c>
      <c r="FV239">
        <f t="shared" si="489"/>
        <v>0</v>
      </c>
      <c r="FW239">
        <f t="shared" si="490"/>
        <v>0</v>
      </c>
      <c r="FX239">
        <f t="shared" si="491"/>
        <v>0</v>
      </c>
      <c r="FY239">
        <f t="shared" si="492"/>
        <v>0</v>
      </c>
      <c r="FZ239">
        <f t="shared" si="493"/>
        <v>0</v>
      </c>
      <c r="GA239">
        <f t="shared" si="494"/>
        <v>0</v>
      </c>
      <c r="GB239">
        <f t="shared" si="495"/>
        <v>0</v>
      </c>
      <c r="GC239">
        <f t="shared" si="496"/>
        <v>0</v>
      </c>
      <c r="GD239">
        <f t="shared" si="497"/>
        <v>0</v>
      </c>
      <c r="GE239">
        <f t="shared" si="498"/>
        <v>0</v>
      </c>
      <c r="GF239">
        <f t="shared" si="499"/>
        <v>0</v>
      </c>
      <c r="GG239">
        <f t="shared" si="500"/>
        <v>0</v>
      </c>
      <c r="GH239">
        <f t="shared" si="501"/>
        <v>0</v>
      </c>
      <c r="GI239">
        <f t="shared" si="502"/>
        <v>0</v>
      </c>
      <c r="GJ239">
        <f t="shared" si="503"/>
        <v>0</v>
      </c>
      <c r="GK239">
        <f t="shared" si="504"/>
        <v>0</v>
      </c>
      <c r="GL239">
        <f t="shared" si="505"/>
        <v>0</v>
      </c>
      <c r="GM239">
        <f t="shared" si="506"/>
        <v>0</v>
      </c>
      <c r="GN239">
        <f t="shared" si="507"/>
        <v>1</v>
      </c>
      <c r="GO239">
        <f t="shared" si="508"/>
        <v>1</v>
      </c>
      <c r="GP239">
        <f t="shared" si="509"/>
        <v>1</v>
      </c>
      <c r="GQ239">
        <f t="shared" si="510"/>
        <v>1</v>
      </c>
      <c r="GR239">
        <f t="shared" si="511"/>
        <v>1</v>
      </c>
      <c r="GS239">
        <f t="shared" si="512"/>
        <v>1</v>
      </c>
      <c r="GT239">
        <f t="shared" si="513"/>
        <v>1</v>
      </c>
      <c r="GU239">
        <f t="shared" si="514"/>
        <v>1</v>
      </c>
      <c r="GX239" s="10"/>
    </row>
    <row r="240" spans="1:206" x14ac:dyDescent="0.3">
      <c r="A240" s="9" t="s">
        <v>33</v>
      </c>
      <c r="B240" s="80"/>
      <c r="C240" s="34">
        <v>3041488000</v>
      </c>
      <c r="D240" s="9" t="s">
        <v>494</v>
      </c>
      <c r="E240" s="9" t="s">
        <v>39</v>
      </c>
      <c r="F240" s="9" t="s">
        <v>35</v>
      </c>
      <c r="G240" s="9" t="s">
        <v>249</v>
      </c>
      <c r="H240" s="10">
        <v>45057</v>
      </c>
      <c r="I240" s="9">
        <f t="shared" si="515"/>
        <v>2023</v>
      </c>
      <c r="J240" s="9">
        <f t="shared" si="516"/>
        <v>5</v>
      </c>
      <c r="K240" s="9" t="str">
        <f t="shared" si="517"/>
        <v>2023_5</v>
      </c>
      <c r="L240">
        <f>MAX(0,VLOOKUP($K240,lookups!$A$1:$B$45,2,0)-12)</f>
        <v>25</v>
      </c>
      <c r="M240" s="40">
        <f t="shared" si="518"/>
        <v>45047</v>
      </c>
      <c r="N240" s="10" t="s">
        <v>37</v>
      </c>
      <c r="O240" t="str">
        <f ca="1">IF(OR($L240&gt;O$4,O$4&gt;$L240+23),"",OFFSET(Electric!$L231,0,-'Electric Calendarize'!$L240+'Electric Calendarize'!O$4+1))</f>
        <v/>
      </c>
      <c r="P240" t="str">
        <f ca="1">IF(OR($L240&gt;P$4,P$4&gt;$L240+23),"",OFFSET(Electric!$L231,0,-'Electric Calendarize'!$L240+'Electric Calendarize'!P$4+1))</f>
        <v/>
      </c>
      <c r="Q240" t="str">
        <f ca="1">IF(OR($L240&gt;Q$4,Q$4&gt;$L240+23),"",OFFSET(Electric!$L231,0,-'Electric Calendarize'!$L240+'Electric Calendarize'!Q$4+1))</f>
        <v/>
      </c>
      <c r="R240" t="str">
        <f ca="1">IF(OR($L240&gt;R$4,R$4&gt;$L240+23),"",OFFSET(Electric!$L231,0,-'Electric Calendarize'!$L240+'Electric Calendarize'!R$4+1))</f>
        <v/>
      </c>
      <c r="S240" t="str">
        <f ca="1">IF(OR($L240&gt;S$4,S$4&gt;$L240+23),"",OFFSET(Electric!$L231,0,-'Electric Calendarize'!$L240+'Electric Calendarize'!S$4+1))</f>
        <v/>
      </c>
      <c r="T240" t="str">
        <f ca="1">IF(OR($L240&gt;T$4,T$4&gt;$L240+23),"",OFFSET(Electric!$L231,0,-'Electric Calendarize'!$L240+'Electric Calendarize'!T$4+1))</f>
        <v/>
      </c>
      <c r="U240" t="str">
        <f ca="1">IF(OR($L240&gt;U$4,U$4&gt;$L240+23),"",OFFSET(Electric!$L231,0,-'Electric Calendarize'!$L240+'Electric Calendarize'!U$4+1))</f>
        <v/>
      </c>
      <c r="V240" t="str">
        <f ca="1">IF(OR($L240&gt;V$4,V$4&gt;$L240+23),"",OFFSET(Electric!$L231,0,-'Electric Calendarize'!$L240+'Electric Calendarize'!V$4+1))</f>
        <v/>
      </c>
      <c r="W240" t="str">
        <f ca="1">IF(OR($L240&gt;W$4,W$4&gt;$L240+23),"",OFFSET(Electric!$L231,0,-'Electric Calendarize'!$L240+'Electric Calendarize'!W$4+1))</f>
        <v/>
      </c>
      <c r="X240" t="str">
        <f ca="1">IF(OR($L240&gt;X$4,X$4&gt;$L240+23),"",OFFSET(Electric!$L231,0,-'Electric Calendarize'!$L240+'Electric Calendarize'!X$4+1))</f>
        <v/>
      </c>
      <c r="Y240" t="str">
        <f ca="1">IF(OR($L240&gt;Y$4,Y$4&gt;$L240+23),"",OFFSET(Electric!$L231,0,-'Electric Calendarize'!$L240+'Electric Calendarize'!Y$4+1))</f>
        <v/>
      </c>
      <c r="Z240" t="str">
        <f ca="1">IF(OR($L240&gt;Z$4,Z$4&gt;$L240+23),"",OFFSET(Electric!$L231,0,-'Electric Calendarize'!$L240+'Electric Calendarize'!Z$4+1))</f>
        <v/>
      </c>
      <c r="AA240" t="str">
        <f ca="1">IF(OR($L240&gt;AA$4,AA$4&gt;$L240+23),"",OFFSET(Electric!$L231,0,-'Electric Calendarize'!$L240+'Electric Calendarize'!AA$4+1))</f>
        <v/>
      </c>
      <c r="AB240" t="str">
        <f ca="1">IF(OR($L240&gt;AB$4,AB$4&gt;$L240+23),"",OFFSET(Electric!$L231,0,-'Electric Calendarize'!$L240+'Electric Calendarize'!AB$4+1))</f>
        <v/>
      </c>
      <c r="AC240" t="str">
        <f ca="1">IF(OR($L240&gt;AC$4,AC$4&gt;$L240+23),"",OFFSET(Electric!$L231,0,-'Electric Calendarize'!$L240+'Electric Calendarize'!AC$4+1))</f>
        <v/>
      </c>
      <c r="AD240" t="str">
        <f ca="1">IF(OR($L240&gt;AD$4,AD$4&gt;$L240+23),"",OFFSET(Electric!$L231,0,-'Electric Calendarize'!$L240+'Electric Calendarize'!AD$4+1))</f>
        <v/>
      </c>
      <c r="AE240" t="str">
        <f ca="1">IF(OR($L240&gt;AE$4,AE$4&gt;$L240+23),"",OFFSET(Electric!$L231,0,-'Electric Calendarize'!$L240+'Electric Calendarize'!AE$4+1))</f>
        <v/>
      </c>
      <c r="AF240" t="str">
        <f ca="1">IF(OR($L240&gt;AF$4,AF$4&gt;$L240+23),"",OFFSET(Electric!$L231,0,-'Electric Calendarize'!$L240+'Electric Calendarize'!AF$4+1))</f>
        <v/>
      </c>
      <c r="AG240" t="str">
        <f ca="1">IF(OR($L240&gt;AG$4,AG$4&gt;$L240+23),"",OFFSET(Electric!$L231,0,-'Electric Calendarize'!$L240+'Electric Calendarize'!AG$4+1))</f>
        <v/>
      </c>
      <c r="AH240" t="str">
        <f ca="1">IF(OR($L240&gt;AH$4,AH$4&gt;$L240+23),"",OFFSET(Electric!$L231,0,-'Electric Calendarize'!$L240+'Electric Calendarize'!AH$4+1))</f>
        <v/>
      </c>
      <c r="AI240" t="str">
        <f ca="1">IF(OR($L240&gt;AI$4,AI$4&gt;$L240+23),"",OFFSET(Electric!$L231,0,-'Electric Calendarize'!$L240+'Electric Calendarize'!AI$4+1))</f>
        <v/>
      </c>
      <c r="AJ240" t="str">
        <f ca="1">IF(OR($L240&gt;AJ$4,AJ$4&gt;$L240+23),"",OFFSET(Electric!$L231,0,-'Electric Calendarize'!$L240+'Electric Calendarize'!AJ$4+1))</f>
        <v/>
      </c>
      <c r="AK240" t="str">
        <f ca="1">IF(OR($L240&gt;AK$4,AK$4&gt;$L240+23),"",OFFSET(Electric!$L231,0,-'Electric Calendarize'!$L240+'Electric Calendarize'!AK$4+1))</f>
        <v/>
      </c>
      <c r="AL240" t="str">
        <f ca="1">IF(OR($L240&gt;AL$4,AL$4&gt;$L240+23),"",OFFSET(Electric!$L231,0,-'Electric Calendarize'!$L240+'Electric Calendarize'!AL$4+1))</f>
        <v/>
      </c>
      <c r="AM240" t="str">
        <f ca="1">IF(OR($L240&gt;AM$4,AM$4&gt;$L240+23),"",OFFSET(Electric!$L231,0,-'Electric Calendarize'!$L240+'Electric Calendarize'!AM$4+1))</f>
        <v/>
      </c>
      <c r="AN240">
        <f ca="1">IF(OR($L240&gt;AN$4,AN$4&gt;$L240+23),"",OFFSET(Electric!$L231,0,-'Electric Calendarize'!$L240+'Electric Calendarize'!AN$4+1))</f>
        <v>462</v>
      </c>
      <c r="AO240">
        <f ca="1">IF(OR($L240&gt;AO$4,AO$4&gt;$L240+23),"",OFFSET(Electric!$L231,0,-'Electric Calendarize'!$L240+'Electric Calendarize'!AO$4+1))</f>
        <v>647</v>
      </c>
      <c r="AP240">
        <f ca="1">IF(OR($L240&gt;AP$4,AP$4&gt;$L240+23),"",OFFSET(Electric!$L231,0,-'Electric Calendarize'!$L240+'Electric Calendarize'!AP$4+1))</f>
        <v>782</v>
      </c>
      <c r="AQ240">
        <f ca="1">IF(OR($L240&gt;AQ$4,AQ$4&gt;$L240+23),"",OFFSET(Electric!$L231,0,-'Electric Calendarize'!$L240+'Electric Calendarize'!AQ$4+1))</f>
        <v>1156</v>
      </c>
      <c r="AR240">
        <f ca="1">IF(OR($L240&gt;AR$4,AR$4&gt;$L240+23),"",OFFSET(Electric!$L231,0,-'Electric Calendarize'!$L240+'Electric Calendarize'!AR$4+1))</f>
        <v>652</v>
      </c>
      <c r="AS240">
        <f ca="1">IF(OR($L240&gt;AS$4,AS$4&gt;$L240+23),"",OFFSET(Electric!$L231,0,-'Electric Calendarize'!$L240+'Electric Calendarize'!AS$4+1))</f>
        <v>442</v>
      </c>
      <c r="AT240">
        <f ca="1">IF(OR($L240&gt;AT$4,AT$4&gt;$L240+23),"",OFFSET(Electric!$L231,0,-'Electric Calendarize'!$L240+'Electric Calendarize'!AT$4+1))</f>
        <v>423</v>
      </c>
      <c r="AU240">
        <f ca="1">IF(OR($L240&gt;AU$4,AU$4&gt;$L240+23),"",OFFSET(Electric!$L231,0,-'Electric Calendarize'!$L240+'Electric Calendarize'!AU$4+1))</f>
        <v>501</v>
      </c>
      <c r="AV240">
        <f ca="1">IF(OR($L240&gt;AV$4,AV$4&gt;$L240+23),"",OFFSET(Electric!$L231,0,-'Electric Calendarize'!$L240+'Electric Calendarize'!AV$4+1))</f>
        <v>577</v>
      </c>
      <c r="AW240">
        <f ca="1">IF(OR($L240&gt;AW$4,AW$4&gt;$L240+23),"",OFFSET(Electric!$L231,0,-'Electric Calendarize'!$L240+'Electric Calendarize'!AW$4+1))</f>
        <v>528</v>
      </c>
      <c r="AX240">
        <f ca="1">IF(OR($L240&gt;AX$4,AX$4&gt;$L240+23),"",OFFSET(Electric!$L231,0,-'Electric Calendarize'!$L240+'Electric Calendarize'!AX$4+1))</f>
        <v>502</v>
      </c>
      <c r="AY240">
        <f ca="1">IF(OR($L240&gt;AY$4,AY$4&gt;$L240+23),"",OFFSET(Electric!$L231,0,-'Electric Calendarize'!$L240+'Electric Calendarize'!AY$4+1))</f>
        <v>428</v>
      </c>
      <c r="AZ240">
        <f ca="1">IF(OR($L240&gt;AZ$4,AZ$4&gt;$L240+23),"",OFFSET(Electric!$L231,0,-'Electric Calendarize'!$L240+'Electric Calendarize'!AZ$4+1))</f>
        <v>472</v>
      </c>
      <c r="BA240">
        <f ca="1">IF(OR($L240&gt;BA$4,BA$4&gt;$L240+23),"",OFFSET(Electric!$L231,0,-'Electric Calendarize'!$L240+'Electric Calendarize'!BA$4+1))</f>
        <v>456</v>
      </c>
      <c r="BB240">
        <f ca="1">IF(OR($L240&gt;BB$4,BB$4&gt;$L240+23),"",OFFSET(Electric!$L231,0,-'Electric Calendarize'!$L240+'Electric Calendarize'!BB$4+1))</f>
        <v>743</v>
      </c>
      <c r="BC240">
        <f ca="1">IF(OR($L240&gt;BC$4,BC$4&gt;$L240+23),"",OFFSET(Electric!$L231,0,-'Electric Calendarize'!$L240+'Electric Calendarize'!BC$4+1))</f>
        <v>810</v>
      </c>
      <c r="BD240">
        <f ca="1">IF(OR($L240&gt;BD$4,BD$4&gt;$L240+23),"",OFFSET(Electric!$L231,0,-'Electric Calendarize'!$L240+'Electric Calendarize'!BD$4+1))</f>
        <v>676</v>
      </c>
      <c r="BE240">
        <f ca="1">IF(OR($L240&gt;BE$4,BE$4&gt;$L240+23),"",OFFSET(Electric!$L231,0,-'Electric Calendarize'!$L240+'Electric Calendarize'!BE$4+1))</f>
        <v>501</v>
      </c>
      <c r="BF240">
        <f ca="1">IF(OR($L240&gt;BF$4,BF$4&gt;$L240+23),"",OFFSET(Electric!$L231,0,-'Electric Calendarize'!$L240+'Electric Calendarize'!BF$4+1))</f>
        <v>426</v>
      </c>
      <c r="BG240">
        <f ca="1">IF(OR($L240&gt;BG$4,BG$4&gt;$L240+23),"",OFFSET(Electric!$L231,0,-'Electric Calendarize'!$L240+'Electric Calendarize'!BG$4+1))</f>
        <v>475</v>
      </c>
      <c r="BJ240" s="10" t="s">
        <v>37</v>
      </c>
      <c r="BK240">
        <f t="shared" si="519"/>
        <v>1</v>
      </c>
      <c r="BL240">
        <f t="shared" si="425"/>
        <v>0</v>
      </c>
      <c r="BM240">
        <f t="shared" si="426"/>
        <v>0</v>
      </c>
      <c r="BN240">
        <f t="shared" si="427"/>
        <v>0</v>
      </c>
      <c r="BO240">
        <f t="shared" si="428"/>
        <v>0</v>
      </c>
      <c r="BP240">
        <f t="shared" si="429"/>
        <v>0</v>
      </c>
      <c r="BQ240">
        <f t="shared" si="430"/>
        <v>0</v>
      </c>
      <c r="BR240">
        <f t="shared" si="431"/>
        <v>1</v>
      </c>
      <c r="BS240">
        <f t="shared" si="432"/>
        <v>1</v>
      </c>
      <c r="BT240">
        <f t="shared" si="433"/>
        <v>1</v>
      </c>
      <c r="BU240">
        <f t="shared" si="434"/>
        <v>1</v>
      </c>
      <c r="BV240">
        <f t="shared" si="435"/>
        <v>1</v>
      </c>
      <c r="BW240">
        <f t="shared" si="436"/>
        <v>1</v>
      </c>
      <c r="BX240">
        <f t="shared" si="437"/>
        <v>0</v>
      </c>
      <c r="BY240">
        <f t="shared" si="438"/>
        <v>0</v>
      </c>
      <c r="BZ240">
        <f t="shared" si="439"/>
        <v>0</v>
      </c>
      <c r="CA240">
        <f t="shared" si="440"/>
        <v>0</v>
      </c>
      <c r="CB240">
        <f t="shared" si="441"/>
        <v>0</v>
      </c>
      <c r="CC240">
        <f t="shared" si="442"/>
        <v>0</v>
      </c>
      <c r="CD240">
        <f t="shared" si="443"/>
        <v>1</v>
      </c>
      <c r="CE240">
        <f t="shared" si="444"/>
        <v>1</v>
      </c>
      <c r="CF240">
        <f t="shared" si="445"/>
        <v>1</v>
      </c>
      <c r="CG240">
        <f t="shared" si="446"/>
        <v>1</v>
      </c>
      <c r="CH240">
        <f t="shared" si="447"/>
        <v>1</v>
      </c>
      <c r="CI240">
        <f t="shared" si="448"/>
        <v>1</v>
      </c>
      <c r="CJ240">
        <f t="shared" si="449"/>
        <v>0</v>
      </c>
      <c r="CK240">
        <f t="shared" si="450"/>
        <v>0</v>
      </c>
      <c r="CL240">
        <f t="shared" si="451"/>
        <v>0</v>
      </c>
      <c r="CM240">
        <f t="shared" si="452"/>
        <v>0</v>
      </c>
      <c r="CN240">
        <f t="shared" si="453"/>
        <v>0</v>
      </c>
      <c r="CO240">
        <f t="shared" si="454"/>
        <v>0</v>
      </c>
      <c r="CP240">
        <f t="shared" si="455"/>
        <v>1</v>
      </c>
      <c r="CQ240">
        <f t="shared" si="456"/>
        <v>1</v>
      </c>
      <c r="CR240">
        <f t="shared" si="457"/>
        <v>1</v>
      </c>
      <c r="CS240">
        <f t="shared" si="458"/>
        <v>1</v>
      </c>
      <c r="CT240">
        <f t="shared" si="459"/>
        <v>1</v>
      </c>
      <c r="CU240">
        <f t="shared" si="460"/>
        <v>1</v>
      </c>
      <c r="CV240">
        <f t="shared" si="461"/>
        <v>0</v>
      </c>
      <c r="CW240">
        <f t="shared" si="462"/>
        <v>0</v>
      </c>
      <c r="CX240">
        <f t="shared" si="463"/>
        <v>0</v>
      </c>
      <c r="CY240">
        <f t="shared" si="464"/>
        <v>0</v>
      </c>
      <c r="CZ240">
        <f t="shared" si="465"/>
        <v>0</v>
      </c>
      <c r="DA240">
        <f t="shared" si="466"/>
        <v>0</v>
      </c>
      <c r="DB240">
        <f t="shared" si="467"/>
        <v>1</v>
      </c>
      <c r="DC240">
        <f t="shared" si="468"/>
        <v>1</v>
      </c>
      <c r="DF240" s="10" t="s">
        <v>37</v>
      </c>
      <c r="DG240" t="str">
        <f t="shared" si="528"/>
        <v>2023_5</v>
      </c>
      <c r="DH240" t="str">
        <f t="shared" si="528"/>
        <v>2023_5</v>
      </c>
      <c r="DI240" t="str">
        <f t="shared" si="528"/>
        <v>2023_5</v>
      </c>
      <c r="DJ240" t="str">
        <f t="shared" si="528"/>
        <v>2023_5</v>
      </c>
      <c r="DK240" t="str">
        <f t="shared" si="528"/>
        <v>2023_5</v>
      </c>
      <c r="DL240" t="str">
        <f t="shared" si="528"/>
        <v>2023_5</v>
      </c>
      <c r="DM240" t="str">
        <f t="shared" si="528"/>
        <v>2023_5</v>
      </c>
      <c r="DN240" t="str">
        <f t="shared" si="528"/>
        <v>2023_5</v>
      </c>
      <c r="DO240" t="str">
        <f t="shared" si="528"/>
        <v>2023_5</v>
      </c>
      <c r="DP240" t="str">
        <f t="shared" si="528"/>
        <v>2023_5</v>
      </c>
      <c r="DQ240" t="str">
        <f t="shared" si="528"/>
        <v>2023_5</v>
      </c>
      <c r="DR240" t="str">
        <f t="shared" si="528"/>
        <v>2023_5</v>
      </c>
      <c r="DS240" t="str">
        <f t="shared" si="528"/>
        <v>2023_5</v>
      </c>
      <c r="DT240" t="str">
        <f t="shared" si="528"/>
        <v>2023_5</v>
      </c>
      <c r="DU240" t="str">
        <f t="shared" si="528"/>
        <v>2023_5</v>
      </c>
      <c r="DV240" t="str">
        <f t="shared" si="526"/>
        <v>2023_5</v>
      </c>
      <c r="DW240" t="str">
        <f t="shared" si="526"/>
        <v>2023_5</v>
      </c>
      <c r="DX240" t="str">
        <f t="shared" si="526"/>
        <v>2023_5</v>
      </c>
      <c r="DY240" t="str">
        <f t="shared" si="526"/>
        <v>2023_5</v>
      </c>
      <c r="DZ240" t="str">
        <f t="shared" si="526"/>
        <v>2023_5</v>
      </c>
      <c r="EA240" t="str">
        <f t="shared" si="526"/>
        <v>2023_5</v>
      </c>
      <c r="EB240" t="str">
        <f t="shared" si="526"/>
        <v>2023_5</v>
      </c>
      <c r="EC240" t="str">
        <f t="shared" si="526"/>
        <v>2023_5</v>
      </c>
      <c r="ED240" t="str">
        <f t="shared" si="526"/>
        <v>2023_5</v>
      </c>
      <c r="EE240" t="str">
        <f t="shared" si="526"/>
        <v>2023_5</v>
      </c>
      <c r="EF240" t="str">
        <f t="shared" si="526"/>
        <v>2023_5</v>
      </c>
      <c r="EG240" t="str">
        <f t="shared" si="526"/>
        <v>2023_5</v>
      </c>
      <c r="EH240" t="str">
        <f t="shared" si="526"/>
        <v>2023_5</v>
      </c>
      <c r="EI240" t="str">
        <f t="shared" si="526"/>
        <v>2023_5</v>
      </c>
      <c r="EJ240" t="str">
        <f t="shared" si="526"/>
        <v>2023_5</v>
      </c>
      <c r="EK240" t="str">
        <f t="shared" si="526"/>
        <v>2023_5</v>
      </c>
      <c r="EL240" t="str">
        <f t="shared" si="527"/>
        <v>2023_5</v>
      </c>
      <c r="EM240" t="str">
        <f t="shared" si="525"/>
        <v>2023_5</v>
      </c>
      <c r="EN240" t="str">
        <f t="shared" si="525"/>
        <v>2023_5</v>
      </c>
      <c r="EO240" t="str">
        <f t="shared" si="525"/>
        <v>2023_5</v>
      </c>
      <c r="EP240" t="str">
        <f t="shared" si="525"/>
        <v>2023_5</v>
      </c>
      <c r="EQ240" t="str">
        <f t="shared" si="525"/>
        <v>2023_5</v>
      </c>
      <c r="ER240" t="str">
        <f t="shared" si="525"/>
        <v>2023_5</v>
      </c>
      <c r="ES240" t="str">
        <f t="shared" si="525"/>
        <v>2023_5</v>
      </c>
      <c r="ET240" t="str">
        <f t="shared" si="525"/>
        <v>2023_5</v>
      </c>
      <c r="EU240" t="str">
        <f t="shared" si="525"/>
        <v>2023_5</v>
      </c>
      <c r="EV240" t="str">
        <f t="shared" si="525"/>
        <v>2023_5</v>
      </c>
      <c r="EW240" t="str">
        <f t="shared" si="525"/>
        <v>2023_5</v>
      </c>
      <c r="EX240" t="str">
        <f t="shared" si="525"/>
        <v>2023_5</v>
      </c>
      <c r="EY240" t="str">
        <f t="shared" si="525"/>
        <v>2023_5</v>
      </c>
      <c r="FB240" s="10" t="s">
        <v>37</v>
      </c>
      <c r="FC240">
        <f t="shared" si="521"/>
        <v>0</v>
      </c>
      <c r="FD240">
        <f t="shared" si="471"/>
        <v>0</v>
      </c>
      <c r="FE240">
        <f t="shared" si="472"/>
        <v>0</v>
      </c>
      <c r="FF240">
        <f t="shared" si="473"/>
        <v>0</v>
      </c>
      <c r="FG240">
        <f t="shared" si="474"/>
        <v>0</v>
      </c>
      <c r="FH240">
        <f t="shared" si="475"/>
        <v>0</v>
      </c>
      <c r="FI240">
        <f t="shared" si="476"/>
        <v>0</v>
      </c>
      <c r="FJ240">
        <f t="shared" si="477"/>
        <v>0</v>
      </c>
      <c r="FK240">
        <f t="shared" si="478"/>
        <v>0</v>
      </c>
      <c r="FL240">
        <f t="shared" si="479"/>
        <v>0</v>
      </c>
      <c r="FM240">
        <f t="shared" si="480"/>
        <v>0</v>
      </c>
      <c r="FN240">
        <f t="shared" si="481"/>
        <v>0</v>
      </c>
      <c r="FO240">
        <f t="shared" si="482"/>
        <v>0</v>
      </c>
      <c r="FP240">
        <f t="shared" si="483"/>
        <v>0</v>
      </c>
      <c r="FQ240">
        <f t="shared" si="484"/>
        <v>0</v>
      </c>
      <c r="FR240">
        <f t="shared" si="485"/>
        <v>0</v>
      </c>
      <c r="FS240">
        <f t="shared" si="486"/>
        <v>0</v>
      </c>
      <c r="FT240">
        <f t="shared" si="487"/>
        <v>0</v>
      </c>
      <c r="FU240">
        <f t="shared" si="488"/>
        <v>0</v>
      </c>
      <c r="FV240">
        <f t="shared" si="489"/>
        <v>0</v>
      </c>
      <c r="FW240">
        <f t="shared" si="490"/>
        <v>0</v>
      </c>
      <c r="FX240">
        <f t="shared" si="491"/>
        <v>0</v>
      </c>
      <c r="FY240">
        <f t="shared" si="492"/>
        <v>0</v>
      </c>
      <c r="FZ240">
        <f t="shared" si="493"/>
        <v>0</v>
      </c>
      <c r="GA240">
        <f t="shared" si="494"/>
        <v>0</v>
      </c>
      <c r="GB240">
        <f t="shared" si="495"/>
        <v>0</v>
      </c>
      <c r="GC240">
        <f t="shared" si="496"/>
        <v>0</v>
      </c>
      <c r="GD240">
        <f t="shared" si="497"/>
        <v>0</v>
      </c>
      <c r="GE240">
        <f t="shared" si="498"/>
        <v>0</v>
      </c>
      <c r="GF240">
        <f t="shared" si="499"/>
        <v>0</v>
      </c>
      <c r="GG240">
        <f t="shared" si="500"/>
        <v>0</v>
      </c>
      <c r="GH240">
        <f t="shared" si="501"/>
        <v>0</v>
      </c>
      <c r="GI240">
        <f t="shared" si="502"/>
        <v>0</v>
      </c>
      <c r="GJ240">
        <f t="shared" si="503"/>
        <v>0</v>
      </c>
      <c r="GK240">
        <f t="shared" si="504"/>
        <v>0</v>
      </c>
      <c r="GL240">
        <f t="shared" si="505"/>
        <v>0</v>
      </c>
      <c r="GM240">
        <f t="shared" si="506"/>
        <v>0</v>
      </c>
      <c r="GN240">
        <f t="shared" si="507"/>
        <v>1</v>
      </c>
      <c r="GO240">
        <f t="shared" si="508"/>
        <v>1</v>
      </c>
      <c r="GP240">
        <f t="shared" si="509"/>
        <v>1</v>
      </c>
      <c r="GQ240">
        <f t="shared" si="510"/>
        <v>1</v>
      </c>
      <c r="GR240">
        <f t="shared" si="511"/>
        <v>1</v>
      </c>
      <c r="GS240">
        <f t="shared" si="512"/>
        <v>1</v>
      </c>
      <c r="GT240">
        <f t="shared" si="513"/>
        <v>1</v>
      </c>
      <c r="GU240">
        <f t="shared" si="514"/>
        <v>1</v>
      </c>
      <c r="GX240" s="10"/>
    </row>
    <row r="241" spans="1:206" x14ac:dyDescent="0.3">
      <c r="A241" s="9" t="s">
        <v>33</v>
      </c>
      <c r="B241" s="80"/>
      <c r="C241" s="34">
        <v>3070115000</v>
      </c>
      <c r="D241" s="9" t="s">
        <v>355</v>
      </c>
      <c r="E241" s="9" t="s">
        <v>39</v>
      </c>
      <c r="F241" s="9" t="s">
        <v>35</v>
      </c>
      <c r="G241" s="9" t="s">
        <v>256</v>
      </c>
      <c r="H241" s="10">
        <v>45057</v>
      </c>
      <c r="I241" s="9">
        <f t="shared" si="515"/>
        <v>2023</v>
      </c>
      <c r="J241" s="9">
        <f t="shared" si="516"/>
        <v>5</v>
      </c>
      <c r="K241" s="9" t="str">
        <f t="shared" si="517"/>
        <v>2023_5</v>
      </c>
      <c r="L241">
        <f>MAX(0,VLOOKUP($K241,lookups!$A$1:$B$45,2,0)-12)</f>
        <v>25</v>
      </c>
      <c r="M241" s="40">
        <f t="shared" si="518"/>
        <v>45047</v>
      </c>
      <c r="N241" s="10" t="s">
        <v>37</v>
      </c>
      <c r="O241" t="str">
        <f ca="1">IF(OR($L241&gt;O$4,O$4&gt;$L241+23),"",OFFSET(Electric!$L232,0,-'Electric Calendarize'!$L241+'Electric Calendarize'!O$4+1))</f>
        <v/>
      </c>
      <c r="P241" t="str">
        <f ca="1">IF(OR($L241&gt;P$4,P$4&gt;$L241+23),"",OFFSET(Electric!$L232,0,-'Electric Calendarize'!$L241+'Electric Calendarize'!P$4+1))</f>
        <v/>
      </c>
      <c r="Q241" t="str">
        <f ca="1">IF(OR($L241&gt;Q$4,Q$4&gt;$L241+23),"",OFFSET(Electric!$L232,0,-'Electric Calendarize'!$L241+'Electric Calendarize'!Q$4+1))</f>
        <v/>
      </c>
      <c r="R241" t="str">
        <f ca="1">IF(OR($L241&gt;R$4,R$4&gt;$L241+23),"",OFFSET(Electric!$L232,0,-'Electric Calendarize'!$L241+'Electric Calendarize'!R$4+1))</f>
        <v/>
      </c>
      <c r="S241" t="str">
        <f ca="1">IF(OR($L241&gt;S$4,S$4&gt;$L241+23),"",OFFSET(Electric!$L232,0,-'Electric Calendarize'!$L241+'Electric Calendarize'!S$4+1))</f>
        <v/>
      </c>
      <c r="T241" t="str">
        <f ca="1">IF(OR($L241&gt;T$4,T$4&gt;$L241+23),"",OFFSET(Electric!$L232,0,-'Electric Calendarize'!$L241+'Electric Calendarize'!T$4+1))</f>
        <v/>
      </c>
      <c r="U241" t="str">
        <f ca="1">IF(OR($L241&gt;U$4,U$4&gt;$L241+23),"",OFFSET(Electric!$L232,0,-'Electric Calendarize'!$L241+'Electric Calendarize'!U$4+1))</f>
        <v/>
      </c>
      <c r="V241" t="str">
        <f ca="1">IF(OR($L241&gt;V$4,V$4&gt;$L241+23),"",OFFSET(Electric!$L232,0,-'Electric Calendarize'!$L241+'Electric Calendarize'!V$4+1))</f>
        <v/>
      </c>
      <c r="W241" t="str">
        <f ca="1">IF(OR($L241&gt;W$4,W$4&gt;$L241+23),"",OFFSET(Electric!$L232,0,-'Electric Calendarize'!$L241+'Electric Calendarize'!W$4+1))</f>
        <v/>
      </c>
      <c r="X241" t="str">
        <f ca="1">IF(OR($L241&gt;X$4,X$4&gt;$L241+23),"",OFFSET(Electric!$L232,0,-'Electric Calendarize'!$L241+'Electric Calendarize'!X$4+1))</f>
        <v/>
      </c>
      <c r="Y241" t="str">
        <f ca="1">IF(OR($L241&gt;Y$4,Y$4&gt;$L241+23),"",OFFSET(Electric!$L232,0,-'Electric Calendarize'!$L241+'Electric Calendarize'!Y$4+1))</f>
        <v/>
      </c>
      <c r="Z241" t="str">
        <f ca="1">IF(OR($L241&gt;Z$4,Z$4&gt;$L241+23),"",OFFSET(Electric!$L232,0,-'Electric Calendarize'!$L241+'Electric Calendarize'!Z$4+1))</f>
        <v/>
      </c>
      <c r="AA241" t="str">
        <f ca="1">IF(OR($L241&gt;AA$4,AA$4&gt;$L241+23),"",OFFSET(Electric!$L232,0,-'Electric Calendarize'!$L241+'Electric Calendarize'!AA$4+1))</f>
        <v/>
      </c>
      <c r="AB241" t="str">
        <f ca="1">IF(OR($L241&gt;AB$4,AB$4&gt;$L241+23),"",OFFSET(Electric!$L232,0,-'Electric Calendarize'!$L241+'Electric Calendarize'!AB$4+1))</f>
        <v/>
      </c>
      <c r="AC241" t="str">
        <f ca="1">IF(OR($L241&gt;AC$4,AC$4&gt;$L241+23),"",OFFSET(Electric!$L232,0,-'Electric Calendarize'!$L241+'Electric Calendarize'!AC$4+1))</f>
        <v/>
      </c>
      <c r="AD241" t="str">
        <f ca="1">IF(OR($L241&gt;AD$4,AD$4&gt;$L241+23),"",OFFSET(Electric!$L232,0,-'Electric Calendarize'!$L241+'Electric Calendarize'!AD$4+1))</f>
        <v/>
      </c>
      <c r="AE241" t="str">
        <f ca="1">IF(OR($L241&gt;AE$4,AE$4&gt;$L241+23),"",OFFSET(Electric!$L232,0,-'Electric Calendarize'!$L241+'Electric Calendarize'!AE$4+1))</f>
        <v/>
      </c>
      <c r="AF241" t="str">
        <f ca="1">IF(OR($L241&gt;AF$4,AF$4&gt;$L241+23),"",OFFSET(Electric!$L232,0,-'Electric Calendarize'!$L241+'Electric Calendarize'!AF$4+1))</f>
        <v/>
      </c>
      <c r="AG241" t="str">
        <f ca="1">IF(OR($L241&gt;AG$4,AG$4&gt;$L241+23),"",OFFSET(Electric!$L232,0,-'Electric Calendarize'!$L241+'Electric Calendarize'!AG$4+1))</f>
        <v/>
      </c>
      <c r="AH241" t="str">
        <f ca="1">IF(OR($L241&gt;AH$4,AH$4&gt;$L241+23),"",OFFSET(Electric!$L232,0,-'Electric Calendarize'!$L241+'Electric Calendarize'!AH$4+1))</f>
        <v/>
      </c>
      <c r="AI241" t="str">
        <f ca="1">IF(OR($L241&gt;AI$4,AI$4&gt;$L241+23),"",OFFSET(Electric!$L232,0,-'Electric Calendarize'!$L241+'Electric Calendarize'!AI$4+1))</f>
        <v/>
      </c>
      <c r="AJ241" t="str">
        <f ca="1">IF(OR($L241&gt;AJ$4,AJ$4&gt;$L241+23),"",OFFSET(Electric!$L232,0,-'Electric Calendarize'!$L241+'Electric Calendarize'!AJ$4+1))</f>
        <v/>
      </c>
      <c r="AK241" t="str">
        <f ca="1">IF(OR($L241&gt;AK$4,AK$4&gt;$L241+23),"",OFFSET(Electric!$L232,0,-'Electric Calendarize'!$L241+'Electric Calendarize'!AK$4+1))</f>
        <v/>
      </c>
      <c r="AL241" t="str">
        <f ca="1">IF(OR($L241&gt;AL$4,AL$4&gt;$L241+23),"",OFFSET(Electric!$L232,0,-'Electric Calendarize'!$L241+'Electric Calendarize'!AL$4+1))</f>
        <v/>
      </c>
      <c r="AM241" t="str">
        <f ca="1">IF(OR($L241&gt;AM$4,AM$4&gt;$L241+23),"",OFFSET(Electric!$L232,0,-'Electric Calendarize'!$L241+'Electric Calendarize'!AM$4+1))</f>
        <v/>
      </c>
      <c r="AN241">
        <f ca="1">IF(OR($L241&gt;AN$4,AN$4&gt;$L241+23),"",OFFSET(Electric!$L232,0,-'Electric Calendarize'!$L241+'Electric Calendarize'!AN$4+1))</f>
        <v>184</v>
      </c>
      <c r="AO241">
        <f ca="1">IF(OR($L241&gt;AO$4,AO$4&gt;$L241+23),"",OFFSET(Electric!$L232,0,-'Electric Calendarize'!$L241+'Electric Calendarize'!AO$4+1))</f>
        <v>218</v>
      </c>
      <c r="AP241">
        <f ca="1">IF(OR($L241&gt;AP$4,AP$4&gt;$L241+23),"",OFFSET(Electric!$L232,0,-'Electric Calendarize'!$L241+'Electric Calendarize'!AP$4+1))</f>
        <v>243</v>
      </c>
      <c r="AQ241">
        <f ca="1">IF(OR($L241&gt;AQ$4,AQ$4&gt;$L241+23),"",OFFSET(Electric!$L232,0,-'Electric Calendarize'!$L241+'Electric Calendarize'!AQ$4+1))</f>
        <v>466</v>
      </c>
      <c r="AR241">
        <f ca="1">IF(OR($L241&gt;AR$4,AR$4&gt;$L241+23),"",OFFSET(Electric!$L232,0,-'Electric Calendarize'!$L241+'Electric Calendarize'!AR$4+1))</f>
        <v>221</v>
      </c>
      <c r="AS241">
        <f ca="1">IF(OR($L241&gt;AS$4,AS$4&gt;$L241+23),"",OFFSET(Electric!$L232,0,-'Electric Calendarize'!$L241+'Electric Calendarize'!AS$4+1))</f>
        <v>139</v>
      </c>
      <c r="AT241">
        <f ca="1">IF(OR($L241&gt;AT$4,AT$4&gt;$L241+23),"",OFFSET(Electric!$L232,0,-'Electric Calendarize'!$L241+'Electric Calendarize'!AT$4+1))</f>
        <v>170</v>
      </c>
      <c r="AU241">
        <f ca="1">IF(OR($L241&gt;AU$4,AU$4&gt;$L241+23),"",OFFSET(Electric!$L232,0,-'Electric Calendarize'!$L241+'Electric Calendarize'!AU$4+1))</f>
        <v>153</v>
      </c>
      <c r="AV241">
        <f ca="1">IF(OR($L241&gt;AV$4,AV$4&gt;$L241+23),"",OFFSET(Electric!$L232,0,-'Electric Calendarize'!$L241+'Electric Calendarize'!AV$4+1))</f>
        <v>181</v>
      </c>
      <c r="AW241">
        <f ca="1">IF(OR($L241&gt;AW$4,AW$4&gt;$L241+23),"",OFFSET(Electric!$L232,0,-'Electric Calendarize'!$L241+'Electric Calendarize'!AW$4+1))</f>
        <v>179</v>
      </c>
      <c r="AX241">
        <f ca="1">IF(OR($L241&gt;AX$4,AX$4&gt;$L241+23),"",OFFSET(Electric!$L232,0,-'Electric Calendarize'!$L241+'Electric Calendarize'!AX$4+1))</f>
        <v>154</v>
      </c>
      <c r="AY241">
        <f ca="1">IF(OR($L241&gt;AY$4,AY$4&gt;$L241+23),"",OFFSET(Electric!$L232,0,-'Electric Calendarize'!$L241+'Electric Calendarize'!AY$4+1))</f>
        <v>151</v>
      </c>
      <c r="AZ241">
        <f ca="1">IF(OR($L241&gt;AZ$4,AZ$4&gt;$L241+23),"",OFFSET(Electric!$L232,0,-'Electric Calendarize'!$L241+'Electric Calendarize'!AZ$4+1))</f>
        <v>167</v>
      </c>
      <c r="BA241">
        <f ca="1">IF(OR($L241&gt;BA$4,BA$4&gt;$L241+23),"",OFFSET(Electric!$L232,0,-'Electric Calendarize'!$L241+'Electric Calendarize'!BA$4+1))</f>
        <v>157</v>
      </c>
      <c r="BB241">
        <f ca="1">IF(OR($L241&gt;BB$4,BB$4&gt;$L241+23),"",OFFSET(Electric!$L232,0,-'Electric Calendarize'!$L241+'Electric Calendarize'!BB$4+1))</f>
        <v>368</v>
      </c>
      <c r="BC241">
        <f ca="1">IF(OR($L241&gt;BC$4,BC$4&gt;$L241+23),"",OFFSET(Electric!$L232,0,-'Electric Calendarize'!$L241+'Electric Calendarize'!BC$4+1))</f>
        <v>266</v>
      </c>
      <c r="BD241">
        <f ca="1">IF(OR($L241&gt;BD$4,BD$4&gt;$L241+23),"",OFFSET(Electric!$L232,0,-'Electric Calendarize'!$L241+'Electric Calendarize'!BD$4+1))</f>
        <v>223</v>
      </c>
      <c r="BE241">
        <f ca="1">IF(OR($L241&gt;BE$4,BE$4&gt;$L241+23),"",OFFSET(Electric!$L232,0,-'Electric Calendarize'!$L241+'Electric Calendarize'!BE$4+1))</f>
        <v>141</v>
      </c>
      <c r="BF241">
        <f ca="1">IF(OR($L241&gt;BF$4,BF$4&gt;$L241+23),"",OFFSET(Electric!$L232,0,-'Electric Calendarize'!$L241+'Electric Calendarize'!BF$4+1))</f>
        <v>143</v>
      </c>
      <c r="BG241">
        <f ca="1">IF(OR($L241&gt;BG$4,BG$4&gt;$L241+23),"",OFFSET(Electric!$L232,0,-'Electric Calendarize'!$L241+'Electric Calendarize'!BG$4+1))</f>
        <v>137</v>
      </c>
      <c r="BJ241" s="10" t="s">
        <v>37</v>
      </c>
      <c r="BK241">
        <f t="shared" si="519"/>
        <v>1</v>
      </c>
      <c r="BL241">
        <f t="shared" si="425"/>
        <v>0</v>
      </c>
      <c r="BM241">
        <f t="shared" si="426"/>
        <v>0</v>
      </c>
      <c r="BN241">
        <f t="shared" si="427"/>
        <v>0</v>
      </c>
      <c r="BO241">
        <f t="shared" si="428"/>
        <v>0</v>
      </c>
      <c r="BP241">
        <f t="shared" si="429"/>
        <v>0</v>
      </c>
      <c r="BQ241">
        <f t="shared" si="430"/>
        <v>0</v>
      </c>
      <c r="BR241">
        <f t="shared" si="431"/>
        <v>1</v>
      </c>
      <c r="BS241">
        <f t="shared" si="432"/>
        <v>1</v>
      </c>
      <c r="BT241">
        <f t="shared" si="433"/>
        <v>1</v>
      </c>
      <c r="BU241">
        <f t="shared" si="434"/>
        <v>1</v>
      </c>
      <c r="BV241">
        <f t="shared" si="435"/>
        <v>1</v>
      </c>
      <c r="BW241">
        <f t="shared" si="436"/>
        <v>1</v>
      </c>
      <c r="BX241">
        <f t="shared" si="437"/>
        <v>0</v>
      </c>
      <c r="BY241">
        <f t="shared" si="438"/>
        <v>0</v>
      </c>
      <c r="BZ241">
        <f t="shared" si="439"/>
        <v>0</v>
      </c>
      <c r="CA241">
        <f t="shared" si="440"/>
        <v>0</v>
      </c>
      <c r="CB241">
        <f t="shared" si="441"/>
        <v>0</v>
      </c>
      <c r="CC241">
        <f t="shared" si="442"/>
        <v>0</v>
      </c>
      <c r="CD241">
        <f t="shared" si="443"/>
        <v>1</v>
      </c>
      <c r="CE241">
        <f t="shared" si="444"/>
        <v>1</v>
      </c>
      <c r="CF241">
        <f t="shared" si="445"/>
        <v>1</v>
      </c>
      <c r="CG241">
        <f t="shared" si="446"/>
        <v>1</v>
      </c>
      <c r="CH241">
        <f t="shared" si="447"/>
        <v>1</v>
      </c>
      <c r="CI241">
        <f t="shared" si="448"/>
        <v>1</v>
      </c>
      <c r="CJ241">
        <f t="shared" si="449"/>
        <v>0</v>
      </c>
      <c r="CK241">
        <f t="shared" si="450"/>
        <v>0</v>
      </c>
      <c r="CL241">
        <f t="shared" si="451"/>
        <v>0</v>
      </c>
      <c r="CM241">
        <f t="shared" si="452"/>
        <v>0</v>
      </c>
      <c r="CN241">
        <f t="shared" si="453"/>
        <v>0</v>
      </c>
      <c r="CO241">
        <f t="shared" si="454"/>
        <v>0</v>
      </c>
      <c r="CP241">
        <f t="shared" si="455"/>
        <v>1</v>
      </c>
      <c r="CQ241">
        <f t="shared" si="456"/>
        <v>1</v>
      </c>
      <c r="CR241">
        <f t="shared" si="457"/>
        <v>1</v>
      </c>
      <c r="CS241">
        <f t="shared" si="458"/>
        <v>1</v>
      </c>
      <c r="CT241">
        <f t="shared" si="459"/>
        <v>1</v>
      </c>
      <c r="CU241">
        <f t="shared" si="460"/>
        <v>1</v>
      </c>
      <c r="CV241">
        <f t="shared" si="461"/>
        <v>0</v>
      </c>
      <c r="CW241">
        <f t="shared" si="462"/>
        <v>0</v>
      </c>
      <c r="CX241">
        <f t="shared" si="463"/>
        <v>0</v>
      </c>
      <c r="CY241">
        <f t="shared" si="464"/>
        <v>0</v>
      </c>
      <c r="CZ241">
        <f t="shared" si="465"/>
        <v>0</v>
      </c>
      <c r="DA241">
        <f t="shared" si="466"/>
        <v>0</v>
      </c>
      <c r="DB241">
        <f t="shared" si="467"/>
        <v>1</v>
      </c>
      <c r="DC241">
        <f t="shared" si="468"/>
        <v>1</v>
      </c>
      <c r="DF241" s="10" t="s">
        <v>37</v>
      </c>
      <c r="DG241" t="str">
        <f t="shared" si="528"/>
        <v>2023_5</v>
      </c>
      <c r="DH241" t="str">
        <f t="shared" si="528"/>
        <v>2023_5</v>
      </c>
      <c r="DI241" t="str">
        <f t="shared" si="528"/>
        <v>2023_5</v>
      </c>
      <c r="DJ241" t="str">
        <f t="shared" si="528"/>
        <v>2023_5</v>
      </c>
      <c r="DK241" t="str">
        <f t="shared" si="528"/>
        <v>2023_5</v>
      </c>
      <c r="DL241" t="str">
        <f t="shared" si="528"/>
        <v>2023_5</v>
      </c>
      <c r="DM241" t="str">
        <f t="shared" si="528"/>
        <v>2023_5</v>
      </c>
      <c r="DN241" t="str">
        <f t="shared" si="528"/>
        <v>2023_5</v>
      </c>
      <c r="DO241" t="str">
        <f t="shared" si="528"/>
        <v>2023_5</v>
      </c>
      <c r="DP241" t="str">
        <f t="shared" si="528"/>
        <v>2023_5</v>
      </c>
      <c r="DQ241" t="str">
        <f t="shared" si="528"/>
        <v>2023_5</v>
      </c>
      <c r="DR241" t="str">
        <f t="shared" si="528"/>
        <v>2023_5</v>
      </c>
      <c r="DS241" t="str">
        <f t="shared" si="528"/>
        <v>2023_5</v>
      </c>
      <c r="DT241" t="str">
        <f t="shared" si="528"/>
        <v>2023_5</v>
      </c>
      <c r="DU241" t="str">
        <f t="shared" si="528"/>
        <v>2023_5</v>
      </c>
      <c r="DV241" t="str">
        <f t="shared" si="526"/>
        <v>2023_5</v>
      </c>
      <c r="DW241" t="str">
        <f t="shared" si="526"/>
        <v>2023_5</v>
      </c>
      <c r="DX241" t="str">
        <f t="shared" si="526"/>
        <v>2023_5</v>
      </c>
      <c r="DY241" t="str">
        <f t="shared" si="526"/>
        <v>2023_5</v>
      </c>
      <c r="DZ241" t="str">
        <f t="shared" si="526"/>
        <v>2023_5</v>
      </c>
      <c r="EA241" t="str">
        <f t="shared" si="526"/>
        <v>2023_5</v>
      </c>
      <c r="EB241" t="str">
        <f t="shared" si="526"/>
        <v>2023_5</v>
      </c>
      <c r="EC241" t="str">
        <f t="shared" si="526"/>
        <v>2023_5</v>
      </c>
      <c r="ED241" t="str">
        <f t="shared" si="526"/>
        <v>2023_5</v>
      </c>
      <c r="EE241" t="str">
        <f t="shared" si="526"/>
        <v>2023_5</v>
      </c>
      <c r="EF241" t="str">
        <f t="shared" si="526"/>
        <v>2023_5</v>
      </c>
      <c r="EG241" t="str">
        <f t="shared" si="526"/>
        <v>2023_5</v>
      </c>
      <c r="EH241" t="str">
        <f t="shared" si="526"/>
        <v>2023_5</v>
      </c>
      <c r="EI241" t="str">
        <f t="shared" si="526"/>
        <v>2023_5</v>
      </c>
      <c r="EJ241" t="str">
        <f t="shared" si="526"/>
        <v>2023_5</v>
      </c>
      <c r="EK241" t="str">
        <f t="shared" si="526"/>
        <v>2023_5</v>
      </c>
      <c r="EL241" t="str">
        <f t="shared" si="527"/>
        <v>2023_5</v>
      </c>
      <c r="EM241" t="str">
        <f t="shared" si="525"/>
        <v>2023_5</v>
      </c>
      <c r="EN241" t="str">
        <f t="shared" si="525"/>
        <v>2023_5</v>
      </c>
      <c r="EO241" t="str">
        <f t="shared" si="525"/>
        <v>2023_5</v>
      </c>
      <c r="EP241" t="str">
        <f t="shared" si="525"/>
        <v>2023_5</v>
      </c>
      <c r="EQ241" t="str">
        <f t="shared" si="525"/>
        <v>2023_5</v>
      </c>
      <c r="ER241" t="str">
        <f t="shared" si="525"/>
        <v>2023_5</v>
      </c>
      <c r="ES241" t="str">
        <f t="shared" si="525"/>
        <v>2023_5</v>
      </c>
      <c r="ET241" t="str">
        <f t="shared" si="525"/>
        <v>2023_5</v>
      </c>
      <c r="EU241" t="str">
        <f t="shared" si="525"/>
        <v>2023_5</v>
      </c>
      <c r="EV241" t="str">
        <f t="shared" si="525"/>
        <v>2023_5</v>
      </c>
      <c r="EW241" t="str">
        <f t="shared" si="525"/>
        <v>2023_5</v>
      </c>
      <c r="EX241" t="str">
        <f t="shared" si="525"/>
        <v>2023_5</v>
      </c>
      <c r="EY241" t="str">
        <f t="shared" si="525"/>
        <v>2023_5</v>
      </c>
      <c r="FB241" s="10" t="s">
        <v>37</v>
      </c>
      <c r="FC241">
        <f t="shared" si="521"/>
        <v>0</v>
      </c>
      <c r="FD241">
        <f t="shared" si="471"/>
        <v>0</v>
      </c>
      <c r="FE241">
        <f t="shared" si="472"/>
        <v>0</v>
      </c>
      <c r="FF241">
        <f t="shared" si="473"/>
        <v>0</v>
      </c>
      <c r="FG241">
        <f t="shared" si="474"/>
        <v>0</v>
      </c>
      <c r="FH241">
        <f t="shared" si="475"/>
        <v>0</v>
      </c>
      <c r="FI241">
        <f t="shared" si="476"/>
        <v>0</v>
      </c>
      <c r="FJ241">
        <f t="shared" si="477"/>
        <v>0</v>
      </c>
      <c r="FK241">
        <f t="shared" si="478"/>
        <v>0</v>
      </c>
      <c r="FL241">
        <f t="shared" si="479"/>
        <v>0</v>
      </c>
      <c r="FM241">
        <f t="shared" si="480"/>
        <v>0</v>
      </c>
      <c r="FN241">
        <f t="shared" si="481"/>
        <v>0</v>
      </c>
      <c r="FO241">
        <f t="shared" si="482"/>
        <v>0</v>
      </c>
      <c r="FP241">
        <f t="shared" si="483"/>
        <v>0</v>
      </c>
      <c r="FQ241">
        <f t="shared" si="484"/>
        <v>0</v>
      </c>
      <c r="FR241">
        <f t="shared" si="485"/>
        <v>0</v>
      </c>
      <c r="FS241">
        <f t="shared" si="486"/>
        <v>0</v>
      </c>
      <c r="FT241">
        <f t="shared" si="487"/>
        <v>0</v>
      </c>
      <c r="FU241">
        <f t="shared" si="488"/>
        <v>0</v>
      </c>
      <c r="FV241">
        <f t="shared" si="489"/>
        <v>0</v>
      </c>
      <c r="FW241">
        <f t="shared" si="490"/>
        <v>0</v>
      </c>
      <c r="FX241">
        <f t="shared" si="491"/>
        <v>0</v>
      </c>
      <c r="FY241">
        <f t="shared" si="492"/>
        <v>0</v>
      </c>
      <c r="FZ241">
        <f t="shared" si="493"/>
        <v>0</v>
      </c>
      <c r="GA241">
        <f t="shared" si="494"/>
        <v>0</v>
      </c>
      <c r="GB241">
        <f t="shared" si="495"/>
        <v>0</v>
      </c>
      <c r="GC241">
        <f t="shared" si="496"/>
        <v>0</v>
      </c>
      <c r="GD241">
        <f t="shared" si="497"/>
        <v>0</v>
      </c>
      <c r="GE241">
        <f t="shared" si="498"/>
        <v>0</v>
      </c>
      <c r="GF241">
        <f t="shared" si="499"/>
        <v>0</v>
      </c>
      <c r="GG241">
        <f t="shared" si="500"/>
        <v>0</v>
      </c>
      <c r="GH241">
        <f t="shared" si="501"/>
        <v>0</v>
      </c>
      <c r="GI241">
        <f t="shared" si="502"/>
        <v>0</v>
      </c>
      <c r="GJ241">
        <f t="shared" si="503"/>
        <v>0</v>
      </c>
      <c r="GK241">
        <f t="shared" si="504"/>
        <v>0</v>
      </c>
      <c r="GL241">
        <f t="shared" si="505"/>
        <v>0</v>
      </c>
      <c r="GM241">
        <f t="shared" si="506"/>
        <v>0</v>
      </c>
      <c r="GN241">
        <f t="shared" si="507"/>
        <v>1</v>
      </c>
      <c r="GO241">
        <f t="shared" si="508"/>
        <v>1</v>
      </c>
      <c r="GP241">
        <f t="shared" si="509"/>
        <v>1</v>
      </c>
      <c r="GQ241">
        <f t="shared" si="510"/>
        <v>1</v>
      </c>
      <c r="GR241">
        <f t="shared" si="511"/>
        <v>1</v>
      </c>
      <c r="GS241">
        <f t="shared" si="512"/>
        <v>1</v>
      </c>
      <c r="GT241">
        <f t="shared" si="513"/>
        <v>1</v>
      </c>
      <c r="GU241">
        <f t="shared" si="514"/>
        <v>1</v>
      </c>
      <c r="GX241" s="10"/>
    </row>
    <row r="242" spans="1:206" x14ac:dyDescent="0.3">
      <c r="A242" s="34" t="s">
        <v>209</v>
      </c>
      <c r="B242" s="84"/>
      <c r="C242" s="9">
        <v>3120468003</v>
      </c>
      <c r="D242" s="34" t="s">
        <v>380</v>
      </c>
      <c r="E242" s="34" t="s">
        <v>34</v>
      </c>
      <c r="F242" s="34" t="s">
        <v>35</v>
      </c>
      <c r="G242" s="34" t="s">
        <v>86</v>
      </c>
      <c r="H242" s="10">
        <v>45057</v>
      </c>
      <c r="I242" s="9">
        <f t="shared" si="515"/>
        <v>2023</v>
      </c>
      <c r="J242" s="9">
        <f t="shared" si="516"/>
        <v>5</v>
      </c>
      <c r="K242" s="9" t="str">
        <f t="shared" si="517"/>
        <v>2023_5</v>
      </c>
      <c r="L242">
        <f>MAX(0,VLOOKUP($K242,lookups!$A$1:$B$45,2,0)-12)</f>
        <v>25</v>
      </c>
      <c r="M242" s="40">
        <f t="shared" si="518"/>
        <v>45047</v>
      </c>
      <c r="N242" s="10" t="s">
        <v>37</v>
      </c>
      <c r="O242" t="str">
        <f ca="1">IF(OR($L242&gt;O$4,O$4&gt;$L242+23),"",OFFSET(Electric!$L233,0,-'Electric Calendarize'!$L242+'Electric Calendarize'!O$4+1))</f>
        <v/>
      </c>
      <c r="P242" t="str">
        <f ca="1">IF(OR($L242&gt;P$4,P$4&gt;$L242+23),"",OFFSET(Electric!$L233,0,-'Electric Calendarize'!$L242+'Electric Calendarize'!P$4+1))</f>
        <v/>
      </c>
      <c r="Q242" t="str">
        <f ca="1">IF(OR($L242&gt;Q$4,Q$4&gt;$L242+23),"",OFFSET(Electric!$L233,0,-'Electric Calendarize'!$L242+'Electric Calendarize'!Q$4+1))</f>
        <v/>
      </c>
      <c r="R242" t="str">
        <f ca="1">IF(OR($L242&gt;R$4,R$4&gt;$L242+23),"",OFFSET(Electric!$L233,0,-'Electric Calendarize'!$L242+'Electric Calendarize'!R$4+1))</f>
        <v/>
      </c>
      <c r="S242" t="str">
        <f ca="1">IF(OR($L242&gt;S$4,S$4&gt;$L242+23),"",OFFSET(Electric!$L233,0,-'Electric Calendarize'!$L242+'Electric Calendarize'!S$4+1))</f>
        <v/>
      </c>
      <c r="T242" t="str">
        <f ca="1">IF(OR($L242&gt;T$4,T$4&gt;$L242+23),"",OFFSET(Electric!$L233,0,-'Electric Calendarize'!$L242+'Electric Calendarize'!T$4+1))</f>
        <v/>
      </c>
      <c r="U242" t="str">
        <f ca="1">IF(OR($L242&gt;U$4,U$4&gt;$L242+23),"",OFFSET(Electric!$L233,0,-'Electric Calendarize'!$L242+'Electric Calendarize'!U$4+1))</f>
        <v/>
      </c>
      <c r="V242" t="str">
        <f ca="1">IF(OR($L242&gt;V$4,V$4&gt;$L242+23),"",OFFSET(Electric!$L233,0,-'Electric Calendarize'!$L242+'Electric Calendarize'!V$4+1))</f>
        <v/>
      </c>
      <c r="W242" t="str">
        <f ca="1">IF(OR($L242&gt;W$4,W$4&gt;$L242+23),"",OFFSET(Electric!$L233,0,-'Electric Calendarize'!$L242+'Electric Calendarize'!W$4+1))</f>
        <v/>
      </c>
      <c r="X242" t="str">
        <f ca="1">IF(OR($L242&gt;X$4,X$4&gt;$L242+23),"",OFFSET(Electric!$L233,0,-'Electric Calendarize'!$L242+'Electric Calendarize'!X$4+1))</f>
        <v/>
      </c>
      <c r="Y242" t="str">
        <f ca="1">IF(OR($L242&gt;Y$4,Y$4&gt;$L242+23),"",OFFSET(Electric!$L233,0,-'Electric Calendarize'!$L242+'Electric Calendarize'!Y$4+1))</f>
        <v/>
      </c>
      <c r="Z242" t="str">
        <f ca="1">IF(OR($L242&gt;Z$4,Z$4&gt;$L242+23),"",OFFSET(Electric!$L233,0,-'Electric Calendarize'!$L242+'Electric Calendarize'!Z$4+1))</f>
        <v/>
      </c>
      <c r="AA242" t="str">
        <f ca="1">IF(OR($L242&gt;AA$4,AA$4&gt;$L242+23),"",OFFSET(Electric!$L233,0,-'Electric Calendarize'!$L242+'Electric Calendarize'!AA$4+1))</f>
        <v/>
      </c>
      <c r="AB242" t="str">
        <f ca="1">IF(OR($L242&gt;AB$4,AB$4&gt;$L242+23),"",OFFSET(Electric!$L233,0,-'Electric Calendarize'!$L242+'Electric Calendarize'!AB$4+1))</f>
        <v/>
      </c>
      <c r="AC242" t="str">
        <f ca="1">IF(OR($L242&gt;AC$4,AC$4&gt;$L242+23),"",OFFSET(Electric!$L233,0,-'Electric Calendarize'!$L242+'Electric Calendarize'!AC$4+1))</f>
        <v/>
      </c>
      <c r="AD242" t="str">
        <f ca="1">IF(OR($L242&gt;AD$4,AD$4&gt;$L242+23),"",OFFSET(Electric!$L233,0,-'Electric Calendarize'!$L242+'Electric Calendarize'!AD$4+1))</f>
        <v/>
      </c>
      <c r="AE242" t="str">
        <f ca="1">IF(OR($L242&gt;AE$4,AE$4&gt;$L242+23),"",OFFSET(Electric!$L233,0,-'Electric Calendarize'!$L242+'Electric Calendarize'!AE$4+1))</f>
        <v/>
      </c>
      <c r="AF242" t="str">
        <f ca="1">IF(OR($L242&gt;AF$4,AF$4&gt;$L242+23),"",OFFSET(Electric!$L233,0,-'Electric Calendarize'!$L242+'Electric Calendarize'!AF$4+1))</f>
        <v/>
      </c>
      <c r="AG242" t="str">
        <f ca="1">IF(OR($L242&gt;AG$4,AG$4&gt;$L242+23),"",OFFSET(Electric!$L233,0,-'Electric Calendarize'!$L242+'Electric Calendarize'!AG$4+1))</f>
        <v/>
      </c>
      <c r="AH242" t="str">
        <f ca="1">IF(OR($L242&gt;AH$4,AH$4&gt;$L242+23),"",OFFSET(Electric!$L233,0,-'Electric Calendarize'!$L242+'Electric Calendarize'!AH$4+1))</f>
        <v/>
      </c>
      <c r="AI242" t="str">
        <f ca="1">IF(OR($L242&gt;AI$4,AI$4&gt;$L242+23),"",OFFSET(Electric!$L233,0,-'Electric Calendarize'!$L242+'Electric Calendarize'!AI$4+1))</f>
        <v/>
      </c>
      <c r="AJ242" t="str">
        <f ca="1">IF(OR($L242&gt;AJ$4,AJ$4&gt;$L242+23),"",OFFSET(Electric!$L233,0,-'Electric Calendarize'!$L242+'Electric Calendarize'!AJ$4+1))</f>
        <v/>
      </c>
      <c r="AK242" t="str">
        <f ca="1">IF(OR($L242&gt;AK$4,AK$4&gt;$L242+23),"",OFFSET(Electric!$L233,0,-'Electric Calendarize'!$L242+'Electric Calendarize'!AK$4+1))</f>
        <v/>
      </c>
      <c r="AL242" t="str">
        <f ca="1">IF(OR($L242&gt;AL$4,AL$4&gt;$L242+23),"",OFFSET(Electric!$L233,0,-'Electric Calendarize'!$L242+'Electric Calendarize'!AL$4+1))</f>
        <v/>
      </c>
      <c r="AM242" t="str">
        <f ca="1">IF(OR($L242&gt;AM$4,AM$4&gt;$L242+23),"",OFFSET(Electric!$L233,0,-'Electric Calendarize'!$L242+'Electric Calendarize'!AM$4+1))</f>
        <v/>
      </c>
      <c r="AN242">
        <f ca="1">IF(OR($L242&gt;AN$4,AN$4&gt;$L242+23),"",OFFSET(Electric!$L233,0,-'Electric Calendarize'!$L242+'Electric Calendarize'!AN$4+1))</f>
        <v>1196</v>
      </c>
      <c r="AO242">
        <f ca="1">IF(OR($L242&gt;AO$4,AO$4&gt;$L242+23),"",OFFSET(Electric!$L233,0,-'Electric Calendarize'!$L242+'Electric Calendarize'!AO$4+1))</f>
        <v>2994</v>
      </c>
      <c r="AP242">
        <f ca="1">IF(OR($L242&gt;AP$4,AP$4&gt;$L242+23),"",OFFSET(Electric!$L233,0,-'Electric Calendarize'!$L242+'Electric Calendarize'!AP$4+1))</f>
        <v>3380</v>
      </c>
      <c r="AQ242">
        <f ca="1">IF(OR($L242&gt;AQ$4,AQ$4&gt;$L242+23),"",OFFSET(Electric!$L233,0,-'Electric Calendarize'!$L242+'Electric Calendarize'!AQ$4+1))</f>
        <v>3420</v>
      </c>
      <c r="AR242">
        <f ca="1">IF(OR($L242&gt;AR$4,AR$4&gt;$L242+23),"",OFFSET(Electric!$L233,0,-'Electric Calendarize'!$L242+'Electric Calendarize'!AR$4+1))</f>
        <v>2215</v>
      </c>
      <c r="AS242">
        <f ca="1">IF(OR($L242&gt;AS$4,AS$4&gt;$L242+23),"",OFFSET(Electric!$L233,0,-'Electric Calendarize'!$L242+'Electric Calendarize'!AS$4+1))</f>
        <v>879</v>
      </c>
      <c r="AT242">
        <f ca="1">IF(OR($L242&gt;AT$4,AT$4&gt;$L242+23),"",OFFSET(Electric!$L233,0,-'Electric Calendarize'!$L242+'Electric Calendarize'!AT$4+1))</f>
        <v>807</v>
      </c>
      <c r="AU242">
        <f ca="1">IF(OR($L242&gt;AU$4,AU$4&gt;$L242+23),"",OFFSET(Electric!$L233,0,-'Electric Calendarize'!$L242+'Electric Calendarize'!AU$4+1))</f>
        <v>901</v>
      </c>
      <c r="AV242">
        <f ca="1">IF(OR($L242&gt;AV$4,AV$4&gt;$L242+23),"",OFFSET(Electric!$L233,0,-'Electric Calendarize'!$L242+'Electric Calendarize'!AV$4+1))</f>
        <v>893</v>
      </c>
      <c r="AW242">
        <f ca="1">IF(OR($L242&gt;AW$4,AW$4&gt;$L242+23),"",OFFSET(Electric!$L233,0,-'Electric Calendarize'!$L242+'Electric Calendarize'!AW$4+1))</f>
        <v>932</v>
      </c>
      <c r="AX242">
        <f ca="1">IF(OR($L242&gt;AX$4,AX$4&gt;$L242+23),"",OFFSET(Electric!$L233,0,-'Electric Calendarize'!$L242+'Electric Calendarize'!AX$4+1))</f>
        <v>935</v>
      </c>
      <c r="AY242">
        <f ca="1">IF(OR($L242&gt;AY$4,AY$4&gt;$L242+23),"",OFFSET(Electric!$L233,0,-'Electric Calendarize'!$L242+'Electric Calendarize'!AY$4+1))</f>
        <v>804</v>
      </c>
      <c r="AZ242">
        <f ca="1">IF(OR($L242&gt;AZ$4,AZ$4&gt;$L242+23),"",OFFSET(Electric!$L233,0,-'Electric Calendarize'!$L242+'Electric Calendarize'!AZ$4+1))</f>
        <v>1013</v>
      </c>
      <c r="BA242">
        <f ca="1">IF(OR($L242&gt;BA$4,BA$4&gt;$L242+23),"",OFFSET(Electric!$L233,0,-'Electric Calendarize'!$L242+'Electric Calendarize'!BA$4+1))</f>
        <v>1336</v>
      </c>
      <c r="BB242">
        <f ca="1">IF(OR($L242&gt;BB$4,BB$4&gt;$L242+23),"",OFFSET(Electric!$L233,0,-'Electric Calendarize'!$L242+'Electric Calendarize'!BB$4+1))</f>
        <v>3271</v>
      </c>
      <c r="BC242">
        <f ca="1">IF(OR($L242&gt;BC$4,BC$4&gt;$L242+23),"",OFFSET(Electric!$L233,0,-'Electric Calendarize'!$L242+'Electric Calendarize'!BC$4+1))</f>
        <v>2979</v>
      </c>
      <c r="BD242">
        <f ca="1">IF(OR($L242&gt;BD$4,BD$4&gt;$L242+23),"",OFFSET(Electric!$L233,0,-'Electric Calendarize'!$L242+'Electric Calendarize'!BD$4+1))</f>
        <v>2476</v>
      </c>
      <c r="BE242">
        <f ca="1">IF(OR($L242&gt;BE$4,BE$4&gt;$L242+23),"",OFFSET(Electric!$L233,0,-'Electric Calendarize'!$L242+'Electric Calendarize'!BE$4+1))</f>
        <v>1053</v>
      </c>
      <c r="BF242">
        <f ca="1">IF(OR($L242&gt;BF$4,BF$4&gt;$L242+23),"",OFFSET(Electric!$L233,0,-'Electric Calendarize'!$L242+'Electric Calendarize'!BF$4+1))</f>
        <v>722</v>
      </c>
      <c r="BG242">
        <f ca="1">IF(OR($L242&gt;BG$4,BG$4&gt;$L242+23),"",OFFSET(Electric!$L233,0,-'Electric Calendarize'!$L242+'Electric Calendarize'!BG$4+1))</f>
        <v>0</v>
      </c>
      <c r="BJ242" s="10" t="s">
        <v>37</v>
      </c>
      <c r="BK242">
        <f t="shared" si="519"/>
        <v>1</v>
      </c>
      <c r="BL242">
        <f t="shared" si="425"/>
        <v>0</v>
      </c>
      <c r="BM242">
        <f t="shared" si="426"/>
        <v>0</v>
      </c>
      <c r="BN242">
        <f t="shared" si="427"/>
        <v>0</v>
      </c>
      <c r="BO242">
        <f t="shared" si="428"/>
        <v>0</v>
      </c>
      <c r="BP242">
        <f t="shared" si="429"/>
        <v>0</v>
      </c>
      <c r="BQ242">
        <f t="shared" si="430"/>
        <v>0</v>
      </c>
      <c r="BR242">
        <f t="shared" si="431"/>
        <v>1</v>
      </c>
      <c r="BS242">
        <f t="shared" si="432"/>
        <v>1</v>
      </c>
      <c r="BT242">
        <f t="shared" si="433"/>
        <v>1</v>
      </c>
      <c r="BU242">
        <f t="shared" si="434"/>
        <v>1</v>
      </c>
      <c r="BV242">
        <f t="shared" si="435"/>
        <v>1</v>
      </c>
      <c r="BW242">
        <f t="shared" si="436"/>
        <v>1</v>
      </c>
      <c r="BX242">
        <f t="shared" si="437"/>
        <v>0</v>
      </c>
      <c r="BY242">
        <f t="shared" si="438"/>
        <v>0</v>
      </c>
      <c r="BZ242">
        <f t="shared" si="439"/>
        <v>0</v>
      </c>
      <c r="CA242">
        <f t="shared" si="440"/>
        <v>0</v>
      </c>
      <c r="CB242">
        <f t="shared" si="441"/>
        <v>0</v>
      </c>
      <c r="CC242">
        <f t="shared" si="442"/>
        <v>0</v>
      </c>
      <c r="CD242">
        <f t="shared" si="443"/>
        <v>1</v>
      </c>
      <c r="CE242">
        <f t="shared" si="444"/>
        <v>1</v>
      </c>
      <c r="CF242">
        <f t="shared" si="445"/>
        <v>1</v>
      </c>
      <c r="CG242">
        <f t="shared" si="446"/>
        <v>1</v>
      </c>
      <c r="CH242">
        <f t="shared" si="447"/>
        <v>1</v>
      </c>
      <c r="CI242">
        <f t="shared" si="448"/>
        <v>1</v>
      </c>
      <c r="CJ242">
        <f t="shared" si="449"/>
        <v>0</v>
      </c>
      <c r="CK242">
        <f t="shared" si="450"/>
        <v>0</v>
      </c>
      <c r="CL242">
        <f t="shared" si="451"/>
        <v>0</v>
      </c>
      <c r="CM242">
        <f t="shared" si="452"/>
        <v>0</v>
      </c>
      <c r="CN242">
        <f t="shared" si="453"/>
        <v>0</v>
      </c>
      <c r="CO242">
        <f t="shared" si="454"/>
        <v>0</v>
      </c>
      <c r="CP242">
        <f t="shared" si="455"/>
        <v>1</v>
      </c>
      <c r="CQ242">
        <f t="shared" si="456"/>
        <v>1</v>
      </c>
      <c r="CR242">
        <f t="shared" si="457"/>
        <v>1</v>
      </c>
      <c r="CS242">
        <f t="shared" si="458"/>
        <v>1</v>
      </c>
      <c r="CT242">
        <f t="shared" si="459"/>
        <v>1</v>
      </c>
      <c r="CU242">
        <f t="shared" si="460"/>
        <v>1</v>
      </c>
      <c r="CV242">
        <f t="shared" si="461"/>
        <v>0</v>
      </c>
      <c r="CW242">
        <f t="shared" si="462"/>
        <v>0</v>
      </c>
      <c r="CX242">
        <f t="shared" si="463"/>
        <v>0</v>
      </c>
      <c r="CY242">
        <f t="shared" si="464"/>
        <v>0</v>
      </c>
      <c r="CZ242">
        <f t="shared" si="465"/>
        <v>0</v>
      </c>
      <c r="DA242">
        <f t="shared" si="466"/>
        <v>0</v>
      </c>
      <c r="DB242">
        <f t="shared" si="467"/>
        <v>1</v>
      </c>
      <c r="DC242">
        <f t="shared" si="468"/>
        <v>1</v>
      </c>
      <c r="DF242" s="10" t="s">
        <v>37</v>
      </c>
      <c r="DG242" t="str">
        <f t="shared" si="528"/>
        <v>2023_5</v>
      </c>
      <c r="DH242" t="str">
        <f t="shared" si="528"/>
        <v>2023_5</v>
      </c>
      <c r="DI242" t="str">
        <f t="shared" si="528"/>
        <v>2023_5</v>
      </c>
      <c r="DJ242" t="str">
        <f t="shared" si="528"/>
        <v>2023_5</v>
      </c>
      <c r="DK242" t="str">
        <f t="shared" si="528"/>
        <v>2023_5</v>
      </c>
      <c r="DL242" t="str">
        <f t="shared" si="528"/>
        <v>2023_5</v>
      </c>
      <c r="DM242" t="str">
        <f t="shared" si="528"/>
        <v>2023_5</v>
      </c>
      <c r="DN242" t="str">
        <f t="shared" si="528"/>
        <v>2023_5</v>
      </c>
      <c r="DO242" t="str">
        <f t="shared" si="528"/>
        <v>2023_5</v>
      </c>
      <c r="DP242" t="str">
        <f t="shared" si="528"/>
        <v>2023_5</v>
      </c>
      <c r="DQ242" t="str">
        <f t="shared" si="528"/>
        <v>2023_5</v>
      </c>
      <c r="DR242" t="str">
        <f t="shared" si="528"/>
        <v>2023_5</v>
      </c>
      <c r="DS242" t="str">
        <f t="shared" si="528"/>
        <v>2023_5</v>
      </c>
      <c r="DT242" t="str">
        <f t="shared" si="528"/>
        <v>2023_5</v>
      </c>
      <c r="DU242" t="str">
        <f t="shared" si="528"/>
        <v>2023_5</v>
      </c>
      <c r="DV242" t="str">
        <f t="shared" si="526"/>
        <v>2023_5</v>
      </c>
      <c r="DW242" t="str">
        <f t="shared" si="526"/>
        <v>2023_5</v>
      </c>
      <c r="DX242" t="str">
        <f t="shared" si="526"/>
        <v>2023_5</v>
      </c>
      <c r="DY242" t="str">
        <f t="shared" si="526"/>
        <v>2023_5</v>
      </c>
      <c r="DZ242" t="str">
        <f t="shared" si="526"/>
        <v>2023_5</v>
      </c>
      <c r="EA242" t="str">
        <f t="shared" si="526"/>
        <v>2023_5</v>
      </c>
      <c r="EB242" t="str">
        <f t="shared" si="526"/>
        <v>2023_5</v>
      </c>
      <c r="EC242" t="str">
        <f t="shared" si="526"/>
        <v>2023_5</v>
      </c>
      <c r="ED242" t="str">
        <f t="shared" si="526"/>
        <v>2023_5</v>
      </c>
      <c r="EE242" t="str">
        <f t="shared" si="526"/>
        <v>2023_5</v>
      </c>
      <c r="EF242" t="str">
        <f t="shared" si="526"/>
        <v>2023_5</v>
      </c>
      <c r="EG242" t="str">
        <f t="shared" si="526"/>
        <v>2023_5</v>
      </c>
      <c r="EH242" t="str">
        <f t="shared" si="526"/>
        <v>2023_5</v>
      </c>
      <c r="EI242" t="str">
        <f t="shared" si="526"/>
        <v>2023_5</v>
      </c>
      <c r="EJ242" t="str">
        <f t="shared" si="526"/>
        <v>2023_5</v>
      </c>
      <c r="EK242" t="str">
        <f t="shared" si="526"/>
        <v>2023_5</v>
      </c>
      <c r="EL242" t="str">
        <f t="shared" si="527"/>
        <v>2023_5</v>
      </c>
      <c r="EM242" t="str">
        <f t="shared" si="525"/>
        <v>2023_5</v>
      </c>
      <c r="EN242" t="str">
        <f t="shared" si="525"/>
        <v>2023_5</v>
      </c>
      <c r="EO242" t="str">
        <f t="shared" si="525"/>
        <v>2023_5</v>
      </c>
      <c r="EP242" t="str">
        <f t="shared" si="525"/>
        <v>2023_5</v>
      </c>
      <c r="EQ242" t="str">
        <f t="shared" si="525"/>
        <v>2023_5</v>
      </c>
      <c r="ER242" t="str">
        <f t="shared" si="525"/>
        <v>2023_5</v>
      </c>
      <c r="ES242" t="str">
        <f t="shared" si="525"/>
        <v>2023_5</v>
      </c>
      <c r="ET242" t="str">
        <f t="shared" si="525"/>
        <v>2023_5</v>
      </c>
      <c r="EU242" t="str">
        <f t="shared" si="525"/>
        <v>2023_5</v>
      </c>
      <c r="EV242" t="str">
        <f t="shared" si="525"/>
        <v>2023_5</v>
      </c>
      <c r="EW242" t="str">
        <f t="shared" si="525"/>
        <v>2023_5</v>
      </c>
      <c r="EX242" t="str">
        <f t="shared" si="525"/>
        <v>2023_5</v>
      </c>
      <c r="EY242" t="str">
        <f t="shared" si="525"/>
        <v>2023_5</v>
      </c>
      <c r="FB242" s="10" t="s">
        <v>37</v>
      </c>
      <c r="FC242">
        <f t="shared" si="521"/>
        <v>0</v>
      </c>
      <c r="FD242">
        <f t="shared" si="471"/>
        <v>0</v>
      </c>
      <c r="FE242">
        <f t="shared" si="472"/>
        <v>0</v>
      </c>
      <c r="FF242">
        <f t="shared" si="473"/>
        <v>0</v>
      </c>
      <c r="FG242">
        <f t="shared" si="474"/>
        <v>0</v>
      </c>
      <c r="FH242">
        <f t="shared" si="475"/>
        <v>0</v>
      </c>
      <c r="FI242">
        <f t="shared" si="476"/>
        <v>0</v>
      </c>
      <c r="FJ242">
        <f t="shared" si="477"/>
        <v>0</v>
      </c>
      <c r="FK242">
        <f t="shared" si="478"/>
        <v>0</v>
      </c>
      <c r="FL242">
        <f t="shared" si="479"/>
        <v>0</v>
      </c>
      <c r="FM242">
        <f t="shared" si="480"/>
        <v>0</v>
      </c>
      <c r="FN242">
        <f t="shared" si="481"/>
        <v>0</v>
      </c>
      <c r="FO242">
        <f t="shared" si="482"/>
        <v>0</v>
      </c>
      <c r="FP242">
        <f t="shared" si="483"/>
        <v>0</v>
      </c>
      <c r="FQ242">
        <f t="shared" si="484"/>
        <v>0</v>
      </c>
      <c r="FR242">
        <f t="shared" si="485"/>
        <v>0</v>
      </c>
      <c r="FS242">
        <f t="shared" si="486"/>
        <v>0</v>
      </c>
      <c r="FT242">
        <f t="shared" si="487"/>
        <v>0</v>
      </c>
      <c r="FU242">
        <f t="shared" si="488"/>
        <v>0</v>
      </c>
      <c r="FV242">
        <f t="shared" si="489"/>
        <v>0</v>
      </c>
      <c r="FW242">
        <f t="shared" si="490"/>
        <v>0</v>
      </c>
      <c r="FX242">
        <f t="shared" si="491"/>
        <v>0</v>
      </c>
      <c r="FY242">
        <f t="shared" si="492"/>
        <v>0</v>
      </c>
      <c r="FZ242">
        <f t="shared" si="493"/>
        <v>0</v>
      </c>
      <c r="GA242">
        <f t="shared" si="494"/>
        <v>0</v>
      </c>
      <c r="GB242">
        <f t="shared" si="495"/>
        <v>0</v>
      </c>
      <c r="GC242">
        <f t="shared" si="496"/>
        <v>0</v>
      </c>
      <c r="GD242">
        <f t="shared" si="497"/>
        <v>0</v>
      </c>
      <c r="GE242">
        <f t="shared" si="498"/>
        <v>0</v>
      </c>
      <c r="GF242">
        <f t="shared" si="499"/>
        <v>0</v>
      </c>
      <c r="GG242">
        <f t="shared" si="500"/>
        <v>0</v>
      </c>
      <c r="GH242">
        <f t="shared" si="501"/>
        <v>0</v>
      </c>
      <c r="GI242">
        <f t="shared" si="502"/>
        <v>0</v>
      </c>
      <c r="GJ242">
        <f t="shared" si="503"/>
        <v>0</v>
      </c>
      <c r="GK242">
        <f t="shared" si="504"/>
        <v>0</v>
      </c>
      <c r="GL242">
        <f t="shared" si="505"/>
        <v>0</v>
      </c>
      <c r="GM242">
        <f t="shared" si="506"/>
        <v>0</v>
      </c>
      <c r="GN242">
        <f t="shared" si="507"/>
        <v>1</v>
      </c>
      <c r="GO242">
        <f t="shared" si="508"/>
        <v>1</v>
      </c>
      <c r="GP242">
        <f t="shared" si="509"/>
        <v>1</v>
      </c>
      <c r="GQ242">
        <f t="shared" si="510"/>
        <v>1</v>
      </c>
      <c r="GR242">
        <f t="shared" si="511"/>
        <v>1</v>
      </c>
      <c r="GS242">
        <f t="shared" si="512"/>
        <v>1</v>
      </c>
      <c r="GT242">
        <f t="shared" si="513"/>
        <v>1</v>
      </c>
      <c r="GU242">
        <f t="shared" si="514"/>
        <v>1</v>
      </c>
      <c r="GX242" s="10"/>
    </row>
    <row r="243" spans="1:206" x14ac:dyDescent="0.3">
      <c r="A243" s="34" t="s">
        <v>33</v>
      </c>
      <c r="B243" s="84"/>
      <c r="C243" s="9">
        <v>3021006001</v>
      </c>
      <c r="D243" s="34" t="s">
        <v>499</v>
      </c>
      <c r="E243" s="34" t="s">
        <v>43</v>
      </c>
      <c r="F243" s="34" t="s">
        <v>35</v>
      </c>
      <c r="G243" s="34" t="s">
        <v>257</v>
      </c>
      <c r="H243" s="10">
        <v>45058</v>
      </c>
      <c r="I243" s="9">
        <f t="shared" si="515"/>
        <v>2023</v>
      </c>
      <c r="J243" s="9">
        <f t="shared" si="516"/>
        <v>5</v>
      </c>
      <c r="K243" s="9" t="str">
        <f t="shared" si="517"/>
        <v>2023_5</v>
      </c>
      <c r="L243">
        <f>MAX(0,VLOOKUP($K243,lookups!$A$1:$B$45,2,0)-12)</f>
        <v>25</v>
      </c>
      <c r="M243" s="40">
        <f t="shared" si="518"/>
        <v>45047</v>
      </c>
      <c r="N243" s="10" t="s">
        <v>37</v>
      </c>
      <c r="O243" t="str">
        <f ca="1">IF(OR($L243&gt;O$4,O$4&gt;$L243+23),"",OFFSET(Electric!$L234,0,-'Electric Calendarize'!$L243+'Electric Calendarize'!O$4+1))</f>
        <v/>
      </c>
      <c r="P243" t="str">
        <f ca="1">IF(OR($L243&gt;P$4,P$4&gt;$L243+23),"",OFFSET(Electric!$L234,0,-'Electric Calendarize'!$L243+'Electric Calendarize'!P$4+1))</f>
        <v/>
      </c>
      <c r="Q243" t="str">
        <f ca="1">IF(OR($L243&gt;Q$4,Q$4&gt;$L243+23),"",OFFSET(Electric!$L234,0,-'Electric Calendarize'!$L243+'Electric Calendarize'!Q$4+1))</f>
        <v/>
      </c>
      <c r="R243" t="str">
        <f ca="1">IF(OR($L243&gt;R$4,R$4&gt;$L243+23),"",OFFSET(Electric!$L234,0,-'Electric Calendarize'!$L243+'Electric Calendarize'!R$4+1))</f>
        <v/>
      </c>
      <c r="S243" t="str">
        <f ca="1">IF(OR($L243&gt;S$4,S$4&gt;$L243+23),"",OFFSET(Electric!$L234,0,-'Electric Calendarize'!$L243+'Electric Calendarize'!S$4+1))</f>
        <v/>
      </c>
      <c r="T243" t="str">
        <f ca="1">IF(OR($L243&gt;T$4,T$4&gt;$L243+23),"",OFFSET(Electric!$L234,0,-'Electric Calendarize'!$L243+'Electric Calendarize'!T$4+1))</f>
        <v/>
      </c>
      <c r="U243" t="str">
        <f ca="1">IF(OR($L243&gt;U$4,U$4&gt;$L243+23),"",OFFSET(Electric!$L234,0,-'Electric Calendarize'!$L243+'Electric Calendarize'!U$4+1))</f>
        <v/>
      </c>
      <c r="V243" t="str">
        <f ca="1">IF(OR($L243&gt;V$4,V$4&gt;$L243+23),"",OFFSET(Electric!$L234,0,-'Electric Calendarize'!$L243+'Electric Calendarize'!V$4+1))</f>
        <v/>
      </c>
      <c r="W243" t="str">
        <f ca="1">IF(OR($L243&gt;W$4,W$4&gt;$L243+23),"",OFFSET(Electric!$L234,0,-'Electric Calendarize'!$L243+'Electric Calendarize'!W$4+1))</f>
        <v/>
      </c>
      <c r="X243" t="str">
        <f ca="1">IF(OR($L243&gt;X$4,X$4&gt;$L243+23),"",OFFSET(Electric!$L234,0,-'Electric Calendarize'!$L243+'Electric Calendarize'!X$4+1))</f>
        <v/>
      </c>
      <c r="Y243" t="str">
        <f ca="1">IF(OR($L243&gt;Y$4,Y$4&gt;$L243+23),"",OFFSET(Electric!$L234,0,-'Electric Calendarize'!$L243+'Electric Calendarize'!Y$4+1))</f>
        <v/>
      </c>
      <c r="Z243" t="str">
        <f ca="1">IF(OR($L243&gt;Z$4,Z$4&gt;$L243+23),"",OFFSET(Electric!$L234,0,-'Electric Calendarize'!$L243+'Electric Calendarize'!Z$4+1))</f>
        <v/>
      </c>
      <c r="AA243" t="str">
        <f ca="1">IF(OR($L243&gt;AA$4,AA$4&gt;$L243+23),"",OFFSET(Electric!$L234,0,-'Electric Calendarize'!$L243+'Electric Calendarize'!AA$4+1))</f>
        <v/>
      </c>
      <c r="AB243" t="str">
        <f ca="1">IF(OR($L243&gt;AB$4,AB$4&gt;$L243+23),"",OFFSET(Electric!$L234,0,-'Electric Calendarize'!$L243+'Electric Calendarize'!AB$4+1))</f>
        <v/>
      </c>
      <c r="AC243" t="str">
        <f ca="1">IF(OR($L243&gt;AC$4,AC$4&gt;$L243+23),"",OFFSET(Electric!$L234,0,-'Electric Calendarize'!$L243+'Electric Calendarize'!AC$4+1))</f>
        <v/>
      </c>
      <c r="AD243" t="str">
        <f ca="1">IF(OR($L243&gt;AD$4,AD$4&gt;$L243+23),"",OFFSET(Electric!$L234,0,-'Electric Calendarize'!$L243+'Electric Calendarize'!AD$4+1))</f>
        <v/>
      </c>
      <c r="AE243" t="str">
        <f ca="1">IF(OR($L243&gt;AE$4,AE$4&gt;$L243+23),"",OFFSET(Electric!$L234,0,-'Electric Calendarize'!$L243+'Electric Calendarize'!AE$4+1))</f>
        <v/>
      </c>
      <c r="AF243" t="str">
        <f ca="1">IF(OR($L243&gt;AF$4,AF$4&gt;$L243+23),"",OFFSET(Electric!$L234,0,-'Electric Calendarize'!$L243+'Electric Calendarize'!AF$4+1))</f>
        <v/>
      </c>
      <c r="AG243" t="str">
        <f ca="1">IF(OR($L243&gt;AG$4,AG$4&gt;$L243+23),"",OFFSET(Electric!$L234,0,-'Electric Calendarize'!$L243+'Electric Calendarize'!AG$4+1))</f>
        <v/>
      </c>
      <c r="AH243" t="str">
        <f ca="1">IF(OR($L243&gt;AH$4,AH$4&gt;$L243+23),"",OFFSET(Electric!$L234,0,-'Electric Calendarize'!$L243+'Electric Calendarize'!AH$4+1))</f>
        <v/>
      </c>
      <c r="AI243" t="str">
        <f ca="1">IF(OR($L243&gt;AI$4,AI$4&gt;$L243+23),"",OFFSET(Electric!$L234,0,-'Electric Calendarize'!$L243+'Electric Calendarize'!AI$4+1))</f>
        <v/>
      </c>
      <c r="AJ243" t="str">
        <f ca="1">IF(OR($L243&gt;AJ$4,AJ$4&gt;$L243+23),"",OFFSET(Electric!$L234,0,-'Electric Calendarize'!$L243+'Electric Calendarize'!AJ$4+1))</f>
        <v/>
      </c>
      <c r="AK243" t="str">
        <f ca="1">IF(OR($L243&gt;AK$4,AK$4&gt;$L243+23),"",OFFSET(Electric!$L234,0,-'Electric Calendarize'!$L243+'Electric Calendarize'!AK$4+1))</f>
        <v/>
      </c>
      <c r="AL243" t="str">
        <f ca="1">IF(OR($L243&gt;AL$4,AL$4&gt;$L243+23),"",OFFSET(Electric!$L234,0,-'Electric Calendarize'!$L243+'Electric Calendarize'!AL$4+1))</f>
        <v/>
      </c>
      <c r="AM243" t="str">
        <f ca="1">IF(OR($L243&gt;AM$4,AM$4&gt;$L243+23),"",OFFSET(Electric!$L234,0,-'Electric Calendarize'!$L243+'Electric Calendarize'!AM$4+1))</f>
        <v/>
      </c>
      <c r="AN243">
        <f ca="1">IF(OR($L243&gt;AN$4,AN$4&gt;$L243+23),"",OFFSET(Electric!$L234,0,-'Electric Calendarize'!$L243+'Electric Calendarize'!AN$4+1))</f>
        <v>531</v>
      </c>
      <c r="AO243">
        <f ca="1">IF(OR($L243&gt;AO$4,AO$4&gt;$L243+23),"",OFFSET(Electric!$L234,0,-'Electric Calendarize'!$L243+'Electric Calendarize'!AO$4+1))</f>
        <v>555</v>
      </c>
      <c r="AP243">
        <f ca="1">IF(OR($L243&gt;AP$4,AP$4&gt;$L243+23),"",OFFSET(Electric!$L234,0,-'Electric Calendarize'!$L243+'Electric Calendarize'!AP$4+1))</f>
        <v>607</v>
      </c>
      <c r="AQ243">
        <f ca="1">IF(OR($L243&gt;AQ$4,AQ$4&gt;$L243+23),"",OFFSET(Electric!$L234,0,-'Electric Calendarize'!$L243+'Electric Calendarize'!AQ$4+1))</f>
        <v>866</v>
      </c>
      <c r="AR243">
        <f ca="1">IF(OR($L243&gt;AR$4,AR$4&gt;$L243+23),"",OFFSET(Electric!$L234,0,-'Electric Calendarize'!$L243+'Electric Calendarize'!AR$4+1))</f>
        <v>667</v>
      </c>
      <c r="AS243">
        <f ca="1">IF(OR($L243&gt;AS$4,AS$4&gt;$L243+23),"",OFFSET(Electric!$L234,0,-'Electric Calendarize'!$L243+'Electric Calendarize'!AS$4+1))</f>
        <v>434</v>
      </c>
      <c r="AT243">
        <f ca="1">IF(OR($L243&gt;AT$4,AT$4&gt;$L243+23),"",OFFSET(Electric!$L234,0,-'Electric Calendarize'!$L243+'Electric Calendarize'!AT$4+1))</f>
        <v>400</v>
      </c>
      <c r="AU243">
        <f ca="1">IF(OR($L243&gt;AU$4,AU$4&gt;$L243+23),"",OFFSET(Electric!$L234,0,-'Electric Calendarize'!$L243+'Electric Calendarize'!AU$4+1))</f>
        <v>470</v>
      </c>
      <c r="AV243">
        <f ca="1">IF(OR($L243&gt;AV$4,AV$4&gt;$L243+23),"",OFFSET(Electric!$L234,0,-'Electric Calendarize'!$L243+'Electric Calendarize'!AV$4+1))</f>
        <v>460</v>
      </c>
      <c r="AW243">
        <f ca="1">IF(OR($L243&gt;AW$4,AW$4&gt;$L243+23),"",OFFSET(Electric!$L234,0,-'Electric Calendarize'!$L243+'Electric Calendarize'!AW$4+1))</f>
        <v>483</v>
      </c>
      <c r="AX243">
        <f ca="1">IF(OR($L243&gt;AX$4,AX$4&gt;$L243+23),"",OFFSET(Electric!$L234,0,-'Electric Calendarize'!$L243+'Electric Calendarize'!AX$4+1))</f>
        <v>419</v>
      </c>
      <c r="AY243">
        <f ca="1">IF(OR($L243&gt;AY$4,AY$4&gt;$L243+23),"",OFFSET(Electric!$L234,0,-'Electric Calendarize'!$L243+'Electric Calendarize'!AY$4+1))</f>
        <v>419</v>
      </c>
      <c r="AZ243">
        <f ca="1">IF(OR($L243&gt;AZ$4,AZ$4&gt;$L243+23),"",OFFSET(Electric!$L234,0,-'Electric Calendarize'!$L243+'Electric Calendarize'!AZ$4+1))</f>
        <v>466</v>
      </c>
      <c r="BA243">
        <f ca="1">IF(OR($L243&gt;BA$4,BA$4&gt;$L243+23),"",OFFSET(Electric!$L234,0,-'Electric Calendarize'!$L243+'Electric Calendarize'!BA$4+1))</f>
        <v>408</v>
      </c>
      <c r="BB243">
        <f ca="1">IF(OR($L243&gt;BB$4,BB$4&gt;$L243+23),"",OFFSET(Electric!$L234,0,-'Electric Calendarize'!$L243+'Electric Calendarize'!BB$4+1))</f>
        <v>682</v>
      </c>
      <c r="BC243">
        <f ca="1">IF(OR($L243&gt;BC$4,BC$4&gt;$L243+23),"",OFFSET(Electric!$L234,0,-'Electric Calendarize'!$L243+'Electric Calendarize'!BC$4+1))</f>
        <v>693</v>
      </c>
      <c r="BD243">
        <f ca="1">IF(OR($L243&gt;BD$4,BD$4&gt;$L243+23),"",OFFSET(Electric!$L234,0,-'Electric Calendarize'!$L243+'Electric Calendarize'!BD$4+1))</f>
        <v>533</v>
      </c>
      <c r="BE243">
        <f ca="1">IF(OR($L243&gt;BE$4,BE$4&gt;$L243+23),"",OFFSET(Electric!$L234,0,-'Electric Calendarize'!$L243+'Electric Calendarize'!BE$4+1))</f>
        <v>534</v>
      </c>
      <c r="BF243">
        <f ca="1">IF(OR($L243&gt;BF$4,BF$4&gt;$L243+23),"",OFFSET(Electric!$L234,0,-'Electric Calendarize'!$L243+'Electric Calendarize'!BF$4+1))</f>
        <v>415</v>
      </c>
      <c r="BG243">
        <f ca="1">IF(OR($L243&gt;BG$4,BG$4&gt;$L243+23),"",OFFSET(Electric!$L234,0,-'Electric Calendarize'!$L243+'Electric Calendarize'!BG$4+1))</f>
        <v>436</v>
      </c>
      <c r="BJ243" s="10" t="s">
        <v>37</v>
      </c>
      <c r="BK243">
        <f t="shared" si="519"/>
        <v>1</v>
      </c>
      <c r="BL243">
        <f t="shared" si="425"/>
        <v>0</v>
      </c>
      <c r="BM243">
        <f t="shared" si="426"/>
        <v>0</v>
      </c>
      <c r="BN243">
        <f t="shared" si="427"/>
        <v>0</v>
      </c>
      <c r="BO243">
        <f t="shared" si="428"/>
        <v>0</v>
      </c>
      <c r="BP243">
        <f t="shared" si="429"/>
        <v>0</v>
      </c>
      <c r="BQ243">
        <f t="shared" si="430"/>
        <v>0</v>
      </c>
      <c r="BR243">
        <f t="shared" si="431"/>
        <v>1</v>
      </c>
      <c r="BS243">
        <f t="shared" si="432"/>
        <v>1</v>
      </c>
      <c r="BT243">
        <f t="shared" si="433"/>
        <v>1</v>
      </c>
      <c r="BU243">
        <f t="shared" si="434"/>
        <v>1</v>
      </c>
      <c r="BV243">
        <f t="shared" si="435"/>
        <v>1</v>
      </c>
      <c r="BW243">
        <f t="shared" si="436"/>
        <v>1</v>
      </c>
      <c r="BX243">
        <f t="shared" si="437"/>
        <v>0</v>
      </c>
      <c r="BY243">
        <f t="shared" si="438"/>
        <v>0</v>
      </c>
      <c r="BZ243">
        <f t="shared" si="439"/>
        <v>0</v>
      </c>
      <c r="CA243">
        <f t="shared" si="440"/>
        <v>0</v>
      </c>
      <c r="CB243">
        <f t="shared" si="441"/>
        <v>0</v>
      </c>
      <c r="CC243">
        <f t="shared" si="442"/>
        <v>0</v>
      </c>
      <c r="CD243">
        <f t="shared" si="443"/>
        <v>1</v>
      </c>
      <c r="CE243">
        <f t="shared" si="444"/>
        <v>1</v>
      </c>
      <c r="CF243">
        <f t="shared" si="445"/>
        <v>1</v>
      </c>
      <c r="CG243">
        <f t="shared" si="446"/>
        <v>1</v>
      </c>
      <c r="CH243">
        <f t="shared" si="447"/>
        <v>1</v>
      </c>
      <c r="CI243">
        <f t="shared" si="448"/>
        <v>1</v>
      </c>
      <c r="CJ243">
        <f t="shared" si="449"/>
        <v>0</v>
      </c>
      <c r="CK243">
        <f t="shared" si="450"/>
        <v>0</v>
      </c>
      <c r="CL243">
        <f t="shared" si="451"/>
        <v>0</v>
      </c>
      <c r="CM243">
        <f t="shared" si="452"/>
        <v>0</v>
      </c>
      <c r="CN243">
        <f t="shared" si="453"/>
        <v>0</v>
      </c>
      <c r="CO243">
        <f t="shared" si="454"/>
        <v>0</v>
      </c>
      <c r="CP243">
        <f t="shared" si="455"/>
        <v>1</v>
      </c>
      <c r="CQ243">
        <f t="shared" si="456"/>
        <v>1</v>
      </c>
      <c r="CR243">
        <f t="shared" si="457"/>
        <v>1</v>
      </c>
      <c r="CS243">
        <f t="shared" si="458"/>
        <v>1</v>
      </c>
      <c r="CT243">
        <f t="shared" si="459"/>
        <v>1</v>
      </c>
      <c r="CU243">
        <f t="shared" si="460"/>
        <v>1</v>
      </c>
      <c r="CV243">
        <f t="shared" si="461"/>
        <v>0</v>
      </c>
      <c r="CW243">
        <f t="shared" si="462"/>
        <v>0</v>
      </c>
      <c r="CX243">
        <f t="shared" si="463"/>
        <v>0</v>
      </c>
      <c r="CY243">
        <f t="shared" si="464"/>
        <v>0</v>
      </c>
      <c r="CZ243">
        <f t="shared" si="465"/>
        <v>0</v>
      </c>
      <c r="DA243">
        <f t="shared" si="466"/>
        <v>0</v>
      </c>
      <c r="DB243">
        <f t="shared" si="467"/>
        <v>1</v>
      </c>
      <c r="DC243">
        <f t="shared" si="468"/>
        <v>1</v>
      </c>
      <c r="DF243" s="10" t="s">
        <v>37</v>
      </c>
      <c r="DG243" t="str">
        <f t="shared" si="528"/>
        <v>2023_5</v>
      </c>
      <c r="DH243" t="str">
        <f t="shared" si="528"/>
        <v>2023_5</v>
      </c>
      <c r="DI243" t="str">
        <f t="shared" si="528"/>
        <v>2023_5</v>
      </c>
      <c r="DJ243" t="str">
        <f t="shared" si="528"/>
        <v>2023_5</v>
      </c>
      <c r="DK243" t="str">
        <f t="shared" si="528"/>
        <v>2023_5</v>
      </c>
      <c r="DL243" t="str">
        <f t="shared" si="528"/>
        <v>2023_5</v>
      </c>
      <c r="DM243" t="str">
        <f t="shared" si="528"/>
        <v>2023_5</v>
      </c>
      <c r="DN243" t="str">
        <f t="shared" si="528"/>
        <v>2023_5</v>
      </c>
      <c r="DO243" t="str">
        <f t="shared" si="528"/>
        <v>2023_5</v>
      </c>
      <c r="DP243" t="str">
        <f t="shared" si="528"/>
        <v>2023_5</v>
      </c>
      <c r="DQ243" t="str">
        <f t="shared" si="528"/>
        <v>2023_5</v>
      </c>
      <c r="DR243" t="str">
        <f t="shared" si="528"/>
        <v>2023_5</v>
      </c>
      <c r="DS243" t="str">
        <f t="shared" si="528"/>
        <v>2023_5</v>
      </c>
      <c r="DT243" t="str">
        <f t="shared" si="528"/>
        <v>2023_5</v>
      </c>
      <c r="DU243" t="str">
        <f t="shared" si="528"/>
        <v>2023_5</v>
      </c>
      <c r="DV243" t="str">
        <f t="shared" si="526"/>
        <v>2023_5</v>
      </c>
      <c r="DW243" t="str">
        <f t="shared" si="526"/>
        <v>2023_5</v>
      </c>
      <c r="DX243" t="str">
        <f t="shared" si="526"/>
        <v>2023_5</v>
      </c>
      <c r="DY243" t="str">
        <f t="shared" si="526"/>
        <v>2023_5</v>
      </c>
      <c r="DZ243" t="str">
        <f t="shared" si="526"/>
        <v>2023_5</v>
      </c>
      <c r="EA243" t="str">
        <f t="shared" si="526"/>
        <v>2023_5</v>
      </c>
      <c r="EB243" t="str">
        <f t="shared" si="526"/>
        <v>2023_5</v>
      </c>
      <c r="EC243" t="str">
        <f t="shared" si="526"/>
        <v>2023_5</v>
      </c>
      <c r="ED243" t="str">
        <f t="shared" si="526"/>
        <v>2023_5</v>
      </c>
      <c r="EE243" t="str">
        <f t="shared" si="526"/>
        <v>2023_5</v>
      </c>
      <c r="EF243" t="str">
        <f t="shared" si="526"/>
        <v>2023_5</v>
      </c>
      <c r="EG243" t="str">
        <f t="shared" si="526"/>
        <v>2023_5</v>
      </c>
      <c r="EH243" t="str">
        <f t="shared" si="526"/>
        <v>2023_5</v>
      </c>
      <c r="EI243" t="str">
        <f t="shared" si="526"/>
        <v>2023_5</v>
      </c>
      <c r="EJ243" t="str">
        <f t="shared" si="526"/>
        <v>2023_5</v>
      </c>
      <c r="EK243" t="str">
        <f t="shared" si="526"/>
        <v>2023_5</v>
      </c>
      <c r="EL243" t="str">
        <f t="shared" si="527"/>
        <v>2023_5</v>
      </c>
      <c r="EM243" t="str">
        <f t="shared" si="525"/>
        <v>2023_5</v>
      </c>
      <c r="EN243" t="str">
        <f t="shared" si="525"/>
        <v>2023_5</v>
      </c>
      <c r="EO243" t="str">
        <f t="shared" si="525"/>
        <v>2023_5</v>
      </c>
      <c r="EP243" t="str">
        <f t="shared" si="525"/>
        <v>2023_5</v>
      </c>
      <c r="EQ243" t="str">
        <f t="shared" si="525"/>
        <v>2023_5</v>
      </c>
      <c r="ER243" t="str">
        <f t="shared" si="525"/>
        <v>2023_5</v>
      </c>
      <c r="ES243" t="str">
        <f t="shared" si="525"/>
        <v>2023_5</v>
      </c>
      <c r="ET243" t="str">
        <f t="shared" si="525"/>
        <v>2023_5</v>
      </c>
      <c r="EU243" t="str">
        <f t="shared" si="525"/>
        <v>2023_5</v>
      </c>
      <c r="EV243" t="str">
        <f t="shared" si="525"/>
        <v>2023_5</v>
      </c>
      <c r="EW243" t="str">
        <f t="shared" si="525"/>
        <v>2023_5</v>
      </c>
      <c r="EX243" t="str">
        <f t="shared" si="525"/>
        <v>2023_5</v>
      </c>
      <c r="EY243" t="str">
        <f t="shared" si="525"/>
        <v>2023_5</v>
      </c>
      <c r="FB243" s="10" t="s">
        <v>37</v>
      </c>
      <c r="FC243">
        <f t="shared" si="521"/>
        <v>0</v>
      </c>
      <c r="FD243">
        <f t="shared" si="471"/>
        <v>0</v>
      </c>
      <c r="FE243">
        <f t="shared" si="472"/>
        <v>0</v>
      </c>
      <c r="FF243">
        <f t="shared" si="473"/>
        <v>0</v>
      </c>
      <c r="FG243">
        <f t="shared" si="474"/>
        <v>0</v>
      </c>
      <c r="FH243">
        <f t="shared" si="475"/>
        <v>0</v>
      </c>
      <c r="FI243">
        <f t="shared" si="476"/>
        <v>0</v>
      </c>
      <c r="FJ243">
        <f t="shared" si="477"/>
        <v>0</v>
      </c>
      <c r="FK243">
        <f t="shared" si="478"/>
        <v>0</v>
      </c>
      <c r="FL243">
        <f t="shared" si="479"/>
        <v>0</v>
      </c>
      <c r="FM243">
        <f t="shared" si="480"/>
        <v>0</v>
      </c>
      <c r="FN243">
        <f t="shared" si="481"/>
        <v>0</v>
      </c>
      <c r="FO243">
        <f t="shared" si="482"/>
        <v>0</v>
      </c>
      <c r="FP243">
        <f t="shared" si="483"/>
        <v>0</v>
      </c>
      <c r="FQ243">
        <f t="shared" si="484"/>
        <v>0</v>
      </c>
      <c r="FR243">
        <f t="shared" si="485"/>
        <v>0</v>
      </c>
      <c r="FS243">
        <f t="shared" si="486"/>
        <v>0</v>
      </c>
      <c r="FT243">
        <f t="shared" si="487"/>
        <v>0</v>
      </c>
      <c r="FU243">
        <f t="shared" si="488"/>
        <v>0</v>
      </c>
      <c r="FV243">
        <f t="shared" si="489"/>
        <v>0</v>
      </c>
      <c r="FW243">
        <f t="shared" si="490"/>
        <v>0</v>
      </c>
      <c r="FX243">
        <f t="shared" si="491"/>
        <v>0</v>
      </c>
      <c r="FY243">
        <f t="shared" si="492"/>
        <v>0</v>
      </c>
      <c r="FZ243">
        <f t="shared" si="493"/>
        <v>0</v>
      </c>
      <c r="GA243">
        <f t="shared" si="494"/>
        <v>0</v>
      </c>
      <c r="GB243">
        <f t="shared" si="495"/>
        <v>0</v>
      </c>
      <c r="GC243">
        <f t="shared" si="496"/>
        <v>0</v>
      </c>
      <c r="GD243">
        <f t="shared" si="497"/>
        <v>0</v>
      </c>
      <c r="GE243">
        <f t="shared" si="498"/>
        <v>0</v>
      </c>
      <c r="GF243">
        <f t="shared" si="499"/>
        <v>0</v>
      </c>
      <c r="GG243">
        <f t="shared" si="500"/>
        <v>0</v>
      </c>
      <c r="GH243">
        <f t="shared" si="501"/>
        <v>0</v>
      </c>
      <c r="GI243">
        <f t="shared" si="502"/>
        <v>0</v>
      </c>
      <c r="GJ243">
        <f t="shared" si="503"/>
        <v>0</v>
      </c>
      <c r="GK243">
        <f t="shared" si="504"/>
        <v>0</v>
      </c>
      <c r="GL243">
        <f t="shared" si="505"/>
        <v>0</v>
      </c>
      <c r="GM243">
        <f t="shared" si="506"/>
        <v>0</v>
      </c>
      <c r="GN243">
        <f t="shared" si="507"/>
        <v>1</v>
      </c>
      <c r="GO243">
        <f t="shared" si="508"/>
        <v>1</v>
      </c>
      <c r="GP243">
        <f t="shared" si="509"/>
        <v>1</v>
      </c>
      <c r="GQ243">
        <f t="shared" si="510"/>
        <v>1</v>
      </c>
      <c r="GR243">
        <f t="shared" si="511"/>
        <v>1</v>
      </c>
      <c r="GS243">
        <f t="shared" si="512"/>
        <v>1</v>
      </c>
      <c r="GT243">
        <f t="shared" si="513"/>
        <v>1</v>
      </c>
      <c r="GU243">
        <f t="shared" si="514"/>
        <v>1</v>
      </c>
      <c r="GX243" s="10"/>
    </row>
    <row r="244" spans="1:206" x14ac:dyDescent="0.3">
      <c r="A244" s="37" t="s">
        <v>124</v>
      </c>
      <c r="B244" s="86"/>
      <c r="C244" s="37">
        <v>3060501001</v>
      </c>
      <c r="D244" s="37" t="s">
        <v>421</v>
      </c>
      <c r="E244" s="37" t="s">
        <v>34</v>
      </c>
      <c r="F244" s="37" t="s">
        <v>35</v>
      </c>
      <c r="G244" s="37" t="s">
        <v>258</v>
      </c>
      <c r="H244" s="10">
        <v>45062</v>
      </c>
      <c r="I244" s="9">
        <f t="shared" si="515"/>
        <v>2023</v>
      </c>
      <c r="J244" s="9">
        <f t="shared" si="516"/>
        <v>5</v>
      </c>
      <c r="K244" s="9" t="str">
        <f t="shared" si="517"/>
        <v>2023_5</v>
      </c>
      <c r="L244">
        <f>MAX(0,VLOOKUP($K244,lookups!$A$1:$B$45,2,0)-12)</f>
        <v>25</v>
      </c>
      <c r="M244" s="40">
        <f t="shared" si="518"/>
        <v>45047</v>
      </c>
      <c r="N244" s="10" t="s">
        <v>37</v>
      </c>
      <c r="O244" t="str">
        <f ca="1">IF(OR($L244&gt;O$4,O$4&gt;$L244+23),"",OFFSET(Electric!$L235,0,-'Electric Calendarize'!$L244+'Electric Calendarize'!O$4+1))</f>
        <v/>
      </c>
      <c r="P244" t="str">
        <f ca="1">IF(OR($L244&gt;P$4,P$4&gt;$L244+23),"",OFFSET(Electric!$L235,0,-'Electric Calendarize'!$L244+'Electric Calendarize'!P$4+1))</f>
        <v/>
      </c>
      <c r="Q244" t="str">
        <f ca="1">IF(OR($L244&gt;Q$4,Q$4&gt;$L244+23),"",OFFSET(Electric!$L235,0,-'Electric Calendarize'!$L244+'Electric Calendarize'!Q$4+1))</f>
        <v/>
      </c>
      <c r="R244" t="str">
        <f ca="1">IF(OR($L244&gt;R$4,R$4&gt;$L244+23),"",OFFSET(Electric!$L235,0,-'Electric Calendarize'!$L244+'Electric Calendarize'!R$4+1))</f>
        <v/>
      </c>
      <c r="S244" t="str">
        <f ca="1">IF(OR($L244&gt;S$4,S$4&gt;$L244+23),"",OFFSET(Electric!$L235,0,-'Electric Calendarize'!$L244+'Electric Calendarize'!S$4+1))</f>
        <v/>
      </c>
      <c r="T244" t="str">
        <f ca="1">IF(OR($L244&gt;T$4,T$4&gt;$L244+23),"",OFFSET(Electric!$L235,0,-'Electric Calendarize'!$L244+'Electric Calendarize'!T$4+1))</f>
        <v/>
      </c>
      <c r="U244" t="str">
        <f ca="1">IF(OR($L244&gt;U$4,U$4&gt;$L244+23),"",OFFSET(Electric!$L235,0,-'Electric Calendarize'!$L244+'Electric Calendarize'!U$4+1))</f>
        <v/>
      </c>
      <c r="V244" t="str">
        <f ca="1">IF(OR($L244&gt;V$4,V$4&gt;$L244+23),"",OFFSET(Electric!$L235,0,-'Electric Calendarize'!$L244+'Electric Calendarize'!V$4+1))</f>
        <v/>
      </c>
      <c r="W244" t="str">
        <f ca="1">IF(OR($L244&gt;W$4,W$4&gt;$L244+23),"",OFFSET(Electric!$L235,0,-'Electric Calendarize'!$L244+'Electric Calendarize'!W$4+1))</f>
        <v/>
      </c>
      <c r="X244" t="str">
        <f ca="1">IF(OR($L244&gt;X$4,X$4&gt;$L244+23),"",OFFSET(Electric!$L235,0,-'Electric Calendarize'!$L244+'Electric Calendarize'!X$4+1))</f>
        <v/>
      </c>
      <c r="Y244" t="str">
        <f ca="1">IF(OR($L244&gt;Y$4,Y$4&gt;$L244+23),"",OFFSET(Electric!$L235,0,-'Electric Calendarize'!$L244+'Electric Calendarize'!Y$4+1))</f>
        <v/>
      </c>
      <c r="Z244" t="str">
        <f ca="1">IF(OR($L244&gt;Z$4,Z$4&gt;$L244+23),"",OFFSET(Electric!$L235,0,-'Electric Calendarize'!$L244+'Electric Calendarize'!Z$4+1))</f>
        <v/>
      </c>
      <c r="AA244" t="str">
        <f ca="1">IF(OR($L244&gt;AA$4,AA$4&gt;$L244+23),"",OFFSET(Electric!$L235,0,-'Electric Calendarize'!$L244+'Electric Calendarize'!AA$4+1))</f>
        <v/>
      </c>
      <c r="AB244" t="str">
        <f ca="1">IF(OR($L244&gt;AB$4,AB$4&gt;$L244+23),"",OFFSET(Electric!$L235,0,-'Electric Calendarize'!$L244+'Electric Calendarize'!AB$4+1))</f>
        <v/>
      </c>
      <c r="AC244" t="str">
        <f ca="1">IF(OR($L244&gt;AC$4,AC$4&gt;$L244+23),"",OFFSET(Electric!$L235,0,-'Electric Calendarize'!$L244+'Electric Calendarize'!AC$4+1))</f>
        <v/>
      </c>
      <c r="AD244" t="str">
        <f ca="1">IF(OR($L244&gt;AD$4,AD$4&gt;$L244+23),"",OFFSET(Electric!$L235,0,-'Electric Calendarize'!$L244+'Electric Calendarize'!AD$4+1))</f>
        <v/>
      </c>
      <c r="AE244" t="str">
        <f ca="1">IF(OR($L244&gt;AE$4,AE$4&gt;$L244+23),"",OFFSET(Electric!$L235,0,-'Electric Calendarize'!$L244+'Electric Calendarize'!AE$4+1))</f>
        <v/>
      </c>
      <c r="AF244" t="str">
        <f ca="1">IF(OR($L244&gt;AF$4,AF$4&gt;$L244+23),"",OFFSET(Electric!$L235,0,-'Electric Calendarize'!$L244+'Electric Calendarize'!AF$4+1))</f>
        <v/>
      </c>
      <c r="AG244" t="str">
        <f ca="1">IF(OR($L244&gt;AG$4,AG$4&gt;$L244+23),"",OFFSET(Electric!$L235,0,-'Electric Calendarize'!$L244+'Electric Calendarize'!AG$4+1))</f>
        <v/>
      </c>
      <c r="AH244" t="str">
        <f ca="1">IF(OR($L244&gt;AH$4,AH$4&gt;$L244+23),"",OFFSET(Electric!$L235,0,-'Electric Calendarize'!$L244+'Electric Calendarize'!AH$4+1))</f>
        <v/>
      </c>
      <c r="AI244" t="str">
        <f ca="1">IF(OR($L244&gt;AI$4,AI$4&gt;$L244+23),"",OFFSET(Electric!$L235,0,-'Electric Calendarize'!$L244+'Electric Calendarize'!AI$4+1))</f>
        <v/>
      </c>
      <c r="AJ244" t="str">
        <f ca="1">IF(OR($L244&gt;AJ$4,AJ$4&gt;$L244+23),"",OFFSET(Electric!$L235,0,-'Electric Calendarize'!$L244+'Electric Calendarize'!AJ$4+1))</f>
        <v/>
      </c>
      <c r="AK244" t="str">
        <f ca="1">IF(OR($L244&gt;AK$4,AK$4&gt;$L244+23),"",OFFSET(Electric!$L235,0,-'Electric Calendarize'!$L244+'Electric Calendarize'!AK$4+1))</f>
        <v/>
      </c>
      <c r="AL244" t="str">
        <f ca="1">IF(OR($L244&gt;AL$4,AL$4&gt;$L244+23),"",OFFSET(Electric!$L235,0,-'Electric Calendarize'!$L244+'Electric Calendarize'!AL$4+1))</f>
        <v/>
      </c>
      <c r="AM244" t="str">
        <f ca="1">IF(OR($L244&gt;AM$4,AM$4&gt;$L244+23),"",OFFSET(Electric!$L235,0,-'Electric Calendarize'!$L244+'Electric Calendarize'!AM$4+1))</f>
        <v/>
      </c>
      <c r="AN244">
        <f ca="1">IF(OR($L244&gt;AN$4,AN$4&gt;$L244+23),"",OFFSET(Electric!$L235,0,-'Electric Calendarize'!$L244+'Electric Calendarize'!AN$4+1))</f>
        <v>456</v>
      </c>
      <c r="AO244">
        <f ca="1">IF(OR($L244&gt;AO$4,AO$4&gt;$L244+23),"",OFFSET(Electric!$L235,0,-'Electric Calendarize'!$L244+'Electric Calendarize'!AO$4+1))</f>
        <v>351</v>
      </c>
      <c r="AP244">
        <f ca="1">IF(OR($L244&gt;AP$4,AP$4&gt;$L244+23),"",OFFSET(Electric!$L235,0,-'Electric Calendarize'!$L244+'Electric Calendarize'!AP$4+1))</f>
        <v>559</v>
      </c>
      <c r="AQ244">
        <f ca="1">IF(OR($L244&gt;AQ$4,AQ$4&gt;$L244+23),"",OFFSET(Electric!$L235,0,-'Electric Calendarize'!$L244+'Electric Calendarize'!AQ$4+1))</f>
        <v>1002</v>
      </c>
      <c r="AR244">
        <f ca="1">IF(OR($L244&gt;AR$4,AR$4&gt;$L244+23),"",OFFSET(Electric!$L235,0,-'Electric Calendarize'!$L244+'Electric Calendarize'!AR$4+1))</f>
        <v>618</v>
      </c>
      <c r="AS244">
        <f ca="1">IF(OR($L244&gt;AS$4,AS$4&gt;$L244+23),"",OFFSET(Electric!$L235,0,-'Electric Calendarize'!$L244+'Electric Calendarize'!AS$4+1))</f>
        <v>282</v>
      </c>
      <c r="AT244">
        <f ca="1">IF(OR($L244&gt;AT$4,AT$4&gt;$L244+23),"",OFFSET(Electric!$L235,0,-'Electric Calendarize'!$L244+'Electric Calendarize'!AT$4+1))</f>
        <v>269</v>
      </c>
      <c r="AU244">
        <f ca="1">IF(OR($L244&gt;AU$4,AU$4&gt;$L244+23),"",OFFSET(Electric!$L235,0,-'Electric Calendarize'!$L244+'Electric Calendarize'!AU$4+1))</f>
        <v>465</v>
      </c>
      <c r="AV244">
        <f ca="1">IF(OR($L244&gt;AV$4,AV$4&gt;$L244+23),"",OFFSET(Electric!$L235,0,-'Electric Calendarize'!$L244+'Electric Calendarize'!AV$4+1))</f>
        <v>535</v>
      </c>
      <c r="AW244">
        <f ca="1">IF(OR($L244&gt;AW$4,AW$4&gt;$L244+23),"",OFFSET(Electric!$L235,0,-'Electric Calendarize'!$L244+'Electric Calendarize'!AW$4+1))</f>
        <v>515</v>
      </c>
      <c r="AX244">
        <f ca="1">IF(OR($L244&gt;AX$4,AX$4&gt;$L244+23),"",OFFSET(Electric!$L235,0,-'Electric Calendarize'!$L244+'Electric Calendarize'!AX$4+1))</f>
        <v>418</v>
      </c>
      <c r="AY244">
        <f ca="1">IF(OR($L244&gt;AY$4,AY$4&gt;$L244+23),"",OFFSET(Electric!$L235,0,-'Electric Calendarize'!$L244+'Electric Calendarize'!AY$4+1))</f>
        <v>310</v>
      </c>
      <c r="AZ244">
        <f ca="1">IF(OR($L244&gt;AZ$4,AZ$4&gt;$L244+23),"",OFFSET(Electric!$L235,0,-'Electric Calendarize'!$L244+'Electric Calendarize'!AZ$4+1))</f>
        <v>249</v>
      </c>
      <c r="BA244">
        <f ca="1">IF(OR($L244&gt;BA$4,BA$4&gt;$L244+23),"",OFFSET(Electric!$L235,0,-'Electric Calendarize'!$L244+'Electric Calendarize'!BA$4+1))</f>
        <v>213</v>
      </c>
      <c r="BB244">
        <f ca="1">IF(OR($L244&gt;BB$4,BB$4&gt;$L244+23),"",OFFSET(Electric!$L235,0,-'Electric Calendarize'!$L244+'Electric Calendarize'!BB$4+1))</f>
        <v>218</v>
      </c>
      <c r="BC244">
        <f ca="1">IF(OR($L244&gt;BC$4,BC$4&gt;$L244+23),"",OFFSET(Electric!$L235,0,-'Electric Calendarize'!$L244+'Electric Calendarize'!BC$4+1))</f>
        <v>382</v>
      </c>
      <c r="BD244">
        <f ca="1">IF(OR($L244&gt;BD$4,BD$4&gt;$L244+23),"",OFFSET(Electric!$L235,0,-'Electric Calendarize'!$L244+'Electric Calendarize'!BD$4+1))</f>
        <v>293</v>
      </c>
      <c r="BE244">
        <f ca="1">IF(OR($L244&gt;BE$4,BE$4&gt;$L244+23),"",OFFSET(Electric!$L235,0,-'Electric Calendarize'!$L244+'Electric Calendarize'!BE$4+1))</f>
        <v>331</v>
      </c>
      <c r="BF244">
        <f ca="1">IF(OR($L244&gt;BF$4,BF$4&gt;$L244+23),"",OFFSET(Electric!$L235,0,-'Electric Calendarize'!$L244+'Electric Calendarize'!BF$4+1))</f>
        <v>539</v>
      </c>
      <c r="BG244">
        <f ca="1">IF(OR($L244&gt;BG$4,BG$4&gt;$L244+23),"",OFFSET(Electric!$L235,0,-'Electric Calendarize'!$L244+'Electric Calendarize'!BG$4+1))</f>
        <v>1144</v>
      </c>
      <c r="BJ244" s="10" t="s">
        <v>37</v>
      </c>
      <c r="BK244">
        <f t="shared" si="519"/>
        <v>1</v>
      </c>
      <c r="BL244">
        <f t="shared" si="425"/>
        <v>0</v>
      </c>
      <c r="BM244">
        <f t="shared" si="426"/>
        <v>0</v>
      </c>
      <c r="BN244">
        <f t="shared" si="427"/>
        <v>0</v>
      </c>
      <c r="BO244">
        <f t="shared" si="428"/>
        <v>0</v>
      </c>
      <c r="BP244">
        <f t="shared" si="429"/>
        <v>0</v>
      </c>
      <c r="BQ244">
        <f t="shared" si="430"/>
        <v>0</v>
      </c>
      <c r="BR244">
        <f t="shared" si="431"/>
        <v>1</v>
      </c>
      <c r="BS244">
        <f t="shared" si="432"/>
        <v>1</v>
      </c>
      <c r="BT244">
        <f t="shared" si="433"/>
        <v>1</v>
      </c>
      <c r="BU244">
        <f t="shared" si="434"/>
        <v>1</v>
      </c>
      <c r="BV244">
        <f t="shared" si="435"/>
        <v>1</v>
      </c>
      <c r="BW244">
        <f t="shared" si="436"/>
        <v>1</v>
      </c>
      <c r="BX244">
        <f t="shared" si="437"/>
        <v>0</v>
      </c>
      <c r="BY244">
        <f t="shared" si="438"/>
        <v>0</v>
      </c>
      <c r="BZ244">
        <f t="shared" si="439"/>
        <v>0</v>
      </c>
      <c r="CA244">
        <f t="shared" si="440"/>
        <v>0</v>
      </c>
      <c r="CB244">
        <f t="shared" si="441"/>
        <v>0</v>
      </c>
      <c r="CC244">
        <f t="shared" si="442"/>
        <v>0</v>
      </c>
      <c r="CD244">
        <f t="shared" si="443"/>
        <v>1</v>
      </c>
      <c r="CE244">
        <f t="shared" si="444"/>
        <v>1</v>
      </c>
      <c r="CF244">
        <f t="shared" si="445"/>
        <v>1</v>
      </c>
      <c r="CG244">
        <f t="shared" si="446"/>
        <v>1</v>
      </c>
      <c r="CH244">
        <f t="shared" si="447"/>
        <v>1</v>
      </c>
      <c r="CI244">
        <f t="shared" si="448"/>
        <v>1</v>
      </c>
      <c r="CJ244">
        <f t="shared" si="449"/>
        <v>0</v>
      </c>
      <c r="CK244">
        <f t="shared" si="450"/>
        <v>0</v>
      </c>
      <c r="CL244">
        <f t="shared" si="451"/>
        <v>0</v>
      </c>
      <c r="CM244">
        <f t="shared" si="452"/>
        <v>0</v>
      </c>
      <c r="CN244">
        <f t="shared" si="453"/>
        <v>0</v>
      </c>
      <c r="CO244">
        <f t="shared" si="454"/>
        <v>0</v>
      </c>
      <c r="CP244">
        <f t="shared" si="455"/>
        <v>1</v>
      </c>
      <c r="CQ244">
        <f t="shared" si="456"/>
        <v>1</v>
      </c>
      <c r="CR244">
        <f t="shared" si="457"/>
        <v>1</v>
      </c>
      <c r="CS244">
        <f t="shared" si="458"/>
        <v>1</v>
      </c>
      <c r="CT244">
        <f t="shared" si="459"/>
        <v>1</v>
      </c>
      <c r="CU244">
        <f t="shared" si="460"/>
        <v>1</v>
      </c>
      <c r="CV244">
        <f t="shared" si="461"/>
        <v>0</v>
      </c>
      <c r="CW244">
        <f t="shared" si="462"/>
        <v>0</v>
      </c>
      <c r="CX244">
        <f t="shared" si="463"/>
        <v>0</v>
      </c>
      <c r="CY244">
        <f t="shared" si="464"/>
        <v>0</v>
      </c>
      <c r="CZ244">
        <f t="shared" si="465"/>
        <v>0</v>
      </c>
      <c r="DA244">
        <f t="shared" si="466"/>
        <v>0</v>
      </c>
      <c r="DB244">
        <f t="shared" si="467"/>
        <v>1</v>
      </c>
      <c r="DC244">
        <f t="shared" si="468"/>
        <v>1</v>
      </c>
      <c r="DF244" s="10" t="s">
        <v>37</v>
      </c>
      <c r="DG244" t="str">
        <f t="shared" si="528"/>
        <v>2023_5</v>
      </c>
      <c r="DH244" t="str">
        <f t="shared" si="528"/>
        <v>2023_5</v>
      </c>
      <c r="DI244" t="str">
        <f t="shared" si="528"/>
        <v>2023_5</v>
      </c>
      <c r="DJ244" t="str">
        <f t="shared" si="528"/>
        <v>2023_5</v>
      </c>
      <c r="DK244" t="str">
        <f t="shared" si="528"/>
        <v>2023_5</v>
      </c>
      <c r="DL244" t="str">
        <f t="shared" si="528"/>
        <v>2023_5</v>
      </c>
      <c r="DM244" t="str">
        <f t="shared" si="528"/>
        <v>2023_5</v>
      </c>
      <c r="DN244" t="str">
        <f t="shared" si="528"/>
        <v>2023_5</v>
      </c>
      <c r="DO244" t="str">
        <f t="shared" si="528"/>
        <v>2023_5</v>
      </c>
      <c r="DP244" t="str">
        <f t="shared" si="528"/>
        <v>2023_5</v>
      </c>
      <c r="DQ244" t="str">
        <f t="shared" si="528"/>
        <v>2023_5</v>
      </c>
      <c r="DR244" t="str">
        <f t="shared" si="528"/>
        <v>2023_5</v>
      </c>
      <c r="DS244" t="str">
        <f t="shared" si="528"/>
        <v>2023_5</v>
      </c>
      <c r="DT244" t="str">
        <f t="shared" si="528"/>
        <v>2023_5</v>
      </c>
      <c r="DU244" t="str">
        <f t="shared" si="528"/>
        <v>2023_5</v>
      </c>
      <c r="DV244" t="str">
        <f t="shared" si="526"/>
        <v>2023_5</v>
      </c>
      <c r="DW244" t="str">
        <f t="shared" si="526"/>
        <v>2023_5</v>
      </c>
      <c r="DX244" t="str">
        <f t="shared" si="526"/>
        <v>2023_5</v>
      </c>
      <c r="DY244" t="str">
        <f t="shared" si="526"/>
        <v>2023_5</v>
      </c>
      <c r="DZ244" t="str">
        <f t="shared" si="526"/>
        <v>2023_5</v>
      </c>
      <c r="EA244" t="str">
        <f t="shared" si="526"/>
        <v>2023_5</v>
      </c>
      <c r="EB244" t="str">
        <f t="shared" si="526"/>
        <v>2023_5</v>
      </c>
      <c r="EC244" t="str">
        <f t="shared" si="526"/>
        <v>2023_5</v>
      </c>
      <c r="ED244" t="str">
        <f t="shared" si="526"/>
        <v>2023_5</v>
      </c>
      <c r="EE244" t="str">
        <f t="shared" si="526"/>
        <v>2023_5</v>
      </c>
      <c r="EF244" t="str">
        <f t="shared" si="526"/>
        <v>2023_5</v>
      </c>
      <c r="EG244" t="str">
        <f t="shared" si="526"/>
        <v>2023_5</v>
      </c>
      <c r="EH244" t="str">
        <f t="shared" si="526"/>
        <v>2023_5</v>
      </c>
      <c r="EI244" t="str">
        <f t="shared" si="526"/>
        <v>2023_5</v>
      </c>
      <c r="EJ244" t="str">
        <f t="shared" si="526"/>
        <v>2023_5</v>
      </c>
      <c r="EK244" t="str">
        <f t="shared" si="526"/>
        <v>2023_5</v>
      </c>
      <c r="EL244" t="str">
        <f t="shared" si="527"/>
        <v>2023_5</v>
      </c>
      <c r="EM244" t="str">
        <f t="shared" si="525"/>
        <v>2023_5</v>
      </c>
      <c r="EN244" t="str">
        <f t="shared" si="525"/>
        <v>2023_5</v>
      </c>
      <c r="EO244" t="str">
        <f t="shared" si="525"/>
        <v>2023_5</v>
      </c>
      <c r="EP244" t="str">
        <f t="shared" si="525"/>
        <v>2023_5</v>
      </c>
      <c r="EQ244" t="str">
        <f t="shared" si="525"/>
        <v>2023_5</v>
      </c>
      <c r="ER244" t="str">
        <f t="shared" si="525"/>
        <v>2023_5</v>
      </c>
      <c r="ES244" t="str">
        <f t="shared" si="525"/>
        <v>2023_5</v>
      </c>
      <c r="ET244" t="str">
        <f t="shared" si="525"/>
        <v>2023_5</v>
      </c>
      <c r="EU244" t="str">
        <f t="shared" si="525"/>
        <v>2023_5</v>
      </c>
      <c r="EV244" t="str">
        <f t="shared" si="525"/>
        <v>2023_5</v>
      </c>
      <c r="EW244" t="str">
        <f t="shared" si="525"/>
        <v>2023_5</v>
      </c>
      <c r="EX244" t="str">
        <f t="shared" si="525"/>
        <v>2023_5</v>
      </c>
      <c r="EY244" t="str">
        <f t="shared" si="525"/>
        <v>2023_5</v>
      </c>
      <c r="FB244" s="10" t="s">
        <v>37</v>
      </c>
      <c r="FC244">
        <f t="shared" si="521"/>
        <v>0</v>
      </c>
      <c r="FD244">
        <f t="shared" si="471"/>
        <v>0</v>
      </c>
      <c r="FE244">
        <f t="shared" si="472"/>
        <v>0</v>
      </c>
      <c r="FF244">
        <f t="shared" si="473"/>
        <v>0</v>
      </c>
      <c r="FG244">
        <f t="shared" si="474"/>
        <v>0</v>
      </c>
      <c r="FH244">
        <f t="shared" si="475"/>
        <v>0</v>
      </c>
      <c r="FI244">
        <f t="shared" si="476"/>
        <v>0</v>
      </c>
      <c r="FJ244">
        <f t="shared" si="477"/>
        <v>0</v>
      </c>
      <c r="FK244">
        <f t="shared" si="478"/>
        <v>0</v>
      </c>
      <c r="FL244">
        <f t="shared" si="479"/>
        <v>0</v>
      </c>
      <c r="FM244">
        <f t="shared" si="480"/>
        <v>0</v>
      </c>
      <c r="FN244">
        <f t="shared" si="481"/>
        <v>0</v>
      </c>
      <c r="FO244">
        <f t="shared" si="482"/>
        <v>0</v>
      </c>
      <c r="FP244">
        <f t="shared" si="483"/>
        <v>0</v>
      </c>
      <c r="FQ244">
        <f t="shared" si="484"/>
        <v>0</v>
      </c>
      <c r="FR244">
        <f t="shared" si="485"/>
        <v>0</v>
      </c>
      <c r="FS244">
        <f t="shared" si="486"/>
        <v>0</v>
      </c>
      <c r="FT244">
        <f t="shared" si="487"/>
        <v>0</v>
      </c>
      <c r="FU244">
        <f t="shared" si="488"/>
        <v>0</v>
      </c>
      <c r="FV244">
        <f t="shared" si="489"/>
        <v>0</v>
      </c>
      <c r="FW244">
        <f t="shared" si="490"/>
        <v>0</v>
      </c>
      <c r="FX244">
        <f t="shared" si="491"/>
        <v>0</v>
      </c>
      <c r="FY244">
        <f t="shared" si="492"/>
        <v>0</v>
      </c>
      <c r="FZ244">
        <f t="shared" si="493"/>
        <v>0</v>
      </c>
      <c r="GA244">
        <f t="shared" si="494"/>
        <v>0</v>
      </c>
      <c r="GB244">
        <f t="shared" si="495"/>
        <v>0</v>
      </c>
      <c r="GC244">
        <f t="shared" si="496"/>
        <v>0</v>
      </c>
      <c r="GD244">
        <f t="shared" si="497"/>
        <v>0</v>
      </c>
      <c r="GE244">
        <f t="shared" si="498"/>
        <v>0</v>
      </c>
      <c r="GF244">
        <f t="shared" si="499"/>
        <v>0</v>
      </c>
      <c r="GG244">
        <f t="shared" si="500"/>
        <v>0</v>
      </c>
      <c r="GH244">
        <f t="shared" si="501"/>
        <v>0</v>
      </c>
      <c r="GI244">
        <f t="shared" si="502"/>
        <v>0</v>
      </c>
      <c r="GJ244">
        <f t="shared" si="503"/>
        <v>0</v>
      </c>
      <c r="GK244">
        <f t="shared" si="504"/>
        <v>0</v>
      </c>
      <c r="GL244">
        <f t="shared" si="505"/>
        <v>0</v>
      </c>
      <c r="GM244">
        <f t="shared" si="506"/>
        <v>0</v>
      </c>
      <c r="GN244">
        <f t="shared" si="507"/>
        <v>1</v>
      </c>
      <c r="GO244">
        <f t="shared" si="508"/>
        <v>1</v>
      </c>
      <c r="GP244">
        <f t="shared" si="509"/>
        <v>1</v>
      </c>
      <c r="GQ244">
        <f t="shared" si="510"/>
        <v>1</v>
      </c>
      <c r="GR244">
        <f t="shared" si="511"/>
        <v>1</v>
      </c>
      <c r="GS244">
        <f t="shared" si="512"/>
        <v>1</v>
      </c>
      <c r="GT244">
        <f t="shared" si="513"/>
        <v>1</v>
      </c>
      <c r="GU244">
        <f t="shared" si="514"/>
        <v>1</v>
      </c>
      <c r="GX244" s="10"/>
    </row>
    <row r="245" spans="1:206" x14ac:dyDescent="0.3">
      <c r="A245" s="34" t="s">
        <v>128</v>
      </c>
      <c r="B245" s="84"/>
      <c r="C245" s="9">
        <v>3140760000</v>
      </c>
      <c r="D245" s="34" t="s">
        <v>500</v>
      </c>
      <c r="E245" s="34" t="s">
        <v>34</v>
      </c>
      <c r="F245" s="34" t="s">
        <v>35</v>
      </c>
      <c r="G245" s="34" t="s">
        <v>259</v>
      </c>
      <c r="H245" s="10">
        <v>45068</v>
      </c>
      <c r="I245" s="9">
        <f t="shared" si="515"/>
        <v>2023</v>
      </c>
      <c r="J245" s="9">
        <f t="shared" si="516"/>
        <v>5</v>
      </c>
      <c r="K245" s="9" t="str">
        <f t="shared" si="517"/>
        <v>2023_5</v>
      </c>
      <c r="L245">
        <f>MAX(0,VLOOKUP($K245,lookups!$A$1:$B$45,2,0)-12)</f>
        <v>25</v>
      </c>
      <c r="M245" s="40">
        <f t="shared" si="518"/>
        <v>45047</v>
      </c>
      <c r="N245" s="10" t="s">
        <v>37</v>
      </c>
      <c r="O245" t="str">
        <f ca="1">IF(OR($L245&gt;O$4,O$4&gt;$L245+23),"",OFFSET(Electric!$L236,0,-'Electric Calendarize'!$L245+'Electric Calendarize'!O$4+1))</f>
        <v/>
      </c>
      <c r="P245" t="str">
        <f ca="1">IF(OR($L245&gt;P$4,P$4&gt;$L245+23),"",OFFSET(Electric!$L236,0,-'Electric Calendarize'!$L245+'Electric Calendarize'!P$4+1))</f>
        <v/>
      </c>
      <c r="Q245" t="str">
        <f ca="1">IF(OR($L245&gt;Q$4,Q$4&gt;$L245+23),"",OFFSET(Electric!$L236,0,-'Electric Calendarize'!$L245+'Electric Calendarize'!Q$4+1))</f>
        <v/>
      </c>
      <c r="R245" t="str">
        <f ca="1">IF(OR($L245&gt;R$4,R$4&gt;$L245+23),"",OFFSET(Electric!$L236,0,-'Electric Calendarize'!$L245+'Electric Calendarize'!R$4+1))</f>
        <v/>
      </c>
      <c r="S245" t="str">
        <f ca="1">IF(OR($L245&gt;S$4,S$4&gt;$L245+23),"",OFFSET(Electric!$L236,0,-'Electric Calendarize'!$L245+'Electric Calendarize'!S$4+1))</f>
        <v/>
      </c>
      <c r="T245" t="str">
        <f ca="1">IF(OR($L245&gt;T$4,T$4&gt;$L245+23),"",OFFSET(Electric!$L236,0,-'Electric Calendarize'!$L245+'Electric Calendarize'!T$4+1))</f>
        <v/>
      </c>
      <c r="U245" t="str">
        <f ca="1">IF(OR($L245&gt;U$4,U$4&gt;$L245+23),"",OFFSET(Electric!$L236,0,-'Electric Calendarize'!$L245+'Electric Calendarize'!U$4+1))</f>
        <v/>
      </c>
      <c r="V245" t="str">
        <f ca="1">IF(OR($L245&gt;V$4,V$4&gt;$L245+23),"",OFFSET(Electric!$L236,0,-'Electric Calendarize'!$L245+'Electric Calendarize'!V$4+1))</f>
        <v/>
      </c>
      <c r="W245" t="str">
        <f ca="1">IF(OR($L245&gt;W$4,W$4&gt;$L245+23),"",OFFSET(Electric!$L236,0,-'Electric Calendarize'!$L245+'Electric Calendarize'!W$4+1))</f>
        <v/>
      </c>
      <c r="X245" t="str">
        <f ca="1">IF(OR($L245&gt;X$4,X$4&gt;$L245+23),"",OFFSET(Electric!$L236,0,-'Electric Calendarize'!$L245+'Electric Calendarize'!X$4+1))</f>
        <v/>
      </c>
      <c r="Y245" t="str">
        <f ca="1">IF(OR($L245&gt;Y$4,Y$4&gt;$L245+23),"",OFFSET(Electric!$L236,0,-'Electric Calendarize'!$L245+'Electric Calendarize'!Y$4+1))</f>
        <v/>
      </c>
      <c r="Z245" t="str">
        <f ca="1">IF(OR($L245&gt;Z$4,Z$4&gt;$L245+23),"",OFFSET(Electric!$L236,0,-'Electric Calendarize'!$L245+'Electric Calendarize'!Z$4+1))</f>
        <v/>
      </c>
      <c r="AA245" t="str">
        <f ca="1">IF(OR($L245&gt;AA$4,AA$4&gt;$L245+23),"",OFFSET(Electric!$L236,0,-'Electric Calendarize'!$L245+'Electric Calendarize'!AA$4+1))</f>
        <v/>
      </c>
      <c r="AB245" t="str">
        <f ca="1">IF(OR($L245&gt;AB$4,AB$4&gt;$L245+23),"",OFFSET(Electric!$L236,0,-'Electric Calendarize'!$L245+'Electric Calendarize'!AB$4+1))</f>
        <v/>
      </c>
      <c r="AC245" t="str">
        <f ca="1">IF(OR($L245&gt;AC$4,AC$4&gt;$L245+23),"",OFFSET(Electric!$L236,0,-'Electric Calendarize'!$L245+'Electric Calendarize'!AC$4+1))</f>
        <v/>
      </c>
      <c r="AD245" t="str">
        <f ca="1">IF(OR($L245&gt;AD$4,AD$4&gt;$L245+23),"",OFFSET(Electric!$L236,0,-'Electric Calendarize'!$L245+'Electric Calendarize'!AD$4+1))</f>
        <v/>
      </c>
      <c r="AE245" t="str">
        <f ca="1">IF(OR($L245&gt;AE$4,AE$4&gt;$L245+23),"",OFFSET(Electric!$L236,0,-'Electric Calendarize'!$L245+'Electric Calendarize'!AE$4+1))</f>
        <v/>
      </c>
      <c r="AF245" t="str">
        <f ca="1">IF(OR($L245&gt;AF$4,AF$4&gt;$L245+23),"",OFFSET(Electric!$L236,0,-'Electric Calendarize'!$L245+'Electric Calendarize'!AF$4+1))</f>
        <v/>
      </c>
      <c r="AG245" t="str">
        <f ca="1">IF(OR($L245&gt;AG$4,AG$4&gt;$L245+23),"",OFFSET(Electric!$L236,0,-'Electric Calendarize'!$L245+'Electric Calendarize'!AG$4+1))</f>
        <v/>
      </c>
      <c r="AH245" t="str">
        <f ca="1">IF(OR($L245&gt;AH$4,AH$4&gt;$L245+23),"",OFFSET(Electric!$L236,0,-'Electric Calendarize'!$L245+'Electric Calendarize'!AH$4+1))</f>
        <v/>
      </c>
      <c r="AI245" t="str">
        <f ca="1">IF(OR($L245&gt;AI$4,AI$4&gt;$L245+23),"",OFFSET(Electric!$L236,0,-'Electric Calendarize'!$L245+'Electric Calendarize'!AI$4+1))</f>
        <v/>
      </c>
      <c r="AJ245" t="str">
        <f ca="1">IF(OR($L245&gt;AJ$4,AJ$4&gt;$L245+23),"",OFFSET(Electric!$L236,0,-'Electric Calendarize'!$L245+'Electric Calendarize'!AJ$4+1))</f>
        <v/>
      </c>
      <c r="AK245" t="str">
        <f ca="1">IF(OR($L245&gt;AK$4,AK$4&gt;$L245+23),"",OFFSET(Electric!$L236,0,-'Electric Calendarize'!$L245+'Electric Calendarize'!AK$4+1))</f>
        <v/>
      </c>
      <c r="AL245" t="str">
        <f ca="1">IF(OR($L245&gt;AL$4,AL$4&gt;$L245+23),"",OFFSET(Electric!$L236,0,-'Electric Calendarize'!$L245+'Electric Calendarize'!AL$4+1))</f>
        <v/>
      </c>
      <c r="AM245" t="str">
        <f ca="1">IF(OR($L245&gt;AM$4,AM$4&gt;$L245+23),"",OFFSET(Electric!$L236,0,-'Electric Calendarize'!$L245+'Electric Calendarize'!AM$4+1))</f>
        <v/>
      </c>
      <c r="AN245">
        <f ca="1">IF(OR($L245&gt;AN$4,AN$4&gt;$L245+23),"",OFFSET(Electric!$L236,0,-'Electric Calendarize'!$L245+'Electric Calendarize'!AN$4+1))</f>
        <v>686</v>
      </c>
      <c r="AO245">
        <f ca="1">IF(OR($L245&gt;AO$4,AO$4&gt;$L245+23),"",OFFSET(Electric!$L236,0,-'Electric Calendarize'!$L245+'Electric Calendarize'!AO$4+1))</f>
        <v>793</v>
      </c>
      <c r="AP245">
        <f ca="1">IF(OR($L245&gt;AP$4,AP$4&gt;$L245+23),"",OFFSET(Electric!$L236,0,-'Electric Calendarize'!$L245+'Electric Calendarize'!AP$4+1))</f>
        <v>1204</v>
      </c>
      <c r="AQ245">
        <f ca="1">IF(OR($L245&gt;AQ$4,AQ$4&gt;$L245+23),"",OFFSET(Electric!$L236,0,-'Electric Calendarize'!$L245+'Electric Calendarize'!AQ$4+1))</f>
        <v>1179</v>
      </c>
      <c r="AR245">
        <f ca="1">IF(OR($L245&gt;AR$4,AR$4&gt;$L245+23),"",OFFSET(Electric!$L236,0,-'Electric Calendarize'!$L245+'Electric Calendarize'!AR$4+1))</f>
        <v>794</v>
      </c>
      <c r="AS245">
        <f ca="1">IF(OR($L245&gt;AS$4,AS$4&gt;$L245+23),"",OFFSET(Electric!$L236,0,-'Electric Calendarize'!$L245+'Electric Calendarize'!AS$4+1))</f>
        <v>487</v>
      </c>
      <c r="AT245">
        <f ca="1">IF(OR($L245&gt;AT$4,AT$4&gt;$L245+23),"",OFFSET(Electric!$L236,0,-'Electric Calendarize'!$L245+'Electric Calendarize'!AT$4+1))</f>
        <v>473</v>
      </c>
      <c r="AU245">
        <f ca="1">IF(OR($L245&gt;AU$4,AU$4&gt;$L245+23),"",OFFSET(Electric!$L236,0,-'Electric Calendarize'!$L245+'Electric Calendarize'!AU$4+1))</f>
        <v>598</v>
      </c>
      <c r="AV245">
        <f ca="1">IF(OR($L245&gt;AV$4,AV$4&gt;$L245+23),"",OFFSET(Electric!$L236,0,-'Electric Calendarize'!$L245+'Electric Calendarize'!AV$4+1))</f>
        <v>673</v>
      </c>
      <c r="AW245">
        <f ca="1">IF(OR($L245&gt;AW$4,AW$4&gt;$L245+23),"",OFFSET(Electric!$L236,0,-'Electric Calendarize'!$L245+'Electric Calendarize'!AW$4+1))</f>
        <v>660</v>
      </c>
      <c r="AX245">
        <f ca="1">IF(OR($L245&gt;AX$4,AX$4&gt;$L245+23),"",OFFSET(Electric!$L236,0,-'Electric Calendarize'!$L245+'Electric Calendarize'!AX$4+1))</f>
        <v>654</v>
      </c>
      <c r="AY245">
        <f ca="1">IF(OR($L245&gt;AY$4,AY$4&gt;$L245+23),"",OFFSET(Electric!$L236,0,-'Electric Calendarize'!$L245+'Electric Calendarize'!AY$4+1))</f>
        <v>549</v>
      </c>
      <c r="AZ245">
        <f ca="1">IF(OR($L245&gt;AZ$4,AZ$4&gt;$L245+23),"",OFFSET(Electric!$L236,0,-'Electric Calendarize'!$L245+'Electric Calendarize'!AZ$4+1))</f>
        <v>562</v>
      </c>
      <c r="BA245">
        <f ca="1">IF(OR($L245&gt;BA$4,BA$4&gt;$L245+23),"",OFFSET(Electric!$L236,0,-'Electric Calendarize'!$L245+'Electric Calendarize'!BA$4+1))</f>
        <v>762</v>
      </c>
      <c r="BB245">
        <f ca="1">IF(OR($L245&gt;BB$4,BB$4&gt;$L245+23),"",OFFSET(Electric!$L236,0,-'Electric Calendarize'!$L245+'Electric Calendarize'!BB$4+1))</f>
        <v>1027</v>
      </c>
      <c r="BC245">
        <f ca="1">IF(OR($L245&gt;BC$4,BC$4&gt;$L245+23),"",OFFSET(Electric!$L236,0,-'Electric Calendarize'!$L245+'Electric Calendarize'!BC$4+1))</f>
        <v>846</v>
      </c>
      <c r="BD245">
        <f ca="1">IF(OR($L245&gt;BD$4,BD$4&gt;$L245+23),"",OFFSET(Electric!$L236,0,-'Electric Calendarize'!$L245+'Electric Calendarize'!BD$4+1))</f>
        <v>791</v>
      </c>
      <c r="BE245">
        <f ca="1">IF(OR($L245&gt;BE$4,BE$4&gt;$L245+23),"",OFFSET(Electric!$L236,0,-'Electric Calendarize'!$L245+'Electric Calendarize'!BE$4+1))</f>
        <v>421</v>
      </c>
      <c r="BF245">
        <f ca="1">IF(OR($L245&gt;BF$4,BF$4&gt;$L245+23),"",OFFSET(Electric!$L236,0,-'Electric Calendarize'!$L245+'Electric Calendarize'!BF$4+1))</f>
        <v>600</v>
      </c>
      <c r="BG245">
        <f ca="1">IF(OR($L245&gt;BG$4,BG$4&gt;$L245+23),"",OFFSET(Electric!$L236,0,-'Electric Calendarize'!$L245+'Electric Calendarize'!BG$4+1))</f>
        <v>0</v>
      </c>
      <c r="BJ245" s="10" t="s">
        <v>37</v>
      </c>
      <c r="BK245">
        <f t="shared" si="519"/>
        <v>1</v>
      </c>
      <c r="BL245">
        <f t="shared" si="425"/>
        <v>0</v>
      </c>
      <c r="BM245">
        <f t="shared" si="426"/>
        <v>0</v>
      </c>
      <c r="BN245">
        <f t="shared" si="427"/>
        <v>0</v>
      </c>
      <c r="BO245">
        <f t="shared" si="428"/>
        <v>0</v>
      </c>
      <c r="BP245">
        <f t="shared" si="429"/>
        <v>0</v>
      </c>
      <c r="BQ245">
        <f t="shared" si="430"/>
        <v>0</v>
      </c>
      <c r="BR245">
        <f t="shared" si="431"/>
        <v>1</v>
      </c>
      <c r="BS245">
        <f t="shared" si="432"/>
        <v>1</v>
      </c>
      <c r="BT245">
        <f t="shared" si="433"/>
        <v>1</v>
      </c>
      <c r="BU245">
        <f t="shared" si="434"/>
        <v>1</v>
      </c>
      <c r="BV245">
        <f t="shared" si="435"/>
        <v>1</v>
      </c>
      <c r="BW245">
        <f t="shared" si="436"/>
        <v>1</v>
      </c>
      <c r="BX245">
        <f t="shared" si="437"/>
        <v>0</v>
      </c>
      <c r="BY245">
        <f t="shared" si="438"/>
        <v>0</v>
      </c>
      <c r="BZ245">
        <f t="shared" si="439"/>
        <v>0</v>
      </c>
      <c r="CA245">
        <f t="shared" si="440"/>
        <v>0</v>
      </c>
      <c r="CB245">
        <f t="shared" si="441"/>
        <v>0</v>
      </c>
      <c r="CC245">
        <f t="shared" si="442"/>
        <v>0</v>
      </c>
      <c r="CD245">
        <f t="shared" si="443"/>
        <v>1</v>
      </c>
      <c r="CE245">
        <f t="shared" si="444"/>
        <v>1</v>
      </c>
      <c r="CF245">
        <f t="shared" si="445"/>
        <v>1</v>
      </c>
      <c r="CG245">
        <f t="shared" si="446"/>
        <v>1</v>
      </c>
      <c r="CH245">
        <f t="shared" si="447"/>
        <v>1</v>
      </c>
      <c r="CI245">
        <f t="shared" si="448"/>
        <v>1</v>
      </c>
      <c r="CJ245">
        <f t="shared" si="449"/>
        <v>0</v>
      </c>
      <c r="CK245">
        <f t="shared" si="450"/>
        <v>0</v>
      </c>
      <c r="CL245">
        <f t="shared" si="451"/>
        <v>0</v>
      </c>
      <c r="CM245">
        <f t="shared" si="452"/>
        <v>0</v>
      </c>
      <c r="CN245">
        <f t="shared" si="453"/>
        <v>0</v>
      </c>
      <c r="CO245">
        <f t="shared" si="454"/>
        <v>0</v>
      </c>
      <c r="CP245">
        <f t="shared" si="455"/>
        <v>1</v>
      </c>
      <c r="CQ245">
        <f t="shared" si="456"/>
        <v>1</v>
      </c>
      <c r="CR245">
        <f t="shared" si="457"/>
        <v>1</v>
      </c>
      <c r="CS245">
        <f t="shared" si="458"/>
        <v>1</v>
      </c>
      <c r="CT245">
        <f t="shared" si="459"/>
        <v>1</v>
      </c>
      <c r="CU245">
        <f t="shared" si="460"/>
        <v>1</v>
      </c>
      <c r="CV245">
        <f t="shared" si="461"/>
        <v>0</v>
      </c>
      <c r="CW245">
        <f t="shared" si="462"/>
        <v>0</v>
      </c>
      <c r="CX245">
        <f t="shared" si="463"/>
        <v>0</v>
      </c>
      <c r="CY245">
        <f t="shared" si="464"/>
        <v>0</v>
      </c>
      <c r="CZ245">
        <f t="shared" si="465"/>
        <v>0</v>
      </c>
      <c r="DA245">
        <f t="shared" si="466"/>
        <v>0</v>
      </c>
      <c r="DB245">
        <f t="shared" si="467"/>
        <v>1</v>
      </c>
      <c r="DC245">
        <f t="shared" si="468"/>
        <v>1</v>
      </c>
      <c r="DF245" s="10" t="s">
        <v>37</v>
      </c>
      <c r="DG245" t="str">
        <f t="shared" si="528"/>
        <v>2023_5</v>
      </c>
      <c r="DH245" t="str">
        <f t="shared" si="528"/>
        <v>2023_5</v>
      </c>
      <c r="DI245" t="str">
        <f t="shared" si="528"/>
        <v>2023_5</v>
      </c>
      <c r="DJ245" t="str">
        <f t="shared" si="528"/>
        <v>2023_5</v>
      </c>
      <c r="DK245" t="str">
        <f t="shared" si="528"/>
        <v>2023_5</v>
      </c>
      <c r="DL245" t="str">
        <f t="shared" si="528"/>
        <v>2023_5</v>
      </c>
      <c r="DM245" t="str">
        <f t="shared" si="528"/>
        <v>2023_5</v>
      </c>
      <c r="DN245" t="str">
        <f t="shared" si="528"/>
        <v>2023_5</v>
      </c>
      <c r="DO245" t="str">
        <f t="shared" si="528"/>
        <v>2023_5</v>
      </c>
      <c r="DP245" t="str">
        <f t="shared" si="528"/>
        <v>2023_5</v>
      </c>
      <c r="DQ245" t="str">
        <f t="shared" si="528"/>
        <v>2023_5</v>
      </c>
      <c r="DR245" t="str">
        <f t="shared" si="528"/>
        <v>2023_5</v>
      </c>
      <c r="DS245" t="str">
        <f t="shared" si="528"/>
        <v>2023_5</v>
      </c>
      <c r="DT245" t="str">
        <f t="shared" si="528"/>
        <v>2023_5</v>
      </c>
      <c r="DU245" t="str">
        <f t="shared" si="528"/>
        <v>2023_5</v>
      </c>
      <c r="DV245" t="str">
        <f t="shared" si="526"/>
        <v>2023_5</v>
      </c>
      <c r="DW245" t="str">
        <f t="shared" si="526"/>
        <v>2023_5</v>
      </c>
      <c r="DX245" t="str">
        <f t="shared" si="526"/>
        <v>2023_5</v>
      </c>
      <c r="DY245" t="str">
        <f t="shared" si="526"/>
        <v>2023_5</v>
      </c>
      <c r="DZ245" t="str">
        <f t="shared" si="526"/>
        <v>2023_5</v>
      </c>
      <c r="EA245" t="str">
        <f t="shared" si="526"/>
        <v>2023_5</v>
      </c>
      <c r="EB245" t="str">
        <f t="shared" si="526"/>
        <v>2023_5</v>
      </c>
      <c r="EC245" t="str">
        <f t="shared" si="526"/>
        <v>2023_5</v>
      </c>
      <c r="ED245" t="str">
        <f t="shared" si="526"/>
        <v>2023_5</v>
      </c>
      <c r="EE245" t="str">
        <f t="shared" si="526"/>
        <v>2023_5</v>
      </c>
      <c r="EF245" t="str">
        <f t="shared" si="526"/>
        <v>2023_5</v>
      </c>
      <c r="EG245" t="str">
        <f t="shared" si="526"/>
        <v>2023_5</v>
      </c>
      <c r="EH245" t="str">
        <f t="shared" si="526"/>
        <v>2023_5</v>
      </c>
      <c r="EI245" t="str">
        <f t="shared" si="526"/>
        <v>2023_5</v>
      </c>
      <c r="EJ245" t="str">
        <f t="shared" si="526"/>
        <v>2023_5</v>
      </c>
      <c r="EK245" t="str">
        <f t="shared" si="526"/>
        <v>2023_5</v>
      </c>
      <c r="EL245" t="str">
        <f t="shared" si="527"/>
        <v>2023_5</v>
      </c>
      <c r="EM245" t="str">
        <f t="shared" si="525"/>
        <v>2023_5</v>
      </c>
      <c r="EN245" t="str">
        <f t="shared" si="525"/>
        <v>2023_5</v>
      </c>
      <c r="EO245" t="str">
        <f t="shared" si="525"/>
        <v>2023_5</v>
      </c>
      <c r="EP245" t="str">
        <f t="shared" si="525"/>
        <v>2023_5</v>
      </c>
      <c r="EQ245" t="str">
        <f t="shared" si="525"/>
        <v>2023_5</v>
      </c>
      <c r="ER245" t="str">
        <f t="shared" si="525"/>
        <v>2023_5</v>
      </c>
      <c r="ES245" t="str">
        <f t="shared" si="525"/>
        <v>2023_5</v>
      </c>
      <c r="ET245" t="str">
        <f t="shared" si="525"/>
        <v>2023_5</v>
      </c>
      <c r="EU245" t="str">
        <f t="shared" si="525"/>
        <v>2023_5</v>
      </c>
      <c r="EV245" t="str">
        <f t="shared" si="525"/>
        <v>2023_5</v>
      </c>
      <c r="EW245" t="str">
        <f t="shared" si="525"/>
        <v>2023_5</v>
      </c>
      <c r="EX245" t="str">
        <f t="shared" si="525"/>
        <v>2023_5</v>
      </c>
      <c r="EY245" t="str">
        <f t="shared" si="525"/>
        <v>2023_5</v>
      </c>
      <c r="FB245" s="10" t="s">
        <v>37</v>
      </c>
      <c r="FC245">
        <f t="shared" si="521"/>
        <v>0</v>
      </c>
      <c r="FD245">
        <f t="shared" si="471"/>
        <v>0</v>
      </c>
      <c r="FE245">
        <f t="shared" si="472"/>
        <v>0</v>
      </c>
      <c r="FF245">
        <f t="shared" si="473"/>
        <v>0</v>
      </c>
      <c r="FG245">
        <f t="shared" si="474"/>
        <v>0</v>
      </c>
      <c r="FH245">
        <f t="shared" si="475"/>
        <v>0</v>
      </c>
      <c r="FI245">
        <f t="shared" si="476"/>
        <v>0</v>
      </c>
      <c r="FJ245">
        <f t="shared" si="477"/>
        <v>0</v>
      </c>
      <c r="FK245">
        <f t="shared" si="478"/>
        <v>0</v>
      </c>
      <c r="FL245">
        <f t="shared" si="479"/>
        <v>0</v>
      </c>
      <c r="FM245">
        <f t="shared" si="480"/>
        <v>0</v>
      </c>
      <c r="FN245">
        <f t="shared" si="481"/>
        <v>0</v>
      </c>
      <c r="FO245">
        <f t="shared" si="482"/>
        <v>0</v>
      </c>
      <c r="FP245">
        <f t="shared" si="483"/>
        <v>0</v>
      </c>
      <c r="FQ245">
        <f t="shared" si="484"/>
        <v>0</v>
      </c>
      <c r="FR245">
        <f t="shared" si="485"/>
        <v>0</v>
      </c>
      <c r="FS245">
        <f t="shared" si="486"/>
        <v>0</v>
      </c>
      <c r="FT245">
        <f t="shared" si="487"/>
        <v>0</v>
      </c>
      <c r="FU245">
        <f t="shared" si="488"/>
        <v>0</v>
      </c>
      <c r="FV245">
        <f t="shared" si="489"/>
        <v>0</v>
      </c>
      <c r="FW245">
        <f t="shared" si="490"/>
        <v>0</v>
      </c>
      <c r="FX245">
        <f t="shared" si="491"/>
        <v>0</v>
      </c>
      <c r="FY245">
        <f t="shared" si="492"/>
        <v>0</v>
      </c>
      <c r="FZ245">
        <f t="shared" si="493"/>
        <v>0</v>
      </c>
      <c r="GA245">
        <f t="shared" si="494"/>
        <v>0</v>
      </c>
      <c r="GB245">
        <f t="shared" si="495"/>
        <v>0</v>
      </c>
      <c r="GC245">
        <f t="shared" si="496"/>
        <v>0</v>
      </c>
      <c r="GD245">
        <f t="shared" si="497"/>
        <v>0</v>
      </c>
      <c r="GE245">
        <f t="shared" si="498"/>
        <v>0</v>
      </c>
      <c r="GF245">
        <f t="shared" si="499"/>
        <v>0</v>
      </c>
      <c r="GG245">
        <f t="shared" si="500"/>
        <v>0</v>
      </c>
      <c r="GH245">
        <f t="shared" si="501"/>
        <v>0</v>
      </c>
      <c r="GI245">
        <f t="shared" si="502"/>
        <v>0</v>
      </c>
      <c r="GJ245">
        <f t="shared" si="503"/>
        <v>0</v>
      </c>
      <c r="GK245">
        <f t="shared" si="504"/>
        <v>0</v>
      </c>
      <c r="GL245">
        <f t="shared" si="505"/>
        <v>0</v>
      </c>
      <c r="GM245">
        <f t="shared" si="506"/>
        <v>0</v>
      </c>
      <c r="GN245">
        <f t="shared" si="507"/>
        <v>1</v>
      </c>
      <c r="GO245">
        <f t="shared" si="508"/>
        <v>1</v>
      </c>
      <c r="GP245">
        <f t="shared" si="509"/>
        <v>1</v>
      </c>
      <c r="GQ245">
        <f t="shared" si="510"/>
        <v>1</v>
      </c>
      <c r="GR245">
        <f t="shared" si="511"/>
        <v>1</v>
      </c>
      <c r="GS245">
        <f t="shared" si="512"/>
        <v>1</v>
      </c>
      <c r="GT245">
        <f t="shared" si="513"/>
        <v>1</v>
      </c>
      <c r="GU245">
        <f t="shared" si="514"/>
        <v>1</v>
      </c>
      <c r="GX245" s="10"/>
    </row>
    <row r="246" spans="1:206" x14ac:dyDescent="0.3">
      <c r="A246" s="34" t="s">
        <v>235</v>
      </c>
      <c r="B246" s="84"/>
      <c r="C246" s="9">
        <v>3132062000</v>
      </c>
      <c r="D246" s="34" t="s">
        <v>479</v>
      </c>
      <c r="E246" s="34" t="s">
        <v>100</v>
      </c>
      <c r="F246" s="34" t="s">
        <v>35</v>
      </c>
      <c r="G246" s="34" t="s">
        <v>260</v>
      </c>
      <c r="H246" s="10">
        <v>45070</v>
      </c>
      <c r="I246" s="9">
        <f t="shared" si="515"/>
        <v>2023</v>
      </c>
      <c r="J246" s="9">
        <f t="shared" si="516"/>
        <v>5</v>
      </c>
      <c r="K246" s="9" t="str">
        <f t="shared" si="517"/>
        <v>2023_5</v>
      </c>
      <c r="L246">
        <f>MAX(0,VLOOKUP($K246,lookups!$A$1:$B$45,2,0)-12)</f>
        <v>25</v>
      </c>
      <c r="M246" s="40">
        <f t="shared" si="518"/>
        <v>45047</v>
      </c>
      <c r="N246" s="10" t="s">
        <v>37</v>
      </c>
      <c r="O246" t="str">
        <f ca="1">IF(OR($L246&gt;O$4,O$4&gt;$L246+23),"",OFFSET(Electric!$L237,0,-'Electric Calendarize'!$L246+'Electric Calendarize'!O$4+1))</f>
        <v/>
      </c>
      <c r="P246" t="str">
        <f ca="1">IF(OR($L246&gt;P$4,P$4&gt;$L246+23),"",OFFSET(Electric!$L237,0,-'Electric Calendarize'!$L246+'Electric Calendarize'!P$4+1))</f>
        <v/>
      </c>
      <c r="Q246" t="str">
        <f ca="1">IF(OR($L246&gt;Q$4,Q$4&gt;$L246+23),"",OFFSET(Electric!$L237,0,-'Electric Calendarize'!$L246+'Electric Calendarize'!Q$4+1))</f>
        <v/>
      </c>
      <c r="R246" t="str">
        <f ca="1">IF(OR($L246&gt;R$4,R$4&gt;$L246+23),"",OFFSET(Electric!$L237,0,-'Electric Calendarize'!$L246+'Electric Calendarize'!R$4+1))</f>
        <v/>
      </c>
      <c r="S246" t="str">
        <f ca="1">IF(OR($L246&gt;S$4,S$4&gt;$L246+23),"",OFFSET(Electric!$L237,0,-'Electric Calendarize'!$L246+'Electric Calendarize'!S$4+1))</f>
        <v/>
      </c>
      <c r="T246" t="str">
        <f ca="1">IF(OR($L246&gt;T$4,T$4&gt;$L246+23),"",OFFSET(Electric!$L237,0,-'Electric Calendarize'!$L246+'Electric Calendarize'!T$4+1))</f>
        <v/>
      </c>
      <c r="U246" t="str">
        <f ca="1">IF(OR($L246&gt;U$4,U$4&gt;$L246+23),"",OFFSET(Electric!$L237,0,-'Electric Calendarize'!$L246+'Electric Calendarize'!U$4+1))</f>
        <v/>
      </c>
      <c r="V246" t="str">
        <f ca="1">IF(OR($L246&gt;V$4,V$4&gt;$L246+23),"",OFFSET(Electric!$L237,0,-'Electric Calendarize'!$L246+'Electric Calendarize'!V$4+1))</f>
        <v/>
      </c>
      <c r="W246" t="str">
        <f ca="1">IF(OR($L246&gt;W$4,W$4&gt;$L246+23),"",OFFSET(Electric!$L237,0,-'Electric Calendarize'!$L246+'Electric Calendarize'!W$4+1))</f>
        <v/>
      </c>
      <c r="X246" t="str">
        <f ca="1">IF(OR($L246&gt;X$4,X$4&gt;$L246+23),"",OFFSET(Electric!$L237,0,-'Electric Calendarize'!$L246+'Electric Calendarize'!X$4+1))</f>
        <v/>
      </c>
      <c r="Y246" t="str">
        <f ca="1">IF(OR($L246&gt;Y$4,Y$4&gt;$L246+23),"",OFFSET(Electric!$L237,0,-'Electric Calendarize'!$L246+'Electric Calendarize'!Y$4+1))</f>
        <v/>
      </c>
      <c r="Z246" t="str">
        <f ca="1">IF(OR($L246&gt;Z$4,Z$4&gt;$L246+23),"",OFFSET(Electric!$L237,0,-'Electric Calendarize'!$L246+'Electric Calendarize'!Z$4+1))</f>
        <v/>
      </c>
      <c r="AA246" t="str">
        <f ca="1">IF(OR($L246&gt;AA$4,AA$4&gt;$L246+23),"",OFFSET(Electric!$L237,0,-'Electric Calendarize'!$L246+'Electric Calendarize'!AA$4+1))</f>
        <v/>
      </c>
      <c r="AB246" t="str">
        <f ca="1">IF(OR($L246&gt;AB$4,AB$4&gt;$L246+23),"",OFFSET(Electric!$L237,0,-'Electric Calendarize'!$L246+'Electric Calendarize'!AB$4+1))</f>
        <v/>
      </c>
      <c r="AC246" t="str">
        <f ca="1">IF(OR($L246&gt;AC$4,AC$4&gt;$L246+23),"",OFFSET(Electric!$L237,0,-'Electric Calendarize'!$L246+'Electric Calendarize'!AC$4+1))</f>
        <v/>
      </c>
      <c r="AD246" t="str">
        <f ca="1">IF(OR($L246&gt;AD$4,AD$4&gt;$L246+23),"",OFFSET(Electric!$L237,0,-'Electric Calendarize'!$L246+'Electric Calendarize'!AD$4+1))</f>
        <v/>
      </c>
      <c r="AE246" t="str">
        <f ca="1">IF(OR($L246&gt;AE$4,AE$4&gt;$L246+23),"",OFFSET(Electric!$L237,0,-'Electric Calendarize'!$L246+'Electric Calendarize'!AE$4+1))</f>
        <v/>
      </c>
      <c r="AF246" t="str">
        <f ca="1">IF(OR($L246&gt;AF$4,AF$4&gt;$L246+23),"",OFFSET(Electric!$L237,0,-'Electric Calendarize'!$L246+'Electric Calendarize'!AF$4+1))</f>
        <v/>
      </c>
      <c r="AG246" t="str">
        <f ca="1">IF(OR($L246&gt;AG$4,AG$4&gt;$L246+23),"",OFFSET(Electric!$L237,0,-'Electric Calendarize'!$L246+'Electric Calendarize'!AG$4+1))</f>
        <v/>
      </c>
      <c r="AH246" t="str">
        <f ca="1">IF(OR($L246&gt;AH$4,AH$4&gt;$L246+23),"",OFFSET(Electric!$L237,0,-'Electric Calendarize'!$L246+'Electric Calendarize'!AH$4+1))</f>
        <v/>
      </c>
      <c r="AI246" t="str">
        <f ca="1">IF(OR($L246&gt;AI$4,AI$4&gt;$L246+23),"",OFFSET(Electric!$L237,0,-'Electric Calendarize'!$L246+'Electric Calendarize'!AI$4+1))</f>
        <v/>
      </c>
      <c r="AJ246" t="str">
        <f ca="1">IF(OR($L246&gt;AJ$4,AJ$4&gt;$L246+23),"",OFFSET(Electric!$L237,0,-'Electric Calendarize'!$L246+'Electric Calendarize'!AJ$4+1))</f>
        <v/>
      </c>
      <c r="AK246" t="str">
        <f ca="1">IF(OR($L246&gt;AK$4,AK$4&gt;$L246+23),"",OFFSET(Electric!$L237,0,-'Electric Calendarize'!$L246+'Electric Calendarize'!AK$4+1))</f>
        <v/>
      </c>
      <c r="AL246" t="str">
        <f ca="1">IF(OR($L246&gt;AL$4,AL$4&gt;$L246+23),"",OFFSET(Electric!$L237,0,-'Electric Calendarize'!$L246+'Electric Calendarize'!AL$4+1))</f>
        <v/>
      </c>
      <c r="AM246" t="str">
        <f ca="1">IF(OR($L246&gt;AM$4,AM$4&gt;$L246+23),"",OFFSET(Electric!$L237,0,-'Electric Calendarize'!$L246+'Electric Calendarize'!AM$4+1))</f>
        <v/>
      </c>
      <c r="AN246">
        <f ca="1">IF(OR($L246&gt;AN$4,AN$4&gt;$L246+23),"",OFFSET(Electric!$L237,0,-'Electric Calendarize'!$L246+'Electric Calendarize'!AN$4+1))</f>
        <v>333</v>
      </c>
      <c r="AO246">
        <f ca="1">IF(OR($L246&gt;AO$4,AO$4&gt;$L246+23),"",OFFSET(Electric!$L237,0,-'Electric Calendarize'!$L246+'Electric Calendarize'!AO$4+1))</f>
        <v>278</v>
      </c>
      <c r="AP246">
        <f ca="1">IF(OR($L246&gt;AP$4,AP$4&gt;$L246+23),"",OFFSET(Electric!$L237,0,-'Electric Calendarize'!$L246+'Electric Calendarize'!AP$4+1))</f>
        <v>401</v>
      </c>
      <c r="AQ246">
        <f ca="1">IF(OR($L246&gt;AQ$4,AQ$4&gt;$L246+23),"",OFFSET(Electric!$L237,0,-'Electric Calendarize'!$L246+'Electric Calendarize'!AQ$4+1))</f>
        <v>397</v>
      </c>
      <c r="AR246">
        <f ca="1">IF(OR($L246&gt;AR$4,AR$4&gt;$L246+23),"",OFFSET(Electric!$L237,0,-'Electric Calendarize'!$L246+'Electric Calendarize'!AR$4+1))</f>
        <v>297</v>
      </c>
      <c r="AS246">
        <f ca="1">IF(OR($L246&gt;AS$4,AS$4&gt;$L246+23),"",OFFSET(Electric!$L237,0,-'Electric Calendarize'!$L246+'Electric Calendarize'!AS$4+1))</f>
        <v>313</v>
      </c>
      <c r="AT246">
        <f ca="1">IF(OR($L246&gt;AT$4,AT$4&gt;$L246+23),"",OFFSET(Electric!$L237,0,-'Electric Calendarize'!$L246+'Electric Calendarize'!AT$4+1))</f>
        <v>278</v>
      </c>
      <c r="AU246">
        <f ca="1">IF(OR($L246&gt;AU$4,AU$4&gt;$L246+23),"",OFFSET(Electric!$L237,0,-'Electric Calendarize'!$L246+'Electric Calendarize'!AU$4+1))</f>
        <v>350</v>
      </c>
      <c r="AV246">
        <f ca="1">IF(OR($L246&gt;AV$4,AV$4&gt;$L246+23),"",OFFSET(Electric!$L237,0,-'Electric Calendarize'!$L246+'Electric Calendarize'!AV$4+1))</f>
        <v>421</v>
      </c>
      <c r="AW246">
        <f ca="1">IF(OR($L246&gt;AW$4,AW$4&gt;$L246+23),"",OFFSET(Electric!$L237,0,-'Electric Calendarize'!$L246+'Electric Calendarize'!AW$4+1))</f>
        <v>328</v>
      </c>
      <c r="AX246">
        <f ca="1">IF(OR($L246&gt;AX$4,AX$4&gt;$L246+23),"",OFFSET(Electric!$L237,0,-'Electric Calendarize'!$L246+'Electric Calendarize'!AX$4+1))</f>
        <v>320</v>
      </c>
      <c r="AY246">
        <f ca="1">IF(OR($L246&gt;AY$4,AY$4&gt;$L246+23),"",OFFSET(Electric!$L237,0,-'Electric Calendarize'!$L246+'Electric Calendarize'!AY$4+1))</f>
        <v>319</v>
      </c>
      <c r="AZ246">
        <f ca="1">IF(OR($L246&gt;AZ$4,AZ$4&gt;$L246+23),"",OFFSET(Electric!$L237,0,-'Electric Calendarize'!$L246+'Electric Calendarize'!AZ$4+1))</f>
        <v>299</v>
      </c>
      <c r="BA246">
        <f ca="1">IF(OR($L246&gt;BA$4,BA$4&gt;$L246+23),"",OFFSET(Electric!$L237,0,-'Electric Calendarize'!$L246+'Electric Calendarize'!BA$4+1))</f>
        <v>275</v>
      </c>
      <c r="BB246">
        <f ca="1">IF(OR($L246&gt;BB$4,BB$4&gt;$L246+23),"",OFFSET(Electric!$L237,0,-'Electric Calendarize'!$L246+'Electric Calendarize'!BB$4+1))</f>
        <v>407</v>
      </c>
      <c r="BC246">
        <f ca="1">IF(OR($L246&gt;BC$4,BC$4&gt;$L246+23),"",OFFSET(Electric!$L237,0,-'Electric Calendarize'!$L246+'Electric Calendarize'!BC$4+1))</f>
        <v>320</v>
      </c>
      <c r="BD246">
        <f ca="1">IF(OR($L246&gt;BD$4,BD$4&gt;$L246+23),"",OFFSET(Electric!$L237,0,-'Electric Calendarize'!$L246+'Electric Calendarize'!BD$4+1))</f>
        <v>284</v>
      </c>
      <c r="BE246">
        <f ca="1">IF(OR($L246&gt;BE$4,BE$4&gt;$L246+23),"",OFFSET(Electric!$L237,0,-'Electric Calendarize'!$L246+'Electric Calendarize'!BE$4+1))</f>
        <v>305</v>
      </c>
      <c r="BF246">
        <f ca="1">IF(OR($L246&gt;BF$4,BF$4&gt;$L246+23),"",OFFSET(Electric!$L237,0,-'Electric Calendarize'!$L246+'Electric Calendarize'!BF$4+1))</f>
        <v>298</v>
      </c>
      <c r="BG246">
        <f ca="1">IF(OR($L246&gt;BG$4,BG$4&gt;$L246+23),"",OFFSET(Electric!$L237,0,-'Electric Calendarize'!$L246+'Electric Calendarize'!BG$4+1))</f>
        <v>0</v>
      </c>
      <c r="BJ246" s="10" t="s">
        <v>37</v>
      </c>
      <c r="BK246">
        <f t="shared" si="519"/>
        <v>1</v>
      </c>
      <c r="BL246">
        <f t="shared" si="425"/>
        <v>0</v>
      </c>
      <c r="BM246">
        <f t="shared" si="426"/>
        <v>0</v>
      </c>
      <c r="BN246">
        <f t="shared" si="427"/>
        <v>0</v>
      </c>
      <c r="BO246">
        <f t="shared" si="428"/>
        <v>0</v>
      </c>
      <c r="BP246">
        <f t="shared" si="429"/>
        <v>0</v>
      </c>
      <c r="BQ246">
        <f t="shared" si="430"/>
        <v>0</v>
      </c>
      <c r="BR246">
        <f t="shared" si="431"/>
        <v>1</v>
      </c>
      <c r="BS246">
        <f t="shared" si="432"/>
        <v>1</v>
      </c>
      <c r="BT246">
        <f t="shared" si="433"/>
        <v>1</v>
      </c>
      <c r="BU246">
        <f t="shared" si="434"/>
        <v>1</v>
      </c>
      <c r="BV246">
        <f t="shared" si="435"/>
        <v>1</v>
      </c>
      <c r="BW246">
        <f t="shared" si="436"/>
        <v>1</v>
      </c>
      <c r="BX246">
        <f t="shared" si="437"/>
        <v>0</v>
      </c>
      <c r="BY246">
        <f t="shared" si="438"/>
        <v>0</v>
      </c>
      <c r="BZ246">
        <f t="shared" si="439"/>
        <v>0</v>
      </c>
      <c r="CA246">
        <f t="shared" si="440"/>
        <v>0</v>
      </c>
      <c r="CB246">
        <f t="shared" si="441"/>
        <v>0</v>
      </c>
      <c r="CC246">
        <f t="shared" si="442"/>
        <v>0</v>
      </c>
      <c r="CD246">
        <f t="shared" si="443"/>
        <v>1</v>
      </c>
      <c r="CE246">
        <f t="shared" si="444"/>
        <v>1</v>
      </c>
      <c r="CF246">
        <f t="shared" si="445"/>
        <v>1</v>
      </c>
      <c r="CG246">
        <f t="shared" si="446"/>
        <v>1</v>
      </c>
      <c r="CH246">
        <f t="shared" si="447"/>
        <v>1</v>
      </c>
      <c r="CI246">
        <f t="shared" si="448"/>
        <v>1</v>
      </c>
      <c r="CJ246">
        <f t="shared" si="449"/>
        <v>0</v>
      </c>
      <c r="CK246">
        <f t="shared" si="450"/>
        <v>0</v>
      </c>
      <c r="CL246">
        <f t="shared" si="451"/>
        <v>0</v>
      </c>
      <c r="CM246">
        <f t="shared" si="452"/>
        <v>0</v>
      </c>
      <c r="CN246">
        <f t="shared" si="453"/>
        <v>0</v>
      </c>
      <c r="CO246">
        <f t="shared" si="454"/>
        <v>0</v>
      </c>
      <c r="CP246">
        <f t="shared" si="455"/>
        <v>1</v>
      </c>
      <c r="CQ246">
        <f t="shared" si="456"/>
        <v>1</v>
      </c>
      <c r="CR246">
        <f t="shared" si="457"/>
        <v>1</v>
      </c>
      <c r="CS246">
        <f t="shared" si="458"/>
        <v>1</v>
      </c>
      <c r="CT246">
        <f t="shared" si="459"/>
        <v>1</v>
      </c>
      <c r="CU246">
        <f t="shared" si="460"/>
        <v>1</v>
      </c>
      <c r="CV246">
        <f t="shared" si="461"/>
        <v>0</v>
      </c>
      <c r="CW246">
        <f t="shared" si="462"/>
        <v>0</v>
      </c>
      <c r="CX246">
        <f t="shared" si="463"/>
        <v>0</v>
      </c>
      <c r="CY246">
        <f t="shared" si="464"/>
        <v>0</v>
      </c>
      <c r="CZ246">
        <f t="shared" si="465"/>
        <v>0</v>
      </c>
      <c r="DA246">
        <f t="shared" si="466"/>
        <v>0</v>
      </c>
      <c r="DB246">
        <f t="shared" si="467"/>
        <v>1</v>
      </c>
      <c r="DC246">
        <f t="shared" si="468"/>
        <v>1</v>
      </c>
      <c r="DF246" s="10" t="s">
        <v>37</v>
      </c>
      <c r="DG246" t="str">
        <f t="shared" si="528"/>
        <v>2023_5</v>
      </c>
      <c r="DH246" t="str">
        <f t="shared" si="528"/>
        <v>2023_5</v>
      </c>
      <c r="DI246" t="str">
        <f t="shared" si="528"/>
        <v>2023_5</v>
      </c>
      <c r="DJ246" t="str">
        <f t="shared" si="528"/>
        <v>2023_5</v>
      </c>
      <c r="DK246" t="str">
        <f t="shared" si="528"/>
        <v>2023_5</v>
      </c>
      <c r="DL246" t="str">
        <f t="shared" si="528"/>
        <v>2023_5</v>
      </c>
      <c r="DM246" t="str">
        <f t="shared" si="528"/>
        <v>2023_5</v>
      </c>
      <c r="DN246" t="str">
        <f t="shared" si="528"/>
        <v>2023_5</v>
      </c>
      <c r="DO246" t="str">
        <f t="shared" si="528"/>
        <v>2023_5</v>
      </c>
      <c r="DP246" t="str">
        <f t="shared" si="528"/>
        <v>2023_5</v>
      </c>
      <c r="DQ246" t="str">
        <f t="shared" si="528"/>
        <v>2023_5</v>
      </c>
      <c r="DR246" t="str">
        <f t="shared" si="528"/>
        <v>2023_5</v>
      </c>
      <c r="DS246" t="str">
        <f t="shared" si="528"/>
        <v>2023_5</v>
      </c>
      <c r="DT246" t="str">
        <f t="shared" si="528"/>
        <v>2023_5</v>
      </c>
      <c r="DU246" t="str">
        <f t="shared" si="528"/>
        <v>2023_5</v>
      </c>
      <c r="DV246" t="str">
        <f t="shared" si="526"/>
        <v>2023_5</v>
      </c>
      <c r="DW246" t="str">
        <f t="shared" si="526"/>
        <v>2023_5</v>
      </c>
      <c r="DX246" t="str">
        <f t="shared" si="526"/>
        <v>2023_5</v>
      </c>
      <c r="DY246" t="str">
        <f t="shared" si="526"/>
        <v>2023_5</v>
      </c>
      <c r="DZ246" t="str">
        <f t="shared" si="526"/>
        <v>2023_5</v>
      </c>
      <c r="EA246" t="str">
        <f t="shared" si="526"/>
        <v>2023_5</v>
      </c>
      <c r="EB246" t="str">
        <f t="shared" si="526"/>
        <v>2023_5</v>
      </c>
      <c r="EC246" t="str">
        <f t="shared" si="526"/>
        <v>2023_5</v>
      </c>
      <c r="ED246" t="str">
        <f t="shared" si="526"/>
        <v>2023_5</v>
      </c>
      <c r="EE246" t="str">
        <f t="shared" si="526"/>
        <v>2023_5</v>
      </c>
      <c r="EF246" t="str">
        <f t="shared" si="526"/>
        <v>2023_5</v>
      </c>
      <c r="EG246" t="str">
        <f t="shared" si="526"/>
        <v>2023_5</v>
      </c>
      <c r="EH246" t="str">
        <f t="shared" si="526"/>
        <v>2023_5</v>
      </c>
      <c r="EI246" t="str">
        <f t="shared" si="526"/>
        <v>2023_5</v>
      </c>
      <c r="EJ246" t="str">
        <f t="shared" si="526"/>
        <v>2023_5</v>
      </c>
      <c r="EK246" t="str">
        <f t="shared" si="526"/>
        <v>2023_5</v>
      </c>
      <c r="EL246" t="str">
        <f t="shared" si="527"/>
        <v>2023_5</v>
      </c>
      <c r="EM246" t="str">
        <f t="shared" si="525"/>
        <v>2023_5</v>
      </c>
      <c r="EN246" t="str">
        <f t="shared" si="525"/>
        <v>2023_5</v>
      </c>
      <c r="EO246" t="str">
        <f t="shared" si="525"/>
        <v>2023_5</v>
      </c>
      <c r="EP246" t="str">
        <f t="shared" si="525"/>
        <v>2023_5</v>
      </c>
      <c r="EQ246" t="str">
        <f t="shared" si="525"/>
        <v>2023_5</v>
      </c>
      <c r="ER246" t="str">
        <f t="shared" si="525"/>
        <v>2023_5</v>
      </c>
      <c r="ES246" t="str">
        <f t="shared" si="525"/>
        <v>2023_5</v>
      </c>
      <c r="ET246" t="str">
        <f t="shared" si="525"/>
        <v>2023_5</v>
      </c>
      <c r="EU246" t="str">
        <f t="shared" si="525"/>
        <v>2023_5</v>
      </c>
      <c r="EV246" t="str">
        <f t="shared" si="525"/>
        <v>2023_5</v>
      </c>
      <c r="EW246" t="str">
        <f t="shared" si="525"/>
        <v>2023_5</v>
      </c>
      <c r="EX246" t="str">
        <f t="shared" si="525"/>
        <v>2023_5</v>
      </c>
      <c r="EY246" t="str">
        <f t="shared" si="525"/>
        <v>2023_5</v>
      </c>
      <c r="FB246" s="10" t="s">
        <v>37</v>
      </c>
      <c r="FC246">
        <f t="shared" si="521"/>
        <v>0</v>
      </c>
      <c r="FD246">
        <f t="shared" si="471"/>
        <v>0</v>
      </c>
      <c r="FE246">
        <f t="shared" si="472"/>
        <v>0</v>
      </c>
      <c r="FF246">
        <f t="shared" si="473"/>
        <v>0</v>
      </c>
      <c r="FG246">
        <f t="shared" si="474"/>
        <v>0</v>
      </c>
      <c r="FH246">
        <f t="shared" si="475"/>
        <v>0</v>
      </c>
      <c r="FI246">
        <f t="shared" si="476"/>
        <v>0</v>
      </c>
      <c r="FJ246">
        <f t="shared" si="477"/>
        <v>0</v>
      </c>
      <c r="FK246">
        <f t="shared" si="478"/>
        <v>0</v>
      </c>
      <c r="FL246">
        <f t="shared" si="479"/>
        <v>0</v>
      </c>
      <c r="FM246">
        <f t="shared" si="480"/>
        <v>0</v>
      </c>
      <c r="FN246">
        <f t="shared" si="481"/>
        <v>0</v>
      </c>
      <c r="FO246">
        <f t="shared" si="482"/>
        <v>0</v>
      </c>
      <c r="FP246">
        <f t="shared" si="483"/>
        <v>0</v>
      </c>
      <c r="FQ246">
        <f t="shared" si="484"/>
        <v>0</v>
      </c>
      <c r="FR246">
        <f t="shared" si="485"/>
        <v>0</v>
      </c>
      <c r="FS246">
        <f t="shared" si="486"/>
        <v>0</v>
      </c>
      <c r="FT246">
        <f t="shared" si="487"/>
        <v>0</v>
      </c>
      <c r="FU246">
        <f t="shared" si="488"/>
        <v>0</v>
      </c>
      <c r="FV246">
        <f t="shared" si="489"/>
        <v>0</v>
      </c>
      <c r="FW246">
        <f t="shared" si="490"/>
        <v>0</v>
      </c>
      <c r="FX246">
        <f t="shared" si="491"/>
        <v>0</v>
      </c>
      <c r="FY246">
        <f t="shared" si="492"/>
        <v>0</v>
      </c>
      <c r="FZ246">
        <f t="shared" si="493"/>
        <v>0</v>
      </c>
      <c r="GA246">
        <f t="shared" si="494"/>
        <v>0</v>
      </c>
      <c r="GB246">
        <f t="shared" si="495"/>
        <v>0</v>
      </c>
      <c r="GC246">
        <f t="shared" si="496"/>
        <v>0</v>
      </c>
      <c r="GD246">
        <f t="shared" si="497"/>
        <v>0</v>
      </c>
      <c r="GE246">
        <f t="shared" si="498"/>
        <v>0</v>
      </c>
      <c r="GF246">
        <f t="shared" si="499"/>
        <v>0</v>
      </c>
      <c r="GG246">
        <f t="shared" si="500"/>
        <v>0</v>
      </c>
      <c r="GH246">
        <f t="shared" si="501"/>
        <v>0</v>
      </c>
      <c r="GI246">
        <f t="shared" si="502"/>
        <v>0</v>
      </c>
      <c r="GJ246">
        <f t="shared" si="503"/>
        <v>0</v>
      </c>
      <c r="GK246">
        <f t="shared" si="504"/>
        <v>0</v>
      </c>
      <c r="GL246">
        <f t="shared" si="505"/>
        <v>0</v>
      </c>
      <c r="GM246">
        <f t="shared" si="506"/>
        <v>0</v>
      </c>
      <c r="GN246">
        <f t="shared" si="507"/>
        <v>1</v>
      </c>
      <c r="GO246">
        <f t="shared" si="508"/>
        <v>1</v>
      </c>
      <c r="GP246">
        <f t="shared" si="509"/>
        <v>1</v>
      </c>
      <c r="GQ246">
        <f t="shared" si="510"/>
        <v>1</v>
      </c>
      <c r="GR246">
        <f t="shared" si="511"/>
        <v>1</v>
      </c>
      <c r="GS246">
        <f t="shared" si="512"/>
        <v>1</v>
      </c>
      <c r="GT246">
        <f t="shared" si="513"/>
        <v>1</v>
      </c>
      <c r="GU246">
        <f t="shared" si="514"/>
        <v>1</v>
      </c>
      <c r="GX246" s="10"/>
    </row>
    <row r="247" spans="1:206" x14ac:dyDescent="0.3">
      <c r="A247" s="9" t="s">
        <v>124</v>
      </c>
      <c r="B247" s="80"/>
      <c r="C247" s="34">
        <v>3081447001</v>
      </c>
      <c r="D247" s="9" t="s">
        <v>355</v>
      </c>
      <c r="E247" s="9" t="s">
        <v>39</v>
      </c>
      <c r="F247" s="9" t="s">
        <v>35</v>
      </c>
      <c r="G247" s="9" t="s">
        <v>261</v>
      </c>
      <c r="H247" s="10">
        <v>45071</v>
      </c>
      <c r="I247" s="9">
        <f t="shared" si="515"/>
        <v>2023</v>
      </c>
      <c r="J247" s="9">
        <f t="shared" si="516"/>
        <v>5</v>
      </c>
      <c r="K247" s="9" t="str">
        <f t="shared" si="517"/>
        <v>2023_5</v>
      </c>
      <c r="L247">
        <f>MAX(0,VLOOKUP($K247,lookups!$A$1:$B$45,2,0)-12)</f>
        <v>25</v>
      </c>
      <c r="M247" s="40">
        <f t="shared" si="518"/>
        <v>45047</v>
      </c>
      <c r="N247" s="10" t="s">
        <v>37</v>
      </c>
      <c r="O247" t="str">
        <f ca="1">IF(OR($L247&gt;O$4,O$4&gt;$L247+23),"",OFFSET(Electric!$L238,0,-'Electric Calendarize'!$L247+'Electric Calendarize'!O$4+1))</f>
        <v/>
      </c>
      <c r="P247" t="str">
        <f ca="1">IF(OR($L247&gt;P$4,P$4&gt;$L247+23),"",OFFSET(Electric!$L238,0,-'Electric Calendarize'!$L247+'Electric Calendarize'!P$4+1))</f>
        <v/>
      </c>
      <c r="Q247" t="str">
        <f ca="1">IF(OR($L247&gt;Q$4,Q$4&gt;$L247+23),"",OFFSET(Electric!$L238,0,-'Electric Calendarize'!$L247+'Electric Calendarize'!Q$4+1))</f>
        <v/>
      </c>
      <c r="R247" t="str">
        <f ca="1">IF(OR($L247&gt;R$4,R$4&gt;$L247+23),"",OFFSET(Electric!$L238,0,-'Electric Calendarize'!$L247+'Electric Calendarize'!R$4+1))</f>
        <v/>
      </c>
      <c r="S247" t="str">
        <f ca="1">IF(OR($L247&gt;S$4,S$4&gt;$L247+23),"",OFFSET(Electric!$L238,0,-'Electric Calendarize'!$L247+'Electric Calendarize'!S$4+1))</f>
        <v/>
      </c>
      <c r="T247" t="str">
        <f ca="1">IF(OR($L247&gt;T$4,T$4&gt;$L247+23),"",OFFSET(Electric!$L238,0,-'Electric Calendarize'!$L247+'Electric Calendarize'!T$4+1))</f>
        <v/>
      </c>
      <c r="U247" t="str">
        <f ca="1">IF(OR($L247&gt;U$4,U$4&gt;$L247+23),"",OFFSET(Electric!$L238,0,-'Electric Calendarize'!$L247+'Electric Calendarize'!U$4+1))</f>
        <v/>
      </c>
      <c r="V247" t="str">
        <f ca="1">IF(OR($L247&gt;V$4,V$4&gt;$L247+23),"",OFFSET(Electric!$L238,0,-'Electric Calendarize'!$L247+'Electric Calendarize'!V$4+1))</f>
        <v/>
      </c>
      <c r="W247" t="str">
        <f ca="1">IF(OR($L247&gt;W$4,W$4&gt;$L247+23),"",OFFSET(Electric!$L238,0,-'Electric Calendarize'!$L247+'Electric Calendarize'!W$4+1))</f>
        <v/>
      </c>
      <c r="X247" t="str">
        <f ca="1">IF(OR($L247&gt;X$4,X$4&gt;$L247+23),"",OFFSET(Electric!$L238,0,-'Electric Calendarize'!$L247+'Electric Calendarize'!X$4+1))</f>
        <v/>
      </c>
      <c r="Y247" t="str">
        <f ca="1">IF(OR($L247&gt;Y$4,Y$4&gt;$L247+23),"",OFFSET(Electric!$L238,0,-'Electric Calendarize'!$L247+'Electric Calendarize'!Y$4+1))</f>
        <v/>
      </c>
      <c r="Z247" t="str">
        <f ca="1">IF(OR($L247&gt;Z$4,Z$4&gt;$L247+23),"",OFFSET(Electric!$L238,0,-'Electric Calendarize'!$L247+'Electric Calendarize'!Z$4+1))</f>
        <v/>
      </c>
      <c r="AA247" t="str">
        <f ca="1">IF(OR($L247&gt;AA$4,AA$4&gt;$L247+23),"",OFFSET(Electric!$L238,0,-'Electric Calendarize'!$L247+'Electric Calendarize'!AA$4+1))</f>
        <v/>
      </c>
      <c r="AB247" t="str">
        <f ca="1">IF(OR($L247&gt;AB$4,AB$4&gt;$L247+23),"",OFFSET(Electric!$L238,0,-'Electric Calendarize'!$L247+'Electric Calendarize'!AB$4+1))</f>
        <v/>
      </c>
      <c r="AC247" t="str">
        <f ca="1">IF(OR($L247&gt;AC$4,AC$4&gt;$L247+23),"",OFFSET(Electric!$L238,0,-'Electric Calendarize'!$L247+'Electric Calendarize'!AC$4+1))</f>
        <v/>
      </c>
      <c r="AD247" t="str">
        <f ca="1">IF(OR($L247&gt;AD$4,AD$4&gt;$L247+23),"",OFFSET(Electric!$L238,0,-'Electric Calendarize'!$L247+'Electric Calendarize'!AD$4+1))</f>
        <v/>
      </c>
      <c r="AE247" t="str">
        <f ca="1">IF(OR($L247&gt;AE$4,AE$4&gt;$L247+23),"",OFFSET(Electric!$L238,0,-'Electric Calendarize'!$L247+'Electric Calendarize'!AE$4+1))</f>
        <v/>
      </c>
      <c r="AF247" t="str">
        <f ca="1">IF(OR($L247&gt;AF$4,AF$4&gt;$L247+23),"",OFFSET(Electric!$L238,0,-'Electric Calendarize'!$L247+'Electric Calendarize'!AF$4+1))</f>
        <v/>
      </c>
      <c r="AG247" t="str">
        <f ca="1">IF(OR($L247&gt;AG$4,AG$4&gt;$L247+23),"",OFFSET(Electric!$L238,0,-'Electric Calendarize'!$L247+'Electric Calendarize'!AG$4+1))</f>
        <v/>
      </c>
      <c r="AH247" t="str">
        <f ca="1">IF(OR($L247&gt;AH$4,AH$4&gt;$L247+23),"",OFFSET(Electric!$L238,0,-'Electric Calendarize'!$L247+'Electric Calendarize'!AH$4+1))</f>
        <v/>
      </c>
      <c r="AI247" t="str">
        <f ca="1">IF(OR($L247&gt;AI$4,AI$4&gt;$L247+23),"",OFFSET(Electric!$L238,0,-'Electric Calendarize'!$L247+'Electric Calendarize'!AI$4+1))</f>
        <v/>
      </c>
      <c r="AJ247" t="str">
        <f ca="1">IF(OR($L247&gt;AJ$4,AJ$4&gt;$L247+23),"",OFFSET(Electric!$L238,0,-'Electric Calendarize'!$L247+'Electric Calendarize'!AJ$4+1))</f>
        <v/>
      </c>
      <c r="AK247" t="str">
        <f ca="1">IF(OR($L247&gt;AK$4,AK$4&gt;$L247+23),"",OFFSET(Electric!$L238,0,-'Electric Calendarize'!$L247+'Electric Calendarize'!AK$4+1))</f>
        <v/>
      </c>
      <c r="AL247" t="str">
        <f ca="1">IF(OR($L247&gt;AL$4,AL$4&gt;$L247+23),"",OFFSET(Electric!$L238,0,-'Electric Calendarize'!$L247+'Electric Calendarize'!AL$4+1))</f>
        <v/>
      </c>
      <c r="AM247" t="str">
        <f ca="1">IF(OR($L247&gt;AM$4,AM$4&gt;$L247+23),"",OFFSET(Electric!$L238,0,-'Electric Calendarize'!$L247+'Electric Calendarize'!AM$4+1))</f>
        <v/>
      </c>
      <c r="AN247">
        <f ca="1">IF(OR($L247&gt;AN$4,AN$4&gt;$L247+23),"",OFFSET(Electric!$L238,0,-'Electric Calendarize'!$L247+'Electric Calendarize'!AN$4+1))</f>
        <v>381</v>
      </c>
      <c r="AO247">
        <f ca="1">IF(OR($L247&gt;AO$4,AO$4&gt;$L247+23),"",OFFSET(Electric!$L238,0,-'Electric Calendarize'!$L247+'Electric Calendarize'!AO$4+1))</f>
        <v>467</v>
      </c>
      <c r="AP247">
        <f ca="1">IF(OR($L247&gt;AP$4,AP$4&gt;$L247+23),"",OFFSET(Electric!$L238,0,-'Electric Calendarize'!$L247+'Electric Calendarize'!AP$4+1))</f>
        <v>605</v>
      </c>
      <c r="AQ247">
        <f ca="1">IF(OR($L247&gt;AQ$4,AQ$4&gt;$L247+23),"",OFFSET(Electric!$L238,0,-'Electric Calendarize'!$L247+'Electric Calendarize'!AQ$4+1))</f>
        <v>761</v>
      </c>
      <c r="AR247">
        <f ca="1">IF(OR($L247&gt;AR$4,AR$4&gt;$L247+23),"",OFFSET(Electric!$L238,0,-'Electric Calendarize'!$L247+'Electric Calendarize'!AR$4+1))</f>
        <v>522</v>
      </c>
      <c r="AS247">
        <f ca="1">IF(OR($L247&gt;AS$4,AS$4&gt;$L247+23),"",OFFSET(Electric!$L238,0,-'Electric Calendarize'!$L247+'Electric Calendarize'!AS$4+1))</f>
        <v>330</v>
      </c>
      <c r="AT247">
        <f ca="1">IF(OR($L247&gt;AT$4,AT$4&gt;$L247+23),"",OFFSET(Electric!$L238,0,-'Electric Calendarize'!$L247+'Electric Calendarize'!AT$4+1))</f>
        <v>319</v>
      </c>
      <c r="AU247">
        <f ca="1">IF(OR($L247&gt;AU$4,AU$4&gt;$L247+23),"",OFFSET(Electric!$L238,0,-'Electric Calendarize'!$L247+'Electric Calendarize'!AU$4+1))</f>
        <v>355</v>
      </c>
      <c r="AV247">
        <f ca="1">IF(OR($L247&gt;AV$4,AV$4&gt;$L247+23),"",OFFSET(Electric!$L238,0,-'Electric Calendarize'!$L247+'Electric Calendarize'!AV$4+1))</f>
        <v>435</v>
      </c>
      <c r="AW247">
        <f ca="1">IF(OR($L247&gt;AW$4,AW$4&gt;$L247+23),"",OFFSET(Electric!$L238,0,-'Electric Calendarize'!$L247+'Electric Calendarize'!AW$4+1))</f>
        <v>368</v>
      </c>
      <c r="AX247">
        <f ca="1">IF(OR($L247&gt;AX$4,AX$4&gt;$L247+23),"",OFFSET(Electric!$L238,0,-'Electric Calendarize'!$L247+'Electric Calendarize'!AX$4+1))</f>
        <v>376</v>
      </c>
      <c r="AY247">
        <f ca="1">IF(OR($L247&gt;AY$4,AY$4&gt;$L247+23),"",OFFSET(Electric!$L238,0,-'Electric Calendarize'!$L247+'Electric Calendarize'!AY$4+1))</f>
        <v>360</v>
      </c>
      <c r="AZ247">
        <f ca="1">IF(OR($L247&gt;AZ$4,AZ$4&gt;$L247+23),"",OFFSET(Electric!$L238,0,-'Electric Calendarize'!$L247+'Electric Calendarize'!AZ$4+1))</f>
        <v>313</v>
      </c>
      <c r="BA247">
        <f ca="1">IF(OR($L247&gt;BA$4,BA$4&gt;$L247+23),"",OFFSET(Electric!$L238,0,-'Electric Calendarize'!$L247+'Electric Calendarize'!BA$4+1))</f>
        <v>334</v>
      </c>
      <c r="BB247">
        <f ca="1">IF(OR($L247&gt;BB$4,BB$4&gt;$L247+23),"",OFFSET(Electric!$L238,0,-'Electric Calendarize'!$L247+'Electric Calendarize'!BB$4+1))</f>
        <v>556</v>
      </c>
      <c r="BC247">
        <f ca="1">IF(OR($L247&gt;BC$4,BC$4&gt;$L247+23),"",OFFSET(Electric!$L238,0,-'Electric Calendarize'!$L247+'Electric Calendarize'!BC$4+1))</f>
        <v>514</v>
      </c>
      <c r="BD247">
        <f ca="1">IF(OR($L247&gt;BD$4,BD$4&gt;$L247+23),"",OFFSET(Electric!$L238,0,-'Electric Calendarize'!$L247+'Electric Calendarize'!BD$4+1))</f>
        <v>481</v>
      </c>
      <c r="BE247">
        <f ca="1">IF(OR($L247&gt;BE$4,BE$4&gt;$L247+23),"",OFFSET(Electric!$L238,0,-'Electric Calendarize'!$L247+'Electric Calendarize'!BE$4+1))</f>
        <v>340</v>
      </c>
      <c r="BF247">
        <f ca="1">IF(OR($L247&gt;BF$4,BF$4&gt;$L247+23),"",OFFSET(Electric!$L238,0,-'Electric Calendarize'!$L247+'Electric Calendarize'!BF$4+1))</f>
        <v>338</v>
      </c>
      <c r="BG247">
        <f ca="1">IF(OR($L247&gt;BG$4,BG$4&gt;$L247+23),"",OFFSET(Electric!$L238,0,-'Electric Calendarize'!$L247+'Electric Calendarize'!BG$4+1))</f>
        <v>378</v>
      </c>
      <c r="BJ247" s="10" t="s">
        <v>37</v>
      </c>
      <c r="BK247">
        <f t="shared" si="519"/>
        <v>1</v>
      </c>
      <c r="BL247">
        <f t="shared" si="425"/>
        <v>0</v>
      </c>
      <c r="BM247">
        <f t="shared" si="426"/>
        <v>0</v>
      </c>
      <c r="BN247">
        <f t="shared" si="427"/>
        <v>0</v>
      </c>
      <c r="BO247">
        <f t="shared" si="428"/>
        <v>0</v>
      </c>
      <c r="BP247">
        <f t="shared" si="429"/>
        <v>0</v>
      </c>
      <c r="BQ247">
        <f t="shared" si="430"/>
        <v>0</v>
      </c>
      <c r="BR247">
        <f t="shared" si="431"/>
        <v>1</v>
      </c>
      <c r="BS247">
        <f t="shared" si="432"/>
        <v>1</v>
      </c>
      <c r="BT247">
        <f t="shared" si="433"/>
        <v>1</v>
      </c>
      <c r="BU247">
        <f t="shared" si="434"/>
        <v>1</v>
      </c>
      <c r="BV247">
        <f t="shared" si="435"/>
        <v>1</v>
      </c>
      <c r="BW247">
        <f t="shared" si="436"/>
        <v>1</v>
      </c>
      <c r="BX247">
        <f t="shared" si="437"/>
        <v>0</v>
      </c>
      <c r="BY247">
        <f t="shared" si="438"/>
        <v>0</v>
      </c>
      <c r="BZ247">
        <f t="shared" si="439"/>
        <v>0</v>
      </c>
      <c r="CA247">
        <f t="shared" si="440"/>
        <v>0</v>
      </c>
      <c r="CB247">
        <f t="shared" si="441"/>
        <v>0</v>
      </c>
      <c r="CC247">
        <f t="shared" si="442"/>
        <v>0</v>
      </c>
      <c r="CD247">
        <f t="shared" si="443"/>
        <v>1</v>
      </c>
      <c r="CE247">
        <f t="shared" si="444"/>
        <v>1</v>
      </c>
      <c r="CF247">
        <f t="shared" si="445"/>
        <v>1</v>
      </c>
      <c r="CG247">
        <f t="shared" si="446"/>
        <v>1</v>
      </c>
      <c r="CH247">
        <f t="shared" si="447"/>
        <v>1</v>
      </c>
      <c r="CI247">
        <f t="shared" si="448"/>
        <v>1</v>
      </c>
      <c r="CJ247">
        <f t="shared" si="449"/>
        <v>0</v>
      </c>
      <c r="CK247">
        <f t="shared" si="450"/>
        <v>0</v>
      </c>
      <c r="CL247">
        <f t="shared" si="451"/>
        <v>0</v>
      </c>
      <c r="CM247">
        <f t="shared" si="452"/>
        <v>0</v>
      </c>
      <c r="CN247">
        <f t="shared" si="453"/>
        <v>0</v>
      </c>
      <c r="CO247">
        <f t="shared" si="454"/>
        <v>0</v>
      </c>
      <c r="CP247">
        <f t="shared" si="455"/>
        <v>1</v>
      </c>
      <c r="CQ247">
        <f t="shared" si="456"/>
        <v>1</v>
      </c>
      <c r="CR247">
        <f t="shared" si="457"/>
        <v>1</v>
      </c>
      <c r="CS247">
        <f t="shared" si="458"/>
        <v>1</v>
      </c>
      <c r="CT247">
        <f t="shared" si="459"/>
        <v>1</v>
      </c>
      <c r="CU247">
        <f t="shared" si="460"/>
        <v>1</v>
      </c>
      <c r="CV247">
        <f t="shared" si="461"/>
        <v>0</v>
      </c>
      <c r="CW247">
        <f t="shared" si="462"/>
        <v>0</v>
      </c>
      <c r="CX247">
        <f t="shared" si="463"/>
        <v>0</v>
      </c>
      <c r="CY247">
        <f t="shared" si="464"/>
        <v>0</v>
      </c>
      <c r="CZ247">
        <f t="shared" si="465"/>
        <v>0</v>
      </c>
      <c r="DA247">
        <f t="shared" si="466"/>
        <v>0</v>
      </c>
      <c r="DB247">
        <f t="shared" si="467"/>
        <v>1</v>
      </c>
      <c r="DC247">
        <f t="shared" si="468"/>
        <v>1</v>
      </c>
      <c r="DF247" s="10" t="s">
        <v>37</v>
      </c>
      <c r="DG247" t="str">
        <f t="shared" si="528"/>
        <v>2023_5</v>
      </c>
      <c r="DH247" t="str">
        <f t="shared" si="528"/>
        <v>2023_5</v>
      </c>
      <c r="DI247" t="str">
        <f t="shared" si="528"/>
        <v>2023_5</v>
      </c>
      <c r="DJ247" t="str">
        <f t="shared" si="528"/>
        <v>2023_5</v>
      </c>
      <c r="DK247" t="str">
        <f t="shared" si="528"/>
        <v>2023_5</v>
      </c>
      <c r="DL247" t="str">
        <f t="shared" si="528"/>
        <v>2023_5</v>
      </c>
      <c r="DM247" t="str">
        <f t="shared" si="528"/>
        <v>2023_5</v>
      </c>
      <c r="DN247" t="str">
        <f t="shared" si="528"/>
        <v>2023_5</v>
      </c>
      <c r="DO247" t="str">
        <f t="shared" si="528"/>
        <v>2023_5</v>
      </c>
      <c r="DP247" t="str">
        <f t="shared" si="528"/>
        <v>2023_5</v>
      </c>
      <c r="DQ247" t="str">
        <f t="shared" si="528"/>
        <v>2023_5</v>
      </c>
      <c r="DR247" t="str">
        <f t="shared" si="528"/>
        <v>2023_5</v>
      </c>
      <c r="DS247" t="str">
        <f t="shared" si="528"/>
        <v>2023_5</v>
      </c>
      <c r="DT247" t="str">
        <f t="shared" si="528"/>
        <v>2023_5</v>
      </c>
      <c r="DU247" t="str">
        <f t="shared" si="528"/>
        <v>2023_5</v>
      </c>
      <c r="DV247" t="str">
        <f t="shared" si="526"/>
        <v>2023_5</v>
      </c>
      <c r="DW247" t="str">
        <f t="shared" si="526"/>
        <v>2023_5</v>
      </c>
      <c r="DX247" t="str">
        <f t="shared" si="526"/>
        <v>2023_5</v>
      </c>
      <c r="DY247" t="str">
        <f t="shared" si="526"/>
        <v>2023_5</v>
      </c>
      <c r="DZ247" t="str">
        <f t="shared" si="526"/>
        <v>2023_5</v>
      </c>
      <c r="EA247" t="str">
        <f t="shared" si="526"/>
        <v>2023_5</v>
      </c>
      <c r="EB247" t="str">
        <f t="shared" si="526"/>
        <v>2023_5</v>
      </c>
      <c r="EC247" t="str">
        <f t="shared" si="526"/>
        <v>2023_5</v>
      </c>
      <c r="ED247" t="str">
        <f t="shared" si="526"/>
        <v>2023_5</v>
      </c>
      <c r="EE247" t="str">
        <f t="shared" si="526"/>
        <v>2023_5</v>
      </c>
      <c r="EF247" t="str">
        <f t="shared" si="526"/>
        <v>2023_5</v>
      </c>
      <c r="EG247" t="str">
        <f t="shared" si="526"/>
        <v>2023_5</v>
      </c>
      <c r="EH247" t="str">
        <f t="shared" si="526"/>
        <v>2023_5</v>
      </c>
      <c r="EI247" t="str">
        <f t="shared" si="526"/>
        <v>2023_5</v>
      </c>
      <c r="EJ247" t="str">
        <f t="shared" si="526"/>
        <v>2023_5</v>
      </c>
      <c r="EK247" t="str">
        <f t="shared" si="526"/>
        <v>2023_5</v>
      </c>
      <c r="EL247" t="str">
        <f t="shared" si="527"/>
        <v>2023_5</v>
      </c>
      <c r="EM247" t="str">
        <f t="shared" si="525"/>
        <v>2023_5</v>
      </c>
      <c r="EN247" t="str">
        <f t="shared" si="525"/>
        <v>2023_5</v>
      </c>
      <c r="EO247" t="str">
        <f t="shared" si="525"/>
        <v>2023_5</v>
      </c>
      <c r="EP247" t="str">
        <f t="shared" si="525"/>
        <v>2023_5</v>
      </c>
      <c r="EQ247" t="str">
        <f t="shared" si="525"/>
        <v>2023_5</v>
      </c>
      <c r="ER247" t="str">
        <f t="shared" si="525"/>
        <v>2023_5</v>
      </c>
      <c r="ES247" t="str">
        <f t="shared" si="525"/>
        <v>2023_5</v>
      </c>
      <c r="ET247" t="str">
        <f t="shared" si="525"/>
        <v>2023_5</v>
      </c>
      <c r="EU247" t="str">
        <f t="shared" si="525"/>
        <v>2023_5</v>
      </c>
      <c r="EV247" t="str">
        <f t="shared" si="525"/>
        <v>2023_5</v>
      </c>
      <c r="EW247" t="str">
        <f t="shared" si="525"/>
        <v>2023_5</v>
      </c>
      <c r="EX247" t="str">
        <f t="shared" si="525"/>
        <v>2023_5</v>
      </c>
      <c r="EY247" t="str">
        <f t="shared" si="525"/>
        <v>2023_5</v>
      </c>
      <c r="FB247" s="10" t="s">
        <v>37</v>
      </c>
      <c r="FC247">
        <f t="shared" si="521"/>
        <v>0</v>
      </c>
      <c r="FD247">
        <f t="shared" si="471"/>
        <v>0</v>
      </c>
      <c r="FE247">
        <f t="shared" si="472"/>
        <v>0</v>
      </c>
      <c r="FF247">
        <f t="shared" si="473"/>
        <v>0</v>
      </c>
      <c r="FG247">
        <f t="shared" si="474"/>
        <v>0</v>
      </c>
      <c r="FH247">
        <f t="shared" si="475"/>
        <v>0</v>
      </c>
      <c r="FI247">
        <f t="shared" si="476"/>
        <v>0</v>
      </c>
      <c r="FJ247">
        <f t="shared" si="477"/>
        <v>0</v>
      </c>
      <c r="FK247">
        <f t="shared" si="478"/>
        <v>0</v>
      </c>
      <c r="FL247">
        <f t="shared" si="479"/>
        <v>0</v>
      </c>
      <c r="FM247">
        <f t="shared" si="480"/>
        <v>0</v>
      </c>
      <c r="FN247">
        <f t="shared" si="481"/>
        <v>0</v>
      </c>
      <c r="FO247">
        <f t="shared" si="482"/>
        <v>0</v>
      </c>
      <c r="FP247">
        <f t="shared" si="483"/>
        <v>0</v>
      </c>
      <c r="FQ247">
        <f t="shared" si="484"/>
        <v>0</v>
      </c>
      <c r="FR247">
        <f t="shared" si="485"/>
        <v>0</v>
      </c>
      <c r="FS247">
        <f t="shared" si="486"/>
        <v>0</v>
      </c>
      <c r="FT247">
        <f t="shared" si="487"/>
        <v>0</v>
      </c>
      <c r="FU247">
        <f t="shared" si="488"/>
        <v>0</v>
      </c>
      <c r="FV247">
        <f t="shared" si="489"/>
        <v>0</v>
      </c>
      <c r="FW247">
        <f t="shared" si="490"/>
        <v>0</v>
      </c>
      <c r="FX247">
        <f t="shared" si="491"/>
        <v>0</v>
      </c>
      <c r="FY247">
        <f t="shared" si="492"/>
        <v>0</v>
      </c>
      <c r="FZ247">
        <f t="shared" si="493"/>
        <v>0</v>
      </c>
      <c r="GA247">
        <f t="shared" si="494"/>
        <v>0</v>
      </c>
      <c r="GB247">
        <f t="shared" si="495"/>
        <v>0</v>
      </c>
      <c r="GC247">
        <f t="shared" si="496"/>
        <v>0</v>
      </c>
      <c r="GD247">
        <f t="shared" si="497"/>
        <v>0</v>
      </c>
      <c r="GE247">
        <f t="shared" si="498"/>
        <v>0</v>
      </c>
      <c r="GF247">
        <f t="shared" si="499"/>
        <v>0</v>
      </c>
      <c r="GG247">
        <f t="shared" si="500"/>
        <v>0</v>
      </c>
      <c r="GH247">
        <f t="shared" si="501"/>
        <v>0</v>
      </c>
      <c r="GI247">
        <f t="shared" si="502"/>
        <v>0</v>
      </c>
      <c r="GJ247">
        <f t="shared" si="503"/>
        <v>0</v>
      </c>
      <c r="GK247">
        <f t="shared" si="504"/>
        <v>0</v>
      </c>
      <c r="GL247">
        <f t="shared" si="505"/>
        <v>0</v>
      </c>
      <c r="GM247">
        <f t="shared" si="506"/>
        <v>0</v>
      </c>
      <c r="GN247">
        <f t="shared" si="507"/>
        <v>1</v>
      </c>
      <c r="GO247">
        <f t="shared" si="508"/>
        <v>1</v>
      </c>
      <c r="GP247">
        <f t="shared" si="509"/>
        <v>1</v>
      </c>
      <c r="GQ247">
        <f t="shared" si="510"/>
        <v>1</v>
      </c>
      <c r="GR247">
        <f t="shared" si="511"/>
        <v>1</v>
      </c>
      <c r="GS247">
        <f t="shared" si="512"/>
        <v>1</v>
      </c>
      <c r="GT247">
        <f t="shared" si="513"/>
        <v>1</v>
      </c>
      <c r="GU247">
        <f t="shared" si="514"/>
        <v>1</v>
      </c>
      <c r="GX247" s="10"/>
    </row>
    <row r="248" spans="1:206" x14ac:dyDescent="0.3">
      <c r="A248" s="34" t="s">
        <v>124</v>
      </c>
      <c r="B248" s="84"/>
      <c r="C248" s="9">
        <v>3130407000</v>
      </c>
      <c r="D248" s="34" t="s">
        <v>480</v>
      </c>
      <c r="E248" s="34" t="s">
        <v>39</v>
      </c>
      <c r="F248" s="34" t="s">
        <v>35</v>
      </c>
      <c r="G248" s="34" t="s">
        <v>262</v>
      </c>
      <c r="H248" s="10">
        <v>45076</v>
      </c>
      <c r="I248" s="9">
        <f t="shared" si="515"/>
        <v>2023</v>
      </c>
      <c r="J248" s="9">
        <f t="shared" si="516"/>
        <v>5</v>
      </c>
      <c r="K248" s="9" t="str">
        <f t="shared" si="517"/>
        <v>2023_5</v>
      </c>
      <c r="L248">
        <f>MAX(0,VLOOKUP($K248,lookups!$A$1:$B$45,2,0)-12)</f>
        <v>25</v>
      </c>
      <c r="M248" s="40">
        <f t="shared" si="518"/>
        <v>45047</v>
      </c>
      <c r="N248" s="10" t="s">
        <v>37</v>
      </c>
      <c r="O248" t="str">
        <f ca="1">IF(OR($L248&gt;O$4,O$4&gt;$L248+23),"",OFFSET(Electric!$L239,0,-'Electric Calendarize'!$L248+'Electric Calendarize'!O$4+1))</f>
        <v/>
      </c>
      <c r="P248" t="str">
        <f ca="1">IF(OR($L248&gt;P$4,P$4&gt;$L248+23),"",OFFSET(Electric!$L239,0,-'Electric Calendarize'!$L248+'Electric Calendarize'!P$4+1))</f>
        <v/>
      </c>
      <c r="Q248" t="str">
        <f ca="1">IF(OR($L248&gt;Q$4,Q$4&gt;$L248+23),"",OFFSET(Electric!$L239,0,-'Electric Calendarize'!$L248+'Electric Calendarize'!Q$4+1))</f>
        <v/>
      </c>
      <c r="R248" t="str">
        <f ca="1">IF(OR($L248&gt;R$4,R$4&gt;$L248+23),"",OFFSET(Electric!$L239,0,-'Electric Calendarize'!$L248+'Electric Calendarize'!R$4+1))</f>
        <v/>
      </c>
      <c r="S248" t="str">
        <f ca="1">IF(OR($L248&gt;S$4,S$4&gt;$L248+23),"",OFFSET(Electric!$L239,0,-'Electric Calendarize'!$L248+'Electric Calendarize'!S$4+1))</f>
        <v/>
      </c>
      <c r="T248" t="str">
        <f ca="1">IF(OR($L248&gt;T$4,T$4&gt;$L248+23),"",OFFSET(Electric!$L239,0,-'Electric Calendarize'!$L248+'Electric Calendarize'!T$4+1))</f>
        <v/>
      </c>
      <c r="U248" t="str">
        <f ca="1">IF(OR($L248&gt;U$4,U$4&gt;$L248+23),"",OFFSET(Electric!$L239,0,-'Electric Calendarize'!$L248+'Electric Calendarize'!U$4+1))</f>
        <v/>
      </c>
      <c r="V248" t="str">
        <f ca="1">IF(OR($L248&gt;V$4,V$4&gt;$L248+23),"",OFFSET(Electric!$L239,0,-'Electric Calendarize'!$L248+'Electric Calendarize'!V$4+1))</f>
        <v/>
      </c>
      <c r="W248" t="str">
        <f ca="1">IF(OR($L248&gt;W$4,W$4&gt;$L248+23),"",OFFSET(Electric!$L239,0,-'Electric Calendarize'!$L248+'Electric Calendarize'!W$4+1))</f>
        <v/>
      </c>
      <c r="X248" t="str">
        <f ca="1">IF(OR($L248&gt;X$4,X$4&gt;$L248+23),"",OFFSET(Electric!$L239,0,-'Electric Calendarize'!$L248+'Electric Calendarize'!X$4+1))</f>
        <v/>
      </c>
      <c r="Y248" t="str">
        <f ca="1">IF(OR($L248&gt;Y$4,Y$4&gt;$L248+23),"",OFFSET(Electric!$L239,0,-'Electric Calendarize'!$L248+'Electric Calendarize'!Y$4+1))</f>
        <v/>
      </c>
      <c r="Z248" t="str">
        <f ca="1">IF(OR($L248&gt;Z$4,Z$4&gt;$L248+23),"",OFFSET(Electric!$L239,0,-'Electric Calendarize'!$L248+'Electric Calendarize'!Z$4+1))</f>
        <v/>
      </c>
      <c r="AA248" t="str">
        <f ca="1">IF(OR($L248&gt;AA$4,AA$4&gt;$L248+23),"",OFFSET(Electric!$L239,0,-'Electric Calendarize'!$L248+'Electric Calendarize'!AA$4+1))</f>
        <v/>
      </c>
      <c r="AB248" t="str">
        <f ca="1">IF(OR($L248&gt;AB$4,AB$4&gt;$L248+23),"",OFFSET(Electric!$L239,0,-'Electric Calendarize'!$L248+'Electric Calendarize'!AB$4+1))</f>
        <v/>
      </c>
      <c r="AC248" t="str">
        <f ca="1">IF(OR($L248&gt;AC$4,AC$4&gt;$L248+23),"",OFFSET(Electric!$L239,0,-'Electric Calendarize'!$L248+'Electric Calendarize'!AC$4+1))</f>
        <v/>
      </c>
      <c r="AD248" t="str">
        <f ca="1">IF(OR($L248&gt;AD$4,AD$4&gt;$L248+23),"",OFFSET(Electric!$L239,0,-'Electric Calendarize'!$L248+'Electric Calendarize'!AD$4+1))</f>
        <v/>
      </c>
      <c r="AE248" t="str">
        <f ca="1">IF(OR($L248&gt;AE$4,AE$4&gt;$L248+23),"",OFFSET(Electric!$L239,0,-'Electric Calendarize'!$L248+'Electric Calendarize'!AE$4+1))</f>
        <v/>
      </c>
      <c r="AF248" t="str">
        <f ca="1">IF(OR($L248&gt;AF$4,AF$4&gt;$L248+23),"",OFFSET(Electric!$L239,0,-'Electric Calendarize'!$L248+'Electric Calendarize'!AF$4+1))</f>
        <v/>
      </c>
      <c r="AG248" t="str">
        <f ca="1">IF(OR($L248&gt;AG$4,AG$4&gt;$L248+23),"",OFFSET(Electric!$L239,0,-'Electric Calendarize'!$L248+'Electric Calendarize'!AG$4+1))</f>
        <v/>
      </c>
      <c r="AH248" t="str">
        <f ca="1">IF(OR($L248&gt;AH$4,AH$4&gt;$L248+23),"",OFFSET(Electric!$L239,0,-'Electric Calendarize'!$L248+'Electric Calendarize'!AH$4+1))</f>
        <v/>
      </c>
      <c r="AI248" t="str">
        <f ca="1">IF(OR($L248&gt;AI$4,AI$4&gt;$L248+23),"",OFFSET(Electric!$L239,0,-'Electric Calendarize'!$L248+'Electric Calendarize'!AI$4+1))</f>
        <v/>
      </c>
      <c r="AJ248" t="str">
        <f ca="1">IF(OR($L248&gt;AJ$4,AJ$4&gt;$L248+23),"",OFFSET(Electric!$L239,0,-'Electric Calendarize'!$L248+'Electric Calendarize'!AJ$4+1))</f>
        <v/>
      </c>
      <c r="AK248" t="str">
        <f ca="1">IF(OR($L248&gt;AK$4,AK$4&gt;$L248+23),"",OFFSET(Electric!$L239,0,-'Electric Calendarize'!$L248+'Electric Calendarize'!AK$4+1))</f>
        <v/>
      </c>
      <c r="AL248" t="str">
        <f ca="1">IF(OR($L248&gt;AL$4,AL$4&gt;$L248+23),"",OFFSET(Electric!$L239,0,-'Electric Calendarize'!$L248+'Electric Calendarize'!AL$4+1))</f>
        <v/>
      </c>
      <c r="AM248" t="str">
        <f ca="1">IF(OR($L248&gt;AM$4,AM$4&gt;$L248+23),"",OFFSET(Electric!$L239,0,-'Electric Calendarize'!$L248+'Electric Calendarize'!AM$4+1))</f>
        <v/>
      </c>
      <c r="AN248">
        <f ca="1">IF(OR($L248&gt;AN$4,AN$4&gt;$L248+23),"",OFFSET(Electric!$L239,0,-'Electric Calendarize'!$L248+'Electric Calendarize'!AN$4+1))</f>
        <v>306</v>
      </c>
      <c r="AO248">
        <f ca="1">IF(OR($L248&gt;AO$4,AO$4&gt;$L248+23),"",OFFSET(Electric!$L239,0,-'Electric Calendarize'!$L248+'Electric Calendarize'!AO$4+1))</f>
        <v>375</v>
      </c>
      <c r="AP248">
        <f ca="1">IF(OR($L248&gt;AP$4,AP$4&gt;$L248+23),"",OFFSET(Electric!$L239,0,-'Electric Calendarize'!$L248+'Electric Calendarize'!AP$4+1))</f>
        <v>563</v>
      </c>
      <c r="AQ248">
        <f ca="1">IF(OR($L248&gt;AQ$4,AQ$4&gt;$L248+23),"",OFFSET(Electric!$L239,0,-'Electric Calendarize'!$L248+'Electric Calendarize'!AQ$4+1))</f>
        <v>607</v>
      </c>
      <c r="AR248">
        <f ca="1">IF(OR($L248&gt;AR$4,AR$4&gt;$L248+23),"",OFFSET(Electric!$L239,0,-'Electric Calendarize'!$L248+'Electric Calendarize'!AR$4+1))</f>
        <v>389</v>
      </c>
      <c r="AS248">
        <f ca="1">IF(OR($L248&gt;AS$4,AS$4&gt;$L248+23),"",OFFSET(Electric!$L239,0,-'Electric Calendarize'!$L248+'Electric Calendarize'!AS$4+1))</f>
        <v>297</v>
      </c>
      <c r="AT248">
        <f ca="1">IF(OR($L248&gt;AT$4,AT$4&gt;$L248+23),"",OFFSET(Electric!$L239,0,-'Electric Calendarize'!$L248+'Electric Calendarize'!AT$4+1))</f>
        <v>297</v>
      </c>
      <c r="AU248">
        <f ca="1">IF(OR($L248&gt;AU$4,AU$4&gt;$L248+23),"",OFFSET(Electric!$L239,0,-'Electric Calendarize'!$L248+'Electric Calendarize'!AU$4+1))</f>
        <v>389</v>
      </c>
      <c r="AV248">
        <f ca="1">IF(OR($L248&gt;AV$4,AV$4&gt;$L248+23),"",OFFSET(Electric!$L239,0,-'Electric Calendarize'!$L248+'Electric Calendarize'!AV$4+1))</f>
        <v>140</v>
      </c>
      <c r="AW248">
        <f ca="1">IF(OR($L248&gt;AW$4,AW$4&gt;$L248+23),"",OFFSET(Electric!$L239,0,-'Electric Calendarize'!$L248+'Electric Calendarize'!AW$4+1))</f>
        <v>104</v>
      </c>
      <c r="AX248">
        <f ca="1">IF(OR($L248&gt;AX$4,AX$4&gt;$L248+23),"",OFFSET(Electric!$L239,0,-'Electric Calendarize'!$L248+'Electric Calendarize'!AX$4+1))</f>
        <v>103</v>
      </c>
      <c r="AY248">
        <f ca="1">IF(OR($L248&gt;AY$4,AY$4&gt;$L248+23),"",OFFSET(Electric!$L239,0,-'Electric Calendarize'!$L248+'Electric Calendarize'!AY$4+1))</f>
        <v>167</v>
      </c>
      <c r="AZ248">
        <f ca="1">IF(OR($L248&gt;AZ$4,AZ$4&gt;$L248+23),"",OFFSET(Electric!$L239,0,-'Electric Calendarize'!$L248+'Electric Calendarize'!AZ$4+1))</f>
        <v>265</v>
      </c>
      <c r="BA248">
        <f ca="1">IF(OR($L248&gt;BA$4,BA$4&gt;$L248+23),"",OFFSET(Electric!$L239,0,-'Electric Calendarize'!$L248+'Electric Calendarize'!BA$4+1))</f>
        <v>337</v>
      </c>
      <c r="BB248">
        <f ca="1">IF(OR($L248&gt;BB$4,BB$4&gt;$L248+23),"",OFFSET(Electric!$L239,0,-'Electric Calendarize'!$L248+'Electric Calendarize'!BB$4+1))</f>
        <v>468</v>
      </c>
      <c r="BC248">
        <f ca="1">IF(OR($L248&gt;BC$4,BC$4&gt;$L248+23),"",OFFSET(Electric!$L239,0,-'Electric Calendarize'!$L248+'Electric Calendarize'!BC$4+1))</f>
        <v>411</v>
      </c>
      <c r="BD248">
        <f ca="1">IF(OR($L248&gt;BD$4,BD$4&gt;$L248+23),"",OFFSET(Electric!$L239,0,-'Electric Calendarize'!$L248+'Electric Calendarize'!BD$4+1))</f>
        <v>415</v>
      </c>
      <c r="BE248">
        <f ca="1">IF(OR($L248&gt;BE$4,BE$4&gt;$L248+23),"",OFFSET(Electric!$L239,0,-'Electric Calendarize'!$L248+'Electric Calendarize'!BE$4+1))</f>
        <v>359</v>
      </c>
      <c r="BF248">
        <f ca="1">IF(OR($L248&gt;BF$4,BF$4&gt;$L248+23),"",OFFSET(Electric!$L239,0,-'Electric Calendarize'!$L248+'Electric Calendarize'!BF$4+1))</f>
        <v>582</v>
      </c>
      <c r="BG248">
        <f ca="1">IF(OR($L248&gt;BG$4,BG$4&gt;$L248+23),"",OFFSET(Electric!$L239,0,-'Electric Calendarize'!$L248+'Electric Calendarize'!BG$4+1))</f>
        <v>0</v>
      </c>
      <c r="BJ248" s="10" t="s">
        <v>37</v>
      </c>
      <c r="BK248">
        <f t="shared" si="519"/>
        <v>1</v>
      </c>
      <c r="BL248">
        <f t="shared" si="425"/>
        <v>0</v>
      </c>
      <c r="BM248">
        <f t="shared" si="426"/>
        <v>0</v>
      </c>
      <c r="BN248">
        <f t="shared" si="427"/>
        <v>0</v>
      </c>
      <c r="BO248">
        <f t="shared" si="428"/>
        <v>0</v>
      </c>
      <c r="BP248">
        <f t="shared" si="429"/>
        <v>0</v>
      </c>
      <c r="BQ248">
        <f t="shared" si="430"/>
        <v>0</v>
      </c>
      <c r="BR248">
        <f t="shared" si="431"/>
        <v>1</v>
      </c>
      <c r="BS248">
        <f t="shared" si="432"/>
        <v>1</v>
      </c>
      <c r="BT248">
        <f t="shared" si="433"/>
        <v>1</v>
      </c>
      <c r="BU248">
        <f t="shared" si="434"/>
        <v>1</v>
      </c>
      <c r="BV248">
        <f t="shared" si="435"/>
        <v>1</v>
      </c>
      <c r="BW248">
        <f t="shared" si="436"/>
        <v>1</v>
      </c>
      <c r="BX248">
        <f t="shared" si="437"/>
        <v>0</v>
      </c>
      <c r="BY248">
        <f t="shared" si="438"/>
        <v>0</v>
      </c>
      <c r="BZ248">
        <f t="shared" si="439"/>
        <v>0</v>
      </c>
      <c r="CA248">
        <f t="shared" si="440"/>
        <v>0</v>
      </c>
      <c r="CB248">
        <f t="shared" si="441"/>
        <v>0</v>
      </c>
      <c r="CC248">
        <f t="shared" si="442"/>
        <v>0</v>
      </c>
      <c r="CD248">
        <f t="shared" si="443"/>
        <v>1</v>
      </c>
      <c r="CE248">
        <f t="shared" si="444"/>
        <v>1</v>
      </c>
      <c r="CF248">
        <f t="shared" si="445"/>
        <v>1</v>
      </c>
      <c r="CG248">
        <f t="shared" si="446"/>
        <v>1</v>
      </c>
      <c r="CH248">
        <f t="shared" si="447"/>
        <v>1</v>
      </c>
      <c r="CI248">
        <f t="shared" si="448"/>
        <v>1</v>
      </c>
      <c r="CJ248">
        <f t="shared" si="449"/>
        <v>0</v>
      </c>
      <c r="CK248">
        <f t="shared" si="450"/>
        <v>0</v>
      </c>
      <c r="CL248">
        <f t="shared" si="451"/>
        <v>0</v>
      </c>
      <c r="CM248">
        <f t="shared" si="452"/>
        <v>0</v>
      </c>
      <c r="CN248">
        <f t="shared" si="453"/>
        <v>0</v>
      </c>
      <c r="CO248">
        <f t="shared" si="454"/>
        <v>0</v>
      </c>
      <c r="CP248">
        <f t="shared" si="455"/>
        <v>1</v>
      </c>
      <c r="CQ248">
        <f t="shared" si="456"/>
        <v>1</v>
      </c>
      <c r="CR248">
        <f t="shared" si="457"/>
        <v>1</v>
      </c>
      <c r="CS248">
        <f t="shared" si="458"/>
        <v>1</v>
      </c>
      <c r="CT248">
        <f t="shared" si="459"/>
        <v>1</v>
      </c>
      <c r="CU248">
        <f t="shared" si="460"/>
        <v>1</v>
      </c>
      <c r="CV248">
        <f t="shared" si="461"/>
        <v>0</v>
      </c>
      <c r="CW248">
        <f t="shared" si="462"/>
        <v>0</v>
      </c>
      <c r="CX248">
        <f t="shared" si="463"/>
        <v>0</v>
      </c>
      <c r="CY248">
        <f t="shared" si="464"/>
        <v>0</v>
      </c>
      <c r="CZ248">
        <f t="shared" si="465"/>
        <v>0</v>
      </c>
      <c r="DA248">
        <f t="shared" si="466"/>
        <v>0</v>
      </c>
      <c r="DB248">
        <f t="shared" si="467"/>
        <v>1</v>
      </c>
      <c r="DC248">
        <f t="shared" si="468"/>
        <v>1</v>
      </c>
      <c r="DF248" s="10" t="s">
        <v>37</v>
      </c>
      <c r="DG248" t="str">
        <f t="shared" si="528"/>
        <v>2023_5</v>
      </c>
      <c r="DH248" t="str">
        <f t="shared" si="528"/>
        <v>2023_5</v>
      </c>
      <c r="DI248" t="str">
        <f t="shared" si="528"/>
        <v>2023_5</v>
      </c>
      <c r="DJ248" t="str">
        <f t="shared" si="528"/>
        <v>2023_5</v>
      </c>
      <c r="DK248" t="str">
        <f t="shared" si="528"/>
        <v>2023_5</v>
      </c>
      <c r="DL248" t="str">
        <f t="shared" si="528"/>
        <v>2023_5</v>
      </c>
      <c r="DM248" t="str">
        <f t="shared" si="528"/>
        <v>2023_5</v>
      </c>
      <c r="DN248" t="str">
        <f t="shared" si="528"/>
        <v>2023_5</v>
      </c>
      <c r="DO248" t="str">
        <f t="shared" si="528"/>
        <v>2023_5</v>
      </c>
      <c r="DP248" t="str">
        <f t="shared" si="528"/>
        <v>2023_5</v>
      </c>
      <c r="DQ248" t="str">
        <f t="shared" si="528"/>
        <v>2023_5</v>
      </c>
      <c r="DR248" t="str">
        <f t="shared" si="528"/>
        <v>2023_5</v>
      </c>
      <c r="DS248" t="str">
        <f t="shared" si="528"/>
        <v>2023_5</v>
      </c>
      <c r="DT248" t="str">
        <f t="shared" si="528"/>
        <v>2023_5</v>
      </c>
      <c r="DU248" t="str">
        <f t="shared" si="528"/>
        <v>2023_5</v>
      </c>
      <c r="DV248" t="str">
        <f t="shared" si="526"/>
        <v>2023_5</v>
      </c>
      <c r="DW248" t="str">
        <f t="shared" si="526"/>
        <v>2023_5</v>
      </c>
      <c r="DX248" t="str">
        <f t="shared" si="526"/>
        <v>2023_5</v>
      </c>
      <c r="DY248" t="str">
        <f t="shared" si="526"/>
        <v>2023_5</v>
      </c>
      <c r="DZ248" t="str">
        <f t="shared" si="526"/>
        <v>2023_5</v>
      </c>
      <c r="EA248" t="str">
        <f t="shared" si="526"/>
        <v>2023_5</v>
      </c>
      <c r="EB248" t="str">
        <f t="shared" si="526"/>
        <v>2023_5</v>
      </c>
      <c r="EC248" t="str">
        <f t="shared" si="526"/>
        <v>2023_5</v>
      </c>
      <c r="ED248" t="str">
        <f t="shared" si="526"/>
        <v>2023_5</v>
      </c>
      <c r="EE248" t="str">
        <f t="shared" si="526"/>
        <v>2023_5</v>
      </c>
      <c r="EF248" t="str">
        <f t="shared" si="526"/>
        <v>2023_5</v>
      </c>
      <c r="EG248" t="str">
        <f t="shared" si="526"/>
        <v>2023_5</v>
      </c>
      <c r="EH248" t="str">
        <f t="shared" si="526"/>
        <v>2023_5</v>
      </c>
      <c r="EI248" t="str">
        <f t="shared" si="526"/>
        <v>2023_5</v>
      </c>
      <c r="EJ248" t="str">
        <f t="shared" si="526"/>
        <v>2023_5</v>
      </c>
      <c r="EK248" t="str">
        <f t="shared" si="526"/>
        <v>2023_5</v>
      </c>
      <c r="EL248" t="str">
        <f t="shared" si="527"/>
        <v>2023_5</v>
      </c>
      <c r="EM248" t="str">
        <f t="shared" si="525"/>
        <v>2023_5</v>
      </c>
      <c r="EN248" t="str">
        <f t="shared" si="525"/>
        <v>2023_5</v>
      </c>
      <c r="EO248" t="str">
        <f t="shared" si="525"/>
        <v>2023_5</v>
      </c>
      <c r="EP248" t="str">
        <f t="shared" si="525"/>
        <v>2023_5</v>
      </c>
      <c r="EQ248" t="str">
        <f t="shared" si="525"/>
        <v>2023_5</v>
      </c>
      <c r="ER248" t="str">
        <f t="shared" si="525"/>
        <v>2023_5</v>
      </c>
      <c r="ES248" t="str">
        <f t="shared" si="525"/>
        <v>2023_5</v>
      </c>
      <c r="ET248" t="str">
        <f t="shared" si="525"/>
        <v>2023_5</v>
      </c>
      <c r="EU248" t="str">
        <f t="shared" si="525"/>
        <v>2023_5</v>
      </c>
      <c r="EV248" t="str">
        <f t="shared" si="525"/>
        <v>2023_5</v>
      </c>
      <c r="EW248" t="str">
        <f t="shared" si="525"/>
        <v>2023_5</v>
      </c>
      <c r="EX248" t="str">
        <f t="shared" si="525"/>
        <v>2023_5</v>
      </c>
      <c r="EY248" t="str">
        <f t="shared" si="525"/>
        <v>2023_5</v>
      </c>
      <c r="FB248" s="10" t="s">
        <v>37</v>
      </c>
      <c r="FC248">
        <f t="shared" si="521"/>
        <v>0</v>
      </c>
      <c r="FD248">
        <f t="shared" si="471"/>
        <v>0</v>
      </c>
      <c r="FE248">
        <f t="shared" si="472"/>
        <v>0</v>
      </c>
      <c r="FF248">
        <f t="shared" si="473"/>
        <v>0</v>
      </c>
      <c r="FG248">
        <f t="shared" si="474"/>
        <v>0</v>
      </c>
      <c r="FH248">
        <f t="shared" si="475"/>
        <v>0</v>
      </c>
      <c r="FI248">
        <f t="shared" si="476"/>
        <v>0</v>
      </c>
      <c r="FJ248">
        <f t="shared" si="477"/>
        <v>0</v>
      </c>
      <c r="FK248">
        <f t="shared" si="478"/>
        <v>0</v>
      </c>
      <c r="FL248">
        <f t="shared" si="479"/>
        <v>0</v>
      </c>
      <c r="FM248">
        <f t="shared" si="480"/>
        <v>0</v>
      </c>
      <c r="FN248">
        <f t="shared" si="481"/>
        <v>0</v>
      </c>
      <c r="FO248">
        <f t="shared" si="482"/>
        <v>0</v>
      </c>
      <c r="FP248">
        <f t="shared" si="483"/>
        <v>0</v>
      </c>
      <c r="FQ248">
        <f t="shared" si="484"/>
        <v>0</v>
      </c>
      <c r="FR248">
        <f t="shared" si="485"/>
        <v>0</v>
      </c>
      <c r="FS248">
        <f t="shared" si="486"/>
        <v>0</v>
      </c>
      <c r="FT248">
        <f t="shared" si="487"/>
        <v>0</v>
      </c>
      <c r="FU248">
        <f t="shared" si="488"/>
        <v>0</v>
      </c>
      <c r="FV248">
        <f t="shared" si="489"/>
        <v>0</v>
      </c>
      <c r="FW248">
        <f t="shared" si="490"/>
        <v>0</v>
      </c>
      <c r="FX248">
        <f t="shared" si="491"/>
        <v>0</v>
      </c>
      <c r="FY248">
        <f t="shared" si="492"/>
        <v>0</v>
      </c>
      <c r="FZ248">
        <f t="shared" si="493"/>
        <v>0</v>
      </c>
      <c r="GA248">
        <f t="shared" si="494"/>
        <v>0</v>
      </c>
      <c r="GB248">
        <f t="shared" si="495"/>
        <v>0</v>
      </c>
      <c r="GC248">
        <f t="shared" si="496"/>
        <v>0</v>
      </c>
      <c r="GD248">
        <f t="shared" si="497"/>
        <v>0</v>
      </c>
      <c r="GE248">
        <f t="shared" si="498"/>
        <v>0</v>
      </c>
      <c r="GF248">
        <f t="shared" si="499"/>
        <v>0</v>
      </c>
      <c r="GG248">
        <f t="shared" si="500"/>
        <v>0</v>
      </c>
      <c r="GH248">
        <f t="shared" si="501"/>
        <v>0</v>
      </c>
      <c r="GI248">
        <f t="shared" si="502"/>
        <v>0</v>
      </c>
      <c r="GJ248">
        <f t="shared" si="503"/>
        <v>0</v>
      </c>
      <c r="GK248">
        <f t="shared" si="504"/>
        <v>0</v>
      </c>
      <c r="GL248">
        <f t="shared" si="505"/>
        <v>0</v>
      </c>
      <c r="GM248">
        <f t="shared" si="506"/>
        <v>0</v>
      </c>
      <c r="GN248">
        <f t="shared" si="507"/>
        <v>1</v>
      </c>
      <c r="GO248">
        <f t="shared" si="508"/>
        <v>1</v>
      </c>
      <c r="GP248">
        <f t="shared" si="509"/>
        <v>1</v>
      </c>
      <c r="GQ248">
        <f t="shared" si="510"/>
        <v>1</v>
      </c>
      <c r="GR248">
        <f t="shared" si="511"/>
        <v>1</v>
      </c>
      <c r="GS248">
        <f t="shared" si="512"/>
        <v>1</v>
      </c>
      <c r="GT248">
        <f t="shared" si="513"/>
        <v>1</v>
      </c>
      <c r="GU248">
        <f t="shared" si="514"/>
        <v>1</v>
      </c>
      <c r="GX248" s="10"/>
    </row>
    <row r="249" spans="1:206" x14ac:dyDescent="0.3">
      <c r="A249" s="9" t="s">
        <v>124</v>
      </c>
      <c r="B249" s="80"/>
      <c r="C249" s="9">
        <v>3111771000</v>
      </c>
      <c r="D249" s="9" t="s">
        <v>395</v>
      </c>
      <c r="E249" s="9" t="s">
        <v>43</v>
      </c>
      <c r="F249" s="9" t="s">
        <v>35</v>
      </c>
      <c r="G249" s="9" t="s">
        <v>96</v>
      </c>
      <c r="H249" s="10">
        <v>45077</v>
      </c>
      <c r="I249" s="9">
        <f t="shared" si="515"/>
        <v>2023</v>
      </c>
      <c r="J249" s="9">
        <f t="shared" si="516"/>
        <v>5</v>
      </c>
      <c r="K249" s="9" t="str">
        <f t="shared" si="517"/>
        <v>2023_5</v>
      </c>
      <c r="L249">
        <f>MAX(0,VLOOKUP($K249,lookups!$A$1:$B$45,2,0)-12)</f>
        <v>25</v>
      </c>
      <c r="M249" s="40">
        <f t="shared" si="518"/>
        <v>45047</v>
      </c>
      <c r="N249" s="10" t="s">
        <v>37</v>
      </c>
      <c r="O249" t="str">
        <f ca="1">IF(OR($L249&gt;O$4,O$4&gt;$L249+23),"",OFFSET(Electric!$L240,0,-'Electric Calendarize'!$L249+'Electric Calendarize'!O$4+1))</f>
        <v/>
      </c>
      <c r="P249" t="str">
        <f ca="1">IF(OR($L249&gt;P$4,P$4&gt;$L249+23),"",OFFSET(Electric!$L240,0,-'Electric Calendarize'!$L249+'Electric Calendarize'!P$4+1))</f>
        <v/>
      </c>
      <c r="Q249" t="str">
        <f ca="1">IF(OR($L249&gt;Q$4,Q$4&gt;$L249+23),"",OFFSET(Electric!$L240,0,-'Electric Calendarize'!$L249+'Electric Calendarize'!Q$4+1))</f>
        <v/>
      </c>
      <c r="R249" t="str">
        <f ca="1">IF(OR($L249&gt;R$4,R$4&gt;$L249+23),"",OFFSET(Electric!$L240,0,-'Electric Calendarize'!$L249+'Electric Calendarize'!R$4+1))</f>
        <v/>
      </c>
      <c r="S249" t="str">
        <f ca="1">IF(OR($L249&gt;S$4,S$4&gt;$L249+23),"",OFFSET(Electric!$L240,0,-'Electric Calendarize'!$L249+'Electric Calendarize'!S$4+1))</f>
        <v/>
      </c>
      <c r="T249" t="str">
        <f ca="1">IF(OR($L249&gt;T$4,T$4&gt;$L249+23),"",OFFSET(Electric!$L240,0,-'Electric Calendarize'!$L249+'Electric Calendarize'!T$4+1))</f>
        <v/>
      </c>
      <c r="U249" t="str">
        <f ca="1">IF(OR($L249&gt;U$4,U$4&gt;$L249+23),"",OFFSET(Electric!$L240,0,-'Electric Calendarize'!$L249+'Electric Calendarize'!U$4+1))</f>
        <v/>
      </c>
      <c r="V249" t="str">
        <f ca="1">IF(OR($L249&gt;V$4,V$4&gt;$L249+23),"",OFFSET(Electric!$L240,0,-'Electric Calendarize'!$L249+'Electric Calendarize'!V$4+1))</f>
        <v/>
      </c>
      <c r="W249" t="str">
        <f ca="1">IF(OR($L249&gt;W$4,W$4&gt;$L249+23),"",OFFSET(Electric!$L240,0,-'Electric Calendarize'!$L249+'Electric Calendarize'!W$4+1))</f>
        <v/>
      </c>
      <c r="X249" t="str">
        <f ca="1">IF(OR($L249&gt;X$4,X$4&gt;$L249+23),"",OFFSET(Electric!$L240,0,-'Electric Calendarize'!$L249+'Electric Calendarize'!X$4+1))</f>
        <v/>
      </c>
      <c r="Y249" t="str">
        <f ca="1">IF(OR($L249&gt;Y$4,Y$4&gt;$L249+23),"",OFFSET(Electric!$L240,0,-'Electric Calendarize'!$L249+'Electric Calendarize'!Y$4+1))</f>
        <v/>
      </c>
      <c r="Z249" t="str">
        <f ca="1">IF(OR($L249&gt;Z$4,Z$4&gt;$L249+23),"",OFFSET(Electric!$L240,0,-'Electric Calendarize'!$L249+'Electric Calendarize'!Z$4+1))</f>
        <v/>
      </c>
      <c r="AA249" t="str">
        <f ca="1">IF(OR($L249&gt;AA$4,AA$4&gt;$L249+23),"",OFFSET(Electric!$L240,0,-'Electric Calendarize'!$L249+'Electric Calendarize'!AA$4+1))</f>
        <v/>
      </c>
      <c r="AB249" t="str">
        <f ca="1">IF(OR($L249&gt;AB$4,AB$4&gt;$L249+23),"",OFFSET(Electric!$L240,0,-'Electric Calendarize'!$L249+'Electric Calendarize'!AB$4+1))</f>
        <v/>
      </c>
      <c r="AC249" t="str">
        <f ca="1">IF(OR($L249&gt;AC$4,AC$4&gt;$L249+23),"",OFFSET(Electric!$L240,0,-'Electric Calendarize'!$L249+'Electric Calendarize'!AC$4+1))</f>
        <v/>
      </c>
      <c r="AD249" t="str">
        <f ca="1">IF(OR($L249&gt;AD$4,AD$4&gt;$L249+23),"",OFFSET(Electric!$L240,0,-'Electric Calendarize'!$L249+'Electric Calendarize'!AD$4+1))</f>
        <v/>
      </c>
      <c r="AE249" t="str">
        <f ca="1">IF(OR($L249&gt;AE$4,AE$4&gt;$L249+23),"",OFFSET(Electric!$L240,0,-'Electric Calendarize'!$L249+'Electric Calendarize'!AE$4+1))</f>
        <v/>
      </c>
      <c r="AF249" t="str">
        <f ca="1">IF(OR($L249&gt;AF$4,AF$4&gt;$L249+23),"",OFFSET(Electric!$L240,0,-'Electric Calendarize'!$L249+'Electric Calendarize'!AF$4+1))</f>
        <v/>
      </c>
      <c r="AG249" t="str">
        <f ca="1">IF(OR($L249&gt;AG$4,AG$4&gt;$L249+23),"",OFFSET(Electric!$L240,0,-'Electric Calendarize'!$L249+'Electric Calendarize'!AG$4+1))</f>
        <v/>
      </c>
      <c r="AH249" t="str">
        <f ca="1">IF(OR($L249&gt;AH$4,AH$4&gt;$L249+23),"",OFFSET(Electric!$L240,0,-'Electric Calendarize'!$L249+'Electric Calendarize'!AH$4+1))</f>
        <v/>
      </c>
      <c r="AI249" t="str">
        <f ca="1">IF(OR($L249&gt;AI$4,AI$4&gt;$L249+23),"",OFFSET(Electric!$L240,0,-'Electric Calendarize'!$L249+'Electric Calendarize'!AI$4+1))</f>
        <v/>
      </c>
      <c r="AJ249" t="str">
        <f ca="1">IF(OR($L249&gt;AJ$4,AJ$4&gt;$L249+23),"",OFFSET(Electric!$L240,0,-'Electric Calendarize'!$L249+'Electric Calendarize'!AJ$4+1))</f>
        <v/>
      </c>
      <c r="AK249" t="str">
        <f ca="1">IF(OR($L249&gt;AK$4,AK$4&gt;$L249+23),"",OFFSET(Electric!$L240,0,-'Electric Calendarize'!$L249+'Electric Calendarize'!AK$4+1))</f>
        <v/>
      </c>
      <c r="AL249" t="str">
        <f ca="1">IF(OR($L249&gt;AL$4,AL$4&gt;$L249+23),"",OFFSET(Electric!$L240,0,-'Electric Calendarize'!$L249+'Electric Calendarize'!AL$4+1))</f>
        <v/>
      </c>
      <c r="AM249" t="str">
        <f ca="1">IF(OR($L249&gt;AM$4,AM$4&gt;$L249+23),"",OFFSET(Electric!$L240,0,-'Electric Calendarize'!$L249+'Electric Calendarize'!AM$4+1))</f>
        <v/>
      </c>
      <c r="AN249">
        <f ca="1">IF(OR($L249&gt;AN$4,AN$4&gt;$L249+23),"",OFFSET(Electric!$L240,0,-'Electric Calendarize'!$L249+'Electric Calendarize'!AN$4+1))</f>
        <v>1016</v>
      </c>
      <c r="AO249">
        <f ca="1">IF(OR($L249&gt;AO$4,AO$4&gt;$L249+23),"",OFFSET(Electric!$L240,0,-'Electric Calendarize'!$L249+'Electric Calendarize'!AO$4+1))</f>
        <v>1308</v>
      </c>
      <c r="AP249">
        <f ca="1">IF(OR($L249&gt;AP$4,AP$4&gt;$L249+23),"",OFFSET(Electric!$L240,0,-'Electric Calendarize'!$L249+'Electric Calendarize'!AP$4+1))</f>
        <v>1728</v>
      </c>
      <c r="AQ249">
        <f ca="1">IF(OR($L249&gt;AQ$4,AQ$4&gt;$L249+23),"",OFFSET(Electric!$L240,0,-'Electric Calendarize'!$L249+'Electric Calendarize'!AQ$4+1))</f>
        <v>1934</v>
      </c>
      <c r="AR249">
        <f ca="1">IF(OR($L249&gt;AR$4,AR$4&gt;$L249+23),"",OFFSET(Electric!$L240,0,-'Electric Calendarize'!$L249+'Electric Calendarize'!AR$4+1))</f>
        <v>1322</v>
      </c>
      <c r="AS249">
        <f ca="1">IF(OR($L249&gt;AS$4,AS$4&gt;$L249+23),"",OFFSET(Electric!$L240,0,-'Electric Calendarize'!$L249+'Electric Calendarize'!AS$4+1))</f>
        <v>1182</v>
      </c>
      <c r="AT249">
        <f ca="1">IF(OR($L249&gt;AT$4,AT$4&gt;$L249+23),"",OFFSET(Electric!$L240,0,-'Electric Calendarize'!$L249+'Electric Calendarize'!AT$4+1))</f>
        <v>1124</v>
      </c>
      <c r="AU249">
        <f ca="1">IF(OR($L249&gt;AU$4,AU$4&gt;$L249+23),"",OFFSET(Electric!$L240,0,-'Electric Calendarize'!$L249+'Electric Calendarize'!AU$4+1))</f>
        <v>1802</v>
      </c>
      <c r="AV249">
        <f ca="1">IF(OR($L249&gt;AV$4,AV$4&gt;$L249+23),"",OFFSET(Electric!$L240,0,-'Electric Calendarize'!$L249+'Electric Calendarize'!AV$4+1))</f>
        <v>1710</v>
      </c>
      <c r="AW249">
        <f ca="1">IF(OR($L249&gt;AW$4,AW$4&gt;$L249+23),"",OFFSET(Electric!$L240,0,-'Electric Calendarize'!$L249+'Electric Calendarize'!AW$4+1))</f>
        <v>1108</v>
      </c>
      <c r="AX249">
        <f ca="1">IF(OR($L249&gt;AX$4,AX$4&gt;$L249+23),"",OFFSET(Electric!$L240,0,-'Electric Calendarize'!$L249+'Electric Calendarize'!AX$4+1))</f>
        <v>1002</v>
      </c>
      <c r="AY249">
        <f ca="1">IF(OR($L249&gt;AY$4,AY$4&gt;$L249+23),"",OFFSET(Electric!$L240,0,-'Electric Calendarize'!$L249+'Electric Calendarize'!AY$4+1))</f>
        <v>638</v>
      </c>
      <c r="AZ249">
        <f ca="1">IF(OR($L249&gt;AZ$4,AZ$4&gt;$L249+23),"",OFFSET(Electric!$L240,0,-'Electric Calendarize'!$L249+'Electric Calendarize'!AZ$4+1))</f>
        <v>1150</v>
      </c>
      <c r="BA249">
        <f ca="1">IF(OR($L249&gt;BA$4,BA$4&gt;$L249+23),"",OFFSET(Electric!$L240,0,-'Electric Calendarize'!$L249+'Electric Calendarize'!BA$4+1))</f>
        <v>2140</v>
      </c>
      <c r="BB249">
        <f ca="1">IF(OR($L249&gt;BB$4,BB$4&gt;$L249+23),"",OFFSET(Electric!$L240,0,-'Electric Calendarize'!$L249+'Electric Calendarize'!BB$4+1))</f>
        <v>2346</v>
      </c>
      <c r="BC249">
        <f ca="1">IF(OR($L249&gt;BC$4,BC$4&gt;$L249+23),"",OFFSET(Electric!$L240,0,-'Electric Calendarize'!$L249+'Electric Calendarize'!BC$4+1))</f>
        <v>2320</v>
      </c>
      <c r="BD249">
        <f ca="1">IF(OR($L249&gt;BD$4,BD$4&gt;$L249+23),"",OFFSET(Electric!$L240,0,-'Electric Calendarize'!$L249+'Electric Calendarize'!BD$4+1))</f>
        <v>1556</v>
      </c>
      <c r="BE249">
        <f ca="1">IF(OR($L249&gt;BE$4,BE$4&gt;$L249+23),"",OFFSET(Electric!$L240,0,-'Electric Calendarize'!$L249+'Electric Calendarize'!BE$4+1))</f>
        <v>1926</v>
      </c>
      <c r="BF249">
        <f ca="1">IF(OR($L249&gt;BF$4,BF$4&gt;$L249+23),"",OFFSET(Electric!$L240,0,-'Electric Calendarize'!$L249+'Electric Calendarize'!BF$4+1))</f>
        <v>3686</v>
      </c>
      <c r="BG249">
        <f ca="1">IF(OR($L249&gt;BG$4,BG$4&gt;$L249+23),"",OFFSET(Electric!$L240,0,-'Electric Calendarize'!$L249+'Electric Calendarize'!BG$4+1))</f>
        <v>0</v>
      </c>
      <c r="BJ249" s="10" t="s">
        <v>37</v>
      </c>
      <c r="BK249">
        <f t="shared" si="519"/>
        <v>1</v>
      </c>
      <c r="BL249">
        <f t="shared" si="425"/>
        <v>0</v>
      </c>
      <c r="BM249">
        <f t="shared" si="426"/>
        <v>0</v>
      </c>
      <c r="BN249">
        <f t="shared" si="427"/>
        <v>0</v>
      </c>
      <c r="BO249">
        <f t="shared" si="428"/>
        <v>0</v>
      </c>
      <c r="BP249">
        <f t="shared" si="429"/>
        <v>0</v>
      </c>
      <c r="BQ249">
        <f t="shared" si="430"/>
        <v>0</v>
      </c>
      <c r="BR249">
        <f t="shared" si="431"/>
        <v>1</v>
      </c>
      <c r="BS249">
        <f t="shared" si="432"/>
        <v>1</v>
      </c>
      <c r="BT249">
        <f t="shared" si="433"/>
        <v>1</v>
      </c>
      <c r="BU249">
        <f t="shared" si="434"/>
        <v>1</v>
      </c>
      <c r="BV249">
        <f t="shared" si="435"/>
        <v>1</v>
      </c>
      <c r="BW249">
        <f t="shared" si="436"/>
        <v>1</v>
      </c>
      <c r="BX249">
        <f t="shared" si="437"/>
        <v>0</v>
      </c>
      <c r="BY249">
        <f t="shared" si="438"/>
        <v>0</v>
      </c>
      <c r="BZ249">
        <f t="shared" si="439"/>
        <v>0</v>
      </c>
      <c r="CA249">
        <f t="shared" si="440"/>
        <v>0</v>
      </c>
      <c r="CB249">
        <f t="shared" si="441"/>
        <v>0</v>
      </c>
      <c r="CC249">
        <f t="shared" si="442"/>
        <v>0</v>
      </c>
      <c r="CD249">
        <f t="shared" si="443"/>
        <v>1</v>
      </c>
      <c r="CE249">
        <f t="shared" si="444"/>
        <v>1</v>
      </c>
      <c r="CF249">
        <f t="shared" si="445"/>
        <v>1</v>
      </c>
      <c r="CG249">
        <f t="shared" si="446"/>
        <v>1</v>
      </c>
      <c r="CH249">
        <f t="shared" si="447"/>
        <v>1</v>
      </c>
      <c r="CI249">
        <f t="shared" si="448"/>
        <v>1</v>
      </c>
      <c r="CJ249">
        <f t="shared" si="449"/>
        <v>0</v>
      </c>
      <c r="CK249">
        <f t="shared" si="450"/>
        <v>0</v>
      </c>
      <c r="CL249">
        <f t="shared" si="451"/>
        <v>0</v>
      </c>
      <c r="CM249">
        <f t="shared" si="452"/>
        <v>0</v>
      </c>
      <c r="CN249">
        <f t="shared" si="453"/>
        <v>0</v>
      </c>
      <c r="CO249">
        <f t="shared" si="454"/>
        <v>0</v>
      </c>
      <c r="CP249">
        <f t="shared" si="455"/>
        <v>1</v>
      </c>
      <c r="CQ249">
        <f t="shared" si="456"/>
        <v>1</v>
      </c>
      <c r="CR249">
        <f t="shared" si="457"/>
        <v>1</v>
      </c>
      <c r="CS249">
        <f t="shared" si="458"/>
        <v>1</v>
      </c>
      <c r="CT249">
        <f t="shared" si="459"/>
        <v>1</v>
      </c>
      <c r="CU249">
        <f t="shared" si="460"/>
        <v>1</v>
      </c>
      <c r="CV249">
        <f t="shared" si="461"/>
        <v>0</v>
      </c>
      <c r="CW249">
        <f t="shared" si="462"/>
        <v>0</v>
      </c>
      <c r="CX249">
        <f t="shared" si="463"/>
        <v>0</v>
      </c>
      <c r="CY249">
        <f t="shared" si="464"/>
        <v>0</v>
      </c>
      <c r="CZ249">
        <f t="shared" si="465"/>
        <v>0</v>
      </c>
      <c r="DA249">
        <f t="shared" si="466"/>
        <v>0</v>
      </c>
      <c r="DB249">
        <f t="shared" si="467"/>
        <v>1</v>
      </c>
      <c r="DC249">
        <f t="shared" si="468"/>
        <v>1</v>
      </c>
      <c r="DF249" s="10" t="s">
        <v>37</v>
      </c>
      <c r="DG249" t="str">
        <f t="shared" si="528"/>
        <v>2023_5</v>
      </c>
      <c r="DH249" t="str">
        <f t="shared" si="528"/>
        <v>2023_5</v>
      </c>
      <c r="DI249" t="str">
        <f t="shared" si="528"/>
        <v>2023_5</v>
      </c>
      <c r="DJ249" t="str">
        <f t="shared" si="528"/>
        <v>2023_5</v>
      </c>
      <c r="DK249" t="str">
        <f t="shared" si="528"/>
        <v>2023_5</v>
      </c>
      <c r="DL249" t="str">
        <f t="shared" si="528"/>
        <v>2023_5</v>
      </c>
      <c r="DM249" t="str">
        <f t="shared" si="528"/>
        <v>2023_5</v>
      </c>
      <c r="DN249" t="str">
        <f t="shared" si="528"/>
        <v>2023_5</v>
      </c>
      <c r="DO249" t="str">
        <f t="shared" si="528"/>
        <v>2023_5</v>
      </c>
      <c r="DP249" t="str">
        <f t="shared" si="528"/>
        <v>2023_5</v>
      </c>
      <c r="DQ249" t="str">
        <f t="shared" si="528"/>
        <v>2023_5</v>
      </c>
      <c r="DR249" t="str">
        <f t="shared" si="528"/>
        <v>2023_5</v>
      </c>
      <c r="DS249" t="str">
        <f t="shared" si="528"/>
        <v>2023_5</v>
      </c>
      <c r="DT249" t="str">
        <f t="shared" si="528"/>
        <v>2023_5</v>
      </c>
      <c r="DU249" t="str">
        <f t="shared" si="528"/>
        <v>2023_5</v>
      </c>
      <c r="DV249" t="str">
        <f t="shared" si="526"/>
        <v>2023_5</v>
      </c>
      <c r="DW249" t="str">
        <f t="shared" si="526"/>
        <v>2023_5</v>
      </c>
      <c r="DX249" t="str">
        <f t="shared" si="526"/>
        <v>2023_5</v>
      </c>
      <c r="DY249" t="str">
        <f t="shared" si="526"/>
        <v>2023_5</v>
      </c>
      <c r="DZ249" t="str">
        <f t="shared" si="526"/>
        <v>2023_5</v>
      </c>
      <c r="EA249" t="str">
        <f t="shared" si="526"/>
        <v>2023_5</v>
      </c>
      <c r="EB249" t="str">
        <f t="shared" si="526"/>
        <v>2023_5</v>
      </c>
      <c r="EC249" t="str">
        <f t="shared" si="526"/>
        <v>2023_5</v>
      </c>
      <c r="ED249" t="str">
        <f t="shared" si="526"/>
        <v>2023_5</v>
      </c>
      <c r="EE249" t="str">
        <f t="shared" si="526"/>
        <v>2023_5</v>
      </c>
      <c r="EF249" t="str">
        <f t="shared" si="526"/>
        <v>2023_5</v>
      </c>
      <c r="EG249" t="str">
        <f t="shared" si="526"/>
        <v>2023_5</v>
      </c>
      <c r="EH249" t="str">
        <f t="shared" si="526"/>
        <v>2023_5</v>
      </c>
      <c r="EI249" t="str">
        <f t="shared" si="526"/>
        <v>2023_5</v>
      </c>
      <c r="EJ249" t="str">
        <f t="shared" si="526"/>
        <v>2023_5</v>
      </c>
      <c r="EK249" t="str">
        <f t="shared" si="526"/>
        <v>2023_5</v>
      </c>
      <c r="EL249" t="str">
        <f t="shared" si="527"/>
        <v>2023_5</v>
      </c>
      <c r="EM249" t="str">
        <f t="shared" si="525"/>
        <v>2023_5</v>
      </c>
      <c r="EN249" t="str">
        <f t="shared" si="525"/>
        <v>2023_5</v>
      </c>
      <c r="EO249" t="str">
        <f t="shared" si="525"/>
        <v>2023_5</v>
      </c>
      <c r="EP249" t="str">
        <f t="shared" si="525"/>
        <v>2023_5</v>
      </c>
      <c r="EQ249" t="str">
        <f t="shared" si="525"/>
        <v>2023_5</v>
      </c>
      <c r="ER249" t="str">
        <f t="shared" si="525"/>
        <v>2023_5</v>
      </c>
      <c r="ES249" t="str">
        <f t="shared" si="525"/>
        <v>2023_5</v>
      </c>
      <c r="ET249" t="str">
        <f t="shared" si="525"/>
        <v>2023_5</v>
      </c>
      <c r="EU249" t="str">
        <f t="shared" si="525"/>
        <v>2023_5</v>
      </c>
      <c r="EV249" t="str">
        <f t="shared" si="525"/>
        <v>2023_5</v>
      </c>
      <c r="EW249" t="str">
        <f t="shared" si="525"/>
        <v>2023_5</v>
      </c>
      <c r="EX249" t="str">
        <f t="shared" si="525"/>
        <v>2023_5</v>
      </c>
      <c r="EY249" t="str">
        <f t="shared" si="525"/>
        <v>2023_5</v>
      </c>
      <c r="FB249" s="10" t="s">
        <v>37</v>
      </c>
      <c r="FC249">
        <f t="shared" si="521"/>
        <v>0</v>
      </c>
      <c r="FD249">
        <f t="shared" si="471"/>
        <v>0</v>
      </c>
      <c r="FE249">
        <f t="shared" si="472"/>
        <v>0</v>
      </c>
      <c r="FF249">
        <f t="shared" si="473"/>
        <v>0</v>
      </c>
      <c r="FG249">
        <f t="shared" si="474"/>
        <v>0</v>
      </c>
      <c r="FH249">
        <f t="shared" si="475"/>
        <v>0</v>
      </c>
      <c r="FI249">
        <f t="shared" si="476"/>
        <v>0</v>
      </c>
      <c r="FJ249">
        <f t="shared" si="477"/>
        <v>0</v>
      </c>
      <c r="FK249">
        <f t="shared" si="478"/>
        <v>0</v>
      </c>
      <c r="FL249">
        <f t="shared" si="479"/>
        <v>0</v>
      </c>
      <c r="FM249">
        <f t="shared" si="480"/>
        <v>0</v>
      </c>
      <c r="FN249">
        <f t="shared" si="481"/>
        <v>0</v>
      </c>
      <c r="FO249">
        <f t="shared" si="482"/>
        <v>0</v>
      </c>
      <c r="FP249">
        <f t="shared" si="483"/>
        <v>0</v>
      </c>
      <c r="FQ249">
        <f t="shared" si="484"/>
        <v>0</v>
      </c>
      <c r="FR249">
        <f t="shared" si="485"/>
        <v>0</v>
      </c>
      <c r="FS249">
        <f t="shared" si="486"/>
        <v>0</v>
      </c>
      <c r="FT249">
        <f t="shared" si="487"/>
        <v>0</v>
      </c>
      <c r="FU249">
        <f t="shared" si="488"/>
        <v>0</v>
      </c>
      <c r="FV249">
        <f t="shared" si="489"/>
        <v>0</v>
      </c>
      <c r="FW249">
        <f t="shared" si="490"/>
        <v>0</v>
      </c>
      <c r="FX249">
        <f t="shared" si="491"/>
        <v>0</v>
      </c>
      <c r="FY249">
        <f t="shared" si="492"/>
        <v>0</v>
      </c>
      <c r="FZ249">
        <f t="shared" si="493"/>
        <v>0</v>
      </c>
      <c r="GA249">
        <f t="shared" si="494"/>
        <v>0</v>
      </c>
      <c r="GB249">
        <f t="shared" si="495"/>
        <v>0</v>
      </c>
      <c r="GC249">
        <f t="shared" si="496"/>
        <v>0</v>
      </c>
      <c r="GD249">
        <f t="shared" si="497"/>
        <v>0</v>
      </c>
      <c r="GE249">
        <f t="shared" si="498"/>
        <v>0</v>
      </c>
      <c r="GF249">
        <f t="shared" si="499"/>
        <v>0</v>
      </c>
      <c r="GG249">
        <f t="shared" si="500"/>
        <v>0</v>
      </c>
      <c r="GH249">
        <f t="shared" si="501"/>
        <v>0</v>
      </c>
      <c r="GI249">
        <f t="shared" si="502"/>
        <v>0</v>
      </c>
      <c r="GJ249">
        <f t="shared" si="503"/>
        <v>0</v>
      </c>
      <c r="GK249">
        <f t="shared" si="504"/>
        <v>0</v>
      </c>
      <c r="GL249">
        <f t="shared" si="505"/>
        <v>0</v>
      </c>
      <c r="GM249">
        <f t="shared" si="506"/>
        <v>0</v>
      </c>
      <c r="GN249">
        <f t="shared" si="507"/>
        <v>1</v>
      </c>
      <c r="GO249">
        <f t="shared" si="508"/>
        <v>1</v>
      </c>
      <c r="GP249">
        <f t="shared" si="509"/>
        <v>1</v>
      </c>
      <c r="GQ249">
        <f t="shared" si="510"/>
        <v>1</v>
      </c>
      <c r="GR249">
        <f t="shared" si="511"/>
        <v>1</v>
      </c>
      <c r="GS249">
        <f t="shared" si="512"/>
        <v>1</v>
      </c>
      <c r="GT249">
        <f t="shared" si="513"/>
        <v>1</v>
      </c>
      <c r="GU249">
        <f t="shared" si="514"/>
        <v>1</v>
      </c>
      <c r="GX249" s="10"/>
    </row>
    <row r="250" spans="1:206" x14ac:dyDescent="0.3">
      <c r="A250" s="34" t="s">
        <v>33</v>
      </c>
      <c r="B250" s="84"/>
      <c r="C250" s="9">
        <v>3010234001</v>
      </c>
      <c r="D250" s="34" t="s">
        <v>458</v>
      </c>
      <c r="E250" s="34" t="s">
        <v>34</v>
      </c>
      <c r="F250" s="34" t="s">
        <v>35</v>
      </c>
      <c r="G250" s="34" t="s">
        <v>263</v>
      </c>
      <c r="H250" s="10">
        <v>45078</v>
      </c>
      <c r="I250" s="9">
        <f t="shared" si="515"/>
        <v>2023</v>
      </c>
      <c r="J250" s="9">
        <f t="shared" si="516"/>
        <v>6</v>
      </c>
      <c r="K250" s="9" t="str">
        <f t="shared" si="517"/>
        <v>2023_6</v>
      </c>
      <c r="L250">
        <f>MAX(0,VLOOKUP($K250,lookups!$A$1:$B$45,2,0)-12)</f>
        <v>26</v>
      </c>
      <c r="M250" s="40">
        <f t="shared" si="518"/>
        <v>45078</v>
      </c>
      <c r="N250" s="10" t="s">
        <v>37</v>
      </c>
      <c r="O250" t="str">
        <f ca="1">IF(OR($L250&gt;O$4,O$4&gt;$L250+23),"",OFFSET(Electric!$L241,0,-'Electric Calendarize'!$L250+'Electric Calendarize'!O$4+1))</f>
        <v/>
      </c>
      <c r="P250" t="str">
        <f ca="1">IF(OR($L250&gt;P$4,P$4&gt;$L250+23),"",OFFSET(Electric!$L241,0,-'Electric Calendarize'!$L250+'Electric Calendarize'!P$4+1))</f>
        <v/>
      </c>
      <c r="Q250" t="str">
        <f ca="1">IF(OR($L250&gt;Q$4,Q$4&gt;$L250+23),"",OFFSET(Electric!$L241,0,-'Electric Calendarize'!$L250+'Electric Calendarize'!Q$4+1))</f>
        <v/>
      </c>
      <c r="R250" t="str">
        <f ca="1">IF(OR($L250&gt;R$4,R$4&gt;$L250+23),"",OFFSET(Electric!$L241,0,-'Electric Calendarize'!$L250+'Electric Calendarize'!R$4+1))</f>
        <v/>
      </c>
      <c r="S250" t="str">
        <f ca="1">IF(OR($L250&gt;S$4,S$4&gt;$L250+23),"",OFFSET(Electric!$L241,0,-'Electric Calendarize'!$L250+'Electric Calendarize'!S$4+1))</f>
        <v/>
      </c>
      <c r="T250" t="str">
        <f ca="1">IF(OR($L250&gt;T$4,T$4&gt;$L250+23),"",OFFSET(Electric!$L241,0,-'Electric Calendarize'!$L250+'Electric Calendarize'!T$4+1))</f>
        <v/>
      </c>
      <c r="U250" t="str">
        <f ca="1">IF(OR($L250&gt;U$4,U$4&gt;$L250+23),"",OFFSET(Electric!$L241,0,-'Electric Calendarize'!$L250+'Electric Calendarize'!U$4+1))</f>
        <v/>
      </c>
      <c r="V250" t="str">
        <f ca="1">IF(OR($L250&gt;V$4,V$4&gt;$L250+23),"",OFFSET(Electric!$L241,0,-'Electric Calendarize'!$L250+'Electric Calendarize'!V$4+1))</f>
        <v/>
      </c>
      <c r="W250" t="str">
        <f ca="1">IF(OR($L250&gt;W$4,W$4&gt;$L250+23),"",OFFSET(Electric!$L241,0,-'Electric Calendarize'!$L250+'Electric Calendarize'!W$4+1))</f>
        <v/>
      </c>
      <c r="X250" t="str">
        <f ca="1">IF(OR($L250&gt;X$4,X$4&gt;$L250+23),"",OFFSET(Electric!$L241,0,-'Electric Calendarize'!$L250+'Electric Calendarize'!X$4+1))</f>
        <v/>
      </c>
      <c r="Y250" t="str">
        <f ca="1">IF(OR($L250&gt;Y$4,Y$4&gt;$L250+23),"",OFFSET(Electric!$L241,0,-'Electric Calendarize'!$L250+'Electric Calendarize'!Y$4+1))</f>
        <v/>
      </c>
      <c r="Z250" t="str">
        <f ca="1">IF(OR($L250&gt;Z$4,Z$4&gt;$L250+23),"",OFFSET(Electric!$L241,0,-'Electric Calendarize'!$L250+'Electric Calendarize'!Z$4+1))</f>
        <v/>
      </c>
      <c r="AA250" t="str">
        <f ca="1">IF(OR($L250&gt;AA$4,AA$4&gt;$L250+23),"",OFFSET(Electric!$L241,0,-'Electric Calendarize'!$L250+'Electric Calendarize'!AA$4+1))</f>
        <v/>
      </c>
      <c r="AB250" t="str">
        <f ca="1">IF(OR($L250&gt;AB$4,AB$4&gt;$L250+23),"",OFFSET(Electric!$L241,0,-'Electric Calendarize'!$L250+'Electric Calendarize'!AB$4+1))</f>
        <v/>
      </c>
      <c r="AC250" t="str">
        <f ca="1">IF(OR($L250&gt;AC$4,AC$4&gt;$L250+23),"",OFFSET(Electric!$L241,0,-'Electric Calendarize'!$L250+'Electric Calendarize'!AC$4+1))</f>
        <v/>
      </c>
      <c r="AD250" t="str">
        <f ca="1">IF(OR($L250&gt;AD$4,AD$4&gt;$L250+23),"",OFFSET(Electric!$L241,0,-'Electric Calendarize'!$L250+'Electric Calendarize'!AD$4+1))</f>
        <v/>
      </c>
      <c r="AE250" t="str">
        <f ca="1">IF(OR($L250&gt;AE$4,AE$4&gt;$L250+23),"",OFFSET(Electric!$L241,0,-'Electric Calendarize'!$L250+'Electric Calendarize'!AE$4+1))</f>
        <v/>
      </c>
      <c r="AF250" t="str">
        <f ca="1">IF(OR($L250&gt;AF$4,AF$4&gt;$L250+23),"",OFFSET(Electric!$L241,0,-'Electric Calendarize'!$L250+'Electric Calendarize'!AF$4+1))</f>
        <v/>
      </c>
      <c r="AG250" t="str">
        <f ca="1">IF(OR($L250&gt;AG$4,AG$4&gt;$L250+23),"",OFFSET(Electric!$L241,0,-'Electric Calendarize'!$L250+'Electric Calendarize'!AG$4+1))</f>
        <v/>
      </c>
      <c r="AH250" t="str">
        <f ca="1">IF(OR($L250&gt;AH$4,AH$4&gt;$L250+23),"",OFFSET(Electric!$L241,0,-'Electric Calendarize'!$L250+'Electric Calendarize'!AH$4+1))</f>
        <v/>
      </c>
      <c r="AI250" t="str">
        <f ca="1">IF(OR($L250&gt;AI$4,AI$4&gt;$L250+23),"",OFFSET(Electric!$L241,0,-'Electric Calendarize'!$L250+'Electric Calendarize'!AI$4+1))</f>
        <v/>
      </c>
      <c r="AJ250" t="str">
        <f ca="1">IF(OR($L250&gt;AJ$4,AJ$4&gt;$L250+23),"",OFFSET(Electric!$L241,0,-'Electric Calendarize'!$L250+'Electric Calendarize'!AJ$4+1))</f>
        <v/>
      </c>
      <c r="AK250" t="str">
        <f ca="1">IF(OR($L250&gt;AK$4,AK$4&gt;$L250+23),"",OFFSET(Electric!$L241,0,-'Electric Calendarize'!$L250+'Electric Calendarize'!AK$4+1))</f>
        <v/>
      </c>
      <c r="AL250" t="str">
        <f ca="1">IF(OR($L250&gt;AL$4,AL$4&gt;$L250+23),"",OFFSET(Electric!$L241,0,-'Electric Calendarize'!$L250+'Electric Calendarize'!AL$4+1))</f>
        <v/>
      </c>
      <c r="AM250" t="str">
        <f ca="1">IF(OR($L250&gt;AM$4,AM$4&gt;$L250+23),"",OFFSET(Electric!$L241,0,-'Electric Calendarize'!$L250+'Electric Calendarize'!AM$4+1))</f>
        <v/>
      </c>
      <c r="AN250" t="str">
        <f ca="1">IF(OR($L250&gt;AN$4,AN$4&gt;$L250+23),"",OFFSET(Electric!$L241,0,-'Electric Calendarize'!$L250+'Electric Calendarize'!AN$4+1))</f>
        <v/>
      </c>
      <c r="AO250">
        <f ca="1">IF(OR($L250&gt;AO$4,AO$4&gt;$L250+23),"",OFFSET(Electric!$L241,0,-'Electric Calendarize'!$L250+'Electric Calendarize'!AO$4+1))</f>
        <v>327</v>
      </c>
      <c r="AP250">
        <f ca="1">IF(OR($L250&gt;AP$4,AP$4&gt;$L250+23),"",OFFSET(Electric!$L241,0,-'Electric Calendarize'!$L250+'Electric Calendarize'!AP$4+1))</f>
        <v>304</v>
      </c>
      <c r="AQ250">
        <f ca="1">IF(OR($L250&gt;AQ$4,AQ$4&gt;$L250+23),"",OFFSET(Electric!$L241,0,-'Electric Calendarize'!$L250+'Electric Calendarize'!AQ$4+1))</f>
        <v>457</v>
      </c>
      <c r="AR250">
        <f ca="1">IF(OR($L250&gt;AR$4,AR$4&gt;$L250+23),"",OFFSET(Electric!$L241,0,-'Electric Calendarize'!$L250+'Electric Calendarize'!AR$4+1))</f>
        <v>327</v>
      </c>
      <c r="AS250">
        <f ca="1">IF(OR($L250&gt;AS$4,AS$4&gt;$L250+23),"",OFFSET(Electric!$L241,0,-'Electric Calendarize'!$L250+'Electric Calendarize'!AS$4+1))</f>
        <v>342</v>
      </c>
      <c r="AT250">
        <f ca="1">IF(OR($L250&gt;AT$4,AT$4&gt;$L250+23),"",OFFSET(Electric!$L241,0,-'Electric Calendarize'!$L250+'Electric Calendarize'!AT$4+1))</f>
        <v>559</v>
      </c>
      <c r="AU250">
        <f ca="1">IF(OR($L250&gt;AU$4,AU$4&gt;$L250+23),"",OFFSET(Electric!$L241,0,-'Electric Calendarize'!$L250+'Electric Calendarize'!AU$4+1))</f>
        <v>1181</v>
      </c>
      <c r="AV250">
        <f ca="1">IF(OR($L250&gt;AV$4,AV$4&gt;$L250+23),"",OFFSET(Electric!$L241,0,-'Electric Calendarize'!$L250+'Electric Calendarize'!AV$4+1))</f>
        <v>646</v>
      </c>
      <c r="AW250">
        <f ca="1">IF(OR($L250&gt;AW$4,AW$4&gt;$L250+23),"",OFFSET(Electric!$L241,0,-'Electric Calendarize'!$L250+'Electric Calendarize'!AW$4+1))</f>
        <v>650</v>
      </c>
      <c r="AX250">
        <f ca="1">IF(OR($L250&gt;AX$4,AX$4&gt;$L250+23),"",OFFSET(Electric!$L241,0,-'Electric Calendarize'!$L250+'Electric Calendarize'!AX$4+1))</f>
        <v>546</v>
      </c>
      <c r="AY250">
        <f ca="1">IF(OR($L250&gt;AY$4,AY$4&gt;$L250+23),"",OFFSET(Electric!$L241,0,-'Electric Calendarize'!$L250+'Electric Calendarize'!AY$4+1))</f>
        <v>442</v>
      </c>
      <c r="AZ250">
        <f ca="1">IF(OR($L250&gt;AZ$4,AZ$4&gt;$L250+23),"",OFFSET(Electric!$L241,0,-'Electric Calendarize'!$L250+'Electric Calendarize'!AZ$4+1))</f>
        <v>416</v>
      </c>
      <c r="BA250">
        <f ca="1">IF(OR($L250&gt;BA$4,BA$4&gt;$L250+23),"",OFFSET(Electric!$L241,0,-'Electric Calendarize'!$L250+'Electric Calendarize'!BA$4+1))</f>
        <v>334</v>
      </c>
      <c r="BB250">
        <f ca="1">IF(OR($L250&gt;BB$4,BB$4&gt;$L250+23),"",OFFSET(Electric!$L241,0,-'Electric Calendarize'!$L250+'Electric Calendarize'!BB$4+1))</f>
        <v>468</v>
      </c>
      <c r="BC250">
        <f ca="1">IF(OR($L250&gt;BC$4,BC$4&gt;$L250+23),"",OFFSET(Electric!$L241,0,-'Electric Calendarize'!$L250+'Electric Calendarize'!BC$4+1))</f>
        <v>656</v>
      </c>
      <c r="BD250">
        <f ca="1">IF(OR($L250&gt;BD$4,BD$4&gt;$L250+23),"",OFFSET(Electric!$L241,0,-'Electric Calendarize'!$L250+'Electric Calendarize'!BD$4+1))</f>
        <v>400</v>
      </c>
      <c r="BE250">
        <f ca="1">IF(OR($L250&gt;BE$4,BE$4&gt;$L250+23),"",OFFSET(Electric!$L241,0,-'Electric Calendarize'!$L250+'Electric Calendarize'!BE$4+1))</f>
        <v>696</v>
      </c>
      <c r="BF250">
        <f ca="1">IF(OR($L250&gt;BF$4,BF$4&gt;$L250+23),"",OFFSET(Electric!$L241,0,-'Electric Calendarize'!$L250+'Electric Calendarize'!BF$4+1))</f>
        <v>556</v>
      </c>
      <c r="BG250">
        <f ca="1">IF(OR($L250&gt;BG$4,BG$4&gt;$L250+23),"",OFFSET(Electric!$L241,0,-'Electric Calendarize'!$L250+'Electric Calendarize'!BG$4+1))</f>
        <v>906</v>
      </c>
      <c r="BJ250" s="10" t="s">
        <v>37</v>
      </c>
      <c r="BK250">
        <f t="shared" si="519"/>
        <v>1</v>
      </c>
      <c r="BL250">
        <f t="shared" si="425"/>
        <v>0</v>
      </c>
      <c r="BM250">
        <f t="shared" si="426"/>
        <v>0</v>
      </c>
      <c r="BN250">
        <f t="shared" si="427"/>
        <v>0</v>
      </c>
      <c r="BO250">
        <f t="shared" si="428"/>
        <v>0</v>
      </c>
      <c r="BP250">
        <f t="shared" si="429"/>
        <v>0</v>
      </c>
      <c r="BQ250">
        <f t="shared" si="430"/>
        <v>0</v>
      </c>
      <c r="BR250">
        <f t="shared" si="431"/>
        <v>1</v>
      </c>
      <c r="BS250">
        <f t="shared" si="432"/>
        <v>1</v>
      </c>
      <c r="BT250">
        <f t="shared" si="433"/>
        <v>1</v>
      </c>
      <c r="BU250">
        <f t="shared" si="434"/>
        <v>1</v>
      </c>
      <c r="BV250">
        <f t="shared" si="435"/>
        <v>1</v>
      </c>
      <c r="BW250">
        <f t="shared" si="436"/>
        <v>1</v>
      </c>
      <c r="BX250">
        <f t="shared" si="437"/>
        <v>0</v>
      </c>
      <c r="BY250">
        <f t="shared" si="438"/>
        <v>0</v>
      </c>
      <c r="BZ250">
        <f t="shared" si="439"/>
        <v>0</v>
      </c>
      <c r="CA250">
        <f t="shared" si="440"/>
        <v>0</v>
      </c>
      <c r="CB250">
        <f t="shared" si="441"/>
        <v>0</v>
      </c>
      <c r="CC250">
        <f t="shared" si="442"/>
        <v>0</v>
      </c>
      <c r="CD250">
        <f t="shared" si="443"/>
        <v>1</v>
      </c>
      <c r="CE250">
        <f t="shared" si="444"/>
        <v>1</v>
      </c>
      <c r="CF250">
        <f t="shared" si="445"/>
        <v>1</v>
      </c>
      <c r="CG250">
        <f t="shared" si="446"/>
        <v>1</v>
      </c>
      <c r="CH250">
        <f t="shared" si="447"/>
        <v>1</v>
      </c>
      <c r="CI250">
        <f t="shared" si="448"/>
        <v>1</v>
      </c>
      <c r="CJ250">
        <f t="shared" si="449"/>
        <v>0</v>
      </c>
      <c r="CK250">
        <f t="shared" si="450"/>
        <v>0</v>
      </c>
      <c r="CL250">
        <f t="shared" si="451"/>
        <v>0</v>
      </c>
      <c r="CM250">
        <f t="shared" si="452"/>
        <v>0</v>
      </c>
      <c r="CN250">
        <f t="shared" si="453"/>
        <v>0</v>
      </c>
      <c r="CO250">
        <f t="shared" si="454"/>
        <v>0</v>
      </c>
      <c r="CP250">
        <f t="shared" si="455"/>
        <v>1</v>
      </c>
      <c r="CQ250">
        <f t="shared" si="456"/>
        <v>1</v>
      </c>
      <c r="CR250">
        <f t="shared" si="457"/>
        <v>1</v>
      </c>
      <c r="CS250">
        <f t="shared" si="458"/>
        <v>1</v>
      </c>
      <c r="CT250">
        <f t="shared" si="459"/>
        <v>1</v>
      </c>
      <c r="CU250">
        <f t="shared" si="460"/>
        <v>1</v>
      </c>
      <c r="CV250">
        <f t="shared" si="461"/>
        <v>0</v>
      </c>
      <c r="CW250">
        <f t="shared" si="462"/>
        <v>0</v>
      </c>
      <c r="CX250">
        <f t="shared" si="463"/>
        <v>0</v>
      </c>
      <c r="CY250">
        <f t="shared" si="464"/>
        <v>0</v>
      </c>
      <c r="CZ250">
        <f t="shared" si="465"/>
        <v>0</v>
      </c>
      <c r="DA250">
        <f t="shared" si="466"/>
        <v>0</v>
      </c>
      <c r="DB250">
        <f t="shared" si="467"/>
        <v>1</v>
      </c>
      <c r="DC250">
        <f t="shared" si="468"/>
        <v>1</v>
      </c>
      <c r="DF250" s="10" t="s">
        <v>37</v>
      </c>
      <c r="DG250" t="str">
        <f t="shared" si="528"/>
        <v>2023_6</v>
      </c>
      <c r="DH250" t="str">
        <f t="shared" si="528"/>
        <v>2023_6</v>
      </c>
      <c r="DI250" t="str">
        <f t="shared" si="528"/>
        <v>2023_6</v>
      </c>
      <c r="DJ250" t="str">
        <f t="shared" si="528"/>
        <v>2023_6</v>
      </c>
      <c r="DK250" t="str">
        <f t="shared" si="528"/>
        <v>2023_6</v>
      </c>
      <c r="DL250" t="str">
        <f t="shared" si="528"/>
        <v>2023_6</v>
      </c>
      <c r="DM250" t="str">
        <f t="shared" si="528"/>
        <v>2023_6</v>
      </c>
      <c r="DN250" t="str">
        <f t="shared" si="528"/>
        <v>2023_6</v>
      </c>
      <c r="DO250" t="str">
        <f t="shared" si="528"/>
        <v>2023_6</v>
      </c>
      <c r="DP250" t="str">
        <f t="shared" si="528"/>
        <v>2023_6</v>
      </c>
      <c r="DQ250" t="str">
        <f t="shared" si="528"/>
        <v>2023_6</v>
      </c>
      <c r="DR250" t="str">
        <f t="shared" si="528"/>
        <v>2023_6</v>
      </c>
      <c r="DS250" t="str">
        <f t="shared" si="528"/>
        <v>2023_6</v>
      </c>
      <c r="DT250" t="str">
        <f t="shared" si="528"/>
        <v>2023_6</v>
      </c>
      <c r="DU250" t="str">
        <f t="shared" si="528"/>
        <v>2023_6</v>
      </c>
      <c r="DV250" t="str">
        <f t="shared" si="526"/>
        <v>2023_6</v>
      </c>
      <c r="DW250" t="str">
        <f t="shared" si="526"/>
        <v>2023_6</v>
      </c>
      <c r="DX250" t="str">
        <f t="shared" si="526"/>
        <v>2023_6</v>
      </c>
      <c r="DY250" t="str">
        <f t="shared" si="526"/>
        <v>2023_6</v>
      </c>
      <c r="DZ250" t="str">
        <f t="shared" si="526"/>
        <v>2023_6</v>
      </c>
      <c r="EA250" t="str">
        <f t="shared" si="526"/>
        <v>2023_6</v>
      </c>
      <c r="EB250" t="str">
        <f t="shared" si="526"/>
        <v>2023_6</v>
      </c>
      <c r="EC250" t="str">
        <f t="shared" si="526"/>
        <v>2023_6</v>
      </c>
      <c r="ED250" t="str">
        <f t="shared" si="526"/>
        <v>2023_6</v>
      </c>
      <c r="EE250" t="str">
        <f t="shared" si="526"/>
        <v>2023_6</v>
      </c>
      <c r="EF250" t="str">
        <f t="shared" si="526"/>
        <v>2023_6</v>
      </c>
      <c r="EG250" t="str">
        <f t="shared" si="526"/>
        <v>2023_6</v>
      </c>
      <c r="EH250" t="str">
        <f t="shared" si="526"/>
        <v>2023_6</v>
      </c>
      <c r="EI250" t="str">
        <f t="shared" si="526"/>
        <v>2023_6</v>
      </c>
      <c r="EJ250" t="str">
        <f t="shared" si="526"/>
        <v>2023_6</v>
      </c>
      <c r="EK250" t="str">
        <f t="shared" ref="EK250:EY265" si="529">$K250</f>
        <v>2023_6</v>
      </c>
      <c r="EL250" t="str">
        <f t="shared" si="527"/>
        <v>2023_6</v>
      </c>
      <c r="EM250" t="str">
        <f t="shared" si="527"/>
        <v>2023_6</v>
      </c>
      <c r="EN250" t="str">
        <f t="shared" si="527"/>
        <v>2023_6</v>
      </c>
      <c r="EO250" t="str">
        <f t="shared" si="527"/>
        <v>2023_6</v>
      </c>
      <c r="EP250" t="str">
        <f t="shared" si="527"/>
        <v>2023_6</v>
      </c>
      <c r="EQ250" t="str">
        <f t="shared" si="527"/>
        <v>2023_6</v>
      </c>
      <c r="ER250" t="str">
        <f t="shared" si="527"/>
        <v>2023_6</v>
      </c>
      <c r="ES250" t="str">
        <f t="shared" si="527"/>
        <v>2023_6</v>
      </c>
      <c r="ET250" t="str">
        <f t="shared" si="527"/>
        <v>2023_6</v>
      </c>
      <c r="EU250" t="str">
        <f t="shared" si="527"/>
        <v>2023_6</v>
      </c>
      <c r="EV250" t="str">
        <f t="shared" si="527"/>
        <v>2023_6</v>
      </c>
      <c r="EW250" t="str">
        <f t="shared" si="527"/>
        <v>2023_6</v>
      </c>
      <c r="EX250" t="str">
        <f t="shared" si="527"/>
        <v>2023_6</v>
      </c>
      <c r="EY250" t="str">
        <f t="shared" si="527"/>
        <v>2023_6</v>
      </c>
      <c r="FB250" s="10" t="s">
        <v>37</v>
      </c>
      <c r="FC250">
        <f t="shared" si="521"/>
        <v>0</v>
      </c>
      <c r="FD250">
        <f t="shared" si="471"/>
        <v>0</v>
      </c>
      <c r="FE250">
        <f t="shared" si="472"/>
        <v>0</v>
      </c>
      <c r="FF250">
        <f t="shared" si="473"/>
        <v>0</v>
      </c>
      <c r="FG250">
        <f t="shared" si="474"/>
        <v>0</v>
      </c>
      <c r="FH250">
        <f t="shared" si="475"/>
        <v>0</v>
      </c>
      <c r="FI250">
        <f t="shared" si="476"/>
        <v>0</v>
      </c>
      <c r="FJ250">
        <f t="shared" si="477"/>
        <v>0</v>
      </c>
      <c r="FK250">
        <f t="shared" si="478"/>
        <v>0</v>
      </c>
      <c r="FL250">
        <f t="shared" si="479"/>
        <v>0</v>
      </c>
      <c r="FM250">
        <f t="shared" si="480"/>
        <v>0</v>
      </c>
      <c r="FN250">
        <f t="shared" si="481"/>
        <v>0</v>
      </c>
      <c r="FO250">
        <f t="shared" si="482"/>
        <v>0</v>
      </c>
      <c r="FP250">
        <f t="shared" si="483"/>
        <v>0</v>
      </c>
      <c r="FQ250">
        <f t="shared" si="484"/>
        <v>0</v>
      </c>
      <c r="FR250">
        <f t="shared" si="485"/>
        <v>0</v>
      </c>
      <c r="FS250">
        <f t="shared" si="486"/>
        <v>0</v>
      </c>
      <c r="FT250">
        <f t="shared" si="487"/>
        <v>0</v>
      </c>
      <c r="FU250">
        <f t="shared" si="488"/>
        <v>0</v>
      </c>
      <c r="FV250">
        <f t="shared" si="489"/>
        <v>0</v>
      </c>
      <c r="FW250">
        <f t="shared" si="490"/>
        <v>0</v>
      </c>
      <c r="FX250">
        <f t="shared" si="491"/>
        <v>0</v>
      </c>
      <c r="FY250">
        <f t="shared" si="492"/>
        <v>0</v>
      </c>
      <c r="FZ250">
        <f t="shared" si="493"/>
        <v>0</v>
      </c>
      <c r="GA250">
        <f t="shared" si="494"/>
        <v>0</v>
      </c>
      <c r="GB250">
        <f t="shared" si="495"/>
        <v>0</v>
      </c>
      <c r="GC250">
        <f t="shared" si="496"/>
        <v>0</v>
      </c>
      <c r="GD250">
        <f t="shared" si="497"/>
        <v>0</v>
      </c>
      <c r="GE250">
        <f t="shared" si="498"/>
        <v>0</v>
      </c>
      <c r="GF250">
        <f t="shared" si="499"/>
        <v>0</v>
      </c>
      <c r="GG250">
        <f t="shared" si="500"/>
        <v>0</v>
      </c>
      <c r="GH250">
        <f t="shared" si="501"/>
        <v>0</v>
      </c>
      <c r="GI250">
        <f t="shared" si="502"/>
        <v>0</v>
      </c>
      <c r="GJ250">
        <f t="shared" si="503"/>
        <v>0</v>
      </c>
      <c r="GK250">
        <f t="shared" si="504"/>
        <v>0</v>
      </c>
      <c r="GL250">
        <f t="shared" si="505"/>
        <v>0</v>
      </c>
      <c r="GM250">
        <f t="shared" si="506"/>
        <v>0</v>
      </c>
      <c r="GN250">
        <f t="shared" si="507"/>
        <v>0</v>
      </c>
      <c r="GO250">
        <f t="shared" si="508"/>
        <v>1</v>
      </c>
      <c r="GP250">
        <f t="shared" si="509"/>
        <v>1</v>
      </c>
      <c r="GQ250">
        <f t="shared" si="510"/>
        <v>1</v>
      </c>
      <c r="GR250">
        <f t="shared" si="511"/>
        <v>1</v>
      </c>
      <c r="GS250">
        <f t="shared" si="512"/>
        <v>1</v>
      </c>
      <c r="GT250">
        <f t="shared" si="513"/>
        <v>1</v>
      </c>
      <c r="GU250">
        <f t="shared" si="514"/>
        <v>1</v>
      </c>
      <c r="GX250" s="10"/>
    </row>
    <row r="251" spans="1:206" x14ac:dyDescent="0.3">
      <c r="A251" s="36" t="s">
        <v>209</v>
      </c>
      <c r="B251" s="85"/>
      <c r="C251" s="9">
        <v>3132727003</v>
      </c>
      <c r="D251" s="36" t="s">
        <v>501</v>
      </c>
      <c r="E251" s="36" t="s">
        <v>100</v>
      </c>
      <c r="F251" s="36" t="s">
        <v>35</v>
      </c>
      <c r="G251" s="36" t="s">
        <v>264</v>
      </c>
      <c r="H251" s="10">
        <v>45086</v>
      </c>
      <c r="I251" s="9">
        <f t="shared" si="515"/>
        <v>2023</v>
      </c>
      <c r="J251" s="9">
        <f t="shared" si="516"/>
        <v>6</v>
      </c>
      <c r="K251" s="9" t="str">
        <f t="shared" si="517"/>
        <v>2023_6</v>
      </c>
      <c r="L251">
        <f>MAX(0,VLOOKUP($K251,lookups!$A$1:$B$45,2,0)-12)</f>
        <v>26</v>
      </c>
      <c r="M251" s="40">
        <f t="shared" si="518"/>
        <v>45078</v>
      </c>
      <c r="N251" s="10" t="s">
        <v>37</v>
      </c>
      <c r="O251" t="str">
        <f ca="1">IF(OR($L251&gt;O$4,O$4&gt;$L251+23),"",OFFSET(Electric!$L242,0,-'Electric Calendarize'!$L251+'Electric Calendarize'!O$4+1))</f>
        <v/>
      </c>
      <c r="P251" t="str">
        <f ca="1">IF(OR($L251&gt;P$4,P$4&gt;$L251+23),"",OFFSET(Electric!$L242,0,-'Electric Calendarize'!$L251+'Electric Calendarize'!P$4+1))</f>
        <v/>
      </c>
      <c r="Q251" t="str">
        <f ca="1">IF(OR($L251&gt;Q$4,Q$4&gt;$L251+23),"",OFFSET(Electric!$L242,0,-'Electric Calendarize'!$L251+'Electric Calendarize'!Q$4+1))</f>
        <v/>
      </c>
      <c r="R251" t="str">
        <f ca="1">IF(OR($L251&gt;R$4,R$4&gt;$L251+23),"",OFFSET(Electric!$L242,0,-'Electric Calendarize'!$L251+'Electric Calendarize'!R$4+1))</f>
        <v/>
      </c>
      <c r="S251" t="str">
        <f ca="1">IF(OR($L251&gt;S$4,S$4&gt;$L251+23),"",OFFSET(Electric!$L242,0,-'Electric Calendarize'!$L251+'Electric Calendarize'!S$4+1))</f>
        <v/>
      </c>
      <c r="T251" t="str">
        <f ca="1">IF(OR($L251&gt;T$4,T$4&gt;$L251+23),"",OFFSET(Electric!$L242,0,-'Electric Calendarize'!$L251+'Electric Calendarize'!T$4+1))</f>
        <v/>
      </c>
      <c r="U251" t="str">
        <f ca="1">IF(OR($L251&gt;U$4,U$4&gt;$L251+23),"",OFFSET(Electric!$L242,0,-'Electric Calendarize'!$L251+'Electric Calendarize'!U$4+1))</f>
        <v/>
      </c>
      <c r="V251" t="str">
        <f ca="1">IF(OR($L251&gt;V$4,V$4&gt;$L251+23),"",OFFSET(Electric!$L242,0,-'Electric Calendarize'!$L251+'Electric Calendarize'!V$4+1))</f>
        <v/>
      </c>
      <c r="W251" t="str">
        <f ca="1">IF(OR($L251&gt;W$4,W$4&gt;$L251+23),"",OFFSET(Electric!$L242,0,-'Electric Calendarize'!$L251+'Electric Calendarize'!W$4+1))</f>
        <v/>
      </c>
      <c r="X251" t="str">
        <f ca="1">IF(OR($L251&gt;X$4,X$4&gt;$L251+23),"",OFFSET(Electric!$L242,0,-'Electric Calendarize'!$L251+'Electric Calendarize'!X$4+1))</f>
        <v/>
      </c>
      <c r="Y251" t="str">
        <f ca="1">IF(OR($L251&gt;Y$4,Y$4&gt;$L251+23),"",OFFSET(Electric!$L242,0,-'Electric Calendarize'!$L251+'Electric Calendarize'!Y$4+1))</f>
        <v/>
      </c>
      <c r="Z251" t="str">
        <f ca="1">IF(OR($L251&gt;Z$4,Z$4&gt;$L251+23),"",OFFSET(Electric!$L242,0,-'Electric Calendarize'!$L251+'Electric Calendarize'!Z$4+1))</f>
        <v/>
      </c>
      <c r="AA251" t="str">
        <f ca="1">IF(OR($L251&gt;AA$4,AA$4&gt;$L251+23),"",OFFSET(Electric!$L242,0,-'Electric Calendarize'!$L251+'Electric Calendarize'!AA$4+1))</f>
        <v/>
      </c>
      <c r="AB251" t="str">
        <f ca="1">IF(OR($L251&gt;AB$4,AB$4&gt;$L251+23),"",OFFSET(Electric!$L242,0,-'Electric Calendarize'!$L251+'Electric Calendarize'!AB$4+1))</f>
        <v/>
      </c>
      <c r="AC251" t="str">
        <f ca="1">IF(OR($L251&gt;AC$4,AC$4&gt;$L251+23),"",OFFSET(Electric!$L242,0,-'Electric Calendarize'!$L251+'Electric Calendarize'!AC$4+1))</f>
        <v/>
      </c>
      <c r="AD251" t="str">
        <f ca="1">IF(OR($L251&gt;AD$4,AD$4&gt;$L251+23),"",OFFSET(Electric!$L242,0,-'Electric Calendarize'!$L251+'Electric Calendarize'!AD$4+1))</f>
        <v/>
      </c>
      <c r="AE251" t="str">
        <f ca="1">IF(OR($L251&gt;AE$4,AE$4&gt;$L251+23),"",OFFSET(Electric!$L242,0,-'Electric Calendarize'!$L251+'Electric Calendarize'!AE$4+1))</f>
        <v/>
      </c>
      <c r="AF251" t="str">
        <f ca="1">IF(OR($L251&gt;AF$4,AF$4&gt;$L251+23),"",OFFSET(Electric!$L242,0,-'Electric Calendarize'!$L251+'Electric Calendarize'!AF$4+1))</f>
        <v/>
      </c>
      <c r="AG251" t="str">
        <f ca="1">IF(OR($L251&gt;AG$4,AG$4&gt;$L251+23),"",OFFSET(Electric!$L242,0,-'Electric Calendarize'!$L251+'Electric Calendarize'!AG$4+1))</f>
        <v/>
      </c>
      <c r="AH251" t="str">
        <f ca="1">IF(OR($L251&gt;AH$4,AH$4&gt;$L251+23),"",OFFSET(Electric!$L242,0,-'Electric Calendarize'!$L251+'Electric Calendarize'!AH$4+1))</f>
        <v/>
      </c>
      <c r="AI251" t="str">
        <f ca="1">IF(OR($L251&gt;AI$4,AI$4&gt;$L251+23),"",OFFSET(Electric!$L242,0,-'Electric Calendarize'!$L251+'Electric Calendarize'!AI$4+1))</f>
        <v/>
      </c>
      <c r="AJ251" t="str">
        <f ca="1">IF(OR($L251&gt;AJ$4,AJ$4&gt;$L251+23),"",OFFSET(Electric!$L242,0,-'Electric Calendarize'!$L251+'Electric Calendarize'!AJ$4+1))</f>
        <v/>
      </c>
      <c r="AK251" t="str">
        <f ca="1">IF(OR($L251&gt;AK$4,AK$4&gt;$L251+23),"",OFFSET(Electric!$L242,0,-'Electric Calendarize'!$L251+'Electric Calendarize'!AK$4+1))</f>
        <v/>
      </c>
      <c r="AL251" t="str">
        <f ca="1">IF(OR($L251&gt;AL$4,AL$4&gt;$L251+23),"",OFFSET(Electric!$L242,0,-'Electric Calendarize'!$L251+'Electric Calendarize'!AL$4+1))</f>
        <v/>
      </c>
      <c r="AM251" t="str">
        <f ca="1">IF(OR($L251&gt;AM$4,AM$4&gt;$L251+23),"",OFFSET(Electric!$L242,0,-'Electric Calendarize'!$L251+'Electric Calendarize'!AM$4+1))</f>
        <v/>
      </c>
      <c r="AN251" t="str">
        <f ca="1">IF(OR($L251&gt;AN$4,AN$4&gt;$L251+23),"",OFFSET(Electric!$L242,0,-'Electric Calendarize'!$L251+'Electric Calendarize'!AN$4+1))</f>
        <v/>
      </c>
      <c r="AO251">
        <f ca="1">IF(OR($L251&gt;AO$4,AO$4&gt;$L251+23),"",OFFSET(Electric!$L242,0,-'Electric Calendarize'!$L251+'Electric Calendarize'!AO$4+1))</f>
        <v>1425</v>
      </c>
      <c r="AP251">
        <f ca="1">IF(OR($L251&gt;AP$4,AP$4&gt;$L251+23),"",OFFSET(Electric!$L242,0,-'Electric Calendarize'!$L251+'Electric Calendarize'!AP$4+1))</f>
        <v>1375</v>
      </c>
      <c r="AQ251">
        <f ca="1">IF(OR($L251&gt;AQ$4,AQ$4&gt;$L251+23),"",OFFSET(Electric!$L242,0,-'Electric Calendarize'!$L251+'Electric Calendarize'!AQ$4+1))</f>
        <v>1804</v>
      </c>
      <c r="AR251">
        <f ca="1">IF(OR($L251&gt;AR$4,AR$4&gt;$L251+23),"",OFFSET(Electric!$L242,0,-'Electric Calendarize'!$L251+'Electric Calendarize'!AR$4+1))</f>
        <v>1435</v>
      </c>
      <c r="AS251">
        <f ca="1">IF(OR($L251&gt;AS$4,AS$4&gt;$L251+23),"",OFFSET(Electric!$L242,0,-'Electric Calendarize'!$L251+'Electric Calendarize'!AS$4+1))</f>
        <v>1112</v>
      </c>
      <c r="AT251">
        <f ca="1">IF(OR($L251&gt;AT$4,AT$4&gt;$L251+23),"",OFFSET(Electric!$L242,0,-'Electric Calendarize'!$L251+'Electric Calendarize'!AT$4+1))</f>
        <v>909</v>
      </c>
      <c r="AU251">
        <f ca="1">IF(OR($L251&gt;AU$4,AU$4&gt;$L251+23),"",OFFSET(Electric!$L242,0,-'Electric Calendarize'!$L251+'Electric Calendarize'!AU$4+1))</f>
        <v>1151</v>
      </c>
      <c r="AV251">
        <f ca="1">IF(OR($L251&gt;AV$4,AV$4&gt;$L251+23),"",OFFSET(Electric!$L242,0,-'Electric Calendarize'!$L251+'Electric Calendarize'!AV$4+1))</f>
        <v>1286</v>
      </c>
      <c r="AW251">
        <f ca="1">IF(OR($L251&gt;AW$4,AW$4&gt;$L251+23),"",OFFSET(Electric!$L242,0,-'Electric Calendarize'!$L251+'Electric Calendarize'!AW$4+1))</f>
        <v>1023</v>
      </c>
      <c r="AX251">
        <f ca="1">IF(OR($L251&gt;AX$4,AX$4&gt;$L251+23),"",OFFSET(Electric!$L242,0,-'Electric Calendarize'!$L251+'Electric Calendarize'!AX$4+1))</f>
        <v>962</v>
      </c>
      <c r="AY251">
        <f ca="1">IF(OR($L251&gt;AY$4,AY$4&gt;$L251+23),"",OFFSET(Electric!$L242,0,-'Electric Calendarize'!$L251+'Electric Calendarize'!AY$4+1))</f>
        <v>822</v>
      </c>
      <c r="AZ251">
        <f ca="1">IF(OR($L251&gt;AZ$4,AZ$4&gt;$L251+23),"",OFFSET(Electric!$L242,0,-'Electric Calendarize'!$L251+'Electric Calendarize'!AZ$4+1))</f>
        <v>900</v>
      </c>
      <c r="BA251">
        <f ca="1">IF(OR($L251&gt;BA$4,BA$4&gt;$L251+23),"",OFFSET(Electric!$L242,0,-'Electric Calendarize'!$L251+'Electric Calendarize'!BA$4+1))</f>
        <v>896</v>
      </c>
      <c r="BB251">
        <f ca="1">IF(OR($L251&gt;BB$4,BB$4&gt;$L251+23),"",OFFSET(Electric!$L242,0,-'Electric Calendarize'!$L251+'Electric Calendarize'!BB$4+1))</f>
        <v>854</v>
      </c>
      <c r="BC251">
        <f ca="1">IF(OR($L251&gt;BC$4,BC$4&gt;$L251+23),"",OFFSET(Electric!$L242,0,-'Electric Calendarize'!$L251+'Electric Calendarize'!BC$4+1))</f>
        <v>887</v>
      </c>
      <c r="BD251">
        <f ca="1">IF(OR($L251&gt;BD$4,BD$4&gt;$L251+23),"",OFFSET(Electric!$L242,0,-'Electric Calendarize'!$L251+'Electric Calendarize'!BD$4+1))</f>
        <v>1031</v>
      </c>
      <c r="BE251">
        <f ca="1">IF(OR($L251&gt;BE$4,BE$4&gt;$L251+23),"",OFFSET(Electric!$L242,0,-'Electric Calendarize'!$L251+'Electric Calendarize'!BE$4+1))</f>
        <v>1049</v>
      </c>
      <c r="BF251">
        <f ca="1">IF(OR($L251&gt;BF$4,BF$4&gt;$L251+23),"",OFFSET(Electric!$L242,0,-'Electric Calendarize'!$L251+'Electric Calendarize'!BF$4+1))</f>
        <v>1702</v>
      </c>
      <c r="BG251">
        <f ca="1">IF(OR($L251&gt;BG$4,BG$4&gt;$L251+23),"",OFFSET(Electric!$L242,0,-'Electric Calendarize'!$L251+'Electric Calendarize'!BG$4+1))</f>
        <v>0</v>
      </c>
      <c r="BJ251" s="10" t="s">
        <v>37</v>
      </c>
      <c r="BK251">
        <f t="shared" si="519"/>
        <v>1</v>
      </c>
      <c r="BL251">
        <f t="shared" si="425"/>
        <v>0</v>
      </c>
      <c r="BM251">
        <f t="shared" si="426"/>
        <v>0</v>
      </c>
      <c r="BN251">
        <f t="shared" si="427"/>
        <v>0</v>
      </c>
      <c r="BO251">
        <f t="shared" si="428"/>
        <v>0</v>
      </c>
      <c r="BP251">
        <f t="shared" si="429"/>
        <v>0</v>
      </c>
      <c r="BQ251">
        <f t="shared" si="430"/>
        <v>0</v>
      </c>
      <c r="BR251">
        <f t="shared" si="431"/>
        <v>1</v>
      </c>
      <c r="BS251">
        <f t="shared" si="432"/>
        <v>1</v>
      </c>
      <c r="BT251">
        <f t="shared" si="433"/>
        <v>1</v>
      </c>
      <c r="BU251">
        <f t="shared" si="434"/>
        <v>1</v>
      </c>
      <c r="BV251">
        <f t="shared" si="435"/>
        <v>1</v>
      </c>
      <c r="BW251">
        <f t="shared" si="436"/>
        <v>1</v>
      </c>
      <c r="BX251">
        <f t="shared" si="437"/>
        <v>0</v>
      </c>
      <c r="BY251">
        <f t="shared" si="438"/>
        <v>0</v>
      </c>
      <c r="BZ251">
        <f t="shared" si="439"/>
        <v>0</v>
      </c>
      <c r="CA251">
        <f t="shared" si="440"/>
        <v>0</v>
      </c>
      <c r="CB251">
        <f t="shared" si="441"/>
        <v>0</v>
      </c>
      <c r="CC251">
        <f t="shared" si="442"/>
        <v>0</v>
      </c>
      <c r="CD251">
        <f t="shared" si="443"/>
        <v>1</v>
      </c>
      <c r="CE251">
        <f t="shared" si="444"/>
        <v>1</v>
      </c>
      <c r="CF251">
        <f t="shared" si="445"/>
        <v>1</v>
      </c>
      <c r="CG251">
        <f t="shared" si="446"/>
        <v>1</v>
      </c>
      <c r="CH251">
        <f t="shared" si="447"/>
        <v>1</v>
      </c>
      <c r="CI251">
        <f t="shared" si="448"/>
        <v>1</v>
      </c>
      <c r="CJ251">
        <f t="shared" si="449"/>
        <v>0</v>
      </c>
      <c r="CK251">
        <f t="shared" si="450"/>
        <v>0</v>
      </c>
      <c r="CL251">
        <f t="shared" si="451"/>
        <v>0</v>
      </c>
      <c r="CM251">
        <f t="shared" si="452"/>
        <v>0</v>
      </c>
      <c r="CN251">
        <f t="shared" si="453"/>
        <v>0</v>
      </c>
      <c r="CO251">
        <f t="shared" si="454"/>
        <v>0</v>
      </c>
      <c r="CP251">
        <f t="shared" si="455"/>
        <v>1</v>
      </c>
      <c r="CQ251">
        <f t="shared" si="456"/>
        <v>1</v>
      </c>
      <c r="CR251">
        <f t="shared" si="457"/>
        <v>1</v>
      </c>
      <c r="CS251">
        <f t="shared" si="458"/>
        <v>1</v>
      </c>
      <c r="CT251">
        <f t="shared" si="459"/>
        <v>1</v>
      </c>
      <c r="CU251">
        <f t="shared" si="460"/>
        <v>1</v>
      </c>
      <c r="CV251">
        <f t="shared" si="461"/>
        <v>0</v>
      </c>
      <c r="CW251">
        <f t="shared" si="462"/>
        <v>0</v>
      </c>
      <c r="CX251">
        <f t="shared" si="463"/>
        <v>0</v>
      </c>
      <c r="CY251">
        <f t="shared" si="464"/>
        <v>0</v>
      </c>
      <c r="CZ251">
        <f t="shared" si="465"/>
        <v>0</v>
      </c>
      <c r="DA251">
        <f t="shared" si="466"/>
        <v>0</v>
      </c>
      <c r="DB251">
        <f t="shared" si="467"/>
        <v>1</v>
      </c>
      <c r="DC251">
        <f t="shared" si="468"/>
        <v>1</v>
      </c>
      <c r="DF251" s="10" t="s">
        <v>37</v>
      </c>
      <c r="DG251" t="str">
        <f t="shared" si="528"/>
        <v>2023_6</v>
      </c>
      <c r="DH251" t="str">
        <f t="shared" si="528"/>
        <v>2023_6</v>
      </c>
      <c r="DI251" t="str">
        <f t="shared" si="528"/>
        <v>2023_6</v>
      </c>
      <c r="DJ251" t="str">
        <f t="shared" si="528"/>
        <v>2023_6</v>
      </c>
      <c r="DK251" t="str">
        <f t="shared" si="528"/>
        <v>2023_6</v>
      </c>
      <c r="DL251" t="str">
        <f t="shared" si="528"/>
        <v>2023_6</v>
      </c>
      <c r="DM251" t="str">
        <f t="shared" si="528"/>
        <v>2023_6</v>
      </c>
      <c r="DN251" t="str">
        <f t="shared" si="528"/>
        <v>2023_6</v>
      </c>
      <c r="DO251" t="str">
        <f t="shared" si="528"/>
        <v>2023_6</v>
      </c>
      <c r="DP251" t="str">
        <f t="shared" si="528"/>
        <v>2023_6</v>
      </c>
      <c r="DQ251" t="str">
        <f t="shared" si="528"/>
        <v>2023_6</v>
      </c>
      <c r="DR251" t="str">
        <f t="shared" si="528"/>
        <v>2023_6</v>
      </c>
      <c r="DS251" t="str">
        <f t="shared" si="528"/>
        <v>2023_6</v>
      </c>
      <c r="DT251" t="str">
        <f t="shared" si="528"/>
        <v>2023_6</v>
      </c>
      <c r="DU251" t="str">
        <f t="shared" si="528"/>
        <v>2023_6</v>
      </c>
      <c r="DV251" t="str">
        <f t="shared" si="528"/>
        <v>2023_6</v>
      </c>
      <c r="DW251" t="str">
        <f t="shared" ref="DW251:EL266" si="530">$K251</f>
        <v>2023_6</v>
      </c>
      <c r="DX251" t="str">
        <f t="shared" si="530"/>
        <v>2023_6</v>
      </c>
      <c r="DY251" t="str">
        <f t="shared" si="530"/>
        <v>2023_6</v>
      </c>
      <c r="DZ251" t="str">
        <f t="shared" si="530"/>
        <v>2023_6</v>
      </c>
      <c r="EA251" t="str">
        <f t="shared" si="530"/>
        <v>2023_6</v>
      </c>
      <c r="EB251" t="str">
        <f t="shared" si="530"/>
        <v>2023_6</v>
      </c>
      <c r="EC251" t="str">
        <f t="shared" si="530"/>
        <v>2023_6</v>
      </c>
      <c r="ED251" t="str">
        <f t="shared" si="530"/>
        <v>2023_6</v>
      </c>
      <c r="EE251" t="str">
        <f t="shared" si="530"/>
        <v>2023_6</v>
      </c>
      <c r="EF251" t="str">
        <f t="shared" si="530"/>
        <v>2023_6</v>
      </c>
      <c r="EG251" t="str">
        <f t="shared" si="530"/>
        <v>2023_6</v>
      </c>
      <c r="EH251" t="str">
        <f t="shared" si="530"/>
        <v>2023_6</v>
      </c>
      <c r="EI251" t="str">
        <f t="shared" si="530"/>
        <v>2023_6</v>
      </c>
      <c r="EJ251" t="str">
        <f t="shared" si="530"/>
        <v>2023_6</v>
      </c>
      <c r="EK251" t="str">
        <f t="shared" si="529"/>
        <v>2023_6</v>
      </c>
      <c r="EL251" t="str">
        <f t="shared" si="529"/>
        <v>2023_6</v>
      </c>
      <c r="EM251" t="str">
        <f t="shared" si="529"/>
        <v>2023_6</v>
      </c>
      <c r="EN251" t="str">
        <f t="shared" si="529"/>
        <v>2023_6</v>
      </c>
      <c r="EO251" t="str">
        <f t="shared" si="529"/>
        <v>2023_6</v>
      </c>
      <c r="EP251" t="str">
        <f t="shared" si="529"/>
        <v>2023_6</v>
      </c>
      <c r="EQ251" t="str">
        <f t="shared" si="529"/>
        <v>2023_6</v>
      </c>
      <c r="ER251" t="str">
        <f t="shared" si="529"/>
        <v>2023_6</v>
      </c>
      <c r="ES251" t="str">
        <f t="shared" si="529"/>
        <v>2023_6</v>
      </c>
      <c r="ET251" t="str">
        <f t="shared" si="529"/>
        <v>2023_6</v>
      </c>
      <c r="EU251" t="str">
        <f t="shared" si="529"/>
        <v>2023_6</v>
      </c>
      <c r="EV251" t="str">
        <f t="shared" si="529"/>
        <v>2023_6</v>
      </c>
      <c r="EW251" t="str">
        <f t="shared" si="529"/>
        <v>2023_6</v>
      </c>
      <c r="EX251" t="str">
        <f t="shared" si="529"/>
        <v>2023_6</v>
      </c>
      <c r="EY251" t="str">
        <f t="shared" si="529"/>
        <v>2023_6</v>
      </c>
      <c r="FB251" s="10" t="s">
        <v>37</v>
      </c>
      <c r="FC251">
        <f t="shared" si="521"/>
        <v>0</v>
      </c>
      <c r="FD251">
        <f t="shared" si="471"/>
        <v>0</v>
      </c>
      <c r="FE251">
        <f t="shared" si="472"/>
        <v>0</v>
      </c>
      <c r="FF251">
        <f t="shared" si="473"/>
        <v>0</v>
      </c>
      <c r="FG251">
        <f t="shared" si="474"/>
        <v>0</v>
      </c>
      <c r="FH251">
        <f t="shared" si="475"/>
        <v>0</v>
      </c>
      <c r="FI251">
        <f t="shared" si="476"/>
        <v>0</v>
      </c>
      <c r="FJ251">
        <f t="shared" si="477"/>
        <v>0</v>
      </c>
      <c r="FK251">
        <f t="shared" si="478"/>
        <v>0</v>
      </c>
      <c r="FL251">
        <f t="shared" si="479"/>
        <v>0</v>
      </c>
      <c r="FM251">
        <f t="shared" si="480"/>
        <v>0</v>
      </c>
      <c r="FN251">
        <f t="shared" si="481"/>
        <v>0</v>
      </c>
      <c r="FO251">
        <f t="shared" si="482"/>
        <v>0</v>
      </c>
      <c r="FP251">
        <f t="shared" si="483"/>
        <v>0</v>
      </c>
      <c r="FQ251">
        <f t="shared" si="484"/>
        <v>0</v>
      </c>
      <c r="FR251">
        <f t="shared" si="485"/>
        <v>0</v>
      </c>
      <c r="FS251">
        <f t="shared" si="486"/>
        <v>0</v>
      </c>
      <c r="FT251">
        <f t="shared" si="487"/>
        <v>0</v>
      </c>
      <c r="FU251">
        <f t="shared" si="488"/>
        <v>0</v>
      </c>
      <c r="FV251">
        <f t="shared" si="489"/>
        <v>0</v>
      </c>
      <c r="FW251">
        <f t="shared" si="490"/>
        <v>0</v>
      </c>
      <c r="FX251">
        <f t="shared" si="491"/>
        <v>0</v>
      </c>
      <c r="FY251">
        <f t="shared" si="492"/>
        <v>0</v>
      </c>
      <c r="FZ251">
        <f t="shared" si="493"/>
        <v>0</v>
      </c>
      <c r="GA251">
        <f t="shared" si="494"/>
        <v>0</v>
      </c>
      <c r="GB251">
        <f t="shared" si="495"/>
        <v>0</v>
      </c>
      <c r="GC251">
        <f t="shared" si="496"/>
        <v>0</v>
      </c>
      <c r="GD251">
        <f t="shared" si="497"/>
        <v>0</v>
      </c>
      <c r="GE251">
        <f t="shared" si="498"/>
        <v>0</v>
      </c>
      <c r="GF251">
        <f t="shared" si="499"/>
        <v>0</v>
      </c>
      <c r="GG251">
        <f t="shared" si="500"/>
        <v>0</v>
      </c>
      <c r="GH251">
        <f t="shared" si="501"/>
        <v>0</v>
      </c>
      <c r="GI251">
        <f t="shared" si="502"/>
        <v>0</v>
      </c>
      <c r="GJ251">
        <f t="shared" si="503"/>
        <v>0</v>
      </c>
      <c r="GK251">
        <f t="shared" si="504"/>
        <v>0</v>
      </c>
      <c r="GL251">
        <f t="shared" si="505"/>
        <v>0</v>
      </c>
      <c r="GM251">
        <f t="shared" si="506"/>
        <v>0</v>
      </c>
      <c r="GN251">
        <f t="shared" si="507"/>
        <v>0</v>
      </c>
      <c r="GO251">
        <f t="shared" si="508"/>
        <v>1</v>
      </c>
      <c r="GP251">
        <f t="shared" si="509"/>
        <v>1</v>
      </c>
      <c r="GQ251">
        <f t="shared" si="510"/>
        <v>1</v>
      </c>
      <c r="GR251">
        <f t="shared" si="511"/>
        <v>1</v>
      </c>
      <c r="GS251">
        <f t="shared" si="512"/>
        <v>1</v>
      </c>
      <c r="GT251">
        <f t="shared" si="513"/>
        <v>1</v>
      </c>
      <c r="GU251">
        <f t="shared" si="514"/>
        <v>1</v>
      </c>
      <c r="GX251" s="10"/>
    </row>
    <row r="252" spans="1:206" x14ac:dyDescent="0.3">
      <c r="A252" s="36" t="s">
        <v>33</v>
      </c>
      <c r="B252" s="85"/>
      <c r="C252" s="36">
        <v>3010347005</v>
      </c>
      <c r="D252" s="36" t="s">
        <v>502</v>
      </c>
      <c r="E252" s="36" t="s">
        <v>39</v>
      </c>
      <c r="F252" s="36" t="s">
        <v>35</v>
      </c>
      <c r="G252" s="36" t="s">
        <v>265</v>
      </c>
      <c r="H252" s="10">
        <v>45089</v>
      </c>
      <c r="I252" s="9">
        <f t="shared" si="515"/>
        <v>2023</v>
      </c>
      <c r="J252" s="9">
        <f t="shared" si="516"/>
        <v>6</v>
      </c>
      <c r="K252" s="9" t="str">
        <f t="shared" si="517"/>
        <v>2023_6</v>
      </c>
      <c r="L252">
        <f>MAX(0,VLOOKUP($K252,lookups!$A$1:$B$45,2,0)-12)</f>
        <v>26</v>
      </c>
      <c r="M252" s="40">
        <f t="shared" si="518"/>
        <v>45078</v>
      </c>
      <c r="N252" s="10" t="s">
        <v>37</v>
      </c>
      <c r="O252" t="str">
        <f ca="1">IF(OR($L252&gt;O$4,O$4&gt;$L252+23),"",OFFSET(Electric!$L243,0,-'Electric Calendarize'!$L252+'Electric Calendarize'!O$4+1))</f>
        <v/>
      </c>
      <c r="P252" t="str">
        <f ca="1">IF(OR($L252&gt;P$4,P$4&gt;$L252+23),"",OFFSET(Electric!$L243,0,-'Electric Calendarize'!$L252+'Electric Calendarize'!P$4+1))</f>
        <v/>
      </c>
      <c r="Q252" t="str">
        <f ca="1">IF(OR($L252&gt;Q$4,Q$4&gt;$L252+23),"",OFFSET(Electric!$L243,0,-'Electric Calendarize'!$L252+'Electric Calendarize'!Q$4+1))</f>
        <v/>
      </c>
      <c r="R252" t="str">
        <f ca="1">IF(OR($L252&gt;R$4,R$4&gt;$L252+23),"",OFFSET(Electric!$L243,0,-'Electric Calendarize'!$L252+'Electric Calendarize'!R$4+1))</f>
        <v/>
      </c>
      <c r="S252" t="str">
        <f ca="1">IF(OR($L252&gt;S$4,S$4&gt;$L252+23),"",OFFSET(Electric!$L243,0,-'Electric Calendarize'!$L252+'Electric Calendarize'!S$4+1))</f>
        <v/>
      </c>
      <c r="T252" t="str">
        <f ca="1">IF(OR($L252&gt;T$4,T$4&gt;$L252+23),"",OFFSET(Electric!$L243,0,-'Electric Calendarize'!$L252+'Electric Calendarize'!T$4+1))</f>
        <v/>
      </c>
      <c r="U252" t="str">
        <f ca="1">IF(OR($L252&gt;U$4,U$4&gt;$L252+23),"",OFFSET(Electric!$L243,0,-'Electric Calendarize'!$L252+'Electric Calendarize'!U$4+1))</f>
        <v/>
      </c>
      <c r="V252" t="str">
        <f ca="1">IF(OR($L252&gt;V$4,V$4&gt;$L252+23),"",OFFSET(Electric!$L243,0,-'Electric Calendarize'!$L252+'Electric Calendarize'!V$4+1))</f>
        <v/>
      </c>
      <c r="W252" t="str">
        <f ca="1">IF(OR($L252&gt;W$4,W$4&gt;$L252+23),"",OFFSET(Electric!$L243,0,-'Electric Calendarize'!$L252+'Electric Calendarize'!W$4+1))</f>
        <v/>
      </c>
      <c r="X252" t="str">
        <f ca="1">IF(OR($L252&gt;X$4,X$4&gt;$L252+23),"",OFFSET(Electric!$L243,0,-'Electric Calendarize'!$L252+'Electric Calendarize'!X$4+1))</f>
        <v/>
      </c>
      <c r="Y252" t="str">
        <f ca="1">IF(OR($L252&gt;Y$4,Y$4&gt;$L252+23),"",OFFSET(Electric!$L243,0,-'Electric Calendarize'!$L252+'Electric Calendarize'!Y$4+1))</f>
        <v/>
      </c>
      <c r="Z252" t="str">
        <f ca="1">IF(OR($L252&gt;Z$4,Z$4&gt;$L252+23),"",OFFSET(Electric!$L243,0,-'Electric Calendarize'!$L252+'Electric Calendarize'!Z$4+1))</f>
        <v/>
      </c>
      <c r="AA252" t="str">
        <f ca="1">IF(OR($L252&gt;AA$4,AA$4&gt;$L252+23),"",OFFSET(Electric!$L243,0,-'Electric Calendarize'!$L252+'Electric Calendarize'!AA$4+1))</f>
        <v/>
      </c>
      <c r="AB252" t="str">
        <f ca="1">IF(OR($L252&gt;AB$4,AB$4&gt;$L252+23),"",OFFSET(Electric!$L243,0,-'Electric Calendarize'!$L252+'Electric Calendarize'!AB$4+1))</f>
        <v/>
      </c>
      <c r="AC252" t="str">
        <f ca="1">IF(OR($L252&gt;AC$4,AC$4&gt;$L252+23),"",OFFSET(Electric!$L243,0,-'Electric Calendarize'!$L252+'Electric Calendarize'!AC$4+1))</f>
        <v/>
      </c>
      <c r="AD252" t="str">
        <f ca="1">IF(OR($L252&gt;AD$4,AD$4&gt;$L252+23),"",OFFSET(Electric!$L243,0,-'Electric Calendarize'!$L252+'Electric Calendarize'!AD$4+1))</f>
        <v/>
      </c>
      <c r="AE252" t="str">
        <f ca="1">IF(OR($L252&gt;AE$4,AE$4&gt;$L252+23),"",OFFSET(Electric!$L243,0,-'Electric Calendarize'!$L252+'Electric Calendarize'!AE$4+1))</f>
        <v/>
      </c>
      <c r="AF252" t="str">
        <f ca="1">IF(OR($L252&gt;AF$4,AF$4&gt;$L252+23),"",OFFSET(Electric!$L243,0,-'Electric Calendarize'!$L252+'Electric Calendarize'!AF$4+1))</f>
        <v/>
      </c>
      <c r="AG252" t="str">
        <f ca="1">IF(OR($L252&gt;AG$4,AG$4&gt;$L252+23),"",OFFSET(Electric!$L243,0,-'Electric Calendarize'!$L252+'Electric Calendarize'!AG$4+1))</f>
        <v/>
      </c>
      <c r="AH252" t="str">
        <f ca="1">IF(OR($L252&gt;AH$4,AH$4&gt;$L252+23),"",OFFSET(Electric!$L243,0,-'Electric Calendarize'!$L252+'Electric Calendarize'!AH$4+1))</f>
        <v/>
      </c>
      <c r="AI252" t="str">
        <f ca="1">IF(OR($L252&gt;AI$4,AI$4&gt;$L252+23),"",OFFSET(Electric!$L243,0,-'Electric Calendarize'!$L252+'Electric Calendarize'!AI$4+1))</f>
        <v/>
      </c>
      <c r="AJ252" t="str">
        <f ca="1">IF(OR($L252&gt;AJ$4,AJ$4&gt;$L252+23),"",OFFSET(Electric!$L243,0,-'Electric Calendarize'!$L252+'Electric Calendarize'!AJ$4+1))</f>
        <v/>
      </c>
      <c r="AK252" t="str">
        <f ca="1">IF(OR($L252&gt;AK$4,AK$4&gt;$L252+23),"",OFFSET(Electric!$L243,0,-'Electric Calendarize'!$L252+'Electric Calendarize'!AK$4+1))</f>
        <v/>
      </c>
      <c r="AL252" t="str">
        <f ca="1">IF(OR($L252&gt;AL$4,AL$4&gt;$L252+23),"",OFFSET(Electric!$L243,0,-'Electric Calendarize'!$L252+'Electric Calendarize'!AL$4+1))</f>
        <v/>
      </c>
      <c r="AM252" t="str">
        <f ca="1">IF(OR($L252&gt;AM$4,AM$4&gt;$L252+23),"",OFFSET(Electric!$L243,0,-'Electric Calendarize'!$L252+'Electric Calendarize'!AM$4+1))</f>
        <v/>
      </c>
      <c r="AN252" t="str">
        <f ca="1">IF(OR($L252&gt;AN$4,AN$4&gt;$L252+23),"",OFFSET(Electric!$L243,0,-'Electric Calendarize'!$L252+'Electric Calendarize'!AN$4+1))</f>
        <v/>
      </c>
      <c r="AO252">
        <f ca="1">IF(OR($L252&gt;AO$4,AO$4&gt;$L252+23),"",OFFSET(Electric!$L243,0,-'Electric Calendarize'!$L252+'Electric Calendarize'!AO$4+1))</f>
        <v>407</v>
      </c>
      <c r="AP252">
        <f ca="1">IF(OR($L252&gt;AP$4,AP$4&gt;$L252+23),"",OFFSET(Electric!$L243,0,-'Electric Calendarize'!$L252+'Electric Calendarize'!AP$4+1))</f>
        <v>863</v>
      </c>
      <c r="AQ252">
        <f ca="1">IF(OR($L252&gt;AQ$4,AQ$4&gt;$L252+23),"",OFFSET(Electric!$L243,0,-'Electric Calendarize'!$L252+'Electric Calendarize'!AQ$4+1))</f>
        <v>717</v>
      </c>
      <c r="AR252">
        <f ca="1">IF(OR($L252&gt;AR$4,AR$4&gt;$L252+23),"",OFFSET(Electric!$L243,0,-'Electric Calendarize'!$L252+'Electric Calendarize'!AR$4+1))</f>
        <v>807</v>
      </c>
      <c r="AS252">
        <f ca="1">IF(OR($L252&gt;AS$4,AS$4&gt;$L252+23),"",OFFSET(Electric!$L243,0,-'Electric Calendarize'!$L252+'Electric Calendarize'!AS$4+1))</f>
        <v>1601</v>
      </c>
      <c r="AT252">
        <f ca="1">IF(OR($L252&gt;AT$4,AT$4&gt;$L252+23),"",OFFSET(Electric!$L243,0,-'Electric Calendarize'!$L252+'Electric Calendarize'!AT$4+1))</f>
        <v>1907</v>
      </c>
      <c r="AU252">
        <f ca="1">IF(OR($L252&gt;AU$4,AU$4&gt;$L252+23),"",OFFSET(Electric!$L243,0,-'Electric Calendarize'!$L252+'Electric Calendarize'!AU$4+1))</f>
        <v>1612</v>
      </c>
      <c r="AV252">
        <f ca="1">IF(OR($L252&gt;AV$4,AV$4&gt;$L252+23),"",OFFSET(Electric!$L243,0,-'Electric Calendarize'!$L252+'Electric Calendarize'!AV$4+1))</f>
        <v>1445</v>
      </c>
      <c r="AW252">
        <f ca="1">IF(OR($L252&gt;AW$4,AW$4&gt;$L252+23),"",OFFSET(Electric!$L243,0,-'Electric Calendarize'!$L252+'Electric Calendarize'!AW$4+1))</f>
        <v>1534</v>
      </c>
      <c r="AX252">
        <f ca="1">IF(OR($L252&gt;AX$4,AX$4&gt;$L252+23),"",OFFSET(Electric!$L243,0,-'Electric Calendarize'!$L252+'Electric Calendarize'!AX$4+1))</f>
        <v>1514</v>
      </c>
      <c r="AY252">
        <f ca="1">IF(OR($L252&gt;AY$4,AY$4&gt;$L252+23),"",OFFSET(Electric!$L243,0,-'Electric Calendarize'!$L252+'Electric Calendarize'!AY$4+1))</f>
        <v>1004</v>
      </c>
      <c r="AZ252">
        <f ca="1">IF(OR($L252&gt;AZ$4,AZ$4&gt;$L252+23),"",OFFSET(Electric!$L243,0,-'Electric Calendarize'!$L252+'Electric Calendarize'!AZ$4+1))</f>
        <v>1016</v>
      </c>
      <c r="BA252">
        <f ca="1">IF(OR($L252&gt;BA$4,BA$4&gt;$L252+23),"",OFFSET(Electric!$L243,0,-'Electric Calendarize'!$L252+'Electric Calendarize'!BA$4+1))</f>
        <v>994</v>
      </c>
      <c r="BB252">
        <f ca="1">IF(OR($L252&gt;BB$4,BB$4&gt;$L252+23),"",OFFSET(Electric!$L243,0,-'Electric Calendarize'!$L252+'Electric Calendarize'!BB$4+1))</f>
        <v>890</v>
      </c>
      <c r="BC252">
        <f ca="1">IF(OR($L252&gt;BC$4,BC$4&gt;$L252+23),"",OFFSET(Electric!$L243,0,-'Electric Calendarize'!$L252+'Electric Calendarize'!BC$4+1))</f>
        <v>880</v>
      </c>
      <c r="BD252">
        <f ca="1">IF(OR($L252&gt;BD$4,BD$4&gt;$L252+23),"",OFFSET(Electric!$L243,0,-'Electric Calendarize'!$L252+'Electric Calendarize'!BD$4+1))</f>
        <v>924</v>
      </c>
      <c r="BE252">
        <f ca="1">IF(OR($L252&gt;BE$4,BE$4&gt;$L252+23),"",OFFSET(Electric!$L243,0,-'Electric Calendarize'!$L252+'Electric Calendarize'!BE$4+1))</f>
        <v>1628</v>
      </c>
      <c r="BF252">
        <f ca="1">IF(OR($L252&gt;BF$4,BF$4&gt;$L252+23),"",OFFSET(Electric!$L243,0,-'Electric Calendarize'!$L252+'Electric Calendarize'!BF$4+1))</f>
        <v>0</v>
      </c>
      <c r="BG252">
        <f ca="1">IF(OR($L252&gt;BG$4,BG$4&gt;$L252+23),"",OFFSET(Electric!$L243,0,-'Electric Calendarize'!$L252+'Electric Calendarize'!BG$4+1))</f>
        <v>0</v>
      </c>
      <c r="BJ252" s="10" t="s">
        <v>37</v>
      </c>
      <c r="BK252">
        <f t="shared" si="519"/>
        <v>1</v>
      </c>
      <c r="BL252">
        <f t="shared" si="425"/>
        <v>0</v>
      </c>
      <c r="BM252">
        <f t="shared" si="426"/>
        <v>0</v>
      </c>
      <c r="BN252">
        <f t="shared" si="427"/>
        <v>0</v>
      </c>
      <c r="BO252">
        <f t="shared" si="428"/>
        <v>0</v>
      </c>
      <c r="BP252">
        <f t="shared" si="429"/>
        <v>0</v>
      </c>
      <c r="BQ252">
        <f t="shared" si="430"/>
        <v>0</v>
      </c>
      <c r="BR252">
        <f t="shared" si="431"/>
        <v>1</v>
      </c>
      <c r="BS252">
        <f t="shared" si="432"/>
        <v>1</v>
      </c>
      <c r="BT252">
        <f t="shared" si="433"/>
        <v>1</v>
      </c>
      <c r="BU252">
        <f t="shared" si="434"/>
        <v>1</v>
      </c>
      <c r="BV252">
        <f t="shared" si="435"/>
        <v>1</v>
      </c>
      <c r="BW252">
        <f t="shared" si="436"/>
        <v>1</v>
      </c>
      <c r="BX252">
        <f t="shared" si="437"/>
        <v>0</v>
      </c>
      <c r="BY252">
        <f t="shared" si="438"/>
        <v>0</v>
      </c>
      <c r="BZ252">
        <f t="shared" si="439"/>
        <v>0</v>
      </c>
      <c r="CA252">
        <f t="shared" si="440"/>
        <v>0</v>
      </c>
      <c r="CB252">
        <f t="shared" si="441"/>
        <v>0</v>
      </c>
      <c r="CC252">
        <f t="shared" si="442"/>
        <v>0</v>
      </c>
      <c r="CD252">
        <f t="shared" si="443"/>
        <v>1</v>
      </c>
      <c r="CE252">
        <f t="shared" si="444"/>
        <v>1</v>
      </c>
      <c r="CF252">
        <f t="shared" si="445"/>
        <v>1</v>
      </c>
      <c r="CG252">
        <f t="shared" si="446"/>
        <v>1</v>
      </c>
      <c r="CH252">
        <f t="shared" si="447"/>
        <v>1</v>
      </c>
      <c r="CI252">
        <f t="shared" si="448"/>
        <v>1</v>
      </c>
      <c r="CJ252">
        <f t="shared" si="449"/>
        <v>0</v>
      </c>
      <c r="CK252">
        <f t="shared" si="450"/>
        <v>0</v>
      </c>
      <c r="CL252">
        <f t="shared" si="451"/>
        <v>0</v>
      </c>
      <c r="CM252">
        <f t="shared" si="452"/>
        <v>0</v>
      </c>
      <c r="CN252">
        <f t="shared" si="453"/>
        <v>0</v>
      </c>
      <c r="CO252">
        <f t="shared" si="454"/>
        <v>0</v>
      </c>
      <c r="CP252">
        <f t="shared" si="455"/>
        <v>1</v>
      </c>
      <c r="CQ252">
        <f t="shared" si="456"/>
        <v>1</v>
      </c>
      <c r="CR252">
        <f t="shared" si="457"/>
        <v>1</v>
      </c>
      <c r="CS252">
        <f t="shared" si="458"/>
        <v>1</v>
      </c>
      <c r="CT252">
        <f t="shared" si="459"/>
        <v>1</v>
      </c>
      <c r="CU252">
        <f t="shared" si="460"/>
        <v>1</v>
      </c>
      <c r="CV252">
        <f t="shared" si="461"/>
        <v>0</v>
      </c>
      <c r="CW252">
        <f t="shared" si="462"/>
        <v>0</v>
      </c>
      <c r="CX252">
        <f t="shared" si="463"/>
        <v>0</v>
      </c>
      <c r="CY252">
        <f t="shared" si="464"/>
        <v>0</v>
      </c>
      <c r="CZ252">
        <f t="shared" si="465"/>
        <v>0</v>
      </c>
      <c r="DA252">
        <f t="shared" si="466"/>
        <v>0</v>
      </c>
      <c r="DB252">
        <f t="shared" si="467"/>
        <v>1</v>
      </c>
      <c r="DC252">
        <f t="shared" si="468"/>
        <v>1</v>
      </c>
      <c r="DF252" s="10" t="s">
        <v>37</v>
      </c>
      <c r="DG252" t="str">
        <f t="shared" ref="DG252:DV267" si="531">$K252</f>
        <v>2023_6</v>
      </c>
      <c r="DH252" t="str">
        <f t="shared" si="531"/>
        <v>2023_6</v>
      </c>
      <c r="DI252" t="str">
        <f t="shared" si="531"/>
        <v>2023_6</v>
      </c>
      <c r="DJ252" t="str">
        <f t="shared" si="531"/>
        <v>2023_6</v>
      </c>
      <c r="DK252" t="str">
        <f t="shared" si="531"/>
        <v>2023_6</v>
      </c>
      <c r="DL252" t="str">
        <f t="shared" si="531"/>
        <v>2023_6</v>
      </c>
      <c r="DM252" t="str">
        <f t="shared" si="531"/>
        <v>2023_6</v>
      </c>
      <c r="DN252" t="str">
        <f t="shared" si="531"/>
        <v>2023_6</v>
      </c>
      <c r="DO252" t="str">
        <f t="shared" si="531"/>
        <v>2023_6</v>
      </c>
      <c r="DP252" t="str">
        <f t="shared" si="531"/>
        <v>2023_6</v>
      </c>
      <c r="DQ252" t="str">
        <f t="shared" si="531"/>
        <v>2023_6</v>
      </c>
      <c r="DR252" t="str">
        <f t="shared" si="531"/>
        <v>2023_6</v>
      </c>
      <c r="DS252" t="str">
        <f t="shared" si="531"/>
        <v>2023_6</v>
      </c>
      <c r="DT252" t="str">
        <f t="shared" si="531"/>
        <v>2023_6</v>
      </c>
      <c r="DU252" t="str">
        <f t="shared" si="531"/>
        <v>2023_6</v>
      </c>
      <c r="DV252" t="str">
        <f t="shared" si="531"/>
        <v>2023_6</v>
      </c>
      <c r="DW252" t="str">
        <f t="shared" si="530"/>
        <v>2023_6</v>
      </c>
      <c r="DX252" t="str">
        <f t="shared" si="530"/>
        <v>2023_6</v>
      </c>
      <c r="DY252" t="str">
        <f t="shared" si="530"/>
        <v>2023_6</v>
      </c>
      <c r="DZ252" t="str">
        <f t="shared" si="530"/>
        <v>2023_6</v>
      </c>
      <c r="EA252" t="str">
        <f t="shared" si="530"/>
        <v>2023_6</v>
      </c>
      <c r="EB252" t="str">
        <f t="shared" si="530"/>
        <v>2023_6</v>
      </c>
      <c r="EC252" t="str">
        <f t="shared" si="530"/>
        <v>2023_6</v>
      </c>
      <c r="ED252" t="str">
        <f t="shared" si="530"/>
        <v>2023_6</v>
      </c>
      <c r="EE252" t="str">
        <f t="shared" si="530"/>
        <v>2023_6</v>
      </c>
      <c r="EF252" t="str">
        <f t="shared" si="530"/>
        <v>2023_6</v>
      </c>
      <c r="EG252" t="str">
        <f t="shared" si="530"/>
        <v>2023_6</v>
      </c>
      <c r="EH252" t="str">
        <f t="shared" si="530"/>
        <v>2023_6</v>
      </c>
      <c r="EI252" t="str">
        <f t="shared" si="530"/>
        <v>2023_6</v>
      </c>
      <c r="EJ252" t="str">
        <f t="shared" si="530"/>
        <v>2023_6</v>
      </c>
      <c r="EK252" t="str">
        <f t="shared" si="529"/>
        <v>2023_6</v>
      </c>
      <c r="EL252" t="str">
        <f t="shared" si="529"/>
        <v>2023_6</v>
      </c>
      <c r="EM252" t="str">
        <f t="shared" si="529"/>
        <v>2023_6</v>
      </c>
      <c r="EN252" t="str">
        <f t="shared" si="529"/>
        <v>2023_6</v>
      </c>
      <c r="EO252" t="str">
        <f t="shared" si="529"/>
        <v>2023_6</v>
      </c>
      <c r="EP252" t="str">
        <f t="shared" si="529"/>
        <v>2023_6</v>
      </c>
      <c r="EQ252" t="str">
        <f t="shared" si="529"/>
        <v>2023_6</v>
      </c>
      <c r="ER252" t="str">
        <f t="shared" si="529"/>
        <v>2023_6</v>
      </c>
      <c r="ES252" t="str">
        <f t="shared" si="529"/>
        <v>2023_6</v>
      </c>
      <c r="ET252" t="str">
        <f t="shared" si="529"/>
        <v>2023_6</v>
      </c>
      <c r="EU252" t="str">
        <f t="shared" si="529"/>
        <v>2023_6</v>
      </c>
      <c r="EV252" t="str">
        <f t="shared" si="529"/>
        <v>2023_6</v>
      </c>
      <c r="EW252" t="str">
        <f t="shared" si="529"/>
        <v>2023_6</v>
      </c>
      <c r="EX252" t="str">
        <f t="shared" si="529"/>
        <v>2023_6</v>
      </c>
      <c r="EY252" t="str">
        <f t="shared" si="529"/>
        <v>2023_6</v>
      </c>
      <c r="FB252" s="10" t="s">
        <v>37</v>
      </c>
      <c r="FC252">
        <f t="shared" si="521"/>
        <v>0</v>
      </c>
      <c r="FD252">
        <f t="shared" si="471"/>
        <v>0</v>
      </c>
      <c r="FE252">
        <f t="shared" si="472"/>
        <v>0</v>
      </c>
      <c r="FF252">
        <f t="shared" si="473"/>
        <v>0</v>
      </c>
      <c r="FG252">
        <f t="shared" si="474"/>
        <v>0</v>
      </c>
      <c r="FH252">
        <f t="shared" si="475"/>
        <v>0</v>
      </c>
      <c r="FI252">
        <f t="shared" si="476"/>
        <v>0</v>
      </c>
      <c r="FJ252">
        <f t="shared" si="477"/>
        <v>0</v>
      </c>
      <c r="FK252">
        <f t="shared" si="478"/>
        <v>0</v>
      </c>
      <c r="FL252">
        <f t="shared" si="479"/>
        <v>0</v>
      </c>
      <c r="FM252">
        <f t="shared" si="480"/>
        <v>0</v>
      </c>
      <c r="FN252">
        <f t="shared" si="481"/>
        <v>0</v>
      </c>
      <c r="FO252">
        <f t="shared" si="482"/>
        <v>0</v>
      </c>
      <c r="FP252">
        <f t="shared" si="483"/>
        <v>0</v>
      </c>
      <c r="FQ252">
        <f t="shared" si="484"/>
        <v>0</v>
      </c>
      <c r="FR252">
        <f t="shared" si="485"/>
        <v>0</v>
      </c>
      <c r="FS252">
        <f t="shared" si="486"/>
        <v>0</v>
      </c>
      <c r="FT252">
        <f t="shared" si="487"/>
        <v>0</v>
      </c>
      <c r="FU252">
        <f t="shared" si="488"/>
        <v>0</v>
      </c>
      <c r="FV252">
        <f t="shared" si="489"/>
        <v>0</v>
      </c>
      <c r="FW252">
        <f t="shared" si="490"/>
        <v>0</v>
      </c>
      <c r="FX252">
        <f t="shared" si="491"/>
        <v>0</v>
      </c>
      <c r="FY252">
        <f t="shared" si="492"/>
        <v>0</v>
      </c>
      <c r="FZ252">
        <f t="shared" si="493"/>
        <v>0</v>
      </c>
      <c r="GA252">
        <f t="shared" si="494"/>
        <v>0</v>
      </c>
      <c r="GB252">
        <f t="shared" si="495"/>
        <v>0</v>
      </c>
      <c r="GC252">
        <f t="shared" si="496"/>
        <v>0</v>
      </c>
      <c r="GD252">
        <f t="shared" si="497"/>
        <v>0</v>
      </c>
      <c r="GE252">
        <f t="shared" si="498"/>
        <v>0</v>
      </c>
      <c r="GF252">
        <f t="shared" si="499"/>
        <v>0</v>
      </c>
      <c r="GG252">
        <f t="shared" si="500"/>
        <v>0</v>
      </c>
      <c r="GH252">
        <f t="shared" si="501"/>
        <v>0</v>
      </c>
      <c r="GI252">
        <f t="shared" si="502"/>
        <v>0</v>
      </c>
      <c r="GJ252">
        <f t="shared" si="503"/>
        <v>0</v>
      </c>
      <c r="GK252">
        <f t="shared" si="504"/>
        <v>0</v>
      </c>
      <c r="GL252">
        <f t="shared" si="505"/>
        <v>0</v>
      </c>
      <c r="GM252">
        <f t="shared" si="506"/>
        <v>0</v>
      </c>
      <c r="GN252">
        <f t="shared" si="507"/>
        <v>0</v>
      </c>
      <c r="GO252">
        <f t="shared" si="508"/>
        <v>1</v>
      </c>
      <c r="GP252">
        <f t="shared" si="509"/>
        <v>1</v>
      </c>
      <c r="GQ252">
        <f t="shared" si="510"/>
        <v>1</v>
      </c>
      <c r="GR252">
        <f t="shared" si="511"/>
        <v>1</v>
      </c>
      <c r="GS252">
        <f t="shared" si="512"/>
        <v>1</v>
      </c>
      <c r="GT252">
        <f t="shared" si="513"/>
        <v>1</v>
      </c>
      <c r="GU252">
        <f t="shared" si="514"/>
        <v>1</v>
      </c>
      <c r="GX252" s="10"/>
    </row>
    <row r="253" spans="1:206" x14ac:dyDescent="0.3">
      <c r="A253" s="9" t="s">
        <v>33</v>
      </c>
      <c r="B253" s="80"/>
      <c r="C253" s="9">
        <v>3140807000</v>
      </c>
      <c r="D253" s="9" t="s">
        <v>503</v>
      </c>
      <c r="E253" s="9" t="s">
        <v>39</v>
      </c>
      <c r="F253" s="9" t="s">
        <v>35</v>
      </c>
      <c r="G253" s="9" t="s">
        <v>266</v>
      </c>
      <c r="H253" s="10">
        <v>45091</v>
      </c>
      <c r="I253" s="9">
        <f t="shared" si="515"/>
        <v>2023</v>
      </c>
      <c r="J253" s="9">
        <f t="shared" si="516"/>
        <v>6</v>
      </c>
      <c r="K253" s="9" t="str">
        <f t="shared" si="517"/>
        <v>2023_6</v>
      </c>
      <c r="L253">
        <f>MAX(0,VLOOKUP($K253,lookups!$A$1:$B$45,2,0)-12)</f>
        <v>26</v>
      </c>
      <c r="M253" s="40">
        <f t="shared" si="518"/>
        <v>45078</v>
      </c>
      <c r="N253" s="10" t="s">
        <v>37</v>
      </c>
      <c r="O253" t="str">
        <f ca="1">IF(OR($L253&gt;O$4,O$4&gt;$L253+23),"",OFFSET(Electric!$L244,0,-'Electric Calendarize'!$L253+'Electric Calendarize'!O$4+1))</f>
        <v/>
      </c>
      <c r="P253" t="str">
        <f ca="1">IF(OR($L253&gt;P$4,P$4&gt;$L253+23),"",OFFSET(Electric!$L244,0,-'Electric Calendarize'!$L253+'Electric Calendarize'!P$4+1))</f>
        <v/>
      </c>
      <c r="Q253" t="str">
        <f ca="1">IF(OR($L253&gt;Q$4,Q$4&gt;$L253+23),"",OFFSET(Electric!$L244,0,-'Electric Calendarize'!$L253+'Electric Calendarize'!Q$4+1))</f>
        <v/>
      </c>
      <c r="R253" t="str">
        <f ca="1">IF(OR($L253&gt;R$4,R$4&gt;$L253+23),"",OFFSET(Electric!$L244,0,-'Electric Calendarize'!$L253+'Electric Calendarize'!R$4+1))</f>
        <v/>
      </c>
      <c r="S253" t="str">
        <f ca="1">IF(OR($L253&gt;S$4,S$4&gt;$L253+23),"",OFFSET(Electric!$L244,0,-'Electric Calendarize'!$L253+'Electric Calendarize'!S$4+1))</f>
        <v/>
      </c>
      <c r="T253" t="str">
        <f ca="1">IF(OR($L253&gt;T$4,T$4&gt;$L253+23),"",OFFSET(Electric!$L244,0,-'Electric Calendarize'!$L253+'Electric Calendarize'!T$4+1))</f>
        <v/>
      </c>
      <c r="U253" t="str">
        <f ca="1">IF(OR($L253&gt;U$4,U$4&gt;$L253+23),"",OFFSET(Electric!$L244,0,-'Electric Calendarize'!$L253+'Electric Calendarize'!U$4+1))</f>
        <v/>
      </c>
      <c r="V253" t="str">
        <f ca="1">IF(OR($L253&gt;V$4,V$4&gt;$L253+23),"",OFFSET(Electric!$L244,0,-'Electric Calendarize'!$L253+'Electric Calendarize'!V$4+1))</f>
        <v/>
      </c>
      <c r="W253" t="str">
        <f ca="1">IF(OR($L253&gt;W$4,W$4&gt;$L253+23),"",OFFSET(Electric!$L244,0,-'Electric Calendarize'!$L253+'Electric Calendarize'!W$4+1))</f>
        <v/>
      </c>
      <c r="X253" t="str">
        <f ca="1">IF(OR($L253&gt;X$4,X$4&gt;$L253+23),"",OFFSET(Electric!$L244,0,-'Electric Calendarize'!$L253+'Electric Calendarize'!X$4+1))</f>
        <v/>
      </c>
      <c r="Y253" t="str">
        <f ca="1">IF(OR($L253&gt;Y$4,Y$4&gt;$L253+23),"",OFFSET(Electric!$L244,0,-'Electric Calendarize'!$L253+'Electric Calendarize'!Y$4+1))</f>
        <v/>
      </c>
      <c r="Z253" t="str">
        <f ca="1">IF(OR($L253&gt;Z$4,Z$4&gt;$L253+23),"",OFFSET(Electric!$L244,0,-'Electric Calendarize'!$L253+'Electric Calendarize'!Z$4+1))</f>
        <v/>
      </c>
      <c r="AA253" t="str">
        <f ca="1">IF(OR($L253&gt;AA$4,AA$4&gt;$L253+23),"",OFFSET(Electric!$L244,0,-'Electric Calendarize'!$L253+'Electric Calendarize'!AA$4+1))</f>
        <v/>
      </c>
      <c r="AB253" t="str">
        <f ca="1">IF(OR($L253&gt;AB$4,AB$4&gt;$L253+23),"",OFFSET(Electric!$L244,0,-'Electric Calendarize'!$L253+'Electric Calendarize'!AB$4+1))</f>
        <v/>
      </c>
      <c r="AC253" t="str">
        <f ca="1">IF(OR($L253&gt;AC$4,AC$4&gt;$L253+23),"",OFFSET(Electric!$L244,0,-'Electric Calendarize'!$L253+'Electric Calendarize'!AC$4+1))</f>
        <v/>
      </c>
      <c r="AD253" t="str">
        <f ca="1">IF(OR($L253&gt;AD$4,AD$4&gt;$L253+23),"",OFFSET(Electric!$L244,0,-'Electric Calendarize'!$L253+'Electric Calendarize'!AD$4+1))</f>
        <v/>
      </c>
      <c r="AE253" t="str">
        <f ca="1">IF(OR($L253&gt;AE$4,AE$4&gt;$L253+23),"",OFFSET(Electric!$L244,0,-'Electric Calendarize'!$L253+'Electric Calendarize'!AE$4+1))</f>
        <v/>
      </c>
      <c r="AF253" t="str">
        <f ca="1">IF(OR($L253&gt;AF$4,AF$4&gt;$L253+23),"",OFFSET(Electric!$L244,0,-'Electric Calendarize'!$L253+'Electric Calendarize'!AF$4+1))</f>
        <v/>
      </c>
      <c r="AG253" t="str">
        <f ca="1">IF(OR($L253&gt;AG$4,AG$4&gt;$L253+23),"",OFFSET(Electric!$L244,0,-'Electric Calendarize'!$L253+'Electric Calendarize'!AG$4+1))</f>
        <v/>
      </c>
      <c r="AH253" t="str">
        <f ca="1">IF(OR($L253&gt;AH$4,AH$4&gt;$L253+23),"",OFFSET(Electric!$L244,0,-'Electric Calendarize'!$L253+'Electric Calendarize'!AH$4+1))</f>
        <v/>
      </c>
      <c r="AI253" t="str">
        <f ca="1">IF(OR($L253&gt;AI$4,AI$4&gt;$L253+23),"",OFFSET(Electric!$L244,0,-'Electric Calendarize'!$L253+'Electric Calendarize'!AI$4+1))</f>
        <v/>
      </c>
      <c r="AJ253" t="str">
        <f ca="1">IF(OR($L253&gt;AJ$4,AJ$4&gt;$L253+23),"",OFFSET(Electric!$L244,0,-'Electric Calendarize'!$L253+'Electric Calendarize'!AJ$4+1))</f>
        <v/>
      </c>
      <c r="AK253" t="str">
        <f ca="1">IF(OR($L253&gt;AK$4,AK$4&gt;$L253+23),"",OFFSET(Electric!$L244,0,-'Electric Calendarize'!$L253+'Electric Calendarize'!AK$4+1))</f>
        <v/>
      </c>
      <c r="AL253" t="str">
        <f ca="1">IF(OR($L253&gt;AL$4,AL$4&gt;$L253+23),"",OFFSET(Electric!$L244,0,-'Electric Calendarize'!$L253+'Electric Calendarize'!AL$4+1))</f>
        <v/>
      </c>
      <c r="AM253" t="str">
        <f ca="1">IF(OR($L253&gt;AM$4,AM$4&gt;$L253+23),"",OFFSET(Electric!$L244,0,-'Electric Calendarize'!$L253+'Electric Calendarize'!AM$4+1))</f>
        <v/>
      </c>
      <c r="AN253" t="str">
        <f ca="1">IF(OR($L253&gt;AN$4,AN$4&gt;$L253+23),"",OFFSET(Electric!$L244,0,-'Electric Calendarize'!$L253+'Electric Calendarize'!AN$4+1))</f>
        <v/>
      </c>
      <c r="AO253">
        <f ca="1">IF(OR($L253&gt;AO$4,AO$4&gt;$L253+23),"",OFFSET(Electric!$L244,0,-'Electric Calendarize'!$L253+'Electric Calendarize'!AO$4+1))</f>
        <v>714</v>
      </c>
      <c r="AP253">
        <f ca="1">IF(OR($L253&gt;AP$4,AP$4&gt;$L253+23),"",OFFSET(Electric!$L244,0,-'Electric Calendarize'!$L253+'Electric Calendarize'!AP$4+1))</f>
        <v>876</v>
      </c>
      <c r="AQ253">
        <f ca="1">IF(OR($L253&gt;AQ$4,AQ$4&gt;$L253+23),"",OFFSET(Electric!$L244,0,-'Electric Calendarize'!$L253+'Electric Calendarize'!AQ$4+1))</f>
        <v>799</v>
      </c>
      <c r="AR253">
        <f ca="1">IF(OR($L253&gt;AR$4,AR$4&gt;$L253+23),"",OFFSET(Electric!$L244,0,-'Electric Calendarize'!$L253+'Electric Calendarize'!AR$4+1))</f>
        <v>460</v>
      </c>
      <c r="AS253">
        <f ca="1">IF(OR($L253&gt;AS$4,AS$4&gt;$L253+23),"",OFFSET(Electric!$L244,0,-'Electric Calendarize'!$L253+'Electric Calendarize'!AS$4+1))</f>
        <v>496</v>
      </c>
      <c r="AT253">
        <f ca="1">IF(OR($L253&gt;AT$4,AT$4&gt;$L253+23),"",OFFSET(Electric!$L244,0,-'Electric Calendarize'!$L253+'Electric Calendarize'!AT$4+1))</f>
        <v>610</v>
      </c>
      <c r="AU253">
        <f ca="1">IF(OR($L253&gt;AU$4,AU$4&gt;$L253+23),"",OFFSET(Electric!$L244,0,-'Electric Calendarize'!$L253+'Electric Calendarize'!AU$4+1))</f>
        <v>607</v>
      </c>
      <c r="AV253">
        <f ca="1">IF(OR($L253&gt;AV$4,AV$4&gt;$L253+23),"",OFFSET(Electric!$L244,0,-'Electric Calendarize'!$L253+'Electric Calendarize'!AV$4+1))</f>
        <v>728</v>
      </c>
      <c r="AW253">
        <f ca="1">IF(OR($L253&gt;AW$4,AW$4&gt;$L253+23),"",OFFSET(Electric!$L244,0,-'Electric Calendarize'!$L253+'Electric Calendarize'!AW$4+1))</f>
        <v>494</v>
      </c>
      <c r="AX253">
        <f ca="1">IF(OR($L253&gt;AX$4,AX$4&gt;$L253+23),"",OFFSET(Electric!$L244,0,-'Electric Calendarize'!$L253+'Electric Calendarize'!AX$4+1))</f>
        <v>613</v>
      </c>
      <c r="AY253">
        <f ca="1">IF(OR($L253&gt;AY$4,AY$4&gt;$L253+23),"",OFFSET(Electric!$L244,0,-'Electric Calendarize'!$L253+'Electric Calendarize'!AY$4+1))</f>
        <v>564</v>
      </c>
      <c r="AZ253">
        <f ca="1">IF(OR($L253&gt;AZ$4,AZ$4&gt;$L253+23),"",OFFSET(Electric!$L244,0,-'Electric Calendarize'!$L253+'Electric Calendarize'!AZ$4+1))</f>
        <v>484</v>
      </c>
      <c r="BA253">
        <f ca="1">IF(OR($L253&gt;BA$4,BA$4&gt;$L253+23),"",OFFSET(Electric!$L244,0,-'Electric Calendarize'!$L253+'Electric Calendarize'!BA$4+1))</f>
        <v>569</v>
      </c>
      <c r="BB253">
        <f ca="1">IF(OR($L253&gt;BB$4,BB$4&gt;$L253+23),"",OFFSET(Electric!$L244,0,-'Electric Calendarize'!$L253+'Electric Calendarize'!BB$4+1))</f>
        <v>681</v>
      </c>
      <c r="BC253">
        <f ca="1">IF(OR($L253&gt;BC$4,BC$4&gt;$L253+23),"",OFFSET(Electric!$L244,0,-'Electric Calendarize'!$L253+'Electric Calendarize'!BC$4+1))</f>
        <v>543</v>
      </c>
      <c r="BD253">
        <f ca="1">IF(OR($L253&gt;BD$4,BD$4&gt;$L253+23),"",OFFSET(Electric!$L244,0,-'Electric Calendarize'!$L253+'Electric Calendarize'!BD$4+1))</f>
        <v>503</v>
      </c>
      <c r="BE253">
        <f ca="1">IF(OR($L253&gt;BE$4,BE$4&gt;$L253+23),"",OFFSET(Electric!$L244,0,-'Electric Calendarize'!$L253+'Electric Calendarize'!BE$4+1))</f>
        <v>476</v>
      </c>
      <c r="BF253">
        <f ca="1">IF(OR($L253&gt;BF$4,BF$4&gt;$L253+23),"",OFFSET(Electric!$L244,0,-'Electric Calendarize'!$L253+'Electric Calendarize'!BF$4+1))</f>
        <v>700</v>
      </c>
      <c r="BG253">
        <f ca="1">IF(OR($L253&gt;BG$4,BG$4&gt;$L253+23),"",OFFSET(Electric!$L244,0,-'Electric Calendarize'!$L253+'Electric Calendarize'!BG$4+1))</f>
        <v>0</v>
      </c>
      <c r="BJ253" s="10" t="s">
        <v>37</v>
      </c>
      <c r="BK253">
        <f t="shared" si="519"/>
        <v>1</v>
      </c>
      <c r="BL253">
        <f t="shared" si="425"/>
        <v>0</v>
      </c>
      <c r="BM253">
        <f t="shared" si="426"/>
        <v>0</v>
      </c>
      <c r="BN253">
        <f t="shared" si="427"/>
        <v>0</v>
      </c>
      <c r="BO253">
        <f t="shared" si="428"/>
        <v>0</v>
      </c>
      <c r="BP253">
        <f t="shared" si="429"/>
        <v>0</v>
      </c>
      <c r="BQ253">
        <f t="shared" si="430"/>
        <v>0</v>
      </c>
      <c r="BR253">
        <f t="shared" si="431"/>
        <v>1</v>
      </c>
      <c r="BS253">
        <f t="shared" si="432"/>
        <v>1</v>
      </c>
      <c r="BT253">
        <f t="shared" si="433"/>
        <v>1</v>
      </c>
      <c r="BU253">
        <f t="shared" si="434"/>
        <v>1</v>
      </c>
      <c r="BV253">
        <f t="shared" si="435"/>
        <v>1</v>
      </c>
      <c r="BW253">
        <f t="shared" si="436"/>
        <v>1</v>
      </c>
      <c r="BX253">
        <f t="shared" si="437"/>
        <v>0</v>
      </c>
      <c r="BY253">
        <f t="shared" si="438"/>
        <v>0</v>
      </c>
      <c r="BZ253">
        <f t="shared" si="439"/>
        <v>0</v>
      </c>
      <c r="CA253">
        <f t="shared" si="440"/>
        <v>0</v>
      </c>
      <c r="CB253">
        <f t="shared" si="441"/>
        <v>0</v>
      </c>
      <c r="CC253">
        <f t="shared" si="442"/>
        <v>0</v>
      </c>
      <c r="CD253">
        <f t="shared" si="443"/>
        <v>1</v>
      </c>
      <c r="CE253">
        <f t="shared" si="444"/>
        <v>1</v>
      </c>
      <c r="CF253">
        <f t="shared" si="445"/>
        <v>1</v>
      </c>
      <c r="CG253">
        <f t="shared" si="446"/>
        <v>1</v>
      </c>
      <c r="CH253">
        <f t="shared" si="447"/>
        <v>1</v>
      </c>
      <c r="CI253">
        <f t="shared" si="448"/>
        <v>1</v>
      </c>
      <c r="CJ253">
        <f t="shared" si="449"/>
        <v>0</v>
      </c>
      <c r="CK253">
        <f t="shared" si="450"/>
        <v>0</v>
      </c>
      <c r="CL253">
        <f t="shared" si="451"/>
        <v>0</v>
      </c>
      <c r="CM253">
        <f t="shared" si="452"/>
        <v>0</v>
      </c>
      <c r="CN253">
        <f t="shared" si="453"/>
        <v>0</v>
      </c>
      <c r="CO253">
        <f t="shared" si="454"/>
        <v>0</v>
      </c>
      <c r="CP253">
        <f t="shared" si="455"/>
        <v>1</v>
      </c>
      <c r="CQ253">
        <f t="shared" si="456"/>
        <v>1</v>
      </c>
      <c r="CR253">
        <f t="shared" si="457"/>
        <v>1</v>
      </c>
      <c r="CS253">
        <f t="shared" si="458"/>
        <v>1</v>
      </c>
      <c r="CT253">
        <f t="shared" si="459"/>
        <v>1</v>
      </c>
      <c r="CU253">
        <f t="shared" si="460"/>
        <v>1</v>
      </c>
      <c r="CV253">
        <f t="shared" si="461"/>
        <v>0</v>
      </c>
      <c r="CW253">
        <f t="shared" si="462"/>
        <v>0</v>
      </c>
      <c r="CX253">
        <f t="shared" si="463"/>
        <v>0</v>
      </c>
      <c r="CY253">
        <f t="shared" si="464"/>
        <v>0</v>
      </c>
      <c r="CZ253">
        <f t="shared" si="465"/>
        <v>0</v>
      </c>
      <c r="DA253">
        <f t="shared" si="466"/>
        <v>0</v>
      </c>
      <c r="DB253">
        <f t="shared" si="467"/>
        <v>1</v>
      </c>
      <c r="DC253">
        <f t="shared" si="468"/>
        <v>1</v>
      </c>
      <c r="DF253" s="10" t="s">
        <v>37</v>
      </c>
      <c r="DG253" t="str">
        <f t="shared" si="531"/>
        <v>2023_6</v>
      </c>
      <c r="DH253" t="str">
        <f t="shared" si="531"/>
        <v>2023_6</v>
      </c>
      <c r="DI253" t="str">
        <f t="shared" si="531"/>
        <v>2023_6</v>
      </c>
      <c r="DJ253" t="str">
        <f t="shared" si="531"/>
        <v>2023_6</v>
      </c>
      <c r="DK253" t="str">
        <f t="shared" si="531"/>
        <v>2023_6</v>
      </c>
      <c r="DL253" t="str">
        <f t="shared" si="531"/>
        <v>2023_6</v>
      </c>
      <c r="DM253" t="str">
        <f t="shared" si="531"/>
        <v>2023_6</v>
      </c>
      <c r="DN253" t="str">
        <f t="shared" si="531"/>
        <v>2023_6</v>
      </c>
      <c r="DO253" t="str">
        <f t="shared" si="531"/>
        <v>2023_6</v>
      </c>
      <c r="DP253" t="str">
        <f t="shared" si="531"/>
        <v>2023_6</v>
      </c>
      <c r="DQ253" t="str">
        <f t="shared" si="531"/>
        <v>2023_6</v>
      </c>
      <c r="DR253" t="str">
        <f t="shared" si="531"/>
        <v>2023_6</v>
      </c>
      <c r="DS253" t="str">
        <f t="shared" si="531"/>
        <v>2023_6</v>
      </c>
      <c r="DT253" t="str">
        <f t="shared" si="531"/>
        <v>2023_6</v>
      </c>
      <c r="DU253" t="str">
        <f t="shared" si="531"/>
        <v>2023_6</v>
      </c>
      <c r="DV253" t="str">
        <f t="shared" si="531"/>
        <v>2023_6</v>
      </c>
      <c r="DW253" t="str">
        <f t="shared" si="530"/>
        <v>2023_6</v>
      </c>
      <c r="DX253" t="str">
        <f t="shared" si="530"/>
        <v>2023_6</v>
      </c>
      <c r="DY253" t="str">
        <f t="shared" si="530"/>
        <v>2023_6</v>
      </c>
      <c r="DZ253" t="str">
        <f t="shared" si="530"/>
        <v>2023_6</v>
      </c>
      <c r="EA253" t="str">
        <f t="shared" si="530"/>
        <v>2023_6</v>
      </c>
      <c r="EB253" t="str">
        <f t="shared" si="530"/>
        <v>2023_6</v>
      </c>
      <c r="EC253" t="str">
        <f t="shared" si="530"/>
        <v>2023_6</v>
      </c>
      <c r="ED253" t="str">
        <f t="shared" si="530"/>
        <v>2023_6</v>
      </c>
      <c r="EE253" t="str">
        <f t="shared" si="530"/>
        <v>2023_6</v>
      </c>
      <c r="EF253" t="str">
        <f t="shared" si="530"/>
        <v>2023_6</v>
      </c>
      <c r="EG253" t="str">
        <f t="shared" si="530"/>
        <v>2023_6</v>
      </c>
      <c r="EH253" t="str">
        <f t="shared" si="530"/>
        <v>2023_6</v>
      </c>
      <c r="EI253" t="str">
        <f t="shared" si="530"/>
        <v>2023_6</v>
      </c>
      <c r="EJ253" t="str">
        <f t="shared" si="530"/>
        <v>2023_6</v>
      </c>
      <c r="EK253" t="str">
        <f t="shared" si="529"/>
        <v>2023_6</v>
      </c>
      <c r="EL253" t="str">
        <f t="shared" si="529"/>
        <v>2023_6</v>
      </c>
      <c r="EM253" t="str">
        <f t="shared" si="529"/>
        <v>2023_6</v>
      </c>
      <c r="EN253" t="str">
        <f t="shared" si="529"/>
        <v>2023_6</v>
      </c>
      <c r="EO253" t="str">
        <f t="shared" si="529"/>
        <v>2023_6</v>
      </c>
      <c r="EP253" t="str">
        <f t="shared" si="529"/>
        <v>2023_6</v>
      </c>
      <c r="EQ253" t="str">
        <f t="shared" si="529"/>
        <v>2023_6</v>
      </c>
      <c r="ER253" t="str">
        <f t="shared" si="529"/>
        <v>2023_6</v>
      </c>
      <c r="ES253" t="str">
        <f t="shared" si="529"/>
        <v>2023_6</v>
      </c>
      <c r="ET253" t="str">
        <f t="shared" si="529"/>
        <v>2023_6</v>
      </c>
      <c r="EU253" t="str">
        <f t="shared" si="529"/>
        <v>2023_6</v>
      </c>
      <c r="EV253" t="str">
        <f t="shared" si="529"/>
        <v>2023_6</v>
      </c>
      <c r="EW253" t="str">
        <f t="shared" si="529"/>
        <v>2023_6</v>
      </c>
      <c r="EX253" t="str">
        <f t="shared" si="529"/>
        <v>2023_6</v>
      </c>
      <c r="EY253" t="str">
        <f t="shared" si="529"/>
        <v>2023_6</v>
      </c>
      <c r="FB253" s="10" t="s">
        <v>37</v>
      </c>
      <c r="FC253">
        <f t="shared" si="521"/>
        <v>0</v>
      </c>
      <c r="FD253">
        <f t="shared" si="471"/>
        <v>0</v>
      </c>
      <c r="FE253">
        <f t="shared" si="472"/>
        <v>0</v>
      </c>
      <c r="FF253">
        <f t="shared" si="473"/>
        <v>0</v>
      </c>
      <c r="FG253">
        <f t="shared" si="474"/>
        <v>0</v>
      </c>
      <c r="FH253">
        <f t="shared" si="475"/>
        <v>0</v>
      </c>
      <c r="FI253">
        <f t="shared" si="476"/>
        <v>0</v>
      </c>
      <c r="FJ253">
        <f t="shared" si="477"/>
        <v>0</v>
      </c>
      <c r="FK253">
        <f t="shared" si="478"/>
        <v>0</v>
      </c>
      <c r="FL253">
        <f t="shared" si="479"/>
        <v>0</v>
      </c>
      <c r="FM253">
        <f t="shared" si="480"/>
        <v>0</v>
      </c>
      <c r="FN253">
        <f t="shared" si="481"/>
        <v>0</v>
      </c>
      <c r="FO253">
        <f t="shared" si="482"/>
        <v>0</v>
      </c>
      <c r="FP253">
        <f t="shared" si="483"/>
        <v>0</v>
      </c>
      <c r="FQ253">
        <f t="shared" si="484"/>
        <v>0</v>
      </c>
      <c r="FR253">
        <f t="shared" si="485"/>
        <v>0</v>
      </c>
      <c r="FS253">
        <f t="shared" si="486"/>
        <v>0</v>
      </c>
      <c r="FT253">
        <f t="shared" si="487"/>
        <v>0</v>
      </c>
      <c r="FU253">
        <f t="shared" si="488"/>
        <v>0</v>
      </c>
      <c r="FV253">
        <f t="shared" si="489"/>
        <v>0</v>
      </c>
      <c r="FW253">
        <f t="shared" si="490"/>
        <v>0</v>
      </c>
      <c r="FX253">
        <f t="shared" si="491"/>
        <v>0</v>
      </c>
      <c r="FY253">
        <f t="shared" si="492"/>
        <v>0</v>
      </c>
      <c r="FZ253">
        <f t="shared" si="493"/>
        <v>0</v>
      </c>
      <c r="GA253">
        <f t="shared" si="494"/>
        <v>0</v>
      </c>
      <c r="GB253">
        <f t="shared" si="495"/>
        <v>0</v>
      </c>
      <c r="GC253">
        <f t="shared" si="496"/>
        <v>0</v>
      </c>
      <c r="GD253">
        <f t="shared" si="497"/>
        <v>0</v>
      </c>
      <c r="GE253">
        <f t="shared" si="498"/>
        <v>0</v>
      </c>
      <c r="GF253">
        <f t="shared" si="499"/>
        <v>0</v>
      </c>
      <c r="GG253">
        <f t="shared" si="500"/>
        <v>0</v>
      </c>
      <c r="GH253">
        <f t="shared" si="501"/>
        <v>0</v>
      </c>
      <c r="GI253">
        <f t="shared" si="502"/>
        <v>0</v>
      </c>
      <c r="GJ253">
        <f t="shared" si="503"/>
        <v>0</v>
      </c>
      <c r="GK253">
        <f t="shared" si="504"/>
        <v>0</v>
      </c>
      <c r="GL253">
        <f t="shared" si="505"/>
        <v>0</v>
      </c>
      <c r="GM253">
        <f t="shared" si="506"/>
        <v>0</v>
      </c>
      <c r="GN253">
        <f t="shared" si="507"/>
        <v>0</v>
      </c>
      <c r="GO253">
        <f t="shared" si="508"/>
        <v>1</v>
      </c>
      <c r="GP253">
        <f t="shared" si="509"/>
        <v>1</v>
      </c>
      <c r="GQ253">
        <f t="shared" si="510"/>
        <v>1</v>
      </c>
      <c r="GR253">
        <f t="shared" si="511"/>
        <v>1</v>
      </c>
      <c r="GS253">
        <f t="shared" si="512"/>
        <v>1</v>
      </c>
      <c r="GT253">
        <f t="shared" si="513"/>
        <v>1</v>
      </c>
      <c r="GU253">
        <f t="shared" si="514"/>
        <v>1</v>
      </c>
      <c r="GX253" s="10"/>
    </row>
    <row r="254" spans="1:206" x14ac:dyDescent="0.3">
      <c r="A254" s="36" t="s">
        <v>128</v>
      </c>
      <c r="B254" s="85"/>
      <c r="C254" s="9">
        <v>3061528000</v>
      </c>
      <c r="D254" s="36" t="s">
        <v>364</v>
      </c>
      <c r="E254" s="36" t="s">
        <v>39</v>
      </c>
      <c r="F254" s="36" t="s">
        <v>35</v>
      </c>
      <c r="G254" s="36" t="s">
        <v>267</v>
      </c>
      <c r="H254" s="10">
        <v>45096</v>
      </c>
      <c r="I254" s="9">
        <f t="shared" si="515"/>
        <v>2023</v>
      </c>
      <c r="J254" s="9">
        <f t="shared" si="516"/>
        <v>6</v>
      </c>
      <c r="K254" s="9" t="str">
        <f t="shared" si="517"/>
        <v>2023_6</v>
      </c>
      <c r="L254">
        <f>MAX(0,VLOOKUP($K254,lookups!$A$1:$B$45,2,0)-12)</f>
        <v>26</v>
      </c>
      <c r="M254" s="40">
        <f t="shared" si="518"/>
        <v>45078</v>
      </c>
      <c r="N254" s="10" t="s">
        <v>37</v>
      </c>
      <c r="O254" t="str">
        <f ca="1">IF(OR($L254&gt;O$4,O$4&gt;$L254+23),"",OFFSET(Electric!$L245,0,-'Electric Calendarize'!$L254+'Electric Calendarize'!O$4+1))</f>
        <v/>
      </c>
      <c r="P254" t="str">
        <f ca="1">IF(OR($L254&gt;P$4,P$4&gt;$L254+23),"",OFFSET(Electric!$L245,0,-'Electric Calendarize'!$L254+'Electric Calendarize'!P$4+1))</f>
        <v/>
      </c>
      <c r="Q254" t="str">
        <f ca="1">IF(OR($L254&gt;Q$4,Q$4&gt;$L254+23),"",OFFSET(Electric!$L245,0,-'Electric Calendarize'!$L254+'Electric Calendarize'!Q$4+1))</f>
        <v/>
      </c>
      <c r="R254" t="str">
        <f ca="1">IF(OR($L254&gt;R$4,R$4&gt;$L254+23),"",OFFSET(Electric!$L245,0,-'Electric Calendarize'!$L254+'Electric Calendarize'!R$4+1))</f>
        <v/>
      </c>
      <c r="S254" t="str">
        <f ca="1">IF(OR($L254&gt;S$4,S$4&gt;$L254+23),"",OFFSET(Electric!$L245,0,-'Electric Calendarize'!$L254+'Electric Calendarize'!S$4+1))</f>
        <v/>
      </c>
      <c r="T254" t="str">
        <f ca="1">IF(OR($L254&gt;T$4,T$4&gt;$L254+23),"",OFFSET(Electric!$L245,0,-'Electric Calendarize'!$L254+'Electric Calendarize'!T$4+1))</f>
        <v/>
      </c>
      <c r="U254" t="str">
        <f ca="1">IF(OR($L254&gt;U$4,U$4&gt;$L254+23),"",OFFSET(Electric!$L245,0,-'Electric Calendarize'!$L254+'Electric Calendarize'!U$4+1))</f>
        <v/>
      </c>
      <c r="V254" t="str">
        <f ca="1">IF(OR($L254&gt;V$4,V$4&gt;$L254+23),"",OFFSET(Electric!$L245,0,-'Electric Calendarize'!$L254+'Electric Calendarize'!V$4+1))</f>
        <v/>
      </c>
      <c r="W254" t="str">
        <f ca="1">IF(OR($L254&gt;W$4,W$4&gt;$L254+23),"",OFFSET(Electric!$L245,0,-'Electric Calendarize'!$L254+'Electric Calendarize'!W$4+1))</f>
        <v/>
      </c>
      <c r="X254" t="str">
        <f ca="1">IF(OR($L254&gt;X$4,X$4&gt;$L254+23),"",OFFSET(Electric!$L245,0,-'Electric Calendarize'!$L254+'Electric Calendarize'!X$4+1))</f>
        <v/>
      </c>
      <c r="Y254" t="str">
        <f ca="1">IF(OR($L254&gt;Y$4,Y$4&gt;$L254+23),"",OFFSET(Electric!$L245,0,-'Electric Calendarize'!$L254+'Electric Calendarize'!Y$4+1))</f>
        <v/>
      </c>
      <c r="Z254" t="str">
        <f ca="1">IF(OR($L254&gt;Z$4,Z$4&gt;$L254+23),"",OFFSET(Electric!$L245,0,-'Electric Calendarize'!$L254+'Electric Calendarize'!Z$4+1))</f>
        <v/>
      </c>
      <c r="AA254" t="str">
        <f ca="1">IF(OR($L254&gt;AA$4,AA$4&gt;$L254+23),"",OFFSET(Electric!$L245,0,-'Electric Calendarize'!$L254+'Electric Calendarize'!AA$4+1))</f>
        <v/>
      </c>
      <c r="AB254" t="str">
        <f ca="1">IF(OR($L254&gt;AB$4,AB$4&gt;$L254+23),"",OFFSET(Electric!$L245,0,-'Electric Calendarize'!$L254+'Electric Calendarize'!AB$4+1))</f>
        <v/>
      </c>
      <c r="AC254" t="str">
        <f ca="1">IF(OR($L254&gt;AC$4,AC$4&gt;$L254+23),"",OFFSET(Electric!$L245,0,-'Electric Calendarize'!$L254+'Electric Calendarize'!AC$4+1))</f>
        <v/>
      </c>
      <c r="AD254" t="str">
        <f ca="1">IF(OR($L254&gt;AD$4,AD$4&gt;$L254+23),"",OFFSET(Electric!$L245,0,-'Electric Calendarize'!$L254+'Electric Calendarize'!AD$4+1))</f>
        <v/>
      </c>
      <c r="AE254" t="str">
        <f ca="1">IF(OR($L254&gt;AE$4,AE$4&gt;$L254+23),"",OFFSET(Electric!$L245,0,-'Electric Calendarize'!$L254+'Electric Calendarize'!AE$4+1))</f>
        <v/>
      </c>
      <c r="AF254" t="str">
        <f ca="1">IF(OR($L254&gt;AF$4,AF$4&gt;$L254+23),"",OFFSET(Electric!$L245,0,-'Electric Calendarize'!$L254+'Electric Calendarize'!AF$4+1))</f>
        <v/>
      </c>
      <c r="AG254" t="str">
        <f ca="1">IF(OR($L254&gt;AG$4,AG$4&gt;$L254+23),"",OFFSET(Electric!$L245,0,-'Electric Calendarize'!$L254+'Electric Calendarize'!AG$4+1))</f>
        <v/>
      </c>
      <c r="AH254" t="str">
        <f ca="1">IF(OR($L254&gt;AH$4,AH$4&gt;$L254+23),"",OFFSET(Electric!$L245,0,-'Electric Calendarize'!$L254+'Electric Calendarize'!AH$4+1))</f>
        <v/>
      </c>
      <c r="AI254" t="str">
        <f ca="1">IF(OR($L254&gt;AI$4,AI$4&gt;$L254+23),"",OFFSET(Electric!$L245,0,-'Electric Calendarize'!$L254+'Electric Calendarize'!AI$4+1))</f>
        <v/>
      </c>
      <c r="AJ254" t="str">
        <f ca="1">IF(OR($L254&gt;AJ$4,AJ$4&gt;$L254+23),"",OFFSET(Electric!$L245,0,-'Electric Calendarize'!$L254+'Electric Calendarize'!AJ$4+1))</f>
        <v/>
      </c>
      <c r="AK254" t="str">
        <f ca="1">IF(OR($L254&gt;AK$4,AK$4&gt;$L254+23),"",OFFSET(Electric!$L245,0,-'Electric Calendarize'!$L254+'Electric Calendarize'!AK$4+1))</f>
        <v/>
      </c>
      <c r="AL254" t="str">
        <f ca="1">IF(OR($L254&gt;AL$4,AL$4&gt;$L254+23),"",OFFSET(Electric!$L245,0,-'Electric Calendarize'!$L254+'Electric Calendarize'!AL$4+1))</f>
        <v/>
      </c>
      <c r="AM254" t="str">
        <f ca="1">IF(OR($L254&gt;AM$4,AM$4&gt;$L254+23),"",OFFSET(Electric!$L245,0,-'Electric Calendarize'!$L254+'Electric Calendarize'!AM$4+1))</f>
        <v/>
      </c>
      <c r="AN254" t="str">
        <f ca="1">IF(OR($L254&gt;AN$4,AN$4&gt;$L254+23),"",OFFSET(Electric!$L245,0,-'Electric Calendarize'!$L254+'Electric Calendarize'!AN$4+1))</f>
        <v/>
      </c>
      <c r="AO254">
        <f ca="1">IF(OR($L254&gt;AO$4,AO$4&gt;$L254+23),"",OFFSET(Electric!$L245,0,-'Electric Calendarize'!$L254+'Electric Calendarize'!AO$4+1))</f>
        <v>181</v>
      </c>
      <c r="AP254">
        <f ca="1">IF(OR($L254&gt;AP$4,AP$4&gt;$L254+23),"",OFFSET(Electric!$L245,0,-'Electric Calendarize'!$L254+'Electric Calendarize'!AP$4+1))</f>
        <v>242</v>
      </c>
      <c r="AQ254">
        <f ca="1">IF(OR($L254&gt;AQ$4,AQ$4&gt;$L254+23),"",OFFSET(Electric!$L245,0,-'Electric Calendarize'!$L254+'Electric Calendarize'!AQ$4+1))</f>
        <v>473</v>
      </c>
      <c r="AR254">
        <f ca="1">IF(OR($L254&gt;AR$4,AR$4&gt;$L254+23),"",OFFSET(Electric!$L245,0,-'Electric Calendarize'!$L254+'Electric Calendarize'!AR$4+1))</f>
        <v>204</v>
      </c>
      <c r="AS254">
        <f ca="1">IF(OR($L254&gt;AS$4,AS$4&gt;$L254+23),"",OFFSET(Electric!$L245,0,-'Electric Calendarize'!$L254+'Electric Calendarize'!AS$4+1))</f>
        <v>94</v>
      </c>
      <c r="AT254">
        <f ca="1">IF(OR($L254&gt;AT$4,AT$4&gt;$L254+23),"",OFFSET(Electric!$L245,0,-'Electric Calendarize'!$L254+'Electric Calendarize'!AT$4+1))</f>
        <v>0</v>
      </c>
      <c r="AU254">
        <f ca="1">IF(OR($L254&gt;AU$4,AU$4&gt;$L254+23),"",OFFSET(Electric!$L245,0,-'Electric Calendarize'!$L254+'Electric Calendarize'!AU$4+1))</f>
        <v>0</v>
      </c>
      <c r="AV254">
        <f ca="1">IF(OR($L254&gt;AV$4,AV$4&gt;$L254+23),"",OFFSET(Electric!$L245,0,-'Electric Calendarize'!$L254+'Electric Calendarize'!AV$4+1))</f>
        <v>0</v>
      </c>
      <c r="AW254">
        <f ca="1">IF(OR($L254&gt;AW$4,AW$4&gt;$L254+23),"",OFFSET(Electric!$L245,0,-'Electric Calendarize'!$L254+'Electric Calendarize'!AW$4+1))</f>
        <v>0</v>
      </c>
      <c r="AX254">
        <f ca="1">IF(OR($L254&gt;AX$4,AX$4&gt;$L254+23),"",OFFSET(Electric!$L245,0,-'Electric Calendarize'!$L254+'Electric Calendarize'!AX$4+1))</f>
        <v>0</v>
      </c>
      <c r="AY254">
        <f ca="1">IF(OR($L254&gt;AY$4,AY$4&gt;$L254+23),"",OFFSET(Electric!$L245,0,-'Electric Calendarize'!$L254+'Electric Calendarize'!AY$4+1))</f>
        <v>0</v>
      </c>
      <c r="AZ254">
        <f ca="1">IF(OR($L254&gt;AZ$4,AZ$4&gt;$L254+23),"",OFFSET(Electric!$L245,0,-'Electric Calendarize'!$L254+'Electric Calendarize'!AZ$4+1))</f>
        <v>0</v>
      </c>
      <c r="BA254">
        <f ca="1">IF(OR($L254&gt;BA$4,BA$4&gt;$L254+23),"",OFFSET(Electric!$L245,0,-'Electric Calendarize'!$L254+'Electric Calendarize'!BA$4+1))</f>
        <v>0</v>
      </c>
      <c r="BB254">
        <f ca="1">IF(OR($L254&gt;BB$4,BB$4&gt;$L254+23),"",OFFSET(Electric!$L245,0,-'Electric Calendarize'!$L254+'Electric Calendarize'!BB$4+1))</f>
        <v>0</v>
      </c>
      <c r="BC254">
        <f ca="1">IF(OR($L254&gt;BC$4,BC$4&gt;$L254+23),"",OFFSET(Electric!$L245,0,-'Electric Calendarize'!$L254+'Electric Calendarize'!BC$4+1))</f>
        <v>0</v>
      </c>
      <c r="BD254">
        <f ca="1">IF(OR($L254&gt;BD$4,BD$4&gt;$L254+23),"",OFFSET(Electric!$L245,0,-'Electric Calendarize'!$L254+'Electric Calendarize'!BD$4+1))</f>
        <v>0</v>
      </c>
      <c r="BE254">
        <f ca="1">IF(OR($L254&gt;BE$4,BE$4&gt;$L254+23),"",OFFSET(Electric!$L245,0,-'Electric Calendarize'!$L254+'Electric Calendarize'!BE$4+1))</f>
        <v>0</v>
      </c>
      <c r="BF254">
        <f ca="1">IF(OR($L254&gt;BF$4,BF$4&gt;$L254+23),"",OFFSET(Electric!$L245,0,-'Electric Calendarize'!$L254+'Electric Calendarize'!BF$4+1))</f>
        <v>0</v>
      </c>
      <c r="BG254">
        <f ca="1">IF(OR($L254&gt;BG$4,BG$4&gt;$L254+23),"",OFFSET(Electric!$L245,0,-'Electric Calendarize'!$L254+'Electric Calendarize'!BG$4+1))</f>
        <v>0</v>
      </c>
      <c r="BJ254" s="10" t="s">
        <v>37</v>
      </c>
      <c r="BK254">
        <f t="shared" si="519"/>
        <v>1</v>
      </c>
      <c r="BL254">
        <f t="shared" si="425"/>
        <v>0</v>
      </c>
      <c r="BM254">
        <f t="shared" si="426"/>
        <v>0</v>
      </c>
      <c r="BN254">
        <f t="shared" si="427"/>
        <v>0</v>
      </c>
      <c r="BO254">
        <f t="shared" si="428"/>
        <v>0</v>
      </c>
      <c r="BP254">
        <f t="shared" si="429"/>
        <v>0</v>
      </c>
      <c r="BQ254">
        <f t="shared" si="430"/>
        <v>0</v>
      </c>
      <c r="BR254">
        <f t="shared" si="431"/>
        <v>1</v>
      </c>
      <c r="BS254">
        <f t="shared" si="432"/>
        <v>1</v>
      </c>
      <c r="BT254">
        <f t="shared" si="433"/>
        <v>1</v>
      </c>
      <c r="BU254">
        <f t="shared" si="434"/>
        <v>1</v>
      </c>
      <c r="BV254">
        <f t="shared" si="435"/>
        <v>1</v>
      </c>
      <c r="BW254">
        <f t="shared" si="436"/>
        <v>1</v>
      </c>
      <c r="BX254">
        <f t="shared" si="437"/>
        <v>0</v>
      </c>
      <c r="BY254">
        <f t="shared" si="438"/>
        <v>0</v>
      </c>
      <c r="BZ254">
        <f t="shared" si="439"/>
        <v>0</v>
      </c>
      <c r="CA254">
        <f t="shared" si="440"/>
        <v>0</v>
      </c>
      <c r="CB254">
        <f t="shared" si="441"/>
        <v>0</v>
      </c>
      <c r="CC254">
        <f t="shared" si="442"/>
        <v>0</v>
      </c>
      <c r="CD254">
        <f t="shared" si="443"/>
        <v>1</v>
      </c>
      <c r="CE254">
        <f t="shared" si="444"/>
        <v>1</v>
      </c>
      <c r="CF254">
        <f t="shared" si="445"/>
        <v>1</v>
      </c>
      <c r="CG254">
        <f t="shared" si="446"/>
        <v>1</v>
      </c>
      <c r="CH254">
        <f t="shared" si="447"/>
        <v>1</v>
      </c>
      <c r="CI254">
        <f t="shared" si="448"/>
        <v>1</v>
      </c>
      <c r="CJ254">
        <f t="shared" si="449"/>
        <v>0</v>
      </c>
      <c r="CK254">
        <f t="shared" si="450"/>
        <v>0</v>
      </c>
      <c r="CL254">
        <f t="shared" si="451"/>
        <v>0</v>
      </c>
      <c r="CM254">
        <f t="shared" si="452"/>
        <v>0</v>
      </c>
      <c r="CN254">
        <f t="shared" si="453"/>
        <v>0</v>
      </c>
      <c r="CO254">
        <f t="shared" si="454"/>
        <v>0</v>
      </c>
      <c r="CP254">
        <f t="shared" si="455"/>
        <v>1</v>
      </c>
      <c r="CQ254">
        <f t="shared" si="456"/>
        <v>1</v>
      </c>
      <c r="CR254">
        <f t="shared" si="457"/>
        <v>1</v>
      </c>
      <c r="CS254">
        <f t="shared" si="458"/>
        <v>1</v>
      </c>
      <c r="CT254">
        <f t="shared" si="459"/>
        <v>1</v>
      </c>
      <c r="CU254">
        <f t="shared" si="460"/>
        <v>1</v>
      </c>
      <c r="CV254">
        <f t="shared" si="461"/>
        <v>0</v>
      </c>
      <c r="CW254">
        <f t="shared" si="462"/>
        <v>0</v>
      </c>
      <c r="CX254">
        <f t="shared" si="463"/>
        <v>0</v>
      </c>
      <c r="CY254">
        <f t="shared" si="464"/>
        <v>0</v>
      </c>
      <c r="CZ254">
        <f t="shared" si="465"/>
        <v>0</v>
      </c>
      <c r="DA254">
        <f t="shared" si="466"/>
        <v>0</v>
      </c>
      <c r="DB254">
        <f t="shared" si="467"/>
        <v>1</v>
      </c>
      <c r="DC254">
        <f t="shared" si="468"/>
        <v>1</v>
      </c>
      <c r="DF254" s="10" t="s">
        <v>37</v>
      </c>
      <c r="DG254" t="str">
        <f t="shared" si="531"/>
        <v>2023_6</v>
      </c>
      <c r="DH254" t="str">
        <f t="shared" si="531"/>
        <v>2023_6</v>
      </c>
      <c r="DI254" t="str">
        <f t="shared" si="531"/>
        <v>2023_6</v>
      </c>
      <c r="DJ254" t="str">
        <f t="shared" si="531"/>
        <v>2023_6</v>
      </c>
      <c r="DK254" t="str">
        <f t="shared" si="531"/>
        <v>2023_6</v>
      </c>
      <c r="DL254" t="str">
        <f t="shared" si="531"/>
        <v>2023_6</v>
      </c>
      <c r="DM254" t="str">
        <f t="shared" si="531"/>
        <v>2023_6</v>
      </c>
      <c r="DN254" t="str">
        <f t="shared" si="531"/>
        <v>2023_6</v>
      </c>
      <c r="DO254" t="str">
        <f t="shared" si="531"/>
        <v>2023_6</v>
      </c>
      <c r="DP254" t="str">
        <f t="shared" si="531"/>
        <v>2023_6</v>
      </c>
      <c r="DQ254" t="str">
        <f t="shared" si="531"/>
        <v>2023_6</v>
      </c>
      <c r="DR254" t="str">
        <f t="shared" si="531"/>
        <v>2023_6</v>
      </c>
      <c r="DS254" t="str">
        <f t="shared" si="531"/>
        <v>2023_6</v>
      </c>
      <c r="DT254" t="str">
        <f t="shared" si="531"/>
        <v>2023_6</v>
      </c>
      <c r="DU254" t="str">
        <f t="shared" si="531"/>
        <v>2023_6</v>
      </c>
      <c r="DV254" t="str">
        <f t="shared" si="531"/>
        <v>2023_6</v>
      </c>
      <c r="DW254" t="str">
        <f t="shared" si="530"/>
        <v>2023_6</v>
      </c>
      <c r="DX254" t="str">
        <f t="shared" si="530"/>
        <v>2023_6</v>
      </c>
      <c r="DY254" t="str">
        <f t="shared" si="530"/>
        <v>2023_6</v>
      </c>
      <c r="DZ254" t="str">
        <f t="shared" si="530"/>
        <v>2023_6</v>
      </c>
      <c r="EA254" t="str">
        <f t="shared" si="530"/>
        <v>2023_6</v>
      </c>
      <c r="EB254" t="str">
        <f t="shared" si="530"/>
        <v>2023_6</v>
      </c>
      <c r="EC254" t="str">
        <f t="shared" si="530"/>
        <v>2023_6</v>
      </c>
      <c r="ED254" t="str">
        <f t="shared" si="530"/>
        <v>2023_6</v>
      </c>
      <c r="EE254" t="str">
        <f t="shared" si="530"/>
        <v>2023_6</v>
      </c>
      <c r="EF254" t="str">
        <f t="shared" si="530"/>
        <v>2023_6</v>
      </c>
      <c r="EG254" t="str">
        <f t="shared" si="530"/>
        <v>2023_6</v>
      </c>
      <c r="EH254" t="str">
        <f t="shared" si="530"/>
        <v>2023_6</v>
      </c>
      <c r="EI254" t="str">
        <f t="shared" si="530"/>
        <v>2023_6</v>
      </c>
      <c r="EJ254" t="str">
        <f t="shared" si="530"/>
        <v>2023_6</v>
      </c>
      <c r="EK254" t="str">
        <f t="shared" si="529"/>
        <v>2023_6</v>
      </c>
      <c r="EL254" t="str">
        <f t="shared" si="529"/>
        <v>2023_6</v>
      </c>
      <c r="EM254" t="str">
        <f t="shared" si="529"/>
        <v>2023_6</v>
      </c>
      <c r="EN254" t="str">
        <f t="shared" si="529"/>
        <v>2023_6</v>
      </c>
      <c r="EO254" t="str">
        <f t="shared" si="529"/>
        <v>2023_6</v>
      </c>
      <c r="EP254" t="str">
        <f t="shared" si="529"/>
        <v>2023_6</v>
      </c>
      <c r="EQ254" t="str">
        <f t="shared" si="529"/>
        <v>2023_6</v>
      </c>
      <c r="ER254" t="str">
        <f t="shared" si="529"/>
        <v>2023_6</v>
      </c>
      <c r="ES254" t="str">
        <f t="shared" si="529"/>
        <v>2023_6</v>
      </c>
      <c r="ET254" t="str">
        <f t="shared" si="529"/>
        <v>2023_6</v>
      </c>
      <c r="EU254" t="str">
        <f t="shared" si="529"/>
        <v>2023_6</v>
      </c>
      <c r="EV254" t="str">
        <f t="shared" si="529"/>
        <v>2023_6</v>
      </c>
      <c r="EW254" t="str">
        <f t="shared" si="529"/>
        <v>2023_6</v>
      </c>
      <c r="EX254" t="str">
        <f t="shared" si="529"/>
        <v>2023_6</v>
      </c>
      <c r="EY254" t="str">
        <f t="shared" si="529"/>
        <v>2023_6</v>
      </c>
      <c r="FB254" s="10" t="s">
        <v>37</v>
      </c>
      <c r="FC254">
        <f t="shared" si="521"/>
        <v>0</v>
      </c>
      <c r="FD254">
        <f t="shared" si="471"/>
        <v>0</v>
      </c>
      <c r="FE254">
        <f t="shared" si="472"/>
        <v>0</v>
      </c>
      <c r="FF254">
        <f t="shared" si="473"/>
        <v>0</v>
      </c>
      <c r="FG254">
        <f t="shared" si="474"/>
        <v>0</v>
      </c>
      <c r="FH254">
        <f t="shared" si="475"/>
        <v>0</v>
      </c>
      <c r="FI254">
        <f t="shared" si="476"/>
        <v>0</v>
      </c>
      <c r="FJ254">
        <f t="shared" si="477"/>
        <v>0</v>
      </c>
      <c r="FK254">
        <f t="shared" si="478"/>
        <v>0</v>
      </c>
      <c r="FL254">
        <f t="shared" si="479"/>
        <v>0</v>
      </c>
      <c r="FM254">
        <f t="shared" si="480"/>
        <v>0</v>
      </c>
      <c r="FN254">
        <f t="shared" si="481"/>
        <v>0</v>
      </c>
      <c r="FO254">
        <f t="shared" si="482"/>
        <v>0</v>
      </c>
      <c r="FP254">
        <f t="shared" si="483"/>
        <v>0</v>
      </c>
      <c r="FQ254">
        <f t="shared" si="484"/>
        <v>0</v>
      </c>
      <c r="FR254">
        <f t="shared" si="485"/>
        <v>0</v>
      </c>
      <c r="FS254">
        <f t="shared" si="486"/>
        <v>0</v>
      </c>
      <c r="FT254">
        <f t="shared" si="487"/>
        <v>0</v>
      </c>
      <c r="FU254">
        <f t="shared" si="488"/>
        <v>0</v>
      </c>
      <c r="FV254">
        <f t="shared" si="489"/>
        <v>0</v>
      </c>
      <c r="FW254">
        <f t="shared" si="490"/>
        <v>0</v>
      </c>
      <c r="FX254">
        <f t="shared" si="491"/>
        <v>0</v>
      </c>
      <c r="FY254">
        <f t="shared" si="492"/>
        <v>0</v>
      </c>
      <c r="FZ254">
        <f t="shared" si="493"/>
        <v>0</v>
      </c>
      <c r="GA254">
        <f t="shared" si="494"/>
        <v>0</v>
      </c>
      <c r="GB254">
        <f t="shared" si="495"/>
        <v>0</v>
      </c>
      <c r="GC254">
        <f t="shared" si="496"/>
        <v>0</v>
      </c>
      <c r="GD254">
        <f t="shared" si="497"/>
        <v>0</v>
      </c>
      <c r="GE254">
        <f t="shared" si="498"/>
        <v>0</v>
      </c>
      <c r="GF254">
        <f t="shared" si="499"/>
        <v>0</v>
      </c>
      <c r="GG254">
        <f t="shared" si="500"/>
        <v>0</v>
      </c>
      <c r="GH254">
        <f t="shared" si="501"/>
        <v>0</v>
      </c>
      <c r="GI254">
        <f t="shared" si="502"/>
        <v>0</v>
      </c>
      <c r="GJ254">
        <f t="shared" si="503"/>
        <v>0</v>
      </c>
      <c r="GK254">
        <f t="shared" si="504"/>
        <v>0</v>
      </c>
      <c r="GL254">
        <f t="shared" si="505"/>
        <v>0</v>
      </c>
      <c r="GM254">
        <f t="shared" si="506"/>
        <v>0</v>
      </c>
      <c r="GN254">
        <f t="shared" si="507"/>
        <v>0</v>
      </c>
      <c r="GO254">
        <f t="shared" si="508"/>
        <v>1</v>
      </c>
      <c r="GP254">
        <f t="shared" si="509"/>
        <v>1</v>
      </c>
      <c r="GQ254">
        <f t="shared" si="510"/>
        <v>1</v>
      </c>
      <c r="GR254">
        <f t="shared" si="511"/>
        <v>1</v>
      </c>
      <c r="GS254">
        <f t="shared" si="512"/>
        <v>1</v>
      </c>
      <c r="GT254">
        <f t="shared" si="513"/>
        <v>1</v>
      </c>
      <c r="GU254">
        <f t="shared" si="514"/>
        <v>1</v>
      </c>
      <c r="GX254" s="10"/>
    </row>
    <row r="255" spans="1:206" x14ac:dyDescent="0.3">
      <c r="A255" s="36" t="s">
        <v>55</v>
      </c>
      <c r="B255" s="85"/>
      <c r="C255" s="36">
        <v>3150078000</v>
      </c>
      <c r="D255" s="36" t="s">
        <v>504</v>
      </c>
      <c r="E255" s="36" t="s">
        <v>39</v>
      </c>
      <c r="F255" s="36" t="s">
        <v>35</v>
      </c>
      <c r="G255" s="36" t="s">
        <v>268</v>
      </c>
      <c r="H255" s="10">
        <v>45098</v>
      </c>
      <c r="I255" s="9">
        <f t="shared" si="515"/>
        <v>2023</v>
      </c>
      <c r="J255" s="9">
        <f t="shared" si="516"/>
        <v>6</v>
      </c>
      <c r="K255" s="9" t="str">
        <f t="shared" si="517"/>
        <v>2023_6</v>
      </c>
      <c r="L255">
        <f>MAX(0,VLOOKUP($K255,lookups!$A$1:$B$45,2,0)-12)</f>
        <v>26</v>
      </c>
      <c r="M255" s="40">
        <f t="shared" si="518"/>
        <v>45078</v>
      </c>
      <c r="N255" s="10" t="s">
        <v>37</v>
      </c>
      <c r="O255" t="str">
        <f ca="1">IF(OR($L255&gt;O$4,O$4&gt;$L255+23),"",OFFSET(Electric!$L246,0,-'Electric Calendarize'!$L255+'Electric Calendarize'!O$4+1))</f>
        <v/>
      </c>
      <c r="P255" t="str">
        <f ca="1">IF(OR($L255&gt;P$4,P$4&gt;$L255+23),"",OFFSET(Electric!$L246,0,-'Electric Calendarize'!$L255+'Electric Calendarize'!P$4+1))</f>
        <v/>
      </c>
      <c r="Q255" t="str">
        <f ca="1">IF(OR($L255&gt;Q$4,Q$4&gt;$L255+23),"",OFFSET(Electric!$L246,0,-'Electric Calendarize'!$L255+'Electric Calendarize'!Q$4+1))</f>
        <v/>
      </c>
      <c r="R255" t="str">
        <f ca="1">IF(OR($L255&gt;R$4,R$4&gt;$L255+23),"",OFFSET(Electric!$L246,0,-'Electric Calendarize'!$L255+'Electric Calendarize'!R$4+1))</f>
        <v/>
      </c>
      <c r="S255" t="str">
        <f ca="1">IF(OR($L255&gt;S$4,S$4&gt;$L255+23),"",OFFSET(Electric!$L246,0,-'Electric Calendarize'!$L255+'Electric Calendarize'!S$4+1))</f>
        <v/>
      </c>
      <c r="T255" t="str">
        <f ca="1">IF(OR($L255&gt;T$4,T$4&gt;$L255+23),"",OFFSET(Electric!$L246,0,-'Electric Calendarize'!$L255+'Electric Calendarize'!T$4+1))</f>
        <v/>
      </c>
      <c r="U255" t="str">
        <f ca="1">IF(OR($L255&gt;U$4,U$4&gt;$L255+23),"",OFFSET(Electric!$L246,0,-'Electric Calendarize'!$L255+'Electric Calendarize'!U$4+1))</f>
        <v/>
      </c>
      <c r="V255" t="str">
        <f ca="1">IF(OR($L255&gt;V$4,V$4&gt;$L255+23),"",OFFSET(Electric!$L246,0,-'Electric Calendarize'!$L255+'Electric Calendarize'!V$4+1))</f>
        <v/>
      </c>
      <c r="W255" t="str">
        <f ca="1">IF(OR($L255&gt;W$4,W$4&gt;$L255+23),"",OFFSET(Electric!$L246,0,-'Electric Calendarize'!$L255+'Electric Calendarize'!W$4+1))</f>
        <v/>
      </c>
      <c r="X255" t="str">
        <f ca="1">IF(OR($L255&gt;X$4,X$4&gt;$L255+23),"",OFFSET(Electric!$L246,0,-'Electric Calendarize'!$L255+'Electric Calendarize'!X$4+1))</f>
        <v/>
      </c>
      <c r="Y255" t="str">
        <f ca="1">IF(OR($L255&gt;Y$4,Y$4&gt;$L255+23),"",OFFSET(Electric!$L246,0,-'Electric Calendarize'!$L255+'Electric Calendarize'!Y$4+1))</f>
        <v/>
      </c>
      <c r="Z255" t="str">
        <f ca="1">IF(OR($L255&gt;Z$4,Z$4&gt;$L255+23),"",OFFSET(Electric!$L246,0,-'Electric Calendarize'!$L255+'Electric Calendarize'!Z$4+1))</f>
        <v/>
      </c>
      <c r="AA255" t="str">
        <f ca="1">IF(OR($L255&gt;AA$4,AA$4&gt;$L255+23),"",OFFSET(Electric!$L246,0,-'Electric Calendarize'!$L255+'Electric Calendarize'!AA$4+1))</f>
        <v/>
      </c>
      <c r="AB255" t="str">
        <f ca="1">IF(OR($L255&gt;AB$4,AB$4&gt;$L255+23),"",OFFSET(Electric!$L246,0,-'Electric Calendarize'!$L255+'Electric Calendarize'!AB$4+1))</f>
        <v/>
      </c>
      <c r="AC255" t="str">
        <f ca="1">IF(OR($L255&gt;AC$4,AC$4&gt;$L255+23),"",OFFSET(Electric!$L246,0,-'Electric Calendarize'!$L255+'Electric Calendarize'!AC$4+1))</f>
        <v/>
      </c>
      <c r="AD255" t="str">
        <f ca="1">IF(OR($L255&gt;AD$4,AD$4&gt;$L255+23),"",OFFSET(Electric!$L246,0,-'Electric Calendarize'!$L255+'Electric Calendarize'!AD$4+1))</f>
        <v/>
      </c>
      <c r="AE255" t="str">
        <f ca="1">IF(OR($L255&gt;AE$4,AE$4&gt;$L255+23),"",OFFSET(Electric!$L246,0,-'Electric Calendarize'!$L255+'Electric Calendarize'!AE$4+1))</f>
        <v/>
      </c>
      <c r="AF255" t="str">
        <f ca="1">IF(OR($L255&gt;AF$4,AF$4&gt;$L255+23),"",OFFSET(Electric!$L246,0,-'Electric Calendarize'!$L255+'Electric Calendarize'!AF$4+1))</f>
        <v/>
      </c>
      <c r="AG255" t="str">
        <f ca="1">IF(OR($L255&gt;AG$4,AG$4&gt;$L255+23),"",OFFSET(Electric!$L246,0,-'Electric Calendarize'!$L255+'Electric Calendarize'!AG$4+1))</f>
        <v/>
      </c>
      <c r="AH255" t="str">
        <f ca="1">IF(OR($L255&gt;AH$4,AH$4&gt;$L255+23),"",OFFSET(Electric!$L246,0,-'Electric Calendarize'!$L255+'Electric Calendarize'!AH$4+1))</f>
        <v/>
      </c>
      <c r="AI255" t="str">
        <f ca="1">IF(OR($L255&gt;AI$4,AI$4&gt;$L255+23),"",OFFSET(Electric!$L246,0,-'Electric Calendarize'!$L255+'Electric Calendarize'!AI$4+1))</f>
        <v/>
      </c>
      <c r="AJ255" t="str">
        <f ca="1">IF(OR($L255&gt;AJ$4,AJ$4&gt;$L255+23),"",OFFSET(Electric!$L246,0,-'Electric Calendarize'!$L255+'Electric Calendarize'!AJ$4+1))</f>
        <v/>
      </c>
      <c r="AK255" t="str">
        <f ca="1">IF(OR($L255&gt;AK$4,AK$4&gt;$L255+23),"",OFFSET(Electric!$L246,0,-'Electric Calendarize'!$L255+'Electric Calendarize'!AK$4+1))</f>
        <v/>
      </c>
      <c r="AL255" t="str">
        <f ca="1">IF(OR($L255&gt;AL$4,AL$4&gt;$L255+23),"",OFFSET(Electric!$L246,0,-'Electric Calendarize'!$L255+'Electric Calendarize'!AL$4+1))</f>
        <v/>
      </c>
      <c r="AM255" t="str">
        <f ca="1">IF(OR($L255&gt;AM$4,AM$4&gt;$L255+23),"",OFFSET(Electric!$L246,0,-'Electric Calendarize'!$L255+'Electric Calendarize'!AM$4+1))</f>
        <v/>
      </c>
      <c r="AN255" t="str">
        <f ca="1">IF(OR($L255&gt;AN$4,AN$4&gt;$L255+23),"",OFFSET(Electric!$L246,0,-'Electric Calendarize'!$L255+'Electric Calendarize'!AN$4+1))</f>
        <v/>
      </c>
      <c r="AO255">
        <f ca="1">IF(OR($L255&gt;AO$4,AO$4&gt;$L255+23),"",OFFSET(Electric!$L246,0,-'Electric Calendarize'!$L255+'Electric Calendarize'!AO$4+1))</f>
        <v>1570</v>
      </c>
      <c r="AP255">
        <f ca="1">IF(OR($L255&gt;AP$4,AP$4&gt;$L255+23),"",OFFSET(Electric!$L246,0,-'Electric Calendarize'!$L255+'Electric Calendarize'!AP$4+1))</f>
        <v>1830</v>
      </c>
      <c r="AQ255">
        <f ca="1">IF(OR($L255&gt;AQ$4,AQ$4&gt;$L255+23),"",OFFSET(Electric!$L246,0,-'Electric Calendarize'!$L255+'Electric Calendarize'!AQ$4+1))</f>
        <v>2098</v>
      </c>
      <c r="AR255">
        <f ca="1">IF(OR($L255&gt;AR$4,AR$4&gt;$L255+23),"",OFFSET(Electric!$L246,0,-'Electric Calendarize'!$L255+'Electric Calendarize'!AR$4+1))</f>
        <v>2256</v>
      </c>
      <c r="AS255">
        <f ca="1">IF(OR($L255&gt;AS$4,AS$4&gt;$L255+23),"",OFFSET(Electric!$L246,0,-'Electric Calendarize'!$L255+'Electric Calendarize'!AS$4+1))</f>
        <v>1578</v>
      </c>
      <c r="AT255">
        <f ca="1">IF(OR($L255&gt;AT$4,AT$4&gt;$L255+23),"",OFFSET(Electric!$L246,0,-'Electric Calendarize'!$L255+'Electric Calendarize'!AT$4+1))</f>
        <v>2640</v>
      </c>
      <c r="AU255">
        <f ca="1">IF(OR($L255&gt;AU$4,AU$4&gt;$L255+23),"",OFFSET(Electric!$L246,0,-'Electric Calendarize'!$L255+'Electric Calendarize'!AU$4+1))</f>
        <v>2368</v>
      </c>
      <c r="AV255">
        <f ca="1">IF(OR($L255&gt;AV$4,AV$4&gt;$L255+23),"",OFFSET(Electric!$L246,0,-'Electric Calendarize'!$L255+'Electric Calendarize'!AV$4+1))</f>
        <v>2916</v>
      </c>
      <c r="AW255">
        <f ca="1">IF(OR($L255&gt;AW$4,AW$4&gt;$L255+23),"",OFFSET(Electric!$L246,0,-'Electric Calendarize'!$L255+'Electric Calendarize'!AW$4+1))</f>
        <v>2488</v>
      </c>
      <c r="AX255">
        <f ca="1">IF(OR($L255&gt;AX$4,AX$4&gt;$L255+23),"",OFFSET(Electric!$L246,0,-'Electric Calendarize'!$L255+'Electric Calendarize'!AX$4+1))</f>
        <v>2228</v>
      </c>
      <c r="AY255">
        <f ca="1">IF(OR($L255&gt;AY$4,AY$4&gt;$L255+23),"",OFFSET(Electric!$L246,0,-'Electric Calendarize'!$L255+'Electric Calendarize'!AY$4+1))</f>
        <v>1820</v>
      </c>
      <c r="AZ255">
        <f ca="1">IF(OR($L255&gt;AZ$4,AZ$4&gt;$L255+23),"",OFFSET(Electric!$L246,0,-'Electric Calendarize'!$L255+'Electric Calendarize'!AZ$4+1))</f>
        <v>914</v>
      </c>
      <c r="BA255">
        <f ca="1">IF(OR($L255&gt;BA$4,BA$4&gt;$L255+23),"",OFFSET(Electric!$L246,0,-'Electric Calendarize'!$L255+'Electric Calendarize'!BA$4+1))</f>
        <v>0</v>
      </c>
      <c r="BB255">
        <f ca="1">IF(OR($L255&gt;BB$4,BB$4&gt;$L255+23),"",OFFSET(Electric!$L246,0,-'Electric Calendarize'!$L255+'Electric Calendarize'!BB$4+1))</f>
        <v>1184</v>
      </c>
      <c r="BC255">
        <f ca="1">IF(OR($L255&gt;BC$4,BC$4&gt;$L255+23),"",OFFSET(Electric!$L246,0,-'Electric Calendarize'!$L255+'Electric Calendarize'!BC$4+1))</f>
        <v>1940</v>
      </c>
      <c r="BD255">
        <f ca="1">IF(OR($L255&gt;BD$4,BD$4&gt;$L255+23),"",OFFSET(Electric!$L246,0,-'Electric Calendarize'!$L255+'Electric Calendarize'!BD$4+1))</f>
        <v>1836</v>
      </c>
      <c r="BE255">
        <f ca="1">IF(OR($L255&gt;BE$4,BE$4&gt;$L255+23),"",OFFSET(Electric!$L246,0,-'Electric Calendarize'!$L255+'Electric Calendarize'!BE$4+1))</f>
        <v>2180</v>
      </c>
      <c r="BF255">
        <f ca="1">IF(OR($L255&gt;BF$4,BF$4&gt;$L255+23),"",OFFSET(Electric!$L246,0,-'Electric Calendarize'!$L255+'Electric Calendarize'!BF$4+1))</f>
        <v>2078</v>
      </c>
      <c r="BG255">
        <f ca="1">IF(OR($L255&gt;BG$4,BG$4&gt;$L255+23),"",OFFSET(Electric!$L246,0,-'Electric Calendarize'!$L255+'Electric Calendarize'!BG$4+1))</f>
        <v>2918</v>
      </c>
      <c r="BJ255" s="10" t="s">
        <v>37</v>
      </c>
      <c r="BK255">
        <f t="shared" si="519"/>
        <v>1</v>
      </c>
      <c r="BL255">
        <f t="shared" si="425"/>
        <v>0</v>
      </c>
      <c r="BM255">
        <f t="shared" si="426"/>
        <v>0</v>
      </c>
      <c r="BN255">
        <f t="shared" si="427"/>
        <v>0</v>
      </c>
      <c r="BO255">
        <f t="shared" si="428"/>
        <v>0</v>
      </c>
      <c r="BP255">
        <f t="shared" si="429"/>
        <v>0</v>
      </c>
      <c r="BQ255">
        <f t="shared" si="430"/>
        <v>0</v>
      </c>
      <c r="BR255">
        <f t="shared" si="431"/>
        <v>1</v>
      </c>
      <c r="BS255">
        <f t="shared" si="432"/>
        <v>1</v>
      </c>
      <c r="BT255">
        <f t="shared" si="433"/>
        <v>1</v>
      </c>
      <c r="BU255">
        <f t="shared" si="434"/>
        <v>1</v>
      </c>
      <c r="BV255">
        <f t="shared" si="435"/>
        <v>1</v>
      </c>
      <c r="BW255">
        <f t="shared" si="436"/>
        <v>1</v>
      </c>
      <c r="BX255">
        <f t="shared" si="437"/>
        <v>0</v>
      </c>
      <c r="BY255">
        <f t="shared" si="438"/>
        <v>0</v>
      </c>
      <c r="BZ255">
        <f t="shared" si="439"/>
        <v>0</v>
      </c>
      <c r="CA255">
        <f t="shared" si="440"/>
        <v>0</v>
      </c>
      <c r="CB255">
        <f t="shared" si="441"/>
        <v>0</v>
      </c>
      <c r="CC255">
        <f t="shared" si="442"/>
        <v>0</v>
      </c>
      <c r="CD255">
        <f t="shared" si="443"/>
        <v>1</v>
      </c>
      <c r="CE255">
        <f t="shared" si="444"/>
        <v>1</v>
      </c>
      <c r="CF255">
        <f t="shared" si="445"/>
        <v>1</v>
      </c>
      <c r="CG255">
        <f t="shared" si="446"/>
        <v>1</v>
      </c>
      <c r="CH255">
        <f t="shared" si="447"/>
        <v>1</v>
      </c>
      <c r="CI255">
        <f t="shared" si="448"/>
        <v>1</v>
      </c>
      <c r="CJ255">
        <f t="shared" si="449"/>
        <v>0</v>
      </c>
      <c r="CK255">
        <f t="shared" si="450"/>
        <v>0</v>
      </c>
      <c r="CL255">
        <f t="shared" si="451"/>
        <v>0</v>
      </c>
      <c r="CM255">
        <f t="shared" si="452"/>
        <v>0</v>
      </c>
      <c r="CN255">
        <f t="shared" si="453"/>
        <v>0</v>
      </c>
      <c r="CO255">
        <f t="shared" si="454"/>
        <v>0</v>
      </c>
      <c r="CP255">
        <f t="shared" si="455"/>
        <v>1</v>
      </c>
      <c r="CQ255">
        <f t="shared" si="456"/>
        <v>1</v>
      </c>
      <c r="CR255">
        <f t="shared" si="457"/>
        <v>1</v>
      </c>
      <c r="CS255">
        <f t="shared" si="458"/>
        <v>1</v>
      </c>
      <c r="CT255">
        <f t="shared" si="459"/>
        <v>1</v>
      </c>
      <c r="CU255">
        <f t="shared" si="460"/>
        <v>1</v>
      </c>
      <c r="CV255">
        <f t="shared" si="461"/>
        <v>0</v>
      </c>
      <c r="CW255">
        <f t="shared" si="462"/>
        <v>0</v>
      </c>
      <c r="CX255">
        <f t="shared" si="463"/>
        <v>0</v>
      </c>
      <c r="CY255">
        <f t="shared" si="464"/>
        <v>0</v>
      </c>
      <c r="CZ255">
        <f t="shared" si="465"/>
        <v>0</v>
      </c>
      <c r="DA255">
        <f t="shared" si="466"/>
        <v>0</v>
      </c>
      <c r="DB255">
        <f t="shared" si="467"/>
        <v>1</v>
      </c>
      <c r="DC255">
        <f t="shared" si="468"/>
        <v>1</v>
      </c>
      <c r="DF255" s="10" t="s">
        <v>37</v>
      </c>
      <c r="DG255" t="str">
        <f t="shared" si="531"/>
        <v>2023_6</v>
      </c>
      <c r="DH255" t="str">
        <f t="shared" si="531"/>
        <v>2023_6</v>
      </c>
      <c r="DI255" t="str">
        <f t="shared" si="531"/>
        <v>2023_6</v>
      </c>
      <c r="DJ255" t="str">
        <f t="shared" si="531"/>
        <v>2023_6</v>
      </c>
      <c r="DK255" t="str">
        <f t="shared" si="531"/>
        <v>2023_6</v>
      </c>
      <c r="DL255" t="str">
        <f t="shared" si="531"/>
        <v>2023_6</v>
      </c>
      <c r="DM255" t="str">
        <f t="shared" si="531"/>
        <v>2023_6</v>
      </c>
      <c r="DN255" t="str">
        <f t="shared" si="531"/>
        <v>2023_6</v>
      </c>
      <c r="DO255" t="str">
        <f t="shared" si="531"/>
        <v>2023_6</v>
      </c>
      <c r="DP255" t="str">
        <f t="shared" si="531"/>
        <v>2023_6</v>
      </c>
      <c r="DQ255" t="str">
        <f t="shared" si="531"/>
        <v>2023_6</v>
      </c>
      <c r="DR255" t="str">
        <f t="shared" si="531"/>
        <v>2023_6</v>
      </c>
      <c r="DS255" t="str">
        <f t="shared" si="531"/>
        <v>2023_6</v>
      </c>
      <c r="DT255" t="str">
        <f t="shared" si="531"/>
        <v>2023_6</v>
      </c>
      <c r="DU255" t="str">
        <f t="shared" si="531"/>
        <v>2023_6</v>
      </c>
      <c r="DV255" t="str">
        <f t="shared" si="531"/>
        <v>2023_6</v>
      </c>
      <c r="DW255" t="str">
        <f t="shared" si="530"/>
        <v>2023_6</v>
      </c>
      <c r="DX255" t="str">
        <f t="shared" si="530"/>
        <v>2023_6</v>
      </c>
      <c r="DY255" t="str">
        <f t="shared" si="530"/>
        <v>2023_6</v>
      </c>
      <c r="DZ255" t="str">
        <f t="shared" si="530"/>
        <v>2023_6</v>
      </c>
      <c r="EA255" t="str">
        <f t="shared" si="530"/>
        <v>2023_6</v>
      </c>
      <c r="EB255" t="str">
        <f t="shared" si="530"/>
        <v>2023_6</v>
      </c>
      <c r="EC255" t="str">
        <f t="shared" si="530"/>
        <v>2023_6</v>
      </c>
      <c r="ED255" t="str">
        <f t="shared" si="530"/>
        <v>2023_6</v>
      </c>
      <c r="EE255" t="str">
        <f t="shared" si="530"/>
        <v>2023_6</v>
      </c>
      <c r="EF255" t="str">
        <f t="shared" si="530"/>
        <v>2023_6</v>
      </c>
      <c r="EG255" t="str">
        <f t="shared" si="530"/>
        <v>2023_6</v>
      </c>
      <c r="EH255" t="str">
        <f t="shared" si="530"/>
        <v>2023_6</v>
      </c>
      <c r="EI255" t="str">
        <f t="shared" si="530"/>
        <v>2023_6</v>
      </c>
      <c r="EJ255" t="str">
        <f t="shared" si="530"/>
        <v>2023_6</v>
      </c>
      <c r="EK255" t="str">
        <f t="shared" si="529"/>
        <v>2023_6</v>
      </c>
      <c r="EL255" t="str">
        <f t="shared" si="529"/>
        <v>2023_6</v>
      </c>
      <c r="EM255" t="str">
        <f t="shared" si="529"/>
        <v>2023_6</v>
      </c>
      <c r="EN255" t="str">
        <f t="shared" si="529"/>
        <v>2023_6</v>
      </c>
      <c r="EO255" t="str">
        <f t="shared" si="529"/>
        <v>2023_6</v>
      </c>
      <c r="EP255" t="str">
        <f t="shared" si="529"/>
        <v>2023_6</v>
      </c>
      <c r="EQ255" t="str">
        <f t="shared" si="529"/>
        <v>2023_6</v>
      </c>
      <c r="ER255" t="str">
        <f t="shared" si="529"/>
        <v>2023_6</v>
      </c>
      <c r="ES255" t="str">
        <f t="shared" si="529"/>
        <v>2023_6</v>
      </c>
      <c r="ET255" t="str">
        <f t="shared" si="529"/>
        <v>2023_6</v>
      </c>
      <c r="EU255" t="str">
        <f t="shared" si="529"/>
        <v>2023_6</v>
      </c>
      <c r="EV255" t="str">
        <f t="shared" si="529"/>
        <v>2023_6</v>
      </c>
      <c r="EW255" t="str">
        <f t="shared" si="529"/>
        <v>2023_6</v>
      </c>
      <c r="EX255" t="str">
        <f t="shared" si="529"/>
        <v>2023_6</v>
      </c>
      <c r="EY255" t="str">
        <f t="shared" si="529"/>
        <v>2023_6</v>
      </c>
      <c r="FB255" s="10" t="s">
        <v>37</v>
      </c>
      <c r="FC255">
        <f t="shared" si="521"/>
        <v>0</v>
      </c>
      <c r="FD255">
        <f t="shared" si="471"/>
        <v>0</v>
      </c>
      <c r="FE255">
        <f t="shared" si="472"/>
        <v>0</v>
      </c>
      <c r="FF255">
        <f t="shared" si="473"/>
        <v>0</v>
      </c>
      <c r="FG255">
        <f t="shared" si="474"/>
        <v>0</v>
      </c>
      <c r="FH255">
        <f t="shared" si="475"/>
        <v>0</v>
      </c>
      <c r="FI255">
        <f t="shared" si="476"/>
        <v>0</v>
      </c>
      <c r="FJ255">
        <f t="shared" si="477"/>
        <v>0</v>
      </c>
      <c r="FK255">
        <f t="shared" si="478"/>
        <v>0</v>
      </c>
      <c r="FL255">
        <f t="shared" si="479"/>
        <v>0</v>
      </c>
      <c r="FM255">
        <f t="shared" si="480"/>
        <v>0</v>
      </c>
      <c r="FN255">
        <f t="shared" si="481"/>
        <v>0</v>
      </c>
      <c r="FO255">
        <f t="shared" si="482"/>
        <v>0</v>
      </c>
      <c r="FP255">
        <f t="shared" si="483"/>
        <v>0</v>
      </c>
      <c r="FQ255">
        <f t="shared" si="484"/>
        <v>0</v>
      </c>
      <c r="FR255">
        <f t="shared" si="485"/>
        <v>0</v>
      </c>
      <c r="FS255">
        <f t="shared" si="486"/>
        <v>0</v>
      </c>
      <c r="FT255">
        <f t="shared" si="487"/>
        <v>0</v>
      </c>
      <c r="FU255">
        <f t="shared" si="488"/>
        <v>0</v>
      </c>
      <c r="FV255">
        <f t="shared" si="489"/>
        <v>0</v>
      </c>
      <c r="FW255">
        <f t="shared" si="490"/>
        <v>0</v>
      </c>
      <c r="FX255">
        <f t="shared" si="491"/>
        <v>0</v>
      </c>
      <c r="FY255">
        <f t="shared" si="492"/>
        <v>0</v>
      </c>
      <c r="FZ255">
        <f t="shared" si="493"/>
        <v>0</v>
      </c>
      <c r="GA255">
        <f t="shared" si="494"/>
        <v>0</v>
      </c>
      <c r="GB255">
        <f t="shared" si="495"/>
        <v>0</v>
      </c>
      <c r="GC255">
        <f t="shared" si="496"/>
        <v>0</v>
      </c>
      <c r="GD255">
        <f t="shared" si="497"/>
        <v>0</v>
      </c>
      <c r="GE255">
        <f t="shared" si="498"/>
        <v>0</v>
      </c>
      <c r="GF255">
        <f t="shared" si="499"/>
        <v>0</v>
      </c>
      <c r="GG255">
        <f t="shared" si="500"/>
        <v>0</v>
      </c>
      <c r="GH255">
        <f t="shared" si="501"/>
        <v>0</v>
      </c>
      <c r="GI255">
        <f t="shared" si="502"/>
        <v>0</v>
      </c>
      <c r="GJ255">
        <f t="shared" si="503"/>
        <v>0</v>
      </c>
      <c r="GK255">
        <f t="shared" si="504"/>
        <v>0</v>
      </c>
      <c r="GL255">
        <f t="shared" si="505"/>
        <v>0</v>
      </c>
      <c r="GM255">
        <f t="shared" si="506"/>
        <v>0</v>
      </c>
      <c r="GN255">
        <f t="shared" si="507"/>
        <v>0</v>
      </c>
      <c r="GO255">
        <f t="shared" si="508"/>
        <v>1</v>
      </c>
      <c r="GP255">
        <f t="shared" si="509"/>
        <v>1</v>
      </c>
      <c r="GQ255">
        <f t="shared" si="510"/>
        <v>1</v>
      </c>
      <c r="GR255">
        <f t="shared" si="511"/>
        <v>1</v>
      </c>
      <c r="GS255">
        <f t="shared" si="512"/>
        <v>1</v>
      </c>
      <c r="GT255">
        <f t="shared" si="513"/>
        <v>1</v>
      </c>
      <c r="GU255">
        <f t="shared" si="514"/>
        <v>1</v>
      </c>
      <c r="GX255" s="10"/>
    </row>
    <row r="256" spans="1:206" x14ac:dyDescent="0.3">
      <c r="A256" s="9" t="s">
        <v>33</v>
      </c>
      <c r="B256" s="80"/>
      <c r="C256" s="9">
        <v>3160296001</v>
      </c>
      <c r="D256" s="9" t="s">
        <v>458</v>
      </c>
      <c r="E256" s="9" t="s">
        <v>34</v>
      </c>
      <c r="F256" s="9" t="s">
        <v>35</v>
      </c>
      <c r="G256" s="9" t="s">
        <v>263</v>
      </c>
      <c r="H256" s="10">
        <v>45103</v>
      </c>
      <c r="I256" s="9">
        <f t="shared" si="515"/>
        <v>2023</v>
      </c>
      <c r="J256" s="9">
        <f t="shared" si="516"/>
        <v>6</v>
      </c>
      <c r="K256" s="9" t="str">
        <f t="shared" si="517"/>
        <v>2023_6</v>
      </c>
      <c r="L256">
        <f>MAX(0,VLOOKUP($K256,lookups!$A$1:$B$45,2,0)-12)</f>
        <v>26</v>
      </c>
      <c r="M256" s="40">
        <f t="shared" si="518"/>
        <v>45078</v>
      </c>
      <c r="N256" s="10" t="s">
        <v>37</v>
      </c>
      <c r="O256" t="str">
        <f ca="1">IF(OR($L256&gt;O$4,O$4&gt;$L256+23),"",OFFSET(Electric!$L247,0,-'Electric Calendarize'!$L256+'Electric Calendarize'!O$4+1))</f>
        <v/>
      </c>
      <c r="P256" t="str">
        <f ca="1">IF(OR($L256&gt;P$4,P$4&gt;$L256+23),"",OFFSET(Electric!$L247,0,-'Electric Calendarize'!$L256+'Electric Calendarize'!P$4+1))</f>
        <v/>
      </c>
      <c r="Q256" t="str">
        <f ca="1">IF(OR($L256&gt;Q$4,Q$4&gt;$L256+23),"",OFFSET(Electric!$L247,0,-'Electric Calendarize'!$L256+'Electric Calendarize'!Q$4+1))</f>
        <v/>
      </c>
      <c r="R256" t="str">
        <f ca="1">IF(OR($L256&gt;R$4,R$4&gt;$L256+23),"",OFFSET(Electric!$L247,0,-'Electric Calendarize'!$L256+'Electric Calendarize'!R$4+1))</f>
        <v/>
      </c>
      <c r="S256" t="str">
        <f ca="1">IF(OR($L256&gt;S$4,S$4&gt;$L256+23),"",OFFSET(Electric!$L247,0,-'Electric Calendarize'!$L256+'Electric Calendarize'!S$4+1))</f>
        <v/>
      </c>
      <c r="T256" t="str">
        <f ca="1">IF(OR($L256&gt;T$4,T$4&gt;$L256+23),"",OFFSET(Electric!$L247,0,-'Electric Calendarize'!$L256+'Electric Calendarize'!T$4+1))</f>
        <v/>
      </c>
      <c r="U256" t="str">
        <f ca="1">IF(OR($L256&gt;U$4,U$4&gt;$L256+23),"",OFFSET(Electric!$L247,0,-'Electric Calendarize'!$L256+'Electric Calendarize'!U$4+1))</f>
        <v/>
      </c>
      <c r="V256" t="str">
        <f ca="1">IF(OR($L256&gt;V$4,V$4&gt;$L256+23),"",OFFSET(Electric!$L247,0,-'Electric Calendarize'!$L256+'Electric Calendarize'!V$4+1))</f>
        <v/>
      </c>
      <c r="W256" t="str">
        <f ca="1">IF(OR($L256&gt;W$4,W$4&gt;$L256+23),"",OFFSET(Electric!$L247,0,-'Electric Calendarize'!$L256+'Electric Calendarize'!W$4+1))</f>
        <v/>
      </c>
      <c r="X256" t="str">
        <f ca="1">IF(OR($L256&gt;X$4,X$4&gt;$L256+23),"",OFFSET(Electric!$L247,0,-'Electric Calendarize'!$L256+'Electric Calendarize'!X$4+1))</f>
        <v/>
      </c>
      <c r="Y256" t="str">
        <f ca="1">IF(OR($L256&gt;Y$4,Y$4&gt;$L256+23),"",OFFSET(Electric!$L247,0,-'Electric Calendarize'!$L256+'Electric Calendarize'!Y$4+1))</f>
        <v/>
      </c>
      <c r="Z256" t="str">
        <f ca="1">IF(OR($L256&gt;Z$4,Z$4&gt;$L256+23),"",OFFSET(Electric!$L247,0,-'Electric Calendarize'!$L256+'Electric Calendarize'!Z$4+1))</f>
        <v/>
      </c>
      <c r="AA256" t="str">
        <f ca="1">IF(OR($L256&gt;AA$4,AA$4&gt;$L256+23),"",OFFSET(Electric!$L247,0,-'Electric Calendarize'!$L256+'Electric Calendarize'!AA$4+1))</f>
        <v/>
      </c>
      <c r="AB256" t="str">
        <f ca="1">IF(OR($L256&gt;AB$4,AB$4&gt;$L256+23),"",OFFSET(Electric!$L247,0,-'Electric Calendarize'!$L256+'Electric Calendarize'!AB$4+1))</f>
        <v/>
      </c>
      <c r="AC256" t="str">
        <f ca="1">IF(OR($L256&gt;AC$4,AC$4&gt;$L256+23),"",OFFSET(Electric!$L247,0,-'Electric Calendarize'!$L256+'Electric Calendarize'!AC$4+1))</f>
        <v/>
      </c>
      <c r="AD256" t="str">
        <f ca="1">IF(OR($L256&gt;AD$4,AD$4&gt;$L256+23),"",OFFSET(Electric!$L247,0,-'Electric Calendarize'!$L256+'Electric Calendarize'!AD$4+1))</f>
        <v/>
      </c>
      <c r="AE256" t="str">
        <f ca="1">IF(OR($L256&gt;AE$4,AE$4&gt;$L256+23),"",OFFSET(Electric!$L247,0,-'Electric Calendarize'!$L256+'Electric Calendarize'!AE$4+1))</f>
        <v/>
      </c>
      <c r="AF256" t="str">
        <f ca="1">IF(OR($L256&gt;AF$4,AF$4&gt;$L256+23),"",OFFSET(Electric!$L247,0,-'Electric Calendarize'!$L256+'Electric Calendarize'!AF$4+1))</f>
        <v/>
      </c>
      <c r="AG256" t="str">
        <f ca="1">IF(OR($L256&gt;AG$4,AG$4&gt;$L256+23),"",OFFSET(Electric!$L247,0,-'Electric Calendarize'!$L256+'Electric Calendarize'!AG$4+1))</f>
        <v/>
      </c>
      <c r="AH256" t="str">
        <f ca="1">IF(OR($L256&gt;AH$4,AH$4&gt;$L256+23),"",OFFSET(Electric!$L247,0,-'Electric Calendarize'!$L256+'Electric Calendarize'!AH$4+1))</f>
        <v/>
      </c>
      <c r="AI256" t="str">
        <f ca="1">IF(OR($L256&gt;AI$4,AI$4&gt;$L256+23),"",OFFSET(Electric!$L247,0,-'Electric Calendarize'!$L256+'Electric Calendarize'!AI$4+1))</f>
        <v/>
      </c>
      <c r="AJ256" t="str">
        <f ca="1">IF(OR($L256&gt;AJ$4,AJ$4&gt;$L256+23),"",OFFSET(Electric!$L247,0,-'Electric Calendarize'!$L256+'Electric Calendarize'!AJ$4+1))</f>
        <v/>
      </c>
      <c r="AK256" t="str">
        <f ca="1">IF(OR($L256&gt;AK$4,AK$4&gt;$L256+23),"",OFFSET(Electric!$L247,0,-'Electric Calendarize'!$L256+'Electric Calendarize'!AK$4+1))</f>
        <v/>
      </c>
      <c r="AL256" t="str">
        <f ca="1">IF(OR($L256&gt;AL$4,AL$4&gt;$L256+23),"",OFFSET(Electric!$L247,0,-'Electric Calendarize'!$L256+'Electric Calendarize'!AL$4+1))</f>
        <v/>
      </c>
      <c r="AM256" t="str">
        <f ca="1">IF(OR($L256&gt;AM$4,AM$4&gt;$L256+23),"",OFFSET(Electric!$L247,0,-'Electric Calendarize'!$L256+'Electric Calendarize'!AM$4+1))</f>
        <v/>
      </c>
      <c r="AN256" t="str">
        <f ca="1">IF(OR($L256&gt;AN$4,AN$4&gt;$L256+23),"",OFFSET(Electric!$L247,0,-'Electric Calendarize'!$L256+'Electric Calendarize'!AN$4+1))</f>
        <v/>
      </c>
      <c r="AO256">
        <f ca="1">IF(OR($L256&gt;AO$4,AO$4&gt;$L256+23),"",OFFSET(Electric!$L247,0,-'Electric Calendarize'!$L256+'Electric Calendarize'!AO$4+1))</f>
        <v>497</v>
      </c>
      <c r="AP256">
        <f ca="1">IF(OR($L256&gt;AP$4,AP$4&gt;$L256+23),"",OFFSET(Electric!$L247,0,-'Electric Calendarize'!$L256+'Electric Calendarize'!AP$4+1))</f>
        <v>923</v>
      </c>
      <c r="AQ256">
        <f ca="1">IF(OR($L256&gt;AQ$4,AQ$4&gt;$L256+23),"",OFFSET(Electric!$L247,0,-'Electric Calendarize'!$L256+'Electric Calendarize'!AQ$4+1))</f>
        <v>1088</v>
      </c>
      <c r="AR256">
        <f ca="1">IF(OR($L256&gt;AR$4,AR$4&gt;$L256+23),"",OFFSET(Electric!$L247,0,-'Electric Calendarize'!$L256+'Electric Calendarize'!AR$4+1))</f>
        <v>915</v>
      </c>
      <c r="AS256">
        <f ca="1">IF(OR($L256&gt;AS$4,AS$4&gt;$L256+23),"",OFFSET(Electric!$L247,0,-'Electric Calendarize'!$L256+'Electric Calendarize'!AS$4+1))</f>
        <v>690</v>
      </c>
      <c r="AT256">
        <f ca="1">IF(OR($L256&gt;AT$4,AT$4&gt;$L256+23),"",OFFSET(Electric!$L247,0,-'Electric Calendarize'!$L256+'Electric Calendarize'!AT$4+1))</f>
        <v>656</v>
      </c>
      <c r="AU256">
        <f ca="1">IF(OR($L256&gt;AU$4,AU$4&gt;$L256+23),"",OFFSET(Electric!$L247,0,-'Electric Calendarize'!$L256+'Electric Calendarize'!AU$4+1))</f>
        <v>545</v>
      </c>
      <c r="AV256">
        <f ca="1">IF(OR($L256&gt;AV$4,AV$4&gt;$L256+23),"",OFFSET(Electric!$L247,0,-'Electric Calendarize'!$L256+'Electric Calendarize'!AV$4+1))</f>
        <v>748</v>
      </c>
      <c r="AW256">
        <f ca="1">IF(OR($L256&gt;AW$4,AW$4&gt;$L256+23),"",OFFSET(Electric!$L247,0,-'Electric Calendarize'!$L256+'Electric Calendarize'!AW$4+1))</f>
        <v>769</v>
      </c>
      <c r="AX256">
        <f ca="1">IF(OR($L256&gt;AX$4,AX$4&gt;$L256+23),"",OFFSET(Electric!$L247,0,-'Electric Calendarize'!$L256+'Electric Calendarize'!AX$4+1))</f>
        <v>542</v>
      </c>
      <c r="AY256">
        <f ca="1">IF(OR($L256&gt;AY$4,AY$4&gt;$L256+23),"",OFFSET(Electric!$L247,0,-'Electric Calendarize'!$L256+'Electric Calendarize'!AY$4+1))</f>
        <v>576</v>
      </c>
      <c r="AZ256">
        <f ca="1">IF(OR($L256&gt;AZ$4,AZ$4&gt;$L256+23),"",OFFSET(Electric!$L247,0,-'Electric Calendarize'!$L256+'Electric Calendarize'!AZ$4+1))</f>
        <v>563</v>
      </c>
      <c r="BA256">
        <f ca="1">IF(OR($L256&gt;BA$4,BA$4&gt;$L256+23),"",OFFSET(Electric!$L247,0,-'Electric Calendarize'!$L256+'Electric Calendarize'!BA$4+1))</f>
        <v>579</v>
      </c>
      <c r="BB256">
        <f ca="1">IF(OR($L256&gt;BB$4,BB$4&gt;$L256+23),"",OFFSET(Electric!$L247,0,-'Electric Calendarize'!$L256+'Electric Calendarize'!BB$4+1))</f>
        <v>1151</v>
      </c>
      <c r="BC256">
        <f ca="1">IF(OR($L256&gt;BC$4,BC$4&gt;$L256+23),"",OFFSET(Electric!$L247,0,-'Electric Calendarize'!$L256+'Electric Calendarize'!BC$4+1))</f>
        <v>1131</v>
      </c>
      <c r="BD256">
        <f ca="1">IF(OR($L256&gt;BD$4,BD$4&gt;$L256+23),"",OFFSET(Electric!$L247,0,-'Electric Calendarize'!$L256+'Electric Calendarize'!BD$4+1))</f>
        <v>1032</v>
      </c>
      <c r="BE256">
        <f ca="1">IF(OR($L256&gt;BE$4,BE$4&gt;$L256+23),"",OFFSET(Electric!$L247,0,-'Electric Calendarize'!$L256+'Electric Calendarize'!BE$4+1))</f>
        <v>984</v>
      </c>
      <c r="BF256">
        <f ca="1">IF(OR($L256&gt;BF$4,BF$4&gt;$L256+23),"",OFFSET(Electric!$L247,0,-'Electric Calendarize'!$L256+'Electric Calendarize'!BF$4+1))</f>
        <v>593</v>
      </c>
      <c r="BG256">
        <f ca="1">IF(OR($L256&gt;BG$4,BG$4&gt;$L256+23),"",OFFSET(Electric!$L247,0,-'Electric Calendarize'!$L256+'Electric Calendarize'!BG$4+1))</f>
        <v>0</v>
      </c>
      <c r="BJ256" s="10" t="s">
        <v>37</v>
      </c>
      <c r="BK256">
        <f t="shared" si="519"/>
        <v>1</v>
      </c>
      <c r="BL256">
        <f t="shared" si="425"/>
        <v>0</v>
      </c>
      <c r="BM256">
        <f t="shared" si="426"/>
        <v>0</v>
      </c>
      <c r="BN256">
        <f t="shared" si="427"/>
        <v>0</v>
      </c>
      <c r="BO256">
        <f t="shared" si="428"/>
        <v>0</v>
      </c>
      <c r="BP256">
        <f t="shared" si="429"/>
        <v>0</v>
      </c>
      <c r="BQ256">
        <f t="shared" si="430"/>
        <v>0</v>
      </c>
      <c r="BR256">
        <f t="shared" si="431"/>
        <v>1</v>
      </c>
      <c r="BS256">
        <f t="shared" si="432"/>
        <v>1</v>
      </c>
      <c r="BT256">
        <f t="shared" si="433"/>
        <v>1</v>
      </c>
      <c r="BU256">
        <f t="shared" si="434"/>
        <v>1</v>
      </c>
      <c r="BV256">
        <f t="shared" si="435"/>
        <v>1</v>
      </c>
      <c r="BW256">
        <f t="shared" si="436"/>
        <v>1</v>
      </c>
      <c r="BX256">
        <f t="shared" si="437"/>
        <v>0</v>
      </c>
      <c r="BY256">
        <f t="shared" si="438"/>
        <v>0</v>
      </c>
      <c r="BZ256">
        <f t="shared" si="439"/>
        <v>0</v>
      </c>
      <c r="CA256">
        <f t="shared" si="440"/>
        <v>0</v>
      </c>
      <c r="CB256">
        <f t="shared" si="441"/>
        <v>0</v>
      </c>
      <c r="CC256">
        <f t="shared" si="442"/>
        <v>0</v>
      </c>
      <c r="CD256">
        <f t="shared" si="443"/>
        <v>1</v>
      </c>
      <c r="CE256">
        <f t="shared" si="444"/>
        <v>1</v>
      </c>
      <c r="CF256">
        <f t="shared" si="445"/>
        <v>1</v>
      </c>
      <c r="CG256">
        <f t="shared" si="446"/>
        <v>1</v>
      </c>
      <c r="CH256">
        <f t="shared" si="447"/>
        <v>1</v>
      </c>
      <c r="CI256">
        <f t="shared" si="448"/>
        <v>1</v>
      </c>
      <c r="CJ256">
        <f t="shared" si="449"/>
        <v>0</v>
      </c>
      <c r="CK256">
        <f t="shared" si="450"/>
        <v>0</v>
      </c>
      <c r="CL256">
        <f t="shared" si="451"/>
        <v>0</v>
      </c>
      <c r="CM256">
        <f t="shared" si="452"/>
        <v>0</v>
      </c>
      <c r="CN256">
        <f t="shared" si="453"/>
        <v>0</v>
      </c>
      <c r="CO256">
        <f t="shared" si="454"/>
        <v>0</v>
      </c>
      <c r="CP256">
        <f t="shared" si="455"/>
        <v>1</v>
      </c>
      <c r="CQ256">
        <f t="shared" si="456"/>
        <v>1</v>
      </c>
      <c r="CR256">
        <f t="shared" si="457"/>
        <v>1</v>
      </c>
      <c r="CS256">
        <f t="shared" si="458"/>
        <v>1</v>
      </c>
      <c r="CT256">
        <f t="shared" si="459"/>
        <v>1</v>
      </c>
      <c r="CU256">
        <f t="shared" si="460"/>
        <v>1</v>
      </c>
      <c r="CV256">
        <f t="shared" si="461"/>
        <v>0</v>
      </c>
      <c r="CW256">
        <f t="shared" si="462"/>
        <v>0</v>
      </c>
      <c r="CX256">
        <f t="shared" si="463"/>
        <v>0</v>
      </c>
      <c r="CY256">
        <f t="shared" si="464"/>
        <v>0</v>
      </c>
      <c r="CZ256">
        <f t="shared" si="465"/>
        <v>0</v>
      </c>
      <c r="DA256">
        <f t="shared" si="466"/>
        <v>0</v>
      </c>
      <c r="DB256">
        <f t="shared" si="467"/>
        <v>1</v>
      </c>
      <c r="DC256">
        <f t="shared" si="468"/>
        <v>1</v>
      </c>
      <c r="DF256" s="10" t="s">
        <v>37</v>
      </c>
      <c r="DG256" t="str">
        <f t="shared" si="531"/>
        <v>2023_6</v>
      </c>
      <c r="DH256" t="str">
        <f t="shared" si="531"/>
        <v>2023_6</v>
      </c>
      <c r="DI256" t="str">
        <f t="shared" si="531"/>
        <v>2023_6</v>
      </c>
      <c r="DJ256" t="str">
        <f t="shared" si="531"/>
        <v>2023_6</v>
      </c>
      <c r="DK256" t="str">
        <f t="shared" si="531"/>
        <v>2023_6</v>
      </c>
      <c r="DL256" t="str">
        <f t="shared" si="531"/>
        <v>2023_6</v>
      </c>
      <c r="DM256" t="str">
        <f t="shared" si="531"/>
        <v>2023_6</v>
      </c>
      <c r="DN256" t="str">
        <f t="shared" si="531"/>
        <v>2023_6</v>
      </c>
      <c r="DO256" t="str">
        <f t="shared" si="531"/>
        <v>2023_6</v>
      </c>
      <c r="DP256" t="str">
        <f t="shared" si="531"/>
        <v>2023_6</v>
      </c>
      <c r="DQ256" t="str">
        <f t="shared" si="531"/>
        <v>2023_6</v>
      </c>
      <c r="DR256" t="str">
        <f t="shared" si="531"/>
        <v>2023_6</v>
      </c>
      <c r="DS256" t="str">
        <f t="shared" si="531"/>
        <v>2023_6</v>
      </c>
      <c r="DT256" t="str">
        <f t="shared" si="531"/>
        <v>2023_6</v>
      </c>
      <c r="DU256" t="str">
        <f t="shared" si="531"/>
        <v>2023_6</v>
      </c>
      <c r="DV256" t="str">
        <f t="shared" si="531"/>
        <v>2023_6</v>
      </c>
      <c r="DW256" t="str">
        <f t="shared" si="530"/>
        <v>2023_6</v>
      </c>
      <c r="DX256" t="str">
        <f t="shared" si="530"/>
        <v>2023_6</v>
      </c>
      <c r="DY256" t="str">
        <f t="shared" si="530"/>
        <v>2023_6</v>
      </c>
      <c r="DZ256" t="str">
        <f t="shared" si="530"/>
        <v>2023_6</v>
      </c>
      <c r="EA256" t="str">
        <f t="shared" si="530"/>
        <v>2023_6</v>
      </c>
      <c r="EB256" t="str">
        <f t="shared" si="530"/>
        <v>2023_6</v>
      </c>
      <c r="EC256" t="str">
        <f t="shared" si="530"/>
        <v>2023_6</v>
      </c>
      <c r="ED256" t="str">
        <f t="shared" si="530"/>
        <v>2023_6</v>
      </c>
      <c r="EE256" t="str">
        <f t="shared" si="530"/>
        <v>2023_6</v>
      </c>
      <c r="EF256" t="str">
        <f t="shared" si="530"/>
        <v>2023_6</v>
      </c>
      <c r="EG256" t="str">
        <f t="shared" si="530"/>
        <v>2023_6</v>
      </c>
      <c r="EH256" t="str">
        <f t="shared" si="530"/>
        <v>2023_6</v>
      </c>
      <c r="EI256" t="str">
        <f t="shared" si="530"/>
        <v>2023_6</v>
      </c>
      <c r="EJ256" t="str">
        <f t="shared" si="530"/>
        <v>2023_6</v>
      </c>
      <c r="EK256" t="str">
        <f t="shared" si="529"/>
        <v>2023_6</v>
      </c>
      <c r="EL256" t="str">
        <f t="shared" si="529"/>
        <v>2023_6</v>
      </c>
      <c r="EM256" t="str">
        <f t="shared" si="529"/>
        <v>2023_6</v>
      </c>
      <c r="EN256" t="str">
        <f t="shared" si="529"/>
        <v>2023_6</v>
      </c>
      <c r="EO256" t="str">
        <f t="shared" si="529"/>
        <v>2023_6</v>
      </c>
      <c r="EP256" t="str">
        <f t="shared" si="529"/>
        <v>2023_6</v>
      </c>
      <c r="EQ256" t="str">
        <f t="shared" si="529"/>
        <v>2023_6</v>
      </c>
      <c r="ER256" t="str">
        <f t="shared" si="529"/>
        <v>2023_6</v>
      </c>
      <c r="ES256" t="str">
        <f t="shared" si="529"/>
        <v>2023_6</v>
      </c>
      <c r="ET256" t="str">
        <f t="shared" si="529"/>
        <v>2023_6</v>
      </c>
      <c r="EU256" t="str">
        <f t="shared" si="529"/>
        <v>2023_6</v>
      </c>
      <c r="EV256" t="str">
        <f t="shared" si="529"/>
        <v>2023_6</v>
      </c>
      <c r="EW256" t="str">
        <f t="shared" si="529"/>
        <v>2023_6</v>
      </c>
      <c r="EX256" t="str">
        <f t="shared" si="529"/>
        <v>2023_6</v>
      </c>
      <c r="EY256" t="str">
        <f t="shared" si="529"/>
        <v>2023_6</v>
      </c>
      <c r="FB256" s="10" t="s">
        <v>37</v>
      </c>
      <c r="FC256">
        <f t="shared" si="521"/>
        <v>0</v>
      </c>
      <c r="FD256">
        <f t="shared" si="471"/>
        <v>0</v>
      </c>
      <c r="FE256">
        <f t="shared" si="472"/>
        <v>0</v>
      </c>
      <c r="FF256">
        <f t="shared" si="473"/>
        <v>0</v>
      </c>
      <c r="FG256">
        <f t="shared" si="474"/>
        <v>0</v>
      </c>
      <c r="FH256">
        <f t="shared" si="475"/>
        <v>0</v>
      </c>
      <c r="FI256">
        <f t="shared" si="476"/>
        <v>0</v>
      </c>
      <c r="FJ256">
        <f t="shared" si="477"/>
        <v>0</v>
      </c>
      <c r="FK256">
        <f t="shared" si="478"/>
        <v>0</v>
      </c>
      <c r="FL256">
        <f t="shared" si="479"/>
        <v>0</v>
      </c>
      <c r="FM256">
        <f t="shared" si="480"/>
        <v>0</v>
      </c>
      <c r="FN256">
        <f t="shared" si="481"/>
        <v>0</v>
      </c>
      <c r="FO256">
        <f t="shared" si="482"/>
        <v>0</v>
      </c>
      <c r="FP256">
        <f t="shared" si="483"/>
        <v>0</v>
      </c>
      <c r="FQ256">
        <f t="shared" si="484"/>
        <v>0</v>
      </c>
      <c r="FR256">
        <f t="shared" si="485"/>
        <v>0</v>
      </c>
      <c r="FS256">
        <f t="shared" si="486"/>
        <v>0</v>
      </c>
      <c r="FT256">
        <f t="shared" si="487"/>
        <v>0</v>
      </c>
      <c r="FU256">
        <f t="shared" si="488"/>
        <v>0</v>
      </c>
      <c r="FV256">
        <f t="shared" si="489"/>
        <v>0</v>
      </c>
      <c r="FW256">
        <f t="shared" si="490"/>
        <v>0</v>
      </c>
      <c r="FX256">
        <f t="shared" si="491"/>
        <v>0</v>
      </c>
      <c r="FY256">
        <f t="shared" si="492"/>
        <v>0</v>
      </c>
      <c r="FZ256">
        <f t="shared" si="493"/>
        <v>0</v>
      </c>
      <c r="GA256">
        <f t="shared" si="494"/>
        <v>0</v>
      </c>
      <c r="GB256">
        <f t="shared" si="495"/>
        <v>0</v>
      </c>
      <c r="GC256">
        <f t="shared" si="496"/>
        <v>0</v>
      </c>
      <c r="GD256">
        <f t="shared" si="497"/>
        <v>0</v>
      </c>
      <c r="GE256">
        <f t="shared" si="498"/>
        <v>0</v>
      </c>
      <c r="GF256">
        <f t="shared" si="499"/>
        <v>0</v>
      </c>
      <c r="GG256">
        <f t="shared" si="500"/>
        <v>0</v>
      </c>
      <c r="GH256">
        <f t="shared" si="501"/>
        <v>0</v>
      </c>
      <c r="GI256">
        <f t="shared" si="502"/>
        <v>0</v>
      </c>
      <c r="GJ256">
        <f t="shared" si="503"/>
        <v>0</v>
      </c>
      <c r="GK256">
        <f t="shared" si="504"/>
        <v>0</v>
      </c>
      <c r="GL256">
        <f t="shared" si="505"/>
        <v>0</v>
      </c>
      <c r="GM256">
        <f t="shared" si="506"/>
        <v>0</v>
      </c>
      <c r="GN256">
        <f t="shared" si="507"/>
        <v>0</v>
      </c>
      <c r="GO256">
        <f t="shared" si="508"/>
        <v>1</v>
      </c>
      <c r="GP256">
        <f t="shared" si="509"/>
        <v>1</v>
      </c>
      <c r="GQ256">
        <f t="shared" si="510"/>
        <v>1</v>
      </c>
      <c r="GR256">
        <f t="shared" si="511"/>
        <v>1</v>
      </c>
      <c r="GS256">
        <f t="shared" si="512"/>
        <v>1</v>
      </c>
      <c r="GT256">
        <f t="shared" si="513"/>
        <v>1</v>
      </c>
      <c r="GU256">
        <f t="shared" si="514"/>
        <v>1</v>
      </c>
      <c r="GX256" s="10"/>
    </row>
    <row r="257" spans="1:206" x14ac:dyDescent="0.3">
      <c r="A257" s="9" t="s">
        <v>33</v>
      </c>
      <c r="B257" s="80"/>
      <c r="C257" s="9">
        <v>3062489001</v>
      </c>
      <c r="D257" s="9" t="s">
        <v>373</v>
      </c>
      <c r="E257" s="9" t="s">
        <v>34</v>
      </c>
      <c r="F257" s="9" t="s">
        <v>35</v>
      </c>
      <c r="G257" s="9" t="s">
        <v>153</v>
      </c>
      <c r="H257" s="10">
        <v>45110</v>
      </c>
      <c r="I257" s="9">
        <f t="shared" si="515"/>
        <v>2023</v>
      </c>
      <c r="J257" s="9">
        <f t="shared" si="516"/>
        <v>7</v>
      </c>
      <c r="K257" s="9" t="str">
        <f t="shared" si="517"/>
        <v>2023_7</v>
      </c>
      <c r="L257">
        <f>MAX(0,VLOOKUP($K257,lookups!$A$1:$B$45,2,0)-12)</f>
        <v>27</v>
      </c>
      <c r="M257" s="40">
        <f t="shared" si="518"/>
        <v>45108</v>
      </c>
      <c r="N257" s="10" t="s">
        <v>37</v>
      </c>
      <c r="O257" t="str">
        <f ca="1">IF(OR($L257&gt;O$4,O$4&gt;$L257+23),"",OFFSET(Electric!$L248,0,-'Electric Calendarize'!$L257+'Electric Calendarize'!O$4+1))</f>
        <v/>
      </c>
      <c r="P257" t="str">
        <f ca="1">IF(OR($L257&gt;P$4,P$4&gt;$L257+23),"",OFFSET(Electric!$L248,0,-'Electric Calendarize'!$L257+'Electric Calendarize'!P$4+1))</f>
        <v/>
      </c>
      <c r="Q257" t="str">
        <f ca="1">IF(OR($L257&gt;Q$4,Q$4&gt;$L257+23),"",OFFSET(Electric!$L248,0,-'Electric Calendarize'!$L257+'Electric Calendarize'!Q$4+1))</f>
        <v/>
      </c>
      <c r="R257" t="str">
        <f ca="1">IF(OR($L257&gt;R$4,R$4&gt;$L257+23),"",OFFSET(Electric!$L248,0,-'Electric Calendarize'!$L257+'Electric Calendarize'!R$4+1))</f>
        <v/>
      </c>
      <c r="S257" t="str">
        <f ca="1">IF(OR($L257&gt;S$4,S$4&gt;$L257+23),"",OFFSET(Electric!$L248,0,-'Electric Calendarize'!$L257+'Electric Calendarize'!S$4+1))</f>
        <v/>
      </c>
      <c r="T257" t="str">
        <f ca="1">IF(OR($L257&gt;T$4,T$4&gt;$L257+23),"",OFFSET(Electric!$L248,0,-'Electric Calendarize'!$L257+'Electric Calendarize'!T$4+1))</f>
        <v/>
      </c>
      <c r="U257" t="str">
        <f ca="1">IF(OR($L257&gt;U$4,U$4&gt;$L257+23),"",OFFSET(Electric!$L248,0,-'Electric Calendarize'!$L257+'Electric Calendarize'!U$4+1))</f>
        <v/>
      </c>
      <c r="V257" t="str">
        <f ca="1">IF(OR($L257&gt;V$4,V$4&gt;$L257+23),"",OFFSET(Electric!$L248,0,-'Electric Calendarize'!$L257+'Electric Calendarize'!V$4+1))</f>
        <v/>
      </c>
      <c r="W257" t="str">
        <f ca="1">IF(OR($L257&gt;W$4,W$4&gt;$L257+23),"",OFFSET(Electric!$L248,0,-'Electric Calendarize'!$L257+'Electric Calendarize'!W$4+1))</f>
        <v/>
      </c>
      <c r="X257" t="str">
        <f ca="1">IF(OR($L257&gt;X$4,X$4&gt;$L257+23),"",OFFSET(Electric!$L248,0,-'Electric Calendarize'!$L257+'Electric Calendarize'!X$4+1))</f>
        <v/>
      </c>
      <c r="Y257" t="str">
        <f ca="1">IF(OR($L257&gt;Y$4,Y$4&gt;$L257+23),"",OFFSET(Electric!$L248,0,-'Electric Calendarize'!$L257+'Electric Calendarize'!Y$4+1))</f>
        <v/>
      </c>
      <c r="Z257" t="str">
        <f ca="1">IF(OR($L257&gt;Z$4,Z$4&gt;$L257+23),"",OFFSET(Electric!$L248,0,-'Electric Calendarize'!$L257+'Electric Calendarize'!Z$4+1))</f>
        <v/>
      </c>
      <c r="AA257" t="str">
        <f ca="1">IF(OR($L257&gt;AA$4,AA$4&gt;$L257+23),"",OFFSET(Electric!$L248,0,-'Electric Calendarize'!$L257+'Electric Calendarize'!AA$4+1))</f>
        <v/>
      </c>
      <c r="AB257" t="str">
        <f ca="1">IF(OR($L257&gt;AB$4,AB$4&gt;$L257+23),"",OFFSET(Electric!$L248,0,-'Electric Calendarize'!$L257+'Electric Calendarize'!AB$4+1))</f>
        <v/>
      </c>
      <c r="AC257" t="str">
        <f ca="1">IF(OR($L257&gt;AC$4,AC$4&gt;$L257+23),"",OFFSET(Electric!$L248,0,-'Electric Calendarize'!$L257+'Electric Calendarize'!AC$4+1))</f>
        <v/>
      </c>
      <c r="AD257" t="str">
        <f ca="1">IF(OR($L257&gt;AD$4,AD$4&gt;$L257+23),"",OFFSET(Electric!$L248,0,-'Electric Calendarize'!$L257+'Electric Calendarize'!AD$4+1))</f>
        <v/>
      </c>
      <c r="AE257" t="str">
        <f ca="1">IF(OR($L257&gt;AE$4,AE$4&gt;$L257+23),"",OFFSET(Electric!$L248,0,-'Electric Calendarize'!$L257+'Electric Calendarize'!AE$4+1))</f>
        <v/>
      </c>
      <c r="AF257" t="str">
        <f ca="1">IF(OR($L257&gt;AF$4,AF$4&gt;$L257+23),"",OFFSET(Electric!$L248,0,-'Electric Calendarize'!$L257+'Electric Calendarize'!AF$4+1))</f>
        <v/>
      </c>
      <c r="AG257" t="str">
        <f ca="1">IF(OR($L257&gt;AG$4,AG$4&gt;$L257+23),"",OFFSET(Electric!$L248,0,-'Electric Calendarize'!$L257+'Electric Calendarize'!AG$4+1))</f>
        <v/>
      </c>
      <c r="AH257" t="str">
        <f ca="1">IF(OR($L257&gt;AH$4,AH$4&gt;$L257+23),"",OFFSET(Electric!$L248,0,-'Electric Calendarize'!$L257+'Electric Calendarize'!AH$4+1))</f>
        <v/>
      </c>
      <c r="AI257" t="str">
        <f ca="1">IF(OR($L257&gt;AI$4,AI$4&gt;$L257+23),"",OFFSET(Electric!$L248,0,-'Electric Calendarize'!$L257+'Electric Calendarize'!AI$4+1))</f>
        <v/>
      </c>
      <c r="AJ257" t="str">
        <f ca="1">IF(OR($L257&gt;AJ$4,AJ$4&gt;$L257+23),"",OFFSET(Electric!$L248,0,-'Electric Calendarize'!$L257+'Electric Calendarize'!AJ$4+1))</f>
        <v/>
      </c>
      <c r="AK257" t="str">
        <f ca="1">IF(OR($L257&gt;AK$4,AK$4&gt;$L257+23),"",OFFSET(Electric!$L248,0,-'Electric Calendarize'!$L257+'Electric Calendarize'!AK$4+1))</f>
        <v/>
      </c>
      <c r="AL257" t="str">
        <f ca="1">IF(OR($L257&gt;AL$4,AL$4&gt;$L257+23),"",OFFSET(Electric!$L248,0,-'Electric Calendarize'!$L257+'Electric Calendarize'!AL$4+1))</f>
        <v/>
      </c>
      <c r="AM257" t="str">
        <f ca="1">IF(OR($L257&gt;AM$4,AM$4&gt;$L257+23),"",OFFSET(Electric!$L248,0,-'Electric Calendarize'!$L257+'Electric Calendarize'!AM$4+1))</f>
        <v/>
      </c>
      <c r="AN257" t="str">
        <f ca="1">IF(OR($L257&gt;AN$4,AN$4&gt;$L257+23),"",OFFSET(Electric!$L248,0,-'Electric Calendarize'!$L257+'Electric Calendarize'!AN$4+1))</f>
        <v/>
      </c>
      <c r="AO257" t="str">
        <f ca="1">IF(OR($L257&gt;AO$4,AO$4&gt;$L257+23),"",OFFSET(Electric!$L248,0,-'Electric Calendarize'!$L257+'Electric Calendarize'!AO$4+1))</f>
        <v/>
      </c>
      <c r="AP257">
        <f ca="1">IF(OR($L257&gt;AP$4,AP$4&gt;$L257+23),"",OFFSET(Electric!$L248,0,-'Electric Calendarize'!$L257+'Electric Calendarize'!AP$4+1))</f>
        <v>923</v>
      </c>
      <c r="AQ257">
        <f ca="1">IF(OR($L257&gt;AQ$4,AQ$4&gt;$L257+23),"",OFFSET(Electric!$L248,0,-'Electric Calendarize'!$L257+'Electric Calendarize'!AQ$4+1))</f>
        <v>1088</v>
      </c>
      <c r="AR257">
        <f ca="1">IF(OR($L257&gt;AR$4,AR$4&gt;$L257+23),"",OFFSET(Electric!$L248,0,-'Electric Calendarize'!$L257+'Electric Calendarize'!AR$4+1))</f>
        <v>915</v>
      </c>
      <c r="AS257">
        <f ca="1">IF(OR($L257&gt;AS$4,AS$4&gt;$L257+23),"",OFFSET(Electric!$L248,0,-'Electric Calendarize'!$L257+'Electric Calendarize'!AS$4+1))</f>
        <v>690</v>
      </c>
      <c r="AT257">
        <f ca="1">IF(OR($L257&gt;AT$4,AT$4&gt;$L257+23),"",OFFSET(Electric!$L248,0,-'Electric Calendarize'!$L257+'Electric Calendarize'!AT$4+1))</f>
        <v>656</v>
      </c>
      <c r="AU257">
        <f ca="1">IF(OR($L257&gt;AU$4,AU$4&gt;$L257+23),"",OFFSET(Electric!$L248,0,-'Electric Calendarize'!$L257+'Electric Calendarize'!AU$4+1))</f>
        <v>545</v>
      </c>
      <c r="AV257">
        <f ca="1">IF(OR($L257&gt;AV$4,AV$4&gt;$L257+23),"",OFFSET(Electric!$L248,0,-'Electric Calendarize'!$L257+'Electric Calendarize'!AV$4+1))</f>
        <v>748</v>
      </c>
      <c r="AW257">
        <f ca="1">IF(OR($L257&gt;AW$4,AW$4&gt;$L257+23),"",OFFSET(Electric!$L248,0,-'Electric Calendarize'!$L257+'Electric Calendarize'!AW$4+1))</f>
        <v>769</v>
      </c>
      <c r="AX257">
        <f ca="1">IF(OR($L257&gt;AX$4,AX$4&gt;$L257+23),"",OFFSET(Electric!$L248,0,-'Electric Calendarize'!$L257+'Electric Calendarize'!AX$4+1))</f>
        <v>542</v>
      </c>
      <c r="AY257">
        <f ca="1">IF(OR($L257&gt;AY$4,AY$4&gt;$L257+23),"",OFFSET(Electric!$L248,0,-'Electric Calendarize'!$L257+'Electric Calendarize'!AY$4+1))</f>
        <v>576</v>
      </c>
      <c r="AZ257">
        <f ca="1">IF(OR($L257&gt;AZ$4,AZ$4&gt;$L257+23),"",OFFSET(Electric!$L248,0,-'Electric Calendarize'!$L257+'Electric Calendarize'!AZ$4+1))</f>
        <v>563</v>
      </c>
      <c r="BA257">
        <f ca="1">IF(OR($L257&gt;BA$4,BA$4&gt;$L257+23),"",OFFSET(Electric!$L248,0,-'Electric Calendarize'!$L257+'Electric Calendarize'!BA$4+1))</f>
        <v>579</v>
      </c>
      <c r="BB257">
        <f ca="1">IF(OR($L257&gt;BB$4,BB$4&gt;$L257+23),"",OFFSET(Electric!$L248,0,-'Electric Calendarize'!$L257+'Electric Calendarize'!BB$4+1))</f>
        <v>1151</v>
      </c>
      <c r="BC257">
        <f ca="1">IF(OR($L257&gt;BC$4,BC$4&gt;$L257+23),"",OFFSET(Electric!$L248,0,-'Electric Calendarize'!$L257+'Electric Calendarize'!BC$4+1))</f>
        <v>1131</v>
      </c>
      <c r="BD257">
        <f ca="1">IF(OR($L257&gt;BD$4,BD$4&gt;$L257+23),"",OFFSET(Electric!$L248,0,-'Electric Calendarize'!$L257+'Electric Calendarize'!BD$4+1))</f>
        <v>1032</v>
      </c>
      <c r="BE257">
        <f ca="1">IF(OR($L257&gt;BE$4,BE$4&gt;$L257+23),"",OFFSET(Electric!$L248,0,-'Electric Calendarize'!$L257+'Electric Calendarize'!BE$4+1))</f>
        <v>984</v>
      </c>
      <c r="BF257">
        <f ca="1">IF(OR($L257&gt;BF$4,BF$4&gt;$L257+23),"",OFFSET(Electric!$L248,0,-'Electric Calendarize'!$L257+'Electric Calendarize'!BF$4+1))</f>
        <v>593</v>
      </c>
      <c r="BG257">
        <f ca="1">IF(OR($L257&gt;BG$4,BG$4&gt;$L257+23),"",OFFSET(Electric!$L248,0,-'Electric Calendarize'!$L257+'Electric Calendarize'!BG$4+1))</f>
        <v>0</v>
      </c>
      <c r="BJ257" s="10" t="s">
        <v>37</v>
      </c>
      <c r="BK257">
        <f t="shared" si="519"/>
        <v>1</v>
      </c>
      <c r="BL257">
        <f t="shared" si="425"/>
        <v>0</v>
      </c>
      <c r="BM257">
        <f t="shared" si="426"/>
        <v>0</v>
      </c>
      <c r="BN257">
        <f t="shared" si="427"/>
        <v>0</v>
      </c>
      <c r="BO257">
        <f t="shared" si="428"/>
        <v>0</v>
      </c>
      <c r="BP257">
        <f t="shared" si="429"/>
        <v>0</v>
      </c>
      <c r="BQ257">
        <f t="shared" si="430"/>
        <v>0</v>
      </c>
      <c r="BR257">
        <f t="shared" si="431"/>
        <v>1</v>
      </c>
      <c r="BS257">
        <f t="shared" si="432"/>
        <v>1</v>
      </c>
      <c r="BT257">
        <f t="shared" si="433"/>
        <v>1</v>
      </c>
      <c r="BU257">
        <f t="shared" si="434"/>
        <v>1</v>
      </c>
      <c r="BV257">
        <f t="shared" si="435"/>
        <v>1</v>
      </c>
      <c r="BW257">
        <f t="shared" si="436"/>
        <v>1</v>
      </c>
      <c r="BX257">
        <f t="shared" si="437"/>
        <v>0</v>
      </c>
      <c r="BY257">
        <f t="shared" si="438"/>
        <v>0</v>
      </c>
      <c r="BZ257">
        <f t="shared" si="439"/>
        <v>0</v>
      </c>
      <c r="CA257">
        <f t="shared" si="440"/>
        <v>0</v>
      </c>
      <c r="CB257">
        <f t="shared" si="441"/>
        <v>0</v>
      </c>
      <c r="CC257">
        <f t="shared" si="442"/>
        <v>0</v>
      </c>
      <c r="CD257">
        <f t="shared" si="443"/>
        <v>1</v>
      </c>
      <c r="CE257">
        <f t="shared" si="444"/>
        <v>1</v>
      </c>
      <c r="CF257">
        <f t="shared" si="445"/>
        <v>1</v>
      </c>
      <c r="CG257">
        <f t="shared" si="446"/>
        <v>1</v>
      </c>
      <c r="CH257">
        <f t="shared" si="447"/>
        <v>1</v>
      </c>
      <c r="CI257">
        <f t="shared" si="448"/>
        <v>1</v>
      </c>
      <c r="CJ257">
        <f t="shared" si="449"/>
        <v>0</v>
      </c>
      <c r="CK257">
        <f t="shared" si="450"/>
        <v>0</v>
      </c>
      <c r="CL257">
        <f t="shared" si="451"/>
        <v>0</v>
      </c>
      <c r="CM257">
        <f t="shared" si="452"/>
        <v>0</v>
      </c>
      <c r="CN257">
        <f t="shared" si="453"/>
        <v>0</v>
      </c>
      <c r="CO257">
        <f t="shared" si="454"/>
        <v>0</v>
      </c>
      <c r="CP257">
        <f t="shared" si="455"/>
        <v>1</v>
      </c>
      <c r="CQ257">
        <f t="shared" si="456"/>
        <v>1</v>
      </c>
      <c r="CR257">
        <f t="shared" si="457"/>
        <v>1</v>
      </c>
      <c r="CS257">
        <f t="shared" si="458"/>
        <v>1</v>
      </c>
      <c r="CT257">
        <f t="shared" si="459"/>
        <v>1</v>
      </c>
      <c r="CU257">
        <f t="shared" si="460"/>
        <v>1</v>
      </c>
      <c r="CV257">
        <f t="shared" si="461"/>
        <v>0</v>
      </c>
      <c r="CW257">
        <f t="shared" si="462"/>
        <v>0</v>
      </c>
      <c r="CX257">
        <f t="shared" si="463"/>
        <v>0</v>
      </c>
      <c r="CY257">
        <f t="shared" si="464"/>
        <v>0</v>
      </c>
      <c r="CZ257">
        <f t="shared" si="465"/>
        <v>0</v>
      </c>
      <c r="DA257">
        <f t="shared" si="466"/>
        <v>0</v>
      </c>
      <c r="DB257">
        <f t="shared" si="467"/>
        <v>1</v>
      </c>
      <c r="DC257">
        <f t="shared" si="468"/>
        <v>1</v>
      </c>
      <c r="DF257" s="10" t="s">
        <v>37</v>
      </c>
      <c r="DG257" t="str">
        <f t="shared" si="531"/>
        <v>2023_7</v>
      </c>
      <c r="DH257" t="str">
        <f t="shared" si="531"/>
        <v>2023_7</v>
      </c>
      <c r="DI257" t="str">
        <f t="shared" si="531"/>
        <v>2023_7</v>
      </c>
      <c r="DJ257" t="str">
        <f t="shared" si="531"/>
        <v>2023_7</v>
      </c>
      <c r="DK257" t="str">
        <f t="shared" si="531"/>
        <v>2023_7</v>
      </c>
      <c r="DL257" t="str">
        <f t="shared" si="531"/>
        <v>2023_7</v>
      </c>
      <c r="DM257" t="str">
        <f t="shared" si="531"/>
        <v>2023_7</v>
      </c>
      <c r="DN257" t="str">
        <f t="shared" si="531"/>
        <v>2023_7</v>
      </c>
      <c r="DO257" t="str">
        <f t="shared" si="531"/>
        <v>2023_7</v>
      </c>
      <c r="DP257" t="str">
        <f t="shared" si="531"/>
        <v>2023_7</v>
      </c>
      <c r="DQ257" t="str">
        <f t="shared" si="531"/>
        <v>2023_7</v>
      </c>
      <c r="DR257" t="str">
        <f t="shared" si="531"/>
        <v>2023_7</v>
      </c>
      <c r="DS257" t="str">
        <f t="shared" si="531"/>
        <v>2023_7</v>
      </c>
      <c r="DT257" t="str">
        <f t="shared" si="531"/>
        <v>2023_7</v>
      </c>
      <c r="DU257" t="str">
        <f t="shared" si="531"/>
        <v>2023_7</v>
      </c>
      <c r="DV257" t="str">
        <f t="shared" si="531"/>
        <v>2023_7</v>
      </c>
      <c r="DW257" t="str">
        <f t="shared" si="530"/>
        <v>2023_7</v>
      </c>
      <c r="DX257" t="str">
        <f t="shared" si="530"/>
        <v>2023_7</v>
      </c>
      <c r="DY257" t="str">
        <f t="shared" si="530"/>
        <v>2023_7</v>
      </c>
      <c r="DZ257" t="str">
        <f t="shared" si="530"/>
        <v>2023_7</v>
      </c>
      <c r="EA257" t="str">
        <f t="shared" si="530"/>
        <v>2023_7</v>
      </c>
      <c r="EB257" t="str">
        <f t="shared" si="530"/>
        <v>2023_7</v>
      </c>
      <c r="EC257" t="str">
        <f t="shared" si="530"/>
        <v>2023_7</v>
      </c>
      <c r="ED257" t="str">
        <f t="shared" si="530"/>
        <v>2023_7</v>
      </c>
      <c r="EE257" t="str">
        <f t="shared" si="530"/>
        <v>2023_7</v>
      </c>
      <c r="EF257" t="str">
        <f t="shared" si="530"/>
        <v>2023_7</v>
      </c>
      <c r="EG257" t="str">
        <f t="shared" si="530"/>
        <v>2023_7</v>
      </c>
      <c r="EH257" t="str">
        <f t="shared" si="530"/>
        <v>2023_7</v>
      </c>
      <c r="EI257" t="str">
        <f t="shared" si="530"/>
        <v>2023_7</v>
      </c>
      <c r="EJ257" t="str">
        <f t="shared" si="530"/>
        <v>2023_7</v>
      </c>
      <c r="EK257" t="str">
        <f t="shared" si="529"/>
        <v>2023_7</v>
      </c>
      <c r="EL257" t="str">
        <f t="shared" si="529"/>
        <v>2023_7</v>
      </c>
      <c r="EM257" t="str">
        <f t="shared" si="529"/>
        <v>2023_7</v>
      </c>
      <c r="EN257" t="str">
        <f t="shared" si="529"/>
        <v>2023_7</v>
      </c>
      <c r="EO257" t="str">
        <f t="shared" si="529"/>
        <v>2023_7</v>
      </c>
      <c r="EP257" t="str">
        <f t="shared" si="529"/>
        <v>2023_7</v>
      </c>
      <c r="EQ257" t="str">
        <f t="shared" si="529"/>
        <v>2023_7</v>
      </c>
      <c r="ER257" t="str">
        <f t="shared" si="529"/>
        <v>2023_7</v>
      </c>
      <c r="ES257" t="str">
        <f t="shared" si="529"/>
        <v>2023_7</v>
      </c>
      <c r="ET257" t="str">
        <f t="shared" si="529"/>
        <v>2023_7</v>
      </c>
      <c r="EU257" t="str">
        <f t="shared" si="529"/>
        <v>2023_7</v>
      </c>
      <c r="EV257" t="str">
        <f t="shared" si="529"/>
        <v>2023_7</v>
      </c>
      <c r="EW257" t="str">
        <f t="shared" si="529"/>
        <v>2023_7</v>
      </c>
      <c r="EX257" t="str">
        <f t="shared" si="529"/>
        <v>2023_7</v>
      </c>
      <c r="EY257" t="str">
        <f t="shared" si="529"/>
        <v>2023_7</v>
      </c>
      <c r="FB257" s="10" t="s">
        <v>37</v>
      </c>
      <c r="FC257">
        <f t="shared" si="521"/>
        <v>0</v>
      </c>
      <c r="FD257">
        <f t="shared" si="471"/>
        <v>0</v>
      </c>
      <c r="FE257">
        <f t="shared" si="472"/>
        <v>0</v>
      </c>
      <c r="FF257">
        <f t="shared" si="473"/>
        <v>0</v>
      </c>
      <c r="FG257">
        <f t="shared" si="474"/>
        <v>0</v>
      </c>
      <c r="FH257">
        <f t="shared" si="475"/>
        <v>0</v>
      </c>
      <c r="FI257">
        <f t="shared" si="476"/>
        <v>0</v>
      </c>
      <c r="FJ257">
        <f t="shared" si="477"/>
        <v>0</v>
      </c>
      <c r="FK257">
        <f t="shared" si="478"/>
        <v>0</v>
      </c>
      <c r="FL257">
        <f t="shared" si="479"/>
        <v>0</v>
      </c>
      <c r="FM257">
        <f t="shared" si="480"/>
        <v>0</v>
      </c>
      <c r="FN257">
        <f t="shared" si="481"/>
        <v>0</v>
      </c>
      <c r="FO257">
        <f t="shared" si="482"/>
        <v>0</v>
      </c>
      <c r="FP257">
        <f t="shared" si="483"/>
        <v>0</v>
      </c>
      <c r="FQ257">
        <f t="shared" si="484"/>
        <v>0</v>
      </c>
      <c r="FR257">
        <f t="shared" si="485"/>
        <v>0</v>
      </c>
      <c r="FS257">
        <f t="shared" si="486"/>
        <v>0</v>
      </c>
      <c r="FT257">
        <f t="shared" si="487"/>
        <v>0</v>
      </c>
      <c r="FU257">
        <f t="shared" si="488"/>
        <v>0</v>
      </c>
      <c r="FV257">
        <f t="shared" si="489"/>
        <v>0</v>
      </c>
      <c r="FW257">
        <f t="shared" si="490"/>
        <v>0</v>
      </c>
      <c r="FX257">
        <f t="shared" si="491"/>
        <v>0</v>
      </c>
      <c r="FY257">
        <f t="shared" si="492"/>
        <v>0</v>
      </c>
      <c r="FZ257">
        <f t="shared" si="493"/>
        <v>0</v>
      </c>
      <c r="GA257">
        <f t="shared" si="494"/>
        <v>0</v>
      </c>
      <c r="GB257">
        <f t="shared" si="495"/>
        <v>0</v>
      </c>
      <c r="GC257">
        <f t="shared" si="496"/>
        <v>0</v>
      </c>
      <c r="GD257">
        <f t="shared" si="497"/>
        <v>0</v>
      </c>
      <c r="GE257">
        <f t="shared" si="498"/>
        <v>0</v>
      </c>
      <c r="GF257">
        <f t="shared" si="499"/>
        <v>0</v>
      </c>
      <c r="GG257">
        <f t="shared" si="500"/>
        <v>0</v>
      </c>
      <c r="GH257">
        <f t="shared" si="501"/>
        <v>0</v>
      </c>
      <c r="GI257">
        <f t="shared" si="502"/>
        <v>0</v>
      </c>
      <c r="GJ257">
        <f t="shared" si="503"/>
        <v>0</v>
      </c>
      <c r="GK257">
        <f t="shared" si="504"/>
        <v>0</v>
      </c>
      <c r="GL257">
        <f t="shared" si="505"/>
        <v>0</v>
      </c>
      <c r="GM257">
        <f t="shared" si="506"/>
        <v>0</v>
      </c>
      <c r="GN257">
        <f t="shared" si="507"/>
        <v>0</v>
      </c>
      <c r="GO257">
        <f t="shared" si="508"/>
        <v>0</v>
      </c>
      <c r="GP257">
        <f t="shared" si="509"/>
        <v>1</v>
      </c>
      <c r="GQ257">
        <f t="shared" si="510"/>
        <v>1</v>
      </c>
      <c r="GR257">
        <f t="shared" si="511"/>
        <v>1</v>
      </c>
      <c r="GS257">
        <f t="shared" si="512"/>
        <v>1</v>
      </c>
      <c r="GT257">
        <f t="shared" si="513"/>
        <v>1</v>
      </c>
      <c r="GU257">
        <f t="shared" si="514"/>
        <v>1</v>
      </c>
      <c r="GX257" s="10"/>
    </row>
    <row r="258" spans="1:206" x14ac:dyDescent="0.3">
      <c r="A258" s="37" t="s">
        <v>128</v>
      </c>
      <c r="B258" s="86"/>
      <c r="C258" s="37">
        <v>3110633000</v>
      </c>
      <c r="D258" s="37" t="s">
        <v>505</v>
      </c>
      <c r="E258" s="37" t="s">
        <v>39</v>
      </c>
      <c r="F258" s="37" t="s">
        <v>35</v>
      </c>
      <c r="G258" s="37" t="s">
        <v>269</v>
      </c>
      <c r="H258" s="10">
        <v>45112</v>
      </c>
      <c r="I258" s="9">
        <f t="shared" si="515"/>
        <v>2023</v>
      </c>
      <c r="J258" s="9">
        <f t="shared" si="516"/>
        <v>7</v>
      </c>
      <c r="K258" s="9" t="str">
        <f t="shared" si="517"/>
        <v>2023_7</v>
      </c>
      <c r="L258">
        <f>MAX(0,VLOOKUP($K258,lookups!$A$1:$B$45,2,0)-12)</f>
        <v>27</v>
      </c>
      <c r="M258" s="40">
        <f t="shared" si="518"/>
        <v>45108</v>
      </c>
      <c r="N258" s="10" t="s">
        <v>37</v>
      </c>
      <c r="O258" t="str">
        <f ca="1">IF(OR($L258&gt;O$4,O$4&gt;$L258+23),"",OFFSET(Electric!$L249,0,-'Electric Calendarize'!$L258+'Electric Calendarize'!O$4+1))</f>
        <v/>
      </c>
      <c r="P258" t="str">
        <f ca="1">IF(OR($L258&gt;P$4,P$4&gt;$L258+23),"",OFFSET(Electric!$L249,0,-'Electric Calendarize'!$L258+'Electric Calendarize'!P$4+1))</f>
        <v/>
      </c>
      <c r="Q258" t="str">
        <f ca="1">IF(OR($L258&gt;Q$4,Q$4&gt;$L258+23),"",OFFSET(Electric!$L249,0,-'Electric Calendarize'!$L258+'Electric Calendarize'!Q$4+1))</f>
        <v/>
      </c>
      <c r="R258" t="str">
        <f ca="1">IF(OR($L258&gt;R$4,R$4&gt;$L258+23),"",OFFSET(Electric!$L249,0,-'Electric Calendarize'!$L258+'Electric Calendarize'!R$4+1))</f>
        <v/>
      </c>
      <c r="S258" t="str">
        <f ca="1">IF(OR($L258&gt;S$4,S$4&gt;$L258+23),"",OFFSET(Electric!$L249,0,-'Electric Calendarize'!$L258+'Electric Calendarize'!S$4+1))</f>
        <v/>
      </c>
      <c r="T258" t="str">
        <f ca="1">IF(OR($L258&gt;T$4,T$4&gt;$L258+23),"",OFFSET(Electric!$L249,0,-'Electric Calendarize'!$L258+'Electric Calendarize'!T$4+1))</f>
        <v/>
      </c>
      <c r="U258" t="str">
        <f ca="1">IF(OR($L258&gt;U$4,U$4&gt;$L258+23),"",OFFSET(Electric!$L249,0,-'Electric Calendarize'!$L258+'Electric Calendarize'!U$4+1))</f>
        <v/>
      </c>
      <c r="V258" t="str">
        <f ca="1">IF(OR($L258&gt;V$4,V$4&gt;$L258+23),"",OFFSET(Electric!$L249,0,-'Electric Calendarize'!$L258+'Electric Calendarize'!V$4+1))</f>
        <v/>
      </c>
      <c r="W258" t="str">
        <f ca="1">IF(OR($L258&gt;W$4,W$4&gt;$L258+23),"",OFFSET(Electric!$L249,0,-'Electric Calendarize'!$L258+'Electric Calendarize'!W$4+1))</f>
        <v/>
      </c>
      <c r="X258" t="str">
        <f ca="1">IF(OR($L258&gt;X$4,X$4&gt;$L258+23),"",OFFSET(Electric!$L249,0,-'Electric Calendarize'!$L258+'Electric Calendarize'!X$4+1))</f>
        <v/>
      </c>
      <c r="Y258" t="str">
        <f ca="1">IF(OR($L258&gt;Y$4,Y$4&gt;$L258+23),"",OFFSET(Electric!$L249,0,-'Electric Calendarize'!$L258+'Electric Calendarize'!Y$4+1))</f>
        <v/>
      </c>
      <c r="Z258" t="str">
        <f ca="1">IF(OR($L258&gt;Z$4,Z$4&gt;$L258+23),"",OFFSET(Electric!$L249,0,-'Electric Calendarize'!$L258+'Electric Calendarize'!Z$4+1))</f>
        <v/>
      </c>
      <c r="AA258" t="str">
        <f ca="1">IF(OR($L258&gt;AA$4,AA$4&gt;$L258+23),"",OFFSET(Electric!$L249,0,-'Electric Calendarize'!$L258+'Electric Calendarize'!AA$4+1))</f>
        <v/>
      </c>
      <c r="AB258" t="str">
        <f ca="1">IF(OR($L258&gt;AB$4,AB$4&gt;$L258+23),"",OFFSET(Electric!$L249,0,-'Electric Calendarize'!$L258+'Electric Calendarize'!AB$4+1))</f>
        <v/>
      </c>
      <c r="AC258" t="str">
        <f ca="1">IF(OR($L258&gt;AC$4,AC$4&gt;$L258+23),"",OFFSET(Electric!$L249,0,-'Electric Calendarize'!$L258+'Electric Calendarize'!AC$4+1))</f>
        <v/>
      </c>
      <c r="AD258" t="str">
        <f ca="1">IF(OR($L258&gt;AD$4,AD$4&gt;$L258+23),"",OFFSET(Electric!$L249,0,-'Electric Calendarize'!$L258+'Electric Calendarize'!AD$4+1))</f>
        <v/>
      </c>
      <c r="AE258" t="str">
        <f ca="1">IF(OR($L258&gt;AE$4,AE$4&gt;$L258+23),"",OFFSET(Electric!$L249,0,-'Electric Calendarize'!$L258+'Electric Calendarize'!AE$4+1))</f>
        <v/>
      </c>
      <c r="AF258" t="str">
        <f ca="1">IF(OR($L258&gt;AF$4,AF$4&gt;$L258+23),"",OFFSET(Electric!$L249,0,-'Electric Calendarize'!$L258+'Electric Calendarize'!AF$4+1))</f>
        <v/>
      </c>
      <c r="AG258" t="str">
        <f ca="1">IF(OR($L258&gt;AG$4,AG$4&gt;$L258+23),"",OFFSET(Electric!$L249,0,-'Electric Calendarize'!$L258+'Electric Calendarize'!AG$4+1))</f>
        <v/>
      </c>
      <c r="AH258" t="str">
        <f ca="1">IF(OR($L258&gt;AH$4,AH$4&gt;$L258+23),"",OFFSET(Electric!$L249,0,-'Electric Calendarize'!$L258+'Electric Calendarize'!AH$4+1))</f>
        <v/>
      </c>
      <c r="AI258" t="str">
        <f ca="1">IF(OR($L258&gt;AI$4,AI$4&gt;$L258+23),"",OFFSET(Electric!$L249,0,-'Electric Calendarize'!$L258+'Electric Calendarize'!AI$4+1))</f>
        <v/>
      </c>
      <c r="AJ258" t="str">
        <f ca="1">IF(OR($L258&gt;AJ$4,AJ$4&gt;$L258+23),"",OFFSET(Electric!$L249,0,-'Electric Calendarize'!$L258+'Electric Calendarize'!AJ$4+1))</f>
        <v/>
      </c>
      <c r="AK258" t="str">
        <f ca="1">IF(OR($L258&gt;AK$4,AK$4&gt;$L258+23),"",OFFSET(Electric!$L249,0,-'Electric Calendarize'!$L258+'Electric Calendarize'!AK$4+1))</f>
        <v/>
      </c>
      <c r="AL258" t="str">
        <f ca="1">IF(OR($L258&gt;AL$4,AL$4&gt;$L258+23),"",OFFSET(Electric!$L249,0,-'Electric Calendarize'!$L258+'Electric Calendarize'!AL$4+1))</f>
        <v/>
      </c>
      <c r="AM258" t="str">
        <f ca="1">IF(OR($L258&gt;AM$4,AM$4&gt;$L258+23),"",OFFSET(Electric!$L249,0,-'Electric Calendarize'!$L258+'Electric Calendarize'!AM$4+1))</f>
        <v/>
      </c>
      <c r="AN258" t="str">
        <f ca="1">IF(OR($L258&gt;AN$4,AN$4&gt;$L258+23),"",OFFSET(Electric!$L249,0,-'Electric Calendarize'!$L258+'Electric Calendarize'!AN$4+1))</f>
        <v/>
      </c>
      <c r="AO258" t="str">
        <f ca="1">IF(OR($L258&gt;AO$4,AO$4&gt;$L258+23),"",OFFSET(Electric!$L249,0,-'Electric Calendarize'!$L258+'Electric Calendarize'!AO$4+1))</f>
        <v/>
      </c>
      <c r="AP258">
        <f ca="1">IF(OR($L258&gt;AP$4,AP$4&gt;$L258+23),"",OFFSET(Electric!$L249,0,-'Electric Calendarize'!$L258+'Electric Calendarize'!AP$4+1))</f>
        <v>2316</v>
      </c>
      <c r="AQ258">
        <f ca="1">IF(OR($L258&gt;AQ$4,AQ$4&gt;$L258+23),"",OFFSET(Electric!$L249,0,-'Electric Calendarize'!$L258+'Electric Calendarize'!AQ$4+1))</f>
        <v>2480</v>
      </c>
      <c r="AR258">
        <f ca="1">IF(OR($L258&gt;AR$4,AR$4&gt;$L258+23),"",OFFSET(Electric!$L249,0,-'Electric Calendarize'!$L258+'Electric Calendarize'!AR$4+1))</f>
        <v>1884</v>
      </c>
      <c r="AS258">
        <f ca="1">IF(OR($L258&gt;AS$4,AS$4&gt;$L258+23),"",OFFSET(Electric!$L249,0,-'Electric Calendarize'!$L258+'Electric Calendarize'!AS$4+1))</f>
        <v>1392</v>
      </c>
      <c r="AT258">
        <f ca="1">IF(OR($L258&gt;AT$4,AT$4&gt;$L258+23),"",OFFSET(Electric!$L249,0,-'Electric Calendarize'!$L258+'Electric Calendarize'!AT$4+1))</f>
        <v>1198</v>
      </c>
      <c r="AU258">
        <f ca="1">IF(OR($L258&gt;AU$4,AU$4&gt;$L258+23),"",OFFSET(Electric!$L249,0,-'Electric Calendarize'!$L258+'Electric Calendarize'!AU$4+1))</f>
        <v>1772</v>
      </c>
      <c r="AV258">
        <f ca="1">IF(OR($L258&gt;AV$4,AV$4&gt;$L258+23),"",OFFSET(Electric!$L249,0,-'Electric Calendarize'!$L258+'Electric Calendarize'!AV$4+1))</f>
        <v>1924</v>
      </c>
      <c r="AW258">
        <f ca="1">IF(OR($L258&gt;AW$4,AW$4&gt;$L258+23),"",OFFSET(Electric!$L249,0,-'Electric Calendarize'!$L258+'Electric Calendarize'!AW$4+1))</f>
        <v>1698</v>
      </c>
      <c r="AX258">
        <f ca="1">IF(OR($L258&gt;AX$4,AX$4&gt;$L258+23),"",OFFSET(Electric!$L249,0,-'Electric Calendarize'!$L258+'Electric Calendarize'!AX$4+1))</f>
        <v>1674</v>
      </c>
      <c r="AY258">
        <f ca="1">IF(OR($L258&gt;AY$4,AY$4&gt;$L258+23),"",OFFSET(Electric!$L249,0,-'Electric Calendarize'!$L258+'Electric Calendarize'!AY$4+1))</f>
        <v>1272</v>
      </c>
      <c r="AZ258">
        <f ca="1">IF(OR($L258&gt;AZ$4,AZ$4&gt;$L258+23),"",OFFSET(Electric!$L249,0,-'Electric Calendarize'!$L258+'Electric Calendarize'!AZ$4+1))</f>
        <v>1316</v>
      </c>
      <c r="BA258">
        <f ca="1">IF(OR($L258&gt;BA$4,BA$4&gt;$L258+23),"",OFFSET(Electric!$L249,0,-'Electric Calendarize'!$L258+'Electric Calendarize'!BA$4+1))</f>
        <v>1772</v>
      </c>
      <c r="BB258">
        <f ca="1">IF(OR($L258&gt;BB$4,BB$4&gt;$L258+23),"",OFFSET(Electric!$L249,0,-'Electric Calendarize'!$L258+'Electric Calendarize'!BB$4+1))</f>
        <v>3120</v>
      </c>
      <c r="BC258">
        <f ca="1">IF(OR($L258&gt;BC$4,BC$4&gt;$L258+23),"",OFFSET(Electric!$L249,0,-'Electric Calendarize'!$L258+'Electric Calendarize'!BC$4+1))</f>
        <v>2476</v>
      </c>
      <c r="BD258">
        <f ca="1">IF(OR($L258&gt;BD$4,BD$4&gt;$L258+23),"",OFFSET(Electric!$L249,0,-'Electric Calendarize'!$L258+'Electric Calendarize'!BD$4+1))</f>
        <v>1878</v>
      </c>
      <c r="BE258">
        <f ca="1">IF(OR($L258&gt;BE$4,BE$4&gt;$L258+23),"",OFFSET(Electric!$L249,0,-'Electric Calendarize'!$L258+'Electric Calendarize'!BE$4+1))</f>
        <v>1540</v>
      </c>
      <c r="BF258">
        <f ca="1">IF(OR($L258&gt;BF$4,BF$4&gt;$L258+23),"",OFFSET(Electric!$L249,0,-'Electric Calendarize'!$L258+'Electric Calendarize'!BF$4+1))</f>
        <v>1622</v>
      </c>
      <c r="BG258">
        <f ca="1">IF(OR($L258&gt;BG$4,BG$4&gt;$L258+23),"",OFFSET(Electric!$L249,0,-'Electric Calendarize'!$L258+'Electric Calendarize'!BG$4+1))</f>
        <v>0</v>
      </c>
      <c r="BJ258" s="10" t="s">
        <v>37</v>
      </c>
      <c r="BK258">
        <f t="shared" si="519"/>
        <v>1</v>
      </c>
      <c r="BL258">
        <f t="shared" si="425"/>
        <v>0</v>
      </c>
      <c r="BM258">
        <f t="shared" si="426"/>
        <v>0</v>
      </c>
      <c r="BN258">
        <f t="shared" si="427"/>
        <v>0</v>
      </c>
      <c r="BO258">
        <f t="shared" si="428"/>
        <v>0</v>
      </c>
      <c r="BP258">
        <f t="shared" si="429"/>
        <v>0</v>
      </c>
      <c r="BQ258">
        <f t="shared" si="430"/>
        <v>0</v>
      </c>
      <c r="BR258">
        <f t="shared" si="431"/>
        <v>1</v>
      </c>
      <c r="BS258">
        <f t="shared" si="432"/>
        <v>1</v>
      </c>
      <c r="BT258">
        <f t="shared" si="433"/>
        <v>1</v>
      </c>
      <c r="BU258">
        <f t="shared" si="434"/>
        <v>1</v>
      </c>
      <c r="BV258">
        <f t="shared" si="435"/>
        <v>1</v>
      </c>
      <c r="BW258">
        <f t="shared" si="436"/>
        <v>1</v>
      </c>
      <c r="BX258">
        <f t="shared" si="437"/>
        <v>0</v>
      </c>
      <c r="BY258">
        <f t="shared" si="438"/>
        <v>0</v>
      </c>
      <c r="BZ258">
        <f t="shared" si="439"/>
        <v>0</v>
      </c>
      <c r="CA258">
        <f t="shared" si="440"/>
        <v>0</v>
      </c>
      <c r="CB258">
        <f t="shared" si="441"/>
        <v>0</v>
      </c>
      <c r="CC258">
        <f t="shared" si="442"/>
        <v>0</v>
      </c>
      <c r="CD258">
        <f t="shared" si="443"/>
        <v>1</v>
      </c>
      <c r="CE258">
        <f t="shared" si="444"/>
        <v>1</v>
      </c>
      <c r="CF258">
        <f t="shared" si="445"/>
        <v>1</v>
      </c>
      <c r="CG258">
        <f t="shared" si="446"/>
        <v>1</v>
      </c>
      <c r="CH258">
        <f t="shared" si="447"/>
        <v>1</v>
      </c>
      <c r="CI258">
        <f t="shared" si="448"/>
        <v>1</v>
      </c>
      <c r="CJ258">
        <f t="shared" si="449"/>
        <v>0</v>
      </c>
      <c r="CK258">
        <f t="shared" si="450"/>
        <v>0</v>
      </c>
      <c r="CL258">
        <f t="shared" si="451"/>
        <v>0</v>
      </c>
      <c r="CM258">
        <f t="shared" si="452"/>
        <v>0</v>
      </c>
      <c r="CN258">
        <f t="shared" si="453"/>
        <v>0</v>
      </c>
      <c r="CO258">
        <f t="shared" si="454"/>
        <v>0</v>
      </c>
      <c r="CP258">
        <f t="shared" si="455"/>
        <v>1</v>
      </c>
      <c r="CQ258">
        <f t="shared" si="456"/>
        <v>1</v>
      </c>
      <c r="CR258">
        <f t="shared" si="457"/>
        <v>1</v>
      </c>
      <c r="CS258">
        <f t="shared" si="458"/>
        <v>1</v>
      </c>
      <c r="CT258">
        <f t="shared" si="459"/>
        <v>1</v>
      </c>
      <c r="CU258">
        <f t="shared" si="460"/>
        <v>1</v>
      </c>
      <c r="CV258">
        <f t="shared" si="461"/>
        <v>0</v>
      </c>
      <c r="CW258">
        <f t="shared" si="462"/>
        <v>0</v>
      </c>
      <c r="CX258">
        <f t="shared" si="463"/>
        <v>0</v>
      </c>
      <c r="CY258">
        <f t="shared" si="464"/>
        <v>0</v>
      </c>
      <c r="CZ258">
        <f t="shared" si="465"/>
        <v>0</v>
      </c>
      <c r="DA258">
        <f t="shared" si="466"/>
        <v>0</v>
      </c>
      <c r="DB258">
        <f t="shared" si="467"/>
        <v>1</v>
      </c>
      <c r="DC258">
        <f t="shared" si="468"/>
        <v>1</v>
      </c>
      <c r="DF258" s="10" t="s">
        <v>37</v>
      </c>
      <c r="DG258" t="str">
        <f t="shared" si="531"/>
        <v>2023_7</v>
      </c>
      <c r="DH258" t="str">
        <f t="shared" si="531"/>
        <v>2023_7</v>
      </c>
      <c r="DI258" t="str">
        <f t="shared" si="531"/>
        <v>2023_7</v>
      </c>
      <c r="DJ258" t="str">
        <f t="shared" si="531"/>
        <v>2023_7</v>
      </c>
      <c r="DK258" t="str">
        <f t="shared" si="531"/>
        <v>2023_7</v>
      </c>
      <c r="DL258" t="str">
        <f t="shared" si="531"/>
        <v>2023_7</v>
      </c>
      <c r="DM258" t="str">
        <f t="shared" si="531"/>
        <v>2023_7</v>
      </c>
      <c r="DN258" t="str">
        <f t="shared" si="531"/>
        <v>2023_7</v>
      </c>
      <c r="DO258" t="str">
        <f t="shared" si="531"/>
        <v>2023_7</v>
      </c>
      <c r="DP258" t="str">
        <f t="shared" si="531"/>
        <v>2023_7</v>
      </c>
      <c r="DQ258" t="str">
        <f t="shared" si="531"/>
        <v>2023_7</v>
      </c>
      <c r="DR258" t="str">
        <f t="shared" si="531"/>
        <v>2023_7</v>
      </c>
      <c r="DS258" t="str">
        <f t="shared" si="531"/>
        <v>2023_7</v>
      </c>
      <c r="DT258" t="str">
        <f t="shared" si="531"/>
        <v>2023_7</v>
      </c>
      <c r="DU258" t="str">
        <f t="shared" si="531"/>
        <v>2023_7</v>
      </c>
      <c r="DV258" t="str">
        <f t="shared" si="531"/>
        <v>2023_7</v>
      </c>
      <c r="DW258" t="str">
        <f t="shared" si="530"/>
        <v>2023_7</v>
      </c>
      <c r="DX258" t="str">
        <f t="shared" si="530"/>
        <v>2023_7</v>
      </c>
      <c r="DY258" t="str">
        <f t="shared" si="530"/>
        <v>2023_7</v>
      </c>
      <c r="DZ258" t="str">
        <f t="shared" si="530"/>
        <v>2023_7</v>
      </c>
      <c r="EA258" t="str">
        <f t="shared" si="530"/>
        <v>2023_7</v>
      </c>
      <c r="EB258" t="str">
        <f t="shared" si="530"/>
        <v>2023_7</v>
      </c>
      <c r="EC258" t="str">
        <f t="shared" si="530"/>
        <v>2023_7</v>
      </c>
      <c r="ED258" t="str">
        <f t="shared" si="530"/>
        <v>2023_7</v>
      </c>
      <c r="EE258" t="str">
        <f t="shared" si="530"/>
        <v>2023_7</v>
      </c>
      <c r="EF258" t="str">
        <f t="shared" si="530"/>
        <v>2023_7</v>
      </c>
      <c r="EG258" t="str">
        <f t="shared" si="530"/>
        <v>2023_7</v>
      </c>
      <c r="EH258" t="str">
        <f t="shared" si="530"/>
        <v>2023_7</v>
      </c>
      <c r="EI258" t="str">
        <f t="shared" si="530"/>
        <v>2023_7</v>
      </c>
      <c r="EJ258" t="str">
        <f t="shared" si="530"/>
        <v>2023_7</v>
      </c>
      <c r="EK258" t="str">
        <f t="shared" si="529"/>
        <v>2023_7</v>
      </c>
      <c r="EL258" t="str">
        <f t="shared" si="529"/>
        <v>2023_7</v>
      </c>
      <c r="EM258" t="str">
        <f t="shared" si="529"/>
        <v>2023_7</v>
      </c>
      <c r="EN258" t="str">
        <f t="shared" si="529"/>
        <v>2023_7</v>
      </c>
      <c r="EO258" t="str">
        <f t="shared" si="529"/>
        <v>2023_7</v>
      </c>
      <c r="EP258" t="str">
        <f t="shared" si="529"/>
        <v>2023_7</v>
      </c>
      <c r="EQ258" t="str">
        <f t="shared" si="529"/>
        <v>2023_7</v>
      </c>
      <c r="ER258" t="str">
        <f t="shared" si="529"/>
        <v>2023_7</v>
      </c>
      <c r="ES258" t="str">
        <f t="shared" si="529"/>
        <v>2023_7</v>
      </c>
      <c r="ET258" t="str">
        <f t="shared" si="529"/>
        <v>2023_7</v>
      </c>
      <c r="EU258" t="str">
        <f t="shared" si="529"/>
        <v>2023_7</v>
      </c>
      <c r="EV258" t="str">
        <f t="shared" si="529"/>
        <v>2023_7</v>
      </c>
      <c r="EW258" t="str">
        <f t="shared" si="529"/>
        <v>2023_7</v>
      </c>
      <c r="EX258" t="str">
        <f t="shared" si="529"/>
        <v>2023_7</v>
      </c>
      <c r="EY258" t="str">
        <f t="shared" si="529"/>
        <v>2023_7</v>
      </c>
      <c r="FB258" s="10" t="s">
        <v>37</v>
      </c>
      <c r="FC258">
        <f t="shared" si="521"/>
        <v>0</v>
      </c>
      <c r="FD258">
        <f t="shared" si="471"/>
        <v>0</v>
      </c>
      <c r="FE258">
        <f t="shared" si="472"/>
        <v>0</v>
      </c>
      <c r="FF258">
        <f t="shared" si="473"/>
        <v>0</v>
      </c>
      <c r="FG258">
        <f t="shared" si="474"/>
        <v>0</v>
      </c>
      <c r="FH258">
        <f t="shared" si="475"/>
        <v>0</v>
      </c>
      <c r="FI258">
        <f t="shared" si="476"/>
        <v>0</v>
      </c>
      <c r="FJ258">
        <f t="shared" si="477"/>
        <v>0</v>
      </c>
      <c r="FK258">
        <f t="shared" si="478"/>
        <v>0</v>
      </c>
      <c r="FL258">
        <f t="shared" si="479"/>
        <v>0</v>
      </c>
      <c r="FM258">
        <f t="shared" si="480"/>
        <v>0</v>
      </c>
      <c r="FN258">
        <f t="shared" si="481"/>
        <v>0</v>
      </c>
      <c r="FO258">
        <f t="shared" si="482"/>
        <v>0</v>
      </c>
      <c r="FP258">
        <f t="shared" si="483"/>
        <v>0</v>
      </c>
      <c r="FQ258">
        <f t="shared" si="484"/>
        <v>0</v>
      </c>
      <c r="FR258">
        <f t="shared" si="485"/>
        <v>0</v>
      </c>
      <c r="FS258">
        <f t="shared" si="486"/>
        <v>0</v>
      </c>
      <c r="FT258">
        <f t="shared" si="487"/>
        <v>0</v>
      </c>
      <c r="FU258">
        <f t="shared" si="488"/>
        <v>0</v>
      </c>
      <c r="FV258">
        <f t="shared" si="489"/>
        <v>0</v>
      </c>
      <c r="FW258">
        <f t="shared" si="490"/>
        <v>0</v>
      </c>
      <c r="FX258">
        <f t="shared" si="491"/>
        <v>0</v>
      </c>
      <c r="FY258">
        <f t="shared" si="492"/>
        <v>0</v>
      </c>
      <c r="FZ258">
        <f t="shared" si="493"/>
        <v>0</v>
      </c>
      <c r="GA258">
        <f t="shared" si="494"/>
        <v>0</v>
      </c>
      <c r="GB258">
        <f t="shared" si="495"/>
        <v>0</v>
      </c>
      <c r="GC258">
        <f t="shared" si="496"/>
        <v>0</v>
      </c>
      <c r="GD258">
        <f t="shared" si="497"/>
        <v>0</v>
      </c>
      <c r="GE258">
        <f t="shared" si="498"/>
        <v>0</v>
      </c>
      <c r="GF258">
        <f t="shared" si="499"/>
        <v>0</v>
      </c>
      <c r="GG258">
        <f t="shared" si="500"/>
        <v>0</v>
      </c>
      <c r="GH258">
        <f t="shared" si="501"/>
        <v>0</v>
      </c>
      <c r="GI258">
        <f t="shared" si="502"/>
        <v>0</v>
      </c>
      <c r="GJ258">
        <f t="shared" si="503"/>
        <v>0</v>
      </c>
      <c r="GK258">
        <f t="shared" si="504"/>
        <v>0</v>
      </c>
      <c r="GL258">
        <f t="shared" si="505"/>
        <v>0</v>
      </c>
      <c r="GM258">
        <f t="shared" si="506"/>
        <v>0</v>
      </c>
      <c r="GN258">
        <f t="shared" si="507"/>
        <v>0</v>
      </c>
      <c r="GO258">
        <f t="shared" si="508"/>
        <v>0</v>
      </c>
      <c r="GP258">
        <f t="shared" si="509"/>
        <v>1</v>
      </c>
      <c r="GQ258">
        <f t="shared" si="510"/>
        <v>1</v>
      </c>
      <c r="GR258">
        <f t="shared" si="511"/>
        <v>1</v>
      </c>
      <c r="GS258">
        <f t="shared" si="512"/>
        <v>1</v>
      </c>
      <c r="GT258">
        <f t="shared" si="513"/>
        <v>1</v>
      </c>
      <c r="GU258">
        <f t="shared" si="514"/>
        <v>1</v>
      </c>
      <c r="GX258" s="10"/>
    </row>
    <row r="259" spans="1:206" x14ac:dyDescent="0.3">
      <c r="A259" s="9" t="s">
        <v>33</v>
      </c>
      <c r="B259" s="80"/>
      <c r="C259" s="9">
        <v>3011923000</v>
      </c>
      <c r="D259" s="9" t="s">
        <v>506</v>
      </c>
      <c r="E259" s="9" t="s">
        <v>34</v>
      </c>
      <c r="F259" s="9" t="s">
        <v>35</v>
      </c>
      <c r="G259" s="9" t="s">
        <v>270</v>
      </c>
      <c r="H259" s="10">
        <v>45113</v>
      </c>
      <c r="I259" s="9">
        <f t="shared" si="515"/>
        <v>2023</v>
      </c>
      <c r="J259" s="9">
        <f t="shared" si="516"/>
        <v>7</v>
      </c>
      <c r="K259" s="9" t="str">
        <f t="shared" si="517"/>
        <v>2023_7</v>
      </c>
      <c r="L259">
        <f>MAX(0,VLOOKUP($K259,lookups!$A$1:$B$45,2,0)-12)</f>
        <v>27</v>
      </c>
      <c r="M259" s="40">
        <f t="shared" si="518"/>
        <v>45108</v>
      </c>
      <c r="N259" s="10" t="s">
        <v>37</v>
      </c>
      <c r="O259" t="str">
        <f ca="1">IF(OR($L259&gt;O$4,O$4&gt;$L259+23),"",OFFSET(Electric!$L250,0,-'Electric Calendarize'!$L259+'Electric Calendarize'!O$4+1))</f>
        <v/>
      </c>
      <c r="P259" t="str">
        <f ca="1">IF(OR($L259&gt;P$4,P$4&gt;$L259+23),"",OFFSET(Electric!$L250,0,-'Electric Calendarize'!$L259+'Electric Calendarize'!P$4+1))</f>
        <v/>
      </c>
      <c r="Q259" t="str">
        <f ca="1">IF(OR($L259&gt;Q$4,Q$4&gt;$L259+23),"",OFFSET(Electric!$L250,0,-'Electric Calendarize'!$L259+'Electric Calendarize'!Q$4+1))</f>
        <v/>
      </c>
      <c r="R259" t="str">
        <f ca="1">IF(OR($L259&gt;R$4,R$4&gt;$L259+23),"",OFFSET(Electric!$L250,0,-'Electric Calendarize'!$L259+'Electric Calendarize'!R$4+1))</f>
        <v/>
      </c>
      <c r="S259" t="str">
        <f ca="1">IF(OR($L259&gt;S$4,S$4&gt;$L259+23),"",OFFSET(Electric!$L250,0,-'Electric Calendarize'!$L259+'Electric Calendarize'!S$4+1))</f>
        <v/>
      </c>
      <c r="T259" t="str">
        <f ca="1">IF(OR($L259&gt;T$4,T$4&gt;$L259+23),"",OFFSET(Electric!$L250,0,-'Electric Calendarize'!$L259+'Electric Calendarize'!T$4+1))</f>
        <v/>
      </c>
      <c r="U259" t="str">
        <f ca="1">IF(OR($L259&gt;U$4,U$4&gt;$L259+23),"",OFFSET(Electric!$L250,0,-'Electric Calendarize'!$L259+'Electric Calendarize'!U$4+1))</f>
        <v/>
      </c>
      <c r="V259" t="str">
        <f ca="1">IF(OR($L259&gt;V$4,V$4&gt;$L259+23),"",OFFSET(Electric!$L250,0,-'Electric Calendarize'!$L259+'Electric Calendarize'!V$4+1))</f>
        <v/>
      </c>
      <c r="W259" t="str">
        <f ca="1">IF(OR($L259&gt;W$4,W$4&gt;$L259+23),"",OFFSET(Electric!$L250,0,-'Electric Calendarize'!$L259+'Electric Calendarize'!W$4+1))</f>
        <v/>
      </c>
      <c r="X259" t="str">
        <f ca="1">IF(OR($L259&gt;X$4,X$4&gt;$L259+23),"",OFFSET(Electric!$L250,0,-'Electric Calendarize'!$L259+'Electric Calendarize'!X$4+1))</f>
        <v/>
      </c>
      <c r="Y259" t="str">
        <f ca="1">IF(OR($L259&gt;Y$4,Y$4&gt;$L259+23),"",OFFSET(Electric!$L250,0,-'Electric Calendarize'!$L259+'Electric Calendarize'!Y$4+1))</f>
        <v/>
      </c>
      <c r="Z259" t="str">
        <f ca="1">IF(OR($L259&gt;Z$4,Z$4&gt;$L259+23),"",OFFSET(Electric!$L250,0,-'Electric Calendarize'!$L259+'Electric Calendarize'!Z$4+1))</f>
        <v/>
      </c>
      <c r="AA259" t="str">
        <f ca="1">IF(OR($L259&gt;AA$4,AA$4&gt;$L259+23),"",OFFSET(Electric!$L250,0,-'Electric Calendarize'!$L259+'Electric Calendarize'!AA$4+1))</f>
        <v/>
      </c>
      <c r="AB259" t="str">
        <f ca="1">IF(OR($L259&gt;AB$4,AB$4&gt;$L259+23),"",OFFSET(Electric!$L250,0,-'Electric Calendarize'!$L259+'Electric Calendarize'!AB$4+1))</f>
        <v/>
      </c>
      <c r="AC259" t="str">
        <f ca="1">IF(OR($L259&gt;AC$4,AC$4&gt;$L259+23),"",OFFSET(Electric!$L250,0,-'Electric Calendarize'!$L259+'Electric Calendarize'!AC$4+1))</f>
        <v/>
      </c>
      <c r="AD259" t="str">
        <f ca="1">IF(OR($L259&gt;AD$4,AD$4&gt;$L259+23),"",OFFSET(Electric!$L250,0,-'Electric Calendarize'!$L259+'Electric Calendarize'!AD$4+1))</f>
        <v/>
      </c>
      <c r="AE259" t="str">
        <f ca="1">IF(OR($L259&gt;AE$4,AE$4&gt;$L259+23),"",OFFSET(Electric!$L250,0,-'Electric Calendarize'!$L259+'Electric Calendarize'!AE$4+1))</f>
        <v/>
      </c>
      <c r="AF259" t="str">
        <f ca="1">IF(OR($L259&gt;AF$4,AF$4&gt;$L259+23),"",OFFSET(Electric!$L250,0,-'Electric Calendarize'!$L259+'Electric Calendarize'!AF$4+1))</f>
        <v/>
      </c>
      <c r="AG259" t="str">
        <f ca="1">IF(OR($L259&gt;AG$4,AG$4&gt;$L259+23),"",OFFSET(Electric!$L250,0,-'Electric Calendarize'!$L259+'Electric Calendarize'!AG$4+1))</f>
        <v/>
      </c>
      <c r="AH259" t="str">
        <f ca="1">IF(OR($L259&gt;AH$4,AH$4&gt;$L259+23),"",OFFSET(Electric!$L250,0,-'Electric Calendarize'!$L259+'Electric Calendarize'!AH$4+1))</f>
        <v/>
      </c>
      <c r="AI259" t="str">
        <f ca="1">IF(OR($L259&gt;AI$4,AI$4&gt;$L259+23),"",OFFSET(Electric!$L250,0,-'Electric Calendarize'!$L259+'Electric Calendarize'!AI$4+1))</f>
        <v/>
      </c>
      <c r="AJ259" t="str">
        <f ca="1">IF(OR($L259&gt;AJ$4,AJ$4&gt;$L259+23),"",OFFSET(Electric!$L250,0,-'Electric Calendarize'!$L259+'Electric Calendarize'!AJ$4+1))</f>
        <v/>
      </c>
      <c r="AK259" t="str">
        <f ca="1">IF(OR($L259&gt;AK$4,AK$4&gt;$L259+23),"",OFFSET(Electric!$L250,0,-'Electric Calendarize'!$L259+'Electric Calendarize'!AK$4+1))</f>
        <v/>
      </c>
      <c r="AL259" t="str">
        <f ca="1">IF(OR($L259&gt;AL$4,AL$4&gt;$L259+23),"",OFFSET(Electric!$L250,0,-'Electric Calendarize'!$L259+'Electric Calendarize'!AL$4+1))</f>
        <v/>
      </c>
      <c r="AM259" t="str">
        <f ca="1">IF(OR($L259&gt;AM$4,AM$4&gt;$L259+23),"",OFFSET(Electric!$L250,0,-'Electric Calendarize'!$L259+'Electric Calendarize'!AM$4+1))</f>
        <v/>
      </c>
      <c r="AN259" t="str">
        <f ca="1">IF(OR($L259&gt;AN$4,AN$4&gt;$L259+23),"",OFFSET(Electric!$L250,0,-'Electric Calendarize'!$L259+'Electric Calendarize'!AN$4+1))</f>
        <v/>
      </c>
      <c r="AO259" t="str">
        <f ca="1">IF(OR($L259&gt;AO$4,AO$4&gt;$L259+23),"",OFFSET(Electric!$L250,0,-'Electric Calendarize'!$L259+'Electric Calendarize'!AO$4+1))</f>
        <v/>
      </c>
      <c r="AP259">
        <f ca="1">IF(OR($L259&gt;AP$4,AP$4&gt;$L259+23),"",OFFSET(Electric!$L250,0,-'Electric Calendarize'!$L259+'Electric Calendarize'!AP$4+1))</f>
        <v>1082</v>
      </c>
      <c r="AQ259">
        <f ca="1">IF(OR($L259&gt;AQ$4,AQ$4&gt;$L259+23),"",OFFSET(Electric!$L250,0,-'Electric Calendarize'!$L259+'Electric Calendarize'!AQ$4+1))</f>
        <v>1246</v>
      </c>
      <c r="AR259">
        <f ca="1">IF(OR($L259&gt;AR$4,AR$4&gt;$L259+23),"",OFFSET(Electric!$L250,0,-'Electric Calendarize'!$L259+'Electric Calendarize'!AR$4+1))</f>
        <v>1076</v>
      </c>
      <c r="AS259">
        <f ca="1">IF(OR($L259&gt;AS$4,AS$4&gt;$L259+23),"",OFFSET(Electric!$L250,0,-'Electric Calendarize'!$L259+'Electric Calendarize'!AS$4+1))</f>
        <v>919</v>
      </c>
      <c r="AT259">
        <f ca="1">IF(OR($L259&gt;AT$4,AT$4&gt;$L259+23),"",OFFSET(Electric!$L250,0,-'Electric Calendarize'!$L259+'Electric Calendarize'!AT$4+1))</f>
        <v>737</v>
      </c>
      <c r="AU259">
        <f ca="1">IF(OR($L259&gt;AU$4,AU$4&gt;$L259+23),"",OFFSET(Electric!$L250,0,-'Electric Calendarize'!$L259+'Electric Calendarize'!AU$4+1))</f>
        <v>746</v>
      </c>
      <c r="AV259">
        <f ca="1">IF(OR($L259&gt;AV$4,AV$4&gt;$L259+23),"",OFFSET(Electric!$L250,0,-'Electric Calendarize'!$L259+'Electric Calendarize'!AV$4+1))</f>
        <v>945</v>
      </c>
      <c r="AW259">
        <f ca="1">IF(OR($L259&gt;AW$4,AW$4&gt;$L259+23),"",OFFSET(Electric!$L250,0,-'Electric Calendarize'!$L259+'Electric Calendarize'!AW$4+1))</f>
        <v>887</v>
      </c>
      <c r="AX259">
        <f ca="1">IF(OR($L259&gt;AX$4,AX$4&gt;$L259+23),"",OFFSET(Electric!$L250,0,-'Electric Calendarize'!$L259+'Electric Calendarize'!AX$4+1))</f>
        <v>765</v>
      </c>
      <c r="AY259">
        <f ca="1">IF(OR($L259&gt;AY$4,AY$4&gt;$L259+23),"",OFFSET(Electric!$L250,0,-'Electric Calendarize'!$L259+'Electric Calendarize'!AY$4+1))</f>
        <v>780</v>
      </c>
      <c r="AZ259">
        <f ca="1">IF(OR($L259&gt;AZ$4,AZ$4&gt;$L259+23),"",OFFSET(Electric!$L250,0,-'Electric Calendarize'!$L259+'Electric Calendarize'!AZ$4+1))</f>
        <v>898</v>
      </c>
      <c r="BA259">
        <f ca="1">IF(OR($L259&gt;BA$4,BA$4&gt;$L259+23),"",OFFSET(Electric!$L250,0,-'Electric Calendarize'!$L259+'Electric Calendarize'!BA$4+1))</f>
        <v>1010</v>
      </c>
      <c r="BB259">
        <f ca="1">IF(OR($L259&gt;BB$4,BB$4&gt;$L259+23),"",OFFSET(Electric!$L250,0,-'Electric Calendarize'!$L259+'Electric Calendarize'!BB$4+1))</f>
        <v>1154</v>
      </c>
      <c r="BC259">
        <f ca="1">IF(OR($L259&gt;BC$4,BC$4&gt;$L259+23),"",OFFSET(Electric!$L250,0,-'Electric Calendarize'!$L259+'Electric Calendarize'!BC$4+1))</f>
        <v>1452</v>
      </c>
      <c r="BD259">
        <f ca="1">IF(OR($L259&gt;BD$4,BD$4&gt;$L259+23),"",OFFSET(Electric!$L250,0,-'Electric Calendarize'!$L259+'Electric Calendarize'!BD$4+1))</f>
        <v>1078</v>
      </c>
      <c r="BE259">
        <f ca="1">IF(OR($L259&gt;BE$4,BE$4&gt;$L259+23),"",OFFSET(Electric!$L250,0,-'Electric Calendarize'!$L259+'Electric Calendarize'!BE$4+1))</f>
        <v>973</v>
      </c>
      <c r="BF259">
        <f ca="1">IF(OR($L259&gt;BF$4,BF$4&gt;$L259+23),"",OFFSET(Electric!$L250,0,-'Electric Calendarize'!$L259+'Electric Calendarize'!BF$4+1))</f>
        <v>776</v>
      </c>
      <c r="BG259">
        <f ca="1">IF(OR($L259&gt;BG$4,BG$4&gt;$L259+23),"",OFFSET(Electric!$L250,0,-'Electric Calendarize'!$L259+'Electric Calendarize'!BG$4+1))</f>
        <v>824</v>
      </c>
      <c r="BJ259" s="10" t="s">
        <v>37</v>
      </c>
      <c r="BK259">
        <f t="shared" si="519"/>
        <v>1</v>
      </c>
      <c r="BL259">
        <f t="shared" si="425"/>
        <v>0</v>
      </c>
      <c r="BM259">
        <f t="shared" si="426"/>
        <v>0</v>
      </c>
      <c r="BN259">
        <f t="shared" si="427"/>
        <v>0</v>
      </c>
      <c r="BO259">
        <f t="shared" si="428"/>
        <v>0</v>
      </c>
      <c r="BP259">
        <f t="shared" si="429"/>
        <v>0</v>
      </c>
      <c r="BQ259">
        <f t="shared" si="430"/>
        <v>0</v>
      </c>
      <c r="BR259">
        <f t="shared" si="431"/>
        <v>1</v>
      </c>
      <c r="BS259">
        <f t="shared" si="432"/>
        <v>1</v>
      </c>
      <c r="BT259">
        <f t="shared" si="433"/>
        <v>1</v>
      </c>
      <c r="BU259">
        <f t="shared" si="434"/>
        <v>1</v>
      </c>
      <c r="BV259">
        <f t="shared" si="435"/>
        <v>1</v>
      </c>
      <c r="BW259">
        <f t="shared" si="436"/>
        <v>1</v>
      </c>
      <c r="BX259">
        <f t="shared" si="437"/>
        <v>0</v>
      </c>
      <c r="BY259">
        <f t="shared" si="438"/>
        <v>0</v>
      </c>
      <c r="BZ259">
        <f t="shared" si="439"/>
        <v>0</v>
      </c>
      <c r="CA259">
        <f t="shared" si="440"/>
        <v>0</v>
      </c>
      <c r="CB259">
        <f t="shared" si="441"/>
        <v>0</v>
      </c>
      <c r="CC259">
        <f t="shared" si="442"/>
        <v>0</v>
      </c>
      <c r="CD259">
        <f t="shared" si="443"/>
        <v>1</v>
      </c>
      <c r="CE259">
        <f t="shared" si="444"/>
        <v>1</v>
      </c>
      <c r="CF259">
        <f t="shared" si="445"/>
        <v>1</v>
      </c>
      <c r="CG259">
        <f t="shared" si="446"/>
        <v>1</v>
      </c>
      <c r="CH259">
        <f t="shared" si="447"/>
        <v>1</v>
      </c>
      <c r="CI259">
        <f t="shared" si="448"/>
        <v>1</v>
      </c>
      <c r="CJ259">
        <f t="shared" si="449"/>
        <v>0</v>
      </c>
      <c r="CK259">
        <f t="shared" si="450"/>
        <v>0</v>
      </c>
      <c r="CL259">
        <f t="shared" si="451"/>
        <v>0</v>
      </c>
      <c r="CM259">
        <f t="shared" si="452"/>
        <v>0</v>
      </c>
      <c r="CN259">
        <f t="shared" si="453"/>
        <v>0</v>
      </c>
      <c r="CO259">
        <f t="shared" si="454"/>
        <v>0</v>
      </c>
      <c r="CP259">
        <f t="shared" si="455"/>
        <v>1</v>
      </c>
      <c r="CQ259">
        <f t="shared" si="456"/>
        <v>1</v>
      </c>
      <c r="CR259">
        <f t="shared" si="457"/>
        <v>1</v>
      </c>
      <c r="CS259">
        <f t="shared" si="458"/>
        <v>1</v>
      </c>
      <c r="CT259">
        <f t="shared" si="459"/>
        <v>1</v>
      </c>
      <c r="CU259">
        <f t="shared" si="460"/>
        <v>1</v>
      </c>
      <c r="CV259">
        <f t="shared" si="461"/>
        <v>0</v>
      </c>
      <c r="CW259">
        <f t="shared" si="462"/>
        <v>0</v>
      </c>
      <c r="CX259">
        <f t="shared" si="463"/>
        <v>0</v>
      </c>
      <c r="CY259">
        <f t="shared" si="464"/>
        <v>0</v>
      </c>
      <c r="CZ259">
        <f t="shared" si="465"/>
        <v>0</v>
      </c>
      <c r="DA259">
        <f t="shared" si="466"/>
        <v>0</v>
      </c>
      <c r="DB259">
        <f t="shared" si="467"/>
        <v>1</v>
      </c>
      <c r="DC259">
        <f t="shared" si="468"/>
        <v>1</v>
      </c>
      <c r="DF259" s="10" t="s">
        <v>37</v>
      </c>
      <c r="DG259" t="str">
        <f t="shared" si="531"/>
        <v>2023_7</v>
      </c>
      <c r="DH259" t="str">
        <f t="shared" si="531"/>
        <v>2023_7</v>
      </c>
      <c r="DI259" t="str">
        <f t="shared" si="531"/>
        <v>2023_7</v>
      </c>
      <c r="DJ259" t="str">
        <f t="shared" si="531"/>
        <v>2023_7</v>
      </c>
      <c r="DK259" t="str">
        <f t="shared" si="531"/>
        <v>2023_7</v>
      </c>
      <c r="DL259" t="str">
        <f t="shared" si="531"/>
        <v>2023_7</v>
      </c>
      <c r="DM259" t="str">
        <f t="shared" si="531"/>
        <v>2023_7</v>
      </c>
      <c r="DN259" t="str">
        <f t="shared" si="531"/>
        <v>2023_7</v>
      </c>
      <c r="DO259" t="str">
        <f t="shared" si="531"/>
        <v>2023_7</v>
      </c>
      <c r="DP259" t="str">
        <f t="shared" si="531"/>
        <v>2023_7</v>
      </c>
      <c r="DQ259" t="str">
        <f t="shared" si="531"/>
        <v>2023_7</v>
      </c>
      <c r="DR259" t="str">
        <f t="shared" si="531"/>
        <v>2023_7</v>
      </c>
      <c r="DS259" t="str">
        <f t="shared" si="531"/>
        <v>2023_7</v>
      </c>
      <c r="DT259" t="str">
        <f t="shared" si="531"/>
        <v>2023_7</v>
      </c>
      <c r="DU259" t="str">
        <f t="shared" si="531"/>
        <v>2023_7</v>
      </c>
      <c r="DV259" t="str">
        <f t="shared" si="531"/>
        <v>2023_7</v>
      </c>
      <c r="DW259" t="str">
        <f t="shared" si="530"/>
        <v>2023_7</v>
      </c>
      <c r="DX259" t="str">
        <f t="shared" si="530"/>
        <v>2023_7</v>
      </c>
      <c r="DY259" t="str">
        <f t="shared" si="530"/>
        <v>2023_7</v>
      </c>
      <c r="DZ259" t="str">
        <f t="shared" si="530"/>
        <v>2023_7</v>
      </c>
      <c r="EA259" t="str">
        <f t="shared" si="530"/>
        <v>2023_7</v>
      </c>
      <c r="EB259" t="str">
        <f t="shared" si="530"/>
        <v>2023_7</v>
      </c>
      <c r="EC259" t="str">
        <f t="shared" si="530"/>
        <v>2023_7</v>
      </c>
      <c r="ED259" t="str">
        <f t="shared" si="530"/>
        <v>2023_7</v>
      </c>
      <c r="EE259" t="str">
        <f t="shared" si="530"/>
        <v>2023_7</v>
      </c>
      <c r="EF259" t="str">
        <f t="shared" si="530"/>
        <v>2023_7</v>
      </c>
      <c r="EG259" t="str">
        <f t="shared" si="530"/>
        <v>2023_7</v>
      </c>
      <c r="EH259" t="str">
        <f t="shared" si="530"/>
        <v>2023_7</v>
      </c>
      <c r="EI259" t="str">
        <f t="shared" si="530"/>
        <v>2023_7</v>
      </c>
      <c r="EJ259" t="str">
        <f t="shared" si="530"/>
        <v>2023_7</v>
      </c>
      <c r="EK259" t="str">
        <f t="shared" si="529"/>
        <v>2023_7</v>
      </c>
      <c r="EL259" t="str">
        <f t="shared" si="529"/>
        <v>2023_7</v>
      </c>
      <c r="EM259" t="str">
        <f t="shared" si="529"/>
        <v>2023_7</v>
      </c>
      <c r="EN259" t="str">
        <f t="shared" si="529"/>
        <v>2023_7</v>
      </c>
      <c r="EO259" t="str">
        <f t="shared" si="529"/>
        <v>2023_7</v>
      </c>
      <c r="EP259" t="str">
        <f t="shared" si="529"/>
        <v>2023_7</v>
      </c>
      <c r="EQ259" t="str">
        <f t="shared" si="529"/>
        <v>2023_7</v>
      </c>
      <c r="ER259" t="str">
        <f t="shared" si="529"/>
        <v>2023_7</v>
      </c>
      <c r="ES259" t="str">
        <f t="shared" si="529"/>
        <v>2023_7</v>
      </c>
      <c r="ET259" t="str">
        <f t="shared" si="529"/>
        <v>2023_7</v>
      </c>
      <c r="EU259" t="str">
        <f t="shared" si="529"/>
        <v>2023_7</v>
      </c>
      <c r="EV259" t="str">
        <f t="shared" si="529"/>
        <v>2023_7</v>
      </c>
      <c r="EW259" t="str">
        <f t="shared" si="529"/>
        <v>2023_7</v>
      </c>
      <c r="EX259" t="str">
        <f t="shared" si="529"/>
        <v>2023_7</v>
      </c>
      <c r="EY259" t="str">
        <f t="shared" si="529"/>
        <v>2023_7</v>
      </c>
      <c r="FB259" s="10" t="s">
        <v>37</v>
      </c>
      <c r="FC259">
        <f t="shared" si="521"/>
        <v>0</v>
      </c>
      <c r="FD259">
        <f t="shared" si="471"/>
        <v>0</v>
      </c>
      <c r="FE259">
        <f t="shared" si="472"/>
        <v>0</v>
      </c>
      <c r="FF259">
        <f t="shared" si="473"/>
        <v>0</v>
      </c>
      <c r="FG259">
        <f t="shared" si="474"/>
        <v>0</v>
      </c>
      <c r="FH259">
        <f t="shared" si="475"/>
        <v>0</v>
      </c>
      <c r="FI259">
        <f t="shared" si="476"/>
        <v>0</v>
      </c>
      <c r="FJ259">
        <f t="shared" si="477"/>
        <v>0</v>
      </c>
      <c r="FK259">
        <f t="shared" si="478"/>
        <v>0</v>
      </c>
      <c r="FL259">
        <f t="shared" si="479"/>
        <v>0</v>
      </c>
      <c r="FM259">
        <f t="shared" si="480"/>
        <v>0</v>
      </c>
      <c r="FN259">
        <f t="shared" si="481"/>
        <v>0</v>
      </c>
      <c r="FO259">
        <f t="shared" si="482"/>
        <v>0</v>
      </c>
      <c r="FP259">
        <f t="shared" si="483"/>
        <v>0</v>
      </c>
      <c r="FQ259">
        <f t="shared" si="484"/>
        <v>0</v>
      </c>
      <c r="FR259">
        <f t="shared" si="485"/>
        <v>0</v>
      </c>
      <c r="FS259">
        <f t="shared" si="486"/>
        <v>0</v>
      </c>
      <c r="FT259">
        <f t="shared" si="487"/>
        <v>0</v>
      </c>
      <c r="FU259">
        <f t="shared" si="488"/>
        <v>0</v>
      </c>
      <c r="FV259">
        <f t="shared" si="489"/>
        <v>0</v>
      </c>
      <c r="FW259">
        <f t="shared" si="490"/>
        <v>0</v>
      </c>
      <c r="FX259">
        <f t="shared" si="491"/>
        <v>0</v>
      </c>
      <c r="FY259">
        <f t="shared" si="492"/>
        <v>0</v>
      </c>
      <c r="FZ259">
        <f t="shared" si="493"/>
        <v>0</v>
      </c>
      <c r="GA259">
        <f t="shared" si="494"/>
        <v>0</v>
      </c>
      <c r="GB259">
        <f t="shared" si="495"/>
        <v>0</v>
      </c>
      <c r="GC259">
        <f t="shared" si="496"/>
        <v>0</v>
      </c>
      <c r="GD259">
        <f t="shared" si="497"/>
        <v>0</v>
      </c>
      <c r="GE259">
        <f t="shared" si="498"/>
        <v>0</v>
      </c>
      <c r="GF259">
        <f t="shared" si="499"/>
        <v>0</v>
      </c>
      <c r="GG259">
        <f t="shared" si="500"/>
        <v>0</v>
      </c>
      <c r="GH259">
        <f t="shared" si="501"/>
        <v>0</v>
      </c>
      <c r="GI259">
        <f t="shared" si="502"/>
        <v>0</v>
      </c>
      <c r="GJ259">
        <f t="shared" si="503"/>
        <v>0</v>
      </c>
      <c r="GK259">
        <f t="shared" si="504"/>
        <v>0</v>
      </c>
      <c r="GL259">
        <f t="shared" si="505"/>
        <v>0</v>
      </c>
      <c r="GM259">
        <f t="shared" si="506"/>
        <v>0</v>
      </c>
      <c r="GN259">
        <f t="shared" si="507"/>
        <v>0</v>
      </c>
      <c r="GO259">
        <f t="shared" si="508"/>
        <v>0</v>
      </c>
      <c r="GP259">
        <f t="shared" si="509"/>
        <v>1</v>
      </c>
      <c r="GQ259">
        <f t="shared" si="510"/>
        <v>1</v>
      </c>
      <c r="GR259">
        <f t="shared" si="511"/>
        <v>1</v>
      </c>
      <c r="GS259">
        <f t="shared" si="512"/>
        <v>1</v>
      </c>
      <c r="GT259">
        <f t="shared" si="513"/>
        <v>1</v>
      </c>
      <c r="GU259">
        <f t="shared" si="514"/>
        <v>1</v>
      </c>
      <c r="GX259" s="10"/>
    </row>
    <row r="260" spans="1:206" x14ac:dyDescent="0.3">
      <c r="A260" s="9" t="s">
        <v>128</v>
      </c>
      <c r="B260" s="80"/>
      <c r="C260" s="9">
        <v>3101530000</v>
      </c>
      <c r="D260" s="9" t="s">
        <v>507</v>
      </c>
      <c r="E260" s="9" t="s">
        <v>34</v>
      </c>
      <c r="F260" s="9" t="s">
        <v>35</v>
      </c>
      <c r="G260" s="9" t="s">
        <v>271</v>
      </c>
      <c r="H260" s="10">
        <v>45119</v>
      </c>
      <c r="I260" s="9">
        <f t="shared" si="515"/>
        <v>2023</v>
      </c>
      <c r="J260" s="9">
        <f t="shared" si="516"/>
        <v>7</v>
      </c>
      <c r="K260" s="9" t="str">
        <f t="shared" si="517"/>
        <v>2023_7</v>
      </c>
      <c r="L260">
        <f>MAX(0,VLOOKUP($K260,lookups!$A$1:$B$45,2,0)-12)</f>
        <v>27</v>
      </c>
      <c r="M260" s="40">
        <f t="shared" si="518"/>
        <v>45108</v>
      </c>
      <c r="N260" s="10" t="s">
        <v>37</v>
      </c>
      <c r="O260" t="str">
        <f ca="1">IF(OR($L260&gt;O$4,O$4&gt;$L260+23),"",OFFSET(Electric!$L251,0,-'Electric Calendarize'!$L260+'Electric Calendarize'!O$4+1))</f>
        <v/>
      </c>
      <c r="P260" t="str">
        <f ca="1">IF(OR($L260&gt;P$4,P$4&gt;$L260+23),"",OFFSET(Electric!$L251,0,-'Electric Calendarize'!$L260+'Electric Calendarize'!P$4+1))</f>
        <v/>
      </c>
      <c r="Q260" t="str">
        <f ca="1">IF(OR($L260&gt;Q$4,Q$4&gt;$L260+23),"",OFFSET(Electric!$L251,0,-'Electric Calendarize'!$L260+'Electric Calendarize'!Q$4+1))</f>
        <v/>
      </c>
      <c r="R260" t="str">
        <f ca="1">IF(OR($L260&gt;R$4,R$4&gt;$L260+23),"",OFFSET(Electric!$L251,0,-'Electric Calendarize'!$L260+'Electric Calendarize'!R$4+1))</f>
        <v/>
      </c>
      <c r="S260" t="str">
        <f ca="1">IF(OR($L260&gt;S$4,S$4&gt;$L260+23),"",OFFSET(Electric!$L251,0,-'Electric Calendarize'!$L260+'Electric Calendarize'!S$4+1))</f>
        <v/>
      </c>
      <c r="T260" t="str">
        <f ca="1">IF(OR($L260&gt;T$4,T$4&gt;$L260+23),"",OFFSET(Electric!$L251,0,-'Electric Calendarize'!$L260+'Electric Calendarize'!T$4+1))</f>
        <v/>
      </c>
      <c r="U260" t="str">
        <f ca="1">IF(OR($L260&gt;U$4,U$4&gt;$L260+23),"",OFFSET(Electric!$L251,0,-'Electric Calendarize'!$L260+'Electric Calendarize'!U$4+1))</f>
        <v/>
      </c>
      <c r="V260" t="str">
        <f ca="1">IF(OR($L260&gt;V$4,V$4&gt;$L260+23),"",OFFSET(Electric!$L251,0,-'Electric Calendarize'!$L260+'Electric Calendarize'!V$4+1))</f>
        <v/>
      </c>
      <c r="W260" t="str">
        <f ca="1">IF(OR($L260&gt;W$4,W$4&gt;$L260+23),"",OFFSET(Electric!$L251,0,-'Electric Calendarize'!$L260+'Electric Calendarize'!W$4+1))</f>
        <v/>
      </c>
      <c r="X260" t="str">
        <f ca="1">IF(OR($L260&gt;X$4,X$4&gt;$L260+23),"",OFFSET(Electric!$L251,0,-'Electric Calendarize'!$L260+'Electric Calendarize'!X$4+1))</f>
        <v/>
      </c>
      <c r="Y260" t="str">
        <f ca="1">IF(OR($L260&gt;Y$4,Y$4&gt;$L260+23),"",OFFSET(Electric!$L251,0,-'Electric Calendarize'!$L260+'Electric Calendarize'!Y$4+1))</f>
        <v/>
      </c>
      <c r="Z260" t="str">
        <f ca="1">IF(OR($L260&gt;Z$4,Z$4&gt;$L260+23),"",OFFSET(Electric!$L251,0,-'Electric Calendarize'!$L260+'Electric Calendarize'!Z$4+1))</f>
        <v/>
      </c>
      <c r="AA260" t="str">
        <f ca="1">IF(OR($L260&gt;AA$4,AA$4&gt;$L260+23),"",OFFSET(Electric!$L251,0,-'Electric Calendarize'!$L260+'Electric Calendarize'!AA$4+1))</f>
        <v/>
      </c>
      <c r="AB260" t="str">
        <f ca="1">IF(OR($L260&gt;AB$4,AB$4&gt;$L260+23),"",OFFSET(Electric!$L251,0,-'Electric Calendarize'!$L260+'Electric Calendarize'!AB$4+1))</f>
        <v/>
      </c>
      <c r="AC260" t="str">
        <f ca="1">IF(OR($L260&gt;AC$4,AC$4&gt;$L260+23),"",OFFSET(Electric!$L251,0,-'Electric Calendarize'!$L260+'Electric Calendarize'!AC$4+1))</f>
        <v/>
      </c>
      <c r="AD260" t="str">
        <f ca="1">IF(OR($L260&gt;AD$4,AD$4&gt;$L260+23),"",OFFSET(Electric!$L251,0,-'Electric Calendarize'!$L260+'Electric Calendarize'!AD$4+1))</f>
        <v/>
      </c>
      <c r="AE260" t="str">
        <f ca="1">IF(OR($L260&gt;AE$4,AE$4&gt;$L260+23),"",OFFSET(Electric!$L251,0,-'Electric Calendarize'!$L260+'Electric Calendarize'!AE$4+1))</f>
        <v/>
      </c>
      <c r="AF260" t="str">
        <f ca="1">IF(OR($L260&gt;AF$4,AF$4&gt;$L260+23),"",OFFSET(Electric!$L251,0,-'Electric Calendarize'!$L260+'Electric Calendarize'!AF$4+1))</f>
        <v/>
      </c>
      <c r="AG260" t="str">
        <f ca="1">IF(OR($L260&gt;AG$4,AG$4&gt;$L260+23),"",OFFSET(Electric!$L251,0,-'Electric Calendarize'!$L260+'Electric Calendarize'!AG$4+1))</f>
        <v/>
      </c>
      <c r="AH260" t="str">
        <f ca="1">IF(OR($L260&gt;AH$4,AH$4&gt;$L260+23),"",OFFSET(Electric!$L251,0,-'Electric Calendarize'!$L260+'Electric Calendarize'!AH$4+1))</f>
        <v/>
      </c>
      <c r="AI260" t="str">
        <f ca="1">IF(OR($L260&gt;AI$4,AI$4&gt;$L260+23),"",OFFSET(Electric!$L251,0,-'Electric Calendarize'!$L260+'Electric Calendarize'!AI$4+1))</f>
        <v/>
      </c>
      <c r="AJ260" t="str">
        <f ca="1">IF(OR($L260&gt;AJ$4,AJ$4&gt;$L260+23),"",OFFSET(Electric!$L251,0,-'Electric Calendarize'!$L260+'Electric Calendarize'!AJ$4+1))</f>
        <v/>
      </c>
      <c r="AK260" t="str">
        <f ca="1">IF(OR($L260&gt;AK$4,AK$4&gt;$L260+23),"",OFFSET(Electric!$L251,0,-'Electric Calendarize'!$L260+'Electric Calendarize'!AK$4+1))</f>
        <v/>
      </c>
      <c r="AL260" t="str">
        <f ca="1">IF(OR($L260&gt;AL$4,AL$4&gt;$L260+23),"",OFFSET(Electric!$L251,0,-'Electric Calendarize'!$L260+'Electric Calendarize'!AL$4+1))</f>
        <v/>
      </c>
      <c r="AM260" t="str">
        <f ca="1">IF(OR($L260&gt;AM$4,AM$4&gt;$L260+23),"",OFFSET(Electric!$L251,0,-'Electric Calendarize'!$L260+'Electric Calendarize'!AM$4+1))</f>
        <v/>
      </c>
      <c r="AN260" t="str">
        <f ca="1">IF(OR($L260&gt;AN$4,AN$4&gt;$L260+23),"",OFFSET(Electric!$L251,0,-'Electric Calendarize'!$L260+'Electric Calendarize'!AN$4+1))</f>
        <v/>
      </c>
      <c r="AO260" t="str">
        <f ca="1">IF(OR($L260&gt;AO$4,AO$4&gt;$L260+23),"",OFFSET(Electric!$L251,0,-'Electric Calendarize'!$L260+'Electric Calendarize'!AO$4+1))</f>
        <v/>
      </c>
      <c r="AP260">
        <f ca="1">IF(OR($L260&gt;AP$4,AP$4&gt;$L260+23),"",OFFSET(Electric!$L251,0,-'Electric Calendarize'!$L260+'Electric Calendarize'!AP$4+1))</f>
        <v>859</v>
      </c>
      <c r="AQ260">
        <f ca="1">IF(OR($L260&gt;AQ$4,AQ$4&gt;$L260+23),"",OFFSET(Electric!$L251,0,-'Electric Calendarize'!$L260+'Electric Calendarize'!AQ$4+1))</f>
        <v>974</v>
      </c>
      <c r="AR260">
        <f ca="1">IF(OR($L260&gt;AR$4,AR$4&gt;$L260+23),"",OFFSET(Electric!$L251,0,-'Electric Calendarize'!$L260+'Electric Calendarize'!AR$4+1))</f>
        <v>664</v>
      </c>
      <c r="AS260">
        <f ca="1">IF(OR($L260&gt;AS$4,AS$4&gt;$L260+23),"",OFFSET(Electric!$L251,0,-'Electric Calendarize'!$L260+'Electric Calendarize'!AS$4+1))</f>
        <v>342</v>
      </c>
      <c r="AT260">
        <f ca="1">IF(OR($L260&gt;AT$4,AT$4&gt;$L260+23),"",OFFSET(Electric!$L251,0,-'Electric Calendarize'!$L260+'Electric Calendarize'!AT$4+1))</f>
        <v>373</v>
      </c>
      <c r="AU260">
        <f ca="1">IF(OR($L260&gt;AU$4,AU$4&gt;$L260+23),"",OFFSET(Electric!$L251,0,-'Electric Calendarize'!$L260+'Electric Calendarize'!AU$4+1))</f>
        <v>500</v>
      </c>
      <c r="AV260">
        <f ca="1">IF(OR($L260&gt;AV$4,AV$4&gt;$L260+23),"",OFFSET(Electric!$L251,0,-'Electric Calendarize'!$L260+'Electric Calendarize'!AV$4+1))</f>
        <v>633</v>
      </c>
      <c r="AW260">
        <f ca="1">IF(OR($L260&gt;AW$4,AW$4&gt;$L260+23),"",OFFSET(Electric!$L251,0,-'Electric Calendarize'!$L260+'Electric Calendarize'!AW$4+1))</f>
        <v>428</v>
      </c>
      <c r="AX260">
        <f ca="1">IF(OR($L260&gt;AX$4,AX$4&gt;$L260+23),"",OFFSET(Electric!$L251,0,-'Electric Calendarize'!$L260+'Electric Calendarize'!AX$4+1))</f>
        <v>409</v>
      </c>
      <c r="AY260">
        <f ca="1">IF(OR($L260&gt;AY$4,AY$4&gt;$L260+23),"",OFFSET(Electric!$L251,0,-'Electric Calendarize'!$L260+'Electric Calendarize'!AY$4+1))</f>
        <v>335</v>
      </c>
      <c r="AZ260">
        <f ca="1">IF(OR($L260&gt;AZ$4,AZ$4&gt;$L260+23),"",OFFSET(Electric!$L251,0,-'Electric Calendarize'!$L260+'Electric Calendarize'!AZ$4+1))</f>
        <v>352</v>
      </c>
      <c r="BA260">
        <f ca="1">IF(OR($L260&gt;BA$4,BA$4&gt;$L260+23),"",OFFSET(Electric!$L251,0,-'Electric Calendarize'!$L260+'Electric Calendarize'!BA$4+1))</f>
        <v>403</v>
      </c>
      <c r="BB260">
        <f ca="1">IF(OR($L260&gt;BB$4,BB$4&gt;$L260+23),"",OFFSET(Electric!$L251,0,-'Electric Calendarize'!$L260+'Electric Calendarize'!BB$4+1))</f>
        <v>833</v>
      </c>
      <c r="BC260">
        <f ca="1">IF(OR($L260&gt;BC$4,BC$4&gt;$L260+23),"",OFFSET(Electric!$L251,0,-'Electric Calendarize'!$L260+'Electric Calendarize'!BC$4+1))</f>
        <v>930</v>
      </c>
      <c r="BD260">
        <f ca="1">IF(OR($L260&gt;BD$4,BD$4&gt;$L260+23),"",OFFSET(Electric!$L251,0,-'Electric Calendarize'!$L260+'Electric Calendarize'!BD$4+1))</f>
        <v>776</v>
      </c>
      <c r="BE260">
        <f ca="1">IF(OR($L260&gt;BE$4,BE$4&gt;$L260+23),"",OFFSET(Electric!$L251,0,-'Electric Calendarize'!$L260+'Electric Calendarize'!BE$4+1))</f>
        <v>405</v>
      </c>
      <c r="BF260">
        <f ca="1">IF(OR($L260&gt;BF$4,BF$4&gt;$L260+23),"",OFFSET(Electric!$L251,0,-'Electric Calendarize'!$L260+'Electric Calendarize'!BF$4+1))</f>
        <v>371</v>
      </c>
      <c r="BG260">
        <f ca="1">IF(OR($L260&gt;BG$4,BG$4&gt;$L260+23),"",OFFSET(Electric!$L251,0,-'Electric Calendarize'!$L260+'Electric Calendarize'!BG$4+1))</f>
        <v>0</v>
      </c>
      <c r="BJ260" s="10" t="s">
        <v>37</v>
      </c>
      <c r="BK260">
        <f t="shared" si="519"/>
        <v>1</v>
      </c>
      <c r="BL260">
        <f t="shared" si="425"/>
        <v>0</v>
      </c>
      <c r="BM260">
        <f t="shared" si="426"/>
        <v>0</v>
      </c>
      <c r="BN260">
        <f t="shared" si="427"/>
        <v>0</v>
      </c>
      <c r="BO260">
        <f t="shared" si="428"/>
        <v>0</v>
      </c>
      <c r="BP260">
        <f t="shared" si="429"/>
        <v>0</v>
      </c>
      <c r="BQ260">
        <f t="shared" si="430"/>
        <v>0</v>
      </c>
      <c r="BR260">
        <f t="shared" si="431"/>
        <v>1</v>
      </c>
      <c r="BS260">
        <f t="shared" si="432"/>
        <v>1</v>
      </c>
      <c r="BT260">
        <f t="shared" si="433"/>
        <v>1</v>
      </c>
      <c r="BU260">
        <f t="shared" si="434"/>
        <v>1</v>
      </c>
      <c r="BV260">
        <f t="shared" si="435"/>
        <v>1</v>
      </c>
      <c r="BW260">
        <f t="shared" si="436"/>
        <v>1</v>
      </c>
      <c r="BX260">
        <f t="shared" si="437"/>
        <v>0</v>
      </c>
      <c r="BY260">
        <f t="shared" si="438"/>
        <v>0</v>
      </c>
      <c r="BZ260">
        <f t="shared" si="439"/>
        <v>0</v>
      </c>
      <c r="CA260">
        <f t="shared" si="440"/>
        <v>0</v>
      </c>
      <c r="CB260">
        <f t="shared" si="441"/>
        <v>0</v>
      </c>
      <c r="CC260">
        <f t="shared" si="442"/>
        <v>0</v>
      </c>
      <c r="CD260">
        <f t="shared" si="443"/>
        <v>1</v>
      </c>
      <c r="CE260">
        <f t="shared" si="444"/>
        <v>1</v>
      </c>
      <c r="CF260">
        <f t="shared" si="445"/>
        <v>1</v>
      </c>
      <c r="CG260">
        <f t="shared" si="446"/>
        <v>1</v>
      </c>
      <c r="CH260">
        <f t="shared" si="447"/>
        <v>1</v>
      </c>
      <c r="CI260">
        <f t="shared" si="448"/>
        <v>1</v>
      </c>
      <c r="CJ260">
        <f t="shared" si="449"/>
        <v>0</v>
      </c>
      <c r="CK260">
        <f t="shared" si="450"/>
        <v>0</v>
      </c>
      <c r="CL260">
        <f t="shared" si="451"/>
        <v>0</v>
      </c>
      <c r="CM260">
        <f t="shared" si="452"/>
        <v>0</v>
      </c>
      <c r="CN260">
        <f t="shared" si="453"/>
        <v>0</v>
      </c>
      <c r="CO260">
        <f t="shared" si="454"/>
        <v>0</v>
      </c>
      <c r="CP260">
        <f t="shared" si="455"/>
        <v>1</v>
      </c>
      <c r="CQ260">
        <f t="shared" si="456"/>
        <v>1</v>
      </c>
      <c r="CR260">
        <f t="shared" si="457"/>
        <v>1</v>
      </c>
      <c r="CS260">
        <f t="shared" si="458"/>
        <v>1</v>
      </c>
      <c r="CT260">
        <f t="shared" si="459"/>
        <v>1</v>
      </c>
      <c r="CU260">
        <f t="shared" si="460"/>
        <v>1</v>
      </c>
      <c r="CV260">
        <f t="shared" si="461"/>
        <v>0</v>
      </c>
      <c r="CW260">
        <f t="shared" si="462"/>
        <v>0</v>
      </c>
      <c r="CX260">
        <f t="shared" si="463"/>
        <v>0</v>
      </c>
      <c r="CY260">
        <f t="shared" si="464"/>
        <v>0</v>
      </c>
      <c r="CZ260">
        <f t="shared" si="465"/>
        <v>0</v>
      </c>
      <c r="DA260">
        <f t="shared" si="466"/>
        <v>0</v>
      </c>
      <c r="DB260">
        <f t="shared" si="467"/>
        <v>1</v>
      </c>
      <c r="DC260">
        <f t="shared" si="468"/>
        <v>1</v>
      </c>
      <c r="DF260" s="10" t="s">
        <v>37</v>
      </c>
      <c r="DG260" t="str">
        <f t="shared" si="531"/>
        <v>2023_7</v>
      </c>
      <c r="DH260" t="str">
        <f t="shared" si="531"/>
        <v>2023_7</v>
      </c>
      <c r="DI260" t="str">
        <f t="shared" si="531"/>
        <v>2023_7</v>
      </c>
      <c r="DJ260" t="str">
        <f t="shared" si="531"/>
        <v>2023_7</v>
      </c>
      <c r="DK260" t="str">
        <f t="shared" si="531"/>
        <v>2023_7</v>
      </c>
      <c r="DL260" t="str">
        <f t="shared" si="531"/>
        <v>2023_7</v>
      </c>
      <c r="DM260" t="str">
        <f t="shared" si="531"/>
        <v>2023_7</v>
      </c>
      <c r="DN260" t="str">
        <f t="shared" si="531"/>
        <v>2023_7</v>
      </c>
      <c r="DO260" t="str">
        <f t="shared" si="531"/>
        <v>2023_7</v>
      </c>
      <c r="DP260" t="str">
        <f t="shared" si="531"/>
        <v>2023_7</v>
      </c>
      <c r="DQ260" t="str">
        <f t="shared" si="531"/>
        <v>2023_7</v>
      </c>
      <c r="DR260" t="str">
        <f t="shared" si="531"/>
        <v>2023_7</v>
      </c>
      <c r="DS260" t="str">
        <f t="shared" si="531"/>
        <v>2023_7</v>
      </c>
      <c r="DT260" t="str">
        <f t="shared" si="531"/>
        <v>2023_7</v>
      </c>
      <c r="DU260" t="str">
        <f t="shared" si="531"/>
        <v>2023_7</v>
      </c>
      <c r="DV260" t="str">
        <f t="shared" si="531"/>
        <v>2023_7</v>
      </c>
      <c r="DW260" t="str">
        <f t="shared" si="530"/>
        <v>2023_7</v>
      </c>
      <c r="DX260" t="str">
        <f t="shared" si="530"/>
        <v>2023_7</v>
      </c>
      <c r="DY260" t="str">
        <f t="shared" si="530"/>
        <v>2023_7</v>
      </c>
      <c r="DZ260" t="str">
        <f t="shared" si="530"/>
        <v>2023_7</v>
      </c>
      <c r="EA260" t="str">
        <f t="shared" si="530"/>
        <v>2023_7</v>
      </c>
      <c r="EB260" t="str">
        <f t="shared" si="530"/>
        <v>2023_7</v>
      </c>
      <c r="EC260" t="str">
        <f t="shared" si="530"/>
        <v>2023_7</v>
      </c>
      <c r="ED260" t="str">
        <f t="shared" si="530"/>
        <v>2023_7</v>
      </c>
      <c r="EE260" t="str">
        <f t="shared" si="530"/>
        <v>2023_7</v>
      </c>
      <c r="EF260" t="str">
        <f t="shared" si="530"/>
        <v>2023_7</v>
      </c>
      <c r="EG260" t="str">
        <f t="shared" si="530"/>
        <v>2023_7</v>
      </c>
      <c r="EH260" t="str">
        <f t="shared" si="530"/>
        <v>2023_7</v>
      </c>
      <c r="EI260" t="str">
        <f t="shared" si="530"/>
        <v>2023_7</v>
      </c>
      <c r="EJ260" t="str">
        <f t="shared" si="530"/>
        <v>2023_7</v>
      </c>
      <c r="EK260" t="str">
        <f t="shared" si="529"/>
        <v>2023_7</v>
      </c>
      <c r="EL260" t="str">
        <f t="shared" si="529"/>
        <v>2023_7</v>
      </c>
      <c r="EM260" t="str">
        <f t="shared" si="529"/>
        <v>2023_7</v>
      </c>
      <c r="EN260" t="str">
        <f t="shared" si="529"/>
        <v>2023_7</v>
      </c>
      <c r="EO260" t="str">
        <f t="shared" si="529"/>
        <v>2023_7</v>
      </c>
      <c r="EP260" t="str">
        <f t="shared" si="529"/>
        <v>2023_7</v>
      </c>
      <c r="EQ260" t="str">
        <f t="shared" si="529"/>
        <v>2023_7</v>
      </c>
      <c r="ER260" t="str">
        <f t="shared" si="529"/>
        <v>2023_7</v>
      </c>
      <c r="ES260" t="str">
        <f t="shared" si="529"/>
        <v>2023_7</v>
      </c>
      <c r="ET260" t="str">
        <f t="shared" si="529"/>
        <v>2023_7</v>
      </c>
      <c r="EU260" t="str">
        <f t="shared" si="529"/>
        <v>2023_7</v>
      </c>
      <c r="EV260" t="str">
        <f t="shared" si="529"/>
        <v>2023_7</v>
      </c>
      <c r="EW260" t="str">
        <f t="shared" si="529"/>
        <v>2023_7</v>
      </c>
      <c r="EX260" t="str">
        <f t="shared" si="529"/>
        <v>2023_7</v>
      </c>
      <c r="EY260" t="str">
        <f t="shared" si="529"/>
        <v>2023_7</v>
      </c>
      <c r="FB260" s="10" t="s">
        <v>37</v>
      </c>
      <c r="FC260">
        <f t="shared" si="521"/>
        <v>0</v>
      </c>
      <c r="FD260">
        <f t="shared" si="471"/>
        <v>0</v>
      </c>
      <c r="FE260">
        <f t="shared" si="472"/>
        <v>0</v>
      </c>
      <c r="FF260">
        <f t="shared" si="473"/>
        <v>0</v>
      </c>
      <c r="FG260">
        <f t="shared" si="474"/>
        <v>0</v>
      </c>
      <c r="FH260">
        <f t="shared" si="475"/>
        <v>0</v>
      </c>
      <c r="FI260">
        <f t="shared" si="476"/>
        <v>0</v>
      </c>
      <c r="FJ260">
        <f t="shared" si="477"/>
        <v>0</v>
      </c>
      <c r="FK260">
        <f t="shared" si="478"/>
        <v>0</v>
      </c>
      <c r="FL260">
        <f t="shared" si="479"/>
        <v>0</v>
      </c>
      <c r="FM260">
        <f t="shared" si="480"/>
        <v>0</v>
      </c>
      <c r="FN260">
        <f t="shared" si="481"/>
        <v>0</v>
      </c>
      <c r="FO260">
        <f t="shared" si="482"/>
        <v>0</v>
      </c>
      <c r="FP260">
        <f t="shared" si="483"/>
        <v>0</v>
      </c>
      <c r="FQ260">
        <f t="shared" si="484"/>
        <v>0</v>
      </c>
      <c r="FR260">
        <f t="shared" si="485"/>
        <v>0</v>
      </c>
      <c r="FS260">
        <f t="shared" si="486"/>
        <v>0</v>
      </c>
      <c r="FT260">
        <f t="shared" si="487"/>
        <v>0</v>
      </c>
      <c r="FU260">
        <f t="shared" si="488"/>
        <v>0</v>
      </c>
      <c r="FV260">
        <f t="shared" si="489"/>
        <v>0</v>
      </c>
      <c r="FW260">
        <f t="shared" si="490"/>
        <v>0</v>
      </c>
      <c r="FX260">
        <f t="shared" si="491"/>
        <v>0</v>
      </c>
      <c r="FY260">
        <f t="shared" si="492"/>
        <v>0</v>
      </c>
      <c r="FZ260">
        <f t="shared" si="493"/>
        <v>0</v>
      </c>
      <c r="GA260">
        <f t="shared" si="494"/>
        <v>0</v>
      </c>
      <c r="GB260">
        <f t="shared" si="495"/>
        <v>0</v>
      </c>
      <c r="GC260">
        <f t="shared" si="496"/>
        <v>0</v>
      </c>
      <c r="GD260">
        <f t="shared" si="497"/>
        <v>0</v>
      </c>
      <c r="GE260">
        <f t="shared" si="498"/>
        <v>0</v>
      </c>
      <c r="GF260">
        <f t="shared" si="499"/>
        <v>0</v>
      </c>
      <c r="GG260">
        <f t="shared" si="500"/>
        <v>0</v>
      </c>
      <c r="GH260">
        <f t="shared" si="501"/>
        <v>0</v>
      </c>
      <c r="GI260">
        <f t="shared" si="502"/>
        <v>0</v>
      </c>
      <c r="GJ260">
        <f t="shared" si="503"/>
        <v>0</v>
      </c>
      <c r="GK260">
        <f t="shared" si="504"/>
        <v>0</v>
      </c>
      <c r="GL260">
        <f t="shared" si="505"/>
        <v>0</v>
      </c>
      <c r="GM260">
        <f t="shared" si="506"/>
        <v>0</v>
      </c>
      <c r="GN260">
        <f t="shared" si="507"/>
        <v>0</v>
      </c>
      <c r="GO260">
        <f t="shared" si="508"/>
        <v>0</v>
      </c>
      <c r="GP260">
        <f t="shared" si="509"/>
        <v>1</v>
      </c>
      <c r="GQ260">
        <f t="shared" si="510"/>
        <v>1</v>
      </c>
      <c r="GR260">
        <f t="shared" si="511"/>
        <v>1</v>
      </c>
      <c r="GS260">
        <f t="shared" si="512"/>
        <v>1</v>
      </c>
      <c r="GT260">
        <f t="shared" si="513"/>
        <v>1</v>
      </c>
      <c r="GU260">
        <f t="shared" si="514"/>
        <v>1</v>
      </c>
      <c r="GX260" s="10"/>
    </row>
    <row r="261" spans="1:206" x14ac:dyDescent="0.3">
      <c r="A261" s="9" t="s">
        <v>191</v>
      </c>
      <c r="B261" s="80"/>
      <c r="C261" s="9">
        <v>3132676002</v>
      </c>
      <c r="D261" s="9" t="s">
        <v>502</v>
      </c>
      <c r="E261" s="9" t="s">
        <v>39</v>
      </c>
      <c r="F261" s="9" t="s">
        <v>35</v>
      </c>
      <c r="G261" s="9" t="s">
        <v>265</v>
      </c>
      <c r="H261" s="10">
        <v>45119</v>
      </c>
      <c r="I261" s="9">
        <f t="shared" si="515"/>
        <v>2023</v>
      </c>
      <c r="J261" s="9">
        <f t="shared" si="516"/>
        <v>7</v>
      </c>
      <c r="K261" s="9" t="str">
        <f t="shared" si="517"/>
        <v>2023_7</v>
      </c>
      <c r="L261">
        <f>MAX(0,VLOOKUP($K261,lookups!$A$1:$B$45,2,0)-12)</f>
        <v>27</v>
      </c>
      <c r="M261" s="40">
        <f t="shared" si="518"/>
        <v>45108</v>
      </c>
      <c r="N261" s="10" t="s">
        <v>37</v>
      </c>
      <c r="O261" t="str">
        <f ca="1">IF(OR($L261&gt;O$4,O$4&gt;$L261+23),"",OFFSET(Electric!$L252,0,-'Electric Calendarize'!$L261+'Electric Calendarize'!O$4+1))</f>
        <v/>
      </c>
      <c r="P261" t="str">
        <f ca="1">IF(OR($L261&gt;P$4,P$4&gt;$L261+23),"",OFFSET(Electric!$L252,0,-'Electric Calendarize'!$L261+'Electric Calendarize'!P$4+1))</f>
        <v/>
      </c>
      <c r="Q261" t="str">
        <f ca="1">IF(OR($L261&gt;Q$4,Q$4&gt;$L261+23),"",OFFSET(Electric!$L252,0,-'Electric Calendarize'!$L261+'Electric Calendarize'!Q$4+1))</f>
        <v/>
      </c>
      <c r="R261" t="str">
        <f ca="1">IF(OR($L261&gt;R$4,R$4&gt;$L261+23),"",OFFSET(Electric!$L252,0,-'Electric Calendarize'!$L261+'Electric Calendarize'!R$4+1))</f>
        <v/>
      </c>
      <c r="S261" t="str">
        <f ca="1">IF(OR($L261&gt;S$4,S$4&gt;$L261+23),"",OFFSET(Electric!$L252,0,-'Electric Calendarize'!$L261+'Electric Calendarize'!S$4+1))</f>
        <v/>
      </c>
      <c r="T261" t="str">
        <f ca="1">IF(OR($L261&gt;T$4,T$4&gt;$L261+23),"",OFFSET(Electric!$L252,0,-'Electric Calendarize'!$L261+'Electric Calendarize'!T$4+1))</f>
        <v/>
      </c>
      <c r="U261" t="str">
        <f ca="1">IF(OR($L261&gt;U$4,U$4&gt;$L261+23),"",OFFSET(Electric!$L252,0,-'Electric Calendarize'!$L261+'Electric Calendarize'!U$4+1))</f>
        <v/>
      </c>
      <c r="V261" t="str">
        <f ca="1">IF(OR($L261&gt;V$4,V$4&gt;$L261+23),"",OFFSET(Electric!$L252,0,-'Electric Calendarize'!$L261+'Electric Calendarize'!V$4+1))</f>
        <v/>
      </c>
      <c r="W261" t="str">
        <f ca="1">IF(OR($L261&gt;W$4,W$4&gt;$L261+23),"",OFFSET(Electric!$L252,0,-'Electric Calendarize'!$L261+'Electric Calendarize'!W$4+1))</f>
        <v/>
      </c>
      <c r="X261" t="str">
        <f ca="1">IF(OR($L261&gt;X$4,X$4&gt;$L261+23),"",OFFSET(Electric!$L252,0,-'Electric Calendarize'!$L261+'Electric Calendarize'!X$4+1))</f>
        <v/>
      </c>
      <c r="Y261" t="str">
        <f ca="1">IF(OR($L261&gt;Y$4,Y$4&gt;$L261+23),"",OFFSET(Electric!$L252,0,-'Electric Calendarize'!$L261+'Electric Calendarize'!Y$4+1))</f>
        <v/>
      </c>
      <c r="Z261" t="str">
        <f ca="1">IF(OR($L261&gt;Z$4,Z$4&gt;$L261+23),"",OFFSET(Electric!$L252,0,-'Electric Calendarize'!$L261+'Electric Calendarize'!Z$4+1))</f>
        <v/>
      </c>
      <c r="AA261" t="str">
        <f ca="1">IF(OR($L261&gt;AA$4,AA$4&gt;$L261+23),"",OFFSET(Electric!$L252,0,-'Electric Calendarize'!$L261+'Electric Calendarize'!AA$4+1))</f>
        <v/>
      </c>
      <c r="AB261" t="str">
        <f ca="1">IF(OR($L261&gt;AB$4,AB$4&gt;$L261+23),"",OFFSET(Electric!$L252,0,-'Electric Calendarize'!$L261+'Electric Calendarize'!AB$4+1))</f>
        <v/>
      </c>
      <c r="AC261" t="str">
        <f ca="1">IF(OR($L261&gt;AC$4,AC$4&gt;$L261+23),"",OFFSET(Electric!$L252,0,-'Electric Calendarize'!$L261+'Electric Calendarize'!AC$4+1))</f>
        <v/>
      </c>
      <c r="AD261" t="str">
        <f ca="1">IF(OR($L261&gt;AD$4,AD$4&gt;$L261+23),"",OFFSET(Electric!$L252,0,-'Electric Calendarize'!$L261+'Electric Calendarize'!AD$4+1))</f>
        <v/>
      </c>
      <c r="AE261" t="str">
        <f ca="1">IF(OR($L261&gt;AE$4,AE$4&gt;$L261+23),"",OFFSET(Electric!$L252,0,-'Electric Calendarize'!$L261+'Electric Calendarize'!AE$4+1))</f>
        <v/>
      </c>
      <c r="AF261" t="str">
        <f ca="1">IF(OR($L261&gt;AF$4,AF$4&gt;$L261+23),"",OFFSET(Electric!$L252,0,-'Electric Calendarize'!$L261+'Electric Calendarize'!AF$4+1))</f>
        <v/>
      </c>
      <c r="AG261" t="str">
        <f ca="1">IF(OR($L261&gt;AG$4,AG$4&gt;$L261+23),"",OFFSET(Electric!$L252,0,-'Electric Calendarize'!$L261+'Electric Calendarize'!AG$4+1))</f>
        <v/>
      </c>
      <c r="AH261" t="str">
        <f ca="1">IF(OR($L261&gt;AH$4,AH$4&gt;$L261+23),"",OFFSET(Electric!$L252,0,-'Electric Calendarize'!$L261+'Electric Calendarize'!AH$4+1))</f>
        <v/>
      </c>
      <c r="AI261" t="str">
        <f ca="1">IF(OR($L261&gt;AI$4,AI$4&gt;$L261+23),"",OFFSET(Electric!$L252,0,-'Electric Calendarize'!$L261+'Electric Calendarize'!AI$4+1))</f>
        <v/>
      </c>
      <c r="AJ261" t="str">
        <f ca="1">IF(OR($L261&gt;AJ$4,AJ$4&gt;$L261+23),"",OFFSET(Electric!$L252,0,-'Electric Calendarize'!$L261+'Electric Calendarize'!AJ$4+1))</f>
        <v/>
      </c>
      <c r="AK261" t="str">
        <f ca="1">IF(OR($L261&gt;AK$4,AK$4&gt;$L261+23),"",OFFSET(Electric!$L252,0,-'Electric Calendarize'!$L261+'Electric Calendarize'!AK$4+1))</f>
        <v/>
      </c>
      <c r="AL261" t="str">
        <f ca="1">IF(OR($L261&gt;AL$4,AL$4&gt;$L261+23),"",OFFSET(Electric!$L252,0,-'Electric Calendarize'!$L261+'Electric Calendarize'!AL$4+1))</f>
        <v/>
      </c>
      <c r="AM261" t="str">
        <f ca="1">IF(OR($L261&gt;AM$4,AM$4&gt;$L261+23),"",OFFSET(Electric!$L252,0,-'Electric Calendarize'!$L261+'Electric Calendarize'!AM$4+1))</f>
        <v/>
      </c>
      <c r="AN261" t="str">
        <f ca="1">IF(OR($L261&gt;AN$4,AN$4&gt;$L261+23),"",OFFSET(Electric!$L252,0,-'Electric Calendarize'!$L261+'Electric Calendarize'!AN$4+1))</f>
        <v/>
      </c>
      <c r="AO261" t="str">
        <f ca="1">IF(OR($L261&gt;AO$4,AO$4&gt;$L261+23),"",OFFSET(Electric!$L252,0,-'Electric Calendarize'!$L261+'Electric Calendarize'!AO$4+1))</f>
        <v/>
      </c>
      <c r="AP261">
        <f ca="1">IF(OR($L261&gt;AP$4,AP$4&gt;$L261+23),"",OFFSET(Electric!$L252,0,-'Electric Calendarize'!$L261+'Electric Calendarize'!AP$4+1))</f>
        <v>3874</v>
      </c>
      <c r="AQ261">
        <f ca="1">IF(OR($L261&gt;AQ$4,AQ$4&gt;$L261+23),"",OFFSET(Electric!$L252,0,-'Electric Calendarize'!$L261+'Electric Calendarize'!AQ$4+1))</f>
        <v>3818</v>
      </c>
      <c r="AR261">
        <f ca="1">IF(OR($L261&gt;AR$4,AR$4&gt;$L261+23),"",OFFSET(Electric!$L252,0,-'Electric Calendarize'!$L261+'Electric Calendarize'!AR$4+1))</f>
        <v>2324</v>
      </c>
      <c r="AS261">
        <f ca="1">IF(OR($L261&gt;AS$4,AS$4&gt;$L261+23),"",OFFSET(Electric!$L252,0,-'Electric Calendarize'!$L261+'Electric Calendarize'!AS$4+1))</f>
        <v>988</v>
      </c>
      <c r="AT261">
        <f ca="1">IF(OR($L261&gt;AT$4,AT$4&gt;$L261+23),"",OFFSET(Electric!$L252,0,-'Electric Calendarize'!$L261+'Electric Calendarize'!AT$4+1))</f>
        <v>1316</v>
      </c>
      <c r="AU261">
        <f ca="1">IF(OR($L261&gt;AU$4,AU$4&gt;$L261+23),"",OFFSET(Electric!$L252,0,-'Electric Calendarize'!$L261+'Electric Calendarize'!AU$4+1))</f>
        <v>1942</v>
      </c>
      <c r="AV261">
        <f ca="1">IF(OR($L261&gt;AV$4,AV$4&gt;$L261+23),"",OFFSET(Electric!$L252,0,-'Electric Calendarize'!$L261+'Electric Calendarize'!AV$4+1))</f>
        <v>2016</v>
      </c>
      <c r="AW261">
        <f ca="1">IF(OR($L261&gt;AW$4,AW$4&gt;$L261+23),"",OFFSET(Electric!$L252,0,-'Electric Calendarize'!$L261+'Electric Calendarize'!AW$4+1))</f>
        <v>1358</v>
      </c>
      <c r="AX261">
        <f ca="1">IF(OR($L261&gt;AX$4,AX$4&gt;$L261+23),"",OFFSET(Electric!$L252,0,-'Electric Calendarize'!$L261+'Electric Calendarize'!AX$4+1))</f>
        <v>1152</v>
      </c>
      <c r="AY261">
        <f ca="1">IF(OR($L261&gt;AY$4,AY$4&gt;$L261+23),"",OFFSET(Electric!$L252,0,-'Electric Calendarize'!$L261+'Electric Calendarize'!AY$4+1))</f>
        <v>1026</v>
      </c>
      <c r="AZ261">
        <f ca="1">IF(OR($L261&gt;AZ$4,AZ$4&gt;$L261+23),"",OFFSET(Electric!$L252,0,-'Electric Calendarize'!$L261+'Electric Calendarize'!AZ$4+1))</f>
        <v>918</v>
      </c>
      <c r="BA261">
        <f ca="1">IF(OR($L261&gt;BA$4,BA$4&gt;$L261+23),"",OFFSET(Electric!$L252,0,-'Electric Calendarize'!$L261+'Electric Calendarize'!BA$4+1))</f>
        <v>1268</v>
      </c>
      <c r="BB261">
        <f ca="1">IF(OR($L261&gt;BB$4,BB$4&gt;$L261+23),"",OFFSET(Electric!$L252,0,-'Electric Calendarize'!$L261+'Electric Calendarize'!BB$4+1))</f>
        <v>4300</v>
      </c>
      <c r="BC261">
        <f ca="1">IF(OR($L261&gt;BC$4,BC$4&gt;$L261+23),"",OFFSET(Electric!$L252,0,-'Electric Calendarize'!$L261+'Electric Calendarize'!BC$4+1))</f>
        <v>2640</v>
      </c>
      <c r="BD261">
        <f ca="1">IF(OR($L261&gt;BD$4,BD$4&gt;$L261+23),"",OFFSET(Electric!$L252,0,-'Electric Calendarize'!$L261+'Electric Calendarize'!BD$4+1))</f>
        <v>2120</v>
      </c>
      <c r="BE261">
        <f ca="1">IF(OR($L261&gt;BE$4,BE$4&gt;$L261+23),"",OFFSET(Electric!$L252,0,-'Electric Calendarize'!$L261+'Electric Calendarize'!BE$4+1))</f>
        <v>1696</v>
      </c>
      <c r="BF261">
        <f ca="1">IF(OR($L261&gt;BF$4,BF$4&gt;$L261+23),"",OFFSET(Electric!$L252,0,-'Electric Calendarize'!$L261+'Electric Calendarize'!BF$4+1))</f>
        <v>1580</v>
      </c>
      <c r="BG261">
        <f ca="1">IF(OR($L261&gt;BG$4,BG$4&gt;$L261+23),"",OFFSET(Electric!$L252,0,-'Electric Calendarize'!$L261+'Electric Calendarize'!BG$4+1))</f>
        <v>0</v>
      </c>
      <c r="BJ261" s="10" t="s">
        <v>37</v>
      </c>
      <c r="BK261">
        <f t="shared" si="519"/>
        <v>1</v>
      </c>
      <c r="BL261">
        <f t="shared" si="425"/>
        <v>0</v>
      </c>
      <c r="BM261">
        <f t="shared" si="426"/>
        <v>0</v>
      </c>
      <c r="BN261">
        <f t="shared" si="427"/>
        <v>0</v>
      </c>
      <c r="BO261">
        <f t="shared" si="428"/>
        <v>0</v>
      </c>
      <c r="BP261">
        <f t="shared" si="429"/>
        <v>0</v>
      </c>
      <c r="BQ261">
        <f t="shared" si="430"/>
        <v>0</v>
      </c>
      <c r="BR261">
        <f t="shared" si="431"/>
        <v>1</v>
      </c>
      <c r="BS261">
        <f t="shared" si="432"/>
        <v>1</v>
      </c>
      <c r="BT261">
        <f t="shared" si="433"/>
        <v>1</v>
      </c>
      <c r="BU261">
        <f t="shared" si="434"/>
        <v>1</v>
      </c>
      <c r="BV261">
        <f t="shared" si="435"/>
        <v>1</v>
      </c>
      <c r="BW261">
        <f t="shared" si="436"/>
        <v>1</v>
      </c>
      <c r="BX261">
        <f t="shared" si="437"/>
        <v>0</v>
      </c>
      <c r="BY261">
        <f t="shared" si="438"/>
        <v>0</v>
      </c>
      <c r="BZ261">
        <f t="shared" si="439"/>
        <v>0</v>
      </c>
      <c r="CA261">
        <f t="shared" si="440"/>
        <v>0</v>
      </c>
      <c r="CB261">
        <f t="shared" si="441"/>
        <v>0</v>
      </c>
      <c r="CC261">
        <f t="shared" si="442"/>
        <v>0</v>
      </c>
      <c r="CD261">
        <f t="shared" si="443"/>
        <v>1</v>
      </c>
      <c r="CE261">
        <f t="shared" si="444"/>
        <v>1</v>
      </c>
      <c r="CF261">
        <f t="shared" si="445"/>
        <v>1</v>
      </c>
      <c r="CG261">
        <f t="shared" si="446"/>
        <v>1</v>
      </c>
      <c r="CH261">
        <f t="shared" si="447"/>
        <v>1</v>
      </c>
      <c r="CI261">
        <f t="shared" si="448"/>
        <v>1</v>
      </c>
      <c r="CJ261">
        <f t="shared" si="449"/>
        <v>0</v>
      </c>
      <c r="CK261">
        <f t="shared" si="450"/>
        <v>0</v>
      </c>
      <c r="CL261">
        <f t="shared" si="451"/>
        <v>0</v>
      </c>
      <c r="CM261">
        <f t="shared" si="452"/>
        <v>0</v>
      </c>
      <c r="CN261">
        <f t="shared" si="453"/>
        <v>0</v>
      </c>
      <c r="CO261">
        <f t="shared" si="454"/>
        <v>0</v>
      </c>
      <c r="CP261">
        <f t="shared" si="455"/>
        <v>1</v>
      </c>
      <c r="CQ261">
        <f t="shared" si="456"/>
        <v>1</v>
      </c>
      <c r="CR261">
        <f t="shared" si="457"/>
        <v>1</v>
      </c>
      <c r="CS261">
        <f t="shared" si="458"/>
        <v>1</v>
      </c>
      <c r="CT261">
        <f t="shared" si="459"/>
        <v>1</v>
      </c>
      <c r="CU261">
        <f t="shared" si="460"/>
        <v>1</v>
      </c>
      <c r="CV261">
        <f t="shared" si="461"/>
        <v>0</v>
      </c>
      <c r="CW261">
        <f t="shared" si="462"/>
        <v>0</v>
      </c>
      <c r="CX261">
        <f t="shared" si="463"/>
        <v>0</v>
      </c>
      <c r="CY261">
        <f t="shared" si="464"/>
        <v>0</v>
      </c>
      <c r="CZ261">
        <f t="shared" si="465"/>
        <v>0</v>
      </c>
      <c r="DA261">
        <f t="shared" si="466"/>
        <v>0</v>
      </c>
      <c r="DB261">
        <f t="shared" si="467"/>
        <v>1</v>
      </c>
      <c r="DC261">
        <f t="shared" si="468"/>
        <v>1</v>
      </c>
      <c r="DF261" s="10" t="s">
        <v>37</v>
      </c>
      <c r="DG261" t="str">
        <f t="shared" si="531"/>
        <v>2023_7</v>
      </c>
      <c r="DH261" t="str">
        <f t="shared" si="531"/>
        <v>2023_7</v>
      </c>
      <c r="DI261" t="str">
        <f t="shared" si="531"/>
        <v>2023_7</v>
      </c>
      <c r="DJ261" t="str">
        <f t="shared" si="531"/>
        <v>2023_7</v>
      </c>
      <c r="DK261" t="str">
        <f t="shared" si="531"/>
        <v>2023_7</v>
      </c>
      <c r="DL261" t="str">
        <f t="shared" si="531"/>
        <v>2023_7</v>
      </c>
      <c r="DM261" t="str">
        <f t="shared" si="531"/>
        <v>2023_7</v>
      </c>
      <c r="DN261" t="str">
        <f t="shared" si="531"/>
        <v>2023_7</v>
      </c>
      <c r="DO261" t="str">
        <f t="shared" si="531"/>
        <v>2023_7</v>
      </c>
      <c r="DP261" t="str">
        <f t="shared" si="531"/>
        <v>2023_7</v>
      </c>
      <c r="DQ261" t="str">
        <f t="shared" si="531"/>
        <v>2023_7</v>
      </c>
      <c r="DR261" t="str">
        <f t="shared" si="531"/>
        <v>2023_7</v>
      </c>
      <c r="DS261" t="str">
        <f t="shared" si="531"/>
        <v>2023_7</v>
      </c>
      <c r="DT261" t="str">
        <f t="shared" si="531"/>
        <v>2023_7</v>
      </c>
      <c r="DU261" t="str">
        <f t="shared" si="531"/>
        <v>2023_7</v>
      </c>
      <c r="DV261" t="str">
        <f t="shared" si="531"/>
        <v>2023_7</v>
      </c>
      <c r="DW261" t="str">
        <f t="shared" si="530"/>
        <v>2023_7</v>
      </c>
      <c r="DX261" t="str">
        <f t="shared" si="530"/>
        <v>2023_7</v>
      </c>
      <c r="DY261" t="str">
        <f t="shared" si="530"/>
        <v>2023_7</v>
      </c>
      <c r="DZ261" t="str">
        <f t="shared" si="530"/>
        <v>2023_7</v>
      </c>
      <c r="EA261" t="str">
        <f t="shared" si="530"/>
        <v>2023_7</v>
      </c>
      <c r="EB261" t="str">
        <f t="shared" si="530"/>
        <v>2023_7</v>
      </c>
      <c r="EC261" t="str">
        <f t="shared" si="530"/>
        <v>2023_7</v>
      </c>
      <c r="ED261" t="str">
        <f t="shared" si="530"/>
        <v>2023_7</v>
      </c>
      <c r="EE261" t="str">
        <f t="shared" si="530"/>
        <v>2023_7</v>
      </c>
      <c r="EF261" t="str">
        <f t="shared" si="530"/>
        <v>2023_7</v>
      </c>
      <c r="EG261" t="str">
        <f t="shared" si="530"/>
        <v>2023_7</v>
      </c>
      <c r="EH261" t="str">
        <f t="shared" si="530"/>
        <v>2023_7</v>
      </c>
      <c r="EI261" t="str">
        <f t="shared" si="530"/>
        <v>2023_7</v>
      </c>
      <c r="EJ261" t="str">
        <f t="shared" si="530"/>
        <v>2023_7</v>
      </c>
      <c r="EK261" t="str">
        <f t="shared" si="529"/>
        <v>2023_7</v>
      </c>
      <c r="EL261" t="str">
        <f t="shared" si="529"/>
        <v>2023_7</v>
      </c>
      <c r="EM261" t="str">
        <f t="shared" si="529"/>
        <v>2023_7</v>
      </c>
      <c r="EN261" t="str">
        <f t="shared" si="529"/>
        <v>2023_7</v>
      </c>
      <c r="EO261" t="str">
        <f t="shared" si="529"/>
        <v>2023_7</v>
      </c>
      <c r="EP261" t="str">
        <f t="shared" si="529"/>
        <v>2023_7</v>
      </c>
      <c r="EQ261" t="str">
        <f t="shared" si="529"/>
        <v>2023_7</v>
      </c>
      <c r="ER261" t="str">
        <f t="shared" si="529"/>
        <v>2023_7</v>
      </c>
      <c r="ES261" t="str">
        <f t="shared" si="529"/>
        <v>2023_7</v>
      </c>
      <c r="ET261" t="str">
        <f t="shared" si="529"/>
        <v>2023_7</v>
      </c>
      <c r="EU261" t="str">
        <f t="shared" si="529"/>
        <v>2023_7</v>
      </c>
      <c r="EV261" t="str">
        <f t="shared" si="529"/>
        <v>2023_7</v>
      </c>
      <c r="EW261" t="str">
        <f t="shared" si="529"/>
        <v>2023_7</v>
      </c>
      <c r="EX261" t="str">
        <f t="shared" si="529"/>
        <v>2023_7</v>
      </c>
      <c r="EY261" t="str">
        <f t="shared" si="529"/>
        <v>2023_7</v>
      </c>
      <c r="FB261" s="10" t="s">
        <v>37</v>
      </c>
      <c r="FC261">
        <f t="shared" si="521"/>
        <v>0</v>
      </c>
      <c r="FD261">
        <f t="shared" si="471"/>
        <v>0</v>
      </c>
      <c r="FE261">
        <f t="shared" si="472"/>
        <v>0</v>
      </c>
      <c r="FF261">
        <f t="shared" si="473"/>
        <v>0</v>
      </c>
      <c r="FG261">
        <f t="shared" si="474"/>
        <v>0</v>
      </c>
      <c r="FH261">
        <f t="shared" si="475"/>
        <v>0</v>
      </c>
      <c r="FI261">
        <f t="shared" si="476"/>
        <v>0</v>
      </c>
      <c r="FJ261">
        <f t="shared" si="477"/>
        <v>0</v>
      </c>
      <c r="FK261">
        <f t="shared" si="478"/>
        <v>0</v>
      </c>
      <c r="FL261">
        <f t="shared" si="479"/>
        <v>0</v>
      </c>
      <c r="FM261">
        <f t="shared" si="480"/>
        <v>0</v>
      </c>
      <c r="FN261">
        <f t="shared" si="481"/>
        <v>0</v>
      </c>
      <c r="FO261">
        <f t="shared" si="482"/>
        <v>0</v>
      </c>
      <c r="FP261">
        <f t="shared" si="483"/>
        <v>0</v>
      </c>
      <c r="FQ261">
        <f t="shared" si="484"/>
        <v>0</v>
      </c>
      <c r="FR261">
        <f t="shared" si="485"/>
        <v>0</v>
      </c>
      <c r="FS261">
        <f t="shared" si="486"/>
        <v>0</v>
      </c>
      <c r="FT261">
        <f t="shared" si="487"/>
        <v>0</v>
      </c>
      <c r="FU261">
        <f t="shared" si="488"/>
        <v>0</v>
      </c>
      <c r="FV261">
        <f t="shared" si="489"/>
        <v>0</v>
      </c>
      <c r="FW261">
        <f t="shared" si="490"/>
        <v>0</v>
      </c>
      <c r="FX261">
        <f t="shared" si="491"/>
        <v>0</v>
      </c>
      <c r="FY261">
        <f t="shared" si="492"/>
        <v>0</v>
      </c>
      <c r="FZ261">
        <f t="shared" si="493"/>
        <v>0</v>
      </c>
      <c r="GA261">
        <f t="shared" si="494"/>
        <v>0</v>
      </c>
      <c r="GB261">
        <f t="shared" si="495"/>
        <v>0</v>
      </c>
      <c r="GC261">
        <f t="shared" si="496"/>
        <v>0</v>
      </c>
      <c r="GD261">
        <f t="shared" si="497"/>
        <v>0</v>
      </c>
      <c r="GE261">
        <f t="shared" si="498"/>
        <v>0</v>
      </c>
      <c r="GF261">
        <f t="shared" si="499"/>
        <v>0</v>
      </c>
      <c r="GG261">
        <f t="shared" si="500"/>
        <v>0</v>
      </c>
      <c r="GH261">
        <f t="shared" si="501"/>
        <v>0</v>
      </c>
      <c r="GI261">
        <f t="shared" si="502"/>
        <v>0</v>
      </c>
      <c r="GJ261">
        <f t="shared" si="503"/>
        <v>0</v>
      </c>
      <c r="GK261">
        <f t="shared" si="504"/>
        <v>0</v>
      </c>
      <c r="GL261">
        <f t="shared" si="505"/>
        <v>0</v>
      </c>
      <c r="GM261">
        <f t="shared" si="506"/>
        <v>0</v>
      </c>
      <c r="GN261">
        <f t="shared" si="507"/>
        <v>0</v>
      </c>
      <c r="GO261">
        <f t="shared" si="508"/>
        <v>0</v>
      </c>
      <c r="GP261">
        <f t="shared" si="509"/>
        <v>1</v>
      </c>
      <c r="GQ261">
        <f t="shared" si="510"/>
        <v>1</v>
      </c>
      <c r="GR261">
        <f t="shared" si="511"/>
        <v>1</v>
      </c>
      <c r="GS261">
        <f t="shared" si="512"/>
        <v>1</v>
      </c>
      <c r="GT261">
        <f t="shared" si="513"/>
        <v>1</v>
      </c>
      <c r="GU261">
        <f t="shared" si="514"/>
        <v>1</v>
      </c>
      <c r="GX261" s="10"/>
    </row>
    <row r="262" spans="1:206" x14ac:dyDescent="0.3">
      <c r="A262" s="36" t="s">
        <v>124</v>
      </c>
      <c r="B262" s="85"/>
      <c r="C262" s="36">
        <v>3040403002</v>
      </c>
      <c r="D262" s="36" t="s">
        <v>508</v>
      </c>
      <c r="E262" s="36" t="s">
        <v>34</v>
      </c>
      <c r="F262" s="36" t="s">
        <v>35</v>
      </c>
      <c r="G262" s="36" t="s">
        <v>272</v>
      </c>
      <c r="H262" s="10">
        <v>45121</v>
      </c>
      <c r="I262" s="9">
        <f t="shared" si="515"/>
        <v>2023</v>
      </c>
      <c r="J262" s="9">
        <f t="shared" si="516"/>
        <v>7</v>
      </c>
      <c r="K262" s="9" t="str">
        <f t="shared" si="517"/>
        <v>2023_7</v>
      </c>
      <c r="L262">
        <f>MAX(0,VLOOKUP($K262,lookups!$A$1:$B$45,2,0)-12)</f>
        <v>27</v>
      </c>
      <c r="M262" s="40">
        <f t="shared" si="518"/>
        <v>45108</v>
      </c>
      <c r="N262" s="10" t="s">
        <v>37</v>
      </c>
      <c r="O262" t="str">
        <f ca="1">IF(OR($L262&gt;O$4,O$4&gt;$L262+23),"",OFFSET(Electric!$L253,0,-'Electric Calendarize'!$L262+'Electric Calendarize'!O$4+1))</f>
        <v/>
      </c>
      <c r="P262" t="str">
        <f ca="1">IF(OR($L262&gt;P$4,P$4&gt;$L262+23),"",OFFSET(Electric!$L253,0,-'Electric Calendarize'!$L262+'Electric Calendarize'!P$4+1))</f>
        <v/>
      </c>
      <c r="Q262" t="str">
        <f ca="1">IF(OR($L262&gt;Q$4,Q$4&gt;$L262+23),"",OFFSET(Electric!$L253,0,-'Electric Calendarize'!$L262+'Electric Calendarize'!Q$4+1))</f>
        <v/>
      </c>
      <c r="R262" t="str">
        <f ca="1">IF(OR($L262&gt;R$4,R$4&gt;$L262+23),"",OFFSET(Electric!$L253,0,-'Electric Calendarize'!$L262+'Electric Calendarize'!R$4+1))</f>
        <v/>
      </c>
      <c r="S262" t="str">
        <f ca="1">IF(OR($L262&gt;S$4,S$4&gt;$L262+23),"",OFFSET(Electric!$L253,0,-'Electric Calendarize'!$L262+'Electric Calendarize'!S$4+1))</f>
        <v/>
      </c>
      <c r="T262" t="str">
        <f ca="1">IF(OR($L262&gt;T$4,T$4&gt;$L262+23),"",OFFSET(Electric!$L253,0,-'Electric Calendarize'!$L262+'Electric Calendarize'!T$4+1))</f>
        <v/>
      </c>
      <c r="U262" t="str">
        <f ca="1">IF(OR($L262&gt;U$4,U$4&gt;$L262+23),"",OFFSET(Electric!$L253,0,-'Electric Calendarize'!$L262+'Electric Calendarize'!U$4+1))</f>
        <v/>
      </c>
      <c r="V262" t="str">
        <f ca="1">IF(OR($L262&gt;V$4,V$4&gt;$L262+23),"",OFFSET(Electric!$L253,0,-'Electric Calendarize'!$L262+'Electric Calendarize'!V$4+1))</f>
        <v/>
      </c>
      <c r="W262" t="str">
        <f ca="1">IF(OR($L262&gt;W$4,W$4&gt;$L262+23),"",OFFSET(Electric!$L253,0,-'Electric Calendarize'!$L262+'Electric Calendarize'!W$4+1))</f>
        <v/>
      </c>
      <c r="X262" t="str">
        <f ca="1">IF(OR($L262&gt;X$4,X$4&gt;$L262+23),"",OFFSET(Electric!$L253,0,-'Electric Calendarize'!$L262+'Electric Calendarize'!X$4+1))</f>
        <v/>
      </c>
      <c r="Y262" t="str">
        <f ca="1">IF(OR($L262&gt;Y$4,Y$4&gt;$L262+23),"",OFFSET(Electric!$L253,0,-'Electric Calendarize'!$L262+'Electric Calendarize'!Y$4+1))</f>
        <v/>
      </c>
      <c r="Z262" t="str">
        <f ca="1">IF(OR($L262&gt;Z$4,Z$4&gt;$L262+23),"",OFFSET(Electric!$L253,0,-'Electric Calendarize'!$L262+'Electric Calendarize'!Z$4+1))</f>
        <v/>
      </c>
      <c r="AA262" t="str">
        <f ca="1">IF(OR($L262&gt;AA$4,AA$4&gt;$L262+23),"",OFFSET(Electric!$L253,0,-'Electric Calendarize'!$L262+'Electric Calendarize'!AA$4+1))</f>
        <v/>
      </c>
      <c r="AB262" t="str">
        <f ca="1">IF(OR($L262&gt;AB$4,AB$4&gt;$L262+23),"",OFFSET(Electric!$L253,0,-'Electric Calendarize'!$L262+'Electric Calendarize'!AB$4+1))</f>
        <v/>
      </c>
      <c r="AC262" t="str">
        <f ca="1">IF(OR($L262&gt;AC$4,AC$4&gt;$L262+23),"",OFFSET(Electric!$L253,0,-'Electric Calendarize'!$L262+'Electric Calendarize'!AC$4+1))</f>
        <v/>
      </c>
      <c r="AD262" t="str">
        <f ca="1">IF(OR($L262&gt;AD$4,AD$4&gt;$L262+23),"",OFFSET(Electric!$L253,0,-'Electric Calendarize'!$L262+'Electric Calendarize'!AD$4+1))</f>
        <v/>
      </c>
      <c r="AE262" t="str">
        <f ca="1">IF(OR($L262&gt;AE$4,AE$4&gt;$L262+23),"",OFFSET(Electric!$L253,0,-'Electric Calendarize'!$L262+'Electric Calendarize'!AE$4+1))</f>
        <v/>
      </c>
      <c r="AF262" t="str">
        <f ca="1">IF(OR($L262&gt;AF$4,AF$4&gt;$L262+23),"",OFFSET(Electric!$L253,0,-'Electric Calendarize'!$L262+'Electric Calendarize'!AF$4+1))</f>
        <v/>
      </c>
      <c r="AG262" t="str">
        <f ca="1">IF(OR($L262&gt;AG$4,AG$4&gt;$L262+23),"",OFFSET(Electric!$L253,0,-'Electric Calendarize'!$L262+'Electric Calendarize'!AG$4+1))</f>
        <v/>
      </c>
      <c r="AH262" t="str">
        <f ca="1">IF(OR($L262&gt;AH$4,AH$4&gt;$L262+23),"",OFFSET(Electric!$L253,0,-'Electric Calendarize'!$L262+'Electric Calendarize'!AH$4+1))</f>
        <v/>
      </c>
      <c r="AI262" t="str">
        <f ca="1">IF(OR($L262&gt;AI$4,AI$4&gt;$L262+23),"",OFFSET(Electric!$L253,0,-'Electric Calendarize'!$L262+'Electric Calendarize'!AI$4+1))</f>
        <v/>
      </c>
      <c r="AJ262" t="str">
        <f ca="1">IF(OR($L262&gt;AJ$4,AJ$4&gt;$L262+23),"",OFFSET(Electric!$L253,0,-'Electric Calendarize'!$L262+'Electric Calendarize'!AJ$4+1))</f>
        <v/>
      </c>
      <c r="AK262" t="str">
        <f ca="1">IF(OR($L262&gt;AK$4,AK$4&gt;$L262+23),"",OFFSET(Electric!$L253,0,-'Electric Calendarize'!$L262+'Electric Calendarize'!AK$4+1))</f>
        <v/>
      </c>
      <c r="AL262" t="str">
        <f ca="1">IF(OR($L262&gt;AL$4,AL$4&gt;$L262+23),"",OFFSET(Electric!$L253,0,-'Electric Calendarize'!$L262+'Electric Calendarize'!AL$4+1))</f>
        <v/>
      </c>
      <c r="AM262" t="str">
        <f ca="1">IF(OR($L262&gt;AM$4,AM$4&gt;$L262+23),"",OFFSET(Electric!$L253,0,-'Electric Calendarize'!$L262+'Electric Calendarize'!AM$4+1))</f>
        <v/>
      </c>
      <c r="AN262" t="str">
        <f ca="1">IF(OR($L262&gt;AN$4,AN$4&gt;$L262+23),"",OFFSET(Electric!$L253,0,-'Electric Calendarize'!$L262+'Electric Calendarize'!AN$4+1))</f>
        <v/>
      </c>
      <c r="AO262" t="str">
        <f ca="1">IF(OR($L262&gt;AO$4,AO$4&gt;$L262+23),"",OFFSET(Electric!$L253,0,-'Electric Calendarize'!$L262+'Electric Calendarize'!AO$4+1))</f>
        <v/>
      </c>
      <c r="AP262">
        <f ca="1">IF(OR($L262&gt;AP$4,AP$4&gt;$L262+23),"",OFFSET(Electric!$L253,0,-'Electric Calendarize'!$L262+'Electric Calendarize'!AP$4+1))</f>
        <v>775</v>
      </c>
      <c r="AQ262">
        <f ca="1">IF(OR($L262&gt;AQ$4,AQ$4&gt;$L262+23),"",OFFSET(Electric!$L253,0,-'Electric Calendarize'!$L262+'Electric Calendarize'!AQ$4+1))</f>
        <v>1193</v>
      </c>
      <c r="AR262">
        <f ca="1">IF(OR($L262&gt;AR$4,AR$4&gt;$L262+23),"",OFFSET(Electric!$L253,0,-'Electric Calendarize'!$L262+'Electric Calendarize'!AR$4+1))</f>
        <v>1209</v>
      </c>
      <c r="AS262">
        <f ca="1">IF(OR($L262&gt;AS$4,AS$4&gt;$L262+23),"",OFFSET(Electric!$L253,0,-'Electric Calendarize'!$L262+'Electric Calendarize'!AS$4+1))</f>
        <v>676</v>
      </c>
      <c r="AT262">
        <f ca="1">IF(OR($L262&gt;AT$4,AT$4&gt;$L262+23),"",OFFSET(Electric!$L253,0,-'Electric Calendarize'!$L262+'Electric Calendarize'!AT$4+1))</f>
        <v>800</v>
      </c>
      <c r="AU262">
        <f ca="1">IF(OR($L262&gt;AU$4,AU$4&gt;$L262+23),"",OFFSET(Electric!$L253,0,-'Electric Calendarize'!$L262+'Electric Calendarize'!AU$4+1))</f>
        <v>1058</v>
      </c>
      <c r="AV262">
        <f ca="1">IF(OR($L262&gt;AV$4,AV$4&gt;$L262+23),"",OFFSET(Electric!$L253,0,-'Electric Calendarize'!$L262+'Electric Calendarize'!AV$4+1))</f>
        <v>1182</v>
      </c>
      <c r="AW262">
        <f ca="1">IF(OR($L262&gt;AW$4,AW$4&gt;$L262+23),"",OFFSET(Electric!$L253,0,-'Electric Calendarize'!$L262+'Electric Calendarize'!AW$4+1))</f>
        <v>944</v>
      </c>
      <c r="AX262">
        <f ca="1">IF(OR($L262&gt;AX$4,AX$4&gt;$L262+23),"",OFFSET(Electric!$L253,0,-'Electric Calendarize'!$L262+'Electric Calendarize'!AX$4+1))</f>
        <v>978</v>
      </c>
      <c r="AY262">
        <f ca="1">IF(OR($L262&gt;AY$4,AY$4&gt;$L262+23),"",OFFSET(Electric!$L253,0,-'Electric Calendarize'!$L262+'Electric Calendarize'!AY$4+1))</f>
        <v>772</v>
      </c>
      <c r="AZ262">
        <f ca="1">IF(OR($L262&gt;AZ$4,AZ$4&gt;$L262+23),"",OFFSET(Electric!$L253,0,-'Electric Calendarize'!$L262+'Electric Calendarize'!AZ$4+1))</f>
        <v>546</v>
      </c>
      <c r="BA262">
        <f ca="1">IF(OR($L262&gt;BA$4,BA$4&gt;$L262+23),"",OFFSET(Electric!$L253,0,-'Electric Calendarize'!$L262+'Electric Calendarize'!BA$4+1))</f>
        <v>412</v>
      </c>
      <c r="BB262">
        <f ca="1">IF(OR($L262&gt;BB$4,BB$4&gt;$L262+23),"",OFFSET(Electric!$L253,0,-'Electric Calendarize'!$L262+'Electric Calendarize'!BB$4+1))</f>
        <v>778</v>
      </c>
      <c r="BC262">
        <f ca="1">IF(OR($L262&gt;BC$4,BC$4&gt;$L262+23),"",OFFSET(Electric!$L253,0,-'Electric Calendarize'!$L262+'Electric Calendarize'!BC$4+1))</f>
        <v>966</v>
      </c>
      <c r="BD262">
        <f ca="1">IF(OR($L262&gt;BD$4,BD$4&gt;$L262+23),"",OFFSET(Electric!$L253,0,-'Electric Calendarize'!$L262+'Electric Calendarize'!BD$4+1))</f>
        <v>934</v>
      </c>
      <c r="BE262">
        <f ca="1">IF(OR($L262&gt;BE$4,BE$4&gt;$L262+23),"",OFFSET(Electric!$L253,0,-'Electric Calendarize'!$L262+'Electric Calendarize'!BE$4+1))</f>
        <v>774</v>
      </c>
      <c r="BF262">
        <f ca="1">IF(OR($L262&gt;BF$4,BF$4&gt;$L262+23),"",OFFSET(Electric!$L253,0,-'Electric Calendarize'!$L262+'Electric Calendarize'!BF$4+1))</f>
        <v>878</v>
      </c>
      <c r="BG262">
        <f ca="1">IF(OR($L262&gt;BG$4,BG$4&gt;$L262+23),"",OFFSET(Electric!$L253,0,-'Electric Calendarize'!$L262+'Electric Calendarize'!BG$4+1))</f>
        <v>1794</v>
      </c>
      <c r="BJ262" s="10" t="s">
        <v>37</v>
      </c>
      <c r="BK262">
        <f t="shared" si="519"/>
        <v>1</v>
      </c>
      <c r="BL262">
        <f t="shared" si="425"/>
        <v>0</v>
      </c>
      <c r="BM262">
        <f t="shared" si="426"/>
        <v>0</v>
      </c>
      <c r="BN262">
        <f t="shared" si="427"/>
        <v>0</v>
      </c>
      <c r="BO262">
        <f t="shared" si="428"/>
        <v>0</v>
      </c>
      <c r="BP262">
        <f t="shared" si="429"/>
        <v>0</v>
      </c>
      <c r="BQ262">
        <f t="shared" si="430"/>
        <v>0</v>
      </c>
      <c r="BR262">
        <f t="shared" si="431"/>
        <v>1</v>
      </c>
      <c r="BS262">
        <f t="shared" si="432"/>
        <v>1</v>
      </c>
      <c r="BT262">
        <f t="shared" si="433"/>
        <v>1</v>
      </c>
      <c r="BU262">
        <f t="shared" si="434"/>
        <v>1</v>
      </c>
      <c r="BV262">
        <f t="shared" si="435"/>
        <v>1</v>
      </c>
      <c r="BW262">
        <f t="shared" si="436"/>
        <v>1</v>
      </c>
      <c r="BX262">
        <f t="shared" si="437"/>
        <v>0</v>
      </c>
      <c r="BY262">
        <f t="shared" si="438"/>
        <v>0</v>
      </c>
      <c r="BZ262">
        <f t="shared" si="439"/>
        <v>0</v>
      </c>
      <c r="CA262">
        <f t="shared" si="440"/>
        <v>0</v>
      </c>
      <c r="CB262">
        <f t="shared" si="441"/>
        <v>0</v>
      </c>
      <c r="CC262">
        <f t="shared" si="442"/>
        <v>0</v>
      </c>
      <c r="CD262">
        <f t="shared" si="443"/>
        <v>1</v>
      </c>
      <c r="CE262">
        <f t="shared" si="444"/>
        <v>1</v>
      </c>
      <c r="CF262">
        <f t="shared" si="445"/>
        <v>1</v>
      </c>
      <c r="CG262">
        <f t="shared" si="446"/>
        <v>1</v>
      </c>
      <c r="CH262">
        <f t="shared" si="447"/>
        <v>1</v>
      </c>
      <c r="CI262">
        <f t="shared" si="448"/>
        <v>1</v>
      </c>
      <c r="CJ262">
        <f t="shared" si="449"/>
        <v>0</v>
      </c>
      <c r="CK262">
        <f t="shared" si="450"/>
        <v>0</v>
      </c>
      <c r="CL262">
        <f t="shared" si="451"/>
        <v>0</v>
      </c>
      <c r="CM262">
        <f t="shared" si="452"/>
        <v>0</v>
      </c>
      <c r="CN262">
        <f t="shared" si="453"/>
        <v>0</v>
      </c>
      <c r="CO262">
        <f t="shared" si="454"/>
        <v>0</v>
      </c>
      <c r="CP262">
        <f t="shared" si="455"/>
        <v>1</v>
      </c>
      <c r="CQ262">
        <f t="shared" si="456"/>
        <v>1</v>
      </c>
      <c r="CR262">
        <f t="shared" si="457"/>
        <v>1</v>
      </c>
      <c r="CS262">
        <f t="shared" si="458"/>
        <v>1</v>
      </c>
      <c r="CT262">
        <f t="shared" si="459"/>
        <v>1</v>
      </c>
      <c r="CU262">
        <f t="shared" si="460"/>
        <v>1</v>
      </c>
      <c r="CV262">
        <f t="shared" si="461"/>
        <v>0</v>
      </c>
      <c r="CW262">
        <f t="shared" si="462"/>
        <v>0</v>
      </c>
      <c r="CX262">
        <f t="shared" si="463"/>
        <v>0</v>
      </c>
      <c r="CY262">
        <f t="shared" si="464"/>
        <v>0</v>
      </c>
      <c r="CZ262">
        <f t="shared" si="465"/>
        <v>0</v>
      </c>
      <c r="DA262">
        <f t="shared" si="466"/>
        <v>0</v>
      </c>
      <c r="DB262">
        <f t="shared" si="467"/>
        <v>1</v>
      </c>
      <c r="DC262">
        <f t="shared" si="468"/>
        <v>1</v>
      </c>
      <c r="DF262" s="10" t="s">
        <v>37</v>
      </c>
      <c r="DG262" t="str">
        <f t="shared" si="531"/>
        <v>2023_7</v>
      </c>
      <c r="DH262" t="str">
        <f t="shared" si="531"/>
        <v>2023_7</v>
      </c>
      <c r="DI262" t="str">
        <f t="shared" si="531"/>
        <v>2023_7</v>
      </c>
      <c r="DJ262" t="str">
        <f t="shared" si="531"/>
        <v>2023_7</v>
      </c>
      <c r="DK262" t="str">
        <f t="shared" si="531"/>
        <v>2023_7</v>
      </c>
      <c r="DL262" t="str">
        <f t="shared" si="531"/>
        <v>2023_7</v>
      </c>
      <c r="DM262" t="str">
        <f t="shared" si="531"/>
        <v>2023_7</v>
      </c>
      <c r="DN262" t="str">
        <f t="shared" si="531"/>
        <v>2023_7</v>
      </c>
      <c r="DO262" t="str">
        <f t="shared" si="531"/>
        <v>2023_7</v>
      </c>
      <c r="DP262" t="str">
        <f t="shared" si="531"/>
        <v>2023_7</v>
      </c>
      <c r="DQ262" t="str">
        <f t="shared" si="531"/>
        <v>2023_7</v>
      </c>
      <c r="DR262" t="str">
        <f t="shared" si="531"/>
        <v>2023_7</v>
      </c>
      <c r="DS262" t="str">
        <f t="shared" si="531"/>
        <v>2023_7</v>
      </c>
      <c r="DT262" t="str">
        <f t="shared" si="531"/>
        <v>2023_7</v>
      </c>
      <c r="DU262" t="str">
        <f t="shared" si="531"/>
        <v>2023_7</v>
      </c>
      <c r="DV262" t="str">
        <f t="shared" si="531"/>
        <v>2023_7</v>
      </c>
      <c r="DW262" t="str">
        <f t="shared" si="530"/>
        <v>2023_7</v>
      </c>
      <c r="DX262" t="str">
        <f t="shared" si="530"/>
        <v>2023_7</v>
      </c>
      <c r="DY262" t="str">
        <f t="shared" si="530"/>
        <v>2023_7</v>
      </c>
      <c r="DZ262" t="str">
        <f t="shared" si="530"/>
        <v>2023_7</v>
      </c>
      <c r="EA262" t="str">
        <f t="shared" si="530"/>
        <v>2023_7</v>
      </c>
      <c r="EB262" t="str">
        <f t="shared" si="530"/>
        <v>2023_7</v>
      </c>
      <c r="EC262" t="str">
        <f t="shared" si="530"/>
        <v>2023_7</v>
      </c>
      <c r="ED262" t="str">
        <f t="shared" si="530"/>
        <v>2023_7</v>
      </c>
      <c r="EE262" t="str">
        <f t="shared" si="530"/>
        <v>2023_7</v>
      </c>
      <c r="EF262" t="str">
        <f t="shared" si="530"/>
        <v>2023_7</v>
      </c>
      <c r="EG262" t="str">
        <f t="shared" si="530"/>
        <v>2023_7</v>
      </c>
      <c r="EH262" t="str">
        <f t="shared" si="530"/>
        <v>2023_7</v>
      </c>
      <c r="EI262" t="str">
        <f t="shared" si="530"/>
        <v>2023_7</v>
      </c>
      <c r="EJ262" t="str">
        <f t="shared" si="530"/>
        <v>2023_7</v>
      </c>
      <c r="EK262" t="str">
        <f t="shared" si="529"/>
        <v>2023_7</v>
      </c>
      <c r="EL262" t="str">
        <f t="shared" si="529"/>
        <v>2023_7</v>
      </c>
      <c r="EM262" t="str">
        <f t="shared" si="529"/>
        <v>2023_7</v>
      </c>
      <c r="EN262" t="str">
        <f t="shared" si="529"/>
        <v>2023_7</v>
      </c>
      <c r="EO262" t="str">
        <f t="shared" si="529"/>
        <v>2023_7</v>
      </c>
      <c r="EP262" t="str">
        <f t="shared" si="529"/>
        <v>2023_7</v>
      </c>
      <c r="EQ262" t="str">
        <f t="shared" si="529"/>
        <v>2023_7</v>
      </c>
      <c r="ER262" t="str">
        <f t="shared" si="529"/>
        <v>2023_7</v>
      </c>
      <c r="ES262" t="str">
        <f t="shared" si="529"/>
        <v>2023_7</v>
      </c>
      <c r="ET262" t="str">
        <f t="shared" si="529"/>
        <v>2023_7</v>
      </c>
      <c r="EU262" t="str">
        <f t="shared" si="529"/>
        <v>2023_7</v>
      </c>
      <c r="EV262" t="str">
        <f t="shared" si="529"/>
        <v>2023_7</v>
      </c>
      <c r="EW262" t="str">
        <f t="shared" si="529"/>
        <v>2023_7</v>
      </c>
      <c r="EX262" t="str">
        <f t="shared" si="529"/>
        <v>2023_7</v>
      </c>
      <c r="EY262" t="str">
        <f t="shared" si="529"/>
        <v>2023_7</v>
      </c>
      <c r="FB262" s="10" t="s">
        <v>37</v>
      </c>
      <c r="FC262">
        <f t="shared" si="521"/>
        <v>0</v>
      </c>
      <c r="FD262">
        <f t="shared" si="471"/>
        <v>0</v>
      </c>
      <c r="FE262">
        <f t="shared" si="472"/>
        <v>0</v>
      </c>
      <c r="FF262">
        <f t="shared" si="473"/>
        <v>0</v>
      </c>
      <c r="FG262">
        <f t="shared" si="474"/>
        <v>0</v>
      </c>
      <c r="FH262">
        <f t="shared" si="475"/>
        <v>0</v>
      </c>
      <c r="FI262">
        <f t="shared" si="476"/>
        <v>0</v>
      </c>
      <c r="FJ262">
        <f t="shared" si="477"/>
        <v>0</v>
      </c>
      <c r="FK262">
        <f t="shared" si="478"/>
        <v>0</v>
      </c>
      <c r="FL262">
        <f t="shared" si="479"/>
        <v>0</v>
      </c>
      <c r="FM262">
        <f t="shared" si="480"/>
        <v>0</v>
      </c>
      <c r="FN262">
        <f t="shared" si="481"/>
        <v>0</v>
      </c>
      <c r="FO262">
        <f t="shared" si="482"/>
        <v>0</v>
      </c>
      <c r="FP262">
        <f t="shared" si="483"/>
        <v>0</v>
      </c>
      <c r="FQ262">
        <f t="shared" si="484"/>
        <v>0</v>
      </c>
      <c r="FR262">
        <f t="shared" si="485"/>
        <v>0</v>
      </c>
      <c r="FS262">
        <f t="shared" si="486"/>
        <v>0</v>
      </c>
      <c r="FT262">
        <f t="shared" si="487"/>
        <v>0</v>
      </c>
      <c r="FU262">
        <f t="shared" si="488"/>
        <v>0</v>
      </c>
      <c r="FV262">
        <f t="shared" si="489"/>
        <v>0</v>
      </c>
      <c r="FW262">
        <f t="shared" si="490"/>
        <v>0</v>
      </c>
      <c r="FX262">
        <f t="shared" si="491"/>
        <v>0</v>
      </c>
      <c r="FY262">
        <f t="shared" si="492"/>
        <v>0</v>
      </c>
      <c r="FZ262">
        <f t="shared" si="493"/>
        <v>0</v>
      </c>
      <c r="GA262">
        <f t="shared" si="494"/>
        <v>0</v>
      </c>
      <c r="GB262">
        <f t="shared" si="495"/>
        <v>0</v>
      </c>
      <c r="GC262">
        <f t="shared" si="496"/>
        <v>0</v>
      </c>
      <c r="GD262">
        <f t="shared" si="497"/>
        <v>0</v>
      </c>
      <c r="GE262">
        <f t="shared" si="498"/>
        <v>0</v>
      </c>
      <c r="GF262">
        <f t="shared" si="499"/>
        <v>0</v>
      </c>
      <c r="GG262">
        <f t="shared" si="500"/>
        <v>0</v>
      </c>
      <c r="GH262">
        <f t="shared" si="501"/>
        <v>0</v>
      </c>
      <c r="GI262">
        <f t="shared" si="502"/>
        <v>0</v>
      </c>
      <c r="GJ262">
        <f t="shared" si="503"/>
        <v>0</v>
      </c>
      <c r="GK262">
        <f t="shared" si="504"/>
        <v>0</v>
      </c>
      <c r="GL262">
        <f t="shared" si="505"/>
        <v>0</v>
      </c>
      <c r="GM262">
        <f t="shared" si="506"/>
        <v>0</v>
      </c>
      <c r="GN262">
        <f t="shared" si="507"/>
        <v>0</v>
      </c>
      <c r="GO262">
        <f t="shared" si="508"/>
        <v>0</v>
      </c>
      <c r="GP262">
        <f t="shared" si="509"/>
        <v>1</v>
      </c>
      <c r="GQ262">
        <f t="shared" si="510"/>
        <v>1</v>
      </c>
      <c r="GR262">
        <f t="shared" si="511"/>
        <v>1</v>
      </c>
      <c r="GS262">
        <f t="shared" si="512"/>
        <v>1</v>
      </c>
      <c r="GT262">
        <f t="shared" si="513"/>
        <v>1</v>
      </c>
      <c r="GU262">
        <f t="shared" si="514"/>
        <v>1</v>
      </c>
      <c r="GX262" s="10"/>
    </row>
    <row r="263" spans="1:206" x14ac:dyDescent="0.3">
      <c r="A263" s="37" t="s">
        <v>33</v>
      </c>
      <c r="B263" s="86"/>
      <c r="C263" s="37">
        <v>3121007004</v>
      </c>
      <c r="D263" s="37" t="s">
        <v>509</v>
      </c>
      <c r="E263" s="37" t="s">
        <v>39</v>
      </c>
      <c r="F263" s="37" t="s">
        <v>35</v>
      </c>
      <c r="G263" s="37" t="s">
        <v>273</v>
      </c>
      <c r="H263" s="10">
        <v>45130</v>
      </c>
      <c r="I263" s="9">
        <f t="shared" si="515"/>
        <v>2023</v>
      </c>
      <c r="J263" s="9">
        <f t="shared" si="516"/>
        <v>7</v>
      </c>
      <c r="K263" s="9" t="str">
        <f t="shared" si="517"/>
        <v>2023_7</v>
      </c>
      <c r="L263">
        <f>MAX(0,VLOOKUP($K263,lookups!$A$1:$B$45,2,0)-12)</f>
        <v>27</v>
      </c>
      <c r="M263" s="40">
        <f t="shared" si="518"/>
        <v>45108</v>
      </c>
      <c r="N263" s="10" t="s">
        <v>37</v>
      </c>
      <c r="O263" t="str">
        <f ca="1">IF(OR($L263&gt;O$4,O$4&gt;$L263+23),"",OFFSET(Electric!$L254,0,-'Electric Calendarize'!$L263+'Electric Calendarize'!O$4+1))</f>
        <v/>
      </c>
      <c r="P263" t="str">
        <f ca="1">IF(OR($L263&gt;P$4,P$4&gt;$L263+23),"",OFFSET(Electric!$L254,0,-'Electric Calendarize'!$L263+'Electric Calendarize'!P$4+1))</f>
        <v/>
      </c>
      <c r="Q263" t="str">
        <f ca="1">IF(OR($L263&gt;Q$4,Q$4&gt;$L263+23),"",OFFSET(Electric!$L254,0,-'Electric Calendarize'!$L263+'Electric Calendarize'!Q$4+1))</f>
        <v/>
      </c>
      <c r="R263" t="str">
        <f ca="1">IF(OR($L263&gt;R$4,R$4&gt;$L263+23),"",OFFSET(Electric!$L254,0,-'Electric Calendarize'!$L263+'Electric Calendarize'!R$4+1))</f>
        <v/>
      </c>
      <c r="S263" t="str">
        <f ca="1">IF(OR($L263&gt;S$4,S$4&gt;$L263+23),"",OFFSET(Electric!$L254,0,-'Electric Calendarize'!$L263+'Electric Calendarize'!S$4+1))</f>
        <v/>
      </c>
      <c r="T263" t="str">
        <f ca="1">IF(OR($L263&gt;T$4,T$4&gt;$L263+23),"",OFFSET(Electric!$L254,0,-'Electric Calendarize'!$L263+'Electric Calendarize'!T$4+1))</f>
        <v/>
      </c>
      <c r="U263" t="str">
        <f ca="1">IF(OR($L263&gt;U$4,U$4&gt;$L263+23),"",OFFSET(Electric!$L254,0,-'Electric Calendarize'!$L263+'Electric Calendarize'!U$4+1))</f>
        <v/>
      </c>
      <c r="V263" t="str">
        <f ca="1">IF(OR($L263&gt;V$4,V$4&gt;$L263+23),"",OFFSET(Electric!$L254,0,-'Electric Calendarize'!$L263+'Electric Calendarize'!V$4+1))</f>
        <v/>
      </c>
      <c r="W263" t="str">
        <f ca="1">IF(OR($L263&gt;W$4,W$4&gt;$L263+23),"",OFFSET(Electric!$L254,0,-'Electric Calendarize'!$L263+'Electric Calendarize'!W$4+1))</f>
        <v/>
      </c>
      <c r="X263" t="str">
        <f ca="1">IF(OR($L263&gt;X$4,X$4&gt;$L263+23),"",OFFSET(Electric!$L254,0,-'Electric Calendarize'!$L263+'Electric Calendarize'!X$4+1))</f>
        <v/>
      </c>
      <c r="Y263" t="str">
        <f ca="1">IF(OR($L263&gt;Y$4,Y$4&gt;$L263+23),"",OFFSET(Electric!$L254,0,-'Electric Calendarize'!$L263+'Electric Calendarize'!Y$4+1))</f>
        <v/>
      </c>
      <c r="Z263" t="str">
        <f ca="1">IF(OR($L263&gt;Z$4,Z$4&gt;$L263+23),"",OFFSET(Electric!$L254,0,-'Electric Calendarize'!$L263+'Electric Calendarize'!Z$4+1))</f>
        <v/>
      </c>
      <c r="AA263" t="str">
        <f ca="1">IF(OR($L263&gt;AA$4,AA$4&gt;$L263+23),"",OFFSET(Electric!$L254,0,-'Electric Calendarize'!$L263+'Electric Calendarize'!AA$4+1))</f>
        <v/>
      </c>
      <c r="AB263" t="str">
        <f ca="1">IF(OR($L263&gt;AB$4,AB$4&gt;$L263+23),"",OFFSET(Electric!$L254,0,-'Electric Calendarize'!$L263+'Electric Calendarize'!AB$4+1))</f>
        <v/>
      </c>
      <c r="AC263" t="str">
        <f ca="1">IF(OR($L263&gt;AC$4,AC$4&gt;$L263+23),"",OFFSET(Electric!$L254,0,-'Electric Calendarize'!$L263+'Electric Calendarize'!AC$4+1))</f>
        <v/>
      </c>
      <c r="AD263" t="str">
        <f ca="1">IF(OR($L263&gt;AD$4,AD$4&gt;$L263+23),"",OFFSET(Electric!$L254,0,-'Electric Calendarize'!$L263+'Electric Calendarize'!AD$4+1))</f>
        <v/>
      </c>
      <c r="AE263" t="str">
        <f ca="1">IF(OR($L263&gt;AE$4,AE$4&gt;$L263+23),"",OFFSET(Electric!$L254,0,-'Electric Calendarize'!$L263+'Electric Calendarize'!AE$4+1))</f>
        <v/>
      </c>
      <c r="AF263" t="str">
        <f ca="1">IF(OR($L263&gt;AF$4,AF$4&gt;$L263+23),"",OFFSET(Electric!$L254,0,-'Electric Calendarize'!$L263+'Electric Calendarize'!AF$4+1))</f>
        <v/>
      </c>
      <c r="AG263" t="str">
        <f ca="1">IF(OR($L263&gt;AG$4,AG$4&gt;$L263+23),"",OFFSET(Electric!$L254,0,-'Electric Calendarize'!$L263+'Electric Calendarize'!AG$4+1))</f>
        <v/>
      </c>
      <c r="AH263" t="str">
        <f ca="1">IF(OR($L263&gt;AH$4,AH$4&gt;$L263+23),"",OFFSET(Electric!$L254,0,-'Electric Calendarize'!$L263+'Electric Calendarize'!AH$4+1))</f>
        <v/>
      </c>
      <c r="AI263" t="str">
        <f ca="1">IF(OR($L263&gt;AI$4,AI$4&gt;$L263+23),"",OFFSET(Electric!$L254,0,-'Electric Calendarize'!$L263+'Electric Calendarize'!AI$4+1))</f>
        <v/>
      </c>
      <c r="AJ263" t="str">
        <f ca="1">IF(OR($L263&gt;AJ$4,AJ$4&gt;$L263+23),"",OFFSET(Electric!$L254,0,-'Electric Calendarize'!$L263+'Electric Calendarize'!AJ$4+1))</f>
        <v/>
      </c>
      <c r="AK263" t="str">
        <f ca="1">IF(OR($L263&gt;AK$4,AK$4&gt;$L263+23),"",OFFSET(Electric!$L254,0,-'Electric Calendarize'!$L263+'Electric Calendarize'!AK$4+1))</f>
        <v/>
      </c>
      <c r="AL263" t="str">
        <f ca="1">IF(OR($L263&gt;AL$4,AL$4&gt;$L263+23),"",OFFSET(Electric!$L254,0,-'Electric Calendarize'!$L263+'Electric Calendarize'!AL$4+1))</f>
        <v/>
      </c>
      <c r="AM263" t="str">
        <f ca="1">IF(OR($L263&gt;AM$4,AM$4&gt;$L263+23),"",OFFSET(Electric!$L254,0,-'Electric Calendarize'!$L263+'Electric Calendarize'!AM$4+1))</f>
        <v/>
      </c>
      <c r="AN263" t="str">
        <f ca="1">IF(OR($L263&gt;AN$4,AN$4&gt;$L263+23),"",OFFSET(Electric!$L254,0,-'Electric Calendarize'!$L263+'Electric Calendarize'!AN$4+1))</f>
        <v/>
      </c>
      <c r="AO263" t="str">
        <f ca="1">IF(OR($L263&gt;AO$4,AO$4&gt;$L263+23),"",OFFSET(Electric!$L254,0,-'Electric Calendarize'!$L263+'Electric Calendarize'!AO$4+1))</f>
        <v/>
      </c>
      <c r="AP263">
        <f ca="1">IF(OR($L263&gt;AP$4,AP$4&gt;$L263+23),"",OFFSET(Electric!$L254,0,-'Electric Calendarize'!$L263+'Electric Calendarize'!AP$4+1))</f>
        <v>877</v>
      </c>
      <c r="AQ263">
        <f ca="1">IF(OR($L263&gt;AQ$4,AQ$4&gt;$L263+23),"",OFFSET(Electric!$L254,0,-'Electric Calendarize'!$L263+'Electric Calendarize'!AQ$4+1))</f>
        <v>953</v>
      </c>
      <c r="AR263">
        <f ca="1">IF(OR($L263&gt;AR$4,AR$4&gt;$L263+23),"",OFFSET(Electric!$L254,0,-'Electric Calendarize'!$L263+'Electric Calendarize'!AR$4+1))</f>
        <v>716</v>
      </c>
      <c r="AS263">
        <f ca="1">IF(OR($L263&gt;AS$4,AS$4&gt;$L263+23),"",OFFSET(Electric!$L254,0,-'Electric Calendarize'!$L263+'Electric Calendarize'!AS$4+1))</f>
        <v>546</v>
      </c>
      <c r="AT263">
        <f ca="1">IF(OR($L263&gt;AT$4,AT$4&gt;$L263+23),"",OFFSET(Electric!$L254,0,-'Electric Calendarize'!$L263+'Electric Calendarize'!AT$4+1))</f>
        <v>775</v>
      </c>
      <c r="AU263">
        <f ca="1">IF(OR($L263&gt;AU$4,AU$4&gt;$L263+23),"",OFFSET(Electric!$L254,0,-'Electric Calendarize'!$L263+'Electric Calendarize'!AU$4+1))</f>
        <v>794</v>
      </c>
      <c r="AV263">
        <f ca="1">IF(OR($L263&gt;AV$4,AV$4&gt;$L263+23),"",OFFSET(Electric!$L254,0,-'Electric Calendarize'!$L263+'Electric Calendarize'!AV$4+1))</f>
        <v>770</v>
      </c>
      <c r="AW263">
        <f ca="1">IF(OR($L263&gt;AW$4,AW$4&gt;$L263+23),"",OFFSET(Electric!$L254,0,-'Electric Calendarize'!$L263+'Electric Calendarize'!AW$4+1))</f>
        <v>821</v>
      </c>
      <c r="AX263">
        <f ca="1">IF(OR($L263&gt;AX$4,AX$4&gt;$L263+23),"",OFFSET(Electric!$L254,0,-'Electric Calendarize'!$L263+'Electric Calendarize'!AX$4+1))</f>
        <v>693</v>
      </c>
      <c r="AY263">
        <f ca="1">IF(OR($L263&gt;AY$4,AY$4&gt;$L263+23),"",OFFSET(Electric!$L254,0,-'Electric Calendarize'!$L263+'Electric Calendarize'!AY$4+1))</f>
        <v>563</v>
      </c>
      <c r="AZ263">
        <f ca="1">IF(OR($L263&gt;AZ$4,AZ$4&gt;$L263+23),"",OFFSET(Electric!$L254,0,-'Electric Calendarize'!$L263+'Electric Calendarize'!AZ$4+1))</f>
        <v>397</v>
      </c>
      <c r="BA263">
        <f ca="1">IF(OR($L263&gt;BA$4,BA$4&gt;$L263+23),"",OFFSET(Electric!$L254,0,-'Electric Calendarize'!$L263+'Electric Calendarize'!BA$4+1))</f>
        <v>638</v>
      </c>
      <c r="BB263">
        <f ca="1">IF(OR($L263&gt;BB$4,BB$4&gt;$L263+23),"",OFFSET(Electric!$L254,0,-'Electric Calendarize'!$L263+'Electric Calendarize'!BB$4+1))</f>
        <v>867</v>
      </c>
      <c r="BC263">
        <f ca="1">IF(OR($L263&gt;BC$4,BC$4&gt;$L263+23),"",OFFSET(Electric!$L254,0,-'Electric Calendarize'!$L263+'Electric Calendarize'!BC$4+1))</f>
        <v>702</v>
      </c>
      <c r="BD263">
        <f ca="1">IF(OR($L263&gt;BD$4,BD$4&gt;$L263+23),"",OFFSET(Electric!$L254,0,-'Electric Calendarize'!$L263+'Electric Calendarize'!BD$4+1))</f>
        <v>630</v>
      </c>
      <c r="BE263">
        <f ca="1">IF(OR($L263&gt;BE$4,BE$4&gt;$L263+23),"",OFFSET(Electric!$L254,0,-'Electric Calendarize'!$L263+'Electric Calendarize'!BE$4+1))</f>
        <v>505</v>
      </c>
      <c r="BF263">
        <f ca="1">IF(OR($L263&gt;BF$4,BF$4&gt;$L263+23),"",OFFSET(Electric!$L254,0,-'Electric Calendarize'!$L263+'Electric Calendarize'!BF$4+1))</f>
        <v>544</v>
      </c>
      <c r="BG263">
        <f ca="1">IF(OR($L263&gt;BG$4,BG$4&gt;$L263+23),"",OFFSET(Electric!$L254,0,-'Electric Calendarize'!$L263+'Electric Calendarize'!BG$4+1))</f>
        <v>0</v>
      </c>
      <c r="BJ263" s="10" t="s">
        <v>37</v>
      </c>
      <c r="BK263">
        <f t="shared" si="519"/>
        <v>1</v>
      </c>
      <c r="BL263">
        <f t="shared" si="425"/>
        <v>0</v>
      </c>
      <c r="BM263">
        <f t="shared" si="426"/>
        <v>0</v>
      </c>
      <c r="BN263">
        <f t="shared" si="427"/>
        <v>0</v>
      </c>
      <c r="BO263">
        <f t="shared" si="428"/>
        <v>0</v>
      </c>
      <c r="BP263">
        <f t="shared" si="429"/>
        <v>0</v>
      </c>
      <c r="BQ263">
        <f t="shared" si="430"/>
        <v>0</v>
      </c>
      <c r="BR263">
        <f t="shared" si="431"/>
        <v>1</v>
      </c>
      <c r="BS263">
        <f t="shared" si="432"/>
        <v>1</v>
      </c>
      <c r="BT263">
        <f t="shared" si="433"/>
        <v>1</v>
      </c>
      <c r="BU263">
        <f t="shared" si="434"/>
        <v>1</v>
      </c>
      <c r="BV263">
        <f t="shared" si="435"/>
        <v>1</v>
      </c>
      <c r="BW263">
        <f t="shared" si="436"/>
        <v>1</v>
      </c>
      <c r="BX263">
        <f t="shared" si="437"/>
        <v>0</v>
      </c>
      <c r="BY263">
        <f t="shared" si="438"/>
        <v>0</v>
      </c>
      <c r="BZ263">
        <f t="shared" si="439"/>
        <v>0</v>
      </c>
      <c r="CA263">
        <f t="shared" si="440"/>
        <v>0</v>
      </c>
      <c r="CB263">
        <f t="shared" si="441"/>
        <v>0</v>
      </c>
      <c r="CC263">
        <f t="shared" si="442"/>
        <v>0</v>
      </c>
      <c r="CD263">
        <f t="shared" si="443"/>
        <v>1</v>
      </c>
      <c r="CE263">
        <f t="shared" si="444"/>
        <v>1</v>
      </c>
      <c r="CF263">
        <f t="shared" si="445"/>
        <v>1</v>
      </c>
      <c r="CG263">
        <f t="shared" si="446"/>
        <v>1</v>
      </c>
      <c r="CH263">
        <f t="shared" si="447"/>
        <v>1</v>
      </c>
      <c r="CI263">
        <f t="shared" si="448"/>
        <v>1</v>
      </c>
      <c r="CJ263">
        <f t="shared" si="449"/>
        <v>0</v>
      </c>
      <c r="CK263">
        <f t="shared" si="450"/>
        <v>0</v>
      </c>
      <c r="CL263">
        <f t="shared" si="451"/>
        <v>0</v>
      </c>
      <c r="CM263">
        <f t="shared" si="452"/>
        <v>0</v>
      </c>
      <c r="CN263">
        <f t="shared" si="453"/>
        <v>0</v>
      </c>
      <c r="CO263">
        <f t="shared" si="454"/>
        <v>0</v>
      </c>
      <c r="CP263">
        <f t="shared" si="455"/>
        <v>1</v>
      </c>
      <c r="CQ263">
        <f t="shared" si="456"/>
        <v>1</v>
      </c>
      <c r="CR263">
        <f t="shared" si="457"/>
        <v>1</v>
      </c>
      <c r="CS263">
        <f t="shared" si="458"/>
        <v>1</v>
      </c>
      <c r="CT263">
        <f t="shared" si="459"/>
        <v>1</v>
      </c>
      <c r="CU263">
        <f t="shared" si="460"/>
        <v>1</v>
      </c>
      <c r="CV263">
        <f t="shared" si="461"/>
        <v>0</v>
      </c>
      <c r="CW263">
        <f t="shared" si="462"/>
        <v>0</v>
      </c>
      <c r="CX263">
        <f t="shared" si="463"/>
        <v>0</v>
      </c>
      <c r="CY263">
        <f t="shared" si="464"/>
        <v>0</v>
      </c>
      <c r="CZ263">
        <f t="shared" si="465"/>
        <v>0</v>
      </c>
      <c r="DA263">
        <f t="shared" si="466"/>
        <v>0</v>
      </c>
      <c r="DB263">
        <f t="shared" si="467"/>
        <v>1</v>
      </c>
      <c r="DC263">
        <f t="shared" si="468"/>
        <v>1</v>
      </c>
      <c r="DF263" s="10" t="s">
        <v>37</v>
      </c>
      <c r="DG263" t="str">
        <f t="shared" si="531"/>
        <v>2023_7</v>
      </c>
      <c r="DH263" t="str">
        <f t="shared" si="531"/>
        <v>2023_7</v>
      </c>
      <c r="DI263" t="str">
        <f t="shared" si="531"/>
        <v>2023_7</v>
      </c>
      <c r="DJ263" t="str">
        <f t="shared" si="531"/>
        <v>2023_7</v>
      </c>
      <c r="DK263" t="str">
        <f t="shared" si="531"/>
        <v>2023_7</v>
      </c>
      <c r="DL263" t="str">
        <f t="shared" si="531"/>
        <v>2023_7</v>
      </c>
      <c r="DM263" t="str">
        <f t="shared" si="531"/>
        <v>2023_7</v>
      </c>
      <c r="DN263" t="str">
        <f t="shared" si="531"/>
        <v>2023_7</v>
      </c>
      <c r="DO263" t="str">
        <f t="shared" si="531"/>
        <v>2023_7</v>
      </c>
      <c r="DP263" t="str">
        <f t="shared" si="531"/>
        <v>2023_7</v>
      </c>
      <c r="DQ263" t="str">
        <f t="shared" si="531"/>
        <v>2023_7</v>
      </c>
      <c r="DR263" t="str">
        <f t="shared" si="531"/>
        <v>2023_7</v>
      </c>
      <c r="DS263" t="str">
        <f t="shared" si="531"/>
        <v>2023_7</v>
      </c>
      <c r="DT263" t="str">
        <f t="shared" si="531"/>
        <v>2023_7</v>
      </c>
      <c r="DU263" t="str">
        <f t="shared" si="531"/>
        <v>2023_7</v>
      </c>
      <c r="DV263" t="str">
        <f t="shared" si="531"/>
        <v>2023_7</v>
      </c>
      <c r="DW263" t="str">
        <f t="shared" si="530"/>
        <v>2023_7</v>
      </c>
      <c r="DX263" t="str">
        <f t="shared" si="530"/>
        <v>2023_7</v>
      </c>
      <c r="DY263" t="str">
        <f t="shared" si="530"/>
        <v>2023_7</v>
      </c>
      <c r="DZ263" t="str">
        <f t="shared" si="530"/>
        <v>2023_7</v>
      </c>
      <c r="EA263" t="str">
        <f t="shared" si="530"/>
        <v>2023_7</v>
      </c>
      <c r="EB263" t="str">
        <f t="shared" si="530"/>
        <v>2023_7</v>
      </c>
      <c r="EC263" t="str">
        <f t="shared" si="530"/>
        <v>2023_7</v>
      </c>
      <c r="ED263" t="str">
        <f t="shared" si="530"/>
        <v>2023_7</v>
      </c>
      <c r="EE263" t="str">
        <f t="shared" si="530"/>
        <v>2023_7</v>
      </c>
      <c r="EF263" t="str">
        <f t="shared" si="530"/>
        <v>2023_7</v>
      </c>
      <c r="EG263" t="str">
        <f t="shared" si="530"/>
        <v>2023_7</v>
      </c>
      <c r="EH263" t="str">
        <f t="shared" si="530"/>
        <v>2023_7</v>
      </c>
      <c r="EI263" t="str">
        <f t="shared" si="530"/>
        <v>2023_7</v>
      </c>
      <c r="EJ263" t="str">
        <f t="shared" si="530"/>
        <v>2023_7</v>
      </c>
      <c r="EK263" t="str">
        <f t="shared" si="529"/>
        <v>2023_7</v>
      </c>
      <c r="EL263" t="str">
        <f t="shared" si="529"/>
        <v>2023_7</v>
      </c>
      <c r="EM263" t="str">
        <f t="shared" si="529"/>
        <v>2023_7</v>
      </c>
      <c r="EN263" t="str">
        <f t="shared" si="529"/>
        <v>2023_7</v>
      </c>
      <c r="EO263" t="str">
        <f t="shared" si="529"/>
        <v>2023_7</v>
      </c>
      <c r="EP263" t="str">
        <f t="shared" si="529"/>
        <v>2023_7</v>
      </c>
      <c r="EQ263" t="str">
        <f t="shared" si="529"/>
        <v>2023_7</v>
      </c>
      <c r="ER263" t="str">
        <f t="shared" si="529"/>
        <v>2023_7</v>
      </c>
      <c r="ES263" t="str">
        <f t="shared" si="529"/>
        <v>2023_7</v>
      </c>
      <c r="ET263" t="str">
        <f t="shared" si="529"/>
        <v>2023_7</v>
      </c>
      <c r="EU263" t="str">
        <f t="shared" si="529"/>
        <v>2023_7</v>
      </c>
      <c r="EV263" t="str">
        <f t="shared" si="529"/>
        <v>2023_7</v>
      </c>
      <c r="EW263" t="str">
        <f t="shared" si="529"/>
        <v>2023_7</v>
      </c>
      <c r="EX263" t="str">
        <f t="shared" si="529"/>
        <v>2023_7</v>
      </c>
      <c r="EY263" t="str">
        <f t="shared" si="529"/>
        <v>2023_7</v>
      </c>
      <c r="FB263" s="10" t="s">
        <v>37</v>
      </c>
      <c r="FC263">
        <f t="shared" si="521"/>
        <v>0</v>
      </c>
      <c r="FD263">
        <f t="shared" si="471"/>
        <v>0</v>
      </c>
      <c r="FE263">
        <f t="shared" si="472"/>
        <v>0</v>
      </c>
      <c r="FF263">
        <f t="shared" si="473"/>
        <v>0</v>
      </c>
      <c r="FG263">
        <f t="shared" si="474"/>
        <v>0</v>
      </c>
      <c r="FH263">
        <f t="shared" si="475"/>
        <v>0</v>
      </c>
      <c r="FI263">
        <f t="shared" si="476"/>
        <v>0</v>
      </c>
      <c r="FJ263">
        <f t="shared" si="477"/>
        <v>0</v>
      </c>
      <c r="FK263">
        <f t="shared" si="478"/>
        <v>0</v>
      </c>
      <c r="FL263">
        <f t="shared" si="479"/>
        <v>0</v>
      </c>
      <c r="FM263">
        <f t="shared" si="480"/>
        <v>0</v>
      </c>
      <c r="FN263">
        <f t="shared" si="481"/>
        <v>0</v>
      </c>
      <c r="FO263">
        <f t="shared" si="482"/>
        <v>0</v>
      </c>
      <c r="FP263">
        <f t="shared" si="483"/>
        <v>0</v>
      </c>
      <c r="FQ263">
        <f t="shared" si="484"/>
        <v>0</v>
      </c>
      <c r="FR263">
        <f t="shared" si="485"/>
        <v>0</v>
      </c>
      <c r="FS263">
        <f t="shared" si="486"/>
        <v>0</v>
      </c>
      <c r="FT263">
        <f t="shared" si="487"/>
        <v>0</v>
      </c>
      <c r="FU263">
        <f t="shared" si="488"/>
        <v>0</v>
      </c>
      <c r="FV263">
        <f t="shared" si="489"/>
        <v>0</v>
      </c>
      <c r="FW263">
        <f t="shared" si="490"/>
        <v>0</v>
      </c>
      <c r="FX263">
        <f t="shared" si="491"/>
        <v>0</v>
      </c>
      <c r="FY263">
        <f t="shared" si="492"/>
        <v>0</v>
      </c>
      <c r="FZ263">
        <f t="shared" si="493"/>
        <v>0</v>
      </c>
      <c r="GA263">
        <f t="shared" si="494"/>
        <v>0</v>
      </c>
      <c r="GB263">
        <f t="shared" si="495"/>
        <v>0</v>
      </c>
      <c r="GC263">
        <f t="shared" si="496"/>
        <v>0</v>
      </c>
      <c r="GD263">
        <f t="shared" si="497"/>
        <v>0</v>
      </c>
      <c r="GE263">
        <f t="shared" si="498"/>
        <v>0</v>
      </c>
      <c r="GF263">
        <f t="shared" si="499"/>
        <v>0</v>
      </c>
      <c r="GG263">
        <f t="shared" si="500"/>
        <v>0</v>
      </c>
      <c r="GH263">
        <f t="shared" si="501"/>
        <v>0</v>
      </c>
      <c r="GI263">
        <f t="shared" si="502"/>
        <v>0</v>
      </c>
      <c r="GJ263">
        <f t="shared" si="503"/>
        <v>0</v>
      </c>
      <c r="GK263">
        <f t="shared" si="504"/>
        <v>0</v>
      </c>
      <c r="GL263">
        <f t="shared" si="505"/>
        <v>0</v>
      </c>
      <c r="GM263">
        <f t="shared" si="506"/>
        <v>0</v>
      </c>
      <c r="GN263">
        <f t="shared" si="507"/>
        <v>0</v>
      </c>
      <c r="GO263">
        <f t="shared" si="508"/>
        <v>0</v>
      </c>
      <c r="GP263">
        <f t="shared" si="509"/>
        <v>1</v>
      </c>
      <c r="GQ263">
        <f t="shared" si="510"/>
        <v>1</v>
      </c>
      <c r="GR263">
        <f t="shared" si="511"/>
        <v>1</v>
      </c>
      <c r="GS263">
        <f t="shared" si="512"/>
        <v>1</v>
      </c>
      <c r="GT263">
        <f t="shared" si="513"/>
        <v>1</v>
      </c>
      <c r="GU263">
        <f t="shared" si="514"/>
        <v>1</v>
      </c>
      <c r="GX263" s="10"/>
    </row>
    <row r="264" spans="1:206" x14ac:dyDescent="0.3">
      <c r="A264" s="9" t="s">
        <v>209</v>
      </c>
      <c r="B264" s="80"/>
      <c r="C264" s="9">
        <v>3160385001</v>
      </c>
      <c r="D264" s="9" t="s">
        <v>510</v>
      </c>
      <c r="E264" s="9" t="s">
        <v>100</v>
      </c>
      <c r="F264" s="9" t="s">
        <v>35</v>
      </c>
      <c r="G264" s="9" t="s">
        <v>274</v>
      </c>
      <c r="H264" s="10">
        <v>45132</v>
      </c>
      <c r="I264" s="9">
        <f t="shared" si="515"/>
        <v>2023</v>
      </c>
      <c r="J264" s="9">
        <f t="shared" si="516"/>
        <v>7</v>
      </c>
      <c r="K264" s="9" t="str">
        <f t="shared" si="517"/>
        <v>2023_7</v>
      </c>
      <c r="L264">
        <f>MAX(0,VLOOKUP($K264,lookups!$A$1:$B$45,2,0)-12)</f>
        <v>27</v>
      </c>
      <c r="M264" s="40">
        <f t="shared" si="518"/>
        <v>45108</v>
      </c>
      <c r="N264" s="10" t="s">
        <v>37</v>
      </c>
      <c r="O264" t="str">
        <f ca="1">IF(OR($L264&gt;O$4,O$4&gt;$L264+23),"",OFFSET(Electric!$L255,0,-'Electric Calendarize'!$L264+'Electric Calendarize'!O$4+1))</f>
        <v/>
      </c>
      <c r="P264" t="str">
        <f ca="1">IF(OR($L264&gt;P$4,P$4&gt;$L264+23),"",OFFSET(Electric!$L255,0,-'Electric Calendarize'!$L264+'Electric Calendarize'!P$4+1))</f>
        <v/>
      </c>
      <c r="Q264" t="str">
        <f ca="1">IF(OR($L264&gt;Q$4,Q$4&gt;$L264+23),"",OFFSET(Electric!$L255,0,-'Electric Calendarize'!$L264+'Electric Calendarize'!Q$4+1))</f>
        <v/>
      </c>
      <c r="R264" t="str">
        <f ca="1">IF(OR($L264&gt;R$4,R$4&gt;$L264+23),"",OFFSET(Electric!$L255,0,-'Electric Calendarize'!$L264+'Electric Calendarize'!R$4+1))</f>
        <v/>
      </c>
      <c r="S264" t="str">
        <f ca="1">IF(OR($L264&gt;S$4,S$4&gt;$L264+23),"",OFFSET(Electric!$L255,0,-'Electric Calendarize'!$L264+'Electric Calendarize'!S$4+1))</f>
        <v/>
      </c>
      <c r="T264" t="str">
        <f ca="1">IF(OR($L264&gt;T$4,T$4&gt;$L264+23),"",OFFSET(Electric!$L255,0,-'Electric Calendarize'!$L264+'Electric Calendarize'!T$4+1))</f>
        <v/>
      </c>
      <c r="U264" t="str">
        <f ca="1">IF(OR($L264&gt;U$4,U$4&gt;$L264+23),"",OFFSET(Electric!$L255,0,-'Electric Calendarize'!$L264+'Electric Calendarize'!U$4+1))</f>
        <v/>
      </c>
      <c r="V264" t="str">
        <f ca="1">IF(OR($L264&gt;V$4,V$4&gt;$L264+23),"",OFFSET(Electric!$L255,0,-'Electric Calendarize'!$L264+'Electric Calendarize'!V$4+1))</f>
        <v/>
      </c>
      <c r="W264" t="str">
        <f ca="1">IF(OR($L264&gt;W$4,W$4&gt;$L264+23),"",OFFSET(Electric!$L255,0,-'Electric Calendarize'!$L264+'Electric Calendarize'!W$4+1))</f>
        <v/>
      </c>
      <c r="X264" t="str">
        <f ca="1">IF(OR($L264&gt;X$4,X$4&gt;$L264+23),"",OFFSET(Electric!$L255,0,-'Electric Calendarize'!$L264+'Electric Calendarize'!X$4+1))</f>
        <v/>
      </c>
      <c r="Y264" t="str">
        <f ca="1">IF(OR($L264&gt;Y$4,Y$4&gt;$L264+23),"",OFFSET(Electric!$L255,0,-'Electric Calendarize'!$L264+'Electric Calendarize'!Y$4+1))</f>
        <v/>
      </c>
      <c r="Z264" t="str">
        <f ca="1">IF(OR($L264&gt;Z$4,Z$4&gt;$L264+23),"",OFFSET(Electric!$L255,0,-'Electric Calendarize'!$L264+'Electric Calendarize'!Z$4+1))</f>
        <v/>
      </c>
      <c r="AA264" t="str">
        <f ca="1">IF(OR($L264&gt;AA$4,AA$4&gt;$L264+23),"",OFFSET(Electric!$L255,0,-'Electric Calendarize'!$L264+'Electric Calendarize'!AA$4+1))</f>
        <v/>
      </c>
      <c r="AB264" t="str">
        <f ca="1">IF(OR($L264&gt;AB$4,AB$4&gt;$L264+23),"",OFFSET(Electric!$L255,0,-'Electric Calendarize'!$L264+'Electric Calendarize'!AB$4+1))</f>
        <v/>
      </c>
      <c r="AC264" t="str">
        <f ca="1">IF(OR($L264&gt;AC$4,AC$4&gt;$L264+23),"",OFFSET(Electric!$L255,0,-'Electric Calendarize'!$L264+'Electric Calendarize'!AC$4+1))</f>
        <v/>
      </c>
      <c r="AD264" t="str">
        <f ca="1">IF(OR($L264&gt;AD$4,AD$4&gt;$L264+23),"",OFFSET(Electric!$L255,0,-'Electric Calendarize'!$L264+'Electric Calendarize'!AD$4+1))</f>
        <v/>
      </c>
      <c r="AE264" t="str">
        <f ca="1">IF(OR($L264&gt;AE$4,AE$4&gt;$L264+23),"",OFFSET(Electric!$L255,0,-'Electric Calendarize'!$L264+'Electric Calendarize'!AE$4+1))</f>
        <v/>
      </c>
      <c r="AF264" t="str">
        <f ca="1">IF(OR($L264&gt;AF$4,AF$4&gt;$L264+23),"",OFFSET(Electric!$L255,0,-'Electric Calendarize'!$L264+'Electric Calendarize'!AF$4+1))</f>
        <v/>
      </c>
      <c r="AG264" t="str">
        <f ca="1">IF(OR($L264&gt;AG$4,AG$4&gt;$L264+23),"",OFFSET(Electric!$L255,0,-'Electric Calendarize'!$L264+'Electric Calendarize'!AG$4+1))</f>
        <v/>
      </c>
      <c r="AH264" t="str">
        <f ca="1">IF(OR($L264&gt;AH$4,AH$4&gt;$L264+23),"",OFFSET(Electric!$L255,0,-'Electric Calendarize'!$L264+'Electric Calendarize'!AH$4+1))</f>
        <v/>
      </c>
      <c r="AI264" t="str">
        <f ca="1">IF(OR($L264&gt;AI$4,AI$4&gt;$L264+23),"",OFFSET(Electric!$L255,0,-'Electric Calendarize'!$L264+'Electric Calendarize'!AI$4+1))</f>
        <v/>
      </c>
      <c r="AJ264" t="str">
        <f ca="1">IF(OR($L264&gt;AJ$4,AJ$4&gt;$L264+23),"",OFFSET(Electric!$L255,0,-'Electric Calendarize'!$L264+'Electric Calendarize'!AJ$4+1))</f>
        <v/>
      </c>
      <c r="AK264" t="str">
        <f ca="1">IF(OR($L264&gt;AK$4,AK$4&gt;$L264+23),"",OFFSET(Electric!$L255,0,-'Electric Calendarize'!$L264+'Electric Calendarize'!AK$4+1))</f>
        <v/>
      </c>
      <c r="AL264" t="str">
        <f ca="1">IF(OR($L264&gt;AL$4,AL$4&gt;$L264+23),"",OFFSET(Electric!$L255,0,-'Electric Calendarize'!$L264+'Electric Calendarize'!AL$4+1))</f>
        <v/>
      </c>
      <c r="AM264" t="str">
        <f ca="1">IF(OR($L264&gt;AM$4,AM$4&gt;$L264+23),"",OFFSET(Electric!$L255,0,-'Electric Calendarize'!$L264+'Electric Calendarize'!AM$4+1))</f>
        <v/>
      </c>
      <c r="AN264" t="str">
        <f ca="1">IF(OR($L264&gt;AN$4,AN$4&gt;$L264+23),"",OFFSET(Electric!$L255,0,-'Electric Calendarize'!$L264+'Electric Calendarize'!AN$4+1))</f>
        <v/>
      </c>
      <c r="AO264" t="str">
        <f ca="1">IF(OR($L264&gt;AO$4,AO$4&gt;$L264+23),"",OFFSET(Electric!$L255,0,-'Electric Calendarize'!$L264+'Electric Calendarize'!AO$4+1))</f>
        <v/>
      </c>
      <c r="AP264">
        <f ca="1">IF(OR($L264&gt;AP$4,AP$4&gt;$L264+23),"",OFFSET(Electric!$L255,0,-'Electric Calendarize'!$L264+'Electric Calendarize'!AP$4+1))</f>
        <v>1192</v>
      </c>
      <c r="AQ264">
        <f ca="1">IF(OR($L264&gt;AQ$4,AQ$4&gt;$L264+23),"",OFFSET(Electric!$L255,0,-'Electric Calendarize'!$L264+'Electric Calendarize'!AQ$4+1))</f>
        <v>1172</v>
      </c>
      <c r="AR264">
        <f ca="1">IF(OR($L264&gt;AR$4,AR$4&gt;$L264+23),"",OFFSET(Electric!$L255,0,-'Electric Calendarize'!$L264+'Electric Calendarize'!AR$4+1))</f>
        <v>563</v>
      </c>
      <c r="AS264">
        <f ca="1">IF(OR($L264&gt;AS$4,AS$4&gt;$L264+23),"",OFFSET(Electric!$L255,0,-'Electric Calendarize'!$L264+'Electric Calendarize'!AS$4+1))</f>
        <v>381</v>
      </c>
      <c r="AT264">
        <f ca="1">IF(OR($L264&gt;AT$4,AT$4&gt;$L264+23),"",OFFSET(Electric!$L255,0,-'Electric Calendarize'!$L264+'Electric Calendarize'!AT$4+1))</f>
        <v>709</v>
      </c>
      <c r="AU264">
        <f ca="1">IF(OR($L264&gt;AU$4,AU$4&gt;$L264+23),"",OFFSET(Electric!$L255,0,-'Electric Calendarize'!$L264+'Electric Calendarize'!AU$4+1))</f>
        <v>1070</v>
      </c>
      <c r="AV264">
        <f ca="1">IF(OR($L264&gt;AV$4,AV$4&gt;$L264+23),"",OFFSET(Electric!$L255,0,-'Electric Calendarize'!$L264+'Electric Calendarize'!AV$4+1))</f>
        <v>760</v>
      </c>
      <c r="AW264">
        <f ca="1">IF(OR($L264&gt;AW$4,AW$4&gt;$L264+23),"",OFFSET(Electric!$L255,0,-'Electric Calendarize'!$L264+'Electric Calendarize'!AW$4+1))</f>
        <v>941</v>
      </c>
      <c r="AX264">
        <f ca="1">IF(OR($L264&gt;AX$4,AX$4&gt;$L264+23),"",OFFSET(Electric!$L255,0,-'Electric Calendarize'!$L264+'Electric Calendarize'!AX$4+1))</f>
        <v>557</v>
      </c>
      <c r="AY264">
        <f ca="1">IF(OR($L264&gt;AY$4,AY$4&gt;$L264+23),"",OFFSET(Electric!$L255,0,-'Electric Calendarize'!$L264+'Electric Calendarize'!AY$4+1))</f>
        <v>782</v>
      </c>
      <c r="AZ264">
        <f ca="1">IF(OR($L264&gt;AZ$4,AZ$4&gt;$L264+23),"",OFFSET(Electric!$L255,0,-'Electric Calendarize'!$L264+'Electric Calendarize'!AZ$4+1))</f>
        <v>1128</v>
      </c>
      <c r="BA264">
        <f ca="1">IF(OR($L264&gt;BA$4,BA$4&gt;$L264+23),"",OFFSET(Electric!$L255,0,-'Electric Calendarize'!$L264+'Electric Calendarize'!BA$4+1))</f>
        <v>920</v>
      </c>
      <c r="BB264">
        <f ca="1">IF(OR($L264&gt;BB$4,BB$4&gt;$L264+23),"",OFFSET(Electric!$L255,0,-'Electric Calendarize'!$L264+'Electric Calendarize'!BB$4+1))</f>
        <v>1472</v>
      </c>
      <c r="BC264">
        <f ca="1">IF(OR($L264&gt;BC$4,BC$4&gt;$L264+23),"",OFFSET(Electric!$L255,0,-'Electric Calendarize'!$L264+'Electric Calendarize'!BC$4+1))</f>
        <v>804</v>
      </c>
      <c r="BD264">
        <f ca="1">IF(OR($L264&gt;BD$4,BD$4&gt;$L264+23),"",OFFSET(Electric!$L255,0,-'Electric Calendarize'!$L264+'Electric Calendarize'!BD$4+1))</f>
        <v>1150</v>
      </c>
      <c r="BE264">
        <f ca="1">IF(OR($L264&gt;BE$4,BE$4&gt;$L264+23),"",OFFSET(Electric!$L255,0,-'Electric Calendarize'!$L264+'Electric Calendarize'!BE$4+1))</f>
        <v>1366</v>
      </c>
      <c r="BF264">
        <f ca="1">IF(OR($L264&gt;BF$4,BF$4&gt;$L264+23),"",OFFSET(Electric!$L255,0,-'Electric Calendarize'!$L264+'Electric Calendarize'!BF$4+1))</f>
        <v>3194</v>
      </c>
      <c r="BG264">
        <f ca="1">IF(OR($L264&gt;BG$4,BG$4&gt;$L264+23),"",OFFSET(Electric!$L255,0,-'Electric Calendarize'!$L264+'Electric Calendarize'!BG$4+1))</f>
        <v>0</v>
      </c>
      <c r="BJ264" s="10" t="s">
        <v>37</v>
      </c>
      <c r="BK264">
        <f t="shared" si="519"/>
        <v>1</v>
      </c>
      <c r="BL264">
        <f t="shared" si="425"/>
        <v>0</v>
      </c>
      <c r="BM264">
        <f t="shared" si="426"/>
        <v>0</v>
      </c>
      <c r="BN264">
        <f t="shared" si="427"/>
        <v>0</v>
      </c>
      <c r="BO264">
        <f t="shared" si="428"/>
        <v>0</v>
      </c>
      <c r="BP264">
        <f t="shared" si="429"/>
        <v>0</v>
      </c>
      <c r="BQ264">
        <f t="shared" si="430"/>
        <v>0</v>
      </c>
      <c r="BR264">
        <f t="shared" si="431"/>
        <v>1</v>
      </c>
      <c r="BS264">
        <f t="shared" si="432"/>
        <v>1</v>
      </c>
      <c r="BT264">
        <f t="shared" si="433"/>
        <v>1</v>
      </c>
      <c r="BU264">
        <f t="shared" si="434"/>
        <v>1</v>
      </c>
      <c r="BV264">
        <f t="shared" si="435"/>
        <v>1</v>
      </c>
      <c r="BW264">
        <f t="shared" si="436"/>
        <v>1</v>
      </c>
      <c r="BX264">
        <f t="shared" si="437"/>
        <v>0</v>
      </c>
      <c r="BY264">
        <f t="shared" si="438"/>
        <v>0</v>
      </c>
      <c r="BZ264">
        <f t="shared" si="439"/>
        <v>0</v>
      </c>
      <c r="CA264">
        <f t="shared" si="440"/>
        <v>0</v>
      </c>
      <c r="CB264">
        <f t="shared" si="441"/>
        <v>0</v>
      </c>
      <c r="CC264">
        <f t="shared" si="442"/>
        <v>0</v>
      </c>
      <c r="CD264">
        <f t="shared" si="443"/>
        <v>1</v>
      </c>
      <c r="CE264">
        <f t="shared" si="444"/>
        <v>1</v>
      </c>
      <c r="CF264">
        <f t="shared" si="445"/>
        <v>1</v>
      </c>
      <c r="CG264">
        <f t="shared" si="446"/>
        <v>1</v>
      </c>
      <c r="CH264">
        <f t="shared" si="447"/>
        <v>1</v>
      </c>
      <c r="CI264">
        <f t="shared" si="448"/>
        <v>1</v>
      </c>
      <c r="CJ264">
        <f t="shared" si="449"/>
        <v>0</v>
      </c>
      <c r="CK264">
        <f t="shared" si="450"/>
        <v>0</v>
      </c>
      <c r="CL264">
        <f t="shared" si="451"/>
        <v>0</v>
      </c>
      <c r="CM264">
        <f t="shared" si="452"/>
        <v>0</v>
      </c>
      <c r="CN264">
        <f t="shared" si="453"/>
        <v>0</v>
      </c>
      <c r="CO264">
        <f t="shared" si="454"/>
        <v>0</v>
      </c>
      <c r="CP264">
        <f t="shared" si="455"/>
        <v>1</v>
      </c>
      <c r="CQ264">
        <f t="shared" si="456"/>
        <v>1</v>
      </c>
      <c r="CR264">
        <f t="shared" si="457"/>
        <v>1</v>
      </c>
      <c r="CS264">
        <f t="shared" si="458"/>
        <v>1</v>
      </c>
      <c r="CT264">
        <f t="shared" si="459"/>
        <v>1</v>
      </c>
      <c r="CU264">
        <f t="shared" si="460"/>
        <v>1</v>
      </c>
      <c r="CV264">
        <f t="shared" si="461"/>
        <v>0</v>
      </c>
      <c r="CW264">
        <f t="shared" si="462"/>
        <v>0</v>
      </c>
      <c r="CX264">
        <f t="shared" si="463"/>
        <v>0</v>
      </c>
      <c r="CY264">
        <f t="shared" si="464"/>
        <v>0</v>
      </c>
      <c r="CZ264">
        <f t="shared" si="465"/>
        <v>0</v>
      </c>
      <c r="DA264">
        <f t="shared" si="466"/>
        <v>0</v>
      </c>
      <c r="DB264">
        <f t="shared" si="467"/>
        <v>1</v>
      </c>
      <c r="DC264">
        <f t="shared" si="468"/>
        <v>1</v>
      </c>
      <c r="DF264" s="10" t="s">
        <v>37</v>
      </c>
      <c r="DG264" t="str">
        <f t="shared" si="531"/>
        <v>2023_7</v>
      </c>
      <c r="DH264" t="str">
        <f t="shared" si="531"/>
        <v>2023_7</v>
      </c>
      <c r="DI264" t="str">
        <f t="shared" si="531"/>
        <v>2023_7</v>
      </c>
      <c r="DJ264" t="str">
        <f t="shared" si="531"/>
        <v>2023_7</v>
      </c>
      <c r="DK264" t="str">
        <f t="shared" si="531"/>
        <v>2023_7</v>
      </c>
      <c r="DL264" t="str">
        <f t="shared" si="531"/>
        <v>2023_7</v>
      </c>
      <c r="DM264" t="str">
        <f t="shared" si="531"/>
        <v>2023_7</v>
      </c>
      <c r="DN264" t="str">
        <f t="shared" si="531"/>
        <v>2023_7</v>
      </c>
      <c r="DO264" t="str">
        <f t="shared" si="531"/>
        <v>2023_7</v>
      </c>
      <c r="DP264" t="str">
        <f t="shared" si="531"/>
        <v>2023_7</v>
      </c>
      <c r="DQ264" t="str">
        <f t="shared" si="531"/>
        <v>2023_7</v>
      </c>
      <c r="DR264" t="str">
        <f t="shared" si="531"/>
        <v>2023_7</v>
      </c>
      <c r="DS264" t="str">
        <f t="shared" si="531"/>
        <v>2023_7</v>
      </c>
      <c r="DT264" t="str">
        <f t="shared" si="531"/>
        <v>2023_7</v>
      </c>
      <c r="DU264" t="str">
        <f t="shared" si="531"/>
        <v>2023_7</v>
      </c>
      <c r="DV264" t="str">
        <f t="shared" si="531"/>
        <v>2023_7</v>
      </c>
      <c r="DW264" t="str">
        <f t="shared" si="530"/>
        <v>2023_7</v>
      </c>
      <c r="DX264" t="str">
        <f t="shared" si="530"/>
        <v>2023_7</v>
      </c>
      <c r="DY264" t="str">
        <f t="shared" si="530"/>
        <v>2023_7</v>
      </c>
      <c r="DZ264" t="str">
        <f t="shared" si="530"/>
        <v>2023_7</v>
      </c>
      <c r="EA264" t="str">
        <f t="shared" si="530"/>
        <v>2023_7</v>
      </c>
      <c r="EB264" t="str">
        <f t="shared" si="530"/>
        <v>2023_7</v>
      </c>
      <c r="EC264" t="str">
        <f t="shared" si="530"/>
        <v>2023_7</v>
      </c>
      <c r="ED264" t="str">
        <f t="shared" si="530"/>
        <v>2023_7</v>
      </c>
      <c r="EE264" t="str">
        <f t="shared" si="530"/>
        <v>2023_7</v>
      </c>
      <c r="EF264" t="str">
        <f t="shared" si="530"/>
        <v>2023_7</v>
      </c>
      <c r="EG264" t="str">
        <f t="shared" si="530"/>
        <v>2023_7</v>
      </c>
      <c r="EH264" t="str">
        <f t="shared" si="530"/>
        <v>2023_7</v>
      </c>
      <c r="EI264" t="str">
        <f t="shared" si="530"/>
        <v>2023_7</v>
      </c>
      <c r="EJ264" t="str">
        <f t="shared" si="530"/>
        <v>2023_7</v>
      </c>
      <c r="EK264" t="str">
        <f t="shared" si="529"/>
        <v>2023_7</v>
      </c>
      <c r="EL264" t="str">
        <f t="shared" si="529"/>
        <v>2023_7</v>
      </c>
      <c r="EM264" t="str">
        <f t="shared" si="529"/>
        <v>2023_7</v>
      </c>
      <c r="EN264" t="str">
        <f t="shared" si="529"/>
        <v>2023_7</v>
      </c>
      <c r="EO264" t="str">
        <f t="shared" si="529"/>
        <v>2023_7</v>
      </c>
      <c r="EP264" t="str">
        <f t="shared" si="529"/>
        <v>2023_7</v>
      </c>
      <c r="EQ264" t="str">
        <f t="shared" si="529"/>
        <v>2023_7</v>
      </c>
      <c r="ER264" t="str">
        <f t="shared" si="529"/>
        <v>2023_7</v>
      </c>
      <c r="ES264" t="str">
        <f t="shared" si="529"/>
        <v>2023_7</v>
      </c>
      <c r="ET264" t="str">
        <f t="shared" si="529"/>
        <v>2023_7</v>
      </c>
      <c r="EU264" t="str">
        <f t="shared" si="529"/>
        <v>2023_7</v>
      </c>
      <c r="EV264" t="str">
        <f t="shared" si="529"/>
        <v>2023_7</v>
      </c>
      <c r="EW264" t="str">
        <f t="shared" si="529"/>
        <v>2023_7</v>
      </c>
      <c r="EX264" t="str">
        <f t="shared" si="529"/>
        <v>2023_7</v>
      </c>
      <c r="EY264" t="str">
        <f t="shared" si="529"/>
        <v>2023_7</v>
      </c>
      <c r="FB264" s="10" t="s">
        <v>37</v>
      </c>
      <c r="FC264">
        <f t="shared" si="521"/>
        <v>0</v>
      </c>
      <c r="FD264">
        <f t="shared" si="471"/>
        <v>0</v>
      </c>
      <c r="FE264">
        <f t="shared" si="472"/>
        <v>0</v>
      </c>
      <c r="FF264">
        <f t="shared" si="473"/>
        <v>0</v>
      </c>
      <c r="FG264">
        <f t="shared" si="474"/>
        <v>0</v>
      </c>
      <c r="FH264">
        <f t="shared" si="475"/>
        <v>0</v>
      </c>
      <c r="FI264">
        <f t="shared" si="476"/>
        <v>0</v>
      </c>
      <c r="FJ264">
        <f t="shared" si="477"/>
        <v>0</v>
      </c>
      <c r="FK264">
        <f t="shared" si="478"/>
        <v>0</v>
      </c>
      <c r="FL264">
        <f t="shared" si="479"/>
        <v>0</v>
      </c>
      <c r="FM264">
        <f t="shared" si="480"/>
        <v>0</v>
      </c>
      <c r="FN264">
        <f t="shared" si="481"/>
        <v>0</v>
      </c>
      <c r="FO264">
        <f t="shared" si="482"/>
        <v>0</v>
      </c>
      <c r="FP264">
        <f t="shared" si="483"/>
        <v>0</v>
      </c>
      <c r="FQ264">
        <f t="shared" si="484"/>
        <v>0</v>
      </c>
      <c r="FR264">
        <f t="shared" si="485"/>
        <v>0</v>
      </c>
      <c r="FS264">
        <f t="shared" si="486"/>
        <v>0</v>
      </c>
      <c r="FT264">
        <f t="shared" si="487"/>
        <v>0</v>
      </c>
      <c r="FU264">
        <f t="shared" si="488"/>
        <v>0</v>
      </c>
      <c r="FV264">
        <f t="shared" si="489"/>
        <v>0</v>
      </c>
      <c r="FW264">
        <f t="shared" si="490"/>
        <v>0</v>
      </c>
      <c r="FX264">
        <f t="shared" si="491"/>
        <v>0</v>
      </c>
      <c r="FY264">
        <f t="shared" si="492"/>
        <v>0</v>
      </c>
      <c r="FZ264">
        <f t="shared" si="493"/>
        <v>0</v>
      </c>
      <c r="GA264">
        <f t="shared" si="494"/>
        <v>0</v>
      </c>
      <c r="GB264">
        <f t="shared" si="495"/>
        <v>0</v>
      </c>
      <c r="GC264">
        <f t="shared" si="496"/>
        <v>0</v>
      </c>
      <c r="GD264">
        <f t="shared" si="497"/>
        <v>0</v>
      </c>
      <c r="GE264">
        <f t="shared" si="498"/>
        <v>0</v>
      </c>
      <c r="GF264">
        <f t="shared" si="499"/>
        <v>0</v>
      </c>
      <c r="GG264">
        <f t="shared" si="500"/>
        <v>0</v>
      </c>
      <c r="GH264">
        <f t="shared" si="501"/>
        <v>0</v>
      </c>
      <c r="GI264">
        <f t="shared" si="502"/>
        <v>0</v>
      </c>
      <c r="GJ264">
        <f t="shared" si="503"/>
        <v>0</v>
      </c>
      <c r="GK264">
        <f t="shared" si="504"/>
        <v>0</v>
      </c>
      <c r="GL264">
        <f t="shared" si="505"/>
        <v>0</v>
      </c>
      <c r="GM264">
        <f t="shared" si="506"/>
        <v>0</v>
      </c>
      <c r="GN264">
        <f t="shared" si="507"/>
        <v>0</v>
      </c>
      <c r="GO264">
        <f t="shared" si="508"/>
        <v>0</v>
      </c>
      <c r="GP264">
        <f t="shared" si="509"/>
        <v>1</v>
      </c>
      <c r="GQ264">
        <f t="shared" si="510"/>
        <v>1</v>
      </c>
      <c r="GR264">
        <f t="shared" si="511"/>
        <v>1</v>
      </c>
      <c r="GS264">
        <f t="shared" si="512"/>
        <v>1</v>
      </c>
      <c r="GT264">
        <f t="shared" si="513"/>
        <v>1</v>
      </c>
      <c r="GU264">
        <f t="shared" si="514"/>
        <v>1</v>
      </c>
      <c r="GX264" s="10"/>
    </row>
    <row r="265" spans="1:206" x14ac:dyDescent="0.3">
      <c r="A265" s="9" t="s">
        <v>209</v>
      </c>
      <c r="B265" s="80"/>
      <c r="C265" s="9">
        <v>3062423000</v>
      </c>
      <c r="D265" s="9" t="s">
        <v>443</v>
      </c>
      <c r="E265" s="9" t="s">
        <v>39</v>
      </c>
      <c r="F265" s="9" t="s">
        <v>35</v>
      </c>
      <c r="G265" s="9" t="s">
        <v>275</v>
      </c>
      <c r="H265" s="10">
        <v>45142</v>
      </c>
      <c r="I265" s="9">
        <f t="shared" si="515"/>
        <v>2023</v>
      </c>
      <c r="J265" s="9">
        <f t="shared" si="516"/>
        <v>8</v>
      </c>
      <c r="K265" s="9" t="str">
        <f t="shared" si="517"/>
        <v>2023_8</v>
      </c>
      <c r="L265">
        <f>MAX(0,VLOOKUP($K265,lookups!$A$1:$B$45,2,0)-12)</f>
        <v>28</v>
      </c>
      <c r="M265" s="40">
        <f t="shared" si="518"/>
        <v>45139</v>
      </c>
      <c r="N265" s="10" t="s">
        <v>37</v>
      </c>
      <c r="O265" t="str">
        <f ca="1">IF(OR($L265&gt;O$4,O$4&gt;$L265+23),"",OFFSET(Electric!$L256,0,-'Electric Calendarize'!$L265+'Electric Calendarize'!O$4+1))</f>
        <v/>
      </c>
      <c r="P265" t="str">
        <f ca="1">IF(OR($L265&gt;P$4,P$4&gt;$L265+23),"",OFFSET(Electric!$L256,0,-'Electric Calendarize'!$L265+'Electric Calendarize'!P$4+1))</f>
        <v/>
      </c>
      <c r="Q265" t="str">
        <f ca="1">IF(OR($L265&gt;Q$4,Q$4&gt;$L265+23),"",OFFSET(Electric!$L256,0,-'Electric Calendarize'!$L265+'Electric Calendarize'!Q$4+1))</f>
        <v/>
      </c>
      <c r="R265" t="str">
        <f ca="1">IF(OR($L265&gt;R$4,R$4&gt;$L265+23),"",OFFSET(Electric!$L256,0,-'Electric Calendarize'!$L265+'Electric Calendarize'!R$4+1))</f>
        <v/>
      </c>
      <c r="S265" t="str">
        <f ca="1">IF(OR($L265&gt;S$4,S$4&gt;$L265+23),"",OFFSET(Electric!$L256,0,-'Electric Calendarize'!$L265+'Electric Calendarize'!S$4+1))</f>
        <v/>
      </c>
      <c r="T265" t="str">
        <f ca="1">IF(OR($L265&gt;T$4,T$4&gt;$L265+23),"",OFFSET(Electric!$L256,0,-'Electric Calendarize'!$L265+'Electric Calendarize'!T$4+1))</f>
        <v/>
      </c>
      <c r="U265" t="str">
        <f ca="1">IF(OR($L265&gt;U$4,U$4&gt;$L265+23),"",OFFSET(Electric!$L256,0,-'Electric Calendarize'!$L265+'Electric Calendarize'!U$4+1))</f>
        <v/>
      </c>
      <c r="V265" t="str">
        <f ca="1">IF(OR($L265&gt;V$4,V$4&gt;$L265+23),"",OFFSET(Electric!$L256,0,-'Electric Calendarize'!$L265+'Electric Calendarize'!V$4+1))</f>
        <v/>
      </c>
      <c r="W265" t="str">
        <f ca="1">IF(OR($L265&gt;W$4,W$4&gt;$L265+23),"",OFFSET(Electric!$L256,0,-'Electric Calendarize'!$L265+'Electric Calendarize'!W$4+1))</f>
        <v/>
      </c>
      <c r="X265" t="str">
        <f ca="1">IF(OR($L265&gt;X$4,X$4&gt;$L265+23),"",OFFSET(Electric!$L256,0,-'Electric Calendarize'!$L265+'Electric Calendarize'!X$4+1))</f>
        <v/>
      </c>
      <c r="Y265" t="str">
        <f ca="1">IF(OR($L265&gt;Y$4,Y$4&gt;$L265+23),"",OFFSET(Electric!$L256,0,-'Electric Calendarize'!$L265+'Electric Calendarize'!Y$4+1))</f>
        <v/>
      </c>
      <c r="Z265" t="str">
        <f ca="1">IF(OR($L265&gt;Z$4,Z$4&gt;$L265+23),"",OFFSET(Electric!$L256,0,-'Electric Calendarize'!$L265+'Electric Calendarize'!Z$4+1))</f>
        <v/>
      </c>
      <c r="AA265" t="str">
        <f ca="1">IF(OR($L265&gt;AA$4,AA$4&gt;$L265+23),"",OFFSET(Electric!$L256,0,-'Electric Calendarize'!$L265+'Electric Calendarize'!AA$4+1))</f>
        <v/>
      </c>
      <c r="AB265" t="str">
        <f ca="1">IF(OR($L265&gt;AB$4,AB$4&gt;$L265+23),"",OFFSET(Electric!$L256,0,-'Electric Calendarize'!$L265+'Electric Calendarize'!AB$4+1))</f>
        <v/>
      </c>
      <c r="AC265" t="str">
        <f ca="1">IF(OR($L265&gt;AC$4,AC$4&gt;$L265+23),"",OFFSET(Electric!$L256,0,-'Electric Calendarize'!$L265+'Electric Calendarize'!AC$4+1))</f>
        <v/>
      </c>
      <c r="AD265" t="str">
        <f ca="1">IF(OR($L265&gt;AD$4,AD$4&gt;$L265+23),"",OFFSET(Electric!$L256,0,-'Electric Calendarize'!$L265+'Electric Calendarize'!AD$4+1))</f>
        <v/>
      </c>
      <c r="AE265" t="str">
        <f ca="1">IF(OR($L265&gt;AE$4,AE$4&gt;$L265+23),"",OFFSET(Electric!$L256,0,-'Electric Calendarize'!$L265+'Electric Calendarize'!AE$4+1))</f>
        <v/>
      </c>
      <c r="AF265" t="str">
        <f ca="1">IF(OR($L265&gt;AF$4,AF$4&gt;$L265+23),"",OFFSET(Electric!$L256,0,-'Electric Calendarize'!$L265+'Electric Calendarize'!AF$4+1))</f>
        <v/>
      </c>
      <c r="AG265" t="str">
        <f ca="1">IF(OR($L265&gt;AG$4,AG$4&gt;$L265+23),"",OFFSET(Electric!$L256,0,-'Electric Calendarize'!$L265+'Electric Calendarize'!AG$4+1))</f>
        <v/>
      </c>
      <c r="AH265" t="str">
        <f ca="1">IF(OR($L265&gt;AH$4,AH$4&gt;$L265+23),"",OFFSET(Electric!$L256,0,-'Electric Calendarize'!$L265+'Electric Calendarize'!AH$4+1))</f>
        <v/>
      </c>
      <c r="AI265" t="str">
        <f ca="1">IF(OR($L265&gt;AI$4,AI$4&gt;$L265+23),"",OFFSET(Electric!$L256,0,-'Electric Calendarize'!$L265+'Electric Calendarize'!AI$4+1))</f>
        <v/>
      </c>
      <c r="AJ265" t="str">
        <f ca="1">IF(OR($L265&gt;AJ$4,AJ$4&gt;$L265+23),"",OFFSET(Electric!$L256,0,-'Electric Calendarize'!$L265+'Electric Calendarize'!AJ$4+1))</f>
        <v/>
      </c>
      <c r="AK265" t="str">
        <f ca="1">IF(OR($L265&gt;AK$4,AK$4&gt;$L265+23),"",OFFSET(Electric!$L256,0,-'Electric Calendarize'!$L265+'Electric Calendarize'!AK$4+1))</f>
        <v/>
      </c>
      <c r="AL265" t="str">
        <f ca="1">IF(OR($L265&gt;AL$4,AL$4&gt;$L265+23),"",OFFSET(Electric!$L256,0,-'Electric Calendarize'!$L265+'Electric Calendarize'!AL$4+1))</f>
        <v/>
      </c>
      <c r="AM265" t="str">
        <f ca="1">IF(OR($L265&gt;AM$4,AM$4&gt;$L265+23),"",OFFSET(Electric!$L256,0,-'Electric Calendarize'!$L265+'Electric Calendarize'!AM$4+1))</f>
        <v/>
      </c>
      <c r="AN265" t="str">
        <f ca="1">IF(OR($L265&gt;AN$4,AN$4&gt;$L265+23),"",OFFSET(Electric!$L256,0,-'Electric Calendarize'!$L265+'Electric Calendarize'!AN$4+1))</f>
        <v/>
      </c>
      <c r="AO265" t="str">
        <f ca="1">IF(OR($L265&gt;AO$4,AO$4&gt;$L265+23),"",OFFSET(Electric!$L256,0,-'Electric Calendarize'!$L265+'Electric Calendarize'!AO$4+1))</f>
        <v/>
      </c>
      <c r="AP265" t="str">
        <f ca="1">IF(OR($L265&gt;AP$4,AP$4&gt;$L265+23),"",OFFSET(Electric!$L256,0,-'Electric Calendarize'!$L265+'Electric Calendarize'!AP$4+1))</f>
        <v/>
      </c>
      <c r="AQ265">
        <f ca="1">IF(OR($L265&gt;AQ$4,AQ$4&gt;$L265+23),"",OFFSET(Electric!$L256,0,-'Electric Calendarize'!$L265+'Electric Calendarize'!AQ$4+1))</f>
        <v>980</v>
      </c>
      <c r="AR265">
        <f ca="1">IF(OR($L265&gt;AR$4,AR$4&gt;$L265+23),"",OFFSET(Electric!$L256,0,-'Electric Calendarize'!$L265+'Electric Calendarize'!AR$4+1))</f>
        <v>794</v>
      </c>
      <c r="AS265">
        <f ca="1">IF(OR($L265&gt;AS$4,AS$4&gt;$L265+23),"",OFFSET(Electric!$L256,0,-'Electric Calendarize'!$L265+'Electric Calendarize'!AS$4+1))</f>
        <v>525</v>
      </c>
      <c r="AT265">
        <f ca="1">IF(OR($L265&gt;AT$4,AT$4&gt;$L265+23),"",OFFSET(Electric!$L256,0,-'Electric Calendarize'!$L265+'Electric Calendarize'!AT$4+1))</f>
        <v>498</v>
      </c>
      <c r="AU265">
        <f ca="1">IF(OR($L265&gt;AU$4,AU$4&gt;$L265+23),"",OFFSET(Electric!$L256,0,-'Electric Calendarize'!$L265+'Electric Calendarize'!AU$4+1))</f>
        <v>790</v>
      </c>
      <c r="AV265">
        <f ca="1">IF(OR($L265&gt;AV$4,AV$4&gt;$L265+23),"",OFFSET(Electric!$L256,0,-'Electric Calendarize'!$L265+'Electric Calendarize'!AV$4+1))</f>
        <v>775</v>
      </c>
      <c r="AW265">
        <f ca="1">IF(OR($L265&gt;AW$4,AW$4&gt;$L265+23),"",OFFSET(Electric!$L256,0,-'Electric Calendarize'!$L265+'Electric Calendarize'!AW$4+1))</f>
        <v>427</v>
      </c>
      <c r="AX265">
        <f ca="1">IF(OR($L265&gt;AX$4,AX$4&gt;$L265+23),"",OFFSET(Electric!$L256,0,-'Electric Calendarize'!$L265+'Electric Calendarize'!AX$4+1))</f>
        <v>305</v>
      </c>
      <c r="AY265">
        <f ca="1">IF(OR($L265&gt;AY$4,AY$4&gt;$L265+23),"",OFFSET(Electric!$L256,0,-'Electric Calendarize'!$L265+'Electric Calendarize'!AY$4+1))</f>
        <v>292</v>
      </c>
      <c r="AZ265">
        <f ca="1">IF(OR($L265&gt;AZ$4,AZ$4&gt;$L265+23),"",OFFSET(Electric!$L256,0,-'Electric Calendarize'!$L265+'Electric Calendarize'!AZ$4+1))</f>
        <v>346</v>
      </c>
      <c r="BA265">
        <f ca="1">IF(OR($L265&gt;BA$4,BA$4&gt;$L265+23),"",OFFSET(Electric!$L256,0,-'Electric Calendarize'!$L265+'Electric Calendarize'!BA$4+1))</f>
        <v>324</v>
      </c>
      <c r="BB265">
        <f ca="1">IF(OR($L265&gt;BB$4,BB$4&gt;$L265+23),"",OFFSET(Electric!$L256,0,-'Electric Calendarize'!$L265+'Electric Calendarize'!BB$4+1))</f>
        <v>593</v>
      </c>
      <c r="BC265">
        <f ca="1">IF(OR($L265&gt;BC$4,BC$4&gt;$L265+23),"",OFFSET(Electric!$L256,0,-'Electric Calendarize'!$L265+'Electric Calendarize'!BC$4+1))</f>
        <v>887</v>
      </c>
      <c r="BD265">
        <f ca="1">IF(OR($L265&gt;BD$4,BD$4&gt;$L265+23),"",OFFSET(Electric!$L256,0,-'Electric Calendarize'!$L265+'Electric Calendarize'!BD$4+1))</f>
        <v>766</v>
      </c>
      <c r="BE265">
        <f ca="1">IF(OR($L265&gt;BE$4,BE$4&gt;$L265+23),"",OFFSET(Electric!$L256,0,-'Electric Calendarize'!$L265+'Electric Calendarize'!BE$4+1))</f>
        <v>430</v>
      </c>
      <c r="BF265">
        <f ca="1">IF(OR($L265&gt;BF$4,BF$4&gt;$L265+23),"",OFFSET(Electric!$L256,0,-'Electric Calendarize'!$L265+'Electric Calendarize'!BF$4+1))</f>
        <v>416</v>
      </c>
      <c r="BG265">
        <f ca="1">IF(OR($L265&gt;BG$4,BG$4&gt;$L265+23),"",OFFSET(Electric!$L256,0,-'Electric Calendarize'!$L265+'Electric Calendarize'!BG$4+1))</f>
        <v>477</v>
      </c>
      <c r="BJ265" s="10" t="s">
        <v>37</v>
      </c>
      <c r="BK265">
        <f t="shared" si="519"/>
        <v>1</v>
      </c>
      <c r="BL265">
        <f t="shared" si="425"/>
        <v>0</v>
      </c>
      <c r="BM265">
        <f t="shared" si="426"/>
        <v>0</v>
      </c>
      <c r="BN265">
        <f t="shared" si="427"/>
        <v>0</v>
      </c>
      <c r="BO265">
        <f t="shared" si="428"/>
        <v>0</v>
      </c>
      <c r="BP265">
        <f t="shared" si="429"/>
        <v>0</v>
      </c>
      <c r="BQ265">
        <f t="shared" si="430"/>
        <v>0</v>
      </c>
      <c r="BR265">
        <f t="shared" si="431"/>
        <v>1</v>
      </c>
      <c r="BS265">
        <f t="shared" si="432"/>
        <v>1</v>
      </c>
      <c r="BT265">
        <f t="shared" si="433"/>
        <v>1</v>
      </c>
      <c r="BU265">
        <f t="shared" si="434"/>
        <v>1</v>
      </c>
      <c r="BV265">
        <f t="shared" si="435"/>
        <v>1</v>
      </c>
      <c r="BW265">
        <f t="shared" si="436"/>
        <v>1</v>
      </c>
      <c r="BX265">
        <f t="shared" si="437"/>
        <v>0</v>
      </c>
      <c r="BY265">
        <f t="shared" si="438"/>
        <v>0</v>
      </c>
      <c r="BZ265">
        <f t="shared" si="439"/>
        <v>0</v>
      </c>
      <c r="CA265">
        <f t="shared" si="440"/>
        <v>0</v>
      </c>
      <c r="CB265">
        <f t="shared" si="441"/>
        <v>0</v>
      </c>
      <c r="CC265">
        <f t="shared" si="442"/>
        <v>0</v>
      </c>
      <c r="CD265">
        <f t="shared" si="443"/>
        <v>1</v>
      </c>
      <c r="CE265">
        <f t="shared" si="444"/>
        <v>1</v>
      </c>
      <c r="CF265">
        <f t="shared" si="445"/>
        <v>1</v>
      </c>
      <c r="CG265">
        <f t="shared" si="446"/>
        <v>1</v>
      </c>
      <c r="CH265">
        <f t="shared" si="447"/>
        <v>1</v>
      </c>
      <c r="CI265">
        <f t="shared" si="448"/>
        <v>1</v>
      </c>
      <c r="CJ265">
        <f t="shared" si="449"/>
        <v>0</v>
      </c>
      <c r="CK265">
        <f t="shared" si="450"/>
        <v>0</v>
      </c>
      <c r="CL265">
        <f t="shared" si="451"/>
        <v>0</v>
      </c>
      <c r="CM265">
        <f t="shared" si="452"/>
        <v>0</v>
      </c>
      <c r="CN265">
        <f t="shared" si="453"/>
        <v>0</v>
      </c>
      <c r="CO265">
        <f t="shared" si="454"/>
        <v>0</v>
      </c>
      <c r="CP265">
        <f t="shared" si="455"/>
        <v>1</v>
      </c>
      <c r="CQ265">
        <f t="shared" si="456"/>
        <v>1</v>
      </c>
      <c r="CR265">
        <f t="shared" si="457"/>
        <v>1</v>
      </c>
      <c r="CS265">
        <f t="shared" si="458"/>
        <v>1</v>
      </c>
      <c r="CT265">
        <f t="shared" si="459"/>
        <v>1</v>
      </c>
      <c r="CU265">
        <f t="shared" si="460"/>
        <v>1</v>
      </c>
      <c r="CV265">
        <f t="shared" si="461"/>
        <v>0</v>
      </c>
      <c r="CW265">
        <f t="shared" si="462"/>
        <v>0</v>
      </c>
      <c r="CX265">
        <f t="shared" si="463"/>
        <v>0</v>
      </c>
      <c r="CY265">
        <f t="shared" si="464"/>
        <v>0</v>
      </c>
      <c r="CZ265">
        <f t="shared" si="465"/>
        <v>0</v>
      </c>
      <c r="DA265">
        <f t="shared" si="466"/>
        <v>0</v>
      </c>
      <c r="DB265">
        <f t="shared" si="467"/>
        <v>1</v>
      </c>
      <c r="DC265">
        <f t="shared" si="468"/>
        <v>1</v>
      </c>
      <c r="DF265" s="10" t="s">
        <v>37</v>
      </c>
      <c r="DG265" t="str">
        <f t="shared" si="531"/>
        <v>2023_8</v>
      </c>
      <c r="DH265" t="str">
        <f t="shared" si="531"/>
        <v>2023_8</v>
      </c>
      <c r="DI265" t="str">
        <f t="shared" si="531"/>
        <v>2023_8</v>
      </c>
      <c r="DJ265" t="str">
        <f t="shared" si="531"/>
        <v>2023_8</v>
      </c>
      <c r="DK265" t="str">
        <f t="shared" si="531"/>
        <v>2023_8</v>
      </c>
      <c r="DL265" t="str">
        <f t="shared" si="531"/>
        <v>2023_8</v>
      </c>
      <c r="DM265" t="str">
        <f t="shared" si="531"/>
        <v>2023_8</v>
      </c>
      <c r="DN265" t="str">
        <f t="shared" si="531"/>
        <v>2023_8</v>
      </c>
      <c r="DO265" t="str">
        <f t="shared" si="531"/>
        <v>2023_8</v>
      </c>
      <c r="DP265" t="str">
        <f t="shared" si="531"/>
        <v>2023_8</v>
      </c>
      <c r="DQ265" t="str">
        <f t="shared" si="531"/>
        <v>2023_8</v>
      </c>
      <c r="DR265" t="str">
        <f t="shared" si="531"/>
        <v>2023_8</v>
      </c>
      <c r="DS265" t="str">
        <f t="shared" si="531"/>
        <v>2023_8</v>
      </c>
      <c r="DT265" t="str">
        <f t="shared" si="531"/>
        <v>2023_8</v>
      </c>
      <c r="DU265" t="str">
        <f t="shared" si="531"/>
        <v>2023_8</v>
      </c>
      <c r="DV265" t="str">
        <f t="shared" si="531"/>
        <v>2023_8</v>
      </c>
      <c r="DW265" t="str">
        <f t="shared" si="530"/>
        <v>2023_8</v>
      </c>
      <c r="DX265" t="str">
        <f t="shared" si="530"/>
        <v>2023_8</v>
      </c>
      <c r="DY265" t="str">
        <f t="shared" si="530"/>
        <v>2023_8</v>
      </c>
      <c r="DZ265" t="str">
        <f t="shared" si="530"/>
        <v>2023_8</v>
      </c>
      <c r="EA265" t="str">
        <f t="shared" si="530"/>
        <v>2023_8</v>
      </c>
      <c r="EB265" t="str">
        <f t="shared" si="530"/>
        <v>2023_8</v>
      </c>
      <c r="EC265" t="str">
        <f t="shared" si="530"/>
        <v>2023_8</v>
      </c>
      <c r="ED265" t="str">
        <f t="shared" si="530"/>
        <v>2023_8</v>
      </c>
      <c r="EE265" t="str">
        <f t="shared" si="530"/>
        <v>2023_8</v>
      </c>
      <c r="EF265" t="str">
        <f t="shared" si="530"/>
        <v>2023_8</v>
      </c>
      <c r="EG265" t="str">
        <f t="shared" si="530"/>
        <v>2023_8</v>
      </c>
      <c r="EH265" t="str">
        <f t="shared" si="530"/>
        <v>2023_8</v>
      </c>
      <c r="EI265" t="str">
        <f t="shared" si="530"/>
        <v>2023_8</v>
      </c>
      <c r="EJ265" t="str">
        <f t="shared" si="530"/>
        <v>2023_8</v>
      </c>
      <c r="EK265" t="str">
        <f t="shared" si="529"/>
        <v>2023_8</v>
      </c>
      <c r="EL265" t="str">
        <f t="shared" si="529"/>
        <v>2023_8</v>
      </c>
      <c r="EM265" t="str">
        <f t="shared" si="529"/>
        <v>2023_8</v>
      </c>
      <c r="EN265" t="str">
        <f t="shared" si="529"/>
        <v>2023_8</v>
      </c>
      <c r="EO265" t="str">
        <f t="shared" si="529"/>
        <v>2023_8</v>
      </c>
      <c r="EP265" t="str">
        <f t="shared" si="529"/>
        <v>2023_8</v>
      </c>
      <c r="EQ265" t="str">
        <f t="shared" si="529"/>
        <v>2023_8</v>
      </c>
      <c r="ER265" t="str">
        <f t="shared" si="529"/>
        <v>2023_8</v>
      </c>
      <c r="ES265" t="str">
        <f t="shared" si="529"/>
        <v>2023_8</v>
      </c>
      <c r="ET265" t="str">
        <f t="shared" si="529"/>
        <v>2023_8</v>
      </c>
      <c r="EU265" t="str">
        <f t="shared" si="529"/>
        <v>2023_8</v>
      </c>
      <c r="EV265" t="str">
        <f t="shared" si="529"/>
        <v>2023_8</v>
      </c>
      <c r="EW265" t="str">
        <f t="shared" si="529"/>
        <v>2023_8</v>
      </c>
      <c r="EX265" t="str">
        <f t="shared" si="529"/>
        <v>2023_8</v>
      </c>
      <c r="EY265" t="str">
        <f t="shared" si="529"/>
        <v>2023_8</v>
      </c>
      <c r="FB265" s="10" t="s">
        <v>37</v>
      </c>
      <c r="FC265">
        <f t="shared" si="521"/>
        <v>0</v>
      </c>
      <c r="FD265">
        <f t="shared" si="471"/>
        <v>0</v>
      </c>
      <c r="FE265">
        <f t="shared" si="472"/>
        <v>0</v>
      </c>
      <c r="FF265">
        <f t="shared" si="473"/>
        <v>0</v>
      </c>
      <c r="FG265">
        <f t="shared" si="474"/>
        <v>0</v>
      </c>
      <c r="FH265">
        <f t="shared" si="475"/>
        <v>0</v>
      </c>
      <c r="FI265">
        <f t="shared" si="476"/>
        <v>0</v>
      </c>
      <c r="FJ265">
        <f t="shared" si="477"/>
        <v>0</v>
      </c>
      <c r="FK265">
        <f t="shared" si="478"/>
        <v>0</v>
      </c>
      <c r="FL265">
        <f t="shared" si="479"/>
        <v>0</v>
      </c>
      <c r="FM265">
        <f t="shared" si="480"/>
        <v>0</v>
      </c>
      <c r="FN265">
        <f t="shared" si="481"/>
        <v>0</v>
      </c>
      <c r="FO265">
        <f t="shared" si="482"/>
        <v>0</v>
      </c>
      <c r="FP265">
        <f t="shared" si="483"/>
        <v>0</v>
      </c>
      <c r="FQ265">
        <f t="shared" si="484"/>
        <v>0</v>
      </c>
      <c r="FR265">
        <f t="shared" si="485"/>
        <v>0</v>
      </c>
      <c r="FS265">
        <f t="shared" si="486"/>
        <v>0</v>
      </c>
      <c r="FT265">
        <f t="shared" si="487"/>
        <v>0</v>
      </c>
      <c r="FU265">
        <f t="shared" si="488"/>
        <v>0</v>
      </c>
      <c r="FV265">
        <f t="shared" si="489"/>
        <v>0</v>
      </c>
      <c r="FW265">
        <f t="shared" si="490"/>
        <v>0</v>
      </c>
      <c r="FX265">
        <f t="shared" si="491"/>
        <v>0</v>
      </c>
      <c r="FY265">
        <f t="shared" si="492"/>
        <v>0</v>
      </c>
      <c r="FZ265">
        <f t="shared" si="493"/>
        <v>0</v>
      </c>
      <c r="GA265">
        <f t="shared" si="494"/>
        <v>0</v>
      </c>
      <c r="GB265">
        <f t="shared" si="495"/>
        <v>0</v>
      </c>
      <c r="GC265">
        <f t="shared" si="496"/>
        <v>0</v>
      </c>
      <c r="GD265">
        <f t="shared" si="497"/>
        <v>0</v>
      </c>
      <c r="GE265">
        <f t="shared" si="498"/>
        <v>0</v>
      </c>
      <c r="GF265">
        <f t="shared" si="499"/>
        <v>0</v>
      </c>
      <c r="GG265">
        <f t="shared" si="500"/>
        <v>0</v>
      </c>
      <c r="GH265">
        <f t="shared" si="501"/>
        <v>0</v>
      </c>
      <c r="GI265">
        <f t="shared" si="502"/>
        <v>0</v>
      </c>
      <c r="GJ265">
        <f t="shared" si="503"/>
        <v>0</v>
      </c>
      <c r="GK265">
        <f t="shared" si="504"/>
        <v>0</v>
      </c>
      <c r="GL265">
        <f t="shared" si="505"/>
        <v>0</v>
      </c>
      <c r="GM265">
        <f t="shared" si="506"/>
        <v>0</v>
      </c>
      <c r="GN265">
        <f t="shared" si="507"/>
        <v>0</v>
      </c>
      <c r="GO265">
        <f t="shared" si="508"/>
        <v>0</v>
      </c>
      <c r="GP265">
        <f t="shared" si="509"/>
        <v>0</v>
      </c>
      <c r="GQ265">
        <f t="shared" si="510"/>
        <v>1</v>
      </c>
      <c r="GR265">
        <f t="shared" si="511"/>
        <v>1</v>
      </c>
      <c r="GS265">
        <f t="shared" si="512"/>
        <v>1</v>
      </c>
      <c r="GT265">
        <f t="shared" si="513"/>
        <v>1</v>
      </c>
      <c r="GU265">
        <f t="shared" si="514"/>
        <v>1</v>
      </c>
      <c r="GX265" s="10"/>
    </row>
    <row r="266" spans="1:206" x14ac:dyDescent="0.3">
      <c r="A266" s="36" t="s">
        <v>33</v>
      </c>
      <c r="B266" s="85"/>
      <c r="C266" s="36">
        <v>3062423000</v>
      </c>
      <c r="D266" s="36" t="s">
        <v>380</v>
      </c>
      <c r="E266" s="36" t="s">
        <v>34</v>
      </c>
      <c r="F266" s="36" t="s">
        <v>35</v>
      </c>
      <c r="G266" s="36" t="s">
        <v>276</v>
      </c>
      <c r="H266" s="10">
        <v>45142</v>
      </c>
      <c r="I266" s="9">
        <f t="shared" si="515"/>
        <v>2023</v>
      </c>
      <c r="J266" s="9">
        <f t="shared" si="516"/>
        <v>8</v>
      </c>
      <c r="K266" s="9" t="str">
        <f t="shared" si="517"/>
        <v>2023_8</v>
      </c>
      <c r="L266">
        <f>MAX(0,VLOOKUP($K266,lookups!$A$1:$B$45,2,0)-12)</f>
        <v>28</v>
      </c>
      <c r="M266" s="40">
        <f t="shared" si="518"/>
        <v>45139</v>
      </c>
      <c r="N266" s="10" t="s">
        <v>37</v>
      </c>
      <c r="O266" t="str">
        <f ca="1">IF(OR($L266&gt;O$4,O$4&gt;$L266+23),"",OFFSET(Electric!$L257,0,-'Electric Calendarize'!$L266+'Electric Calendarize'!O$4+1))</f>
        <v/>
      </c>
      <c r="P266" t="str">
        <f ca="1">IF(OR($L266&gt;P$4,P$4&gt;$L266+23),"",OFFSET(Electric!$L257,0,-'Electric Calendarize'!$L266+'Electric Calendarize'!P$4+1))</f>
        <v/>
      </c>
      <c r="Q266" t="str">
        <f ca="1">IF(OR($L266&gt;Q$4,Q$4&gt;$L266+23),"",OFFSET(Electric!$L257,0,-'Electric Calendarize'!$L266+'Electric Calendarize'!Q$4+1))</f>
        <v/>
      </c>
      <c r="R266" t="str">
        <f ca="1">IF(OR($L266&gt;R$4,R$4&gt;$L266+23),"",OFFSET(Electric!$L257,0,-'Electric Calendarize'!$L266+'Electric Calendarize'!R$4+1))</f>
        <v/>
      </c>
      <c r="S266" t="str">
        <f ca="1">IF(OR($L266&gt;S$4,S$4&gt;$L266+23),"",OFFSET(Electric!$L257,0,-'Electric Calendarize'!$L266+'Electric Calendarize'!S$4+1))</f>
        <v/>
      </c>
      <c r="T266" t="str">
        <f ca="1">IF(OR($L266&gt;T$4,T$4&gt;$L266+23),"",OFFSET(Electric!$L257,0,-'Electric Calendarize'!$L266+'Electric Calendarize'!T$4+1))</f>
        <v/>
      </c>
      <c r="U266" t="str">
        <f ca="1">IF(OR($L266&gt;U$4,U$4&gt;$L266+23),"",OFFSET(Electric!$L257,0,-'Electric Calendarize'!$L266+'Electric Calendarize'!U$4+1))</f>
        <v/>
      </c>
      <c r="V266" t="str">
        <f ca="1">IF(OR($L266&gt;V$4,V$4&gt;$L266+23),"",OFFSET(Electric!$L257,0,-'Electric Calendarize'!$L266+'Electric Calendarize'!V$4+1))</f>
        <v/>
      </c>
      <c r="W266" t="str">
        <f ca="1">IF(OR($L266&gt;W$4,W$4&gt;$L266+23),"",OFFSET(Electric!$L257,0,-'Electric Calendarize'!$L266+'Electric Calendarize'!W$4+1))</f>
        <v/>
      </c>
      <c r="X266" t="str">
        <f ca="1">IF(OR($L266&gt;X$4,X$4&gt;$L266+23),"",OFFSET(Electric!$L257,0,-'Electric Calendarize'!$L266+'Electric Calendarize'!X$4+1))</f>
        <v/>
      </c>
      <c r="Y266" t="str">
        <f ca="1">IF(OR($L266&gt;Y$4,Y$4&gt;$L266+23),"",OFFSET(Electric!$L257,0,-'Electric Calendarize'!$L266+'Electric Calendarize'!Y$4+1))</f>
        <v/>
      </c>
      <c r="Z266" t="str">
        <f ca="1">IF(OR($L266&gt;Z$4,Z$4&gt;$L266+23),"",OFFSET(Electric!$L257,0,-'Electric Calendarize'!$L266+'Electric Calendarize'!Z$4+1))</f>
        <v/>
      </c>
      <c r="AA266" t="str">
        <f ca="1">IF(OR($L266&gt;AA$4,AA$4&gt;$L266+23),"",OFFSET(Electric!$L257,0,-'Electric Calendarize'!$L266+'Electric Calendarize'!AA$4+1))</f>
        <v/>
      </c>
      <c r="AB266" t="str">
        <f ca="1">IF(OR($L266&gt;AB$4,AB$4&gt;$L266+23),"",OFFSET(Electric!$L257,0,-'Electric Calendarize'!$L266+'Electric Calendarize'!AB$4+1))</f>
        <v/>
      </c>
      <c r="AC266" t="str">
        <f ca="1">IF(OR($L266&gt;AC$4,AC$4&gt;$L266+23),"",OFFSET(Electric!$L257,0,-'Electric Calendarize'!$L266+'Electric Calendarize'!AC$4+1))</f>
        <v/>
      </c>
      <c r="AD266" t="str">
        <f ca="1">IF(OR($L266&gt;AD$4,AD$4&gt;$L266+23),"",OFFSET(Electric!$L257,0,-'Electric Calendarize'!$L266+'Electric Calendarize'!AD$4+1))</f>
        <v/>
      </c>
      <c r="AE266" t="str">
        <f ca="1">IF(OR($L266&gt;AE$4,AE$4&gt;$L266+23),"",OFFSET(Electric!$L257,0,-'Electric Calendarize'!$L266+'Electric Calendarize'!AE$4+1))</f>
        <v/>
      </c>
      <c r="AF266" t="str">
        <f ca="1">IF(OR($L266&gt;AF$4,AF$4&gt;$L266+23),"",OFFSET(Electric!$L257,0,-'Electric Calendarize'!$L266+'Electric Calendarize'!AF$4+1))</f>
        <v/>
      </c>
      <c r="AG266" t="str">
        <f ca="1">IF(OR($L266&gt;AG$4,AG$4&gt;$L266+23),"",OFFSET(Electric!$L257,0,-'Electric Calendarize'!$L266+'Electric Calendarize'!AG$4+1))</f>
        <v/>
      </c>
      <c r="AH266" t="str">
        <f ca="1">IF(OR($L266&gt;AH$4,AH$4&gt;$L266+23),"",OFFSET(Electric!$L257,0,-'Electric Calendarize'!$L266+'Electric Calendarize'!AH$4+1))</f>
        <v/>
      </c>
      <c r="AI266" t="str">
        <f ca="1">IF(OR($L266&gt;AI$4,AI$4&gt;$L266+23),"",OFFSET(Electric!$L257,0,-'Electric Calendarize'!$L266+'Electric Calendarize'!AI$4+1))</f>
        <v/>
      </c>
      <c r="AJ266" t="str">
        <f ca="1">IF(OR($L266&gt;AJ$4,AJ$4&gt;$L266+23),"",OFFSET(Electric!$L257,0,-'Electric Calendarize'!$L266+'Electric Calendarize'!AJ$4+1))</f>
        <v/>
      </c>
      <c r="AK266" t="str">
        <f ca="1">IF(OR($L266&gt;AK$4,AK$4&gt;$L266+23),"",OFFSET(Electric!$L257,0,-'Electric Calendarize'!$L266+'Electric Calendarize'!AK$4+1))</f>
        <v/>
      </c>
      <c r="AL266" t="str">
        <f ca="1">IF(OR($L266&gt;AL$4,AL$4&gt;$L266+23),"",OFFSET(Electric!$L257,0,-'Electric Calendarize'!$L266+'Electric Calendarize'!AL$4+1))</f>
        <v/>
      </c>
      <c r="AM266" t="str">
        <f ca="1">IF(OR($L266&gt;AM$4,AM$4&gt;$L266+23),"",OFFSET(Electric!$L257,0,-'Electric Calendarize'!$L266+'Electric Calendarize'!AM$4+1))</f>
        <v/>
      </c>
      <c r="AN266" t="str">
        <f ca="1">IF(OR($L266&gt;AN$4,AN$4&gt;$L266+23),"",OFFSET(Electric!$L257,0,-'Electric Calendarize'!$L266+'Electric Calendarize'!AN$4+1))</f>
        <v/>
      </c>
      <c r="AO266" t="str">
        <f ca="1">IF(OR($L266&gt;AO$4,AO$4&gt;$L266+23),"",OFFSET(Electric!$L257,0,-'Electric Calendarize'!$L266+'Electric Calendarize'!AO$4+1))</f>
        <v/>
      </c>
      <c r="AP266" t="str">
        <f ca="1">IF(OR($L266&gt;AP$4,AP$4&gt;$L266+23),"",OFFSET(Electric!$L257,0,-'Electric Calendarize'!$L266+'Electric Calendarize'!AP$4+1))</f>
        <v/>
      </c>
      <c r="AQ266">
        <f ca="1">IF(OR($L266&gt;AQ$4,AQ$4&gt;$L266+23),"",OFFSET(Electric!$L257,0,-'Electric Calendarize'!$L266+'Electric Calendarize'!AQ$4+1))</f>
        <v>0</v>
      </c>
      <c r="AR266">
        <f ca="1">IF(OR($L266&gt;AR$4,AR$4&gt;$L266+23),"",OFFSET(Electric!$L257,0,-'Electric Calendarize'!$L266+'Electric Calendarize'!AR$4+1))</f>
        <v>0</v>
      </c>
      <c r="AS266">
        <f ca="1">IF(OR($L266&gt;AS$4,AS$4&gt;$L266+23),"",OFFSET(Electric!$L257,0,-'Electric Calendarize'!$L266+'Electric Calendarize'!AS$4+1))</f>
        <v>0</v>
      </c>
      <c r="AT266">
        <f ca="1">IF(OR($L266&gt;AT$4,AT$4&gt;$L266+23),"",OFFSET(Electric!$L257,0,-'Electric Calendarize'!$L266+'Electric Calendarize'!AT$4+1))</f>
        <v>0</v>
      </c>
      <c r="AU266">
        <f ca="1">IF(OR($L266&gt;AU$4,AU$4&gt;$L266+23),"",OFFSET(Electric!$L257,0,-'Electric Calendarize'!$L266+'Electric Calendarize'!AU$4+1))</f>
        <v>0</v>
      </c>
      <c r="AV266">
        <f ca="1">IF(OR($L266&gt;AV$4,AV$4&gt;$L266+23),"",OFFSET(Electric!$L257,0,-'Electric Calendarize'!$L266+'Electric Calendarize'!AV$4+1))</f>
        <v>0</v>
      </c>
      <c r="AW266">
        <f ca="1">IF(OR($L266&gt;AW$4,AW$4&gt;$L266+23),"",OFFSET(Electric!$L257,0,-'Electric Calendarize'!$L266+'Electric Calendarize'!AW$4+1))</f>
        <v>0</v>
      </c>
      <c r="AX266">
        <f ca="1">IF(OR($L266&gt;AX$4,AX$4&gt;$L266+23),"",OFFSET(Electric!$L257,0,-'Electric Calendarize'!$L266+'Electric Calendarize'!AX$4+1))</f>
        <v>0</v>
      </c>
      <c r="AY266">
        <f ca="1">IF(OR($L266&gt;AY$4,AY$4&gt;$L266+23),"",OFFSET(Electric!$L257,0,-'Electric Calendarize'!$L266+'Electric Calendarize'!AY$4+1))</f>
        <v>0</v>
      </c>
      <c r="AZ266">
        <f ca="1">IF(OR($L266&gt;AZ$4,AZ$4&gt;$L266+23),"",OFFSET(Electric!$L257,0,-'Electric Calendarize'!$L266+'Electric Calendarize'!AZ$4+1))</f>
        <v>0</v>
      </c>
      <c r="BA266">
        <f ca="1">IF(OR($L266&gt;BA$4,BA$4&gt;$L266+23),"",OFFSET(Electric!$L257,0,-'Electric Calendarize'!$L266+'Electric Calendarize'!BA$4+1))</f>
        <v>0</v>
      </c>
      <c r="BB266">
        <f ca="1">IF(OR($L266&gt;BB$4,BB$4&gt;$L266+23),"",OFFSET(Electric!$L257,0,-'Electric Calendarize'!$L266+'Electric Calendarize'!BB$4+1))</f>
        <v>0</v>
      </c>
      <c r="BC266">
        <f ca="1">IF(OR($L266&gt;BC$4,BC$4&gt;$L266+23),"",OFFSET(Electric!$L257,0,-'Electric Calendarize'!$L266+'Electric Calendarize'!BC$4+1))</f>
        <v>0</v>
      </c>
      <c r="BD266">
        <f ca="1">IF(OR($L266&gt;BD$4,BD$4&gt;$L266+23),"",OFFSET(Electric!$L257,0,-'Electric Calendarize'!$L266+'Electric Calendarize'!BD$4+1))</f>
        <v>0</v>
      </c>
      <c r="BE266">
        <f ca="1">IF(OR($L266&gt;BE$4,BE$4&gt;$L266+23),"",OFFSET(Electric!$L257,0,-'Electric Calendarize'!$L266+'Electric Calendarize'!BE$4+1))</f>
        <v>0</v>
      </c>
      <c r="BF266">
        <f ca="1">IF(OR($L266&gt;BF$4,BF$4&gt;$L266+23),"",OFFSET(Electric!$L257,0,-'Electric Calendarize'!$L266+'Electric Calendarize'!BF$4+1))</f>
        <v>0</v>
      </c>
      <c r="BG266">
        <f ca="1">IF(OR($L266&gt;BG$4,BG$4&gt;$L266+23),"",OFFSET(Electric!$L257,0,-'Electric Calendarize'!$L266+'Electric Calendarize'!BG$4+1))</f>
        <v>0</v>
      </c>
      <c r="BJ266" s="10" t="s">
        <v>37</v>
      </c>
      <c r="BK266">
        <f t="shared" si="519"/>
        <v>1</v>
      </c>
      <c r="BL266">
        <f t="shared" si="425"/>
        <v>0</v>
      </c>
      <c r="BM266">
        <f t="shared" si="426"/>
        <v>0</v>
      </c>
      <c r="BN266">
        <f t="shared" si="427"/>
        <v>0</v>
      </c>
      <c r="BO266">
        <f t="shared" si="428"/>
        <v>0</v>
      </c>
      <c r="BP266">
        <f t="shared" si="429"/>
        <v>0</v>
      </c>
      <c r="BQ266">
        <f t="shared" si="430"/>
        <v>0</v>
      </c>
      <c r="BR266">
        <f t="shared" si="431"/>
        <v>1</v>
      </c>
      <c r="BS266">
        <f t="shared" si="432"/>
        <v>1</v>
      </c>
      <c r="BT266">
        <f t="shared" si="433"/>
        <v>1</v>
      </c>
      <c r="BU266">
        <f t="shared" si="434"/>
        <v>1</v>
      </c>
      <c r="BV266">
        <f t="shared" si="435"/>
        <v>1</v>
      </c>
      <c r="BW266">
        <f t="shared" si="436"/>
        <v>1</v>
      </c>
      <c r="BX266">
        <f t="shared" si="437"/>
        <v>0</v>
      </c>
      <c r="BY266">
        <f t="shared" si="438"/>
        <v>0</v>
      </c>
      <c r="BZ266">
        <f t="shared" si="439"/>
        <v>0</v>
      </c>
      <c r="CA266">
        <f t="shared" si="440"/>
        <v>0</v>
      </c>
      <c r="CB266">
        <f t="shared" si="441"/>
        <v>0</v>
      </c>
      <c r="CC266">
        <f t="shared" si="442"/>
        <v>0</v>
      </c>
      <c r="CD266">
        <f t="shared" si="443"/>
        <v>1</v>
      </c>
      <c r="CE266">
        <f t="shared" si="444"/>
        <v>1</v>
      </c>
      <c r="CF266">
        <f t="shared" si="445"/>
        <v>1</v>
      </c>
      <c r="CG266">
        <f t="shared" si="446"/>
        <v>1</v>
      </c>
      <c r="CH266">
        <f t="shared" si="447"/>
        <v>1</v>
      </c>
      <c r="CI266">
        <f t="shared" si="448"/>
        <v>1</v>
      </c>
      <c r="CJ266">
        <f t="shared" si="449"/>
        <v>0</v>
      </c>
      <c r="CK266">
        <f t="shared" si="450"/>
        <v>0</v>
      </c>
      <c r="CL266">
        <f t="shared" si="451"/>
        <v>0</v>
      </c>
      <c r="CM266">
        <f t="shared" si="452"/>
        <v>0</v>
      </c>
      <c r="CN266">
        <f t="shared" si="453"/>
        <v>0</v>
      </c>
      <c r="CO266">
        <f t="shared" si="454"/>
        <v>0</v>
      </c>
      <c r="CP266">
        <f t="shared" si="455"/>
        <v>1</v>
      </c>
      <c r="CQ266">
        <f t="shared" si="456"/>
        <v>1</v>
      </c>
      <c r="CR266">
        <f t="shared" si="457"/>
        <v>1</v>
      </c>
      <c r="CS266">
        <f t="shared" si="458"/>
        <v>1</v>
      </c>
      <c r="CT266">
        <f t="shared" si="459"/>
        <v>1</v>
      </c>
      <c r="CU266">
        <f t="shared" si="460"/>
        <v>1</v>
      </c>
      <c r="CV266">
        <f t="shared" si="461"/>
        <v>0</v>
      </c>
      <c r="CW266">
        <f t="shared" si="462"/>
        <v>0</v>
      </c>
      <c r="CX266">
        <f t="shared" si="463"/>
        <v>0</v>
      </c>
      <c r="CY266">
        <f t="shared" si="464"/>
        <v>0</v>
      </c>
      <c r="CZ266">
        <f t="shared" si="465"/>
        <v>0</v>
      </c>
      <c r="DA266">
        <f t="shared" si="466"/>
        <v>0</v>
      </c>
      <c r="DB266">
        <f t="shared" si="467"/>
        <v>1</v>
      </c>
      <c r="DC266">
        <f t="shared" si="468"/>
        <v>1</v>
      </c>
      <c r="DF266" s="10" t="s">
        <v>37</v>
      </c>
      <c r="DG266" t="str">
        <f t="shared" si="531"/>
        <v>2023_8</v>
      </c>
      <c r="DH266" t="str">
        <f t="shared" si="531"/>
        <v>2023_8</v>
      </c>
      <c r="DI266" t="str">
        <f t="shared" si="531"/>
        <v>2023_8</v>
      </c>
      <c r="DJ266" t="str">
        <f t="shared" si="531"/>
        <v>2023_8</v>
      </c>
      <c r="DK266" t="str">
        <f t="shared" si="531"/>
        <v>2023_8</v>
      </c>
      <c r="DL266" t="str">
        <f t="shared" si="531"/>
        <v>2023_8</v>
      </c>
      <c r="DM266" t="str">
        <f t="shared" si="531"/>
        <v>2023_8</v>
      </c>
      <c r="DN266" t="str">
        <f t="shared" si="531"/>
        <v>2023_8</v>
      </c>
      <c r="DO266" t="str">
        <f t="shared" si="531"/>
        <v>2023_8</v>
      </c>
      <c r="DP266" t="str">
        <f t="shared" si="531"/>
        <v>2023_8</v>
      </c>
      <c r="DQ266" t="str">
        <f t="shared" si="531"/>
        <v>2023_8</v>
      </c>
      <c r="DR266" t="str">
        <f t="shared" si="531"/>
        <v>2023_8</v>
      </c>
      <c r="DS266" t="str">
        <f t="shared" si="531"/>
        <v>2023_8</v>
      </c>
      <c r="DT266" t="str">
        <f t="shared" si="531"/>
        <v>2023_8</v>
      </c>
      <c r="DU266" t="str">
        <f t="shared" si="531"/>
        <v>2023_8</v>
      </c>
      <c r="DV266" t="str">
        <f t="shared" si="531"/>
        <v>2023_8</v>
      </c>
      <c r="DW266" t="str">
        <f t="shared" si="530"/>
        <v>2023_8</v>
      </c>
      <c r="DX266" t="str">
        <f t="shared" si="530"/>
        <v>2023_8</v>
      </c>
      <c r="DY266" t="str">
        <f t="shared" si="530"/>
        <v>2023_8</v>
      </c>
      <c r="DZ266" t="str">
        <f t="shared" si="530"/>
        <v>2023_8</v>
      </c>
      <c r="EA266" t="str">
        <f t="shared" si="530"/>
        <v>2023_8</v>
      </c>
      <c r="EB266" t="str">
        <f t="shared" si="530"/>
        <v>2023_8</v>
      </c>
      <c r="EC266" t="str">
        <f t="shared" si="530"/>
        <v>2023_8</v>
      </c>
      <c r="ED266" t="str">
        <f t="shared" si="530"/>
        <v>2023_8</v>
      </c>
      <c r="EE266" t="str">
        <f t="shared" si="530"/>
        <v>2023_8</v>
      </c>
      <c r="EF266" t="str">
        <f t="shared" si="530"/>
        <v>2023_8</v>
      </c>
      <c r="EG266" t="str">
        <f t="shared" si="530"/>
        <v>2023_8</v>
      </c>
      <c r="EH266" t="str">
        <f t="shared" si="530"/>
        <v>2023_8</v>
      </c>
      <c r="EI266" t="str">
        <f t="shared" si="530"/>
        <v>2023_8</v>
      </c>
      <c r="EJ266" t="str">
        <f t="shared" si="530"/>
        <v>2023_8</v>
      </c>
      <c r="EK266" t="str">
        <f t="shared" si="530"/>
        <v>2023_8</v>
      </c>
      <c r="EL266" t="str">
        <f t="shared" si="530"/>
        <v>2023_8</v>
      </c>
      <c r="EM266" t="str">
        <f t="shared" ref="EM266:EY274" si="532">$K266</f>
        <v>2023_8</v>
      </c>
      <c r="EN266" t="str">
        <f t="shared" si="532"/>
        <v>2023_8</v>
      </c>
      <c r="EO266" t="str">
        <f t="shared" si="532"/>
        <v>2023_8</v>
      </c>
      <c r="EP266" t="str">
        <f t="shared" si="532"/>
        <v>2023_8</v>
      </c>
      <c r="EQ266" t="str">
        <f t="shared" si="532"/>
        <v>2023_8</v>
      </c>
      <c r="ER266" t="str">
        <f t="shared" si="532"/>
        <v>2023_8</v>
      </c>
      <c r="ES266" t="str">
        <f t="shared" si="532"/>
        <v>2023_8</v>
      </c>
      <c r="ET266" t="str">
        <f t="shared" si="532"/>
        <v>2023_8</v>
      </c>
      <c r="EU266" t="str">
        <f t="shared" si="532"/>
        <v>2023_8</v>
      </c>
      <c r="EV266" t="str">
        <f t="shared" si="532"/>
        <v>2023_8</v>
      </c>
      <c r="EW266" t="str">
        <f t="shared" si="532"/>
        <v>2023_8</v>
      </c>
      <c r="EX266" t="str">
        <f t="shared" si="532"/>
        <v>2023_8</v>
      </c>
      <c r="EY266" t="str">
        <f t="shared" si="532"/>
        <v>2023_8</v>
      </c>
      <c r="FB266" s="10" t="s">
        <v>37</v>
      </c>
      <c r="FC266">
        <f t="shared" si="521"/>
        <v>0</v>
      </c>
      <c r="FD266">
        <f t="shared" si="471"/>
        <v>0</v>
      </c>
      <c r="FE266">
        <f t="shared" si="472"/>
        <v>0</v>
      </c>
      <c r="FF266">
        <f t="shared" si="473"/>
        <v>0</v>
      </c>
      <c r="FG266">
        <f t="shared" si="474"/>
        <v>0</v>
      </c>
      <c r="FH266">
        <f t="shared" si="475"/>
        <v>0</v>
      </c>
      <c r="FI266">
        <f t="shared" si="476"/>
        <v>0</v>
      </c>
      <c r="FJ266">
        <f t="shared" si="477"/>
        <v>0</v>
      </c>
      <c r="FK266">
        <f t="shared" si="478"/>
        <v>0</v>
      </c>
      <c r="FL266">
        <f t="shared" si="479"/>
        <v>0</v>
      </c>
      <c r="FM266">
        <f t="shared" si="480"/>
        <v>0</v>
      </c>
      <c r="FN266">
        <f t="shared" si="481"/>
        <v>0</v>
      </c>
      <c r="FO266">
        <f t="shared" si="482"/>
        <v>0</v>
      </c>
      <c r="FP266">
        <f t="shared" si="483"/>
        <v>0</v>
      </c>
      <c r="FQ266">
        <f t="shared" si="484"/>
        <v>0</v>
      </c>
      <c r="FR266">
        <f t="shared" si="485"/>
        <v>0</v>
      </c>
      <c r="FS266">
        <f t="shared" si="486"/>
        <v>0</v>
      </c>
      <c r="FT266">
        <f t="shared" si="487"/>
        <v>0</v>
      </c>
      <c r="FU266">
        <f t="shared" si="488"/>
        <v>0</v>
      </c>
      <c r="FV266">
        <f t="shared" si="489"/>
        <v>0</v>
      </c>
      <c r="FW266">
        <f t="shared" si="490"/>
        <v>0</v>
      </c>
      <c r="FX266">
        <f t="shared" si="491"/>
        <v>0</v>
      </c>
      <c r="FY266">
        <f t="shared" si="492"/>
        <v>0</v>
      </c>
      <c r="FZ266">
        <f t="shared" si="493"/>
        <v>0</v>
      </c>
      <c r="GA266">
        <f t="shared" si="494"/>
        <v>0</v>
      </c>
      <c r="GB266">
        <f t="shared" si="495"/>
        <v>0</v>
      </c>
      <c r="GC266">
        <f t="shared" si="496"/>
        <v>0</v>
      </c>
      <c r="GD266">
        <f t="shared" si="497"/>
        <v>0</v>
      </c>
      <c r="GE266">
        <f t="shared" si="498"/>
        <v>0</v>
      </c>
      <c r="GF266">
        <f t="shared" si="499"/>
        <v>0</v>
      </c>
      <c r="GG266">
        <f t="shared" si="500"/>
        <v>0</v>
      </c>
      <c r="GH266">
        <f t="shared" si="501"/>
        <v>0</v>
      </c>
      <c r="GI266">
        <f t="shared" si="502"/>
        <v>0</v>
      </c>
      <c r="GJ266">
        <f t="shared" si="503"/>
        <v>0</v>
      </c>
      <c r="GK266">
        <f t="shared" si="504"/>
        <v>0</v>
      </c>
      <c r="GL266">
        <f t="shared" si="505"/>
        <v>0</v>
      </c>
      <c r="GM266">
        <f t="shared" si="506"/>
        <v>0</v>
      </c>
      <c r="GN266">
        <f t="shared" si="507"/>
        <v>0</v>
      </c>
      <c r="GO266">
        <f t="shared" si="508"/>
        <v>0</v>
      </c>
      <c r="GP266">
        <f t="shared" si="509"/>
        <v>0</v>
      </c>
      <c r="GQ266">
        <f t="shared" si="510"/>
        <v>1</v>
      </c>
      <c r="GR266">
        <f t="shared" si="511"/>
        <v>1</v>
      </c>
      <c r="GS266">
        <f t="shared" si="512"/>
        <v>1</v>
      </c>
      <c r="GT266">
        <f t="shared" si="513"/>
        <v>1</v>
      </c>
      <c r="GU266">
        <f t="shared" si="514"/>
        <v>1</v>
      </c>
      <c r="GX266" s="10"/>
    </row>
    <row r="267" spans="1:206" x14ac:dyDescent="0.3">
      <c r="A267" s="9" t="s">
        <v>124</v>
      </c>
      <c r="B267" s="80"/>
      <c r="C267" s="9">
        <v>3130326000</v>
      </c>
      <c r="D267" s="9" t="s">
        <v>417</v>
      </c>
      <c r="E267" s="9" t="s">
        <v>39</v>
      </c>
      <c r="F267" s="9" t="s">
        <v>35</v>
      </c>
      <c r="G267" s="9" t="s">
        <v>277</v>
      </c>
      <c r="H267" s="10">
        <v>45168</v>
      </c>
      <c r="I267" s="9">
        <f t="shared" si="515"/>
        <v>2023</v>
      </c>
      <c r="J267" s="9">
        <f t="shared" si="516"/>
        <v>8</v>
      </c>
      <c r="K267" s="9" t="str">
        <f t="shared" si="517"/>
        <v>2023_8</v>
      </c>
      <c r="L267">
        <f>MAX(0,VLOOKUP($K267,lookups!$A$1:$B$45,2,0)-12)</f>
        <v>28</v>
      </c>
      <c r="M267" s="40">
        <f t="shared" si="518"/>
        <v>45139</v>
      </c>
      <c r="N267" s="10" t="s">
        <v>37</v>
      </c>
      <c r="O267" t="str">
        <f ca="1">IF(OR($L267&gt;O$4,O$4&gt;$L267+23),"",OFFSET(Electric!$L258,0,-'Electric Calendarize'!$L267+'Electric Calendarize'!O$4+1))</f>
        <v/>
      </c>
      <c r="P267" t="str">
        <f ca="1">IF(OR($L267&gt;P$4,P$4&gt;$L267+23),"",OFFSET(Electric!$L258,0,-'Electric Calendarize'!$L267+'Electric Calendarize'!P$4+1))</f>
        <v/>
      </c>
      <c r="Q267" t="str">
        <f ca="1">IF(OR($L267&gt;Q$4,Q$4&gt;$L267+23),"",OFFSET(Electric!$L258,0,-'Electric Calendarize'!$L267+'Electric Calendarize'!Q$4+1))</f>
        <v/>
      </c>
      <c r="R267" t="str">
        <f ca="1">IF(OR($L267&gt;R$4,R$4&gt;$L267+23),"",OFFSET(Electric!$L258,0,-'Electric Calendarize'!$L267+'Electric Calendarize'!R$4+1))</f>
        <v/>
      </c>
      <c r="S267" t="str">
        <f ca="1">IF(OR($L267&gt;S$4,S$4&gt;$L267+23),"",OFFSET(Electric!$L258,0,-'Electric Calendarize'!$L267+'Electric Calendarize'!S$4+1))</f>
        <v/>
      </c>
      <c r="T267" t="str">
        <f ca="1">IF(OR($L267&gt;T$4,T$4&gt;$L267+23),"",OFFSET(Electric!$L258,0,-'Electric Calendarize'!$L267+'Electric Calendarize'!T$4+1))</f>
        <v/>
      </c>
      <c r="U267" t="str">
        <f ca="1">IF(OR($L267&gt;U$4,U$4&gt;$L267+23),"",OFFSET(Electric!$L258,0,-'Electric Calendarize'!$L267+'Electric Calendarize'!U$4+1))</f>
        <v/>
      </c>
      <c r="V267" t="str">
        <f ca="1">IF(OR($L267&gt;V$4,V$4&gt;$L267+23),"",OFFSET(Electric!$L258,0,-'Electric Calendarize'!$L267+'Electric Calendarize'!V$4+1))</f>
        <v/>
      </c>
      <c r="W267" t="str">
        <f ca="1">IF(OR($L267&gt;W$4,W$4&gt;$L267+23),"",OFFSET(Electric!$L258,0,-'Electric Calendarize'!$L267+'Electric Calendarize'!W$4+1))</f>
        <v/>
      </c>
      <c r="X267" t="str">
        <f ca="1">IF(OR($L267&gt;X$4,X$4&gt;$L267+23),"",OFFSET(Electric!$L258,0,-'Electric Calendarize'!$L267+'Electric Calendarize'!X$4+1))</f>
        <v/>
      </c>
      <c r="Y267" t="str">
        <f ca="1">IF(OR($L267&gt;Y$4,Y$4&gt;$L267+23),"",OFFSET(Electric!$L258,0,-'Electric Calendarize'!$L267+'Electric Calendarize'!Y$4+1))</f>
        <v/>
      </c>
      <c r="Z267" t="str">
        <f ca="1">IF(OR($L267&gt;Z$4,Z$4&gt;$L267+23),"",OFFSET(Electric!$L258,0,-'Electric Calendarize'!$L267+'Electric Calendarize'!Z$4+1))</f>
        <v/>
      </c>
      <c r="AA267" t="str">
        <f ca="1">IF(OR($L267&gt;AA$4,AA$4&gt;$L267+23),"",OFFSET(Electric!$L258,0,-'Electric Calendarize'!$L267+'Electric Calendarize'!AA$4+1))</f>
        <v/>
      </c>
      <c r="AB267" t="str">
        <f ca="1">IF(OR($L267&gt;AB$4,AB$4&gt;$L267+23),"",OFFSET(Electric!$L258,0,-'Electric Calendarize'!$L267+'Electric Calendarize'!AB$4+1))</f>
        <v/>
      </c>
      <c r="AC267" t="str">
        <f ca="1">IF(OR($L267&gt;AC$4,AC$4&gt;$L267+23),"",OFFSET(Electric!$L258,0,-'Electric Calendarize'!$L267+'Electric Calendarize'!AC$4+1))</f>
        <v/>
      </c>
      <c r="AD267" t="str">
        <f ca="1">IF(OR($L267&gt;AD$4,AD$4&gt;$L267+23),"",OFFSET(Electric!$L258,0,-'Electric Calendarize'!$L267+'Electric Calendarize'!AD$4+1))</f>
        <v/>
      </c>
      <c r="AE267" t="str">
        <f ca="1">IF(OR($L267&gt;AE$4,AE$4&gt;$L267+23),"",OFFSET(Electric!$L258,0,-'Electric Calendarize'!$L267+'Electric Calendarize'!AE$4+1))</f>
        <v/>
      </c>
      <c r="AF267" t="str">
        <f ca="1">IF(OR($L267&gt;AF$4,AF$4&gt;$L267+23),"",OFFSET(Electric!$L258,0,-'Electric Calendarize'!$L267+'Electric Calendarize'!AF$4+1))</f>
        <v/>
      </c>
      <c r="AG267" t="str">
        <f ca="1">IF(OR($L267&gt;AG$4,AG$4&gt;$L267+23),"",OFFSET(Electric!$L258,0,-'Electric Calendarize'!$L267+'Electric Calendarize'!AG$4+1))</f>
        <v/>
      </c>
      <c r="AH267" t="str">
        <f ca="1">IF(OR($L267&gt;AH$4,AH$4&gt;$L267+23),"",OFFSET(Electric!$L258,0,-'Electric Calendarize'!$L267+'Electric Calendarize'!AH$4+1))</f>
        <v/>
      </c>
      <c r="AI267" t="str">
        <f ca="1">IF(OR($L267&gt;AI$4,AI$4&gt;$L267+23),"",OFFSET(Electric!$L258,0,-'Electric Calendarize'!$L267+'Electric Calendarize'!AI$4+1))</f>
        <v/>
      </c>
      <c r="AJ267" t="str">
        <f ca="1">IF(OR($L267&gt;AJ$4,AJ$4&gt;$L267+23),"",OFFSET(Electric!$L258,0,-'Electric Calendarize'!$L267+'Electric Calendarize'!AJ$4+1))</f>
        <v/>
      </c>
      <c r="AK267" t="str">
        <f ca="1">IF(OR($L267&gt;AK$4,AK$4&gt;$L267+23),"",OFFSET(Electric!$L258,0,-'Electric Calendarize'!$L267+'Electric Calendarize'!AK$4+1))</f>
        <v/>
      </c>
      <c r="AL267" t="str">
        <f ca="1">IF(OR($L267&gt;AL$4,AL$4&gt;$L267+23),"",OFFSET(Electric!$L258,0,-'Electric Calendarize'!$L267+'Electric Calendarize'!AL$4+1))</f>
        <v/>
      </c>
      <c r="AM267" t="str">
        <f ca="1">IF(OR($L267&gt;AM$4,AM$4&gt;$L267+23),"",OFFSET(Electric!$L258,0,-'Electric Calendarize'!$L267+'Electric Calendarize'!AM$4+1))</f>
        <v/>
      </c>
      <c r="AN267" t="str">
        <f ca="1">IF(OR($L267&gt;AN$4,AN$4&gt;$L267+23),"",OFFSET(Electric!$L258,0,-'Electric Calendarize'!$L267+'Electric Calendarize'!AN$4+1))</f>
        <v/>
      </c>
      <c r="AO267" t="str">
        <f ca="1">IF(OR($L267&gt;AO$4,AO$4&gt;$L267+23),"",OFFSET(Electric!$L258,0,-'Electric Calendarize'!$L267+'Electric Calendarize'!AO$4+1))</f>
        <v/>
      </c>
      <c r="AP267" t="str">
        <f ca="1">IF(OR($L267&gt;AP$4,AP$4&gt;$L267+23),"",OFFSET(Electric!$L258,0,-'Electric Calendarize'!$L267+'Electric Calendarize'!AP$4+1))</f>
        <v/>
      </c>
      <c r="AQ267">
        <f ca="1">IF(OR($L267&gt;AQ$4,AQ$4&gt;$L267+23),"",OFFSET(Electric!$L258,0,-'Electric Calendarize'!$L267+'Electric Calendarize'!AQ$4+1))</f>
        <v>665</v>
      </c>
      <c r="AR267">
        <f ca="1">IF(OR($L267&gt;AR$4,AR$4&gt;$L267+23),"",OFFSET(Electric!$L258,0,-'Electric Calendarize'!$L267+'Electric Calendarize'!AR$4+1))</f>
        <v>455</v>
      </c>
      <c r="AS267">
        <f ca="1">IF(OR($L267&gt;AS$4,AS$4&gt;$L267+23),"",OFFSET(Electric!$L258,0,-'Electric Calendarize'!$L267+'Electric Calendarize'!AS$4+1))</f>
        <v>481</v>
      </c>
      <c r="AT267">
        <f ca="1">IF(OR($L267&gt;AT$4,AT$4&gt;$L267+23),"",OFFSET(Electric!$L258,0,-'Electric Calendarize'!$L267+'Electric Calendarize'!AT$4+1))</f>
        <v>340</v>
      </c>
      <c r="AU267">
        <f ca="1">IF(OR($L267&gt;AU$4,AU$4&gt;$L267+23),"",OFFSET(Electric!$L258,0,-'Electric Calendarize'!$L267+'Electric Calendarize'!AU$4+1))</f>
        <v>330</v>
      </c>
      <c r="AV267">
        <f ca="1">IF(OR($L267&gt;AV$4,AV$4&gt;$L267+23),"",OFFSET(Electric!$L258,0,-'Electric Calendarize'!$L267+'Electric Calendarize'!AV$4+1))</f>
        <v>376</v>
      </c>
      <c r="AW267">
        <f ca="1">IF(OR($L267&gt;AW$4,AW$4&gt;$L267+23),"",OFFSET(Electric!$L258,0,-'Electric Calendarize'!$L267+'Electric Calendarize'!AW$4+1))</f>
        <v>309</v>
      </c>
      <c r="AX267">
        <f ca="1">IF(OR($L267&gt;AX$4,AX$4&gt;$L267+23),"",OFFSET(Electric!$L258,0,-'Electric Calendarize'!$L267+'Electric Calendarize'!AX$4+1))</f>
        <v>300</v>
      </c>
      <c r="AY267">
        <f ca="1">IF(OR($L267&gt;AY$4,AY$4&gt;$L267+23),"",OFFSET(Electric!$L258,0,-'Electric Calendarize'!$L267+'Electric Calendarize'!AY$4+1))</f>
        <v>292</v>
      </c>
      <c r="AZ267">
        <f ca="1">IF(OR($L267&gt;AZ$4,AZ$4&gt;$L267+23),"",OFFSET(Electric!$L258,0,-'Electric Calendarize'!$L267+'Electric Calendarize'!AZ$4+1))</f>
        <v>303</v>
      </c>
      <c r="BA267">
        <f ca="1">IF(OR($L267&gt;BA$4,BA$4&gt;$L267+23),"",OFFSET(Electric!$L258,0,-'Electric Calendarize'!$L267+'Electric Calendarize'!BA$4+1))</f>
        <v>334</v>
      </c>
      <c r="BB267">
        <f ca="1">IF(OR($L267&gt;BB$4,BB$4&gt;$L267+23),"",OFFSET(Electric!$L258,0,-'Electric Calendarize'!$L267+'Electric Calendarize'!BB$4+1))</f>
        <v>443</v>
      </c>
      <c r="BC267">
        <f ca="1">IF(OR($L267&gt;BC$4,BC$4&gt;$L267+23),"",OFFSET(Electric!$L258,0,-'Electric Calendarize'!$L267+'Electric Calendarize'!BC$4+1))</f>
        <v>313</v>
      </c>
      <c r="BD267">
        <f ca="1">IF(OR($L267&gt;BD$4,BD$4&gt;$L267+23),"",OFFSET(Electric!$L258,0,-'Electric Calendarize'!$L267+'Electric Calendarize'!BD$4+1))</f>
        <v>392</v>
      </c>
      <c r="BE267">
        <f ca="1">IF(OR($L267&gt;BE$4,BE$4&gt;$L267+23),"",OFFSET(Electric!$L258,0,-'Electric Calendarize'!$L267+'Electric Calendarize'!BE$4+1))</f>
        <v>532</v>
      </c>
      <c r="BF267">
        <f ca="1">IF(OR($L267&gt;BF$4,BF$4&gt;$L267+23),"",OFFSET(Electric!$L258,0,-'Electric Calendarize'!$L267+'Electric Calendarize'!BF$4+1))</f>
        <v>577</v>
      </c>
      <c r="BG267">
        <f ca="1">IF(OR($L267&gt;BG$4,BG$4&gt;$L267+23),"",OFFSET(Electric!$L258,0,-'Electric Calendarize'!$L267+'Electric Calendarize'!BG$4+1))</f>
        <v>0</v>
      </c>
      <c r="BJ267" s="10" t="s">
        <v>37</v>
      </c>
      <c r="BK267">
        <f t="shared" si="519"/>
        <v>1</v>
      </c>
      <c r="BL267">
        <f t="shared" ref="BL267:BL274" si="533">+P$8</f>
        <v>0</v>
      </c>
      <c r="BM267">
        <f t="shared" ref="BM267:BM274" si="534">+Q$8</f>
        <v>0</v>
      </c>
      <c r="BN267">
        <f t="shared" ref="BN267:BN274" si="535">+R$8</f>
        <v>0</v>
      </c>
      <c r="BO267">
        <f t="shared" ref="BO267:BO274" si="536">+S$8</f>
        <v>0</v>
      </c>
      <c r="BP267">
        <f t="shared" ref="BP267:BP274" si="537">+T$8</f>
        <v>0</v>
      </c>
      <c r="BQ267">
        <f t="shared" ref="BQ267:BQ274" si="538">+U$8</f>
        <v>0</v>
      </c>
      <c r="BR267">
        <f t="shared" ref="BR267:BR274" si="539">+V$8</f>
        <v>1</v>
      </c>
      <c r="BS267">
        <f t="shared" ref="BS267:BS274" si="540">+W$8</f>
        <v>1</v>
      </c>
      <c r="BT267">
        <f t="shared" ref="BT267:BT274" si="541">+X$8</f>
        <v>1</v>
      </c>
      <c r="BU267">
        <f t="shared" ref="BU267:BU274" si="542">+Y$8</f>
        <v>1</v>
      </c>
      <c r="BV267">
        <f t="shared" ref="BV267:BV274" si="543">+Z$8</f>
        <v>1</v>
      </c>
      <c r="BW267">
        <f t="shared" ref="BW267:BW274" si="544">+AA$8</f>
        <v>1</v>
      </c>
      <c r="BX267">
        <f t="shared" ref="BX267:BX274" si="545">+AB$8</f>
        <v>0</v>
      </c>
      <c r="BY267">
        <f t="shared" ref="BY267:BY274" si="546">+AC$8</f>
        <v>0</v>
      </c>
      <c r="BZ267">
        <f t="shared" ref="BZ267:BZ274" si="547">+AD$8</f>
        <v>0</v>
      </c>
      <c r="CA267">
        <f t="shared" ref="CA267:CA274" si="548">+AE$8</f>
        <v>0</v>
      </c>
      <c r="CB267">
        <f t="shared" ref="CB267:CB274" si="549">+AF$8</f>
        <v>0</v>
      </c>
      <c r="CC267">
        <f t="shared" ref="CC267:CC274" si="550">+AG$8</f>
        <v>0</v>
      </c>
      <c r="CD267">
        <f t="shared" ref="CD267:CD274" si="551">+AH$8</f>
        <v>1</v>
      </c>
      <c r="CE267">
        <f t="shared" ref="CE267:CE274" si="552">+AI$8</f>
        <v>1</v>
      </c>
      <c r="CF267">
        <f t="shared" ref="CF267:CF274" si="553">+AJ$8</f>
        <v>1</v>
      </c>
      <c r="CG267">
        <f t="shared" ref="CG267:CG274" si="554">+AK$8</f>
        <v>1</v>
      </c>
      <c r="CH267">
        <f t="shared" ref="CH267:CH274" si="555">+AL$8</f>
        <v>1</v>
      </c>
      <c r="CI267">
        <f t="shared" ref="CI267:CI274" si="556">+AM$8</f>
        <v>1</v>
      </c>
      <c r="CJ267">
        <f t="shared" ref="CJ267:CJ274" si="557">+AN$8</f>
        <v>0</v>
      </c>
      <c r="CK267">
        <f t="shared" ref="CK267:CK274" si="558">+AO$8</f>
        <v>0</v>
      </c>
      <c r="CL267">
        <f t="shared" ref="CL267:CL274" si="559">+AP$8</f>
        <v>0</v>
      </c>
      <c r="CM267">
        <f t="shared" ref="CM267:CM274" si="560">+AQ$8</f>
        <v>0</v>
      </c>
      <c r="CN267">
        <f t="shared" ref="CN267:CN274" si="561">+AR$8</f>
        <v>0</v>
      </c>
      <c r="CO267">
        <f t="shared" ref="CO267:CO274" si="562">+AS$8</f>
        <v>0</v>
      </c>
      <c r="CP267">
        <f t="shared" ref="CP267:CP274" si="563">+AT$8</f>
        <v>1</v>
      </c>
      <c r="CQ267">
        <f t="shared" ref="CQ267:CQ274" si="564">+AU$8</f>
        <v>1</v>
      </c>
      <c r="CR267">
        <f t="shared" ref="CR267:CR274" si="565">+AV$8</f>
        <v>1</v>
      </c>
      <c r="CS267">
        <f t="shared" ref="CS267:CS274" si="566">+AW$8</f>
        <v>1</v>
      </c>
      <c r="CT267">
        <f t="shared" ref="CT267:CT274" si="567">+AX$8</f>
        <v>1</v>
      </c>
      <c r="CU267">
        <f t="shared" ref="CU267:CU274" si="568">+AY$8</f>
        <v>1</v>
      </c>
      <c r="CV267">
        <f t="shared" ref="CV267:CV274" si="569">+AZ$8</f>
        <v>0</v>
      </c>
      <c r="CW267">
        <f t="shared" ref="CW267:CW274" si="570">+BA$8</f>
        <v>0</v>
      </c>
      <c r="CX267">
        <f t="shared" ref="CX267:CX274" si="571">+BB$8</f>
        <v>0</v>
      </c>
      <c r="CY267">
        <f t="shared" ref="CY267:CY274" si="572">+BC$8</f>
        <v>0</v>
      </c>
      <c r="CZ267">
        <f t="shared" ref="CZ267:CZ274" si="573">+BD$8</f>
        <v>0</v>
      </c>
      <c r="DA267">
        <f t="shared" ref="DA267:DA274" si="574">+BE$8</f>
        <v>0</v>
      </c>
      <c r="DB267">
        <f t="shared" ref="DB267:DB274" si="575">+BF$8</f>
        <v>1</v>
      </c>
      <c r="DC267">
        <f t="shared" ref="DC267:DC274" si="576">+BG$8</f>
        <v>1</v>
      </c>
      <c r="DF267" s="10" t="s">
        <v>37</v>
      </c>
      <c r="DG267" t="str">
        <f t="shared" si="531"/>
        <v>2023_8</v>
      </c>
      <c r="DH267" t="str">
        <f t="shared" si="531"/>
        <v>2023_8</v>
      </c>
      <c r="DI267" t="str">
        <f t="shared" si="531"/>
        <v>2023_8</v>
      </c>
      <c r="DJ267" t="str">
        <f t="shared" si="531"/>
        <v>2023_8</v>
      </c>
      <c r="DK267" t="str">
        <f t="shared" si="531"/>
        <v>2023_8</v>
      </c>
      <c r="DL267" t="str">
        <f t="shared" si="531"/>
        <v>2023_8</v>
      </c>
      <c r="DM267" t="str">
        <f t="shared" si="531"/>
        <v>2023_8</v>
      </c>
      <c r="DN267" t="str">
        <f t="shared" si="531"/>
        <v>2023_8</v>
      </c>
      <c r="DO267" t="str">
        <f t="shared" si="531"/>
        <v>2023_8</v>
      </c>
      <c r="DP267" t="str">
        <f t="shared" si="531"/>
        <v>2023_8</v>
      </c>
      <c r="DQ267" t="str">
        <f t="shared" si="531"/>
        <v>2023_8</v>
      </c>
      <c r="DR267" t="str">
        <f t="shared" si="531"/>
        <v>2023_8</v>
      </c>
      <c r="DS267" t="str">
        <f t="shared" si="531"/>
        <v>2023_8</v>
      </c>
      <c r="DT267" t="str">
        <f t="shared" si="531"/>
        <v>2023_8</v>
      </c>
      <c r="DU267" t="str">
        <f t="shared" si="531"/>
        <v>2023_8</v>
      </c>
      <c r="DV267" t="str">
        <f t="shared" ref="DV267:EK274" si="577">$K267</f>
        <v>2023_8</v>
      </c>
      <c r="DW267" t="str">
        <f t="shared" si="577"/>
        <v>2023_8</v>
      </c>
      <c r="DX267" t="str">
        <f t="shared" si="577"/>
        <v>2023_8</v>
      </c>
      <c r="DY267" t="str">
        <f t="shared" si="577"/>
        <v>2023_8</v>
      </c>
      <c r="DZ267" t="str">
        <f t="shared" si="577"/>
        <v>2023_8</v>
      </c>
      <c r="EA267" t="str">
        <f t="shared" si="577"/>
        <v>2023_8</v>
      </c>
      <c r="EB267" t="str">
        <f t="shared" si="577"/>
        <v>2023_8</v>
      </c>
      <c r="EC267" t="str">
        <f t="shared" si="577"/>
        <v>2023_8</v>
      </c>
      <c r="ED267" t="str">
        <f t="shared" si="577"/>
        <v>2023_8</v>
      </c>
      <c r="EE267" t="str">
        <f t="shared" si="577"/>
        <v>2023_8</v>
      </c>
      <c r="EF267" t="str">
        <f t="shared" si="577"/>
        <v>2023_8</v>
      </c>
      <c r="EG267" t="str">
        <f t="shared" si="577"/>
        <v>2023_8</v>
      </c>
      <c r="EH267" t="str">
        <f t="shared" si="577"/>
        <v>2023_8</v>
      </c>
      <c r="EI267" t="str">
        <f t="shared" si="577"/>
        <v>2023_8</v>
      </c>
      <c r="EJ267" t="str">
        <f t="shared" si="577"/>
        <v>2023_8</v>
      </c>
      <c r="EK267" t="str">
        <f t="shared" si="577"/>
        <v>2023_8</v>
      </c>
      <c r="EL267" t="str">
        <f t="shared" ref="EL267:EL274" si="578">$K267</f>
        <v>2023_8</v>
      </c>
      <c r="EM267" t="str">
        <f t="shared" si="532"/>
        <v>2023_8</v>
      </c>
      <c r="EN267" t="str">
        <f t="shared" si="532"/>
        <v>2023_8</v>
      </c>
      <c r="EO267" t="str">
        <f t="shared" si="532"/>
        <v>2023_8</v>
      </c>
      <c r="EP267" t="str">
        <f t="shared" si="532"/>
        <v>2023_8</v>
      </c>
      <c r="EQ267" t="str">
        <f t="shared" si="532"/>
        <v>2023_8</v>
      </c>
      <c r="ER267" t="str">
        <f t="shared" si="532"/>
        <v>2023_8</v>
      </c>
      <c r="ES267" t="str">
        <f t="shared" si="532"/>
        <v>2023_8</v>
      </c>
      <c r="ET267" t="str">
        <f t="shared" si="532"/>
        <v>2023_8</v>
      </c>
      <c r="EU267" t="str">
        <f t="shared" si="532"/>
        <v>2023_8</v>
      </c>
      <c r="EV267" t="str">
        <f t="shared" si="532"/>
        <v>2023_8</v>
      </c>
      <c r="EW267" t="str">
        <f t="shared" si="532"/>
        <v>2023_8</v>
      </c>
      <c r="EX267" t="str">
        <f t="shared" si="532"/>
        <v>2023_8</v>
      </c>
      <c r="EY267" t="str">
        <f t="shared" si="532"/>
        <v>2023_8</v>
      </c>
      <c r="FB267" s="10" t="s">
        <v>37</v>
      </c>
      <c r="FC267">
        <f t="shared" si="521"/>
        <v>0</v>
      </c>
      <c r="FD267">
        <f t="shared" ref="FD267:FD274" si="579">IF($M267&lt;=P$3,1,0)</f>
        <v>0</v>
      </c>
      <c r="FE267">
        <f t="shared" ref="FE267:FE274" si="580">IF($M267&lt;=Q$3,1,0)</f>
        <v>0</v>
      </c>
      <c r="FF267">
        <f t="shared" ref="FF267:FF274" si="581">IF($M267&lt;=R$3,1,0)</f>
        <v>0</v>
      </c>
      <c r="FG267">
        <f t="shared" ref="FG267:FG274" si="582">IF($M267&lt;=S$3,1,0)</f>
        <v>0</v>
      </c>
      <c r="FH267">
        <f t="shared" ref="FH267:FH274" si="583">IF($M267&lt;=T$3,1,0)</f>
        <v>0</v>
      </c>
      <c r="FI267">
        <f t="shared" ref="FI267:FI274" si="584">IF($M267&lt;=U$3,1,0)</f>
        <v>0</v>
      </c>
      <c r="FJ267">
        <f t="shared" ref="FJ267:FJ274" si="585">IF($M267&lt;=V$3,1,0)</f>
        <v>0</v>
      </c>
      <c r="FK267">
        <f t="shared" ref="FK267:FK274" si="586">IF($M267&lt;=W$3,1,0)</f>
        <v>0</v>
      </c>
      <c r="FL267">
        <f t="shared" ref="FL267:FL274" si="587">IF($M267&lt;=X$3,1,0)</f>
        <v>0</v>
      </c>
      <c r="FM267">
        <f t="shared" ref="FM267:FM274" si="588">IF($M267&lt;=Y$3,1,0)</f>
        <v>0</v>
      </c>
      <c r="FN267">
        <f t="shared" ref="FN267:FN274" si="589">IF($M267&lt;=Z$3,1,0)</f>
        <v>0</v>
      </c>
      <c r="FO267">
        <f t="shared" ref="FO267:FO274" si="590">IF($M267&lt;=AA$3,1,0)</f>
        <v>0</v>
      </c>
      <c r="FP267">
        <f t="shared" ref="FP267:FP274" si="591">IF($M267&lt;=AB$3,1,0)</f>
        <v>0</v>
      </c>
      <c r="FQ267">
        <f t="shared" ref="FQ267:FQ274" si="592">IF($M267&lt;=AC$3,1,0)</f>
        <v>0</v>
      </c>
      <c r="FR267">
        <f t="shared" ref="FR267:FR274" si="593">IF($M267&lt;=AD$3,1,0)</f>
        <v>0</v>
      </c>
      <c r="FS267">
        <f t="shared" ref="FS267:FS274" si="594">IF($M267&lt;=AE$3,1,0)</f>
        <v>0</v>
      </c>
      <c r="FT267">
        <f t="shared" ref="FT267:FT274" si="595">IF($M267&lt;=AF$3,1,0)</f>
        <v>0</v>
      </c>
      <c r="FU267">
        <f t="shared" ref="FU267:FU274" si="596">IF($M267&lt;=AG$3,1,0)</f>
        <v>0</v>
      </c>
      <c r="FV267">
        <f t="shared" ref="FV267:FV274" si="597">IF($M267&lt;=AH$3,1,0)</f>
        <v>0</v>
      </c>
      <c r="FW267">
        <f t="shared" ref="FW267:FW274" si="598">IF($M267&lt;=AI$3,1,0)</f>
        <v>0</v>
      </c>
      <c r="FX267">
        <f t="shared" ref="FX267:FX274" si="599">IF($M267&lt;=AJ$3,1,0)</f>
        <v>0</v>
      </c>
      <c r="FY267">
        <f t="shared" ref="FY267:FY274" si="600">IF($M267&lt;=AK$3,1,0)</f>
        <v>0</v>
      </c>
      <c r="FZ267">
        <f t="shared" ref="FZ267:FZ274" si="601">IF($M267&lt;=AL$3,1,0)</f>
        <v>0</v>
      </c>
      <c r="GA267">
        <f t="shared" ref="GA267:GA274" si="602">IF($M267&lt;=AM$3,1,0)</f>
        <v>0</v>
      </c>
      <c r="GB267">
        <f t="shared" ref="GB267:GB274" si="603">IF($M267&lt;=AN$3,1,0)</f>
        <v>0</v>
      </c>
      <c r="GC267">
        <f t="shared" ref="GC267:GC274" si="604">IF($M267&lt;=AO$3,1,0)</f>
        <v>0</v>
      </c>
      <c r="GD267">
        <f t="shared" ref="GD267:GD274" si="605">IF($M267&lt;=AP$3,1,0)</f>
        <v>0</v>
      </c>
      <c r="GE267">
        <f t="shared" ref="GE267:GE274" si="606">IF($M267&lt;=AQ$3,1,0)</f>
        <v>0</v>
      </c>
      <c r="GF267">
        <f t="shared" ref="GF267:GF274" si="607">IF($M267&lt;=AR$3,1,0)</f>
        <v>0</v>
      </c>
      <c r="GG267">
        <f t="shared" ref="GG267:GG274" si="608">IF($M267&lt;=AS$3,1,0)</f>
        <v>0</v>
      </c>
      <c r="GH267">
        <f t="shared" ref="GH267:GH274" si="609">IF($M267&lt;=AT$3,1,0)</f>
        <v>0</v>
      </c>
      <c r="GI267">
        <f t="shared" ref="GI267:GI274" si="610">IF($M267&lt;=AU$3,1,0)</f>
        <v>0</v>
      </c>
      <c r="GJ267">
        <f t="shared" ref="GJ267:GJ274" si="611">IF($M267&lt;=AV$3,1,0)</f>
        <v>0</v>
      </c>
      <c r="GK267">
        <f t="shared" ref="GK267:GK274" si="612">IF($M267&lt;=AW$3,1,0)</f>
        <v>0</v>
      </c>
      <c r="GL267">
        <f t="shared" ref="GL267:GL274" si="613">IF($M267&lt;=AX$3,1,0)</f>
        <v>0</v>
      </c>
      <c r="GM267">
        <f t="shared" ref="GM267:GM274" si="614">IF($M267&lt;=AY$3,1,0)</f>
        <v>0</v>
      </c>
      <c r="GN267">
        <f t="shared" ref="GN267:GN274" si="615">IF($M267&lt;=AZ$3,1,0)</f>
        <v>0</v>
      </c>
      <c r="GO267">
        <f t="shared" ref="GO267:GO274" si="616">IF($M267&lt;=BA$3,1,0)</f>
        <v>0</v>
      </c>
      <c r="GP267">
        <f t="shared" ref="GP267:GP274" si="617">IF($M267&lt;=BB$3,1,0)</f>
        <v>0</v>
      </c>
      <c r="GQ267">
        <f t="shared" ref="GQ267:GQ274" si="618">IF($M267&lt;=BC$3,1,0)</f>
        <v>1</v>
      </c>
      <c r="GR267">
        <f t="shared" ref="GR267:GR274" si="619">IF($M267&lt;=BD$3,1,0)</f>
        <v>1</v>
      </c>
      <c r="GS267">
        <f t="shared" ref="GS267:GS274" si="620">IF($M267&lt;=BE$3,1,0)</f>
        <v>1</v>
      </c>
      <c r="GT267">
        <f t="shared" ref="GT267:GT274" si="621">IF($M267&lt;=BF$3,1,0)</f>
        <v>1</v>
      </c>
      <c r="GU267">
        <f t="shared" ref="GU267:GU274" si="622">IF($M267&lt;=BG$3,1,0)</f>
        <v>1</v>
      </c>
      <c r="GX267" s="10"/>
    </row>
    <row r="268" spans="1:206" x14ac:dyDescent="0.3">
      <c r="A268" s="9" t="s">
        <v>33</v>
      </c>
      <c r="B268" s="80"/>
      <c r="C268" s="9">
        <v>3131251001</v>
      </c>
      <c r="D268" s="9" t="s">
        <v>362</v>
      </c>
      <c r="E268" s="9" t="s">
        <v>39</v>
      </c>
      <c r="F268" s="9" t="s">
        <v>35</v>
      </c>
      <c r="G268" s="9" t="s">
        <v>278</v>
      </c>
      <c r="H268" s="10">
        <v>45168</v>
      </c>
      <c r="I268" s="9">
        <f t="shared" ref="I268:I274" si="623">YEAR(H268)</f>
        <v>2023</v>
      </c>
      <c r="J268" s="9">
        <f t="shared" ref="J268:J274" si="624">MONTH(H268)</f>
        <v>8</v>
      </c>
      <c r="K268" s="9" t="str">
        <f t="shared" ref="K268:K274" si="625">I268&amp;"_"&amp;J268</f>
        <v>2023_8</v>
      </c>
      <c r="L268">
        <f>MAX(0,VLOOKUP($K268,lookups!$A$1:$B$45,2,0)-12)</f>
        <v>28</v>
      </c>
      <c r="M268" s="40">
        <f t="shared" ref="M268:M274" si="626">DATE(I268,J268,1)</f>
        <v>45139</v>
      </c>
      <c r="N268" s="10" t="s">
        <v>37</v>
      </c>
      <c r="O268" t="str">
        <f ca="1">IF(OR($L268&gt;O$4,O$4&gt;$L268+23),"",OFFSET(Electric!$L259,0,-'Electric Calendarize'!$L268+'Electric Calendarize'!O$4+1))</f>
        <v/>
      </c>
      <c r="P268" t="str">
        <f ca="1">IF(OR($L268&gt;P$4,P$4&gt;$L268+23),"",OFFSET(Electric!$L259,0,-'Electric Calendarize'!$L268+'Electric Calendarize'!P$4+1))</f>
        <v/>
      </c>
      <c r="Q268" t="str">
        <f ca="1">IF(OR($L268&gt;Q$4,Q$4&gt;$L268+23),"",OFFSET(Electric!$L259,0,-'Electric Calendarize'!$L268+'Electric Calendarize'!Q$4+1))</f>
        <v/>
      </c>
      <c r="R268" t="str">
        <f ca="1">IF(OR($L268&gt;R$4,R$4&gt;$L268+23),"",OFFSET(Electric!$L259,0,-'Electric Calendarize'!$L268+'Electric Calendarize'!R$4+1))</f>
        <v/>
      </c>
      <c r="S268" t="str">
        <f ca="1">IF(OR($L268&gt;S$4,S$4&gt;$L268+23),"",OFFSET(Electric!$L259,0,-'Electric Calendarize'!$L268+'Electric Calendarize'!S$4+1))</f>
        <v/>
      </c>
      <c r="T268" t="str">
        <f ca="1">IF(OR($L268&gt;T$4,T$4&gt;$L268+23),"",OFFSET(Electric!$L259,0,-'Electric Calendarize'!$L268+'Electric Calendarize'!T$4+1))</f>
        <v/>
      </c>
      <c r="U268" t="str">
        <f ca="1">IF(OR($L268&gt;U$4,U$4&gt;$L268+23),"",OFFSET(Electric!$L259,0,-'Electric Calendarize'!$L268+'Electric Calendarize'!U$4+1))</f>
        <v/>
      </c>
      <c r="V268" t="str">
        <f ca="1">IF(OR($L268&gt;V$4,V$4&gt;$L268+23),"",OFFSET(Electric!$L259,0,-'Electric Calendarize'!$L268+'Electric Calendarize'!V$4+1))</f>
        <v/>
      </c>
      <c r="W268" t="str">
        <f ca="1">IF(OR($L268&gt;W$4,W$4&gt;$L268+23),"",OFFSET(Electric!$L259,0,-'Electric Calendarize'!$L268+'Electric Calendarize'!W$4+1))</f>
        <v/>
      </c>
      <c r="X268" t="str">
        <f ca="1">IF(OR($L268&gt;X$4,X$4&gt;$L268+23),"",OFFSET(Electric!$L259,0,-'Electric Calendarize'!$L268+'Electric Calendarize'!X$4+1))</f>
        <v/>
      </c>
      <c r="Y268" t="str">
        <f ca="1">IF(OR($L268&gt;Y$4,Y$4&gt;$L268+23),"",OFFSET(Electric!$L259,0,-'Electric Calendarize'!$L268+'Electric Calendarize'!Y$4+1))</f>
        <v/>
      </c>
      <c r="Z268" t="str">
        <f ca="1">IF(OR($L268&gt;Z$4,Z$4&gt;$L268+23),"",OFFSET(Electric!$L259,0,-'Electric Calendarize'!$L268+'Electric Calendarize'!Z$4+1))</f>
        <v/>
      </c>
      <c r="AA268" t="str">
        <f ca="1">IF(OR($L268&gt;AA$4,AA$4&gt;$L268+23),"",OFFSET(Electric!$L259,0,-'Electric Calendarize'!$L268+'Electric Calendarize'!AA$4+1))</f>
        <v/>
      </c>
      <c r="AB268" t="str">
        <f ca="1">IF(OR($L268&gt;AB$4,AB$4&gt;$L268+23),"",OFFSET(Electric!$L259,0,-'Electric Calendarize'!$L268+'Electric Calendarize'!AB$4+1))</f>
        <v/>
      </c>
      <c r="AC268" t="str">
        <f ca="1">IF(OR($L268&gt;AC$4,AC$4&gt;$L268+23),"",OFFSET(Electric!$L259,0,-'Electric Calendarize'!$L268+'Electric Calendarize'!AC$4+1))</f>
        <v/>
      </c>
      <c r="AD268" t="str">
        <f ca="1">IF(OR($L268&gt;AD$4,AD$4&gt;$L268+23),"",OFFSET(Electric!$L259,0,-'Electric Calendarize'!$L268+'Electric Calendarize'!AD$4+1))</f>
        <v/>
      </c>
      <c r="AE268" t="str">
        <f ca="1">IF(OR($L268&gt;AE$4,AE$4&gt;$L268+23),"",OFFSET(Electric!$L259,0,-'Electric Calendarize'!$L268+'Electric Calendarize'!AE$4+1))</f>
        <v/>
      </c>
      <c r="AF268" t="str">
        <f ca="1">IF(OR($L268&gt;AF$4,AF$4&gt;$L268+23),"",OFFSET(Electric!$L259,0,-'Electric Calendarize'!$L268+'Electric Calendarize'!AF$4+1))</f>
        <v/>
      </c>
      <c r="AG268" t="str">
        <f ca="1">IF(OR($L268&gt;AG$4,AG$4&gt;$L268+23),"",OFFSET(Electric!$L259,0,-'Electric Calendarize'!$L268+'Electric Calendarize'!AG$4+1))</f>
        <v/>
      </c>
      <c r="AH268" t="str">
        <f ca="1">IF(OR($L268&gt;AH$4,AH$4&gt;$L268+23),"",OFFSET(Electric!$L259,0,-'Electric Calendarize'!$L268+'Electric Calendarize'!AH$4+1))</f>
        <v/>
      </c>
      <c r="AI268" t="str">
        <f ca="1">IF(OR($L268&gt;AI$4,AI$4&gt;$L268+23),"",OFFSET(Electric!$L259,0,-'Electric Calendarize'!$L268+'Electric Calendarize'!AI$4+1))</f>
        <v/>
      </c>
      <c r="AJ268" t="str">
        <f ca="1">IF(OR($L268&gt;AJ$4,AJ$4&gt;$L268+23),"",OFFSET(Electric!$L259,0,-'Electric Calendarize'!$L268+'Electric Calendarize'!AJ$4+1))</f>
        <v/>
      </c>
      <c r="AK268" t="str">
        <f ca="1">IF(OR($L268&gt;AK$4,AK$4&gt;$L268+23),"",OFFSET(Electric!$L259,0,-'Electric Calendarize'!$L268+'Electric Calendarize'!AK$4+1))</f>
        <v/>
      </c>
      <c r="AL268" t="str">
        <f ca="1">IF(OR($L268&gt;AL$4,AL$4&gt;$L268+23),"",OFFSET(Electric!$L259,0,-'Electric Calendarize'!$L268+'Electric Calendarize'!AL$4+1))</f>
        <v/>
      </c>
      <c r="AM268" t="str">
        <f ca="1">IF(OR($L268&gt;AM$4,AM$4&gt;$L268+23),"",OFFSET(Electric!$L259,0,-'Electric Calendarize'!$L268+'Electric Calendarize'!AM$4+1))</f>
        <v/>
      </c>
      <c r="AN268" t="str">
        <f ca="1">IF(OR($L268&gt;AN$4,AN$4&gt;$L268+23),"",OFFSET(Electric!$L259,0,-'Electric Calendarize'!$L268+'Electric Calendarize'!AN$4+1))</f>
        <v/>
      </c>
      <c r="AO268" t="str">
        <f ca="1">IF(OR($L268&gt;AO$4,AO$4&gt;$L268+23),"",OFFSET(Electric!$L259,0,-'Electric Calendarize'!$L268+'Electric Calendarize'!AO$4+1))</f>
        <v/>
      </c>
      <c r="AP268" t="str">
        <f ca="1">IF(OR($L268&gt;AP$4,AP$4&gt;$L268+23),"",OFFSET(Electric!$L259,0,-'Electric Calendarize'!$L268+'Electric Calendarize'!AP$4+1))</f>
        <v/>
      </c>
      <c r="AQ268">
        <f ca="1">IF(OR($L268&gt;AQ$4,AQ$4&gt;$L268+23),"",OFFSET(Electric!$L259,0,-'Electric Calendarize'!$L268+'Electric Calendarize'!AQ$4+1))</f>
        <v>1699</v>
      </c>
      <c r="AR268">
        <f ca="1">IF(OR($L268&gt;AR$4,AR$4&gt;$L268+23),"",OFFSET(Electric!$L259,0,-'Electric Calendarize'!$L268+'Electric Calendarize'!AR$4+1))</f>
        <v>1036</v>
      </c>
      <c r="AS268">
        <f ca="1">IF(OR($L268&gt;AS$4,AS$4&gt;$L268+23),"",OFFSET(Electric!$L259,0,-'Electric Calendarize'!$L268+'Electric Calendarize'!AS$4+1))</f>
        <v>796</v>
      </c>
      <c r="AT268">
        <f ca="1">IF(OR($L268&gt;AT$4,AT$4&gt;$L268+23),"",OFFSET(Electric!$L259,0,-'Electric Calendarize'!$L268+'Electric Calendarize'!AT$4+1))</f>
        <v>981</v>
      </c>
      <c r="AU268">
        <f ca="1">IF(OR($L268&gt;AU$4,AU$4&gt;$L268+23),"",OFFSET(Electric!$L259,0,-'Electric Calendarize'!$L268+'Electric Calendarize'!AU$4+1))</f>
        <v>963</v>
      </c>
      <c r="AV268">
        <f ca="1">IF(OR($L268&gt;AV$4,AV$4&gt;$L268+23),"",OFFSET(Electric!$L259,0,-'Electric Calendarize'!$L268+'Electric Calendarize'!AV$4+1))</f>
        <v>1178</v>
      </c>
      <c r="AW268">
        <f ca="1">IF(OR($L268&gt;AW$4,AW$4&gt;$L268+23),"",OFFSET(Electric!$L259,0,-'Electric Calendarize'!$L268+'Electric Calendarize'!AW$4+1))</f>
        <v>985</v>
      </c>
      <c r="AX268">
        <f ca="1">IF(OR($L268&gt;AX$4,AX$4&gt;$L268+23),"",OFFSET(Electric!$L259,0,-'Electric Calendarize'!$L268+'Electric Calendarize'!AX$4+1))</f>
        <v>1214</v>
      </c>
      <c r="AY268">
        <f ca="1">IF(OR($L268&gt;AY$4,AY$4&gt;$L268+23),"",OFFSET(Electric!$L259,0,-'Electric Calendarize'!$L268+'Electric Calendarize'!AY$4+1))</f>
        <v>806</v>
      </c>
      <c r="AZ268">
        <f ca="1">IF(OR($L268&gt;AZ$4,AZ$4&gt;$L268+23),"",OFFSET(Electric!$L259,0,-'Electric Calendarize'!$L268+'Electric Calendarize'!AZ$4+1))</f>
        <v>577</v>
      </c>
      <c r="BA268">
        <f ca="1">IF(OR($L268&gt;BA$4,BA$4&gt;$L268+23),"",OFFSET(Electric!$L259,0,-'Electric Calendarize'!$L268+'Electric Calendarize'!BA$4+1))</f>
        <v>754</v>
      </c>
      <c r="BB268">
        <f ca="1">IF(OR($L268&gt;BB$4,BB$4&gt;$L268+23),"",OFFSET(Electric!$L259,0,-'Electric Calendarize'!$L268+'Electric Calendarize'!BB$4+1))</f>
        <v>2003</v>
      </c>
      <c r="BC268">
        <f ca="1">IF(OR($L268&gt;BC$4,BC$4&gt;$L268+23),"",OFFSET(Electric!$L259,0,-'Electric Calendarize'!$L268+'Electric Calendarize'!BC$4+1))</f>
        <v>1319</v>
      </c>
      <c r="BD268">
        <f ca="1">IF(OR($L268&gt;BD$4,BD$4&gt;$L268+23),"",OFFSET(Electric!$L259,0,-'Electric Calendarize'!$L268+'Electric Calendarize'!BD$4+1))</f>
        <v>1178</v>
      </c>
      <c r="BE268">
        <f ca="1">IF(OR($L268&gt;BE$4,BE$4&gt;$L268+23),"",OFFSET(Electric!$L259,0,-'Electric Calendarize'!$L268+'Electric Calendarize'!BE$4+1))</f>
        <v>1036</v>
      </c>
      <c r="BF268">
        <f ca="1">IF(OR($L268&gt;BF$4,BF$4&gt;$L268+23),"",OFFSET(Electric!$L259,0,-'Electric Calendarize'!$L268+'Electric Calendarize'!BF$4+1))</f>
        <v>1282</v>
      </c>
      <c r="BG268">
        <f ca="1">IF(OR($L268&gt;BG$4,BG$4&gt;$L268+23),"",OFFSET(Electric!$L259,0,-'Electric Calendarize'!$L268+'Electric Calendarize'!BG$4+1))</f>
        <v>0</v>
      </c>
      <c r="BJ268" s="10" t="s">
        <v>37</v>
      </c>
      <c r="BK268">
        <f t="shared" ref="BK268:BK274" si="627">+O$8</f>
        <v>1</v>
      </c>
      <c r="BL268">
        <f t="shared" si="533"/>
        <v>0</v>
      </c>
      <c r="BM268">
        <f t="shared" si="534"/>
        <v>0</v>
      </c>
      <c r="BN268">
        <f t="shared" si="535"/>
        <v>0</v>
      </c>
      <c r="BO268">
        <f t="shared" si="536"/>
        <v>0</v>
      </c>
      <c r="BP268">
        <f t="shared" si="537"/>
        <v>0</v>
      </c>
      <c r="BQ268">
        <f t="shared" si="538"/>
        <v>0</v>
      </c>
      <c r="BR268">
        <f t="shared" si="539"/>
        <v>1</v>
      </c>
      <c r="BS268">
        <f t="shared" si="540"/>
        <v>1</v>
      </c>
      <c r="BT268">
        <f t="shared" si="541"/>
        <v>1</v>
      </c>
      <c r="BU268">
        <f t="shared" si="542"/>
        <v>1</v>
      </c>
      <c r="BV268">
        <f t="shared" si="543"/>
        <v>1</v>
      </c>
      <c r="BW268">
        <f t="shared" si="544"/>
        <v>1</v>
      </c>
      <c r="BX268">
        <f t="shared" si="545"/>
        <v>0</v>
      </c>
      <c r="BY268">
        <f t="shared" si="546"/>
        <v>0</v>
      </c>
      <c r="BZ268">
        <f t="shared" si="547"/>
        <v>0</v>
      </c>
      <c r="CA268">
        <f t="shared" si="548"/>
        <v>0</v>
      </c>
      <c r="CB268">
        <f t="shared" si="549"/>
        <v>0</v>
      </c>
      <c r="CC268">
        <f t="shared" si="550"/>
        <v>0</v>
      </c>
      <c r="CD268">
        <f t="shared" si="551"/>
        <v>1</v>
      </c>
      <c r="CE268">
        <f t="shared" si="552"/>
        <v>1</v>
      </c>
      <c r="CF268">
        <f t="shared" si="553"/>
        <v>1</v>
      </c>
      <c r="CG268">
        <f t="shared" si="554"/>
        <v>1</v>
      </c>
      <c r="CH268">
        <f t="shared" si="555"/>
        <v>1</v>
      </c>
      <c r="CI268">
        <f t="shared" si="556"/>
        <v>1</v>
      </c>
      <c r="CJ268">
        <f t="shared" si="557"/>
        <v>0</v>
      </c>
      <c r="CK268">
        <f t="shared" si="558"/>
        <v>0</v>
      </c>
      <c r="CL268">
        <f t="shared" si="559"/>
        <v>0</v>
      </c>
      <c r="CM268">
        <f t="shared" si="560"/>
        <v>0</v>
      </c>
      <c r="CN268">
        <f t="shared" si="561"/>
        <v>0</v>
      </c>
      <c r="CO268">
        <f t="shared" si="562"/>
        <v>0</v>
      </c>
      <c r="CP268">
        <f t="shared" si="563"/>
        <v>1</v>
      </c>
      <c r="CQ268">
        <f t="shared" si="564"/>
        <v>1</v>
      </c>
      <c r="CR268">
        <f t="shared" si="565"/>
        <v>1</v>
      </c>
      <c r="CS268">
        <f t="shared" si="566"/>
        <v>1</v>
      </c>
      <c r="CT268">
        <f t="shared" si="567"/>
        <v>1</v>
      </c>
      <c r="CU268">
        <f t="shared" si="568"/>
        <v>1</v>
      </c>
      <c r="CV268">
        <f t="shared" si="569"/>
        <v>0</v>
      </c>
      <c r="CW268">
        <f t="shared" si="570"/>
        <v>0</v>
      </c>
      <c r="CX268">
        <f t="shared" si="571"/>
        <v>0</v>
      </c>
      <c r="CY268">
        <f t="shared" si="572"/>
        <v>0</v>
      </c>
      <c r="CZ268">
        <f t="shared" si="573"/>
        <v>0</v>
      </c>
      <c r="DA268">
        <f t="shared" si="574"/>
        <v>0</v>
      </c>
      <c r="DB268">
        <f t="shared" si="575"/>
        <v>1</v>
      </c>
      <c r="DC268">
        <f t="shared" si="576"/>
        <v>1</v>
      </c>
      <c r="DF268" s="10" t="s">
        <v>37</v>
      </c>
      <c r="DG268" t="str">
        <f t="shared" ref="DG268:DU274" si="628">$K268</f>
        <v>2023_8</v>
      </c>
      <c r="DH268" t="str">
        <f t="shared" si="628"/>
        <v>2023_8</v>
      </c>
      <c r="DI268" t="str">
        <f t="shared" si="628"/>
        <v>2023_8</v>
      </c>
      <c r="DJ268" t="str">
        <f t="shared" si="628"/>
        <v>2023_8</v>
      </c>
      <c r="DK268" t="str">
        <f t="shared" si="628"/>
        <v>2023_8</v>
      </c>
      <c r="DL268" t="str">
        <f t="shared" si="628"/>
        <v>2023_8</v>
      </c>
      <c r="DM268" t="str">
        <f t="shared" si="628"/>
        <v>2023_8</v>
      </c>
      <c r="DN268" t="str">
        <f t="shared" si="628"/>
        <v>2023_8</v>
      </c>
      <c r="DO268" t="str">
        <f t="shared" si="628"/>
        <v>2023_8</v>
      </c>
      <c r="DP268" t="str">
        <f t="shared" si="628"/>
        <v>2023_8</v>
      </c>
      <c r="DQ268" t="str">
        <f t="shared" si="628"/>
        <v>2023_8</v>
      </c>
      <c r="DR268" t="str">
        <f t="shared" si="628"/>
        <v>2023_8</v>
      </c>
      <c r="DS268" t="str">
        <f t="shared" si="628"/>
        <v>2023_8</v>
      </c>
      <c r="DT268" t="str">
        <f t="shared" si="628"/>
        <v>2023_8</v>
      </c>
      <c r="DU268" t="str">
        <f t="shared" si="628"/>
        <v>2023_8</v>
      </c>
      <c r="DV268" t="str">
        <f t="shared" si="577"/>
        <v>2023_8</v>
      </c>
      <c r="DW268" t="str">
        <f t="shared" si="577"/>
        <v>2023_8</v>
      </c>
      <c r="DX268" t="str">
        <f t="shared" si="577"/>
        <v>2023_8</v>
      </c>
      <c r="DY268" t="str">
        <f t="shared" si="577"/>
        <v>2023_8</v>
      </c>
      <c r="DZ268" t="str">
        <f t="shared" si="577"/>
        <v>2023_8</v>
      </c>
      <c r="EA268" t="str">
        <f t="shared" si="577"/>
        <v>2023_8</v>
      </c>
      <c r="EB268" t="str">
        <f t="shared" si="577"/>
        <v>2023_8</v>
      </c>
      <c r="EC268" t="str">
        <f t="shared" si="577"/>
        <v>2023_8</v>
      </c>
      <c r="ED268" t="str">
        <f t="shared" si="577"/>
        <v>2023_8</v>
      </c>
      <c r="EE268" t="str">
        <f t="shared" si="577"/>
        <v>2023_8</v>
      </c>
      <c r="EF268" t="str">
        <f t="shared" si="577"/>
        <v>2023_8</v>
      </c>
      <c r="EG268" t="str">
        <f t="shared" si="577"/>
        <v>2023_8</v>
      </c>
      <c r="EH268" t="str">
        <f t="shared" si="577"/>
        <v>2023_8</v>
      </c>
      <c r="EI268" t="str">
        <f t="shared" si="577"/>
        <v>2023_8</v>
      </c>
      <c r="EJ268" t="str">
        <f t="shared" si="577"/>
        <v>2023_8</v>
      </c>
      <c r="EK268" t="str">
        <f t="shared" si="577"/>
        <v>2023_8</v>
      </c>
      <c r="EL268" t="str">
        <f t="shared" si="578"/>
        <v>2023_8</v>
      </c>
      <c r="EM268" t="str">
        <f t="shared" si="532"/>
        <v>2023_8</v>
      </c>
      <c r="EN268" t="str">
        <f t="shared" si="532"/>
        <v>2023_8</v>
      </c>
      <c r="EO268" t="str">
        <f t="shared" si="532"/>
        <v>2023_8</v>
      </c>
      <c r="EP268" t="str">
        <f t="shared" si="532"/>
        <v>2023_8</v>
      </c>
      <c r="EQ268" t="str">
        <f t="shared" si="532"/>
        <v>2023_8</v>
      </c>
      <c r="ER268" t="str">
        <f t="shared" si="532"/>
        <v>2023_8</v>
      </c>
      <c r="ES268" t="str">
        <f t="shared" si="532"/>
        <v>2023_8</v>
      </c>
      <c r="ET268" t="str">
        <f t="shared" si="532"/>
        <v>2023_8</v>
      </c>
      <c r="EU268" t="str">
        <f t="shared" si="532"/>
        <v>2023_8</v>
      </c>
      <c r="EV268" t="str">
        <f t="shared" si="532"/>
        <v>2023_8</v>
      </c>
      <c r="EW268" t="str">
        <f t="shared" si="532"/>
        <v>2023_8</v>
      </c>
      <c r="EX268" t="str">
        <f t="shared" si="532"/>
        <v>2023_8</v>
      </c>
      <c r="EY268" t="str">
        <f t="shared" si="532"/>
        <v>2023_8</v>
      </c>
      <c r="FB268" s="10" t="s">
        <v>37</v>
      </c>
      <c r="FC268">
        <f t="shared" ref="FC268:FC274" si="629">IF($M268&lt;=O$3,1,0)</f>
        <v>0</v>
      </c>
      <c r="FD268">
        <f t="shared" si="579"/>
        <v>0</v>
      </c>
      <c r="FE268">
        <f t="shared" si="580"/>
        <v>0</v>
      </c>
      <c r="FF268">
        <f t="shared" si="581"/>
        <v>0</v>
      </c>
      <c r="FG268">
        <f t="shared" si="582"/>
        <v>0</v>
      </c>
      <c r="FH268">
        <f t="shared" si="583"/>
        <v>0</v>
      </c>
      <c r="FI268">
        <f t="shared" si="584"/>
        <v>0</v>
      </c>
      <c r="FJ268">
        <f t="shared" si="585"/>
        <v>0</v>
      </c>
      <c r="FK268">
        <f t="shared" si="586"/>
        <v>0</v>
      </c>
      <c r="FL268">
        <f t="shared" si="587"/>
        <v>0</v>
      </c>
      <c r="FM268">
        <f t="shared" si="588"/>
        <v>0</v>
      </c>
      <c r="FN268">
        <f t="shared" si="589"/>
        <v>0</v>
      </c>
      <c r="FO268">
        <f t="shared" si="590"/>
        <v>0</v>
      </c>
      <c r="FP268">
        <f t="shared" si="591"/>
        <v>0</v>
      </c>
      <c r="FQ268">
        <f t="shared" si="592"/>
        <v>0</v>
      </c>
      <c r="FR268">
        <f t="shared" si="593"/>
        <v>0</v>
      </c>
      <c r="FS268">
        <f t="shared" si="594"/>
        <v>0</v>
      </c>
      <c r="FT268">
        <f t="shared" si="595"/>
        <v>0</v>
      </c>
      <c r="FU268">
        <f t="shared" si="596"/>
        <v>0</v>
      </c>
      <c r="FV268">
        <f t="shared" si="597"/>
        <v>0</v>
      </c>
      <c r="FW268">
        <f t="shared" si="598"/>
        <v>0</v>
      </c>
      <c r="FX268">
        <f t="shared" si="599"/>
        <v>0</v>
      </c>
      <c r="FY268">
        <f t="shared" si="600"/>
        <v>0</v>
      </c>
      <c r="FZ268">
        <f t="shared" si="601"/>
        <v>0</v>
      </c>
      <c r="GA268">
        <f t="shared" si="602"/>
        <v>0</v>
      </c>
      <c r="GB268">
        <f t="shared" si="603"/>
        <v>0</v>
      </c>
      <c r="GC268">
        <f t="shared" si="604"/>
        <v>0</v>
      </c>
      <c r="GD268">
        <f t="shared" si="605"/>
        <v>0</v>
      </c>
      <c r="GE268">
        <f t="shared" si="606"/>
        <v>0</v>
      </c>
      <c r="GF268">
        <f t="shared" si="607"/>
        <v>0</v>
      </c>
      <c r="GG268">
        <f t="shared" si="608"/>
        <v>0</v>
      </c>
      <c r="GH268">
        <f t="shared" si="609"/>
        <v>0</v>
      </c>
      <c r="GI268">
        <f t="shared" si="610"/>
        <v>0</v>
      </c>
      <c r="GJ268">
        <f t="shared" si="611"/>
        <v>0</v>
      </c>
      <c r="GK268">
        <f t="shared" si="612"/>
        <v>0</v>
      </c>
      <c r="GL268">
        <f t="shared" si="613"/>
        <v>0</v>
      </c>
      <c r="GM268">
        <f t="shared" si="614"/>
        <v>0</v>
      </c>
      <c r="GN268">
        <f t="shared" si="615"/>
        <v>0</v>
      </c>
      <c r="GO268">
        <f t="shared" si="616"/>
        <v>0</v>
      </c>
      <c r="GP268">
        <f t="shared" si="617"/>
        <v>0</v>
      </c>
      <c r="GQ268">
        <f t="shared" si="618"/>
        <v>1</v>
      </c>
      <c r="GR268">
        <f t="shared" si="619"/>
        <v>1</v>
      </c>
      <c r="GS268">
        <f t="shared" si="620"/>
        <v>1</v>
      </c>
      <c r="GT268">
        <f t="shared" si="621"/>
        <v>1</v>
      </c>
      <c r="GU268">
        <f t="shared" si="622"/>
        <v>1</v>
      </c>
      <c r="GX268" s="10"/>
    </row>
    <row r="269" spans="1:206" x14ac:dyDescent="0.3">
      <c r="A269" s="36" t="s">
        <v>209</v>
      </c>
      <c r="B269" s="85"/>
      <c r="C269" s="36">
        <v>3161076002</v>
      </c>
      <c r="D269" s="36" t="s">
        <v>511</v>
      </c>
      <c r="E269" s="36" t="s">
        <v>100</v>
      </c>
      <c r="F269" s="36" t="s">
        <v>35</v>
      </c>
      <c r="G269" s="36" t="s">
        <v>279</v>
      </c>
      <c r="H269" s="10">
        <v>45170</v>
      </c>
      <c r="I269" s="9">
        <f t="shared" si="623"/>
        <v>2023</v>
      </c>
      <c r="J269" s="9">
        <f t="shared" si="624"/>
        <v>9</v>
      </c>
      <c r="K269" s="9" t="str">
        <f t="shared" si="625"/>
        <v>2023_9</v>
      </c>
      <c r="L269">
        <f>MAX(0,VLOOKUP($K269,lookups!$A$1:$B$45,2,0)-12)</f>
        <v>29</v>
      </c>
      <c r="M269" s="40">
        <f t="shared" si="626"/>
        <v>45170</v>
      </c>
      <c r="N269" s="10" t="s">
        <v>37</v>
      </c>
      <c r="O269" t="str">
        <f ca="1">IF(OR($L269&gt;O$4,O$4&gt;$L269+23),"",OFFSET(Electric!$L260,0,-'Electric Calendarize'!$L269+'Electric Calendarize'!O$4+1))</f>
        <v/>
      </c>
      <c r="P269" t="str">
        <f ca="1">IF(OR($L269&gt;P$4,P$4&gt;$L269+23),"",OFFSET(Electric!$L260,0,-'Electric Calendarize'!$L269+'Electric Calendarize'!P$4+1))</f>
        <v/>
      </c>
      <c r="Q269" t="str">
        <f ca="1">IF(OR($L269&gt;Q$4,Q$4&gt;$L269+23),"",OFFSET(Electric!$L260,0,-'Electric Calendarize'!$L269+'Electric Calendarize'!Q$4+1))</f>
        <v/>
      </c>
      <c r="R269" t="str">
        <f ca="1">IF(OR($L269&gt;R$4,R$4&gt;$L269+23),"",OFFSET(Electric!$L260,0,-'Electric Calendarize'!$L269+'Electric Calendarize'!R$4+1))</f>
        <v/>
      </c>
      <c r="S269" t="str">
        <f ca="1">IF(OR($L269&gt;S$4,S$4&gt;$L269+23),"",OFFSET(Electric!$L260,0,-'Electric Calendarize'!$L269+'Electric Calendarize'!S$4+1))</f>
        <v/>
      </c>
      <c r="T269" t="str">
        <f ca="1">IF(OR($L269&gt;T$4,T$4&gt;$L269+23),"",OFFSET(Electric!$L260,0,-'Electric Calendarize'!$L269+'Electric Calendarize'!T$4+1))</f>
        <v/>
      </c>
      <c r="U269" t="str">
        <f ca="1">IF(OR($L269&gt;U$4,U$4&gt;$L269+23),"",OFFSET(Electric!$L260,0,-'Electric Calendarize'!$L269+'Electric Calendarize'!U$4+1))</f>
        <v/>
      </c>
      <c r="V269" t="str">
        <f ca="1">IF(OR($L269&gt;V$4,V$4&gt;$L269+23),"",OFFSET(Electric!$L260,0,-'Electric Calendarize'!$L269+'Electric Calendarize'!V$4+1))</f>
        <v/>
      </c>
      <c r="W269" t="str">
        <f ca="1">IF(OR($L269&gt;W$4,W$4&gt;$L269+23),"",OFFSET(Electric!$L260,0,-'Electric Calendarize'!$L269+'Electric Calendarize'!W$4+1))</f>
        <v/>
      </c>
      <c r="X269" t="str">
        <f ca="1">IF(OR($L269&gt;X$4,X$4&gt;$L269+23),"",OFFSET(Electric!$L260,0,-'Electric Calendarize'!$L269+'Electric Calendarize'!X$4+1))</f>
        <v/>
      </c>
      <c r="Y269" t="str">
        <f ca="1">IF(OR($L269&gt;Y$4,Y$4&gt;$L269+23),"",OFFSET(Electric!$L260,0,-'Electric Calendarize'!$L269+'Electric Calendarize'!Y$4+1))</f>
        <v/>
      </c>
      <c r="Z269" t="str">
        <f ca="1">IF(OR($L269&gt;Z$4,Z$4&gt;$L269+23),"",OFFSET(Electric!$L260,0,-'Electric Calendarize'!$L269+'Electric Calendarize'!Z$4+1))</f>
        <v/>
      </c>
      <c r="AA269" t="str">
        <f ca="1">IF(OR($L269&gt;AA$4,AA$4&gt;$L269+23),"",OFFSET(Electric!$L260,0,-'Electric Calendarize'!$L269+'Electric Calendarize'!AA$4+1))</f>
        <v/>
      </c>
      <c r="AB269" t="str">
        <f ca="1">IF(OR($L269&gt;AB$4,AB$4&gt;$L269+23),"",OFFSET(Electric!$L260,0,-'Electric Calendarize'!$L269+'Electric Calendarize'!AB$4+1))</f>
        <v/>
      </c>
      <c r="AC269" t="str">
        <f ca="1">IF(OR($L269&gt;AC$4,AC$4&gt;$L269+23),"",OFFSET(Electric!$L260,0,-'Electric Calendarize'!$L269+'Electric Calendarize'!AC$4+1))</f>
        <v/>
      </c>
      <c r="AD269" t="str">
        <f ca="1">IF(OR($L269&gt;AD$4,AD$4&gt;$L269+23),"",OFFSET(Electric!$L260,0,-'Electric Calendarize'!$L269+'Electric Calendarize'!AD$4+1))</f>
        <v/>
      </c>
      <c r="AE269" t="str">
        <f ca="1">IF(OR($L269&gt;AE$4,AE$4&gt;$L269+23),"",OFFSET(Electric!$L260,0,-'Electric Calendarize'!$L269+'Electric Calendarize'!AE$4+1))</f>
        <v/>
      </c>
      <c r="AF269" t="str">
        <f ca="1">IF(OR($L269&gt;AF$4,AF$4&gt;$L269+23),"",OFFSET(Electric!$L260,0,-'Electric Calendarize'!$L269+'Electric Calendarize'!AF$4+1))</f>
        <v/>
      </c>
      <c r="AG269" t="str">
        <f ca="1">IF(OR($L269&gt;AG$4,AG$4&gt;$L269+23),"",OFFSET(Electric!$L260,0,-'Electric Calendarize'!$L269+'Electric Calendarize'!AG$4+1))</f>
        <v/>
      </c>
      <c r="AH269" t="str">
        <f ca="1">IF(OR($L269&gt;AH$4,AH$4&gt;$L269+23),"",OFFSET(Electric!$L260,0,-'Electric Calendarize'!$L269+'Electric Calendarize'!AH$4+1))</f>
        <v/>
      </c>
      <c r="AI269" t="str">
        <f ca="1">IF(OR($L269&gt;AI$4,AI$4&gt;$L269+23),"",OFFSET(Electric!$L260,0,-'Electric Calendarize'!$L269+'Electric Calendarize'!AI$4+1))</f>
        <v/>
      </c>
      <c r="AJ269" t="str">
        <f ca="1">IF(OR($L269&gt;AJ$4,AJ$4&gt;$L269+23),"",OFFSET(Electric!$L260,0,-'Electric Calendarize'!$L269+'Electric Calendarize'!AJ$4+1))</f>
        <v/>
      </c>
      <c r="AK269" t="str">
        <f ca="1">IF(OR($L269&gt;AK$4,AK$4&gt;$L269+23),"",OFFSET(Electric!$L260,0,-'Electric Calendarize'!$L269+'Electric Calendarize'!AK$4+1))</f>
        <v/>
      </c>
      <c r="AL269" t="str">
        <f ca="1">IF(OR($L269&gt;AL$4,AL$4&gt;$L269+23),"",OFFSET(Electric!$L260,0,-'Electric Calendarize'!$L269+'Electric Calendarize'!AL$4+1))</f>
        <v/>
      </c>
      <c r="AM269" t="str">
        <f ca="1">IF(OR($L269&gt;AM$4,AM$4&gt;$L269+23),"",OFFSET(Electric!$L260,0,-'Electric Calendarize'!$L269+'Electric Calendarize'!AM$4+1))</f>
        <v/>
      </c>
      <c r="AN269" t="str">
        <f ca="1">IF(OR($L269&gt;AN$4,AN$4&gt;$L269+23),"",OFFSET(Electric!$L260,0,-'Electric Calendarize'!$L269+'Electric Calendarize'!AN$4+1))</f>
        <v/>
      </c>
      <c r="AO269" t="str">
        <f ca="1">IF(OR($L269&gt;AO$4,AO$4&gt;$L269+23),"",OFFSET(Electric!$L260,0,-'Electric Calendarize'!$L269+'Electric Calendarize'!AO$4+1))</f>
        <v/>
      </c>
      <c r="AP269" t="str">
        <f ca="1">IF(OR($L269&gt;AP$4,AP$4&gt;$L269+23),"",OFFSET(Electric!$L260,0,-'Electric Calendarize'!$L269+'Electric Calendarize'!AP$4+1))</f>
        <v/>
      </c>
      <c r="AQ269" t="str">
        <f ca="1">IF(OR($L269&gt;AQ$4,AQ$4&gt;$L269+23),"",OFFSET(Electric!$L260,0,-'Electric Calendarize'!$L269+'Electric Calendarize'!AQ$4+1))</f>
        <v/>
      </c>
      <c r="AR269">
        <f ca="1">IF(OR($L269&gt;AR$4,AR$4&gt;$L269+23),"",OFFSET(Electric!$L260,0,-'Electric Calendarize'!$L269+'Electric Calendarize'!AR$4+1))</f>
        <v>587</v>
      </c>
      <c r="AS269">
        <f ca="1">IF(OR($L269&gt;AS$4,AS$4&gt;$L269+23),"",OFFSET(Electric!$L260,0,-'Electric Calendarize'!$L269+'Electric Calendarize'!AS$4+1))</f>
        <v>654</v>
      </c>
      <c r="AT269">
        <f ca="1">IF(OR($L269&gt;AT$4,AT$4&gt;$L269+23),"",OFFSET(Electric!$L260,0,-'Electric Calendarize'!$L269+'Electric Calendarize'!AT$4+1))</f>
        <v>806</v>
      </c>
      <c r="AU269">
        <f ca="1">IF(OR($L269&gt;AU$4,AU$4&gt;$L269+23),"",OFFSET(Electric!$L260,0,-'Electric Calendarize'!$L269+'Electric Calendarize'!AU$4+1))</f>
        <v>706</v>
      </c>
      <c r="AV269">
        <f ca="1">IF(OR($L269&gt;AV$4,AV$4&gt;$L269+23),"",OFFSET(Electric!$L260,0,-'Electric Calendarize'!$L269+'Electric Calendarize'!AV$4+1))</f>
        <v>793</v>
      </c>
      <c r="AW269">
        <f ca="1">IF(OR($L269&gt;AW$4,AW$4&gt;$L269+23),"",OFFSET(Electric!$L260,0,-'Electric Calendarize'!$L269+'Electric Calendarize'!AW$4+1))</f>
        <v>886</v>
      </c>
      <c r="AX269">
        <f ca="1">IF(OR($L269&gt;AX$4,AX$4&gt;$L269+23),"",OFFSET(Electric!$L260,0,-'Electric Calendarize'!$L269+'Electric Calendarize'!AX$4+1))</f>
        <v>709</v>
      </c>
      <c r="AY269">
        <f ca="1">IF(OR($L269&gt;AY$4,AY$4&gt;$L269+23),"",OFFSET(Electric!$L260,0,-'Electric Calendarize'!$L269+'Electric Calendarize'!AY$4+1))</f>
        <v>639</v>
      </c>
      <c r="AZ269">
        <f ca="1">IF(OR($L269&gt;AZ$4,AZ$4&gt;$L269+23),"",OFFSET(Electric!$L260,0,-'Electric Calendarize'!$L269+'Electric Calendarize'!AZ$4+1))</f>
        <v>649</v>
      </c>
      <c r="BA269">
        <f ca="1">IF(OR($L269&gt;BA$4,BA$4&gt;$L269+23),"",OFFSET(Electric!$L260,0,-'Electric Calendarize'!$L269+'Electric Calendarize'!BA$4+1))</f>
        <v>595</v>
      </c>
      <c r="BB269">
        <f ca="1">IF(OR($L269&gt;BB$4,BB$4&gt;$L269+23),"",OFFSET(Electric!$L260,0,-'Electric Calendarize'!$L269+'Electric Calendarize'!BB$4+1))</f>
        <v>1021</v>
      </c>
      <c r="BC269">
        <f ca="1">IF(OR($L269&gt;BC$4,BC$4&gt;$L269+23),"",OFFSET(Electric!$L260,0,-'Electric Calendarize'!$L269+'Electric Calendarize'!BC$4+1))</f>
        <v>791</v>
      </c>
      <c r="BD269">
        <f ca="1">IF(OR($L269&gt;BD$4,BD$4&gt;$L269+23),"",OFFSET(Electric!$L260,0,-'Electric Calendarize'!$L269+'Electric Calendarize'!BD$4+1))</f>
        <v>742</v>
      </c>
      <c r="BE269">
        <f ca="1">IF(OR($L269&gt;BE$4,BE$4&gt;$L269+23),"",OFFSET(Electric!$L260,0,-'Electric Calendarize'!$L269+'Electric Calendarize'!BE$4+1))</f>
        <v>1004</v>
      </c>
      <c r="BF269">
        <f ca="1">IF(OR($L269&gt;BF$4,BF$4&gt;$L269+23),"",OFFSET(Electric!$L260,0,-'Electric Calendarize'!$L269+'Electric Calendarize'!BF$4+1))</f>
        <v>2287</v>
      </c>
      <c r="BG269">
        <f ca="1">IF(OR($L269&gt;BG$4,BG$4&gt;$L269+23),"",OFFSET(Electric!$L260,0,-'Electric Calendarize'!$L269+'Electric Calendarize'!BG$4+1))</f>
        <v>0</v>
      </c>
      <c r="BJ269" s="10" t="s">
        <v>37</v>
      </c>
      <c r="BK269">
        <f t="shared" si="627"/>
        <v>1</v>
      </c>
      <c r="BL269">
        <f t="shared" si="533"/>
        <v>0</v>
      </c>
      <c r="BM269">
        <f t="shared" si="534"/>
        <v>0</v>
      </c>
      <c r="BN269">
        <f t="shared" si="535"/>
        <v>0</v>
      </c>
      <c r="BO269">
        <f t="shared" si="536"/>
        <v>0</v>
      </c>
      <c r="BP269">
        <f t="shared" si="537"/>
        <v>0</v>
      </c>
      <c r="BQ269">
        <f t="shared" si="538"/>
        <v>0</v>
      </c>
      <c r="BR269">
        <f t="shared" si="539"/>
        <v>1</v>
      </c>
      <c r="BS269">
        <f t="shared" si="540"/>
        <v>1</v>
      </c>
      <c r="BT269">
        <f t="shared" si="541"/>
        <v>1</v>
      </c>
      <c r="BU269">
        <f t="shared" si="542"/>
        <v>1</v>
      </c>
      <c r="BV269">
        <f t="shared" si="543"/>
        <v>1</v>
      </c>
      <c r="BW269">
        <f t="shared" si="544"/>
        <v>1</v>
      </c>
      <c r="BX269">
        <f t="shared" si="545"/>
        <v>0</v>
      </c>
      <c r="BY269">
        <f t="shared" si="546"/>
        <v>0</v>
      </c>
      <c r="BZ269">
        <f t="shared" si="547"/>
        <v>0</v>
      </c>
      <c r="CA269">
        <f t="shared" si="548"/>
        <v>0</v>
      </c>
      <c r="CB269">
        <f t="shared" si="549"/>
        <v>0</v>
      </c>
      <c r="CC269">
        <f t="shared" si="550"/>
        <v>0</v>
      </c>
      <c r="CD269">
        <f t="shared" si="551"/>
        <v>1</v>
      </c>
      <c r="CE269">
        <f t="shared" si="552"/>
        <v>1</v>
      </c>
      <c r="CF269">
        <f t="shared" si="553"/>
        <v>1</v>
      </c>
      <c r="CG269">
        <f t="shared" si="554"/>
        <v>1</v>
      </c>
      <c r="CH269">
        <f t="shared" si="555"/>
        <v>1</v>
      </c>
      <c r="CI269">
        <f t="shared" si="556"/>
        <v>1</v>
      </c>
      <c r="CJ269">
        <f t="shared" si="557"/>
        <v>0</v>
      </c>
      <c r="CK269">
        <f t="shared" si="558"/>
        <v>0</v>
      </c>
      <c r="CL269">
        <f t="shared" si="559"/>
        <v>0</v>
      </c>
      <c r="CM269">
        <f t="shared" si="560"/>
        <v>0</v>
      </c>
      <c r="CN269">
        <f t="shared" si="561"/>
        <v>0</v>
      </c>
      <c r="CO269">
        <f t="shared" si="562"/>
        <v>0</v>
      </c>
      <c r="CP269">
        <f t="shared" si="563"/>
        <v>1</v>
      </c>
      <c r="CQ269">
        <f t="shared" si="564"/>
        <v>1</v>
      </c>
      <c r="CR269">
        <f t="shared" si="565"/>
        <v>1</v>
      </c>
      <c r="CS269">
        <f t="shared" si="566"/>
        <v>1</v>
      </c>
      <c r="CT269">
        <f t="shared" si="567"/>
        <v>1</v>
      </c>
      <c r="CU269">
        <f t="shared" si="568"/>
        <v>1</v>
      </c>
      <c r="CV269">
        <f t="shared" si="569"/>
        <v>0</v>
      </c>
      <c r="CW269">
        <f t="shared" si="570"/>
        <v>0</v>
      </c>
      <c r="CX269">
        <f t="shared" si="571"/>
        <v>0</v>
      </c>
      <c r="CY269">
        <f t="shared" si="572"/>
        <v>0</v>
      </c>
      <c r="CZ269">
        <f t="shared" si="573"/>
        <v>0</v>
      </c>
      <c r="DA269">
        <f t="shared" si="574"/>
        <v>0</v>
      </c>
      <c r="DB269">
        <f t="shared" si="575"/>
        <v>1</v>
      </c>
      <c r="DC269">
        <f t="shared" si="576"/>
        <v>1</v>
      </c>
      <c r="DF269" s="10" t="s">
        <v>37</v>
      </c>
      <c r="DG269" t="str">
        <f t="shared" si="628"/>
        <v>2023_9</v>
      </c>
      <c r="DH269" t="str">
        <f t="shared" si="628"/>
        <v>2023_9</v>
      </c>
      <c r="DI269" t="str">
        <f t="shared" si="628"/>
        <v>2023_9</v>
      </c>
      <c r="DJ269" t="str">
        <f t="shared" si="628"/>
        <v>2023_9</v>
      </c>
      <c r="DK269" t="str">
        <f t="shared" si="628"/>
        <v>2023_9</v>
      </c>
      <c r="DL269" t="str">
        <f t="shared" si="628"/>
        <v>2023_9</v>
      </c>
      <c r="DM269" t="str">
        <f t="shared" si="628"/>
        <v>2023_9</v>
      </c>
      <c r="DN269" t="str">
        <f t="shared" si="628"/>
        <v>2023_9</v>
      </c>
      <c r="DO269" t="str">
        <f t="shared" si="628"/>
        <v>2023_9</v>
      </c>
      <c r="DP269" t="str">
        <f t="shared" si="628"/>
        <v>2023_9</v>
      </c>
      <c r="DQ269" t="str">
        <f t="shared" si="628"/>
        <v>2023_9</v>
      </c>
      <c r="DR269" t="str">
        <f t="shared" si="628"/>
        <v>2023_9</v>
      </c>
      <c r="DS269" t="str">
        <f t="shared" si="628"/>
        <v>2023_9</v>
      </c>
      <c r="DT269" t="str">
        <f t="shared" si="628"/>
        <v>2023_9</v>
      </c>
      <c r="DU269" t="str">
        <f t="shared" si="628"/>
        <v>2023_9</v>
      </c>
      <c r="DV269" t="str">
        <f t="shared" si="577"/>
        <v>2023_9</v>
      </c>
      <c r="DW269" t="str">
        <f t="shared" si="577"/>
        <v>2023_9</v>
      </c>
      <c r="DX269" t="str">
        <f t="shared" si="577"/>
        <v>2023_9</v>
      </c>
      <c r="DY269" t="str">
        <f t="shared" si="577"/>
        <v>2023_9</v>
      </c>
      <c r="DZ269" t="str">
        <f t="shared" si="577"/>
        <v>2023_9</v>
      </c>
      <c r="EA269" t="str">
        <f t="shared" si="577"/>
        <v>2023_9</v>
      </c>
      <c r="EB269" t="str">
        <f t="shared" si="577"/>
        <v>2023_9</v>
      </c>
      <c r="EC269" t="str">
        <f t="shared" si="577"/>
        <v>2023_9</v>
      </c>
      <c r="ED269" t="str">
        <f t="shared" si="577"/>
        <v>2023_9</v>
      </c>
      <c r="EE269" t="str">
        <f t="shared" si="577"/>
        <v>2023_9</v>
      </c>
      <c r="EF269" t="str">
        <f t="shared" si="577"/>
        <v>2023_9</v>
      </c>
      <c r="EG269" t="str">
        <f t="shared" si="577"/>
        <v>2023_9</v>
      </c>
      <c r="EH269" t="str">
        <f t="shared" si="577"/>
        <v>2023_9</v>
      </c>
      <c r="EI269" t="str">
        <f t="shared" si="577"/>
        <v>2023_9</v>
      </c>
      <c r="EJ269" t="str">
        <f t="shared" si="577"/>
        <v>2023_9</v>
      </c>
      <c r="EK269" t="str">
        <f t="shared" si="577"/>
        <v>2023_9</v>
      </c>
      <c r="EL269" t="str">
        <f t="shared" si="578"/>
        <v>2023_9</v>
      </c>
      <c r="EM269" t="str">
        <f t="shared" si="532"/>
        <v>2023_9</v>
      </c>
      <c r="EN269" t="str">
        <f t="shared" si="532"/>
        <v>2023_9</v>
      </c>
      <c r="EO269" t="str">
        <f t="shared" si="532"/>
        <v>2023_9</v>
      </c>
      <c r="EP269" t="str">
        <f t="shared" si="532"/>
        <v>2023_9</v>
      </c>
      <c r="EQ269" t="str">
        <f t="shared" si="532"/>
        <v>2023_9</v>
      </c>
      <c r="ER269" t="str">
        <f t="shared" si="532"/>
        <v>2023_9</v>
      </c>
      <c r="ES269" t="str">
        <f t="shared" si="532"/>
        <v>2023_9</v>
      </c>
      <c r="ET269" t="str">
        <f t="shared" si="532"/>
        <v>2023_9</v>
      </c>
      <c r="EU269" t="str">
        <f t="shared" si="532"/>
        <v>2023_9</v>
      </c>
      <c r="EV269" t="str">
        <f t="shared" si="532"/>
        <v>2023_9</v>
      </c>
      <c r="EW269" t="str">
        <f t="shared" si="532"/>
        <v>2023_9</v>
      </c>
      <c r="EX269" t="str">
        <f t="shared" si="532"/>
        <v>2023_9</v>
      </c>
      <c r="EY269" t="str">
        <f t="shared" si="532"/>
        <v>2023_9</v>
      </c>
      <c r="FB269" s="10" t="s">
        <v>37</v>
      </c>
      <c r="FC269">
        <f t="shared" si="629"/>
        <v>0</v>
      </c>
      <c r="FD269">
        <f t="shared" si="579"/>
        <v>0</v>
      </c>
      <c r="FE269">
        <f t="shared" si="580"/>
        <v>0</v>
      </c>
      <c r="FF269">
        <f t="shared" si="581"/>
        <v>0</v>
      </c>
      <c r="FG269">
        <f t="shared" si="582"/>
        <v>0</v>
      </c>
      <c r="FH269">
        <f t="shared" si="583"/>
        <v>0</v>
      </c>
      <c r="FI269">
        <f t="shared" si="584"/>
        <v>0</v>
      </c>
      <c r="FJ269">
        <f t="shared" si="585"/>
        <v>0</v>
      </c>
      <c r="FK269">
        <f t="shared" si="586"/>
        <v>0</v>
      </c>
      <c r="FL269">
        <f t="shared" si="587"/>
        <v>0</v>
      </c>
      <c r="FM269">
        <f t="shared" si="588"/>
        <v>0</v>
      </c>
      <c r="FN269">
        <f t="shared" si="589"/>
        <v>0</v>
      </c>
      <c r="FO269">
        <f t="shared" si="590"/>
        <v>0</v>
      </c>
      <c r="FP269">
        <f t="shared" si="591"/>
        <v>0</v>
      </c>
      <c r="FQ269">
        <f t="shared" si="592"/>
        <v>0</v>
      </c>
      <c r="FR269">
        <f t="shared" si="593"/>
        <v>0</v>
      </c>
      <c r="FS269">
        <f t="shared" si="594"/>
        <v>0</v>
      </c>
      <c r="FT269">
        <f t="shared" si="595"/>
        <v>0</v>
      </c>
      <c r="FU269">
        <f t="shared" si="596"/>
        <v>0</v>
      </c>
      <c r="FV269">
        <f t="shared" si="597"/>
        <v>0</v>
      </c>
      <c r="FW269">
        <f t="shared" si="598"/>
        <v>0</v>
      </c>
      <c r="FX269">
        <f t="shared" si="599"/>
        <v>0</v>
      </c>
      <c r="FY269">
        <f t="shared" si="600"/>
        <v>0</v>
      </c>
      <c r="FZ269">
        <f t="shared" si="601"/>
        <v>0</v>
      </c>
      <c r="GA269">
        <f t="shared" si="602"/>
        <v>0</v>
      </c>
      <c r="GB269">
        <f t="shared" si="603"/>
        <v>0</v>
      </c>
      <c r="GC269">
        <f t="shared" si="604"/>
        <v>0</v>
      </c>
      <c r="GD269">
        <f t="shared" si="605"/>
        <v>0</v>
      </c>
      <c r="GE269">
        <f t="shared" si="606"/>
        <v>0</v>
      </c>
      <c r="GF269">
        <f t="shared" si="607"/>
        <v>0</v>
      </c>
      <c r="GG269">
        <f t="shared" si="608"/>
        <v>0</v>
      </c>
      <c r="GH269">
        <f t="shared" si="609"/>
        <v>0</v>
      </c>
      <c r="GI269">
        <f t="shared" si="610"/>
        <v>0</v>
      </c>
      <c r="GJ269">
        <f t="shared" si="611"/>
        <v>0</v>
      </c>
      <c r="GK269">
        <f t="shared" si="612"/>
        <v>0</v>
      </c>
      <c r="GL269">
        <f t="shared" si="613"/>
        <v>0</v>
      </c>
      <c r="GM269">
        <f t="shared" si="614"/>
        <v>0</v>
      </c>
      <c r="GN269">
        <f t="shared" si="615"/>
        <v>0</v>
      </c>
      <c r="GO269">
        <f t="shared" si="616"/>
        <v>0</v>
      </c>
      <c r="GP269">
        <f t="shared" si="617"/>
        <v>0</v>
      </c>
      <c r="GQ269">
        <f t="shared" si="618"/>
        <v>0</v>
      </c>
      <c r="GR269">
        <f t="shared" si="619"/>
        <v>1</v>
      </c>
      <c r="GS269">
        <f t="shared" si="620"/>
        <v>1</v>
      </c>
      <c r="GT269">
        <f t="shared" si="621"/>
        <v>1</v>
      </c>
      <c r="GU269">
        <f t="shared" si="622"/>
        <v>1</v>
      </c>
      <c r="GX269" s="10"/>
    </row>
    <row r="270" spans="1:206" x14ac:dyDescent="0.3">
      <c r="A270" s="9" t="s">
        <v>128</v>
      </c>
      <c r="B270" s="80"/>
      <c r="C270" s="9">
        <v>3142082000</v>
      </c>
      <c r="D270" s="9" t="s">
        <v>512</v>
      </c>
      <c r="E270" s="9" t="s">
        <v>43</v>
      </c>
      <c r="F270" s="9" t="s">
        <v>35</v>
      </c>
      <c r="G270" s="9" t="s">
        <v>280</v>
      </c>
      <c r="H270" s="10">
        <v>45181</v>
      </c>
      <c r="I270" s="9">
        <f t="shared" si="623"/>
        <v>2023</v>
      </c>
      <c r="J270" s="9">
        <f t="shared" si="624"/>
        <v>9</v>
      </c>
      <c r="K270" s="9" t="str">
        <f t="shared" si="625"/>
        <v>2023_9</v>
      </c>
      <c r="L270">
        <f>MAX(0,VLOOKUP($K270,lookups!$A$1:$B$45,2,0)-12)</f>
        <v>29</v>
      </c>
      <c r="M270" s="40">
        <f t="shared" si="626"/>
        <v>45170</v>
      </c>
      <c r="N270" s="10" t="s">
        <v>37</v>
      </c>
      <c r="O270" t="str">
        <f ca="1">IF(OR($L270&gt;O$4,O$4&gt;$L270+23),"",OFFSET(Electric!$L261,0,-'Electric Calendarize'!$L270+'Electric Calendarize'!O$4+1))</f>
        <v/>
      </c>
      <c r="P270" t="str">
        <f ca="1">IF(OR($L270&gt;P$4,P$4&gt;$L270+23),"",OFFSET(Electric!$L261,0,-'Electric Calendarize'!$L270+'Electric Calendarize'!P$4+1))</f>
        <v/>
      </c>
      <c r="Q270" t="str">
        <f ca="1">IF(OR($L270&gt;Q$4,Q$4&gt;$L270+23),"",OFFSET(Electric!$L261,0,-'Electric Calendarize'!$L270+'Electric Calendarize'!Q$4+1))</f>
        <v/>
      </c>
      <c r="R270" t="str">
        <f ca="1">IF(OR($L270&gt;R$4,R$4&gt;$L270+23),"",OFFSET(Electric!$L261,0,-'Electric Calendarize'!$L270+'Electric Calendarize'!R$4+1))</f>
        <v/>
      </c>
      <c r="S270" t="str">
        <f ca="1">IF(OR($L270&gt;S$4,S$4&gt;$L270+23),"",OFFSET(Electric!$L261,0,-'Electric Calendarize'!$L270+'Electric Calendarize'!S$4+1))</f>
        <v/>
      </c>
      <c r="T270" t="str">
        <f ca="1">IF(OR($L270&gt;T$4,T$4&gt;$L270+23),"",OFFSET(Electric!$L261,0,-'Electric Calendarize'!$L270+'Electric Calendarize'!T$4+1))</f>
        <v/>
      </c>
      <c r="U270" t="str">
        <f ca="1">IF(OR($L270&gt;U$4,U$4&gt;$L270+23),"",OFFSET(Electric!$L261,0,-'Electric Calendarize'!$L270+'Electric Calendarize'!U$4+1))</f>
        <v/>
      </c>
      <c r="V270" t="str">
        <f ca="1">IF(OR($L270&gt;V$4,V$4&gt;$L270+23),"",OFFSET(Electric!$L261,0,-'Electric Calendarize'!$L270+'Electric Calendarize'!V$4+1))</f>
        <v/>
      </c>
      <c r="W270" t="str">
        <f ca="1">IF(OR($L270&gt;W$4,W$4&gt;$L270+23),"",OFFSET(Electric!$L261,0,-'Electric Calendarize'!$L270+'Electric Calendarize'!W$4+1))</f>
        <v/>
      </c>
      <c r="X270" t="str">
        <f ca="1">IF(OR($L270&gt;X$4,X$4&gt;$L270+23),"",OFFSET(Electric!$L261,0,-'Electric Calendarize'!$L270+'Electric Calendarize'!X$4+1))</f>
        <v/>
      </c>
      <c r="Y270" t="str">
        <f ca="1">IF(OR($L270&gt;Y$4,Y$4&gt;$L270+23),"",OFFSET(Electric!$L261,0,-'Electric Calendarize'!$L270+'Electric Calendarize'!Y$4+1))</f>
        <v/>
      </c>
      <c r="Z270" t="str">
        <f ca="1">IF(OR($L270&gt;Z$4,Z$4&gt;$L270+23),"",OFFSET(Electric!$L261,0,-'Electric Calendarize'!$L270+'Electric Calendarize'!Z$4+1))</f>
        <v/>
      </c>
      <c r="AA270" t="str">
        <f ca="1">IF(OR($L270&gt;AA$4,AA$4&gt;$L270+23),"",OFFSET(Electric!$L261,0,-'Electric Calendarize'!$L270+'Electric Calendarize'!AA$4+1))</f>
        <v/>
      </c>
      <c r="AB270" t="str">
        <f ca="1">IF(OR($L270&gt;AB$4,AB$4&gt;$L270+23),"",OFFSET(Electric!$L261,0,-'Electric Calendarize'!$L270+'Electric Calendarize'!AB$4+1))</f>
        <v/>
      </c>
      <c r="AC270" t="str">
        <f ca="1">IF(OR($L270&gt;AC$4,AC$4&gt;$L270+23),"",OFFSET(Electric!$L261,0,-'Electric Calendarize'!$L270+'Electric Calendarize'!AC$4+1))</f>
        <v/>
      </c>
      <c r="AD270" t="str">
        <f ca="1">IF(OR($L270&gt;AD$4,AD$4&gt;$L270+23),"",OFFSET(Electric!$L261,0,-'Electric Calendarize'!$L270+'Electric Calendarize'!AD$4+1))</f>
        <v/>
      </c>
      <c r="AE270" t="str">
        <f ca="1">IF(OR($L270&gt;AE$4,AE$4&gt;$L270+23),"",OFFSET(Electric!$L261,0,-'Electric Calendarize'!$L270+'Electric Calendarize'!AE$4+1))</f>
        <v/>
      </c>
      <c r="AF270" t="str">
        <f ca="1">IF(OR($L270&gt;AF$4,AF$4&gt;$L270+23),"",OFFSET(Electric!$L261,0,-'Electric Calendarize'!$L270+'Electric Calendarize'!AF$4+1))</f>
        <v/>
      </c>
      <c r="AG270" t="str">
        <f ca="1">IF(OR($L270&gt;AG$4,AG$4&gt;$L270+23),"",OFFSET(Electric!$L261,0,-'Electric Calendarize'!$L270+'Electric Calendarize'!AG$4+1))</f>
        <v/>
      </c>
      <c r="AH270" t="str">
        <f ca="1">IF(OR($L270&gt;AH$4,AH$4&gt;$L270+23),"",OFFSET(Electric!$L261,0,-'Electric Calendarize'!$L270+'Electric Calendarize'!AH$4+1))</f>
        <v/>
      </c>
      <c r="AI270" t="str">
        <f ca="1">IF(OR($L270&gt;AI$4,AI$4&gt;$L270+23),"",OFFSET(Electric!$L261,0,-'Electric Calendarize'!$L270+'Electric Calendarize'!AI$4+1))</f>
        <v/>
      </c>
      <c r="AJ270" t="str">
        <f ca="1">IF(OR($L270&gt;AJ$4,AJ$4&gt;$L270+23),"",OFFSET(Electric!$L261,0,-'Electric Calendarize'!$L270+'Electric Calendarize'!AJ$4+1))</f>
        <v/>
      </c>
      <c r="AK270" t="str">
        <f ca="1">IF(OR($L270&gt;AK$4,AK$4&gt;$L270+23),"",OFFSET(Electric!$L261,0,-'Electric Calendarize'!$L270+'Electric Calendarize'!AK$4+1))</f>
        <v/>
      </c>
      <c r="AL270" t="str">
        <f ca="1">IF(OR($L270&gt;AL$4,AL$4&gt;$L270+23),"",OFFSET(Electric!$L261,0,-'Electric Calendarize'!$L270+'Electric Calendarize'!AL$4+1))</f>
        <v/>
      </c>
      <c r="AM270" t="str">
        <f ca="1">IF(OR($L270&gt;AM$4,AM$4&gt;$L270+23),"",OFFSET(Electric!$L261,0,-'Electric Calendarize'!$L270+'Electric Calendarize'!AM$4+1))</f>
        <v/>
      </c>
      <c r="AN270" t="str">
        <f ca="1">IF(OR($L270&gt;AN$4,AN$4&gt;$L270+23),"",OFFSET(Electric!$L261,0,-'Electric Calendarize'!$L270+'Electric Calendarize'!AN$4+1))</f>
        <v/>
      </c>
      <c r="AO270" t="str">
        <f ca="1">IF(OR($L270&gt;AO$4,AO$4&gt;$L270+23),"",OFFSET(Electric!$L261,0,-'Electric Calendarize'!$L270+'Electric Calendarize'!AO$4+1))</f>
        <v/>
      </c>
      <c r="AP270" t="str">
        <f ca="1">IF(OR($L270&gt;AP$4,AP$4&gt;$L270+23),"",OFFSET(Electric!$L261,0,-'Electric Calendarize'!$L270+'Electric Calendarize'!AP$4+1))</f>
        <v/>
      </c>
      <c r="AQ270" t="str">
        <f ca="1">IF(OR($L270&gt;AQ$4,AQ$4&gt;$L270+23),"",OFFSET(Electric!$L261,0,-'Electric Calendarize'!$L270+'Electric Calendarize'!AQ$4+1))</f>
        <v/>
      </c>
      <c r="AR270">
        <f ca="1">IF(OR($L270&gt;AR$4,AR$4&gt;$L270+23),"",OFFSET(Electric!$L261,0,-'Electric Calendarize'!$L270+'Electric Calendarize'!AR$4+1))</f>
        <v>1140</v>
      </c>
      <c r="AS270">
        <f ca="1">IF(OR($L270&gt;AS$4,AS$4&gt;$L270+23),"",OFFSET(Electric!$L261,0,-'Electric Calendarize'!$L270+'Electric Calendarize'!AS$4+1))</f>
        <v>983</v>
      </c>
      <c r="AT270">
        <f ca="1">IF(OR($L270&gt;AT$4,AT$4&gt;$L270+23),"",OFFSET(Electric!$L261,0,-'Electric Calendarize'!$L270+'Electric Calendarize'!AT$4+1))</f>
        <v>1031</v>
      </c>
      <c r="AU270">
        <f ca="1">IF(OR($L270&gt;AU$4,AU$4&gt;$L270+23),"",OFFSET(Electric!$L261,0,-'Electric Calendarize'!$L270+'Electric Calendarize'!AU$4+1))</f>
        <v>1042</v>
      </c>
      <c r="AV270">
        <f ca="1">IF(OR($L270&gt;AV$4,AV$4&gt;$L270+23),"",OFFSET(Electric!$L261,0,-'Electric Calendarize'!$L270+'Electric Calendarize'!AV$4+1))</f>
        <v>1128</v>
      </c>
      <c r="AW270">
        <f ca="1">IF(OR($L270&gt;AW$4,AW$4&gt;$L270+23),"",OFFSET(Electric!$L261,0,-'Electric Calendarize'!$L270+'Electric Calendarize'!AW$4+1))</f>
        <v>851</v>
      </c>
      <c r="AX270">
        <f ca="1">IF(OR($L270&gt;AX$4,AX$4&gt;$L270+23),"",OFFSET(Electric!$L261,0,-'Electric Calendarize'!$L270+'Electric Calendarize'!AX$4+1))</f>
        <v>1027</v>
      </c>
      <c r="AY270">
        <f ca="1">IF(OR($L270&gt;AY$4,AY$4&gt;$L270+23),"",OFFSET(Electric!$L261,0,-'Electric Calendarize'!$L270+'Electric Calendarize'!AY$4+1))</f>
        <v>797</v>
      </c>
      <c r="AZ270">
        <f ca="1">IF(OR($L270&gt;AZ$4,AZ$4&gt;$L270+23),"",OFFSET(Electric!$L261,0,-'Electric Calendarize'!$L270+'Electric Calendarize'!AZ$4+1))</f>
        <v>677</v>
      </c>
      <c r="BA270">
        <f ca="1">IF(OR($L270&gt;BA$4,BA$4&gt;$L270+23),"",OFFSET(Electric!$L261,0,-'Electric Calendarize'!$L270+'Electric Calendarize'!BA$4+1))</f>
        <v>635</v>
      </c>
      <c r="BB270">
        <f ca="1">IF(OR($L270&gt;BB$4,BB$4&gt;$L270+23),"",OFFSET(Electric!$L261,0,-'Electric Calendarize'!$L270+'Electric Calendarize'!BB$4+1))</f>
        <v>701</v>
      </c>
      <c r="BC270">
        <f ca="1">IF(OR($L270&gt;BC$4,BC$4&gt;$L270+23),"",OFFSET(Electric!$L261,0,-'Electric Calendarize'!$L270+'Electric Calendarize'!BC$4+1))</f>
        <v>791</v>
      </c>
      <c r="BD270">
        <f ca="1">IF(OR($L270&gt;BD$4,BD$4&gt;$L270+23),"",OFFSET(Electric!$L261,0,-'Electric Calendarize'!$L270+'Electric Calendarize'!BD$4+1))</f>
        <v>788</v>
      </c>
      <c r="BE270">
        <f ca="1">IF(OR($L270&gt;BE$4,BE$4&gt;$L270+23),"",OFFSET(Electric!$L261,0,-'Electric Calendarize'!$L270+'Electric Calendarize'!BE$4+1))</f>
        <v>956</v>
      </c>
      <c r="BF270">
        <f ca="1">IF(OR($L270&gt;BF$4,BF$4&gt;$L270+23),"",OFFSET(Electric!$L261,0,-'Electric Calendarize'!$L270+'Electric Calendarize'!BF$4+1))</f>
        <v>1840</v>
      </c>
      <c r="BG270">
        <f ca="1">IF(OR($L270&gt;BG$4,BG$4&gt;$L270+23),"",OFFSET(Electric!$L261,0,-'Electric Calendarize'!$L270+'Electric Calendarize'!BG$4+1))</f>
        <v>0</v>
      </c>
      <c r="BJ270" s="10" t="s">
        <v>37</v>
      </c>
      <c r="BK270">
        <f t="shared" si="627"/>
        <v>1</v>
      </c>
      <c r="BL270">
        <f t="shared" si="533"/>
        <v>0</v>
      </c>
      <c r="BM270">
        <f t="shared" si="534"/>
        <v>0</v>
      </c>
      <c r="BN270">
        <f t="shared" si="535"/>
        <v>0</v>
      </c>
      <c r="BO270">
        <f t="shared" si="536"/>
        <v>0</v>
      </c>
      <c r="BP270">
        <f t="shared" si="537"/>
        <v>0</v>
      </c>
      <c r="BQ270">
        <f t="shared" si="538"/>
        <v>0</v>
      </c>
      <c r="BR270">
        <f t="shared" si="539"/>
        <v>1</v>
      </c>
      <c r="BS270">
        <f t="shared" si="540"/>
        <v>1</v>
      </c>
      <c r="BT270">
        <f t="shared" si="541"/>
        <v>1</v>
      </c>
      <c r="BU270">
        <f t="shared" si="542"/>
        <v>1</v>
      </c>
      <c r="BV270">
        <f t="shared" si="543"/>
        <v>1</v>
      </c>
      <c r="BW270">
        <f t="shared" si="544"/>
        <v>1</v>
      </c>
      <c r="BX270">
        <f t="shared" si="545"/>
        <v>0</v>
      </c>
      <c r="BY270">
        <f t="shared" si="546"/>
        <v>0</v>
      </c>
      <c r="BZ270">
        <f t="shared" si="547"/>
        <v>0</v>
      </c>
      <c r="CA270">
        <f t="shared" si="548"/>
        <v>0</v>
      </c>
      <c r="CB270">
        <f t="shared" si="549"/>
        <v>0</v>
      </c>
      <c r="CC270">
        <f t="shared" si="550"/>
        <v>0</v>
      </c>
      <c r="CD270">
        <f t="shared" si="551"/>
        <v>1</v>
      </c>
      <c r="CE270">
        <f t="shared" si="552"/>
        <v>1</v>
      </c>
      <c r="CF270">
        <f t="shared" si="553"/>
        <v>1</v>
      </c>
      <c r="CG270">
        <f t="shared" si="554"/>
        <v>1</v>
      </c>
      <c r="CH270">
        <f t="shared" si="555"/>
        <v>1</v>
      </c>
      <c r="CI270">
        <f t="shared" si="556"/>
        <v>1</v>
      </c>
      <c r="CJ270">
        <f t="shared" si="557"/>
        <v>0</v>
      </c>
      <c r="CK270">
        <f t="shared" si="558"/>
        <v>0</v>
      </c>
      <c r="CL270">
        <f t="shared" si="559"/>
        <v>0</v>
      </c>
      <c r="CM270">
        <f t="shared" si="560"/>
        <v>0</v>
      </c>
      <c r="CN270">
        <f t="shared" si="561"/>
        <v>0</v>
      </c>
      <c r="CO270">
        <f t="shared" si="562"/>
        <v>0</v>
      </c>
      <c r="CP270">
        <f t="shared" si="563"/>
        <v>1</v>
      </c>
      <c r="CQ270">
        <f t="shared" si="564"/>
        <v>1</v>
      </c>
      <c r="CR270">
        <f t="shared" si="565"/>
        <v>1</v>
      </c>
      <c r="CS270">
        <f t="shared" si="566"/>
        <v>1</v>
      </c>
      <c r="CT270">
        <f t="shared" si="567"/>
        <v>1</v>
      </c>
      <c r="CU270">
        <f t="shared" si="568"/>
        <v>1</v>
      </c>
      <c r="CV270">
        <f t="shared" si="569"/>
        <v>0</v>
      </c>
      <c r="CW270">
        <f t="shared" si="570"/>
        <v>0</v>
      </c>
      <c r="CX270">
        <f t="shared" si="571"/>
        <v>0</v>
      </c>
      <c r="CY270">
        <f t="shared" si="572"/>
        <v>0</v>
      </c>
      <c r="CZ270">
        <f t="shared" si="573"/>
        <v>0</v>
      </c>
      <c r="DA270">
        <f t="shared" si="574"/>
        <v>0</v>
      </c>
      <c r="DB270">
        <f t="shared" si="575"/>
        <v>1</v>
      </c>
      <c r="DC270">
        <f t="shared" si="576"/>
        <v>1</v>
      </c>
      <c r="DF270" s="10" t="s">
        <v>37</v>
      </c>
      <c r="DG270" t="str">
        <f t="shared" si="628"/>
        <v>2023_9</v>
      </c>
      <c r="DH270" t="str">
        <f t="shared" si="628"/>
        <v>2023_9</v>
      </c>
      <c r="DI270" t="str">
        <f t="shared" si="628"/>
        <v>2023_9</v>
      </c>
      <c r="DJ270" t="str">
        <f t="shared" si="628"/>
        <v>2023_9</v>
      </c>
      <c r="DK270" t="str">
        <f t="shared" si="628"/>
        <v>2023_9</v>
      </c>
      <c r="DL270" t="str">
        <f t="shared" si="628"/>
        <v>2023_9</v>
      </c>
      <c r="DM270" t="str">
        <f t="shared" si="628"/>
        <v>2023_9</v>
      </c>
      <c r="DN270" t="str">
        <f t="shared" si="628"/>
        <v>2023_9</v>
      </c>
      <c r="DO270" t="str">
        <f t="shared" si="628"/>
        <v>2023_9</v>
      </c>
      <c r="DP270" t="str">
        <f t="shared" si="628"/>
        <v>2023_9</v>
      </c>
      <c r="DQ270" t="str">
        <f t="shared" si="628"/>
        <v>2023_9</v>
      </c>
      <c r="DR270" t="str">
        <f t="shared" si="628"/>
        <v>2023_9</v>
      </c>
      <c r="DS270" t="str">
        <f t="shared" si="628"/>
        <v>2023_9</v>
      </c>
      <c r="DT270" t="str">
        <f t="shared" si="628"/>
        <v>2023_9</v>
      </c>
      <c r="DU270" t="str">
        <f t="shared" si="628"/>
        <v>2023_9</v>
      </c>
      <c r="DV270" t="str">
        <f t="shared" si="577"/>
        <v>2023_9</v>
      </c>
      <c r="DW270" t="str">
        <f t="shared" si="577"/>
        <v>2023_9</v>
      </c>
      <c r="DX270" t="str">
        <f t="shared" si="577"/>
        <v>2023_9</v>
      </c>
      <c r="DY270" t="str">
        <f t="shared" si="577"/>
        <v>2023_9</v>
      </c>
      <c r="DZ270" t="str">
        <f t="shared" si="577"/>
        <v>2023_9</v>
      </c>
      <c r="EA270" t="str">
        <f t="shared" si="577"/>
        <v>2023_9</v>
      </c>
      <c r="EB270" t="str">
        <f t="shared" si="577"/>
        <v>2023_9</v>
      </c>
      <c r="EC270" t="str">
        <f t="shared" si="577"/>
        <v>2023_9</v>
      </c>
      <c r="ED270" t="str">
        <f t="shared" si="577"/>
        <v>2023_9</v>
      </c>
      <c r="EE270" t="str">
        <f t="shared" si="577"/>
        <v>2023_9</v>
      </c>
      <c r="EF270" t="str">
        <f t="shared" si="577"/>
        <v>2023_9</v>
      </c>
      <c r="EG270" t="str">
        <f t="shared" si="577"/>
        <v>2023_9</v>
      </c>
      <c r="EH270" t="str">
        <f t="shared" si="577"/>
        <v>2023_9</v>
      </c>
      <c r="EI270" t="str">
        <f t="shared" si="577"/>
        <v>2023_9</v>
      </c>
      <c r="EJ270" t="str">
        <f t="shared" si="577"/>
        <v>2023_9</v>
      </c>
      <c r="EK270" t="str">
        <f t="shared" si="577"/>
        <v>2023_9</v>
      </c>
      <c r="EL270" t="str">
        <f t="shared" si="578"/>
        <v>2023_9</v>
      </c>
      <c r="EM270" t="str">
        <f t="shared" si="532"/>
        <v>2023_9</v>
      </c>
      <c r="EN270" t="str">
        <f t="shared" si="532"/>
        <v>2023_9</v>
      </c>
      <c r="EO270" t="str">
        <f t="shared" si="532"/>
        <v>2023_9</v>
      </c>
      <c r="EP270" t="str">
        <f t="shared" si="532"/>
        <v>2023_9</v>
      </c>
      <c r="EQ270" t="str">
        <f t="shared" si="532"/>
        <v>2023_9</v>
      </c>
      <c r="ER270" t="str">
        <f t="shared" si="532"/>
        <v>2023_9</v>
      </c>
      <c r="ES270" t="str">
        <f t="shared" si="532"/>
        <v>2023_9</v>
      </c>
      <c r="ET270" t="str">
        <f t="shared" si="532"/>
        <v>2023_9</v>
      </c>
      <c r="EU270" t="str">
        <f t="shared" si="532"/>
        <v>2023_9</v>
      </c>
      <c r="EV270" t="str">
        <f t="shared" si="532"/>
        <v>2023_9</v>
      </c>
      <c r="EW270" t="str">
        <f t="shared" si="532"/>
        <v>2023_9</v>
      </c>
      <c r="EX270" t="str">
        <f t="shared" si="532"/>
        <v>2023_9</v>
      </c>
      <c r="EY270" t="str">
        <f t="shared" si="532"/>
        <v>2023_9</v>
      </c>
      <c r="FB270" s="10" t="s">
        <v>37</v>
      </c>
      <c r="FC270">
        <f t="shared" si="629"/>
        <v>0</v>
      </c>
      <c r="FD270">
        <f t="shared" si="579"/>
        <v>0</v>
      </c>
      <c r="FE270">
        <f t="shared" si="580"/>
        <v>0</v>
      </c>
      <c r="FF270">
        <f t="shared" si="581"/>
        <v>0</v>
      </c>
      <c r="FG270">
        <f t="shared" si="582"/>
        <v>0</v>
      </c>
      <c r="FH270">
        <f t="shared" si="583"/>
        <v>0</v>
      </c>
      <c r="FI270">
        <f t="shared" si="584"/>
        <v>0</v>
      </c>
      <c r="FJ270">
        <f t="shared" si="585"/>
        <v>0</v>
      </c>
      <c r="FK270">
        <f t="shared" si="586"/>
        <v>0</v>
      </c>
      <c r="FL270">
        <f t="shared" si="587"/>
        <v>0</v>
      </c>
      <c r="FM270">
        <f t="shared" si="588"/>
        <v>0</v>
      </c>
      <c r="FN270">
        <f t="shared" si="589"/>
        <v>0</v>
      </c>
      <c r="FO270">
        <f t="shared" si="590"/>
        <v>0</v>
      </c>
      <c r="FP270">
        <f t="shared" si="591"/>
        <v>0</v>
      </c>
      <c r="FQ270">
        <f t="shared" si="592"/>
        <v>0</v>
      </c>
      <c r="FR270">
        <f t="shared" si="593"/>
        <v>0</v>
      </c>
      <c r="FS270">
        <f t="shared" si="594"/>
        <v>0</v>
      </c>
      <c r="FT270">
        <f t="shared" si="595"/>
        <v>0</v>
      </c>
      <c r="FU270">
        <f t="shared" si="596"/>
        <v>0</v>
      </c>
      <c r="FV270">
        <f t="shared" si="597"/>
        <v>0</v>
      </c>
      <c r="FW270">
        <f t="shared" si="598"/>
        <v>0</v>
      </c>
      <c r="FX270">
        <f t="shared" si="599"/>
        <v>0</v>
      </c>
      <c r="FY270">
        <f t="shared" si="600"/>
        <v>0</v>
      </c>
      <c r="FZ270">
        <f t="shared" si="601"/>
        <v>0</v>
      </c>
      <c r="GA270">
        <f t="shared" si="602"/>
        <v>0</v>
      </c>
      <c r="GB270">
        <f t="shared" si="603"/>
        <v>0</v>
      </c>
      <c r="GC270">
        <f t="shared" si="604"/>
        <v>0</v>
      </c>
      <c r="GD270">
        <f t="shared" si="605"/>
        <v>0</v>
      </c>
      <c r="GE270">
        <f t="shared" si="606"/>
        <v>0</v>
      </c>
      <c r="GF270">
        <f t="shared" si="607"/>
        <v>0</v>
      </c>
      <c r="GG270">
        <f t="shared" si="608"/>
        <v>0</v>
      </c>
      <c r="GH270">
        <f t="shared" si="609"/>
        <v>0</v>
      </c>
      <c r="GI270">
        <f t="shared" si="610"/>
        <v>0</v>
      </c>
      <c r="GJ270">
        <f t="shared" si="611"/>
        <v>0</v>
      </c>
      <c r="GK270">
        <f t="shared" si="612"/>
        <v>0</v>
      </c>
      <c r="GL270">
        <f t="shared" si="613"/>
        <v>0</v>
      </c>
      <c r="GM270">
        <f t="shared" si="614"/>
        <v>0</v>
      </c>
      <c r="GN270">
        <f t="shared" si="615"/>
        <v>0</v>
      </c>
      <c r="GO270">
        <f t="shared" si="616"/>
        <v>0</v>
      </c>
      <c r="GP270">
        <f t="shared" si="617"/>
        <v>0</v>
      </c>
      <c r="GQ270">
        <f t="shared" si="618"/>
        <v>0</v>
      </c>
      <c r="GR270">
        <f t="shared" si="619"/>
        <v>1</v>
      </c>
      <c r="GS270">
        <f t="shared" si="620"/>
        <v>1</v>
      </c>
      <c r="GT270">
        <f t="shared" si="621"/>
        <v>1</v>
      </c>
      <c r="GU270">
        <f t="shared" si="622"/>
        <v>1</v>
      </c>
      <c r="GX270" s="10"/>
    </row>
    <row r="271" spans="1:206" x14ac:dyDescent="0.3">
      <c r="A271" s="9" t="s">
        <v>33</v>
      </c>
      <c r="B271" s="80"/>
      <c r="C271" s="9">
        <v>3130464000</v>
      </c>
      <c r="D271" s="9" t="s">
        <v>513</v>
      </c>
      <c r="E271" s="9" t="s">
        <v>39</v>
      </c>
      <c r="F271" s="9" t="s">
        <v>35</v>
      </c>
      <c r="G271" s="9" t="s">
        <v>281</v>
      </c>
      <c r="H271" s="10">
        <v>45187</v>
      </c>
      <c r="I271" s="9">
        <f t="shared" si="623"/>
        <v>2023</v>
      </c>
      <c r="J271" s="9">
        <f t="shared" si="624"/>
        <v>9</v>
      </c>
      <c r="K271" s="9" t="str">
        <f t="shared" si="625"/>
        <v>2023_9</v>
      </c>
      <c r="L271">
        <f>MAX(0,VLOOKUP($K271,lookups!$A$1:$B$45,2,0)-12)</f>
        <v>29</v>
      </c>
      <c r="M271" s="40">
        <f t="shared" si="626"/>
        <v>45170</v>
      </c>
      <c r="N271" s="10" t="s">
        <v>37</v>
      </c>
      <c r="O271" t="str">
        <f ca="1">IF(OR($L271&gt;O$4,O$4&gt;$L271+23),"",OFFSET(Electric!$L262,0,-'Electric Calendarize'!$L271+'Electric Calendarize'!O$4+1))</f>
        <v/>
      </c>
      <c r="P271" t="str">
        <f ca="1">IF(OR($L271&gt;P$4,P$4&gt;$L271+23),"",OFFSET(Electric!$L262,0,-'Electric Calendarize'!$L271+'Electric Calendarize'!P$4+1))</f>
        <v/>
      </c>
      <c r="Q271" t="str">
        <f ca="1">IF(OR($L271&gt;Q$4,Q$4&gt;$L271+23),"",OFFSET(Electric!$L262,0,-'Electric Calendarize'!$L271+'Electric Calendarize'!Q$4+1))</f>
        <v/>
      </c>
      <c r="R271" t="str">
        <f ca="1">IF(OR($L271&gt;R$4,R$4&gt;$L271+23),"",OFFSET(Electric!$L262,0,-'Electric Calendarize'!$L271+'Electric Calendarize'!R$4+1))</f>
        <v/>
      </c>
      <c r="S271" t="str">
        <f ca="1">IF(OR($L271&gt;S$4,S$4&gt;$L271+23),"",OFFSET(Electric!$L262,0,-'Electric Calendarize'!$L271+'Electric Calendarize'!S$4+1))</f>
        <v/>
      </c>
      <c r="T271" t="str">
        <f ca="1">IF(OR($L271&gt;T$4,T$4&gt;$L271+23),"",OFFSET(Electric!$L262,0,-'Electric Calendarize'!$L271+'Electric Calendarize'!T$4+1))</f>
        <v/>
      </c>
      <c r="U271" t="str">
        <f ca="1">IF(OR($L271&gt;U$4,U$4&gt;$L271+23),"",OFFSET(Electric!$L262,0,-'Electric Calendarize'!$L271+'Electric Calendarize'!U$4+1))</f>
        <v/>
      </c>
      <c r="V271" t="str">
        <f ca="1">IF(OR($L271&gt;V$4,V$4&gt;$L271+23),"",OFFSET(Electric!$L262,0,-'Electric Calendarize'!$L271+'Electric Calendarize'!V$4+1))</f>
        <v/>
      </c>
      <c r="W271" t="str">
        <f ca="1">IF(OR($L271&gt;W$4,W$4&gt;$L271+23),"",OFFSET(Electric!$L262,0,-'Electric Calendarize'!$L271+'Electric Calendarize'!W$4+1))</f>
        <v/>
      </c>
      <c r="X271" t="str">
        <f ca="1">IF(OR($L271&gt;X$4,X$4&gt;$L271+23),"",OFFSET(Electric!$L262,0,-'Electric Calendarize'!$L271+'Electric Calendarize'!X$4+1))</f>
        <v/>
      </c>
      <c r="Y271" t="str">
        <f ca="1">IF(OR($L271&gt;Y$4,Y$4&gt;$L271+23),"",OFFSET(Electric!$L262,0,-'Electric Calendarize'!$L271+'Electric Calendarize'!Y$4+1))</f>
        <v/>
      </c>
      <c r="Z271" t="str">
        <f ca="1">IF(OR($L271&gt;Z$4,Z$4&gt;$L271+23),"",OFFSET(Electric!$L262,0,-'Electric Calendarize'!$L271+'Electric Calendarize'!Z$4+1))</f>
        <v/>
      </c>
      <c r="AA271" t="str">
        <f ca="1">IF(OR($L271&gt;AA$4,AA$4&gt;$L271+23),"",OFFSET(Electric!$L262,0,-'Electric Calendarize'!$L271+'Electric Calendarize'!AA$4+1))</f>
        <v/>
      </c>
      <c r="AB271" t="str">
        <f ca="1">IF(OR($L271&gt;AB$4,AB$4&gt;$L271+23),"",OFFSET(Electric!$L262,0,-'Electric Calendarize'!$L271+'Electric Calendarize'!AB$4+1))</f>
        <v/>
      </c>
      <c r="AC271" t="str">
        <f ca="1">IF(OR($L271&gt;AC$4,AC$4&gt;$L271+23),"",OFFSET(Electric!$L262,0,-'Electric Calendarize'!$L271+'Electric Calendarize'!AC$4+1))</f>
        <v/>
      </c>
      <c r="AD271" t="str">
        <f ca="1">IF(OR($L271&gt;AD$4,AD$4&gt;$L271+23),"",OFFSET(Electric!$L262,0,-'Electric Calendarize'!$L271+'Electric Calendarize'!AD$4+1))</f>
        <v/>
      </c>
      <c r="AE271" t="str">
        <f ca="1">IF(OR($L271&gt;AE$4,AE$4&gt;$L271+23),"",OFFSET(Electric!$L262,0,-'Electric Calendarize'!$L271+'Electric Calendarize'!AE$4+1))</f>
        <v/>
      </c>
      <c r="AF271" t="str">
        <f ca="1">IF(OR($L271&gt;AF$4,AF$4&gt;$L271+23),"",OFFSET(Electric!$L262,0,-'Electric Calendarize'!$L271+'Electric Calendarize'!AF$4+1))</f>
        <v/>
      </c>
      <c r="AG271" t="str">
        <f ca="1">IF(OR($L271&gt;AG$4,AG$4&gt;$L271+23),"",OFFSET(Electric!$L262,0,-'Electric Calendarize'!$L271+'Electric Calendarize'!AG$4+1))</f>
        <v/>
      </c>
      <c r="AH271" t="str">
        <f ca="1">IF(OR($L271&gt;AH$4,AH$4&gt;$L271+23),"",OFFSET(Electric!$L262,0,-'Electric Calendarize'!$L271+'Electric Calendarize'!AH$4+1))</f>
        <v/>
      </c>
      <c r="AI271" t="str">
        <f ca="1">IF(OR($L271&gt;AI$4,AI$4&gt;$L271+23),"",OFFSET(Electric!$L262,0,-'Electric Calendarize'!$L271+'Electric Calendarize'!AI$4+1))</f>
        <v/>
      </c>
      <c r="AJ271" t="str">
        <f ca="1">IF(OR($L271&gt;AJ$4,AJ$4&gt;$L271+23),"",OFFSET(Electric!$L262,0,-'Electric Calendarize'!$L271+'Electric Calendarize'!AJ$4+1))</f>
        <v/>
      </c>
      <c r="AK271" t="str">
        <f ca="1">IF(OR($L271&gt;AK$4,AK$4&gt;$L271+23),"",OFFSET(Electric!$L262,0,-'Electric Calendarize'!$L271+'Electric Calendarize'!AK$4+1))</f>
        <v/>
      </c>
      <c r="AL271" t="str">
        <f ca="1">IF(OR($L271&gt;AL$4,AL$4&gt;$L271+23),"",OFFSET(Electric!$L262,0,-'Electric Calendarize'!$L271+'Electric Calendarize'!AL$4+1))</f>
        <v/>
      </c>
      <c r="AM271" t="str">
        <f ca="1">IF(OR($L271&gt;AM$4,AM$4&gt;$L271+23),"",OFFSET(Electric!$L262,0,-'Electric Calendarize'!$L271+'Electric Calendarize'!AM$4+1))</f>
        <v/>
      </c>
      <c r="AN271" t="str">
        <f ca="1">IF(OR($L271&gt;AN$4,AN$4&gt;$L271+23),"",OFFSET(Electric!$L262,0,-'Electric Calendarize'!$L271+'Electric Calendarize'!AN$4+1))</f>
        <v/>
      </c>
      <c r="AO271" t="str">
        <f ca="1">IF(OR($L271&gt;AO$4,AO$4&gt;$L271+23),"",OFFSET(Electric!$L262,0,-'Electric Calendarize'!$L271+'Electric Calendarize'!AO$4+1))</f>
        <v/>
      </c>
      <c r="AP271" t="str">
        <f ca="1">IF(OR($L271&gt;AP$4,AP$4&gt;$L271+23),"",OFFSET(Electric!$L262,0,-'Electric Calendarize'!$L271+'Electric Calendarize'!AP$4+1))</f>
        <v/>
      </c>
      <c r="AQ271" t="str">
        <f ca="1">IF(OR($L271&gt;AQ$4,AQ$4&gt;$L271+23),"",OFFSET(Electric!$L262,0,-'Electric Calendarize'!$L271+'Electric Calendarize'!AQ$4+1))</f>
        <v/>
      </c>
      <c r="AR271">
        <f ca="1">IF(OR($L271&gt;AR$4,AR$4&gt;$L271+23),"",OFFSET(Electric!$L262,0,-'Electric Calendarize'!$L271+'Electric Calendarize'!AR$4+1))</f>
        <v>1331</v>
      </c>
      <c r="AS271">
        <f ca="1">IF(OR($L271&gt;AS$4,AS$4&gt;$L271+23),"",OFFSET(Electric!$L262,0,-'Electric Calendarize'!$L271+'Electric Calendarize'!AS$4+1))</f>
        <v>1152</v>
      </c>
      <c r="AT271">
        <f ca="1">IF(OR($L271&gt;AT$4,AT$4&gt;$L271+23),"",OFFSET(Electric!$L262,0,-'Electric Calendarize'!$L271+'Electric Calendarize'!AT$4+1))</f>
        <v>490</v>
      </c>
      <c r="AU271">
        <f ca="1">IF(OR($L271&gt;AU$4,AU$4&gt;$L271+23),"",OFFSET(Electric!$L262,0,-'Electric Calendarize'!$L271+'Electric Calendarize'!AU$4+1))</f>
        <v>716</v>
      </c>
      <c r="AV271">
        <f ca="1">IF(OR($L271&gt;AV$4,AV$4&gt;$L271+23),"",OFFSET(Electric!$L262,0,-'Electric Calendarize'!$L271+'Electric Calendarize'!AV$4+1))</f>
        <v>844</v>
      </c>
      <c r="AW271">
        <f ca="1">IF(OR($L271&gt;AW$4,AW$4&gt;$L271+23),"",OFFSET(Electric!$L262,0,-'Electric Calendarize'!$L271+'Electric Calendarize'!AW$4+1))</f>
        <v>654</v>
      </c>
      <c r="AX271">
        <f ca="1">IF(OR($L271&gt;AX$4,AX$4&gt;$L271+23),"",OFFSET(Electric!$L262,0,-'Electric Calendarize'!$L271+'Electric Calendarize'!AX$4+1))</f>
        <v>404</v>
      </c>
      <c r="AY271">
        <f ca="1">IF(OR($L271&gt;AY$4,AY$4&gt;$L271+23),"",OFFSET(Electric!$L262,0,-'Electric Calendarize'!$L271+'Electric Calendarize'!AY$4+1))</f>
        <v>641</v>
      </c>
      <c r="AZ271">
        <f ca="1">IF(OR($L271&gt;AZ$4,AZ$4&gt;$L271+23),"",OFFSET(Electric!$L262,0,-'Electric Calendarize'!$L271+'Electric Calendarize'!AZ$4+1))</f>
        <v>852</v>
      </c>
      <c r="BA271">
        <f ca="1">IF(OR($L271&gt;BA$4,BA$4&gt;$L271+23),"",OFFSET(Electric!$L262,0,-'Electric Calendarize'!$L271+'Electric Calendarize'!BA$4+1))</f>
        <v>1247</v>
      </c>
      <c r="BB271">
        <f ca="1">IF(OR($L271&gt;BB$4,BB$4&gt;$L271+23),"",OFFSET(Electric!$L262,0,-'Electric Calendarize'!$L271+'Electric Calendarize'!BB$4+1))</f>
        <v>1920</v>
      </c>
      <c r="BC271">
        <f ca="1">IF(OR($L271&gt;BC$4,BC$4&gt;$L271+23),"",OFFSET(Electric!$L262,0,-'Electric Calendarize'!$L271+'Electric Calendarize'!BC$4+1))</f>
        <v>1630</v>
      </c>
      <c r="BD271">
        <f ca="1">IF(OR($L271&gt;BD$4,BD$4&gt;$L271+23),"",OFFSET(Electric!$L262,0,-'Electric Calendarize'!$L271+'Electric Calendarize'!BD$4+1))</f>
        <v>1468</v>
      </c>
      <c r="BE271">
        <f ca="1">IF(OR($L271&gt;BE$4,BE$4&gt;$L271+23),"",OFFSET(Electric!$L262,0,-'Electric Calendarize'!$L271+'Electric Calendarize'!BE$4+1))</f>
        <v>1405</v>
      </c>
      <c r="BF271">
        <f ca="1">IF(OR($L271&gt;BF$4,BF$4&gt;$L271+23),"",OFFSET(Electric!$L262,0,-'Electric Calendarize'!$L271+'Electric Calendarize'!BF$4+1))</f>
        <v>1462</v>
      </c>
      <c r="BG271">
        <f ca="1">IF(OR($L271&gt;BG$4,BG$4&gt;$L271+23),"",OFFSET(Electric!$L262,0,-'Electric Calendarize'!$L271+'Electric Calendarize'!BG$4+1))</f>
        <v>0</v>
      </c>
      <c r="BJ271" s="10" t="s">
        <v>37</v>
      </c>
      <c r="BK271">
        <f t="shared" si="627"/>
        <v>1</v>
      </c>
      <c r="BL271">
        <f t="shared" si="533"/>
        <v>0</v>
      </c>
      <c r="BM271">
        <f t="shared" si="534"/>
        <v>0</v>
      </c>
      <c r="BN271">
        <f t="shared" si="535"/>
        <v>0</v>
      </c>
      <c r="BO271">
        <f t="shared" si="536"/>
        <v>0</v>
      </c>
      <c r="BP271">
        <f t="shared" si="537"/>
        <v>0</v>
      </c>
      <c r="BQ271">
        <f t="shared" si="538"/>
        <v>0</v>
      </c>
      <c r="BR271">
        <f t="shared" si="539"/>
        <v>1</v>
      </c>
      <c r="BS271">
        <f t="shared" si="540"/>
        <v>1</v>
      </c>
      <c r="BT271">
        <f t="shared" si="541"/>
        <v>1</v>
      </c>
      <c r="BU271">
        <f t="shared" si="542"/>
        <v>1</v>
      </c>
      <c r="BV271">
        <f t="shared" si="543"/>
        <v>1</v>
      </c>
      <c r="BW271">
        <f t="shared" si="544"/>
        <v>1</v>
      </c>
      <c r="BX271">
        <f t="shared" si="545"/>
        <v>0</v>
      </c>
      <c r="BY271">
        <f t="shared" si="546"/>
        <v>0</v>
      </c>
      <c r="BZ271">
        <f t="shared" si="547"/>
        <v>0</v>
      </c>
      <c r="CA271">
        <f t="shared" si="548"/>
        <v>0</v>
      </c>
      <c r="CB271">
        <f t="shared" si="549"/>
        <v>0</v>
      </c>
      <c r="CC271">
        <f t="shared" si="550"/>
        <v>0</v>
      </c>
      <c r="CD271">
        <f t="shared" si="551"/>
        <v>1</v>
      </c>
      <c r="CE271">
        <f t="shared" si="552"/>
        <v>1</v>
      </c>
      <c r="CF271">
        <f t="shared" si="553"/>
        <v>1</v>
      </c>
      <c r="CG271">
        <f t="shared" si="554"/>
        <v>1</v>
      </c>
      <c r="CH271">
        <f t="shared" si="555"/>
        <v>1</v>
      </c>
      <c r="CI271">
        <f t="shared" si="556"/>
        <v>1</v>
      </c>
      <c r="CJ271">
        <f t="shared" si="557"/>
        <v>0</v>
      </c>
      <c r="CK271">
        <f t="shared" si="558"/>
        <v>0</v>
      </c>
      <c r="CL271">
        <f t="shared" si="559"/>
        <v>0</v>
      </c>
      <c r="CM271">
        <f t="shared" si="560"/>
        <v>0</v>
      </c>
      <c r="CN271">
        <f t="shared" si="561"/>
        <v>0</v>
      </c>
      <c r="CO271">
        <f t="shared" si="562"/>
        <v>0</v>
      </c>
      <c r="CP271">
        <f t="shared" si="563"/>
        <v>1</v>
      </c>
      <c r="CQ271">
        <f t="shared" si="564"/>
        <v>1</v>
      </c>
      <c r="CR271">
        <f t="shared" si="565"/>
        <v>1</v>
      </c>
      <c r="CS271">
        <f t="shared" si="566"/>
        <v>1</v>
      </c>
      <c r="CT271">
        <f t="shared" si="567"/>
        <v>1</v>
      </c>
      <c r="CU271">
        <f t="shared" si="568"/>
        <v>1</v>
      </c>
      <c r="CV271">
        <f t="shared" si="569"/>
        <v>0</v>
      </c>
      <c r="CW271">
        <f t="shared" si="570"/>
        <v>0</v>
      </c>
      <c r="CX271">
        <f t="shared" si="571"/>
        <v>0</v>
      </c>
      <c r="CY271">
        <f t="shared" si="572"/>
        <v>0</v>
      </c>
      <c r="CZ271">
        <f t="shared" si="573"/>
        <v>0</v>
      </c>
      <c r="DA271">
        <f t="shared" si="574"/>
        <v>0</v>
      </c>
      <c r="DB271">
        <f t="shared" si="575"/>
        <v>1</v>
      </c>
      <c r="DC271">
        <f t="shared" si="576"/>
        <v>1</v>
      </c>
      <c r="DF271" s="10" t="s">
        <v>37</v>
      </c>
      <c r="DG271" t="str">
        <f t="shared" si="628"/>
        <v>2023_9</v>
      </c>
      <c r="DH271" t="str">
        <f t="shared" si="628"/>
        <v>2023_9</v>
      </c>
      <c r="DI271" t="str">
        <f t="shared" si="628"/>
        <v>2023_9</v>
      </c>
      <c r="DJ271" t="str">
        <f t="shared" si="628"/>
        <v>2023_9</v>
      </c>
      <c r="DK271" t="str">
        <f t="shared" si="628"/>
        <v>2023_9</v>
      </c>
      <c r="DL271" t="str">
        <f t="shared" si="628"/>
        <v>2023_9</v>
      </c>
      <c r="DM271" t="str">
        <f t="shared" si="628"/>
        <v>2023_9</v>
      </c>
      <c r="DN271" t="str">
        <f t="shared" si="628"/>
        <v>2023_9</v>
      </c>
      <c r="DO271" t="str">
        <f t="shared" si="628"/>
        <v>2023_9</v>
      </c>
      <c r="DP271" t="str">
        <f t="shared" si="628"/>
        <v>2023_9</v>
      </c>
      <c r="DQ271" t="str">
        <f t="shared" si="628"/>
        <v>2023_9</v>
      </c>
      <c r="DR271" t="str">
        <f t="shared" si="628"/>
        <v>2023_9</v>
      </c>
      <c r="DS271" t="str">
        <f t="shared" si="628"/>
        <v>2023_9</v>
      </c>
      <c r="DT271" t="str">
        <f t="shared" si="628"/>
        <v>2023_9</v>
      </c>
      <c r="DU271" t="str">
        <f t="shared" si="628"/>
        <v>2023_9</v>
      </c>
      <c r="DV271" t="str">
        <f t="shared" si="577"/>
        <v>2023_9</v>
      </c>
      <c r="DW271" t="str">
        <f t="shared" si="577"/>
        <v>2023_9</v>
      </c>
      <c r="DX271" t="str">
        <f t="shared" si="577"/>
        <v>2023_9</v>
      </c>
      <c r="DY271" t="str">
        <f t="shared" si="577"/>
        <v>2023_9</v>
      </c>
      <c r="DZ271" t="str">
        <f t="shared" si="577"/>
        <v>2023_9</v>
      </c>
      <c r="EA271" t="str">
        <f t="shared" si="577"/>
        <v>2023_9</v>
      </c>
      <c r="EB271" t="str">
        <f t="shared" si="577"/>
        <v>2023_9</v>
      </c>
      <c r="EC271" t="str">
        <f t="shared" si="577"/>
        <v>2023_9</v>
      </c>
      <c r="ED271" t="str">
        <f t="shared" si="577"/>
        <v>2023_9</v>
      </c>
      <c r="EE271" t="str">
        <f t="shared" si="577"/>
        <v>2023_9</v>
      </c>
      <c r="EF271" t="str">
        <f t="shared" si="577"/>
        <v>2023_9</v>
      </c>
      <c r="EG271" t="str">
        <f t="shared" si="577"/>
        <v>2023_9</v>
      </c>
      <c r="EH271" t="str">
        <f t="shared" si="577"/>
        <v>2023_9</v>
      </c>
      <c r="EI271" t="str">
        <f t="shared" si="577"/>
        <v>2023_9</v>
      </c>
      <c r="EJ271" t="str">
        <f t="shared" si="577"/>
        <v>2023_9</v>
      </c>
      <c r="EK271" t="str">
        <f t="shared" si="577"/>
        <v>2023_9</v>
      </c>
      <c r="EL271" t="str">
        <f t="shared" si="578"/>
        <v>2023_9</v>
      </c>
      <c r="EM271" t="str">
        <f t="shared" si="532"/>
        <v>2023_9</v>
      </c>
      <c r="EN271" t="str">
        <f t="shared" si="532"/>
        <v>2023_9</v>
      </c>
      <c r="EO271" t="str">
        <f t="shared" si="532"/>
        <v>2023_9</v>
      </c>
      <c r="EP271" t="str">
        <f t="shared" si="532"/>
        <v>2023_9</v>
      </c>
      <c r="EQ271" t="str">
        <f t="shared" si="532"/>
        <v>2023_9</v>
      </c>
      <c r="ER271" t="str">
        <f t="shared" si="532"/>
        <v>2023_9</v>
      </c>
      <c r="ES271" t="str">
        <f t="shared" si="532"/>
        <v>2023_9</v>
      </c>
      <c r="ET271" t="str">
        <f t="shared" si="532"/>
        <v>2023_9</v>
      </c>
      <c r="EU271" t="str">
        <f t="shared" si="532"/>
        <v>2023_9</v>
      </c>
      <c r="EV271" t="str">
        <f t="shared" si="532"/>
        <v>2023_9</v>
      </c>
      <c r="EW271" t="str">
        <f t="shared" si="532"/>
        <v>2023_9</v>
      </c>
      <c r="EX271" t="str">
        <f t="shared" si="532"/>
        <v>2023_9</v>
      </c>
      <c r="EY271" t="str">
        <f t="shared" si="532"/>
        <v>2023_9</v>
      </c>
      <c r="FB271" s="10" t="s">
        <v>37</v>
      </c>
      <c r="FC271">
        <f t="shared" si="629"/>
        <v>0</v>
      </c>
      <c r="FD271">
        <f t="shared" si="579"/>
        <v>0</v>
      </c>
      <c r="FE271">
        <f t="shared" si="580"/>
        <v>0</v>
      </c>
      <c r="FF271">
        <f t="shared" si="581"/>
        <v>0</v>
      </c>
      <c r="FG271">
        <f t="shared" si="582"/>
        <v>0</v>
      </c>
      <c r="FH271">
        <f t="shared" si="583"/>
        <v>0</v>
      </c>
      <c r="FI271">
        <f t="shared" si="584"/>
        <v>0</v>
      </c>
      <c r="FJ271">
        <f t="shared" si="585"/>
        <v>0</v>
      </c>
      <c r="FK271">
        <f t="shared" si="586"/>
        <v>0</v>
      </c>
      <c r="FL271">
        <f t="shared" si="587"/>
        <v>0</v>
      </c>
      <c r="FM271">
        <f t="shared" si="588"/>
        <v>0</v>
      </c>
      <c r="FN271">
        <f t="shared" si="589"/>
        <v>0</v>
      </c>
      <c r="FO271">
        <f t="shared" si="590"/>
        <v>0</v>
      </c>
      <c r="FP271">
        <f t="shared" si="591"/>
        <v>0</v>
      </c>
      <c r="FQ271">
        <f t="shared" si="592"/>
        <v>0</v>
      </c>
      <c r="FR271">
        <f t="shared" si="593"/>
        <v>0</v>
      </c>
      <c r="FS271">
        <f t="shared" si="594"/>
        <v>0</v>
      </c>
      <c r="FT271">
        <f t="shared" si="595"/>
        <v>0</v>
      </c>
      <c r="FU271">
        <f t="shared" si="596"/>
        <v>0</v>
      </c>
      <c r="FV271">
        <f t="shared" si="597"/>
        <v>0</v>
      </c>
      <c r="FW271">
        <f t="shared" si="598"/>
        <v>0</v>
      </c>
      <c r="FX271">
        <f t="shared" si="599"/>
        <v>0</v>
      </c>
      <c r="FY271">
        <f t="shared" si="600"/>
        <v>0</v>
      </c>
      <c r="FZ271">
        <f t="shared" si="601"/>
        <v>0</v>
      </c>
      <c r="GA271">
        <f t="shared" si="602"/>
        <v>0</v>
      </c>
      <c r="GB271">
        <f t="shared" si="603"/>
        <v>0</v>
      </c>
      <c r="GC271">
        <f t="shared" si="604"/>
        <v>0</v>
      </c>
      <c r="GD271">
        <f t="shared" si="605"/>
        <v>0</v>
      </c>
      <c r="GE271">
        <f t="shared" si="606"/>
        <v>0</v>
      </c>
      <c r="GF271">
        <f t="shared" si="607"/>
        <v>0</v>
      </c>
      <c r="GG271">
        <f t="shared" si="608"/>
        <v>0</v>
      </c>
      <c r="GH271">
        <f t="shared" si="609"/>
        <v>0</v>
      </c>
      <c r="GI271">
        <f t="shared" si="610"/>
        <v>0</v>
      </c>
      <c r="GJ271">
        <f t="shared" si="611"/>
        <v>0</v>
      </c>
      <c r="GK271">
        <f t="shared" si="612"/>
        <v>0</v>
      </c>
      <c r="GL271">
        <f t="shared" si="613"/>
        <v>0</v>
      </c>
      <c r="GM271">
        <f t="shared" si="614"/>
        <v>0</v>
      </c>
      <c r="GN271">
        <f t="shared" si="615"/>
        <v>0</v>
      </c>
      <c r="GO271">
        <f t="shared" si="616"/>
        <v>0</v>
      </c>
      <c r="GP271">
        <f t="shared" si="617"/>
        <v>0</v>
      </c>
      <c r="GQ271">
        <f t="shared" si="618"/>
        <v>0</v>
      </c>
      <c r="GR271">
        <f t="shared" si="619"/>
        <v>1</v>
      </c>
      <c r="GS271">
        <f t="shared" si="620"/>
        <v>1</v>
      </c>
      <c r="GT271">
        <f t="shared" si="621"/>
        <v>1</v>
      </c>
      <c r="GU271">
        <f t="shared" si="622"/>
        <v>1</v>
      </c>
      <c r="GX271" s="10"/>
    </row>
    <row r="272" spans="1:206" x14ac:dyDescent="0.3">
      <c r="A272" s="37" t="s">
        <v>117</v>
      </c>
      <c r="B272" s="86"/>
      <c r="C272" s="37">
        <v>3132492001</v>
      </c>
      <c r="D272" s="37" t="s">
        <v>514</v>
      </c>
      <c r="E272" s="37" t="s">
        <v>39</v>
      </c>
      <c r="F272" s="37" t="s">
        <v>35</v>
      </c>
      <c r="G272" s="37" t="s">
        <v>282</v>
      </c>
      <c r="H272" s="10">
        <v>45215</v>
      </c>
      <c r="I272" s="9">
        <f t="shared" si="623"/>
        <v>2023</v>
      </c>
      <c r="J272" s="9">
        <f t="shared" si="624"/>
        <v>10</v>
      </c>
      <c r="K272" s="9" t="str">
        <f t="shared" si="625"/>
        <v>2023_10</v>
      </c>
      <c r="L272">
        <f>MAX(0,VLOOKUP($K272,lookups!$A$1:$B$45,2,0)-12)</f>
        <v>30</v>
      </c>
      <c r="M272" s="40">
        <f t="shared" si="626"/>
        <v>45200</v>
      </c>
      <c r="N272" s="10" t="s">
        <v>37</v>
      </c>
      <c r="O272" t="str">
        <f ca="1">IF(OR($L272&gt;O$4,O$4&gt;$L272+23),"",OFFSET(Electric!$L263,0,-'Electric Calendarize'!$L272+'Electric Calendarize'!O$4+1))</f>
        <v/>
      </c>
      <c r="P272" t="str">
        <f ca="1">IF(OR($L272&gt;P$4,P$4&gt;$L272+23),"",OFFSET(Electric!$L263,0,-'Electric Calendarize'!$L272+'Electric Calendarize'!P$4+1))</f>
        <v/>
      </c>
      <c r="Q272" t="str">
        <f ca="1">IF(OR($L272&gt;Q$4,Q$4&gt;$L272+23),"",OFFSET(Electric!$L263,0,-'Electric Calendarize'!$L272+'Electric Calendarize'!Q$4+1))</f>
        <v/>
      </c>
      <c r="R272" t="str">
        <f ca="1">IF(OR($L272&gt;R$4,R$4&gt;$L272+23),"",OFFSET(Electric!$L263,0,-'Electric Calendarize'!$L272+'Electric Calendarize'!R$4+1))</f>
        <v/>
      </c>
      <c r="S272" t="str">
        <f ca="1">IF(OR($L272&gt;S$4,S$4&gt;$L272+23),"",OFFSET(Electric!$L263,0,-'Electric Calendarize'!$L272+'Electric Calendarize'!S$4+1))</f>
        <v/>
      </c>
      <c r="T272" t="str">
        <f ca="1">IF(OR($L272&gt;T$4,T$4&gt;$L272+23),"",OFFSET(Electric!$L263,0,-'Electric Calendarize'!$L272+'Electric Calendarize'!T$4+1))</f>
        <v/>
      </c>
      <c r="U272" t="str">
        <f ca="1">IF(OR($L272&gt;U$4,U$4&gt;$L272+23),"",OFFSET(Electric!$L263,0,-'Electric Calendarize'!$L272+'Electric Calendarize'!U$4+1))</f>
        <v/>
      </c>
      <c r="V272" t="str">
        <f ca="1">IF(OR($L272&gt;V$4,V$4&gt;$L272+23),"",OFFSET(Electric!$L263,0,-'Electric Calendarize'!$L272+'Electric Calendarize'!V$4+1))</f>
        <v/>
      </c>
      <c r="W272" t="str">
        <f ca="1">IF(OR($L272&gt;W$4,W$4&gt;$L272+23),"",OFFSET(Electric!$L263,0,-'Electric Calendarize'!$L272+'Electric Calendarize'!W$4+1))</f>
        <v/>
      </c>
      <c r="X272" t="str">
        <f ca="1">IF(OR($L272&gt;X$4,X$4&gt;$L272+23),"",OFFSET(Electric!$L263,0,-'Electric Calendarize'!$L272+'Electric Calendarize'!X$4+1))</f>
        <v/>
      </c>
      <c r="Y272" t="str">
        <f ca="1">IF(OR($L272&gt;Y$4,Y$4&gt;$L272+23),"",OFFSET(Electric!$L263,0,-'Electric Calendarize'!$L272+'Electric Calendarize'!Y$4+1))</f>
        <v/>
      </c>
      <c r="Z272" t="str">
        <f ca="1">IF(OR($L272&gt;Z$4,Z$4&gt;$L272+23),"",OFFSET(Electric!$L263,0,-'Electric Calendarize'!$L272+'Electric Calendarize'!Z$4+1))</f>
        <v/>
      </c>
      <c r="AA272" t="str">
        <f ca="1">IF(OR($L272&gt;AA$4,AA$4&gt;$L272+23),"",OFFSET(Electric!$L263,0,-'Electric Calendarize'!$L272+'Electric Calendarize'!AA$4+1))</f>
        <v/>
      </c>
      <c r="AB272" t="str">
        <f ca="1">IF(OR($L272&gt;AB$4,AB$4&gt;$L272+23),"",OFFSET(Electric!$L263,0,-'Electric Calendarize'!$L272+'Electric Calendarize'!AB$4+1))</f>
        <v/>
      </c>
      <c r="AC272" t="str">
        <f ca="1">IF(OR($L272&gt;AC$4,AC$4&gt;$L272+23),"",OFFSET(Electric!$L263,0,-'Electric Calendarize'!$L272+'Electric Calendarize'!AC$4+1))</f>
        <v/>
      </c>
      <c r="AD272" t="str">
        <f ca="1">IF(OR($L272&gt;AD$4,AD$4&gt;$L272+23),"",OFFSET(Electric!$L263,0,-'Electric Calendarize'!$L272+'Electric Calendarize'!AD$4+1))</f>
        <v/>
      </c>
      <c r="AE272" t="str">
        <f ca="1">IF(OR($L272&gt;AE$4,AE$4&gt;$L272+23),"",OFFSET(Electric!$L263,0,-'Electric Calendarize'!$L272+'Electric Calendarize'!AE$4+1))</f>
        <v/>
      </c>
      <c r="AF272" t="str">
        <f ca="1">IF(OR($L272&gt;AF$4,AF$4&gt;$L272+23),"",OFFSET(Electric!$L263,0,-'Electric Calendarize'!$L272+'Electric Calendarize'!AF$4+1))</f>
        <v/>
      </c>
      <c r="AG272" t="str">
        <f ca="1">IF(OR($L272&gt;AG$4,AG$4&gt;$L272+23),"",OFFSET(Electric!$L263,0,-'Electric Calendarize'!$L272+'Electric Calendarize'!AG$4+1))</f>
        <v/>
      </c>
      <c r="AH272" t="str">
        <f ca="1">IF(OR($L272&gt;AH$4,AH$4&gt;$L272+23),"",OFFSET(Electric!$L263,0,-'Electric Calendarize'!$L272+'Electric Calendarize'!AH$4+1))</f>
        <v/>
      </c>
      <c r="AI272" t="str">
        <f ca="1">IF(OR($L272&gt;AI$4,AI$4&gt;$L272+23),"",OFFSET(Electric!$L263,0,-'Electric Calendarize'!$L272+'Electric Calendarize'!AI$4+1))</f>
        <v/>
      </c>
      <c r="AJ272" t="str">
        <f ca="1">IF(OR($L272&gt;AJ$4,AJ$4&gt;$L272+23),"",OFFSET(Electric!$L263,0,-'Electric Calendarize'!$L272+'Electric Calendarize'!AJ$4+1))</f>
        <v/>
      </c>
      <c r="AK272" t="str">
        <f ca="1">IF(OR($L272&gt;AK$4,AK$4&gt;$L272+23),"",OFFSET(Electric!$L263,0,-'Electric Calendarize'!$L272+'Electric Calendarize'!AK$4+1))</f>
        <v/>
      </c>
      <c r="AL272" t="str">
        <f ca="1">IF(OR($L272&gt;AL$4,AL$4&gt;$L272+23),"",OFFSET(Electric!$L263,0,-'Electric Calendarize'!$L272+'Electric Calendarize'!AL$4+1))</f>
        <v/>
      </c>
      <c r="AM272" t="str">
        <f ca="1">IF(OR($L272&gt;AM$4,AM$4&gt;$L272+23),"",OFFSET(Electric!$L263,0,-'Electric Calendarize'!$L272+'Electric Calendarize'!AM$4+1))</f>
        <v/>
      </c>
      <c r="AN272" t="str">
        <f ca="1">IF(OR($L272&gt;AN$4,AN$4&gt;$L272+23),"",OFFSET(Electric!$L263,0,-'Electric Calendarize'!$L272+'Electric Calendarize'!AN$4+1))</f>
        <v/>
      </c>
      <c r="AO272" t="str">
        <f ca="1">IF(OR($L272&gt;AO$4,AO$4&gt;$L272+23),"",OFFSET(Electric!$L263,0,-'Electric Calendarize'!$L272+'Electric Calendarize'!AO$4+1))</f>
        <v/>
      </c>
      <c r="AP272" t="str">
        <f ca="1">IF(OR($L272&gt;AP$4,AP$4&gt;$L272+23),"",OFFSET(Electric!$L263,0,-'Electric Calendarize'!$L272+'Electric Calendarize'!AP$4+1))</f>
        <v/>
      </c>
      <c r="AQ272" t="str">
        <f ca="1">IF(OR($L272&gt;AQ$4,AQ$4&gt;$L272+23),"",OFFSET(Electric!$L263,0,-'Electric Calendarize'!$L272+'Electric Calendarize'!AQ$4+1))</f>
        <v/>
      </c>
      <c r="AR272" t="str">
        <f ca="1">IF(OR($L272&gt;AR$4,AR$4&gt;$L272+23),"",OFFSET(Electric!$L263,0,-'Electric Calendarize'!$L272+'Electric Calendarize'!AR$4+1))</f>
        <v/>
      </c>
      <c r="AS272">
        <f ca="1">IF(OR($L272&gt;AS$4,AS$4&gt;$L272+23),"",OFFSET(Electric!$L263,0,-'Electric Calendarize'!$L272+'Electric Calendarize'!AS$4+1))</f>
        <v>505</v>
      </c>
      <c r="AT272">
        <f ca="1">IF(OR($L272&gt;AT$4,AT$4&gt;$L272+23),"",OFFSET(Electric!$L263,0,-'Electric Calendarize'!$L272+'Electric Calendarize'!AT$4+1))</f>
        <v>391</v>
      </c>
      <c r="AU272">
        <f ca="1">IF(OR($L272&gt;AU$4,AU$4&gt;$L272+23),"",OFFSET(Electric!$L263,0,-'Electric Calendarize'!$L272+'Electric Calendarize'!AU$4+1))</f>
        <v>452</v>
      </c>
      <c r="AV272">
        <f ca="1">IF(OR($L272&gt;AV$4,AV$4&gt;$L272+23),"",OFFSET(Electric!$L263,0,-'Electric Calendarize'!$L272+'Electric Calendarize'!AV$4+1))</f>
        <v>518</v>
      </c>
      <c r="AW272">
        <f ca="1">IF(OR($L272&gt;AW$4,AW$4&gt;$L272+23),"",OFFSET(Electric!$L263,0,-'Electric Calendarize'!$L272+'Electric Calendarize'!AW$4+1))</f>
        <v>414</v>
      </c>
      <c r="AX272">
        <f ca="1">IF(OR($L272&gt;AX$4,AX$4&gt;$L272+23),"",OFFSET(Electric!$L263,0,-'Electric Calendarize'!$L272+'Electric Calendarize'!AX$4+1))</f>
        <v>359</v>
      </c>
      <c r="AY272">
        <f ca="1">IF(OR($L272&gt;AY$4,AY$4&gt;$L272+23),"",OFFSET(Electric!$L263,0,-'Electric Calendarize'!$L272+'Electric Calendarize'!AY$4+1))</f>
        <v>382</v>
      </c>
      <c r="AZ272">
        <f ca="1">IF(OR($L272&gt;AZ$4,AZ$4&gt;$L272+23),"",OFFSET(Electric!$L263,0,-'Electric Calendarize'!$L272+'Electric Calendarize'!AZ$4+1))</f>
        <v>383</v>
      </c>
      <c r="BA272">
        <f ca="1">IF(OR($L272&gt;BA$4,BA$4&gt;$L272+23),"",OFFSET(Electric!$L263,0,-'Electric Calendarize'!$L272+'Electric Calendarize'!BA$4+1))</f>
        <v>493</v>
      </c>
      <c r="BB272">
        <f ca="1">IF(OR($L272&gt;BB$4,BB$4&gt;$L272+23),"",OFFSET(Electric!$L263,0,-'Electric Calendarize'!$L272+'Electric Calendarize'!BB$4+1))</f>
        <v>982</v>
      </c>
      <c r="BC272">
        <f ca="1">IF(OR($L272&gt;BC$4,BC$4&gt;$L272+23),"",OFFSET(Electric!$L263,0,-'Electric Calendarize'!$L272+'Electric Calendarize'!BC$4+1))</f>
        <v>756</v>
      </c>
      <c r="BD272">
        <f ca="1">IF(OR($L272&gt;BD$4,BD$4&gt;$L272+23),"",OFFSET(Electric!$L263,0,-'Electric Calendarize'!$L272+'Electric Calendarize'!BD$4+1))</f>
        <v>652</v>
      </c>
      <c r="BE272">
        <f ca="1">IF(OR($L272&gt;BE$4,BE$4&gt;$L272+23),"",OFFSET(Electric!$L263,0,-'Electric Calendarize'!$L272+'Electric Calendarize'!BE$4+1))</f>
        <v>655</v>
      </c>
      <c r="BF272">
        <f ca="1">IF(OR($L272&gt;BF$4,BF$4&gt;$L272+23),"",OFFSET(Electric!$L263,0,-'Electric Calendarize'!$L272+'Electric Calendarize'!BF$4+1))</f>
        <v>1080</v>
      </c>
      <c r="BG272">
        <f ca="1">IF(OR($L272&gt;BG$4,BG$4&gt;$L272+23),"",OFFSET(Electric!$L263,0,-'Electric Calendarize'!$L272+'Electric Calendarize'!BG$4+1))</f>
        <v>0</v>
      </c>
      <c r="BJ272" s="10" t="s">
        <v>37</v>
      </c>
      <c r="BK272">
        <f t="shared" si="627"/>
        <v>1</v>
      </c>
      <c r="BL272">
        <f t="shared" si="533"/>
        <v>0</v>
      </c>
      <c r="BM272">
        <f t="shared" si="534"/>
        <v>0</v>
      </c>
      <c r="BN272">
        <f t="shared" si="535"/>
        <v>0</v>
      </c>
      <c r="BO272">
        <f t="shared" si="536"/>
        <v>0</v>
      </c>
      <c r="BP272">
        <f t="shared" si="537"/>
        <v>0</v>
      </c>
      <c r="BQ272">
        <f t="shared" si="538"/>
        <v>0</v>
      </c>
      <c r="BR272">
        <f t="shared" si="539"/>
        <v>1</v>
      </c>
      <c r="BS272">
        <f t="shared" si="540"/>
        <v>1</v>
      </c>
      <c r="BT272">
        <f t="shared" si="541"/>
        <v>1</v>
      </c>
      <c r="BU272">
        <f t="shared" si="542"/>
        <v>1</v>
      </c>
      <c r="BV272">
        <f t="shared" si="543"/>
        <v>1</v>
      </c>
      <c r="BW272">
        <f t="shared" si="544"/>
        <v>1</v>
      </c>
      <c r="BX272">
        <f t="shared" si="545"/>
        <v>0</v>
      </c>
      <c r="BY272">
        <f t="shared" si="546"/>
        <v>0</v>
      </c>
      <c r="BZ272">
        <f t="shared" si="547"/>
        <v>0</v>
      </c>
      <c r="CA272">
        <f t="shared" si="548"/>
        <v>0</v>
      </c>
      <c r="CB272">
        <f t="shared" si="549"/>
        <v>0</v>
      </c>
      <c r="CC272">
        <f t="shared" si="550"/>
        <v>0</v>
      </c>
      <c r="CD272">
        <f t="shared" si="551"/>
        <v>1</v>
      </c>
      <c r="CE272">
        <f t="shared" si="552"/>
        <v>1</v>
      </c>
      <c r="CF272">
        <f t="shared" si="553"/>
        <v>1</v>
      </c>
      <c r="CG272">
        <f t="shared" si="554"/>
        <v>1</v>
      </c>
      <c r="CH272">
        <f t="shared" si="555"/>
        <v>1</v>
      </c>
      <c r="CI272">
        <f t="shared" si="556"/>
        <v>1</v>
      </c>
      <c r="CJ272">
        <f t="shared" si="557"/>
        <v>0</v>
      </c>
      <c r="CK272">
        <f t="shared" si="558"/>
        <v>0</v>
      </c>
      <c r="CL272">
        <f t="shared" si="559"/>
        <v>0</v>
      </c>
      <c r="CM272">
        <f t="shared" si="560"/>
        <v>0</v>
      </c>
      <c r="CN272">
        <f t="shared" si="561"/>
        <v>0</v>
      </c>
      <c r="CO272">
        <f t="shared" si="562"/>
        <v>0</v>
      </c>
      <c r="CP272">
        <f t="shared" si="563"/>
        <v>1</v>
      </c>
      <c r="CQ272">
        <f t="shared" si="564"/>
        <v>1</v>
      </c>
      <c r="CR272">
        <f t="shared" si="565"/>
        <v>1</v>
      </c>
      <c r="CS272">
        <f t="shared" si="566"/>
        <v>1</v>
      </c>
      <c r="CT272">
        <f t="shared" si="567"/>
        <v>1</v>
      </c>
      <c r="CU272">
        <f t="shared" si="568"/>
        <v>1</v>
      </c>
      <c r="CV272">
        <f t="shared" si="569"/>
        <v>0</v>
      </c>
      <c r="CW272">
        <f t="shared" si="570"/>
        <v>0</v>
      </c>
      <c r="CX272">
        <f t="shared" si="571"/>
        <v>0</v>
      </c>
      <c r="CY272">
        <f t="shared" si="572"/>
        <v>0</v>
      </c>
      <c r="CZ272">
        <f t="shared" si="573"/>
        <v>0</v>
      </c>
      <c r="DA272">
        <f t="shared" si="574"/>
        <v>0</v>
      </c>
      <c r="DB272">
        <f t="shared" si="575"/>
        <v>1</v>
      </c>
      <c r="DC272">
        <f t="shared" si="576"/>
        <v>1</v>
      </c>
      <c r="DF272" s="10" t="s">
        <v>37</v>
      </c>
      <c r="DG272" t="str">
        <f t="shared" si="628"/>
        <v>2023_10</v>
      </c>
      <c r="DH272" t="str">
        <f t="shared" si="628"/>
        <v>2023_10</v>
      </c>
      <c r="DI272" t="str">
        <f t="shared" si="628"/>
        <v>2023_10</v>
      </c>
      <c r="DJ272" t="str">
        <f t="shared" si="628"/>
        <v>2023_10</v>
      </c>
      <c r="DK272" t="str">
        <f t="shared" si="628"/>
        <v>2023_10</v>
      </c>
      <c r="DL272" t="str">
        <f t="shared" si="628"/>
        <v>2023_10</v>
      </c>
      <c r="DM272" t="str">
        <f t="shared" si="628"/>
        <v>2023_10</v>
      </c>
      <c r="DN272" t="str">
        <f t="shared" si="628"/>
        <v>2023_10</v>
      </c>
      <c r="DO272" t="str">
        <f t="shared" si="628"/>
        <v>2023_10</v>
      </c>
      <c r="DP272" t="str">
        <f t="shared" si="628"/>
        <v>2023_10</v>
      </c>
      <c r="DQ272" t="str">
        <f t="shared" si="628"/>
        <v>2023_10</v>
      </c>
      <c r="DR272" t="str">
        <f t="shared" si="628"/>
        <v>2023_10</v>
      </c>
      <c r="DS272" t="str">
        <f t="shared" si="628"/>
        <v>2023_10</v>
      </c>
      <c r="DT272" t="str">
        <f t="shared" si="628"/>
        <v>2023_10</v>
      </c>
      <c r="DU272" t="str">
        <f t="shared" si="628"/>
        <v>2023_10</v>
      </c>
      <c r="DV272" t="str">
        <f t="shared" si="577"/>
        <v>2023_10</v>
      </c>
      <c r="DW272" t="str">
        <f t="shared" si="577"/>
        <v>2023_10</v>
      </c>
      <c r="DX272" t="str">
        <f t="shared" si="577"/>
        <v>2023_10</v>
      </c>
      <c r="DY272" t="str">
        <f t="shared" si="577"/>
        <v>2023_10</v>
      </c>
      <c r="DZ272" t="str">
        <f t="shared" si="577"/>
        <v>2023_10</v>
      </c>
      <c r="EA272" t="str">
        <f t="shared" si="577"/>
        <v>2023_10</v>
      </c>
      <c r="EB272" t="str">
        <f t="shared" si="577"/>
        <v>2023_10</v>
      </c>
      <c r="EC272" t="str">
        <f t="shared" si="577"/>
        <v>2023_10</v>
      </c>
      <c r="ED272" t="str">
        <f t="shared" si="577"/>
        <v>2023_10</v>
      </c>
      <c r="EE272" t="str">
        <f t="shared" si="577"/>
        <v>2023_10</v>
      </c>
      <c r="EF272" t="str">
        <f t="shared" si="577"/>
        <v>2023_10</v>
      </c>
      <c r="EG272" t="str">
        <f t="shared" si="577"/>
        <v>2023_10</v>
      </c>
      <c r="EH272" t="str">
        <f t="shared" si="577"/>
        <v>2023_10</v>
      </c>
      <c r="EI272" t="str">
        <f t="shared" si="577"/>
        <v>2023_10</v>
      </c>
      <c r="EJ272" t="str">
        <f t="shared" si="577"/>
        <v>2023_10</v>
      </c>
      <c r="EK272" t="str">
        <f t="shared" si="577"/>
        <v>2023_10</v>
      </c>
      <c r="EL272" t="str">
        <f t="shared" si="578"/>
        <v>2023_10</v>
      </c>
      <c r="EM272" t="str">
        <f t="shared" si="532"/>
        <v>2023_10</v>
      </c>
      <c r="EN272" t="str">
        <f t="shared" si="532"/>
        <v>2023_10</v>
      </c>
      <c r="EO272" t="str">
        <f t="shared" si="532"/>
        <v>2023_10</v>
      </c>
      <c r="EP272" t="str">
        <f t="shared" si="532"/>
        <v>2023_10</v>
      </c>
      <c r="EQ272" t="str">
        <f t="shared" si="532"/>
        <v>2023_10</v>
      </c>
      <c r="ER272" t="str">
        <f t="shared" si="532"/>
        <v>2023_10</v>
      </c>
      <c r="ES272" t="str">
        <f t="shared" si="532"/>
        <v>2023_10</v>
      </c>
      <c r="ET272" t="str">
        <f t="shared" si="532"/>
        <v>2023_10</v>
      </c>
      <c r="EU272" t="str">
        <f t="shared" si="532"/>
        <v>2023_10</v>
      </c>
      <c r="EV272" t="str">
        <f t="shared" si="532"/>
        <v>2023_10</v>
      </c>
      <c r="EW272" t="str">
        <f t="shared" si="532"/>
        <v>2023_10</v>
      </c>
      <c r="EX272" t="str">
        <f t="shared" si="532"/>
        <v>2023_10</v>
      </c>
      <c r="EY272" t="str">
        <f t="shared" si="532"/>
        <v>2023_10</v>
      </c>
      <c r="FB272" s="10" t="s">
        <v>37</v>
      </c>
      <c r="FC272">
        <f t="shared" si="629"/>
        <v>0</v>
      </c>
      <c r="FD272">
        <f t="shared" si="579"/>
        <v>0</v>
      </c>
      <c r="FE272">
        <f t="shared" si="580"/>
        <v>0</v>
      </c>
      <c r="FF272">
        <f t="shared" si="581"/>
        <v>0</v>
      </c>
      <c r="FG272">
        <f t="shared" si="582"/>
        <v>0</v>
      </c>
      <c r="FH272">
        <f t="shared" si="583"/>
        <v>0</v>
      </c>
      <c r="FI272">
        <f t="shared" si="584"/>
        <v>0</v>
      </c>
      <c r="FJ272">
        <f t="shared" si="585"/>
        <v>0</v>
      </c>
      <c r="FK272">
        <f t="shared" si="586"/>
        <v>0</v>
      </c>
      <c r="FL272">
        <f t="shared" si="587"/>
        <v>0</v>
      </c>
      <c r="FM272">
        <f t="shared" si="588"/>
        <v>0</v>
      </c>
      <c r="FN272">
        <f t="shared" si="589"/>
        <v>0</v>
      </c>
      <c r="FO272">
        <f t="shared" si="590"/>
        <v>0</v>
      </c>
      <c r="FP272">
        <f t="shared" si="591"/>
        <v>0</v>
      </c>
      <c r="FQ272">
        <f t="shared" si="592"/>
        <v>0</v>
      </c>
      <c r="FR272">
        <f t="shared" si="593"/>
        <v>0</v>
      </c>
      <c r="FS272">
        <f t="shared" si="594"/>
        <v>0</v>
      </c>
      <c r="FT272">
        <f t="shared" si="595"/>
        <v>0</v>
      </c>
      <c r="FU272">
        <f t="shared" si="596"/>
        <v>0</v>
      </c>
      <c r="FV272">
        <f t="shared" si="597"/>
        <v>0</v>
      </c>
      <c r="FW272">
        <f t="shared" si="598"/>
        <v>0</v>
      </c>
      <c r="FX272">
        <f t="shared" si="599"/>
        <v>0</v>
      </c>
      <c r="FY272">
        <f t="shared" si="600"/>
        <v>0</v>
      </c>
      <c r="FZ272">
        <f t="shared" si="601"/>
        <v>0</v>
      </c>
      <c r="GA272">
        <f t="shared" si="602"/>
        <v>0</v>
      </c>
      <c r="GB272">
        <f t="shared" si="603"/>
        <v>0</v>
      </c>
      <c r="GC272">
        <f t="shared" si="604"/>
        <v>0</v>
      </c>
      <c r="GD272">
        <f t="shared" si="605"/>
        <v>0</v>
      </c>
      <c r="GE272">
        <f t="shared" si="606"/>
        <v>0</v>
      </c>
      <c r="GF272">
        <f t="shared" si="607"/>
        <v>0</v>
      </c>
      <c r="GG272">
        <f t="shared" si="608"/>
        <v>0</v>
      </c>
      <c r="GH272">
        <f t="shared" si="609"/>
        <v>0</v>
      </c>
      <c r="GI272">
        <f t="shared" si="610"/>
        <v>0</v>
      </c>
      <c r="GJ272">
        <f t="shared" si="611"/>
        <v>0</v>
      </c>
      <c r="GK272">
        <f t="shared" si="612"/>
        <v>0</v>
      </c>
      <c r="GL272">
        <f t="shared" si="613"/>
        <v>0</v>
      </c>
      <c r="GM272">
        <f t="shared" si="614"/>
        <v>0</v>
      </c>
      <c r="GN272">
        <f t="shared" si="615"/>
        <v>0</v>
      </c>
      <c r="GO272">
        <f t="shared" si="616"/>
        <v>0</v>
      </c>
      <c r="GP272">
        <f t="shared" si="617"/>
        <v>0</v>
      </c>
      <c r="GQ272">
        <f t="shared" si="618"/>
        <v>0</v>
      </c>
      <c r="GR272">
        <f t="shared" si="619"/>
        <v>0</v>
      </c>
      <c r="GS272">
        <f t="shared" si="620"/>
        <v>1</v>
      </c>
      <c r="GT272">
        <f t="shared" si="621"/>
        <v>1</v>
      </c>
      <c r="GU272">
        <f t="shared" si="622"/>
        <v>1</v>
      </c>
      <c r="GX272" s="10"/>
    </row>
    <row r="273" spans="1:206" x14ac:dyDescent="0.3">
      <c r="A273" s="37" t="s">
        <v>283</v>
      </c>
      <c r="B273" s="86"/>
      <c r="C273" s="37">
        <v>3031252000</v>
      </c>
      <c r="D273" s="37" t="s">
        <v>515</v>
      </c>
      <c r="E273" s="37" t="s">
        <v>34</v>
      </c>
      <c r="F273" s="37" t="s">
        <v>35</v>
      </c>
      <c r="G273" s="37" t="s">
        <v>284</v>
      </c>
      <c r="H273" s="10">
        <v>45229</v>
      </c>
      <c r="I273" s="9">
        <f t="shared" si="623"/>
        <v>2023</v>
      </c>
      <c r="J273" s="9">
        <f t="shared" si="624"/>
        <v>10</v>
      </c>
      <c r="K273" s="9" t="str">
        <f t="shared" si="625"/>
        <v>2023_10</v>
      </c>
      <c r="L273">
        <f>MAX(0,VLOOKUP($K273,lookups!$A$1:$B$45,2,0)-12)</f>
        <v>30</v>
      </c>
      <c r="M273" s="40">
        <f t="shared" si="626"/>
        <v>45200</v>
      </c>
      <c r="N273" s="39" t="s">
        <v>172</v>
      </c>
      <c r="O273" t="str">
        <f ca="1">IF(OR($L273&gt;O$4,O$4&gt;$L273+23),"",OFFSET(Electric!$L264,0,-'Electric Calendarize'!$L273+'Electric Calendarize'!O$4+1))</f>
        <v/>
      </c>
      <c r="P273" t="str">
        <f ca="1">IF(OR($L273&gt;P$4,P$4&gt;$L273+23),"",OFFSET(Electric!$L264,0,-'Electric Calendarize'!$L273+'Electric Calendarize'!P$4+1))</f>
        <v/>
      </c>
      <c r="Q273" t="str">
        <f ca="1">IF(OR($L273&gt;Q$4,Q$4&gt;$L273+23),"",OFFSET(Electric!$L264,0,-'Electric Calendarize'!$L273+'Electric Calendarize'!Q$4+1))</f>
        <v/>
      </c>
      <c r="R273" t="str">
        <f ca="1">IF(OR($L273&gt;R$4,R$4&gt;$L273+23),"",OFFSET(Electric!$L264,0,-'Electric Calendarize'!$L273+'Electric Calendarize'!R$4+1))</f>
        <v/>
      </c>
      <c r="S273" t="str">
        <f ca="1">IF(OR($L273&gt;S$4,S$4&gt;$L273+23),"",OFFSET(Electric!$L264,0,-'Electric Calendarize'!$L273+'Electric Calendarize'!S$4+1))</f>
        <v/>
      </c>
      <c r="T273" t="str">
        <f ca="1">IF(OR($L273&gt;T$4,T$4&gt;$L273+23),"",OFFSET(Electric!$L264,0,-'Electric Calendarize'!$L273+'Electric Calendarize'!T$4+1))</f>
        <v/>
      </c>
      <c r="U273" t="str">
        <f ca="1">IF(OR($L273&gt;U$4,U$4&gt;$L273+23),"",OFFSET(Electric!$L264,0,-'Electric Calendarize'!$L273+'Electric Calendarize'!U$4+1))</f>
        <v/>
      </c>
      <c r="V273" t="str">
        <f ca="1">IF(OR($L273&gt;V$4,V$4&gt;$L273+23),"",OFFSET(Electric!$L264,0,-'Electric Calendarize'!$L273+'Electric Calendarize'!V$4+1))</f>
        <v/>
      </c>
      <c r="W273" t="str">
        <f ca="1">IF(OR($L273&gt;W$4,W$4&gt;$L273+23),"",OFFSET(Electric!$L264,0,-'Electric Calendarize'!$L273+'Electric Calendarize'!W$4+1))</f>
        <v/>
      </c>
      <c r="X273" t="str">
        <f ca="1">IF(OR($L273&gt;X$4,X$4&gt;$L273+23),"",OFFSET(Electric!$L264,0,-'Electric Calendarize'!$L273+'Electric Calendarize'!X$4+1))</f>
        <v/>
      </c>
      <c r="Y273" t="str">
        <f ca="1">IF(OR($L273&gt;Y$4,Y$4&gt;$L273+23),"",OFFSET(Electric!$L264,0,-'Electric Calendarize'!$L273+'Electric Calendarize'!Y$4+1))</f>
        <v/>
      </c>
      <c r="Z273" t="str">
        <f ca="1">IF(OR($L273&gt;Z$4,Z$4&gt;$L273+23),"",OFFSET(Electric!$L264,0,-'Electric Calendarize'!$L273+'Electric Calendarize'!Z$4+1))</f>
        <v/>
      </c>
      <c r="AA273" t="str">
        <f ca="1">IF(OR($L273&gt;AA$4,AA$4&gt;$L273+23),"",OFFSET(Electric!$L264,0,-'Electric Calendarize'!$L273+'Electric Calendarize'!AA$4+1))</f>
        <v/>
      </c>
      <c r="AB273" t="str">
        <f ca="1">IF(OR($L273&gt;AB$4,AB$4&gt;$L273+23),"",OFFSET(Electric!$L264,0,-'Electric Calendarize'!$L273+'Electric Calendarize'!AB$4+1))</f>
        <v/>
      </c>
      <c r="AC273" t="str">
        <f ca="1">IF(OR($L273&gt;AC$4,AC$4&gt;$L273+23),"",OFFSET(Electric!$L264,0,-'Electric Calendarize'!$L273+'Electric Calendarize'!AC$4+1))</f>
        <v/>
      </c>
      <c r="AD273" t="str">
        <f ca="1">IF(OR($L273&gt;AD$4,AD$4&gt;$L273+23),"",OFFSET(Electric!$L264,0,-'Electric Calendarize'!$L273+'Electric Calendarize'!AD$4+1))</f>
        <v/>
      </c>
      <c r="AE273" t="str">
        <f ca="1">IF(OR($L273&gt;AE$4,AE$4&gt;$L273+23),"",OFFSET(Electric!$L264,0,-'Electric Calendarize'!$L273+'Electric Calendarize'!AE$4+1))</f>
        <v/>
      </c>
      <c r="AF273" t="str">
        <f ca="1">IF(OR($L273&gt;AF$4,AF$4&gt;$L273+23),"",OFFSET(Electric!$L264,0,-'Electric Calendarize'!$L273+'Electric Calendarize'!AF$4+1))</f>
        <v/>
      </c>
      <c r="AG273" t="str">
        <f ca="1">IF(OR($L273&gt;AG$4,AG$4&gt;$L273+23),"",OFFSET(Electric!$L264,0,-'Electric Calendarize'!$L273+'Electric Calendarize'!AG$4+1))</f>
        <v/>
      </c>
      <c r="AH273" t="str">
        <f ca="1">IF(OR($L273&gt;AH$4,AH$4&gt;$L273+23),"",OFFSET(Electric!$L264,0,-'Electric Calendarize'!$L273+'Electric Calendarize'!AH$4+1))</f>
        <v/>
      </c>
      <c r="AI273" t="str">
        <f ca="1">IF(OR($L273&gt;AI$4,AI$4&gt;$L273+23),"",OFFSET(Electric!$L264,0,-'Electric Calendarize'!$L273+'Electric Calendarize'!AI$4+1))</f>
        <v/>
      </c>
      <c r="AJ273" t="str">
        <f ca="1">IF(OR($L273&gt;AJ$4,AJ$4&gt;$L273+23),"",OFFSET(Electric!$L264,0,-'Electric Calendarize'!$L273+'Electric Calendarize'!AJ$4+1))</f>
        <v/>
      </c>
      <c r="AK273" t="str">
        <f ca="1">IF(OR($L273&gt;AK$4,AK$4&gt;$L273+23),"",OFFSET(Electric!$L264,0,-'Electric Calendarize'!$L273+'Electric Calendarize'!AK$4+1))</f>
        <v/>
      </c>
      <c r="AL273" t="str">
        <f ca="1">IF(OR($L273&gt;AL$4,AL$4&gt;$L273+23),"",OFFSET(Electric!$L264,0,-'Electric Calendarize'!$L273+'Electric Calendarize'!AL$4+1))</f>
        <v/>
      </c>
      <c r="AM273" t="str">
        <f ca="1">IF(OR($L273&gt;AM$4,AM$4&gt;$L273+23),"",OFFSET(Electric!$L264,0,-'Electric Calendarize'!$L273+'Electric Calendarize'!AM$4+1))</f>
        <v/>
      </c>
      <c r="AN273" t="str">
        <f ca="1">IF(OR($L273&gt;AN$4,AN$4&gt;$L273+23),"",OFFSET(Electric!$L264,0,-'Electric Calendarize'!$L273+'Electric Calendarize'!AN$4+1))</f>
        <v/>
      </c>
      <c r="AO273" t="str">
        <f ca="1">IF(OR($L273&gt;AO$4,AO$4&gt;$L273+23),"",OFFSET(Electric!$L264,0,-'Electric Calendarize'!$L273+'Electric Calendarize'!AO$4+1))</f>
        <v/>
      </c>
      <c r="AP273" t="str">
        <f ca="1">IF(OR($L273&gt;AP$4,AP$4&gt;$L273+23),"",OFFSET(Electric!$L264,0,-'Electric Calendarize'!$L273+'Electric Calendarize'!AP$4+1))</f>
        <v/>
      </c>
      <c r="AQ273" t="str">
        <f ca="1">IF(OR($L273&gt;AQ$4,AQ$4&gt;$L273+23),"",OFFSET(Electric!$L264,0,-'Electric Calendarize'!$L273+'Electric Calendarize'!AQ$4+1))</f>
        <v/>
      </c>
      <c r="AR273" t="str">
        <f ca="1">IF(OR($L273&gt;AR$4,AR$4&gt;$L273+23),"",OFFSET(Electric!$L264,0,-'Electric Calendarize'!$L273+'Electric Calendarize'!AR$4+1))</f>
        <v/>
      </c>
      <c r="AS273">
        <f ca="1">IF(OR($L273&gt;AS$4,AS$4&gt;$L273+23),"",OFFSET(Electric!$L264,0,-'Electric Calendarize'!$L273+'Electric Calendarize'!AS$4+1))</f>
        <v>373</v>
      </c>
      <c r="AT273">
        <f ca="1">IF(OR($L273&gt;AT$4,AT$4&gt;$L273+23),"",OFFSET(Electric!$L264,0,-'Electric Calendarize'!$L273+'Electric Calendarize'!AT$4+1))</f>
        <v>321</v>
      </c>
      <c r="AU273">
        <f ca="1">IF(OR($L273&gt;AU$4,AU$4&gt;$L273+23),"",OFFSET(Electric!$L264,0,-'Electric Calendarize'!$L273+'Electric Calendarize'!AU$4+1))</f>
        <v>395</v>
      </c>
      <c r="AV273">
        <f ca="1">IF(OR($L273&gt;AV$4,AV$4&gt;$L273+23),"",OFFSET(Electric!$L264,0,-'Electric Calendarize'!$L273+'Electric Calendarize'!AV$4+1))</f>
        <v>466</v>
      </c>
      <c r="AW273">
        <f ca="1">IF(OR($L273&gt;AW$4,AW$4&gt;$L273+23),"",OFFSET(Electric!$L264,0,-'Electric Calendarize'!$L273+'Electric Calendarize'!AW$4+1))</f>
        <v>387</v>
      </c>
      <c r="AX273">
        <f ca="1">IF(OR($L273&gt;AX$4,AX$4&gt;$L273+23),"",OFFSET(Electric!$L264,0,-'Electric Calendarize'!$L273+'Electric Calendarize'!AX$4+1))</f>
        <v>369</v>
      </c>
      <c r="AY273">
        <f ca="1">IF(OR($L273&gt;AY$4,AY$4&gt;$L273+23),"",OFFSET(Electric!$L264,0,-'Electric Calendarize'!$L273+'Electric Calendarize'!AY$4+1))</f>
        <v>322</v>
      </c>
      <c r="AZ273">
        <f ca="1">IF(OR($L273&gt;AZ$4,AZ$4&gt;$L273+23),"",OFFSET(Electric!$L264,0,-'Electric Calendarize'!$L273+'Electric Calendarize'!AZ$4+1))</f>
        <v>293</v>
      </c>
      <c r="BA273">
        <f ca="1">IF(OR($L273&gt;BA$4,BA$4&gt;$L273+23),"",OFFSET(Electric!$L264,0,-'Electric Calendarize'!$L273+'Electric Calendarize'!BA$4+1))</f>
        <v>365</v>
      </c>
      <c r="BB273">
        <f ca="1">IF(OR($L273&gt;BB$4,BB$4&gt;$L273+23),"",OFFSET(Electric!$L264,0,-'Electric Calendarize'!$L273+'Electric Calendarize'!BB$4+1))</f>
        <v>549</v>
      </c>
      <c r="BC273">
        <f ca="1">IF(OR($L273&gt;BC$4,BC$4&gt;$L273+23),"",OFFSET(Electric!$L264,0,-'Electric Calendarize'!$L273+'Electric Calendarize'!BC$4+1))</f>
        <v>561</v>
      </c>
      <c r="BD273">
        <f ca="1">IF(OR($L273&gt;BD$4,BD$4&gt;$L273+23),"",OFFSET(Electric!$L264,0,-'Electric Calendarize'!$L273+'Electric Calendarize'!BD$4+1))</f>
        <v>495</v>
      </c>
      <c r="BE273">
        <f ca="1">IF(OR($L273&gt;BE$4,BE$4&gt;$L273+23),"",OFFSET(Electric!$L264,0,-'Electric Calendarize'!$L273+'Electric Calendarize'!BE$4+1))</f>
        <v>427</v>
      </c>
      <c r="BF273">
        <f ca="1">IF(OR($L273&gt;BF$4,BF$4&gt;$L273+23),"",OFFSET(Electric!$L264,0,-'Electric Calendarize'!$L273+'Electric Calendarize'!BF$4+1))</f>
        <v>293</v>
      </c>
      <c r="BG273">
        <f ca="1">IF(OR($L273&gt;BG$4,BG$4&gt;$L273+23),"",OFFSET(Electric!$L264,0,-'Electric Calendarize'!$L273+'Electric Calendarize'!BG$4+1))</f>
        <v>350</v>
      </c>
      <c r="BJ273" s="39" t="s">
        <v>172</v>
      </c>
      <c r="BK273">
        <f t="shared" si="627"/>
        <v>1</v>
      </c>
      <c r="BL273">
        <f t="shared" si="533"/>
        <v>0</v>
      </c>
      <c r="BM273">
        <f t="shared" si="534"/>
        <v>0</v>
      </c>
      <c r="BN273">
        <f t="shared" si="535"/>
        <v>0</v>
      </c>
      <c r="BO273">
        <f t="shared" si="536"/>
        <v>0</v>
      </c>
      <c r="BP273">
        <f t="shared" si="537"/>
        <v>0</v>
      </c>
      <c r="BQ273">
        <f t="shared" si="538"/>
        <v>0</v>
      </c>
      <c r="BR273">
        <f t="shared" si="539"/>
        <v>1</v>
      </c>
      <c r="BS273">
        <f t="shared" si="540"/>
        <v>1</v>
      </c>
      <c r="BT273">
        <f t="shared" si="541"/>
        <v>1</v>
      </c>
      <c r="BU273">
        <f t="shared" si="542"/>
        <v>1</v>
      </c>
      <c r="BV273">
        <f t="shared" si="543"/>
        <v>1</v>
      </c>
      <c r="BW273">
        <f t="shared" si="544"/>
        <v>1</v>
      </c>
      <c r="BX273">
        <f t="shared" si="545"/>
        <v>0</v>
      </c>
      <c r="BY273">
        <f t="shared" si="546"/>
        <v>0</v>
      </c>
      <c r="BZ273">
        <f t="shared" si="547"/>
        <v>0</v>
      </c>
      <c r="CA273">
        <f t="shared" si="548"/>
        <v>0</v>
      </c>
      <c r="CB273">
        <f t="shared" si="549"/>
        <v>0</v>
      </c>
      <c r="CC273">
        <f t="shared" si="550"/>
        <v>0</v>
      </c>
      <c r="CD273">
        <f t="shared" si="551"/>
        <v>1</v>
      </c>
      <c r="CE273">
        <f t="shared" si="552"/>
        <v>1</v>
      </c>
      <c r="CF273">
        <f t="shared" si="553"/>
        <v>1</v>
      </c>
      <c r="CG273">
        <f t="shared" si="554"/>
        <v>1</v>
      </c>
      <c r="CH273">
        <f t="shared" si="555"/>
        <v>1</v>
      </c>
      <c r="CI273">
        <f t="shared" si="556"/>
        <v>1</v>
      </c>
      <c r="CJ273">
        <f t="shared" si="557"/>
        <v>0</v>
      </c>
      <c r="CK273">
        <f t="shared" si="558"/>
        <v>0</v>
      </c>
      <c r="CL273">
        <f t="shared" si="559"/>
        <v>0</v>
      </c>
      <c r="CM273">
        <f t="shared" si="560"/>
        <v>0</v>
      </c>
      <c r="CN273">
        <f t="shared" si="561"/>
        <v>0</v>
      </c>
      <c r="CO273">
        <f t="shared" si="562"/>
        <v>0</v>
      </c>
      <c r="CP273">
        <f t="shared" si="563"/>
        <v>1</v>
      </c>
      <c r="CQ273">
        <f t="shared" si="564"/>
        <v>1</v>
      </c>
      <c r="CR273">
        <f t="shared" si="565"/>
        <v>1</v>
      </c>
      <c r="CS273">
        <f t="shared" si="566"/>
        <v>1</v>
      </c>
      <c r="CT273">
        <f t="shared" si="567"/>
        <v>1</v>
      </c>
      <c r="CU273">
        <f t="shared" si="568"/>
        <v>1</v>
      </c>
      <c r="CV273">
        <f t="shared" si="569"/>
        <v>0</v>
      </c>
      <c r="CW273">
        <f t="shared" si="570"/>
        <v>0</v>
      </c>
      <c r="CX273">
        <f t="shared" si="571"/>
        <v>0</v>
      </c>
      <c r="CY273">
        <f t="shared" si="572"/>
        <v>0</v>
      </c>
      <c r="CZ273">
        <f t="shared" si="573"/>
        <v>0</v>
      </c>
      <c r="DA273">
        <f t="shared" si="574"/>
        <v>0</v>
      </c>
      <c r="DB273">
        <f t="shared" si="575"/>
        <v>1</v>
      </c>
      <c r="DC273">
        <f t="shared" si="576"/>
        <v>1</v>
      </c>
      <c r="DF273" s="39" t="s">
        <v>172</v>
      </c>
      <c r="DG273" t="str">
        <f t="shared" si="628"/>
        <v>2023_10</v>
      </c>
      <c r="DH273" t="str">
        <f t="shared" si="628"/>
        <v>2023_10</v>
      </c>
      <c r="DI273" t="str">
        <f t="shared" si="628"/>
        <v>2023_10</v>
      </c>
      <c r="DJ273" t="str">
        <f t="shared" si="628"/>
        <v>2023_10</v>
      </c>
      <c r="DK273" t="str">
        <f t="shared" si="628"/>
        <v>2023_10</v>
      </c>
      <c r="DL273" t="str">
        <f t="shared" si="628"/>
        <v>2023_10</v>
      </c>
      <c r="DM273" t="str">
        <f t="shared" si="628"/>
        <v>2023_10</v>
      </c>
      <c r="DN273" t="str">
        <f t="shared" si="628"/>
        <v>2023_10</v>
      </c>
      <c r="DO273" t="str">
        <f t="shared" si="628"/>
        <v>2023_10</v>
      </c>
      <c r="DP273" t="str">
        <f t="shared" si="628"/>
        <v>2023_10</v>
      </c>
      <c r="DQ273" t="str">
        <f t="shared" si="628"/>
        <v>2023_10</v>
      </c>
      <c r="DR273" t="str">
        <f t="shared" si="628"/>
        <v>2023_10</v>
      </c>
      <c r="DS273" t="str">
        <f t="shared" si="628"/>
        <v>2023_10</v>
      </c>
      <c r="DT273" t="str">
        <f t="shared" si="628"/>
        <v>2023_10</v>
      </c>
      <c r="DU273" t="str">
        <f t="shared" si="628"/>
        <v>2023_10</v>
      </c>
      <c r="DV273" t="str">
        <f t="shared" si="577"/>
        <v>2023_10</v>
      </c>
      <c r="DW273" t="str">
        <f t="shared" si="577"/>
        <v>2023_10</v>
      </c>
      <c r="DX273" t="str">
        <f t="shared" si="577"/>
        <v>2023_10</v>
      </c>
      <c r="DY273" t="str">
        <f t="shared" si="577"/>
        <v>2023_10</v>
      </c>
      <c r="DZ273" t="str">
        <f t="shared" si="577"/>
        <v>2023_10</v>
      </c>
      <c r="EA273" t="str">
        <f t="shared" si="577"/>
        <v>2023_10</v>
      </c>
      <c r="EB273" t="str">
        <f t="shared" si="577"/>
        <v>2023_10</v>
      </c>
      <c r="EC273" t="str">
        <f t="shared" si="577"/>
        <v>2023_10</v>
      </c>
      <c r="ED273" t="str">
        <f t="shared" si="577"/>
        <v>2023_10</v>
      </c>
      <c r="EE273" t="str">
        <f t="shared" si="577"/>
        <v>2023_10</v>
      </c>
      <c r="EF273" t="str">
        <f t="shared" si="577"/>
        <v>2023_10</v>
      </c>
      <c r="EG273" t="str">
        <f t="shared" si="577"/>
        <v>2023_10</v>
      </c>
      <c r="EH273" t="str">
        <f t="shared" si="577"/>
        <v>2023_10</v>
      </c>
      <c r="EI273" t="str">
        <f t="shared" si="577"/>
        <v>2023_10</v>
      </c>
      <c r="EJ273" t="str">
        <f t="shared" si="577"/>
        <v>2023_10</v>
      </c>
      <c r="EK273" t="str">
        <f t="shared" si="577"/>
        <v>2023_10</v>
      </c>
      <c r="EL273" t="str">
        <f t="shared" si="578"/>
        <v>2023_10</v>
      </c>
      <c r="EM273" t="str">
        <f t="shared" si="532"/>
        <v>2023_10</v>
      </c>
      <c r="EN273" t="str">
        <f t="shared" si="532"/>
        <v>2023_10</v>
      </c>
      <c r="EO273" t="str">
        <f t="shared" si="532"/>
        <v>2023_10</v>
      </c>
      <c r="EP273" t="str">
        <f t="shared" si="532"/>
        <v>2023_10</v>
      </c>
      <c r="EQ273" t="str">
        <f t="shared" si="532"/>
        <v>2023_10</v>
      </c>
      <c r="ER273" t="str">
        <f t="shared" si="532"/>
        <v>2023_10</v>
      </c>
      <c r="ES273" t="str">
        <f t="shared" si="532"/>
        <v>2023_10</v>
      </c>
      <c r="ET273" t="str">
        <f t="shared" si="532"/>
        <v>2023_10</v>
      </c>
      <c r="EU273" t="str">
        <f t="shared" si="532"/>
        <v>2023_10</v>
      </c>
      <c r="EV273" t="str">
        <f t="shared" si="532"/>
        <v>2023_10</v>
      </c>
      <c r="EW273" t="str">
        <f t="shared" si="532"/>
        <v>2023_10</v>
      </c>
      <c r="EX273" t="str">
        <f t="shared" si="532"/>
        <v>2023_10</v>
      </c>
      <c r="EY273" t="str">
        <f t="shared" si="532"/>
        <v>2023_10</v>
      </c>
      <c r="FB273" s="39" t="s">
        <v>172</v>
      </c>
      <c r="FC273">
        <f t="shared" si="629"/>
        <v>0</v>
      </c>
      <c r="FD273">
        <f t="shared" si="579"/>
        <v>0</v>
      </c>
      <c r="FE273">
        <f t="shared" si="580"/>
        <v>0</v>
      </c>
      <c r="FF273">
        <f t="shared" si="581"/>
        <v>0</v>
      </c>
      <c r="FG273">
        <f t="shared" si="582"/>
        <v>0</v>
      </c>
      <c r="FH273">
        <f t="shared" si="583"/>
        <v>0</v>
      </c>
      <c r="FI273">
        <f t="shared" si="584"/>
        <v>0</v>
      </c>
      <c r="FJ273">
        <f t="shared" si="585"/>
        <v>0</v>
      </c>
      <c r="FK273">
        <f t="shared" si="586"/>
        <v>0</v>
      </c>
      <c r="FL273">
        <f t="shared" si="587"/>
        <v>0</v>
      </c>
      <c r="FM273">
        <f t="shared" si="588"/>
        <v>0</v>
      </c>
      <c r="FN273">
        <f t="shared" si="589"/>
        <v>0</v>
      </c>
      <c r="FO273">
        <f t="shared" si="590"/>
        <v>0</v>
      </c>
      <c r="FP273">
        <f t="shared" si="591"/>
        <v>0</v>
      </c>
      <c r="FQ273">
        <f t="shared" si="592"/>
        <v>0</v>
      </c>
      <c r="FR273">
        <f t="shared" si="593"/>
        <v>0</v>
      </c>
      <c r="FS273">
        <f t="shared" si="594"/>
        <v>0</v>
      </c>
      <c r="FT273">
        <f t="shared" si="595"/>
        <v>0</v>
      </c>
      <c r="FU273">
        <f t="shared" si="596"/>
        <v>0</v>
      </c>
      <c r="FV273">
        <f t="shared" si="597"/>
        <v>0</v>
      </c>
      <c r="FW273">
        <f t="shared" si="598"/>
        <v>0</v>
      </c>
      <c r="FX273">
        <f t="shared" si="599"/>
        <v>0</v>
      </c>
      <c r="FY273">
        <f t="shared" si="600"/>
        <v>0</v>
      </c>
      <c r="FZ273">
        <f t="shared" si="601"/>
        <v>0</v>
      </c>
      <c r="GA273">
        <f t="shared" si="602"/>
        <v>0</v>
      </c>
      <c r="GB273">
        <f t="shared" si="603"/>
        <v>0</v>
      </c>
      <c r="GC273">
        <f t="shared" si="604"/>
        <v>0</v>
      </c>
      <c r="GD273">
        <f t="shared" si="605"/>
        <v>0</v>
      </c>
      <c r="GE273">
        <f t="shared" si="606"/>
        <v>0</v>
      </c>
      <c r="GF273">
        <f t="shared" si="607"/>
        <v>0</v>
      </c>
      <c r="GG273">
        <f t="shared" si="608"/>
        <v>0</v>
      </c>
      <c r="GH273">
        <f t="shared" si="609"/>
        <v>0</v>
      </c>
      <c r="GI273">
        <f t="shared" si="610"/>
        <v>0</v>
      </c>
      <c r="GJ273">
        <f t="shared" si="611"/>
        <v>0</v>
      </c>
      <c r="GK273">
        <f t="shared" si="612"/>
        <v>0</v>
      </c>
      <c r="GL273">
        <f t="shared" si="613"/>
        <v>0</v>
      </c>
      <c r="GM273">
        <f t="shared" si="614"/>
        <v>0</v>
      </c>
      <c r="GN273">
        <f t="shared" si="615"/>
        <v>0</v>
      </c>
      <c r="GO273">
        <f t="shared" si="616"/>
        <v>0</v>
      </c>
      <c r="GP273">
        <f t="shared" si="617"/>
        <v>0</v>
      </c>
      <c r="GQ273">
        <f t="shared" si="618"/>
        <v>0</v>
      </c>
      <c r="GR273">
        <f t="shared" si="619"/>
        <v>0</v>
      </c>
      <c r="GS273">
        <f t="shared" si="620"/>
        <v>1</v>
      </c>
      <c r="GT273">
        <f t="shared" si="621"/>
        <v>1</v>
      </c>
      <c r="GU273">
        <f t="shared" si="622"/>
        <v>1</v>
      </c>
      <c r="GX273" s="39"/>
    </row>
    <row r="274" spans="1:206" x14ac:dyDescent="0.3">
      <c r="A274" s="9" t="s">
        <v>124</v>
      </c>
      <c r="B274" s="80"/>
      <c r="C274" s="9">
        <v>3102168000</v>
      </c>
      <c r="D274" s="9" t="s">
        <v>419</v>
      </c>
      <c r="E274" s="9" t="s">
        <v>39</v>
      </c>
      <c r="F274" s="9" t="s">
        <v>35</v>
      </c>
      <c r="G274" s="9" t="s">
        <v>285</v>
      </c>
      <c r="H274" s="10">
        <v>45247</v>
      </c>
      <c r="I274" s="9">
        <f t="shared" si="623"/>
        <v>2023</v>
      </c>
      <c r="J274" s="9">
        <f t="shared" si="624"/>
        <v>11</v>
      </c>
      <c r="K274" s="9" t="str">
        <f t="shared" si="625"/>
        <v>2023_11</v>
      </c>
      <c r="L274">
        <f>MAX(0,VLOOKUP($K274,lookups!$A$1:$B$45,2,0)-12)</f>
        <v>31</v>
      </c>
      <c r="M274" s="40">
        <f t="shared" si="626"/>
        <v>45231</v>
      </c>
      <c r="N274" s="10" t="s">
        <v>37</v>
      </c>
      <c r="O274" t="str">
        <f ca="1">IF(OR($L274&gt;O$4,O$4&gt;$L274+23),"",OFFSET(Electric!$L265,0,-'Electric Calendarize'!$L274+'Electric Calendarize'!O$4+1))</f>
        <v/>
      </c>
      <c r="P274" t="str">
        <f ca="1">IF(OR($L274&gt;P$4,P$4&gt;$L274+23),"",OFFSET(Electric!$L265,0,-'Electric Calendarize'!$L274+'Electric Calendarize'!P$4+1))</f>
        <v/>
      </c>
      <c r="Q274" t="str">
        <f ca="1">IF(OR($L274&gt;Q$4,Q$4&gt;$L274+23),"",OFFSET(Electric!$L265,0,-'Electric Calendarize'!$L274+'Electric Calendarize'!Q$4+1))</f>
        <v/>
      </c>
      <c r="R274" t="str">
        <f ca="1">IF(OR($L274&gt;R$4,R$4&gt;$L274+23),"",OFFSET(Electric!$L265,0,-'Electric Calendarize'!$L274+'Electric Calendarize'!R$4+1))</f>
        <v/>
      </c>
      <c r="S274" t="str">
        <f ca="1">IF(OR($L274&gt;S$4,S$4&gt;$L274+23),"",OFFSET(Electric!$L265,0,-'Electric Calendarize'!$L274+'Electric Calendarize'!S$4+1))</f>
        <v/>
      </c>
      <c r="T274" t="str">
        <f ca="1">IF(OR($L274&gt;T$4,T$4&gt;$L274+23),"",OFFSET(Electric!$L265,0,-'Electric Calendarize'!$L274+'Electric Calendarize'!T$4+1))</f>
        <v/>
      </c>
      <c r="U274" t="str">
        <f ca="1">IF(OR($L274&gt;U$4,U$4&gt;$L274+23),"",OFFSET(Electric!$L265,0,-'Electric Calendarize'!$L274+'Electric Calendarize'!U$4+1))</f>
        <v/>
      </c>
      <c r="V274" t="str">
        <f ca="1">IF(OR($L274&gt;V$4,V$4&gt;$L274+23),"",OFFSET(Electric!$L265,0,-'Electric Calendarize'!$L274+'Electric Calendarize'!V$4+1))</f>
        <v/>
      </c>
      <c r="W274" t="str">
        <f ca="1">IF(OR($L274&gt;W$4,W$4&gt;$L274+23),"",OFFSET(Electric!$L265,0,-'Electric Calendarize'!$L274+'Electric Calendarize'!W$4+1))</f>
        <v/>
      </c>
      <c r="X274" t="str">
        <f ca="1">IF(OR($L274&gt;X$4,X$4&gt;$L274+23),"",OFFSET(Electric!$L265,0,-'Electric Calendarize'!$L274+'Electric Calendarize'!X$4+1))</f>
        <v/>
      </c>
      <c r="Y274" t="str">
        <f ca="1">IF(OR($L274&gt;Y$4,Y$4&gt;$L274+23),"",OFFSET(Electric!$L265,0,-'Electric Calendarize'!$L274+'Electric Calendarize'!Y$4+1))</f>
        <v/>
      </c>
      <c r="Z274" t="str">
        <f ca="1">IF(OR($L274&gt;Z$4,Z$4&gt;$L274+23),"",OFFSET(Electric!$L265,0,-'Electric Calendarize'!$L274+'Electric Calendarize'!Z$4+1))</f>
        <v/>
      </c>
      <c r="AA274" t="str">
        <f ca="1">IF(OR($L274&gt;AA$4,AA$4&gt;$L274+23),"",OFFSET(Electric!$L265,0,-'Electric Calendarize'!$L274+'Electric Calendarize'!AA$4+1))</f>
        <v/>
      </c>
      <c r="AB274" t="str">
        <f ca="1">IF(OR($L274&gt;AB$4,AB$4&gt;$L274+23),"",OFFSET(Electric!$L265,0,-'Electric Calendarize'!$L274+'Electric Calendarize'!AB$4+1))</f>
        <v/>
      </c>
      <c r="AC274" t="str">
        <f ca="1">IF(OR($L274&gt;AC$4,AC$4&gt;$L274+23),"",OFFSET(Electric!$L265,0,-'Electric Calendarize'!$L274+'Electric Calendarize'!AC$4+1))</f>
        <v/>
      </c>
      <c r="AD274" t="str">
        <f ca="1">IF(OR($L274&gt;AD$4,AD$4&gt;$L274+23),"",OFFSET(Electric!$L265,0,-'Electric Calendarize'!$L274+'Electric Calendarize'!AD$4+1))</f>
        <v/>
      </c>
      <c r="AE274" t="str">
        <f ca="1">IF(OR($L274&gt;AE$4,AE$4&gt;$L274+23),"",OFFSET(Electric!$L265,0,-'Electric Calendarize'!$L274+'Electric Calendarize'!AE$4+1))</f>
        <v/>
      </c>
      <c r="AF274" t="str">
        <f ca="1">IF(OR($L274&gt;AF$4,AF$4&gt;$L274+23),"",OFFSET(Electric!$L265,0,-'Electric Calendarize'!$L274+'Electric Calendarize'!AF$4+1))</f>
        <v/>
      </c>
      <c r="AG274" t="str">
        <f ca="1">IF(OR($L274&gt;AG$4,AG$4&gt;$L274+23),"",OFFSET(Electric!$L265,0,-'Electric Calendarize'!$L274+'Electric Calendarize'!AG$4+1))</f>
        <v/>
      </c>
      <c r="AH274" t="str">
        <f ca="1">IF(OR($L274&gt;AH$4,AH$4&gt;$L274+23),"",OFFSET(Electric!$L265,0,-'Electric Calendarize'!$L274+'Electric Calendarize'!AH$4+1))</f>
        <v/>
      </c>
      <c r="AI274" t="str">
        <f ca="1">IF(OR($L274&gt;AI$4,AI$4&gt;$L274+23),"",OFFSET(Electric!$L265,0,-'Electric Calendarize'!$L274+'Electric Calendarize'!AI$4+1))</f>
        <v/>
      </c>
      <c r="AJ274" t="str">
        <f ca="1">IF(OR($L274&gt;AJ$4,AJ$4&gt;$L274+23),"",OFFSET(Electric!$L265,0,-'Electric Calendarize'!$L274+'Electric Calendarize'!AJ$4+1))</f>
        <v/>
      </c>
      <c r="AK274" t="str">
        <f ca="1">IF(OR($L274&gt;AK$4,AK$4&gt;$L274+23),"",OFFSET(Electric!$L265,0,-'Electric Calendarize'!$L274+'Electric Calendarize'!AK$4+1))</f>
        <v/>
      </c>
      <c r="AL274" t="str">
        <f ca="1">IF(OR($L274&gt;AL$4,AL$4&gt;$L274+23),"",OFFSET(Electric!$L265,0,-'Electric Calendarize'!$L274+'Electric Calendarize'!AL$4+1))</f>
        <v/>
      </c>
      <c r="AM274" t="str">
        <f ca="1">IF(OR($L274&gt;AM$4,AM$4&gt;$L274+23),"",OFFSET(Electric!$L265,0,-'Electric Calendarize'!$L274+'Electric Calendarize'!AM$4+1))</f>
        <v/>
      </c>
      <c r="AN274" t="str">
        <f ca="1">IF(OR($L274&gt;AN$4,AN$4&gt;$L274+23),"",OFFSET(Electric!$L265,0,-'Electric Calendarize'!$L274+'Electric Calendarize'!AN$4+1))</f>
        <v/>
      </c>
      <c r="AO274" t="str">
        <f ca="1">IF(OR($L274&gt;AO$4,AO$4&gt;$L274+23),"",OFFSET(Electric!$L265,0,-'Electric Calendarize'!$L274+'Electric Calendarize'!AO$4+1))</f>
        <v/>
      </c>
      <c r="AP274" t="str">
        <f ca="1">IF(OR($L274&gt;AP$4,AP$4&gt;$L274+23),"",OFFSET(Electric!$L265,0,-'Electric Calendarize'!$L274+'Electric Calendarize'!AP$4+1))</f>
        <v/>
      </c>
      <c r="AQ274" t="str">
        <f ca="1">IF(OR($L274&gt;AQ$4,AQ$4&gt;$L274+23),"",OFFSET(Electric!$L265,0,-'Electric Calendarize'!$L274+'Electric Calendarize'!AQ$4+1))</f>
        <v/>
      </c>
      <c r="AR274" t="str">
        <f ca="1">IF(OR($L274&gt;AR$4,AR$4&gt;$L274+23),"",OFFSET(Electric!$L265,0,-'Electric Calendarize'!$L274+'Electric Calendarize'!AR$4+1))</f>
        <v/>
      </c>
      <c r="AS274" t="str">
        <f ca="1">IF(OR($L274&gt;AS$4,AS$4&gt;$L274+23),"",OFFSET(Electric!$L265,0,-'Electric Calendarize'!$L274+'Electric Calendarize'!AS$4+1))</f>
        <v/>
      </c>
      <c r="AT274">
        <f ca="1">IF(OR($L274&gt;AT$4,AT$4&gt;$L274+23),"",OFFSET(Electric!$L265,0,-'Electric Calendarize'!$L274+'Electric Calendarize'!AT$4+1))</f>
        <v>342</v>
      </c>
      <c r="AU274">
        <f ca="1">IF(OR($L274&gt;AU$4,AU$4&gt;$L274+23),"",OFFSET(Electric!$L265,0,-'Electric Calendarize'!$L274+'Electric Calendarize'!AU$4+1))</f>
        <v>864</v>
      </c>
      <c r="AV274">
        <f ca="1">IF(OR($L274&gt;AV$4,AV$4&gt;$L274+23),"",OFFSET(Electric!$L265,0,-'Electric Calendarize'!$L274+'Electric Calendarize'!AV$4+1))</f>
        <v>1157</v>
      </c>
      <c r="AW274">
        <f ca="1">IF(OR($L274&gt;AW$4,AW$4&gt;$L274+23),"",OFFSET(Electric!$L265,0,-'Electric Calendarize'!$L274+'Electric Calendarize'!AW$4+1))</f>
        <v>1000</v>
      </c>
      <c r="AX274">
        <f ca="1">IF(OR($L274&gt;AX$4,AX$4&gt;$L274+23),"",OFFSET(Electric!$L265,0,-'Electric Calendarize'!$L274+'Electric Calendarize'!AX$4+1))</f>
        <v>986</v>
      </c>
      <c r="AY274">
        <f ca="1">IF(OR($L274&gt;AY$4,AY$4&gt;$L274+23),"",OFFSET(Electric!$L265,0,-'Electric Calendarize'!$L274+'Electric Calendarize'!AY$4+1))</f>
        <v>523</v>
      </c>
      <c r="AZ274">
        <f ca="1">IF(OR($L274&gt;AZ$4,AZ$4&gt;$L274+23),"",OFFSET(Electric!$L265,0,-'Electric Calendarize'!$L274+'Electric Calendarize'!AZ$4+1))</f>
        <v>398</v>
      </c>
      <c r="BA274">
        <f ca="1">IF(OR($L274&gt;BA$4,BA$4&gt;$L274+23),"",OFFSET(Electric!$L265,0,-'Electric Calendarize'!$L274+'Electric Calendarize'!BA$4+1))</f>
        <v>329</v>
      </c>
      <c r="BB274">
        <f ca="1">IF(OR($L274&gt;BB$4,BB$4&gt;$L274+23),"",OFFSET(Electric!$L265,0,-'Electric Calendarize'!$L274+'Electric Calendarize'!BB$4+1))</f>
        <v>349</v>
      </c>
      <c r="BC274">
        <f ca="1">IF(OR($L274&gt;BC$4,BC$4&gt;$L274+23),"",OFFSET(Electric!$L265,0,-'Electric Calendarize'!$L274+'Electric Calendarize'!BC$4+1))</f>
        <v>386</v>
      </c>
      <c r="BD274">
        <f ca="1">IF(OR($L274&gt;BD$4,BD$4&gt;$L274+23),"",OFFSET(Electric!$L265,0,-'Electric Calendarize'!$L274+'Electric Calendarize'!BD$4+1))</f>
        <v>324</v>
      </c>
      <c r="BE274">
        <f ca="1">IF(OR($L274&gt;BE$4,BE$4&gt;$L274+23),"",OFFSET(Electric!$L265,0,-'Electric Calendarize'!$L274+'Electric Calendarize'!BE$4+1))</f>
        <v>356</v>
      </c>
      <c r="BF274">
        <f ca="1">IF(OR($L274&gt;BF$4,BF$4&gt;$L274+23),"",OFFSET(Electric!$L265,0,-'Electric Calendarize'!$L274+'Electric Calendarize'!BF$4+1))</f>
        <v>606</v>
      </c>
      <c r="BG274">
        <f ca="1">IF(OR($L274&gt;BG$4,BG$4&gt;$L274+23),"",OFFSET(Electric!$L265,0,-'Electric Calendarize'!$L274+'Electric Calendarize'!BG$4+1))</f>
        <v>0</v>
      </c>
      <c r="BJ274" s="10" t="s">
        <v>37</v>
      </c>
      <c r="BK274">
        <f t="shared" si="627"/>
        <v>1</v>
      </c>
      <c r="BL274">
        <f t="shared" si="533"/>
        <v>0</v>
      </c>
      <c r="BM274">
        <f t="shared" si="534"/>
        <v>0</v>
      </c>
      <c r="BN274">
        <f t="shared" si="535"/>
        <v>0</v>
      </c>
      <c r="BO274">
        <f t="shared" si="536"/>
        <v>0</v>
      </c>
      <c r="BP274">
        <f t="shared" si="537"/>
        <v>0</v>
      </c>
      <c r="BQ274">
        <f t="shared" si="538"/>
        <v>0</v>
      </c>
      <c r="BR274">
        <f t="shared" si="539"/>
        <v>1</v>
      </c>
      <c r="BS274">
        <f t="shared" si="540"/>
        <v>1</v>
      </c>
      <c r="BT274">
        <f t="shared" si="541"/>
        <v>1</v>
      </c>
      <c r="BU274">
        <f t="shared" si="542"/>
        <v>1</v>
      </c>
      <c r="BV274">
        <f t="shared" si="543"/>
        <v>1</v>
      </c>
      <c r="BW274">
        <f t="shared" si="544"/>
        <v>1</v>
      </c>
      <c r="BX274">
        <f t="shared" si="545"/>
        <v>0</v>
      </c>
      <c r="BY274">
        <f t="shared" si="546"/>
        <v>0</v>
      </c>
      <c r="BZ274">
        <f t="shared" si="547"/>
        <v>0</v>
      </c>
      <c r="CA274">
        <f t="shared" si="548"/>
        <v>0</v>
      </c>
      <c r="CB274">
        <f t="shared" si="549"/>
        <v>0</v>
      </c>
      <c r="CC274">
        <f t="shared" si="550"/>
        <v>0</v>
      </c>
      <c r="CD274">
        <f t="shared" si="551"/>
        <v>1</v>
      </c>
      <c r="CE274">
        <f t="shared" si="552"/>
        <v>1</v>
      </c>
      <c r="CF274">
        <f t="shared" si="553"/>
        <v>1</v>
      </c>
      <c r="CG274">
        <f t="shared" si="554"/>
        <v>1</v>
      </c>
      <c r="CH274">
        <f t="shared" si="555"/>
        <v>1</v>
      </c>
      <c r="CI274">
        <f t="shared" si="556"/>
        <v>1</v>
      </c>
      <c r="CJ274">
        <f t="shared" si="557"/>
        <v>0</v>
      </c>
      <c r="CK274">
        <f t="shared" si="558"/>
        <v>0</v>
      </c>
      <c r="CL274">
        <f t="shared" si="559"/>
        <v>0</v>
      </c>
      <c r="CM274">
        <f t="shared" si="560"/>
        <v>0</v>
      </c>
      <c r="CN274">
        <f t="shared" si="561"/>
        <v>0</v>
      </c>
      <c r="CO274">
        <f t="shared" si="562"/>
        <v>0</v>
      </c>
      <c r="CP274">
        <f t="shared" si="563"/>
        <v>1</v>
      </c>
      <c r="CQ274">
        <f t="shared" si="564"/>
        <v>1</v>
      </c>
      <c r="CR274">
        <f t="shared" si="565"/>
        <v>1</v>
      </c>
      <c r="CS274">
        <f t="shared" si="566"/>
        <v>1</v>
      </c>
      <c r="CT274">
        <f t="shared" si="567"/>
        <v>1</v>
      </c>
      <c r="CU274">
        <f t="shared" si="568"/>
        <v>1</v>
      </c>
      <c r="CV274">
        <f t="shared" si="569"/>
        <v>0</v>
      </c>
      <c r="CW274">
        <f t="shared" si="570"/>
        <v>0</v>
      </c>
      <c r="CX274">
        <f t="shared" si="571"/>
        <v>0</v>
      </c>
      <c r="CY274">
        <f t="shared" si="572"/>
        <v>0</v>
      </c>
      <c r="CZ274">
        <f t="shared" si="573"/>
        <v>0</v>
      </c>
      <c r="DA274">
        <f t="shared" si="574"/>
        <v>0</v>
      </c>
      <c r="DB274">
        <f t="shared" si="575"/>
        <v>1</v>
      </c>
      <c r="DC274">
        <f t="shared" si="576"/>
        <v>1</v>
      </c>
      <c r="DF274" s="10" t="s">
        <v>37</v>
      </c>
      <c r="DG274" t="str">
        <f t="shared" si="628"/>
        <v>2023_11</v>
      </c>
      <c r="DH274" t="str">
        <f t="shared" si="628"/>
        <v>2023_11</v>
      </c>
      <c r="DI274" t="str">
        <f t="shared" si="628"/>
        <v>2023_11</v>
      </c>
      <c r="DJ274" t="str">
        <f t="shared" si="628"/>
        <v>2023_11</v>
      </c>
      <c r="DK274" t="str">
        <f t="shared" si="628"/>
        <v>2023_11</v>
      </c>
      <c r="DL274" t="str">
        <f t="shared" si="628"/>
        <v>2023_11</v>
      </c>
      <c r="DM274" t="str">
        <f t="shared" si="628"/>
        <v>2023_11</v>
      </c>
      <c r="DN274" t="str">
        <f t="shared" si="628"/>
        <v>2023_11</v>
      </c>
      <c r="DO274" t="str">
        <f t="shared" si="628"/>
        <v>2023_11</v>
      </c>
      <c r="DP274" t="str">
        <f t="shared" si="628"/>
        <v>2023_11</v>
      </c>
      <c r="DQ274" t="str">
        <f t="shared" si="628"/>
        <v>2023_11</v>
      </c>
      <c r="DR274" t="str">
        <f t="shared" si="628"/>
        <v>2023_11</v>
      </c>
      <c r="DS274" t="str">
        <f t="shared" si="628"/>
        <v>2023_11</v>
      </c>
      <c r="DT274" t="str">
        <f t="shared" si="628"/>
        <v>2023_11</v>
      </c>
      <c r="DU274" t="str">
        <f t="shared" si="628"/>
        <v>2023_11</v>
      </c>
      <c r="DV274" t="str">
        <f t="shared" si="577"/>
        <v>2023_11</v>
      </c>
      <c r="DW274" t="str">
        <f t="shared" si="577"/>
        <v>2023_11</v>
      </c>
      <c r="DX274" t="str">
        <f t="shared" si="577"/>
        <v>2023_11</v>
      </c>
      <c r="DY274" t="str">
        <f t="shared" si="577"/>
        <v>2023_11</v>
      </c>
      <c r="DZ274" t="str">
        <f t="shared" si="577"/>
        <v>2023_11</v>
      </c>
      <c r="EA274" t="str">
        <f t="shared" si="577"/>
        <v>2023_11</v>
      </c>
      <c r="EB274" t="str">
        <f t="shared" si="577"/>
        <v>2023_11</v>
      </c>
      <c r="EC274" t="str">
        <f t="shared" si="577"/>
        <v>2023_11</v>
      </c>
      <c r="ED274" t="str">
        <f t="shared" si="577"/>
        <v>2023_11</v>
      </c>
      <c r="EE274" t="str">
        <f t="shared" si="577"/>
        <v>2023_11</v>
      </c>
      <c r="EF274" t="str">
        <f t="shared" si="577"/>
        <v>2023_11</v>
      </c>
      <c r="EG274" t="str">
        <f t="shared" si="577"/>
        <v>2023_11</v>
      </c>
      <c r="EH274" t="str">
        <f t="shared" si="577"/>
        <v>2023_11</v>
      </c>
      <c r="EI274" t="str">
        <f t="shared" si="577"/>
        <v>2023_11</v>
      </c>
      <c r="EJ274" t="str">
        <f t="shared" si="577"/>
        <v>2023_11</v>
      </c>
      <c r="EK274" t="str">
        <f t="shared" si="577"/>
        <v>2023_11</v>
      </c>
      <c r="EL274" t="str">
        <f t="shared" si="578"/>
        <v>2023_11</v>
      </c>
      <c r="EM274" t="str">
        <f t="shared" si="532"/>
        <v>2023_11</v>
      </c>
      <c r="EN274" t="str">
        <f t="shared" si="532"/>
        <v>2023_11</v>
      </c>
      <c r="EO274" t="str">
        <f t="shared" si="532"/>
        <v>2023_11</v>
      </c>
      <c r="EP274" t="str">
        <f t="shared" si="532"/>
        <v>2023_11</v>
      </c>
      <c r="EQ274" t="str">
        <f t="shared" si="532"/>
        <v>2023_11</v>
      </c>
      <c r="ER274" t="str">
        <f t="shared" si="532"/>
        <v>2023_11</v>
      </c>
      <c r="ES274" t="str">
        <f t="shared" si="532"/>
        <v>2023_11</v>
      </c>
      <c r="ET274" t="str">
        <f t="shared" si="532"/>
        <v>2023_11</v>
      </c>
      <c r="EU274" t="str">
        <f t="shared" si="532"/>
        <v>2023_11</v>
      </c>
      <c r="EV274" t="str">
        <f t="shared" si="532"/>
        <v>2023_11</v>
      </c>
      <c r="EW274" t="str">
        <f t="shared" si="532"/>
        <v>2023_11</v>
      </c>
      <c r="EX274" t="str">
        <f t="shared" si="532"/>
        <v>2023_11</v>
      </c>
      <c r="EY274" t="str">
        <f t="shared" si="532"/>
        <v>2023_11</v>
      </c>
      <c r="FB274" s="10" t="s">
        <v>37</v>
      </c>
      <c r="FC274">
        <f t="shared" si="629"/>
        <v>0</v>
      </c>
      <c r="FD274">
        <f t="shared" si="579"/>
        <v>0</v>
      </c>
      <c r="FE274">
        <f t="shared" si="580"/>
        <v>0</v>
      </c>
      <c r="FF274">
        <f t="shared" si="581"/>
        <v>0</v>
      </c>
      <c r="FG274">
        <f t="shared" si="582"/>
        <v>0</v>
      </c>
      <c r="FH274">
        <f t="shared" si="583"/>
        <v>0</v>
      </c>
      <c r="FI274">
        <f t="shared" si="584"/>
        <v>0</v>
      </c>
      <c r="FJ274">
        <f t="shared" si="585"/>
        <v>0</v>
      </c>
      <c r="FK274">
        <f t="shared" si="586"/>
        <v>0</v>
      </c>
      <c r="FL274">
        <f t="shared" si="587"/>
        <v>0</v>
      </c>
      <c r="FM274">
        <f t="shared" si="588"/>
        <v>0</v>
      </c>
      <c r="FN274">
        <f t="shared" si="589"/>
        <v>0</v>
      </c>
      <c r="FO274">
        <f t="shared" si="590"/>
        <v>0</v>
      </c>
      <c r="FP274">
        <f t="shared" si="591"/>
        <v>0</v>
      </c>
      <c r="FQ274">
        <f t="shared" si="592"/>
        <v>0</v>
      </c>
      <c r="FR274">
        <f t="shared" si="593"/>
        <v>0</v>
      </c>
      <c r="FS274">
        <f t="shared" si="594"/>
        <v>0</v>
      </c>
      <c r="FT274">
        <f t="shared" si="595"/>
        <v>0</v>
      </c>
      <c r="FU274">
        <f t="shared" si="596"/>
        <v>0</v>
      </c>
      <c r="FV274">
        <f t="shared" si="597"/>
        <v>0</v>
      </c>
      <c r="FW274">
        <f t="shared" si="598"/>
        <v>0</v>
      </c>
      <c r="FX274">
        <f t="shared" si="599"/>
        <v>0</v>
      </c>
      <c r="FY274">
        <f t="shared" si="600"/>
        <v>0</v>
      </c>
      <c r="FZ274">
        <f t="shared" si="601"/>
        <v>0</v>
      </c>
      <c r="GA274">
        <f t="shared" si="602"/>
        <v>0</v>
      </c>
      <c r="GB274">
        <f t="shared" si="603"/>
        <v>0</v>
      </c>
      <c r="GC274">
        <f t="shared" si="604"/>
        <v>0</v>
      </c>
      <c r="GD274">
        <f t="shared" si="605"/>
        <v>0</v>
      </c>
      <c r="GE274">
        <f t="shared" si="606"/>
        <v>0</v>
      </c>
      <c r="GF274">
        <f t="shared" si="607"/>
        <v>0</v>
      </c>
      <c r="GG274">
        <f t="shared" si="608"/>
        <v>0</v>
      </c>
      <c r="GH274">
        <f t="shared" si="609"/>
        <v>0</v>
      </c>
      <c r="GI274">
        <f t="shared" si="610"/>
        <v>0</v>
      </c>
      <c r="GJ274">
        <f t="shared" si="611"/>
        <v>0</v>
      </c>
      <c r="GK274">
        <f t="shared" si="612"/>
        <v>0</v>
      </c>
      <c r="GL274">
        <f t="shared" si="613"/>
        <v>0</v>
      </c>
      <c r="GM274">
        <f t="shared" si="614"/>
        <v>0</v>
      </c>
      <c r="GN274">
        <f t="shared" si="615"/>
        <v>0</v>
      </c>
      <c r="GO274">
        <f t="shared" si="616"/>
        <v>0</v>
      </c>
      <c r="GP274">
        <f t="shared" si="617"/>
        <v>0</v>
      </c>
      <c r="GQ274">
        <f t="shared" si="618"/>
        <v>0</v>
      </c>
      <c r="GR274">
        <f t="shared" si="619"/>
        <v>0</v>
      </c>
      <c r="GS274">
        <f t="shared" si="620"/>
        <v>0</v>
      </c>
      <c r="GT274">
        <f t="shared" si="621"/>
        <v>1</v>
      </c>
      <c r="GU274">
        <f t="shared" si="622"/>
        <v>1</v>
      </c>
      <c r="GX274" s="10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D118-8F6E-40D1-9D26-A434FE9E9E52}">
  <dimension ref="A1:P45"/>
  <sheetViews>
    <sheetView workbookViewId="0"/>
  </sheetViews>
  <sheetFormatPr defaultRowHeight="14.4" x14ac:dyDescent="0.3"/>
  <sheetData>
    <row r="1" spans="1:16" x14ac:dyDescent="0.3">
      <c r="A1" t="str">
        <f t="array" ref="A1:A45">TRANSPOSE('Electric Calendarize'!O7:BG7)</f>
        <v>2020_4</v>
      </c>
      <c r="B1">
        <v>0</v>
      </c>
    </row>
    <row r="2" spans="1:16" x14ac:dyDescent="0.3">
      <c r="A2" t="str">
        <v>2020_5</v>
      </c>
      <c r="B2">
        <f>+B1+1</f>
        <v>1</v>
      </c>
      <c r="E2" s="57" t="s">
        <v>343</v>
      </c>
      <c r="F2" s="57"/>
      <c r="G2" s="57"/>
      <c r="H2" s="57"/>
      <c r="I2" s="57"/>
      <c r="J2" s="57"/>
    </row>
    <row r="3" spans="1:16" ht="15" thickBot="1" x14ac:dyDescent="0.35">
      <c r="A3" t="str">
        <v>2020_6</v>
      </c>
      <c r="B3">
        <f t="shared" ref="B3:B45" si="0">+B2+1</f>
        <v>2</v>
      </c>
      <c r="E3" t="s">
        <v>344</v>
      </c>
      <c r="F3" t="s">
        <v>338</v>
      </c>
      <c r="G3" t="s">
        <v>339</v>
      </c>
      <c r="H3" t="s">
        <v>340</v>
      </c>
      <c r="I3" t="s">
        <v>341</v>
      </c>
      <c r="J3" t="s">
        <v>342</v>
      </c>
      <c r="K3" s="53">
        <v>44928</v>
      </c>
      <c r="N3" t="s">
        <v>340</v>
      </c>
      <c r="O3" t="s">
        <v>341</v>
      </c>
      <c r="P3" t="s">
        <v>342</v>
      </c>
    </row>
    <row r="4" spans="1:16" ht="15.6" thickBot="1" x14ac:dyDescent="0.35">
      <c r="A4" t="str">
        <v>2020_7</v>
      </c>
      <c r="B4">
        <f t="shared" si="0"/>
        <v>3</v>
      </c>
      <c r="E4">
        <v>1</v>
      </c>
      <c r="F4" s="51">
        <v>2019</v>
      </c>
      <c r="G4" s="51">
        <v>46</v>
      </c>
      <c r="H4" s="51">
        <v>34.799999999999997</v>
      </c>
      <c r="I4" s="51">
        <v>17.100000000000001</v>
      </c>
      <c r="J4" s="52">
        <f t="shared" ref="J4:J27" si="1">+AVERAGE(H4,I4)</f>
        <v>25.95</v>
      </c>
      <c r="M4">
        <v>2022</v>
      </c>
      <c r="N4" s="52">
        <f>AVERAGEIFS(H$4:H$27,$F$4:$F$27,$M4)</f>
        <v>46.233333333333341</v>
      </c>
      <c r="O4" s="52">
        <f t="shared" ref="O4:O6" si="2">AVERAGEIFS(I$4:I$27,$F$4:$F$27,$M4)</f>
        <v>25.850000000000005</v>
      </c>
      <c r="P4" s="52">
        <f t="shared" ref="P4:P6" si="3">AVERAGEIFS(J$4:J$27,$F$4:$F$27,$M4)</f>
        <v>36.041666666666664</v>
      </c>
    </row>
    <row r="5" spans="1:16" ht="15.6" thickBot="1" x14ac:dyDescent="0.35">
      <c r="A5" t="str">
        <v>2020_8</v>
      </c>
      <c r="B5">
        <f t="shared" si="0"/>
        <v>4</v>
      </c>
      <c r="E5">
        <v>2</v>
      </c>
      <c r="F5" s="51">
        <v>2019</v>
      </c>
      <c r="G5" s="51">
        <v>28</v>
      </c>
      <c r="H5" s="51">
        <v>37.200000000000003</v>
      </c>
      <c r="I5" s="51">
        <v>19.7</v>
      </c>
      <c r="J5" s="52">
        <f t="shared" si="1"/>
        <v>28.450000000000003</v>
      </c>
      <c r="M5">
        <v>2021</v>
      </c>
      <c r="N5" s="52">
        <f t="shared" ref="N5:N6" si="4">AVERAGEIFS(H$4:H$27,$F$4:$F$27,$M5)</f>
        <v>45.68333333333333</v>
      </c>
      <c r="O5" s="52">
        <f t="shared" si="2"/>
        <v>27.383333333333336</v>
      </c>
      <c r="P5" s="52">
        <f t="shared" si="3"/>
        <v>36.533333333333331</v>
      </c>
    </row>
    <row r="6" spans="1:16" ht="15.6" thickBot="1" x14ac:dyDescent="0.35">
      <c r="A6" t="str">
        <v>2020_9</v>
      </c>
      <c r="B6">
        <f t="shared" si="0"/>
        <v>5</v>
      </c>
      <c r="E6">
        <v>3</v>
      </c>
      <c r="F6" s="51">
        <v>2019</v>
      </c>
      <c r="G6" s="51">
        <v>71</v>
      </c>
      <c r="H6" s="51">
        <v>43.5</v>
      </c>
      <c r="I6" s="51">
        <v>23.8</v>
      </c>
      <c r="J6" s="52">
        <f t="shared" si="1"/>
        <v>33.65</v>
      </c>
      <c r="M6">
        <v>2020</v>
      </c>
      <c r="N6" s="52">
        <f t="shared" si="4"/>
        <v>46.716666666666669</v>
      </c>
      <c r="O6" s="52">
        <f t="shared" si="2"/>
        <v>28.466666666666669</v>
      </c>
      <c r="P6" s="52">
        <f t="shared" si="3"/>
        <v>37.591666666666661</v>
      </c>
    </row>
    <row r="7" spans="1:16" ht="15.6" thickBot="1" x14ac:dyDescent="0.35">
      <c r="A7" t="str">
        <v>2020_10</v>
      </c>
      <c r="B7">
        <f t="shared" si="0"/>
        <v>6</v>
      </c>
      <c r="E7">
        <v>4</v>
      </c>
      <c r="F7" s="51">
        <v>2019</v>
      </c>
      <c r="G7" s="51">
        <v>20</v>
      </c>
      <c r="H7" s="51">
        <v>57.8</v>
      </c>
      <c r="I7" s="51">
        <v>37.6</v>
      </c>
      <c r="J7" s="52">
        <f t="shared" si="1"/>
        <v>47.7</v>
      </c>
      <c r="N7" s="52"/>
      <c r="O7" s="52"/>
      <c r="P7" s="52"/>
    </row>
    <row r="8" spans="1:16" ht="15.6" thickBot="1" x14ac:dyDescent="0.35">
      <c r="A8" t="str">
        <v>2020_11</v>
      </c>
      <c r="B8">
        <f t="shared" si="0"/>
        <v>7</v>
      </c>
      <c r="E8">
        <v>11</v>
      </c>
      <c r="F8" s="51">
        <v>2019</v>
      </c>
      <c r="G8" s="51">
        <v>97</v>
      </c>
      <c r="H8" s="51">
        <v>46.5</v>
      </c>
      <c r="I8" s="51">
        <v>28.3</v>
      </c>
      <c r="J8" s="52">
        <f t="shared" si="1"/>
        <v>37.4</v>
      </c>
    </row>
    <row r="9" spans="1:16" ht="15.6" thickBot="1" x14ac:dyDescent="0.35">
      <c r="A9" t="str">
        <v>2020_12</v>
      </c>
      <c r="B9">
        <f t="shared" si="0"/>
        <v>8</v>
      </c>
      <c r="E9">
        <v>12</v>
      </c>
      <c r="F9" s="51">
        <v>2019</v>
      </c>
      <c r="G9" s="51">
        <v>48</v>
      </c>
      <c r="H9" s="51">
        <v>38.799999999999997</v>
      </c>
      <c r="I9" s="51">
        <v>22.2</v>
      </c>
      <c r="J9" s="52">
        <f t="shared" si="1"/>
        <v>30.5</v>
      </c>
    </row>
    <row r="10" spans="1:16" ht="15.6" thickBot="1" x14ac:dyDescent="0.35">
      <c r="A10" t="str">
        <v>2021_1</v>
      </c>
      <c r="B10">
        <f t="shared" si="0"/>
        <v>9</v>
      </c>
      <c r="E10">
        <v>1</v>
      </c>
      <c r="F10" s="51">
        <v>2020</v>
      </c>
      <c r="G10" s="51">
        <v>9</v>
      </c>
      <c r="H10" s="51">
        <v>40.4</v>
      </c>
      <c r="I10" s="51">
        <v>23.7</v>
      </c>
      <c r="J10" s="52">
        <f t="shared" si="1"/>
        <v>32.049999999999997</v>
      </c>
    </row>
    <row r="11" spans="1:16" ht="15.6" thickBot="1" x14ac:dyDescent="0.35">
      <c r="A11" t="str">
        <v>2021_2</v>
      </c>
      <c r="B11">
        <f t="shared" si="0"/>
        <v>10</v>
      </c>
      <c r="E11">
        <v>2</v>
      </c>
      <c r="F11" s="51">
        <v>2020</v>
      </c>
      <c r="G11" s="51">
        <v>7</v>
      </c>
      <c r="H11" s="51">
        <v>40.700000000000003</v>
      </c>
      <c r="I11" s="51">
        <v>24.2</v>
      </c>
      <c r="J11" s="52">
        <f t="shared" si="1"/>
        <v>32.450000000000003</v>
      </c>
    </row>
    <row r="12" spans="1:16" ht="15.6" thickBot="1" x14ac:dyDescent="0.35">
      <c r="A12" t="str">
        <v>2021_3</v>
      </c>
      <c r="B12">
        <f t="shared" si="0"/>
        <v>11</v>
      </c>
      <c r="E12">
        <v>3</v>
      </c>
      <c r="F12" s="51">
        <v>2020</v>
      </c>
      <c r="G12" s="51">
        <v>9</v>
      </c>
      <c r="H12" s="51">
        <v>50.1</v>
      </c>
      <c r="I12" s="51">
        <v>30.2</v>
      </c>
      <c r="J12" s="52">
        <f t="shared" si="1"/>
        <v>40.15</v>
      </c>
    </row>
    <row r="13" spans="1:16" ht="15.6" thickBot="1" x14ac:dyDescent="0.35">
      <c r="A13" t="str">
        <v>2021_4</v>
      </c>
      <c r="B13">
        <f t="shared" si="0"/>
        <v>12</v>
      </c>
      <c r="E13">
        <v>4</v>
      </c>
      <c r="F13" s="51">
        <v>2020</v>
      </c>
      <c r="G13" s="51">
        <v>97</v>
      </c>
      <c r="H13" s="51">
        <v>52.3</v>
      </c>
      <c r="I13" s="51">
        <v>33.9</v>
      </c>
      <c r="J13" s="52">
        <f t="shared" si="1"/>
        <v>43.099999999999994</v>
      </c>
    </row>
    <row r="14" spans="1:16" ht="15.6" thickBot="1" x14ac:dyDescent="0.35">
      <c r="A14" t="str">
        <v>2021_5</v>
      </c>
      <c r="B14">
        <f t="shared" si="0"/>
        <v>13</v>
      </c>
      <c r="E14">
        <v>11</v>
      </c>
      <c r="F14" s="51">
        <v>2020</v>
      </c>
      <c r="G14" s="51">
        <v>6</v>
      </c>
      <c r="H14" s="51">
        <v>55.4</v>
      </c>
      <c r="I14" s="51">
        <v>34</v>
      </c>
      <c r="J14" s="52">
        <f t="shared" si="1"/>
        <v>44.7</v>
      </c>
    </row>
    <row r="15" spans="1:16" ht="15.6" thickBot="1" x14ac:dyDescent="0.35">
      <c r="A15" t="str">
        <v>2021_6</v>
      </c>
      <c r="B15">
        <f t="shared" si="0"/>
        <v>14</v>
      </c>
      <c r="E15">
        <v>12</v>
      </c>
      <c r="F15" s="51">
        <v>2020</v>
      </c>
      <c r="G15" s="51">
        <v>19</v>
      </c>
      <c r="H15" s="51">
        <v>41.4</v>
      </c>
      <c r="I15" s="51">
        <v>24.8</v>
      </c>
      <c r="J15" s="52">
        <f t="shared" si="1"/>
        <v>33.1</v>
      </c>
    </row>
    <row r="16" spans="1:16" ht="15.6" thickBot="1" x14ac:dyDescent="0.35">
      <c r="A16" t="str">
        <v>2021_7</v>
      </c>
      <c r="B16">
        <f t="shared" si="0"/>
        <v>15</v>
      </c>
      <c r="E16">
        <v>1</v>
      </c>
      <c r="F16" s="51">
        <v>2021</v>
      </c>
      <c r="G16" s="51">
        <v>20</v>
      </c>
      <c r="H16" s="51">
        <v>35.9</v>
      </c>
      <c r="I16" s="51">
        <v>21.7</v>
      </c>
      <c r="J16" s="52">
        <f t="shared" si="1"/>
        <v>28.799999999999997</v>
      </c>
    </row>
    <row r="17" spans="1:10" ht="15.6" thickBot="1" x14ac:dyDescent="0.35">
      <c r="A17" t="str">
        <v>2021_8</v>
      </c>
      <c r="B17">
        <f t="shared" si="0"/>
        <v>16</v>
      </c>
      <c r="E17">
        <v>2</v>
      </c>
      <c r="F17" s="51">
        <v>2021</v>
      </c>
      <c r="G17" s="51">
        <v>46</v>
      </c>
      <c r="H17" s="51">
        <v>35.200000000000003</v>
      </c>
      <c r="I17" s="51">
        <v>20</v>
      </c>
      <c r="J17" s="52">
        <f t="shared" si="1"/>
        <v>27.6</v>
      </c>
    </row>
    <row r="18" spans="1:10" ht="15.6" thickBot="1" x14ac:dyDescent="0.35">
      <c r="A18" t="str">
        <v>2021_9</v>
      </c>
      <c r="B18">
        <f t="shared" si="0"/>
        <v>17</v>
      </c>
      <c r="E18">
        <v>3</v>
      </c>
      <c r="F18" s="51">
        <v>2021</v>
      </c>
      <c r="G18" s="51">
        <v>16</v>
      </c>
      <c r="H18" s="51">
        <v>49.9</v>
      </c>
      <c r="I18" s="51">
        <v>26.7</v>
      </c>
      <c r="J18" s="52">
        <f t="shared" si="1"/>
        <v>38.299999999999997</v>
      </c>
    </row>
    <row r="19" spans="1:10" ht="15.6" thickBot="1" x14ac:dyDescent="0.35">
      <c r="A19" t="str">
        <v>2021_10</v>
      </c>
      <c r="B19">
        <f t="shared" si="0"/>
        <v>18</v>
      </c>
      <c r="E19">
        <v>4</v>
      </c>
      <c r="F19" s="51">
        <v>2021</v>
      </c>
      <c r="G19" s="51">
        <v>18</v>
      </c>
      <c r="H19" s="51">
        <v>58.6</v>
      </c>
      <c r="I19" s="51">
        <v>36.9</v>
      </c>
      <c r="J19" s="52">
        <f t="shared" si="1"/>
        <v>47.75</v>
      </c>
    </row>
    <row r="20" spans="1:10" ht="15.6" thickBot="1" x14ac:dyDescent="0.35">
      <c r="A20" t="str">
        <v>2021_11</v>
      </c>
      <c r="B20">
        <f t="shared" si="0"/>
        <v>19</v>
      </c>
      <c r="E20">
        <v>11</v>
      </c>
      <c r="F20" s="51">
        <v>2021</v>
      </c>
      <c r="G20" s="51">
        <v>41</v>
      </c>
      <c r="H20" s="51">
        <v>51.1</v>
      </c>
      <c r="I20" s="51">
        <v>30.5</v>
      </c>
      <c r="J20" s="52">
        <f t="shared" si="1"/>
        <v>40.799999999999997</v>
      </c>
    </row>
    <row r="21" spans="1:10" ht="15.6" thickBot="1" x14ac:dyDescent="0.35">
      <c r="A21" t="str">
        <v>2021_12</v>
      </c>
      <c r="B21">
        <f t="shared" si="0"/>
        <v>20</v>
      </c>
      <c r="E21">
        <v>12</v>
      </c>
      <c r="F21" s="51">
        <v>2021</v>
      </c>
      <c r="G21" s="51">
        <v>3</v>
      </c>
      <c r="H21" s="51">
        <v>43.4</v>
      </c>
      <c r="I21" s="51">
        <v>28.5</v>
      </c>
      <c r="J21" s="52">
        <f t="shared" si="1"/>
        <v>35.950000000000003</v>
      </c>
    </row>
    <row r="22" spans="1:10" ht="15.6" thickBot="1" x14ac:dyDescent="0.35">
      <c r="A22" t="str">
        <v>2022_1</v>
      </c>
      <c r="B22">
        <f t="shared" si="0"/>
        <v>21</v>
      </c>
      <c r="E22">
        <v>1</v>
      </c>
      <c r="F22" s="51">
        <v>2022</v>
      </c>
      <c r="G22" s="51">
        <v>79</v>
      </c>
      <c r="H22" s="51">
        <v>33.5</v>
      </c>
      <c r="I22" s="51">
        <v>13.6</v>
      </c>
      <c r="J22" s="52">
        <f t="shared" si="1"/>
        <v>23.55</v>
      </c>
    </row>
    <row r="23" spans="1:10" ht="15.6" thickBot="1" x14ac:dyDescent="0.35">
      <c r="A23" t="str">
        <v>2022_2</v>
      </c>
      <c r="B23">
        <f t="shared" si="0"/>
        <v>22</v>
      </c>
      <c r="E23">
        <v>2</v>
      </c>
      <c r="F23" s="51">
        <v>2022</v>
      </c>
      <c r="G23" s="51">
        <v>22</v>
      </c>
      <c r="H23" s="51">
        <v>40.799999999999997</v>
      </c>
      <c r="I23" s="51">
        <v>19</v>
      </c>
      <c r="J23" s="52">
        <f t="shared" si="1"/>
        <v>29.9</v>
      </c>
    </row>
    <row r="24" spans="1:10" ht="15.6" thickBot="1" x14ac:dyDescent="0.35">
      <c r="A24" t="str">
        <v>2022_3</v>
      </c>
      <c r="B24">
        <f t="shared" si="0"/>
        <v>23</v>
      </c>
      <c r="E24">
        <v>3</v>
      </c>
      <c r="F24" s="51">
        <v>2022</v>
      </c>
      <c r="G24" s="51">
        <v>19</v>
      </c>
      <c r="H24" s="51">
        <v>48.2</v>
      </c>
      <c r="I24" s="51">
        <v>27.8</v>
      </c>
      <c r="J24" s="52">
        <f t="shared" si="1"/>
        <v>38</v>
      </c>
    </row>
    <row r="25" spans="1:10" ht="15.6" thickBot="1" x14ac:dyDescent="0.35">
      <c r="A25" t="str">
        <v>2022_4</v>
      </c>
      <c r="B25">
        <f t="shared" si="0"/>
        <v>24</v>
      </c>
      <c r="E25">
        <v>4</v>
      </c>
      <c r="F25" s="51">
        <v>2022</v>
      </c>
      <c r="G25" s="51">
        <v>31</v>
      </c>
      <c r="H25" s="51">
        <v>57.9</v>
      </c>
      <c r="I25" s="51">
        <v>36.200000000000003</v>
      </c>
      <c r="J25" s="52">
        <f t="shared" si="1"/>
        <v>47.05</v>
      </c>
    </row>
    <row r="26" spans="1:10" ht="15.6" thickBot="1" x14ac:dyDescent="0.35">
      <c r="A26" t="str">
        <v>2022_5</v>
      </c>
      <c r="B26">
        <f t="shared" si="0"/>
        <v>25</v>
      </c>
      <c r="E26">
        <v>11</v>
      </c>
      <c r="F26" s="51">
        <v>2022</v>
      </c>
      <c r="G26" s="51">
        <v>9</v>
      </c>
      <c r="H26" s="51">
        <v>54.9</v>
      </c>
      <c r="I26" s="51">
        <v>34.1</v>
      </c>
      <c r="J26" s="52">
        <f t="shared" si="1"/>
        <v>44.5</v>
      </c>
    </row>
    <row r="27" spans="1:10" ht="15.6" thickBot="1" x14ac:dyDescent="0.35">
      <c r="A27" t="str">
        <v>2022_6</v>
      </c>
      <c r="B27">
        <f t="shared" si="0"/>
        <v>26</v>
      </c>
      <c r="E27">
        <v>12</v>
      </c>
      <c r="F27" s="51">
        <v>2022</v>
      </c>
      <c r="G27" s="51">
        <v>17</v>
      </c>
      <c r="H27" s="51">
        <v>42.1</v>
      </c>
      <c r="I27" s="51">
        <v>24.4</v>
      </c>
      <c r="J27" s="52">
        <f t="shared" si="1"/>
        <v>33.25</v>
      </c>
    </row>
    <row r="28" spans="1:10" x14ac:dyDescent="0.3">
      <c r="A28" t="str">
        <v>2022_7</v>
      </c>
      <c r="B28">
        <f t="shared" si="0"/>
        <v>27</v>
      </c>
    </row>
    <row r="29" spans="1:10" x14ac:dyDescent="0.3">
      <c r="A29" t="str">
        <v>2022_8</v>
      </c>
      <c r="B29">
        <f t="shared" si="0"/>
        <v>28</v>
      </c>
    </row>
    <row r="30" spans="1:10" x14ac:dyDescent="0.3">
      <c r="A30" t="str">
        <v>2022_9</v>
      </c>
      <c r="B30">
        <f t="shared" si="0"/>
        <v>29</v>
      </c>
    </row>
    <row r="31" spans="1:10" x14ac:dyDescent="0.3">
      <c r="A31" t="str">
        <v>2022_10</v>
      </c>
      <c r="B31">
        <f t="shared" si="0"/>
        <v>30</v>
      </c>
    </row>
    <row r="32" spans="1:10" x14ac:dyDescent="0.3">
      <c r="A32" t="str">
        <v>2022_11</v>
      </c>
      <c r="B32">
        <f t="shared" si="0"/>
        <v>31</v>
      </c>
    </row>
    <row r="33" spans="1:2" x14ac:dyDescent="0.3">
      <c r="A33" t="str">
        <v>2022_12</v>
      </c>
      <c r="B33">
        <f t="shared" si="0"/>
        <v>32</v>
      </c>
    </row>
    <row r="34" spans="1:2" x14ac:dyDescent="0.3">
      <c r="A34" t="str">
        <v>2023_1</v>
      </c>
      <c r="B34">
        <f t="shared" si="0"/>
        <v>33</v>
      </c>
    </row>
    <row r="35" spans="1:2" x14ac:dyDescent="0.3">
      <c r="A35" t="str">
        <v>2023_2</v>
      </c>
      <c r="B35">
        <f t="shared" si="0"/>
        <v>34</v>
      </c>
    </row>
    <row r="36" spans="1:2" x14ac:dyDescent="0.3">
      <c r="A36" t="str">
        <v>2023_3</v>
      </c>
      <c r="B36">
        <f t="shared" si="0"/>
        <v>35</v>
      </c>
    </row>
    <row r="37" spans="1:2" x14ac:dyDescent="0.3">
      <c r="A37" t="str">
        <v>2023_4</v>
      </c>
      <c r="B37">
        <f t="shared" si="0"/>
        <v>36</v>
      </c>
    </row>
    <row r="38" spans="1:2" x14ac:dyDescent="0.3">
      <c r="A38" t="str">
        <v>2023_5</v>
      </c>
      <c r="B38">
        <f t="shared" si="0"/>
        <v>37</v>
      </c>
    </row>
    <row r="39" spans="1:2" x14ac:dyDescent="0.3">
      <c r="A39" t="str">
        <v>2023_6</v>
      </c>
      <c r="B39">
        <f t="shared" si="0"/>
        <v>38</v>
      </c>
    </row>
    <row r="40" spans="1:2" x14ac:dyDescent="0.3">
      <c r="A40" t="str">
        <v>2023_7</v>
      </c>
      <c r="B40">
        <f t="shared" si="0"/>
        <v>39</v>
      </c>
    </row>
    <row r="41" spans="1:2" x14ac:dyDescent="0.3">
      <c r="A41" t="str">
        <v>2023_8</v>
      </c>
      <c r="B41">
        <f t="shared" si="0"/>
        <v>40</v>
      </c>
    </row>
    <row r="42" spans="1:2" x14ac:dyDescent="0.3">
      <c r="A42" t="str">
        <v>2023_9</v>
      </c>
      <c r="B42">
        <f t="shared" si="0"/>
        <v>41</v>
      </c>
    </row>
    <row r="43" spans="1:2" x14ac:dyDescent="0.3">
      <c r="A43" t="str">
        <v>2023_10</v>
      </c>
      <c r="B43">
        <f t="shared" si="0"/>
        <v>42</v>
      </c>
    </row>
    <row r="44" spans="1:2" x14ac:dyDescent="0.3">
      <c r="A44" t="str">
        <v>2023_11</v>
      </c>
      <c r="B44">
        <f t="shared" si="0"/>
        <v>43</v>
      </c>
    </row>
    <row r="45" spans="1:2" x14ac:dyDescent="0.3">
      <c r="A45" t="str">
        <v>2023_12</v>
      </c>
      <c r="B45">
        <f t="shared" si="0"/>
        <v>44</v>
      </c>
    </row>
  </sheetData>
  <sortState ref="E4:J27">
    <sortCondition ref="F4:F27"/>
    <sortCondition ref="E4:E27"/>
  </sortState>
  <mergeCells count="1">
    <mergeCell ref="E2:J2"/>
  </mergeCells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a68ac5-7eb0-4ded-bab9-33f93607fd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999BA12028C4482F7E7CF928CFF6B" ma:contentTypeVersion="9" ma:contentTypeDescription="Create a new document." ma:contentTypeScope="" ma:versionID="6c0dc597c1a7bb79e54767dfd815e3fd">
  <xsd:schema xmlns:xsd="http://www.w3.org/2001/XMLSchema" xmlns:xs="http://www.w3.org/2001/XMLSchema" xmlns:p="http://schemas.microsoft.com/office/2006/metadata/properties" xmlns:ns3="93a68ac5-7eb0-4ded-bab9-33f93607fd33" targetNamespace="http://schemas.microsoft.com/office/2006/metadata/properties" ma:root="true" ma:fieldsID="ff6e87540b051e63a169adc8eecdcf96" ns3:_="">
    <xsd:import namespace="93a68ac5-7eb0-4ded-bab9-33f93607fd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68ac5-7eb0-4ded-bab9-33f93607fd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E5D65-8AA6-47CD-A6D8-D8A8321ABE0B}">
  <ds:schemaRefs>
    <ds:schemaRef ds:uri="93a68ac5-7eb0-4ded-bab9-33f93607fd33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F7FC2FB-B14D-4009-B9D5-5043E659DE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EE72D6-0D9C-4FC3-8C4E-26C5B6F13A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68ac5-7eb0-4ded-bab9-33f93607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 Electric Increase</vt:lpstr>
      <vt:lpstr>Data==&gt;</vt:lpstr>
      <vt:lpstr>Electric</vt:lpstr>
      <vt:lpstr>Data Org ==&gt;</vt:lpstr>
      <vt:lpstr>Electric Calendarize</vt:lpstr>
      <vt:lpstr>lookups</vt:lpstr>
      <vt:lpstr>BeforeUseE</vt:lpstr>
      <vt:lpstr>'Summary Electric Increase'!Print_Area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Speer</dc:creator>
  <cp:lastModifiedBy>Main, Dan</cp:lastModifiedBy>
  <cp:lastPrinted>2023-12-27T19:05:10Z</cp:lastPrinted>
  <dcterms:created xsi:type="dcterms:W3CDTF">2023-12-21T22:00:41Z</dcterms:created>
  <dcterms:modified xsi:type="dcterms:W3CDTF">2023-12-27T19:05:38Z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0x010100D90999BA12028C4482F7E7CF928CFF6B</vt:lpwstr>
  </property>
</Properties>
</file>