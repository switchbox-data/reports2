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FinReg\MA Gas and Electric\DPU 25-08 DOER Heat Pump Petition\Compliance Filing 06.15.26\Filing Support\"/>
    </mc:Choice>
  </mc:AlternateContent>
  <xr:revisionPtr revIDLastSave="0" documentId="13_ncr:1_{E0386FB4-D155-452B-A321-864DEEB66B6E}" xr6:coauthVersionLast="47" xr6:coauthVersionMax="47" xr10:uidLastSave="{00000000-0000-0000-0000-000000000000}"/>
  <bookViews>
    <workbookView xWindow="390" yWindow="390" windowWidth="28800" windowHeight="11295" xr2:uid="{F752CF1F-E044-4BBF-BEDE-4F1469404C81}"/>
  </bookViews>
  <sheets>
    <sheet name="Summary" sheetId="1" r:id="rId1"/>
    <sheet name="Forecasted 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E28" i="1"/>
  <c r="D28" i="1"/>
  <c r="C28" i="1"/>
  <c r="D37" i="1" l="1"/>
  <c r="D36" i="1"/>
  <c r="D35" i="1"/>
  <c r="A35" i="1"/>
  <c r="A36" i="1" s="1"/>
  <c r="A37" i="1" s="1"/>
  <c r="A38" i="1" s="1"/>
  <c r="A34" i="1"/>
  <c r="E31" i="1"/>
  <c r="D31" i="1"/>
  <c r="F17" i="1" l="1"/>
  <c r="N10" i="2"/>
  <c r="M10" i="2"/>
  <c r="L10" i="2"/>
  <c r="K10" i="2"/>
  <c r="J10" i="2"/>
  <c r="I10" i="2"/>
  <c r="H10" i="2"/>
  <c r="G10" i="2"/>
  <c r="F10" i="2"/>
  <c r="E10" i="2"/>
  <c r="D10" i="2"/>
  <c r="C10" i="2"/>
  <c r="A9" i="2"/>
  <c r="A10" i="2" s="1"/>
  <c r="F24" i="1" l="1"/>
  <c r="F20" i="1" s="1"/>
  <c r="E24" i="1"/>
  <c r="E20" i="1" s="1"/>
  <c r="D24" i="1"/>
  <c r="D20" i="1" s="1"/>
  <c r="C24" i="1"/>
  <c r="C20" i="1" s="1"/>
  <c r="O10" i="2"/>
  <c r="C11" i="1"/>
  <c r="A8" i="1"/>
  <c r="A9" i="1" s="1"/>
  <c r="A10" i="1" s="1"/>
  <c r="A11" i="1" s="1"/>
  <c r="A12" i="1" s="1"/>
  <c r="A13" i="1" s="1"/>
  <c r="A14" i="1" s="1"/>
  <c r="A15" i="1" s="1"/>
  <c r="E26" i="1" l="1"/>
  <c r="E25" i="1" s="1"/>
  <c r="E21" i="1" s="1"/>
  <c r="E18" i="1" s="1"/>
  <c r="E29" i="1" s="1"/>
  <c r="F26" i="1"/>
  <c r="F25" i="1" s="1"/>
  <c r="F21" i="1" s="1"/>
  <c r="D26" i="1"/>
  <c r="D25" i="1" s="1"/>
  <c r="D21" i="1" s="1"/>
  <c r="D18" i="1" s="1"/>
  <c r="D29" i="1" s="1"/>
  <c r="C26" i="1"/>
  <c r="A16" i="1"/>
  <c r="A17" i="1" s="1"/>
  <c r="A18" i="1" s="1"/>
  <c r="A19" i="1" s="1"/>
  <c r="A20" i="1" s="1"/>
  <c r="A21" i="1" s="1"/>
  <c r="A22" i="1" s="1"/>
  <c r="C25" i="1" l="1"/>
  <c r="C21" i="1" s="1"/>
  <c r="C18" i="1" s="1"/>
  <c r="C29" i="1" s="1"/>
  <c r="C35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D22" i="1"/>
  <c r="E22" i="1"/>
  <c r="C22" i="1" l="1"/>
  <c r="F18" i="1"/>
  <c r="F29" i="1" s="1"/>
  <c r="C31" i="1"/>
  <c r="D38" i="1"/>
  <c r="C38" i="1"/>
  <c r="F31" i="1" s="1"/>
  <c r="C30" i="1" l="1"/>
  <c r="C32" i="1" s="1"/>
  <c r="F22" i="1"/>
  <c r="D30" i="1"/>
  <c r="D32" i="1" s="1"/>
  <c r="E30" i="1"/>
  <c r="E32" i="1" s="1"/>
  <c r="F30" i="1" l="1"/>
  <c r="F32" i="1" s="1"/>
</calcChain>
</file>

<file path=xl/sharedStrings.xml><?xml version="1.0" encoding="utf-8"?>
<sst xmlns="http://schemas.openxmlformats.org/spreadsheetml/2006/main" count="75" uniqueCount="46">
  <si>
    <t>Customer Charge</t>
  </si>
  <si>
    <t>Summer Heat Pump Adj. Factor</t>
  </si>
  <si>
    <t>Total</t>
  </si>
  <si>
    <t>Rate RD-1</t>
  </si>
  <si>
    <t>Rate RD-2</t>
  </si>
  <si>
    <t>Total Rate RD-1 &amp; RD-2</t>
  </si>
  <si>
    <t>Schedule SED-3: External Transmission</t>
  </si>
  <si>
    <t>Schedule SED-4: Internal Transmission</t>
  </si>
  <si>
    <t>Schedule SED-4: Internal Transmission Service Cost Adjustment</t>
  </si>
  <si>
    <t>Total Estimated Residential Transmission Cost</t>
  </si>
  <si>
    <t>Amount</t>
  </si>
  <si>
    <t>Description</t>
  </si>
  <si>
    <t>Line No.</t>
  </si>
  <si>
    <t>Summer</t>
  </si>
  <si>
    <t>Forecast</t>
  </si>
  <si>
    <t>Winter</t>
  </si>
  <si>
    <t>Distribution Rate Design (HP-RES / HP-RES LI)</t>
  </si>
  <si>
    <r>
      <t>Difference from Target</t>
    </r>
    <r>
      <rPr>
        <b/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due to Truncation</t>
    </r>
  </si>
  <si>
    <t>-  ELECTRIC DIVISION  -</t>
  </si>
  <si>
    <t>Transmission Rate Design (HP-RES / HP-RES LI)</t>
  </si>
  <si>
    <t>Internal</t>
  </si>
  <si>
    <t>Transmission</t>
  </si>
  <si>
    <t>Service Cost Adj</t>
  </si>
  <si>
    <t>External</t>
  </si>
  <si>
    <t>FITCHBURG GAS AND ELECTRIC LIGHT COMPANY D/B/A  UNITIL</t>
  </si>
  <si>
    <t>Winter Heat Pump Adj. Factor (Line 2 / Line 3)</t>
  </si>
  <si>
    <t>FITCHBURG GAS AND ELECTRIC LIGHT COMPANY D/B/A UNITIL</t>
  </si>
  <si>
    <t>Distribution Energy Charge - Summer (May - Oct)</t>
  </si>
  <si>
    <t>Distribution Energy Charge - Winter (Nov - Apr)</t>
  </si>
  <si>
    <t>Transmission Energy Charge - Winter (Nov - Apr)</t>
  </si>
  <si>
    <t>Transmission Energy Revenue - Summer (Line 11 * Line 14)</t>
  </si>
  <si>
    <t>Transmission Energy Revenue - Winter (Line 12 * Line 15)</t>
  </si>
  <si>
    <t>Transmission Energy Charge - Summer (May - Oct) Line 29, 30, 31</t>
  </si>
  <si>
    <t xml:space="preserve"> RESIDENTIAL SALES FORECAST</t>
  </si>
  <si>
    <t>2026 Forecast Sales - Summer - HP adjusted (Line 18)</t>
  </si>
  <si>
    <t>2026 Forecast Sales - Winter - HP adjusted (Line 19 * Line 5)</t>
  </si>
  <si>
    <t>2026 Forecast Sales (kWh) - HP Adjusted</t>
  </si>
  <si>
    <t>2026 Residential Forecast Sales - Winter</t>
  </si>
  <si>
    <t>2026 Residential Forecast Sales - Summer</t>
  </si>
  <si>
    <t>2026 Residential Forecast Annual Sales (kWh)</t>
  </si>
  <si>
    <t>D.P.U. 25-168 (RD-1 and RD-2 Allocated Transmission Costs)</t>
  </si>
  <si>
    <t>Current Rates 1/1/26</t>
  </si>
  <si>
    <t>2026 Estimated Transmission Revenue (DPU 25-168) (Line 29, 30, 31)</t>
  </si>
  <si>
    <t>Total Transmission Residential Rate Revenue</t>
  </si>
  <si>
    <t>RESIDENTIAL HEAT PUMP TRANSMISSION RATE DESIGN</t>
  </si>
  <si>
    <t>Current 6/1/26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</si>
</sst>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000_);\(&quot;$&quot;#,##0.00000\)"/>
    <numFmt numFmtId="165" formatCode="_(* #,##0_);_(* \(#,##0\);_(* &quot;-&quot;??_);_(@_)"/>
    <numFmt numFmtId="166" formatCode="0.00000"/>
    <numFmt numFmtId="167" formatCode="_(&quot;$&quot;* #,##0_);_(&quot;$&quot;* \(#,##0\);_(&quot;$&quot;* &quot;-&quot;??_);_(@_)"/>
    <numFmt numFmtId="168" formatCode="_(* #,##0.00000_);_(* \(#,##0.00000\);_(* &quot;-&quot;??_);_(@_)"/>
    <numFmt numFmtId="169" formatCode="_(&quot;$&quot;* #,##0.00000_);_(&quot;$&quot;* \(#,##0.0000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4"/>
      <color indexed="8"/>
      <name val="Calibri"/>
      <family val="2"/>
    </font>
    <font>
      <sz val="14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3" applyFont="1" applyAlignment="1">
      <alignment horizontal="center"/>
    </xf>
    <xf numFmtId="0" fontId="4" fillId="0" borderId="0" xfId="3" applyFont="1"/>
    <xf numFmtId="0" fontId="3" fillId="0" borderId="0" xfId="3" applyFont="1"/>
    <xf numFmtId="7" fontId="3" fillId="0" borderId="0" xfId="3" applyNumberFormat="1" applyFont="1" applyAlignment="1">
      <alignment horizontal="center"/>
    </xf>
    <xf numFmtId="3" fontId="3" fillId="0" borderId="0" xfId="3" applyNumberFormat="1" applyFont="1" applyAlignment="1">
      <alignment horizontal="center"/>
    </xf>
    <xf numFmtId="5" fontId="3" fillId="0" borderId="0" xfId="3" applyNumberFormat="1" applyFont="1" applyAlignment="1">
      <alignment horizontal="center"/>
    </xf>
    <xf numFmtId="5" fontId="3" fillId="0" borderId="0" xfId="4" applyNumberFormat="1" applyFont="1" applyFill="1" applyBorder="1" applyAlignment="1">
      <alignment horizontal="center"/>
    </xf>
    <xf numFmtId="164" fontId="3" fillId="0" borderId="0" xfId="4" applyNumberFormat="1" applyFont="1" applyFill="1" applyBorder="1" applyAlignment="1">
      <alignment horizontal="center"/>
    </xf>
    <xf numFmtId="166" fontId="0" fillId="0" borderId="0" xfId="0" applyNumberFormat="1"/>
    <xf numFmtId="3" fontId="3" fillId="0" borderId="1" xfId="3" applyNumberFormat="1" applyFont="1" applyBorder="1" applyAlignment="1">
      <alignment horizontal="center"/>
    </xf>
    <xf numFmtId="0" fontId="3" fillId="0" borderId="0" xfId="3" applyFont="1" applyAlignment="1">
      <alignment horizontal="fill"/>
    </xf>
    <xf numFmtId="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167" fontId="5" fillId="0" borderId="0" xfId="2" applyNumberFormat="1" applyFont="1"/>
    <xf numFmtId="165" fontId="5" fillId="0" borderId="1" xfId="1" applyNumberFormat="1" applyFont="1" applyBorder="1"/>
    <xf numFmtId="168" fontId="5" fillId="0" borderId="1" xfId="1" applyNumberFormat="1" applyFont="1" applyBorder="1"/>
    <xf numFmtId="0" fontId="6" fillId="0" borderId="0" xfId="0" applyFont="1"/>
    <xf numFmtId="0" fontId="4" fillId="0" borderId="1" xfId="0" applyFont="1" applyBorder="1"/>
    <xf numFmtId="0" fontId="6" fillId="0" borderId="1" xfId="0" applyFont="1" applyBorder="1"/>
    <xf numFmtId="17" fontId="6" fillId="0" borderId="0" xfId="0" applyNumberFormat="1" applyFont="1" applyAlignment="1">
      <alignment horizontal="center"/>
    </xf>
    <xf numFmtId="17" fontId="6" fillId="0" borderId="0" xfId="0" quotePrefix="1" applyNumberFormat="1" applyFont="1" applyAlignment="1">
      <alignment horizontal="center"/>
    </xf>
    <xf numFmtId="17" fontId="6" fillId="0" borderId="1" xfId="0" applyNumberFormat="1" applyFont="1" applyBorder="1" applyAlignment="1">
      <alignment horizontal="center"/>
    </xf>
    <xf numFmtId="17" fontId="6" fillId="2" borderId="1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/>
    </xf>
    <xf numFmtId="3" fontId="3" fillId="0" borderId="0" xfId="6" applyNumberFormat="1" applyFont="1" applyBorder="1"/>
    <xf numFmtId="3" fontId="3" fillId="2" borderId="0" xfId="6" applyNumberFormat="1" applyFont="1" applyFill="1" applyBorder="1"/>
    <xf numFmtId="165" fontId="3" fillId="0" borderId="1" xfId="6" applyNumberFormat="1" applyFont="1" applyBorder="1"/>
    <xf numFmtId="165" fontId="3" fillId="2" borderId="1" xfId="6" applyNumberFormat="1" applyFont="1" applyFill="1" applyBorder="1"/>
    <xf numFmtId="165" fontId="3" fillId="0" borderId="0" xfId="6" applyNumberFormat="1" applyFont="1" applyBorder="1"/>
    <xf numFmtId="165" fontId="3" fillId="2" borderId="0" xfId="6" applyNumberFormat="1" applyFont="1" applyFill="1" applyBorder="1"/>
    <xf numFmtId="37" fontId="3" fillId="0" borderId="0" xfId="7" applyNumberFormat="1" applyFont="1" applyBorder="1"/>
    <xf numFmtId="0" fontId="9" fillId="0" borderId="0" xfId="0" applyFont="1"/>
    <xf numFmtId="0" fontId="4" fillId="0" borderId="0" xfId="3" applyFont="1" applyAlignment="1">
      <alignment horizontal="center"/>
    </xf>
    <xf numFmtId="0" fontId="10" fillId="0" borderId="0" xfId="0" applyFont="1"/>
    <xf numFmtId="3" fontId="3" fillId="0" borderId="1" xfId="4" applyNumberFormat="1" applyFont="1" applyFill="1" applyBorder="1" applyAlignment="1">
      <alignment horizontal="center"/>
    </xf>
    <xf numFmtId="37" fontId="3" fillId="0" borderId="1" xfId="1" applyNumberFormat="1" applyFont="1" applyBorder="1" applyAlignment="1">
      <alignment horizontal="center"/>
    </xf>
    <xf numFmtId="165" fontId="5" fillId="0" borderId="0" xfId="1" applyNumberFormat="1" applyFont="1" applyBorder="1"/>
    <xf numFmtId="168" fontId="5" fillId="0" borderId="0" xfId="1" applyNumberFormat="1" applyFont="1" applyBorder="1"/>
    <xf numFmtId="167" fontId="6" fillId="0" borderId="0" xfId="2" applyNumberFormat="1" applyFont="1"/>
    <xf numFmtId="169" fontId="5" fillId="0" borderId="0" xfId="2" applyNumberFormat="1" applyFont="1"/>
    <xf numFmtId="169" fontId="6" fillId="0" borderId="0" xfId="2" applyNumberFormat="1" applyFont="1"/>
    <xf numFmtId="0" fontId="10" fillId="0" borderId="2" xfId="0" applyFont="1" applyBorder="1"/>
    <xf numFmtId="0" fontId="4" fillId="0" borderId="2" xfId="3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164" fontId="3" fillId="0" borderId="2" xfId="4" applyNumberFormat="1" applyFont="1" applyFill="1" applyBorder="1" applyAlignment="1">
      <alignment horizontal="center"/>
    </xf>
    <xf numFmtId="3" fontId="3" fillId="0" borderId="2" xfId="3" applyNumberFormat="1" applyFont="1" applyBorder="1" applyAlignment="1">
      <alignment horizontal="center"/>
    </xf>
    <xf numFmtId="3" fontId="3" fillId="0" borderId="3" xfId="3" applyNumberFormat="1" applyFont="1" applyBorder="1" applyAlignment="1">
      <alignment horizontal="center"/>
    </xf>
    <xf numFmtId="0" fontId="3" fillId="0" borderId="2" xfId="3" applyFont="1" applyBorder="1"/>
    <xf numFmtId="5" fontId="3" fillId="0" borderId="2" xfId="3" applyNumberFormat="1" applyFont="1" applyBorder="1" applyAlignment="1">
      <alignment horizontal="center"/>
    </xf>
    <xf numFmtId="37" fontId="3" fillId="0" borderId="3" xfId="1" applyNumberFormat="1" applyFont="1" applyBorder="1" applyAlignment="1">
      <alignment horizontal="center"/>
    </xf>
    <xf numFmtId="5" fontId="3" fillId="0" borderId="2" xfId="4" applyNumberFormat="1" applyFont="1" applyFill="1" applyBorder="1" applyAlignment="1">
      <alignment horizontal="center"/>
    </xf>
    <xf numFmtId="3" fontId="3" fillId="0" borderId="3" xfId="4" applyNumberFormat="1" applyFont="1" applyFill="1" applyBorder="1" applyAlignment="1">
      <alignment horizontal="center"/>
    </xf>
    <xf numFmtId="167" fontId="0" fillId="0" borderId="0" xfId="0" applyNumberFormat="1"/>
    <xf numFmtId="0" fontId="8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</cellXfs>
  <cellStyles count="8">
    <cellStyle name="Comma" xfId="1" builtinId="3"/>
    <cellStyle name="Comma 2" xfId="6" xr:uid="{9E6B099D-8100-452A-9007-D1F24C5D9878}"/>
    <cellStyle name="Currency" xfId="2" builtinId="4"/>
    <cellStyle name="Currency 2" xfId="7" xr:uid="{23BA60C3-9750-4E14-B959-A064498BDA16}"/>
    <cellStyle name="Currency 3" xfId="4" xr:uid="{BE16C612-BC73-4E12-820F-CE30AC34A93B}"/>
    <cellStyle name="Normal" xfId="0" builtinId="0"/>
    <cellStyle name="Normal 10" xfId="3" xr:uid="{209FA972-72FE-421B-9821-668505627E76}"/>
    <cellStyle name="Percent 5 2" xfId="5" xr:uid="{444AAC63-529F-4CA1-85A5-5595F237C0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6B9C-82B8-4B43-8CF2-8D68A230CC06}">
  <sheetPr codeName="Sheet1">
    <pageSetUpPr fitToPage="1"/>
  </sheetPr>
  <dimension ref="A1:F41"/>
  <sheetViews>
    <sheetView tabSelected="1" view="pageBreakPreview" topLeftCell="B1" zoomScale="85" zoomScaleNormal="100" zoomScaleSheetLayoutView="85" workbookViewId="0">
      <selection activeCell="J21" sqref="J21"/>
    </sheetView>
  </sheetViews>
  <sheetFormatPr defaultRowHeight="15" x14ac:dyDescent="0.25"/>
  <cols>
    <col min="1" max="1" width="8.140625" customWidth="1"/>
    <col min="2" max="2" width="62" bestFit="1" customWidth="1"/>
    <col min="3" max="3" width="16.140625" bestFit="1" customWidth="1"/>
    <col min="4" max="4" width="19.7109375" customWidth="1"/>
    <col min="5" max="5" width="12.42578125" customWidth="1"/>
    <col min="6" max="6" width="13.28515625" customWidth="1"/>
  </cols>
  <sheetData>
    <row r="1" spans="1:6" ht="18.75" x14ac:dyDescent="0.3">
      <c r="A1" s="57" t="s">
        <v>24</v>
      </c>
      <c r="B1" s="57"/>
      <c r="C1" s="57"/>
      <c r="D1" s="57"/>
      <c r="E1" s="57"/>
      <c r="F1" s="57"/>
    </row>
    <row r="2" spans="1:6" ht="18.75" x14ac:dyDescent="0.3">
      <c r="A2" s="57" t="s">
        <v>44</v>
      </c>
      <c r="B2" s="57"/>
      <c r="C2" s="57"/>
      <c r="D2" s="57"/>
      <c r="E2" s="57"/>
      <c r="F2" s="57"/>
    </row>
    <row r="3" spans="1:6" ht="18.75" x14ac:dyDescent="0.3">
      <c r="A3" s="58" t="s">
        <v>18</v>
      </c>
      <c r="B3" s="58"/>
      <c r="C3" s="58"/>
      <c r="D3" s="58"/>
      <c r="E3" s="58"/>
      <c r="F3" s="58"/>
    </row>
    <row r="4" spans="1:6" x14ac:dyDescent="0.25">
      <c r="A4" s="2"/>
      <c r="B4" s="2"/>
      <c r="C4" s="3"/>
      <c r="D4" s="3"/>
    </row>
    <row r="5" spans="1:6" x14ac:dyDescent="0.25">
      <c r="A5" s="1"/>
      <c r="B5" s="3"/>
      <c r="C5" s="3"/>
      <c r="D5" s="3"/>
    </row>
    <row r="6" spans="1:6" x14ac:dyDescent="0.25">
      <c r="A6" s="13" t="s">
        <v>12</v>
      </c>
      <c r="B6" s="21" t="s">
        <v>16</v>
      </c>
      <c r="C6" s="13" t="s">
        <v>45</v>
      </c>
      <c r="D6" s="3"/>
    </row>
    <row r="7" spans="1:6" x14ac:dyDescent="0.25">
      <c r="A7" s="1">
        <v>1</v>
      </c>
      <c r="B7" s="3" t="s">
        <v>0</v>
      </c>
      <c r="C7" s="4">
        <v>8.5</v>
      </c>
      <c r="D7" s="3"/>
    </row>
    <row r="8" spans="1:6" x14ac:dyDescent="0.25">
      <c r="A8" s="1">
        <f t="shared" ref="A8:A38" si="0">A7+1</f>
        <v>2</v>
      </c>
      <c r="B8" s="3" t="s">
        <v>27</v>
      </c>
      <c r="C8" s="8">
        <v>0.10176</v>
      </c>
      <c r="D8" s="3"/>
    </row>
    <row r="9" spans="1:6" x14ac:dyDescent="0.25">
      <c r="A9" s="1">
        <f t="shared" si="0"/>
        <v>3</v>
      </c>
      <c r="B9" s="3" t="s">
        <v>28</v>
      </c>
      <c r="C9" s="8">
        <v>3.6330000000000001E-2</v>
      </c>
      <c r="D9" s="3"/>
    </row>
    <row r="10" spans="1:6" x14ac:dyDescent="0.25">
      <c r="A10" s="1">
        <f t="shared" si="0"/>
        <v>4</v>
      </c>
      <c r="B10" s="11"/>
      <c r="C10" s="1"/>
      <c r="D10" s="3"/>
    </row>
    <row r="11" spans="1:6" x14ac:dyDescent="0.25">
      <c r="A11" s="1">
        <f t="shared" si="0"/>
        <v>5</v>
      </c>
      <c r="B11" s="3" t="s">
        <v>25</v>
      </c>
      <c r="C11" s="12">
        <f>C8/C9</f>
        <v>2.8009909165978528</v>
      </c>
      <c r="D11" s="3"/>
    </row>
    <row r="12" spans="1:6" x14ac:dyDescent="0.25">
      <c r="A12" s="1">
        <f t="shared" si="0"/>
        <v>6</v>
      </c>
      <c r="B12" s="3" t="s">
        <v>1</v>
      </c>
      <c r="C12" s="12">
        <v>1</v>
      </c>
      <c r="D12" s="3"/>
    </row>
    <row r="13" spans="1:6" x14ac:dyDescent="0.25">
      <c r="A13" s="1">
        <f t="shared" si="0"/>
        <v>7</v>
      </c>
      <c r="B13" s="3"/>
      <c r="C13" s="12"/>
      <c r="D13" s="3"/>
    </row>
    <row r="14" spans="1:6" x14ac:dyDescent="0.25">
      <c r="A14" s="1">
        <f t="shared" si="0"/>
        <v>8</v>
      </c>
      <c r="B14" s="3"/>
      <c r="C14" s="36"/>
      <c r="D14" s="36" t="s">
        <v>20</v>
      </c>
      <c r="E14" s="45"/>
      <c r="F14" s="37"/>
    </row>
    <row r="15" spans="1:6" x14ac:dyDescent="0.25">
      <c r="A15" s="1">
        <f t="shared" si="0"/>
        <v>9</v>
      </c>
      <c r="B15" s="3"/>
      <c r="C15" s="36" t="s">
        <v>20</v>
      </c>
      <c r="D15" s="36" t="s">
        <v>21</v>
      </c>
      <c r="E15" s="46" t="s">
        <v>23</v>
      </c>
      <c r="F15" s="36" t="s">
        <v>2</v>
      </c>
    </row>
    <row r="16" spans="1:6" x14ac:dyDescent="0.25">
      <c r="A16" s="1">
        <f t="shared" si="0"/>
        <v>10</v>
      </c>
      <c r="B16" s="21" t="s">
        <v>19</v>
      </c>
      <c r="C16" s="13" t="s">
        <v>21</v>
      </c>
      <c r="D16" s="13" t="s">
        <v>22</v>
      </c>
      <c r="E16" s="47" t="s">
        <v>21</v>
      </c>
      <c r="F16" s="13" t="s">
        <v>21</v>
      </c>
    </row>
    <row r="17" spans="1:6" x14ac:dyDescent="0.25">
      <c r="A17" s="1">
        <f t="shared" si="0"/>
        <v>11</v>
      </c>
      <c r="B17" s="3" t="s">
        <v>32</v>
      </c>
      <c r="C17" s="8">
        <v>3.9399999999999999E-3</v>
      </c>
      <c r="D17" s="8">
        <v>-2.1099999999999999E-3</v>
      </c>
      <c r="E17" s="48">
        <v>4.018E-2</v>
      </c>
      <c r="F17" s="8">
        <f>C17+D17+E17</f>
        <v>4.2009999999999999E-2</v>
      </c>
    </row>
    <row r="18" spans="1:6" x14ac:dyDescent="0.25">
      <c r="A18" s="1">
        <f t="shared" si="0"/>
        <v>12</v>
      </c>
      <c r="B18" s="3" t="s">
        <v>29</v>
      </c>
      <c r="C18" s="8">
        <f>TRUNC(((C31-C28)/C21),5)</f>
        <v>1.4E-3</v>
      </c>
      <c r="D18" s="8">
        <f>TRUNC(((D31-D28)/D21),5)</f>
        <v>-7.5000000000000002E-4</v>
      </c>
      <c r="E18" s="48">
        <f>TRUNC(((E31-E28)/E21),5)</f>
        <v>1.434E-2</v>
      </c>
      <c r="F18" s="8">
        <f>C18+D18+E18</f>
        <v>1.499E-2</v>
      </c>
    </row>
    <row r="19" spans="1:6" x14ac:dyDescent="0.25">
      <c r="A19" s="1">
        <f t="shared" si="0"/>
        <v>13</v>
      </c>
      <c r="B19" s="3"/>
      <c r="C19" s="8"/>
      <c r="D19" s="8"/>
      <c r="E19" s="48"/>
      <c r="F19" s="8"/>
    </row>
    <row r="20" spans="1:6" x14ac:dyDescent="0.25">
      <c r="A20" s="1">
        <f t="shared" si="0"/>
        <v>14</v>
      </c>
      <c r="B20" s="3" t="s">
        <v>34</v>
      </c>
      <c r="C20" s="5">
        <f>C24*$C$12</f>
        <v>80837113.306042939</v>
      </c>
      <c r="D20" s="5">
        <f>D24*$C$12</f>
        <v>80837113.306042939</v>
      </c>
      <c r="E20" s="49">
        <f>E24*$C$12</f>
        <v>80837113.306042939</v>
      </c>
      <c r="F20" s="5">
        <f>F24*$C$12</f>
        <v>80837113.306042939</v>
      </c>
    </row>
    <row r="21" spans="1:6" x14ac:dyDescent="0.25">
      <c r="A21" s="1">
        <f t="shared" si="0"/>
        <v>15</v>
      </c>
      <c r="B21" s="3" t="s">
        <v>35</v>
      </c>
      <c r="C21" s="10">
        <f>C25*$C$11</f>
        <v>253569868.66624606</v>
      </c>
      <c r="D21" s="10">
        <f>D25*$C$11</f>
        <v>253569868.66624606</v>
      </c>
      <c r="E21" s="50">
        <f>E25*$C$11</f>
        <v>253569868.66624606</v>
      </c>
      <c r="F21" s="10">
        <f>F25*$C$11</f>
        <v>253569868.66624606</v>
      </c>
    </row>
    <row r="22" spans="1:6" x14ac:dyDescent="0.25">
      <c r="A22" s="1">
        <f t="shared" si="0"/>
        <v>16</v>
      </c>
      <c r="B22" s="3" t="s">
        <v>36</v>
      </c>
      <c r="C22" s="5">
        <f>C21+C20</f>
        <v>334406981.97228897</v>
      </c>
      <c r="D22" s="5">
        <f>D21+D20</f>
        <v>334406981.97228897</v>
      </c>
      <c r="E22" s="49">
        <f>E21+E20</f>
        <v>334406981.97228897</v>
      </c>
      <c r="F22" s="5">
        <f>F21+F20</f>
        <v>334406981.97228897</v>
      </c>
    </row>
    <row r="23" spans="1:6" x14ac:dyDescent="0.25">
      <c r="A23" s="1">
        <f t="shared" si="0"/>
        <v>17</v>
      </c>
      <c r="B23" s="3"/>
      <c r="C23" s="5"/>
      <c r="D23" s="5"/>
      <c r="E23" s="49"/>
      <c r="F23" s="5"/>
    </row>
    <row r="24" spans="1:6" x14ac:dyDescent="0.25">
      <c r="A24" s="1">
        <f t="shared" si="0"/>
        <v>18</v>
      </c>
      <c r="B24" s="3" t="s">
        <v>38</v>
      </c>
      <c r="C24" s="5">
        <f>SUM('Forecasted Sales'!G10:L10)</f>
        <v>80837113.306042939</v>
      </c>
      <c r="D24" s="5">
        <f>SUM('Forecasted Sales'!G10:L10)</f>
        <v>80837113.306042939</v>
      </c>
      <c r="E24" s="49">
        <f>SUM('Forecasted Sales'!G10:L10)</f>
        <v>80837113.306042939</v>
      </c>
      <c r="F24" s="5">
        <f>SUM('Forecasted Sales'!G10:L10)</f>
        <v>80837113.306042939</v>
      </c>
    </row>
    <row r="25" spans="1:6" x14ac:dyDescent="0.25">
      <c r="A25" s="1">
        <f t="shared" si="0"/>
        <v>19</v>
      </c>
      <c r="B25" s="3" t="s">
        <v>37</v>
      </c>
      <c r="C25" s="10">
        <f>C26-C24</f>
        <v>90528629.408851415</v>
      </c>
      <c r="D25" s="10">
        <f>D26-D24</f>
        <v>90528629.408851415</v>
      </c>
      <c r="E25" s="50">
        <f>E26-E24</f>
        <v>90528629.408851415</v>
      </c>
      <c r="F25" s="10">
        <f>F26-F24</f>
        <v>90528629.408851415</v>
      </c>
    </row>
    <row r="26" spans="1:6" x14ac:dyDescent="0.25">
      <c r="A26" s="1">
        <f t="shared" si="0"/>
        <v>20</v>
      </c>
      <c r="B26" s="3" t="s">
        <v>39</v>
      </c>
      <c r="C26" s="5">
        <f>'Forecasted Sales'!O10</f>
        <v>171365742.71489435</v>
      </c>
      <c r="D26" s="5">
        <f>'Forecasted Sales'!O10</f>
        <v>171365742.71489435</v>
      </c>
      <c r="E26" s="49">
        <f>'Forecasted Sales'!O10</f>
        <v>171365742.71489435</v>
      </c>
      <c r="F26" s="5">
        <f>'Forecasted Sales'!O10</f>
        <v>171365742.71489435</v>
      </c>
    </row>
    <row r="27" spans="1:6" x14ac:dyDescent="0.25">
      <c r="A27" s="1">
        <f t="shared" si="0"/>
        <v>21</v>
      </c>
      <c r="B27" s="3"/>
      <c r="C27" s="3"/>
      <c r="D27" s="3"/>
      <c r="E27" s="51"/>
      <c r="F27" s="3"/>
    </row>
    <row r="28" spans="1:6" x14ac:dyDescent="0.25">
      <c r="A28" s="1">
        <f t="shared" si="0"/>
        <v>22</v>
      </c>
      <c r="B28" s="3" t="s">
        <v>30</v>
      </c>
      <c r="C28" s="6">
        <f t="shared" ref="C28:F29" si="1">C17*C20</f>
        <v>318498.2264258092</v>
      </c>
      <c r="D28" s="6">
        <f t="shared" si="1"/>
        <v>-170566.30907575059</v>
      </c>
      <c r="E28" s="52">
        <f t="shared" si="1"/>
        <v>3248035.2126368051</v>
      </c>
      <c r="F28" s="6">
        <f t="shared" si="1"/>
        <v>3395967.1299868636</v>
      </c>
    </row>
    <row r="29" spans="1:6" x14ac:dyDescent="0.25">
      <c r="A29" s="1">
        <f t="shared" si="0"/>
        <v>23</v>
      </c>
      <c r="B29" s="3" t="s">
        <v>31</v>
      </c>
      <c r="C29" s="39">
        <f t="shared" si="1"/>
        <v>354997.81613274448</v>
      </c>
      <c r="D29" s="39">
        <f t="shared" si="1"/>
        <v>-190177.40149968455</v>
      </c>
      <c r="E29" s="53">
        <f t="shared" si="1"/>
        <v>3636191.9166739685</v>
      </c>
      <c r="F29" s="39">
        <f t="shared" si="1"/>
        <v>3801012.3313070284</v>
      </c>
    </row>
    <row r="30" spans="1:6" x14ac:dyDescent="0.25">
      <c r="A30" s="1">
        <f t="shared" si="0"/>
        <v>24</v>
      </c>
      <c r="B30" s="3" t="s">
        <v>43</v>
      </c>
      <c r="C30" s="7">
        <f>SUM(C28:C29)</f>
        <v>673496.04255855363</v>
      </c>
      <c r="D30" s="7">
        <f>SUM(D28:D29)</f>
        <v>-360743.71057543514</v>
      </c>
      <c r="E30" s="54">
        <f>SUM(E28:E29)</f>
        <v>6884227.1293107737</v>
      </c>
      <c r="F30" s="7">
        <f>SUM(F28:F29)</f>
        <v>7196979.461293892</v>
      </c>
    </row>
    <row r="31" spans="1:6" x14ac:dyDescent="0.25">
      <c r="A31" s="1">
        <f>A30+1</f>
        <v>25</v>
      </c>
      <c r="B31" s="3" t="s">
        <v>42</v>
      </c>
      <c r="C31" s="38">
        <f>C35</f>
        <v>675181.0262966837</v>
      </c>
      <c r="D31" s="38">
        <f>C36</f>
        <v>-362701.43729240145</v>
      </c>
      <c r="E31" s="55">
        <f>C37</f>
        <v>6886316.5788089186</v>
      </c>
      <c r="F31" s="38">
        <f>C38</f>
        <v>7198796.1678132005</v>
      </c>
    </row>
    <row r="32" spans="1:6" x14ac:dyDescent="0.25">
      <c r="A32" s="1">
        <f t="shared" si="0"/>
        <v>26</v>
      </c>
      <c r="B32" s="3" t="s">
        <v>17</v>
      </c>
      <c r="C32" s="6">
        <f>+C30-C31</f>
        <v>-1684.9837381300749</v>
      </c>
      <c r="D32" s="6">
        <f>+D30-D31</f>
        <v>1957.7267169663101</v>
      </c>
      <c r="E32" s="52">
        <f>+E30-E31</f>
        <v>-2089.4494981449097</v>
      </c>
      <c r="F32" s="6">
        <f>+F30-F31</f>
        <v>-1816.7065193085</v>
      </c>
    </row>
    <row r="33" spans="1:4" x14ac:dyDescent="0.25">
      <c r="A33" s="1">
        <f t="shared" si="0"/>
        <v>27</v>
      </c>
      <c r="B33" s="14"/>
      <c r="C33" s="14"/>
      <c r="D33" s="14"/>
    </row>
    <row r="34" spans="1:4" x14ac:dyDescent="0.25">
      <c r="A34" s="1">
        <f t="shared" si="0"/>
        <v>28</v>
      </c>
      <c r="B34" s="20" t="s">
        <v>40</v>
      </c>
      <c r="C34" s="15" t="s">
        <v>10</v>
      </c>
      <c r="D34" s="15" t="s">
        <v>41</v>
      </c>
    </row>
    <row r="35" spans="1:4" x14ac:dyDescent="0.25">
      <c r="A35" s="1">
        <f t="shared" si="0"/>
        <v>29</v>
      </c>
      <c r="B35" s="14" t="s">
        <v>7</v>
      </c>
      <c r="C35" s="16">
        <f>C26*0.00394</f>
        <v>675181.0262966837</v>
      </c>
      <c r="D35" s="43">
        <f>TRUNC(C35/C26,5)</f>
        <v>3.9399999999999999E-3</v>
      </c>
    </row>
    <row r="36" spans="1:4" x14ac:dyDescent="0.25">
      <c r="A36" s="1">
        <f t="shared" si="0"/>
        <v>30</v>
      </c>
      <c r="B36" s="14" t="s">
        <v>8</v>
      </c>
      <c r="C36" s="40">
        <v>-362701.43729240145</v>
      </c>
      <c r="D36" s="41">
        <f>TRUNC(C36/C26,5)</f>
        <v>-2.1099999999999999E-3</v>
      </c>
    </row>
    <row r="37" spans="1:4" x14ac:dyDescent="0.25">
      <c r="A37" s="1">
        <f t="shared" si="0"/>
        <v>31</v>
      </c>
      <c r="B37" s="14" t="s">
        <v>6</v>
      </c>
      <c r="C37" s="17">
        <v>6886316.5788089186</v>
      </c>
      <c r="D37" s="18">
        <f>TRUNC(C37/C26,5)</f>
        <v>4.018E-2</v>
      </c>
    </row>
    <row r="38" spans="1:4" x14ac:dyDescent="0.25">
      <c r="A38" s="1">
        <f t="shared" si="0"/>
        <v>32</v>
      </c>
      <c r="B38" s="19" t="s">
        <v>9</v>
      </c>
      <c r="C38" s="42">
        <f>SUM(C35:C37)</f>
        <v>7198796.1678132005</v>
      </c>
      <c r="D38" s="44">
        <f>D37+D35+D36</f>
        <v>4.2009999999999999E-2</v>
      </c>
    </row>
    <row r="39" spans="1:4" x14ac:dyDescent="0.25">
      <c r="C39" s="9"/>
    </row>
    <row r="41" spans="1:4" x14ac:dyDescent="0.25">
      <c r="C41" s="56"/>
    </row>
  </sheetData>
  <mergeCells count="3">
    <mergeCell ref="A1:F1"/>
    <mergeCell ref="A2:F2"/>
    <mergeCell ref="A3:F3"/>
  </mergeCells>
  <pageMargins left="0.25" right="0.25" top="0.75" bottom="0.75" header="0.3" footer="0.3"/>
  <pageSetup scale="85" fitToWidth="0" orientation="landscape" r:id="rId1"/>
  <headerFooter>
    <oddHeader>&amp;RFitchburg Gas &amp; Electric Light Company
(Electric Division)
D.P.U. 25-08
&amp;F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B84A-0652-45F9-B009-4509BE1FBF01}">
  <sheetPr codeName="Sheet2">
    <pageSetUpPr fitToPage="1"/>
  </sheetPr>
  <dimension ref="A1:O36"/>
  <sheetViews>
    <sheetView view="pageBreakPreview" zoomScale="60" zoomScaleNormal="100" workbookViewId="0">
      <selection activeCell="C32" sqref="C32:E32"/>
    </sheetView>
  </sheetViews>
  <sheetFormatPr defaultColWidth="9.140625" defaultRowHeight="15" x14ac:dyDescent="0.25"/>
  <cols>
    <col min="1" max="1" width="12.140625" style="14" bestFit="1" customWidth="1"/>
    <col min="2" max="2" width="25.42578125" style="14" bestFit="1" customWidth="1"/>
    <col min="3" max="4" width="15.42578125" style="14" bestFit="1" customWidth="1"/>
    <col min="5" max="7" width="14.42578125" style="14" bestFit="1" customWidth="1"/>
    <col min="8" max="8" width="14.85546875" style="14" bestFit="1" customWidth="1"/>
    <col min="9" max="9" width="14.42578125" style="14" bestFit="1" customWidth="1"/>
    <col min="10" max="10" width="15.42578125" style="14" bestFit="1" customWidth="1"/>
    <col min="11" max="11" width="14.42578125" style="14" bestFit="1" customWidth="1"/>
    <col min="12" max="13" width="14.85546875" style="14" bestFit="1" customWidth="1"/>
    <col min="14" max="14" width="15.42578125" style="14" bestFit="1" customWidth="1"/>
    <col min="15" max="15" width="16.28515625" style="14" bestFit="1" customWidth="1"/>
    <col min="16" max="16384" width="9.140625" style="14"/>
  </cols>
  <sheetData>
    <row r="1" spans="1:15" s="35" customFormat="1" ht="18.75" x14ac:dyDescent="0.3">
      <c r="A1" s="57" t="s">
        <v>26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s="35" customFormat="1" ht="18.75" x14ac:dyDescent="0.3">
      <c r="A2" s="57" t="s">
        <v>33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5" s="35" customFormat="1" ht="18.75" x14ac:dyDescent="0.3">
      <c r="A3" s="58" t="s">
        <v>18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1:15" x14ac:dyDescent="0.25">
      <c r="A4" s="1"/>
    </row>
    <row r="5" spans="1:15" x14ac:dyDescent="0.25">
      <c r="A5" s="1"/>
      <c r="C5" s="22" t="s">
        <v>15</v>
      </c>
      <c r="D5" s="22" t="s">
        <v>15</v>
      </c>
      <c r="E5" s="22" t="s">
        <v>15</v>
      </c>
      <c r="F5" s="22" t="s">
        <v>15</v>
      </c>
      <c r="G5" s="22" t="s">
        <v>13</v>
      </c>
      <c r="H5" s="22" t="s">
        <v>13</v>
      </c>
      <c r="I5" s="22" t="s">
        <v>13</v>
      </c>
      <c r="J5" s="22" t="s">
        <v>13</v>
      </c>
      <c r="K5" s="22" t="s">
        <v>13</v>
      </c>
      <c r="L5" s="22" t="s">
        <v>13</v>
      </c>
      <c r="M5" s="22" t="s">
        <v>15</v>
      </c>
      <c r="N5" s="22" t="s">
        <v>15</v>
      </c>
      <c r="O5" s="23"/>
    </row>
    <row r="6" spans="1:15" x14ac:dyDescent="0.25">
      <c r="A6" s="1"/>
      <c r="C6" s="22" t="s">
        <v>14</v>
      </c>
      <c r="D6" s="22" t="s">
        <v>14</v>
      </c>
      <c r="E6" s="22" t="s">
        <v>14</v>
      </c>
      <c r="F6" s="22" t="s">
        <v>14</v>
      </c>
      <c r="G6" s="22" t="s">
        <v>14</v>
      </c>
      <c r="H6" s="22" t="s">
        <v>14</v>
      </c>
      <c r="I6" s="22" t="s">
        <v>14</v>
      </c>
      <c r="J6" s="22" t="s">
        <v>14</v>
      </c>
      <c r="K6" s="22" t="s">
        <v>14</v>
      </c>
      <c r="L6" s="22" t="s">
        <v>14</v>
      </c>
      <c r="M6" s="22" t="s">
        <v>14</v>
      </c>
      <c r="N6" s="22" t="s">
        <v>14</v>
      </c>
      <c r="O6" s="22" t="s">
        <v>14</v>
      </c>
    </row>
    <row r="7" spans="1:15" x14ac:dyDescent="0.25">
      <c r="A7" s="13" t="s">
        <v>12</v>
      </c>
      <c r="B7" s="15" t="s">
        <v>11</v>
      </c>
      <c r="C7" s="24">
        <v>46023</v>
      </c>
      <c r="D7" s="24">
        <v>46054</v>
      </c>
      <c r="E7" s="24">
        <v>46082</v>
      </c>
      <c r="F7" s="24">
        <v>46113</v>
      </c>
      <c r="G7" s="25">
        <v>46143</v>
      </c>
      <c r="H7" s="25">
        <v>46174</v>
      </c>
      <c r="I7" s="25">
        <v>46204</v>
      </c>
      <c r="J7" s="25">
        <v>46235</v>
      </c>
      <c r="K7" s="25">
        <v>46266</v>
      </c>
      <c r="L7" s="25">
        <v>46296</v>
      </c>
      <c r="M7" s="24">
        <v>46327</v>
      </c>
      <c r="N7" s="24">
        <v>46357</v>
      </c>
      <c r="O7" s="15" t="s">
        <v>2</v>
      </c>
    </row>
    <row r="8" spans="1:15" x14ac:dyDescent="0.25">
      <c r="A8" s="1">
        <v>1</v>
      </c>
      <c r="B8" s="26" t="s">
        <v>3</v>
      </c>
      <c r="C8" s="28">
        <v>14141128.265464613</v>
      </c>
      <c r="D8" s="28">
        <v>13210211.510452235</v>
      </c>
      <c r="E8" s="28">
        <v>11942610.688893372</v>
      </c>
      <c r="F8" s="28">
        <v>9326444.2833649348</v>
      </c>
      <c r="G8" s="29">
        <v>8756368.790385833</v>
      </c>
      <c r="H8" s="29">
        <v>9627325.1305052303</v>
      </c>
      <c r="I8" s="29">
        <v>12555869.163803777</v>
      </c>
      <c r="J8" s="29">
        <v>12609566.14324655</v>
      </c>
      <c r="K8" s="29">
        <v>10649910.72320147</v>
      </c>
      <c r="L8" s="29">
        <v>8944880.0692155622</v>
      </c>
      <c r="M8" s="28">
        <v>9718510.2720707208</v>
      </c>
      <c r="N8" s="28">
        <v>12568546.924340058</v>
      </c>
    </row>
    <row r="9" spans="1:15" x14ac:dyDescent="0.25">
      <c r="A9" s="1">
        <f t="shared" ref="A9:A10" si="0">A8+1</f>
        <v>2</v>
      </c>
      <c r="B9" s="26" t="s">
        <v>4</v>
      </c>
      <c r="C9" s="30">
        <v>3729798.7809496224</v>
      </c>
      <c r="D9" s="30">
        <v>3688061.9840458483</v>
      </c>
      <c r="E9" s="30">
        <v>3484734.7077554828</v>
      </c>
      <c r="F9" s="30">
        <v>2834653.7894619415</v>
      </c>
      <c r="G9" s="31">
        <v>2518072.2435862068</v>
      </c>
      <c r="H9" s="31">
        <v>2739365.5642398237</v>
      </c>
      <c r="I9" s="31">
        <v>3341951.5765085723</v>
      </c>
      <c r="J9" s="31">
        <v>3473647.3202931499</v>
      </c>
      <c r="K9" s="31">
        <v>3067020.3870686456</v>
      </c>
      <c r="L9" s="31">
        <v>2553136.1939881206</v>
      </c>
      <c r="M9" s="30">
        <v>2559764.7514967611</v>
      </c>
      <c r="N9" s="30">
        <v>3324163.4505558037</v>
      </c>
    </row>
    <row r="10" spans="1:15" x14ac:dyDescent="0.25">
      <c r="A10" s="1">
        <f t="shared" si="0"/>
        <v>3</v>
      </c>
      <c r="B10" s="27" t="s">
        <v>5</v>
      </c>
      <c r="C10" s="32">
        <f>C8+C9</f>
        <v>17870927.046414234</v>
      </c>
      <c r="D10" s="32">
        <f t="shared" ref="D10:N10" si="1">D8+D9</f>
        <v>16898273.494498082</v>
      </c>
      <c r="E10" s="32">
        <f t="shared" si="1"/>
        <v>15427345.396648854</v>
      </c>
      <c r="F10" s="32">
        <f t="shared" si="1"/>
        <v>12161098.072826877</v>
      </c>
      <c r="G10" s="33">
        <f t="shared" si="1"/>
        <v>11274441.03397204</v>
      </c>
      <c r="H10" s="33">
        <f t="shared" si="1"/>
        <v>12366690.694745054</v>
      </c>
      <c r="I10" s="33">
        <f t="shared" si="1"/>
        <v>15897820.740312349</v>
      </c>
      <c r="J10" s="33">
        <f t="shared" si="1"/>
        <v>16083213.463539701</v>
      </c>
      <c r="K10" s="33">
        <f t="shared" si="1"/>
        <v>13716931.110270116</v>
      </c>
      <c r="L10" s="33">
        <f t="shared" si="1"/>
        <v>11498016.263203682</v>
      </c>
      <c r="M10" s="32">
        <f t="shared" si="1"/>
        <v>12278275.023567483</v>
      </c>
      <c r="N10" s="32">
        <f t="shared" si="1"/>
        <v>15892710.374895861</v>
      </c>
      <c r="O10" s="34">
        <f>SUM(C10:N10)</f>
        <v>171365742.71489435</v>
      </c>
    </row>
    <row r="11" spans="1:15" x14ac:dyDescent="0.25">
      <c r="A11" s="1"/>
    </row>
    <row r="12" spans="1:15" x14ac:dyDescent="0.25">
      <c r="A12" s="1"/>
    </row>
    <row r="13" spans="1:15" x14ac:dyDescent="0.25">
      <c r="A13" s="1"/>
    </row>
    <row r="14" spans="1:15" x14ac:dyDescent="0.25">
      <c r="A14" s="1"/>
    </row>
    <row r="15" spans="1:15" x14ac:dyDescent="0.25">
      <c r="A15" s="1"/>
    </row>
    <row r="16" spans="1:1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</sheetData>
  <mergeCells count="3">
    <mergeCell ref="A1:O1"/>
    <mergeCell ref="A2:O2"/>
    <mergeCell ref="A3:O3"/>
  </mergeCells>
  <pageMargins left="0.25" right="0.25" top="0.75" bottom="0.75" header="0.3" footer="0.3"/>
  <pageSetup scale="58" orientation="landscape" r:id="rId1"/>
  <headerFooter>
    <oddHeader>&amp;RFitchburg Gas &amp; Electric Light Company
(Electric Division)
D.P.U. 25-08
&amp;F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Forecasted Sales</vt:lpstr>
    </vt:vector>
  </TitlesOfParts>
  <Company>Unitil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Goulding, Christopher</dc:creator>
  <cp:lastModifiedBy>Goulding, Christopher</cp:lastModifiedBy>
  <cp:lastPrinted>2026-06-12T19:24:25Z</cp:lastPrinted>
  <dcterms:created xsi:type="dcterms:W3CDTF">2025-10-13T21:19:37Z</dcterms:created>
  <dcterms:modified xsi:type="dcterms:W3CDTF">2026-06-12T19:34:53Z</dcterms:modified>
</cp:coreProperties>
</file>