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tionalgridplc-my.sharepoint.com/personal/melissa_liazos_nationalgrid_com/Documents/Grid/DPU 25-08 - DOER Seasonal Heat Pump Rate Petition/IRs/Drafts/"/>
    </mc:Choice>
  </mc:AlternateContent>
  <xr:revisionPtr revIDLastSave="3" documentId="8_{42E72160-363E-42FB-8426-3095E010F8B6}" xr6:coauthVersionLast="47" xr6:coauthVersionMax="47" xr10:uidLastSave="{EF0A2FC6-0366-434F-B066-98B0FE55132A}"/>
  <bookViews>
    <workbookView xWindow="-110" yWindow="-110" windowWidth="19420" windowHeight="10300" xr2:uid="{00000000-000D-0000-FFFF-FFFF00000000}"/>
  </bookViews>
  <sheets>
    <sheet name="Transmission Rate Design" sheetId="1" r:id="rId1"/>
    <sheet name="Adjusted Forecast" sheetId="4" r:id="rId2"/>
    <sheet name="Heat Pump Rate Design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localSheetId="1" hidden="1">#REF!</definedName>
    <definedName name="__123Graph_A" hidden="1">#REF!</definedName>
    <definedName name="__123Graph_ACITYGATE" hidden="1">[1]A!$D$246:$J$246</definedName>
    <definedName name="__123Graph_ACNG" hidden="1">[1]A!$D$434:$J$434</definedName>
    <definedName name="__123Graph_AGRAPH2" hidden="1">[1]A!$BB$258:$BB$264</definedName>
    <definedName name="__123Graph_AMARGIN" hidden="1">[1]A!$D$385:$K$385</definedName>
    <definedName name="__123Graph_AMINBD" hidden="1">[1]A!$D$241:$K$241</definedName>
    <definedName name="__123Graph_AMINTAKE" hidden="1">[1]A!$D$381:$K$381</definedName>
    <definedName name="__123Graph_ASTORE" hidden="1">[1]A!$D$276:$K$276</definedName>
    <definedName name="__123Graph_ASTOREBD" hidden="1">[1]A!$D$431:$J$431</definedName>
    <definedName name="__123Graph_ATENN" hidden="1">[1]A!$D$433:$J$433</definedName>
    <definedName name="__123Graph_ATETCO" hidden="1">[1]A!$D$432:$J$432</definedName>
    <definedName name="__123Graph_ATOTAL" hidden="1">[1]A!$O$264:$V$264</definedName>
    <definedName name="__123Graph_ATRANSCO" hidden="1">[1]A!$D$431:$J$431</definedName>
    <definedName name="__123Graph_B" hidden="1">[1]A!$BC$258:$BC$264</definedName>
    <definedName name="__123Graph_BCITYGATE" hidden="1">[1]A!$D$247:$J$247</definedName>
    <definedName name="__123Graph_BCNG" hidden="1">[1]A!$N$440:$T$440</definedName>
    <definedName name="__123Graph_BGRAPH2" hidden="1">[1]A!$BC$258:$BC$264</definedName>
    <definedName name="__123Graph_BSTOREBD" hidden="1">[1]A!$D$432:$J$432</definedName>
    <definedName name="__123Graph_BTENN" hidden="1">[1]A!$N$439:$T$439</definedName>
    <definedName name="__123Graph_BTETCO" hidden="1">[1]A!$N$438:$T$438</definedName>
    <definedName name="__123Graph_BTOTAL" hidden="1">[1]A!$D$276:$K$276</definedName>
    <definedName name="__123Graph_BTRANSCO" hidden="1">[1]A!$N$437:$T$437</definedName>
    <definedName name="__123Graph_C" hidden="1">[1]A!$BD$258:$BD$264</definedName>
    <definedName name="__123Graph_CCITYGATE" hidden="1">[1]A!$D$248:$J$248</definedName>
    <definedName name="__123Graph_CGRAPH2" hidden="1">[1]A!$BD$258:$BD$264</definedName>
    <definedName name="__123Graph_CMINBD" hidden="1">[1]A!$D$240:$K$240</definedName>
    <definedName name="__123Graph_CSTOREBD" hidden="1">[1]A!$D$433:$J$433</definedName>
    <definedName name="__123Graph_DCITYGATE" hidden="1">[1]A!$O$259:$U$259</definedName>
    <definedName name="__123Graph_DSTOREBD" hidden="1">[1]A!$D$434:$J$434</definedName>
    <definedName name="__123Graph_ECITYGATE" hidden="1">[1]A!$O$260:$U$260</definedName>
    <definedName name="__123Graph_X" hidden="1">[1]A!$BA$258:$BA$264</definedName>
    <definedName name="__123Graph_XCITYGATE" hidden="1">[1]A!$D$244:$J$244</definedName>
    <definedName name="__123Graph_XCNG" hidden="1">[1]A!$D$244:$J$244</definedName>
    <definedName name="__123Graph_XGRAPH2" hidden="1">[1]A!$BA$258:$BA$264</definedName>
    <definedName name="__123Graph_XMARGIN" hidden="1">[1]A!$D$244:$K$244</definedName>
    <definedName name="__123Graph_XMINBD" hidden="1">[1]A!$D$244:$K$244</definedName>
    <definedName name="__123Graph_XMINTAKE" hidden="1">[1]A!$D$244:$K$244</definedName>
    <definedName name="__123Graph_XSTORE" hidden="1">[1]A!$D$244:$K$244</definedName>
    <definedName name="__123Graph_XSTOREBD" hidden="1">[1]A!$D$244:$J$244</definedName>
    <definedName name="__123Graph_XTENN" hidden="1">[1]A!$D$244:$J$244</definedName>
    <definedName name="__123Graph_XTETCO" hidden="1">[1]A!$D$244:$J$244</definedName>
    <definedName name="__123Graph_XTOTAL" hidden="1">[1]A!$D$244:$K$244</definedName>
    <definedName name="__123Graph_XTRANSCO" hidden="1">[1]A!$D$244:$J$244</definedName>
    <definedName name="_1__123Graph_ACHART_1" localSheetId="1" hidden="1">[2]TME11_2010!#REF!</definedName>
    <definedName name="_1__123Graph_ACHART_1" hidden="1">[2]TME11_2010!#REF!</definedName>
    <definedName name="_12__123Graph_CCHART_1" localSheetId="1" hidden="1">[2]TME11_2010!#REF!</definedName>
    <definedName name="_12__123Graph_CCHART_1" hidden="1">[2]TME11_2010!#REF!</definedName>
    <definedName name="_16__123Graph_XCHART_1" hidden="1">[2]TME11_2010!#REF!</definedName>
    <definedName name="_18__123Graph_BCHART_1" hidden="1">[2]TME11_2010!#REF!</definedName>
    <definedName name="_2__123Graph_ACHART_1" hidden="1">[2]TME11_2010!#REF!</definedName>
    <definedName name="_2__123Graph_BCHART_1" hidden="1">[2]TME11_2010!#REF!</definedName>
    <definedName name="_27__123Graph_CCHART_1" hidden="1">[2]TME11_2010!#REF!</definedName>
    <definedName name="_3__123Graph_CCHART_1" hidden="1">[2]TME11_2010!#REF!</definedName>
    <definedName name="_36__123Graph_XCHART_1" hidden="1">[2]TME11_2010!#REF!</definedName>
    <definedName name="_4__123Graph_ACHART_1" hidden="1">[2]TME11_2010!#REF!</definedName>
    <definedName name="_4__123Graph_BCHART_1" hidden="1">[2]TME11_2010!#REF!</definedName>
    <definedName name="_4__123Graph_XCHART_1" hidden="1">[2]TME11_2010!#REF!</definedName>
    <definedName name="_6__123Graph_CCHART_1" hidden="1">[2]TME11_2010!#REF!</definedName>
    <definedName name="_8__123Graph_BCHART_1" hidden="1">[2]TME11_2010!#REF!</definedName>
    <definedName name="_8__123Graph_XCHART_1" hidden="1">[2]TME11_2010!#REF!</definedName>
    <definedName name="_9__123Graph_ACHART_1" hidden="1">[2]TME11_2010!#REF!</definedName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Mar1" localSheetId="1" hidden="1">[3]Apr!#REF!</definedName>
    <definedName name="_Mar1" hidden="1">[3]Apr!#REF!</definedName>
    <definedName name="_NH12">[4]Market!#REF!</definedName>
    <definedName name="_NH2">[4]Market!#REF!</definedName>
    <definedName name="_NH3">[4]Market!#REF!</definedName>
    <definedName name="_NH5">[4]Market!#REF!</definedName>
    <definedName name="_NH6">[4]Market!#REF!</definedName>
    <definedName name="_NH7">[4]Market!#REF!</definedName>
    <definedName name="_NH8">[4]Market!#REF!</definedName>
    <definedName name="_NH9">[4]Market!#REF!</definedName>
    <definedName name="_Order1" hidden="1">255</definedName>
    <definedName name="_Order2" hidden="1">0</definedName>
    <definedName name="_RI1">[4]Market!#REF!</definedName>
    <definedName name="_RI10">[4]Market!#REF!</definedName>
    <definedName name="_RI11">[4]Market!#REF!</definedName>
    <definedName name="_RI12">[4]Market!#REF!</definedName>
    <definedName name="_RI3">[4]Market!#REF!</definedName>
    <definedName name="_RI4">[4]Market!#REF!</definedName>
    <definedName name="_RI5">[4]Market!#REF!</definedName>
    <definedName name="_RI7">[4]Market!#REF!</definedName>
    <definedName name="_RI8">[4]Market!#REF!</definedName>
    <definedName name="_RI9">[4]Market!#REF!</definedName>
    <definedName name="_Sort" localSheetId="1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AG" localSheetId="1" hidden="1">{#N/A,#N/A,FALSE,"OIT summ";#N/A,#N/A,FALSE,"otb summ-dental";#N/A,#N/A,FALSE,"otb summ-vision"}</definedName>
    <definedName name="AG" hidden="1">{#N/A,#N/A,FALSE,"OIT summ";#N/A,#N/A,FALSE,"otb summ-dental";#N/A,#N/A,FALSE,"otb summ-vision"}</definedName>
    <definedName name="Alloc0">[5]AllocFctr!$F$7</definedName>
    <definedName name="anscount" hidden="1">1</definedName>
    <definedName name="arClassOff">[5]Total!$7:$7</definedName>
    <definedName name="August_January_Basic_Service_Rate">'[6]Summary Bill Impacts'!$D$5</definedName>
    <definedName name="crap" localSheetId="1" hidden="1">{#N/A,#N/A,FALSE,"OIT summ";#N/A,#N/A,FALSE,"otb summ-dental";#N/A,#N/A,FALSE,"otb summ-vision"}</definedName>
    <definedName name="crap" hidden="1">{#N/A,#N/A,FALSE,"OIT summ";#N/A,#N/A,FALSE,"otb summ-dental";#N/A,#N/A,FALSE,"otb summ-vision"}</definedName>
    <definedName name="Current_Year_1" localSheetId="1">#REF!</definedName>
    <definedName name="Current_Year_1">#REF!</definedName>
    <definedName name="dddddddddddd" localSheetId="1" hidden="1">{#N/A,#N/A,FALSE,"OIT summ";#N/A,#N/A,FALSE,"otb summ-dental";#N/A,#N/A,FALSE,"otb summ-vision"}</definedName>
    <definedName name="dddddddddddd" hidden="1">{#N/A,#N/A,FALSE,"OIT summ";#N/A,#N/A,FALSE,"otb summ-dental";#N/A,#N/A,FALSE,"otb summ-vision"}</definedName>
    <definedName name="DEF_RECLASS" localSheetId="1">#REF!</definedName>
    <definedName name="DEF_RECLASS">#REF!</definedName>
    <definedName name="DEF_RECLASS_MA" localSheetId="1">#REF!</definedName>
    <definedName name="DEF_RECLASS_MA">#REF!</definedName>
    <definedName name="DEF_RECLASS_SURCHARGE" localSheetId="1">#REF!</definedName>
    <definedName name="DEF_RECLASS_SURCHARGE">#REF!</definedName>
    <definedName name="DEF_RECLASS_SURCHARGE_MA">#REF!</definedName>
    <definedName name="Delivery_Peak_Period_End">'[6]Summary Bill Impacts'!$D$7</definedName>
    <definedName name="Delivery_Peak_Period_Start">'[6]Summary Bill Impacts'!$D$6</definedName>
    <definedName name="February_July_Basic_Service_Rate">'[6]Summary Bill Impacts'!$D$4</definedName>
    <definedName name="ForecastError">'[7]NH Summary Ind'!#REF!</definedName>
    <definedName name="FUEL_ADJ_VALUE">#REF!</definedName>
    <definedName name="GAS">#REF!</definedName>
    <definedName name="GranAvgLF">[7]NHLoads!$U$2</definedName>
    <definedName name="GranLrgLF">[7]NHLoads!$S$2</definedName>
    <definedName name="GranSmlLF">[7]NHLoads!$T$2</definedName>
    <definedName name="HTML_CodePage" hidden="1">1252</definedName>
    <definedName name="HTML_Control" localSheetId="1" hidden="1">{"'Worksheet'!$A$3:$R$184"}</definedName>
    <definedName name="HTML_Control" hidden="1">{"'Worksheet'!$A$3:$R$184"}</definedName>
    <definedName name="HTML_Description" hidden="1">""</definedName>
    <definedName name="HTML_Email" hidden="1">""</definedName>
    <definedName name="HTML_Header" hidden="1">"Worksheet"</definedName>
    <definedName name="HTML_LastUpdate" hidden="1">"3/19/1999"</definedName>
    <definedName name="HTML_LineAfter" hidden="1">FALSE</definedName>
    <definedName name="HTML_LineBefore" hidden="1">FALSE</definedName>
    <definedName name="HTML_Name" hidden="1">"Al Kinne"</definedName>
    <definedName name="HTML_OBDlg2" hidden="1">TRUE</definedName>
    <definedName name="HTML_OBDlg4" hidden="1">TRUE</definedName>
    <definedName name="HTML_OS" hidden="1">0</definedName>
    <definedName name="HTML_PathFile" hidden="1">"N:\excel\work\MyHTML.htm"</definedName>
    <definedName name="HTML_Title" hidden="1">"Interconnection Rev's &amp; Purch's for 1999"</definedName>
    <definedName name="HVM" localSheetId="1">#REF!</definedName>
    <definedName name="HVM">#REF!</definedName>
    <definedName name="Index" localSheetId="1">#REF!</definedName>
    <definedName name="Index">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LR" localSheetId="1">#REF!</definedName>
    <definedName name="LR">#REF!</definedName>
    <definedName name="MassCLF">[7]MALoads!$AD$1</definedName>
    <definedName name="MidMonth2">[7]Data!$L$10</definedName>
    <definedName name="MKT_GAS_PRICE">#REF!</definedName>
    <definedName name="MKT_OIL_PRICE">#REF!</definedName>
    <definedName name="newAG" localSheetId="1" hidden="1">{#N/A,#N/A,FALSE,"OIT summ";#N/A,#N/A,FALSE,"otb summ-dental";#N/A,#N/A,FALSE,"otb summ-vision"}</definedName>
    <definedName name="newAG" hidden="1">{#N/A,#N/A,FALSE,"OIT summ";#N/A,#N/A,FALSE,"otb summ-dental";#N/A,#N/A,FALSE,"otb summ-vision"}</definedName>
    <definedName name="newname" localSheetId="1" hidden="1">{"'Worksheet'!$A$3:$R$184"}</definedName>
    <definedName name="newname" hidden="1">{"'Worksheet'!$A$3:$R$184"}</definedName>
    <definedName name="OIL">#REF!</definedName>
    <definedName name="OnPeak">[8]Data!#REF!</definedName>
    <definedName name="page1">#REF!</definedName>
    <definedName name="page2">#REF!</definedName>
    <definedName name="page3">#REF!</definedName>
    <definedName name="page4">#REF!</definedName>
    <definedName name="_xlnm.Print_Area" localSheetId="1">'Adjusted Forecast'!$A$1:$G$40</definedName>
    <definedName name="_xlnm.Print_Area" localSheetId="2">'Heat Pump Rate Design'!$A$1:$O$75</definedName>
    <definedName name="_xlnm.Print_Area" localSheetId="0">'Transmission Rate Design'!$A$1:$C$41</definedName>
    <definedName name="_xlnm.Print_Area">#REF!</definedName>
    <definedName name="Proj_Exp" localSheetId="1">#REF!</definedName>
    <definedName name="Proj_Exp">#REF!</definedName>
    <definedName name="Rev_Est" localSheetId="1">#REF!</definedName>
    <definedName name="Rev_Est">#REF!</definedName>
    <definedName name="SO_Rev" localSheetId="1">#REF!</definedName>
    <definedName name="SO_Rev">#REF!</definedName>
    <definedName name="Supply_Peak_Period_End">'[6]Summary Bill Impacts'!$D$9</definedName>
    <definedName name="Supply_Peak_Period_Start">'[6]Summary Bill Impacts'!$D$8</definedName>
    <definedName name="temporary" localSheetId="1" hidden="1">'[9]Nov 02'!#REF!</definedName>
    <definedName name="temporary" hidden="1">'[9]Nov 02'!#REF!</definedName>
    <definedName name="temporary2" localSheetId="1" hidden="1">'[9]Nov 02'!#REF!</definedName>
    <definedName name="temporary2" hidden="1">'[9]Nov 02'!#REF!</definedName>
    <definedName name="TES_4" localSheetId="1">#REF!</definedName>
    <definedName name="TES_4">#REF!</definedName>
    <definedName name="Title">[7]Data!$B$4</definedName>
    <definedName name="TRS_1" localSheetId="1">#REF!</definedName>
    <definedName name="TRS_1">#REF!</definedName>
    <definedName name="TRS_10" localSheetId="1">#REF!</definedName>
    <definedName name="TRS_10">#REF!</definedName>
    <definedName name="TRS_11">#REF!</definedName>
    <definedName name="TRS_12">#REF!</definedName>
    <definedName name="TRS_13">#REF!</definedName>
    <definedName name="TRS_2">#REF!</definedName>
    <definedName name="TRS_3">#REF!</definedName>
    <definedName name="TRS_5">#REF!</definedName>
    <definedName name="TRS_6">#REF!</definedName>
    <definedName name="TRS_7">#REF!</definedName>
    <definedName name="TRS_8">#REF!</definedName>
    <definedName name="TRS_9">#REF!</definedName>
    <definedName name="TRS_FACT_1">#REF!</definedName>
    <definedName name="TRS_FACT_2">#REF!</definedName>
    <definedName name="USV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USV" hidden="1">{#N/A,#N/A,FALSE,"OIT ee contribs 00";#N/A,#N/A,FALSE,"OITeecontribs-DentalVision";#N/A,#N/A,FALSE,"OIT-pc01";#N/A,#N/A,FALSE,"pc-dent&amp;vision01";#N/A,#N/A,FALSE,"OIT-tc01";#N/A,#N/A,FALSE,"tc-dent&amp;vision01"}</definedName>
    <definedName name="wrn.2004._.Feb." localSheetId="1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4._.Feb.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5." localSheetId="1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5.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6." localSheetId="1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6.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7." localSheetId="1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2007.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All." localSheetId="1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_.Sheets." localSheetId="1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ll._.Sheets.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pr._.2003." localSheetId="1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._.2003.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il._.2003._.Report." localSheetId="1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pril._.2003._.Report.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ugust._.2003." localSheetId="1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August._.2003.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CGAC." localSheetId="1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GAC.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lient._.Deliverable._.Jen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Jen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s._.Baseline." localSheetId="1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Client._.Deliverables._.Baseline.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Dec._.2003." localSheetId="1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ec._.2003.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FR._.IV._.A._.Future._.Revenue." localSheetId="1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DFR._.IV._.A._.Future._.Revenue.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Explanations." localSheetId="1" hidden="1">{"exp SC1",#N/A,FALSE,"Mar";"exp SC2",#N/A,FALSE,"Mar";"exp SC2MB",#N/A,FALSE,"Mar";"exp SC1MB",#N/A,FALSE,"Mar";"exp roll up for tables",#N/A,FALSE,"Mar"}</definedName>
    <definedName name="wrn.Explanations." hidden="1">{"exp SC1",#N/A,FALSE,"Mar";"exp SC2",#N/A,FALSE,"Mar";"exp SC2MB",#N/A,FALSE,"Mar";"exp SC1MB",#N/A,FALSE,"Mar";"exp roll up for tables",#N/A,FALSE,"Mar"}</definedName>
    <definedName name="wrn.Feb._.all._.sheets." localSheetId="1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all._.sheets.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Package." localSheetId="1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eb._.Package.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GAC._.RECO." localSheetId="1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AC._.RECO.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oals._.Backup." localSheetId="1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oals._.Backup.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Jan._.2004." localSheetId="1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2004.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Package._.2003." localSheetId="1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n._.Package._.2003.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uly._.2003." localSheetId="1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ly._.2003.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ne._.2003." localSheetId="1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ne._.2003.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March._.2003." localSheetId="1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2003.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Package." localSheetId="1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rch._.Package.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y._.2003." localSheetId="1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ay._.2003.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ISC." localSheetId="1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MISC.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Nov._.2003." localSheetId="1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ov._.2003.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Oct._.2003." localSheetId="1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ct._.2003.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IT._.Sum._.Pages.Manual._.Input._.First." localSheetId="1" hidden="1">{#N/A,#N/A,FALSE,"OIT summ";#N/A,#N/A,FALSE,"otb summ-dental";#N/A,#N/A,FALSE,"otb summ-vision"}</definedName>
    <definedName name="wrn.OIT._.Sum._.Pages.Manual._.Input._.First." hidden="1">{#N/A,#N/A,FALSE,"OIT summ";#N/A,#N/A,FALSE,"otb summ-dental";#N/A,#N/A,FALSE,"otb summ-vision"}</definedName>
    <definedName name="wrn.PRINT._.ALL." localSheetId="1" hidden="1">{#N/A,#N/A,FALSE,"JV167";#N/A,#N/A,FALSE,"INPUT AREA"}</definedName>
    <definedName name="wrn.PRINT._.ALL." hidden="1">{#N/A,#N/A,FALSE,"JV167";#N/A,#N/A,FALSE,"INPUT AREA"}</definedName>
    <definedName name="wrn.Print._.Report." localSheetId="1" hidden="1">{#N/A,#N/A,FALSE,"COG Reco";#N/A,#N/A,FALSE,"Gas Cost Accrual Analysis";#N/A,#N/A,FALSE,"Analysis of Unbilled Adjustment"}</definedName>
    <definedName name="wrn.Print._.Report." hidden="1">{#N/A,#N/A,FALSE,"COG Reco";#N/A,#N/A,FALSE,"Gas Cost Accrual Analysis";#N/A,#N/A,FALSE,"Analysis of Unbilled Adjustment"}</definedName>
    <definedName name="wrn.Schedule._.JLH_3." localSheetId="1" hidden="1">{"3-1",#N/A,FALSE,"Main";"3-2",#N/A,FALSE,"Sendout";"3-5",#N/A,FALSE,"Commodity";"3-7",#N/A,FALSE,"Demand";"3-8",#N/A,FALSE,"Base";"3-9",#N/A,FALSE,"Remaining";"3-12",#N/A,FALSE,"NewCGA"}</definedName>
    <definedName name="wrn.Schedule._.JLH_3." hidden="1">{"3-1",#N/A,FALSE,"Main";"3-2",#N/A,FALSE,"Sendout";"3-5",#N/A,FALSE,"Commodity";"3-7",#N/A,FALSE,"Demand";"3-8",#N/A,FALSE,"Base";"3-9",#N/A,FALSE,"Remaining";"3-12",#N/A,FALSE,"NewCGA"}</definedName>
    <definedName name="wrn.Sep._.2003." localSheetId="1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ep._.2003.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lide._.Add._.Ons." localSheetId="1" hidden="1">{"Sec2Sch1",#N/A,FALSE,"Sheet1";"Sec2Sch2",#N/A,FALSE,"Sheet1";"Sec2Sch3",#N/A,FALSE,"Sheet1"}</definedName>
    <definedName name="wrn.Slide._.Add._.Ons." hidden="1">{"Sec2Sch1",#N/A,FALSE,"Sheet1";"Sec2Sch2",#N/A,FALSE,"Sheet1";"Sec2Sch3",#N/A,FALSE,"Sheet1"}</definedName>
    <definedName name="wrn.Storage." localSheetId="1" hidden="1">{"Storage",#N/A,FALSE,"Storage"}</definedName>
    <definedName name="wrn.Storage." hidden="1">{"Storage",#N/A,FALSE,"Storage"}</definedName>
    <definedName name="wrn.Temp." localSheetId="1" hidden="1">{"Working Capital",#N/A,FALSE,"Main";"Sept CGA",#N/A,FALSE,"Main";"Adders",#N/A,FALSE,"Main";"Bad Debt",#N/A,FALSE,"Main"}</definedName>
    <definedName name="wrn.Temp." hidden="1">{"Working Capital",#N/A,FALSE,"Main";"Sept CGA",#N/A,FALSE,"Main";"Adders",#N/A,FALSE,"Main";"Bad Debt",#N/A,FALSE,"Main"}</definedName>
    <definedName name="wrn.year._.2004." localSheetId="1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ear._.2004.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TD._.2003._.2004." localSheetId="1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rn.YTD._.2003._.2004.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x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x" hidden="1">{#N/A,#N/A,FALSE,"OIT ee contribs 00";#N/A,#N/A,FALSE,"OITeecontribs-DentalVision";#N/A,#N/A,FALSE,"OIT-pc01";#N/A,#N/A,FALSE,"pc-dent&amp;vision01";#N/A,#N/A,FALSE,"OIT-tc01";#N/A,#N/A,FALSE,"tc-dent&amp;vision01"}</definedName>
    <definedName name="xx" localSheetId="1" hidden="1">{#N/A,#N/A,FALSE,"OIT ee contribs 00";#N/A,#N/A,FALSE,"OITeecontribs-DentalVision";#N/A,#N/A,FALSE,"OIT-pc01";#N/A,#N/A,FALSE,"pc-dent&amp;vision01";#N/A,#N/A,FALSE,"OIT-tc01";#N/A,#N/A,FALSE,"tc-dent&amp;vision01"}</definedName>
    <definedName name="xx" hidden="1">{#N/A,#N/A,FALSE,"OIT ee contribs 00";#N/A,#N/A,FALSE,"OITeecontribs-DentalVision";#N/A,#N/A,FALSE,"OIT-pc01";#N/A,#N/A,FALSE,"pc-dent&amp;vision01";#N/A,#N/A,FALSE,"OIT-tc01";#N/A,#N/A,FALSE,"tc-dent&amp;vision01"}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7" i="7" l="1"/>
  <c r="O4" i="7"/>
  <c r="O1" i="7"/>
  <c r="A10" i="4"/>
  <c r="G7" i="4"/>
  <c r="G5" i="4"/>
  <c r="O5" i="7" s="1"/>
  <c r="G4" i="4"/>
  <c r="G3" i="4"/>
  <c r="O3" i="7" s="1"/>
  <c r="G2" i="4"/>
  <c r="O2" i="7" s="1"/>
  <c r="G1" i="4"/>
  <c r="A11" i="1"/>
  <c r="A10" i="1"/>
  <c r="A19" i="4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17" i="1"/>
  <c r="A35" i="1"/>
  <c r="A36" i="1" s="1"/>
  <c r="A37" i="1" s="1"/>
  <c r="A38" i="1" s="1"/>
  <c r="A39" i="1" s="1"/>
  <c r="A40" i="1" s="1"/>
  <c r="A41" i="1" s="1"/>
  <c r="A11" i="4" l="1"/>
  <c r="C39" i="7"/>
  <c r="C47" i="7"/>
  <c r="C49" i="7"/>
  <c r="A44" i="7"/>
  <c r="A41" i="7"/>
  <c r="K37" i="7"/>
  <c r="K34" i="7" s="1"/>
  <c r="N34" i="7" s="1"/>
  <c r="O34" i="7" s="1"/>
  <c r="G34" i="7" s="1"/>
  <c r="C36" i="7"/>
  <c r="F35" i="7"/>
  <c r="E35" i="7"/>
  <c r="D35" i="7" s="1"/>
  <c r="F34" i="7"/>
  <c r="E34" i="7"/>
  <c r="D34" i="7"/>
  <c r="G33" i="7"/>
  <c r="F33" i="7"/>
  <c r="E33" i="7"/>
  <c r="G32" i="7"/>
  <c r="F32" i="7"/>
  <c r="E32" i="7"/>
  <c r="D32" i="7"/>
  <c r="G31" i="7"/>
  <c r="F31" i="7"/>
  <c r="E31" i="7"/>
  <c r="G30" i="7"/>
  <c r="F30" i="7"/>
  <c r="D30" i="7" s="1"/>
  <c r="E30" i="7"/>
  <c r="G29" i="7"/>
  <c r="F29" i="7"/>
  <c r="E29" i="7"/>
  <c r="D29" i="7"/>
  <c r="G28" i="7"/>
  <c r="F28" i="7"/>
  <c r="E28" i="7"/>
  <c r="F27" i="7"/>
  <c r="E27" i="7"/>
  <c r="F26" i="7"/>
  <c r="E26" i="7"/>
  <c r="K25" i="7"/>
  <c r="N25" i="7" s="1"/>
  <c r="O25" i="7" s="1"/>
  <c r="G25" i="7" s="1"/>
  <c r="F25" i="7"/>
  <c r="E25" i="7"/>
  <c r="D25" i="7" s="1"/>
  <c r="F24" i="7"/>
  <c r="E24" i="7"/>
  <c r="A22" i="7"/>
  <c r="A18" i="7"/>
  <c r="D31" i="7" l="1"/>
  <c r="D33" i="7"/>
  <c r="D24" i="7"/>
  <c r="D27" i="7"/>
  <c r="D28" i="7"/>
  <c r="F36" i="7"/>
  <c r="C42" i="7"/>
  <c r="D26" i="7"/>
  <c r="D36" i="7"/>
  <c r="K27" i="7"/>
  <c r="N27" i="7" s="1"/>
  <c r="O27" i="7" s="1"/>
  <c r="G27" i="7" s="1"/>
  <c r="C40" i="7"/>
  <c r="K26" i="7"/>
  <c r="N26" i="7" s="1"/>
  <c r="O26" i="7" s="1"/>
  <c r="G26" i="7" s="1"/>
  <c r="E36" i="7"/>
  <c r="K24" i="7"/>
  <c r="N24" i="7" s="1"/>
  <c r="O24" i="7" s="1"/>
  <c r="G24" i="7" s="1"/>
  <c r="F18" i="4" s="1"/>
  <c r="A19" i="7"/>
  <c r="K35" i="7"/>
  <c r="N35" i="7" s="1"/>
  <c r="O35" i="7" s="1"/>
  <c r="G35" i="7" s="1"/>
  <c r="F19" i="4" l="1"/>
  <c r="F26" i="4" s="1"/>
  <c r="G18" i="4"/>
  <c r="C43" i="7"/>
  <c r="F27" i="4"/>
  <c r="O36" i="7"/>
  <c r="A20" i="7"/>
  <c r="F28" i="4" l="1"/>
  <c r="A21" i="7"/>
  <c r="G36" i="7"/>
  <c r="C48" i="7"/>
  <c r="C50" i="7" s="1"/>
  <c r="F29" i="4" l="1"/>
  <c r="A23" i="7"/>
  <c r="A24" i="7" l="1"/>
  <c r="A25" i="7" l="1"/>
  <c r="A26" i="7" l="1"/>
  <c r="A27" i="7" l="1"/>
  <c r="A28" i="7" l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2" i="7" s="1"/>
  <c r="A43" i="7" s="1"/>
  <c r="A45" i="7" s="1"/>
  <c r="A46" i="7" s="1"/>
  <c r="A47" i="7" s="1"/>
  <c r="A48" i="7" s="1"/>
  <c r="A49" i="7" s="1"/>
  <c r="A50" i="7" s="1"/>
  <c r="E29" i="4" l="1"/>
  <c r="G29" i="4" s="1"/>
  <c r="E28" i="4"/>
  <c r="G28" i="4" s="1"/>
  <c r="E27" i="4"/>
  <c r="G27" i="4" s="1"/>
  <c r="E26" i="4"/>
  <c r="G26" i="4" s="1"/>
  <c r="E25" i="4"/>
  <c r="E24" i="4"/>
  <c r="E23" i="4"/>
  <c r="E22" i="4"/>
  <c r="E21" i="4"/>
  <c r="E20" i="4"/>
  <c r="C21" i="1" s="1"/>
  <c r="E19" i="4"/>
  <c r="G19" i="4" s="1"/>
  <c r="E18" i="4"/>
  <c r="A19" i="1"/>
  <c r="G31" i="4" l="1"/>
  <c r="E31" i="4"/>
  <c r="C17" i="1" s="1"/>
  <c r="C19" i="1" s="1"/>
  <c r="A21" i="1"/>
  <c r="A23" i="1" s="1"/>
  <c r="A25" i="1" s="1"/>
  <c r="A27" i="1" s="1"/>
  <c r="A29" i="1" s="1"/>
  <c r="C23" i="1" l="1"/>
  <c r="C25" i="1" s="1"/>
  <c r="C31" i="4"/>
  <c r="D31" i="4"/>
  <c r="C27" i="1" l="1"/>
  <c r="C29" i="1" s="1"/>
</calcChain>
</file>

<file path=xl/sharedStrings.xml><?xml version="1.0" encoding="utf-8"?>
<sst xmlns="http://schemas.openxmlformats.org/spreadsheetml/2006/main" count="127" uniqueCount="116">
  <si>
    <t>(1)</t>
  </si>
  <si>
    <t>Massachusetts Electric Company</t>
  </si>
  <si>
    <t>Nantucket Electric Company</t>
  </si>
  <si>
    <t>Per Company Forecast</t>
  </si>
  <si>
    <t>Total</t>
  </si>
  <si>
    <t>d/b/a National Grid</t>
  </si>
  <si>
    <t>(a)</t>
  </si>
  <si>
    <t>(b)</t>
  </si>
  <si>
    <t>(d)</t>
  </si>
  <si>
    <t>R1</t>
  </si>
  <si>
    <t>R2</t>
  </si>
  <si>
    <t>Total kWh</t>
  </si>
  <si>
    <t>Forecasted Residential kWh Sales - March 2025 through February 2026</t>
  </si>
  <si>
    <t>(c)</t>
  </si>
  <si>
    <t>Residential Heat Pump Rate Design (using Unitil's approach)</t>
  </si>
  <si>
    <t>Line</t>
  </si>
  <si>
    <t>Assumptions:</t>
  </si>
  <si>
    <t>R-1: Residential</t>
  </si>
  <si>
    <t>Proposed Rate</t>
  </si>
  <si>
    <t>Customer Charge</t>
  </si>
  <si>
    <t>Distribution Charge</t>
  </si>
  <si>
    <t>Average Monthly UPC</t>
  </si>
  <si>
    <t>R-1 Average Monthly Use (kWh) (a)</t>
  </si>
  <si>
    <t>Cost Recovery per Month
(b)</t>
  </si>
  <si>
    <t>Fixed Cost Recovery in Volumetric Rate
(c)</t>
  </si>
  <si>
    <t>Fixed Cost Recovery in Fixed Charge
(d)</t>
  </si>
  <si>
    <t>Avg. Monthly Use with Heat Pump (kWh)
(e)</t>
  </si>
  <si>
    <t>Normal Therm UPC 
(f)</t>
  </si>
  <si>
    <t>Therms (Heating Load)
(g)</t>
  </si>
  <si>
    <t>Avg. Temp. 
(h)</t>
  </si>
  <si>
    <t>Avg. Temp COP 
(i)</t>
  </si>
  <si>
    <t>kWh Conversion 
(j)</t>
  </si>
  <si>
    <t>kWh Usage
(k)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</si>
  <si>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</si>
  <si>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</si>
  <si>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</si>
  <si>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</si>
  <si>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</si>
  <si>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</si>
  <si>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</si>
  <si>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</si>
  <si>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</si>
  <si>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</si>
  <si>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</si>
  <si>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</si>
  <si>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Summer Base Load</t>
  </si>
  <si>
    <t>Derrivation of Heat Pump Rate</t>
  </si>
  <si>
    <t>Therm to kWH Factor</t>
  </si>
  <si>
    <t xml:space="preserve">Customer Charge Revenue </t>
  </si>
  <si>
    <t>Winter Volumetric Charge Revenue</t>
  </si>
  <si>
    <t>per customer, November through April</t>
  </si>
  <si>
    <t>Volumetric Fixed Cost Recovery Charge</t>
  </si>
  <si>
    <t>Line 21 divided by Heat Pump kWh for Nov. through Apr.</t>
  </si>
  <si>
    <t>Results</t>
  </si>
  <si>
    <t>R-1-HP: Residential Heat Pump Service</t>
  </si>
  <si>
    <t>Distribution Charge - Winter</t>
  </si>
  <si>
    <t>Distribution Charge - Summer</t>
  </si>
  <si>
    <t>Multiplier</t>
  </si>
  <si>
    <t>Line (3) M.D.P.U 1-25-A</t>
  </si>
  <si>
    <t>Line (4) M.D.P.U 1-25-A</t>
  </si>
  <si>
    <t>Column (a) Lines (6)-(17): Workpaper NG-PP-3 (REV-2) page 2, line 2 (a)-(l) ÷ line 1 (a)-(l)</t>
  </si>
  <si>
    <t>Column (b) = Column (c) + Column (d)</t>
  </si>
  <si>
    <t>Column (c) = Column (a) X Line (4)</t>
  </si>
  <si>
    <t>Column (d) =  Line (3)</t>
  </si>
  <si>
    <t>Column (e) = Column (a) + Column (k)</t>
  </si>
  <si>
    <t>Column (f) Company Records for average gas customer usage</t>
  </si>
  <si>
    <t xml:space="preserve"> Column (g)= Column (f) -  Column (g) Line (19)</t>
  </si>
  <si>
    <t>Line (18) = Sum of Lines (6) - (17)</t>
  </si>
  <si>
    <t>Line (19) Column (g) = Average of Lines (11)-(14) Column (g)</t>
  </si>
  <si>
    <t>Line (20) Column (g): Therm to kWh conversion factor</t>
  </si>
  <si>
    <t>Column (h) Electrification Load Profile assumptions from the Company's Latest Electric Load Forecast</t>
  </si>
  <si>
    <t>Column (i)  Electrification Load Profile assumptions from the Company's Latest Electric Load Forecast</t>
  </si>
  <si>
    <t xml:space="preserve">Column (j) =  Column (g) Lines (6)-(17)  X Column (g) Line (20) </t>
  </si>
  <si>
    <t>Column (k)=Column (j) / Column (i)</t>
  </si>
  <si>
    <t>Line (21)= Line (3)</t>
  </si>
  <si>
    <t>Line (22)= Line (21) X 12</t>
  </si>
  <si>
    <t>Line (23) = Sum of Column (c) November - April</t>
  </si>
  <si>
    <t>Line (24) = Line (23) / Sum (Column (e) for November - April)</t>
  </si>
  <si>
    <t>Line (27) = Line (21)</t>
  </si>
  <si>
    <t>Line (28) =  Line (24)</t>
  </si>
  <si>
    <t>Line (29) = Line (4)</t>
  </si>
  <si>
    <t>Line (30) = Line (29) / Line (28)</t>
  </si>
  <si>
    <t>(e)</t>
  </si>
  <si>
    <t>Allocated 2025 Residential Transmission Expense to be Recovered</t>
  </si>
  <si>
    <t>Energy Revenue - Summer</t>
  </si>
  <si>
    <t>Energy Revenue - Winter</t>
  </si>
  <si>
    <t>Forecasted Residential kWh Sales - Summer</t>
  </si>
  <si>
    <t>2025 Net Transmission Charge per kWh eff. March 2025 through February 2026</t>
  </si>
  <si>
    <t>2025 Net Transmission Charge per kWh eff. November through April</t>
  </si>
  <si>
    <t>Line (1) ÷ Line (2), truncated after 5 decimal places</t>
  </si>
  <si>
    <t>Winter Heat Pump</t>
  </si>
  <si>
    <t>Adjustment Factor</t>
  </si>
  <si>
    <t>Heat Pump</t>
  </si>
  <si>
    <t>Adj. Forecast</t>
  </si>
  <si>
    <t>Page 2, Lines (3) through (8), Column (c)</t>
  </si>
  <si>
    <t>Line (3) x Line (4)</t>
  </si>
  <si>
    <t>Line (1) - Line (5)</t>
  </si>
  <si>
    <t>Forecasted Residential kWh Sales - Winter - HP Adjusted</t>
  </si>
  <si>
    <t>Page 2, Line (14), Column (e)</t>
  </si>
  <si>
    <t>Line (6) ÷ Line (7), truncated after 5 decimal places</t>
  </si>
  <si>
    <t>D.P.U. 25-08</t>
  </si>
  <si>
    <t>Page 1 of 3</t>
  </si>
  <si>
    <t>Calculation of Illustrative Transmission Heat Pump Rates</t>
  </si>
  <si>
    <t>Per D.P.U. 25-02, Exhibit DEG-10, Page 1, Line (4), Column (b) + Exhibit DEG-9, Page 1, Line (4), Column (b)</t>
  </si>
  <si>
    <t>Page 2 of 3</t>
  </si>
  <si>
    <t>Company Forecast kWh Deliveries and Heat Pump Adjustment</t>
  </si>
  <si>
    <t>Column (a) + Column (b)</t>
  </si>
  <si>
    <t>Page 3, Winter months Column (e) ÷ Winter months Column (a)</t>
  </si>
  <si>
    <t>Column (c) x Column (d)</t>
  </si>
  <si>
    <t>D.P.U 23-150</t>
  </si>
  <si>
    <t>Exhibit NG-4</t>
  </si>
  <si>
    <t>Page 1 of 2</t>
  </si>
  <si>
    <t>Page 3 of 3</t>
  </si>
  <si>
    <t>Attachment DPU-Common 1-5-NG</t>
  </si>
  <si>
    <t>and Nantucket Electric Company</t>
  </si>
  <si>
    <t>each d/b/a National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</si>
</sst>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$-409]#,##0_);\([$$-409]#,##0\)"/>
    <numFmt numFmtId="165" formatCode="&quot;$&quot;#,##0.00000_);\(&quot;$&quot;#,##0.00000\)"/>
    <numFmt numFmtId="166" formatCode="#,##0.00000"/>
    <numFmt numFmtId="167" formatCode="0_);\(0\)"/>
    <numFmt numFmtId="168" formatCode="0.000000"/>
    <numFmt numFmtId="169" formatCode="_(* #,##0_);_(* \(#,##0\);_(* &quot;-&quot;??_);_(@_)"/>
    <numFmt numFmtId="170" formatCode="&quot;$&quot;#,##0.000_);\(&quot;$&quot;#,##0.000\)"/>
    <numFmt numFmtId="171" formatCode="[$$-409]#,##0.0_);\([$$-409]#,##0.0\)"/>
    <numFmt numFmtId="172" formatCode="_(&quot;$&quot;* #,##0_);_(&quot;$&quot;* \(#,##0\);_(&quot;$&quot;* &quot;-&quot;??_);_(@_)"/>
    <numFmt numFmtId="173" formatCode="_(&quot;$&quot;* #,##0.00000_);_(&quot;$&quot;* \(#,##0.00000\);_(&quot;$&quot;* &quot;-&quot;??_);_(@_)"/>
    <numFmt numFmtId="174" formatCode="[$-409]mmm\-yy;@"/>
    <numFmt numFmtId="175" formatCode="_(* #,##0.0_);_(* \(#,##0.0\);_(* &quot;-&quot;??_);_(@_)"/>
    <numFmt numFmtId="176" formatCode="0.0"/>
    <numFmt numFmtId="177" formatCode="&quot;$&quot;#,##0.00000_);[Red]\(&quot;$&quot;#,##0.00000\)"/>
    <numFmt numFmtId="178" formatCode="_(&quot;$&quot;* #,##0.0_);_(&quot;$&quot;* \(#,##0.0\);_(&quot;$&quot;* &quot;-&quot;??_);_(@_)"/>
    <numFmt numFmtId="179" formatCode="_(&quot;$&quot;* #,##0.0000_);_(&quot;$&quot;* \(#,##0.0000\);_(&quot;$&quot;* &quot;-&quot;??_);_(@_)"/>
    <numFmt numFmtId="180" formatCode="&quot;$&quot;#,##0"/>
  </numFmts>
  <fonts count="13" x14ac:knownFonts="1">
    <font>
      <sz val="12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b/>
      <sz val="11"/>
      <name val="Times New Roman"/>
      <family val="1"/>
    </font>
    <font>
      <sz val="12"/>
      <color theme="1"/>
      <name val="Sylfaen"/>
      <family val="2"/>
    </font>
    <font>
      <sz val="12"/>
      <name val="Arial"/>
      <family val="2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u val="singleAccounting"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25">
    <xf numFmtId="0" fontId="0" fillId="0" borderId="0"/>
    <xf numFmtId="40" fontId="3" fillId="0" borderId="0" applyFont="0" applyFill="0" applyBorder="0" applyAlignment="0" applyProtection="0"/>
    <xf numFmtId="43" fontId="2" fillId="0" borderId="0"/>
    <xf numFmtId="43" fontId="2" fillId="0" borderId="0"/>
    <xf numFmtId="42" fontId="2" fillId="0" borderId="0"/>
    <xf numFmtId="8" fontId="3" fillId="0" borderId="0" applyFont="0" applyFill="0" applyBorder="0" applyAlignment="0" applyProtection="0"/>
    <xf numFmtId="0" fontId="3" fillId="0" borderId="0"/>
    <xf numFmtId="0" fontId="2" fillId="0" borderId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4" fillId="0" borderId="0"/>
    <xf numFmtId="168" fontId="2" fillId="0" borderId="0">
      <alignment horizontal="left" wrapText="1"/>
    </xf>
    <xf numFmtId="0" fontId="2" fillId="0" borderId="0"/>
    <xf numFmtId="0" fontId="8" fillId="0" borderId="0"/>
    <xf numFmtId="0" fontId="2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0" fontId="2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" fillId="0" borderId="0"/>
    <xf numFmtId="0" fontId="2" fillId="0" borderId="0"/>
  </cellStyleXfs>
  <cellXfs count="70">
    <xf numFmtId="0" fontId="0" fillId="0" borderId="0" xfId="0"/>
    <xf numFmtId="0" fontId="5" fillId="0" borderId="0" xfId="0" applyFont="1"/>
    <xf numFmtId="37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70" fontId="5" fillId="0" borderId="0" xfId="0" applyNumberFormat="1" applyFont="1"/>
    <xf numFmtId="170" fontId="6" fillId="0" borderId="0" xfId="0" applyNumberFormat="1" applyFont="1"/>
    <xf numFmtId="171" fontId="5" fillId="0" borderId="0" xfId="0" applyNumberFormat="1" applyFont="1"/>
    <xf numFmtId="0" fontId="7" fillId="0" borderId="0" xfId="0" applyFont="1"/>
    <xf numFmtId="3" fontId="5" fillId="0" borderId="0" xfId="0" applyNumberFormat="1" applyFont="1"/>
    <xf numFmtId="0" fontId="5" fillId="0" borderId="0" xfId="14" applyFont="1"/>
    <xf numFmtId="169" fontId="5" fillId="0" borderId="0" xfId="15" applyNumberFormat="1" applyFont="1" applyFill="1" applyAlignment="1"/>
    <xf numFmtId="169" fontId="5" fillId="0" borderId="0" xfId="14" applyNumberFormat="1" applyFont="1"/>
    <xf numFmtId="169" fontId="5" fillId="0" borderId="0" xfId="15" applyNumberFormat="1" applyFont="1" applyAlignment="1"/>
    <xf numFmtId="169" fontId="5" fillId="0" borderId="0" xfId="15" applyNumberFormat="1" applyFont="1"/>
    <xf numFmtId="0" fontId="5" fillId="0" borderId="0" xfId="14" applyFont="1" applyAlignment="1">
      <alignment horizontal="right"/>
    </xf>
    <xf numFmtId="0" fontId="5" fillId="0" borderId="0" xfId="14" applyFont="1" applyAlignment="1">
      <alignment horizontal="center"/>
    </xf>
    <xf numFmtId="17" fontId="10" fillId="0" borderId="0" xfId="7" applyNumberFormat="1" applyFont="1" applyAlignment="1">
      <alignment horizontal="right" vertical="center"/>
    </xf>
    <xf numFmtId="0" fontId="5" fillId="0" borderId="0" xfId="14" quotePrefix="1" applyFont="1" applyAlignment="1">
      <alignment horizontal="center"/>
    </xf>
    <xf numFmtId="43" fontId="5" fillId="0" borderId="0" xfId="16" applyFont="1" applyAlignment="1"/>
    <xf numFmtId="37" fontId="6" fillId="0" borderId="0" xfId="0" applyNumberFormat="1" applyFont="1"/>
    <xf numFmtId="0" fontId="5" fillId="0" borderId="0" xfId="20" applyFont="1" applyAlignment="1">
      <alignment horizontal="left" indent="2"/>
    </xf>
    <xf numFmtId="172" fontId="5" fillId="0" borderId="0" xfId="21" applyNumberFormat="1" applyFont="1" applyFill="1" applyBorder="1"/>
    <xf numFmtId="172" fontId="5" fillId="0" borderId="0" xfId="22" applyNumberFormat="1" applyFont="1" applyFill="1" applyBorder="1"/>
    <xf numFmtId="174" fontId="5" fillId="0" borderId="0" xfId="23" applyNumberFormat="1" applyFont="1"/>
    <xf numFmtId="43" fontId="5" fillId="0" borderId="0" xfId="21" applyFont="1" applyFill="1" applyBorder="1"/>
    <xf numFmtId="43" fontId="5" fillId="0" borderId="0" xfId="21" applyFont="1"/>
    <xf numFmtId="175" fontId="5" fillId="0" borderId="0" xfId="21" applyNumberFormat="1" applyFont="1" applyFill="1"/>
    <xf numFmtId="43" fontId="5" fillId="0" borderId="2" xfId="21" applyFont="1" applyFill="1" applyBorder="1"/>
    <xf numFmtId="179" fontId="5" fillId="0" borderId="0" xfId="22" applyNumberFormat="1" applyFont="1" applyFill="1"/>
    <xf numFmtId="44" fontId="5" fillId="0" borderId="0" xfId="22" applyFont="1" applyFill="1"/>
    <xf numFmtId="37" fontId="5" fillId="3" borderId="0" xfId="19" applyNumberFormat="1" applyFont="1" applyFill="1" applyAlignment="1">
      <alignment horizontal="right"/>
    </xf>
    <xf numFmtId="0" fontId="5" fillId="0" borderId="0" xfId="20" applyFont="1"/>
    <xf numFmtId="0" fontId="12" fillId="0" borderId="0" xfId="20" applyFont="1" applyAlignment="1">
      <alignment horizontal="center"/>
    </xf>
    <xf numFmtId="0" fontId="5" fillId="0" borderId="0" xfId="20" applyFont="1" applyAlignment="1">
      <alignment horizontal="center"/>
    </xf>
    <xf numFmtId="0" fontId="6" fillId="0" borderId="0" xfId="20" applyFont="1"/>
    <xf numFmtId="44" fontId="5" fillId="0" borderId="0" xfId="20" applyNumberFormat="1" applyFont="1"/>
    <xf numFmtId="173" fontId="5" fillId="0" borderId="0" xfId="20" applyNumberFormat="1" applyFont="1"/>
    <xf numFmtId="0" fontId="5" fillId="4" borderId="2" xfId="20" applyFont="1" applyFill="1" applyBorder="1" applyAlignment="1">
      <alignment horizontal="center" wrapText="1"/>
    </xf>
    <xf numFmtId="0" fontId="5" fillId="0" borderId="2" xfId="20" applyFont="1" applyBorder="1" applyAlignment="1">
      <alignment horizontal="center" wrapText="1"/>
    </xf>
    <xf numFmtId="43" fontId="5" fillId="0" borderId="0" xfId="20" applyNumberFormat="1" applyFont="1"/>
    <xf numFmtId="176" fontId="10" fillId="0" borderId="0" xfId="20" applyNumberFormat="1" applyFont="1"/>
    <xf numFmtId="176" fontId="5" fillId="0" borderId="0" xfId="20" applyNumberFormat="1" applyFont="1"/>
    <xf numFmtId="44" fontId="5" fillId="0" borderId="2" xfId="20" applyNumberFormat="1" applyFont="1" applyBorder="1"/>
    <xf numFmtId="43" fontId="5" fillId="0" borderId="2" xfId="20" applyNumberFormat="1" applyFont="1" applyBorder="1"/>
    <xf numFmtId="0" fontId="5" fillId="0" borderId="0" xfId="20" applyFont="1" applyAlignment="1">
      <alignment horizontal="right"/>
    </xf>
    <xf numFmtId="0" fontId="5" fillId="0" borderId="0" xfId="20" applyFont="1" applyAlignment="1">
      <alignment horizontal="left"/>
    </xf>
    <xf numFmtId="8" fontId="5" fillId="0" borderId="0" xfId="20" applyNumberFormat="1" applyFont="1"/>
    <xf numFmtId="0" fontId="6" fillId="0" borderId="0" xfId="20" applyFont="1" applyAlignment="1">
      <alignment horizontal="center"/>
    </xf>
    <xf numFmtId="178" fontId="5" fillId="0" borderId="0" xfId="20" applyNumberFormat="1" applyFont="1"/>
    <xf numFmtId="0" fontId="5" fillId="0" borderId="0" xfId="20" applyFont="1" applyAlignment="1">
      <alignment horizontal="center" wrapText="1"/>
    </xf>
    <xf numFmtId="7" fontId="5" fillId="0" borderId="0" xfId="20" applyNumberFormat="1" applyFont="1" applyAlignment="1">
      <alignment horizontal="center"/>
    </xf>
    <xf numFmtId="44" fontId="5" fillId="4" borderId="0" xfId="20" applyNumberFormat="1" applyFont="1" applyFill="1"/>
    <xf numFmtId="177" fontId="5" fillId="0" borderId="0" xfId="20" applyNumberFormat="1" applyFont="1"/>
    <xf numFmtId="0" fontId="5" fillId="0" borderId="2" xfId="20" applyFont="1" applyBorder="1"/>
    <xf numFmtId="169" fontId="5" fillId="0" borderId="0" xfId="16" applyNumberFormat="1" applyFont="1" applyFill="1"/>
    <xf numFmtId="180" fontId="5" fillId="0" borderId="0" xfId="0" applyNumberFormat="1" applyFont="1"/>
    <xf numFmtId="169" fontId="5" fillId="0" borderId="0" xfId="16" applyNumberFormat="1" applyFont="1"/>
    <xf numFmtId="0" fontId="6" fillId="0" borderId="0" xfId="14" applyFont="1" applyAlignment="1">
      <alignment horizontal="center"/>
    </xf>
    <xf numFmtId="167" fontId="5" fillId="0" borderId="0" xfId="14" applyNumberFormat="1" applyFont="1" applyAlignment="1">
      <alignment horizontal="center"/>
    </xf>
    <xf numFmtId="0" fontId="5" fillId="0" borderId="0" xfId="0" applyFont="1" applyAlignment="1">
      <alignment horizontal="right"/>
    </xf>
    <xf numFmtId="15" fontId="5" fillId="0" borderId="0" xfId="0" applyNumberFormat="1" applyFont="1" applyAlignment="1">
      <alignment horizontal="left"/>
    </xf>
    <xf numFmtId="10" fontId="5" fillId="0" borderId="0" xfId="17" applyNumberFormat="1" applyFont="1" applyFill="1"/>
    <xf numFmtId="0" fontId="5" fillId="0" borderId="0" xfId="19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14" applyFont="1" applyAlignment="1">
      <alignment horizontal="center"/>
    </xf>
  </cellXfs>
  <cellStyles count="25">
    <cellStyle name="Comma" xfId="16" builtinId="3"/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omma 5" xfId="15" xr:uid="{58F09AD5-E047-4B5F-8DFF-B70244DC91CB}"/>
    <cellStyle name="Comma 6" xfId="21" xr:uid="{E4B8154B-88FE-4ACF-A452-CB06EB210351}"/>
    <cellStyle name="Currency [0] 2" xfId="4" xr:uid="{00000000-0005-0000-0000-000003000000}"/>
    <cellStyle name="Currency 2" xfId="5" xr:uid="{00000000-0005-0000-0000-000004000000}"/>
    <cellStyle name="Currency 3" xfId="22" xr:uid="{87658764-DB28-4AFE-A665-F09D57DA5E54}"/>
    <cellStyle name="Normal" xfId="0" builtinId="0"/>
    <cellStyle name="Normal - Style2" xfId="12" xr:uid="{E2168C65-48E4-40EE-9FF4-66A812AD7CFD}"/>
    <cellStyle name="Normal 10" xfId="24" xr:uid="{1845A036-400C-4D08-8897-4D2B8E11ABB2}"/>
    <cellStyle name="Normal 116" xfId="11" xr:uid="{2D4CD380-24DE-4A12-92D6-D67C1D50F126}"/>
    <cellStyle name="Normal 2" xfId="6" xr:uid="{00000000-0005-0000-0000-000006000000}"/>
    <cellStyle name="Normal 2 2" xfId="19" xr:uid="{9EA15542-6F8E-43D3-A731-22778A221C27}"/>
    <cellStyle name="Normal 2 6" xfId="20" xr:uid="{2446B298-42AF-48C5-A3AC-9647CDB99F31}"/>
    <cellStyle name="Normal 27" xfId="23" xr:uid="{874A7139-D18E-41A5-86EB-C46C99CE918F}"/>
    <cellStyle name="Normal 3" xfId="7" xr:uid="{00000000-0005-0000-0000-000007000000}"/>
    <cellStyle name="Normal 4" xfId="13" xr:uid="{4B338D05-B362-4AA8-A937-DEDF1F6EB4AA}"/>
    <cellStyle name="Normal 5" xfId="10" xr:uid="{00000000-0005-0000-0000-000008000000}"/>
    <cellStyle name="Normal 5 2" xfId="14" xr:uid="{87C16E29-DAF4-4B00-8A1B-060554C4ABA8}"/>
    <cellStyle name="Normal 6" xfId="18" xr:uid="{4B182092-C908-4317-BCF5-AE23506C3C8D}"/>
    <cellStyle name="Note 2" xfId="8" xr:uid="{00000000-0005-0000-0000-000009000000}"/>
    <cellStyle name="Percent" xfId="17" builtinId="5"/>
    <cellStyle name="Percent 2" xfId="9" xr:uid="{00000000-0005-0000-0000-00000A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lusions\Accounting\NE%20Gas\2006\May\TEMP\SUM00B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A\NIMO\Forecast\2009\12-%20Forecast%20Dec%2009\MCG_Forecast_Jan_2010_Dec_20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Exclusions\Accounting\NE%20Gas\2006\May\TEMP\Exclusions\Schedule\Storage\WSS-BU%20%202005%20Storage%20Activit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Ruebenacker\RFP_2009_05_08%20(MA%20NH%20ICG)\FRS-NEv26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tionalgridplc.sharepoint.com/sites/GRP-INT-GLOBAL-US-Policy-and-Reg-Strategy/Shared%20Documents/Rate%20Design/2023-2024%20Rate%20Design%20Strategy%20Refresh/Data/Copy%20of%20MA-23%20ACOS_REV4._SHARE.xlsm" TargetMode="External"/><Relationship Id="rId1" Type="http://schemas.openxmlformats.org/officeDocument/2006/relationships/externalLinkPath" Target="/sites/GRP-INT-GLOBAL-US-Policy-and-Reg-Strategy/Shared%20Documents/Rate%20Design/2023-2024%20Rate%20Design%20Strategy%20Refresh/Data/Copy%20of%20MA-23%20ACOS_REV4._SHARE.xlsm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nationalgridplc.sharepoint.com/sites/GRP-INT-GLOBAL-US-Policy-and-Reg-Strategy/Shared%20Documents/Rate%20Design/2023-2024%20Rate%20Design%20Strategy%20Refresh/Quantitative%20Analysis/Innovative%20Rate%20Quantitative%20Analysis_updated_scaling%20v3.xlsx" TargetMode="External"/><Relationship Id="rId2" Type="http://schemas.microsoft.com/office/2019/04/relationships/externalLinkLongPath" Target="/sites/GRP-INT-GLOBAL-US-Policy-and-Reg-Strategy/Shared%20Documents/Rate%20Design/2023-2024%20Rate%20Design%20Strategy%20Refresh/Quantitative%20Analysis/Innovative%20Rate%20Quantitative%20Analysis_updated_scaling%20v3.xlsx?CF0516AE" TargetMode="External"/><Relationship Id="rId1" Type="http://schemas.openxmlformats.org/officeDocument/2006/relationships/externalLinkPath" Target="file:///\\CF0516AE\Innovative%20Rate%20Quantitative%20Analysis_updated_scaling%20v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tion\RFPs\RFP%20Model\MA%20&amp;%20NH\RFP-2009_10_30_%20NGRID_DS_TE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tion\RFPs\RFP_2014_02_07%20(MA)\RFP-2014_02_07_%20NGRID_DS_RFP%20Model_M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SC\Winter%20Filings\05-06%20Winter\Backup\Electric%20Study%2002-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INTAKE"/>
      <sheetName val="Drop Down Lists"/>
      <sheetName val="Detailed "/>
      <sheetName val="Finance Summary"/>
      <sheetName val="NS Supported Opex&amp;Special Opex"/>
      <sheetName val="Other "/>
      <sheetName val="Risk Matrix"/>
      <sheetName val="Consequence Matrix"/>
      <sheetName val="Workings 1"/>
      <sheetName val="apr"/>
      <sheetName val="Appendix 1 - Reference Fields"/>
      <sheetName val="Drop_Down_Lists"/>
    </sheetNames>
    <sheetDataSet>
      <sheetData sheetId="0">
        <row r="12">
          <cell r="Q12" t="str">
            <v>SPP TRANSCO 2000 SUMMER INJECTION STRATEGY</v>
          </cell>
        </row>
        <row r="244">
          <cell r="D244" t="str">
            <v>APR</v>
          </cell>
          <cell r="E244" t="str">
            <v>MAY</v>
          </cell>
          <cell r="F244" t="str">
            <v>JUN</v>
          </cell>
          <cell r="G244" t="str">
            <v>JUL</v>
          </cell>
          <cell r="H244" t="str">
            <v>AUG</v>
          </cell>
          <cell r="I244" t="str">
            <v>SEP</v>
          </cell>
          <cell r="J244" t="str">
            <v>OCT</v>
          </cell>
          <cell r="K244" t="str">
            <v>NOV</v>
          </cell>
        </row>
        <row r="246">
          <cell r="D246">
            <v>376350</v>
          </cell>
          <cell r="E246">
            <v>225897.06451612903</v>
          </cell>
          <cell r="F246">
            <v>170791.8</v>
          </cell>
          <cell r="G246">
            <v>137667.93548387094</v>
          </cell>
          <cell r="H246">
            <v>142345.35483870967</v>
          </cell>
          <cell r="I246">
            <v>154975.79999999999</v>
          </cell>
          <cell r="J246">
            <v>263617.74193548388</v>
          </cell>
        </row>
        <row r="247">
          <cell r="D247">
            <v>5186.666666666667</v>
          </cell>
          <cell r="E247">
            <v>5896.7741935483873</v>
          </cell>
          <cell r="F247">
            <v>5126.666666666667</v>
          </cell>
          <cell r="G247">
            <v>4112.9032258064517</v>
          </cell>
          <cell r="H247">
            <v>5619.3548387096771</v>
          </cell>
          <cell r="I247">
            <v>5373.333333333333</v>
          </cell>
          <cell r="J247">
            <v>5512.9032258064517</v>
          </cell>
        </row>
        <row r="248">
          <cell r="D248">
            <v>21000</v>
          </cell>
          <cell r="E248">
            <v>21000</v>
          </cell>
          <cell r="F248">
            <v>21000</v>
          </cell>
          <cell r="G248">
            <v>21000</v>
          </cell>
          <cell r="H248">
            <v>21000</v>
          </cell>
          <cell r="I248">
            <v>21000</v>
          </cell>
          <cell r="J248">
            <v>21000</v>
          </cell>
        </row>
        <row r="258">
          <cell r="BA258">
            <v>35900</v>
          </cell>
          <cell r="BB258">
            <v>416536.66666666669</v>
          </cell>
          <cell r="BC258">
            <v>54110</v>
          </cell>
          <cell r="BD258">
            <v>11128.333333333314</v>
          </cell>
        </row>
        <row r="259">
          <cell r="O259">
            <v>7000</v>
          </cell>
          <cell r="P259">
            <v>7000</v>
          </cell>
          <cell r="Q259">
            <v>7000</v>
          </cell>
          <cell r="R259">
            <v>7000</v>
          </cell>
          <cell r="S259">
            <v>7000</v>
          </cell>
          <cell r="T259">
            <v>7000</v>
          </cell>
          <cell r="U259">
            <v>7000</v>
          </cell>
          <cell r="BA259">
            <v>35930</v>
          </cell>
          <cell r="BB259">
            <v>266793.83870967745</v>
          </cell>
          <cell r="BC259">
            <v>183933</v>
          </cell>
          <cell r="BD259">
            <v>31048.161290322547</v>
          </cell>
        </row>
        <row r="260">
          <cell r="O260">
            <v>7000</v>
          </cell>
          <cell r="P260">
            <v>7000</v>
          </cell>
          <cell r="Q260">
            <v>7000</v>
          </cell>
          <cell r="R260">
            <v>7000</v>
          </cell>
          <cell r="S260">
            <v>7000</v>
          </cell>
          <cell r="T260">
            <v>7000</v>
          </cell>
          <cell r="U260">
            <v>7000</v>
          </cell>
          <cell r="BA260">
            <v>35960</v>
          </cell>
          <cell r="BB260">
            <v>210918.46666666665</v>
          </cell>
          <cell r="BC260">
            <v>183933</v>
          </cell>
          <cell r="BD260">
            <v>86923.533333333326</v>
          </cell>
        </row>
        <row r="261">
          <cell r="BA261">
            <v>35990</v>
          </cell>
          <cell r="BB261">
            <v>176780.83870967739</v>
          </cell>
          <cell r="BC261">
            <v>171862.00000000003</v>
          </cell>
          <cell r="BD261">
            <v>133132.16129032258</v>
          </cell>
        </row>
        <row r="262">
          <cell r="BA262">
            <v>36020</v>
          </cell>
          <cell r="BB262">
            <v>182964.70967741933</v>
          </cell>
          <cell r="BC262">
            <v>171862.00000000003</v>
          </cell>
          <cell r="BD262">
            <v>126948.29032258064</v>
          </cell>
        </row>
        <row r="263">
          <cell r="BA263">
            <v>36050</v>
          </cell>
          <cell r="BB263">
            <v>195349.13333333333</v>
          </cell>
          <cell r="BC263">
            <v>171862.00000000003</v>
          </cell>
          <cell r="BD263">
            <v>114563.86666666667</v>
          </cell>
        </row>
        <row r="264">
          <cell r="O264">
            <v>416536.66666666669</v>
          </cell>
          <cell r="P264">
            <v>266793.83870967745</v>
          </cell>
          <cell r="Q264">
            <v>210918.46666666665</v>
          </cell>
          <cell r="R264">
            <v>176780.83870967739</v>
          </cell>
          <cell r="S264">
            <v>182964.70967741933</v>
          </cell>
          <cell r="T264">
            <v>195349.13333333333</v>
          </cell>
          <cell r="U264">
            <v>304130.6451612903</v>
          </cell>
          <cell r="V264">
            <v>514650</v>
          </cell>
          <cell r="BA264">
            <v>36080</v>
          </cell>
          <cell r="BB264">
            <v>304130.6451612903</v>
          </cell>
          <cell r="BC264">
            <v>169544.90322580645</v>
          </cell>
          <cell r="BD264">
            <v>8099</v>
          </cell>
        </row>
        <row r="276">
          <cell r="D276">
            <v>54110</v>
          </cell>
          <cell r="E276">
            <v>183933</v>
          </cell>
          <cell r="F276">
            <v>183933</v>
          </cell>
          <cell r="G276">
            <v>171862.00000000003</v>
          </cell>
          <cell r="H276">
            <v>171862.00000000003</v>
          </cell>
          <cell r="I276">
            <v>171862.00000000003</v>
          </cell>
          <cell r="J276">
            <v>169544.90322580645</v>
          </cell>
          <cell r="K276">
            <v>78000</v>
          </cell>
        </row>
        <row r="381"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5">
          <cell r="D385">
            <v>-391413.25856697821</v>
          </cell>
          <cell r="E385">
            <v>-544434.77504855755</v>
          </cell>
          <cell r="F385">
            <v>-600310.14709156833</v>
          </cell>
          <cell r="G385">
            <v>-634447.77504855767</v>
          </cell>
          <cell r="H385">
            <v>-628263.90408081561</v>
          </cell>
          <cell r="I385">
            <v>-615879.4804249017</v>
          </cell>
          <cell r="J385">
            <v>-507097.9685969447</v>
          </cell>
          <cell r="K385">
            <v>-342106</v>
          </cell>
        </row>
        <row r="431">
          <cell r="D431">
            <v>25860</v>
          </cell>
          <cell r="E431">
            <v>90672</v>
          </cell>
          <cell r="F431">
            <v>90672</v>
          </cell>
          <cell r="G431">
            <v>83872</v>
          </cell>
          <cell r="H431">
            <v>83872</v>
          </cell>
          <cell r="I431">
            <v>83872</v>
          </cell>
          <cell r="J431">
            <v>83852</v>
          </cell>
        </row>
        <row r="432">
          <cell r="D432">
            <v>18600</v>
          </cell>
          <cell r="E432">
            <v>46286</v>
          </cell>
          <cell r="F432">
            <v>46286</v>
          </cell>
          <cell r="G432">
            <v>46286</v>
          </cell>
          <cell r="H432">
            <v>46286</v>
          </cell>
          <cell r="I432">
            <v>46286</v>
          </cell>
          <cell r="J432">
            <v>44576</v>
          </cell>
        </row>
        <row r="433">
          <cell r="D433">
            <v>0</v>
          </cell>
          <cell r="E433">
            <v>13800</v>
          </cell>
          <cell r="F433">
            <v>13800</v>
          </cell>
          <cell r="G433">
            <v>13800</v>
          </cell>
          <cell r="H433">
            <v>13800</v>
          </cell>
          <cell r="I433">
            <v>13800</v>
          </cell>
          <cell r="J433">
            <v>13212.903225806456</v>
          </cell>
        </row>
        <row r="434">
          <cell r="D434">
            <v>9650</v>
          </cell>
          <cell r="E434">
            <v>33175</v>
          </cell>
          <cell r="F434">
            <v>33175</v>
          </cell>
          <cell r="G434">
            <v>27904</v>
          </cell>
          <cell r="H434">
            <v>27904</v>
          </cell>
          <cell r="I434">
            <v>27904</v>
          </cell>
          <cell r="J434">
            <v>27904</v>
          </cell>
        </row>
        <row r="437">
          <cell r="N437">
            <v>78294</v>
          </cell>
          <cell r="O437">
            <v>13482</v>
          </cell>
          <cell r="P437">
            <v>13482</v>
          </cell>
          <cell r="Q437">
            <v>13412.5</v>
          </cell>
          <cell r="R437">
            <v>6543</v>
          </cell>
          <cell r="S437">
            <v>6543</v>
          </cell>
          <cell r="T437">
            <v>6563</v>
          </cell>
        </row>
        <row r="438">
          <cell r="N438">
            <v>27751</v>
          </cell>
          <cell r="O438">
            <v>65</v>
          </cell>
          <cell r="P438">
            <v>65</v>
          </cell>
          <cell r="Q438">
            <v>65</v>
          </cell>
          <cell r="R438">
            <v>65</v>
          </cell>
          <cell r="S438">
            <v>65</v>
          </cell>
          <cell r="T438">
            <v>1775</v>
          </cell>
        </row>
        <row r="439">
          <cell r="N439">
            <v>23446</v>
          </cell>
          <cell r="O439">
            <v>9646</v>
          </cell>
          <cell r="P439">
            <v>9646</v>
          </cell>
          <cell r="Q439">
            <v>9646</v>
          </cell>
          <cell r="R439">
            <v>9646</v>
          </cell>
          <cell r="S439">
            <v>9646</v>
          </cell>
          <cell r="T439">
            <v>10233.096774193544</v>
          </cell>
        </row>
        <row r="440">
          <cell r="N440">
            <v>23525</v>
          </cell>
          <cell r="O440">
            <v>0</v>
          </cell>
          <cell r="P440">
            <v>0</v>
          </cell>
          <cell r="Q440">
            <v>2635.5</v>
          </cell>
          <cell r="R440">
            <v>0</v>
          </cell>
          <cell r="S440">
            <v>0</v>
          </cell>
          <cell r="T440">
            <v>0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E11_2010"/>
      <sheetName val="Historic MCG"/>
      <sheetName val="Chart_Historic Prices"/>
      <sheetName val="Hist Chart "/>
      <sheetName val="NYMEX STRIP_FMCG11-2010"/>
      <sheetName val="Historic_MCG"/>
      <sheetName val="Chart_Historic_Prices"/>
      <sheetName val="Hist_Chart_"/>
      <sheetName val="NYMEX_STRIP_FMCG11-2010"/>
      <sheetName val="Indicies"/>
      <sheetName val="Historic_MCG1"/>
      <sheetName val="Chart_Historic_Prices1"/>
      <sheetName val="Hist_Chart_1"/>
      <sheetName val="NYMEX_STRIP_FMCG11-201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Transco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s"/>
      <sheetName val="Summary1"/>
      <sheetName val="Summary2"/>
      <sheetName val="SummaryRI"/>
      <sheetName val="Compare"/>
      <sheetName val="RFP_Bids"/>
      <sheetName val="Market"/>
      <sheetName val="MARes"/>
      <sheetName val="MACom"/>
      <sheetName val="MAInd"/>
      <sheetName val="NH"/>
      <sheetName val="RI"/>
      <sheetName val="DataMR"/>
      <sheetName val="DataMC"/>
      <sheetName val="DataMI"/>
      <sheetName val="DataNHSm"/>
      <sheetName val="DataNHLg"/>
      <sheetName val="DataRIR"/>
      <sheetName val="DataRIC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um"/>
      <sheetName val="Functions"/>
      <sheetName val="Classify"/>
      <sheetName val="SubTDem"/>
      <sheetName val="PrimDem"/>
      <sheetName val="PrimCus"/>
      <sheetName val="SecnDem"/>
      <sheetName val="SecnCus"/>
      <sheetName val="BillCus"/>
      <sheetName val="SuppCom"/>
      <sheetName val="CompCus"/>
      <sheetName val="OpenCus"/>
      <sheetName val="Total"/>
      <sheetName val="FuncClass"/>
      <sheetName val="HVDP"/>
      <sheetName val="HVDT"/>
      <sheetName val="SL"/>
      <sheetName val="Assigned"/>
      <sheetName val="FuncFctr"/>
      <sheetName val="ClassFctr"/>
      <sheetName val="AllocFctr"/>
      <sheetName val="Registry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xecutive Summary"/>
      <sheetName val="Summary Bill Impacts"/>
      <sheetName val="Summary Bill Impacts_updated"/>
      <sheetName val="Bill Imp Rel to Current _update"/>
      <sheetName val="Bill Impact Relative to Current"/>
      <sheetName val="Graphs_updated"/>
      <sheetName val="Graphs"/>
      <sheetName val="Heat Pump Analysis"/>
      <sheetName val="Rate 0"/>
      <sheetName val="Rate 1"/>
      <sheetName val="Rate 2"/>
      <sheetName val="Rate 2B"/>
      <sheetName val="Rate 3"/>
      <sheetName val="Revenue Requirement -2018 ACOSS"/>
      <sheetName val="RR 23-150 ACOSS"/>
      <sheetName val="TOU Rate Design"/>
      <sheetName val="TOU Rate Design_update"/>
      <sheetName val="Residential Hourly Data"/>
      <sheetName val="Elec. Rate Cost Impact"/>
      <sheetName val="Customer Load Shapes"/>
      <sheetName val="R1R2 Total Usage"/>
      <sheetName val="Holidays"/>
      <sheetName val="MECO Delivery Rates"/>
      <sheetName val="MECO Supply Rates"/>
      <sheetName val="Scaling Inputs -&gt;"/>
      <sheetName val="Input Scaling"/>
      <sheetName val="Customer Load Shapes_2030"/>
      <sheetName val="Customer Load Shapes_2035"/>
    </sheetNames>
    <sheetDataSet>
      <sheetData sheetId="0"/>
      <sheetData sheetId="1">
        <row r="4">
          <cell r="D4">
            <v>0.18213000000000001</v>
          </cell>
        </row>
        <row r="5">
          <cell r="D5">
            <v>0.16055</v>
          </cell>
        </row>
        <row r="6">
          <cell r="D6">
            <v>15</v>
          </cell>
        </row>
        <row r="7">
          <cell r="D7">
            <v>19</v>
          </cell>
        </row>
        <row r="8">
          <cell r="D8">
            <v>14</v>
          </cell>
        </row>
        <row r="9">
          <cell r="D9">
            <v>21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4">
          <cell r="A64">
            <v>44197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 Process"/>
      <sheetName val="Bid Day"/>
      <sheetName val="Table of Contents"/>
      <sheetName val="Bidders"/>
      <sheetName val="Data"/>
      <sheetName val="PriceForecast"/>
      <sheetName val="Purchases "/>
      <sheetName val="IndicPriceFcst"/>
      <sheetName val="IndicBidder"/>
      <sheetName val="IndicBidsPTF"/>
      <sheetName val="IndicBidsRetail"/>
      <sheetName val="IndicRates"/>
      <sheetName val="FinalPriceFcst"/>
      <sheetName val="FinalBidder"/>
      <sheetName val="FinalBidsPTF"/>
      <sheetName val="FinalBidsRetail"/>
      <sheetName val="FinalRates"/>
      <sheetName val="FinalPurch"/>
      <sheetName val="Nucleus Input"/>
      <sheetName val="Bid Factor Input"/>
      <sheetName val="New Nucleus"/>
      <sheetName val="MALoads"/>
      <sheetName val="NHLoads"/>
      <sheetName val="RPS-RES"/>
      <sheetName val="Security"/>
      <sheetName val="NH Summary Ind"/>
      <sheetName val="NH Summary Final"/>
      <sheetName val="SEMA_NCPC"/>
      <sheetName val="MA RPS-APS"/>
      <sheetName val="NH-RPS Adder Calc"/>
      <sheetName val="Summary of IndicBids"/>
      <sheetName val="NH Exibit"/>
      <sheetName val="NH Exibit (2)"/>
      <sheetName val="Do Not Use"/>
      <sheetName val="Revision 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 Process"/>
      <sheetName val="Data"/>
      <sheetName val="Bidders"/>
      <sheetName val="MA Loads Forecast"/>
      <sheetName val="MA Loads Confirms"/>
      <sheetName val="PriceFcst 6mos"/>
      <sheetName val="PriceFcst 3mos"/>
      <sheetName val="Purchases"/>
      <sheetName val="IndicBidder"/>
      <sheetName val="IndicPriceFcst 6mos"/>
      <sheetName val="IndicPriceFcst 3mos"/>
      <sheetName val="IndicPTF 6mos"/>
      <sheetName val="IndicPTF 3mos"/>
      <sheetName val="IndicRetail 6mos"/>
      <sheetName val="IndicRetail 3mos"/>
      <sheetName val="IndicRates 6mos"/>
      <sheetName val="IndicRates 3mos"/>
      <sheetName val="FinalBidder"/>
      <sheetName val="FinalPriceFcst 6mos"/>
      <sheetName val="FinalPriceFcst 3mos"/>
      <sheetName val="MJ"/>
      <sheetName val="FinalPTF 6mos"/>
      <sheetName val="FinalPTF 3mos"/>
      <sheetName val="FinalRetail 6mos"/>
      <sheetName val="FinalRetail 3mos"/>
      <sheetName val="FinalRates 6mos"/>
      <sheetName val="FinalRates 3mos"/>
      <sheetName val="FinalPurch 6mos"/>
      <sheetName val="FinalPurch 3mos"/>
      <sheetName val="Nucleus 3mos"/>
      <sheetName val="Allegro 3mos"/>
      <sheetName val="Nucleus 6mos"/>
      <sheetName val="Allegro 6mos"/>
      <sheetName val="Award 3mos"/>
      <sheetName val="Award 6mos"/>
      <sheetName val="Bid Premium"/>
      <sheetName val="Confirm 6mos"/>
      <sheetName val="Confirm 3mos"/>
      <sheetName val="RPS Comp"/>
      <sheetName val="MA RPS-A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 Chart 02-03"/>
      <sheetName val="LI Chart 02-03"/>
      <sheetName val="NY Chart 02-04"/>
      <sheetName val="LI Chart 02-04"/>
      <sheetName val="KEDNY Data"/>
      <sheetName val="Sheet1"/>
      <sheetName val="KEDLI Data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KEDNY July Data"/>
      <sheetName val="KEDLI July Data"/>
      <sheetName val="Chart1"/>
      <sheetName val="Chart2"/>
      <sheetName val="Comparison_5yrs(LI)"/>
      <sheetName val="Tax"/>
      <sheetName val="report"/>
      <sheetName val="#REF!#REF! 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6"/>
  <sheetViews>
    <sheetView showGridLines="0" tabSelected="1" showOutlineSymbols="0" zoomScaleNormal="100" zoomScaleSheetLayoutView="100" workbookViewId="0">
      <selection activeCell="C4" sqref="C4"/>
    </sheetView>
  </sheetViews>
  <sheetFormatPr defaultColWidth="9.61328125" defaultRowHeight="14" x14ac:dyDescent="0.3"/>
  <cols>
    <col min="1" max="1" width="6.765625" style="1" customWidth="1"/>
    <col min="2" max="2" width="59.921875" style="1" bestFit="1" customWidth="1"/>
    <col min="3" max="3" width="14.765625" style="1" customWidth="1"/>
    <col min="4" max="4" width="13.765625" style="1" customWidth="1"/>
    <col min="5" max="5" width="11.765625" style="1" bestFit="1" customWidth="1"/>
    <col min="6" max="16384" width="9.61328125" style="1"/>
  </cols>
  <sheetData>
    <row r="1" spans="1:5" x14ac:dyDescent="0.3">
      <c r="C1" s="64" t="s">
        <v>1</v>
      </c>
      <c r="D1" s="64"/>
    </row>
    <row r="2" spans="1:5" x14ac:dyDescent="0.3">
      <c r="B2" s="65"/>
      <c r="C2" s="64" t="s">
        <v>114</v>
      </c>
      <c r="D2" s="64"/>
    </row>
    <row r="3" spans="1:5" x14ac:dyDescent="0.3">
      <c r="C3" s="64" t="s">
        <v>115</v>
      </c>
      <c r="D3" s="64"/>
    </row>
    <row r="4" spans="1:5" x14ac:dyDescent="0.3">
      <c r="C4" s="64" t="s">
        <v>100</v>
      </c>
      <c r="D4" s="64"/>
    </row>
    <row r="5" spans="1:5" x14ac:dyDescent="0.3">
      <c r="C5" s="64" t="s">
        <v>113</v>
      </c>
      <c r="D5" s="64"/>
    </row>
    <row r="6" spans="1:5" x14ac:dyDescent="0.3">
      <c r="C6" s="64" t="s">
        <v>101</v>
      </c>
      <c r="D6" s="64"/>
    </row>
    <row r="7" spans="1:5" x14ac:dyDescent="0.3">
      <c r="C7" s="64"/>
      <c r="D7" s="64"/>
    </row>
    <row r="10" spans="1:5" x14ac:dyDescent="0.3">
      <c r="A10" s="68" t="str">
        <f>C1</f>
        <v>Massachusetts Electric Company</v>
      </c>
      <c r="B10" s="68"/>
      <c r="C10" s="68"/>
    </row>
    <row r="11" spans="1:5" x14ac:dyDescent="0.3">
      <c r="A11" s="68" t="str">
        <f>C2</f>
        <v>and Nantucket Electric Company</v>
      </c>
      <c r="B11" s="68"/>
      <c r="C11" s="68"/>
    </row>
    <row r="12" spans="1:5" x14ac:dyDescent="0.3">
      <c r="A12" s="68" t="s">
        <v>102</v>
      </c>
      <c r="B12" s="68"/>
      <c r="C12" s="68"/>
    </row>
    <row r="13" spans="1:5" x14ac:dyDescent="0.3">
      <c r="A13" s="6"/>
      <c r="B13" s="6"/>
      <c r="C13" s="6"/>
      <c r="D13" s="6"/>
    </row>
    <row r="14" spans="1:5" x14ac:dyDescent="0.3">
      <c r="C14" s="7"/>
      <c r="D14" s="6"/>
    </row>
    <row r="15" spans="1:5" x14ac:dyDescent="0.3">
      <c r="A15" s="8">
        <v>-1</v>
      </c>
      <c r="B15" s="1" t="s">
        <v>83</v>
      </c>
      <c r="C15" s="3">
        <v>486659129</v>
      </c>
      <c r="D15" s="12"/>
      <c r="E15" s="11"/>
    </row>
    <row r="16" spans="1:5" x14ac:dyDescent="0.3">
      <c r="A16" s="8"/>
      <c r="C16" s="3"/>
      <c r="D16" s="12"/>
      <c r="E16" s="11"/>
    </row>
    <row r="17" spans="1:5" x14ac:dyDescent="0.3">
      <c r="A17" s="8">
        <f>A15-1</f>
        <v>-2</v>
      </c>
      <c r="B17" s="1" t="s">
        <v>12</v>
      </c>
      <c r="C17" s="24">
        <f>'Adjusted Forecast'!E31</f>
        <v>8392795599</v>
      </c>
      <c r="D17" s="13"/>
    </row>
    <row r="18" spans="1:5" x14ac:dyDescent="0.3">
      <c r="A18" s="8"/>
      <c r="C18" s="2"/>
      <c r="D18" s="13"/>
    </row>
    <row r="19" spans="1:5" x14ac:dyDescent="0.3">
      <c r="A19" s="8">
        <f>A17-1</f>
        <v>-3</v>
      </c>
      <c r="B19" s="1" t="s">
        <v>87</v>
      </c>
      <c r="C19" s="4">
        <f>TRUNC(C15/C17,5)</f>
        <v>5.7979999999999997E-2</v>
      </c>
      <c r="D19" s="4"/>
      <c r="E19" s="9"/>
    </row>
    <row r="20" spans="1:5" x14ac:dyDescent="0.3">
      <c r="A20" s="8"/>
      <c r="C20" s="4"/>
      <c r="D20" s="4"/>
      <c r="E20" s="10"/>
    </row>
    <row r="21" spans="1:5" x14ac:dyDescent="0.3">
      <c r="A21" s="8">
        <f>A19-1</f>
        <v>-4</v>
      </c>
      <c r="B21" s="1" t="s">
        <v>86</v>
      </c>
      <c r="C21" s="59">
        <f>SUM('Adjusted Forecast'!E20:E25)</f>
        <v>3980617498</v>
      </c>
    </row>
    <row r="22" spans="1:5" x14ac:dyDescent="0.3">
      <c r="C22" s="4"/>
      <c r="D22" s="5"/>
    </row>
    <row r="23" spans="1:5" x14ac:dyDescent="0.3">
      <c r="A23" s="8">
        <f>A21-1</f>
        <v>-5</v>
      </c>
      <c r="B23" s="1" t="s">
        <v>84</v>
      </c>
      <c r="C23" s="60">
        <f>C21*C19</f>
        <v>230796202.53403997</v>
      </c>
      <c r="D23" s="5"/>
    </row>
    <row r="24" spans="1:5" x14ac:dyDescent="0.3">
      <c r="C24" s="60"/>
      <c r="D24" s="5"/>
    </row>
    <row r="25" spans="1:5" x14ac:dyDescent="0.3">
      <c r="A25" s="8">
        <f>A23-1</f>
        <v>-6</v>
      </c>
      <c r="B25" s="1" t="s">
        <v>85</v>
      </c>
      <c r="C25" s="60">
        <f>C15-C23</f>
        <v>255862926.46596003</v>
      </c>
      <c r="D25" s="5"/>
    </row>
    <row r="26" spans="1:5" x14ac:dyDescent="0.3">
      <c r="C26" s="60"/>
      <c r="D26" s="5"/>
    </row>
    <row r="27" spans="1:5" x14ac:dyDescent="0.3">
      <c r="A27" s="8">
        <f>A25-1</f>
        <v>-7</v>
      </c>
      <c r="B27" s="1" t="s">
        <v>97</v>
      </c>
      <c r="C27" s="61">
        <f>'Adjusted Forecast'!G31</f>
        <v>12067902923.594374</v>
      </c>
      <c r="D27" s="5"/>
    </row>
    <row r="28" spans="1:5" x14ac:dyDescent="0.3">
      <c r="C28" s="60"/>
      <c r="D28" s="5"/>
    </row>
    <row r="29" spans="1:5" x14ac:dyDescent="0.3">
      <c r="A29" s="8">
        <f>A27-1</f>
        <v>-8</v>
      </c>
      <c r="B29" s="1" t="s">
        <v>88</v>
      </c>
      <c r="C29" s="4">
        <f>TRUNC(C25/C27,5)</f>
        <v>2.12E-2</v>
      </c>
      <c r="D29" s="5"/>
    </row>
    <row r="30" spans="1:5" x14ac:dyDescent="0.3">
      <c r="A30" s="8"/>
      <c r="C30" s="4"/>
      <c r="D30" s="5"/>
    </row>
    <row r="31" spans="1:5" x14ac:dyDescent="0.3">
      <c r="A31" s="8"/>
      <c r="C31" s="4"/>
      <c r="D31" s="5"/>
    </row>
    <row r="32" spans="1:5" x14ac:dyDescent="0.3">
      <c r="C32" s="2"/>
      <c r="D32" s="2"/>
    </row>
    <row r="34" spans="1:4" x14ac:dyDescent="0.3">
      <c r="A34" s="8" t="s">
        <v>0</v>
      </c>
      <c r="B34" s="1" t="s">
        <v>103</v>
      </c>
    </row>
    <row r="35" spans="1:4" x14ac:dyDescent="0.3">
      <c r="A35" s="8">
        <f>A34-1</f>
        <v>-2</v>
      </c>
      <c r="B35" s="1" t="s">
        <v>3</v>
      </c>
    </row>
    <row r="36" spans="1:4" x14ac:dyDescent="0.3">
      <c r="A36" s="8">
        <f t="shared" ref="A36:A41" si="0">A35-1</f>
        <v>-3</v>
      </c>
      <c r="B36" s="1" t="s">
        <v>89</v>
      </c>
    </row>
    <row r="37" spans="1:4" x14ac:dyDescent="0.3">
      <c r="A37" s="8">
        <f t="shared" si="0"/>
        <v>-4</v>
      </c>
      <c r="B37" s="1" t="s">
        <v>94</v>
      </c>
    </row>
    <row r="38" spans="1:4" x14ac:dyDescent="0.3">
      <c r="A38" s="8">
        <f t="shared" si="0"/>
        <v>-5</v>
      </c>
      <c r="B38" s="1" t="s">
        <v>95</v>
      </c>
    </row>
    <row r="39" spans="1:4" x14ac:dyDescent="0.3">
      <c r="A39" s="8">
        <f t="shared" si="0"/>
        <v>-6</v>
      </c>
      <c r="B39" s="1" t="s">
        <v>96</v>
      </c>
    </row>
    <row r="40" spans="1:4" x14ac:dyDescent="0.3">
      <c r="A40" s="8">
        <f t="shared" si="0"/>
        <v>-7</v>
      </c>
      <c r="B40" s="1" t="s">
        <v>98</v>
      </c>
    </row>
    <row r="41" spans="1:4" x14ac:dyDescent="0.3">
      <c r="A41" s="8">
        <f t="shared" si="0"/>
        <v>-8</v>
      </c>
      <c r="B41" s="1" t="s">
        <v>99</v>
      </c>
    </row>
    <row r="42" spans="1:4" x14ac:dyDescent="0.3">
      <c r="A42" s="8"/>
    </row>
    <row r="43" spans="1:4" x14ac:dyDescent="0.3">
      <c r="A43" s="8"/>
    </row>
    <row r="44" spans="1:4" x14ac:dyDescent="0.3">
      <c r="A44" s="8"/>
      <c r="C44" s="4"/>
      <c r="D44" s="4"/>
    </row>
    <row r="45" spans="1:4" x14ac:dyDescent="0.3">
      <c r="A45" s="8"/>
    </row>
    <row r="46" spans="1:4" x14ac:dyDescent="0.3">
      <c r="A46" s="8"/>
    </row>
  </sheetData>
  <mergeCells count="3">
    <mergeCell ref="A12:C12"/>
    <mergeCell ref="A11:C11"/>
    <mergeCell ref="A10:C10"/>
  </mergeCells>
  <phoneticPr fontId="0" type="noConversion"/>
  <printOptions horizontalCentered="1"/>
  <pageMargins left="0.5" right="0.5" top="0.5" bottom="0.5" header="0" footer="0"/>
  <pageSetup scale="98"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368E-8648-4E04-85D5-FF276579DD6E}">
  <dimension ref="A1:J40"/>
  <sheetViews>
    <sheetView showGridLines="0" zoomScaleNormal="100" zoomScaleSheetLayoutView="100" workbookViewId="0">
      <selection activeCell="G5" sqref="G5"/>
    </sheetView>
  </sheetViews>
  <sheetFormatPr defaultColWidth="8.921875" defaultRowHeight="14" x14ac:dyDescent="0.3"/>
  <cols>
    <col min="1" max="1" width="6.765625" style="14" customWidth="1"/>
    <col min="2" max="7" width="12.765625" style="14" customWidth="1"/>
    <col min="8" max="8" width="9" style="14" bestFit="1" customWidth="1"/>
    <col min="9" max="9" width="11.765625" style="14" bestFit="1" customWidth="1"/>
    <col min="10" max="10" width="14.23046875" style="14" bestFit="1" customWidth="1"/>
    <col min="11" max="11" width="10.23046875" style="14" bestFit="1" customWidth="1"/>
    <col min="12" max="16384" width="8.921875" style="14"/>
  </cols>
  <sheetData>
    <row r="1" spans="1:9" x14ac:dyDescent="0.3">
      <c r="G1" s="19" t="str">
        <f>'Transmission Rate Design'!C1</f>
        <v>Massachusetts Electric Company</v>
      </c>
    </row>
    <row r="2" spans="1:9" x14ac:dyDescent="0.3">
      <c r="G2" s="19" t="str">
        <f>'Transmission Rate Design'!C2</f>
        <v>and Nantucket Electric Company</v>
      </c>
    </row>
    <row r="3" spans="1:9" x14ac:dyDescent="0.3">
      <c r="G3" s="19" t="str">
        <f>'Transmission Rate Design'!C3</f>
        <v>each d/b/a National Grid</v>
      </c>
    </row>
    <row r="4" spans="1:9" x14ac:dyDescent="0.3">
      <c r="G4" s="19" t="str">
        <f>'Transmission Rate Design'!C4</f>
        <v>D.P.U. 25-08</v>
      </c>
    </row>
    <row r="5" spans="1:9" x14ac:dyDescent="0.3">
      <c r="G5" s="19" t="str">
        <f>'Transmission Rate Design'!C5</f>
        <v>Attachment DPU-Common 1-5-NG</v>
      </c>
    </row>
    <row r="6" spans="1:9" x14ac:dyDescent="0.3">
      <c r="G6" s="19" t="s">
        <v>104</v>
      </c>
    </row>
    <row r="7" spans="1:9" x14ac:dyDescent="0.3">
      <c r="G7" s="19">
        <f>'Transmission Rate Design'!C7</f>
        <v>0</v>
      </c>
    </row>
    <row r="8" spans="1:9" x14ac:dyDescent="0.3">
      <c r="G8" s="19"/>
    </row>
    <row r="9" spans="1:9" x14ac:dyDescent="0.3">
      <c r="G9" s="19"/>
    </row>
    <row r="10" spans="1:9" x14ac:dyDescent="0.3">
      <c r="A10" s="69" t="str">
        <f>G1</f>
        <v>Massachusetts Electric Company</v>
      </c>
      <c r="B10" s="69"/>
      <c r="C10" s="69"/>
      <c r="D10" s="69"/>
      <c r="E10" s="69"/>
      <c r="F10" s="69"/>
      <c r="G10" s="69"/>
    </row>
    <row r="11" spans="1:9" x14ac:dyDescent="0.3">
      <c r="A11" s="69" t="str">
        <f>G2</f>
        <v>and Nantucket Electric Company</v>
      </c>
      <c r="B11" s="69"/>
      <c r="C11" s="69"/>
      <c r="D11" s="69"/>
      <c r="E11" s="69"/>
      <c r="F11" s="69"/>
      <c r="G11" s="69"/>
    </row>
    <row r="12" spans="1:9" x14ac:dyDescent="0.3">
      <c r="A12" s="69" t="s">
        <v>105</v>
      </c>
      <c r="B12" s="69"/>
      <c r="C12" s="69"/>
      <c r="D12" s="69"/>
      <c r="E12" s="69"/>
      <c r="F12" s="69"/>
      <c r="G12" s="69"/>
    </row>
    <row r="13" spans="1:9" x14ac:dyDescent="0.3">
      <c r="I13" s="16"/>
    </row>
    <row r="14" spans="1:9" x14ac:dyDescent="0.3">
      <c r="I14" s="16"/>
    </row>
    <row r="15" spans="1:9" x14ac:dyDescent="0.3">
      <c r="F15" s="20" t="s">
        <v>90</v>
      </c>
      <c r="G15" s="20" t="s">
        <v>92</v>
      </c>
      <c r="I15" s="16"/>
    </row>
    <row r="16" spans="1:9" x14ac:dyDescent="0.3">
      <c r="C16" s="62" t="s">
        <v>9</v>
      </c>
      <c r="D16" s="62" t="s">
        <v>10</v>
      </c>
      <c r="E16" s="62" t="s">
        <v>4</v>
      </c>
      <c r="F16" s="62" t="s">
        <v>91</v>
      </c>
      <c r="G16" s="62" t="s">
        <v>93</v>
      </c>
    </row>
    <row r="17" spans="1:10" x14ac:dyDescent="0.3">
      <c r="C17" s="22" t="s">
        <v>6</v>
      </c>
      <c r="D17" s="22" t="s">
        <v>7</v>
      </c>
      <c r="E17" s="22" t="s">
        <v>13</v>
      </c>
      <c r="F17" s="22" t="s">
        <v>8</v>
      </c>
      <c r="G17" s="22" t="s">
        <v>82</v>
      </c>
    </row>
    <row r="18" spans="1:10" x14ac:dyDescent="0.3">
      <c r="A18" s="63">
        <v>-1</v>
      </c>
      <c r="B18" s="21">
        <v>45717</v>
      </c>
      <c r="C18" s="17">
        <v>633907208</v>
      </c>
      <c r="D18" s="17">
        <v>96347101</v>
      </c>
      <c r="E18" s="15">
        <f>C18+D18</f>
        <v>730254309</v>
      </c>
      <c r="F18" s="23">
        <f>SUM('Heat Pump Rate Design'!G24:G27,'Heat Pump Rate Design'!G34:G35)/SUM('Heat Pump Rate Design'!C24:C27,'Heat Pump Rate Design'!C34:C35)</f>
        <v>2.7351350392812201</v>
      </c>
      <c r="G18" s="17">
        <f>E18*F18</f>
        <v>1997344148.1319952</v>
      </c>
      <c r="H18" s="17"/>
      <c r="I18" s="17"/>
      <c r="J18" s="18"/>
    </row>
    <row r="19" spans="1:10" x14ac:dyDescent="0.3">
      <c r="A19" s="63">
        <f>A18-1</f>
        <v>-2</v>
      </c>
      <c r="B19" s="21">
        <v>45748</v>
      </c>
      <c r="C19" s="17">
        <v>539686038</v>
      </c>
      <c r="D19" s="17">
        <v>81839426</v>
      </c>
      <c r="E19" s="15">
        <f t="shared" ref="E19:E29" si="0">C19+D19</f>
        <v>621525464</v>
      </c>
      <c r="F19" s="23">
        <f>F18</f>
        <v>2.7351350392812201</v>
      </c>
      <c r="G19" s="17">
        <f t="shared" ref="G19" si="1">E19*F19</f>
        <v>1699956074.3919187</v>
      </c>
      <c r="H19" s="17"/>
      <c r="I19" s="17"/>
      <c r="J19" s="18"/>
    </row>
    <row r="20" spans="1:10" x14ac:dyDescent="0.3">
      <c r="A20" s="63">
        <f t="shared" ref="A20:A31" si="2">A19-1</f>
        <v>-3</v>
      </c>
      <c r="B20" s="21">
        <v>45778</v>
      </c>
      <c r="C20" s="17">
        <v>443644573</v>
      </c>
      <c r="D20" s="17">
        <v>67153753</v>
      </c>
      <c r="E20" s="15">
        <f t="shared" si="0"/>
        <v>510798326</v>
      </c>
      <c r="F20" s="17"/>
      <c r="G20" s="17"/>
      <c r="H20" s="17"/>
      <c r="I20" s="17"/>
      <c r="J20" s="18"/>
    </row>
    <row r="21" spans="1:10" x14ac:dyDescent="0.3">
      <c r="A21" s="63">
        <f t="shared" si="2"/>
        <v>-4</v>
      </c>
      <c r="B21" s="21">
        <v>45809</v>
      </c>
      <c r="C21" s="17">
        <v>516638051</v>
      </c>
      <c r="D21" s="17">
        <v>78265302</v>
      </c>
      <c r="E21" s="15">
        <f t="shared" si="0"/>
        <v>594903353</v>
      </c>
      <c r="F21" s="17"/>
      <c r="G21" s="17"/>
      <c r="H21" s="17"/>
      <c r="I21" s="17"/>
      <c r="J21" s="18"/>
    </row>
    <row r="22" spans="1:10" x14ac:dyDescent="0.3">
      <c r="A22" s="63">
        <f t="shared" si="2"/>
        <v>-5</v>
      </c>
      <c r="B22" s="21">
        <v>45839</v>
      </c>
      <c r="C22" s="17">
        <v>658966357</v>
      </c>
      <c r="D22" s="17">
        <v>99664627</v>
      </c>
      <c r="E22" s="15">
        <f t="shared" si="0"/>
        <v>758630984</v>
      </c>
      <c r="F22" s="17"/>
      <c r="G22" s="17"/>
      <c r="H22" s="17"/>
      <c r="I22" s="17"/>
      <c r="J22" s="18"/>
    </row>
    <row r="23" spans="1:10" x14ac:dyDescent="0.3">
      <c r="A23" s="63">
        <f t="shared" si="2"/>
        <v>-6</v>
      </c>
      <c r="B23" s="21">
        <v>45870</v>
      </c>
      <c r="C23" s="17">
        <v>709936543</v>
      </c>
      <c r="D23" s="17">
        <v>107151015</v>
      </c>
      <c r="E23" s="15">
        <f t="shared" si="0"/>
        <v>817087558</v>
      </c>
      <c r="F23" s="17"/>
      <c r="G23" s="17"/>
      <c r="H23" s="17"/>
      <c r="I23" s="17"/>
      <c r="J23" s="18"/>
    </row>
    <row r="24" spans="1:10" x14ac:dyDescent="0.3">
      <c r="A24" s="63">
        <f t="shared" si="2"/>
        <v>-7</v>
      </c>
      <c r="B24" s="21">
        <v>45901</v>
      </c>
      <c r="C24" s="17">
        <v>633888471</v>
      </c>
      <c r="D24" s="17">
        <v>95631768</v>
      </c>
      <c r="E24" s="15">
        <f t="shared" si="0"/>
        <v>729520239</v>
      </c>
      <c r="F24" s="17"/>
      <c r="G24" s="17"/>
      <c r="H24" s="17"/>
      <c r="I24" s="17"/>
      <c r="J24" s="18"/>
    </row>
    <row r="25" spans="1:10" x14ac:dyDescent="0.3">
      <c r="A25" s="63">
        <f t="shared" si="2"/>
        <v>-8</v>
      </c>
      <c r="B25" s="21">
        <v>45931</v>
      </c>
      <c r="C25" s="17">
        <v>494901857</v>
      </c>
      <c r="D25" s="17">
        <v>74775181</v>
      </c>
      <c r="E25" s="15">
        <f t="shared" si="0"/>
        <v>569677038</v>
      </c>
      <c r="F25" s="17"/>
      <c r="G25" s="17"/>
      <c r="H25" s="17"/>
      <c r="I25" s="17"/>
      <c r="J25" s="18"/>
    </row>
    <row r="26" spans="1:10" x14ac:dyDescent="0.3">
      <c r="A26" s="63">
        <f t="shared" si="2"/>
        <v>-9</v>
      </c>
      <c r="B26" s="21">
        <v>45962</v>
      </c>
      <c r="C26" s="17">
        <v>518541609</v>
      </c>
      <c r="D26" s="17">
        <v>78736627</v>
      </c>
      <c r="E26" s="15">
        <f t="shared" si="0"/>
        <v>597278236</v>
      </c>
      <c r="F26" s="23">
        <f>F19</f>
        <v>2.7351350392812201</v>
      </c>
      <c r="G26" s="17">
        <f t="shared" ref="G26:G29" si="3">E26*F26</f>
        <v>1633636631.4836779</v>
      </c>
      <c r="H26" s="17"/>
      <c r="I26" s="17"/>
      <c r="J26" s="18"/>
    </row>
    <row r="27" spans="1:10" x14ac:dyDescent="0.3">
      <c r="A27" s="63">
        <f t="shared" si="2"/>
        <v>-10</v>
      </c>
      <c r="B27" s="21">
        <v>45992</v>
      </c>
      <c r="C27" s="17">
        <v>667370081</v>
      </c>
      <c r="D27" s="17">
        <v>101534418</v>
      </c>
      <c r="E27" s="15">
        <f t="shared" si="0"/>
        <v>768904499</v>
      </c>
      <c r="F27" s="23">
        <f>F26</f>
        <v>2.7351350392812201</v>
      </c>
      <c r="G27" s="17">
        <f t="shared" si="3"/>
        <v>2103057637.0758719</v>
      </c>
      <c r="H27" s="17"/>
      <c r="I27" s="17"/>
      <c r="J27" s="18"/>
    </row>
    <row r="28" spans="1:10" x14ac:dyDescent="0.3">
      <c r="A28" s="63">
        <f t="shared" si="2"/>
        <v>-11</v>
      </c>
      <c r="B28" s="21">
        <v>46023</v>
      </c>
      <c r="C28" s="17">
        <v>758861290</v>
      </c>
      <c r="D28" s="17">
        <v>115471502</v>
      </c>
      <c r="E28" s="15">
        <f t="shared" si="0"/>
        <v>874332792</v>
      </c>
      <c r="F28" s="23">
        <f t="shared" ref="F28:F29" si="4">F27</f>
        <v>2.7351350392812201</v>
      </c>
      <c r="G28" s="17">
        <f t="shared" si="3"/>
        <v>2391418255.3917789</v>
      </c>
      <c r="H28" s="17"/>
      <c r="I28" s="17"/>
      <c r="J28" s="18"/>
    </row>
    <row r="29" spans="1:10" x14ac:dyDescent="0.3">
      <c r="A29" s="63">
        <f t="shared" si="2"/>
        <v>-12</v>
      </c>
      <c r="B29" s="21">
        <v>46054</v>
      </c>
      <c r="C29" s="17">
        <v>711689667</v>
      </c>
      <c r="D29" s="17">
        <v>108193134</v>
      </c>
      <c r="E29" s="15">
        <f t="shared" si="0"/>
        <v>819882801</v>
      </c>
      <c r="F29" s="23">
        <f t="shared" si="4"/>
        <v>2.7351350392812201</v>
      </c>
      <c r="G29" s="17">
        <f t="shared" si="3"/>
        <v>2242490177.1191316</v>
      </c>
      <c r="H29" s="17"/>
      <c r="I29" s="17"/>
      <c r="J29" s="18"/>
    </row>
    <row r="30" spans="1:10" x14ac:dyDescent="0.3">
      <c r="A30" s="63">
        <f t="shared" si="2"/>
        <v>-13</v>
      </c>
      <c r="C30" s="17"/>
      <c r="D30" s="17"/>
      <c r="E30" s="17"/>
      <c r="F30" s="17"/>
      <c r="G30" s="17"/>
      <c r="H30" s="17"/>
      <c r="I30" s="17"/>
      <c r="J30" s="18"/>
    </row>
    <row r="31" spans="1:10" x14ac:dyDescent="0.3">
      <c r="A31" s="63">
        <f t="shared" si="2"/>
        <v>-14</v>
      </c>
      <c r="B31" s="14" t="s">
        <v>11</v>
      </c>
      <c r="C31" s="17">
        <f>SUM(C18:C29)</f>
        <v>7288031745</v>
      </c>
      <c r="D31" s="17">
        <f t="shared" ref="D31:E31" si="5">SUM(D18:D29)</f>
        <v>1104763854</v>
      </c>
      <c r="E31" s="17">
        <f t="shared" si="5"/>
        <v>8392795599</v>
      </c>
      <c r="F31" s="17"/>
      <c r="G31" s="15">
        <f>SUM(G18:G29)</f>
        <v>12067902923.594374</v>
      </c>
      <c r="H31" s="17"/>
      <c r="I31" s="17"/>
      <c r="J31" s="18"/>
    </row>
    <row r="32" spans="1:10" x14ac:dyDescent="0.3">
      <c r="A32" s="63"/>
      <c r="C32" s="18"/>
      <c r="D32" s="18"/>
      <c r="E32" s="18"/>
      <c r="F32" s="18"/>
      <c r="G32" s="18"/>
      <c r="H32" s="18"/>
      <c r="I32" s="18"/>
      <c r="J32" s="18"/>
    </row>
    <row r="33" spans="1:5" x14ac:dyDescent="0.3">
      <c r="A33" s="63"/>
    </row>
    <row r="34" spans="1:5" x14ac:dyDescent="0.3">
      <c r="A34" s="63"/>
      <c r="E34" s="16"/>
    </row>
    <row r="35" spans="1:5" x14ac:dyDescent="0.3">
      <c r="A35" s="63"/>
      <c r="E35" s="16"/>
    </row>
    <row r="36" spans="1:5" x14ac:dyDescent="0.3">
      <c r="A36" s="22" t="s">
        <v>6</v>
      </c>
      <c r="B36" s="14" t="s">
        <v>3</v>
      </c>
    </row>
    <row r="37" spans="1:5" x14ac:dyDescent="0.3">
      <c r="A37" s="22" t="s">
        <v>7</v>
      </c>
      <c r="B37" s="14" t="s">
        <v>3</v>
      </c>
    </row>
    <row r="38" spans="1:5" x14ac:dyDescent="0.3">
      <c r="A38" s="22" t="s">
        <v>13</v>
      </c>
      <c r="B38" s="14" t="s">
        <v>106</v>
      </c>
    </row>
    <row r="39" spans="1:5" x14ac:dyDescent="0.3">
      <c r="A39" s="22" t="s">
        <v>8</v>
      </c>
      <c r="B39" s="14" t="s">
        <v>107</v>
      </c>
    </row>
    <row r="40" spans="1:5" x14ac:dyDescent="0.3">
      <c r="A40" s="22" t="s">
        <v>82</v>
      </c>
      <c r="B40" s="14" t="s">
        <v>108</v>
      </c>
    </row>
  </sheetData>
  <mergeCells count="3">
    <mergeCell ref="A12:G12"/>
    <mergeCell ref="A11:G11"/>
    <mergeCell ref="A10:G10"/>
  </mergeCells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CC8B-5C1C-4D2B-82EA-00C919A76978}">
  <dimension ref="A1:S75"/>
  <sheetViews>
    <sheetView showGridLines="0" zoomScale="85" zoomScaleNormal="85" zoomScaleSheetLayoutView="80" workbookViewId="0">
      <selection activeCell="F17" sqref="F17"/>
    </sheetView>
  </sheetViews>
  <sheetFormatPr defaultColWidth="7.07421875" defaultRowHeight="14" x14ac:dyDescent="0.3"/>
  <cols>
    <col min="1" max="1" width="9.765625" style="36" customWidth="1"/>
    <col min="2" max="2" width="28.23046875" style="36" bestFit="1" customWidth="1"/>
    <col min="3" max="3" width="10.61328125" style="36" bestFit="1" customWidth="1"/>
    <col min="4" max="4" width="10.921875" style="36" bestFit="1" customWidth="1"/>
    <col min="5" max="5" width="11.921875" style="36" customWidth="1"/>
    <col min="6" max="6" width="11.4609375" style="36" customWidth="1"/>
    <col min="7" max="7" width="12" style="36" customWidth="1"/>
    <col min="8" max="8" width="8.3046875" style="36" bestFit="1" customWidth="1"/>
    <col min="9" max="9" width="8.07421875" style="36" bestFit="1" customWidth="1"/>
    <col min="10" max="15" width="9.4609375" style="36" customWidth="1"/>
    <col min="16" max="16" width="8.23046875" style="36" bestFit="1" customWidth="1"/>
    <col min="17" max="16384" width="7.07421875" style="36"/>
  </cols>
  <sheetData>
    <row r="1" spans="1:15" x14ac:dyDescent="0.3">
      <c r="O1" s="35" t="str">
        <f>'Adjusted Forecast'!G1</f>
        <v>Massachusetts Electric Company</v>
      </c>
    </row>
    <row r="2" spans="1:15" x14ac:dyDescent="0.3">
      <c r="O2" s="35" t="str">
        <f>'Adjusted Forecast'!G2</f>
        <v>and Nantucket Electric Company</v>
      </c>
    </row>
    <row r="3" spans="1:15" x14ac:dyDescent="0.3">
      <c r="O3" s="35" t="str">
        <f>'Adjusted Forecast'!G3</f>
        <v>each d/b/a National Grid</v>
      </c>
    </row>
    <row r="4" spans="1:15" x14ac:dyDescent="0.3">
      <c r="O4" s="35" t="str">
        <f>'Adjusted Forecast'!G4</f>
        <v>D.P.U. 25-08</v>
      </c>
    </row>
    <row r="5" spans="1:15" x14ac:dyDescent="0.3">
      <c r="O5" s="35" t="str">
        <f>'Adjusted Forecast'!G5</f>
        <v>Attachment DPU-Common 1-5-NG</v>
      </c>
    </row>
    <row r="6" spans="1:15" x14ac:dyDescent="0.3">
      <c r="O6" s="35" t="s">
        <v>112</v>
      </c>
    </row>
    <row r="7" spans="1:15" x14ac:dyDescent="0.3">
      <c r="O7" s="35">
        <f>'Adjusted Forecast'!G7</f>
        <v>0</v>
      </c>
    </row>
    <row r="8" spans="1:15" x14ac:dyDescent="0.3">
      <c r="O8" s="35"/>
    </row>
    <row r="9" spans="1:15" x14ac:dyDescent="0.3">
      <c r="D9" s="38"/>
      <c r="O9" s="35" t="s">
        <v>1</v>
      </c>
    </row>
    <row r="10" spans="1:15" x14ac:dyDescent="0.3">
      <c r="D10" s="38"/>
      <c r="O10" s="35" t="s">
        <v>2</v>
      </c>
    </row>
    <row r="11" spans="1:15" x14ac:dyDescent="0.3">
      <c r="D11" s="38"/>
      <c r="O11" s="35" t="s">
        <v>5</v>
      </c>
    </row>
    <row r="12" spans="1:15" x14ac:dyDescent="0.3">
      <c r="D12" s="38"/>
      <c r="O12" s="35" t="s">
        <v>109</v>
      </c>
    </row>
    <row r="13" spans="1:15" x14ac:dyDescent="0.3">
      <c r="D13" s="38"/>
      <c r="O13" s="67" t="s">
        <v>110</v>
      </c>
    </row>
    <row r="14" spans="1:15" x14ac:dyDescent="0.3">
      <c r="D14" s="38"/>
      <c r="O14" s="64" t="s">
        <v>111</v>
      </c>
    </row>
    <row r="16" spans="1:15" ht="15.5" x14ac:dyDescent="0.45">
      <c r="A16" s="37" t="s">
        <v>15</v>
      </c>
      <c r="D16" s="38" t="s">
        <v>14</v>
      </c>
    </row>
    <row r="17" spans="1:19" x14ac:dyDescent="0.3">
      <c r="A17" s="38">
        <v>1</v>
      </c>
      <c r="B17" s="39" t="s">
        <v>16</v>
      </c>
    </row>
    <row r="18" spans="1:19" x14ac:dyDescent="0.3">
      <c r="A18" s="38" t="str">
        <f>IF(ISBLANK(B18),"",MAX($A$16:A17)+1)</f>
        <v/>
      </c>
      <c r="E18" s="39"/>
    </row>
    <row r="19" spans="1:19" ht="15.5" x14ac:dyDescent="0.45">
      <c r="A19" s="38">
        <f>IF(ISBLANK(B19),"",MAX($A$16:A18)+1)</f>
        <v>2</v>
      </c>
      <c r="B19" s="36" t="s">
        <v>17</v>
      </c>
      <c r="C19" s="37" t="s">
        <v>18</v>
      </c>
    </row>
    <row r="20" spans="1:19" x14ac:dyDescent="0.3">
      <c r="A20" s="38">
        <f>IF(ISBLANK(B20),"",MAX($A$16:A19)+1)</f>
        <v>3</v>
      </c>
      <c r="B20" s="25" t="s">
        <v>19</v>
      </c>
      <c r="C20" s="40">
        <v>10</v>
      </c>
      <c r="E20" s="26"/>
    </row>
    <row r="21" spans="1:19" x14ac:dyDescent="0.3">
      <c r="A21" s="38">
        <f>IF(ISBLANK(B21),"",MAX($A$16:A20)+1)</f>
        <v>4</v>
      </c>
      <c r="B21" s="25" t="s">
        <v>20</v>
      </c>
      <c r="C21" s="41">
        <v>6.5460000000000004E-2</v>
      </c>
      <c r="E21" s="26"/>
    </row>
    <row r="22" spans="1:19" x14ac:dyDescent="0.3">
      <c r="A22" s="38" t="str">
        <f>IF(ISBLANK(B22),"",MAX($A$16:A21)+1)</f>
        <v/>
      </c>
      <c r="E22" s="27"/>
    </row>
    <row r="23" spans="1:19" ht="56" x14ac:dyDescent="0.3">
      <c r="A23" s="38">
        <f>IF(ISBLANK(B23),"",MAX($A$16:A22)+1)</f>
        <v>5</v>
      </c>
      <c r="B23" s="58" t="s">
        <v>21</v>
      </c>
      <c r="C23" s="42" t="s">
        <v>22</v>
      </c>
      <c r="D23" s="43" t="s">
        <v>23</v>
      </c>
      <c r="E23" s="43" t="s">
        <v>24</v>
      </c>
      <c r="F23" s="43" t="s">
        <v>25</v>
      </c>
      <c r="G23" s="43" t="s">
        <v>26</v>
      </c>
      <c r="J23" s="43" t="s">
        <v>27</v>
      </c>
      <c r="K23" s="43" t="s">
        <v>28</v>
      </c>
      <c r="L23" s="43" t="s">
        <v>29</v>
      </c>
      <c r="M23" s="43" t="s">
        <v>30</v>
      </c>
      <c r="N23" s="43" t="s">
        <v>31</v>
      </c>
      <c r="O23" s="43" t="s">
        <v>32</v>
      </c>
    </row>
    <row r="24" spans="1:19" x14ac:dyDescent="0.3">
      <c r="A24" s="38">
        <f>IF(ISBLANK(B24),"",MAX($A$16:A23)+1)</f>
        <v>6</v>
      </c>
      <c r="B24" s="28" t="s">
        <v>33</v>
      </c>
      <c r="C24" s="29">
        <v>610.63540923487062</v>
      </c>
      <c r="D24" s="40">
        <f>SUM(E24:F24)</f>
        <v>49.972193888514632</v>
      </c>
      <c r="E24" s="40">
        <f>($C$21-$C$53)*C24</f>
        <v>39.972193888514632</v>
      </c>
      <c r="F24" s="40">
        <f t="shared" ref="F24:F35" si="0">$C$20</f>
        <v>10</v>
      </c>
      <c r="G24" s="44">
        <f>C24+O24</f>
        <v>1891.8051183775135</v>
      </c>
      <c r="H24" s="30"/>
      <c r="J24" s="30">
        <v>132</v>
      </c>
      <c r="K24" s="44">
        <f>J24-$K$37</f>
        <v>114</v>
      </c>
      <c r="L24" s="31">
        <v>28.704892473118296</v>
      </c>
      <c r="M24" s="45">
        <v>2.6071487455282236</v>
      </c>
      <c r="N24" s="30">
        <f>K24*$K$38</f>
        <v>3340.2000000000003</v>
      </c>
      <c r="O24" s="30">
        <f>N24/M24</f>
        <v>1281.1697091426429</v>
      </c>
      <c r="P24" s="44"/>
      <c r="R24" s="46"/>
      <c r="S24" s="46"/>
    </row>
    <row r="25" spans="1:19" x14ac:dyDescent="0.3">
      <c r="A25" s="38">
        <f>IF(ISBLANK(B25),"",MAX($A$16:A24)+1)</f>
        <v>7</v>
      </c>
      <c r="B25" s="28" t="s">
        <v>34</v>
      </c>
      <c r="C25" s="29">
        <v>530.69347714609728</v>
      </c>
      <c r="D25" s="40">
        <f t="shared" ref="D25:D35" si="1">SUM(E25:F25)</f>
        <v>44.739195013983533</v>
      </c>
      <c r="E25" s="40">
        <f t="shared" ref="E25:E35" si="2">($C$21-$C$53)*C25</f>
        <v>34.739195013983533</v>
      </c>
      <c r="F25" s="40">
        <f t="shared" si="0"/>
        <v>10</v>
      </c>
      <c r="G25" s="44">
        <f t="shared" ref="G25:G35" si="3">C25+O25</f>
        <v>1972.9963863433468</v>
      </c>
      <c r="H25" s="30"/>
      <c r="J25" s="30">
        <v>149</v>
      </c>
      <c r="K25" s="44">
        <f>J25-$K$37</f>
        <v>131</v>
      </c>
      <c r="L25" s="31">
        <v>30.572961309523802</v>
      </c>
      <c r="M25" s="45">
        <v>2.6612301587440492</v>
      </c>
      <c r="N25" s="30">
        <f>K25*$K$38</f>
        <v>3838.3</v>
      </c>
      <c r="O25" s="30">
        <f t="shared" ref="O25:O27" si="4">N25/M25</f>
        <v>1442.3029091972494</v>
      </c>
      <c r="R25" s="46"/>
      <c r="S25" s="46"/>
    </row>
    <row r="26" spans="1:19" x14ac:dyDescent="0.3">
      <c r="A26" s="38">
        <f>IF(ISBLANK(B26),"",MAX($A$16:A25)+1)</f>
        <v>8</v>
      </c>
      <c r="B26" s="28" t="s">
        <v>35</v>
      </c>
      <c r="C26" s="29">
        <v>530.1180955141532</v>
      </c>
      <c r="D26" s="40">
        <f t="shared" si="1"/>
        <v>44.701530532356472</v>
      </c>
      <c r="E26" s="40">
        <f t="shared" si="2"/>
        <v>34.701530532356472</v>
      </c>
      <c r="F26" s="40">
        <f t="shared" si="0"/>
        <v>10</v>
      </c>
      <c r="G26" s="44">
        <f t="shared" si="3"/>
        <v>1712.1460842478759</v>
      </c>
      <c r="H26" s="30"/>
      <c r="J26" s="30">
        <v>133</v>
      </c>
      <c r="K26" s="44">
        <f>J26-$K$37</f>
        <v>115</v>
      </c>
      <c r="L26" s="31">
        <v>37.643763440860234</v>
      </c>
      <c r="M26" s="45">
        <v>2.8506093189973125</v>
      </c>
      <c r="N26" s="30">
        <f>K26*$K$38</f>
        <v>3369.5</v>
      </c>
      <c r="O26" s="30">
        <f t="shared" si="4"/>
        <v>1182.0279887337226</v>
      </c>
      <c r="R26" s="46"/>
      <c r="S26" s="46"/>
    </row>
    <row r="27" spans="1:19" x14ac:dyDescent="0.3">
      <c r="A27" s="38">
        <f>IF(ISBLANK(B27),"",MAX($A$16:A26)+1)</f>
        <v>9</v>
      </c>
      <c r="B27" s="28" t="s">
        <v>36</v>
      </c>
      <c r="C27" s="29">
        <v>454.90082336761122</v>
      </c>
      <c r="D27" s="40">
        <f t="shared" si="1"/>
        <v>39.777807897643832</v>
      </c>
      <c r="E27" s="40">
        <f t="shared" si="2"/>
        <v>29.777807897643832</v>
      </c>
      <c r="F27" s="40">
        <f t="shared" si="0"/>
        <v>10</v>
      </c>
      <c r="G27" s="44">
        <f t="shared" si="3"/>
        <v>1131.2312990407056</v>
      </c>
      <c r="H27" s="30"/>
      <c r="J27" s="30">
        <v>90</v>
      </c>
      <c r="K27" s="44">
        <f>J27-$K$37</f>
        <v>72</v>
      </c>
      <c r="L27" s="31">
        <v>48.023180555555598</v>
      </c>
      <c r="M27" s="45">
        <v>3.119185185172225</v>
      </c>
      <c r="N27" s="30">
        <f>K27*$K$38</f>
        <v>2109.6</v>
      </c>
      <c r="O27" s="30">
        <f t="shared" si="4"/>
        <v>676.33047567309438</v>
      </c>
      <c r="R27" s="46"/>
      <c r="S27" s="46"/>
    </row>
    <row r="28" spans="1:19" x14ac:dyDescent="0.3">
      <c r="A28" s="38">
        <f>IF(ISBLANK(B28),"",MAX($A$16:A27)+1)</f>
        <v>10</v>
      </c>
      <c r="B28" s="28" t="s">
        <v>37</v>
      </c>
      <c r="C28" s="29">
        <v>484.52770209028228</v>
      </c>
      <c r="D28" s="40">
        <f t="shared" si="1"/>
        <v>41.71718337882988</v>
      </c>
      <c r="E28" s="40">
        <f t="shared" si="2"/>
        <v>31.71718337882988</v>
      </c>
      <c r="F28" s="40">
        <f t="shared" si="0"/>
        <v>10</v>
      </c>
      <c r="G28" s="44">
        <f t="shared" si="3"/>
        <v>484.52770209028228</v>
      </c>
      <c r="H28" s="30"/>
      <c r="J28" s="30">
        <v>46</v>
      </c>
      <c r="K28" s="44"/>
      <c r="L28" s="31"/>
      <c r="M28" s="45"/>
      <c r="N28" s="30"/>
      <c r="O28" s="30"/>
      <c r="R28" s="46"/>
      <c r="S28" s="46"/>
    </row>
    <row r="29" spans="1:19" x14ac:dyDescent="0.3">
      <c r="A29" s="38">
        <f>IF(ISBLANK(B29),"",MAX($A$16:A28)+1)</f>
        <v>11</v>
      </c>
      <c r="B29" s="28" t="s">
        <v>38</v>
      </c>
      <c r="C29" s="29">
        <v>586.91619412867135</v>
      </c>
      <c r="D29" s="40">
        <f t="shared" si="1"/>
        <v>48.419534067662831</v>
      </c>
      <c r="E29" s="40">
        <f t="shared" si="2"/>
        <v>38.419534067662831</v>
      </c>
      <c r="F29" s="40">
        <f t="shared" si="0"/>
        <v>10</v>
      </c>
      <c r="G29" s="44">
        <f t="shared" si="3"/>
        <v>586.91619412867135</v>
      </c>
      <c r="H29" s="30"/>
      <c r="J29" s="30">
        <v>23</v>
      </c>
      <c r="K29" s="44"/>
      <c r="L29" s="31"/>
      <c r="M29" s="45"/>
      <c r="N29" s="30"/>
      <c r="O29" s="30"/>
      <c r="R29" s="46"/>
      <c r="S29" s="46"/>
    </row>
    <row r="30" spans="1:19" x14ac:dyDescent="0.3">
      <c r="A30" s="38">
        <f>IF(ISBLANK(B30),"",MAX($A$16:A29)+1)</f>
        <v>12</v>
      </c>
      <c r="B30" s="28" t="s">
        <v>39</v>
      </c>
      <c r="C30" s="29">
        <v>770.4636315739715</v>
      </c>
      <c r="D30" s="40">
        <f t="shared" si="1"/>
        <v>60.434549322832176</v>
      </c>
      <c r="E30" s="40">
        <f t="shared" si="2"/>
        <v>50.434549322832176</v>
      </c>
      <c r="F30" s="40">
        <f t="shared" si="0"/>
        <v>10</v>
      </c>
      <c r="G30" s="44">
        <f t="shared" si="3"/>
        <v>770.4636315739715</v>
      </c>
      <c r="H30" s="30"/>
      <c r="J30" s="30">
        <v>18</v>
      </c>
      <c r="K30" s="44"/>
      <c r="L30" s="31"/>
      <c r="M30" s="45"/>
      <c r="N30" s="30"/>
      <c r="O30" s="30"/>
      <c r="R30" s="46"/>
      <c r="S30" s="46"/>
    </row>
    <row r="31" spans="1:19" x14ac:dyDescent="0.3">
      <c r="A31" s="38">
        <f>IF(ISBLANK(B31),"",MAX($A$16:A30)+1)</f>
        <v>13</v>
      </c>
      <c r="B31" s="28" t="s">
        <v>40</v>
      </c>
      <c r="C31" s="29">
        <v>762.80176543434391</v>
      </c>
      <c r="D31" s="40">
        <f t="shared" si="1"/>
        <v>59.933003565332157</v>
      </c>
      <c r="E31" s="40">
        <f t="shared" si="2"/>
        <v>49.933003565332157</v>
      </c>
      <c r="F31" s="40">
        <f t="shared" si="0"/>
        <v>10</v>
      </c>
      <c r="G31" s="44">
        <f t="shared" si="3"/>
        <v>762.80176543434391</v>
      </c>
      <c r="H31" s="30"/>
      <c r="J31" s="30">
        <v>15</v>
      </c>
      <c r="K31" s="44"/>
      <c r="L31" s="31"/>
      <c r="M31" s="45"/>
      <c r="N31" s="30"/>
      <c r="O31" s="30"/>
      <c r="R31" s="46"/>
      <c r="S31" s="46"/>
    </row>
    <row r="32" spans="1:19" x14ac:dyDescent="0.3">
      <c r="A32" s="38">
        <f>IF(ISBLANK(B32),"",MAX($A$16:A31)+1)</f>
        <v>14</v>
      </c>
      <c r="B32" s="28" t="s">
        <v>41</v>
      </c>
      <c r="C32" s="29">
        <v>536.15882292668857</v>
      </c>
      <c r="D32" s="40">
        <f t="shared" si="1"/>
        <v>45.096956548781037</v>
      </c>
      <c r="E32" s="40">
        <f t="shared" si="2"/>
        <v>35.096956548781037</v>
      </c>
      <c r="F32" s="40">
        <f t="shared" si="0"/>
        <v>10</v>
      </c>
      <c r="G32" s="44">
        <f t="shared" si="3"/>
        <v>536.15882292668857</v>
      </c>
      <c r="H32" s="30"/>
      <c r="J32" s="30">
        <v>16</v>
      </c>
      <c r="K32" s="44"/>
      <c r="L32" s="31"/>
      <c r="M32" s="45"/>
      <c r="N32" s="30"/>
      <c r="O32" s="30"/>
      <c r="R32" s="46"/>
      <c r="S32" s="46"/>
    </row>
    <row r="33" spans="1:19" x14ac:dyDescent="0.3">
      <c r="A33" s="38">
        <f>IF(ISBLANK(B33),"",MAX($A$16:A32)+1)</f>
        <v>15</v>
      </c>
      <c r="B33" s="28" t="s">
        <v>42</v>
      </c>
      <c r="C33" s="29">
        <v>457.55933222335221</v>
      </c>
      <c r="D33" s="40">
        <f t="shared" si="1"/>
        <v>39.951833887340641</v>
      </c>
      <c r="E33" s="40">
        <f t="shared" si="2"/>
        <v>29.951833887340637</v>
      </c>
      <c r="F33" s="40">
        <f t="shared" si="0"/>
        <v>10</v>
      </c>
      <c r="G33" s="44">
        <f t="shared" si="3"/>
        <v>457.55933222335221</v>
      </c>
      <c r="H33" s="30"/>
      <c r="J33" s="30">
        <v>20</v>
      </c>
      <c r="K33" s="44"/>
      <c r="L33" s="31"/>
      <c r="M33" s="45"/>
      <c r="N33" s="30"/>
      <c r="O33" s="30"/>
      <c r="R33" s="46"/>
      <c r="S33" s="46"/>
    </row>
    <row r="34" spans="1:19" x14ac:dyDescent="0.3">
      <c r="A34" s="38">
        <f>IF(ISBLANK(B34),"",MAX($A$16:A33)+1)</f>
        <v>16</v>
      </c>
      <c r="B34" s="28" t="s">
        <v>43</v>
      </c>
      <c r="C34" s="29">
        <v>494.26229777958986</v>
      </c>
      <c r="D34" s="40">
        <f t="shared" si="1"/>
        <v>42.354410012651954</v>
      </c>
      <c r="E34" s="40">
        <f t="shared" si="2"/>
        <v>32.354410012651954</v>
      </c>
      <c r="F34" s="40">
        <f t="shared" si="0"/>
        <v>10</v>
      </c>
      <c r="G34" s="44">
        <f t="shared" si="3"/>
        <v>777.5900737056852</v>
      </c>
      <c r="H34" s="30"/>
      <c r="J34" s="30">
        <v>47</v>
      </c>
      <c r="K34" s="44">
        <f>J34-$K$37</f>
        <v>29</v>
      </c>
      <c r="L34" s="31">
        <v>43.204749999999983</v>
      </c>
      <c r="M34" s="45">
        <v>2.9989999999916717</v>
      </c>
      <c r="N34" s="30">
        <f>K34*$K$38</f>
        <v>849.7</v>
      </c>
      <c r="O34" s="30">
        <f t="shared" ref="O34:O35" si="5">N34/M34</f>
        <v>283.32777592609528</v>
      </c>
      <c r="R34" s="46"/>
      <c r="S34" s="46"/>
    </row>
    <row r="35" spans="1:19" x14ac:dyDescent="0.3">
      <c r="A35" s="38">
        <f>IF(ISBLANK(B35),"",MAX($A$16:A34)+1)</f>
        <v>17</v>
      </c>
      <c r="B35" s="28" t="s">
        <v>44</v>
      </c>
      <c r="C35" s="32">
        <v>641.4787355928089</v>
      </c>
      <c r="D35" s="47">
        <f t="shared" si="1"/>
        <v>51.99119803190527</v>
      </c>
      <c r="E35" s="47">
        <f t="shared" si="2"/>
        <v>41.99119803190527</v>
      </c>
      <c r="F35" s="47">
        <f t="shared" si="0"/>
        <v>10</v>
      </c>
      <c r="G35" s="48">
        <f t="shared" si="3"/>
        <v>1436.484522084002</v>
      </c>
      <c r="H35" s="30"/>
      <c r="J35" s="30">
        <v>93</v>
      </c>
      <c r="K35" s="44">
        <f>J35-$K$37</f>
        <v>75</v>
      </c>
      <c r="L35" s="31">
        <v>34.429086021505377</v>
      </c>
      <c r="M35" s="45">
        <v>2.7641308243790292</v>
      </c>
      <c r="N35" s="30">
        <f>K35*$K$38</f>
        <v>2197.5</v>
      </c>
      <c r="O35" s="30">
        <f t="shared" si="5"/>
        <v>795.00578649119302</v>
      </c>
      <c r="R35" s="46"/>
      <c r="S35" s="46"/>
    </row>
    <row r="36" spans="1:19" x14ac:dyDescent="0.3">
      <c r="A36" s="38">
        <f>IF(ISBLANK(C36),"",MAX($A$16:A35)+1)</f>
        <v>18</v>
      </c>
      <c r="C36" s="44">
        <f>SUM(C24:C35)</f>
        <v>6860.5162870124414</v>
      </c>
      <c r="D36" s="40">
        <f>SUM(D24:D35)</f>
        <v>569.08939614783435</v>
      </c>
      <c r="E36" s="40">
        <f t="shared" ref="E36:F36" si="6">SUM(E24:E35)</f>
        <v>449.08939614783446</v>
      </c>
      <c r="F36" s="40">
        <f t="shared" si="6"/>
        <v>120</v>
      </c>
      <c r="G36" s="44">
        <f>SUM(G24:G35)</f>
        <v>12520.680932176439</v>
      </c>
      <c r="H36" s="30"/>
      <c r="N36" s="44"/>
      <c r="O36" s="44">
        <f>SUM(O24:O35)</f>
        <v>5660.1646451639981</v>
      </c>
    </row>
    <row r="37" spans="1:19" x14ac:dyDescent="0.3">
      <c r="A37" s="38">
        <f>IF(ISBLANK(K37),"",MAX($A$16:A36)+1)</f>
        <v>19</v>
      </c>
      <c r="H37" s="30"/>
      <c r="J37" s="49" t="s">
        <v>45</v>
      </c>
      <c r="K37" s="44">
        <f>AVERAGE(J29:J32)</f>
        <v>18</v>
      </c>
      <c r="L37" s="46"/>
      <c r="M37" s="46"/>
      <c r="R37" s="46"/>
      <c r="S37" s="46"/>
    </row>
    <row r="38" spans="1:19" x14ac:dyDescent="0.3">
      <c r="A38" s="38">
        <f>IF(ISBLANK(B38),"",MAX($A$16:A37)+1)</f>
        <v>20</v>
      </c>
      <c r="B38" s="36" t="s">
        <v>46</v>
      </c>
      <c r="C38" s="44"/>
      <c r="G38" s="44"/>
      <c r="J38" s="49" t="s">
        <v>47</v>
      </c>
      <c r="K38" s="44">
        <v>29.3</v>
      </c>
    </row>
    <row r="39" spans="1:19" x14ac:dyDescent="0.3">
      <c r="A39" s="38">
        <f>IF(ISBLANK(B39),"",MAX($A$16:A38)+1)</f>
        <v>21</v>
      </c>
      <c r="B39" s="50" t="s">
        <v>19</v>
      </c>
      <c r="C39" s="40">
        <f>C20</f>
        <v>10</v>
      </c>
      <c r="G39" s="44"/>
    </row>
    <row r="40" spans="1:19" x14ac:dyDescent="0.3">
      <c r="A40" s="38">
        <f>IF(ISBLANK(B40),"",MAX($A$16:A39)+1)</f>
        <v>22</v>
      </c>
      <c r="B40" s="50" t="s">
        <v>48</v>
      </c>
      <c r="C40" s="51">
        <f>C39*12</f>
        <v>120</v>
      </c>
    </row>
    <row r="41" spans="1:19" x14ac:dyDescent="0.3">
      <c r="A41" s="38" t="str">
        <f>IF(ISBLANK(B41),"",MAX($A$16:A40)+1)</f>
        <v/>
      </c>
      <c r="B41" s="50"/>
    </row>
    <row r="42" spans="1:19" x14ac:dyDescent="0.3">
      <c r="A42" s="38">
        <f>IF(ISBLANK(B42),"",MAX($A$16:A41)+1)</f>
        <v>23</v>
      </c>
      <c r="B42" s="50" t="s">
        <v>49</v>
      </c>
      <c r="C42" s="40">
        <f>SUM(E24:E27,E34:E35)</f>
        <v>213.53633537705568</v>
      </c>
      <c r="D42" s="36" t="s">
        <v>50</v>
      </c>
    </row>
    <row r="43" spans="1:19" x14ac:dyDescent="0.3">
      <c r="A43" s="38">
        <f>IF(ISBLANK(B43),"",MAX($A$16:A42)+1)</f>
        <v>24</v>
      </c>
      <c r="B43" s="50" t="s">
        <v>51</v>
      </c>
      <c r="C43" s="57">
        <f>TRUNC(C42/SUM(G24:G27,G34:G35),5)</f>
        <v>2.393E-2</v>
      </c>
      <c r="D43" s="36" t="s">
        <v>52</v>
      </c>
    </row>
    <row r="44" spans="1:19" x14ac:dyDescent="0.3">
      <c r="A44" s="38" t="str">
        <f>IF(ISBLANK(B44),"",MAX($A$16:A43)+1)</f>
        <v/>
      </c>
      <c r="C44" s="66"/>
    </row>
    <row r="45" spans="1:19" x14ac:dyDescent="0.3">
      <c r="A45" s="38">
        <f>IF(ISBLANK(B45),"",MAX($A$16:A44)+1)</f>
        <v>25</v>
      </c>
      <c r="B45" s="36" t="s">
        <v>53</v>
      </c>
      <c r="C45" s="57"/>
    </row>
    <row r="46" spans="1:19" x14ac:dyDescent="0.3">
      <c r="A46" s="38">
        <f>IF(ISBLANK(B46),"",MAX($A$16:A45)+1)</f>
        <v>26</v>
      </c>
      <c r="B46" s="36" t="s">
        <v>54</v>
      </c>
      <c r="C46" s="52" t="s">
        <v>18</v>
      </c>
      <c r="F46" s="49"/>
    </row>
    <row r="47" spans="1:19" x14ac:dyDescent="0.3">
      <c r="A47" s="38">
        <f>IF(ISBLANK(B47),"",MAX($A$16:A46)+1)</f>
        <v>27</v>
      </c>
      <c r="B47" s="25" t="s">
        <v>19</v>
      </c>
      <c r="C47" s="40">
        <f>C39</f>
        <v>10</v>
      </c>
    </row>
    <row r="48" spans="1:19" x14ac:dyDescent="0.3">
      <c r="A48" s="38">
        <f>IF(ISBLANK(B48),"",MAX($A$16:A47)+1)</f>
        <v>28</v>
      </c>
      <c r="B48" s="25" t="s">
        <v>55</v>
      </c>
      <c r="C48" s="41">
        <f>C43</f>
        <v>2.393E-2</v>
      </c>
    </row>
    <row r="49" spans="1:7" x14ac:dyDescent="0.3">
      <c r="A49" s="38">
        <f>IF(ISBLANK(B49),"",MAX($A$16:A48)+1)</f>
        <v>29</v>
      </c>
      <c r="B49" s="25" t="s">
        <v>56</v>
      </c>
      <c r="C49" s="41">
        <f>C21</f>
        <v>6.5460000000000004E-2</v>
      </c>
    </row>
    <row r="50" spans="1:7" x14ac:dyDescent="0.3">
      <c r="A50" s="38">
        <f>IF(ISBLANK(C50),"",MAX($A$16:A49)+1)</f>
        <v>30</v>
      </c>
      <c r="B50" s="25" t="s">
        <v>57</v>
      </c>
      <c r="C50" s="53">
        <f>C49/C48</f>
        <v>2.7354784788967823</v>
      </c>
    </row>
    <row r="52" spans="1:7" x14ac:dyDescent="0.3">
      <c r="B52" s="36" t="s">
        <v>58</v>
      </c>
    </row>
    <row r="53" spans="1:7" x14ac:dyDescent="0.3">
      <c r="B53" s="36" t="s">
        <v>59</v>
      </c>
      <c r="C53" s="33"/>
      <c r="E53" s="54"/>
      <c r="F53" s="54"/>
      <c r="G53" s="54"/>
    </row>
    <row r="54" spans="1:7" x14ac:dyDescent="0.3">
      <c r="B54" s="36" t="s">
        <v>60</v>
      </c>
      <c r="C54" s="34"/>
      <c r="E54" s="40"/>
      <c r="F54" s="40"/>
      <c r="G54" s="55"/>
    </row>
    <row r="55" spans="1:7" x14ac:dyDescent="0.3">
      <c r="B55" s="36" t="s">
        <v>61</v>
      </c>
      <c r="C55" s="34"/>
      <c r="E55" s="40"/>
      <c r="F55" s="40"/>
      <c r="G55" s="55"/>
    </row>
    <row r="56" spans="1:7" x14ac:dyDescent="0.3">
      <c r="B56" s="36" t="s">
        <v>62</v>
      </c>
      <c r="C56" s="34"/>
      <c r="E56" s="40"/>
      <c r="F56" s="40"/>
      <c r="G56" s="55"/>
    </row>
    <row r="57" spans="1:7" x14ac:dyDescent="0.3">
      <c r="B57" s="36" t="s">
        <v>63</v>
      </c>
      <c r="E57" s="40"/>
      <c r="F57" s="40"/>
      <c r="G57" s="55"/>
    </row>
    <row r="58" spans="1:7" x14ac:dyDescent="0.3">
      <c r="B58" s="36" t="s">
        <v>64</v>
      </c>
      <c r="C58" s="56"/>
      <c r="E58" s="40"/>
      <c r="F58" s="40"/>
      <c r="G58" s="55"/>
    </row>
    <row r="59" spans="1:7" x14ac:dyDescent="0.3">
      <c r="B59" s="50" t="s">
        <v>65</v>
      </c>
      <c r="E59" s="40"/>
      <c r="F59" s="40"/>
      <c r="G59" s="55"/>
    </row>
    <row r="60" spans="1:7" x14ac:dyDescent="0.3">
      <c r="B60" s="50" t="s">
        <v>66</v>
      </c>
      <c r="E60" s="40"/>
      <c r="F60" s="40"/>
      <c r="G60" s="55"/>
    </row>
    <row r="61" spans="1:7" x14ac:dyDescent="0.3">
      <c r="B61" s="36" t="s">
        <v>67</v>
      </c>
      <c r="E61" s="40"/>
      <c r="F61" s="40"/>
      <c r="G61" s="55"/>
    </row>
    <row r="62" spans="1:7" x14ac:dyDescent="0.3">
      <c r="B62" s="50" t="s">
        <v>68</v>
      </c>
      <c r="E62" s="40"/>
      <c r="F62" s="40"/>
      <c r="G62" s="55"/>
    </row>
    <row r="63" spans="1:7" x14ac:dyDescent="0.3">
      <c r="B63" s="50" t="s">
        <v>69</v>
      </c>
      <c r="E63" s="40"/>
      <c r="F63" s="40"/>
      <c r="G63" s="55"/>
    </row>
    <row r="64" spans="1:7" x14ac:dyDescent="0.3">
      <c r="B64" s="36" t="s">
        <v>70</v>
      </c>
      <c r="E64" s="40"/>
      <c r="F64" s="40"/>
      <c r="G64" s="55"/>
    </row>
    <row r="65" spans="2:7" x14ac:dyDescent="0.3">
      <c r="B65" s="36" t="s">
        <v>71</v>
      </c>
      <c r="E65" s="40"/>
      <c r="F65" s="40"/>
      <c r="G65" s="55"/>
    </row>
    <row r="66" spans="2:7" x14ac:dyDescent="0.3">
      <c r="B66" s="36" t="s">
        <v>72</v>
      </c>
      <c r="E66" s="40"/>
      <c r="F66" s="40"/>
      <c r="G66" s="55"/>
    </row>
    <row r="67" spans="2:7" x14ac:dyDescent="0.3">
      <c r="B67" s="36" t="s">
        <v>73</v>
      </c>
    </row>
    <row r="68" spans="2:7" x14ac:dyDescent="0.3">
      <c r="B68" s="36" t="s">
        <v>74</v>
      </c>
    </row>
    <row r="69" spans="2:7" x14ac:dyDescent="0.3">
      <c r="B69" s="36" t="s">
        <v>75</v>
      </c>
    </row>
    <row r="70" spans="2:7" x14ac:dyDescent="0.3">
      <c r="B70" s="36" t="s">
        <v>76</v>
      </c>
    </row>
    <row r="71" spans="2:7" x14ac:dyDescent="0.3">
      <c r="B71" s="36" t="s">
        <v>77</v>
      </c>
    </row>
    <row r="72" spans="2:7" x14ac:dyDescent="0.3">
      <c r="B72" s="36" t="s">
        <v>78</v>
      </c>
    </row>
    <row r="73" spans="2:7" x14ac:dyDescent="0.3">
      <c r="B73" s="36" t="s">
        <v>79</v>
      </c>
    </row>
    <row r="74" spans="2:7" x14ac:dyDescent="0.3">
      <c r="B74" s="36" t="s">
        <v>80</v>
      </c>
    </row>
    <row r="75" spans="2:7" x14ac:dyDescent="0.3">
      <c r="B75" s="36" t="s">
        <v>81</v>
      </c>
    </row>
  </sheetData>
  <pageMargins left="0.7" right="0.7" top="0.75" bottom="0.75" header="0.3" footer="0.3"/>
  <pageSetup scale="45" orientation="portrait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Transmission Rate Design</vt:lpstr>
      <vt:lpstr>Adjusted Forecast</vt:lpstr>
      <vt:lpstr>Heat Pump Rate Design</vt:lpstr>
      <vt:lpstr>'Adjusted Forecast'!Print_Area</vt:lpstr>
      <vt:lpstr>'Heat Pump Rate Design'!Print_Area</vt:lpstr>
      <vt:lpstr>'Transmission Rate Design'!Print_Area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ZSCHOKKE 'Y18' PETER T.</dc:creator>
  <cp:lastModifiedBy>Melissa Liazos</cp:lastModifiedBy>
  <cp:lastPrinted>2025-10-15T19:23:15Z</cp:lastPrinted>
  <dcterms:created xsi:type="dcterms:W3CDTF">2003-10-31T16:12:38Z</dcterms:created>
  <dcterms:modified xsi:type="dcterms:W3CDTF">2025-10-15T19:23:50Z</dcterms:modified>
</cp:coreProperties>
</file>