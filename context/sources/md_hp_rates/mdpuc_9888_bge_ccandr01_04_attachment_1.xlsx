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20000001_{87AC5660-C9A5-44CC-BA96-415B003517B3}" xr6:coauthVersionLast="47" xr6:coauthVersionMax="47" xr10:uidLastSave="{00000000-0000-0000-0000-000000000000}"/>
  <bookViews>
    <workbookView xWindow="28680" yWindow="-120" windowWidth="29040" windowHeight="17520" xr2:uid="{EDEA2327-7824-427B-AC78-5282974CF04D}"/>
  </bookViews>
  <sheets>
    <sheet name="CCANDR01-04 Attachment 1" sheetId="1" r:id="rId1"/>
  </sheets>
  <definedNames>
    <definedName name="_xlnm.Print_Area" localSheetId="0">'CCANDR01-04 Attachment 1'!$A$1:$N$32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B9" i="1"/>
  <c r="I32" i="1"/>
  <c r="H32" i="1"/>
  <c r="G32" i="1"/>
  <c r="F32" i="1"/>
  <c r="N31" i="1"/>
  <c r="N30" i="1"/>
  <c r="N29" i="1"/>
  <c r="M32" i="1"/>
  <c r="L32" i="1"/>
  <c r="K32" i="1"/>
  <c r="J32" i="1"/>
  <c r="E32" i="1"/>
  <c r="D32" i="1"/>
  <c r="C32" i="1"/>
  <c r="N28" i="1"/>
  <c r="J21" i="1"/>
  <c r="D21" i="1"/>
  <c r="C21" i="1"/>
  <c r="B21" i="1"/>
  <c r="N20" i="1"/>
  <c r="N19" i="1"/>
  <c r="N18" i="1"/>
  <c r="M21" i="1"/>
  <c r="L21" i="1"/>
  <c r="K21" i="1"/>
  <c r="I21" i="1"/>
  <c r="H21" i="1"/>
  <c r="G21" i="1"/>
  <c r="N17" i="1"/>
  <c r="E21" i="1"/>
  <c r="N8" i="1"/>
  <c r="N7" i="1"/>
  <c r="N6" i="1"/>
  <c r="N5" i="1"/>
  <c r="N21" i="1" l="1"/>
  <c r="N32" i="1"/>
  <c r="B32" i="1"/>
  <c r="F21" i="1"/>
  <c r="N9" i="1"/>
</calcChain>
</file>

<file path=xl/sharedStrings.xml><?xml version="1.0" encoding="utf-8"?>
<sst xmlns="http://schemas.openxmlformats.org/spreadsheetml/2006/main" count="21" uniqueCount="11">
  <si>
    <t>ELECTRIC CUSTOMERS</t>
  </si>
  <si>
    <t>TOTAL</t>
  </si>
  <si>
    <t>R - RESIDENTIAL</t>
  </si>
  <si>
    <t>RH - RESIDENTIAL HEATING</t>
  </si>
  <si>
    <t>RL - TIME OF USE</t>
  </si>
  <si>
    <t>RL - TIME OF USE HEATING</t>
  </si>
  <si>
    <t>ELECTRIC SALES (KWH)</t>
  </si>
  <si>
    <t>RH - RESIDENTIAL</t>
  </si>
  <si>
    <t>RLH - TIME OF USE</t>
  </si>
  <si>
    <t>ELECTRIC REVENUES</t>
  </si>
  <si>
    <t>R - RESIDENTIAL 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</si>
</sst>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8"/>
      <name val="Arial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7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3" fillId="0" borderId="0" xfId="1" applyNumberFormat="1" applyFont="1" applyFill="1" applyBorder="1"/>
    <xf numFmtId="164" fontId="3" fillId="0" borderId="0" xfId="1" applyNumberFormat="1" applyFont="1" applyFill="1"/>
    <xf numFmtId="0" fontId="0" fillId="0" borderId="1" xfId="0" applyBorder="1"/>
    <xf numFmtId="164" fontId="3" fillId="0" borderId="1" xfId="1" applyNumberFormat="1" applyFont="1" applyFill="1" applyBorder="1"/>
    <xf numFmtId="0" fontId="0" fillId="2" borderId="0" xfId="0" applyFill="1"/>
    <xf numFmtId="165" fontId="3" fillId="0" borderId="0" xfId="2" applyNumberFormat="1" applyFont="1" applyFill="1" applyBorder="1"/>
    <xf numFmtId="165" fontId="3" fillId="0" borderId="0" xfId="2" applyNumberFormat="1" applyFont="1" applyFill="1"/>
    <xf numFmtId="165" fontId="3" fillId="0" borderId="1" xfId="2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8C75-5F96-4EC3-9F49-481A24B48FB1}">
  <sheetPr>
    <tabColor rgb="FF00B050"/>
    <pageSetUpPr fitToPage="1"/>
  </sheetPr>
  <dimension ref="A1:O32"/>
  <sheetViews>
    <sheetView tabSelected="1" zoomScaleNormal="100" workbookViewId="0">
      <selection activeCell="A2" sqref="A2"/>
    </sheetView>
  </sheetViews>
  <sheetFormatPr defaultRowHeight="10" x14ac:dyDescent="0.2"/>
  <cols>
    <col min="1" max="1" width="24.44140625" bestFit="1" customWidth="1"/>
    <col min="2" max="3" width="13.6640625" bestFit="1" customWidth="1"/>
    <col min="4" max="6" width="14.109375" bestFit="1" customWidth="1"/>
    <col min="7" max="9" width="13.6640625" bestFit="1" customWidth="1"/>
    <col min="10" max="12" width="14.109375" bestFit="1" customWidth="1"/>
    <col min="13" max="13" width="13.6640625" bestFit="1" customWidth="1"/>
    <col min="14" max="14" width="15.109375" customWidth="1"/>
  </cols>
  <sheetData>
    <row r="1" spans="1:14" ht="11.25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5" x14ac:dyDescent="0.25">
      <c r="A2" s="2" t="s">
        <v>0</v>
      </c>
      <c r="B2" s="3">
        <v>45748</v>
      </c>
      <c r="C2" s="3">
        <v>45778</v>
      </c>
      <c r="D2" s="3">
        <v>45809</v>
      </c>
      <c r="E2" s="3">
        <v>45839</v>
      </c>
      <c r="F2" s="3">
        <v>45870</v>
      </c>
      <c r="G2" s="3">
        <v>45901</v>
      </c>
      <c r="H2" s="3">
        <v>45931</v>
      </c>
      <c r="I2" s="3">
        <v>45962</v>
      </c>
      <c r="J2" s="3">
        <v>45992</v>
      </c>
      <c r="K2" s="3">
        <v>46023</v>
      </c>
      <c r="L2" s="3">
        <v>46054</v>
      </c>
      <c r="M2" s="3">
        <v>46082</v>
      </c>
      <c r="N2" s="3" t="s">
        <v>1</v>
      </c>
    </row>
    <row r="3" spans="1:14" ht="11.25" x14ac:dyDescent="0.2">
      <c r="B3" s="4"/>
    </row>
    <row r="4" spans="1:14" ht="10.5" x14ac:dyDescent="0.25">
      <c r="A4" s="5"/>
    </row>
    <row r="5" spans="1:14" ht="11.25" x14ac:dyDescent="0.2">
      <c r="A5" t="s">
        <v>2</v>
      </c>
      <c r="B5" s="6">
        <v>842252</v>
      </c>
      <c r="C5" s="6">
        <v>840395</v>
      </c>
      <c r="D5" s="6">
        <v>840791</v>
      </c>
      <c r="E5" s="6">
        <v>841806</v>
      </c>
      <c r="F5" s="6">
        <v>841808</v>
      </c>
      <c r="G5" s="6">
        <v>840912</v>
      </c>
      <c r="H5" s="6">
        <v>840419</v>
      </c>
      <c r="I5" s="6">
        <v>840843</v>
      </c>
      <c r="J5" s="6">
        <v>841573</v>
      </c>
      <c r="K5" s="6">
        <v>843110</v>
      </c>
      <c r="L5" s="6">
        <v>844224</v>
      </c>
      <c r="M5" s="6">
        <v>844749</v>
      </c>
      <c r="N5" s="7">
        <f>SUM(B5:M5)</f>
        <v>10102882</v>
      </c>
    </row>
    <row r="6" spans="1:14" ht="11.25" x14ac:dyDescent="0.2">
      <c r="A6" t="s">
        <v>3</v>
      </c>
      <c r="B6" s="6">
        <v>321412</v>
      </c>
      <c r="C6" s="6">
        <v>320836</v>
      </c>
      <c r="D6" s="6">
        <v>321042</v>
      </c>
      <c r="E6" s="6">
        <v>321670</v>
      </c>
      <c r="F6" s="6">
        <v>322049</v>
      </c>
      <c r="G6" s="6">
        <v>322012</v>
      </c>
      <c r="H6" s="6">
        <v>322086</v>
      </c>
      <c r="I6" s="6">
        <v>322488</v>
      </c>
      <c r="J6" s="6">
        <v>322851</v>
      </c>
      <c r="K6" s="6">
        <v>323427</v>
      </c>
      <c r="L6" s="6">
        <v>324088</v>
      </c>
      <c r="M6" s="6">
        <v>324272</v>
      </c>
      <c r="N6" s="7">
        <f>SUM(B6:M6)</f>
        <v>3868233</v>
      </c>
    </row>
    <row r="7" spans="1:14" ht="11.25" x14ac:dyDescent="0.2">
      <c r="A7" t="s">
        <v>4</v>
      </c>
      <c r="B7" s="6">
        <v>31061</v>
      </c>
      <c r="C7" s="6">
        <v>31035</v>
      </c>
      <c r="D7" s="6">
        <v>31027</v>
      </c>
      <c r="E7" s="6">
        <v>31008</v>
      </c>
      <c r="F7" s="6">
        <v>30987</v>
      </c>
      <c r="G7" s="6">
        <v>30960</v>
      </c>
      <c r="H7" s="6">
        <v>30948</v>
      </c>
      <c r="I7" s="6">
        <v>30944</v>
      </c>
      <c r="J7" s="6">
        <v>30933</v>
      </c>
      <c r="K7" s="6">
        <v>30932</v>
      </c>
      <c r="L7" s="6">
        <v>30917</v>
      </c>
      <c r="M7" s="6">
        <v>30913</v>
      </c>
      <c r="N7" s="6">
        <f>SUM(B7:M7)</f>
        <v>371665</v>
      </c>
    </row>
    <row r="8" spans="1:14" ht="11.25" x14ac:dyDescent="0.2">
      <c r="A8" s="8" t="s">
        <v>5</v>
      </c>
      <c r="B8" s="9">
        <v>26844</v>
      </c>
      <c r="C8" s="9">
        <v>26828</v>
      </c>
      <c r="D8" s="9">
        <v>26857</v>
      </c>
      <c r="E8" s="9">
        <v>26874</v>
      </c>
      <c r="F8" s="9">
        <v>26862</v>
      </c>
      <c r="G8" s="9">
        <v>26867</v>
      </c>
      <c r="H8" s="9">
        <v>26862</v>
      </c>
      <c r="I8" s="9">
        <v>26855</v>
      </c>
      <c r="J8" s="9">
        <v>26859</v>
      </c>
      <c r="K8" s="9">
        <v>26868</v>
      </c>
      <c r="L8" s="9">
        <v>26852</v>
      </c>
      <c r="M8" s="9">
        <v>26832</v>
      </c>
      <c r="N8" s="9">
        <f>SUM(B8:M8)</f>
        <v>322260</v>
      </c>
    </row>
    <row r="9" spans="1:14" ht="10.5" x14ac:dyDescent="0.25">
      <c r="A9" s="5" t="s">
        <v>1</v>
      </c>
      <c r="B9" s="4">
        <f>SUM(B5:B8)</f>
        <v>1221569</v>
      </c>
      <c r="C9" s="4">
        <f t="shared" ref="C9:M9" si="0">SUM(C5:C8)</f>
        <v>1219094</v>
      </c>
      <c r="D9" s="4">
        <f t="shared" si="0"/>
        <v>1219717</v>
      </c>
      <c r="E9" s="4">
        <f t="shared" si="0"/>
        <v>1221358</v>
      </c>
      <c r="F9" s="4">
        <f t="shared" si="0"/>
        <v>1221706</v>
      </c>
      <c r="G9" s="4">
        <f t="shared" si="0"/>
        <v>1220751</v>
      </c>
      <c r="H9" s="4">
        <f t="shared" si="0"/>
        <v>1220315</v>
      </c>
      <c r="I9" s="4">
        <f t="shared" si="0"/>
        <v>1221130</v>
      </c>
      <c r="J9" s="4">
        <f t="shared" si="0"/>
        <v>1222216</v>
      </c>
      <c r="K9" s="4">
        <f t="shared" si="0"/>
        <v>1224337</v>
      </c>
      <c r="L9" s="4">
        <f t="shared" si="0"/>
        <v>1226081</v>
      </c>
      <c r="M9" s="4">
        <f t="shared" si="0"/>
        <v>1226766</v>
      </c>
      <c r="N9" s="4">
        <f>SUM(B9:M9)</f>
        <v>14665040</v>
      </c>
    </row>
    <row r="14" spans="1:14" ht="10.5" x14ac:dyDescent="0.25">
      <c r="A14" s="2" t="s">
        <v>6</v>
      </c>
      <c r="B14" s="3">
        <v>45748</v>
      </c>
      <c r="C14" s="3">
        <v>45778</v>
      </c>
      <c r="D14" s="3">
        <v>45809</v>
      </c>
      <c r="E14" s="3">
        <v>45839</v>
      </c>
      <c r="F14" s="3">
        <v>45870</v>
      </c>
      <c r="G14" s="3">
        <v>45901</v>
      </c>
      <c r="H14" s="3">
        <v>45931</v>
      </c>
      <c r="I14" s="3">
        <v>45962</v>
      </c>
      <c r="J14" s="3">
        <v>45992</v>
      </c>
      <c r="K14" s="3">
        <v>46023</v>
      </c>
      <c r="L14" s="3">
        <v>46054</v>
      </c>
      <c r="M14" s="3">
        <v>46082</v>
      </c>
      <c r="N14" s="3" t="s">
        <v>1</v>
      </c>
    </row>
    <row r="15" spans="1:14" ht="11.25" x14ac:dyDescent="0.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10.5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5" ht="11.25" x14ac:dyDescent="0.2">
      <c r="A17" t="s">
        <v>2</v>
      </c>
      <c r="B17" s="7">
        <v>464948045.63829678</v>
      </c>
      <c r="C17" s="7">
        <v>490344399.18550342</v>
      </c>
      <c r="D17" s="7">
        <v>767658692.72685087</v>
      </c>
      <c r="E17" s="7">
        <v>990219025.7748841</v>
      </c>
      <c r="F17" s="7">
        <v>713945575.93055975</v>
      </c>
      <c r="G17" s="7">
        <v>665068973.04513073</v>
      </c>
      <c r="H17" s="7">
        <v>450610980.6615209</v>
      </c>
      <c r="I17" s="7">
        <v>504864949.00882518</v>
      </c>
      <c r="J17" s="7">
        <v>727185405.74183369</v>
      </c>
      <c r="K17" s="7">
        <v>754364709.5315367</v>
      </c>
      <c r="L17" s="7">
        <v>653181155.9544096</v>
      </c>
      <c r="M17" s="7">
        <v>540973720.31726444</v>
      </c>
      <c r="N17" s="7">
        <f t="shared" ref="N17:N21" si="1">SUM(B17:M17)</f>
        <v>7723365633.5166168</v>
      </c>
    </row>
    <row r="18" spans="1:15" ht="11.25" x14ac:dyDescent="0.2">
      <c r="A18" t="s">
        <v>7</v>
      </c>
      <c r="B18" s="7">
        <v>257272790.3973017</v>
      </c>
      <c r="C18" s="7">
        <v>237248988.26122317</v>
      </c>
      <c r="D18" s="7">
        <v>315754847.42905366</v>
      </c>
      <c r="E18" s="7">
        <v>382881262.99019212</v>
      </c>
      <c r="F18" s="7">
        <v>291793363.2401309</v>
      </c>
      <c r="G18" s="7">
        <v>252317528.24442104</v>
      </c>
      <c r="H18" s="7">
        <v>245701798.90425053</v>
      </c>
      <c r="I18" s="7">
        <v>347563357.59622443</v>
      </c>
      <c r="J18" s="7">
        <v>546766347.79138064</v>
      </c>
      <c r="K18" s="7">
        <v>661291981.80159318</v>
      </c>
      <c r="L18" s="7">
        <v>554479775.84340048</v>
      </c>
      <c r="M18" s="7">
        <v>371713653.29362792</v>
      </c>
      <c r="N18" s="7">
        <f t="shared" si="1"/>
        <v>4464785695.7927999</v>
      </c>
    </row>
    <row r="19" spans="1:15" ht="11.25" x14ac:dyDescent="0.2">
      <c r="A19" t="s">
        <v>4</v>
      </c>
      <c r="B19" s="7">
        <v>21012120.957903821</v>
      </c>
      <c r="C19" s="7">
        <v>23481453.767639715</v>
      </c>
      <c r="D19" s="7">
        <v>35867944.114081696</v>
      </c>
      <c r="E19" s="7">
        <v>44858954.047549367</v>
      </c>
      <c r="F19" s="7">
        <v>31943517.409015227</v>
      </c>
      <c r="G19" s="7">
        <v>26460670.32794961</v>
      </c>
      <c r="H19" s="7">
        <v>22287149.911290661</v>
      </c>
      <c r="I19" s="7">
        <v>24752547.026138823</v>
      </c>
      <c r="J19" s="7">
        <v>34566296.481732316</v>
      </c>
      <c r="K19" s="7">
        <v>33798103.986308396</v>
      </c>
      <c r="L19" s="7">
        <v>28728769.641543206</v>
      </c>
      <c r="M19" s="7">
        <v>24227017.943916384</v>
      </c>
      <c r="N19" s="6">
        <f t="shared" si="1"/>
        <v>351984545.61506927</v>
      </c>
    </row>
    <row r="20" spans="1:15" ht="11.25" x14ac:dyDescent="0.2">
      <c r="A20" s="8" t="s">
        <v>8</v>
      </c>
      <c r="B20" s="9">
        <v>26474472.845618427</v>
      </c>
      <c r="C20" s="9">
        <v>24033893.52720752</v>
      </c>
      <c r="D20" s="9">
        <v>35562423.69601056</v>
      </c>
      <c r="E20" s="9">
        <v>42822122.606140897</v>
      </c>
      <c r="F20" s="9">
        <v>29800475.836068641</v>
      </c>
      <c r="G20" s="9">
        <v>27848519.842117336</v>
      </c>
      <c r="H20" s="9">
        <v>23231059.2041086</v>
      </c>
      <c r="I20" s="9">
        <v>37999572.494518444</v>
      </c>
      <c r="J20" s="9">
        <v>55394558.137351766</v>
      </c>
      <c r="K20" s="9">
        <v>68853199.25171642</v>
      </c>
      <c r="L20" s="9">
        <v>56806541.784417339</v>
      </c>
      <c r="M20" s="9">
        <v>37990054.048384175</v>
      </c>
      <c r="N20" s="9">
        <f t="shared" si="1"/>
        <v>466816893.27366012</v>
      </c>
    </row>
    <row r="21" spans="1:15" ht="10.5" x14ac:dyDescent="0.25">
      <c r="A21" s="5" t="s">
        <v>1</v>
      </c>
      <c r="B21" s="4">
        <f t="shared" ref="B21:M21" si="2">SUM(B17:B20)</f>
        <v>769707429.83912086</v>
      </c>
      <c r="C21" s="4">
        <f t="shared" si="2"/>
        <v>775108734.74157381</v>
      </c>
      <c r="D21" s="4">
        <f t="shared" si="2"/>
        <v>1154843907.9659967</v>
      </c>
      <c r="E21" s="4">
        <f t="shared" si="2"/>
        <v>1460781365.4187663</v>
      </c>
      <c r="F21" s="4">
        <f t="shared" si="2"/>
        <v>1067482932.4157745</v>
      </c>
      <c r="G21" s="4">
        <f t="shared" si="2"/>
        <v>971695691.45961869</v>
      </c>
      <c r="H21" s="4">
        <f t="shared" si="2"/>
        <v>741830988.6811707</v>
      </c>
      <c r="I21" s="4">
        <f t="shared" si="2"/>
        <v>915180426.12570679</v>
      </c>
      <c r="J21" s="4">
        <f t="shared" si="2"/>
        <v>1363912608.1522985</v>
      </c>
      <c r="K21" s="4">
        <f t="shared" si="2"/>
        <v>1518307994.5711546</v>
      </c>
      <c r="L21" s="4">
        <f t="shared" si="2"/>
        <v>1293196243.2237706</v>
      </c>
      <c r="M21" s="4">
        <f t="shared" si="2"/>
        <v>974904445.60319293</v>
      </c>
      <c r="N21" s="7">
        <f t="shared" si="1"/>
        <v>13006952768.198145</v>
      </c>
    </row>
    <row r="25" spans="1:15" ht="10.5" x14ac:dyDescent="0.25">
      <c r="A25" s="2" t="s">
        <v>9</v>
      </c>
      <c r="B25" s="3">
        <v>45748</v>
      </c>
      <c r="C25" s="3">
        <v>45778</v>
      </c>
      <c r="D25" s="3">
        <v>45809</v>
      </c>
      <c r="E25" s="3">
        <v>45839</v>
      </c>
      <c r="F25" s="3">
        <v>45870</v>
      </c>
      <c r="G25" s="3">
        <v>45901</v>
      </c>
      <c r="H25" s="3">
        <v>45931</v>
      </c>
      <c r="I25" s="3">
        <v>45962</v>
      </c>
      <c r="J25" s="3">
        <v>45992</v>
      </c>
      <c r="K25" s="3">
        <v>46023</v>
      </c>
      <c r="L25" s="3">
        <v>46054</v>
      </c>
      <c r="M25" s="3">
        <v>46082</v>
      </c>
      <c r="N25" s="3" t="s">
        <v>1</v>
      </c>
      <c r="O25" s="10"/>
    </row>
    <row r="26" spans="1:15" ht="11.25" x14ac:dyDescent="0.2">
      <c r="O26" s="10"/>
    </row>
    <row r="27" spans="1:15" ht="10.5" x14ac:dyDescent="0.25">
      <c r="A27" s="5"/>
      <c r="O27" s="10"/>
    </row>
    <row r="28" spans="1:15" ht="11.25" x14ac:dyDescent="0.2">
      <c r="A28" t="s">
        <v>2</v>
      </c>
      <c r="B28" s="11">
        <v>86642611.595138922</v>
      </c>
      <c r="C28" s="11">
        <v>92372122.325208992</v>
      </c>
      <c r="D28" s="11">
        <v>135278113.65340298</v>
      </c>
      <c r="E28" s="11">
        <v>174429632.37960362</v>
      </c>
      <c r="F28" s="11">
        <v>138678884.67152256</v>
      </c>
      <c r="G28" s="11">
        <v>140312497.11154747</v>
      </c>
      <c r="H28" s="11">
        <v>110358480.04780746</v>
      </c>
      <c r="I28" s="11">
        <v>122319455.7068924</v>
      </c>
      <c r="J28" s="11">
        <v>148878896.75592646</v>
      </c>
      <c r="K28" s="11">
        <v>154863209.39112213</v>
      </c>
      <c r="L28" s="11">
        <v>135111445.12527254</v>
      </c>
      <c r="M28" s="11">
        <v>136350510.74443829</v>
      </c>
      <c r="N28" s="12">
        <f t="shared" ref="N28:N31" si="3">SUM(B28:M28)</f>
        <v>1575595859.5078835</v>
      </c>
    </row>
    <row r="29" spans="1:15" ht="11.25" x14ac:dyDescent="0.2">
      <c r="A29" t="s">
        <v>10</v>
      </c>
      <c r="B29" s="11">
        <v>47767589.059100255</v>
      </c>
      <c r="C29" s="11">
        <v>44269363.172490992</v>
      </c>
      <c r="D29" s="11">
        <v>58049888.511479221</v>
      </c>
      <c r="E29" s="11">
        <v>69787232.271615505</v>
      </c>
      <c r="F29" s="11">
        <v>58198514.401074037</v>
      </c>
      <c r="G29" s="11">
        <v>57353512.332882196</v>
      </c>
      <c r="H29" s="11">
        <v>58660320.938047037</v>
      </c>
      <c r="I29" s="11">
        <v>81358489.272964433</v>
      </c>
      <c r="J29" s="11">
        <v>109732941.21890505</v>
      </c>
      <c r="K29" s="11">
        <v>132549424.63874851</v>
      </c>
      <c r="L29" s="11">
        <v>111395547.72797984</v>
      </c>
      <c r="M29" s="11">
        <v>92823481.659936905</v>
      </c>
      <c r="N29" s="12">
        <f t="shared" si="3"/>
        <v>921946305.20522404</v>
      </c>
    </row>
    <row r="30" spans="1:15" ht="11.25" x14ac:dyDescent="0.2">
      <c r="A30" t="s">
        <v>4</v>
      </c>
      <c r="B30" s="11">
        <v>3831989.8131419155</v>
      </c>
      <c r="C30" s="11">
        <v>4273188.7024381058</v>
      </c>
      <c r="D30" s="11">
        <v>6510642.614099944</v>
      </c>
      <c r="E30" s="11">
        <v>8276140.4333137795</v>
      </c>
      <c r="F30" s="11">
        <v>6567946.6535314405</v>
      </c>
      <c r="G30" s="11">
        <v>5916756.6565904943</v>
      </c>
      <c r="H30" s="11">
        <v>5506374.6331213424</v>
      </c>
      <c r="I30" s="11">
        <v>5721725.3030000646</v>
      </c>
      <c r="J30" s="11">
        <v>6911905.4663941832</v>
      </c>
      <c r="K30" s="11">
        <v>6887455.9897181513</v>
      </c>
      <c r="L30" s="11">
        <v>5964136.808160454</v>
      </c>
      <c r="M30" s="11">
        <v>6198589.3218511436</v>
      </c>
      <c r="N30" s="11">
        <f t="shared" si="3"/>
        <v>72566852.395361021</v>
      </c>
    </row>
    <row r="31" spans="1:15" ht="11.25" x14ac:dyDescent="0.2">
      <c r="A31" s="8" t="s">
        <v>5</v>
      </c>
      <c r="B31" s="13">
        <v>4791177.6578580644</v>
      </c>
      <c r="C31" s="13">
        <v>4425036.6527177505</v>
      </c>
      <c r="D31" s="13">
        <v>6477784.9490134809</v>
      </c>
      <c r="E31" s="13">
        <v>7985979.2564654751</v>
      </c>
      <c r="F31" s="13">
        <v>6224921.1297527459</v>
      </c>
      <c r="G31" s="13">
        <v>6331498.1464351332</v>
      </c>
      <c r="H31" s="13">
        <v>5848038.3669145145</v>
      </c>
      <c r="I31" s="13">
        <v>8589739.7061912492</v>
      </c>
      <c r="J31" s="13">
        <v>10750375.3378931</v>
      </c>
      <c r="K31" s="13">
        <v>13404784.632183358</v>
      </c>
      <c r="L31" s="13">
        <v>11141584.170139233</v>
      </c>
      <c r="M31" s="13">
        <v>9405450.2629941721</v>
      </c>
      <c r="N31" s="13">
        <f t="shared" si="3"/>
        <v>95376370.268558279</v>
      </c>
    </row>
    <row r="32" spans="1:15" ht="10.5" x14ac:dyDescent="0.25">
      <c r="A32" s="5" t="s">
        <v>1</v>
      </c>
      <c r="B32" s="12">
        <f t="shared" ref="B32:N32" si="4">SUM(B28:B31)</f>
        <v>143033368.12523916</v>
      </c>
      <c r="C32" s="12">
        <f t="shared" si="4"/>
        <v>145339710.85285583</v>
      </c>
      <c r="D32" s="12">
        <f t="shared" si="4"/>
        <v>206316429.72799563</v>
      </c>
      <c r="E32" s="12">
        <f t="shared" si="4"/>
        <v>260478984.34099838</v>
      </c>
      <c r="F32" s="12">
        <f t="shared" si="4"/>
        <v>209670266.8558808</v>
      </c>
      <c r="G32" s="12">
        <f t="shared" si="4"/>
        <v>209914264.2474553</v>
      </c>
      <c r="H32" s="12">
        <f t="shared" si="4"/>
        <v>180373213.98589036</v>
      </c>
      <c r="I32" s="12">
        <f t="shared" si="4"/>
        <v>217989409.98904815</v>
      </c>
      <c r="J32" s="12">
        <f t="shared" si="4"/>
        <v>276274118.77911884</v>
      </c>
      <c r="K32" s="12">
        <f t="shared" si="4"/>
        <v>307704874.65177214</v>
      </c>
      <c r="L32" s="12">
        <f t="shared" si="4"/>
        <v>263612713.83155206</v>
      </c>
      <c r="M32" s="12">
        <f t="shared" si="4"/>
        <v>244778031.9892205</v>
      </c>
      <c r="N32" s="12">
        <f t="shared" si="4"/>
        <v>2665485387.377027</v>
      </c>
    </row>
  </sheetData>
  <printOptions horizontalCentered="1"/>
  <pageMargins left="0.2" right="0.2" top="1" bottom="0.5" header="0.3" footer="0.3"/>
  <pageSetup scale="81" orientation="landscape" r:id="rId1"/>
  <headerFooter>
    <oddHeader>&amp;RCase No. 9888
CCANDR01-04-Attachment 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8939ED80A026468245C02504AA48FF" ma:contentTypeVersion="10" ma:contentTypeDescription="Create a new document." ma:contentTypeScope="" ma:versionID="9f3bf4ea160bcceb2631c1dca102e8eb">
  <xsd:schema xmlns:xsd="http://www.w3.org/2001/XMLSchema" xmlns:xs="http://www.w3.org/2001/XMLSchema" xmlns:p="http://schemas.microsoft.com/office/2006/metadata/properties" xmlns:ns1="http://schemas.microsoft.com/sharepoint/v3" xmlns:ns2="1a0bc5d6-a27a-434e-beb8-d316684a55de" xmlns:ns3="21bc7675-a0a8-4c75-9ba6-c844c00b232c" targetNamespace="http://schemas.microsoft.com/office/2006/metadata/properties" ma:root="true" ma:fieldsID="a446f2f352d9c320fc621117857c7fb5" ns1:_="" ns2:_="" ns3:_="">
    <xsd:import namespace="http://schemas.microsoft.com/sharepoint/v3"/>
    <xsd:import namespace="1a0bc5d6-a27a-434e-beb8-d316684a55de"/>
    <xsd:import namespace="21bc7675-a0a8-4c75-9ba6-c844c00b23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bc5d6-a27a-434e-beb8-d316684a55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c7675-a0a8-4c75-9ba6-c844c00b2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B3E3F-9AD9-45B3-8013-2BB31D26F3D6}"/>
</file>

<file path=customXml/itemProps2.xml><?xml version="1.0" encoding="utf-8"?>
<ds:datastoreItem xmlns:ds="http://schemas.openxmlformats.org/officeDocument/2006/customXml" ds:itemID="{3A67BAE2-B203-4335-A4B7-77AFA498C158}">
  <ds:schemaRefs>
    <ds:schemaRef ds:uri="http://schemas.microsoft.com/office/2006/documentManagement/types"/>
    <ds:schemaRef ds:uri="http://purl.org/dc/terms/"/>
    <ds:schemaRef ds:uri="http://purl.org/dc/elements/1.1/"/>
    <ds:schemaRef ds:uri="3a6ed07f-74d3-4d6b-b2d6-faf8761c8676"/>
    <ds:schemaRef ds:uri="http://schemas.microsoft.com/office/2006/metadata/properties"/>
    <ds:schemaRef ds:uri="8b86ae58-4ff9-4300-8876-bb89783e485c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C53905F-9B98-4E26-A9F7-5111FB862646"/>
    <ds:schemaRef ds:uri="c85253b9-0a55-49a1-98ad-b5b6252d707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0F067A-BD93-4F48-BE18-7C031155C9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CCANDR01-04 Attachment 1</vt:lpstr>
      <vt:lpstr>'CCANDR01-04 Attachment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2026-09-04T14:00:57Z</dcterms:created>
  <dcterms:modified xsi:type="dcterms:W3CDTF">2026-09-06T19:30:28Z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b3d1-e05f-4796-9c23-acaf26d588cb_Enabled">
    <vt:lpwstr>true</vt:lpwstr>
  </property>
  <property fmtid="{D5CDD505-2E9C-101B-9397-08002B2CF9AE}" pid="3" name="MSIP_Label_c968b3d1-e05f-4796-9c23-acaf26d588cb_SetDate">
    <vt:lpwstr>2026-09-04T14:01:09Z</vt:lpwstr>
  </property>
  <property fmtid="{D5CDD505-2E9C-101B-9397-08002B2CF9AE}" pid="4" name="MSIP_Label_c968b3d1-e05f-4796-9c23-acaf26d588cb_Method">
    <vt:lpwstr>Standard</vt:lpwstr>
  </property>
  <property fmtid="{D5CDD505-2E9C-101B-9397-08002B2CF9AE}" pid="5" name="MSIP_Label_c968b3d1-e05f-4796-9c23-acaf26d588cb_Name">
    <vt:lpwstr>Company Confidential Information</vt:lpwstr>
  </property>
  <property fmtid="{D5CDD505-2E9C-101B-9397-08002B2CF9AE}" pid="6" name="MSIP_Label_c968b3d1-e05f-4796-9c23-acaf26d588cb_SiteId">
    <vt:lpwstr>600d01fc-055f-49c6-868f-3ecfcc791773</vt:lpwstr>
  </property>
  <property fmtid="{D5CDD505-2E9C-101B-9397-08002B2CF9AE}" pid="7" name="MSIP_Label_c968b3d1-e05f-4796-9c23-acaf26d588cb_ActionId">
    <vt:lpwstr>4d4ac764-7ba2-4ab2-997a-a75c677a0f10</vt:lpwstr>
  </property>
  <property fmtid="{D5CDD505-2E9C-101B-9397-08002B2CF9AE}" pid="8" name="MSIP_Label_c968b3d1-e05f-4796-9c23-acaf26d588cb_ContentBits">
    <vt:lpwstr>0</vt:lpwstr>
  </property>
  <property fmtid="{D5CDD505-2E9C-101B-9397-08002B2CF9AE}" pid="9" name="MSIP_Label_c968b3d1-e05f-4796-9c23-acaf26d588cb_Tag">
    <vt:lpwstr>10, 3, 0, 1</vt:lpwstr>
  </property>
  <property fmtid="{D5CDD505-2E9C-101B-9397-08002B2CF9AE}" pid="10" name="ContentTypeId">
    <vt:lpwstr>0x010100918939ED80A026468245C02504AA48FF</vt:lpwstr>
  </property>
</Properties>
</file>