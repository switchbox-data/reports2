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Q:\P&amp;A\RRR\2021-325 T&amp;D Rate Design to Support State Policies\"/>
    </mc:Choice>
  </mc:AlternateContent>
  <xr:revisionPtr revIDLastSave="0" documentId="13_ncr:1_{6A715FAF-A070-4FF7-917F-812E3C1830F8}" xr6:coauthVersionLast="47" xr6:coauthVersionMax="47" xr10:uidLastSave="{00000000-0000-0000-0000-000000000000}"/>
  <bookViews>
    <workbookView xWindow="-120" yWindow="-120" windowWidth="29040" windowHeight="15720" xr2:uid="{3B548434-EF75-4F17-8F73-5E7A2B362AF2}"/>
  </bookViews>
  <sheets>
    <sheet name="Att 1 Summary" sheetId="1" r:id="rId1"/>
    <sheet name="Att 1 Rate Design p2" sheetId="4" r:id="rId2"/>
    <sheet name="Att 1 Rate Design p3" sheetId="5" r:id="rId3"/>
    <sheet name="Att 1 Rate Design p4" sheetId="6" r:id="rId4"/>
  </sheets>
  <definedNames>
    <definedName name="\0">#REF!</definedName>
    <definedName name="\A" localSheetId="2">#REF!</definedName>
    <definedName name="\A">#REF!</definedName>
    <definedName name="\B" localSheetId="2">#REF!</definedName>
    <definedName name="\B">#REF!</definedName>
    <definedName name="\C">#N/A</definedName>
    <definedName name="\D">#REF!</definedName>
    <definedName name="\E">#REF!</definedName>
    <definedName name="\f">#REF!</definedName>
    <definedName name="\I">#N/A</definedName>
    <definedName name="\J">#REF!</definedName>
    <definedName name="\K">#N/A</definedName>
    <definedName name="\L">#N/A</definedName>
    <definedName name="\M">#N/A</definedName>
    <definedName name="\N">#N/A</definedName>
    <definedName name="\o">#REF!</definedName>
    <definedName name="\P">#REF!</definedName>
    <definedName name="\R">#N/A</definedName>
    <definedName name="\S">#REF!</definedName>
    <definedName name="\T">#REF!</definedName>
    <definedName name="\W">#N/A</definedName>
    <definedName name="\X">#N/A</definedName>
    <definedName name="\Y">#N/A</definedName>
    <definedName name="\Z">#N/A</definedName>
    <definedName name="_________________________________zz1" hidden="1">#REF!</definedName>
    <definedName name="________________________________zz1" hidden="1">#REF!</definedName>
    <definedName name="_______________________________zz1" hidden="1">#REF!</definedName>
    <definedName name="______________________________zz1" hidden="1">#REF!</definedName>
    <definedName name="_____________________________zz1" hidden="1">#REF!</definedName>
    <definedName name="____________________________zz1" hidden="1">#REF!</definedName>
    <definedName name="___________________________zz1" hidden="1">#REF!</definedName>
    <definedName name="__________________________zz1" hidden="1">#REF!</definedName>
    <definedName name="_________________________zz1" hidden="1">#REF!</definedName>
    <definedName name="________________________zz1" hidden="1">#REF!</definedName>
    <definedName name="_______________________zz1" hidden="1">#REF!</definedName>
    <definedName name="______________________zz1" hidden="1">#REF!</definedName>
    <definedName name="_____________________zz1" hidden="1">#REF!</definedName>
    <definedName name="____________________zz1" hidden="1">#REF!</definedName>
    <definedName name="___________________CAP2">#REF!</definedName>
    <definedName name="___________________clp2">#REF!</definedName>
    <definedName name="___________________coc2">#REF!</definedName>
    <definedName name="___________________hpe1">#REF!</definedName>
    <definedName name="___________________hpe2">#REF!</definedName>
    <definedName name="___________________hwp1">#REF!</definedName>
    <definedName name="___________________hwp2">#REF!</definedName>
    <definedName name="___________________zz1" hidden="1">#REF!</definedName>
    <definedName name="__________________CAP2">#REF!</definedName>
    <definedName name="__________________clp2">#REF!</definedName>
    <definedName name="__________________coc2">#REF!</definedName>
    <definedName name="__________________hpe1">#REF!</definedName>
    <definedName name="__________________hpe2">#REF!</definedName>
    <definedName name="__________________hwp1">#REF!</definedName>
    <definedName name="__________________hwp2">#REF!</definedName>
    <definedName name="__________________zz1" hidden="1">#REF!</definedName>
    <definedName name="_________________CAP2">#REF!</definedName>
    <definedName name="_________________clp2">#REF!</definedName>
    <definedName name="_________________coc2">#REF!</definedName>
    <definedName name="_________________hpe1">#REF!</definedName>
    <definedName name="_________________hpe2">#REF!</definedName>
    <definedName name="_________________hwp1">#REF!</definedName>
    <definedName name="_________________hwp2">#REF!</definedName>
    <definedName name="_________________zz1" hidden="1">#REF!</definedName>
    <definedName name="________________CAP2">#REF!</definedName>
    <definedName name="________________clp2">#REF!</definedName>
    <definedName name="________________coc2">#REF!</definedName>
    <definedName name="________________hpe1">#REF!</definedName>
    <definedName name="________________hpe2">#REF!</definedName>
    <definedName name="________________hwp1">#REF!</definedName>
    <definedName name="________________hwp2">#REF!</definedName>
    <definedName name="________________zz1" hidden="1">#REF!</definedName>
    <definedName name="_______________CAP2">#REF!</definedName>
    <definedName name="_______________clp2">#REF!</definedName>
    <definedName name="_______________coc2">#REF!</definedName>
    <definedName name="_______________hpe1">#REF!</definedName>
    <definedName name="_______________hpe2">#REF!</definedName>
    <definedName name="_______________hwp1">#REF!</definedName>
    <definedName name="_______________hwp2">#REF!</definedName>
    <definedName name="_______________zz1" hidden="1">#REF!</definedName>
    <definedName name="______________apr06">#REF!</definedName>
    <definedName name="______________aug06">#REF!</definedName>
    <definedName name="______________CAP2">#REF!</definedName>
    <definedName name="______________clp2">#REF!</definedName>
    <definedName name="______________coc2">#REF!</definedName>
    <definedName name="______________dec06">#REF!</definedName>
    <definedName name="______________Feb06">#REF!</definedName>
    <definedName name="______________Feb07">#REF!</definedName>
    <definedName name="______________hpe1">#REF!</definedName>
    <definedName name="______________hpe2">#REF!</definedName>
    <definedName name="______________hwp1">#REF!</definedName>
    <definedName name="______________hwp2">#REF!</definedName>
    <definedName name="______________Jan06">#REF!</definedName>
    <definedName name="______________Jan07">#REF!</definedName>
    <definedName name="______________jul06">#REF!</definedName>
    <definedName name="______________jun06">#REF!</definedName>
    <definedName name="______________mar06">#REF!</definedName>
    <definedName name="______________mar07">#REF!</definedName>
    <definedName name="______________may06">#REF!</definedName>
    <definedName name="______________nov06">#REF!</definedName>
    <definedName name="______________oct06">#REF!</definedName>
    <definedName name="______________sep06">#REF!</definedName>
    <definedName name="______________zz1" hidden="1">#REF!</definedName>
    <definedName name="_____________apr06">#REF!</definedName>
    <definedName name="_____________aug06">#REF!</definedName>
    <definedName name="_____________CAP2">#REF!</definedName>
    <definedName name="_____________clp2">#REF!</definedName>
    <definedName name="_____________coc2">#REF!</definedName>
    <definedName name="_____________dec06">#REF!</definedName>
    <definedName name="_____________Feb06">#REF!</definedName>
    <definedName name="_____________Feb07">#REF!</definedName>
    <definedName name="_____________hpe1">#REF!</definedName>
    <definedName name="_____________hpe2">#REF!</definedName>
    <definedName name="_____________hwp1">#REF!</definedName>
    <definedName name="_____________hwp2">#REF!</definedName>
    <definedName name="_____________Jan06">#REF!</definedName>
    <definedName name="_____________Jan07">#REF!</definedName>
    <definedName name="_____________jul06">#REF!</definedName>
    <definedName name="_____________jun06">#REF!</definedName>
    <definedName name="_____________mar06">#REF!</definedName>
    <definedName name="_____________mar07">#REF!</definedName>
    <definedName name="_____________may06">#REF!</definedName>
    <definedName name="_____________nov06">#REF!</definedName>
    <definedName name="_____________oct06">#REF!</definedName>
    <definedName name="_____________sep06">#REF!</definedName>
    <definedName name="_____________zz1" hidden="1">#REF!</definedName>
    <definedName name="____________apr06">#REF!</definedName>
    <definedName name="____________aug06">#REF!</definedName>
    <definedName name="____________CAP2">#REF!</definedName>
    <definedName name="____________clp2">#REF!</definedName>
    <definedName name="____________coc2">#REF!</definedName>
    <definedName name="____________dec06">#REF!</definedName>
    <definedName name="____________Feb06">#REF!</definedName>
    <definedName name="____________Feb07">#REF!</definedName>
    <definedName name="____________hpe1">#REF!</definedName>
    <definedName name="____________hpe2">#REF!</definedName>
    <definedName name="____________hwp1">#REF!</definedName>
    <definedName name="____________hwp2">#REF!</definedName>
    <definedName name="____________Jan06">#REF!</definedName>
    <definedName name="____________Jan07">#REF!</definedName>
    <definedName name="____________jul06">#REF!</definedName>
    <definedName name="____________jun06">#REF!</definedName>
    <definedName name="____________mar06">#REF!</definedName>
    <definedName name="____________mar07">#REF!</definedName>
    <definedName name="____________may06">#REF!</definedName>
    <definedName name="____________nov06">#REF!</definedName>
    <definedName name="____________oct06">#REF!</definedName>
    <definedName name="____________sep06">#REF!</definedName>
    <definedName name="____________zz1" hidden="1">#REF!</definedName>
    <definedName name="___________apr06">#REF!</definedName>
    <definedName name="___________aug06">#REF!</definedName>
    <definedName name="___________CAP2">#REF!</definedName>
    <definedName name="___________clp2">#REF!</definedName>
    <definedName name="___________coc2">#REF!</definedName>
    <definedName name="___________dec06">#REF!</definedName>
    <definedName name="___________Feb06">#REF!</definedName>
    <definedName name="___________Feb07">#REF!</definedName>
    <definedName name="___________hpe1">#REF!</definedName>
    <definedName name="___________hpe2">#REF!</definedName>
    <definedName name="___________hwp1">#REF!</definedName>
    <definedName name="___________hwp2">#REF!</definedName>
    <definedName name="___________Jan06">#REF!</definedName>
    <definedName name="___________Jan07">#REF!</definedName>
    <definedName name="___________jul06">#REF!</definedName>
    <definedName name="___________jun06">#REF!</definedName>
    <definedName name="___________mar06">#REF!</definedName>
    <definedName name="___________mar07">#REF!</definedName>
    <definedName name="___________may06">#REF!</definedName>
    <definedName name="___________nov06">#REF!</definedName>
    <definedName name="___________oct06">#REF!</definedName>
    <definedName name="___________old2" localSheetId="2" hidden="1">{#N/A,#N/A,FALSE,"Summary";#N/A,#N/A,FALSE,"Buckets";#N/A,#N/A,FALSE,"Northstar";#N/A,#N/A,FALSE,"Comp"}</definedName>
    <definedName name="___________old2" hidden="1">{#N/A,#N/A,FALSE,"Summary";#N/A,#N/A,FALSE,"Buckets";#N/A,#N/A,FALSE,"Northstar";#N/A,#N/A,FALSE,"Comp"}</definedName>
    <definedName name="___________old3" localSheetId="2" hidden="1">{#N/A,#N/A,FALSE,"Emmes Services";#N/A,#N/A,FALSE,"Emmes Capital";#N/A,#N/A,FALSE,"Emmes &amp; Co"}</definedName>
    <definedName name="___________old3" hidden="1">{#N/A,#N/A,FALSE,"Emmes Services";#N/A,#N/A,FALSE,"Emmes Capital";#N/A,#N/A,FALSE,"Emmes &amp; Co"}</definedName>
    <definedName name="___________old4" localSheetId="2" hidden="1">{#N/A,#N/A,FALSE,"Summary";#N/A,#N/A,FALSE,"Buckets";#N/A,#N/A,FALSE,"Northstar";#N/A,#N/A,FALSE,"Comp"}</definedName>
    <definedName name="___________old4" hidden="1">{#N/A,#N/A,FALSE,"Summary";#N/A,#N/A,FALSE,"Buckets";#N/A,#N/A,FALSE,"Northstar";#N/A,#N/A,FALSE,"Comp"}</definedName>
    <definedName name="___________old5" localSheetId="2" hidden="1">{#N/A,#N/A,FALSE,"Emmes Services";#N/A,#N/A,FALSE,"Emmes Capital";#N/A,#N/A,FALSE,"Emmes &amp; Co"}</definedName>
    <definedName name="___________old5" hidden="1">{#N/A,#N/A,FALSE,"Emmes Services";#N/A,#N/A,FALSE,"Emmes Capital";#N/A,#N/A,FALSE,"Emmes &amp; Co"}</definedName>
    <definedName name="___________old6" localSheetId="2" hidden="1">{#N/A,#N/A,FALSE,"Summary";#N/A,#N/A,FALSE,"Buckets";#N/A,#N/A,FALSE,"Northstar";#N/A,#N/A,FALSE,"Comp"}</definedName>
    <definedName name="___________old6" hidden="1">{#N/A,#N/A,FALSE,"Summary";#N/A,#N/A,FALSE,"Buckets";#N/A,#N/A,FALSE,"Northstar";#N/A,#N/A,FALSE,"Comp"}</definedName>
    <definedName name="___________sep06">#REF!</definedName>
    <definedName name="___________zz1" hidden="1">#REF!</definedName>
    <definedName name="__________apr06">#REF!</definedName>
    <definedName name="__________aug06">#REF!</definedName>
    <definedName name="__________CAP2">#REF!</definedName>
    <definedName name="__________clp2">#REF!</definedName>
    <definedName name="__________coc2">#REF!</definedName>
    <definedName name="__________dec06">#REF!</definedName>
    <definedName name="__________Feb06">#REF!</definedName>
    <definedName name="__________Feb07">#REF!</definedName>
    <definedName name="__________hpe1">#REF!</definedName>
    <definedName name="__________hpe2">#REF!</definedName>
    <definedName name="__________hwp1">#REF!</definedName>
    <definedName name="__________hwp2">#REF!</definedName>
    <definedName name="__________Jan06">#REF!</definedName>
    <definedName name="__________Jan07">#REF!</definedName>
    <definedName name="__________jul06">#REF!</definedName>
    <definedName name="__________jun06">#REF!</definedName>
    <definedName name="__________mar06">#REF!</definedName>
    <definedName name="__________mar07">#REF!</definedName>
    <definedName name="__________may06">#REF!</definedName>
    <definedName name="__________nov06">#REF!</definedName>
    <definedName name="__________oct06">#REF!</definedName>
    <definedName name="__________old2" localSheetId="2" hidden="1">{#N/A,#N/A,FALSE,"Summary";#N/A,#N/A,FALSE,"Buckets";#N/A,#N/A,FALSE,"Northstar";#N/A,#N/A,FALSE,"Comp"}</definedName>
    <definedName name="__________old2" hidden="1">{#N/A,#N/A,FALSE,"Summary";#N/A,#N/A,FALSE,"Buckets";#N/A,#N/A,FALSE,"Northstar";#N/A,#N/A,FALSE,"Comp"}</definedName>
    <definedName name="__________old3" localSheetId="2" hidden="1">{#N/A,#N/A,FALSE,"Emmes Services";#N/A,#N/A,FALSE,"Emmes Capital";#N/A,#N/A,FALSE,"Emmes &amp; Co"}</definedName>
    <definedName name="__________old3" hidden="1">{#N/A,#N/A,FALSE,"Emmes Services";#N/A,#N/A,FALSE,"Emmes Capital";#N/A,#N/A,FALSE,"Emmes &amp; Co"}</definedName>
    <definedName name="__________old4" localSheetId="2" hidden="1">{#N/A,#N/A,FALSE,"Summary";#N/A,#N/A,FALSE,"Buckets";#N/A,#N/A,FALSE,"Northstar";#N/A,#N/A,FALSE,"Comp"}</definedName>
    <definedName name="__________old4" hidden="1">{#N/A,#N/A,FALSE,"Summary";#N/A,#N/A,FALSE,"Buckets";#N/A,#N/A,FALSE,"Northstar";#N/A,#N/A,FALSE,"Comp"}</definedName>
    <definedName name="__________old5" localSheetId="2" hidden="1">{#N/A,#N/A,FALSE,"Emmes Services";#N/A,#N/A,FALSE,"Emmes Capital";#N/A,#N/A,FALSE,"Emmes &amp; Co"}</definedName>
    <definedName name="__________old5" hidden="1">{#N/A,#N/A,FALSE,"Emmes Services";#N/A,#N/A,FALSE,"Emmes Capital";#N/A,#N/A,FALSE,"Emmes &amp; Co"}</definedName>
    <definedName name="__________old6" localSheetId="2" hidden="1">{#N/A,#N/A,FALSE,"Summary";#N/A,#N/A,FALSE,"Buckets";#N/A,#N/A,FALSE,"Northstar";#N/A,#N/A,FALSE,"Comp"}</definedName>
    <definedName name="__________old6" hidden="1">{#N/A,#N/A,FALSE,"Summary";#N/A,#N/A,FALSE,"Buckets";#N/A,#N/A,FALSE,"Northstar";#N/A,#N/A,FALSE,"Comp"}</definedName>
    <definedName name="__________sep06">#REF!</definedName>
    <definedName name="__________zz1" hidden="1">#REF!</definedName>
    <definedName name="_________apr06">#REF!</definedName>
    <definedName name="_________aug06">#REF!</definedName>
    <definedName name="_________CAP2">#REF!</definedName>
    <definedName name="_________clp2">#REF!</definedName>
    <definedName name="_________coc2">#REF!</definedName>
    <definedName name="_________dec06">#REF!</definedName>
    <definedName name="_________Feb06">#REF!</definedName>
    <definedName name="_________Feb07">#REF!</definedName>
    <definedName name="_________hpe1">#REF!</definedName>
    <definedName name="_________hpe2">#REF!</definedName>
    <definedName name="_________hwp1">#REF!</definedName>
    <definedName name="_________hwp2">#REF!</definedName>
    <definedName name="_________Jan06">#REF!</definedName>
    <definedName name="_________Jan07">#REF!</definedName>
    <definedName name="_________jul06">#REF!</definedName>
    <definedName name="_________jun06">#REF!</definedName>
    <definedName name="_________mar06">#REF!</definedName>
    <definedName name="_________mar07">#REF!</definedName>
    <definedName name="_________may06">#REF!</definedName>
    <definedName name="_________nov06">#REF!</definedName>
    <definedName name="_________oct06">#REF!</definedName>
    <definedName name="_________old2" localSheetId="2" hidden="1">{#N/A,#N/A,FALSE,"Summary";#N/A,#N/A,FALSE,"Buckets";#N/A,#N/A,FALSE,"Northstar";#N/A,#N/A,FALSE,"Comp"}</definedName>
    <definedName name="_________old2" hidden="1">{#N/A,#N/A,FALSE,"Summary";#N/A,#N/A,FALSE,"Buckets";#N/A,#N/A,FALSE,"Northstar";#N/A,#N/A,FALSE,"Comp"}</definedName>
    <definedName name="_________old3" localSheetId="2" hidden="1">{#N/A,#N/A,FALSE,"Emmes Services";#N/A,#N/A,FALSE,"Emmes Capital";#N/A,#N/A,FALSE,"Emmes &amp; Co"}</definedName>
    <definedName name="_________old3" hidden="1">{#N/A,#N/A,FALSE,"Emmes Services";#N/A,#N/A,FALSE,"Emmes Capital";#N/A,#N/A,FALSE,"Emmes &amp; Co"}</definedName>
    <definedName name="_________old4" localSheetId="2" hidden="1">{#N/A,#N/A,FALSE,"Summary";#N/A,#N/A,FALSE,"Buckets";#N/A,#N/A,FALSE,"Northstar";#N/A,#N/A,FALSE,"Comp"}</definedName>
    <definedName name="_________old4" hidden="1">{#N/A,#N/A,FALSE,"Summary";#N/A,#N/A,FALSE,"Buckets";#N/A,#N/A,FALSE,"Northstar";#N/A,#N/A,FALSE,"Comp"}</definedName>
    <definedName name="_________old5" localSheetId="2" hidden="1">{#N/A,#N/A,FALSE,"Emmes Services";#N/A,#N/A,FALSE,"Emmes Capital";#N/A,#N/A,FALSE,"Emmes &amp; Co"}</definedName>
    <definedName name="_________old5" hidden="1">{#N/A,#N/A,FALSE,"Emmes Services";#N/A,#N/A,FALSE,"Emmes Capital";#N/A,#N/A,FALSE,"Emmes &amp; Co"}</definedName>
    <definedName name="_________old6" localSheetId="2" hidden="1">{#N/A,#N/A,FALSE,"Summary";#N/A,#N/A,FALSE,"Buckets";#N/A,#N/A,FALSE,"Northstar";#N/A,#N/A,FALSE,"Comp"}</definedName>
    <definedName name="_________old6" hidden="1">{#N/A,#N/A,FALSE,"Summary";#N/A,#N/A,FALSE,"Buckets";#N/A,#N/A,FALSE,"Northstar";#N/A,#N/A,FALSE,"Comp"}</definedName>
    <definedName name="_________sep06">#REF!</definedName>
    <definedName name="_________zz1" hidden="1">#REF!</definedName>
    <definedName name="________apr06">#REF!</definedName>
    <definedName name="________aug06">#REF!</definedName>
    <definedName name="________CAP2">#REF!</definedName>
    <definedName name="________clp2">#REF!</definedName>
    <definedName name="________coc2">#REF!</definedName>
    <definedName name="________dec06">#REF!</definedName>
    <definedName name="________Feb06">#REF!</definedName>
    <definedName name="________Feb07">#REF!</definedName>
    <definedName name="________hpe1">#REF!</definedName>
    <definedName name="________hpe2">#REF!</definedName>
    <definedName name="________hwp1">#REF!</definedName>
    <definedName name="________hwp2">#REF!</definedName>
    <definedName name="________Jan06">#REF!</definedName>
    <definedName name="________Jan07">#REF!</definedName>
    <definedName name="________jul06">#REF!</definedName>
    <definedName name="________jun06">#REF!</definedName>
    <definedName name="________mar06">#REF!</definedName>
    <definedName name="________mar07">#REF!</definedName>
    <definedName name="________may06">#REF!</definedName>
    <definedName name="________nov06">#REF!</definedName>
    <definedName name="________oct06">#REF!</definedName>
    <definedName name="________old2" localSheetId="2" hidden="1">{#N/A,#N/A,FALSE,"Summary";#N/A,#N/A,FALSE,"Buckets";#N/A,#N/A,FALSE,"Northstar";#N/A,#N/A,FALSE,"Comp"}</definedName>
    <definedName name="________old2" hidden="1">{#N/A,#N/A,FALSE,"Summary";#N/A,#N/A,FALSE,"Buckets";#N/A,#N/A,FALSE,"Northstar";#N/A,#N/A,FALSE,"Comp"}</definedName>
    <definedName name="________old3" localSheetId="2" hidden="1">{#N/A,#N/A,FALSE,"Emmes Services";#N/A,#N/A,FALSE,"Emmes Capital";#N/A,#N/A,FALSE,"Emmes &amp; Co"}</definedName>
    <definedName name="________old3" hidden="1">{#N/A,#N/A,FALSE,"Emmes Services";#N/A,#N/A,FALSE,"Emmes Capital";#N/A,#N/A,FALSE,"Emmes &amp; Co"}</definedName>
    <definedName name="________old4" localSheetId="2" hidden="1">{#N/A,#N/A,FALSE,"Summary";#N/A,#N/A,FALSE,"Buckets";#N/A,#N/A,FALSE,"Northstar";#N/A,#N/A,FALSE,"Comp"}</definedName>
    <definedName name="________old4" hidden="1">{#N/A,#N/A,FALSE,"Summary";#N/A,#N/A,FALSE,"Buckets";#N/A,#N/A,FALSE,"Northstar";#N/A,#N/A,FALSE,"Comp"}</definedName>
    <definedName name="________old5" localSheetId="2" hidden="1">{#N/A,#N/A,FALSE,"Emmes Services";#N/A,#N/A,FALSE,"Emmes Capital";#N/A,#N/A,FALSE,"Emmes &amp; Co"}</definedName>
    <definedName name="________old5" hidden="1">{#N/A,#N/A,FALSE,"Emmes Services";#N/A,#N/A,FALSE,"Emmes Capital";#N/A,#N/A,FALSE,"Emmes &amp; Co"}</definedName>
    <definedName name="________old6" localSheetId="2" hidden="1">{#N/A,#N/A,FALSE,"Summary";#N/A,#N/A,FALSE,"Buckets";#N/A,#N/A,FALSE,"Northstar";#N/A,#N/A,FALSE,"Comp"}</definedName>
    <definedName name="________old6" hidden="1">{#N/A,#N/A,FALSE,"Summary";#N/A,#N/A,FALSE,"Buckets";#N/A,#N/A,FALSE,"Northstar";#N/A,#N/A,FALSE,"Comp"}</definedName>
    <definedName name="________sep06">#REF!</definedName>
    <definedName name="________zz1" hidden="1">#REF!</definedName>
    <definedName name="_______apr06">#REF!</definedName>
    <definedName name="_______aug06">#REF!</definedName>
    <definedName name="_______CAP2">#REF!</definedName>
    <definedName name="_______clp2">#REF!</definedName>
    <definedName name="_______coc2">#REF!</definedName>
    <definedName name="_______dec06">#REF!</definedName>
    <definedName name="_______Feb06">#REF!</definedName>
    <definedName name="_______Feb07">#REF!</definedName>
    <definedName name="_______hpe1">#REF!</definedName>
    <definedName name="_______hpe2">#REF!</definedName>
    <definedName name="_______hwp1">#REF!</definedName>
    <definedName name="_______hwp2">#REF!</definedName>
    <definedName name="_______Jan06">#REF!</definedName>
    <definedName name="_______Jan07">#REF!</definedName>
    <definedName name="_______jul06">#REF!</definedName>
    <definedName name="_______jun06">#REF!</definedName>
    <definedName name="_______mar06">#REF!</definedName>
    <definedName name="_______mar07">#REF!</definedName>
    <definedName name="_______may06">#REF!</definedName>
    <definedName name="_______nov06">#REF!</definedName>
    <definedName name="_______oct06">#REF!</definedName>
    <definedName name="_______old2" localSheetId="2" hidden="1">{#N/A,#N/A,FALSE,"Summary";#N/A,#N/A,FALSE,"Buckets";#N/A,#N/A,FALSE,"Northstar";#N/A,#N/A,FALSE,"Comp"}</definedName>
    <definedName name="_______old2" hidden="1">{#N/A,#N/A,FALSE,"Summary";#N/A,#N/A,FALSE,"Buckets";#N/A,#N/A,FALSE,"Northstar";#N/A,#N/A,FALSE,"Comp"}</definedName>
    <definedName name="_______old3" localSheetId="2" hidden="1">{#N/A,#N/A,FALSE,"Emmes Services";#N/A,#N/A,FALSE,"Emmes Capital";#N/A,#N/A,FALSE,"Emmes &amp; Co"}</definedName>
    <definedName name="_______old3" hidden="1">{#N/A,#N/A,FALSE,"Emmes Services";#N/A,#N/A,FALSE,"Emmes Capital";#N/A,#N/A,FALSE,"Emmes &amp; Co"}</definedName>
    <definedName name="_______old4" localSheetId="2" hidden="1">{#N/A,#N/A,FALSE,"Summary";#N/A,#N/A,FALSE,"Buckets";#N/A,#N/A,FALSE,"Northstar";#N/A,#N/A,FALSE,"Comp"}</definedName>
    <definedName name="_______old4" hidden="1">{#N/A,#N/A,FALSE,"Summary";#N/A,#N/A,FALSE,"Buckets";#N/A,#N/A,FALSE,"Northstar";#N/A,#N/A,FALSE,"Comp"}</definedName>
    <definedName name="_______old5" localSheetId="2" hidden="1">{#N/A,#N/A,FALSE,"Emmes Services";#N/A,#N/A,FALSE,"Emmes Capital";#N/A,#N/A,FALSE,"Emmes &amp; Co"}</definedName>
    <definedName name="_______old5" hidden="1">{#N/A,#N/A,FALSE,"Emmes Services";#N/A,#N/A,FALSE,"Emmes Capital";#N/A,#N/A,FALSE,"Emmes &amp; Co"}</definedName>
    <definedName name="_______old6" localSheetId="2" hidden="1">{#N/A,#N/A,FALSE,"Summary";#N/A,#N/A,FALSE,"Buckets";#N/A,#N/A,FALSE,"Northstar";#N/A,#N/A,FALSE,"Comp"}</definedName>
    <definedName name="_______old6" hidden="1">{#N/A,#N/A,FALSE,"Summary";#N/A,#N/A,FALSE,"Buckets";#N/A,#N/A,FALSE,"Northstar";#N/A,#N/A,FALSE,"Comp"}</definedName>
    <definedName name="_______sep06">#REF!</definedName>
    <definedName name="_______zz1" hidden="1">#REF!</definedName>
    <definedName name="______apr06">#REF!</definedName>
    <definedName name="______aug06">#REF!</definedName>
    <definedName name="______CAP2">#REF!</definedName>
    <definedName name="______clp2">#REF!</definedName>
    <definedName name="______coc2">#REF!</definedName>
    <definedName name="______dec06">#REF!</definedName>
    <definedName name="______Feb06">#REF!</definedName>
    <definedName name="______Feb07">#REF!</definedName>
    <definedName name="______hpe1">#REF!</definedName>
    <definedName name="______hpe2">#REF!</definedName>
    <definedName name="______hwp1">#REF!</definedName>
    <definedName name="______hwp2">#REF!</definedName>
    <definedName name="______Jan06">#REF!</definedName>
    <definedName name="______Jan07">#REF!</definedName>
    <definedName name="______jul06">#REF!</definedName>
    <definedName name="______jun06">#REF!</definedName>
    <definedName name="______mar06">#REF!</definedName>
    <definedName name="______mar07">#REF!</definedName>
    <definedName name="______may06">#REF!</definedName>
    <definedName name="______nov06">#REF!</definedName>
    <definedName name="______oct06">#REF!</definedName>
    <definedName name="______old2" localSheetId="2" hidden="1">{#N/A,#N/A,FALSE,"Summary";#N/A,#N/A,FALSE,"Buckets";#N/A,#N/A,FALSE,"Northstar";#N/A,#N/A,FALSE,"Comp"}</definedName>
    <definedName name="______old2" hidden="1">{#N/A,#N/A,FALSE,"Summary";#N/A,#N/A,FALSE,"Buckets";#N/A,#N/A,FALSE,"Northstar";#N/A,#N/A,FALSE,"Comp"}</definedName>
    <definedName name="______old3" localSheetId="2" hidden="1">{#N/A,#N/A,FALSE,"Emmes Services";#N/A,#N/A,FALSE,"Emmes Capital";#N/A,#N/A,FALSE,"Emmes &amp; Co"}</definedName>
    <definedName name="______old3" hidden="1">{#N/A,#N/A,FALSE,"Emmes Services";#N/A,#N/A,FALSE,"Emmes Capital";#N/A,#N/A,FALSE,"Emmes &amp; Co"}</definedName>
    <definedName name="______old4" localSheetId="2" hidden="1">{#N/A,#N/A,FALSE,"Summary";#N/A,#N/A,FALSE,"Buckets";#N/A,#N/A,FALSE,"Northstar";#N/A,#N/A,FALSE,"Comp"}</definedName>
    <definedName name="______old4" hidden="1">{#N/A,#N/A,FALSE,"Summary";#N/A,#N/A,FALSE,"Buckets";#N/A,#N/A,FALSE,"Northstar";#N/A,#N/A,FALSE,"Comp"}</definedName>
    <definedName name="______old5" localSheetId="2" hidden="1">{#N/A,#N/A,FALSE,"Emmes Services";#N/A,#N/A,FALSE,"Emmes Capital";#N/A,#N/A,FALSE,"Emmes &amp; Co"}</definedName>
    <definedName name="______old5" hidden="1">{#N/A,#N/A,FALSE,"Emmes Services";#N/A,#N/A,FALSE,"Emmes Capital";#N/A,#N/A,FALSE,"Emmes &amp; Co"}</definedName>
    <definedName name="______old6" localSheetId="2" hidden="1">{#N/A,#N/A,FALSE,"Summary";#N/A,#N/A,FALSE,"Buckets";#N/A,#N/A,FALSE,"Northstar";#N/A,#N/A,FALSE,"Comp"}</definedName>
    <definedName name="______old6" hidden="1">{#N/A,#N/A,FALSE,"Summary";#N/A,#N/A,FALSE,"Buckets";#N/A,#N/A,FALSE,"Northstar";#N/A,#N/A,FALSE,"Comp"}</definedName>
    <definedName name="______sep06">#REF!</definedName>
    <definedName name="______zz1" hidden="1">#REF!</definedName>
    <definedName name="_____apr06">#REF!</definedName>
    <definedName name="_____aug06">#REF!</definedName>
    <definedName name="_____CAP2">#REF!</definedName>
    <definedName name="_____clp2">#REF!</definedName>
    <definedName name="_____coc2">#REF!</definedName>
    <definedName name="_____dec06">#REF!</definedName>
    <definedName name="_____end1">40008.1499768519</definedName>
    <definedName name="_____Feb06">#REF!</definedName>
    <definedName name="_____Feb07">#REF!</definedName>
    <definedName name="_____hpe1">#REF!</definedName>
    <definedName name="_____hpe2">#REF!</definedName>
    <definedName name="_____hwp1">#REF!</definedName>
    <definedName name="_____hwp2">#REF!</definedName>
    <definedName name="_____Jan06">#REF!</definedName>
    <definedName name="_____Jan07">#REF!</definedName>
    <definedName name="_____jul06">#REF!</definedName>
    <definedName name="_____jun06">#REF!</definedName>
    <definedName name="_____mar06">#REF!</definedName>
    <definedName name="_____mar07">#REF!</definedName>
    <definedName name="_____may06">#REF!</definedName>
    <definedName name="_____nov06">#REF!</definedName>
    <definedName name="_____oct06">#REF!</definedName>
    <definedName name="_____old2" localSheetId="2" hidden="1">{#N/A,#N/A,FALSE,"Summary";#N/A,#N/A,FALSE,"Buckets";#N/A,#N/A,FALSE,"Northstar";#N/A,#N/A,FALSE,"Comp"}</definedName>
    <definedName name="_____old2" hidden="1">{#N/A,#N/A,FALSE,"Summary";#N/A,#N/A,FALSE,"Buckets";#N/A,#N/A,FALSE,"Northstar";#N/A,#N/A,FALSE,"Comp"}</definedName>
    <definedName name="_____old3" localSheetId="2" hidden="1">{#N/A,#N/A,FALSE,"Emmes Services";#N/A,#N/A,FALSE,"Emmes Capital";#N/A,#N/A,FALSE,"Emmes &amp; Co"}</definedName>
    <definedName name="_____old3" hidden="1">{#N/A,#N/A,FALSE,"Emmes Services";#N/A,#N/A,FALSE,"Emmes Capital";#N/A,#N/A,FALSE,"Emmes &amp; Co"}</definedName>
    <definedName name="_____old4" localSheetId="2" hidden="1">{#N/A,#N/A,FALSE,"Summary";#N/A,#N/A,FALSE,"Buckets";#N/A,#N/A,FALSE,"Northstar";#N/A,#N/A,FALSE,"Comp"}</definedName>
    <definedName name="_____old4" hidden="1">{#N/A,#N/A,FALSE,"Summary";#N/A,#N/A,FALSE,"Buckets";#N/A,#N/A,FALSE,"Northstar";#N/A,#N/A,FALSE,"Comp"}</definedName>
    <definedName name="_____old5" localSheetId="2" hidden="1">{#N/A,#N/A,FALSE,"Emmes Services";#N/A,#N/A,FALSE,"Emmes Capital";#N/A,#N/A,FALSE,"Emmes &amp; Co"}</definedName>
    <definedName name="_____old5" hidden="1">{#N/A,#N/A,FALSE,"Emmes Services";#N/A,#N/A,FALSE,"Emmes Capital";#N/A,#N/A,FALSE,"Emmes &amp; Co"}</definedName>
    <definedName name="_____old6" localSheetId="2" hidden="1">{#N/A,#N/A,FALSE,"Summary";#N/A,#N/A,FALSE,"Buckets";#N/A,#N/A,FALSE,"Northstar";#N/A,#N/A,FALSE,"Comp"}</definedName>
    <definedName name="_____old6" hidden="1">{#N/A,#N/A,FALSE,"Summary";#N/A,#N/A,FALSE,"Buckets";#N/A,#N/A,FALSE,"Northstar";#N/A,#N/A,FALSE,"Comp"}</definedName>
    <definedName name="_____pr1103" localSheetId="2" hidden="1">{"page1",#N/A,FALSE,"The Sheet!!";"page2",#N/A,FALSE,"The Sheet!!"}</definedName>
    <definedName name="_____pr1103" hidden="1">{"page1",#N/A,FALSE,"The Sheet!!";"page2",#N/A,FALSE,"The Sheet!!"}</definedName>
    <definedName name="_____sep06">#REF!</definedName>
    <definedName name="_____zz1" hidden="1">#REF!</definedName>
    <definedName name="____apr06">#REF!</definedName>
    <definedName name="____aug06">#REF!</definedName>
    <definedName name="____CAP2">#REF!</definedName>
    <definedName name="____clp2">#REF!</definedName>
    <definedName name="____coc2">#REF!</definedName>
    <definedName name="____dec06">#REF!</definedName>
    <definedName name="____end1">40008.1499768519</definedName>
    <definedName name="____Feb06">#REF!</definedName>
    <definedName name="____Feb07">#REF!</definedName>
    <definedName name="____hpe1">#REF!</definedName>
    <definedName name="____hpe2">#REF!</definedName>
    <definedName name="____hwp1">#REF!</definedName>
    <definedName name="____hwp2">#REF!</definedName>
    <definedName name="____Jan06">#REF!</definedName>
    <definedName name="____Jan07">#REF!</definedName>
    <definedName name="____jul06">#REF!</definedName>
    <definedName name="____jun06">#REF!</definedName>
    <definedName name="____mar06">#REF!</definedName>
    <definedName name="____mar07">#REF!</definedName>
    <definedName name="____may06">#REF!</definedName>
    <definedName name="____nov06">#REF!</definedName>
    <definedName name="____oct06">#REF!</definedName>
    <definedName name="____old2" localSheetId="2" hidden="1">{#N/A,#N/A,FALSE,"Summary";#N/A,#N/A,FALSE,"Buckets";#N/A,#N/A,FALSE,"Northstar";#N/A,#N/A,FALSE,"Comp"}</definedName>
    <definedName name="____old2" hidden="1">{#N/A,#N/A,FALSE,"Summary";#N/A,#N/A,FALSE,"Buckets";#N/A,#N/A,FALSE,"Northstar";#N/A,#N/A,FALSE,"Comp"}</definedName>
    <definedName name="____old3" localSheetId="2" hidden="1">{#N/A,#N/A,FALSE,"Emmes Services";#N/A,#N/A,FALSE,"Emmes Capital";#N/A,#N/A,FALSE,"Emmes &amp; Co"}</definedName>
    <definedName name="____old3" hidden="1">{#N/A,#N/A,FALSE,"Emmes Services";#N/A,#N/A,FALSE,"Emmes Capital";#N/A,#N/A,FALSE,"Emmes &amp; Co"}</definedName>
    <definedName name="____old4" localSheetId="2" hidden="1">{#N/A,#N/A,FALSE,"Summary";#N/A,#N/A,FALSE,"Buckets";#N/A,#N/A,FALSE,"Northstar";#N/A,#N/A,FALSE,"Comp"}</definedName>
    <definedName name="____old4" hidden="1">{#N/A,#N/A,FALSE,"Summary";#N/A,#N/A,FALSE,"Buckets";#N/A,#N/A,FALSE,"Northstar";#N/A,#N/A,FALSE,"Comp"}</definedName>
    <definedName name="____old5" localSheetId="2" hidden="1">{#N/A,#N/A,FALSE,"Emmes Services";#N/A,#N/A,FALSE,"Emmes Capital";#N/A,#N/A,FALSE,"Emmes &amp; Co"}</definedName>
    <definedName name="____old5" hidden="1">{#N/A,#N/A,FALSE,"Emmes Services";#N/A,#N/A,FALSE,"Emmes Capital";#N/A,#N/A,FALSE,"Emmes &amp; Co"}</definedName>
    <definedName name="____old6" localSheetId="2" hidden="1">{#N/A,#N/A,FALSE,"Summary";#N/A,#N/A,FALSE,"Buckets";#N/A,#N/A,FALSE,"Northstar";#N/A,#N/A,FALSE,"Comp"}</definedName>
    <definedName name="____old6" hidden="1">{#N/A,#N/A,FALSE,"Summary";#N/A,#N/A,FALSE,"Buckets";#N/A,#N/A,FALSE,"Northstar";#N/A,#N/A,FALSE,"Comp"}</definedName>
    <definedName name="____pr1103" localSheetId="2" hidden="1">{"page1",#N/A,FALSE,"The Sheet!!";"page2",#N/A,FALSE,"The Sheet!!"}</definedName>
    <definedName name="____pr1103" hidden="1">{"page1",#N/A,FALSE,"The Sheet!!";"page2",#N/A,FALSE,"The Sheet!!"}</definedName>
    <definedName name="____sep06">#REF!</definedName>
    <definedName name="____zz1" hidden="1">#REF!</definedName>
    <definedName name="___apr06">#REF!</definedName>
    <definedName name="___aug06">#REF!</definedName>
    <definedName name="___CAP2">#REF!</definedName>
    <definedName name="___clp2">#REF!</definedName>
    <definedName name="___coc2">#REF!</definedName>
    <definedName name="___DAT1">#REF!</definedName>
    <definedName name="___DAT10">#REF!</definedName>
    <definedName name="___DAT11">#REF!</definedName>
    <definedName name="___DAT2">#REF!</definedName>
    <definedName name="___DAT4">#REF!</definedName>
    <definedName name="___DAT5">#REF!</definedName>
    <definedName name="___DAT7">#REF!</definedName>
    <definedName name="___DAT8">#REF!</definedName>
    <definedName name="___DAT9">#REF!</definedName>
    <definedName name="___dec06">#REF!</definedName>
    <definedName name="___end1">40008.1499768519</definedName>
    <definedName name="___Feb06">#REF!</definedName>
    <definedName name="___Feb07">#REF!</definedName>
    <definedName name="___hpe1">#REF!</definedName>
    <definedName name="___hpe2">#REF!</definedName>
    <definedName name="___hwp1">#REF!</definedName>
    <definedName name="___hwp2">#REF!</definedName>
    <definedName name="___INDEX_SHEET___ASAP_Utilities">#N/A</definedName>
    <definedName name="___Jan06">#REF!</definedName>
    <definedName name="___Jan07">#REF!</definedName>
    <definedName name="___jul06">#REF!</definedName>
    <definedName name="___jun06">#REF!</definedName>
    <definedName name="___mar06">#REF!</definedName>
    <definedName name="___mar07">#REF!</definedName>
    <definedName name="___may06">#REF!</definedName>
    <definedName name="___nov06">#REF!</definedName>
    <definedName name="___oct06">#REF!</definedName>
    <definedName name="___old2" localSheetId="2" hidden="1">{#N/A,#N/A,FALSE,"Summary";#N/A,#N/A,FALSE,"Buckets";#N/A,#N/A,FALSE,"Northstar";#N/A,#N/A,FALSE,"Comp"}</definedName>
    <definedName name="___old2" hidden="1">{#N/A,#N/A,FALSE,"Summary";#N/A,#N/A,FALSE,"Buckets";#N/A,#N/A,FALSE,"Northstar";#N/A,#N/A,FALSE,"Comp"}</definedName>
    <definedName name="___old3" localSheetId="2" hidden="1">{#N/A,#N/A,FALSE,"Emmes Services";#N/A,#N/A,FALSE,"Emmes Capital";#N/A,#N/A,FALSE,"Emmes &amp; Co"}</definedName>
    <definedName name="___old3" hidden="1">{#N/A,#N/A,FALSE,"Emmes Services";#N/A,#N/A,FALSE,"Emmes Capital";#N/A,#N/A,FALSE,"Emmes &amp; Co"}</definedName>
    <definedName name="___old4" localSheetId="2" hidden="1">{#N/A,#N/A,FALSE,"Summary";#N/A,#N/A,FALSE,"Buckets";#N/A,#N/A,FALSE,"Northstar";#N/A,#N/A,FALSE,"Comp"}</definedName>
    <definedName name="___old4" hidden="1">{#N/A,#N/A,FALSE,"Summary";#N/A,#N/A,FALSE,"Buckets";#N/A,#N/A,FALSE,"Northstar";#N/A,#N/A,FALSE,"Comp"}</definedName>
    <definedName name="___old5" localSheetId="2" hidden="1">{#N/A,#N/A,FALSE,"Emmes Services";#N/A,#N/A,FALSE,"Emmes Capital";#N/A,#N/A,FALSE,"Emmes &amp; Co"}</definedName>
    <definedName name="___old5" hidden="1">{#N/A,#N/A,FALSE,"Emmes Services";#N/A,#N/A,FALSE,"Emmes Capital";#N/A,#N/A,FALSE,"Emmes &amp; Co"}</definedName>
    <definedName name="___old6" localSheetId="2" hidden="1">{#N/A,#N/A,FALSE,"Summary";#N/A,#N/A,FALSE,"Buckets";#N/A,#N/A,FALSE,"Northstar";#N/A,#N/A,FALSE,"Comp"}</definedName>
    <definedName name="___old6" hidden="1">{#N/A,#N/A,FALSE,"Summary";#N/A,#N/A,FALSE,"Buckets";#N/A,#N/A,FALSE,"Northstar";#N/A,#N/A,FALSE,"Comp"}</definedName>
    <definedName name="___pr1103" localSheetId="2" hidden="1">{"page1",#N/A,FALSE,"The Sheet!!";"page2",#N/A,FALSE,"The Sheet!!"}</definedName>
    <definedName name="___pr1103" hidden="1">{"page1",#N/A,FALSE,"The Sheet!!";"page2",#N/A,FALSE,"The Sheet!!"}</definedName>
    <definedName name="___sep06">#REF!</definedName>
    <definedName name="___thinkcell0yiY.KZh9UGHKXu_ALs4.g" hidden="1">#REF!</definedName>
    <definedName name="___thinkcellGXdeNDllXEqzynVyu6jM9A" hidden="1">#REF!</definedName>
    <definedName name="___thinkcellqBKYna5NmUerUR9llwfFRw" hidden="1">#REF!</definedName>
    <definedName name="___xlfn.BAHTTEXT" hidden="1">#NAME?</definedName>
    <definedName name="___zz1" hidden="1">#REF!</definedName>
    <definedName name="__123Graph_A" localSheetId="2" hidden="1">#REF!</definedName>
    <definedName name="__123Graph_A" hidden="1">#REF!</definedName>
    <definedName name="__123Graph_A90412MTH" hidden="1">#REF!</definedName>
    <definedName name="__123Graph_A9041MTH" hidden="1">#REF!</definedName>
    <definedName name="__123Graph_A9041MTHYTD" hidden="1">#REF!</definedName>
    <definedName name="__123Graph_A904YTD" hidden="1">#REF!</definedName>
    <definedName name="__123Graph_ADFIR_MNTH" hidden="1">#REF!</definedName>
    <definedName name="__123Graph_ADFIR_YTD" hidden="1">#REF!</definedName>
    <definedName name="__123Graph_ARWD_MNTH" hidden="1">#REF!</definedName>
    <definedName name="__123Graph_ARWD_YTD" hidden="1">#REF!</definedName>
    <definedName name="__123Graph_B" localSheetId="2" hidden="1">#REF!</definedName>
    <definedName name="__123Graph_B" hidden="1">#REF!</definedName>
    <definedName name="__123Graph_BDFIR_MNTH" hidden="1">#REF!</definedName>
    <definedName name="__123Graph_BDFIR_YTD" hidden="1">#REF!</definedName>
    <definedName name="__123Graph_BRWD_MNTH" hidden="1">#REF!</definedName>
    <definedName name="__123Graph_BRWD_YTD" hidden="1">#REF!</definedName>
    <definedName name="__123Graph_C" localSheetId="2" hidden="1">#REF!</definedName>
    <definedName name="__123Graph_C" hidden="1">#REF!</definedName>
    <definedName name="__123Graph_D" localSheetId="2" hidden="1">#REF!</definedName>
    <definedName name="__123Graph_D" hidden="1">#REF!</definedName>
    <definedName name="__123Graph_E" localSheetId="2" hidden="1">#REF!</definedName>
    <definedName name="__123Graph_E" hidden="1">#REF!</definedName>
    <definedName name="__123Graph_F" localSheetId="2" hidden="1">#REF!</definedName>
    <definedName name="__123Graph_F" hidden="1">#REF!</definedName>
    <definedName name="__123Graph_FGROWTH2" localSheetId="2" hidden="1">#REF!</definedName>
    <definedName name="__123Graph_FGROWTH2" hidden="1">#REF!</definedName>
    <definedName name="__123Graph_X" localSheetId="2" hidden="1">#REF!</definedName>
    <definedName name="__123Graph_X" hidden="1">#REF!</definedName>
    <definedName name="__123Graph_X14412MTH" hidden="1">#REF!</definedName>
    <definedName name="__123Graph_X1441MTH" hidden="1">#REF!</definedName>
    <definedName name="__123Graph_X144YTD" hidden="1">#REF!</definedName>
    <definedName name="__123Graph_X90412MTH" hidden="1">#REF!</definedName>
    <definedName name="__123Graph_X9041MTH" hidden="1">#REF!</definedName>
    <definedName name="__123Graph_X9041MTHYTD" hidden="1">#REF!</definedName>
    <definedName name="__123Graph_X904YTD" hidden="1">#REF!</definedName>
    <definedName name="__2__123Graph_ACHART_1" hidden="1">#REF!</definedName>
    <definedName name="__apr06">#REF!</definedName>
    <definedName name="__aug06">#REF!</definedName>
    <definedName name="__CAP2">#REF!</definedName>
    <definedName name="__clp1">#REF!</definedName>
    <definedName name="__clp2">#REF!</definedName>
    <definedName name="__coc2">#REF!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6">#REF!</definedName>
    <definedName name="__end1">40008.1499768519</definedName>
    <definedName name="__FDS_HYPERLINK_TOGGLE_STATE__" hidden="1">"ON"</definedName>
    <definedName name="__FDS_UNIQUE_RANGE_ID_GENERATOR_COUNTER" hidden="1">1</definedName>
    <definedName name="__FDS_USED_FOR_REUSING_RANGE_IDS_RECYCLE" localSheetId="2" hidden="1">{2005}</definedName>
    <definedName name="__FDS_USED_FOR_REUSING_RANGE_IDS_RECYCLE" hidden="1">{2005}</definedName>
    <definedName name="__Feb06">#REF!</definedName>
    <definedName name="__Feb07">#REF!</definedName>
    <definedName name="__hpe1">#REF!</definedName>
    <definedName name="__hpe2">#REF!</definedName>
    <definedName name="__hwp1">#REF!</definedName>
    <definedName name="__hwp2">#REF!</definedName>
    <definedName name="__IntlFixup">TRUE</definedName>
    <definedName name="__Jan06">#REF!</definedName>
    <definedName name="__Jan07">#REF!</definedName>
    <definedName name="__jul06">#REF!</definedName>
    <definedName name="__jun06">#REF!</definedName>
    <definedName name="__mar06">#REF!</definedName>
    <definedName name="__mar07">#REF!</definedName>
    <definedName name="__may06">#REF!</definedName>
    <definedName name="__nov06">#REF!</definedName>
    <definedName name="__oct06">#REF!</definedName>
    <definedName name="__old2" localSheetId="2" hidden="1">{#N/A,#N/A,FALSE,"Summary";#N/A,#N/A,FALSE,"Buckets";#N/A,#N/A,FALSE,"Northstar";#N/A,#N/A,FALSE,"Comp"}</definedName>
    <definedName name="__old2" hidden="1">{#N/A,#N/A,FALSE,"Summary";#N/A,#N/A,FALSE,"Buckets";#N/A,#N/A,FALSE,"Northstar";#N/A,#N/A,FALSE,"Comp"}</definedName>
    <definedName name="__old3" localSheetId="2" hidden="1">{#N/A,#N/A,FALSE,"Emmes Services";#N/A,#N/A,FALSE,"Emmes Capital";#N/A,#N/A,FALSE,"Emmes &amp; Co"}</definedName>
    <definedName name="__old3" hidden="1">{#N/A,#N/A,FALSE,"Emmes Services";#N/A,#N/A,FALSE,"Emmes Capital";#N/A,#N/A,FALSE,"Emmes &amp; Co"}</definedName>
    <definedName name="__old4" localSheetId="2" hidden="1">{#N/A,#N/A,FALSE,"Summary";#N/A,#N/A,FALSE,"Buckets";#N/A,#N/A,FALSE,"Northstar";#N/A,#N/A,FALSE,"Comp"}</definedName>
    <definedName name="__old4" hidden="1">{#N/A,#N/A,FALSE,"Summary";#N/A,#N/A,FALSE,"Buckets";#N/A,#N/A,FALSE,"Northstar";#N/A,#N/A,FALSE,"Comp"}</definedName>
    <definedName name="__old5" localSheetId="2" hidden="1">{#N/A,#N/A,FALSE,"Emmes Services";#N/A,#N/A,FALSE,"Emmes Capital";#N/A,#N/A,FALSE,"Emmes &amp; Co"}</definedName>
    <definedName name="__old5" hidden="1">{#N/A,#N/A,FALSE,"Emmes Services";#N/A,#N/A,FALSE,"Emmes Capital";#N/A,#N/A,FALSE,"Emmes &amp; Co"}</definedName>
    <definedName name="__old6" localSheetId="2" hidden="1">{#N/A,#N/A,FALSE,"Summary";#N/A,#N/A,FALSE,"Buckets";#N/A,#N/A,FALSE,"Northstar";#N/A,#N/A,FALSE,"Comp"}</definedName>
    <definedName name="__old6" hidden="1">{#N/A,#N/A,FALSE,"Summary";#N/A,#N/A,FALSE,"Buckets";#N/A,#N/A,FALSE,"Northstar";#N/A,#N/A,FALSE,"Comp"}</definedName>
    <definedName name="__sep06">#REF!</definedName>
    <definedName name="__xlfn.BAHTTEXT" hidden="1">#NAME?</definedName>
    <definedName name="__xlfn.SUMIFS" hidden="1">#NAME?</definedName>
    <definedName name="__zz1" hidden="1">#REF!</definedName>
    <definedName name="_1__123Graph_ACHART_1" localSheetId="2" hidden="1">#REF!</definedName>
    <definedName name="_1__123Graph_ACHART_1" hidden="1">#REF!</definedName>
    <definedName name="_1__123Graph_ACHART_17" hidden="1">#REF!</definedName>
    <definedName name="_10" localSheetId="2">#REF!</definedName>
    <definedName name="_10">#REF!</definedName>
    <definedName name="_10__123Graph_BQRE_S_BY_CO." hidden="1">#REF!</definedName>
    <definedName name="_10__123Graph_CCHART_1" localSheetId="2" hidden="1">#REF!</definedName>
    <definedName name="_10__123Graph_CCHART_1" hidden="1">#REF!</definedName>
    <definedName name="_10__123Graph_CCHART_2" localSheetId="2" hidden="1">#REF!</definedName>
    <definedName name="_10__123Graph_CCHART_2" hidden="1">#REF!</definedName>
    <definedName name="_10__123Graph_DCHART_1" hidden="1">#REF!</definedName>
    <definedName name="_10__123Graph_ECHART_2" localSheetId="2" hidden="1">#REF!</definedName>
    <definedName name="_10__123Graph_ECHART_2" hidden="1">#REF!</definedName>
    <definedName name="_11__123Graph_BQRE_S_BY_TYPE" hidden="1">#REF!</definedName>
    <definedName name="_11__123Graph_DCHART_1" localSheetId="2" hidden="1">#REF!</definedName>
    <definedName name="_11__123Graph_DCHART_1" hidden="1">#REF!</definedName>
    <definedName name="_11__123Graph_DCHART_2" hidden="1">#REF!</definedName>
    <definedName name="_11__123Graph_FCHART_2" localSheetId="2" hidden="1">#REF!</definedName>
    <definedName name="_11__123Graph_FCHART_2" hidden="1">#REF!</definedName>
    <definedName name="_11P1" localSheetId="2">#REF!</definedName>
    <definedName name="_11P1">#REF!</definedName>
    <definedName name="_11P2" localSheetId="2">#REF!</definedName>
    <definedName name="_11P2">#REF!</definedName>
    <definedName name="_11P3" localSheetId="2">#REF!</definedName>
    <definedName name="_11P3">#REF!</definedName>
    <definedName name="_12__123Graph_BCHART_1" localSheetId="2" hidden="1">#REF!</definedName>
    <definedName name="_12__123Graph_BCHART_1" hidden="1">#REF!</definedName>
    <definedName name="_12__123Graph_BSENS_COMPARISON" hidden="1">#REF!</definedName>
    <definedName name="_12__123Graph_CCHART_2" localSheetId="2" hidden="1">#REF!</definedName>
    <definedName name="_12__123Graph_CCHART_2" hidden="1">#REF!</definedName>
    <definedName name="_12__123Graph_DCHART_3" hidden="1">#REF!</definedName>
    <definedName name="_12__123Graph_XCHART_1" localSheetId="2" hidden="1">#REF!</definedName>
    <definedName name="_12__123Graph_XCHART_1" hidden="1">#REF!</definedName>
    <definedName name="_12_1_2006">#REF!</definedName>
    <definedName name="_13__123Graph_BSUPPLIES_BY_B_U" hidden="1">#REF!</definedName>
    <definedName name="_13__123Graph_DCHART_4" hidden="1">#REF!</definedName>
    <definedName name="_13__123Graph_XCHART_2" localSheetId="2" hidden="1">#REF!</definedName>
    <definedName name="_13__123Graph_XCHART_2" hidden="1">#REF!</definedName>
    <definedName name="_14__123Graph_ACHART_2" localSheetId="2" hidden="1">#REF!</definedName>
    <definedName name="_14__123Graph_ACHART_2" hidden="1">#REF!</definedName>
    <definedName name="_14__123Graph_BTAX_CREDIT" hidden="1">#REF!</definedName>
    <definedName name="_14__123Graph_DCHART_1" localSheetId="2" hidden="1">#REF!</definedName>
    <definedName name="_14__123Graph_DCHART_1" hidden="1">#REF!</definedName>
    <definedName name="_14__123Graph_DCHART_2" localSheetId="2" hidden="1">#REF!</definedName>
    <definedName name="_14__123Graph_DCHART_2" hidden="1">#REF!</definedName>
    <definedName name="_14__123Graph_DCHART_5" hidden="1">#REF!</definedName>
    <definedName name="_15__123Graph_BWAGES_BY_B_U" hidden="1">#REF!</definedName>
    <definedName name="_15__123Graph_DCHART_6" hidden="1">#REF!</definedName>
    <definedName name="_15__123Graph_ECHART_1" localSheetId="2" hidden="1">#REF!</definedName>
    <definedName name="_15__123Graph_ECHART_1" hidden="1">#REF!</definedName>
    <definedName name="_16__123Graph_CCONTRACT_BY_B_U" hidden="1">#REF!</definedName>
    <definedName name="_16__123Graph_DCHART_2" localSheetId="2" hidden="1">#REF!</definedName>
    <definedName name="_16__123Graph_DCHART_2" hidden="1">#REF!</definedName>
    <definedName name="_16__123Graph_ECHART_2" localSheetId="2" hidden="1">#REF!</definedName>
    <definedName name="_16__123Graph_ECHART_2" hidden="1">#REF!</definedName>
    <definedName name="_16P1" localSheetId="2">#REF!</definedName>
    <definedName name="_16P1">#REF!</definedName>
    <definedName name="_16P2" localSheetId="2">#REF!</definedName>
    <definedName name="_16P2">#REF!</definedName>
    <definedName name="_17__123Graph_BCHART_1" localSheetId="2" hidden="1">#REF!</definedName>
    <definedName name="_17__123Graph_BCHART_1" hidden="1">#REF!</definedName>
    <definedName name="_17__123Graph_CQRE_S_BY_CO." hidden="1">#REF!</definedName>
    <definedName name="_17__123Graph_ECHART_1" hidden="1">#REF!</definedName>
    <definedName name="_17P1" localSheetId="2">#REF!</definedName>
    <definedName name="_17P1">#REF!</definedName>
    <definedName name="_17P2" localSheetId="2">#REF!</definedName>
    <definedName name="_17P2">#REF!</definedName>
    <definedName name="_17P3" localSheetId="2">#REF!</definedName>
    <definedName name="_17P3">#REF!</definedName>
    <definedName name="_17P4">#REF!</definedName>
    <definedName name="_17P5">#REF!</definedName>
    <definedName name="_18__123Graph_BCHART_2" localSheetId="2" hidden="1">#REF!</definedName>
    <definedName name="_18__123Graph_BCHART_2" hidden="1">#REF!</definedName>
    <definedName name="_18__123Graph_CQRE_S_BY_TYPE" hidden="1">#REF!</definedName>
    <definedName name="_18__123Graph_ECHART_1" localSheetId="2" hidden="1">#REF!</definedName>
    <definedName name="_18__123Graph_ECHART_1" hidden="1">#REF!</definedName>
    <definedName name="_18P1" localSheetId="2">#REF!</definedName>
    <definedName name="_18P1">#REF!</definedName>
    <definedName name="_18P2" localSheetId="2">#REF!</definedName>
    <definedName name="_18P2">#REF!</definedName>
    <definedName name="_19" localSheetId="2">#REF!</definedName>
    <definedName name="_19">#REF!</definedName>
    <definedName name="_19__123Graph_CSENS_COMPARISON" hidden="1">#REF!</definedName>
    <definedName name="_19__123Graph_ECHART_2" hidden="1">#REF!</definedName>
    <definedName name="_19__123Graph_FCHART_2" localSheetId="2" hidden="1">#REF!</definedName>
    <definedName name="_19__123Graph_FCHART_2" hidden="1">#REF!</definedName>
    <definedName name="_1P1" localSheetId="2">#REF!</definedName>
    <definedName name="_1P1">#REF!</definedName>
    <definedName name="_1P2" localSheetId="2">#REF!</definedName>
    <definedName name="_1P2">#REF!</definedName>
    <definedName name="_1P3" localSheetId="2">#REF!</definedName>
    <definedName name="_1P3">#REF!</definedName>
    <definedName name="_2__123Graph_ACHART_1" hidden="1">#REF!</definedName>
    <definedName name="_2__123Graph_ACHART_2" localSheetId="2" hidden="1">#REF!</definedName>
    <definedName name="_2__123Graph_ACHART_2" hidden="1">#REF!</definedName>
    <definedName name="_2__123Graph_ACONTRACT_BY_B_U" hidden="1">#REF!</definedName>
    <definedName name="_2__123Graph_BCHART_1" localSheetId="2" hidden="1">#REF!</definedName>
    <definedName name="_2__123Graph_BCHART_1" hidden="1">#REF!</definedName>
    <definedName name="_20" localSheetId="2">#REF!</definedName>
    <definedName name="_20">#REF!</definedName>
    <definedName name="_20__123Graph_CSUPPLIES_BY_B_U" hidden="1">#REF!</definedName>
    <definedName name="_20__123Graph_ECHART_2" localSheetId="2" hidden="1">#REF!</definedName>
    <definedName name="_20__123Graph_ECHART_2" hidden="1">#REF!</definedName>
    <definedName name="_20__123Graph_XCHART_1" localSheetId="2" hidden="1">#REF!</definedName>
    <definedName name="_20__123Graph_XCHART_1" hidden="1">#REF!</definedName>
    <definedName name="_2001__FDSAUDITLINK__" localSheetId="2" hidden="1">{"fdsup://directions/FAT%20Viewer?WINDOW=first_popup&amp;DYN_ARGS=TRUE&amp;START_MAXIMIZED=FALSE&amp;TITLEBAR=FactSet Market Aggregates&amp;ACTION=UPDATE&amp;CREATOR=FACTSET&amp;HEIGHT=450&amp;WIDTH=500&amp;DOC_NAME=FAT:FMA_AUDIT_SUMMARY.FAT&amp;VAR:CURRENCY=USD&amp;VAR:AUDIT_ID=INDEX%3APERSONAL%","3ACITI_SMALL_MID_CAP_DEFENSIVES.OFDB&amp;VAR:CALC_MODE=AGGREGATE&amp;VAR:CHGPERIOD=NA&amp;DISPLAY_STRING=audit&amp;VAR:FQLFORMULA=FMA_DIV_YLD&amp;VAR:MEASURE=DIV_YLD&amp;VAR:NULL=.HTML&amp;VAR:PED=1995&amp;VAR:PERIOD=CY&amp;VAR:THRESH=     0.25|  9498.97|Market Capitalization Available| 380","21.05|Market Capitalization|FmaThresholdMcapNA&amp;VAR:PCT=Y&amp;VAR:V=6.320217&amp;VAR:P=1&amp;VAR:DATE=19951130"}</definedName>
    <definedName name="_2001__FDSAUDITLINK__" hidden="1">{"fdsup://directions/FAT%20Viewer?WINDOW=first_popup&amp;DYN_ARGS=TRUE&amp;START_MAXIMIZED=FALSE&amp;TITLEBAR=FactSet Market Aggregates&amp;ACTION=UPDATE&amp;CREATOR=FACTSET&amp;HEIGHT=450&amp;WIDTH=500&amp;DOC_NAME=FAT:FMA_AUDIT_SUMMARY.FAT&amp;VAR:CURRENCY=USD&amp;VAR:AUDIT_ID=INDEX%3APERSONAL%","3ACITI_SMALL_MID_CAP_DEFENSIVES.OFDB&amp;VAR:CALC_MODE=AGGREGATE&amp;VAR:CHGPERIOD=NA&amp;DISPLAY_STRING=audit&amp;VAR:FQLFORMULA=FMA_DIV_YLD&amp;VAR:MEASURE=DIV_YLD&amp;VAR:NULL=.HTML&amp;VAR:PED=1995&amp;VAR:PERIOD=CY&amp;VAR:THRESH=     0.25|  9498.97|Market Capitalization Available| 380","21.05|Market Capitalization|FmaThresholdMcapNA&amp;VAR:PCT=Y&amp;VAR:V=6.320217&amp;VAR:P=1&amp;VAR:DATE=19951130"}</definedName>
    <definedName name="_2002__FDSAUDITLINK__" localSheetId="2" hidden="1">{"fdsup://directions/FAT%20Viewer?WINDOW=first_popup&amp;DYN_ARGS=TRUE&amp;START_MAXIMIZED=FALSE&amp;TITLEBAR=FactSet Market Aggregates&amp;ACTION=UPDATE&amp;CREATOR=FACTSET&amp;HEIGHT=450&amp;WIDTH=500&amp;DOC_NAME=FAT:FMA_AUDIT_SUMMARY.FAT&amp;VAR:CURRENCY=USD&amp;VAR:AUDIT_ID=INDEX%3APERSONAL%","3ACITI_SMALL_MID_CAP_DEFENSIVES.OFDB&amp;VAR:CALC_MODE=AGGREGATE&amp;VAR:CHGPERIOD=NA&amp;DISPLAY_STRING=audit&amp;VAR:FQLFORMULA=FMA_DIV_YLD&amp;VAR:MEASURE=DIV_YLD&amp;VAR:NULL=.HTML&amp;VAR:PED=1995&amp;VAR:PERIOD=CY&amp;VAR:THRESH=     0.25|  9887.51|Market Capitalization Available| 396","04.85|Market Capitalization|FmaThresholdMcapNA&amp;VAR:PCT=Y&amp;VAR:V=6.071855&amp;VAR:P=1&amp;VAR:DATE=19951229"}</definedName>
    <definedName name="_2002__FDSAUDITLINK__" hidden="1">{"fdsup://directions/FAT%20Viewer?WINDOW=first_popup&amp;DYN_ARGS=TRUE&amp;START_MAXIMIZED=FALSE&amp;TITLEBAR=FactSet Market Aggregates&amp;ACTION=UPDATE&amp;CREATOR=FACTSET&amp;HEIGHT=450&amp;WIDTH=500&amp;DOC_NAME=FAT:FMA_AUDIT_SUMMARY.FAT&amp;VAR:CURRENCY=USD&amp;VAR:AUDIT_ID=INDEX%3APERSONAL%","3ACITI_SMALL_MID_CAP_DEFENSIVES.OFDB&amp;VAR:CALC_MODE=AGGREGATE&amp;VAR:CHGPERIOD=NA&amp;DISPLAY_STRING=audit&amp;VAR:FQLFORMULA=FMA_DIV_YLD&amp;VAR:MEASURE=DIV_YLD&amp;VAR:NULL=.HTML&amp;VAR:PED=1995&amp;VAR:PERIOD=CY&amp;VAR:THRESH=     0.25|  9887.51|Market Capitalization Available| 396","04.85|Market Capitalization|FmaThresholdMcapNA&amp;VAR:PCT=Y&amp;VAR:V=6.071855&amp;VAR:P=1&amp;VAR:DATE=19951229"}</definedName>
    <definedName name="_2003__FDSAUDITLINK__" localSheetId="2" hidden="1">{"fdsup://directions/FAT%20Viewer?WINDOW=first_popup&amp;DYN_ARGS=TRUE&amp;START_MAXIMIZED=FALSE&amp;TITLEBAR=FactSet Market Aggregates&amp;ACTION=UPDATE&amp;CREATOR=FACTSET&amp;HEIGHT=450&amp;WIDTH=500&amp;DOC_NAME=FAT:FMA_AUDIT_SUMMARY.FAT&amp;VAR:CURRENCY=USD&amp;VAR:AUDIT_ID=INDEX%3APERSONAL%","3ACITI_SMALL_MID_CAP_DEFENSIVES.OFDB&amp;VAR:CALC_MODE=AGGREGATE&amp;VAR:CHGPERIOD=NA&amp;DISPLAY_STRING=audit&amp;VAR:FQLFORMULA=FMA_DIV_YLD&amp;VAR:MEASURE=DIV_YLD&amp;VAR:NULL=.HTML&amp;VAR:PED=1995&amp;VAR:PERIOD=CY&amp;VAR:THRESH=     0.25|  9996.78|Market Capitalization Available| 400","18.80|Market Capitalization|FmaThresholdMcapNA&amp;VAR:PCT=Y&amp;VAR:V=6.005485&amp;VAR:P=1&amp;VAR:DATE=19960131"}</definedName>
    <definedName name="_2003__FDSAUDITLINK__" hidden="1">{"fdsup://directions/FAT%20Viewer?WINDOW=first_popup&amp;DYN_ARGS=TRUE&amp;START_MAXIMIZED=FALSE&amp;TITLEBAR=FactSet Market Aggregates&amp;ACTION=UPDATE&amp;CREATOR=FACTSET&amp;HEIGHT=450&amp;WIDTH=500&amp;DOC_NAME=FAT:FMA_AUDIT_SUMMARY.FAT&amp;VAR:CURRENCY=USD&amp;VAR:AUDIT_ID=INDEX%3APERSONAL%","3ACITI_SMALL_MID_CAP_DEFENSIVES.OFDB&amp;VAR:CALC_MODE=AGGREGATE&amp;VAR:CHGPERIOD=NA&amp;DISPLAY_STRING=audit&amp;VAR:FQLFORMULA=FMA_DIV_YLD&amp;VAR:MEASURE=DIV_YLD&amp;VAR:NULL=.HTML&amp;VAR:PED=1995&amp;VAR:PERIOD=CY&amp;VAR:THRESH=     0.25|  9996.78|Market Capitalization Available| 400","18.80|Market Capitalization|FmaThresholdMcapNA&amp;VAR:PCT=Y&amp;VAR:V=6.005485&amp;VAR:P=1&amp;VAR:DATE=19960131"}</definedName>
    <definedName name="_2004__FDSAUDITLINK__" localSheetId="2" hidden="1">{"fdsup://directions/FAT%20Viewer?WINDOW=first_popup&amp;DYN_ARGS=TRUE&amp;START_MAXIMIZED=FALSE&amp;TITLEBAR=FactSet Market Aggregates&amp;ACTION=UPDATE&amp;CREATOR=FACTSET&amp;HEIGHT=450&amp;WIDTH=500&amp;DOC_NAME=FAT:FMA_AUDIT_SUMMARY.FAT&amp;VAR:CURRENCY=USD&amp;VAR:AUDIT_ID=INDEX%3APERSONAL%","3ACITI_SMALL_MID_CAP_DEFENSIVES.OFDB&amp;VAR:CALC_MODE=AGGREGATE&amp;VAR:CHGPERIOD=NA&amp;DISPLAY_STRING=audit&amp;VAR:FQLFORMULA=FMA_DIV_YLD&amp;VAR:MEASURE=DIV_YLD&amp;VAR:NULL=.HTML&amp;VAR:PED=1995&amp;VAR:PERIOD=CY&amp;VAR:THRESH=-|-|-|-|-|-&amp;VAR:PCT=Y&amp;VAR:V=6.058270&amp;VAR:P=1&amp;VAR:DATE=19","960229"}</definedName>
    <definedName name="_2004__FDSAUDITLINK__" hidden="1">{"fdsup://directions/FAT%20Viewer?WINDOW=first_popup&amp;DYN_ARGS=TRUE&amp;START_MAXIMIZED=FALSE&amp;TITLEBAR=FactSet Market Aggregates&amp;ACTION=UPDATE&amp;CREATOR=FACTSET&amp;HEIGHT=450&amp;WIDTH=500&amp;DOC_NAME=FAT:FMA_AUDIT_SUMMARY.FAT&amp;VAR:CURRENCY=USD&amp;VAR:AUDIT_ID=INDEX%3APERSONAL%","3ACITI_SMALL_MID_CAP_DEFENSIVES.OFDB&amp;VAR:CALC_MODE=AGGREGATE&amp;VAR:CHGPERIOD=NA&amp;DISPLAY_STRING=audit&amp;VAR:FQLFORMULA=FMA_DIV_YLD&amp;VAR:MEASURE=DIV_YLD&amp;VAR:NULL=.HTML&amp;VAR:PED=1995&amp;VAR:PERIOD=CY&amp;VAR:THRESH=-|-|-|-|-|-&amp;VAR:PCT=Y&amp;VAR:V=6.058270&amp;VAR:P=1&amp;VAR:DATE=19","960229"}</definedName>
    <definedName name="_21">#REF!</definedName>
    <definedName name="_21__123Graph_CCHART_1" localSheetId="2" hidden="1">#REF!</definedName>
    <definedName name="_21__123Graph_CCHART_1" hidden="1">#REF!</definedName>
    <definedName name="_21__123Graph_CWAGES_BY_B_U" hidden="1">#REF!</definedName>
    <definedName name="_21__123Graph_ECHART_3" hidden="1">#REF!</definedName>
    <definedName name="_21__123Graph_XCHART_2" localSheetId="2" hidden="1">#REF!</definedName>
    <definedName name="_21__123Graph_XCHART_2" hidden="1">#REF!</definedName>
    <definedName name="_22" localSheetId="2">#REF!</definedName>
    <definedName name="_22">#REF!</definedName>
    <definedName name="_22__123Graph_DCONTRACT_BY_B_U" hidden="1">#REF!</definedName>
    <definedName name="_22__123Graph_FCHART_2" localSheetId="2" hidden="1">#REF!</definedName>
    <definedName name="_22__123Graph_FCHART_2" hidden="1">#REF!</definedName>
    <definedName name="_23__123Graph_DQRE_S_BY_CO." hidden="1">#REF!</definedName>
    <definedName name="_23__123Graph_ECHART_4" hidden="1">#REF!</definedName>
    <definedName name="_2346__FDSAUDITLINK__" localSheetId="2" hidden="1">{"fdsup://directions/FAT%20Viewer?WINDOW=first_popup&amp;DYN_ARGS=TRUE&amp;START_MAXIMIZED=FALSE&amp;TITLEBAR=FactSet Market Aggregates&amp;ACTION=UPDATE&amp;CREATOR=FACTSET&amp;HEIGHT=450&amp;WIDTH=500&amp;DOC_NAME=FAT:FMA_AUDIT_SUMMARY.FAT&amp;VAR:CURRENCY=USD&amp;VAR:AUDIT_ID=INDEX%3APERSONAL%","3ACITI_SMALL_MID_CAP_DEFENSIVES.OFDB&amp;VAR:CALC_MODE=AGGREGATE&amp;VAR:CHGPERIOD=NA&amp;DISPLAY_STRING=audit&amp;VAR:FQLFORMULA=FMA_DIV_YLD&amp;VAR:MEASURE=DIV_YLD&amp;VAR:NULL=.HTML&amp;VAR:PED=1995&amp;VAR:PERIOD=CY&amp;VAR:THRESH=-|-|-|-|-|-&amp;VAR:PCT=Y&amp;VAR:V=6.196855&amp;VAR:P=1&amp;VAR:DATE=19","951031"}</definedName>
    <definedName name="_2346__FDSAUDITLINK__" hidden="1">{"fdsup://directions/FAT%20Viewer?WINDOW=first_popup&amp;DYN_ARGS=TRUE&amp;START_MAXIMIZED=FALSE&amp;TITLEBAR=FactSet Market Aggregates&amp;ACTION=UPDATE&amp;CREATOR=FACTSET&amp;HEIGHT=450&amp;WIDTH=500&amp;DOC_NAME=FAT:FMA_AUDIT_SUMMARY.FAT&amp;VAR:CURRENCY=USD&amp;VAR:AUDIT_ID=INDEX%3APERSONAL%","3ACITI_SMALL_MID_CAP_DEFENSIVES.OFDB&amp;VAR:CALC_MODE=AGGREGATE&amp;VAR:CHGPERIOD=NA&amp;DISPLAY_STRING=audit&amp;VAR:FQLFORMULA=FMA_DIV_YLD&amp;VAR:MEASURE=DIV_YLD&amp;VAR:NULL=.HTML&amp;VAR:PED=1995&amp;VAR:PERIOD=CY&amp;VAR:THRESH=-|-|-|-|-|-&amp;VAR:PCT=Y&amp;VAR:V=6.196855&amp;VAR:P=1&amp;VAR:DATE=19","951031"}</definedName>
    <definedName name="_2349__FDSAUDITLINK__" localSheetId="2" hidden="1">{"fdsup://directions/FAT%20Viewer?WINDOW=first_popup&amp;DYN_ARGS=TRUE&amp;START_MAXIMIZED=FALSE&amp;TITLEBAR=FactSet Market Aggregates&amp;ACTION=UPDATE&amp;CREATOR=FACTSET&amp;HEIGHT=450&amp;WIDTH=500&amp;DOC_NAME=FAT:FMA_AUDIT_SUMMARY.FAT&amp;VAR:CURRENCY=USD&amp;VAR:AUDIT_ID=INDEX%3APERSONAL%","3ACITI_SMALL_MID_CAP_DEFENSIVES.OFDB&amp;VAR:CALC_MODE=AGGREGATE&amp;VAR:CHGPERIOD=NA&amp;DISPLAY_STRING=audit&amp;VAR:FQLFORMULA=FMA_DIV_YLD&amp;VAR:MEASURE=DIV_YLD&amp;VAR:NULL=.HTML&amp;VAR:PED=1995&amp;VAR:PERIOD=CY&amp;VAR:THRESH=     0.25|  3204.02|Market Capitalization Available| 368","42.56|Market Capitalization|FmaThresholdMcapNA&amp;VAR:PCT=Y&amp;VAR:V=7.220513&amp;VAR:P=1&amp;VAR:DATE=19950929"}</definedName>
    <definedName name="_2349__FDSAUDITLINK__" hidden="1">{"fdsup://directions/FAT%20Viewer?WINDOW=first_popup&amp;DYN_ARGS=TRUE&amp;START_MAXIMIZED=FALSE&amp;TITLEBAR=FactSet Market Aggregates&amp;ACTION=UPDATE&amp;CREATOR=FACTSET&amp;HEIGHT=450&amp;WIDTH=500&amp;DOC_NAME=FAT:FMA_AUDIT_SUMMARY.FAT&amp;VAR:CURRENCY=USD&amp;VAR:AUDIT_ID=INDEX%3APERSONAL%","3ACITI_SMALL_MID_CAP_DEFENSIVES.OFDB&amp;VAR:CALC_MODE=AGGREGATE&amp;VAR:CHGPERIOD=NA&amp;DISPLAY_STRING=audit&amp;VAR:FQLFORMULA=FMA_DIV_YLD&amp;VAR:MEASURE=DIV_YLD&amp;VAR:NULL=.HTML&amp;VAR:PED=1995&amp;VAR:PERIOD=CY&amp;VAR:THRESH=     0.25|  3204.02|Market Capitalization Available| 368","42.56|Market Capitalization|FmaThresholdMcapNA&amp;VAR:PCT=Y&amp;VAR:V=7.220513&amp;VAR:P=1&amp;VAR:DATE=19950929"}</definedName>
    <definedName name="_24__123Graph_CCHART_2" localSheetId="2" hidden="1">#REF!</definedName>
    <definedName name="_24__123Graph_CCHART_2" hidden="1">#REF!</definedName>
    <definedName name="_24__123Graph_DSUPPLIES_BY_B_U" hidden="1">#REF!</definedName>
    <definedName name="_24__123Graph_XCHART_1" localSheetId="2" hidden="1">#REF!</definedName>
    <definedName name="_24__123Graph_XCHART_1" hidden="1">#REF!</definedName>
    <definedName name="_25__123Graph_DWAGES_BY_B_U" hidden="1">#REF!</definedName>
    <definedName name="_25__123Graph_ECHART_5" hidden="1">#REF!</definedName>
    <definedName name="_26__123Graph_ECONTRACT_BY_B_U" hidden="1">#REF!</definedName>
    <definedName name="_26__123Graph_XCHART_2" localSheetId="2" hidden="1">#REF!</definedName>
    <definedName name="_26__123Graph_XCHART_2" hidden="1">#REF!</definedName>
    <definedName name="_27__123Graph_DCHART_1" localSheetId="2" hidden="1">#REF!</definedName>
    <definedName name="_27__123Graph_DCHART_1" hidden="1">#REF!</definedName>
    <definedName name="_27__123Graph_ECHART_6" hidden="1">#REF!</definedName>
    <definedName name="_27__123Graph_EQRE_S_BY_CO." hidden="1">#REF!</definedName>
    <definedName name="_28__123Graph_BCHART_2" localSheetId="2" hidden="1">#REF!</definedName>
    <definedName name="_28__123Graph_BCHART_2" hidden="1">#REF!</definedName>
    <definedName name="_28__123Graph_ESUPPLIES_BY_B_U" hidden="1">#REF!</definedName>
    <definedName name="_29__123Graph_EWAGES_BY_B_U" hidden="1">#REF!</definedName>
    <definedName name="_29__123Graph_FCHART_4" hidden="1">#REF!</definedName>
    <definedName name="_2P1" localSheetId="2">#REF!</definedName>
    <definedName name="_2P1">#REF!</definedName>
    <definedName name="_2P2" localSheetId="2">#REF!</definedName>
    <definedName name="_2P2">#REF!</definedName>
    <definedName name="_3" localSheetId="2">#REF!</definedName>
    <definedName name="_3">#REF!</definedName>
    <definedName name="_3__123Graph_ACHART_1" localSheetId="2" hidden="1">#REF!</definedName>
    <definedName name="_3__123Graph_ACHART_1" hidden="1">#REF!</definedName>
    <definedName name="_3__123Graph_ACHART_17" hidden="1">#REF!</definedName>
    <definedName name="_3__123Graph_ACHART_3" hidden="1">#REF!</definedName>
    <definedName name="_3__123Graph_AQRE_S_BY_CO." hidden="1">#REF!</definedName>
    <definedName name="_3__123Graph_BCHART_1" localSheetId="2" hidden="1">#REF!</definedName>
    <definedName name="_3__123Graph_BCHART_1" hidden="1">#REF!</definedName>
    <definedName name="_3__123Graph_XCHART_1" localSheetId="2" hidden="1">#REF!</definedName>
    <definedName name="_3__123Graph_XCHART_1" hidden="1">#REF!</definedName>
    <definedName name="_30__123Graph_FCONTRACT_BY_B_U" hidden="1">#REF!</definedName>
    <definedName name="_31__123Graph_CCHART_1" localSheetId="2" hidden="1">#REF!</definedName>
    <definedName name="_31__123Graph_CCHART_1" hidden="1">#REF!</definedName>
    <definedName name="_31__123Graph_FCHART_5" hidden="1">#REF!</definedName>
    <definedName name="_31__123Graph_FQRE_S_BY_CO." hidden="1">#REF!</definedName>
    <definedName name="_32__123Graph_FSUPPLIES_BY_B_U" hidden="1">#REF!</definedName>
    <definedName name="_33__123Graph_DCHART_2" localSheetId="2" hidden="1">#REF!</definedName>
    <definedName name="_33__123Graph_DCHART_2" hidden="1">#REF!</definedName>
    <definedName name="_33__123Graph_FCHART_6" hidden="1">#REF!</definedName>
    <definedName name="_33__123Graph_FWAGES_BY_B_U" hidden="1">#REF!</definedName>
    <definedName name="_34__123Graph_CCHART_2" localSheetId="2" hidden="1">#REF!</definedName>
    <definedName name="_34__123Graph_CCHART_2" hidden="1">#REF!</definedName>
    <definedName name="_34__123Graph_XCHART_1" hidden="1">#REF!</definedName>
    <definedName name="_34__123Graph_XCONTRACT_BY_B_U" hidden="1">#REF!</definedName>
    <definedName name="_35__123Graph_XCHART_2" hidden="1">#REF!</definedName>
    <definedName name="_35__123Graph_XQRE_S_BY_CO." hidden="1">#REF!</definedName>
    <definedName name="_36__123Graph_ECHART_1" localSheetId="2" hidden="1">#REF!</definedName>
    <definedName name="_36__123Graph_ECHART_1" hidden="1">#REF!</definedName>
    <definedName name="_36__123Graph_XCHART_3" hidden="1">#REF!</definedName>
    <definedName name="_36__123Graph_XQRE_S_BY_TYPE" hidden="1">#REF!</definedName>
    <definedName name="_37__123Graph_DCHART_1" localSheetId="2" hidden="1">#REF!</definedName>
    <definedName name="_37__123Graph_DCHART_1" hidden="1">#REF!</definedName>
    <definedName name="_37__123Graph_XCHART_4" hidden="1">#REF!</definedName>
    <definedName name="_37__123Graph_XSUPPLIES_BY_B_U" hidden="1">#REF!</definedName>
    <definedName name="_38__123Graph_XCHART_5" hidden="1">#REF!</definedName>
    <definedName name="_38__123Graph_XTAX_CREDIT" hidden="1">#REF!</definedName>
    <definedName name="_39__123Graph_ECHART_2" localSheetId="2" hidden="1">#REF!</definedName>
    <definedName name="_39__123Graph_ECHART_2" hidden="1">#REF!</definedName>
    <definedName name="_39__123Graph_XCHART_6" hidden="1">#REF!</definedName>
    <definedName name="_4" localSheetId="2">#REF!</definedName>
    <definedName name="_4">#REF!</definedName>
    <definedName name="_4__123Graph_ACHART_2" localSheetId="2" hidden="1">#REF!</definedName>
    <definedName name="_4__123Graph_ACHART_2" hidden="1">#REF!</definedName>
    <definedName name="_4__123Graph_AQRE_S_BY_TYPE" hidden="1">#REF!</definedName>
    <definedName name="_4__123Graph_BCHART_2" localSheetId="2" hidden="1">#REF!</definedName>
    <definedName name="_4__123Graph_BCHART_2" hidden="1">#REF!</definedName>
    <definedName name="_45__123Graph_FCHART_2" localSheetId="2" hidden="1">#REF!</definedName>
    <definedName name="_45__123Graph_FCHART_2" hidden="1">#REF!</definedName>
    <definedName name="_48__123Graph_DCHART_2" localSheetId="2" hidden="1">#REF!</definedName>
    <definedName name="_48__123Graph_DCHART_2" hidden="1">#REF!</definedName>
    <definedName name="_48__123Graph_XCHART_1" localSheetId="2" hidden="1">#REF!</definedName>
    <definedName name="_48__123Graph_XCHART_1" hidden="1">#REF!</definedName>
    <definedName name="_5" localSheetId="2">#REF!</definedName>
    <definedName name="_5">#REF!</definedName>
    <definedName name="_5__123Graph_ACHART_1" localSheetId="2" hidden="1">#REF!</definedName>
    <definedName name="_5__123Graph_ACHART_1" hidden="1">#REF!</definedName>
    <definedName name="_5__123Graph_ACHART_17" localSheetId="2" hidden="1">#REF!</definedName>
    <definedName name="_5__123Graph_ACHART_17" hidden="1">#REF!</definedName>
    <definedName name="_5__123Graph_ASENS_COMPARISON" hidden="1">#REF!</definedName>
    <definedName name="_5__123Graph_BCHART_1" localSheetId="2" hidden="1">#REF!</definedName>
    <definedName name="_5__123Graph_BCHART_1" hidden="1">#REF!</definedName>
    <definedName name="_5__123Graph_CCHART_1" localSheetId="2" hidden="1">#REF!</definedName>
    <definedName name="_5__123Graph_CCHART_1" hidden="1">#REF!</definedName>
    <definedName name="_51__123Graph_ECHART_1" localSheetId="2" hidden="1">#REF!</definedName>
    <definedName name="_51__123Graph_ECHART_1" hidden="1">#REF!</definedName>
    <definedName name="_51__123Graph_XCHART_2" localSheetId="2" hidden="1">#REF!</definedName>
    <definedName name="_51__123Graph_XCHART_2" hidden="1">#REF!</definedName>
    <definedName name="_54__123Graph_ECHART_2" localSheetId="2" hidden="1">#REF!</definedName>
    <definedName name="_54__123Graph_ECHART_2" hidden="1">#REF!</definedName>
    <definedName name="_5NvsInstSpec7_ė____̒⍘̒__⍴̒_________耀_____NvsInstSpec8_ė__䅥lC_\Document">","</definedName>
    <definedName name="_6" localSheetId="2">#REF!</definedName>
    <definedName name="_6">#REF!</definedName>
    <definedName name="_6__123Graph_ASUPPLIES_BY_B_U" hidden="1">#REF!</definedName>
    <definedName name="_6__123Graph_BCHART_1" localSheetId="2" hidden="1">#REF!</definedName>
    <definedName name="_6__123Graph_BCHART_1" hidden="1">#REF!</definedName>
    <definedName name="_6__123Graph_CCHART_2" localSheetId="2" hidden="1">#REF!</definedName>
    <definedName name="_6__123Graph_CCHART_2" hidden="1">#REF!</definedName>
    <definedName name="_65__123Graph_FCHART_2" localSheetId="2" hidden="1">#REF!</definedName>
    <definedName name="_65__123Graph_FCHART_2" hidden="1">#REF!</definedName>
    <definedName name="_68__123Graph_XCHART_1" localSheetId="2" hidden="1">#REF!</definedName>
    <definedName name="_68__123Graph_XCHART_1" hidden="1">#REF!</definedName>
    <definedName name="_7" localSheetId="2">#REF!</definedName>
    <definedName name="_7">#REF!</definedName>
    <definedName name="_7__123Graph_ATAX_CREDIT" hidden="1">#REF!</definedName>
    <definedName name="_7__123Graph_BCHART_2" hidden="1">#REF!</definedName>
    <definedName name="_7__123Graph_DCHART_1" localSheetId="2" hidden="1">#REF!</definedName>
    <definedName name="_7__123Graph_DCHART_1" hidden="1">#REF!</definedName>
    <definedName name="_71__123Graph_XCHART_2" localSheetId="2" hidden="1">#REF!</definedName>
    <definedName name="_71__123Graph_XCHART_2" hidden="1">#REF!</definedName>
    <definedName name="_8" localSheetId="2">#REF!</definedName>
    <definedName name="_8">#REF!</definedName>
    <definedName name="_8__123Graph_AWAGES_BY_B_U" hidden="1">#REF!</definedName>
    <definedName name="_8__123Graph_BCHART_2" localSheetId="2" hidden="1">#REF!</definedName>
    <definedName name="_8__123Graph_BCHART_2" hidden="1">#REF!</definedName>
    <definedName name="_8__123Graph_DCHART_2" localSheetId="2" hidden="1">#REF!</definedName>
    <definedName name="_8__123Graph_DCHART_2" hidden="1">#REF!</definedName>
    <definedName name="_9__123Graph_ACHART_2" localSheetId="2" hidden="1">#REF!</definedName>
    <definedName name="_9__123Graph_ACHART_2" hidden="1">#REF!</definedName>
    <definedName name="_9__123Graph_BCHART_3" hidden="1">#REF!</definedName>
    <definedName name="_9__123Graph_BCONTRACT_BY_B_U" hidden="1">#REF!</definedName>
    <definedName name="_9__123Graph_CCHART_1" localSheetId="2" hidden="1">#REF!</definedName>
    <definedName name="_9__123Graph_CCHART_1" hidden="1">#REF!</definedName>
    <definedName name="_9__123Graph_ECHART_1" localSheetId="2" hidden="1">#REF!</definedName>
    <definedName name="_9__123Graph_ECHART_1" hidden="1">#REF!</definedName>
    <definedName name="_9P1" localSheetId="2">#REF!</definedName>
    <definedName name="_9P1">#REF!</definedName>
    <definedName name="_9P2" localSheetId="2">#REF!</definedName>
    <definedName name="_9P2">#REF!</definedName>
    <definedName name="_9P3" localSheetId="2">#REF!</definedName>
    <definedName name="_9P3">#REF!</definedName>
    <definedName name="_9P4">#REF!</definedName>
    <definedName name="_A">#REF!</definedName>
    <definedName name="_aa">#REF!</definedName>
    <definedName name="_AMO_UniqueIdentifier" hidden="1">"'b619b631-6d75-4de9-b80d-1b4358d6e1d5'"</definedName>
    <definedName name="_apr06">#REF!</definedName>
    <definedName name="_asas">#REF!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aug06">#REF!</definedName>
    <definedName name="_BACKLOG" hidden="1">"1, 1, 1, False, 2, True, False, , 0, False, False, 1, 1"</definedName>
    <definedName name="_bdm.098F80E04181402E8958F6A4456D5345.edm" hidden="1">#REF!</definedName>
    <definedName name="_bdm.113274B75BBC4FBAB230E75B9F0507BE.edm" hidden="1">#REF!</definedName>
    <definedName name="_bdm.18A8D99F01ED46E0ACA73C01FC2E48EC.edm" hidden="1">#REF!</definedName>
    <definedName name="_bdm.20C38668C27D45E5942A31FEECC2134E.edm" hidden="1">#REF!</definedName>
    <definedName name="_bdm.2207F620CE6D42929582D025DD809506.edm" localSheetId="2" hidden="1">#REF!</definedName>
    <definedName name="_bdm.2207F620CE6D42929582D025DD809506.edm" hidden="1">#REF!</definedName>
    <definedName name="_bdm.37CAAF96F7A3419A896B30B0707987D6.edm" hidden="1">#REF!</definedName>
    <definedName name="_bdm.402CFD5F0E5B4736A128B3318F50C660.edm" hidden="1">#REF!</definedName>
    <definedName name="_bdm.4C031F6130C04FF59E08FE27811C1E40.edm" hidden="1">#REF!</definedName>
    <definedName name="_bdm.50C643FE2A004F1188F453C954A7ED50.edm" hidden="1">#REF!</definedName>
    <definedName name="_bdm.520F574DCFFF11D6B661000347B6BAD9.edm" hidden="1">#REF!</definedName>
    <definedName name="_bdm.544CDFFC17104BA88AACE01B00334AAA.edm" hidden="1">#REF!</definedName>
    <definedName name="_bdm.601ADB0558134D2F9BFD400897D18E24.edm" hidden="1">#REF!</definedName>
    <definedName name="_bdm.6404D861F575476CA11AC87AF925F5E4.edm" hidden="1">#REF!</definedName>
    <definedName name="_bdm.6B9871C8B6754C2694A8D7B61345F46A.edm" hidden="1">#REF!</definedName>
    <definedName name="_bdm.6C8D5F6F9E764671B83596206616DA59.edm" hidden="1">#REF!</definedName>
    <definedName name="_bdm.729A8CFFA3324ABDA17227DCD15399EB.edm" hidden="1">#REF!</definedName>
    <definedName name="_bdm.912183EBE51643C0BDE9AE03DF4873FE.edm" hidden="1">#REF!</definedName>
    <definedName name="_bdm.932D5CD3062A423FAD353370B1CF6F76.edm" hidden="1">#REF!</definedName>
    <definedName name="_bdm.9EA39FAFF24E41C791FFA7CFF2F72700.edm" hidden="1">#REF!</definedName>
    <definedName name="_bdm.A0041BA321344FC4BFDF768EA8FAE5BA.edm" hidden="1">#REF!</definedName>
    <definedName name="_bdm.A3B74CFC3AEC4334923AD1611F40F135.edm" hidden="1">#REF!</definedName>
    <definedName name="_bdm.A568D860AAA1463080267AEF3D289E80.edm" hidden="1">#REF!</definedName>
    <definedName name="_bdm.A5C39B558B834CE19308F585C997BC09.edm" localSheetId="2" hidden="1">#REF!</definedName>
    <definedName name="_bdm.A5C39B558B834CE19308F585C997BC09.edm" hidden="1">#REF!</definedName>
    <definedName name="_bdm.ACD8D31E4BBF4BC1986EB0588B0127D4.edm" hidden="1">#REF!</definedName>
    <definedName name="_bdm.ACDBA611A3254BECAA049668AB21DC2F.edm" localSheetId="2" hidden="1">#REF!</definedName>
    <definedName name="_bdm.ACDBA611A3254BECAA049668AB21DC2F.edm" hidden="1">#REF!</definedName>
    <definedName name="_bdm.B456759827004A48B53AD900131D4DFA.edm" hidden="1">#REF!</definedName>
    <definedName name="_bdm.BB5257384F354FB0A366E7A3DE83E499.edm" hidden="1">#REF!</definedName>
    <definedName name="_bdm.C4EFE28069F4464AA2E35A4F1FC700A2.edm" hidden="1">#REF!</definedName>
    <definedName name="_bdm.C57F38AD0D474BB0900D57CB3B252F95.edm" localSheetId="2" hidden="1">#REF!</definedName>
    <definedName name="_bdm.C57F38AD0D474BB0900D57CB3B252F95.edm" hidden="1">#REF!</definedName>
    <definedName name="_bdm.C9D4FAB2E1A441B493473DF0F0C3B355.edm" hidden="1">#REF!</definedName>
    <definedName name="_bdm.CEC78E23E7D84255B253927A967BA781.edm" hidden="1">#REF!</definedName>
    <definedName name="_bdm.D4C48A3983EA49B29D5DCADA5EC3D12B.edm" hidden="1">#REF!</definedName>
    <definedName name="_bdm.E2B7A064C70545BDB46BDB87A58DB737.edm" hidden="1">#REF!</definedName>
    <definedName name="_bdm.E992BA4F23BD4BED974F5E947BCD2CBA.edm" hidden="1">#REF!</definedName>
    <definedName name="_bdm.EBD6799B2E80448FBA1CA1E9CE85DE23.edm" hidden="1">#REF!</definedName>
    <definedName name="_bdm.F0AB11A6DBC94FC8993480DD981C81AA.edm" hidden="1">#REF!</definedName>
    <definedName name="_bdm.F3584E8F28C64E908F9B9892F088A96B.edm" hidden="1">#REF!</definedName>
    <definedName name="_bdm.FastTrackBookmark.10_29_2008_6_17_06_PM.edm" hidden="1">#REF!</definedName>
    <definedName name="_bdm.FF9FAFA57A6149768396683D612BADD8.edm" hidden="1">#REF!</definedName>
    <definedName name="_bs1" localSheetId="2" hidden="1">{#N/A,#N/A,FALSE,"BS Compare"}</definedName>
    <definedName name="_bs1" hidden="1">{#N/A,#N/A,FALSE,"BS Compare"}</definedName>
    <definedName name="_c">#REF!</definedName>
    <definedName name="_C93">#N/A</definedName>
    <definedName name="_C94">#N/A</definedName>
    <definedName name="_C95">#N/A</definedName>
    <definedName name="_C96">#N/A</definedName>
    <definedName name="_CAP2">#REF!</definedName>
    <definedName name="_CCR4">#REF!</definedName>
    <definedName name="_CCR5">#REF!</definedName>
    <definedName name="_CCT2">#REF!</definedName>
    <definedName name="_CCT4">#REF!</definedName>
    <definedName name="_clp1">#REF!</definedName>
    <definedName name="_clp2">#REF!</definedName>
    <definedName name="_coc2">#REF!</definedName>
    <definedName name="_COM93">#N/A</definedName>
    <definedName name="_COM94">#N/A</definedName>
    <definedName name="_COM95">#N/A</definedName>
    <definedName name="_COM96">#N/A</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d">#REF!</definedName>
    <definedName name="_dec06">#REF!</definedName>
    <definedName name="_Dist_Values" localSheetId="2" hidden="1">#REF!</definedName>
    <definedName name="_Dist_Values" hidden="1">#REF!</definedName>
    <definedName name="_DL15" localSheetId="2" hidden="1">{"Christian",#N/A,FALSE,"K1 TAX";"evan",#N/A,FALSE,"K1 TAX";"Gail",#N/A,FALSE,"K1 TAX";"Gretchen",#N/A,FALSE,"K1 TAX";"Gun",#N/A,FALSE,"K1 TAX";"master k1",#N/A,FALSE,"K1 TAX";"Michael",#N/A,FALSE,"K1 TAX";"philip",#N/A,FALSE,"K1 TAX";"steve",#N/A,FALSE,"K1 TAX";"Thomas",#N/A,FALSE,"K1 TAX"}</definedName>
    <definedName name="_DL15" hidden="1">{"Christian",#N/A,FALSE,"K1 TAX";"evan",#N/A,FALSE,"K1 TAX";"Gail",#N/A,FALSE,"K1 TAX";"Gretchen",#N/A,FALSE,"K1 TAX";"Gun",#N/A,FALSE,"K1 TAX";"master k1",#N/A,FALSE,"K1 TAX";"Michael",#N/A,FALSE,"K1 TAX";"philip",#N/A,FALSE,"K1 TAX";"steve",#N/A,FALSE,"K1 TAX";"Thomas",#N/A,FALSE,"K1 TAX"}</definedName>
    <definedName name="_DL152" localSheetId="2" hidden="1">{"Christian",#N/A,FALSE,"K1 TAX";"evan",#N/A,FALSE,"K1 TAX";"Gail",#N/A,FALSE,"K1 TAX";"Gretchen",#N/A,FALSE,"K1 TAX";"Gun",#N/A,FALSE,"K1 TAX";"master k1",#N/A,FALSE,"K1 TAX";"Michael",#N/A,FALSE,"K1 TAX";"philip",#N/A,FALSE,"K1 TAX";"steve",#N/A,FALSE,"K1 TAX";"Thomas",#N/A,FALSE,"K1 TAX"}</definedName>
    <definedName name="_DL152" hidden="1">{"Christian",#N/A,FALSE,"K1 TAX";"evan",#N/A,FALSE,"K1 TAX";"Gail",#N/A,FALSE,"K1 TAX";"Gretchen",#N/A,FALSE,"K1 TAX";"Gun",#N/A,FALSE,"K1 TAX";"master k1",#N/A,FALSE,"K1 TAX";"Michael",#N/A,FALSE,"K1 TAX";"philip",#N/A,FALSE,"K1 TAX";"steve",#N/A,FALSE,"K1 TAX";"Thomas",#N/A,FALSE,"K1 TAX"}</definedName>
    <definedName name="_e">#REF!</definedName>
    <definedName name="_E75" localSheetId="2" hidden="1">{"Christian",#N/A,FALSE,"K1 TAX";"evan",#N/A,FALSE,"K1 TAX";"Gail",#N/A,FALSE,"K1 TAX";"Gretchen",#N/A,FALSE,"K1 TAX";"Gun",#N/A,FALSE,"K1 TAX";"master k1",#N/A,FALSE,"K1 TAX";"Michael",#N/A,FALSE,"K1 TAX";"philip",#N/A,FALSE,"K1 TAX";"steve",#N/A,FALSE,"K1 TAX";"Thomas",#N/A,FALSE,"K1 TAX"}</definedName>
    <definedName name="_E75" hidden="1">{"Christian",#N/A,FALSE,"K1 TAX";"evan",#N/A,FALSE,"K1 TAX";"Gail",#N/A,FALSE,"K1 TAX";"Gretchen",#N/A,FALSE,"K1 TAX";"Gun",#N/A,FALSE,"K1 TAX";"master k1",#N/A,FALSE,"K1 TAX";"Michael",#N/A,FALSE,"K1 TAX";"philip",#N/A,FALSE,"K1 TAX";"steve",#N/A,FALSE,"K1 TAX";"Thomas",#N/A,FALSE,"K1 TAX"}</definedName>
    <definedName name="_end1">40008.1499768519</definedName>
    <definedName name="_F">#REF!</definedName>
    <definedName name="_F75" localSheetId="2" hidden="1">{"WagesSum",#N/A,FALSE,"State";"MemberComp",#N/A,FALSE,"MemberComp";"Def&amp;SSSHcomp",#N/A,FALSE,"DefComp";"Apportion (state)",#N/A,FALSE,"State"}</definedName>
    <definedName name="_F75" hidden="1">{"WagesSum",#N/A,FALSE,"State";"MemberComp",#N/A,FALSE,"MemberComp";"Def&amp;SSSHcomp",#N/A,FALSE,"DefComp";"Apportion (state)",#N/A,FALSE,"State"}</definedName>
    <definedName name="_Feb06">#REF!</definedName>
    <definedName name="_Feb07">#REF!</definedName>
    <definedName name="_Fill" hidden="1">#REF!</definedName>
    <definedName name="_Fill_D" localSheetId="2" hidden="1">#REF!</definedName>
    <definedName name="_Fill_D" hidden="1">#REF!</definedName>
    <definedName name="_xlnm._FilterDatabase" hidden="1">#REF!</definedName>
    <definedName name="_ftn1" localSheetId="2">'Att 1 Rate Design p3'!#REF!</definedName>
    <definedName name="_ftnref1" localSheetId="2">'Att 1 Rate Design p3'!#REF!</definedName>
    <definedName name="_G75" localSheetId="2" hidden="1">{"Christian",#N/A,FALSE,"K1 TAX";"evan",#N/A,FALSE,"K1 TAX";"Gail",#N/A,FALSE,"K1 TAX";"Gretchen",#N/A,FALSE,"K1 TAX";"Gun",#N/A,FALSE,"K1 TAX";"master k1",#N/A,FALSE,"K1 TAX";"Michael",#N/A,FALSE,"K1 TAX";"philip",#N/A,FALSE,"K1 TAX";"steve",#N/A,FALSE,"K1 TAX";"Thomas",#N/A,FALSE,"K1 TAX"}</definedName>
    <definedName name="_G75" hidden="1">{"Christian",#N/A,FALSE,"K1 TAX";"evan",#N/A,FALSE,"K1 TAX";"Gail",#N/A,FALSE,"K1 TAX";"Gretchen",#N/A,FALSE,"K1 TAX";"Gun",#N/A,FALSE,"K1 TAX";"master k1",#N/A,FALSE,"K1 TAX";"Michael",#N/A,FALSE,"K1 TAX";"philip",#N/A,FALSE,"K1 TAX";"steve",#N/A,FALSE,"K1 TAX";"Thomas",#N/A,FALSE,"K1 TAX"}</definedName>
    <definedName name="_hpe1">#REF!</definedName>
    <definedName name="_hpe2">#REF!</definedName>
    <definedName name="_hwp1">#REF!</definedName>
    <definedName name="_hwp2">#REF!</definedName>
    <definedName name="_i">#REF!</definedName>
    <definedName name="_IND93">#N/A</definedName>
    <definedName name="_IND94">#N/A</definedName>
    <definedName name="_IND95">#N/A</definedName>
    <definedName name="_IND96">#N/A</definedName>
    <definedName name="_int1">0.07</definedName>
    <definedName name="_int2">0.075</definedName>
    <definedName name="_Jan06">#REF!</definedName>
    <definedName name="_Jan07">#REF!</definedName>
    <definedName name="_Jan09" localSheetId="2" hidden="1">{"YTD-Total",#N/A,FALSE,"Provision"}</definedName>
    <definedName name="_Jan09" hidden="1">{"YTD-Total",#N/A,FALSE,"Provision"}</definedName>
    <definedName name="_jjhjhj">#REF!</definedName>
    <definedName name="_jul06">#REF!</definedName>
    <definedName name="_jun06">#REF!</definedName>
    <definedName name="_Key1" localSheetId="2" hidden="1">#REF!</definedName>
    <definedName name="_Key1" hidden="1">#REF!</definedName>
    <definedName name="_Key1a" localSheetId="2" hidden="1">#REF!</definedName>
    <definedName name="_Key1a" hidden="1">#REF!</definedName>
    <definedName name="_Key2" localSheetId="2" hidden="1">#REF!</definedName>
    <definedName name="_Key2" hidden="1">#REF!</definedName>
    <definedName name="_Key2a" hidden="1">#REF!</definedName>
    <definedName name="_kkk">#REF!</definedName>
    <definedName name="_KKKK">#REF!</definedName>
    <definedName name="_l">#REF!</definedName>
    <definedName name="_M">#REF!</definedName>
    <definedName name="_mar06">#REF!</definedName>
    <definedName name="_mar07">#REF!</definedName>
    <definedName name="_may06">#REF!</definedName>
    <definedName name="_mkmkmkmk">#REF!</definedName>
    <definedName name="_MMM">#REF!</definedName>
    <definedName name="_new4">38539.1181944444</definedName>
    <definedName name="_NNN">#REF!</definedName>
    <definedName name="_nov06">#REF!</definedName>
    <definedName name="_o">#REF!</definedName>
    <definedName name="_oct06">#REF!</definedName>
    <definedName name="_okoko">#REF!</definedName>
    <definedName name="_old2" localSheetId="2" hidden="1">{#N/A,#N/A,FALSE,"Summary";#N/A,#N/A,FALSE,"Buckets";#N/A,#N/A,FALSE,"Northstar";#N/A,#N/A,FALSE,"Comp"}</definedName>
    <definedName name="_old2" hidden="1">{#N/A,#N/A,FALSE,"Summary";#N/A,#N/A,FALSE,"Buckets";#N/A,#N/A,FALSE,"Northstar";#N/A,#N/A,FALSE,"Comp"}</definedName>
    <definedName name="_old3" localSheetId="2" hidden="1">{#N/A,#N/A,FALSE,"Emmes Services";#N/A,#N/A,FALSE,"Emmes Capital";#N/A,#N/A,FALSE,"Emmes &amp; Co"}</definedName>
    <definedName name="_old3" hidden="1">{#N/A,#N/A,FALSE,"Emmes Services";#N/A,#N/A,FALSE,"Emmes Capital";#N/A,#N/A,FALSE,"Emmes &amp; Co"}</definedName>
    <definedName name="_old4" localSheetId="2" hidden="1">{#N/A,#N/A,FALSE,"Summary";#N/A,#N/A,FALSE,"Buckets";#N/A,#N/A,FALSE,"Northstar";#N/A,#N/A,FALSE,"Comp"}</definedName>
    <definedName name="_old4" hidden="1">{#N/A,#N/A,FALSE,"Summary";#N/A,#N/A,FALSE,"Buckets";#N/A,#N/A,FALSE,"Northstar";#N/A,#N/A,FALSE,"Comp"}</definedName>
    <definedName name="_old5" localSheetId="2" hidden="1">{#N/A,#N/A,FALSE,"Emmes Services";#N/A,#N/A,FALSE,"Emmes Capital";#N/A,#N/A,FALSE,"Emmes &amp; Co"}</definedName>
    <definedName name="_old5" hidden="1">{#N/A,#N/A,FALSE,"Emmes Services";#N/A,#N/A,FALSE,"Emmes Capital";#N/A,#N/A,FALSE,"Emmes &amp; Co"}</definedName>
    <definedName name="_old6" localSheetId="2" hidden="1">{#N/A,#N/A,FALSE,"Summary";#N/A,#N/A,FALSE,"Buckets";#N/A,#N/A,FALSE,"Northstar";#N/A,#N/A,FALSE,"Comp"}</definedName>
    <definedName name="_old6" hidden="1">{#N/A,#N/A,FALSE,"Summary";#N/A,#N/A,FALSE,"Buckets";#N/A,#N/A,FALSE,"Northstar";#N/A,#N/A,FALSE,"Comp"}</definedName>
    <definedName name="_ooo">#REF!</definedName>
    <definedName name="_Order1" hidden="1">255</definedName>
    <definedName name="_Order2" hidden="1">255</definedName>
    <definedName name="_p">#REF!</definedName>
    <definedName name="_Parse_In" localSheetId="2" hidden="1">#REF!</definedName>
    <definedName name="_Parse_In" hidden="1">#REF!</definedName>
    <definedName name="_Parse_Out" localSheetId="2" hidden="1">#REF!</definedName>
    <definedName name="_Parse_Out" hidden="1">#REF!</definedName>
    <definedName name="_plplp">#REF!</definedName>
    <definedName name="_plplpl">#REF!,#REF!</definedName>
    <definedName name="_plplplplpl">#REF!</definedName>
    <definedName name="_POIU">#REF!</definedName>
    <definedName name="_pr1103" localSheetId="2" hidden="1">{"page1",#N/A,FALSE,"The Sheet!!";"page2",#N/A,FALSE,"The Sheet!!"}</definedName>
    <definedName name="_pr1103" hidden="1">{"page1",#N/A,FALSE,"The Sheet!!";"page2",#N/A,FALSE,"The Sheet!!"}</definedName>
    <definedName name="_PRT1">#REF!</definedName>
    <definedName name="_pub2" hidden="1">"L10003649.xls"</definedName>
    <definedName name="_q3" hidden="1">#REF!</definedName>
    <definedName name="_R">#N/A</definedName>
    <definedName name="_R1993">#N/A</definedName>
    <definedName name="_R93">#N/A</definedName>
    <definedName name="_R94">#N/A</definedName>
    <definedName name="_R95">#N/A</definedName>
    <definedName name="_R96">#N/A</definedName>
    <definedName name="_Regression_Int" hidden="1">1</definedName>
    <definedName name="_RES93">#N/A</definedName>
    <definedName name="_RES94">#N/A</definedName>
    <definedName name="_RES95">#N/A</definedName>
    <definedName name="_RES96">#N/A</definedName>
    <definedName name="_sep06">#REF!</definedName>
    <definedName name="_Sort" localSheetId="2" hidden="1">#REF!</definedName>
    <definedName name="_Sort" hidden="1">#REF!</definedName>
    <definedName name="_Sort2" localSheetId="2" hidden="1">#REF!</definedName>
    <definedName name="_Sort2" hidden="1">#REF!</definedName>
    <definedName name="_sortz" hidden="1">#REF!</definedName>
    <definedName name="_SRR93">#N/A</definedName>
    <definedName name="_SRR94">#N/A</definedName>
    <definedName name="_SRR95">#N/A</definedName>
    <definedName name="_SRR96">#N/A</definedName>
    <definedName name="_T62" localSheetId="2" hidden="1">{"BookMem",#N/A,FALSE,"BookMemEquity";"TaxMem",#N/A,FALSE,"TaxMemEquity";"EqCalcs",#N/A,FALSE,"EQcalcs";"Distrib",#N/A,FALSE,"Distributions"}</definedName>
    <definedName name="_T62" hidden="1">{"BookMem",#N/A,FALSE,"BookMemEquity";"TaxMem",#N/A,FALSE,"TaxMemEquity";"EqCalcs",#N/A,FALSE,"EQcalcs";"Distrib",#N/A,FALSE,"Distributions"}</definedName>
    <definedName name="_Table1_In1" hidden="1">#REF!</definedName>
    <definedName name="_Table1_Out" localSheetId="2" hidden="1">#REF!</definedName>
    <definedName name="_Table1_Out" hidden="1">#REF!</definedName>
    <definedName name="_Table2_In1" localSheetId="2" hidden="1">#REF!</definedName>
    <definedName name="_Table2_In1" hidden="1">#REF!</definedName>
    <definedName name="_Table2_In2" hidden="1">#REF!</definedName>
    <definedName name="_Table2_Out" hidden="1">#REF!</definedName>
    <definedName name="_zz1" hidden="1">#REF!</definedName>
    <definedName name="a" hidden="1">{"Index",#N/A,FALSE,"Index"}</definedName>
    <definedName name="aa" localSheetId="2" hidden="1">{#N/A,#N/A,FALSE,"Input";#N/A,#N/A,FALSE,"LastYearInput";#N/A,#N/A,FALSE,"NextYearData";#N/A,#N/A,FALSE,"NPPC";#N/A,#N/A,FALSE,"ReconPC";#N/A,#N/A,FALSE,"PSCAmort";#N/A,#N/A,FALSE,"FASBGL";#N/A,#N/A,FALSE,"FAS132";#N/A,#N/A,FALSE,"AML";#N/A,#N/A,FALSE,"FAS35"}</definedName>
    <definedName name="aa" hidden="1">{#N/A,#N/A,FALSE,"Input";#N/A,#N/A,FALSE,"LastYearInput";#N/A,#N/A,FALSE,"NextYearData";#N/A,#N/A,FALSE,"NPPC";#N/A,#N/A,FALSE,"ReconPC";#N/A,#N/A,FALSE,"PSCAmort";#N/A,#N/A,FALSE,"FASBGL";#N/A,#N/A,FALSE,"FAS132";#N/A,#N/A,FALSE,"AML";#N/A,#N/A,FALSE,"FAS35"}</definedName>
    <definedName name="aa.2" localSheetId="2" hidden="1">{#N/A,#N/A,FALSE,"Cashflow Analysis";#N/A,#N/A,FALSE,"Sensitivity Analysis";#N/A,#N/A,FALSE,"PV";#N/A,#N/A,FALSE,"Pro Forma"}</definedName>
    <definedName name="aa.2" hidden="1">{#N/A,#N/A,FALSE,"Cashflow Analysis";#N/A,#N/A,FALSE,"Sensitivity Analysis";#N/A,#N/A,FALSE,"PV";#N/A,#N/A,FALSE,"Pro Forma"}</definedName>
    <definedName name="AAA">#REF!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NeedRiskToolbar" hidden="1">"Yes"</definedName>
    <definedName name="aasadas">39183.4719791667</definedName>
    <definedName name="abc">#REF!</definedName>
    <definedName name="ABS" localSheetId="2" hidden="1">#REF!</definedName>
    <definedName name="ABS" hidden="1">#REF!</definedName>
    <definedName name="AccelCostEstimate_Titles">#REF!</definedName>
    <definedName name="Access_Button" hidden="1">"Loan_Front_End_Input_List"</definedName>
    <definedName name="Access_Button1" hidden="1">"Headcount_Workbook_Schedules_List"</definedName>
    <definedName name="AccessDatabase" hidden="1">"P:\HR\SharonPlummer\Headcount Workbook.mdb"</definedName>
    <definedName name="actfactor">#REF!</definedName>
    <definedName name="Actual____Estimated__TCA_Submittal_Date">#REF!</definedName>
    <definedName name="ad"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fa" localSheetId="2" hidden="1">{"cap_structure",#N/A,FALSE,"Graph-Mkt Cap";"price",#N/A,FALSE,"Graph-Price";"ebit",#N/A,FALSE,"Graph-EBITDA";"ebitda",#N/A,FALSE,"Graph-EBITDA"}</definedName>
    <definedName name="adfa" hidden="1">{"cap_structure",#N/A,FALSE,"Graph-Mkt Cap";"price",#N/A,FALSE,"Graph-Price";"ebit",#N/A,FALSE,"Graph-EBITDA";"ebitda",#N/A,FALSE,"Graph-EBITDA"}</definedName>
    <definedName name="adfadf" hidden="1">#REF!</definedName>
    <definedName name="ADFWAE" localSheetId="2" hidden="1">{"summary1",#N/A,TRUE,"Comps";"summary2",#N/A,TRUE,"Comps";"summary3",#N/A,TRUE,"Comps"}</definedName>
    <definedName name="ADFWAE" hidden="1">{"summary1",#N/A,TRUE,"Comps";"summary2",#N/A,TRUE,"Comps";"summary3",#N/A,TRUE,"Comps"}</definedName>
    <definedName name="adgad"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s" localSheetId="2" hidden="1">{"inputs raw data",#N/A,TRUE,"INPUT"}</definedName>
    <definedName name="ads" hidden="1">{"inputs raw data",#N/A,TRUE,"INPUT"}</definedName>
    <definedName name="ADSFA" localSheetId="2" hidden="1">{"inputs raw data",#N/A,TRUE,"INPUT"}</definedName>
    <definedName name="ADSFA" hidden="1">{"inputs raw data",#N/A,TRUE,"INPUT"}</definedName>
    <definedName name="AEWEW" localSheetId="2" hidden="1">{"inputs raw data",#N/A,TRUE,"INPUT"}</definedName>
    <definedName name="AEWEW" hidden="1">{"inputs raw data",#N/A,TRUE,"INPUT"}</definedName>
    <definedName name="afasdfasdf">39363.6962152778</definedName>
    <definedName name="AFUDC">#REF!</definedName>
    <definedName name="agechart">#REF!</definedName>
    <definedName name="AgeDistFactors">#REF!</definedName>
    <definedName name="AgeDistFactors2">#REF!</definedName>
    <definedName name="AgeDistTable">#REF!</definedName>
    <definedName name="All_Other">#REF!</definedName>
    <definedName name="Alloc">#REF!</definedName>
    <definedName name="alloc1">#REF!</definedName>
    <definedName name="alloc2">#REF!</definedName>
    <definedName name="Allocation" hidden="1">{"Index",#N/A,FALSE,"Index"}</definedName>
    <definedName name="Allocators">#REF!</definedName>
    <definedName name="Allocators2">#REF!</definedName>
    <definedName name="ALT_TRANS_INV">#REF!</definedName>
    <definedName name="AMOUNTS" localSheetId="2">#REF!</definedName>
    <definedName name="AMOUNTS">#REF!</definedName>
    <definedName name="analysis">#REF!</definedName>
    <definedName name="AnnualTrueUpDetails">#REF!</definedName>
    <definedName name="anscount" hidden="1">1</definedName>
    <definedName name="APBO75">#REF!</definedName>
    <definedName name="APR_1ST_QTR_PROJ">#REF!</definedName>
    <definedName name="APR_CURR_PROJ">#REF!</definedName>
    <definedName name="APR_QTLY">#REF!</definedName>
    <definedName name="APRCURMOUNBILL" localSheetId="2">#REF!</definedName>
    <definedName name="APRCURMOUNBILL">#REF!</definedName>
    <definedName name="APRELPCREDITS" localSheetId="2">#REF!</definedName>
    <definedName name="APRELPCREDITS">#REF!</definedName>
    <definedName name="APRELPRECOV" localSheetId="2">#REF!</definedName>
    <definedName name="APRELPRECOV">#REF!</definedName>
    <definedName name="April8.5">#REF!</definedName>
    <definedName name="arew" localSheetId="2" hidden="1">{"cap_structure",#N/A,FALSE,"Graph-Mkt Cap";"price",#N/A,FALSE,"Graph-Price";"ebit",#N/A,FALSE,"Graph-EBITDA";"ebitda",#N/A,FALSE,"Graph-EBITDA"}</definedName>
    <definedName name="arew" hidden="1">{"cap_structure",#N/A,FALSE,"Graph-Mkt Cap";"price",#N/A,FALSE,"Graph-Price";"ebit",#N/A,FALSE,"Graph-EBITDA";"ebitda",#N/A,FALSE,"Graph-EBITDA"}</definedName>
    <definedName name="arg" localSheetId="2" hidden="1">{"inputs raw data",#N/A,TRUE,"INPUT"}</definedName>
    <definedName name="arg" hidden="1">{"inputs raw data",#N/A,TRUE,"INPUT"}</definedName>
    <definedName name="as" localSheetId="2" hidden="1">{"FCB_ALL",#N/A,FALSE,"FCB"}</definedName>
    <definedName name="as" hidden="1">{"FCB_ALL",#N/A,FALSE,"FCB"}</definedName>
    <definedName name="AS2DocOpenMode" hidden="1">"AS2DocumentEdit"</definedName>
    <definedName name="AS2NamedRange">3</definedName>
    <definedName name="AS2ReportLS" hidden="1">1</definedName>
    <definedName name="AS2StaticLS" localSheetId="2" hidden="1">#REF!</definedName>
    <definedName name="AS2StaticLS" hidden="1">#REF!</definedName>
    <definedName name="AS2SyncStepLS" hidden="1">0</definedName>
    <definedName name="AS2TickmarkLS" localSheetId="2" hidden="1">#REF!</definedName>
    <definedName name="AS2TickmarkLS" hidden="1">#REF!</definedName>
    <definedName name="AS2VersionLS" hidden="1">300</definedName>
    <definedName name="ASCUST_C">#REF!</definedName>
    <definedName name="ASCUST_I">#REF!</definedName>
    <definedName name="ASCUST_M">#REF!</definedName>
    <definedName name="ASCUST_R">#REF!</definedName>
    <definedName name="ASCUST_S">#REF!</definedName>
    <definedName name="ASCUST_Y">#REF!</definedName>
    <definedName name="asdas">#REF!</definedName>
    <definedName name="asdasdadad">40975.0845486111</definedName>
    <definedName name="asdf" localSheetId="2" hidden="1">{#N/A,#N/A,FALSE,"CAPREIT"}</definedName>
    <definedName name="asdf" hidden="1">{#N/A,#N/A,FALSE,"CAPREIT"}</definedName>
    <definedName name="asdfas">#REF!</definedName>
    <definedName name="asdfasdfasdfa" localSheetId="2" hidden="1">binary</definedName>
    <definedName name="asdfasdfasdfa" hidden="1">binary</definedName>
    <definedName name="asdfasfsa" localSheetId="2" hidden="1">binary</definedName>
    <definedName name="asdfasfsa" hidden="1">binary</definedName>
    <definedName name="asdfsd" localSheetId="2" hidden="1">binary</definedName>
    <definedName name="asdfsd" hidden="1">binary</definedName>
    <definedName name="asfsaf" localSheetId="2" hidden="1">binary</definedName>
    <definedName name="asfsaf" hidden="1">binary</definedName>
    <definedName name="asfsda">#REF!</definedName>
    <definedName name="asndasda">0.0013425925935735</definedName>
    <definedName name="ASS" localSheetId="2" hidden="1">#REF!</definedName>
    <definedName name="ASS" hidden="1">#REF!</definedName>
    <definedName name="Assumptions" hidden="1">{"Index",#N/A,FALSE,"Index"}</definedName>
    <definedName name="aszda">#REF!</definedName>
    <definedName name="Attach3" localSheetId="2" hidden="1">{"Grant",#N/A,FALSE,"Grant";"GP Developer",#N/A,FALSE,"GP &amp; Dev Loans";"Operating Analysis",#N/A,FALSE,"Operations";"Tax Credit",#N/A,FALSE,"Tax Credits";"Tax Credit Analysis",#N/A,FALSE,"TC Analysis"}</definedName>
    <definedName name="Attach3" hidden="1">{"Grant",#N/A,FALSE,"Grant";"GP Developer",#N/A,FALSE,"GP &amp; Dev Loans";"Operating Analysis",#N/A,FALSE,"Operations";"Tax Credit",#N/A,FALSE,"Tax Credits";"Tax Credit Analysis",#N/A,FALSE,"TC Analysis"}</definedName>
    <definedName name="AttGWNetworkAlloc">#REF!</definedName>
    <definedName name="AttGWPlantAlloc">#REF!</definedName>
    <definedName name="AttGWWageAlloc">#REF!</definedName>
    <definedName name="AUGCURMOUNBILL" localSheetId="2">#REF!</definedName>
    <definedName name="AUGCURMOUNBILL">#REF!</definedName>
    <definedName name="AUGELPCREDITS" localSheetId="2">#REF!</definedName>
    <definedName name="AUGELPCREDITS">#REF!</definedName>
    <definedName name="AUGELPRECOV" localSheetId="2">#REF!</definedName>
    <definedName name="AUGELPRECOV">#REF!</definedName>
    <definedName name="Average_rates">#REF!</definedName>
    <definedName name="awfewfw">"V2003-11-05"</definedName>
    <definedName name="b">#REF!</definedName>
    <definedName name="B52.1" localSheetId="2" hidden="1">{"BookMem",#N/A,FALSE,"BookMemEquity";"TaxMem",#N/A,FALSE,"TaxMemEquity";"EqCalcs",#N/A,FALSE,"EQcalcs";"Distrib",#N/A,FALSE,"Distributions"}</definedName>
    <definedName name="B52.1" hidden="1">{"BookMem",#N/A,FALSE,"BookMemEquity";"TaxMem",#N/A,FALSE,"TaxMemEquity";"EqCalcs",#N/A,FALSE,"EQcalcs";"Distrib",#N/A,FALSE,"Distributions"}</definedName>
    <definedName name="BACKLOG" hidden="1">"1, 1, 1, False, 2, True, False, , 0, False, False, 1, 1"</definedName>
    <definedName name="BACKLOG0" hidden="1">"1, 1, 1, False, 2, True, False, , 0, False, False, 1, 1"</definedName>
    <definedName name="bas">#REF!</definedName>
    <definedName name="BasePreTaxReturn">#REF!</definedName>
    <definedName name="bbbbbb" localSheetId="2" hidden="1">{#N/A,#N/A,FALSE,"Services Summary";#N/A,#N/A,FALSE,"Emmes Summary";#N/A,#N/A,FALSE,"Northstar"}</definedName>
    <definedName name="bbbbbb" hidden="1">{#N/A,#N/A,FALSE,"Services Summary";#N/A,#N/A,FALSE,"Emmes Summary";#N/A,#N/A,FALSE,"Northstar"}</definedName>
    <definedName name="Beauregard">"Check Box 1"</definedName>
    <definedName name="BEN">#REF!</definedName>
    <definedName name="BEx1SBVCTJD9JNNWCDLKN66E1Q6I" hidden="1">#REF!</definedName>
    <definedName name="BEx90N2DKUGS8U7HQKNPXO81IYN8" hidden="1">#REF!</definedName>
    <definedName name="BEx93CRO7US4R7W3OAPCDRAI63FC" hidden="1">#REF!</definedName>
    <definedName name="BExW5C6U4VD11XF96XEN6SR74AEB" hidden="1">#REF!</definedName>
    <definedName name="BExXOZWZMB39RV0B8GJ3GU6RFVGR" hidden="1">#REF!</definedName>
    <definedName name="BG_Del" hidden="1">15</definedName>
    <definedName name="BG_Ins" hidden="1">4</definedName>
    <definedName name="BG_Mod" hidden="1">6</definedName>
    <definedName name="BGYRBAL" localSheetId="2">#REF!</definedName>
    <definedName name="BGYRBAL">#REF!</definedName>
    <definedName name="Bill">#REF!</definedName>
    <definedName name="BILL_ADJ_CUST">#REF!</definedName>
    <definedName name="Bill_Mit_Rate_Binghamton">#REF!</definedName>
    <definedName name="Bill_Mit_Rate_Champlain">#REF!</definedName>
    <definedName name="Bill_Mit_Rate_Combined">#REF!</definedName>
    <definedName name="Bill_Mit_Rate_Elmira">#REF!</definedName>
    <definedName name="Bill_Mit_Rate_Goshen">#REF!</definedName>
    <definedName name="Bill_Mit_Rate_Lockport">#REF!</definedName>
    <definedName name="Bill_Mit_Rate_Owego">#REF!</definedName>
    <definedName name="BILLED_KWH">#REF!</definedName>
    <definedName name="BillingDate">#REF!</definedName>
    <definedName name="BillingHour">#REF!</definedName>
    <definedName name="BillingMonth">#REF!</definedName>
    <definedName name="BillingPeak">#REF!</definedName>
    <definedName name="BillingYear">#REF!</definedName>
    <definedName name="BKLIFE">#REF!</definedName>
    <definedName name="BKVAL">#REF!</definedName>
    <definedName name="blank">#REF!</definedName>
    <definedName name="BLPH1" localSheetId="2" hidden="1">#REF!</definedName>
    <definedName name="BLPH1" hidden="1">#REF!</definedName>
    <definedName name="BLPH10" localSheetId="2" hidden="1">#REF!</definedName>
    <definedName name="BLPH10" hidden="1">#REF!</definedName>
    <definedName name="BLPH11" localSheetId="2" hidden="1">#REF!</definedName>
    <definedName name="BLPH11" hidden="1">#REF!</definedName>
    <definedName name="BLPH12" localSheetId="2" hidden="1">#REF!</definedName>
    <definedName name="BLPH12" hidden="1">#REF!</definedName>
    <definedName name="BLPH13" hidden="1">#REF!</definedName>
    <definedName name="BLPH14" hidden="1">#REF!</definedName>
    <definedName name="BLPH15"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n" hidden="1">#REF!</definedName>
    <definedName name="BookIncome" localSheetId="2" hidden="1">#REF!</definedName>
    <definedName name="BookIncome" hidden="1">#REF!</definedName>
    <definedName name="BookType">1</definedName>
    <definedName name="box">#REF!</definedName>
    <definedName name="break">#REF!</definedName>
    <definedName name="bs" localSheetId="2" hidden="1">{#N/A,#N/A,FALSE,"BS Compare"}</definedName>
    <definedName name="bs" hidden="1">{#N/A,#N/A,FALSE,"BS Compare"}</definedName>
    <definedName name="Budget_Bill">#REF!</definedName>
    <definedName name="BudgetSumm" localSheetId="2" hidden="1">{#N/A,#N/A,FALSE,"Cashflow Analysis";#N/A,#N/A,FALSE,"Sensitivity Analysis";#N/A,#N/A,FALSE,"PV";#N/A,#N/A,FALSE,"Pro Forma"}</definedName>
    <definedName name="BudgetSumm" hidden="1">{#N/A,#N/A,FALSE,"Cashflow Analysis";#N/A,#N/A,FALSE,"Sensitivity Analysis";#N/A,#N/A,FALSE,"PV";#N/A,#N/A,FALSE,"Pro Forma"}</definedName>
    <definedName name="BudgetSumm.2" localSheetId="2" hidden="1">{#N/A,#N/A,FALSE,"Cashflow Analysis";#N/A,#N/A,FALSE,"Sensitivity Analysis";#N/A,#N/A,FALSE,"PV";#N/A,#N/A,FALSE,"Pro Forma"}</definedName>
    <definedName name="BudgetSumm.2" hidden="1">{#N/A,#N/A,FALSE,"Cashflow Analysis";#N/A,#N/A,FALSE,"Sensitivity Analysis";#N/A,#N/A,FALSE,"PV";#N/A,#N/A,FALSE,"Pro Forma"}</definedName>
    <definedName name="BUTTONSCREEN">#REF!</definedName>
    <definedName name="CALC">#REF!</definedName>
    <definedName name="calc_produccion">#REF!</definedName>
    <definedName name="CALLOC">#N/A</definedName>
    <definedName name="Cantidad_comprada">#REF!</definedName>
    <definedName name="Capex">#REF!</definedName>
    <definedName name="Capital_Summary">#REF!</definedName>
    <definedName name="Cartera">#REF!</definedName>
    <definedName name="Cash_flow_próximos_12_meses_dn2">#REF!</definedName>
    <definedName name="cash1">#REF!</definedName>
    <definedName name="cash2">#REF!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1413667_opts" hidden="1">"1, 9, 1, False, 2, False, False, , 0, False, False, 1, 1"</definedName>
    <definedName name="cb_Chart_1_opts" hidden="1">"1, 1, 1, False, 2, False, False, , 0, False, False, 1, 1"</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2_opts" hidden="1">"2, 1, 3, True, 2, False, True, , 1, False, False, 1, 1"</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"2, 1, 2, True, 2, False, False, , 0, False, True, 1, 1"</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 hidden="1">#REF!</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3, 1, False, 2, False, False, , 0, False, True, 2, 1"</definedName>
    <definedName name="cb_Chart_30" hidden="1">#REF!</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1, 1, False, 2, False, False, , 0, False, False, 2, 1"</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5_opts" hidden="1">"1, 10, 1, False, 2, False, False, , 0, False, False, 1, 1"</definedName>
    <definedName name="cb_Chart_52582_opts" hidden="1">"1, 1, 1, False, 2, False, False, , 0, False, False, 1, 2"</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 1, False, 2, False, False, , 0, False, False, 2, 2"</definedName>
    <definedName name="cb_Chart_62364_opts" hidden="1">"1, 1, 1, False, 2, True, False, , 0, False, False, 1, 2"</definedName>
    <definedName name="cb_Chart_64876_opts" hidden="1">"1, 1, 1, False, 2, True, False, , 0, False, False, 1, 2"</definedName>
    <definedName name="cb_Chart_67711_opts" hidden="1">"1, 10, 1, False, 2, True, False, , 0, False, False, 2, 2"</definedName>
    <definedName name="cb_Chart_69605_opts" hidden="1">"1, 2, 1, False, 2, False, False, , 0, False, False, 2, 1"</definedName>
    <definedName name="cb_Chart_7_opts" hidden="1">"1, 10, 1, False, 2, False, False, , 0, False, False, 3, 1"</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10, 1, False, 2, True, False, , 0, False, False, 3,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1, 1, False, 2, True,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3E63D6_opts" hidden="1">"1, 9, 1, False, 2, False, False, , 0, False, True, 1, 1"</definedName>
    <definedName name="cb_sChart13E695B_opts" hidden="1">"1, 9, 1, False, 2, False, False, , 0, False, True, 1, 1"</definedName>
    <definedName name="cb_sChart13EFE5F_opts" hidden="1">"1, 9, 1, False, 2, False, False, , 0, False, True, 1, 1"</definedName>
    <definedName name="cb_sChart13F3564_opts" hidden="1">"1, 9, 1, False, 2, False, False, , 0, False, True, 1, 1"</definedName>
    <definedName name="cb_sChart13F8015_opts" hidden="1">"1, 9, 1, False, 2, False, False, , 0, False, True, 1, 1"</definedName>
    <definedName name="cb_sChart140C6EA_opts" hidden="1">"1, 8, 1, False, 2, False, False, , 0, False, False, 1, 1"</definedName>
    <definedName name="cb_sChart140F3B8_opts" hidden="1">"1, 9, 1, False, 2, False, False, , 0, False, False, 1, 1"</definedName>
    <definedName name="cb_sChart1411056_opts" hidden="1">"1, 1, 1, False, 2, False, False, , 0, False, False, 1, 1"</definedName>
    <definedName name="cb_sChart1414A6F_opts" hidden="1">"1, 1, 1, False, 2, False, False, , 0, False, False, 1, 1"</definedName>
    <definedName name="cb_sChart1414F00_opts" hidden="1">"1, 1, 1, False, 2, False, False, , 0, False, False, 1, 1"</definedName>
    <definedName name="cb_sChart1416B2A_opts" hidden="1">"1, 1, 1, False, 2, False, False, , 0, False, False, 1, 1"</definedName>
    <definedName name="cb_sChart14223CF_opts" hidden="1">"1, 9, 1, False, 2, False, False, , 0, False, False, 1, 1"</definedName>
    <definedName name="cb_sChart149F47F_opts" hidden="1">"1, 9, 1, False, 2, False, False, , 0, False, False, 1, 1"</definedName>
    <definedName name="cb_sChart14A2C1B_opts" hidden="1">"1, 1, 1, False, 2, False, False, , 0, False, False, 1, 1"</definedName>
    <definedName name="cb_sChart14A42F0_opts" hidden="1">"1, 1, 1, False, 2, False, False, , 0, False, False, 1, 1"</definedName>
    <definedName name="cb_sChart14B58E5_opts" hidden="1">"1, 1, 1, False, 2, False, False, , 0, False, False, 1, 1"</definedName>
    <definedName name="cb_sChart14B76F6_opts" hidden="1">"1, 9, 1, False, 2, False, False, , 0, False, False, 1, 1"</definedName>
    <definedName name="cb_sChart14BFE75_opts" hidden="1">"1, 1, 1, False, 2, False, False, , 0, False, False, 1, 1"</definedName>
    <definedName name="cb_sChart14C49D3_opts" hidden="1">"1, 9, 1, False, 2, False, False, , 0, False, False, 1, 1"</definedName>
    <definedName name="cb_sChart165A81A_opts" hidden="1">"1, 10, 1, False, 2, True, False, , 0, False, True, 1, 1"</definedName>
    <definedName name="cb_sChart19C792B_opts" hidden="1">"1, 3, 1, False, 2, True, False, , 0, False, True, 2, 2"</definedName>
    <definedName name="cb_sChart19C7B9C_opts" hidden="1">"1, 3, 1, False, 2, True, False, , 0, False, True, 2, 2"</definedName>
    <definedName name="cb_sChart19C98AE_opts" hidden="1">"1, 10, 1, False, 2, True, False, , 0, False, False, 2, 1"</definedName>
    <definedName name="cb_sChart19CCEE4_opts" hidden="1">"1, 4, 1, False, 2, True, False, , 0, False, False, 2, 1"</definedName>
    <definedName name="cb_sChart19CEAB2_opts" hidden="1">"1, 2, 1, False, 2, False, False, , 0, False, False, 2, 1"</definedName>
    <definedName name="cb_sChart19D0170_opts" hidden="1">"1, 2, 1, False, 2, False, False, , 0, False, False, 2, 1"</definedName>
    <definedName name="cb_sChart19D07DB_opts" hidden="1">"1, 2, 1, False, 2, False, False, , 0, False, False, 2, 1"</definedName>
    <definedName name="cb_sChart19D26B1_opts" hidden="1">"1, 2, 1, False, 2, False, False, , 0, False, False, 2, 2"</definedName>
    <definedName name="cb_sChart19D3562_opts" hidden="1">"1, 2, 1, False, 2, False, False, , 0, False, False, 2, 2"</definedName>
    <definedName name="cb_sChart19DE90E_opts" hidden="1">"1, 3, 1, False, 2, True, False, , 0, False, True, 2, 2"</definedName>
    <definedName name="cb_sChart19F3671_opts" hidden="1">"1, 8, 1, False, 2, False, False, , 0, False, False, 1, 1"</definedName>
    <definedName name="cb_sChart1A18C50_opts" hidden="1">"1, 2, 1, False, 2, True, False, , 0, False, False, 2, 2"</definedName>
    <definedName name="cb_sChart1A18D66_opts" hidden="1">"1, 2, 1, False, 2, True, False, , 0, False, False, 2, 2"</definedName>
    <definedName name="cb_sChart1A18F07_opts" hidden="1">"1, 2, 1, False, 2, True, False, , 0, False, False, 2, 2"</definedName>
    <definedName name="cb_sChart1A5A8EC_opts" hidden="1">"1, 2, 1, False, 2, False, False, , 0, False, False, 2, 2"</definedName>
    <definedName name="cb_sChart1AC042A_opts" hidden="1">"1, 2, 1, False, 2, True, False, , 0, False, False, 2, 2"</definedName>
    <definedName name="cb_sChart1AC064A_opts" hidden="1">"1, 2, 1, False, 2, True, False, , 0, False, False, 2, 2"</definedName>
    <definedName name="cb_sChart1AC0FF7_opts" hidden="1">"1, 2, 1, False, 2, True, False, , 0, False, False, 2, 2"</definedName>
    <definedName name="cb_sChart1AC18EB_opts" hidden="1">"1, 2, 1, False, 2, True, False, , 0, False, False, 2, 2"</definedName>
    <definedName name="cb_sChart1AC22BA_opts" hidden="1">"1, 2, 1, False, 2, True, False, , 0, False, False, 2, 2"</definedName>
    <definedName name="cb_sChart1AC6600_opts" hidden="1">"1, 2, 1, False, 2, False, False, , 0, False, False, 2, 2"</definedName>
    <definedName name="cb_sChart1AC7142_opts" hidden="1">"1, 2, 1, False, 2, False, False, , 0, False, False, 2, 2"</definedName>
    <definedName name="cb_sChart1AC81DA_opts" hidden="1">"1, 2, 1, False, 2, False, False, , 0, False, False, 2, 2"</definedName>
    <definedName name="cb_sChart1AC900C_opts" hidden="1">"1, 2, 1, False, 2, False, False, , 0, False, False, 2, 2"</definedName>
    <definedName name="cb_sChart1AC9562_opts" hidden="1">"1, 2, 1, False, 2, False, False, , 0, False, False, 2, 2"</definedName>
    <definedName name="cb_sChart1ACAEE2_opts" hidden="1">"1, 2, 1, False, 2, False, False, , 0, False, False, 2, 2"</definedName>
    <definedName name="cb_sChart1B47EAA_opts" hidden="1">"1, 1, 1, False, 2, False, False, , 0, False, False, 1, 1"</definedName>
    <definedName name="cb_sChart1B4920F_opts" hidden="1">"1, 1, 1, False, 2, False, False, , 0, False, False, 3, 1"</definedName>
    <definedName name="cb_sChart1B493DE_opts" hidden="1">"1, 1, 1, False, 2, False, False, , 0, False, False, 1, 2"</definedName>
    <definedName name="cb_sChart1B4955C_opts" hidden="1">"1, 1, 1, False, 2, True, False, , 0, False, False, 1, 2"</definedName>
    <definedName name="cb_sChart1B497CD_opts" hidden="1">"1, 1, 1, False, 2, True, False, , 0, False, False, 1, 2"</definedName>
    <definedName name="cb_sChart1C5631E_opts" hidden="1">"1, 1, 1, False, 2, True, False, , 0, False, False, 1, 2"</definedName>
    <definedName name="cb_sChart1D14B5A_opts" hidden="1">"2, 1, 1, False, 2, False, False, , 0, False, True, 2, 1"</definedName>
    <definedName name="cb_sChart1D14D4B_opts" hidden="1">"1, 9, 1, False, 2, False, False, , 0, False, True, 2, 1"</definedName>
    <definedName name="cb_sChart1D167F8_opts" hidden="1">"1, 9, 1, False, 2, False, False, , 0, False, True, 2, 1"</definedName>
    <definedName name="cb_sChart37E9C5C_opts" hidden="1">"1, 8, 1, False, 2, False, False, , 0, False, False, 1, 1"</definedName>
    <definedName name="cb_sChart37EA302_opts" hidden="1">"1, 8, 1, False, 2, False, False, , 0, False, False, 1, 1"</definedName>
    <definedName name="cb_sChart41E9A35_opts" hidden="1">"1, 9, 1, False, 2, False, False, , 0, False, True, 1, 1"</definedName>
    <definedName name="cb_sChart7B4662_opts" hidden="1">"1, 1, 1, False, 2, True, False, , 0, False, False,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REV">#N/A</definedName>
    <definedName name="CBREV1">#N/A</definedName>
    <definedName name="CBWorkbookPriority" hidden="1">-941019081</definedName>
    <definedName name="CCBT_ApporFactor">#REF!</definedName>
    <definedName name="CCBT_ApporFactor_Prior">#REF!</definedName>
    <definedName name="CCBT_EffectTaxRate">#REF!</definedName>
    <definedName name="CCBT_EffectTaxRate_Prior">#REF!</definedName>
    <definedName name="CCBT_TaxRate">#REF!</definedName>
    <definedName name="CCBT_TaxRate_Prior">#REF!</definedName>
    <definedName name="ccc">#REF!</definedName>
    <definedName name="CCCALC" localSheetId="2">#REF!</definedName>
    <definedName name="CCCALC">#REF!</definedName>
    <definedName name="CCSChargeDetails">#REF!</definedName>
    <definedName name="CDCAPALLOTHER">#REF!</definedName>
    <definedName name="CDCAPCONTRACTORS">#REF!</definedName>
    <definedName name="CDCAPMATNS">#REF!</definedName>
    <definedName name="CDCAPMATSTOCK">#REF!</definedName>
    <definedName name="CDCAPOHS">#REF!</definedName>
    <definedName name="CDCAPOTHER">#REF!</definedName>
    <definedName name="CDCAPREIM">#REF!</definedName>
    <definedName name="CDCORALLOTHER">#REF!</definedName>
    <definedName name="CDCORCONTRACTORS">#REF!</definedName>
    <definedName name="CDCORMATNS">#REF!</definedName>
    <definedName name="CDCORMATSTOCK">#REF!</definedName>
    <definedName name="CDCOROHS">#REF!</definedName>
    <definedName name="CDCOROTHER">#REF!</definedName>
    <definedName name="CDCORREIM">#REF!</definedName>
    <definedName name="CDOMALLOTHER">#REF!</definedName>
    <definedName name="CDOMCONTRACTORS">#REF!</definedName>
    <definedName name="CDOMMATNS">#REF!</definedName>
    <definedName name="CDOMMATSTOCK">#REF!</definedName>
    <definedName name="CDOMOHS">#REF!</definedName>
    <definedName name="CDOMOTHER">#REF!</definedName>
    <definedName name="CDOMREIM">#REF!</definedName>
    <definedName name="CENCOM">#N/A</definedName>
    <definedName name="CENIND">#N/A</definedName>
    <definedName name="CENRES">#N/A</definedName>
    <definedName name="CENRET">#N/A</definedName>
    <definedName name="CENSTL">#N/A</definedName>
    <definedName name="Central_Maine_Power_Company" localSheetId="2">#REF!</definedName>
    <definedName name="Central_Maine_Power_Company">#REF!</definedName>
    <definedName name="CEP">#REF!</definedName>
    <definedName name="CF">#REF!</definedName>
    <definedName name="CF_Totals">#REF!</definedName>
    <definedName name="CFREV">#N/A</definedName>
    <definedName name="cgl" hidden="1">{#N/A,#N/A,FALSE,"GLDwnLoad"}</definedName>
    <definedName name="cgl_1" hidden="1">{#N/A,#N/A,FALSE,"GLDwnLoad"}</definedName>
    <definedName name="CGREV">#N/A</definedName>
    <definedName name="changes">#REF!</definedName>
    <definedName name="Chart12_S1">OFFSET(#REF!,,,#REF!)</definedName>
    <definedName name="Chart12_S2">OFFSET(#REF!,,,#REF!)</definedName>
    <definedName name="Chart12_Y">OFFSET(#REF!,,,#REF!)</definedName>
    <definedName name="Check">#REF!</definedName>
    <definedName name="check2" localSheetId="2" hidden="1">{#N/A,#N/A,FALSE,"Cashflow Analysis";#N/A,#N/A,FALSE,"Sensitivity Analysis";#N/A,#N/A,FALSE,"PV";#N/A,#N/A,FALSE,"Pro Forma"}</definedName>
    <definedName name="check2" hidden="1">{#N/A,#N/A,FALSE,"Cashflow Analysis";#N/A,#N/A,FALSE,"Sensitivity Analysis";#N/A,#N/A,FALSE,"PV";#N/A,#N/A,FALSE,"Pro Forma"}</definedName>
    <definedName name="Cifra_negocio_real">#REF!</definedName>
    <definedName name="CIQWBGuid" hidden="1">"9931764d-e136-4af2-9d39-8c06edba69dd"</definedName>
    <definedName name="CLEARLINES">#REF!</definedName>
    <definedName name="CLEARLINES2">#REF!</definedName>
    <definedName name="clpcoc">#REF!</definedName>
    <definedName name="clpcoc2">#REF!</definedName>
    <definedName name="CLPcoverages">#REF!</definedName>
    <definedName name="CLPDISC">#REF!</definedName>
    <definedName name="CLPECD">#REF!</definedName>
    <definedName name="clpep">#REF!</definedName>
    <definedName name="CLPequity">#REF!</definedName>
    <definedName name="CLPINC">#REF!</definedName>
    <definedName name="CLPresults">#REF!</definedName>
    <definedName name="CMP_D">#REF!</definedName>
    <definedName name="CMP_Maq">#REF!</definedName>
    <definedName name="CMP_T">#REF!</definedName>
    <definedName name="cmpcoc">#REF!</definedName>
    <definedName name="co_table">#REF!</definedName>
    <definedName name="coc">#REF!</definedName>
    <definedName name="COLSOC">#REF!</definedName>
    <definedName name="combined1" localSheetId="2" hidden="1">{"YTD-Total",#N/A,TRUE,"Provision";"YTD-Utility",#N/A,TRUE,"Prov Utility";"YTD-NonUtility",#N/A,TRUE,"Prov NonUtility"}</definedName>
    <definedName name="combined1" hidden="1">{"YTD-Total",#N/A,TRUE,"Provision";"YTD-Utility",#N/A,TRUE,"Prov Utility";"YTD-NonUtility",#N/A,TRUE,"Prov NonUtility"}</definedName>
    <definedName name="COMC">#N/A</definedName>
    <definedName name="COMMOD">#REF!</definedName>
    <definedName name="Common_Input">#REF!</definedName>
    <definedName name="Companies">#REF!</definedName>
    <definedName name="Company">#REF!</definedName>
    <definedName name="companycodes">#REF!</definedName>
    <definedName name="CompanyName">#REF!</definedName>
    <definedName name="COMPARE">#REF!</definedName>
    <definedName name="Compare_List">OFFSET(#REF!,,,#REF!)</definedName>
    <definedName name="Condiciones_pago">#REF!</definedName>
    <definedName name="CONEXP">#REF!</definedName>
    <definedName name="Contacts">#REF!</definedName>
    <definedName name="ContChoices">#N/A</definedName>
    <definedName name="Contravalor_Euros">#REF!</definedName>
    <definedName name="Control">#REF!</definedName>
    <definedName name="CONV">#REF!</definedName>
    <definedName name="COPY1">{"PR1","pr1",TRUE,"Sch PR-1"}</definedName>
    <definedName name="COPY3">{"PR1","pr1",TRUE,"Sch PR-1"}</definedName>
    <definedName name="copy5">{"PR1","pr1",TRUE,"Sch PR-1"}</definedName>
    <definedName name="copy7">{"PR1","pr1",TRUE,"Sch PR-1"}</definedName>
    <definedName name="copydjk3">{"PR1","pr1",TRUE,"Sch PR-1"}</definedName>
    <definedName name="Corp_Tax_Rate">#REF!</definedName>
    <definedName name="correctsheet" localSheetId="2" hidden="1">{"Christian",#N/A,FALSE,"K1 TAX";"evan",#N/A,FALSE,"K1 TAX";"Gail",#N/A,FALSE,"K1 TAX";"Gretchen",#N/A,FALSE,"K1 TAX";"Gun",#N/A,FALSE,"K1 TAX";"master k1",#N/A,FALSE,"K1 TAX";"Michael",#N/A,FALSE,"K1 TAX";"philip",#N/A,FALSE,"K1 TAX";"steve",#N/A,FALSE,"K1 TAX";"Thomas",#N/A,FALSE,"K1 TAX"}</definedName>
    <definedName name="correctsheet" hidden="1">{"Christian",#N/A,FALSE,"K1 TAX";"evan",#N/A,FALSE,"K1 TAX";"Gail",#N/A,FALSE,"K1 TAX";"Gretchen",#N/A,FALSE,"K1 TAX";"Gun",#N/A,FALSE,"K1 TAX";"master k1",#N/A,FALSE,"K1 TAX";"Michael",#N/A,FALSE,"K1 TAX";"philip",#N/A,FALSE,"K1 TAX";"steve",#N/A,FALSE,"K1 TAX";"Thomas",#N/A,FALSE,"K1 TAX"}</definedName>
    <definedName name="correctsheet1" localSheetId="2" hidden="1">{"Christian",#N/A,FALSE,"K1 TAX";"evan",#N/A,FALSE,"K1 TAX";"Gail",#N/A,FALSE,"K1 TAX";"Gretchen",#N/A,FALSE,"K1 TAX";"Gun",#N/A,FALSE,"K1 TAX";"master k1",#N/A,FALSE,"K1 TAX";"Michael",#N/A,FALSE,"K1 TAX";"philip",#N/A,FALSE,"K1 TAX";"steve",#N/A,FALSE,"K1 TAX";"Thomas",#N/A,FALSE,"K1 TAX"}</definedName>
    <definedName name="correctsheet1" hidden="1">{"Christian",#N/A,FALSE,"K1 TAX";"evan",#N/A,FALSE,"K1 TAX";"Gail",#N/A,FALSE,"K1 TAX";"Gretchen",#N/A,FALSE,"K1 TAX";"Gun",#N/A,FALSE,"K1 TAX";"master k1",#N/A,FALSE,"K1 TAX";"Michael",#N/A,FALSE,"K1 TAX";"philip",#N/A,FALSE,"K1 TAX";"steve",#N/A,FALSE,"K1 TAX";"Thomas",#N/A,FALSE,"K1 TAX"}</definedName>
    <definedName name="CostDetail_Source">#REF!</definedName>
    <definedName name="CostofCapDetails">#REF!</definedName>
    <definedName name="COUNTER">#N/A</definedName>
    <definedName name="_xlnm.Criteria">#REF!</definedName>
    <definedName name="CSAL">#N/A</definedName>
    <definedName name="CSD">#REF!</definedName>
    <definedName name="CSHWRKCP">#REF!</definedName>
    <definedName name="CTREV">#N/A</definedName>
    <definedName name="CurMo">#REF!</definedName>
    <definedName name="current" localSheetId="2" hidden="1">{#N/A,#N/A,TRUE,"PHONE"}</definedName>
    <definedName name="current" hidden="1">{#N/A,#N/A,TRUE,"PHONE"}</definedName>
    <definedName name="CURRENT_MONTH">#REF!</definedName>
    <definedName name="currmo">#REF!</definedName>
    <definedName name="curryr">#REF!</definedName>
    <definedName name="curryrmo">#REF!</definedName>
    <definedName name="CUST_SRV_INF_WT">#REF!</definedName>
    <definedName name="CustG0Actual">#REF!</definedName>
    <definedName name="Customers">#REF!</definedName>
    <definedName name="CustR1Actual">#REF!</definedName>
    <definedName name="CustSvc_SalesAlloc">#REF!</definedName>
    <definedName name="Cwvu.GREY_ALL." localSheetId="2" hidden="1">#REF!</definedName>
    <definedName name="Cwvu.GREY_ALL." hidden="1">#REF!</definedName>
    <definedName name="cxgxgfgfs" localSheetId="2" hidden="1">{#N/A,#N/A,FALSE,"Cashflow Analysis";#N/A,#N/A,FALSE,"Sensitivity Analysis";#N/A,#N/A,FALSE,"PV";#N/A,#N/A,FALSE,"Pro Forma"}</definedName>
    <definedName name="cxgxgfgfs" hidden="1">{#N/A,#N/A,FALSE,"Cashflow Analysis";#N/A,#N/A,FALSE,"Sensitivity Analysis";#N/A,#N/A,FALSE,"PV";#N/A,#N/A,FALSE,"Pro Forma"}</definedName>
    <definedName name="cxgxgfgfs.2" localSheetId="2" hidden="1">{#N/A,#N/A,FALSE,"Cashflow Analysis";#N/A,#N/A,FALSE,"Sensitivity Analysis";#N/A,#N/A,FALSE,"PV";#N/A,#N/A,FALSE,"Pro Forma"}</definedName>
    <definedName name="cxgxgfgfs.2" hidden="1">{#N/A,#N/A,FALSE,"Cashflow Analysis";#N/A,#N/A,FALSE,"Sensitivity Analysis";#N/A,#N/A,FALSE,"PV";#N/A,#N/A,FALSE,"Pro Forma"}</definedName>
    <definedName name="d" hidden="1">#REF!</definedName>
    <definedName name="d03rows">#REF!</definedName>
    <definedName name="dad" localSheetId="2" hidden="1">{#N/A,#N/A,FALSE,"ForestPark"}</definedName>
    <definedName name="dad" hidden="1">{#N/A,#N/A,FALSE,"ForestPark"}</definedName>
    <definedName name="DAFAD" localSheetId="2" hidden="1">{"cap_structure",#N/A,FALSE,"Graph-Mkt Cap";"price",#N/A,FALSE,"Graph-Price";"ebit",#N/A,FALSE,"Graph-EBITDA";"ebitda",#N/A,FALSE,"Graph-EBITDA"}</definedName>
    <definedName name="DAFAD" hidden="1">{"cap_structure",#N/A,FALSE,"Graph-Mkt Cap";"price",#N/A,FALSE,"Graph-Price";"ebit",#N/A,FALSE,"Graph-EBITDA";"ebitda",#N/A,FALSE,"Graph-EBITDA"}</definedName>
    <definedName name="Dashboard" localSheetId="2" hidden="1">{#N/A,#N/A,FALSE,"INCOME"}</definedName>
    <definedName name="Dashboard" hidden="1">{#N/A,#N/A,FALSE,"INCOME"}</definedName>
    <definedName name="data">#REF!</definedName>
    <definedName name="DATA_01" hidden="1">#REF!</definedName>
    <definedName name="DATA_08" hidden="1">#REF!</definedName>
    <definedName name="Data_Cumulative">OFFSET(#REF!,,,COUNTA(#REF!),39)</definedName>
    <definedName name="DATA17">#REF!</definedName>
    <definedName name="DATA19">#REF!</definedName>
    <definedName name="DATA2">#REF!</definedName>
    <definedName name="DATA20">#REF!</definedName>
    <definedName name="DATA22">#REF!</definedName>
    <definedName name="_xlnm.Database">#REF!</definedName>
    <definedName name="date">#REF!</definedName>
    <definedName name="dateformat">#REF!</definedName>
    <definedName name="DATEHEADERS" localSheetId="2">#REF!</definedName>
    <definedName name="DATEHEADERS">#REF!</definedName>
    <definedName name="Datos">#REF!</definedName>
    <definedName name="Datos_reales">#REF!</definedName>
    <definedName name="Day">#REF!</definedName>
    <definedName name="DayCol">#REF!</definedName>
    <definedName name="DAYs">#REF!</definedName>
    <definedName name="daytotal">#REF!</definedName>
    <definedName name="DD" localSheetId="2" hidden="1">{"Conol gross povision grouped",#N/A,FALSE,"Consol Gross";"Consol Gross Grouped",#N/A,FALSE,"Consol Gross"}</definedName>
    <definedName name="DD" hidden="1">{"Conol gross povision grouped",#N/A,FALSE,"Consol Gross";"Consol Gross Grouped",#N/A,FALSE,"Consol Gross"}</definedName>
    <definedName name="ddd">#REF!</definedName>
    <definedName name="dddd" localSheetId="2" hidden="1">#REF!</definedName>
    <definedName name="dddd" hidden="1">#REF!</definedName>
    <definedName name="dddddd" localSheetId="2" hidden="1">{#N/A,#N/A,FALSE,"CAPREIT"}</definedName>
    <definedName name="dddddd" hidden="1">{#N/A,#N/A,FALSE,"CAPREIT"}</definedName>
    <definedName name="ddddddd" localSheetId="2" hidden="1">{#N/A,#N/A,FALSE,"CAPREIT"}</definedName>
    <definedName name="ddddddd" hidden="1">{#N/A,#N/A,FALSE,"CAPREIT"}</definedName>
    <definedName name="de" localSheetId="2" hidden="1">{#N/A,#N/A,FALSE,"SP2"}</definedName>
    <definedName name="de" hidden="1">{#N/A,#N/A,FALSE,"SP2"}</definedName>
    <definedName name="DECCURMOUNBILL" localSheetId="2">#REF!</definedName>
    <definedName name="DECCURMOUNBILL">#REF!</definedName>
    <definedName name="DECELPCREDITS" localSheetId="2">#REF!</definedName>
    <definedName name="DECELPCREDITS">#REF!</definedName>
    <definedName name="DECELPRECOV" localSheetId="2">#REF!</definedName>
    <definedName name="DECELPRECOV">#REF!</definedName>
    <definedName name="Decimal_Mo_Conversion">#REF!</definedName>
    <definedName name="Decisions">1</definedName>
    <definedName name="DEF" hidden="1">#REF!</definedName>
    <definedName name="DefaultMoodys">#REF!</definedName>
    <definedName name="delete"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delete"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delete.this.name" localSheetId="2" hidden="1">{#N/A,#N/A,FALSE,"Aging Summary";#N/A,#N/A,FALSE,"Ratio Analysis";#N/A,#N/A,FALSE,"Test 120 Day Accts";#N/A,#N/A,FALSE,"Tickmarks"}</definedName>
    <definedName name="delete.this.name" hidden="1">{#N/A,#N/A,FALSE,"Aging Summary";#N/A,#N/A,FALSE,"Ratio Analysis";#N/A,#N/A,FALSE,"Test 120 Day Accts";#N/A,#N/A,FALSE,"Tickmarks"}</definedName>
    <definedName name="Delete.this.name.2" localSheetId="2" hidden="1">{#N/A,#N/A,FALSE,"Input";#N/A,#N/A,FALSE,"1997";#N/A,#N/A,FALSE,"1996";#N/A,#N/A,FALSE,"1995";#N/A,#N/A,FALSE,"1994";#N/A,#N/A,FALSE,"1993";#N/A,#N/A,FALSE,"1993-1";#N/A,#N/A,FALSE,"1992";#N/A,#N/A,FALSE,"1991";#N/A,#N/A,FALSE,"1990";#N/A,#N/A,FALSE,"1989";#N/A,#N/A,FALSE,"1988"}</definedName>
    <definedName name="Delete.this.name.2" hidden="1">{#N/A,#N/A,FALSE,"Input";#N/A,#N/A,FALSE,"1997";#N/A,#N/A,FALSE,"1996";#N/A,#N/A,FALSE,"1995";#N/A,#N/A,FALSE,"1994";#N/A,#N/A,FALSE,"1993";#N/A,#N/A,FALSE,"1993-1";#N/A,#N/A,FALSE,"1992";#N/A,#N/A,FALSE,"1991";#N/A,#N/A,FALSE,"1990";#N/A,#N/A,FALSE,"1989";#N/A,#N/A,FALSE,"1988"}</definedName>
    <definedName name="delete.tmp"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delete.tmp"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delete5" hidden="1">#REF!</definedName>
    <definedName name="delfos">#REF!</definedName>
    <definedName name="DELME" localSheetId="2" hidden="1">{#N/A,#N/A,FALSE,"A";#N/A,#N/A,FALSE,"C"}</definedName>
    <definedName name="DELME" hidden="1">{#N/A,#N/A,FALSE,"A";#N/A,#N/A,FALSE,"C"}</definedName>
    <definedName name="DELME2" localSheetId="2"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3" localSheetId="2" hidden="1">{#N/A,#N/A,FALSE,"Common Area Accrual";#N/A,#N/A,FALSE,"Unit One LaSalle";#N/A,#N/A,FALSE,"Unit One CW";#N/A,#N/A,FALSE,"Unit One LaSallle + C &amp; W";#N/A,#N/A,FALSE,"Consolidated Accrual"}</definedName>
    <definedName name="DELME3" hidden="1">{#N/A,#N/A,FALSE,"Common Area Accrual";#N/A,#N/A,FALSE,"Unit One LaSalle";#N/A,#N/A,FALSE,"Unit One CW";#N/A,#N/A,FALSE,"Unit One LaSallle + C &amp; W";#N/A,#N/A,FALSE,"Consolidated Accrual"}</definedName>
    <definedName name="DELME4" localSheetId="2" hidden="1">{#N/A,#N/A,FALSE,"399 Park Var";#N/A,#N/A,FALSE,"PK NOTES"}</definedName>
    <definedName name="DELME4" hidden="1">{#N/A,#N/A,FALSE,"399 Park Var";#N/A,#N/A,FALSE,"PK NOTES"}</definedName>
    <definedName name="DELME5" localSheetId="2" hidden="1">{#N/A,#N/A,FALSE,"Expense Detail ";#N/A,#N/A,FALSE,"Worksheet";#N/A,#N/A,FALSE,"Audit";#N/A,#N/A,FALSE,"Exclusions";#N/A,#N/A,FALSE,"Variance";#N/A,#N/A,FALSE,"Reconciliation"}</definedName>
    <definedName name="DELME5" hidden="1">{#N/A,#N/A,FALSE,"Expense Detail ";#N/A,#N/A,FALSE,"Worksheet";#N/A,#N/A,FALSE,"Audit";#N/A,#N/A,FALSE,"Exclusions";#N/A,#N/A,FALSE,"Variance";#N/A,#N/A,FALSE,"Reconciliation"}</definedName>
    <definedName name="DELME7" localSheetId="2"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s" localSheetId="2" hidden="1">{#N/A,#N/A,FALSE,"Expense Detail ";#N/A,#N/A,FALSE,"Worksheet";#N/A,#N/A,FALSE,"Audit";#N/A,#N/A,FALSE,"Exclusions";#N/A,#N/A,FALSE,"Variance";#N/A,#N/A,FALSE,"Reconciliation"}</definedName>
    <definedName name="delmes" hidden="1">{#N/A,#N/A,FALSE,"Expense Detail ";#N/A,#N/A,FALSE,"Worksheet";#N/A,#N/A,FALSE,"Audit";#N/A,#N/A,FALSE,"Exclusions";#N/A,#N/A,FALSE,"Variance";#N/A,#N/A,FALSE,"Reconciliation"}</definedName>
    <definedName name="DELOSS">#REF!</definedName>
    <definedName name="Delta">#REF!</definedName>
    <definedName name="DEMDLOSS">#REF!</definedName>
    <definedName name="DEMDLOSS_Q1">#REF!</definedName>
    <definedName name="DEMDLOSS_Q2">#REF!</definedName>
    <definedName name="DEMDLOSS_Q3">#REF!</definedName>
    <definedName name="DEMDLOSS_Q4">#REF!</definedName>
    <definedName name="depr">#REF!</definedName>
    <definedName name="Depr_Life">#REF!</definedName>
    <definedName name="Depreciation_Period">#REF!</definedName>
    <definedName name="DETAIL">#REF!</definedName>
    <definedName name="detalle">#REF!</definedName>
    <definedName name="detalle1">#REF!</definedName>
    <definedName name="DFAC_INV_RES">#REF!</definedName>
    <definedName name="DFAC_INV_RES_SRC">#REF!</definedName>
    <definedName name="dfas" localSheetId="2" hidden="1">{"Assumptions",#N/A,FALSE,"Assumptions";"Sum",#N/A,FALSE,"Summary";"Notes",#N/A,FALSE,"Notes";"Inputs",#N/A,FALSE,"Inputs";"Other Inputs",#N/A,FALSE,"Inputs";"RD",#N/A,FALSE,"RD";"Revenue Detail",#N/A,FALSE,"Revenue";"Expense Detail",#N/A,FALSE,"Expense";"Tax Detail",#N/A,FALSE,"Tax";"FinSt",#N/A,FALSE,"Financials"}</definedName>
    <definedName name="dfas" hidden="1">{"Assumptions",#N/A,FALSE,"Assumptions";"Sum",#N/A,FALSE,"Summary";"Notes",#N/A,FALSE,"Notes";"Inputs",#N/A,FALSE,"Inputs";"Other Inputs",#N/A,FALSE,"Inputs";"RD",#N/A,FALSE,"RD";"Revenue Detail",#N/A,FALSE,"Revenue";"Expense Detail",#N/A,FALSE,"Expense";"Tax Detail",#N/A,FALSE,"Tax";"FinSt",#N/A,FALSE,"Financials"}</definedName>
    <definedName name="dfd" localSheetId="2" hidden="1">{"FCB_ALL",#N/A,FALSE,"FCB";"GREY_ALL",#N/A,FALSE,"GREY"}</definedName>
    <definedName name="dfd" hidden="1">{"FCB_ALL",#N/A,FALSE,"FCB";"GREY_ALL",#N/A,FALSE,"GREY"}</definedName>
    <definedName name="dfdas" localSheetId="2" hidden="1">{"FCB_ALL",#N/A,FALSE,"FCB";"GREY_ALL",#N/A,FALSE,"GREY"}</definedName>
    <definedName name="dfdas" hidden="1">{"FCB_ALL",#N/A,FALSE,"FCB";"GREY_ALL",#N/A,FALSE,"GREY"}</definedName>
    <definedName name="dfdfd" localSheetId="2" hidden="1">{"FCB_ALL",#N/A,FALSE,"FCB";"GREY_ALL",#N/A,FALSE,"GREY"}</definedName>
    <definedName name="dfdfd" hidden="1">{"FCB_ALL",#N/A,FALSE,"FCB";"GREY_ALL",#N/A,FALSE,"GREY"}</definedName>
    <definedName name="dfdfdfd" localSheetId="2" hidden="1">{"FCB_ALL",#N/A,FALSE,"FCB"}</definedName>
    <definedName name="dfdfdfd" hidden="1">{"FCB_ALL",#N/A,FALSE,"FCB"}</definedName>
    <definedName name="dfgd" localSheetId="2" hidden="1">{#N/A,#N/A,FALSE,"Cashflow Analysis";#N/A,#N/A,FALSE,"Sensitivity Analysis";#N/A,#N/A,FALSE,"PV";#N/A,#N/A,FALSE,"Pro Forma"}</definedName>
    <definedName name="dfgd" hidden="1">{#N/A,#N/A,FALSE,"Cashflow Analysis";#N/A,#N/A,FALSE,"Sensitivity Analysis";#N/A,#N/A,FALSE,"PV";#N/A,#N/A,FALSE,"Pro Forma"}</definedName>
    <definedName name="dfgdfgdfg" hidden="1">{#N/A,#N/A,FALSE,"Income";#N/A,#N/A,FALSE,"Cost of Goods Sold";#N/A,#N/A,FALSE,"Other Costs";#N/A,#N/A,FALSE,"Other Income";#N/A,#N/A,FALSE,"Taxes";#N/A,#N/A,FALSE,"Other Deductions";#N/A,#N/A,FALSE,"Compensation of Officers"}</definedName>
    <definedName name="dfhfdjhhgdjdj" hidden="1">{#N/A,#N/A,FALSE,"Income";#N/A,#N/A,FALSE,"Cost of Goods Sold";#N/A,#N/A,FALSE,"Other Costs";#N/A,#N/A,FALSE,"Other Income";#N/A,#N/A,FALSE,"Taxes";#N/A,#N/A,FALSE,"Other Deductions";#N/A,#N/A,FALSE,"Compensation of Officers"}</definedName>
    <definedName name="dfsdfadrasfweqjiof1">39124.3586111111</definedName>
    <definedName name="DHG" localSheetId="2" hidden="1">{"cap_structure",#N/A,FALSE,"Graph-Mkt Cap";"price",#N/A,FALSE,"Graph-Price";"ebit",#N/A,FALSE,"Graph-EBITDA";"ebitda",#N/A,FALSE,"Graph-EBITDA"}</definedName>
    <definedName name="DHG" hidden="1">{"cap_structure",#N/A,FALSE,"Graph-Mkt Cap";"price",#N/A,FALSE,"Graph-Price";"ebit",#N/A,FALSE,"Graph-EBITDA";"ebitda",#N/A,FALSE,"Graph-EBITDA"}</definedName>
    <definedName name="DIAS">#REF!</definedName>
    <definedName name="dis" localSheetId="2" hidden="1">{#N/A,#N/A,FALSE,"Cashflow Analysis";#N/A,#N/A,FALSE,"Sensitivity Analysis";#N/A,#N/A,FALSE,"PV";#N/A,#N/A,FALSE,"Pro Forma"}</definedName>
    <definedName name="dis" hidden="1">{#N/A,#N/A,FALSE,"Cashflow Analysis";#N/A,#N/A,FALSE,"Sensitivity Analysis";#N/A,#N/A,FALSE,"PV";#N/A,#N/A,FALSE,"Pro Forma"}</definedName>
    <definedName name="dis.2" localSheetId="2" hidden="1">{#N/A,#N/A,FALSE,"Cashflow Analysis";#N/A,#N/A,FALSE,"Sensitivity Analysis";#N/A,#N/A,FALSE,"PV";#N/A,#N/A,FALSE,"Pro Forma"}</definedName>
    <definedName name="dis.2" hidden="1">{#N/A,#N/A,FALSE,"Cashflow Analysis";#N/A,#N/A,FALSE,"Sensitivity Analysis";#N/A,#N/A,FALSE,"PV";#N/A,#N/A,FALSE,"Pro Forma"}</definedName>
    <definedName name="disc">#REF!</definedName>
    <definedName name="discCAS">#REF!</definedName>
    <definedName name="DISCLY">#REF!</definedName>
    <definedName name="discount">#REF!</definedName>
    <definedName name="discrate">#REF!</definedName>
    <definedName name="DispT1">#REF!</definedName>
    <definedName name="DIVISAS">#REF!</definedName>
    <definedName name="DOC_REF_CUST">#REF!</definedName>
    <definedName name="DOLSUNIT">#REF!</definedName>
    <definedName name="DP1731TB1">#REF!</definedName>
    <definedName name="DP1813TB1">#REF!</definedName>
    <definedName name="DP1814TB1">#REF!</definedName>
    <definedName name="DR">#REF!</definedName>
    <definedName name="DRRW">#REF!</definedName>
    <definedName name="ds" localSheetId="2" hidden="1">{#N/A,#N/A,FALSE,"CAPREIT"}</definedName>
    <definedName name="ds" hidden="1">{#N/A,#N/A,FALSE,"CAPREIT"}</definedName>
    <definedName name="dsaf">#REF!</definedName>
    <definedName name="dsfd" localSheetId="2" hidden="1">{#N/A,#N/A,FALSE,"Summary EPS";#N/A,#N/A,FALSE,"1st Qtr Electric";#N/A,#N/A,FALSE,"1st Qtr Australia";#N/A,#N/A,FALSE,"1st Qtr Telecom";#N/A,#N/A,FALSE,"1st QTR Other"}</definedName>
    <definedName name="dsfd" hidden="1">{#N/A,#N/A,FALSE,"Summary EPS";#N/A,#N/A,FALSE,"1st Qtr Electric";#N/A,#N/A,FALSE,"1st Qtr Australia";#N/A,#N/A,FALSE,"1st Qtr Telecom";#N/A,#N/A,FALSE,"1st QTR Other"}</definedName>
    <definedName name="dsfsdfs">38455.5433333333</definedName>
    <definedName name="dupesheet" localSheetId="2">#REF!</definedName>
    <definedName name="dupesheet">#REF!</definedName>
    <definedName name="e" hidden="1">#REF!</definedName>
    <definedName name="EASCOM">#N/A</definedName>
    <definedName name="EASIND">#N/A</definedName>
    <definedName name="EASRES">#N/A</definedName>
    <definedName name="EASSTL">#N/A</definedName>
    <definedName name="EASTERN">#N/A</definedName>
    <definedName name="EASTOT">#N/A</definedName>
    <definedName name="ECC" localSheetId="2">#REF!</definedName>
    <definedName name="ECC">#REF!</definedName>
    <definedName name="ECCINFLATION" localSheetId="2">#REF!</definedName>
    <definedName name="ECCINFLATION">#REF!</definedName>
    <definedName name="ee" localSheetId="2"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ee"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eee" localSheetId="2" hidden="1">{#N/A,#N/A,FALSE,"Broker Sheet";#N/A,#N/A,FALSE,"Exec.Summary";#N/A,#N/A,FALSE,"Argus Cash Flow";#N/A,#N/A,FALSE,"SPF";#N/A,#N/A,FALSE,"RentRoll"}</definedName>
    <definedName name="eee" hidden="1">{#N/A,#N/A,FALSE,"Broker Sheet";#N/A,#N/A,FALSE,"Exec.Summary";#N/A,#N/A,FALSE,"Argus Cash Flow";#N/A,#N/A,FALSE,"SPF";#N/A,#N/A,FALSE,"RentRoll"}</definedName>
    <definedName name="eeee">#REF!</definedName>
    <definedName name="eeerre" localSheetId="2"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eerr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EMCEmployee_External">#REF!</definedName>
    <definedName name="eEmerge" localSheetId="2" hidden="1">{#N/A,#N/A,FALSE,"Summary";#N/A,#N/A,FALSE,"Buckets";#N/A,#N/A,FALSE,"Northstar";#N/A,#N/A,FALSE,"Comp"}</definedName>
    <definedName name="eEmerge" hidden="1">{#N/A,#N/A,FALSE,"Summary";#N/A,#N/A,FALSE,"Buckets";#N/A,#N/A,FALSE,"Northstar";#N/A,#N/A,FALSE,"Comp"}</definedName>
    <definedName name="EffectiveDate">#REF!</definedName>
    <definedName name="efff" localSheetId="2" hidden="1">{"cashcons",#N/A,FALSE,"CASHCONS";"cash7000",#N/A,FALSE,"CASH7000";"cash9000",#N/A,FALSE,"CASH9000";"assu7000",#N/A,FALSE,"ASSU7000";"assu9000",#N/A,FALSE,"ASSU9000";"rentroll",#N/A,FALSE,"RENTROLL";"expr7000",#N/A,FALSE,"EXPR7000";"expr9000",#N/A,FALSE,"EXPR9000"}</definedName>
    <definedName name="efff" hidden="1">{"cashcons",#N/A,FALSE,"CASHCONS";"cash7000",#N/A,FALSE,"CASH7000";"cash9000",#N/A,FALSE,"CASH9000";"assu7000",#N/A,FALSE,"ASSU7000";"assu9000",#N/A,FALSE,"ASSU9000";"rentroll",#N/A,FALSE,"RENTROLL";"expr7000",#N/A,FALSE,"EXPR7000";"expr9000",#N/A,FALSE,"EXPR9000"}</definedName>
    <definedName name="ehr">#REF!</definedName>
    <definedName name="eight" hidden="1">#REF!,#REF!</definedName>
    <definedName name="ElecProfile">"Chart 1"</definedName>
    <definedName name="ELOSS" localSheetId="2">#REF!</definedName>
    <definedName name="ELOSS">#REF!</definedName>
    <definedName name="Emily" localSheetId="2" hidden="1">{#N/A,#N/A,FALSE,"Consltd-For contngcy";"PaymentView",#N/A,FALSE,"Consltd-For contngcy"}</definedName>
    <definedName name="Emily" hidden="1">{#N/A,#N/A,FALSE,"Consltd-For contngcy";"PaymentView",#N/A,FALSE,"Consltd-For contngcy"}</definedName>
    <definedName name="empleados">#REF!</definedName>
    <definedName name="empresa">#REF!</definedName>
    <definedName name="empresabis">#REF!</definedName>
    <definedName name="end">40371.7332175926</definedName>
    <definedName name="end_1">"V2007-06-30"</definedName>
    <definedName name="energy" localSheetId="2" hidden="1">{#N/A,#N/A,FALSE,"Bgt";#N/A,#N/A,FALSE,"Act";#N/A,#N/A,FALSE,"Chrt Data";#N/A,#N/A,FALSE,"Bus Result";#N/A,#N/A,FALSE,"Main Charts";#N/A,#N/A,FALSE,"P&amp;L Ttl";#N/A,#N/A,FALSE,"P&amp;L C_Ttl";#N/A,#N/A,FALSE,"P&amp;L C_Oct";#N/A,#N/A,FALSE,"P&amp;L C_Sep";#N/A,#N/A,FALSE,"1996";#N/A,#N/A,FALSE,"Data"}</definedName>
    <definedName name="energy" hidden="1">{#N/A,#N/A,FALSE,"Bgt";#N/A,#N/A,FALSE,"Act";#N/A,#N/A,FALSE,"Chrt Data";#N/A,#N/A,FALSE,"Bus Result";#N/A,#N/A,FALSE,"Main Charts";#N/A,#N/A,FALSE,"P&amp;L Ttl";#N/A,#N/A,FALSE,"P&amp;L C_Ttl";#N/A,#N/A,FALSE,"P&amp;L C_Oct";#N/A,#N/A,FALSE,"P&amp;L C_Sep";#N/A,#N/A,FALSE,"1996";#N/A,#N/A,FALSE,"Data"}</definedName>
    <definedName name="ENG">#REF!</definedName>
    <definedName name="enrgy" localSheetId="2" hidden="1">{#N/A,#N/A,FALSE,"Bgt";#N/A,#N/A,FALSE,"Act";#N/A,#N/A,FALSE,"Chrt Data";#N/A,#N/A,FALSE,"Bus Result";#N/A,#N/A,FALSE,"Main Charts";#N/A,#N/A,FALSE,"P&amp;L Ttl";#N/A,#N/A,FALSE,"P&amp;L C_Ttl";#N/A,#N/A,FALSE,"P&amp;L C_Oct";#N/A,#N/A,FALSE,"P&amp;L C_Sep";#N/A,#N/A,FALSE,"1996";#N/A,#N/A,FALSE,"Data"}</definedName>
    <definedName name="enrgy" hidden="1">{#N/A,#N/A,FALSE,"Bgt";#N/A,#N/A,FALSE,"Act";#N/A,#N/A,FALSE,"Chrt Data";#N/A,#N/A,FALSE,"Bus Result";#N/A,#N/A,FALSE,"Main Charts";#N/A,#N/A,FALSE,"P&amp;L Ttl";#N/A,#N/A,FALSE,"P&amp;L C_Ttl";#N/A,#N/A,FALSE,"P&amp;L C_Oct";#N/A,#N/A,FALSE,"P&amp;L C_Sep";#N/A,#N/A,FALSE,"1996";#N/A,#N/A,FALSE,"Data"}</definedName>
    <definedName name="ENTRY" localSheetId="2">#REF!</definedName>
    <definedName name="ENTRY">#REF!</definedName>
    <definedName name="EOY">35065</definedName>
    <definedName name="EPMWorkbookOptions_1" hidden="1">"SAEAAB|LCAAAAAAABADsvQdgHEmWJSYvbcp7f0r1StfgdKEIgGATJNiQQBDswYjN5pLsHWlHIymrKoHKZVZlXWYWQMztnbz33nvvvffee||997o7nU4n99//P1xmZAFs9s5K2smeIYCqyB8/fnwfPyIe/x7vFmV6mddNUS0/|2h3vPNRmi|n1axYXnz20bo939799KPf4|g3Th5/t6rfTqrq7Zerlpo2Kb23bB69a4rPPpq37erR3btXV1fjq3v"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"jqr64u7ezs3v39/7i|evpPF9k28WyabPlNP/IvjW7|a2PqNc0ffwqP6/zZv7l8stVvjw6z8omf3w3/JDbnZR5Vj/N2uzL5evsMjctux9zWzOWl3XV5tM2n5nW/S/C9lez9C6IYRsqNY7|nwAAAP//Sn4wTEgBAAA="</definedName>
    <definedName name="EPMWorkbookOptions_3" hidden="1">"Nny1sOEQv9xHsVUOzZ2h3zaw7fgciJ4/MrT38jSgc6X8cgPT+G+F3DvnBUEe9HWJo6NmPzKyRU6SuwyYUo3xGYh6GK6ujCcINwBHby8irdvLOXxXsLVE2HlvMOVKeYpG03y5MmHzbHFaz9fKCOUBREV2Mqqy1VFps3JQK8KwBG1HQ3OS52jSQ4sRKVcRYsGojBQgIlt9H6bnHcWfhWeFV8W+/sCQy2K9DAAg2RtSOGH4wUAY4vHs/SCaI+Xx"</definedName>
    <definedName name="EPMWorkbookOptions_4" hidden="1">"zjTm99QmdKijHPr44Z6ny9F/uuVLMmnyUgbED0QZZkCCWcOCLGtClaSUACYcfU4V9jWS/7Pr6S1R57v/0PcAYMlm7vy2xySy7XkYg+Faj3+sXhpJe6jLetyh3E4CC7wudmT1x6fTt1Qql1mWPT99i8lL3x3EYKTygj5I7yYtmonCKxkQP5CO2I87kNspZi1e5zVV+HQtq1QZUKtVz69lpeTVMo9hMEq7zR4f9zC9KBBVVOQMiAeE3QLp8bEv"</definedName>
    <definedName name="EPMWorkbookOptions_5" hidden="1">"ZRdPGi3uRG6nuHf7uiBf8/Mqm7zivmV4tE2VpCEZF1UhtRUtCktf7icFy+3ksCR2eIkQ7uqff+H8+0QuJy+RfSCDYcsAANpxD9jLU9E05SmjEqIiyGpG5ZhKiUntR9eTUOrFSuyh3E4bJHmniFdsgJXkNUAXYXjHth2OeaBekEkn1fuBSCCaqKX2G3Q0kBTvAqKBtLqPcQdyO81OVXRhoBK8wjXf+arJa3k+kCRMyZ84SG3ehlhIQobCQ9Fp"</definedName>
    <definedName name="EPMWorkbookOptions_6" hidden="1">"pra/hVgMtFbcWdxOJde7vWu+tdSSV8I3BI9+kAiYcqElprZ6nSDSl2O/A7soETaLkVCM6LKe3p9XnYiSRDC5nY7XE3ltoIraFbtePXldb0dxuyX7oWdbsr8SCngTLcTRUWcQA6M7cWItfEzTPxg+2smpaIqRPZNNeYnM3fm94KArJ8wRxBujsqnBV7STPB52ZXdnWElYOi7GnXR4Iii/nnhPjevajxAbcDRHPYRfDhZC41+/HMx6Z2YbvwH+"</definedName>
    <definedName name="EPMWorkbookOptions_7" hidden="1">"o9DRbjsAAA=="</definedName>
    <definedName name="EQUITY">#REF!</definedName>
    <definedName name="EquityTaxReturn">#REF!</definedName>
    <definedName name="Equivalent_Units_Switch">#REF!</definedName>
    <definedName name="er"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e" localSheetId="2" hidden="1">{#N/A,#N/A,FALSE,"CAPREIT"}</definedName>
    <definedName name="ere" hidden="1">{#N/A,#N/A,FALSE,"CAPREIT"}</definedName>
    <definedName name="eree" localSheetId="2" hidden="1">{"cashcons",#N/A,FALSE,"CASHCONS";"cash7000",#N/A,FALSE,"CASH7000";"cash9000",#N/A,FALSE,"CASH9000";"assu7000",#N/A,FALSE,"ASSU7000";"assu9000",#N/A,FALSE,"ASSU9000";"rentroll",#N/A,FALSE,"RENTROLL";"expr7000",#N/A,FALSE,"EXPR7000";"expr9000",#N/A,FALSE,"EXPR9000"}</definedName>
    <definedName name="eree" hidden="1">{"cashcons",#N/A,FALSE,"CASHCONS";"cash7000",#N/A,FALSE,"CASH7000";"cash9000",#N/A,FALSE,"CASH9000";"assu7000",#N/A,FALSE,"ASSU7000";"assu9000",#N/A,FALSE,"ASSU9000";"rentroll",#N/A,FALSE,"RENTROLL";"expr7000",#N/A,FALSE,"EXPR7000";"expr9000",#N/A,FALSE,"EXPR9000"}</definedName>
    <definedName name="errere" localSheetId="2" hidden="1">{#N/A,#N/A,FALSE,"Broker Sheet";#N/A,#N/A,FALSE,"Exec.Summary";#N/A,#N/A,FALSE,"Argus Cash Flow";#N/A,#N/A,FALSE,"SPF";#N/A,#N/A,FALSE,"RentRoll"}</definedName>
    <definedName name="errere" hidden="1">{#N/A,#N/A,FALSE,"Broker Sheet";#N/A,#N/A,FALSE,"Exec.Summary";#N/A,#N/A,FALSE,"Argus Cash Flow";#N/A,#N/A,FALSE,"SPF";#N/A,#N/A,FALSE,"RentRoll"}</definedName>
    <definedName name="errr" localSheetId="2" hidden="1">{"cashcons",#N/A,FALSE,"CASHCONS";"cash7000",#N/A,FALSE,"CASH7000";"cash9000",#N/A,FALSE,"CASH9000";"assu7000",#N/A,FALSE,"ASSU7000";"assu9000",#N/A,FALSE,"ASSU9000";"rentroll",#N/A,FALSE,"RENTROLL";"expr7000",#N/A,FALSE,"EXPR7000";"expr9000",#N/A,FALSE,"EXPR9000"}</definedName>
    <definedName name="errr" hidden="1">{"cashcons",#N/A,FALSE,"CASHCONS";"cash7000",#N/A,FALSE,"CASH7000";"cash9000",#N/A,FALSE,"CASH9000";"assu7000",#N/A,FALSE,"ASSU7000";"assu9000",#N/A,FALSE,"ASSU9000";"rentroll",#N/A,FALSE,"RENTROLL";"expr7000",#N/A,FALSE,"EXPR7000";"expr9000",#N/A,FALSE,"EXPR9000"}</definedName>
    <definedName name="EssAliasTable">"Default"</definedName>
    <definedName name="EssLatest">"P1 2003/04"</definedName>
    <definedName name="EssOptions">"A1110000000011000010001101000_08#Missing00"</definedName>
    <definedName name="ESTIMATE_Sheet2_List">#REF!</definedName>
    <definedName name="ETRorig" hidden="1">{#N/A,#N/A,FALSE,"TITLEPG";#N/A,#N/A,FALSE,"INDEX";#N/A,#N/A,FALSE,"PAGE7";#N/A,#N/A,FALSE,"COSS";#N/A,#N/A,FALSE,"Taxes FEED ";#N/A,#N/A,FALSE,"PRIOR MTH Taxes FD  ";#N/A,#N/A,FALSE,"FITCALC";#N/A,#N/A,FALSE,"CCBT";#N/A,#N/A,FALSE,"BKTAXINCOME";#N/A,#N/A,FALSE,"PERMDIFFEVENTS";#N/A,#N/A,FALSE,"TIMDIFFEVENTS";#N/A,#N/A,FALSE,"DEPREC";#N/A,#N/A,FALSE,"PERMDIFF";#N/A,#N/A,FALSE,"OPTIMDIFF";#N/A,#N/A,FALSE,"NONOPTIMDIFF";#N/A,#N/A,FALSE,"190CRMTH";#N/A,#N/A,FALSE,"190CRYTD";#N/A,#N/A,FALSE,"190PRYTD";#N/A,#N/A,FALSE,"282CRMTH";#N/A,#N/A,FALSE,"282CRYTD";#N/A,#N/A,FALSE,"282PRYTD";#N/A,#N/A,FALSE,"283CRMTH";#N/A,#N/A,FALSE,"283CRYTD";#N/A,#N/A,FALSE,"283PRYTD";#N/A,#N/A,FALSE,"DITSUM";#N/A,#N/A,FALSE,"CRYTDACREC";#N/A,#N/A,FALSE,"PRYTDACREC";#N/A,#N/A,FALSE,"SYSJRNL"}</definedName>
    <definedName name="ev.Calculation" hidden="1">-4105</definedName>
    <definedName name="ev.Initialized" hidden="1">FALSE</definedName>
    <definedName name="EV__EVCOM_OPTIONS__" hidden="1">8</definedName>
    <definedName name="EV__EXPOPTIONS__" hidden="1">0</definedName>
    <definedName name="EV__LASTREFTIME__" hidden="1">42537.6621180556</definedName>
    <definedName name="EV__LOCKEDCVW__ALLOC_PERC">"Total_Perc,ALL_COMPANIES,ACTUAL,2001,Y002096.AG0005,WBS_S_TOTAL,PERIODIC,"</definedName>
    <definedName name="EV__MAXEXPCOLS__" hidden="1">100</definedName>
    <definedName name="EV__MAXEXPROWS__" hidden="1">1000</definedName>
    <definedName name="EV__MEMORYCVW__" hidden="1">0</definedName>
    <definedName name="EV__USERCHANGEOPTIONS__" hidden="1">1</definedName>
    <definedName name="EV__WBEVMODE__" hidden="1">1</definedName>
    <definedName name="EV__WBREFOPTIONS__" hidden="1">134217728</definedName>
    <definedName name="EV__WBVERSION__" hidden="1">0</definedName>
    <definedName name="EV__WSINFO__">"ngridbpc"</definedName>
    <definedName name="EV_LASTREFTIME_2" hidden="1">40324.6713773148</definedName>
    <definedName name="External_Services">#REF!</definedName>
    <definedName name="_xlnm.Extract">#REF!</definedName>
    <definedName name="ey">#REF!</definedName>
    <definedName name="f" hidden="1">#REF!</definedName>
    <definedName name="facility_pct">#REF!</definedName>
    <definedName name="Facturacion_vencida">#REF!</definedName>
    <definedName name="fadsf"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CDisc">#REF!</definedName>
    <definedName name="Fcst_RevReqDetails">#REF!</definedName>
    <definedName name="Fcst1_RevReqDetails">#REF!</definedName>
    <definedName name="Fcst2_RevReqDetails">#REF!</definedName>
    <definedName name="Fcst3_RevReqDetails">#REF!</definedName>
    <definedName name="Fcst4_RevReqDetails">#REF!</definedName>
    <definedName name="Fcst5_RevReqDetails">#REF!</definedName>
    <definedName name="FD">#REF!</definedName>
    <definedName name="fdfdfd" localSheetId="2" hidden="1">{#N/A,#N/A,FALSE,"CAPREIT"}</definedName>
    <definedName name="fdfdfd" hidden="1">{#N/A,#N/A,FALSE,"CAPREIT"}</definedName>
    <definedName name="fdfdfdf" localSheetId="2" hidden="1">{#N/A,#N/A,FALSE,"CAPREIT"}</definedName>
    <definedName name="fdfdfdf" hidden="1">{#N/A,#N/A,FALSE,"CAPREIT"}</definedName>
    <definedName name="fdgad" localSheetId="2" hidden="1">{"inputs raw data",#N/A,TRUE,"INPUT"}</definedName>
    <definedName name="fdgad" hidden="1">{"inputs raw data",#N/A,TRUE,"INPUT"}</definedName>
    <definedName name="fdggb" hidden="1">{#N/A,#N/A,FALSE,"Income";#N/A,#N/A,FALSE,"Cost of Goods Sold";#N/A,#N/A,FALSE,"Other Costs";#N/A,#N/A,FALSE,"Other Income";#N/A,#N/A,FALSE,"Taxes";#N/A,#N/A,FALSE,"Other Deductions";#N/A,#N/A,FALSE,"Compensation of Officers"}</definedName>
    <definedName name="FEBCURMOUNBILL" localSheetId="2">#REF!</definedName>
    <definedName name="FEBCURMOUNBILL">#REF!</definedName>
    <definedName name="FEBELPCREDITS" localSheetId="2">#REF!</definedName>
    <definedName name="FEBELPCREDITS">#REF!</definedName>
    <definedName name="FEBELPRECOV" localSheetId="2">#REF!</definedName>
    <definedName name="FEBELPRECOV">#REF!</definedName>
    <definedName name="Fecha_aval">#REF!</definedName>
    <definedName name="FEDERAL_TaxRate">#REF!</definedName>
    <definedName name="FEDERAL_TaxRatePRIOR">#REF!</definedName>
    <definedName name="fedtaxrate">#REF!</definedName>
    <definedName name="Festivos_i">#REF!</definedName>
    <definedName name="Festivos_n">#REF!</definedName>
    <definedName name="FestivosUsdEur">#REF!</definedName>
    <definedName name="FF" localSheetId="2" hidden="1">{#N/A,#N/A,FALSE,"ForestPark"}</definedName>
    <definedName name="FF" hidden="1">{#N/A,#N/A,FALSE,"ForestPark"}</definedName>
    <definedName name="FFF" localSheetId="2" hidden="1">{#N/A,#N/A,FALSE,"SP2"}</definedName>
    <definedName name="FFF" hidden="1">{#N/A,#N/A,FALSE,"SP2"}</definedName>
    <definedName name="ffffff" localSheetId="2" hidden="1">{#N/A,#N/A,FALSE,"Cashflow Analysis";#N/A,#N/A,FALSE,"Sensitivity Analysis";#N/A,#N/A,FALSE,"PV";#N/A,#N/A,FALSE,"Pro Forma"}</definedName>
    <definedName name="ffffff" hidden="1">{#N/A,#N/A,FALSE,"Cashflow Analysis";#N/A,#N/A,FALSE,"Sensitivity Analysis";#N/A,#N/A,FALSE,"PV";#N/A,#N/A,FALSE,"Pro Forma"}</definedName>
    <definedName name="ffffff.2" localSheetId="2" hidden="1">{#N/A,#N/A,FALSE,"Cashflow Analysis";#N/A,#N/A,FALSE,"Sensitivity Analysis";#N/A,#N/A,FALSE,"PV";#N/A,#N/A,FALSE,"Pro Forma"}</definedName>
    <definedName name="ffffff.2" hidden="1">{#N/A,#N/A,FALSE,"Cashflow Analysis";#N/A,#N/A,FALSE,"Sensitivity Analysis";#N/A,#N/A,FALSE,"PV";#N/A,#N/A,FALSE,"Pro Forma"}</definedName>
    <definedName name="fgf" localSheetId="2" hidden="1">{#N/A,#N/A,FALSE,"Aging Summary";#N/A,#N/A,FALSE,"Ratio Analysis";#N/A,#N/A,FALSE,"Test 120 Day Accts";#N/A,#N/A,FALSE,"Tickmarks"}</definedName>
    <definedName name="fgf" hidden="1">{#N/A,#N/A,FALSE,"Aging Summary";#N/A,#N/A,FALSE,"Ratio Analysis";#N/A,#N/A,FALSE,"Test 120 Day Accts";#N/A,#N/A,FALSE,"Tickmarks"}</definedName>
    <definedName name="fgg">#REF!</definedName>
    <definedName name="fhg"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ile">#REF!</definedName>
    <definedName name="File_Path">!$I$248</definedName>
    <definedName name="Fin_Summary_Maq">#REF!</definedName>
    <definedName name="Fin_Upload">#REF!</definedName>
    <definedName name="Finance_Schedule">#REF!</definedName>
    <definedName name="FinancialsDate">#REF!</definedName>
    <definedName name="FiscalYear">#REF!</definedName>
    <definedName name="five" hidden="1">#REF!,#REF!</definedName>
    <definedName name="Fixed.Assets" hidden="1">{#N/A,#N/A,FALSE,"Income";#N/A,#N/A,FALSE,"Cost of Goods Sold";#N/A,#N/A,FALSE,"Other Costs";#N/A,#N/A,FALSE,"Other Income";#N/A,#N/A,FALSE,"Taxes";#N/A,#N/A,FALSE,"Other Deductions";#N/A,#N/A,FALSE,"Compensation of Officers"}</definedName>
    <definedName name="fm" localSheetId="2" hidden="1">{"summary1",#N/A,TRUE,"Comps";"summary2",#N/A,TRUE,"Comps";"summary3",#N/A,TRUE,"Comps"}</definedName>
    <definedName name="fm" hidden="1">{"summary1",#N/A,TRUE,"Comps";"summary2",#N/A,TRUE,"Comps";"summary3",#N/A,TRUE,"Comps"}</definedName>
    <definedName name="foo" localSheetId="2" hidden="1">{#N/A,#N/A,FALSE,"Bgt";#N/A,#N/A,FALSE,"Act";#N/A,#N/A,FALSE,"Chrt Data";#N/A,#N/A,FALSE,"Bus Result";#N/A,#N/A,FALSE,"Main Charts";#N/A,#N/A,FALSE,"P&amp;L Ttl";#N/A,#N/A,FALSE,"P&amp;L C_Ttl";#N/A,#N/A,FALSE,"P&amp;L C_Oct";#N/A,#N/A,FALSE,"P&amp;L C_Sep";#N/A,#N/A,FALSE,"1996";#N/A,#N/A,FALSE,"Data"}</definedName>
    <definedName name="foo" hidden="1">{#N/A,#N/A,FALSE,"Bgt";#N/A,#N/A,FALSE,"Act";#N/A,#N/A,FALSE,"Chrt Data";#N/A,#N/A,FALSE,"Bus Result";#N/A,#N/A,FALSE,"Main Charts";#N/A,#N/A,FALSE,"P&amp;L Ttl";#N/A,#N/A,FALSE,"P&amp;L C_Ttl";#N/A,#N/A,FALSE,"P&amp;L C_Oct";#N/A,#N/A,FALSE,"P&amp;L C_Sep";#N/A,#N/A,FALSE,"1996";#N/A,#N/A,FALSE,"Data"}</definedName>
    <definedName name="FOOTER">#REF!</definedName>
    <definedName name="FOOTER2">#REF!</definedName>
    <definedName name="ForecastDetails">#REF!</definedName>
    <definedName name="ForecastPeriod" hidden="1">#REF!</definedName>
    <definedName name="ForecastYear">#REF!</definedName>
    <definedName name="ForecastYearPlusFive">#REF!</definedName>
    <definedName name="ForecastYearPlusFour">#REF!</definedName>
    <definedName name="ForecastYearPlusOne">#REF!</definedName>
    <definedName name="ForecastYearPlusThree">#REF!</definedName>
    <definedName name="ForecastYearPlusTwo">#REF!</definedName>
    <definedName name="Foreign" hidden="1">{#N/A,#N/A,FALSE,"Income";#N/A,#N/A,FALSE,"Cost of Goods Sold";#N/A,#N/A,FALSE,"Other Costs";#N/A,#N/A,FALSE,"Other Income";#N/A,#N/A,FALSE,"Taxes";#N/A,#N/A,FALSE,"Other Deductions";#N/A,#N/A,FALSE,"Compensation of Officers"}</definedName>
    <definedName name="Foreign.Info" hidden="1">{#N/A,#N/A,FALSE,"Income";#N/A,#N/A,FALSE,"Cost of Goods Sold";#N/A,#N/A,FALSE,"Other Costs";#N/A,#N/A,FALSE,"Other Income";#N/A,#N/A,FALSE,"Taxes";#N/A,#N/A,FALSE,"Other Deductions";#N/A,#N/A,FALSE,"Compensation of Officers"}</definedName>
    <definedName name="ForgivenKWH" localSheetId="2">#REF!</definedName>
    <definedName name="ForgivenKWH">#REF!</definedName>
    <definedName name="Format">#REF!</definedName>
    <definedName name="four" hidden="1">#REF!,#REF!,#REF!</definedName>
    <definedName name="fourfifteen">34804</definedName>
    <definedName name="fourfiftenn">34804</definedName>
    <definedName name="FPINDEX">#REF!</definedName>
    <definedName name="FPYN">#REF!</definedName>
    <definedName name="FR">#REF!</definedName>
    <definedName name="FUELGEN" localSheetId="2">#REF!</definedName>
    <definedName name="FUELGEN">#REF!</definedName>
    <definedName name="FUELKWH">#N/A</definedName>
    <definedName name="FUELSTOCK" localSheetId="2">#REF!</definedName>
    <definedName name="FUELSTOCK">#REF!</definedName>
    <definedName name="FY4_LACTUAL">"a"</definedName>
    <definedName name="G">#REF!</definedName>
    <definedName name="GAAP_P_L">#REF!</definedName>
    <definedName name="GAM83M">#REF!</definedName>
    <definedName name="GAR94U">#REF!</definedName>
    <definedName name="gegeg" localSheetId="2" hidden="1">{#N/A,#N/A,FALSE,"Cashflow Analysis";#N/A,#N/A,FALSE,"Sensitivity Analysis";#N/A,#N/A,FALSE,"PV";#N/A,#N/A,FALSE,"Pro Forma"}</definedName>
    <definedName name="gegeg" hidden="1">{#N/A,#N/A,FALSE,"Cashflow Analysis";#N/A,#N/A,FALSE,"Sensitivity Analysis";#N/A,#N/A,FALSE,"PV";#N/A,#N/A,FALSE,"Pro Forma"}</definedName>
    <definedName name="gegeg.2" localSheetId="2" hidden="1">{#N/A,#N/A,FALSE,"Cashflow Analysis";#N/A,#N/A,FALSE,"Sensitivity Analysis";#N/A,#N/A,FALSE,"PV";#N/A,#N/A,FALSE,"Pro Forma"}</definedName>
    <definedName name="gegeg.2" hidden="1">{#N/A,#N/A,FALSE,"Cashflow Analysis";#N/A,#N/A,FALSE,"Sensitivity Analysis";#N/A,#N/A,FALSE,"PV";#N/A,#N/A,FALSE,"Pro Forma"}</definedName>
    <definedName name="get">#REF!</definedName>
    <definedName name="GETREF">#REF!</definedName>
    <definedName name="gfhs" localSheetId="2" hidden="1">{"summary1",#N/A,TRUE,"Comps";"summary2",#N/A,TRUE,"Comps";"summary3",#N/A,TRUE,"Comps"}</definedName>
    <definedName name="gfhs" hidden="1">{"summary1",#N/A,TRUE,"Comps";"summary2",#N/A,TRUE,"Comps";"summary3",#N/A,TRUE,"Comps"}</definedName>
    <definedName name="gg" localSheetId="2" hidden="1">{#N/A,#N/A,FALSE,"Cashflow Analysis";#N/A,#N/A,FALSE,"Sensitivity Analysis";#N/A,#N/A,FALSE,"PV";#N/A,#N/A,FALSE,"Pro Forma"}</definedName>
    <definedName name="gg" hidden="1">{#N/A,#N/A,FALSE,"Cashflow Analysis";#N/A,#N/A,FALSE,"Sensitivity Analysis";#N/A,#N/A,FALSE,"PV";#N/A,#N/A,FALSE,"Pro Forma"}</definedName>
    <definedName name="gg.2" localSheetId="2" hidden="1">{#N/A,#N/A,FALSE,"Cashflow Analysis";#N/A,#N/A,FALSE,"Sensitivity Analysis";#N/A,#N/A,FALSE,"PV";#N/A,#N/A,FALSE,"Pro Forma"}</definedName>
    <definedName name="gg.2" hidden="1">{#N/A,#N/A,FALSE,"Cashflow Analysis";#N/A,#N/A,FALSE,"Sensitivity Analysis";#N/A,#N/A,FALSE,"PV";#N/A,#N/A,FALSE,"Pro Forma"}</definedName>
    <definedName name="gg_1" hidden="1">{#N/A,#N/A,FALSE,"GLDwnLoad"}</definedName>
    <definedName name="ggg">#REF!</definedName>
    <definedName name="GKUY"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 hidden="1">{#N/A,#N/A,FALSE,"GLDwnLoad"}</definedName>
    <definedName name="gl_1" hidden="1">{#N/A,#N/A,FALSE,"GLDwnLoad"}</definedName>
    <definedName name="GOD" localSheetId="2" hidden="1">{#N/A,#N/A,TRUE,"Facility-Input";#N/A,#N/A,TRUE,"Graphs";#N/A,#N/A,TRUE,"TOTAL"}</definedName>
    <definedName name="GOD" hidden="1">{#N/A,#N/A,TRUE,"Facility-Input";#N/A,#N/A,TRUE,"Graphs";#N/A,#N/A,TRUE,"TOTAL"}</definedName>
    <definedName name="golly" localSheetId="2" hidden="1">{#N/A,#N/A,TRUE,"Facility-Input";#N/A,#N/A,TRUE,"Graphs";#N/A,#N/A,TRUE,"TOTAL"}</definedName>
    <definedName name="golly" hidden="1">{#N/A,#N/A,TRUE,"Facility-Input";#N/A,#N/A,TRUE,"Graphs";#N/A,#N/A,TRUE,"TOTAL"}</definedName>
    <definedName name="GOODBYE" localSheetId="2" hidden="1">{#N/A,#N/A,TRUE,"Facility-Input";#N/A,#N/A,TRUE,"Graphs";#N/A,#N/A,TRUE,"TOTAL"}</definedName>
    <definedName name="GOODBYE" hidden="1">{#N/A,#N/A,TRUE,"Facility-Input";#N/A,#N/A,TRUE,"Graphs";#N/A,#N/A,TRUE,"TOTAL"}</definedName>
    <definedName name="Gplantlife">#REF!</definedName>
    <definedName name="GRAND">#REF!</definedName>
    <definedName name="group">#REF!</definedName>
    <definedName name="grouping">#REF!</definedName>
    <definedName name="GrowthRate">#REF!</definedName>
    <definedName name="GSA2_Reliability_Cap_Req_Difference">#REF!</definedName>
    <definedName name="gsc1basis">#REF!</definedName>
    <definedName name="gygu" localSheetId="2"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ygu"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h" localSheetId="2" hidden="1">{"Assumptions",#N/A,FALSE,"Assumptions";"Sum",#N/A,FALSE,"Summary";"Notes",#N/A,FALSE,"Notes";"Inputs",#N/A,FALSE,"Inputs";"Other Inputs",#N/A,FALSE,"Inputs";"RD",#N/A,FALSE,"RD";"Revenue Detail",#N/A,FALSE,"Revenue";"Expense Detail",#N/A,FALSE,"Expense";"Tax Detail",#N/A,FALSE,"Tax";"FinSt",#N/A,FALSE,"Financials"}</definedName>
    <definedName name="h" hidden="1">{"Assumptions",#N/A,FALSE,"Assumptions";"Sum",#N/A,FALSE,"Summary";"Notes",#N/A,FALSE,"Notes";"Inputs",#N/A,FALSE,"Inputs";"Other Inputs",#N/A,FALSE,"Inputs";"RD",#N/A,FALSE,"RD";"Revenue Detail",#N/A,FALSE,"Revenue";"Expense Detail",#N/A,FALSE,"Expense";"Tax Detail",#N/A,FALSE,"Tax";"FinSt",#N/A,FALSE,"Financials"}</definedName>
    <definedName name="H_Control" localSheetId="2" hidden="1">{"'I1'!$B$2:$N$14"}</definedName>
    <definedName name="H_Control" hidden="1">{"'I1'!$B$2:$N$14"}</definedName>
    <definedName name="HCMINTERRUPT">#REF!</definedName>
    <definedName name="HD"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count">#REF!</definedName>
    <definedName name="header" localSheetId="2">#REF!</definedName>
    <definedName name="header">#REF!</definedName>
    <definedName name="HEADING">#REF!</definedName>
    <definedName name="hello" localSheetId="2" hidden="1">{#N/A,#N/A,TRUE,"Facility-Input";#N/A,#N/A,TRUE,"Graphs";#N/A,#N/A,TRUE,"TOTAL"}</definedName>
    <definedName name="hello" hidden="1">{#N/A,#N/A,TRUE,"Facility-Input";#N/A,#N/A,TRUE,"Graphs";#N/A,#N/A,TRUE,"TOTAL"}</definedName>
    <definedName name="hh" hidden="1">{#N/A,#N/A,FALSE,"Sheet1";#N/A,#N/A,FALSE,"Sheet1"}</definedName>
    <definedName name="hh_1" hidden="1">{#N/A,#N/A,FALSE,"Sheet1";#N/A,#N/A,FALSE,"Sheet1"}</definedName>
    <definedName name="hhh">#REF!</definedName>
    <definedName name="hhhh">#REF!</definedName>
    <definedName name="hi">#REF!</definedName>
    <definedName name="HiLevelForecast">#REF!</definedName>
    <definedName name="HiLevelForecast_t_neils_excel_report">#REF!</definedName>
    <definedName name="Hipotesis">#REF!</definedName>
    <definedName name="hjf"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n.ExtDb" hidden="1">FALSE</definedName>
    <definedName name="hn.ModelType" hidden="1">"DEAL"</definedName>
    <definedName name="hn.ModelVersion" hidden="1">1</definedName>
    <definedName name="hn.NoUpload" hidden="1">0</definedName>
    <definedName name="hng" localSheetId="2" hidden="1">{#N/A,#N/A,FALSE,"Services Summary";#N/A,#N/A,FALSE,"Emmes Summary";#N/A,#N/A,FALSE,"Northstar"}</definedName>
    <definedName name="hng" hidden="1">{#N/A,#N/A,FALSE,"Services Summary";#N/A,#N/A,FALSE,"Emmes Summary";#N/A,#N/A,FALSE,"Northstar"}</definedName>
    <definedName name="holyoke">#REF!</definedName>
    <definedName name="hope" localSheetId="2" hidden="1">{#N/A,#N/A,FALSE,"LP Exp";#N/A,#N/A,FALSE,"Salary";#N/A,#N/A,FALSE,"Admin Exp";#N/A,#N/A,FALSE,"QTS Bud";#N/A,#N/A,FALSE,"Marketing"}</definedName>
    <definedName name="hope" hidden="1">{#N/A,#N/A,FALSE,"LP Exp";#N/A,#N/A,FALSE,"Salary";#N/A,#N/A,FALSE,"Admin Exp";#N/A,#N/A,FALSE,"QTS Bud";#N/A,#N/A,FALSE,"Marketing"}</definedName>
    <definedName name="HOURs">#REF!</definedName>
    <definedName name="HTML_CodePage" hidden="1">1252</definedName>
    <definedName name="HTML_Control" hidden="1">{"'Sheet1'!$A$1:$D$15","'Sheet2'!$A$2:$J$15"}</definedName>
    <definedName name="HTML_Description" hidden="1">""</definedName>
    <definedName name="HTML_Email" hidden="1">""</definedName>
    <definedName name="HTML_Header" hidden="1">"FY98 BP2"</definedName>
    <definedName name="HTML_LastUpdate" hidden="1">"10/2/98"</definedName>
    <definedName name="HTML_LineAfter" hidden="1">TRUE</definedName>
    <definedName name="HTML_LineBefore" hidden="1">TRUE</definedName>
    <definedName name="HTML_Name" hidden="1">"Matt Verhalen"</definedName>
    <definedName name="HTML_OBDlg2" hidden="1">TRUE</definedName>
    <definedName name="HTML_OBDlg4" hidden="1">TRUE</definedName>
    <definedName name="HTML_OS" hidden="1">0</definedName>
    <definedName name="HTML_PathFile" hidden="1">"K:\financial\Budget\summary.htm"</definedName>
    <definedName name="HTML_Title" hidden="1">"summary 98bp2"</definedName>
    <definedName name="hwpcoc">#REF!</definedName>
    <definedName name="hwpcoc2">#REF!</definedName>
    <definedName name="I93_">#N/A</definedName>
    <definedName name="I94_">#N/A</definedName>
    <definedName name="I95_">#N/A</definedName>
    <definedName name="I96_">#N/A</definedName>
    <definedName name="IALLOC">#N/A</definedName>
    <definedName name="IBREV">#N/A</definedName>
    <definedName name="IBREV1">#N/A</definedName>
    <definedName name="IFREV">#N/A</definedName>
    <definedName name="IFRS_P_L">#REF!</definedName>
    <definedName name="IGREV">#N/A</definedName>
    <definedName name="Img_ML_3c7g1a7g" hidden="1">"IMG_3"</definedName>
    <definedName name="Img_ML_7g5e5e2b" hidden="1">"IMG_3"</definedName>
    <definedName name="Img_ML_8h7g4d4d" hidden="1">"IMG_3"</definedName>
    <definedName name="Img_Production_Breakdown" hidden="1">"IMG_3"</definedName>
    <definedName name="in" hidden="1">{#N/A,#N/A,FALSE,"OTHERINPUTS";#N/A,#N/A,FALSE,"DITRATEINPUTS";#N/A,#N/A,FALSE,"SUPPLIEDADJINPUT";#N/A,#N/A,FALSE,"TIMINGDIFFINPUTS";#N/A,#N/A,FALSE,"BR&amp;SUPADJ."}</definedName>
    <definedName name="in_1" hidden="1">{#N/A,#N/A,FALSE,"OTHERINPUTS";#N/A,#N/A,FALSE,"DITRATEINPUTS";#N/A,#N/A,FALSE,"SUPPLIEDADJINPUT";#N/A,#N/A,FALSE,"TIMINGDIFFINPUTS";#N/A,#N/A,FALSE,"BR&amp;SUPADJ."}</definedName>
    <definedName name="inactfactor">#REF!</definedName>
    <definedName name="Income_Tax">#REF!</definedName>
    <definedName name="INDC">#N/A</definedName>
    <definedName name="index">#REF!</definedName>
    <definedName name="IndexGraph" localSheetId="2" hidden="1">#REF!</definedName>
    <definedName name="IndexGraph" hidden="1">#REF!</definedName>
    <definedName name="IndexKey">#REF!</definedName>
    <definedName name="Indexx" localSheetId="2" hidden="1">{"YTD-Total",#N/A,TRUE,"Provision";"YTD-Utility",#N/A,TRUE,"Prov Utility";"YTD-NonUtility",#N/A,TRUE,"Prov NonUtility"}</definedName>
    <definedName name="Indexx" hidden="1">{"YTD-Total",#N/A,TRUE,"Provision";"YTD-Utility",#N/A,TRUE,"Prov Utility";"YTD-NonUtility",#N/A,TRUE,"Prov NonUtility"}</definedName>
    <definedName name="INDMOD">#REF!</definedName>
    <definedName name="inf">#REF!</definedName>
    <definedName name="Inflators">#REF!</definedName>
    <definedName name="INPC1">#REF!</definedName>
    <definedName name="INPUT" localSheetId="2">#REF!</definedName>
    <definedName name="INPUT">#REF!</definedName>
    <definedName name="input_year">#REF!</definedName>
    <definedName name="InputCalcs">#REF!</definedName>
    <definedName name="InputSelection">#REF!,#REF!,#REF!,#REF!,#REF!,#REF!</definedName>
    <definedName name="Inservice">#REF!</definedName>
    <definedName name="INSVCYR">#REF!</definedName>
    <definedName name="INT">0.09</definedName>
    <definedName name="intfactor8.5">#REF!</definedName>
    <definedName name="IntroPrintArea" localSheetId="2" hidden="1">#REF!</definedName>
    <definedName name="IntroPrintArea" hidden="1">#REF!</definedName>
    <definedName name="INUT16">#REF!</definedName>
    <definedName name="InvestmentBaseDetails">#REF!</definedName>
    <definedName name="InvestmentReturnandTaxesDetails">#REF!</definedName>
    <definedName name="io">#REF!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 hidden="1">"c4539"</definedName>
    <definedName name="IQ_ACCOUNTING_STANDARD_CIQ_COL" hidden="1">"c11739"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CIQ_COL" hidden="1">"c11719"</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_COL" hidden="1">"c11718"</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REUT" hidden="1">"c3971"</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REUT" hidden="1">"c3972"</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PCT_REV" hidden="1">"c19144"</definedName>
    <definedName name="IQ_CAPEX_STDDEV_EST" hidden="1">"c3522"</definedName>
    <definedName name="IQ_CAPEX_STDDEV_EST_REUT" hidden="1">"c3974"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EST" hidden="1">"c4153"</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GUIDANCE" hidden="1">"c4201"</definedName>
    <definedName name="IQ_CASH_FLOW_HIGH_GUIDANCE_CIQ" hidden="1">"c4613"</definedName>
    <definedName name="IQ_CASH_FLOW_HIGH_GUIDANCE_CIQ_COL" hidden="1">"c11262"</definedName>
    <definedName name="IQ_CASH_FLOW_LOW_EST" hidden="1">"c4157"</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NUM_EST" hidden="1">"c4254"</definedName>
    <definedName name="IQ_CASH_ST_INVEST_STDDEV_EST" hidden="1">"c4255"</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_COL" hidden="1">"c11708"</definedName>
    <definedName name="IQ_CFPS_ACT_OR_EST_REUT" hidden="1">"c5463"</definedName>
    <definedName name="IQ_CFPS_EST" hidden="1">"c1667"</definedName>
    <definedName name="IQ_CFPS_EST_REUT" hidden="1">"c3844"</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REUT" hidden="1">"c3846"</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REUT" hidden="1">"c3847"</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NUM_EST" hidden="1">"c4283"</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V_AMOUNT" hidden="1">"c3041"</definedName>
    <definedName name="IQ_DIV_AMOUNT_LIST" hidden="1">"c17417"</definedName>
    <definedName name="IQ_DIV_PAYMENT_DATE" hidden="1">"c2205"</definedName>
    <definedName name="IQ_DIV_PAYMENT_DATE_LIST" hidden="1">"c17418"</definedName>
    <definedName name="IQ_DIV_PAYMENT_TYPE" hidden="1">"c12752"</definedName>
    <definedName name="IQ_DIV_PAYMENT_TYPE_LIST" hidden="1">"c17419"</definedName>
    <definedName name="IQ_DIV_RECORD_DATE" hidden="1">"c2204"</definedName>
    <definedName name="IQ_DIV_RECORD_DATE_LIST" hidden="1">"c17420"</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_COL" hidden="1">"c11709"</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REUT" hidden="1">"c3853"</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REUT" hidden="1">"c3854"</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_COL" hidden="1">"c11710"</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_COL" hidden="1">"c11478"</definedName>
    <definedName name="IQ_EBIT_GW_EST" hidden="1">"c4305"</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REUT" hidden="1">"c5336"</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CAPEX" hidden="1">"c19143"</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P" hidden="1">"c8880"</definedName>
    <definedName name="IQ_EPS_AP_ABS" hidden="1">"c8899"</definedName>
    <definedName name="IQ_EPS_EST" hidden="1">"c399"</definedName>
    <definedName name="IQ_EPS_EST_1" hidden="1">"IQ_EPS_EST_1"</definedName>
    <definedName name="IQ_EPS_EST_BOTTOM_UP" hidden="1">"c5489"</definedName>
    <definedName name="IQ_EPS_EST_BOTTOM_UP_REUT" hidden="1">"c5497"</definedName>
    <definedName name="IQ_EPS_EST_CIQ" hidden="1">"c4994"</definedName>
    <definedName name="IQ_EPS_EST_REUT" hidden="1">"c5453"</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CIQ" hidden="1">"c4723"</definedName>
    <definedName name="IQ_EPS_GW_EST_REUT" hidden="1">"c5389"</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CIQ_COL" hidden="1">"c11568"</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CIQ_COL" hidden="1">"c11579"</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DIFF_CIQ_COL" hidden="1">"c11213"</definedName>
    <definedName name="IQ_EST_CASH_FLOW_SURPRISE_PERCENT" hidden="1">"c4161"</definedName>
    <definedName name="IQ_EST_CASH_FLOW_SURPRISE_PERCENT_CIQ_COL" hidden="1">"c11222"</definedName>
    <definedName name="IQ_EST_CASH_OPER_DIFF" hidden="1">"c4162"</definedName>
    <definedName name="IQ_EST_CASH_OPER_DIFF_CIQ_COL" hidden="1">"c11223"</definedName>
    <definedName name="IQ_EST_CASH_OPER_SURPRISE_PERCENT" hidden="1">"c4248"</definedName>
    <definedName name="IQ_EST_CASH_OPER_SURPRISE_PERCENT_CIQ_COL" hidden="1">"c11421"</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 hidden="1">"c4276"</definedName>
    <definedName name="IQ_EST_DISTRIBUTABLE_CASH_DIFF_CIQ_COL" hidden="1">"c11448"</definedName>
    <definedName name="IQ_EST_DISTRIBUTABLE_CASH_GROWTH_1YR" hidden="1">"c4413"</definedName>
    <definedName name="IQ_EST_DISTRIBUTABLE_CASH_GROWTH_1YR_CIQ_COL" hidden="1">"c11585"</definedName>
    <definedName name="IQ_EST_DISTRIBUTABLE_CASH_GROWTH_2YR" hidden="1">"c4414"</definedName>
    <definedName name="IQ_EST_DISTRIBUTABLE_CASH_GROWTH_2YR_CIQ_COL" hidden="1">"c11586"</definedName>
    <definedName name="IQ_EST_DISTRIBUTABLE_CASH_GROWTH_Q_1YR" hidden="1">"c4415"</definedName>
    <definedName name="IQ_EST_DISTRIBUTABLE_CASH_GROWTH_Q_1YR_CIQ_COL" hidden="1">"c11587"</definedName>
    <definedName name="IQ_EST_DISTRIBUTABLE_CASH_SEQ_GROWTH_Q" hidden="1">"c4416"</definedName>
    <definedName name="IQ_EST_DISTRIBUTABLE_CASH_SEQ_GROWTH_Q_CIQ_COL" hidden="1">"c11588"</definedName>
    <definedName name="IQ_EST_DISTRIBUTABLE_CASH_SHARE_DIFF" hidden="1">"c4284"</definedName>
    <definedName name="IQ_EST_DISTRIBUTABLE_CASH_SHARE_DIFF_CIQ_COL" hidden="1">"c11456"</definedName>
    <definedName name="IQ_EST_DISTRIBUTABLE_CASH_SHARE_GROWTH_1YR" hidden="1">"c4417"</definedName>
    <definedName name="IQ_EST_DISTRIBUTABLE_CASH_SHARE_GROWTH_1YR_CIQ_COL" hidden="1">"c11589"</definedName>
    <definedName name="IQ_EST_DISTRIBUTABLE_CASH_SHARE_GROWTH_2YR" hidden="1">"c4418"</definedName>
    <definedName name="IQ_EST_DISTRIBUTABLE_CASH_SHARE_GROWTH_2YR_CIQ_COL" hidden="1">"c11590"</definedName>
    <definedName name="IQ_EST_DISTRIBUTABLE_CASH_SHARE_GROWTH_Q_1YR" hidden="1">"c4419"</definedName>
    <definedName name="IQ_EST_DISTRIBUTABLE_CASH_SHARE_GROWTH_Q_1YR_CIQ_COL" hidden="1">"c11591"</definedName>
    <definedName name="IQ_EST_DISTRIBUTABLE_CASH_SHARE_SEQ_GROWTH_Q" hidden="1">"c4420"</definedName>
    <definedName name="IQ_EST_DISTRIBUTABLE_CASH_SHARE_SEQ_GROWTH_Q_CIQ_COL" hidden="1">"c11592"</definedName>
    <definedName name="IQ_EST_DISTRIBUTABLE_CASH_SHARE_SURPRISE_PERCENT" hidden="1">"c4293"</definedName>
    <definedName name="IQ_EST_DISTRIBUTABLE_CASH_SHARE_SURPRISE_PERCENT_CIQ_COL" hidden="1">"c11465"</definedName>
    <definedName name="IQ_EST_DISTRIBUTABLE_CASH_SURPRISE_PERCENT" hidden="1">"c4295"</definedName>
    <definedName name="IQ_EST_DISTRIBUTABLE_CASH_SURPRISE_PERCENT_CIQ_COL" hidden="1">"c11467"</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DIFF_CIQ_COL" hidden="1">"c11476"</definedName>
    <definedName name="IQ_EST_EBIT_GW_SURPRISE_PERCENT" hidden="1">"c4313"</definedName>
    <definedName name="IQ_EST_EBIT_GW_SURPRISE_PERCENT_CIQ_COL" hidden="1">"c11485"</definedName>
    <definedName name="IQ_EST_EBIT_SBC_DIFF" hidden="1">"c4314"</definedName>
    <definedName name="IQ_EST_EBIT_SBC_DIFF_CIQ_COL" hidden="1">"c11486"</definedName>
    <definedName name="IQ_EST_EBIT_SBC_GW_DIFF" hidden="1">"c4318"</definedName>
    <definedName name="IQ_EST_EBIT_SBC_GW_DIFF_CIQ_COL" hidden="1">"c11490"</definedName>
    <definedName name="IQ_EST_EBIT_SBC_GW_SURPRISE_PERCENT" hidden="1">"c4327"</definedName>
    <definedName name="IQ_EST_EBIT_SBC_GW_SURPRISE_PERCENT_CIQ_COL" hidden="1">"c11499"</definedName>
    <definedName name="IQ_EST_EBIT_SBC_SURPRISE_PERCENT" hidden="1">"c4333"</definedName>
    <definedName name="IQ_EST_EBIT_SBC_SURPRISE_PERCENT_CIQ_COL" hidden="1">"c11505"</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DIFF_CIQ_COL" hidden="1">"c11507"</definedName>
    <definedName name="IQ_EST_EBITDA_SBC_SURPRISE_PERCENT" hidden="1">"c4344"</definedName>
    <definedName name="IQ_EST_EBITDA_SBC_SURPRISE_PERCENT_CIQ_COL" hidden="1">"c11516"</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DIFF_CIQ_COL" hidden="1">"c11520"</definedName>
    <definedName name="IQ_EST_EBT_SBC_GW_DIFF" hidden="1">"c4352"</definedName>
    <definedName name="IQ_EST_EBT_SBC_GW_DIFF_CIQ_COL" hidden="1">"c11524"</definedName>
    <definedName name="IQ_EST_EBT_SBC_GW_SURPRISE_PERCENT" hidden="1">"c4361"</definedName>
    <definedName name="IQ_EST_EBT_SBC_GW_SURPRISE_PERCENT_CIQ_COL" hidden="1">"c11533"</definedName>
    <definedName name="IQ_EST_EBT_SBC_SURPRISE_PERCENT" hidden="1">"c4367"</definedName>
    <definedName name="IQ_EST_EBT_SBC_SURPRISE_PERCENT_CIQ_COL" hidden="1">"c11539"</definedName>
    <definedName name="IQ_EST_EPS_DIFF" hidden="1">"c1864"</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 hidden="1">"c4374"</definedName>
    <definedName name="IQ_EST_EPS_SBC_DIFF_CIQ_COL" hidden="1">"c11546"</definedName>
    <definedName name="IQ_EST_EPS_SBC_GW_DIFF" hidden="1">"c4378"</definedName>
    <definedName name="IQ_EST_EPS_SBC_GW_DIFF_CIQ_COL" hidden="1">"c11550"</definedName>
    <definedName name="IQ_EST_EPS_SBC_GW_SURPRISE_PERCENT" hidden="1">"c4387"</definedName>
    <definedName name="IQ_EST_EPS_SBC_GW_SURPRISE_PERCENT_CIQ_COL" hidden="1">"c11559"</definedName>
    <definedName name="IQ_EST_EPS_SBC_SURPRISE_PERCENT" hidden="1">"c4393"</definedName>
    <definedName name="IQ_EST_EPS_SBC_SURPRISE_PERCENT_CIQ_COL" hidden="1">"c11565"</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AIR_VALUE_MORT_SERVICING_ASSETS_FFIEC" hidden="1">"c12956"</definedName>
    <definedName name="IQ_EST_FFO_ADJ_DIFF" hidden="1">"c4433"</definedName>
    <definedName name="IQ_EST_FFO_ADJ_DIFF_CIQ_COL" hidden="1">"c11605"</definedName>
    <definedName name="IQ_EST_FFO_ADJ_GROWTH_1YR" hidden="1">"c4421"</definedName>
    <definedName name="IQ_EST_FFO_ADJ_GROWTH_1YR_CIQ_COL" hidden="1">"c11593"</definedName>
    <definedName name="IQ_EST_FFO_ADJ_GROWTH_2YR" hidden="1">"c4422"</definedName>
    <definedName name="IQ_EST_FFO_ADJ_GROWTH_2YR_CIQ_COL" hidden="1">"c11594"</definedName>
    <definedName name="IQ_EST_FFO_ADJ_GROWTH_Q_1YR" hidden="1">"c4423"</definedName>
    <definedName name="IQ_EST_FFO_ADJ_GROWTH_Q_1YR_CIQ_COL" hidden="1">"c11595"</definedName>
    <definedName name="IQ_EST_FFO_ADJ_SEQ_GROWTH_Q" hidden="1">"c4424"</definedName>
    <definedName name="IQ_EST_FFO_ADJ_SEQ_GROWTH_Q_CIQ_COL" hidden="1">"c11596"</definedName>
    <definedName name="IQ_EST_FFO_ADJ_SURPRISE_PERCENT" hidden="1">"c4442"</definedName>
    <definedName name="IQ_EST_FFO_ADJ_SURPRISE_PERCENT_CIQ_COL" hidden="1">"c11614"</definedName>
    <definedName name="IQ_EST_FFO_DIFF" hidden="1">"c1869"</definedName>
    <definedName name="IQ_EST_FFO_DIFF_CIQ_COL" hidden="1">"c11616"</definedName>
    <definedName name="IQ_EST_FFO_DIFF_REUT" hidden="1">"c3890"</definedName>
    <definedName name="IQ_EST_FFO_GROWTH_1YR" hidden="1">"c1770"</definedName>
    <definedName name="IQ_EST_FFO_GROWTH_1YR_CIQ_COL" hidden="1">"c11597"</definedName>
    <definedName name="IQ_EST_FFO_GROWTH_1YR_REUT" hidden="1">"c3874"</definedName>
    <definedName name="IQ_EST_FFO_GROWTH_2YR" hidden="1">"c1771"</definedName>
    <definedName name="IQ_EST_FFO_GROWTH_2YR_CIQ_COL" hidden="1">"c11598"</definedName>
    <definedName name="IQ_EST_FFO_GROWTH_2YR_REUT" hidden="1">"c3875"</definedName>
    <definedName name="IQ_EST_FFO_GROWTH_Q_1YR" hidden="1">"c1772"</definedName>
    <definedName name="IQ_EST_FFO_GROWTH_Q_1YR_CIQ_COL" hidden="1">"c11599"</definedName>
    <definedName name="IQ_EST_FFO_GROWTH_Q_1YR_REUT" hidden="1">"c3876"</definedName>
    <definedName name="IQ_EST_FFO_SEQ_GROWTH_Q" hidden="1">"c1773"</definedName>
    <definedName name="IQ_EST_FFO_SEQ_GROWTH_Q_CIQ_COL" hidden="1">"c11600"</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CIQ_COL" hidden="1">"c11629"</definedName>
    <definedName name="IQ_EST_FFO_SURPRISE_PERCENT_REUT" hidden="1">"c3891"</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DIFF_CIQ_COL" hidden="1">"c11632"</definedName>
    <definedName name="IQ_EST_MAINT_CAPEX_GROWTH_1YR" hidden="1">"c4429"</definedName>
    <definedName name="IQ_EST_MAINT_CAPEX_GROWTH_1YR_CIQ_COL" hidden="1">"c11601"</definedName>
    <definedName name="IQ_EST_MAINT_CAPEX_GROWTH_2YR" hidden="1">"c4430"</definedName>
    <definedName name="IQ_EST_MAINT_CAPEX_GROWTH_2YR_CIQ_COL" hidden="1">"c11602"</definedName>
    <definedName name="IQ_EST_MAINT_CAPEX_GROWTH_Q_1YR" hidden="1">"c4431"</definedName>
    <definedName name="IQ_EST_MAINT_CAPEX_GROWTH_Q_1YR_CIQ_COL" hidden="1">"c11603"</definedName>
    <definedName name="IQ_EST_MAINT_CAPEX_SEQ_GROWTH_Q" hidden="1">"c4432"</definedName>
    <definedName name="IQ_EST_MAINT_CAPEX_SEQ_GROWTH_Q_CIQ_COL" hidden="1">"c11604"</definedName>
    <definedName name="IQ_EST_MAINT_CAPEX_SURPRISE_PERCENT" hidden="1">"c4465"</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DIFF_CIQ_COL" hidden="1">"c11657"</definedName>
    <definedName name="IQ_EST_NI_SBC_GW_DIFF" hidden="1">"c4476"</definedName>
    <definedName name="IQ_EST_NI_SBC_GW_DIFF_CIQ_COL" hidden="1">"c11661"</definedName>
    <definedName name="IQ_EST_NI_SBC_GW_SURPRISE_PERCENT" hidden="1">"c4485"</definedName>
    <definedName name="IQ_EST_NI_SBC_GW_SURPRISE_PERCENT_CIQ_COL" hidden="1">"c11670"</definedName>
    <definedName name="IQ_EST_NI_SBC_SURPRISE_PERCENT" hidden="1">"c4491"</definedName>
    <definedName name="IQ_EST_NI_SBC_SURPRISE_PERCENT_CIQ_COL" hidden="1">"c11676"</definedName>
    <definedName name="IQ_EST_NI_SURPRISE_PERCENT" hidden="1">"c1886"</definedName>
    <definedName name="IQ_EST_NI_SURPRISE_PERCENT_REUT" hidden="1">"c5424"</definedName>
    <definedName name="IQ_EST_NUM_BUY" hidden="1">"c1759"</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ERIOD_ID" hidden="1">"c13923"</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DIFF_CIQ_COL" hidden="1">"c11690"</definedName>
    <definedName name="IQ_EST_RECURRING_PROFIT_SHARE_SURPRISE_PERCENT" hidden="1">"c4515"</definedName>
    <definedName name="IQ_EST_RECURRING_PROFIT_SHARE_SURPRISE_PERCENT_CIQ_COL" hidden="1">"c11700"</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 hidden="1">"000"</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NUM_EST" hidden="1">"c4440"</definedName>
    <definedName name="IQ_FFO_ADJ_STDDEV_EST" hidden="1">"c4441"</definedName>
    <definedName name="IQ_FFO_DILUTED" hidden="1">"c16186"</definedName>
    <definedName name="IQ_FFO_EST" hidden="1">"c418"</definedName>
    <definedName name="IQ_FFO_EST_CIQ_COL" hidden="1">"c11617"</definedName>
    <definedName name="IQ_FFO_EST_REUT" hidden="1">"c3837"</definedName>
    <definedName name="IQ_FFO_GUIDANCE" hidden="1">"c4443"</definedName>
    <definedName name="IQ_FFO_GUIDANCE_CIQ" hidden="1">"c4968"</definedName>
    <definedName name="IQ_FFO_GUIDANCE_CIQ_COL" hidden="1">"c11615"</definedName>
    <definedName name="IQ_FFO_HIGH_EST" hidden="1">"c419"</definedName>
    <definedName name="IQ_FFO_HIGH_EST_CIQ_COL" hidden="1">"c11624"</definedName>
    <definedName name="IQ_FFO_HIGH_EST_REUT" hidden="1">"c3839"</definedName>
    <definedName name="IQ_FFO_HIGH_GUIDANCE" hidden="1">"c4184"</definedName>
    <definedName name="IQ_FFO_HIGH_GUIDANCE_CIQ" hidden="1">"c4596"</definedName>
    <definedName name="IQ_FFO_HIGH_GUIDANCE_CIQ_COL" hidden="1">"c11245"</definedName>
    <definedName name="IQ_FFO_LOW_EST" hidden="1">"c420"</definedName>
    <definedName name="IQ_FFO_LOW_EST_CIQ_COL" hidden="1">"c11625"</definedName>
    <definedName name="IQ_FFO_LOW_EST_REUT" hidden="1">"c3840"</definedName>
    <definedName name="IQ_FFO_LOW_GUIDANCE" hidden="1">"c4224"</definedName>
    <definedName name="IQ_FFO_LOW_GUIDANCE_CIQ" hidden="1">"c4636"</definedName>
    <definedName name="IQ_FFO_LOW_GUIDANCE_CIQ_COL" hidden="1">"c11285"</definedName>
    <definedName name="IQ_FFO_MEDIAN_EST" hidden="1">"c1665"</definedName>
    <definedName name="IQ_FFO_MEDIAN_EST_CIQ_COL" hidden="1">"c11626"</definedName>
    <definedName name="IQ_FFO_MEDIAN_EST_REUT" hidden="1">"c3838"</definedName>
    <definedName name="IQ_FFO_NUM_EST" hidden="1">"c421"</definedName>
    <definedName name="IQ_FFO_NUM_EST_CIQ_COL" hidden="1">"c11627"</definedName>
    <definedName name="IQ_FFO_NUM_EST_REUT" hidden="1">"c3841"</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EST" hidden="1">"c4445"</definedName>
    <definedName name="IQ_FFO_SHARE_GUIDANCE" hidden="1">"c4447"</definedName>
    <definedName name="IQ_FFO_SHARE_GUIDANCE_CIQ" hidden="1">"c4976"</definedName>
    <definedName name="IQ_FFO_SHARE_GUIDANCE_CIQ_COL" hidden="1">"c11623"</definedName>
    <definedName name="IQ_FFO_SHARE_HIGH_EST" hidden="1">"c4448"</definedName>
    <definedName name="IQ_FFO_SHARE_HIGH_GUIDANCE" hidden="1">"c4203"</definedName>
    <definedName name="IQ_FFO_SHARE_HIGH_GUIDANCE_CIQ" hidden="1">"c4615"</definedName>
    <definedName name="IQ_FFO_SHARE_HIGH_GUIDANCE_CIQ_COL" hidden="1">"c11264"</definedName>
    <definedName name="IQ_FFO_SHARE_LOW_EST" hidden="1">"c4449"</definedName>
    <definedName name="IQ_FFO_SHARE_LOW_GUIDANCE" hidden="1">"c4243"</definedName>
    <definedName name="IQ_FFO_SHARE_LOW_GUIDANCE_CIQ" hidden="1">"c4655"</definedName>
    <definedName name="IQ_FFO_SHARE_LOW_GUIDANCE_CIQ_COL" hidden="1">"c11304"</definedName>
    <definedName name="IQ_FFO_SHARE_MEDIAN_EST" hidden="1">"c4450"</definedName>
    <definedName name="IQ_FFO_SHARE_NUM_EST" hidden="1">"c4451"</definedName>
    <definedName name="IQ_FFO_SHARE_STDDEV_EST" hidden="1">"c4452"</definedName>
    <definedName name="IQ_FFO_SHARES_BASIC" hidden="1">"c16185"</definedName>
    <definedName name="IQ_FFO_SHARES_DILUTED" hidden="1">"c16187"</definedName>
    <definedName name="IQ_FFO_STDDEV_EST" hidden="1">"c422"</definedName>
    <definedName name="IQ_FFO_STDDEV_EST_CIQ_COL" hidden="1">"c11628"</definedName>
    <definedName name="IQ_FFO_STDDEV_EST_REUT" hidden="1">"c3842"</definedName>
    <definedName name="IQ_FFO_TOTAL_REVENUE" hidden="1">"c16060"</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NAMES_REVISION_DATE_" hidden="1">40891.8641319444</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 hidden="1">"c15996"</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RE" hidden="1">"c16011"</definedName>
    <definedName name="IQ_NAV_SHARE_STDDEV_EST" hidden="1">"c5611"</definedName>
    <definedName name="IQ_NAV_SHARE_STDDEV_EST_REUT" hidden="1">"c5619"</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_COL" hidden="1">"c11717"</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REUT" hidden="1">"c3978"</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EW_CLIENT_ASSETS" hidden="1">"c20430"</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_COL" hidden="1">"c11712"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REUT" hidden="1">"c5368"</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EST" hidden="1">"c1723"</definedName>
    <definedName name="IQ_NI_GW_EST_REUT" hidden="1">"c5375"</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REUT" hidden="1">"c5377"</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REUT" hidden="1">"c5378"</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REUT" hidden="1">"c5371"</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hidden="1">"c3966"</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_COL" hidden="1">"c11711"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OPERATING_INC_AVG_ASSETS_FFIEC" hidden="1">"c13365"</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REUT" hidden="1">"c4053"</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 hidden="1">"c5486"</definedName>
    <definedName name="IQ_PRICE_TARGET_BOTTOM_UP_REUT" hidden="1">"c5494"</definedName>
    <definedName name="IQ_PRICE_TARGET_CIQ" hidden="1">"c3613"</definedName>
    <definedName name="IQ_PRICE_TARGET_REUT" hidden="1">"c3631"</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_COL" hidden="1">"c11677"</definedName>
    <definedName name="IQ_PRICE_VOLATILITY_HIGH" hidden="1">"c4493"</definedName>
    <definedName name="IQ_PRICE_VOLATILITY_HIGH_CIQ_COL" hidden="1">"c11678"</definedName>
    <definedName name="IQ_PRICE_VOLATILITY_LOW" hidden="1">"c4494"</definedName>
    <definedName name="IQ_PRICE_VOLATILITY_LOW_CIQ_COL" hidden="1">"c11679"</definedName>
    <definedName name="IQ_PRICE_VOLATILITY_MEDIAN" hidden="1">"c4495"</definedName>
    <definedName name="IQ_PRICE_VOLATILITY_MEDIAN_CIQ_COL" hidden="1">"c11680"</definedName>
    <definedName name="IQ_PRICE_VOLATILITY_NUM" hidden="1">"c4496"</definedName>
    <definedName name="IQ_PRICE_VOLATILITY_NUM_CIQ_COL" hidden="1">"c11681"</definedName>
    <definedName name="IQ_PRICE_VOLATILITY_STDDEV" hidden="1">"c4497"</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REUT" hidden="1">"c5481"</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REUT" hidden="1">"c3992"</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REUT" hidden="1">"c3993"</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REUT" hidden="1">"c3985"</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REUT" hidden="1">"c3986"</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CIQ" hidden="1">"c3616"</definedName>
    <definedName name="IQ_REVENUE_EST_REUT" hidden="1">"c3634"</definedName>
    <definedName name="IQ_REVENUE_GROWTH_1" hidden="1">"IQ_REVENUE_GROWTH_1"</definedName>
    <definedName name="IQ_REVENUE_GROWTH_2" hidden="1">"IQ_REVENUE_GROWTH_2"</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39850.4334606481</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POSITIONS_FFIEC" hidden="1">"c12859"</definedName>
    <definedName name="IQ_SHORT_SCORE_DX" hidden="1">"c17439"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DA" hidden="1">"c2303"</definedName>
    <definedName name="IQ_TR_IMPLIED_EV_EBITDA_FINAL" hidden="1">"c16251"</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IS">#REF!</definedName>
    <definedName name="ISAL">#N/A</definedName>
    <definedName name="IsColHidden" hidden="1">FALSE</definedName>
    <definedName name="IsLTMColHidden" hidden="1">FALSE</definedName>
    <definedName name="ISO_Revenue_Credit">#REF!</definedName>
    <definedName name="IT_Summary">#REF!</definedName>
    <definedName name="items">#REF!</definedName>
    <definedName name="ITREV">#N/A</definedName>
    <definedName name="j" localSheetId="2" hidden="1">{"Assumptions",#N/A,FALSE,"Assumptions";"Sum",#N/A,FALSE,"Summary";"Notes",#N/A,FALSE,"Notes";"Inputs",#N/A,FALSE,"Inputs";"Other Inputs",#N/A,FALSE,"Inputs";"RD",#N/A,FALSE,"RD";"Revenue Detail",#N/A,FALSE,"Revenue";"Expense Detail",#N/A,FALSE,"Expense";"Tax Detail",#N/A,FALSE,"Tax";"FinSt",#N/A,FALSE,"Financials"}</definedName>
    <definedName name="j" hidden="1">{"Assumptions",#N/A,FALSE,"Assumptions";"Sum",#N/A,FALSE,"Summary";"Notes",#N/A,FALSE,"Notes";"Inputs",#N/A,FALSE,"Inputs";"Other Inputs",#N/A,FALSE,"Inputs";"RD",#N/A,FALSE,"RD";"Revenue Detail",#N/A,FALSE,"Revenue";"Expense Detail",#N/A,FALSE,"Expense";"Tax Detail",#N/A,FALSE,"Tax";"FinSt",#N/A,FALSE,"Financials"}</definedName>
    <definedName name="JANCURMOUNBILL" localSheetId="2">#REF!</definedName>
    <definedName name="JANCURMOUNBILL">#REF!</definedName>
    <definedName name="JANELPCREDITS" localSheetId="2">#REF!</definedName>
    <definedName name="JANELPCREDITS">#REF!</definedName>
    <definedName name="JANELPRECOV" localSheetId="2">#REF!</definedName>
    <definedName name="JANELPRECOV">#REF!</definedName>
    <definedName name="jb" localSheetId="2" hidden="1">{"summary1",#N/A,TRUE,"Comps";"summary2",#N/A,TRUE,"Comps";"summary3",#N/A,TRUE,"Comps"}</definedName>
    <definedName name="jb" hidden="1">{"summary1",#N/A,TRUE,"Comps";"summary2",#N/A,TRUE,"Comps";"summary3",#N/A,TRUE,"Comps"}</definedName>
    <definedName name="JE" localSheetId="2">#REF!</definedName>
    <definedName name="JE">#REF!</definedName>
    <definedName name="JESUS" localSheetId="2" hidden="1">{#N/A,#N/A,TRUE,"Facility-Input";#N/A,#N/A,TRUE,"Graphs";#N/A,#N/A,TRUE,"TOTAL"}</definedName>
    <definedName name="JESUS" hidden="1">{#N/A,#N/A,TRUE,"Facility-Input";#N/A,#N/A,TRUE,"Graphs";#N/A,#N/A,TRUE,"TOTAL"}</definedName>
    <definedName name="jj" localSheetId="2" hidden="1">#REF!</definedName>
    <definedName name="jj" hidden="1">#REF!</definedName>
    <definedName name="jk"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kjlj" hidden="1">{#N/A,#N/A,FALSE,"TITLEPG";#N/A,#N/A,FALSE,"INDEX";#N/A,#N/A,FALSE,"BKTAXINCOME";#N/A,#N/A,FALSE,"INTERESTALLOC";#N/A,#N/A,FALSE,"FITCALC";#N/A,#N/A,FALSE,"CCBT";#N/A,#N/A,FALSE,"CGE";#N/A,#N/A,FALSE,"MFT";#N/A,#N/A,FALSE,"NHBPT";#N/A,#N/A,FALSE,"OPPERMEVENTS";#N/A,#N/A,FALSE,"NONOPPERMEVENTS";#N/A,#N/A,FALSE,"OPTIMEVENTS";#N/A,#N/A,FALSE,"NONOPTIMEVENTS";#N/A,#N/A,FALSE,"DEPREC";#N/A,#N/A,FALSE,"OPPERMDIFF";#N/A,#N/A,FALSE,"NONOPPERMDIFF";#N/A,#N/A,FALSE,"OPTIMDIFF";#N/A,#N/A,FALSE,"NONOPTIMDIFF";#N/A,#N/A,FALSE,"OP190CRQTR";#N/A,#N/A,FALSE,"NONOP190CRQTR";#N/A,#N/A,FALSE,"OP190CRYTD";#N/A,#N/A,FALSE,"NONOP190CRYTD";#N/A,#N/A,FALSE,"OP190PRYTD";#N/A,#N/A,FALSE,"NONOP190PRYTD";#N/A,#N/A,FALSE,"OP282CRQTR";#N/A,#N/A,FALSE,"NONOP282CRQTR";#N/A,#N/A,FALSE,"OP282CRYTD";#N/A,#N/A,FALSE,"NONOP282CRYTD";#N/A,#N/A,FALSE,"OP282PRYTD";#N/A,#N/A,FALSE,"NONOP282PRYTD";#N/A,#N/A,FALSE,"OP283CRQTR";#N/A,#N/A,FALSE,"NONOP283CRQTR";#N/A,#N/A,FALSE,"OP283CRYTD";#N/A,#N/A,FALSE,"NONOP283CRYTD";#N/A,#N/A,FALSE,"OP283PRYTD";#N/A,#N/A,FALSE,"NONOP283PRYTD";#N/A,#N/A,FALSE,"DITSUM";#N/A,#N/A,FALSE,"CRYTDACREC";#N/A,#N/A,FALSE,"PRYTDACREC";#N/A,#N/A,FALSE,"SYSJRNL";#N/A,#N/A,FALSE,"FAS109 OPERATING";#N/A,#N/A,FALSE,"FAS109 NONOPERATING"}</definedName>
    <definedName name="jkkjlj_1" hidden="1">{#N/A,#N/A,FALSE,"TITLEPG";#N/A,#N/A,FALSE,"INDEX";#N/A,#N/A,FALSE,"BKTAXINCOME";#N/A,#N/A,FALSE,"INTERESTALLOC";#N/A,#N/A,FALSE,"FITCALC";#N/A,#N/A,FALSE,"CCBT";#N/A,#N/A,FALSE,"CGE";#N/A,#N/A,FALSE,"MFT";#N/A,#N/A,FALSE,"NHBPT";#N/A,#N/A,FALSE,"OPPERMEVENTS";#N/A,#N/A,FALSE,"NONOPPERMEVENTS";#N/A,#N/A,FALSE,"OPTIMEVENTS";#N/A,#N/A,FALSE,"NONOPTIMEVENTS";#N/A,#N/A,FALSE,"DEPREC";#N/A,#N/A,FALSE,"OPPERMDIFF";#N/A,#N/A,FALSE,"NONOPPERMDIFF";#N/A,#N/A,FALSE,"OPTIMDIFF";#N/A,#N/A,FALSE,"NONOPTIMDIFF";#N/A,#N/A,FALSE,"OP190CRQTR";#N/A,#N/A,FALSE,"NONOP190CRQTR";#N/A,#N/A,FALSE,"OP190CRYTD";#N/A,#N/A,FALSE,"NONOP190CRYTD";#N/A,#N/A,FALSE,"OP190PRYTD";#N/A,#N/A,FALSE,"NONOP190PRYTD";#N/A,#N/A,FALSE,"OP282CRQTR";#N/A,#N/A,FALSE,"NONOP282CRQTR";#N/A,#N/A,FALSE,"OP282CRYTD";#N/A,#N/A,FALSE,"NONOP282CRYTD";#N/A,#N/A,FALSE,"OP282PRYTD";#N/A,#N/A,FALSE,"NONOP282PRYTD";#N/A,#N/A,FALSE,"OP283CRQTR";#N/A,#N/A,FALSE,"NONOP283CRQTR";#N/A,#N/A,FALSE,"OP283CRYTD";#N/A,#N/A,FALSE,"NONOP283CRYTD";#N/A,#N/A,FALSE,"OP283PRYTD";#N/A,#N/A,FALSE,"NONOP283PRYTD";#N/A,#N/A,FALSE,"DITSUM";#N/A,#N/A,FALSE,"CRYTDACREC";#N/A,#N/A,FALSE,"PRYTDACREC";#N/A,#N/A,FALSE,"SYSJRNL";#N/A,#N/A,FALSE,"FAS109 OPERATING";#N/A,#N/A,FALSE,"FAS109 NONOPERATING"}</definedName>
    <definedName name="JoinNIReturn">#REF!</definedName>
    <definedName name="JoinPreTaxReturn">#REF!</definedName>
    <definedName name="JoinTaxReturn">#REF!</definedName>
    <definedName name="JOURENTRY" localSheetId="2">#REF!</definedName>
    <definedName name="JOURENTRY">#REF!</definedName>
    <definedName name="JournalEntry">#REF!</definedName>
    <definedName name="JournalEntry2">#REF!</definedName>
    <definedName name="JR_PAGE_ANCHOR_0_1">#REF!</definedName>
    <definedName name="Judes">#REF!</definedName>
    <definedName name="JULCURMOUNBILL" localSheetId="2">#REF!</definedName>
    <definedName name="JULCURMOUNBILL">#REF!</definedName>
    <definedName name="JULELPCREDITS" localSheetId="2">#REF!</definedName>
    <definedName name="JULELPCREDITS">#REF!</definedName>
    <definedName name="JULELPRECOV">#REF!</definedName>
    <definedName name="July8.5">#REF!</definedName>
    <definedName name="JUNCURMOUNBILL">#REF!</definedName>
    <definedName name="JUNELPCREDITS">#REF!</definedName>
    <definedName name="JUNELPRECOV">#REF!</definedName>
    <definedName name="KCC_E">MarI18</definedName>
    <definedName name="KGKHJ"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j" localSheetId="2" hidden="1">binary</definedName>
    <definedName name="kjj" hidden="1">binary</definedName>
    <definedName name="kjkj" hidden="1">{#N/A,#N/A,FALSE,"OTHERINPUTS";#N/A,#N/A,FALSE,"DITRATEINPUTS";#N/A,#N/A,FALSE,"SUPPLIEDADJINPUT";#N/A,#N/A,FALSE,"TIMINGDIFFINPUTS";#N/A,#N/A,FALSE,"BR&amp;SUPADJ."}</definedName>
    <definedName name="kjkj_1" hidden="1">{#N/A,#N/A,FALSE,"OTHERINPUTS";#N/A,#N/A,FALSE,"DITRATEINPUTS";#N/A,#N/A,FALSE,"SUPPLIEDADJINPUT";#N/A,#N/A,FALSE,"TIMINGDIFFINPUTS";#N/A,#N/A,FALSE,"BR&amp;SUPADJ."}</definedName>
    <definedName name="kopi" localSheetId="2" hidden="1">#REF!</definedName>
    <definedName name="kopi" hidden="1">#REF!</definedName>
    <definedName name="kurt" localSheetId="2" hidden="1">{#N/A,#N/A,FALSE,"SPCondo"}</definedName>
    <definedName name="kurt" hidden="1">{#N/A,#N/A,FALSE,"SPCondo"}</definedName>
    <definedName name="kyd.ChngCell.01." localSheetId="2" hidden="1">#REF!</definedName>
    <definedName name="kyd.ChngCell.01." hidden="1">#REF!</definedName>
    <definedName name="kyd.CounterLimitCell.01." hidden="1">"x"</definedName>
    <definedName name="kyd.Dim.01." hidden="1">"tm1serv:company"</definedName>
    <definedName name="kyd.ElementList.01." hidden="1">#REF!</definedName>
    <definedName name="kyd.ElementType.01." hidden="1">1</definedName>
    <definedName name="kyd.ItemType.01." hidden="1">2</definedName>
    <definedName name="kyd.MacroAtEnd." hidden="1">""</definedName>
    <definedName name="kyd.MacroEachCycle." hidden="1">""</definedName>
    <definedName name="kyd.MacroEndOfEachCycle." hidden="1">""</definedName>
    <definedName name="kyd.NumLevels.01." hidden="1">999</definedName>
    <definedName name="kyd.PanicStop." hidden="1">FALSE</definedName>
    <definedName name="kyd.ParentName.01." hidden="1">""</definedName>
    <definedName name="kyd.PreScreenData." hidden="1">FALSE</definedName>
    <definedName name="kyd.PrintParent.01." hidden="1">TRUE</definedName>
    <definedName name="kyd.PrintStdWhen." hidden="1">1</definedName>
    <definedName name="kyd.SaveAsFile." hidden="1">FALSE</definedName>
    <definedName name="kyd.SelectString.01." hidden="1">"*"</definedName>
    <definedName name="kyd.StdSortHide." hidden="1">FALSE</definedName>
    <definedName name="labor_alloc">#REF!</definedName>
    <definedName name="Last_Row">IF(Values_Entered,Header_Row+Number_of_Payments,Header_Row)</definedName>
    <definedName name="lcb">#REF!</definedName>
    <definedName name="LessThan30" localSheetId="2">#REF!</definedName>
    <definedName name="LessThan30">#REF!</definedName>
    <definedName name="limcount" hidden="1">1</definedName>
    <definedName name="lines">#REF!</definedName>
    <definedName name="List">#REF!</definedName>
    <definedName name="ListOffset" hidden="1">1</definedName>
    <definedName name="lk" localSheetId="2" hidden="1">{#N/A,#N/A,FALSE,"CAPREIT"}</definedName>
    <definedName name="lk" hidden="1">{#N/A,#N/A,FALSE,"CAPREIT"}</definedName>
    <definedName name="ll" localSheetId="2" hidden="1">{#N/A,#N/A,TRUE,"XL Cash Flow";#N/A,#N/A,TRUE,"Prop Valuation";#N/A,#N/A,TRUE,"Equity";#N/A,#N/A,TRUE,"Modeling assumptions";#N/A,#N/A,TRUE,"NER Model";#N/A,#N/A,TRUE,"Lease Exp";#N/A,#N/A,TRUE,"Inc &amp; Exp";#N/A,#N/A,TRUE,"Formatted - roll";#N/A,#N/A,TRUE,"Debt Model";#N/A,#N/A,TRUE,"Debt-Moody";#N/A,#N/A,TRUE,"Debt"}</definedName>
    <definedName name="ll" hidden="1">{#N/A,#N/A,TRUE,"XL Cash Flow";#N/A,#N/A,TRUE,"Prop Valuation";#N/A,#N/A,TRUE,"Equity";#N/A,#N/A,TRUE,"Modeling assumptions";#N/A,#N/A,TRUE,"NER Model";#N/A,#N/A,TRUE,"Lease Exp";#N/A,#N/A,TRUE,"Inc &amp; Exp";#N/A,#N/A,TRUE,"Formatted - roll";#N/A,#N/A,TRUE,"Debt Model";#N/A,#N/A,TRUE,"Debt-Moody";#N/A,#N/A,TRUE,"Debt"}</definedName>
    <definedName name="llc.Info" hidden="1">{#N/A,#N/A,FALSE,"Income";#N/A,#N/A,FALSE,"Cost of Goods Sold";#N/A,#N/A,FALSE,"Other Costs";#N/A,#N/A,FALSE,"Other Income";#N/A,#N/A,FALSE,"Taxes";#N/A,#N/A,FALSE,"Other Deductions";#N/A,#N/A,FALSE,"Compensation of Officers"}</definedName>
    <definedName name="load">#REF!</definedName>
    <definedName name="LoadLosses">#REF!</definedName>
    <definedName name="loc">#REF!</definedName>
    <definedName name="Local">#REF!</definedName>
    <definedName name="Local_Breakdown">#REF!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Network">#REF!</definedName>
    <definedName name="LocalAnnualTrueUp">#REF!</definedName>
    <definedName name="LocalBaseNIReturn">#REF!</definedName>
    <definedName name="LocalBaseTaxReturn">#REF!</definedName>
    <definedName name="LocalBreakdownNIandIncentives">#REF!</definedName>
    <definedName name="LocalCarryCharge">#REF!</definedName>
    <definedName name="LocalCostofCapital">#REF!</definedName>
    <definedName name="LocalEquityReturn">#REF!</definedName>
    <definedName name="LocalForecast">#REF!</definedName>
    <definedName name="LocalLongTermDebtWeightedCostofCapital">#REF!</definedName>
    <definedName name="LocalPlantAlloc">#REF!</definedName>
    <definedName name="LocalPreferredWeightedCostofCapital">#REF!</definedName>
    <definedName name="LocalPrefStockTaxReturn">#REF!</definedName>
    <definedName name="LocalWageSalaryAlloc">#REF!</definedName>
    <definedName name="LOLHRAT" localSheetId="2">#REF!</definedName>
    <definedName name="LOLHRAT">#REF!</definedName>
    <definedName name="LossFactorLGS_ST">#REF!</definedName>
    <definedName name="LossFactorLGS_T">#REF!</definedName>
    <definedName name="Lossload1">#REF!</definedName>
    <definedName name="Lossload10">#REF!</definedName>
    <definedName name="Lossload11">#REF!</definedName>
    <definedName name="Lossload12">#REF!</definedName>
    <definedName name="Lossload13">#REF!</definedName>
    <definedName name="Lossload14">#REF!</definedName>
    <definedName name="Lossload15">#REF!</definedName>
    <definedName name="Lossload16">#REF!</definedName>
    <definedName name="Lossload17">#REF!</definedName>
    <definedName name="Lossload18">#REF!</definedName>
    <definedName name="Lossload19">#REF!</definedName>
    <definedName name="Lossload2">#REF!</definedName>
    <definedName name="Lossload20">#REF!</definedName>
    <definedName name="Lossload3">#REF!</definedName>
    <definedName name="Lossload4">#REF!</definedName>
    <definedName name="Lossload5">#REF!</definedName>
    <definedName name="Lossload6">#REF!</definedName>
    <definedName name="Lossload7">#REF!</definedName>
    <definedName name="Lossload8">#REF!</definedName>
    <definedName name="Lossload9">#REF!</definedName>
    <definedName name="LSTable">#REF!</definedName>
    <definedName name="LTCOM">#REF!</definedName>
    <definedName name="LTContractAlloc">#REF!</definedName>
    <definedName name="LTD">#REF!</definedName>
    <definedName name="LTIND">#REF!</definedName>
    <definedName name="LTRES">#REF!</definedName>
    <definedName name="LTRET">#REF!</definedName>
    <definedName name="LTROR">#REF!</definedName>
    <definedName name="LTSTL">#REF!</definedName>
    <definedName name="LY_val_year">#REF!</definedName>
    <definedName name="LYRAFTERLONGEST">#REF!</definedName>
    <definedName name="M" hidden="1">"4FI2VQOPA6I2KN827ZBHJ1484"</definedName>
    <definedName name="macrs_rate_schedule">#REF!</definedName>
    <definedName name="macrs_year_list">#REF!</definedName>
    <definedName name="Manhours_Source">#REF!</definedName>
    <definedName name="manmall" localSheetId="2" hidden="1">{#N/A,#N/A,FALSE,"Aging Summary";#N/A,#N/A,FALSE,"Ratio Analysis";#N/A,#N/A,FALSE,"Test 120 Day Accts";#N/A,#N/A,FALSE,"Tickmarks"}</definedName>
    <definedName name="manmall" hidden="1">{#N/A,#N/A,FALSE,"Aging Summary";#N/A,#N/A,FALSE,"Ratio Analysis";#N/A,#N/A,FALSE,"Test 120 Day Accts";#N/A,#N/A,FALSE,"Tickmarks"}</definedName>
    <definedName name="MARCURMOUNBILL" localSheetId="2">#REF!</definedName>
    <definedName name="MARCURMOUNBILL">#REF!</definedName>
    <definedName name="MARELPCREDITS" localSheetId="2">#REF!</definedName>
    <definedName name="MARELPCREDITS">#REF!</definedName>
    <definedName name="MARELPRECOV" localSheetId="2">#REF!</definedName>
    <definedName name="MARELPRECOV">#REF!</definedName>
    <definedName name="Master" localSheetId="2" hidden="1">{#N/A,#N/A,FALSE,"Actual";#N/A,#N/A,FALSE,"Normalized";#N/A,#N/A,FALSE,"Electric Actual";#N/A,#N/A,FALSE,"Electric Normalized"}</definedName>
    <definedName name="Master" hidden="1">{#N/A,#N/A,FALSE,"Actual";#N/A,#N/A,FALSE,"Normalized";#N/A,#N/A,FALSE,"Electric Actual";#N/A,#N/A,FALSE,"Electric Normalized"}</definedName>
    <definedName name="matrix" localSheetId="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y" hidden="1">#REF!</definedName>
    <definedName name="MAYCURMOUNBILL" localSheetId="2">#REF!</definedName>
    <definedName name="MAYCURMOUNBILL">#REF!</definedName>
    <definedName name="MAYELPCREDITS" localSheetId="2">#REF!</definedName>
    <definedName name="MAYELPCREDITS">#REF!</definedName>
    <definedName name="MAYELPRECOV" localSheetId="2">#REF!</definedName>
    <definedName name="MAYELPRECOV">#REF!</definedName>
    <definedName name="mb_inputLocation" localSheetId="2" hidden="1">#REF!</definedName>
    <definedName name="mb_inputLocation" hidden="1">#REF!</definedName>
    <definedName name="MeasDate">#REF!</definedName>
    <definedName name="MeasurementDate">#REF!</definedName>
    <definedName name="messer">#REF!</definedName>
    <definedName name="MET_ApporFactor">#REF!</definedName>
    <definedName name="MET_ApporFactor_Prior">#REF!</definedName>
    <definedName name="MET_EffectTaxRate">#REF!</definedName>
    <definedName name="MET_EffectTaxRate_Prior">#REF!</definedName>
    <definedName name="MET_TaxRate_Current">#REF!</definedName>
    <definedName name="MET_TaxRate_Prior">#REF!</definedName>
    <definedName name="METERO_M" localSheetId="2">#REF!</definedName>
    <definedName name="METERO_M">#REF!</definedName>
    <definedName name="METERWGT" localSheetId="2">#REF!</definedName>
    <definedName name="METERWGT">#REF!</definedName>
    <definedName name="MEWarning" hidden="1">0</definedName>
    <definedName name="MGHM"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CAPPAYROLL">#REF!</definedName>
    <definedName name="MHCORPAYROLL">#REF!</definedName>
    <definedName name="mhj"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OMPAYROLL">#REF!</definedName>
    <definedName name="minus_S_W_2001">#REF!</definedName>
    <definedName name="Miss">#REF!</definedName>
    <definedName name="mm" localSheetId="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n" localSheetId="2" hidden="1">{#N/A,#N/A,FALSE,"Input";#N/A,#N/A,FALSE,"LastYearInput";#N/A,#N/A,FALSE,"NextYearData";#N/A,#N/A,FALSE,"Summary";#N/A,#N/A,FALSE,"Quart";#N/A,#N/A,FALSE,"UAL";#N/A,#N/A,FALSE,"AVA";#N/A,#N/A,FALSE,"CL";#N/A,#N/A,FALSE,"CBal";#N/A,#N/A,FALSE,"Min";#N/A,#N/A,FALSE,"AFC";#N/A,#N/A,FALSE,"FFL";#N/A,#N/A,FALSE,"Max";#N/A,#N/A,FALSE,"MinAmort";#N/A,#N/A,FALSE,"Exp";#N/A,#N/A,FALSE,"AssetRet"}</definedName>
    <definedName name="mn" hidden="1">{#N/A,#N/A,FALSE,"Input";#N/A,#N/A,FALSE,"LastYearInput";#N/A,#N/A,FALSE,"NextYearData";#N/A,#N/A,FALSE,"Summary";#N/A,#N/A,FALSE,"Quart";#N/A,#N/A,FALSE,"UAL";#N/A,#N/A,FALSE,"AVA";#N/A,#N/A,FALSE,"CL";#N/A,#N/A,FALSE,"CBal";#N/A,#N/A,FALSE,"Min";#N/A,#N/A,FALSE,"AFC";#N/A,#N/A,FALSE,"FFL";#N/A,#N/A,FALSE,"Max";#N/A,#N/A,FALSE,"MinAmort";#N/A,#N/A,FALSE,"Exp";#N/A,#N/A,FALSE,"AssetRet"}</definedName>
    <definedName name="MNG">#REF!</definedName>
    <definedName name="MO" localSheetId="2">#REF!</definedName>
    <definedName name="MO">#REF!</definedName>
    <definedName name="moneda">#REF!</definedName>
    <definedName name="monedabis">#REF!</definedName>
    <definedName name="MONTH" localSheetId="2">#REF!</definedName>
    <definedName name="MONTH">#REF!</definedName>
    <definedName name="MonthNames">{"January","February","March","April","May","June","July","August","September","October","November","December"}</definedName>
    <definedName name="Months">#REF!</definedName>
    <definedName name="MPRP_NonPTF_NIReturn">#REF!</definedName>
    <definedName name="MPRP_NonPTF_PreTaxReturn">#REF!</definedName>
    <definedName name="MPRP_NonPTF_TaxReturn">#REF!</definedName>
    <definedName name="MPRP_PTF_NIReturn">#REF!</definedName>
    <definedName name="MPRP_PTF_PreTaxReturn">#REF!</definedName>
    <definedName name="MPRP_PTF_TaxReturn">#REF!</definedName>
    <definedName name="MPRPNonPTFCostofCapital">#REF!</definedName>
    <definedName name="MPRPPTFCostofCapital">#REF!</definedName>
    <definedName name="MyNextYear">IF(TaxYearEnd="","",TaxYearEnd+365)</definedName>
    <definedName name="n"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n"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na" hidden="1">#REF!</definedName>
    <definedName name="naec1">#REF!</definedName>
    <definedName name="naec2">#REF!</definedName>
    <definedName name="naeccoc">#REF!</definedName>
    <definedName name="NAECCOC2">#REF!</definedName>
    <definedName name="name1">#REF!</definedName>
    <definedName name="name2">#REF!</definedName>
    <definedName name="NAMETABLE" localSheetId="2">#REF!</definedName>
    <definedName name="NAMETABLE">#REF!</definedName>
    <definedName name="NERC_prelim2005_file">#REF!</definedName>
    <definedName name="net" localSheetId="2" hidden="1">{#N/A,#N/A,TRUE,"PHONE"}</definedName>
    <definedName name="net" hidden="1">{#N/A,#N/A,TRUE,"PHONE"}</definedName>
    <definedName name="NETO">MarI18</definedName>
    <definedName name="NetworkAlloc">#REF!</definedName>
    <definedName name="Networks_IFRS_PPA">#REF!</definedName>
    <definedName name="Networks_Maq_IFRS">#REF!</definedName>
    <definedName name="New">#REF!</definedName>
    <definedName name="newname" hidden="1">{#N/A,#N/A,TRUE,"Rate P&amp;L";#N/A,#N/A,TRUE,"P&amp;L water";#N/A,#N/A,TRUE,"P&amp;L SH&amp;W";#N/A,#N/A,TRUE,"Rate G";#N/A,#N/A,TRUE,"Rate GV";#N/A,#N/A,TRUE,"Rate LG"}</definedName>
    <definedName name="newname_1" hidden="1">{#N/A,#N/A,TRUE,"Rate P&amp;L";#N/A,#N/A,TRUE,"P&amp;L water";#N/A,#N/A,TRUE,"P&amp;L SH&amp;W";#N/A,#N/A,TRUE,"Rate G";#N/A,#N/A,TRUE,"Rate GV";#N/A,#N/A,TRUE,"Rate LG"}</definedName>
    <definedName name="NewPreTaxReturn">#REF!</definedName>
    <definedName name="NewTaxReturn">#REF!</definedName>
    <definedName name="next_row">#REF!</definedName>
    <definedName name="NHFRT_CurYTD">#REF!</definedName>
    <definedName name="NHFRT_PriorYTD">#REF!</definedName>
    <definedName name="nj" hidden="1">#REF!</definedName>
    <definedName name="nm" localSheetId="2" hidden="1">{#N/A,#N/A,FALSE,"Input";#N/A,#N/A,FALSE,"LastYearInput";#N/A,#N/A,FALSE,"NextYearData";#N/A,#N/A,FALSE,"NPPC";#N/A,#N/A,FALSE,"ReconPC";#N/A,#N/A,FALSE,"PSCAmort";#N/A,#N/A,FALSE,"FASBGL";#N/A,#N/A,FALSE,"FAS132";#N/A,#N/A,FALSE,"AML";#N/A,#N/A,FALSE,"FAS35"}</definedName>
    <definedName name="nm" hidden="1">{#N/A,#N/A,FALSE,"Input";#N/A,#N/A,FALSE,"LastYearInput";#N/A,#N/A,FALSE,"NextYearData";#N/A,#N/A,FALSE,"NPPC";#N/A,#N/A,FALSE,"ReconPC";#N/A,#N/A,FALSE,"PSCAmort";#N/A,#N/A,FALSE,"FASBGL";#N/A,#N/A,FALSE,"FAS132";#N/A,#N/A,FALSE,"AML";#N/A,#N/A,FALSE,"FAS35"}</definedName>
    <definedName name="nmEquityPct">#REF!</definedName>
    <definedName name="nmMonth">#REF!</definedName>
    <definedName name="nmMonths">{"Jan","Feb","Mar","Apr","May","Jun","Jul","Aug","Sep","Oct","Nov","Dec"}</definedName>
    <definedName name="nmYear">#REF!</definedName>
    <definedName name="nn">#REF!</definedName>
    <definedName name="No" localSheetId="2" hidden="1">{#N/A,#N/A,FALSE,"CAPREIT"}</definedName>
    <definedName name="No" hidden="1">{#N/A,#N/A,FALSE,"CAPREIT"}</definedName>
    <definedName name="NOMBRES">#REF!</definedName>
    <definedName name="NonPTF">#REF!</definedName>
    <definedName name="NORM_SALES_AND_READING_DAYS">#REF!</definedName>
    <definedName name="noti">#REF!</definedName>
    <definedName name="Nov." localSheetId="2" hidden="1">{"Assumptions",#N/A,FALSE,"Assumptions";"Sum",#N/A,FALSE,"Summary";"Notes",#N/A,FALSE,"Notes";"Inputs",#N/A,FALSE,"Inputs";"Other Inputs",#N/A,FALSE,"Inputs";"RD",#N/A,FALSE,"RD";"Revenue Detail",#N/A,FALSE,"Revenue";"Expense Detail",#N/A,FALSE,"Expense";"Tax Detail",#N/A,FALSE,"Tax";"FinSt",#N/A,FALSE,"Financials"}</definedName>
    <definedName name="Nov." hidden="1">{"Assumptions",#N/A,FALSE,"Assumptions";"Sum",#N/A,FALSE,"Summary";"Notes",#N/A,FALSE,"Notes";"Inputs",#N/A,FALSE,"Inputs";"Other Inputs",#N/A,FALSE,"Inputs";"RD",#N/A,FALSE,"RD";"Revenue Detail",#N/A,FALSE,"Revenue";"Expense Detail",#N/A,FALSE,"Expense";"Tax Detail",#N/A,FALSE,"Tax";"FinSt",#N/A,FALSE,"Financials"}</definedName>
    <definedName name="Nov_Dec">#REF!</definedName>
    <definedName name="NOVCURMOUNBILL" localSheetId="2">#REF!</definedName>
    <definedName name="NOVCURMOUNBILL">#REF!</definedName>
    <definedName name="NOVELPCREDITS" localSheetId="2">#REF!</definedName>
    <definedName name="NOVELPCREDITS">#REF!</definedName>
    <definedName name="NOVELPRECOV" localSheetId="2">#REF!</definedName>
    <definedName name="NOVELPRECOV">#REF!</definedName>
    <definedName name="NQ">#REF!</definedName>
    <definedName name="NQRW">#REF!</definedName>
    <definedName name="NSTAR">#REF!</definedName>
    <definedName name="nuep">#REF!</definedName>
    <definedName name="NUequity">#REF!</definedName>
    <definedName name="Number_of_Payments">MATCH(0.01,End_Bal,-1)+1</definedName>
    <definedName name="nuqtreps">#REF!</definedName>
    <definedName name="NUresults">#REF!</definedName>
    <definedName name="NvsASD">"V2002-12-31"</definedName>
    <definedName name="NvsASD_1">"V2009-12-31"</definedName>
    <definedName name="NvsAutoDrillOk">"VN"</definedName>
    <definedName name="NvsElapsedTime">0.00157442129420815</definedName>
    <definedName name="NvsElapsedTime_1">0.000115740738692693</definedName>
    <definedName name="NvsEndTime">37644.4980211806</definedName>
    <definedName name="NvsEndTime_1">40192.024212963</definedName>
    <definedName name="NvsEndTime1">40579.062199074</definedName>
    <definedName name="NvsInstanceHook">"NG_Delete_Cols"</definedName>
    <definedName name="NvsInstLang">"VENG"</definedName>
    <definedName name="NvsInstSpec">"%"</definedName>
    <definedName name="NvsInstSpec_1">"%"</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"%,X,RZF..Comma,CZF..Comma"</definedName>
    <definedName name="NvsNplSpec_1">"%,X,RPF..,CZF.BUSINESS_UNIT."</definedName>
    <definedName name="NvsPanelBusUnit">"V"</definedName>
    <definedName name="NvsPanelBusUnit_1">"V"</definedName>
    <definedName name="NvsPanelEffdt">"V1990-01-01"</definedName>
    <definedName name="NvsPanelEffdt_1">"V2003-11-14"</definedName>
    <definedName name="NvsPanelSetid">"VSHARE"</definedName>
    <definedName name="NvsReqBU">"V11"</definedName>
    <definedName name="NvsReqBUOnly">"VY"</definedName>
    <definedName name="NvsStyleNme">"NoFormat.xls"</definedName>
    <definedName name="NvsTransLed">"VN"</definedName>
    <definedName name="NvsTreeASD">"V2002-12-31"</definedName>
    <definedName name="NvsTreeASD_1">"V2009-12-31"</definedName>
    <definedName name="NvsTreeASD1">"V2007-03-31"</definedName>
    <definedName name="NvsValTbl.ACCOUNT">"GL_ACCOUNT_TBL"</definedName>
    <definedName name="NvsValTbl.AFFILIATE">"AFFILIATE_VW"</definedName>
    <definedName name="NvsValTbl.AFFILIATE_INTRA1">"AFFINTRA1_VW"</definedName>
    <definedName name="NvsValTbl.BUSINESS_UNIT">"BUS_UNIT_TBL_FS"</definedName>
    <definedName name="NvsValTbl.CHARTFIELD1">"CHARTFIELD1_TBL"</definedName>
    <definedName name="NvsValTbl.CHARTFIELD2">"CHARTFIELD2_TBL"</definedName>
    <definedName name="NvsValTbl.CHARTFIELD3">"CHARTFIELD3_TBL"</definedName>
    <definedName name="NvsValTbl.COST_ELEMENT">"COST_ELEM_TBL"</definedName>
    <definedName name="NvsValTbl.DEPTID">"DEPARTMENT_TBL"</definedName>
    <definedName name="NvsValTbl.OPERATING_UNIT">"OPER_UNIT_TBL"</definedName>
    <definedName name="NvsValTbl.PRODUCT">"PRODUCT_TBL"</definedName>
    <definedName name="NvsValTbl.PROGRAM_CODE">"PROGRAM_TBL"</definedName>
    <definedName name="NvsValTbl.PROJECT">"PROJECT_TBL"</definedName>
    <definedName name="NvsValTbl.PROJECT_ID">"PROJECT_ID_VW"</definedName>
    <definedName name="NvsValTbl.SCENARIO">"BD_SCENARIO_TBL"</definedName>
    <definedName name="NvsValTbl.UI_COST_CLASS">"UI_CST_CLS_TBL"</definedName>
    <definedName name="NvsValTbl.UI_RC">"UI_RC_ALL_VW"</definedName>
    <definedName name="NYSEG_EL">#REF!</definedName>
    <definedName name="NYSEG_G">#REF!</definedName>
    <definedName name="O_and_M_source">#REF!</definedName>
    <definedName name="occupancy" localSheetId="2" hidden="1">#REF!</definedName>
    <definedName name="occupancy" hidden="1">#REF!</definedName>
    <definedName name="OCTCURMOUNBILL" localSheetId="2">#REF!</definedName>
    <definedName name="OCTCURMOUNBILL">#REF!</definedName>
    <definedName name="OCTELPCREDITS" localSheetId="2">#REF!</definedName>
    <definedName name="OCTELPCREDITS">#REF!</definedName>
    <definedName name="OCTELPRECOV" localSheetId="2">#REF!</definedName>
    <definedName name="OCTELPRECOV">#REF!</definedName>
    <definedName name="October8.5">#REF!</definedName>
    <definedName name="Ofertas_adjudicadas">#REF!</definedName>
    <definedName name="Ofertas_presentadas">#REF!</definedName>
    <definedName name="off_bs_debt">#REF!</definedName>
    <definedName name="old" hidden="1">{#N/A,#N/A,FALSE,"Income";#N/A,#N/A,FALSE,"Cost of Goods Sold";#N/A,#N/A,FALSE,"Other Costs";#N/A,#N/A,FALSE,"Other Income";#N/A,#N/A,FALSE,"Taxes";#N/A,#N/A,FALSE,"Other Deductions";#N/A,#N/A,FALSE,"Compensation of Officers"}</definedName>
    <definedName name="oldfile2" localSheetId="2" hidden="1">{#N/A,#N/A,FALSE,"Summary";#N/A,#N/A,FALSE,"Buckets";#N/A,#N/A,FALSE,"Northstar";#N/A,#N/A,FALSE,"Comp"}</definedName>
    <definedName name="oldfile2" hidden="1">{#N/A,#N/A,FALSE,"Summary";#N/A,#N/A,FALSE,"Buckets";#N/A,#N/A,FALSE,"Northstar";#N/A,#N/A,FALSE,"Comp"}</definedName>
    <definedName name="oldname" hidden="1">{#N/A,#N/A,TRUE,"Rate P&amp;L";#N/A,#N/A,TRUE,"P&amp;L water";#N/A,#N/A,TRUE,"P&amp;L SH&amp;W";#N/A,#N/A,TRUE,"Rate G";#N/A,#N/A,TRUE,"Rate GV";#N/A,#N/A,TRUE,"Rate LG"}</definedName>
    <definedName name="oldname_1" hidden="1">{#N/A,#N/A,TRUE,"Rate P&amp;L";#N/A,#N/A,TRUE,"P&amp;L water";#N/A,#N/A,TRUE,"P&amp;L SH&amp;W";#N/A,#N/A,TRUE,"Rate G";#N/A,#N/A,TRUE,"Rate GV";#N/A,#N/A,TRUE,"Rate LG"}</definedName>
    <definedName name="oldroc">#REF!</definedName>
    <definedName name="OM">#REF!</definedName>
    <definedName name="OO_Book_Settings_AllowResize">"0"</definedName>
    <definedName name="OO_Book_Settings_BGColor">""</definedName>
    <definedName name="OO_Book_Settings_CellBGColor">""</definedName>
    <definedName name="OO_Book_Settings_Destination">"\\bhecog01\TM1\OLAPObjects\Website\Reports\Income Statement YOY - Mo and YTD.xml"</definedName>
    <definedName name="OO_Book_Settings_Footer">""</definedName>
    <definedName name="OO_Book_Settings_Header">""</definedName>
    <definedName name="OO_Book_Settings_HorizontalCenter">"1"</definedName>
    <definedName name="OO_Book_Settings_IgnoreNoPublishWarning">"0"</definedName>
    <definedName name="OO_Book_Settings_Menu">"ooMenu:All.dim"</definedName>
    <definedName name="OO_Book_Settings_MenuType">"Dim"</definedName>
    <definedName name="OO_Book_Settings_RecalOnDropDownChange">"1"</definedName>
    <definedName name="OO_Book_Settings_RecalOnInputCellChange">"0"</definedName>
    <definedName name="OO_Book_Settings_SynchDestination">"1"</definedName>
    <definedName name="OO_Book_Settings_TBExport">"1"</definedName>
    <definedName name="OO_Book_Settings_TBPaste">"1"</definedName>
    <definedName name="OO_Book_Settings_TBUpdate">"1"</definedName>
    <definedName name="OO_Book_Settings_TBWorksheets">"0"</definedName>
    <definedName name="OO_Book_Settings_TBZoomIn">"1"</definedName>
    <definedName name="OO_Book_Settings_TBZoomOut">"1"</definedName>
    <definedName name="OO_Book_Settings_Toolbar">"1"</definedName>
    <definedName name="OO_Book_Settings_UpdateButton">""</definedName>
    <definedName name="OO_Book_Settings_UseNamedRanges">"1"</definedName>
    <definedName name="OO_Book_Settings_UseWorkbookSettings">"0"</definedName>
    <definedName name="OO_Book_Settings_WorksheetTabs">"1"</definedName>
    <definedName name="OO_Book_Settings_XCDestination">"\\bhecogdev01\TM1\OLAPObjects\Workbooks\Income Statement YOY - Mo and YTD_xCelsius.xls"</definedName>
    <definedName name="OPENACCESS">#REF!</definedName>
    <definedName name="oper">#REF!</definedName>
    <definedName name="Operaciones">#REF!</definedName>
    <definedName name="opexordertype">#REF!</definedName>
    <definedName name="OPINT_CURRENTMOS">#REF!</definedName>
    <definedName name="OPINT_PRIORMOS">#REF!</definedName>
    <definedName name="options_count">#REF!</definedName>
    <definedName name="osje" localSheetId="2" hidden="1">{#N/A,#N/A,FALSE,"Input";#N/A,#N/A,FALSE,"1997";#N/A,#N/A,FALSE,"1996";#N/A,#N/A,FALSE,"1995";#N/A,#N/A,FALSE,"1994";#N/A,#N/A,FALSE,"1993";#N/A,#N/A,FALSE,"1993-1";#N/A,#N/A,FALSE,"1992";#N/A,#N/A,FALSE,"1991";#N/A,#N/A,FALSE,"1990";#N/A,#N/A,FALSE,"1989";#N/A,#N/A,FALSE,"1988"}</definedName>
    <definedName name="osje" hidden="1">{#N/A,#N/A,FALSE,"Input";#N/A,#N/A,FALSE,"1997";#N/A,#N/A,FALSE,"1996";#N/A,#N/A,FALSE,"1995";#N/A,#N/A,FALSE,"1994";#N/A,#N/A,FALSE,"1993";#N/A,#N/A,FALSE,"1993-1";#N/A,#N/A,FALSE,"1992";#N/A,#N/A,FALSE,"1991";#N/A,#N/A,FALSE,"1990";#N/A,#N/A,FALSE,"1989";#N/A,#N/A,FALSE,"1988"}</definedName>
    <definedName name="Other93">#REF!</definedName>
    <definedName name="Other94">#REF!</definedName>
    <definedName name="others" localSheetId="2" hidden="1">{"Factors Pages 1-2",#N/A,FALSE,"Factors";"Factors Page 3",#N/A,FALSE,"Factors";"Factors Page 4",#N/A,FALSE,"Factors";"Factors Page 5",#N/A,FALSE,"Factors";"Factors Pages 8-27",#N/A,FALSE,"Factors"}</definedName>
    <definedName name="others" hidden="1">{"Factors Pages 1-2",#N/A,FALSE,"Factors";"Factors Page 3",#N/A,FALSE,"Factors";"Factors Page 4",#N/A,FALSE,"Factors";"Factors Page 5",#N/A,FALSE,"Factors";"Factors Pages 8-27",#N/A,FALSE,"Factors"}</definedName>
    <definedName name="OTHTAX">#REF!</definedName>
    <definedName name="P96AnnualTrueUp">#REF!</definedName>
    <definedName name="P96CostofCapital">#REF!</definedName>
    <definedName name="P96PlantAlloc">#REF!</definedName>
    <definedName name="P96PTFPlantAlloc">#REF!</definedName>
    <definedName name="P96WageSalaryAlloc">#REF!</definedName>
    <definedName name="P97AnnualTrueUp">#REF!</definedName>
    <definedName name="P97PlantAlloc">#REF!</definedName>
    <definedName name="P97PTFPlantAlloc">#REF!</definedName>
    <definedName name="P97WageSalaryAlloc">#REF!</definedName>
    <definedName name="PAGE1">#REF!</definedName>
    <definedName name="PAGE2">#REF!</definedName>
    <definedName name="page3">#REF!</definedName>
    <definedName name="page4">#REF!</definedName>
    <definedName name="PAGINA1">#REF!</definedName>
    <definedName name="PAGINA2">#REF!</definedName>
    <definedName name="pais">#REF!</definedName>
    <definedName name="panel">#REF!</definedName>
    <definedName name="Payment_Date">DATE(YEAR(Loan_Start),MONTH(Loan_Start)+Payment_Number,DAY(Loan_Start))</definedName>
    <definedName name="pbFileName">MID(CELL("filename"),FIND("[",CELL("FILENAME"))+1,(FIND("]",CELL("FILENAME"))) - (FIND("[",CELL("FILENAME"))+1))</definedName>
    <definedName name="PBGC_Grade">#REF!</definedName>
    <definedName name="pbPrinterFormat">"\\SGB24831\P0047496 on Ne05:"</definedName>
    <definedName name="pbStartPageNumber">1</definedName>
    <definedName name="pbUpdatePageNumbering">TRUE</definedName>
    <definedName name="PC_Allocators">#REF!</definedName>
    <definedName name="PC_AnnualTrueUpDetails">#REF!</definedName>
    <definedName name="PC_AttGWNetworkAlloc">#REF!</definedName>
    <definedName name="PC_AttGWPlantAlloc">#REF!</definedName>
    <definedName name="PC_AttGWWageAlloc">#REF!</definedName>
    <definedName name="PC_BasePreTaxReturn">#REF!</definedName>
    <definedName name="PC_CCSChargeDetails">#REF!</definedName>
    <definedName name="PC_CostofCapDetails">#REF!</definedName>
    <definedName name="PC_CustSvc_SalesAlloc">#REF!</definedName>
    <definedName name="PC_EquityTaxReturn">#REF!</definedName>
    <definedName name="PC_ForecastDetails">#REF!</definedName>
    <definedName name="PC_InputCalcs">#REF!</definedName>
    <definedName name="PC_InvestmentBaseDetails">#REF!</definedName>
    <definedName name="PC_InvestmentReturnandTaxesDetails">#REF!</definedName>
    <definedName name="PC_ISO_Revenue_Credit">#REF!</definedName>
    <definedName name="PC_JoinNIReturn">#REF!</definedName>
    <definedName name="PC_JoinPreTaxReturn">#REF!</definedName>
    <definedName name="PC_JoinTaxReturn">#REF!</definedName>
    <definedName name="PC_Local_Breakdown">#REF!</definedName>
    <definedName name="PC_LocalAnnualTrueUp">#REF!</definedName>
    <definedName name="PC_LocalBaseNIReturn">#REF!</definedName>
    <definedName name="PC_LocalBaseTaxReturn">#REF!</definedName>
    <definedName name="PC_LocalBreakdownNIandIncentives">#REF!</definedName>
    <definedName name="PC_LocalCarryCharge">#REF!</definedName>
    <definedName name="PC_LocalCostofCapital">#REF!</definedName>
    <definedName name="PC_LocalEquityReturn">#REF!</definedName>
    <definedName name="PC_LocalForecast">#REF!</definedName>
    <definedName name="PC_LocalLongTermDebtWeightedCostofCapital">#REF!</definedName>
    <definedName name="PC_LocalPlantAlloc">#REF!</definedName>
    <definedName name="PC_LocalPreferredWeightedCostofCapital">#REF!</definedName>
    <definedName name="PC_LocalPrefStockTaxReturn">#REF!</definedName>
    <definedName name="PC_LocalWageSalaryAlloc">#REF!</definedName>
    <definedName name="PC_MPRP_NonPTF_NIReturn">#REF!</definedName>
    <definedName name="PC_MPRP_NonPTF_PreTaxReturn">#REF!</definedName>
    <definedName name="PC_MPRP_NonPTF_TaxReturn">#REF!</definedName>
    <definedName name="PC_MPRP_PTF_NIReturn">#REF!</definedName>
    <definedName name="PC_MPRP_PTF_PreTaxReturn">#REF!</definedName>
    <definedName name="PC_MPRP_PTF_TaxReturn">#REF!</definedName>
    <definedName name="PC_MPRPPTFCostofCapital">#REF!</definedName>
    <definedName name="PC_NetworkAlloc">#REF!</definedName>
    <definedName name="PC_NewPreTaxReturn">#REF!</definedName>
    <definedName name="PC_NewTaxReturn">#REF!</definedName>
    <definedName name="PC_P96AnnualTrueUp">#REF!</definedName>
    <definedName name="PC_P96CostofCapital">#REF!</definedName>
    <definedName name="PC_P96PlantAlloc">#REF!</definedName>
    <definedName name="PC_P96PTFPlantAlloc">#REF!</definedName>
    <definedName name="PC_P96WageSalaryAlloc">#REF!</definedName>
    <definedName name="PC_P97AnnualTrueUp">#REF!</definedName>
    <definedName name="PC_P97PlantAlloc">#REF!</definedName>
    <definedName name="PC_P97PTFPlantAlloc">#REF!</definedName>
    <definedName name="PC_P97WageSalaryAlloc">#REF!</definedName>
    <definedName name="PC_Post03RSPCostofCapital">#REF!</definedName>
    <definedName name="PC_Pre97CostofCapital">#REF!</definedName>
    <definedName name="PC_PTF_NonPTF_Breakdown">#REF!</definedName>
    <definedName name="PC_RegBreakdownNIandIncentives">#REF!</definedName>
    <definedName name="PC_Regional_Breakdown">#REF!</definedName>
    <definedName name="PC_RegionalBaseNIReturn">#REF!</definedName>
    <definedName name="PC_RegionalBaseTaxReturn">#REF!</definedName>
    <definedName name="PC_RegionalCarryCharge">#REF!</definedName>
    <definedName name="PC_RegionalForecast">#REF!</definedName>
    <definedName name="PC_RegionalLongTermDebtWeightedCostofCapital">#REF!</definedName>
    <definedName name="PC_RegionalNewNIReturn">#REF!</definedName>
    <definedName name="PC_RegionalPreferredWeightedCostofCapital">#REF!</definedName>
    <definedName name="PC_RegionalPrefStockTaxReturn">#REF!</definedName>
    <definedName name="PC_RevReqDetails">#REF!</definedName>
    <definedName name="PC_Sch1LocalLCCPlantAlloc">#REF!</definedName>
    <definedName name="PC_Sch1LocalLCCWageAlloc">#REF!</definedName>
    <definedName name="PC_Sch1LocalTotalWageAlloc">#REF!</definedName>
    <definedName name="PC_Sch1RegLCCPlantAlloc">#REF!</definedName>
    <definedName name="PC_Sch1RegLCCPTFPlantAlloc">#REF!</definedName>
    <definedName name="PC_Sch1RegLCCWageAlloc">#REF!</definedName>
    <definedName name="PC_Sch1RegTotalWageAlloc">#REF!</definedName>
    <definedName name="PC_ThroughandOutDetails">#REF!</definedName>
    <definedName name="PeakDay">#REF!</definedName>
    <definedName name="PeakHour">#REF!</definedName>
    <definedName name="peaks">#REF!</definedName>
    <definedName name="PensionChoices" localSheetId="2" hidden="1">#REF!</definedName>
    <definedName name="PensionChoices" hidden="1">#REF!</definedName>
    <definedName name="Period">#REF!</definedName>
    <definedName name="PERIOD1" localSheetId="2">#REF!</definedName>
    <definedName name="PERIOD1">#REF!</definedName>
    <definedName name="PERIOD2" localSheetId="2">#REF!</definedName>
    <definedName name="PERIOD2">#REF!</definedName>
    <definedName name="PERIOD3">#REF!</definedName>
    <definedName name="PERIOD4">#REF!</definedName>
    <definedName name="PERIOD5">#REF!</definedName>
    <definedName name="PET">#REF!</definedName>
    <definedName name="pete" localSheetId="2" hidden="1">{#N/A,#N/A,FALSE,"Bgt";#N/A,#N/A,FALSE,"Act";#N/A,#N/A,FALSE,"Chrt Data";#N/A,#N/A,FALSE,"Bus Result";#N/A,#N/A,FALSE,"Main Charts";#N/A,#N/A,FALSE,"P&amp;L Ttl";#N/A,#N/A,FALSE,"P&amp;L C_Ttl";#N/A,#N/A,FALSE,"P&amp;L C_Oct";#N/A,#N/A,FALSE,"P&amp;L C_Sep";#N/A,#N/A,FALSE,"1996";#N/A,#N/A,FALSE,"Data"}</definedName>
    <definedName name="pete" hidden="1">{#N/A,#N/A,FALSE,"Bgt";#N/A,#N/A,FALSE,"Act";#N/A,#N/A,FALSE,"Chrt Data";#N/A,#N/A,FALSE,"Bus Result";#N/A,#N/A,FALSE,"Main Charts";#N/A,#N/A,FALSE,"P&amp;L Ttl";#N/A,#N/A,FALSE,"P&amp;L C_Ttl";#N/A,#N/A,FALSE,"P&amp;L C_Oct";#N/A,#N/A,FALSE,"P&amp;L C_Sep";#N/A,#N/A,FALSE,"1996";#N/A,#N/A,FALSE,"Data"}</definedName>
    <definedName name="PGCFRANGO">#REF!</definedName>
    <definedName name="Plan_Year">#REF!</definedName>
    <definedName name="poe">#REF!</definedName>
    <definedName name="pop">#REF!</definedName>
    <definedName name="PopCache_FA_MASS_ADDITIONS_DEPRECIATE_FLAG" localSheetId="2" hidden="1">#REF!</definedName>
    <definedName name="PopCache_FA_MASS_ADDITIONS_DEPRECIATE_FLAG" hidden="1">#REF!</definedName>
    <definedName name="PopCache_FA_MASS_ADDITIONS_PROPERTY_TYPE_CODE" localSheetId="2" hidden="1">#REF!</definedName>
    <definedName name="PopCache_FA_MASS_ADDITIONS_PROPERTY_TYPE_CODE" hidden="1">#REF!</definedName>
    <definedName name="PopCache_GL_INTERFACE_REFERENCE7" hidden="1">#REF!</definedName>
    <definedName name="post" localSheetId="2" hidden="1">{#N/A,#N/A,FALSE,"Input";#N/A,#N/A,FALSE,"1997";#N/A,#N/A,FALSE,"1996";#N/A,#N/A,FALSE,"1995";#N/A,#N/A,FALSE,"1994";#N/A,#N/A,FALSE,"1993";#N/A,#N/A,FALSE,"1993-1";#N/A,#N/A,FALSE,"1992";#N/A,#N/A,FALSE,"1991";#N/A,#N/A,FALSE,"1990";#N/A,#N/A,FALSE,"1989";#N/A,#N/A,FALSE,"1988"}</definedName>
    <definedName name="post" hidden="1">{#N/A,#N/A,FALSE,"Input";#N/A,#N/A,FALSE,"1997";#N/A,#N/A,FALSE,"1996";#N/A,#N/A,FALSE,"1995";#N/A,#N/A,FALSE,"1994";#N/A,#N/A,FALSE,"1993";#N/A,#N/A,FALSE,"1993-1";#N/A,#N/A,FALSE,"1992";#N/A,#N/A,FALSE,"1991";#N/A,#N/A,FALSE,"1990";#N/A,#N/A,FALSE,"1989";#N/A,#N/A,FALSE,"1988"}</definedName>
    <definedName name="post03_PTF_pct">#REF!</definedName>
    <definedName name="Post03RSPCostofCapital">#REF!</definedName>
    <definedName name="post96ratechoice">#REF!</definedName>
    <definedName name="PosttaxLY">#REF!</definedName>
    <definedName name="POWER">#REF!</definedName>
    <definedName name="PP0_POS">#REF!</definedName>
    <definedName name="PPage">#REF!</definedName>
    <definedName name="PPage1">#REF!</definedName>
    <definedName name="PPage2">#REF!</definedName>
    <definedName name="PPO_POS_WORK">#REF!</definedName>
    <definedName name="pr" hidden="1">{#N/A,#N/A,FALSE,"TITLEPG";#N/A,#N/A,FALSE,"INDEX";#N/A,#N/A,FALSE,"BKTAXINCOME";#N/A,#N/A,FALSE,"INTERESTALLOC";#N/A,#N/A,FALSE,"FITCALC";#N/A,#N/A,FALSE,"CCBT";#N/A,#N/A,FALSE,"CGE";#N/A,#N/A,FALSE,"MFT";#N/A,#N/A,FALSE,"NHBPT";#N/A,#N/A,FALSE,"OPPERMEVENTS";#N/A,#N/A,FALSE,"NONOPPERMEVENTS";#N/A,#N/A,FALSE,"OPTIMEVENTS";#N/A,#N/A,FALSE,"NONOPTIMEVENTS";#N/A,#N/A,FALSE,"DEPREC";#N/A,#N/A,FALSE,"OPPERMDIFF";#N/A,#N/A,FALSE,"NONOPPERMDIFF";#N/A,#N/A,FALSE,"OPTIMDIFF";#N/A,#N/A,FALSE,"NONOPTIMDIFF";#N/A,#N/A,FALSE,"OP190CRQTR";#N/A,#N/A,FALSE,"NONOP190CRQTR";#N/A,#N/A,FALSE,"OP190CRYTD";#N/A,#N/A,FALSE,"NONOP190CRYTD";#N/A,#N/A,FALSE,"OP190PRYTD";#N/A,#N/A,FALSE,"NONOP190PRYTD";#N/A,#N/A,FALSE,"OP282CRQTR";#N/A,#N/A,FALSE,"NONOP282CRQTR";#N/A,#N/A,FALSE,"OP282CRYTD";#N/A,#N/A,FALSE,"NONOP282CRYTD";#N/A,#N/A,FALSE,"OP282PRYTD";#N/A,#N/A,FALSE,"NONOP282PRYTD";#N/A,#N/A,FALSE,"OP283CRQTR";#N/A,#N/A,FALSE,"NONOP283CRQTR";#N/A,#N/A,FALSE,"OP283CRYTD";#N/A,#N/A,FALSE,"NONOP283CRYTD";#N/A,#N/A,FALSE,"OP283PRYTD";#N/A,#N/A,FALSE,"NONOP283PRYTD";#N/A,#N/A,FALSE,"DITSUM";#N/A,#N/A,FALSE,"CRYTDACREC";#N/A,#N/A,FALSE,"PRYTDACREC";#N/A,#N/A,FALSE,"SYSJRNL";#N/A,#N/A,FALSE,"FAS109 OPERATING";#N/A,#N/A,FALSE,"FAS109 NONOPERATING"}</definedName>
    <definedName name="pr_1" hidden="1">{#N/A,#N/A,FALSE,"TITLEPG";#N/A,#N/A,FALSE,"INDEX";#N/A,#N/A,FALSE,"BKTAXINCOME";#N/A,#N/A,FALSE,"INTERESTALLOC";#N/A,#N/A,FALSE,"FITCALC";#N/A,#N/A,FALSE,"CCBT";#N/A,#N/A,FALSE,"CGE";#N/A,#N/A,FALSE,"MFT";#N/A,#N/A,FALSE,"NHBPT";#N/A,#N/A,FALSE,"OPPERMEVENTS";#N/A,#N/A,FALSE,"NONOPPERMEVENTS";#N/A,#N/A,FALSE,"OPTIMEVENTS";#N/A,#N/A,FALSE,"NONOPTIMEVENTS";#N/A,#N/A,FALSE,"DEPREC";#N/A,#N/A,FALSE,"OPPERMDIFF";#N/A,#N/A,FALSE,"NONOPPERMDIFF";#N/A,#N/A,FALSE,"OPTIMDIFF";#N/A,#N/A,FALSE,"NONOPTIMDIFF";#N/A,#N/A,FALSE,"OP190CRQTR";#N/A,#N/A,FALSE,"NONOP190CRQTR";#N/A,#N/A,FALSE,"OP190CRYTD";#N/A,#N/A,FALSE,"NONOP190CRYTD";#N/A,#N/A,FALSE,"OP190PRYTD";#N/A,#N/A,FALSE,"NONOP190PRYTD";#N/A,#N/A,FALSE,"OP282CRQTR";#N/A,#N/A,FALSE,"NONOP282CRQTR";#N/A,#N/A,FALSE,"OP282CRYTD";#N/A,#N/A,FALSE,"NONOP282CRYTD";#N/A,#N/A,FALSE,"OP282PRYTD";#N/A,#N/A,FALSE,"NONOP282PRYTD";#N/A,#N/A,FALSE,"OP283CRQTR";#N/A,#N/A,FALSE,"NONOP283CRQTR";#N/A,#N/A,FALSE,"OP283CRYTD";#N/A,#N/A,FALSE,"NONOP283CRYTD";#N/A,#N/A,FALSE,"OP283PRYTD";#N/A,#N/A,FALSE,"NONOP283PRYTD";#N/A,#N/A,FALSE,"DITSUM";#N/A,#N/A,FALSE,"CRYTDACREC";#N/A,#N/A,FALSE,"PRYTDACREC";#N/A,#N/A,FALSE,"SYSJRNL";#N/A,#N/A,FALSE,"FAS109 OPERATING";#N/A,#N/A,FALSE,"FAS109 NONOPERATING"}</definedName>
    <definedName name="Pre97CostofCapital">#REF!</definedName>
    <definedName name="pre97ptfratechoice">#REF!</definedName>
    <definedName name="pre97ratechoice">#REF!</definedName>
    <definedName name="Precios">#REF!</definedName>
    <definedName name="PreviousYear">#REF!</definedName>
    <definedName name="PrevMthTable">#REF!</definedName>
    <definedName name="price">#REF!</definedName>
    <definedName name="Print_23">#REF!</definedName>
    <definedName name="_xlnm.Print_Area" localSheetId="2">'Att 1 Rate Design p3'!$A$1:$O$28</definedName>
    <definedName name="_xlnm.Print_Area">#REF!</definedName>
    <definedName name="Print_area_liabilities">#REF!</definedName>
    <definedName name="Print_Area_MI">#REF!</definedName>
    <definedName name="Print_Area_Reset">OFFSET(Full_Print,0,0,Last_Row)</definedName>
    <definedName name="_xlnm.Print_Titles">#REF!</definedName>
    <definedName name="Print_Titles_MI">#REF!,#REF!</definedName>
    <definedName name="PRINTDETAIL">#REF!</definedName>
    <definedName name="PRINTDETAIL2">#REF!</definedName>
    <definedName name="PRINTEM">#N/A</definedName>
    <definedName name="PRIORYEAR">#REF!</definedName>
    <definedName name="Process">#REF!</definedName>
    <definedName name="ProFactor">#REF!</definedName>
    <definedName name="Profile">#REF!</definedName>
    <definedName name="PROJNAME">#REF!</definedName>
    <definedName name="PRORATE">#REF!</definedName>
    <definedName name="Prov_mes">#REF!</definedName>
    <definedName name="Proveedor">#REF!</definedName>
    <definedName name="Proveedor___Fecha_pago">#REF!</definedName>
    <definedName name="prueba">#REF!</definedName>
    <definedName name="psnh_pilot">#REF!</definedName>
    <definedName name="psnh1">#REF!</definedName>
    <definedName name="psnh2">#REF!</definedName>
    <definedName name="psnhcoc">#REF!</definedName>
    <definedName name="PSNHCOC2">#REF!</definedName>
    <definedName name="Ptable">#REF!</definedName>
    <definedName name="PTF">#REF!</definedName>
    <definedName name="PTF________Non_PTF">#REF!</definedName>
    <definedName name="PTF_NonPTF_Breakdown">#REF!</definedName>
    <definedName name="PTF_pct_minus_SkiffWestern">#REF!</definedName>
    <definedName name="PUB_FileID" hidden="1">"L10004026.xls"</definedName>
    <definedName name="PUB_UserID" hidden="1">"MAYERX"</definedName>
    <definedName name="Purpose">#REF!</definedName>
    <definedName name="PVRATE">#REF!</definedName>
    <definedName name="PY_Current_Liabilities">#REF!</definedName>
    <definedName name="PY_Intangible_Assets">#REF!</definedName>
    <definedName name="PY_NET_PROFIT">#REF!</definedName>
    <definedName name="PY_TOTAL_CURR_ASSETS">#REF!</definedName>
    <definedName name="PY_TOTAL_EQUITY">#REF!</definedName>
    <definedName name="PY2_Current_Liabilities">#REF!</definedName>
    <definedName name="PY2_Intangible_Assets">#REF!</definedName>
    <definedName name="PY2_TOTAL_CURR_ASSETS">#REF!</definedName>
    <definedName name="PY2_TOTAL_EQUITY">#REF!</definedName>
    <definedName name="PYRecon">#REF!</definedName>
    <definedName name="q" localSheetId="2" hidden="1">{"TaxSum",#N/A,FALSE,"TaxSum";"Msum",#N/A,FALSE,"MSum";"IncStmnt",#N/A,FALSE,"IncStmnt";"Ccorps",#N/A,FALSE,"IncStmnt";"Meals",#N/A,FALSE,"Meals";"Other",#N/A,FALSE,"Other";"IntangSum",#N/A,FALSE,"IntangSummary";"AmortDetail",#N/A,FALSE,"AmortDetail";"Deprec",#N/A,FALSE,"Deprec"}</definedName>
    <definedName name="q" hidden="1">{"TaxSum",#N/A,FALSE,"TaxSum";"Msum",#N/A,FALSE,"MSum";"IncStmnt",#N/A,FALSE,"IncStmnt";"Ccorps",#N/A,FALSE,"IncStmnt";"Meals",#N/A,FALSE,"Meals";"Other",#N/A,FALSE,"Other";"IntangSum",#N/A,FALSE,"IntangSummary";"AmortDetail",#N/A,FALSE,"AmortDetail";"Deprec",#N/A,FALSE,"Deprec"}</definedName>
    <definedName name="Q_TEMP">#REF!</definedName>
    <definedName name="qqq" hidden="1">{#N/A,#N/A,FALSE,"Sheet1";#N/A,#N/A,FALSE,"Sheet1"}</definedName>
    <definedName name="qqq_1" hidden="1">{#N/A,#N/A,FALSE,"Sheet1";#N/A,#N/A,FALSE,"Sheet1"}</definedName>
    <definedName name="qre"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ptBudgetPriority">#REF!</definedName>
    <definedName name="QTR">#REF!</definedName>
    <definedName name="QTRCLPINC">#REF!</definedName>
    <definedName name="QTRCONCLREC">#REF!</definedName>
    <definedName name="QTRECONOMY">#REF!</definedName>
    <definedName name="QTRENERGY">#REF!</definedName>
    <definedName name="QTRPRICEMIX">#REF!</definedName>
    <definedName name="QTRPSNHINC">#REF!</definedName>
    <definedName name="QTRRATEDEC">#REF!</definedName>
    <definedName name="QTRRATEREF">#REF!</definedName>
    <definedName name="QTRWEATHER">#REF!</definedName>
    <definedName name="QTRWHOLESALE">#REF!</definedName>
    <definedName name="QTRWMINC">#REF!</definedName>
    <definedName name="quarterly">#REF!</definedName>
    <definedName name="qwert"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RA">#REF!</definedName>
    <definedName name="Radnor" localSheetId="2" hidden="1">binary</definedName>
    <definedName name="Radnor" hidden="1">binary</definedName>
    <definedName name="RALLOC">#N/A</definedName>
    <definedName name="rate">#REF!</definedName>
    <definedName name="RateCat" localSheetId="2">#REF!</definedName>
    <definedName name="RateCat">#REF!</definedName>
    <definedName name="RateCat2" localSheetId="2">#REF!</definedName>
    <definedName name="RateCat2">#REF!</definedName>
    <definedName name="rateformat">#REF!</definedName>
    <definedName name="RatingBco">#REF!</definedName>
    <definedName name="Ratings">#REF!</definedName>
    <definedName name="RATIO">#REF!</definedName>
    <definedName name="RawData">#REF!</definedName>
    <definedName name="RawHeader">#REF!</definedName>
    <definedName name="RB">#REF!</definedName>
    <definedName name="RBAL">#N/A</definedName>
    <definedName name="RBREV">#N/A</definedName>
    <definedName name="RBREV1">#N/A</definedName>
    <definedName name="RDVers">"2.20A"</definedName>
    <definedName name="Received">#REF!</definedName>
    <definedName name="Ref_3">#REF!</definedName>
    <definedName name="Ref_4">#REF!,#REF!</definedName>
    <definedName name="Ref_5">#REF!</definedName>
    <definedName name="Ref_6">#REF!</definedName>
    <definedName name="RegBreakdownNIandIncentives">#REF!</definedName>
    <definedName name="REGCOM">#N/A</definedName>
    <definedName name="REGIND">#N/A</definedName>
    <definedName name="Regional_Billing_Source">#REF!</definedName>
    <definedName name="Regional_Breakdown">#REF!</definedName>
    <definedName name="RegionalBaseNIReturn">#REF!</definedName>
    <definedName name="RegionalBaseTaxReturn">#REF!</definedName>
    <definedName name="RegionalCarryCharge">#REF!</definedName>
    <definedName name="RegionalForecast">#REF!</definedName>
    <definedName name="RegionalLongTermDebtWeightedCostofCapital">#REF!</definedName>
    <definedName name="RegionalNewNIReturn">#REF!</definedName>
    <definedName name="RegionalPreferredWeightedCostofCapital">#REF!</definedName>
    <definedName name="RegionalPrefStockTaxReturn">#REF!</definedName>
    <definedName name="REGRES">#N/A</definedName>
    <definedName name="REGSTL">#N/A</definedName>
    <definedName name="Reliability_Cap_Req_GSA1_and_2">#REF!</definedName>
    <definedName name="ReportDate2">#REF!</definedName>
    <definedName name="ReportGroup" hidden="1">0</definedName>
    <definedName name="REPORTHEADER">#REF!</definedName>
    <definedName name="REPORTHEADER2">#REF!</definedName>
    <definedName name="RESC">#N/A</definedName>
    <definedName name="Residual_difference">#REF!</definedName>
    <definedName name="RESMOD">#REF!</definedName>
    <definedName name="RESREG">#N/A</definedName>
    <definedName name="REST" localSheetId="2" hidden="1">#REF!</definedName>
    <definedName name="REST" hidden="1">#REF!</definedName>
    <definedName name="Resultados_por_mes_MEX">#REF!</definedName>
    <definedName name="retail" localSheetId="2" hidden="1">{#N/A,#N/A,FALSE,"Loans";#N/A,#N/A,FALSE,"Program Costs";#N/A,#N/A,FALSE,"Measures";#N/A,#N/A,FALSE,"Net Lost Rev";#N/A,#N/A,FALSE,"Incentive"}</definedName>
    <definedName name="retail" hidden="1">{#N/A,#N/A,FALSE,"Loans";#N/A,#N/A,FALSE,"Program Costs";#N/A,#N/A,FALSE,"Measures";#N/A,#N/A,FALSE,"Net Lost Rev";#N/A,#N/A,FALSE,"Incentive"}</definedName>
    <definedName name="retail_CC" localSheetId="2" hidden="1">{#N/A,#N/A,FALSE,"Loans";#N/A,#N/A,FALSE,"Program Costs";#N/A,#N/A,FALSE,"Measures";#N/A,#N/A,FALSE,"Net Lost Rev";#N/A,#N/A,FALSE,"Incentive"}</definedName>
    <definedName name="retail_CC" hidden="1">{#N/A,#N/A,FALSE,"Loans";#N/A,#N/A,FALSE,"Program Costs";#N/A,#N/A,FALSE,"Measures";#N/A,#N/A,FALSE,"Net Lost Rev";#N/A,#N/A,FALSE,"Incentive"}</definedName>
    <definedName name="retail_CC1" localSheetId="2" hidden="1">{#N/A,#N/A,FALSE,"Loans";#N/A,#N/A,FALSE,"Program Costs";#N/A,#N/A,FALSE,"Measures";#N/A,#N/A,FALSE,"Net Lost Rev";#N/A,#N/A,FALSE,"Incentive"}</definedName>
    <definedName name="retail_CC1" hidden="1">{#N/A,#N/A,FALSE,"Loans";#N/A,#N/A,FALSE,"Program Costs";#N/A,#N/A,FALSE,"Measures";#N/A,#N/A,FALSE,"Net Lost Rev";#N/A,#N/A,FALSE,"Incentive"}</definedName>
    <definedName name="retires_per_month">#REF!</definedName>
    <definedName name="RETMOD">#REF!</definedName>
    <definedName name="return2001">#REF!</definedName>
    <definedName name="REVENUE">#REF!</definedName>
    <definedName name="RevReqDetails">#REF!</definedName>
    <definedName name="RFREV">#N/A</definedName>
    <definedName name="RGE_EL">#REF!</definedName>
    <definedName name="RGE_G">#REF!</definedName>
    <definedName name="RGGI">#REF!</definedName>
    <definedName name="RGREV">#N/A</definedName>
    <definedName name="RIS_Rate">#REF!</definedName>
    <definedName name="Risk_cost">#REF!</definedName>
    <definedName name="RISK_FORECAST">#REF!</definedName>
    <definedName name="RISK_FORECAST_">#REF!</definedName>
    <definedName name="RISK_FORECAST_2A">#REF!</definedName>
    <definedName name="RISK_FORECAST1">#REF!</definedName>
    <definedName name="RISK_FORECAST2">#REF!</definedName>
    <definedName name="RISK_FRECAST1">#REF!</definedName>
    <definedName name="RISK_REGISTER">#REF!</definedName>
    <definedName name="RiskAfterRecalcMacro" hidden="1">""</definedName>
    <definedName name="RiskAfterSimMacro" hidden="1">""</definedName>
    <definedName name="RiskBeforeRecalcMacro" hidden="1">""</definedName>
    <definedName name="RiskBeforeSimMacro" hidden="1">""</definedName>
    <definedName name="RiskDet">TRUE</definedName>
    <definedName name="RiskMinimizeOnStart" hidden="1">FALSE</definedName>
    <definedName name="RiskMultipleCPUSupportEnabled" hidden="1">TRUE</definedName>
    <definedName name="RiskUseMultipleCPUs" hidden="1">FALSE</definedName>
    <definedName name="RMPA">#REF!</definedName>
    <definedName name="RN_Payment">#REF!</definedName>
    <definedName name="RN_Revenue">#REF!</definedName>
    <definedName name="RNS_Data">#REF!</definedName>
    <definedName name="RNS_Data_1">#REF!</definedName>
    <definedName name="RNS_Data_2">#REF!</definedName>
    <definedName name="RNS_Rate">#REF!</definedName>
    <definedName name="RNS_Rate_Rev">#REF!</definedName>
    <definedName name="ROA">#REF!</definedName>
    <definedName name="roc">#REF!</definedName>
    <definedName name="ROI">#REF!</definedName>
    <definedName name="Rollins">#REF!</definedName>
    <definedName name="Rollins_Deferral">#REF!</definedName>
    <definedName name="Rollup">#REF!</definedName>
    <definedName name="rp" localSheetId="2" hidden="1">{"summary1",#N/A,TRUE,"Comps";"summary2",#N/A,TRUE,"Comps";"summary3",#N/A,TRUE,"Comps"}</definedName>
    <definedName name="rp" hidden="1">{"summary1",#N/A,TRUE,"Comps";"summary2",#N/A,TRUE,"Comps";"summary3",#N/A,TRUE,"Comps"}</definedName>
    <definedName name="RPA" localSheetId="2" hidden="1">{#N/A,#N/A,FALSE,"Cashflow Analysis";#N/A,#N/A,FALSE,"Sensitivity Analysis";#N/A,#N/A,FALSE,"PV";#N/A,#N/A,FALSE,"Pro Forma"}</definedName>
    <definedName name="RPA" hidden="1">{#N/A,#N/A,FALSE,"Cashflow Analysis";#N/A,#N/A,FALSE,"Sensitivity Analysis";#N/A,#N/A,FALSE,"PV";#N/A,#N/A,FALSE,"Pro Forma"}</definedName>
    <definedName name="RPA.2" localSheetId="2" hidden="1">{#N/A,#N/A,FALSE,"Cashflow Analysis";#N/A,#N/A,FALSE,"Sensitivity Analysis";#N/A,#N/A,FALSE,"PV";#N/A,#N/A,FALSE,"Pro Forma"}</definedName>
    <definedName name="RPA.2" hidden="1">{#N/A,#N/A,FALSE,"Cashflow Analysis";#N/A,#N/A,FALSE,"Sensitivity Analysis";#N/A,#N/A,FALSE,"PV";#N/A,#N/A,FALSE,"Pro Forma"}</definedName>
    <definedName name="rr" localSheetId="2" hidden="1">nopat/capital</definedName>
    <definedName name="rr" hidden="1">nopat/capital</definedName>
    <definedName name="rr_D">nopat/capital</definedName>
    <definedName name="RRMOD">#REF!</definedName>
    <definedName name="RSAL">#N/A</definedName>
    <definedName name="RSP_ID___ACL____LSP___CEII_TCA">#REF!</definedName>
    <definedName name="RSPIncrementalCOC">#REF!</definedName>
    <definedName name="RTREV">#N/A</definedName>
    <definedName name="Run">#REF!</definedName>
    <definedName name="russell" localSheetId="2" hidden="1">{#N/A,#N/A,FALSE,"SPCondo"}</definedName>
    <definedName name="russell" hidden="1">{#N/A,#N/A,FALSE,"SPCondo"}</definedName>
    <definedName name="RY1EntitlementRevReq">#REF!</definedName>
    <definedName name="RYREV">#N/A</definedName>
    <definedName name="s" localSheetId="2" hidden="1">{"YTD-Total",#N/A,TRUE,"Provision";"YTD-Utility",#N/A,TRUE,"Prov Utility";"YTD-NonUtility",#N/A,TRUE,"Prov NonUtility"}</definedName>
    <definedName name="s" hidden="1">{"YTD-Total",#N/A,TRUE,"Provision";"YTD-Utility",#N/A,TRUE,"Prov Utility";"YTD-NonUtility",#N/A,TRUE,"Prov NonUtility"}</definedName>
    <definedName name="S_W_pct_PTF">#REF!</definedName>
    <definedName name="S93_">#N/A</definedName>
    <definedName name="S94_">#N/A</definedName>
    <definedName name="S95_">#N/A</definedName>
    <definedName name="S96_">#N/A</definedName>
    <definedName name="sa" localSheetId="2" hidden="1">{"cap_structure",#N/A,FALSE,"Graph-Mkt Cap";"price",#N/A,FALSE,"Graph-Price";"ebit",#N/A,FALSE,"Graph-EBITDA";"ebitda",#N/A,FALSE,"Graph-EBITDA"}</definedName>
    <definedName name="sa" hidden="1">{"cap_structure",#N/A,FALSE,"Graph-Mkt Cap";"price",#N/A,FALSE,"Graph-Price";"ebit",#N/A,FALSE,"Graph-EBITDA";"ebitda",#N/A,FALSE,"Graph-EBITDA"}</definedName>
    <definedName name="sagf"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l" localSheetId="2" hidden="1">{#N/A,#N/A,FALSE,"IPCOVER";#N/A,#N/A,FALSE,"STATEMENT";#N/A,#N/A,FALSE,"MARGIN";#N/A,#N/A,FALSE,"GNS &amp; LSS";#N/A,#N/A,FALSE,"IPREALGL";#N/A,#N/A,FALSE,"SHRTACCT"}</definedName>
    <definedName name="sal" hidden="1">{#N/A,#N/A,FALSE,"IPCOVER";#N/A,#N/A,FALSE,"STATEMENT";#N/A,#N/A,FALSE,"MARGIN";#N/A,#N/A,FALSE,"GNS &amp; LSS";#N/A,#N/A,FALSE,"IPREALGL";#N/A,#N/A,FALSE,"SHRTACCT"}</definedName>
    <definedName name="SalesG01998F">#REF!</definedName>
    <definedName name="SalesG0Actual">#REF!</definedName>
    <definedName name="SALLOC">#N/A</definedName>
    <definedName name="SAPBEXdnldView" hidden="1">"4BH52YMAT8N820NWUACMPXPYX"</definedName>
    <definedName name="SAPBEXhrIndnt" hidden="1">"Wide"</definedName>
    <definedName name="SAPBEXrevision" hidden="1">17</definedName>
    <definedName name="SAPBEXsysID" hidden="1">"PBW"</definedName>
    <definedName name="SAPBEXwbID" hidden="1">"3UU3TFCENPZ5B2MUM8U0OEJHM"</definedName>
    <definedName name="SAPsysID" hidden="1">"708C5W7SBKP804JT78WJ0JNKI"</definedName>
    <definedName name="SAPwbID" hidden="1">"ARS"</definedName>
    <definedName name="sarf" hidden="1">#REF!</definedName>
    <definedName name="SB">#REF!</definedName>
    <definedName name="SBREV">#N/A</definedName>
    <definedName name="SBREV1">#N/A</definedName>
    <definedName name="SC_13T_BINGHAMTON_TH">#REF!</definedName>
    <definedName name="SC_13T_CHAMPLAIN_TH">#REF!</definedName>
    <definedName name="SC_13T_COMBINED_TH">#REF!</definedName>
    <definedName name="SC_13T_ELMIRA_TH">#REF!</definedName>
    <definedName name="SC_13T_GOSHEN_TH">#REF!</definedName>
    <definedName name="SC_13T_LOCKPORT_TH">#REF!</definedName>
    <definedName name="SC_13T_OWEGO_TH">#REF!</definedName>
    <definedName name="SC_1S_BINGHAMTON_TH">#REF!</definedName>
    <definedName name="SC_1S_CHAMPLAIN_TH">#REF!</definedName>
    <definedName name="SC_1S_COMBINED_TH">#REF!</definedName>
    <definedName name="SC_1S_ELMIRA_TH">#REF!</definedName>
    <definedName name="SC_1S_GOSHEN_TH">#REF!</definedName>
    <definedName name="SC_1S_LOCKPORT_TH">#REF!</definedName>
    <definedName name="SC_1S_OWEGO_TH">#REF!</definedName>
    <definedName name="SCdate">#REF!</definedName>
    <definedName name="SCExpRevRecon">#REF!</definedName>
    <definedName name="Sch13PlantAlloc">#REF!</definedName>
    <definedName name="Sch13WageAlloc">#REF!</definedName>
    <definedName name="Sch1LocalLCCPlantAlloc">#REF!</definedName>
    <definedName name="Sch1LocalLCCWageAlloc">#REF!</definedName>
    <definedName name="Sch1LocalTotalWageAlloc">#REF!</definedName>
    <definedName name="Sch1Rate">#REF!</definedName>
    <definedName name="Sch1RegLCCPlantAlloc">#REF!</definedName>
    <definedName name="Sch1RegLCCPTFPlantAlloc">#REF!</definedName>
    <definedName name="Sch1RegLCCWageAlloc">#REF!</definedName>
    <definedName name="Sch1RegTotalWageAlloc">#REF!</definedName>
    <definedName name="SCHED10" localSheetId="2">#REF!</definedName>
    <definedName name="SCHED10">#REF!</definedName>
    <definedName name="SCHED11P1" localSheetId="2">#REF!</definedName>
    <definedName name="SCHED11P1">#REF!</definedName>
    <definedName name="SCHED11P2" localSheetId="2">#REF!</definedName>
    <definedName name="SCHED11P2">#REF!</definedName>
    <definedName name="SCHED11P3">#REF!</definedName>
    <definedName name="SCHED16P1">#REF!</definedName>
    <definedName name="SCHED16P2">#REF!</definedName>
    <definedName name="SCHED17P1">#REF!</definedName>
    <definedName name="SCHED17P2">#REF!</definedName>
    <definedName name="SCHED17P3">#REF!</definedName>
    <definedName name="SCHED17P4">#REF!</definedName>
    <definedName name="SCHED17P5">#REF!</definedName>
    <definedName name="SCHED18P1">#REF!</definedName>
    <definedName name="SCHED18P2">#REF!</definedName>
    <definedName name="SCHED19">#REF!</definedName>
    <definedName name="SCHED1P1">#REF!</definedName>
    <definedName name="SCHED1P2">#REF!</definedName>
    <definedName name="SCHED1P3">#REF!</definedName>
    <definedName name="SCHED20">#REF!</definedName>
    <definedName name="SCHED21">#REF!</definedName>
    <definedName name="SCHED22">#REF!</definedName>
    <definedName name="SCHED2P1">#REF!</definedName>
    <definedName name="SCHED2P2">#REF!</definedName>
    <definedName name="SCHED3">#REF!</definedName>
    <definedName name="SCHED4">#REF!</definedName>
    <definedName name="SCHED5">#REF!</definedName>
    <definedName name="SCHED6">#REF!</definedName>
    <definedName name="SCHED7">#REF!</definedName>
    <definedName name="SCHED8">#REF!</definedName>
    <definedName name="SCHED9P1">#REF!</definedName>
    <definedName name="SCHED9P2">#REF!</definedName>
    <definedName name="SCHED9P3">#REF!</definedName>
    <definedName name="SCHED9P4">#REF!</definedName>
    <definedName name="SCHEDULE_Impact">#REF!</definedName>
    <definedName name="SCHEDULE_ImpactX">#REF!</definedName>
    <definedName name="SchLOandMRate">#REF!</definedName>
    <definedName name="SCRC">#REF!</definedName>
    <definedName name="sddddddddd" hidden="1">{#N/A,#N/A,FALSE,"Income";#N/A,#N/A,FALSE,"Cost of Goods Sold";#N/A,#N/A,FALSE,"Other Costs";#N/A,#N/A,FALSE,"Other Income";#N/A,#N/A,FALSE,"Taxes";#N/A,#N/A,FALSE,"Other Deductions";#N/A,#N/A,FALSE,"Compensation of Officers"}</definedName>
    <definedName name="sdfg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eabrook93">#REF!</definedName>
    <definedName name="Seabrook94">#REF!</definedName>
    <definedName name="search">#REF!</definedName>
    <definedName name="SearchKey">#REF!</definedName>
    <definedName name="secciones">#REF!</definedName>
    <definedName name="SecLoss">#REF!</definedName>
    <definedName name="sencount" hidden="1">1</definedName>
    <definedName name="SEPCURMOUNBILL" localSheetId="2">#REF!</definedName>
    <definedName name="SEPCURMOUNBILL">#REF!</definedName>
    <definedName name="SEPELPCREDITS" localSheetId="2">#REF!</definedName>
    <definedName name="SEPELPCREDITS">#REF!</definedName>
    <definedName name="SEPELPRECOV" localSheetId="2">#REF!</definedName>
    <definedName name="SEPELPRECOV">#REF!</definedName>
    <definedName name="Set">" "</definedName>
    <definedName name="seven" hidden="1">#REF!,#REF!</definedName>
    <definedName name="sevenfifteen">34895</definedName>
    <definedName name="sfhgfhghfsghfshfsh" hidden="1">{#N/A,#N/A,FALSE,"Income";#N/A,#N/A,FALSE,"Cost of Goods Sold";#N/A,#N/A,FALSE,"Other Costs";#N/A,#N/A,FALSE,"Other Income";#N/A,#N/A,FALSE,"Taxes";#N/A,#N/A,FALSE,"Other Deductions";#N/A,#N/A,FALSE,"Compensation of Officers"}</definedName>
    <definedName name="SFREV">#N/A</definedName>
    <definedName name="SGD">#REF!</definedName>
    <definedName name="SGREV">#N/A</definedName>
    <definedName name="shares_count">#REF!</definedName>
    <definedName name="sheet">#REF!</definedName>
    <definedName name="ShowAbout">#N/A</definedName>
    <definedName name="SIMPLEPLAN">#REF!</definedName>
    <definedName name="six" hidden="1">#REF!,#REF!</definedName>
    <definedName name="solar">#REF!</definedName>
    <definedName name="solver_adj" hidden="1">#N/A</definedName>
    <definedName name="solver_lhs1" localSheetId="2" hidden="1">#REF!</definedName>
    <definedName name="solver_lhs1" hidden="1">#REF!</definedName>
    <definedName name="solver_lhs10" localSheetId="2" hidden="1">#REF!</definedName>
    <definedName name="solver_lhs10" hidden="1">#REF!</definedName>
    <definedName name="solver_lhs11" localSheetId="2" hidden="1">#REF!</definedName>
    <definedName name="solver_lhs11" hidden="1">#REF!</definedName>
    <definedName name="solver_lhs12" localSheetId="2" hidden="1">#REF!</definedName>
    <definedName name="solver_lhs12" hidden="1">#REF!</definedName>
    <definedName name="solver_lhs13" localSheetId="2" hidden="1">#REF!</definedName>
    <definedName name="solver_lhs13" hidden="1">#REF!</definedName>
    <definedName name="solver_lhs14" localSheetId="2" hidden="1">#REF!</definedName>
    <definedName name="solver_lhs14" hidden="1">#REF!</definedName>
    <definedName name="solver_lhs15" localSheetId="2" hidden="1">#REF!</definedName>
    <definedName name="solver_lhs15" hidden="1">#REF!</definedName>
    <definedName name="solver_lhs16" localSheetId="2" hidden="1">#REF!</definedName>
    <definedName name="solver_lhs16" hidden="1">#REF!</definedName>
    <definedName name="solver_lhs17" localSheetId="2" hidden="1">#REF!</definedName>
    <definedName name="solver_lhs17" hidden="1">#REF!</definedName>
    <definedName name="solver_lhs18" localSheetId="2" hidden="1">#REF!</definedName>
    <definedName name="solver_lhs18" hidden="1">#REF!</definedName>
    <definedName name="solver_lhs19" localSheetId="2" hidden="1">#REF!</definedName>
    <definedName name="solver_lhs19" hidden="1">#REF!</definedName>
    <definedName name="solver_lhs2" localSheetId="2" hidden="1">#REF!</definedName>
    <definedName name="solver_lhs2" hidden="1">#REF!</definedName>
    <definedName name="solver_lhs20" localSheetId="2" hidden="1">#REF!</definedName>
    <definedName name="solver_lhs20" hidden="1">#REF!</definedName>
    <definedName name="solver_lhs21" localSheetId="2" hidden="1">#REF!</definedName>
    <definedName name="solver_lhs21" hidden="1">#REF!</definedName>
    <definedName name="solver_lhs22" localSheetId="2" hidden="1">#REF!</definedName>
    <definedName name="solver_lhs22" hidden="1">#REF!</definedName>
    <definedName name="solver_lhs23" localSheetId="2" hidden="1">#REF!</definedName>
    <definedName name="solver_lhs23" hidden="1">#REF!</definedName>
    <definedName name="solver_lhs24" localSheetId="2" hidden="1">#REF!</definedName>
    <definedName name="solver_lhs24" hidden="1">#REF!</definedName>
    <definedName name="solver_lhs25" localSheetId="2" hidden="1">#REF!</definedName>
    <definedName name="solver_lhs25" hidden="1">#REF!</definedName>
    <definedName name="solver_lhs26" localSheetId="2" hidden="1">#REF!</definedName>
    <definedName name="solver_lhs26" hidden="1">#REF!</definedName>
    <definedName name="solver_lhs27" localSheetId="2" hidden="1">#REF!</definedName>
    <definedName name="solver_lhs27" hidden="1">#REF!</definedName>
    <definedName name="solver_lhs28" localSheetId="2" hidden="1">#REF!</definedName>
    <definedName name="solver_lhs28" hidden="1">#REF!</definedName>
    <definedName name="solver_lhs29" localSheetId="2" hidden="1">#REF!</definedName>
    <definedName name="solver_lhs29" hidden="1">#REF!</definedName>
    <definedName name="solver_lhs3" localSheetId="2" hidden="1">#REF!</definedName>
    <definedName name="solver_lhs3" hidden="1">#REF!</definedName>
    <definedName name="solver_lhs30" localSheetId="2" hidden="1">#REF!</definedName>
    <definedName name="solver_lhs30" hidden="1">#REF!</definedName>
    <definedName name="solver_lhs31" localSheetId="2" hidden="1">#REF!</definedName>
    <definedName name="solver_lhs31" hidden="1">#REF!</definedName>
    <definedName name="solver_lhs32" localSheetId="2" hidden="1">#REF!</definedName>
    <definedName name="solver_lhs32" hidden="1">#REF!</definedName>
    <definedName name="solver_lhs33" localSheetId="2" hidden="1">#REF!</definedName>
    <definedName name="solver_lhs33" hidden="1">#REF!</definedName>
    <definedName name="solver_lhs34" localSheetId="2" hidden="1">#REF!</definedName>
    <definedName name="solver_lhs34" hidden="1">#REF!</definedName>
    <definedName name="solver_lhs35" localSheetId="2" hidden="1">#REF!</definedName>
    <definedName name="solver_lhs35" hidden="1">#REF!</definedName>
    <definedName name="solver_lhs36" localSheetId="2" hidden="1">#REF!</definedName>
    <definedName name="solver_lhs36" hidden="1">#REF!</definedName>
    <definedName name="solver_lhs37" localSheetId="2" hidden="1">#REF!</definedName>
    <definedName name="solver_lhs37" hidden="1">#REF!</definedName>
    <definedName name="solver_lhs38" localSheetId="2" hidden="1">#REF!</definedName>
    <definedName name="solver_lhs38" hidden="1">#REF!</definedName>
    <definedName name="solver_lhs39" localSheetId="2" hidden="1">#REF!</definedName>
    <definedName name="solver_lhs39" hidden="1">#REF!</definedName>
    <definedName name="solver_lhs4" localSheetId="2" hidden="1">#REF!</definedName>
    <definedName name="solver_lhs4" hidden="1">#REF!</definedName>
    <definedName name="solver_lhs40" localSheetId="2" hidden="1">#REF!</definedName>
    <definedName name="solver_lhs40" hidden="1">#REF!</definedName>
    <definedName name="solver_lhs41" localSheetId="2" hidden="1">#REF!</definedName>
    <definedName name="solver_lhs41" hidden="1">#REF!</definedName>
    <definedName name="solver_lhs42" localSheetId="2" hidden="1">#REF!</definedName>
    <definedName name="solver_lhs42" hidden="1">#REF!</definedName>
    <definedName name="solver_lhs43" localSheetId="2" hidden="1">#REF!</definedName>
    <definedName name="solver_lhs43" hidden="1">#REF!</definedName>
    <definedName name="solver_lhs44" localSheetId="2" hidden="1">#REF!</definedName>
    <definedName name="solver_lhs44" hidden="1">#REF!</definedName>
    <definedName name="solver_lhs45" localSheetId="2" hidden="1">#REF!</definedName>
    <definedName name="solver_lhs45" hidden="1">#REF!</definedName>
    <definedName name="solver_lhs46" localSheetId="2" hidden="1">#REF!</definedName>
    <definedName name="solver_lhs46" hidden="1">#REF!</definedName>
    <definedName name="solver_lhs47" localSheetId="2" hidden="1">#REF!</definedName>
    <definedName name="solver_lhs47" hidden="1">#REF!</definedName>
    <definedName name="solver_lhs48" localSheetId="2" hidden="1">#REF!</definedName>
    <definedName name="solver_lhs48" hidden="1">#REF!</definedName>
    <definedName name="solver_lhs49" localSheetId="2" hidden="1">#REF!</definedName>
    <definedName name="solver_lhs49" hidden="1">#REF!</definedName>
    <definedName name="solver_lhs5" localSheetId="2" hidden="1">#REF!</definedName>
    <definedName name="solver_lhs5" hidden="1">#REF!</definedName>
    <definedName name="solver_lhs50" localSheetId="2" hidden="1">#REF!</definedName>
    <definedName name="solver_lhs50" hidden="1">#REF!</definedName>
    <definedName name="solver_lhs51" localSheetId="2" hidden="1">#REF!</definedName>
    <definedName name="solver_lhs51" hidden="1">#REF!</definedName>
    <definedName name="solver_lhs52" localSheetId="2" hidden="1">#REF!</definedName>
    <definedName name="solver_lhs52" hidden="1">#REF!</definedName>
    <definedName name="solver_lhs53" localSheetId="2" hidden="1">#REF!</definedName>
    <definedName name="solver_lhs53" hidden="1">#REF!</definedName>
    <definedName name="solver_lhs54" localSheetId="2" hidden="1">#REF!</definedName>
    <definedName name="solver_lhs54" hidden="1">#REF!</definedName>
    <definedName name="solver_lhs55" localSheetId="2" hidden="1">#REF!</definedName>
    <definedName name="solver_lhs55" hidden="1">#REF!</definedName>
    <definedName name="solver_lhs56" localSheetId="2" hidden="1">#REF!</definedName>
    <definedName name="solver_lhs56" hidden="1">#REF!</definedName>
    <definedName name="solver_lhs57" localSheetId="2" hidden="1">#REF!</definedName>
    <definedName name="solver_lhs57" hidden="1">#REF!</definedName>
    <definedName name="solver_lhs58" localSheetId="2" hidden="1">#REF!</definedName>
    <definedName name="solver_lhs58" hidden="1">#REF!</definedName>
    <definedName name="solver_lhs59" localSheetId="2" hidden="1">#REF!</definedName>
    <definedName name="solver_lhs59" hidden="1">#REF!</definedName>
    <definedName name="solver_lhs6" localSheetId="2" hidden="1">#REF!</definedName>
    <definedName name="solver_lhs6" hidden="1">#REF!</definedName>
    <definedName name="solver_lhs60" localSheetId="2" hidden="1">#REF!</definedName>
    <definedName name="solver_lhs60" hidden="1">#REF!</definedName>
    <definedName name="solver_lhs61" localSheetId="2" hidden="1">#REF!</definedName>
    <definedName name="solver_lhs61" hidden="1">#REF!</definedName>
    <definedName name="solver_lhs62" localSheetId="2" hidden="1">#REF!</definedName>
    <definedName name="solver_lhs62" hidden="1">#REF!</definedName>
    <definedName name="solver_lhs63" localSheetId="2" hidden="1">#REF!</definedName>
    <definedName name="solver_lhs63" hidden="1">#REF!</definedName>
    <definedName name="solver_lhs64" localSheetId="2" hidden="1">#REF!</definedName>
    <definedName name="solver_lhs64" hidden="1">#REF!</definedName>
    <definedName name="solver_lhs65" localSheetId="2" hidden="1">#REF!</definedName>
    <definedName name="solver_lhs65" hidden="1">#REF!</definedName>
    <definedName name="solver_lhs66" localSheetId="2" hidden="1">#REF!</definedName>
    <definedName name="solver_lhs66" hidden="1">#REF!</definedName>
    <definedName name="solver_lhs67" localSheetId="2" hidden="1">#REF!</definedName>
    <definedName name="solver_lhs67" hidden="1">#REF!</definedName>
    <definedName name="solver_lhs68" localSheetId="2" hidden="1">#REF!</definedName>
    <definedName name="solver_lhs68" hidden="1">#REF!</definedName>
    <definedName name="solver_lhs69" localSheetId="2" hidden="1">#REF!</definedName>
    <definedName name="solver_lhs69" hidden="1">#REF!</definedName>
    <definedName name="solver_lhs7" localSheetId="2" hidden="1">#REF!</definedName>
    <definedName name="solver_lhs7" hidden="1">#REF!</definedName>
    <definedName name="solver_lhs70" localSheetId="2" hidden="1">#REF!</definedName>
    <definedName name="solver_lhs70" hidden="1">#REF!</definedName>
    <definedName name="solver_lhs71" localSheetId="2" hidden="1">#REF!</definedName>
    <definedName name="solver_lhs71" hidden="1">#REF!</definedName>
    <definedName name="solver_lhs72" localSheetId="2" hidden="1">#REF!</definedName>
    <definedName name="solver_lhs72" hidden="1">#REF!</definedName>
    <definedName name="solver_lhs73" localSheetId="2" hidden="1">#REF!</definedName>
    <definedName name="solver_lhs73" hidden="1">#REF!</definedName>
    <definedName name="solver_lhs74" localSheetId="2" hidden="1">#REF!</definedName>
    <definedName name="solver_lhs74" hidden="1">#REF!</definedName>
    <definedName name="solver_lhs75" localSheetId="2" hidden="1">#REF!</definedName>
    <definedName name="solver_lhs75" hidden="1">#REF!</definedName>
    <definedName name="solver_lhs76" localSheetId="2" hidden="1">#REF!</definedName>
    <definedName name="solver_lhs76" hidden="1">#REF!</definedName>
    <definedName name="solver_lhs77" localSheetId="2" hidden="1">#REF!</definedName>
    <definedName name="solver_lhs77" hidden="1">#REF!</definedName>
    <definedName name="solver_lhs78" localSheetId="2" hidden="1">#REF!</definedName>
    <definedName name="solver_lhs78" hidden="1">#REF!</definedName>
    <definedName name="solver_lhs79" localSheetId="2" hidden="1">#REF!</definedName>
    <definedName name="solver_lhs79" hidden="1">#REF!</definedName>
    <definedName name="solver_lhs8" localSheetId="2" hidden="1">#REF!</definedName>
    <definedName name="solver_lhs8" hidden="1">#REF!</definedName>
    <definedName name="solver_lhs80" localSheetId="2" hidden="1">#REF!</definedName>
    <definedName name="solver_lhs80" hidden="1">#REF!</definedName>
    <definedName name="solver_lhs81" localSheetId="2" hidden="1">#REF!</definedName>
    <definedName name="solver_lhs81" hidden="1">#REF!</definedName>
    <definedName name="solver_lhs82" localSheetId="2" hidden="1">#REF!</definedName>
    <definedName name="solver_lhs82" hidden="1">#REF!</definedName>
    <definedName name="solver_lhs83" localSheetId="2" hidden="1">#REF!</definedName>
    <definedName name="solver_lhs83" hidden="1">#REF!</definedName>
    <definedName name="solver_lhs84" localSheetId="2" hidden="1">#REF!</definedName>
    <definedName name="solver_lhs84" hidden="1">#REF!</definedName>
    <definedName name="solver_lhs85" localSheetId="2" hidden="1">#REF!</definedName>
    <definedName name="solver_lhs85" hidden="1">#REF!</definedName>
    <definedName name="solver_lhs86" localSheetId="2" hidden="1">#REF!</definedName>
    <definedName name="solver_lhs86" hidden="1">#REF!</definedName>
    <definedName name="solver_lhs87" localSheetId="2" hidden="1">#REF!</definedName>
    <definedName name="solver_lhs87" hidden="1">#REF!</definedName>
    <definedName name="solver_lhs88" localSheetId="2" hidden="1">#REF!</definedName>
    <definedName name="solver_lhs88" hidden="1">#REF!</definedName>
    <definedName name="solver_lhs9" localSheetId="2" hidden="1">#REF!</definedName>
    <definedName name="solver_lhs9" hidden="1">#REF!</definedName>
    <definedName name="solver_num" hidden="1">1</definedName>
    <definedName name="solver_opt" localSheetId="2" hidden="1">#REF!</definedName>
    <definedName name="solver_opt" hidden="1">#REF!</definedName>
    <definedName name="solver_rel1" hidden="1">1</definedName>
    <definedName name="solver_rel10" hidden="1">5</definedName>
    <definedName name="solver_rel11" hidden="1">5</definedName>
    <definedName name="solver_rel12" hidden="1">5</definedName>
    <definedName name="solver_rel13" hidden="1">5</definedName>
    <definedName name="solver_rel14" hidden="1">5</definedName>
    <definedName name="solver_rel15" hidden="1">5</definedName>
    <definedName name="solver_rel16" hidden="1">5</definedName>
    <definedName name="solver_rel17" hidden="1">5</definedName>
    <definedName name="solver_rel18" hidden="1">5</definedName>
    <definedName name="solver_rel19" hidden="1">5</definedName>
    <definedName name="solver_rel2" hidden="1">1</definedName>
    <definedName name="solver_rel20" hidden="1">5</definedName>
    <definedName name="solver_rel21" hidden="1">5</definedName>
    <definedName name="solver_rel22" hidden="1">5</definedName>
    <definedName name="solver_rel23" hidden="1">1</definedName>
    <definedName name="solver_rel24" hidden="1">5</definedName>
    <definedName name="solver_rel25" hidden="1">5</definedName>
    <definedName name="solver_rel26" hidden="1">5</definedName>
    <definedName name="solver_rel27" hidden="1">5</definedName>
    <definedName name="solver_rel28" hidden="1">5</definedName>
    <definedName name="solver_rel29" hidden="1">5</definedName>
    <definedName name="solver_rel3" hidden="1">3</definedName>
    <definedName name="solver_rel30" hidden="1">5</definedName>
    <definedName name="solver_rel31" hidden="1">5</definedName>
    <definedName name="solver_rel32" hidden="1">5</definedName>
    <definedName name="solver_rel33" hidden="1">5</definedName>
    <definedName name="solver_rel34" hidden="1">5</definedName>
    <definedName name="solver_rel35" hidden="1">5</definedName>
    <definedName name="solver_rel36" hidden="1">5</definedName>
    <definedName name="solver_rel37" hidden="1">5</definedName>
    <definedName name="solver_rel38" hidden="1">5</definedName>
    <definedName name="solver_rel39" hidden="1">5</definedName>
    <definedName name="solver_rel4" hidden="1">3</definedName>
    <definedName name="solver_rel40" hidden="1">5</definedName>
    <definedName name="solver_rel41" hidden="1">5</definedName>
    <definedName name="solver_rel42" hidden="1">5</definedName>
    <definedName name="solver_rel43" hidden="1">5</definedName>
    <definedName name="solver_rel44" hidden="1">5</definedName>
    <definedName name="solver_rel45" hidden="1">1</definedName>
    <definedName name="solver_rel46" hidden="1">5</definedName>
    <definedName name="solver_rel47" hidden="1">5</definedName>
    <definedName name="solver_rel48" hidden="1">5</definedName>
    <definedName name="solver_rel49" hidden="1">5</definedName>
    <definedName name="solver_rel5" hidden="1">5</definedName>
    <definedName name="solver_rel50" hidden="1">5</definedName>
    <definedName name="solver_rel51" hidden="1">5</definedName>
    <definedName name="solver_rel52" hidden="1">5</definedName>
    <definedName name="solver_rel53" hidden="1">5</definedName>
    <definedName name="solver_rel54" hidden="1">5</definedName>
    <definedName name="solver_rel55" hidden="1">5</definedName>
    <definedName name="solver_rel56" hidden="1">5</definedName>
    <definedName name="solver_rel57" hidden="1">5</definedName>
    <definedName name="solver_rel58" hidden="1">5</definedName>
    <definedName name="solver_rel59" hidden="1">5</definedName>
    <definedName name="solver_rel6" hidden="1">5</definedName>
    <definedName name="solver_rel60" hidden="1">5</definedName>
    <definedName name="solver_rel61" hidden="1">5</definedName>
    <definedName name="solver_rel62" hidden="1">5</definedName>
    <definedName name="solver_rel63" hidden="1">5</definedName>
    <definedName name="solver_rel64" hidden="1">5</definedName>
    <definedName name="solver_rel65" hidden="1">5</definedName>
    <definedName name="solver_rel66" hidden="1">5</definedName>
    <definedName name="solver_rel67" hidden="1">1</definedName>
    <definedName name="solver_rel68" hidden="1">5</definedName>
    <definedName name="solver_rel69" hidden="1">5</definedName>
    <definedName name="solver_rel7" hidden="1">5</definedName>
    <definedName name="solver_rel70" hidden="1">5</definedName>
    <definedName name="solver_rel71" hidden="1">5</definedName>
    <definedName name="solver_rel72" hidden="1">5</definedName>
    <definedName name="solver_rel73" hidden="1">5</definedName>
    <definedName name="solver_rel74" hidden="1">5</definedName>
    <definedName name="solver_rel75" hidden="1">5</definedName>
    <definedName name="solver_rel76" hidden="1">5</definedName>
    <definedName name="solver_rel77" hidden="1">5</definedName>
    <definedName name="solver_rel78" hidden="1">5</definedName>
    <definedName name="solver_rel79" hidden="1">5</definedName>
    <definedName name="solver_rel8" hidden="1">5</definedName>
    <definedName name="solver_rel80" hidden="1">5</definedName>
    <definedName name="solver_rel81" hidden="1">5</definedName>
    <definedName name="solver_rel82" hidden="1">5</definedName>
    <definedName name="solver_rel83" hidden="1">5</definedName>
    <definedName name="solver_rel84" hidden="1">5</definedName>
    <definedName name="solver_rel85" hidden="1">5</definedName>
    <definedName name="solver_rel86" hidden="1">5</definedName>
    <definedName name="solver_rel87" hidden="1">5</definedName>
    <definedName name="solver_rel88" hidden="1">5</definedName>
    <definedName name="solver_rel9" hidden="1">5</definedName>
    <definedName name="solver_rhs1" hidden="1">-100</definedName>
    <definedName name="solver_rhs10" localSheetId="2" hidden="1">binary</definedName>
    <definedName name="solver_rhs10" hidden="1">binary</definedName>
    <definedName name="solver_rhs11" localSheetId="2" hidden="1">binary</definedName>
    <definedName name="solver_rhs11" hidden="1">binary</definedName>
    <definedName name="solver_rhs12" localSheetId="2" hidden="1">binary</definedName>
    <definedName name="solver_rhs12" hidden="1">binary</definedName>
    <definedName name="solver_rhs13" localSheetId="2" hidden="1">binary</definedName>
    <definedName name="solver_rhs13" hidden="1">binary</definedName>
    <definedName name="solver_rhs14" localSheetId="2" hidden="1">binary</definedName>
    <definedName name="solver_rhs14" hidden="1">binary</definedName>
    <definedName name="solver_rhs15" localSheetId="2" hidden="1">binary</definedName>
    <definedName name="solver_rhs15" hidden="1">binary</definedName>
    <definedName name="solver_rhs16" localSheetId="2" hidden="1">binary</definedName>
    <definedName name="solver_rhs16" hidden="1">binary</definedName>
    <definedName name="solver_rhs17" localSheetId="2" hidden="1">binary</definedName>
    <definedName name="solver_rhs17" hidden="1">binary</definedName>
    <definedName name="solver_rhs18" localSheetId="2" hidden="1">binary</definedName>
    <definedName name="solver_rhs18" hidden="1">binary</definedName>
    <definedName name="solver_rhs19" localSheetId="2" hidden="1">binary</definedName>
    <definedName name="solver_rhs19" hidden="1">binary</definedName>
    <definedName name="solver_rhs2" hidden="1">-100</definedName>
    <definedName name="solver_rhs20" localSheetId="2" hidden="1">binary</definedName>
    <definedName name="solver_rhs20" hidden="1">binary</definedName>
    <definedName name="solver_rhs21" localSheetId="2" hidden="1">binary</definedName>
    <definedName name="solver_rhs21" hidden="1">binary</definedName>
    <definedName name="solver_rhs22" localSheetId="2" hidden="1">binary</definedName>
    <definedName name="solver_rhs22" hidden="1">binary</definedName>
    <definedName name="solver_rhs23" localSheetId="2" hidden="1">#REF!</definedName>
    <definedName name="solver_rhs23" hidden="1">#REF!</definedName>
    <definedName name="solver_rhs24" localSheetId="2" hidden="1">binary</definedName>
    <definedName name="solver_rhs24" hidden="1">binary</definedName>
    <definedName name="solver_rhs25" localSheetId="2" hidden="1">binary</definedName>
    <definedName name="solver_rhs25" hidden="1">binary</definedName>
    <definedName name="solver_rhs26" localSheetId="2" hidden="1">binary</definedName>
    <definedName name="solver_rhs26" hidden="1">binary</definedName>
    <definedName name="solver_rhs27" localSheetId="2" hidden="1">binary</definedName>
    <definedName name="solver_rhs27" hidden="1">binary</definedName>
    <definedName name="solver_rhs28" localSheetId="2" hidden="1">binary</definedName>
    <definedName name="solver_rhs28" hidden="1">binary</definedName>
    <definedName name="solver_rhs29" localSheetId="2" hidden="1">binary</definedName>
    <definedName name="solver_rhs29" hidden="1">binary</definedName>
    <definedName name="solver_rhs3" hidden="1">-100</definedName>
    <definedName name="solver_rhs30" localSheetId="2" hidden="1">binary</definedName>
    <definedName name="solver_rhs30" hidden="1">binary</definedName>
    <definedName name="solver_rhs31" localSheetId="2" hidden="1">binary</definedName>
    <definedName name="solver_rhs31" hidden="1">binary</definedName>
    <definedName name="solver_rhs32" localSheetId="2" hidden="1">binary</definedName>
    <definedName name="solver_rhs32" hidden="1">binary</definedName>
    <definedName name="solver_rhs33" localSheetId="2" hidden="1">binary</definedName>
    <definedName name="solver_rhs33" hidden="1">binary</definedName>
    <definedName name="solver_rhs34" localSheetId="2" hidden="1">binary</definedName>
    <definedName name="solver_rhs34" hidden="1">binary</definedName>
    <definedName name="solver_rhs35" localSheetId="2" hidden="1">binary</definedName>
    <definedName name="solver_rhs35" hidden="1">binary</definedName>
    <definedName name="solver_rhs36" localSheetId="2" hidden="1">binary</definedName>
    <definedName name="solver_rhs36" hidden="1">binary</definedName>
    <definedName name="solver_rhs37" localSheetId="2" hidden="1">binary</definedName>
    <definedName name="solver_rhs37" hidden="1">binary</definedName>
    <definedName name="solver_rhs38" localSheetId="2" hidden="1">binary</definedName>
    <definedName name="solver_rhs38" hidden="1">binary</definedName>
    <definedName name="solver_rhs39" localSheetId="2" hidden="1">binary</definedName>
    <definedName name="solver_rhs39" hidden="1">binary</definedName>
    <definedName name="solver_rhs4" hidden="1">-100</definedName>
    <definedName name="solver_rhs40" localSheetId="2" hidden="1">binary</definedName>
    <definedName name="solver_rhs40" hidden="1">binary</definedName>
    <definedName name="solver_rhs41" localSheetId="2" hidden="1">binary</definedName>
    <definedName name="solver_rhs41" hidden="1">binary</definedName>
    <definedName name="solver_rhs42" localSheetId="2" hidden="1">binary</definedName>
    <definedName name="solver_rhs42" hidden="1">binary</definedName>
    <definedName name="solver_rhs43" localSheetId="2" hidden="1">binary</definedName>
    <definedName name="solver_rhs43" hidden="1">binary</definedName>
    <definedName name="solver_rhs44" localSheetId="2" hidden="1">binary</definedName>
    <definedName name="solver_rhs44" hidden="1">binary</definedName>
    <definedName name="solver_rhs45" localSheetId="2" hidden="1">#REF!</definedName>
    <definedName name="solver_rhs45" hidden="1">#REF!</definedName>
    <definedName name="solver_rhs46" localSheetId="2" hidden="1">binary</definedName>
    <definedName name="solver_rhs46" hidden="1">binary</definedName>
    <definedName name="solver_rhs47" localSheetId="2" hidden="1">binary</definedName>
    <definedName name="solver_rhs47" hidden="1">binary</definedName>
    <definedName name="solver_rhs48" localSheetId="2" hidden="1">binary</definedName>
    <definedName name="solver_rhs48" hidden="1">binary</definedName>
    <definedName name="solver_rhs49" localSheetId="2" hidden="1">binary</definedName>
    <definedName name="solver_rhs49" hidden="1">binary</definedName>
    <definedName name="solver_rhs5" localSheetId="2" hidden="1">binary</definedName>
    <definedName name="solver_rhs5" hidden="1">binary</definedName>
    <definedName name="solver_rhs50" localSheetId="2" hidden="1">binary</definedName>
    <definedName name="solver_rhs50" hidden="1">binary</definedName>
    <definedName name="solver_rhs51" localSheetId="2" hidden="1">binary</definedName>
    <definedName name="solver_rhs51" hidden="1">binary</definedName>
    <definedName name="solver_rhs52" localSheetId="2" hidden="1">binary</definedName>
    <definedName name="solver_rhs52" hidden="1">binary</definedName>
    <definedName name="solver_rhs53" localSheetId="2" hidden="1">binary</definedName>
    <definedName name="solver_rhs53" hidden="1">binary</definedName>
    <definedName name="solver_rhs54" localSheetId="2" hidden="1">binary</definedName>
    <definedName name="solver_rhs54" hidden="1">binary</definedName>
    <definedName name="solver_rhs55" localSheetId="2" hidden="1">binary</definedName>
    <definedName name="solver_rhs55" hidden="1">binary</definedName>
    <definedName name="solver_rhs56" localSheetId="2" hidden="1">binary</definedName>
    <definedName name="solver_rhs56" hidden="1">binary</definedName>
    <definedName name="solver_rhs57" localSheetId="2" hidden="1">binary</definedName>
    <definedName name="solver_rhs57" hidden="1">binary</definedName>
    <definedName name="solver_rhs58" localSheetId="2" hidden="1">binary</definedName>
    <definedName name="solver_rhs58" hidden="1">binary</definedName>
    <definedName name="solver_rhs59" localSheetId="2" hidden="1">binary</definedName>
    <definedName name="solver_rhs59" hidden="1">binary</definedName>
    <definedName name="solver_rhs6" localSheetId="2" hidden="1">binary</definedName>
    <definedName name="solver_rhs6" hidden="1">binary</definedName>
    <definedName name="solver_rhs60" localSheetId="2" hidden="1">binary</definedName>
    <definedName name="solver_rhs60" hidden="1">binary</definedName>
    <definedName name="solver_rhs61" localSheetId="2" hidden="1">binary</definedName>
    <definedName name="solver_rhs61" hidden="1">binary</definedName>
    <definedName name="solver_rhs62" localSheetId="2" hidden="1">binary</definedName>
    <definedName name="solver_rhs62" hidden="1">binary</definedName>
    <definedName name="solver_rhs63" localSheetId="2" hidden="1">binary</definedName>
    <definedName name="solver_rhs63" hidden="1">binary</definedName>
    <definedName name="solver_rhs64" localSheetId="2" hidden="1">binary</definedName>
    <definedName name="solver_rhs64" hidden="1">binary</definedName>
    <definedName name="solver_rhs65" localSheetId="2" hidden="1">binary</definedName>
    <definedName name="solver_rhs65" hidden="1">binary</definedName>
    <definedName name="solver_rhs66" localSheetId="2" hidden="1">binary</definedName>
    <definedName name="solver_rhs66" hidden="1">binary</definedName>
    <definedName name="solver_rhs67" localSheetId="2" hidden="1">#REF!</definedName>
    <definedName name="solver_rhs67" hidden="1">#REF!</definedName>
    <definedName name="solver_rhs68" localSheetId="2" hidden="1">binary</definedName>
    <definedName name="solver_rhs68" hidden="1">binary</definedName>
    <definedName name="solver_rhs69" localSheetId="2" hidden="1">binary</definedName>
    <definedName name="solver_rhs69" hidden="1">binary</definedName>
    <definedName name="solver_rhs7" localSheetId="2" hidden="1">binary</definedName>
    <definedName name="solver_rhs7" hidden="1">binary</definedName>
    <definedName name="solver_rhs70" localSheetId="2" hidden="1">binary</definedName>
    <definedName name="solver_rhs70" hidden="1">binary</definedName>
    <definedName name="solver_rhs71" localSheetId="2" hidden="1">binary</definedName>
    <definedName name="solver_rhs71" hidden="1">binary</definedName>
    <definedName name="solver_rhs72" localSheetId="2" hidden="1">binary</definedName>
    <definedName name="solver_rhs72" hidden="1">binary</definedName>
    <definedName name="solver_rhs73" localSheetId="2" hidden="1">binary</definedName>
    <definedName name="solver_rhs73" hidden="1">binary</definedName>
    <definedName name="solver_rhs74" localSheetId="2" hidden="1">binary</definedName>
    <definedName name="solver_rhs74" hidden="1">binary</definedName>
    <definedName name="solver_rhs75" localSheetId="2" hidden="1">binary</definedName>
    <definedName name="solver_rhs75" hidden="1">binary</definedName>
    <definedName name="solver_rhs76" localSheetId="2" hidden="1">binary</definedName>
    <definedName name="solver_rhs76" hidden="1">binary</definedName>
    <definedName name="solver_rhs77" localSheetId="2" hidden="1">binary</definedName>
    <definedName name="solver_rhs77" hidden="1">binary</definedName>
    <definedName name="solver_rhs78" localSheetId="2" hidden="1">binary</definedName>
    <definedName name="solver_rhs78" hidden="1">binary</definedName>
    <definedName name="solver_rhs79" localSheetId="2" hidden="1">binary</definedName>
    <definedName name="solver_rhs79" hidden="1">binary</definedName>
    <definedName name="solver_rhs8" localSheetId="2" hidden="1">binary</definedName>
    <definedName name="solver_rhs8" hidden="1">binary</definedName>
    <definedName name="solver_rhs80" localSheetId="2" hidden="1">binary</definedName>
    <definedName name="solver_rhs80" hidden="1">binary</definedName>
    <definedName name="solver_rhs81" localSheetId="2" hidden="1">binary</definedName>
    <definedName name="solver_rhs81" hidden="1">binary</definedName>
    <definedName name="solver_rhs82" localSheetId="2" hidden="1">binary</definedName>
    <definedName name="solver_rhs82" hidden="1">binary</definedName>
    <definedName name="solver_rhs83" localSheetId="2" hidden="1">binary</definedName>
    <definedName name="solver_rhs83" hidden="1">binary</definedName>
    <definedName name="solver_rhs84" localSheetId="2" hidden="1">binary</definedName>
    <definedName name="solver_rhs84" hidden="1">binary</definedName>
    <definedName name="solver_rhs85" localSheetId="2" hidden="1">binary</definedName>
    <definedName name="solver_rhs85" hidden="1">binary</definedName>
    <definedName name="solver_rhs86" localSheetId="2" hidden="1">binary</definedName>
    <definedName name="solver_rhs86" hidden="1">binary</definedName>
    <definedName name="solver_rhs87" localSheetId="2" hidden="1">binary</definedName>
    <definedName name="solver_rhs87" hidden="1">binary</definedName>
    <definedName name="solver_rhs88" localSheetId="2" hidden="1">binary</definedName>
    <definedName name="solver_rhs88" hidden="1">binary</definedName>
    <definedName name="solver_rhs9" localSheetId="2" hidden="1">binary</definedName>
    <definedName name="solver_rhs9" hidden="1">binary</definedName>
    <definedName name="soso" localSheetId="2"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oso"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ource">#REF!</definedName>
    <definedName name="spippw" localSheetId="2" hidden="1">{#N/A,#N/A,FALSE,"Actual";#N/A,#N/A,FALSE,"Normalized";#N/A,#N/A,FALSE,"Electric Actual";#N/A,#N/A,FALSE,"Electric Normalized"}</definedName>
    <definedName name="spippw" hidden="1">{#N/A,#N/A,FALSE,"Actual";#N/A,#N/A,FALSE,"Normalized";#N/A,#N/A,FALSE,"Electric Actual";#N/A,#N/A,FALSE,"Electric Normalized"}</definedName>
    <definedName name="SPM" localSheetId="2" hidden="1">{#N/A,#N/A,FALSE,"Cashflow Analysis";#N/A,#N/A,FALSE,"Sensitivity Analysis";#N/A,#N/A,FALSE,"PV";#N/A,#N/A,FALSE,"Pro Forma"}</definedName>
    <definedName name="SPM" hidden="1">{#N/A,#N/A,FALSE,"Cashflow Analysis";#N/A,#N/A,FALSE,"Sensitivity Analysis";#N/A,#N/A,FALSE,"PV";#N/A,#N/A,FALSE,"Pro Forma"}</definedName>
    <definedName name="SPM.2" localSheetId="2" hidden="1">{#N/A,#N/A,FALSE,"Cashflow Analysis";#N/A,#N/A,FALSE,"Sensitivity Analysis";#N/A,#N/A,FALSE,"PV";#N/A,#N/A,FALSE,"Pro Forma"}</definedName>
    <definedName name="SPM.2" hidden="1">{#N/A,#N/A,FALSE,"Cashflow Analysis";#N/A,#N/A,FALSE,"Sensitivity Analysis";#N/A,#N/A,FALSE,"PV";#N/A,#N/A,FALSE,"Pro Forma"}</definedName>
    <definedName name="SPWS_WBID">"0A364783-6728-11D5-A438-99D762EF948E"</definedName>
    <definedName name="SSAL">#N/A</definedName>
    <definedName name="sss" localSheetId="2" hidden="1">{#N/A,#N/A,FALSE,"Aging Summary";#N/A,#N/A,FALSE,"Ratio Analysis";#N/A,#N/A,FALSE,"Test 120 Day Accts";#N/A,#N/A,FALSE,"Tickmarks"}</definedName>
    <definedName name="sss" hidden="1">{#N/A,#N/A,FALSE,"Aging Summary";#N/A,#N/A,FALSE,"Ratio Analysis";#N/A,#N/A,FALSE,"Test 120 Day Accts";#N/A,#N/A,FALSE,"Tickmarks"}</definedName>
    <definedName name="Standard_Offer">#REF!</definedName>
    <definedName name="standard1" localSheetId="2" hidden="1">{"YTD-Total",#N/A,FALSE,"Provision"}</definedName>
    <definedName name="standard1" hidden="1">{"YTD-Total",#N/A,FALSE,"Provision"}</definedName>
    <definedName name="Start">#REF!</definedName>
    <definedName name="State">#REF!</definedName>
    <definedName name="steve" localSheetId="2" hidden="1">{#N/A,#N/A,FALSE,"Aging Summary";#N/A,#N/A,FALSE,"Ratio Analysis";#N/A,#N/A,FALSE,"Test 120 Day Accts";#N/A,#N/A,FALSE,"Tickmarks"}</definedName>
    <definedName name="steve" hidden="1">{#N/A,#N/A,FALSE,"Aging Summary";#N/A,#N/A,FALSE,"Ratio Analysis";#N/A,#N/A,FALSE,"Test 120 Day Accts";#N/A,#N/A,FALSE,"Tickmarks"}</definedName>
    <definedName name="STL_TYPE_FINAL">#REF!</definedName>
    <definedName name="STL_TYPE_LIST">#REF!</definedName>
    <definedName name="STL_TYPE_PRELIM">#REF!</definedName>
    <definedName name="STLC">#N/A</definedName>
    <definedName name="STLMOD">#REF!</definedName>
    <definedName name="STREV">#N/A</definedName>
    <definedName name="Study">#REF!</definedName>
    <definedName name="Sub">#REF!</definedName>
    <definedName name="SUB_SUM">#REF!</definedName>
    <definedName name="SubmissionDate">#REF!</definedName>
    <definedName name="SUBO_M">#REF!</definedName>
    <definedName name="sum">#REF!</definedName>
    <definedName name="summary">#REF!</definedName>
    <definedName name="summary.xls">#REF!</definedName>
    <definedName name="Summer_to_Winter_Rate_Ratio">#REF!</definedName>
    <definedName name="sumptf2">#REF!</definedName>
    <definedName name="sumt9">#REF!</definedName>
    <definedName name="sumtran2">#REF!</definedName>
    <definedName name="sumtrans">#REF!</definedName>
    <definedName name="Support">#REF!</definedName>
    <definedName name="survival_rate">#REF!</definedName>
    <definedName name="svcchart">#REF!</definedName>
    <definedName name="SWCT_Modeling">#REF!</definedName>
    <definedName name="szd" localSheetId="2" hidden="1">{#N/A,#N/A,FALSE,"CAPREIT"}</definedName>
    <definedName name="szd" hidden="1">{#N/A,#N/A,FALSE,"CAPREIT"}</definedName>
    <definedName name="t" localSheetId="2">#REF!</definedName>
    <definedName name="t">#REF!</definedName>
    <definedName name="T_booklife">#REF!</definedName>
    <definedName name="T_taxlife">#REF!</definedName>
    <definedName name="TABLE">#N/A</definedName>
    <definedName name="TableName">"Dummy"</definedName>
    <definedName name="Tax_Depr">#REF!</definedName>
    <definedName name="Taxable_Income">#REF!</definedName>
    <definedName name="TaxAnalysis" localSheetId="2" hidden="1">{"CAM97_1",#N/A,FALSE,"ACTUAL 1997 BILLING SHEET"}</definedName>
    <definedName name="TaxAnalysis" hidden="1">{"CAM97_1",#N/A,FALSE,"ACTUAL 1997 BILLING SHEET"}</definedName>
    <definedName name="taxdeprate">#REF!</definedName>
    <definedName name="TAXES">#REF!</definedName>
    <definedName name="taxlife">#REF!</definedName>
    <definedName name="tbl_Additions_Transmission">#REF!</definedName>
    <definedName name="tbl_Additions_Transmission2_Mark">#REF!</definedName>
    <definedName name="tbl_allclassified">#REF!</definedName>
    <definedName name="tbl_Retirements_Transmission">#REF!</definedName>
    <definedName name="tbl_Retirements_Transmission2_Mark">#REF!</definedName>
    <definedName name="tc_uenlider">#REF!</definedName>
    <definedName name="tc_uenlidermx">#REF!</definedName>
    <definedName name="TCcierre03">#REF!</definedName>
    <definedName name="Tchange">#REF!</definedName>
    <definedName name="TDEFAULTMOODYS">#REF!</definedName>
    <definedName name="temp">#REF!</definedName>
    <definedName name="tenfifteen">34987</definedName>
    <definedName name="Test">#REF!</definedName>
    <definedName name="TEST0">#REF!</definedName>
    <definedName name="TEST1">#REF!</definedName>
    <definedName name="TEST2">#REF!</definedName>
    <definedName name="TEST3">#REF!</definedName>
    <definedName name="TEST4">#REF!</definedName>
    <definedName name="TEST5">#REF!</definedName>
    <definedName name="TEST8">#REF!</definedName>
    <definedName name="TestAdd">"Test RefersTo1"</definedName>
    <definedName name="TESTHKEY">#REF!</definedName>
    <definedName name="TestKey1">#REF!</definedName>
    <definedName name="TESTKEYS">#REF!</definedName>
    <definedName name="TESTVKEY">#REF!</definedName>
    <definedName name="TestYear">#REF!</definedName>
    <definedName name="tex" localSheetId="2" hidden="1">{"BookMem",#N/A,FALSE,"BookMemEquity";"TaxMem",#N/A,FALSE,"TaxMemEquity";"EqCalcs",#N/A,FALSE,"EQcalcs";"Distrib",#N/A,FALSE,"Distributions"}</definedName>
    <definedName name="tex" hidden="1">{"BookMem",#N/A,FALSE,"BookMemEquity";"TaxMem",#N/A,FALSE,"TaxMemEquity";"EqCalcs",#N/A,FALSE,"EQcalcs";"Distrib",#N/A,FALSE,"Distributions"}</definedName>
    <definedName name="TextRefCopyRangeCount" hidden="1">10</definedName>
    <definedName name="thinkcell3" hidden="1">#REF!</definedName>
    <definedName name="Thinkcell4" hidden="1">#REF!</definedName>
    <definedName name="ThirdYr_Allocators">#REF!</definedName>
    <definedName name="ThirdYr_AnnualTrueUpDetails">#REF!</definedName>
    <definedName name="ThirdYr_BasePreTaxReturn">#REF!</definedName>
    <definedName name="ThirdYr_CostofCapDetails">#REF!</definedName>
    <definedName name="ThirdYr_CustSvc_SalesAlloc">#REF!</definedName>
    <definedName name="ThirdYr_EquityTaxReturn">#REF!</definedName>
    <definedName name="ThirdYr_ForecastDetails">#REF!</definedName>
    <definedName name="ThirdYr_InputCalcs">#REF!</definedName>
    <definedName name="ThirdYr_InvestmentBaseDetails">#REF!</definedName>
    <definedName name="ThirdYr_InvestmentReturnandTaxesDetails">#REF!</definedName>
    <definedName name="ThirdYr_JoinNIReturn">#REF!</definedName>
    <definedName name="ThirdYr_JoinPreTaxReturn">#REF!</definedName>
    <definedName name="ThirdYr_JoinTaxReturn">#REF!</definedName>
    <definedName name="ThirdYr_Local_Breakdown">#REF!</definedName>
    <definedName name="ThirdYr_LocalBaseNIReturn">#REF!</definedName>
    <definedName name="ThirdYr_LocalBaseTaxReturn">#REF!</definedName>
    <definedName name="ThirdYr_LocalBreakdownNIandIncentives">#REF!</definedName>
    <definedName name="ThirdYr_LocalCarryCharge">#REF!</definedName>
    <definedName name="ThirdYr_LocalCostofCapital">#REF!</definedName>
    <definedName name="ThirdYr_LocalEquityReturn">#REF!</definedName>
    <definedName name="ThirdYr_LocalLongTermDebtWeightedCostofCapital">#REF!</definedName>
    <definedName name="ThirdYr_LocalPlantAlloc">#REF!</definedName>
    <definedName name="ThirdYr_LocalPreferredWeightedCostofCapital">#REF!</definedName>
    <definedName name="ThirdYr_LocalPrefStockTaxReturn">#REF!</definedName>
    <definedName name="ThirdYr_LocalWageSalaryAlloc">#REF!</definedName>
    <definedName name="ThirdYr_MPRP_NonPTF_NIReturn">#REF!</definedName>
    <definedName name="ThirdYr_MPRP_NonPTF_PreTaxReturn">#REF!</definedName>
    <definedName name="ThirdYr_MPRP_NonPTF_TaxReturn">#REF!</definedName>
    <definedName name="ThirdYr_MPRP_PTF_NIReturn">#REF!</definedName>
    <definedName name="ThirdYr_MPRP_PTF_PreTaxReturn">#REF!</definedName>
    <definedName name="ThirdYr_MPRP_PTF_TaxReturn">#REF!</definedName>
    <definedName name="ThirdYr_MPRPPTFCostofCapital">#REF!</definedName>
    <definedName name="ThirdYr_NetworkAlloc">#REF!</definedName>
    <definedName name="ThirdYr_NewPreTaxReturn">#REF!</definedName>
    <definedName name="ThirdYr_NewTaxReturn">#REF!</definedName>
    <definedName name="ThirdYr_P96CostofCapital">#REF!</definedName>
    <definedName name="ThirdYr_P96PlantAlloc">#REF!</definedName>
    <definedName name="ThirdYr_P96PTFPlantAlloc">#REF!</definedName>
    <definedName name="ThirdYr_P96WageSalaryAlloc">#REF!</definedName>
    <definedName name="ThirdYr_P97PlantAlloc">#REF!</definedName>
    <definedName name="ThirdYr_P97PTFPlantAlloc">#REF!</definedName>
    <definedName name="ThirdYr_P97WageSalaryAlloc">#REF!</definedName>
    <definedName name="ThirdYr_Post03RSPCostofCapital">#REF!</definedName>
    <definedName name="ThirdYr_Pre97CostofCapital">#REF!</definedName>
    <definedName name="ThirdYr_RegBreakdownNIandIncentives">#REF!</definedName>
    <definedName name="ThirdYr_Regional_Breakdown">#REF!</definedName>
    <definedName name="ThirdYr_RegionalBaseNIReturn">#REF!</definedName>
    <definedName name="ThirdYr_RegionalCarryCharge">#REF!</definedName>
    <definedName name="ThirdYr_RegionalLongTermDebtWeightedCostofCapital">#REF!</definedName>
    <definedName name="ThirdYr_RegionalNewNIReturn">#REF!</definedName>
    <definedName name="ThirdYr_RegionalPreferredWeightedCostofCapital">#REF!</definedName>
    <definedName name="ThirdYr_RegionalPrefStockTaxReturn">#REF!</definedName>
    <definedName name="ThirdYr_RegoinalBaseTaxReturn">#REF!</definedName>
    <definedName name="ThirdYr_RevReqDetails">#REF!</definedName>
    <definedName name="ThirdYr_Sch1LocalLCCPlantAlloc">#REF!</definedName>
    <definedName name="ThirdYr_Sch1LocalLCCWageAlloc">#REF!</definedName>
    <definedName name="ThirdYr_Sch1LocalTotalWageAlloc">#REF!</definedName>
    <definedName name="ThirdYr_ThroughandOutDetails">#REF!</definedName>
    <definedName name="ThroughandOutDetails">#REF!</definedName>
    <definedName name="Tipo_cliente">#REF!</definedName>
    <definedName name="title">#REF!</definedName>
    <definedName name="TITLE1">#N/A</definedName>
    <definedName name="TITLE2">#N/A</definedName>
    <definedName name="TLA.003" localSheetId="2" hidden="1">#REF!</definedName>
    <definedName name="TLA.003" hidden="1">#REF!</definedName>
    <definedName name="TLA.004" localSheetId="2" hidden="1">#REF!</definedName>
    <definedName name="TLA.004" hidden="1">#REF!</definedName>
    <definedName name="TLA.008" localSheetId="2" hidden="1">#REF!</definedName>
    <definedName name="TLA.008" hidden="1">#REF!</definedName>
    <definedName name="TLA.028" hidden="1">#REF!</definedName>
    <definedName name="TLA.056" hidden="1">#REF!</definedName>
    <definedName name="TM1REBUILDOPTION">1</definedName>
    <definedName name="toppseqm">#REF!</definedName>
    <definedName name="total">#REF!</definedName>
    <definedName name="Total_Payment">Scheduled_Payment+Extra_Payment</definedName>
    <definedName name="Total_Seneca_Capacity">#REF!</definedName>
    <definedName name="totaltrans">#REF!</definedName>
    <definedName name="TOTBOOK">#REF!</definedName>
    <definedName name="TOTCOM">#N/A</definedName>
    <definedName name="TOTIND">#N/A</definedName>
    <definedName name="TOTREG">#N/A</definedName>
    <definedName name="TOTRES">#N/A</definedName>
    <definedName name="TP_Footer_Path" hidden="1">"S:\03890\06ret\othsys\TEAM\CNG\"</definedName>
    <definedName name="TP_Footer_User" hidden="1">"boris vaynblat"</definedName>
    <definedName name="TP_Footer_Version" hidden="1">"v4.00"</definedName>
    <definedName name="Tplantlife">#REF!</definedName>
    <definedName name="Trabajo_en_curso">#REF!</definedName>
    <definedName name="TRANOM">#REF!</definedName>
    <definedName name="TRANS_BUDGT">#REF!</definedName>
    <definedName name="trrrrrrrrrrr" hidden="1">{#N/A,#N/A,FALSE,"Income";#N/A,#N/A,FALSE,"Cost of Goods Sold";#N/A,#N/A,FALSE,"Other Costs";#N/A,#N/A,FALSE,"Other Income";#N/A,#N/A,FALSE,"Taxes";#N/A,#N/A,FALSE,"Other Deductions";#N/A,#N/A,FALSE,"Compensation of Officers"}</definedName>
    <definedName name="TS_Bing_1S_13T">#REF!</definedName>
    <definedName name="TS_Champlain_1S_13T">#REF!</definedName>
    <definedName name="TS_Champlain_1T_5T_14TD">#REF!</definedName>
    <definedName name="TS_Champlain_2S_5S_8S_14TND">#REF!</definedName>
    <definedName name="TS_Combined_1S_13T">#REF!</definedName>
    <definedName name="TS_Elmira_1S_13T">#REF!</definedName>
    <definedName name="TS_Elmira_1T_5T_14TD">#REF!</definedName>
    <definedName name="TS_Elmira_2S_5S_14TND">#REF!</definedName>
    <definedName name="TS_Goshen_1S_13T">#REF!</definedName>
    <definedName name="TS_Goshen_1T_5T_14TD">#REF!</definedName>
    <definedName name="TS_Goshen_2S_5S_14TND">#REF!</definedName>
    <definedName name="TS_Lockport_1S_13T">#REF!</definedName>
    <definedName name="TS_Owego_1S_13T">#REF!</definedName>
    <definedName name="TS_Owego_1T_5T_14TD">#REF!</definedName>
    <definedName name="TUtable">#REF!</definedName>
    <definedName name="txtHowManyChange">#N/A</definedName>
    <definedName name="tyhdxrthdrcthdcrtf">0.00167824074742384</definedName>
    <definedName name="tyler"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NBILLTABLE">#REF!</definedName>
    <definedName name="unitil_comp">#REF!</definedName>
    <definedName name="unitil_pilot">#REF!</definedName>
    <definedName name="Units">#REF!</definedName>
    <definedName name="uo">#REF!</definedName>
    <definedName name="uuuuuu">#REF!</definedName>
    <definedName name="uyfkf"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localSheetId="2"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v"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Val_Date">#REF!</definedName>
    <definedName name="ValDate">#REF!</definedName>
    <definedName name="Valor_euros">#REF!</definedName>
    <definedName name="valuationdate">#REF!</definedName>
    <definedName name="Value.2" localSheetId="2" hidden="1">{#N/A,#N/A,FALSE,"Cashflow Analysis";#N/A,#N/A,FALSE,"Sensitivity Analysis";#N/A,#N/A,FALSE,"PV";#N/A,#N/A,FALSE,"Pro Forma"}</definedName>
    <definedName name="Value.2" hidden="1">{#N/A,#N/A,FALSE,"Cashflow Analysis";#N/A,#N/A,FALSE,"Sensitivity Analysis";#N/A,#N/A,FALSE,"PV";#N/A,#N/A,FALSE,"Pro Forma"}</definedName>
    <definedName name="value1" localSheetId="2" hidden="1">{#N/A,#N/A,FALSE,"Cashflow Analysis";#N/A,#N/A,FALSE,"Sensitivity Analysis";#N/A,#N/A,FALSE,"PV";#N/A,#N/A,FALSE,"Pro Forma"}</definedName>
    <definedName name="value1" hidden="1">{#N/A,#N/A,FALSE,"Cashflow Analysis";#N/A,#N/A,FALSE,"Sensitivity Analysis";#N/A,#N/A,FALSE,"PV";#N/A,#N/A,FALSE,"Pro Forma"}</definedName>
    <definedName name="value1.2" localSheetId="2" hidden="1">{#N/A,#N/A,FALSE,"Cashflow Analysis";#N/A,#N/A,FALSE,"Sensitivity Analysis";#N/A,#N/A,FALSE,"PV";#N/A,#N/A,FALSE,"Pro Forma"}</definedName>
    <definedName name="value1.2" hidden="1">{#N/A,#N/A,FALSE,"Cashflow Analysis";#N/A,#N/A,FALSE,"Sensitivity Analysis";#N/A,#N/A,FALSE,"PV";#N/A,#N/A,FALSE,"Pro Forma"}</definedName>
    <definedName name="Values_Entered">IF(Loan_Amount*Interest_Rate*Loan_Years*Loan_Start&gt;0,1,0)</definedName>
    <definedName name="ValYear">#REF!</definedName>
    <definedName name="Variance" localSheetId="2" hidden="1">{"Assumptions",#N/A,FALSE,"Assumptions";"Sum",#N/A,FALSE,"Summary";"Notes",#N/A,FALSE,"Notes";"Inputs",#N/A,FALSE,"Inputs";"Other Inputs",#N/A,FALSE,"Inputs";"RD",#N/A,FALSE,"RD";"Revenue Detail",#N/A,FALSE,"Revenue";"Expense Detail",#N/A,FALSE,"Expense";"Tax Detail",#N/A,FALSE,"Tax";"FinSt",#N/A,FALSE,"Financials"}</definedName>
    <definedName name="Variance" hidden="1">{"Assumptions",#N/A,FALSE,"Assumptions";"Sum",#N/A,FALSE,"Summary";"Notes",#N/A,FALSE,"Notes";"Inputs",#N/A,FALSE,"Inputs";"Other Inputs",#N/A,FALSE,"Inputs";"RD",#N/A,FALSE,"RD";"Revenue Detail",#N/A,FALSE,"Revenue";"Expense Detail",#N/A,FALSE,"Expense";"Tax Detail",#N/A,FALSE,"Tax";"FinSt",#N/A,FALSE,"Financials"}</definedName>
    <definedName name="VAROM">#REF!</definedName>
    <definedName name="vbaConsolidateGS20.cmdConsolidateIncludeHandler">#N/A</definedName>
    <definedName name="vbaConsolidateGS20.cmdConsolidateSelectHandler">#N/A</definedName>
    <definedName name="vbaForceSave.cmdSaveButtonsHandler">#N/A</definedName>
    <definedName name="vbaForceSave.cmdSaveSelectHandler">#N/A</definedName>
    <definedName name="vc" localSheetId="2" hidden="1">{#N/A,#N/A,FALSE,"Aging Summary";#N/A,#N/A,FALSE,"Ratio Analysis";#N/A,#N/A,FALSE,"Test 120 Day Accts";#N/A,#N/A,FALSE,"Tickmarks"}</definedName>
    <definedName name="vc" hidden="1">{#N/A,#N/A,FALSE,"Aging Summary";#N/A,#N/A,FALSE,"Ratio Analysis";#N/A,#N/A,FALSE,"Test 120 Day Accts";#N/A,#N/A,FALSE,"Tickmarks"}</definedName>
    <definedName name="vend" localSheetId="2" hidden="1">{#N/A,#N/A,FALSE,"Sum";#N/A,#N/A,FALSE,"HC";#N/A,#N/A,FALSE,"Soft";#N/A,#N/A,FALSE,"FF&amp;E";#N/A,#N/A,FALSE,"Other PC";#N/A,#N/A,FALSE,"Fac";#N/A,#N/A,FALSE,"bud var"}</definedName>
    <definedName name="vend" hidden="1">{#N/A,#N/A,FALSE,"Sum";#N/A,#N/A,FALSE,"HC";#N/A,#N/A,FALSE,"Soft";#N/A,#N/A,FALSE,"FF&amp;E";#N/A,#N/A,FALSE,"Other PC";#N/A,#N/A,FALSE,"Fac";#N/A,#N/A,FALSE,"bud var"}</definedName>
    <definedName name="vvv">#REF!</definedName>
    <definedName name="vvvv" localSheetId="2" hidden="1">{#N/A,#N/A,FALSE,"Cashflow Analysis";#N/A,#N/A,FALSE,"Sensitivity Analysis";#N/A,#N/A,FALSE,"PV";#N/A,#N/A,FALSE,"Pro Forma"}</definedName>
    <definedName name="vvvv" hidden="1">{#N/A,#N/A,FALSE,"Cashflow Analysis";#N/A,#N/A,FALSE,"Sensitivity Analysis";#N/A,#N/A,FALSE,"PV";#N/A,#N/A,FALSE,"Pro Forma"}</definedName>
    <definedName name="VVVV.2" localSheetId="2" hidden="1">{#N/A,#N/A,FALSE,"Cashflow Analysis";#N/A,#N/A,FALSE,"Sensitivity Analysis";#N/A,#N/A,FALSE,"PV";#N/A,#N/A,FALSE,"Pro Forma"}</definedName>
    <definedName name="VVVV.2" hidden="1">{#N/A,#N/A,FALSE,"Cashflow Analysis";#N/A,#N/A,FALSE,"Sensitivity Analysis";#N/A,#N/A,FALSE,"PV";#N/A,#N/A,FALSE,"Pro Forma"}</definedName>
    <definedName name="w" localSheetId="2" hidden="1">{"cap_structure",#N/A,FALSE,"Graph-Mkt Cap";"price",#N/A,FALSE,"Graph-Price";"ebit",#N/A,FALSE,"Graph-EBITDA";"ebitda",#N/A,FALSE,"Graph-EBITDA"}</definedName>
    <definedName name="w" hidden="1">{"cap_structure",#N/A,FALSE,"Graph-Mkt Cap";"price",#N/A,FALSE,"Graph-Price";"ebit",#N/A,FALSE,"Graph-EBITDA";"ebitda",#N/A,FALSE,"Graph-EBITDA"}</definedName>
    <definedName name="wafe" localSheetId="2" hidden="1">{"summary1",#N/A,TRUE,"Comps";"summary2",#N/A,TRUE,"Comps";"summary3",#N/A,TRUE,"Comps"}</definedName>
    <definedName name="wafe" hidden="1">{"summary1",#N/A,TRUE,"Comps";"summary2",#N/A,TRUE,"Comps";"summary3",#N/A,TRUE,"Comps"}</definedName>
    <definedName name="wages">#REF!</definedName>
    <definedName name="WC">#REF!</definedName>
    <definedName name="WEA"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EK">#REF!</definedName>
    <definedName name="Weeks">#REF!</definedName>
    <definedName name="wefaf"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ird" localSheetId="2" hidden="1">{"cashcons",#N/A,FALSE,"CASHCONS";"cash7000",#N/A,FALSE,"CASH7000";"cash9000",#N/A,FALSE,"CASH9000";"assu7000",#N/A,FALSE,"ASSU7000";"assu9000",#N/A,FALSE,"ASSU9000";"rentroll",#N/A,FALSE,"RENTROLL";"expr7000",#N/A,FALSE,"EXPR7000";"expr9000",#N/A,FALSE,"EXPR9000"}</definedName>
    <definedName name="weird" hidden="1">{"cashcons",#N/A,FALSE,"CASHCONS";"cash7000",#N/A,FALSE,"CASH7000";"cash9000",#N/A,FALSE,"CASH9000";"assu7000",#N/A,FALSE,"ASSU7000";"assu9000",#N/A,FALSE,"ASSU9000";"rentroll",#N/A,FALSE,"RENTROLL";"expr7000",#N/A,FALSE,"EXPR7000";"expr9000",#N/A,FALSE,"EXPR9000"}</definedName>
    <definedName name="weird2" localSheetId="2" hidden="1">{"cashcons",#N/A,FALSE,"CASHCONS";"cash7000",#N/A,FALSE,"CASH7000";"cash9000",#N/A,FALSE,"CASH9000";"assu7000",#N/A,FALSE,"ASSU7000";"assu9000",#N/A,FALSE,"ASSU9000";"rentroll",#N/A,FALSE,"RENTROLL";"expr7000",#N/A,FALSE,"EXPR7000";"expr9000",#N/A,FALSE,"EXPR9000"}</definedName>
    <definedName name="weird2" hidden="1">{"cashcons",#N/A,FALSE,"CASHCONS";"cash7000",#N/A,FALSE,"CASH7000";"cash9000",#N/A,FALSE,"CASH9000";"assu7000",#N/A,FALSE,"ASSU7000";"assu9000",#N/A,FALSE,"ASSU9000";"rentroll",#N/A,FALSE,"RENTROLL";"expr7000",#N/A,FALSE,"EXPR7000";"expr9000",#N/A,FALSE,"EXPR9000"}</definedName>
    <definedName name="WelfareChoices" hidden="1">#REF!</definedName>
    <definedName name="WEQQE" localSheetId="2" hidden="1">{"summary1",#N/A,TRUE,"Comps";"summary2",#N/A,TRUE,"Comps";"summary3",#N/A,TRUE,"Comps"}</definedName>
    <definedName name="WEQQE" hidden="1">{"summary1",#N/A,TRUE,"Comps";"summary2",#N/A,TRUE,"Comps";"summary3",#N/A,TRUE,"Comps"}</definedName>
    <definedName name="WESCOM">#N/A</definedName>
    <definedName name="WESIND">#N/A</definedName>
    <definedName name="WESRES">#N/A</definedName>
    <definedName name="WESSTL">#N/A</definedName>
    <definedName name="WESTERN">#N/A</definedName>
    <definedName name="WESTOT">#N/A</definedName>
    <definedName name="wgl" hidden="1">{#N/A,#N/A,FALSE,"GLDwnLoad"}</definedName>
    <definedName name="wgl_1" hidden="1">{#N/A,#N/A,FALSE,"GLDwnLoad"}</definedName>
    <definedName name="win" hidden="1">{#N/A,#N/A,FALSE,"OTHERINPUTS";#N/A,#N/A,FALSE,"DITRATEINPUTS";#N/A,#N/A,FALSE,"SUPPLIEDADJINPUT";#N/A,#N/A,FALSE,"TIMINGDIFFINPUTS";#N/A,#N/A,FALSE,"BR&amp;SUPADJ."}</definedName>
    <definedName name="win_1" hidden="1">{#N/A,#N/A,FALSE,"OTHERINPUTS";#N/A,#N/A,FALSE,"DITRATEINPUTS";#N/A,#N/A,FALSE,"SUPPLIEDADJINPUT";#N/A,#N/A,FALSE,"TIMINGDIFFINPUTS";#N/A,#N/A,FALSE,"BR&amp;SUPADJ."}</definedName>
    <definedName name="wmeco1">#REF!</definedName>
    <definedName name="wmeco2">#REF!</definedName>
    <definedName name="wmecococ">#REF!</definedName>
    <definedName name="WMECOCOC2">#REF!</definedName>
    <definedName name="WMECOcoverages">#REF!</definedName>
    <definedName name="WMECOEP">#REF!</definedName>
    <definedName name="WMECOequity">#REF!</definedName>
    <definedName name="WMECOresults">#REF!</definedName>
    <definedName name="working" localSheetId="2" hidden="1">{#N/A,#N/A,FALSE,"Input";#N/A,#N/A,FALSE,"1997";#N/A,#N/A,FALSE,"1996";#N/A,#N/A,FALSE,"1995";#N/A,#N/A,FALSE,"1994";#N/A,#N/A,FALSE,"1993";#N/A,#N/A,FALSE,"1993-1";#N/A,#N/A,FALSE,"1992";#N/A,#N/A,FALSE,"1991";#N/A,#N/A,FALSE,"1990";#N/A,#N/A,FALSE,"1989";#N/A,#N/A,FALSE,"1988"}</definedName>
    <definedName name="working" hidden="1">{#N/A,#N/A,FALSE,"Input";#N/A,#N/A,FALSE,"1997";#N/A,#N/A,FALSE,"1996";#N/A,#N/A,FALSE,"1995";#N/A,#N/A,FALSE,"1994";#N/A,#N/A,FALSE,"1993";#N/A,#N/A,FALSE,"1993-1";#N/A,#N/A,FALSE,"1992";#N/A,#N/A,FALSE,"1991";#N/A,#N/A,FALSE,"1990";#N/A,#N/A,FALSE,"1989";#N/A,#N/A,FALSE,"1988"}</definedName>
    <definedName name="wp" hidden="1">{#N/A,#N/A,FALSE,"TITLEPG";#N/A,#N/A,FALSE,"INDEX";#N/A,#N/A,FALSE,"BKTAXINCOME";#N/A,#N/A,FALSE,"INTERESTALLOC";#N/A,#N/A,FALSE,"FITCALC";#N/A,#N/A,FALSE,"CCBT";#N/A,#N/A,FALSE,"MFT";#N/A,#N/A,FALSE,"NHBPT";#N/A,#N/A,FALSE,"OPPERMEVENTS";#N/A,#N/A,FALSE,"NONOPPERMEVENTS";#N/A,#N/A,FALSE,"OPTIMEVENTS";#N/A,#N/A,FALSE,"NONOPTIMEVENTS";#N/A,#N/A,FALSE,"DEPREC";#N/A,#N/A,FALSE,"OPPERMDIFF";#N/A,#N/A,FALSE,"NONOPPERMDIFF";#N/A,#N/A,FALSE,"OPTIMDIFF";#N/A,#N/A,FALSE,"NONOPTIMDIFF";#N/A,#N/A,FALSE,"OP190CRQTR";#N/A,#N/A,FALSE,"NONOP190CRQTR";#N/A,#N/A,FALSE,"OP190CRYTD";#N/A,#N/A,FALSE,"NONOP190CRYTD";#N/A,#N/A,FALSE,"OP190PRYTD";#N/A,#N/A,FALSE,"NONOP190PRYTD";#N/A,#N/A,FALSE,"OP282CRQTR";#N/A,#N/A,FALSE,"NONOP282CRQTR";#N/A,#N/A,FALSE,"OP282CRYTD";#N/A,#N/A,FALSE,"NONOP282CRYTD";#N/A,#N/A,FALSE,"OP282PRYTD";#N/A,#N/A,FALSE,"NONOP282PRYTD";#N/A,#N/A,FALSE,"OP283CRQTR";#N/A,#N/A,FALSE,"NONOP283CRQTR";#N/A,#N/A,FALSE,"OP283CRYTD";#N/A,#N/A,FALSE,"NONOP283CRYTD";#N/A,#N/A,FALSE,"OP283PRYTD";#N/A,#N/A,FALSE,"NONOP283PRYTD";#N/A,#N/A,FALSE,"DITSUM";#N/A,#N/A,FALSE,"CRYTDACREC";#N/A,#N/A,FALSE,"PRYTDACREC";#N/A,#N/A,FALSE,"SYSJRNL";#N/A,#N/A,FALSE,"FAS109 OPERATING";#N/A,#N/A,FALSE,"FAS109 Summary";#N/A,#N/A,FALSE,"FAS109 OPER 190 ITC";#N/A,#N/A,FALSE,"FAS109 OPER 190 Other";#N/A,#N/A,FALSE,"FAS109 OPER 282";#N/A,#N/A,FALSE,"FAS109 OPER 283";#N/A,#N/A,FALSE,"FAS109 NONOPER 282"}</definedName>
    <definedName name="wp_1" hidden="1">{#N/A,#N/A,FALSE,"TITLEPG";#N/A,#N/A,FALSE,"INDEX";#N/A,#N/A,FALSE,"BKTAXINCOME";#N/A,#N/A,FALSE,"INTERESTALLOC";#N/A,#N/A,FALSE,"FITCALC";#N/A,#N/A,FALSE,"CCBT";#N/A,#N/A,FALSE,"MFT";#N/A,#N/A,FALSE,"NHBPT";#N/A,#N/A,FALSE,"OPPERMEVENTS";#N/A,#N/A,FALSE,"NONOPPERMEVENTS";#N/A,#N/A,FALSE,"OPTIMEVENTS";#N/A,#N/A,FALSE,"NONOPTIMEVENTS";#N/A,#N/A,FALSE,"DEPREC";#N/A,#N/A,FALSE,"OPPERMDIFF";#N/A,#N/A,FALSE,"NONOPPERMDIFF";#N/A,#N/A,FALSE,"OPTIMDIFF";#N/A,#N/A,FALSE,"NONOPTIMDIFF";#N/A,#N/A,FALSE,"OP190CRQTR";#N/A,#N/A,FALSE,"NONOP190CRQTR";#N/A,#N/A,FALSE,"OP190CRYTD";#N/A,#N/A,FALSE,"NONOP190CRYTD";#N/A,#N/A,FALSE,"OP190PRYTD";#N/A,#N/A,FALSE,"NONOP190PRYTD";#N/A,#N/A,FALSE,"OP282CRQTR";#N/A,#N/A,FALSE,"NONOP282CRQTR";#N/A,#N/A,FALSE,"OP282CRYTD";#N/A,#N/A,FALSE,"NONOP282CRYTD";#N/A,#N/A,FALSE,"OP282PRYTD";#N/A,#N/A,FALSE,"NONOP282PRYTD";#N/A,#N/A,FALSE,"OP283CRQTR";#N/A,#N/A,FALSE,"NONOP283CRQTR";#N/A,#N/A,FALSE,"OP283CRYTD";#N/A,#N/A,FALSE,"NONOP283CRYTD";#N/A,#N/A,FALSE,"OP283PRYTD";#N/A,#N/A,FALSE,"NONOP283PRYTD";#N/A,#N/A,FALSE,"DITSUM";#N/A,#N/A,FALSE,"CRYTDACREC";#N/A,#N/A,FALSE,"PRYTDACREC";#N/A,#N/A,FALSE,"SYSJRNL";#N/A,#N/A,FALSE,"FAS109 OPERATING";#N/A,#N/A,FALSE,"FAS109 Summary";#N/A,#N/A,FALSE,"FAS109 OPER 190 ITC";#N/A,#N/A,FALSE,"FAS109 OPER 190 Other";#N/A,#N/A,FALSE,"FAS109 OPER 282";#N/A,#N/A,FALSE,"FAS109 OPER 283";#N/A,#N/A,FALSE,"FAS109 NONOPER 282"}</definedName>
    <definedName name="WQE"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we" hidden="1">#REF!</definedName>
    <definedName name="wr"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_1" hidden="1">{#N/A,#N/A,FALSE,"RORMEMO";#N/A,#N/A,FALSE,"RORSUMMARY";#N/A,#N/A,FALSE,"RORDETAIL"}</definedName>
    <definedName name="wrn.222W83._.RR." localSheetId="2" hidden="1">{"aa",#N/A,FALSE,"222W83 Resid ";"bbb",#N/A,FALSE,"222W83 Resid ";"cc",#N/A,FALSE,"222W83 Resid "}</definedName>
    <definedName name="wrn.222W83._.RR." hidden="1">{"aa",#N/A,FALSE,"222W83 Resid ";"bbb",#N/A,FALSE,"222W83 Resid ";"cc",#N/A,FALSE,"222W83 Resid "}</definedName>
    <definedName name="wrn.360w55._.RR." localSheetId="2" hidden="1">{"aa",#N/A,FALSE,"360 West 55th";"bb",#N/A,FALSE,"360 West 55th";"cc",#N/A,FALSE,"360 West 55th"}</definedName>
    <definedName name="wrn.360w55._.RR." hidden="1">{"aa",#N/A,FALSE,"360 West 55th";"bb",#N/A,FALSE,"360 West 55th";"cc",#N/A,FALSE,"360 West 55th"}</definedName>
    <definedName name="wrn.370._.RR." localSheetId="2" hidden="1">{"rr1",#N/A,FALSE,"Rent Roll";"rr2",#N/A,FALSE,"Rent Roll";"rr3",#N/A,FALSE,"Rent Roll";"rr4",#N/A,FALSE,"Rent Roll";"rr5",#N/A,FALSE,"Rent Roll";"rr6",#N/A,FALSE,"Rent Roll"}</definedName>
    <definedName name="wrn.370._.RR." hidden="1">{"rr1",#N/A,FALSE,"Rent Roll";"rr2",#N/A,FALSE,"Rent Roll";"rr3",#N/A,FALSE,"Rent Roll";"rr4",#N/A,FALSE,"Rent Roll";"rr5",#N/A,FALSE,"Rent Roll";"rr6",#N/A,FALSE,"Rent Roll"}</definedName>
    <definedName name="wrn.370EXP." localSheetId="2" hidden="1">{"exp1",#N/A,FALSE,"Expiration";"exp2",#N/A,FALSE,"Expiration";"exp3",#N/A,FALSE,"Expiration";"exp4",#N/A,FALSE,"Expiration"}</definedName>
    <definedName name="wrn.370EXP." hidden="1">{"exp1",#N/A,FALSE,"Expiration";"exp2",#N/A,FALSE,"Expiration";"exp3",#N/A,FALSE,"Expiration";"exp4",#N/A,FALSE,"Expiration"}</definedName>
    <definedName name="wrn.399." localSheetId="2" hidden="1">{#N/A,#N/A,FALSE,"A";#N/A,#N/A,FALSE,"C"}</definedName>
    <definedName name="wrn.399." hidden="1">{#N/A,#N/A,FALSE,"A";#N/A,#N/A,FALSE,"C"}</definedName>
    <definedName name="wrn.3cases." localSheetId="2" hidden="1">{#N/A,"Base",FALSE,"Dividend";#N/A,"Conservative",FALSE,"Dividend";#N/A,"Downside",FALSE,"Dividend"}</definedName>
    <definedName name="wrn.3cases." hidden="1">{#N/A,"Base",FALSE,"Dividend";#N/A,"Conservative",FALSE,"Dividend";#N/A,"Downside",FALSE,"Dividend"}</definedName>
    <definedName name="wrn.94._.to._.00._.IS." localSheetId="2" hidden="1">{#N/A,#N/A,FALSE,"INCOME"}</definedName>
    <definedName name="wrn.94._.to._.00._.IS." hidden="1">{#N/A,#N/A,FALSE,"INCOME"}</definedName>
    <definedName name="wrn.Accretion." localSheetId="2" hidden="1">{"Accretion",#N/A,FALSE,"Assum"}</definedName>
    <definedName name="wrn.Accretion." hidden="1">{"Accretion",#N/A,FALSE,"Assum"}</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2" hidden="1">{#N/A,#N/A,FALSE,"Summary EPS";#N/A,#N/A,FALSE,"1st Qtr Electric";#N/A,#N/A,FALSE,"1st Qtr Australia";#N/A,#N/A,FALSE,"1st Qtr Telecom";#N/A,#N/A,FALSE,"1st QTR Other"}</definedName>
    <definedName name="wrn.ALL." hidden="1">{#N/A,#N/A,FALSE,"Summary EPS";#N/A,#N/A,FALSE,"1st Qtr Electric";#N/A,#N/A,FALSE,"1st Qtr Australia";#N/A,#N/A,FALSE,"1st Qtr Telecom";#N/A,#N/A,FALSE,"1st QTR Other"}</definedName>
    <definedName name="wrn.All._.Consolidations." localSheetId="2" hidden="1">{#N/A,#N/A,FALSE,"Emmes Services";#N/A,#N/A,FALSE,"Emmes Capital";#N/A,#N/A,FALSE,"Emmes &amp; Co"}</definedName>
    <definedName name="wrn.All._.Consolidations." hidden="1">{#N/A,#N/A,FALSE,"Emmes Services";#N/A,#N/A,FALSE,"Emmes Capital";#N/A,#N/A,FALSE,"Emmes &amp; Co"}</definedName>
    <definedName name="wrn.All._.eEmerge" localSheetId="2" hidden="1">{#N/A,#N/A,FALSE,"Emmes Services";#N/A,#N/A,FALSE,"Emmes Capital";#N/A,#N/A,FALSE,"Emmes &amp; Co"}</definedName>
    <definedName name="wrn.All._.eEmerge" hidden="1">{#N/A,#N/A,FALSE,"Emmes Services";#N/A,#N/A,FALSE,"Emmes Capital";#N/A,#N/A,FALSE,"Emmes &amp; Co"}</definedName>
    <definedName name="wrn.All._.pages." localSheetId="2" hidden="1">{#N/A,#N/A,FALSE,"Summary 1";#N/A,#N/A,FALSE,"Domestic";#N/A,#N/A,FALSE,"Australia";#N/A,#N/A,FALSE,"Other"}</definedName>
    <definedName name="wrn.All._.pages." hidden="1">{#N/A,#N/A,FALSE,"Summary 1";#N/A,#N/A,FALSE,"Domestic";#N/A,#N/A,FALSE,"Australia";#N/A,#N/A,FALSE,"Other"}</definedName>
    <definedName name="wrn.All._.Sheets." hidden="1">{#N/A,#N/A,TRUE,"Blank";#N/A,#N/A,TRUE,"Report - Portrait";#N/A,#N/A,TRUE,"Report - Landscape";#N/A,#N/A,TRUE,"FAS87 Results"}</definedName>
    <definedName name="wrn.All._.Sheets._1" hidden="1">{#N/A,#N/A,TRUE,"Blank";#N/A,#N/A,TRUE,"Report - Portrait";#N/A,#N/A,TRUE,"Report - Landscape";#N/A,#N/A,TRUE,"FAS87 Results"}</definedName>
    <definedName name="wrn.AllResults." localSheetId="2"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nnual._.Cashflows." localSheetId="2" hidden="1">{"Revenues",#N/A,FALSE,"MDU";"Depreciation",#N/A,FALSE,"MDU";"Debt",#N/A,FALSE,"MDU";"Financials",#N/A,FALSE,"MDU";"Accounts",#N/A,FALSE,"MDU"}</definedName>
    <definedName name="wrn.Annual._.Cashflows." hidden="1">{"Revenues",#N/A,FALSE,"MDU";"Depreciation",#N/A,FALSE,"MDU";"Debt",#N/A,FALSE,"MDU";"Financials",#N/A,FALSE,"MDU";"Accounts",#N/A,FALSE,"MDU"}</definedName>
    <definedName name="wrn.Annual._.Cashflows2." localSheetId="2" hidden="1">{"Revenues",#N/A,FALSE,"MDU";"Depreciation",#N/A,FALSE,"MDU";"Debt",#N/A,FALSE,"MDU";"Financials",#N/A,FALSE,"MDU";"Accounts",#N/A,FALSE,"MDU"}</definedName>
    <definedName name="wrn.Annual._.Cashflows2." hidden="1">{"Revenues",#N/A,FALSE,"MDU";"Depreciation",#N/A,FALSE,"MDU";"Debt",#N/A,FALSE,"MDU";"Financials",#N/A,FALSE,"MDU";"Accounts",#N/A,FALSE,"MDU"}</definedName>
    <definedName name="wrn.Arcform1." localSheetId="2" hidden="1">{"One",#N/A,FALSE,"Property";"Rent Analysis",#N/A,FALSE,"Rent &amp; Income";"Market",#N/A,FALSE,"Market";"Environmental",#N/A,FALSE,"Environmental"}</definedName>
    <definedName name="wrn.Arcform1." hidden="1">{"One",#N/A,FALSE,"Property";"Rent Analysis",#N/A,FALSE,"Rent &amp; Income";"Market",#N/A,FALSE,"Market";"Environmental",#N/A,FALSE,"Environmental"}</definedName>
    <definedName name="wrn.Arcform2." localSheetId="2" hidden="1">{"Development Team",#N/A,FALSE,"Team";"Environmental",#N/A,FALSE,"Environmental";"Permanent",#N/A,FALSE,"Perm Mtg";"Soft",#N/A,FALSE,"Soft Mtg"}</definedName>
    <definedName name="wrn.Arcform2." hidden="1">{"Development Team",#N/A,FALSE,"Team";"Environmental",#N/A,FALSE,"Environmental";"Permanent",#N/A,FALSE,"Perm Mtg";"Soft",#N/A,FALSE,"Soft Mtg"}</definedName>
    <definedName name="wrn.Arcform3." localSheetId="2" hidden="1">{"Grant",#N/A,FALSE,"Grant";"GP Developer",#N/A,FALSE,"GP &amp; Dev Loans";"Operating Analysis",#N/A,FALSE,"Operations";"Tax Credit",#N/A,FALSE,"Tax Credits";"Tax Credit Analysis",#N/A,FALSE,"TC Analysis"}</definedName>
    <definedName name="wrn.Arcform3." hidden="1">{"Grant",#N/A,FALSE,"Grant";"GP Developer",#N/A,FALSE,"GP &amp; Dev Loans";"Operating Analysis",#N/A,FALSE,"Operations";"Tax Credit",#N/A,FALSE,"Tax Credits";"Tax Credit Analysis",#N/A,FALSE,"TC Analysis"}</definedName>
    <definedName name="wrn.Arcform4." localSheetId="2" hidden="1">{"Construction Analysis",#N/A,FALSE,"Constr Analysis";"Construction Financing",#N/A,FALSE,"Constr Finan";"Guarantees and Reserves",#N/A,FALSE,"Guar &amp; Reserves"}</definedName>
    <definedName name="wrn.Arcform4." hidden="1">{"Construction Analysis",#N/A,FALSE,"Constr Analysis";"Construction Financing",#N/A,FALSE,"Constr Finan";"Guarantees and Reserves",#N/A,FALSE,"Guar &amp; Reserves"}</definedName>
    <definedName name="wrn.Assumptions." localSheetId="2" hidden="1">{"Assumptions",#N/A,FALSE,"Assum"}</definedName>
    <definedName name="wrn.Assumptions." hidden="1">{"Assumptions",#N/A,FALSE,"Assum"}</definedName>
    <definedName name="wrn.Bal._.Sht._.Bud._.vs._.Act." localSheetId="2" hidden="1">{#N/A,#N/A,FALSE,"BS Compare"}</definedName>
    <definedName name="wrn.Bal._.Sht._.Bud._.vs._.Act." hidden="1">{#N/A,#N/A,FALSE,"BS Compare"}</definedName>
    <definedName name="wrn.Balance._.Sheet." localSheetId="2" hidden="1">{#N/A,#N/A,FALSE,"Balance Sht"}</definedName>
    <definedName name="wrn.Balance._.Sheet." hidden="1">{#N/A,#N/A,FALSE,"Balance Sht"}</definedName>
    <definedName name="wrn.bleu4." localSheetId="2" hidden="1">{#N/A,#N/A,FALSE}</definedName>
    <definedName name="wrn.bleu4." hidden="1">{#N/A,#N/A,FALSE}</definedName>
    <definedName name="wrn.Book." localSheetId="2" hidden="1">{"EVA",#N/A,FALSE,"SMT2";#N/A,#N/A,FALSE,"Summary";#N/A,#N/A,FALSE,"Graphs";#N/A,#N/A,FALSE,"4 Panel"}</definedName>
    <definedName name="wrn.Book." hidden="1">{"EVA",#N/A,FALSE,"SMT2";#N/A,#N/A,FALSE,"Summary";#N/A,#N/A,FALSE,"Graphs";#N/A,#N/A,FALSE,"4 Panel"}</definedName>
    <definedName name="wrn.Book._D" localSheetId="2" hidden="1">{"EVA",#N/A,FALSE,"SMT2";#N/A,#N/A,FALSE,"Summary";#N/A,#N/A,FALSE,"Graphs";#N/A,#N/A,FALSE,"4 Panel"}</definedName>
    <definedName name="wrn.Book._D" hidden="1">{"EVA",#N/A,FALSE,"SMT2";#N/A,#N/A,FALSE,"Summary";#N/A,#N/A,FALSE,"Graphs";#N/A,#N/A,FALSE,"4 Panel"}</definedName>
    <definedName name="wrn.Bridge." localSheetId="2"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idge."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US._.RPT." localSheetId="2" hidden="1">{#N/A,#N/A,FALSE,"P&amp;L Ttl";#N/A,#N/A,FALSE,"P&amp;L C_Ttl New";#N/A,#N/A,FALSE,"Bus Res";#N/A,#N/A,FALSE,"Chrts";#N/A,#N/A,FALSE,"pcf";#N/A,#N/A,FALSE,"pcr ";#N/A,#N/A,FALSE,"Exp Stmt ";#N/A,#N/A,FALSE,"Exp Stmt BU";#N/A,#N/A,FALSE,"Cap";#N/A,#N/A,FALSE,"IT Ytd"}</definedName>
    <definedName name="wrn.BUS._.RPT." hidden="1">{#N/A,#N/A,FALSE,"P&amp;L Ttl";#N/A,#N/A,FALSE,"P&amp;L C_Ttl New";#N/A,#N/A,FALSE,"Bus Res";#N/A,#N/A,FALSE,"Chrts";#N/A,#N/A,FALSE,"pcf";#N/A,#N/A,FALSE,"pcr ";#N/A,#N/A,FALSE,"Exp Stmt ";#N/A,#N/A,FALSE,"Exp Stmt BU";#N/A,#N/A,FALSE,"Cap";#N/A,#N/A,FALSE,"IT Ytd"}</definedName>
    <definedName name="wrn.CAM97_1." localSheetId="2" hidden="1">{"CAM97_1",#N/A,FALSE,"ACTUAL 1997 BILLING SHEET"}</definedName>
    <definedName name="wrn.CAM97_1." hidden="1">{"CAM97_1",#N/A,FALSE,"ACTUAL 1997 BILLING SHEET"}</definedName>
    <definedName name="wrn.CAM97_2." localSheetId="2" hidden="1">{"CAM97_2",#N/A,FALSE,"ACTUAL 1997 BILLING SHEET"}</definedName>
    <definedName name="wrn.CAM97_2." hidden="1">{"CAM97_2",#N/A,FALSE,"ACTUAL 1997 BILLING SHEET"}</definedName>
    <definedName name="wrn.Capital._.96." localSheetId="2" hidden="1">{#N/A,#N/A,FALSE,"Building Imp";#N/A,#N/A,FALSE,"Deferred Legal";#N/A,#N/A,FALSE,"Tenant Improvements";#N/A,#N/A,FALSE,"Lease Commissions";#N/A,#N/A,FALSE,"F &amp; F";#N/A,#N/A,FALSE,"CIP General"}</definedName>
    <definedName name="wrn.Capital._.96." hidden="1">{#N/A,#N/A,FALSE,"Building Imp";#N/A,#N/A,FALSE,"Deferred Legal";#N/A,#N/A,FALSE,"Tenant Improvements";#N/A,#N/A,FALSE,"Lease Commissions";#N/A,#N/A,FALSE,"F &amp; F";#N/A,#N/A,FALSE,"CIP General"}</definedName>
    <definedName name="wrn.Capital._.96.B" localSheetId="2" hidden="1">{#N/A,#N/A,FALSE,"Building Imp";#N/A,#N/A,FALSE,"Deferred Legal";#N/A,#N/A,FALSE,"Tenant Improvements";#N/A,#N/A,FALSE,"Lease Commissions";#N/A,#N/A,FALSE,"F &amp; F";#N/A,#N/A,FALSE,"CIP General"}</definedName>
    <definedName name="wrn.Capital._.96.B" hidden="1">{#N/A,#N/A,FALSE,"Building Imp";#N/A,#N/A,FALSE,"Deferred Legal";#N/A,#N/A,FALSE,"Tenant Improvements";#N/A,#N/A,FALSE,"Lease Commissions";#N/A,#N/A,FALSE,"F &amp; F";#N/A,#N/A,FALSE,"CIP General"}</definedName>
    <definedName name="wrn.CAPREIT." localSheetId="2" hidden="1">{#N/A,#N/A,FALSE,"CAPREIT"}</definedName>
    <definedName name="wrn.CAPREIT." hidden="1">{#N/A,#N/A,FALSE,"CAPREIT"}</definedName>
    <definedName name="wrn.CAPREIT2" localSheetId="2" hidden="1">{#N/A,#N/A,FALSE,"CAPREIT"}</definedName>
    <definedName name="wrn.CAPREIT2" hidden="1">{#N/A,#N/A,FALSE,"CAPREIT"}</definedName>
    <definedName name="wrn.Cash._.Flow._.Statement." localSheetId="2" hidden="1">{"CashPrintArea",#N/A,FALSE,"Cash (c)"}</definedName>
    <definedName name="wrn.Cash._.Flow._.Statement." hidden="1">{"CashPrintArea",#N/A,FALSE,"Cash (c)"}</definedName>
    <definedName name="wrn.Cash._.Flows." localSheetId="2" hidden="1">{#N/A,#N/A,FALSE,"Cash Flows"}</definedName>
    <definedName name="wrn.Cash._.Flows." hidden="1">{#N/A,#N/A,FALSE,"Cash Flows"}</definedName>
    <definedName name="wrn.CASHFLOW." localSheetId="2" hidden="1">{#N/A,#N/A,FALSE,"CASHFLOW"}</definedName>
    <definedName name="wrn.CASHFLOW." hidden="1">{#N/A,#N/A,FALSE,"CASHFLOW"}</definedName>
    <definedName name="wrn.CCC." localSheetId="2" hidden="1">{#N/A,#N/A,FALSE,"A";#N/A,#N/A,FALSE,"B"}</definedName>
    <definedName name="wrn.CCC." hidden="1">{#N/A,#N/A,FALSE,"A";#N/A,#N/A,FALSE,"B"}</definedName>
    <definedName name="wrn.CCC._.OPEX." localSheetId="2"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OPEX."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F._.Statement." localSheetId="2" hidden="1">{"CashPrintArea",#N/A,FALSE,"Cash (c)"}</definedName>
    <definedName name="wrn.CF._.Statement." hidden="1">{"CashPrintArea",#N/A,FALSE,"Cash (c)"}</definedName>
    <definedName name="wrn.CF._.Statement._.Base._.Case." localSheetId="2" hidden="1">{"CashPrintArea",#N/A,FALSE,"Cash (c)"}</definedName>
    <definedName name="wrn.CF._.Statement._.Base._.Case." hidden="1">{"CashPrintArea",#N/A,FALSE,"Cash (c)"}</definedName>
    <definedName name="wrn.check." localSheetId="2" hidden="1">{#N/A,#N/A,FALSE,"Input";#N/A,#N/A,FALSE,"1997";#N/A,#N/A,FALSE,"1996";#N/A,#N/A,FALSE,"1995";#N/A,#N/A,FALSE,"1994";#N/A,#N/A,FALSE,"1993";#N/A,#N/A,FALSE,"1993-1";#N/A,#N/A,FALSE,"1992";#N/A,#N/A,FALSE,"1991";#N/A,#N/A,FALSE,"1990";#N/A,#N/A,FALSE,"1989";#N/A,#N/A,FALSE,"1988"}</definedName>
    <definedName name="wrn.check." hidden="1">{#N/A,#N/A,FALSE,"Input";#N/A,#N/A,FALSE,"1997";#N/A,#N/A,FALSE,"1996";#N/A,#N/A,FALSE,"1995";#N/A,#N/A,FALSE,"1994";#N/A,#N/A,FALSE,"1993";#N/A,#N/A,FALSE,"1993-1";#N/A,#N/A,FALSE,"1992";#N/A,#N/A,FALSE,"1991";#N/A,#N/A,FALSE,"1990";#N/A,#N/A,FALSE,"1989";#N/A,#N/A,FALSE,"1988"}</definedName>
    <definedName name="wrn.CLOSING._.PACKAGE." localSheetId="2" hidden="1">{#N/A,#N/A,FALSE,"COVER";#N/A,#N/A,FALSE,"INDEX";#N/A,#N/A,FALSE,"SCH-02";#N/A,#N/A,FALSE,"SCH-03";#N/A,#N/A,FALSE,"SCH-04";#N/A,#N/A,FALSE,"SCH-05";#N/A,#N/A,FALSE,"SCH-06";#N/A,#N/A,FALSE,"SCH-08";#N/A,#N/A,FALSE,"SCH-09";#N/A,#N/A,FALSE,"SCH-10";#N/A,#N/A,FALSE,"SCH-11";#N/A,#N/A,FALSE,"SCH-12";#N/A,#N/A,FALSE,"SCH-13";#N/A,#N/A,FALSE,"SCH-14P1";#N/A,#N/A,FALSE,"SCH-14P2";#N/A,#N/A,FALSE,"SCH-15";#N/A,#N/A,FALSE,"SCH-16";#N/A,#N/A,FALSE,"SCH-17";#N/A,#N/A,FALSE,"SCH-18";#N/A,#N/A,FALSE,"SCH-19";#N/A,#N/A,FALSE,"SCH-20";#N/A,#N/A,FALSE,"SCH-21";#N/A,#N/A,FALSE,"SCH-22P1";#N/A,#N/A,FALSE,"SCH-22P2";#N/A,#N/A,FALSE,"SCH-23";#N/A,#N/A,FALSE,"SCH-25";#N/A,#N/A,FALSE,"SCH-26";#N/A,#N/A,FALSE,"SCH-27";#N/A,#N/A,FALSE,"SCH-28";#N/A,#N/A,FALSE,"SCH-29";#N/A,#N/A,FALSE,"SCH-30";#N/A,#N/A,FALSE,"SCH-31";#N/A,#N/A,FALSE,"SCH-32";#N/A,#N/A,FALSE,"SCH-33";#N/A,#N/A,FALSE,"SCH-34";#N/A,#N/A,FALSE,"SCH-35";#N/A,#N/A,FALSE,"SCH-36";#N/A,#N/A,FALSE,"SCH-37";#N/A,#N/A,FALSE,"SCH-38";#N/A,#N/A,FALSE,"SCH-39";#N/A,#N/A,FALSE,"SCH-40";#N/A,#N/A,FALSE,"SCH-41";#N/A,#N/A,FALSE,"SCH-42P1";#N/A,#N/A,FALSE,"SCH-42P2";#N/A,#N/A,FALSE,"SCH-43";#N/A,#N/A,FALSE,"SCH-44";#N/A,#N/A,FALSE,"SCH-45";#N/A,#N/A,FALSE,"SCH-46";#N/A,#N/A,FALSE,"SCH-47";#N/A,#N/A,FALSE,"SCH-48P1";#N/A,#N/A,FALSE,"SCH-48P2";#N/A,#N/A,FALSE,"SCH-48P3";#N/A,#N/A,FALSE,"SCH-49"}</definedName>
    <definedName name="wrn.CLOSING._.PACKAGE." hidden="1">{#N/A,#N/A,FALSE,"COVER";#N/A,#N/A,FALSE,"INDEX";#N/A,#N/A,FALSE,"SCH-02";#N/A,#N/A,FALSE,"SCH-03";#N/A,#N/A,FALSE,"SCH-04";#N/A,#N/A,FALSE,"SCH-05";#N/A,#N/A,FALSE,"SCH-06";#N/A,#N/A,FALSE,"SCH-08";#N/A,#N/A,FALSE,"SCH-09";#N/A,#N/A,FALSE,"SCH-10";#N/A,#N/A,FALSE,"SCH-11";#N/A,#N/A,FALSE,"SCH-12";#N/A,#N/A,FALSE,"SCH-13";#N/A,#N/A,FALSE,"SCH-14P1";#N/A,#N/A,FALSE,"SCH-14P2";#N/A,#N/A,FALSE,"SCH-15";#N/A,#N/A,FALSE,"SCH-16";#N/A,#N/A,FALSE,"SCH-17";#N/A,#N/A,FALSE,"SCH-18";#N/A,#N/A,FALSE,"SCH-19";#N/A,#N/A,FALSE,"SCH-20";#N/A,#N/A,FALSE,"SCH-21";#N/A,#N/A,FALSE,"SCH-22P1";#N/A,#N/A,FALSE,"SCH-22P2";#N/A,#N/A,FALSE,"SCH-23";#N/A,#N/A,FALSE,"SCH-25";#N/A,#N/A,FALSE,"SCH-26";#N/A,#N/A,FALSE,"SCH-27";#N/A,#N/A,FALSE,"SCH-28";#N/A,#N/A,FALSE,"SCH-29";#N/A,#N/A,FALSE,"SCH-30";#N/A,#N/A,FALSE,"SCH-31";#N/A,#N/A,FALSE,"SCH-32";#N/A,#N/A,FALSE,"SCH-33";#N/A,#N/A,FALSE,"SCH-34";#N/A,#N/A,FALSE,"SCH-35";#N/A,#N/A,FALSE,"SCH-36";#N/A,#N/A,FALSE,"SCH-37";#N/A,#N/A,FALSE,"SCH-38";#N/A,#N/A,FALSE,"SCH-39";#N/A,#N/A,FALSE,"SCH-40";#N/A,#N/A,FALSE,"SCH-41";#N/A,#N/A,FALSE,"SCH-42P1";#N/A,#N/A,FALSE,"SCH-42P2";#N/A,#N/A,FALSE,"SCH-43";#N/A,#N/A,FALSE,"SCH-44";#N/A,#N/A,FALSE,"SCH-45";#N/A,#N/A,FALSE,"SCH-46";#N/A,#N/A,FALSE,"SCH-47";#N/A,#N/A,FALSE,"SCH-48P1";#N/A,#N/A,FALSE,"SCH-48P2";#N/A,#N/A,FALSE,"SCH-48P3";#N/A,#N/A,FALSE,"SCH-49"}</definedName>
    <definedName name="wrn.CLP._.SEG._.INPUTS." hidden="1">{#N/A,#N/A,FALSE,"Rev Seg Taxes";#N/A,#N/A,FALSE,"BookRev Seg";#N/A,#N/A,FALSE,"Supp Adj Seg";#N/A,#N/A,FALSE,"outside prov seg taxes"}</definedName>
    <definedName name="wrn.CLP._.SEG._.PROV." hidden="1">{#N/A,#N/A,FALSE,"Book Tax Inc Seg";#N/A,#N/A,FALSE,"CCBT Seg";#N/A,#N/A,FALSE,"Perm Diff Seg";#N/A,#N/A,FALSE,"Temp Diff Seg";#N/A,#N/A,FALSE,"Temp Diff Detail Op Seg";#N/A,#N/A,FALSE,"Def Tax Detail OP Seg";#N/A,#N/A,FALSE,"Temp Diff Detail NonOp Seg";#N/A,#N/A,FALSE,"Def Tax Detail NonOp Seg";#N/A,#N/A,FALSE,"Total Seg Taxes";#N/A,#N/A,FALSE,"SYSJRNLsegmented";#N/A,#N/A,FALSE,"ETR"}</definedName>
    <definedName name="wrn.CLP_GL." hidden="1">{#N/A,#N/A,FALSE,"GLDwnLoad"}</definedName>
    <definedName name="wrn.CLP_GL._1" hidden="1">{#N/A,#N/A,FALSE,"GLDwnLoad"}</definedName>
    <definedName name="wrn.CLP_INPUTS." hidden="1">{#N/A,#N/A,FALSE,"OTHERINPUTS";#N/A,#N/A,FALSE,"DITRATEINPUTS";#N/A,#N/A,FALSE,"SUPPLIEDADJINPUT";#N/A,#N/A,FALSE,"BR&amp;SUPADJ."}</definedName>
    <definedName name="wrn.CLP_INPUTS._1" hidden="1">{#N/A,#N/A,FALSE,"OTHERINPUTS";#N/A,#N/A,FALSE,"DITRATEINPUTS";#N/A,#N/A,FALSE,"SUPPLIEDADJINPUT";#N/A,#N/A,FALSE,"TIMINGDIFFINPUTS";#N/A,#N/A,FALSE,"BR&amp;SUPADJ."}</definedName>
    <definedName name="wrn.CLP_PROV." hidden="1">{#N/A,#N/A,FALSE,"TITLEPG";#N/A,#N/A,FALSE,"INDEX";#N/A,#N/A,FALSE,"BKTAXINCOME";#N/A,#N/A,FALSE,"INTERESTALLOC";#N/A,#N/A,FALSE,"FITCALC";#N/A,#N/A,FALSE,"CCBT";#N/A,#N/A,FALSE,"CGE";#N/A,#N/A,FALSE,"MFT";#N/A,#N/A,FALSE,"NHBPT";#N/A,#N/A,FALSE,"OPPERMEVENTS";#N/A,#N/A,FALSE,"NONOPPERMEVENTS";#N/A,#N/A,FALSE,"OPTIMEVENTS";#N/A,#N/A,FALSE,"NONOPTIMEVENTS";#N/A,#N/A,FALSE,"DEPREC";#N/A,#N/A,FALSE,"OPPERMDIFF";#N/A,#N/A,FALSE,"NONOPPERMDIFF";#N/A,#N/A,FALSE,"OPTIMDIFF";#N/A,#N/A,FALSE,"NONOPTIMDIFF";#N/A,#N/A,FALSE,"OP190CRQTR";#N/A,#N/A,FALSE,"NONOP190CRQTR";#N/A,#N/A,FALSE,"OP190CRYTD";#N/A,#N/A,FALSE,"NONOP190CRYTD";#N/A,#N/A,FALSE,"OP190PRYTD";#N/A,#N/A,FALSE,"NONOP190PRYTD";#N/A,#N/A,FALSE,"OP282CRQTR";#N/A,#N/A,FALSE,"NONOP282CRQTR";#N/A,#N/A,FALSE,"OP282CRYTD";#N/A,#N/A,FALSE,"NONOP282CRYTD";#N/A,#N/A,FALSE,"OP282PRYTD";#N/A,#N/A,FALSE,"NONOP282PRYTD";#N/A,#N/A,FALSE,"OP283CRQTR";#N/A,#N/A,FALSE,"NONOP283CRQTR";#N/A,#N/A,FALSE,"OP283CRYTD";#N/A,#N/A,FALSE,"NONOP283CRYTD";#N/A,#N/A,FALSE,"OP283PRYTD";#N/A,#N/A,FALSE,"NONOP283PRYTD";#N/A,#N/A,FALSE,"DITSUM";#N/A,#N/A,FALSE,"CRYTDACREC";#N/A,#N/A,FALSE,"PRYTDACREC";#N/A,#N/A,FALSE,"SYSJRNL";#N/A,#N/A,FALSE,"FAS109_SUMMARY"}</definedName>
    <definedName name="wrn.CLP_PROV._1" hidden="1">{#N/A,#N/A,FALSE,"TITLEPG";#N/A,#N/A,FALSE,"INDEX";#N/A,#N/A,FALSE,"BKTAXINCOME";#N/A,#N/A,FALSE,"INTERESTALLOC";#N/A,#N/A,FALSE,"FITCALC";#N/A,#N/A,FALSE,"CCBT";#N/A,#N/A,FALSE,"CGE";#N/A,#N/A,FALSE,"MFT";#N/A,#N/A,FALSE,"NHBPT";#N/A,#N/A,FALSE,"OPPERMEVENTS";#N/A,#N/A,FALSE,"NONOPPERMEVENTS";#N/A,#N/A,FALSE,"OPTIMEVENTS";#N/A,#N/A,FALSE,"NONOPTIMEVENTS";#N/A,#N/A,FALSE,"DEPREC";#N/A,#N/A,FALSE,"OPPERMDIFF";#N/A,#N/A,FALSE,"NONOPPERMDIFF";#N/A,#N/A,FALSE,"OPTIMDIFF";#N/A,#N/A,FALSE,"NONOPTIMDIFF";#N/A,#N/A,FALSE,"OP190CRQTR";#N/A,#N/A,FALSE,"NONOP190CRQTR";#N/A,#N/A,FALSE,"OP190CRYTD";#N/A,#N/A,FALSE,"NONOP190CRYTD";#N/A,#N/A,FALSE,"OP190PRYTD";#N/A,#N/A,FALSE,"NONOP190PRYTD";#N/A,#N/A,FALSE,"OP282CRQTR";#N/A,#N/A,FALSE,"NONOP282CRQTR";#N/A,#N/A,FALSE,"OP282CRYTD";#N/A,#N/A,FALSE,"NONOP282CRYTD";#N/A,#N/A,FALSE,"OP282PRYTD";#N/A,#N/A,FALSE,"NONOP282PRYTD";#N/A,#N/A,FALSE,"OP283CRQTR";#N/A,#N/A,FALSE,"NONOP283CRQTR";#N/A,#N/A,FALSE,"OP283CRYTD";#N/A,#N/A,FALSE,"NONOP283CRYTD";#N/A,#N/A,FALSE,"OP283PRYTD";#N/A,#N/A,FALSE,"NONOP283PRYTD";#N/A,#N/A,FALSE,"DITSUM";#N/A,#N/A,FALSE,"CRYTDACREC";#N/A,#N/A,FALSE,"PRYTDACREC";#N/A,#N/A,FALSE,"SYSJRNL";#N/A,#N/A,FALSE,"FAS109 OPERATING";#N/A,#N/A,FALSE,"FAS109 NONOPERATING"}</definedName>
    <definedName name="wrn.Combined._.YTD." localSheetId="2" hidden="1">{"YTD-Total",#N/A,TRUE,"Provision";"YTD-Utility",#N/A,TRUE,"Prov Utility";"YTD-NonUtility",#N/A,TRUE,"Prov NonUtility"}</definedName>
    <definedName name="wrn.Combined._.YTD." hidden="1">{"YTD-Total",#N/A,TRUE,"Provision";"YTD-Utility",#N/A,TRUE,"Prov Utility";"YTD-NonUtility",#N/A,TRUE,"Prov NonUtility"}</definedName>
    <definedName name="wrn.Compensation." localSheetId="2" hidden="1">{"WagesSum",#N/A,FALSE,"State";"MemberComp",#N/A,FALSE,"MemberComp";"Def&amp;SSSHcomp",#N/A,FALSE,"DefComp";"Apportion (state)",#N/A,FALSE,"State"}</definedName>
    <definedName name="wrn.Compensation." hidden="1">{"WagesSum",#N/A,FALSE,"State";"MemberComp",#N/A,FALSE,"MemberComp";"Def&amp;SSSHcomp",#N/A,FALSE,"DefComp";"Apportion (state)",#N/A,FALSE,"State"}</definedName>
    <definedName name="wrn.Competition." localSheetId="2" hidden="1">{#N/A,#N/A,FALSE,"CompSummary";#N/A,#N/A,FALSE,"Comp1";#N/A,#N/A,FALSE,"Comp2";#N/A,#N/A,FALSE,"Comp3";#N/A,#N/A,FALSE,"Comp4";#N/A,#N/A,FALSE,"Comp5";#N/A,#N/A,FALSE,"Our Prop";#N/A,#N/A,FALSE,"Projection Sheet"}</definedName>
    <definedName name="wrn.Competition." hidden="1">{#N/A,#N/A,FALSE,"CompSummary";#N/A,#N/A,FALSE,"Comp1";#N/A,#N/A,FALSE,"Comp2";#N/A,#N/A,FALSE,"Comp3";#N/A,#N/A,FALSE,"Comp4";#N/A,#N/A,FALSE,"Comp5";#N/A,#N/A,FALSE,"Our Prop";#N/A,#N/A,FALSE,"Projection Sheet"}</definedName>
    <definedName name="wrn.Complete." localSheetId="2" hidden="1">{#N/A,#N/A,FALSE,"SMT1";#N/A,#N/A,FALSE,"SMT2";#N/A,#N/A,FALSE,"Summary";#N/A,#N/A,FALSE,"Graphs";#N/A,#N/A,FALSE,"4 Panel"}</definedName>
    <definedName name="wrn.Complete." hidden="1">{#N/A,#N/A,FALSE,"SMT1";#N/A,#N/A,FALSE,"SMT2";#N/A,#N/A,FALSE,"Summary";#N/A,#N/A,FALSE,"Graphs";#N/A,#N/A,FALSE,"4 Panel"}</definedName>
    <definedName name="wrn.Complete._.Set." localSheetId="2"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Set._D" localSheetId="2" hidden="1">{#N/A,#N/A,FALSE,"Full";#N/A,#N/A,FALSE,"Half";#N/A,#N/A,FALSE,"Op Expenses";#N/A,#N/A,FALSE,"Cap Charge";#N/A,#N/A,FALSE,"Cost C";#N/A,#N/A,FALSE,"PP&amp;E";#N/A,#N/A,FALSE,"R&amp;D"}</definedName>
    <definedName name="wrn.Complete._.Set._D" hidden="1">{#N/A,#N/A,FALSE,"Full";#N/A,#N/A,FALSE,"Half";#N/A,#N/A,FALSE,"Op Expenses";#N/A,#N/A,FALSE,"Cap Charge";#N/A,#N/A,FALSE,"Cost C";#N/A,#N/A,FALSE,"PP&amp;E";#N/A,#N/A,FALSE,"R&amp;D"}</definedName>
    <definedName name="wrn.Complete._D" localSheetId="2" hidden="1">{#N/A,#N/A,FALSE,"SMT1";#N/A,#N/A,FALSE,"SMT2";#N/A,#N/A,FALSE,"Summary";#N/A,#N/A,FALSE,"Graphs";#N/A,#N/A,FALSE,"4 Panel"}</definedName>
    <definedName name="wrn.Complete._D" hidden="1">{#N/A,#N/A,FALSE,"SMT1";#N/A,#N/A,FALSE,"SMT2";#N/A,#N/A,FALSE,"Summary";#N/A,#N/A,FALSE,"Graphs";#N/A,#N/A,FALSE,"4 Panel"}</definedName>
    <definedName name="wrn.CONDO." localSheetId="2" hidden="1">{#N/A,#N/A,FALSE,"SPCondo"}</definedName>
    <definedName name="wrn.CONDO." hidden="1">{#N/A,#N/A,FALSE,"SPCondo"}</definedName>
    <definedName name="wrn.ConsolGrossGrp." localSheetId="2" hidden="1">{"Conol gross povision grouped",#N/A,FALSE,"Consol Gross";"Consol Gross Grouped",#N/A,FALSE,"Consol Gross"}</definedName>
    <definedName name="wrn.ConsolGrossGrp." hidden="1">{"Conol gross povision grouped",#N/A,FALSE,"Consol Gross";"Consol Gross Grouped",#N/A,FALSE,"Consol Gross"}</definedName>
    <definedName name="wrn.CY_GL." hidden="1">{#N/A,#N/A,FALSE,"GLDwnLoad"}</definedName>
    <definedName name="wrn.CY_INPUTS." hidden="1">{#N/A,#N/A,FALSE,"OTHERINPUTS";#N/A,#N/A,FALSE,"DITRATEINPUTS";#N/A,#N/A,FALSE,"SUPPLIEDADJINPUT";#N/A,#N/A,FALSE,"TIMINGDIFFINPUTS";#N/A,#N/A,FALSE,"COSSINPUT";#N/A,#N/A,FALSE,"BR&amp;SUPADJ."}</definedName>
    <definedName name="wrn.CY_PROV." hidden="1">{#N/A,#N/A,FALSE,"TITLEPG";#N/A,#N/A,FALSE,"INDEX";#N/A,#N/A,FALSE,"PAGE7";#N/A,#N/A,FALSE,"COSS";#N/A,#N/A,FALSE,"Taxes FEED ";#N/A,#N/A,FALSE,"PRIOR MTH Taxes FD  ";#N/A,#N/A,FALSE,"FITCALC";#N/A,#N/A,FALSE,"CCBT";#N/A,#N/A,FALSE,"BKTAXINCOME";#N/A,#N/A,FALSE,"PERMDIFFEVENTS";#N/A,#N/A,FALSE,"TIMDIFFEVENTS";#N/A,#N/A,FALSE,"DEPREC";#N/A,#N/A,FALSE,"PERMDIFF";#N/A,#N/A,FALSE,"OPTIMDIFF";#N/A,#N/A,FALSE,"NONOPTIMDIFF";#N/A,#N/A,FALSE,"190CRMTH";#N/A,#N/A,FALSE,"190CRYTD";#N/A,#N/A,FALSE,"190PRYTD";#N/A,#N/A,FALSE,"282CRMTH";#N/A,#N/A,FALSE,"282CRYTD";#N/A,#N/A,FALSE,"282PRYTD";#N/A,#N/A,FALSE,"283CRMTH";#N/A,#N/A,FALSE,"283CRYTD";#N/A,#N/A,FALSE,"283PRYTD";#N/A,#N/A,FALSE,"DITSUM";#N/A,#N/A,FALSE,"CRYTDACREC";#N/A,#N/A,FALSE,"PRYTDACREC";#N/A,#N/A,FALSE,"SYSJRNL"}</definedName>
    <definedName name="wrn.CYFAS109." hidden="1">{#N/A,#N/A,FALSE,"FAS109 Summary";#N/A,#N/A,FALSE,"FAS109 OPER 190 ITC";#N/A,#N/A,FALSE,"FAS109 OPER 190 Other";#N/A,#N/A,FALSE,"FAS109 OPER 282";#N/A,#N/A,FALSE,"FAS109 OPER 283";#N/A,#N/A,FALSE,"FAS109 Non OPER 283 ";#N/A,#N/A,FALSE,"J.E.UPLOAD DATA"}</definedName>
    <definedName name="wrn.DATABASE." localSheetId="2" hidden="1">{"DBINPUT1",#N/A,FALSE,"Database";"DBINPUT2",#N/A,FALSE,"Database"}</definedName>
    <definedName name="wrn.DATABASE." hidden="1">{"DBINPUT1",#N/A,FALSE,"Database";"DBINPUT2",#N/A,FALSE,"Database"}</definedName>
    <definedName name="wrn.Dividers." localSheetId="2" hidden="1">{#N/A,#N/A,FALSE,"Dividers"}</definedName>
    <definedName name="wrn.Dividers." hidden="1">{#N/A,#N/A,FALSE,"Dividers"}</definedName>
    <definedName name="wrn.Entry._.Grids." localSheetId="2" hidden="1">{#N/A,#N/A,FALSE,"Services JE Grid";#N/A,#N/A,FALSE,"Emmes JE Grid";#N/A,#N/A,FALSE,"Capital JE Grid "}</definedName>
    <definedName name="wrn.Entry._.Grids." hidden="1">{#N/A,#N/A,FALSE,"Services JE Grid";#N/A,#N/A,FALSE,"Emmes JE Grid";#N/A,#N/A,FALSE,"Capital JE Grid "}</definedName>
    <definedName name="wrn.Equity." localSheetId="2" hidden="1">{"BookMem",#N/A,FALSE,"BookMemEquity";"TaxMem",#N/A,FALSE,"TaxMemEquity";"EqCalcs",#N/A,FALSE,"EQcalcs";"Distrib",#N/A,FALSE,"Distributions"}</definedName>
    <definedName name="wrn.Equity." hidden="1">{"BookMem",#N/A,FALSE,"BookMemEquity";"TaxMem",#N/A,FALSE,"TaxMemEquity";"EqCalcs",#N/A,FALSE,"EQcalcs";"Distrib",#N/A,FALSE,"Distributions"}</definedName>
    <definedName name="wrn.ESTADOS._.FINANCIEROS." localSheetId="2" hidden="1">{#N/A,#N/A,FALSE,"ACTIVO - hoja 1";#N/A,#N/A,FALSE,"ACTIVO - hoja 2";#N/A,#N/A,FALSE,"PASIVO - hoja 1";#N/A,#N/A,FALSE,"PASIVO - hoja 2";#N/A,#N/A,FALSE,"GASTOS - hoja 1 ";#N/A,#N/A,FALSE,"GASTOS - hoja 2";#N/A,#N/A,FALSE,"INGRESOS - hoja 1 ";#N/A,#N/A,FALSE,"INGRESOS - hoja 2"}</definedName>
    <definedName name="wrn.ESTADOS._.FINANCIEROS." hidden="1">{#N/A,#N/A,FALSE,"ACTIVO - hoja 1";#N/A,#N/A,FALSE,"ACTIVO - hoja 2";#N/A,#N/A,FALSE,"PASIVO - hoja 1";#N/A,#N/A,FALSE,"PASIVO - hoja 2";#N/A,#N/A,FALSE,"GASTOS - hoja 1 ";#N/A,#N/A,FALSE,"GASTOS - hoja 2";#N/A,#N/A,FALSE,"INGRESOS - hoja 1 ";#N/A,#N/A,FALSE,"INGRESOS - hoja 2"}</definedName>
    <definedName name="wrn.Exhibits." localSheetId="2" hidden="1">{#N/A,#N/A,FALSE,"EX I";#N/A,#N/A,FALSE,"EX II";#N/A,#N/A,FALSE,"EX IV";#N/A,#N/A,FALSE,"EX V";#N/A,#N/A,FALSE,"EX VI";#N/A,#N/A,FALSE,"EX VII";#N/A,#N/A,FALSE,"EX VIII";#N/A,#N/A,FALSE,"EX IX";#N/A,#N/A,FALSE,"EX X";#N/A,#N/A,FALSE,"EX XI"}</definedName>
    <definedName name="wrn.Exhibits." hidden="1">{#N/A,#N/A,FALSE,"EX I";#N/A,#N/A,FALSE,"EX II";#N/A,#N/A,FALSE,"EX IV";#N/A,#N/A,FALSE,"EX V";#N/A,#N/A,FALSE,"EX VI";#N/A,#N/A,FALSE,"EX VII";#N/A,#N/A,FALSE,"EX VIII";#N/A,#N/A,FALSE,"EX IX";#N/A,#N/A,FALSE,"EX X";#N/A,#N/A,FALSE,"EX XI"}</definedName>
    <definedName name="wrn.EXPENSE." localSheetId="2" hidden="1">{#N/A,#N/A,FALSE,"Common Area Accrual";#N/A,#N/A,FALSE,"Unit One LaSalle";#N/A,#N/A,FALSE,"Unit One CW";#N/A,#N/A,FALSE,"Unit One LaSallle + C &amp; W";#N/A,#N/A,FALSE,"Consolidated Accrual"}</definedName>
    <definedName name="wrn.EXPENSE." hidden="1">{#N/A,#N/A,FALSE,"Common Area Accrual";#N/A,#N/A,FALSE,"Unit One LaSalle";#N/A,#N/A,FALSE,"Unit One CW";#N/A,#N/A,FALSE,"Unit One LaSallle + C &amp; W";#N/A,#N/A,FALSE,"Consolidated Accrual"}</definedName>
    <definedName name="wrn.Expense._.Detail." localSheetId="2" hidden="1">{#N/A,#N/A,FALSE,"Common Area Accrual";#N/A,#N/A,FALSE,"Unit One LaSalle";#N/A,#N/A,FALSE,"Unit One CW";#N/A,#N/A,FALSE,"Unit One LaSalle + C &amp; W";#N/A,#N/A,FALSE,"Consolidated Accrual"}</definedName>
    <definedName name="wrn.Expense._.Detail." hidden="1">{#N/A,#N/A,FALSE,"Common Area Accrual";#N/A,#N/A,FALSE,"Unit One LaSalle";#N/A,#N/A,FALSE,"Unit One CW";#N/A,#N/A,FALSE,"Unit One LaSalle + C &amp; W";#N/A,#N/A,FALSE,"Consolidated Accrual"}</definedName>
    <definedName name="wrn.Factors._.Tab._.10." localSheetId="2" hidden="1">{"Factors Pages 1-2",#N/A,FALSE,"Factors";"Factors Page 3",#N/A,FALSE,"Factors";"Factors Page 4",#N/A,FALSE,"Factors";"Factors Page 5",#N/A,FALSE,"Factors";"Factors Pages 8-27",#N/A,FALSE,"Factors"}</definedName>
    <definedName name="wrn.Factors._.Tab._.10." hidden="1">{"Factors Pages 1-2",#N/A,FALSE,"Factors";"Factors Page 3",#N/A,FALSE,"Factors";"Factors Page 4",#N/A,FALSE,"Factors";"Factors Page 5",#N/A,FALSE,"Factors";"Factors Pages 8-27",#N/A,FALSE,"Factors"}</definedName>
    <definedName name="wrn.FASBResults." localSheetId="2" hidden="1">{#N/A,#N/A,FALSE,"Input";#N/A,#N/A,FALSE,"LastYearInput";#N/A,#N/A,FALSE,"NextYearData";#N/A,#N/A,FALSE,"NPPC";#N/A,#N/A,FALSE,"ReconPC";#N/A,#N/A,FALSE,"PSCAmort";#N/A,#N/A,FALSE,"FASBGL";#N/A,#N/A,FALSE,"FAS132";#N/A,#N/A,FALSE,"AML";#N/A,#N/A,FALSE,"FAS35"}</definedName>
    <definedName name="wrn.FASBResults." hidden="1">{#N/A,#N/A,FALSE,"Input";#N/A,#N/A,FALSE,"LastYearInput";#N/A,#N/A,FALSE,"NextYearData";#N/A,#N/A,FALSE,"NPPC";#N/A,#N/A,FALSE,"ReconPC";#N/A,#N/A,FALSE,"PSCAmort";#N/A,#N/A,FALSE,"FASBGL";#N/A,#N/A,FALSE,"FAS132";#N/A,#N/A,FALSE,"AML";#N/A,#N/A,FALSE,"FAS35"}</definedName>
    <definedName name="wrn.FCB." localSheetId="2" hidden="1">{"FCB_ALL",#N/A,FALSE,"FCB"}</definedName>
    <definedName name="wrn.FCB." hidden="1">{"FCB_ALL",#N/A,FALSE,"FCB"}</definedName>
    <definedName name="wrn.fcb2" localSheetId="2" hidden="1">{"FCB_ALL",#N/A,FALSE,"FCB"}</definedName>
    <definedName name="wrn.fcb2" hidden="1">{"FCB_ALL",#N/A,FALSE,"FCB"}</definedName>
    <definedName name="wrn.FCG." localSheetId="2"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inancial._.Model." localSheetId="2" hidden="1">{#N/A,#N/A,TRUE,"Input Sheet Model";#N/A,#N/A,TRUE,"Project Proforma Detail";#N/A,#N/A,TRUE,"Signoff Summary";#N/A,#N/A,TRUE,"Assumptions";#N/A,#N/A,TRUE,"Constr. Int. Inc.";#N/A,#N/A,TRUE,"Cashflow Projection"}</definedName>
    <definedName name="wrn.Financial._.Model." hidden="1">{#N/A,#N/A,TRUE,"Input Sheet Model";#N/A,#N/A,TRUE,"Project Proforma Detail";#N/A,#N/A,TRUE,"Signoff Summary";#N/A,#N/A,TRUE,"Assumptions";#N/A,#N/A,TRUE,"Constr. Int. Inc.";#N/A,#N/A,TRUE,"Cashflow Projection"}</definedName>
    <definedName name="wrn.FORECAST._.ONLY." localSheetId="2"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CAST._.ONLY."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ESTPARK." localSheetId="2" hidden="1">{#N/A,#N/A,FALSE,"ForestPark"}</definedName>
    <definedName name="wrn.FORESTPARK." hidden="1">{#N/A,#N/A,FALSE,"ForestPark"}</definedName>
    <definedName name="wrn.Full._.Budget." localSheetId="2" hidden="1">{#N/A,#N/A,FALSE,"Sum";#N/A,#N/A,FALSE,"HC";#N/A,#N/A,FALSE,"Soft";#N/A,#N/A,FALSE,"FF&amp;E";#N/A,#N/A,FALSE,"Other PC";#N/A,#N/A,FALSE,"Fac";#N/A,#N/A,FALSE,"bud var"}</definedName>
    <definedName name="wrn.Full._.Budget." hidden="1">{#N/A,#N/A,FALSE,"Sum";#N/A,#N/A,FALSE,"HC";#N/A,#N/A,FALSE,"Soft";#N/A,#N/A,FALSE,"FF&amp;E";#N/A,#N/A,FALSE,"Other PC";#N/A,#N/A,FALSE,"Fac";#N/A,#N/A,FALSE,"bud var"}</definedName>
    <definedName name="wrn.Full._.Pack." localSheetId="2" hidden="1">{#N/A,#N/A,FALSE,"Summary";#N/A,#N/A,FALSE,"Assumptions";#N/A,#N/A,FALSE,"Scenarios";#N/A,#N/A,FALSE,"LBE (Base)";#N/A,#N/A,FALSE,"Scen A";#N/A,#N/A,FALSE,"Scen B";"Debt Paydown Scenario",#N/A,FALSE,"Cash in Bank";#N/A,#N/A,FALSE,"Debt&amp;Equity Rec"}</definedName>
    <definedName name="wrn.Full._.Pack." hidden="1">{#N/A,#N/A,FALSE,"Summary";#N/A,#N/A,FALSE,"Assumptions";#N/A,#N/A,FALSE,"Scenarios";#N/A,#N/A,FALSE,"LBE (Base)";#N/A,#N/A,FALSE,"Scen A";#N/A,#N/A,FALSE,"Scen B";"Debt Paydown Scenario",#N/A,FALSE,"Cash in Bank";#N/A,#N/A,FALSE,"Debt&amp;Equity Rec"}</definedName>
    <definedName name="wrn.Full._.package." localSheetId="2" hidden="1">{#N/A,#N/A,FALSE,"Emmes Summary";#N/A,#N/A,FALSE,"Services Summary";#N/A,#N/A,FALSE,"Emmes All";#N/A,#N/A,FALSE,"Master Services";#N/A,#N/A,FALSE,"Emmes &amp; Co";#N/A,#N/A,FALSE,"Emmes JE Grid";#N/A,#N/A,FALSE,"Emmes  Entries";#N/A,#N/A,FALSE,"Emmes Services";#N/A,#N/A,FALSE,"Services JE Grid";#N/A,#N/A,FALSE,"Services Entries";#N/A,#N/A,FALSE,"Emmes Capital";#N/A,#N/A,FALSE,"Capital JE Grid ";#N/A,#N/A,FALSE,"Capital  Entries";#N/A,#N/A,FALSE,"Emmes Invest in LLC"}</definedName>
    <definedName name="wrn.Full._.package." hidden="1">{#N/A,#N/A,FALSE,"Emmes Summary";#N/A,#N/A,FALSE,"Services Summary";#N/A,#N/A,FALSE,"Emmes All";#N/A,#N/A,FALSE,"Master Services";#N/A,#N/A,FALSE,"Emmes &amp; Co";#N/A,#N/A,FALSE,"Emmes JE Grid";#N/A,#N/A,FALSE,"Emmes  Entries";#N/A,#N/A,FALSE,"Emmes Services";#N/A,#N/A,FALSE,"Services JE Grid";#N/A,#N/A,FALSE,"Services Entries";#N/A,#N/A,FALSE,"Emmes Capital";#N/A,#N/A,FALSE,"Capital JE Grid ";#N/A,#N/A,FALSE,"Capital  Entries";#N/A,#N/A,FALSE,"Emmes Invest in LLC"}</definedName>
    <definedName name="wrn.Full._.View." localSheetId="2" hidden="1">{"FullView",#N/A,FALSE,"Consltd-For contngcy"}</definedName>
    <definedName name="wrn.Full._.View." hidden="1">{"FullView",#N/A,FALSE,"Consltd-For contngcy"}</definedName>
    <definedName name="wrn.Full_Template." localSheetId="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ndingResults." localSheetId="2"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hidden="1">{#N/A,#N/A,FALSE,"Input";#N/A,#N/A,FALSE,"LastYearInput";#N/A,#N/A,FALSE,"NextYearData";#N/A,#N/A,FALSE,"Summary";#N/A,#N/A,FALSE,"Quart";#N/A,#N/A,FALSE,"UAL";#N/A,#N/A,FALSE,"AVA";#N/A,#N/A,FALSE,"CL";#N/A,#N/A,FALSE,"CBal";#N/A,#N/A,FALSE,"Min";#N/A,#N/A,FALSE,"AFC";#N/A,#N/A,FALSE,"FFL";#N/A,#N/A,FALSE,"Max";#N/A,#N/A,FALSE,"MinAmort";#N/A,#N/A,FALSE,"Exp";#N/A,#N/A,FALSE,"AssetRet"}</definedName>
    <definedName name="wrn.GraphResults." localSheetId="2" hidden="1">{#N/A,#N/A,FALSE,"GraphInput";#N/A,#N/A,FALSE,"Grph_Contrib";#N/A,#N/A,FALSE,"Grph_Fund";#N/A,#N/A,FALSE,"Grph_FAS87";#N/A,#N/A,FALSE,"Grph_FAS35";#N/A,#N/A,FALSE,"Grph_PI";#N/A,#N/A,FALSE,"Grph_Asset";#N/A,#N/A,FALSE,"Grph_Invest"}</definedName>
    <definedName name="wrn.GraphResults." hidden="1">{#N/A,#N/A,FALSE,"GraphInput";#N/A,#N/A,FALSE,"Grph_Contrib";#N/A,#N/A,FALSE,"Grph_Fund";#N/A,#N/A,FALSE,"Grph_FAS87";#N/A,#N/A,FALSE,"Grph_FAS35";#N/A,#N/A,FALSE,"Grph_PI";#N/A,#N/A,FALSE,"Grph_Asset";#N/A,#N/A,FALSE,"Grph_Invest"}</definedName>
    <definedName name="wrn.gunsmoke." localSheetId="2" hidden="1">{#N/A,#N/A,TRUE,"SAFEWAY- 030125";#N/A,#N/A,TRUE,"FRED MEYER #260543 (2)";#N/A,#N/A,TRUE,"FOOD-4-LESS- 350001"}</definedName>
    <definedName name="wrn.gunsmoke." hidden="1">{#N/A,#N/A,TRUE,"SAFEWAY- 030125";#N/A,#N/A,TRUE,"FRED MEYER #260543 (2)";#N/A,#N/A,TRUE,"FOOD-4-LESS- 350001"}</definedName>
    <definedName name="wrn.HWP_GL." hidden="1">{#N/A,#N/A,FALSE,"GLDwnLoad"}</definedName>
    <definedName name="wrn.HWP_INPUTS." hidden="1">{#N/A,#N/A,FALSE,"OTHERINPUTS";#N/A,#N/A,FALSE,"SUPPLIEDADJINPUT";#N/A,#N/A,FALSE,"BR&amp;SUPADJ."}</definedName>
    <definedName name="wrn.HWP_PROV." hidden="1">{#N/A,#N/A,FALSE,"Title Page";#N/A,#N/A,FALSE,"INDEX";#N/A,#N/A,FALSE,"BKTAXINCOME";#N/A,#N/A,FALSE,"INTERESTALLOC";#N/A,#N/A,FALSE,"FITCALC";#N/A,#N/A,FALSE,"CCBT";#N/A,#N/A,FALSE,"MET";#N/A,#N/A,FALSE,"PERMDIFFEVENTS";#N/A,#N/A,FALSE,"TIMDIFFEVENTS";#N/A,#N/A,FALSE,"DEPREC";#N/A,#N/A,FALSE,"PERMDIFF";#N/A,#N/A,FALSE,"OPTIMDIFF";#N/A,#N/A,FALSE,"NONOPTIMDIFF";#N/A,#N/A,FALSE,"190CRQTR";#N/A,#N/A,FALSE,"190CRYTD";#N/A,#N/A,FALSE,"190PRYTD";#N/A,#N/A,FALSE,"282CRQTR";#N/A,#N/A,FALSE,"282CRYTD";#N/A,#N/A,FALSE,"282PRYTD";#N/A,#N/A,FALSE,"283CRQTR";#N/A,#N/A,FALSE,"283CRYTD";#N/A,#N/A,FALSE,"283PRYTD";#N/A,#N/A,FALSE,"DITSUM";#N/A,#N/A,FALSE,"CRYTDACREC";#N/A,#N/A,FALSE,"PRYTDACREC";#N/A,#N/A,FALSE,"SYSJRNL"}</definedName>
    <definedName name="wrn.Inc._.Stm._.Bud._.vs._.Act." localSheetId="2" hidden="1">{#N/A,#N/A,FALSE,"Bud Vs Act"}</definedName>
    <definedName name="wrn.Inc._.Stm._.Bud._.vs._.Act." hidden="1">{#N/A,#N/A,FALSE,"Bud Vs Act"}</definedName>
    <definedName name="wrn.Income._.Statements." localSheetId="2" hidden="1">{#N/A,#N/A,FALSE,"Income Stmt"}</definedName>
    <definedName name="wrn.Income._.Statements." hidden="1">{#N/A,#N/A,FALSE,"Income Stmt"}</definedName>
    <definedName name="wrn.Incr.._.CF._.Statement." localSheetId="2" hidden="1">{"IncrCashPrintArea",#N/A,FALSE,"Incr_CF"}</definedName>
    <definedName name="wrn.Incr.._.CF._.Statement." hidden="1">{"IncrCashPrintArea",#N/A,FALSE,"Incr_CF"}</definedName>
    <definedName name="wrn.Incr.._.Profitability._.Indicators." localSheetId="2" hidden="1">{"IncrProfPrintArea",#N/A,FALSE,"Incr_Prof"}</definedName>
    <definedName name="wrn.Incr.._.Profitability._.Indicators." hidden="1">{"IncrProfPrintArea",#N/A,FALSE,"Incr_Prof"}</definedName>
    <definedName name="wrn.INPUT._.INFO." localSheetId="2" hidden="1">{"Input",#N/A,FALSE,"INPUT"}</definedName>
    <definedName name="wrn.INPUT._.INFO." hidden="1">{"Input",#N/A,FALSE,"INPUT"}</definedName>
    <definedName name="wrn.IP._.STOCK._.REPORT." localSheetId="2" hidden="1">{#N/A,#N/A,FALSE,"IPCOVER";#N/A,#N/A,FALSE,"STATEMENT";#N/A,#N/A,FALSE,"MARGIN";#N/A,#N/A,FALSE,"GNS &amp; LSS";#N/A,#N/A,FALSE,"IPREALGL";#N/A,#N/A,FALSE,"SHRTACCT"}</definedName>
    <definedName name="wrn.IP._.STOCK._.REPORT." hidden="1">{#N/A,#N/A,FALSE,"IPCOVER";#N/A,#N/A,FALSE,"STATEMENT";#N/A,#N/A,FALSE,"MARGIN";#N/A,#N/A,FALSE,"GNS &amp; LSS";#N/A,#N/A,FALSE,"IPREALGL";#N/A,#N/A,FALSE,"SHRTACCT"}</definedName>
    <definedName name="wrn.IRR." localSheetId="2" hidden="1">{"IRR Benefits",#N/A,FALSE,"IRR";"Tax Credits",#N/A,FALSE,"IRR"}</definedName>
    <definedName name="wrn.IRR." hidden="1">{"IRR Benefits",#N/A,FALSE,"IRR";"Tax Credits",#N/A,FALSE,"IRR"}</definedName>
    <definedName name="wrn.IRR._.CORP._.7." localSheetId="2" hidden="1">{"IRR",#N/A,FALSE,"Corp 7 IRR";"Input",#N/A,FALSE,"Corp 7 IRR"}</definedName>
    <definedName name="wrn.IRR._.CORP._.7." hidden="1">{"IRR",#N/A,FALSE,"Corp 7 IRR";"Input",#N/A,FALSE,"Corp 7 IRR"}</definedName>
    <definedName name="wrn.k1._.attachment." localSheetId="2" hidden="1">{"Christian",#N/A,FALSE,"K1 TAX";"evan",#N/A,FALSE,"K1 TAX";"Gail",#N/A,FALSE,"K1 TAX";"Gretchen",#N/A,FALSE,"K1 TAX";"Gun",#N/A,FALSE,"K1 TAX";"master k1",#N/A,FALSE,"K1 TAX";"Michael",#N/A,FALSE,"K1 TAX";"philip",#N/A,FALSE,"K1 TAX";"steve",#N/A,FALSE,"K1 TAX";"Thomas",#N/A,FALSE,"K1 TAX"}</definedName>
    <definedName name="wrn.k1._.attachment." hidden="1">{"Christian",#N/A,FALSE,"K1 TAX";"evan",#N/A,FALSE,"K1 TAX";"Gail",#N/A,FALSE,"K1 TAX";"Gretchen",#N/A,FALSE,"K1 TAX";"Gun",#N/A,FALSE,"K1 TAX";"master k1",#N/A,FALSE,"K1 TAX";"Michael",#N/A,FALSE,"K1 TAX";"philip",#N/A,FALSE,"K1 TAX";"steve",#N/A,FALSE,"K1 TAX";"Thomas",#N/A,FALSE,"K1 TAX"}</definedName>
    <definedName name="wrn.MAIN._.PAGE._.1." localSheetId="2" hidden="1">{#N/A,#N/A,FALSE,"MAIN";#N/A,#N/A,FALSE,"MAIN"}</definedName>
    <definedName name="wrn.MAIN._.PAGE._.1." hidden="1">{#N/A,#N/A,FALSE,"MAIN";#N/A,#N/A,FALSE,"MAIN"}</definedName>
    <definedName name="wrn.Manning._.Tables." localSheetId="2" hidden="1">{"Summary Manning Table by Quarter",#N/A,TRUE,"MANTBL";"Summary Payroll Cost by Month",#N/A,TRUE,"MANTBL";"Hourly Payroll - Overtime Breakdown",#N/A,TRUE,"MANTBL";"Detailed Manning Table by Quarter",#N/A,TRUE,"MANTBL"}</definedName>
    <definedName name="wrn.Manning._.Tables." hidden="1">{"Summary Manning Table by Quarter",#N/A,TRUE,"MANTBL";"Summary Payroll Cost by Month",#N/A,TRUE,"MANTBL";"Hourly Payroll - Overtime Breakdown",#N/A,TRUE,"MANTBL";"Detailed Manning Table by Quarter",#N/A,TRUE,"MANTBL"}</definedName>
    <definedName name="wrn.marginal._.summary." hidden="1">{#N/A,#N/A,FALSE,"SHEET1 A";"marginal summary",#N/A,FALSE,"SHEET1 A";#N/A,#N/A,FALSE,"SHEET1 A";#N/A,#N/A,FALSE,"SHEET1 A";#N/A,#N/A,FALSE,"SHEET1 A"}</definedName>
    <definedName name="wrn.marginal._.summary._1" hidden="1">{#N/A,#N/A,FALSE,"SHEET1 A";"marginal summary",#N/A,FALSE,"SHEET1 A";#N/A,#N/A,FALSE,"SHEET1 A";#N/A,#N/A,FALSE,"SHEET1 A";#N/A,#N/A,FALSE,"SHEET1 A"}</definedName>
    <definedName name="wrn.MARGINALS." hidden="1">{#N/A,#N/A,FALSE,"Sheet1";#N/A,#N/A,FALSE,"Sheet1"}</definedName>
    <definedName name="wrn.MARGINALS._.2." hidden="1">{#N/A,#N/A,FALSE,"Sheet1";#N/A,#N/A,FALSE,"Sheet1"}</definedName>
    <definedName name="wrn.MARGINALS._.2._1" hidden="1">{#N/A,#N/A,FALSE,"Sheet1";#N/A,#N/A,FALSE,"Sheet1"}</definedName>
    <definedName name="wrn.MARGINALS._.OFFPEAK." hidden="1">{#N/A,#N/A,FALSE,"Sheet1";#N/A,#N/A,FALSE,"Sheet1"}</definedName>
    <definedName name="wrn.MARGINALS._.OFFPEAK._1" hidden="1">{#N/A,#N/A,FALSE,"Sheet1";#N/A,#N/A,FALSE,"Sheet1"}</definedName>
    <definedName name="wrn.MARGINALS._1" hidden="1">{#N/A,#N/A,FALSE,"Sheet1";#N/A,#N/A,FALSE,"Sheet1"}</definedName>
    <definedName name="wrn.MARGINS." hidden="1">{#N/A,#N/A,FALSE,"SHEET1 A";#N/A,#N/A,FALSE,"SHEET1 A";#N/A,#N/A,FALSE,"SHEET1 A";#N/A,#N/A,FALSE,"SHEET1 A"}</definedName>
    <definedName name="wrn.MARGINS._1" hidden="1">{#N/A,#N/A,FALSE,"SHEET1 A";#N/A,#N/A,FALSE,"SHEET1 A";#N/A,#N/A,FALSE,"SHEET1 A";#N/A,#N/A,FALSE,"SHEET1 A"}</definedName>
    <definedName name="wrn.MiniSum." localSheetId="2" hidden="1">{#N/A,#N/A,TRUE,"Facility-Input";#N/A,#N/A,TRUE,"Graphs";#N/A,#N/A,TRUE,"TOTAL"}</definedName>
    <definedName name="wrn.MiniSum." hidden="1">{#N/A,#N/A,TRUE,"Facility-Input";#N/A,#N/A,TRUE,"Graphs";#N/A,#N/A,TRUE,"TOTAL"}</definedName>
    <definedName name="wrn.MONTHLY._.OVERVIEW." localSheetId="2" hidden="1">{#N/A,#N/A,TRUE,"PHONE"}</definedName>
    <definedName name="wrn.MONTHLY._.OVERVIEW." hidden="1">{#N/A,#N/A,TRUE,"PHONE"}</definedName>
    <definedName name="wrn.NGS_GL." hidden="1">{#N/A,#N/A,FALSE,"GLDwnLoad"}</definedName>
    <definedName name="wrn.NGS_INPUTS." hidden="1">{#N/A,#N/A,FALSE,"OTHERINPUTS";#N/A,#N/A,FALSE,"SUPPLIEDADJINPUT";#N/A,#N/A,FALSE,"BR&amp;SUPADJ."}</definedName>
    <definedName name="wrn.NGS_PROV." hidden="1">{#N/A,#N/A,FALSE,"TITLEPG";#N/A,#N/A,FALSE,"INDEX";#N/A,#N/A,FALSE,"BKTAXINCOME";#N/A,#N/A,FALSE,"INTERESTALLOC";#N/A,#N/A,FALSE,"FITCALC";#N/A,#N/A,FALSE,"CCBT";#N/A,#N/A,FALSE,"MET";#N/A,#N/A,FALSE,"PERMDIFFEVENTS";#N/A,#N/A,FALSE,"TIMDIFFEVENTS";#N/A,#N/A,FALSE,"DEPREC";#N/A,#N/A,FALSE,"PERMDIFF";#N/A,#N/A,FALSE,"OPTIMDIFF";#N/A,#N/A,FALSE,"NONOPTIMDIFF";#N/A,#N/A,FALSE,"190CRQTR";#N/A,#N/A,FALSE,"190CRYTD";#N/A,#N/A,FALSE,"190PRYTD";#N/A,#N/A,FALSE,"282CRQTR";#N/A,#N/A,FALSE,"282CRYTD";#N/A,#N/A,FALSE,"282PRYTD";#N/A,#N/A,FALSE,"283CRQTR";#N/A,#N/A,FALSE,"283CRYTD";#N/A,#N/A,FALSE,"283PRYTD";#N/A,#N/A,FALSE,"DITSUM";#N/A,#N/A,FALSE,"CRYTDACREC";#N/A,#N/A,FALSE,"PRYTDACREC";#N/A,#N/A,FALSE,"SYSJRNL"}</definedName>
    <definedName name="wrn.NH._.Pilot._.Customer._.Profiles." hidden="1">{#N/A,#N/A,TRUE,"Rate P&amp;L";#N/A,#N/A,TRUE,"P&amp;L water";#N/A,#N/A,TRUE,"P&amp;L SH&amp;W";#N/A,#N/A,TRUE,"Rate G";#N/A,#N/A,TRUE,"Rate GV";#N/A,#N/A,TRUE,"Rate LG"}</definedName>
    <definedName name="wrn.NH._.Pilot._.Customer._.Profiles._1" hidden="1">{#N/A,#N/A,TRUE,"Rate P&amp;L";#N/A,#N/A,TRUE,"P&amp;L water";#N/A,#N/A,TRUE,"P&amp;L SH&amp;W";#N/A,#N/A,TRUE,"Rate G";#N/A,#N/A,TRUE,"Rate GV";#N/A,#N/A,TRUE,"Rate LG"}</definedName>
    <definedName name="wrn.NoAptRR." localSheetId="2" hidden="1">{#N/A,#N/A,FALSE,"AptStabYr";#N/A,#N/A,FALSE,"Hard Costs";#N/A,#N/A,FALSE,"Project Costs ";#N/A,#N/A,FALSE,"Draw M1-18";#N/A,#N/A,FALSE,"LeaseUpHotel";#N/A,#N/A,FALSE,"Apt10YrCF";#N/A,#N/A,FALSE,"Hotel CF";#N/A,#N/A,FALSE,"LeaseUpApt"}</definedName>
    <definedName name="wrn.NoAptRR." hidden="1">{#N/A,#N/A,FALSE,"AptStabYr";#N/A,#N/A,FALSE,"Hard Costs";#N/A,#N/A,FALSE,"Project Costs ";#N/A,#N/A,FALSE,"Draw M1-18";#N/A,#N/A,FALSE,"LeaseUpHotel";#N/A,#N/A,FALSE,"Apt10YrCF";#N/A,#N/A,FALSE,"Hotel CF";#N/A,#N/A,FALSE,"LeaseUpApt"}</definedName>
    <definedName name="wrn.Northstar." localSheetId="2" hidden="1">{#N/A,#N/A,FALSE,"Services Summary";#N/A,#N/A,FALSE,"Emmes Summary";#N/A,#N/A,FALSE,"Northstar"}</definedName>
    <definedName name="wrn.Northstar." hidden="1">{#N/A,#N/A,FALSE,"Services Summary";#N/A,#N/A,FALSE,"Emmes Summary";#N/A,#N/A,FALSE,"Northstar"}</definedName>
    <definedName name="wrn.NT_T._.Manpower._.by._.Department." hidden="1">{"NT&amp;T TSM",#N/A,FALSE,"Current_Data";"NT&amp;T TRA",#N/A,FALSE,"Current_Data";"NT&amp;T SOP",#N/A,FALSE,"Current_Data";"NT&amp;T REG",#N/A,FALSE,"Current_Data";"NT&amp;T FIN",#N/A,FALSE,"Current_Data";"NT&amp;T Dir",#N/A,FALSE,"Current_Data";"NT&amp;T Asset Strategy",#N/A,FALSE,"Current_Data";"NT&amp;T Asset",#N/A,FALSE,"Current_Data"}</definedName>
    <definedName name="wrn.OFFICE._.BUDGET." localSheetId="2" hidden="1">{#N/A,#N/A,FALSE,"LP Exp";#N/A,#N/A,FALSE,"Salary";#N/A,#N/A,FALSE,"Admin Exp";#N/A,#N/A,FALSE,"QTS Bud";#N/A,#N/A,FALSE,"Marketing"}</definedName>
    <definedName name="wrn.OFFICE._.BUDGET." hidden="1">{#N/A,#N/A,FALSE,"LP Exp";#N/A,#N/A,FALSE,"Salary";#N/A,#N/A,FALSE,"Admin Exp";#N/A,#N/A,FALSE,"QTS Bud";#N/A,#N/A,FALSE,"Marketing"}</definedName>
    <definedName name="wrn.Open._.Issues._.Only." localSheetId="2" hidden="1">{"Open issues Only",#N/A,FALSE,"TIMELINE"}</definedName>
    <definedName name="wrn.Open._.Issues._.Only." hidden="1">{"Open issues Only",#N/A,FALSE,"TIMELINE"}</definedName>
    <definedName name="wrn.OR._.Carrying._.Charge._.JV." localSheetId="2" hidden="1">{#N/A,#N/A,FALSE,"Loans";#N/A,#N/A,FALSE,"Program Costs";#N/A,#N/A,FALSE,"Measures";#N/A,#N/A,FALSE,"Net Lost Rev";#N/A,#N/A,FALSE,"Incentive"}</definedName>
    <definedName name="wrn.OR._.Carrying._.Charge._.JV." hidden="1">{#N/A,#N/A,FALSE,"Loans";#N/A,#N/A,FALSE,"Program Costs";#N/A,#N/A,FALSE,"Measures";#N/A,#N/A,FALSE,"Net Lost Rev";#N/A,#N/A,FALSE,"Incentive"}</definedName>
    <definedName name="wrn.OR._.Carrying._.Charge._.JV.1" localSheetId="2" hidden="1">{#N/A,#N/A,FALSE,"Loans";#N/A,#N/A,FALSE,"Program Costs";#N/A,#N/A,FALSE,"Measures";#N/A,#N/A,FALSE,"Net Lost Rev";#N/A,#N/A,FALSE,"Incentive"}</definedName>
    <definedName name="wrn.OR._.Carrying._.Charge._.JV.1" hidden="1">{#N/A,#N/A,FALSE,"Loans";#N/A,#N/A,FALSE,"Program Costs";#N/A,#N/A,FALSE,"Measures";#N/A,#N/A,FALSE,"Net Lost Rev";#N/A,#N/A,FALSE,"Incentive"}</definedName>
    <definedName name="wrn.PACKAGE." localSheetId="2" hidden="1">{#N/A,#N/A,TRUE,"COVER";#N/A,#N/A,TRUE,"PROFORMA";#N/A,#N/A,TRUE,"Construction CF";#N/A,#N/A,TRUE,"CASHFLOW"}</definedName>
    <definedName name="wrn.PACKAGE." hidden="1">{#N/A,#N/A,TRUE,"COVER";#N/A,#N/A,TRUE,"PROFORMA";#N/A,#N/A,TRUE,"Construction CF";#N/A,#N/A,TRUE,"CASHFLOW"}</definedName>
    <definedName name="wrn.pages." localSheetId="2" hidden="1">{#N/A,#N/A,FALSE,"Bgt";#N/A,#N/A,FALSE,"Act";#N/A,#N/A,FALSE,"Chrt Data";#N/A,#N/A,FALSE,"Bus Result";#N/A,#N/A,FALSE,"Main Charts";#N/A,#N/A,FALSE,"P&amp;L Ttl";#N/A,#N/A,FALSE,"P&amp;L C_Ttl";#N/A,#N/A,FALSE,"P&amp;L C_Oct";#N/A,#N/A,FALSE,"P&amp;L C_Sep";#N/A,#N/A,FALSE,"1996";#N/A,#N/A,FALSE,"Data"}</definedName>
    <definedName name="wrn.pages." hidden="1">{#N/A,#N/A,FALSE,"Bgt";#N/A,#N/A,FALSE,"Act";#N/A,#N/A,FALSE,"Chrt Data";#N/A,#N/A,FALSE,"Bus Result";#N/A,#N/A,FALSE,"Main Charts";#N/A,#N/A,FALSE,"P&amp;L Ttl";#N/A,#N/A,FALSE,"P&amp;L C_Ttl";#N/A,#N/A,FALSE,"P&amp;L C_Oct";#N/A,#N/A,FALSE,"P&amp;L C_Sep";#N/A,#N/A,FALSE,"1996";#N/A,#N/A,FALSE,"Data"}</definedName>
    <definedName name="wrn.pages12." localSheetId="2" hidden="1">{"page1",#N/A,FALSE,"The Sheet!!";"page2",#N/A,FALSE,"The Sheet!!"}</definedName>
    <definedName name="wrn.pages12." hidden="1">{"page1",#N/A,FALSE,"The Sheet!!";"page2",#N/A,FALSE,"The Sheet!!"}</definedName>
    <definedName name="wrn.Payment._.View." localSheetId="2" hidden="1">{#N/A,#N/A,FALSE,"Consltd-For contngcy";"PaymentView",#N/A,FALSE,"Consltd-For contngcy"}</definedName>
    <definedName name="wrn.Payment._.View." hidden="1">{#N/A,#N/A,FALSE,"Consltd-For contngcy";"PaymentView",#N/A,FALSE,"Consltd-For contngcy"}</definedName>
    <definedName name="wrn.PFSreconview." localSheetId="2" hidden="1">{"PFS recon view",#N/A,FALSE,"Hyperion Proof"}</definedName>
    <definedName name="wrn.PFSreconview." hidden="1">{"PFS recon view",#N/A,FALSE,"Hyperion Proof"}</definedName>
    <definedName name="wrn.PGHCreconview." localSheetId="2" hidden="1">{"PGHC recon view",#N/A,FALSE,"Hyperion Proof"}</definedName>
    <definedName name="wrn.PGHCreconview." hidden="1">{"PGHC recon view",#N/A,FALSE,"Hyperion Proof"}</definedName>
    <definedName name="wrn.PK._.Variance." localSheetId="2" hidden="1">{#N/A,#N/A,FALSE,"399 Park Var";#N/A,#N/A,FALSE,"PK NOTES"}</definedName>
    <definedName name="wrn.PK._.Variance." hidden="1">{#N/A,#N/A,FALSE,"399 Park Var";#N/A,#N/A,FALSE,"PK NOTES"}</definedName>
    <definedName name="wrn.Plan." localSheetId="2" hidden="1">{#N/A,#N/A,FALSE,"Highridge Return Analysis";#N/A,#N/A,FALSE,"Sale @ end of year 3 (4yr Plan)";#N/A,#N/A,FALSE,"Highridge Assumption Page"}</definedName>
    <definedName name="wrn.Plan." hidden="1">{#N/A,#N/A,FALSE,"Highridge Return Analysis";#N/A,#N/A,FALSE,"Sale @ end of year 3 (4yr Plan)";#N/A,#N/A,FALSE,"Highridge Assumption Page"}</definedName>
    <definedName name="wrn.PPM_GM_PPA." localSheetId="2" hidden="1">{"Assumptions",#N/A,FALSE,"Assumptions";"Sum",#N/A,FALSE,"Summary";"Notes",#N/A,FALSE,"Notes";"Inputs",#N/A,FALSE,"Inputs";"Other Inputs",#N/A,FALSE,"Inputs";"RD",#N/A,FALSE,"RD";"Revenue Detail",#N/A,FALSE,"Revenue";"Expense Detail",#N/A,FALSE,"Expense";"Tax Detail",#N/A,FALSE,"Tax";"FinSt",#N/A,FALSE,"Financials"}</definedName>
    <definedName name="wrn.PPM_GM_PPA." hidden="1">{"Assumptions",#N/A,FALSE,"Assumptions";"Sum",#N/A,FALSE,"Summary";"Notes",#N/A,FALSE,"Notes";"Inputs",#N/A,FALSE,"Inputs";"Other Inputs",#N/A,FALSE,"Inputs";"RD",#N/A,FALSE,"RD";"Revenue Detail",#N/A,FALSE,"Revenue";"Expense Detail",#N/A,FALSE,"Expense";"Tax Detail",#N/A,FALSE,"Tax";"FinSt",#N/A,FALSE,"Financials"}</definedName>
    <definedName name="wrn.PPMCoCodeView." localSheetId="2" hidden="1">{"PPM Co Code View",#N/A,FALSE,"Comp Codes"}</definedName>
    <definedName name="wrn.PPMCoCodeView." hidden="1">{"PPM Co Code View",#N/A,FALSE,"Comp Codes"}</definedName>
    <definedName name="wrn.PPMreconview." localSheetId="2" hidden="1">{"PPM Recon View",#N/A,FALSE,"Hyperion Proof"}</definedName>
    <definedName name="wrn.PPMreconview." hidden="1">{"PPM Recon View",#N/A,FALSE,"Hyperion Proof"}</definedName>
    <definedName name="wrn.Print." localSheetId="2" hidden="1">{#N/A,#N/A,TRUE,"Inputs";#N/A,#N/A,TRUE,"Cashflow Statement";#N/A,#N/A,TRUE,"Summary";#N/A,#N/A,TRUE,"Construction";#N/A,#N/A,TRUE,"RevAss";#N/A,#N/A,TRUE,"Debt";#N/A,#N/A,TRUE,"Inc";#N/A,#N/A,TRUE,"Depr"}</definedName>
    <definedName name="wrn.Print." hidden="1">{#N/A,#N/A,TRUE,"Inputs";#N/A,#N/A,TRUE,"Cashflow Statement";#N/A,#N/A,TRUE,"Summary";#N/A,#N/A,TRUE,"Construction";#N/A,#N/A,TRUE,"RevAss";#N/A,#N/A,TRUE,"Debt";#N/A,#N/A,TRUE,"Inc";#N/A,#N/A,TRUE,"Depr"}</definedName>
    <definedName name="wrn.PRINT._.ALL." localSheetId="2" hidden="1">{#N/A,#N/A,FALSE,"Expense Detail ";#N/A,#N/A,FALSE,"Worksheet";#N/A,#N/A,FALSE,"Audit";#N/A,#N/A,FALSE,"Exclusions";#N/A,#N/A,FALSE,"Variance";#N/A,#N/A,FALSE,"Reconciliation"}</definedName>
    <definedName name="wrn.PRINT._.ALL." hidden="1">{#N/A,#N/A,FALSE,"Expense Detail ";#N/A,#N/A,FALSE,"Worksheet";#N/A,#N/A,FALSE,"Audit";#N/A,#N/A,FALSE,"Exclusions";#N/A,#N/A,FALSE,"Variance";#N/A,#N/A,FALSE,"Reconciliation"}</definedName>
    <definedName name="wrn.Print._.Full._.Format." localSheetId="2" hidden="1">{#N/A,#N/A,FALSE,"Assumptions";"Model",#N/A,FALSE,"MDU";#N/A,#N/A,FALSE,"Notes"}</definedName>
    <definedName name="wrn.Print._.Full._.Format." hidden="1">{#N/A,#N/A,FALSE,"Assumptions";"Model",#N/A,FALSE,"MDU";#N/A,#N/A,FALSE,"Notes"}</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2" hidden="1">{"inputs raw data",#N/A,TRUE,"INPUT"}</definedName>
    <definedName name="wrn.print._.raw._.data._.entry." hidden="1">{"inputs raw data",#N/A,TRUE,"INPUT"}</definedName>
    <definedName name="wrn.print._.summary._.sheets." localSheetId="2" hidden="1">{"summary1",#N/A,TRUE,"Comps";"summary2",#N/A,TRUE,"Comps";"summary3",#N/A,TRUE,"Comps"}</definedName>
    <definedName name="wrn.print._.summary._.sheets." hidden="1">{"summary1",#N/A,TRUE,"Comps";"summary2",#N/A,TRUE,"Comps";"summary3",#N/A,TRUE,"Comps"}</definedName>
    <definedName name="wrn.Print._1" hidden="1">{#N/A,#N/A,FALSE,"Assumptions ";#N/A,#N/A,FALSE,"Maintenance";#N/A,#N/A,FALSE,"100MW INC";#N/A,#N/A,FALSE,"100MW DEC";#N/A,#N/A,FALSE,"STFUEL 1%";#N/A,#N/A,FALSE,"STFUEL NG"}</definedName>
    <definedName name="wrn.printall." localSheetId="2"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_D" localSheetId="2"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_D"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out." localSheetId="2"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out."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Workbook." hidden="1">{"Index",#N/A,FALSE,"Index"}</definedName>
    <definedName name="wrn.PRO." localSheetId="2" hidden="1">{#N/A,#N/A,FALSE,"COVER";#N/A,#N/A,FALSE,"Construction CF";#N/A,#N/A,FALSE,"PROFORMA";#N/A,#N/A,FALSE,"CASHFLOW"}</definedName>
    <definedName name="wrn.PRO." hidden="1">{#N/A,#N/A,FALSE,"COVER";#N/A,#N/A,FALSE,"Construction CF";#N/A,#N/A,FALSE,"PROFORMA";#N/A,#N/A,FALSE,"CASHFLOW"}</definedName>
    <definedName name="wrn.Profitability._.Indicators." localSheetId="2" hidden="1">{"ProfPrintArea",#N/A,FALSE,"Prof (c)"}</definedName>
    <definedName name="wrn.Profitability._.Indicators." hidden="1">{"ProfPrintArea",#N/A,FALSE,"Prof (c)"}</definedName>
    <definedName name="wrn.Profitability._.Indicators._.Base._.Case." localSheetId="2" hidden="1">{"ProfPrintArea",#N/A,FALSE,"Prof (c)"}</definedName>
    <definedName name="wrn.Profitability._.Indicators._.Base._.Case." hidden="1">{"ProfPrintArea",#N/A,FALSE,"Prof (c)"}</definedName>
    <definedName name="wrn.Project._.A." localSheetId="2" hidden="1">{"Proj Econ Summary",#N/A,FALSE,"Project A";"Income Statement",#N/A,FALSE,"Project A";"Cash Flow Statement",#N/A,FALSE,"Project A";"Balance Sheet",#N/A,FALSE,"Project A";"Scenario Summary (Proj A)",#N/A,FALSE,"Scenario Summary"}</definedName>
    <definedName name="wrn.Project._.A." hidden="1">{"Proj Econ Summary",#N/A,FALSE,"Project A";"Income Statement",#N/A,FALSE,"Project A";"Cash Flow Statement",#N/A,FALSE,"Project A";"Balance Sheet",#N/A,FALSE,"Project A";"Scenario Summary (Proj A)",#N/A,FALSE,"Scenario Summary"}</definedName>
    <definedName name="wrn.ProofElectricOnly." localSheetId="2" hidden="1">{"Electric Only",#N/A,FALSE,"Hyperion Proof"}</definedName>
    <definedName name="wrn.ProofElectricOnly." hidden="1">{"Electric Only",#N/A,FALSE,"Hyperion Proof"}</definedName>
    <definedName name="wrn.ProofTotal." localSheetId="2" hidden="1">{"Proof Total",#N/A,FALSE,"Hyperion Proof"}</definedName>
    <definedName name="wrn.ProofTotal." hidden="1">{"Proof Total",#N/A,FALSE,"Hyperion Proof"}</definedName>
    <definedName name="wrn.PSNH_GL." hidden="1">{#N/A,#N/A,FALSE,"GLDwnLoad"}</definedName>
    <definedName name="wrn.PSNH_INPUTS." hidden="1">{#N/A,#N/A,FALSE,"OTHERINPUTS";#N/A,#N/A,FALSE,"DITRATEINPUTS";#N/A,#N/A,FALSE,"SUPPLIEDADJINPUT";#N/A,#N/A,FALSE,"TIMINGDIFFINPUTS";#N/A,#N/A,FALSE,"BR&amp;SUPADJ."}</definedName>
    <definedName name="wrn.PSNH_PROV." hidden="1">{#N/A,#N/A,FALSE,"TITLEPG";#N/A,#N/A,FALSE,"INDEX";#N/A,#N/A,FALSE,"BKTAXINCOME";#N/A,#N/A,FALSE,"INTERESTALLOC";#N/A,#N/A,FALSE,"FITCALC";#N/A,#N/A,FALSE,"NHBPT";#N/A,#N/A,FALSE,"CCBT";#N/A,#N/A,FALSE,"PERMDIFFEVENTS";#N/A,#N/A,FALSE,"OPTIMEVENTS";#N/A,#N/A,FALSE,"NONOPTIMEVENTS";#N/A,#N/A,FALSE,"DEPREC";#N/A,#N/A,FALSE,"PERMDIFF";#N/A,#N/A,FALSE,"OPTIMDIFF";#N/A,#N/A,FALSE,"NONOPTIMDIFF";#N/A,#N/A,FALSE,"OP190CRQTR";#N/A,#N/A,FALSE,"NONOP190CRQTR";#N/A,#N/A,FALSE,"OP190CRYTD";#N/A,#N/A,FALSE,"NONOP190CRYTD";#N/A,#N/A,FALSE,"OP190PRYTD";#N/A,#N/A,FALSE,"NONOP190PRYTD";#N/A,#N/A,FALSE,"AC282CRQTR";#N/A,#N/A,FALSE,"AC282CRYTD";#N/A,#N/A,FALSE,"AC282PRYTD";#N/A,#N/A,FALSE,"AC283CRQTR";#N/A,#N/A,FALSE,"AC283CRYTD";#N/A,#N/A,FALSE,"AC283PRYTD";#N/A,#N/A,FALSE,"DITSUM";#N/A,#N/A,FALSE,"CRYTDACREC";#N/A,#N/A,FALSE,"PRYTDACREC";#N/A,#N/A,FALSE,"SYSJRNL";#N/A,#N/A,FALSE,"Reason.Test";#N/A,#N/A,FALSE,"FAS109 Study";#N/A,#N/A,FALSE,"FAS109 Plant"}</definedName>
    <definedName name="wrn.QUICK." localSheetId="2"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Rating._.Pack." localSheetId="2" hidden="1">{#N/A,#N/A,TRUE,"TEG Ratios £";#N/A,#N/A,TRUE,"TEG IS £";#N/A,#N/A,TRUE,"TEG  CF £";#N/A,#N/A,TRUE,"Assumptions";#N/A,#N/A,TRUE,"Working Assumptions"}</definedName>
    <definedName name="wrn.Rating._.Pack." hidden="1">{#N/A,#N/A,TRUE,"TEG Ratios £";#N/A,#N/A,TRUE,"TEG IS £";#N/A,#N/A,TRUE,"TEG  CF £";#N/A,#N/A,TRUE,"Assumptions";#N/A,#N/A,TRUE,"Working Assumptions"}</definedName>
    <definedName name="wrn.Ratios." localSheetId="2" hidden="1">{#N/A,#N/A,FALSE,"Ratios"}</definedName>
    <definedName name="wrn.Ratios." hidden="1">{#N/A,#N/A,FALSE,"Ratios"}</definedName>
    <definedName name="wrn.Reformat._.only." localSheetId="2" hidden="1">{#N/A,#N/A,FALSE,"Dec 1999 mapping"}</definedName>
    <definedName name="wrn.Reformat._.only." hidden="1">{#N/A,#N/A,FALSE,"Dec 1999 mapping"}</definedName>
    <definedName name="wrn.Report." localSheetId="2" hidden="1">{#N/A,#N/A,FALSE,"Loan Summary";#N/A,#N/A,FALSE,"NOI";"RR and Expir",#N/A,FALSE,"Rental";"Sales History",#N/A,FALSE,"Rental";#N/A,#N/A,FALSE,"Reserves"}</definedName>
    <definedName name="wrn.Report." hidden="1">{#N/A,#N/A,FALSE,"Loan Summary";#N/A,#N/A,FALSE,"NOI";"RR and Expir",#N/A,FALSE,"Rental";"Sales History",#N/A,FALSE,"Rental";#N/A,#N/A,FALSE,"Reserves"}</definedName>
    <definedName name="wrn.REPORT._.FOR._.CCA." localSheetId="2" hidden="1">{"CCA",#N/A,FALSE,"INPUT";"Pricing","CCA",FALSE,"Pricing";"Rent","CCA",FALSE,"Rent,Exp";"Fund Flow",#N/A,FALSE,"Fund Flow"}</definedName>
    <definedName name="wrn.REPORT._.FOR._.CCA." hidden="1">{"CCA",#N/A,FALSE,"INPUT";"Pricing","CCA",FALSE,"Pricing";"Rent","CCA",FALSE,"Rent,Exp";"Fund Flow",#N/A,FALSE,"Fund Flow"}</definedName>
    <definedName name="wrn.REPORT._.FOR._.LUS." localSheetId="2" hidden="1">{#N/A,#N/A,FALSE,"LeaseData";"Rent",#N/A,FALSE,"Rent,Exp"}</definedName>
    <definedName name="wrn.REPORT._.FOR._.LUS." hidden="1">{#N/A,#N/A,FALSE,"LeaseData";"Rent",#N/A,FALSE,"Rent,Exp"}</definedName>
    <definedName name="wrn.REPORT._1" hidden="1">{"PRN1",#N/A,FALSE,"REPORT";"PRN2",#N/A,FALSE,"REPORT";"PRNA",#N/A,FALSE,"SALE200";"PRNB",#N/A,FALSE,"SALE200";"PRND",#N/A,FALSE,"SALE400";"PRNC",#N/A,FALSE,"SALE400"}</definedName>
    <definedName name="wrn.Report_PR_1.">{"PR1","pr1",TRUE,"Sch PR-1"}</definedName>
    <definedName name="wrn.Risk._.Reserves." localSheetId="2" hidden="1">{#N/A,#N/A,TRUE,"Reserves";#N/A,#N/A,TRUE,"Graphs"}</definedName>
    <definedName name="wrn.Risk._.Reserves." hidden="1">{#N/A,#N/A,TRUE,"Reserves";#N/A,#N/A,TRUE,"Graphs"}</definedName>
    <definedName name="wrn.ROR_MEMO." hidden="1">{#N/A,#N/A,FALSE,"RORMEMO";#N/A,#N/A,FALSE,"RORSUMMARY";#N/A,#N/A,FALSE,"RORDETAIL"}</definedName>
    <definedName name="wrn.ROR_MEMO._1" hidden="1">{#N/A,#N/A,FALSE,"RORMEMO";#N/A,#N/A,FALSE,"RORSUMMARY";#N/A,#N/A,FALSE,"RORDETAIL"}</definedName>
    <definedName name="wrn.Segment._.1." localSheetId="2" hidden="1">{#N/A,#N/A,TRUE,"Segment 1"}</definedName>
    <definedName name="wrn.Segment._.1." hidden="1">{#N/A,#N/A,TRUE,"Segment 1"}</definedName>
    <definedName name="wrn.Segment._.2." localSheetId="2" hidden="1">{#N/A,#N/A,TRUE,"Segment 2"}</definedName>
    <definedName name="wrn.Segment._.2." hidden="1">{#N/A,#N/A,TRUE,"Segment 2"}</definedName>
    <definedName name="wrn.Segment._.3." localSheetId="2" hidden="1">{#N/A,#N/A,TRUE,"Segment 3"}</definedName>
    <definedName name="wrn.Segment._.3." hidden="1">{#N/A,#N/A,TRUE,"Segment 3"}</definedName>
    <definedName name="wrn.Segment._.4." localSheetId="2" hidden="1">{#N/A,#N/A,TRUE,"Segment 4"}</definedName>
    <definedName name="wrn.Segment._.4." hidden="1">{#N/A,#N/A,TRUE,"Segment 4"}</definedName>
    <definedName name="wrn.Segment._.5." localSheetId="2" hidden="1">{#N/A,#N/A,TRUE,"Segment 5"}</definedName>
    <definedName name="wrn.Segment._.5." hidden="1">{#N/A,#N/A,TRUE,"Segment 5"}</definedName>
    <definedName name="wrn.SELECT_GL." hidden="1">{#N/A,#N/A,FALSE,"GLDwnLoad"}</definedName>
    <definedName name="wrn.SELECT_INPUTS." hidden="1">{#N/A,#N/A,FALSE,"OTHERINPUTS";#N/A,#N/A,FALSE,"SUPPLIEDADJINPUT";#N/A,#N/A,FALSE,"BR&amp;SUPADJ."}</definedName>
    <definedName name="wrn.SELECT_PROV." hidden="1">{#N/A,#N/A,FALSE,"TITLEPG";#N/A,#N/A,FALSE,"INDEX";#N/A,#N/A,FALSE,"BKTAXINCOME";#N/A,#N/A,FALSE,"FITCALC";#N/A,#N/A,FALSE,"CCBT";#N/A,#N/A,FALSE,"MET";#N/A,#N/A,FALSE,"New York";#N/A,#N/A,FALSE,"New Jersey";#N/A,#N/A,FALSE,"Penn";#N/A,#N/A,FALSE,"PERMDIFFEVENTS";#N/A,#N/A,FALSE,"TIMDIFFEVENTS";#N/A,#N/A,FALSE,"DEPREC";#N/A,#N/A,FALSE,"PERMDIFF";#N/A,#N/A,FALSE,"OPTIMDIFF";#N/A,#N/A,FALSE,"NONOPTIMDIFF";#N/A,#N/A,FALSE,"Deferred Tax Analysis";#N/A,#N/A,FALSE,"Def Tax Entry";#N/A,#N/A,FALSE,"DITSUM";#N/A,#N/A,FALSE,"Tax Reserve";#N/A,#N/A,FALSE,"ETR";#N/A,#N/A,FALSE,"CRYTDACREC";#N/A,#N/A,FALSE,"PRYTDACREC";#N/A,#N/A,FALSE,"SYSJRNL"}</definedName>
    <definedName name="wrn.Side._.by._.Side." localSheetId="2" hidden="1">{"Side 99",#N/A,FALSE,"S&amp;U Side by Side"}</definedName>
    <definedName name="wrn.Side._.by._.Side." hidden="1">{"Side 99",#N/A,FALSE,"S&amp;U Side by Side"}</definedName>
    <definedName name="wrn.Snapshot." localSheetId="2" hidden="1">{#N/A,#N/A,TRUE,"Facility-Input";#N/A,#N/A,TRUE,"Graphs"}</definedName>
    <definedName name="wrn.Snapshot." hidden="1">{#N/A,#N/A,TRUE,"Facility-Input";#N/A,#N/A,TRUE,"Graphs"}</definedName>
    <definedName name="wrn.SP2." localSheetId="2" hidden="1">{#N/A,#N/A,FALSE,"SP2"}</definedName>
    <definedName name="wrn.SP2." hidden="1">{#N/A,#N/A,FALSE,"SP2"}</definedName>
    <definedName name="wrn.STAND_ALONE_BOTH." localSheetId="2" hidden="1">{"FCB_ALL",#N/A,FALSE,"FCB";"GREY_ALL",#N/A,FALSE,"GREY"}</definedName>
    <definedName name="wrn.STAND_ALONE_BOTH." hidden="1">{"FCB_ALL",#N/A,FALSE,"FCB";"GREY_ALL",#N/A,FALSE,"GREY"}</definedName>
    <definedName name="wrn.Standard." localSheetId="2" hidden="1">{"YTD-Total",#N/A,FALSE,"Provision"}</definedName>
    <definedName name="wrn.Standard." hidden="1">{"YTD-Total",#N/A,FALSE,"Provision"}</definedName>
    <definedName name="wrn.Standard._.NonUtility._.Only." localSheetId="2" hidden="1">{"YTD-NonUtility",#N/A,FALSE,"Prov NonUtility"}</definedName>
    <definedName name="wrn.Standard._.NonUtility._.Only." hidden="1">{"YTD-NonUtility",#N/A,FALSE,"Prov NonUtility"}</definedName>
    <definedName name="wrn.Standard._.Utility._.Only." localSheetId="2" hidden="1">{"YTD-Utility",#N/A,FALSE,"Prov Utility"}</definedName>
    <definedName name="wrn.Standard._.Utility._.Only." hidden="1">{"YTD-Utility",#N/A,FALSE,"Prov Utility"}</definedName>
    <definedName name="wrn.SumandMitems." localSheetId="2" hidden="1">{"TaxSum",#N/A,FALSE,"TaxSum";"Msum",#N/A,FALSE,"MSum";"IncStmnt",#N/A,FALSE,"IncStmnt";"Ccorps",#N/A,FALSE,"IncStmnt";"Meals",#N/A,FALSE,"Meals";"Other",#N/A,FALSE,"Other";"IntangSum",#N/A,FALSE,"IntangSummary";"AmortDetail",#N/A,FALSE,"AmortDetail";"Deprec",#N/A,FALSE,"Deprec"}</definedName>
    <definedName name="wrn.SumandMitems." hidden="1">{"TaxSum",#N/A,FALSE,"TaxSum";"Msum",#N/A,FALSE,"MSum";"IncStmnt",#N/A,FALSE,"IncStmnt";"Ccorps",#N/A,FALSE,"IncStmnt";"Meals",#N/A,FALSE,"Meals";"Other",#N/A,FALSE,"Other";"IntangSum",#N/A,FALSE,"IntangSummary";"AmortDetail",#N/A,FALSE,"AmortDetail";"Deprec",#N/A,FALSE,"Deprec"}</definedName>
    <definedName name="wrn.Summary._.View." localSheetId="2" hidden="1">{#N/A,#N/A,FALSE,"Consltd-For contngcy"}</definedName>
    <definedName name="wrn.Summary._.View." hidden="1">{#N/A,#N/A,FALSE,"Consltd-For contngcy"}</definedName>
    <definedName name="wrn.Template." localSheetId="2"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 localSheetId="2" hidden="1">{"acc1",#N/A,TRUE,"Accrual";"ACC2",#N/A,TRUE,"Accrual"}</definedName>
    <definedName name="wrn.TEST." hidden="1">{"acc1",#N/A,TRUE,"Accrual";"ACC2",#N/A,TRUE,"Accrual"}</definedName>
    <definedName name="wrn.TIPOS." localSheetId="2" hidden="1">{#N/A,#N/A,FALSE,"Gráficos"}</definedName>
    <definedName name="wrn.TIPOS." hidden="1">{#N/A,#N/A,FALSE,"Gráficos"}</definedName>
    <definedName name="wrn.Totals." localSheetId="2" hidden="1">{#N/A,#N/A,TRUE,"TOTAL";#N/A,#N/A,TRUE,"Total Pipes"}</definedName>
    <definedName name="wrn.Totals." hidden="1">{#N/A,#N/A,TRUE,"TOTAL";#N/A,#N/A,TRUE,"Total Pipes"}</definedName>
    <definedName name="wrn.UK._.Conversion._.Only." localSheetId="2" hidden="1">{#N/A,#N/A,FALSE,"Dec 1999 UK Continuing Ops"}</definedName>
    <definedName name="wrn.UK._.Conversion._.Only." hidden="1">{#N/A,#N/A,FALSE,"Dec 1999 UK Continuing Ops"}</definedName>
    <definedName name="wrn.Value." localSheetId="2" hidden="1">{#N/A,#N/A,FALSE,"Cashflow Analysis";#N/A,#N/A,FALSE,"Sensitivity Analysis";#N/A,#N/A,FALSE,"PV";#N/A,#N/A,FALSE,"Pro Forma"}</definedName>
    <definedName name="wrn.Value." hidden="1">{#N/A,#N/A,FALSE,"Cashflow Analysis";#N/A,#N/A,FALSE,"Sensitivity Analysis";#N/A,#N/A,FALSE,"PV";#N/A,#N/A,FALSE,"Pro Forma"}</definedName>
    <definedName name="wrn.Value.2" localSheetId="2" hidden="1">{#N/A,#N/A,FALSE,"Cashflow Analysis";#N/A,#N/A,FALSE,"Sensitivity Analysis";#N/A,#N/A,FALSE,"PV";#N/A,#N/A,FALSE,"Pro Forma"}</definedName>
    <definedName name="wrn.Value.2" hidden="1">{#N/A,#N/A,FALSE,"Cashflow Analysis";#N/A,#N/A,FALSE,"Sensitivity Analysis";#N/A,#N/A,FALSE,"PV";#N/A,#N/A,FALSE,"Pro Forma"}</definedName>
    <definedName name="wrn.Variance." localSheetId="2" hidden="1">{#N/A,#N/A,FALSE,"CCC Variance";#N/A,#N/A,FALSE,"CCC Notes"}</definedName>
    <definedName name="wrn.Variance." hidden="1">{#N/A,#N/A,FALSE,"CCC Variance";#N/A,#N/A,FALSE,"CCC Notes"}</definedName>
    <definedName name="wrn.Variance._.Analysis." localSheetId="2" hidden="1">{#N/A,#N/A,TRUE,"Var. to Nov Figures";#N/A,#N/A,TRUE,"TEG Ratios £";#N/A,#N/A,TRUE,"Nov Figures"}</definedName>
    <definedName name="wrn.Variance._.Analysis." hidden="1">{#N/A,#N/A,TRUE,"Var. to Nov Figures";#N/A,#N/A,TRUE,"TEG Ratios £";#N/A,#N/A,TRUE,"Nov Figures"}</definedName>
    <definedName name="wrn.ventana." localSheetId="2" hidden="1">{#N/A,#N/A,FALSE,"Cash Flow";#N/A,#N/A,FALSE,"scenario 1"}</definedName>
    <definedName name="wrn.ventana." hidden="1">{#N/A,#N/A,FALSE,"Cash Flow";#N/A,#N/A,FALSE,"scenario 1"}</definedName>
    <definedName name="wrn.Walingfd." hidden="1">{"Rates",#N/A,FALSE,"Rates";"Energy",#N/A,FALSE,"Energy";"Costs",#N/A,FALSE,"Costs";"Summary",#N/A,FALSE,"Summary"}</definedName>
    <definedName name="wrn.Walingfd._1" hidden="1">{"Rates",#N/A,FALSE,"Rates";"Energy",#N/A,FALSE,"Energy";"Costs",#N/A,FALSE,"Costs";"Summary",#N/A,FALSE,"Summary"}</definedName>
    <definedName name="wrn.Whitney._.Budget." localSheetId="2" hidden="1">{#N/A,#N/A,FALSE,"Sheet 1";#N/A,#N/A,FALSE,"Sheet 2";#N/A,#N/A,FALSE,"Sheet 5";#N/A,#N/A,FALSE,"Sheet3";#N/A,#N/A,FALSE,"Sheet 4";#N/A,#N/A,FALSE,"Sheet4A"}</definedName>
    <definedName name="wrn.Whitney._.Budget." hidden="1">{#N/A,#N/A,FALSE,"Sheet 1";#N/A,#N/A,FALSE,"Sheet 2";#N/A,#N/A,FALSE,"Sheet 5";#N/A,#N/A,FALSE,"Sheet3";#N/A,#N/A,FALSE,"Sheet 4";#N/A,#N/A,FALSE,"Sheet4A"}</definedName>
    <definedName name="wrn.WMECO_GL." hidden="1">{#N/A,#N/A,FALSE,"GLDwnLoad"}</definedName>
    <definedName name="wrn.WMECO_GL._1" hidden="1">{#N/A,#N/A,FALSE,"GLDwnLoad"}</definedName>
    <definedName name="wrn.WMECO_INPUTS." hidden="1">{#N/A,#N/A,FALSE,"OTHERINPUTS";#N/A,#N/A,FALSE,"DITRATEINPUTS";#N/A,#N/A,FALSE,"SUPPLIEDADJINPUT";#N/A,#N/A,FALSE,"TIMINGDIFFINPUTS";#N/A,#N/A,FALSE,"BR&amp;SUPADJ."}</definedName>
    <definedName name="wrn.WMECO_INPUTS._1" hidden="1">{#N/A,#N/A,FALSE,"OTHERINPUTS";#N/A,#N/A,FALSE,"DITRATEINPUTS";#N/A,#N/A,FALSE,"SUPPLIEDADJINPUT";#N/A,#N/A,FALSE,"TIMINGDIFFINPUTS";#N/A,#N/A,FALSE,"BR&amp;SUPADJ."}</definedName>
    <definedName name="wrn.WMECO_PROV." hidden="1">{#N/A,#N/A,FALSE,"TITLEPG";#N/A,#N/A,FALSE,"INDEX";#N/A,#N/A,FALSE,"BKTAXINCOME";#N/A,#N/A,FALSE,"INTERESTALLOC";#N/A,#N/A,FALSE,"FITCALC";#N/A,#N/A,FALSE,"CCBT";#N/A,#N/A,FALSE,"MFT";#N/A,#N/A,FALSE,"NHBPT";#N/A,#N/A,FALSE,"OPPERMEVENTS";#N/A,#N/A,FALSE,"NONOPPERMEVENTS";#N/A,#N/A,FALSE,"OPTIMEVENTS";#N/A,#N/A,FALSE,"NONOPTIMEVENTS";#N/A,#N/A,FALSE,"DEPREC";#N/A,#N/A,FALSE,"OPPERMDIFF";#N/A,#N/A,FALSE,"NONOPPERMDIFF";#N/A,#N/A,FALSE,"OPTIMDIFF";#N/A,#N/A,FALSE,"NONOPTIMDIFF";#N/A,#N/A,FALSE,"OP190CRQTR";#N/A,#N/A,FALSE,"NONOP190CRQTR";#N/A,#N/A,FALSE,"OP190CRYTD";#N/A,#N/A,FALSE,"NONOP190CRYTD";#N/A,#N/A,FALSE,"OP190PRYTD";#N/A,#N/A,FALSE,"NONOP190PRYTD";#N/A,#N/A,FALSE,"OP282CRQTR";#N/A,#N/A,FALSE,"NONOP282CRQTR";#N/A,#N/A,FALSE,"OP282CRYTD";#N/A,#N/A,FALSE,"NONOP282CRYTD";#N/A,#N/A,FALSE,"OP282PRYTD";#N/A,#N/A,FALSE,"NONOP282PRYTD";#N/A,#N/A,FALSE,"OP283CRQTR";#N/A,#N/A,FALSE,"NONOP283CRQTR";#N/A,#N/A,FALSE,"OP283CRYTD";#N/A,#N/A,FALSE,"NONOP283CRYTD";#N/A,#N/A,FALSE,"OP283PRYTD";#N/A,#N/A,FALSE,"NONOP283PRYTD";#N/A,#N/A,FALSE,"DITSUM";#N/A,#N/A,FALSE,"CRYTDACREC";#N/A,#N/A,FALSE,"PRYTDACREC";#N/A,#N/A,FALSE,"SYSJRNL";#N/A,#N/A,FALSE,"FAS109 Summary";#N/A,#N/A,FALSE,"FAS109 OPER 190 ITC";#N/A,#N/A,FALSE,"FAS109 OPER 190 Other";#N/A,#N/A,FALSE,"FAS109 OPER 282";#N/A,#N/A,FALSE,"FAS109 OPER 283";#N/A,#N/A,FALSE,"FAS109 NONOPER 282"}</definedName>
    <definedName name="wrn.WMECO_PROV._1" hidden="1">{#N/A,#N/A,FALSE,"TITLEPG";#N/A,#N/A,FALSE,"INDEX";#N/A,#N/A,FALSE,"BKTAXINCOME";#N/A,#N/A,FALSE,"INTERESTALLOC";#N/A,#N/A,FALSE,"FITCALC";#N/A,#N/A,FALSE,"CCBT";#N/A,#N/A,FALSE,"MFT";#N/A,#N/A,FALSE,"NHBPT";#N/A,#N/A,FALSE,"OPPERMEVENTS";#N/A,#N/A,FALSE,"NONOPPERMEVENTS";#N/A,#N/A,FALSE,"OPTIMEVENTS";#N/A,#N/A,FALSE,"NONOPTIMEVENTS";#N/A,#N/A,FALSE,"DEPREC";#N/A,#N/A,FALSE,"OPPERMDIFF";#N/A,#N/A,FALSE,"NONOPPERMDIFF";#N/A,#N/A,FALSE,"OPTIMDIFF";#N/A,#N/A,FALSE,"NONOPTIMDIFF";#N/A,#N/A,FALSE,"OP190CRQTR";#N/A,#N/A,FALSE,"NONOP190CRQTR";#N/A,#N/A,FALSE,"OP190CRYTD";#N/A,#N/A,FALSE,"NONOP190CRYTD";#N/A,#N/A,FALSE,"OP190PRYTD";#N/A,#N/A,FALSE,"NONOP190PRYTD";#N/A,#N/A,FALSE,"OP282CRQTR";#N/A,#N/A,FALSE,"NONOP282CRQTR";#N/A,#N/A,FALSE,"OP282CRYTD";#N/A,#N/A,FALSE,"NONOP282CRYTD";#N/A,#N/A,FALSE,"OP282PRYTD";#N/A,#N/A,FALSE,"NONOP282PRYTD";#N/A,#N/A,FALSE,"OP283CRQTR";#N/A,#N/A,FALSE,"NONOP283CRQTR";#N/A,#N/A,FALSE,"OP283CRYTD";#N/A,#N/A,FALSE,"NONOP283CRYTD";#N/A,#N/A,FALSE,"OP283PRYTD";#N/A,#N/A,FALSE,"NONOP283PRYTD";#N/A,#N/A,FALSE,"DITSUM";#N/A,#N/A,FALSE,"CRYTDACREC";#N/A,#N/A,FALSE,"PRYTDACREC";#N/A,#N/A,FALSE,"SYSJRNL";#N/A,#N/A,FALSE,"FAS109 OPERATING";#N/A,#N/A,FALSE,"FAS109 Summary";#N/A,#N/A,FALSE,"FAS109 OPER 190 ITC";#N/A,#N/A,FALSE,"FAS109 OPER 190 Other";#N/A,#N/A,FALSE,"FAS109 OPER 282";#N/A,#N/A,FALSE,"FAS109 OPER 283";#N/A,#N/A,FALSE,"FAS109 NONOPER 282"}</definedName>
    <definedName name="wrn.Woksheets._.and._.entries." localSheetId="2" hidden="1">{#N/A,#N/A,FALSE,"Emmes Capital";#N/A,#N/A,FALSE,"Capital  Entries";#N/A,#N/A,FALSE,"Emmes Services";#N/A,#N/A,FALSE,"Services Entries";#N/A,#N/A,FALSE,"Emmes &amp; Co";#N/A,#N/A,FALSE,"Emmes  Entries";#N/A,#N/A,FALSE,"Proof"}</definedName>
    <definedName name="wrn.Woksheets._.and._.entries." hidden="1">{#N/A,#N/A,FALSE,"Emmes Capital";#N/A,#N/A,FALSE,"Capital  Entries";#N/A,#N/A,FALSE,"Emmes Services";#N/A,#N/A,FALSE,"Services Entries";#N/A,#N/A,FALSE,"Emmes &amp; Co";#N/A,#N/A,FALSE,"Emmes  Entries";#N/A,#N/A,FALSE,"Proof"}</definedName>
    <definedName name="wrn.XL._.DTR." localSheetId="2" hidden="1">{#N/A,#N/A,TRUE,"XL Cash Flow";#N/A,#N/A,TRUE,"Prop Valuation";#N/A,#N/A,TRUE,"Equity";#N/A,#N/A,TRUE,"Modeling assumptions";#N/A,#N/A,TRUE,"NER Model";#N/A,#N/A,TRUE,"Lease Exp";#N/A,#N/A,TRUE,"Inc &amp; Exp";#N/A,#N/A,TRUE,"Formatted - roll";#N/A,#N/A,TRUE,"Debt Model";#N/A,#N/A,TRUE,"Debt-Moody";#N/A,#N/A,TRUE,"Debt"}</definedName>
    <definedName name="wrn.XL._.DTR." hidden="1">{#N/A,#N/A,TRUE,"XL Cash Flow";#N/A,#N/A,TRUE,"Prop Valuation";#N/A,#N/A,TRUE,"Equity";#N/A,#N/A,TRUE,"Modeling assumptions";#N/A,#N/A,TRUE,"NER Model";#N/A,#N/A,TRUE,"Lease Exp";#N/A,#N/A,TRUE,"Inc &amp; Exp";#N/A,#N/A,TRUE,"Formatted - roll";#N/A,#N/A,TRUE,"Debt Model";#N/A,#N/A,TRUE,"Debt-Moody";#N/A,#N/A,TRUE,"Debt"}</definedName>
    <definedName name="wrn.xnh.xcust.xprof" hidden="1">{#N/A,#N/A,TRUE,"Rate P&amp;L";#N/A,#N/A,TRUE,"P&amp;L water";#N/A,#N/A,TRUE,"P&amp;L SH&amp;W";#N/A,#N/A,TRUE,"Rate G";#N/A,#N/A,TRUE,"Rate GV";#N/A,#N/A,TRUE,"Rate LG"}</definedName>
    <definedName name="wrn.xnh.xcust.xprof_1" hidden="1">{#N/A,#N/A,TRUE,"Rate P&amp;L";#N/A,#N/A,TRUE,"P&amp;L water";#N/A,#N/A,TRUE,"P&amp;L SH&amp;W";#N/A,#N/A,TRUE,"Rate G";#N/A,#N/A,TRUE,"Rate GV";#N/A,#N/A,TRUE,"Rate LG"}</definedName>
    <definedName name="wrn.xrep" hidden="1">{"PRN1",#N/A,FALSE,"REPORT";"PRN2",#N/A,FALSE,"REPORT";"PRNA",#N/A,FALSE,"SALE200";"PRNB",#N/A,FALSE,"SALE200";"PRND",#N/A,FALSE,"SALE400";"PRNC",#N/A,FALSE,"SALE400"}</definedName>
    <definedName name="wrn.xrep_1" hidden="1">{"PRN1",#N/A,FALSE,"REPORT";"PRN2",#N/A,FALSE,"REPORT";"PRNA",#N/A,FALSE,"SALE200";"PRNB",#N/A,FALSE,"SALE200";"PRND",#N/A,FALSE,"SALE400";"PRNC",#N/A,FALSE,"SALE400"}</definedName>
    <definedName name="wrn.YearEnd." localSheetId="2" hidden="1">{"Factors Pages 1-2",#N/A,FALSE,"Variables";"Factors Page 3",#N/A,FALSE,"Variables";"Factors Page 4",#N/A,FALSE,"Variables";"Factors Page 5",#N/A,FALSE,"Variables";"YE Pages 7-26",#N/A,FALSE,"Variables"}</definedName>
    <definedName name="wrn.YearEnd." hidden="1">{"Factors Pages 1-2",#N/A,FALSE,"Variables";"Factors Page 3",#N/A,FALSE,"Variables";"Factors Page 4",#N/A,FALSE,"Variables";"Factors Page 5",#N/A,FALSE,"Variables";"YE Pages 7-26",#N/A,FALSE,"Variables"}</definedName>
    <definedName name="wt"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2" hidden="1">{"cashcons",#N/A,FALSE,"CASHCONS";"cash7000",#N/A,FALSE,"CASH7000";"cash9000",#N/A,FALSE,"CASH9000";"assu7000",#N/A,FALSE,"ASSU7000";"assu9000",#N/A,FALSE,"ASSU9000";"rentroll",#N/A,FALSE,"RENTROLL";"expr7000",#N/A,FALSE,"EXPR7000";"expr9000",#N/A,FALSE,"EXPR9000"}</definedName>
    <definedName name="wwwww" hidden="1">{"cashcons",#N/A,FALSE,"CASHCONS";"cash7000",#N/A,FALSE,"CASH7000";"cash9000",#N/A,FALSE,"CASH9000";"assu7000",#N/A,FALSE,"ASSU7000";"assu9000",#N/A,FALSE,"ASSU9000";"rentroll",#N/A,FALSE,"RENTROLL";"expr7000",#N/A,FALSE,"EXPR7000";"expr9000",#N/A,FALSE,"EXPR9000"}</definedName>
    <definedName name="wwwww333" localSheetId="2" hidden="1">{#N/A,#N/A,FALSE,"Broker Sheet";#N/A,#N/A,FALSE,"Exec.Summary";#N/A,#N/A,FALSE,"Argus Cash Flow";#N/A,#N/A,FALSE,"SPF";#N/A,#N/A,FALSE,"RentRoll"}</definedName>
    <definedName name="wwwww333" hidden="1">{#N/A,#N/A,FALSE,"Broker Sheet";#N/A,#N/A,FALSE,"Exec.Summary";#N/A,#N/A,FALSE,"Argus Cash Flow";#N/A,#N/A,FALSE,"SPF";#N/A,#N/A,FALSE,"RentRoll"}</definedName>
    <definedName name="wwwwwwwwwwwwwwww" localSheetId="2" hidden="1">{#N/A,#N/A,FALSE,"Broker Sheet";#N/A,#N/A,FALSE,"Exec.Summary";#N/A,#N/A,FALSE,"Argus Cash Flow";#N/A,#N/A,FALSE,"SPF";#N/A,#N/A,FALSE,"RentRoll"}</definedName>
    <definedName name="wwwwwwwwwwwwwwww" hidden="1">{#N/A,#N/A,FALSE,"Broker Sheet";#N/A,#N/A,FALSE,"Exec.Summary";#N/A,#N/A,FALSE,"Argus Cash Flow";#N/A,#N/A,FALSE,"SPF";#N/A,#N/A,FALSE,"RentRoll"}</definedName>
    <definedName name="x" hidden="1">#REF!</definedName>
    <definedName name="X2000FebYTDVAR_Scenario_2__List">#REF!</definedName>
    <definedName name="xfasdsdagsdr">39124.3586111111</definedName>
    <definedName name="xfghfghygjytj">40269.094375</definedName>
    <definedName name="xnewname" hidden="1">{#N/A,#N/A,TRUE,"Rate P&amp;L";#N/A,#N/A,TRUE,"P&amp;L water";#N/A,#N/A,TRUE,"P&amp;L SH&amp;W";#N/A,#N/A,TRUE,"Rate G";#N/A,#N/A,TRUE,"Rate GV";#N/A,#N/A,TRUE,"Rate LG"}</definedName>
    <definedName name="xnewname_1" hidden="1">{#N/A,#N/A,TRUE,"Rate P&amp;L";#N/A,#N/A,TRUE,"P&amp;L water";#N/A,#N/A,TRUE,"P&amp;L SH&amp;W";#N/A,#N/A,TRUE,"Rate G";#N/A,#N/A,TRUE,"Rate GV";#N/A,#N/A,TRUE,"Rate LG"}</definedName>
    <definedName name="xoldname" hidden="1">{#N/A,#N/A,TRUE,"Rate P&amp;L";#N/A,#N/A,TRUE,"P&amp;L water";#N/A,#N/A,TRUE,"P&amp;L SH&amp;W";#N/A,#N/A,TRUE,"Rate G";#N/A,#N/A,TRUE,"Rate GV";#N/A,#N/A,TRUE,"Rate LG"}</definedName>
    <definedName name="xoldname_1" hidden="1">{#N/A,#N/A,TRUE,"Rate P&amp;L";#N/A,#N/A,TRUE,"P&amp;L water";#N/A,#N/A,TRUE,"P&amp;L SH&amp;W";#N/A,#N/A,TRUE,"Rate G";#N/A,#N/A,TRUE,"Rate GV";#N/A,#N/A,TRUE,"Rate LG"}</definedName>
    <definedName name="XPCALC">#REF!</definedName>
    <definedName name="XPCALCINPUT">#REF!</definedName>
    <definedName name="XPINPUT">#REF!</definedName>
    <definedName name="XPNETLOAD">#REF!</definedName>
    <definedName name="XPPRIORYR">#REF!</definedName>
    <definedName name="XPTRUEUP">#REF!</definedName>
    <definedName name="XREF_COLUMN_1" localSheetId="2" hidden="1">#REF!</definedName>
    <definedName name="XREF_COLUMN_1" hidden="1">#REF!</definedName>
    <definedName name="XRefActiveRow" localSheetId="2" hidden="1">#REF!</definedName>
    <definedName name="XRefActiveRow" hidden="1">#REF!</definedName>
    <definedName name="XRefColumnsCount" hidden="1">1</definedName>
    <definedName name="XRefCopy1" localSheetId="2" hidden="1">#REF!</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RangeCount" hidden="1">4</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definedName>
    <definedName name="xSAPtemp586.xls">83</definedName>
    <definedName name="xx">#REF!</definedName>
    <definedName name="xxd" localSheetId="2" hidden="1">{#N/A,#N/A,FALSE,"Cashflow Analysis";#N/A,#N/A,FALSE,"Sensitivity Analysis";#N/A,#N/A,FALSE,"PV";#N/A,#N/A,FALSE,"Pro Forma"}</definedName>
    <definedName name="xxd" hidden="1">{#N/A,#N/A,FALSE,"Cashflow Analysis";#N/A,#N/A,FALSE,"Sensitivity Analysis";#N/A,#N/A,FALSE,"PV";#N/A,#N/A,FALSE,"Pro Forma"}</definedName>
    <definedName name="xxd.2" localSheetId="2" hidden="1">{#N/A,#N/A,FALSE,"Cashflow Analysis";#N/A,#N/A,FALSE,"Sensitivity Analysis";#N/A,#N/A,FALSE,"PV";#N/A,#N/A,FALSE,"Pro Forma"}</definedName>
    <definedName name="xxd.2" hidden="1">{#N/A,#N/A,FALSE,"Cashflow Analysis";#N/A,#N/A,FALSE,"Sensitivity Analysis";#N/A,#N/A,FALSE,"PV";#N/A,#N/A,FALSE,"Pro Forma"}</definedName>
    <definedName name="xxwhat" hidden="1">{#N/A,#N/A,TRUE,"Rate P&amp;L";#N/A,#N/A,TRUE,"P&amp;L water";#N/A,#N/A,TRUE,"P&amp;L SH&amp;W";#N/A,#N/A,TRUE,"Rate G";#N/A,#N/A,TRUE,"Rate GV";#N/A,#N/A,TRUE,"Rate LG"}</definedName>
    <definedName name="xxwhat_1" hidden="1">{#N/A,#N/A,TRUE,"Rate P&amp;L";#N/A,#N/A,TRUE,"P&amp;L water";#N/A,#N/A,TRUE,"P&amp;L SH&amp;W";#N/A,#N/A,TRUE,"Rate G";#N/A,#N/A,TRUE,"Rate GV";#N/A,#N/A,TRUE,"Rate LG"}</definedName>
    <definedName name="XXX" localSheetId="2" hidden="1">{"Assumptions",#N/A,FALSE,"Assumptions";"Sum",#N/A,FALSE,"Summary";"Notes",#N/A,FALSE,"Notes";"Inputs",#N/A,FALSE,"Inputs";"Other Inputs",#N/A,FALSE,"Inputs";"RD",#N/A,FALSE,"RD";"Revenue Detail",#N/A,FALSE,"Revenue";"Expense Detail",#N/A,FALSE,"Expense";"Tax Detail",#N/A,FALSE,"Tax";"FinSt",#N/A,FALSE,"Financials"}</definedName>
    <definedName name="XXX" hidden="1">{"Assumptions",#N/A,FALSE,"Assumptions";"Sum",#N/A,FALSE,"Summary";"Notes",#N/A,FALSE,"Notes";"Inputs",#N/A,FALSE,"Inputs";"Other Inputs",#N/A,FALSE,"Inputs";"RD",#N/A,FALSE,"RD";"Revenue Detail",#N/A,FALSE,"Revenue";"Expense Detail",#N/A,FALSE,"Expense";"Tax Detail",#N/A,FALSE,"Tax";"FinSt",#N/A,FALSE,"Financials"}</definedName>
    <definedName name="xxxx" hidden="1">#REF!</definedName>
    <definedName name="xxxxxxxxxxxx" hidden="1">{#N/A,#N/A,TRUE,"Rate P&amp;L";#N/A,#N/A,TRUE,"P&amp;L water";#N/A,#N/A,TRUE,"P&amp;L SH&amp;W";#N/A,#N/A,TRUE,"Rate G";#N/A,#N/A,TRUE,"Rate GV";#N/A,#N/A,TRUE,"Rate LG"}</definedName>
    <definedName name="xxxxxxxxxxxx_1" hidden="1">{#N/A,#N/A,TRUE,"Rate P&amp;L";#N/A,#N/A,TRUE,"P&amp;L water";#N/A,#N/A,TRUE,"P&amp;L SH&amp;W";#N/A,#N/A,TRUE,"Rate G";#N/A,#N/A,TRUE,"Rate GV";#N/A,#N/A,TRUE,"Rate LG"}</definedName>
    <definedName name="xyz" localSheetId="2" hidden="1">{#N/A,#N/A,TRUE,"XL Cash Flow";#N/A,#N/A,TRUE,"Prop Valuation";#N/A,#N/A,TRUE,"Equity";#N/A,#N/A,TRUE,"Modeling assumptions";#N/A,#N/A,TRUE,"NER Model";#N/A,#N/A,TRUE,"Lease Exp";#N/A,#N/A,TRUE,"Inc &amp; Exp";#N/A,#N/A,TRUE,"Formatted - roll";#N/A,#N/A,TRUE,"Debt Model";#N/A,#N/A,TRUE,"Debt-Moody";#N/A,#N/A,TRUE,"Debt"}</definedName>
    <definedName name="xyz" hidden="1">{#N/A,#N/A,TRUE,"XL Cash Flow";#N/A,#N/A,TRUE,"Prop Valuation";#N/A,#N/A,TRUE,"Equity";#N/A,#N/A,TRUE,"Modeling assumptions";#N/A,#N/A,TRUE,"NER Model";#N/A,#N/A,TRUE,"Lease Exp";#N/A,#N/A,TRUE,"Inc &amp; Exp";#N/A,#N/A,TRUE,"Formatted - roll";#N/A,#N/A,TRUE,"Debt Model";#N/A,#N/A,TRUE,"Debt-Moody";#N/A,#N/A,TRUE,"Debt"}</definedName>
    <definedName name="yea" localSheetId="2" hidden="1">{#N/A,#N/A,FALSE,"Assumptions";"Model",#N/A,FALSE,"MDU";#N/A,#N/A,FALSE,"Notes"}</definedName>
    <definedName name="yea" hidden="1">{#N/A,#N/A,FALSE,"Assumptions";"Model",#N/A,FALSE,"MDU";#N/A,#N/A,FALSE,"Notes"}</definedName>
    <definedName name="Year">#REF!</definedName>
    <definedName name="Year_End">#REF!</definedName>
    <definedName name="YGJ"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juyyukyukyukuk">"V2010-03-31"</definedName>
    <definedName name="yjyujuyjfuyjf">"V00005"</definedName>
    <definedName name="YRENDBAL" localSheetId="2">#REF!</definedName>
    <definedName name="YRENDBAL">#REF!</definedName>
    <definedName name="YTD">#REF!</definedName>
    <definedName name="YTDELP" localSheetId="2">#REF!</definedName>
    <definedName name="YTDELP">#REF!</definedName>
    <definedName name="YTDUNBILLEDKWH" localSheetId="2">#REF!</definedName>
    <definedName name="YTDUNBILLEDKWH">#REF!</definedName>
    <definedName name="ytjtyjtyjytj">"V2003-07-01"</definedName>
    <definedName name="ytyyyyyyyyyyyyy" hidden="1">{#N/A,#N/A,FALSE,"Aging Summary";#N/A,#N/A,FALSE,"Ratio Analysis";#N/A,#N/A,FALSE,"Test 120 Day Accts";#N/A,#N/A,FALSE,"Tickmarks"}</definedName>
    <definedName name="z" localSheetId="2" hidden="1">{"YTD-Total",#N/A,TRUE,"Provision";"YTD-Utility",#N/A,TRUE,"Prov Utility";"YTD-NonUtility",#N/A,TRUE,"Prov NonUtility"}</definedName>
    <definedName name="z" hidden="1">{"YTD-Total",#N/A,TRUE,"Provision";"YTD-Utility",#N/A,TRUE,"Prov Utility";"YTD-NonUtility",#N/A,TRUE,"Prov NonUtility"}</definedName>
    <definedName name="Z_01844156_6462_4A28_9785_1A86F4D0C834_.wvu.PrintTitles" hidden="1">#REF!</definedName>
    <definedName name="Z_7A335D06_3E2B_11D5_982F_00B0D0A6BCF2_.wvu.PrintArea" localSheetId="2" hidden="1">#REF!</definedName>
    <definedName name="Z_7A335D06_3E2B_11D5_982F_00B0D0A6BCF2_.wvu.PrintArea" hidden="1">#REF!</definedName>
    <definedName name="Z_F4D26AD1_3E1A_11D5_A9C5_00A0C91596F2_.wvu.PrintArea" localSheetId="2" hidden="1">#REF!</definedName>
    <definedName name="Z_F4D26AD1_3E1A_11D5_A9C5_00A0C91596F2_.wvu.PrintArea" hidden="1">#REF!</definedName>
    <definedName name="zzz6" localSheetId="2" hidden="1">#REF!</definedName>
    <definedName name="zzz6"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4" l="1"/>
  <c r="N12" i="4"/>
  <c r="N11" i="4"/>
  <c r="C30" i="4"/>
  <c r="S14" i="5" l="1"/>
  <c r="T14" i="5" s="1"/>
  <c r="S15" i="5" l="1"/>
  <c r="T17" i="5" s="1"/>
  <c r="T16" i="5" l="1"/>
  <c r="T15" i="5"/>
  <c r="I21" i="5" l="1"/>
  <c r="L87" i="6" l="1"/>
  <c r="K87" i="6"/>
  <c r="D87" i="6"/>
  <c r="C87" i="6"/>
  <c r="N85" i="6"/>
  <c r="M85" i="6"/>
  <c r="L85" i="6"/>
  <c r="K85" i="6"/>
  <c r="J85" i="6"/>
  <c r="I85" i="6"/>
  <c r="H85" i="6"/>
  <c r="G85" i="6"/>
  <c r="F85" i="6"/>
  <c r="E85" i="6"/>
  <c r="D85" i="6"/>
  <c r="C85" i="6"/>
  <c r="N84" i="6"/>
  <c r="N87" i="6" s="1"/>
  <c r="M84" i="6"/>
  <c r="L84" i="6"/>
  <c r="K84" i="6"/>
  <c r="J84" i="6"/>
  <c r="I84" i="6"/>
  <c r="H84" i="6"/>
  <c r="G84" i="6"/>
  <c r="F84" i="6"/>
  <c r="F87" i="6" s="1"/>
  <c r="E84" i="6"/>
  <c r="D84" i="6"/>
  <c r="C84" i="6"/>
  <c r="N83" i="6"/>
  <c r="M83" i="6"/>
  <c r="L83" i="6"/>
  <c r="K83" i="6"/>
  <c r="J83" i="6"/>
  <c r="I83" i="6"/>
  <c r="H83" i="6"/>
  <c r="G83" i="6"/>
  <c r="F83" i="6"/>
  <c r="E83" i="6"/>
  <c r="D83" i="6"/>
  <c r="C83" i="6"/>
  <c r="O83" i="6" s="1"/>
  <c r="N82" i="6"/>
  <c r="M82" i="6"/>
  <c r="M87" i="6" s="1"/>
  <c r="L82" i="6"/>
  <c r="K82" i="6"/>
  <c r="J82" i="6"/>
  <c r="J87" i="6" s="1"/>
  <c r="I82" i="6"/>
  <c r="I87" i="6" s="1"/>
  <c r="H82" i="6"/>
  <c r="G82" i="6"/>
  <c r="G87" i="6" s="1"/>
  <c r="F82" i="6"/>
  <c r="E82" i="6"/>
  <c r="E87" i="6" s="1"/>
  <c r="D82" i="6"/>
  <c r="C82" i="6"/>
  <c r="N80" i="6"/>
  <c r="M80" i="6"/>
  <c r="L80" i="6"/>
  <c r="K80" i="6"/>
  <c r="J80" i="6"/>
  <c r="I80" i="6"/>
  <c r="H80" i="6"/>
  <c r="G80" i="6"/>
  <c r="F80" i="6"/>
  <c r="E80" i="6"/>
  <c r="D80" i="6"/>
  <c r="O80" i="6" s="1"/>
  <c r="C80" i="6"/>
  <c r="O79" i="6"/>
  <c r="O78" i="6"/>
  <c r="O77" i="6"/>
  <c r="B67" i="6"/>
  <c r="B66" i="6"/>
  <c r="F65" i="6"/>
  <c r="B65" i="6"/>
  <c r="N64" i="6"/>
  <c r="M64" i="6"/>
  <c r="L64" i="6"/>
  <c r="K64" i="6"/>
  <c r="J64" i="6"/>
  <c r="I64" i="6"/>
  <c r="H64" i="6"/>
  <c r="G64" i="6"/>
  <c r="F64" i="6"/>
  <c r="E64" i="6"/>
  <c r="D64" i="6"/>
  <c r="O64" i="6" s="1"/>
  <c r="C64" i="6"/>
  <c r="B64" i="6"/>
  <c r="B62" i="6"/>
  <c r="B61" i="6"/>
  <c r="N60" i="6"/>
  <c r="N65" i="6" s="1"/>
  <c r="M60" i="6"/>
  <c r="M65" i="6" s="1"/>
  <c r="L60" i="6"/>
  <c r="L65" i="6" s="1"/>
  <c r="K60" i="6"/>
  <c r="K65" i="6" s="1"/>
  <c r="J60" i="6"/>
  <c r="J65" i="6" s="1"/>
  <c r="I60" i="6"/>
  <c r="I65" i="6" s="1"/>
  <c r="H60" i="6"/>
  <c r="H65" i="6" s="1"/>
  <c r="G60" i="6"/>
  <c r="G65" i="6" s="1"/>
  <c r="F60" i="6"/>
  <c r="O60" i="6" s="1"/>
  <c r="E60" i="6"/>
  <c r="E65" i="6" s="1"/>
  <c r="D60" i="6"/>
  <c r="D65" i="6" s="1"/>
  <c r="C60" i="6"/>
  <c r="C65" i="6" s="1"/>
  <c r="B60" i="6"/>
  <c r="B51" i="6"/>
  <c r="B50" i="6"/>
  <c r="N49" i="6"/>
  <c r="I49" i="6"/>
  <c r="F49" i="6"/>
  <c r="B49" i="6"/>
  <c r="N48" i="6"/>
  <c r="M48" i="6"/>
  <c r="L48" i="6"/>
  <c r="K48" i="6"/>
  <c r="J48" i="6"/>
  <c r="I48" i="6"/>
  <c r="H48" i="6"/>
  <c r="G48" i="6"/>
  <c r="F48" i="6"/>
  <c r="E48" i="6"/>
  <c r="D48" i="6"/>
  <c r="O48" i="6" s="1"/>
  <c r="C48" i="6"/>
  <c r="B48" i="6"/>
  <c r="B47" i="6"/>
  <c r="B46" i="6"/>
  <c r="B45" i="6"/>
  <c r="O44" i="6"/>
  <c r="N44" i="6"/>
  <c r="M44" i="6"/>
  <c r="M49" i="6" s="1"/>
  <c r="L44" i="6"/>
  <c r="L49" i="6" s="1"/>
  <c r="K44" i="6"/>
  <c r="K49" i="6" s="1"/>
  <c r="J44" i="6"/>
  <c r="J49" i="6" s="1"/>
  <c r="I44" i="6"/>
  <c r="H44" i="6"/>
  <c r="H49" i="6" s="1"/>
  <c r="G44" i="6"/>
  <c r="G49" i="6" s="1"/>
  <c r="F44" i="6"/>
  <c r="E44" i="6"/>
  <c r="E49" i="6" s="1"/>
  <c r="D44" i="6"/>
  <c r="D49" i="6" s="1"/>
  <c r="C44" i="6"/>
  <c r="C49" i="6" s="1"/>
  <c r="B44" i="6"/>
  <c r="B35" i="6"/>
  <c r="B34" i="6"/>
  <c r="B33" i="6"/>
  <c r="B32" i="6"/>
  <c r="B30" i="6"/>
  <c r="B29" i="6"/>
  <c r="N28" i="6"/>
  <c r="M28" i="6"/>
  <c r="L28" i="6"/>
  <c r="K28" i="6"/>
  <c r="J28" i="6"/>
  <c r="I28" i="6"/>
  <c r="H28" i="6"/>
  <c r="G28" i="6"/>
  <c r="F28" i="6"/>
  <c r="E28" i="6"/>
  <c r="D28" i="6"/>
  <c r="C28" i="6"/>
  <c r="B28" i="6"/>
  <c r="O12" i="6"/>
  <c r="N12" i="6"/>
  <c r="G12" i="6"/>
  <c r="F12" i="6"/>
  <c r="O11" i="6"/>
  <c r="H11" i="6" s="1"/>
  <c r="N11" i="6"/>
  <c r="N45" i="6" s="1"/>
  <c r="N50" i="6" s="1"/>
  <c r="L11" i="6"/>
  <c r="K11" i="6"/>
  <c r="G11" i="6"/>
  <c r="G61" i="6" s="1"/>
  <c r="G66" i="6" s="1"/>
  <c r="F11" i="6"/>
  <c r="F45" i="6" s="1"/>
  <c r="F50" i="6" s="1"/>
  <c r="D11" i="6"/>
  <c r="C11" i="6"/>
  <c r="O10" i="6"/>
  <c r="H28" i="5"/>
  <c r="G28" i="5"/>
  <c r="F28" i="5"/>
  <c r="H27" i="5"/>
  <c r="G27" i="5"/>
  <c r="F27" i="5"/>
  <c r="E27" i="5"/>
  <c r="H26" i="5"/>
  <c r="G26" i="5"/>
  <c r="F26" i="5"/>
  <c r="E26" i="5"/>
  <c r="E25" i="5"/>
  <c r="E28" i="5" s="1"/>
  <c r="I18" i="5"/>
  <c r="N19" i="5" s="1"/>
  <c r="M13" i="4"/>
  <c r="E23" i="1" s="1"/>
  <c r="I13" i="4"/>
  <c r="K12" i="4"/>
  <c r="C22" i="1" s="1"/>
  <c r="I12" i="4"/>
  <c r="I11" i="4"/>
  <c r="L12" i="4"/>
  <c r="H14" i="1"/>
  <c r="H13" i="1"/>
  <c r="H12" i="1"/>
  <c r="F22" i="1" l="1"/>
  <c r="F23" i="1"/>
  <c r="F21" i="1"/>
  <c r="M32" i="6"/>
  <c r="M12" i="4"/>
  <c r="E22" i="1" s="1"/>
  <c r="H45" i="6"/>
  <c r="H50" i="6" s="1"/>
  <c r="H61" i="6"/>
  <c r="H66" i="6" s="1"/>
  <c r="F46" i="6"/>
  <c r="F51" i="6" s="1"/>
  <c r="F52" i="6" s="1"/>
  <c r="F62" i="6"/>
  <c r="F67" i="6" s="1"/>
  <c r="F30" i="6"/>
  <c r="L61" i="6"/>
  <c r="L66" i="6" s="1"/>
  <c r="L29" i="6"/>
  <c r="L45" i="6"/>
  <c r="L50" i="6" s="1"/>
  <c r="H29" i="6"/>
  <c r="H87" i="6"/>
  <c r="O85" i="6"/>
  <c r="O49" i="6"/>
  <c r="G68" i="6"/>
  <c r="C61" i="6"/>
  <c r="C45" i="6"/>
  <c r="C29" i="6"/>
  <c r="D61" i="6"/>
  <c r="D66" i="6" s="1"/>
  <c r="D29" i="6"/>
  <c r="D45" i="6"/>
  <c r="D50" i="6" s="1"/>
  <c r="G62" i="6"/>
  <c r="G67" i="6" s="1"/>
  <c r="G30" i="6"/>
  <c r="G46" i="6"/>
  <c r="G51" i="6" s="1"/>
  <c r="O84" i="6"/>
  <c r="O65" i="6"/>
  <c r="D22" i="1"/>
  <c r="N62" i="6"/>
  <c r="N67" i="6" s="1"/>
  <c r="N30" i="6"/>
  <c r="N46" i="6"/>
  <c r="N51" i="6" s="1"/>
  <c r="N52" i="6" s="1"/>
  <c r="O62" i="6"/>
  <c r="O30" i="6"/>
  <c r="K12" i="6"/>
  <c r="C12" i="6"/>
  <c r="O46" i="6"/>
  <c r="J12" i="6"/>
  <c r="H12" i="6"/>
  <c r="M12" i="6"/>
  <c r="E12" i="6"/>
  <c r="I12" i="6"/>
  <c r="L12" i="6"/>
  <c r="D12" i="6"/>
  <c r="P49" i="6"/>
  <c r="K29" i="6"/>
  <c r="K61" i="6"/>
  <c r="K66" i="6" s="1"/>
  <c r="K45" i="6"/>
  <c r="K50" i="6" s="1"/>
  <c r="O82" i="6"/>
  <c r="O87" i="6" s="1"/>
  <c r="I11" i="6"/>
  <c r="F29" i="6"/>
  <c r="N29" i="6"/>
  <c r="G45" i="6"/>
  <c r="G50" i="6" s="1"/>
  <c r="G52" i="6" s="1"/>
  <c r="F61" i="6"/>
  <c r="F66" i="6" s="1"/>
  <c r="F68" i="6" s="1"/>
  <c r="N61" i="6"/>
  <c r="N66" i="6" s="1"/>
  <c r="N68" i="6" s="1"/>
  <c r="J11" i="6"/>
  <c r="G29" i="6"/>
  <c r="E11" i="6"/>
  <c r="M11" i="6"/>
  <c r="G32" i="6" l="1"/>
  <c r="H32" i="6"/>
  <c r="N32" i="6"/>
  <c r="J32" i="6"/>
  <c r="I32" i="6"/>
  <c r="C32" i="6"/>
  <c r="L32" i="6"/>
  <c r="K32" i="6"/>
  <c r="F32" i="6"/>
  <c r="D32" i="6"/>
  <c r="E32" i="6"/>
  <c r="K62" i="6"/>
  <c r="K67" i="6" s="1"/>
  <c r="K68" i="6" s="1"/>
  <c r="K30" i="6"/>
  <c r="K46" i="6"/>
  <c r="K51" i="6" s="1"/>
  <c r="K52" i="6" s="1"/>
  <c r="I61" i="6"/>
  <c r="I66" i="6" s="1"/>
  <c r="I68" i="6" s="1"/>
  <c r="I29" i="6"/>
  <c r="I45" i="6"/>
  <c r="I50" i="6" s="1"/>
  <c r="C66" i="6"/>
  <c r="L13" i="4"/>
  <c r="M61" i="6"/>
  <c r="M66" i="6" s="1"/>
  <c r="M68" i="6" s="1"/>
  <c r="M29" i="6"/>
  <c r="M45" i="6"/>
  <c r="M50" i="6" s="1"/>
  <c r="M52" i="6" s="1"/>
  <c r="M62" i="6"/>
  <c r="M67" i="6" s="1"/>
  <c r="M46" i="6"/>
  <c r="M51" i="6" s="1"/>
  <c r="M30" i="6"/>
  <c r="D62" i="6"/>
  <c r="D67" i="6" s="1"/>
  <c r="D68" i="6" s="1"/>
  <c r="D30" i="6"/>
  <c r="D46" i="6"/>
  <c r="D51" i="6" s="1"/>
  <c r="D52" i="6" s="1"/>
  <c r="C62" i="6"/>
  <c r="C67" i="6" s="1"/>
  <c r="C46" i="6"/>
  <c r="C51" i="6" s="1"/>
  <c r="C30" i="6"/>
  <c r="L62" i="6"/>
  <c r="L67" i="6" s="1"/>
  <c r="L30" i="6"/>
  <c r="L46" i="6"/>
  <c r="L51" i="6" s="1"/>
  <c r="L52" i="6" s="1"/>
  <c r="P65" i="6"/>
  <c r="I62" i="6"/>
  <c r="I67" i="6" s="1"/>
  <c r="I30" i="6"/>
  <c r="I46" i="6"/>
  <c r="I51" i="6" s="1"/>
  <c r="E62" i="6"/>
  <c r="E67" i="6" s="1"/>
  <c r="E30" i="6"/>
  <c r="E46" i="6"/>
  <c r="E51" i="6" s="1"/>
  <c r="L68" i="6"/>
  <c r="I26" i="5"/>
  <c r="G30" i="4"/>
  <c r="E61" i="6"/>
  <c r="E66" i="6" s="1"/>
  <c r="E29" i="6"/>
  <c r="E45" i="6"/>
  <c r="E50" i="6" s="1"/>
  <c r="E52" i="6" s="1"/>
  <c r="H46" i="6"/>
  <c r="H51" i="6" s="1"/>
  <c r="H52" i="6" s="1"/>
  <c r="H62" i="6"/>
  <c r="H67" i="6" s="1"/>
  <c r="H68" i="6" s="1"/>
  <c r="H30" i="6"/>
  <c r="J61" i="6"/>
  <c r="J66" i="6" s="1"/>
  <c r="J29" i="6"/>
  <c r="J45" i="6"/>
  <c r="J50" i="6" s="1"/>
  <c r="J52" i="6" s="1"/>
  <c r="J46" i="6"/>
  <c r="J51" i="6" s="1"/>
  <c r="J30" i="6"/>
  <c r="J62" i="6"/>
  <c r="J67" i="6" s="1"/>
  <c r="C50" i="6"/>
  <c r="O32" i="6" l="1"/>
  <c r="J68" i="6"/>
  <c r="O51" i="6"/>
  <c r="D23" i="1"/>
  <c r="E68" i="6"/>
  <c r="O67" i="6"/>
  <c r="I52" i="6"/>
  <c r="O45" i="6"/>
  <c r="O29" i="6"/>
  <c r="O12" i="4"/>
  <c r="H30" i="4"/>
  <c r="O61" i="6"/>
  <c r="O50" i="6"/>
  <c r="O52" i="6" s="1"/>
  <c r="C52" i="6"/>
  <c r="I22" i="5"/>
  <c r="O66" i="6"/>
  <c r="O68" i="6" s="1"/>
  <c r="C68" i="6"/>
  <c r="H29" i="4"/>
  <c r="K11" i="4"/>
  <c r="G31" i="4" l="1"/>
  <c r="I27" i="5"/>
  <c r="I28" i="5" s="1"/>
  <c r="I15" i="6"/>
  <c r="H15" i="6"/>
  <c r="G15" i="6"/>
  <c r="K15" i="6"/>
  <c r="J15" i="6"/>
  <c r="L15" i="6"/>
  <c r="G16" i="6"/>
  <c r="G17" i="6"/>
  <c r="L16" i="6"/>
  <c r="H16" i="6"/>
  <c r="K16" i="6"/>
  <c r="I16" i="6"/>
  <c r="J16" i="6"/>
  <c r="I17" i="6"/>
  <c r="L17" i="6"/>
  <c r="J17" i="6"/>
  <c r="H17" i="6"/>
  <c r="K17" i="6"/>
  <c r="P11" i="4"/>
  <c r="C21" i="1"/>
  <c r="G22" i="1"/>
  <c r="H22" i="1" s="1"/>
  <c r="I22" i="1" s="1"/>
  <c r="P12" i="4"/>
  <c r="N14" i="6"/>
  <c r="F14" i="6"/>
  <c r="L14" i="6"/>
  <c r="M14" i="6"/>
  <c r="E14" i="6"/>
  <c r="K14" i="6"/>
  <c r="C14" i="6"/>
  <c r="H14" i="6"/>
  <c r="G14" i="6"/>
  <c r="D14" i="6"/>
  <c r="I14" i="6"/>
  <c r="J14" i="6"/>
  <c r="H18" i="6" l="1"/>
  <c r="H21" i="1"/>
  <c r="I21" i="1" s="1"/>
  <c r="K18" i="6"/>
  <c r="I33" i="6"/>
  <c r="G33" i="6"/>
  <c r="N33" i="6"/>
  <c r="F33" i="6"/>
  <c r="D33" i="6"/>
  <c r="C33" i="6"/>
  <c r="L33" i="6"/>
  <c r="M33" i="6"/>
  <c r="J33" i="6"/>
  <c r="H33" i="6"/>
  <c r="E33" i="6"/>
  <c r="K33" i="6"/>
  <c r="G35" i="6"/>
  <c r="N34" i="6"/>
  <c r="G34" i="6"/>
  <c r="F34" i="6"/>
  <c r="F35" i="6"/>
  <c r="H34" i="6"/>
  <c r="C34" i="6"/>
  <c r="N35" i="6"/>
  <c r="D34" i="6"/>
  <c r="L34" i="6"/>
  <c r="K34" i="6"/>
  <c r="K35" i="6"/>
  <c r="J34" i="6"/>
  <c r="I34" i="6"/>
  <c r="D35" i="6"/>
  <c r="M34" i="6"/>
  <c r="C35" i="6"/>
  <c r="J35" i="6"/>
  <c r="E34" i="6"/>
  <c r="H35" i="6"/>
  <c r="E35" i="6"/>
  <c r="I35" i="6"/>
  <c r="M35" i="6"/>
  <c r="L35" i="6"/>
  <c r="G18" i="6"/>
  <c r="O14" i="6"/>
  <c r="J18" i="6"/>
  <c r="I18" i="6"/>
  <c r="L18" i="6"/>
  <c r="O13" i="4"/>
  <c r="H31" i="4"/>
  <c r="M36" i="6" l="1"/>
  <c r="L36" i="6"/>
  <c r="O33" i="6"/>
  <c r="C36" i="6"/>
  <c r="O35" i="6"/>
  <c r="D36" i="6"/>
  <c r="N15" i="6"/>
  <c r="F15" i="6"/>
  <c r="C15" i="6"/>
  <c r="E15" i="6"/>
  <c r="M15" i="6"/>
  <c r="D15" i="6"/>
  <c r="F17" i="6"/>
  <c r="D16" i="6"/>
  <c r="N17" i="6"/>
  <c r="C16" i="6"/>
  <c r="F16" i="6"/>
  <c r="N16" i="6"/>
  <c r="E17" i="6"/>
  <c r="D17" i="6"/>
  <c r="M16" i="6"/>
  <c r="E16" i="6"/>
  <c r="C17" i="6"/>
  <c r="M17" i="6"/>
  <c r="K36" i="6"/>
  <c r="F36" i="6"/>
  <c r="O34" i="6"/>
  <c r="E36" i="6"/>
  <c r="N36" i="6"/>
  <c r="G23" i="1"/>
  <c r="H23" i="1" s="1"/>
  <c r="I23" i="1" s="1"/>
  <c r="P13" i="4"/>
  <c r="H36" i="6"/>
  <c r="G36" i="6"/>
  <c r="J36" i="6"/>
  <c r="I36" i="6"/>
  <c r="D18" i="6" l="1"/>
  <c r="O36" i="6"/>
  <c r="O16" i="6"/>
  <c r="F18" i="6"/>
  <c r="M18" i="6"/>
  <c r="E18" i="6"/>
  <c r="O15" i="6"/>
  <c r="C18" i="6"/>
  <c r="O17" i="6"/>
  <c r="N18" i="6"/>
  <c r="O18" i="6" l="1"/>
  <c r="O215" i="6" s="1"/>
</calcChain>
</file>

<file path=xl/sharedStrings.xml><?xml version="1.0" encoding="utf-8"?>
<sst xmlns="http://schemas.openxmlformats.org/spreadsheetml/2006/main" count="185" uniqueCount="99">
  <si>
    <t>Central Maine Power Company</t>
  </si>
  <si>
    <t>A-Seasonal/Heat-Pump Rate</t>
  </si>
  <si>
    <t>Distribution</t>
  </si>
  <si>
    <t>ELP</t>
  </si>
  <si>
    <t>EMT</t>
  </si>
  <si>
    <t>Stranded</t>
  </si>
  <si>
    <t>Transmission</t>
  </si>
  <si>
    <t>Total Rates</t>
  </si>
  <si>
    <t>% Change</t>
  </si>
  <si>
    <t>Rates</t>
  </si>
  <si>
    <t>Assessment</t>
  </si>
  <si>
    <t>Cost Rates</t>
  </si>
  <si>
    <t>Effective</t>
  </si>
  <si>
    <t xml:space="preserve">in </t>
  </si>
  <si>
    <t>Component</t>
  </si>
  <si>
    <t xml:space="preserve"> Service Charge</t>
  </si>
  <si>
    <t>kWh-May to October</t>
  </si>
  <si>
    <t>kWh-November to April</t>
  </si>
  <si>
    <t>Service Charge</t>
  </si>
  <si>
    <t>Total</t>
  </si>
  <si>
    <t>Heat Pump Rate</t>
  </si>
  <si>
    <t>Rate Design by Component - Proposed</t>
  </si>
  <si>
    <r>
      <t>Distribution</t>
    </r>
    <r>
      <rPr>
        <b/>
        <sz val="10"/>
        <rFont val="Arial"/>
        <family val="2"/>
      </rPr>
      <t xml:space="preserve"> (1)</t>
    </r>
  </si>
  <si>
    <r>
      <t xml:space="preserve">ELP </t>
    </r>
    <r>
      <rPr>
        <b/>
        <sz val="10"/>
        <rFont val="Arial"/>
        <family val="2"/>
      </rPr>
      <t>(2)</t>
    </r>
  </si>
  <si>
    <r>
      <t xml:space="preserve">EMT </t>
    </r>
    <r>
      <rPr>
        <b/>
        <sz val="10"/>
        <rFont val="Arial"/>
        <family val="2"/>
      </rPr>
      <t>(2)</t>
    </r>
  </si>
  <si>
    <r>
      <t xml:space="preserve">Stranded </t>
    </r>
    <r>
      <rPr>
        <b/>
        <sz val="10"/>
        <rFont val="Arial"/>
        <family val="2"/>
      </rPr>
      <t>(2)</t>
    </r>
  </si>
  <si>
    <r>
      <t>Transmission</t>
    </r>
    <r>
      <rPr>
        <b/>
        <sz val="10"/>
        <rFont val="Arial"/>
        <family val="2"/>
      </rPr>
      <t xml:space="preserve"> (3)</t>
    </r>
  </si>
  <si>
    <t>&lt;= Set equal to the Service Charge under Rate ET Rate</t>
  </si>
  <si>
    <t>Per KWH - May to October</t>
  </si>
  <si>
    <t>&lt;= Set to generate the same level of revenue as under the Rate ETS for January 1 Rates</t>
  </si>
  <si>
    <t>Per KWH - All Other</t>
  </si>
  <si>
    <r>
      <rPr>
        <b/>
        <sz val="10"/>
        <rFont val="Arial"/>
        <family val="2"/>
      </rPr>
      <t>(1)</t>
    </r>
    <r>
      <rPr>
        <sz val="10"/>
        <rFont val="Arial"/>
        <family val="2"/>
      </rPr>
      <t xml:space="preserve"> Distribution rate component is adjusted such that the level of revenue generated from a heat pump customer using 9,335 kWh for heating and 1000 kWh for cooling is the same as under the ET rate but collected from May through October only.  See Bill Calculations for ETS vs Heat Pump on page 3</t>
    </r>
  </si>
  <si>
    <r>
      <rPr>
        <b/>
        <sz val="10"/>
        <rFont val="Arial"/>
        <family val="2"/>
      </rPr>
      <t>(2)</t>
    </r>
    <r>
      <rPr>
        <sz val="10"/>
        <rFont val="Arial"/>
        <family val="2"/>
      </rPr>
      <t xml:space="preserve"> ELP, EMT and Stranded Costs Rates are set to equal the rate under the ET rate and are collected evenly over the 12 months</t>
    </r>
  </si>
  <si>
    <t>Residential Heat Pump Rate</t>
  </si>
  <si>
    <r>
      <t>Collect T &amp; D kwh charge in May to October</t>
    </r>
    <r>
      <rPr>
        <sz val="10"/>
        <rFont val="Arial"/>
        <family val="2"/>
      </rPr>
      <t xml:space="preserve"> Only.  Monthly Service Charge = Marginal Cost 2018-00194 (Table 5 from 10-15-2018 Marginal cost Study Testimony and Exhibits)</t>
    </r>
  </si>
  <si>
    <t>Transmission Rate for Residential Heat Pump Customers</t>
  </si>
  <si>
    <t>Billing Units kWh:</t>
  </si>
  <si>
    <t>KWH - May &amp; October 50 or less</t>
  </si>
  <si>
    <t>KWH - May to October</t>
  </si>
  <si>
    <t>KWH - All  Other 50 or less</t>
  </si>
  <si>
    <t>KWH - All Other</t>
  </si>
  <si>
    <t>Variance</t>
  </si>
  <si>
    <t>Rate per kWh</t>
  </si>
  <si>
    <t>Revenue per kWh</t>
  </si>
  <si>
    <t xml:space="preserve">Heat Pump Customer </t>
  </si>
  <si>
    <t>Bill Calculations - Heat Pump Rate</t>
  </si>
  <si>
    <t>January</t>
  </si>
  <si>
    <t>February</t>
  </si>
  <si>
    <t>March</t>
  </si>
  <si>
    <t>April</t>
  </si>
  <si>
    <t>May</t>
  </si>
  <si>
    <t>June</t>
  </si>
  <si>
    <t>July</t>
  </si>
  <si>
    <t>August</t>
  </si>
  <si>
    <t>September</t>
  </si>
  <si>
    <t>October</t>
  </si>
  <si>
    <t>November</t>
  </si>
  <si>
    <t>December</t>
  </si>
  <si>
    <t>ASHP Monthly Load Profile - Heat</t>
  </si>
  <si>
    <t xml:space="preserve"> =&gt; Total Load</t>
  </si>
  <si>
    <t>ASHP Monthly Load Profile - AC</t>
  </si>
  <si>
    <t>HEAT PUMP</t>
  </si>
  <si>
    <t>Base kWh</t>
  </si>
  <si>
    <t>ASHP kWh - Heat</t>
  </si>
  <si>
    <t>ASHP kWh - AC</t>
  </si>
  <si>
    <t xml:space="preserve"> =&gt; Heating Load monthly profile</t>
  </si>
  <si>
    <t>ASHP - Heat</t>
  </si>
  <si>
    <t>ASHP - AC</t>
  </si>
  <si>
    <t>A</t>
  </si>
  <si>
    <t>Bill Calculations - ET Rate</t>
  </si>
  <si>
    <t>Customer Charge</t>
  </si>
  <si>
    <t>kwh Rate</t>
  </si>
  <si>
    <t>B</t>
  </si>
  <si>
    <t>Existing Rate A</t>
  </si>
  <si>
    <t>Proposed Rate A (Rate Year 1)</t>
  </si>
  <si>
    <t>kwh Rate On-Peak</t>
  </si>
  <si>
    <t>Proposed Rate A-TOU (Rate Year 1)</t>
  </si>
  <si>
    <t>kwh Rate Shoulder</t>
  </si>
  <si>
    <t>kwh Rate Off- Peak</t>
  </si>
  <si>
    <t>kWh - On-Peak</t>
  </si>
  <si>
    <t>kWh - Shoulder</t>
  </si>
  <si>
    <t>KWh - Off-Peak</t>
  </si>
  <si>
    <t>Difference in Heat Pump Customer Bill</t>
  </si>
  <si>
    <t>A -B</t>
  </si>
  <si>
    <t>Rates proposed to be effective October 1, 2026</t>
  </si>
  <si>
    <t>Rates Proposed October 1, 2026</t>
  </si>
  <si>
    <t>Rate Design - October 1 2026</t>
  </si>
  <si>
    <t>Rates in Effect October 1, 2025</t>
  </si>
  <si>
    <t>Total kWh Transmission Rate Calculation - January 1, 2026</t>
  </si>
  <si>
    <t>2026 RDM Target Units</t>
  </si>
  <si>
    <t>ET Rate July 1, 2026</t>
  </si>
  <si>
    <t>Effective October 1, 2026</t>
  </si>
  <si>
    <r>
      <rPr>
        <b/>
        <sz val="10"/>
        <rFont val="Arial"/>
        <family val="2"/>
      </rPr>
      <t>(3)</t>
    </r>
    <r>
      <rPr>
        <sz val="10"/>
        <rFont val="Arial"/>
        <family val="2"/>
      </rPr>
      <t xml:space="preserve"> Transmission rate updated 1/1/2026 to collect from May to October only.</t>
    </r>
  </si>
  <si>
    <t>Transmission Revenue Requirement - Residential - January 1, 2026</t>
  </si>
  <si>
    <t>Customer Charge -  October 1, 2026</t>
  </si>
  <si>
    <t>Proposed Price Change for Rate A-Seasonal Rate</t>
  </si>
  <si>
    <t>Rates in Effect October 1, 2025 1/</t>
  </si>
  <si>
    <t>1/ On January 29, 2026, CMP filed a cancellation of the A-Seasonal Rate in compliance with the Termination Date</t>
  </si>
  <si>
    <t xml:space="preserve">    lanuage from the A-Seasonal Tariff, effective February 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</si>
</sst>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_(* #,##0.000000_);_(* \(#,##0.000000\);_(* &quot;-&quot;??_);_(@_)"/>
    <numFmt numFmtId="165" formatCode="_(* #,##0_);_(* \(#,##0\);_(* &quot;-&quot;??_);_(@_)"/>
    <numFmt numFmtId="166" formatCode="_(&quot;$&quot;* #,##0_);_(&quot;$&quot;* \(#,##0\);_(&quot;$&quot;* &quot;-&quot;??_);_(@_)"/>
    <numFmt numFmtId="167" formatCode="_(&quot;$&quot;* #,##0.000000_);_(&quot;$&quot;* \(#,##0.000000\);_(&quot;$&quot;* &quot;-&quot;??_);_(@_)"/>
    <numFmt numFmtId="168" formatCode="0.0%"/>
    <numFmt numFmtId="169" formatCode="0.000000"/>
    <numFmt numFmtId="170" formatCode="_(&quot;$&quot;* #,##0.000_);_(&quot;$&quot;* \(#,##0.000\);_(&quot;$&quot;* &quot;-&quot;??_);_(@_)"/>
    <numFmt numFmtId="171" formatCode="#,##0.000000_);\(#,##0.000000\)"/>
  </numFmts>
  <fonts count="15" x14ac:knownFonts="1">
    <font>
      <sz val="11"/>
      <color theme="1"/>
      <name val="Calibri"/>
      <family val="2"/>
      <scheme val="minor"/>
    </font>
    <font>
      <sz val="11"/>
      <color theme="1"/>
      <name val="Calibri"/>
      <family val="2"/>
      <scheme val="minor"/>
    </font>
    <font>
      <sz val="10"/>
      <color theme="1"/>
      <name val="Arial"/>
      <family val="2"/>
    </font>
    <font>
      <b/>
      <sz val="11"/>
      <name val="Arial"/>
      <family val="2"/>
    </font>
    <font>
      <sz val="10"/>
      <name val="Arial"/>
      <family val="2"/>
    </font>
    <font>
      <b/>
      <u/>
      <sz val="10"/>
      <name val="Arial"/>
      <family val="2"/>
    </font>
    <font>
      <b/>
      <sz val="10"/>
      <name val="Arial"/>
      <family val="2"/>
    </font>
    <font>
      <sz val="11"/>
      <name val="Calibri"/>
      <family val="2"/>
      <scheme val="minor"/>
    </font>
    <font>
      <sz val="11"/>
      <color theme="1"/>
      <name val="Arial"/>
      <family val="2"/>
    </font>
    <font>
      <vertAlign val="superscript"/>
      <sz val="11"/>
      <name val="Calibri"/>
      <family val="2"/>
      <scheme val="minor"/>
    </font>
    <font>
      <b/>
      <sz val="11"/>
      <name val="Calibri"/>
      <family val="2"/>
      <scheme val="minor"/>
    </font>
    <font>
      <b/>
      <sz val="14"/>
      <name val="Calibri"/>
      <family val="2"/>
      <scheme val="minor"/>
    </font>
    <font>
      <b/>
      <sz val="12"/>
      <name val="Calibri"/>
      <family val="2"/>
      <scheme val="minor"/>
    </font>
    <font>
      <sz val="12"/>
      <name val="Calibri"/>
      <family val="2"/>
      <scheme val="minor"/>
    </font>
    <font>
      <u/>
      <sz val="11"/>
      <name val="Calibri"/>
      <family val="2"/>
      <scheme val="minor"/>
    </font>
  </fonts>
  <fills count="2">
    <fill>
      <patternFill patternType="none"/>
    </fill>
    <fill>
      <patternFill patternType="gray125"/>
    </fill>
  </fills>
  <borders count="19">
    <border>
      <left/>
      <right/>
      <top/>
      <bottom/>
      <diagonal/>
    </border>
    <border>
      <left/>
      <right/>
      <top/>
      <bottom style="thin">
        <color indexed="64"/>
      </bottom>
      <diagonal/>
    </border>
    <border>
      <left/>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25">
    <xf numFmtId="0" fontId="0" fillId="0" borderId="0"/>
    <xf numFmtId="43" fontId="1" fillId="0" borderId="0" applyFont="0" applyFill="0" applyBorder="0" applyAlignment="0" applyProtection="0"/>
    <xf numFmtId="0" fontId="2"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9" fontId="2" fillId="0" borderId="0" applyFont="0" applyFill="0" applyBorder="0" applyAlignment="0" applyProtection="0"/>
    <xf numFmtId="0" fontId="2" fillId="0" borderId="0"/>
    <xf numFmtId="44" fontId="4" fillId="0" borderId="0" applyFont="0" applyFill="0" applyBorder="0" applyAlignment="0" applyProtection="0"/>
    <xf numFmtId="0" fontId="8" fillId="0" borderId="0"/>
    <xf numFmtId="0" fontId="4" fillId="0" borderId="0"/>
    <xf numFmtId="43" fontId="2" fillId="0" borderId="0" applyFont="0" applyFill="0" applyBorder="0" applyAlignment="0" applyProtection="0"/>
    <xf numFmtId="0" fontId="1" fillId="0" borderId="0"/>
    <xf numFmtId="0" fontId="4" fillId="0" borderId="0"/>
    <xf numFmtId="44" fontId="4" fillId="0" borderId="0" applyFont="0" applyFill="0" applyBorder="0" applyAlignment="0" applyProtection="0"/>
    <xf numFmtId="44" fontId="2"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0" fontId="4"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cellStyleXfs>
  <cellXfs count="115">
    <xf numFmtId="0" fontId="0" fillId="0" borderId="0" xfId="0"/>
    <xf numFmtId="0" fontId="4" fillId="0" borderId="0" xfId="2" applyFont="1"/>
    <xf numFmtId="0" fontId="5" fillId="0" borderId="0" xfId="2" applyFont="1"/>
    <xf numFmtId="0" fontId="4" fillId="0" borderId="0" xfId="3" applyAlignment="1">
      <alignment horizontal="center"/>
    </xf>
    <xf numFmtId="0" fontId="4" fillId="0" borderId="0" xfId="3" applyAlignment="1">
      <alignment horizontal="centerContinuous"/>
    </xf>
    <xf numFmtId="10" fontId="4" fillId="0" borderId="0" xfId="3" applyNumberFormat="1" applyAlignment="1">
      <alignment horizontal="center"/>
    </xf>
    <xf numFmtId="14" fontId="4" fillId="0" borderId="1" xfId="3" applyNumberFormat="1" applyBorder="1" applyAlignment="1">
      <alignment horizontal="center"/>
    </xf>
    <xf numFmtId="10" fontId="4" fillId="0" borderId="1" xfId="3" applyNumberFormat="1" applyBorder="1" applyAlignment="1">
      <alignment horizontal="center"/>
    </xf>
    <xf numFmtId="0" fontId="4" fillId="0" borderId="0" xfId="3"/>
    <xf numFmtId="43" fontId="4" fillId="0" borderId="0" xfId="4" applyFont="1" applyFill="1"/>
    <xf numFmtId="10" fontId="4" fillId="0" borderId="0" xfId="5" applyNumberFormat="1" applyFont="1" applyFill="1"/>
    <xf numFmtId="164" fontId="4" fillId="0" borderId="0" xfId="4" applyNumberFormat="1" applyFont="1" applyFill="1"/>
    <xf numFmtId="0" fontId="5" fillId="0" borderId="0" xfId="2" applyFont="1" applyAlignment="1">
      <alignment horizontal="center"/>
    </xf>
    <xf numFmtId="43" fontId="4" fillId="0" borderId="0" xfId="2" applyNumberFormat="1" applyFont="1"/>
    <xf numFmtId="10" fontId="4" fillId="0" borderId="0" xfId="6" applyNumberFormat="1" applyFont="1" applyFill="1"/>
    <xf numFmtId="164" fontId="4" fillId="0" borderId="0" xfId="2" applyNumberFormat="1" applyFont="1"/>
    <xf numFmtId="0" fontId="7" fillId="0" borderId="0" xfId="7" applyFont="1"/>
    <xf numFmtId="0" fontId="6" fillId="0" borderId="0" xfId="7" applyFont="1"/>
    <xf numFmtId="0" fontId="5" fillId="0" borderId="0" xfId="7" applyFont="1"/>
    <xf numFmtId="0" fontId="4" fillId="0" borderId="0" xfId="7" applyFont="1"/>
    <xf numFmtId="14" fontId="4" fillId="0" borderId="0" xfId="3" applyNumberFormat="1" applyAlignment="1">
      <alignment horizontal="center"/>
    </xf>
    <xf numFmtId="44" fontId="4" fillId="0" borderId="0" xfId="8" applyFont="1" applyFill="1" applyAlignment="1">
      <alignment horizontal="right"/>
    </xf>
    <xf numFmtId="44" fontId="4" fillId="0" borderId="0" xfId="7" applyNumberFormat="1" applyFont="1"/>
    <xf numFmtId="43" fontId="4" fillId="0" borderId="0" xfId="7" applyNumberFormat="1" applyFont="1"/>
    <xf numFmtId="164" fontId="4" fillId="0" borderId="0" xfId="4" applyNumberFormat="1" applyFont="1" applyFill="1" applyAlignment="1">
      <alignment horizontal="right"/>
    </xf>
    <xf numFmtId="167" fontId="4" fillId="0" borderId="0" xfId="7" applyNumberFormat="1" applyFont="1"/>
    <xf numFmtId="164" fontId="4" fillId="0" borderId="0" xfId="7" applyNumberFormat="1" applyFont="1"/>
    <xf numFmtId="0" fontId="9" fillId="0" borderId="3" xfId="7" applyFont="1" applyBorder="1"/>
    <xf numFmtId="0" fontId="4" fillId="0" borderId="4" xfId="7" applyFont="1" applyBorder="1"/>
    <xf numFmtId="0" fontId="4" fillId="0" borderId="5" xfId="7" applyFont="1" applyBorder="1"/>
    <xf numFmtId="0" fontId="9" fillId="0" borderId="6" xfId="7" applyFont="1" applyBorder="1"/>
    <xf numFmtId="0" fontId="4" fillId="0" borderId="7" xfId="7" applyFont="1" applyBorder="1"/>
    <xf numFmtId="0" fontId="4" fillId="0" borderId="0" xfId="7" applyFont="1" applyAlignment="1">
      <alignment horizontal="center"/>
    </xf>
    <xf numFmtId="0" fontId="4" fillId="0" borderId="7" xfId="7" applyFont="1" applyBorder="1" applyAlignment="1">
      <alignment horizontal="center"/>
    </xf>
    <xf numFmtId="0" fontId="4" fillId="0" borderId="6" xfId="7" applyFont="1" applyBorder="1"/>
    <xf numFmtId="44" fontId="7" fillId="0" borderId="0" xfId="19" applyFont="1" applyFill="1" applyBorder="1"/>
    <xf numFmtId="44" fontId="4" fillId="0" borderId="0" xfId="20" applyNumberFormat="1"/>
    <xf numFmtId="44" fontId="4" fillId="0" borderId="8" xfId="7" applyNumberFormat="1" applyFont="1" applyBorder="1"/>
    <xf numFmtId="0" fontId="10" fillId="0" borderId="0" xfId="7" applyFont="1"/>
    <xf numFmtId="0" fontId="7" fillId="0" borderId="6" xfId="7" applyFont="1" applyBorder="1"/>
    <xf numFmtId="167" fontId="4" fillId="0" borderId="7" xfId="7" applyNumberFormat="1" applyFont="1" applyBorder="1"/>
    <xf numFmtId="0" fontId="4" fillId="0" borderId="9" xfId="7" applyFont="1" applyBorder="1"/>
    <xf numFmtId="0" fontId="4" fillId="0" borderId="10" xfId="7" applyFont="1" applyBorder="1"/>
    <xf numFmtId="0" fontId="4" fillId="0" borderId="11" xfId="7" applyFont="1" applyBorder="1"/>
    <xf numFmtId="0" fontId="4" fillId="0" borderId="0" xfId="7" quotePrefix="1" applyFont="1" applyAlignment="1">
      <alignment horizontal="left" wrapText="1"/>
    </xf>
    <xf numFmtId="0" fontId="4" fillId="0" borderId="0" xfId="7" quotePrefix="1" applyFont="1"/>
    <xf numFmtId="0" fontId="11" fillId="0" borderId="0" xfId="7" applyFont="1"/>
    <xf numFmtId="0" fontId="11" fillId="0" borderId="0" xfId="7" applyFont="1" applyAlignment="1">
      <alignment horizontal="center"/>
    </xf>
    <xf numFmtId="168" fontId="7" fillId="0" borderId="0" xfId="21" applyNumberFormat="1" applyFont="1" applyFill="1"/>
    <xf numFmtId="38" fontId="4" fillId="0" borderId="0" xfId="7" applyNumberFormat="1" applyFont="1"/>
    <xf numFmtId="0" fontId="12" fillId="0" borderId="0" xfId="7" applyFont="1" applyAlignment="1">
      <alignment horizontal="center"/>
    </xf>
    <xf numFmtId="0" fontId="12" fillId="0" borderId="0" xfId="7" applyFont="1"/>
    <xf numFmtId="44" fontId="10" fillId="0" borderId="0" xfId="7" applyNumberFormat="1" applyFont="1"/>
    <xf numFmtId="0" fontId="13" fillId="0" borderId="0" xfId="7" applyFont="1"/>
    <xf numFmtId="0" fontId="7" fillId="0" borderId="0" xfId="22" applyFont="1"/>
    <xf numFmtId="0" fontId="7" fillId="0" borderId="0" xfId="22" applyFont="1" applyAlignment="1">
      <alignment horizontal="centerContinuous"/>
    </xf>
    <xf numFmtId="0" fontId="7" fillId="0" borderId="0" xfId="22" applyFont="1" applyAlignment="1">
      <alignment horizontal="center" wrapText="1"/>
    </xf>
    <xf numFmtId="0" fontId="7" fillId="0" borderId="0" xfId="22" applyFont="1" applyAlignment="1">
      <alignment horizontal="center"/>
    </xf>
    <xf numFmtId="0" fontId="7" fillId="0" borderId="0" xfId="22" applyFont="1" applyAlignment="1">
      <alignment wrapText="1"/>
    </xf>
    <xf numFmtId="166" fontId="7" fillId="0" borderId="0" xfId="22" applyNumberFormat="1" applyFont="1"/>
    <xf numFmtId="37" fontId="7" fillId="0" borderId="0" xfId="22" applyNumberFormat="1" applyFont="1"/>
    <xf numFmtId="166" fontId="7" fillId="0" borderId="0" xfId="22" applyNumberFormat="1" applyFont="1" applyAlignment="1">
      <alignment horizontal="centerContinuous"/>
    </xf>
    <xf numFmtId="166" fontId="7" fillId="0" borderId="0" xfId="22" applyNumberFormat="1" applyFont="1" applyAlignment="1">
      <alignment horizontal="centerContinuous" wrapText="1"/>
    </xf>
    <xf numFmtId="0" fontId="14" fillId="0" borderId="0" xfId="22" applyFont="1"/>
    <xf numFmtId="165" fontId="7" fillId="0" borderId="0" xfId="23" applyNumberFormat="1" applyFont="1" applyFill="1" applyBorder="1"/>
    <xf numFmtId="165" fontId="7" fillId="0" borderId="0" xfId="22" applyNumberFormat="1" applyFont="1"/>
    <xf numFmtId="37" fontId="10" fillId="0" borderId="0" xfId="22" applyNumberFormat="1" applyFont="1"/>
    <xf numFmtId="0" fontId="7" fillId="0" borderId="12" xfId="22" applyFont="1" applyBorder="1"/>
    <xf numFmtId="166" fontId="7" fillId="0" borderId="13" xfId="14" applyNumberFormat="1" applyFont="1" applyFill="1" applyBorder="1"/>
    <xf numFmtId="0" fontId="7" fillId="0" borderId="14" xfId="22" applyFont="1" applyBorder="1"/>
    <xf numFmtId="165" fontId="7" fillId="0" borderId="15" xfId="17" applyNumberFormat="1" applyFont="1" applyFill="1" applyBorder="1"/>
    <xf numFmtId="44" fontId="7" fillId="0" borderId="0" xfId="24" applyFont="1" applyFill="1" applyBorder="1"/>
    <xf numFmtId="0" fontId="10" fillId="0" borderId="0" xfId="22" applyFont="1"/>
    <xf numFmtId="43" fontId="10" fillId="0" borderId="0" xfId="23" applyFont="1" applyFill="1" applyBorder="1"/>
    <xf numFmtId="44" fontId="7" fillId="0" borderId="0" xfId="22" applyNumberFormat="1" applyFont="1"/>
    <xf numFmtId="167" fontId="7" fillId="0" borderId="0" xfId="22" applyNumberFormat="1" applyFont="1"/>
    <xf numFmtId="43" fontId="7" fillId="0" borderId="0" xfId="23" applyFont="1" applyFill="1" applyBorder="1"/>
    <xf numFmtId="169" fontId="7" fillId="0" borderId="0" xfId="22" applyNumberFormat="1" applyFont="1"/>
    <xf numFmtId="0" fontId="9" fillId="0" borderId="0" xfId="22" applyFont="1"/>
    <xf numFmtId="166" fontId="7" fillId="0" borderId="0" xfId="24" applyNumberFormat="1" applyFont="1" applyFill="1" applyBorder="1"/>
    <xf numFmtId="165" fontId="7" fillId="0" borderId="1" xfId="17" applyNumberFormat="1" applyFont="1" applyFill="1" applyBorder="1"/>
    <xf numFmtId="166" fontId="10" fillId="0" borderId="0" xfId="22" applyNumberFormat="1" applyFont="1"/>
    <xf numFmtId="0" fontId="7" fillId="0" borderId="0" xfId="22" quotePrefix="1" applyFont="1" applyAlignment="1">
      <alignment horizontal="right"/>
    </xf>
    <xf numFmtId="0" fontId="4" fillId="0" borderId="16" xfId="7" applyFont="1" applyBorder="1"/>
    <xf numFmtId="44" fontId="4" fillId="0" borderId="16" xfId="7" applyNumberFormat="1" applyFont="1" applyBorder="1"/>
    <xf numFmtId="0" fontId="4" fillId="0" borderId="12" xfId="7" applyFont="1" applyBorder="1"/>
    <xf numFmtId="0" fontId="4" fillId="0" borderId="2" xfId="7" applyFont="1" applyBorder="1"/>
    <xf numFmtId="43" fontId="4" fillId="0" borderId="13" xfId="7" applyNumberFormat="1" applyFont="1" applyBorder="1"/>
    <xf numFmtId="0" fontId="4" fillId="0" borderId="14" xfId="7" applyFont="1" applyBorder="1"/>
    <xf numFmtId="0" fontId="4" fillId="0" borderId="1" xfId="7" applyFont="1" applyBorder="1"/>
    <xf numFmtId="0" fontId="4" fillId="0" borderId="15" xfId="7" applyFont="1" applyBorder="1"/>
    <xf numFmtId="38" fontId="6" fillId="0" borderId="0" xfId="7" applyNumberFormat="1" applyFont="1"/>
    <xf numFmtId="44" fontId="6" fillId="0" borderId="0" xfId="7" applyNumberFormat="1" applyFont="1"/>
    <xf numFmtId="0" fontId="4" fillId="0" borderId="13" xfId="7" applyFont="1" applyBorder="1"/>
    <xf numFmtId="2" fontId="4" fillId="0" borderId="13" xfId="7" applyNumberFormat="1" applyFont="1" applyBorder="1"/>
    <xf numFmtId="0" fontId="4" fillId="0" borderId="17" xfId="7" applyFont="1" applyBorder="1"/>
    <xf numFmtId="0" fontId="4" fillId="0" borderId="18" xfId="7" applyFont="1" applyBorder="1"/>
    <xf numFmtId="1" fontId="4" fillId="0" borderId="0" xfId="7" applyNumberFormat="1" applyFont="1"/>
    <xf numFmtId="1" fontId="4" fillId="0" borderId="1" xfId="7" applyNumberFormat="1" applyFont="1" applyBorder="1"/>
    <xf numFmtId="166" fontId="6" fillId="0" borderId="0" xfId="7" applyNumberFormat="1" applyFont="1"/>
    <xf numFmtId="43" fontId="4" fillId="0" borderId="0" xfId="1" applyFont="1"/>
    <xf numFmtId="170" fontId="7" fillId="0" borderId="0" xfId="22" applyNumberFormat="1" applyFont="1"/>
    <xf numFmtId="165" fontId="7" fillId="0" borderId="1" xfId="22" applyNumberFormat="1" applyFont="1" applyBorder="1" applyAlignment="1">
      <alignment horizontal="center"/>
    </xf>
    <xf numFmtId="171" fontId="7" fillId="0" borderId="0" xfId="22" applyNumberFormat="1" applyFont="1"/>
    <xf numFmtId="166" fontId="7" fillId="0" borderId="0" xfId="14" applyNumberFormat="1" applyFont="1" applyFill="1" applyBorder="1"/>
    <xf numFmtId="165" fontId="7" fillId="0" borderId="0" xfId="17" applyNumberFormat="1" applyFont="1" applyFill="1" applyBorder="1"/>
    <xf numFmtId="0" fontId="5" fillId="0" borderId="0" xfId="2" applyFont="1" applyAlignment="1">
      <alignment horizontal="center"/>
    </xf>
    <xf numFmtId="0" fontId="3" fillId="0" borderId="0" xfId="2" applyFont="1" applyAlignment="1">
      <alignment horizontal="center"/>
    </xf>
    <xf numFmtId="0" fontId="4" fillId="0" borderId="0" xfId="7" quotePrefix="1" applyFont="1" applyAlignment="1">
      <alignment horizontal="left" wrapText="1"/>
    </xf>
    <xf numFmtId="0" fontId="6" fillId="0" borderId="0" xfId="7" applyFont="1" applyAlignment="1">
      <alignment horizontal="center"/>
    </xf>
    <xf numFmtId="0" fontId="6" fillId="0" borderId="1" xfId="7" applyFont="1" applyBorder="1" applyAlignment="1">
      <alignment horizontal="center"/>
    </xf>
    <xf numFmtId="0" fontId="4" fillId="0" borderId="6" xfId="7" applyFont="1" applyBorder="1" applyAlignment="1">
      <alignment horizontal="center"/>
    </xf>
    <xf numFmtId="0" fontId="4" fillId="0" borderId="0" xfId="7" applyFont="1" applyAlignment="1">
      <alignment horizontal="center"/>
    </xf>
    <xf numFmtId="0" fontId="4" fillId="0" borderId="7" xfId="7" applyFont="1" applyBorder="1" applyAlignment="1">
      <alignment horizontal="center"/>
    </xf>
    <xf numFmtId="0" fontId="11" fillId="0" borderId="0" xfId="7" applyFont="1" applyAlignment="1">
      <alignment horizontal="center"/>
    </xf>
  </cellXfs>
  <cellStyles count="25">
    <cellStyle name="Comma" xfId="1" builtinId="3"/>
    <cellStyle name="Comma 10" xfId="17" xr:uid="{4B6B42AD-5B6D-48BB-9ED3-B71149638565}"/>
    <cellStyle name="Comma 18 2" xfId="11" xr:uid="{3329C081-7542-4C0C-BDAA-981FE6D3A4C3}"/>
    <cellStyle name="Comma 2 2 3 2 2 2" xfId="4" xr:uid="{1B580736-7165-4395-91AE-C305278FE201}"/>
    <cellStyle name="Comma 2 8 3 2" xfId="23" xr:uid="{627A88F7-0F6D-4703-8B26-3C5B2BA685AA}"/>
    <cellStyle name="Currency 10" xfId="14" xr:uid="{19277F3C-B3EF-4656-BFC6-0C583B1B8A48}"/>
    <cellStyle name="Currency 2 2" xfId="16" xr:uid="{7B52B1B2-EF0F-4364-9FD2-A77C1D876182}"/>
    <cellStyle name="Currency 2 4" xfId="24" xr:uid="{7137C93D-831F-4740-8A6E-1211EEC45D1D}"/>
    <cellStyle name="Currency 3 2 2" xfId="8" xr:uid="{7B81EE53-7003-4E89-B10F-93E3488E510F}"/>
    <cellStyle name="Currency 3 4" xfId="15" xr:uid="{EC3D19A5-B69D-4C31-ADAE-B2AFA7FBB6DB}"/>
    <cellStyle name="Currency 4 4" xfId="19" xr:uid="{D658E0ED-7094-484C-8022-CF346F58BB1B}"/>
    <cellStyle name="Normal" xfId="0" builtinId="0"/>
    <cellStyle name="Normal 11 4" xfId="13" xr:uid="{B7853301-A47E-4F13-960A-B05F8CABAD47}"/>
    <cellStyle name="Normal 14 2" xfId="10" xr:uid="{88D1680A-9717-4B0D-91FD-38A60BA3D45A}"/>
    <cellStyle name="Normal 15" xfId="7" xr:uid="{4D509140-4145-49AA-8385-A112FCC8CB63}"/>
    <cellStyle name="Normal 2 2 2 2" xfId="3" xr:uid="{C085D7ED-EAE2-47A8-A3E5-C6F95CC87720}"/>
    <cellStyle name="Normal 2 8" xfId="22" xr:uid="{F5C95F90-8D57-4EF4-A082-B23B7B439627}"/>
    <cellStyle name="Normal 20 2" xfId="9" xr:uid="{5B7CC5B4-9FC9-4F65-AC9D-F14515367BC4}"/>
    <cellStyle name="Normal 23" xfId="12" xr:uid="{D6AD88BF-E651-48C4-9CF2-50F69F6F0ACC}"/>
    <cellStyle name="Normal 4 2 4 2 2" xfId="2" xr:uid="{C0B2A817-D073-445C-BC15-9DD8BC900C00}"/>
    <cellStyle name="Normal 6" xfId="20" xr:uid="{4A76D33D-5822-4D2D-A591-92BF5502D462}"/>
    <cellStyle name="Percent 2 2 2" xfId="5" xr:uid="{DDED4F0D-D097-4D12-9C50-D2CEB240A0EB}"/>
    <cellStyle name="Percent 2 4" xfId="18" xr:uid="{E6B8495B-5054-4618-BCF2-E74CB332B730}"/>
    <cellStyle name="Percent 4 3" xfId="21" xr:uid="{95BB2FD4-6027-4817-BA02-F9B39552C39A}"/>
    <cellStyle name="Percent 6 2 2 2" xfId="6" xr:uid="{F8CFB720-9847-4988-BF84-CB87BD8727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6BB2-9C52-4688-9C13-575572AC525F}">
  <sheetPr>
    <pageSetUpPr fitToPage="1"/>
  </sheetPr>
  <dimension ref="A1:I28"/>
  <sheetViews>
    <sheetView tabSelected="1" workbookViewId="0">
      <selection sqref="A1:I1"/>
    </sheetView>
  </sheetViews>
  <sheetFormatPr defaultColWidth="9.140625" defaultRowHeight="12.75" x14ac:dyDescent="0.2"/>
  <cols>
    <col min="1" max="1" width="9.140625" style="1"/>
    <col min="2" max="2" width="11.85546875" style="1" customWidth="1"/>
    <col min="3" max="3" width="10.140625" style="1" bestFit="1" customWidth="1"/>
    <col min="4" max="5" width="11.42578125" style="1" bestFit="1" customWidth="1"/>
    <col min="6" max="6" width="10.85546875" style="1" bestFit="1" customWidth="1"/>
    <col min="7" max="7" width="12" style="1" bestFit="1" customWidth="1"/>
    <col min="8" max="9" width="10.42578125" style="1" bestFit="1" customWidth="1"/>
    <col min="10" max="16384" width="9.140625" style="1"/>
  </cols>
  <sheetData>
    <row r="1" spans="1:9" ht="15" x14ac:dyDescent="0.25">
      <c r="A1" s="107" t="s">
        <v>0</v>
      </c>
      <c r="B1" s="107"/>
      <c r="C1" s="107"/>
      <c r="D1" s="107"/>
      <c r="E1" s="107"/>
      <c r="F1" s="107"/>
      <c r="G1" s="107"/>
      <c r="H1" s="107"/>
      <c r="I1" s="107"/>
    </row>
    <row r="2" spans="1:9" ht="15" x14ac:dyDescent="0.25">
      <c r="A2" s="107" t="s">
        <v>95</v>
      </c>
      <c r="B2" s="107"/>
      <c r="C2" s="107"/>
      <c r="D2" s="107"/>
      <c r="E2" s="107"/>
      <c r="F2" s="107"/>
      <c r="G2" s="107"/>
      <c r="H2" s="107"/>
      <c r="I2" s="107"/>
    </row>
    <row r="3" spans="1:9" ht="15" x14ac:dyDescent="0.25">
      <c r="A3" s="107" t="s">
        <v>91</v>
      </c>
      <c r="B3" s="107"/>
      <c r="C3" s="107"/>
      <c r="D3" s="107"/>
      <c r="E3" s="107"/>
      <c r="F3" s="107"/>
      <c r="G3" s="107"/>
      <c r="H3" s="107"/>
      <c r="I3" s="107"/>
    </row>
    <row r="5" spans="1:9" x14ac:dyDescent="0.2">
      <c r="A5" s="106" t="s">
        <v>1</v>
      </c>
      <c r="B5" s="106"/>
      <c r="C5" s="106"/>
      <c r="D5" s="106"/>
      <c r="E5" s="106"/>
      <c r="F5" s="106"/>
      <c r="G5" s="106"/>
      <c r="H5" s="106"/>
      <c r="I5" s="106"/>
    </row>
    <row r="6" spans="1:9" x14ac:dyDescent="0.2">
      <c r="A6" s="2"/>
    </row>
    <row r="7" spans="1:9" x14ac:dyDescent="0.2">
      <c r="A7" s="106" t="s">
        <v>96</v>
      </c>
      <c r="B7" s="106"/>
      <c r="C7" s="106"/>
      <c r="D7" s="106"/>
      <c r="E7" s="106"/>
      <c r="F7" s="106"/>
      <c r="G7" s="106"/>
      <c r="H7" s="106"/>
      <c r="I7" s="106"/>
    </row>
    <row r="8" spans="1:9" x14ac:dyDescent="0.2">
      <c r="A8" s="2"/>
    </row>
    <row r="9" spans="1:9" x14ac:dyDescent="0.2">
      <c r="C9" s="3" t="s">
        <v>2</v>
      </c>
      <c r="D9" s="3" t="s">
        <v>3</v>
      </c>
      <c r="E9" s="3" t="s">
        <v>4</v>
      </c>
      <c r="F9" s="4" t="s">
        <v>5</v>
      </c>
      <c r="G9" s="3" t="s">
        <v>6</v>
      </c>
      <c r="H9" s="3" t="s">
        <v>7</v>
      </c>
      <c r="I9" s="5" t="s">
        <v>8</v>
      </c>
    </row>
    <row r="10" spans="1:9" x14ac:dyDescent="0.2">
      <c r="C10" s="3" t="s">
        <v>9</v>
      </c>
      <c r="D10" s="3" t="s">
        <v>10</v>
      </c>
      <c r="E10" s="3" t="s">
        <v>10</v>
      </c>
      <c r="F10" s="3" t="s">
        <v>11</v>
      </c>
      <c r="G10" s="3" t="s">
        <v>9</v>
      </c>
      <c r="H10" s="3" t="s">
        <v>12</v>
      </c>
      <c r="I10" s="5" t="s">
        <v>13</v>
      </c>
    </row>
    <row r="11" spans="1:9" x14ac:dyDescent="0.2">
      <c r="C11" s="6">
        <v>45839</v>
      </c>
      <c r="D11" s="6">
        <v>44927</v>
      </c>
      <c r="E11" s="6">
        <v>45839</v>
      </c>
      <c r="F11" s="6">
        <v>45931</v>
      </c>
      <c r="G11" s="6">
        <v>45839</v>
      </c>
      <c r="H11" s="6">
        <v>45931</v>
      </c>
      <c r="I11" s="7" t="s">
        <v>14</v>
      </c>
    </row>
    <row r="12" spans="1:9" x14ac:dyDescent="0.2">
      <c r="A12" s="8" t="s">
        <v>15</v>
      </c>
      <c r="C12" s="9">
        <v>31.6</v>
      </c>
      <c r="D12" s="100">
        <v>0</v>
      </c>
      <c r="E12" s="100">
        <v>0</v>
      </c>
      <c r="F12" s="9">
        <v>9.64</v>
      </c>
      <c r="G12" s="100">
        <v>0</v>
      </c>
      <c r="H12" s="9">
        <f>SUM(C12:G12)</f>
        <v>41.24</v>
      </c>
      <c r="I12" s="10"/>
    </row>
    <row r="13" spans="1:9" x14ac:dyDescent="0.2">
      <c r="A13" s="8" t="s">
        <v>16</v>
      </c>
      <c r="C13" s="11">
        <v>0.15612899999999999</v>
      </c>
      <c r="D13" s="11">
        <v>1.4679999999999999E-3</v>
      </c>
      <c r="E13" s="11">
        <v>7.7670000000000005E-3</v>
      </c>
      <c r="F13" s="11">
        <v>-9.9099999999999991E-4</v>
      </c>
      <c r="G13" s="11">
        <v>0.111237</v>
      </c>
      <c r="H13" s="11">
        <f>SUM(C13:G13)</f>
        <v>0.27561000000000002</v>
      </c>
      <c r="I13" s="10"/>
    </row>
    <row r="14" spans="1:9" x14ac:dyDescent="0.2">
      <c r="A14" s="8" t="s">
        <v>17</v>
      </c>
      <c r="C14" s="11">
        <v>0</v>
      </c>
      <c r="D14" s="11">
        <v>1.4679999999999999E-3</v>
      </c>
      <c r="E14" s="11">
        <v>7.7670000000000005E-3</v>
      </c>
      <c r="F14" s="11">
        <v>-9.9099999999999991E-4</v>
      </c>
      <c r="G14" s="11">
        <v>0</v>
      </c>
      <c r="H14" s="11">
        <f>SUM(C14:G14)</f>
        <v>8.2439999999999996E-3</v>
      </c>
      <c r="I14" s="10"/>
    </row>
    <row r="15" spans="1:9" x14ac:dyDescent="0.2">
      <c r="A15" s="8"/>
      <c r="C15" s="11"/>
      <c r="D15" s="11"/>
      <c r="E15" s="11"/>
      <c r="F15" s="11"/>
      <c r="G15" s="11"/>
      <c r="H15" s="11"/>
      <c r="I15" s="10"/>
    </row>
    <row r="16" spans="1:9" x14ac:dyDescent="0.2">
      <c r="A16" s="106" t="s">
        <v>84</v>
      </c>
      <c r="B16" s="106"/>
      <c r="C16" s="106"/>
      <c r="D16" s="106"/>
      <c r="E16" s="106"/>
      <c r="F16" s="106"/>
      <c r="G16" s="106"/>
      <c r="H16" s="106"/>
      <c r="I16" s="106"/>
    </row>
    <row r="17" spans="1:9" x14ac:dyDescent="0.2">
      <c r="A17" s="12"/>
      <c r="B17" s="12"/>
      <c r="C17" s="12"/>
      <c r="D17" s="12"/>
      <c r="E17" s="12"/>
      <c r="F17" s="12"/>
      <c r="G17" s="12"/>
      <c r="H17" s="12"/>
      <c r="I17" s="12"/>
    </row>
    <row r="18" spans="1:9" x14ac:dyDescent="0.2">
      <c r="A18" s="8"/>
      <c r="C18" s="3" t="s">
        <v>2</v>
      </c>
      <c r="D18" s="3" t="s">
        <v>3</v>
      </c>
      <c r="E18" s="3" t="s">
        <v>4</v>
      </c>
      <c r="F18" s="4" t="s">
        <v>5</v>
      </c>
      <c r="G18" s="3" t="s">
        <v>6</v>
      </c>
      <c r="H18" s="3" t="s">
        <v>7</v>
      </c>
      <c r="I18" s="5" t="s">
        <v>8</v>
      </c>
    </row>
    <row r="19" spans="1:9" x14ac:dyDescent="0.2">
      <c r="A19" s="8"/>
      <c r="C19" s="3" t="s">
        <v>9</v>
      </c>
      <c r="D19" s="3" t="s">
        <v>10</v>
      </c>
      <c r="E19" s="3" t="s">
        <v>10</v>
      </c>
      <c r="F19" s="3" t="s">
        <v>11</v>
      </c>
      <c r="G19" s="3" t="s">
        <v>9</v>
      </c>
      <c r="H19" s="3" t="s">
        <v>12</v>
      </c>
      <c r="I19" s="5" t="s">
        <v>13</v>
      </c>
    </row>
    <row r="20" spans="1:9" x14ac:dyDescent="0.2">
      <c r="A20" s="8"/>
      <c r="C20" s="6">
        <v>46204</v>
      </c>
      <c r="D20" s="6">
        <v>44927</v>
      </c>
      <c r="E20" s="6">
        <v>46204</v>
      </c>
      <c r="F20" s="6">
        <v>45931</v>
      </c>
      <c r="G20" s="6">
        <v>46023</v>
      </c>
      <c r="H20" s="6">
        <v>46296</v>
      </c>
      <c r="I20" s="7" t="s">
        <v>14</v>
      </c>
    </row>
    <row r="21" spans="1:9" x14ac:dyDescent="0.2">
      <c r="A21" s="8" t="s">
        <v>15</v>
      </c>
      <c r="C21" s="13">
        <f>ROUND(+'Att 1 Rate Design p2'!K11,2)</f>
        <v>31.6</v>
      </c>
      <c r="F21" s="13">
        <f>ROUND(+'Att 1 Rate Design p2'!N11,2)</f>
        <v>9.64</v>
      </c>
      <c r="H21" s="9">
        <f>+C21+F21</f>
        <v>41.24</v>
      </c>
      <c r="I21" s="14">
        <f>+(+H21-H12)/H12</f>
        <v>0</v>
      </c>
    </row>
    <row r="22" spans="1:9" x14ac:dyDescent="0.2">
      <c r="A22" s="8" t="s">
        <v>16</v>
      </c>
      <c r="C22" s="15">
        <f>ROUND(+'Att 1 Rate Design p2'!K12,6)</f>
        <v>0.12346799999999999</v>
      </c>
      <c r="D22" s="15">
        <f>ROUND(+'Att 1 Rate Design p2'!L12,6)</f>
        <v>1.4679999999999999E-3</v>
      </c>
      <c r="E22" s="15">
        <f>ROUND(+'Att 1 Rate Design p2'!M12,6)</f>
        <v>2.722E-3</v>
      </c>
      <c r="F22" s="15">
        <f>ROUND(+'Att 1 Rate Design p2'!N12,6)</f>
        <v>-9.9099999999999991E-4</v>
      </c>
      <c r="G22" s="15">
        <f>ROUND(+'Att 1 Rate Design p2'!O12,6)</f>
        <v>0.122643</v>
      </c>
      <c r="H22" s="11">
        <f>SUM(C22:G22)</f>
        <v>0.24931</v>
      </c>
      <c r="I22" s="14">
        <f>+(+H22-H13)/H13</f>
        <v>-9.5424694314429861E-2</v>
      </c>
    </row>
    <row r="23" spans="1:9" x14ac:dyDescent="0.2">
      <c r="A23" s="8" t="s">
        <v>17</v>
      </c>
      <c r="C23" s="100">
        <v>0</v>
      </c>
      <c r="D23" s="15">
        <f>ROUND(+'Att 1 Rate Design p2'!L13,6)</f>
        <v>1.4679999999999999E-3</v>
      </c>
      <c r="E23" s="15">
        <f>ROUND(+'Att 1 Rate Design p2'!M13,6)</f>
        <v>2.722E-3</v>
      </c>
      <c r="F23" s="15">
        <f>ROUND(+'Att 1 Rate Design p2'!N13,6)</f>
        <v>-9.9099999999999991E-4</v>
      </c>
      <c r="G23" s="15">
        <f>ROUND(+'Att 1 Rate Design p2'!O13,6)</f>
        <v>0</v>
      </c>
      <c r="H23" s="11">
        <f>SUM(C23:G23)</f>
        <v>3.1990000000000005E-3</v>
      </c>
      <c r="I23" s="14">
        <f>+(+H23-H14)/H14</f>
        <v>-0.61196021348859775</v>
      </c>
    </row>
    <row r="26" spans="1:9" x14ac:dyDescent="0.2">
      <c r="A26" s="1" t="s">
        <v>97</v>
      </c>
    </row>
    <row r="27" spans="1:9" x14ac:dyDescent="0.2">
      <c r="A27" s="1" t="s">
        <v>98</v>
      </c>
      <c r="H27" s="13"/>
    </row>
    <row r="28" spans="1:9" x14ac:dyDescent="0.2">
      <c r="H28" s="13"/>
    </row>
  </sheetData>
  <mergeCells count="6">
    <mergeCell ref="A16:I16"/>
    <mergeCell ref="A1:I1"/>
    <mergeCell ref="A2:I2"/>
    <mergeCell ref="A3:I3"/>
    <mergeCell ref="A5:I5"/>
    <mergeCell ref="A7:I7"/>
  </mergeCells>
  <pageMargins left="0.7" right="0.7" top="0.75" bottom="0.75" header="0.3" footer="0.3"/>
  <pageSetup orientation="landscape" r:id="rId1"/>
  <headerFooter>
    <oddHeader>&amp;RAttachment 1
Docket No. 2026-00###
August 25, 2026
Page &amp;P of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0776B-7701-4571-8348-FE183420B93D}">
  <sheetPr>
    <pageSetUpPr fitToPage="1"/>
  </sheetPr>
  <dimension ref="A1:S74"/>
  <sheetViews>
    <sheetView workbookViewId="0">
      <selection sqref="A1:P1"/>
    </sheetView>
  </sheetViews>
  <sheetFormatPr defaultColWidth="9.140625" defaultRowHeight="12.75" x14ac:dyDescent="0.2"/>
  <cols>
    <col min="1" max="1" width="17.7109375" style="19" customWidth="1"/>
    <col min="2" max="3" width="13.42578125" style="19" customWidth="1"/>
    <col min="4" max="4" width="14.28515625" style="19" customWidth="1"/>
    <col min="5" max="6" width="12.140625" style="19" customWidth="1"/>
    <col min="7" max="7" width="15.28515625" style="19" customWidth="1"/>
    <col min="8" max="8" width="14.28515625" style="19" customWidth="1"/>
    <col min="9" max="9" width="12.140625" style="19" customWidth="1"/>
    <col min="10" max="10" width="6.42578125" style="19" customWidth="1"/>
    <col min="11" max="11" width="11.85546875" style="19" customWidth="1"/>
    <col min="12" max="12" width="12.5703125" style="19" customWidth="1"/>
    <col min="13" max="13" width="15.140625" style="19" customWidth="1"/>
    <col min="14" max="14" width="13" style="19" customWidth="1"/>
    <col min="15" max="15" width="12.42578125" style="19" customWidth="1"/>
    <col min="16" max="16" width="14" style="19" customWidth="1"/>
    <col min="17" max="16384" width="9.140625" style="19"/>
  </cols>
  <sheetData>
    <row r="1" spans="1:19" x14ac:dyDescent="0.2">
      <c r="A1" s="109" t="s">
        <v>20</v>
      </c>
      <c r="B1" s="109"/>
      <c r="C1" s="109"/>
      <c r="D1" s="109"/>
      <c r="E1" s="109"/>
      <c r="F1" s="109"/>
      <c r="G1" s="109"/>
      <c r="H1" s="109"/>
      <c r="I1" s="109"/>
      <c r="J1" s="109"/>
      <c r="K1" s="109"/>
      <c r="L1" s="109"/>
      <c r="M1" s="109"/>
      <c r="N1" s="109"/>
      <c r="O1" s="109"/>
      <c r="P1" s="109"/>
    </row>
    <row r="2" spans="1:19" x14ac:dyDescent="0.2">
      <c r="A2" s="109" t="s">
        <v>86</v>
      </c>
      <c r="B2" s="109"/>
      <c r="C2" s="109"/>
      <c r="D2" s="109"/>
      <c r="E2" s="109"/>
      <c r="F2" s="109"/>
      <c r="G2" s="109"/>
      <c r="H2" s="109"/>
      <c r="I2" s="109"/>
      <c r="J2" s="109"/>
      <c r="K2" s="109"/>
      <c r="L2" s="109"/>
      <c r="M2" s="109"/>
      <c r="N2" s="109"/>
      <c r="O2" s="109"/>
      <c r="P2" s="109"/>
    </row>
    <row r="4" spans="1:19" x14ac:dyDescent="0.2">
      <c r="A4" s="17"/>
      <c r="B4" s="17"/>
      <c r="C4" s="17"/>
      <c r="D4" s="110" t="s">
        <v>87</v>
      </c>
      <c r="E4" s="110"/>
      <c r="F4" s="110"/>
      <c r="G4" s="110"/>
      <c r="H4" s="110"/>
      <c r="I4" s="110"/>
      <c r="K4" s="110" t="s">
        <v>85</v>
      </c>
      <c r="L4" s="110"/>
      <c r="M4" s="110"/>
      <c r="N4" s="110"/>
      <c r="O4" s="110"/>
      <c r="P4" s="110"/>
      <c r="Q4" s="17"/>
      <c r="R4" s="17"/>
      <c r="S4" s="17"/>
    </row>
    <row r="7" spans="1:19" x14ac:dyDescent="0.2">
      <c r="D7" s="3" t="s">
        <v>2</v>
      </c>
      <c r="E7" s="3" t="s">
        <v>3</v>
      </c>
      <c r="F7" s="3" t="s">
        <v>4</v>
      </c>
      <c r="G7" s="4" t="s">
        <v>5</v>
      </c>
      <c r="H7" s="3" t="s">
        <v>6</v>
      </c>
      <c r="I7" s="3" t="s">
        <v>7</v>
      </c>
      <c r="J7" s="4"/>
      <c r="K7" s="3" t="s">
        <v>2</v>
      </c>
      <c r="L7" s="3" t="s">
        <v>3</v>
      </c>
      <c r="M7" s="3" t="s">
        <v>4</v>
      </c>
      <c r="N7" s="4" t="s">
        <v>5</v>
      </c>
      <c r="O7" s="3" t="s">
        <v>6</v>
      </c>
      <c r="P7" s="3" t="s">
        <v>7</v>
      </c>
    </row>
    <row r="8" spans="1:19" x14ac:dyDescent="0.2">
      <c r="D8" s="3" t="s">
        <v>9</v>
      </c>
      <c r="E8" s="3" t="s">
        <v>10</v>
      </c>
      <c r="F8" s="3" t="s">
        <v>10</v>
      </c>
      <c r="G8" s="3" t="s">
        <v>11</v>
      </c>
      <c r="H8" s="3" t="s">
        <v>9</v>
      </c>
      <c r="I8" s="3" t="s">
        <v>12</v>
      </c>
      <c r="J8" s="3"/>
      <c r="K8" s="3" t="s">
        <v>9</v>
      </c>
      <c r="L8" s="3" t="s">
        <v>10</v>
      </c>
      <c r="M8" s="3" t="s">
        <v>10</v>
      </c>
      <c r="N8" s="3" t="s">
        <v>11</v>
      </c>
      <c r="O8" s="3" t="s">
        <v>9</v>
      </c>
      <c r="P8" s="3" t="s">
        <v>12</v>
      </c>
    </row>
    <row r="9" spans="1:19" x14ac:dyDescent="0.2">
      <c r="D9" s="6">
        <v>45839</v>
      </c>
      <c r="E9" s="6">
        <v>44927</v>
      </c>
      <c r="F9" s="6">
        <v>45839</v>
      </c>
      <c r="G9" s="6">
        <v>45931</v>
      </c>
      <c r="H9" s="6">
        <v>45839</v>
      </c>
      <c r="I9" s="6">
        <v>45931</v>
      </c>
      <c r="J9" s="20"/>
      <c r="K9" s="6">
        <v>46204</v>
      </c>
      <c r="L9" s="6">
        <v>44927</v>
      </c>
      <c r="M9" s="6">
        <v>46204</v>
      </c>
      <c r="N9" s="6">
        <v>45931</v>
      </c>
      <c r="O9" s="6">
        <v>46023</v>
      </c>
      <c r="P9" s="6">
        <v>46296</v>
      </c>
    </row>
    <row r="10" spans="1:19" x14ac:dyDescent="0.2">
      <c r="A10" s="18" t="s">
        <v>20</v>
      </c>
      <c r="B10" s="18"/>
    </row>
    <row r="11" spans="1:19" x14ac:dyDescent="0.2">
      <c r="A11" s="19" t="s">
        <v>18</v>
      </c>
      <c r="D11" s="9">
        <v>31.6</v>
      </c>
      <c r="E11" s="100">
        <v>0</v>
      </c>
      <c r="F11" s="100">
        <v>0</v>
      </c>
      <c r="G11" s="100">
        <v>9.64</v>
      </c>
      <c r="H11" s="100">
        <v>0</v>
      </c>
      <c r="I11" s="9">
        <f>SUM(D11:H11)</f>
        <v>41.24</v>
      </c>
      <c r="K11" s="21">
        <f>+C29</f>
        <v>31.6</v>
      </c>
      <c r="L11" s="21"/>
      <c r="M11" s="21"/>
      <c r="N11" s="21">
        <f>+G11</f>
        <v>9.64</v>
      </c>
      <c r="O11" s="21"/>
      <c r="P11" s="21">
        <f>SUM(K11:O11)</f>
        <v>41.24</v>
      </c>
      <c r="Q11" s="22"/>
      <c r="R11" s="23"/>
    </row>
    <row r="12" spans="1:19" x14ac:dyDescent="0.2">
      <c r="A12" s="8" t="s">
        <v>16</v>
      </c>
      <c r="D12" s="11">
        <v>0.15612899999999999</v>
      </c>
      <c r="E12" s="11">
        <v>1.4679999999999999E-3</v>
      </c>
      <c r="F12" s="11">
        <v>7.7670000000000005E-3</v>
      </c>
      <c r="G12" s="11">
        <v>-9.9099999999999991E-4</v>
      </c>
      <c r="H12" s="11">
        <v>0.111237</v>
      </c>
      <c r="I12" s="11">
        <f>SUM(D12:H12)</f>
        <v>0.27561000000000002</v>
      </c>
      <c r="K12" s="11">
        <f>+C30</f>
        <v>0.12346799999999999</v>
      </c>
      <c r="L12" s="11">
        <f>+D30</f>
        <v>1.4679999999999999E-3</v>
      </c>
      <c r="M12" s="11">
        <f>+E30</f>
        <v>2.722E-3</v>
      </c>
      <c r="N12" s="11">
        <f>+G12</f>
        <v>-9.9099999999999991E-4</v>
      </c>
      <c r="O12" s="11">
        <f>+G30</f>
        <v>0.122643</v>
      </c>
      <c r="P12" s="24">
        <f>SUM(K12:O12)</f>
        <v>0.24931</v>
      </c>
    </row>
    <row r="13" spans="1:19" x14ac:dyDescent="0.2">
      <c r="A13" s="8" t="s">
        <v>17</v>
      </c>
      <c r="D13" s="11">
        <v>0</v>
      </c>
      <c r="E13" s="11">
        <v>1.4679999999999999E-3</v>
      </c>
      <c r="F13" s="11">
        <v>7.7670000000000005E-3</v>
      </c>
      <c r="G13" s="11">
        <v>-9.9099999999999991E-4</v>
      </c>
      <c r="H13" s="11">
        <v>0</v>
      </c>
      <c r="I13" s="11">
        <f>SUM(D13:H13)</f>
        <v>8.2439999999999996E-3</v>
      </c>
      <c r="L13" s="25">
        <f>+D31</f>
        <v>1.4679999999999999E-3</v>
      </c>
      <c r="M13" s="25">
        <f>+E31</f>
        <v>2.722E-3</v>
      </c>
      <c r="N13" s="11">
        <f>+G13</f>
        <v>-9.9099999999999991E-4</v>
      </c>
      <c r="O13" s="11">
        <f>+G31</f>
        <v>0</v>
      </c>
      <c r="P13" s="24">
        <f>SUM(K13:O13)</f>
        <v>3.1990000000000005E-3</v>
      </c>
    </row>
    <row r="21" spans="1:12" x14ac:dyDescent="0.2">
      <c r="L21" s="26"/>
    </row>
    <row r="23" spans="1:12" ht="13.5" thickBot="1" x14ac:dyDescent="0.25"/>
    <row r="24" spans="1:12" ht="17.25" x14ac:dyDescent="0.25">
      <c r="A24" s="27"/>
      <c r="B24" s="28"/>
      <c r="C24" s="28"/>
      <c r="D24" s="28"/>
      <c r="E24" s="28"/>
      <c r="F24" s="28"/>
      <c r="G24" s="28"/>
      <c r="H24" s="29"/>
    </row>
    <row r="25" spans="1:12" x14ac:dyDescent="0.2">
      <c r="A25" s="111" t="s">
        <v>21</v>
      </c>
      <c r="B25" s="112"/>
      <c r="C25" s="112"/>
      <c r="D25" s="112"/>
      <c r="E25" s="112"/>
      <c r="F25" s="112"/>
      <c r="G25" s="112"/>
      <c r="H25" s="113"/>
    </row>
    <row r="26" spans="1:12" ht="17.25" x14ac:dyDescent="0.25">
      <c r="A26" s="30"/>
      <c r="H26" s="31"/>
    </row>
    <row r="27" spans="1:12" ht="17.25" x14ac:dyDescent="0.25">
      <c r="A27" s="30"/>
      <c r="C27" s="32" t="s">
        <v>22</v>
      </c>
      <c r="D27" s="32" t="s">
        <v>23</v>
      </c>
      <c r="E27" s="32" t="s">
        <v>24</v>
      </c>
      <c r="F27" s="32" t="s">
        <v>25</v>
      </c>
      <c r="G27" s="32" t="s">
        <v>26</v>
      </c>
      <c r="H27" s="33" t="s">
        <v>19</v>
      </c>
    </row>
    <row r="28" spans="1:12" ht="18" thickBot="1" x14ac:dyDescent="0.3">
      <c r="A28" s="30"/>
      <c r="H28" s="31"/>
    </row>
    <row r="29" spans="1:12" ht="15.75" thickBot="1" x14ac:dyDescent="0.3">
      <c r="A29" s="34" t="s">
        <v>94</v>
      </c>
      <c r="C29" s="22">
        <v>31.6</v>
      </c>
      <c r="D29" s="35"/>
      <c r="E29" s="35"/>
      <c r="F29" s="36">
        <v>9.64</v>
      </c>
      <c r="G29" s="35"/>
      <c r="H29" s="37">
        <f>SUM(C29:G29)</f>
        <v>41.24</v>
      </c>
      <c r="I29" s="38" t="s">
        <v>27</v>
      </c>
    </row>
    <row r="30" spans="1:12" ht="15" x14ac:dyDescent="0.25">
      <c r="A30" s="39" t="s">
        <v>28</v>
      </c>
      <c r="C30" s="25">
        <f>0.123468</f>
        <v>0.12346799999999999</v>
      </c>
      <c r="D30" s="25">
        <v>1.4679999999999999E-3</v>
      </c>
      <c r="E30" s="25">
        <v>2.722E-3</v>
      </c>
      <c r="F30" s="25">
        <v>-9.9099999999999991E-4</v>
      </c>
      <c r="G30" s="25">
        <f>+'Att 1 Rate Design p3'!I21</f>
        <v>0.122643</v>
      </c>
      <c r="H30" s="40">
        <f>SUM(C30:G30)</f>
        <v>0.24931</v>
      </c>
      <c r="I30" s="38" t="s">
        <v>29</v>
      </c>
    </row>
    <row r="31" spans="1:12" x14ac:dyDescent="0.2">
      <c r="A31" s="34" t="s">
        <v>30</v>
      </c>
      <c r="C31" s="25"/>
      <c r="D31" s="25">
        <v>1.4679999999999999E-3</v>
      </c>
      <c r="E31" s="25">
        <v>2.722E-3</v>
      </c>
      <c r="F31" s="25">
        <v>-9.9099999999999991E-4</v>
      </c>
      <c r="G31" s="22">
        <f>+'Att 1 Rate Design p3'!I22</f>
        <v>0</v>
      </c>
      <c r="H31" s="40">
        <f>SUM(C31:G31)</f>
        <v>3.1990000000000005E-3</v>
      </c>
    </row>
    <row r="32" spans="1:12" ht="13.5" thickBot="1" x14ac:dyDescent="0.25">
      <c r="A32" s="41"/>
      <c r="B32" s="42"/>
      <c r="C32" s="42"/>
      <c r="D32" s="42"/>
      <c r="E32" s="42"/>
      <c r="F32" s="42"/>
      <c r="G32" s="42"/>
      <c r="H32" s="43"/>
    </row>
    <row r="35" spans="1:16" ht="45" customHeight="1" x14ac:dyDescent="0.2">
      <c r="A35" s="108" t="s">
        <v>31</v>
      </c>
      <c r="B35" s="108"/>
      <c r="C35" s="108"/>
      <c r="D35" s="108"/>
      <c r="E35" s="108"/>
      <c r="F35" s="108"/>
      <c r="G35" s="108"/>
      <c r="H35" s="108"/>
    </row>
    <row r="36" spans="1:16" ht="15.75" customHeight="1" x14ac:dyDescent="0.2">
      <c r="A36" s="44"/>
      <c r="B36" s="44"/>
      <c r="C36" s="44"/>
      <c r="D36" s="44"/>
      <c r="E36" s="44"/>
      <c r="F36" s="44"/>
      <c r="G36" s="44"/>
      <c r="H36" s="44"/>
    </row>
    <row r="37" spans="1:16" x14ac:dyDescent="0.2">
      <c r="A37" s="45" t="s">
        <v>32</v>
      </c>
    </row>
    <row r="38" spans="1:16" x14ac:dyDescent="0.2">
      <c r="A38" s="45"/>
    </row>
    <row r="39" spans="1:16" x14ac:dyDescent="0.2">
      <c r="A39" s="45" t="s">
        <v>92</v>
      </c>
    </row>
    <row r="40" spans="1:16" ht="18.75" x14ac:dyDescent="0.3">
      <c r="A40" s="46"/>
      <c r="B40" s="46"/>
      <c r="C40" s="46"/>
      <c r="D40" s="46"/>
      <c r="E40" s="46"/>
      <c r="F40" s="46"/>
      <c r="G40" s="46"/>
      <c r="H40" s="46"/>
      <c r="I40" s="46"/>
      <c r="J40" s="46"/>
      <c r="K40" s="46"/>
      <c r="L40" s="46"/>
      <c r="M40" s="46"/>
      <c r="N40" s="46"/>
      <c r="O40" s="46"/>
    </row>
    <row r="41" spans="1:16" ht="18.75" x14ac:dyDescent="0.3">
      <c r="A41" s="46"/>
      <c r="B41" s="46"/>
      <c r="C41" s="46"/>
      <c r="D41" s="46"/>
      <c r="E41" s="46"/>
      <c r="F41" s="46"/>
      <c r="G41" s="46"/>
      <c r="H41" s="46"/>
      <c r="I41" s="46"/>
      <c r="J41" s="46"/>
      <c r="K41" s="46"/>
      <c r="L41" s="46"/>
      <c r="M41" s="46"/>
      <c r="N41" s="46"/>
      <c r="O41" s="46"/>
    </row>
    <row r="42" spans="1:16" ht="18.75" x14ac:dyDescent="0.3">
      <c r="A42" s="47"/>
      <c r="B42" s="47"/>
      <c r="C42" s="32"/>
      <c r="D42" s="32"/>
      <c r="E42" s="32"/>
      <c r="F42" s="32"/>
      <c r="G42" s="32"/>
      <c r="H42" s="32"/>
      <c r="I42" s="32"/>
      <c r="J42" s="32"/>
      <c r="K42" s="32"/>
      <c r="L42" s="32"/>
      <c r="M42" s="32"/>
      <c r="N42" s="32"/>
      <c r="O42" s="47"/>
    </row>
    <row r="43" spans="1:16" ht="15" x14ac:dyDescent="0.25">
      <c r="C43" s="48"/>
      <c r="D43" s="48"/>
      <c r="E43" s="48"/>
      <c r="F43" s="48"/>
      <c r="G43" s="48"/>
      <c r="H43" s="48"/>
      <c r="I43" s="48"/>
      <c r="J43" s="48"/>
      <c r="K43" s="48"/>
      <c r="L43" s="48"/>
      <c r="M43" s="48"/>
      <c r="N43" s="48"/>
      <c r="O43" s="48"/>
      <c r="P43" s="49"/>
    </row>
    <row r="44" spans="1:16" ht="18.75" x14ac:dyDescent="0.3">
      <c r="B44" s="47"/>
      <c r="C44" s="48"/>
      <c r="D44" s="48"/>
      <c r="E44" s="48"/>
      <c r="F44" s="48"/>
      <c r="G44" s="48"/>
      <c r="H44" s="48"/>
      <c r="I44" s="48"/>
      <c r="J44" s="48"/>
      <c r="K44" s="48"/>
      <c r="L44" s="48"/>
      <c r="M44" s="48"/>
      <c r="N44" s="48"/>
      <c r="O44" s="48"/>
      <c r="P44" s="49"/>
    </row>
    <row r="45" spans="1:16" ht="18.75" x14ac:dyDescent="0.3">
      <c r="A45" s="47"/>
      <c r="B45" s="47"/>
      <c r="C45" s="47"/>
      <c r="D45" s="47"/>
      <c r="E45" s="47"/>
      <c r="F45" s="47"/>
      <c r="G45" s="47"/>
      <c r="H45" s="47"/>
      <c r="I45" s="47"/>
      <c r="J45" s="47"/>
      <c r="K45" s="47"/>
      <c r="L45" s="47"/>
      <c r="M45" s="47"/>
      <c r="N45" s="47"/>
      <c r="O45" s="47"/>
    </row>
    <row r="46" spans="1:16" ht="15.75" x14ac:dyDescent="0.25">
      <c r="A46" s="50"/>
      <c r="B46" s="50"/>
      <c r="C46" s="50"/>
      <c r="D46" s="50"/>
      <c r="E46" s="50"/>
      <c r="F46" s="50"/>
      <c r="G46" s="50"/>
      <c r="H46" s="50"/>
      <c r="I46" s="50"/>
      <c r="J46" s="50"/>
      <c r="K46" s="50"/>
      <c r="L46" s="50"/>
      <c r="M46" s="50"/>
      <c r="N46" s="50"/>
      <c r="O46" s="50"/>
    </row>
    <row r="47" spans="1:16" ht="15.75" x14ac:dyDescent="0.25">
      <c r="A47" s="51"/>
      <c r="B47" s="38"/>
    </row>
    <row r="48" spans="1:16" x14ac:dyDescent="0.2">
      <c r="C48" s="32"/>
      <c r="D48" s="32"/>
      <c r="E48" s="32"/>
      <c r="F48" s="32"/>
      <c r="G48" s="32"/>
      <c r="H48" s="32"/>
      <c r="I48" s="32"/>
      <c r="J48" s="32"/>
      <c r="K48" s="32"/>
      <c r="L48" s="32"/>
      <c r="M48" s="32"/>
      <c r="N48" s="32"/>
      <c r="O48" s="32"/>
    </row>
    <row r="49" spans="1:16" x14ac:dyDescent="0.2">
      <c r="C49" s="49"/>
      <c r="D49" s="49"/>
      <c r="E49" s="49"/>
      <c r="F49" s="49"/>
      <c r="G49" s="49"/>
      <c r="H49" s="49"/>
      <c r="I49" s="49"/>
      <c r="J49" s="49"/>
      <c r="K49" s="49"/>
      <c r="L49" s="49"/>
      <c r="M49" s="49"/>
      <c r="N49" s="49"/>
      <c r="O49" s="49"/>
    </row>
    <row r="50" spans="1:16" x14ac:dyDescent="0.2">
      <c r="C50" s="49"/>
      <c r="D50" s="49"/>
      <c r="E50" s="49"/>
      <c r="F50" s="49"/>
      <c r="G50" s="49"/>
      <c r="H50" s="49"/>
      <c r="I50" s="49"/>
      <c r="J50" s="49"/>
      <c r="K50" s="49"/>
      <c r="L50" s="49"/>
      <c r="M50" s="49"/>
      <c r="N50" s="49"/>
      <c r="O50" s="49"/>
    </row>
    <row r="51" spans="1:16" x14ac:dyDescent="0.2">
      <c r="C51" s="49"/>
      <c r="D51" s="49"/>
      <c r="E51" s="49"/>
      <c r="F51" s="49"/>
      <c r="G51" s="49"/>
      <c r="H51" s="49"/>
      <c r="I51" s="49"/>
      <c r="J51" s="49"/>
      <c r="K51" s="49"/>
      <c r="L51" s="49"/>
      <c r="M51" s="49"/>
      <c r="N51" s="49"/>
      <c r="O51" s="49"/>
    </row>
    <row r="53" spans="1:16" x14ac:dyDescent="0.2">
      <c r="C53" s="22"/>
      <c r="D53" s="22"/>
      <c r="E53" s="22"/>
      <c r="F53" s="22"/>
      <c r="G53" s="22"/>
      <c r="H53" s="22"/>
      <c r="I53" s="22"/>
      <c r="J53" s="22"/>
      <c r="K53" s="22"/>
      <c r="L53" s="22"/>
      <c r="M53" s="22"/>
      <c r="N53" s="22"/>
      <c r="O53" s="22"/>
    </row>
    <row r="54" spans="1:16" ht="15" x14ac:dyDescent="0.25">
      <c r="G54" s="16"/>
      <c r="H54" s="16"/>
      <c r="I54" s="16"/>
      <c r="J54" s="16"/>
      <c r="K54" s="16"/>
      <c r="L54" s="16"/>
      <c r="P54" s="22"/>
    </row>
    <row r="55" spans="1:16" ht="15" x14ac:dyDescent="0.25">
      <c r="G55" s="16"/>
      <c r="H55" s="16"/>
      <c r="I55" s="16"/>
      <c r="J55" s="16"/>
      <c r="K55" s="16"/>
      <c r="L55" s="16"/>
    </row>
    <row r="56" spans="1:16" ht="15" x14ac:dyDescent="0.25">
      <c r="G56" s="16"/>
      <c r="H56" s="16"/>
      <c r="I56" s="16"/>
      <c r="J56" s="16"/>
      <c r="K56" s="16"/>
      <c r="L56" s="16"/>
    </row>
    <row r="57" spans="1:16" ht="15" x14ac:dyDescent="0.25">
      <c r="B57" s="38"/>
      <c r="C57" s="52"/>
      <c r="D57" s="52"/>
      <c r="E57" s="52"/>
      <c r="F57" s="52"/>
      <c r="G57" s="52"/>
      <c r="H57" s="52"/>
      <c r="I57" s="52"/>
      <c r="J57" s="52"/>
      <c r="K57" s="52"/>
      <c r="L57" s="52"/>
      <c r="M57" s="52"/>
      <c r="N57" s="52"/>
      <c r="O57" s="52"/>
    </row>
    <row r="59" spans="1:16" x14ac:dyDescent="0.2">
      <c r="C59" s="22"/>
      <c r="D59" s="22"/>
      <c r="E59" s="22"/>
      <c r="F59" s="22"/>
      <c r="G59" s="22"/>
      <c r="H59" s="22"/>
      <c r="I59" s="22"/>
      <c r="J59" s="22"/>
      <c r="K59" s="22"/>
      <c r="L59" s="22"/>
      <c r="M59" s="22"/>
      <c r="N59" s="22"/>
      <c r="O59" s="22"/>
    </row>
    <row r="61" spans="1:16" ht="15.75" x14ac:dyDescent="0.25">
      <c r="A61" s="53"/>
      <c r="F61" s="23"/>
    </row>
    <row r="62" spans="1:16" ht="15.75" x14ac:dyDescent="0.25">
      <c r="A62" s="53"/>
    </row>
    <row r="63" spans="1:16" ht="15.75" x14ac:dyDescent="0.25">
      <c r="A63" s="53"/>
    </row>
    <row r="64" spans="1:16" ht="15.75" x14ac:dyDescent="0.25">
      <c r="A64" s="51"/>
      <c r="B64" s="38"/>
      <c r="C64" s="38"/>
      <c r="D64" s="38"/>
    </row>
    <row r="65" spans="2:17" x14ac:dyDescent="0.2">
      <c r="C65" s="49"/>
      <c r="D65" s="49"/>
      <c r="E65" s="49"/>
      <c r="F65" s="49"/>
      <c r="G65" s="49"/>
      <c r="H65" s="49"/>
      <c r="I65" s="49"/>
      <c r="J65" s="49"/>
      <c r="K65" s="49"/>
      <c r="L65" s="49"/>
      <c r="M65" s="49"/>
      <c r="N65" s="49"/>
      <c r="O65" s="49"/>
      <c r="P65" s="49"/>
    </row>
    <row r="66" spans="2:17" x14ac:dyDescent="0.2">
      <c r="C66" s="49"/>
      <c r="D66" s="49"/>
      <c r="E66" s="49"/>
      <c r="F66" s="49"/>
      <c r="G66" s="49"/>
      <c r="H66" s="49"/>
      <c r="I66" s="49"/>
      <c r="J66" s="49"/>
      <c r="K66" s="49"/>
      <c r="L66" s="49"/>
      <c r="M66" s="49"/>
      <c r="N66" s="49"/>
      <c r="O66" s="49"/>
      <c r="P66" s="49"/>
    </row>
    <row r="67" spans="2:17" x14ac:dyDescent="0.2">
      <c r="C67" s="49"/>
      <c r="D67" s="49"/>
      <c r="E67" s="49"/>
      <c r="F67" s="49"/>
      <c r="G67" s="49"/>
      <c r="H67" s="49"/>
      <c r="I67" s="49"/>
      <c r="J67" s="49"/>
      <c r="K67" s="49"/>
      <c r="L67" s="49"/>
      <c r="M67" s="49"/>
      <c r="N67" s="49"/>
      <c r="O67" s="49"/>
      <c r="P67" s="49"/>
    </row>
    <row r="69" spans="2:17" x14ac:dyDescent="0.2">
      <c r="C69" s="22"/>
      <c r="D69" s="22"/>
      <c r="E69" s="22"/>
      <c r="F69" s="22"/>
      <c r="G69" s="22"/>
      <c r="H69" s="22"/>
      <c r="I69" s="22"/>
      <c r="J69" s="22"/>
      <c r="K69" s="22"/>
      <c r="L69" s="22"/>
      <c r="M69" s="22"/>
      <c r="N69" s="22"/>
    </row>
    <row r="70" spans="2:17" x14ac:dyDescent="0.2">
      <c r="P70" s="22"/>
    </row>
    <row r="73" spans="2:17" ht="15" x14ac:dyDescent="0.25">
      <c r="B73" s="38"/>
      <c r="C73" s="52"/>
      <c r="D73" s="52"/>
      <c r="E73" s="52"/>
      <c r="F73" s="52"/>
      <c r="G73" s="52"/>
      <c r="H73" s="52"/>
      <c r="I73" s="52"/>
      <c r="J73" s="52"/>
      <c r="K73" s="52"/>
      <c r="L73" s="52"/>
      <c r="M73" s="52"/>
      <c r="N73" s="52"/>
      <c r="O73" s="52"/>
      <c r="Q73" s="22"/>
    </row>
    <row r="74" spans="2:17" ht="15" x14ac:dyDescent="0.25">
      <c r="B74" s="38"/>
      <c r="C74" s="52"/>
      <c r="D74" s="52"/>
      <c r="E74" s="52"/>
      <c r="F74" s="52"/>
      <c r="G74" s="52"/>
      <c r="H74" s="52"/>
      <c r="I74" s="52"/>
      <c r="J74" s="52"/>
      <c r="K74" s="52"/>
      <c r="L74" s="52"/>
      <c r="M74" s="52"/>
      <c r="N74" s="52"/>
      <c r="O74" s="52"/>
    </row>
  </sheetData>
  <mergeCells count="6">
    <mergeCell ref="A35:H35"/>
    <mergeCell ref="A1:P1"/>
    <mergeCell ref="A2:P2"/>
    <mergeCell ref="D4:I4"/>
    <mergeCell ref="K4:P4"/>
    <mergeCell ref="A25:H25"/>
  </mergeCells>
  <pageMargins left="0.7" right="0.7" top="0.75" bottom="0.75" header="0.3" footer="0.3"/>
  <pageSetup scale="58" orientation="landscape" r:id="rId1"/>
  <headerFooter>
    <oddHeader>&amp;RAttachment 1
Docket No. 2026-00###
August 25, 2026
Page &amp;P of &amp;N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487F-89BB-44C0-BE83-67333B72A149}">
  <sheetPr>
    <pageSetUpPr fitToPage="1"/>
  </sheetPr>
  <dimension ref="B1:AH32"/>
  <sheetViews>
    <sheetView workbookViewId="0"/>
  </sheetViews>
  <sheetFormatPr defaultColWidth="9.140625" defaultRowHeight="15" x14ac:dyDescent="0.25"/>
  <cols>
    <col min="1" max="1" width="2.7109375" style="54" customWidth="1"/>
    <col min="2" max="2" width="1.7109375" style="54" customWidth="1"/>
    <col min="3" max="3" width="28" style="54" customWidth="1"/>
    <col min="4" max="4" width="1.7109375" style="54" customWidth="1"/>
    <col min="5" max="5" width="16.28515625" style="54" hidden="1" customWidth="1"/>
    <col min="6" max="6" width="16.85546875" style="54" hidden="1" customWidth="1"/>
    <col min="7" max="7" width="14.5703125" style="54" hidden="1" customWidth="1"/>
    <col min="8" max="8" width="15" style="54" hidden="1" customWidth="1"/>
    <col min="9" max="9" width="14.7109375" style="54" customWidth="1"/>
    <col min="10" max="12" width="1.7109375" style="54" customWidth="1"/>
    <col min="13" max="13" width="52.7109375" style="54" bestFit="1" customWidth="1"/>
    <col min="14" max="14" width="15.140625" style="54" customWidth="1"/>
    <col min="15" max="15" width="13.7109375" style="54" customWidth="1"/>
    <col min="16" max="16" width="14.140625" style="54" customWidth="1"/>
    <col min="17" max="17" width="1.7109375" style="54" customWidth="1"/>
    <col min="18" max="18" width="16.5703125" style="54" hidden="1" customWidth="1"/>
    <col min="19" max="19" width="13.7109375" style="54" hidden="1" customWidth="1"/>
    <col min="20" max="20" width="16" style="54" hidden="1" customWidth="1"/>
    <col min="21" max="23" width="9.140625" style="54"/>
    <col min="24" max="24" width="14.5703125" style="54" customWidth="1"/>
    <col min="25" max="25" width="9.140625" style="54"/>
    <col min="26" max="26" width="27.42578125" style="54" customWidth="1"/>
    <col min="27" max="27" width="3" style="54" customWidth="1"/>
    <col min="28" max="28" width="15" style="54" customWidth="1"/>
    <col min="29" max="29" width="13.85546875" style="54" customWidth="1"/>
    <col min="30" max="30" width="14.5703125" style="54" customWidth="1"/>
    <col min="31" max="31" width="9.140625" style="54"/>
    <col min="32" max="32" width="13.7109375" style="54" customWidth="1"/>
    <col min="33" max="33" width="10.5703125" style="54" bestFit="1" customWidth="1"/>
    <col min="34" max="34" width="10.28515625" style="54" bestFit="1" customWidth="1"/>
    <col min="35" max="16384" width="9.140625" style="54"/>
  </cols>
  <sheetData>
    <row r="1" spans="3:30" x14ac:dyDescent="0.25">
      <c r="C1" s="54" t="s">
        <v>0</v>
      </c>
    </row>
    <row r="2" spans="3:30" x14ac:dyDescent="0.25">
      <c r="C2" s="54" t="s">
        <v>33</v>
      </c>
    </row>
    <row r="3" spans="3:30" x14ac:dyDescent="0.25">
      <c r="C3" s="54" t="s">
        <v>34</v>
      </c>
    </row>
    <row r="6" spans="3:30" ht="92.25" customHeight="1" x14ac:dyDescent="0.25">
      <c r="E6" s="55"/>
      <c r="F6" s="55"/>
      <c r="G6" s="55"/>
      <c r="H6" s="55"/>
      <c r="I6" s="56" t="s">
        <v>35</v>
      </c>
    </row>
    <row r="7" spans="3:30" x14ac:dyDescent="0.25">
      <c r="AB7" s="57"/>
      <c r="AD7" s="57"/>
    </row>
    <row r="8" spans="3:30" x14ac:dyDescent="0.25">
      <c r="E8" s="57"/>
      <c r="F8" s="57"/>
      <c r="G8" s="57"/>
      <c r="H8" s="57"/>
      <c r="I8" s="57"/>
      <c r="AB8" s="57"/>
      <c r="AC8" s="57"/>
    </row>
    <row r="9" spans="3:30" ht="45" x14ac:dyDescent="0.25">
      <c r="C9" s="58" t="s">
        <v>93</v>
      </c>
      <c r="E9" s="59"/>
      <c r="F9" s="59"/>
      <c r="G9" s="59"/>
      <c r="H9" s="59"/>
      <c r="I9" s="59">
        <v>229967589.24999997</v>
      </c>
      <c r="M9" s="60"/>
      <c r="AB9" s="59"/>
      <c r="AC9" s="59"/>
      <c r="AD9" s="59"/>
    </row>
    <row r="10" spans="3:30" x14ac:dyDescent="0.25">
      <c r="E10" s="59"/>
      <c r="F10" s="59"/>
      <c r="G10" s="59"/>
      <c r="H10" s="59"/>
      <c r="I10" s="59"/>
      <c r="AB10" s="59"/>
    </row>
    <row r="11" spans="3:30" x14ac:dyDescent="0.25">
      <c r="E11" s="59"/>
      <c r="F11" s="59"/>
      <c r="G11" s="59"/>
      <c r="H11" s="59"/>
      <c r="I11" s="59"/>
      <c r="AB11" s="59"/>
    </row>
    <row r="12" spans="3:30" x14ac:dyDescent="0.25">
      <c r="E12" s="61"/>
      <c r="F12" s="61"/>
      <c r="G12" s="61"/>
      <c r="H12" s="61"/>
      <c r="I12" s="62"/>
      <c r="AB12" s="61"/>
    </row>
    <row r="13" spans="3:30" x14ac:dyDescent="0.25">
      <c r="C13" s="63" t="s">
        <v>36</v>
      </c>
      <c r="R13" s="54" t="s">
        <v>89</v>
      </c>
      <c r="Z13" s="63"/>
    </row>
    <row r="14" spans="3:30" x14ac:dyDescent="0.25">
      <c r="C14" s="54" t="s">
        <v>37</v>
      </c>
      <c r="E14" s="64"/>
      <c r="F14" s="65"/>
      <c r="G14" s="65"/>
      <c r="H14" s="65"/>
      <c r="I14" s="65">
        <v>178357574.79020047</v>
      </c>
      <c r="R14" s="54">
        <v>171158958</v>
      </c>
      <c r="S14" s="54">
        <f>+R14+R16</f>
        <v>340147870</v>
      </c>
      <c r="T14" s="77">
        <f>+R14/S14</f>
        <v>0.50318985681139206</v>
      </c>
      <c r="AB14" s="64"/>
      <c r="AC14" s="64"/>
      <c r="AD14" s="64"/>
    </row>
    <row r="15" spans="3:30" x14ac:dyDescent="0.25">
      <c r="C15" s="54" t="s">
        <v>38</v>
      </c>
      <c r="E15" s="64"/>
      <c r="F15" s="64"/>
      <c r="G15" s="65"/>
      <c r="H15" s="65"/>
      <c r="I15" s="65">
        <v>1875099235.9609373</v>
      </c>
      <c r="R15" s="54">
        <v>1879078526</v>
      </c>
      <c r="S15" s="54">
        <f>+R15+R17</f>
        <v>3980451551</v>
      </c>
      <c r="T15" s="77">
        <f>+R15/S15</f>
        <v>0.47207672343805396</v>
      </c>
      <c r="AB15" s="64"/>
      <c r="AC15" s="64"/>
      <c r="AD15" s="64"/>
    </row>
    <row r="16" spans="3:30" x14ac:dyDescent="0.25">
      <c r="C16" s="54" t="s">
        <v>39</v>
      </c>
      <c r="E16" s="64"/>
      <c r="F16" s="64"/>
      <c r="G16" s="65"/>
      <c r="H16" s="65"/>
      <c r="I16" s="65">
        <v>176096260.82646871</v>
      </c>
      <c r="M16" s="65"/>
      <c r="R16" s="54">
        <v>168988912</v>
      </c>
      <c r="T16" s="103">
        <f>+R16/S14</f>
        <v>0.49681014318860794</v>
      </c>
      <c r="AB16" s="64"/>
      <c r="AC16" s="64"/>
      <c r="AD16" s="64"/>
    </row>
    <row r="17" spans="2:34" x14ac:dyDescent="0.25">
      <c r="C17" s="54" t="s">
        <v>40</v>
      </c>
      <c r="E17" s="64"/>
      <c r="F17" s="64"/>
      <c r="G17" s="65"/>
      <c r="H17" s="65"/>
      <c r="I17" s="102">
        <v>2096922985.9883053</v>
      </c>
      <c r="R17" s="54">
        <v>2101373025</v>
      </c>
      <c r="T17" s="77">
        <f>+R17/S15</f>
        <v>0.52792327656194604</v>
      </c>
      <c r="AB17" s="64"/>
      <c r="AC17" s="64"/>
      <c r="AD17" s="64"/>
    </row>
    <row r="18" spans="2:34" x14ac:dyDescent="0.25">
      <c r="C18" s="54" t="s">
        <v>19</v>
      </c>
      <c r="I18" s="66">
        <f>SUM(I14:I17)</f>
        <v>4326476057.5659113</v>
      </c>
      <c r="M18" s="67" t="s">
        <v>88</v>
      </c>
      <c r="N18" s="68">
        <v>4326476057.5659122</v>
      </c>
      <c r="T18" s="60"/>
    </row>
    <row r="19" spans="2:34" x14ac:dyDescent="0.25">
      <c r="C19" s="58"/>
      <c r="M19" s="69" t="s">
        <v>41</v>
      </c>
      <c r="N19" s="70">
        <f>+N18-I18</f>
        <v>0</v>
      </c>
    </row>
    <row r="20" spans="2:34" x14ac:dyDescent="0.25">
      <c r="C20" s="63" t="s">
        <v>42</v>
      </c>
      <c r="E20" s="71"/>
      <c r="F20" s="71"/>
      <c r="G20" s="71"/>
      <c r="H20" s="71"/>
      <c r="I20" s="71"/>
      <c r="M20" s="72"/>
      <c r="N20" s="72"/>
      <c r="O20" s="73"/>
      <c r="P20" s="73"/>
      <c r="Q20" s="73"/>
      <c r="R20" s="73"/>
      <c r="S20" s="73"/>
      <c r="T20" s="72"/>
      <c r="U20" s="72"/>
      <c r="V20" s="72"/>
      <c r="X20" s="74"/>
      <c r="AB20" s="71"/>
      <c r="AC20" s="71"/>
      <c r="AD20" s="71"/>
      <c r="AF20" s="74"/>
    </row>
    <row r="21" spans="2:34" x14ac:dyDescent="0.25">
      <c r="C21" s="54" t="s">
        <v>28</v>
      </c>
      <c r="E21" s="75"/>
      <c r="F21" s="75"/>
      <c r="G21" s="75"/>
      <c r="H21" s="75"/>
      <c r="I21" s="75">
        <f>ROUND((I9)/(+I15),6)</f>
        <v>0.122643</v>
      </c>
      <c r="J21" s="75"/>
      <c r="N21" s="104"/>
      <c r="O21" s="76"/>
      <c r="P21" s="76"/>
      <c r="Q21" s="76"/>
      <c r="R21" s="76"/>
      <c r="S21" s="76"/>
      <c r="X21" s="75"/>
      <c r="AB21" s="75"/>
      <c r="AC21" s="75"/>
      <c r="AD21" s="75"/>
      <c r="AF21" s="75"/>
      <c r="AG21" s="77"/>
    </row>
    <row r="22" spans="2:34" x14ac:dyDescent="0.25">
      <c r="C22" s="54" t="s">
        <v>30</v>
      </c>
      <c r="E22" s="75"/>
      <c r="F22" s="75"/>
      <c r="G22" s="75"/>
      <c r="H22" s="75"/>
      <c r="I22" s="101">
        <f>ROUND((+I9-I26)/(I17+I16),6)</f>
        <v>0</v>
      </c>
      <c r="N22" s="105"/>
      <c r="O22" s="76"/>
      <c r="P22" s="76"/>
      <c r="Q22" s="76"/>
      <c r="R22" s="76"/>
      <c r="S22" s="76"/>
      <c r="X22" s="75"/>
      <c r="AB22" s="75"/>
      <c r="AG22" s="77"/>
      <c r="AH22" s="77"/>
    </row>
    <row r="23" spans="2:34" x14ac:dyDescent="0.25">
      <c r="M23" s="74"/>
    </row>
    <row r="24" spans="2:34" ht="17.25" x14ac:dyDescent="0.25">
      <c r="C24" s="78"/>
      <c r="Z24" s="78"/>
    </row>
    <row r="25" spans="2:34" x14ac:dyDescent="0.25">
      <c r="C25" s="63" t="s">
        <v>43</v>
      </c>
      <c r="E25" s="79" t="e">
        <f>+#REF!*E20</f>
        <v>#REF!</v>
      </c>
      <c r="F25" s="79" t="e">
        <v>#REF!</v>
      </c>
      <c r="G25" s="79" t="e">
        <v>#REF!</v>
      </c>
      <c r="H25" s="79" t="e">
        <v>#REF!</v>
      </c>
      <c r="I25" s="79"/>
      <c r="AB25" s="79"/>
      <c r="AC25" s="79"/>
      <c r="AD25" s="79"/>
    </row>
    <row r="26" spans="2:34" x14ac:dyDescent="0.25">
      <c r="C26" s="54" t="s">
        <v>28</v>
      </c>
      <c r="E26" s="79">
        <f>+E15*E21</f>
        <v>0</v>
      </c>
      <c r="F26" s="64">
        <f>+F15*F21</f>
        <v>0</v>
      </c>
      <c r="G26" s="64">
        <f>+G15*G21</f>
        <v>0</v>
      </c>
      <c r="H26" s="64">
        <f>+H15*H21</f>
        <v>0</v>
      </c>
      <c r="I26" s="79">
        <f>(+I15)*I21</f>
        <v>229967795.59595722</v>
      </c>
      <c r="AB26" s="79"/>
      <c r="AC26" s="79"/>
      <c r="AD26" s="79"/>
    </row>
    <row r="27" spans="2:34" x14ac:dyDescent="0.25">
      <c r="C27" s="54" t="s">
        <v>30</v>
      </c>
      <c r="E27" s="79">
        <f t="shared" ref="E27:I27" si="0">+E17*E22</f>
        <v>0</v>
      </c>
      <c r="F27" s="79">
        <f t="shared" si="0"/>
        <v>0</v>
      </c>
      <c r="G27" s="79">
        <f t="shared" si="0"/>
        <v>0</v>
      </c>
      <c r="H27" s="79">
        <f t="shared" si="0"/>
        <v>0</v>
      </c>
      <c r="I27" s="80">
        <f t="shared" si="0"/>
        <v>0</v>
      </c>
      <c r="AB27" s="79"/>
      <c r="AC27" s="79"/>
      <c r="AD27" s="79"/>
    </row>
    <row r="28" spans="2:34" x14ac:dyDescent="0.25">
      <c r="C28" s="54" t="s">
        <v>19</v>
      </c>
      <c r="E28" s="81" t="e">
        <f t="shared" ref="E28:I28" si="1">SUM(E25:E27)</f>
        <v>#REF!</v>
      </c>
      <c r="F28" s="81" t="e">
        <f t="shared" si="1"/>
        <v>#REF!</v>
      </c>
      <c r="G28" s="81" t="e">
        <f t="shared" si="1"/>
        <v>#REF!</v>
      </c>
      <c r="H28" s="81" t="e">
        <f t="shared" si="1"/>
        <v>#REF!</v>
      </c>
      <c r="I28" s="81">
        <f t="shared" si="1"/>
        <v>229967795.59595722</v>
      </c>
      <c r="AB28" s="81"/>
      <c r="AC28" s="81"/>
      <c r="AD28" s="81"/>
    </row>
    <row r="30" spans="2:34" x14ac:dyDescent="0.25">
      <c r="E30" s="59"/>
      <c r="F30" s="59"/>
      <c r="G30" s="59"/>
      <c r="H30" s="59"/>
      <c r="I30" s="59"/>
    </row>
    <row r="32" spans="2:34" x14ac:dyDescent="0.25">
      <c r="B32" s="82"/>
    </row>
  </sheetData>
  <pageMargins left="0.7" right="0.7" top="0.75" bottom="0.75" header="0.3" footer="0.3"/>
  <pageSetup scale="66" orientation="portrait" r:id="rId1"/>
  <headerFooter>
    <oddHeader>&amp;RAttachment 1
Docket No. 2026-00###
August 25, 2026
Page &amp;P of &amp;N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6A06F-B6A9-47B7-8997-08059FEFE8EB}">
  <sheetPr>
    <pageSetUpPr fitToPage="1"/>
  </sheetPr>
  <dimension ref="A1:Q222"/>
  <sheetViews>
    <sheetView workbookViewId="0">
      <selection sqref="A1:O1"/>
    </sheetView>
  </sheetViews>
  <sheetFormatPr defaultColWidth="9.140625" defaultRowHeight="12.75" x14ac:dyDescent="0.2"/>
  <cols>
    <col min="1" max="1" width="9.140625" style="19"/>
    <col min="2" max="2" width="23.85546875" style="19" customWidth="1"/>
    <col min="3" max="14" width="13.85546875" style="19" customWidth="1"/>
    <col min="15" max="15" width="13.5703125" style="19" customWidth="1"/>
    <col min="16" max="16" width="15.140625" style="19" customWidth="1"/>
    <col min="17" max="16384" width="9.140625" style="19"/>
  </cols>
  <sheetData>
    <row r="1" spans="1:16" ht="18.75" x14ac:dyDescent="0.3">
      <c r="A1" s="114" t="s">
        <v>44</v>
      </c>
      <c r="B1" s="114"/>
      <c r="C1" s="114"/>
      <c r="D1" s="114"/>
      <c r="E1" s="114"/>
      <c r="F1" s="114"/>
      <c r="G1" s="114"/>
      <c r="H1" s="114"/>
      <c r="I1" s="114"/>
      <c r="J1" s="114"/>
      <c r="K1" s="114"/>
      <c r="L1" s="114"/>
      <c r="M1" s="114"/>
      <c r="N1" s="114"/>
      <c r="O1" s="114"/>
    </row>
    <row r="2" spans="1:16" ht="18.75" x14ac:dyDescent="0.3">
      <c r="A2" s="114" t="s">
        <v>45</v>
      </c>
      <c r="B2" s="114"/>
      <c r="C2" s="114"/>
      <c r="D2" s="114"/>
      <c r="E2" s="114"/>
      <c r="F2" s="114"/>
      <c r="G2" s="114"/>
      <c r="H2" s="114"/>
      <c r="I2" s="114"/>
      <c r="J2" s="114"/>
      <c r="K2" s="114"/>
      <c r="L2" s="114"/>
      <c r="M2" s="114"/>
      <c r="N2" s="114"/>
      <c r="O2" s="114"/>
    </row>
    <row r="3" spans="1:16" ht="18.75" x14ac:dyDescent="0.3">
      <c r="A3" s="47"/>
      <c r="B3" s="47"/>
      <c r="C3" s="32" t="s">
        <v>46</v>
      </c>
      <c r="D3" s="32" t="s">
        <v>47</v>
      </c>
      <c r="E3" s="32" t="s">
        <v>48</v>
      </c>
      <c r="F3" s="32" t="s">
        <v>49</v>
      </c>
      <c r="G3" s="32" t="s">
        <v>50</v>
      </c>
      <c r="H3" s="32" t="s">
        <v>51</v>
      </c>
      <c r="I3" s="32" t="s">
        <v>52</v>
      </c>
      <c r="J3" s="32" t="s">
        <v>53</v>
      </c>
      <c r="K3" s="32" t="s">
        <v>54</v>
      </c>
      <c r="L3" s="32" t="s">
        <v>55</v>
      </c>
      <c r="M3" s="32" t="s">
        <v>56</v>
      </c>
      <c r="N3" s="32" t="s">
        <v>57</v>
      </c>
      <c r="O3" s="47"/>
    </row>
    <row r="4" spans="1:16" ht="15" x14ac:dyDescent="0.25">
      <c r="A4" s="19" t="s">
        <v>58</v>
      </c>
      <c r="C4" s="48">
        <v>0.18147567433633896</v>
      </c>
      <c r="D4" s="48">
        <v>0.17198344687104467</v>
      </c>
      <c r="E4" s="48">
        <v>0.15236962591512457</v>
      </c>
      <c r="F4" s="48">
        <v>7.9857486362386543E-2</v>
      </c>
      <c r="G4" s="48">
        <v>3.8785244839859401E-2</v>
      </c>
      <c r="H4" s="48">
        <v>2.1243666980474012E-2</v>
      </c>
      <c r="I4" s="48">
        <v>1.4596531021264887E-2</v>
      </c>
      <c r="J4" s="48">
        <v>1.440078910850996E-2</v>
      </c>
      <c r="K4" s="48">
        <v>1.6202451608765291E-2</v>
      </c>
      <c r="L4" s="48">
        <v>3.7852670295578164E-2</v>
      </c>
      <c r="M4" s="48">
        <v>8.8059080907554099E-2</v>
      </c>
      <c r="N4" s="48">
        <v>0.18317333175309947</v>
      </c>
      <c r="O4" s="48" t="s">
        <v>59</v>
      </c>
      <c r="P4" s="49">
        <v>9335</v>
      </c>
    </row>
    <row r="5" spans="1:16" ht="18.75" x14ac:dyDescent="0.3">
      <c r="A5" s="19" t="s">
        <v>60</v>
      </c>
      <c r="B5" s="47"/>
      <c r="C5" s="48">
        <v>0</v>
      </c>
      <c r="D5" s="48">
        <v>0</v>
      </c>
      <c r="E5" s="48">
        <v>0</v>
      </c>
      <c r="F5" s="48">
        <v>2.4177784525458764E-2</v>
      </c>
      <c r="G5" s="48">
        <v>4.8924904636289367E-2</v>
      </c>
      <c r="H5" s="48">
        <v>0.18810847740686623</v>
      </c>
      <c r="I5" s="48">
        <v>0.28973487939574533</v>
      </c>
      <c r="J5" s="48">
        <v>0.26436149014100541</v>
      </c>
      <c r="K5" s="48">
        <v>0.1596037424325811</v>
      </c>
      <c r="L5" s="48">
        <v>2.4329607348224598E-2</v>
      </c>
      <c r="M5" s="48">
        <v>7.5911411382916037E-4</v>
      </c>
      <c r="N5" s="48">
        <v>0</v>
      </c>
      <c r="O5" s="48" t="s">
        <v>59</v>
      </c>
      <c r="P5" s="49">
        <v>1000</v>
      </c>
    </row>
    <row r="6" spans="1:16" ht="18.75" x14ac:dyDescent="0.3">
      <c r="A6" s="47"/>
      <c r="B6" s="47"/>
      <c r="C6" s="47"/>
      <c r="D6" s="47"/>
      <c r="E6" s="47"/>
      <c r="F6" s="47"/>
      <c r="G6" s="47"/>
      <c r="H6" s="47"/>
      <c r="I6" s="47"/>
      <c r="J6" s="47"/>
      <c r="K6" s="47"/>
      <c r="L6" s="47"/>
      <c r="M6" s="47"/>
      <c r="N6" s="47"/>
      <c r="O6" s="47"/>
    </row>
    <row r="7" spans="1:16" ht="15.75" x14ac:dyDescent="0.25">
      <c r="A7" s="50"/>
      <c r="B7" s="50"/>
      <c r="C7" s="50"/>
      <c r="D7" s="50"/>
      <c r="E7" s="50"/>
      <c r="F7" s="50"/>
      <c r="G7" s="50"/>
      <c r="H7" s="50"/>
      <c r="I7" s="50"/>
      <c r="J7" s="50"/>
      <c r="K7" s="50"/>
      <c r="L7" s="50"/>
      <c r="M7" s="50"/>
      <c r="N7" s="50"/>
      <c r="O7" s="50"/>
    </row>
    <row r="8" spans="1:16" ht="15.75" x14ac:dyDescent="0.25">
      <c r="A8" s="51" t="s">
        <v>61</v>
      </c>
      <c r="B8" s="38"/>
    </row>
    <row r="9" spans="1:16" x14ac:dyDescent="0.2">
      <c r="C9" s="32" t="s">
        <v>46</v>
      </c>
      <c r="D9" s="32" t="s">
        <v>47</v>
      </c>
      <c r="E9" s="32" t="s">
        <v>48</v>
      </c>
      <c r="F9" s="32" t="s">
        <v>49</v>
      </c>
      <c r="G9" s="32" t="s">
        <v>50</v>
      </c>
      <c r="H9" s="32" t="s">
        <v>51</v>
      </c>
      <c r="I9" s="32" t="s">
        <v>52</v>
      </c>
      <c r="J9" s="32" t="s">
        <v>53</v>
      </c>
      <c r="K9" s="32" t="s">
        <v>54</v>
      </c>
      <c r="L9" s="32" t="s">
        <v>55</v>
      </c>
      <c r="M9" s="32" t="s">
        <v>56</v>
      </c>
      <c r="N9" s="32" t="s">
        <v>57</v>
      </c>
      <c r="O9" s="32" t="s">
        <v>19</v>
      </c>
    </row>
    <row r="10" spans="1:16" x14ac:dyDescent="0.2">
      <c r="B10" s="19" t="s">
        <v>62</v>
      </c>
      <c r="C10" s="49">
        <v>500</v>
      </c>
      <c r="D10" s="49">
        <v>500</v>
      </c>
      <c r="E10" s="49">
        <v>500</v>
      </c>
      <c r="F10" s="49">
        <v>500</v>
      </c>
      <c r="G10" s="49">
        <v>500</v>
      </c>
      <c r="H10" s="49">
        <v>500</v>
      </c>
      <c r="I10" s="49">
        <v>500</v>
      </c>
      <c r="J10" s="49">
        <v>500</v>
      </c>
      <c r="K10" s="49">
        <v>500</v>
      </c>
      <c r="L10" s="49">
        <v>500</v>
      </c>
      <c r="M10" s="49">
        <v>500</v>
      </c>
      <c r="N10" s="49">
        <v>500</v>
      </c>
      <c r="O10" s="49">
        <f>SUM(C10:N10)</f>
        <v>6000</v>
      </c>
    </row>
    <row r="11" spans="1:16" x14ac:dyDescent="0.2">
      <c r="B11" s="19" t="s">
        <v>63</v>
      </c>
      <c r="C11" s="49">
        <f t="shared" ref="C11:N11" si="0">C4*$O$11</f>
        <v>1694.0754199297241</v>
      </c>
      <c r="D11" s="49">
        <f t="shared" si="0"/>
        <v>1605.465476541202</v>
      </c>
      <c r="E11" s="49">
        <f t="shared" si="0"/>
        <v>1422.3704579176879</v>
      </c>
      <c r="F11" s="49">
        <f t="shared" si="0"/>
        <v>745.4696351928784</v>
      </c>
      <c r="G11" s="49">
        <f t="shared" si="0"/>
        <v>362.06026058008752</v>
      </c>
      <c r="H11" s="49">
        <f t="shared" si="0"/>
        <v>198.30963126272491</v>
      </c>
      <c r="I11" s="49">
        <f t="shared" si="0"/>
        <v>136.25861708350772</v>
      </c>
      <c r="J11" s="49">
        <f t="shared" si="0"/>
        <v>134.43136632794048</v>
      </c>
      <c r="K11" s="49">
        <f t="shared" si="0"/>
        <v>151.249885767824</v>
      </c>
      <c r="L11" s="49">
        <f t="shared" si="0"/>
        <v>353.35467720922219</v>
      </c>
      <c r="M11" s="49">
        <f t="shared" si="0"/>
        <v>822.03152027201747</v>
      </c>
      <c r="N11" s="49">
        <f t="shared" si="0"/>
        <v>1709.9230519151836</v>
      </c>
      <c r="O11" s="49">
        <f>P4</f>
        <v>9335</v>
      </c>
    </row>
    <row r="12" spans="1:16" x14ac:dyDescent="0.2">
      <c r="B12" s="19" t="s">
        <v>64</v>
      </c>
      <c r="C12" s="49">
        <f t="shared" ref="C12:N12" si="1">C5*$O$12</f>
        <v>0</v>
      </c>
      <c r="D12" s="49">
        <f t="shared" si="1"/>
        <v>0</v>
      </c>
      <c r="E12" s="49">
        <f t="shared" si="1"/>
        <v>0</v>
      </c>
      <c r="F12" s="49">
        <f t="shared" si="1"/>
        <v>24.177784525458765</v>
      </c>
      <c r="G12" s="49">
        <f t="shared" si="1"/>
        <v>48.924904636289369</v>
      </c>
      <c r="H12" s="49">
        <f t="shared" si="1"/>
        <v>188.10847740686623</v>
      </c>
      <c r="I12" s="49">
        <f t="shared" si="1"/>
        <v>289.73487939574534</v>
      </c>
      <c r="J12" s="49">
        <f t="shared" si="1"/>
        <v>264.36149014100539</v>
      </c>
      <c r="K12" s="49">
        <f t="shared" si="1"/>
        <v>159.6037424325811</v>
      </c>
      <c r="L12" s="49">
        <f t="shared" si="1"/>
        <v>24.329607348224599</v>
      </c>
      <c r="M12" s="49">
        <f t="shared" si="1"/>
        <v>0.75911411382916039</v>
      </c>
      <c r="N12" s="49">
        <f t="shared" si="1"/>
        <v>0</v>
      </c>
      <c r="O12" s="49">
        <f>P5</f>
        <v>1000</v>
      </c>
      <c r="P12" s="19" t="s">
        <v>65</v>
      </c>
    </row>
    <row r="14" spans="1:16" x14ac:dyDescent="0.2">
      <c r="B14" s="19" t="s">
        <v>18</v>
      </c>
      <c r="C14" s="22">
        <f>+'Att 1 Rate Design p2'!$H$29</f>
        <v>41.24</v>
      </c>
      <c r="D14" s="22">
        <f>+'Att 1 Rate Design p2'!$H$29</f>
        <v>41.24</v>
      </c>
      <c r="E14" s="22">
        <f>+'Att 1 Rate Design p2'!$H$29</f>
        <v>41.24</v>
      </c>
      <c r="F14" s="22">
        <f>+'Att 1 Rate Design p2'!$H$29</f>
        <v>41.24</v>
      </c>
      <c r="G14" s="22">
        <f>+'Att 1 Rate Design p2'!$H$29</f>
        <v>41.24</v>
      </c>
      <c r="H14" s="22">
        <f>+'Att 1 Rate Design p2'!$H$29</f>
        <v>41.24</v>
      </c>
      <c r="I14" s="22">
        <f>+'Att 1 Rate Design p2'!$H$29</f>
        <v>41.24</v>
      </c>
      <c r="J14" s="22">
        <f>+'Att 1 Rate Design p2'!$H$29</f>
        <v>41.24</v>
      </c>
      <c r="K14" s="22">
        <f>+'Att 1 Rate Design p2'!$H$29</f>
        <v>41.24</v>
      </c>
      <c r="L14" s="22">
        <f>+'Att 1 Rate Design p2'!$H$29</f>
        <v>41.24</v>
      </c>
      <c r="M14" s="22">
        <f>+'Att 1 Rate Design p2'!$H$29</f>
        <v>41.24</v>
      </c>
      <c r="N14" s="22">
        <f>+'Att 1 Rate Design p2'!$H$29</f>
        <v>41.24</v>
      </c>
      <c r="O14" s="22">
        <f>SUM(C14:N14)</f>
        <v>494.88000000000005</v>
      </c>
    </row>
    <row r="15" spans="1:16" x14ac:dyDescent="0.2">
      <c r="B15" s="19" t="s">
        <v>62</v>
      </c>
      <c r="C15" s="19">
        <f>ROUND((C10)*'Att 1 Rate Design p2'!$H$31,2)</f>
        <v>1.6</v>
      </c>
      <c r="D15" s="19">
        <f>ROUND((D10)*'Att 1 Rate Design p2'!$H$31,2)</f>
        <v>1.6</v>
      </c>
      <c r="E15" s="19">
        <f>ROUND((E10)*'Att 1 Rate Design p2'!$H$31,2)</f>
        <v>1.6</v>
      </c>
      <c r="F15" s="19">
        <f>ROUND((F10)*'Att 1 Rate Design p2'!$H$31,2)</f>
        <v>1.6</v>
      </c>
      <c r="G15" s="19">
        <f>ROUND((G10)*'Att 1 Rate Design p2'!$H$30,2)</f>
        <v>124.66</v>
      </c>
      <c r="H15" s="19">
        <f>ROUND((H10)*'Att 1 Rate Design p2'!$H$30,2)</f>
        <v>124.66</v>
      </c>
      <c r="I15" s="19">
        <f>ROUND((I10)*'Att 1 Rate Design p2'!$H$30,2)</f>
        <v>124.66</v>
      </c>
      <c r="J15" s="19">
        <f>ROUND((J10)*'Att 1 Rate Design p2'!$H$30,2)</f>
        <v>124.66</v>
      </c>
      <c r="K15" s="19">
        <f>ROUND((K10)*'Att 1 Rate Design p2'!$H$30,2)</f>
        <v>124.66</v>
      </c>
      <c r="L15" s="19">
        <f>ROUND((L10)*'Att 1 Rate Design p2'!$H$30,2)</f>
        <v>124.66</v>
      </c>
      <c r="M15" s="19">
        <f>ROUND((M10)*'Att 1 Rate Design p2'!$H$31,2)</f>
        <v>1.6</v>
      </c>
      <c r="N15" s="19">
        <f>ROUND((N10)*'Att 1 Rate Design p2'!$H$31,2)</f>
        <v>1.6</v>
      </c>
      <c r="O15" s="19">
        <f>SUM(C15:N15)</f>
        <v>757.56</v>
      </c>
      <c r="P15" s="22"/>
    </row>
    <row r="16" spans="1:16" x14ac:dyDescent="0.2">
      <c r="B16" s="19" t="s">
        <v>66</v>
      </c>
      <c r="C16" s="19">
        <f>ROUND((C11)*'Att 1 Rate Design p2'!$H$31,2)</f>
        <v>5.42</v>
      </c>
      <c r="D16" s="19">
        <f>ROUND((D11)*'Att 1 Rate Design p2'!$H$31,2)</f>
        <v>5.14</v>
      </c>
      <c r="E16" s="19">
        <f>ROUND((E11)*'Att 1 Rate Design p2'!$H$31,2)</f>
        <v>4.55</v>
      </c>
      <c r="F16" s="19">
        <f>ROUND((F11)*'Att 1 Rate Design p2'!$H$31,2)</f>
        <v>2.38</v>
      </c>
      <c r="G16" s="19">
        <f>ROUND((G11)*'Att 1 Rate Design p2'!$H$30,2)</f>
        <v>90.27</v>
      </c>
      <c r="H16" s="19">
        <f>ROUND((H11)*'Att 1 Rate Design p2'!$H$30,2)</f>
        <v>49.44</v>
      </c>
      <c r="I16" s="19">
        <f>ROUND((I11)*'Att 1 Rate Design p2'!$H$30,2)</f>
        <v>33.97</v>
      </c>
      <c r="J16" s="19">
        <f>ROUND((J11)*'Att 1 Rate Design p2'!$H$30,2)</f>
        <v>33.520000000000003</v>
      </c>
      <c r="K16" s="19">
        <f>ROUND((K11)*'Att 1 Rate Design p2'!$H$30,2)</f>
        <v>37.71</v>
      </c>
      <c r="L16" s="19">
        <f>ROUND((L11)*'Att 1 Rate Design p2'!$H$30,2)</f>
        <v>88.09</v>
      </c>
      <c r="M16" s="19">
        <f>ROUND((M11)*'Att 1 Rate Design p2'!$H$31,2)</f>
        <v>2.63</v>
      </c>
      <c r="N16" s="19">
        <f>ROUND((N11)*'Att 1 Rate Design p2'!$H$31,2)</f>
        <v>5.47</v>
      </c>
      <c r="O16" s="19">
        <f>SUM(C16:N16)</f>
        <v>358.59000000000003</v>
      </c>
    </row>
    <row r="17" spans="1:16" x14ac:dyDescent="0.2">
      <c r="B17" s="19" t="s">
        <v>67</v>
      </c>
      <c r="C17" s="19">
        <f>ROUND((C12)*'Att 1 Rate Design p2'!$H$31,2)</f>
        <v>0</v>
      </c>
      <c r="D17" s="19">
        <f>ROUND((D12)*'Att 1 Rate Design p2'!$H$31,2)</f>
        <v>0</v>
      </c>
      <c r="E17" s="19">
        <f>ROUND((E12)*'Att 1 Rate Design p2'!$H$31,2)</f>
        <v>0</v>
      </c>
      <c r="F17" s="19">
        <f>ROUND((F12)*'Att 1 Rate Design p2'!$H$31,2)</f>
        <v>0.08</v>
      </c>
      <c r="G17" s="19">
        <f>ROUND((G12)*'Att 1 Rate Design p2'!$H$30,2)</f>
        <v>12.2</v>
      </c>
      <c r="H17" s="19">
        <f>ROUND((H12)*'Att 1 Rate Design p2'!$H$30,2)</f>
        <v>46.9</v>
      </c>
      <c r="I17" s="19">
        <f>ROUND((I12)*'Att 1 Rate Design p2'!$H$30,2)</f>
        <v>72.23</v>
      </c>
      <c r="J17" s="19">
        <f>ROUND((J12)*'Att 1 Rate Design p2'!$H$30,2)</f>
        <v>65.91</v>
      </c>
      <c r="K17" s="19">
        <f>ROUND((K12)*'Att 1 Rate Design p2'!$H$30,2)</f>
        <v>39.79</v>
      </c>
      <c r="L17" s="19">
        <f>ROUND((L12)*'Att 1 Rate Design p2'!$H$30,2)</f>
        <v>6.07</v>
      </c>
      <c r="M17" s="19">
        <f>ROUND((M12)*'Att 1 Rate Design p2'!$H$31,2)</f>
        <v>0</v>
      </c>
      <c r="N17" s="19">
        <f>ROUND((N12)*'Att 1 Rate Design p2'!$H$31,2)</f>
        <v>0</v>
      </c>
      <c r="O17" s="19">
        <f>SUM(C17:N17)</f>
        <v>243.17999999999998</v>
      </c>
    </row>
    <row r="18" spans="1:16" ht="15" x14ac:dyDescent="0.25">
      <c r="B18" s="38" t="s">
        <v>19</v>
      </c>
      <c r="C18" s="52">
        <f t="shared" ref="C18:O18" si="2">+C14+C15+C16+C17</f>
        <v>48.260000000000005</v>
      </c>
      <c r="D18" s="52">
        <f t="shared" si="2"/>
        <v>47.980000000000004</v>
      </c>
      <c r="E18" s="52">
        <f t="shared" si="2"/>
        <v>47.39</v>
      </c>
      <c r="F18" s="52">
        <f t="shared" si="2"/>
        <v>45.300000000000004</v>
      </c>
      <c r="G18" s="52">
        <f t="shared" si="2"/>
        <v>268.37</v>
      </c>
      <c r="H18" s="52">
        <f t="shared" si="2"/>
        <v>262.24</v>
      </c>
      <c r="I18" s="52">
        <f t="shared" si="2"/>
        <v>272.10000000000002</v>
      </c>
      <c r="J18" s="52">
        <f t="shared" si="2"/>
        <v>265.33000000000004</v>
      </c>
      <c r="K18" s="52">
        <f t="shared" si="2"/>
        <v>243.4</v>
      </c>
      <c r="L18" s="52">
        <f t="shared" si="2"/>
        <v>260.06</v>
      </c>
      <c r="M18" s="52">
        <f t="shared" si="2"/>
        <v>45.470000000000006</v>
      </c>
      <c r="N18" s="52">
        <f t="shared" si="2"/>
        <v>48.31</v>
      </c>
      <c r="O18" s="52">
        <f t="shared" si="2"/>
        <v>1854.2100000000003</v>
      </c>
      <c r="P18" s="17" t="s">
        <v>68</v>
      </c>
    </row>
    <row r="19" spans="1:16" x14ac:dyDescent="0.2">
      <c r="P19" s="17"/>
    </row>
    <row r="20" spans="1:16" ht="13.5" thickBot="1" x14ac:dyDescent="0.25">
      <c r="A20" s="83"/>
      <c r="B20" s="83"/>
      <c r="C20" s="84"/>
      <c r="D20" s="84"/>
      <c r="E20" s="84"/>
      <c r="F20" s="84"/>
      <c r="G20" s="84"/>
      <c r="H20" s="84"/>
      <c r="I20" s="84"/>
      <c r="J20" s="84"/>
      <c r="K20" s="84"/>
      <c r="L20" s="84"/>
      <c r="M20" s="84"/>
      <c r="N20" s="84"/>
      <c r="O20" s="84"/>
      <c r="P20" s="17"/>
    </row>
    <row r="21" spans="1:16" ht="19.5" thickTop="1" x14ac:dyDescent="0.3">
      <c r="A21" s="114" t="s">
        <v>44</v>
      </c>
      <c r="B21" s="114"/>
      <c r="C21" s="114"/>
      <c r="D21" s="114"/>
      <c r="E21" s="114"/>
      <c r="F21" s="114"/>
      <c r="G21" s="114"/>
      <c r="H21" s="114"/>
      <c r="I21" s="114"/>
      <c r="J21" s="114"/>
      <c r="K21" s="114"/>
      <c r="L21" s="114"/>
      <c r="M21" s="114"/>
      <c r="N21" s="114"/>
      <c r="O21" s="114"/>
      <c r="P21" s="17"/>
    </row>
    <row r="22" spans="1:16" ht="18.75" x14ac:dyDescent="0.3">
      <c r="A22" s="114" t="s">
        <v>69</v>
      </c>
      <c r="B22" s="114"/>
      <c r="C22" s="114"/>
      <c r="D22" s="114"/>
      <c r="E22" s="114"/>
      <c r="F22" s="114"/>
      <c r="G22" s="114"/>
      <c r="H22" s="114"/>
      <c r="I22" s="114"/>
      <c r="J22" s="114"/>
      <c r="K22" s="114"/>
      <c r="L22" s="114"/>
      <c r="M22" s="114"/>
      <c r="N22" s="114"/>
      <c r="O22" s="114"/>
      <c r="P22" s="17"/>
    </row>
    <row r="23" spans="1:16" x14ac:dyDescent="0.2">
      <c r="P23" s="17"/>
    </row>
    <row r="24" spans="1:16" ht="15.75" x14ac:dyDescent="0.25">
      <c r="A24" s="53"/>
      <c r="D24" s="85" t="s">
        <v>70</v>
      </c>
      <c r="E24" s="86"/>
      <c r="F24" s="87">
        <v>41.24</v>
      </c>
      <c r="P24" s="17"/>
    </row>
    <row r="25" spans="1:16" ht="15.75" x14ac:dyDescent="0.25">
      <c r="A25" s="53"/>
      <c r="D25" s="88" t="s">
        <v>71</v>
      </c>
      <c r="E25" s="89"/>
      <c r="F25" s="90">
        <v>8.8637999999999995E-2</v>
      </c>
      <c r="P25" s="17"/>
    </row>
    <row r="26" spans="1:16" ht="15.75" x14ac:dyDescent="0.25">
      <c r="A26" s="53"/>
      <c r="P26" s="17"/>
    </row>
    <row r="27" spans="1:16" ht="15.75" x14ac:dyDescent="0.25">
      <c r="A27" s="51" t="s">
        <v>90</v>
      </c>
      <c r="B27" s="38"/>
      <c r="C27" s="38"/>
      <c r="D27" s="38"/>
      <c r="P27" s="17"/>
    </row>
    <row r="28" spans="1:16" x14ac:dyDescent="0.2">
      <c r="B28" s="19" t="str">
        <f t="shared" ref="B28:N30" si="3">B10</f>
        <v>Base kWh</v>
      </c>
      <c r="C28" s="49">
        <f t="shared" si="3"/>
        <v>500</v>
      </c>
      <c r="D28" s="49">
        <f t="shared" si="3"/>
        <v>500</v>
      </c>
      <c r="E28" s="49">
        <f t="shared" si="3"/>
        <v>500</v>
      </c>
      <c r="F28" s="49">
        <f t="shared" si="3"/>
        <v>500</v>
      </c>
      <c r="G28" s="49">
        <f t="shared" si="3"/>
        <v>500</v>
      </c>
      <c r="H28" s="49">
        <f t="shared" si="3"/>
        <v>500</v>
      </c>
      <c r="I28" s="49">
        <f t="shared" si="3"/>
        <v>500</v>
      </c>
      <c r="J28" s="49">
        <f t="shared" si="3"/>
        <v>500</v>
      </c>
      <c r="K28" s="49">
        <f t="shared" si="3"/>
        <v>500</v>
      </c>
      <c r="L28" s="49">
        <f t="shared" si="3"/>
        <v>500</v>
      </c>
      <c r="M28" s="49">
        <f t="shared" si="3"/>
        <v>500</v>
      </c>
      <c r="N28" s="49">
        <f t="shared" si="3"/>
        <v>500</v>
      </c>
      <c r="O28" s="49"/>
      <c r="P28" s="91"/>
    </row>
    <row r="29" spans="1:16" x14ac:dyDescent="0.2">
      <c r="B29" s="19" t="str">
        <f t="shared" si="3"/>
        <v>ASHP kWh - Heat</v>
      </c>
      <c r="C29" s="49">
        <f t="shared" si="3"/>
        <v>1694.0754199297241</v>
      </c>
      <c r="D29" s="49">
        <f t="shared" si="3"/>
        <v>1605.465476541202</v>
      </c>
      <c r="E29" s="49">
        <f t="shared" si="3"/>
        <v>1422.3704579176879</v>
      </c>
      <c r="F29" s="49">
        <f t="shared" si="3"/>
        <v>745.4696351928784</v>
      </c>
      <c r="G29" s="49">
        <f t="shared" si="3"/>
        <v>362.06026058008752</v>
      </c>
      <c r="H29" s="49">
        <f t="shared" si="3"/>
        <v>198.30963126272491</v>
      </c>
      <c r="I29" s="49">
        <f t="shared" si="3"/>
        <v>136.25861708350772</v>
      </c>
      <c r="J29" s="49">
        <f t="shared" si="3"/>
        <v>134.43136632794048</v>
      </c>
      <c r="K29" s="49">
        <f t="shared" si="3"/>
        <v>151.249885767824</v>
      </c>
      <c r="L29" s="49">
        <f t="shared" si="3"/>
        <v>353.35467720922219</v>
      </c>
      <c r="M29" s="49">
        <f t="shared" si="3"/>
        <v>822.03152027201747</v>
      </c>
      <c r="N29" s="49">
        <f t="shared" si="3"/>
        <v>1709.9230519151836</v>
      </c>
      <c r="O29" s="49">
        <f>SUM(C29:N29)</f>
        <v>9335.0000000000018</v>
      </c>
      <c r="P29" s="91"/>
    </row>
    <row r="30" spans="1:16" x14ac:dyDescent="0.2">
      <c r="B30" s="19" t="str">
        <f t="shared" si="3"/>
        <v>ASHP kWh - AC</v>
      </c>
      <c r="C30" s="49">
        <f t="shared" si="3"/>
        <v>0</v>
      </c>
      <c r="D30" s="49">
        <f t="shared" si="3"/>
        <v>0</v>
      </c>
      <c r="E30" s="49">
        <f t="shared" si="3"/>
        <v>0</v>
      </c>
      <c r="F30" s="49">
        <f t="shared" si="3"/>
        <v>24.177784525458765</v>
      </c>
      <c r="G30" s="49">
        <f t="shared" si="3"/>
        <v>48.924904636289369</v>
      </c>
      <c r="H30" s="49">
        <f t="shared" si="3"/>
        <v>188.10847740686623</v>
      </c>
      <c r="I30" s="49">
        <f t="shared" si="3"/>
        <v>289.73487939574534</v>
      </c>
      <c r="J30" s="49">
        <f t="shared" si="3"/>
        <v>264.36149014100539</v>
      </c>
      <c r="K30" s="49">
        <f t="shared" si="3"/>
        <v>159.6037424325811</v>
      </c>
      <c r="L30" s="49">
        <f t="shared" si="3"/>
        <v>24.329607348224599</v>
      </c>
      <c r="M30" s="49">
        <f t="shared" si="3"/>
        <v>0.75911411382916039</v>
      </c>
      <c r="N30" s="49">
        <f t="shared" si="3"/>
        <v>0</v>
      </c>
      <c r="O30" s="49">
        <f>O12</f>
        <v>1000</v>
      </c>
      <c r="P30" s="91"/>
    </row>
    <row r="31" spans="1:16" x14ac:dyDescent="0.2">
      <c r="P31" s="17"/>
    </row>
    <row r="32" spans="1:16" x14ac:dyDescent="0.2">
      <c r="B32" s="19" t="str">
        <f>B14</f>
        <v>Service Charge</v>
      </c>
      <c r="C32" s="22">
        <f t="shared" ref="C32:N32" si="4">+$F$24</f>
        <v>41.24</v>
      </c>
      <c r="D32" s="22">
        <f t="shared" si="4"/>
        <v>41.24</v>
      </c>
      <c r="E32" s="22">
        <f t="shared" si="4"/>
        <v>41.24</v>
      </c>
      <c r="F32" s="22">
        <f t="shared" si="4"/>
        <v>41.24</v>
      </c>
      <c r="G32" s="22">
        <f t="shared" si="4"/>
        <v>41.24</v>
      </c>
      <c r="H32" s="22">
        <f t="shared" si="4"/>
        <v>41.24</v>
      </c>
      <c r="I32" s="22">
        <f t="shared" si="4"/>
        <v>41.24</v>
      </c>
      <c r="J32" s="22">
        <f t="shared" si="4"/>
        <v>41.24</v>
      </c>
      <c r="K32" s="22">
        <f t="shared" si="4"/>
        <v>41.24</v>
      </c>
      <c r="L32" s="22">
        <f t="shared" si="4"/>
        <v>41.24</v>
      </c>
      <c r="M32" s="22">
        <f t="shared" si="4"/>
        <v>41.24</v>
      </c>
      <c r="N32" s="22">
        <f t="shared" si="4"/>
        <v>41.24</v>
      </c>
      <c r="O32" s="19">
        <f>SUM(C32:N32)</f>
        <v>494.88000000000005</v>
      </c>
      <c r="P32" s="17"/>
    </row>
    <row r="33" spans="1:17" x14ac:dyDescent="0.2">
      <c r="B33" s="19" t="str">
        <f>B15</f>
        <v>Base kWh</v>
      </c>
      <c r="C33" s="19">
        <f t="shared" ref="C33:N35" si="5">ROUND((C28)*$F$25,2)</f>
        <v>44.32</v>
      </c>
      <c r="D33" s="19">
        <f t="shared" si="5"/>
        <v>44.32</v>
      </c>
      <c r="E33" s="19">
        <f t="shared" si="5"/>
        <v>44.32</v>
      </c>
      <c r="F33" s="19">
        <f t="shared" si="5"/>
        <v>44.32</v>
      </c>
      <c r="G33" s="19">
        <f t="shared" si="5"/>
        <v>44.32</v>
      </c>
      <c r="H33" s="19">
        <f t="shared" si="5"/>
        <v>44.32</v>
      </c>
      <c r="I33" s="19">
        <f t="shared" si="5"/>
        <v>44.32</v>
      </c>
      <c r="J33" s="19">
        <f t="shared" si="5"/>
        <v>44.32</v>
      </c>
      <c r="K33" s="19">
        <f t="shared" si="5"/>
        <v>44.32</v>
      </c>
      <c r="L33" s="19">
        <f t="shared" si="5"/>
        <v>44.32</v>
      </c>
      <c r="M33" s="19">
        <f t="shared" si="5"/>
        <v>44.32</v>
      </c>
      <c r="N33" s="19">
        <f t="shared" si="5"/>
        <v>44.32</v>
      </c>
      <c r="O33" s="19">
        <f>SUM(C33:N33)</f>
        <v>531.84</v>
      </c>
      <c r="P33" s="92"/>
    </row>
    <row r="34" spans="1:17" x14ac:dyDescent="0.2">
      <c r="B34" s="19" t="str">
        <f>B16</f>
        <v>ASHP - Heat</v>
      </c>
      <c r="C34" s="19">
        <f t="shared" si="5"/>
        <v>150.16</v>
      </c>
      <c r="D34" s="19">
        <f t="shared" si="5"/>
        <v>142.31</v>
      </c>
      <c r="E34" s="19">
        <f t="shared" si="5"/>
        <v>126.08</v>
      </c>
      <c r="F34" s="19">
        <f t="shared" si="5"/>
        <v>66.08</v>
      </c>
      <c r="G34" s="19">
        <f t="shared" si="5"/>
        <v>32.090000000000003</v>
      </c>
      <c r="H34" s="19">
        <f t="shared" si="5"/>
        <v>17.579999999999998</v>
      </c>
      <c r="I34" s="19">
        <f t="shared" si="5"/>
        <v>12.08</v>
      </c>
      <c r="J34" s="19">
        <f t="shared" si="5"/>
        <v>11.92</v>
      </c>
      <c r="K34" s="19">
        <f t="shared" si="5"/>
        <v>13.41</v>
      </c>
      <c r="L34" s="19">
        <f t="shared" si="5"/>
        <v>31.32</v>
      </c>
      <c r="M34" s="19">
        <f t="shared" si="5"/>
        <v>72.86</v>
      </c>
      <c r="N34" s="19">
        <f t="shared" si="5"/>
        <v>151.56</v>
      </c>
      <c r="O34" s="19">
        <f>SUM(C34:N34)</f>
        <v>827.45</v>
      </c>
      <c r="P34" s="17"/>
    </row>
    <row r="35" spans="1:17" x14ac:dyDescent="0.2">
      <c r="B35" s="19" t="str">
        <f>B17</f>
        <v>ASHP - AC</v>
      </c>
      <c r="C35" s="19">
        <f t="shared" si="5"/>
        <v>0</v>
      </c>
      <c r="D35" s="19">
        <f t="shared" si="5"/>
        <v>0</v>
      </c>
      <c r="E35" s="19">
        <f t="shared" si="5"/>
        <v>0</v>
      </c>
      <c r="F35" s="19">
        <f t="shared" si="5"/>
        <v>2.14</v>
      </c>
      <c r="G35" s="19">
        <f t="shared" si="5"/>
        <v>4.34</v>
      </c>
      <c r="H35" s="19">
        <f t="shared" si="5"/>
        <v>16.670000000000002</v>
      </c>
      <c r="I35" s="19">
        <f t="shared" si="5"/>
        <v>25.68</v>
      </c>
      <c r="J35" s="19">
        <f t="shared" si="5"/>
        <v>23.43</v>
      </c>
      <c r="K35" s="19">
        <f t="shared" si="5"/>
        <v>14.15</v>
      </c>
      <c r="L35" s="19">
        <f t="shared" si="5"/>
        <v>2.16</v>
      </c>
      <c r="M35" s="19">
        <f t="shared" si="5"/>
        <v>7.0000000000000007E-2</v>
      </c>
      <c r="N35" s="19">
        <f t="shared" si="5"/>
        <v>0</v>
      </c>
      <c r="O35" s="19">
        <f>SUM(C35:N35)</f>
        <v>88.639999999999986</v>
      </c>
      <c r="P35" s="17"/>
    </row>
    <row r="36" spans="1:17" ht="15" x14ac:dyDescent="0.25">
      <c r="B36" s="38" t="s">
        <v>19</v>
      </c>
      <c r="C36" s="52">
        <f t="shared" ref="C36:N36" si="6">+C32+C33+C34+C35</f>
        <v>235.72</v>
      </c>
      <c r="D36" s="52">
        <f t="shared" si="6"/>
        <v>227.87</v>
      </c>
      <c r="E36" s="52">
        <f t="shared" si="6"/>
        <v>211.64</v>
      </c>
      <c r="F36" s="52">
        <f t="shared" si="6"/>
        <v>153.77999999999997</v>
      </c>
      <c r="G36" s="52">
        <f t="shared" si="6"/>
        <v>121.99000000000001</v>
      </c>
      <c r="H36" s="52">
        <f t="shared" si="6"/>
        <v>119.81</v>
      </c>
      <c r="I36" s="52">
        <f t="shared" si="6"/>
        <v>123.32</v>
      </c>
      <c r="J36" s="52">
        <f t="shared" si="6"/>
        <v>120.91</v>
      </c>
      <c r="K36" s="52">
        <f t="shared" si="6"/>
        <v>113.12</v>
      </c>
      <c r="L36" s="52">
        <f t="shared" si="6"/>
        <v>119.03999999999999</v>
      </c>
      <c r="M36" s="52">
        <f t="shared" si="6"/>
        <v>158.49</v>
      </c>
      <c r="N36" s="52">
        <f t="shared" si="6"/>
        <v>237.12</v>
      </c>
      <c r="O36" s="52">
        <f>+O32+O33+O34</f>
        <v>1854.17</v>
      </c>
      <c r="P36" s="17" t="s">
        <v>72</v>
      </c>
      <c r="Q36" s="22"/>
    </row>
    <row r="37" spans="1:17" ht="15" x14ac:dyDescent="0.25">
      <c r="B37" s="38"/>
      <c r="C37" s="52"/>
      <c r="D37" s="52"/>
      <c r="E37" s="52"/>
      <c r="F37" s="52"/>
      <c r="G37" s="52"/>
      <c r="H37" s="52"/>
      <c r="I37" s="52"/>
      <c r="J37" s="52"/>
      <c r="K37" s="52"/>
      <c r="L37" s="52"/>
      <c r="M37" s="52"/>
      <c r="N37" s="52"/>
      <c r="O37" s="52"/>
    </row>
    <row r="38" spans="1:17" ht="13.5" thickBot="1" x14ac:dyDescent="0.25">
      <c r="A38" s="83"/>
      <c r="B38" s="83"/>
      <c r="C38" s="83"/>
      <c r="D38" s="83"/>
      <c r="E38" s="83"/>
      <c r="F38" s="83"/>
      <c r="G38" s="83"/>
      <c r="H38" s="83"/>
      <c r="I38" s="83"/>
      <c r="J38" s="83"/>
      <c r="K38" s="83"/>
      <c r="L38" s="83"/>
      <c r="M38" s="83"/>
      <c r="N38" s="83"/>
      <c r="O38" s="83"/>
    </row>
    <row r="39" spans="1:17" ht="13.5" thickTop="1" x14ac:dyDescent="0.2"/>
    <row r="40" spans="1:17" ht="15.75" hidden="1" x14ac:dyDescent="0.25">
      <c r="A40" s="53"/>
      <c r="B40" s="53"/>
      <c r="D40" s="85" t="s">
        <v>70</v>
      </c>
      <c r="E40" s="86"/>
      <c r="F40" s="93">
        <v>13.73</v>
      </c>
    </row>
    <row r="41" spans="1:17" ht="15.75" hidden="1" x14ac:dyDescent="0.25">
      <c r="A41" s="53"/>
      <c r="B41" s="53"/>
      <c r="D41" s="88" t="s">
        <v>71</v>
      </c>
      <c r="E41" s="89"/>
      <c r="F41" s="90">
        <v>8.7750999999999996E-2</v>
      </c>
    </row>
    <row r="42" spans="1:17" ht="15.75" hidden="1" x14ac:dyDescent="0.25">
      <c r="A42" s="51" t="s">
        <v>73</v>
      </c>
      <c r="B42" s="51"/>
      <c r="C42" s="38"/>
      <c r="D42" s="38"/>
    </row>
    <row r="43" spans="1:17" hidden="1" x14ac:dyDescent="0.2"/>
    <row r="44" spans="1:17" hidden="1" x14ac:dyDescent="0.2">
      <c r="B44" s="49" t="str">
        <f t="shared" ref="B44:N46" si="7">B10</f>
        <v>Base kWh</v>
      </c>
      <c r="C44" s="49">
        <f t="shared" si="7"/>
        <v>500</v>
      </c>
      <c r="D44" s="49">
        <f t="shared" si="7"/>
        <v>500</v>
      </c>
      <c r="E44" s="49">
        <f t="shared" si="7"/>
        <v>500</v>
      </c>
      <c r="F44" s="49">
        <f t="shared" si="7"/>
        <v>500</v>
      </c>
      <c r="G44" s="49">
        <f t="shared" si="7"/>
        <v>500</v>
      </c>
      <c r="H44" s="49">
        <f t="shared" si="7"/>
        <v>500</v>
      </c>
      <c r="I44" s="49">
        <f t="shared" si="7"/>
        <v>500</v>
      </c>
      <c r="J44" s="49">
        <f t="shared" si="7"/>
        <v>500</v>
      </c>
      <c r="K44" s="49">
        <f t="shared" si="7"/>
        <v>500</v>
      </c>
      <c r="L44" s="49">
        <f t="shared" si="7"/>
        <v>500</v>
      </c>
      <c r="M44" s="49">
        <f t="shared" si="7"/>
        <v>500</v>
      </c>
      <c r="N44" s="49">
        <f t="shared" si="7"/>
        <v>500</v>
      </c>
      <c r="O44" s="49">
        <f>SUM(C44:N44)</f>
        <v>6000</v>
      </c>
    </row>
    <row r="45" spans="1:17" hidden="1" x14ac:dyDescent="0.2">
      <c r="B45" s="49" t="str">
        <f t="shared" si="7"/>
        <v>ASHP kWh - Heat</v>
      </c>
      <c r="C45" s="49">
        <f t="shared" si="7"/>
        <v>1694.0754199297241</v>
      </c>
      <c r="D45" s="49">
        <f t="shared" si="7"/>
        <v>1605.465476541202</v>
      </c>
      <c r="E45" s="49">
        <f t="shared" si="7"/>
        <v>1422.3704579176879</v>
      </c>
      <c r="F45" s="49">
        <f t="shared" si="7"/>
        <v>745.4696351928784</v>
      </c>
      <c r="G45" s="49">
        <f t="shared" si="7"/>
        <v>362.06026058008752</v>
      </c>
      <c r="H45" s="49">
        <f t="shared" si="7"/>
        <v>198.30963126272491</v>
      </c>
      <c r="I45" s="49">
        <f t="shared" si="7"/>
        <v>136.25861708350772</v>
      </c>
      <c r="J45" s="49">
        <f t="shared" si="7"/>
        <v>134.43136632794048</v>
      </c>
      <c r="K45" s="49">
        <f t="shared" si="7"/>
        <v>151.249885767824</v>
      </c>
      <c r="L45" s="49">
        <f t="shared" si="7"/>
        <v>353.35467720922219</v>
      </c>
      <c r="M45" s="49">
        <f t="shared" si="7"/>
        <v>822.03152027201747</v>
      </c>
      <c r="N45" s="49">
        <f t="shared" si="7"/>
        <v>1709.9230519151836</v>
      </c>
      <c r="O45" s="49">
        <f>SUM(C45:N45)</f>
        <v>9335.0000000000018</v>
      </c>
    </row>
    <row r="46" spans="1:17" hidden="1" x14ac:dyDescent="0.2">
      <c r="B46" s="49" t="str">
        <f t="shared" si="7"/>
        <v>ASHP kWh - AC</v>
      </c>
      <c r="C46" s="49">
        <f t="shared" si="7"/>
        <v>0</v>
      </c>
      <c r="D46" s="49">
        <f t="shared" si="7"/>
        <v>0</v>
      </c>
      <c r="E46" s="49">
        <f t="shared" si="7"/>
        <v>0</v>
      </c>
      <c r="F46" s="49">
        <f t="shared" si="7"/>
        <v>24.177784525458765</v>
      </c>
      <c r="G46" s="49">
        <f t="shared" si="7"/>
        <v>48.924904636289369</v>
      </c>
      <c r="H46" s="49">
        <f t="shared" si="7"/>
        <v>188.10847740686623</v>
      </c>
      <c r="I46" s="49">
        <f t="shared" si="7"/>
        <v>289.73487939574534</v>
      </c>
      <c r="J46" s="49">
        <f t="shared" si="7"/>
        <v>264.36149014100539</v>
      </c>
      <c r="K46" s="49">
        <f t="shared" si="7"/>
        <v>159.6037424325811</v>
      </c>
      <c r="L46" s="49">
        <f t="shared" si="7"/>
        <v>24.329607348224599</v>
      </c>
      <c r="M46" s="49">
        <f t="shared" si="7"/>
        <v>0.75911411382916039</v>
      </c>
      <c r="N46" s="49">
        <f t="shared" si="7"/>
        <v>0</v>
      </c>
      <c r="O46" s="49">
        <f>O12</f>
        <v>1000</v>
      </c>
    </row>
    <row r="47" spans="1:17" hidden="1" x14ac:dyDescent="0.2">
      <c r="B47" s="49">
        <f>B13</f>
        <v>0</v>
      </c>
    </row>
    <row r="48" spans="1:17" hidden="1" x14ac:dyDescent="0.2">
      <c r="B48" s="49" t="str">
        <f>B14</f>
        <v>Service Charge</v>
      </c>
      <c r="C48" s="22">
        <f t="shared" ref="C48:N48" si="8">+$F$40</f>
        <v>13.73</v>
      </c>
      <c r="D48" s="22">
        <f t="shared" si="8"/>
        <v>13.73</v>
      </c>
      <c r="E48" s="22">
        <f t="shared" si="8"/>
        <v>13.73</v>
      </c>
      <c r="F48" s="22">
        <f t="shared" si="8"/>
        <v>13.73</v>
      </c>
      <c r="G48" s="22">
        <f t="shared" si="8"/>
        <v>13.73</v>
      </c>
      <c r="H48" s="22">
        <f t="shared" si="8"/>
        <v>13.73</v>
      </c>
      <c r="I48" s="22">
        <f t="shared" si="8"/>
        <v>13.73</v>
      </c>
      <c r="J48" s="22">
        <f t="shared" si="8"/>
        <v>13.73</v>
      </c>
      <c r="K48" s="22">
        <f t="shared" si="8"/>
        <v>13.73</v>
      </c>
      <c r="L48" s="22">
        <f t="shared" si="8"/>
        <v>13.73</v>
      </c>
      <c r="M48" s="22">
        <f t="shared" si="8"/>
        <v>13.73</v>
      </c>
      <c r="N48" s="22">
        <f t="shared" si="8"/>
        <v>13.73</v>
      </c>
      <c r="O48" s="19">
        <f>SUM(C48:N48)</f>
        <v>164.76</v>
      </c>
    </row>
    <row r="49" spans="1:17" hidden="1" x14ac:dyDescent="0.2">
      <c r="B49" s="49" t="str">
        <f>B15</f>
        <v>Base kWh</v>
      </c>
      <c r="C49" s="19">
        <f t="shared" ref="C49:N49" si="9">ROUND((C44-50)*$F$41,2)</f>
        <v>39.49</v>
      </c>
      <c r="D49" s="19">
        <f t="shared" si="9"/>
        <v>39.49</v>
      </c>
      <c r="E49" s="19">
        <f t="shared" si="9"/>
        <v>39.49</v>
      </c>
      <c r="F49" s="19">
        <f t="shared" si="9"/>
        <v>39.49</v>
      </c>
      <c r="G49" s="19">
        <f t="shared" si="9"/>
        <v>39.49</v>
      </c>
      <c r="H49" s="19">
        <f t="shared" si="9"/>
        <v>39.49</v>
      </c>
      <c r="I49" s="19">
        <f t="shared" si="9"/>
        <v>39.49</v>
      </c>
      <c r="J49" s="19">
        <f t="shared" si="9"/>
        <v>39.49</v>
      </c>
      <c r="K49" s="19">
        <f t="shared" si="9"/>
        <v>39.49</v>
      </c>
      <c r="L49" s="19">
        <f t="shared" si="9"/>
        <v>39.49</v>
      </c>
      <c r="M49" s="19">
        <f t="shared" si="9"/>
        <v>39.49</v>
      </c>
      <c r="N49" s="19">
        <f t="shared" si="9"/>
        <v>39.49</v>
      </c>
      <c r="O49" s="19">
        <f>SUM(C49:N49)</f>
        <v>473.88000000000005</v>
      </c>
      <c r="P49" s="22">
        <f>O48+O49</f>
        <v>638.6400000000001</v>
      </c>
    </row>
    <row r="50" spans="1:17" hidden="1" x14ac:dyDescent="0.2">
      <c r="B50" s="49" t="str">
        <f>B16</f>
        <v>ASHP - Heat</v>
      </c>
      <c r="C50" s="19">
        <f t="shared" ref="C50:N51" si="10">ROUND(C45*$F$41,2)</f>
        <v>148.66</v>
      </c>
      <c r="D50" s="19">
        <f t="shared" si="10"/>
        <v>140.88</v>
      </c>
      <c r="E50" s="19">
        <f t="shared" si="10"/>
        <v>124.81</v>
      </c>
      <c r="F50" s="19">
        <f t="shared" si="10"/>
        <v>65.42</v>
      </c>
      <c r="G50" s="19">
        <f t="shared" si="10"/>
        <v>31.77</v>
      </c>
      <c r="H50" s="19">
        <f t="shared" si="10"/>
        <v>17.399999999999999</v>
      </c>
      <c r="I50" s="19">
        <f t="shared" si="10"/>
        <v>11.96</v>
      </c>
      <c r="J50" s="19">
        <f t="shared" si="10"/>
        <v>11.8</v>
      </c>
      <c r="K50" s="19">
        <f t="shared" si="10"/>
        <v>13.27</v>
      </c>
      <c r="L50" s="19">
        <f t="shared" si="10"/>
        <v>31.01</v>
      </c>
      <c r="M50" s="19">
        <f t="shared" si="10"/>
        <v>72.13</v>
      </c>
      <c r="N50" s="19">
        <f t="shared" si="10"/>
        <v>150.05000000000001</v>
      </c>
      <c r="O50" s="19">
        <f>SUM(C50:N50)</f>
        <v>819.15999999999985</v>
      </c>
    </row>
    <row r="51" spans="1:17" hidden="1" x14ac:dyDescent="0.2">
      <c r="B51" s="49" t="str">
        <f>B17</f>
        <v>ASHP - AC</v>
      </c>
      <c r="C51" s="19">
        <f t="shared" si="10"/>
        <v>0</v>
      </c>
      <c r="D51" s="19">
        <f t="shared" si="10"/>
        <v>0</v>
      </c>
      <c r="E51" s="19">
        <f t="shared" si="10"/>
        <v>0</v>
      </c>
      <c r="F51" s="19">
        <f t="shared" si="10"/>
        <v>2.12</v>
      </c>
      <c r="G51" s="19">
        <f t="shared" si="10"/>
        <v>4.29</v>
      </c>
      <c r="H51" s="19">
        <f t="shared" si="10"/>
        <v>16.510000000000002</v>
      </c>
      <c r="I51" s="19">
        <f t="shared" si="10"/>
        <v>25.42</v>
      </c>
      <c r="J51" s="19">
        <f t="shared" si="10"/>
        <v>23.2</v>
      </c>
      <c r="K51" s="19">
        <f t="shared" si="10"/>
        <v>14.01</v>
      </c>
      <c r="L51" s="19">
        <f t="shared" si="10"/>
        <v>2.13</v>
      </c>
      <c r="M51" s="19">
        <f t="shared" si="10"/>
        <v>7.0000000000000007E-2</v>
      </c>
      <c r="N51" s="19">
        <f t="shared" si="10"/>
        <v>0</v>
      </c>
      <c r="O51" s="19">
        <f>SUM(C51:N51)</f>
        <v>87.75</v>
      </c>
    </row>
    <row r="52" spans="1:17" ht="15" hidden="1" x14ac:dyDescent="0.25">
      <c r="B52" s="38" t="s">
        <v>19</v>
      </c>
      <c r="C52" s="52">
        <f t="shared" ref="C52:O52" si="11">+C48+C49+C50+C51</f>
        <v>201.88</v>
      </c>
      <c r="D52" s="52">
        <f t="shared" si="11"/>
        <v>194.1</v>
      </c>
      <c r="E52" s="52">
        <f t="shared" si="11"/>
        <v>178.03</v>
      </c>
      <c r="F52" s="52">
        <f t="shared" si="11"/>
        <v>120.76</v>
      </c>
      <c r="G52" s="52">
        <f t="shared" si="11"/>
        <v>89.28</v>
      </c>
      <c r="H52" s="52">
        <f t="shared" si="11"/>
        <v>87.13000000000001</v>
      </c>
      <c r="I52" s="52">
        <f t="shared" si="11"/>
        <v>90.600000000000009</v>
      </c>
      <c r="J52" s="52">
        <f t="shared" si="11"/>
        <v>88.22</v>
      </c>
      <c r="K52" s="52">
        <f t="shared" si="11"/>
        <v>80.5</v>
      </c>
      <c r="L52" s="52">
        <f t="shared" si="11"/>
        <v>86.36</v>
      </c>
      <c r="M52" s="52">
        <f t="shared" si="11"/>
        <v>125.41999999999999</v>
      </c>
      <c r="N52" s="52">
        <f t="shared" si="11"/>
        <v>203.27</v>
      </c>
      <c r="O52" s="52">
        <f t="shared" si="11"/>
        <v>1545.55</v>
      </c>
      <c r="Q52" s="22"/>
    </row>
    <row r="53" spans="1:17" hidden="1" x14ac:dyDescent="0.2"/>
    <row r="54" spans="1:17" ht="13.5" hidden="1" thickBot="1" x14ac:dyDescent="0.25">
      <c r="A54" s="83"/>
      <c r="B54" s="83"/>
      <c r="C54" s="83"/>
      <c r="D54" s="83"/>
      <c r="E54" s="83"/>
      <c r="F54" s="83"/>
      <c r="G54" s="83"/>
      <c r="H54" s="83"/>
      <c r="I54" s="83"/>
      <c r="J54" s="83"/>
      <c r="K54" s="83"/>
      <c r="L54" s="83"/>
      <c r="M54" s="83"/>
      <c r="N54" s="83"/>
      <c r="O54" s="83"/>
    </row>
    <row r="55" spans="1:17" hidden="1" x14ac:dyDescent="0.2"/>
    <row r="56" spans="1:17" hidden="1" x14ac:dyDescent="0.2">
      <c r="D56" s="85" t="s">
        <v>70</v>
      </c>
      <c r="E56" s="86"/>
      <c r="F56" s="94">
        <v>18.8</v>
      </c>
    </row>
    <row r="57" spans="1:17" hidden="1" x14ac:dyDescent="0.2">
      <c r="D57" s="88" t="s">
        <v>71</v>
      </c>
      <c r="E57" s="89"/>
      <c r="F57" s="90">
        <v>8.8343000000000005E-2</v>
      </c>
    </row>
    <row r="58" spans="1:17" ht="15.75" hidden="1" x14ac:dyDescent="0.25">
      <c r="A58" s="51" t="s">
        <v>74</v>
      </c>
      <c r="B58" s="38"/>
      <c r="C58" s="38"/>
      <c r="D58" s="38"/>
    </row>
    <row r="59" spans="1:17" hidden="1" x14ac:dyDescent="0.2"/>
    <row r="60" spans="1:17" hidden="1" x14ac:dyDescent="0.2">
      <c r="B60" s="19" t="str">
        <f t="shared" ref="B60:N62" si="12">B10</f>
        <v>Base kWh</v>
      </c>
      <c r="C60" s="49">
        <f t="shared" si="12"/>
        <v>500</v>
      </c>
      <c r="D60" s="49">
        <f t="shared" si="12"/>
        <v>500</v>
      </c>
      <c r="E60" s="49">
        <f t="shared" si="12"/>
        <v>500</v>
      </c>
      <c r="F60" s="49">
        <f t="shared" si="12"/>
        <v>500</v>
      </c>
      <c r="G60" s="49">
        <f t="shared" si="12"/>
        <v>500</v>
      </c>
      <c r="H60" s="49">
        <f t="shared" si="12"/>
        <v>500</v>
      </c>
      <c r="I60" s="49">
        <f t="shared" si="12"/>
        <v>500</v>
      </c>
      <c r="J60" s="49">
        <f t="shared" si="12"/>
        <v>500</v>
      </c>
      <c r="K60" s="49">
        <f t="shared" si="12"/>
        <v>500</v>
      </c>
      <c r="L60" s="49">
        <f t="shared" si="12"/>
        <v>500</v>
      </c>
      <c r="M60" s="49">
        <f t="shared" si="12"/>
        <v>500</v>
      </c>
      <c r="N60" s="49">
        <f t="shared" si="12"/>
        <v>500</v>
      </c>
      <c r="O60" s="49">
        <f>SUM(C60:N60)</f>
        <v>6000</v>
      </c>
    </row>
    <row r="61" spans="1:17" hidden="1" x14ac:dyDescent="0.2">
      <c r="B61" s="19" t="str">
        <f t="shared" si="12"/>
        <v>ASHP kWh - Heat</v>
      </c>
      <c r="C61" s="49">
        <f t="shared" si="12"/>
        <v>1694.0754199297241</v>
      </c>
      <c r="D61" s="49">
        <f t="shared" si="12"/>
        <v>1605.465476541202</v>
      </c>
      <c r="E61" s="49">
        <f t="shared" si="12"/>
        <v>1422.3704579176879</v>
      </c>
      <c r="F61" s="49">
        <f t="shared" si="12"/>
        <v>745.4696351928784</v>
      </c>
      <c r="G61" s="49">
        <f t="shared" si="12"/>
        <v>362.06026058008752</v>
      </c>
      <c r="H61" s="49">
        <f t="shared" si="12"/>
        <v>198.30963126272491</v>
      </c>
      <c r="I61" s="49">
        <f t="shared" si="12"/>
        <v>136.25861708350772</v>
      </c>
      <c r="J61" s="49">
        <f t="shared" si="12"/>
        <v>134.43136632794048</v>
      </c>
      <c r="K61" s="49">
        <f t="shared" si="12"/>
        <v>151.249885767824</v>
      </c>
      <c r="L61" s="49">
        <f t="shared" si="12"/>
        <v>353.35467720922219</v>
      </c>
      <c r="M61" s="49">
        <f t="shared" si="12"/>
        <v>822.03152027201747</v>
      </c>
      <c r="N61" s="49">
        <f t="shared" si="12"/>
        <v>1709.9230519151836</v>
      </c>
      <c r="O61" s="49">
        <f>SUM(C61:N61)</f>
        <v>9335.0000000000018</v>
      </c>
    </row>
    <row r="62" spans="1:17" hidden="1" x14ac:dyDescent="0.2">
      <c r="B62" s="19" t="str">
        <f t="shared" si="12"/>
        <v>ASHP kWh - AC</v>
      </c>
      <c r="C62" s="49">
        <f t="shared" si="12"/>
        <v>0</v>
      </c>
      <c r="D62" s="49">
        <f t="shared" si="12"/>
        <v>0</v>
      </c>
      <c r="E62" s="49">
        <f t="shared" si="12"/>
        <v>0</v>
      </c>
      <c r="F62" s="49">
        <f t="shared" si="12"/>
        <v>24.177784525458765</v>
      </c>
      <c r="G62" s="49">
        <f t="shared" si="12"/>
        <v>48.924904636289369</v>
      </c>
      <c r="H62" s="49">
        <f t="shared" si="12"/>
        <v>188.10847740686623</v>
      </c>
      <c r="I62" s="49">
        <f t="shared" si="12"/>
        <v>289.73487939574534</v>
      </c>
      <c r="J62" s="49">
        <f t="shared" si="12"/>
        <v>264.36149014100539</v>
      </c>
      <c r="K62" s="49">
        <f t="shared" si="12"/>
        <v>159.6037424325811</v>
      </c>
      <c r="L62" s="49">
        <f t="shared" si="12"/>
        <v>24.329607348224599</v>
      </c>
      <c r="M62" s="49">
        <f t="shared" si="12"/>
        <v>0.75911411382916039</v>
      </c>
      <c r="N62" s="49">
        <f t="shared" si="12"/>
        <v>0</v>
      </c>
      <c r="O62" s="49">
        <f>O12</f>
        <v>1000</v>
      </c>
    </row>
    <row r="63" spans="1:17" hidden="1" x14ac:dyDescent="0.2"/>
    <row r="64" spans="1:17" hidden="1" x14ac:dyDescent="0.2">
      <c r="B64" s="19" t="str">
        <f>B14</f>
        <v>Service Charge</v>
      </c>
      <c r="C64" s="22">
        <f t="shared" ref="C64:N64" si="13">+$F$56</f>
        <v>18.8</v>
      </c>
      <c r="D64" s="22">
        <f t="shared" si="13"/>
        <v>18.8</v>
      </c>
      <c r="E64" s="22">
        <f t="shared" si="13"/>
        <v>18.8</v>
      </c>
      <c r="F64" s="22">
        <f t="shared" si="13"/>
        <v>18.8</v>
      </c>
      <c r="G64" s="22">
        <f t="shared" si="13"/>
        <v>18.8</v>
      </c>
      <c r="H64" s="22">
        <f t="shared" si="13"/>
        <v>18.8</v>
      </c>
      <c r="I64" s="22">
        <f t="shared" si="13"/>
        <v>18.8</v>
      </c>
      <c r="J64" s="22">
        <f t="shared" si="13"/>
        <v>18.8</v>
      </c>
      <c r="K64" s="22">
        <f t="shared" si="13"/>
        <v>18.8</v>
      </c>
      <c r="L64" s="22">
        <f t="shared" si="13"/>
        <v>18.8</v>
      </c>
      <c r="M64" s="22">
        <f t="shared" si="13"/>
        <v>18.8</v>
      </c>
      <c r="N64" s="22">
        <f t="shared" si="13"/>
        <v>18.8</v>
      </c>
      <c r="O64" s="19">
        <f>SUM(C64:N64)</f>
        <v>225.60000000000005</v>
      </c>
    </row>
    <row r="65" spans="1:17" hidden="1" x14ac:dyDescent="0.2">
      <c r="B65" s="19" t="str">
        <f>B15</f>
        <v>Base kWh</v>
      </c>
      <c r="C65" s="19">
        <f t="shared" ref="C65:N67" si="14">ROUND(C60*$F$57,2)</f>
        <v>44.17</v>
      </c>
      <c r="D65" s="19">
        <f t="shared" si="14"/>
        <v>44.17</v>
      </c>
      <c r="E65" s="19">
        <f t="shared" si="14"/>
        <v>44.17</v>
      </c>
      <c r="F65" s="19">
        <f t="shared" si="14"/>
        <v>44.17</v>
      </c>
      <c r="G65" s="19">
        <f t="shared" si="14"/>
        <v>44.17</v>
      </c>
      <c r="H65" s="19">
        <f t="shared" si="14"/>
        <v>44.17</v>
      </c>
      <c r="I65" s="19">
        <f t="shared" si="14"/>
        <v>44.17</v>
      </c>
      <c r="J65" s="19">
        <f t="shared" si="14"/>
        <v>44.17</v>
      </c>
      <c r="K65" s="19">
        <f t="shared" si="14"/>
        <v>44.17</v>
      </c>
      <c r="L65" s="19">
        <f t="shared" si="14"/>
        <v>44.17</v>
      </c>
      <c r="M65" s="19">
        <f t="shared" si="14"/>
        <v>44.17</v>
      </c>
      <c r="N65" s="19">
        <f t="shared" si="14"/>
        <v>44.17</v>
      </c>
      <c r="O65" s="19">
        <f>SUM(C65:N65)</f>
        <v>530.04000000000008</v>
      </c>
      <c r="P65" s="22">
        <f>O64+O65</f>
        <v>755.6400000000001</v>
      </c>
    </row>
    <row r="66" spans="1:17" hidden="1" x14ac:dyDescent="0.2">
      <c r="B66" s="19" t="str">
        <f>B16</f>
        <v>ASHP - Heat</v>
      </c>
      <c r="C66" s="19">
        <f t="shared" si="14"/>
        <v>149.66</v>
      </c>
      <c r="D66" s="19">
        <f t="shared" si="14"/>
        <v>141.83000000000001</v>
      </c>
      <c r="E66" s="19">
        <f t="shared" si="14"/>
        <v>125.66</v>
      </c>
      <c r="F66" s="19">
        <f t="shared" si="14"/>
        <v>65.86</v>
      </c>
      <c r="G66" s="19">
        <f t="shared" si="14"/>
        <v>31.99</v>
      </c>
      <c r="H66" s="19">
        <f t="shared" si="14"/>
        <v>17.52</v>
      </c>
      <c r="I66" s="19">
        <f t="shared" si="14"/>
        <v>12.04</v>
      </c>
      <c r="J66" s="19">
        <f t="shared" si="14"/>
        <v>11.88</v>
      </c>
      <c r="K66" s="19">
        <f t="shared" si="14"/>
        <v>13.36</v>
      </c>
      <c r="L66" s="19">
        <f t="shared" si="14"/>
        <v>31.22</v>
      </c>
      <c r="M66" s="19">
        <f t="shared" si="14"/>
        <v>72.62</v>
      </c>
      <c r="N66" s="19">
        <f t="shared" si="14"/>
        <v>151.06</v>
      </c>
      <c r="O66" s="19">
        <f>SUM(C66:N66)</f>
        <v>824.7</v>
      </c>
    </row>
    <row r="67" spans="1:17" hidden="1" x14ac:dyDescent="0.2">
      <c r="B67" s="19" t="str">
        <f>B17</f>
        <v>ASHP - AC</v>
      </c>
      <c r="C67" s="19">
        <f t="shared" si="14"/>
        <v>0</v>
      </c>
      <c r="D67" s="19">
        <f t="shared" si="14"/>
        <v>0</v>
      </c>
      <c r="E67" s="19">
        <f t="shared" si="14"/>
        <v>0</v>
      </c>
      <c r="F67" s="19">
        <f t="shared" si="14"/>
        <v>2.14</v>
      </c>
      <c r="G67" s="19">
        <f t="shared" si="14"/>
        <v>4.32</v>
      </c>
      <c r="H67" s="19">
        <f t="shared" si="14"/>
        <v>16.62</v>
      </c>
      <c r="I67" s="19">
        <f t="shared" si="14"/>
        <v>25.6</v>
      </c>
      <c r="J67" s="19">
        <f t="shared" si="14"/>
        <v>23.35</v>
      </c>
      <c r="K67" s="19">
        <f t="shared" si="14"/>
        <v>14.1</v>
      </c>
      <c r="L67" s="19">
        <f t="shared" si="14"/>
        <v>2.15</v>
      </c>
      <c r="M67" s="19">
        <f t="shared" si="14"/>
        <v>7.0000000000000007E-2</v>
      </c>
      <c r="N67" s="19">
        <f t="shared" si="14"/>
        <v>0</v>
      </c>
      <c r="O67" s="19">
        <f>SUM(C67:N67)</f>
        <v>88.35</v>
      </c>
    </row>
    <row r="68" spans="1:17" ht="15" hidden="1" x14ac:dyDescent="0.25">
      <c r="B68" s="38" t="s">
        <v>19</v>
      </c>
      <c r="C68" s="52">
        <f t="shared" ref="C68:O68" si="15">+C64+C65+C66+C67</f>
        <v>212.63</v>
      </c>
      <c r="D68" s="52">
        <f t="shared" si="15"/>
        <v>204.8</v>
      </c>
      <c r="E68" s="52">
        <f t="shared" si="15"/>
        <v>188.63</v>
      </c>
      <c r="F68" s="52">
        <f t="shared" si="15"/>
        <v>130.96999999999997</v>
      </c>
      <c r="G68" s="52">
        <f t="shared" si="15"/>
        <v>99.28</v>
      </c>
      <c r="H68" s="52">
        <f t="shared" si="15"/>
        <v>97.11</v>
      </c>
      <c r="I68" s="52">
        <f t="shared" si="15"/>
        <v>100.60999999999999</v>
      </c>
      <c r="J68" s="52">
        <f t="shared" si="15"/>
        <v>98.199999999999989</v>
      </c>
      <c r="K68" s="52">
        <f t="shared" si="15"/>
        <v>90.429999999999993</v>
      </c>
      <c r="L68" s="52">
        <f t="shared" si="15"/>
        <v>96.34</v>
      </c>
      <c r="M68" s="52">
        <f t="shared" si="15"/>
        <v>135.66</v>
      </c>
      <c r="N68" s="52">
        <f t="shared" si="15"/>
        <v>214.03</v>
      </c>
      <c r="O68" s="52">
        <f t="shared" si="15"/>
        <v>1668.69</v>
      </c>
      <c r="Q68" s="22"/>
    </row>
    <row r="69" spans="1:17" hidden="1" x14ac:dyDescent="0.2"/>
    <row r="70" spans="1:17" ht="13.5" hidden="1" thickBot="1" x14ac:dyDescent="0.25">
      <c r="A70" s="83"/>
      <c r="B70" s="83"/>
      <c r="C70" s="83"/>
      <c r="D70" s="83"/>
      <c r="E70" s="83"/>
      <c r="F70" s="83"/>
      <c r="G70" s="83"/>
      <c r="H70" s="83"/>
      <c r="I70" s="83"/>
      <c r="J70" s="83"/>
      <c r="K70" s="83"/>
      <c r="L70" s="83"/>
      <c r="M70" s="83"/>
      <c r="N70" s="83"/>
      <c r="O70" s="83"/>
    </row>
    <row r="71" spans="1:17" hidden="1" x14ac:dyDescent="0.2"/>
    <row r="72" spans="1:17" hidden="1" x14ac:dyDescent="0.2">
      <c r="D72" s="85" t="s">
        <v>70</v>
      </c>
      <c r="E72" s="86"/>
      <c r="F72" s="94">
        <v>18.509999999999998</v>
      </c>
    </row>
    <row r="73" spans="1:17" hidden="1" x14ac:dyDescent="0.2">
      <c r="D73" s="95" t="s">
        <v>75</v>
      </c>
      <c r="F73" s="96">
        <v>0.14061299999999999</v>
      </c>
    </row>
    <row r="74" spans="1:17" ht="15.75" hidden="1" x14ac:dyDescent="0.25">
      <c r="A74" s="51" t="s">
        <v>76</v>
      </c>
      <c r="B74" s="38"/>
      <c r="C74" s="38"/>
      <c r="D74" s="95" t="s">
        <v>77</v>
      </c>
      <c r="F74" s="96">
        <v>8.0922999999999995E-2</v>
      </c>
    </row>
    <row r="75" spans="1:17" hidden="1" x14ac:dyDescent="0.2">
      <c r="D75" s="88" t="s">
        <v>78</v>
      </c>
      <c r="E75" s="89"/>
      <c r="F75" s="90">
        <v>5.6023000000000003E-2</v>
      </c>
    </row>
    <row r="76" spans="1:17" hidden="1" x14ac:dyDescent="0.2"/>
    <row r="77" spans="1:17" hidden="1" x14ac:dyDescent="0.2">
      <c r="B77" s="19" t="s">
        <v>79</v>
      </c>
      <c r="C77" s="97">
        <v>547</v>
      </c>
      <c r="D77" s="97">
        <v>512</v>
      </c>
      <c r="E77" s="97">
        <v>449</v>
      </c>
      <c r="F77" s="97">
        <v>362</v>
      </c>
      <c r="G77" s="97">
        <v>353</v>
      </c>
      <c r="H77" s="97">
        <v>337</v>
      </c>
      <c r="I77" s="97">
        <v>416</v>
      </c>
      <c r="J77" s="97">
        <v>428</v>
      </c>
      <c r="K77" s="97">
        <v>343</v>
      </c>
      <c r="L77" s="97">
        <v>387</v>
      </c>
      <c r="M77" s="97">
        <v>472</v>
      </c>
      <c r="N77" s="97">
        <v>542</v>
      </c>
      <c r="O77" s="97">
        <f>SUM(C77:N77)</f>
        <v>5148</v>
      </c>
    </row>
    <row r="78" spans="1:17" hidden="1" x14ac:dyDescent="0.2">
      <c r="B78" s="19" t="s">
        <v>80</v>
      </c>
      <c r="C78" s="97">
        <v>325</v>
      </c>
      <c r="D78" s="97">
        <v>297</v>
      </c>
      <c r="E78" s="97">
        <v>284</v>
      </c>
      <c r="F78" s="97">
        <v>255</v>
      </c>
      <c r="G78" s="97">
        <v>205</v>
      </c>
      <c r="H78" s="97">
        <v>217</v>
      </c>
      <c r="I78" s="97">
        <v>291</v>
      </c>
      <c r="J78" s="97">
        <v>284</v>
      </c>
      <c r="K78" s="97">
        <v>234</v>
      </c>
      <c r="L78" s="97">
        <v>265</v>
      </c>
      <c r="M78" s="97">
        <v>265</v>
      </c>
      <c r="N78" s="97">
        <v>365</v>
      </c>
      <c r="O78" s="97">
        <f>SUM(C78:N78)</f>
        <v>3287</v>
      </c>
    </row>
    <row r="79" spans="1:17" hidden="1" x14ac:dyDescent="0.2">
      <c r="B79" s="19" t="s">
        <v>81</v>
      </c>
      <c r="C79" s="98">
        <v>80</v>
      </c>
      <c r="D79" s="98">
        <v>78</v>
      </c>
      <c r="E79" s="98">
        <v>77</v>
      </c>
      <c r="F79" s="98">
        <v>71</v>
      </c>
      <c r="G79" s="98">
        <v>60</v>
      </c>
      <c r="H79" s="98">
        <v>64</v>
      </c>
      <c r="I79" s="98">
        <v>88</v>
      </c>
      <c r="J79" s="98">
        <v>86</v>
      </c>
      <c r="K79" s="98">
        <v>68</v>
      </c>
      <c r="L79" s="98">
        <v>71</v>
      </c>
      <c r="M79" s="98">
        <v>66</v>
      </c>
      <c r="N79" s="98">
        <v>91</v>
      </c>
      <c r="O79" s="98">
        <f>SUM(C79:N79)</f>
        <v>900</v>
      </c>
    </row>
    <row r="80" spans="1:17" hidden="1" x14ac:dyDescent="0.2">
      <c r="B80" s="19" t="s">
        <v>19</v>
      </c>
      <c r="C80" s="97">
        <f t="shared" ref="C80:N80" si="16">SUM(C77:C79)</f>
        <v>952</v>
      </c>
      <c r="D80" s="97">
        <f t="shared" si="16"/>
        <v>887</v>
      </c>
      <c r="E80" s="97">
        <f t="shared" si="16"/>
        <v>810</v>
      </c>
      <c r="F80" s="97">
        <f t="shared" si="16"/>
        <v>688</v>
      </c>
      <c r="G80" s="97">
        <f t="shared" si="16"/>
        <v>618</v>
      </c>
      <c r="H80" s="97">
        <f t="shared" si="16"/>
        <v>618</v>
      </c>
      <c r="I80" s="97">
        <f t="shared" si="16"/>
        <v>795</v>
      </c>
      <c r="J80" s="97">
        <f t="shared" si="16"/>
        <v>798</v>
      </c>
      <c r="K80" s="97">
        <f t="shared" si="16"/>
        <v>645</v>
      </c>
      <c r="L80" s="97">
        <f t="shared" si="16"/>
        <v>723</v>
      </c>
      <c r="M80" s="97">
        <f t="shared" si="16"/>
        <v>803</v>
      </c>
      <c r="N80" s="97">
        <f t="shared" si="16"/>
        <v>998</v>
      </c>
      <c r="O80" s="97">
        <f>SUM(C80:N80)</f>
        <v>9335</v>
      </c>
    </row>
    <row r="81" spans="1:15" hidden="1" x14ac:dyDescent="0.2"/>
    <row r="82" spans="1:15" hidden="1" x14ac:dyDescent="0.2">
      <c r="B82" s="19" t="s">
        <v>18</v>
      </c>
      <c r="C82" s="22">
        <f t="shared" ref="C82:N82" si="17">+$F$72</f>
        <v>18.509999999999998</v>
      </c>
      <c r="D82" s="22">
        <f t="shared" si="17"/>
        <v>18.509999999999998</v>
      </c>
      <c r="E82" s="22">
        <f t="shared" si="17"/>
        <v>18.509999999999998</v>
      </c>
      <c r="F82" s="22">
        <f t="shared" si="17"/>
        <v>18.509999999999998</v>
      </c>
      <c r="G82" s="22">
        <f t="shared" si="17"/>
        <v>18.509999999999998</v>
      </c>
      <c r="H82" s="22">
        <f t="shared" si="17"/>
        <v>18.509999999999998</v>
      </c>
      <c r="I82" s="22">
        <f t="shared" si="17"/>
        <v>18.509999999999998</v>
      </c>
      <c r="J82" s="22">
        <f t="shared" si="17"/>
        <v>18.509999999999998</v>
      </c>
      <c r="K82" s="22">
        <f t="shared" si="17"/>
        <v>18.509999999999998</v>
      </c>
      <c r="L82" s="22">
        <f t="shared" si="17"/>
        <v>18.509999999999998</v>
      </c>
      <c r="M82" s="22">
        <f t="shared" si="17"/>
        <v>18.509999999999998</v>
      </c>
      <c r="N82" s="22">
        <f t="shared" si="17"/>
        <v>18.509999999999998</v>
      </c>
      <c r="O82" s="19">
        <f>SUM(C82:N82)</f>
        <v>222.11999999999992</v>
      </c>
    </row>
    <row r="83" spans="1:15" hidden="1" x14ac:dyDescent="0.2">
      <c r="B83" s="19" t="s">
        <v>79</v>
      </c>
      <c r="C83" s="19">
        <f t="shared" ref="C83:N83" si="18">ROUND((+C77-50)*$F$73,2)</f>
        <v>69.88</v>
      </c>
      <c r="D83" s="19">
        <f t="shared" si="18"/>
        <v>64.959999999999994</v>
      </c>
      <c r="E83" s="19">
        <f t="shared" si="18"/>
        <v>56.1</v>
      </c>
      <c r="F83" s="19">
        <f t="shared" si="18"/>
        <v>43.87</v>
      </c>
      <c r="G83" s="19">
        <f t="shared" si="18"/>
        <v>42.61</v>
      </c>
      <c r="H83" s="19">
        <f t="shared" si="18"/>
        <v>40.36</v>
      </c>
      <c r="I83" s="19">
        <f t="shared" si="18"/>
        <v>51.46</v>
      </c>
      <c r="J83" s="19">
        <f t="shared" si="18"/>
        <v>53.15</v>
      </c>
      <c r="K83" s="19">
        <f t="shared" si="18"/>
        <v>41.2</v>
      </c>
      <c r="L83" s="19">
        <f t="shared" si="18"/>
        <v>47.39</v>
      </c>
      <c r="M83" s="19">
        <f t="shared" si="18"/>
        <v>59.34</v>
      </c>
      <c r="N83" s="19">
        <f t="shared" si="18"/>
        <v>69.180000000000007</v>
      </c>
      <c r="O83" s="19">
        <f>SUM(C83:N83)</f>
        <v>639.5</v>
      </c>
    </row>
    <row r="84" spans="1:15" hidden="1" x14ac:dyDescent="0.2">
      <c r="B84" s="19" t="s">
        <v>80</v>
      </c>
      <c r="C84" s="19">
        <f t="shared" ref="C84:N84" si="19">ROUND((+C78-50)*$F$74,2)</f>
        <v>22.25</v>
      </c>
      <c r="D84" s="19">
        <f t="shared" si="19"/>
        <v>19.989999999999998</v>
      </c>
      <c r="E84" s="19">
        <f t="shared" si="19"/>
        <v>18.940000000000001</v>
      </c>
      <c r="F84" s="19">
        <f t="shared" si="19"/>
        <v>16.59</v>
      </c>
      <c r="G84" s="19">
        <f t="shared" si="19"/>
        <v>12.54</v>
      </c>
      <c r="H84" s="19">
        <f t="shared" si="19"/>
        <v>13.51</v>
      </c>
      <c r="I84" s="19">
        <f t="shared" si="19"/>
        <v>19.5</v>
      </c>
      <c r="J84" s="19">
        <f t="shared" si="19"/>
        <v>18.940000000000001</v>
      </c>
      <c r="K84" s="19">
        <f t="shared" si="19"/>
        <v>14.89</v>
      </c>
      <c r="L84" s="19">
        <f t="shared" si="19"/>
        <v>17.399999999999999</v>
      </c>
      <c r="M84" s="19">
        <f t="shared" si="19"/>
        <v>17.399999999999999</v>
      </c>
      <c r="N84" s="19">
        <f t="shared" si="19"/>
        <v>25.49</v>
      </c>
      <c r="O84" s="19">
        <f>SUM(C84:N84)</f>
        <v>217.44000000000005</v>
      </c>
    </row>
    <row r="85" spans="1:15" hidden="1" x14ac:dyDescent="0.2">
      <c r="B85" s="19" t="s">
        <v>81</v>
      </c>
      <c r="C85" s="89">
        <f t="shared" ref="C85:N85" si="20">ROUND((+C79-50)*$F$75,2)</f>
        <v>1.68</v>
      </c>
      <c r="D85" s="89">
        <f t="shared" si="20"/>
        <v>1.57</v>
      </c>
      <c r="E85" s="89">
        <f t="shared" si="20"/>
        <v>1.51</v>
      </c>
      <c r="F85" s="89">
        <f t="shared" si="20"/>
        <v>1.18</v>
      </c>
      <c r="G85" s="89">
        <f t="shared" si="20"/>
        <v>0.56000000000000005</v>
      </c>
      <c r="H85" s="89">
        <f t="shared" si="20"/>
        <v>0.78</v>
      </c>
      <c r="I85" s="89">
        <f t="shared" si="20"/>
        <v>2.13</v>
      </c>
      <c r="J85" s="89">
        <f t="shared" si="20"/>
        <v>2.02</v>
      </c>
      <c r="K85" s="89">
        <f t="shared" si="20"/>
        <v>1.01</v>
      </c>
      <c r="L85" s="89">
        <f t="shared" si="20"/>
        <v>1.18</v>
      </c>
      <c r="M85" s="89">
        <f t="shared" si="20"/>
        <v>0.9</v>
      </c>
      <c r="N85" s="89">
        <f t="shared" si="20"/>
        <v>2.2999999999999998</v>
      </c>
      <c r="O85" s="89">
        <f>SUM(C85:N85)</f>
        <v>16.82</v>
      </c>
    </row>
    <row r="86" spans="1:15" hidden="1" x14ac:dyDescent="0.2"/>
    <row r="87" spans="1:15" ht="15" hidden="1" x14ac:dyDescent="0.25">
      <c r="B87" s="38" t="s">
        <v>19</v>
      </c>
      <c r="C87" s="52">
        <f t="shared" ref="C87:N87" si="21">SUM(C82:C86)</f>
        <v>112.32</v>
      </c>
      <c r="D87" s="52">
        <f t="shared" si="21"/>
        <v>105.02999999999999</v>
      </c>
      <c r="E87" s="52">
        <f t="shared" si="21"/>
        <v>95.06</v>
      </c>
      <c r="F87" s="52">
        <f t="shared" si="21"/>
        <v>80.150000000000006</v>
      </c>
      <c r="G87" s="52">
        <f t="shared" si="21"/>
        <v>74.22</v>
      </c>
      <c r="H87" s="52">
        <f t="shared" si="21"/>
        <v>73.16</v>
      </c>
      <c r="I87" s="52">
        <f t="shared" si="21"/>
        <v>91.6</v>
      </c>
      <c r="J87" s="52">
        <f t="shared" si="21"/>
        <v>92.61999999999999</v>
      </c>
      <c r="K87" s="52">
        <f t="shared" si="21"/>
        <v>75.61</v>
      </c>
      <c r="L87" s="52">
        <f t="shared" si="21"/>
        <v>84.480000000000018</v>
      </c>
      <c r="M87" s="52">
        <f t="shared" si="21"/>
        <v>96.15</v>
      </c>
      <c r="N87" s="52">
        <f t="shared" si="21"/>
        <v>115.47999999999999</v>
      </c>
      <c r="O87" s="52">
        <f>+O82+O83</f>
        <v>861.61999999999989</v>
      </c>
    </row>
    <row r="88" spans="1:15" hidden="1" x14ac:dyDescent="0.2"/>
    <row r="89" spans="1:15" ht="13.5" hidden="1" thickBot="1" x14ac:dyDescent="0.25">
      <c r="A89" s="83"/>
      <c r="B89" s="83"/>
      <c r="C89" s="83"/>
      <c r="D89" s="83"/>
      <c r="E89" s="83"/>
      <c r="F89" s="83"/>
      <c r="G89" s="83"/>
      <c r="H89" s="83"/>
      <c r="I89" s="83"/>
      <c r="J89" s="83"/>
      <c r="K89" s="83"/>
      <c r="L89" s="83"/>
      <c r="M89" s="83"/>
      <c r="N89" s="83"/>
      <c r="O89" s="83"/>
    </row>
    <row r="90" spans="1:15" hidden="1" x14ac:dyDescent="0.2"/>
    <row r="91" spans="1:15" hidden="1" x14ac:dyDescent="0.2"/>
    <row r="92" spans="1:15" hidden="1" x14ac:dyDescent="0.2"/>
    <row r="93" spans="1:15" hidden="1" x14ac:dyDescent="0.2"/>
    <row r="94" spans="1:15" hidden="1" x14ac:dyDescent="0.2"/>
    <row r="95" spans="1:15" hidden="1" x14ac:dyDescent="0.2"/>
    <row r="96" spans="1:15"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row r="202" hidden="1" x14ac:dyDescent="0.2"/>
    <row r="203" hidden="1" x14ac:dyDescent="0.2"/>
    <row r="204" hidden="1" x14ac:dyDescent="0.2"/>
    <row r="205" hidden="1" x14ac:dyDescent="0.2"/>
    <row r="206" hidden="1" x14ac:dyDescent="0.2"/>
    <row r="207" hidden="1" x14ac:dyDescent="0.2"/>
    <row r="208" hidden="1" x14ac:dyDescent="0.2"/>
    <row r="209" spans="1:16" hidden="1" x14ac:dyDescent="0.2"/>
    <row r="210" spans="1:16" hidden="1" x14ac:dyDescent="0.2"/>
    <row r="211" spans="1:16" hidden="1" x14ac:dyDescent="0.2"/>
    <row r="212" spans="1:16" hidden="1" x14ac:dyDescent="0.2"/>
    <row r="213" spans="1:16" hidden="1" x14ac:dyDescent="0.2"/>
    <row r="214" spans="1:16" hidden="1" x14ac:dyDescent="0.2"/>
    <row r="215" spans="1:16" ht="15.75" x14ac:dyDescent="0.25">
      <c r="A215" s="51" t="s">
        <v>82</v>
      </c>
      <c r="O215" s="99">
        <f>+O18-O36</f>
        <v>4.0000000000190994E-2</v>
      </c>
      <c r="P215" s="17" t="s">
        <v>83</v>
      </c>
    </row>
    <row r="218" spans="1:16" x14ac:dyDescent="0.2">
      <c r="C218" s="49"/>
      <c r="D218" s="49"/>
      <c r="E218" s="49"/>
      <c r="F218" s="49"/>
      <c r="G218" s="49"/>
      <c r="H218" s="49"/>
      <c r="I218" s="49"/>
      <c r="J218" s="49"/>
      <c r="K218" s="49"/>
      <c r="L218" s="49"/>
      <c r="M218" s="49"/>
      <c r="N218" s="49"/>
    </row>
    <row r="219" spans="1:16" x14ac:dyDescent="0.2">
      <c r="C219" s="22"/>
      <c r="D219" s="22"/>
      <c r="E219" s="22"/>
      <c r="F219" s="22"/>
      <c r="G219" s="22"/>
      <c r="H219" s="22"/>
      <c r="I219" s="22"/>
      <c r="J219" s="22"/>
      <c r="K219" s="22"/>
      <c r="L219" s="22"/>
      <c r="M219" s="22"/>
      <c r="N219" s="22"/>
    </row>
    <row r="221" spans="1:16" x14ac:dyDescent="0.2">
      <c r="C221" s="22"/>
      <c r="D221" s="22"/>
      <c r="E221" s="22"/>
      <c r="F221" s="22"/>
      <c r="G221" s="22"/>
      <c r="H221" s="22"/>
      <c r="I221" s="22"/>
      <c r="J221" s="22"/>
      <c r="K221" s="22"/>
      <c r="L221" s="22"/>
      <c r="M221" s="22"/>
      <c r="N221" s="22"/>
      <c r="O221" s="22"/>
    </row>
    <row r="222" spans="1:16" x14ac:dyDescent="0.2">
      <c r="O222" s="22"/>
    </row>
  </sheetData>
  <mergeCells count="4">
    <mergeCell ref="A1:O1"/>
    <mergeCell ref="A2:O2"/>
    <mergeCell ref="A21:O21"/>
    <mergeCell ref="A22:O22"/>
  </mergeCells>
  <pageMargins left="0.7" right="0.7" top="0.75" bottom="0.75" header="0.3" footer="0.3"/>
  <pageSetup scale="49" orientation="landscape" r:id="rId1"/>
  <headerFooter>
    <oddHeader>&amp;RAttachment 1
Docket No. 2026-00###
August 25, 2026
Page &amp;P of &amp;N</oddHeader>
  </headerFooter>
</worksheet>
</file>

<file path=docMetadata/LabelInfo.xml><?xml version="1.0" encoding="utf-8"?>
<clbl:labelList xmlns:clbl="http://schemas.microsoft.com/office/2020/mipLabelMetadata">
  <clbl:label id="{624b1752-a977-4927-b9e6-e48a43684aee}" enabled="1" method="Privileged" siteId="{031a09bc-a2bf-44df-888e-4e09355b7a2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Att 1 Summary</vt:lpstr>
      <vt:lpstr>Att 1 Rate Design p2</vt:lpstr>
      <vt:lpstr>Att 1 Rate Design p3</vt:lpstr>
      <vt:lpstr>Att 1 Rate Design p4</vt:lpstr>
      <vt:lpstr>'Att 1 Rate Design p3'!Print_Area</vt:lpstr>
    </vt:vector>
  </TitlesOfParts>
  <Company>IBERDROLA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BRIANA</dc:creator>
  <cp:lastModifiedBy>Laiho, Mary A.</cp:lastModifiedBy>
  <cp:lastPrinted>2026-08-25T13:28:37Z</cp:lastPrinted>
  <dcterms:created xsi:type="dcterms:W3CDTF">2026-07-13T19:29:42Z</dcterms:created>
  <dcterms:modified xsi:type="dcterms:W3CDTF">2026-08-25T15:12:04Z</dcterms:modified>
</cp:coreProperties>
</file>