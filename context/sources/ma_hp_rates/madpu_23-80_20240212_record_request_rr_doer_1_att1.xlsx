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bury\Documents\AuditBoardSync\t(d1fbaf2e725c95e937a1a31d2406fb22ce66b5e6)\d892-93fa-4506-99b3-1439389c330b\16051\"/>
    </mc:Choice>
  </mc:AlternateContent>
  <xr:revisionPtr revIDLastSave="0" documentId="13_ncr:1_{12168FE6-8A2E-4EDC-8AFE-A69B9CAB9CE8}" xr6:coauthVersionLast="36" xr6:coauthVersionMax="47" xr10:uidLastSave="{00000000-0000-0000-0000-000000000000}"/>
  <bookViews>
    <workbookView xWindow="-108" yWindow="-108" windowWidth="19416" windowHeight="11496" xr2:uid="{2B5FDB24-F0D1-40F7-A2A3-5C7F24D19D7C}"/>
  </bookViews>
  <sheets>
    <sheet name="Heat Pump Rate w Transmission" sheetId="1" r:id="rId1"/>
  </sheets>
  <definedNames>
    <definedName name="_Key1" hidden="1">#REF!</definedName>
    <definedName name="_Order1" hidden="1">255</definedName>
    <definedName name="_Sort" hidden="1">#REF!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_xlnm.Print_Area" localSheetId="0">'Heat Pump Rate w Transmission'!$A$1:$G$44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3" i="1" l="1"/>
  <c r="A64" i="1"/>
  <c r="A51" i="1"/>
  <c r="A53" i="1" s="1"/>
  <c r="A52" i="1"/>
  <c r="A50" i="1"/>
  <c r="A48" i="1"/>
  <c r="A49" i="1"/>
  <c r="E51" i="1"/>
  <c r="E45" i="1"/>
  <c r="D45" i="1"/>
  <c r="C44" i="1"/>
  <c r="A39" i="1"/>
  <c r="A36" i="1"/>
  <c r="A33" i="1"/>
  <c r="C31" i="1"/>
  <c r="C32" i="1" s="1"/>
  <c r="K29" i="1"/>
  <c r="A29" i="1"/>
  <c r="C28" i="1"/>
  <c r="A28" i="1"/>
  <c r="K27" i="1"/>
  <c r="N27" i="1" s="1"/>
  <c r="O27" i="1" s="1"/>
  <c r="G27" i="1" s="1"/>
  <c r="F27" i="1"/>
  <c r="E27" i="1"/>
  <c r="D27" i="1"/>
  <c r="K26" i="1"/>
  <c r="N26" i="1" s="1"/>
  <c r="O26" i="1" s="1"/>
  <c r="G26" i="1" s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N19" i="1"/>
  <c r="O19" i="1" s="1"/>
  <c r="G19" i="1" s="1"/>
  <c r="K19" i="1"/>
  <c r="F19" i="1"/>
  <c r="E19" i="1"/>
  <c r="D19" i="1"/>
  <c r="D28" i="1" s="1"/>
  <c r="K18" i="1"/>
  <c r="N18" i="1" s="1"/>
  <c r="O18" i="1" s="1"/>
  <c r="G18" i="1" s="1"/>
  <c r="F18" i="1"/>
  <c r="E18" i="1"/>
  <c r="D18" i="1"/>
  <c r="K17" i="1"/>
  <c r="N17" i="1" s="1"/>
  <c r="O17" i="1" s="1"/>
  <c r="G17" i="1" s="1"/>
  <c r="F17" i="1"/>
  <c r="F28" i="1" s="1"/>
  <c r="E17" i="1"/>
  <c r="D17" i="1"/>
  <c r="K16" i="1"/>
  <c r="N16" i="1" s="1"/>
  <c r="O16" i="1" s="1"/>
  <c r="F16" i="1"/>
  <c r="E16" i="1"/>
  <c r="D16" i="1"/>
  <c r="A14" i="1"/>
  <c r="E47" i="1"/>
  <c r="C13" i="1"/>
  <c r="A8" i="1"/>
  <c r="A54" i="1" l="1"/>
  <c r="C34" i="1"/>
  <c r="C35" i="1" s="1"/>
  <c r="C43" i="1" s="1"/>
  <c r="E28" i="1"/>
  <c r="G16" i="1"/>
  <c r="G28" i="1" s="1"/>
  <c r="O28" i="1"/>
  <c r="E61" i="1"/>
  <c r="H23" i="1"/>
  <c r="E60" i="1"/>
  <c r="E52" i="1"/>
  <c r="H25" i="1"/>
  <c r="H21" i="1"/>
  <c r="H17" i="1"/>
  <c r="E54" i="1"/>
  <c r="H22" i="1"/>
  <c r="H16" i="1"/>
  <c r="E58" i="1"/>
  <c r="E53" i="1"/>
  <c r="H19" i="1"/>
  <c r="E57" i="1"/>
  <c r="E56" i="1"/>
  <c r="E55" i="1"/>
  <c r="H24" i="1"/>
  <c r="H20" i="1"/>
  <c r="C47" i="1"/>
  <c r="X47" i="1" s="1"/>
  <c r="H18" i="1"/>
  <c r="E62" i="1"/>
  <c r="H27" i="1"/>
  <c r="E59" i="1"/>
  <c r="H26" i="1"/>
  <c r="C42" i="1"/>
  <c r="A9" i="1"/>
  <c r="A10" i="1"/>
  <c r="D47" i="1"/>
  <c r="A55" i="1" l="1"/>
  <c r="A56" i="1"/>
  <c r="H28" i="1"/>
  <c r="C37" i="1"/>
  <c r="C38" i="1" s="1"/>
  <c r="C46" i="1" s="1"/>
  <c r="E63" i="1"/>
  <c r="A11" i="1"/>
  <c r="A12" i="1"/>
  <c r="F58" i="1"/>
  <c r="G58" i="1" s="1"/>
  <c r="F53" i="1"/>
  <c r="G53" i="1" s="1"/>
  <c r="F59" i="1"/>
  <c r="G59" i="1" s="1"/>
  <c r="F54" i="1"/>
  <c r="G54" i="1" s="1"/>
  <c r="F56" i="1"/>
  <c r="G56" i="1" s="1"/>
  <c r="F55" i="1"/>
  <c r="G55" i="1" s="1"/>
  <c r="F57" i="1"/>
  <c r="G57" i="1" s="1"/>
  <c r="F61" i="1"/>
  <c r="G61" i="1" s="1"/>
  <c r="F60" i="1"/>
  <c r="G60" i="1" s="1"/>
  <c r="F52" i="1"/>
  <c r="G52" i="1" s="1"/>
  <c r="F62" i="1"/>
  <c r="G62" i="1" s="1"/>
  <c r="F51" i="1"/>
  <c r="A57" i="1" l="1"/>
  <c r="A58" i="1"/>
  <c r="A59" i="1" s="1"/>
  <c r="F63" i="1"/>
  <c r="G51" i="1"/>
  <c r="G63" i="1" s="1"/>
  <c r="A13" i="1"/>
  <c r="D46" i="1"/>
  <c r="X46" i="1" s="1"/>
  <c r="E46" i="1"/>
  <c r="A60" i="1" l="1"/>
  <c r="A61" i="1"/>
  <c r="A62" i="1"/>
  <c r="A15" i="1"/>
  <c r="A16" i="1" l="1"/>
  <c r="A17" i="1" l="1"/>
  <c r="A18" i="1" s="1"/>
  <c r="A19" i="1" l="1"/>
  <c r="A20" i="1" s="1"/>
  <c r="A21" i="1"/>
  <c r="A23" i="1" s="1"/>
  <c r="A22" i="1"/>
  <c r="A24" i="1" l="1"/>
  <c r="A25" i="1" s="1"/>
  <c r="A26" i="1" s="1"/>
  <c r="A27" i="1" s="1"/>
  <c r="A30" i="1" s="1"/>
  <c r="A31" i="1" s="1"/>
  <c r="A32" i="1" s="1"/>
  <c r="A34" i="1" s="1"/>
  <c r="D35" i="1" l="1"/>
  <c r="A35" i="1"/>
  <c r="A37" i="1" s="1"/>
  <c r="D38" i="1" l="1"/>
  <c r="A38" i="1"/>
  <c r="A40" i="1" s="1"/>
  <c r="A41" i="1" s="1"/>
  <c r="A42" i="1" s="1"/>
  <c r="A43" i="1" s="1"/>
  <c r="A44" i="1" s="1"/>
  <c r="A45" i="1" s="1"/>
  <c r="A46" i="1" s="1"/>
  <c r="A47" i="1" s="1"/>
</calcChain>
</file>

<file path=xl/sharedStrings.xml><?xml version="1.0" encoding="utf-8"?>
<sst xmlns="http://schemas.openxmlformats.org/spreadsheetml/2006/main" count="75" uniqueCount="58">
  <si>
    <t>Fitchburg Gas and Electric Light Company</t>
  </si>
  <si>
    <t>DPU 23-80 DPU 23-81 RR-DOER-01 Attachment 1</t>
  </si>
  <si>
    <t>Residential Heat Pump Rate Design with Seasonal Reconciling Mechanisms</t>
  </si>
  <si>
    <t xml:space="preserve"> (Feb 1, 2024 update)</t>
  </si>
  <si>
    <t>Line</t>
  </si>
  <si>
    <t>Assumptions:</t>
  </si>
  <si>
    <t>RD-1: Residential</t>
  </si>
  <si>
    <t>Proposed Rate</t>
  </si>
  <si>
    <t>Customer Charge</t>
  </si>
  <si>
    <t>Distribution Charge</t>
  </si>
  <si>
    <t>Transmission Reconciling Mechanisms</t>
  </si>
  <si>
    <t>Internal Transmission</t>
  </si>
  <si>
    <t>External Transmission</t>
  </si>
  <si>
    <t>Reconciling Mechanisms Rates</t>
  </si>
  <si>
    <t>Average Monthly UPC</t>
  </si>
  <si>
    <t>RD-1 Average Monthly Use</t>
  </si>
  <si>
    <t>Cost Recovery per Month</t>
  </si>
  <si>
    <t>Fixed Cost Recovery in Volumetric Rate</t>
  </si>
  <si>
    <t>Fixed Cost Recovery in Fixed Charge</t>
  </si>
  <si>
    <t>Avg. Monthly Use with Heat Pump (kWh)</t>
  </si>
  <si>
    <t xml:space="preserve">Internal and External Transmission Recovery </t>
  </si>
  <si>
    <t xml:space="preserve">Normal Therm UPC </t>
  </si>
  <si>
    <t>Therms (Heating Load)</t>
  </si>
  <si>
    <t>Avg. Temp.</t>
  </si>
  <si>
    <t>Avg. Temp COP</t>
  </si>
  <si>
    <t xml:space="preserve">kWh Conversion </t>
  </si>
  <si>
    <t>kWh Usage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</si>
  <si>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</si>
  <si>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</si>
  <si>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</si>
  <si>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</si>
  <si>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</si>
  <si>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</si>
  <si>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</si>
  <si>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</si>
  <si>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</si>
  <si>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</si>
  <si>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</si>
  <si>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</si>
  <si>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Summer Base Load</t>
  </si>
  <si>
    <t>Derivation of Heat Pump Rate</t>
  </si>
  <si>
    <t>Therm to kWH Factor</t>
  </si>
  <si>
    <t xml:space="preserve">Customer Charge Revenue </t>
  </si>
  <si>
    <t>Winter Volumetric Charge Revenue</t>
  </si>
  <si>
    <t>per customer, November through April</t>
  </si>
  <si>
    <t>Volumetric Fixed Cost Recovery Charge</t>
  </si>
  <si>
    <t>Winter Transmission Revenue</t>
  </si>
  <si>
    <t>Winter Total Transmission Rates</t>
  </si>
  <si>
    <t>Results</t>
  </si>
  <si>
    <t>HP-RES: Residential Heat Pump Service</t>
  </si>
  <si>
    <t>Distribution Charge - Winter</t>
  </si>
  <si>
    <t>Distribution Charge - Summer</t>
  </si>
  <si>
    <t>Transmission Rates - Winter</t>
  </si>
  <si>
    <t>Transmission Rates - Summer</t>
  </si>
  <si>
    <t>RD-1</t>
  </si>
  <si>
    <t>Heat Pump</t>
  </si>
  <si>
    <t>Difference</t>
  </si>
  <si>
    <t>PROOF: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</si>
</sst>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&quot;$&quot;* #,##0.00000_);_(&quot;$&quot;* \(#,##0.00000\);_(&quot;$&quot;* &quot;-&quot;??_);_(@_)"/>
    <numFmt numFmtId="166" formatCode="_(* #,##0.000000_);_(* \(#,##0.000000\);_(* &quot;-&quot;??_);_(@_)"/>
    <numFmt numFmtId="167" formatCode="[$-409]mmm\-yy;@"/>
    <numFmt numFmtId="168" formatCode="_(* #,##0.0_);_(* \(#,##0.0\);_(* &quot;-&quot;??_);_(@_)"/>
    <numFmt numFmtId="169" formatCode="_(&quot;$&quot;* #,##0.0000_);_(&quot;$&quot;* \(#,##0.0000\);_(&quot;$&quot;* &quot;-&quot;??_);_(@_)"/>
    <numFmt numFmtId="171" formatCode="_(* #,##0.00000_);_(* \(#,##0.00000\);_(* &quot;-&quot;??_);_(@_)"/>
  </numFmts>
  <fonts count="11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u val="singleAccounting"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0" fontId="1" fillId="0" borderId="0"/>
  </cellStyleXfs>
  <cellXfs count="43">
    <xf numFmtId="0" fontId="0" fillId="0" borderId="0" xfId="0"/>
    <xf numFmtId="0" fontId="6" fillId="0" borderId="0" xfId="0" applyFont="1"/>
    <xf numFmtId="0" fontId="4" fillId="0" borderId="0" xfId="0" applyFont="1"/>
    <xf numFmtId="44" fontId="6" fillId="0" borderId="0" xfId="0" applyNumberFormat="1" applyFont="1"/>
    <xf numFmtId="164" fontId="6" fillId="0" borderId="0" xfId="1" applyNumberFormat="1" applyFont="1" applyFill="1" applyBorder="1"/>
    <xf numFmtId="164" fontId="6" fillId="0" borderId="0" xfId="2" applyNumberFormat="1" applyFont="1" applyFill="1" applyBorder="1"/>
    <xf numFmtId="43" fontId="6" fillId="0" borderId="0" xfId="1" applyFont="1" applyFill="1" applyBorder="1"/>
    <xf numFmtId="168" fontId="6" fillId="0" borderId="0" xfId="1" applyNumberFormat="1" applyFont="1" applyFill="1"/>
    <xf numFmtId="44" fontId="6" fillId="0" borderId="0" xfId="2" applyFont="1"/>
    <xf numFmtId="169" fontId="6" fillId="0" borderId="0" xfId="2" applyNumberFormat="1" applyFont="1"/>
    <xf numFmtId="37" fontId="4" fillId="0" borderId="0" xfId="3" applyNumberFormat="1" applyFont="1" applyFill="1"/>
    <xf numFmtId="0" fontId="6" fillId="0" borderId="0" xfId="0" applyFont="1" applyFill="1"/>
    <xf numFmtId="0" fontId="7" fillId="0" borderId="0" xfId="0" applyFont="1" applyFill="1"/>
    <xf numFmtId="0" fontId="4" fillId="0" borderId="0" xfId="3" applyFont="1" applyFill="1"/>
    <xf numFmtId="0" fontId="2" fillId="0" borderId="0" xfId="0" applyFont="1" applyFill="1" applyAlignment="1">
      <alignment horizontal="left"/>
    </xf>
    <xf numFmtId="0" fontId="8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9" fillId="0" borderId="0" xfId="0" applyFont="1" applyFill="1"/>
    <xf numFmtId="0" fontId="10" fillId="0" borderId="0" xfId="0" applyFont="1" applyFill="1"/>
    <xf numFmtId="0" fontId="4" fillId="0" borderId="0" xfId="0" applyFont="1" applyFill="1"/>
    <xf numFmtId="0" fontId="6" fillId="0" borderId="0" xfId="4" applyFont="1" applyFill="1" applyAlignment="1">
      <alignment horizontal="left" indent="2"/>
    </xf>
    <xf numFmtId="44" fontId="6" fillId="0" borderId="0" xfId="0" applyNumberFormat="1" applyFont="1" applyFill="1"/>
    <xf numFmtId="165" fontId="6" fillId="0" borderId="0" xfId="0" applyNumberFormat="1" applyFont="1" applyFill="1"/>
    <xf numFmtId="0" fontId="6" fillId="0" borderId="0" xfId="0" applyFont="1" applyFill="1" applyAlignment="1">
      <alignment horizontal="center" wrapText="1"/>
    </xf>
    <xf numFmtId="166" fontId="6" fillId="0" borderId="0" xfId="1" applyNumberFormat="1" applyFont="1" applyFill="1"/>
    <xf numFmtId="0" fontId="4" fillId="0" borderId="1" xfId="0" applyFont="1" applyFill="1" applyBorder="1"/>
    <xf numFmtId="0" fontId="6" fillId="0" borderId="1" xfId="0" applyFont="1" applyFill="1" applyBorder="1" applyAlignment="1">
      <alignment horizontal="center" wrapText="1"/>
    </xf>
    <xf numFmtId="167" fontId="6" fillId="0" borderId="0" xfId="5" applyNumberFormat="1" applyFont="1" applyFill="1"/>
    <xf numFmtId="43" fontId="6" fillId="0" borderId="0" xfId="0" applyNumberFormat="1" applyFont="1" applyFill="1"/>
    <xf numFmtId="43" fontId="6" fillId="0" borderId="0" xfId="1" applyFont="1" applyFill="1"/>
    <xf numFmtId="44" fontId="6" fillId="0" borderId="1" xfId="0" applyNumberFormat="1" applyFont="1" applyFill="1" applyBorder="1"/>
    <xf numFmtId="43" fontId="6" fillId="0" borderId="1" xfId="0" applyNumberFormat="1" applyFont="1" applyFill="1" applyBorder="1"/>
    <xf numFmtId="43" fontId="6" fillId="0" borderId="1" xfId="1" applyFont="1" applyFill="1" applyBorder="1"/>
    <xf numFmtId="43" fontId="6" fillId="0" borderId="2" xfId="0" applyNumberFormat="1" applyFont="1" applyFill="1" applyBorder="1"/>
    <xf numFmtId="44" fontId="6" fillId="0" borderId="2" xfId="0" applyNumberFormat="1" applyFont="1" applyFill="1" applyBorder="1"/>
    <xf numFmtId="0" fontId="6" fillId="0" borderId="0" xfId="0" applyFont="1" applyFill="1" applyAlignment="1">
      <alignment horizontal="right"/>
    </xf>
    <xf numFmtId="0" fontId="6" fillId="0" borderId="0" xfId="0" applyFont="1" applyFill="1" applyAlignment="1">
      <alignment horizontal="left"/>
    </xf>
    <xf numFmtId="44" fontId="6" fillId="0" borderId="0" xfId="2" applyFont="1" applyFill="1"/>
    <xf numFmtId="165" fontId="6" fillId="0" borderId="0" xfId="2" applyNumberFormat="1" applyFont="1" applyFill="1"/>
    <xf numFmtId="0" fontId="10" fillId="0" borderId="0" xfId="0" applyFont="1" applyFill="1" applyAlignment="1">
      <alignment horizontal="center"/>
    </xf>
    <xf numFmtId="7" fontId="6" fillId="0" borderId="0" xfId="0" applyNumberFormat="1" applyFont="1" applyFill="1" applyAlignment="1">
      <alignment horizontal="center"/>
    </xf>
    <xf numFmtId="7" fontId="6" fillId="0" borderId="1" xfId="0" applyNumberFormat="1" applyFont="1" applyFill="1" applyBorder="1" applyAlignment="1">
      <alignment horizontal="center"/>
    </xf>
    <xf numFmtId="171" fontId="6" fillId="0" borderId="0" xfId="1" applyNumberFormat="1" applyFont="1" applyFill="1"/>
  </cellXfs>
  <cellStyles count="6">
    <cellStyle name="Comma" xfId="1" builtinId="3"/>
    <cellStyle name="Currency" xfId="2" builtinId="4"/>
    <cellStyle name="Normal" xfId="0" builtinId="0"/>
    <cellStyle name="Normal 2" xfId="3" xr:uid="{74FD92D4-8A86-4F56-8B19-E54AFB4C75C5}"/>
    <cellStyle name="Normal 2 6" xfId="4" xr:uid="{6499182F-B669-461A-A6EB-DD78D0A642C0}"/>
    <cellStyle name="Normal 27" xfId="5" xr:uid="{5866DF82-C323-4D50-B292-F3414C57F7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E3875-38C3-4973-BF82-08F699F18625}">
  <dimension ref="A1:AC64"/>
  <sheetViews>
    <sheetView tabSelected="1" zoomScaleNormal="100" workbookViewId="0">
      <selection activeCell="F41" sqref="F41"/>
    </sheetView>
  </sheetViews>
  <sheetFormatPr defaultColWidth="9.109375" defaultRowHeight="13.05" customHeight="1" x14ac:dyDescent="0.3"/>
  <cols>
    <col min="1" max="1" width="5.77734375" style="12" customWidth="1"/>
    <col min="2" max="2" width="39.44140625" style="12" customWidth="1"/>
    <col min="3" max="3" width="13.77734375" style="12" bestFit="1" customWidth="1"/>
    <col min="4" max="4" width="14" style="12" bestFit="1" customWidth="1"/>
    <col min="5" max="5" width="15.21875" style="12" bestFit="1" customWidth="1"/>
    <col min="6" max="20" width="15" style="12" customWidth="1"/>
    <col min="21" max="22" width="14.77734375" style="12" customWidth="1"/>
    <col min="23" max="16384" width="9.109375" style="12"/>
  </cols>
  <sheetData>
    <row r="1" spans="1:29" ht="14.4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ht="14.4" x14ac:dyDescent="0.3">
      <c r="A2" s="13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ht="14.4" x14ac:dyDescent="0.3">
      <c r="A3" s="14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4.4" x14ac:dyDescent="0.3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14.4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6.2" x14ac:dyDescent="0.45">
      <c r="A6" s="15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ht="14.4" x14ac:dyDescent="0.3">
      <c r="A7" s="16">
        <v>1</v>
      </c>
      <c r="B7" s="17" t="s">
        <v>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ht="14.4" x14ac:dyDescent="0.3">
      <c r="A8" s="16" t="str">
        <f>IF(ISBLANK(B8),"",MAX($A$6:A7)+1)</f>
        <v/>
      </c>
      <c r="B8" s="11"/>
      <c r="C8" s="11"/>
      <c r="D8" s="11"/>
      <c r="E8" s="1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ht="16.2" x14ac:dyDescent="0.45">
      <c r="A9" s="16">
        <f>IF(ISBLANK(B9),"",MAX($A$6:A8)+1)</f>
        <v>2</v>
      </c>
      <c r="B9" s="19" t="s">
        <v>6</v>
      </c>
      <c r="C9" s="15" t="s">
        <v>7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ht="14.4" x14ac:dyDescent="0.3">
      <c r="A10" s="16">
        <f>IF(ISBLANK(B10),"",MAX($A$6:A9)+1)</f>
        <v>3</v>
      </c>
      <c r="B10" s="20" t="s">
        <v>8</v>
      </c>
      <c r="C10" s="21">
        <v>8.5</v>
      </c>
      <c r="D10" s="11"/>
      <c r="E10" s="4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ht="14.4" x14ac:dyDescent="0.3">
      <c r="A11" s="16">
        <f>IF(ISBLANK(B11),"",MAX($A$6:A10)+1)</f>
        <v>4</v>
      </c>
      <c r="B11" s="20" t="s">
        <v>9</v>
      </c>
      <c r="C11" s="22">
        <v>9.9970000000000003E-2</v>
      </c>
      <c r="D11" s="11"/>
      <c r="E11" s="4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28.8" x14ac:dyDescent="0.3">
      <c r="A12" s="16">
        <f>IF(ISBLANK(B12),"",MAX($A$6:A11)+1)</f>
        <v>5</v>
      </c>
      <c r="B12" s="20" t="s">
        <v>10</v>
      </c>
      <c r="C12" s="22"/>
      <c r="D12" s="23" t="s">
        <v>11</v>
      </c>
      <c r="E12" s="23" t="s">
        <v>12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Z12" s="11"/>
      <c r="AA12" s="11"/>
      <c r="AB12" s="11"/>
      <c r="AC12" s="11"/>
    </row>
    <row r="13" spans="1:29" ht="14.4" x14ac:dyDescent="0.3">
      <c r="A13" s="16">
        <f>IF(ISBLANK(B13),"",MAX($A$6:A12)+1)</f>
        <v>6</v>
      </c>
      <c r="B13" s="20" t="s">
        <v>13</v>
      </c>
      <c r="C13" s="22">
        <f>SUM(D13:E13)</f>
        <v>3.6337409437369114E-2</v>
      </c>
      <c r="D13" s="42">
        <v>6.0546024597124722E-3</v>
      </c>
      <c r="E13" s="42">
        <v>3.0282806977656646E-2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11"/>
      <c r="X13" s="11"/>
      <c r="Y13" s="11"/>
      <c r="Z13" s="11"/>
      <c r="AA13" s="11"/>
      <c r="AB13" s="11"/>
      <c r="AC13" s="11"/>
    </row>
    <row r="14" spans="1:29" ht="14.4" x14ac:dyDescent="0.3">
      <c r="A14" s="16" t="str">
        <f>IF(ISBLANK(B14),"",MAX($A$6:A13)+1)</f>
        <v/>
      </c>
      <c r="B14" s="11"/>
      <c r="C14" s="11"/>
      <c r="D14" s="11"/>
      <c r="E14" s="5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ht="57.6" x14ac:dyDescent="0.3">
      <c r="A15" s="16">
        <f>IF(ISBLANK(B15),"",MAX($A$6:A14)+1)</f>
        <v>7</v>
      </c>
      <c r="B15" s="25" t="s">
        <v>14</v>
      </c>
      <c r="C15" s="26" t="s">
        <v>15</v>
      </c>
      <c r="D15" s="26" t="s">
        <v>16</v>
      </c>
      <c r="E15" s="26" t="s">
        <v>17</v>
      </c>
      <c r="F15" s="26" t="s">
        <v>18</v>
      </c>
      <c r="G15" s="26" t="s">
        <v>19</v>
      </c>
      <c r="H15" s="26" t="s">
        <v>20</v>
      </c>
      <c r="I15" s="11"/>
      <c r="J15" s="26" t="s">
        <v>21</v>
      </c>
      <c r="K15" s="26" t="s">
        <v>22</v>
      </c>
      <c r="L15" s="26" t="s">
        <v>23</v>
      </c>
      <c r="M15" s="26" t="s">
        <v>24</v>
      </c>
      <c r="N15" s="26" t="s">
        <v>25</v>
      </c>
      <c r="O15" s="26" t="s">
        <v>26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ht="14.4" x14ac:dyDescent="0.3">
      <c r="A16" s="16">
        <f>IF(ISBLANK(B16),"",MAX($A$6:A15)+1)</f>
        <v>8</v>
      </c>
      <c r="B16" s="27" t="s">
        <v>27</v>
      </c>
      <c r="C16" s="6">
        <v>684.49087368276753</v>
      </c>
      <c r="D16" s="21">
        <f>$C$10+$C$11*C16</f>
        <v>76.928552642066279</v>
      </c>
      <c r="E16" s="21">
        <f t="shared" ref="E16:E27" si="0">($C$11-$C$50)*C16</f>
        <v>68.428552642066279</v>
      </c>
      <c r="F16" s="21">
        <f t="shared" ref="F16:F27" si="1">$C$10</f>
        <v>8.5</v>
      </c>
      <c r="G16" s="28">
        <f t="shared" ref="G16:G27" si="2">C16+O16</f>
        <v>2137.0376248573143</v>
      </c>
      <c r="H16" s="21">
        <f>$C$13*C16</f>
        <v>24.872625133153228</v>
      </c>
      <c r="I16" s="11"/>
      <c r="J16" s="29">
        <v>139.19505263396809</v>
      </c>
      <c r="K16" s="28">
        <f>J16-$K$29</f>
        <v>123.93743610704325</v>
      </c>
      <c r="L16" s="7">
        <v>26.802553763440859</v>
      </c>
      <c r="M16" s="29">
        <v>2.5</v>
      </c>
      <c r="N16" s="29">
        <f>K16*$K$30</f>
        <v>3631.3668779363675</v>
      </c>
      <c r="O16" s="29">
        <f>N16/M16</f>
        <v>1452.5467511745469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ht="14.4" x14ac:dyDescent="0.3">
      <c r="A17" s="16">
        <f>IF(ISBLANK(B17),"",MAX($A$6:A16)+1)</f>
        <v>9</v>
      </c>
      <c r="B17" s="27" t="s">
        <v>28</v>
      </c>
      <c r="C17" s="6">
        <v>634.5000575842148</v>
      </c>
      <c r="D17" s="21">
        <f t="shared" ref="D17:D27" si="3">$C$10+$C$11*C17</f>
        <v>71.930970756693952</v>
      </c>
      <c r="E17" s="21">
        <f t="shared" si="0"/>
        <v>63.430970756693952</v>
      </c>
      <c r="F17" s="21">
        <f t="shared" si="1"/>
        <v>8.5</v>
      </c>
      <c r="G17" s="28">
        <f t="shared" si="2"/>
        <v>2019.8549775385916</v>
      </c>
      <c r="H17" s="21">
        <f t="shared" ref="H17:H27" si="4">$C$13*C17</f>
        <v>23.056088380471895</v>
      </c>
      <c r="I17" s="11"/>
      <c r="J17" s="29">
        <v>145.28239570353017</v>
      </c>
      <c r="K17" s="28">
        <f>J17-$K$29</f>
        <v>130.02477917660534</v>
      </c>
      <c r="L17" s="7">
        <v>28.677306547619043</v>
      </c>
      <c r="M17" s="29">
        <v>2.75</v>
      </c>
      <c r="N17" s="29">
        <f>K17*$K$30</f>
        <v>3809.7260298745364</v>
      </c>
      <c r="O17" s="29">
        <f>N17/M17</f>
        <v>1385.3549199543768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ht="14.4" x14ac:dyDescent="0.3">
      <c r="A18" s="16">
        <f>IF(ISBLANK(B18),"",MAX($A$6:A17)+1)</f>
        <v>10</v>
      </c>
      <c r="B18" s="27" t="s">
        <v>29</v>
      </c>
      <c r="C18" s="6">
        <v>552.57366439382577</v>
      </c>
      <c r="D18" s="21">
        <f t="shared" si="3"/>
        <v>63.740789229450762</v>
      </c>
      <c r="E18" s="21">
        <f t="shared" si="0"/>
        <v>55.240789229450762</v>
      </c>
      <c r="F18" s="21">
        <f t="shared" si="1"/>
        <v>8.5</v>
      </c>
      <c r="G18" s="28">
        <f t="shared" si="2"/>
        <v>1632.7634702975233</v>
      </c>
      <c r="H18" s="21">
        <f t="shared" si="4"/>
        <v>20.079095487385839</v>
      </c>
      <c r="I18" s="11"/>
      <c r="J18" s="29">
        <v>125.85725535665496</v>
      </c>
      <c r="K18" s="28">
        <f>J18-$K$29</f>
        <v>110.59963882973013</v>
      </c>
      <c r="L18" s="7">
        <v>35.62822580645161</v>
      </c>
      <c r="M18" s="29">
        <v>3</v>
      </c>
      <c r="N18" s="29">
        <f>K18*$K$30</f>
        <v>3240.5694177110927</v>
      </c>
      <c r="O18" s="29">
        <f>N18/M18</f>
        <v>1080.1898059036976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ht="14.4" x14ac:dyDescent="0.3">
      <c r="A19" s="16">
        <f>IF(ISBLANK(B19),"",MAX($A$6:A18)+1)</f>
        <v>11</v>
      </c>
      <c r="B19" s="27" t="s">
        <v>30</v>
      </c>
      <c r="C19" s="6">
        <v>441.967890555216</v>
      </c>
      <c r="D19" s="21">
        <f t="shared" si="3"/>
        <v>52.683530018804944</v>
      </c>
      <c r="E19" s="21">
        <f t="shared" si="0"/>
        <v>44.183530018804944</v>
      </c>
      <c r="F19" s="21">
        <f t="shared" si="1"/>
        <v>8.5</v>
      </c>
      <c r="G19" s="28">
        <f t="shared" si="2"/>
        <v>1130.1593105250315</v>
      </c>
      <c r="H19" s="21">
        <f t="shared" si="4"/>
        <v>16.059968197275225</v>
      </c>
      <c r="I19" s="11"/>
      <c r="J19" s="29">
        <v>97.464782734923276</v>
      </c>
      <c r="K19" s="28">
        <f>J19-$K$29</f>
        <v>82.207166207998441</v>
      </c>
      <c r="L19" s="7">
        <v>46.415833333333332</v>
      </c>
      <c r="M19" s="29">
        <v>3.5</v>
      </c>
      <c r="N19" s="29">
        <f>K19*$K$30</f>
        <v>2408.6699698943544</v>
      </c>
      <c r="O19" s="29">
        <f>N19/M19</f>
        <v>688.19141996981557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ht="14.4" x14ac:dyDescent="0.3">
      <c r="A20" s="16">
        <f>IF(ISBLANK(B20),"",MAX($A$6:A19)+1)</f>
        <v>12</v>
      </c>
      <c r="B20" s="27" t="s">
        <v>31</v>
      </c>
      <c r="C20" s="6">
        <v>434.81857483085071</v>
      </c>
      <c r="D20" s="21">
        <f t="shared" si="3"/>
        <v>51.968812925840147</v>
      </c>
      <c r="E20" s="21">
        <f t="shared" si="0"/>
        <v>43.468812925840147</v>
      </c>
      <c r="F20" s="21">
        <f t="shared" si="1"/>
        <v>8.5</v>
      </c>
      <c r="G20" s="28">
        <f t="shared" si="2"/>
        <v>434.81857483085071</v>
      </c>
      <c r="H20" s="21">
        <f t="shared" si="4"/>
        <v>15.800180584601943</v>
      </c>
      <c r="I20" s="11"/>
      <c r="J20" s="29">
        <v>51.100960435385332</v>
      </c>
      <c r="K20" s="28"/>
      <c r="L20" s="7"/>
      <c r="M20" s="29"/>
      <c r="N20" s="29"/>
      <c r="O20" s="29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ht="14.4" x14ac:dyDescent="0.3">
      <c r="A21" s="16">
        <f>IF(ISBLANK(B21),"",MAX($A$6:A20)+1)</f>
        <v>13</v>
      </c>
      <c r="B21" s="27" t="s">
        <v>32</v>
      </c>
      <c r="C21" s="6">
        <v>472.29002313520965</v>
      </c>
      <c r="D21" s="21">
        <f t="shared" si="3"/>
        <v>55.714833612826908</v>
      </c>
      <c r="E21" s="21">
        <f t="shared" si="0"/>
        <v>47.214833612826908</v>
      </c>
      <c r="F21" s="21">
        <f t="shared" si="1"/>
        <v>8.5</v>
      </c>
      <c r="G21" s="28">
        <f t="shared" si="2"/>
        <v>472.29002313520965</v>
      </c>
      <c r="H21" s="21">
        <f t="shared" si="4"/>
        <v>17.161795943848645</v>
      </c>
      <c r="I21" s="11"/>
      <c r="J21" s="29">
        <v>15.105046026803759</v>
      </c>
      <c r="K21" s="28"/>
      <c r="L21" s="7"/>
      <c r="M21" s="29"/>
      <c r="N21" s="29"/>
      <c r="O21" s="29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ht="14.4" x14ac:dyDescent="0.3">
      <c r="A22" s="16">
        <f>IF(ISBLANK(B22),"",MAX($A$6:A21)+1)</f>
        <v>14</v>
      </c>
      <c r="B22" s="27" t="s">
        <v>33</v>
      </c>
      <c r="C22" s="6">
        <v>596.22825580066763</v>
      </c>
      <c r="D22" s="21">
        <f t="shared" si="3"/>
        <v>68.104938732392753</v>
      </c>
      <c r="E22" s="21">
        <f t="shared" si="0"/>
        <v>59.604938732392746</v>
      </c>
      <c r="F22" s="21">
        <f t="shared" si="1"/>
        <v>8.5</v>
      </c>
      <c r="G22" s="28">
        <f t="shared" si="2"/>
        <v>596.22825580066763</v>
      </c>
      <c r="H22" s="21">
        <f t="shared" si="4"/>
        <v>21.665390249157305</v>
      </c>
      <c r="I22" s="11"/>
      <c r="J22" s="29">
        <v>16.015967979488103</v>
      </c>
      <c r="K22" s="28"/>
      <c r="L22" s="7"/>
      <c r="M22" s="29"/>
      <c r="N22" s="29"/>
      <c r="O22" s="29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1:29" ht="14.4" x14ac:dyDescent="0.3">
      <c r="A23" s="16">
        <f>IF(ISBLANK(B23),"",MAX($A$6:A22)+1)</f>
        <v>15</v>
      </c>
      <c r="B23" s="27" t="s">
        <v>34</v>
      </c>
      <c r="C23" s="6">
        <v>717.36073899271003</v>
      </c>
      <c r="D23" s="21">
        <f t="shared" si="3"/>
        <v>80.214553077101229</v>
      </c>
      <c r="E23" s="21">
        <f t="shared" si="0"/>
        <v>71.714553077101229</v>
      </c>
      <c r="F23" s="21">
        <f t="shared" si="1"/>
        <v>8.5</v>
      </c>
      <c r="G23" s="28">
        <f t="shared" si="2"/>
        <v>717.36073899271003</v>
      </c>
      <c r="H23" s="21">
        <f t="shared" si="4"/>
        <v>26.067030887071784</v>
      </c>
      <c r="I23" s="11"/>
      <c r="J23" s="29">
        <v>11.958408035004172</v>
      </c>
      <c r="K23" s="28"/>
      <c r="L23" s="7"/>
      <c r="M23" s="29"/>
      <c r="N23" s="29"/>
      <c r="O23" s="29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ht="14.4" x14ac:dyDescent="0.3">
      <c r="A24" s="16">
        <f>IF(ISBLANK(B24),"",MAX($A$6:A23)+1)</f>
        <v>16</v>
      </c>
      <c r="B24" s="27" t="s">
        <v>35</v>
      </c>
      <c r="C24" s="6">
        <v>537.72135733258426</v>
      </c>
      <c r="D24" s="21">
        <f t="shared" si="3"/>
        <v>62.256004092538447</v>
      </c>
      <c r="E24" s="21">
        <f t="shared" si="0"/>
        <v>53.756004092538447</v>
      </c>
      <c r="F24" s="21">
        <f t="shared" si="1"/>
        <v>8.5</v>
      </c>
      <c r="G24" s="28">
        <f t="shared" si="2"/>
        <v>537.72135733258426</v>
      </c>
      <c r="H24" s="21">
        <f t="shared" si="4"/>
        <v>19.539401124611977</v>
      </c>
      <c r="I24" s="11"/>
      <c r="J24" s="29">
        <v>17.951044066403327</v>
      </c>
      <c r="K24" s="28"/>
      <c r="L24" s="7"/>
      <c r="M24" s="29"/>
      <c r="N24" s="29"/>
      <c r="O24" s="29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ht="14.4" x14ac:dyDescent="0.3">
      <c r="A25" s="16">
        <f>IF(ISBLANK(B25),"",MAX($A$6:A24)+1)</f>
        <v>17</v>
      </c>
      <c r="B25" s="27" t="s">
        <v>36</v>
      </c>
      <c r="C25" s="6">
        <v>405.51164151555383</v>
      </c>
      <c r="D25" s="21">
        <f t="shared" si="3"/>
        <v>49.038998802309919</v>
      </c>
      <c r="E25" s="21">
        <f t="shared" si="0"/>
        <v>40.538998802309919</v>
      </c>
      <c r="F25" s="21">
        <f t="shared" si="1"/>
        <v>8.5</v>
      </c>
      <c r="G25" s="28">
        <f t="shared" si="2"/>
        <v>405.51164151555383</v>
      </c>
      <c r="H25" s="21">
        <f t="shared" si="4"/>
        <v>14.735242549370327</v>
      </c>
      <c r="I25" s="11"/>
      <c r="J25" s="29">
        <v>22.802519280957966</v>
      </c>
      <c r="K25" s="28"/>
      <c r="L25" s="7"/>
      <c r="M25" s="29"/>
      <c r="N25" s="29"/>
      <c r="O25" s="29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1:29" ht="14.4" x14ac:dyDescent="0.3">
      <c r="A26" s="16">
        <f>IF(ISBLANK(B26),"",MAX($A$6:A25)+1)</f>
        <v>18</v>
      </c>
      <c r="B26" s="27" t="s">
        <v>37</v>
      </c>
      <c r="C26" s="6">
        <v>427.77897043879136</v>
      </c>
      <c r="D26" s="21">
        <f t="shared" si="3"/>
        <v>51.265063674765976</v>
      </c>
      <c r="E26" s="21">
        <f t="shared" si="0"/>
        <v>42.765063674765976</v>
      </c>
      <c r="F26" s="21">
        <f t="shared" si="1"/>
        <v>8.5</v>
      </c>
      <c r="G26" s="28">
        <f t="shared" si="2"/>
        <v>864.75714251629961</v>
      </c>
      <c r="H26" s="21">
        <f t="shared" si="4"/>
        <v>15.544379597530581</v>
      </c>
      <c r="I26" s="11"/>
      <c r="J26" s="29">
        <v>63.727891586716716</v>
      </c>
      <c r="K26" s="28">
        <f>J26-$K$29</f>
        <v>48.470275059791874</v>
      </c>
      <c r="L26" s="7">
        <v>40.179305555555558</v>
      </c>
      <c r="M26" s="29">
        <v>3.25</v>
      </c>
      <c r="N26" s="29">
        <f>K26*$K$30</f>
        <v>1420.1790592519019</v>
      </c>
      <c r="O26" s="29">
        <f>N26/M26</f>
        <v>436.97817207750825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1:29" ht="14.4" x14ac:dyDescent="0.3">
      <c r="A27" s="16">
        <f>IF(ISBLANK(B27),"",MAX($A$6:A26)+1)</f>
        <v>19</v>
      </c>
      <c r="B27" s="27" t="s">
        <v>38</v>
      </c>
      <c r="C27" s="6">
        <v>550.49742468730665</v>
      </c>
      <c r="D27" s="30">
        <f t="shared" si="3"/>
        <v>63.533227545990044</v>
      </c>
      <c r="E27" s="30">
        <f t="shared" si="0"/>
        <v>55.033227545990044</v>
      </c>
      <c r="F27" s="30">
        <f t="shared" si="1"/>
        <v>8.5</v>
      </c>
      <c r="G27" s="31">
        <f t="shared" si="2"/>
        <v>1434.6296334243525</v>
      </c>
      <c r="H27" s="21">
        <f t="shared" si="4"/>
        <v>20.003650315079931</v>
      </c>
      <c r="I27" s="11"/>
      <c r="J27" s="29">
        <v>105.78309865017184</v>
      </c>
      <c r="K27" s="28">
        <f>J27-$K$29</f>
        <v>90.525482123247002</v>
      </c>
      <c r="L27" s="7">
        <v>32.670026881720425</v>
      </c>
      <c r="M27" s="29">
        <v>3</v>
      </c>
      <c r="N27" s="29">
        <f>K27*$K$30</f>
        <v>2652.3966262111371</v>
      </c>
      <c r="O27" s="32">
        <f>N27/M27</f>
        <v>884.13220873704574</v>
      </c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spans="1:29" ht="14.4" x14ac:dyDescent="0.3">
      <c r="A28" s="16" t="str">
        <f>IF(ISBLANK(B28),"",MAX($A$6:A27)+1)</f>
        <v/>
      </c>
      <c r="B28" s="11"/>
      <c r="C28" s="33">
        <f>SUM(C16:C27)</f>
        <v>6455.7394729496973</v>
      </c>
      <c r="D28" s="21">
        <f>SUM(D16:D27)</f>
        <v>747.38027511078133</v>
      </c>
      <c r="E28" s="21">
        <f t="shared" ref="E28:H28" si="5">SUM(E16:E27)</f>
        <v>645.38027511078133</v>
      </c>
      <c r="F28" s="21">
        <f t="shared" si="5"/>
        <v>102</v>
      </c>
      <c r="G28" s="28">
        <f>SUM(G16:G27)</f>
        <v>12383.132750766687</v>
      </c>
      <c r="H28" s="34">
        <f t="shared" si="5"/>
        <v>234.58484844955871</v>
      </c>
      <c r="I28" s="11"/>
      <c r="J28" s="11"/>
      <c r="K28" s="11"/>
      <c r="L28" s="11"/>
      <c r="M28" s="11"/>
      <c r="N28" s="28"/>
      <c r="O28" s="28">
        <f>SUM(O16:O27)</f>
        <v>5927.3932778169901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ht="14.4" x14ac:dyDescent="0.3">
      <c r="A29" s="16" t="str">
        <f>IF(ISBLANK(B29),"",MAX($A$6:A28)+1)</f>
        <v/>
      </c>
      <c r="B29" s="11"/>
      <c r="C29" s="11"/>
      <c r="D29" s="11"/>
      <c r="E29" s="11"/>
      <c r="F29" s="11"/>
      <c r="G29" s="11"/>
      <c r="H29" s="11"/>
      <c r="I29" s="11"/>
      <c r="J29" s="35" t="s">
        <v>39</v>
      </c>
      <c r="K29" s="28">
        <f>AVERAGE(J21:J24)</f>
        <v>15.25761652692484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ht="14.4" x14ac:dyDescent="0.3">
      <c r="A30" s="16">
        <f>IF(ISBLANK(B30),"",MAX($A$6:A29)+1)</f>
        <v>20</v>
      </c>
      <c r="B30" s="19" t="s">
        <v>40</v>
      </c>
      <c r="C30" s="11"/>
      <c r="D30" s="11"/>
      <c r="E30" s="11"/>
      <c r="F30" s="11"/>
      <c r="G30" s="11"/>
      <c r="H30" s="11"/>
      <c r="I30" s="11"/>
      <c r="J30" s="35" t="s">
        <v>41</v>
      </c>
      <c r="K30" s="28">
        <v>29.3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spans="1:29" ht="14.4" x14ac:dyDescent="0.3">
      <c r="A31" s="16">
        <f>IF(ISBLANK(B31),"",MAX($A$6:A30)+1)</f>
        <v>21</v>
      </c>
      <c r="B31" s="36" t="s">
        <v>8</v>
      </c>
      <c r="C31" s="21">
        <f>C10</f>
        <v>8.5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29" ht="14.4" x14ac:dyDescent="0.3">
      <c r="A32" s="16">
        <f>IF(ISBLANK(B32),"",MAX($A$6:A31)+1)</f>
        <v>22</v>
      </c>
      <c r="B32" s="36" t="s">
        <v>42</v>
      </c>
      <c r="C32" s="37">
        <f>C31*12</f>
        <v>102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 ht="14.4" x14ac:dyDescent="0.3">
      <c r="A33" s="16" t="str">
        <f>IF(ISBLANK(B33),"",MAX($A$6:A32)+1)</f>
        <v/>
      </c>
      <c r="B33" s="3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ht="14.4" x14ac:dyDescent="0.3">
      <c r="A34" s="16">
        <f>IF(ISBLANK(B34),"",MAX($A$6:A33)+1)</f>
        <v>23</v>
      </c>
      <c r="B34" s="36" t="s">
        <v>43</v>
      </c>
      <c r="C34" s="21">
        <f>SUM(E16:E19,E26:E27)</f>
        <v>329.08213386777197</v>
      </c>
      <c r="D34" s="11" t="s">
        <v>44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spans="1:29" ht="14.4" x14ac:dyDescent="0.3">
      <c r="A35" s="16">
        <f>IF(ISBLANK(B35),"",MAX($A$6:A34)+1)</f>
        <v>24</v>
      </c>
      <c r="B35" s="36" t="s">
        <v>45</v>
      </c>
      <c r="C35" s="38">
        <f>TRUNC(C34/SUM(G16:G19,G26:G27),5)</f>
        <v>3.569E-2</v>
      </c>
      <c r="D35" s="11" t="str">
        <f>"Line "&amp;A34&amp;" divided by Heat Pump kWh for Nov. through Apr."</f>
        <v>Line 23 divided by Heat Pump kWh for Nov. through Apr.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14.4" x14ac:dyDescent="0.3">
      <c r="A36" s="16" t="str">
        <f>IF(ISBLANK(B36),"",MAX($A$6:A35)+1)</f>
        <v/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29" ht="14.4" x14ac:dyDescent="0.3">
      <c r="A37" s="16">
        <f>IF(ISBLANK(B37),"",MAX($A$6:A36)+1)</f>
        <v>25</v>
      </c>
      <c r="B37" s="11" t="s">
        <v>46</v>
      </c>
      <c r="C37" s="21">
        <f>SUM(H16:H19,H26:H27)</f>
        <v>119.6158071108967</v>
      </c>
      <c r="D37" s="11" t="s">
        <v>44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ht="14.4" x14ac:dyDescent="0.3">
      <c r="A38" s="16">
        <f>IF(ISBLANK(B38),"",MAX($A$6:A37)+1)</f>
        <v>26</v>
      </c>
      <c r="B38" s="11" t="s">
        <v>47</v>
      </c>
      <c r="C38" s="38">
        <f>TRUNC(C37/SUM(G16:G19,G26:G27),5)</f>
        <v>1.2970000000000001E-2</v>
      </c>
      <c r="D38" s="11" t="str">
        <f>"Line "&amp;A37&amp;" divided by Heat Pump kWh for Nov. through Apr."</f>
        <v>Line 25 divided by Heat Pump kWh for Nov. through Apr.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29" ht="14.4" x14ac:dyDescent="0.3">
      <c r="A39" s="16" t="str">
        <f>IF(ISBLANK(B39),"",MAX($A$6:A38)+1)</f>
        <v/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spans="1:29" ht="14.4" x14ac:dyDescent="0.3">
      <c r="A40" s="16">
        <f>IF(ISBLANK(B40),"",MAX($A$6:A39)+1)</f>
        <v>27</v>
      </c>
      <c r="B40" s="19" t="s">
        <v>48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spans="1:29" ht="14.4" x14ac:dyDescent="0.3">
      <c r="A41" s="16">
        <f>IF(ISBLANK(B41),"",MAX($A$6:A40)+1)</f>
        <v>28</v>
      </c>
      <c r="B41" s="19" t="s">
        <v>49</v>
      </c>
      <c r="C41" s="39" t="s">
        <v>7</v>
      </c>
      <c r="D41" s="11"/>
      <c r="E41" s="11"/>
      <c r="F41" s="3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29" ht="14.4" x14ac:dyDescent="0.3">
      <c r="A42" s="16">
        <f>IF(ISBLANK(B42),"",MAX($A$6:A41)+1)</f>
        <v>29</v>
      </c>
      <c r="B42" s="20" t="s">
        <v>8</v>
      </c>
      <c r="C42" s="21">
        <f>C31</f>
        <v>8.5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spans="1:29" ht="14.4" x14ac:dyDescent="0.3">
      <c r="A43" s="16">
        <f>IF(ISBLANK(B43),"",MAX($A$6:A42)+1)</f>
        <v>30</v>
      </c>
      <c r="B43" s="20" t="s">
        <v>50</v>
      </c>
      <c r="C43" s="22">
        <f>C35</f>
        <v>3.569E-2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spans="1:29" ht="14.4" x14ac:dyDescent="0.3">
      <c r="A44" s="16">
        <f>IF(ISBLANK(B44),"",MAX($A$6:A43)+1)</f>
        <v>31</v>
      </c>
      <c r="B44" s="20" t="s">
        <v>51</v>
      </c>
      <c r="C44" s="22">
        <f>C11</f>
        <v>9.9970000000000003E-2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29" ht="28.8" x14ac:dyDescent="0.3">
      <c r="A45" s="16">
        <f>IF(ISBLANK(B45),"",MAX($A$6:A44)+1)</f>
        <v>32</v>
      </c>
      <c r="B45" s="20" t="s">
        <v>10</v>
      </c>
      <c r="C45" s="11"/>
      <c r="D45" s="23" t="str">
        <f>D12</f>
        <v>Internal Transmission</v>
      </c>
      <c r="E45" s="23" t="str">
        <f t="shared" ref="E45" si="6">E12</f>
        <v>External Transmission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11"/>
      <c r="X45" s="11"/>
      <c r="Y45" s="11"/>
      <c r="Z45" s="11"/>
      <c r="AA45" s="11"/>
      <c r="AB45" s="11"/>
      <c r="AC45" s="11"/>
    </row>
    <row r="46" spans="1:29" ht="14.4" x14ac:dyDescent="0.3">
      <c r="A46" s="16">
        <f>IF(ISBLANK(B46),"",MAX($A$6:A45)+1)</f>
        <v>33</v>
      </c>
      <c r="B46" s="20" t="s">
        <v>52</v>
      </c>
      <c r="C46" s="22">
        <f>C38</f>
        <v>1.2970000000000001E-2</v>
      </c>
      <c r="D46" s="22">
        <f>$C$46/$C$47*D47</f>
        <v>2.1610839935582468E-3</v>
      </c>
      <c r="E46" s="22">
        <f t="shared" ref="E46" si="7">$C$46/$C$47*E47</f>
        <v>1.0808916006441755E-2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11"/>
      <c r="X46" s="11" t="b">
        <f>SUM(D46:V46)=C46</f>
        <v>1</v>
      </c>
      <c r="Y46" s="11"/>
      <c r="Z46" s="11"/>
      <c r="AA46" s="11"/>
      <c r="AB46" s="11"/>
      <c r="AC46" s="11"/>
    </row>
    <row r="47" spans="1:29" ht="14.4" x14ac:dyDescent="0.3">
      <c r="A47" s="16">
        <f>IF(ISBLANK(B47),"",MAX($A$6:A46)+1)</f>
        <v>34</v>
      </c>
      <c r="B47" s="20" t="s">
        <v>53</v>
      </c>
      <c r="C47" s="22">
        <f>C13</f>
        <v>3.6337409437369114E-2</v>
      </c>
      <c r="D47" s="22">
        <f>D13</f>
        <v>6.0546024597124722E-3</v>
      </c>
      <c r="E47" s="22">
        <f t="shared" ref="E47" si="8">E13</f>
        <v>3.0282806977656646E-2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11"/>
      <c r="X47" s="11" t="b">
        <f>SUM(D47:V47)=C47</f>
        <v>1</v>
      </c>
      <c r="Y47" s="11"/>
      <c r="Z47" s="11"/>
      <c r="AA47" s="11"/>
      <c r="AB47" s="11"/>
      <c r="AC47" s="11"/>
    </row>
    <row r="48" spans="1:29" ht="14.4" x14ac:dyDescent="0.3">
      <c r="A48" s="16" t="str">
        <f>IF(ISBLANK(B48),"",MAX($A$6:A47)+1)</f>
        <v/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spans="1:29" ht="14.4" x14ac:dyDescent="0.3">
      <c r="A49" s="16" t="str">
        <f>IF(ISBLANK(B49),"",MAX($A$6:A48)+1)</f>
        <v/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1:29" ht="14.4" x14ac:dyDescent="0.3">
      <c r="A50" s="16">
        <f>IF(ISBLANK(E50),"",MAX($A$6:A49)+1)</f>
        <v>35</v>
      </c>
      <c r="B50" s="2" t="s">
        <v>57</v>
      </c>
      <c r="C50" s="9"/>
      <c r="D50" s="1"/>
      <c r="E50" s="26" t="s">
        <v>54</v>
      </c>
      <c r="F50" s="26" t="s">
        <v>55</v>
      </c>
      <c r="G50" s="26" t="s">
        <v>56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spans="1:29" ht="14.4" x14ac:dyDescent="0.3">
      <c r="A51" s="16">
        <f>IF(ISBLANK(E51),"",MAX($A$6:A50)+1)</f>
        <v>36</v>
      </c>
      <c r="B51" s="1"/>
      <c r="C51" s="8"/>
      <c r="D51" s="1" t="s">
        <v>27</v>
      </c>
      <c r="E51" s="21">
        <f>$C$10+($C$11+$C$13)*C16</f>
        <v>101.80117777521951</v>
      </c>
      <c r="F51" s="21">
        <f>$C$42+($C$43+$C$46)*G16</f>
        <v>112.48825082555692</v>
      </c>
      <c r="G51" s="40">
        <f t="shared" ref="G51:G62" si="9">F51-E51</f>
        <v>10.687073050337403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spans="1:29" ht="14.4" x14ac:dyDescent="0.3">
      <c r="A52" s="16">
        <f>IF(ISBLANK(E52),"",MAX($A$6:A51)+1)</f>
        <v>37</v>
      </c>
      <c r="B52" s="1"/>
      <c r="C52" s="8"/>
      <c r="D52" s="1" t="s">
        <v>28</v>
      </c>
      <c r="E52" s="21">
        <f t="shared" ref="E52:E62" si="10">$C$10+($C$11+$C$13)*C17</f>
        <v>94.987059137165858</v>
      </c>
      <c r="F52" s="21">
        <f>$C$42+($C$43+$C$46)*G17</f>
        <v>106.78614320702788</v>
      </c>
      <c r="G52" s="40">
        <f t="shared" si="9"/>
        <v>11.799084069862019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spans="1:29" ht="14.4" x14ac:dyDescent="0.3">
      <c r="A53" s="16">
        <f>IF(ISBLANK(E53),"",MAX($A$6:A52)+1)</f>
        <v>38</v>
      </c>
      <c r="B53" s="1"/>
      <c r="C53" s="8"/>
      <c r="D53" s="1" t="s">
        <v>29</v>
      </c>
      <c r="E53" s="21">
        <f t="shared" si="10"/>
        <v>83.819884716836611</v>
      </c>
      <c r="F53" s="21">
        <f>$C$42+($C$43+$C$46)*G18</f>
        <v>87.950270464677487</v>
      </c>
      <c r="G53" s="40">
        <f t="shared" si="9"/>
        <v>4.1303857478408759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spans="1:29" ht="14.4" x14ac:dyDescent="0.3">
      <c r="A54" s="16">
        <f>IF(ISBLANK(E54),"",MAX($A$6:A53)+1)</f>
        <v>39</v>
      </c>
      <c r="B54" s="1"/>
      <c r="C54" s="1"/>
      <c r="D54" s="1" t="s">
        <v>30</v>
      </c>
      <c r="E54" s="21">
        <f t="shared" si="10"/>
        <v>68.743498216080184</v>
      </c>
      <c r="F54" s="21">
        <f>$C$42+($C$43+$C$46)*G19</f>
        <v>63.493552050148033</v>
      </c>
      <c r="G54" s="40">
        <f t="shared" si="9"/>
        <v>-5.2499461659321511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spans="1:29" ht="14.4" x14ac:dyDescent="0.3">
      <c r="A55" s="16">
        <f>IF(ISBLANK(E55),"",MAX($A$6:A54)+1)</f>
        <v>40</v>
      </c>
      <c r="B55" s="1"/>
      <c r="C55" s="3"/>
      <c r="D55" s="1" t="s">
        <v>31</v>
      </c>
      <c r="E55" s="21">
        <f t="shared" si="10"/>
        <v>67.768993510442101</v>
      </c>
      <c r="F55" s="21">
        <f t="shared" ref="F55:F60" si="11">$C$42+($C$44+$C$47)*G20</f>
        <v>67.768993510442101</v>
      </c>
      <c r="G55" s="40">
        <f t="shared" si="9"/>
        <v>0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spans="1:29" ht="14.4" x14ac:dyDescent="0.3">
      <c r="A56" s="16">
        <f>IF(ISBLANK(E56),"",MAX($A$6:A55)+1)</f>
        <v>41</v>
      </c>
      <c r="B56" s="1"/>
      <c r="C56" s="1"/>
      <c r="D56" s="1" t="s">
        <v>32</v>
      </c>
      <c r="E56" s="21">
        <f t="shared" si="10"/>
        <v>72.876629556675567</v>
      </c>
      <c r="F56" s="21">
        <f t="shared" si="11"/>
        <v>72.876629556675567</v>
      </c>
      <c r="G56" s="40">
        <f t="shared" si="9"/>
        <v>0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spans="1:29" ht="14.4" x14ac:dyDescent="0.3">
      <c r="A57" s="16">
        <f>IF(ISBLANK(E57),"",MAX($A$6:A56)+1)</f>
        <v>42</v>
      </c>
      <c r="B57" s="1"/>
      <c r="C57" s="1"/>
      <c r="D57" s="1" t="s">
        <v>33</v>
      </c>
      <c r="E57" s="21">
        <f t="shared" si="10"/>
        <v>89.770328981550065</v>
      </c>
      <c r="F57" s="21">
        <f t="shared" si="11"/>
        <v>89.770328981550065</v>
      </c>
      <c r="G57" s="40">
        <f t="shared" si="9"/>
        <v>0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spans="1:29" ht="14.4" x14ac:dyDescent="0.3">
      <c r="A58" s="16">
        <f>IF(ISBLANK(E58),"",MAX($A$6:A57)+1)</f>
        <v>43</v>
      </c>
      <c r="B58" s="1"/>
      <c r="C58" s="1"/>
      <c r="D58" s="1" t="s">
        <v>34</v>
      </c>
      <c r="E58" s="21">
        <f t="shared" si="10"/>
        <v>106.28158396417302</v>
      </c>
      <c r="F58" s="21">
        <f t="shared" si="11"/>
        <v>106.28158396417302</v>
      </c>
      <c r="G58" s="40">
        <f t="shared" si="9"/>
        <v>0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spans="1:29" ht="14.4" x14ac:dyDescent="0.3">
      <c r="A59" s="16">
        <f>IF(ISBLANK(E59),"",MAX($A$6:A58)+1)</f>
        <v>44</v>
      </c>
      <c r="B59" s="1"/>
      <c r="C59" s="1"/>
      <c r="D59" s="1" t="s">
        <v>35</v>
      </c>
      <c r="E59" s="21">
        <f t="shared" si="10"/>
        <v>81.795405217150432</v>
      </c>
      <c r="F59" s="21">
        <f t="shared" si="11"/>
        <v>81.795405217150432</v>
      </c>
      <c r="G59" s="40">
        <f t="shared" si="9"/>
        <v>0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spans="1:29" ht="14.4" x14ac:dyDescent="0.3">
      <c r="A60" s="16">
        <f>IF(ISBLANK(E60),"",MAX($A$6:A59)+1)</f>
        <v>45</v>
      </c>
      <c r="B60" s="1"/>
      <c r="C60" s="1"/>
      <c r="D60" s="1" t="s">
        <v>36</v>
      </c>
      <c r="E60" s="21">
        <f t="shared" si="10"/>
        <v>63.774241351680253</v>
      </c>
      <c r="F60" s="21">
        <f t="shared" si="11"/>
        <v>63.774241351680253</v>
      </c>
      <c r="G60" s="40">
        <f t="shared" si="9"/>
        <v>0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spans="1:29" ht="14.4" x14ac:dyDescent="0.3">
      <c r="A61" s="16">
        <f>IF(ISBLANK(E61),"",MAX($A$6:A60)+1)</f>
        <v>46</v>
      </c>
      <c r="B61" s="1"/>
      <c r="C61" s="1"/>
      <c r="D61" s="1" t="s">
        <v>37</v>
      </c>
      <c r="E61" s="21">
        <f t="shared" si="10"/>
        <v>66.809443272296562</v>
      </c>
      <c r="F61" s="21">
        <f>$C$42+($C$43+$C$46)*G26</f>
        <v>50.57908255484314</v>
      </c>
      <c r="G61" s="40">
        <f t="shared" si="9"/>
        <v>-16.230360717453422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spans="1:29" ht="14.4" x14ac:dyDescent="0.3">
      <c r="A62" s="16">
        <f>IF(ISBLANK(E62),"",MAX($A$6:A61)+1)</f>
        <v>47</v>
      </c>
      <c r="B62" s="1"/>
      <c r="C62" s="1"/>
      <c r="D62" s="1" t="s">
        <v>38</v>
      </c>
      <c r="E62" s="21">
        <f t="shared" si="10"/>
        <v>83.536877861069982</v>
      </c>
      <c r="F62" s="21">
        <f>$C$42+($C$43+$C$46)*G27</f>
        <v>78.309077962429001</v>
      </c>
      <c r="G62" s="41">
        <f t="shared" si="9"/>
        <v>-5.2277998986409813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spans="1:29" ht="14.4" x14ac:dyDescent="0.3">
      <c r="A63" s="16">
        <f>IF(ISBLANK(E63),"",MAX($A$6:A62)+1)</f>
        <v>48</v>
      </c>
      <c r="B63" s="11"/>
      <c r="C63" s="11"/>
      <c r="D63" s="11"/>
      <c r="E63" s="34">
        <f>SUM(E51:E62)</f>
        <v>981.9651235603402</v>
      </c>
      <c r="F63" s="34">
        <f>SUM(F51:F62)</f>
        <v>981.8735596463539</v>
      </c>
      <c r="G63" s="40">
        <f>SUM(G51:G62)</f>
        <v>-9.1563913986256296E-2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spans="1:29" ht="13.05" customHeight="1" x14ac:dyDescent="0.3">
      <c r="A64" s="16" t="str">
        <f>IF(ISBLANK(E64),"",MAX($A$6:A63)+1)</f>
        <v/>
      </c>
    </row>
  </sheetData>
  <pageMargins left="0.7" right="0.7" top="0.75" bottom="0.75" header="0.3" footer="0.3"/>
  <pageSetup scale="85" orientation="portrait" horizontalDpi="1200" verticalDpi="1200" r:id="rId1"/>
  <headerFooter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1FC13D8496949BFCCB7FF1ED14DC9" ma:contentTypeVersion="18" ma:contentTypeDescription="Create a new document." ma:contentTypeScope="" ma:versionID="df47c0aabbbd43a91e3c32749c767843">
  <xsd:schema xmlns:xsd="http://www.w3.org/2001/XMLSchema" xmlns:xs="http://www.w3.org/2001/XMLSchema" xmlns:p="http://schemas.microsoft.com/office/2006/metadata/properties" xmlns:ns2="b2b8eca7-947c-4ce3-b27a-ae65d5bd536c" xmlns:ns3="717ccf4b-b59a-4600-8941-e3113e3338db" targetNamespace="http://schemas.microsoft.com/office/2006/metadata/properties" ma:root="true" ma:fieldsID="1225f534d72ed9fb1082cc002dfec3fe" ns2:_="" ns3:_="">
    <xsd:import namespace="b2b8eca7-947c-4ce3-b27a-ae65d5bd536c"/>
    <xsd:import namespace="717ccf4b-b59a-4600-8941-e3113e3338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8eca7-947c-4ce3-b27a-ae65d5bd5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41da8db-2bdd-4807-9008-293542b601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ccf4b-b59a-4600-8941-e3113e3338d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745b0d3-7a31-48fd-a0a2-8593cd3d1d11}" ma:internalName="TaxCatchAll" ma:showField="CatchAllData" ma:web="717ccf4b-b59a-4600-8941-e3113e333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b8eca7-947c-4ce3-b27a-ae65d5bd536c">
      <Terms xmlns="http://schemas.microsoft.com/office/infopath/2007/PartnerControls"/>
    </lcf76f155ced4ddcb4097134ff3c332f>
    <TaxCatchAll xmlns="717ccf4b-b59a-4600-8941-e3113e3338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519B73-C0C0-4DFD-A6BC-67727D5998F8}"/>
</file>

<file path=customXml/itemProps2.xml><?xml version="1.0" encoding="utf-8"?>
<ds:datastoreItem xmlns:ds="http://schemas.openxmlformats.org/officeDocument/2006/customXml" ds:itemID="{4916363B-F902-4F1A-BE03-76F2DED5F126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79eaea71-09fe-4467-9f96-5226d6d4c6ef"/>
    <ds:schemaRef ds:uri="a85d746a-3823-4c81-a9c2-48b12b86714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54246CA-BFC5-4265-97E1-4FE93344D5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Heat Pump Rate w Transmission</vt:lpstr>
      <vt:lpstr>'Heat Pump Rate w Transmission'!Print_Area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Macias</dc:creator>
  <cp:lastModifiedBy>Asbury, Karen</cp:lastModifiedBy>
  <dcterms:created xsi:type="dcterms:W3CDTF">2024-02-08T03:24:31Z</dcterms:created>
  <dcterms:modified xsi:type="dcterms:W3CDTF">2024-02-09T21:27:25Z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0x010100BAC1FC13D8496949BFCCB7FF1ED14DC9</vt:lpwstr>
  </property>
</Properties>
</file>