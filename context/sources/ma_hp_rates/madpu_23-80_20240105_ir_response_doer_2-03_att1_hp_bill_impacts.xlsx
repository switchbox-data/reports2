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bury\Documents\Data\0_To Do\"/>
    </mc:Choice>
  </mc:AlternateContent>
  <xr:revisionPtr revIDLastSave="0" documentId="8_{DCF26100-9E48-470E-91A6-26B2345C92CF}" xr6:coauthVersionLast="36" xr6:coauthVersionMax="36" xr10:uidLastSave="{00000000-0000-0000-0000-000000000000}"/>
  <bookViews>
    <workbookView xWindow="0" yWindow="0" windowWidth="23040" windowHeight="8484" activeTab="3" xr2:uid="{5B47B6E7-EC5C-4ECE-B646-BD5B30B44CB6}"/>
  </bookViews>
  <sheets>
    <sheet name="P1. RD-1 to HP-RES" sheetId="9" r:id="rId1"/>
    <sheet name="P2. RD-2 to HP-RES" sheetId="10" r:id="rId2"/>
    <sheet name="P3. R3 with HP-RES" sheetId="7" r:id="rId3"/>
    <sheet name="P4. R4 with HP-RES" sheetId="8" r:id="rId4"/>
  </sheets>
  <definedNames>
    <definedName name="\\" hidden="1">#REF!</definedName>
    <definedName name="\\\" hidden="1">#REF!</definedName>
    <definedName name="\\\\" hidden="1">#REF!</definedName>
    <definedName name="_" hidden="1">#REF!</definedName>
    <definedName name="____________________________________Key2" hidden="1">#REF!</definedName>
    <definedName name="___________________________________Key2" hidden="1">#REF!</definedName>
    <definedName name="__________________________________Key2" hidden="1">#REF!</definedName>
    <definedName name="_________________________________Key2" hidden="1">#REF!</definedName>
    <definedName name="________________________________Key2" hidden="1">#REF!</definedName>
    <definedName name="_______________________________Key2" hidden="1">#REF!</definedName>
    <definedName name="______________________________Key2" hidden="1">#REF!</definedName>
    <definedName name="_____________________________Key2" hidden="1">#REF!</definedName>
    <definedName name="____________________________Key2" hidden="1">#REF!</definedName>
    <definedName name="___________________________Key2" hidden="1">#REF!</definedName>
    <definedName name="__________________________Key2" hidden="1">#REF!</definedName>
    <definedName name="_________________________Key2" hidden="1">#REF!</definedName>
    <definedName name="________________________Key2" hidden="1">#REF!</definedName>
    <definedName name="_______________________Key2" hidden="1">#REF!</definedName>
    <definedName name="______________________Key2" hidden="1">#REF!</definedName>
    <definedName name="_____________________Key2" hidden="1">#REF!</definedName>
    <definedName name="____________________Key2" hidden="1">#REF!</definedName>
    <definedName name="___________________Key2" hidden="1">#REF!</definedName>
    <definedName name="__________________Key2" hidden="1">#REF!</definedName>
    <definedName name="__________________six6" localSheetId="2" hidden="1">{#N/A,#N/A,FALSE,"CRPT";#N/A,#N/A,FALSE,"TREND";#N/A,#N/A,FALSE,"%Curve"}</definedName>
    <definedName name="__________________six6" localSheetId="3" hidden="1">{#N/A,#N/A,FALSE,"CRPT";#N/A,#N/A,FALSE,"TREND";#N/A,#N/A,FALSE,"%Curve"}</definedName>
    <definedName name="__________________six6" hidden="1">{#N/A,#N/A,FALSE,"CRPT";#N/A,#N/A,FALSE,"TREND";#N/A,#N/A,FALSE,"%Curve"}</definedName>
    <definedName name="__________________www1" localSheetId="2" hidden="1">{#N/A,#N/A,FALSE,"schA"}</definedName>
    <definedName name="__________________www1" localSheetId="3" hidden="1">{#N/A,#N/A,FALSE,"schA"}</definedName>
    <definedName name="__________________www1" hidden="1">{#N/A,#N/A,FALSE,"schA"}</definedName>
    <definedName name="_________________Key2" hidden="1">#REF!</definedName>
    <definedName name="_________________six6" localSheetId="2" hidden="1">{#N/A,#N/A,FALSE,"CRPT";#N/A,#N/A,FALSE,"TREND";#N/A,#N/A,FALSE,"%Curve"}</definedName>
    <definedName name="_________________six6" localSheetId="3" hidden="1">{#N/A,#N/A,FALSE,"CRPT";#N/A,#N/A,FALSE,"TREND";#N/A,#N/A,FALSE,"%Curve"}</definedName>
    <definedName name="_________________six6" hidden="1">{#N/A,#N/A,FALSE,"CRPT";#N/A,#N/A,FALSE,"TREND";#N/A,#N/A,FALSE,"%Curve"}</definedName>
    <definedName name="_________________www1" localSheetId="2" hidden="1">{#N/A,#N/A,FALSE,"schA"}</definedName>
    <definedName name="_________________www1" localSheetId="3" hidden="1">{#N/A,#N/A,FALSE,"schA"}</definedName>
    <definedName name="_________________www1" hidden="1">{#N/A,#N/A,FALSE,"schA"}</definedName>
    <definedName name="________________Key2" hidden="1">#REF!</definedName>
    <definedName name="________________six6" localSheetId="2" hidden="1">{#N/A,#N/A,FALSE,"CRPT";#N/A,#N/A,FALSE,"TREND";#N/A,#N/A,FALSE,"%Curve"}</definedName>
    <definedName name="________________six6" localSheetId="3" hidden="1">{#N/A,#N/A,FALSE,"CRPT";#N/A,#N/A,FALSE,"TREND";#N/A,#N/A,FALSE,"%Curve"}</definedName>
    <definedName name="________________six6" hidden="1">{#N/A,#N/A,FALSE,"CRPT";#N/A,#N/A,FALSE,"TREND";#N/A,#N/A,FALSE,"%Curve"}</definedName>
    <definedName name="________________www1" localSheetId="2" hidden="1">{#N/A,#N/A,FALSE,"schA"}</definedName>
    <definedName name="________________www1" localSheetId="3" hidden="1">{#N/A,#N/A,FALSE,"schA"}</definedName>
    <definedName name="________________www1" hidden="1">{#N/A,#N/A,FALSE,"schA"}</definedName>
    <definedName name="_______________Key2" hidden="1">#REF!</definedName>
    <definedName name="_______________six6" localSheetId="2" hidden="1">{#N/A,#N/A,FALSE,"CRPT";#N/A,#N/A,FALSE,"TREND";#N/A,#N/A,FALSE,"%Curve"}</definedName>
    <definedName name="_______________six6" localSheetId="3" hidden="1">{#N/A,#N/A,FALSE,"CRPT";#N/A,#N/A,FALSE,"TREND";#N/A,#N/A,FALSE,"%Curve"}</definedName>
    <definedName name="_______________six6" hidden="1">{#N/A,#N/A,FALSE,"CRPT";#N/A,#N/A,FALSE,"TREND";#N/A,#N/A,FALSE,"%Curve"}</definedName>
    <definedName name="_______________www1" localSheetId="2" hidden="1">{#N/A,#N/A,FALSE,"schA"}</definedName>
    <definedName name="_______________www1" localSheetId="3" hidden="1">{#N/A,#N/A,FALSE,"schA"}</definedName>
    <definedName name="_______________www1" hidden="1">{#N/A,#N/A,FALSE,"schA"}</definedName>
    <definedName name="______________Key2" hidden="1">#REF!</definedName>
    <definedName name="______________six6" localSheetId="2" hidden="1">{#N/A,#N/A,FALSE,"CRPT";#N/A,#N/A,FALSE,"TREND";#N/A,#N/A,FALSE,"%Curve"}</definedName>
    <definedName name="______________six6" localSheetId="3" hidden="1">{#N/A,#N/A,FALSE,"CRPT";#N/A,#N/A,FALSE,"TREND";#N/A,#N/A,FALSE,"%Curve"}</definedName>
    <definedName name="______________six6" hidden="1">{#N/A,#N/A,FALSE,"CRPT";#N/A,#N/A,FALSE,"TREND";#N/A,#N/A,FALSE,"%Curve"}</definedName>
    <definedName name="______________www1" localSheetId="2" hidden="1">{#N/A,#N/A,FALSE,"schA"}</definedName>
    <definedName name="______________www1" localSheetId="3" hidden="1">{#N/A,#N/A,FALSE,"schA"}</definedName>
    <definedName name="______________www1" hidden="1">{#N/A,#N/A,FALSE,"schA"}</definedName>
    <definedName name="_____________Key2" hidden="1">#REF!</definedName>
    <definedName name="_____________six6" localSheetId="2" hidden="1">{#N/A,#N/A,FALSE,"CRPT";#N/A,#N/A,FALSE,"TREND";#N/A,#N/A,FALSE,"%Curve"}</definedName>
    <definedName name="_____________six6" localSheetId="3" hidden="1">{#N/A,#N/A,FALSE,"CRPT";#N/A,#N/A,FALSE,"TREND";#N/A,#N/A,FALSE,"%Curve"}</definedName>
    <definedName name="_____________six6" hidden="1">{#N/A,#N/A,FALSE,"CRPT";#N/A,#N/A,FALSE,"TREND";#N/A,#N/A,FALSE,"%Curve"}</definedName>
    <definedName name="_____________www1" localSheetId="2" hidden="1">{#N/A,#N/A,FALSE,"schA"}</definedName>
    <definedName name="_____________www1" localSheetId="3" hidden="1">{#N/A,#N/A,FALSE,"schA"}</definedName>
    <definedName name="_____________www1" hidden="1">{#N/A,#N/A,FALSE,"schA"}</definedName>
    <definedName name="____________Key2" hidden="1">#REF!</definedName>
    <definedName name="____________six6" localSheetId="2" hidden="1">{#N/A,#N/A,FALSE,"CRPT";#N/A,#N/A,FALSE,"TREND";#N/A,#N/A,FALSE,"%Curve"}</definedName>
    <definedName name="____________six6" localSheetId="3" hidden="1">{#N/A,#N/A,FALSE,"CRPT";#N/A,#N/A,FALSE,"TREND";#N/A,#N/A,FALSE,"%Curve"}</definedName>
    <definedName name="____________six6" hidden="1">{#N/A,#N/A,FALSE,"CRPT";#N/A,#N/A,FALSE,"TREND";#N/A,#N/A,FALSE,"%Curve"}</definedName>
    <definedName name="____________www1" localSheetId="2" hidden="1">{#N/A,#N/A,FALSE,"schA"}</definedName>
    <definedName name="____________www1" localSheetId="3" hidden="1">{#N/A,#N/A,FALSE,"schA"}</definedName>
    <definedName name="____________www1" hidden="1">{#N/A,#N/A,FALSE,"schA"}</definedName>
    <definedName name="___________Key2" hidden="1">#REF!</definedName>
    <definedName name="___________six6" localSheetId="2" hidden="1">{#N/A,#N/A,FALSE,"CRPT";#N/A,#N/A,FALSE,"TREND";#N/A,#N/A,FALSE,"%Curve"}</definedName>
    <definedName name="___________six6" localSheetId="3" hidden="1">{#N/A,#N/A,FALSE,"CRPT";#N/A,#N/A,FALSE,"TREND";#N/A,#N/A,FALSE,"%Curve"}</definedName>
    <definedName name="___________six6" hidden="1">{#N/A,#N/A,FALSE,"CRPT";#N/A,#N/A,FALSE,"TREND";#N/A,#N/A,FALSE,"%Curve"}</definedName>
    <definedName name="___________www1" localSheetId="2" hidden="1">{#N/A,#N/A,FALSE,"schA"}</definedName>
    <definedName name="___________www1" localSheetId="3" hidden="1">{#N/A,#N/A,FALSE,"schA"}</definedName>
    <definedName name="___________www1" hidden="1">{#N/A,#N/A,FALSE,"schA"}</definedName>
    <definedName name="__________Key2" hidden="1">#REF!</definedName>
    <definedName name="__________six6" localSheetId="2" hidden="1">{#N/A,#N/A,FALSE,"CRPT";#N/A,#N/A,FALSE,"TREND";#N/A,#N/A,FALSE,"%Curve"}</definedName>
    <definedName name="__________six6" localSheetId="3" hidden="1">{#N/A,#N/A,FALSE,"CRPT";#N/A,#N/A,FALSE,"TREND";#N/A,#N/A,FALSE,"%Curve"}</definedName>
    <definedName name="__________six6" hidden="1">{#N/A,#N/A,FALSE,"CRPT";#N/A,#N/A,FALSE,"TREND";#N/A,#N/A,FALSE,"%Curve"}</definedName>
    <definedName name="__________www1" localSheetId="2" hidden="1">{#N/A,#N/A,FALSE,"schA"}</definedName>
    <definedName name="__________www1" localSheetId="3" hidden="1">{#N/A,#N/A,FALSE,"schA"}</definedName>
    <definedName name="__________www1" hidden="1">{#N/A,#N/A,FALSE,"schA"}</definedName>
    <definedName name="_________Key2" hidden="1">#REF!</definedName>
    <definedName name="_________six6" localSheetId="2" hidden="1">{#N/A,#N/A,FALSE,"CRPT";#N/A,#N/A,FALSE,"TREND";#N/A,#N/A,FALSE,"%Curve"}</definedName>
    <definedName name="_________six6" localSheetId="3" hidden="1">{#N/A,#N/A,FALSE,"CRPT";#N/A,#N/A,FALSE,"TREND";#N/A,#N/A,FALSE,"%Curve"}</definedName>
    <definedName name="_________six6" hidden="1">{#N/A,#N/A,FALSE,"CRPT";#N/A,#N/A,FALSE,"TREND";#N/A,#N/A,FALSE,"%Curve"}</definedName>
    <definedName name="_________www1" localSheetId="2" hidden="1">{#N/A,#N/A,FALSE,"schA"}</definedName>
    <definedName name="_________www1" localSheetId="3" hidden="1">{#N/A,#N/A,FALSE,"schA"}</definedName>
    <definedName name="_________www1" hidden="1">{#N/A,#N/A,FALSE,"schA"}</definedName>
    <definedName name="________Key2" hidden="1">#REF!</definedName>
    <definedName name="________six6" localSheetId="2" hidden="1">{#N/A,#N/A,FALSE,"CRPT";#N/A,#N/A,FALSE,"TREND";#N/A,#N/A,FALSE,"%Curve"}</definedName>
    <definedName name="________six6" localSheetId="3" hidden="1">{#N/A,#N/A,FALSE,"CRPT";#N/A,#N/A,FALSE,"TREND";#N/A,#N/A,FALSE,"%Curve"}</definedName>
    <definedName name="________six6" hidden="1">{#N/A,#N/A,FALSE,"CRPT";#N/A,#N/A,FALSE,"TREND";#N/A,#N/A,FALSE,"%Curve"}</definedName>
    <definedName name="________www1" localSheetId="2" hidden="1">{#N/A,#N/A,FALSE,"schA"}</definedName>
    <definedName name="________www1" localSheetId="3" hidden="1">{#N/A,#N/A,FALSE,"schA"}</definedName>
    <definedName name="________www1" hidden="1">{#N/A,#N/A,FALSE,"schA"}</definedName>
    <definedName name="_______Key2" hidden="1">#REF!</definedName>
    <definedName name="_______six6" localSheetId="2" hidden="1">{#N/A,#N/A,FALSE,"CRPT";#N/A,#N/A,FALSE,"TREND";#N/A,#N/A,FALSE,"%Curve"}</definedName>
    <definedName name="_______six6" localSheetId="3" hidden="1">{#N/A,#N/A,FALSE,"CRPT";#N/A,#N/A,FALSE,"TREND";#N/A,#N/A,FALSE,"%Curve"}</definedName>
    <definedName name="_______six6" hidden="1">{#N/A,#N/A,FALSE,"CRPT";#N/A,#N/A,FALSE,"TREND";#N/A,#N/A,FALSE,"%Curve"}</definedName>
    <definedName name="_______www1" localSheetId="2" hidden="1">{#N/A,#N/A,FALSE,"schA"}</definedName>
    <definedName name="_______www1" localSheetId="3" hidden="1">{#N/A,#N/A,FALSE,"schA"}</definedName>
    <definedName name="_______www1" hidden="1">{#N/A,#N/A,FALSE,"schA"}</definedName>
    <definedName name="______Key2" hidden="1">#REF!</definedName>
    <definedName name="______six6" localSheetId="2" hidden="1">{#N/A,#N/A,FALSE,"CRPT";#N/A,#N/A,FALSE,"TREND";#N/A,#N/A,FALSE,"%Curve"}</definedName>
    <definedName name="______six6" localSheetId="3" hidden="1">{#N/A,#N/A,FALSE,"CRPT";#N/A,#N/A,FALSE,"TREND";#N/A,#N/A,FALSE,"%Curve"}</definedName>
    <definedName name="______six6" hidden="1">{#N/A,#N/A,FALSE,"CRPT";#N/A,#N/A,FALSE,"TREND";#N/A,#N/A,FALSE,"%Curve"}</definedName>
    <definedName name="______www1" localSheetId="2" hidden="1">{#N/A,#N/A,FALSE,"schA"}</definedName>
    <definedName name="______www1" localSheetId="3" hidden="1">{#N/A,#N/A,FALSE,"schA"}</definedName>
    <definedName name="______www1" hidden="1">{#N/A,#N/A,FALSE,"schA"}</definedName>
    <definedName name="_____Key2" hidden="1">#REF!</definedName>
    <definedName name="_____six6" localSheetId="2" hidden="1">{#N/A,#N/A,FALSE,"CRPT";#N/A,#N/A,FALSE,"TREND";#N/A,#N/A,FALSE,"%Curve"}</definedName>
    <definedName name="_____six6" localSheetId="3" hidden="1">{#N/A,#N/A,FALSE,"CRPT";#N/A,#N/A,FALSE,"TREND";#N/A,#N/A,FALSE,"%Curve"}</definedName>
    <definedName name="_____six6" hidden="1">{#N/A,#N/A,FALSE,"CRPT";#N/A,#N/A,FALSE,"TREND";#N/A,#N/A,FALSE,"%Curve"}</definedName>
    <definedName name="_____www1" localSheetId="2" hidden="1">{#N/A,#N/A,FALSE,"schA"}</definedName>
    <definedName name="_____www1" localSheetId="3" hidden="1">{#N/A,#N/A,FALSE,"schA"}</definedName>
    <definedName name="_____www1" hidden="1">{#N/A,#N/A,FALSE,"schA"}</definedName>
    <definedName name="____Key2" hidden="1">#REF!</definedName>
    <definedName name="____six6" localSheetId="2" hidden="1">{#N/A,#N/A,FALSE,"CRPT";#N/A,#N/A,FALSE,"TREND";#N/A,#N/A,FALSE,"%Curve"}</definedName>
    <definedName name="____six6" localSheetId="3" hidden="1">{#N/A,#N/A,FALSE,"CRPT";#N/A,#N/A,FALSE,"TREND";#N/A,#N/A,FALSE,"%Curve"}</definedName>
    <definedName name="____six6" hidden="1">{#N/A,#N/A,FALSE,"CRPT";#N/A,#N/A,FALSE,"TREND";#N/A,#N/A,FALSE,"%Curve"}</definedName>
    <definedName name="____www1" localSheetId="2" hidden="1">{#N/A,#N/A,FALSE,"schA"}</definedName>
    <definedName name="____www1" localSheetId="3" hidden="1">{#N/A,#N/A,FALSE,"schA"}</definedName>
    <definedName name="____www1" hidden="1">{#N/A,#N/A,FALSE,"schA"}</definedName>
    <definedName name="___Key2" hidden="1">#REF!</definedName>
    <definedName name="___six6" localSheetId="2" hidden="1">{#N/A,#N/A,FALSE,"CRPT";#N/A,#N/A,FALSE,"TREND";#N/A,#N/A,FALSE,"%Curve"}</definedName>
    <definedName name="___six6" localSheetId="3" hidden="1">{#N/A,#N/A,FALSE,"CRPT";#N/A,#N/A,FALSE,"TREND";#N/A,#N/A,FALSE,"%Curve"}</definedName>
    <definedName name="___six6" hidden="1">{#N/A,#N/A,FALSE,"CRPT";#N/A,#N/A,FALSE,"TREND";#N/A,#N/A,FALSE,"%Curve"}</definedName>
    <definedName name="___thinkcellKKG62MjcAkO62sX62BttTQ" hidden="1">#REF!</definedName>
    <definedName name="___www1" localSheetId="2" hidden="1">{#N/A,#N/A,FALSE,"schA"}</definedName>
    <definedName name="___www1" localSheetId="3" hidden="1">{#N/A,#N/A,FALSE,"schA"}</definedName>
    <definedName name="___www1" hidden="1">{#N/A,#N/A,FALSE,"schA"}</definedName>
    <definedName name="__123Graph_A" hidden="1">#REF!</definedName>
    <definedName name="__123Graph_ARES_02" hidden="1">#REF!</definedName>
    <definedName name="__123Graph_B" hidden="1">#REF!</definedName>
    <definedName name="__123Graph_BRES_02" hidden="1">#REF!</definedName>
    <definedName name="__123Graph_C" hidden="1">#REF!</definedName>
    <definedName name="__123Graph_D" hidden="1">#REF!</definedName>
    <definedName name="__123Graph_E" hidden="1">#REF!</definedName>
    <definedName name="__123Graph_ECURRENT" hidden="1">#REF!</definedName>
    <definedName name="__123Graph_F" hidden="1">#REF!</definedName>
    <definedName name="__123Graph_X" hidden="1">#REF!</definedName>
    <definedName name="__123Graph_XRES_02" hidden="1">#REF!</definedName>
    <definedName name="__key1" hidden="1">#REF!</definedName>
    <definedName name="__Key2" hidden="1">#REF!</definedName>
    <definedName name="__six6" localSheetId="2" hidden="1">{#N/A,#N/A,FALSE,"CRPT";#N/A,#N/A,FALSE,"TREND";#N/A,#N/A,FALSE,"%Curve"}</definedName>
    <definedName name="__six6" localSheetId="3" hidden="1">{#N/A,#N/A,FALSE,"CRPT";#N/A,#N/A,FALSE,"TREND";#N/A,#N/A,FALSE,"%Curve"}</definedName>
    <definedName name="__six6" hidden="1">{#N/A,#N/A,FALSE,"CRPT";#N/A,#N/A,FALSE,"TREND";#N/A,#N/A,FALSE,"%Curve"}</definedName>
    <definedName name="__www1" localSheetId="2" hidden="1">{#N/A,#N/A,FALSE,"schA"}</definedName>
    <definedName name="__www1" localSheetId="3" hidden="1">{#N/A,#N/A,FALSE,"schA"}</definedName>
    <definedName name="__www1" hidden="1">{#N/A,#N/A,FALSE,"schA"}</definedName>
    <definedName name="_1__123Graph_ACONTRACT_BY_B_U" hidden="1">#REF!</definedName>
    <definedName name="_10__123Graph_BQRE_S_BY_TYPE" hidden="1">#REF!</definedName>
    <definedName name="_11__123Graph_BSENS_COMPARISON" hidden="1">#REF!</definedName>
    <definedName name="_12__123Graph_BSUPPLIES_BY_B_U" hidden="1">#REF!</definedName>
    <definedName name="_13__123Graph_BTAX_CREDIT" hidden="1">#REF!</definedName>
    <definedName name="_14__123Graph_BWAGES_BY_B_U" hidden="1">#REF!</definedName>
    <definedName name="_15__123Graph_CCONTRACT_BY_B_U" hidden="1">#REF!</definedName>
    <definedName name="_16__123Graph_CQRE_S_BY_CO." hidden="1">#REF!</definedName>
    <definedName name="_17__123Graph_CQRE_S_BY_TYPE" hidden="1">#REF!</definedName>
    <definedName name="_18__123Graph_CSENS_COMPARISON" hidden="1">#REF!</definedName>
    <definedName name="_19__123Graph_CSUPPLIES_BY_B_U" hidden="1">#REF!</definedName>
    <definedName name="_2__123Graph_AQRE_S_BY_CO." hidden="1">#REF!</definedName>
    <definedName name="_20__123Graph_CWAGES_BY_B_U" hidden="1">#REF!</definedName>
    <definedName name="_21__123Graph_DCONTRACT_BY_B_U" hidden="1">#REF!</definedName>
    <definedName name="_22__123Graph_DQRE_S_BY_CO." hidden="1">#REF!</definedName>
    <definedName name="_23__123Graph_DSUPPLIES_BY_B_U" hidden="1">#REF!</definedName>
    <definedName name="_24__123Graph_DWAGES_BY_B_U" hidden="1">#REF!</definedName>
    <definedName name="_25__123Graph_ECONTRACT_BY_B_U" hidden="1">#REF!</definedName>
    <definedName name="_26__123Graph_EQRE_S_BY_CO." hidden="1">#REF!</definedName>
    <definedName name="_27__123Graph_ESUPPLIES_BY_B_U" hidden="1">#REF!</definedName>
    <definedName name="_28__123Graph_EWAGES_BY_B_U" hidden="1">#REF!</definedName>
    <definedName name="_29__123Graph_FCONTRACT_BY_B_U" hidden="1">#REF!</definedName>
    <definedName name="_3__123Graph_AQRE_S_BY_TYPE" hidden="1">#REF!</definedName>
    <definedName name="_30__123Graph_FQRE_S_BY_CO." hidden="1">#REF!</definedName>
    <definedName name="_31__123Graph_FSUPPLIES_BY_B_U" hidden="1">#REF!</definedName>
    <definedName name="_32__123Graph_FWAGES_BY_B_U" hidden="1">#REF!</definedName>
    <definedName name="_33__123Graph_XCONTRACT_BY_B_U" hidden="1">#REF!</definedName>
    <definedName name="_34__123Graph_XQRE_S_BY_CO." hidden="1">#REF!</definedName>
    <definedName name="_35__123Graph_XQRE_S_BY_TYPE" hidden="1">#REF!</definedName>
    <definedName name="_36__123Graph_XSUPPLIES_BY_B_U" hidden="1">#REF!</definedName>
    <definedName name="_37__123Graph_XTAX_CREDIT" hidden="1">#REF!</definedName>
    <definedName name="_38_0_0_K" hidden="1">#REF!</definedName>
    <definedName name="_39_0_0_K" hidden="1">#REF!</definedName>
    <definedName name="_4__123Graph_ASENS_COMPARISON" hidden="1">#REF!</definedName>
    <definedName name="_40_0_0_S" hidden="1">#REF!</definedName>
    <definedName name="_41_0_0_S" hidden="1">#REF!</definedName>
    <definedName name="_5__123Graph_ASUPPLIES_BY_B_U" hidden="1">#REF!</definedName>
    <definedName name="_6__123Graph_ATAX_CREDIT" hidden="1">#REF!</definedName>
    <definedName name="_7__123Graph_AWAGES_BY_B_U" hidden="1">#REF!</definedName>
    <definedName name="_8__123Graph_BCONTRACT_BY_B_U" hidden="1">#REF!</definedName>
    <definedName name="_9__123Graph_BQRE_S_BY_CO." hidden="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ist_Values" hidden="1">#REF!</definedName>
    <definedName name="_ex1" localSheetId="2" hidden="1">{#N/A,#N/A,FALSE,"Summ";#N/A,#N/A,FALSE,"General"}</definedName>
    <definedName name="_ex1" localSheetId="3" hidden="1">{#N/A,#N/A,FALSE,"Summ";#N/A,#N/A,FALSE,"General"}</definedName>
    <definedName name="_ex1" hidden="1">{#N/A,#N/A,FALSE,"Summ";#N/A,#N/A,FALSE,"General"}</definedName>
    <definedName name="_Fill" hidden="1">#REF!</definedName>
    <definedName name="_Fill_mcc" hidden="1">#REF!</definedName>
    <definedName name="_Key1" hidden="1">#REF!</definedName>
    <definedName name="_Key2" hidden="1">#REF!</definedName>
    <definedName name="_key2_mcc" hidden="1">#REF!</definedName>
    <definedName name="_new1" localSheetId="2" hidden="1">{#N/A,#N/A,FALSE,"Summ";#N/A,#N/A,FALSE,"General"}</definedName>
    <definedName name="_new1" localSheetId="3" hidden="1">{#N/A,#N/A,FALSE,"Summ";#N/A,#N/A,FALSE,"General"}</definedName>
    <definedName name="_new1" hidden="1">{#N/A,#N/A,FALSE,"Summ";#N/A,#N/A,FALSE,"General"}</definedName>
    <definedName name="_Order1" hidden="1">255</definedName>
    <definedName name="_Order1_1" hidden="1">255</definedName>
    <definedName name="_order1a" hidden="1">0</definedName>
    <definedName name="_Order2" hidden="1">0</definedName>
    <definedName name="_order2a" hidden="1">0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yr56565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_ryr56565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_ryr56565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_six6" localSheetId="2" hidden="1">{#N/A,#N/A,FALSE,"CRPT";#N/A,#N/A,FALSE,"TREND";#N/A,#N/A,FALSE,"%Curve"}</definedName>
    <definedName name="_six6" localSheetId="3" hidden="1">{#N/A,#N/A,FALSE,"CRPT";#N/A,#N/A,FALSE,"TREND";#N/A,#N/A,FALSE,"%Curve"}</definedName>
    <definedName name="_six6" hidden="1">{#N/A,#N/A,FALSE,"CRPT";#N/A,#N/A,FALSE,"TREND";#N/A,#N/A,FALSE,"%Curve"}</definedName>
    <definedName name="_Sort" hidden="1">#REF!</definedName>
    <definedName name="_Sort_mcc" hidden="1">#REF!</definedName>
    <definedName name="_Table1_In1" hidden="1">#REF!</definedName>
    <definedName name="_wtf2" localSheetId="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wtf2" localSheetId="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wtf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wtf3" localSheetId="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wtf3" localSheetId="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wtf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wtf4" localSheetId="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wtf4" localSheetId="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wtf4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wtf5" localSheetId="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wtf5" localSheetId="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wtf5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www1" localSheetId="2" hidden="1">{#N/A,#N/A,FALSE,"schA"}</definedName>
    <definedName name="_www1" localSheetId="3" hidden="1">{#N/A,#N/A,FALSE,"schA"}</definedName>
    <definedName name="_www1" hidden="1">{#N/A,#N/A,FALSE,"schA"}</definedName>
    <definedName name="a" localSheetId="2" hidden="1">{#N/A,#N/A,FALSE,"Coversheet";#N/A,#N/A,FALSE,"QA"}</definedName>
    <definedName name="a" localSheetId="3" hidden="1">{#N/A,#N/A,FALSE,"Coversheet";#N/A,#N/A,FALSE,"QA"}</definedName>
    <definedName name="a" hidden="1">{#N/A,#N/A,FALSE,"Coversheet";#N/A,#N/A,FALSE,"QA"}</definedName>
    <definedName name="a_1" localSheetId="2" hidden="1">{"'Server Configuration'!$A$1:$DB$281"}</definedName>
    <definedName name="a_1" localSheetId="3" hidden="1">{"'Server Configuration'!$A$1:$DB$281"}</definedName>
    <definedName name="a_1" hidden="1">{"'Server Configuration'!$A$1:$DB$281"}</definedName>
    <definedName name="ac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ac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ac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AccessDatabase" hidden="1">"W:\DF\NISource\Studies\nipsco\Normalization Electric Merchant.mdb"</definedName>
    <definedName name="acx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acx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acx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adfsadfds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adfsadfds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adfsadfds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afd" localSheetId="2" hidden="1">{"summary 1",#N/A,TRUE,"Summary";"summary 2",#N/A,TRUE,"Summary";"chart",#N/A,TRUE,"summary chart";"model",#N/A,TRUE,"Model";"capital",#N/A,TRUE,"Capital";"maint",#N/A,TRUE,"Maintenance"}</definedName>
    <definedName name="afd" localSheetId="3" hidden="1">{"summary 1",#N/A,TRUE,"Summary";"summary 2",#N/A,TRUE,"Summary";"chart",#N/A,TRUE,"summary chart";"model",#N/A,TRUE,"Model";"capital",#N/A,TRUE,"Capital";"maint",#N/A,TRUE,"Maintenance"}</definedName>
    <definedName name="afd" hidden="1">{"summary 1",#N/A,TRUE,"Summary";"summary 2",#N/A,TRUE,"Summary";"chart",#N/A,TRUE,"summary chart";"model",#N/A,TRUE,"Model";"capital",#N/A,TRUE,"Capital";"maint",#N/A,TRUE,"Maintenance"}</definedName>
    <definedName name="ahahahahaha" localSheetId="2" hidden="1">{"'Server Configuration'!$A$1:$DB$281"}</definedName>
    <definedName name="ahahahahaha" localSheetId="3" hidden="1">{"'Server Configuration'!$A$1:$DB$281"}</definedName>
    <definedName name="ahahahahaha" hidden="1">{"'Server Configuration'!$A$1:$DB$281"}</definedName>
    <definedName name="ahahahahaha_1" localSheetId="2" hidden="1">{"'Server Configuration'!$A$1:$DB$281"}</definedName>
    <definedName name="ahahahahaha_1" localSheetId="3" hidden="1">{"'Server Configuration'!$A$1:$DB$281"}</definedName>
    <definedName name="ahahahahaha_1" hidden="1">{"'Server Configuration'!$A$1:$DB$281"}</definedName>
    <definedName name="ahahahahaha_2" localSheetId="2" hidden="1">{"'Server Configuration'!$A$1:$DB$281"}</definedName>
    <definedName name="ahahahahaha_2" localSheetId="3" hidden="1">{"'Server Configuration'!$A$1:$DB$281"}</definedName>
    <definedName name="ahahahahaha_2" hidden="1">{"'Server Configuration'!$A$1:$DB$281"}</definedName>
    <definedName name="AIP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AIP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AIP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ali" localSheetId="2" hidden="1">{"'Server Configuration'!$A$1:$DB$281"}</definedName>
    <definedName name="ali" localSheetId="3" hidden="1">{"'Server Configuration'!$A$1:$DB$281"}</definedName>
    <definedName name="ali" hidden="1">{"'Server Configuration'!$A$1:$DB$281"}</definedName>
    <definedName name="alsdfa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alsdfa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alsdfa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AS2DocOpenMode" hidden="1">"AS2DocumentEdit"</definedName>
    <definedName name="asdf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asdf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asdf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asdfasdfasdfasdfsdfa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asdfasdfasdfasdfsdfa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asdfasdfasdfasdfsdfa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ashaita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ashaita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ashaita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assd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assd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assd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b" localSheetId="2" hidden="1">{#N/A,#N/A,FALSE,"Coversheet";#N/A,#N/A,FALSE,"QA"}</definedName>
    <definedName name="b" localSheetId="3" hidden="1">{#N/A,#N/A,FALSE,"Coversheet";#N/A,#N/A,FALSE,"QA"}</definedName>
    <definedName name="b" hidden="1">{#N/A,#N/A,FALSE,"Coversheet";#N/A,#N/A,FALSE,"QA"}</definedName>
    <definedName name="b_1" localSheetId="2" hidden="1">{"'Server Configuration'!$A$1:$DB$281"}</definedName>
    <definedName name="b_1" localSheetId="3" hidden="1">{"'Server Configuration'!$A$1:$DB$281"}</definedName>
    <definedName name="b_1" hidden="1">{"'Server Configuration'!$A$1:$DB$281"}</definedName>
    <definedName name="BEm" hidden="1">#REF!</definedName>
    <definedName name="beny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beny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beny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BEx0017DGUEDPCFJUPUZOOLJCS2B" hidden="1">#REF!</definedName>
    <definedName name="BEx001CNWHJ5RULCSFM36ZCGJ1UH" hidden="1">#REF!</definedName>
    <definedName name="BEx004791UAJIJSN57OT7YBLNP82" hidden="1">#REF!</definedName>
    <definedName name="BEx008P2NVFDLBHL7IZ5WTMVOQ1F" hidden="1">#REF!</definedName>
    <definedName name="BEx009G00IN0JUIAQ4WE9NHTMQE2" hidden="1">#REF!</definedName>
    <definedName name="BEx00DXTY2JDVGWQKV8H7FG4SV30" hidden="1">#REF!</definedName>
    <definedName name="BEx00GHLTYRH5N2S6P78YW1CD30N" hidden="1">#REF!</definedName>
    <definedName name="BEx00JC31DY11L45SEU4B10BIN6W" hidden="1">#REF!</definedName>
    <definedName name="BEx00KZHZBHP3TDV1YMX4B19B95O" hidden="1">#REF!</definedName>
    <definedName name="BEx00P11V7HA4MS6XYY3P4BPVXML" hidden="1">#REF!</definedName>
    <definedName name="BEx00PBV7V99V7M3LDYUTF31MUFJ" hidden="1">#REF!</definedName>
    <definedName name="BEx00SMIQJ55EVB7T24CORX0JWQO" hidden="1">#REF!</definedName>
    <definedName name="BEx010V7DB7O7Z9NHSX27HZK4H76" hidden="1">#REF!</definedName>
    <definedName name="BEx012IKS6YVHG9KTG2FAKRSMYLU" hidden="1">#REF!</definedName>
    <definedName name="BEx01HY6E3GJ66ABU5ABN26V6Q13" hidden="1">#REF!</definedName>
    <definedName name="BEx01PW5YQKEGAR8JDDI5OARYXDF" hidden="1">#REF!</definedName>
    <definedName name="BEx01QCB2ERCAYYOFDP3OQRWUU60" hidden="1">#REF!</definedName>
    <definedName name="BEx01U37NQSMTGJRU8EGTJORBJ6H" hidden="1">#REF!</definedName>
    <definedName name="BEx01XJ94SHJ1YQ7ORPW0RQGKI2H" hidden="1">#REF!</definedName>
    <definedName name="BEx028BOZCS2MQO9MODVS6F7NCA3" hidden="1">#REF!</definedName>
    <definedName name="BEx02DPUYNH76938V8GVORY8LRY1" hidden="1">#REF!</definedName>
    <definedName name="BEx02PEP6DY4K1JGB0HHS3B6QOGZ" hidden="1">#REF!</definedName>
    <definedName name="BEx02Q08R9G839Q4RFGG9026C7PX" hidden="1">#REF!</definedName>
    <definedName name="BEx02SEL3Z1QWGAHXDPUA9WLTTPS" hidden="1">#REF!</definedName>
    <definedName name="BEx02Y3KJZH5BGDM9QEZ1PVVI114" hidden="1">#REF!</definedName>
    <definedName name="BEx0313GRLLASDTVPW5DHTXHE74M" hidden="1">#REF!</definedName>
    <definedName name="BEx1F0SOZ3H5XUHXD7O01TCR8T6J" hidden="1">#REF!</definedName>
    <definedName name="BEx1F9HL824UCNCVZ2U62J4KZCX8" hidden="1">#REF!</definedName>
    <definedName name="BEx1FEVSJKTI1Q1Z874QZVFSJSVA" hidden="1">#REF!</definedName>
    <definedName name="BEx1FGDRUHHLI1GBHELT4PK0LY4V" hidden="1">#REF!</definedName>
    <definedName name="BEx1FJZ7GKO99IYTP6GGGF7EUL3Z" hidden="1">#REF!</definedName>
    <definedName name="BEx1FPDH0YKYQXDHUTFIQLIF34J8" hidden="1">#REF!</definedName>
    <definedName name="BEx1FQ9SZAGL2HEKRB046EOQDWOX" hidden="1">#REF!</definedName>
    <definedName name="BEx1FZV2CM77TBH1R6YYV9P06KA2" hidden="1">#REF!</definedName>
    <definedName name="BEx1G59AY8195JTUM6P18VXUFJ3E" hidden="1">#REF!</definedName>
    <definedName name="BEx1GKUDMCV60BOZT0SENCT0MD8L" hidden="1">#REF!</definedName>
    <definedName name="BEx1GUVQ5L0JCX3E4SROI4WBYVTO" hidden="1">#REF!</definedName>
    <definedName name="BEx1GVMRHFXUP6XYYY9NR12PV5TF" hidden="1">#REF!</definedName>
    <definedName name="BEx1H6KIT7BHUH6MDDWC935V9N47" hidden="1">#REF!</definedName>
    <definedName name="BEx1HA60AI3STEJQZAQ0RA3Q3AZV" hidden="1">#REF!</definedName>
    <definedName name="BEx1HB2DBVO5N6V2WX7BEHUFYTFU" hidden="1">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GWNWPLNXICOTP90TKQVVE4E" hidden="1">#REF!</definedName>
    <definedName name="BEx1HIPLJZABY0EMUOTZN0EQMDPU" hidden="1">#REF!</definedName>
    <definedName name="BEx1HO94JIRX219MPWMB5E5XZ04X" hidden="1">#REF!</definedName>
    <definedName name="BEx1HQNF6KHM21E3XLW0NMSSEI9S" hidden="1">#REF!</definedName>
    <definedName name="BEx1HSLNWIW4S97ZBYY7I7M5YVH4" hidden="1">#REF!</definedName>
    <definedName name="BEx1HZCBBWLB2BTNOXP319ZDEVOJ" hidden="1">#REF!</definedName>
    <definedName name="BEx1I4QKTILCKZUSOJCVZN7SNHL5" hidden="1">#REF!</definedName>
    <definedName name="BEx1IE0ZP7RIFM9FI24S9I6AAJ14" hidden="1">#REF!</definedName>
    <definedName name="BEx1IGQ5B697MNDOE06MVSR0H58E" hidden="1">#REF!</definedName>
    <definedName name="BEx1IKRPW8MLB9Y485M1TL2IT9SH" hidden="1">#REF!</definedName>
    <definedName name="BEx1IPKCFCT3TL9MSO1LSYJ2VJ2X" hidden="1">#REF!</definedName>
    <definedName name="BEx1IW5PQTTMD62XZ287XF2O3FBQ" hidden="1">#REF!</definedName>
    <definedName name="BEx1J0CSSHDJGBJUHVOEMCF2P4DL" hidden="1">#REF!</definedName>
    <definedName name="BEx1J0NL6D3ILC18B48AL0VNEN9A" hidden="1">#REF!</definedName>
    <definedName name="BEx1J7E8VCGLPYU82QXVUG5N3ZAI" hidden="1">#REF!</definedName>
    <definedName name="BEx1JGE2YQWH8S25USOY08XVGO0D" hidden="1">#REF!</definedName>
    <definedName name="BEx1JJJC9T1W7HY4V7HP1S1W4JO1" hidden="1">#REF!</definedName>
    <definedName name="BEx1JKKZSJ7DI4PTFVI9VVFMB1X2" hidden="1">#REF!</definedName>
    <definedName name="BEx1JUBQFRVMASSFK4B3V0AD7YP9" hidden="1">#REF!</definedName>
    <definedName name="BEx1JVTOATZGRJFXGXPJJLC4DOBE" hidden="1">#REF!</definedName>
    <definedName name="BEx1JXBM5W4YRWNQ0P95QQS6JWD6" hidden="1">#REF!</definedName>
    <definedName name="BEx1KGY9QEHZ9QSARMQUTQKRK4UX" hidden="1">#REF!</definedName>
    <definedName name="BEx1KIWH5MOLR00SBECT39NS3AJ1" hidden="1">#REF!</definedName>
    <definedName name="BEx1KKP1ELIF2UII2FWVGL7M1X7J" hidden="1">#REF!</definedName>
    <definedName name="BEx1KQJKIAPZKE9YDYH5HKXX52FM" hidden="1">#REF!</definedName>
    <definedName name="BEx1KUVWMB0QCWA3RBE4CADFVRIS" hidden="1">#REF!</definedName>
    <definedName name="BEx1L0AAH7PV8PPQQDBP5AI4TLYP" hidden="1">#REF!</definedName>
    <definedName name="BEx1L2OG1SDFK2TPXELJ77YP4NI2" hidden="1">#REF!</definedName>
    <definedName name="BEx1L6Q60MWRDJB4L20LK0XPA0Z2" hidden="1">#REF!</definedName>
    <definedName name="BEx1L7BSEFOLQDNZWMLUNBRO08T4" hidden="1">#REF!</definedName>
    <definedName name="BEx1LD63FP2Z4BR9TKSHOZW9KKZ5" hidden="1">#REF!</definedName>
    <definedName name="BEx1LDMB9RW982DUILM2WPT5VWQ3" hidden="1">#REF!</definedName>
    <definedName name="BEx1LFF2UQ13XL4X1I2WBD73NZ21" hidden="1">#REF!</definedName>
    <definedName name="BEx1LKTB33LO23ACTADIVRY7ZNFC" hidden="1">#REF!</definedName>
    <definedName name="BEx1LQNKVZAXGSEPDAM8AWU2FHHJ" hidden="1">#REF!</definedName>
    <definedName name="BEx1LRPGDQCOEMW8YT80J1XCDCIV" hidden="1">#REF!</definedName>
    <definedName name="BEx1LRUSJW4JG54X07QWD9R27WV9" hidden="1">#REF!</definedName>
    <definedName name="BEx1M1WBK5T0LP1AK2JYV6W87ID6" hidden="1">#REF!</definedName>
    <definedName name="BEx1M51HHDYGIT8PON7U8ICL2S95" hidden="1">#REF!</definedName>
    <definedName name="BEx1MP4FWKV0QYXE13PX9JSNA270" hidden="1">#REF!</definedName>
    <definedName name="BEx1MSV791FSS4CZQKG04NHT3F79" hidden="1">#REF!</definedName>
    <definedName name="BEx1MTRKKVCHOZ0YGID6HZ49LJTO" hidden="1">#REF!</definedName>
    <definedName name="BEx1N3CUJ3UX61X38ZAJVPEN4KMC" hidden="1">#REF!</definedName>
    <definedName name="BEx1N5R5IJ3CG6CL344F5KWPINEO" hidden="1">#REF!</definedName>
    <definedName name="BEx1NFCFVPBS7XURQ8Y0BZEGPBVP" hidden="1">#REF!</definedName>
    <definedName name="BEx1NM34KQTO1LDNSAFD1L82UZFG" hidden="1">#REF!</definedName>
    <definedName name="BEx1NO6TXZVOGCUWCCRTXRXWW0XL" hidden="1">#REF!</definedName>
    <definedName name="BEx1NS8EU5P9FQV3S0WRTXI5L361" hidden="1">#REF!</definedName>
    <definedName name="BEx1NUBX5VUYZFKQH69FN6BTLWCR" hidden="1">#REF!</definedName>
    <definedName name="BEx1NZ4K1L8UON80Y2A4RASKWGNP" hidden="1">#REF!</definedName>
    <definedName name="BEx1O24FB2CPATAGE3T7L1NBQQO1" hidden="1">#REF!</definedName>
    <definedName name="BEx1OLAZ915OGYWP0QP1QQWDLCRX" hidden="1">#REF!</definedName>
    <definedName name="BEx1OO5ER042IS6IC4TLDI75JNVH" hidden="1">#REF!</definedName>
    <definedName name="BEx1OTE54CBSUT8FWKRALEDCUWN4" hidden="1">#REF!</definedName>
    <definedName name="BEx1OVSMPADTX95QUOX34KZQ8EDY" hidden="1">#REF!</definedName>
    <definedName name="BEx1OWJJ0DP4628GCVVRQ9X0DRHQ" hidden="1">#REF!</definedName>
    <definedName name="BEx1OX544IO9FQJI7YYQGZCEHB3O" hidden="1">#REF!</definedName>
    <definedName name="BEx1OY6SVEUT2EQ26P7EKEND342G" hidden="1">#REF!</definedName>
    <definedName name="BEx1OYN1LPIPI12O9G6F7QAOS9T4" hidden="1">#REF!</definedName>
    <definedName name="BEx1P1HHKJA799O3YZXQAX6KFH58" hidden="1">#REF!</definedName>
    <definedName name="BEx1P34W467WGPOXPK292QFJIPHJ" hidden="1">#REF!</definedName>
    <definedName name="BEx1P76FRYAB1BWA5RJS4KOB3G9I" hidden="1">#REF!</definedName>
    <definedName name="BEx1P7S1J4TKGVJ43C2Q2R3M9WRB" hidden="1">#REF!</definedName>
    <definedName name="BEx1P8OF6WY3IH8SO71KQOU83V3Y" hidden="1">#REF!</definedName>
    <definedName name="BEx1PA11BLPVZM8RC5BL46WX8YB5" hidden="1">#REF!</definedName>
    <definedName name="BEx1PAMMMZTO2BTR6YLZ9ASMPS4N" hidden="1">#REF!</definedName>
    <definedName name="BEx1PBZ4BEFIPGMQXT9T8S4PZ2IM" hidden="1">#REF!</definedName>
    <definedName name="BEx1PJMAAUI73DAR3XUON2UMXTBS" hidden="1">#REF!</definedName>
    <definedName name="BEx1PLF2CFSXBZPVI6CJ534EIJDN" hidden="1">#REF!</definedName>
    <definedName name="BEx1PMWZB2DO6EM9BKLUICZJ65HD" hidden="1">#REF!</definedName>
    <definedName name="BEx1PU3X6U0EVLY9569KVBPAH7XU" hidden="1">#REF!</definedName>
    <definedName name="BEx1Q9OV5AOW28OUGRFCD3ZFVWC3" hidden="1">#REF!</definedName>
    <definedName name="BEx1QA54J2A4I7IBQR19BTY28ZMR" hidden="1">#REF!</definedName>
    <definedName name="BEx1QD50TNYYZ6YO943BWHPB9UD9" hidden="1">#REF!</definedName>
    <definedName name="BEx1QMQAHG3KQUK59DVM68SWKZIZ" hidden="1">#REF!</definedName>
    <definedName name="BEx1R9YFKJCMSEST8OVCAO5E47FO" hidden="1">#REF!</definedName>
    <definedName name="BEx1RBGC06B3T52OIC0EQ1KGVP1I" hidden="1">#REF!</definedName>
    <definedName name="BEx1RRC7X4NI1CU4EO5XYE2GVARJ" hidden="1">#REF!</definedName>
    <definedName name="BEx1RZA1NCGT832L7EMR7GMF588W" hidden="1">#REF!</definedName>
    <definedName name="BEx1S0XGIPUSZQUCSGWSK10GKW7Y" hidden="1">#REF!</definedName>
    <definedName name="BEx1S5VFNKIXHTTCWSV60UC50EZ8" hidden="1">#REF!</definedName>
    <definedName name="BEx1SK3U02H0RGKEYXW7ZMCEOF3V" hidden="1">#REF!</definedName>
    <definedName name="BEx1SSNEZINBJT29QVS62VS1THT4" hidden="1">#REF!</definedName>
    <definedName name="BEx1SVNCHNANBJIDIQVB8AFK4HAN" hidden="1">#REF!</definedName>
    <definedName name="BEx1SY74DYVEPAQ9TGGGXKJA025O" hidden="1">#REF!</definedName>
    <definedName name="BEx1TJ0WLS9O7KNSGIPWTYHDYI1D" hidden="1">#REF!</definedName>
    <definedName name="BEx1TUPQAYGAI13ZC7FU1FJXFAPM" hidden="1">#REF!</definedName>
    <definedName name="BEx1TY0F9W7EOF31FZXITWEYBSRT" hidden="1">#REF!</definedName>
    <definedName name="BEx1U7WFO8OZKB1EBF4H386JW91L" hidden="1">#REF!</definedName>
    <definedName name="BEx1U87938YR9N6HYI24KVBKLOS3" hidden="1">#REF!</definedName>
    <definedName name="BEx1U9P6VQWSVRICLZR9DYRMN61U" hidden="1">#REF!</definedName>
    <definedName name="BEx1UESH4KDWHYESQU2IE55RS3LI" hidden="1">#REF!</definedName>
    <definedName name="BEx1UI8N9KTCPSOJ7RDW0T8UEBNP" hidden="1">#REF!</definedName>
    <definedName name="BEx1UML0HHJFHA5TBOYQ24I3RV1W" hidden="1">#REF!</definedName>
    <definedName name="BEx1UO8ENOJNYCNX5Z95TBIJ3MKP" hidden="1">#REF!</definedName>
    <definedName name="BEx1UUDIQPZ23XQ79GUL0RAWRSCK" hidden="1">#REF!</definedName>
    <definedName name="BEx1V67SEV778NVW68J8W5SND1J7" hidden="1">#REF!</definedName>
    <definedName name="BEx1VIY9SQLRESD11CC4PHYT0XSG" hidden="1">#REF!</definedName>
    <definedName name="BEx1W3170EJU6QEJR4F8E2ULUU2U" hidden="1">#REF!</definedName>
    <definedName name="BEx1WC67EH10SC38QWX3WEA5KH3A" hidden="1">#REF!</definedName>
    <definedName name="BEx1WDTMC6W73PJPTY0JYLKOA883" hidden="1">#REF!</definedName>
    <definedName name="BEx1WGYTKZZIPM1577W5FEYKFH3V" hidden="1">#REF!</definedName>
    <definedName name="BEx1WHPURIV3D3PTJJ359H1OP7ZV" hidden="1">#REF!</definedName>
    <definedName name="BEx1WLBBR45RLDQX9FCLJWUUQX5R" hidden="1">#REF!</definedName>
    <definedName name="BEx1WLWY2CR1WRD694JJSWSDFAIR" hidden="1">#REF!</definedName>
    <definedName name="BEx1WMD1LWPWRIK6GGAJRJAHJM8I" hidden="1">#REF!</definedName>
    <definedName name="BEx1WR0D41MR174LBF3P9E3K0J51" hidden="1">#REF!</definedName>
    <definedName name="BEx1WT3VU2F7OSUQZHBIV4KTTFJ4" hidden="1">#REF!</definedName>
    <definedName name="BEx1WUB1FAS5PHU33TJ60SUHR618" hidden="1">#REF!</definedName>
    <definedName name="BEx1WX04G0INSPPG9NTNR3DYR6PZ" hidden="1">#REF!</definedName>
    <definedName name="BEx1X3LHU9DPG01VWX2IF65TRATF" hidden="1">#REF!</definedName>
    <definedName name="BEx1XFL3ISYW3FU1DQ3US0DYA8NQ" hidden="1">#REF!</definedName>
    <definedName name="BEx1XK8AAMO0AH0Z1OUKW30CA7EQ" hidden="1">#REF!</definedName>
    <definedName name="BEx1XL4MZ7C80495GHQRWOBS16PQ" hidden="1">#REF!</definedName>
    <definedName name="BEx1Y2IGS2K95E1M51PEF9KJZ0KB" hidden="1">#REF!</definedName>
    <definedName name="BEx1Y3PKK83X2FN9SAALFHOWKMRQ" hidden="1">#REF!</definedName>
    <definedName name="BEx1YL3DJ7Y4AZ01ERCOGW0FJ26T" hidden="1">#REF!</definedName>
    <definedName name="BEx1Z2RYHSVD1H37817SN93VMURZ" hidden="1">#REF!</definedName>
    <definedName name="BEx3AMAKWI6458B67VKZO56MCNJW" hidden="1">#REF!</definedName>
    <definedName name="BEx3AOOVM42G82TNF53W0EKXLUSI" hidden="1">#REF!</definedName>
    <definedName name="BEx3AZH9W4SUFCAHNDOQ728R9V4L" hidden="1">#REF!</definedName>
    <definedName name="BEx3BNR9ES4KY7Q1DK83KC5NDGL8" hidden="1">#REF!</definedName>
    <definedName name="BEx3BQR5VZXNQ4H949ORM8ESU3B3" hidden="1">#REF!</definedName>
    <definedName name="BEx3BTLL3ASJN134DLEQTQM70VZM" hidden="1">#REF!</definedName>
    <definedName name="BEx3BW5CTV0DJU5AQS3ZQFK2VLF3" hidden="1">#REF!</definedName>
    <definedName name="BEx3BYP0FG369M7G3JEFLMMXAKTS" hidden="1">#REF!</definedName>
    <definedName name="BEx3C2QR0WUD19QSVO8EMIPNQJKH" hidden="1">#REF!</definedName>
    <definedName name="BEx3CKFCCPZZ6ROLAT5C1DZNIC1U" hidden="1">#REF!</definedName>
    <definedName name="BEx3CO0SVO4WLH0DO43DCHYDTH1P" hidden="1">#REF!</definedName>
    <definedName name="BEx3CPDAEBC12450MVHX6S78ILBS" hidden="1">#REF!</definedName>
    <definedName name="BEx3CQ9OQ7E1YH93NADGWWEH0HD5" hidden="1">#REF!</definedName>
    <definedName name="BEx3D9G6QTSPF9UYI4X0XY0VE896" hidden="1">#REF!</definedName>
    <definedName name="BEx3DCQU9PBRXIMLO62KS5RLH447" hidden="1">#REF!</definedName>
    <definedName name="BEx3DQ8EH7C7L4XQAOL3NRRVRRT3" hidden="1">#REF!</definedName>
    <definedName name="BEx3EF99FD6QNNCNOKDEE67JHTUJ" hidden="1">#REF!</definedName>
    <definedName name="BEx3EGLXG4AU8GXIFP26DZ61E6EP" hidden="1">#REF!</definedName>
    <definedName name="BEx3EHCSERZ2O2OAG8Y95UPG2IY9" hidden="1">#REF!</definedName>
    <definedName name="BEx3EJR3TCJDYS7ZXNDS5N9KTGIK" hidden="1">#REF!</definedName>
    <definedName name="BEx3ELJTTBS6P05CNISMGOJOA60V" hidden="1">#REF!</definedName>
    <definedName name="BEx3EQSLJBDDJRHNX19PBFCKNY2I" hidden="1">#REF!</definedName>
    <definedName name="BEx3EUUAX947Q5N6MY6W0KSNY78Y" hidden="1">#REF!</definedName>
    <definedName name="BEx3F3OJYKFH63TY4TBS69H5CI8M" hidden="1">#REF!</definedName>
    <definedName name="BEx3FHMD1P5XBCH23ZKIFO6ZTCNB" hidden="1">#REF!</definedName>
    <definedName name="BEx3FI2G3YYIACQHXNXEA15M8ZK5" hidden="1">#REF!</definedName>
    <definedName name="BEx3FJ9MHSLDK8W91GO85FX1GX57" hidden="1">#REF!</definedName>
    <definedName name="BEx3FR251HFU7A33PU01SJUENL2B" hidden="1">#REF!</definedName>
    <definedName name="BEx3FX7EJL47JSLSWP3EOC265WAE" hidden="1">#REF!</definedName>
    <definedName name="BEx3G201R8NLJ6FIHO2QS0SW9QVV" hidden="1">#REF!</definedName>
    <definedName name="BEx3G2LL2II66XY5YCDPG4JE13A3" hidden="1">#REF!</definedName>
    <definedName name="BEx3G2WA0DTYY9D8AGHHOBTPE2B2" hidden="1">#REF!</definedName>
    <definedName name="BEx3GCXR6IAS0B6WJ03GJVH7CO52" hidden="1">#REF!</definedName>
    <definedName name="BEx3GEVV18SEQDI1JGY7EN6D1GT1" hidden="1">#REF!</definedName>
    <definedName name="BEx3GKFH64MKQX61S7DYTZ15JCPY" hidden="1">#REF!</definedName>
    <definedName name="BEx3GMJ1Y6UU02DLRL0QXCEKDA6C" hidden="1">#REF!</definedName>
    <definedName name="BEx3GN4LY0135CBDIN1TU2UEODGF" hidden="1">#REF!</definedName>
    <definedName name="BEx3GPDH2AH4QKT4OOSN563XUHBD" hidden="1">#REF!</definedName>
    <definedName name="BEx3GRGZOH1A62SHC133FKNN9K23" hidden="1">#REF!</definedName>
    <definedName name="BEx3GS2LABKJSRV8GPZLJZVX7NMJ" hidden="1">#REF!</definedName>
    <definedName name="BEx3H05W7OEBR6W6YJKGD6W5M3I1" hidden="1">#REF!</definedName>
    <definedName name="BEx3H244GCME7ZDNAXG6ZSJ64ZRE" hidden="1">#REF!</definedName>
    <definedName name="BEx3H5UX2GZFZZT657YR76RHW5I6" hidden="1">#REF!</definedName>
    <definedName name="BEx3HACPKDZVUOS9WBDCCFJB46DK" hidden="1">#REF!</definedName>
    <definedName name="BEx3HMSEFOP6DBM4R97XA6B7NFG6" hidden="1">#REF!</definedName>
    <definedName name="BEx3HWJ5SQSD2CVCQNR183X44FR8" hidden="1">#REF!</definedName>
    <definedName name="BEx3I09YVXO0G4X7KGSA4WGORM35" hidden="1">#REF!</definedName>
    <definedName name="BEx3I3KN8WAL54AYYACGCUM43J9W" hidden="1">#REF!</definedName>
    <definedName name="BEx3ICF1GY8HQEBIU9S43PDJ90BX" hidden="1">#REF!</definedName>
    <definedName name="BEx3IYAH2DEBFWO8F94H4MXE3RLY" hidden="1">#REF!</definedName>
    <definedName name="BEx3IZSG3932LSWHR5YV78IVRPCK" hidden="1">#REF!</definedName>
    <definedName name="BEx3IZXXSYEW50379N2EAFWO8DZV" hidden="1">#REF!</definedName>
    <definedName name="BEx3J1VZVGTKT4ATPO9O5JCSFTTR" hidden="1">#REF!</definedName>
    <definedName name="BEx3JC2TY7JNAAC3L7QHVPQXLGQ8" hidden="1">#REF!</definedName>
    <definedName name="BEx3JMF5D7ODCJ7THAJTC1GFSG95" hidden="1">#REF!</definedName>
    <definedName name="BEx3JX23SYDIGOGM4Y0CQFBW8ZBV" hidden="1">#REF!</definedName>
    <definedName name="BEx3JXCXCVBZJGV5VEG9MJEI01AL" hidden="1">#REF!</definedName>
    <definedName name="BEx3JYK2N7X59TPJSKYZ77ENY8SS" hidden="1">#REF!</definedName>
    <definedName name="BEx3K13PSDK50JLCLD0GX8L4TWAH" hidden="1">#REF!</definedName>
    <definedName name="BEx3K4EII7GU1CG0BN7UL15M6J8Z" hidden="1">#REF!</definedName>
    <definedName name="BEx3K4ZXQUQ2KYZF74B84SO48XMW" hidden="1">#REF!</definedName>
    <definedName name="BEx3KEFXUCVNVPH7KSEGAZYX13B5" hidden="1">#REF!</definedName>
    <definedName name="BEx3KFXUAF6YXAA47B7Q6X9B3VGB" hidden="1">#REF!</definedName>
    <definedName name="BEx3KIXQYOGMPK4WJJAVBRX4NR28" hidden="1">#REF!</definedName>
    <definedName name="BEx3KJOMVOSFZVJUL3GKCNP6DQDS" hidden="1">#REF!</definedName>
    <definedName name="BEx3KP2VRBMORK0QEAZUYCXL3DHJ" hidden="1">#REF!</definedName>
    <definedName name="BEx3L4IN3LI4C26SITKTGAH27CDU" hidden="1">#REF!</definedName>
    <definedName name="BEx3L4YQ0J7ZU0M5QM6YIPCEYC9K" hidden="1">#REF!</definedName>
    <definedName name="BEx3L60DJOR7NQN42G7YSAODP1EX" hidden="1">#REF!</definedName>
    <definedName name="BEx3L7D0PI38HWZ7VADU16C9E33D" hidden="1">#REF!</definedName>
    <definedName name="BEx3LANPY1HT49TAH98H4B9RC1D4" hidden="1">#REF!</definedName>
    <definedName name="BEx3LM1PR4Y7KINKMTMKR984GX8Q" hidden="1">#REF!</definedName>
    <definedName name="BEx3LM1PWWC9WH0R5TX5K06V559U" hidden="1">#REF!</definedName>
    <definedName name="BEx3LPCEZ1C0XEKNCM3YT09JWCUO" hidden="1">#REF!</definedName>
    <definedName name="BEx3LSXW33WR1ECIMRYUPFBJXGGH" hidden="1">#REF!</definedName>
    <definedName name="BEx3M1MR1K1NQD03H74BFWOK4MWQ" hidden="1">#REF!</definedName>
    <definedName name="BEx3M4H77MYUKOOD31H9F80NMVK8" hidden="1">#REF!</definedName>
    <definedName name="BEx3M9VFX329PZWYC4DMZ6P3W9R2" hidden="1">#REF!</definedName>
    <definedName name="BEx3MCQ0VEBV0CZXDS505L38EQ8N" hidden="1">#REF!</definedName>
    <definedName name="BEx3MEYV5LQY0BAL7V3CFAFVOM3T" hidden="1">#REF!</definedName>
    <definedName name="BEx3MF9LX8G8DXGARRYNTDH542WG" hidden="1">#REF!</definedName>
    <definedName name="BEx3MREOFWJQEYMCMBL7ZE06NBN6" hidden="1">#REF!</definedName>
    <definedName name="BEx3MSGD8I6KBFD4XFWYGH3DKUK3" hidden="1">#REF!</definedName>
    <definedName name="BEx3NDQFYEWZAUGWFMGT2R7E7RBT" hidden="1">#REF!</definedName>
    <definedName name="BEx3NGQBX2HEDKOCDX0TX1TGBB3P" hidden="1">#REF!</definedName>
    <definedName name="BEx3NLIZ7PHF2XE59ECZ3MD04ZG1" hidden="1">#REF!</definedName>
    <definedName name="BEx3NMQ4BVC94728AUM7CCX7UHTU" hidden="1">#REF!</definedName>
    <definedName name="BEx3NR2I4OUFP3Z2QZEDU2PIFIDI" hidden="1">#REF!</definedName>
    <definedName name="BEx3O19B8FTTAPVT5DZXQGQXWFR8" hidden="1">#REF!</definedName>
    <definedName name="BEx3O85IKWARA6NCJOLRBRJFMEWW" hidden="1">#REF!</definedName>
    <definedName name="BEx3OJZSCGFRW7SVGBFI0X9DNVMM" hidden="1">#REF!</definedName>
    <definedName name="BEx3ORSBUXAF21MKEY90YJV9AY9A" hidden="1">#REF!</definedName>
    <definedName name="BEx3OUS0N576NJN078Y1BWUWQK6B" hidden="1">#REF!</definedName>
    <definedName name="BEx3OV8BH6PYNZT7C246LOAU9SVX" hidden="1">#REF!</definedName>
    <definedName name="BEx3OXRYJZUEY6E72UJU0PHLMYAR" hidden="1">#REF!</definedName>
    <definedName name="BEx3P3RP5PYI4BJVYGNU1V7KT5EH" hidden="1">#REF!</definedName>
    <definedName name="BEx3P59TTRSGQY888P5C1O7M2PQT" hidden="1">#REF!</definedName>
    <definedName name="BEx3PDNRRNKD5GOUBUQFXAHIXLD9" hidden="1">#REF!</definedName>
    <definedName name="BEx3PDT8GNPWLLN02IH1XPV90XYK" hidden="1">#REF!</definedName>
    <definedName name="BEx3PKEMDW8KZEP11IL927C5O7I2" hidden="1">#REF!</definedName>
    <definedName name="BEx3PKJZ1Z7L9S6KV8KXVS6B2FX4" hidden="1">#REF!</definedName>
    <definedName name="BEx3PMNG53Z5HY138H99QOMTX8W3" hidden="1">#REF!</definedName>
    <definedName name="BEx3PP1RRSFZ8UC0JC9R91W6LNKW" hidden="1">#REF!</definedName>
    <definedName name="BEx3PRQW017D7T1X732WDV7L1KP8" hidden="1">#REF!</definedName>
    <definedName name="BEx3PVXYZC8WB9ZJE7OCKUXZ46EA" hidden="1">#REF!</definedName>
    <definedName name="BEx3Q0VWPU5EQECK7MQ47TYJ3SWW" hidden="1">#REF!</definedName>
    <definedName name="BEx3Q7BZ9PUXK2RLIOFSIS9AHU1B" hidden="1">#REF!</definedName>
    <definedName name="BEx3Q8J42S9VU6EAN2Y28MR6DF88" hidden="1">#REF!</definedName>
    <definedName name="BEx3QCFD2TBUF95ZN83Q7JPV97FK" hidden="1">#REF!</definedName>
    <definedName name="BEx3QEDFOYFY5NBTININ5W4RLD4Q" hidden="1">#REF!</definedName>
    <definedName name="BEx3QIKJ3U962US1Q564NZDLU8LD" hidden="1">#REF!</definedName>
    <definedName name="BEx3QLF3RHHBNUFLUWEROBZDF1U4" hidden="1">#REF!</definedName>
    <definedName name="BEx3QR9D45DHW50VQ7Y3Q1AXPOB9" hidden="1">#REF!</definedName>
    <definedName name="BEx3QSWT2S5KWG6U2V9711IYDQBM" hidden="1">#REF!</definedName>
    <definedName name="BEx3QVGG7Q2X4HZHJAM35A8T3VR7" hidden="1">#REF!</definedName>
    <definedName name="BEx3R0JUB9YN8PHPPQTAMIT1IHWK" hidden="1">#REF!</definedName>
    <definedName name="BEx3R81NFRO7M81VHVKOBFT0QBIL" hidden="1">#REF!</definedName>
    <definedName name="BEx3RHC2ZD5UFS6QD4OPFCNNMWH1" hidden="1">#REF!</definedName>
    <definedName name="BEx3RQ10QIWBAPHALAA91BUUCM2X" hidden="1">#REF!</definedName>
    <definedName name="BEx3RV4E1WT43SZBUN09RTB8EK1O" hidden="1">#REF!</definedName>
    <definedName name="BEx3RXYU0QLFXSFTM5EB20GD03W5" hidden="1">#REF!</definedName>
    <definedName name="BEx3RYKLC3QQO3XTUN7BEW2AQL98" hidden="1">#REF!</definedName>
    <definedName name="BEx3S37QNFSKW3DGRH5YVVEZLJI7" hidden="1">#REF!</definedName>
    <definedName name="BEx3SICJ45BYT6FHBER86PJT25FC" hidden="1">#REF!</definedName>
    <definedName name="BEx3SMUCMJVGQ2H4EHQI5ZFHEF0P" hidden="1">#REF!</definedName>
    <definedName name="BEx3SN56F03CPDRDA7LZ763V0N4I" hidden="1">#REF!</definedName>
    <definedName name="BEx3SPE6N1ORXPRCDL3JPZD73Z9F" hidden="1">#REF!</definedName>
    <definedName name="BEx3T29ZTULQE0OMSMWUMZDU9ZZ0" hidden="1">#REF!</definedName>
    <definedName name="BEx3T6MJ1QDJ929WMUDVZ0O3UW0Y" hidden="1">#REF!</definedName>
    <definedName name="BEx3TD7WH1NN1OH0MRS4T8ENRU32" hidden="1">#REF!</definedName>
    <definedName name="BEx3TPCSI16OAB2L9M9IULQMQ9J9" hidden="1">#REF!</definedName>
    <definedName name="BEx3TQ3SFJB2WTCV0OXDE56FB46K" hidden="1">#REF!</definedName>
    <definedName name="BEx3TX59M3456DDBXWFJ8X2TU37A" hidden="1">#REF!</definedName>
    <definedName name="BEx3U2UBY80GPGSTYFGI6F8TPKCV" hidden="1">#REF!</definedName>
    <definedName name="BEx3U64YUOZ419BAJS2W78UMATAW" hidden="1">#REF!</definedName>
    <definedName name="BEx3U94WCEA5DKMWBEX1GU0LKYG2" hidden="1">#REF!</definedName>
    <definedName name="BEx3U9VZ8SQVYS6ZA038J7AP7ZGW" hidden="1">#REF!</definedName>
    <definedName name="BEx3UIQ5WRJBGNTFCCLOR4N7B1OQ" hidden="1">#REF!</definedName>
    <definedName name="BEx3UJMIX2NUSSWGMSI25A5DM4CH" hidden="1">#REF!</definedName>
    <definedName name="BEx3UKIX0UULWP3BZA8VT2SQ8WI7" hidden="1">#REF!</definedName>
    <definedName name="BEx3UKOCOQG7S1YQ436S997K1KWV" hidden="1">#REF!</definedName>
    <definedName name="BEx3UNISOEXF3OFHT2BUA6P9RBIJ" hidden="1">#REF!</definedName>
    <definedName name="BEx3UYM19VIXLA0EU7LB9NHA77PB" hidden="1">#REF!</definedName>
    <definedName name="BEx3VML7CG70HPISMVYIUEN3711Q" hidden="1">#REF!</definedName>
    <definedName name="BEx56ZID5H04P9AIYLP1OASFGV56" hidden="1">#REF!</definedName>
    <definedName name="BEx57ROM8UIFKV5C1BOZWSQQLESO" hidden="1">#REF!</definedName>
    <definedName name="BEx587EYSS57E3PI8DT973HLJM9E" hidden="1">#REF!</definedName>
    <definedName name="BEx587KFQ3VKCOCY1SA5F24PQGUI" hidden="1">#REF!</definedName>
    <definedName name="BEx58O780PQ05NF0Z1SKKRB3N099" hidden="1">#REF!</definedName>
    <definedName name="BEx58W57CTL8HFK3U7ZRFYZR6MXE" hidden="1">#REF!</definedName>
    <definedName name="BEx58XHO7ZULLF2EUD7YIS0MGQJ5" hidden="1">#REF!</definedName>
    <definedName name="BEx58ZAFNTMGBNDH52VUYXLRJO7P" hidden="1">#REF!</definedName>
    <definedName name="BEx58ZW0HAIGIPEX9CVA1PQQTR6X" hidden="1">#REF!</definedName>
    <definedName name="BEx593SAFVYKW7V61D9COEZJXDA7" hidden="1">#REF!</definedName>
    <definedName name="BEx59BA1KH3RG6K1LHL7YS2VB79N" hidden="1">#REF!</definedName>
    <definedName name="BEx59DDIU0AMFOY94NSP1ULST8JD" hidden="1">#REF!</definedName>
    <definedName name="BEx59E9WABJP2TN71QAIKK79HPK9" hidden="1">#REF!</definedName>
    <definedName name="BEx59F0T17A80RNLNSZNFX8NAO8Y" hidden="1">#REF!</definedName>
    <definedName name="BEx59P7MAPNU129ZTC5H3EH892G1" hidden="1">#REF!</definedName>
    <definedName name="BEx5A11WZRQSIE089QE119AOX9ZG" hidden="1">#REF!</definedName>
    <definedName name="BEx5A7CIGCOTHJKHGUBDZG91JGPZ" hidden="1">#REF!</definedName>
    <definedName name="BEx5A8UFLT2SWVSG5COFA9B8P376" hidden="1">#REF!</definedName>
    <definedName name="BEx5ABUBK8WJV1WILGYU9A7CO0KI" hidden="1">#REF!</definedName>
    <definedName name="BEx5AFFTN3IXIBHDKM0FYC4OFL1S" hidden="1">#REF!</definedName>
    <definedName name="BEx5AOFIO8KVRHIZ1RII337AA8ML" hidden="1">#REF!</definedName>
    <definedName name="BEx5APRZ66L5BWHFE8E4YYNEDTI4" hidden="1">#REF!</definedName>
    <definedName name="BEx5AQJ1Z64KY10P8ZF1JKJUFEGN" hidden="1">#REF!</definedName>
    <definedName name="BEx5AY62R0TL82VHXE37SCZCINQC" hidden="1">#REF!</definedName>
    <definedName name="BEx5B0PV1FCOUSHWQTY94AO0B8P0" hidden="1">#REF!</definedName>
    <definedName name="BEx5B4RHHX0J1BF2FZKEA0SPP29O" hidden="1">#REF!</definedName>
    <definedName name="BEx5B5YMSWP0OVI5CIQRP5V18D0C" hidden="1">#REF!</definedName>
    <definedName name="BEx5B825RW35M5H0UB2IZGGRS4ER" hidden="1">#REF!</definedName>
    <definedName name="BEx5BAWPMY0TL684WDXX6KKJLRCN" hidden="1">#REF!</definedName>
    <definedName name="BEx5BBCUOWR6J9MZS2ML5XB0X7MW" hidden="1">#REF!</definedName>
    <definedName name="BEx5BBI61U4Y65GD0ARMTALPP7SJ" hidden="1">#REF!</definedName>
    <definedName name="BEx5BDR56MEV4IHY6CIH2SVNG1UB" hidden="1">#REF!</definedName>
    <definedName name="BEx5BESZC5H329SKHGJOHZFILYJJ" hidden="1">#REF!</definedName>
    <definedName name="BEx5BHSQ42B50IU1TEQFUXFX9XQD" hidden="1">#REF!</definedName>
    <definedName name="BEx5BKSM4UN4C1DM3EYKM79MRC5K" hidden="1">#REF!</definedName>
    <definedName name="BEx5BNN8NPH9KVOBARB9CDD9WLB6" hidden="1">#REF!</definedName>
    <definedName name="BEx5BPLEZ8XY6S89R7AZQSKLT4HK" hidden="1">#REF!</definedName>
    <definedName name="BEx5BYFMZ80TDDN2EZO8CF39AIAC" hidden="1">#REF!</definedName>
    <definedName name="BEx5C2BWFW6SHZBFDEISKGXHZCQW" hidden="1">#REF!</definedName>
    <definedName name="BEx5C44NK782B81CBGQUDS6Z8MV9" hidden="1">#REF!</definedName>
    <definedName name="BEx5C49ZFH8TO9ZU55729C3F7XG7" hidden="1">#REF!</definedName>
    <definedName name="BEx5C8GZQK13G60ZM70P63I5OS0L" hidden="1">#REF!</definedName>
    <definedName name="BEx5CAPTVN2NBT3UOMA1UFAL1C2R" hidden="1">#REF!</definedName>
    <definedName name="BEx5CEM3SYF9XP0ZZVE0GEPCLV3F" hidden="1">#REF!</definedName>
    <definedName name="BEx5CFYQ0F1Z6P8SCVJ0I3UPVFE4" hidden="1">#REF!</definedName>
    <definedName name="BEx5CPEKNSJORIPFQC2E1LTRYY8L" hidden="1">#REF!</definedName>
    <definedName name="BEx5CSUOL05D8PAM2TRDA9VRJT1O" hidden="1">#REF!</definedName>
    <definedName name="BEx5CUNFOO4YDFJ22HCMI2QKIGKM" hidden="1">#REF!</definedName>
    <definedName name="BEx5D01O3G6BXWXT7MZEVS1F4TE9" hidden="1">#REF!</definedName>
    <definedName name="BEx5D3HO5XE85AN0NGALZ4K4GE8J" hidden="1">#REF!</definedName>
    <definedName name="BEx5D8L47OF0WHBPFWXGZINZWUBZ" hidden="1">#REF!</definedName>
    <definedName name="BEx5DAJAHQ2SKUPCKSCR3PYML67L" hidden="1">#REF!</definedName>
    <definedName name="BEx5DC18JM1KJCV44PF18E0LNRKA" hidden="1">#REF!</definedName>
    <definedName name="BEx5DFH8EU3RCPUOTFY8S9G8SBCG" hidden="1">#REF!</definedName>
    <definedName name="BEx5DJIZBTNS011R9IIG2OQ2L6ZX" hidden="1">#REF!</definedName>
    <definedName name="BEx5DS2EKWFPC2UWI1W1QESX9QP5" hidden="1">#REF!</definedName>
    <definedName name="BEx5E123OLO9WQUOIRIDJ967KAGK" hidden="1">#REF!</definedName>
    <definedName name="BEx5E2UU5NES6W779W2OZTZOB4O7" hidden="1">#REF!</definedName>
    <definedName name="BEx5ELFT92WAQN3NW8COIMQHUL91" hidden="1">#REF!</definedName>
    <definedName name="BEx5ELQL9B0VR6UT18KP11DHOTFX" hidden="1">#REF!</definedName>
    <definedName name="BEx5ER4TJTFPN7IB1MNEB1ZFR5M6" hidden="1">#REF!</definedName>
    <definedName name="BEx5EYXB2LDMI4FLC3QFAOXC0FZ3" hidden="1">#REF!</definedName>
    <definedName name="BEx5F6V72QTCK7O39Y59R0EVM6CW" hidden="1">#REF!</definedName>
    <definedName name="BEx5FGLQVACD5F5YZG4DGSCHCGO2" hidden="1">#REF!</definedName>
    <definedName name="BEx5FHCTE8VTJEF7IK189AVLNYSY" hidden="1">#REF!</definedName>
    <definedName name="BEx5FLJWHLW3BTZILDPN5NMA449V" hidden="1">#REF!</definedName>
    <definedName name="BEx5FNI2O10YN2SI1NO4X5GP3GTF" hidden="1">#REF!</definedName>
    <definedName name="BEx5FO8YRFSZCG3L608EHIHIHFY4" hidden="1">#REF!</definedName>
    <definedName name="BEx5FQNA6V4CNYSH013K45RI4BCV" hidden="1">#REF!</definedName>
    <definedName name="BEx5FVQPPEU32CPNV9RRQ9MNLLVE" hidden="1">#REF!</definedName>
    <definedName name="BEx5G08KGMG5X2AQKDGPFYG5GH94" hidden="1">#REF!</definedName>
    <definedName name="BEx5G1A8TFN4C4QII35U9DKYNIS8" hidden="1">#REF!</definedName>
    <definedName name="BEx5G1L0QO91KEPDMV1D8OT4BT73" hidden="1">#REF!</definedName>
    <definedName name="BEx5G1QHX69GFUYHUZA5X74MTDMR" hidden="1">#REF!</definedName>
    <definedName name="BEx5G5S2C9JRD28ZQMMQLCBHWOHB" hidden="1">#REF!</definedName>
    <definedName name="BEx5G7KU3EGZQSYN2YNML8EW8NDC" hidden="1">#REF!</definedName>
    <definedName name="BEx5G86DZL1VYUX6KWODAP3WFAWP" hidden="1">#REF!</definedName>
    <definedName name="BEx5G8BV2GIOCM3C7IUFK8L04A6M" hidden="1">#REF!</definedName>
    <definedName name="BEx5GID9MVBUPFFT9M8K8B5MO9NV" hidden="1">#REF!</definedName>
    <definedName name="BEx5GN0EWA9SCQDPQ7NTUQH82QVK" hidden="1">#REF!</definedName>
    <definedName name="BEx5GNBCU4WZ74I0UXFL9ZG2XSGJ" hidden="1">#REF!</definedName>
    <definedName name="BEx5GUCTYC7QCWGWU5BTO7Y7HDZX" hidden="1">#REF!</definedName>
    <definedName name="BEx5GYUPJULJQ624TEESYFG1NFOH" hidden="1">#REF!</definedName>
    <definedName name="BEx5H0NEE0AIN5E2UHJ9J9ISU9N1" hidden="1">#REF!</definedName>
    <definedName name="BEx5H1UJSEUQM2K8QHQXO5THVHSO" hidden="1">#REF!</definedName>
    <definedName name="BEx5HAOT9XWUF7XIFRZZS8B9F5TZ" hidden="1">#REF!</definedName>
    <definedName name="BEx5HB534CO7TBSALKMD27WHMAQJ" hidden="1">#REF!</definedName>
    <definedName name="BEx5HE4XRF9BUY04MENWY9CHHN5H" hidden="1">#REF!</definedName>
    <definedName name="BEx5HFHMABAT0H9KKS754X4T304E" hidden="1">#REF!</definedName>
    <definedName name="BEx5HGDZ7MX1S3KNXLRL9WU565V4" hidden="1">#REF!</definedName>
    <definedName name="BEx5HJZ9FAVNZSSBTAYRPZDYM9NU" hidden="1">#REF!</definedName>
    <definedName name="BEx5HZ9JMKHNLFWLVUB1WP5B39BL" hidden="1">#REF!</definedName>
    <definedName name="BEx5I17QJ0PQ1OG1IMH69HMQWNEA" hidden="1">#REF!</definedName>
    <definedName name="BEx5I244LQHZTF3XI66J8705R9XX" hidden="1">#REF!</definedName>
    <definedName name="BEx5I8PBP4LIXDGID5BP0THLO0AQ" hidden="1">#REF!</definedName>
    <definedName name="BEx5I8USVUB3JP4S9OXGMZVMOQXR" hidden="1">#REF!</definedName>
    <definedName name="BEx5I9GDQSYIAL65UQNDMNFQCS9Y" hidden="1">#REF!</definedName>
    <definedName name="BEx5IBUPG9AWNW5PK7JGRGEJ4OLM" hidden="1">#REF!</definedName>
    <definedName name="BEx5IC06RVN8BSAEPREVKHKLCJ2L" hidden="1">#REF!</definedName>
    <definedName name="BEx5IGY4M04BPXSQF2J4GQYXF85O" hidden="1">#REF!</definedName>
    <definedName name="BEx5IWTZDCLZ5CCDG108STY04SAJ" hidden="1">#REF!</definedName>
    <definedName name="BEx5J0FFP1KS4NGY20AEJI8VREEA" hidden="1">#REF!</definedName>
    <definedName name="BEx5J1XE5FVWL6IJV6CWKPN24UBK" hidden="1">#REF!</definedName>
    <definedName name="BEx5JF3ZXLDIS8VNKDCY7ZI7H1CI" hidden="1">#REF!</definedName>
    <definedName name="BEx5JHCZJ8G6OOOW6EF3GABXKH6F" hidden="1">#REF!</definedName>
    <definedName name="BEx5JJB6W446THXQCRUKD3I7RKLP" hidden="1">#REF!</definedName>
    <definedName name="BEx5JNCT8Z7XSSPD5EMNAJELCU2V" hidden="1">#REF!</definedName>
    <definedName name="BEx5JQCNT9Y4RM306CHC8IPY3HBZ" hidden="1">#REF!</definedName>
    <definedName name="BEx5K08PYKE6JOKBYIB006TX619P" hidden="1">#REF!</definedName>
    <definedName name="BEx5K4W2S2K7M9V2M304KW93LK8Q" hidden="1">#REF!</definedName>
    <definedName name="BEx5K51DSERT1TR7B4A29R41W4NX" hidden="1">#REF!</definedName>
    <definedName name="BEx5KBBZ8KCEQK36ARG4ERYOFD4G" hidden="1">#REF!</definedName>
    <definedName name="BEx5KCOET0DYMY4VILOLGVBX7E3C" hidden="1">#REF!</definedName>
    <definedName name="BEx5KYER580I4T7WTLMUN7NLNP5K" hidden="1">#REF!</definedName>
    <definedName name="BEx5LHLB3M6K4ZKY2F42QBZT30ZH" hidden="1">#REF!</definedName>
    <definedName name="BEx5LKQJG40DO2JR1ZF6KD3PON9K" hidden="1">#REF!</definedName>
    <definedName name="BEx5LQA84QRPGAR4FLC7MCT3H9EN" hidden="1">#REF!</definedName>
    <definedName name="BEx5LRMNU3HXIE1BUMDHRU31F7JJ" hidden="1">#REF!</definedName>
    <definedName name="BEx5LSJ1LPUAX3ENSPECWPG4J7D1" hidden="1">#REF!</definedName>
    <definedName name="BEx5LTKQ8RQWJE4BC88OP928893U" hidden="1">#REF!</definedName>
    <definedName name="BEx5M4D4KHXU4JXKDEHZZNRG7NRA" hidden="1">#REF!</definedName>
    <definedName name="BEx5MB9BR71LZDG7XXQ2EO58JC5F" hidden="1">#REF!</definedName>
    <definedName name="BEx5MHEF05EVRV5DPTG4KMPWZSUS" hidden="1">#REF!</definedName>
    <definedName name="BEx5MLQZM68YQSKARVWTTPINFQ2C" hidden="1">#REF!</definedName>
    <definedName name="BEx5MMCJMU7FOOWUCW9EA13B7V5F" hidden="1">#REF!</definedName>
    <definedName name="BEx5MVXTKNBXHNWTL43C670E4KXC" hidden="1">#REF!</definedName>
    <definedName name="BEx5MWZGZ3VRB5418C2RNF9H17BQ" hidden="1">#REF!</definedName>
    <definedName name="BEx5MX4YD2QV39W04QH9C6AOA0FB" hidden="1">#REF!</definedName>
    <definedName name="BEx5N3A8LULD7YBJH5J83X27PZSW" hidden="1">#REF!</definedName>
    <definedName name="BEx5N4XI4PWB1W9PMZ4O5R0HWTYD" hidden="1">#REF!</definedName>
    <definedName name="BEx5N8DH1SY888WI2GZ2D6E9XCXB" hidden="1">#REF!</definedName>
    <definedName name="BEx5NA68N6FJFX9UJXK4M14U487F" hidden="1">#REF!</definedName>
    <definedName name="BEx5NIKBG2GDJOYGE3WCXKU7YY51" hidden="1">#REF!</definedName>
    <definedName name="BEx5NV06L5J5IMKGOMGKGJ4PBZCD" hidden="1">#REF!</definedName>
    <definedName name="BEx5NW1V6AB25NEEX9VPHRXWJDSS" hidden="1">#REF!</definedName>
    <definedName name="BEx5NWSXWACAUHWVZAI57DGZ8OCQ" hidden="1">#REF!</definedName>
    <definedName name="BEx5NZSSQ6PY99ZX2D7Q9IGOR34W" hidden="1">#REF!</definedName>
    <definedName name="BEx5O2N9HTGG4OJHR62PKFMNZTTW" hidden="1">#REF!</definedName>
    <definedName name="BEx5O3ZUQ2OARA1CDOZ3NC4UE5AA" hidden="1">#REF!</definedName>
    <definedName name="BEx5OAFS0NJ2CB86A02E1JYHMLQ1" hidden="1">#REF!</definedName>
    <definedName name="BEx5OG4RPU8W1ETWDWM234NYYYEN" hidden="1">#REF!</definedName>
    <definedName name="BEx5OP9Y43F99O2IT69MKCCXGL61" hidden="1">#REF!</definedName>
    <definedName name="BEx5P9Y9RDXNUAJ6CZ2LHMM8IM7T" hidden="1">#REF!</definedName>
    <definedName name="BEx5PHWB2C0D5QLP3BZIP3UO7DIZ" hidden="1">#REF!</definedName>
    <definedName name="BEx5PJP02W68K2E46L5C5YBSNU6T" hidden="1">#REF!</definedName>
    <definedName name="BEx5PLCA8DOMAU315YCS5275L2HS" hidden="1">#REF!</definedName>
    <definedName name="BEx5PRXMZ5M65Z732WNNGV564C2J" hidden="1">#REF!</definedName>
    <definedName name="BEx5Q29Y91E64DPE0YY53A6YHF3Y" hidden="1">#REF!</definedName>
    <definedName name="BEx5QPSW4IPLH50WSR87HRER05RF" hidden="1">#REF!</definedName>
    <definedName name="BEx73V0EP8EMNRC3EZJJKKVKWQVB" hidden="1">#REF!</definedName>
    <definedName name="BEx741WJHIJVXUX131SBXTVW8D71" hidden="1">#REF!</definedName>
    <definedName name="BEx74Q6H3O7133AWQXWC21MI2UFT" hidden="1">#REF!</definedName>
    <definedName name="BEx74R2VQ8BSMKPX25262AU3VZF7" hidden="1">#REF!</definedName>
    <definedName name="BEx74W6BJ8ENO3J25WNM5H5APKA3" hidden="1">#REF!</definedName>
    <definedName name="BEx74YKLW1FKLWC3DJ2ELZBZBY1M" hidden="1">#REF!</definedName>
    <definedName name="BEx755GRRD9BL27YHLH5QWIYLWB7" hidden="1">#REF!</definedName>
    <definedName name="BEx759D1D5SXS5ELLZVBI0SXYUNF" hidden="1">#REF!</definedName>
    <definedName name="BEx75DPEQTX055IZ2L8UVLJOT1DD" hidden="1">#REF!</definedName>
    <definedName name="BEx75GJZSZHUDN6OOAGQYFUDA2LP" hidden="1">#REF!</definedName>
    <definedName name="BEx75HGCCV5K4UCJWYV8EV9AG5YT" hidden="1">#REF!</definedName>
    <definedName name="BEx75PZT8TY5P13U978NVBUXKHT4" hidden="1">#REF!</definedName>
    <definedName name="BEx75T55F7GML8V1DMWL26WRT006" hidden="1">#REF!</definedName>
    <definedName name="BEx75VJGR07JY6UUWURQ4PJ29UKC" hidden="1">#REF!</definedName>
    <definedName name="BEx7696AZUPB1PK30JJQUWUELQPJ" hidden="1">#REF!</definedName>
    <definedName name="BEx76PNR8S4T4VUQS0KU58SEX0VN" hidden="1">#REF!</definedName>
    <definedName name="BEx76YY7ODSIKDD9VDF9TLTDM18I" hidden="1">#REF!</definedName>
    <definedName name="BEx7705E86I9B7DTKMMJMAFSYMUL" hidden="1">#REF!</definedName>
    <definedName name="BEx7741OUGLA0WJQLQRUJSL4DE00" hidden="1">#REF!</definedName>
    <definedName name="BEx774N83DXLJZ54Q42PWIJZ2DN1" hidden="1">#REF!</definedName>
    <definedName name="BEx779QNIY3061ZV9BR462WKEGRW" hidden="1">#REF!</definedName>
    <definedName name="BEx77G19QU9A95CNHE6QMVSQR2T3" hidden="1">#REF!</definedName>
    <definedName name="BEx77P0S3GVMS7BJUL9OWUGJ1B02" hidden="1">#REF!</definedName>
    <definedName name="BEx77QDESURI6WW5582YXSK3A972" hidden="1">#REF!</definedName>
    <definedName name="BEx77VBI9XOPFHKEWU5EHQ9J675Y" hidden="1">#REF!</definedName>
    <definedName name="BEx7809GQOCLHSNH95VOYIX7P1TV" hidden="1">#REF!</definedName>
    <definedName name="BEx780K8XAXUHGVZGZWQ74DK4CI3" hidden="1">#REF!</definedName>
    <definedName name="BEx78226TN58UE0CTY98YEDU0LSL" hidden="1">#REF!</definedName>
    <definedName name="BEx7881ZZBWHRAX6W2GY19J8MGEQ" hidden="1">#REF!</definedName>
    <definedName name="BEx78BSYINF85GYNSCIRD95PH86Q" hidden="1">#REF!</definedName>
    <definedName name="BEx78HHRIWDLHQX2LG0HWFRYEL1T" hidden="1">#REF!</definedName>
    <definedName name="BEx78QC4X2YVM9K6MQRB2WJG36N3" hidden="1">#REF!</definedName>
    <definedName name="BEx78QMXZ2P1ZB3HJ9O50DWHCMXR" hidden="1">#REF!</definedName>
    <definedName name="BEx78SFO5VR28677DWZEMDN7G86X" hidden="1">#REF!</definedName>
    <definedName name="BEx78SFOYH1Z0ZDTO47W2M60TW6K" hidden="1">#REF!</definedName>
    <definedName name="BEx7974EARYYX2ICWU0YC50VO5D8" hidden="1">#REF!</definedName>
    <definedName name="BEx79JK3E6JO8MX4O35A5G8NZCC8" hidden="1">#REF!</definedName>
    <definedName name="BEx79OCP4HQ6XP8EWNGEUDLOZBBS" hidden="1">#REF!</definedName>
    <definedName name="BEx79SEAYKUZB0H4LYBCD6WWJBG2" hidden="1">#REF!</definedName>
    <definedName name="BEx79SJRHTLS9PYM69O9BWW1FMJK" hidden="1">#REF!</definedName>
    <definedName name="BEx79YJJLBELICW9F9FRYSCQ101L" hidden="1">#REF!</definedName>
    <definedName name="BEx79YUC7B0V77FSBGIRCY1BR4VK" hidden="1">#REF!</definedName>
    <definedName name="BEx7A06T3RC2891FUX05G3QPRAUE" hidden="1">#REF!</definedName>
    <definedName name="BEx7A9S3JA1X7FH4CFSQLTZC4691" hidden="1">#REF!</definedName>
    <definedName name="BEx7ABA2C9IWH5VSLVLLLCY62161" hidden="1">#REF!</definedName>
    <definedName name="BEx7AE4LPLX8N85BYB0WCO5S7ZPV" hidden="1">#REF!</definedName>
    <definedName name="BEx7AR0EEP9O5JPPEKQWG1TC860T" hidden="1">#REF!</definedName>
    <definedName name="BEx7ASD1I654MEDCO6GGWA95PXSC" hidden="1">#REF!</definedName>
    <definedName name="BEx7AURD3S7JGN4D3YK1QAG6TAFA" hidden="1">#REF!</definedName>
    <definedName name="BEx7AVCX9S5RJP3NSZ4QM4E6ERDT" hidden="1">#REF!</definedName>
    <definedName name="BEx7AVYIGP0930MV5JEBWRYCJN68" hidden="1">#REF!</definedName>
    <definedName name="BEx7B6LH6917TXOSAAQ6U7HVF018" hidden="1">#REF!</definedName>
    <definedName name="BEx7BN8E88JR3K1BSLAZRPSFPQ9L" hidden="1">#REF!</definedName>
    <definedName name="BEx7BP14RMS3638K85OM4NCYLRHG" hidden="1">#REF!</definedName>
    <definedName name="BEx7BPXFZXJ79FQ0E8AQE21PGVHA" hidden="1">#REF!</definedName>
    <definedName name="BEx7C04AM39DQMC1TIX7CFZ2ADHX" hidden="1">#REF!</definedName>
    <definedName name="BEx7C346X4AX2J1QPM4NBC7JL5W9" hidden="1">#REF!</definedName>
    <definedName name="BEx7C40F0PQURHPI6YQ39NFIR86Z" hidden="1">#REF!</definedName>
    <definedName name="BEx7C7B9VCY7N0H7N1NH6HNNH724" hidden="1">#REF!</definedName>
    <definedName name="BEx7C93VR7SYRIJS1JO8YZKSFAW9" hidden="1">#REF!</definedName>
    <definedName name="BEx7CCPC6R1KQQZ2JQU6EFI1G0RM" hidden="1">#REF!</definedName>
    <definedName name="BEx7CIJST9GLS2QD383UK7VUDTGL" hidden="1">#REF!</definedName>
    <definedName name="BEx7CO8T2XKC7GHDSYNAWTZ9L7YR" hidden="1">#REF!</definedName>
    <definedName name="BEx7CW1CF00DO8A36UNC2X7K65C2" hidden="1">#REF!</definedName>
    <definedName name="BEx7CW6NFRL2P4XWP0MWHIYA97KF" hidden="1">#REF!</definedName>
    <definedName name="BEx7CZXN83U7XFVGG1P1N6ZCQK7U" hidden="1">#REF!</definedName>
    <definedName name="BEx7D14R4J25CLH301NHMGU8FSWM" hidden="1">#REF!</definedName>
    <definedName name="BEx7D38BE0Z9QLQBDMGARM9USFPM" hidden="1">#REF!</definedName>
    <definedName name="BEx7D5RWKRS4W71J4NZ6ZSFHPKFT" hidden="1">#REF!</definedName>
    <definedName name="BEx7D8H1TPOX1UN17QZYEV7Q58GA" hidden="1">#REF!</definedName>
    <definedName name="BEx7DGF13H2074LRWFZQ45PZ6JPX" hidden="1">#REF!</definedName>
    <definedName name="BEx7DHBE0SOC5KXWWQ73WUDBRX8J" hidden="1">#REF!</definedName>
    <definedName name="BEx7DKWUXEDIISSX4GDD4YYT887F" hidden="1">#REF!</definedName>
    <definedName name="BEx7DMUYR2HC26WW7AOB1TULERMB" hidden="1">#REF!</definedName>
    <definedName name="BEx7DVJTRV44IMJIBFXELE67SZ7S" hidden="1">#REF!</definedName>
    <definedName name="BEx7DVUMFCI5INHMVFIJ44RTTSTT" hidden="1">#REF!</definedName>
    <definedName name="BEx7E2QT2U8THYOKBPXONB1B47WH" hidden="1">#REF!</definedName>
    <definedName name="BEx7E5QP7W6UKO74F5Y0VJ741HS5" hidden="1">#REF!</definedName>
    <definedName name="BEx7E6N29HGH3I47AFB2DCS6MVS6" hidden="1">#REF!</definedName>
    <definedName name="BEx7EBA8IYHQKT7IQAOAML660SYA" hidden="1">#REF!</definedName>
    <definedName name="BEx7EI6C8MCRZFEQYUBE5FSUTIHK" hidden="1">#REF!</definedName>
    <definedName name="BEx7EI6DL1Z6UWLFBXAKVGZTKHWJ" hidden="1">#REF!</definedName>
    <definedName name="BEx7EQKHX7GZYOLXRDU534TT4H64" hidden="1">#REF!</definedName>
    <definedName name="BEx7ETV6L1TM7JSXJIGK3FC6RVZW" hidden="1">#REF!</definedName>
    <definedName name="BEx7EYYLHMBYQTH6I377FCQS7CSX" hidden="1">#REF!</definedName>
    <definedName name="BEx7FCLG1RYI2SNOU1Y2GQZNZSWA" hidden="1">#REF!</definedName>
    <definedName name="BEx7FN32ZGWOAA4TTH79KINTDWR9" hidden="1">#REF!</definedName>
    <definedName name="BEx7FV0WJHXL6X5JNQ2ZX45PX49P" hidden="1">#REF!</definedName>
    <definedName name="BEx7G82CKM3NIY1PHNFK28M09PCH" hidden="1">#REF!</definedName>
    <definedName name="BEx7GR3ENYWRXXS5IT0UMEGOLGUH" hidden="1">#REF!</definedName>
    <definedName name="BEx7GSAL6P7TASL8MB63RFST1LJL" hidden="1">#REF!</definedName>
    <definedName name="BEx7H0JD6I5I8WQLLWOYWY5YWPQE" hidden="1">#REF!</definedName>
    <definedName name="BEx7H14XCXH7WEXEY1HVO53A6AGH" hidden="1">#REF!</definedName>
    <definedName name="BEx7HGVBEF4LEIF6RC14N3PSU461" hidden="1">#REF!</definedName>
    <definedName name="BEx7HQ5T9FZ42QWS09UO4DT42Y0R" hidden="1">#REF!</definedName>
    <definedName name="BEx7HRCZE3CVGON1HV07MT5MNDZ3" hidden="1">#REF!</definedName>
    <definedName name="BEx7HWGE2CANG5M17X4C8YNC3N8F" hidden="1">#REF!</definedName>
    <definedName name="BEx7IB54GU5UCTJS549UBDW43EJL" hidden="1">#REF!</definedName>
    <definedName name="BEx7IBVYN47SFZIA0K4MDKQZNN9V" hidden="1">#REF!</definedName>
    <definedName name="BEx7IGOMJB39HUONENRXTK1MFHGE" hidden="1">#REF!</definedName>
    <definedName name="BEx7ISO6LTCYYDK0J6IN4PG2P6SW" hidden="1">#REF!</definedName>
    <definedName name="BEx7IV2IJ5WT7UC0UG7WP0WF2JZI" hidden="1">#REF!</definedName>
    <definedName name="BEx7IXGU74GE5E4S6W4Z13AR092Y" hidden="1">#REF!</definedName>
    <definedName name="BEx7J4YL8Q3BI1MLH16YYQ18IJRD" hidden="1">#REF!</definedName>
    <definedName name="BEx7J5K5QVUOXI6A663KUWL6PO3O" hidden="1">#REF!</definedName>
    <definedName name="BEx7JH3HGBPI07OHZ5LFYK0UFZQR" hidden="1">#REF!</definedName>
    <definedName name="BEx7JRL3MHRMVLQF3EN15MXRPN68" hidden="1">#REF!</definedName>
    <definedName name="BEx7JV194190CNM6WWGQ3UBJ3CHH" hidden="1">#REF!</definedName>
    <definedName name="BEx7JZJ4AE8AGMWPK3XPBTBUBZ48" hidden="1">#REF!</definedName>
    <definedName name="BEx7K7GZ607XQOGB81A1HINBTGOZ" hidden="1">#REF!</definedName>
    <definedName name="BEx7KEYPBDXSNROH8M6CDCBN6B50" hidden="1">#REF!</definedName>
    <definedName name="BEx7KH7PZ0A6FSWA4LAN2CMZ0WSF" hidden="1">#REF!</definedName>
    <definedName name="BEx7KNCTL6VMNQP4MFMHOMV1WI1Y" hidden="1">#REF!</definedName>
    <definedName name="BEx7KSAS8BZT6H8OQCZ5DNSTMO07" hidden="1">#REF!</definedName>
    <definedName name="BEx7KWHTBD21COXVI4HNEQH0Z3L8" hidden="1">#REF!</definedName>
    <definedName name="BEx7KXUGRMRSUXCM97Z7VRZQ9JH2" hidden="1">#REF!</definedName>
    <definedName name="BEx7L5C6U8MP6IZ67BD649WQYJEK" hidden="1">#REF!</definedName>
    <definedName name="BEx7L8HEYEVTATR0OG5JJO647KNI" hidden="1">#REF!</definedName>
    <definedName name="BEx7L8XOV64OMS15ZFURFEUXLMWF" hidden="1">#REF!</definedName>
    <definedName name="BEx7LPF478MRAYB9TQ6LDML6O3BY" hidden="1">#REF!</definedName>
    <definedName name="BEx7LPV780NFCG1VX4EKJ29YXOLZ" hidden="1">#REF!</definedName>
    <definedName name="BEx7LQ0PD30NJWOAYKPEYHM9J83B" hidden="1">#REF!</definedName>
    <definedName name="BEx7M4EKEDHZ1ZZ91NDLSUNPUFPZ" hidden="1">#REF!</definedName>
    <definedName name="BEx7MAUI1JJFDIJGDW4RWY5384LY" hidden="1">#REF!</definedName>
    <definedName name="BEx7MI1EW6N7FOBHWJLYC02TZSKR" hidden="1">#REF!</definedName>
    <definedName name="BEx7MJZO3UKAMJ53UWOJ5ZD4GGMQ" hidden="1">#REF!</definedName>
    <definedName name="BEx7MO17TZ6L4457Q12FYYLUUZAZ" hidden="1">#REF!</definedName>
    <definedName name="BEx7MT4MFNXIVQGAT6D971GZW7CA" hidden="1">#REF!</definedName>
    <definedName name="BEx7MUMLPPX92MX7SA8S1PLONDL8" hidden="1">#REF!</definedName>
    <definedName name="BEx7MX0W532Q7CB4V6KFVC9WAOUI" hidden="1">#REF!</definedName>
    <definedName name="BEx7NB403NE748IF75RXMWOFQ986" hidden="1">#REF!</definedName>
    <definedName name="BEx7NI062THZAM6I8AJWTFJL91CS" hidden="1">#REF!</definedName>
    <definedName name="BEx904S75BPRYMHF0083JF7ES4NG" hidden="1">#REF!</definedName>
    <definedName name="BEx90HDD4RWF7JZGA8GCGG7D63MG" hidden="1">#REF!</definedName>
    <definedName name="BEx90HO6UVMFVSV8U0YBZFHNCL38" hidden="1">#REF!</definedName>
    <definedName name="BEx90VGH5H09ON2QXYC9WIIEU98T" hidden="1">#REF!</definedName>
    <definedName name="BEx9157279000SVN5XNWQ99JY0WU" hidden="1">#REF!</definedName>
    <definedName name="BEx9175B70QXYAU5A8DJPGZQ46L9" hidden="1">#REF!</definedName>
    <definedName name="BEx91AQQRTV87AO27VWHSFZAD4ZR" hidden="1">#REF!</definedName>
    <definedName name="BEx91L8FLL5CWLA2CDHKCOMGVDZN" hidden="1">#REF!</definedName>
    <definedName name="BEx91OTVH9ZDBC3QTORU8RZX4EOC" hidden="1">#REF!</definedName>
    <definedName name="BEx91QH5JRZKQP1GPN2SQMR3CKAG" hidden="1">#REF!</definedName>
    <definedName name="BEx91ROALDNHO7FI4X8L61RH4UJE" hidden="1">#REF!</definedName>
    <definedName name="BEx91TMID71GVYH0U16QM1RV3PX0" hidden="1">#REF!</definedName>
    <definedName name="BEx91VF2D78PAF337E3L2L81K9W2" hidden="1">#REF!</definedName>
    <definedName name="BEx921PNZ46VORG2VRMWREWIC0SE" hidden="1">#REF!</definedName>
    <definedName name="BEx929CVDCG5CFUQWNDLOSNRQ1FN" hidden="1">#REF!</definedName>
    <definedName name="BEx92DPEKL5WM5A3CN8674JI0PR3" hidden="1">#REF!</definedName>
    <definedName name="BEx92ER2RMY93TZK0D9L9T3H0GI5" hidden="1">#REF!</definedName>
    <definedName name="BEx92FI04PJT4LI23KKIHRXWJDTT" hidden="1">#REF!</definedName>
    <definedName name="BEx92HR14HQ9D5JXCSPA4SS4RT62" hidden="1">#REF!</definedName>
    <definedName name="BEx92HWA2D6A5EX9MFG68G0NOMSN" hidden="1">#REF!</definedName>
    <definedName name="BEx92I1SQUKW2W7S22E82HLJXRGK" hidden="1">#REF!</definedName>
    <definedName name="BEx92PUBDIXAU1FW5ZAXECMAU0LN" hidden="1">#REF!</definedName>
    <definedName name="BEx92S8MHFFIVRQ2YSHZNQGOFUHD" hidden="1">#REF!</definedName>
    <definedName name="BEx92VJ5FJGXISSSMOUAESCSIWFV" hidden="1">#REF!</definedName>
    <definedName name="BEx93B9OULL2YGC896XXYAAJSTRK" hidden="1">#REF!</definedName>
    <definedName name="BEx93FRKF99NRT3LH99UTIH7AAYF" hidden="1">#REF!</definedName>
    <definedName name="BEx93M7FSHP50OG34A4W8W8DF12U" hidden="1">#REF!</definedName>
    <definedName name="BEx93OLWY2O3PRA74U41VG5RXT4Q" hidden="1">#REF!</definedName>
    <definedName name="BEx93RWFAF6YJGYUTITVM445C02U" hidden="1">#REF!</definedName>
    <definedName name="BEx93SY9RWG3HUV4YXQKXJH9FH14" hidden="1">#REF!</definedName>
    <definedName name="BEx93TJUX3U0FJDBG6DDSNQ91R5J" hidden="1">#REF!</definedName>
    <definedName name="BEx942UCRHMI4B0US31HO95GSC2X" hidden="1">#REF!</definedName>
    <definedName name="BEx942ZND3V7XSHKTD0UH9X85N5E" hidden="1">#REF!</definedName>
    <definedName name="BEx947HHLR6UU6NYPNDZRF79V52K" hidden="1">#REF!</definedName>
    <definedName name="BEx948ZFFQWVIDNG4AZAUGGGEB5U" hidden="1">#REF!</definedName>
    <definedName name="BEx94CKXG92OMURH41SNU6IOHK4J" hidden="1">#REF!</definedName>
    <definedName name="BEx94GXG30CIVB6ZQN3X3IK6BZXQ" hidden="1">#REF!</definedName>
    <definedName name="BEx94HJ0DWZHE39X4BLCQCJ3M1MC" hidden="1">#REF!</definedName>
    <definedName name="BEx94HZ5LURYM9ST744ALV6ZCKYP" hidden="1">#REF!</definedName>
    <definedName name="BEx94IQ75E90YUMWJ9N591LR7DQQ" hidden="1">#REF!</definedName>
    <definedName name="BEx94N7W5T3U7UOE97D6OVIBUCXS" hidden="1">#REF!</definedName>
    <definedName name="BEx955NIAWX5OLAHMTV6QFUZPR30" hidden="1">#REF!</definedName>
    <definedName name="BEx9581TYVI2M5TT4ISDAJV4W7Z6" hidden="1">#REF!</definedName>
    <definedName name="BEx95G55NR99FDSE95CXDI4DKWSV" hidden="1">#REF!</definedName>
    <definedName name="BEx95NHF4RVUE0YDOAFZEIVBYJXD" hidden="1">#REF!</definedName>
    <definedName name="BEx95QBZMG0E2KQ9BERJ861QLYN3" hidden="1">#REF!</definedName>
    <definedName name="BEx95QHBVDN795UNQJLRXG3RDU49" hidden="1">#REF!</definedName>
    <definedName name="BEx95TBVUWV7L7OMFMZDQEXGVHU6" hidden="1">#REF!</definedName>
    <definedName name="BEx95U89DZZSVO39TGS62CX8G9N4" hidden="1">#REF!</definedName>
    <definedName name="BEx95XTPKKKJG67C45LRX0T25I06" hidden="1">#REF!</definedName>
    <definedName name="BEx9602K2GHNBUEUVT9ONRQU1GMD" hidden="1">#REF!</definedName>
    <definedName name="BEx9602LTEI8BPC79BGMRK6S0RP8" hidden="1">#REF!</definedName>
    <definedName name="BEx962BL3Y4LA53EBYI64ZYMZE8U" hidden="1">#REF!</definedName>
    <definedName name="BEx96HAWZ2EMMI7VJ5NQXGK044OO" hidden="1">#REF!</definedName>
    <definedName name="BEx96KR21O7H9R29TN0S45Y3QPUK" hidden="1">#REF!</definedName>
    <definedName name="BEx96SUFKHHFE8XQ6UUO6ILDOXHO" hidden="1">#REF!</definedName>
    <definedName name="BEx96UN4YWXBDEZ1U1ZUIPP41Z7I" hidden="1">#REF!</definedName>
    <definedName name="BEx978KSD61YJH3S9DGO050R2EHA" hidden="1">#REF!</definedName>
    <definedName name="BEx97H9O1NAKAPK4MX4PKO34ICL5" hidden="1">#REF!</definedName>
    <definedName name="BEx97MNUZQ1Z0AO2FL7XQYVNCPR7" hidden="1">#REF!</definedName>
    <definedName name="BEx97NPQBACJVD9K1YXI08RTW9E2" hidden="1">#REF!</definedName>
    <definedName name="BEx97RWQLXS0OORDCN69IGA58CWU" hidden="1">#REF!</definedName>
    <definedName name="BEx97YNGGDFIXHTMGFL2IHAQX9MI" hidden="1">#REF!</definedName>
    <definedName name="BEx9805E16VCDEWPM3404WTQS6ZK" hidden="1">#REF!</definedName>
    <definedName name="BEx981HW73BUZWT14TBTZHC0ZTJ4" hidden="1">#REF!</definedName>
    <definedName name="BEx9871KU0N99P0900EAK69VFYT2" hidden="1">#REF!</definedName>
    <definedName name="BEx98IFKNJFGZFLID1YTRFEG1SXY" hidden="1">#REF!</definedName>
    <definedName name="BEx98T7ZEF0HKRFLBVK3BNKCG3CJ" hidden="1">#REF!</definedName>
    <definedName name="BEx98WYSAS39FWGYTMQ8QGIT81TF" hidden="1">#REF!</definedName>
    <definedName name="BEx990461P2YAJ7BRK25INFYZ7RQ" hidden="1">#REF!</definedName>
    <definedName name="BEx9915UVD4G7RA3IMLFZ0LG3UA2" hidden="1">#REF!</definedName>
    <definedName name="BEx991M410V3S2PKCJGQ30O6JT6H" hidden="1">#REF!</definedName>
    <definedName name="BEx992CZON8AO7U7V88VN1JBO0MG" hidden="1">#REF!</definedName>
    <definedName name="BEx9952469XMFGSPXL7CMXHPJF90" hidden="1">#REF!</definedName>
    <definedName name="BEx99B77I7TUSHRR4HIZ9FU2EIUT" hidden="1">#REF!</definedName>
    <definedName name="BEx99EHWKKHZB66Q30C7QIXU3BVM" hidden="1">#REF!</definedName>
    <definedName name="BEx99IE6TEODZ443HP0AYCXVTNOV" hidden="1">#REF!</definedName>
    <definedName name="BEx99Q6PH5F3OQKCCAAO75PYDEFN" hidden="1">#REF!</definedName>
    <definedName name="BEx99RU5I4O0109P2FW9DN4IU3QX" hidden="1">#REF!</definedName>
    <definedName name="BEx99WBYT2D6UUC1PT7A40ENYID4" hidden="1">#REF!</definedName>
    <definedName name="BEx99WS2X3RTQE9O764SS5G2FPE6" hidden="1">#REF!</definedName>
    <definedName name="BEx99ZRZ4I7FHDPGRAT5VW7NVBPU" hidden="1">#REF!</definedName>
    <definedName name="BEx9AT5E3ZSHKSOL35O38L8HF9TH" hidden="1">#REF!</definedName>
    <definedName name="BEx9ATW9WB5CNKQR5HKK7Y2GHYGR" hidden="1">#REF!</definedName>
    <definedName name="BEx9AV8W1FAWF5BHATYEN47X12JN" hidden="1">#REF!</definedName>
    <definedName name="BEx9B8A5186FNTQQNLIO5LK02ABI" hidden="1">#REF!</definedName>
    <definedName name="BEx9B8VR20E2CILU4CDQUQQ9ONXK" hidden="1">#REF!</definedName>
    <definedName name="BEx9B917EUP13X6FQ3NPQL76XM5V" hidden="1">#REF!</definedName>
    <definedName name="BEx9BAJ5WYEQ623HUT9NNCMP3RUG" hidden="1">#REF!</definedName>
    <definedName name="BEx9BE9Z7EFJCFDYJJOY5KFTGDF4" hidden="1">#REF!</definedName>
    <definedName name="BEx9BSIJN2O0MG8CXAMCAOADEMTO" hidden="1">#REF!</definedName>
    <definedName name="BEx9BU0BBJO3ITPCO4T9FIVEVJY7" hidden="1">#REF!</definedName>
    <definedName name="BEx9BYSYW7QCPXS2NAVLFAU5Y2Z2" hidden="1">#REF!</definedName>
    <definedName name="BEx9C590HJ2O31IWJB73C1HR74AI" hidden="1">#REF!</definedName>
    <definedName name="BEx9CCQRMYYOGIOYTOM73VKDIPS1" hidden="1">#REF!</definedName>
    <definedName name="BEx9CM6JVXIG9S6EAZMR899UW190" hidden="1">#REF!</definedName>
    <definedName name="BEx9D160NRGTDVT2ML4H9A7UKR4T" hidden="1">#REF!</definedName>
    <definedName name="BEx9D1BC9FT19KY0INAABNDBAMR1" hidden="1">#REF!</definedName>
    <definedName name="BEx9D1MB15VSARB7IKBMZYU0JJBI" hidden="1">#REF!</definedName>
    <definedName name="BEx9DN6ZMF18Q39MPMXSDJTZQNJ3" hidden="1">#REF!</definedName>
    <definedName name="BEx9DZXN85O544CD9O60K126YYAU" hidden="1">#REF!</definedName>
    <definedName name="BEx9E14TDNSEMI784W0OTIEQMWN6" hidden="1">#REF!</definedName>
    <definedName name="BEx9E14TGNBYGMDDG9NETDK4SYAW" hidden="1">#REF!</definedName>
    <definedName name="BEx9E2BZ2B1R41FMGJCJ7JLGLUAJ" hidden="1">#REF!</definedName>
    <definedName name="BEx9EG9KBJ77M8LEOR9ITOKN5KXY" hidden="1">#REF!</definedName>
    <definedName name="BEx9EL27NGDBCTVPW97K42QANS5K" hidden="1">#REF!</definedName>
    <definedName name="BEx9EMK6HAJJMVYZTN5AUIV7O1E6" hidden="1">#REF!</definedName>
    <definedName name="BEx9ENB8RPU9FA3QW16IGB6LK1CH" hidden="1">#REF!</definedName>
    <definedName name="BEx9EQLVZHYQ1TPX7WH3SOWXCZLE" hidden="1">#REF!</definedName>
    <definedName name="BEx9ETLU0EK5LGEM1QCNYN2S8O5F" hidden="1">#REF!</definedName>
    <definedName name="BEx9F0710LGLAU3161O0O346N58H" hidden="1">#REF!</definedName>
    <definedName name="BEx9F0Y2ESUNE3U7TQDLMPE9BO67" hidden="1">#REF!</definedName>
    <definedName name="BEx9F439L1R726MJFX2EP39XIBPY" hidden="1">#REF!</definedName>
    <definedName name="BEx9F5W18ZGFOKGRE8PR6T1MO6GT" hidden="1">#REF!</definedName>
    <definedName name="BEx9F78N4HY0XFGBQ4UJRD52L1EI" hidden="1">#REF!</definedName>
    <definedName name="BEx9FF16LOQP5QIR4UHW5EIFGQB8" hidden="1">#REF!</definedName>
    <definedName name="BEx9FJTSRCZ3ZXT3QVBJT5NF8T7V" hidden="1">#REF!</definedName>
    <definedName name="BEx9FRBEEYPS5HLS3XT34AKZN94G" hidden="1">#REF!</definedName>
    <definedName name="BEx9G5USBCNYNA7HGVW92D800SKX" hidden="1">#REF!</definedName>
    <definedName name="BEx9G7CPXG7HR6N6FHPU2DBBUIKG" hidden="1">#REF!</definedName>
    <definedName name="BEx9GDY4D8ZPQJCYFIMYM0V0C51Y" hidden="1">#REF!</definedName>
    <definedName name="BEx9GGY04V0ZWI6O9KZH4KSBB389" hidden="1">#REF!</definedName>
    <definedName name="BEx9GMC7TE8SDTCO5PHODBUF4SM1" hidden="1">#REF!</definedName>
    <definedName name="BEx9GMN0B495HEAOG6JQK9D7HUPC" hidden="1">#REF!</definedName>
    <definedName name="BEx9GNOPB6OZ2RH3FCDNJR38RJOS" hidden="1">#REF!</definedName>
    <definedName name="BEx9GUQALUWCD30UKUQGSWW8KBQ7" hidden="1">#REF!</definedName>
    <definedName name="BEx9GY6BVFQGCLMOWVT6PIC9WP5X" hidden="1">#REF!</definedName>
    <definedName name="BEx9GZ2P3FDHKXEBXX2VS0BG2NP2" hidden="1">#REF!</definedName>
    <definedName name="BEx9H04IB14E1437FF2OIRRWBSD7" hidden="1">#REF!</definedName>
    <definedName name="BEx9H5O1KDZJCW91Q29VRPY5YS6P" hidden="1">#REF!</definedName>
    <definedName name="BEx9H8YR0E906F1JXZMBX3LNT004" hidden="1">#REF!</definedName>
    <definedName name="BEx9I1QKLI6OOUPQLUQ0EF0355X6" hidden="1">#REF!</definedName>
    <definedName name="BEx9I8XIG7E5NB48QQHXP23FIN60" hidden="1">#REF!</definedName>
    <definedName name="BEx9IQRF01ATLVK0YE60ARKQJ68L" hidden="1">#REF!</definedName>
    <definedName name="BEx9IT5QNZWKM6YQ5WER0DC2PMMU" hidden="1">#REF!</definedName>
    <definedName name="BEx9IUICG3HZWG57MG3NXCEX4LQI" hidden="1">#REF!</definedName>
    <definedName name="BEx9IW5LYJF40GS78FJNXO9O667A" hidden="1">#REF!</definedName>
    <definedName name="BEx9IW5MFLXTVCJHVUZTUH93AXOS" hidden="1">#REF!</definedName>
    <definedName name="BEx9IXCSPSZC80YZUPRCYTG326KV" hidden="1">#REF!</definedName>
    <definedName name="BEx9IYUQSBZ0GG9ZT1QKX83F42F1" hidden="1">#REF!</definedName>
    <definedName name="BEx9IZR39NHDGOM97H4E6F81RTQW" hidden="1">#REF!</definedName>
    <definedName name="BEx9J6CH5E7YZPER7HXEIOIKGPCA" hidden="1">#REF!</definedName>
    <definedName name="BEx9JJTZKVUJAVPTRE0RAVTEH41G" hidden="1">#REF!</definedName>
    <definedName name="BEx9JLBYK239B3F841C7YG1GT7ST" hidden="1">#REF!</definedName>
    <definedName name="BExAW4IIW5D0MDY6TJ3G4FOLPYIR" hidden="1">#REF!</definedName>
    <definedName name="BExAWNP1B2E9Q88TW48NH41C0FTZ" hidden="1">#REF!</definedName>
    <definedName name="BExAWUFQXTIPQ308ERZPSVPTUMYN" hidden="1">#REF!</definedName>
    <definedName name="BExAWY6O96OQO2R036QK2DI37EKV" hidden="1">#REF!</definedName>
    <definedName name="BExAX410NB4F2XOB84OR2197H8M5" hidden="1">#REF!</definedName>
    <definedName name="BExAX8TNG8LQ5Q4904SAYQIPGBSV" hidden="1">#REF!</definedName>
    <definedName name="BExAX9KPAVIVUVU3XREDCV1BIYZL" hidden="1">#REF!</definedName>
    <definedName name="BExAXPB35BNVXZYF2XS6UP3LP0QH" hidden="1">#REF!</definedName>
    <definedName name="BExAXWSRVPK0GCZ2UFU10UOP01IY" hidden="1">#REF!</definedName>
    <definedName name="BExAY0EAT2LXR5MFGM0DLIB45PLO" hidden="1">#REF!</definedName>
    <definedName name="BExAY6JK0AK9EBIJSPEJNOIDE40W" hidden="1">#REF!</definedName>
    <definedName name="BExAYE6LNIEBR9DSNI5JGNITGKIT" hidden="1">#REF!</definedName>
    <definedName name="BExAYHMLXGGO25P8HYB2S75DEB4F" hidden="1">#REF!</definedName>
    <definedName name="BExAYKXAUWGDOPG952TEJ2UKZKWN" hidden="1">#REF!</definedName>
    <definedName name="BExAYP9TDTI2MBP6EYE0H39CPMXN" hidden="1">#REF!</definedName>
    <definedName name="BExAYPPWJPWDKU59O051WMGB7O0J" hidden="1">#REF!</definedName>
    <definedName name="BExAYR2JZCJBUH6F1LZC2A7JIVRJ" hidden="1">#REF!</definedName>
    <definedName name="BExAYTGVRD3DLKO75RFPMBKCIWB8" hidden="1">#REF!</definedName>
    <definedName name="BExAYY9H9COOT46HJLPVDLTO12UL" hidden="1">#REF!</definedName>
    <definedName name="BExAYYKAQA3KDMQ890FIE5M9SPBL" hidden="1">#REF!</definedName>
    <definedName name="BExAZ6SY0EU69GC3CWI5EOO0YLFG" hidden="1">#REF!</definedName>
    <definedName name="BExAZ6YEEBJV0PCKFE137K2Y3A8M" hidden="1">#REF!</definedName>
    <definedName name="BExAZAP844MJ4GSAIYNYHQ7FECC3" hidden="1">#REF!</definedName>
    <definedName name="BExAZCNEGB4JYHC8CZ51KTN890US" hidden="1">#REF!</definedName>
    <definedName name="BExAZFCI302YFYRDJYQDWQQL0Q0O" hidden="1">#REF!</definedName>
    <definedName name="BExAZJE2UOL40XUAU2RB53X5K20P" hidden="1">#REF!</definedName>
    <definedName name="BExAZLHLST9OP89R1HJMC1POQG8H" hidden="1">#REF!</definedName>
    <definedName name="BExAZMDYMIAA7RX1BMCKU1VLBRGY" hidden="1">#REF!</definedName>
    <definedName name="BExAZNL6BHI8DCQWXOX4I2P839UX" hidden="1">#REF!</definedName>
    <definedName name="BExAZRMWSONMCG9KDUM4KAQ7BONM" hidden="1">#REF!</definedName>
    <definedName name="BExAZSOJNQ5N3LM4XA17IH7NIY7G" hidden="1">#REF!</definedName>
    <definedName name="BExAZTFG4SJRG4TW6JXRF7N08JFI" hidden="1">#REF!</definedName>
    <definedName name="BExAZUS4A8OHDZK0MWAOCCCKTH73" hidden="1">#REF!</definedName>
    <definedName name="BExAZX6FECVK3E07KXM2XPYKGM6U" hidden="1">#REF!</definedName>
    <definedName name="BExB012NJ8GASTNNPBRRFTLHIOC9" hidden="1">#REF!</definedName>
    <definedName name="BExB072HHXVMUC0VYNGG48GRSH5Q" hidden="1">#REF!</definedName>
    <definedName name="BExB0FRDEYDEUEAB1W8KD6D965XA" hidden="1">#REF!</definedName>
    <definedName name="BExB0GIGLDV7P55ZR51C0HG15PA2" hidden="1">#REF!</definedName>
    <definedName name="BExB0KPCN7YJORQAYUCF4YKIKPMC" hidden="1">#REF!</definedName>
    <definedName name="BExB0VHQD6ORZS0MIC86QWHCE4UC" hidden="1">#REF!</definedName>
    <definedName name="BExB0WE4PI3NOBXXVO9CTEN4DIU2" hidden="1">#REF!</definedName>
    <definedName name="BExB0Z8O1CQF2CWFBBHE8SNISDAO" hidden="1">#REF!</definedName>
    <definedName name="BExB10QNIVITUYS55OAEKK3VLJFE" hidden="1">#REF!</definedName>
    <definedName name="BExB15ZDRY4CIJ911DONP0KCY9KU" hidden="1">#REF!</definedName>
    <definedName name="BExB16VQY0O0RLZYJFU3OFEONVTE" hidden="1">#REF!</definedName>
    <definedName name="BExB1FKNY2UO4W5FUGFHJOA2WFGG" hidden="1">#REF!</definedName>
    <definedName name="BExB1GMD0PIDGTFBGQOPRWQSP9I4" hidden="1">#REF!</definedName>
    <definedName name="BExB1HZ0FHGNOS2URJWFD5G55OMO" hidden="1">#REF!</definedName>
    <definedName name="BExB1Q29OO6LNFNT1EQLA3KYE7MX" hidden="1">#REF!</definedName>
    <definedName name="BExB1TNRV5EBWZEHYLHI76T0FVA7" hidden="1">#REF!</definedName>
    <definedName name="BExB1WI6M8I0EEP1ANUQZCFY24EV" hidden="1">#REF!</definedName>
    <definedName name="BExB203OWC9QZA3BYOKQ18L4FUJE" hidden="1">#REF!</definedName>
    <definedName name="BExB2CJHTU7C591BR4WRL5L2F2K6" hidden="1">#REF!</definedName>
    <definedName name="BExB2K1AV4PGNS1O6C7D7AO411AX" hidden="1">#REF!</definedName>
    <definedName name="BExB2O2UYHKI324YE324E1N7FVIB" hidden="1">#REF!</definedName>
    <definedName name="BExB2Q0VJ0MU2URO3JOVUAVHEI3V" hidden="1">#REF!</definedName>
    <definedName name="BExB30IP1DNKNQ6PZ5ERUGR5MK4Z" hidden="1">#REF!</definedName>
    <definedName name="BExB385QW2BSSBXS953SSQN2ISSW" hidden="1">#REF!</definedName>
    <definedName name="BExB3DEMEV5D9G8FDHD4NQ9X2YNT" hidden="1">#REF!</definedName>
    <definedName name="BExB3RXU8AJQ86I5RXEWLGGR7R7C" hidden="1">#REF!</definedName>
    <definedName name="BExB442RX0T3L6HUL6X5T21CENW6" hidden="1">#REF!</definedName>
    <definedName name="BExB4ADD0L7417CII901XTFKXD1J" hidden="1">#REF!</definedName>
    <definedName name="BExB4DYU06HCGRIPBSWRCXK804UM" hidden="1">#REF!</definedName>
    <definedName name="BExB4HEZO4E597Q5M4M10LT8TLY3" hidden="1">#REF!</definedName>
    <definedName name="BExB4X01APD3Z8ZW6MVX1P8NAO7G" hidden="1">#REF!</definedName>
    <definedName name="BExB4Z3EZBGYYI33U0KQ8NEIH8PY" hidden="1">#REF!</definedName>
    <definedName name="BExB4ZJOLU1PXBMG4TPCCLTRMNRE" hidden="1">#REF!</definedName>
    <definedName name="BExB4ZZSDPL4Q05BMVT5TUN0IGKT" hidden="1">#REF!</definedName>
    <definedName name="BExB55368XW7UX657ZSPC6BFE92S" hidden="1">#REF!</definedName>
    <definedName name="BExB57MZEPL2SA2ONPK66YFLZWJU" hidden="1">#REF!</definedName>
    <definedName name="BExB5833OAOJ22VK1YK47FHUSVK2" hidden="1">#REF!</definedName>
    <definedName name="BExB58JDIHS42JZT9DJJMKA8QFCO" hidden="1">#REF!</definedName>
    <definedName name="BExB58U5FQC5JWV9CGC83HLLZUZI" hidden="1">#REF!</definedName>
    <definedName name="BExB5EDO9XUKHF74X3HAU2WPPHZH" hidden="1">#REF!</definedName>
    <definedName name="BExB5EDOQKZIQXT13IG1KLCZ474G" hidden="1">#REF!</definedName>
    <definedName name="BExB5G6EH68AYEP1UT0GHUEL3SLN" hidden="1">#REF!</definedName>
    <definedName name="BExB5LVGGXMNUN3D3452G3J62MKF" hidden="1">#REF!</definedName>
    <definedName name="BExB5QYVEZWFE5DQVHAM760EV05X" hidden="1">#REF!</definedName>
    <definedName name="BExB5U9IRH14EMOE0YGIE3WIVLFS" hidden="1">#REF!</definedName>
    <definedName name="BExB5V5WWQYPK4GCSYZQALJYGC94" hidden="1">#REF!</definedName>
    <definedName name="BExB5VWYMOV6BAIH7XUBBVPU7MMD" hidden="1">#REF!</definedName>
    <definedName name="BExB610DZWIJP1B72U9QM42COH2B" hidden="1">#REF!</definedName>
    <definedName name="BExB64AX81KEVMGZDXB25NB459SW" hidden="1">#REF!</definedName>
    <definedName name="BExB6C3FUAKK9ML5T767NMWGA9YB" hidden="1">#REF!</definedName>
    <definedName name="BExB6C8X6JYRLKZKK17VE3QUNL3D" hidden="1">#REF!</definedName>
    <definedName name="BExB6HN3QRFPXM71MDUK21BKM7PF" hidden="1">#REF!</definedName>
    <definedName name="BExB6I39SKL5BMHHDD9EED7FQD9Z" hidden="1">#REF!</definedName>
    <definedName name="BExB6IZMHCZ3LB7N73KD90YB1HBZ" hidden="1">#REF!</definedName>
    <definedName name="BExB719SGNX4Y8NE6JEXC555K596" hidden="1">#REF!</definedName>
    <definedName name="BExB7265DCHKS7V2OWRBXCZTEIW9" hidden="1">#REF!</definedName>
    <definedName name="BExB74PS5P9G0P09Y6DZSCX0FLTJ" hidden="1">#REF!</definedName>
    <definedName name="BExB78RH79J0MIF7H8CAZ0CFE88Q" hidden="1">#REF!</definedName>
    <definedName name="BExB7ELT09HGDVO5BJC1ZY9D09GZ" hidden="1">#REF!</definedName>
    <definedName name="BExB7F7EIHG0MYMQYUVG9HIZPHMZ" hidden="1">#REF!</definedName>
    <definedName name="BExB806PAXX70XUTA3ZI7OORD78R" hidden="1">#REF!</definedName>
    <definedName name="BExB83199EQQS6I5HE7WADNCK8OE" hidden="1">#REF!</definedName>
    <definedName name="BExB8HF4UBVZKQCSRFRUQL2EE6VL" hidden="1">#REF!</definedName>
    <definedName name="BExB8HKHKZ1ORJZUYGG2M4VSCC39" hidden="1">#REF!</definedName>
    <definedName name="BExB8HV9YUS1Q77M9SNFRKDLU5HS" hidden="1">#REF!</definedName>
    <definedName name="BExB8QPH8DC5BESEVPSMBCWVN6PO" hidden="1">#REF!</definedName>
    <definedName name="BExB8U5N0D85YR8APKN3PPKG0FWP" hidden="1">#REF!</definedName>
    <definedName name="BExB93G413CK5DKO7925ZHSOBGIN" hidden="1">#REF!</definedName>
    <definedName name="BExB96LBXL1JW5A4PP93UJ9UDLKZ" hidden="1">#REF!</definedName>
    <definedName name="BExB9DHI5I2TJ2LXYPM98EE81L27" hidden="1">#REF!</definedName>
    <definedName name="BExB9G6LZG5OQUY0GZLHX066V3D4" hidden="1">#REF!</definedName>
    <definedName name="BExB9IFG9FW3RQUDIMDFKIYDB4HE" hidden="1">#REF!</definedName>
    <definedName name="BExB9NDIZ7LGMTL8351GRA6VK2K0" hidden="1">#REF!</definedName>
    <definedName name="BExB9Q2MZZHBGW8QQKVEYIMJBPIE" hidden="1">#REF!</definedName>
    <definedName name="BExBA1GON0EZRJ20UYPILAPLNQWM" hidden="1">#REF!</definedName>
    <definedName name="BExBA525BALJ5HMTDMMSM5WWJ1YW" hidden="1">#REF!</definedName>
    <definedName name="BExBA69ASGYRZW1G1DYIS9QRRTBN" hidden="1">#REF!</definedName>
    <definedName name="BExBA6K42582A14WFFWQ3Q8QQWB6" hidden="1">#REF!</definedName>
    <definedName name="BExBA8I5D4R8R2PYQ1K16TWGTOEP" hidden="1">#REF!</definedName>
    <definedName name="BExBA93PE0DGUUTA7LLSIGBIXWE5" hidden="1">#REF!</definedName>
    <definedName name="BExBABCQMR685CQ1SC8CECO7GTGB" hidden="1">#REF!</definedName>
    <definedName name="BExBAI8X0FKDQJ6YZJQDTTG4ZCWY" hidden="1">#REF!</definedName>
    <definedName name="BExBAKN7XIBAXCF9PCNVS038PCQO" hidden="1">#REF!</definedName>
    <definedName name="BExBAKXZ7PBW3DDKKA5MWC1ZUC7O" hidden="1">#REF!</definedName>
    <definedName name="BExBAO8NLXZXHO6KCIECSFCH3RR0" hidden="1">#REF!</definedName>
    <definedName name="BExBAOOT1KBSIEISN1ADL4RMY879" hidden="1">#REF!</definedName>
    <definedName name="BExBAVKX8Q09370X1GCZWJ4E91YJ" hidden="1">#REF!</definedName>
    <definedName name="BExBAX2X2ENJYO4QTR5VAIQ86L7B" hidden="1">#REF!</definedName>
    <definedName name="BExBAZ13D3F1DVJQ6YJ8JGUYEYJE" hidden="1">#REF!</definedName>
    <definedName name="BExBBMPCB1QOZY8WWEX4J21JDE6U" hidden="1">#REF!</definedName>
    <definedName name="BExBBU1QQWUE0YFG7O1TN0RFLSSG" hidden="1">#REF!</definedName>
    <definedName name="BExBBUCJQRR74Q7GPWDEZXYK2KJL" hidden="1">#REF!</definedName>
    <definedName name="BExBBV8XVMD9CKZY711T0BN7H3PM" hidden="1">#REF!</definedName>
    <definedName name="BExBC78HXWXHO3XAB6E8NVTBGLJS" hidden="1">#REF!</definedName>
    <definedName name="BExBCFH3SMGZ2IPHFB6BCM9O3W0H" hidden="1">#REF!</definedName>
    <definedName name="BExBCK9SCAABKOT9IP6TEPRR7YDT" hidden="1">#REF!</definedName>
    <definedName name="BExBCKKJFFT2RP50WNPKBT7X8PJ3" hidden="1">#REF!</definedName>
    <definedName name="BExBCKKJTIRKC1RZJRTK65HHLX4W" hidden="1">#REF!</definedName>
    <definedName name="BExBCLMEPAN3XXX174TU8SS0627Q" hidden="1">#REF!</definedName>
    <definedName name="BExBCRBEYR2KZ8FAQFZ2NHY13WIY" hidden="1">#REF!</definedName>
    <definedName name="BExBD4I559NXSV6J07Q343TKYMVJ" hidden="1">#REF!</definedName>
    <definedName name="BExBD9W8C0W9N6L1AFL18JP4H94W" hidden="1">#REF!</definedName>
    <definedName name="BExBDBZQLTX3OGFYGULQFK5WEZU5" hidden="1">#REF!</definedName>
    <definedName name="BExBDJS9TUEU8Z84IV59E5V4T8K6" hidden="1">#REF!</definedName>
    <definedName name="BExBDKOMSVH4XMH52CFJ3F028I9R" hidden="1">#REF!</definedName>
    <definedName name="BExBDSRXVZQ0W5WXQMP5XD00GRRL" hidden="1">#REF!</definedName>
    <definedName name="BExBDTJ0J7XEHB9OATXFF5I8FZBJ" hidden="1">#REF!</definedName>
    <definedName name="BExBDUVGK3E1J4JY9ZYTS7V14BLY" hidden="1">#REF!</definedName>
    <definedName name="BExBE0KGY14GSWOGPU4HSJRLD2UD" hidden="1">#REF!</definedName>
    <definedName name="BExBE162OSBKD30I7T1DKKPT3I9I" hidden="1">#REF!</definedName>
    <definedName name="BExBEC9ATLQZF86W1M3APSM4HEOH" hidden="1">#REF!</definedName>
    <definedName name="BExBEXU4CFCM1P5CTZ4NE14PBGDA" hidden="1">#REF!</definedName>
    <definedName name="BExBEYFQJE9YK12A6JBMRFKEC7RN" hidden="1">#REF!</definedName>
    <definedName name="BExBG1ED81J2O4A2S5F5Y3BPHMCR" hidden="1">#REF!</definedName>
    <definedName name="BExCRK0K58VDM9V35DGI6VK8C92V" hidden="1">#REF!</definedName>
    <definedName name="BExCRLIHS7466WFJ3RPIUGGXYESZ" hidden="1">#REF!</definedName>
    <definedName name="BExCRXSXMF4LHAQZHN64FXJPMVZ7" hidden="1">#REF!</definedName>
    <definedName name="BExCS1EDDUEAEWHVYXHIP9I1WCJH" hidden="1">#REF!</definedName>
    <definedName name="BExCS1P5QG0X3OTHKX07RALOE5T5" hidden="1">#REF!</definedName>
    <definedName name="BExCS7ZPMHFJ4UJDAL8CQOLSZ13B" hidden="1">#REF!</definedName>
    <definedName name="BExCS8W4NJUZH9S1CYB6XSDLEPBW" hidden="1">#REF!</definedName>
    <definedName name="BExCSAE1M6G20R41J0Y24YNN0YC1" hidden="1">#REF!</definedName>
    <definedName name="BExCSAOUZOYKHN7HV511TO8VDJ02" hidden="1">#REF!</definedName>
    <definedName name="BExCSJ2XVKHN6ULCF7JML0TCRKEO" hidden="1">#REF!</definedName>
    <definedName name="BExCSMOFTXSUEC1T46LR1UPYRCX5" hidden="1">#REF!</definedName>
    <definedName name="BExCSSDG3TM6TPKS19E9QYJEELZ6" hidden="1">#REF!</definedName>
    <definedName name="BExCSZV7U67UWXL2HKJNM5W1E4OO" hidden="1">#REF!</definedName>
    <definedName name="BExCT4NSDT61OCH04Y2QIFIOP75H" hidden="1">#REF!</definedName>
    <definedName name="BExCTHZWIPJVLE56GATEFKPIKLK2" hidden="1">#REF!</definedName>
    <definedName name="BExCTW8G3VCZ55S09HTUGXKB1P2M" hidden="1">#REF!</definedName>
    <definedName name="BExCTYS2KX0QANOLT8LGZ9WV3S3T" hidden="1">#REF!</definedName>
    <definedName name="BExCTZ2V6H9TT6LFGK3SADZ2TIGQ" hidden="1">#REF!</definedName>
    <definedName name="BExCTZZ9JNES4EDHW97NP0EGQALX" hidden="1">#REF!</definedName>
    <definedName name="BExCU0A1V6NMZQ9ASYJ8QIVQ5UR2" hidden="1">#REF!</definedName>
    <definedName name="BExCU2834920JBHSPCRC4UF80OLL" hidden="1">#REF!</definedName>
    <definedName name="BExCU8O54I3P3WRYWY1CRP3S78QY" hidden="1">#REF!</definedName>
    <definedName name="BExCUDRJO23YOKT8GPWOVQ4XEHF5" hidden="1">#REF!</definedName>
    <definedName name="BExCULEOALM7SEHVMQC4B4N25MRM" hidden="1">#REF!</definedName>
    <definedName name="BExCUPAXFR16YMWL30ME3F3BSRDZ" hidden="1">#REF!</definedName>
    <definedName name="BExCUR94DHCE47PUUWEMT5QZOYR2" hidden="1">#REF!</definedName>
    <definedName name="BExCV5HJSTBNPQZVGYJY9AZ4IJ26" hidden="1">#REF!</definedName>
    <definedName name="BExCV634L7SVHGB0UDDTRRQ2Q72H" hidden="1">#REF!</definedName>
    <definedName name="BExCVBXGSXT9FWJRG62PX9S1RK83" hidden="1">#REF!</definedName>
    <definedName name="BExCVHBNLOHNFS0JAV3I1XGPNH9W" hidden="1">#REF!</definedName>
    <definedName name="BExCVI86R31A2IOZIEBY1FJLVILD" hidden="1">#REF!</definedName>
    <definedName name="BExCVKGZXE0I9EIXKBZVSGSEY2RR" hidden="1">#REF!</definedName>
    <definedName name="BExCVNROVORCSNX9HKHKPHY0URS3" hidden="1">#REF!</definedName>
    <definedName name="BExCVPEZON7VV6NOWII8VZMONPCJ" hidden="1">#REF!</definedName>
    <definedName name="BExCVV44WY5807WGMTGKPW0GT256" hidden="1">#REF!</definedName>
    <definedName name="BExCVZ5PN4V6MRBZ04PZJW3GEF8S" hidden="1">#REF!</definedName>
    <definedName name="BExCW13R0GWJYGXZBNCPAHQN4NR2" hidden="1">#REF!</definedName>
    <definedName name="BExCW9Y5HWU4RJTNX74O6L24VGCK" hidden="1">#REF!</definedName>
    <definedName name="BExCWHADQJRXWFDGV2KMANWIY1YN" hidden="1">#REF!</definedName>
    <definedName name="BExCWPDPESGZS07QGBLSBWDNVJLZ" hidden="1">#REF!</definedName>
    <definedName name="BExCWTVKHIVCRHF8GC39KI58YM5K" hidden="1">#REF!</definedName>
    <definedName name="BExCX2KGRZBRVLZNM8SUSIE6A0RL" hidden="1">#REF!</definedName>
    <definedName name="BExCX3X451T70LZ1VF95L7W4Y4TM" hidden="1">#REF!</definedName>
    <definedName name="BExCX4NZ2N1OUGXM7EV0U7VULJMM" hidden="1">#REF!</definedName>
    <definedName name="BExCXILMURGYMAH6N5LF5DV6K3GM" hidden="1">#REF!</definedName>
    <definedName name="BExCXQUFBMXQ1650735H48B1AZT3" hidden="1">#REF!</definedName>
    <definedName name="BExCXYSBKJ9SZQD7XS2WUS6SVBJO" hidden="1">#REF!</definedName>
    <definedName name="BExCXZ8DGK5ZE8467LFEHX6JNQHJ" hidden="1">#REF!</definedName>
    <definedName name="BExCY2DQO9VLA77Q7EG3T0XNXX4F" hidden="1">#REF!</definedName>
    <definedName name="BExCY5Z7X93Z8XUOEASK50W08S36" hidden="1">#REF!</definedName>
    <definedName name="BExCY6VMJ68MX3C981R5Q0BX5791" hidden="1">#REF!</definedName>
    <definedName name="BExCYAH2SAZCPW6XCB7V7PMMCAWO" hidden="1">#REF!</definedName>
    <definedName name="BExCYDGYM1UGUNTB331L2E4L5F34" hidden="1">#REF!</definedName>
    <definedName name="BExCYN7KCKU1F6EXMNPQPTKNOT6A" hidden="1">#REF!</definedName>
    <definedName name="BExCYPRC5HJE6N2XQTHCT6NXGP8N" hidden="1">#REF!</definedName>
    <definedName name="BExCYQCX9ES8ZWW2L35B12WDNT73" hidden="1">#REF!</definedName>
    <definedName name="BExCYSLQY2CYU7DQ3QI07UGGS6OW" hidden="1">#REF!</definedName>
    <definedName name="BExCYUK0I3UEXZNFDW71G6Z6D8XR" hidden="1">#REF!</definedName>
    <definedName name="BExCZFZCXMLY5DWESYJ9NGTJYQ8M" hidden="1">#REF!</definedName>
    <definedName name="BExCZJ4P8WS0BDT31WDXI0ROE7D6" hidden="1">#REF!</definedName>
    <definedName name="BExCZKH6NI0EE02L995IFVBD1J59" hidden="1">#REF!</definedName>
    <definedName name="BExCZNRWARGGHWLSC1PEDZFLF3JV" hidden="1">#REF!</definedName>
    <definedName name="BExCZP9TBB61HISZ2U5QMQSO2LBE" hidden="1">#REF!</definedName>
    <definedName name="BExCZUD9FEOJBKDJ51Z3JON9LKJ8" hidden="1">#REF!</definedName>
    <definedName name="BExD0AUOVQT3UL53T2KUVJNGD0QF" hidden="1">#REF!</definedName>
    <definedName name="BExD0HALIN0JR4JTPGDEVAEE5EX5" hidden="1">#REF!</definedName>
    <definedName name="BExD0LCCDPG16YLY5WQSZF1XI5DA" hidden="1">#REF!</definedName>
    <definedName name="BExD0RMWSB4TRECEHTH6NN4K9DFZ" hidden="1">#REF!</definedName>
    <definedName name="BExD0U6KG10QGVDI1XSHK0J10A2V" hidden="1">#REF!</definedName>
    <definedName name="BExD0WQ6EQ2G82IAJI3FDQKGZH18" hidden="1">#REF!</definedName>
    <definedName name="BExD13RUIBGRXDL4QDZ305UKUR12" hidden="1">#REF!</definedName>
    <definedName name="BExD14DETV5R4OOTMAXD5NAKWRO3" hidden="1">#REF!</definedName>
    <definedName name="BExD1MI40YRCBI7KT4S9YHQJUO06" hidden="1">#REF!</definedName>
    <definedName name="BExD1OAU9OXQAZA4D70HP72CU6GB" hidden="1">#REF!</definedName>
    <definedName name="BExD1T8WPV0G6YOX7WMAIZD8XNBK" hidden="1">#REF!</definedName>
    <definedName name="BExD1Y1JV61416YA1XRQHKWPZIE7" hidden="1">#REF!</definedName>
    <definedName name="BExD2CFHIRMBKN5KXE5QP4XXEWFS" hidden="1">#REF!</definedName>
    <definedName name="BExD2DMHH1HWXQ9W0YYMDP8AAX8Q" hidden="1">#REF!</definedName>
    <definedName name="BExD2HTPC7IWBAU6OSQ67MQA8BYZ" hidden="1">#REF!</definedName>
    <definedName name="BExD2PWTVQ2CXNG6B7UDL8FIMXBH" hidden="1">#REF!</definedName>
    <definedName name="BExD2X9AQ03EX1AVVX44CXLXRPTI" hidden="1">#REF!</definedName>
    <definedName name="BExD2ZNL9MWJOEL2575KJZBDP2A6" hidden="1">#REF!</definedName>
    <definedName name="BExD34G79JRMB8BZRVN81P1H9MSB" hidden="1">#REF!</definedName>
    <definedName name="BExD35CL2NULPPEHAM954ETQIJA2" hidden="1">#REF!</definedName>
    <definedName name="BExD363H2VGFIQUCE6LS4AC5J0ZT" hidden="1">#REF!</definedName>
    <definedName name="BExD3A588E939V61P1XEW0FI5Q0S" hidden="1">#REF!</definedName>
    <definedName name="BExD3CJJDKVR9M18XI3WDZH80WL6" hidden="1">#REF!</definedName>
    <definedName name="BExD3ESD9WYJIB3TRDPJ1CKXRAVL" hidden="1">#REF!</definedName>
    <definedName name="BExD3F368X5S25MWSUNIV57RDB57" hidden="1">#REF!</definedName>
    <definedName name="BExD3I8JTNF4LTMFY6GRVDJ6VLGG" hidden="1">#REF!</definedName>
    <definedName name="BExD3IJ5IT335SOSNV9L85WKAOSI" hidden="1">#REF!</definedName>
    <definedName name="BExD3KBVUY57GMMQTOFEU6S6G1AY" hidden="1">#REF!</definedName>
    <definedName name="BExD3NMR7AW2Z6V8SC79VQR37NA6" hidden="1">#REF!</definedName>
    <definedName name="BExD3QXA2UQ2W4N7NYLUEOG40BZB" hidden="1">#REF!</definedName>
    <definedName name="BExD3U2N041TEJ7GCN005UTPHNXY" hidden="1">#REF!</definedName>
    <definedName name="BExD3VPY5VEI1LLQ4I16T16251DT" hidden="1">#REF!</definedName>
    <definedName name="BExD3XIUEZZ1KIHV7CPS7DKUGIN8" hidden="1">#REF!</definedName>
    <definedName name="BExD40O0CFTNJFOFMMM1KH0P7BUI" hidden="1">#REF!</definedName>
    <definedName name="BExD47UYINTJY1PDIW2S1FZ8ZMIO" hidden="1">#REF!</definedName>
    <definedName name="BExD4BR9HJ3MWWZ5KLVZWX9FJAUS" hidden="1">#REF!</definedName>
    <definedName name="BExD4F1WTKT3H0N9MF4H1LX7MBSY" hidden="1">#REF!</definedName>
    <definedName name="BExD4H5GQWXBS6LUL3TSP36DVO38" hidden="1">#REF!</definedName>
    <definedName name="BExD4JJSS3QDBLABCJCHD45SRNPI" hidden="1">#REF!</definedName>
    <definedName name="BExD4QQQ7V9LH5WWBJA3HKJXLVP6" hidden="1">#REF!</definedName>
    <definedName name="BExD4R1I0MKF033I5LPUYIMTZ6E8" hidden="1">#REF!</definedName>
    <definedName name="BExD50MT3M6XZLNUP9JL93EG6D9R" hidden="1">#REF!</definedName>
    <definedName name="BExD5EV7KDSVF1CJT38M4IBPFLPY" hidden="1">#REF!</definedName>
    <definedName name="BExD5FRK547OESJRYAW574DZEZ7J" hidden="1">#REF!</definedName>
    <definedName name="BExD5I5X2YA2YNCTCDSMEL4CWF4N" hidden="1">#REF!</definedName>
    <definedName name="BExD5QUSRFJWRQ1ZM50WYLCF74DF" hidden="1">#REF!</definedName>
    <definedName name="BExD5SSUIF6AJQHBHK8PNMFBPRYB" hidden="1">#REF!</definedName>
    <definedName name="BExD623C9LRX18BE0W2V6SZLQUXX" hidden="1">#REF!</definedName>
    <definedName name="BExD6CQA7UMJBXV7AIFAIHUF2ICX" hidden="1">#REF!</definedName>
    <definedName name="BExD6D18MCF5R8YJMPG21WE3GPJQ" hidden="1">#REF!</definedName>
    <definedName name="BExD6FKVK8WJWNYPVENR7Q8Q30PK" hidden="1">#REF!</definedName>
    <definedName name="BExD6GMP0LK8WKVWMIT1NNH8CHLF" hidden="1">#REF!</definedName>
    <definedName name="BExD6H2TE0WWAUIWVSSCLPZ6B88N" hidden="1">#REF!</definedName>
    <definedName name="BExD71LTOE015TV5RSAHM8NT8GVW" hidden="1">#REF!</definedName>
    <definedName name="BExD73USXVADC7EHGHVTQNCT06ZA" hidden="1">#REF!</definedName>
    <definedName name="BExD7GAIGULTB3YHM1OS9RBQOTEC" hidden="1">#REF!</definedName>
    <definedName name="BExD7IE1DHIS52UFDCTSKPJQNRD5" hidden="1">#REF!</definedName>
    <definedName name="BExD7IUBGUWHYC9UNZ1IY5XFYKQN" hidden="1">#REF!</definedName>
    <definedName name="BExD7JQOJ35HGL8U2OCEI2P2JT7I" hidden="1">#REF!</definedName>
    <definedName name="BExD7KSDKNDNH95NDT3S7GM3MUU2" hidden="1">#REF!</definedName>
    <definedName name="BExD8H5O087KQVWIVPUUID5VMGMS" hidden="1">#REF!</definedName>
    <definedName name="BExD8HLWJHFK6566YQLGOAPIWD7G" hidden="1">#REF!</definedName>
    <definedName name="BExD8OCLZMFN5K3VZYI4Q4ITVKUA" hidden="1">#REF!</definedName>
    <definedName name="BExD93C1R6LC0631ECHVFYH0R0PD" hidden="1">#REF!</definedName>
    <definedName name="BExD97TXIO0COVNN4OH3DEJ33YLM" hidden="1">#REF!</definedName>
    <definedName name="BExD99RZ1RFIMK6O1ZHSPJ68X9Y5" hidden="1">#REF!</definedName>
    <definedName name="BExD9ATSNNU6SJVYYUCUG2AFS57W" hidden="1">#REF!</definedName>
    <definedName name="BExD9JO1QOKHUKL6DOEKDLUBPPKZ" hidden="1">#REF!</definedName>
    <definedName name="BExD9L0ID3VSOU609GKWYTA5BFMA" hidden="1">#REF!</definedName>
    <definedName name="BExD9M7SEMG0JK2FUTTZXWIEBTKB" hidden="1">#REF!</definedName>
    <definedName name="BExD9MNYBYB1AICQL5165G472IE2" hidden="1">#REF!</definedName>
    <definedName name="BExD9PNSYT7GASEGUVL48MUQ02WO" hidden="1">#REF!</definedName>
    <definedName name="BExD9TK2MIWFH5SKUYU9ZKF4NPHQ" hidden="1">#REF!</definedName>
    <definedName name="BExDA23J1UL1EN1K0BLX2TKAX4U0" hidden="1">#REF!</definedName>
    <definedName name="BExDA6594R2INH5X2F55YRZSKRND" hidden="1">#REF!</definedName>
    <definedName name="BExDA6LD9061UULVKUUI4QP8SK13" hidden="1">#REF!</definedName>
    <definedName name="BExDAGMVMNLQ6QXASB9R6D8DIT12" hidden="1">#REF!</definedName>
    <definedName name="BExDAYBHU9ADLXI8VRC7F608RVGM" hidden="1">#REF!</definedName>
    <definedName name="BExDBDR1XR0FV0CYUCB2OJ7CJCZU" hidden="1">#REF!</definedName>
    <definedName name="BExDC7F818VN0S18ID7XRCRVYPJ4" hidden="1">#REF!</definedName>
    <definedName name="BExDCL7K96PC9VZYB70ZW3QPVIJE" hidden="1">#REF!</definedName>
    <definedName name="BExDCP3UZ3C2O4C1F7KMU0Z9U32N" hidden="1">#REF!</definedName>
    <definedName name="BExENU8ISP26W97JG63CN1XT9KB4" hidden="1">#REF!</definedName>
    <definedName name="BExEO14OTKLVDBTNB2ONGZ4YB20H" hidden="1">#REF!</definedName>
    <definedName name="BExEO80UUNTK4DX33Z5TYLM8NYZM" hidden="1">#REF!</definedName>
    <definedName name="BExEOBX3WECDMYCV9RLN49APTXMM" hidden="1">#REF!</definedName>
    <definedName name="BExEPN9VIYI0FVL0HLZQXJFO6TT0" hidden="1">#REF!</definedName>
    <definedName name="BExEPQPUOD4B6H60DKEB9159F7DR" hidden="1">#REF!</definedName>
    <definedName name="BExEPYT6VDSMR8MU2341Q5GM2Y9V" hidden="1">#REF!</definedName>
    <definedName name="BExEQ2ENYLMY8K1796XBB31CJHNN" hidden="1">#REF!</definedName>
    <definedName name="BExEQ2PFE4N40LEPGDPS90WDL6BN" hidden="1">#REF!</definedName>
    <definedName name="BExEQ2PFURT24NQYGYVE8NKX1EGA" hidden="1">#REF!</definedName>
    <definedName name="BExEQB8ZWXO6IIGOEPWTLOJGE2NR" hidden="1">#REF!</definedName>
    <definedName name="BExEQBZX0EL6LIKPY01197ACK65H" hidden="1">#REF!</definedName>
    <definedName name="BExEQDXZALJLD4OBF74IKZBR13SR" hidden="1">#REF!</definedName>
    <definedName name="BExEQFLE2RPWGMWQAI4JMKUEFRPT" hidden="1">#REF!</definedName>
    <definedName name="BExEQJHNJV9U65F5VGIGX0VM02VF" hidden="1">#REF!</definedName>
    <definedName name="BExEQTZAP8R69U31W4LKGTKKGKQE" hidden="1">#REF!</definedName>
    <definedName name="BExER2O72H1F9WV6S1J04C15PXX7" hidden="1">#REF!</definedName>
    <definedName name="BExERIPCI7N2NW7JRL59DVT0TTSU" hidden="1">#REF!</definedName>
    <definedName name="BExERRUIKIOATPZ9U4HQ0V52RJAU" hidden="1">#REF!</definedName>
    <definedName name="BExERSANFNM1O7T65PC5MJ301YET" hidden="1">#REF!</definedName>
    <definedName name="BExERU8P606C6QQZZL55U0ZQYQF1" hidden="1">#REF!</definedName>
    <definedName name="BExERWCEBKQRYWRQLYJ4UCMMKTHG" hidden="1">#REF!</definedName>
    <definedName name="BExERXE1QW042A2T25RI4DVUU59O" hidden="1">#REF!</definedName>
    <definedName name="BExES44RHHDL3V7FLV6M20834WF1" hidden="1">#REF!</definedName>
    <definedName name="BExES4A7VE2X3RYYTVRLKZD4I7WU" hidden="1">#REF!</definedName>
    <definedName name="BExESLYUFDACMPARVY264HKBCXLX" hidden="1">#REF!</definedName>
    <definedName name="BExESMKD95A649M0WRSG6CXXP326" hidden="1">#REF!</definedName>
    <definedName name="BExESR27ZXJG5VMY4PR9D940VS7T" hidden="1">#REF!</definedName>
    <definedName name="BExESVK1YRJM6UG6FBYOF9CNX29X" hidden="1">#REF!</definedName>
    <definedName name="BExESZ03KXL8DQ2591HLR56ZML94" hidden="1">#REF!</definedName>
    <definedName name="BExESZAW5N443NRTKIP59OEI1CR6" hidden="1">#REF!</definedName>
    <definedName name="BExET3HXQ60A4O2OLKX8QNXRI6LQ" hidden="1">#REF!</definedName>
    <definedName name="BExET4EAH366GROMVVMDCSUI1018" hidden="1">#REF!</definedName>
    <definedName name="BExETA3B1FCIOA80H94K90FWXQKE" hidden="1">#REF!</definedName>
    <definedName name="BExETAZOYT4CJIT8RRKC9F2HJG1D" hidden="1">#REF!</definedName>
    <definedName name="BExETB55BNG40G9YOI2H6UHIR9WU" hidden="1">#REF!</definedName>
    <definedName name="BExETF6QD5A9GEINE1KZRRC2LXWM" hidden="1">#REF!</definedName>
    <definedName name="BExETQ9XRXLUACN82805SPSPNKHI" hidden="1">#REF!</definedName>
    <definedName name="BExETR0YRMOR63E6DHLEHV9QVVON" hidden="1">#REF!</definedName>
    <definedName name="BExETVO51BGF7GGNGB21UD7OIF15" hidden="1">#REF!</definedName>
    <definedName name="BExETVTGY38YXYYF7N73OYN6FYY3" hidden="1">#REF!</definedName>
    <definedName name="BExETVTH8RADW05P2XUUV7V44TWW" hidden="1">#REF!</definedName>
    <definedName name="BExETW9PYUAV5QY6A4VCYZRIOUX4" hidden="1">#REF!</definedName>
    <definedName name="BExEUGNELLVZ7K2PYWP2TG8T65XQ" hidden="1">#REF!</definedName>
    <definedName name="BExEUHUG1NGJGB6F1UH5IKFZ9B9M" hidden="1">#REF!</definedName>
    <definedName name="BExEUNE4T242Y59C6MS28MXEUGCP" hidden="1">#REF!</definedName>
    <definedName name="BExEUNU7FYVTR4DD1D31SS7PNXX2" hidden="1">#REF!</definedName>
    <definedName name="BExEUOAHB0OT3BACAHNZ3B905C0P" hidden="1">#REF!</definedName>
    <definedName name="BExEV2TP7NA3ZR6RJGH5ER370OUM" hidden="1">#REF!</definedName>
    <definedName name="BExEV3Q7M5YTX3CY3QCP1SUIEP2E" hidden="1">#REF!</definedName>
    <definedName name="BExEV69USLNYO2QRJRC0J92XUF00" hidden="1">#REF!</definedName>
    <definedName name="BExEV6KNTQOCFD7GV726XQEVQ7R6" hidden="1">#REF!</definedName>
    <definedName name="BExEV6VGM4POO9QT9KH3QA3VYCWM" hidden="1">#REF!</definedName>
    <definedName name="BExEVCEYMOI0PGO7HAEOS9CVMU2O" hidden="1">#REF!</definedName>
    <definedName name="BExEVET98G3FU6QBF9LHYWSAMV0O" hidden="1">#REF!</definedName>
    <definedName name="BExEVNCUT0PDUYNJH7G6BSEWZOT2" hidden="1">#REF!</definedName>
    <definedName name="BExEVPGF4V5J0WQRZKUM8F9TTKZJ" hidden="1">#REF!</definedName>
    <definedName name="BExEVVLIEVWYRF2UUC1H0H5QU1CP" hidden="1">#REF!</definedName>
    <definedName name="BExEVWCKO8T84GW9Z3X47915XKSH" hidden="1">#REF!</definedName>
    <definedName name="BExEVZSJWMZ5L2ZE7AZC57CXKW6T" hidden="1">#REF!</definedName>
    <definedName name="BExEW0JL1GFFCXMDGW54CI7Y8FZN" hidden="1">#REF!</definedName>
    <definedName name="BExEW68M9WL8214QH9C7VCK7BN08" hidden="1">#REF!</definedName>
    <definedName name="BExEW8HFKH6F47KIHYBDRUEFZ2ZZ" hidden="1">#REF!</definedName>
    <definedName name="BExEWB6JHMITZPXHB6JATOCLLKLJ" hidden="1">#REF!</definedName>
    <definedName name="BExEWNBGQS1U2LW3W84T4LSJ9K00" hidden="1">#REF!</definedName>
    <definedName name="BExEWO7STL7HNZSTY8VQBPTX1WK6" hidden="1">#REF!</definedName>
    <definedName name="BExEWQ0M1N3KMKTDJ73H10QSG4W1" hidden="1">#REF!</definedName>
    <definedName name="BExEX43OR6NH8GF32YY2ZB6Y8WGP" hidden="1">#REF!</definedName>
    <definedName name="BExEX85F3OSW8NSCYGYPS9372Z1Q" hidden="1">#REF!</definedName>
    <definedName name="BExEX9HWY2G6928ZVVVQF77QCM2C" hidden="1">#REF!</definedName>
    <definedName name="BExEXBQWAYKMVBRJRHB8PFCSYFVN" hidden="1">#REF!</definedName>
    <definedName name="BExEXGE2TE9MQWLQVHL7XGQWL102" hidden="1">#REF!</definedName>
    <definedName name="BExEXRBZ0DI9E2UFLLKYWGN66B61" hidden="1">#REF!</definedName>
    <definedName name="BExEXW4FSOZ9C2SZSQIAA3W82I5K" hidden="1">#REF!</definedName>
    <definedName name="BExEXZ4H2ZUNEW5I6I74GK08QAQC" hidden="1">#REF!</definedName>
    <definedName name="BExEY42GK80HA9M84NTZ3NV9K2VI" hidden="1">#REF!</definedName>
    <definedName name="BExEYLG9FL9V1JPPNZ3FUDNSEJ4V" hidden="1">#REF!</definedName>
    <definedName name="BExEYOW8C1B3OUUCIGEC7L8OOW1Z" hidden="1">#REF!</definedName>
    <definedName name="BExEYPCI2LT224YS4M3T50V85FAG" hidden="1">#REF!</definedName>
    <definedName name="BExEYUQJXZT6N5HJH8ACJF6SRWEE" hidden="1">#REF!</definedName>
    <definedName name="BExEYYC7KLO4XJQW9GMGVVJQXF4C" hidden="1">#REF!</definedName>
    <definedName name="BExEZ1S6VZCG01ZPLBSS9Z1SBOJ2" hidden="1">#REF!</definedName>
    <definedName name="BExEZ6KV8TDKOO0Y66LSH9DCFW5M" hidden="1">#REF!</definedName>
    <definedName name="BExEZGBFNJR8DLPN0V11AU22L6WY" hidden="1">#REF!</definedName>
    <definedName name="BExEZVR61GWO1ZM3XHWUKRJJMQXV" hidden="1">#REF!</definedName>
    <definedName name="BExF02Y3V3QEPO2XLDSK47APK9XJ" hidden="1">#REF!</definedName>
    <definedName name="BExF03E824NHBODFUZ3PZ5HLF85X" hidden="1">#REF!</definedName>
    <definedName name="BExF09OS91RT7N7IW8JLMZ121ZP3" hidden="1">#REF!</definedName>
    <definedName name="BExF0D4SEQ7RRCAER8UQKUJ4HH0Q" hidden="1">#REF!</definedName>
    <definedName name="BExF0D4Z97PCG5JI9CC2TFB553AX" hidden="1">#REF!</definedName>
    <definedName name="BExF0DAB1PUE0V936NFEK68CCKTJ" hidden="1">#REF!</definedName>
    <definedName name="BExF0LOEHV42P2DV7QL8O7HOQ3N9" hidden="1">#REF!</definedName>
    <definedName name="BExF0QRT0ZP2578DKKC9SRW40F5L" hidden="1">#REF!</definedName>
    <definedName name="BExF0WRM9VO25RLSO03ZOCE8H7K5" hidden="1">#REF!</definedName>
    <definedName name="BExF0ZRI7W4RSLIDLHTSM0AWXO3S" hidden="1">#REF!</definedName>
    <definedName name="BExF19CT3MMZZ2T5EWMDNG3UOJ01" hidden="1">#REF!</definedName>
    <definedName name="BExF1C1VNHJBRW2XQKVSL1KSLFZ8" hidden="1">#REF!</definedName>
    <definedName name="BExF1M38U6NX17YJA8YU359B5Z4M" hidden="1">#REF!</definedName>
    <definedName name="BExF1MU4W3NPEY0OHRDWP5IANCBB" hidden="1">#REF!</definedName>
    <definedName name="BExF1MZN8MWMOKOARHJ1QAF9HPGT" hidden="1">#REF!</definedName>
    <definedName name="BExF1US4ZIQYSU5LBFYNRA9N0K2O" hidden="1">#REF!</definedName>
    <definedName name="BExF272JNPJCK1XLBG016XXBVFO8" hidden="1">#REF!</definedName>
    <definedName name="BExF2CWZN6E87RGTBMD4YQI2QT7R" hidden="1">#REF!</definedName>
    <definedName name="BExF2DYO1WQ7GMXSTAQRDBW1NSFG" hidden="1">#REF!</definedName>
    <definedName name="BExF2H9D3MC9XKLPZ6VIP4F7G4YN" hidden="1">#REF!</definedName>
    <definedName name="BExF2MSWNUY9Z6BZJQZ538PPTION" hidden="1">#REF!</definedName>
    <definedName name="BExF2QZYWHTYGUTTXR15CKCV3LS7" hidden="1">#REF!</definedName>
    <definedName name="BExF2T8Y6TSJ74RMSZOA9CEH4OZ6" hidden="1">#REF!</definedName>
    <definedName name="BExF31N3YM4F37EOOY8M8VI1KXN8" hidden="1">#REF!</definedName>
    <definedName name="BExF37C1YKBT79Z9SOJAG5MXQGTU" hidden="1">#REF!</definedName>
    <definedName name="BExF3A6HPA6DGYALZNHHJPMCUYZR" hidden="1">#REF!</definedName>
    <definedName name="BExF3GMJW5D7066GYKTMM3CVH1HE" hidden="1">#REF!</definedName>
    <definedName name="BExF3I9T44X7DV9HHV51DVDDPPZG" hidden="1">#REF!</definedName>
    <definedName name="BExF3IKLZ35F2D4DI7R7P7NZLVC3" hidden="1">#REF!</definedName>
    <definedName name="BExF3JMFX5DILOIFUDIO1HZUK875" hidden="1">#REF!</definedName>
    <definedName name="BExF3KIO2G9LJYXZ61H8PJJ6OQXV" hidden="1">#REF!</definedName>
    <definedName name="BExF3MGVCZHXDAUDZAGUYESZ3RC8" hidden="1">#REF!</definedName>
    <definedName name="BExF3NTC4BGZEM6B87TCFX277QCS" hidden="1">#REF!</definedName>
    <definedName name="BExF3Q2DOSQI9SIAXB522CN0WBZ7" hidden="1">#REF!</definedName>
    <definedName name="BExF3Q7NI90WT31QHYSJDIG0LLLJ" hidden="1">#REF!</definedName>
    <definedName name="BExF3QD55TIY1MSBSRK9TUJKBEWO" hidden="1">#REF!</definedName>
    <definedName name="BExF3QT8J6RIF1L3R700MBSKIOKW" hidden="1">#REF!</definedName>
    <definedName name="BExF42SSBVPMLK2UB3B7FPEIY9TU" hidden="1">#REF!</definedName>
    <definedName name="BExF4HXSWB50BKYPWA0HTT8W56H6" hidden="1">#REF!</definedName>
    <definedName name="BExF4J4Y60OUA8GY6YN8XVRUX80A" hidden="1">#REF!</definedName>
    <definedName name="BExF4KHF04IWW4LQ95FHQPFE4Y9K" hidden="1">#REF!</definedName>
    <definedName name="BExF4MVQM5Y0QRDLDFSKWWTF709C" hidden="1">#REF!</definedName>
    <definedName name="BExF4PVMZYV36E8HOYY06J81AMBI" hidden="1">#REF!</definedName>
    <definedName name="BExF4SF9NEX1FZE9N8EXT89PM54D" hidden="1">#REF!</definedName>
    <definedName name="BExF52GTGP8MHGII4KJ8TJGR8W8U" hidden="1">#REF!</definedName>
    <definedName name="BExF57K7L3UC1I2FSAWURR4SN0UN" hidden="1">#REF!</definedName>
    <definedName name="BExF5HR2GFV7O8LKG9SJ4BY78LYA" hidden="1">#REF!</definedName>
    <definedName name="BExF5ZFO2A29GHWR5ES64Z9OS16J" hidden="1">#REF!</definedName>
    <definedName name="BExF63S045JO7H2ZJCBTBVH3SUIF" hidden="1">#REF!</definedName>
    <definedName name="BExF642TEGTXCI9A61ZOONJCB0U1" hidden="1">#REF!</definedName>
    <definedName name="BExF67O951CF8UJF3KBDNR0E83C1" hidden="1">#REF!</definedName>
    <definedName name="BExF6EV7I35NVMIJGYTB6E24YVPA" hidden="1">#REF!</definedName>
    <definedName name="BExF6FGUF393KTMBT40S5BYAFG00" hidden="1">#REF!</definedName>
    <definedName name="BExF6GNYXWY8A0SY4PW1B6KJMMTM" hidden="1">#REF!</definedName>
    <definedName name="BExF6IB8K74Z0AFT05GPOKKZW7C9" hidden="1">#REF!</definedName>
    <definedName name="BExF6NUXJI11W2IAZNAM1QWC0459" hidden="1">#REF!</definedName>
    <definedName name="BExF6RR76KNVIXGJOVFO8GDILKGZ" hidden="1">#REF!</definedName>
    <definedName name="BExF6ZE8D5CMPJPRWT6S4HM56LPF" hidden="1">#REF!</definedName>
    <definedName name="BExF76FV8SF7AJK7B35AL7VTZF6D" hidden="1">#REF!</definedName>
    <definedName name="BExF7EOIMC1OYL1N7835KGOI0FIZ" hidden="1">#REF!</definedName>
    <definedName name="BExF7K88K7ASGV6RAOAGH52G04VR" hidden="1">#REF!</definedName>
    <definedName name="BExF7OVDRP3LHNAF2CX4V84CKKIR" hidden="1">#REF!</definedName>
    <definedName name="BExF7QO41X2A2SL8UXDNP99GY7U9" hidden="1">#REF!</definedName>
    <definedName name="BExF7QYWRJ8S4SID84VVXH3TN7X8" hidden="1">#REF!</definedName>
    <definedName name="BExF81GI8B8WBHXFTET68A9358BR" hidden="1">#REF!</definedName>
    <definedName name="BExGKN1EUJWHOYSSFY4XX6T9QVV5" hidden="1">#REF!</definedName>
    <definedName name="BExGL97US0Y3KXXASUTVR26XLT70" hidden="1">#REF!</definedName>
    <definedName name="BExGL9TEJAX73AMCXKXTMRO9T6QA" hidden="1">#REF!</definedName>
    <definedName name="BExGLBM5GKGBJDTZSMMBZBAVQ7N1" hidden="1">#REF!</definedName>
    <definedName name="BExGLC7R4C33RO0PID97ZPPVCW4M" hidden="1">#REF!</definedName>
    <definedName name="BExGLFIF7HCFSHNQHKEV6RY0WCO3" hidden="1">#REF!</definedName>
    <definedName name="BExGLPP9Z6SH15N8AV0F7H58S14K" hidden="1">#REF!</definedName>
    <definedName name="BExGLQATG820J44V2O4JEICPUUTR" hidden="1">#REF!</definedName>
    <definedName name="BExGLTARRL0J772UD2TXEYAVPY6E" hidden="1">#REF!</definedName>
    <definedName name="BExGLYE6RZTAAWHJBG2QFJPTDS2Q" hidden="1">#REF!</definedName>
    <definedName name="BExGM4DZ65OAQP7MA4LN6QMYZOFF" hidden="1">#REF!</definedName>
    <definedName name="BExGMCXCWEC9XNUOEMZ61TMI6CUO" hidden="1">#REF!</definedName>
    <definedName name="BExGMJDGIH0MEPC2TUSFUCY2ROTB" hidden="1">#REF!</definedName>
    <definedName name="BExGMKPW2HPKN0M0XKF3AZ8YP0D6" hidden="1">#REF!</definedName>
    <definedName name="BExGMOGUOL3NATNV0TIZH2J6DLLD" hidden="1">#REF!</definedName>
    <definedName name="BExGMP2F175LGL6QVSJGP6GKYHHA" hidden="1">#REF!</definedName>
    <definedName name="BExGMPIIP8GKML2VVA8OEFL43NCS" hidden="1">#REF!</definedName>
    <definedName name="BExGMZ3SRIXLXMWBVOXXV3M4U4YL" hidden="1">#REF!</definedName>
    <definedName name="BExGMZ3UBN48IXU1ZEFYECEMZ1IM" hidden="1">#REF!</definedName>
    <definedName name="BExGN4I0QATXNZCLZJM1KH1OIJQH" hidden="1">#REF!</definedName>
    <definedName name="BExGN9FZ2RWCMSY1YOBJKZMNIM9R" hidden="1">#REF!</definedName>
    <definedName name="BExGNDSIMTHOCXXG6QOGR6DA8SGG" hidden="1">#REF!</definedName>
    <definedName name="BExGNHOS7RBERG1J2M2HVGSRZL5G" hidden="1">#REF!</definedName>
    <definedName name="BExGNJ18W3Q55XAXY8XTFB80IVMV" hidden="1">#REF!</definedName>
    <definedName name="BExGNN2YQ9BDAZXT2GLCSAPXKIM7" hidden="1">#REF!</definedName>
    <definedName name="BExGNP6INLF5NZFP5ME6K7C9Y0NH" hidden="1">#REF!</definedName>
    <definedName name="BExGNSS0CKRPKHO25R3TDBEL2NHX" hidden="1">#REF!</definedName>
    <definedName name="BExGNYH0MO8NOVS85L15G0RWX4GW" hidden="1">#REF!</definedName>
    <definedName name="BExGNZO44DEG8CGIDYSEGDUQ531R" hidden="1">#REF!</definedName>
    <definedName name="BExGO22GMMPZVQY9RQ8MDKZDP5G3" hidden="1">#REF!</definedName>
    <definedName name="BExGO2O0V6UYDY26AX8OSN72F77N" hidden="1">#REF!</definedName>
    <definedName name="BExGO2YUBOVLYHY1QSIHRE1KLAFV" hidden="1">#REF!</definedName>
    <definedName name="BExGO70E2O70LF46V8T26YFPL4V8" hidden="1">#REF!</definedName>
    <definedName name="BExGOB25QJMQCQE76MRW9X58OIOO" hidden="1">#REF!</definedName>
    <definedName name="BExGODAZKJ9EXMQZNQR5YDBSS525" hidden="1">#REF!</definedName>
    <definedName name="BExGODR8ZSMUC11I56QHSZ686XV5" hidden="1">#REF!</definedName>
    <definedName name="BExGOXJDHUDPDT8I8IVGVW9J0R5Q" hidden="1">#REF!</definedName>
    <definedName name="BExGPAPYI1N5W3IH8H485BHSVOY3" hidden="1">#REF!</definedName>
    <definedName name="BExGPFO3GOKYO2922Y91GMQRCMOA" hidden="1">#REF!</definedName>
    <definedName name="BExGPHGT5KDOCMV2EFS4OVKTWBRD" hidden="1">#REF!</definedName>
    <definedName name="BExGPID72Y4Y619LWASUQZKZHJNC" hidden="1">#REF!</definedName>
    <definedName name="BExGPPENQIANVGLVQJ77DK5JPRTB" hidden="1">#REF!</definedName>
    <definedName name="BExGPSUUG7TL5F5PTYU6G4HPJV1B" hidden="1">#REF!</definedName>
    <definedName name="BExGQ1E950UYXYWQ84EZEQPWHVYY" hidden="1">#REF!</definedName>
    <definedName name="BExGQ1ZU4967P72AHF4V1D0FOL5C" hidden="1">#REF!</definedName>
    <definedName name="BExGQ36ZOMR9GV8T05M605MMOY3Y" hidden="1">#REF!</definedName>
    <definedName name="BExGQ4ZP0PPMLDNVBUG12W9FFVI9" hidden="1">#REF!</definedName>
    <definedName name="BExGQ61DTJ0SBFMDFBAK3XZ9O0ZO" hidden="1">#REF!</definedName>
    <definedName name="BExGQ6SG9XEOD0VMBAR22YPZWSTA" hidden="1">#REF!</definedName>
    <definedName name="BExGQ8FQN3FRAGH5H2V74848P5JX" hidden="1">#REF!</definedName>
    <definedName name="BExGQGJ1A7LNZUS8QSMOG8UNGLMK" hidden="1">#REF!</definedName>
    <definedName name="BExGQLBNZ35IK2VK33HJUAE4ADX2" hidden="1">#REF!</definedName>
    <definedName name="BExGQPO7ENFEQC0NC6MC9OZR2LHY" hidden="1">#REF!</definedName>
    <definedName name="BExGQX0H4EZMXBJTKJJE4ICJWN5O" hidden="1">#REF!</definedName>
    <definedName name="BExGR4CW3WRIID17GGX4MI9ZDHFE" hidden="1">#REF!</definedName>
    <definedName name="BExGR65GJX27MU2OL6NI5PB8XVB4" hidden="1">#REF!</definedName>
    <definedName name="BExGR6LQ97HETGS3CT96L4IK0JSH" hidden="1">#REF!</definedName>
    <definedName name="BExGR9ATP2LVT7B9OCPSLJ11H9SX" hidden="1">#REF!</definedName>
    <definedName name="BExGRILCZ3BMTGDY72B1Q9BUGW0J" hidden="1">#REF!</definedName>
    <definedName name="BExGRNZJ74Y6OYJB9F9Y9T3CAHOS" hidden="1">#REF!</definedName>
    <definedName name="BExGRPC5QJQ7UGQ4P7CFWVGRQGFW" hidden="1">#REF!</definedName>
    <definedName name="BExGRSMULUXOBEN8G0TK90PRKQ9O" hidden="1">#REF!</definedName>
    <definedName name="BExGRUKVVKDL8483WI70VN2QZDGD" hidden="1">#REF!</definedName>
    <definedName name="BExGS2IWR5DUNJ1U9PAKIV8CMBNI" hidden="1">#REF!</definedName>
    <definedName name="BExGS69P9FFTEOPDS0MWFKF45G47" hidden="1">#REF!</definedName>
    <definedName name="BExGS6F1JFHM5MUJ1RFO50WP6D05" hidden="1">#REF!</definedName>
    <definedName name="BExGSA5YB5ZGE4NHDVCZ55TQAJTL" hidden="1">#REF!</definedName>
    <definedName name="BExGSBYPYOBOB218ABCIM2X63GJ8" hidden="1">#REF!</definedName>
    <definedName name="BExGSCEUCQQVDEEKWJ677QTGUVTE" hidden="1">#REF!</definedName>
    <definedName name="BExGSQY65LH1PCKKM5WHDW83F35O" hidden="1">#REF!</definedName>
    <definedName name="BExGSYW1GKISF0PMUAK3XJK9PEW9" hidden="1">#REF!</definedName>
    <definedName name="BExGT0DZJB6LSF6L693UUB9EY1VQ" hidden="1">#REF!</definedName>
    <definedName name="BExGTEMKIEF46KBIDWCAOAN5U718" hidden="1">#REF!</definedName>
    <definedName name="BExGTGVFIF8HOQXR54SK065A8M4K" hidden="1">#REF!</definedName>
    <definedName name="BExGTIYX3OWPIINOGY1E4QQYSKHP" hidden="1">#REF!</definedName>
    <definedName name="BExGTKGUN0KUU3C0RL2LK98D8MEK" hidden="1">#REF!</definedName>
    <definedName name="BExGTV3U5SZUPLTWEMEY3IIN1L4L" hidden="1">#REF!</definedName>
    <definedName name="BExGTZ046J7VMUG4YPKFN2K8TWB7" hidden="1">#REF!</definedName>
    <definedName name="BExGTZ04EFFQ3Z3JMM0G35JYWUK3" hidden="1">#REF!</definedName>
    <definedName name="BExGU2G9OPRZRIU9YGF6NX9FUW0J" hidden="1">#REF!</definedName>
    <definedName name="BExGU6HTKLRZO8UOI3DTAM5RFDBA" hidden="1">#REF!</definedName>
    <definedName name="BExGUDDZXFFQHAF4UZF8ZB1HO7H6" hidden="1">#REF!</definedName>
    <definedName name="BExGUI6NCRHY7EAB6SK6EPPMWFG1" hidden="1">#REF!</definedName>
    <definedName name="BExGUIBXBRHGM97ZX6GBA4ZDQ79C" hidden="1">#REF!</definedName>
    <definedName name="BExGUM8D91UNPCOO4TKP9FGX85TF" hidden="1">#REF!</definedName>
    <definedName name="BExGUMDP0WYFBZL2MCB36WWJIC04" hidden="1">#REF!</definedName>
    <definedName name="BExGUQF9N9FKI7S0H30WUAEB5LPD" hidden="1">#REF!</definedName>
    <definedName name="BExGUR6BA03XPBK60SQUW197GJ5X" hidden="1">#REF!</definedName>
    <definedName name="BExGUVIP60TA4B7X2PFGMBFUSKGX" hidden="1">#REF!</definedName>
    <definedName name="BExGUVTIIWAK5T0F5FD428QDO46W" hidden="1">#REF!</definedName>
    <definedName name="BExGUZKF06F209XL1IZWVJEQ82EE" hidden="1">#REF!</definedName>
    <definedName name="BExGUZPWM950OZ8P1A3N86LXK97U" hidden="1">#REF!</definedName>
    <definedName name="BExGV2EVT380QHD4AP2RL9MR8L5L" hidden="1">#REF!</definedName>
    <definedName name="BExGVBUSKOI7KB24K40PTXJE6MER" hidden="1">#REF!</definedName>
    <definedName name="BExGVGSQSVWTL2MNI6TT8Y92W3KA" hidden="1">#REF!</definedName>
    <definedName name="BExGVHP63K0GSYU17R73XGX6W2U6" hidden="1">#REF!</definedName>
    <definedName name="BExGVN3DDSLKWSP9MVJS9QMNEUIK" hidden="1">#REF!</definedName>
    <definedName name="BExGVUVVMLOCR9DPVUZSQ141EE4J" hidden="1">#REF!</definedName>
    <definedName name="BExGVV6OOLDQ3TXZK51TTF3YX0WN" hidden="1">#REF!</definedName>
    <definedName name="BExGW0KVS7U0C87XFZ78QW991IEV" hidden="1">#REF!</definedName>
    <definedName name="BExGW0Q7QHE29TGNWAWQ6GR0V6TQ" hidden="1">#REF!</definedName>
    <definedName name="BExGW2Z7AMPG6H9EXA9ML6EZVGGA" hidden="1">#REF!</definedName>
    <definedName name="BExGWABG5VT5XO1A196RK61AXA8C" hidden="1">#REF!</definedName>
    <definedName name="BExGWEO0JDG84NYLEAV5NSOAGMJZ" hidden="1">#REF!</definedName>
    <definedName name="BExGWLEOC70Z8QAJTPT2PDHTNM4L" hidden="1">#REF!</definedName>
    <definedName name="BExGWNCXLCRTLBVMTXYJ5PHQI6SS" hidden="1">#REF!</definedName>
    <definedName name="BExGX4L8N6ERT0Q4EVVNA97EGD80" hidden="1">#REF!</definedName>
    <definedName name="BExGX5MWTL78XM0QCP4NT564ML39" hidden="1">#REF!</definedName>
    <definedName name="BExGX6U988MCFIGDA1282F92U9AA" hidden="1">#REF!</definedName>
    <definedName name="BExGX7FTB1CKAT5HUW6H531FIY6I" hidden="1">#REF!</definedName>
    <definedName name="BExGX9DVACJQIZ4GH6YAD2A7F70O" hidden="1">#REF!</definedName>
    <definedName name="BExGXCZBQISQ3IMF6DJH1OXNAQP8" hidden="1">#REF!</definedName>
    <definedName name="BExGXDVP2S2Y8Z8Q43I78RCIK3DD" hidden="1">#REF!</definedName>
    <definedName name="BExGXJ9W5JU7TT9S0BKL5Y6VVB39" hidden="1">#REF!</definedName>
    <definedName name="BExGXWB73RJ4BASBQTQ8EY0EC1EB" hidden="1">#REF!</definedName>
    <definedName name="BExGXZ0ABB43C7SMRKZHWOSU9EQX" hidden="1">#REF!</definedName>
    <definedName name="BExGY6SU3SYVCJ3AG2ITY59SAZ5A" hidden="1">#REF!</definedName>
    <definedName name="BExGY6YA4P5KMY2VHT0DYK3YTFAX" hidden="1">#REF!</definedName>
    <definedName name="BExGY8G88PVVRYHPHRPJZFSX6HSC" hidden="1">#REF!</definedName>
    <definedName name="BExGYC718HTZ80PNKYPVIYGRJVF6" hidden="1">#REF!</definedName>
    <definedName name="BExGYCNATXZY2FID93B17YWIPPRD" hidden="1">#REF!</definedName>
    <definedName name="BExGYGJJJ3BBCQAOA51WHP01HN73" hidden="1">#REF!</definedName>
    <definedName name="BExGYOS6TV2C72PLRFU8RP1I58GY" hidden="1">#REF!</definedName>
    <definedName name="BExGYXBM828PX0KPDVAZBWDL6MJZ" hidden="1">#REF!</definedName>
    <definedName name="BExGZJ78ZWZCVHZ3BKEKFJZ6MAEO" hidden="1">#REF!</definedName>
    <definedName name="BExGZOLH2QV73J3M9IWDDPA62TP4" hidden="1">#REF!</definedName>
    <definedName name="BExGZP1PWGFKVVVN4YDIS22DZPCR" hidden="1">#REF!</definedName>
    <definedName name="BExGZQUHCPM6G5U9OM8JU339JAG6" hidden="1">#REF!</definedName>
    <definedName name="BExH00FQKX09BD5WU4DB5KPXAUYA" hidden="1">#REF!</definedName>
    <definedName name="BExH00L21GZX5YJJGVMOAWBERLP5" hidden="1">#REF!</definedName>
    <definedName name="BExH02ZD6VAY1KQLAQYBBI6WWIZB" hidden="1">#REF!</definedName>
    <definedName name="BExH08Z6LQCGGSGSAILMHX4X7JMD" hidden="1">#REF!</definedName>
    <definedName name="BExH0KT9Z8HEVRRQRGQ8YHXRLIJA" hidden="1">#REF!</definedName>
    <definedName name="BExH0M0FDN12YBOCKL3XL2Z7T7Y8" hidden="1">#REF!</definedName>
    <definedName name="BExH0O9G06YPZ5TN9RYT326I1CP2" hidden="1">#REF!</definedName>
    <definedName name="BExH0PGM6RG0F3AAGULBIGOH91C2" hidden="1">#REF!</definedName>
    <definedName name="BExH0QIB3F0YZLM5XYHBCU5F0OVR" hidden="1">#REF!</definedName>
    <definedName name="BExH0RK5LJAAP7O67ZFB4RG6WPPL" hidden="1">#REF!</definedName>
    <definedName name="BExH0WNJAKTJRCKMTX8O4KNMIIJM" hidden="1">#REF!</definedName>
    <definedName name="BExH12Y4WX542WI3ZEM15AK4UM9J" hidden="1">#REF!</definedName>
    <definedName name="BExH18CCU7B8JWO8AWGEQRLWZG6J" hidden="1">#REF!</definedName>
    <definedName name="BExH1BN2H92IQKKP5IREFSS9FBF2" hidden="1">#REF!</definedName>
    <definedName name="BExH1FDTQXR9QQ31WDB7OPXU7MPT" hidden="1">#REF!</definedName>
    <definedName name="BExH1FOMEUIJNIDJAUY0ZQFBJSY9" hidden="1">#REF!</definedName>
    <definedName name="BExH1GA6TT290OTIZ8C3N610CYZ1" hidden="1">#REF!</definedName>
    <definedName name="BExH1I8E3HJSZLFRZZ1ZKX7TBJEP" hidden="1">#REF!</definedName>
    <definedName name="BExH1JFFHEBFX9BWJMNIA3N66R3Z" hidden="1">#REF!</definedName>
    <definedName name="BExH1XYRKX51T571O1SRBP9J1D98" hidden="1">#REF!</definedName>
    <definedName name="BExH1Z0GIUSVTF2H1G1I3PDGBNK2" hidden="1">#REF!</definedName>
    <definedName name="BExH225UTM6S9FW4MUDZS7F1PQSH" hidden="1">#REF!</definedName>
    <definedName name="BExH23271RF7AYZ542KHQTH68GQ7" hidden="1">#REF!</definedName>
    <definedName name="BExH2DP58R7D1BGUFBM2FHESVRF0" hidden="1">#REF!</definedName>
    <definedName name="BExH2GJQR4JALNB314RY0LDI49VH" hidden="1">#REF!</definedName>
    <definedName name="BExH2JZR49T7644JFVE7B3N7RZM9" hidden="1">#REF!</definedName>
    <definedName name="BExH2QVWL3AXHSB9EK2GQRD0DBRH" hidden="1">#REF!</definedName>
    <definedName name="BExH2WKXV8X5S2GSBBTWGI0NLNAH" hidden="1">#REF!</definedName>
    <definedName name="BExH2XS1UFYFGU0S0EBXX90W2WE8" hidden="1">#REF!</definedName>
    <definedName name="BExH2XS1X04DMUN544K5RU4XPDCI" hidden="1">#REF!</definedName>
    <definedName name="BExH2XS2TND9SB0GC295R4FP6K5Y" hidden="1">#REF!</definedName>
    <definedName name="BExH2ZA0SZ4SSITL50NA8LZ3OEX6" hidden="1">#REF!</definedName>
    <definedName name="BExH31Z3JNVJPESWKXHILGXZHP2M" hidden="1">#REF!</definedName>
    <definedName name="BExH3E9HZ3QJCDZW7WI7YACFQCHE" hidden="1">#REF!</definedName>
    <definedName name="BExH3IRB6764RQ5HBYRLH6XCT29X" hidden="1">#REF!</definedName>
    <definedName name="BExIG2U8V6RSB47SXLCQG3Q68YRO" hidden="1">#REF!</definedName>
    <definedName name="BExIGJBO8R13LV7CZ7C1YCP974NN" hidden="1">#REF!</definedName>
    <definedName name="BExIGWT86FPOEYTI8GXCGU5Y3KGK" hidden="1">#REF!</definedName>
    <definedName name="BExIHBHXA7E7VUTBVHXXXCH3A5CL" hidden="1">#REF!</definedName>
    <definedName name="BExIHBSOGRSH1GKS6GKBRAJ7GXFQ" hidden="1">#REF!</definedName>
    <definedName name="BExIHDFY73YM0AHAR2Z5OJTFKSL2" hidden="1">#REF!</definedName>
    <definedName name="BExIHPQCQTGEW8QOJVIQ4VX0P6DX" hidden="1">#REF!</definedName>
    <definedName name="BExII1KN91Q7DLW0UB7W2TJ5ACT9" hidden="1">#REF!</definedName>
    <definedName name="BExII50LI8I0CDOOZEMIVHVA2V95" hidden="1">#REF!</definedName>
    <definedName name="BExIINQWABWRGYDT02DOJQ5L7BQF" hidden="1">#REF!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J3160YCWGAVEU0208ZGXXG3P" hidden="1">#REF!</definedName>
    <definedName name="BExIJFGZJ5ED9D6KAY4PGQYLELAX" hidden="1">#REF!</definedName>
    <definedName name="BExIJQK80ZEKSTV62E59AYJYUNLI" hidden="1">#REF!</definedName>
    <definedName name="BExIJRLX3M0YQLU1D5Y9V7HM5QNM" hidden="1">#REF!</definedName>
    <definedName name="BExIJV22J0QA7286KNPMHO1ZUCB3" hidden="1">#REF!</definedName>
    <definedName name="BExIJVI6OC7B6ZE9V4PAOYZXKNER" hidden="1">#REF!</definedName>
    <definedName name="BExIJWK0NGTGQ4X7D5VIVXD14JHI" hidden="1">#REF!</definedName>
    <definedName name="BExIJWPCIYINEJUTXU74VK7WG031" hidden="1">#REF!</definedName>
    <definedName name="BExIKHTXPZR5A8OHB6HDP6QWDHAD" hidden="1">#REF!</definedName>
    <definedName name="BExIKMMJOETSAXJYY1SIKM58LMA2" hidden="1">#REF!</definedName>
    <definedName name="BExIKRF6AQ6VOO9KCIWSM6FY8M7D" hidden="1">#REF!</definedName>
    <definedName name="BExIKTYZESFT3LC0ASFMFKSE0D1X" hidden="1">#REF!</definedName>
    <definedName name="BExIKXVA6M8K0PTRYAGXS666L335" hidden="1">#REF!</definedName>
    <definedName name="BExIL0PMZ2SXK9R6MLP43KBU1J2P" hidden="1">#REF!</definedName>
    <definedName name="BExIL1WSMNNQQK98YHWHV5HVONIZ" hidden="1">#REF!</definedName>
    <definedName name="BExILAAXRTRAD18K74M6MGUEEPUM" hidden="1">#REF!</definedName>
    <definedName name="BExILG5F338C0FFLMVOKMKF8X5ZP" hidden="1">#REF!</definedName>
    <definedName name="BExILGQTQM0HOD0BJI90YO7GOIN3" hidden="1">#REF!</definedName>
    <definedName name="BExILPL7P2BNCD7MYCGTQ9F0R5JX" hidden="1">#REF!</definedName>
    <definedName name="BExILVVS4B1B4G7IO0LPUDWY9K8W" hidden="1">#REF!</definedName>
    <definedName name="BExIM9DBUB7ZGF4B20FVUO9QGOX2" hidden="1">#REF!</definedName>
    <definedName name="BExIMCTBZ4WAESGCDWJ64SB4F0L1" hidden="1">#REF!</definedName>
    <definedName name="BExIMGK9Z94TFPWWZFMD10HV0IF6" hidden="1">#REF!</definedName>
    <definedName name="BExIMPEGKG18TELVC33T4OQTNBWC" hidden="1">#REF!</definedName>
    <definedName name="BExIN4OR435DL1US13JQPOQK8GD5" hidden="1">#REF!</definedName>
    <definedName name="BExINI6A7H3KSFRFA6UBBDPKW37F" hidden="1">#REF!</definedName>
    <definedName name="BExINIMK8XC3JOBT2EXYFHHH52H0" hidden="1">#REF!</definedName>
    <definedName name="BExINLX401ZKEGWU168DS4JUM2J6" hidden="1">#REF!</definedName>
    <definedName name="BExINMYYJO1FTV1CZF6O5XCFAMQX" hidden="1">#REF!</definedName>
    <definedName name="BExINP2H4KI05FRFV5PKZFE00HKO" hidden="1">#REF!</definedName>
    <definedName name="BExINPTCEJ9RPDEBJEJH80NATGUQ" hidden="1">#REF!</definedName>
    <definedName name="BExINWEQMNJ70A6JRXC2LACBX1GX" hidden="1">#REF!</definedName>
    <definedName name="BExINZELVWYGU876QUUZCIMXPBQC" hidden="1">#REF!</definedName>
    <definedName name="BExIO9QZ59ZHRA8SX6QICH2AY8A2" hidden="1">#REF!</definedName>
    <definedName name="BExIOAHV525SMMGFDJFE7456JPBD" hidden="1">#REF!</definedName>
    <definedName name="BExIOCQUQHKUU1KONGSDOLQTQEIC" hidden="1">#REF!</definedName>
    <definedName name="BExIOFAGCDQQKALMX3V0KU94KUQO" hidden="1">#REF!</definedName>
    <definedName name="BExIOFL8Y5O61VLKTB4H20IJNWS1" hidden="1">#REF!</definedName>
    <definedName name="BExIOMBXRW5NS4ZPYX9G5QREZ5J6" hidden="1">#REF!</definedName>
    <definedName name="BExIORA3GK78T7C7SNBJJUONJ0LS" hidden="1">#REF!</definedName>
    <definedName name="BExIORFDXP4AVIEBLSTZ8ETSXMNM" hidden="1">#REF!</definedName>
    <definedName name="BExIOTZ5EFZ2NASVQ05RH15HRSW6" hidden="1">#REF!</definedName>
    <definedName name="BExIP8YNN6UUE1GZ223SWH7DLGKO" hidden="1">#REF!</definedName>
    <definedName name="BExIPAB4AOL592OJCC1CFAXTLF1A" hidden="1">#REF!</definedName>
    <definedName name="BExIPB25DKX4S2ZCKQN7KWSC3JBF" hidden="1">#REF!</definedName>
    <definedName name="BExIPCUX4I4S2N50TLMMLALYLH9S" hidden="1">#REF!</definedName>
    <definedName name="BExIPDLT8JYAMGE5HTN4D1YHZF3V" hidden="1">#REF!</definedName>
    <definedName name="BExIPG040Q08EWIWL6CAVR3GRI43" hidden="1">#REF!</definedName>
    <definedName name="BExIPKNFUDPDKOSH5GHDVNA8D66S" hidden="1">#REF!</definedName>
    <definedName name="BExIPVL5VEVK9Q7AYB7EC2VZWBEZ" hidden="1">#REF!</definedName>
    <definedName name="BExIQ1VS9A2FHVD9TUHKG9K8EVVP" hidden="1">#REF!</definedName>
    <definedName name="BExIQ3J19L30PSQ2CXNT6IHW0I7V" hidden="1">#REF!</definedName>
    <definedName name="BExIQ3OJ7M04XCY276IO0LJA5XUK" hidden="1">#REF!</definedName>
    <definedName name="BExIQ5S19ITB0NDRUN4XV7B905ED" hidden="1">#REF!</definedName>
    <definedName name="BExIQ810MMN2UN0EQ9CRQAFWA19X" hidden="1">#REF!</definedName>
    <definedName name="BExIQ9TMQT2EIXSVQW7GVSOAW2VJ" hidden="1">#REF!</definedName>
    <definedName name="BExIQBMDE1L6J4H27K1FMSHQKDSE" hidden="1">#REF!</definedName>
    <definedName name="BExIQE65LVXUOF3UZFO7SDHFJH22" hidden="1">#REF!</definedName>
    <definedName name="BExIQG9OO2KKBOWTMD1OXY36TEGA" hidden="1">#REF!</definedName>
    <definedName name="BExIQHWZ65ALA9VAFCJEGIL1145G" hidden="1">#REF!</definedName>
    <definedName name="BExIQX1XBB31HZTYEEVOBSE3C5A6" hidden="1">#REF!</definedName>
    <definedName name="BExIR2ALYRP9FW99DK2084J7IIDC" hidden="1">#REF!</definedName>
    <definedName name="BExIR8FQETPTQYW37DBVDWG3J4JW" hidden="1">#REF!</definedName>
    <definedName name="BExIRHKWQB1PP4ZLB0C3AVUBAFMD" hidden="1">#REF!</definedName>
    <definedName name="BExIRJTRJPQR3OTAGAV7JTA4VMPS" hidden="1">#REF!</definedName>
    <definedName name="BExIROH27RJOG6VI7ZHR0RZGAZZ4" hidden="1">#REF!</definedName>
    <definedName name="BExIRRBGTY01OQOI3U5SW59RFDFI" hidden="1">#REF!</definedName>
    <definedName name="BExIS4T0DRF57HYO7OGG72KBOFOI" hidden="1">#REF!</definedName>
    <definedName name="BExIS77BJDDK18PGI9DSEYZPIL7P" hidden="1">#REF!</definedName>
    <definedName name="BExIS8USL1T3Z97CZ30HJ98E2GXQ" hidden="1">#REF!</definedName>
    <definedName name="BExISC5B700MZUBFTQ9K4IKTF7HR" hidden="1">#REF!</definedName>
    <definedName name="BExISDHXS49S1H56ENBPRF1NLD5C" hidden="1">#REF!</definedName>
    <definedName name="BExISM1JLV54A21A164IURMPGUMU" hidden="1">#REF!</definedName>
    <definedName name="BExISRFKJYUZ4AKW44IJF7RF9Y90" hidden="1">#REF!</definedName>
    <definedName name="BExISSMVV57JAUB6CSGBMBFVNGWK" hidden="1">#REF!</definedName>
    <definedName name="BExIT16AD4HCD0WQCCA72AKLQHK1" hidden="1">#REF!</definedName>
    <definedName name="BExIT1MK8TBAK3SNP36A8FKDQSOK" hidden="1">#REF!</definedName>
    <definedName name="BExIT9PPVL7XGGIZS7G6QI6L7H9U" hidden="1">#REF!</definedName>
    <definedName name="BExITBNYANV2S8KD56GOGCKW393R" hidden="1">#REF!</definedName>
    <definedName name="BExITGB4FVAV0LE88D7JMX7FBYXI" hidden="1">#REF!</definedName>
    <definedName name="BExITI3TQ14K842P38QF0PNWSWNO" hidden="1">#REF!</definedName>
    <definedName name="BExIU9OGER4TPMETACWUEP1UENK0" hidden="1">#REF!</definedName>
    <definedName name="BExIUD4OJGH65NFNQ4VMCE3R4J1X" hidden="1">#REF!</definedName>
    <definedName name="BExIUQM0XWNNW3MJD26EOVIT7FSU" hidden="1">#REF!</definedName>
    <definedName name="BExIUTB5OAAXYW0OFMP0PS40SPOB" hidden="1">#REF!</definedName>
    <definedName name="BExIUUT2MHIOV6R3WHA0DPM1KBKY" hidden="1">#REF!</definedName>
    <definedName name="BExIUYPDT1AM6MWGWQS646PIZIWC" hidden="1">#REF!</definedName>
    <definedName name="BExIV0I2O9F8D1UK1SI8AEYR6U0A" hidden="1">#REF!</definedName>
    <definedName name="BExIV2LM38XPLRTWT0R44TMQ59E5" hidden="1">#REF!</definedName>
    <definedName name="BExIV3HY4S0YRV1F7XEMF2YHAR2I" hidden="1">#REF!</definedName>
    <definedName name="BExIV6HUZFRIFLXW2SICKGTAH1PV" hidden="1">#REF!</definedName>
    <definedName name="BExIVCXWL6H5LD9DHDIA4F5U9TQL" hidden="1">#REF!</definedName>
    <definedName name="BExIVEVYJ7KL8QNR5ZTOSD11I5A6" hidden="1">#REF!</definedName>
    <definedName name="BExIVJ30S9U8MA1TUBRND8DGF96D" hidden="1">#REF!</definedName>
    <definedName name="BExIVMOIPSEWSIHIDDLOXESQ28A0" hidden="1">#REF!</definedName>
    <definedName name="BExIVNVNJX9BYDLC88NG09YF5XQ6" hidden="1">#REF!</definedName>
    <definedName name="BExIVQVKLMGSRYT1LFZH0KUIA4OR" hidden="1">#REF!</definedName>
    <definedName name="BExIVYTFI35KNR2XSA6N8OJYUTUR" hidden="1">#REF!</definedName>
    <definedName name="BExIVZF05SNB8DE7VLQOFG9S41HS" hidden="1">#REF!</definedName>
    <definedName name="BExIWB3SY3WRIVIOF988DNNODBOA" hidden="1">#REF!</definedName>
    <definedName name="BExIWB99CG0H52LRD6QWPN4L6DV2" hidden="1">#REF!</definedName>
    <definedName name="BExIWG1W7XP9DFYYSZAIOSHM0QLQ" hidden="1">#REF!</definedName>
    <definedName name="BExIWH3KUK94B7833DD4TB0Y6KP9" hidden="1">#REF!</definedName>
    <definedName name="BExIWHZXYAALPLS8CSHZHJ82LBOH" hidden="1">#REF!</definedName>
    <definedName name="BExIWJY6FHR6KOO0P8U4IZ7VD42D" hidden="1">#REF!</definedName>
    <definedName name="BExIWKE9MGIDWORBI43AWTUNYFAN" hidden="1">#REF!</definedName>
    <definedName name="BExIWPHOYLSNGZKVD3RRKOEALEUG" hidden="1">#REF!</definedName>
    <definedName name="BExIWSHLD1QIZPL5ARLXOJ9Y2CAA" hidden="1">#REF!</definedName>
    <definedName name="BExIX34PM5DBTRHRQWP6PL6WIX88" hidden="1">#REF!</definedName>
    <definedName name="BExIX5OAP9KSUE5SIZCW9P39Q4WE" hidden="1">#REF!</definedName>
    <definedName name="BExIXGRJPVJMUDGSG7IHPXPNO69B" hidden="1">#REF!</definedName>
    <definedName name="BExIXGWVQ9WOO0NCJLXAU4PJPOPM" hidden="1">#REF!</definedName>
    <definedName name="BExIXLK6SEOTUWQVNLCH4SAKTVGQ" hidden="1">#REF!</definedName>
    <definedName name="BExIXM5R87ZL3FHALWZXYCPHGX3E" hidden="1">#REF!</definedName>
    <definedName name="BExIXN24YK8MIB3OZ905DHU9CDH1" hidden="1">#REF!</definedName>
    <definedName name="BExIXS036ZCKT2Z8XZKLZ8PFWQGL" hidden="1">#REF!</definedName>
    <definedName name="BExIXY5CF9PFM0P40AZ4U51TMWV0" hidden="1">#REF!</definedName>
    <definedName name="BExIYEXJBK8JDWIRSVV4RJSKZVV1" hidden="1">#REF!</definedName>
    <definedName name="BExIYFJ59KLIPRTGIHX9X07UVGT3" hidden="1">#REF!</definedName>
    <definedName name="BExIYHH7GZO6BU3DC4GRLH3FD3ZS" hidden="1">#REF!</definedName>
    <definedName name="BExIYHMPBTD67ZNUL9O76FZQHYPT" hidden="1">#REF!</definedName>
    <definedName name="BExIYI2RH0K4225XO970K2IQ1E79" hidden="1">#REF!</definedName>
    <definedName name="BExIYMPZ0KS2KOJFQAUQJ77L7701" hidden="1">#REF!</definedName>
    <definedName name="BExIYP9Q6FV9T0R9G3UDKLS4TTYX" hidden="1">#REF!</definedName>
    <definedName name="BExIYZGLDQ1TN7BIIN4RLDP31GIM" hidden="1">#REF!</definedName>
    <definedName name="BExIZ4K0EZJK6PW3L8SVKTJFSWW9" hidden="1">#REF!</definedName>
    <definedName name="BExIZAECOEZGBAO29QMV14E6XDIV" hidden="1">#REF!</definedName>
    <definedName name="BExIZHQR3N1546MQS83ZJ8I6SPZ3" hidden="1">#REF!</definedName>
    <definedName name="BExIZKVXYD5O2JBU81F2UFJZLLSI" hidden="1">#REF!</definedName>
    <definedName name="BExIZPZDHC8HGER83WHCZAHOX7LK" hidden="1">#REF!</definedName>
    <definedName name="BExIZQA5XCS39QKXMYR1MH2ZIGPS" hidden="1">#REF!</definedName>
    <definedName name="BExIZVDLRUNAL32D9KO9X7Y4PB3O" hidden="1">#REF!</definedName>
    <definedName name="BExIZY2PUZ0OF9YKK1B13IW0VS6G" hidden="1">#REF!</definedName>
    <definedName name="BExJ08KBRR2XMWW3VZMPSQKXHZUH" hidden="1">#REF!</definedName>
    <definedName name="BExJ0DYJWXGE7DA39PYL3WM05U9O" hidden="1">#REF!</definedName>
    <definedName name="BExJ0JYDEZPM2303TRBXOZ74M7N6" hidden="1">#REF!</definedName>
    <definedName name="BExJ0MY8SY5J5V50H3UKE78ODTVB" hidden="1">#REF!</definedName>
    <definedName name="BExJ0YC98G37ML4N8FLP8D95EFRF" hidden="1">#REF!</definedName>
    <definedName name="BExKCDYKAEV45AFXHVHZZ62E5BM3" hidden="1">#REF!</definedName>
    <definedName name="BExKCYXU0W2VQVDI3N3N37K2598P" hidden="1">#REF!</definedName>
    <definedName name="BExKDJX3Z1TS0WFDD9EAO42JHL9G" hidden="1">#REF!</definedName>
    <definedName name="BExKDK7WVA5I2WBACAZHAHN35D0I" hidden="1">#REF!</definedName>
    <definedName name="BExKDKO0W4AGQO1V7K6Q4VM750FT" hidden="1">#REF!</definedName>
    <definedName name="BExKDLF10G7W77J87QWH3ZGLUCLW" hidden="1">#REF!</definedName>
    <definedName name="BExKE2NDBQ14HOJH945N4W9ZZFJO" hidden="1">#REF!</definedName>
    <definedName name="BExKEFE0I3MT6ZLC4T1L9465HKTN" hidden="1">#REF!</definedName>
    <definedName name="BExKEK6O5BVJP4VY02FY7JNAZ6BT" hidden="1">#REF!</definedName>
    <definedName name="BExKEKXK6E6QX339ELPXDIRZSJE0" hidden="1">#REF!</definedName>
    <definedName name="BExKEMFI35R0D4WN4A59V9QH7I5S" hidden="1">#REF!</definedName>
    <definedName name="BExKEOOIBMP7N8033EY2CJYCBX6H" hidden="1">#REF!</definedName>
    <definedName name="BExKEW0RR5LA3VC46A2BEOOMQE56" hidden="1">#REF!</definedName>
    <definedName name="BExKF37PTJB4PE1PUQWG20ASBX4E" hidden="1">#REF!</definedName>
    <definedName name="BExKFA3VI1CZK21SM0N3LZWT9LA1" hidden="1">#REF!</definedName>
    <definedName name="BExKFBB29XXT9A2LVUXYSIVKPWGB" hidden="1">#REF!</definedName>
    <definedName name="BExKFINBFV5J2NFRCL4YUO3YF0ZE" hidden="1">#REF!</definedName>
    <definedName name="BExKFISRBFACTAMJSALEYMY66F6X" hidden="1">#REF!</definedName>
    <definedName name="BExKFOSK5DJ151C4E8544UWMYTOC" hidden="1">#REF!</definedName>
    <definedName name="BExKFWL3DE1V1VOVHAFYBE85QUB7" hidden="1">#REF!</definedName>
    <definedName name="BExKFXS9NDEWPZDVGLTMOM3CFO7N" hidden="1">#REF!</definedName>
    <definedName name="BExKFYJC4EVEV54F82K6VKP7Q3OU" hidden="1">#REF!</definedName>
    <definedName name="BExKG4IYHBKQQ8J8FN10GB2IKO33" hidden="1">#REF!</definedName>
    <definedName name="BExKGBVDO2JNJUFOFQMF0RJG03ZK" hidden="1">#REF!</definedName>
    <definedName name="BExKGF0L44S78D33WMQ1A75TRKB9" hidden="1">#REF!</definedName>
    <definedName name="BExKGFRN31B3G20LMQ4LRF879J68" hidden="1">#REF!</definedName>
    <definedName name="BExKGJD3U3ADZILP20U3EURP0UQP" hidden="1">#REF!</definedName>
    <definedName name="BExKGNK5YGKP0YHHTAAOV17Z9EIM" hidden="1">#REF!</definedName>
    <definedName name="BExKGQ3T3TWGZUSNVWJE1XWXHGRQ" hidden="1">#REF!</definedName>
    <definedName name="BExKGV77YH9YXIQTRKK2331QGYKF" hidden="1">#REF!</definedName>
    <definedName name="BExKH3FTZ5VGTB86W9M4AB39R0G8" hidden="1">#REF!</definedName>
    <definedName name="BExKH3FV5U5O6XZM7STS3NZKQFGJ" hidden="1">#REF!</definedName>
    <definedName name="BExKH3W5435VN8DZ68OCKI93SEO4" hidden="1">#REF!</definedName>
    <definedName name="BExKH9L4L5ZUAA98QAZ7DB7YH4QE" hidden="1">#REF!</definedName>
    <definedName name="BExKHAMUH8NR3HRV0V6FHJE3ROLN" hidden="1">#REF!</definedName>
    <definedName name="BExKHCFKOWFHO2WW0N7Y5XDXEWAO" hidden="1">#REF!</definedName>
    <definedName name="BExKHIVLONZ46HLMR50DEXKEUNEP" hidden="1">#REF!</definedName>
    <definedName name="BExKHPM9XA0ADDK7TUR0N38EXWEP" hidden="1">#REF!</definedName>
    <definedName name="BExKHQYXEM47TMIQRQVHE4T5LT8K" hidden="1">#REF!</definedName>
    <definedName name="BExKI4076KXCDE5KXL79KT36OKLO" hidden="1">#REF!</definedName>
    <definedName name="BExKI7AUWXBP1WBLFRIYSNQZDWCY" hidden="1">#REF!</definedName>
    <definedName name="BExKI7LO70WYISR7Q0Y1ZDWO9M3B" hidden="1">#REF!</definedName>
    <definedName name="BExKIF3EIT434ZQKMDXUBJCRLMK8" hidden="1">#REF!</definedName>
    <definedName name="BExKIGQV6TXIZG039HBOJU62WP2U" hidden="1">#REF!</definedName>
    <definedName name="BExKILE008SF3KTAN8WML3XKI1NZ" hidden="1">#REF!</definedName>
    <definedName name="BExKINSBB6RS7I489QHMCOMU4Z2X" hidden="1">#REF!</definedName>
    <definedName name="BExKINXMPEA03CETGL1VOW1XRJIR" hidden="1">#REF!</definedName>
    <definedName name="BExKITBU5LXLZYDJS3D3BAVWEY3U" hidden="1">#REF!</definedName>
    <definedName name="BExKIU87ZKSOC2DYZWFK6SAK9I8E" hidden="1">#REF!</definedName>
    <definedName name="BExKJ449HLYX2DJ9UF0H9GTPSQ73" hidden="1">#REF!</definedName>
    <definedName name="BExKJ5649R9IC0GKQD6QI2G7C99Q" hidden="1">#REF!</definedName>
    <definedName name="BExKJEB4FXIMV2AAE9S3FCGRK1R0" hidden="1">#REF!</definedName>
    <definedName name="BExKJELX2RUC8UEC56IZPYYZXHA7" hidden="1">#REF!</definedName>
    <definedName name="BExKJI7CV9I6ILFIZ3SVO4DGK64J" hidden="1">#REF!</definedName>
    <definedName name="BExKJINMXS61G2TZEXCJAWVV4F57" hidden="1">#REF!</definedName>
    <definedName name="BExKJK5ME8KB7HA0180L7OUZDDGV" hidden="1">#REF!</definedName>
    <definedName name="BExKJLY652HI5GNEEWQXOB08K2C1" hidden="1">#REF!</definedName>
    <definedName name="BExKJN5IF0VMDILJ5K8ZENF2QYV1" hidden="1">#REF!</definedName>
    <definedName name="BExKJUSJPFUIK20FTVAFJWR2OUYX" hidden="1">#REF!</definedName>
    <definedName name="BExKJXHNZTE5OMRQ1KTVM1DIQE9I" hidden="1">#REF!</definedName>
    <definedName name="BExKK8VP5RS3D0UXZVKA37C4SYBP" hidden="1">#REF!</definedName>
    <definedName name="BExKKIM9NPF6B3SPMPIQB27HQME4" hidden="1">#REF!</definedName>
    <definedName name="BExKKIX1BCBQ4R3K41QD8NTV0OV0" hidden="1">#REF!</definedName>
    <definedName name="BExKKJ2IHMOO66DQ0V2YABR4GV05" hidden="1">#REF!</definedName>
    <definedName name="BExKKQ3ZWADYV03YHMXDOAMU90EB" hidden="1">#REF!</definedName>
    <definedName name="BExKKUGD2HMJWQEYZ8H3X1BMXFS9" hidden="1">#REF!</definedName>
    <definedName name="BExKKX05KCZZZPKOR1NE5A8RGVT4" hidden="1">#REF!</definedName>
    <definedName name="BExKL3QUCLQLECGZM555PRF8EN56" hidden="1">#REF!</definedName>
    <definedName name="BExKL7CGLA62V9UQH9ZDEHIK8W4O" hidden="1">#REF!</definedName>
    <definedName name="BExKLD6S9L66QYREYHBE5J44OK7X" hidden="1">#REF!</definedName>
    <definedName name="BExKLEZK32L28GYJWVO63BZ5E1JD" hidden="1">#REF!</definedName>
    <definedName name="BExKLLKVVHT06LA55JB2FC871DC5" hidden="1">#REF!</definedName>
    <definedName name="BExKMKNALVJRCZS69GFJA4M1J08O" hidden="1">#REF!</definedName>
    <definedName name="BExKMMFZIDRFNSBCWVADJ4S2JE52" hidden="1">#REF!</definedName>
    <definedName name="BExKMRZJS845FERFW6HUXLFAOMYD" hidden="1">#REF!</definedName>
    <definedName name="BExKMS514WWPGUGRYGTH6XU97T8B" hidden="1">#REF!</definedName>
    <definedName name="BExKMUDV8AH8HQAD5HJVUW7GFDWU" hidden="1">#REF!</definedName>
    <definedName name="BExKMWBX4EH3EYJ07UFEM08NB40Z" hidden="1">#REF!</definedName>
    <definedName name="BExKN4Q70IU9OY91QRUSK3044MQD" hidden="1">#REF!</definedName>
    <definedName name="BExKNBGV2IR3S7M0BX4810KZB4V3" hidden="1">#REF!</definedName>
    <definedName name="BExKNCTBZTSY3MO42VU5PLV6YUHZ" hidden="1">#REF!</definedName>
    <definedName name="BExKNGV2YY749C42AQ2T9QNIE5C3" hidden="1">#REF!</definedName>
    <definedName name="BExKNH0F1WPNUEQITIUN5T4NDX9H" hidden="1">#REF!</definedName>
    <definedName name="BExKNV8UOHVWEHDJWI2WMJ9X6QHZ" hidden="1">#REF!</definedName>
    <definedName name="BExKNZLD7UATC1MYRNJD8H2NH4KU" hidden="1">#REF!</definedName>
    <definedName name="BExKNZQUKQQG2Y97R74G4O4BJP1L" hidden="1">#REF!</definedName>
    <definedName name="BExKO06X0EAD3ABEG1E8PWLDWHBA" hidden="1">#REF!</definedName>
    <definedName name="BExKO2AHHSGNI1AZOIOW21KPXKPE" hidden="1">#REF!</definedName>
    <definedName name="BExKO2FXWJWC5IZLDN8JHYILQJ2N" hidden="1">#REF!</definedName>
    <definedName name="BExKO438WZ8FKOU00NURGFMOYXWN" hidden="1">#REF!</definedName>
    <definedName name="BExKO551EZ73M80UFHBQE7BQVU4L" hidden="1">#REF!</definedName>
    <definedName name="BExKOBA4VTRV9YG31IM1PDDO3J9M" hidden="1">#REF!</definedName>
    <definedName name="BExKODIZGWW2EQD0FEYW6WK6XLCM" hidden="1">#REF!</definedName>
    <definedName name="BExKOPO2HPWVQGAKW8LOZMPIDEFG" hidden="1">#REF!</definedName>
    <definedName name="BExKP7SRQ3MN5BDYXV2XMBQNUH23" hidden="1">#REF!</definedName>
    <definedName name="BExKPEZP0QTKOTLIMMIFSVTHQEEK" hidden="1">#REF!</definedName>
    <definedName name="BExKPFFSVTL757PNITV8R9RN4452" hidden="1">#REF!</definedName>
    <definedName name="BExKPIL5ZWOXQAENH3VP3ZHA2N7N" hidden="1">#REF!</definedName>
    <definedName name="BExKPJHKPVROP9QX9BMBZMU2HEZ1" hidden="1">#REF!</definedName>
    <definedName name="BExKPLQJX0HJ8OTXBXH9IC9J2V0W" hidden="1">#REF!</definedName>
    <definedName name="BExKPN8C7GN36ZJZHLOB74LU6KT0" hidden="1">#REF!</definedName>
    <definedName name="BExKPX9VZ1J5021Q98K60HMPJU58" hidden="1">#REF!</definedName>
    <definedName name="BExKQGGEP203MUWSJVORTY7RFOFT" hidden="1">#REF!</definedName>
    <definedName name="BExKQJGAAWNM3NT19E9I0CQDBTU0" hidden="1">#REF!</definedName>
    <definedName name="BExKQM5GJ1ZN5REKFE7YVBQ0KXWF" hidden="1">#REF!</definedName>
    <definedName name="BExKQQ71278061G7ZFYGPWOMOMY2" hidden="1">#REF!</definedName>
    <definedName name="BExKQTXRG3ECU8NT47UR7643LO5G" hidden="1">#REF!</definedName>
    <definedName name="BExKQVL7HPOIZ4FHANDFMVOJLEPR" hidden="1">#REF!</definedName>
    <definedName name="BExKR3ZAJRYXZB4M7XZPK0I7E55W" hidden="1">#REF!</definedName>
    <definedName name="BExKR8RZSEHW184G0Z56B4EGNU72" hidden="1">#REF!</definedName>
    <definedName name="BExKRHM60KUPM7RGAAFRSKX4TMS5" hidden="1">#REF!</definedName>
    <definedName name="BExKRQB2LX164R610N3VXJPD3C1W" hidden="1">#REF!</definedName>
    <definedName name="BExKRVUSQ6PA7ZYQSTEQL3X7PB9P" hidden="1">#REF!</definedName>
    <definedName name="BExKRY3KZ7F7RB2KH8HXSQ85IEQO" hidden="1">#REF!</definedName>
    <definedName name="BExKS91CCVW1YKNE1EQ4MCE1E9JX" hidden="1">#REF!</definedName>
    <definedName name="BExKSA37DZTCK6H13HPIKR0ZFVL8" hidden="1">#REF!</definedName>
    <definedName name="BExKSB51O073JLM4PEU353GBBSMI" hidden="1">#REF!</definedName>
    <definedName name="BExKSC1EDUXA6RM44LZV6HMMHKLX" hidden="1">#REF!</definedName>
    <definedName name="BExKSFMOMSZYDE0WNC94F40S6636" hidden="1">#REF!</definedName>
    <definedName name="BExKSHQ9K79S8KYUWIV5M5LAHHF1" hidden="1">#REF!</definedName>
    <definedName name="BExKSJTWG9L3FCX8FLK4EMUJMF27" hidden="1">#REF!</definedName>
    <definedName name="BExKSU0MKNAVZYYPKCYTZDWQX4R8" hidden="1">#REF!</definedName>
    <definedName name="BExKSX60G1MUS689FXIGYP2F7C62" hidden="1">#REF!</definedName>
    <definedName name="BExKT2UZ7Y2VWF5NQE18SJRLD2RN" hidden="1">#REF!</definedName>
    <definedName name="BExKT3GJFNGAM09H5F615E36A38C" hidden="1">#REF!</definedName>
    <definedName name="BExKTD1UM9PTLYETG1RM502XDNC0" hidden="1">#REF!</definedName>
    <definedName name="BExKTJN26AY45CE6JUAX3OIL48F7" hidden="1">#REF!</definedName>
    <definedName name="BExKTQZGN8GI3XGSEXMPCCA3S19H" hidden="1">#REF!</definedName>
    <definedName name="BExKTUKYYU0F6TUW1RXV24LRAZFE" hidden="1">#REF!</definedName>
    <definedName name="BExKU3FBLHQBIUTN6XEZW5GC9OG1" hidden="1">#REF!</definedName>
    <definedName name="BExKU82I99FEUIZLODXJDOJC96CQ" hidden="1">#REF!</definedName>
    <definedName name="BExKUDM0DFSCM3D91SH0XLXJSL18" hidden="1">#REF!</definedName>
    <definedName name="BExKUHYKD9TJTMQOOBS4EX04FCEZ" hidden="1">#REF!</definedName>
    <definedName name="BExKULEKJLA77AUQPDUHSM94Y76Z" hidden="1">#REF!</definedName>
    <definedName name="BExKUXE506JSYMR4CV866RHRDYR9" hidden="1">#REF!</definedName>
    <definedName name="BExKV08R85MKI3MAX9E2HERNQUNL" hidden="1">#REF!</definedName>
    <definedName name="BExKV4AAUNNJL5JWD7PX6BFKVS6O" hidden="1">#REF!</definedName>
    <definedName name="BExKVDVK6HN74GQPTXICP9BFC8CF" hidden="1">#REF!</definedName>
    <definedName name="BExKVFZ3ZZGIC1QI8XN6BYFWN0ZY" hidden="1">#REF!</definedName>
    <definedName name="BExKVG4KGO28KPGTAFL1R8TTZ10N" hidden="1">#REF!</definedName>
    <definedName name="BExKW0CSH7DA02YSNV64PSEIXB2P" hidden="1">#REF!</definedName>
    <definedName name="BExM9NUG3Q31X01AI9ZJCZIX25CS" hidden="1">#REF!</definedName>
    <definedName name="BExM9OG182RP30MY23PG49LVPZ1C" hidden="1">#REF!</definedName>
    <definedName name="BExMA64MW1S18NH8DCKPCCEI5KCB" hidden="1">#REF!</definedName>
    <definedName name="BExMALEWFUEM8Y686IT03ECURUBR" hidden="1">#REF!</definedName>
    <definedName name="BExMAS0AQY7KMMTBTBPK0SWWDITB" hidden="1">#REF!</definedName>
    <definedName name="BExMAXJS82ZJ8RS22VLE0V0LDUII" hidden="1">#REF!</definedName>
    <definedName name="BExMB4QRS0R3MTB4CMUHFZ84LNZQ" hidden="1">#REF!</definedName>
    <definedName name="BExMB7AICZ233JKSCEUSR9RQXRS0" hidden="1">#REF!</definedName>
    <definedName name="BExMBC35WKQY5CWQJLV4D05O6971" hidden="1">#REF!</definedName>
    <definedName name="BExMBFTZV4Q1A5KG25C1N9PHQNSW" hidden="1">#REF!</definedName>
    <definedName name="BExMBFZFXQDH3H55R89930TFTU36" hidden="1">#REF!</definedName>
    <definedName name="BExMBK6ISK3U7KHZKUJXIDKGF6VW" hidden="1">#REF!</definedName>
    <definedName name="BExMBYPQDG9AYDQ5E8IECVFREPO6" hidden="1">#REF!</definedName>
    <definedName name="BExMC7PESEESXVMDCGGIP5LPMUGY" hidden="1">#REF!</definedName>
    <definedName name="BExMC8AZUTX8LG89K2JJR7ZG62XX" hidden="1">#REF!</definedName>
    <definedName name="BExMCA96YR10V72G2R0SCIKPZLIZ" hidden="1">#REF!</definedName>
    <definedName name="BExMCB5JU5I2VQDUBS4O42BTEVKI" hidden="1">#REF!</definedName>
    <definedName name="BExMCFSQFSEMPY5IXDIRKZDASDBR" hidden="1">#REF!</definedName>
    <definedName name="BExMCH58I9XOLK7WEE6VSJGYPJGL" hidden="1">#REF!</definedName>
    <definedName name="BExMCMZOEYWVOOJ98TBHTTCS7XB8" hidden="1">#REF!</definedName>
    <definedName name="BExMCS8EF2W3FS9QADNKREYSI8P0" hidden="1">#REF!</definedName>
    <definedName name="BExMCSU0KZGHALEL7N5DJBVL94K7" hidden="1">#REF!</definedName>
    <definedName name="BExMCUS7GSOM96J0HJ7EH0FFM2AC" hidden="1">#REF!</definedName>
    <definedName name="BExMCYTT6TVDWMJXO1NZANRTVNAN" hidden="1">#REF!</definedName>
    <definedName name="BExMD54CT1VTE5YGBM90H90NF28M" hidden="1">#REF!</definedName>
    <definedName name="BExMD5F6IAV108XYJLXUO9HD0IT6" hidden="1">#REF!</definedName>
    <definedName name="BExMDANV66W9T3XAXID40XFJ0J93" hidden="1">#REF!</definedName>
    <definedName name="BExMDGD1KQP7NNR78X2ZX4FCBQ1S" hidden="1">#REF!</definedName>
    <definedName name="BExMDIRDK0DI8P86HB7WPH8QWLSQ" hidden="1">#REF!</definedName>
    <definedName name="BExMDOWGDLP3BZZB4ZPI31VS10FP" hidden="1">#REF!</definedName>
    <definedName name="BExMDPI2FVMORSWDDCVAJ85WYAYO" hidden="1">#REF!</definedName>
    <definedName name="BExMDUWB7VWHFFR266QXO46BNV2S" hidden="1">#REF!</definedName>
    <definedName name="BExME2U47N8LZG0BPJ49ANY5QVV2" hidden="1">#REF!</definedName>
    <definedName name="BExME88DH5DUKMUFI9FNVECXFD2E" hidden="1">#REF!</definedName>
    <definedName name="BExME9A7MOGAK7YTTQYXP5DL6VYA" hidden="1">#REF!</definedName>
    <definedName name="BExMEOV9YFRY5C3GDLU60GIX10BY" hidden="1">#REF!</definedName>
    <definedName name="BExMEUK2Q5GZGZFZ77Z2IYUKOOYW" hidden="1">#REF!</definedName>
    <definedName name="BExMEWT36INWIP0VNS94NEP3WZ4U" hidden="1">#REF!</definedName>
    <definedName name="BExMEY09ESM4H2YGKEQQRYUD114R" hidden="1">#REF!</definedName>
    <definedName name="BExMF0UU4SBJHOJ4SG09QMF1TC7H" hidden="1">#REF!</definedName>
    <definedName name="BExMF2YDPQWGK3CSN8LJG16MLFQZ" hidden="1">#REF!</definedName>
    <definedName name="BExMF4G4IUPQY1Y5GEY5N3E04CL6" hidden="1">#REF!</definedName>
    <definedName name="BExMF9UIGYMOAQK0ELUWP0S0HZZY" hidden="1">#REF!</definedName>
    <definedName name="BExMFDLBSWFMRDYJ2DZETI3EXKN2" hidden="1">#REF!</definedName>
    <definedName name="BExMFLDTMRTCHKA37LQW67BG8D5C" hidden="1">#REF!</definedName>
    <definedName name="BExMFTH63LTWA2JYJTJYMT5K2OF2" hidden="1">#REF!</definedName>
    <definedName name="BExMFY4AG5T27EVMCCNE00GOAR66" hidden="1">#REF!</definedName>
    <definedName name="BExMGQQNOFER1MEVQ961XARTRIOB" hidden="1">#REF!</definedName>
    <definedName name="BExMH189E60TZBQFN2UWVA1UZA7X" hidden="1">#REF!</definedName>
    <definedName name="BExMH3H9TW5TJCNU5Z1EWXP3BAEP" hidden="1">#REF!</definedName>
    <definedName name="BExMH5A1B01SYXROP70DOKTQ5D6Z" hidden="1">#REF!</definedName>
    <definedName name="BExMHCGUJ8A3L31NU0XU0FGXE4P3" hidden="1">#REF!</definedName>
    <definedName name="BExMHOWPB34KPZ76M2KIX2C9R2VB" hidden="1">#REF!</definedName>
    <definedName name="BExMHSSYC6KVHA3QDTSYPN92TWMI" hidden="1">#REF!</definedName>
    <definedName name="BExMI3AJ9477KDL4T9DHET4LJJTW" hidden="1">#REF!</definedName>
    <definedName name="BExMI6QQ20XHD0NWJUN741B37182" hidden="1">#REF!</definedName>
    <definedName name="BExMI7MYDIMC9K16SBAFUY33RHK6" hidden="1">#REF!</definedName>
    <definedName name="BExMI8JB94SBD9EMNJEK7Y2T6GYU" hidden="1">#REF!</definedName>
    <definedName name="BExMI8OS85YTW3KYVE4YD0R7Z6UV" hidden="1">#REF!</definedName>
    <definedName name="BExMI9QNOMVZ44I3BFMGU1EL1RSY" hidden="1">#REF!</definedName>
    <definedName name="BExMIBOOZU40JS3F89OMPSRCE9MM" hidden="1">#REF!</definedName>
    <definedName name="BExMIIQ5MBWSIHTFWAQADXMZC22Q" hidden="1">#REF!</definedName>
    <definedName name="BExMIL4I2GE866I25CR5JBLJWJ6A" hidden="1">#REF!</definedName>
    <definedName name="BExMIRKIPF27SNO82SPFSB3T5U17" hidden="1">#REF!</definedName>
    <definedName name="BExMIV0KC8555D5E42ZGWG15Y0MO" hidden="1">#REF!</definedName>
    <definedName name="BExMIZT6AN7E6YMW2S87CTCN2UXH" hidden="1">#REF!</definedName>
    <definedName name="BExMJB76UESLVRD81AJBOB78JDTT" hidden="1">#REF!</definedName>
    <definedName name="BExMJI8OLFZQCGOW3F99ETW8A21E" hidden="1">#REF!</definedName>
    <definedName name="BExMJNC8ZFB9DRFOJ961ZAJ8U3A8" hidden="1">#REF!</definedName>
    <definedName name="BExMJTBV8A3D31W2IQHP9RDFPPHQ" hidden="1">#REF!</definedName>
    <definedName name="BExMK2RTXN4QJWEUNX002XK8VQP8" hidden="1">#REF!</definedName>
    <definedName name="BExMKBGQDUZ8AWXYHA3QVMSDVZ3D" hidden="1">#REF!</definedName>
    <definedName name="BExMKBM1467553LDFZRRKVSHN374" hidden="1">#REF!</definedName>
    <definedName name="BExMKGK5FJUC0AU8MABRGDC5ZM70" hidden="1">#REF!</definedName>
    <definedName name="BExMKP92JGBM5BJO174H9A4HQIB9" hidden="1">#REF!</definedName>
    <definedName name="BExMKPEDT6IOYLLC3KJKRZOETC3Y" hidden="1">#REF!</definedName>
    <definedName name="BExMKTW7R5SOV4PHAFGHU3W73DYE" hidden="1">#REF!</definedName>
    <definedName name="BExMKU7051J2W1RQXGZGE62NBRUZ" hidden="1">#REF!</definedName>
    <definedName name="BExMKUN3WPECJR2XRID2R7GZRGNX" hidden="1">#REF!</definedName>
    <definedName name="BExMKZ535P011X4TNV16GCOH4H21" hidden="1">#REF!</definedName>
    <definedName name="BExML3XQNDIMX55ZCHHXKUV3D6E6" hidden="1">#REF!</definedName>
    <definedName name="BExML5QGSWHLI18BGY4CGOTD3UWH" hidden="1">#REF!</definedName>
    <definedName name="BExML6BVFCV80776USR7X70HVRZT" hidden="1">#REF!</definedName>
    <definedName name="BExMLO5Z61RE85X8HHX2G4IU3AZW" hidden="1">#REF!</definedName>
    <definedName name="BExMLVI7UORSHM9FMO8S2EI0TMTS" hidden="1">#REF!</definedName>
    <definedName name="BExMM5UCOT2HSSN0ZIPZW55GSOVO" hidden="1">#REF!</definedName>
    <definedName name="BExMM8ZRS5RQ8H1H55RVPVTDL5NL" hidden="1">#REF!</definedName>
    <definedName name="BExMMH8EAZB09XXQ5X4LR0P4NHG9" hidden="1">#REF!</definedName>
    <definedName name="BExMMIQH5BABNZVCIQ7TBCQ10AY5" hidden="1">#REF!</definedName>
    <definedName name="BExMMNIZ2T7M22WECMUQXEF4NJ71" hidden="1">#REF!</definedName>
    <definedName name="BExMMPMIOU7BURTV0L1K6ACW9X73" hidden="1">#REF!</definedName>
    <definedName name="BExMMQ835AJDHS4B419SS645P67Q" hidden="1">#REF!</definedName>
    <definedName name="BExMMQIUVPCOBISTEJJYNCCLUCPY" hidden="1">#REF!</definedName>
    <definedName name="BExMMTIXETA5VAKBSOFDD5SRU887" hidden="1">#REF!</definedName>
    <definedName name="BExMMV0P6P5YS3C35G0JYYHI7992" hidden="1">#REF!</definedName>
    <definedName name="BExMNJLFWZBRN9PZF1IO9CYWV1B2" hidden="1">#REF!</definedName>
    <definedName name="BExMNKCJ0FA57YEUUAJE43U1QN5P" hidden="1">#REF!</definedName>
    <definedName name="BExMNKN5D1WEF2OOJVP6LZ6DLU3Y" hidden="1">#REF!</definedName>
    <definedName name="BExMNR38HMPLWAJRQ9MMS3ZAZ9IU" hidden="1">#REF!</definedName>
    <definedName name="BExMNRDZULKJMVY2VKIIRM2M5A1M" hidden="1">#REF!</definedName>
    <definedName name="BExMNVFKZIBQSCAH71DIF1CJG89T" hidden="1">#REF!</definedName>
    <definedName name="BExMNVVUQAGQY9SA29FGI7D7R5MN" hidden="1">#REF!</definedName>
    <definedName name="BExMO9IOWKTWHO8LQJJQI5P3INWY" hidden="1">#REF!</definedName>
    <definedName name="BExMOI29DOEK5R1A5QZPUDKF7N6T" hidden="1">#REF!</definedName>
    <definedName name="BExMONRAU0S904NLJHPI47RVQDBH" hidden="1">#REF!</definedName>
    <definedName name="BExMPAJ5AJAXGKGK3F6H3ODS6RF4" hidden="1">#REF!</definedName>
    <definedName name="BExMPD2X55FFBVJ6CBUKNPROIOEU" hidden="1">#REF!</definedName>
    <definedName name="BExMPGZ848E38FUH1JBQN97DGWAT" hidden="1">#REF!</definedName>
    <definedName name="BExMPMTICOSMQENOFKQ18K0ZT4S8" hidden="1">#REF!</definedName>
    <definedName name="BExMPMZ07II0R4KGWQQ7PGS3RZS4" hidden="1">#REF!</definedName>
    <definedName name="BExMPOBH04JMDO6Z8DMSEJZM4ANN" hidden="1">#REF!</definedName>
    <definedName name="BExMPSD77XQ3HA6A4FZOJK8G2JP3" hidden="1">#REF!</definedName>
    <definedName name="BExMQ4I3Q7F0BMPHSFMFW9TZ87UD" hidden="1">#REF!</definedName>
    <definedName name="BExMQ4SWDWI4N16AZ0T5CJ6HH8WC" hidden="1">#REF!</definedName>
    <definedName name="BExMQ71WHW50GVX45JU951AGPLFQ" hidden="1">#REF!</definedName>
    <definedName name="BExMQGXSLPT4A6N47LE6FBVHWBOF" hidden="1">#REF!</definedName>
    <definedName name="BExMQNZGFHW75W9HWRCR0FEF0XF0" hidden="1">#REF!</definedName>
    <definedName name="BExMQRKVQPDFPD0WQUA9QND8OV7P" hidden="1">#REF!</definedName>
    <definedName name="BExMQSBR7PL4KLB1Q4961QO45Y4G" hidden="1">#REF!</definedName>
    <definedName name="BExMR1MA4I1X77714ZEPUVC8W398" hidden="1">#REF!</definedName>
    <definedName name="BExMR8YQHA7N77HGHY4Y6R30I3XT" hidden="1">#REF!</definedName>
    <definedName name="BExMRENOIARWRYOIVPDIEBVNRDO7" hidden="1">#REF!</definedName>
    <definedName name="BExMRF3SCIUZL945WMMDCT29MTLN" hidden="1">#REF!</definedName>
    <definedName name="BExMRRJNUMGRSDD5GGKKGEIZ6FTS" hidden="1">#REF!</definedName>
    <definedName name="BExMRU3ACIU0RD2BNWO55LH5U2BR" hidden="1">#REF!</definedName>
    <definedName name="BExMRWC9LD1LDAVIUQHQWIYMK129" hidden="1">#REF!</definedName>
    <definedName name="BExMSBH3T898ERC4BT51ZURKDCH1" hidden="1">#REF!</definedName>
    <definedName name="BExMSQRCC40AP8BDUPL2I2DNC210" hidden="1">#REF!</definedName>
    <definedName name="BExO4J9LR712G00TVA82VNTG8O7H" hidden="1">#REF!</definedName>
    <definedName name="BExO55G2KVZ7MIJ30N827CLH0I2A" hidden="1">#REF!</definedName>
    <definedName name="BExO5A8PZD9EUHC5CMPU6N3SQ15L" hidden="1">#REF!</definedName>
    <definedName name="BExO5XMAHL7CY3X0B1OPKZ28DCJ5" hidden="1">#REF!</definedName>
    <definedName name="BExO66LZJKY4PTQVREELI6POS4AY" hidden="1">#REF!</definedName>
    <definedName name="BExO6LLHCYTF7CIVHKAO0NMET14Q" hidden="1">#REF!</definedName>
    <definedName name="BExO6NOZIPWELHV0XX25APL9UNOP" hidden="1">#REF!</definedName>
    <definedName name="BExO71MMHEBC11LG4HXDEQNHOII2" hidden="1">#REF!</definedName>
    <definedName name="BExO71S28H4XYOYYLAXOO93QV4TF" hidden="1">#REF!</definedName>
    <definedName name="BExO7BIP1737MIY7S6K4XYMTIO95" hidden="1">#REF!</definedName>
    <definedName name="BExO7OUQS3XTUQ2LDKGQ8AAQ3OJJ" hidden="1">#REF!</definedName>
    <definedName name="BExO85HMYXZJ7SONWBKKIAXMCI3C" hidden="1">#REF!</definedName>
    <definedName name="BExO863922O4PBGQMUNEQKGN3K96" hidden="1">#REF!</definedName>
    <definedName name="BExO89ZIOXN0HOKHY24F7HDZ87UT" hidden="1">#REF!</definedName>
    <definedName name="BExO8A4SWOKD9WI5E6DITCL3LZZC" hidden="1">#REF!</definedName>
    <definedName name="BExO8CDTBCABLEUD6PE2UM2EZ6C4" hidden="1">#REF!</definedName>
    <definedName name="BExO8UTAGQWDBQZEEF4HUNMLQCVU" hidden="1">#REF!</definedName>
    <definedName name="BExO937E20IHMGQOZMECL3VZC7OX" hidden="1">#REF!</definedName>
    <definedName name="BExO94UTJKQQ7TJTTJRTSR70YVJC" hidden="1">#REF!</definedName>
    <definedName name="BExO9EALFB2R8VULHML1AVRPHME0" hidden="1">#REF!</definedName>
    <definedName name="BExO9J3A438976RXIUX5U9SU5T55" hidden="1">#REF!</definedName>
    <definedName name="BExO9RS5RXFJ1911HL3CCK6M74EP" hidden="1">#REF!</definedName>
    <definedName name="BExO9SDRI1M6KMHXSG3AE5L0F2U3" hidden="1">#REF!</definedName>
    <definedName name="BExO9US253B9UNAYT7DWLMK2BO44" hidden="1">#REF!</definedName>
    <definedName name="BExO9V2U2YXAY904GYYGU6TD8Y7M" hidden="1">#REF!</definedName>
    <definedName name="BExOAAIG18X4V98C7122L5F65P5C" hidden="1">#REF!</definedName>
    <definedName name="BExOAQ3GKCT7YZW1EMVU3EILSZL2" hidden="1">#REF!</definedName>
    <definedName name="BExOATZQ6SF8DASYLBQ0Z6D2WPSC" hidden="1">#REF!</definedName>
    <definedName name="BExOB9KT2THGV4SPLDVFTFXS4B14" hidden="1">#REF!</definedName>
    <definedName name="BExOBEZ0IE2WBEYY3D3CMRI72N1K" hidden="1">#REF!</definedName>
    <definedName name="BExOBF9TFH4NSBTR7JD2Q1165NIU" hidden="1">#REF!</definedName>
    <definedName name="BExOBIPU8760ITY0C8N27XZ3KWEF" hidden="1">#REF!</definedName>
    <definedName name="BExOBM0I5L0MZ1G4H9MGMD87SBMZ" hidden="1">#REF!</definedName>
    <definedName name="BExOBOUXMP88KJY2BX2JLUJH5N0K" hidden="1">#REF!</definedName>
    <definedName name="BExOBP0FKQ4SVR59FB48UNLKCOR6" hidden="1">#REF!</definedName>
    <definedName name="BExOBTNR0XX9V82O76VVWUQABHT8" hidden="1">#REF!</definedName>
    <definedName name="BExOBYAVUCQ0IGM0Y6A75QHP0Q1A" hidden="1">#REF!</definedName>
    <definedName name="BExOC3UEHB1CZNINSQHZANWJYKR8" hidden="1">#REF!</definedName>
    <definedName name="BExOCBSF3XGO9YJ23LX2H78VOUR7" hidden="1">#REF!</definedName>
    <definedName name="BExOCEHJCLIUR23CB4TC9OEFJGFX" hidden="1">#REF!</definedName>
    <definedName name="BExOCKXFMOW6WPFEVX1I7R7FNDSS" hidden="1">#REF!</definedName>
    <definedName name="BExOCM4L30L6FV3N2PR4O6X8WY2M" hidden="1">#REF!</definedName>
    <definedName name="BExOCYEXOB95DH5NOB0M5NOYX398" hidden="1">#REF!</definedName>
    <definedName name="BExOD4ERMDMFD8X1016N4EXOUR0S" hidden="1">#REF!</definedName>
    <definedName name="BExOD55RS7BQUHRQ6H3USVGKR0P7" hidden="1">#REF!</definedName>
    <definedName name="BExODEWDDEABM4ZY3XREJIBZ8IVP" hidden="1">#REF!</definedName>
    <definedName name="BExODICDVVLFKWA22B3L0CKKTAZA" hidden="1">#REF!</definedName>
    <definedName name="BExODZFEIWV26E8RFU7XQYX1J458" hidden="1">#REF!</definedName>
    <definedName name="BExOE0S111KPTELH26PPXE94J3GJ" hidden="1">#REF!</definedName>
    <definedName name="BExOE5KH3JKKPZO401YAB3A11G1U" hidden="1">#REF!</definedName>
    <definedName name="BExOEBKG55EROA2VL360A06LKASE" hidden="1">#REF!</definedName>
    <definedName name="BExOEFWUBETCPIYF89P9SBDOI3X5" hidden="1">#REF!</definedName>
    <definedName name="BExOEL08MN74RQKVY0P43PFHPTVB" hidden="1">#REF!</definedName>
    <definedName name="BExOERG5LWXYYEN1DY1H2FWRJS9T" hidden="1">#REF!</definedName>
    <definedName name="BExOEV1S6JJVO5PP4BZ20SNGZR7D" hidden="1">#REF!</definedName>
    <definedName name="BExOEVNDLRXW33RF3AMMCDLTLROJ" hidden="1">#REF!</definedName>
    <definedName name="BExOEZOXV3VXUB6VGSS85GXATYAC" hidden="1">#REF!</definedName>
    <definedName name="BExOFDBSAZV60157PIDWCSSUN3MJ" hidden="1">#REF!</definedName>
    <definedName name="BExOFEDNCYI2TPTMQ8SJN3AW4YMF" hidden="1">#REF!</definedName>
    <definedName name="BExOFVLXVD6RVHSQO8KZOOACSV24" hidden="1">#REF!</definedName>
    <definedName name="BExOG2SW3XOGP9VAPQ3THV3VWV12" hidden="1">#REF!</definedName>
    <definedName name="BExOG45J81K4OPA40KW5VQU54KY3" hidden="1">#REF!</definedName>
    <definedName name="BExOGFE2SCL8HHT4DFAXKLUTJZOG" hidden="1">#REF!</definedName>
    <definedName name="BExOGH1IMADJCZMFDE6NMBBKO558" hidden="1">#REF!</definedName>
    <definedName name="BExOGT6D0LJ3C22RDW8COECKB1J5" hidden="1">#REF!</definedName>
    <definedName name="BExOGTMI1HT31M1RGWVRAVHAK7DE" hidden="1">#REF!</definedName>
    <definedName name="BExOGXO9JE5XSE9GC3I6O21UEKAO" hidden="1">#REF!</definedName>
    <definedName name="BExOH9ICQA5WPLVJIKJVPWUPKSYO" hidden="1">#REF!</definedName>
    <definedName name="BExOH9ICZ13C1LAW8OTYTR9S7ZP3" hidden="1">#REF!</definedName>
    <definedName name="BExOHGEJ8V8OXT32FSU173XLXBDH" hidden="1">#REF!</definedName>
    <definedName name="BExOHL75H3OT4WAKKPUXIVXWFVDS" hidden="1">#REF!</definedName>
    <definedName name="BExOHLHXXJL6363CC082M9M5VVXQ" hidden="1">#REF!</definedName>
    <definedName name="BExOHNAO5UDXSO73BK2ARHWKS90Y" hidden="1">#REF!</definedName>
    <definedName name="BExOHR1G1I9A9CI1HG94EWBLWNM2" hidden="1">#REF!</definedName>
    <definedName name="BExOHTQPP8LQ98L6PYUI6QW08YID" hidden="1">#REF!</definedName>
    <definedName name="BExOHUHN7UXHYAJFJJFU805UZ0NB" hidden="1">#REF!</definedName>
    <definedName name="BExOHX6Q6NJI793PGX59O5EKTP4G" hidden="1">#REF!</definedName>
    <definedName name="BExOI5VMTHH7Y8MQQ1N635CHYI0P" hidden="1">#REF!</definedName>
    <definedName name="BExOIEVCP4Y6VDS23AK84MCYYHRT" hidden="1">#REF!</definedName>
    <definedName name="BExOIFRP0HEHF5D7JSZ0X8ADJ79U" hidden="1">#REF!</definedName>
    <definedName name="BExOIHPQIXR0NDR5WD01BZKPKEO3" hidden="1">#REF!</definedName>
    <definedName name="BExOIM7L0Z3LSII9P7ZTV4KJ8RMA" hidden="1">#REF!</definedName>
    <definedName name="BExOIWJVMJ6MG6JC4SPD1L00OHU1" hidden="1">#REF!</definedName>
    <definedName name="BExOIYCN8Z4JK3OOG86KYUCV0ME8" hidden="1">#REF!</definedName>
    <definedName name="BExOJ3AKZ9BCBZT3KD8WMSLK6MN2" hidden="1">#REF!</definedName>
    <definedName name="BExOJ7XQK71I4YZDD29AKOOWZ47E" hidden="1">#REF!</definedName>
    <definedName name="BExOJAXS2THXXIJMV2F2LZKMI589" hidden="1">#REF!</definedName>
    <definedName name="BExOJDXKJ43BMD5CFWEMSU5R1BP9" hidden="1">#REF!</definedName>
    <definedName name="BExOJHZ9KOD9LEP7ES426LHOCXEY" hidden="1">#REF!</definedName>
    <definedName name="BExOJM0W6XGSW5MXPTTX0GNF6SFT" hidden="1">#REF!</definedName>
    <definedName name="BExOJQ7XL1X94G2GP88DSU6OTRKY" hidden="1">#REF!</definedName>
    <definedName name="BExOJXEUJJ9SYRJXKYYV2NCCDT2R" hidden="1">#REF!</definedName>
    <definedName name="BExOK0EQYM9JUMAGWOUN7QDH7VMZ" hidden="1">#REF!</definedName>
    <definedName name="BExOK10DBCM0O0CLRF8BB6EEWGB2" hidden="1">#REF!</definedName>
    <definedName name="BExOK45QZPFPJ08Z5BZOFLNGPHCZ" hidden="1">#REF!</definedName>
    <definedName name="BExOK4WM9O7QNG6O57FOASI5QSN1" hidden="1">#REF!</definedName>
    <definedName name="BExOK57E3HXBUDOQB4M87JK9OPNE" hidden="1">#REF!</definedName>
    <definedName name="BExOKJLBFD15HACQ01HQLY1U5SE2" hidden="1">#REF!</definedName>
    <definedName name="BExOKTXMJP351VXKH8VT6SXUNIMF" hidden="1">#REF!</definedName>
    <definedName name="BExOKU8GMLOCNVORDE329819XN67" hidden="1">#REF!</definedName>
    <definedName name="BExOL0Z3Z7IAMHPB91EO2MF49U57" hidden="1">#REF!</definedName>
    <definedName name="BExOL7KH12VAR0LG741SIOJTLWFD" hidden="1">#REF!</definedName>
    <definedName name="BExOLGUYDBS2V3UOK4DVPUW5JZN7" hidden="1">#REF!</definedName>
    <definedName name="BExOLICXFHJLILCJVFMJE5MGGWKR" hidden="1">#REF!</definedName>
    <definedName name="BExOLOI0WJS3QC12I3ISL0D9AWOF" hidden="1">#REF!</definedName>
    <definedName name="BExOLQ5A7IWI0W12J7315E7LBI0O" hidden="1">#REF!</definedName>
    <definedName name="BExOLYZNG5RBD0BTS1OEZJNU92Q5" hidden="1">#REF!</definedName>
    <definedName name="BExOM136CSOYSV2NE3NAU04Z4414" hidden="1">#REF!</definedName>
    <definedName name="BExOM3HIJ3UZPOKJI68KPBJAHPDC" hidden="1">#REF!</definedName>
    <definedName name="BExOM5QC0I90GVJG1G7NFAIINKAQ" hidden="1">#REF!</definedName>
    <definedName name="BExOMKPURE33YQ3K1JG9NVQD4W49" hidden="1">#REF!</definedName>
    <definedName name="BExOMP7NGCLUNFK50QD2LPKRG078" hidden="1">#REF!</definedName>
    <definedName name="BExOMPNX2853XA8AUM0BLA7CS86A" hidden="1">#REF!</definedName>
    <definedName name="BExOMU0A6XMY48SZRYL4WQZD13BI" hidden="1">#REF!</definedName>
    <definedName name="BExOMVT0HSNC59DJP4CLISASGHKL" hidden="1">#REF!</definedName>
    <definedName name="BExON0AX35F2SI0UCVMGWGVIUNI3" hidden="1">#REF!</definedName>
    <definedName name="BExON1I19LN0T10YIIYC5NE9UGMR" hidden="1">#REF!</definedName>
    <definedName name="BExON41U4296DV3DPG6I5EF3OEYF" hidden="1">#REF!</definedName>
    <definedName name="BExONB3A7CO4YD8RB41PHC93BQ9M" hidden="1">#REF!</definedName>
    <definedName name="BExONFQH6UUXF8V0GI4BRIST9RFO" hidden="1">#REF!</definedName>
    <definedName name="BExONIL31DZWU7IFVN3VV0XTXJA1" hidden="1">#REF!</definedName>
    <definedName name="BExONJ1BU17R0F5A2UP1UGJBOGKS" hidden="1">#REF!</definedName>
    <definedName name="BExONKZDHE8SS0P4YRLGEQR9KYHF" hidden="1">#REF!</definedName>
    <definedName name="BExONNZ9VMHVX3J6NLNJY7KZA61O" hidden="1">#REF!</definedName>
    <definedName name="BExONRQ1BAA4F3TXP2MYQ4YCZ09S" hidden="1">#REF!</definedName>
    <definedName name="BExONU4ENMND8RLZX0L5EHPYQQSB" hidden="1">#REF!</definedName>
    <definedName name="BExONXPUEU6ZRSIX4PDJ1DXY679I" hidden="1">#REF!</definedName>
    <definedName name="BExOO0KEG2WL5WKKMHN0S2UTIUNG" hidden="1">#REF!</definedName>
    <definedName name="BExOO1WWIZSGB0YTGKESB45TSVMZ" hidden="1">#REF!</definedName>
    <definedName name="BExOO4B8FPAFYPHCTYTX37P1TQM5" hidden="1">#REF!</definedName>
    <definedName name="BExOOIULUDOJRMYABWV5CCL906X6" hidden="1">#REF!</definedName>
    <definedName name="BExOOJLIWKJW5S7XWJXD8TYV5HQ9" hidden="1">#REF!</definedName>
    <definedName name="BExOOQ1JVWQ9LYXD0V94BRXKTA1I" hidden="1">#REF!</definedName>
    <definedName name="BExOOTN0KTXJCL7E476XBN1CJ553" hidden="1">#REF!</definedName>
    <definedName name="BExOOVVUJIJNAYDICUUQQ9O7O3TW" hidden="1">#REF!</definedName>
    <definedName name="BExOP9DDU5MZJKWGFT0MKL44YKIV" hidden="1">#REF!</definedName>
    <definedName name="BExOP9DEBV5W5P4Q25J3XCJBP5S9" hidden="1">#REF!</definedName>
    <definedName name="BExOPFNYRBL0BFM23LZBJTADNOE4" hidden="1">#REF!</definedName>
    <definedName name="BExOPINVFSIZMCVT9YGT2AODVCX3" hidden="1">#REF!</definedName>
    <definedName name="BExOQ1JN4SAC44RTMZIGHSW023WA" hidden="1">#REF!</definedName>
    <definedName name="BExOQ256YMF115DJL3KBPNKABJ90" hidden="1">#REF!</definedName>
    <definedName name="BExQ19DEUOLC11IW32E2AMVZLFF1" hidden="1">#REF!</definedName>
    <definedName name="BExQ1OCW3L24TN0BYVRE2NE3IK1O" hidden="1">#REF!</definedName>
    <definedName name="BExQ29C73XR33S3668YYSYZAIHTG" hidden="1">#REF!</definedName>
    <definedName name="BExQ2FS228IUDUP2023RA1D4AO4C" hidden="1">#REF!</definedName>
    <definedName name="BExQ2L0XYWLY9VPZWXYYFRIRQRJ1" hidden="1">#REF!</definedName>
    <definedName name="BExQ2M841F5Z1BQYR8DG5FKK0LIU" hidden="1">#REF!</definedName>
    <definedName name="BExQ2STHO7AXYTS1VPPHQMX1WT30" hidden="1">#REF!</definedName>
    <definedName name="BExQ2XWXHMQMQ99FF9293AEQHABB" hidden="1">#REF!</definedName>
    <definedName name="BExQ300G8I8TK45A0MVHV15422EU" hidden="1">#REF!</definedName>
    <definedName name="BExQ305RBEODGNAETZ0EZQLLDZZD" hidden="1">#REF!</definedName>
    <definedName name="BExQ37SZQJSC2C73FY2IJY852LVP" hidden="1">#REF!</definedName>
    <definedName name="BExQ39R28MXSG2SEV956F0KZ20AN" hidden="1">#REF!</definedName>
    <definedName name="BExQ3D1P3M5Z3HLMEZ17E0BLEE4U" hidden="1">#REF!</definedName>
    <definedName name="BExQ3EZX6BA2WHKI84SG78UPRTSE" hidden="1">#REF!</definedName>
    <definedName name="BExQ3KOX6620WUSBG7PGACNC936P" hidden="1">#REF!</definedName>
    <definedName name="BExQ3O4W7QF8BOXTUT4IOGF6YKUD" hidden="1">#REF!</definedName>
    <definedName name="BExQ3PXOWSN8561ZR8IEY8ZASI3B" hidden="1">#REF!</definedName>
    <definedName name="BExQ3TZF04IPY0B0UG9CQQ5736UA" hidden="1">#REF!</definedName>
    <definedName name="BExQ42IU9MNDYLODP41DL6YTZMAR" hidden="1">#REF!</definedName>
    <definedName name="BExQ42O4PHH156IHXSW0JAYAC0NJ" hidden="1">#REF!</definedName>
    <definedName name="BExQ452HF7N1HYPXJXQ8WD6SOWUV" hidden="1">#REF!</definedName>
    <definedName name="BExQ4BTBSHPHVEDRCXC2ROW8PLFC" hidden="1">#REF!</definedName>
    <definedName name="BExQ4DGKF54SRKQUTUT4B1CZSS62" hidden="1">#REF!</definedName>
    <definedName name="BExQ4T74LQ5PYTV1MUQUW75A4BDY" hidden="1">#REF!</definedName>
    <definedName name="BExQ4XJHD7EJCNH7S1MJDZJ2MNWG" hidden="1">#REF!</definedName>
    <definedName name="BExQ5039ZCEWBUJHU682G4S89J03" hidden="1">#REF!</definedName>
    <definedName name="BExQ56Z9W6YHZHRXOFFI8EFA7CDI" hidden="1">#REF!</definedName>
    <definedName name="BExQ58MP5FO5Q5CIXVMMYWWPEFW3" hidden="1">#REF!</definedName>
    <definedName name="BExQ5KX3Z668H1KUCKZ9J24HUQ1F" hidden="1">#REF!</definedName>
    <definedName name="BExQ5SPMSOCJYLAY20NB5A6O32RE" hidden="1">#REF!</definedName>
    <definedName name="BExQ5UICMGTMK790KTLK49MAGXRC" hidden="1">#REF!</definedName>
    <definedName name="BExQ5YUUK9FD0QGTY4WD0W90O7OL" hidden="1">#REF!</definedName>
    <definedName name="BExQ62WGBSDPG7ZU34W0N8X45R3X" hidden="1">#REF!</definedName>
    <definedName name="BExQ63793YQ9BH7JLCNRIATIGTRG" hidden="1">#REF!</definedName>
    <definedName name="BExQ6CN1EF2UPZ57ZYMGK8TUJQSS" hidden="1">#REF!</definedName>
    <definedName name="BExQ6FSF8BMWVLJI7Y7MKPG9SU5O" hidden="1">#REF!</definedName>
    <definedName name="BExQ6M2YXJ8AMRJF3QGHC40ADAHZ" hidden="1">#REF!</definedName>
    <definedName name="BExQ6M8B0X44N9TV56ATUVHGDI00" hidden="1">#REF!</definedName>
    <definedName name="BExQ6POH065GV0I74XXVD0VUPBJW" hidden="1">#REF!</definedName>
    <definedName name="BExQ6WV9KPSMXPPLGZ3KK4WNYTHU" hidden="1">#REF!</definedName>
    <definedName name="BExQ7541G92R52ECOIYO6UXIWJJ4" hidden="1">#REF!</definedName>
    <definedName name="BExQ783XTMM2A9I3UKCFWJH1PP2N" hidden="1">#REF!</definedName>
    <definedName name="BExQ79LX01ZPQB8EGD1ZHR2VK2H3" hidden="1">#REF!</definedName>
    <definedName name="BExQ7B3V9MGDK2OIJ61XXFBFLJFZ" hidden="1">#REF!</definedName>
    <definedName name="BExQ7CB046NVPF9ZXDGA7OXOLSLX" hidden="1">#REF!</definedName>
    <definedName name="BExQ7IWDCGGOO1HTJ97YGO1CK3R9" hidden="1">#REF!</definedName>
    <definedName name="BExQ7JNFIEGS2HKNBALH3Q2N5G7Z" hidden="1">#REF!</definedName>
    <definedName name="BExQ7MY3U2Z1IZ71U5LJUD00VVB4" hidden="1">#REF!</definedName>
    <definedName name="BExQ7XL2Q1GVUFL1F9KK0K0EXMWG" hidden="1">#REF!</definedName>
    <definedName name="BExQ8469L3ZRZ3KYZPYMSJIDL7Y5" hidden="1">#REF!</definedName>
    <definedName name="BExQ84MJB94HL3BWRN50M4NCB6Z0" hidden="1">#REF!</definedName>
    <definedName name="BExQ8583ZE00NW7T9OF11OT9IA14" hidden="1">#REF!</definedName>
    <definedName name="BExQ8A0RPE3IMIFIZLUE7KD2N21W" hidden="1">#REF!</definedName>
    <definedName name="BExQ8ABK6H1ADV2R2OYT8NFFYG2N" hidden="1">#REF!</definedName>
    <definedName name="BExQ8DM90XJ6GCJIK9LC5O82I2TJ" hidden="1">#REF!</definedName>
    <definedName name="BExQ8G0K46ZORA0QVQTDI7Z8LXGF" hidden="1">#REF!</definedName>
    <definedName name="BExQ8O3WEU8HNTTGKTW5T0QSKCLP" hidden="1">#REF!</definedName>
    <definedName name="BExQ8ZCEDBOBJA3D9LDP5TU2WYGR" hidden="1">#REF!</definedName>
    <definedName name="BExQ94LAW6MAQBWY25WTBFV5PPZJ" hidden="1">#REF!</definedName>
    <definedName name="BExQ968K8V66L55PCVI3B4VR4FW6" hidden="1">#REF!</definedName>
    <definedName name="BExQ97QIPOSSRK978N8P234Y1XA4" hidden="1">#REF!</definedName>
    <definedName name="BExQ9DFHXLBKBS9DWH05G83SL12Z" hidden="1">#REF!</definedName>
    <definedName name="BExQ9E6FBAXTHGF3RXANFIA77GXP" hidden="1">#REF!</definedName>
    <definedName name="BExQ9J4ID0TGFFFJSQ9PFAMXOYZ1" hidden="1">#REF!</definedName>
    <definedName name="BExQ9KX9734KIAK7IMRLHCPYDHO2" hidden="1">#REF!</definedName>
    <definedName name="BExQ9L81FF4I7816VTPFBDWVU4CW" hidden="1">#REF!</definedName>
    <definedName name="BExQ9M4E2ACZOWWWP1JJIQO8AHUM" hidden="1">#REF!</definedName>
    <definedName name="BExQ9TBCP5IJKSQLYEBE6FQLF16I" hidden="1">#REF!</definedName>
    <definedName name="BExQ9UTANMJCK7LJ4OQMD6F2Q01L" hidden="1">#REF!</definedName>
    <definedName name="BExQ9ZLYHWABXAA9NJDW8ZS0UQ9P" hidden="1">#REF!</definedName>
    <definedName name="BExQ9ZWQ19KSRZNZNPY6ZNWEST1J" hidden="1">#REF!</definedName>
    <definedName name="BExQA324HSCK40ENJUT9CS9EC71B" hidden="1">#REF!</definedName>
    <definedName name="BExQA55GY0STSNBWQCWN8E31ZXCS" hidden="1">#REF!</definedName>
    <definedName name="BExQA7URC7M82I0T9RUF90GCS15S" hidden="1">#REF!</definedName>
    <definedName name="BExQA9HZIN9XEMHEEVHT99UU9Z82" hidden="1">#REF!</definedName>
    <definedName name="BExQAELFYH92K8CJL155181UDORO" hidden="1">#REF!</definedName>
    <definedName name="BExQAG8PP8R5NJKNQD1U4QOSD6X5" hidden="1">#REF!</definedName>
    <definedName name="BExQAVTR32SDHZQ69KNYF6UXXKS2" hidden="1">#REF!</definedName>
    <definedName name="BExQBBETZJ7LHJ9CLAL3GEKQFEGR" hidden="1">#REF!</definedName>
    <definedName name="BExQBDICMZTSA1X73TMHNO4JSFLN" hidden="1">#REF!</definedName>
    <definedName name="BExQBEER6CRCRPSSL61S0OMH57ZA" hidden="1">#REF!</definedName>
    <definedName name="BExQBFR753FNBMC27WEQJT8UKANJ" hidden="1">#REF!</definedName>
    <definedName name="BExQBIGGY5TXI2FJVVZSLZ0LTZYH" hidden="1">#REF!</definedName>
    <definedName name="BExQBM1RUSIQ85LLMM2159BYDPIP" hidden="1">#REF!</definedName>
    <definedName name="BExQBOWE543K7PGA5S7SVU2QKPM3" hidden="1">#REF!</definedName>
    <definedName name="BExQBPSOZ47V81YAEURP0NQJNTJH" hidden="1">#REF!</definedName>
    <definedName name="BExQC5TWT21CGBKD0IHAXTIN2QB8" hidden="1">#REF!</definedName>
    <definedName name="BExQC94JL9F5GW4S8DQCAF4WB2DA" hidden="1">#REF!</definedName>
    <definedName name="BExQCKTD8AT0824LGWREXM1B5D1X" hidden="1">#REF!</definedName>
    <definedName name="BExQCQ7KF4HVXSD72FF3DJGNNO3M" hidden="1">#REF!</definedName>
    <definedName name="BExQCRPJXI0WNJUFFAC39C0PFUFK" hidden="1">#REF!</definedName>
    <definedName name="BExQD571YWOXKR2SX85K5MKQ0AO2" hidden="1">#REF!</definedName>
    <definedName name="BExQDB6VCHN8PNX8EA6JNIEQ2JC2" hidden="1">#REF!</definedName>
    <definedName name="BExQDE1B6U2Q9B73KBENABP71YM1" hidden="1">#REF!</definedName>
    <definedName name="BExQDGQCN7ZW41QDUHOBJUGQAX40" hidden="1">#REF!</definedName>
    <definedName name="BExQED8ZZUEH0WRNOHXI7V9TVC8K" hidden="1">#REF!</definedName>
    <definedName name="BExQEF1PIJIB9J24OB0M4X1WLBB0" hidden="1">#REF!</definedName>
    <definedName name="BExQEMUA4HEFM4OVO8M8MA8PIAW1" hidden="1">#REF!</definedName>
    <definedName name="BExQEP38QPDKB85WG2WOL17IMB5S" hidden="1">#REF!</definedName>
    <definedName name="BExQEQ4XZQFIKUXNU9H7WE7AMZ1U" hidden="1">#REF!</definedName>
    <definedName name="BExQF1OEB07CRAP6ALNNMJNJ3P2D" hidden="1">#REF!</definedName>
    <definedName name="BExQF8KKL224NYD20XYLLM2RE7EW" hidden="1">#REF!</definedName>
    <definedName name="BExQF9X2AQPFJZTCHTU5PTTR0JAH" hidden="1">#REF!</definedName>
    <definedName name="BExQFAINO9ODQZX6NSM8EBTRD04E" hidden="1">#REF!</definedName>
    <definedName name="BExQFC0M9KKFMQKPLPEO2RQDB7MM" hidden="1">#REF!</definedName>
    <definedName name="BExQFEEV7627R8TYZCM28C6V6WHE" hidden="1">#REF!</definedName>
    <definedName name="BExQFEK8NUD04X2OBRA275ADPSDL" hidden="1">#REF!</definedName>
    <definedName name="BExQFGYIWDR4W0YF7XR6E4EWWJ02" hidden="1">#REF!</definedName>
    <definedName name="BExQFPNFKA36IAPS22LAUMBDI4KE" hidden="1">#REF!</definedName>
    <definedName name="BExQFPSWEMA8WBUZ4WK20LR13VSU" hidden="1">#REF!</definedName>
    <definedName name="BExQFVSPOSCCPF1TLJPIWYWYB8A9" hidden="1">#REF!</definedName>
    <definedName name="BExQFWJQXNQAW6LUMOEDS6KMJMYL" hidden="1">#REF!</definedName>
    <definedName name="BExQG8TYRD2G42UA5ZPCRLNKUDMX" hidden="1">#REF!</definedName>
    <definedName name="BExQG9A8OZ31BDN5QEGQGWG59A43" hidden="1">#REF!</definedName>
    <definedName name="BExQGGBQ2CMSPV4NV4RA7NMBQER6" hidden="1">#REF!</definedName>
    <definedName name="BExQGO48J9MPCDQ96RBB9UN9AIGT" hidden="1">#REF!</definedName>
    <definedName name="BExQGSBB6MJWDW7AYWA0MSFTXKRR" hidden="1">#REF!</definedName>
    <definedName name="BExQH0UURAJ13AVO5UI04HSRGVYW" hidden="1">#REF!</definedName>
    <definedName name="BExQH5I0FUT0822E2ITR6M5724UF" hidden="1">#REF!</definedName>
    <definedName name="BExQH6ZZY0NR8SE48PSI9D0CU1TC" hidden="1">#REF!</definedName>
    <definedName name="BExQH9P2MCXAJOVEO4GFQT6MNW22" hidden="1">#REF!</definedName>
    <definedName name="BExQHCZSBYUY8OKKJXFYWKBBM6AH" hidden="1">#REF!</definedName>
    <definedName name="BExQHML1J3V7M9VZ3S2S198637RP" hidden="1">#REF!</definedName>
    <definedName name="BExQHPKXZ1K33V2F90NZIQRZYIAW" hidden="1">#REF!</definedName>
    <definedName name="BExQHRDNW8YFGT2B35K9CYSS1VAI" hidden="1">#REF!</definedName>
    <definedName name="BExQHRZ9FBLUG6G6CC88UZA6V39L" hidden="1">#REF!</definedName>
    <definedName name="BExQHVF9KD06AG2RXUQJ9X4PVGX4" hidden="1">#REF!</definedName>
    <definedName name="BExQHZBHVN2L4HC7ACTR73T5OCV0" hidden="1">#REF!</definedName>
    <definedName name="BExQI3O3BBL6MXZNJD1S3UD8WBUU" hidden="1">#REF!</definedName>
    <definedName name="BExQI7431UOEBYKYPVVMNXBZ2ZP2" hidden="1">#REF!</definedName>
    <definedName name="BExQI85V9TNLDJT5LTRZS10Y26SG" hidden="1">#REF!</definedName>
    <definedName name="BExQI9ICYVAAXE7L1BQSE1VWSQA9" hidden="1">#REF!</definedName>
    <definedName name="BExQIAPKHVEV8CU1L3TTHJW67FJ5" hidden="1">#REF!</definedName>
    <definedName name="BExQIAV02RGEQG6AF0CWXU3MS9BZ" hidden="1">#REF!</definedName>
    <definedName name="BExQIBB4I3Z6AUU0HYV1DHRS13M4" hidden="1">#REF!</definedName>
    <definedName name="BExQIBWPAXU7HJZLKGJZY3EB7MIS" hidden="1">#REF!</definedName>
    <definedName name="BExQIHLP9AT969BKBF22IGW76GLI" hidden="1">#REF!</definedName>
    <definedName name="BExQIS8O6R36CI01XRY9ISM99TW9" hidden="1">#REF!</definedName>
    <definedName name="BExQIVJB9MJ25NDUHTCVMSODJY2C" hidden="1">#REF!</definedName>
    <definedName name="BExQIWAEMVTWAU39DWIXT17K2A9Z" hidden="1">#REF!</definedName>
    <definedName name="BExQJ72T8UR0U461ZLEGOOEPCDIG" hidden="1">#REF!</definedName>
    <definedName name="BExQJAZ2QDORCR0K8PR9VHQZ4Y3P" hidden="1">#REF!</definedName>
    <definedName name="BExQJBF7LAX128WR7VTMJC88ZLPG" hidden="1">#REF!</definedName>
    <definedName name="BExQJEVCKX6KZHNCLYXY7D0MX5KN" hidden="1">#REF!</definedName>
    <definedName name="BExQJJYSDX8B0J1QGF2HL071KKA3" hidden="1">#REF!</definedName>
    <definedName name="BExQK1HV6SQQ7CP8H8IUKI9TYXTD" hidden="1">#REF!</definedName>
    <definedName name="BExQK3LE5CSBW1E4H4KHW548FL2R" hidden="1">#REF!</definedName>
    <definedName name="BExQKG6LD6PLNDGNGO9DJXY865BR" hidden="1">#REF!</definedName>
    <definedName name="BExQKUKG8I4CGS9QYSD0H7NHP4JN" hidden="1">#REF!</definedName>
    <definedName name="BExQL2NSE8OYZFXQH8A23RMVMFW7" hidden="1">#REF!</definedName>
    <definedName name="BExQL4GJ3LZJL6JDEHT7UDXW90TV" hidden="1">#REF!</definedName>
    <definedName name="BExQLE1TOW3A287TQB0AVWENT8O1" hidden="1">#REF!</definedName>
    <definedName name="BExRYOYB4A3E5F6MTROY69LR0PMG" hidden="1">#REF!</definedName>
    <definedName name="BExRYZLA9EW71H4SXQR525S72LLP" hidden="1">#REF!</definedName>
    <definedName name="BExRZ66M8G9FQ0VFP077QSZBSOA5" hidden="1">#REF!</definedName>
    <definedName name="BExRZ8FMQQL46I8AQWU17LRNZD5T" hidden="1">#REF!</definedName>
    <definedName name="BExRZIRRIXRUMZ5GOO95S7460BMP" hidden="1">#REF!</definedName>
    <definedName name="BExRZJTNBKKPK7SB4LA31O3OH6PO" hidden="1">#REF!</definedName>
    <definedName name="BExRZK9RAHMM0ZLTNSK7A4LDC42D" hidden="1">#REF!</definedName>
    <definedName name="BExRZNF461H0WDF36L3U0UQSJGZB" hidden="1">#REF!</definedName>
    <definedName name="BExRZOGSR69INI6GAEPHDWSNK5Q4" hidden="1">#REF!</definedName>
    <definedName name="BExS0ASQBKRTPDWFK0KUDFOS9LE5" hidden="1">#REF!</definedName>
    <definedName name="BExS0GHQUF6YT0RU3TKDEO8CSJYB" hidden="1">#REF!</definedName>
    <definedName name="BExS0K8IHC45I78DMZBOJ1P13KQA" hidden="1">#REF!</definedName>
    <definedName name="BExS0L4WP69XXUFHED98XIEPB593" hidden="1">#REF!</definedName>
    <definedName name="BExS0Z2O2N4AJXFEPN87NU9ZGAHG" hidden="1">#REF!</definedName>
    <definedName name="BExS15IJV0WW662NXQUVT3FGP4ST" hidden="1">#REF!</definedName>
    <definedName name="BExS18T8TBNEPF4AU1VJ268XLF3L" hidden="1">#REF!</definedName>
    <definedName name="BExS194110MR25BYJI3CJ2EGZ8XT" hidden="1">#REF!</definedName>
    <definedName name="BExS1BNVGNSGD4EP90QL8WXYWZ66" hidden="1">#REF!</definedName>
    <definedName name="BExS1UE39N6NCND7MAARSBWXS6HU" hidden="1">#REF!</definedName>
    <definedName name="BExS226HTWL5WVC76MP5A1IBI8WD" hidden="1">#REF!</definedName>
    <definedName name="BExS26OI2QNNAH2WMDD95Z400048" hidden="1">#REF!</definedName>
    <definedName name="BExS2D4EI622QRKZKVDPRE66M4XA" hidden="1">#REF!</definedName>
    <definedName name="BExS2DF6B4ZUF3VZLI4G6LJ3BF38" hidden="1">#REF!</definedName>
    <definedName name="BExS2GKEA6VM3PDWKD7XI0KRUHTW" hidden="1">#REF!</definedName>
    <definedName name="BExS2I2HVU314TXI2DYFRY8XV913" hidden="1">#REF!</definedName>
    <definedName name="BExS2QB5FS5LYTFYO4BROTWG3OV5" hidden="1">#REF!</definedName>
    <definedName name="BExS2TLU1HONYV6S3ZD9T12D7CIG" hidden="1">#REF!</definedName>
    <definedName name="BExS2WLQUVBRZJWQTWUU4CYDY4IN" hidden="1">#REF!</definedName>
    <definedName name="BExS2YJQV4NUX6135T90Z1Y5R26Q" hidden="1">#REF!</definedName>
    <definedName name="BExS318UV9I2FXPQQWUKKX00QLPJ" hidden="1">#REF!</definedName>
    <definedName name="BExS3LBS0SMTHALVM4NRI1BAV1NP" hidden="1">#REF!</definedName>
    <definedName name="BExS3MTQ75VBXDGEBURP6YT8RROE" hidden="1">#REF!</definedName>
    <definedName name="BExS3OMGYO0DFN5186UFKEXZ2RX3" hidden="1">#REF!</definedName>
    <definedName name="BExS3SDERJ27OER67TIGOVZU13A2" hidden="1">#REF!</definedName>
    <definedName name="BExS3STIH9SFG0R6H30P191QZE98" hidden="1">#REF!</definedName>
    <definedName name="BExS46R5WDNU5KL04FKY5LHJUCB8" hidden="1">#REF!</definedName>
    <definedName name="BExS4ASWKM93XA275AXHYP8AG6SU" hidden="1">#REF!</definedName>
    <definedName name="BExS4IANBC4RO7HIK0MZZ2RPQU78" hidden="1">#REF!</definedName>
    <definedName name="BExS4JN3Y6SVBKILQK0R9HS45Y52" hidden="1">#REF!</definedName>
    <definedName name="BExS4P6S41O6Z6BED77U3GD9PNH1" hidden="1">#REF!</definedName>
    <definedName name="BExS4PXPURUHFBOKYFJD5J1J2RXC" hidden="1">#REF!</definedName>
    <definedName name="BExS4T32HD3YGJ91HTJ2IGVX6V4O" hidden="1">#REF!</definedName>
    <definedName name="BExS51H0N51UT0FZOPZRCF1GU063" hidden="1">#REF!</definedName>
    <definedName name="BExS54X72TJFC41FJK72MLRR2OO7" hidden="1">#REF!</definedName>
    <definedName name="BExS59F0PA1V2ZC7S5TN6IT41SXP" hidden="1">#REF!</definedName>
    <definedName name="BExS5L3TGB8JVW9ROYWTKYTUPW27" hidden="1">#REF!</definedName>
    <definedName name="BExS6GKQ96EHVLYWNJDWXZXUZW90" hidden="1">#REF!</definedName>
    <definedName name="BExS6ITKSZFRR01YD5B0F676SYN7" hidden="1">#REF!</definedName>
    <definedName name="BExS6N0LI574IAC89EFW6CLTCQ33" hidden="1">#REF!</definedName>
    <definedName name="BExS6N0NEF7XCTT5R600QZ71A44O" hidden="1">#REF!</definedName>
    <definedName name="BExS6WRDBF3ST86ZOBBUL3GTCR11" hidden="1">#REF!</definedName>
    <definedName name="BExS6XNRKR0C3MTA0LV5B60UB908" hidden="1">#REF!</definedName>
    <definedName name="BExS73NELZEK2MDOLXO2Q7H3EG71" hidden="1">#REF!</definedName>
    <definedName name="BExS7DJF6AXTWAJD7K4ZCD7L6BHV" hidden="1">#REF!</definedName>
    <definedName name="BExS7GOTHHOK287MX2RC853NWQAL" hidden="1">#REF!</definedName>
    <definedName name="BExS7TKQYLRZGM93UY3ZJZJBQNFJ" hidden="1">#REF!</definedName>
    <definedName name="BExS7Y2LNGVHSIBKC7C3R6X4LDR6" hidden="1">#REF!</definedName>
    <definedName name="BExS81TE0EY44Y3W2M4Z4MGNP5OM" hidden="1">#REF!</definedName>
    <definedName name="BExS81YPDZDVJJVS15HV2HDXAC3Y" hidden="1">#REF!</definedName>
    <definedName name="BExS82PRVNUTEKQZS56YT2DVF6C2" hidden="1">#REF!</definedName>
    <definedName name="BExS83BCNFAV6DRCB1VTUF96491J" hidden="1">#REF!</definedName>
    <definedName name="BExS86GKM9ISCSNZD15BQ5E5L6A5" hidden="1">#REF!</definedName>
    <definedName name="BExS89GGRJ55EK546SM31UGE2K8T" hidden="1">#REF!</definedName>
    <definedName name="BExS8BPG5A0GR5AO1U951NDGGR0L" hidden="1">#REF!</definedName>
    <definedName name="BExS8CGI0JXFUBD41VFLI0SZSV8F" hidden="1">#REF!</definedName>
    <definedName name="BExS8D22FXVQKOEJP01LT0CDI3PS" hidden="1">#REF!</definedName>
    <definedName name="BExS8EEJOZFBUWZDOM3O25AJRUVU" hidden="1">#REF!</definedName>
    <definedName name="BExS8GSUS17UY50TEM2AWF36BR9Z" hidden="1">#REF!</definedName>
    <definedName name="BExS8HJRBVG0XI6PWA9KTMJZMQXK" hidden="1">#REF!</definedName>
    <definedName name="BExS8NE9HUZJH13OXLREOV1BX0OZ" hidden="1">#REF!</definedName>
    <definedName name="BExS8R51C8RM2FS6V6IRTYO9GA4A" hidden="1">#REF!</definedName>
    <definedName name="BExS8WDX408F60MH1X9B9UZ2H4R7" hidden="1">#REF!</definedName>
    <definedName name="BExS8X4UTVOFE2YEVLO8LTKMSI3A" hidden="1">#REF!</definedName>
    <definedName name="BExS8Z2W2QEC3MH0BZIYLDFQNUIP" hidden="1">#REF!</definedName>
    <definedName name="BExS92DKGRFFCIA9C0IXDOLO57EP" hidden="1">#REF!</definedName>
    <definedName name="BExS98OB4321YCHLCQ022PXKTT2W" hidden="1">#REF!</definedName>
    <definedName name="BExS9C9N8GFISC6HUERJ0EI06GB2" hidden="1">#REF!</definedName>
    <definedName name="BExS9D6619QNINF06KHZHYUAH0S9" hidden="1">#REF!</definedName>
    <definedName name="BExS9DX13CACP3J8JDREK30JB1SQ" hidden="1">#REF!</definedName>
    <definedName name="BExS9FPRS2KRRCS33SE6WFNF5GYL" hidden="1">#REF!</definedName>
    <definedName name="BExS9M5VN3VE822UH6TLACVY24CJ" hidden="1">#REF!</definedName>
    <definedName name="BExS9WI0A6PSEB8N9GPXF2Z7MWHM" hidden="1">#REF!</definedName>
    <definedName name="BExS9XJPZ07ND34OHX60QD382FV6" hidden="1">#REF!</definedName>
    <definedName name="BExSA4AJLEEN4R7HU4FRSMYR17TR" hidden="1">#REF!</definedName>
    <definedName name="BExSA5HP306TN9XJS0TU619DLRR7" hidden="1">#REF!</definedName>
    <definedName name="BExSAAVWQOOIA6B3JHQVGP08HFEM" hidden="1">#REF!</definedName>
    <definedName name="BExSAFJ3IICU2M7QPVE4ARYMXZKX" hidden="1">#REF!</definedName>
    <definedName name="BExSAH6ID8OHX379UXVNGFO8J6KQ" hidden="1">#REF!</definedName>
    <definedName name="BExSAQBHIXGQRNIRGCJMBXUPCZQA" hidden="1">#REF!</definedName>
    <definedName name="BExSAUTCT4P7JP57NOR9MTX33QJZ" hidden="1">#REF!</definedName>
    <definedName name="BExSAY9CA9TFXQ9M9FBJRGJO9T9E" hidden="1">#REF!</definedName>
    <definedName name="BExSB4JYKQ3MINI7RAYK5M8BLJDC" hidden="1">#REF!</definedName>
    <definedName name="BExSBCY73CG3Q15P5BDLDT994XRL" hidden="1">#REF!</definedName>
    <definedName name="BExSBMOS41ZRLWYLOU29V6Y7YORR" hidden="1">#REF!</definedName>
    <definedName name="BExSBPZG22WAMZYIF7CZ686E8X80" hidden="1">#REF!</definedName>
    <definedName name="BExSBRBXXQMBU1TYDW1BXTEVEPRU" hidden="1">#REF!</definedName>
    <definedName name="BExSC54998WTZ21DSL0R8UN0Y9JH" hidden="1">#REF!</definedName>
    <definedName name="BExSC60N7WR9PJSNC9B7ORCX9NGY" hidden="1">#REF!</definedName>
    <definedName name="BExSCE99EZTILTTCE4NJJF96OYYM" hidden="1">#REF!</definedName>
    <definedName name="BExSCFWOMYELUEPWVJIRGIQZH5BV" hidden="1">#REF!</definedName>
    <definedName name="BExSCHUQZ2HFEWS54X67DIS8OSXZ" hidden="1">#REF!</definedName>
    <definedName name="BExSCOG41SKKG4GYU76WRWW1CTE6" hidden="1">#REF!</definedName>
    <definedName name="BExSCVC9P86YVFMRKKUVRV29MZXZ" hidden="1">#REF!</definedName>
    <definedName name="BExSD233CH4MU9ZMGNRF97ZV7KWU" hidden="1">#REF!</definedName>
    <definedName name="BExSD2U0F3BN6IN9N4R2DTTJG15H" hidden="1">#REF!</definedName>
    <definedName name="BExSD6A6NY15YSMFH51ST6XJY429" hidden="1">#REF!</definedName>
    <definedName name="BExSD9VH6PF6RQ135VOEE08YXPAW" hidden="1">#REF!</definedName>
    <definedName name="BExSDI9QWFD49GEZWZ3KOGM27XRB" hidden="1">#REF!</definedName>
    <definedName name="BExSDP5Y04WWMX2WWRITWOX8R5I9" hidden="1">#REF!</definedName>
    <definedName name="BExSDSGM203BJTNS9MKCBX453HMD" hidden="1">#REF!</definedName>
    <definedName name="BExSDT20XUFXTDM37M148AXAP7HN" hidden="1">#REF!</definedName>
    <definedName name="BExSDYLOWNTKCY92LFEDAV8LO7D3" hidden="1">#REF!</definedName>
    <definedName name="BExSE277VXZ807WBUB6A1UGQ1SF9" hidden="1">#REF!</definedName>
    <definedName name="BExSE3EDSP4UL6G0I3DZ5SBHMUBU" hidden="1">#REF!</definedName>
    <definedName name="BExSEEHK1VLWD7JBV9SVVVIKQZ3I" hidden="1">#REF!</definedName>
    <definedName name="BExSEITYG8XAMWJ1C8VKU1MB4TEO" hidden="1">#REF!</definedName>
    <definedName name="BExSEJKZLX37P3V33TRTFJ30BFRK" hidden="1">#REF!</definedName>
    <definedName name="BExSEKXG1AW54E28IG5EODEM0JJV" hidden="1">#REF!</definedName>
    <definedName name="BExSEO84KVM8R2IV5MFH0XI3IZSN" hidden="1">#REF!</definedName>
    <definedName name="BExSEP9UVOAI6TMXKNK587PQ3328" hidden="1">#REF!</definedName>
    <definedName name="BExSERIU9MUGR4NPZAUJCVXUZ74I" hidden="1">#REF!</definedName>
    <definedName name="BExSF07QFLZCO4P6K6QF05XG7PH1" hidden="1">#REF!</definedName>
    <definedName name="BExSFJ8ZAGQ63A4MVMZRQWLVRGQ5" hidden="1">#REF!</definedName>
    <definedName name="BExSFKQRST2S9KXWWLCXYLKSF4G1" hidden="1">#REF!</definedName>
    <definedName name="BExSFOHO6VZ5Y463KL3XYTZBVE3P" hidden="1">#REF!</definedName>
    <definedName name="BExSFY2ZJOYUEYBX21QZ7AMN2WK1" hidden="1">#REF!</definedName>
    <definedName name="BExSFYDRRTAZVPXRWUF5PDQ97WFF" hidden="1">#REF!</definedName>
    <definedName name="BExSFZVPFTXA3F0IJ2NGH1GXX9R7" hidden="1">#REF!</definedName>
    <definedName name="BExSG2Q34XRC1K28H4XG6PQM3FTW" hidden="1">#REF!</definedName>
    <definedName name="BExSG90Q4ZUU2IPGDYOM169NJV9S" hidden="1">#REF!</definedName>
    <definedName name="BExSG9X3DU845PNXYJGGLBQY2UHG" hidden="1">#REF!</definedName>
    <definedName name="BExSGE45J27MDUUNXW7Z8Q33UAON" hidden="1">#REF!</definedName>
    <definedName name="BExSGE9LY91Q0URHB4YAMX0UAMYI" hidden="1">#REF!</definedName>
    <definedName name="BExSGLB2URTLBCKBB4Y885W925F2" hidden="1">#REF!</definedName>
    <definedName name="BExSGNEL2G0PC04ATVS20W5179EK" hidden="1">#REF!</definedName>
    <definedName name="BExSGOAYG73SFWOPAQV80P710GID" hidden="1">#REF!</definedName>
    <definedName name="BExSGOWJHRW7FWKLO2EHUOOGHNAF" hidden="1">#REF!</definedName>
    <definedName name="BExSGOWJTAP41ZV5Q23H7MI9C76W" hidden="1">#REF!</definedName>
    <definedName name="BExSGR5JQVX2HQ0PKCGZNSSUM1RV" hidden="1">#REF!</definedName>
    <definedName name="BExSGT3MKX7YVLVP6YLL6KVO8UGV" hidden="1">#REF!</definedName>
    <definedName name="BExSGVHX69GJZHD99DKE4RZ042B1" hidden="1">#REF!</definedName>
    <definedName name="BExSGZJO4J4ZO04E2N2ECVYS9DEZ" hidden="1">#REF!</definedName>
    <definedName name="BExSHAHFHS7MMNJR8JPVABRGBVIT" hidden="1">#REF!</definedName>
    <definedName name="BExSHGH88QZWW4RNAX4YKAZ5JEBL" hidden="1">#REF!</definedName>
    <definedName name="BExSHOKK1OO3CX9Z28C58E5J1D9W" hidden="1">#REF!</definedName>
    <definedName name="BExSHQD8KYLTQGDXIRKCHQQ7MKIH" hidden="1">#REF!</definedName>
    <definedName name="BExSHVGPIAHXI97UBLI9G4I4M29F" hidden="1">#REF!</definedName>
    <definedName name="BExSI0K2YL3HTCQAD8A7TR4QCUR6" hidden="1">#REF!</definedName>
    <definedName name="BExSIFUDNRWXWIWNGCCFOOD8WIAZ" hidden="1">#REF!</definedName>
    <definedName name="BExTTZNS2PBCR93C9IUW49UZ4I6T" hidden="1">#REF!</definedName>
    <definedName name="BExTU2YFQ25JQ6MEMRHHN66VLTPJ" hidden="1">#REF!</definedName>
    <definedName name="BExTU75IOII1V5O0C9X2VAYYVJUG" hidden="1">#REF!</definedName>
    <definedName name="BExTUA5F7V4LUIIAM17J3A8XF3JE" hidden="1">#REF!</definedName>
    <definedName name="BExTUBY3AA9B91YRRWFOT21LUL8Q" hidden="1">#REF!</definedName>
    <definedName name="BExTUJ53ANGZ3H1KDK4CR4Q0OD6P" hidden="1">#REF!</definedName>
    <definedName name="BExTUKXSZBM7C57G6NGLWGU4WOHY" hidden="1">#REF!</definedName>
    <definedName name="BExTUNC5INBE8Y5OA5GQUTXX6QJW" hidden="1">#REF!</definedName>
    <definedName name="BExTUSQCFFYZCDNHWHADBC2E1ZP1" hidden="1">#REF!</definedName>
    <definedName name="BExTUV4NQDZVAENZPSZGF7A3DDFN" hidden="1">#REF!</definedName>
    <definedName name="BExTUVFGOJEYS28JURA5KHQFDU5J" hidden="1">#REF!</definedName>
    <definedName name="BExTUW10U40QCYGHM5NJ3YR1O5SP" hidden="1">#REF!</definedName>
    <definedName name="BExTUWXFQHINU66YG82BI20ATMB5" hidden="1">#REF!</definedName>
    <definedName name="BExTUY9WNSJ91GV8CP0SKJTEIV82" hidden="1">#REF!</definedName>
    <definedName name="BExTV67VIM8PV6KO253M4DUBJQLC" hidden="1">#REF!</definedName>
    <definedName name="BExTVELZCF2YA5L6F23BYZZR6WHF" hidden="1">#REF!</definedName>
    <definedName name="BExTVGPIQZ99YFXUC8OONUX5BD42" hidden="1">#REF!</definedName>
    <definedName name="BExTVQG4F5RF0LZXG06AZ6EU1GQ3" hidden="1">#REF!</definedName>
    <definedName name="BExTVZQLP9VFLEYQ9280W13X7E8K" hidden="1">#REF!</definedName>
    <definedName name="BExTWB4LA1PODQOH4LDTHQKBN16K" hidden="1">#REF!</definedName>
    <definedName name="BExTWI0Q8AWXUA3ZN7I5V3QK2KM1" hidden="1">#REF!</definedName>
    <definedName name="BExTWJTIA3WUW1PUWXAOP9O8NKLZ" hidden="1">#REF!</definedName>
    <definedName name="BExTWW95OX07FNA01WF5MSSSFQLX" hidden="1">#REF!</definedName>
    <definedName name="BExTX005F4GLW03J0PLPRPMI1SEG" hidden="1">#REF!</definedName>
    <definedName name="BExTX476KI0RNB71XI5TYMANSGBG" hidden="1">#REF!</definedName>
    <definedName name="BExTXBJFKNSCUO7IOL6CSKERP06D" hidden="1">#REF!</definedName>
    <definedName name="BExTXDMZDQ9U1FD9T7F79J29SYYN" hidden="1">#REF!</definedName>
    <definedName name="BExTXJ6HBAIXMMWKZTJNFDYVZCAY" hidden="1">#REF!</definedName>
    <definedName name="BExTXT812NQT8GAEGH738U29BI0D" hidden="1">#REF!</definedName>
    <definedName name="BExTXWIP2TFPTQ76NHFOB72NICRZ" hidden="1">#REF!</definedName>
    <definedName name="BExTY5T62H651VC86QM4X7E28JVA" hidden="1">#REF!</definedName>
    <definedName name="BExTYB7EHGVTJ4RSYOXWSG87U5WI" hidden="1">#REF!</definedName>
    <definedName name="BExTYC93RS0KNKFOD35WG37LS9LY" hidden="1">#REF!</definedName>
    <definedName name="BExTYKCEFJ83LZM95M1V7CSFQVEA" hidden="1">#REF!</definedName>
    <definedName name="BExTYPLA9N640MFRJJQPKXT7P88M" hidden="1">#REF!</definedName>
    <definedName name="BExTYW1794M1TLJ2QQQCEEUZN18F" hidden="1">#REF!</definedName>
    <definedName name="BExTZ7F71SNTOX4LLZCK5R9VUMIJ" hidden="1">#REF!</definedName>
    <definedName name="BExTZ80SWE36T1QSIIPJU7NJ65JL" hidden="1">#REF!</definedName>
    <definedName name="BExTZ869RSO739T4Q78JLOVO7G0C" hidden="1">#REF!</definedName>
    <definedName name="BExTZ8X5G9S3PA4FPSNK7T69W7QT" hidden="1">#REF!</definedName>
    <definedName name="BExTZ97Y0RMR8V5BI9F2H4MFB77O" hidden="1">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O2596CBZKPI7YNA1QQNPAIJ" hidden="1">#REF!</definedName>
    <definedName name="BExTZY8TDV4U7FQL7O10G6VKWKPJ" hidden="1">#REF!</definedName>
    <definedName name="BExU02QNT4LT7H9JPUC4FXTLVGZT" hidden="1">#REF!</definedName>
    <definedName name="BExU0BFJJQO1HJZKI14QGOQ6JROO" hidden="1">#REF!</definedName>
    <definedName name="BExU0FH5WTGW8MRFUFMDDSMJ6YQ5" hidden="1">#REF!</definedName>
    <definedName name="BExU0GDOIL9U33QGU9ZU3YX3V1I4" hidden="1">#REF!</definedName>
    <definedName name="BExU0HKTO8WJDQDWRTUK5TETM3HS" hidden="1">#REF!</definedName>
    <definedName name="BExU0MTJQPE041ZN7H8UKGV6MZT7" hidden="1">#REF!</definedName>
    <definedName name="BExU0ZUUFYHLUK4M4E8GLGIBBNT0" hidden="1">#REF!</definedName>
    <definedName name="BExU147D6RPG6ZVTSXRKFSVRHSBG" hidden="1">#REF!</definedName>
    <definedName name="BExU16R10W1SOAPNG4CDJ01T7JRE" hidden="1">#REF!</definedName>
    <definedName name="BExU17CKOR3GNIHDNVLH9L1IOJS9" hidden="1">#REF!</definedName>
    <definedName name="BExU1DXYI5DAD9DSFIEAUOB5XFZ9" hidden="1">#REF!</definedName>
    <definedName name="BExU1GXUTLRPJN4MRINLAPHSZQFG" hidden="1">#REF!</definedName>
    <definedName name="BExU1IL9AOHFO85BZB6S60DK3N8H" hidden="1">#REF!</definedName>
    <definedName name="BExU1LAEKWJ0U6NP9G2AC9CTBYH6" hidden="1">#REF!</definedName>
    <definedName name="BExU1NOPS09CLFZL1O31RAF9BQNQ" hidden="1">#REF!</definedName>
    <definedName name="BExU1PH9MOEX1JZVZ3D5M9DXB191" hidden="1">#REF!</definedName>
    <definedName name="BExU1QZEEKJA35IMEOLOJ3ODX0ZA" hidden="1">#REF!</definedName>
    <definedName name="BExU1VRURIWWVJ95O40WA23LMTJD" hidden="1">#REF!</definedName>
    <definedName name="BExU2A0FXVBDX9LO3VWEXB4TLFT0" hidden="1">#REF!</definedName>
    <definedName name="BExU2LEH667H33V81XVEZUP2O0UQ" hidden="1">#REF!</definedName>
    <definedName name="BExU2M5CK6XK55UIHDVYRXJJJRI4" hidden="1">#REF!</definedName>
    <definedName name="BExU2TXVT25ZTOFQAF6CM53Z1RLF" hidden="1">#REF!</definedName>
    <definedName name="BExU2XZLYIU19G7358W5T9E87AFR" hidden="1">#REF!</definedName>
    <definedName name="BExU2ZXMKRBQEX0CT3ZPZ3UFZP1G" hidden="1">#REF!</definedName>
    <definedName name="BExU35XHF1K1XEQUSZ292S5T61YA" hidden="1">#REF!</definedName>
    <definedName name="BExU38S1U5IC1T5A3P2TZU5OV0LN" hidden="1">#REF!</definedName>
    <definedName name="BExU3B66MCKJFSKT3HL8B5EJGVX0" hidden="1">#REF!</definedName>
    <definedName name="BExU3FDFDB2NVPYUR5V7OA3HF474" hidden="1">#REF!</definedName>
    <definedName name="BExU3R7J076KUCCEUGKAYMANTUT5" hidden="1">#REF!</definedName>
    <definedName name="BExU3UNI9NR1RNZR07NSLSZMDOQQ" hidden="1">#REF!</definedName>
    <definedName name="BExU401R18N6XKZKL7CNFOZQCM14" hidden="1">#REF!</definedName>
    <definedName name="BExU42QVGY7TK39W1BIN6CDRG2OE" hidden="1">#REF!</definedName>
    <definedName name="BExU431LXP7LIUNGJB9OSXEANFGX" hidden="1">#REF!</definedName>
    <definedName name="BExU47OZMS6TCWMEHHF0UCSFLLPI" hidden="1">#REF!</definedName>
    <definedName name="BExU4D36E8TXN0M8KSNGEAFYP4DQ" hidden="1">#REF!</definedName>
    <definedName name="BExU4G31RRVLJ3AC6E1FNEFMXM3O" hidden="1">#REF!</definedName>
    <definedName name="BExU4GDVLPUEWBA4MRYRTQAUNO7B" hidden="1">#REF!</definedName>
    <definedName name="BExU4H4RAMAX0XVAWT5WFYQNPAL3" hidden="1">#REF!</definedName>
    <definedName name="BExU4I148DA7PRCCISLWQ6ABXFK6" hidden="1">#REF!</definedName>
    <definedName name="BExU4L101H2KQHVKCKQ4PBAWZV6K" hidden="1">#REF!</definedName>
    <definedName name="BExU4LML14Q7KDTYIKJWXF68W7X1" hidden="1">#REF!</definedName>
    <definedName name="BExU4NA00RRRBGRT6TOB0MXZRCRZ" hidden="1">#REF!</definedName>
    <definedName name="BExU529I6YHVOG83TJHWSILIQU1S" hidden="1">#REF!</definedName>
    <definedName name="BExU57YCIKPRD8QWL6EU0YR3NG3J" hidden="1">#REF!</definedName>
    <definedName name="BExU5DSTBWXLN6E59B757KRWRI6E" hidden="1">#REF!</definedName>
    <definedName name="BExU5JSMO03X9M4WIRPP8JPSMQKJ" hidden="1">#REF!</definedName>
    <definedName name="BExU5TDWM8NNDHYPQ7OQODTQ368A" hidden="1">#REF!</definedName>
    <definedName name="BExU5X4OX1V1XHS6WSSORVQPP6Z3" hidden="1">#REF!</definedName>
    <definedName name="BExU5XVPARTFMRYHNUTBKDIL4UJN" hidden="1">#REF!</definedName>
    <definedName name="BExU66KMFBAP8JCVG9VM1RD1TNFF" hidden="1">#REF!</definedName>
    <definedName name="BExU68IOM3CB3TACNAE9565TW7SH" hidden="1">#REF!</definedName>
    <definedName name="BExU6AM82KN21E82HMWVP3LWP9IL" hidden="1">#REF!</definedName>
    <definedName name="BExU6FEU1MRHU98R9YOJC5OKUJ6L" hidden="1">#REF!</definedName>
    <definedName name="BExU6KIAJ663Y8W8QMU4HCF183DF" hidden="1">#REF!</definedName>
    <definedName name="BExU6KT19B4PG6SHXFBGBPLM66KT" hidden="1">#REF!</definedName>
    <definedName name="BExU6PAVKIOAIMQ9XQIHHF1SUAGO" hidden="1">#REF!</definedName>
    <definedName name="BExU6SLKTWV0YINVLTI6BCG9ANZM" hidden="1">#REF!</definedName>
    <definedName name="BExU6WXXC7SSQDMHSLUN5C2V4IYX" hidden="1">#REF!</definedName>
    <definedName name="BExU73387E74XE8A9UKZLZNJYY65" hidden="1">#REF!</definedName>
    <definedName name="BExU76ZHCJM8I7VSICCMSTC33O6U" hidden="1">#REF!</definedName>
    <definedName name="BExU7BBTUF8BQ42DSGM94X5TG5GF" hidden="1">#REF!</definedName>
    <definedName name="BExU7HH4EAHFQHT4AXKGWAWZP3I0" hidden="1">#REF!</definedName>
    <definedName name="BExU7L7WPQSA0ELXZ0I86V33QCCJ" hidden="1">#REF!</definedName>
    <definedName name="BExU7MF1ZVPDHOSMCAXOSYICHZ4I" hidden="1">#REF!</definedName>
    <definedName name="BExU7O2BJ6D5YCKEL6FD2EFCWYRX" hidden="1">#REF!</definedName>
    <definedName name="BExU7Q0JS9YIUKUPNSSAIDK2KJAV" hidden="1">#REF!</definedName>
    <definedName name="BExU80I6AE5OU7P7F5V7HWIZBJ4P" hidden="1">#REF!</definedName>
    <definedName name="BExU86NB26MCPYIISZ36HADONGT2" hidden="1">#REF!</definedName>
    <definedName name="BExU885EZZNSZV3GP298UJ8LB7OL" hidden="1">#REF!</definedName>
    <definedName name="BExU8FSAUP9TUZ1NO9WXK80QPHWV" hidden="1">#REF!</definedName>
    <definedName name="BExU8KFLAN778MBN93NYZB0FV30G" hidden="1">#REF!</definedName>
    <definedName name="BExU8PZC6845UUDFG9M8FTC3P3DK" hidden="1">#REF!</definedName>
    <definedName name="BExU8UX9JX3XLB47YZ8GFXE0V7R2" hidden="1">#REF!</definedName>
    <definedName name="BExU8WVGMRSFNWCNHODQ9JQCMZB0" hidden="1">#REF!</definedName>
    <definedName name="BExU96M1J7P9DZQ3S9H0C12KGYTW" hidden="1">#REF!</definedName>
    <definedName name="BExU9F05OR1GZ3057R6UL3WPEIYI" hidden="1">#REF!</definedName>
    <definedName name="BExU9GCSO5YILIKG6VAHN13DL75K" hidden="1">#REF!</definedName>
    <definedName name="BExU9KJOZLO15N11MJVN782NFGJ0" hidden="1">#REF!</definedName>
    <definedName name="BExU9LG29XU2K1GNKRO4438JYQZE" hidden="1">#REF!</definedName>
    <definedName name="BExU9RW36I5Z6JIXUIUB3PJH86LT" hidden="1">#REF!</definedName>
    <definedName name="BExU9WU19DJ2VAGISPFEGDWWOO4V" hidden="1">#REF!</definedName>
    <definedName name="BExUA28AO7OWDG3H23Q0CL4B7BHW" hidden="1">#REF!</definedName>
    <definedName name="BExUA34N2C083NSTAHQGZZ3BCYGK" hidden="1">#REF!</definedName>
    <definedName name="BExUA5O923FFNEBY8BPO1TU3QGBM" hidden="1">#REF!</definedName>
    <definedName name="BExUA6Q4K25VH452AQ3ZIRBCMS61" hidden="1">#REF!</definedName>
    <definedName name="BExUAFV4JMBSM2SKBQL9NHL0NIBS" hidden="1">#REF!</definedName>
    <definedName name="BExUAMWQODKBXMRH1QCMJLJBF8M7" hidden="1">#REF!</definedName>
    <definedName name="BExUAPR6Y32097JKJCTGC4C6EGE9" hidden="1">#REF!</definedName>
    <definedName name="BExUARUP0MX710TNZSAA01HUEAVC" hidden="1">#REF!</definedName>
    <definedName name="BExUAX8WS5OPVLCDXRGKTU2QMTFO" hidden="1">#REF!</definedName>
    <definedName name="BExUB1FYAZ433NX9GD7WGACX5IZD" hidden="1">#REF!</definedName>
    <definedName name="BExUB8HLEXSBVPZ5AXNQEK96F1N4" hidden="1">#REF!</definedName>
    <definedName name="BExUBCDVZIEA7YT0LPSMHL5ZSERQ" hidden="1">#REF!</definedName>
    <definedName name="BExUBDA8WU087BUIMXC1U1CKA2RA" hidden="1">#REF!</definedName>
    <definedName name="BExUBKXBUCN760QYU7Q8GESBWOQH" hidden="1">#REF!</definedName>
    <definedName name="BExUBL83ED0P076RN9RJ8P1MZ299" hidden="1">#REF!</definedName>
    <definedName name="BExUC1EPS2CZ5CKFA0AQRIVRSHS8" hidden="1">#REF!</definedName>
    <definedName name="BExUC623BDYEODBN0N4DO6PJQ7NU" hidden="1">#REF!</definedName>
    <definedName name="BExUC8WH8TCKBB5313JGYYQ1WFLT" hidden="1">#REF!</definedName>
    <definedName name="BExUCAP7GOSYPHMQKK6719YLSDIQ" hidden="1">#REF!</definedName>
    <definedName name="BExUCFCDK6SPH86I6STXX8X3WMC4" hidden="1">#REF!</definedName>
    <definedName name="BExUCKL98JB87L3I6T6IFSWJNYAB" hidden="1">#REF!</definedName>
    <definedName name="BExUCLC6AQ5KR6LXSAXV4QQ8ASVG" hidden="1">#REF!</definedName>
    <definedName name="BExUD4IOJ12X3PJG5WXNNGDRCKAP" hidden="1">#REF!</definedName>
    <definedName name="BExUD9WX9BWK72UWVSLYZJLAY5VY" hidden="1">#REF!</definedName>
    <definedName name="BExUDEV0CYVO7Y5IQQBEJ6FUY9S6" hidden="1">#REF!</definedName>
    <definedName name="BExUDWOXQGIZW0EAIIYLQUPXF8YV" hidden="1">#REF!</definedName>
    <definedName name="BExUDXAIC17W1FUU8Z10XUAVB7CS" hidden="1">#REF!</definedName>
    <definedName name="BExUE5OMY7OAJQ9WR8C8HG311ORP" hidden="1">#REF!</definedName>
    <definedName name="BExUEFKOQWXXGRNLAOJV2BJ66UB8" hidden="1">#REF!</definedName>
    <definedName name="BExUEJGX3OQQP5KFRJSRCZ70EI9V" hidden="1">#REF!</definedName>
    <definedName name="BExUEKDB2RWXF3WMTZ6JSBCHNSDT" hidden="1">#REF!</definedName>
    <definedName name="BExUEYR71COFS2X8PDNU21IPMQEU" hidden="1">#REF!</definedName>
    <definedName name="BExVPRLJ9I6RX45EDVFSQGCPJSOK" hidden="1">#REF!</definedName>
    <definedName name="BExVRFU8RWFT8A80ZVAW185SG2G6" hidden="1">#REF!</definedName>
    <definedName name="BExVSJ3NHETBAIZTZQSM8LAVT76V" hidden="1">#REF!</definedName>
    <definedName name="BExVSL787C8E4HFQZ2NVLT35I2XV" hidden="1">#REF!</definedName>
    <definedName name="BExVSTFTVV14SFGHQUOJL5SQ5TX9" hidden="1">#REF!</definedName>
    <definedName name="BExVT017S14M5X928ARKQ2GNUFE0" hidden="1">#REF!</definedName>
    <definedName name="BExVT3MPE8LQ5JFN3HQIFKSQ80U4" hidden="1">#REF!</definedName>
    <definedName name="BExVT7TRK3NZHPME2TFBXOF1WBR9" hidden="1">#REF!</definedName>
    <definedName name="BExVT9H0R0T7WGQAAC0HABMG54YM" hidden="1">#REF!</definedName>
    <definedName name="BExVTAO57POUXSZQJQ6MABMZQA13" hidden="1">#REF!</definedName>
    <definedName name="BExVTCMDDEDGLUIMUU6BSFHEWTOP" hidden="1">#REF!</definedName>
    <definedName name="BExVTCMDQMLKRA2NQR72XU6Y54IK" hidden="1">#REF!</definedName>
    <definedName name="BExVTCRV8FQ5U9OYWWL44N6KFNHU" hidden="1">#REF!</definedName>
    <definedName name="BExVTNESHPVG0A0KZ7BRX26MS0PF" hidden="1">#REF!</definedName>
    <definedName name="BExVTTJVTNRSBHBTUZ78WG2JM5MK" hidden="1">#REF!</definedName>
    <definedName name="BExVTXLMYR87BC04D1ERALPUFVPG" hidden="1">#REF!</definedName>
    <definedName name="BExVUL9V3H8ZF6Y72LQBBN639YAA" hidden="1">#REF!</definedName>
    <definedName name="BExVUZT95UAU8XG5X9XSE25CHQGA" hidden="1">#REF!</definedName>
    <definedName name="BExVV5T14N2HZIK7HQ4P2KG09U0J" hidden="1">#REF!</definedName>
    <definedName name="BExVV7R410VYLADLX9LNG63ID6H1" hidden="1">#REF!</definedName>
    <definedName name="BExVVAAVDXGWAVI6J2W0BCU58MBM" hidden="1">#REF!</definedName>
    <definedName name="BExVVCEED4JEKF59OV0G3T4XFMFO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VYKOYB7OX8Y0B4UIUF79PVDO" hidden="1">#REF!</definedName>
    <definedName name="BExVW3YV5XGIVJ97UUPDJGJ2P15B" hidden="1">#REF!</definedName>
    <definedName name="BExVW5X571GEYR5SCU1Z2DHKWM79" hidden="1">#REF!</definedName>
    <definedName name="BExVW6YTKA098AF57M4PHNQ54XMH" hidden="1">#REF!</definedName>
    <definedName name="BExVWHRDIJBRFANMKJFY05BHP7RS" hidden="1">#REF!</definedName>
    <definedName name="BExVWINKCH0V0NUWH363SMXAZE62" hidden="1">#REF!</definedName>
    <definedName name="BExVWYU8EK669NP172GEIGCTVPPA" hidden="1">#REF!</definedName>
    <definedName name="BExVX3XN2DRJKL8EDBIG58RYQ36R" hidden="1">#REF!</definedName>
    <definedName name="BExVXBA38Z5WNQUH39HHZ2SAMC1T" hidden="1">#REF!</definedName>
    <definedName name="BExVXDZ63PUART77BBR5SI63TPC6" hidden="1">#REF!</definedName>
    <definedName name="BExVXHKI6LFYMGWISMPACMO247HL" hidden="1">#REF!</definedName>
    <definedName name="BExVXK9SK580O7MYHVNJ3V911ALP" hidden="1">#REF!</definedName>
    <definedName name="BExVXLX2BZ5EF2X6R41BTKRJR1NM" hidden="1">#REF!</definedName>
    <definedName name="BExVXYT01U5IPYA7E44FWS6KCEFC" hidden="1">#REF!</definedName>
    <definedName name="BExVY11V7U1SAY4QKYE0PBSPD7LW" hidden="1">#REF!</definedName>
    <definedName name="BExVY1SV37DL5YU59HS4IG3VBCP4" hidden="1">#REF!</definedName>
    <definedName name="BExVY3WFGJKSQA08UF9NCMST928Y" hidden="1">#REF!</definedName>
    <definedName name="BExVY954UOEVQEIC5OFO4NEWVKAQ" hidden="1">#REF!</definedName>
    <definedName name="BExVYHDYIV5397LC02V4FEP8VD6W" hidden="1">#REF!</definedName>
    <definedName name="BExVYO4NFDGC4ZOGHANQWX5CH4BT" hidden="1">#REF!</definedName>
    <definedName name="BExVYOVIZDA18YIQ0A30Q052PCAK" hidden="1">#REF!</definedName>
    <definedName name="BExVYPS2R6B75R1EFIUJ6G5TE4Q4" hidden="1">#REF!</definedName>
    <definedName name="BExVYQIXPEM6J4JVP78BRHIC05PV" hidden="1">#REF!</definedName>
    <definedName name="BExVYVGWN7SONLVDH9WJ2F1JS264" hidden="1">#REF!</definedName>
    <definedName name="BExVZ40HNAZRM8JHYYNQ7F6A4GU0" hidden="1">#REF!</definedName>
    <definedName name="BExVZ7WRO17PYILJEJGPQCO5IL66" hidden="1">#REF!</definedName>
    <definedName name="BExVZ9EO732IK6MNMG17Y1EFTJQC" hidden="1">#REF!</definedName>
    <definedName name="BExVZB1Y5J4UL2LKK0363EU7GIJ1" hidden="1">#REF!</definedName>
    <definedName name="BExVZGQXYK2ICC9JSNFPRHBD5KNU" hidden="1">#REF!</definedName>
    <definedName name="BExVZJQVO5LQ0BJH5JEN5NOBIAF6" hidden="1">#REF!</definedName>
    <definedName name="BExVZNXWS91RD7NXV5NE2R3C8WW7" hidden="1">#REF!</definedName>
    <definedName name="BExW008AGT1ZRN5DFG4YOH5F7G47" hidden="1">#REF!</definedName>
    <definedName name="BExW0386REQRCQCVT9BCX80UPTRY" hidden="1">#REF!</definedName>
    <definedName name="BExW0FYP4WXY71CYUG40SUBG9UWU" hidden="1">#REF!</definedName>
    <definedName name="BExW0MPJNQOJ7D6U780WU5XBL97X" hidden="1">#REF!</definedName>
    <definedName name="BExW0RI61B4VV0ARXTFVBAWRA1C5" hidden="1">#REF!</definedName>
    <definedName name="BExW0Y8T85LBE0WS6FPX6ILTX9ON" hidden="1">#REF!</definedName>
    <definedName name="BExW1BVUYQTKMOR56MW7RVRX4L1L" hidden="1">#REF!</definedName>
    <definedName name="BExW1F1220628FOMTW5UAATHRJHK" hidden="1">#REF!</definedName>
    <definedName name="BExW1PTHB0NZUF0GTD2J1UUL693E" hidden="1">#REF!</definedName>
    <definedName name="BExW1TKA0Z9OP2DTG50GZR5EG8C7" hidden="1">#REF!</definedName>
    <definedName name="BExW1U0JLKQ094DW5MMOI8UHO09V" hidden="1">#REF!</definedName>
    <definedName name="BExW1VNZHNB5P9V6232N0DQCE0WE" hidden="1">#REF!</definedName>
    <definedName name="BExW1WK6J1TDP29S3QDPTYZJBLIW" hidden="1">#REF!</definedName>
    <definedName name="BExW283NP9D366XFPXLGSCI5UB0L" hidden="1">#REF!</definedName>
    <definedName name="BExW2H3C8WJSBW5FGTFKVDVJC4CL" hidden="1">#REF!</definedName>
    <definedName name="BExW2MSCKPGF5K3I7TL4KF5ISUOL" hidden="1">#REF!</definedName>
    <definedName name="BExW2SMO90FU9W8DVVES6Q4E6BZR" hidden="1">#REF!</definedName>
    <definedName name="BExW36V9N91OHCUMGWJQL3I5P4JK" hidden="1">#REF!</definedName>
    <definedName name="BExW39V04HTFFQE7DAW9MAJT0NNF" hidden="1">#REF!</definedName>
    <definedName name="BExW3ECU6QPMV99AITCPHAG0CGYK" hidden="1">#REF!</definedName>
    <definedName name="BExW3EIBA1J9Q9NA9VCGZGRS8WV7" hidden="1">#REF!</definedName>
    <definedName name="BExW3FEO8FI8N6AGQKYEG4SQVJWB" hidden="1">#REF!</definedName>
    <definedName name="BExW3GB28STOMJUSZEIA7YKYNS4Y" hidden="1">#REF!</definedName>
    <definedName name="BExW3T1K638HT5E0Y8MMK108P5JT" hidden="1">#REF!</definedName>
    <definedName name="BExW3U3D6FTAFTK3Q7DSA9FY454Q" hidden="1">#REF!</definedName>
    <definedName name="BExW4217ZHL9VO39POSTJOD090WU" hidden="1">#REF!</definedName>
    <definedName name="BExW4GPW71EBF8XPS2QGVQHBCDX3" hidden="1">#REF!</definedName>
    <definedName name="BExW4JKC5837JBPCOJV337ZVYYY3" hidden="1">#REF!</definedName>
    <definedName name="BExW4O2DBZGV8KGBO9EB4BAXIH4Y" hidden="1">#REF!</definedName>
    <definedName name="BExW4QR9FV9MP5K610THBSM51RYO" hidden="1">#REF!</definedName>
    <definedName name="BExW4Z029R9E19ZENN3WEA3VDAD1" hidden="1">#REF!</definedName>
    <definedName name="BExW53SPLW3K0Y0ZVTM4NYF1B2YH" hidden="1">#REF!</definedName>
    <definedName name="BExW591F7X34FVKJ2OUT09PFUW1B" hidden="1">#REF!</definedName>
    <definedName name="BExW5AZNT6IAZGNF2C879ODHY1B8" hidden="1">#REF!</definedName>
    <definedName name="BExW5F6OUXHEWQU5VYE7W7P8DD78" hidden="1">#REF!</definedName>
    <definedName name="BExW5WPU27WD4NWZOT0ZEJIDLX5J" hidden="1">#REF!</definedName>
    <definedName name="BExW5YD97EMSUYC4KDEFH1FB4FY3" hidden="1">#REF!</definedName>
    <definedName name="BExW5Z469DSRWTA6T0KVLA7SMIPL" hidden="1">#REF!</definedName>
    <definedName name="BExW62ETJAPBX5X53FTGUCHZXI2K" hidden="1">#REF!</definedName>
    <definedName name="BExW660AV1TUV2XNUPD65RZR3QOO" hidden="1">#REF!</definedName>
    <definedName name="BExW66LVVZK656PQY1257QMHP2AY" hidden="1">#REF!</definedName>
    <definedName name="BExW6EJPHAP1TWT380AZLXNHR22P" hidden="1">#REF!</definedName>
    <definedName name="BExW6G1PJ38H10DVLL8WPQ736OEB" hidden="1">#REF!</definedName>
    <definedName name="BExW794A74Z5F2K8LVQLD6VSKXUE" hidden="1">#REF!</definedName>
    <definedName name="BExW7Q1TQ8E6G4WYYNSOMV43S95R" hidden="1">#REF!</definedName>
    <definedName name="BExW7XZTFZV0N9YM9S4PM74A5X2O" hidden="1">#REF!</definedName>
    <definedName name="BExW8K0SSIPSKBVP06IJ71600HJZ" hidden="1">#REF!</definedName>
    <definedName name="BExW8T0GVY3ZYO4ACSBLHS8SH895" hidden="1">#REF!</definedName>
    <definedName name="BExW8YEP73JMMU9HZ08PM4WHJQZ4" hidden="1">#REF!</definedName>
    <definedName name="BExW937AT53OZQRHNWQZ5BVH24IE" hidden="1">#REF!</definedName>
    <definedName name="BExW95LN5N0LYFFVP7GJEGDVDLF0" hidden="1">#REF!</definedName>
    <definedName name="BExW967733Q8RAJOHR2GJ3HO8JIW" hidden="1">#REF!</definedName>
    <definedName name="BExW9POK1KIOI0ALS5MZIKTDIYMA" hidden="1">#REF!</definedName>
    <definedName name="BExXLDE6PN4ESWT3LXJNQCY94NE4" hidden="1">#REF!</definedName>
    <definedName name="BExXLQVPK2H3IF0NDDA5CT612EUK" hidden="1">#REF!</definedName>
    <definedName name="BExXLR6IO70TYTACKQH9M5PGV24J" hidden="1">#REF!</definedName>
    <definedName name="BExXM065WOLYRYHGHOJE0OOFXA4M" hidden="1">#REF!</definedName>
    <definedName name="BExXM3GUNXVDM82KUR17NNUMQCNI" hidden="1">#REF!</definedName>
    <definedName name="BExXMA28M8SH7MKIGETSDA72WUIZ" hidden="1">#REF!</definedName>
    <definedName name="BExXMOLHIAHDLFSA31PUB36SC3I9" hidden="1">#REF!</definedName>
    <definedName name="BExXMT8T5Z3M2JBQN65X2LKH0YQI" hidden="1">#REF!</definedName>
    <definedName name="BExXN1XNO7H60M9X1E7EVWFJDM5N" hidden="1">#REF!</definedName>
    <definedName name="BExXN1XOOOY51EZQ6II0LWEU2OYT" hidden="1">#REF!</definedName>
    <definedName name="BExXN22ZOTIW49GPLWFYKVM90FNZ" hidden="1">#REF!</definedName>
    <definedName name="BExXN6QAP8UJQVN4R4BQKPP4QK35" hidden="1">#REF!</definedName>
    <definedName name="BExXNBOA39T2X6Y5Y5GZ5DDNA1AX" hidden="1">#REF!</definedName>
    <definedName name="BExXNBZ1BRDK73S9XPRR1645KLVB" hidden="1">#REF!</definedName>
    <definedName name="BExXND6872VJ3M2PGT056WQMWBHD" hidden="1">#REF!</definedName>
    <definedName name="BExXNPM24UN2PGVL9D1TUBFRIKR4" hidden="1">#REF!</definedName>
    <definedName name="BExXNWCR6WOY5G3VTC96QCIFQE0E" hidden="1">#REF!</definedName>
    <definedName name="BExXNWYB165VO9MHARCL5WLCHWS0" hidden="1">#REF!</definedName>
    <definedName name="BExXO278QHQN8JDK5425EJ615ECC" hidden="1">#REF!</definedName>
    <definedName name="BExXO4QVV7YZ6L5A7WZEMIA5AZOV" hidden="1">#REF!</definedName>
    <definedName name="BExXOBHOP0WGFHI2Y9AO4L440UVQ" hidden="1">#REF!</definedName>
    <definedName name="BExXOHHHX25B8F97636QMXFUDZQK" hidden="1">#REF!</definedName>
    <definedName name="BExXOHSAD2NSHOLLMZ2JWA4I3I1R" hidden="1">#REF!</definedName>
    <definedName name="BExXOJKWIJ6IFTV1RHIWHR91EZMW" hidden="1">#REF!</definedName>
    <definedName name="BExXP80B5FGA00JCM7UXKPI3PB7Y" hidden="1">#REF!</definedName>
    <definedName name="BExXP85M4WXYVN1UVHUTOEKEG5XS" hidden="1">#REF!</definedName>
    <definedName name="BExXPELOTHOAG0OWILLAH94OZV5J" hidden="1">#REF!</definedName>
    <definedName name="BExXPOSJRLJNYPU01QNNQ5URXP2U" hidden="1">#REF!</definedName>
    <definedName name="BExXPS31W1VD2NMIE4E37LHVDF0L" hidden="1">#REF!</definedName>
    <definedName name="BExXPZKYEMVF5JOC14HYOOYQK6JK" hidden="1">#REF!</definedName>
    <definedName name="BExXQ89PA10X79WBWOEP1AJX1OQM" hidden="1">#REF!</definedName>
    <definedName name="BExXQCGQGGYSI0LTRVR73MUO50AW" hidden="1">#REF!</definedName>
    <definedName name="BExXQEEXFHDQ8DSRAJSB5ET6J004" hidden="1">#REF!</definedName>
    <definedName name="BExXQH41O5HZAH8BO6HCFY8YC3TU" hidden="1">#REF!</definedName>
    <definedName name="BExXQJIEF5R3QQ6D8HO3NGPU0IQC" hidden="1">#REF!</definedName>
    <definedName name="BExXQRAVW0KPQXIJ59NG6UGTZB59" hidden="1">#REF!</definedName>
    <definedName name="BExXQU00K9ER4I1WM7T9J0W1E7ZC" hidden="1">#REF!</definedName>
    <definedName name="BExXQU00KOR7XLM8B13DGJ1MIQDY" hidden="1">#REF!</definedName>
    <definedName name="BExXQUG48Q1ISN53FE4MRROM0HSJ" hidden="1">#REF!</definedName>
    <definedName name="BExXQXG18PS8HGBOS03OSTQ0KEYC" hidden="1">#REF!</definedName>
    <definedName name="BExXQXQT4OAFQT5B0YB3USDJOJOB" hidden="1">#REF!</definedName>
    <definedName name="BExXR3FSEXAHSXEQNJORWFCPX86N" hidden="1">#REF!</definedName>
    <definedName name="BExXR3W3FKYQBLR299HO9RZ70C43" hidden="1">#REF!</definedName>
    <definedName name="BExXR46U23CRRBV6IZT982MAEQKI" hidden="1">#REF!</definedName>
    <definedName name="BExXR6A8W3ND3XDZXBMQZ1VCAXHG" hidden="1">#REF!</definedName>
    <definedName name="BExXR7HKNHT37B4OOA9K9191PP22" hidden="1">#REF!</definedName>
    <definedName name="BExXR8OKAVX7O70V5IYG2PRKXSTI" hidden="1">#REF!</definedName>
    <definedName name="BExXRA6N6XCLQM6XDV724ZIH6G93" hidden="1">#REF!</definedName>
    <definedName name="BExXRABZ1CNKCG6K1MR6OUFHF7J9" hidden="1">#REF!</definedName>
    <definedName name="BExXRBOFETC0OTJ6WY3VPMFH03VB" hidden="1">#REF!</definedName>
    <definedName name="BExXRD13K1S9Y3JGR7CXSONT7RJZ" hidden="1">#REF!</definedName>
    <definedName name="BExXRIFB4QQ87QIGA9AG0NXP577K" hidden="1">#REF!</definedName>
    <definedName name="BExXRIQ2JF2CVTRDQX2D9SPH7FTN" hidden="1">#REF!</definedName>
    <definedName name="BExXRO4A6VUH1F4XV8N1BRJ4896W" hidden="1">#REF!</definedName>
    <definedName name="BExXRO9N1SNJZGKD90P4K7FU1J0P" hidden="1">#REF!</definedName>
    <definedName name="BExXROF2MWDZ7IFXX27XOJ79Q86E" hidden="1">#REF!</definedName>
    <definedName name="BExXRV5QP3Z0KAQ1EQT9JYT2FV0L" hidden="1">#REF!</definedName>
    <definedName name="BExXRZ20LZZCW8LVGDK0XETOTSAI" hidden="1">#REF!</definedName>
    <definedName name="BExXS4R1GKUJQX6MHUIUN4S3SCAS" hidden="1">#REF!</definedName>
    <definedName name="BExXS63O4OMWMNXXAODZQFSDG33N" hidden="1">#REF!</definedName>
    <definedName name="BExXSBSP1TOY051HSPEPM0AEIO2M" hidden="1">#REF!</definedName>
    <definedName name="BExXSC8RFK5D68FJD2HI4K66SA6I" hidden="1">#REF!</definedName>
    <definedName name="BExXSCP0AZ5MYCC2UFG2GLBCV1CC" hidden="1">#REF!</definedName>
    <definedName name="BExXSNHC88W4UMXEOIOOATJAIKZO" hidden="1">#REF!</definedName>
    <definedName name="BExXSTBS08WIA9TLALV3UQ2Z3MRG" hidden="1">#REF!</definedName>
    <definedName name="BExXSVQ2WOJJ73YEO8Q2FK60V4G8" hidden="1">#REF!</definedName>
    <definedName name="BExXTER5A2EQ14KN6J0MVATIHVKN" hidden="1">#REF!</definedName>
    <definedName name="BExXTHLRNL82GN7KZY3TOLO508N7" hidden="1">#REF!</definedName>
    <definedName name="BExXTL72MKEQSQH9L2OTFLU8DM2B" hidden="1">#REF!</definedName>
    <definedName name="BExXTM3M4RTCRSX7VGAXGQNPP668" hidden="1">#REF!</definedName>
    <definedName name="BExXTOCF78J7WY6FOVBRY1N2RBBR" hidden="1">#REF!</definedName>
    <definedName name="BExXTP3GYO6Z9RTKKT10XA0UTV3T" hidden="1">#REF!</definedName>
    <definedName name="BExXTRN4AFX9QW6YC4HNGBBD5R08" hidden="1">#REF!</definedName>
    <definedName name="BExXTV8M7YIG5C64O046DN613ZRO" hidden="1">#REF!</definedName>
    <definedName name="BExXTVDXQ7ZX3THNLFJXFAONW0AI" hidden="1">#REF!</definedName>
    <definedName name="BExXTZKZ4CG92ZQLIRKEXXH9BFIR" hidden="1">#REF!</definedName>
    <definedName name="BExXU4J2BM2964GD5UZHM752Q4NS" hidden="1">#REF!</definedName>
    <definedName name="BExXU6XDTT7RM93KILIDEYPA9XKF" hidden="1">#REF!</definedName>
    <definedName name="BExXU8VLZA7WLPZ3RAQZGNERUD26" hidden="1">#REF!</definedName>
    <definedName name="BExXUB9RSLSCNN5ETLXY72DAPZZM" hidden="1">#REF!</definedName>
    <definedName name="BExXUFRM82XQIN2T8KGLDQL1IBQW" hidden="1">#REF!</definedName>
    <definedName name="BExXUQEQBF6FI240ZGIF9YXZSRAU" hidden="1">#REF!</definedName>
    <definedName name="BExXUX02UQ8LJPBZ4YBORILFR0W0" hidden="1">#REF!</definedName>
    <definedName name="BExXUYND6EJO7CJ5KRICV4O1JNWK" hidden="1">#REF!</definedName>
    <definedName name="BExXV6FWG4H3S2QEUJZYIXILNGJ7" hidden="1">#REF!</definedName>
    <definedName name="BExXVK87BMMO6LHKV0CFDNIQVIBS" hidden="1">#REF!</definedName>
    <definedName name="BExXVKZ9WXPGL6IVY6T61IDD771I" hidden="1">#REF!</definedName>
    <definedName name="BExXVLA319WCSEOVHB05KDUSU054" hidden="1">#REF!</definedName>
    <definedName name="BExXVTTG5YRCSTI0UL141BKR36SU" hidden="1">#REF!</definedName>
    <definedName name="BExXVYWX74VKI8BDDSX9U85460MB" hidden="1">#REF!</definedName>
    <definedName name="BExXW27MMXHXUXX78SDTBE1JYTHT" hidden="1">#REF!</definedName>
    <definedName name="BExXW2YIM2MYBSHRIX0RP9D4PRMN" hidden="1">#REF!</definedName>
    <definedName name="BExXWBNE4KTFSXKVSRF6WX039WPB" hidden="1">#REF!</definedName>
    <definedName name="BExXWFP5AYE7EHYTJWBZSQ8PQ0YX" hidden="1">#REF!</definedName>
    <definedName name="BExXWIUCR0LXM58OVKZT2APLVTIA" hidden="1">#REF!</definedName>
    <definedName name="BExXWTXJEA32DLC6QKN10QB955JT" hidden="1">#REF!</definedName>
    <definedName name="BExXWVFIBQT8OY1O41FRFPFGXQHK" hidden="1">#REF!</definedName>
    <definedName name="BExXWWXHBZHA9J3N8K47F84X0M0L" hidden="1">#REF!</definedName>
    <definedName name="BExXXBM521DL8R4ZX7NZ3DBCUOR5" hidden="1">#REF!</definedName>
    <definedName name="BExXXC7OZI33XZ03NRMEP7VRLQK4" hidden="1">#REF!</definedName>
    <definedName name="BExXXH5N3NKBQ7BCJPJTBF8CYM2Q" hidden="1">#REF!</definedName>
    <definedName name="BExXXI7HHXLBLUEW7EQ73TALJF48" hidden="1">#REF!</definedName>
    <definedName name="BExXXKWLM4D541BH6O8GOJMHFHMW" hidden="1">#REF!</definedName>
    <definedName name="BExXXNR17I6P4FQZPQF2ZXDFYB6C" hidden="1">#REF!</definedName>
    <definedName name="BExXXPPA1Q87XPI97X0OXCPBPDON" hidden="1">#REF!</definedName>
    <definedName name="BExXXVUDA98IZTQ6MANKU4MTTDVR" hidden="1">#REF!</definedName>
    <definedName name="BExXXZQNZY6IZI45DJXJK0MQZWA7" hidden="1">#REF!</definedName>
    <definedName name="BExXY5QFG6QP94SFT3935OBM8Y4K" hidden="1">#REF!</definedName>
    <definedName name="BExXY7TYEBFXRYUYIFHTN65RJ8EW" hidden="1">#REF!</definedName>
    <definedName name="BExXYLBHANUXC5FCTDDTGOVD3GQS" hidden="1">#REF!</definedName>
    <definedName name="BExXYMNYAYH3WA2ZCFAYKZID9ZCI" hidden="1">#REF!</definedName>
    <definedName name="BExXYYT12SVN2VDMLVNV4P3ISD8T" hidden="1">#REF!</definedName>
    <definedName name="BExXYZ3SPSRCWM4YHTPZDCOLZPHR" hidden="1">#REF!</definedName>
    <definedName name="BExXZFVV4YB42AZ3H1I40YG3JAPU" hidden="1">#REF!</definedName>
    <definedName name="BExXZG1CQE1M9TDJ99253H6JVGIH" hidden="1">#REF!</definedName>
    <definedName name="BExXZHJ9T2JELF12CHHGD54J1B0C" hidden="1">#REF!</definedName>
    <definedName name="BExXZNJ2X1TK2LRK5ZY3MX49H5T7" hidden="1">#REF!</definedName>
    <definedName name="BExXZOVPCEP495TQSON6PSRQ8XCY" hidden="1">#REF!</definedName>
    <definedName name="BExXZXKH7NBARQQAZM69Z57IH1MM" hidden="1">#REF!</definedName>
    <definedName name="BExY07WSDH5QEVM7BJXJK2ZRAI1O" hidden="1">#REF!</definedName>
    <definedName name="BExY09PJJWYWGWWLX3YT8EVK0YV4" hidden="1">#REF!</definedName>
    <definedName name="BExY0C3UBVC4M59JIRXVQ8OWAJC1" hidden="1">#REF!</definedName>
    <definedName name="BExY0ENH6ZXHW155XIGS0F46T43M" hidden="1">#REF!</definedName>
    <definedName name="BExY0IEEUB9SRGD9I14IDCPO5GV4" hidden="1">#REF!</definedName>
    <definedName name="BExY0LEAAM7MUGBRLXD6KXBOHZ6S" hidden="1">#REF!</definedName>
    <definedName name="BExY0OE8GFHMLLTEAFIOQTOPEVPB" hidden="1">#REF!</definedName>
    <definedName name="BExY0OJHW85S0VKBA8T4HTYPYBOS" hidden="1">#REF!</definedName>
    <definedName name="BExY0T1E034D7XAXNC6F7540LLIE" hidden="1">#REF!</definedName>
    <definedName name="BExY0XTZLHN49J2JH94BYTKBJLT3" hidden="1">#REF!</definedName>
    <definedName name="BExY11FH9TXHERUYGG8FE50U7H7J" hidden="1">#REF!</definedName>
    <definedName name="BExY180UKNW5NIAWD6ZUYTFEH8QS" hidden="1">#REF!</definedName>
    <definedName name="BExY1DPTV4LSY9MEOUGXF8X052NA" hidden="1">#REF!</definedName>
    <definedName name="BExY1GK9ELBEKDD7O6HR6DUO8YGO" hidden="1">#REF!</definedName>
    <definedName name="BExY1NWOXXFV9GGZ3PX444LZ8TVX" hidden="1">#REF!</definedName>
    <definedName name="BExY1UCL0RND63LLSM9X5SFRG117" hidden="1">#REF!</definedName>
    <definedName name="BExY1WAT3937L08HLHIRQHMP2A3H" hidden="1">#REF!</definedName>
    <definedName name="BExY1YEBOSLMID7LURP8QB46AI91" hidden="1">#REF!</definedName>
    <definedName name="BExY236UB98PA9PNCHMCSZYCHJBD" hidden="1">#REF!</definedName>
    <definedName name="BExY2FS4LFX9OHOTQT7SJ2PXAC25" hidden="1">#REF!</definedName>
    <definedName name="BExY2GDPCZPVU0IQ6IJIB1YQQRQ6" hidden="1">#REF!</definedName>
    <definedName name="BExY2GTSZ3VA9TXLY7KW1LIAKJ61" hidden="1">#REF!</definedName>
    <definedName name="BExY2IXBR1SGYZH08T7QHKEFS8HA" hidden="1">#REF!</definedName>
    <definedName name="BExY2Q4B5FUDA5VU4VRUHX327QN0" hidden="1">#REF!</definedName>
    <definedName name="BExY2S7TM2NG7A1NFYPWIFAIKUCO" hidden="1">#REF!</definedName>
    <definedName name="BExY2Z3ZGRGD12RWANJZ8DFQO776" hidden="1">#REF!</definedName>
    <definedName name="BExY30WPXLJ01P42XKBSUF8KNOOK" hidden="1">#REF!</definedName>
    <definedName name="BExY3297KIB0C8Z1G99OS1MCEGTO" hidden="1">#REF!</definedName>
    <definedName name="BExY3HOSK7YI364K15OX70AVR6F1" hidden="1">#REF!</definedName>
    <definedName name="BExY3I526B4VA8JBTKXWE3FGVT0D" hidden="1">#REF!</definedName>
    <definedName name="BExY3I52TZR3GXQ9HDVDNIYLIGEH" hidden="1">#REF!</definedName>
    <definedName name="BExY3T89AUR83SOAZZ3OMDEJDQ39" hidden="1">#REF!</definedName>
    <definedName name="BExY3WZ7VO2K6TYCHDY754FY24AA" hidden="1">#REF!</definedName>
    <definedName name="BExY4BIG95HDDO6MY6WBUSWJIOLR" hidden="1">#REF!</definedName>
    <definedName name="BExY4MG771JQ84EMIVB6HQGGHZY7" hidden="1">#REF!</definedName>
    <definedName name="BExY4PWCSFB8P3J3TBQB2MD67263" hidden="1">#REF!</definedName>
    <definedName name="BExY4RP3BE6KYZDIKQZO4U4DIT33" hidden="1">#REF!</definedName>
    <definedName name="BExY4RZW3KK11JLYBA4DWZ92M6LQ" hidden="1">#REF!</definedName>
    <definedName name="BExY4XOVTTNVZ577RLIEC7NZQFIX" hidden="1">#REF!</definedName>
    <definedName name="BExY50JAF5CG01GTHAUS7I4ZLUDC" hidden="1">#REF!</definedName>
    <definedName name="BExY53J7EXFEOFTRNAHLK7IH3ACB" hidden="1">#REF!</definedName>
    <definedName name="BExY5515SJTJS3VM80M3YYR0WF37" hidden="1">#REF!</definedName>
    <definedName name="BExY5515WE39FQ3EG5QHG67V9C0O" hidden="1">#REF!</definedName>
    <definedName name="BExY5986WNAD8NFCPXC9TVLBU4FG" hidden="1">#REF!</definedName>
    <definedName name="BExY5DF9MS25IFNWGJ1YAS5MDN8R" hidden="1">#REF!</definedName>
    <definedName name="BExY5ERVGL3UM2MGT8LJ0XPKTZEK" hidden="1">#REF!</definedName>
    <definedName name="BExY5EX6NJFK8W754ZVZDN5DS04K" hidden="1">#REF!</definedName>
    <definedName name="BExY5S3XD1NJT109CV54IFOHVLQ6" hidden="1">#REF!</definedName>
    <definedName name="BExY5W088PPAPLSMR2P7FV2CRDCT" hidden="1">#REF!</definedName>
    <definedName name="BExY6KA6BQ6H4SH5EMJBVF8UR4ZY" hidden="1">#REF!</definedName>
    <definedName name="BExY6KVS1MMZ2R34PGEFR2BMTU9W" hidden="1">#REF!</definedName>
    <definedName name="BExY6Q9YY7LW745GP7CYOGGSPHGE" hidden="1">#REF!</definedName>
    <definedName name="BExY6R6BYIQZ4OR1E7YI0OVOC08W" hidden="1">#REF!</definedName>
    <definedName name="BExZIA3C8LKJTEH3MKQ57KJH5TA2" hidden="1">#REF!</definedName>
    <definedName name="BExZIGDWFIOPMMVCRWX45OIJ5AP3" hidden="1">#REF!</definedName>
    <definedName name="BExZIIHH3QNQE3GFMHEE4UMHY6WQ" hidden="1">#REF!</definedName>
    <definedName name="BExZIYO22G5UXOB42GDLYGVRJ6U7" hidden="1">#REF!</definedName>
    <definedName name="BExZJ7I9T8XU4MZRKJ1VVU76V2LZ" hidden="1">#REF!</definedName>
    <definedName name="BExZJMY170JCUU1RWASNZ1HJPRTA" hidden="1">#REF!</definedName>
    <definedName name="BExZJOQR77H0P4SUKVYACDCFBBXO" hidden="1">#REF!</definedName>
    <definedName name="BExZJS6RG34ODDY9HMZ0O34MEMSB" hidden="1">#REF!</definedName>
    <definedName name="BExZK34NR4BAD7HJAP7SQ926UQP3" hidden="1">#REF!</definedName>
    <definedName name="BExZK3FGPHH5H771U7D5XY7XBS6E" hidden="1">#REF!</definedName>
    <definedName name="BExZK46CVVS9X1BZ6LLL71016ENT" hidden="1">#REF!</definedName>
    <definedName name="BExZK52PZLTP1F04T09MP30BVT7H" hidden="1">#REF!</definedName>
    <definedName name="BExZKHYORG3O8C772XPFHM1N8T80" hidden="1">#REF!</definedName>
    <definedName name="BExZKJRF2IRR57DG9CLC7MSHWNNN" hidden="1">#REF!</definedName>
    <definedName name="BExZKV5GYXO0X760SBD9TWTIQHGI" hidden="1">#REF!</definedName>
    <definedName name="BExZKZCGNEA9IPON37A91L4H4H17" hidden="1">#REF!</definedName>
    <definedName name="BExZL6E4YVXRUN7ZGF2BIGIXFR8K" hidden="1">#REF!</definedName>
    <definedName name="BExZLF2ZTA4EPN0GHO7C5O8DZ1SN" hidden="1">#REF!</definedName>
    <definedName name="BExZLGVLMKTPFXG42QYT0PO81G7F" hidden="1">#REF!</definedName>
    <definedName name="BExZLHRYQQ7BYD3VQWHVTZGYGRCT" hidden="1">#REF!</definedName>
    <definedName name="BExZLKMK7LRK14S09WLMH7MXSQXM" hidden="1">#REF!</definedName>
    <definedName name="BExZM503X0NZBS0FF22LK2RGG6GP" hidden="1">#REF!</definedName>
    <definedName name="BExZM7JVLG0W8EG5RBU915U3SKBY" hidden="1">#REF!</definedName>
    <definedName name="BExZM85FOVUFF110XMQ9O2ODSJUK" hidden="1">#REF!</definedName>
    <definedName name="BExZMF1MMTZ1TA14PZ8ASSU2CBSP" hidden="1">#REF!</definedName>
    <definedName name="BExZMH54ZU6X4KM0375X9K5VJDZN" hidden="1">#REF!</definedName>
    <definedName name="BExZMKL5YQZD7F0FUCSVFGLPFK52" hidden="1">#REF!</definedName>
    <definedName name="BExZMOC3VNZALJM71X2T6FV91GTB" hidden="1">#REF!</definedName>
    <definedName name="BExZMRHA7TTR9QKJOMONHRVY3YOF" hidden="1">#REF!</definedName>
    <definedName name="BExZMXH39OB0I43XEL3K11U3G9PM" hidden="1">#REF!</definedName>
    <definedName name="BExZMZQ3RBKDHT5GLFNLS52OSJA0" hidden="1">#REF!</definedName>
    <definedName name="BExZN2F7Y2J2L2LN5WZRG949MS4A" hidden="1">#REF!</definedName>
    <definedName name="BExZN847WUWKRYTZWG9TCQZJS3OL" hidden="1">#REF!</definedName>
    <definedName name="BExZNA2ALK6RDWFAXZQCL9TWRDCF" hidden="1">#REF!</definedName>
    <definedName name="BExZNH3VISFF4NQI11BZDP5IQ7VG" hidden="1">#REF!</definedName>
    <definedName name="BExZNJYCFYVMAOI62GB2BABK1ELE" hidden="1">#REF!</definedName>
    <definedName name="BExZNLGAA6ATMJW0Y28J4OI5W27I" hidden="1">#REF!</definedName>
    <definedName name="BExZNP7916CH3QP4VCZEULUIKKS5" hidden="1">#REF!</definedName>
    <definedName name="BExZNV707LIU6Z5H6QI6H67LHTI1" hidden="1">#REF!</definedName>
    <definedName name="BExZNVCBKB930QQ9QW7KSGOZ0V1M" hidden="1">#REF!</definedName>
    <definedName name="BExZNW8QJ18X0RSGFDWAE9ZSDX39" hidden="1">#REF!</definedName>
    <definedName name="BExZNZDWRS6Q40L8OCWFEIVI0A1O" hidden="1">#REF!</definedName>
    <definedName name="BExZOBO9NYLGVJQ31LVQ9XS2ZT4N" hidden="1">#REF!</definedName>
    <definedName name="BExZOETNB1CJ3Y2RKLI1ZK0S8Z6H" hidden="1">#REF!</definedName>
    <definedName name="BExZOREMVSK4E5VSWM838KHUB8AI" hidden="1">#REF!</definedName>
    <definedName name="BExZOVR745T5P1KS9NV2PXZPZVRG" hidden="1">#REF!</definedName>
    <definedName name="BExZOZSWGLSY2XYVRIS6VSNJDSGD" hidden="1">#REF!</definedName>
    <definedName name="BExZP7AIJKLM6C6CSUIIFAHFBNX2" hidden="1">#REF!</definedName>
    <definedName name="BExZPALCPOH27L4MUPX2RFT3F8OM" hidden="1">#REF!</definedName>
    <definedName name="BExZPQ0XY507N8FJMVPKCTK8HC9H" hidden="1">#REF!</definedName>
    <definedName name="BExZPXTHEWEN48J9E5ARSA8IGRBI" hidden="1">#REF!</definedName>
    <definedName name="BExZQ37OVBR25U32CO2YYVPZOMR5" hidden="1">#REF!</definedName>
    <definedName name="BExZQ3NT7H06VO0AR48WHZULZB93" hidden="1">#REF!</definedName>
    <definedName name="BExZQ5RCYU1R0DUT1MFN99S1C408" hidden="1">#REF!</definedName>
    <definedName name="BExZQ7PJU07SEJMDX18U9YVDC2GU" hidden="1">#REF!</definedName>
    <definedName name="BExZQAJXQ5IJ5RB71EDSPGTRO5HC" hidden="1">#REF!</definedName>
    <definedName name="BExZQBLTKPF3O4MCH6L4LE544FQB" hidden="1">#REF!</definedName>
    <definedName name="BExZQIHTGHK7OOI2Y2PN3JYBY82I" hidden="1">#REF!</definedName>
    <definedName name="BExZQJJMGU5MHQOILGXGJPAQI5XI" hidden="1">#REF!</definedName>
    <definedName name="BExZQL1M2EX5YEQBMNQKVD747N3I" hidden="1">#REF!</definedName>
    <definedName name="BExZQPDYUBJL0C1OME996KHU23N5" hidden="1">#REF!</definedName>
    <definedName name="BExZQXBYEBN28QUH1KOVW6KKA5UM" hidden="1">#REF!</definedName>
    <definedName name="BExZQZKT146WEN8FTVZ7Y5TSB8L5" hidden="1">#REF!</definedName>
    <definedName name="BExZR485AKBH93YZ08CMUC3WROED" hidden="1">#REF!</definedName>
    <definedName name="BExZR7TL98P2PPUVGIZYR5873DWW" hidden="1">#REF!</definedName>
    <definedName name="BExZRAYSYOXAM1PBW1EF6YAZ9RU3" hidden="1">#REF!</definedName>
    <definedName name="BExZRGD1603X5ACFALUUDKCD7X48" hidden="1">#REF!</definedName>
    <definedName name="BExZRMSYHFOP8FFWKKUSBHU85J81" hidden="1">#REF!</definedName>
    <definedName name="BExZRP1X6UVLN1UOLHH5VF4STP1O" hidden="1">#REF!</definedName>
    <definedName name="BExZRQ930U6OCYNV00CH5I0Q4LPE" hidden="1">#REF!</definedName>
    <definedName name="BExZRQP7JLKS45QOGATXS7MK5GUZ" hidden="1">#REF!</definedName>
    <definedName name="BExZRW8W514W8OZ72YBONYJ64GXF" hidden="1">#REF!</definedName>
    <definedName name="BExZRWJP2BUVFJPO8U8ATQEP0LZU" hidden="1">#REF!</definedName>
    <definedName name="BExZSI9USDLZAN8LI8M4YYQL24GZ" hidden="1">#REF!</definedName>
    <definedName name="BExZSLKO175YAM0RMMZH1FPXL4V2" hidden="1">#REF!</definedName>
    <definedName name="BExZSS0LA2JY4ZLJ1Z5YCMLJJZCH" hidden="1">#REF!</definedName>
    <definedName name="BExZSTNUWCRNCL22SMKXKFSLCJ0O" hidden="1">#REF!</definedName>
    <definedName name="BExZSYRA4NR7K6RLC3I81QSG5SQR" hidden="1">#REF!</definedName>
    <definedName name="BExZT6JSZ8CBS0SB3T07N3LMAX7M" hidden="1">#REF!</definedName>
    <definedName name="BExZTAQV2QVSZY5Y3VCCWUBSBW9P" hidden="1">#REF!</definedName>
    <definedName name="BExZTHSI2FX56PWRSNX9H5EWTZFO" hidden="1">#REF!</definedName>
    <definedName name="BExZTJL3HVBFY139H6CJHEQCT1EL" hidden="1">#REF!</definedName>
    <definedName name="BExZTLOL8OPABZI453E0KVNA1GJS" hidden="1">#REF!</definedName>
    <definedName name="BExZTOTZ9F2ZI18DZM8GW39VDF1N" hidden="1">#REF!</definedName>
    <definedName name="BExZTT6J3X0TOX0ZY6YPLUVMCW9X" hidden="1">#REF!</definedName>
    <definedName name="BExZTW6ECBRA0BBITWBQ8R93RMCL" hidden="1">#REF!</definedName>
    <definedName name="BExZU2BHYAOKSCBM3C5014ZF6IXS" hidden="1">#REF!</definedName>
    <definedName name="BExZU2RMJTXOCS0ROPMYPE6WTD87" hidden="1">#REF!</definedName>
    <definedName name="BExZUBRAHA9DNEGONEZEB2TDVFC2" hidden="1">#REF!</definedName>
    <definedName name="BExZUF7G8FENTJKH9R1XUWXM6CWD" hidden="1">#REF!</definedName>
    <definedName name="BExZUNARUJBIZ08VCAV3GEVBIR3D" hidden="1">#REF!</definedName>
    <definedName name="BExZUSZT5496UMBP4LFSLTR1GVEW" hidden="1">#REF!</definedName>
    <definedName name="BExZUT54340I38GVCV79EL116WR0" hidden="1">#REF!</definedName>
    <definedName name="BExZUXC66MK2SXPXCLD8ZSU0BMTY" hidden="1">#REF!</definedName>
    <definedName name="BExZUYDULCX65H9OZ9JHPBNKF3MI" hidden="1">#REF!</definedName>
    <definedName name="BExZV2QD5ZDK3AGDRULLA7JB46C3" hidden="1">#REF!</definedName>
    <definedName name="BExZVBQ29OM0V8XAL3HL0JIM0MMU" hidden="1">#REF!</definedName>
    <definedName name="BExZVKV2XCPCINW1KP8Q1FI6KDNG" hidden="1">#REF!</definedName>
    <definedName name="BExZVLM4T9ORS4ZWHME46U4Q103C" hidden="1">#REF!</definedName>
    <definedName name="BExZVM7OZWPPRH5YQW50EYMMIW1A" hidden="1">#REF!</definedName>
    <definedName name="BExZVMYK7BAH6AGIAEXBE1NXDZ5Z" hidden="1">#REF!</definedName>
    <definedName name="BExZVPYGX2C5OSHMZ6F0KBKZ6B1S" hidden="1">#REF!</definedName>
    <definedName name="BExZW3LHTS7PFBNTYM95N8J5AFYQ" hidden="1">#REF!</definedName>
    <definedName name="BExZW472V5ADKCFHIKAJ6D4R8MU4" hidden="1">#REF!</definedName>
    <definedName name="BExZW5UARC8W9AQNLJX2I5WQWS5F" hidden="1">#REF!</definedName>
    <definedName name="BExZW7HRGN6A9YS41KI2B2UUMJ7X" hidden="1">#REF!</definedName>
    <definedName name="BExZW8ZPNV43UXGOT98FDNIBQHZY" hidden="1">#REF!</definedName>
    <definedName name="BExZWKZ5N3RDXU8MZ8HQVYYD8O0F" hidden="1">#REF!</definedName>
    <definedName name="BExZWMBRUCPO6F4QT5FNX8JRFL7V" hidden="1">#REF!</definedName>
    <definedName name="BExZWQO5171HT1OZ6D6JZBHEW4JG" hidden="1">#REF!</definedName>
    <definedName name="BExZWSMC9T48W74GFGQCIUJ8ZPP3" hidden="1">#REF!</definedName>
    <definedName name="BExZWUF2V4HY3HI8JN9ZVPRWK1H3" hidden="1">#REF!</definedName>
    <definedName name="BExZWX45URTK9KYDJHEXL1OTZ833" hidden="1">#REF!</definedName>
    <definedName name="BExZX0EWQEZO86WDAD9A4EAEZ012" hidden="1">#REF!</definedName>
    <definedName name="BExZX2T6ZT2DZLYSDJJBPVIT5OK2" hidden="1">#REF!</definedName>
    <definedName name="BExZXOJDELULNLEH7WG0OYJT0NJ4" hidden="1">#REF!</definedName>
    <definedName name="BExZXOOTRNUK8LGEAZ8ZCFW9KXQ1" hidden="1">#REF!</definedName>
    <definedName name="BExZXT6JOXNKEDU23DKL8XZAJZIH" hidden="1">#REF!</definedName>
    <definedName name="BExZXUTYW1HWEEZ1LIX4OQWC7HL1" hidden="1">#REF!</definedName>
    <definedName name="BExZXY4NKQL9QD76YMQJ15U1C2G8" hidden="1">#REF!</definedName>
    <definedName name="BExZXYQ7U5G08FQGUIGYT14QCBOF" hidden="1">#REF!</definedName>
    <definedName name="BExZY02V77YJBMODJSWZOYCMPS5X" hidden="1">#REF!</definedName>
    <definedName name="BExZY3DEOYNIHRV56IY5LJXZK8RU" hidden="1">#REF!</definedName>
    <definedName name="BExZY49QRZIR6CA41LFA9LM6EULU" hidden="1">#REF!</definedName>
    <definedName name="BExZYTG2G7W27YATTETFDDCZ0C4U" hidden="1">#REF!</definedName>
    <definedName name="BExZYYOZMC36ROQDWLR5Z17WKHCR" hidden="1">#REF!</definedName>
    <definedName name="BExZZ2FQA9A8C7CJKMEFQ9VPSLCE" hidden="1">#REF!</definedName>
    <definedName name="BExZZ7ZGXIMA3OVYAWY3YQSK64LF" hidden="1">#REF!</definedName>
    <definedName name="BExZZ8FKEIFG203MU6SEJ69MINCD" hidden="1">#REF!</definedName>
    <definedName name="BExZZCHAVHW8C2H649KRGVQ0WVRT" hidden="1">#REF!</definedName>
    <definedName name="BExZZTK54OTLF2YB68BHGOS27GEN" hidden="1">#REF!</definedName>
    <definedName name="BExZZXB3JQQG4SIZS4MRU6NNW7HI" hidden="1">#REF!</definedName>
    <definedName name="BExZZZEMIIFKMLLV4DJKX5TB9R5V" hidden="1">#REF!</definedName>
    <definedName name="blip" localSheetId="2" hidden="1">{"'Server Configuration'!$A$1:$DB$281"}</definedName>
    <definedName name="blip" localSheetId="3" hidden="1">{"'Server Configuration'!$A$1:$DB$281"}</definedName>
    <definedName name="blip" hidden="1">{"'Server Configuration'!$A$1:$DB$281"}</definedName>
    <definedName name="blip_1" localSheetId="2" hidden="1">{"'Server Configuration'!$A$1:$DB$281"}</definedName>
    <definedName name="blip_1" localSheetId="3" hidden="1">{"'Server Configuration'!$A$1:$DB$281"}</definedName>
    <definedName name="blip_1" hidden="1">{"'Server Configuration'!$A$1:$DB$281"}</definedName>
    <definedName name="blip_2" localSheetId="2" hidden="1">{"'Server Configuration'!$A$1:$DB$281"}</definedName>
    <definedName name="blip_2" localSheetId="3" hidden="1">{"'Server Configuration'!$A$1:$DB$281"}</definedName>
    <definedName name="blip_2" hidden="1">{"'Server Configuration'!$A$1:$DB$281"}</definedName>
    <definedName name="Bum" hidden="1">#REF!</definedName>
    <definedName name="cbcvbcv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cbcvbcv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cbcvbcv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CBWorkbookPriority" hidden="1">-250256570</definedName>
    <definedName name="ccbbcvbc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ccbbcvbc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ccbbcvbc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ccc" localSheetId="2" hidden="1">{"ISP1Y1",#N/A,TRUE,"Template";"ISP2Y1",#N/A,TRUE,"Template";"BSY1",#N/A,TRUE,"Template";"ICFY1",#N/A,TRUE,"Template";"TPY1",#N/A,TRUE,"Template";"CtrlY1",#N/A,TRUE,"Template"}</definedName>
    <definedName name="ccc" localSheetId="3" hidden="1">{"ISP1Y1",#N/A,TRUE,"Template";"ISP2Y1",#N/A,TRUE,"Template";"BSY1",#N/A,TRUE,"Template";"ICFY1",#N/A,TRUE,"Template";"TPY1",#N/A,TRUE,"Template";"CtrlY1",#N/A,TRUE,"Template"}</definedName>
    <definedName name="ccc" hidden="1">{"ISP1Y1",#N/A,TRUE,"Template";"ISP2Y1",#N/A,TRUE,"Template";"BSY1",#N/A,TRUE,"Template";"ICFY1",#N/A,TRUE,"Template";"TPY1",#N/A,TRUE,"Template";"CtrlY1",#N/A,TRUE,"Template"}</definedName>
    <definedName name="CT" localSheetId="2" hidden="1">{#N/A,#N/A,FALSE,"Current Status";#N/A,#N/A,FALSE,"Graph 1";#N/A,#N/A,FALSE,"Graph 2";#N/A,#N/A,FALSE,"Graph 3"}</definedName>
    <definedName name="CT" localSheetId="3" hidden="1">{#N/A,#N/A,FALSE,"Current Status";#N/A,#N/A,FALSE,"Graph 1";#N/A,#N/A,FALSE,"Graph 2";#N/A,#N/A,FALSE,"Graph 3"}</definedName>
    <definedName name="CT" hidden="1">{#N/A,#N/A,FALSE,"Current Status";#N/A,#N/A,FALSE,"Graph 1";#N/A,#N/A,FALSE,"Graph 2";#N/A,#N/A,FALSE,"Graph 3"}</definedName>
    <definedName name="dad" localSheetId="2" hidden="1">{#N/A,#N/A,FALSE,"Model";#N/A,#N/A,FALSE,"CapitalCosts"}</definedName>
    <definedName name="dad" localSheetId="3" hidden="1">{#N/A,#N/A,FALSE,"Model";#N/A,#N/A,FALSE,"CapitalCosts"}</definedName>
    <definedName name="dad" hidden="1">{#N/A,#N/A,FALSE,"Model";#N/A,#N/A,FALSE,"CapitalCosts"}</definedName>
    <definedName name="DASDD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DASDD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DASDD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ddfsaf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ddfsaf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ddfsaf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DELETE01" localSheetId="2" hidden="1">{#N/A,#N/A,FALSE,"Coversheet";#N/A,#N/A,FALSE,"QA"}</definedName>
    <definedName name="DELETE01" localSheetId="3" hidden="1">{#N/A,#N/A,FALSE,"Coversheet";#N/A,#N/A,FALSE,"QA"}</definedName>
    <definedName name="DELETE01" hidden="1">{#N/A,#N/A,FALSE,"Coversheet";#N/A,#N/A,FALSE,"QA"}</definedName>
    <definedName name="DELETE02" localSheetId="2" hidden="1">{#N/A,#N/A,FALSE,"Schedule F";#N/A,#N/A,FALSE,"Schedule G"}</definedName>
    <definedName name="DELETE02" localSheetId="3" hidden="1">{#N/A,#N/A,FALSE,"Schedule F";#N/A,#N/A,FALSE,"Schedule G"}</definedName>
    <definedName name="DELETE02" hidden="1">{#N/A,#N/A,FALSE,"Schedule F";#N/A,#N/A,FALSE,"Schedule G"}</definedName>
    <definedName name="Delete06" localSheetId="2" hidden="1">{#N/A,#N/A,FALSE,"Coversheet";#N/A,#N/A,FALSE,"QA"}</definedName>
    <definedName name="Delete06" localSheetId="3" hidden="1">{#N/A,#N/A,FALSE,"Coversheet";#N/A,#N/A,FALSE,"QA"}</definedName>
    <definedName name="Delete06" hidden="1">{#N/A,#N/A,FALSE,"Coversheet";#N/A,#N/A,FALSE,"QA"}</definedName>
    <definedName name="Delete09" localSheetId="2" hidden="1">{#N/A,#N/A,FALSE,"Coversheet";#N/A,#N/A,FALSE,"QA"}</definedName>
    <definedName name="Delete09" localSheetId="3" hidden="1">{#N/A,#N/A,FALSE,"Coversheet";#N/A,#N/A,FALSE,"QA"}</definedName>
    <definedName name="Delete09" hidden="1">{#N/A,#N/A,FALSE,"Coversheet";#N/A,#N/A,FALSE,"QA"}</definedName>
    <definedName name="Delete1" localSheetId="2" hidden="1">{#N/A,#N/A,FALSE,"Coversheet";#N/A,#N/A,FALSE,"QA"}</definedName>
    <definedName name="Delete1" localSheetId="3" hidden="1">{#N/A,#N/A,FALSE,"Coversheet";#N/A,#N/A,FALSE,"QA"}</definedName>
    <definedName name="Delete1" hidden="1">{#N/A,#N/A,FALSE,"Coversheet";#N/A,#N/A,FALSE,"QA"}</definedName>
    <definedName name="Delete10" localSheetId="2" hidden="1">{#N/A,#N/A,FALSE,"Schedule F";#N/A,#N/A,FALSE,"Schedule G"}</definedName>
    <definedName name="Delete10" localSheetId="3" hidden="1">{#N/A,#N/A,FALSE,"Schedule F";#N/A,#N/A,FALSE,"Schedule G"}</definedName>
    <definedName name="Delete10" hidden="1">{#N/A,#N/A,FALSE,"Schedule F";#N/A,#N/A,FALSE,"Schedule G"}</definedName>
    <definedName name="Delete21" localSheetId="2" hidden="1">{#N/A,#N/A,FALSE,"Coversheet";#N/A,#N/A,FALSE,"QA"}</definedName>
    <definedName name="Delete21" localSheetId="3" hidden="1">{#N/A,#N/A,FALSE,"Coversheet";#N/A,#N/A,FALSE,"QA"}</definedName>
    <definedName name="Delete21" hidden="1">{#N/A,#N/A,FALSE,"Coversheet";#N/A,#N/A,FALSE,"QA"}</definedName>
    <definedName name="dfasdfsdfZX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dfasdfsdfZX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dfasdfsdfZX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dfdsfs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dfdsfs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dfdsfs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DFIT" localSheetId="2" hidden="1">{#N/A,#N/A,FALSE,"Coversheet";#N/A,#N/A,FALSE,"QA"}</definedName>
    <definedName name="DFIT" localSheetId="3" hidden="1">{#N/A,#N/A,FALSE,"Coversheet";#N/A,#N/A,FALSE,"QA"}</definedName>
    <definedName name="DFIT" hidden="1">{#N/A,#N/A,FALSE,"Coversheet";#N/A,#N/A,FALSE,"QA"}</definedName>
    <definedName name="dfsasdfasdfsdfasdfasdf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dfsasdfasdfsdfasdfasdf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dfsasdfasdfsdfasdfasdf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dgsdtesrtert" hidden="1">#REF!</definedName>
    <definedName name="dskdlss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dskdlss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dskdlss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edred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edred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edred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ee" localSheetId="2" hidden="1">{#N/A,#N/A,FALSE,"Month ";#N/A,#N/A,FALSE,"YTD";#N/A,#N/A,FALSE,"12 mo ended"}</definedName>
    <definedName name="ee" localSheetId="3" hidden="1">{#N/A,#N/A,FALSE,"Month ";#N/A,#N/A,FALSE,"YTD";#N/A,#N/A,FALSE,"12 mo ended"}</definedName>
    <definedName name="ee" hidden="1">{#N/A,#N/A,FALSE,"Month ";#N/A,#N/A,FALSE,"YTD";#N/A,#N/A,FALSE,"12 mo ended"}</definedName>
    <definedName name="error" localSheetId="2" hidden="1">{#N/A,#N/A,FALSE,"Coversheet";#N/A,#N/A,FALSE,"QA"}</definedName>
    <definedName name="error" localSheetId="3" hidden="1">{#N/A,#N/A,FALSE,"Coversheet";#N/A,#N/A,FALSE,"QA"}</definedName>
    <definedName name="error" hidden="1">{#N/A,#N/A,FALSE,"Coversheet";#N/A,#N/A,FALSE,"QA"}</definedName>
    <definedName name="Estimate" localSheetId="2" hidden="1">{#N/A,#N/A,FALSE,"Summ";#N/A,#N/A,FALSE,"General"}</definedName>
    <definedName name="Estimate" localSheetId="3" hidden="1">{#N/A,#N/A,FALSE,"Summ";#N/A,#N/A,FALSE,"General"}</definedName>
    <definedName name="Estimate" hidden="1">{#N/A,#N/A,FALSE,"Summ";#N/A,#N/A,FALSE,"General"}</definedName>
    <definedName name="EV__CVPARAMS__" hidden="1">"Nested Row!$B$20:$C$41;"</definedName>
    <definedName name="EV__DECIMALSYMBOL__" hidden="1">"."</definedName>
    <definedName name="EV__EXPOPTIONS__" hidden="1">0</definedName>
    <definedName name="EV__LASTREFTIME__" hidden="1">39443.4710648148</definedName>
    <definedName name="EV__LOCKEDCVW__CAPITAL" hidden="1">"AP_DAYS_OS,ALL_BUDGET_NOS,ACT,All_Sources,OTP,USD,ALL_SUB_TYPES,1999.TOTAL,ALL_WO_NUMBERS,PERIODIC,"</definedName>
    <definedName name="EV__LOCKEDCVW__FINANCE" hidden="1">"OTP,Corp_Earnings,FCST,LC,periodic,All_Sources,2008.TOTAL,"</definedName>
    <definedName name="EV__LOCKEDCVW__RATE" hidden="1">"ACT,DZD,Avg,RateInput,1999.TOTAL,PERIODIC,"</definedName>
    <definedName name="EV__LOCKSTATUS__" hidden="1">4</definedName>
    <definedName name="EV__MAXEXPCOLS__" hidden="1">100</definedName>
    <definedName name="EV__MAXEXPROWS__" hidden="1">20000</definedName>
    <definedName name="EV__MEMORYCVW__" hidden="1">0</definedName>
    <definedName name="EV__WBEVMODE__" hidden="1">0</definedName>
    <definedName name="EV__WBREFOPTIONS__" hidden="1">134217783</definedName>
    <definedName name="EV__WBVERSION__" hidden="1">0</definedName>
    <definedName name="ex" localSheetId="2" hidden="1">{#N/A,#N/A,FALSE,"Summ";#N/A,#N/A,FALSE,"General"}</definedName>
    <definedName name="ex" localSheetId="3" hidden="1">{#N/A,#N/A,FALSE,"Summ";#N/A,#N/A,FALSE,"General"}</definedName>
    <definedName name="ex" hidden="1">{#N/A,#N/A,FALSE,"Summ";#N/A,#N/A,FALSE,"General"}</definedName>
    <definedName name="F" hidden="1">#REF!</definedName>
    <definedName name="fadsfd" localSheetId="2" hidden="1">{#N/A,#N/A,FALSE,"Model";#N/A,#N/A,FALSE,"CapitalCosts"}</definedName>
    <definedName name="fadsfd" localSheetId="3" hidden="1">{#N/A,#N/A,FALSE,"Model";#N/A,#N/A,FALSE,"CapitalCosts"}</definedName>
    <definedName name="fadsfd" hidden="1">{#N/A,#N/A,FALSE,"Model";#N/A,#N/A,FALSE,"CapitalCosts"}</definedName>
    <definedName name="fdasfdas" localSheetId="2" hidden="1">{#N/A,#N/A,FALSE,"Bonney Lake";#N/A,#N/A,FALSE,"Bothell";#N/A,#N/A,FALSE,"Bremerton";#N/A,#N/A,FALSE,"Carnation";#N/A,#N/A,FALSE,"Cle Elum";#N/A,#N/A,FALSE,"Clyde Hill";#N/A,#N/A,FALSE,"Coupeville";#N/A,#N/A,FALSE,"Des Moines";#N/A,#N/A,FALSE,"Enumclaw";#N/A,#N/A,FALSE,"Federal Way";#N/A,#N/A,FALSE,"Ferndale";#N/A,#N/A,FALSE,"Kent";#N/A,#N/A,FALSE,"Lacey";#N/A,#N/A,FALSE,"Mount Vernon";#N/A,#N/A,FALSE,"Oak Harbor";#N/A,#N/A,FALSE,"Redmond";#N/A,#N/A,FALSE,"Renton";#N/A,#N/A,FALSE,"Tenino"}</definedName>
    <definedName name="fdasfdas" localSheetId="3" hidden="1">{#N/A,#N/A,FALSE,"Bonney Lake";#N/A,#N/A,FALSE,"Bothell";#N/A,#N/A,FALSE,"Bremerton";#N/A,#N/A,FALSE,"Carnation";#N/A,#N/A,FALSE,"Cle Elum";#N/A,#N/A,FALSE,"Clyde Hill";#N/A,#N/A,FALSE,"Coupeville";#N/A,#N/A,FALSE,"Des Moines";#N/A,#N/A,FALSE,"Enumclaw";#N/A,#N/A,FALSE,"Federal Way";#N/A,#N/A,FALSE,"Ferndale";#N/A,#N/A,FALSE,"Kent";#N/A,#N/A,FALSE,"Lacey";#N/A,#N/A,FALSE,"Mount Vernon";#N/A,#N/A,FALSE,"Oak Harbor";#N/A,#N/A,FALSE,"Redmond";#N/A,#N/A,FALSE,"Renton";#N/A,#N/A,FALSE,"Tenino"}</definedName>
    <definedName name="fdasfdas" hidden="1">{#N/A,#N/A,FALSE,"Bonney Lake";#N/A,#N/A,FALSE,"Bothell";#N/A,#N/A,FALSE,"Bremerton";#N/A,#N/A,FALSE,"Carnation";#N/A,#N/A,FALSE,"Cle Elum";#N/A,#N/A,FALSE,"Clyde Hill";#N/A,#N/A,FALSE,"Coupeville";#N/A,#N/A,FALSE,"Des Moines";#N/A,#N/A,FALSE,"Enumclaw";#N/A,#N/A,FALSE,"Federal Way";#N/A,#N/A,FALSE,"Ferndale";#N/A,#N/A,FALSE,"Kent";#N/A,#N/A,FALSE,"Lacey";#N/A,#N/A,FALSE,"Mount Vernon";#N/A,#N/A,FALSE,"Oak Harbor";#N/A,#N/A,FALSE,"Redmond";#N/A,#N/A,FALSE,"Renton";#N/A,#N/A,FALSE,"Tenino"}</definedName>
    <definedName name="fdsa" localSheetId="2" hidden="1">{#N/A,#N/A,FALSE,"Bonney Lake";#N/A,#N/A,FALSE,"Bothell";#N/A,#N/A,FALSE,"Bremerton";#N/A,#N/A,FALSE,"Carnation";#N/A,#N/A,FALSE,"Cle Elum";#N/A,#N/A,FALSE,"Clyde Hill";#N/A,#N/A,FALSE,"Coupeville";#N/A,#N/A,FALSE,"Des Moines";#N/A,#N/A,FALSE,"Enumclaw";#N/A,#N/A,FALSE,"Federal Way";#N/A,#N/A,FALSE,"Ferndale";#N/A,#N/A,FALSE,"Kent";#N/A,#N/A,FALSE,"Lacey";#N/A,#N/A,FALSE,"Mount Vernon";#N/A,#N/A,FALSE,"Oak Harbor";#N/A,#N/A,FALSE,"Redmond";#N/A,#N/A,FALSE,"Renton";#N/A,#N/A,FALSE,"Tenino"}</definedName>
    <definedName name="fdsa" localSheetId="3" hidden="1">{#N/A,#N/A,FALSE,"Bonney Lake";#N/A,#N/A,FALSE,"Bothell";#N/A,#N/A,FALSE,"Bremerton";#N/A,#N/A,FALSE,"Carnation";#N/A,#N/A,FALSE,"Cle Elum";#N/A,#N/A,FALSE,"Clyde Hill";#N/A,#N/A,FALSE,"Coupeville";#N/A,#N/A,FALSE,"Des Moines";#N/A,#N/A,FALSE,"Enumclaw";#N/A,#N/A,FALSE,"Federal Way";#N/A,#N/A,FALSE,"Ferndale";#N/A,#N/A,FALSE,"Kent";#N/A,#N/A,FALSE,"Lacey";#N/A,#N/A,FALSE,"Mount Vernon";#N/A,#N/A,FALSE,"Oak Harbor";#N/A,#N/A,FALSE,"Redmond";#N/A,#N/A,FALSE,"Renton";#N/A,#N/A,FALSE,"Tenino"}</definedName>
    <definedName name="fdsa" hidden="1">{#N/A,#N/A,FALSE,"Bonney Lake";#N/A,#N/A,FALSE,"Bothell";#N/A,#N/A,FALSE,"Bremerton";#N/A,#N/A,FALSE,"Carnation";#N/A,#N/A,FALSE,"Cle Elum";#N/A,#N/A,FALSE,"Clyde Hill";#N/A,#N/A,FALSE,"Coupeville";#N/A,#N/A,FALSE,"Des Moines";#N/A,#N/A,FALSE,"Enumclaw";#N/A,#N/A,FALSE,"Federal Way";#N/A,#N/A,FALSE,"Ferndale";#N/A,#N/A,FALSE,"Kent";#N/A,#N/A,FALSE,"Lacey";#N/A,#N/A,FALSE,"Mount Vernon";#N/A,#N/A,FALSE,"Oak Harbor";#N/A,#N/A,FALSE,"Redmond";#N/A,#N/A,FALSE,"Renton";#N/A,#N/A,FALSE,"Tenino"}</definedName>
    <definedName name="fdsafdasfdsa" localSheetId="2" hidden="1">{#N/A,#N/A,FALSE,"Month ";#N/A,#N/A,FALSE,"YTD";#N/A,#N/A,FALSE,"12 mo ended"}</definedName>
    <definedName name="fdsafdasfdsa" localSheetId="3" hidden="1">{#N/A,#N/A,FALSE,"Month ";#N/A,#N/A,FALSE,"YTD";#N/A,#N/A,FALSE,"12 mo ended"}</definedName>
    <definedName name="fdsafdasfdsa" hidden="1">{#N/A,#N/A,FALSE,"Month ";#N/A,#N/A,FALSE,"YTD";#N/A,#N/A,FALSE,"12 mo ended"}</definedName>
    <definedName name="FDSDFSF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FDSDFSF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FDSDFSF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fee" localSheetId="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e" localSheetId="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e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esses" localSheetId="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esses" localSheetId="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esses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e" localSheetId="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e" localSheetId="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e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ef" localSheetId="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ef" localSheetId="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ef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efefe" localSheetId="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efefe" localSheetId="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efefe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f" localSheetId="2" hidden="1">{#N/A,#N/A,FALSE,"Model";#N/A,#N/A,FALSE,"CapitalCosts"}</definedName>
    <definedName name="ff" localSheetId="3" hidden="1">{#N/A,#N/A,FALSE,"Model";#N/A,#N/A,FALSE,"CapitalCosts"}</definedName>
    <definedName name="ff" hidden="1">{#N/A,#N/A,FALSE,"Model";#N/A,#N/A,FALSE,"CapitalCosts"}</definedName>
    <definedName name="ffff" localSheetId="2" hidden="1">{#N/A,#N/A,FALSE,"Coversheet";#N/A,#N/A,FALSE,"QA"}</definedName>
    <definedName name="ffff" localSheetId="3" hidden="1">{#N/A,#N/A,FALSE,"Coversheet";#N/A,#N/A,FALSE,"QA"}</definedName>
    <definedName name="ffff" hidden="1">{#N/A,#N/A,FALSE,"Coversheet";#N/A,#N/A,FALSE,"QA"}</definedName>
    <definedName name="fffff" localSheetId="2" hidden="1">{"ALL",#N/A,FALSE,"A"}</definedName>
    <definedName name="fffff" localSheetId="3" hidden="1">{"ALL",#N/A,FALSE,"A"}</definedName>
    <definedName name="fffff" hidden="1">{"ALL",#N/A,FALSE,"A"}</definedName>
    <definedName name="fffgf" localSheetId="2" hidden="1">{#N/A,#N/A,FALSE,"Coversheet";#N/A,#N/A,FALSE,"QA"}</definedName>
    <definedName name="fffgf" localSheetId="3" hidden="1">{#N/A,#N/A,FALSE,"Coversheet";#N/A,#N/A,FALSE,"QA"}</definedName>
    <definedName name="fffgf" hidden="1">{#N/A,#N/A,FALSE,"Coversheet";#N/A,#N/A,FALSE,"QA"}</definedName>
    <definedName name="fghjghjfgjf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fghjghjfgjf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fghjghjfgjf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Fill" hidden="1">#REF!</definedName>
    <definedName name="fsdafasf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fsdafasf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fsdafasf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fsdfsad" localSheetId="2" hidden="1">{"ALL",#N/A,FALSE,"A"}</definedName>
    <definedName name="fsdfsad" localSheetId="3" hidden="1">{"ALL",#N/A,FALSE,"A"}</definedName>
    <definedName name="fsdfsad" hidden="1">{"ALL",#N/A,FALSE,"A"}</definedName>
    <definedName name="fsdfsfs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fsdfsfs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fsdfsfs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fsdfsfsdfasfa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fsdfsfsdfasfa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fsdfsfsdfasfa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fsfsfsafasf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fsfsfsafasf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fsfsfsafasf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fwrwerwerwerwer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fwrwerwerwerwer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fwrwerwerwerwer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GGG" hidden="1">#REF!</definedName>
    <definedName name="ghjgfj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ghjgfj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ghjgfj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ghjgfjfj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ghjgfjfj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ghjgfjfj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ghjgfjg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ghjgfjg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ghjgfjg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ghjgjgfjf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ghjgjgfjf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ghjgjgfjf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h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h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h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helllo" localSheetId="2" hidden="1">{#N/A,#N/A,FALSE,"Pg 6b CustCount_Gas";#N/A,#N/A,FALSE,"QA";#N/A,#N/A,FALSE,"Report";#N/A,#N/A,FALSE,"forecast"}</definedName>
    <definedName name="helllo" localSheetId="3" hidden="1">{#N/A,#N/A,FALSE,"Pg 6b CustCount_Gas";#N/A,#N/A,FALSE,"QA";#N/A,#N/A,FALSE,"Report";#N/A,#N/A,FALSE,"forecast"}</definedName>
    <definedName name="helllo" hidden="1">{#N/A,#N/A,FALSE,"Pg 6b CustCount_Gas";#N/A,#N/A,FALSE,"QA";#N/A,#N/A,FALSE,"Report";#N/A,#N/A,FALSE,"forecast"}</definedName>
    <definedName name="Hello" localSheetId="2" hidden="1">{#N/A,#N/A,FALSE,"Pg 6a CustCount_Electric";#N/A,#N/A,FALSE,"QA";"monthly",#N/A,FALSE,"Elect_Cust#Avg";"Year To Date",#N/A,FALSE,"Elect_Cust#Avg";"Rollling 12 months ended",#N/A,FALSE,"Elect_Cust#Avg";"Budget Month",#N/A,FALSE,"Electric";"Budget YTD",#N/A,FALSE,"Electric";"Budget 12 months",#N/A,FALSE,"Electric"}</definedName>
    <definedName name="Hello" localSheetId="3" hidden="1">{#N/A,#N/A,FALSE,"Pg 6a CustCount_Electric";#N/A,#N/A,FALSE,"QA";"monthly",#N/A,FALSE,"Elect_Cust#Avg";"Year To Date",#N/A,FALSE,"Elect_Cust#Avg";"Rollling 12 months ended",#N/A,FALSE,"Elect_Cust#Avg";"Budget Month",#N/A,FALSE,"Electric";"Budget YTD",#N/A,FALSE,"Electric";"Budget 12 months",#N/A,FALSE,"Electric"}</definedName>
    <definedName name="Hello" hidden="1">{#N/A,#N/A,FALSE,"Pg 6a CustCount_Electric";#N/A,#N/A,FALSE,"QA";"monthly",#N/A,FALSE,"Elect_Cust#Avg";"Year To Date",#N/A,FALSE,"Elect_Cust#Avg";"Rollling 12 months ended",#N/A,FALSE,"Elect_Cust#Avg";"Budget Month",#N/A,FALSE,"Electric";"Budget YTD",#N/A,FALSE,"Electric";"Budget 12 months",#N/A,FALSE,"Electric"}</definedName>
    <definedName name="HELP" localSheetId="2" hidden="1">{#N/A,#N/A,FALSE,"Coversheet";#N/A,#N/A,FALSE,"QA"}</definedName>
    <definedName name="HELP" localSheetId="3" hidden="1">{#N/A,#N/A,FALSE,"Coversheet";#N/A,#N/A,FALSE,"QA"}</definedName>
    <definedName name="HELP" hidden="1">{#N/A,#N/A,FALSE,"Coversheet";#N/A,#N/A,FALSE,"QA"}</definedName>
    <definedName name="hh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hh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hh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hj" localSheetId="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hj" localSheetId="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hj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hjfjghjgfjgj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hjfjghjgfjgj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hjfjghjgfjgj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hjghjgf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hjghjgf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hjghjgf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ht" localSheetId="2" hidden="1">{"'Server Configuration'!$A$1:$DB$281"}</definedName>
    <definedName name="ht" localSheetId="3" hidden="1">{"'Server Configuration'!$A$1:$DB$281"}</definedName>
    <definedName name="ht" hidden="1">{"'Server Configuration'!$A$1:$DB$281"}</definedName>
    <definedName name="ht_1" localSheetId="2" hidden="1">{"'Server Configuration'!$A$1:$DB$281"}</definedName>
    <definedName name="ht_1" localSheetId="3" hidden="1">{"'Server Configuration'!$A$1:$DB$281"}</definedName>
    <definedName name="ht_1" hidden="1">{"'Server Configuration'!$A$1:$DB$281"}</definedName>
    <definedName name="HTML_CodePage" hidden="1">1252</definedName>
    <definedName name="HTML_Control" localSheetId="2" hidden="1">{"'Server Configuration'!$A$1:$DB$281"}</definedName>
    <definedName name="HTML_Control" localSheetId="3" hidden="1">{"'Server Configuration'!$A$1:$DB$281"}</definedName>
    <definedName name="HTML_Control" hidden="1">{"'Server Configuration'!$A$1:$DB$281"}</definedName>
    <definedName name="HTML_Control_1" localSheetId="2" hidden="1">{"'Server Configuration'!$A$1:$DB$281"}</definedName>
    <definedName name="HTML_Control_1" localSheetId="3" hidden="1">{"'Server Configuration'!$A$1:$DB$281"}</definedName>
    <definedName name="HTML_Control_1" hidden="1">{"'Server Configuration'!$A$1:$DB$281"}</definedName>
    <definedName name="HTML_Control_2" localSheetId="2" hidden="1">{"'Server Configuration'!$A$1:$DB$281"}</definedName>
    <definedName name="HTML_Control_2" localSheetId="3" hidden="1">{"'Server Configuration'!$A$1:$DB$281"}</definedName>
    <definedName name="HTML_Control_2" hidden="1">{"'Server Configuration'!$A$1:$DB$281"}</definedName>
    <definedName name="HTML_Description" hidden="1">""</definedName>
    <definedName name="HTML_Email" hidden="1">""</definedName>
    <definedName name="HTML_Header" hidden="1">"Server Configuration"</definedName>
    <definedName name="HTML_LastUpdate" hidden="1">"2/9/01"</definedName>
    <definedName name="HTML_LineAfter" hidden="1">FALSE</definedName>
    <definedName name="HTML_LineBefore" hidden="1">FALSE</definedName>
    <definedName name="HTML_Name" hidden="1">"Corporate Network Services"</definedName>
    <definedName name="HTML_OBDlg2" hidden="1">TRUE</definedName>
    <definedName name="HTML_OBDlg4" hidden="1">TRUE</definedName>
    <definedName name="HTML_OS" hidden="1">0</definedName>
    <definedName name="HTML_PathFile" hidden="1">"C:\WINNT\Profiles\E003999\Desktop\MyHTML.htm"</definedName>
    <definedName name="HTML_Title" hidden="1">"Asset Tracking 2_9_01"</definedName>
    <definedName name="htmlcontrol2" localSheetId="2" hidden="1">{"'Fossil &amp; Nuclear BE Letter'!$A$1:$V$45"}</definedName>
    <definedName name="htmlcontrol2" localSheetId="3" hidden="1">{"'Fossil &amp; Nuclear BE Letter'!$A$1:$V$45"}</definedName>
    <definedName name="htmlcontrol2" hidden="1">{"'Fossil &amp; Nuclear BE Letter'!$A$1:$V$45"}</definedName>
    <definedName name="income_satement_ytd" localSheetId="2" hidden="1">{#N/A,#N/A,FALSE,"monthly";#N/A,#N/A,FALSE,"year to date";#N/A,#N/A,FALSE,"12_months_IS";#N/A,#N/A,FALSE,"balance sheet";#N/A,#N/A,FALSE,"op_revenues_12m";#N/A,#N/A,FALSE,"op_revenues_ytd";#N/A,#N/A,FALSE,"op_revenues_cm"}</definedName>
    <definedName name="income_satement_ytd" localSheetId="3" hidden="1">{#N/A,#N/A,FALSE,"monthly";#N/A,#N/A,FALSE,"year to date";#N/A,#N/A,FALSE,"12_months_IS";#N/A,#N/A,FALSE,"balance sheet";#N/A,#N/A,FALSE,"op_revenues_12m";#N/A,#N/A,FALSE,"op_revenues_ytd";#N/A,#N/A,FALSE,"op_revenues_cm"}</definedName>
    <definedName name="income_satement_ytd" hidden="1">{#N/A,#N/A,FALSE,"monthly";#N/A,#N/A,FALSE,"year to date";#N/A,#N/A,FALSE,"12_months_IS";#N/A,#N/A,FALSE,"balance sheet";#N/A,#N/A,FALSE,"op_revenues_12m";#N/A,#N/A,FALSE,"op_revenues_ytd";#N/A,#N/A,FALSE,"op_revenues_cm"}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39520.5924537037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ytd" localSheetId="2" hidden="1">{#N/A,#N/A,FALSE,"monthly";#N/A,#N/A,FALSE,"year to date";#N/A,#N/A,FALSE,"12_months_IS";#N/A,#N/A,FALSE,"balance sheet";#N/A,#N/A,FALSE,"op_revenues_12m";#N/A,#N/A,FALSE,"op_revenues_ytd";#N/A,#N/A,FALSE,"op_revenues_cm"}</definedName>
    <definedName name="ISytd" localSheetId="3" hidden="1">{#N/A,#N/A,FALSE,"monthly";#N/A,#N/A,FALSE,"year to date";#N/A,#N/A,FALSE,"12_months_IS";#N/A,#N/A,FALSE,"balance sheet";#N/A,#N/A,FALSE,"op_revenues_12m";#N/A,#N/A,FALSE,"op_revenues_ytd";#N/A,#N/A,FALSE,"op_revenues_cm"}</definedName>
    <definedName name="ISytd" hidden="1">{#N/A,#N/A,FALSE,"monthly";#N/A,#N/A,FALSE,"year to date";#N/A,#N/A,FALSE,"12_months_IS";#N/A,#N/A,FALSE,"balance sheet";#N/A,#N/A,FALSE,"op_revenues_12m";#N/A,#N/A,FALSE,"op_revenues_ytd";#N/A,#N/A,FALSE,"op_revenues_cm"}</definedName>
    <definedName name="Jane" localSheetId="2" hidden="1">{#N/A,#N/A,FALSE,"Expenditures";#N/A,#N/A,FALSE,"Property Placed In-Service";#N/A,#N/A,FALSE,"Removals";#N/A,#N/A,FALSE,"Retirements";#N/A,#N/A,FALSE,"CWIP Balances";#N/A,#N/A,FALSE,"CWIP_Expend_Ratios";#N/A,#N/A,FALSE,"CWIP_Yr_End"}</definedName>
    <definedName name="Jane" localSheetId="3" hidden="1">{#N/A,#N/A,FALSE,"Expenditures";#N/A,#N/A,FALSE,"Property Placed In-Service";#N/A,#N/A,FALSE,"Removals";#N/A,#N/A,FALSE,"Retirements";#N/A,#N/A,FALSE,"CWIP Balances";#N/A,#N/A,FALSE,"CWIP_Expend_Ratios";#N/A,#N/A,FALSE,"CWIP_Yr_End"}</definedName>
    <definedName name="Jane" hidden="1">{#N/A,#N/A,FALSE,"Expenditures";#N/A,#N/A,FALSE,"Property Placed In-Service";#N/A,#N/A,FALSE,"Removals";#N/A,#N/A,FALSE,"Retirements";#N/A,#N/A,FALSE,"CWIP Balances";#N/A,#N/A,FALSE,"CWIP_Expend_Ratios";#N/A,#N/A,FALSE,"CWIP_Yr_End"}</definedName>
    <definedName name="jeff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jeff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jeff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jfkljsdkljiejgr" localSheetId="2" hidden="1">{#N/A,#N/A,FALSE,"Summ";#N/A,#N/A,FALSE,"General"}</definedName>
    <definedName name="jfkljsdkljiejgr" localSheetId="3" hidden="1">{#N/A,#N/A,FALSE,"Summ";#N/A,#N/A,FALSE,"General"}</definedName>
    <definedName name="jfkljsdkljiejgr" hidden="1">{#N/A,#N/A,FALSE,"Summ";#N/A,#N/A,FALSE,"General"}</definedName>
    <definedName name="jghjgjgfjgj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jghjgjgfjgj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jghjgjgfjgj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jh" localSheetId="2" hidden="1">{"ALL",#N/A,FALSE,"A"}</definedName>
    <definedName name="jh" localSheetId="3" hidden="1">{"ALL",#N/A,FALSE,"A"}</definedName>
    <definedName name="jh" hidden="1">{"ALL",#N/A,FALSE,"A"}</definedName>
    <definedName name="John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John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John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jpg" localSheetId="2" hidden="1">{"detail305",#N/A,FALSE,"BI-305"}</definedName>
    <definedName name="jpg" localSheetId="3" hidden="1">{"detail305",#N/A,FALSE,"BI-305"}</definedName>
    <definedName name="jpg" hidden="1">{"detail305",#N/A,FALSE,"BI-305"}</definedName>
    <definedName name="k" localSheetId="2" hidden="1">{#N/A,#N/A,FALSE,"Bonney Lake";#N/A,#N/A,FALSE,"Bothell";#N/A,#N/A,FALSE,"Bremerton";#N/A,#N/A,FALSE,"Carnation";#N/A,#N/A,FALSE,"Cle Elum";#N/A,#N/A,FALSE,"Clyde Hill";#N/A,#N/A,FALSE,"Coupeville";#N/A,#N/A,FALSE,"Des Moines";#N/A,#N/A,FALSE,"Enumclaw";#N/A,#N/A,FALSE,"Federal Way";#N/A,#N/A,FALSE,"Ferndale";#N/A,#N/A,FALSE,"Kent";#N/A,#N/A,FALSE,"Lacey";#N/A,#N/A,FALSE,"Mount Vernon";#N/A,#N/A,FALSE,"Oak Harbor";#N/A,#N/A,FALSE,"Redmond";#N/A,#N/A,FALSE,"Renton";#N/A,#N/A,FALSE,"Tenino"}</definedName>
    <definedName name="k" localSheetId="3" hidden="1">{#N/A,#N/A,FALSE,"Bonney Lake";#N/A,#N/A,FALSE,"Bothell";#N/A,#N/A,FALSE,"Bremerton";#N/A,#N/A,FALSE,"Carnation";#N/A,#N/A,FALSE,"Cle Elum";#N/A,#N/A,FALSE,"Clyde Hill";#N/A,#N/A,FALSE,"Coupeville";#N/A,#N/A,FALSE,"Des Moines";#N/A,#N/A,FALSE,"Enumclaw";#N/A,#N/A,FALSE,"Federal Way";#N/A,#N/A,FALSE,"Ferndale";#N/A,#N/A,FALSE,"Kent";#N/A,#N/A,FALSE,"Lacey";#N/A,#N/A,FALSE,"Mount Vernon";#N/A,#N/A,FALSE,"Oak Harbor";#N/A,#N/A,FALSE,"Redmond";#N/A,#N/A,FALSE,"Renton";#N/A,#N/A,FALSE,"Tenino"}</definedName>
    <definedName name="k" hidden="1">{#N/A,#N/A,FALSE,"Bonney Lake";#N/A,#N/A,FALSE,"Bothell";#N/A,#N/A,FALSE,"Bremerton";#N/A,#N/A,FALSE,"Carnation";#N/A,#N/A,FALSE,"Cle Elum";#N/A,#N/A,FALSE,"Clyde Hill";#N/A,#N/A,FALSE,"Coupeville";#N/A,#N/A,FALSE,"Des Moines";#N/A,#N/A,FALSE,"Enumclaw";#N/A,#N/A,FALSE,"Federal Way";#N/A,#N/A,FALSE,"Ferndale";#N/A,#N/A,FALSE,"Kent";#N/A,#N/A,FALSE,"Lacey";#N/A,#N/A,FALSE,"Mount Vernon";#N/A,#N/A,FALSE,"Oak Harbor";#N/A,#N/A,FALSE,"Redmond";#N/A,#N/A,FALSE,"Renton";#N/A,#N/A,FALSE,"Tenino"}</definedName>
    <definedName name="K2_WBEVMODE" hidden="1">0</definedName>
    <definedName name="Key_1" hidden="1">#REF!</definedName>
    <definedName name="KeyE1" hidden="1">#REF!</definedName>
    <definedName name="kk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kk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kk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kkk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kkk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kkk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l" localSheetId="2" hidden="1">{#N/A,#N/A,FALSE,"Bonney Lake";#N/A,#N/A,FALSE,"Bothell";#N/A,#N/A,FALSE,"Bremerton";#N/A,#N/A,FALSE,"Carnation";#N/A,#N/A,FALSE,"Cle Elum";#N/A,#N/A,FALSE,"Clyde Hill";#N/A,#N/A,FALSE,"Coupeville";#N/A,#N/A,FALSE,"Des Moines";#N/A,#N/A,FALSE,"Enumclaw";#N/A,#N/A,FALSE,"Federal Way";#N/A,#N/A,FALSE,"Ferndale";#N/A,#N/A,FALSE,"Kent";#N/A,#N/A,FALSE,"Lacey";#N/A,#N/A,FALSE,"Mount Vernon";#N/A,#N/A,FALSE,"Oak Harbor";#N/A,#N/A,FALSE,"Redmond";#N/A,#N/A,FALSE,"Renton";#N/A,#N/A,FALSE,"Tenino"}</definedName>
    <definedName name="l" localSheetId="3" hidden="1">{#N/A,#N/A,FALSE,"Bonney Lake";#N/A,#N/A,FALSE,"Bothell";#N/A,#N/A,FALSE,"Bremerton";#N/A,#N/A,FALSE,"Carnation";#N/A,#N/A,FALSE,"Cle Elum";#N/A,#N/A,FALSE,"Clyde Hill";#N/A,#N/A,FALSE,"Coupeville";#N/A,#N/A,FALSE,"Des Moines";#N/A,#N/A,FALSE,"Enumclaw";#N/A,#N/A,FALSE,"Federal Way";#N/A,#N/A,FALSE,"Ferndale";#N/A,#N/A,FALSE,"Kent";#N/A,#N/A,FALSE,"Lacey";#N/A,#N/A,FALSE,"Mount Vernon";#N/A,#N/A,FALSE,"Oak Harbor";#N/A,#N/A,FALSE,"Redmond";#N/A,#N/A,FALSE,"Renton";#N/A,#N/A,FALSE,"Tenino"}</definedName>
    <definedName name="l" hidden="1">{#N/A,#N/A,FALSE,"Bonney Lake";#N/A,#N/A,FALSE,"Bothell";#N/A,#N/A,FALSE,"Bremerton";#N/A,#N/A,FALSE,"Carnation";#N/A,#N/A,FALSE,"Cle Elum";#N/A,#N/A,FALSE,"Clyde Hill";#N/A,#N/A,FALSE,"Coupeville";#N/A,#N/A,FALSE,"Des Moines";#N/A,#N/A,FALSE,"Enumclaw";#N/A,#N/A,FALSE,"Federal Way";#N/A,#N/A,FALSE,"Ferndale";#N/A,#N/A,FALSE,"Kent";#N/A,#N/A,FALSE,"Lacey";#N/A,#N/A,FALSE,"Mount Vernon";#N/A,#N/A,FALSE,"Oak Harbor";#N/A,#N/A,FALSE,"Redmond";#N/A,#N/A,FALSE,"Renton";#N/A,#N/A,FALSE,"Tenino"}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ilpuioopy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loilpuioopy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loilpuioopy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lookup" localSheetId="2" hidden="1">{#N/A,#N/A,FALSE,"Coversheet";#N/A,#N/A,FALSE,"QA"}</definedName>
    <definedName name="lookup" localSheetId="3" hidden="1">{#N/A,#N/A,FALSE,"Coversheet";#N/A,#N/A,FALSE,"QA"}</definedName>
    <definedName name="lookup" hidden="1">{#N/A,#N/A,FALSE,"Coversheet";#N/A,#N/A,FALSE,"QA"}</definedName>
    <definedName name="lsdfj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lsdfj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lsdfj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lsdjf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lsdjf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lsdjf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lsdjfl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lsdjfl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lsdjfl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lsdjfls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lsdjfls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lsdjfls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lsdjfsdl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lsdjfsdl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lsdjfsdl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lsdjfsl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lsdjfsl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lsdjfsl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lsjfls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lsjfls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lsjfls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Miller" localSheetId="2" hidden="1">{#N/A,#N/A,FALSE,"Expenditures";#N/A,#N/A,FALSE,"Property Placed In-Service";#N/A,#N/A,FALSE,"CWIP Balances"}</definedName>
    <definedName name="Miller" localSheetId="3" hidden="1">{#N/A,#N/A,FALSE,"Expenditures";#N/A,#N/A,FALSE,"Property Placed In-Service";#N/A,#N/A,FALSE,"CWIP Balances"}</definedName>
    <definedName name="Miller" hidden="1">{#N/A,#N/A,FALSE,"Expenditures";#N/A,#N/A,FALSE,"Property Placed In-Service";#N/A,#N/A,FALSE,"CWIP Balances"}</definedName>
    <definedName name="NCS" localSheetId="2" hidden="1">{"ISP1Y5",#N/A,TRUE,"Template";"ISP2Y5",#N/A,TRUE,"Template";"BSY5",#N/A,TRUE,"Template";"ICFY5",#N/A,TRUE,"Template";"TPY5",#N/A,TRUE,"Template";"CtrlY5",#N/A,TRUE,"Template"}</definedName>
    <definedName name="NCS" localSheetId="3" hidden="1">{"ISP1Y5",#N/A,TRUE,"Template";"ISP2Y5",#N/A,TRUE,"Template";"BSY5",#N/A,TRUE,"Template";"ICFY5",#N/A,TRUE,"Template";"TPY5",#N/A,TRUE,"Template";"CtrlY5",#N/A,TRUE,"Template"}</definedName>
    <definedName name="NCS" hidden="1">{"ISP1Y5",#N/A,TRUE,"Template";"ISP2Y5",#N/A,TRUE,"Template";"BSY5",#N/A,TRUE,"Template";"ICFY5",#N/A,TRUE,"Template";"TPY5",#N/A,TRUE,"Template";"CtrlY5",#N/A,TRUE,"Template"}</definedName>
    <definedName name="NCSCLB" localSheetId="2" hidden="1">{"'Server Configuration'!$A$1:$DB$281"}</definedName>
    <definedName name="NCSCLB" localSheetId="3" hidden="1">{"'Server Configuration'!$A$1:$DB$281"}</definedName>
    <definedName name="NCSCLB" hidden="1">{"'Server Configuration'!$A$1:$DB$281"}</definedName>
    <definedName name="new" localSheetId="2" hidden="1">{#N/A,#N/A,FALSE,"Summ";#N/A,#N/A,FALSE,"General"}</definedName>
    <definedName name="new" localSheetId="3" hidden="1">{#N/A,#N/A,FALSE,"Summ";#N/A,#N/A,FALSE,"General"}</definedName>
    <definedName name="new" hidden="1">{#N/A,#N/A,FALSE,"Summ";#N/A,#N/A,FALSE,"General"}</definedName>
    <definedName name="newer" localSheetId="2" hidden="1">{"ISP1Y1",#N/A,TRUE,"Template";"ISP2Y1",#N/A,TRUE,"Template";"BSY1",#N/A,TRUE,"Template";"ICFY1",#N/A,TRUE,"Template";"TPY1",#N/A,TRUE,"Template";"CtrlY1",#N/A,TRUE,"Template"}</definedName>
    <definedName name="newer" localSheetId="3" hidden="1">{"ISP1Y1",#N/A,TRUE,"Template";"ISP2Y1",#N/A,TRUE,"Template";"BSY1",#N/A,TRUE,"Template";"ICFY1",#N/A,TRUE,"Template";"TPY1",#N/A,TRUE,"Template";"CtrlY1",#N/A,TRUE,"Template"}</definedName>
    <definedName name="newer" hidden="1">{"ISP1Y1",#N/A,TRUE,"Template";"ISP2Y1",#N/A,TRUE,"Template";"BSY1",#N/A,TRUE,"Template";"ICFY1",#N/A,TRUE,"Template";"TPY1",#N/A,TRUE,"Template";"CtrlY1",#N/A,TRUE,"Template"}</definedName>
    <definedName name="Order1" hidden="1">255</definedName>
    <definedName name="p" localSheetId="2" hidden="1">{#N/A,#N/A,FALSE,"Pg 6a CustCount_Electric";#N/A,#N/A,FALSE,"QA";"monthly",#N/A,FALSE,"Elect_Cust#Avg";"Year To Date",#N/A,FALSE,"Elect_Cust#Avg";"Rollling 12 months ended",#N/A,FALSE,"Elect_Cust#Avg";"Budget Month",#N/A,FALSE,"Electric";"Budget YTD",#N/A,FALSE,"Electric";"Budget 12 months",#N/A,FALSE,"Electric"}</definedName>
    <definedName name="p" localSheetId="3" hidden="1">{#N/A,#N/A,FALSE,"Pg 6a CustCount_Electric";#N/A,#N/A,FALSE,"QA";"monthly",#N/A,FALSE,"Elect_Cust#Avg";"Year To Date",#N/A,FALSE,"Elect_Cust#Avg";"Rollling 12 months ended",#N/A,FALSE,"Elect_Cust#Avg";"Budget Month",#N/A,FALSE,"Electric";"Budget YTD",#N/A,FALSE,"Electric";"Budget 12 months",#N/A,FALSE,"Electric"}</definedName>
    <definedName name="p" hidden="1">{#N/A,#N/A,FALSE,"Pg 6a CustCount_Electric";#N/A,#N/A,FALSE,"QA";"monthly",#N/A,FALSE,"Elect_Cust#Avg";"Year To Date",#N/A,FALSE,"Elect_Cust#Avg";"Rollling 12 months ended",#N/A,FALSE,"Elect_Cust#Avg";"Budget Month",#N/A,FALSE,"Electric";"Budget YTD",#N/A,FALSE,"Electric";"Budget 12 months",#N/A,FALSE,"Electric"}</definedName>
    <definedName name="Pal_Workbook_GUID" hidden="1">"IZIH15KRJJAT3IT13F96CTG5"</definedName>
    <definedName name="perp" localSheetId="2" hidden="1">{#N/A,#N/A,FALSE,"Current Status";#N/A,#N/A,FALSE,"Graph 1";#N/A,#N/A,FALSE,"Graph 2";#N/A,#N/A,FALSE,"Graph 3"}</definedName>
    <definedName name="perp" localSheetId="3" hidden="1">{#N/A,#N/A,FALSE,"Current Status";#N/A,#N/A,FALSE,"Graph 1";#N/A,#N/A,FALSE,"Graph 2";#N/A,#N/A,FALSE,"Graph 3"}</definedName>
    <definedName name="perp" hidden="1">{#N/A,#N/A,FALSE,"Current Status";#N/A,#N/A,FALSE,"Graph 1";#N/A,#N/A,FALSE,"Graph 2";#N/A,#N/A,FALSE,"Graph 3"}</definedName>
    <definedName name="PGD" localSheetId="2" hidden="1">{"detail305",#N/A,FALSE,"BI-305"}</definedName>
    <definedName name="PGD" localSheetId="3" hidden="1">{"detail305",#N/A,FALSE,"BI-305"}</definedName>
    <definedName name="PGD" hidden="1">{"detail305",#N/A,FALSE,"BI-305"}</definedName>
    <definedName name="_xlnm.Print_Area" localSheetId="0">'P1. RD-1 to HP-RES'!$B$1:$S$77</definedName>
    <definedName name="_xlnm.Print_Area" localSheetId="1">'P2. RD-2 to HP-RES'!$B$1:$S$81</definedName>
    <definedName name="_xlnm.Print_Area" localSheetId="2">'P3. R3 with HP-RES'!$A$1:$I$34</definedName>
    <definedName name="_xlnm.Print_Area" localSheetId="3">'P4. R4 with HP-RES'!$A$4:$I$39</definedName>
    <definedName name="q" localSheetId="2" hidden="1">{#N/A,#N/A,FALSE,"Coversheet";#N/A,#N/A,FALSE,"QA"}</definedName>
    <definedName name="q" localSheetId="3" hidden="1">{#N/A,#N/A,FALSE,"Coversheet";#N/A,#N/A,FALSE,"QA"}</definedName>
    <definedName name="q" hidden="1">{#N/A,#N/A,FALSE,"Coversheet";#N/A,#N/A,FALSE,"QA"}</definedName>
    <definedName name="qqq" localSheetId="2" hidden="1">{#N/A,#N/A,FALSE,"schA"}</definedName>
    <definedName name="qqq" localSheetId="3" hidden="1">{#N/A,#N/A,FALSE,"schA"}</definedName>
    <definedName name="qqq" hidden="1">{#N/A,#N/A,FALSE,"schA"}</definedName>
    <definedName name="reawreqw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reawreqw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reawreqw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ultipleCPUSupportEnabled" hidden="1">TRUE</definedName>
    <definedName name="RiskSwapState" hidden="1">FALSE</definedName>
    <definedName name="Rusty" localSheetId="2" hidden="1">{"'Server Configuration'!$A$1:$DB$281"}</definedName>
    <definedName name="Rusty" localSheetId="3" hidden="1">{"'Server Configuration'!$A$1:$DB$281"}</definedName>
    <definedName name="Rusty" hidden="1">{"'Server Configuration'!$A$1:$DB$281"}</definedName>
    <definedName name="sada" localSheetId="2" hidden="1">{"summary",#N/A,FALSE,"PCR DIRECTORY"}</definedName>
    <definedName name="sada" localSheetId="3" hidden="1">{"summary",#N/A,FALSE,"PCR DIRECTORY"}</definedName>
    <definedName name="sada" hidden="1">{"summary",#N/A,FALSE,"PCR DIRECTORY"}</definedName>
    <definedName name="SAPBEXrevision" hidden="1">18</definedName>
    <definedName name="SAPBEXsysID" hidden="1">"BWP"</definedName>
    <definedName name="SAPBEXwbID" hidden="1">"3PHPFV8FO7PRQRDHFGKHVVOKV"</definedName>
    <definedName name="saSAsa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saSAsa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saSAsa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sdf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sdf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sdf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sdfaadfasdfasdaasdfsdf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sdfaadfasdfasdaasdfsdf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sdfaadfasdfasdaasdfsdf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sdfasdfasdfasdfasdfsdf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sdfasdfasdfasdfasdfsdf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sdfasdfasdfasdfasdfsdf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sdfds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sdfds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sdfds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sdfsdffsdfasfsdfsfasfsdfsfsdf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sdfsdffsdfasfsdfsfasfsdfsfsdf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sdfsdffsdfasfsdfsfasfsdfsfsdf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sdfsdfsfsa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sdfsdfsfsa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sdfsdfsfsa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sdgf" hidden="1">#REF!</definedName>
    <definedName name="sdlfhsdlhfkl" localSheetId="2" hidden="1">{#N/A,#N/A,FALSE,"Summ";#N/A,#N/A,FALSE,"General"}</definedName>
    <definedName name="sdlfhsdlhfkl" localSheetId="3" hidden="1">{#N/A,#N/A,FALSE,"Summ";#N/A,#N/A,FALSE,"General"}</definedName>
    <definedName name="sdlfhsdlhfkl" hidden="1">{#N/A,#N/A,FALSE,"Summ";#N/A,#N/A,FALSE,"General"}</definedName>
    <definedName name="seven" localSheetId="2" hidden="1">{#N/A,#N/A,FALSE,"CRPT";#N/A,#N/A,FALSE,"TREND";#N/A,#N/A,FALSE,"%Curve"}</definedName>
    <definedName name="seven" localSheetId="3" hidden="1">{#N/A,#N/A,FALSE,"CRPT";#N/A,#N/A,FALSE,"TREND";#N/A,#N/A,FALSE,"%Curve"}</definedName>
    <definedName name="seven" hidden="1">{#N/A,#N/A,FALSE,"CRPT";#N/A,#N/A,FALSE,"TREND";#N/A,#N/A,FALSE,"%Curve"}</definedName>
    <definedName name="sffsfa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sffsfa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sffsfa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SFSFD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SFSFD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SFSFD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Sheet1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Sheet1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Sheet1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six" localSheetId="2" hidden="1">{#N/A,#N/A,FALSE,"Drill Sites";"WP 212",#N/A,FALSE,"MWAG EOR";"WP 213",#N/A,FALSE,"MWAG EOR";#N/A,#N/A,FALSE,"Misc. Facility";#N/A,#N/A,FALSE,"WWTP"}</definedName>
    <definedName name="six" localSheetId="3" hidden="1">{#N/A,#N/A,FALSE,"Drill Sites";"WP 212",#N/A,FALSE,"MWAG EOR";"WP 213",#N/A,FALSE,"MWAG EOR";#N/A,#N/A,FALSE,"Misc. Facility";#N/A,#N/A,FALSE,"WWTP"}</definedName>
    <definedName name="six" hidden="1">{#N/A,#N/A,FALSE,"Drill Sites";"WP 212",#N/A,FALSE,"MWAG EOR";"WP 213",#N/A,FALSE,"MWAG EOR";#N/A,#N/A,FALSE,"Misc. Facility";#N/A,#N/A,FALSE,"WWTP"}</definedName>
    <definedName name="slldk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slldk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slldk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solver_adj" hidden="1">#REF!,#REF!,#REF!,#REF!,#REF!,#REF!,#REF!</definedName>
    <definedName name="solver_lin" hidden="1">0</definedName>
    <definedName name="solver_num" hidden="1">0</definedName>
    <definedName name="solver_tmp" hidden="1">#REF!,#REF!,#REF!,#REF!,#REF!,#REF!,#REF!</definedName>
    <definedName name="solver_typ" hidden="1">1</definedName>
    <definedName name="solver_val" hidden="1">0</definedName>
    <definedName name="Sort" hidden="1">#REF!</definedName>
    <definedName name="SortE" hidden="1">#REF!</definedName>
    <definedName name="t" localSheetId="2" hidden="1">{#N/A,#N/A,FALSE,"CESTSUM";#N/A,#N/A,FALSE,"est sum A";#N/A,#N/A,FALSE,"est detail A"}</definedName>
    <definedName name="t" localSheetId="3" hidden="1">{#N/A,#N/A,FALSE,"CESTSUM";#N/A,#N/A,FALSE,"est sum A";#N/A,#N/A,FALSE,"est detail A"}</definedName>
    <definedName name="t" hidden="1">{#N/A,#N/A,FALSE,"CESTSUM";#N/A,#N/A,FALSE,"est sum A";#N/A,#N/A,FALSE,"est detail A"}</definedName>
    <definedName name="tem" localSheetId="2" hidden="1">{#N/A,#N/A,FALSE,"Summ";#N/A,#N/A,FALSE,"General"}</definedName>
    <definedName name="tem" localSheetId="3" hidden="1">{#N/A,#N/A,FALSE,"Summ";#N/A,#N/A,FALSE,"General"}</definedName>
    <definedName name="tem" hidden="1">{#N/A,#N/A,FALSE,"Summ";#N/A,#N/A,FALSE,"General"}</definedName>
    <definedName name="temp" localSheetId="2" hidden="1">{#N/A,#N/A,FALSE,"Pg 6a CustCount_Electric";#N/A,#N/A,FALSE,"QA";"monthly",#N/A,FALSE,"Elect_Cust#Avg";"Year To Date",#N/A,FALSE,"Elect_Cust#Avg";"Rollling 12 months ended",#N/A,FALSE,"Elect_Cust#Avg";"Budget Month",#N/A,FALSE,"Electric";"Budget YTD",#N/A,FALSE,"Electric";"Budget 12 months",#N/A,FALSE,"Electric"}</definedName>
    <definedName name="temp" localSheetId="3" hidden="1">{#N/A,#N/A,FALSE,"Pg 6a CustCount_Electric";#N/A,#N/A,FALSE,"QA";"monthly",#N/A,FALSE,"Elect_Cust#Avg";"Year To Date",#N/A,FALSE,"Elect_Cust#Avg";"Rollling 12 months ended",#N/A,FALSE,"Elect_Cust#Avg";"Budget Month",#N/A,FALSE,"Electric";"Budget YTD",#N/A,FALSE,"Electric";"Budget 12 months",#N/A,FALSE,"Electric"}</definedName>
    <definedName name="temp" hidden="1">{#N/A,#N/A,FALSE,"Pg 6a CustCount_Electric";#N/A,#N/A,FALSE,"QA";"monthly",#N/A,FALSE,"Elect_Cust#Avg";"Year To Date",#N/A,FALSE,"Elect_Cust#Avg";"Rollling 12 months ended",#N/A,FALSE,"Elect_Cust#Avg";"Budget Month",#N/A,FALSE,"Electric";"Budget YTD",#N/A,FALSE,"Electric";"Budget 12 months",#N/A,FALSE,"Electric"}</definedName>
    <definedName name="Temp1" localSheetId="2" hidden="1">{#N/A,#N/A,FALSE,"CESTSUM";#N/A,#N/A,FALSE,"est sum A";#N/A,#N/A,FALSE,"est detail A"}</definedName>
    <definedName name="Temp1" localSheetId="3" hidden="1">{#N/A,#N/A,FALSE,"CESTSUM";#N/A,#N/A,FALSE,"est sum A";#N/A,#N/A,FALSE,"est detail A"}</definedName>
    <definedName name="Temp1" hidden="1">{#N/A,#N/A,FALSE,"CESTSUM";#N/A,#N/A,FALSE,"est sum A";#N/A,#N/A,FALSE,"est detail A"}</definedName>
    <definedName name="temp2" localSheetId="2" hidden="1">{#N/A,#N/A,FALSE,"CESTSUM";#N/A,#N/A,FALSE,"est sum A";#N/A,#N/A,FALSE,"est detail A"}</definedName>
    <definedName name="temp2" localSheetId="3" hidden="1">{#N/A,#N/A,FALSE,"CESTSUM";#N/A,#N/A,FALSE,"est sum A";#N/A,#N/A,FALSE,"est detail A"}</definedName>
    <definedName name="temp2" hidden="1">{#N/A,#N/A,FALSE,"CESTSUM";#N/A,#N/A,FALSE,"est sum A";#N/A,#N/A,FALSE,"est detail A"}</definedName>
    <definedName name="TextRefCopyRangeCount" hidden="1">5</definedName>
    <definedName name="TopRankDefaultDistForRange" hidden="1">0</definedName>
    <definedName name="TopRankDefaultMaxChange" hidden="1">0.1</definedName>
    <definedName name="TopRankDefaultMinChange" hidden="1">-0.1</definedName>
    <definedName name="TopRankDefaultMultiGroupSize" hidden="1">2</definedName>
    <definedName name="TopRankDefaultMultiStepsPerInput" hidden="1">2</definedName>
    <definedName name="TopRankDefaultRangeType" hidden="1">0</definedName>
    <definedName name="TopRankDefaultStepsPerInput" hidden="1">5</definedName>
    <definedName name="TopRankDetailByInputReport" hidden="1">FALSE</definedName>
    <definedName name="TopRankMaxInputsPerGraph" hidden="1">10</definedName>
    <definedName name="TopRankMultiWayReport" hidden="1">FALSE</definedName>
    <definedName name="TopRankNumberOfRuns" hidden="1">1</definedName>
    <definedName name="TopRankOnlyInputsOverThreshold" hidden="1">TRUE</definedName>
    <definedName name="TopRankOnlyTopRanking" hidden="1">TRUE</definedName>
    <definedName name="TopRankOutputDetailReport" hidden="1">FALSE</definedName>
    <definedName name="TopRankOutputsAsPercentChange" hidden="1">FALSE</definedName>
    <definedName name="TopRankOverwriteExisting" hidden="1">FALSE</definedName>
    <definedName name="TopRankPauseOnError" hidden="1">FALSE</definedName>
    <definedName name="TopRankPerformPrecedentScanAddOutput" hidden="1">FALSE</definedName>
    <definedName name="TopRankPerformPrecedentScanAtStart" hidden="1">TRUE</definedName>
    <definedName name="TopRankPrecedentScanType" hidden="1">1</definedName>
    <definedName name="TopRankReportAllOutputCells" hidden="1">TRUE</definedName>
    <definedName name="TopRankReportsInExistingWorkbook" hidden="1">FALSE</definedName>
    <definedName name="TopRankReportsInExistingWorkbookName" hidden="1">"Active Workbook"</definedName>
    <definedName name="TopRankReportsInNewWorkbook" hidden="1">TRUE</definedName>
    <definedName name="TopRankSensitivityGraphs" hidden="1">FALSE</definedName>
    <definedName name="TopRankSingleWorkbookAllResults" hidden="1">FALSE</definedName>
    <definedName name="TopRankSpiderGraphs" hidden="1">TRUE</definedName>
    <definedName name="TopRankTornadoGraphs" hidden="1">TRUE</definedName>
    <definedName name="TopRankUpdateDisplay" hidden="1">FALSE</definedName>
    <definedName name="TP_Footer_Path" hidden="1">"S:\74639\03RET\(417) 2004 Cost Projection\"</definedName>
    <definedName name="TP_Footer_Path1" hidden="1">"S:\74639\03RET\(852) Pension Val - OOS\Contribution Allocations\"</definedName>
    <definedName name="TP_Footer_User" hidden="1">"Mary Lou Barrios"</definedName>
    <definedName name="TP_Footer_Version" hidden="1">"v3.00"</definedName>
    <definedName name="tr" localSheetId="2" hidden="1">{#N/A,#N/A,FALSE,"CESTSUM";#N/A,#N/A,FALSE,"est sum A";#N/A,#N/A,FALSE,"est detail A"}</definedName>
    <definedName name="tr" localSheetId="3" hidden="1">{#N/A,#N/A,FALSE,"CESTSUM";#N/A,#N/A,FALSE,"est sum A";#N/A,#N/A,FALSE,"est detail A"}</definedName>
    <definedName name="tr" hidden="1">{#N/A,#N/A,FALSE,"CESTSUM";#N/A,#N/A,FALSE,"est sum A";#N/A,#N/A,FALSE,"est detail A"}</definedName>
    <definedName name="Transfer" hidden="1">#REF!</definedName>
    <definedName name="Transfers" hidden="1">#REF!</definedName>
    <definedName name="trth" localSheetId="2" hidden="1">{"ALL",#N/A,FALSE,"A"}</definedName>
    <definedName name="trth" localSheetId="3" hidden="1">{"ALL",#N/A,FALSE,"A"}</definedName>
    <definedName name="trth" hidden="1">{"ALL",#N/A,FALSE,"A"}</definedName>
    <definedName name="tyty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tyty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tyty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u" localSheetId="2" hidden="1">{#N/A,#N/A,FALSE,"Summ";#N/A,#N/A,FALSE,"General"}</definedName>
    <definedName name="u" localSheetId="3" hidden="1">{#N/A,#N/A,FALSE,"Summ";#N/A,#N/A,FALSE,"General"}</definedName>
    <definedName name="u" hidden="1">{#N/A,#N/A,FALSE,"Summ";#N/A,#N/A,FALSE,"General"}</definedName>
    <definedName name="v" localSheetId="2" hidden="1">{#N/A,#N/A,FALSE,"Coversheet";#N/A,#N/A,FALSE,"QA"}</definedName>
    <definedName name="v" localSheetId="3" hidden="1">{#N/A,#N/A,FALSE,"Coversheet";#N/A,#N/A,FALSE,"QA"}</definedName>
    <definedName name="v" hidden="1">{#N/A,#N/A,FALSE,"Coversheet";#N/A,#N/A,FALSE,"QA"}</definedName>
    <definedName name="Value" localSheetId="2" hidden="1">{#N/A,#N/A,FALSE,"Summ";#N/A,#N/A,FALSE,"General"}</definedName>
    <definedName name="Value" localSheetId="3" hidden="1">{#N/A,#N/A,FALSE,"Summ";#N/A,#N/A,FALSE,"General"}</definedName>
    <definedName name="Value" hidden="1">{#N/A,#N/A,FALSE,"Summ";#N/A,#N/A,FALSE,"General"}</definedName>
    <definedName name="vcbcvbcv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vcbcvbcv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vcbcvbcv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w" localSheetId="2" hidden="1">{#N/A,#N/A,FALSE,"Schedule F";#N/A,#N/A,FALSE,"Schedule G"}</definedName>
    <definedName name="w" localSheetId="3" hidden="1">{#N/A,#N/A,FALSE,"Schedule F";#N/A,#N/A,FALSE,"Schedule G"}</definedName>
    <definedName name="w" hidden="1">{#N/A,#N/A,FALSE,"Schedule F";#N/A,#N/A,FALSE,"Schedule G"}</definedName>
    <definedName name="we" localSheetId="2" hidden="1">{#N/A,#N/A,FALSE,"Pg 6b CustCount_Gas";#N/A,#N/A,FALSE,"QA";#N/A,#N/A,FALSE,"Report";#N/A,#N/A,FALSE,"forecast"}</definedName>
    <definedName name="we" localSheetId="3" hidden="1">{#N/A,#N/A,FALSE,"Pg 6b CustCount_Gas";#N/A,#N/A,FALSE,"QA";#N/A,#N/A,FALSE,"Report";#N/A,#N/A,FALSE,"forecast"}</definedName>
    <definedName name="we" hidden="1">{#N/A,#N/A,FALSE,"Pg 6b CustCount_Gas";#N/A,#N/A,FALSE,"QA";#N/A,#N/A,FALSE,"Report";#N/A,#N/A,FALSE,"forecast"}</definedName>
    <definedName name="wer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wer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wer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WH" localSheetId="2" hidden="1">{#N/A,#N/A,FALSE,"Coversheet";#N/A,#N/A,FALSE,"QA"}</definedName>
    <definedName name="WH" localSheetId="3" hidden="1">{#N/A,#N/A,FALSE,"Coversheet";#N/A,#N/A,FALSE,"QA"}</definedName>
    <definedName name="WH" hidden="1">{#N/A,#N/A,FALSE,"Coversheet";#N/A,#N/A,FALSE,"QA"}</definedName>
    <definedName name="wrn" localSheetId="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rn" localSheetId="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rn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rn.1._.Bi._.Monthly._.CR." localSheetId="2" hidden="1">{#N/A,#N/A,FALSE,"Drill Sites";"WP 212",#N/A,FALSE,"MWAG EOR";"WP 213",#N/A,FALSE,"MWAG EOR";#N/A,#N/A,FALSE,"Misc. Facility";#N/A,#N/A,FALSE,"WWTP"}</definedName>
    <definedName name="wrn.1._.Bi._.Monthly._.CR." localSheetId="3" hidden="1">{#N/A,#N/A,FALSE,"Drill Sites";"WP 212",#N/A,FALSE,"MWAG EOR";"WP 213",#N/A,FALSE,"MWAG EOR";#N/A,#N/A,FALSE,"Misc. Facility";#N/A,#N/A,FALSE,"WWTP"}</definedName>
    <definedName name="wrn.1._.Bi._.Monthly._.CR." hidden="1">{#N/A,#N/A,FALSE,"Drill Sites";"WP 212",#N/A,FALSE,"MWAG EOR";"WP 213",#N/A,FALSE,"MWAG EOR";#N/A,#N/A,FALSE,"Misc. Facility";#N/A,#N/A,FALSE,"WWTP"}</definedName>
    <definedName name="wrn.10_day._.Package." localSheetId="2" hidden="1">{#N/A,#N/A,FALSE,"Balance_Sheet";#N/A,#N/A,FALSE,"income_statement_monthly";#N/A,#N/A,FALSE,"income_statement_Quarter";#N/A,#N/A,FALSE,"income_statement_ytd";#N/A,#N/A,FALSE,"income_statement_12Months"}</definedName>
    <definedName name="wrn.10_day._.Package." localSheetId="3" hidden="1">{#N/A,#N/A,FALSE,"Balance_Sheet";#N/A,#N/A,FALSE,"income_statement_monthly";#N/A,#N/A,FALSE,"income_statement_Quarter";#N/A,#N/A,FALSE,"income_statement_ytd";#N/A,#N/A,FALSE,"income_statement_12Months"}</definedName>
    <definedName name="wrn.10_day._.Package." hidden="1">{#N/A,#N/A,FALSE,"Balance_Sheet";#N/A,#N/A,FALSE,"income_statement_monthly";#N/A,#N/A,FALSE,"income_statement_Quarter";#N/A,#N/A,FALSE,"income_statement_ytd";#N/A,#N/A,FALSE,"income_statement_12Months"}</definedName>
    <definedName name="wrn.AAI." localSheetId="2" hidden="1">{#N/A,#N/A,FALSE,"CRPT";#N/A,#N/A,FALSE,"TREND";#N/A,#N/A,FALSE,"%Curve"}</definedName>
    <definedName name="wrn.AAI." localSheetId="3" hidden="1">{#N/A,#N/A,FALSE,"CRPT";#N/A,#N/A,FALSE,"TREND";#N/A,#N/A,FALSE,"%Curve"}</definedName>
    <definedName name="wrn.AAI." hidden="1">{#N/A,#N/A,FALSE,"CRPT";#N/A,#N/A,FALSE,"TREND";#N/A,#N/A,FALSE,"%Curve"}</definedName>
    <definedName name="wrn.AAI._.Report." localSheetId="2" hidden="1">{#N/A,#N/A,FALSE,"CRPT";#N/A,#N/A,FALSE,"TREND";#N/A,#N/A,FALSE,"% CURVE"}</definedName>
    <definedName name="wrn.AAI._.Report." localSheetId="3" hidden="1">{#N/A,#N/A,FALSE,"CRPT";#N/A,#N/A,FALSE,"TREND";#N/A,#N/A,FALSE,"% CURVE"}</definedName>
    <definedName name="wrn.AAI._.Report." hidden="1">{#N/A,#N/A,FALSE,"CRPT";#N/A,#N/A,FALSE,"TREND";#N/A,#N/A,FALSE,"% CURVE"}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" localSheetId="2" hidden="1">{"model",#N/A,TRUE,"Model";"capital",#N/A,TRUE,"Capital";"o and m",#N/A,TRUE,"O&amp;M"}</definedName>
    <definedName name="wrn.all" localSheetId="3" hidden="1">{"model",#N/A,TRUE,"Model";"capital",#N/A,TRUE,"Capital";"o and m",#N/A,TRUE,"O&amp;M"}</definedName>
    <definedName name="wrn.all" hidden="1">{"model",#N/A,TRUE,"Model";"capital",#N/A,TRUE,"Capital";"o and m",#N/A,TRUE,"O&amp;M"}</definedName>
    <definedName name="wrn.ALL." localSheetId="2" hidden="1">{"ALL",#N/A,FALSE,"A"}</definedName>
    <definedName name="wrn.ALL." localSheetId="3" hidden="1">{"ALL",#N/A,FALSE,"A"}</definedName>
    <definedName name="wrn.ALL." hidden="1">{"ALL",#N/A,FALSE,"A"}</definedName>
    <definedName name="wrn.Annual_5yr." localSheetId="2" hidden="1">{"ISP1Y5",#N/A,TRUE,"Template";"ISP2Y5",#N/A,TRUE,"Template";"BSY5",#N/A,TRUE,"Template";"ICFY5",#N/A,TRUE,"Template";"TPY5",#N/A,TRUE,"Template";"CtrlY5",#N/A,TRUE,"Template"}</definedName>
    <definedName name="wrn.Annual_5yr." localSheetId="3" hidden="1">{"ISP1Y5",#N/A,TRUE,"Template";"ISP2Y5",#N/A,TRUE,"Template";"BSY5",#N/A,TRUE,"Template";"ICFY5",#N/A,TRUE,"Template";"TPY5",#N/A,TRUE,"Template";"CtrlY5",#N/A,TRUE,"Template"}</definedName>
    <definedName name="wrn.Annual_5yr." hidden="1">{"ISP1Y5",#N/A,TRUE,"Template";"ISP2Y5",#N/A,TRUE,"Template";"BSY5",#N/A,TRUE,"Template";"ICFY5",#N/A,TRUE,"Template";"TPY5",#N/A,TRUE,"Template";"CtrlY5",#N/A,TRUE,"Template"}</definedName>
    <definedName name="wrn.Annual_5yr._1" localSheetId="2" hidden="1">{"ISP1Y5",#N/A,TRUE,"Template";"ISP2Y5",#N/A,TRUE,"Template";"BSY5",#N/A,TRUE,"Template";"ICFY5",#N/A,TRUE,"Template";"TPY5",#N/A,TRUE,"Template";"CtrlY5",#N/A,TRUE,"Template"}</definedName>
    <definedName name="wrn.Annual_5yr._1" localSheetId="3" hidden="1">{"ISP1Y5",#N/A,TRUE,"Template";"ISP2Y5",#N/A,TRUE,"Template";"BSY5",#N/A,TRUE,"Template";"ICFY5",#N/A,TRUE,"Template";"TPY5",#N/A,TRUE,"Template";"CtrlY5",#N/A,TRUE,"Template"}</definedName>
    <definedName name="wrn.Annual_5yr._1" hidden="1">{"ISP1Y5",#N/A,TRUE,"Template";"ISP2Y5",#N/A,TRUE,"Template";"BSY5",#N/A,TRUE,"Template";"ICFY5",#N/A,TRUE,"Template";"TPY5",#N/A,TRUE,"Template";"CtrlY5",#N/A,TRUE,"Template"}</definedName>
    <definedName name="wrn.Annual_5yr._1_1" localSheetId="2" hidden="1">{"ISP1Y5",#N/A,TRUE,"Template";"ISP2Y5",#N/A,TRUE,"Template";"BSY5",#N/A,TRUE,"Template";"ICFY5",#N/A,TRUE,"Template";"TPY5",#N/A,TRUE,"Template";"CtrlY5",#N/A,TRUE,"Template"}</definedName>
    <definedName name="wrn.Annual_5yr._1_1" localSheetId="3" hidden="1">{"ISP1Y5",#N/A,TRUE,"Template";"ISP2Y5",#N/A,TRUE,"Template";"BSY5",#N/A,TRUE,"Template";"ICFY5",#N/A,TRUE,"Template";"TPY5",#N/A,TRUE,"Template";"CtrlY5",#N/A,TRUE,"Template"}</definedName>
    <definedName name="wrn.Annual_5yr._1_1" hidden="1">{"ISP1Y5",#N/A,TRUE,"Template";"ISP2Y5",#N/A,TRUE,"Template";"BSY5",#N/A,TRUE,"Template";"ICFY5",#N/A,TRUE,"Template";"TPY5",#N/A,TRUE,"Template";"CtrlY5",#N/A,TRUE,"Template"}</definedName>
    <definedName name="wrn.Anvil." localSheetId="2" hidden="1">{#N/A,#N/A,FALSE,"CRPT";#N/A,#N/A,FALSE,"PCS ";#N/A,#N/A,FALSE,"TREND";#N/A,#N/A,FALSE,"% CURVE";#N/A,#N/A,FALSE,"FWICALC";#N/A,#N/A,FALSE,"CONTINGENCY";#N/A,#N/A,FALSE,"7616 Fab";#N/A,#N/A,FALSE,"7616 NSK"}</definedName>
    <definedName name="wrn.Anvil." localSheetId="3" hidden="1">{#N/A,#N/A,FALSE,"CRPT";#N/A,#N/A,FALSE,"PCS ";#N/A,#N/A,FALSE,"TREND";#N/A,#N/A,FALSE,"% CURVE";#N/A,#N/A,FALSE,"FWICALC";#N/A,#N/A,FALSE,"CONTINGENCY";#N/A,#N/A,FALSE,"7616 Fab";#N/A,#N/A,FALSE,"7616 NSK"}</definedName>
    <definedName name="wrn.Anvil." hidden="1">{#N/A,#N/A,FALSE,"CRPT";#N/A,#N/A,FALSE,"PCS ";#N/A,#N/A,FALSE,"TREND";#N/A,#N/A,FALSE,"% CURVE";#N/A,#N/A,FALSE,"FWICALC";#N/A,#N/A,FALSE,"CONTINGENCY";#N/A,#N/A,FALSE,"7616 Fab";#N/A,#N/A,FALSE,"7616 NSK"}</definedName>
    <definedName name="wrn.Assets." localSheetId="2" hidden="1">{"ASSETS",#N/A,FALSE,"Assets"}</definedName>
    <definedName name="wrn.Assets." localSheetId="3" hidden="1">{"ASSETS",#N/A,FALSE,"Assets"}</definedName>
    <definedName name="wrn.Assets." hidden="1">{"ASSETS",#N/A,FALSE,"Assets"}</definedName>
    <definedName name="wrn.ASSOC_CO." localSheetId="2" hidden="1">{"ASSC_CO",#N/A,FALSE,"A"}</definedName>
    <definedName name="wrn.ASSOC_CO." localSheetId="3" hidden="1">{"ASSC_CO",#N/A,FALSE,"A"}</definedName>
    <definedName name="wrn.ASSOC_CO." hidden="1">{"ASSC_CO",#N/A,FALSE,"A"}</definedName>
    <definedName name="wrn.BS." localSheetId="2" hidden="1">{"BS",#N/A,FALSE,"A"}</definedName>
    <definedName name="wrn.BS." localSheetId="3" hidden="1">{"BS",#N/A,FALSE,"A"}</definedName>
    <definedName name="wrn.BS." hidden="1">{"BS",#N/A,FALSE,"A"}</definedName>
    <definedName name="wrn.CGAC." localSheetId="2" hidden="1">{"FormII",#N/A,FALSE,"Main";"GAF Summary",#N/A,FALSE,"Main";"Sendout",#N/A,FALSE,"Main";"Sales",#N/A,FALSE,"Main";"Commodity",#N/A,FALSE,"Main";"Remaining",#N/A,FALSE,"Main";"Demand",#N/A,FALSE,"Main";"Base",#N/A,FALSE,"Main";"NewCGA",#N/A,FALSE,"Main";"Working Capital",#N/A,FALSE,"Main";"IS&amp;CR",#N/A,FALSE,"Main";"IS&amp;CR Margin Cr.",#N/A,FALSE,"Main";"Sept CGA",#N/A,FALSE,"Main";"Adders",#N/A,FALSE,"Main";"IFC",#N/A,FALSE,"Main";"Refunds",#N/A,FALSE,"Main";"Bad Debt",#N/A,FALSE,"Main"}</definedName>
    <definedName name="wrn.CGAC." localSheetId="3" hidden="1">{"FormII",#N/A,FALSE,"Main";"GAF Summary",#N/A,FALSE,"Main";"Sendout",#N/A,FALSE,"Main";"Sales",#N/A,FALSE,"Main";"Commodity",#N/A,FALSE,"Main";"Remaining",#N/A,FALSE,"Main";"Demand",#N/A,FALSE,"Main";"Base",#N/A,FALSE,"Main";"NewCGA",#N/A,FALSE,"Main";"Working Capital",#N/A,FALSE,"Main";"IS&amp;CR",#N/A,FALSE,"Main";"IS&amp;CR Margin Cr.",#N/A,FALSE,"Main";"Sept CGA",#N/A,FALSE,"Main";"Adders",#N/A,FALSE,"Main";"IFC",#N/A,FALSE,"Main";"Refunds",#N/A,FALSE,"Main";"Bad Debt",#N/A,FALSE,"Main"}</definedName>
    <definedName name="wrn.CGAC." hidden="1">{"FormII",#N/A,FALSE,"Main";"GAF Summary",#N/A,FALSE,"Main";"Sendout",#N/A,FALSE,"Main";"Sales",#N/A,FALSE,"Main";"Commodity",#N/A,FALSE,"Main";"Remaining",#N/A,FALSE,"Main";"Demand",#N/A,FALSE,"Main";"Base",#N/A,FALSE,"Main";"NewCGA",#N/A,FALSE,"Main";"Working Capital",#N/A,FALSE,"Main";"IS&amp;CR",#N/A,FALSE,"Main";"IS&amp;CR Margin Cr.",#N/A,FALSE,"Main";"Sept CGA",#N/A,FALSE,"Main";"Adders",#N/A,FALSE,"Main";"IFC",#N/A,FALSE,"Main";"Refunds",#N/A,FALSE,"Main";"Bad Debt",#N/A,FALSE,"Main"}</definedName>
    <definedName name="wrn.Customer._.Counts._.Electric." localSheetId="2" hidden="1">{#N/A,#N/A,FALSE,"Pg 6a CustCount_Electric";#N/A,#N/A,FALSE,"QA";"monthly",#N/A,FALSE,"Elect_Cust#Avg";"Year To Date",#N/A,FALSE,"Elect_Cust#Avg";"Rollling 12 months ended",#N/A,FALSE,"Elect_Cust#Avg";"Budget Month",#N/A,FALSE,"Electric";"Budget YTD",#N/A,FALSE,"Electric";"Budget 12 months",#N/A,FALSE,"Electric"}</definedName>
    <definedName name="wrn.Customer._.Counts._.Electric." localSheetId="3" hidden="1">{#N/A,#N/A,FALSE,"Pg 6a CustCount_Electric";#N/A,#N/A,FALSE,"QA";"monthly",#N/A,FALSE,"Elect_Cust#Avg";"Year To Date",#N/A,FALSE,"Elect_Cust#Avg";"Rollling 12 months ended",#N/A,FALSE,"Elect_Cust#Avg";"Budget Month",#N/A,FALSE,"Electric";"Budget YTD",#N/A,FALSE,"Electric";"Budget 12 months",#N/A,FALSE,"Electric"}</definedName>
    <definedName name="wrn.Customer._.Counts._.Electric." hidden="1">{#N/A,#N/A,FALSE,"Pg 6a CustCount_Electric";#N/A,#N/A,FALSE,"QA";"monthly",#N/A,FALSE,"Elect_Cust#Avg";"Year To Date",#N/A,FALSE,"Elect_Cust#Avg";"Rollling 12 months ended",#N/A,FALSE,"Elect_Cust#Avg";"Budget Month",#N/A,FALSE,"Electric";"Budget YTD",#N/A,FALSE,"Electric";"Budget 12 months",#N/A,FALSE,"Electric"}</definedName>
    <definedName name="wrn.Customer._.Counts._.Gas." localSheetId="2" hidden="1">{#N/A,#N/A,FALSE,"Pg 6b CustCount_Gas";#N/A,#N/A,FALSE,"QA";#N/A,#N/A,FALSE,"Report";#N/A,#N/A,FALSE,"forecast"}</definedName>
    <definedName name="wrn.Customer._.Counts._.Gas." localSheetId="3" hidden="1">{#N/A,#N/A,FALSE,"Pg 6b CustCount_Gas";#N/A,#N/A,FALSE,"QA";#N/A,#N/A,FALSE,"Report";#N/A,#N/A,FALSE,"forecast"}</definedName>
    <definedName name="wrn.Customer._.Counts._.Gas." hidden="1">{#N/A,#N/A,FALSE,"Pg 6b CustCount_Gas";#N/A,#N/A,FALSE,"QA";#N/A,#N/A,FALSE,"Report";#N/A,#N/A,FALSE,"forecast"}</definedName>
    <definedName name="wrn.ECR." localSheetId="2" hidden="1">{#N/A,#N/A,FALSE,"schA"}</definedName>
    <definedName name="wrn.ECR." localSheetId="3" hidden="1">{#N/A,#N/A,FALSE,"schA"}</definedName>
    <definedName name="wrn.ECR." hidden="1">{#N/A,#N/A,FALSE,"schA"}</definedName>
    <definedName name="wrn.ESTIMATE." localSheetId="2" hidden="1">{#N/A,#N/A,FALSE,"CESTSUM";#N/A,#N/A,FALSE,"est sum A";#N/A,#N/A,FALSE,"est detail A"}</definedName>
    <definedName name="wrn.ESTIMATE." localSheetId="3" hidden="1">{#N/A,#N/A,FALSE,"CESTSUM";#N/A,#N/A,FALSE,"est sum A";#N/A,#N/A,FALSE,"est detail A"}</definedName>
    <definedName name="wrn.ESTIMATE." hidden="1">{#N/A,#N/A,FALSE,"CESTSUM";#N/A,#N/A,FALSE,"est sum A";#N/A,#N/A,FALSE,"est detail A"}</definedName>
    <definedName name="wrn.Full._.Pack." localSheetId="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rn.Full._.Pack." localSheetId="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rn.Full._.Pack.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rn.Fundamental." localSheetId="2" hidden="1">{#N/A,#N/A,TRUE,"CoverPage";#N/A,#N/A,TRUE,"Gas";#N/A,#N/A,TRUE,"Power";#N/A,#N/A,TRUE,"Historical DJ Mthly Prices"}</definedName>
    <definedName name="wrn.Fundamental." localSheetId="3" hidden="1">{#N/A,#N/A,TRUE,"CoverPage";#N/A,#N/A,TRUE,"Gas";#N/A,#N/A,TRUE,"Power";#N/A,#N/A,TRUE,"Historical DJ Mthly Prices"}</definedName>
    <definedName name="wrn.Fundamental." hidden="1">{#N/A,#N/A,TRUE,"CoverPage";#N/A,#N/A,TRUE,"Gas";#N/A,#N/A,TRUE,"Power";#N/A,#N/A,TRUE,"Historical DJ Mthly Prices"}</definedName>
    <definedName name="wrn.Fundamental2" localSheetId="2" hidden="1">{#N/A,#N/A,TRUE,"CoverPage";#N/A,#N/A,TRUE,"Gas";#N/A,#N/A,TRUE,"Power";#N/A,#N/A,TRUE,"Historical DJ Mthly Prices"}</definedName>
    <definedName name="wrn.Fundamental2" localSheetId="3" hidden="1">{#N/A,#N/A,TRUE,"CoverPage";#N/A,#N/A,TRUE,"Gas";#N/A,#N/A,TRUE,"Power";#N/A,#N/A,TRUE,"Historical DJ Mthly Prices"}</definedName>
    <definedName name="wrn.Fundamental2" hidden="1">{#N/A,#N/A,TRUE,"CoverPage";#N/A,#N/A,TRUE,"Gas";#N/A,#N/A,TRUE,"Power";#N/A,#N/A,TRUE,"Historical DJ Mthly Prices"}</definedName>
    <definedName name="wrn.IEO." localSheetId="2" hidden="1">{#N/A,#N/A,FALSE,"SUMMARY";#N/A,#N/A,FALSE,"AE7616";#N/A,#N/A,FALSE,"AE7617";#N/A,#N/A,FALSE,"AE7618";#N/A,#N/A,FALSE,"AE7619"}</definedName>
    <definedName name="wrn.IEO." localSheetId="3" hidden="1">{#N/A,#N/A,FALSE,"SUMMARY";#N/A,#N/A,FALSE,"AE7616";#N/A,#N/A,FALSE,"AE7617";#N/A,#N/A,FALSE,"AE7618";#N/A,#N/A,FALSE,"AE7619"}</definedName>
    <definedName name="wrn.IEO." hidden="1">{#N/A,#N/A,FALSE,"SUMMARY";#N/A,#N/A,FALSE,"AE7616";#N/A,#N/A,FALSE,"AE7617";#N/A,#N/A,FALSE,"AE7618";#N/A,#N/A,FALSE,"AE7619"}</definedName>
    <definedName name="wrn.Incentive._.Overhead." localSheetId="2" hidden="1">{#N/A,#N/A,FALSE,"Coversheet";#N/A,#N/A,FALSE,"QA"}</definedName>
    <definedName name="wrn.Incentive._.Overhead." localSheetId="3" hidden="1">{#N/A,#N/A,FALSE,"Coversheet";#N/A,#N/A,FALSE,"QA"}</definedName>
    <definedName name="wrn.Incentive._.Overhead." hidden="1">{#N/A,#N/A,FALSE,"Coversheet";#N/A,#N/A,FALSE,"QA"}</definedName>
    <definedName name="wrn.Key._.Pages." localSheetId="2" hidden="1">{#N/A,#N/A,FALSE,"Model";#N/A,#N/A,FALSE,"CapitalCosts"}</definedName>
    <definedName name="wrn.Key._.Pages." localSheetId="3" hidden="1">{#N/A,#N/A,FALSE,"Model";#N/A,#N/A,FALSE,"CapitalCosts"}</definedName>
    <definedName name="wrn.Key._.Pages." hidden="1">{#N/A,#N/A,FALSE,"Model";#N/A,#N/A,FALSE,"CapitalCosts"}</definedName>
    <definedName name="wrn.letter." localSheetId="2" hidden="1">{#N/A,#N/A,FALSE,"Current Status";#N/A,#N/A,FALSE,"Graph 1";#N/A,#N/A,FALSE,"Graph 2";#N/A,#N/A,FALSE,"Graph 3"}</definedName>
    <definedName name="wrn.letter." localSheetId="3" hidden="1">{#N/A,#N/A,FALSE,"Current Status";#N/A,#N/A,FALSE,"Graph 1";#N/A,#N/A,FALSE,"Graph 2";#N/A,#N/A,FALSE,"Graph 3"}</definedName>
    <definedName name="wrn.letter." hidden="1">{#N/A,#N/A,FALSE,"Current Status";#N/A,#N/A,FALSE,"Graph 1";#N/A,#N/A,FALSE,"Graph 2";#N/A,#N/A,FALSE,"Graph 3"}</definedName>
    <definedName name="wrn.Liab." localSheetId="2" hidden="1">{"LIAB",#N/A,FALSE,"Liab"}</definedName>
    <definedName name="wrn.Liab." localSheetId="3" hidden="1">{"LIAB",#N/A,FALSE,"Liab"}</definedName>
    <definedName name="wrn.Liab." hidden="1">{"LIAB",#N/A,FALSE,"Liab"}</definedName>
    <definedName name="wrn.limit_reports." localSheetId="2" hidden="1">{#N/A,#N/A,FALSE,"Schedule F";#N/A,#N/A,FALSE,"Schedule G"}</definedName>
    <definedName name="wrn.limit_reports." localSheetId="3" hidden="1">{#N/A,#N/A,FALSE,"Schedule F";#N/A,#N/A,FALSE,"Schedule G"}</definedName>
    <definedName name="wrn.limit_reports." hidden="1">{#N/A,#N/A,FALSE,"Schedule F";#N/A,#N/A,FALSE,"Schedule G"}</definedName>
    <definedName name="wrn.MARGIN_WO_QTR." localSheetId="2" hidden="1">{#N/A,#N/A,FALSE,"Month ";#N/A,#N/A,FALSE,"YTD";#N/A,#N/A,FALSE,"12 mo ended"}</definedName>
    <definedName name="wrn.MARGIN_WO_QTR." localSheetId="3" hidden="1">{#N/A,#N/A,FALSE,"Month ";#N/A,#N/A,FALSE,"YTD";#N/A,#N/A,FALSE,"12 mo ended"}</definedName>
    <definedName name="wrn.MARGIN_WO_QTR." hidden="1">{#N/A,#N/A,FALSE,"Month ";#N/A,#N/A,FALSE,"YTD";#N/A,#N/A,FALSE,"12 mo ended"}</definedName>
    <definedName name="wrn.Monthly_Yr1." localSheetId="2" hidden="1">{"ISP1Y1",#N/A,TRUE,"Template";"ISP2Y1",#N/A,TRUE,"Template";"BSY1",#N/A,TRUE,"Template";"ICFY1",#N/A,TRUE,"Template";"TPY1",#N/A,TRUE,"Template";"CtrlY1",#N/A,TRUE,"Template"}</definedName>
    <definedName name="wrn.Monthly_Yr1." localSheetId="3" hidden="1">{"ISP1Y1",#N/A,TRUE,"Template";"ISP2Y1",#N/A,TRUE,"Template";"BSY1",#N/A,TRUE,"Template";"ICFY1",#N/A,TRUE,"Template";"TPY1",#N/A,TRUE,"Template";"CtrlY1",#N/A,TRUE,"Template"}</definedName>
    <definedName name="wrn.Monthly_Yr1." hidden="1">{"ISP1Y1",#N/A,TRUE,"Template";"ISP2Y1",#N/A,TRUE,"Template";"BSY1",#N/A,TRUE,"Template";"ICFY1",#N/A,TRUE,"Template";"TPY1",#N/A,TRUE,"Template";"CtrlY1",#N/A,TRUE,"Template"}</definedName>
    <definedName name="wrn.Monthly_Yr1._1" localSheetId="2" hidden="1">{"ISP1Y1",#N/A,TRUE,"Template";"ISP2Y1",#N/A,TRUE,"Template";"BSY1",#N/A,TRUE,"Template";"ICFY1",#N/A,TRUE,"Template";"TPY1",#N/A,TRUE,"Template";"CtrlY1",#N/A,TRUE,"Template"}</definedName>
    <definedName name="wrn.Monthly_Yr1._1" localSheetId="3" hidden="1">{"ISP1Y1",#N/A,TRUE,"Template";"ISP2Y1",#N/A,TRUE,"Template";"BSY1",#N/A,TRUE,"Template";"ICFY1",#N/A,TRUE,"Template";"TPY1",#N/A,TRUE,"Template";"CtrlY1",#N/A,TRUE,"Template"}</definedName>
    <definedName name="wrn.Monthly_Yr1._1" hidden="1">{"ISP1Y1",#N/A,TRUE,"Template";"ISP2Y1",#N/A,TRUE,"Template";"BSY1",#N/A,TRUE,"Template";"ICFY1",#N/A,TRUE,"Template";"TPY1",#N/A,TRUE,"Template";"CtrlY1",#N/A,TRUE,"Template"}</definedName>
    <definedName name="wrn.Monthly_Yr1._1_1" localSheetId="2" hidden="1">{"ISP1Y1",#N/A,TRUE,"Template";"ISP2Y1",#N/A,TRUE,"Template";"BSY1",#N/A,TRUE,"Template";"ICFY1",#N/A,TRUE,"Template";"TPY1",#N/A,TRUE,"Template";"CtrlY1",#N/A,TRUE,"Template"}</definedName>
    <definedName name="wrn.Monthly_Yr1._1_1" localSheetId="3" hidden="1">{"ISP1Y1",#N/A,TRUE,"Template";"ISP2Y1",#N/A,TRUE,"Template";"BSY1",#N/A,TRUE,"Template";"ICFY1",#N/A,TRUE,"Template";"TPY1",#N/A,TRUE,"Template";"CtrlY1",#N/A,TRUE,"Template"}</definedName>
    <definedName name="wrn.Monthly_Yr1._1_1" hidden="1">{"ISP1Y1",#N/A,TRUE,"Template";"ISP2Y1",#N/A,TRUE,"Template";"BSY1",#N/A,TRUE,"Template";"ICFY1",#N/A,TRUE,"Template";"TPY1",#N/A,TRUE,"Template";"CtrlY1",#N/A,TRUE,"Template"}</definedName>
    <definedName name="wrn.monthly_yr2" localSheetId="2" hidden="1">{"ISP1Y1",#N/A,TRUE,"Template";"ISP2Y1",#N/A,TRUE,"Template";"BSY1",#N/A,TRUE,"Template";"ICFY1",#N/A,TRUE,"Template";"TPY1",#N/A,TRUE,"Template";"CtrlY1",#N/A,TRUE,"Template"}</definedName>
    <definedName name="wrn.monthly_yr2" localSheetId="3" hidden="1">{"ISP1Y1",#N/A,TRUE,"Template";"ISP2Y1",#N/A,TRUE,"Template";"BSY1",#N/A,TRUE,"Template";"ICFY1",#N/A,TRUE,"Template";"TPY1",#N/A,TRUE,"Template";"CtrlY1",#N/A,TRUE,"Template"}</definedName>
    <definedName name="wrn.monthly_yr2" hidden="1">{"ISP1Y1",#N/A,TRUE,"Template";"ISP2Y1",#N/A,TRUE,"Template";"BSY1",#N/A,TRUE,"Template";"ICFY1",#N/A,TRUE,"Template";"TPY1",#N/A,TRUE,"Template";"CtrlY1",#N/A,TRUE,"Template"}</definedName>
    <definedName name="wrn.Monthly_Yr2." localSheetId="2" hidden="1">{"ISP1Y2",#N/A,TRUE,"Template";"ISP2Y2",#N/A,TRUE,"Template";"BSY2",#N/A,TRUE,"Template";"ICFY2",#N/A,TRUE,"Template";"TPY2",#N/A,TRUE,"Template";"CtrlY2",#N/A,TRUE,"Template"}</definedName>
    <definedName name="wrn.Monthly_Yr2." localSheetId="3" hidden="1">{"ISP1Y2",#N/A,TRUE,"Template";"ISP2Y2",#N/A,TRUE,"Template";"BSY2",#N/A,TRUE,"Template";"ICFY2",#N/A,TRUE,"Template";"TPY2",#N/A,TRUE,"Template";"CtrlY2",#N/A,TRUE,"Template"}</definedName>
    <definedName name="wrn.Monthly_Yr2." hidden="1">{"ISP1Y2",#N/A,TRUE,"Template";"ISP2Y2",#N/A,TRUE,"Template";"BSY2",#N/A,TRUE,"Template";"ICFY2",#N/A,TRUE,"Template";"TPY2",#N/A,TRUE,"Template";"CtrlY2",#N/A,TRUE,"Template"}</definedName>
    <definedName name="wrn.Monthly_Yr2._1" localSheetId="2" hidden="1">{"ISP1Y2",#N/A,TRUE,"Template";"ISP2Y2",#N/A,TRUE,"Template";"BSY2",#N/A,TRUE,"Template";"ICFY2",#N/A,TRUE,"Template";"TPY2",#N/A,TRUE,"Template";"CtrlY2",#N/A,TRUE,"Template"}</definedName>
    <definedName name="wrn.Monthly_Yr2._1" localSheetId="3" hidden="1">{"ISP1Y2",#N/A,TRUE,"Template";"ISP2Y2",#N/A,TRUE,"Template";"BSY2",#N/A,TRUE,"Template";"ICFY2",#N/A,TRUE,"Template";"TPY2",#N/A,TRUE,"Template";"CtrlY2",#N/A,TRUE,"Template"}</definedName>
    <definedName name="wrn.Monthly_Yr2._1" hidden="1">{"ISP1Y2",#N/A,TRUE,"Template";"ISP2Y2",#N/A,TRUE,"Template";"BSY2",#N/A,TRUE,"Template";"ICFY2",#N/A,TRUE,"Template";"TPY2",#N/A,TRUE,"Template";"CtrlY2",#N/A,TRUE,"Template"}</definedName>
    <definedName name="wrn.Monthly_Yr2._1_1" localSheetId="2" hidden="1">{"ISP1Y2",#N/A,TRUE,"Template";"ISP2Y2",#N/A,TRUE,"Template";"BSY2",#N/A,TRUE,"Template";"ICFY2",#N/A,TRUE,"Template";"TPY2",#N/A,TRUE,"Template";"CtrlY2",#N/A,TRUE,"Template"}</definedName>
    <definedName name="wrn.Monthly_Yr2._1_1" localSheetId="3" hidden="1">{"ISP1Y2",#N/A,TRUE,"Template";"ISP2Y2",#N/A,TRUE,"Template";"BSY2",#N/A,TRUE,"Template";"ICFY2",#N/A,TRUE,"Template";"TPY2",#N/A,TRUE,"Template";"CtrlY2",#N/A,TRUE,"Template"}</definedName>
    <definedName name="wrn.Monthly_Yr2._1_1" hidden="1">{"ISP1Y2",#N/A,TRUE,"Template";"ISP2Y2",#N/A,TRUE,"Template";"BSY2",#N/A,TRUE,"Template";"ICFY2",#N/A,TRUE,"Template";"TPY2",#N/A,TRUE,"Template";"CtrlY2",#N/A,TRUE,"Template"}</definedName>
    <definedName name="wrn.Municipal._.Reports." localSheetId="2" hidden="1">{#N/A,#N/A,FALSE,"Bonney Lake";#N/A,#N/A,FALSE,"Bothell";#N/A,#N/A,FALSE,"Bremerton";#N/A,#N/A,FALSE,"Carnation";#N/A,#N/A,FALSE,"Cle Elum";#N/A,#N/A,FALSE,"Clyde Hill";#N/A,#N/A,FALSE,"Coupeville";#N/A,#N/A,FALSE,"Des Moines";#N/A,#N/A,FALSE,"Enumclaw";#N/A,#N/A,FALSE,"Federal Way";#N/A,#N/A,FALSE,"Ferndale";#N/A,#N/A,FALSE,"Kent";#N/A,#N/A,FALSE,"Lacey";#N/A,#N/A,FALSE,"Mount Vernon";#N/A,#N/A,FALSE,"Oak Harbor";#N/A,#N/A,FALSE,"Redmond";#N/A,#N/A,FALSE,"Renton";#N/A,#N/A,FALSE,"Tenino"}</definedName>
    <definedName name="wrn.Municipal._.Reports." localSheetId="3" hidden="1">{#N/A,#N/A,FALSE,"Bonney Lake";#N/A,#N/A,FALSE,"Bothell";#N/A,#N/A,FALSE,"Bremerton";#N/A,#N/A,FALSE,"Carnation";#N/A,#N/A,FALSE,"Cle Elum";#N/A,#N/A,FALSE,"Clyde Hill";#N/A,#N/A,FALSE,"Coupeville";#N/A,#N/A,FALSE,"Des Moines";#N/A,#N/A,FALSE,"Enumclaw";#N/A,#N/A,FALSE,"Federal Way";#N/A,#N/A,FALSE,"Ferndale";#N/A,#N/A,FALSE,"Kent";#N/A,#N/A,FALSE,"Lacey";#N/A,#N/A,FALSE,"Mount Vernon";#N/A,#N/A,FALSE,"Oak Harbor";#N/A,#N/A,FALSE,"Redmond";#N/A,#N/A,FALSE,"Renton";#N/A,#N/A,FALSE,"Tenino"}</definedName>
    <definedName name="wrn.Municipal._.Reports." hidden="1">{#N/A,#N/A,FALSE,"Bonney Lake";#N/A,#N/A,FALSE,"Bothell";#N/A,#N/A,FALSE,"Bremerton";#N/A,#N/A,FALSE,"Carnation";#N/A,#N/A,FALSE,"Cle Elum";#N/A,#N/A,FALSE,"Clyde Hill";#N/A,#N/A,FALSE,"Coupeville";#N/A,#N/A,FALSE,"Des Moines";#N/A,#N/A,FALSE,"Enumclaw";#N/A,#N/A,FALSE,"Federal Way";#N/A,#N/A,FALSE,"Ferndale";#N/A,#N/A,FALSE,"Kent";#N/A,#N/A,FALSE,"Lacey";#N/A,#N/A,FALSE,"Mount Vernon";#N/A,#N/A,FALSE,"Oak Harbor";#N/A,#N/A,FALSE,"Redmond";#N/A,#N/A,FALSE,"Renton";#N/A,#N/A,FALSE,"Tenino"}</definedName>
    <definedName name="wrn.NetWorth." localSheetId="2" hidden="1">{"NW",#N/A,FALSE,"STMT"}</definedName>
    <definedName name="wrn.NetWorth." localSheetId="3" hidden="1">{"NW",#N/A,FALSE,"STMT"}</definedName>
    <definedName name="wrn.NetWorth." hidden="1">{"NW",#N/A,FALSE,"STMT"}</definedName>
    <definedName name="wrn.page1." localSheetId="2" hidden="1">{"page1",#N/A,FALSE,"260"}</definedName>
    <definedName name="wrn.page1." localSheetId="3" hidden="1">{"page1",#N/A,FALSE,"260"}</definedName>
    <definedName name="wrn.page1." hidden="1">{"page1",#N/A,FALSE,"260"}</definedName>
    <definedName name="wrn.Pfd." localSheetId="2" hidden="1">{"Pfd",#N/A,FALSE,"Pfd"}</definedName>
    <definedName name="wrn.Pfd." localSheetId="3" hidden="1">{"Pfd",#N/A,FALSE,"Pfd"}</definedName>
    <definedName name="wrn.Pfd." hidden="1">{"Pfd",#N/A,FALSE,"Pfd"}</definedName>
    <definedName name="wrn.PrintAll.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wrn.PrintAll.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wrn.PrintAll.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wrn.Project._.Services." localSheetId="2" hidden="1">{#N/A,#N/A,FALSE,"BASE";#N/A,#N/A,FALSE,"LOOPS";#N/A,#N/A,FALSE,"PLC"}</definedName>
    <definedName name="wrn.Project._.Services." localSheetId="3" hidden="1">{#N/A,#N/A,FALSE,"BASE";#N/A,#N/A,FALSE,"LOOPS";#N/A,#N/A,FALSE,"PLC"}</definedName>
    <definedName name="wrn.Project._.Services." hidden="1">{#N/A,#N/A,FALSE,"BASE";#N/A,#N/A,FALSE,"LOOPS";#N/A,#N/A,FALSE,"PLC"}</definedName>
    <definedName name="wrn.Quick._.Print." localSheetId="2" hidden="1">{#N/A,#N/A,FALSE,"Summary";#N/A,#N/A,FALSE,"Data";#N/A,#N/A,FALSE,"Proj Op Inc";#N/A,#N/A,FALSE,"Proj CF";#N/A,#N/A,FALSE,"Proj Val"}</definedName>
    <definedName name="wrn.Quick._.Print." localSheetId="3" hidden="1">{#N/A,#N/A,FALSE,"Summary";#N/A,#N/A,FALSE,"Data";#N/A,#N/A,FALSE,"Proj Op Inc";#N/A,#N/A,FALSE,"Proj CF";#N/A,#N/A,FALSE,"Proj Val"}</definedName>
    <definedName name="wrn.Quick._.Print." hidden="1">{#N/A,#N/A,FALSE,"Summary";#N/A,#N/A,FALSE,"Data";#N/A,#N/A,FALSE,"Proj Op Inc";#N/A,#N/A,FALSE,"Proj CF";#N/A,#N/A,FALSE,"Proj Val"}</definedName>
    <definedName name="wrn.R_D._.Tax._.Services." localSheetId="2" hidden="1">{#N/A,#N/A,FALSE,"R&amp;D Quick Calc";#N/A,#N/A,FALSE,"DOE Fee Schedule"}</definedName>
    <definedName name="wrn.R_D._.Tax._.Services." localSheetId="3" hidden="1">{#N/A,#N/A,FALSE,"R&amp;D Quick Calc";#N/A,#N/A,FALSE,"DOE Fee Schedule"}</definedName>
    <definedName name="wrn.R_D._.Tax._.Services." hidden="1">{#N/A,#N/A,FALSE,"R&amp;D Quick Calc";#N/A,#N/A,FALSE,"DOE Fee Schedule"}</definedName>
    <definedName name="wrn.SCHED._.BC." localSheetId="2" hidden="1">{"SCHED_B&amp;C",#N/A,FALSE,"A"}</definedName>
    <definedName name="wrn.SCHED._.BC." localSheetId="3" hidden="1">{"SCHED_B&amp;C",#N/A,FALSE,"A"}</definedName>
    <definedName name="wrn.SCHED._.BC." hidden="1">{"SCHED_B&amp;C",#N/A,FALSE,"A"}</definedName>
    <definedName name="wrn.SCHED._.DE." localSheetId="2" hidden="1">{"SCHED_D&amp;E",#N/A,FALSE,"A"}</definedName>
    <definedName name="wrn.SCHED._.DE." localSheetId="3" hidden="1">{"SCHED_D&amp;E",#N/A,FALSE,"A"}</definedName>
    <definedName name="wrn.SCHED._.DE." hidden="1">{"SCHED_D&amp;E",#N/A,FALSE,"A"}</definedName>
    <definedName name="wrn.SCHEDULE." localSheetId="2" hidden="1">{#N/A,#N/A,FALSE,"7617 Fab";#N/A,#N/A,FALSE,"7617 NSK"}</definedName>
    <definedName name="wrn.SCHEDULE." localSheetId="3" hidden="1">{#N/A,#N/A,FALSE,"7617 Fab";#N/A,#N/A,FALSE,"7617 NSK"}</definedName>
    <definedName name="wrn.SCHEDULE." hidden="1">{#N/A,#N/A,FALSE,"7617 Fab";#N/A,#N/A,FALSE,"7617 NSK"}</definedName>
    <definedName name="wrn.SHEDA." localSheetId="2" hidden="1">{"SCHED_A",#N/A,FALSE,"A"}</definedName>
    <definedName name="wrn.SHEDA." localSheetId="3" hidden="1">{"SCHED_A",#N/A,FALSE,"A"}</definedName>
    <definedName name="wrn.SHEDA." hidden="1">{"SCHED_A",#N/A,FALSE,"A"}</definedName>
    <definedName name="wrn.SLB." localSheetId="2" hidden="1">{#N/A,#N/A,FALSE,"SUMMARY";#N/A,#N/A,FALSE,"AE7616";#N/A,#N/A,FALSE,"AE7617";#N/A,#N/A,FALSE,"AE7618";#N/A,#N/A,FALSE,"AE7619";#N/A,#N/A,FALSE,"Target Materials"}</definedName>
    <definedName name="wrn.SLB." localSheetId="3" hidden="1">{#N/A,#N/A,FALSE,"SUMMARY";#N/A,#N/A,FALSE,"AE7616";#N/A,#N/A,FALSE,"AE7617";#N/A,#N/A,FALSE,"AE7618";#N/A,#N/A,FALSE,"AE7619";#N/A,#N/A,FALSE,"Target Materials"}</definedName>
    <definedName name="wrn.SLB." hidden="1">{#N/A,#N/A,FALSE,"SUMMARY";#N/A,#N/A,FALSE,"AE7616";#N/A,#N/A,FALSE,"AE7617";#N/A,#N/A,FALSE,"AE7618";#N/A,#N/A,FALSE,"AE7619";#N/A,#N/A,FALSE,"Target Materials"}</definedName>
    <definedName name="wrn.Small._.Tools._.Overhead." localSheetId="2" hidden="1">{#N/A,#N/A,FALSE,"2002 Small Tool OH";#N/A,#N/A,FALSE,"QA"}</definedName>
    <definedName name="wrn.Small._.Tools._.Overhead." localSheetId="3" hidden="1">{#N/A,#N/A,FALSE,"2002 Small Tool OH";#N/A,#N/A,FALSE,"QA"}</definedName>
    <definedName name="wrn.Small._.Tools._.Overhead." hidden="1">{#N/A,#N/A,FALSE,"2002 Small Tool OH";#N/A,#N/A,FALSE,"QA"}</definedName>
    <definedName name="wrn.Summary." localSheetId="2" hidden="1">{#N/A,#N/A,FALSE,"Summ";#N/A,#N/A,FALSE,"General"}</definedName>
    <definedName name="wrn.Summary." localSheetId="3" hidden="1">{#N/A,#N/A,FALSE,"Summ";#N/A,#N/A,FALSE,"General"}</definedName>
    <definedName name="wrn.Summary." hidden="1">{#N/A,#N/A,FALSE,"Summ";#N/A,#N/A,FALSE,"General"}</definedName>
    <definedName name="wrn.Temp." localSheetId="2" hidden="1">{"Working Capital",#N/A,FALSE,"Main";"Sept CGA",#N/A,FALSE,"Main";"Adders",#N/A,FALSE,"Main";"Bad Debt",#N/A,FALSE,"Main"}</definedName>
    <definedName name="wrn.Temp." localSheetId="3" hidden="1">{"Working Capital",#N/A,FALSE,"Main";"Sept CGA",#N/A,FALSE,"Main";"Adders",#N/A,FALSE,"Main";"Bad Debt",#N/A,FALSE,"Main"}</definedName>
    <definedName name="wrn.Temp." hidden="1">{"Working Capital",#N/A,FALSE,"Main";"Sept CGA",#N/A,FALSE,"Main";"Adders",#N/A,FALSE,"Main";"Bad Debt",#N/A,FALSE,"Main"}</definedName>
    <definedName name="wrn.USIM_Data." localSheetId="2" hidden="1">{#N/A,#N/A,FALSE,"Expenditures";#N/A,#N/A,FALSE,"Property Placed In-Service";#N/A,#N/A,FALSE,"Removals";#N/A,#N/A,FALSE,"Retirements";#N/A,#N/A,FALSE,"CWIP Balances";#N/A,#N/A,FALSE,"CWIP_Expend_Ratios";#N/A,#N/A,FALSE,"CWIP_Yr_End";#N/A,#N/A,FALSE,"Nuc_Fuel";#N/A,#N/A,FALSE,"New_Gen";#N/A,#N/A,FALSE,"New_Trans";#N/A,#N/A,FALSE,"DSM";#N/A,#N/A,FALSE,"Factors"}</definedName>
    <definedName name="wrn.USIM_Data." localSheetId="3" hidden="1">{#N/A,#N/A,FALSE,"Expenditures";#N/A,#N/A,FALSE,"Property Placed In-Service";#N/A,#N/A,FALSE,"Removals";#N/A,#N/A,FALSE,"Retirements";#N/A,#N/A,FALSE,"CWIP Balances";#N/A,#N/A,FALSE,"CWIP_Expend_Ratios";#N/A,#N/A,FALSE,"CWIP_Yr_End";#N/A,#N/A,FALSE,"Nuc_Fuel";#N/A,#N/A,FALSE,"New_Gen";#N/A,#N/A,FALSE,"New_Trans";#N/A,#N/A,FALSE,"DSM";#N/A,#N/A,FALSE,"Factors"}</definedName>
    <definedName name="wrn.USIM_Data." hidden="1">{#N/A,#N/A,FALSE,"Expenditures";#N/A,#N/A,FALSE,"Property Placed In-Service";#N/A,#N/A,FALSE,"Removals";#N/A,#N/A,FALSE,"Retirements";#N/A,#N/A,FALSE,"CWIP Balances";#N/A,#N/A,FALSE,"CWIP_Expend_Ratios";#N/A,#N/A,FALSE,"CWIP_Yr_End";#N/A,#N/A,FALSE,"Nuc_Fuel";#N/A,#N/A,FALSE,"New_Gen";#N/A,#N/A,FALSE,"New_Trans";#N/A,#N/A,FALSE,"DSM";#N/A,#N/A,FALSE,"Factors"}</definedName>
    <definedName name="wrn.USIM_Data_Abbrev." localSheetId="2" hidden="1">{#N/A,#N/A,FALSE,"Expenditures";#N/A,#N/A,FALSE,"Property Placed In-Service";#N/A,#N/A,FALSE,"Removals";#N/A,#N/A,FALSE,"Retirements";#N/A,#N/A,FALSE,"CWIP Balances";#N/A,#N/A,FALSE,"CWIP_Expend_Ratios";#N/A,#N/A,FALSE,"CWIP_Yr_End"}</definedName>
    <definedName name="wrn.USIM_Data_Abbrev." localSheetId="3" hidden="1">{#N/A,#N/A,FALSE,"Expenditures";#N/A,#N/A,FALSE,"Property Placed In-Service";#N/A,#N/A,FALSE,"Removals";#N/A,#N/A,FALSE,"Retirements";#N/A,#N/A,FALSE,"CWIP Balances";#N/A,#N/A,FALSE,"CWIP_Expend_Ratios";#N/A,#N/A,FALSE,"CWIP_Yr_End"}</definedName>
    <definedName name="wrn.USIM_Data_Abbrev." hidden="1">{#N/A,#N/A,FALSE,"Expenditures";#N/A,#N/A,FALSE,"Property Placed In-Service";#N/A,#N/A,FALSE,"Removals";#N/A,#N/A,FALSE,"Retirements";#N/A,#N/A,FALSE,"CWIP Balances";#N/A,#N/A,FALSE,"CWIP_Expend_Ratios";#N/A,#N/A,FALSE,"CWIP_Yr_End"}</definedName>
    <definedName name="wrn.USIM_Data_Abbrev3." localSheetId="2" hidden="1">{#N/A,#N/A,FALSE,"Expenditures";#N/A,#N/A,FALSE,"Property Placed In-Service";#N/A,#N/A,FALSE,"CWIP Balances"}</definedName>
    <definedName name="wrn.USIM_Data_Abbrev3." localSheetId="3" hidden="1">{#N/A,#N/A,FALSE,"Expenditures";#N/A,#N/A,FALSE,"Property Placed In-Service";#N/A,#N/A,FALSE,"CWIP Balances"}</definedName>
    <definedName name="wrn.USIM_Data_Abbrev3." hidden="1">{#N/A,#N/A,FALSE,"Expenditures";#N/A,#N/A,FALSE,"Property Placed In-Service";#N/A,#N/A,FALSE,"CWIP Balances"}</definedName>
    <definedName name="wrn.VERIFY." localSheetId="2" hidden="1">{#N/A,#N/A,FALSE,"income statement verification";#N/A,#N/A,FALSE,"balance sheet verification";#N/A,#N/A,FALSE,"income statement verificati (2)";#N/A,#N/A,FALSE,"balance sheet verification (2)";#N/A,#N/A,FALSE,"income statement verificati (3)";#N/A,#N/A,FALSE,"balance sheet verification (3)"}</definedName>
    <definedName name="wrn.VERIFY." localSheetId="3" hidden="1">{#N/A,#N/A,FALSE,"income statement verification";#N/A,#N/A,FALSE,"balance sheet verification";#N/A,#N/A,FALSE,"income statement verificati (2)";#N/A,#N/A,FALSE,"balance sheet verification (2)";#N/A,#N/A,FALSE,"income statement verificati (3)";#N/A,#N/A,FALSE,"balance sheet verification (3)"}</definedName>
    <definedName name="wrn.VERIFY." hidden="1">{#N/A,#N/A,FALSE,"income statement verification";#N/A,#N/A,FALSE,"balance sheet verification";#N/A,#N/A,FALSE,"income statement verificati (2)";#N/A,#N/A,FALSE,"balance sheet verification (2)";#N/A,#N/A,FALSE,"income statement verificati (3)";#N/A,#N/A,FALSE,"balance sheet verification (3)"}</definedName>
    <definedName name="wrn2.all" localSheetId="2" hidden="1">{"summary 1",#N/A,TRUE,"Summary";"summary 2",#N/A,TRUE,"Summary";"chart",#N/A,TRUE,"summary chart";"model",#N/A,TRUE,"Model";"capital",#N/A,TRUE,"Capital";"maint",#N/A,TRUE,"Maintenance"}</definedName>
    <definedName name="wrn2.all" localSheetId="3" hidden="1">{"summary 1",#N/A,TRUE,"Summary";"summary 2",#N/A,TRUE,"Summary";"chart",#N/A,TRUE,"summary chart";"model",#N/A,TRUE,"Model";"capital",#N/A,TRUE,"Capital";"maint",#N/A,TRUE,"Maintenance"}</definedName>
    <definedName name="wrn2.all" hidden="1">{"summary 1",#N/A,TRUE,"Summary";"summary 2",#N/A,TRUE,"Summary";"chart",#N/A,TRUE,"summary chart";"model",#N/A,TRUE,"Model";"capital",#N/A,TRUE,"Capital";"maint",#N/A,TRUE,"Maintenance"}</definedName>
    <definedName name="wrnletter2" localSheetId="2" hidden="1">{#N/A,#N/A,FALSE,"Current Status";#N/A,#N/A,FALSE,"Graph 1";#N/A,#N/A,FALSE,"Graph 2";#N/A,#N/A,FALSE,"Graph 3"}</definedName>
    <definedName name="wrnletter2" localSheetId="3" hidden="1">{#N/A,#N/A,FALSE,"Current Status";#N/A,#N/A,FALSE,"Graph 1";#N/A,#N/A,FALSE,"Graph 2";#N/A,#N/A,FALSE,"Graph 3"}</definedName>
    <definedName name="wrnletter2" hidden="1">{#N/A,#N/A,FALSE,"Current Status";#N/A,#N/A,FALSE,"Graph 1";#N/A,#N/A,FALSE,"Graph 2";#N/A,#N/A,FALSE,"Graph 3"}</definedName>
    <definedName name="wtf" localSheetId="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tf" localSheetId="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tf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ww" localSheetId="2" hidden="1">{#N/A,#N/A,FALSE,"schA"}</definedName>
    <definedName name="www" localSheetId="3" hidden="1">{#N/A,#N/A,FALSE,"schA"}</definedName>
    <definedName name="www" hidden="1">{#N/A,#N/A,FALSE,"schA"}</definedName>
    <definedName name="x" localSheetId="2" hidden="1">{#N/A,#N/A,FALSE,"Coversheet";#N/A,#N/A,FALSE,"QA"}</definedName>
    <definedName name="x" localSheetId="3" hidden="1">{#N/A,#N/A,FALSE,"Coversheet";#N/A,#N/A,FALSE,"QA"}</definedName>
    <definedName name="x" hidden="1">{#N/A,#N/A,FALSE,"Coversheet";#N/A,#N/A,FALSE,"QA"}</definedName>
    <definedName name="xx" localSheetId="2" hidden="1">{#N/A,#N/A,FALSE,"Balance_Sheet";#N/A,#N/A,FALSE,"income_statement_monthly";#N/A,#N/A,FALSE,"income_statement_Quarter";#N/A,#N/A,FALSE,"income_statement_ytd";#N/A,#N/A,FALSE,"income_statement_12Months"}</definedName>
    <definedName name="xx" localSheetId="3" hidden="1">{#N/A,#N/A,FALSE,"Balance_Sheet";#N/A,#N/A,FALSE,"income_statement_monthly";#N/A,#N/A,FALSE,"income_statement_Quarter";#N/A,#N/A,FALSE,"income_statement_ytd";#N/A,#N/A,FALSE,"income_statement_12Months"}</definedName>
    <definedName name="xx" hidden="1">{#N/A,#N/A,FALSE,"Balance_Sheet";#N/A,#N/A,FALSE,"income_statement_monthly";#N/A,#N/A,FALSE,"income_statement_Quarter";#N/A,#N/A,FALSE,"income_statement_ytd";#N/A,#N/A,FALSE,"income_statement_12Months"}</definedName>
    <definedName name="xxx" localSheetId="2" hidden="1">{"detail305",#N/A,FALSE,"BI-305"}</definedName>
    <definedName name="xxx" localSheetId="3" hidden="1">{"detail305",#N/A,FALSE,"BI-305"}</definedName>
    <definedName name="xxx" hidden="1">{"detail305",#N/A,FALSE,"BI-305"}</definedName>
    <definedName name="xxx.detail" localSheetId="2" hidden="1">{"detail305",#N/A,FALSE,"BI-305"}</definedName>
    <definedName name="xxx.detail" localSheetId="3" hidden="1">{"detail305",#N/A,FALSE,"BI-305"}</definedName>
    <definedName name="xxx.detail" hidden="1">{"detail305",#N/A,FALSE,"BI-305"}</definedName>
    <definedName name="xxx.directory" localSheetId="2" hidden="1">{"summary",#N/A,FALSE,"PCR DIRECTORY"}</definedName>
    <definedName name="xxx.directory" localSheetId="3" hidden="1">{"summary",#N/A,FALSE,"PCR DIRECTORY"}</definedName>
    <definedName name="xxx.directory" hidden="1">{"summary",#N/A,FALSE,"PCR DIRECTORY"}</definedName>
    <definedName name="y" localSheetId="2" hidden="1">{#N/A,#N/A,FALSE,"Pg 6a CustCount_Electric";#N/A,#N/A,FALSE,"QA";"monthly",#N/A,FALSE,"Elect_Cust#Avg";"Year To Date",#N/A,FALSE,"Elect_Cust#Avg";"Rollling 12 months ended",#N/A,FALSE,"Elect_Cust#Avg";"Budget Month",#N/A,FALSE,"Electric";"Budget YTD",#N/A,FALSE,"Electric";"Budget 12 months",#N/A,FALSE,"Electric"}</definedName>
    <definedName name="y" localSheetId="3" hidden="1">{#N/A,#N/A,FALSE,"Pg 6a CustCount_Electric";#N/A,#N/A,FALSE,"QA";"monthly",#N/A,FALSE,"Elect_Cust#Avg";"Year To Date",#N/A,FALSE,"Elect_Cust#Avg";"Rollling 12 months ended",#N/A,FALSE,"Elect_Cust#Avg";"Budget Month",#N/A,FALSE,"Electric";"Budget YTD",#N/A,FALSE,"Electric";"Budget 12 months",#N/A,FALSE,"Electric"}</definedName>
    <definedName name="y" hidden="1">{#N/A,#N/A,FALSE,"Pg 6a CustCount_Electric";#N/A,#N/A,FALSE,"QA";"monthly",#N/A,FALSE,"Elect_Cust#Avg";"Year To Date",#N/A,FALSE,"Elect_Cust#Avg";"Rollling 12 months ended",#N/A,FALSE,"Elect_Cust#Avg";"Budget Month",#N/A,FALSE,"Electric";"Budget YTD",#N/A,FALSE,"Electric";"Budget 12 months",#N/A,FALSE,"Electric"}</definedName>
    <definedName name="yryryrr" localSheetId="2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yryryrr" localSheetId="3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yryryrr" hidden="1">{#N/A,#N/A,FALSE,"Monthly SAIFI";#N/A,#N/A,FALSE,"Yearly SAIFI";#N/A,#N/A,FALSE,"Monthly CAIDI";#N/A,#N/A,FALSE,"Yearly CAIDI";#N/A,#N/A,FALSE,"Monthly SAIDI";#N/A,#N/A,FALSE,"Yearly SAIDI";#N/A,#N/A,FALSE,"Monthly MAIFI";#N/A,#N/A,FALSE,"Yearly MAIFI";#N/A,#N/A,FALSE,"Monthly Cust &gt;=4 Int"}</definedName>
    <definedName name="yuf" localSheetId="2" hidden="1">{#N/A,#N/A,FALSE,"Summ";#N/A,#N/A,FALSE,"General"}</definedName>
    <definedName name="yuf" localSheetId="3" hidden="1">{#N/A,#N/A,FALSE,"Summ";#N/A,#N/A,FALSE,"General"}</definedName>
    <definedName name="yuf" hidden="1">{#N/A,#N/A,FALSE,"Summ";#N/A,#N/A,FALSE,"General"}</definedName>
    <definedName name="z" localSheetId="2" hidden="1">{#N/A,#N/A,FALSE,"Coversheet";#N/A,#N/A,FALSE,"QA"}</definedName>
    <definedName name="z" localSheetId="3" hidden="1">{#N/A,#N/A,FALSE,"Coversheet";#N/A,#N/A,FALSE,"QA"}</definedName>
    <definedName name="z" hidden="1">{#N/A,#N/A,FALSE,"Coversheet";#N/A,#N/A,FALSE,"QA"}</definedName>
    <definedName name="zzz" localSheetId="2" hidden="1">{"detail305",#N/A,FALSE,"BI-305"}</definedName>
    <definedName name="zzz" localSheetId="3" hidden="1">{"detail305",#N/A,FALSE,"BI-305"}</definedName>
    <definedName name="zzz" hidden="1">{"detail305",#N/A,FALSE,"BI-305"}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5" i="8" l="1"/>
  <c r="A36" i="8" s="1"/>
  <c r="A37" i="8" s="1"/>
  <c r="A31" i="7"/>
  <c r="A32" i="7" s="1"/>
  <c r="A33" i="7" s="1"/>
  <c r="I2" i="8" l="1"/>
  <c r="I1" i="8"/>
  <c r="I2" i="7"/>
  <c r="I1" i="7"/>
  <c r="A11" i="8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12" i="7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11" i="7"/>
  <c r="S2" i="10"/>
  <c r="S1" i="10"/>
  <c r="P33" i="10" l="1"/>
  <c r="K30" i="10" l="1"/>
  <c r="B30" i="10"/>
  <c r="B6" i="10"/>
  <c r="P34" i="9"/>
  <c r="L20" i="8"/>
  <c r="M20" i="8"/>
  <c r="E31" i="8"/>
  <c r="E32" i="8"/>
  <c r="P40" i="10"/>
  <c r="I64" i="10"/>
  <c r="P64" i="10" s="1"/>
  <c r="I53" i="10"/>
  <c r="P53" i="10" s="1"/>
  <c r="I52" i="10"/>
  <c r="P52" i="10" s="1"/>
  <c r="I51" i="10"/>
  <c r="P51" i="10" s="1"/>
  <c r="I50" i="10"/>
  <c r="P50" i="10" s="1"/>
  <c r="I49" i="10"/>
  <c r="P49" i="10" s="1"/>
  <c r="I48" i="10"/>
  <c r="P48" i="10" s="1"/>
  <c r="I47" i="10"/>
  <c r="P47" i="10" s="1"/>
  <c r="I46" i="10"/>
  <c r="P46" i="10" s="1"/>
  <c r="I45" i="10"/>
  <c r="P45" i="10" s="1"/>
  <c r="I44" i="10"/>
  <c r="P44" i="10" s="1"/>
  <c r="I43" i="10"/>
  <c r="P43" i="10" s="1"/>
  <c r="I42" i="10"/>
  <c r="P42" i="10" s="1"/>
  <c r="I68" i="10"/>
  <c r="P68" i="10" s="1"/>
  <c r="R41" i="9"/>
  <c r="I39" i="10"/>
  <c r="P39" i="10" s="1"/>
  <c r="B39" i="10"/>
  <c r="I36" i="10"/>
  <c r="P36" i="10" s="1"/>
  <c r="I35" i="10"/>
  <c r="P35" i="10" s="1"/>
  <c r="P71" i="9"/>
  <c r="I55" i="9"/>
  <c r="P37" i="9"/>
  <c r="P36" i="9"/>
  <c r="P65" i="9"/>
  <c r="P69" i="9"/>
  <c r="P40" i="9"/>
  <c r="P54" i="9"/>
  <c r="P53" i="9"/>
  <c r="P52" i="9"/>
  <c r="P51" i="9"/>
  <c r="P50" i="9"/>
  <c r="P49" i="9"/>
  <c r="P48" i="9"/>
  <c r="P47" i="9"/>
  <c r="P46" i="9"/>
  <c r="P45" i="9"/>
  <c r="P44" i="9"/>
  <c r="P43" i="9"/>
  <c r="P54" i="10" l="1"/>
  <c r="R40" i="10"/>
  <c r="R39" i="10"/>
  <c r="Q39" i="10"/>
  <c r="P57" i="9"/>
  <c r="P72" i="9" s="1"/>
  <c r="P55" i="9"/>
  <c r="P56" i="10" l="1"/>
  <c r="O39" i="10" l="1"/>
  <c r="O40" i="10"/>
  <c r="P74" i="10" l="1"/>
  <c r="I74" i="10" l="1"/>
  <c r="I16" i="9"/>
  <c r="J16" i="9" s="1"/>
  <c r="K16" i="9" s="1"/>
  <c r="R69" i="9"/>
  <c r="R54" i="9"/>
  <c r="R46" i="9"/>
  <c r="I38" i="9"/>
  <c r="C10" i="8"/>
  <c r="D10" i="8" s="1"/>
  <c r="C11" i="8"/>
  <c r="C12" i="8"/>
  <c r="D12" i="8" s="1"/>
  <c r="C13" i="8"/>
  <c r="C14" i="8"/>
  <c r="D14" i="8" s="1"/>
  <c r="C15" i="8"/>
  <c r="D15" i="8" s="1"/>
  <c r="C16" i="8"/>
  <c r="D16" i="8" s="1"/>
  <c r="C17" i="8"/>
  <c r="C18" i="8"/>
  <c r="D18" i="8" s="1"/>
  <c r="C19" i="8"/>
  <c r="D19" i="8" s="1"/>
  <c r="R68" i="10"/>
  <c r="R66" i="10"/>
  <c r="R64" i="10"/>
  <c r="I54" i="10"/>
  <c r="R53" i="10"/>
  <c r="R52" i="10"/>
  <c r="R50" i="10"/>
  <c r="R49" i="10"/>
  <c r="R48" i="10"/>
  <c r="R47" i="10"/>
  <c r="R46" i="10"/>
  <c r="R45" i="10"/>
  <c r="R44" i="10"/>
  <c r="R43" i="10"/>
  <c r="R42" i="10"/>
  <c r="P37" i="10"/>
  <c r="R36" i="10"/>
  <c r="I37" i="10"/>
  <c r="R33" i="10"/>
  <c r="E25" i="10"/>
  <c r="I23" i="10" s="1"/>
  <c r="J23" i="10" s="1"/>
  <c r="R65" i="9"/>
  <c r="P63" i="9"/>
  <c r="R53" i="9"/>
  <c r="R51" i="9"/>
  <c r="R50" i="9"/>
  <c r="R48" i="9"/>
  <c r="R47" i="9"/>
  <c r="R45" i="9"/>
  <c r="R44" i="9"/>
  <c r="R43" i="9"/>
  <c r="R40" i="9"/>
  <c r="P38" i="9"/>
  <c r="R34" i="9"/>
  <c r="E25" i="9"/>
  <c r="I22" i="9" s="1"/>
  <c r="J22" i="9" s="1"/>
  <c r="K22" i="9" s="1"/>
  <c r="B11" i="8"/>
  <c r="B12" i="8" s="1"/>
  <c r="B13" i="8" s="1"/>
  <c r="B14" i="8" s="1"/>
  <c r="B15" i="8" s="1"/>
  <c r="B16" i="8" s="1"/>
  <c r="B17" i="8" s="1"/>
  <c r="B18" i="8" s="1"/>
  <c r="B19" i="8" s="1"/>
  <c r="C19" i="7"/>
  <c r="D19" i="7" s="1"/>
  <c r="C18" i="7"/>
  <c r="D18" i="7" s="1"/>
  <c r="C17" i="7"/>
  <c r="D17" i="7" s="1"/>
  <c r="C16" i="7"/>
  <c r="D16" i="7" s="1"/>
  <c r="C15" i="7"/>
  <c r="D15" i="7" s="1"/>
  <c r="C14" i="7"/>
  <c r="D14" i="7" s="1"/>
  <c r="C13" i="7"/>
  <c r="D13" i="7" s="1"/>
  <c r="C12" i="7"/>
  <c r="D12" i="7" s="1"/>
  <c r="C11" i="7"/>
  <c r="D11" i="7" s="1"/>
  <c r="B11" i="7"/>
  <c r="B12" i="7" s="1"/>
  <c r="B13" i="7" s="1"/>
  <c r="B14" i="7" s="1"/>
  <c r="B15" i="7" s="1"/>
  <c r="B16" i="7" s="1"/>
  <c r="B17" i="7" s="1"/>
  <c r="B18" i="7" s="1"/>
  <c r="B19" i="7" s="1"/>
  <c r="C10" i="7"/>
  <c r="D10" i="7" s="1"/>
  <c r="I18" i="10" l="1"/>
  <c r="J18" i="10" s="1"/>
  <c r="I14" i="10"/>
  <c r="J14" i="10" s="1"/>
  <c r="I17" i="10"/>
  <c r="J17" i="10" s="1"/>
  <c r="I21" i="10"/>
  <c r="J21" i="10" s="1"/>
  <c r="I19" i="10"/>
  <c r="J19" i="10" s="1"/>
  <c r="I16" i="10"/>
  <c r="J16" i="10" s="1"/>
  <c r="X16" i="10" s="1"/>
  <c r="I15" i="10"/>
  <c r="J15" i="10" s="1"/>
  <c r="I20" i="10"/>
  <c r="J20" i="10" s="1"/>
  <c r="I22" i="10"/>
  <c r="J22" i="10" s="1"/>
  <c r="X22" i="10" s="1"/>
  <c r="R59" i="9"/>
  <c r="I58" i="10"/>
  <c r="P58" i="10" s="1"/>
  <c r="R58" i="10" s="1"/>
  <c r="I63" i="9"/>
  <c r="R63" i="9" s="1"/>
  <c r="I60" i="10"/>
  <c r="R62" i="9"/>
  <c r="I61" i="10"/>
  <c r="P61" i="10" s="1"/>
  <c r="R61" i="10" s="1"/>
  <c r="C20" i="8"/>
  <c r="E10" i="8" s="1"/>
  <c r="F10" i="8" s="1"/>
  <c r="G10" i="8" s="1"/>
  <c r="D17" i="8"/>
  <c r="D13" i="8"/>
  <c r="D11" i="8"/>
  <c r="C20" i="7"/>
  <c r="D20" i="7" s="1"/>
  <c r="R51" i="10"/>
  <c r="R54" i="10"/>
  <c r="I14" i="9"/>
  <c r="J14" i="9" s="1"/>
  <c r="K14" i="9" s="1"/>
  <c r="I17" i="9"/>
  <c r="J17" i="9" s="1"/>
  <c r="K17" i="9" s="1"/>
  <c r="I18" i="9"/>
  <c r="J18" i="9" s="1"/>
  <c r="K18" i="9" s="1"/>
  <c r="I19" i="9"/>
  <c r="J19" i="9" s="1"/>
  <c r="K19" i="9" s="1"/>
  <c r="I20" i="9"/>
  <c r="J20" i="9" s="1"/>
  <c r="K20" i="9" s="1"/>
  <c r="I15" i="9"/>
  <c r="J15" i="9" s="1"/>
  <c r="I21" i="9"/>
  <c r="J21" i="9" s="1"/>
  <c r="K21" i="9" s="1"/>
  <c r="I23" i="9"/>
  <c r="J23" i="9" s="1"/>
  <c r="K23" i="9" s="1"/>
  <c r="R61" i="9"/>
  <c r="J25" i="10"/>
  <c r="R49" i="9"/>
  <c r="R36" i="9"/>
  <c r="R37" i="9"/>
  <c r="R38" i="9"/>
  <c r="I72" i="9"/>
  <c r="R37" i="10"/>
  <c r="R74" i="10"/>
  <c r="R35" i="10"/>
  <c r="E14" i="8" l="1"/>
  <c r="F14" i="8" s="1"/>
  <c r="E11" i="8"/>
  <c r="F11" i="8" s="1"/>
  <c r="G11" i="8" s="1"/>
  <c r="E12" i="8"/>
  <c r="F12" i="8" s="1"/>
  <c r="E15" i="8"/>
  <c r="F15" i="8" s="1"/>
  <c r="E17" i="8"/>
  <c r="F17" i="8" s="1"/>
  <c r="G17" i="8" s="1"/>
  <c r="H17" i="8" s="1"/>
  <c r="I17" i="8" s="1"/>
  <c r="E16" i="8"/>
  <c r="F16" i="8" s="1"/>
  <c r="G16" i="8" s="1"/>
  <c r="H16" i="8" s="1"/>
  <c r="I16" i="8" s="1"/>
  <c r="D20" i="8"/>
  <c r="E18" i="8"/>
  <c r="F18" i="8" s="1"/>
  <c r="G18" i="8" s="1"/>
  <c r="H18" i="8" s="1"/>
  <c r="I18" i="8" s="1"/>
  <c r="E19" i="8"/>
  <c r="F19" i="8" s="1"/>
  <c r="E13" i="8"/>
  <c r="F13" i="8" s="1"/>
  <c r="G13" i="8" s="1"/>
  <c r="E17" i="7"/>
  <c r="E18" i="7"/>
  <c r="F18" i="7" s="1"/>
  <c r="G18" i="7" s="1"/>
  <c r="E16" i="7"/>
  <c r="E11" i="7"/>
  <c r="E10" i="7"/>
  <c r="F10" i="7" s="1"/>
  <c r="G10" i="7" s="1"/>
  <c r="H10" i="7" s="1"/>
  <c r="I10" i="7" s="1"/>
  <c r="E19" i="7"/>
  <c r="E13" i="7"/>
  <c r="F13" i="7" s="1"/>
  <c r="E15" i="7"/>
  <c r="F15" i="7" s="1"/>
  <c r="G15" i="7" s="1"/>
  <c r="H15" i="7" s="1"/>
  <c r="I15" i="7" s="1"/>
  <c r="E14" i="7"/>
  <c r="F14" i="7" s="1"/>
  <c r="G14" i="7" s="1"/>
  <c r="E12" i="7"/>
  <c r="F12" i="7" s="1"/>
  <c r="G12" i="7" s="1"/>
  <c r="H12" i="7" s="1"/>
  <c r="I12" i="7" s="1"/>
  <c r="H13" i="8"/>
  <c r="I13" i="8" s="1"/>
  <c r="X19" i="10"/>
  <c r="X17" i="10"/>
  <c r="J25" i="9"/>
  <c r="K25" i="9" s="1"/>
  <c r="K15" i="9"/>
  <c r="X21" i="10"/>
  <c r="X14" i="10"/>
  <c r="X18" i="10"/>
  <c r="X20" i="10"/>
  <c r="R71" i="9"/>
  <c r="R72" i="9"/>
  <c r="X15" i="10"/>
  <c r="X23" i="10"/>
  <c r="G14" i="9"/>
  <c r="G25" i="9"/>
  <c r="P60" i="10"/>
  <c r="I62" i="10"/>
  <c r="I70" i="10" s="1"/>
  <c r="G15" i="9"/>
  <c r="G19" i="8"/>
  <c r="H19" i="8" s="1"/>
  <c r="I19" i="8" s="1"/>
  <c r="G15" i="8"/>
  <c r="H15" i="8" s="1"/>
  <c r="I15" i="8" s="1"/>
  <c r="G14" i="8"/>
  <c r="H14" i="8" s="1"/>
  <c r="I14" i="8" s="1"/>
  <c r="G12" i="8"/>
  <c r="H12" i="8" s="1"/>
  <c r="I12" i="8" s="1"/>
  <c r="H11" i="8"/>
  <c r="I11" i="8" s="1"/>
  <c r="H10" i="8"/>
  <c r="I10" i="8" s="1"/>
  <c r="F16" i="7"/>
  <c r="F17" i="7"/>
  <c r="F11" i="7"/>
  <c r="G11" i="7" s="1"/>
  <c r="F19" i="7"/>
  <c r="H18" i="7"/>
  <c r="I18" i="7" s="1"/>
  <c r="R52" i="9"/>
  <c r="H14" i="7"/>
  <c r="I14" i="7" s="1"/>
  <c r="G20" i="9"/>
  <c r="G16" i="9"/>
  <c r="G21" i="9"/>
  <c r="G17" i="9"/>
  <c r="G22" i="9"/>
  <c r="G18" i="9"/>
  <c r="G23" i="9"/>
  <c r="G19" i="9"/>
  <c r="F20" i="8" l="1"/>
  <c r="G20" i="8" s="1"/>
  <c r="X25" i="10"/>
  <c r="G19" i="7"/>
  <c r="H19" i="7" s="1"/>
  <c r="I19" i="7" s="1"/>
  <c r="G17" i="7"/>
  <c r="H17" i="7" s="1"/>
  <c r="I17" i="7" s="1"/>
  <c r="G13" i="7"/>
  <c r="H13" i="7" s="1"/>
  <c r="I13" i="7" s="1"/>
  <c r="G16" i="7"/>
  <c r="H16" i="7" s="1"/>
  <c r="I16" i="7" s="1"/>
  <c r="I75" i="10"/>
  <c r="I79" i="10" s="1"/>
  <c r="P62" i="10"/>
  <c r="R60" i="10"/>
  <c r="O14" i="9"/>
  <c r="H20" i="8"/>
  <c r="I20" i="8" s="1"/>
  <c r="F20" i="7"/>
  <c r="G20" i="7" s="1"/>
  <c r="R55" i="9"/>
  <c r="I88" i="10" l="1"/>
  <c r="I86" i="10"/>
  <c r="G14" i="10"/>
  <c r="G15" i="10"/>
  <c r="G25" i="10"/>
  <c r="G16" i="10"/>
  <c r="G20" i="10"/>
  <c r="G21" i="10"/>
  <c r="G18" i="10"/>
  <c r="G17" i="10"/>
  <c r="G22" i="10"/>
  <c r="G23" i="10"/>
  <c r="G19" i="10"/>
  <c r="P70" i="10"/>
  <c r="P71" i="10"/>
  <c r="R62" i="10"/>
  <c r="H11" i="7"/>
  <c r="M14" i="9"/>
  <c r="M25" i="9"/>
  <c r="U18" i="10" l="1"/>
  <c r="V18" i="10"/>
  <c r="V21" i="10"/>
  <c r="U21" i="10"/>
  <c r="R70" i="10"/>
  <c r="P75" i="10"/>
  <c r="R75" i="10" s="1"/>
  <c r="V16" i="10"/>
  <c r="U16" i="10"/>
  <c r="R71" i="10"/>
  <c r="P76" i="10"/>
  <c r="P79" i="10" s="1"/>
  <c r="U19" i="10"/>
  <c r="V19" i="10"/>
  <c r="V25" i="10"/>
  <c r="U25" i="10"/>
  <c r="V20" i="10"/>
  <c r="U20" i="10"/>
  <c r="V23" i="10"/>
  <c r="U23" i="10"/>
  <c r="U15" i="10"/>
  <c r="V15" i="10"/>
  <c r="V22" i="10"/>
  <c r="U22" i="10"/>
  <c r="V14" i="10"/>
  <c r="U14" i="10"/>
  <c r="V17" i="10"/>
  <c r="U17" i="10"/>
  <c r="I11" i="7"/>
  <c r="H20" i="7"/>
  <c r="I20" i="7" s="1"/>
  <c r="M18" i="9"/>
  <c r="O18" i="9"/>
  <c r="M22" i="9"/>
  <c r="O22" i="9"/>
  <c r="M16" i="9"/>
  <c r="O16" i="9"/>
  <c r="M17" i="9"/>
  <c r="O17" i="9"/>
  <c r="O19" i="9"/>
  <c r="M19" i="9"/>
  <c r="M23" i="9"/>
  <c r="O23" i="9"/>
  <c r="O20" i="9"/>
  <c r="M20" i="9"/>
  <c r="O25" i="9"/>
  <c r="M15" i="9"/>
  <c r="O15" i="9"/>
  <c r="M21" i="9"/>
  <c r="O21" i="9"/>
  <c r="P88" i="10" l="1"/>
  <c r="P78" i="10"/>
  <c r="K16" i="10" s="1"/>
  <c r="K18" i="10"/>
  <c r="R79" i="10"/>
  <c r="U79" i="10" s="1"/>
  <c r="P86" i="10"/>
  <c r="K14" i="10" l="1"/>
  <c r="K19" i="10"/>
  <c r="R78" i="10"/>
  <c r="K17" i="10"/>
  <c r="M17" i="10" s="1"/>
  <c r="K20" i="10"/>
  <c r="M20" i="10" s="1"/>
  <c r="K15" i="10"/>
  <c r="W15" i="10" s="1"/>
  <c r="K21" i="10"/>
  <c r="M21" i="10" s="1"/>
  <c r="K23" i="10"/>
  <c r="O23" i="10" s="1"/>
  <c r="K22" i="10"/>
  <c r="W22" i="10" s="1"/>
  <c r="K25" i="10"/>
  <c r="W25" i="10" s="1"/>
  <c r="W19" i="10"/>
  <c r="O19" i="10"/>
  <c r="M19" i="10"/>
  <c r="M22" i="10"/>
  <c r="M25" i="10"/>
  <c r="W16" i="10"/>
  <c r="M16" i="10"/>
  <c r="O16" i="10"/>
  <c r="W14" i="10"/>
  <c r="M14" i="10"/>
  <c r="O14" i="10"/>
  <c r="W18" i="10"/>
  <c r="O18" i="10"/>
  <c r="M18" i="10"/>
  <c r="W20" i="10" l="1"/>
  <c r="O25" i="10"/>
  <c r="O17" i="10"/>
  <c r="M23" i="10"/>
  <c r="W23" i="10"/>
  <c r="W17" i="10"/>
  <c r="M15" i="10"/>
  <c r="O20" i="10"/>
  <c r="W21" i="10"/>
  <c r="O22" i="10"/>
  <c r="O15" i="10"/>
  <c r="O21" i="10"/>
</calcChain>
</file>

<file path=xl/sharedStrings.xml><?xml version="1.0" encoding="utf-8"?>
<sst xmlns="http://schemas.openxmlformats.org/spreadsheetml/2006/main" count="276" uniqueCount="113">
  <si>
    <t>Fitchburg Gas and Electric Light Company d/b/a Unitil</t>
  </si>
  <si>
    <t>Impact on RD-1 Rate Customers converting to Heat Pump Rate HP-RES</t>
  </si>
  <si>
    <t>Res</t>
  </si>
  <si>
    <t>Res with Heat</t>
  </si>
  <si>
    <t>Average</t>
  </si>
  <si>
    <t>Rate RD-1</t>
  </si>
  <si>
    <t>Average kWh</t>
  </si>
  <si>
    <t>Pump Average</t>
  </si>
  <si>
    <t>Rate HP-RES</t>
  </si>
  <si>
    <t>%</t>
  </si>
  <si>
    <t>Monthly</t>
  </si>
  <si>
    <t xml:space="preserve">Total </t>
  </si>
  <si>
    <t xml:space="preserve">Increase from </t>
  </si>
  <si>
    <t>Total</t>
  </si>
  <si>
    <t>Decile</t>
  </si>
  <si>
    <t>kWh</t>
  </si>
  <si>
    <t>Revenue</t>
  </si>
  <si>
    <t>Heat Pump</t>
  </si>
  <si>
    <t>Difference</t>
  </si>
  <si>
    <t>RD-1</t>
  </si>
  <si>
    <t>HP-RES</t>
  </si>
  <si>
    <t>Delivery Charges:</t>
  </si>
  <si>
    <t>Customer Charge</t>
  </si>
  <si>
    <t>Internal Transmission</t>
  </si>
  <si>
    <t>External Transmission</t>
  </si>
  <si>
    <t xml:space="preserve">Transmission Subtotal  </t>
  </si>
  <si>
    <t>Distribution - Summer</t>
  </si>
  <si>
    <t>Percent kWh</t>
  </si>
  <si>
    <t>Distribution - Winter</t>
  </si>
  <si>
    <t>Pension/PBOP Adjustment Factor</t>
  </si>
  <si>
    <t>Residential Assistance Adjustment Factor</t>
  </si>
  <si>
    <t>Net Metering Recovery Surcharge</t>
  </si>
  <si>
    <t>Revenue Decoupling Adjustment Factor</t>
  </si>
  <si>
    <t>Attorney General Consultant Expense Factor</t>
  </si>
  <si>
    <t>L-T Renewable Contract Adjustment Factor</t>
  </si>
  <si>
    <t>Capital Cost Adjustment Factor</t>
  </si>
  <si>
    <t xml:space="preserve">Solar Cost Adjustment </t>
  </si>
  <si>
    <t>Grid Modernization Factor</t>
  </si>
  <si>
    <t>Basic Service Adjustment</t>
  </si>
  <si>
    <t>Storm Reserve Adjustment Factor</t>
  </si>
  <si>
    <t>Exogenous Cost Adjustment Factor</t>
  </si>
  <si>
    <t>Distribution Subtotal</t>
  </si>
  <si>
    <t>Renewable Resources Charge</t>
  </si>
  <si>
    <t>Energy Efficiency Charge</t>
  </si>
  <si>
    <t xml:space="preserve">Energy Efficiency Reconciliation Factor </t>
  </si>
  <si>
    <t>Energy Efficiency Reconciliation Factor ***</t>
  </si>
  <si>
    <t xml:space="preserve">                  Total Energy Efficiency Charge Subtotal</t>
  </si>
  <si>
    <t>SMART Factor</t>
  </si>
  <si>
    <t>Supplier Charges:</t>
  </si>
  <si>
    <t>Generation Charge*</t>
  </si>
  <si>
    <t/>
  </si>
  <si>
    <t>Current</t>
  </si>
  <si>
    <t>Impact on RD-2 Rate Customers converting to Heat Pump Rate HP RES</t>
  </si>
  <si>
    <t>Rate RD-2</t>
  </si>
  <si>
    <t>RD-2</t>
  </si>
  <si>
    <t>34.5% Low Income Discount</t>
  </si>
  <si>
    <t>40.0% Low Income Discount</t>
  </si>
  <si>
    <t>Fixed Charges</t>
  </si>
  <si>
    <t>Volumetric Charges - All kWh</t>
  </si>
  <si>
    <t>Fitchburg Gas and Electric Light Company - Gas Division</t>
  </si>
  <si>
    <t>Gas Bill Impact of Customer Transitioned to Heat Pump Rate</t>
  </si>
  <si>
    <t>2022 Data</t>
  </si>
  <si>
    <t>Average Monthly Usage (Therms)</t>
  </si>
  <si>
    <t>Monthly Bills @ Proposed Rates</t>
  </si>
  <si>
    <t>Average Therm Reduction - Heat Pump</t>
  </si>
  <si>
    <t>Average Monthly Usage with Heat Pump</t>
  </si>
  <si>
    <t>$ Difference</t>
  </si>
  <si>
    <t>% Difference</t>
  </si>
  <si>
    <t>Bills</t>
  </si>
  <si>
    <t>Therms</t>
  </si>
  <si>
    <t xml:space="preserve">Customer Charge ($/customer) </t>
  </si>
  <si>
    <t xml:space="preserve">  (1)</t>
  </si>
  <si>
    <t xml:space="preserve">  (3)</t>
  </si>
  <si>
    <t>Distribution Charge - All therms ($/thm)</t>
  </si>
  <si>
    <t>Revenue Decoupling Adjustment Factor ($/thm)</t>
  </si>
  <si>
    <t>LDAC ($/thm)</t>
  </si>
  <si>
    <t>CGA ($/thm)</t>
  </si>
  <si>
    <t xml:space="preserve">  (2)</t>
  </si>
  <si>
    <t>Low Income Gas Bill Impact of Customer Transitioned to Heat Pump Rate</t>
  </si>
  <si>
    <t>Monthly Bills with Heat Pump @ Proposed Rates</t>
  </si>
  <si>
    <t>25% Low Income Discount</t>
  </si>
  <si>
    <t>Volumetric Charges - All therms ($/thm)</t>
  </si>
  <si>
    <t>Energy Efficiency Reconciliation Factor</t>
  </si>
  <si>
    <t>Generation Charge</t>
  </si>
  <si>
    <t>Distribution Summer Subtotal</t>
  </si>
  <si>
    <t>Distribution Winter Subtotal</t>
  </si>
  <si>
    <t>Summer Total</t>
  </si>
  <si>
    <t>Winter Total</t>
  </si>
  <si>
    <t>Volumetric Charges - All kWh Summer</t>
  </si>
  <si>
    <t>Volumetric Charges - All kWh Winter</t>
  </si>
  <si>
    <t>Summer Subtotal</t>
  </si>
  <si>
    <t>Winter Subtotal</t>
  </si>
  <si>
    <t>Discount Check to RD-1</t>
  </si>
  <si>
    <t>Basic Service Customer Typical Bill Impacts - Distribution Rate Proposal</t>
  </si>
  <si>
    <t>R-3 Proposed Rates:</t>
  </si>
  <si>
    <t>R-4 Proposed Rates:</t>
  </si>
  <si>
    <t>RD-1 Proposed Rates:*</t>
  </si>
  <si>
    <t>*Exhibit Unitil-JDT Rate Design Model Electric Rev. 1 (12-15-23) Confidential)</t>
  </si>
  <si>
    <t>HP-Res Proposed Rates:*</t>
  </si>
  <si>
    <t>Annual</t>
  </si>
  <si>
    <t>DPU 23-80</t>
  </si>
  <si>
    <t>DOER 2-03 Attachment 1</t>
  </si>
  <si>
    <t>Page 1 of 4</t>
  </si>
  <si>
    <t>Page 2 of 4</t>
  </si>
  <si>
    <t>Line No.</t>
  </si>
  <si>
    <t>Page 3 of 4</t>
  </si>
  <si>
    <t>Page 4 of 4</t>
  </si>
  <si>
    <t>Distribution - July 1, 2024</t>
  </si>
  <si>
    <t xml:space="preserve">  (1)  Rate Design worksheets (Adjusted for 12/15/23 Filing) - July 1, 2024</t>
  </si>
  <si>
    <t xml:space="preserve">  (2)  May 1, 2023 rates (present rates at time of initial filing)</t>
  </si>
  <si>
    <t xml:space="preserve">  (4)</t>
  </si>
  <si>
    <t xml:space="preserve">  (4)  Test Year 12 month average CGA adjusted for rate case increments</t>
  </si>
  <si>
    <t xml:space="preserve">  (3)  May 1, 2023 rates (present rates at time of initial filing) adjusted for rate case increments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</si>
</sst>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&quot;$&quot;#,##0.00"/>
    <numFmt numFmtId="166" formatCode="_(* #,##0_);_(* \(#,##0\);_(* &quot;-&quot;??_);_(@_)"/>
    <numFmt numFmtId="167" formatCode="&quot;$&quot;#,##0.0000"/>
    <numFmt numFmtId="168" formatCode="#,##0.0"/>
    <numFmt numFmtId="169" formatCode="_(* #,##0.000_);_(* \(#,##0.000\);_(* &quot;-&quot;??_);_(@_)"/>
    <numFmt numFmtId="170" formatCode="&quot;$&quot;#,##0.00000_);\(&quot;$&quot;#,##0.00000\)"/>
    <numFmt numFmtId="171" formatCode="&quot;$&quot;#,##0.00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indexed="10"/>
      <name val="Calibri"/>
      <family val="2"/>
      <scheme val="minor"/>
    </font>
    <font>
      <u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9"/>
      <color indexed="12"/>
      <name val="Arial"/>
      <family val="2"/>
    </font>
    <font>
      <b/>
      <sz val="9"/>
      <color indexed="10"/>
      <name val="Arial"/>
      <family val="2"/>
    </font>
    <font>
      <b/>
      <u/>
      <sz val="9"/>
      <name val="Arial"/>
      <family val="2"/>
    </font>
    <font>
      <b/>
      <i/>
      <sz val="9"/>
      <color indexed="10"/>
      <name val="Arial"/>
      <family val="2"/>
    </font>
    <font>
      <b/>
      <sz val="9"/>
      <color rgb="FF0000FF"/>
      <name val="Arial"/>
      <family val="2"/>
    </font>
    <font>
      <u/>
      <sz val="9"/>
      <name val="Arial"/>
      <family val="2"/>
    </font>
    <font>
      <u/>
      <sz val="9"/>
      <color indexed="12"/>
      <name val="Arial"/>
      <family val="2"/>
    </font>
    <font>
      <sz val="9"/>
      <color indexed="12"/>
      <name val="Arial"/>
      <family val="2"/>
    </font>
    <font>
      <sz val="9"/>
      <color theme="4"/>
      <name val="Arial"/>
      <family val="2"/>
    </font>
    <font>
      <sz val="1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9"/>
      <color rgb="FFFF000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165">
    <xf numFmtId="0" fontId="0" fillId="0" borderId="0" xfId="0"/>
    <xf numFmtId="37" fontId="3" fillId="0" borderId="0" xfId="2" applyNumberFormat="1" applyFont="1" applyAlignment="1">
      <alignment horizontal="left"/>
    </xf>
    <xf numFmtId="0" fontId="4" fillId="0" borderId="0" xfId="2" applyFont="1" applyAlignment="1">
      <alignment horizontal="left"/>
    </xf>
    <xf numFmtId="0" fontId="3" fillId="0" borderId="0" xfId="2" applyFont="1" applyAlignment="1">
      <alignment horizontal="left"/>
    </xf>
    <xf numFmtId="0" fontId="5" fillId="0" borderId="0" xfId="2" applyFont="1" applyAlignment="1">
      <alignment horizontal="left"/>
    </xf>
    <xf numFmtId="0" fontId="4" fillId="0" borderId="0" xfId="2" applyFont="1"/>
    <xf numFmtId="0" fontId="4" fillId="0" borderId="0" xfId="2" quotePrefix="1" applyFont="1" applyAlignment="1">
      <alignment horizontal="left"/>
    </xf>
    <xf numFmtId="0" fontId="4" fillId="0" borderId="1" xfId="2" quotePrefix="1" applyFont="1" applyBorder="1" applyAlignment="1">
      <alignment horizontal="center" wrapText="1"/>
    </xf>
    <xf numFmtId="0" fontId="4" fillId="0" borderId="1" xfId="2" applyFont="1" applyBorder="1" applyAlignment="1">
      <alignment horizontal="center" wrapText="1"/>
    </xf>
    <xf numFmtId="0" fontId="4" fillId="0" borderId="0" xfId="2" applyFont="1" applyAlignment="1">
      <alignment horizontal="center" wrapText="1"/>
    </xf>
    <xf numFmtId="0" fontId="6" fillId="0" borderId="0" xfId="2" applyFont="1" applyAlignment="1">
      <alignment horizontal="center"/>
    </xf>
    <xf numFmtId="164" fontId="7" fillId="0" borderId="0" xfId="3" applyNumberFormat="1" applyFont="1" applyFill="1" applyAlignment="1">
      <alignment horizontal="center"/>
    </xf>
    <xf numFmtId="39" fontId="7" fillId="0" borderId="0" xfId="4" applyNumberFormat="1" applyFont="1" applyFill="1" applyAlignment="1">
      <alignment horizontal="center"/>
    </xf>
    <xf numFmtId="165" fontId="4" fillId="0" borderId="0" xfId="2" applyNumberFormat="1" applyFont="1" applyAlignment="1">
      <alignment horizontal="center"/>
    </xf>
    <xf numFmtId="7" fontId="4" fillId="0" borderId="0" xfId="2" applyNumberFormat="1" applyFont="1" applyAlignment="1">
      <alignment horizontal="center"/>
    </xf>
    <xf numFmtId="164" fontId="4" fillId="0" borderId="0" xfId="2" applyNumberFormat="1" applyFont="1" applyAlignment="1">
      <alignment horizontal="center"/>
    </xf>
    <xf numFmtId="0" fontId="4" fillId="0" borderId="0" xfId="2" applyFont="1" applyAlignment="1">
      <alignment horizontal="center"/>
    </xf>
    <xf numFmtId="166" fontId="7" fillId="0" borderId="0" xfId="4" applyNumberFormat="1" applyFont="1" applyFill="1"/>
    <xf numFmtId="0" fontId="6" fillId="0" borderId="0" xfId="2" applyFont="1"/>
    <xf numFmtId="165" fontId="4" fillId="0" borderId="0" xfId="2" applyNumberFormat="1" applyFont="1"/>
    <xf numFmtId="167" fontId="4" fillId="0" borderId="0" xfId="2" applyNumberFormat="1" applyFont="1"/>
    <xf numFmtId="0" fontId="8" fillId="0" borderId="0" xfId="5" applyFont="1"/>
    <xf numFmtId="0" fontId="9" fillId="0" borderId="0" xfId="5" applyFont="1"/>
    <xf numFmtId="0" fontId="9" fillId="0" borderId="0" xfId="5" applyFont="1" applyAlignment="1">
      <alignment horizontal="center"/>
    </xf>
    <xf numFmtId="0" fontId="2" fillId="0" borderId="0" xfId="5"/>
    <xf numFmtId="0" fontId="9" fillId="0" borderId="2" xfId="5" applyFont="1" applyBorder="1" applyAlignment="1">
      <alignment horizontal="centerContinuous"/>
    </xf>
    <xf numFmtId="0" fontId="9" fillId="0" borderId="3" xfId="5" applyFont="1" applyBorder="1" applyAlignment="1">
      <alignment horizontal="centerContinuous"/>
    </xf>
    <xf numFmtId="0" fontId="8" fillId="0" borderId="3" xfId="5" applyFont="1" applyBorder="1" applyAlignment="1">
      <alignment horizontal="centerContinuous"/>
    </xf>
    <xf numFmtId="0" fontId="8" fillId="0" borderId="4" xfId="5" applyFont="1" applyBorder="1" applyAlignment="1">
      <alignment horizontal="centerContinuous"/>
    </xf>
    <xf numFmtId="0" fontId="8" fillId="0" borderId="0" xfId="5" applyFont="1" applyAlignment="1">
      <alignment horizontal="left"/>
    </xf>
    <xf numFmtId="0" fontId="10" fillId="0" borderId="5" xfId="5" applyFont="1" applyBorder="1" applyAlignment="1">
      <alignment horizontal="centerContinuous"/>
    </xf>
    <xf numFmtId="0" fontId="9" fillId="0" borderId="0" xfId="5" applyFont="1" applyAlignment="1">
      <alignment horizontal="centerContinuous"/>
    </xf>
    <xf numFmtId="0" fontId="8" fillId="0" borderId="0" xfId="5" applyFont="1" applyAlignment="1">
      <alignment horizontal="centerContinuous"/>
    </xf>
    <xf numFmtId="0" fontId="8" fillId="0" borderId="6" xfId="5" applyFont="1" applyBorder="1" applyAlignment="1">
      <alignment horizontal="centerContinuous"/>
    </xf>
    <xf numFmtId="0" fontId="9" fillId="0" borderId="7" xfId="5" applyFont="1" applyBorder="1" applyAlignment="1">
      <alignment horizontal="centerContinuous"/>
    </xf>
    <xf numFmtId="0" fontId="9" fillId="0" borderId="1" xfId="5" applyFont="1" applyBorder="1" applyAlignment="1">
      <alignment horizontal="centerContinuous"/>
    </xf>
    <xf numFmtId="0" fontId="8" fillId="0" borderId="1" xfId="5" applyFont="1" applyBorder="1" applyAlignment="1">
      <alignment horizontal="centerContinuous"/>
    </xf>
    <xf numFmtId="0" fontId="8" fillId="0" borderId="8" xfId="5" applyFont="1" applyBorder="1" applyAlignment="1">
      <alignment horizontal="centerContinuous"/>
    </xf>
    <xf numFmtId="0" fontId="8" fillId="0" borderId="5" xfId="5" applyFont="1" applyBorder="1"/>
    <xf numFmtId="0" fontId="8" fillId="0" borderId="2" xfId="5" applyFont="1" applyBorder="1"/>
    <xf numFmtId="0" fontId="8" fillId="0" borderId="3" xfId="5" applyFont="1" applyBorder="1"/>
    <xf numFmtId="0" fontId="9" fillId="0" borderId="9" xfId="5" quotePrefix="1" applyFont="1" applyBorder="1" applyAlignment="1">
      <alignment horizontal="center"/>
    </xf>
    <xf numFmtId="0" fontId="8" fillId="0" borderId="10" xfId="5" applyFont="1" applyBorder="1"/>
    <xf numFmtId="0" fontId="8" fillId="0" borderId="9" xfId="5" applyFont="1" applyBorder="1"/>
    <xf numFmtId="0" fontId="8" fillId="0" borderId="11" xfId="5" applyFont="1" applyBorder="1"/>
    <xf numFmtId="0" fontId="8" fillId="0" borderId="4" xfId="5" applyFont="1" applyBorder="1"/>
    <xf numFmtId="0" fontId="9" fillId="0" borderId="12" xfId="5" applyFont="1" applyBorder="1" applyAlignment="1">
      <alignment horizontal="center"/>
    </xf>
    <xf numFmtId="0" fontId="8" fillId="0" borderId="12" xfId="5" applyFont="1" applyBorder="1" applyAlignment="1">
      <alignment horizontal="center"/>
    </xf>
    <xf numFmtId="0" fontId="9" fillId="0" borderId="13" xfId="5" applyFont="1" applyBorder="1" applyAlignment="1">
      <alignment horizontal="center"/>
    </xf>
    <xf numFmtId="0" fontId="9" fillId="0" borderId="6" xfId="5" applyFont="1" applyBorder="1" applyAlignment="1">
      <alignment horizontal="center"/>
    </xf>
    <xf numFmtId="0" fontId="8" fillId="0" borderId="0" xfId="5" quotePrefix="1" applyFont="1" applyAlignment="1">
      <alignment horizontal="right"/>
    </xf>
    <xf numFmtId="0" fontId="11" fillId="0" borderId="0" xfId="5" applyFont="1"/>
    <xf numFmtId="0" fontId="9" fillId="0" borderId="0" xfId="5" quotePrefix="1" applyFont="1" applyAlignment="1">
      <alignment horizontal="center"/>
    </xf>
    <xf numFmtId="0" fontId="8" fillId="0" borderId="13" xfId="5" applyFont="1" applyBorder="1" applyAlignment="1">
      <alignment horizontal="center"/>
    </xf>
    <xf numFmtId="0" fontId="12" fillId="0" borderId="0" xfId="5" applyFont="1"/>
    <xf numFmtId="0" fontId="12" fillId="0" borderId="0" xfId="5" applyFont="1" applyAlignment="1">
      <alignment horizontal="center"/>
    </xf>
    <xf numFmtId="0" fontId="12" fillId="0" borderId="12" xfId="5" applyFont="1" applyBorder="1" applyAlignment="1">
      <alignment horizontal="center"/>
    </xf>
    <xf numFmtId="0" fontId="12" fillId="0" borderId="6" xfId="5" applyFont="1" applyBorder="1" applyAlignment="1">
      <alignment horizontal="center"/>
    </xf>
    <xf numFmtId="166" fontId="8" fillId="0" borderId="0" xfId="4" applyNumberFormat="1" applyFont="1" applyFill="1"/>
    <xf numFmtId="0" fontId="13" fillId="0" borderId="12" xfId="5" quotePrefix="1" applyFont="1" applyBorder="1" applyAlignment="1">
      <alignment horizontal="center"/>
    </xf>
    <xf numFmtId="0" fontId="8" fillId="0" borderId="6" xfId="5" applyFont="1" applyBorder="1"/>
    <xf numFmtId="9" fontId="8" fillId="0" borderId="0" xfId="5" quotePrefix="1" applyNumberFormat="1" applyFont="1" applyAlignment="1">
      <alignment horizontal="center"/>
    </xf>
    <xf numFmtId="168" fontId="8" fillId="0" borderId="12" xfId="5" applyNumberFormat="1" applyFont="1" applyBorder="1" applyAlignment="1">
      <alignment horizontal="center"/>
    </xf>
    <xf numFmtId="7" fontId="8" fillId="0" borderId="12" xfId="5" applyNumberFormat="1" applyFont="1" applyBorder="1" applyAlignment="1">
      <alignment horizontal="center"/>
    </xf>
    <xf numFmtId="164" fontId="8" fillId="0" borderId="12" xfId="5" applyNumberFormat="1" applyFont="1" applyBorder="1" applyAlignment="1">
      <alignment horizontal="center"/>
    </xf>
    <xf numFmtId="169" fontId="8" fillId="0" borderId="0" xfId="4" applyNumberFormat="1" applyFont="1" applyFill="1"/>
    <xf numFmtId="0" fontId="8" fillId="0" borderId="0" xfId="5" quotePrefix="1" applyFont="1" applyAlignment="1">
      <alignment horizontal="left"/>
    </xf>
    <xf numFmtId="0" fontId="8" fillId="0" borderId="0" xfId="5" quotePrefix="1" applyFont="1" applyAlignment="1">
      <alignment horizontal="center"/>
    </xf>
    <xf numFmtId="0" fontId="8" fillId="0" borderId="14" xfId="5" applyFont="1" applyBorder="1" applyAlignment="1">
      <alignment horizontal="center"/>
    </xf>
    <xf numFmtId="0" fontId="8" fillId="0" borderId="7" xfId="5" applyFont="1" applyBorder="1"/>
    <xf numFmtId="0" fontId="11" fillId="0" borderId="1" xfId="5" quotePrefix="1" applyFont="1" applyBorder="1" applyAlignment="1">
      <alignment horizontal="left"/>
    </xf>
    <xf numFmtId="0" fontId="11" fillId="0" borderId="1" xfId="5" applyFont="1" applyBorder="1"/>
    <xf numFmtId="0" fontId="11" fillId="0" borderId="15" xfId="5" applyFont="1" applyBorder="1"/>
    <xf numFmtId="0" fontId="11" fillId="0" borderId="16" xfId="5" applyFont="1" applyBorder="1"/>
    <xf numFmtId="3" fontId="11" fillId="0" borderId="15" xfId="5" applyNumberFormat="1" applyFont="1" applyBorder="1" applyAlignment="1">
      <alignment horizontal="center"/>
    </xf>
    <xf numFmtId="165" fontId="11" fillId="0" borderId="15" xfId="5" applyNumberFormat="1" applyFont="1" applyBorder="1" applyAlignment="1">
      <alignment horizontal="center"/>
    </xf>
    <xf numFmtId="0" fontId="11" fillId="0" borderId="17" xfId="5" applyFont="1" applyBorder="1"/>
    <xf numFmtId="0" fontId="8" fillId="0" borderId="8" xfId="5" applyFont="1" applyBorder="1"/>
    <xf numFmtId="0" fontId="9" fillId="0" borderId="3" xfId="5" applyFont="1" applyBorder="1" applyAlignment="1">
      <alignment horizontal="center"/>
    </xf>
    <xf numFmtId="0" fontId="9" fillId="0" borderId="4" xfId="5" applyFont="1" applyBorder="1" applyAlignment="1">
      <alignment horizontal="center"/>
    </xf>
    <xf numFmtId="0" fontId="14" fillId="0" borderId="5" xfId="5" quotePrefix="1" applyFont="1" applyBorder="1" applyAlignment="1">
      <alignment horizontal="left"/>
    </xf>
    <xf numFmtId="0" fontId="9" fillId="0" borderId="0" xfId="5" applyFont="1" applyAlignment="1">
      <alignment horizontal="left"/>
    </xf>
    <xf numFmtId="0" fontId="10" fillId="0" borderId="0" xfId="5" quotePrefix="1" applyFont="1" applyAlignment="1">
      <alignment horizontal="left"/>
    </xf>
    <xf numFmtId="0" fontId="8" fillId="0" borderId="5" xfId="5" applyFont="1" applyBorder="1" applyAlignment="1">
      <alignment horizontal="center"/>
    </xf>
    <xf numFmtId="0" fontId="8" fillId="0" borderId="0" xfId="5" applyFont="1" applyAlignment="1">
      <alignment horizontal="center"/>
    </xf>
    <xf numFmtId="0" fontId="15" fillId="0" borderId="0" xfId="5" applyFont="1" applyAlignment="1">
      <alignment horizontal="center"/>
    </xf>
    <xf numFmtId="0" fontId="12" fillId="0" borderId="5" xfId="5" applyFont="1" applyBorder="1" applyAlignment="1">
      <alignment horizontal="left"/>
    </xf>
    <xf numFmtId="7" fontId="8" fillId="0" borderId="0" xfId="5" applyNumberFormat="1" applyFont="1"/>
    <xf numFmtId="7" fontId="8" fillId="0" borderId="0" xfId="5" applyNumberFormat="1" applyFont="1" applyAlignment="1">
      <alignment horizontal="center"/>
    </xf>
    <xf numFmtId="0" fontId="12" fillId="0" borderId="0" xfId="5" applyFont="1" applyAlignment="1">
      <alignment horizontal="left"/>
    </xf>
    <xf numFmtId="7" fontId="8" fillId="0" borderId="6" xfId="5" applyNumberFormat="1" applyFont="1" applyBorder="1" applyAlignment="1">
      <alignment horizontal="center"/>
    </xf>
    <xf numFmtId="0" fontId="8" fillId="0" borderId="5" xfId="5" applyFont="1" applyBorder="1" applyAlignment="1">
      <alignment horizontal="left"/>
    </xf>
    <xf numFmtId="7" fontId="12" fillId="0" borderId="0" xfId="5" applyNumberFormat="1" applyFont="1" applyAlignment="1">
      <alignment horizontal="center"/>
    </xf>
    <xf numFmtId="7" fontId="12" fillId="0" borderId="6" xfId="5" applyNumberFormat="1" applyFont="1" applyBorder="1" applyAlignment="1">
      <alignment horizontal="center"/>
    </xf>
    <xf numFmtId="170" fontId="8" fillId="0" borderId="0" xfId="5" applyNumberFormat="1" applyFont="1" applyAlignment="1">
      <alignment horizontal="right"/>
    </xf>
    <xf numFmtId="170" fontId="8" fillId="0" borderId="0" xfId="5" applyNumberFormat="1" applyFont="1" applyAlignment="1">
      <alignment horizontal="center"/>
    </xf>
    <xf numFmtId="170" fontId="8" fillId="0" borderId="6" xfId="5" applyNumberFormat="1" applyFont="1" applyBorder="1" applyAlignment="1">
      <alignment horizontal="center"/>
    </xf>
    <xf numFmtId="170" fontId="15" fillId="0" borderId="0" xfId="5" applyNumberFormat="1" applyFont="1" applyAlignment="1">
      <alignment horizontal="center"/>
    </xf>
    <xf numFmtId="170" fontId="15" fillId="0" borderId="6" xfId="5" applyNumberFormat="1" applyFont="1" applyBorder="1" applyAlignment="1">
      <alignment horizontal="center"/>
    </xf>
    <xf numFmtId="0" fontId="8" fillId="0" borderId="5" xfId="5" quotePrefix="1" applyFont="1" applyBorder="1" applyAlignment="1">
      <alignment horizontal="left"/>
    </xf>
    <xf numFmtId="170" fontId="8" fillId="0" borderId="0" xfId="5" applyNumberFormat="1" applyFont="1"/>
    <xf numFmtId="170" fontId="8" fillId="0" borderId="0" xfId="5" quotePrefix="1" applyNumberFormat="1" applyFont="1" applyAlignment="1">
      <alignment horizontal="right"/>
    </xf>
    <xf numFmtId="0" fontId="12" fillId="0" borderId="5" xfId="5" applyFont="1" applyBorder="1"/>
    <xf numFmtId="170" fontId="16" fillId="0" borderId="0" xfId="5" applyNumberFormat="1" applyFont="1" applyAlignment="1">
      <alignment horizontal="center"/>
    </xf>
    <xf numFmtId="170" fontId="17" fillId="0" borderId="0" xfId="5" applyNumberFormat="1" applyFont="1" applyAlignment="1">
      <alignment horizontal="center"/>
    </xf>
    <xf numFmtId="0" fontId="9" fillId="0" borderId="5" xfId="5" applyFont="1" applyBorder="1"/>
    <xf numFmtId="7" fontId="8" fillId="0" borderId="0" xfId="5" applyNumberFormat="1" applyFont="1" applyAlignment="1">
      <alignment horizontal="right"/>
    </xf>
    <xf numFmtId="7" fontId="8" fillId="0" borderId="0" xfId="5" quotePrefix="1" applyNumberFormat="1" applyFont="1" applyAlignment="1">
      <alignment horizontal="right"/>
    </xf>
    <xf numFmtId="0" fontId="2" fillId="0" borderId="6" xfId="5" applyBorder="1"/>
    <xf numFmtId="0" fontId="9" fillId="0" borderId="7" xfId="5" applyFont="1" applyBorder="1"/>
    <xf numFmtId="0" fontId="8" fillId="0" borderId="1" xfId="5" applyFont="1" applyBorder="1"/>
    <xf numFmtId="7" fontId="8" fillId="0" borderId="1" xfId="5" applyNumberFormat="1" applyFont="1" applyBorder="1" applyAlignment="1">
      <alignment horizontal="right"/>
    </xf>
    <xf numFmtId="170" fontId="8" fillId="0" borderId="1" xfId="5" applyNumberFormat="1" applyFont="1" applyBorder="1" applyAlignment="1">
      <alignment horizontal="center"/>
    </xf>
    <xf numFmtId="0" fontId="9" fillId="0" borderId="1" xfId="5" applyFont="1" applyBorder="1"/>
    <xf numFmtId="170" fontId="8" fillId="0" borderId="8" xfId="5" applyNumberFormat="1" applyFont="1" applyBorder="1" applyAlignment="1">
      <alignment horizontal="center"/>
    </xf>
    <xf numFmtId="0" fontId="8" fillId="0" borderId="0" xfId="5" quotePrefix="1" applyFont="1" applyAlignment="1">
      <alignment horizontal="left" vertical="center"/>
    </xf>
    <xf numFmtId="0" fontId="2" fillId="0" borderId="0" xfId="5" applyAlignment="1">
      <alignment vertical="top"/>
    </xf>
    <xf numFmtId="0" fontId="17" fillId="0" borderId="0" xfId="5" quotePrefix="1" applyFont="1" applyAlignment="1">
      <alignment horizontal="left"/>
    </xf>
    <xf numFmtId="170" fontId="17" fillId="0" borderId="0" xfId="5" applyNumberFormat="1" applyFont="1"/>
    <xf numFmtId="0" fontId="9" fillId="0" borderId="5" xfId="5" applyFont="1" applyBorder="1" applyAlignment="1">
      <alignment horizontal="centerContinuous"/>
    </xf>
    <xf numFmtId="0" fontId="15" fillId="0" borderId="0" xfId="5" applyFont="1"/>
    <xf numFmtId="165" fontId="8" fillId="0" borderId="0" xfId="5" applyNumberFormat="1" applyFont="1"/>
    <xf numFmtId="171" fontId="8" fillId="0" borderId="0" xfId="5" applyNumberFormat="1" applyFont="1"/>
    <xf numFmtId="0" fontId="12" fillId="0" borderId="12" xfId="5" quotePrefix="1" applyFont="1" applyBorder="1" applyAlignment="1">
      <alignment horizontal="center"/>
    </xf>
    <xf numFmtId="164" fontId="8" fillId="0" borderId="0" xfId="3" applyNumberFormat="1" applyFont="1" applyFill="1"/>
    <xf numFmtId="0" fontId="8" fillId="0" borderId="15" xfId="5" applyFont="1" applyBorder="1"/>
    <xf numFmtId="0" fontId="8" fillId="0" borderId="17" xfId="5" applyFont="1" applyBorder="1"/>
    <xf numFmtId="0" fontId="9" fillId="0" borderId="5" xfId="5" quotePrefix="1" applyFont="1" applyBorder="1" applyAlignment="1">
      <alignment horizontal="left"/>
    </xf>
    <xf numFmtId="0" fontId="9" fillId="0" borderId="0" xfId="5" quotePrefix="1" applyFont="1" applyAlignment="1">
      <alignment horizontal="left"/>
    </xf>
    <xf numFmtId="0" fontId="9" fillId="0" borderId="5" xfId="5" applyFont="1" applyBorder="1" applyAlignment="1">
      <alignment horizontal="left"/>
    </xf>
    <xf numFmtId="0" fontId="12" fillId="0" borderId="5" xfId="5" quotePrefix="1" applyFont="1" applyBorder="1" applyAlignment="1">
      <alignment horizontal="left"/>
    </xf>
    <xf numFmtId="0" fontId="12" fillId="0" borderId="0" xfId="5" quotePrefix="1" applyFont="1" applyAlignment="1">
      <alignment horizontal="left"/>
    </xf>
    <xf numFmtId="0" fontId="8" fillId="0" borderId="1" xfId="5" applyFont="1" applyBorder="1" applyAlignment="1">
      <alignment horizontal="right"/>
    </xf>
    <xf numFmtId="0" fontId="9" fillId="0" borderId="1" xfId="5" applyFont="1" applyBorder="1" applyAlignment="1">
      <alignment horizontal="center"/>
    </xf>
    <xf numFmtId="0" fontId="8" fillId="0" borderId="0" xfId="5" quotePrefix="1" applyFont="1" applyAlignment="1">
      <alignment vertical="center"/>
    </xf>
    <xf numFmtId="0" fontId="2" fillId="0" borderId="0" xfId="5" applyAlignment="1">
      <alignment wrapText="1"/>
    </xf>
    <xf numFmtId="0" fontId="20" fillId="0" borderId="0" xfId="2" quotePrefix="1" applyFont="1" applyAlignment="1">
      <alignment horizontal="left"/>
    </xf>
    <xf numFmtId="166" fontId="4" fillId="0" borderId="0" xfId="2" applyNumberFormat="1" applyFont="1"/>
    <xf numFmtId="0" fontId="21" fillId="0" borderId="0" xfId="5" quotePrefix="1" applyFont="1" applyAlignment="1">
      <alignment horizontal="center"/>
    </xf>
    <xf numFmtId="0" fontId="21" fillId="0" borderId="0" xfId="5" applyFont="1"/>
    <xf numFmtId="168" fontId="21" fillId="0" borderId="12" xfId="5" applyNumberFormat="1" applyFont="1" applyBorder="1" applyAlignment="1">
      <alignment horizontal="center"/>
    </xf>
    <xf numFmtId="0" fontId="21" fillId="0" borderId="14" xfId="5" applyFont="1" applyBorder="1" applyAlignment="1">
      <alignment horizontal="center"/>
    </xf>
    <xf numFmtId="7" fontId="21" fillId="0" borderId="12" xfId="5" applyNumberFormat="1" applyFont="1" applyBorder="1" applyAlignment="1">
      <alignment horizontal="center"/>
    </xf>
    <xf numFmtId="0" fontId="21" fillId="0" borderId="12" xfId="5" applyFont="1" applyBorder="1" applyAlignment="1">
      <alignment horizontal="center"/>
    </xf>
    <xf numFmtId="0" fontId="22" fillId="0" borderId="0" xfId="5" applyFont="1"/>
    <xf numFmtId="0" fontId="21" fillId="0" borderId="13" xfId="5" applyFont="1" applyBorder="1" applyAlignment="1">
      <alignment horizontal="center"/>
    </xf>
    <xf numFmtId="164" fontId="21" fillId="0" borderId="12" xfId="5" applyNumberFormat="1" applyFont="1" applyBorder="1" applyAlignment="1">
      <alignment horizontal="center"/>
    </xf>
    <xf numFmtId="0" fontId="8" fillId="0" borderId="0" xfId="5" applyFont="1" applyAlignment="1">
      <alignment horizontal="right"/>
    </xf>
    <xf numFmtId="164" fontId="8" fillId="0" borderId="0" xfId="1" applyNumberFormat="1" applyFont="1" applyAlignment="1">
      <alignment horizontal="left"/>
    </xf>
    <xf numFmtId="0" fontId="21" fillId="0" borderId="0" xfId="5" applyFont="1" applyAlignment="1">
      <alignment horizontal="center"/>
    </xf>
    <xf numFmtId="44" fontId="8" fillId="0" borderId="0" xfId="11" applyFont="1" applyFill="1"/>
    <xf numFmtId="164" fontId="8" fillId="0" borderId="0" xfId="11" applyNumberFormat="1" applyFont="1" applyFill="1"/>
    <xf numFmtId="0" fontId="18" fillId="0" borderId="0" xfId="5" quotePrefix="1" applyFont="1" applyAlignment="1">
      <alignment vertical="top" wrapText="1"/>
    </xf>
    <xf numFmtId="0" fontId="9" fillId="0" borderId="12" xfId="5" applyFont="1" applyFill="1" applyBorder="1" applyAlignment="1">
      <alignment horizontal="center"/>
    </xf>
    <xf numFmtId="0" fontId="9" fillId="0" borderId="13" xfId="5" applyFont="1" applyFill="1" applyBorder="1" applyAlignment="1">
      <alignment horizontal="center"/>
    </xf>
    <xf numFmtId="0" fontId="8" fillId="0" borderId="13" xfId="5" applyFont="1" applyFill="1" applyBorder="1" applyAlignment="1">
      <alignment horizontal="center"/>
    </xf>
    <xf numFmtId="0" fontId="12" fillId="0" borderId="12" xfId="5" applyFont="1" applyFill="1" applyBorder="1" applyAlignment="1">
      <alignment horizontal="center"/>
    </xf>
    <xf numFmtId="0" fontId="8" fillId="0" borderId="12" xfId="5" applyFont="1" applyFill="1" applyBorder="1" applyAlignment="1">
      <alignment horizontal="center"/>
    </xf>
    <xf numFmtId="7" fontId="8" fillId="0" borderId="12" xfId="5" applyNumberFormat="1" applyFont="1" applyFill="1" applyBorder="1" applyAlignment="1">
      <alignment horizontal="center"/>
    </xf>
    <xf numFmtId="164" fontId="8" fillId="0" borderId="12" xfId="5" applyNumberFormat="1" applyFont="1" applyFill="1" applyBorder="1" applyAlignment="1">
      <alignment horizontal="center"/>
    </xf>
    <xf numFmtId="170" fontId="2" fillId="0" borderId="0" xfId="5" applyNumberFormat="1"/>
    <xf numFmtId="168" fontId="8" fillId="0" borderId="0" xfId="5" applyNumberFormat="1" applyFont="1" applyBorder="1" applyAlignment="1">
      <alignment horizontal="center"/>
    </xf>
    <xf numFmtId="167" fontId="4" fillId="0" borderId="0" xfId="2" applyNumberFormat="1" applyFont="1" applyFill="1"/>
    <xf numFmtId="0" fontId="4" fillId="0" borderId="0" xfId="2" applyFont="1" applyAlignment="1">
      <alignment horizontal="right"/>
    </xf>
    <xf numFmtId="0" fontId="8" fillId="0" borderId="0" xfId="5" quotePrefix="1" applyFont="1" applyAlignment="1">
      <alignment horizontal="left" vertical="top" wrapText="1"/>
    </xf>
  </cellXfs>
  <cellStyles count="12">
    <cellStyle name="Comma 10 3" xfId="4" xr:uid="{6B816AF4-62D2-4B83-A0D3-97FF6A3F8A89}"/>
    <cellStyle name="Comma 2" xfId="8" xr:uid="{3032CBB2-D40F-4AEF-BCDD-F08899647B4E}"/>
    <cellStyle name="Currency" xfId="11" builtinId="4"/>
    <cellStyle name="Currency 2" xfId="9" xr:uid="{0E23C3B3-1FB3-4E18-8AFB-299DE69AA5F2}"/>
    <cellStyle name="Normal" xfId="0" builtinId="0"/>
    <cellStyle name="Normal 10" xfId="5" xr:uid="{6592A6F8-01B2-498A-9DC7-7BEA372C9276}"/>
    <cellStyle name="Normal 2" xfId="6" xr:uid="{21BB3EC0-C3F3-40B1-B2ED-9A0F9D96F33D}"/>
    <cellStyle name="Normal 2 2" xfId="2" xr:uid="{ED1B979D-7C99-430D-9CA8-1D28CFDD26A8}"/>
    <cellStyle name="Normal 2 6" xfId="7" xr:uid="{046CBF42-D3E2-493C-A0D6-E750AEF8FA09}"/>
    <cellStyle name="Normal 27" xfId="10" xr:uid="{BA509919-9BBA-417E-9B71-58A6F9516D35}"/>
    <cellStyle name="Percent" xfId="1" builtinId="5"/>
    <cellStyle name="Percent 2 2" xfId="3" xr:uid="{E70F17A0-781A-4776-BAD3-C79AAAAEFA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reg Macias" id="{1703A196-4811-4F68-A024-3DA128E6D827}" userId="S::gmacias@atriumecon.com::01643016-5933-4f07-9214-6e599a63986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51" dT="2023-12-19T14:16:59.37" personId="{1703A196-4811-4F68-A024-3DA128E6D827}" id="{634EA613-A0C4-4000-9A3F-DF2F884D7451}">
    <text>Average summer/winter kWh weighted distribution rate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51" dT="2023-12-19T14:14:56.37" personId="{1703A196-4811-4F68-A024-3DA128E6D827}" id="{F951CFDD-3EDF-494B-A1C6-154ED8B8C04A}">
    <text>Average kWh weighted summer/winter distribution rate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730E4-CA79-4AD4-91AB-D613D1925D2F}">
  <sheetPr>
    <pageSetUpPr fitToPage="1"/>
  </sheetPr>
  <dimension ref="A1:Z86"/>
  <sheetViews>
    <sheetView topLeftCell="A43" zoomScaleNormal="100" workbookViewId="0">
      <selection activeCell="E41" sqref="E41"/>
    </sheetView>
  </sheetViews>
  <sheetFormatPr defaultColWidth="8.44140625" defaultRowHeight="13.2" x14ac:dyDescent="0.25"/>
  <cols>
    <col min="1" max="2" width="3.44140625" style="24" customWidth="1"/>
    <col min="3" max="3" width="10.88671875" style="24" customWidth="1"/>
    <col min="4" max="4" width="3.44140625" style="24" customWidth="1"/>
    <col min="5" max="5" width="9.88671875" style="24" customWidth="1"/>
    <col min="6" max="6" width="3.44140625" style="24" customWidth="1"/>
    <col min="7" max="7" width="11.5546875" style="24" customWidth="1"/>
    <col min="8" max="8" width="3.44140625" style="24" customWidth="1"/>
    <col min="9" max="9" width="11.88671875" style="24" bestFit="1" customWidth="1"/>
    <col min="10" max="10" width="12.109375" style="24" customWidth="1"/>
    <col min="11" max="11" width="12.6640625" style="24" customWidth="1"/>
    <col min="12" max="12" width="3.44140625" style="24" customWidth="1"/>
    <col min="13" max="13" width="9.88671875" style="24" customWidth="1"/>
    <col min="14" max="14" width="3.44140625" style="24" customWidth="1"/>
    <col min="15" max="15" width="8.44140625" style="24" customWidth="1"/>
    <col min="16" max="16" width="11.44140625" style="24" customWidth="1"/>
    <col min="17" max="17" width="1.5546875" style="24" customWidth="1"/>
    <col min="18" max="18" width="9.88671875" style="24" customWidth="1"/>
    <col min="19" max="19" width="1.5546875" style="24" customWidth="1"/>
    <col min="20" max="20" width="9" style="24" customWidth="1"/>
    <col min="21" max="21" width="8.6640625" style="24" bestFit="1" customWidth="1"/>
    <col min="22" max="16384" width="8.44140625" style="24"/>
  </cols>
  <sheetData>
    <row r="1" spans="1:26" x14ac:dyDescent="0.25">
      <c r="S1" s="147" t="s">
        <v>100</v>
      </c>
    </row>
    <row r="2" spans="1:26" x14ac:dyDescent="0.25">
      <c r="S2" s="147" t="s">
        <v>101</v>
      </c>
    </row>
    <row r="3" spans="1:26" ht="12.45" customHeight="1" x14ac:dyDescent="0.25">
      <c r="A3" s="21"/>
      <c r="B3" s="21"/>
      <c r="C3" s="21"/>
      <c r="D3" s="21"/>
      <c r="E3" s="21"/>
      <c r="F3" s="21"/>
      <c r="G3" s="21"/>
      <c r="H3" s="22"/>
      <c r="I3" s="23"/>
      <c r="J3" s="21"/>
      <c r="K3" s="21"/>
      <c r="L3" s="21"/>
      <c r="M3" s="21"/>
      <c r="N3" s="21"/>
      <c r="O3" s="21"/>
      <c r="P3" s="21"/>
      <c r="Q3" s="21"/>
      <c r="R3" s="21"/>
      <c r="S3" s="147" t="s">
        <v>102</v>
      </c>
      <c r="T3" s="21"/>
      <c r="U3" s="21"/>
      <c r="V3" s="21"/>
      <c r="W3" s="21"/>
      <c r="X3" s="21"/>
      <c r="Y3" s="21"/>
      <c r="Z3" s="21"/>
    </row>
    <row r="4" spans="1:26" ht="12.45" customHeight="1" x14ac:dyDescent="0.2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2.45" customHeight="1" x14ac:dyDescent="0.25">
      <c r="A5" s="21"/>
      <c r="B5" s="25" t="s">
        <v>0</v>
      </c>
      <c r="C5" s="26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8"/>
      <c r="T5" s="29"/>
      <c r="U5" s="29"/>
      <c r="V5" s="29"/>
      <c r="W5" s="21"/>
      <c r="X5" s="21"/>
      <c r="Y5" s="21"/>
      <c r="Z5" s="21"/>
    </row>
    <row r="6" spans="1:26" ht="12.45" customHeight="1" x14ac:dyDescent="0.25">
      <c r="A6" s="21"/>
      <c r="B6" s="30" t="s">
        <v>93</v>
      </c>
      <c r="C6" s="31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3"/>
      <c r="T6" s="29"/>
      <c r="U6" s="29"/>
      <c r="V6" s="29"/>
      <c r="W6" s="21"/>
      <c r="X6" s="21"/>
      <c r="Y6" s="21"/>
      <c r="Z6" s="21"/>
    </row>
    <row r="7" spans="1:26" ht="12.45" customHeight="1" x14ac:dyDescent="0.25">
      <c r="A7" s="21"/>
      <c r="B7" s="34" t="s">
        <v>1</v>
      </c>
      <c r="C7" s="35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7"/>
      <c r="T7" s="29"/>
      <c r="U7" s="29"/>
      <c r="V7" s="29"/>
      <c r="W7" s="21"/>
      <c r="X7" s="21"/>
      <c r="Y7" s="21"/>
      <c r="Z7" s="21"/>
    </row>
    <row r="8" spans="1:26" ht="12.45" customHeight="1" x14ac:dyDescent="0.25">
      <c r="A8" s="21"/>
      <c r="B8" s="38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12.45" customHeight="1" x14ac:dyDescent="0.25">
      <c r="A9" s="21"/>
      <c r="B9" s="39"/>
      <c r="C9" s="40"/>
      <c r="D9" s="40"/>
      <c r="E9" s="41" t="s">
        <v>2</v>
      </c>
      <c r="F9" s="42"/>
      <c r="G9" s="43"/>
      <c r="H9" s="43"/>
      <c r="I9" s="43"/>
      <c r="J9" s="41" t="s">
        <v>3</v>
      </c>
      <c r="K9" s="43"/>
      <c r="L9" s="43"/>
      <c r="M9" s="43"/>
      <c r="N9" s="44"/>
      <c r="O9" s="43"/>
      <c r="P9" s="43"/>
      <c r="Q9" s="43"/>
      <c r="R9" s="43"/>
      <c r="S9" s="45"/>
      <c r="T9" s="21"/>
      <c r="U9" s="21"/>
      <c r="V9" s="21"/>
      <c r="W9" s="21"/>
      <c r="X9" s="21"/>
      <c r="Y9" s="21"/>
      <c r="Z9" s="21"/>
    </row>
    <row r="10" spans="1:26" ht="12.45" customHeight="1" x14ac:dyDescent="0.25">
      <c r="A10" s="22"/>
      <c r="B10" s="38"/>
      <c r="C10" s="21"/>
      <c r="D10" s="22"/>
      <c r="E10" s="46" t="s">
        <v>4</v>
      </c>
      <c r="F10" s="46"/>
      <c r="G10" s="46" t="s">
        <v>5</v>
      </c>
      <c r="H10" s="46"/>
      <c r="I10" s="46" t="s">
        <v>6</v>
      </c>
      <c r="J10" s="46" t="s">
        <v>7</v>
      </c>
      <c r="K10" s="46" t="s">
        <v>8</v>
      </c>
      <c r="L10" s="46"/>
      <c r="M10" s="47"/>
      <c r="N10" s="48"/>
      <c r="O10" s="46" t="s">
        <v>9</v>
      </c>
      <c r="P10" s="153"/>
      <c r="Q10" s="154"/>
      <c r="R10" s="153"/>
      <c r="S10" s="49"/>
      <c r="T10" s="22"/>
      <c r="U10" s="22"/>
      <c r="V10" s="22"/>
      <c r="W10" s="22"/>
      <c r="X10" s="50"/>
      <c r="Y10" s="51"/>
      <c r="Z10" s="21"/>
    </row>
    <row r="11" spans="1:26" ht="12.45" customHeight="1" x14ac:dyDescent="0.25">
      <c r="A11" s="22"/>
      <c r="B11" s="38"/>
      <c r="C11" s="52"/>
      <c r="D11" s="22"/>
      <c r="E11" s="46" t="s">
        <v>10</v>
      </c>
      <c r="F11" s="46"/>
      <c r="G11" s="46" t="s">
        <v>11</v>
      </c>
      <c r="H11" s="46"/>
      <c r="I11" s="46" t="s">
        <v>12</v>
      </c>
      <c r="J11" s="46" t="s">
        <v>10</v>
      </c>
      <c r="K11" s="46" t="s">
        <v>11</v>
      </c>
      <c r="L11" s="46"/>
      <c r="M11" s="46" t="s">
        <v>13</v>
      </c>
      <c r="N11" s="53"/>
      <c r="O11" s="46" t="s">
        <v>13</v>
      </c>
      <c r="P11" s="153"/>
      <c r="Q11" s="155"/>
      <c r="R11" s="153"/>
      <c r="S11" s="49"/>
      <c r="T11" s="22"/>
      <c r="U11" s="22"/>
      <c r="V11" s="22"/>
      <c r="W11" s="22"/>
      <c r="X11" s="22"/>
      <c r="Y11" s="22"/>
      <c r="Z11" s="22"/>
    </row>
    <row r="12" spans="1:26" ht="12.45" customHeight="1" x14ac:dyDescent="0.25">
      <c r="A12" s="54"/>
      <c r="B12" s="38"/>
      <c r="C12" s="55" t="s">
        <v>14</v>
      </c>
      <c r="D12" s="54"/>
      <c r="E12" s="56" t="s">
        <v>15</v>
      </c>
      <c r="F12" s="56"/>
      <c r="G12" s="56" t="s">
        <v>16</v>
      </c>
      <c r="H12" s="56"/>
      <c r="I12" s="56" t="s">
        <v>17</v>
      </c>
      <c r="J12" s="56" t="s">
        <v>15</v>
      </c>
      <c r="K12" s="56" t="s">
        <v>16</v>
      </c>
      <c r="L12" s="56"/>
      <c r="M12" s="56" t="s">
        <v>18</v>
      </c>
      <c r="N12" s="53"/>
      <c r="O12" s="56" t="s">
        <v>18</v>
      </c>
      <c r="P12" s="156"/>
      <c r="Q12" s="155"/>
      <c r="R12" s="156"/>
      <c r="S12" s="57"/>
      <c r="T12" s="54"/>
      <c r="U12" s="22"/>
      <c r="V12" s="22"/>
      <c r="W12" s="22"/>
      <c r="X12" s="58"/>
      <c r="Y12" s="54"/>
      <c r="Z12" s="54"/>
    </row>
    <row r="13" spans="1:26" ht="12.45" customHeight="1" x14ac:dyDescent="0.25">
      <c r="A13" s="21"/>
      <c r="B13" s="38"/>
      <c r="C13" s="21"/>
      <c r="D13" s="21"/>
      <c r="E13" s="47"/>
      <c r="F13" s="47"/>
      <c r="G13" s="59"/>
      <c r="H13" s="47"/>
      <c r="K13" s="47"/>
      <c r="L13" s="47"/>
      <c r="M13" s="47"/>
      <c r="N13" s="53"/>
      <c r="O13" s="47"/>
      <c r="P13" s="157"/>
      <c r="Q13" s="155"/>
      <c r="R13" s="157"/>
      <c r="S13" s="60"/>
      <c r="T13" s="21"/>
      <c r="U13" s="22"/>
      <c r="V13" s="22"/>
      <c r="W13" s="22"/>
      <c r="X13" s="58"/>
      <c r="Y13" s="58"/>
      <c r="Z13" s="21"/>
    </row>
    <row r="14" spans="1:26" ht="12.45" customHeight="1" x14ac:dyDescent="0.25">
      <c r="A14" s="21"/>
      <c r="B14" s="38"/>
      <c r="C14" s="61">
        <v>0.1</v>
      </c>
      <c r="D14" s="21"/>
      <c r="E14" s="62">
        <v>70.122988545523754</v>
      </c>
      <c r="F14" s="47"/>
      <c r="G14" s="63">
        <f t="shared" ref="G14:G23" si="0">$I$34+E14*$I$72</f>
        <v>39.216009495787269</v>
      </c>
      <c r="H14" s="47"/>
      <c r="I14" s="62">
        <f>E14/$E$25*$I$25</f>
        <v>61.279947893342879</v>
      </c>
      <c r="J14" s="62">
        <f>E14+I14</f>
        <v>131.40293643886662</v>
      </c>
      <c r="K14" s="63">
        <f t="shared" ref="K14:K23" si="1">$P$34+J14*($P$71*$O$40)+J14*($P$72*$O$41)</f>
        <v>59.318075025504918</v>
      </c>
      <c r="L14" s="47"/>
      <c r="M14" s="63">
        <f t="shared" ref="M14:M23" si="2">K14-G14</f>
        <v>20.102065529717649</v>
      </c>
      <c r="N14" s="53"/>
      <c r="O14" s="64">
        <f>K14/G14-1</f>
        <v>0.5125984460983235</v>
      </c>
      <c r="P14" s="158"/>
      <c r="Q14" s="155"/>
      <c r="R14" s="159"/>
      <c r="S14" s="60"/>
      <c r="T14" s="21"/>
      <c r="U14" s="22"/>
      <c r="V14" s="22"/>
      <c r="W14" s="22"/>
      <c r="X14" s="58"/>
      <c r="Y14" s="65"/>
      <c r="Z14" s="21"/>
    </row>
    <row r="15" spans="1:26" ht="12.45" customHeight="1" x14ac:dyDescent="0.25">
      <c r="A15" s="21"/>
      <c r="B15" s="38"/>
      <c r="C15" s="61">
        <v>0.2</v>
      </c>
      <c r="D15" s="21"/>
      <c r="E15" s="62">
        <v>182.93414313399779</v>
      </c>
      <c r="F15" s="47"/>
      <c r="G15" s="63">
        <f t="shared" si="0"/>
        <v>88.630738779904277</v>
      </c>
      <c r="H15" s="47"/>
      <c r="I15" s="62">
        <f t="shared" ref="I15:I23" si="3">E15/$E$25*$I$25</f>
        <v>159.86476035440316</v>
      </c>
      <c r="J15" s="62">
        <f t="shared" ref="J15:J23" si="4">E15+I15</f>
        <v>342.79890348840092</v>
      </c>
      <c r="K15" s="63">
        <f t="shared" si="1"/>
        <v>141.0722306383843</v>
      </c>
      <c r="L15" s="47"/>
      <c r="M15" s="63">
        <f t="shared" si="2"/>
        <v>52.44149185848002</v>
      </c>
      <c r="N15" s="53"/>
      <c r="O15" s="64">
        <f t="shared" ref="O15:O23" si="5">K15/G15-1</f>
        <v>0.5916851487462762</v>
      </c>
      <c r="P15" s="158"/>
      <c r="Q15" s="155"/>
      <c r="R15" s="159"/>
      <c r="S15" s="60"/>
      <c r="T15" s="21"/>
      <c r="U15" s="22"/>
      <c r="V15" s="22"/>
      <c r="W15" s="22"/>
      <c r="X15" s="58"/>
      <c r="Y15" s="58"/>
      <c r="Z15" s="21"/>
    </row>
    <row r="16" spans="1:26" ht="12.45" customHeight="1" x14ac:dyDescent="0.25">
      <c r="A16" s="21"/>
      <c r="B16" s="38"/>
      <c r="C16" s="61">
        <v>0.30000000000000004</v>
      </c>
      <c r="D16" s="21"/>
      <c r="E16" s="62">
        <v>262.31338893310726</v>
      </c>
      <c r="F16" s="47"/>
      <c r="G16" s="63">
        <f t="shared" si="0"/>
        <v>123.40127150115292</v>
      </c>
      <c r="H16" s="47"/>
      <c r="I16" s="62">
        <f t="shared" si="3"/>
        <v>229.23368126433201</v>
      </c>
      <c r="J16" s="62">
        <f t="shared" si="4"/>
        <v>491.54707019743927</v>
      </c>
      <c r="K16" s="63">
        <f t="shared" si="1"/>
        <v>198.59830806545142</v>
      </c>
      <c r="L16" s="47"/>
      <c r="M16" s="63">
        <f t="shared" si="2"/>
        <v>75.1970365642985</v>
      </c>
      <c r="N16" s="53"/>
      <c r="O16" s="64">
        <f t="shared" si="5"/>
        <v>0.6093700303857561</v>
      </c>
      <c r="P16" s="158"/>
      <c r="Q16" s="155"/>
      <c r="R16" s="159"/>
      <c r="S16" s="60"/>
      <c r="T16" s="21"/>
      <c r="U16" s="21"/>
      <c r="V16" s="21"/>
      <c r="W16" s="21"/>
      <c r="X16" s="58"/>
      <c r="Y16" s="58"/>
      <c r="Z16" s="21"/>
    </row>
    <row r="17" spans="1:26" ht="12.45" customHeight="1" x14ac:dyDescent="0.25">
      <c r="A17" s="21"/>
      <c r="B17" s="38"/>
      <c r="C17" s="61">
        <v>0.4</v>
      </c>
      <c r="D17" s="21"/>
      <c r="E17" s="62">
        <v>335.31654900332228</v>
      </c>
      <c r="F17" s="47"/>
      <c r="G17" s="63">
        <f t="shared" si="0"/>
        <v>155.37888404234491</v>
      </c>
      <c r="H17" s="47"/>
      <c r="I17" s="62">
        <f t="shared" si="3"/>
        <v>293.03058921054526</v>
      </c>
      <c r="J17" s="62">
        <f t="shared" si="4"/>
        <v>628.34713821386754</v>
      </c>
      <c r="K17" s="63">
        <f t="shared" si="1"/>
        <v>251.50364114518294</v>
      </c>
      <c r="L17" s="47"/>
      <c r="M17" s="63">
        <f t="shared" si="2"/>
        <v>96.124757102838032</v>
      </c>
      <c r="N17" s="53"/>
      <c r="O17" s="64">
        <f t="shared" si="5"/>
        <v>0.61864749316027701</v>
      </c>
      <c r="P17" s="158"/>
      <c r="Q17" s="155"/>
      <c r="R17" s="159"/>
      <c r="S17" s="60"/>
      <c r="T17" s="21"/>
      <c r="U17" s="21"/>
      <c r="V17" s="21"/>
      <c r="W17" s="21"/>
      <c r="X17" s="58"/>
      <c r="Y17" s="58"/>
      <c r="Z17" s="21"/>
    </row>
    <row r="18" spans="1:26" ht="12.45" customHeight="1" x14ac:dyDescent="0.25">
      <c r="A18" s="21"/>
      <c r="B18" s="38"/>
      <c r="C18" s="61">
        <v>0.5</v>
      </c>
      <c r="D18" s="21"/>
      <c r="E18" s="62">
        <v>410.31906426272622</v>
      </c>
      <c r="F18" s="47"/>
      <c r="G18" s="63">
        <f t="shared" si="0"/>
        <v>188.23227518696464</v>
      </c>
      <c r="H18" s="47"/>
      <c r="I18" s="62">
        <f t="shared" si="3"/>
        <v>358.57471849394159</v>
      </c>
      <c r="J18" s="62">
        <f t="shared" si="4"/>
        <v>768.89378275666786</v>
      </c>
      <c r="K18" s="63">
        <f t="shared" si="1"/>
        <v>305.85790536881279</v>
      </c>
      <c r="L18" s="47"/>
      <c r="M18" s="63">
        <f t="shared" si="2"/>
        <v>117.62563018184815</v>
      </c>
      <c r="N18" s="53"/>
      <c r="O18" s="64">
        <f t="shared" si="5"/>
        <v>0.62489618246931711</v>
      </c>
      <c r="P18" s="158"/>
      <c r="Q18" s="155"/>
      <c r="R18" s="159"/>
      <c r="S18" s="60"/>
      <c r="T18" s="21"/>
      <c r="U18" s="21"/>
      <c r="V18" s="21"/>
      <c r="W18" s="21"/>
      <c r="X18" s="58"/>
      <c r="Y18" s="58"/>
      <c r="Z18" s="21"/>
    </row>
    <row r="19" spans="1:26" ht="12.45" customHeight="1" x14ac:dyDescent="0.25">
      <c r="A19" s="21"/>
      <c r="B19" s="38"/>
      <c r="C19" s="61">
        <v>0.6</v>
      </c>
      <c r="D19" s="21"/>
      <c r="E19" s="62">
        <v>493.45217331118494</v>
      </c>
      <c r="F19" s="47"/>
      <c r="G19" s="63">
        <f t="shared" si="0"/>
        <v>224.64711459856554</v>
      </c>
      <c r="H19" s="47"/>
      <c r="I19" s="62">
        <f t="shared" si="3"/>
        <v>431.22411202904271</v>
      </c>
      <c r="J19" s="62">
        <f t="shared" si="4"/>
        <v>924.67628534022765</v>
      </c>
      <c r="K19" s="63">
        <f t="shared" si="1"/>
        <v>366.10440456052095</v>
      </c>
      <c r="L19" s="47"/>
      <c r="M19" s="63">
        <f t="shared" si="2"/>
        <v>141.45728996195541</v>
      </c>
      <c r="N19" s="53"/>
      <c r="O19" s="64">
        <f t="shared" si="5"/>
        <v>0.62968665417641057</v>
      </c>
      <c r="P19" s="158"/>
      <c r="Q19" s="155"/>
      <c r="R19" s="159"/>
      <c r="S19" s="60"/>
      <c r="T19" s="21"/>
      <c r="U19" s="21"/>
      <c r="V19" s="21"/>
      <c r="W19" s="21"/>
      <c r="X19" s="58"/>
      <c r="Y19" s="58"/>
      <c r="Z19" s="21"/>
    </row>
    <row r="20" spans="1:26" ht="12.45" customHeight="1" x14ac:dyDescent="0.25">
      <c r="A20" s="21"/>
      <c r="B20" s="38"/>
      <c r="C20" s="61">
        <v>0.7</v>
      </c>
      <c r="D20" s="21"/>
      <c r="E20" s="62">
        <v>593.31134719867111</v>
      </c>
      <c r="F20" s="47"/>
      <c r="G20" s="63">
        <f t="shared" si="0"/>
        <v>268.38848097484635</v>
      </c>
      <c r="H20" s="47"/>
      <c r="I20" s="62">
        <f t="shared" si="3"/>
        <v>518.49028678034745</v>
      </c>
      <c r="J20" s="62">
        <f t="shared" si="4"/>
        <v>1111.8016339790186</v>
      </c>
      <c r="K20" s="63">
        <f t="shared" si="1"/>
        <v>438.47226987625487</v>
      </c>
      <c r="L20" s="47"/>
      <c r="M20" s="63">
        <f t="shared" si="2"/>
        <v>170.08378890140852</v>
      </c>
      <c r="N20" s="53"/>
      <c r="O20" s="64">
        <f t="shared" si="5"/>
        <v>0.63372238735293918</v>
      </c>
      <c r="P20" s="158"/>
      <c r="Q20" s="155"/>
      <c r="R20" s="159"/>
      <c r="S20" s="60"/>
      <c r="T20" s="21"/>
      <c r="U20" s="21"/>
      <c r="V20" s="21"/>
      <c r="W20" s="21"/>
      <c r="X20" s="58"/>
      <c r="Y20" s="58"/>
      <c r="Z20" s="21"/>
    </row>
    <row r="21" spans="1:26" ht="12.45" customHeight="1" x14ac:dyDescent="0.25">
      <c r="A21" s="21"/>
      <c r="B21" s="38"/>
      <c r="C21" s="61">
        <v>0.79999999999999993</v>
      </c>
      <c r="D21" s="21"/>
      <c r="E21" s="62">
        <v>724.63237126245849</v>
      </c>
      <c r="F21" s="47"/>
      <c r="G21" s="63">
        <f t="shared" si="0"/>
        <v>325.91109810519237</v>
      </c>
      <c r="H21" s="47"/>
      <c r="I21" s="62">
        <f t="shared" si="3"/>
        <v>633.25073380129822</v>
      </c>
      <c r="J21" s="62">
        <f t="shared" si="4"/>
        <v>1357.8831050637568</v>
      </c>
      <c r="K21" s="63">
        <f t="shared" si="1"/>
        <v>533.64051343973722</v>
      </c>
      <c r="L21" s="47"/>
      <c r="M21" s="63">
        <f t="shared" si="2"/>
        <v>207.72941533454485</v>
      </c>
      <c r="N21" s="53"/>
      <c r="O21" s="64">
        <f t="shared" si="5"/>
        <v>0.63738061251138278</v>
      </c>
      <c r="P21" s="158"/>
      <c r="Q21" s="155"/>
      <c r="R21" s="159"/>
      <c r="S21" s="60"/>
      <c r="T21" s="21"/>
      <c r="U21" s="21"/>
      <c r="V21" s="21"/>
      <c r="W21" s="21"/>
      <c r="X21" s="58"/>
      <c r="Y21" s="58"/>
      <c r="Z21" s="21"/>
    </row>
    <row r="22" spans="1:26" ht="12.45" customHeight="1" x14ac:dyDescent="0.25">
      <c r="A22" s="21"/>
      <c r="B22" s="38"/>
      <c r="C22" s="61">
        <v>0.89999999999999991</v>
      </c>
      <c r="D22" s="21"/>
      <c r="E22" s="62">
        <v>928.94127418071082</v>
      </c>
      <c r="F22" s="47"/>
      <c r="G22" s="63">
        <f t="shared" si="0"/>
        <v>415.40463413777081</v>
      </c>
      <c r="H22" s="47"/>
      <c r="I22" s="62">
        <f t="shared" si="3"/>
        <v>811.79473462990757</v>
      </c>
      <c r="J22" s="62">
        <f t="shared" si="4"/>
        <v>1740.7360088106184</v>
      </c>
      <c r="K22" s="63">
        <f t="shared" si="1"/>
        <v>681.70301579783313</v>
      </c>
      <c r="L22" s="47"/>
      <c r="M22" s="63">
        <f t="shared" si="2"/>
        <v>266.29838166006232</v>
      </c>
      <c r="N22" s="53"/>
      <c r="O22" s="64">
        <f t="shared" si="5"/>
        <v>0.64105780190151473</v>
      </c>
      <c r="P22" s="158"/>
      <c r="Q22" s="155"/>
      <c r="R22" s="159"/>
      <c r="S22" s="60"/>
      <c r="T22" s="21"/>
      <c r="U22" s="21"/>
      <c r="V22" s="21"/>
      <c r="W22" s="21"/>
      <c r="X22" s="58"/>
      <c r="Y22" s="58"/>
      <c r="Z22" s="21"/>
    </row>
    <row r="23" spans="1:26" ht="12.45" customHeight="1" x14ac:dyDescent="0.25">
      <c r="A23" s="21"/>
      <c r="B23" s="38"/>
      <c r="C23" s="61">
        <v>0.99999999999999989</v>
      </c>
      <c r="D23" s="21"/>
      <c r="E23" s="62">
        <v>1650.9478820598006</v>
      </c>
      <c r="F23" s="47"/>
      <c r="G23" s="63">
        <f t="shared" si="0"/>
        <v>731.66556772929755</v>
      </c>
      <c r="H23" s="47"/>
      <c r="I23" s="62">
        <f t="shared" si="3"/>
        <v>1442.7508337236643</v>
      </c>
      <c r="J23" s="62">
        <f t="shared" si="4"/>
        <v>3093.6987157834646</v>
      </c>
      <c r="K23" s="63">
        <f t="shared" si="1"/>
        <v>1204.9406405646405</v>
      </c>
      <c r="L23" s="47"/>
      <c r="M23" s="63">
        <f t="shared" si="2"/>
        <v>473.27507283534294</v>
      </c>
      <c r="N23" s="53"/>
      <c r="O23" s="64">
        <f t="shared" si="5"/>
        <v>0.64684617359285901</v>
      </c>
      <c r="P23" s="158"/>
      <c r="Q23" s="155"/>
      <c r="R23" s="159"/>
      <c r="S23" s="60"/>
      <c r="T23" s="21"/>
      <c r="U23" s="21"/>
      <c r="V23" s="21"/>
      <c r="W23" s="21"/>
      <c r="X23" s="58"/>
      <c r="Y23" s="58"/>
      <c r="Z23" s="21"/>
    </row>
    <row r="24" spans="1:26" ht="12.45" customHeight="1" x14ac:dyDescent="0.25">
      <c r="A24" s="21"/>
      <c r="B24" s="38"/>
      <c r="C24" s="66"/>
      <c r="D24" s="21"/>
      <c r="E24" s="62"/>
      <c r="F24" s="47"/>
      <c r="G24" s="63"/>
      <c r="H24" s="47"/>
      <c r="K24" s="63"/>
      <c r="L24" s="47"/>
      <c r="M24" s="63"/>
      <c r="N24" s="53"/>
      <c r="O24" s="64"/>
      <c r="P24" s="158"/>
      <c r="Q24" s="155"/>
      <c r="R24" s="159"/>
      <c r="S24" s="60"/>
      <c r="T24" s="21"/>
      <c r="U24" s="21"/>
      <c r="V24" s="21"/>
      <c r="W24" s="21"/>
      <c r="X24" s="58"/>
      <c r="Y24" s="58"/>
      <c r="Z24" s="21"/>
    </row>
    <row r="25" spans="1:26" ht="12.45" customHeight="1" x14ac:dyDescent="0.25">
      <c r="A25" s="21"/>
      <c r="B25" s="38"/>
      <c r="C25" s="67" t="s">
        <v>4</v>
      </c>
      <c r="D25" s="21"/>
      <c r="E25" s="62">
        <f>AVERAGE(E14:E23)</f>
        <v>565.22911818915031</v>
      </c>
      <c r="F25" s="47"/>
      <c r="G25" s="63">
        <f>$I$34+E25*$I$72</f>
        <v>256.08760745518265</v>
      </c>
      <c r="H25" s="47"/>
      <c r="I25" s="62">
        <v>493.94943981808251</v>
      </c>
      <c r="J25" s="62">
        <f>AVERAGE(J14:J23)</f>
        <v>1059.1785580072328</v>
      </c>
      <c r="K25" s="63">
        <f>$P$34+J25*($P$71*$O$40)+J25*($P$72*$O$41)</f>
        <v>418.12110044823231</v>
      </c>
      <c r="L25" s="47"/>
      <c r="M25" s="63">
        <f>K25-G25</f>
        <v>162.03349299304966</v>
      </c>
      <c r="N25" s="53"/>
      <c r="O25" s="64">
        <f>K25/G25-1</f>
        <v>0.63272680237526457</v>
      </c>
      <c r="P25" s="158"/>
      <c r="Q25" s="155"/>
      <c r="R25" s="159"/>
      <c r="S25" s="60"/>
      <c r="T25" s="21"/>
      <c r="U25" s="21"/>
      <c r="V25" s="21"/>
      <c r="W25" s="21"/>
      <c r="X25" s="58"/>
      <c r="Y25" s="58"/>
      <c r="Z25" s="21"/>
    </row>
    <row r="26" spans="1:26" ht="12.45" customHeight="1" x14ac:dyDescent="0.25">
      <c r="A26" s="21"/>
      <c r="B26" s="38"/>
      <c r="C26" s="67" t="s">
        <v>99</v>
      </c>
      <c r="D26" s="21"/>
      <c r="E26" s="62"/>
      <c r="F26" s="68"/>
      <c r="G26" s="63"/>
      <c r="H26" s="47"/>
      <c r="I26" s="161"/>
      <c r="J26" s="161"/>
      <c r="K26" s="63"/>
      <c r="L26" s="47"/>
      <c r="M26" s="63"/>
      <c r="N26" s="53"/>
      <c r="O26" s="64"/>
      <c r="P26" s="158"/>
      <c r="Q26" s="155"/>
      <c r="R26" s="159"/>
      <c r="S26" s="60"/>
      <c r="T26" s="21"/>
      <c r="U26" s="21"/>
      <c r="V26" s="21"/>
      <c r="W26" s="21"/>
      <c r="X26" s="58"/>
      <c r="Y26" s="58"/>
      <c r="Z26" s="21"/>
    </row>
    <row r="27" spans="1:26" ht="12.45" customHeight="1" x14ac:dyDescent="0.25">
      <c r="A27" s="21"/>
      <c r="B27" s="38"/>
      <c r="C27" s="138"/>
      <c r="D27" s="139"/>
      <c r="E27" s="140"/>
      <c r="F27" s="141"/>
      <c r="G27" s="142"/>
      <c r="H27" s="143"/>
      <c r="I27" s="144"/>
      <c r="J27" s="144"/>
      <c r="K27" s="142"/>
      <c r="L27" s="143"/>
      <c r="M27" s="142"/>
      <c r="N27" s="145"/>
      <c r="O27" s="146"/>
      <c r="P27" s="142"/>
      <c r="Q27" s="145"/>
      <c r="R27" s="146"/>
      <c r="S27" s="60"/>
      <c r="T27" s="21"/>
      <c r="U27" s="21"/>
      <c r="V27" s="21"/>
      <c r="W27" s="21"/>
      <c r="X27" s="58"/>
      <c r="Y27" s="58"/>
      <c r="Z27" s="21"/>
    </row>
    <row r="28" spans="1:26" ht="12.45" customHeight="1" x14ac:dyDescent="0.25">
      <c r="A28" s="21"/>
      <c r="B28" s="69"/>
      <c r="C28" s="70"/>
      <c r="D28" s="71"/>
      <c r="E28" s="72"/>
      <c r="F28" s="73"/>
      <c r="G28" s="74"/>
      <c r="H28" s="72"/>
      <c r="I28" s="75"/>
      <c r="J28" s="72"/>
      <c r="K28" s="75"/>
      <c r="L28" s="72"/>
      <c r="M28" s="75"/>
      <c r="N28" s="76"/>
      <c r="O28" s="72"/>
      <c r="P28" s="72"/>
      <c r="Q28" s="72"/>
      <c r="R28" s="75"/>
      <c r="S28" s="77"/>
      <c r="T28" s="21"/>
      <c r="U28" s="21"/>
      <c r="V28" s="21"/>
      <c r="W28" s="21"/>
      <c r="X28" s="21"/>
      <c r="Y28" s="21"/>
      <c r="Z28" s="21"/>
    </row>
    <row r="29" spans="1:26" ht="12.45" customHeight="1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2.45" customHeight="1" x14ac:dyDescent="0.25">
      <c r="A30" s="21"/>
      <c r="B30" s="39"/>
      <c r="C30" s="40"/>
      <c r="D30" s="78"/>
      <c r="E30" s="78"/>
      <c r="F30" s="78"/>
      <c r="G30" s="78"/>
      <c r="H30" s="78"/>
      <c r="I30" s="78"/>
      <c r="J30" s="78"/>
      <c r="K30" s="78"/>
      <c r="L30" s="40"/>
      <c r="M30" s="40"/>
      <c r="N30" s="40"/>
      <c r="O30" s="40"/>
      <c r="P30" s="78"/>
      <c r="Q30" s="78"/>
      <c r="R30" s="78"/>
      <c r="S30" s="79"/>
      <c r="T30" s="21"/>
      <c r="U30" s="21"/>
      <c r="V30" s="21"/>
      <c r="W30" s="21"/>
      <c r="X30" s="21"/>
      <c r="Y30" s="21"/>
      <c r="Z30" s="21"/>
    </row>
    <row r="31" spans="1:26" ht="12.45" customHeight="1" x14ac:dyDescent="0.25">
      <c r="A31" s="21"/>
      <c r="B31" s="80" t="s">
        <v>96</v>
      </c>
      <c r="C31" s="81"/>
      <c r="E31" s="23"/>
      <c r="F31" s="23"/>
      <c r="G31" s="21"/>
      <c r="I31" s="23"/>
      <c r="J31" s="21"/>
      <c r="K31" s="82" t="s">
        <v>98</v>
      </c>
      <c r="L31" s="21"/>
      <c r="N31" s="21"/>
      <c r="P31" s="23"/>
      <c r="Q31" s="23"/>
      <c r="R31" s="23"/>
      <c r="S31" s="49"/>
      <c r="T31" s="21"/>
      <c r="U31" s="21"/>
      <c r="V31" s="21"/>
      <c r="W31" s="21"/>
      <c r="X31" s="21"/>
      <c r="Y31" s="21"/>
      <c r="Z31" s="21"/>
    </row>
    <row r="32" spans="1:26" ht="12.45" customHeight="1" x14ac:dyDescent="0.25">
      <c r="A32" s="21"/>
      <c r="B32" s="83"/>
      <c r="C32" s="29"/>
      <c r="D32" s="84"/>
      <c r="E32" s="84"/>
      <c r="F32" s="84"/>
      <c r="G32" s="21"/>
      <c r="H32" s="84"/>
      <c r="I32" s="52" t="s">
        <v>19</v>
      </c>
      <c r="J32" s="21"/>
      <c r="K32" s="84"/>
      <c r="L32" s="84"/>
      <c r="M32" s="84"/>
      <c r="N32" s="84"/>
      <c r="O32" s="84"/>
      <c r="P32" s="52" t="s">
        <v>20</v>
      </c>
      <c r="Q32" s="52"/>
      <c r="R32" s="85" t="s">
        <v>18</v>
      </c>
      <c r="S32" s="49"/>
      <c r="U32" s="21"/>
      <c r="V32" s="21"/>
      <c r="W32" s="21"/>
      <c r="X32" s="21"/>
      <c r="Y32" s="21"/>
      <c r="Z32" s="21"/>
    </row>
    <row r="33" spans="1:26" ht="12.45" customHeight="1" x14ac:dyDescent="0.25">
      <c r="A33" s="21"/>
      <c r="B33" s="86" t="s">
        <v>21</v>
      </c>
      <c r="C33" s="29"/>
      <c r="D33" s="84"/>
      <c r="E33" s="84"/>
      <c r="F33" s="84"/>
      <c r="G33" s="87"/>
      <c r="H33" s="87"/>
      <c r="I33" s="88"/>
      <c r="J33" s="21"/>
      <c r="K33" s="89" t="s">
        <v>21</v>
      </c>
      <c r="L33" s="84"/>
      <c r="M33" s="84"/>
      <c r="N33" s="84"/>
      <c r="O33" s="87"/>
      <c r="P33" s="88"/>
      <c r="Q33" s="88"/>
      <c r="R33" s="21"/>
      <c r="S33" s="90"/>
      <c r="U33" s="21"/>
      <c r="V33" s="21"/>
      <c r="W33" s="21"/>
      <c r="X33" s="21"/>
      <c r="Y33" s="21"/>
      <c r="Z33" s="21"/>
    </row>
    <row r="34" spans="1:26" ht="12.45" customHeight="1" x14ac:dyDescent="0.25">
      <c r="A34" s="21"/>
      <c r="B34" s="91" t="s">
        <v>22</v>
      </c>
      <c r="C34" s="29"/>
      <c r="D34" s="84"/>
      <c r="E34" s="84"/>
      <c r="F34" s="84"/>
      <c r="G34" s="87"/>
      <c r="H34" s="87"/>
      <c r="I34" s="88">
        <v>8.5</v>
      </c>
      <c r="J34" s="21"/>
      <c r="K34" s="29" t="s">
        <v>22</v>
      </c>
      <c r="L34" s="84"/>
      <c r="M34" s="84"/>
      <c r="N34" s="84"/>
      <c r="O34" s="87"/>
      <c r="P34" s="88">
        <f>I34</f>
        <v>8.5</v>
      </c>
      <c r="Q34" s="88"/>
      <c r="R34" s="88">
        <f>+P34-I34</f>
        <v>0</v>
      </c>
      <c r="S34" s="90"/>
      <c r="U34" s="21"/>
      <c r="V34" s="21"/>
      <c r="W34" s="21"/>
      <c r="X34" s="21"/>
      <c r="Y34" s="21"/>
      <c r="Z34" s="21"/>
    </row>
    <row r="35" spans="1:26" ht="12.45" customHeight="1" x14ac:dyDescent="0.25">
      <c r="A35" s="21"/>
      <c r="B35" s="91"/>
      <c r="C35" s="29"/>
      <c r="D35" s="84"/>
      <c r="E35" s="84"/>
      <c r="F35" s="84"/>
      <c r="G35" s="87"/>
      <c r="H35" s="87"/>
      <c r="I35" s="92" t="s">
        <v>15</v>
      </c>
      <c r="J35" s="21"/>
      <c r="K35" s="29"/>
      <c r="L35" s="84"/>
      <c r="M35" s="84"/>
      <c r="N35" s="84"/>
      <c r="O35" s="87"/>
      <c r="P35" s="92" t="s">
        <v>15</v>
      </c>
      <c r="Q35" s="92"/>
      <c r="R35" s="92" t="s">
        <v>15</v>
      </c>
      <c r="S35" s="93"/>
      <c r="U35" s="21"/>
      <c r="V35" s="21"/>
      <c r="W35" s="21"/>
      <c r="X35" s="21"/>
      <c r="Y35" s="21"/>
      <c r="Z35" s="21"/>
    </row>
    <row r="36" spans="1:26" ht="12.45" customHeight="1" x14ac:dyDescent="0.25">
      <c r="A36" s="21"/>
      <c r="B36" s="91" t="s">
        <v>23</v>
      </c>
      <c r="C36" s="29"/>
      <c r="D36" s="21"/>
      <c r="E36" s="21"/>
      <c r="F36" s="21"/>
      <c r="G36" s="94"/>
      <c r="H36" s="94"/>
      <c r="I36" s="95">
        <v>6.0546024597124722E-3</v>
      </c>
      <c r="J36" s="21"/>
      <c r="K36" s="66" t="s">
        <v>23</v>
      </c>
      <c r="L36" s="21"/>
      <c r="M36" s="21"/>
      <c r="N36" s="21"/>
      <c r="O36" s="94"/>
      <c r="P36" s="95">
        <f>I36</f>
        <v>6.0546024597124722E-3</v>
      </c>
      <c r="Q36" s="95"/>
      <c r="R36" s="95">
        <f>+P36-I36</f>
        <v>0</v>
      </c>
      <c r="S36" s="96"/>
      <c r="U36" s="21"/>
      <c r="V36" s="21"/>
      <c r="W36" s="21"/>
      <c r="X36" s="21"/>
      <c r="Y36" s="21"/>
      <c r="Z36" s="21"/>
    </row>
    <row r="37" spans="1:26" ht="12.45" customHeight="1" x14ac:dyDescent="0.25">
      <c r="A37" s="21"/>
      <c r="B37" s="38" t="s">
        <v>24</v>
      </c>
      <c r="C37" s="21"/>
      <c r="D37" s="21"/>
      <c r="E37" s="21"/>
      <c r="F37" s="21"/>
      <c r="G37" s="21"/>
      <c r="H37" s="21"/>
      <c r="I37" s="97">
        <v>3.0282806977656646E-2</v>
      </c>
      <c r="J37" s="21"/>
      <c r="K37" s="21" t="s">
        <v>24</v>
      </c>
      <c r="L37" s="21"/>
      <c r="M37" s="21"/>
      <c r="N37" s="21"/>
      <c r="O37" s="21"/>
      <c r="P37" s="97">
        <f>I37</f>
        <v>3.0282806977656646E-2</v>
      </c>
      <c r="Q37" s="97"/>
      <c r="R37" s="97">
        <f>+P37-I37</f>
        <v>0</v>
      </c>
      <c r="S37" s="98"/>
      <c r="U37" s="21"/>
      <c r="V37" s="21"/>
      <c r="W37" s="21"/>
      <c r="X37" s="21"/>
      <c r="Y37" s="21"/>
      <c r="Z37" s="21"/>
    </row>
    <row r="38" spans="1:26" ht="12.45" customHeight="1" x14ac:dyDescent="0.25">
      <c r="A38" s="21"/>
      <c r="B38" s="38"/>
      <c r="C38" s="21"/>
      <c r="D38" s="21"/>
      <c r="E38" s="21"/>
      <c r="F38" s="21"/>
      <c r="G38" s="21"/>
      <c r="H38" s="50" t="s">
        <v>25</v>
      </c>
      <c r="I38" s="95">
        <f>+I37+I36</f>
        <v>3.6337409437369114E-2</v>
      </c>
      <c r="J38" s="21"/>
      <c r="K38" s="21"/>
      <c r="L38" s="21"/>
      <c r="M38" s="21"/>
      <c r="N38" s="21"/>
      <c r="O38" s="50" t="s">
        <v>25</v>
      </c>
      <c r="P38" s="95">
        <f>+P37+P36</f>
        <v>3.6337409437369114E-2</v>
      </c>
      <c r="Q38" s="95"/>
      <c r="R38" s="95">
        <f>+P38-I38</f>
        <v>0</v>
      </c>
      <c r="S38" s="96"/>
      <c r="U38" s="21"/>
      <c r="V38" s="21"/>
      <c r="W38" s="21"/>
      <c r="X38" s="21"/>
      <c r="Y38" s="21"/>
      <c r="Z38" s="21"/>
    </row>
    <row r="39" spans="1:26" ht="12.45" customHeight="1" x14ac:dyDescent="0.25">
      <c r="A39" s="21"/>
      <c r="B39" s="38"/>
      <c r="C39" s="21"/>
      <c r="D39" s="21"/>
      <c r="E39" s="21"/>
      <c r="F39" s="21"/>
      <c r="G39" s="21"/>
      <c r="H39" s="21"/>
      <c r="I39" s="95"/>
      <c r="J39" s="21"/>
      <c r="K39" s="21"/>
      <c r="L39" s="21"/>
      <c r="M39" s="21"/>
      <c r="N39" s="21"/>
      <c r="O39" s="21"/>
      <c r="P39" s="95"/>
      <c r="Q39" s="95"/>
      <c r="R39" s="95"/>
      <c r="S39" s="96"/>
      <c r="U39" s="21"/>
      <c r="V39" s="21"/>
      <c r="W39" s="21"/>
      <c r="X39" s="21"/>
      <c r="Y39" s="21"/>
      <c r="Z39" s="21"/>
    </row>
    <row r="40" spans="1:26" ht="12.45" customHeight="1" x14ac:dyDescent="0.25">
      <c r="A40" s="21"/>
      <c r="B40" s="99" t="s">
        <v>107</v>
      </c>
      <c r="C40" s="29"/>
      <c r="D40" s="21"/>
      <c r="E40" s="21"/>
      <c r="F40" s="21"/>
      <c r="G40" s="94"/>
      <c r="H40" s="94"/>
      <c r="I40" s="95">
        <v>0.10716000000000001</v>
      </c>
      <c r="J40" s="21"/>
      <c r="K40" s="66" t="s">
        <v>26</v>
      </c>
      <c r="L40" s="21"/>
      <c r="N40" s="147" t="s">
        <v>27</v>
      </c>
      <c r="O40" s="148">
        <v>0.25550324423451615</v>
      </c>
      <c r="P40" s="95">
        <f>I40</f>
        <v>0.10716000000000001</v>
      </c>
      <c r="Q40" s="95"/>
      <c r="R40" s="95">
        <f>+P40-I40</f>
        <v>0</v>
      </c>
      <c r="S40" s="96"/>
      <c r="U40" s="21"/>
      <c r="V40" s="100"/>
      <c r="W40" s="21"/>
      <c r="X40" s="21"/>
      <c r="Y40" s="21"/>
      <c r="Z40" s="21"/>
    </row>
    <row r="41" spans="1:26" ht="12.45" customHeight="1" x14ac:dyDescent="0.25">
      <c r="A41" s="21"/>
      <c r="B41" s="99"/>
      <c r="C41" s="29"/>
      <c r="D41" s="21"/>
      <c r="E41" s="21"/>
      <c r="F41" s="21"/>
      <c r="G41" s="94"/>
      <c r="H41" s="94"/>
      <c r="I41" s="95"/>
      <c r="J41" s="21"/>
      <c r="K41" s="66" t="s">
        <v>28</v>
      </c>
      <c r="L41" s="21"/>
      <c r="N41" s="147" t="s">
        <v>27</v>
      </c>
      <c r="O41" s="148">
        <v>0.74449675576548413</v>
      </c>
      <c r="P41" s="95">
        <v>3.8260000000000002E-2</v>
      </c>
      <c r="Q41" s="95"/>
      <c r="R41" s="95">
        <f>+P41-I40</f>
        <v>-6.8900000000000003E-2</v>
      </c>
      <c r="S41" s="96"/>
      <c r="U41" s="21"/>
      <c r="V41" s="21"/>
      <c r="W41" s="21"/>
      <c r="X41" s="21"/>
      <c r="Y41" s="21"/>
      <c r="Z41" s="21"/>
    </row>
    <row r="42" spans="1:26" ht="12.45" customHeight="1" x14ac:dyDescent="0.25">
      <c r="A42" s="21"/>
      <c r="B42" s="99"/>
      <c r="C42" s="29"/>
      <c r="D42" s="21"/>
      <c r="E42" s="21"/>
      <c r="F42" s="21"/>
      <c r="G42" s="94"/>
      <c r="H42" s="94"/>
      <c r="I42" s="95"/>
      <c r="J42" s="21"/>
      <c r="K42" s="66"/>
      <c r="L42" s="21"/>
      <c r="N42" s="147"/>
      <c r="O42" s="148"/>
      <c r="P42" s="95"/>
      <c r="Q42" s="95"/>
      <c r="R42" s="95"/>
      <c r="S42" s="96"/>
      <c r="U42" s="21"/>
      <c r="V42" s="21"/>
      <c r="W42" s="21"/>
      <c r="X42" s="21"/>
      <c r="Y42" s="21"/>
      <c r="Z42" s="21"/>
    </row>
    <row r="43" spans="1:26" ht="26.7" customHeight="1" x14ac:dyDescent="0.25">
      <c r="A43" s="21"/>
      <c r="B43" s="99" t="s">
        <v>29</v>
      </c>
      <c r="C43" s="29"/>
      <c r="D43" s="21"/>
      <c r="E43" s="21"/>
      <c r="F43" s="21"/>
      <c r="G43" s="94"/>
      <c r="H43" s="94"/>
      <c r="I43" s="95">
        <v>3.6367193032893117E-3</v>
      </c>
      <c r="J43" s="21"/>
      <c r="K43" s="66" t="s">
        <v>29</v>
      </c>
      <c r="L43" s="21"/>
      <c r="M43" s="21"/>
      <c r="N43" s="21"/>
      <c r="O43" s="100"/>
      <c r="P43" s="95">
        <f t="shared" ref="P43:P54" si="6">I43</f>
        <v>3.6367193032893117E-3</v>
      </c>
      <c r="Q43" s="95"/>
      <c r="R43" s="95">
        <f t="shared" ref="R43:R55" si="7">+P43-I43</f>
        <v>0</v>
      </c>
      <c r="S43" s="96"/>
      <c r="U43" s="21"/>
      <c r="V43" s="21"/>
      <c r="W43" s="21"/>
      <c r="X43" s="21"/>
      <c r="Y43" s="21"/>
      <c r="Z43" s="21"/>
    </row>
    <row r="44" spans="1:26" ht="12.45" customHeight="1" x14ac:dyDescent="0.25">
      <c r="A44" s="21"/>
      <c r="B44" s="99" t="s">
        <v>30</v>
      </c>
      <c r="C44" s="29"/>
      <c r="D44" s="21"/>
      <c r="E44" s="21"/>
      <c r="F44" s="21"/>
      <c r="G44" s="94"/>
      <c r="H44" s="94"/>
      <c r="I44" s="95">
        <v>3.0653998025796138E-2</v>
      </c>
      <c r="J44" s="21"/>
      <c r="K44" s="66" t="s">
        <v>30</v>
      </c>
      <c r="L44" s="21"/>
      <c r="M44" s="21"/>
      <c r="N44" s="21"/>
      <c r="O44" s="100"/>
      <c r="P44" s="95">
        <f t="shared" si="6"/>
        <v>3.0653998025796138E-2</v>
      </c>
      <c r="Q44" s="95"/>
      <c r="R44" s="95">
        <f t="shared" si="7"/>
        <v>0</v>
      </c>
      <c r="S44" s="96"/>
      <c r="U44" s="21"/>
      <c r="V44" s="21"/>
      <c r="W44" s="21"/>
      <c r="X44" s="21"/>
      <c r="Y44" s="21"/>
      <c r="Z44" s="21"/>
    </row>
    <row r="45" spans="1:26" ht="12.45" customHeight="1" x14ac:dyDescent="0.25">
      <c r="A45" s="21"/>
      <c r="B45" s="91" t="s">
        <v>31</v>
      </c>
      <c r="C45" s="29"/>
      <c r="D45" s="21"/>
      <c r="E45" s="21"/>
      <c r="F45" s="21"/>
      <c r="G45" s="94"/>
      <c r="H45" s="94"/>
      <c r="I45" s="95">
        <v>1.6445997812765633E-2</v>
      </c>
      <c r="J45" s="21"/>
      <c r="K45" s="29" t="s">
        <v>31</v>
      </c>
      <c r="L45" s="21"/>
      <c r="M45" s="21"/>
      <c r="N45" s="21"/>
      <c r="O45" s="100"/>
      <c r="P45" s="95">
        <f t="shared" si="6"/>
        <v>1.6445997812765633E-2</v>
      </c>
      <c r="Q45" s="95"/>
      <c r="R45" s="95">
        <f t="shared" si="7"/>
        <v>0</v>
      </c>
      <c r="S45" s="96"/>
      <c r="U45" s="21"/>
      <c r="V45" s="21"/>
      <c r="W45" s="21"/>
      <c r="X45" s="21"/>
      <c r="Y45" s="21"/>
      <c r="Z45" s="21"/>
    </row>
    <row r="46" spans="1:26" ht="12.45" customHeight="1" x14ac:dyDescent="0.25">
      <c r="A46" s="21"/>
      <c r="B46" s="91" t="s">
        <v>32</v>
      </c>
      <c r="C46" s="29"/>
      <c r="D46" s="21"/>
      <c r="E46" s="21"/>
      <c r="F46" s="21"/>
      <c r="G46" s="94"/>
      <c r="H46" s="94"/>
      <c r="I46" s="95">
        <v>0</v>
      </c>
      <c r="J46" s="21"/>
      <c r="K46" s="29" t="s">
        <v>32</v>
      </c>
      <c r="L46" s="21"/>
      <c r="M46" s="21"/>
      <c r="N46" s="21"/>
      <c r="O46" s="100"/>
      <c r="P46" s="95">
        <f t="shared" si="6"/>
        <v>0</v>
      </c>
      <c r="Q46" s="95"/>
      <c r="R46" s="95">
        <f t="shared" si="7"/>
        <v>0</v>
      </c>
      <c r="S46" s="96"/>
      <c r="U46" s="21"/>
      <c r="V46" s="21"/>
      <c r="W46" s="21"/>
      <c r="X46" s="21"/>
      <c r="Y46" s="21"/>
      <c r="Z46" s="21"/>
    </row>
    <row r="47" spans="1:26" ht="12.45" customHeight="1" x14ac:dyDescent="0.25">
      <c r="A47" s="21"/>
      <c r="B47" s="91" t="s">
        <v>33</v>
      </c>
      <c r="C47" s="29"/>
      <c r="D47" s="21"/>
      <c r="E47" s="21"/>
      <c r="F47" s="21"/>
      <c r="G47" s="94"/>
      <c r="H47" s="94"/>
      <c r="I47" s="95">
        <v>5.6729448931066521E-4</v>
      </c>
      <c r="J47" s="21"/>
      <c r="K47" s="29" t="s">
        <v>33</v>
      </c>
      <c r="L47" s="21"/>
      <c r="M47" s="21"/>
      <c r="N47" s="21"/>
      <c r="O47" s="100"/>
      <c r="P47" s="95">
        <f t="shared" si="6"/>
        <v>5.6729448931066521E-4</v>
      </c>
      <c r="Q47" s="95"/>
      <c r="R47" s="95">
        <f t="shared" si="7"/>
        <v>0</v>
      </c>
      <c r="S47" s="96"/>
      <c r="U47" s="21"/>
      <c r="V47" s="21"/>
      <c r="W47" s="21"/>
      <c r="X47" s="21"/>
      <c r="Y47" s="21"/>
      <c r="Z47" s="21"/>
    </row>
    <row r="48" spans="1:26" ht="12.45" customHeight="1" x14ac:dyDescent="0.25">
      <c r="A48" s="21"/>
      <c r="B48" s="38" t="s">
        <v>34</v>
      </c>
      <c r="C48" s="29"/>
      <c r="D48" s="21"/>
      <c r="E48" s="21"/>
      <c r="F48" s="21"/>
      <c r="G48" s="94"/>
      <c r="H48" s="94"/>
      <c r="I48" s="95">
        <v>-2.7499999999999994E-3</v>
      </c>
      <c r="J48" s="21"/>
      <c r="K48" s="21" t="s">
        <v>34</v>
      </c>
      <c r="L48" s="21"/>
      <c r="M48" s="21"/>
      <c r="N48" s="21"/>
      <c r="O48" s="100"/>
      <c r="P48" s="95">
        <f t="shared" si="6"/>
        <v>-2.7499999999999994E-3</v>
      </c>
      <c r="Q48" s="95"/>
      <c r="R48" s="95">
        <f t="shared" si="7"/>
        <v>0</v>
      </c>
      <c r="S48" s="96"/>
      <c r="U48" s="21"/>
      <c r="V48" s="21"/>
      <c r="W48" s="21"/>
      <c r="X48" s="21"/>
      <c r="Y48" s="21"/>
      <c r="Z48" s="21"/>
    </row>
    <row r="49" spans="1:26" ht="12.45" customHeight="1" x14ac:dyDescent="0.25">
      <c r="A49" s="21"/>
      <c r="B49" s="38" t="s">
        <v>35</v>
      </c>
      <c r="C49" s="29"/>
      <c r="D49" s="21"/>
      <c r="E49" s="21"/>
      <c r="F49" s="21"/>
      <c r="G49" s="94"/>
      <c r="H49" s="94"/>
      <c r="I49" s="95">
        <v>0</v>
      </c>
      <c r="J49" s="21"/>
      <c r="K49" s="21" t="s">
        <v>35</v>
      </c>
      <c r="L49" s="21"/>
      <c r="M49" s="21"/>
      <c r="N49" s="21"/>
      <c r="O49" s="100"/>
      <c r="P49" s="95">
        <f t="shared" si="6"/>
        <v>0</v>
      </c>
      <c r="Q49" s="95"/>
      <c r="R49" s="95">
        <f t="shared" si="7"/>
        <v>0</v>
      </c>
      <c r="S49" s="96"/>
      <c r="U49" s="21"/>
      <c r="V49" s="21"/>
      <c r="W49" s="21"/>
      <c r="X49" s="21"/>
      <c r="Y49" s="21"/>
      <c r="Z49" s="21"/>
    </row>
    <row r="50" spans="1:26" ht="12.45" customHeight="1" x14ac:dyDescent="0.25">
      <c r="A50" s="21"/>
      <c r="B50" s="99" t="s">
        <v>36</v>
      </c>
      <c r="C50" s="29"/>
      <c r="D50" s="21"/>
      <c r="E50" s="21"/>
      <c r="F50" s="21"/>
      <c r="G50" s="94"/>
      <c r="H50" s="94"/>
      <c r="I50" s="95">
        <v>0</v>
      </c>
      <c r="J50" s="21"/>
      <c r="K50" s="66" t="s">
        <v>36</v>
      </c>
      <c r="L50" s="21"/>
      <c r="M50" s="21"/>
      <c r="N50" s="21"/>
      <c r="O50" s="100"/>
      <c r="P50" s="95">
        <f t="shared" si="6"/>
        <v>0</v>
      </c>
      <c r="Q50" s="95"/>
      <c r="R50" s="95">
        <f t="shared" si="7"/>
        <v>0</v>
      </c>
      <c r="S50" s="96"/>
      <c r="U50" s="21"/>
      <c r="V50" s="21"/>
      <c r="W50" s="21"/>
      <c r="X50" s="21"/>
      <c r="Y50" s="21"/>
      <c r="Z50" s="21"/>
    </row>
    <row r="51" spans="1:26" ht="12.45" customHeight="1" x14ac:dyDescent="0.25">
      <c r="A51" s="21"/>
      <c r="B51" s="38" t="s">
        <v>37</v>
      </c>
      <c r="C51" s="21"/>
      <c r="D51" s="21"/>
      <c r="E51" s="21"/>
      <c r="F51" s="21"/>
      <c r="G51" s="21"/>
      <c r="H51" s="21"/>
      <c r="I51" s="95">
        <v>4.027667673954482E-3</v>
      </c>
      <c r="J51" s="21"/>
      <c r="K51" s="21" t="s">
        <v>37</v>
      </c>
      <c r="L51" s="21"/>
      <c r="M51" s="21"/>
      <c r="N51" s="21"/>
      <c r="O51" s="21"/>
      <c r="P51" s="95">
        <f t="shared" si="6"/>
        <v>4.027667673954482E-3</v>
      </c>
      <c r="Q51" s="95"/>
      <c r="R51" s="95">
        <f t="shared" si="7"/>
        <v>0</v>
      </c>
      <c r="S51" s="96"/>
      <c r="U51" s="21"/>
      <c r="V51" s="21"/>
      <c r="W51" s="21"/>
      <c r="X51" s="21"/>
      <c r="Y51" s="21"/>
      <c r="Z51" s="21"/>
    </row>
    <row r="52" spans="1:26" ht="12.45" customHeight="1" x14ac:dyDescent="0.25">
      <c r="A52" s="21"/>
      <c r="B52" s="91" t="s">
        <v>38</v>
      </c>
      <c r="C52" s="29"/>
      <c r="D52" s="21"/>
      <c r="E52" s="21"/>
      <c r="F52" s="21"/>
      <c r="G52" s="94"/>
      <c r="H52" s="94"/>
      <c r="I52" s="95">
        <v>-4.3285043540848171E-4</v>
      </c>
      <c r="J52" s="21"/>
      <c r="K52" s="29" t="s">
        <v>38</v>
      </c>
      <c r="L52" s="21"/>
      <c r="M52" s="21"/>
      <c r="N52" s="21"/>
      <c r="O52" s="100"/>
      <c r="P52" s="95">
        <f t="shared" si="6"/>
        <v>-4.3285043540848171E-4</v>
      </c>
      <c r="Q52" s="95"/>
      <c r="R52" s="95">
        <f t="shared" si="7"/>
        <v>0</v>
      </c>
      <c r="S52" s="98"/>
      <c r="U52" s="21"/>
      <c r="V52" s="21"/>
      <c r="W52" s="21"/>
      <c r="X52" s="21"/>
      <c r="Y52" s="21"/>
      <c r="Z52" s="21"/>
    </row>
    <row r="53" spans="1:26" ht="12.45" customHeight="1" x14ac:dyDescent="0.25">
      <c r="A53" s="21"/>
      <c r="B53" s="38" t="s">
        <v>39</v>
      </c>
      <c r="C53" s="21"/>
      <c r="D53" s="21"/>
      <c r="E53" s="21"/>
      <c r="F53" s="21"/>
      <c r="G53" s="21"/>
      <c r="H53" s="21"/>
      <c r="I53" s="95">
        <v>5.5077768975649781E-4</v>
      </c>
      <c r="J53" s="21"/>
      <c r="K53" s="21" t="s">
        <v>39</v>
      </c>
      <c r="L53" s="21"/>
      <c r="M53" s="21"/>
      <c r="N53" s="21"/>
      <c r="O53" s="21"/>
      <c r="P53" s="95">
        <f t="shared" si="6"/>
        <v>5.5077768975649781E-4</v>
      </c>
      <c r="Q53" s="97"/>
      <c r="R53" s="95">
        <f t="shared" si="7"/>
        <v>0</v>
      </c>
      <c r="S53" s="98"/>
      <c r="U53" s="21"/>
      <c r="V53" s="21"/>
      <c r="W53" s="21"/>
      <c r="X53" s="21"/>
      <c r="Y53" s="21"/>
      <c r="Z53" s="21"/>
    </row>
    <row r="54" spans="1:26" ht="12.45" customHeight="1" x14ac:dyDescent="0.25">
      <c r="A54" s="21"/>
      <c r="B54" s="38" t="s">
        <v>40</v>
      </c>
      <c r="C54" s="21"/>
      <c r="D54" s="21"/>
      <c r="E54" s="21"/>
      <c r="F54" s="21"/>
      <c r="G54" s="21"/>
      <c r="H54" s="21"/>
      <c r="I54" s="97">
        <v>2.0697959284670842E-3</v>
      </c>
      <c r="J54" s="21"/>
      <c r="K54" s="21" t="s">
        <v>40</v>
      </c>
      <c r="L54" s="21"/>
      <c r="M54" s="21"/>
      <c r="N54" s="21"/>
      <c r="O54" s="21"/>
      <c r="P54" s="97">
        <f t="shared" si="6"/>
        <v>2.0697959284670842E-3</v>
      </c>
      <c r="Q54" s="97"/>
      <c r="R54" s="95">
        <f t="shared" si="7"/>
        <v>0</v>
      </c>
      <c r="S54" s="98"/>
      <c r="U54" s="21"/>
      <c r="V54" s="21"/>
      <c r="W54" s="21"/>
      <c r="X54" s="21"/>
      <c r="Y54" s="21"/>
      <c r="Z54" s="21"/>
    </row>
    <row r="55" spans="1:26" ht="12.45" customHeight="1" x14ac:dyDescent="0.25">
      <c r="A55" s="21"/>
      <c r="B55" s="38"/>
      <c r="C55" s="29"/>
      <c r="D55" s="21"/>
      <c r="E55" s="21"/>
      <c r="F55" s="21"/>
      <c r="G55" s="94"/>
      <c r="H55" s="101" t="s">
        <v>41</v>
      </c>
      <c r="I55" s="95">
        <f>SUM(I40,I43:I54)</f>
        <v>0.16192940048793136</v>
      </c>
      <c r="J55" s="21"/>
      <c r="K55" s="21"/>
      <c r="L55" s="21"/>
      <c r="M55" s="21"/>
      <c r="N55" s="21"/>
      <c r="O55" s="101" t="s">
        <v>84</v>
      </c>
      <c r="P55" s="95">
        <f>SUM(P43:P54)+P40</f>
        <v>0.16192940048793134</v>
      </c>
      <c r="Q55" s="95"/>
      <c r="R55" s="95">
        <f t="shared" si="7"/>
        <v>0</v>
      </c>
      <c r="S55" s="96"/>
      <c r="U55" s="21"/>
      <c r="V55" s="21"/>
      <c r="W55" s="21"/>
      <c r="X55" s="21"/>
      <c r="Y55" s="21"/>
      <c r="Z55" s="21"/>
    </row>
    <row r="56" spans="1:26" ht="12.45" customHeight="1" x14ac:dyDescent="0.25">
      <c r="A56" s="21"/>
      <c r="B56" s="38"/>
      <c r="C56" s="29"/>
      <c r="D56" s="21"/>
      <c r="E56" s="21"/>
      <c r="F56" s="21"/>
      <c r="G56" s="94"/>
      <c r="H56" s="101"/>
      <c r="I56" s="95"/>
      <c r="J56" s="21"/>
      <c r="K56" s="21"/>
      <c r="L56" s="21"/>
      <c r="M56" s="21"/>
      <c r="N56" s="21"/>
      <c r="O56" s="101"/>
      <c r="P56" s="95"/>
      <c r="Q56" s="95"/>
      <c r="R56" s="95"/>
      <c r="S56" s="96"/>
      <c r="U56" s="21"/>
      <c r="V56" s="21"/>
      <c r="W56" s="21"/>
      <c r="X56" s="21"/>
      <c r="Y56" s="21"/>
      <c r="Z56" s="21"/>
    </row>
    <row r="57" spans="1:26" ht="12.45" customHeight="1" x14ac:dyDescent="0.25">
      <c r="A57" s="21"/>
      <c r="B57" s="38"/>
      <c r="C57" s="29"/>
      <c r="D57" s="21"/>
      <c r="E57" s="21"/>
      <c r="F57" s="21"/>
      <c r="G57" s="94"/>
      <c r="H57" s="101"/>
      <c r="I57" s="95"/>
      <c r="J57" s="21"/>
      <c r="K57" s="21"/>
      <c r="L57" s="21"/>
      <c r="M57" s="21"/>
      <c r="N57" s="21"/>
      <c r="O57" s="101" t="s">
        <v>85</v>
      </c>
      <c r="P57" s="95">
        <f>SUM(P43:P54)+P41</f>
        <v>9.3029400487931346E-2</v>
      </c>
      <c r="Q57" s="95"/>
      <c r="R57" s="95"/>
      <c r="S57" s="96"/>
      <c r="U57" s="21"/>
      <c r="V57" s="21"/>
      <c r="W57" s="21"/>
      <c r="X57" s="21"/>
      <c r="Y57" s="21"/>
      <c r="Z57" s="21"/>
    </row>
    <row r="58" spans="1:26" ht="12.45" customHeight="1" x14ac:dyDescent="0.25">
      <c r="A58" s="21"/>
      <c r="B58" s="38"/>
      <c r="C58" s="29"/>
      <c r="D58" s="21"/>
      <c r="E58" s="21"/>
      <c r="F58" s="21"/>
      <c r="G58" s="94"/>
      <c r="H58" s="94"/>
      <c r="I58" s="95"/>
      <c r="J58" s="21"/>
      <c r="K58" s="21"/>
      <c r="L58" s="21"/>
      <c r="M58" s="21"/>
      <c r="N58" s="21"/>
      <c r="O58" s="101"/>
      <c r="P58" s="95"/>
      <c r="Q58" s="95"/>
      <c r="R58" s="95"/>
      <c r="S58" s="96"/>
      <c r="U58" s="21"/>
      <c r="V58" s="21"/>
      <c r="W58" s="21"/>
      <c r="X58" s="21"/>
      <c r="Y58" s="21"/>
      <c r="Z58" s="21"/>
    </row>
    <row r="59" spans="1:26" ht="12.45" customHeight="1" x14ac:dyDescent="0.25">
      <c r="A59" s="21"/>
      <c r="B59" s="91" t="s">
        <v>42</v>
      </c>
      <c r="C59" s="29"/>
      <c r="D59" s="21"/>
      <c r="E59" s="21"/>
      <c r="F59" s="21"/>
      <c r="G59" s="94"/>
      <c r="H59" s="94"/>
      <c r="I59" s="95">
        <v>5.0000000000000001E-4</v>
      </c>
      <c r="J59" s="21"/>
      <c r="K59" s="29" t="s">
        <v>42</v>
      </c>
      <c r="L59" s="21"/>
      <c r="M59" s="21"/>
      <c r="N59" s="21"/>
      <c r="O59" s="100"/>
      <c r="P59" s="95">
        <v>5.0000000000000001E-4</v>
      </c>
      <c r="Q59" s="95"/>
      <c r="R59" s="95">
        <f>+P59-I59</f>
        <v>0</v>
      </c>
      <c r="S59" s="96"/>
      <c r="U59" s="21"/>
      <c r="V59" s="21"/>
      <c r="W59" s="21"/>
      <c r="X59" s="21"/>
      <c r="Y59" s="21"/>
      <c r="Z59" s="21"/>
    </row>
    <row r="60" spans="1:26" ht="12.45" customHeight="1" x14ac:dyDescent="0.25">
      <c r="A60" s="21"/>
      <c r="B60" s="91"/>
      <c r="C60" s="29"/>
      <c r="D60" s="21"/>
      <c r="E60" s="21"/>
      <c r="F60" s="21"/>
      <c r="G60" s="94"/>
      <c r="H60" s="94"/>
      <c r="I60" s="95"/>
      <c r="J60" s="21"/>
      <c r="K60" s="29"/>
      <c r="L60" s="21"/>
      <c r="M60" s="21"/>
      <c r="N60" s="21"/>
      <c r="O60" s="100"/>
      <c r="P60" s="95"/>
      <c r="Q60" s="95"/>
      <c r="R60" s="95"/>
      <c r="S60" s="96"/>
      <c r="U60" s="21"/>
      <c r="V60" s="21"/>
      <c r="W60" s="21"/>
      <c r="X60" s="21"/>
      <c r="Y60" s="21"/>
      <c r="Z60" s="21"/>
    </row>
    <row r="61" spans="1:26" ht="12.45" customHeight="1" x14ac:dyDescent="0.25">
      <c r="A61" s="21"/>
      <c r="B61" s="91" t="s">
        <v>43</v>
      </c>
      <c r="C61" s="21"/>
      <c r="D61" s="21"/>
      <c r="E61" s="21"/>
      <c r="F61" s="21"/>
      <c r="G61" s="21"/>
      <c r="H61" s="94"/>
      <c r="I61" s="95">
        <v>2.5000000000000001E-3</v>
      </c>
      <c r="J61" s="21"/>
      <c r="K61" s="29" t="s">
        <v>43</v>
      </c>
      <c r="L61" s="21"/>
      <c r="M61" s="21"/>
      <c r="N61" s="21"/>
      <c r="O61" s="21"/>
      <c r="P61" s="95">
        <v>2.5000000000000001E-3</v>
      </c>
      <c r="Q61" s="95"/>
      <c r="R61" s="95">
        <f>+P61-I61</f>
        <v>0</v>
      </c>
      <c r="S61" s="96"/>
      <c r="U61" s="21"/>
      <c r="V61" s="21"/>
      <c r="W61" s="21"/>
      <c r="X61" s="21"/>
      <c r="Y61" s="21"/>
      <c r="Z61" s="21"/>
    </row>
    <row r="62" spans="1:26" ht="12.45" customHeight="1" x14ac:dyDescent="0.25">
      <c r="A62" s="21"/>
      <c r="B62" s="99" t="s">
        <v>44</v>
      </c>
      <c r="C62" s="29"/>
      <c r="D62" s="21"/>
      <c r="E62" s="21"/>
      <c r="F62" s="21"/>
      <c r="G62" s="94"/>
      <c r="H62" s="94"/>
      <c r="I62" s="97">
        <v>2.0969999999999999E-2</v>
      </c>
      <c r="J62" s="21"/>
      <c r="K62" s="66" t="s">
        <v>82</v>
      </c>
      <c r="L62" s="21"/>
      <c r="M62" s="21"/>
      <c r="N62" s="21"/>
      <c r="O62" s="100"/>
      <c r="P62" s="97">
        <v>2.0969999999999999E-2</v>
      </c>
      <c r="R62" s="95">
        <f>+P62-I62</f>
        <v>0</v>
      </c>
      <c r="S62" s="96"/>
      <c r="U62" s="21"/>
      <c r="V62" s="21"/>
      <c r="W62" s="21"/>
      <c r="X62" s="21"/>
      <c r="Y62" s="21"/>
      <c r="Z62" s="21"/>
    </row>
    <row r="63" spans="1:26" ht="12.45" customHeight="1" x14ac:dyDescent="0.25">
      <c r="A63" s="21"/>
      <c r="B63" s="99"/>
      <c r="H63" s="94" t="s">
        <v>46</v>
      </c>
      <c r="I63" s="95">
        <f>SUM(I61:I62)</f>
        <v>2.3469999999999998E-2</v>
      </c>
      <c r="O63" s="94" t="s">
        <v>46</v>
      </c>
      <c r="P63" s="95">
        <f>SUM(P61:P62)</f>
        <v>2.3469999999999998E-2</v>
      </c>
      <c r="Q63" s="95"/>
      <c r="R63" s="95">
        <f>+P63-I63</f>
        <v>0</v>
      </c>
      <c r="S63" s="96"/>
      <c r="U63" s="21"/>
      <c r="V63" s="21"/>
      <c r="W63" s="21"/>
      <c r="X63" s="21"/>
      <c r="Y63" s="21"/>
      <c r="Z63" s="21"/>
    </row>
    <row r="64" spans="1:26" ht="12.45" customHeight="1" x14ac:dyDescent="0.25">
      <c r="A64" s="21"/>
      <c r="B64" s="99"/>
      <c r="H64" s="94"/>
      <c r="I64" s="97"/>
      <c r="O64" s="94"/>
      <c r="P64" s="97"/>
      <c r="Q64" s="95"/>
      <c r="R64" s="95"/>
      <c r="S64" s="96"/>
      <c r="U64" s="21"/>
      <c r="V64" s="21"/>
      <c r="W64" s="21"/>
      <c r="X64" s="21"/>
      <c r="Y64" s="21"/>
      <c r="Z64" s="21"/>
    </row>
    <row r="65" spans="1:26" ht="12.45" customHeight="1" x14ac:dyDescent="0.25">
      <c r="A65" s="21"/>
      <c r="B65" s="99" t="s">
        <v>47</v>
      </c>
      <c r="C65" s="21"/>
      <c r="D65" s="21"/>
      <c r="E65" s="21"/>
      <c r="F65" s="21"/>
      <c r="G65" s="21"/>
      <c r="H65" s="94"/>
      <c r="I65" s="95">
        <v>5.3643681188832908E-3</v>
      </c>
      <c r="J65" s="21"/>
      <c r="K65" s="66" t="s">
        <v>47</v>
      </c>
      <c r="L65" s="21"/>
      <c r="M65" s="21"/>
      <c r="N65" s="21"/>
      <c r="O65" s="21"/>
      <c r="P65" s="95">
        <f>I65</f>
        <v>5.3643681188832908E-3</v>
      </c>
      <c r="Q65" s="95"/>
      <c r="R65" s="95">
        <f>+P65-I65</f>
        <v>0</v>
      </c>
      <c r="S65" s="96"/>
      <c r="U65" s="21"/>
      <c r="V65" s="21"/>
      <c r="W65" s="21"/>
      <c r="X65" s="21"/>
      <c r="Y65" s="21"/>
      <c r="Z65" s="21"/>
    </row>
    <row r="66" spans="1:26" ht="12.45" customHeight="1" x14ac:dyDescent="0.25">
      <c r="A66" s="21"/>
      <c r="B66" s="99"/>
      <c r="C66" s="21"/>
      <c r="D66" s="21"/>
      <c r="E66" s="21"/>
      <c r="F66" s="21"/>
      <c r="G66" s="21"/>
      <c r="H66" s="94"/>
      <c r="I66" s="95"/>
      <c r="J66" s="21"/>
      <c r="K66" s="21"/>
      <c r="L66" s="21"/>
      <c r="M66" s="21"/>
      <c r="N66" s="21"/>
      <c r="O66" s="100"/>
      <c r="P66" s="95"/>
      <c r="Q66" s="95"/>
      <c r="R66" s="95"/>
      <c r="S66" s="96"/>
      <c r="U66" s="21"/>
      <c r="V66" s="21"/>
      <c r="W66" s="21"/>
      <c r="X66" s="21"/>
      <c r="Y66" s="21"/>
      <c r="Z66" s="21"/>
    </row>
    <row r="67" spans="1:26" ht="12.45" customHeight="1" x14ac:dyDescent="0.25">
      <c r="A67" s="21"/>
      <c r="B67" s="99"/>
      <c r="C67" s="21"/>
      <c r="D67" s="21"/>
      <c r="E67" s="21"/>
      <c r="F67" s="21"/>
      <c r="G67" s="21"/>
      <c r="H67" s="94"/>
      <c r="I67" s="95"/>
      <c r="J67" s="21"/>
      <c r="K67" s="21"/>
      <c r="L67" s="21"/>
      <c r="M67" s="21"/>
      <c r="N67" s="21"/>
      <c r="O67" s="100"/>
      <c r="P67" s="95"/>
      <c r="Q67" s="95"/>
      <c r="R67" s="95"/>
      <c r="S67" s="96"/>
      <c r="U67" s="21"/>
      <c r="V67" s="21"/>
      <c r="W67" s="21"/>
      <c r="X67" s="21"/>
      <c r="Y67" s="21"/>
      <c r="Z67" s="21"/>
    </row>
    <row r="68" spans="1:26" ht="12.45" customHeight="1" x14ac:dyDescent="0.25">
      <c r="A68" s="21"/>
      <c r="B68" s="102" t="s">
        <v>48</v>
      </c>
      <c r="C68" s="21"/>
      <c r="D68" s="21"/>
      <c r="E68" s="21"/>
      <c r="F68" s="21"/>
      <c r="G68" s="94"/>
      <c r="H68" s="94"/>
      <c r="I68" s="95"/>
      <c r="J68" s="21"/>
      <c r="K68" s="54" t="s">
        <v>48</v>
      </c>
      <c r="L68" s="21"/>
      <c r="M68" s="21"/>
      <c r="N68" s="21"/>
      <c r="O68" s="100"/>
      <c r="P68" s="95"/>
      <c r="Q68" s="95"/>
      <c r="R68" s="95"/>
      <c r="S68" s="96"/>
      <c r="U68" s="21"/>
      <c r="V68" s="21"/>
      <c r="W68" s="21"/>
      <c r="X68" s="21"/>
      <c r="Y68" s="21"/>
      <c r="Z68" s="21"/>
    </row>
    <row r="69" spans="1:26" ht="12.45" customHeight="1" x14ac:dyDescent="0.25">
      <c r="A69" s="21"/>
      <c r="B69" s="38" t="s">
        <v>83</v>
      </c>
      <c r="C69" s="21"/>
      <c r="D69" s="21"/>
      <c r="E69" s="21"/>
      <c r="F69" s="21"/>
      <c r="G69" s="87"/>
      <c r="H69" s="94"/>
      <c r="I69" s="103">
        <v>0.21042934707877889</v>
      </c>
      <c r="J69" s="21"/>
      <c r="K69" s="21" t="s">
        <v>83</v>
      </c>
      <c r="L69" s="21"/>
      <c r="M69" s="21"/>
      <c r="N69" s="21"/>
      <c r="O69" s="87"/>
      <c r="P69" s="103">
        <f>I69</f>
        <v>0.21042934707877889</v>
      </c>
      <c r="Q69" s="104"/>
      <c r="R69" s="97">
        <f>+P69-I69</f>
        <v>0</v>
      </c>
      <c r="S69" s="96"/>
      <c r="U69" s="21"/>
      <c r="V69" s="21"/>
      <c r="W69" s="21"/>
      <c r="X69" s="21"/>
      <c r="Y69" s="21"/>
      <c r="Z69" s="21"/>
    </row>
    <row r="70" spans="1:26" ht="12.45" customHeight="1" x14ac:dyDescent="0.25">
      <c r="A70" s="21"/>
      <c r="B70" s="105"/>
      <c r="C70" s="21"/>
      <c r="D70" s="21"/>
      <c r="E70" s="21"/>
      <c r="F70" s="21"/>
      <c r="G70" s="106"/>
      <c r="H70" s="21"/>
      <c r="I70" s="88"/>
      <c r="J70" s="21"/>
      <c r="K70" s="21"/>
      <c r="L70" s="21"/>
      <c r="M70" s="21"/>
      <c r="N70" s="21"/>
      <c r="O70" s="107"/>
      <c r="P70" s="88"/>
      <c r="Q70" s="88"/>
      <c r="R70" s="88"/>
      <c r="S70" s="108"/>
      <c r="U70" s="21"/>
      <c r="V70" s="21"/>
      <c r="W70" s="21"/>
      <c r="X70" s="21"/>
      <c r="Y70" s="21"/>
      <c r="Z70" s="21"/>
    </row>
    <row r="71" spans="1:26" ht="12.45" customHeight="1" x14ac:dyDescent="0.25">
      <c r="A71" s="21"/>
      <c r="B71" s="105"/>
      <c r="C71" s="21"/>
      <c r="D71" s="21"/>
      <c r="E71" s="21"/>
      <c r="F71" s="21"/>
      <c r="G71" s="106"/>
      <c r="H71" s="21"/>
      <c r="I71" s="88"/>
      <c r="J71" s="21"/>
      <c r="K71" s="21"/>
      <c r="L71" s="21"/>
      <c r="M71" s="21"/>
      <c r="N71" s="21"/>
      <c r="O71" s="107" t="s">
        <v>86</v>
      </c>
      <c r="P71" s="95">
        <f>P38+P55+P59+P63+P65+P69</f>
        <v>0.43803052512296259</v>
      </c>
      <c r="Q71" s="88"/>
      <c r="R71" s="95">
        <f>+P71-I72</f>
        <v>0</v>
      </c>
      <c r="S71" s="108"/>
      <c r="U71" s="21"/>
      <c r="V71" s="21"/>
      <c r="W71" s="21"/>
      <c r="X71" s="21"/>
      <c r="Y71" s="21"/>
      <c r="Z71" s="21"/>
    </row>
    <row r="72" spans="1:26" ht="12.45" customHeight="1" x14ac:dyDescent="0.25">
      <c r="A72" s="21"/>
      <c r="B72" s="38"/>
      <c r="D72" s="21"/>
      <c r="E72" s="21"/>
      <c r="F72" s="21"/>
      <c r="G72" s="21"/>
      <c r="H72" s="107" t="s">
        <v>13</v>
      </c>
      <c r="I72" s="95">
        <f>SUM(I69,I63,I65,I55,I38,I59)</f>
        <v>0.4380305251229627</v>
      </c>
      <c r="J72" s="21"/>
      <c r="K72" s="21"/>
      <c r="L72" s="21"/>
      <c r="M72" s="21"/>
      <c r="N72" s="21"/>
      <c r="O72" s="107" t="s">
        <v>87</v>
      </c>
      <c r="P72" s="95">
        <f>P38+P57+P59+P63+P65+P69</f>
        <v>0.36913052512296263</v>
      </c>
      <c r="Q72" s="95"/>
      <c r="R72" s="95">
        <f>+P72-I72</f>
        <v>-6.8900000000000072E-2</v>
      </c>
      <c r="S72" s="96"/>
      <c r="U72" s="21"/>
      <c r="V72" s="21"/>
      <c r="W72" s="21"/>
      <c r="X72" s="21"/>
      <c r="Y72" s="21"/>
      <c r="Z72" s="21"/>
    </row>
    <row r="73" spans="1:26" ht="12.45" customHeight="1" x14ac:dyDescent="0.25">
      <c r="A73" s="21"/>
      <c r="B73" s="109"/>
      <c r="C73" s="110"/>
      <c r="D73" s="110"/>
      <c r="E73" s="110"/>
      <c r="F73" s="110"/>
      <c r="G73" s="111"/>
      <c r="H73" s="111"/>
      <c r="I73" s="112"/>
      <c r="J73" s="110"/>
      <c r="K73" s="113"/>
      <c r="L73" s="110"/>
      <c r="M73" s="110"/>
      <c r="N73" s="110"/>
      <c r="O73" s="111"/>
      <c r="P73" s="112"/>
      <c r="Q73" s="112"/>
      <c r="R73" s="112"/>
      <c r="S73" s="114"/>
      <c r="T73" s="21"/>
      <c r="U73" s="21"/>
      <c r="V73" s="21"/>
      <c r="W73" s="21"/>
      <c r="X73" s="21"/>
      <c r="Y73" s="21"/>
      <c r="Z73" s="21"/>
    </row>
    <row r="74" spans="1:26" ht="12.45" customHeight="1" x14ac:dyDescent="0.25">
      <c r="A74" s="21"/>
      <c r="B74" s="164" t="s">
        <v>97</v>
      </c>
      <c r="C74" s="164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21"/>
      <c r="T74" s="21"/>
      <c r="U74" s="21"/>
      <c r="V74" s="21"/>
      <c r="W74" s="21"/>
      <c r="X74" s="21"/>
      <c r="Y74" s="21"/>
      <c r="Z74" s="21"/>
    </row>
    <row r="75" spans="1:26" ht="12.45" hidden="1" customHeight="1" x14ac:dyDescent="0.25">
      <c r="A75" s="21"/>
      <c r="B75" s="115" t="s">
        <v>50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95"/>
      <c r="S75" s="21"/>
      <c r="T75" s="21"/>
      <c r="U75" s="21"/>
      <c r="V75" s="21"/>
      <c r="W75" s="21"/>
      <c r="X75" s="21"/>
      <c r="Y75" s="21"/>
      <c r="Z75" s="21"/>
    </row>
    <row r="76" spans="1:26" ht="12.45" hidden="1" customHeight="1" x14ac:dyDescent="0.25">
      <c r="A76" s="21"/>
      <c r="B76" s="66" t="s">
        <v>50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95"/>
      <c r="S76" s="21"/>
      <c r="T76" s="21"/>
      <c r="U76" s="21"/>
      <c r="V76" s="21"/>
      <c r="W76" s="21"/>
      <c r="X76" s="21"/>
      <c r="Y76" s="21"/>
      <c r="Z76" s="21"/>
    </row>
    <row r="77" spans="1:26" ht="12.45" hidden="1" customHeight="1" x14ac:dyDescent="0.25">
      <c r="A77" s="21"/>
      <c r="B77" s="66" t="s">
        <v>50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95"/>
      <c r="S77" s="21"/>
      <c r="T77" s="21"/>
      <c r="U77" s="21"/>
      <c r="V77" s="21"/>
      <c r="W77" s="21"/>
      <c r="X77" s="21"/>
      <c r="Y77" s="21"/>
      <c r="Z77" s="21"/>
    </row>
    <row r="78" spans="1:26" x14ac:dyDescent="0.25">
      <c r="A78" s="21"/>
      <c r="B78" s="164"/>
      <c r="C78" s="164"/>
      <c r="D78" s="164"/>
      <c r="E78" s="164"/>
      <c r="F78" s="164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21"/>
      <c r="T78" s="21"/>
      <c r="U78" s="21"/>
      <c r="V78" s="21"/>
      <c r="W78" s="21"/>
      <c r="X78" s="21"/>
      <c r="Y78" s="21"/>
      <c r="Z78" s="21"/>
    </row>
    <row r="79" spans="1:26" x14ac:dyDescent="0.25">
      <c r="A79" s="21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16"/>
      <c r="R79" s="95"/>
      <c r="S79" s="21"/>
      <c r="T79" s="21"/>
      <c r="U79" s="21"/>
      <c r="V79" s="21"/>
      <c r="W79" s="21"/>
      <c r="X79" s="21"/>
      <c r="Y79" s="21"/>
      <c r="Z79" s="21"/>
    </row>
    <row r="80" spans="1:26" x14ac:dyDescent="0.25">
      <c r="A80" s="21"/>
      <c r="B80" s="117"/>
      <c r="R80" s="95"/>
      <c r="S80" s="100"/>
      <c r="T80" s="21"/>
      <c r="U80" s="21"/>
      <c r="V80" s="21"/>
      <c r="W80" s="21"/>
      <c r="X80" s="21"/>
      <c r="Y80" s="21"/>
      <c r="Z80" s="21"/>
    </row>
    <row r="81" spans="1:26" ht="7.2" customHeight="1" x14ac:dyDescent="0.25">
      <c r="A81" s="21"/>
      <c r="R81" s="95"/>
      <c r="S81" s="21"/>
      <c r="T81" s="21"/>
      <c r="U81" s="21"/>
      <c r="V81" s="21"/>
      <c r="W81" s="21"/>
      <c r="X81" s="21"/>
      <c r="Y81" s="21"/>
      <c r="Z81" s="21"/>
    </row>
    <row r="82" spans="1:26" ht="7.2" customHeight="1" x14ac:dyDescent="0.25">
      <c r="A82" s="21"/>
      <c r="R82" s="95"/>
      <c r="S82" s="21"/>
      <c r="T82" s="21"/>
      <c r="U82" s="21"/>
      <c r="V82" s="21"/>
      <c r="W82" s="21"/>
      <c r="X82" s="21"/>
      <c r="Y82" s="21"/>
      <c r="Z82" s="21"/>
    </row>
    <row r="83" spans="1:26" x14ac:dyDescent="0.25">
      <c r="A83" s="21"/>
      <c r="Q83" s="118"/>
      <c r="R83" s="21"/>
      <c r="S83" s="21"/>
      <c r="T83" s="21"/>
      <c r="U83" s="21"/>
      <c r="V83" s="21"/>
      <c r="W83" s="21"/>
      <c r="X83" s="21"/>
      <c r="Y83" s="21"/>
      <c r="Z83" s="21"/>
    </row>
    <row r="84" spans="1:26" x14ac:dyDescent="0.25">
      <c r="A84" s="21"/>
      <c r="B84" s="21"/>
      <c r="C84" s="21"/>
      <c r="D84" s="21"/>
      <c r="E84" s="21"/>
      <c r="F84" s="21"/>
      <c r="G84" s="21"/>
      <c r="H84" s="50"/>
      <c r="I84" s="100"/>
      <c r="J84" s="21"/>
      <c r="K84" s="21"/>
      <c r="L84" s="21"/>
      <c r="M84" s="21"/>
      <c r="N84" s="21"/>
      <c r="O84" s="50"/>
      <c r="P84" s="100"/>
      <c r="Q84" s="100"/>
      <c r="R84" s="21"/>
      <c r="S84" s="21"/>
      <c r="T84" s="21"/>
      <c r="U84" s="21"/>
      <c r="V84" s="21"/>
      <c r="W84" s="21"/>
      <c r="X84" s="21"/>
      <c r="Y84" s="21"/>
      <c r="Z84" s="21"/>
    </row>
    <row r="85" spans="1:26" x14ac:dyDescent="0.2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50"/>
      <c r="P85" s="100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x14ac:dyDescent="0.25">
      <c r="A86" s="21"/>
      <c r="B86" s="21"/>
      <c r="C86" s="21"/>
      <c r="D86" s="21"/>
      <c r="E86" s="21"/>
      <c r="F86" s="21"/>
      <c r="G86" s="21"/>
      <c r="H86" s="21"/>
      <c r="I86" s="87"/>
      <c r="J86" s="21"/>
      <c r="K86" s="21"/>
      <c r="L86" s="21"/>
      <c r="M86" s="21"/>
      <c r="N86" s="21"/>
      <c r="O86" s="21"/>
      <c r="P86" s="87"/>
      <c r="Q86" s="87"/>
      <c r="S86" s="21"/>
      <c r="T86" s="21"/>
      <c r="U86" s="21"/>
      <c r="V86" s="21"/>
      <c r="W86" s="21"/>
      <c r="X86" s="21"/>
      <c r="Y86" s="21"/>
      <c r="Z86" s="21"/>
    </row>
  </sheetData>
  <mergeCells count="2">
    <mergeCell ref="B78:R78"/>
    <mergeCell ref="B74:R74"/>
  </mergeCells>
  <printOptions horizontalCentered="1"/>
  <pageMargins left="0.5" right="0.5" top="0.75" bottom="0.25" header="0.5" footer="0.5"/>
  <pageSetup paperSize="9" scale="70" orientation="portrait" blackAndWhite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04801-FD86-4333-BB59-7721C8097240}">
  <sheetPr>
    <pageSetUpPr fitToPage="1"/>
  </sheetPr>
  <dimension ref="B1:AG88"/>
  <sheetViews>
    <sheetView topLeftCell="A18" zoomScaleNormal="100" workbookViewId="0">
      <selection activeCell="B74" sqref="B74:R74"/>
    </sheetView>
  </sheetViews>
  <sheetFormatPr defaultColWidth="8.109375" defaultRowHeight="11.4" x14ac:dyDescent="0.2"/>
  <cols>
    <col min="1" max="2" width="3.44140625" style="21" customWidth="1"/>
    <col min="3" max="3" width="10.88671875" style="21" customWidth="1"/>
    <col min="4" max="4" width="3.44140625" style="21" customWidth="1"/>
    <col min="5" max="5" width="9.5546875" style="21" customWidth="1"/>
    <col min="6" max="6" width="3.44140625" style="21" customWidth="1"/>
    <col min="7" max="7" width="11.33203125" style="21" customWidth="1"/>
    <col min="8" max="8" width="3.44140625" style="21" customWidth="1"/>
    <col min="9" max="9" width="12.5546875" style="21" customWidth="1"/>
    <col min="10" max="10" width="12.33203125" style="21" bestFit="1" customWidth="1"/>
    <col min="11" max="11" width="12.6640625" style="21" customWidth="1"/>
    <col min="12" max="12" width="3.44140625" style="21" customWidth="1"/>
    <col min="13" max="13" width="9.88671875" style="21" customWidth="1"/>
    <col min="14" max="14" width="3.44140625" style="21" customWidth="1"/>
    <col min="15" max="15" width="8.88671875" style="21" customWidth="1"/>
    <col min="16" max="16" width="9.88671875" style="21" customWidth="1"/>
    <col min="17" max="17" width="1.5546875" style="21" customWidth="1"/>
    <col min="18" max="18" width="9.88671875" style="21" customWidth="1"/>
    <col min="19" max="19" width="1.5546875" style="21" customWidth="1"/>
    <col min="20" max="20" width="8.109375" style="21" customWidth="1"/>
    <col min="21" max="21" width="8.88671875" style="21" customWidth="1"/>
    <col min="22" max="22" width="8.109375" style="21" customWidth="1"/>
    <col min="23" max="24" width="8.88671875" style="21" customWidth="1"/>
    <col min="25" max="25" width="7.6640625" style="21" customWidth="1"/>
    <col min="26" max="26" width="10.109375" style="21" customWidth="1"/>
    <col min="27" max="16384" width="8.109375" style="21"/>
  </cols>
  <sheetData>
    <row r="1" spans="2:33" ht="12.45" customHeight="1" x14ac:dyDescent="0.25">
      <c r="H1" s="22"/>
      <c r="I1" s="23"/>
      <c r="S1" s="147" t="str">
        <f>'P1. RD-1 to HP-RES'!S1</f>
        <v>DPU 23-80</v>
      </c>
    </row>
    <row r="2" spans="2:33" ht="12.45" customHeight="1" x14ac:dyDescent="0.25">
      <c r="H2" s="22"/>
      <c r="I2" s="23"/>
      <c r="S2" s="147" t="str">
        <f>'P1. RD-1 to HP-RES'!S2</f>
        <v>DOER 2-03 Attachment 1</v>
      </c>
    </row>
    <row r="3" spans="2:33" ht="12.45" customHeight="1" x14ac:dyDescent="0.25">
      <c r="H3" s="22"/>
      <c r="I3" s="23"/>
      <c r="S3" s="147" t="s">
        <v>103</v>
      </c>
    </row>
    <row r="4" spans="2:33" ht="12.45" customHeight="1" x14ac:dyDescent="0.2"/>
    <row r="5" spans="2:33" ht="12.45" customHeight="1" x14ac:dyDescent="0.25">
      <c r="B5" s="25" t="s">
        <v>0</v>
      </c>
      <c r="C5" s="26"/>
      <c r="D5" s="26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8"/>
      <c r="S5" s="28"/>
      <c r="T5" s="29"/>
      <c r="U5" s="66"/>
      <c r="W5" s="29"/>
      <c r="X5" s="66"/>
    </row>
    <row r="6" spans="2:33" ht="12.45" customHeight="1" x14ac:dyDescent="0.25">
      <c r="B6" s="119" t="str">
        <f>'P1. RD-1 to HP-RES'!B6</f>
        <v>Basic Service Customer Typical Bill Impacts - Distribution Rate Proposal</v>
      </c>
      <c r="C6" s="31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3"/>
      <c r="S6" s="33"/>
      <c r="T6" s="29"/>
      <c r="U6" s="66"/>
      <c r="V6" s="22"/>
      <c r="W6" s="29"/>
      <c r="X6" s="66"/>
      <c r="Y6" s="22"/>
    </row>
    <row r="7" spans="2:33" ht="12.45" customHeight="1" x14ac:dyDescent="0.25">
      <c r="B7" s="34" t="s">
        <v>52</v>
      </c>
      <c r="C7" s="35"/>
      <c r="D7" s="35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7"/>
      <c r="S7" s="37"/>
      <c r="T7" s="29"/>
      <c r="U7" s="120"/>
      <c r="V7" s="120"/>
      <c r="W7" s="29"/>
      <c r="X7" s="120"/>
      <c r="Y7" s="120"/>
    </row>
    <row r="8" spans="2:33" ht="12.45" customHeight="1" x14ac:dyDescent="0.2">
      <c r="U8" s="121"/>
      <c r="V8" s="122"/>
      <c r="X8" s="121"/>
      <c r="Y8" s="122"/>
    </row>
    <row r="9" spans="2:33" ht="12.45" customHeight="1" x14ac:dyDescent="0.25">
      <c r="B9" s="39"/>
      <c r="C9" s="40"/>
      <c r="D9" s="40"/>
      <c r="E9" s="41" t="s">
        <v>2</v>
      </c>
      <c r="F9" s="40"/>
      <c r="G9" s="43"/>
      <c r="H9" s="43"/>
      <c r="I9" s="43"/>
      <c r="J9" s="41" t="s">
        <v>3</v>
      </c>
      <c r="K9" s="43"/>
      <c r="L9" s="43"/>
      <c r="M9" s="43"/>
      <c r="N9" s="44"/>
      <c r="O9" s="40"/>
      <c r="P9" s="43"/>
      <c r="Q9" s="40"/>
      <c r="R9" s="43"/>
      <c r="S9" s="45"/>
      <c r="V9" s="122"/>
      <c r="Y9" s="122"/>
    </row>
    <row r="10" spans="2:33" s="22" customFormat="1" ht="12.45" customHeight="1" x14ac:dyDescent="0.25">
      <c r="B10" s="38"/>
      <c r="C10" s="21"/>
      <c r="E10" s="46" t="s">
        <v>4</v>
      </c>
      <c r="F10" s="46"/>
      <c r="G10" s="46" t="s">
        <v>53</v>
      </c>
      <c r="H10" s="46"/>
      <c r="I10" s="46" t="s">
        <v>6</v>
      </c>
      <c r="J10" s="46" t="s">
        <v>7</v>
      </c>
      <c r="K10" s="46" t="s">
        <v>8</v>
      </c>
      <c r="L10" s="46"/>
      <c r="M10" s="47"/>
      <c r="N10" s="46"/>
      <c r="O10" s="46" t="s">
        <v>9</v>
      </c>
      <c r="P10" s="46"/>
      <c r="Q10" s="48"/>
      <c r="R10" s="46"/>
      <c r="S10" s="49"/>
    </row>
    <row r="11" spans="2:33" s="22" customFormat="1" ht="12.45" customHeight="1" x14ac:dyDescent="0.25">
      <c r="B11" s="38"/>
      <c r="C11" s="52"/>
      <c r="E11" s="46" t="s">
        <v>10</v>
      </c>
      <c r="F11" s="46"/>
      <c r="G11" s="46" t="s">
        <v>11</v>
      </c>
      <c r="H11" s="46"/>
      <c r="I11" s="46" t="s">
        <v>12</v>
      </c>
      <c r="J11" s="46" t="s">
        <v>10</v>
      </c>
      <c r="K11" s="46" t="s">
        <v>11</v>
      </c>
      <c r="L11" s="46"/>
      <c r="M11" s="46" t="s">
        <v>13</v>
      </c>
      <c r="N11" s="47"/>
      <c r="O11" s="46" t="s">
        <v>13</v>
      </c>
      <c r="P11" s="46"/>
      <c r="Q11" s="53"/>
      <c r="R11" s="46"/>
      <c r="S11" s="49"/>
      <c r="Y11" s="50"/>
      <c r="Z11" s="51"/>
      <c r="AA11" s="21"/>
    </row>
    <row r="12" spans="2:33" s="54" customFormat="1" ht="12.45" customHeight="1" x14ac:dyDescent="0.25">
      <c r="B12" s="38"/>
      <c r="C12" s="55" t="s">
        <v>14</v>
      </c>
      <c r="E12" s="123" t="s">
        <v>15</v>
      </c>
      <c r="F12" s="56"/>
      <c r="G12" s="56" t="s">
        <v>16</v>
      </c>
      <c r="H12" s="56"/>
      <c r="I12" s="56" t="s">
        <v>17</v>
      </c>
      <c r="J12" s="56" t="s">
        <v>15</v>
      </c>
      <c r="K12" s="56" t="s">
        <v>16</v>
      </c>
      <c r="L12" s="56"/>
      <c r="M12" s="56" t="s">
        <v>18</v>
      </c>
      <c r="N12" s="47"/>
      <c r="O12" s="56" t="s">
        <v>18</v>
      </c>
      <c r="P12" s="56"/>
      <c r="Q12" s="53"/>
      <c r="R12" s="56"/>
      <c r="S12" s="57"/>
      <c r="U12" s="54" t="s">
        <v>92</v>
      </c>
      <c r="Y12" s="58"/>
    </row>
    <row r="13" spans="2:33" ht="12.45" customHeight="1" x14ac:dyDescent="0.25">
      <c r="B13" s="38"/>
      <c r="E13" s="47"/>
      <c r="F13" s="47"/>
      <c r="G13" s="59"/>
      <c r="H13" s="47"/>
      <c r="I13" s="24"/>
      <c r="J13" s="24"/>
      <c r="K13" s="47"/>
      <c r="L13" s="47"/>
      <c r="M13" s="47"/>
      <c r="N13" s="47"/>
      <c r="O13" s="47"/>
      <c r="P13" s="59"/>
      <c r="R13" s="47"/>
      <c r="S13" s="60"/>
      <c r="U13" s="21" t="s">
        <v>51</v>
      </c>
      <c r="Y13" s="58"/>
      <c r="Z13" s="58"/>
    </row>
    <row r="14" spans="2:33" ht="12.45" customHeight="1" x14ac:dyDescent="0.2">
      <c r="B14" s="38"/>
      <c r="C14" s="61">
        <v>0.1</v>
      </c>
      <c r="E14" s="62">
        <v>70.122988545523754</v>
      </c>
      <c r="F14" s="47"/>
      <c r="G14" s="63">
        <f>$I$33+$I$74+E14*$I$79</f>
        <v>23.529605697472356</v>
      </c>
      <c r="H14" s="47"/>
      <c r="I14" s="62">
        <f>E14/$E$25*$I$25</f>
        <v>61.279947893342879</v>
      </c>
      <c r="J14" s="62">
        <f>E14+I14</f>
        <v>131.40293643886662</v>
      </c>
      <c r="K14" s="63">
        <f>$P$33+$P$74+J14*($P$78*$O$39)+J14*($P$79*$O$40)</f>
        <v>35.590845015302946</v>
      </c>
      <c r="L14" s="47"/>
      <c r="M14" s="63">
        <f t="shared" ref="M14:M23" si="0">K14-G14</f>
        <v>12.061239317830591</v>
      </c>
      <c r="N14" s="47"/>
      <c r="O14" s="64">
        <f t="shared" ref="O14:O23" si="1">K14/G14-1</f>
        <v>0.5125984460983235</v>
      </c>
      <c r="P14" s="63"/>
      <c r="R14" s="64"/>
      <c r="S14" s="60"/>
      <c r="U14" s="124">
        <f>-('P1. RD-1 to HP-RES'!G14-'P2. RD-2 to HP-RES'!G14)/'P1. RD-1 to HP-RES'!G14</f>
        <v>-0.40000000000000013</v>
      </c>
      <c r="V14" s="150">
        <f>'P1. RD-1 to HP-RES'!G14*0.6-'P2. RD-2 to HP-RES'!G14</f>
        <v>0</v>
      </c>
      <c r="W14" s="124">
        <f>-('P1. RD-1 to HP-RES'!K14-'P2. RD-2 to HP-RES'!K14)/'P1. RD-1 to HP-RES'!K14</f>
        <v>-0.40000000000000008</v>
      </c>
      <c r="X14" s="124">
        <f>-('P1. RD-1 to HP-RES'!J14-'P2. RD-2 to HP-RES'!J14)/'P1. RD-1 to HP-RES'!J14</f>
        <v>0</v>
      </c>
      <c r="Y14" s="150"/>
      <c r="Z14" s="151"/>
      <c r="AA14" s="150"/>
      <c r="AB14" s="124"/>
      <c r="AC14" s="124"/>
      <c r="AD14" s="124"/>
      <c r="AE14" s="124"/>
      <c r="AF14" s="124"/>
      <c r="AG14" s="150"/>
    </row>
    <row r="15" spans="2:33" ht="12.45" customHeight="1" x14ac:dyDescent="0.2">
      <c r="B15" s="38"/>
      <c r="C15" s="61">
        <v>0.2</v>
      </c>
      <c r="E15" s="62">
        <v>182.93414313399779</v>
      </c>
      <c r="F15" s="47"/>
      <c r="G15" s="63">
        <f>$I$33+$I$74+E15*$I$79</f>
        <v>53.178443267942555</v>
      </c>
      <c r="H15" s="47"/>
      <c r="I15" s="62">
        <f t="shared" ref="I15:I23" si="2">E15/$E$25*$I$25</f>
        <v>159.86476035440316</v>
      </c>
      <c r="J15" s="62">
        <f t="shared" ref="J15:J23" si="3">E15+I15</f>
        <v>342.79890348840092</v>
      </c>
      <c r="K15" s="63">
        <f t="shared" ref="K15:K23" si="4">$P$33+$P$74+J15*($P$78*$O$39)+J15*($P$79*$O$40)</f>
        <v>84.643338383030567</v>
      </c>
      <c r="L15" s="47"/>
      <c r="M15" s="63">
        <f t="shared" si="0"/>
        <v>31.464895115088012</v>
      </c>
      <c r="N15" s="47"/>
      <c r="O15" s="64">
        <f t="shared" si="1"/>
        <v>0.59168514874627642</v>
      </c>
      <c r="P15" s="63"/>
      <c r="R15" s="64"/>
      <c r="S15" s="60"/>
      <c r="U15" s="124">
        <f>-('P1. RD-1 to HP-RES'!G15-'P2. RD-2 to HP-RES'!G15)/'P1. RD-1 to HP-RES'!G15</f>
        <v>-0.40000000000000013</v>
      </c>
      <c r="V15" s="150">
        <f>'P1. RD-1 to HP-RES'!G15*0.6-'P2. RD-2 to HP-RES'!G15</f>
        <v>0</v>
      </c>
      <c r="W15" s="124">
        <f>-('P1. RD-1 to HP-RES'!K15-'P2. RD-2 to HP-RES'!K15)/'P1. RD-1 to HP-RES'!K15</f>
        <v>-0.40000000000000008</v>
      </c>
      <c r="X15" s="124">
        <f>-('P1. RD-1 to HP-RES'!J15-'P2. RD-2 to HP-RES'!J15)/'P1. RD-1 to HP-RES'!J15</f>
        <v>0</v>
      </c>
      <c r="Y15" s="150"/>
      <c r="Z15" s="150"/>
      <c r="AA15" s="150"/>
      <c r="AB15" s="124"/>
      <c r="AC15" s="124"/>
      <c r="AD15" s="124"/>
      <c r="AE15" s="124"/>
      <c r="AF15" s="124"/>
      <c r="AG15" s="150"/>
    </row>
    <row r="16" spans="2:33" ht="12.45" customHeight="1" x14ac:dyDescent="0.2">
      <c r="B16" s="38"/>
      <c r="C16" s="61">
        <v>0.30000000000000004</v>
      </c>
      <c r="E16" s="62">
        <v>262.31338893310726</v>
      </c>
      <c r="F16" s="47"/>
      <c r="G16" s="63">
        <f>$I$33+$I$74+E16*$I$79</f>
        <v>74.040762900691732</v>
      </c>
      <c r="H16" s="47"/>
      <c r="I16" s="62">
        <f t="shared" si="2"/>
        <v>229.23368126433201</v>
      </c>
      <c r="J16" s="62">
        <f t="shared" si="3"/>
        <v>491.54707019743927</v>
      </c>
      <c r="K16" s="63">
        <f t="shared" si="4"/>
        <v>119.15898483927086</v>
      </c>
      <c r="L16" s="47"/>
      <c r="M16" s="63">
        <f t="shared" si="0"/>
        <v>45.118221938579126</v>
      </c>
      <c r="N16" s="47"/>
      <c r="O16" s="64">
        <f t="shared" si="1"/>
        <v>0.60937003038575677</v>
      </c>
      <c r="P16" s="63"/>
      <c r="R16" s="64"/>
      <c r="S16" s="60"/>
      <c r="U16" s="124">
        <f>-('P1. RD-1 to HP-RES'!G16-'P2. RD-2 to HP-RES'!G16)/'P1. RD-1 to HP-RES'!G16</f>
        <v>-0.40000000000000019</v>
      </c>
      <c r="V16" s="150">
        <f>'P1. RD-1 to HP-RES'!G16*0.6-'P2. RD-2 to HP-RES'!G16</f>
        <v>0</v>
      </c>
      <c r="W16" s="124">
        <f>-('P1. RD-1 to HP-RES'!K16-'P2. RD-2 to HP-RES'!K16)/'P1. RD-1 to HP-RES'!K16</f>
        <v>-0.39999999999999997</v>
      </c>
      <c r="X16" s="124">
        <f>-('P1. RD-1 to HP-RES'!J16-'P2. RD-2 to HP-RES'!J16)/'P1. RD-1 to HP-RES'!J16</f>
        <v>0</v>
      </c>
      <c r="Y16" s="150"/>
      <c r="Z16" s="150"/>
      <c r="AA16" s="150"/>
      <c r="AB16" s="124"/>
      <c r="AC16" s="124"/>
      <c r="AD16" s="124"/>
      <c r="AE16" s="124"/>
      <c r="AF16" s="124"/>
      <c r="AG16" s="150"/>
    </row>
    <row r="17" spans="2:33" ht="12.45" customHeight="1" x14ac:dyDescent="0.2">
      <c r="B17" s="38"/>
      <c r="C17" s="61">
        <v>0.4</v>
      </c>
      <c r="E17" s="62">
        <v>335.31654900332228</v>
      </c>
      <c r="F17" s="47"/>
      <c r="G17" s="63">
        <f t="shared" ref="G17:G23" si="5">$I$33+$I$74+E17*$I$79</f>
        <v>93.227330425406919</v>
      </c>
      <c r="H17" s="47"/>
      <c r="I17" s="62">
        <f t="shared" si="2"/>
        <v>293.03058921054526</v>
      </c>
      <c r="J17" s="62">
        <f t="shared" si="3"/>
        <v>628.34713821386754</v>
      </c>
      <c r="K17" s="63">
        <f t="shared" si="4"/>
        <v>150.90218468710975</v>
      </c>
      <c r="L17" s="47"/>
      <c r="M17" s="63">
        <f t="shared" si="0"/>
        <v>57.674854261702833</v>
      </c>
      <c r="N17" s="47"/>
      <c r="O17" s="64">
        <f t="shared" si="1"/>
        <v>0.61864749316027723</v>
      </c>
      <c r="P17" s="63"/>
      <c r="R17" s="64"/>
      <c r="S17" s="60"/>
      <c r="U17" s="124">
        <f>-('P1. RD-1 to HP-RES'!G17-'P2. RD-2 to HP-RES'!G17)/'P1. RD-1 to HP-RES'!G17</f>
        <v>-0.40000000000000019</v>
      </c>
      <c r="V17" s="150">
        <f>'P1. RD-1 to HP-RES'!G17*0.6-'P2. RD-2 to HP-RES'!G17</f>
        <v>0</v>
      </c>
      <c r="W17" s="124">
        <f>-('P1. RD-1 to HP-RES'!K17-'P2. RD-2 to HP-RES'!K17)/'P1. RD-1 to HP-RES'!K17</f>
        <v>-0.4</v>
      </c>
      <c r="X17" s="124">
        <f>-('P1. RD-1 to HP-RES'!J17-'P2. RD-2 to HP-RES'!J17)/'P1. RD-1 to HP-RES'!J17</f>
        <v>0</v>
      </c>
      <c r="Y17" s="150"/>
      <c r="Z17" s="150"/>
      <c r="AA17" s="150"/>
      <c r="AB17" s="124"/>
      <c r="AC17" s="124"/>
      <c r="AD17" s="124"/>
      <c r="AE17" s="124"/>
      <c r="AF17" s="124"/>
      <c r="AG17" s="150"/>
    </row>
    <row r="18" spans="2:33" ht="12.45" customHeight="1" x14ac:dyDescent="0.2">
      <c r="B18" s="38"/>
      <c r="C18" s="61">
        <v>0.5</v>
      </c>
      <c r="E18" s="62">
        <v>410.31906426272622</v>
      </c>
      <c r="F18" s="47"/>
      <c r="G18" s="63">
        <f t="shared" si="5"/>
        <v>112.93936511217876</v>
      </c>
      <c r="H18" s="47"/>
      <c r="I18" s="62">
        <f t="shared" si="2"/>
        <v>358.57471849394159</v>
      </c>
      <c r="J18" s="62">
        <f t="shared" si="3"/>
        <v>768.89378275666786</v>
      </c>
      <c r="K18" s="63">
        <f t="shared" si="4"/>
        <v>183.51474322128769</v>
      </c>
      <c r="L18" s="47"/>
      <c r="M18" s="63">
        <f t="shared" si="0"/>
        <v>70.575378109108925</v>
      </c>
      <c r="N18" s="47"/>
      <c r="O18" s="64">
        <f t="shared" si="1"/>
        <v>0.62489618246931755</v>
      </c>
      <c r="P18" s="63"/>
      <c r="Q18" s="66"/>
      <c r="R18" s="64"/>
      <c r="S18" s="60"/>
      <c r="U18" s="124">
        <f>-('P1. RD-1 to HP-RES'!G18-'P2. RD-2 to HP-RES'!G18)/'P1. RD-1 to HP-RES'!G18</f>
        <v>-0.40000000000000013</v>
      </c>
      <c r="V18" s="150">
        <f>'P1. RD-1 to HP-RES'!G18*0.6-'P2. RD-2 to HP-RES'!G18</f>
        <v>0</v>
      </c>
      <c r="W18" s="124">
        <f>-('P1. RD-1 to HP-RES'!K18-'P2. RD-2 to HP-RES'!K18)/'P1. RD-1 to HP-RES'!K18</f>
        <v>-0.39999999999999997</v>
      </c>
      <c r="X18" s="124">
        <f>-('P1. RD-1 to HP-RES'!J18-'P2. RD-2 to HP-RES'!J18)/'P1. RD-1 to HP-RES'!J18</f>
        <v>0</v>
      </c>
      <c r="Y18" s="150"/>
      <c r="Z18" s="150"/>
      <c r="AA18" s="150"/>
      <c r="AB18" s="124"/>
      <c r="AC18" s="124"/>
      <c r="AD18" s="124"/>
      <c r="AE18" s="124"/>
      <c r="AF18" s="124"/>
      <c r="AG18" s="150"/>
    </row>
    <row r="19" spans="2:33" ht="12.45" customHeight="1" x14ac:dyDescent="0.2">
      <c r="B19" s="38"/>
      <c r="C19" s="61">
        <v>0.6</v>
      </c>
      <c r="E19" s="62">
        <v>493.45217331118494</v>
      </c>
      <c r="F19" s="47"/>
      <c r="G19" s="63">
        <f t="shared" si="5"/>
        <v>134.7882687591393</v>
      </c>
      <c r="H19" s="47"/>
      <c r="I19" s="62">
        <f t="shared" si="2"/>
        <v>431.22411202904271</v>
      </c>
      <c r="J19" s="62">
        <f t="shared" si="3"/>
        <v>924.67628534022765</v>
      </c>
      <c r="K19" s="63">
        <f t="shared" si="4"/>
        <v>219.66264273631253</v>
      </c>
      <c r="L19" s="47"/>
      <c r="M19" s="63">
        <f t="shared" si="0"/>
        <v>84.874373977173235</v>
      </c>
      <c r="N19" s="47"/>
      <c r="O19" s="64">
        <f t="shared" si="1"/>
        <v>0.62968665417641057</v>
      </c>
      <c r="P19" s="63"/>
      <c r="R19" s="64"/>
      <c r="S19" s="60"/>
      <c r="U19" s="124">
        <f>-('P1. RD-1 to HP-RES'!G19-'P2. RD-2 to HP-RES'!G19)/'P1. RD-1 to HP-RES'!G19</f>
        <v>-0.40000000000000008</v>
      </c>
      <c r="V19" s="150">
        <f>'P1. RD-1 to HP-RES'!G19*0.6-'P2. RD-2 to HP-RES'!G19</f>
        <v>0</v>
      </c>
      <c r="W19" s="124">
        <f>-('P1. RD-1 to HP-RES'!K19-'P2. RD-2 to HP-RES'!K19)/'P1. RD-1 to HP-RES'!K19</f>
        <v>-0.40000000000000008</v>
      </c>
      <c r="X19" s="124">
        <f>-('P1. RD-1 to HP-RES'!J19-'P2. RD-2 to HP-RES'!J19)/'P1. RD-1 to HP-RES'!J19</f>
        <v>0</v>
      </c>
      <c r="Y19" s="150"/>
      <c r="Z19" s="150"/>
      <c r="AA19" s="150"/>
      <c r="AB19" s="124"/>
      <c r="AC19" s="124"/>
      <c r="AD19" s="124"/>
      <c r="AE19" s="124"/>
      <c r="AF19" s="124"/>
      <c r="AG19" s="150"/>
    </row>
    <row r="20" spans="2:33" ht="12.45" customHeight="1" x14ac:dyDescent="0.2">
      <c r="B20" s="38"/>
      <c r="C20" s="61">
        <v>0.7</v>
      </c>
      <c r="E20" s="62">
        <v>593.31134719867111</v>
      </c>
      <c r="F20" s="47"/>
      <c r="G20" s="63">
        <f t="shared" si="5"/>
        <v>161.03308858490777</v>
      </c>
      <c r="H20" s="47"/>
      <c r="I20" s="62">
        <f t="shared" si="2"/>
        <v>518.49028678034745</v>
      </c>
      <c r="J20" s="62">
        <f t="shared" si="3"/>
        <v>1111.8016339790186</v>
      </c>
      <c r="K20" s="63">
        <f t="shared" si="4"/>
        <v>263.08336192575291</v>
      </c>
      <c r="L20" s="47"/>
      <c r="M20" s="63">
        <f t="shared" si="0"/>
        <v>102.05027334084514</v>
      </c>
      <c r="N20" s="47"/>
      <c r="O20" s="64">
        <f t="shared" si="1"/>
        <v>0.6337223873529394</v>
      </c>
      <c r="P20" s="63"/>
      <c r="R20" s="64"/>
      <c r="S20" s="60"/>
      <c r="U20" s="124">
        <f>-('P1. RD-1 to HP-RES'!G20-'P2. RD-2 to HP-RES'!G20)/'P1. RD-1 to HP-RES'!G20</f>
        <v>-0.40000000000000013</v>
      </c>
      <c r="V20" s="150">
        <f>'P1. RD-1 to HP-RES'!G20*0.6-'P2. RD-2 to HP-RES'!G20</f>
        <v>0</v>
      </c>
      <c r="W20" s="124">
        <f>-('P1. RD-1 to HP-RES'!K20-'P2. RD-2 to HP-RES'!K20)/'P1. RD-1 to HP-RES'!K20</f>
        <v>-0.4</v>
      </c>
      <c r="X20" s="124">
        <f>-('P1. RD-1 to HP-RES'!J20-'P2. RD-2 to HP-RES'!J20)/'P1. RD-1 to HP-RES'!J20</f>
        <v>0</v>
      </c>
      <c r="Y20" s="150"/>
      <c r="Z20" s="150"/>
      <c r="AA20" s="150"/>
      <c r="AB20" s="124"/>
      <c r="AC20" s="124"/>
      <c r="AD20" s="124"/>
      <c r="AE20" s="124"/>
      <c r="AF20" s="124"/>
      <c r="AG20" s="150"/>
    </row>
    <row r="21" spans="2:33" ht="12.45" customHeight="1" x14ac:dyDescent="0.2">
      <c r="B21" s="38"/>
      <c r="C21" s="61">
        <v>0.79999999999999993</v>
      </c>
      <c r="E21" s="62">
        <v>724.63237126245849</v>
      </c>
      <c r="F21" s="47"/>
      <c r="G21" s="63">
        <f t="shared" si="5"/>
        <v>195.54665886311537</v>
      </c>
      <c r="H21" s="47"/>
      <c r="I21" s="62">
        <f t="shared" si="2"/>
        <v>633.25073380129822</v>
      </c>
      <c r="J21" s="62">
        <f t="shared" si="3"/>
        <v>1357.8831050637568</v>
      </c>
      <c r="K21" s="63">
        <f t="shared" si="4"/>
        <v>320.18430806384231</v>
      </c>
      <c r="L21" s="47"/>
      <c r="M21" s="63">
        <f t="shared" si="0"/>
        <v>124.63764920072694</v>
      </c>
      <c r="N21" s="47"/>
      <c r="O21" s="64">
        <f t="shared" si="1"/>
        <v>0.637380612511383</v>
      </c>
      <c r="P21" s="63"/>
      <c r="R21" s="64"/>
      <c r="S21" s="60"/>
      <c r="U21" s="124">
        <f>-('P1. RD-1 to HP-RES'!G21-'P2. RD-2 to HP-RES'!G21)/'P1. RD-1 to HP-RES'!G21</f>
        <v>-0.40000000000000013</v>
      </c>
      <c r="V21" s="150">
        <f>'P1. RD-1 to HP-RES'!G21*0.6-'P2. RD-2 to HP-RES'!G21</f>
        <v>0</v>
      </c>
      <c r="W21" s="124">
        <f>-('P1. RD-1 to HP-RES'!K21-'P2. RD-2 to HP-RES'!K21)/'P1. RD-1 to HP-RES'!K21</f>
        <v>-0.4</v>
      </c>
      <c r="X21" s="124">
        <f>-('P1. RD-1 to HP-RES'!J21-'P2. RD-2 to HP-RES'!J21)/'P1. RD-1 to HP-RES'!J21</f>
        <v>0</v>
      </c>
      <c r="Y21" s="150"/>
      <c r="Z21" s="150"/>
      <c r="AA21" s="150"/>
      <c r="AB21" s="124"/>
      <c r="AC21" s="124"/>
      <c r="AD21" s="124"/>
      <c r="AE21" s="124"/>
      <c r="AF21" s="124"/>
      <c r="AG21" s="150"/>
    </row>
    <row r="22" spans="2:33" ht="12.45" customHeight="1" x14ac:dyDescent="0.2">
      <c r="B22" s="38"/>
      <c r="C22" s="61">
        <v>0.89999999999999991</v>
      </c>
      <c r="E22" s="62">
        <v>928.94127418071082</v>
      </c>
      <c r="F22" s="47"/>
      <c r="G22" s="63">
        <f t="shared" si="5"/>
        <v>249.24278048266245</v>
      </c>
      <c r="H22" s="47"/>
      <c r="I22" s="62">
        <f t="shared" si="2"/>
        <v>811.79473462990757</v>
      </c>
      <c r="J22" s="62">
        <f t="shared" si="3"/>
        <v>1740.7360088106184</v>
      </c>
      <c r="K22" s="63">
        <f t="shared" si="4"/>
        <v>409.02180947869988</v>
      </c>
      <c r="L22" s="47"/>
      <c r="M22" s="63">
        <f t="shared" si="0"/>
        <v>159.77902899603743</v>
      </c>
      <c r="N22" s="47"/>
      <c r="O22" s="64">
        <f t="shared" si="1"/>
        <v>0.64105780190151496</v>
      </c>
      <c r="P22" s="63"/>
      <c r="R22" s="64"/>
      <c r="S22" s="60"/>
      <c r="U22" s="124">
        <f>-('P1. RD-1 to HP-RES'!G22-'P2. RD-2 to HP-RES'!G22)/'P1. RD-1 to HP-RES'!G22</f>
        <v>-0.40000000000000008</v>
      </c>
      <c r="V22" s="150">
        <f>'P1. RD-1 to HP-RES'!G22*0.6-'P2. RD-2 to HP-RES'!G22</f>
        <v>0</v>
      </c>
      <c r="W22" s="124">
        <f>-('P1. RD-1 to HP-RES'!K22-'P2. RD-2 to HP-RES'!K22)/'P1. RD-1 to HP-RES'!K22</f>
        <v>-0.4</v>
      </c>
      <c r="X22" s="124">
        <f>-('P1. RD-1 to HP-RES'!J22-'P2. RD-2 to HP-RES'!J22)/'P1. RD-1 to HP-RES'!J22</f>
        <v>0</v>
      </c>
      <c r="Y22" s="150"/>
      <c r="Z22" s="150"/>
      <c r="AA22" s="150"/>
      <c r="AB22" s="124"/>
      <c r="AC22" s="124"/>
      <c r="AD22" s="124"/>
      <c r="AE22" s="124"/>
      <c r="AF22" s="124"/>
      <c r="AG22" s="150"/>
    </row>
    <row r="23" spans="2:33" ht="12.45" customHeight="1" x14ac:dyDescent="0.2">
      <c r="B23" s="38"/>
      <c r="C23" s="61">
        <v>0.99999999999999989</v>
      </c>
      <c r="E23" s="62">
        <v>1650.9478820598006</v>
      </c>
      <c r="F23" s="47"/>
      <c r="G23" s="63">
        <f t="shared" si="5"/>
        <v>438.99934063757843</v>
      </c>
      <c r="H23" s="47"/>
      <c r="I23" s="62">
        <f t="shared" si="2"/>
        <v>1442.7508337236643</v>
      </c>
      <c r="J23" s="62">
        <f t="shared" si="3"/>
        <v>3093.6987157834646</v>
      </c>
      <c r="K23" s="63">
        <f t="shared" si="4"/>
        <v>722.96438433878416</v>
      </c>
      <c r="L23" s="47"/>
      <c r="M23" s="63">
        <f t="shared" si="0"/>
        <v>283.96504370120573</v>
      </c>
      <c r="N23" s="47"/>
      <c r="O23" s="64">
        <f t="shared" si="1"/>
        <v>0.64684617359285901</v>
      </c>
      <c r="P23" s="63"/>
      <c r="R23" s="64"/>
      <c r="S23" s="60"/>
      <c r="U23" s="124">
        <f>-('P1. RD-1 to HP-RES'!G23-'P2. RD-2 to HP-RES'!G23)/'P1. RD-1 to HP-RES'!G23</f>
        <v>-0.40000000000000013</v>
      </c>
      <c r="V23" s="150">
        <f>'P1. RD-1 to HP-RES'!G23*0.6-'P2. RD-2 to HP-RES'!G23</f>
        <v>0</v>
      </c>
      <c r="W23" s="124">
        <f>-('P1. RD-1 to HP-RES'!K23-'P2. RD-2 to HP-RES'!K23)/'P1. RD-1 to HP-RES'!K23</f>
        <v>-0.40000000000000013</v>
      </c>
      <c r="X23" s="124">
        <f>-('P1. RD-1 to HP-RES'!J23-'P2. RD-2 to HP-RES'!J23)/'P1. RD-1 to HP-RES'!J23</f>
        <v>0</v>
      </c>
      <c r="Y23" s="150"/>
      <c r="Z23" s="150"/>
      <c r="AA23" s="150"/>
      <c r="AB23" s="124"/>
      <c r="AC23" s="124"/>
      <c r="AD23" s="124"/>
      <c r="AE23" s="124"/>
      <c r="AF23" s="124"/>
      <c r="AG23" s="150"/>
    </row>
    <row r="24" spans="2:33" ht="12.45" customHeight="1" x14ac:dyDescent="0.25">
      <c r="B24" s="38"/>
      <c r="E24" s="62"/>
      <c r="F24" s="47"/>
      <c r="G24" s="63"/>
      <c r="H24" s="47"/>
      <c r="I24" s="24"/>
      <c r="J24" s="24"/>
      <c r="K24" s="63"/>
      <c r="L24" s="47"/>
      <c r="M24" s="63"/>
      <c r="N24" s="47"/>
      <c r="O24" s="64"/>
      <c r="P24" s="63"/>
      <c r="R24" s="64"/>
      <c r="S24" s="60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4"/>
      <c r="AG24" s="124"/>
    </row>
    <row r="25" spans="2:33" ht="12.45" customHeight="1" x14ac:dyDescent="0.2">
      <c r="B25" s="38"/>
      <c r="C25" s="84" t="s">
        <v>4</v>
      </c>
      <c r="E25" s="62">
        <f>AVERAGE(E14:E23)</f>
        <v>565.22911818915031</v>
      </c>
      <c r="F25" s="47"/>
      <c r="G25" s="63">
        <f>$I$33+$I$74+E25*$I$79</f>
        <v>153.65256447310955</v>
      </c>
      <c r="H25" s="47"/>
      <c r="I25" s="62">
        <v>493.94943981808251</v>
      </c>
      <c r="J25" s="62">
        <f>AVERAGE(J14:J23)</f>
        <v>1059.1785580072328</v>
      </c>
      <c r="K25" s="63">
        <f>$P$33+$P$74+J25*($P$78*$O$39)+J25*($P$79*$O$40)</f>
        <v>250.87266026893934</v>
      </c>
      <c r="L25" s="47"/>
      <c r="M25" s="63">
        <f>K25-G25</f>
        <v>97.220095795829792</v>
      </c>
      <c r="N25" s="47"/>
      <c r="O25" s="64">
        <f>K25/G25-1</f>
        <v>0.63272680237526457</v>
      </c>
      <c r="P25" s="63"/>
      <c r="R25" s="64"/>
      <c r="S25" s="60"/>
      <c r="U25" s="124">
        <f>-('P1. RD-1 to HP-RES'!G25-'P2. RD-2 to HP-RES'!G25)/'P1. RD-1 to HP-RES'!G25</f>
        <v>-0.40000000000000013</v>
      </c>
      <c r="V25" s="150">
        <f>'P1. RD-1 to HP-RES'!G25*0.6-'P2. RD-2 to HP-RES'!G25</f>
        <v>0</v>
      </c>
      <c r="W25" s="124">
        <f>-('P1. RD-1 to HP-RES'!K25-'P2. RD-2 to HP-RES'!K25)/'P1. RD-1 to HP-RES'!K25</f>
        <v>-0.40000000000000013</v>
      </c>
      <c r="X25" s="124">
        <f>-('P1. RD-1 to HP-RES'!J25-'P2. RD-2 to HP-RES'!J25)/'P1. RD-1 to HP-RES'!J25</f>
        <v>0</v>
      </c>
      <c r="Y25" s="150"/>
      <c r="Z25" s="150"/>
      <c r="AA25" s="150"/>
      <c r="AB25" s="124"/>
      <c r="AC25" s="124"/>
      <c r="AD25" s="124"/>
      <c r="AE25" s="124"/>
      <c r="AF25" s="124"/>
      <c r="AG25" s="150"/>
    </row>
    <row r="26" spans="2:33" ht="12.45" customHeight="1" x14ac:dyDescent="0.2">
      <c r="B26" s="38"/>
      <c r="C26" s="138"/>
      <c r="D26" s="139"/>
      <c r="E26" s="140"/>
      <c r="F26" s="149"/>
      <c r="G26" s="142"/>
      <c r="H26" s="143"/>
      <c r="I26" s="139"/>
      <c r="J26" s="139"/>
      <c r="K26" s="142"/>
      <c r="L26" s="143"/>
      <c r="M26" s="142"/>
      <c r="N26" s="143"/>
      <c r="O26" s="146"/>
      <c r="P26" s="142"/>
      <c r="Q26" s="139"/>
      <c r="R26" s="146"/>
      <c r="S26" s="60"/>
      <c r="U26" s="124"/>
      <c r="V26" s="124"/>
      <c r="W26" s="124"/>
      <c r="Y26" s="124"/>
      <c r="Z26" s="58"/>
    </row>
    <row r="27" spans="2:33" ht="12.45" customHeight="1" x14ac:dyDescent="0.2">
      <c r="B27" s="69"/>
      <c r="C27" s="110"/>
      <c r="D27" s="110"/>
      <c r="E27" s="125"/>
      <c r="F27" s="110"/>
      <c r="G27" s="125"/>
      <c r="H27" s="125"/>
      <c r="I27" s="125"/>
      <c r="J27" s="125"/>
      <c r="K27" s="125"/>
      <c r="L27" s="125"/>
      <c r="M27" s="125"/>
      <c r="N27" s="126"/>
      <c r="O27" s="110"/>
      <c r="P27" s="125"/>
      <c r="Q27" s="110"/>
      <c r="R27" s="125"/>
      <c r="S27" s="77"/>
    </row>
    <row r="28" spans="2:33" ht="12.45" customHeight="1" x14ac:dyDescent="0.2"/>
    <row r="29" spans="2:33" ht="12.45" customHeight="1" x14ac:dyDescent="0.25">
      <c r="B29" s="39"/>
      <c r="C29" s="40"/>
      <c r="D29" s="40"/>
      <c r="E29" s="78"/>
      <c r="F29" s="78"/>
      <c r="G29" s="78"/>
      <c r="H29" s="78"/>
      <c r="I29" s="78"/>
      <c r="J29" s="78"/>
      <c r="K29" s="78"/>
      <c r="L29" s="40"/>
      <c r="M29" s="40"/>
      <c r="N29" s="40"/>
      <c r="O29" s="40"/>
      <c r="P29" s="40"/>
      <c r="Q29" s="40"/>
      <c r="R29" s="78"/>
      <c r="S29" s="79"/>
    </row>
    <row r="30" spans="2:33" ht="12.45" customHeight="1" x14ac:dyDescent="0.25">
      <c r="B30" s="127" t="str">
        <f>'P1. RD-1 to HP-RES'!B31</f>
        <v>RD-1 Proposed Rates:*</v>
      </c>
      <c r="C30" s="128"/>
      <c r="D30" s="81"/>
      <c r="E30" s="24"/>
      <c r="F30" s="23"/>
      <c r="I30" s="23"/>
      <c r="J30" s="50"/>
      <c r="K30" s="128" t="str">
        <f>'P1. RD-1 to HP-RES'!K31</f>
        <v>HP-Res Proposed Rates:*</v>
      </c>
      <c r="M30" s="24"/>
      <c r="R30" s="23"/>
      <c r="S30" s="49"/>
    </row>
    <row r="31" spans="2:33" ht="12.45" customHeight="1" x14ac:dyDescent="0.25">
      <c r="B31" s="129"/>
      <c r="C31" s="81"/>
      <c r="D31" s="81"/>
      <c r="E31" s="81"/>
      <c r="F31" s="23"/>
      <c r="I31" s="52" t="s">
        <v>54</v>
      </c>
      <c r="K31" s="81"/>
      <c r="M31" s="81"/>
      <c r="P31" s="23" t="s">
        <v>54</v>
      </c>
      <c r="Q31" s="23"/>
      <c r="R31" s="85" t="s">
        <v>18</v>
      </c>
      <c r="S31" s="49"/>
      <c r="W31" s="52"/>
      <c r="X31" s="52"/>
    </row>
    <row r="32" spans="2:33" ht="12.45" customHeight="1" x14ac:dyDescent="0.25">
      <c r="B32" s="86" t="s">
        <v>21</v>
      </c>
      <c r="C32" s="89"/>
      <c r="D32" s="29"/>
      <c r="E32" s="84"/>
      <c r="F32" s="84"/>
      <c r="G32" s="87"/>
      <c r="H32" s="87"/>
      <c r="I32" s="88"/>
      <c r="K32" s="89" t="s">
        <v>21</v>
      </c>
      <c r="L32" s="84"/>
      <c r="M32" s="84"/>
      <c r="N32" s="84"/>
      <c r="O32" s="87"/>
      <c r="P32" s="88"/>
      <c r="Q32" s="88"/>
      <c r="S32" s="90"/>
      <c r="W32" s="88"/>
      <c r="X32" s="88"/>
    </row>
    <row r="33" spans="2:24" ht="12.45" customHeight="1" x14ac:dyDescent="0.2">
      <c r="B33" s="91" t="s">
        <v>22</v>
      </c>
      <c r="C33" s="29"/>
      <c r="D33" s="84"/>
      <c r="E33" s="84"/>
      <c r="F33" s="84"/>
      <c r="G33" s="87"/>
      <c r="H33" s="87"/>
      <c r="I33" s="88">
        <v>8.5</v>
      </c>
      <c r="K33" s="29" t="s">
        <v>22</v>
      </c>
      <c r="L33" s="84"/>
      <c r="M33" s="84"/>
      <c r="N33" s="84"/>
      <c r="O33" s="87"/>
      <c r="P33" s="88">
        <f>I33</f>
        <v>8.5</v>
      </c>
      <c r="Q33" s="88"/>
      <c r="R33" s="88">
        <f>+P33-I33</f>
        <v>0</v>
      </c>
      <c r="S33" s="90"/>
      <c r="W33" s="88"/>
      <c r="X33" s="88"/>
    </row>
    <row r="34" spans="2:24" ht="12.45" customHeight="1" x14ac:dyDescent="0.25">
      <c r="B34" s="91"/>
      <c r="C34" s="29"/>
      <c r="D34" s="84"/>
      <c r="E34" s="84"/>
      <c r="F34" s="84"/>
      <c r="G34" s="87"/>
      <c r="H34" s="87"/>
      <c r="I34" s="92" t="s">
        <v>15</v>
      </c>
      <c r="K34" s="29"/>
      <c r="L34" s="84"/>
      <c r="M34" s="84"/>
      <c r="N34" s="84"/>
      <c r="O34" s="87"/>
      <c r="P34" s="92" t="s">
        <v>15</v>
      </c>
      <c r="Q34" s="92"/>
      <c r="R34" s="92" t="s">
        <v>15</v>
      </c>
      <c r="S34" s="93"/>
      <c r="W34" s="92"/>
      <c r="X34" s="92"/>
    </row>
    <row r="35" spans="2:24" ht="12.45" customHeight="1" x14ac:dyDescent="0.2">
      <c r="B35" s="91" t="s">
        <v>23</v>
      </c>
      <c r="C35" s="29"/>
      <c r="G35" s="94"/>
      <c r="H35" s="94"/>
      <c r="I35" s="95">
        <f>'P1. RD-1 to HP-RES'!I36</f>
        <v>6.0546024597124722E-3</v>
      </c>
      <c r="K35" s="66" t="s">
        <v>23</v>
      </c>
      <c r="O35" s="94"/>
      <c r="P35" s="95">
        <f>I35</f>
        <v>6.0546024597124722E-3</v>
      </c>
      <c r="Q35" s="95"/>
      <c r="R35" s="95">
        <f>+P35-I35</f>
        <v>0</v>
      </c>
      <c r="S35" s="96"/>
      <c r="W35" s="95"/>
      <c r="X35" s="95"/>
    </row>
    <row r="36" spans="2:24" ht="12.45" customHeight="1" x14ac:dyDescent="0.2">
      <c r="B36" s="38" t="s">
        <v>24</v>
      </c>
      <c r="I36" s="97">
        <f>'P1. RD-1 to HP-RES'!I37</f>
        <v>3.0282806977656646E-2</v>
      </c>
      <c r="K36" s="21" t="s">
        <v>24</v>
      </c>
      <c r="P36" s="97">
        <f>I36</f>
        <v>3.0282806977656646E-2</v>
      </c>
      <c r="Q36" s="97"/>
      <c r="R36" s="97">
        <f>+P36-I36</f>
        <v>0</v>
      </c>
      <c r="S36" s="98"/>
      <c r="W36" s="97"/>
      <c r="X36" s="97"/>
    </row>
    <row r="37" spans="2:24" ht="12.45" customHeight="1" x14ac:dyDescent="0.2">
      <c r="B37" s="38"/>
      <c r="H37" s="50" t="s">
        <v>25</v>
      </c>
      <c r="I37" s="95">
        <f>+I36+I35</f>
        <v>3.6337409437369114E-2</v>
      </c>
      <c r="O37" s="50" t="s">
        <v>25</v>
      </c>
      <c r="P37" s="95">
        <f>+P36+P35</f>
        <v>3.6337409437369114E-2</v>
      </c>
      <c r="Q37" s="95"/>
      <c r="R37" s="95">
        <f>+P37-I37</f>
        <v>0</v>
      </c>
      <c r="S37" s="96"/>
      <c r="W37" s="95"/>
      <c r="X37" s="95"/>
    </row>
    <row r="38" spans="2:24" ht="12.45" customHeight="1" x14ac:dyDescent="0.2">
      <c r="B38" s="38"/>
      <c r="I38" s="95"/>
      <c r="P38" s="95"/>
      <c r="Q38" s="95"/>
      <c r="R38" s="95"/>
      <c r="S38" s="96"/>
      <c r="W38" s="95"/>
      <c r="X38" s="95"/>
    </row>
    <row r="39" spans="2:24" ht="12.45" customHeight="1" x14ac:dyDescent="0.25">
      <c r="B39" s="99" t="str">
        <f>'P1. RD-1 to HP-RES'!B40</f>
        <v>Distribution - July 1, 2024</v>
      </c>
      <c r="C39" s="29"/>
      <c r="G39" s="94"/>
      <c r="H39" s="94"/>
      <c r="I39" s="95">
        <f>'P1. RD-1 to HP-RES'!I40</f>
        <v>0.10716000000000001</v>
      </c>
      <c r="K39" s="66" t="s">
        <v>26</v>
      </c>
      <c r="M39" s="24"/>
      <c r="N39" s="147" t="s">
        <v>27</v>
      </c>
      <c r="O39" s="148">
        <f>'P1. RD-1 to HP-RES'!O40</f>
        <v>0.25550324423451615</v>
      </c>
      <c r="P39" s="95">
        <f>I39</f>
        <v>0.10716000000000001</v>
      </c>
      <c r="Q39" s="95">
        <f>I39</f>
        <v>0.10716000000000001</v>
      </c>
      <c r="R39" s="95">
        <f>+P39-I39</f>
        <v>0</v>
      </c>
      <c r="S39" s="96"/>
      <c r="W39" s="95"/>
      <c r="X39" s="95"/>
    </row>
    <row r="40" spans="2:24" ht="12.45" customHeight="1" x14ac:dyDescent="0.25">
      <c r="B40" s="99"/>
      <c r="C40" s="29"/>
      <c r="G40" s="94"/>
      <c r="H40" s="94"/>
      <c r="I40" s="95"/>
      <c r="K40" s="66" t="s">
        <v>28</v>
      </c>
      <c r="M40" s="24"/>
      <c r="N40" s="147" t="s">
        <v>27</v>
      </c>
      <c r="O40" s="148">
        <f>'P1. RD-1 to HP-RES'!O41</f>
        <v>0.74449675576548413</v>
      </c>
      <c r="P40" s="95">
        <f>'P1. RD-1 to HP-RES'!P41</f>
        <v>3.8260000000000002E-2</v>
      </c>
      <c r="Q40" s="95"/>
      <c r="R40" s="95">
        <f>+P40-I39</f>
        <v>-6.8900000000000003E-2</v>
      </c>
      <c r="S40" s="96"/>
      <c r="W40" s="95"/>
      <c r="X40" s="95"/>
    </row>
    <row r="41" spans="2:24" ht="12.45" customHeight="1" x14ac:dyDescent="0.25">
      <c r="B41" s="99"/>
      <c r="C41" s="29"/>
      <c r="G41" s="94"/>
      <c r="H41" s="94"/>
      <c r="I41" s="95"/>
      <c r="K41" s="66"/>
      <c r="M41" s="24"/>
      <c r="N41" s="147"/>
      <c r="O41" s="148"/>
      <c r="P41" s="95"/>
      <c r="Q41" s="95"/>
      <c r="R41" s="95"/>
      <c r="S41" s="96"/>
      <c r="W41" s="95"/>
      <c r="X41" s="95"/>
    </row>
    <row r="42" spans="2:24" ht="24.9" customHeight="1" x14ac:dyDescent="0.2">
      <c r="B42" s="99" t="s">
        <v>29</v>
      </c>
      <c r="C42" s="29"/>
      <c r="G42" s="94"/>
      <c r="H42" s="94"/>
      <c r="I42" s="95">
        <f>'P1. RD-1 to HP-RES'!I43</f>
        <v>3.6367193032893117E-3</v>
      </c>
      <c r="K42" s="66" t="s">
        <v>29</v>
      </c>
      <c r="O42" s="100"/>
      <c r="P42" s="95">
        <f>I42</f>
        <v>3.6367193032893117E-3</v>
      </c>
      <c r="Q42" s="95"/>
      <c r="R42" s="95">
        <f t="shared" ref="R42:R54" si="6">+P42-I42</f>
        <v>0</v>
      </c>
      <c r="S42" s="96"/>
      <c r="W42" s="95"/>
      <c r="X42" s="95"/>
    </row>
    <row r="43" spans="2:24" ht="12.45" customHeight="1" x14ac:dyDescent="0.2">
      <c r="B43" s="99" t="s">
        <v>30</v>
      </c>
      <c r="C43" s="29"/>
      <c r="G43" s="94"/>
      <c r="H43" s="94"/>
      <c r="I43" s="95">
        <f>'P1. RD-1 to HP-RES'!I44</f>
        <v>3.0653998025796138E-2</v>
      </c>
      <c r="K43" s="66" t="s">
        <v>30</v>
      </c>
      <c r="O43" s="100"/>
      <c r="P43" s="95">
        <f t="shared" ref="P43:P53" si="7">I43</f>
        <v>3.0653998025796138E-2</v>
      </c>
      <c r="Q43" s="95"/>
      <c r="R43" s="95">
        <f t="shared" si="6"/>
        <v>0</v>
      </c>
      <c r="S43" s="96"/>
      <c r="W43" s="95"/>
      <c r="X43" s="95"/>
    </row>
    <row r="44" spans="2:24" ht="12.45" customHeight="1" x14ac:dyDescent="0.2">
      <c r="B44" s="91" t="s">
        <v>31</v>
      </c>
      <c r="C44" s="29"/>
      <c r="G44" s="94"/>
      <c r="H44" s="94"/>
      <c r="I44" s="95">
        <f>'P1. RD-1 to HP-RES'!I45</f>
        <v>1.6445997812765633E-2</v>
      </c>
      <c r="K44" s="29" t="s">
        <v>31</v>
      </c>
      <c r="O44" s="100"/>
      <c r="P44" s="95">
        <f t="shared" si="7"/>
        <v>1.6445997812765633E-2</v>
      </c>
      <c r="Q44" s="95"/>
      <c r="R44" s="95">
        <f t="shared" si="6"/>
        <v>0</v>
      </c>
      <c r="S44" s="96"/>
      <c r="W44" s="95"/>
      <c r="X44" s="95"/>
    </row>
    <row r="45" spans="2:24" ht="12.45" customHeight="1" x14ac:dyDescent="0.2">
      <c r="B45" s="91" t="s">
        <v>32</v>
      </c>
      <c r="C45" s="29"/>
      <c r="G45" s="94"/>
      <c r="H45" s="94"/>
      <c r="I45" s="95">
        <f>'P1. RD-1 to HP-RES'!I46</f>
        <v>0</v>
      </c>
      <c r="K45" s="29" t="s">
        <v>32</v>
      </c>
      <c r="O45" s="100"/>
      <c r="P45" s="95">
        <f t="shared" si="7"/>
        <v>0</v>
      </c>
      <c r="Q45" s="95"/>
      <c r="R45" s="95">
        <f t="shared" si="6"/>
        <v>0</v>
      </c>
      <c r="S45" s="96"/>
      <c r="W45" s="95"/>
      <c r="X45" s="95"/>
    </row>
    <row r="46" spans="2:24" ht="12.45" customHeight="1" x14ac:dyDescent="0.2">
      <c r="B46" s="91" t="s">
        <v>33</v>
      </c>
      <c r="C46" s="29"/>
      <c r="G46" s="94"/>
      <c r="H46" s="94"/>
      <c r="I46" s="95">
        <f>'P1. RD-1 to HP-RES'!I47</f>
        <v>5.6729448931066521E-4</v>
      </c>
      <c r="K46" s="29" t="s">
        <v>33</v>
      </c>
      <c r="O46" s="100"/>
      <c r="P46" s="95">
        <f t="shared" si="7"/>
        <v>5.6729448931066521E-4</v>
      </c>
      <c r="Q46" s="95"/>
      <c r="R46" s="95">
        <f t="shared" si="6"/>
        <v>0</v>
      </c>
      <c r="S46" s="96"/>
      <c r="W46" s="95"/>
      <c r="X46" s="95"/>
    </row>
    <row r="47" spans="2:24" ht="12.45" customHeight="1" x14ac:dyDescent="0.2">
      <c r="B47" s="38" t="s">
        <v>34</v>
      </c>
      <c r="C47" s="29"/>
      <c r="G47" s="94"/>
      <c r="H47" s="94"/>
      <c r="I47" s="95">
        <f>'P1. RD-1 to HP-RES'!I48</f>
        <v>-2.7499999999999994E-3</v>
      </c>
      <c r="K47" s="21" t="s">
        <v>34</v>
      </c>
      <c r="O47" s="100"/>
      <c r="P47" s="95">
        <f t="shared" si="7"/>
        <v>-2.7499999999999994E-3</v>
      </c>
      <c r="Q47" s="95"/>
      <c r="R47" s="95">
        <f t="shared" si="6"/>
        <v>0</v>
      </c>
      <c r="S47" s="96"/>
      <c r="W47" s="95"/>
      <c r="X47" s="95"/>
    </row>
    <row r="48" spans="2:24" ht="12.45" customHeight="1" x14ac:dyDescent="0.2">
      <c r="B48" s="38" t="s">
        <v>35</v>
      </c>
      <c r="C48" s="29"/>
      <c r="G48" s="94"/>
      <c r="H48" s="94"/>
      <c r="I48" s="95">
        <f>'P1. RD-1 to HP-RES'!I49</f>
        <v>0</v>
      </c>
      <c r="K48" s="21" t="s">
        <v>35</v>
      </c>
      <c r="O48" s="100"/>
      <c r="P48" s="95">
        <f t="shared" si="7"/>
        <v>0</v>
      </c>
      <c r="Q48" s="95"/>
      <c r="R48" s="95">
        <f t="shared" si="6"/>
        <v>0</v>
      </c>
      <c r="S48" s="96"/>
      <c r="W48" s="95"/>
      <c r="X48" s="95"/>
    </row>
    <row r="49" spans="2:24" ht="12.45" customHeight="1" x14ac:dyDescent="0.2">
      <c r="B49" s="99" t="s">
        <v>36</v>
      </c>
      <c r="C49" s="29"/>
      <c r="G49" s="94"/>
      <c r="H49" s="94"/>
      <c r="I49" s="95">
        <f>'P1. RD-1 to HP-RES'!I50</f>
        <v>0</v>
      </c>
      <c r="K49" s="66" t="s">
        <v>36</v>
      </c>
      <c r="O49" s="100"/>
      <c r="P49" s="95">
        <f t="shared" si="7"/>
        <v>0</v>
      </c>
      <c r="Q49" s="95"/>
      <c r="R49" s="95">
        <f t="shared" si="6"/>
        <v>0</v>
      </c>
      <c r="S49" s="96"/>
      <c r="W49" s="95"/>
      <c r="X49" s="95"/>
    </row>
    <row r="50" spans="2:24" ht="12.45" customHeight="1" x14ac:dyDescent="0.2">
      <c r="B50" s="38" t="s">
        <v>37</v>
      </c>
      <c r="I50" s="95">
        <f>'P1. RD-1 to HP-RES'!I51</f>
        <v>4.027667673954482E-3</v>
      </c>
      <c r="K50" s="21" t="s">
        <v>37</v>
      </c>
      <c r="P50" s="95">
        <f t="shared" si="7"/>
        <v>4.027667673954482E-3</v>
      </c>
      <c r="Q50" s="95"/>
      <c r="R50" s="95">
        <f t="shared" si="6"/>
        <v>0</v>
      </c>
      <c r="S50" s="96"/>
      <c r="W50" s="95"/>
      <c r="X50" s="95"/>
    </row>
    <row r="51" spans="2:24" ht="12.45" customHeight="1" x14ac:dyDescent="0.2">
      <c r="B51" s="91" t="s">
        <v>38</v>
      </c>
      <c r="C51" s="29"/>
      <c r="G51" s="94"/>
      <c r="H51" s="94"/>
      <c r="I51" s="95">
        <f>'P1. RD-1 to HP-RES'!I52</f>
        <v>-4.3285043540848171E-4</v>
      </c>
      <c r="K51" s="29" t="s">
        <v>38</v>
      </c>
      <c r="O51" s="100"/>
      <c r="P51" s="95">
        <f t="shared" si="7"/>
        <v>-4.3285043540848171E-4</v>
      </c>
      <c r="Q51" s="95"/>
      <c r="R51" s="95">
        <f t="shared" si="6"/>
        <v>0</v>
      </c>
      <c r="S51" s="96"/>
      <c r="W51" s="95"/>
      <c r="X51" s="95"/>
    </row>
    <row r="52" spans="2:24" ht="12.45" customHeight="1" x14ac:dyDescent="0.2">
      <c r="B52" s="38" t="s">
        <v>39</v>
      </c>
      <c r="I52" s="95">
        <f>'P1. RD-1 to HP-RES'!I53</f>
        <v>5.5077768975649781E-4</v>
      </c>
      <c r="K52" s="21" t="s">
        <v>39</v>
      </c>
      <c r="P52" s="95">
        <f t="shared" si="7"/>
        <v>5.5077768975649781E-4</v>
      </c>
      <c r="Q52" s="95"/>
      <c r="R52" s="95">
        <f t="shared" si="6"/>
        <v>0</v>
      </c>
      <c r="S52" s="96"/>
      <c r="W52" s="95"/>
      <c r="X52" s="95"/>
    </row>
    <row r="53" spans="2:24" ht="12.45" customHeight="1" x14ac:dyDescent="0.2">
      <c r="B53" s="38" t="s">
        <v>40</v>
      </c>
      <c r="I53" s="97">
        <f>'P1. RD-1 to HP-RES'!I54</f>
        <v>2.0697959284670842E-3</v>
      </c>
      <c r="K53" s="21" t="s">
        <v>40</v>
      </c>
      <c r="P53" s="97">
        <f t="shared" si="7"/>
        <v>2.0697959284670842E-3</v>
      </c>
      <c r="Q53" s="95"/>
      <c r="R53" s="95">
        <f t="shared" si="6"/>
        <v>0</v>
      </c>
      <c r="S53" s="98"/>
      <c r="W53" s="97"/>
      <c r="X53" s="97"/>
    </row>
    <row r="54" spans="2:24" ht="12.45" customHeight="1" x14ac:dyDescent="0.2">
      <c r="B54" s="38"/>
      <c r="C54" s="29"/>
      <c r="G54" s="94"/>
      <c r="H54" s="101" t="s">
        <v>41</v>
      </c>
      <c r="I54" s="95">
        <f>SUM(I39,I42:I53)</f>
        <v>0.16192940048793136</v>
      </c>
      <c r="O54" s="101" t="s">
        <v>84</v>
      </c>
      <c r="P54" s="95">
        <f>SUM(P42:P53)+P39</f>
        <v>0.16192940048793134</v>
      </c>
      <c r="Q54" s="97"/>
      <c r="R54" s="95">
        <f t="shared" si="6"/>
        <v>0</v>
      </c>
      <c r="S54" s="98"/>
      <c r="W54" s="97"/>
      <c r="X54" s="97"/>
    </row>
    <row r="55" spans="2:24" ht="12.45" customHeight="1" x14ac:dyDescent="0.2">
      <c r="B55" s="38"/>
      <c r="C55" s="29"/>
      <c r="G55" s="94"/>
      <c r="H55" s="101"/>
      <c r="I55" s="95"/>
      <c r="O55" s="101"/>
      <c r="P55" s="95"/>
      <c r="Q55" s="97"/>
      <c r="R55" s="95"/>
      <c r="S55" s="98"/>
      <c r="W55" s="97"/>
      <c r="X55" s="97"/>
    </row>
    <row r="56" spans="2:24" ht="12.45" customHeight="1" x14ac:dyDescent="0.2">
      <c r="B56" s="38"/>
      <c r="C56" s="29"/>
      <c r="G56" s="94"/>
      <c r="H56" s="101"/>
      <c r="I56" s="95"/>
      <c r="O56" s="101" t="s">
        <v>85</v>
      </c>
      <c r="P56" s="95">
        <f>SUM(P42:P53)+P40</f>
        <v>9.3029400487931346E-2</v>
      </c>
      <c r="Q56" s="97"/>
      <c r="R56" s="95"/>
      <c r="S56" s="98"/>
      <c r="W56" s="97"/>
      <c r="X56" s="97"/>
    </row>
    <row r="57" spans="2:24" ht="12.45" customHeight="1" x14ac:dyDescent="0.2">
      <c r="B57" s="38"/>
      <c r="C57" s="29"/>
      <c r="G57" s="94"/>
      <c r="H57" s="94"/>
      <c r="I57" s="95"/>
      <c r="O57" s="101"/>
      <c r="P57" s="95"/>
      <c r="Q57" s="97"/>
      <c r="S57" s="98"/>
      <c r="W57" s="97"/>
      <c r="X57" s="97"/>
    </row>
    <row r="58" spans="2:24" ht="12.45" customHeight="1" x14ac:dyDescent="0.2">
      <c r="B58" s="91" t="s">
        <v>42</v>
      </c>
      <c r="C58" s="29"/>
      <c r="G58" s="94"/>
      <c r="H58" s="94"/>
      <c r="I58" s="97">
        <f>'P1. RD-1 to HP-RES'!I59</f>
        <v>5.0000000000000001E-4</v>
      </c>
      <c r="K58" s="29" t="s">
        <v>42</v>
      </c>
      <c r="O58" s="100"/>
      <c r="P58" s="95">
        <f>I58</f>
        <v>5.0000000000000001E-4</v>
      </c>
      <c r="Q58" s="95"/>
      <c r="R58" s="95">
        <f>+P58-I58</f>
        <v>0</v>
      </c>
      <c r="S58" s="96"/>
      <c r="W58" s="95"/>
      <c r="X58" s="95"/>
    </row>
    <row r="59" spans="2:24" ht="12.45" customHeight="1" x14ac:dyDescent="0.2">
      <c r="B59" s="91"/>
      <c r="C59" s="29"/>
      <c r="G59" s="94"/>
      <c r="H59" s="94"/>
      <c r="I59" s="95"/>
      <c r="K59" s="29"/>
      <c r="O59" s="100"/>
      <c r="P59" s="95"/>
      <c r="Q59" s="95"/>
      <c r="R59" s="95"/>
      <c r="S59" s="96"/>
      <c r="W59" s="95"/>
      <c r="X59" s="95"/>
    </row>
    <row r="60" spans="2:24" ht="12.45" customHeight="1" x14ac:dyDescent="0.2">
      <c r="B60" s="91" t="s">
        <v>43</v>
      </c>
      <c r="H60" s="94"/>
      <c r="I60" s="95">
        <f>'P1. RD-1 to HP-RES'!I61</f>
        <v>2.5000000000000001E-3</v>
      </c>
      <c r="K60" s="29" t="s">
        <v>43</v>
      </c>
      <c r="P60" s="95">
        <f>I60</f>
        <v>2.5000000000000001E-3</v>
      </c>
      <c r="Q60" s="95"/>
      <c r="R60" s="95">
        <f>+P60-I60</f>
        <v>0</v>
      </c>
      <c r="S60" s="96"/>
      <c r="W60" s="95"/>
      <c r="X60" s="95"/>
    </row>
    <row r="61" spans="2:24" ht="12.45" customHeight="1" x14ac:dyDescent="0.2">
      <c r="B61" s="99" t="s">
        <v>44</v>
      </c>
      <c r="C61" s="29"/>
      <c r="G61" s="94"/>
      <c r="H61" s="94"/>
      <c r="I61" s="97">
        <f>'P1. RD-1 to HP-RES'!I62</f>
        <v>2.0969999999999999E-2</v>
      </c>
      <c r="K61" s="66" t="s">
        <v>45</v>
      </c>
      <c r="O61" s="100"/>
      <c r="P61" s="97">
        <f>I61</f>
        <v>2.0969999999999999E-2</v>
      </c>
      <c r="Q61" s="95"/>
      <c r="R61" s="95">
        <f>+P61-I61</f>
        <v>0</v>
      </c>
      <c r="S61" s="96"/>
      <c r="W61" s="95"/>
      <c r="X61" s="95"/>
    </row>
    <row r="62" spans="2:24" ht="12.45" customHeight="1" x14ac:dyDescent="0.25">
      <c r="B62" s="99"/>
      <c r="C62" s="24"/>
      <c r="D62" s="24"/>
      <c r="E62" s="24"/>
      <c r="F62" s="24"/>
      <c r="G62" s="24"/>
      <c r="H62" s="94" t="s">
        <v>46</v>
      </c>
      <c r="I62" s="95">
        <f>SUM(I60:I61)</f>
        <v>2.3469999999999998E-2</v>
      </c>
      <c r="J62" s="24"/>
      <c r="K62" s="24"/>
      <c r="L62" s="24"/>
      <c r="M62" s="24"/>
      <c r="N62" s="24"/>
      <c r="O62" s="94" t="s">
        <v>46</v>
      </c>
      <c r="P62" s="95">
        <f>SUM(P60:P61)</f>
        <v>2.3469999999999998E-2</v>
      </c>
      <c r="Q62" s="95"/>
      <c r="R62" s="95">
        <f>+P62-I62</f>
        <v>0</v>
      </c>
      <c r="S62" s="96"/>
      <c r="W62" s="95"/>
      <c r="X62" s="95"/>
    </row>
    <row r="63" spans="2:24" ht="12.45" customHeight="1" x14ac:dyDescent="0.25">
      <c r="B63" s="99"/>
      <c r="C63" s="24"/>
      <c r="D63" s="24"/>
      <c r="E63" s="24"/>
      <c r="F63" s="24"/>
      <c r="G63" s="24"/>
      <c r="H63" s="94"/>
      <c r="I63" s="97"/>
      <c r="J63" s="24"/>
      <c r="K63" s="24"/>
      <c r="L63" s="24"/>
      <c r="M63" s="24"/>
      <c r="N63" s="24"/>
      <c r="O63" s="94"/>
      <c r="P63" s="97"/>
      <c r="Q63" s="95"/>
      <c r="R63" s="95"/>
      <c r="S63" s="96"/>
      <c r="W63" s="95"/>
      <c r="X63" s="95"/>
    </row>
    <row r="64" spans="2:24" ht="12.45" customHeight="1" x14ac:dyDescent="0.2">
      <c r="B64" s="99" t="s">
        <v>47</v>
      </c>
      <c r="H64" s="94"/>
      <c r="I64" s="97">
        <f>'P1. RD-1 to HP-RES'!I65</f>
        <v>5.3643681188832908E-3</v>
      </c>
      <c r="K64" s="66" t="s">
        <v>47</v>
      </c>
      <c r="P64" s="95">
        <f>I64</f>
        <v>5.3643681188832908E-3</v>
      </c>
      <c r="Q64" s="95"/>
      <c r="R64" s="95">
        <f>+P64-I64</f>
        <v>0</v>
      </c>
      <c r="S64" s="96"/>
      <c r="W64" s="95"/>
      <c r="X64" s="95"/>
    </row>
    <row r="65" spans="2:27" ht="12.45" customHeight="1" x14ac:dyDescent="0.2">
      <c r="B65" s="99"/>
      <c r="H65" s="94"/>
      <c r="I65" s="95"/>
      <c r="O65" s="100"/>
      <c r="P65" s="95"/>
      <c r="Q65" s="95"/>
      <c r="S65" s="96"/>
      <c r="W65" s="95"/>
      <c r="X65" s="95"/>
    </row>
    <row r="66" spans="2:27" ht="12.45" hidden="1" customHeight="1" x14ac:dyDescent="0.2">
      <c r="B66" s="99"/>
      <c r="H66" s="94"/>
      <c r="I66" s="95"/>
      <c r="O66" s="100"/>
      <c r="P66" s="95"/>
      <c r="Q66" s="95"/>
      <c r="R66" s="95">
        <f>+P66-I66</f>
        <v>0</v>
      </c>
      <c r="S66" s="96"/>
      <c r="W66" s="95"/>
      <c r="X66" s="95"/>
    </row>
    <row r="67" spans="2:27" ht="12.45" customHeight="1" x14ac:dyDescent="0.25">
      <c r="B67" s="102" t="s">
        <v>48</v>
      </c>
      <c r="G67" s="94"/>
      <c r="H67" s="94"/>
      <c r="I67" s="95"/>
      <c r="K67" s="54" t="s">
        <v>48</v>
      </c>
      <c r="O67" s="100"/>
      <c r="P67" s="95"/>
      <c r="Q67" s="95"/>
      <c r="R67" s="95"/>
      <c r="S67" s="96"/>
      <c r="W67" s="95"/>
      <c r="X67" s="95"/>
    </row>
    <row r="68" spans="2:27" ht="12.45" customHeight="1" x14ac:dyDescent="0.2">
      <c r="B68" s="38" t="s">
        <v>49</v>
      </c>
      <c r="G68" s="87"/>
      <c r="H68" s="94"/>
      <c r="I68" s="97">
        <f>'P1. RD-1 to HP-RES'!I69</f>
        <v>0.21042934707877889</v>
      </c>
      <c r="K68" s="21" t="s">
        <v>49</v>
      </c>
      <c r="O68" s="87"/>
      <c r="P68" s="97">
        <f>I68</f>
        <v>0.21042934707877889</v>
      </c>
      <c r="Q68" s="95"/>
      <c r="R68" s="97">
        <f>+P68-I68</f>
        <v>0</v>
      </c>
      <c r="S68" s="96"/>
      <c r="W68" s="95"/>
      <c r="X68" s="95"/>
    </row>
    <row r="69" spans="2:27" s="24" customFormat="1" ht="12.45" customHeight="1" x14ac:dyDescent="0.25">
      <c r="B69" s="105"/>
      <c r="C69" s="21"/>
      <c r="D69" s="21"/>
      <c r="E69" s="21"/>
      <c r="F69" s="21"/>
      <c r="G69" s="106"/>
      <c r="H69" s="21"/>
      <c r="I69" s="88"/>
      <c r="J69" s="21"/>
      <c r="K69" s="21"/>
      <c r="L69" s="21"/>
      <c r="M69" s="21"/>
      <c r="N69" s="21"/>
      <c r="O69" s="107"/>
      <c r="P69" s="88"/>
      <c r="Q69" s="95"/>
      <c r="S69" s="96"/>
      <c r="W69" s="104"/>
      <c r="X69" s="104"/>
    </row>
    <row r="70" spans="2:27" ht="12.45" customHeight="1" x14ac:dyDescent="0.25">
      <c r="B70" s="38"/>
      <c r="C70" s="24"/>
      <c r="H70" s="107" t="s">
        <v>13</v>
      </c>
      <c r="I70" s="95">
        <f>SUM(I68,I62,I64,I54,I37,I58)</f>
        <v>0.4380305251229627</v>
      </c>
      <c r="O70" s="107" t="s">
        <v>90</v>
      </c>
      <c r="P70" s="95">
        <f>SUM(P68,P62,P64,P54,P37,P58)</f>
        <v>0.43803052512296264</v>
      </c>
      <c r="Q70" s="24"/>
      <c r="R70" s="95">
        <f>+P70-I70</f>
        <v>0</v>
      </c>
      <c r="S70" s="108"/>
      <c r="U70" s="24"/>
      <c r="V70" s="24"/>
      <c r="W70" s="104"/>
      <c r="X70" s="104"/>
      <c r="Y70" s="24"/>
      <c r="Z70" s="24"/>
      <c r="AA70" s="24"/>
    </row>
    <row r="71" spans="2:27" ht="12.45" customHeight="1" x14ac:dyDescent="0.25">
      <c r="B71" s="38"/>
      <c r="C71" s="24"/>
      <c r="H71" s="107"/>
      <c r="I71" s="95"/>
      <c r="O71" s="107" t="s">
        <v>91</v>
      </c>
      <c r="P71" s="95">
        <f>SUM(P68,P62,P64,P56,P37,P58)</f>
        <v>0.36913052512296263</v>
      </c>
      <c r="Q71" s="24"/>
      <c r="R71" s="95">
        <f>+P71-I70</f>
        <v>-6.8900000000000072E-2</v>
      </c>
      <c r="S71" s="108"/>
      <c r="U71" s="24"/>
      <c r="V71" s="24"/>
      <c r="W71" s="104"/>
      <c r="X71" s="104"/>
      <c r="Y71" s="24"/>
      <c r="Z71" s="24"/>
      <c r="AA71" s="24"/>
    </row>
    <row r="72" spans="2:27" ht="12.45" customHeight="1" x14ac:dyDescent="0.25">
      <c r="B72" s="38"/>
      <c r="C72" s="24"/>
      <c r="H72" s="107"/>
      <c r="I72" s="95"/>
      <c r="O72" s="107"/>
      <c r="P72" s="95"/>
      <c r="Q72" s="24"/>
      <c r="R72" s="95"/>
      <c r="S72" s="108"/>
      <c r="U72" s="24"/>
      <c r="V72" s="24"/>
      <c r="W72" s="104"/>
      <c r="X72" s="104"/>
      <c r="Y72" s="24"/>
      <c r="Z72" s="24"/>
      <c r="AA72" s="24"/>
    </row>
    <row r="73" spans="2:27" ht="12.45" customHeight="1" x14ac:dyDescent="0.25">
      <c r="B73" s="130" t="s">
        <v>55</v>
      </c>
      <c r="G73" s="94"/>
      <c r="H73" s="95"/>
      <c r="I73" s="24"/>
      <c r="J73" s="23"/>
      <c r="K73" s="131" t="s">
        <v>56</v>
      </c>
      <c r="O73" s="94"/>
      <c r="P73" s="95"/>
      <c r="Q73" s="95"/>
      <c r="R73" s="95"/>
      <c r="S73" s="96"/>
      <c r="U73" s="24"/>
      <c r="V73" s="24"/>
      <c r="W73" s="104"/>
      <c r="X73" s="104"/>
      <c r="Y73" s="24"/>
      <c r="Z73" s="24"/>
      <c r="AA73" s="24"/>
    </row>
    <row r="74" spans="2:27" ht="12.45" customHeight="1" x14ac:dyDescent="0.25">
      <c r="B74" s="99" t="s">
        <v>57</v>
      </c>
      <c r="G74" s="94"/>
      <c r="H74" s="88"/>
      <c r="I74" s="88">
        <f>I33*-40%</f>
        <v>-3.4000000000000004</v>
      </c>
      <c r="J74" s="23"/>
      <c r="K74" s="29" t="s">
        <v>57</v>
      </c>
      <c r="O74" s="94"/>
      <c r="P74" s="88">
        <f>P33*-40%</f>
        <v>-3.4000000000000004</v>
      </c>
      <c r="Q74" s="88"/>
      <c r="R74" s="88">
        <f>+P74-I74</f>
        <v>0</v>
      </c>
      <c r="S74" s="90"/>
      <c r="U74" s="24"/>
      <c r="V74" s="24"/>
      <c r="W74" s="104"/>
      <c r="X74" s="104"/>
      <c r="Y74" s="24"/>
      <c r="Z74" s="24"/>
      <c r="AA74" s="24"/>
    </row>
    <row r="75" spans="2:27" ht="13.2" x14ac:dyDescent="0.25">
      <c r="B75" s="99" t="s">
        <v>58</v>
      </c>
      <c r="G75" s="94"/>
      <c r="H75" s="95"/>
      <c r="I75" s="95">
        <f>(I70*-0.4)</f>
        <v>-0.17521221004918508</v>
      </c>
      <c r="J75" s="23"/>
      <c r="K75" s="66" t="s">
        <v>88</v>
      </c>
      <c r="O75" s="94"/>
      <c r="P75" s="95">
        <f>(P70*-0.4)</f>
        <v>-0.17521221004918508</v>
      </c>
      <c r="Q75" s="95"/>
      <c r="R75" s="95">
        <f>+P75-I75</f>
        <v>0</v>
      </c>
      <c r="S75" s="96"/>
      <c r="U75" s="24"/>
      <c r="V75" s="24"/>
      <c r="W75" s="104"/>
      <c r="X75" s="104"/>
      <c r="Y75" s="24"/>
      <c r="Z75" s="24"/>
      <c r="AA75" s="24"/>
    </row>
    <row r="76" spans="2:27" ht="16.5" customHeight="1" x14ac:dyDescent="0.25">
      <c r="B76" s="105"/>
      <c r="G76" s="50"/>
      <c r="H76" s="95"/>
      <c r="I76" s="95"/>
      <c r="J76" s="23"/>
      <c r="K76" s="66" t="s">
        <v>89</v>
      </c>
      <c r="L76" s="24"/>
      <c r="M76" s="24"/>
      <c r="N76" s="24"/>
      <c r="O76" s="24"/>
      <c r="P76" s="95">
        <f>(P71*-0.4)</f>
        <v>-0.14765221004918505</v>
      </c>
      <c r="Q76" s="24"/>
      <c r="R76" s="24"/>
      <c r="S76" s="108"/>
      <c r="U76" s="24"/>
      <c r="V76" s="24"/>
      <c r="W76" s="104"/>
      <c r="X76" s="104"/>
      <c r="Y76" s="24"/>
      <c r="Z76" s="24"/>
      <c r="AA76" s="24"/>
    </row>
    <row r="77" spans="2:27" ht="16.5" customHeight="1" x14ac:dyDescent="0.25">
      <c r="B77" s="105"/>
      <c r="G77" s="50"/>
      <c r="H77" s="95"/>
      <c r="I77" s="95"/>
      <c r="J77" s="23"/>
      <c r="K77" s="66"/>
      <c r="L77" s="24"/>
      <c r="M77" s="24"/>
      <c r="N77" s="24"/>
      <c r="O77" s="24"/>
      <c r="P77" s="24"/>
      <c r="Q77" s="24"/>
      <c r="R77" s="24"/>
      <c r="S77" s="108"/>
      <c r="U77" s="24"/>
      <c r="V77" s="24"/>
      <c r="W77" s="104"/>
      <c r="X77" s="104"/>
      <c r="Y77" s="24"/>
      <c r="Z77" s="24"/>
      <c r="AA77" s="24"/>
    </row>
    <row r="78" spans="2:27" ht="16.5" customHeight="1" x14ac:dyDescent="0.25">
      <c r="B78" s="105"/>
      <c r="G78" s="50"/>
      <c r="H78" s="95"/>
      <c r="I78" s="95"/>
      <c r="J78" s="23"/>
      <c r="K78" s="24"/>
      <c r="L78" s="24"/>
      <c r="M78" s="24"/>
      <c r="N78" s="24"/>
      <c r="O78" s="107" t="s">
        <v>86</v>
      </c>
      <c r="P78" s="95">
        <f>P70+P75</f>
        <v>0.26281831507377756</v>
      </c>
      <c r="Q78" s="24"/>
      <c r="R78" s="95">
        <f>+P78-I79</f>
        <v>0</v>
      </c>
      <c r="S78" s="108"/>
      <c r="U78" s="24"/>
      <c r="V78" s="24"/>
      <c r="W78" s="104"/>
      <c r="X78" s="104"/>
      <c r="Y78" s="24"/>
      <c r="Z78" s="24"/>
      <c r="AA78" s="24"/>
    </row>
    <row r="79" spans="2:27" ht="16.5" customHeight="1" x14ac:dyDescent="0.25">
      <c r="B79" s="105"/>
      <c r="C79" s="22"/>
      <c r="H79" s="50" t="s">
        <v>13</v>
      </c>
      <c r="I79" s="95">
        <f>SUM(I75,I68,I62,I64,I58,I54,I37)</f>
        <v>0.26281831507377756</v>
      </c>
      <c r="J79" s="23"/>
      <c r="K79" s="22"/>
      <c r="O79" s="107" t="s">
        <v>87</v>
      </c>
      <c r="P79" s="95">
        <f>P71+P76</f>
        <v>0.22147831507377758</v>
      </c>
      <c r="Q79" s="95"/>
      <c r="R79" s="95">
        <f>+P79-I79</f>
        <v>-4.1339999999999988E-2</v>
      </c>
      <c r="S79" s="96"/>
      <c r="U79" s="160">
        <f>R79/0.6-'P1. RD-1 to HP-RES'!R72</f>
        <v>0</v>
      </c>
      <c r="V79" s="24"/>
      <c r="W79" s="104"/>
      <c r="X79" s="104"/>
      <c r="Y79" s="24"/>
      <c r="Z79" s="24"/>
      <c r="AA79" s="24"/>
    </row>
    <row r="80" spans="2:27" ht="9" customHeight="1" x14ac:dyDescent="0.25">
      <c r="B80" s="109"/>
      <c r="C80" s="113"/>
      <c r="D80" s="110"/>
      <c r="E80" s="110"/>
      <c r="F80" s="110"/>
      <c r="G80" s="110"/>
      <c r="H80" s="132"/>
      <c r="I80" s="112"/>
      <c r="J80" s="133"/>
      <c r="K80" s="113"/>
      <c r="L80" s="110"/>
      <c r="M80" s="110"/>
      <c r="N80" s="110"/>
      <c r="O80" s="132"/>
      <c r="P80" s="132"/>
      <c r="Q80" s="132"/>
      <c r="R80" s="112"/>
      <c r="S80" s="114"/>
      <c r="U80" s="24"/>
      <c r="V80" s="24"/>
      <c r="W80" s="104"/>
      <c r="X80" s="104"/>
      <c r="Y80" s="24"/>
      <c r="Z80" s="24"/>
      <c r="AA80" s="24"/>
    </row>
    <row r="81" spans="2:27" ht="19.5" customHeight="1" x14ac:dyDescent="0.25">
      <c r="B81" s="164" t="s">
        <v>97</v>
      </c>
      <c r="C81" s="164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24"/>
      <c r="U81" s="24"/>
      <c r="V81" s="24"/>
      <c r="W81" s="104"/>
      <c r="X81" s="104"/>
      <c r="Y81" s="24"/>
      <c r="Z81" s="24"/>
      <c r="AA81" s="24"/>
    </row>
    <row r="82" spans="2:27" ht="13.2" x14ac:dyDescent="0.25">
      <c r="S82" s="24"/>
    </row>
    <row r="83" spans="2:27" ht="13.2" customHeight="1" x14ac:dyDescent="0.25">
      <c r="B83" s="134" t="s">
        <v>50</v>
      </c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135"/>
    </row>
    <row r="84" spans="2:27" x14ac:dyDescent="0.2">
      <c r="B84" s="134" t="s">
        <v>50</v>
      </c>
      <c r="R84" s="100"/>
      <c r="S84" s="100"/>
    </row>
    <row r="85" spans="2:27" ht="13.2" x14ac:dyDescent="0.25">
      <c r="B85" s="134" t="s">
        <v>50</v>
      </c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</row>
    <row r="86" spans="2:27" x14ac:dyDescent="0.2">
      <c r="I86" s="100">
        <f>+I79-I70</f>
        <v>-0.17521221004918514</v>
      </c>
      <c r="P86" s="100">
        <f>+P79-P68</f>
        <v>1.1048967994998687E-2</v>
      </c>
    </row>
    <row r="88" spans="2:27" x14ac:dyDescent="0.2">
      <c r="I88" s="100">
        <f>I70-I75</f>
        <v>0.61324273517214778</v>
      </c>
      <c r="P88" s="100">
        <f>+P79-P75-P68</f>
        <v>0.18626117804418377</v>
      </c>
    </row>
  </sheetData>
  <mergeCells count="1">
    <mergeCell ref="B81:R81"/>
  </mergeCells>
  <printOptions horizontalCentered="1"/>
  <pageMargins left="0.5" right="0.5" top="0.75" bottom="0.25" header="0.5" footer="0.5"/>
  <pageSetup paperSize="9" scale="70" orientation="portrait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7715B-F715-4604-9216-695DD00DA116}">
  <dimension ref="A1:M34"/>
  <sheetViews>
    <sheetView topLeftCell="A13" zoomScale="85" zoomScaleNormal="85" workbookViewId="0">
      <selection activeCell="B30" sqref="B30:B33"/>
    </sheetView>
  </sheetViews>
  <sheetFormatPr defaultColWidth="9.109375" defaultRowHeight="15.6" x14ac:dyDescent="0.3"/>
  <cols>
    <col min="1" max="1" width="9.109375" style="5"/>
    <col min="2" max="2" width="19.33203125" style="5" customWidth="1"/>
    <col min="3" max="3" width="21.88671875" style="5" bestFit="1" customWidth="1"/>
    <col min="4" max="4" width="12.33203125" style="5" customWidth="1"/>
    <col min="5" max="5" width="15.33203125" style="5" customWidth="1"/>
    <col min="6" max="6" width="19.33203125" style="5" customWidth="1"/>
    <col min="7" max="7" width="23.5546875" style="5" bestFit="1" customWidth="1"/>
    <col min="8" max="8" width="13.5546875" style="5" customWidth="1"/>
    <col min="9" max="9" width="14.33203125" style="5" customWidth="1"/>
    <col min="10" max="11" width="9.109375" style="5"/>
    <col min="12" max="12" width="12.6640625" style="5" bestFit="1" customWidth="1"/>
    <col min="13" max="13" width="12.109375" style="5" bestFit="1" customWidth="1"/>
    <col min="14" max="14" width="11.33203125" style="5" bestFit="1" customWidth="1"/>
    <col min="15" max="16384" width="9.109375" style="5"/>
  </cols>
  <sheetData>
    <row r="1" spans="1:13" x14ac:dyDescent="0.3">
      <c r="I1" s="163" t="str">
        <f>'P1. RD-1 to HP-RES'!S1</f>
        <v>DPU 23-80</v>
      </c>
    </row>
    <row r="2" spans="1:13" x14ac:dyDescent="0.3">
      <c r="I2" s="163" t="str">
        <f>'P1. RD-1 to HP-RES'!S2</f>
        <v>DOER 2-03 Attachment 1</v>
      </c>
    </row>
    <row r="3" spans="1:13" x14ac:dyDescent="0.3">
      <c r="I3" s="163" t="s">
        <v>105</v>
      </c>
    </row>
    <row r="4" spans="1:13" s="2" customFormat="1" x14ac:dyDescent="0.3">
      <c r="A4" s="1" t="s">
        <v>59</v>
      </c>
    </row>
    <row r="5" spans="1:13" s="2" customFormat="1" x14ac:dyDescent="0.3">
      <c r="A5" s="3" t="s">
        <v>60</v>
      </c>
    </row>
    <row r="6" spans="1:13" s="2" customFormat="1" x14ac:dyDescent="0.3">
      <c r="A6" s="3"/>
      <c r="M6" s="4"/>
    </row>
    <row r="7" spans="1:13" s="2" customFormat="1" x14ac:dyDescent="0.3">
      <c r="A7" s="136"/>
    </row>
    <row r="8" spans="1:13" x14ac:dyDescent="0.3">
      <c r="L8" s="6" t="s">
        <v>61</v>
      </c>
    </row>
    <row r="9" spans="1:13" ht="62.4" x14ac:dyDescent="0.3">
      <c r="A9" s="7" t="s">
        <v>104</v>
      </c>
      <c r="B9" s="7" t="s">
        <v>14</v>
      </c>
      <c r="C9" s="7" t="s">
        <v>62</v>
      </c>
      <c r="D9" s="8" t="s">
        <v>63</v>
      </c>
      <c r="E9" s="8" t="s">
        <v>64</v>
      </c>
      <c r="F9" s="7" t="s">
        <v>65</v>
      </c>
      <c r="G9" s="8" t="s">
        <v>63</v>
      </c>
      <c r="H9" s="8" t="s">
        <v>66</v>
      </c>
      <c r="I9" s="8" t="s">
        <v>67</v>
      </c>
      <c r="J9" s="9"/>
      <c r="K9" s="9"/>
      <c r="L9" s="10" t="s">
        <v>68</v>
      </c>
      <c r="M9" s="10" t="s">
        <v>69</v>
      </c>
    </row>
    <row r="10" spans="1:13" x14ac:dyDescent="0.3">
      <c r="A10" s="16">
        <v>1</v>
      </c>
      <c r="B10" s="11">
        <v>0.1</v>
      </c>
      <c r="C10" s="12">
        <f t="shared" ref="C10:C19" si="0">M10/L10</f>
        <v>2.3244677076870808</v>
      </c>
      <c r="D10" s="13">
        <f t="shared" ref="D10:D20" si="1">+$E$24+C10*SUM($E$25:$E$28)</f>
        <v>22.348572211081937</v>
      </c>
      <c r="E10" s="12">
        <f t="shared" ref="E10:E19" si="2">C10/$C$20*$E$20</f>
        <v>-1.8088987541991768</v>
      </c>
      <c r="F10" s="12">
        <f>C10+E10</f>
        <v>0.51556895348790399</v>
      </c>
      <c r="G10" s="13">
        <f t="shared" ref="G10:G20" si="3">+$E$24+F10*SUM($E$25:$E$28)</f>
        <v>16.629919689556658</v>
      </c>
      <c r="H10" s="14">
        <f t="shared" ref="H10:H19" si="4">+G10-D10</f>
        <v>-5.7186525215252786</v>
      </c>
      <c r="I10" s="15">
        <f t="shared" ref="I10:I20" si="5">+H10/D10</f>
        <v>-0.25588446848025409</v>
      </c>
      <c r="J10" s="16"/>
      <c r="L10" s="17">
        <v>11443.9</v>
      </c>
      <c r="M10" s="17">
        <v>26600.976000000184</v>
      </c>
    </row>
    <row r="11" spans="1:13" x14ac:dyDescent="0.3">
      <c r="A11" s="16">
        <f>A10+1</f>
        <v>2</v>
      </c>
      <c r="B11" s="11">
        <f t="shared" ref="B11:B19" si="6">+B10+0.1</f>
        <v>0.2</v>
      </c>
      <c r="C11" s="12">
        <f t="shared" si="0"/>
        <v>8.9825108573127377</v>
      </c>
      <c r="D11" s="13">
        <f t="shared" si="1"/>
        <v>43.397309824308493</v>
      </c>
      <c r="E11" s="12">
        <f t="shared" si="2"/>
        <v>-6.9901821589689099</v>
      </c>
      <c r="F11" s="12">
        <f t="shared" ref="F11:F19" si="7">C11+E11</f>
        <v>1.9923286983438278</v>
      </c>
      <c r="G11" s="13">
        <f t="shared" si="3"/>
        <v>21.298547946944176</v>
      </c>
      <c r="H11" s="14">
        <f t="shared" si="4"/>
        <v>-22.098761877364318</v>
      </c>
      <c r="I11" s="15">
        <f t="shared" si="5"/>
        <v>-0.50921962598211457</v>
      </c>
      <c r="J11" s="16"/>
      <c r="L11" s="17">
        <v>11443.9</v>
      </c>
      <c r="M11" s="17">
        <v>102794.95600000124</v>
      </c>
    </row>
    <row r="12" spans="1:13" x14ac:dyDescent="0.3">
      <c r="A12" s="16">
        <f t="shared" ref="A12:A33" si="8">A11+1</f>
        <v>3</v>
      </c>
      <c r="B12" s="11">
        <f t="shared" si="6"/>
        <v>0.30000000000000004</v>
      </c>
      <c r="C12" s="12">
        <f t="shared" si="0"/>
        <v>14.250271323587056</v>
      </c>
      <c r="D12" s="13">
        <f t="shared" si="1"/>
        <v>60.050807762388118</v>
      </c>
      <c r="E12" s="12">
        <f t="shared" si="2"/>
        <v>-11.089548785294207</v>
      </c>
      <c r="F12" s="12">
        <f t="shared" si="7"/>
        <v>3.1607225382928483</v>
      </c>
      <c r="G12" s="13">
        <f t="shared" si="3"/>
        <v>24.992308232559012</v>
      </c>
      <c r="H12" s="14">
        <f t="shared" si="4"/>
        <v>-35.058499529829106</v>
      </c>
      <c r="I12" s="15">
        <f t="shared" si="5"/>
        <v>-0.58381395415279402</v>
      </c>
      <c r="J12" s="16"/>
      <c r="L12" s="17">
        <v>11443.899999999998</v>
      </c>
      <c r="M12" s="17">
        <v>163078.67999999787</v>
      </c>
    </row>
    <row r="13" spans="1:13" x14ac:dyDescent="0.3">
      <c r="A13" s="16">
        <f t="shared" si="8"/>
        <v>4</v>
      </c>
      <c r="B13" s="11">
        <f t="shared" si="6"/>
        <v>0.4</v>
      </c>
      <c r="C13" s="12">
        <f t="shared" si="0"/>
        <v>20.00059699927494</v>
      </c>
      <c r="D13" s="13">
        <f t="shared" si="1"/>
        <v>78.229887353507792</v>
      </c>
      <c r="E13" s="12">
        <f t="shared" si="2"/>
        <v>-15.564447239074592</v>
      </c>
      <c r="F13" s="12">
        <f t="shared" si="7"/>
        <v>4.4361497602003475</v>
      </c>
      <c r="G13" s="13">
        <f t="shared" si="3"/>
        <v>29.024443851897381</v>
      </c>
      <c r="H13" s="14">
        <f t="shared" si="4"/>
        <v>-49.205443501610411</v>
      </c>
      <c r="I13" s="15">
        <f t="shared" si="5"/>
        <v>-0.62898522759286657</v>
      </c>
      <c r="J13" s="16"/>
      <c r="L13" s="17">
        <v>11443.900000000001</v>
      </c>
      <c r="M13" s="17">
        <v>228884.8320000025</v>
      </c>
    </row>
    <row r="14" spans="1:13" x14ac:dyDescent="0.3">
      <c r="A14" s="16">
        <f t="shared" si="8"/>
        <v>5</v>
      </c>
      <c r="B14" s="11">
        <f t="shared" si="6"/>
        <v>0.5</v>
      </c>
      <c r="C14" s="12">
        <f t="shared" si="0"/>
        <v>28.17664563654003</v>
      </c>
      <c r="D14" s="13">
        <f t="shared" si="1"/>
        <v>104.07764751535765</v>
      </c>
      <c r="E14" s="12">
        <f t="shared" si="2"/>
        <v>-21.927041197816596</v>
      </c>
      <c r="F14" s="12">
        <f t="shared" si="7"/>
        <v>6.2496044387234342</v>
      </c>
      <c r="G14" s="13">
        <f t="shared" si="3"/>
        <v>34.757499472580264</v>
      </c>
      <c r="H14" s="14">
        <f t="shared" si="4"/>
        <v>-69.32014804277739</v>
      </c>
      <c r="I14" s="15">
        <f t="shared" si="5"/>
        <v>-0.66604261047069246</v>
      </c>
      <c r="J14" s="16"/>
      <c r="L14" s="17">
        <v>11443.900000000001</v>
      </c>
      <c r="M14" s="17">
        <v>322450.71500000049</v>
      </c>
    </row>
    <row r="15" spans="1:13" x14ac:dyDescent="0.3">
      <c r="A15" s="16">
        <f t="shared" si="8"/>
        <v>6</v>
      </c>
      <c r="B15" s="11">
        <f t="shared" si="6"/>
        <v>0.6</v>
      </c>
      <c r="C15" s="12">
        <f t="shared" si="0"/>
        <v>41.942269156493978</v>
      </c>
      <c r="D15" s="13">
        <f t="shared" si="1"/>
        <v>147.59628971134006</v>
      </c>
      <c r="E15" s="12">
        <f t="shared" si="2"/>
        <v>-32.639437482640226</v>
      </c>
      <c r="F15" s="12">
        <f t="shared" si="7"/>
        <v>9.3028316738537526</v>
      </c>
      <c r="G15" s="13">
        <f t="shared" si="3"/>
        <v>44.409972053721255</v>
      </c>
      <c r="H15" s="14">
        <f t="shared" si="4"/>
        <v>-103.18631765761882</v>
      </c>
      <c r="I15" s="15">
        <f t="shared" si="5"/>
        <v>-0.69911186696782424</v>
      </c>
      <c r="J15" s="16"/>
      <c r="L15" s="17">
        <v>11443.899999999994</v>
      </c>
      <c r="M15" s="17">
        <v>479983.13400000118</v>
      </c>
    </row>
    <row r="16" spans="1:13" x14ac:dyDescent="0.3">
      <c r="A16" s="16">
        <f t="shared" si="8"/>
        <v>7</v>
      </c>
      <c r="B16" s="11">
        <f t="shared" si="6"/>
        <v>0.7</v>
      </c>
      <c r="C16" s="12">
        <f t="shared" si="0"/>
        <v>63.253012958869675</v>
      </c>
      <c r="D16" s="13">
        <f t="shared" si="1"/>
        <v>214.9680751681706</v>
      </c>
      <c r="E16" s="12">
        <f t="shared" si="2"/>
        <v>-49.22343982764707</v>
      </c>
      <c r="F16" s="12">
        <f t="shared" si="7"/>
        <v>14.029573131222605</v>
      </c>
      <c r="G16" s="13">
        <f t="shared" si="3"/>
        <v>59.353092497047143</v>
      </c>
      <c r="H16" s="14">
        <f t="shared" si="4"/>
        <v>-155.61498267112347</v>
      </c>
      <c r="I16" s="15">
        <f t="shared" si="5"/>
        <v>-0.7238981069602316</v>
      </c>
      <c r="J16" s="16"/>
      <c r="L16" s="17">
        <v>11443.899999999994</v>
      </c>
      <c r="M16" s="17">
        <v>723861.15500000829</v>
      </c>
    </row>
    <row r="17" spans="1:13" x14ac:dyDescent="0.3">
      <c r="A17" s="16">
        <f t="shared" si="8"/>
        <v>8</v>
      </c>
      <c r="B17" s="11">
        <f t="shared" si="6"/>
        <v>0.79999999999999993</v>
      </c>
      <c r="C17" s="12">
        <f t="shared" si="0"/>
        <v>91.064513845804257</v>
      </c>
      <c r="D17" s="13">
        <f t="shared" si="1"/>
        <v>302.89135407212558</v>
      </c>
      <c r="E17" s="12">
        <f t="shared" si="2"/>
        <v>-70.866325697996942</v>
      </c>
      <c r="F17" s="12">
        <f t="shared" si="7"/>
        <v>20.198188147807315</v>
      </c>
      <c r="G17" s="13">
        <f t="shared" si="3"/>
        <v>78.854552010478045</v>
      </c>
      <c r="H17" s="14">
        <f t="shared" si="4"/>
        <v>-224.03680206164753</v>
      </c>
      <c r="I17" s="15">
        <f t="shared" si="5"/>
        <v>-0.73966060453577387</v>
      </c>
      <c r="J17" s="16"/>
      <c r="L17" s="17">
        <v>11443.899999999994</v>
      </c>
      <c r="M17" s="17">
        <v>1042133.1899999988</v>
      </c>
    </row>
    <row r="18" spans="1:13" x14ac:dyDescent="0.3">
      <c r="A18" s="16">
        <f t="shared" si="8"/>
        <v>9</v>
      </c>
      <c r="B18" s="11">
        <f t="shared" si="6"/>
        <v>0.89999999999999991</v>
      </c>
      <c r="C18" s="12">
        <f t="shared" si="0"/>
        <v>129.6247826352909</v>
      </c>
      <c r="D18" s="13">
        <f t="shared" si="1"/>
        <v>424.79578782320863</v>
      </c>
      <c r="E18" s="12">
        <f t="shared" si="2"/>
        <v>-100.87389342811304</v>
      </c>
      <c r="F18" s="12">
        <f t="shared" si="7"/>
        <v>28.750889207177863</v>
      </c>
      <c r="G18" s="13">
        <f t="shared" si="3"/>
        <v>105.8930611395721</v>
      </c>
      <c r="H18" s="14">
        <f t="shared" si="4"/>
        <v>-318.9027266836365</v>
      </c>
      <c r="I18" s="15">
        <f t="shared" si="5"/>
        <v>-0.75072007732891488</v>
      </c>
      <c r="J18" s="16"/>
      <c r="L18" s="17">
        <v>11443.899999999994</v>
      </c>
      <c r="M18" s="17">
        <v>1483413.0500000047</v>
      </c>
    </row>
    <row r="19" spans="1:13" x14ac:dyDescent="0.3">
      <c r="A19" s="16">
        <f t="shared" si="8"/>
        <v>10</v>
      </c>
      <c r="B19" s="11">
        <f t="shared" si="6"/>
        <v>0.99999999999999989</v>
      </c>
      <c r="C19" s="12">
        <f t="shared" si="0"/>
        <v>227.64623161684352</v>
      </c>
      <c r="D19" s="13">
        <f t="shared" si="1"/>
        <v>734.68079663348908</v>
      </c>
      <c r="E19" s="12">
        <f t="shared" si="2"/>
        <v>-177.15410001526266</v>
      </c>
      <c r="F19" s="12">
        <f t="shared" si="7"/>
        <v>50.492131601580866</v>
      </c>
      <c r="G19" s="13">
        <f t="shared" si="3"/>
        <v>174.62582484523776</v>
      </c>
      <c r="H19" s="14">
        <f t="shared" si="4"/>
        <v>-560.05497178825135</v>
      </c>
      <c r="I19" s="15">
        <f t="shared" si="5"/>
        <v>-0.76231061755605745</v>
      </c>
      <c r="J19" s="16"/>
      <c r="L19" s="17">
        <v>11443.899999999994</v>
      </c>
      <c r="M19" s="17">
        <v>2605160.7099999944</v>
      </c>
    </row>
    <row r="20" spans="1:13" ht="31.35" customHeight="1" x14ac:dyDescent="0.3">
      <c r="A20" s="16">
        <f t="shared" si="8"/>
        <v>11</v>
      </c>
      <c r="B20" s="11" t="s">
        <v>4</v>
      </c>
      <c r="C20" s="12">
        <f>AVERAGE(C10:C19)</f>
        <v>62.726530273770415</v>
      </c>
      <c r="D20" s="13">
        <f t="shared" si="1"/>
        <v>213.3036528074978</v>
      </c>
      <c r="E20" s="12">
        <v>-48.813731458701341</v>
      </c>
      <c r="F20" s="12">
        <f>AVERAGE(F10:F19)</f>
        <v>13.912798815069076</v>
      </c>
      <c r="G20" s="13">
        <f t="shared" si="3"/>
        <v>58.983922173959378</v>
      </c>
      <c r="H20" s="14">
        <f>AVERAGE(H10:H19)</f>
        <v>-154.31973063353843</v>
      </c>
      <c r="I20" s="15">
        <f t="shared" si="5"/>
        <v>-0.72347439250282708</v>
      </c>
    </row>
    <row r="21" spans="1:13" x14ac:dyDescent="0.3">
      <c r="A21" s="16">
        <f t="shared" si="8"/>
        <v>12</v>
      </c>
      <c r="B21" s="11"/>
      <c r="C21" s="12"/>
    </row>
    <row r="22" spans="1:13" x14ac:dyDescent="0.3">
      <c r="A22" s="16">
        <f t="shared" si="8"/>
        <v>13</v>
      </c>
      <c r="B22" s="18" t="s">
        <v>94</v>
      </c>
      <c r="F22" s="18"/>
    </row>
    <row r="23" spans="1:13" x14ac:dyDescent="0.3">
      <c r="A23" s="16">
        <f t="shared" si="8"/>
        <v>14</v>
      </c>
    </row>
    <row r="24" spans="1:13" x14ac:dyDescent="0.3">
      <c r="A24" s="16">
        <f t="shared" si="8"/>
        <v>15</v>
      </c>
      <c r="B24" s="5" t="s">
        <v>70</v>
      </c>
      <c r="E24" s="19">
        <v>15</v>
      </c>
      <c r="F24" s="6" t="s">
        <v>71</v>
      </c>
      <c r="H24" s="19"/>
      <c r="I24" s="6"/>
    </row>
    <row r="25" spans="1:13" x14ac:dyDescent="0.3">
      <c r="A25" s="16">
        <f t="shared" si="8"/>
        <v>16</v>
      </c>
      <c r="B25" s="6" t="s">
        <v>73</v>
      </c>
      <c r="E25" s="162">
        <v>1.7097</v>
      </c>
      <c r="F25" s="6" t="s">
        <v>71</v>
      </c>
      <c r="H25" s="20"/>
      <c r="I25" s="6"/>
    </row>
    <row r="26" spans="1:13" x14ac:dyDescent="0.3">
      <c r="A26" s="16">
        <f t="shared" si="8"/>
        <v>17</v>
      </c>
      <c r="B26" s="6" t="s">
        <v>74</v>
      </c>
      <c r="E26" s="20">
        <v>2.9700000000000001E-2</v>
      </c>
      <c r="F26" s="6" t="s">
        <v>77</v>
      </c>
      <c r="H26" s="20"/>
      <c r="I26" s="6"/>
    </row>
    <row r="27" spans="1:13" x14ac:dyDescent="0.3">
      <c r="A27" s="16">
        <f t="shared" si="8"/>
        <v>18</v>
      </c>
      <c r="B27" s="5" t="s">
        <v>75</v>
      </c>
      <c r="E27" s="20">
        <v>0.48809999999999998</v>
      </c>
      <c r="F27" s="6" t="s">
        <v>72</v>
      </c>
      <c r="H27" s="20"/>
      <c r="I27" s="6"/>
    </row>
    <row r="28" spans="1:13" x14ac:dyDescent="0.3">
      <c r="A28" s="16">
        <f t="shared" si="8"/>
        <v>19</v>
      </c>
      <c r="B28" s="5" t="s">
        <v>76</v>
      </c>
      <c r="E28" s="20">
        <v>0.93389999999999995</v>
      </c>
      <c r="F28" s="6" t="s">
        <v>110</v>
      </c>
      <c r="H28" s="20"/>
      <c r="I28" s="6"/>
    </row>
    <row r="29" spans="1:13" x14ac:dyDescent="0.3">
      <c r="A29" s="16">
        <f t="shared" si="8"/>
        <v>20</v>
      </c>
    </row>
    <row r="30" spans="1:13" x14ac:dyDescent="0.3">
      <c r="A30" s="16">
        <f t="shared" si="8"/>
        <v>21</v>
      </c>
      <c r="B30" s="5" t="s">
        <v>108</v>
      </c>
    </row>
    <row r="31" spans="1:13" x14ac:dyDescent="0.3">
      <c r="A31" s="16">
        <f t="shared" si="8"/>
        <v>22</v>
      </c>
      <c r="B31" s="5" t="s">
        <v>109</v>
      </c>
    </row>
    <row r="32" spans="1:13" x14ac:dyDescent="0.3">
      <c r="A32" s="16">
        <f t="shared" si="8"/>
        <v>23</v>
      </c>
      <c r="B32" s="5" t="s">
        <v>112</v>
      </c>
    </row>
    <row r="33" spans="1:2" x14ac:dyDescent="0.3">
      <c r="A33" s="16">
        <f t="shared" si="8"/>
        <v>24</v>
      </c>
      <c r="B33" s="5" t="s">
        <v>111</v>
      </c>
    </row>
    <row r="34" spans="1:2" x14ac:dyDescent="0.3">
      <c r="A34" s="5" t="s">
        <v>50</v>
      </c>
    </row>
  </sheetData>
  <printOptions horizontalCentered="1"/>
  <pageMargins left="0.5" right="0.5" top="0.5" bottom="0.5" header="0.5" footer="0.5"/>
  <pageSetup scale="63" orientation="landscape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1F69B-5B41-4FFF-9D7A-C427A3C59183}">
  <dimension ref="A1:O39"/>
  <sheetViews>
    <sheetView tabSelected="1" topLeftCell="A18" zoomScale="85" zoomScaleNormal="85" workbookViewId="0">
      <selection activeCell="F40" sqref="F40:F41"/>
    </sheetView>
  </sheetViews>
  <sheetFormatPr defaultColWidth="9.109375" defaultRowHeight="15.6" x14ac:dyDescent="0.3"/>
  <cols>
    <col min="1" max="1" width="9.109375" style="5"/>
    <col min="2" max="2" width="19.33203125" style="5" customWidth="1"/>
    <col min="3" max="3" width="21.88671875" style="5" bestFit="1" customWidth="1"/>
    <col min="4" max="4" width="12.33203125" style="5" customWidth="1"/>
    <col min="5" max="5" width="14.88671875" style="5" customWidth="1"/>
    <col min="6" max="6" width="19.33203125" style="5" customWidth="1"/>
    <col min="7" max="7" width="23.5546875" style="5" bestFit="1" customWidth="1"/>
    <col min="8" max="8" width="10.44140625" style="5" customWidth="1"/>
    <col min="9" max="9" width="11.5546875" style="5" customWidth="1"/>
    <col min="10" max="11" width="9.109375" style="5"/>
    <col min="12" max="12" width="12.6640625" style="5" bestFit="1" customWidth="1"/>
    <col min="13" max="13" width="12.109375" style="5" bestFit="1" customWidth="1"/>
    <col min="14" max="14" width="9.5546875" style="5" bestFit="1" customWidth="1"/>
    <col min="15" max="15" width="14.33203125" style="5" bestFit="1" customWidth="1"/>
    <col min="16" max="16384" width="9.109375" style="5"/>
  </cols>
  <sheetData>
    <row r="1" spans="1:15" x14ac:dyDescent="0.3">
      <c r="I1" s="163" t="str">
        <f>'P3. R3 with HP-RES'!I1</f>
        <v>DPU 23-80</v>
      </c>
    </row>
    <row r="2" spans="1:15" x14ac:dyDescent="0.3">
      <c r="I2" s="163" t="str">
        <f>'P3. R3 with HP-RES'!I2</f>
        <v>DOER 2-03 Attachment 1</v>
      </c>
    </row>
    <row r="3" spans="1:15" x14ac:dyDescent="0.3">
      <c r="I3" s="163" t="s">
        <v>106</v>
      </c>
    </row>
    <row r="4" spans="1:15" s="2" customFormat="1" x14ac:dyDescent="0.3">
      <c r="A4" s="1" t="s">
        <v>59</v>
      </c>
    </row>
    <row r="5" spans="1:15" s="2" customFormat="1" x14ac:dyDescent="0.3">
      <c r="A5" s="3" t="s">
        <v>78</v>
      </c>
    </row>
    <row r="6" spans="1:15" s="2" customFormat="1" x14ac:dyDescent="0.3">
      <c r="A6" s="3"/>
      <c r="M6" s="4"/>
    </row>
    <row r="7" spans="1:15" s="2" customFormat="1" x14ac:dyDescent="0.3">
      <c r="A7" s="136"/>
    </row>
    <row r="8" spans="1:15" x14ac:dyDescent="0.3">
      <c r="L8" s="6" t="s">
        <v>61</v>
      </c>
    </row>
    <row r="9" spans="1:15" ht="62.4" x14ac:dyDescent="0.3">
      <c r="A9" s="7" t="s">
        <v>104</v>
      </c>
      <c r="B9" s="7" t="s">
        <v>14</v>
      </c>
      <c r="C9" s="7" t="s">
        <v>62</v>
      </c>
      <c r="D9" s="8" t="s">
        <v>63</v>
      </c>
      <c r="E9" s="8" t="s">
        <v>64</v>
      </c>
      <c r="F9" s="7" t="s">
        <v>65</v>
      </c>
      <c r="G9" s="8" t="s">
        <v>79</v>
      </c>
      <c r="H9" s="8" t="s">
        <v>66</v>
      </c>
      <c r="I9" s="8" t="s">
        <v>67</v>
      </c>
      <c r="J9" s="9"/>
      <c r="K9" s="9"/>
      <c r="L9" s="10" t="s">
        <v>68</v>
      </c>
      <c r="M9" s="10" t="s">
        <v>69</v>
      </c>
    </row>
    <row r="10" spans="1:15" x14ac:dyDescent="0.3">
      <c r="A10" s="16">
        <v>1</v>
      </c>
      <c r="B10" s="11">
        <v>0.1</v>
      </c>
      <c r="C10" s="12">
        <f t="shared" ref="C10:C18" si="0">M10/L10</f>
        <v>2.4484562251279121</v>
      </c>
      <c r="D10" s="13">
        <f t="shared" ref="D10:D20" si="1">+E$24+E$31+C10*SUM($E$25:$E$28,$E$32)</f>
        <v>17.055289709778279</v>
      </c>
      <c r="E10" s="12">
        <f>C10/$C$20*$E$20</f>
        <v>-1.8402631436003745</v>
      </c>
      <c r="F10" s="12">
        <f>C10+E10</f>
        <v>0.60819308152753759</v>
      </c>
      <c r="G10" s="13">
        <f t="shared" ref="G10:G20" si="2">+E$24+E$31+F10*SUM($E$25:$E$28,$E$32)</f>
        <v>12.692025796301792</v>
      </c>
      <c r="H10" s="14">
        <f t="shared" ref="H10:H19" si="3">+G10-D10</f>
        <v>-4.3632639134764872</v>
      </c>
      <c r="I10" s="15">
        <f t="shared" ref="I10:I20" si="4">+H10/D10</f>
        <v>-0.25583053631595043</v>
      </c>
      <c r="J10" s="16"/>
      <c r="L10" s="17">
        <v>3518</v>
      </c>
      <c r="M10" s="17">
        <v>8613.6689999999944</v>
      </c>
      <c r="O10" s="5">
        <v>12.695207659773317</v>
      </c>
    </row>
    <row r="11" spans="1:15" x14ac:dyDescent="0.3">
      <c r="A11" s="16">
        <f>A10+1</f>
        <v>2</v>
      </c>
      <c r="B11" s="11">
        <f t="shared" ref="B11:B19" si="5">+B10+0.1</f>
        <v>0.2</v>
      </c>
      <c r="C11" s="12">
        <f t="shared" si="0"/>
        <v>9.6899246731098341</v>
      </c>
      <c r="D11" s="13">
        <f t="shared" si="1"/>
        <v>34.22481139994342</v>
      </c>
      <c r="E11" s="12">
        <f t="shared" ref="E11:E19" si="6">C11/$C$20*$E$20</f>
        <v>-7.2829610173064685</v>
      </c>
      <c r="F11" s="12">
        <f t="shared" ref="F11:F19" si="7">C11+E11</f>
        <v>2.4069636558033656</v>
      </c>
      <c r="G11" s="13">
        <f t="shared" si="2"/>
        <v>16.95691082790978</v>
      </c>
      <c r="H11" s="14">
        <f t="shared" si="3"/>
        <v>-17.267900572033639</v>
      </c>
      <c r="I11" s="15">
        <f t="shared" si="4"/>
        <v>-0.50454333758760128</v>
      </c>
      <c r="J11" s="16"/>
      <c r="L11" s="17">
        <v>3518</v>
      </c>
      <c r="M11" s="17">
        <v>34089.155000000399</v>
      </c>
      <c r="O11" s="5">
        <v>16.969503259435726</v>
      </c>
    </row>
    <row r="12" spans="1:15" x14ac:dyDescent="0.3">
      <c r="A12" s="16">
        <f t="shared" ref="A12:A37" si="8">A11+1</f>
        <v>3</v>
      </c>
      <c r="B12" s="11">
        <f t="shared" si="5"/>
        <v>0.30000000000000004</v>
      </c>
      <c r="C12" s="12">
        <f t="shared" si="0"/>
        <v>15.692476691301717</v>
      </c>
      <c r="D12" s="13">
        <f t="shared" si="1"/>
        <v>48.456862235076372</v>
      </c>
      <c r="E12" s="12">
        <f t="shared" si="6"/>
        <v>-11.79448755931989</v>
      </c>
      <c r="F12" s="12">
        <f t="shared" si="7"/>
        <v>3.8979891319818272</v>
      </c>
      <c r="G12" s="13">
        <f t="shared" si="2"/>
        <v>20.492132231928913</v>
      </c>
      <c r="H12" s="14">
        <f t="shared" si="3"/>
        <v>-27.964730003147459</v>
      </c>
      <c r="I12" s="15">
        <f t="shared" si="4"/>
        <v>-0.57710567117374523</v>
      </c>
      <c r="J12" s="16"/>
      <c r="L12" s="17">
        <v>3518</v>
      </c>
      <c r="M12" s="17">
        <v>55206.132999999441</v>
      </c>
      <c r="O12" s="5">
        <v>20.512525211737731</v>
      </c>
    </row>
    <row r="13" spans="1:15" x14ac:dyDescent="0.3">
      <c r="A13" s="16">
        <f t="shared" si="8"/>
        <v>4</v>
      </c>
      <c r="B13" s="11">
        <f t="shared" si="5"/>
        <v>0.4</v>
      </c>
      <c r="C13" s="12">
        <f t="shared" si="0"/>
        <v>22.10043092666287</v>
      </c>
      <c r="D13" s="13">
        <f t="shared" si="1"/>
        <v>63.650121727117664</v>
      </c>
      <c r="E13" s="12">
        <f t="shared" si="6"/>
        <v>-16.610714978128243</v>
      </c>
      <c r="F13" s="12">
        <f t="shared" si="7"/>
        <v>5.4897159485346272</v>
      </c>
      <c r="G13" s="13">
        <f t="shared" si="2"/>
        <v>24.266116513975604</v>
      </c>
      <c r="H13" s="14">
        <f t="shared" si="3"/>
        <v>-39.384005213142061</v>
      </c>
      <c r="I13" s="15">
        <f t="shared" si="4"/>
        <v>-0.61875773595516625</v>
      </c>
      <c r="J13" s="16"/>
      <c r="L13" s="17">
        <v>3518</v>
      </c>
      <c r="M13" s="17">
        <v>77749.315999999977</v>
      </c>
      <c r="O13" s="5">
        <v>24.294836877913017</v>
      </c>
    </row>
    <row r="14" spans="1:15" x14ac:dyDescent="0.3">
      <c r="A14" s="16">
        <f t="shared" si="8"/>
        <v>5</v>
      </c>
      <c r="B14" s="11">
        <f t="shared" si="5"/>
        <v>0.5</v>
      </c>
      <c r="C14" s="12">
        <f t="shared" si="0"/>
        <v>30.716352757248384</v>
      </c>
      <c r="D14" s="13">
        <f t="shared" si="1"/>
        <v>84.078472387435923</v>
      </c>
      <c r="E14" s="12">
        <f t="shared" si="6"/>
        <v>-23.086453947952002</v>
      </c>
      <c r="F14" s="12">
        <f t="shared" si="7"/>
        <v>7.6298988092963818</v>
      </c>
      <c r="G14" s="13">
        <f t="shared" si="2"/>
        <v>29.340490076841721</v>
      </c>
      <c r="H14" s="14">
        <f t="shared" si="3"/>
        <v>-54.737982310594205</v>
      </c>
      <c r="I14" s="15">
        <f t="shared" si="4"/>
        <v>-0.65103445336589927</v>
      </c>
      <c r="J14" s="16"/>
      <c r="L14" s="17">
        <v>3518</v>
      </c>
      <c r="M14" s="17">
        <v>108060.12899999981</v>
      </c>
      <c r="O14" s="5">
        <v>29.380407164112356</v>
      </c>
    </row>
    <row r="15" spans="1:15" x14ac:dyDescent="0.3">
      <c r="A15" s="16">
        <f t="shared" si="8"/>
        <v>6</v>
      </c>
      <c r="B15" s="11">
        <f t="shared" si="5"/>
        <v>0.6</v>
      </c>
      <c r="C15" s="12">
        <f t="shared" si="0"/>
        <v>44.876444855031096</v>
      </c>
      <c r="D15" s="13">
        <f t="shared" si="1"/>
        <v>117.65205075127872</v>
      </c>
      <c r="E15" s="12">
        <f t="shared" si="6"/>
        <v>-33.729199090832843</v>
      </c>
      <c r="F15" s="12">
        <f t="shared" si="7"/>
        <v>11.147245764198253</v>
      </c>
      <c r="G15" s="13">
        <f t="shared" si="2"/>
        <v>37.680119706914056</v>
      </c>
      <c r="H15" s="14">
        <f t="shared" si="3"/>
        <v>-79.971931044364666</v>
      </c>
      <c r="I15" s="15">
        <f t="shared" si="4"/>
        <v>-0.67973257188205427</v>
      </c>
      <c r="J15" s="16"/>
      <c r="L15" s="17">
        <v>3518</v>
      </c>
      <c r="M15" s="17">
        <v>157875.3329999994</v>
      </c>
      <c r="O15" s="5">
        <v>37.738438381003753</v>
      </c>
    </row>
    <row r="16" spans="1:15" x14ac:dyDescent="0.3">
      <c r="A16" s="16">
        <f t="shared" si="8"/>
        <v>7</v>
      </c>
      <c r="B16" s="11">
        <f t="shared" si="5"/>
        <v>0.7</v>
      </c>
      <c r="C16" s="12">
        <f t="shared" si="0"/>
        <v>65.762103183627232</v>
      </c>
      <c r="D16" s="13">
        <f t="shared" si="1"/>
        <v>167.17194664838016</v>
      </c>
      <c r="E16" s="12">
        <f t="shared" si="6"/>
        <v>-49.426889275160214</v>
      </c>
      <c r="F16" s="12">
        <f t="shared" si="7"/>
        <v>16.335213908467018</v>
      </c>
      <c r="G16" s="13">
        <f t="shared" si="2"/>
        <v>49.980792176975299</v>
      </c>
      <c r="H16" s="14">
        <f t="shared" si="3"/>
        <v>-117.19115447140486</v>
      </c>
      <c r="I16" s="15">
        <f t="shared" si="4"/>
        <v>-0.70102165357862334</v>
      </c>
      <c r="J16" s="16"/>
      <c r="L16" s="17">
        <v>3518</v>
      </c>
      <c r="M16" s="17">
        <v>231351.07900000061</v>
      </c>
      <c r="O16" s="5">
        <v>50.066252571073093</v>
      </c>
    </row>
    <row r="17" spans="1:15" x14ac:dyDescent="0.3">
      <c r="A17" s="16">
        <f t="shared" si="8"/>
        <v>8</v>
      </c>
      <c r="B17" s="11">
        <f t="shared" si="5"/>
        <v>0.79999999999999993</v>
      </c>
      <c r="C17" s="12">
        <f t="shared" si="0"/>
        <v>94.34840108015915</v>
      </c>
      <c r="D17" s="13">
        <f t="shared" si="1"/>
        <v>234.95005896105735</v>
      </c>
      <c r="E17" s="12">
        <f t="shared" si="6"/>
        <v>-70.912390992970316</v>
      </c>
      <c r="F17" s="12">
        <f t="shared" si="7"/>
        <v>23.436010087188833</v>
      </c>
      <c r="G17" s="13">
        <f t="shared" si="2"/>
        <v>66.816779916724727</v>
      </c>
      <c r="H17" s="14">
        <f t="shared" si="3"/>
        <v>-168.13327904433262</v>
      </c>
      <c r="I17" s="15">
        <f t="shared" si="4"/>
        <v>-0.71561284039601147</v>
      </c>
      <c r="J17" s="16"/>
      <c r="L17" s="17">
        <v>3518</v>
      </c>
      <c r="M17" s="17">
        <v>331917.67499999987</v>
      </c>
      <c r="O17" s="5">
        <v>66.939389309497528</v>
      </c>
    </row>
    <row r="18" spans="1:15" x14ac:dyDescent="0.3">
      <c r="A18" s="16">
        <f t="shared" si="8"/>
        <v>9</v>
      </c>
      <c r="B18" s="11">
        <f t="shared" si="5"/>
        <v>0.89999999999999991</v>
      </c>
      <c r="C18" s="12">
        <f t="shared" si="0"/>
        <v>134.9990815804436</v>
      </c>
      <c r="D18" s="13">
        <f t="shared" si="1"/>
        <v>331.3328224272318</v>
      </c>
      <c r="E18" s="12">
        <f t="shared" si="6"/>
        <v>-101.46549964944212</v>
      </c>
      <c r="F18" s="12">
        <f t="shared" si="7"/>
        <v>33.533581931001478</v>
      </c>
      <c r="G18" s="13">
        <f t="shared" si="2"/>
        <v>90.758122758404511</v>
      </c>
      <c r="H18" s="14">
        <f t="shared" si="3"/>
        <v>-240.57469966882729</v>
      </c>
      <c r="I18" s="15">
        <f t="shared" si="4"/>
        <v>-0.726081702097784</v>
      </c>
      <c r="J18" s="16"/>
      <c r="L18" s="17">
        <v>3518</v>
      </c>
      <c r="M18" s="17">
        <v>474926.76900000055</v>
      </c>
      <c r="O18" s="5">
        <v>90.933559281206854</v>
      </c>
    </row>
    <row r="19" spans="1:15" x14ac:dyDescent="0.3">
      <c r="A19" s="16">
        <f t="shared" si="8"/>
        <v>10</v>
      </c>
      <c r="B19" s="11">
        <f t="shared" si="5"/>
        <v>0.99999999999999989</v>
      </c>
      <c r="C19" s="12">
        <f>M19/L19</f>
        <v>228.82934138715197</v>
      </c>
      <c r="D19" s="13">
        <f t="shared" si="1"/>
        <v>553.80436842893732</v>
      </c>
      <c r="E19" s="12">
        <f t="shared" si="6"/>
        <v>-171.98845493230093</v>
      </c>
      <c r="F19" s="12">
        <f t="shared" si="7"/>
        <v>56.840886454851045</v>
      </c>
      <c r="G19" s="13">
        <f t="shared" si="2"/>
        <v>146.01974178445184</v>
      </c>
      <c r="H19" s="14">
        <f t="shared" si="3"/>
        <v>-407.78462664448546</v>
      </c>
      <c r="I19" s="15">
        <f t="shared" si="4"/>
        <v>-0.73633335143475176</v>
      </c>
      <c r="J19" s="16"/>
      <c r="L19" s="17">
        <v>3518</v>
      </c>
      <c r="M19" s="17">
        <v>805021.6230000006</v>
      </c>
      <c r="O19" s="5">
        <v>146.31711435542144</v>
      </c>
    </row>
    <row r="20" spans="1:15" ht="31.65" customHeight="1" x14ac:dyDescent="0.3">
      <c r="A20" s="16">
        <f t="shared" si="8"/>
        <v>11</v>
      </c>
      <c r="B20" s="11" t="s">
        <v>4</v>
      </c>
      <c r="C20" s="12">
        <f>AVERAGE(C10:C19)</f>
        <v>64.946301335986377</v>
      </c>
      <c r="D20" s="13">
        <f t="shared" si="1"/>
        <v>165.2376804676237</v>
      </c>
      <c r="E20" s="12">
        <v>-48.813731458701341</v>
      </c>
      <c r="F20" s="12">
        <f>AVERAGE(F10:F19)</f>
        <v>16.132569877285039</v>
      </c>
      <c r="G20" s="13">
        <f t="shared" si="2"/>
        <v>49.50032317904283</v>
      </c>
      <c r="H20" s="14">
        <f>AVERAGE(H10:H19)</f>
        <v>-115.73735728858087</v>
      </c>
      <c r="I20" s="15">
        <f t="shared" si="4"/>
        <v>-0.70042956885525987</v>
      </c>
      <c r="L20" s="137">
        <f>SUM(L10:L19)</f>
        <v>35180</v>
      </c>
      <c r="M20" s="137">
        <f>SUM(M10:M19)</f>
        <v>2284810.881000001</v>
      </c>
      <c r="O20" s="5">
        <v>49.58472340711748</v>
      </c>
    </row>
    <row r="21" spans="1:15" x14ac:dyDescent="0.3">
      <c r="A21" s="16">
        <f t="shared" si="8"/>
        <v>12</v>
      </c>
      <c r="B21" s="11"/>
      <c r="C21" s="12"/>
    </row>
    <row r="22" spans="1:15" x14ac:dyDescent="0.3">
      <c r="A22" s="16">
        <f t="shared" si="8"/>
        <v>13</v>
      </c>
      <c r="B22" s="18" t="s">
        <v>95</v>
      </c>
      <c r="F22" s="18"/>
    </row>
    <row r="23" spans="1:15" x14ac:dyDescent="0.3">
      <c r="A23" s="16">
        <f t="shared" si="8"/>
        <v>14</v>
      </c>
    </row>
    <row r="24" spans="1:15" x14ac:dyDescent="0.3">
      <c r="A24" s="16">
        <f t="shared" si="8"/>
        <v>15</v>
      </c>
      <c r="B24" s="5" t="s">
        <v>70</v>
      </c>
      <c r="E24" s="19">
        <v>15</v>
      </c>
      <c r="F24" s="6" t="s">
        <v>71</v>
      </c>
      <c r="H24" s="19"/>
      <c r="I24" s="6"/>
    </row>
    <row r="25" spans="1:15" x14ac:dyDescent="0.3">
      <c r="A25" s="16">
        <f t="shared" si="8"/>
        <v>16</v>
      </c>
      <c r="B25" s="6" t="s">
        <v>73</v>
      </c>
      <c r="E25" s="162">
        <v>1.7097</v>
      </c>
      <c r="F25" s="6" t="s">
        <v>71</v>
      </c>
      <c r="H25" s="20"/>
      <c r="I25" s="6"/>
    </row>
    <row r="26" spans="1:15" x14ac:dyDescent="0.3">
      <c r="A26" s="16">
        <f t="shared" si="8"/>
        <v>17</v>
      </c>
      <c r="B26" s="6" t="s">
        <v>74</v>
      </c>
      <c r="E26" s="20">
        <v>2.9700000000000001E-2</v>
      </c>
      <c r="F26" s="6" t="s">
        <v>77</v>
      </c>
      <c r="H26" s="20"/>
      <c r="I26" s="6"/>
    </row>
    <row r="27" spans="1:15" x14ac:dyDescent="0.3">
      <c r="A27" s="16">
        <f t="shared" si="8"/>
        <v>18</v>
      </c>
      <c r="B27" s="5" t="s">
        <v>75</v>
      </c>
      <c r="E27" s="20">
        <v>0.48809999999999998</v>
      </c>
      <c r="F27" s="6" t="s">
        <v>72</v>
      </c>
      <c r="H27" s="20"/>
      <c r="I27" s="6"/>
    </row>
    <row r="28" spans="1:15" x14ac:dyDescent="0.3">
      <c r="A28" s="16">
        <f t="shared" si="8"/>
        <v>19</v>
      </c>
      <c r="B28" s="5" t="s">
        <v>76</v>
      </c>
      <c r="E28" s="20">
        <v>0.93389999999999995</v>
      </c>
      <c r="F28" s="6" t="s">
        <v>110</v>
      </c>
      <c r="H28" s="20"/>
      <c r="I28" s="6"/>
    </row>
    <row r="29" spans="1:15" x14ac:dyDescent="0.3">
      <c r="A29" s="16">
        <f t="shared" si="8"/>
        <v>20</v>
      </c>
    </row>
    <row r="30" spans="1:15" x14ac:dyDescent="0.3">
      <c r="A30" s="16">
        <f t="shared" si="8"/>
        <v>21</v>
      </c>
      <c r="B30" s="5" t="s">
        <v>80</v>
      </c>
    </row>
    <row r="31" spans="1:15" x14ac:dyDescent="0.3">
      <c r="A31" s="16">
        <f t="shared" si="8"/>
        <v>22</v>
      </c>
      <c r="B31" s="5" t="s">
        <v>70</v>
      </c>
      <c r="E31" s="19">
        <f>-ROUND((E24*0.25),2)</f>
        <v>-3.75</v>
      </c>
      <c r="H31" s="19"/>
    </row>
    <row r="32" spans="1:15" x14ac:dyDescent="0.3">
      <c r="A32" s="16">
        <f t="shared" si="8"/>
        <v>23</v>
      </c>
      <c r="B32" s="6" t="s">
        <v>81</v>
      </c>
      <c r="E32" s="20">
        <f>ROUND(SUM(E25,E26:E27)*(1-0.25),4)-SUM(E25,E26:E27)+ROUND((E28*(1-0.25)-E28),4)</f>
        <v>-0.79039999999999999</v>
      </c>
      <c r="H32" s="20"/>
    </row>
    <row r="33" spans="1:8" x14ac:dyDescent="0.3">
      <c r="A33" s="16">
        <f t="shared" si="8"/>
        <v>24</v>
      </c>
      <c r="F33" s="6"/>
      <c r="H33" s="20"/>
    </row>
    <row r="34" spans="1:8" x14ac:dyDescent="0.3">
      <c r="A34" s="16">
        <f t="shared" si="8"/>
        <v>25</v>
      </c>
      <c r="B34" s="5" t="s">
        <v>108</v>
      </c>
    </row>
    <row r="35" spans="1:8" x14ac:dyDescent="0.3">
      <c r="A35" s="16">
        <f t="shared" si="8"/>
        <v>26</v>
      </c>
      <c r="B35" s="5" t="s">
        <v>109</v>
      </c>
    </row>
    <row r="36" spans="1:8" x14ac:dyDescent="0.3">
      <c r="A36" s="16">
        <f t="shared" si="8"/>
        <v>27</v>
      </c>
      <c r="B36" s="5" t="s">
        <v>112</v>
      </c>
    </row>
    <row r="37" spans="1:8" x14ac:dyDescent="0.3">
      <c r="A37" s="16">
        <f t="shared" si="8"/>
        <v>28</v>
      </c>
      <c r="B37" s="5" t="s">
        <v>111</v>
      </c>
    </row>
    <row r="39" spans="1:8" x14ac:dyDescent="0.3">
      <c r="A39" s="5" t="s">
        <v>50</v>
      </c>
    </row>
  </sheetData>
  <printOptions horizontalCentered="1"/>
  <pageMargins left="0.5" right="0.5" top="0.5" bottom="0.5" header="0.5" footer="0.5"/>
  <pageSetup scale="63" orientation="landscape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b8eca7-947c-4ce3-b27a-ae65d5bd536c">
      <Terms xmlns="http://schemas.microsoft.com/office/infopath/2007/PartnerControls"/>
    </lcf76f155ced4ddcb4097134ff3c332f>
    <TaxCatchAll xmlns="717ccf4b-b59a-4600-8941-e3113e3338d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1FC13D8496949BFCCB7FF1ED14DC9" ma:contentTypeVersion="17" ma:contentTypeDescription="Create a new document." ma:contentTypeScope="" ma:versionID="7af28ab8fa4595b11e9c35375e5ff534">
  <xsd:schema xmlns:xsd="http://www.w3.org/2001/XMLSchema" xmlns:xs="http://www.w3.org/2001/XMLSchema" xmlns:p="http://schemas.microsoft.com/office/2006/metadata/properties" xmlns:ns2="b2b8eca7-947c-4ce3-b27a-ae65d5bd536c" xmlns:ns3="717ccf4b-b59a-4600-8941-e3113e3338db" targetNamespace="http://schemas.microsoft.com/office/2006/metadata/properties" ma:root="true" ma:fieldsID="9a2076cba243c6ffd5183a34fbfb6282" ns2:_="" ns3:_="">
    <xsd:import namespace="b2b8eca7-947c-4ce3-b27a-ae65d5bd536c"/>
    <xsd:import namespace="717ccf4b-b59a-4600-8941-e3113e3338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b8eca7-947c-4ce3-b27a-ae65d5bd53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41da8db-2bdd-4807-9008-293542b601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7ccf4b-b59a-4600-8941-e3113e3338d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745b0d3-7a31-48fd-a0a2-8593cd3d1d11}" ma:internalName="TaxCatchAll" ma:showField="CatchAllData" ma:web="717ccf4b-b59a-4600-8941-e3113e3338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92BD2F-E55F-4C7D-A98D-79FF2DED87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B87026-4FBC-438F-95B7-BCBC0DE30BAE}">
  <ds:schemaRefs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79eaea71-09fe-4467-9f96-5226d6d4c6ef"/>
    <ds:schemaRef ds:uri="a85d746a-3823-4c81-a9c2-48b12b867147"/>
  </ds:schemaRefs>
</ds:datastoreItem>
</file>

<file path=customXml/itemProps3.xml><?xml version="1.0" encoding="utf-8"?>
<ds:datastoreItem xmlns:ds="http://schemas.openxmlformats.org/officeDocument/2006/customXml" ds:itemID="{BDE39207-0E50-4568-885C-FEACAD5360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P1. RD-1 to HP-RES</vt:lpstr>
      <vt:lpstr>P2. RD-2 to HP-RES</vt:lpstr>
      <vt:lpstr>P3. R3 with HP-RES</vt:lpstr>
      <vt:lpstr>P4. R4 with HP-RES</vt:lpstr>
      <vt:lpstr>'P1. RD-1 to HP-RES'!Print_Area</vt:lpstr>
      <vt:lpstr>'P2. RD-2 to HP-RES'!Print_Area</vt:lpstr>
      <vt:lpstr>'P3. R3 with HP-RES'!Print_Area</vt:lpstr>
      <vt:lpstr>'P4. R4 with HP-RES'!Print_Area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Greg Macias</dc:creator>
  <cp:keywords/>
  <dc:description/>
  <cp:lastModifiedBy>Asbury, Karen</cp:lastModifiedBy>
  <cp:revision/>
  <cp:lastPrinted>2024-01-05T18:42:48Z</cp:lastPrinted>
  <dcterms:created xsi:type="dcterms:W3CDTF">2023-12-18T23:27:38Z</dcterms:created>
  <dcterms:modified xsi:type="dcterms:W3CDTF">2024-01-05T18:44:20Z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0x010100BAC1FC13D8496949BFCCB7FF1ED14DC9</vt:lpwstr>
  </property>
  <property fmtid="{D5CDD505-2E9C-101B-9397-08002B2CF9AE}" pid="3" name="MediaServiceImageTags">
    <vt:lpwstr/>
  </property>
</Properties>
</file>