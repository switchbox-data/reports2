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Ngusnasndc002\radata1\2024 meco\Heat Pump Rate\"/>
    </mc:Choice>
  </mc:AlternateContent>
  <xr:revisionPtr revIDLastSave="0" documentId="13_ncr:1_{332A7B86-0804-4405-8794-401432FA9BB2}" xr6:coauthVersionLast="47" xr6:coauthVersionMax="47" xr10:uidLastSave="{00000000-0000-0000-0000-000000000000}"/>
  <bookViews>
    <workbookView xWindow="-19310" yWindow="1440" windowWidth="19420" windowHeight="10420" activeTab="1" xr2:uid="{D339B27C-ED58-42D5-9DAF-266AAA3B945D}"/>
  </bookViews>
  <sheets>
    <sheet name="NG-4 Page 1" sheetId="10" r:id="rId1"/>
    <sheet name="NG-4 Page 2" sheetId="11" r:id="rId2"/>
    <sheet name="Heat Pump Rate Design R1" sheetId="1" state="hidden" r:id="rId3"/>
    <sheet name="Heat Pump Rate Design R1 (2)" sheetId="4" state="hidden" r:id="rId4"/>
    <sheet name="Heat Pump Rate Design R1+R2" sheetId="3" state="hidden" r:id="rId5"/>
    <sheet name="Heat Pump Rate Design R1+R2 (2)" sheetId="5" state="hidden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Key1" hidden="1">#REF!</definedName>
    <definedName name="_NH12">[1]Market!#REF!</definedName>
    <definedName name="_NH2">[1]Market!#REF!</definedName>
    <definedName name="_NH3">[1]Market!#REF!</definedName>
    <definedName name="_NH5">[1]Market!#REF!</definedName>
    <definedName name="_NH6">[1]Market!#REF!</definedName>
    <definedName name="_NH7">[1]Market!#REF!</definedName>
    <definedName name="_NH8">[1]Market!#REF!</definedName>
    <definedName name="_NH9">[1]Market!#REF!</definedName>
    <definedName name="_Order1" hidden="1">255</definedName>
    <definedName name="_RI1">[1]Market!#REF!</definedName>
    <definedName name="_RI10">[1]Market!#REF!</definedName>
    <definedName name="_RI11">[1]Market!#REF!</definedName>
    <definedName name="_RI12">[1]Market!#REF!</definedName>
    <definedName name="_RI3">[1]Market!#REF!</definedName>
    <definedName name="_RI4">[1]Market!#REF!</definedName>
    <definedName name="_RI5">[1]Market!#REF!</definedName>
    <definedName name="_RI7">[1]Market!#REF!</definedName>
    <definedName name="_RI8">[1]Market!#REF!</definedName>
    <definedName name="_RI9">[1]Market!#REF!</definedName>
    <definedName name="_Sort" hidden="1">#REF!</definedName>
    <definedName name="Alloc0">[2]AllocFctr!$F$7</definedName>
    <definedName name="arClassOff">[2]Total!$7:$7</definedName>
    <definedName name="August_January_Basic_Service_Rate">'[3]Summary Bill Impacts'!$D$5</definedName>
    <definedName name="Delivery_Peak_Period_End">'[3]Summary Bill Impacts'!$D$7</definedName>
    <definedName name="Delivery_Peak_Period_Start">'[3]Summary Bill Impacts'!$D$6</definedName>
    <definedName name="February_July_Basic_Service_Rate">'[3]Summary Bill Impacts'!$D$4</definedName>
    <definedName name="ForecastError">'[4]NH Summary Ind'!#REF!</definedName>
    <definedName name="GranAvgLF">[4]NHLoads!$U$2</definedName>
    <definedName name="GranLrgLF">[4]NHLoads!$S$2</definedName>
    <definedName name="GranSmlLF">[4]NHLoads!$T$2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MassCLF">[4]MALoads!$AD$1</definedName>
    <definedName name="MidMonth2">[4]Data!$L$10</definedName>
    <definedName name="OnPeak">[5]Data!#REF!</definedName>
    <definedName name="_xlnm.Print_Area" localSheetId="2">'Heat Pump Rate Design R1'!$A$1:$G$42</definedName>
    <definedName name="_xlnm.Print_Area" localSheetId="3">'Heat Pump Rate Design R1 (2)'!$A$1:$G$41</definedName>
    <definedName name="_xlnm.Print_Area" localSheetId="4">'Heat Pump Rate Design R1+R2'!$A$1:$G$41</definedName>
    <definedName name="_xlnm.Print_Area" localSheetId="5">'Heat Pump Rate Design R1+R2 (2)'!$A$1:$G$41</definedName>
    <definedName name="_xlnm.Print_Area" localSheetId="0">'NG-4 Page 1'!$A$1:$O$68</definedName>
    <definedName name="_xlnm.Print_Area" localSheetId="1">'NG-4 Page 2'!$A$1:$J$61</definedName>
    <definedName name="Supply_Peak_Period_End">'[3]Summary Bill Impacts'!$D$9</definedName>
    <definedName name="Supply_Peak_Period_Start">'[3]Summary Bill Impacts'!$D$8</definedName>
    <definedName name="Title">[4]Data!$B$4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1" l="1"/>
  <c r="J29" i="11"/>
  <c r="C42" i="11"/>
  <c r="A37" i="11"/>
  <c r="A34" i="11"/>
  <c r="C32" i="11"/>
  <c r="C33" i="11" s="1"/>
  <c r="G20" i="11"/>
  <c r="C29" i="11"/>
  <c r="F28" i="11"/>
  <c r="E28" i="11"/>
  <c r="D28" i="11" s="1"/>
  <c r="F27" i="11"/>
  <c r="E27" i="11"/>
  <c r="G26" i="11"/>
  <c r="F26" i="11"/>
  <c r="E26" i="11"/>
  <c r="D26" i="11" s="1"/>
  <c r="G25" i="11"/>
  <c r="F25" i="11"/>
  <c r="E25" i="11"/>
  <c r="G24" i="11"/>
  <c r="F24" i="11"/>
  <c r="E24" i="11"/>
  <c r="D24" i="11"/>
  <c r="G23" i="11"/>
  <c r="F23" i="11"/>
  <c r="E23" i="11"/>
  <c r="D23" i="11" s="1"/>
  <c r="G22" i="11"/>
  <c r="F22" i="11"/>
  <c r="E22" i="11"/>
  <c r="D22" i="11" s="1"/>
  <c r="G21" i="11"/>
  <c r="F21" i="11"/>
  <c r="E21" i="11"/>
  <c r="D21" i="11" s="1"/>
  <c r="F20" i="11"/>
  <c r="E20" i="11"/>
  <c r="F19" i="11"/>
  <c r="E19" i="11"/>
  <c r="D19" i="11" s="1"/>
  <c r="F18" i="11"/>
  <c r="E18" i="11"/>
  <c r="D18" i="11"/>
  <c r="F17" i="11"/>
  <c r="E17" i="11"/>
  <c r="A15" i="11"/>
  <c r="A11" i="11"/>
  <c r="D27" i="11" l="1"/>
  <c r="D25" i="11"/>
  <c r="E29" i="11"/>
  <c r="D17" i="11"/>
  <c r="G18" i="11"/>
  <c r="D20" i="11"/>
  <c r="C40" i="11"/>
  <c r="C35" i="11"/>
  <c r="F29" i="11"/>
  <c r="A12" i="11"/>
  <c r="A13" i="11" s="1"/>
  <c r="G27" i="11"/>
  <c r="G19" i="11"/>
  <c r="G28" i="11"/>
  <c r="D29" i="11" l="1"/>
  <c r="A14" i="11"/>
  <c r="G17" i="11"/>
  <c r="A16" i="11" l="1"/>
  <c r="G29" i="11"/>
  <c r="C41" i="11"/>
  <c r="C43" i="11" s="1"/>
  <c r="A17" i="11" l="1"/>
  <c r="A18" i="11" l="1"/>
  <c r="A19" i="11" s="1"/>
  <c r="A20" i="11" l="1"/>
  <c r="A21" i="11" s="1"/>
  <c r="A22" i="11" l="1"/>
  <c r="A23" i="11" l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5" i="11" s="1"/>
  <c r="A36" i="11" s="1"/>
  <c r="A38" i="11" s="1"/>
  <c r="A39" i="11" s="1"/>
  <c r="A40" i="11" s="1"/>
  <c r="A41" i="11" s="1"/>
  <c r="A42" i="11" s="1"/>
  <c r="A43" i="11" s="1"/>
  <c r="E17" i="10" l="1"/>
  <c r="C35" i="10"/>
  <c r="M30" i="1" l="1"/>
  <c r="L30" i="1"/>
  <c r="O18" i="10"/>
  <c r="O28" i="10"/>
  <c r="O27" i="10"/>
  <c r="O19" i="10"/>
  <c r="O20" i="10"/>
  <c r="O17" i="10"/>
  <c r="G17" i="10" s="1"/>
  <c r="C42" i="10"/>
  <c r="C40" i="10"/>
  <c r="A37" i="10"/>
  <c r="A34" i="10"/>
  <c r="C32" i="10"/>
  <c r="C33" i="10" s="1"/>
  <c r="K30" i="10"/>
  <c r="C29" i="10"/>
  <c r="F28" i="10"/>
  <c r="E28" i="10"/>
  <c r="D28" i="10"/>
  <c r="F27" i="10"/>
  <c r="E27" i="10"/>
  <c r="D27" i="10"/>
  <c r="G26" i="10"/>
  <c r="F26" i="10"/>
  <c r="E26" i="10"/>
  <c r="D26" i="10" s="1"/>
  <c r="G25" i="10"/>
  <c r="F25" i="10"/>
  <c r="E25" i="10"/>
  <c r="D25" i="10" s="1"/>
  <c r="G24" i="10"/>
  <c r="F24" i="10"/>
  <c r="E24" i="10"/>
  <c r="D24" i="10"/>
  <c r="G23" i="10"/>
  <c r="F23" i="10"/>
  <c r="E23" i="10"/>
  <c r="D23" i="10" s="1"/>
  <c r="G22" i="10"/>
  <c r="F22" i="10"/>
  <c r="E22" i="10"/>
  <c r="D22" i="10" s="1"/>
  <c r="G21" i="10"/>
  <c r="F21" i="10"/>
  <c r="E21" i="10"/>
  <c r="D21" i="10"/>
  <c r="F20" i="10"/>
  <c r="E20" i="10"/>
  <c r="D20" i="10"/>
  <c r="F19" i="10"/>
  <c r="E19" i="10"/>
  <c r="D19" i="10"/>
  <c r="K18" i="10"/>
  <c r="N18" i="10" s="1"/>
  <c r="F18" i="10"/>
  <c r="E18" i="10"/>
  <c r="D18" i="10"/>
  <c r="F17" i="10"/>
  <c r="F29" i="10" s="1"/>
  <c r="D17" i="10"/>
  <c r="A15" i="10"/>
  <c r="A11" i="10"/>
  <c r="S17" i="1"/>
  <c r="S30" i="1" s="1"/>
  <c r="S18" i="1"/>
  <c r="S19" i="1"/>
  <c r="S20" i="1"/>
  <c r="S27" i="1"/>
  <c r="S28" i="1"/>
  <c r="R28" i="1"/>
  <c r="R27" i="1"/>
  <c r="R20" i="1"/>
  <c r="R19" i="1"/>
  <c r="R18" i="1"/>
  <c r="R17" i="1"/>
  <c r="R30" i="1" s="1"/>
  <c r="C40" i="1"/>
  <c r="K30" i="1"/>
  <c r="A29" i="1"/>
  <c r="D18" i="1"/>
  <c r="D19" i="1"/>
  <c r="D20" i="1"/>
  <c r="D21" i="1"/>
  <c r="D22" i="1"/>
  <c r="D23" i="1"/>
  <c r="D24" i="1"/>
  <c r="D25" i="1"/>
  <c r="D26" i="1"/>
  <c r="D27" i="1"/>
  <c r="D28" i="1"/>
  <c r="D17" i="1"/>
  <c r="G18" i="10" l="1"/>
  <c r="D29" i="10"/>
  <c r="K27" i="10"/>
  <c r="N27" i="10" s="1"/>
  <c r="G27" i="10" s="1"/>
  <c r="K17" i="10"/>
  <c r="N17" i="10" s="1"/>
  <c r="K20" i="10"/>
  <c r="N20" i="10" s="1"/>
  <c r="G20" i="10" s="1"/>
  <c r="K28" i="10"/>
  <c r="N28" i="10" s="1"/>
  <c r="G28" i="10" s="1"/>
  <c r="A12" i="10"/>
  <c r="E29" i="10"/>
  <c r="A13" i="10"/>
  <c r="A14" i="10"/>
  <c r="K19" i="10"/>
  <c r="N19" i="10" s="1"/>
  <c r="G19" i="10" s="1"/>
  <c r="A30" i="1"/>
  <c r="C42" i="1"/>
  <c r="O29" i="10" l="1"/>
  <c r="G29" i="10"/>
  <c r="A16" i="10"/>
  <c r="A17" i="10" l="1"/>
  <c r="A18" i="10"/>
  <c r="C36" i="10"/>
  <c r="C41" i="10" s="1"/>
  <c r="C43" i="10" s="1"/>
  <c r="A19" i="10"/>
  <c r="A20" i="10" l="1"/>
  <c r="A22" i="10" s="1"/>
  <c r="A21" i="10"/>
  <c r="A23" i="10" l="1"/>
  <c r="A24" i="10"/>
  <c r="C41" i="4"/>
  <c r="C41" i="5"/>
  <c r="A36" i="5"/>
  <c r="A33" i="5"/>
  <c r="C31" i="5"/>
  <c r="C32" i="5" s="1"/>
  <c r="K29" i="5"/>
  <c r="K17" i="5" s="1"/>
  <c r="N17" i="5" s="1"/>
  <c r="O17" i="5" s="1"/>
  <c r="G17" i="5" s="1"/>
  <c r="H17" i="5" s="1"/>
  <c r="A29" i="5"/>
  <c r="D28" i="5"/>
  <c r="C28" i="5"/>
  <c r="A28" i="5"/>
  <c r="F27" i="5"/>
  <c r="E27" i="5"/>
  <c r="D27" i="5"/>
  <c r="F26" i="5"/>
  <c r="E26" i="5"/>
  <c r="D26" i="5"/>
  <c r="G25" i="5"/>
  <c r="F25" i="5"/>
  <c r="E25" i="5"/>
  <c r="D25" i="5"/>
  <c r="G24" i="5"/>
  <c r="F24" i="5"/>
  <c r="E24" i="5"/>
  <c r="D24" i="5"/>
  <c r="G23" i="5"/>
  <c r="F23" i="5"/>
  <c r="E23" i="5"/>
  <c r="D23" i="5"/>
  <c r="G22" i="5"/>
  <c r="F22" i="5"/>
  <c r="E22" i="5"/>
  <c r="D22" i="5"/>
  <c r="G21" i="5"/>
  <c r="F21" i="5"/>
  <c r="E21" i="5"/>
  <c r="D21" i="5"/>
  <c r="G20" i="5"/>
  <c r="F20" i="5"/>
  <c r="E20" i="5"/>
  <c r="D20" i="5"/>
  <c r="K19" i="5"/>
  <c r="N19" i="5" s="1"/>
  <c r="O19" i="5" s="1"/>
  <c r="G19" i="5" s="1"/>
  <c r="H19" i="5" s="1"/>
  <c r="F19" i="5"/>
  <c r="E19" i="5"/>
  <c r="D19" i="5"/>
  <c r="F18" i="5"/>
  <c r="E18" i="5"/>
  <c r="D18" i="5"/>
  <c r="F17" i="5"/>
  <c r="E17" i="5"/>
  <c r="D17" i="5"/>
  <c r="K16" i="5"/>
  <c r="N16" i="5" s="1"/>
  <c r="O16" i="5" s="1"/>
  <c r="F16" i="5"/>
  <c r="F28" i="5" s="1"/>
  <c r="E16" i="5"/>
  <c r="D16" i="5"/>
  <c r="A14" i="5"/>
  <c r="A10" i="5"/>
  <c r="A43" i="4"/>
  <c r="A42" i="4"/>
  <c r="A36" i="4"/>
  <c r="A33" i="4"/>
  <c r="C31" i="4"/>
  <c r="C32" i="4" s="1"/>
  <c r="M29" i="4"/>
  <c r="L29" i="4"/>
  <c r="K29" i="4"/>
  <c r="K26" i="4" s="1"/>
  <c r="N26" i="4" s="1"/>
  <c r="O26" i="4" s="1"/>
  <c r="G26" i="4" s="1"/>
  <c r="H26" i="4" s="1"/>
  <c r="A29" i="4"/>
  <c r="C28" i="4"/>
  <c r="A28" i="4"/>
  <c r="F27" i="4"/>
  <c r="E27" i="4"/>
  <c r="D27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20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A14" i="4"/>
  <c r="A10" i="4"/>
  <c r="A25" i="10" l="1"/>
  <c r="A26" i="10"/>
  <c r="C34" i="5"/>
  <c r="E28" i="4"/>
  <c r="D28" i="4"/>
  <c r="F28" i="4"/>
  <c r="K16" i="4"/>
  <c r="N16" i="4" s="1"/>
  <c r="O16" i="4" s="1"/>
  <c r="G16" i="4" s="1"/>
  <c r="K19" i="4"/>
  <c r="N19" i="4" s="1"/>
  <c r="O19" i="4" s="1"/>
  <c r="G19" i="4" s="1"/>
  <c r="H19" i="4" s="1"/>
  <c r="C34" i="4"/>
  <c r="G16" i="5"/>
  <c r="E28" i="5"/>
  <c r="K26" i="5"/>
  <c r="N26" i="5" s="1"/>
  <c r="O26" i="5" s="1"/>
  <c r="G26" i="5" s="1"/>
  <c r="H26" i="5" s="1"/>
  <c r="A12" i="5"/>
  <c r="A13" i="5" s="1"/>
  <c r="K18" i="5"/>
  <c r="N18" i="5" s="1"/>
  <c r="O18" i="5" s="1"/>
  <c r="G18" i="5" s="1"/>
  <c r="H18" i="5" s="1"/>
  <c r="C39" i="5"/>
  <c r="A11" i="5"/>
  <c r="K27" i="5"/>
  <c r="N27" i="5" s="1"/>
  <c r="O27" i="5" s="1"/>
  <c r="G27" i="5" s="1"/>
  <c r="H27" i="5" s="1"/>
  <c r="A11" i="4"/>
  <c r="A12" i="4"/>
  <c r="A13" i="4" s="1"/>
  <c r="K18" i="4"/>
  <c r="N18" i="4" s="1"/>
  <c r="O18" i="4" s="1"/>
  <c r="G18" i="4" s="1"/>
  <c r="H18" i="4" s="1"/>
  <c r="K27" i="4"/>
  <c r="N27" i="4" s="1"/>
  <c r="O27" i="4" s="1"/>
  <c r="G27" i="4" s="1"/>
  <c r="H27" i="4" s="1"/>
  <c r="C39" i="4"/>
  <c r="K17" i="4"/>
  <c r="N17" i="4" s="1"/>
  <c r="O17" i="4" s="1"/>
  <c r="G17" i="4" s="1"/>
  <c r="H17" i="4" s="1"/>
  <c r="A27" i="10" l="1"/>
  <c r="A28" i="10" s="1"/>
  <c r="A29" i="10" s="1"/>
  <c r="A30" i="10" s="1"/>
  <c r="A31" i="10" s="1"/>
  <c r="A32" i="10" s="1"/>
  <c r="A33" i="10" s="1"/>
  <c r="A35" i="10" s="1"/>
  <c r="A36" i="10" s="1"/>
  <c r="A38" i="10" s="1"/>
  <c r="A39" i="10" s="1"/>
  <c r="A40" i="10" s="1"/>
  <c r="A41" i="10" s="1"/>
  <c r="A42" i="10" s="1"/>
  <c r="C35" i="4"/>
  <c r="C40" i="4" s="1"/>
  <c r="C42" i="4" s="1"/>
  <c r="G28" i="5"/>
  <c r="H16" i="5"/>
  <c r="H28" i="5" s="1"/>
  <c r="C35" i="5"/>
  <c r="C40" i="5" s="1"/>
  <c r="O28" i="5"/>
  <c r="A15" i="5"/>
  <c r="A15" i="4"/>
  <c r="H16" i="4"/>
  <c r="H28" i="4" s="1"/>
  <c r="G28" i="4"/>
  <c r="O28" i="4"/>
  <c r="A43" i="10" l="1"/>
  <c r="A16" i="5"/>
  <c r="A16" i="4"/>
  <c r="A17" i="5" l="1"/>
  <c r="A17" i="4"/>
  <c r="A18" i="4"/>
  <c r="A19" i="4" s="1"/>
  <c r="A18" i="5" l="1"/>
  <c r="A20" i="4"/>
  <c r="A19" i="5" l="1"/>
  <c r="A21" i="4"/>
  <c r="A22" i="4"/>
  <c r="A23" i="4" s="1"/>
  <c r="A20" i="5" l="1"/>
  <c r="A24" i="4"/>
  <c r="A25" i="4"/>
  <c r="A26" i="4" s="1"/>
  <c r="A21" i="5" l="1"/>
  <c r="A27" i="4"/>
  <c r="A30" i="4" s="1"/>
  <c r="A31" i="4" s="1"/>
  <c r="A32" i="4" s="1"/>
  <c r="A34" i="4" s="1"/>
  <c r="A35" i="4" s="1"/>
  <c r="A37" i="4" s="1"/>
  <c r="A38" i="4" s="1"/>
  <c r="A39" i="4" s="1"/>
  <c r="A40" i="4" s="1"/>
  <c r="A41" i="4" s="1"/>
  <c r="A22" i="5" l="1"/>
  <c r="A23" i="5" s="1"/>
  <c r="A24" i="5" s="1"/>
  <c r="A25" i="5" s="1"/>
  <c r="A26" i="5" s="1"/>
  <c r="A27" i="5" s="1"/>
  <c r="A30" i="5" s="1"/>
  <c r="A31" i="5" s="1"/>
  <c r="A32" i="5" s="1"/>
  <c r="A34" i="5" s="1"/>
  <c r="A35" i="5" s="1"/>
  <c r="A37" i="5" s="1"/>
  <c r="A38" i="5" s="1"/>
  <c r="A39" i="5" s="1"/>
  <c r="A40" i="5" s="1"/>
  <c r="A41" i="5" s="1"/>
  <c r="A43" i="3" l="1"/>
  <c r="A42" i="3"/>
  <c r="C41" i="3"/>
  <c r="A36" i="3"/>
  <c r="A33" i="3"/>
  <c r="C32" i="3"/>
  <c r="C31" i="3"/>
  <c r="C39" i="3" s="1"/>
  <c r="K29" i="3"/>
  <c r="A29" i="3"/>
  <c r="C28" i="3"/>
  <c r="A28" i="3"/>
  <c r="K27" i="3"/>
  <c r="N27" i="3" s="1"/>
  <c r="O27" i="3" s="1"/>
  <c r="G27" i="3" s="1"/>
  <c r="H27" i="3" s="1"/>
  <c r="F27" i="3"/>
  <c r="E27" i="3"/>
  <c r="D27" i="3"/>
  <c r="K26" i="3"/>
  <c r="N26" i="3" s="1"/>
  <c r="O26" i="3" s="1"/>
  <c r="G26" i="3" s="1"/>
  <c r="H26" i="3" s="1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K19" i="3"/>
  <c r="N19" i="3" s="1"/>
  <c r="O19" i="3" s="1"/>
  <c r="F19" i="3"/>
  <c r="E19" i="3"/>
  <c r="D19" i="3"/>
  <c r="N18" i="3"/>
  <c r="O18" i="3" s="1"/>
  <c r="G18" i="3" s="1"/>
  <c r="H18" i="3" s="1"/>
  <c r="K18" i="3"/>
  <c r="F18" i="3"/>
  <c r="E18" i="3"/>
  <c r="D18" i="3"/>
  <c r="K17" i="3"/>
  <c r="N17" i="3" s="1"/>
  <c r="O17" i="3" s="1"/>
  <c r="F17" i="3"/>
  <c r="E17" i="3"/>
  <c r="D17" i="3"/>
  <c r="K16" i="3"/>
  <c r="N16" i="3" s="1"/>
  <c r="O16" i="3" s="1"/>
  <c r="G16" i="3" s="1"/>
  <c r="F16" i="3"/>
  <c r="E16" i="3"/>
  <c r="D16" i="3"/>
  <c r="A14" i="3"/>
  <c r="A10" i="3"/>
  <c r="C29" i="1"/>
  <c r="F28" i="3" l="1"/>
  <c r="G17" i="3"/>
  <c r="H17" i="3" s="1"/>
  <c r="G19" i="3"/>
  <c r="H19" i="3" s="1"/>
  <c r="D28" i="3"/>
  <c r="C34" i="3"/>
  <c r="C35" i="3" s="1"/>
  <c r="C40" i="3" s="1"/>
  <c r="E28" i="3"/>
  <c r="O28" i="3"/>
  <c r="A11" i="3"/>
  <c r="A12" i="3" s="1"/>
  <c r="C42" i="3" l="1"/>
  <c r="G28" i="3"/>
  <c r="H16" i="3"/>
  <c r="H28" i="3" s="1"/>
  <c r="A13" i="3"/>
  <c r="A15" i="3" l="1"/>
  <c r="A16" i="3" s="1"/>
  <c r="A17" i="3" l="1"/>
  <c r="A18" i="3" s="1"/>
  <c r="A19" i="3" l="1"/>
  <c r="A20" i="3" l="1"/>
  <c r="A21" i="3" l="1"/>
  <c r="A22" i="3" s="1"/>
  <c r="A23" i="3" s="1"/>
  <c r="A24" i="3" s="1"/>
  <c r="A25" i="3" s="1"/>
  <c r="A26" i="3" s="1"/>
  <c r="A27" i="3" s="1"/>
  <c r="A30" i="3" s="1"/>
  <c r="A31" i="3" s="1"/>
  <c r="A32" i="3" s="1"/>
  <c r="A34" i="3" s="1"/>
  <c r="A35" i="3" s="1"/>
  <c r="A37" i="3" s="1"/>
  <c r="A38" i="3" s="1"/>
  <c r="A39" i="3" s="1"/>
  <c r="A40" i="3" s="1"/>
  <c r="A41" i="3" s="1"/>
  <c r="K17" i="1" l="1"/>
  <c r="N17" i="1" s="1"/>
  <c r="O17" i="1" s="1"/>
  <c r="K27" i="1" l="1"/>
  <c r="K18" i="1" l="1"/>
  <c r="K20" i="1"/>
  <c r="C32" i="1" l="1"/>
  <c r="A37" i="1" l="1"/>
  <c r="A34" i="1"/>
  <c r="C33" i="1"/>
  <c r="K28" i="1"/>
  <c r="N28" i="1" s="1"/>
  <c r="O28" i="1" s="1"/>
  <c r="F28" i="1"/>
  <c r="N27" i="1"/>
  <c r="O27" i="1" s="1"/>
  <c r="F27" i="1"/>
  <c r="F26" i="1"/>
  <c r="F25" i="1"/>
  <c r="F24" i="1"/>
  <c r="F23" i="1"/>
  <c r="F22" i="1"/>
  <c r="F21" i="1"/>
  <c r="N20" i="1"/>
  <c r="O20" i="1" s="1"/>
  <c r="F20" i="1"/>
  <c r="K19" i="1"/>
  <c r="N19" i="1" s="1"/>
  <c r="O19" i="1" s="1"/>
  <c r="F19" i="1"/>
  <c r="N18" i="1"/>
  <c r="O18" i="1" s="1"/>
  <c r="F18" i="1"/>
  <c r="F17" i="1"/>
  <c r="A15" i="1"/>
  <c r="A12" i="1"/>
  <c r="A11" i="1"/>
  <c r="F29" i="1" l="1"/>
  <c r="O29" i="1"/>
  <c r="A13" i="1"/>
  <c r="A14" i="1" l="1"/>
  <c r="A16" i="1" s="1"/>
  <c r="A17" i="1" l="1"/>
  <c r="A18" i="1" l="1"/>
  <c r="A19" i="1" l="1"/>
  <c r="A20" i="1" l="1"/>
  <c r="A21" i="1" l="1"/>
  <c r="A22" i="1" s="1"/>
  <c r="A23" i="1" s="1"/>
  <c r="A24" i="1" s="1"/>
  <c r="A25" i="1" s="1"/>
  <c r="A26" i="1" s="1"/>
  <c r="A27" i="1" l="1"/>
  <c r="A28" i="1" s="1"/>
  <c r="A31" i="1" s="1"/>
  <c r="A32" i="1" l="1"/>
  <c r="A33" i="1" s="1"/>
  <c r="A35" i="1" s="1"/>
  <c r="A36" i="1" s="1"/>
  <c r="A38" i="1" s="1"/>
  <c r="A39" i="1" s="1"/>
  <c r="G28" i="1"/>
  <c r="E28" i="1"/>
  <c r="E23" i="1"/>
  <c r="G23" i="1"/>
  <c r="G26" i="1"/>
  <c r="E26" i="1"/>
  <c r="G24" i="1"/>
  <c r="E24" i="1"/>
  <c r="G21" i="1"/>
  <c r="E21" i="1"/>
  <c r="G22" i="1"/>
  <c r="E22" i="1"/>
  <c r="G25" i="1"/>
  <c r="E25" i="1"/>
  <c r="A40" i="1" l="1"/>
  <c r="A41" i="1" s="1"/>
  <c r="A42" i="1" s="1"/>
  <c r="A43" i="1"/>
  <c r="G19" i="1"/>
  <c r="E19" i="1"/>
  <c r="G17" i="1"/>
  <c r="E17" i="1"/>
  <c r="G20" i="1"/>
  <c r="E20" i="1"/>
  <c r="E27" i="1"/>
  <c r="G27" i="1"/>
  <c r="G18" i="1"/>
  <c r="E18" i="1"/>
  <c r="D29" i="1" l="1"/>
  <c r="E29" i="1"/>
  <c r="C35" i="1"/>
  <c r="C36" i="1" s="1"/>
  <c r="C41" i="1" s="1"/>
  <c r="C43" i="1" s="1"/>
  <c r="G29" i="1"/>
</calcChain>
</file>

<file path=xl/sharedStrings.xml><?xml version="1.0" encoding="utf-8"?>
<sst xmlns="http://schemas.openxmlformats.org/spreadsheetml/2006/main" count="368" uniqueCount="108">
  <si>
    <t>Residential Heat Pump Rate Design</t>
  </si>
  <si>
    <t>Line</t>
  </si>
  <si>
    <t>Assumptions:</t>
  </si>
  <si>
    <t>RD-1: Residential</t>
  </si>
  <si>
    <t>Proposed Rate</t>
  </si>
  <si>
    <t>Customer Charge</t>
  </si>
  <si>
    <t>Distribution Charge</t>
  </si>
  <si>
    <t>Average Monthly UPC</t>
  </si>
  <si>
    <t>Cost Recovery per Month</t>
  </si>
  <si>
    <t>Fixed Cost Recovery in Volumetric Rate</t>
  </si>
  <si>
    <t>Fixed Cost Recovery in Fixed Charge</t>
  </si>
  <si>
    <t>Avg. Monthly Use with Heat Pump (kWh)</t>
  </si>
  <si>
    <t>Therms (Heating Load)</t>
  </si>
  <si>
    <t xml:space="preserve">kWh Conversion </t>
  </si>
  <si>
    <t>kWh Usage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</si>
  <si>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</si>
  <si>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</si>
  <si>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</si>
  <si>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</si>
  <si>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</si>
  <si>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</si>
  <si>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</si>
  <si>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</si>
  <si>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</si>
  <si>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</si>
  <si>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</si>
  <si>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</si>
  <si>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Summer Base Load</t>
  </si>
  <si>
    <t>Derrivation of Heat Pump Rate</t>
  </si>
  <si>
    <t>Therm to kWH Factor</t>
  </si>
  <si>
    <t xml:space="preserve">Customer Charge Revenue </t>
  </si>
  <si>
    <t>Winter Volumetric Charge Revenue</t>
  </si>
  <si>
    <t>per customer, November through April</t>
  </si>
  <si>
    <t>Volumetric Fixed Cost Recovery Charge</t>
  </si>
  <si>
    <t>Line 21 divided by Heat Pump kWh for Nov. through Apr.</t>
  </si>
  <si>
    <t>Results</t>
  </si>
  <si>
    <t>HP-RES: Residential Heat Pump Service</t>
  </si>
  <si>
    <t>Distribution Charge - Winter</t>
  </si>
  <si>
    <t>Distribution Charge - Summer</t>
  </si>
  <si>
    <t>Massachusetts Electric Company</t>
  </si>
  <si>
    <t>Nantucket Electric Company</t>
  </si>
  <si>
    <t>d/b/a National Grid</t>
  </si>
  <si>
    <t>(1) Workpaper NG-PP-3 (REV-2) page 2, line 2 (a)-(l) ÷ line 1 (a)-(l)</t>
  </si>
  <si>
    <t>Winter Multiplier</t>
  </si>
  <si>
    <t>R-1 Average Monthly Use (1)</t>
  </si>
  <si>
    <t>R-1/R-2 Average Monthly Use (1)</t>
  </si>
  <si>
    <t>(2) Internal Reports</t>
  </si>
  <si>
    <t>(3) Internal Reports</t>
  </si>
  <si>
    <t>Normal Therm UPC (2)</t>
  </si>
  <si>
    <t>Avg. Temp. (3)</t>
  </si>
  <si>
    <t>Avg. Temp COP (4)</t>
  </si>
  <si>
    <t>(4) Internal Reports</t>
  </si>
  <si>
    <t>Exhibit NG-4</t>
  </si>
  <si>
    <t>D.P.U 23-150</t>
  </si>
  <si>
    <t>R-1: Residential</t>
  </si>
  <si>
    <t>R-1 Average Monthly Use (a)</t>
  </si>
  <si>
    <t>Cost Recovery per Month
(b)</t>
  </si>
  <si>
    <t>Fixed Cost Recovery in Fixed Charge
(d)</t>
  </si>
  <si>
    <t>Fixed Cost Recovery in Volumetric Rate
(c)</t>
  </si>
  <si>
    <t>Avg. Monthly Use with Heat Pump (kWh)
(e)</t>
  </si>
  <si>
    <t>Normal Therm UPC 
(f)</t>
  </si>
  <si>
    <t>Therms (Heating Load)
(g)</t>
  </si>
  <si>
    <t>Avg. Temp. 
(h)</t>
  </si>
  <si>
    <t>Avg. Temp COP 
(i)</t>
  </si>
  <si>
    <t>kWh Conversion 
(j)</t>
  </si>
  <si>
    <t>kWh Usage
(k)</t>
  </si>
  <si>
    <t>Line (3)</t>
  </si>
  <si>
    <t>Line (4)</t>
  </si>
  <si>
    <t>Column (b) = Column (c) + Column (d)</t>
  </si>
  <si>
    <t>Column (c) = Column (a) X Line (4)</t>
  </si>
  <si>
    <t>Column (f) Internal Records</t>
  </si>
  <si>
    <t>Column (h) Internal Reports</t>
  </si>
  <si>
    <t>Column (i) Internal Reports</t>
  </si>
  <si>
    <t>Column (a) Lines (6)-(17): Workpaper NG-PP-3 (REV-2) page 2, line 2 (a)-(l) ÷ line 1 (a)-(l)</t>
  </si>
  <si>
    <t>Heat Pump Factor</t>
  </si>
  <si>
    <t>Line (22)= Line (21) X 12</t>
  </si>
  <si>
    <t>Column (d) =  Line (3)</t>
  </si>
  <si>
    <t>Column (e) = Column (a) + Column (k)</t>
  </si>
  <si>
    <t xml:space="preserve"> Column (g)= Column (f) -  Column (g) Line (19)</t>
  </si>
  <si>
    <t>Line (19) Column (g) = Average of Lines (11)-(14) Column (g)</t>
  </si>
  <si>
    <t>Line (20) Column (g): Therm to kWh conversion factor</t>
  </si>
  <si>
    <t xml:space="preserve">Column (j) =  Column (g) Lines (6)-(17)  X Column (g) Line (20) </t>
  </si>
  <si>
    <t>Column (k)=Column (j) / Column (i)</t>
  </si>
  <si>
    <t>Line (21)= Line (3)</t>
  </si>
  <si>
    <t>Line (23) = Sum of Column (c) November - April</t>
  </si>
  <si>
    <t>Line (18) = Sum of Lines (6) - (17)</t>
  </si>
  <si>
    <t>Line (24) = Line (23) / Sum (Column (e) for November - April)</t>
  </si>
  <si>
    <t>R-1-HP: Residential Heat Pump Service</t>
  </si>
  <si>
    <t>Line (27) = Line (21)</t>
  </si>
  <si>
    <t>Line (28) =  Line (24)</t>
  </si>
  <si>
    <t>Line (30) = Line (29) / Line (28)</t>
  </si>
  <si>
    <t>Line (29) = Line (4)</t>
  </si>
  <si>
    <t>Temp</t>
  </si>
  <si>
    <t>COP</t>
  </si>
  <si>
    <t>Line (3) M.D.P.U 1-25-A</t>
  </si>
  <si>
    <t>Line (4) M.D.P.U 1-25-A</t>
  </si>
  <si>
    <t>R-1 Average Monthly Use (kWh) (a)</t>
  </si>
  <si>
    <t>Column (f) Company Records for average gas customer usage</t>
  </si>
  <si>
    <t>Residential Heat Pump Rate Design (using Unitil's approach)</t>
  </si>
  <si>
    <t>Page 1 of 2</t>
  </si>
  <si>
    <t>Page 2 of 2</t>
  </si>
  <si>
    <t>Residential Heat Pump Rate Design (alternative approach)</t>
  </si>
  <si>
    <t>Column (e) = Column (a) + Column (f)</t>
  </si>
  <si>
    <t>Column (f) Heating Electrification Load Profile assumptions from the Company's Latest Electric Load Forecast</t>
  </si>
  <si>
    <t>Average Forecasted kWh Usage
(f)</t>
  </si>
  <si>
    <t>Column (h) Electrification Load Profile assumptions from the Company's Latest Electric Load Forecast</t>
  </si>
  <si>
    <t>Column (i)  Electrification Load Profile assumptions from the Company's Latest Electric Load Forecast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</si>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</sst>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0000_);_(&quot;$&quot;* \(#,##0.00000\);_(&quot;$&quot;* &quot;-&quot;??_);_(@_)"/>
    <numFmt numFmtId="166" formatCode="[$-409]mmm\-yy;@"/>
    <numFmt numFmtId="167" formatCode="_(* #,##0.0_);_(* \(#,##0.0\);_(* &quot;-&quot;??_);_(@_)"/>
    <numFmt numFmtId="168" formatCode="&quot;$&quot;#,##0.00000_);[Red]\(&quot;$&quot;#,##0.00000\)"/>
    <numFmt numFmtId="169" formatCode="_(&quot;$&quot;* #,##0.0000_);_(&quot;$&quot;* \(#,##0.0000\);_(&quot;$&quot;* &quot;-&quot;??_);_(@_)"/>
    <numFmt numFmtId="170" formatCode="0.000000"/>
    <numFmt numFmtId="171" formatCode="0.0"/>
    <numFmt numFmtId="172" formatCode="_(&quot;$&quot;* #,##0.0_);_(&quot;$&quot;* \(#,##0.0\);_(&quot;$&quot;* &quot;-&quot;??_);_(@_)"/>
  </numFmts>
  <fonts count="19" x14ac:knownFonts="1"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u val="singleAccounting"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</font>
    <font>
      <sz val="11"/>
      <name val="Times New Roman"/>
      <family val="1"/>
    </font>
    <font>
      <sz val="11"/>
      <color rgb="FFFF0000"/>
      <name val="Aptos Narrow"/>
      <family val="2"/>
      <scheme val="minor"/>
    </font>
    <font>
      <b/>
      <sz val="11"/>
      <name val="Times New Roman"/>
      <family val="1"/>
    </font>
    <font>
      <u val="singleAccounting"/>
      <sz val="11"/>
      <name val="Times New Roman"/>
      <family val="1"/>
    </font>
    <font>
      <b/>
      <u/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4" fillId="0" borderId="0"/>
    <xf numFmtId="0" fontId="6" fillId="0" borderId="0"/>
    <xf numFmtId="0" fontId="3" fillId="0" borderId="0"/>
    <xf numFmtId="170" fontId="4" fillId="0" borderId="0">
      <alignment horizontal="left" wrapText="1"/>
    </xf>
    <xf numFmtId="0" fontId="2" fillId="0" borderId="0"/>
    <xf numFmtId="0" fontId="2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85">
    <xf numFmtId="0" fontId="0" fillId="0" borderId="0" xfId="0"/>
    <xf numFmtId="37" fontId="5" fillId="2" borderId="0" xfId="3" applyNumberFormat="1" applyFont="1" applyFill="1"/>
    <xf numFmtId="0" fontId="7" fillId="0" borderId="0" xfId="0" applyFont="1"/>
    <xf numFmtId="0" fontId="5" fillId="0" borderId="0" xfId="3" applyFont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0" xfId="0" applyFont="1"/>
    <xf numFmtId="0" fontId="7" fillId="0" borderId="0" xfId="4" applyFont="1" applyAlignment="1">
      <alignment horizontal="left" indent="2"/>
    </xf>
    <xf numFmtId="44" fontId="7" fillId="0" borderId="0" xfId="0" applyNumberFormat="1" applyFont="1"/>
    <xf numFmtId="164" fontId="7" fillId="0" borderId="0" xfId="1" applyNumberFormat="1" applyFont="1" applyFill="1" applyBorder="1"/>
    <xf numFmtId="165" fontId="7" fillId="0" borderId="0" xfId="0" applyNumberFormat="1" applyFont="1"/>
    <xf numFmtId="164" fontId="7" fillId="0" borderId="0" xfId="2" applyNumberFormat="1" applyFont="1" applyFill="1" applyBorder="1"/>
    <xf numFmtId="0" fontId="5" fillId="0" borderId="1" xfId="0" applyFont="1" applyBorder="1"/>
    <xf numFmtId="0" fontId="7" fillId="0" borderId="1" xfId="0" applyFont="1" applyBorder="1" applyAlignment="1">
      <alignment horizontal="center" wrapText="1"/>
    </xf>
    <xf numFmtId="166" fontId="7" fillId="0" borderId="0" xfId="5" applyNumberFormat="1" applyFont="1"/>
    <xf numFmtId="43" fontId="7" fillId="0" borderId="0" xfId="1" applyFont="1" applyFill="1" applyBorder="1"/>
    <xf numFmtId="43" fontId="7" fillId="0" borderId="0" xfId="0" applyNumberFormat="1" applyFont="1"/>
    <xf numFmtId="43" fontId="7" fillId="0" borderId="0" xfId="1" applyFont="1"/>
    <xf numFmtId="167" fontId="7" fillId="0" borderId="0" xfId="1" applyNumberFormat="1" applyFont="1" applyFill="1"/>
    <xf numFmtId="44" fontId="7" fillId="0" borderId="1" xfId="0" applyNumberFormat="1" applyFont="1" applyBorder="1"/>
    <xf numFmtId="43" fontId="7" fillId="0" borderId="1" xfId="0" applyNumberFormat="1" applyFont="1" applyBorder="1"/>
    <xf numFmtId="43" fontId="7" fillId="0" borderId="1" xfId="1" applyFont="1" applyBorder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8" fontId="7" fillId="0" borderId="0" xfId="0" applyNumberFormat="1" applyFont="1"/>
    <xf numFmtId="168" fontId="7" fillId="0" borderId="0" xfId="0" applyNumberFormat="1" applyFont="1"/>
    <xf numFmtId="0" fontId="10" fillId="0" borderId="0" xfId="0" applyFont="1" applyAlignment="1">
      <alignment horizontal="center"/>
    </xf>
    <xf numFmtId="7" fontId="7" fillId="0" borderId="0" xfId="0" applyNumberFormat="1" applyFont="1" applyAlignment="1">
      <alignment horizontal="center"/>
    </xf>
    <xf numFmtId="0" fontId="11" fillId="0" borderId="0" xfId="0" applyFont="1"/>
    <xf numFmtId="167" fontId="7" fillId="0" borderId="0" xfId="0" applyNumberFormat="1" applyFont="1"/>
    <xf numFmtId="171" fontId="2" fillId="0" borderId="0" xfId="0" applyNumberFormat="1" applyFont="1"/>
    <xf numFmtId="0" fontId="7" fillId="0" borderId="0" xfId="0" applyFont="1" applyAlignment="1">
      <alignment horizontal="center" wrapText="1"/>
    </xf>
    <xf numFmtId="44" fontId="7" fillId="3" borderId="0" xfId="0" applyNumberFormat="1" applyFont="1" applyFill="1"/>
    <xf numFmtId="169" fontId="7" fillId="0" borderId="0" xfId="2" applyNumberFormat="1" applyFont="1" applyFill="1"/>
    <xf numFmtId="44" fontId="7" fillId="0" borderId="0" xfId="2" applyFont="1" applyFill="1"/>
    <xf numFmtId="169" fontId="7" fillId="0" borderId="0" xfId="2" applyNumberFormat="1" applyFont="1" applyFill="1" applyBorder="1"/>
    <xf numFmtId="44" fontId="7" fillId="0" borderId="0" xfId="2" applyFont="1" applyFill="1" applyBorder="1"/>
    <xf numFmtId="0" fontId="13" fillId="4" borderId="0" xfId="0" applyFont="1" applyFill="1"/>
    <xf numFmtId="2" fontId="7" fillId="0" borderId="0" xfId="0" applyNumberFormat="1" applyFont="1"/>
    <xf numFmtId="43" fontId="7" fillId="0" borderId="1" xfId="1" applyFont="1" applyFill="1" applyBorder="1"/>
    <xf numFmtId="171" fontId="7" fillId="0" borderId="0" xfId="0" applyNumberFormat="1" applyFont="1"/>
    <xf numFmtId="0" fontId="12" fillId="0" borderId="0" xfId="0" applyFont="1"/>
    <xf numFmtId="37" fontId="14" fillId="2" borderId="0" xfId="3" applyNumberFormat="1" applyFont="1" applyFill="1" applyAlignment="1">
      <alignment horizontal="right"/>
    </xf>
    <xf numFmtId="0" fontId="14" fillId="0" borderId="0" xfId="3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4" fillId="0" borderId="0" xfId="0" applyFont="1"/>
    <xf numFmtId="0" fontId="12" fillId="0" borderId="0" xfId="4" applyFont="1" applyAlignment="1">
      <alignment horizontal="left" indent="2"/>
    </xf>
    <xf numFmtId="44" fontId="12" fillId="0" borderId="0" xfId="0" applyNumberFormat="1" applyFont="1"/>
    <xf numFmtId="164" fontId="12" fillId="0" borderId="0" xfId="1" applyNumberFormat="1" applyFont="1" applyFill="1" applyBorder="1"/>
    <xf numFmtId="165" fontId="12" fillId="0" borderId="0" xfId="0" applyNumberFormat="1" applyFont="1"/>
    <xf numFmtId="164" fontId="12" fillId="0" borderId="0" xfId="2" applyNumberFormat="1" applyFont="1" applyFill="1" applyBorder="1"/>
    <xf numFmtId="0" fontId="14" fillId="0" borderId="1" xfId="0" applyFont="1" applyBorder="1"/>
    <xf numFmtId="0" fontId="12" fillId="3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66" fontId="12" fillId="0" borderId="0" xfId="5" applyNumberFormat="1" applyFont="1"/>
    <xf numFmtId="43" fontId="12" fillId="0" borderId="0" xfId="1" applyFont="1" applyFill="1" applyBorder="1"/>
    <xf numFmtId="43" fontId="12" fillId="0" borderId="0" xfId="0" applyNumberFormat="1" applyFont="1"/>
    <xf numFmtId="43" fontId="12" fillId="0" borderId="0" xfId="1" applyFont="1"/>
    <xf numFmtId="167" fontId="12" fillId="0" borderId="0" xfId="1" applyNumberFormat="1" applyFont="1" applyFill="1"/>
    <xf numFmtId="171" fontId="18" fillId="0" borderId="0" xfId="0" applyNumberFormat="1" applyFont="1"/>
    <xf numFmtId="171" fontId="12" fillId="0" borderId="0" xfId="0" applyNumberFormat="1" applyFont="1"/>
    <xf numFmtId="43" fontId="12" fillId="0" borderId="1" xfId="1" applyFont="1" applyFill="1" applyBorder="1"/>
    <xf numFmtId="44" fontId="12" fillId="0" borderId="1" xfId="0" applyNumberFormat="1" applyFont="1" applyBorder="1"/>
    <xf numFmtId="43" fontId="12" fillId="0" borderId="1" xfId="0" applyNumberFormat="1" applyFont="1" applyBorder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8" fontId="12" fillId="0" borderId="0" xfId="0" applyNumberFormat="1" applyFont="1"/>
    <xf numFmtId="168" fontId="12" fillId="0" borderId="0" xfId="0" applyNumberFormat="1" applyFont="1"/>
    <xf numFmtId="0" fontId="17" fillId="0" borderId="0" xfId="0" applyFont="1" applyAlignment="1">
      <alignment horizontal="center"/>
    </xf>
    <xf numFmtId="169" fontId="12" fillId="0" borderId="0" xfId="2" applyNumberFormat="1" applyFont="1" applyFill="1"/>
    <xf numFmtId="0" fontId="12" fillId="0" borderId="0" xfId="0" applyFont="1" applyAlignment="1">
      <alignment horizontal="center" wrapText="1"/>
    </xf>
    <xf numFmtId="44" fontId="12" fillId="0" borderId="0" xfId="2" applyFont="1" applyFill="1"/>
    <xf numFmtId="7" fontId="12" fillId="0" borderId="0" xfId="0" applyNumberFormat="1" applyFont="1" applyAlignment="1">
      <alignment horizontal="center"/>
    </xf>
    <xf numFmtId="44" fontId="12" fillId="3" borderId="0" xfId="0" applyNumberFormat="1" applyFont="1" applyFill="1"/>
    <xf numFmtId="43" fontId="12" fillId="0" borderId="1" xfId="1" applyFont="1" applyBorder="1"/>
    <xf numFmtId="0" fontId="12" fillId="0" borderId="0" xfId="0" applyFont="1" applyAlignment="1">
      <alignment horizontal="left" indent="2"/>
    </xf>
    <xf numFmtId="172" fontId="12" fillId="0" borderId="0" xfId="0" applyNumberFormat="1" applyFont="1"/>
  </cellXfs>
  <cellStyles count="15">
    <cellStyle name="Comma" xfId="1" builtinId="3"/>
    <cellStyle name="Comma 2" xfId="11" xr:uid="{8F41DF9E-2036-4761-B5D1-5AE69F6EE0A5}"/>
    <cellStyle name="Currency" xfId="2" builtinId="4"/>
    <cellStyle name="Normal" xfId="0" builtinId="0"/>
    <cellStyle name="Normal 116" xfId="6" xr:uid="{2CE62462-13A1-40C3-A8AF-2713C20FBB62}"/>
    <cellStyle name="Normal 2" xfId="3" xr:uid="{724DD5D5-4243-4C06-B3BF-E03CB5F9B245}"/>
    <cellStyle name="Normal 2 2" xfId="10" xr:uid="{7672B446-E411-4AEE-ACD4-84CA22A694A5}"/>
    <cellStyle name="Normal 2 6" xfId="4" xr:uid="{9720D4C6-4E13-48BF-9AF1-7BBB7A1A226B}"/>
    <cellStyle name="Normal 27" xfId="5" xr:uid="{E3688D74-C783-44A0-9D21-3F4471969F35}"/>
    <cellStyle name="Normal 27 2" xfId="7" xr:uid="{7CBA9CEA-F368-4392-A9DF-8EF1D1009A0E}"/>
    <cellStyle name="Normal 3" xfId="8" xr:uid="{0AF79FDA-B5D2-45B7-82D2-E9AAB0579B36}"/>
    <cellStyle name="Normal 3 2" xfId="9" xr:uid="{E77842CE-A337-4607-A38F-FBA7D49DB815}"/>
    <cellStyle name="Normal 3 3" xfId="14" xr:uid="{355C0F4A-DA0E-46A5-A293-409D7ABC922B}"/>
    <cellStyle name="Normal 4" xfId="13" xr:uid="{B1334628-EDA6-4EE3-816D-DB91907A5F9B}"/>
    <cellStyle name="Percent 2" xfId="12" xr:uid="{34AB446E-A167-4185-B3D1-C6ECD3EA3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21982</xdr:colOff>
      <xdr:row>13</xdr:row>
      <xdr:rowOff>0</xdr:rowOff>
    </xdr:from>
    <xdr:to>
      <xdr:col>29</xdr:col>
      <xdr:colOff>490790</xdr:colOff>
      <xdr:row>32</xdr:row>
      <xdr:rowOff>115832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80872-9343-4B14-B069-E6A95242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94442" y="2400300"/>
          <a:ext cx="8145958" cy="3956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21982</xdr:colOff>
      <xdr:row>13</xdr:row>
      <xdr:rowOff>0</xdr:rowOff>
    </xdr:from>
    <xdr:to>
      <xdr:col>29</xdr:col>
      <xdr:colOff>490790</xdr:colOff>
      <xdr:row>31</xdr:row>
      <xdr:rowOff>115832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2E3BC-AF7E-4E20-B156-57F24D99D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94442" y="2400300"/>
          <a:ext cx="8145958" cy="39563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21982</xdr:colOff>
      <xdr:row>13</xdr:row>
      <xdr:rowOff>0</xdr:rowOff>
    </xdr:from>
    <xdr:to>
      <xdr:col>29</xdr:col>
      <xdr:colOff>490790</xdr:colOff>
      <xdr:row>31</xdr:row>
      <xdr:rowOff>115832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68102-42E2-456E-A47E-C644F4FA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76382" y="2400300"/>
          <a:ext cx="8145958" cy="3956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Ruebenacker\RFP_2009_05_08%20(MA%20NH%20ICG)\FRS-NEv26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tionalgridplc.sharepoint.com/sites/GRP-INT-GLOBAL-US-Policy-and-Reg-Strategy/Shared%20Documents/Rate%20Design/2023-2024%20Rate%20Design%20Strategy%20Refresh/Data/Copy%20of%20MA-23%20ACOS_REV4._SHARE.xlsm" TargetMode="External"/><Relationship Id="rId1" Type="http://schemas.openxmlformats.org/officeDocument/2006/relationships/externalLinkPath" Target="https://nationalgridplc-my.sharepoint.com/sites/GRP-INT-GLOBAL-US-Policy-and-Reg-Strategy/Shared%20Documents/Rate%20Design/2023-2024%20Rate%20Design%20Strategy%20Refresh/Data/Copy%20of%20MA-23%20ACOS_REV4._SHARE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ationalgridplc.sharepoint.com/sites/GRP-INT-GLOBAL-US-Policy-and-Reg-Strategy/Shared%20Documents/Rate%20Design/2023-2024%20Rate%20Design%20Strategy%20Refresh/Quantitative%20Analysis/Innovative%20Rate%20Quantitative%20Analysis_updated_scaling%20v3.xlsx" TargetMode="External"/><Relationship Id="rId2" Type="http://schemas.microsoft.com/office/2019/04/relationships/externalLinkLongPath" Target="https://nationalgridplc-my.sharepoint.com/sites/GRP-INT-GLOBAL-US-Policy-and-Reg-Strategy/Shared%20Documents/Rate%20Design/2023-2024%20Rate%20Design%20Strategy%20Refresh/Quantitative%20Analysis/Innovative%20Rate%20Quantitative%20Analysis_updated_scaling%20v3.xlsx?CF0516AE" TargetMode="External"/><Relationship Id="rId1" Type="http://schemas.openxmlformats.org/officeDocument/2006/relationships/externalLinkPath" Target="file:///\\CF0516AE\Innovative%20Rate%20Quantitative%20Analysis_updated_scaling%20v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tion\RFPs\RFP%20Model\MA%20&amp;%20NH\RFP-2009_10_30_%20NGRID_DS_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istration\RFPs\RFP_2014_02_07%20(MA)\RFP-2014_02_07_%20NGRID_DS_RFP%20Model_M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s"/>
      <sheetName val="Summary1"/>
      <sheetName val="Summary2"/>
      <sheetName val="SummaryRI"/>
      <sheetName val="Compare"/>
      <sheetName val="RFP_Bids"/>
      <sheetName val="Market"/>
      <sheetName val="MARes"/>
      <sheetName val="MACom"/>
      <sheetName val="MAInd"/>
      <sheetName val="NH"/>
      <sheetName val="RI"/>
      <sheetName val="DataMR"/>
      <sheetName val="DataMC"/>
      <sheetName val="DataMI"/>
      <sheetName val="DataNHSm"/>
      <sheetName val="DataNHLg"/>
      <sheetName val="DataRIR"/>
      <sheetName val="DataRIC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um"/>
      <sheetName val="Functions"/>
      <sheetName val="Classify"/>
      <sheetName val="SubTDem"/>
      <sheetName val="PrimDem"/>
      <sheetName val="PrimCus"/>
      <sheetName val="SecnDem"/>
      <sheetName val="SecnCus"/>
      <sheetName val="BillCus"/>
      <sheetName val="SuppCom"/>
      <sheetName val="CompCus"/>
      <sheetName val="OpenCus"/>
      <sheetName val="Total"/>
      <sheetName val="FuncClass"/>
      <sheetName val="HVDP"/>
      <sheetName val="HVDT"/>
      <sheetName val="SL"/>
      <sheetName val="Assigned"/>
      <sheetName val="FuncFctr"/>
      <sheetName val="ClassFctr"/>
      <sheetName val="AllocFctr"/>
      <sheetName val="Registry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xecutive Summary"/>
      <sheetName val="Summary Bill Impacts"/>
      <sheetName val="Summary Bill Impacts_updated"/>
      <sheetName val="Bill Imp Rel to Current _update"/>
      <sheetName val="Bill Impact Relative to Current"/>
      <sheetName val="Graphs_updated"/>
      <sheetName val="Graphs"/>
      <sheetName val="Heat Pump Analysis"/>
      <sheetName val="Rate 0"/>
      <sheetName val="Rate 1"/>
      <sheetName val="Rate 2"/>
      <sheetName val="Rate 2B"/>
      <sheetName val="Rate 3"/>
      <sheetName val="Revenue Requirement -2018 ACOSS"/>
      <sheetName val="RR 23-150 ACOSS"/>
      <sheetName val="TOU Rate Design"/>
      <sheetName val="TOU Rate Design_update"/>
      <sheetName val="Residential Hourly Data"/>
      <sheetName val="Elec. Rate Cost Impact"/>
      <sheetName val="Customer Load Shapes"/>
      <sheetName val="R1R2 Total Usage"/>
      <sheetName val="Holidays"/>
      <sheetName val="MECO Delivery Rates"/>
      <sheetName val="MECO Supply Rates"/>
      <sheetName val="Scaling Inputs -&gt;"/>
      <sheetName val="Input Scaling"/>
      <sheetName val="Customer Load Shapes_2030"/>
      <sheetName val="Customer Load Shapes_2035"/>
    </sheetNames>
    <sheetDataSet>
      <sheetData sheetId="0"/>
      <sheetData sheetId="1">
        <row r="4">
          <cell r="D4">
            <v>0.18213000000000001</v>
          </cell>
        </row>
        <row r="5">
          <cell r="D5">
            <v>0.16055</v>
          </cell>
        </row>
        <row r="6">
          <cell r="D6">
            <v>15</v>
          </cell>
        </row>
        <row r="7">
          <cell r="D7">
            <v>19</v>
          </cell>
        </row>
        <row r="8">
          <cell r="D8">
            <v>14</v>
          </cell>
        </row>
        <row r="9">
          <cell r="D9">
            <v>21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4">
          <cell r="A64">
            <v>44197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 Process"/>
      <sheetName val="Bid Day"/>
      <sheetName val="Table of Contents"/>
      <sheetName val="Bidders"/>
      <sheetName val="Data"/>
      <sheetName val="PriceForecast"/>
      <sheetName val="Purchases "/>
      <sheetName val="IndicPriceFcst"/>
      <sheetName val="IndicBidder"/>
      <sheetName val="IndicBidsPTF"/>
      <sheetName val="IndicBidsRetail"/>
      <sheetName val="IndicRates"/>
      <sheetName val="FinalPriceFcst"/>
      <sheetName val="FinalBidder"/>
      <sheetName val="FinalBidsPTF"/>
      <sheetName val="FinalBidsRetail"/>
      <sheetName val="FinalRates"/>
      <sheetName val="FinalPurch"/>
      <sheetName val="Nucleus Input"/>
      <sheetName val="Bid Factor Input"/>
      <sheetName val="New Nucleus"/>
      <sheetName val="MALoads"/>
      <sheetName val="NHLoads"/>
      <sheetName val="RPS-RES"/>
      <sheetName val="Security"/>
      <sheetName val="NH Summary Ind"/>
      <sheetName val="NH Summary Final"/>
      <sheetName val="SEMA_NCPC"/>
      <sheetName val="MA RPS-APS"/>
      <sheetName val="NH-RPS Adder Calc"/>
      <sheetName val="Summary of IndicBids"/>
      <sheetName val="NH Exibit"/>
      <sheetName val="NH Exibit (2)"/>
      <sheetName val="Do Not Use"/>
      <sheetName val="Revision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 Process"/>
      <sheetName val="Data"/>
      <sheetName val="Bidders"/>
      <sheetName val="MA Loads Forecast"/>
      <sheetName val="MA Loads Confirms"/>
      <sheetName val="PriceFcst 6mos"/>
      <sheetName val="PriceFcst 3mos"/>
      <sheetName val="Purchases"/>
      <sheetName val="IndicBidder"/>
      <sheetName val="IndicPriceFcst 6mos"/>
      <sheetName val="IndicPriceFcst 3mos"/>
      <sheetName val="IndicPTF 6mos"/>
      <sheetName val="IndicPTF 3mos"/>
      <sheetName val="IndicRetail 6mos"/>
      <sheetName val="IndicRetail 3mos"/>
      <sheetName val="IndicRates 6mos"/>
      <sheetName val="IndicRates 3mos"/>
      <sheetName val="FinalBidder"/>
      <sheetName val="FinalPriceFcst 6mos"/>
      <sheetName val="FinalPriceFcst 3mos"/>
      <sheetName val="MJ"/>
      <sheetName val="FinalPTF 6mos"/>
      <sheetName val="FinalPTF 3mos"/>
      <sheetName val="FinalRetail 6mos"/>
      <sheetName val="FinalRetail 3mos"/>
      <sheetName val="FinalRates 6mos"/>
      <sheetName val="FinalRates 3mos"/>
      <sheetName val="FinalPurch 6mos"/>
      <sheetName val="FinalPurch 3mos"/>
      <sheetName val="Nucleus 3mos"/>
      <sheetName val="Allegro 3mos"/>
      <sheetName val="Nucleus 6mos"/>
      <sheetName val="Allegro 6mos"/>
      <sheetName val="Award 3mos"/>
      <sheetName val="Award 6mos"/>
      <sheetName val="Bid Premium"/>
      <sheetName val="Confirm 6mos"/>
      <sheetName val="Confirm 3mos"/>
      <sheetName val="RPS Comp"/>
      <sheetName val="MA RPS-A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5D0C-C041-4709-A2C5-EB759D2F4F35}">
  <dimension ref="A1:S68"/>
  <sheetViews>
    <sheetView showGridLines="0" view="pageBreakPreview" topLeftCell="A23" zoomScale="80" zoomScaleNormal="90" zoomScaleSheetLayoutView="80" workbookViewId="0">
      <selection activeCell="B50" sqref="B50"/>
    </sheetView>
  </sheetViews>
  <sheetFormatPr defaultColWidth="9.1171875" defaultRowHeight="14.1" x14ac:dyDescent="0.5"/>
  <cols>
    <col min="1" max="1" width="12.5859375" style="44" customWidth="1"/>
    <col min="2" max="2" width="36.29296875" style="44" bestFit="1" customWidth="1"/>
    <col min="3" max="3" width="13.703125" style="44" bestFit="1" customWidth="1"/>
    <col min="4" max="4" width="14" style="44" bestFit="1" customWidth="1"/>
    <col min="5" max="5" width="15.29296875" style="44" bestFit="1" customWidth="1"/>
    <col min="6" max="6" width="14.703125" style="44" customWidth="1"/>
    <col min="7" max="7" width="15.41015625" style="44" customWidth="1"/>
    <col min="8" max="8" width="10.703125" style="44" bestFit="1" customWidth="1"/>
    <col min="9" max="9" width="10.41015625" style="44" bestFit="1" customWidth="1"/>
    <col min="10" max="15" width="12.1171875" style="44" customWidth="1"/>
    <col min="16" max="16384" width="9.1171875" style="44"/>
  </cols>
  <sheetData>
    <row r="1" spans="1:15" x14ac:dyDescent="0.5">
      <c r="O1" s="45" t="s">
        <v>39</v>
      </c>
    </row>
    <row r="2" spans="1:15" x14ac:dyDescent="0.5">
      <c r="O2" s="45" t="s">
        <v>40</v>
      </c>
    </row>
    <row r="3" spans="1:15" x14ac:dyDescent="0.5">
      <c r="O3" s="45" t="s">
        <v>41</v>
      </c>
    </row>
    <row r="4" spans="1:15" x14ac:dyDescent="0.5">
      <c r="O4" s="45" t="s">
        <v>53</v>
      </c>
    </row>
    <row r="5" spans="1:15" x14ac:dyDescent="0.5">
      <c r="O5" s="46" t="s">
        <v>52</v>
      </c>
    </row>
    <row r="6" spans="1:15" x14ac:dyDescent="0.5">
      <c r="O6" s="47" t="s">
        <v>99</v>
      </c>
    </row>
    <row r="7" spans="1:15" x14ac:dyDescent="0.5">
      <c r="D7" s="48" t="s">
        <v>98</v>
      </c>
    </row>
    <row r="9" spans="1:15" ht="15.9" x14ac:dyDescent="0.8">
      <c r="A9" s="49" t="s">
        <v>1</v>
      </c>
    </row>
    <row r="10" spans="1:15" x14ac:dyDescent="0.5">
      <c r="A10" s="50">
        <v>1</v>
      </c>
      <c r="B10" s="51" t="s">
        <v>2</v>
      </c>
    </row>
    <row r="11" spans="1:15" x14ac:dyDescent="0.5">
      <c r="A11" s="50" t="str">
        <f>IF(ISBLANK(B11),"",MAX($A$9:A10)+1)</f>
        <v/>
      </c>
      <c r="E11" s="52"/>
    </row>
    <row r="12" spans="1:15" ht="15.9" x14ac:dyDescent="0.8">
      <c r="A12" s="50">
        <f>IF(ISBLANK(B12),"",MAX($A$9:A11)+1)</f>
        <v>2</v>
      </c>
      <c r="B12" s="53" t="s">
        <v>54</v>
      </c>
      <c r="C12" s="49" t="s">
        <v>4</v>
      </c>
    </row>
    <row r="13" spans="1:15" x14ac:dyDescent="0.5">
      <c r="A13" s="50">
        <f>IF(ISBLANK(B13),"",MAX($A$9:A12)+1)</f>
        <v>3</v>
      </c>
      <c r="B13" s="54" t="s">
        <v>5</v>
      </c>
      <c r="C13" s="55">
        <v>10</v>
      </c>
      <c r="E13" s="56"/>
    </row>
    <row r="14" spans="1:15" x14ac:dyDescent="0.5">
      <c r="A14" s="50">
        <f>IF(ISBLANK(B14),"",MAX($A$9:A13)+1)</f>
        <v>4</v>
      </c>
      <c r="B14" s="54" t="s">
        <v>6</v>
      </c>
      <c r="C14" s="57">
        <v>6.5460000000000004E-2</v>
      </c>
      <c r="E14" s="56"/>
    </row>
    <row r="15" spans="1:15" x14ac:dyDescent="0.5">
      <c r="A15" s="50" t="str">
        <f>IF(ISBLANK(B15),"",MAX($A$9:A14)+1)</f>
        <v/>
      </c>
      <c r="E15" s="58"/>
    </row>
    <row r="16" spans="1:15" ht="56.4" x14ac:dyDescent="0.5">
      <c r="A16" s="50">
        <f>IF(ISBLANK(B16),"",MAX($A$9:A15)+1)</f>
        <v>5</v>
      </c>
      <c r="B16" s="59" t="s">
        <v>7</v>
      </c>
      <c r="C16" s="60" t="s">
        <v>96</v>
      </c>
      <c r="D16" s="61" t="s">
        <v>56</v>
      </c>
      <c r="E16" s="61" t="s">
        <v>58</v>
      </c>
      <c r="F16" s="61" t="s">
        <v>57</v>
      </c>
      <c r="G16" s="61" t="s">
        <v>59</v>
      </c>
      <c r="J16" s="61" t="s">
        <v>60</v>
      </c>
      <c r="K16" s="61" t="s">
        <v>61</v>
      </c>
      <c r="L16" s="61" t="s">
        <v>62</v>
      </c>
      <c r="M16" s="61" t="s">
        <v>63</v>
      </c>
      <c r="N16" s="61" t="s">
        <v>64</v>
      </c>
      <c r="O16" s="61" t="s">
        <v>65</v>
      </c>
    </row>
    <row r="17" spans="1:19" x14ac:dyDescent="0.5">
      <c r="A17" s="50">
        <f>IF(ISBLANK(B17),"",MAX($A$9:A16)+1)</f>
        <v>6</v>
      </c>
      <c r="B17" s="62" t="s">
        <v>15</v>
      </c>
      <c r="C17" s="63">
        <v>610.63540923487062</v>
      </c>
      <c r="D17" s="55">
        <f>SUM(E17:F17)</f>
        <v>49.972193888514632</v>
      </c>
      <c r="E17" s="55">
        <f>($C$14-$C$46)*C17</f>
        <v>39.972193888514632</v>
      </c>
      <c r="F17" s="55">
        <f t="shared" ref="F17:F28" si="0">$C$13</f>
        <v>10</v>
      </c>
      <c r="G17" s="64">
        <f>C17+O17</f>
        <v>1891.8051183775135</v>
      </c>
      <c r="H17" s="65"/>
      <c r="J17" s="65">
        <v>132</v>
      </c>
      <c r="K17" s="64">
        <f>J17-$K$30</f>
        <v>114</v>
      </c>
      <c r="L17" s="66">
        <v>28.704892473118296</v>
      </c>
      <c r="M17" s="67">
        <v>2.6071487455282236</v>
      </c>
      <c r="N17" s="65">
        <f>K17*$K$31</f>
        <v>3340.2000000000003</v>
      </c>
      <c r="O17" s="65">
        <f>N17/M17</f>
        <v>1281.1697091426429</v>
      </c>
      <c r="R17" s="68"/>
      <c r="S17" s="68"/>
    </row>
    <row r="18" spans="1:19" x14ac:dyDescent="0.5">
      <c r="A18" s="50">
        <f>IF(ISBLANK(B18),"",MAX($A$9:A17)+1)</f>
        <v>7</v>
      </c>
      <c r="B18" s="62" t="s">
        <v>16</v>
      </c>
      <c r="C18" s="63">
        <v>530.69347714609728</v>
      </c>
      <c r="D18" s="55">
        <f t="shared" ref="D18:D28" si="1">SUM(E18:F18)</f>
        <v>44.739195013983533</v>
      </c>
      <c r="E18" s="55">
        <f t="shared" ref="E18:E28" si="2">($C$14-$C$46)*C18</f>
        <v>34.739195013983533</v>
      </c>
      <c r="F18" s="55">
        <f t="shared" si="0"/>
        <v>10</v>
      </c>
      <c r="G18" s="64">
        <f t="shared" ref="G18:G28" si="3">C18+O18</f>
        <v>1972.9963863433468</v>
      </c>
      <c r="H18" s="65"/>
      <c r="J18" s="65">
        <v>149</v>
      </c>
      <c r="K18" s="64">
        <f>J18-$K$30</f>
        <v>131</v>
      </c>
      <c r="L18" s="66">
        <v>30.572961309523802</v>
      </c>
      <c r="M18" s="67">
        <v>2.6612301587440492</v>
      </c>
      <c r="N18" s="65">
        <f>K18*$K$31</f>
        <v>3838.3</v>
      </c>
      <c r="O18" s="65">
        <f t="shared" ref="O18:O20" si="4">N18/M18</f>
        <v>1442.3029091972494</v>
      </c>
      <c r="R18" s="68"/>
      <c r="S18" s="68"/>
    </row>
    <row r="19" spans="1:19" x14ac:dyDescent="0.5">
      <c r="A19" s="50">
        <f>IF(ISBLANK(B19),"",MAX($A$9:A18)+1)</f>
        <v>8</v>
      </c>
      <c r="B19" s="62" t="s">
        <v>17</v>
      </c>
      <c r="C19" s="63">
        <v>530.1180955141532</v>
      </c>
      <c r="D19" s="55">
        <f t="shared" si="1"/>
        <v>44.701530532356472</v>
      </c>
      <c r="E19" s="55">
        <f t="shared" si="2"/>
        <v>34.701530532356472</v>
      </c>
      <c r="F19" s="55">
        <f t="shared" si="0"/>
        <v>10</v>
      </c>
      <c r="G19" s="64">
        <f t="shared" si="3"/>
        <v>1712.1460842478759</v>
      </c>
      <c r="H19" s="65"/>
      <c r="J19" s="65">
        <v>133</v>
      </c>
      <c r="K19" s="64">
        <f>J19-$K$30</f>
        <v>115</v>
      </c>
      <c r="L19" s="66">
        <v>37.643763440860234</v>
      </c>
      <c r="M19" s="67">
        <v>2.8506093189973125</v>
      </c>
      <c r="N19" s="65">
        <f>K19*$K$31</f>
        <v>3369.5</v>
      </c>
      <c r="O19" s="65">
        <f t="shared" si="4"/>
        <v>1182.0279887337226</v>
      </c>
      <c r="R19" s="68"/>
      <c r="S19" s="68"/>
    </row>
    <row r="20" spans="1:19" x14ac:dyDescent="0.5">
      <c r="A20" s="50">
        <f>IF(ISBLANK(B20),"",MAX($A$9:A19)+1)</f>
        <v>9</v>
      </c>
      <c r="B20" s="62" t="s">
        <v>18</v>
      </c>
      <c r="C20" s="63">
        <v>454.90082336761122</v>
      </c>
      <c r="D20" s="55">
        <f t="shared" si="1"/>
        <v>39.777807897643832</v>
      </c>
      <c r="E20" s="55">
        <f t="shared" si="2"/>
        <v>29.777807897643832</v>
      </c>
      <c r="F20" s="55">
        <f t="shared" si="0"/>
        <v>10</v>
      </c>
      <c r="G20" s="64">
        <f t="shared" si="3"/>
        <v>1131.2312990407056</v>
      </c>
      <c r="H20" s="65"/>
      <c r="J20" s="65">
        <v>90</v>
      </c>
      <c r="K20" s="64">
        <f>J20-$K$30</f>
        <v>72</v>
      </c>
      <c r="L20" s="66">
        <v>48.023180555555598</v>
      </c>
      <c r="M20" s="67">
        <v>3.119185185172225</v>
      </c>
      <c r="N20" s="65">
        <f>K20*$K$31</f>
        <v>2109.6</v>
      </c>
      <c r="O20" s="65">
        <f t="shared" si="4"/>
        <v>676.33047567309438</v>
      </c>
      <c r="R20" s="68"/>
      <c r="S20" s="68"/>
    </row>
    <row r="21" spans="1:19" x14ac:dyDescent="0.5">
      <c r="A21" s="50">
        <f>IF(ISBLANK(B21),"",MAX($A$9:A20)+1)</f>
        <v>10</v>
      </c>
      <c r="B21" s="62" t="s">
        <v>19</v>
      </c>
      <c r="C21" s="63">
        <v>484.52770209028228</v>
      </c>
      <c r="D21" s="55">
        <f t="shared" si="1"/>
        <v>41.71718337882988</v>
      </c>
      <c r="E21" s="55">
        <f t="shared" si="2"/>
        <v>31.71718337882988</v>
      </c>
      <c r="F21" s="55">
        <f t="shared" si="0"/>
        <v>10</v>
      </c>
      <c r="G21" s="64">
        <f t="shared" si="3"/>
        <v>484.52770209028228</v>
      </c>
      <c r="H21" s="65"/>
      <c r="J21" s="65">
        <v>46</v>
      </c>
      <c r="K21" s="64"/>
      <c r="L21" s="66"/>
      <c r="M21" s="67"/>
      <c r="N21" s="65"/>
      <c r="O21" s="65"/>
      <c r="R21" s="68"/>
      <c r="S21" s="68"/>
    </row>
    <row r="22" spans="1:19" x14ac:dyDescent="0.5">
      <c r="A22" s="50">
        <f>IF(ISBLANK(B22),"",MAX($A$9:A21)+1)</f>
        <v>11</v>
      </c>
      <c r="B22" s="62" t="s">
        <v>20</v>
      </c>
      <c r="C22" s="63">
        <v>586.91619412867135</v>
      </c>
      <c r="D22" s="55">
        <f t="shared" si="1"/>
        <v>48.419534067662831</v>
      </c>
      <c r="E22" s="55">
        <f t="shared" si="2"/>
        <v>38.419534067662831</v>
      </c>
      <c r="F22" s="55">
        <f t="shared" si="0"/>
        <v>10</v>
      </c>
      <c r="G22" s="64">
        <f t="shared" si="3"/>
        <v>586.91619412867135</v>
      </c>
      <c r="H22" s="65"/>
      <c r="J22" s="65">
        <v>23</v>
      </c>
      <c r="K22" s="64"/>
      <c r="L22" s="66"/>
      <c r="M22" s="67"/>
      <c r="N22" s="65"/>
      <c r="O22" s="65"/>
      <c r="R22" s="68"/>
      <c r="S22" s="68"/>
    </row>
    <row r="23" spans="1:19" x14ac:dyDescent="0.5">
      <c r="A23" s="50">
        <f>IF(ISBLANK(B23),"",MAX($A$9:A22)+1)</f>
        <v>12</v>
      </c>
      <c r="B23" s="62" t="s">
        <v>21</v>
      </c>
      <c r="C23" s="63">
        <v>770.4636315739715</v>
      </c>
      <c r="D23" s="55">
        <f t="shared" si="1"/>
        <v>60.434549322832176</v>
      </c>
      <c r="E23" s="55">
        <f t="shared" si="2"/>
        <v>50.434549322832176</v>
      </c>
      <c r="F23" s="55">
        <f t="shared" si="0"/>
        <v>10</v>
      </c>
      <c r="G23" s="64">
        <f t="shared" si="3"/>
        <v>770.4636315739715</v>
      </c>
      <c r="H23" s="65"/>
      <c r="J23" s="65">
        <v>18</v>
      </c>
      <c r="K23" s="64"/>
      <c r="L23" s="66"/>
      <c r="M23" s="67"/>
      <c r="N23" s="65"/>
      <c r="O23" s="65"/>
      <c r="R23" s="68"/>
      <c r="S23" s="68"/>
    </row>
    <row r="24" spans="1:19" x14ac:dyDescent="0.5">
      <c r="A24" s="50">
        <f>IF(ISBLANK(B24),"",MAX($A$9:A23)+1)</f>
        <v>13</v>
      </c>
      <c r="B24" s="62" t="s">
        <v>22</v>
      </c>
      <c r="C24" s="63">
        <v>762.80176543434391</v>
      </c>
      <c r="D24" s="55">
        <f t="shared" si="1"/>
        <v>59.933003565332157</v>
      </c>
      <c r="E24" s="55">
        <f t="shared" si="2"/>
        <v>49.933003565332157</v>
      </c>
      <c r="F24" s="55">
        <f t="shared" si="0"/>
        <v>10</v>
      </c>
      <c r="G24" s="64">
        <f t="shared" si="3"/>
        <v>762.80176543434391</v>
      </c>
      <c r="H24" s="65"/>
      <c r="J24" s="65">
        <v>15</v>
      </c>
      <c r="K24" s="64"/>
      <c r="L24" s="66"/>
      <c r="M24" s="67"/>
      <c r="N24" s="65"/>
      <c r="O24" s="65"/>
      <c r="R24" s="68"/>
      <c r="S24" s="68"/>
    </row>
    <row r="25" spans="1:19" x14ac:dyDescent="0.5">
      <c r="A25" s="50">
        <f>IF(ISBLANK(B25),"",MAX($A$9:A24)+1)</f>
        <v>14</v>
      </c>
      <c r="B25" s="62" t="s">
        <v>23</v>
      </c>
      <c r="C25" s="63">
        <v>536.15882292668857</v>
      </c>
      <c r="D25" s="55">
        <f t="shared" si="1"/>
        <v>45.096956548781037</v>
      </c>
      <c r="E25" s="55">
        <f t="shared" si="2"/>
        <v>35.096956548781037</v>
      </c>
      <c r="F25" s="55">
        <f t="shared" si="0"/>
        <v>10</v>
      </c>
      <c r="G25" s="64">
        <f t="shared" si="3"/>
        <v>536.15882292668857</v>
      </c>
      <c r="H25" s="65"/>
      <c r="J25" s="65">
        <v>16</v>
      </c>
      <c r="K25" s="64"/>
      <c r="L25" s="66"/>
      <c r="M25" s="67"/>
      <c r="N25" s="65"/>
      <c r="O25" s="65"/>
      <c r="R25" s="68"/>
      <c r="S25" s="68"/>
    </row>
    <row r="26" spans="1:19" x14ac:dyDescent="0.5">
      <c r="A26" s="50">
        <f>IF(ISBLANK(B26),"",MAX($A$9:A25)+1)</f>
        <v>15</v>
      </c>
      <c r="B26" s="62" t="s">
        <v>24</v>
      </c>
      <c r="C26" s="63">
        <v>457.55933222335221</v>
      </c>
      <c r="D26" s="55">
        <f t="shared" si="1"/>
        <v>39.951833887340641</v>
      </c>
      <c r="E26" s="55">
        <f t="shared" si="2"/>
        <v>29.951833887340637</v>
      </c>
      <c r="F26" s="55">
        <f t="shared" si="0"/>
        <v>10</v>
      </c>
      <c r="G26" s="64">
        <f t="shared" si="3"/>
        <v>457.55933222335221</v>
      </c>
      <c r="H26" s="65"/>
      <c r="J26" s="65">
        <v>20</v>
      </c>
      <c r="K26" s="64"/>
      <c r="L26" s="66"/>
      <c r="M26" s="67"/>
      <c r="N26" s="65"/>
      <c r="O26" s="65"/>
      <c r="R26" s="68"/>
      <c r="S26" s="68"/>
    </row>
    <row r="27" spans="1:19" x14ac:dyDescent="0.5">
      <c r="A27" s="50">
        <f>IF(ISBLANK(B27),"",MAX($A$9:A26)+1)</f>
        <v>16</v>
      </c>
      <c r="B27" s="62" t="s">
        <v>25</v>
      </c>
      <c r="C27" s="63">
        <v>494.26229777958986</v>
      </c>
      <c r="D27" s="55">
        <f t="shared" si="1"/>
        <v>42.354410012651954</v>
      </c>
      <c r="E27" s="55">
        <f t="shared" si="2"/>
        <v>32.354410012651954</v>
      </c>
      <c r="F27" s="55">
        <f t="shared" si="0"/>
        <v>10</v>
      </c>
      <c r="G27" s="64">
        <f t="shared" si="3"/>
        <v>777.5900737056852</v>
      </c>
      <c r="H27" s="65"/>
      <c r="J27" s="65">
        <v>47</v>
      </c>
      <c r="K27" s="64">
        <f>J27-$K$30</f>
        <v>29</v>
      </c>
      <c r="L27" s="66">
        <v>43.204749999999983</v>
      </c>
      <c r="M27" s="67">
        <v>2.9989999999916717</v>
      </c>
      <c r="N27" s="65">
        <f>K27*$K$31</f>
        <v>849.7</v>
      </c>
      <c r="O27" s="65">
        <f t="shared" ref="O27:O28" si="5">N27/M27</f>
        <v>283.32777592609528</v>
      </c>
      <c r="R27" s="68"/>
      <c r="S27" s="68"/>
    </row>
    <row r="28" spans="1:19" x14ac:dyDescent="0.5">
      <c r="A28" s="50">
        <f>IF(ISBLANK(B28),"",MAX($A$9:A27)+1)</f>
        <v>17</v>
      </c>
      <c r="B28" s="62" t="s">
        <v>26</v>
      </c>
      <c r="C28" s="69">
        <v>641.4787355928089</v>
      </c>
      <c r="D28" s="70">
        <f t="shared" si="1"/>
        <v>51.99119803190527</v>
      </c>
      <c r="E28" s="70">
        <f t="shared" si="2"/>
        <v>41.99119803190527</v>
      </c>
      <c r="F28" s="70">
        <f t="shared" si="0"/>
        <v>10</v>
      </c>
      <c r="G28" s="71">
        <f t="shared" si="3"/>
        <v>1436.484522084002</v>
      </c>
      <c r="H28" s="65"/>
      <c r="J28" s="65">
        <v>93</v>
      </c>
      <c r="K28" s="64">
        <f>J28-$K$30</f>
        <v>75</v>
      </c>
      <c r="L28" s="66">
        <v>34.429086021505377</v>
      </c>
      <c r="M28" s="67">
        <v>2.7641308243790292</v>
      </c>
      <c r="N28" s="65">
        <f>K28*$K$31</f>
        <v>2197.5</v>
      </c>
      <c r="O28" s="65">
        <f t="shared" si="5"/>
        <v>795.00578649119302</v>
      </c>
      <c r="R28" s="68"/>
      <c r="S28" s="68"/>
    </row>
    <row r="29" spans="1:19" x14ac:dyDescent="0.5">
      <c r="A29" s="50">
        <f>IF(ISBLANK(C29),"",MAX($A$9:A28)+1)</f>
        <v>18</v>
      </c>
      <c r="C29" s="64">
        <f>SUM(C17:C28)</f>
        <v>6860.5162870124414</v>
      </c>
      <c r="D29" s="55">
        <f>SUM(D17:D28)</f>
        <v>569.08939614783435</v>
      </c>
      <c r="E29" s="55">
        <f t="shared" ref="E29:F29" si="6">SUM(E17:E28)</f>
        <v>449.08939614783446</v>
      </c>
      <c r="F29" s="55">
        <f t="shared" si="6"/>
        <v>120</v>
      </c>
      <c r="G29" s="64">
        <f>SUM(G17:G28)</f>
        <v>12520.680932176439</v>
      </c>
      <c r="H29" s="65"/>
      <c r="N29" s="64"/>
      <c r="O29" s="64">
        <f>SUM(O17:O28)</f>
        <v>5660.1646451639981</v>
      </c>
    </row>
    <row r="30" spans="1:19" x14ac:dyDescent="0.5">
      <c r="A30" s="50">
        <f>IF(ISBLANK(K30),"",MAX($A$9:A29)+1)</f>
        <v>19</v>
      </c>
      <c r="H30" s="65"/>
      <c r="J30" s="72" t="s">
        <v>27</v>
      </c>
      <c r="K30" s="64">
        <f>AVERAGE(J22:J25)</f>
        <v>18</v>
      </c>
      <c r="L30" s="68"/>
      <c r="M30" s="68"/>
      <c r="R30" s="68"/>
      <c r="S30" s="68"/>
    </row>
    <row r="31" spans="1:19" x14ac:dyDescent="0.5">
      <c r="A31" s="50">
        <f>IF(ISBLANK(B31),"",MAX($A$9:A30)+1)</f>
        <v>20</v>
      </c>
      <c r="B31" s="53" t="s">
        <v>28</v>
      </c>
      <c r="J31" s="72" t="s">
        <v>29</v>
      </c>
      <c r="K31" s="64">
        <v>29.3</v>
      </c>
    </row>
    <row r="32" spans="1:19" x14ac:dyDescent="0.5">
      <c r="A32" s="50">
        <f>IF(ISBLANK(B32),"",MAX($A$9:A31)+1)</f>
        <v>21</v>
      </c>
      <c r="B32" s="73" t="s">
        <v>5</v>
      </c>
      <c r="C32" s="55">
        <f>C13</f>
        <v>10</v>
      </c>
    </row>
    <row r="33" spans="1:7" x14ac:dyDescent="0.5">
      <c r="A33" s="50">
        <f>IF(ISBLANK(B33),"",MAX($A$9:A32)+1)</f>
        <v>22</v>
      </c>
      <c r="B33" s="73" t="s">
        <v>30</v>
      </c>
      <c r="C33" s="74">
        <f>C32*12</f>
        <v>120</v>
      </c>
    </row>
    <row r="34" spans="1:7" x14ac:dyDescent="0.5">
      <c r="A34" s="50" t="str">
        <f>IF(ISBLANK(B34),"",MAX($A$9:A33)+1)</f>
        <v/>
      </c>
      <c r="B34" s="73"/>
    </row>
    <row r="35" spans="1:7" x14ac:dyDescent="0.5">
      <c r="A35" s="50">
        <f>IF(ISBLANK(B35),"",MAX($A$9:A34)+1)</f>
        <v>23</v>
      </c>
      <c r="B35" s="73" t="s">
        <v>31</v>
      </c>
      <c r="C35" s="55">
        <f>SUM(E17:E20,E27:E28)</f>
        <v>213.53633537705568</v>
      </c>
      <c r="D35" s="44" t="s">
        <v>32</v>
      </c>
    </row>
    <row r="36" spans="1:7" x14ac:dyDescent="0.5">
      <c r="A36" s="50">
        <f>IF(ISBLANK(B36),"",MAX($A$9:A35)+1)</f>
        <v>24</v>
      </c>
      <c r="B36" s="73" t="s">
        <v>33</v>
      </c>
      <c r="C36" s="75">
        <f>TRUNC(C35/SUM(G17:G20,G27:G28),5)</f>
        <v>2.393E-2</v>
      </c>
      <c r="D36" s="44" t="s">
        <v>34</v>
      </c>
    </row>
    <row r="37" spans="1:7" x14ac:dyDescent="0.5">
      <c r="A37" s="50" t="str">
        <f>IF(ISBLANK(B37),"",MAX($A$9:A36)+1)</f>
        <v/>
      </c>
    </row>
    <row r="38" spans="1:7" x14ac:dyDescent="0.5">
      <c r="A38" s="50">
        <f>IF(ISBLANK(B38),"",MAX($A$9:A37)+1)</f>
        <v>25</v>
      </c>
      <c r="B38" s="53" t="s">
        <v>35</v>
      </c>
    </row>
    <row r="39" spans="1:7" x14ac:dyDescent="0.5">
      <c r="A39" s="50">
        <f>IF(ISBLANK(B39),"",MAX($A$9:A38)+1)</f>
        <v>26</v>
      </c>
      <c r="B39" s="53" t="s">
        <v>87</v>
      </c>
      <c r="C39" s="76" t="s">
        <v>4</v>
      </c>
      <c r="F39" s="72"/>
    </row>
    <row r="40" spans="1:7" x14ac:dyDescent="0.5">
      <c r="A40" s="50">
        <f>IF(ISBLANK(B40),"",MAX($A$9:A39)+1)</f>
        <v>27</v>
      </c>
      <c r="B40" s="54" t="s">
        <v>5</v>
      </c>
      <c r="C40" s="55">
        <f>C32</f>
        <v>10</v>
      </c>
    </row>
    <row r="41" spans="1:7" x14ac:dyDescent="0.5">
      <c r="A41" s="50">
        <f>IF(ISBLANK(B41),"",MAX($A$9:A40)+1)</f>
        <v>28</v>
      </c>
      <c r="B41" s="54" t="s">
        <v>37</v>
      </c>
      <c r="C41" s="57">
        <f>C36</f>
        <v>2.393E-2</v>
      </c>
    </row>
    <row r="42" spans="1:7" x14ac:dyDescent="0.5">
      <c r="A42" s="50">
        <f>IF(ISBLANK(B42),"",MAX($A$9:A41)+1)</f>
        <v>29</v>
      </c>
      <c r="B42" s="54" t="s">
        <v>38</v>
      </c>
      <c r="C42" s="57">
        <f>C14</f>
        <v>6.5460000000000004E-2</v>
      </c>
    </row>
    <row r="43" spans="1:7" x14ac:dyDescent="0.5">
      <c r="A43" s="50">
        <f>IF(ISBLANK(C43),"",MAX($A$9:A42)+1)</f>
        <v>30</v>
      </c>
      <c r="B43" s="83" t="s">
        <v>107</v>
      </c>
      <c r="C43" s="84">
        <f>C42/C41</f>
        <v>2.7354784788967823</v>
      </c>
    </row>
    <row r="45" spans="1:7" x14ac:dyDescent="0.5">
      <c r="B45" s="44" t="s">
        <v>94</v>
      </c>
    </row>
    <row r="46" spans="1:7" x14ac:dyDescent="0.5">
      <c r="B46" s="44" t="s">
        <v>95</v>
      </c>
      <c r="C46" s="77"/>
      <c r="E46" s="78"/>
      <c r="F46" s="78"/>
      <c r="G46" s="78"/>
    </row>
    <row r="47" spans="1:7" x14ac:dyDescent="0.5">
      <c r="B47" s="44" t="s">
        <v>73</v>
      </c>
      <c r="C47" s="79"/>
      <c r="E47" s="55"/>
      <c r="F47" s="55"/>
      <c r="G47" s="80"/>
    </row>
    <row r="48" spans="1:7" x14ac:dyDescent="0.5">
      <c r="B48" s="44" t="s">
        <v>68</v>
      </c>
      <c r="C48" s="79"/>
      <c r="E48" s="55"/>
      <c r="F48" s="55"/>
      <c r="G48" s="80"/>
    </row>
    <row r="49" spans="2:7" x14ac:dyDescent="0.5">
      <c r="B49" s="44" t="s">
        <v>69</v>
      </c>
      <c r="C49" s="79"/>
      <c r="E49" s="55"/>
      <c r="F49" s="55"/>
      <c r="G49" s="80"/>
    </row>
    <row r="50" spans="2:7" x14ac:dyDescent="0.5">
      <c r="B50" s="44" t="s">
        <v>76</v>
      </c>
      <c r="E50" s="55"/>
      <c r="F50" s="55"/>
      <c r="G50" s="80"/>
    </row>
    <row r="51" spans="2:7" x14ac:dyDescent="0.5">
      <c r="B51" s="44" t="s">
        <v>77</v>
      </c>
      <c r="C51" s="81"/>
      <c r="E51" s="55"/>
      <c r="F51" s="55"/>
      <c r="G51" s="80"/>
    </row>
    <row r="52" spans="2:7" x14ac:dyDescent="0.5">
      <c r="B52" s="73" t="s">
        <v>97</v>
      </c>
      <c r="E52" s="55"/>
      <c r="F52" s="55"/>
      <c r="G52" s="80"/>
    </row>
    <row r="53" spans="2:7" x14ac:dyDescent="0.5">
      <c r="B53" s="73" t="s">
        <v>78</v>
      </c>
      <c r="E53" s="55"/>
      <c r="F53" s="55"/>
      <c r="G53" s="80"/>
    </row>
    <row r="54" spans="2:7" x14ac:dyDescent="0.5">
      <c r="B54" s="44" t="s">
        <v>85</v>
      </c>
      <c r="E54" s="55"/>
      <c r="F54" s="55"/>
      <c r="G54" s="80"/>
    </row>
    <row r="55" spans="2:7" x14ac:dyDescent="0.5">
      <c r="B55" s="73" t="s">
        <v>79</v>
      </c>
      <c r="E55" s="55"/>
      <c r="F55" s="55"/>
      <c r="G55" s="80"/>
    </row>
    <row r="56" spans="2:7" x14ac:dyDescent="0.5">
      <c r="B56" s="73" t="s">
        <v>80</v>
      </c>
      <c r="E56" s="55"/>
      <c r="F56" s="55"/>
      <c r="G56" s="80"/>
    </row>
    <row r="57" spans="2:7" x14ac:dyDescent="0.5">
      <c r="B57" s="44" t="s">
        <v>105</v>
      </c>
      <c r="E57" s="55"/>
      <c r="F57" s="55"/>
      <c r="G57" s="80"/>
    </row>
    <row r="58" spans="2:7" x14ac:dyDescent="0.5">
      <c r="B58" s="44" t="s">
        <v>106</v>
      </c>
      <c r="E58" s="55"/>
      <c r="F58" s="55"/>
      <c r="G58" s="80"/>
    </row>
    <row r="59" spans="2:7" x14ac:dyDescent="0.5">
      <c r="B59" s="44" t="s">
        <v>81</v>
      </c>
      <c r="E59" s="55"/>
      <c r="F59" s="55"/>
      <c r="G59" s="80"/>
    </row>
    <row r="60" spans="2:7" x14ac:dyDescent="0.5">
      <c r="B60" s="44" t="s">
        <v>82</v>
      </c>
    </row>
    <row r="61" spans="2:7" x14ac:dyDescent="0.5">
      <c r="B61" s="44" t="s">
        <v>83</v>
      </c>
    </row>
    <row r="62" spans="2:7" x14ac:dyDescent="0.5">
      <c r="B62" s="44" t="s">
        <v>75</v>
      </c>
    </row>
    <row r="63" spans="2:7" x14ac:dyDescent="0.5">
      <c r="B63" s="44" t="s">
        <v>84</v>
      </c>
    </row>
    <row r="64" spans="2:7" x14ac:dyDescent="0.5">
      <c r="B64" s="44" t="s">
        <v>86</v>
      </c>
    </row>
    <row r="65" spans="2:2" x14ac:dyDescent="0.5">
      <c r="B65" s="44" t="s">
        <v>88</v>
      </c>
    </row>
    <row r="66" spans="2:2" x14ac:dyDescent="0.5">
      <c r="B66" s="44" t="s">
        <v>89</v>
      </c>
    </row>
    <row r="67" spans="2:2" x14ac:dyDescent="0.5">
      <c r="B67" s="44" t="s">
        <v>91</v>
      </c>
    </row>
    <row r="68" spans="2:2" x14ac:dyDescent="0.5">
      <c r="B68" s="44" t="s">
        <v>90</v>
      </c>
    </row>
  </sheetData>
  <pageMargins left="0.7" right="0.7" top="0.75" bottom="0.75" header="0.3" footer="0.3"/>
  <pageSetup scale="46" orientation="portrait" horizontalDpi="1200" verticalDpi="1200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6AF0-2946-4C84-B73E-C970336773DB}">
  <dimension ref="A1:N61"/>
  <sheetViews>
    <sheetView showGridLines="0" tabSelected="1" view="pageBreakPreview" topLeftCell="A27" zoomScale="90" zoomScaleNormal="90" zoomScaleSheetLayoutView="90" workbookViewId="0">
      <selection activeCell="D40" sqref="D40"/>
    </sheetView>
  </sheetViews>
  <sheetFormatPr defaultColWidth="9.1171875" defaultRowHeight="14.1" x14ac:dyDescent="0.5"/>
  <cols>
    <col min="1" max="1" width="12.5859375" style="44" customWidth="1"/>
    <col min="2" max="2" width="36.29296875" style="44" bestFit="1" customWidth="1"/>
    <col min="3" max="3" width="13.703125" style="44" bestFit="1" customWidth="1"/>
    <col min="4" max="4" width="14" style="44" bestFit="1" customWidth="1"/>
    <col min="5" max="5" width="15.29296875" style="44" bestFit="1" customWidth="1"/>
    <col min="6" max="6" width="14.703125" style="44" customWidth="1"/>
    <col min="7" max="7" width="15.41015625" style="44" customWidth="1"/>
    <col min="8" max="8" width="10.703125" style="44" bestFit="1" customWidth="1"/>
    <col min="9" max="9" width="10.41015625" style="44" bestFit="1" customWidth="1"/>
    <col min="10" max="10" width="12.1171875" style="44" customWidth="1"/>
    <col min="11" max="16384" width="9.1171875" style="44"/>
  </cols>
  <sheetData>
    <row r="1" spans="1:10" x14ac:dyDescent="0.5">
      <c r="J1" s="45" t="s">
        <v>39</v>
      </c>
    </row>
    <row r="2" spans="1:10" x14ac:dyDescent="0.5">
      <c r="J2" s="45" t="s">
        <v>40</v>
      </c>
    </row>
    <row r="3" spans="1:10" x14ac:dyDescent="0.5">
      <c r="J3" s="45" t="s">
        <v>41</v>
      </c>
    </row>
    <row r="4" spans="1:10" x14ac:dyDescent="0.5">
      <c r="J4" s="45" t="s">
        <v>53</v>
      </c>
    </row>
    <row r="5" spans="1:10" x14ac:dyDescent="0.5">
      <c r="J5" s="46" t="s">
        <v>52</v>
      </c>
    </row>
    <row r="6" spans="1:10" x14ac:dyDescent="0.5">
      <c r="J6" s="47" t="s">
        <v>100</v>
      </c>
    </row>
    <row r="7" spans="1:10" x14ac:dyDescent="0.5">
      <c r="D7" s="48" t="s">
        <v>101</v>
      </c>
    </row>
    <row r="9" spans="1:10" ht="15.9" x14ac:dyDescent="0.8">
      <c r="A9" s="49" t="s">
        <v>1</v>
      </c>
    </row>
    <row r="10" spans="1:10" x14ac:dyDescent="0.5">
      <c r="A10" s="50">
        <v>1</v>
      </c>
      <c r="B10" s="51" t="s">
        <v>2</v>
      </c>
    </row>
    <row r="11" spans="1:10" x14ac:dyDescent="0.5">
      <c r="A11" s="50" t="str">
        <f>IF(ISBLANK(B11),"",MAX($A$9:A10)+1)</f>
        <v/>
      </c>
      <c r="E11" s="52"/>
    </row>
    <row r="12" spans="1:10" ht="15.9" x14ac:dyDescent="0.8">
      <c r="A12" s="50">
        <f>IF(ISBLANK(B12),"",MAX($A$9:A11)+1)</f>
        <v>2</v>
      </c>
      <c r="B12" s="53" t="s">
        <v>54</v>
      </c>
      <c r="C12" s="49" t="s">
        <v>4</v>
      </c>
    </row>
    <row r="13" spans="1:10" x14ac:dyDescent="0.5">
      <c r="A13" s="50">
        <f>IF(ISBLANK(B13),"",MAX($A$9:A12)+1)</f>
        <v>3</v>
      </c>
      <c r="B13" s="54" t="s">
        <v>5</v>
      </c>
      <c r="C13" s="55">
        <v>10</v>
      </c>
      <c r="E13" s="56"/>
    </row>
    <row r="14" spans="1:10" x14ac:dyDescent="0.5">
      <c r="A14" s="50">
        <f>IF(ISBLANK(B14),"",MAX($A$9:A13)+1)</f>
        <v>4</v>
      </c>
      <c r="B14" s="54" t="s">
        <v>6</v>
      </c>
      <c r="C14" s="57">
        <v>6.5460000000000004E-2</v>
      </c>
      <c r="E14" s="56"/>
    </row>
    <row r="15" spans="1:10" x14ac:dyDescent="0.5">
      <c r="A15" s="50" t="str">
        <f>IF(ISBLANK(B15),"",MAX($A$9:A14)+1)</f>
        <v/>
      </c>
      <c r="E15" s="58"/>
    </row>
    <row r="16" spans="1:10" ht="56.4" x14ac:dyDescent="0.5">
      <c r="A16" s="50">
        <f>IF(ISBLANK(B16),"",MAX($A$9:A15)+1)</f>
        <v>5</v>
      </c>
      <c r="B16" s="59" t="s">
        <v>7</v>
      </c>
      <c r="C16" s="60" t="s">
        <v>96</v>
      </c>
      <c r="D16" s="61" t="s">
        <v>56</v>
      </c>
      <c r="E16" s="61" t="s">
        <v>58</v>
      </c>
      <c r="F16" s="61" t="s">
        <v>57</v>
      </c>
      <c r="G16" s="61" t="s">
        <v>59</v>
      </c>
      <c r="J16" s="61" t="s">
        <v>104</v>
      </c>
    </row>
    <row r="17" spans="1:14" x14ac:dyDescent="0.5">
      <c r="A17" s="50">
        <f>IF(ISBLANK(B17),"",MAX($A$9:A16)+1)</f>
        <v>6</v>
      </c>
      <c r="B17" s="62" t="s">
        <v>15</v>
      </c>
      <c r="C17" s="63">
        <v>610.63540923487062</v>
      </c>
      <c r="D17" s="55">
        <f>SUM(E17:F17)</f>
        <v>49.972193888514632</v>
      </c>
      <c r="E17" s="55">
        <f>($C$14-$C$46)*C17</f>
        <v>39.972193888514632</v>
      </c>
      <c r="F17" s="55">
        <f t="shared" ref="F17:F28" si="0">$C$13</f>
        <v>10</v>
      </c>
      <c r="G17" s="64">
        <f t="shared" ref="G17:G28" si="1">C17+J17</f>
        <v>2263.7189237448938</v>
      </c>
      <c r="H17" s="65"/>
      <c r="J17" s="65">
        <v>1653.0835145100232</v>
      </c>
      <c r="M17" s="68"/>
      <c r="N17" s="68"/>
    </row>
    <row r="18" spans="1:14" x14ac:dyDescent="0.5">
      <c r="A18" s="50">
        <f>IF(ISBLANK(B18),"",MAX($A$9:A17)+1)</f>
        <v>7</v>
      </c>
      <c r="B18" s="62" t="s">
        <v>16</v>
      </c>
      <c r="C18" s="63">
        <v>530.69347714609728</v>
      </c>
      <c r="D18" s="55">
        <f t="shared" ref="D18:D28" si="2">SUM(E18:F18)</f>
        <v>44.739195013983533</v>
      </c>
      <c r="E18" s="55">
        <f t="shared" ref="E18:E28" si="3">($C$14-$C$46)*C18</f>
        <v>34.739195013983533</v>
      </c>
      <c r="F18" s="55">
        <f t="shared" si="0"/>
        <v>10</v>
      </c>
      <c r="G18" s="64">
        <f t="shared" si="1"/>
        <v>1759.9564581634118</v>
      </c>
      <c r="H18" s="65"/>
      <c r="J18" s="65">
        <v>1229.2629810173144</v>
      </c>
      <c r="M18" s="68"/>
      <c r="N18" s="68"/>
    </row>
    <row r="19" spans="1:14" x14ac:dyDescent="0.5">
      <c r="A19" s="50">
        <f>IF(ISBLANK(B19),"",MAX($A$9:A18)+1)</f>
        <v>8</v>
      </c>
      <c r="B19" s="62" t="s">
        <v>17</v>
      </c>
      <c r="C19" s="63">
        <v>530.1180955141532</v>
      </c>
      <c r="D19" s="55">
        <f t="shared" si="2"/>
        <v>44.701530532356472</v>
      </c>
      <c r="E19" s="55">
        <f t="shared" si="3"/>
        <v>34.701530532356472</v>
      </c>
      <c r="F19" s="55">
        <f t="shared" si="0"/>
        <v>10</v>
      </c>
      <c r="G19" s="64">
        <f t="shared" si="1"/>
        <v>1439.8222404339558</v>
      </c>
      <c r="H19" s="65"/>
      <c r="J19" s="65">
        <v>909.7041449198025</v>
      </c>
      <c r="M19" s="68"/>
      <c r="N19" s="68"/>
    </row>
    <row r="20" spans="1:14" x14ac:dyDescent="0.5">
      <c r="A20" s="50">
        <f>IF(ISBLANK(B20),"",MAX($A$9:A19)+1)</f>
        <v>9</v>
      </c>
      <c r="B20" s="62" t="s">
        <v>18</v>
      </c>
      <c r="C20" s="63">
        <v>454.90082336761122</v>
      </c>
      <c r="D20" s="55">
        <f t="shared" si="2"/>
        <v>39.777807897643832</v>
      </c>
      <c r="E20" s="55">
        <f t="shared" si="3"/>
        <v>29.777807897643832</v>
      </c>
      <c r="F20" s="55">
        <f t="shared" si="0"/>
        <v>10</v>
      </c>
      <c r="G20" s="64">
        <f t="shared" si="1"/>
        <v>889.87223237910496</v>
      </c>
      <c r="H20" s="65"/>
      <c r="J20" s="65">
        <v>434.97140901149373</v>
      </c>
      <c r="M20" s="68"/>
      <c r="N20" s="68"/>
    </row>
    <row r="21" spans="1:14" x14ac:dyDescent="0.5">
      <c r="A21" s="50">
        <f>IF(ISBLANK(B21),"",MAX($A$9:A20)+1)</f>
        <v>10</v>
      </c>
      <c r="B21" s="62" t="s">
        <v>19</v>
      </c>
      <c r="C21" s="63">
        <v>484.52770209028228</v>
      </c>
      <c r="D21" s="55">
        <f t="shared" si="2"/>
        <v>41.71718337882988</v>
      </c>
      <c r="E21" s="55">
        <f t="shared" si="3"/>
        <v>31.71718337882988</v>
      </c>
      <c r="F21" s="55">
        <f t="shared" si="0"/>
        <v>10</v>
      </c>
      <c r="G21" s="64">
        <f t="shared" si="1"/>
        <v>484.52770209028228</v>
      </c>
      <c r="H21" s="65"/>
      <c r="J21" s="65"/>
      <c r="M21" s="68"/>
      <c r="N21" s="68"/>
    </row>
    <row r="22" spans="1:14" x14ac:dyDescent="0.5">
      <c r="A22" s="50">
        <f>IF(ISBLANK(B22),"",MAX($A$9:A21)+1)</f>
        <v>11</v>
      </c>
      <c r="B22" s="62" t="s">
        <v>20</v>
      </c>
      <c r="C22" s="63">
        <v>586.91619412867135</v>
      </c>
      <c r="D22" s="55">
        <f t="shared" si="2"/>
        <v>48.419534067662831</v>
      </c>
      <c r="E22" s="55">
        <f t="shared" si="3"/>
        <v>38.419534067662831</v>
      </c>
      <c r="F22" s="55">
        <f t="shared" si="0"/>
        <v>10</v>
      </c>
      <c r="G22" s="64">
        <f t="shared" si="1"/>
        <v>586.91619412867135</v>
      </c>
      <c r="H22" s="65"/>
      <c r="J22" s="65"/>
      <c r="M22" s="68"/>
      <c r="N22" s="68"/>
    </row>
    <row r="23" spans="1:14" x14ac:dyDescent="0.5">
      <c r="A23" s="50">
        <f>IF(ISBLANK(B23),"",MAX($A$9:A22)+1)</f>
        <v>12</v>
      </c>
      <c r="B23" s="62" t="s">
        <v>21</v>
      </c>
      <c r="C23" s="63">
        <v>770.4636315739715</v>
      </c>
      <c r="D23" s="55">
        <f t="shared" si="2"/>
        <v>60.434549322832176</v>
      </c>
      <c r="E23" s="55">
        <f t="shared" si="3"/>
        <v>50.434549322832176</v>
      </c>
      <c r="F23" s="55">
        <f t="shared" si="0"/>
        <v>10</v>
      </c>
      <c r="G23" s="64">
        <f t="shared" si="1"/>
        <v>770.4636315739715</v>
      </c>
      <c r="H23" s="65"/>
      <c r="J23" s="65"/>
      <c r="M23" s="68"/>
      <c r="N23" s="68"/>
    </row>
    <row r="24" spans="1:14" x14ac:dyDescent="0.5">
      <c r="A24" s="50">
        <f>IF(ISBLANK(B24),"",MAX($A$9:A23)+1)</f>
        <v>13</v>
      </c>
      <c r="B24" s="62" t="s">
        <v>22</v>
      </c>
      <c r="C24" s="63">
        <v>762.80176543434391</v>
      </c>
      <c r="D24" s="55">
        <f t="shared" si="2"/>
        <v>59.933003565332157</v>
      </c>
      <c r="E24" s="55">
        <f t="shared" si="3"/>
        <v>49.933003565332157</v>
      </c>
      <c r="F24" s="55">
        <f t="shared" si="0"/>
        <v>10</v>
      </c>
      <c r="G24" s="64">
        <f t="shared" si="1"/>
        <v>762.80176543434391</v>
      </c>
      <c r="H24" s="65"/>
      <c r="J24" s="65"/>
      <c r="M24" s="68"/>
      <c r="N24" s="68"/>
    </row>
    <row r="25" spans="1:14" x14ac:dyDescent="0.5">
      <c r="A25" s="50">
        <f>IF(ISBLANK(B25),"",MAX($A$9:A24)+1)</f>
        <v>14</v>
      </c>
      <c r="B25" s="62" t="s">
        <v>23</v>
      </c>
      <c r="C25" s="63">
        <v>536.15882292668857</v>
      </c>
      <c r="D25" s="55">
        <f t="shared" si="2"/>
        <v>45.096956548781037</v>
      </c>
      <c r="E25" s="55">
        <f t="shared" si="3"/>
        <v>35.096956548781037</v>
      </c>
      <c r="F25" s="55">
        <f t="shared" si="0"/>
        <v>10</v>
      </c>
      <c r="G25" s="64">
        <f t="shared" si="1"/>
        <v>536.15882292668857</v>
      </c>
      <c r="H25" s="65"/>
      <c r="J25" s="65"/>
      <c r="M25" s="68"/>
      <c r="N25" s="68"/>
    </row>
    <row r="26" spans="1:14" x14ac:dyDescent="0.5">
      <c r="A26" s="50">
        <f>IF(ISBLANK(B26),"",MAX($A$9:A25)+1)</f>
        <v>15</v>
      </c>
      <c r="B26" s="62" t="s">
        <v>24</v>
      </c>
      <c r="C26" s="63">
        <v>457.55933222335221</v>
      </c>
      <c r="D26" s="55">
        <f t="shared" si="2"/>
        <v>39.951833887340641</v>
      </c>
      <c r="E26" s="55">
        <f t="shared" si="3"/>
        <v>29.951833887340637</v>
      </c>
      <c r="F26" s="55">
        <f t="shared" si="0"/>
        <v>10</v>
      </c>
      <c r="G26" s="64">
        <f t="shared" si="1"/>
        <v>457.55933222335221</v>
      </c>
      <c r="H26" s="65"/>
      <c r="J26" s="65"/>
      <c r="M26" s="68"/>
      <c r="N26" s="68"/>
    </row>
    <row r="27" spans="1:14" x14ac:dyDescent="0.5">
      <c r="A27" s="50">
        <f>IF(ISBLANK(B27),"",MAX($A$9:A26)+1)</f>
        <v>16</v>
      </c>
      <c r="B27" s="62" t="s">
        <v>25</v>
      </c>
      <c r="C27" s="63">
        <v>494.26229777958986</v>
      </c>
      <c r="D27" s="55">
        <f t="shared" si="2"/>
        <v>42.354410012651954</v>
      </c>
      <c r="E27" s="55">
        <f t="shared" si="3"/>
        <v>32.354410012651954</v>
      </c>
      <c r="F27" s="55">
        <f t="shared" si="0"/>
        <v>10</v>
      </c>
      <c r="G27" s="64">
        <f t="shared" si="1"/>
        <v>1139.8649873176851</v>
      </c>
      <c r="H27" s="65"/>
      <c r="J27" s="65">
        <v>645.60268953809532</v>
      </c>
      <c r="M27" s="68"/>
      <c r="N27" s="68"/>
    </row>
    <row r="28" spans="1:14" x14ac:dyDescent="0.5">
      <c r="A28" s="50">
        <f>IF(ISBLANK(B28),"",MAX($A$9:A27)+1)</f>
        <v>17</v>
      </c>
      <c r="B28" s="62" t="s">
        <v>26</v>
      </c>
      <c r="C28" s="69">
        <v>641.4787355928089</v>
      </c>
      <c r="D28" s="70">
        <f t="shared" si="2"/>
        <v>51.99119803190527</v>
      </c>
      <c r="E28" s="70">
        <f t="shared" si="3"/>
        <v>41.99119803190527</v>
      </c>
      <c r="F28" s="70">
        <f t="shared" si="0"/>
        <v>10</v>
      </c>
      <c r="G28" s="71">
        <f t="shared" si="1"/>
        <v>1749.7672352600857</v>
      </c>
      <c r="H28" s="65"/>
      <c r="J28" s="82">
        <v>1108.2884996672769</v>
      </c>
      <c r="M28" s="68"/>
      <c r="N28" s="68"/>
    </row>
    <row r="29" spans="1:14" x14ac:dyDescent="0.5">
      <c r="A29" s="50">
        <f>IF(ISBLANK(C29),"",MAX($A$9:A28)+1)</f>
        <v>18</v>
      </c>
      <c r="C29" s="64">
        <f>SUM(C17:C28)</f>
        <v>6860.5162870124414</v>
      </c>
      <c r="D29" s="55">
        <f>SUM(D17:D28)</f>
        <v>569.08939614783435</v>
      </c>
      <c r="E29" s="55">
        <f t="shared" ref="E29:F29" si="4">SUM(E17:E28)</f>
        <v>449.08939614783446</v>
      </c>
      <c r="F29" s="55">
        <f t="shared" si="4"/>
        <v>120</v>
      </c>
      <c r="G29" s="64">
        <f>SUM(G17:G28)</f>
        <v>12841.429525676449</v>
      </c>
      <c r="H29" s="65"/>
      <c r="J29" s="64">
        <f>SUM(J17:J28)</f>
        <v>5980.9132386640067</v>
      </c>
    </row>
    <row r="30" spans="1:14" x14ac:dyDescent="0.5">
      <c r="A30" s="50">
        <f>IF(ISBLANK(#REF!),"",MAX($A$9:A29)+1)</f>
        <v>19</v>
      </c>
      <c r="H30" s="65"/>
      <c r="M30" s="68"/>
      <c r="N30" s="68"/>
    </row>
    <row r="31" spans="1:14" x14ac:dyDescent="0.5">
      <c r="A31" s="50">
        <f>IF(ISBLANK(B31),"",MAX($A$9:A30)+1)</f>
        <v>20</v>
      </c>
      <c r="B31" s="53" t="s">
        <v>28</v>
      </c>
    </row>
    <row r="32" spans="1:14" x14ac:dyDescent="0.5">
      <c r="A32" s="50">
        <f>IF(ISBLANK(B32),"",MAX($A$9:A31)+1)</f>
        <v>21</v>
      </c>
      <c r="B32" s="73" t="s">
        <v>5</v>
      </c>
      <c r="C32" s="55">
        <f>C13</f>
        <v>10</v>
      </c>
    </row>
    <row r="33" spans="1:7" x14ac:dyDescent="0.5">
      <c r="A33" s="50">
        <f>IF(ISBLANK(B33),"",MAX($A$9:A32)+1)</f>
        <v>22</v>
      </c>
      <c r="B33" s="73" t="s">
        <v>30</v>
      </c>
      <c r="C33" s="74">
        <f>C32*12</f>
        <v>120</v>
      </c>
    </row>
    <row r="34" spans="1:7" x14ac:dyDescent="0.5">
      <c r="A34" s="50" t="str">
        <f>IF(ISBLANK(B34),"",MAX($A$9:A33)+1)</f>
        <v/>
      </c>
      <c r="B34" s="73"/>
    </row>
    <row r="35" spans="1:7" x14ac:dyDescent="0.5">
      <c r="A35" s="50">
        <f>IF(ISBLANK(B35),"",MAX($A$9:A34)+1)</f>
        <v>23</v>
      </c>
      <c r="B35" s="73" t="s">
        <v>31</v>
      </c>
      <c r="C35" s="55">
        <f>SUM(E17:E20,E27:E28)</f>
        <v>213.53633537705568</v>
      </c>
      <c r="D35" s="44" t="s">
        <v>32</v>
      </c>
    </row>
    <row r="36" spans="1:7" x14ac:dyDescent="0.5">
      <c r="A36" s="50">
        <f>IF(ISBLANK(B36),"",MAX($A$9:A35)+1)</f>
        <v>24</v>
      </c>
      <c r="B36" s="73" t="s">
        <v>33</v>
      </c>
      <c r="C36" s="75">
        <f>TRUNC(C35/SUM(G17:G20,G27:G28),5)</f>
        <v>2.3099999999999999E-2</v>
      </c>
      <c r="D36" s="44" t="s">
        <v>34</v>
      </c>
    </row>
    <row r="37" spans="1:7" x14ac:dyDescent="0.5">
      <c r="A37" s="50" t="str">
        <f>IF(ISBLANK(B37),"",MAX($A$9:A36)+1)</f>
        <v/>
      </c>
    </row>
    <row r="38" spans="1:7" x14ac:dyDescent="0.5">
      <c r="A38" s="50">
        <f>IF(ISBLANK(B38),"",MAX($A$9:A37)+1)</f>
        <v>25</v>
      </c>
      <c r="B38" s="53" t="s">
        <v>35</v>
      </c>
    </row>
    <row r="39" spans="1:7" x14ac:dyDescent="0.5">
      <c r="A39" s="50">
        <f>IF(ISBLANK(B39),"",MAX($A$9:A38)+1)</f>
        <v>26</v>
      </c>
      <c r="B39" s="53" t="s">
        <v>87</v>
      </c>
      <c r="C39" s="76" t="s">
        <v>4</v>
      </c>
      <c r="F39" s="72"/>
    </row>
    <row r="40" spans="1:7" x14ac:dyDescent="0.5">
      <c r="A40" s="50">
        <f>IF(ISBLANK(B40),"",MAX($A$9:A39)+1)</f>
        <v>27</v>
      </c>
      <c r="B40" s="54" t="s">
        <v>5</v>
      </c>
      <c r="C40" s="55">
        <f>C32</f>
        <v>10</v>
      </c>
    </row>
    <row r="41" spans="1:7" x14ac:dyDescent="0.5">
      <c r="A41" s="50">
        <f>IF(ISBLANK(B41),"",MAX($A$9:A40)+1)</f>
        <v>28</v>
      </c>
      <c r="B41" s="54" t="s">
        <v>37</v>
      </c>
      <c r="C41" s="57">
        <f>C36</f>
        <v>2.3099999999999999E-2</v>
      </c>
    </row>
    <row r="42" spans="1:7" x14ac:dyDescent="0.5">
      <c r="A42" s="50">
        <f>IF(ISBLANK(B42),"",MAX($A$9:A41)+1)</f>
        <v>29</v>
      </c>
      <c r="B42" s="54" t="s">
        <v>38</v>
      </c>
      <c r="C42" s="57">
        <f>C14</f>
        <v>6.5460000000000004E-2</v>
      </c>
    </row>
    <row r="43" spans="1:7" x14ac:dyDescent="0.5">
      <c r="A43" s="50">
        <f>IF(ISBLANK(C43),"",MAX($A$9:A42)+1)</f>
        <v>30</v>
      </c>
      <c r="B43" s="83" t="s">
        <v>107</v>
      </c>
      <c r="C43" s="84">
        <f>C42/C41</f>
        <v>2.8337662337662342</v>
      </c>
    </row>
    <row r="45" spans="1:7" x14ac:dyDescent="0.5">
      <c r="B45" s="44" t="s">
        <v>94</v>
      </c>
    </row>
    <row r="46" spans="1:7" x14ac:dyDescent="0.5">
      <c r="B46" s="44" t="s">
        <v>95</v>
      </c>
      <c r="C46" s="77"/>
      <c r="E46" s="78"/>
      <c r="F46" s="78"/>
      <c r="G46" s="78"/>
    </row>
    <row r="47" spans="1:7" x14ac:dyDescent="0.5">
      <c r="B47" s="44" t="s">
        <v>73</v>
      </c>
      <c r="C47" s="79"/>
      <c r="E47" s="55"/>
      <c r="F47" s="55"/>
      <c r="G47" s="80"/>
    </row>
    <row r="48" spans="1:7" x14ac:dyDescent="0.5">
      <c r="B48" s="44" t="s">
        <v>68</v>
      </c>
      <c r="C48" s="79"/>
      <c r="E48" s="55"/>
      <c r="F48" s="55"/>
      <c r="G48" s="80"/>
    </row>
    <row r="49" spans="2:7" x14ac:dyDescent="0.5">
      <c r="B49" s="44" t="s">
        <v>69</v>
      </c>
      <c r="C49" s="79"/>
      <c r="E49" s="55"/>
      <c r="F49" s="55"/>
      <c r="G49" s="80"/>
    </row>
    <row r="50" spans="2:7" x14ac:dyDescent="0.5">
      <c r="B50" s="44" t="s">
        <v>76</v>
      </c>
      <c r="E50" s="55"/>
      <c r="F50" s="55"/>
      <c r="G50" s="80"/>
    </row>
    <row r="51" spans="2:7" x14ac:dyDescent="0.5">
      <c r="B51" s="44" t="s">
        <v>102</v>
      </c>
      <c r="C51" s="81"/>
      <c r="E51" s="55"/>
      <c r="F51" s="55"/>
      <c r="G51" s="80"/>
    </row>
    <row r="52" spans="2:7" x14ac:dyDescent="0.5">
      <c r="B52" s="73" t="s">
        <v>103</v>
      </c>
      <c r="E52" s="55"/>
      <c r="F52" s="55"/>
      <c r="G52" s="80"/>
    </row>
    <row r="53" spans="2:7" x14ac:dyDescent="0.5">
      <c r="B53" s="44" t="s">
        <v>85</v>
      </c>
      <c r="E53" s="55"/>
      <c r="F53" s="55"/>
      <c r="G53" s="80"/>
    </row>
    <row r="54" spans="2:7" x14ac:dyDescent="0.5">
      <c r="B54" s="44" t="s">
        <v>83</v>
      </c>
    </row>
    <row r="55" spans="2:7" x14ac:dyDescent="0.5">
      <c r="B55" s="44" t="s">
        <v>75</v>
      </c>
    </row>
    <row r="56" spans="2:7" x14ac:dyDescent="0.5">
      <c r="B56" s="44" t="s">
        <v>84</v>
      </c>
    </row>
    <row r="57" spans="2:7" x14ac:dyDescent="0.5">
      <c r="B57" s="44" t="s">
        <v>86</v>
      </c>
    </row>
    <row r="58" spans="2:7" x14ac:dyDescent="0.5">
      <c r="B58" s="44" t="s">
        <v>88</v>
      </c>
    </row>
    <row r="59" spans="2:7" x14ac:dyDescent="0.5">
      <c r="B59" s="44" t="s">
        <v>89</v>
      </c>
    </row>
    <row r="60" spans="2:7" x14ac:dyDescent="0.5">
      <c r="B60" s="44" t="s">
        <v>91</v>
      </c>
    </row>
    <row r="61" spans="2:7" x14ac:dyDescent="0.5">
      <c r="B61" s="44" t="s">
        <v>90</v>
      </c>
    </row>
  </sheetData>
  <pageMargins left="0.7" right="0.7" top="0.75" bottom="0.75" header="0.3" footer="0.3"/>
  <pageSetup scale="46" orientation="portrait" horizontalDpi="1200" verticalDpi="1200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582C-9E35-4CF2-A9E0-D8F0322C325F}">
  <dimension ref="A1:S68"/>
  <sheetViews>
    <sheetView topLeftCell="A7" zoomScale="70" zoomScaleNormal="70" workbookViewId="0">
      <selection activeCell="C43" sqref="C43"/>
    </sheetView>
  </sheetViews>
  <sheetFormatPr defaultColWidth="9.1171875" defaultRowHeight="14.4" x14ac:dyDescent="0.55000000000000004"/>
  <cols>
    <col min="1" max="1" width="57.87890625" style="2" bestFit="1" customWidth="1"/>
    <col min="2" max="2" width="36.29296875" style="2" bestFit="1" customWidth="1"/>
    <col min="3" max="3" width="13.703125" style="2" bestFit="1" customWidth="1"/>
    <col min="4" max="4" width="14" style="2" bestFit="1" customWidth="1"/>
    <col min="5" max="5" width="15.29296875" style="2" bestFit="1" customWidth="1"/>
    <col min="6" max="6" width="14.703125" style="2" customWidth="1"/>
    <col min="7" max="7" width="15.41015625" style="2" customWidth="1"/>
    <col min="8" max="8" width="10.703125" style="2" bestFit="1" customWidth="1"/>
    <col min="9" max="9" width="10.41015625" style="2" bestFit="1" customWidth="1"/>
    <col min="10" max="15" width="12.1171875" style="2" customWidth="1"/>
    <col min="16" max="16384" width="9.1171875" style="2"/>
  </cols>
  <sheetData>
    <row r="1" spans="1:19" x14ac:dyDescent="0.55000000000000004">
      <c r="A1" s="1" t="s">
        <v>39</v>
      </c>
    </row>
    <row r="2" spans="1:19" x14ac:dyDescent="0.55000000000000004">
      <c r="A2" s="1" t="s">
        <v>40</v>
      </c>
    </row>
    <row r="3" spans="1:19" x14ac:dyDescent="0.55000000000000004">
      <c r="A3" s="1" t="s">
        <v>41</v>
      </c>
    </row>
    <row r="4" spans="1:19" x14ac:dyDescent="0.55000000000000004">
      <c r="A4" s="1" t="s">
        <v>53</v>
      </c>
    </row>
    <row r="5" spans="1:19" x14ac:dyDescent="0.55000000000000004">
      <c r="A5" s="3" t="s">
        <v>52</v>
      </c>
    </row>
    <row r="6" spans="1:19" x14ac:dyDescent="0.55000000000000004">
      <c r="A6" s="4" t="s">
        <v>0</v>
      </c>
    </row>
    <row r="9" spans="1:19" ht="15.3" x14ac:dyDescent="0.7">
      <c r="A9" s="5" t="s">
        <v>1</v>
      </c>
    </row>
    <row r="10" spans="1:19" x14ac:dyDescent="0.55000000000000004">
      <c r="A10" s="6">
        <v>1</v>
      </c>
      <c r="B10" s="7" t="s">
        <v>2</v>
      </c>
    </row>
    <row r="11" spans="1:19" x14ac:dyDescent="0.55000000000000004">
      <c r="A11" s="6" t="str">
        <f>IF(ISBLANK(B11),"",MAX($A$9:A10)+1)</f>
        <v/>
      </c>
      <c r="E11" s="8"/>
    </row>
    <row r="12" spans="1:19" ht="15.3" x14ac:dyDescent="0.7">
      <c r="A12" s="6">
        <f>IF(ISBLANK(B12),"",MAX($A$9:A11)+1)</f>
        <v>2</v>
      </c>
      <c r="B12" s="9" t="s">
        <v>54</v>
      </c>
      <c r="C12" s="5" t="s">
        <v>4</v>
      </c>
    </row>
    <row r="13" spans="1:19" x14ac:dyDescent="0.55000000000000004">
      <c r="A13" s="6">
        <f>IF(ISBLANK(B13),"",MAX($A$9:A12)+1)</f>
        <v>3</v>
      </c>
      <c r="B13" s="10" t="s">
        <v>5</v>
      </c>
      <c r="C13" s="11">
        <v>10</v>
      </c>
      <c r="E13" s="12"/>
    </row>
    <row r="14" spans="1:19" x14ac:dyDescent="0.55000000000000004">
      <c r="A14" s="6">
        <f>IF(ISBLANK(B14),"",MAX($A$9:A13)+1)</f>
        <v>4</v>
      </c>
      <c r="B14" s="10" t="s">
        <v>6</v>
      </c>
      <c r="C14" s="13">
        <v>6.5460000000000004E-2</v>
      </c>
      <c r="E14" s="12"/>
    </row>
    <row r="15" spans="1:19" x14ac:dyDescent="0.55000000000000004">
      <c r="A15" s="6" t="str">
        <f>IF(ISBLANK(B15),"",MAX($A$9:A14)+1)</f>
        <v/>
      </c>
      <c r="E15" s="14"/>
    </row>
    <row r="16" spans="1:19" ht="57.6" x14ac:dyDescent="0.55000000000000004">
      <c r="A16" s="6">
        <f>IF(ISBLANK(B16),"",MAX($A$9:A15)+1)</f>
        <v>5</v>
      </c>
      <c r="B16" s="15" t="s">
        <v>7</v>
      </c>
      <c r="C16" s="16" t="s">
        <v>55</v>
      </c>
      <c r="D16" s="16" t="s">
        <v>56</v>
      </c>
      <c r="E16" s="16" t="s">
        <v>58</v>
      </c>
      <c r="F16" s="16" t="s">
        <v>57</v>
      </c>
      <c r="G16" s="16" t="s">
        <v>59</v>
      </c>
      <c r="J16" s="16" t="s">
        <v>60</v>
      </c>
      <c r="K16" s="16" t="s">
        <v>61</v>
      </c>
      <c r="L16" s="16" t="s">
        <v>62</v>
      </c>
      <c r="M16" s="16" t="s">
        <v>63</v>
      </c>
      <c r="N16" s="16" t="s">
        <v>64</v>
      </c>
      <c r="O16" s="16" t="s">
        <v>65</v>
      </c>
      <c r="R16" s="2" t="s">
        <v>92</v>
      </c>
      <c r="S16" s="2" t="s">
        <v>93</v>
      </c>
    </row>
    <row r="17" spans="1:19" x14ac:dyDescent="0.55000000000000004">
      <c r="A17" s="6">
        <f>IF(ISBLANK(B17),"",MAX($A$9:A16)+1)</f>
        <v>6</v>
      </c>
      <c r="B17" s="17" t="s">
        <v>15</v>
      </c>
      <c r="C17" s="18">
        <v>610.63540923487062</v>
      </c>
      <c r="D17" s="11">
        <f>SUM(E17:F17)</f>
        <v>49.972193888514632</v>
      </c>
      <c r="E17" s="11">
        <f t="shared" ref="E17:E28" si="0">($C$14-$C$46)*C17</f>
        <v>39.972193888514632</v>
      </c>
      <c r="F17" s="11">
        <f t="shared" ref="F17:F28" si="1">$C$13</f>
        <v>10</v>
      </c>
      <c r="G17" s="19">
        <f t="shared" ref="G17:G28" si="2">C17+O17</f>
        <v>1896.6138726613801</v>
      </c>
      <c r="J17" s="20">
        <v>132</v>
      </c>
      <c r="K17" s="19">
        <f>J17-$K$30</f>
        <v>114</v>
      </c>
      <c r="L17" s="21">
        <v>28.3870698924732</v>
      </c>
      <c r="M17" s="33">
        <v>2.5973996415927414</v>
      </c>
      <c r="N17" s="20">
        <f>K17*$K$31</f>
        <v>3340.2000000000003</v>
      </c>
      <c r="O17" s="20">
        <f>N17/M17</f>
        <v>1285.9784634265095</v>
      </c>
      <c r="R17" s="43" t="e">
        <f>AVERAGE(#REF!)</f>
        <v>#REF!</v>
      </c>
      <c r="S17" s="43" t="e">
        <f>AVERAGE(#REF!)</f>
        <v>#REF!</v>
      </c>
    </row>
    <row r="18" spans="1:19" x14ac:dyDescent="0.55000000000000004">
      <c r="A18" s="6">
        <f>IF(ISBLANK(B18),"",MAX($A$9:A17)+1)</f>
        <v>7</v>
      </c>
      <c r="B18" s="17" t="s">
        <v>16</v>
      </c>
      <c r="C18" s="18">
        <v>530.69347714609728</v>
      </c>
      <c r="D18" s="11">
        <f t="shared" ref="D18:D28" si="3">SUM(E18:F18)</f>
        <v>44.739195013983533</v>
      </c>
      <c r="E18" s="11">
        <f t="shared" si="0"/>
        <v>34.739195013983533</v>
      </c>
      <c r="F18" s="11">
        <f t="shared" si="1"/>
        <v>10</v>
      </c>
      <c r="G18" s="19">
        <f t="shared" si="2"/>
        <v>1975.0424199201561</v>
      </c>
      <c r="J18" s="20">
        <v>149</v>
      </c>
      <c r="K18" s="19">
        <f>J18-$K$30</f>
        <v>131</v>
      </c>
      <c r="L18" s="21">
        <v>30.428333333333338</v>
      </c>
      <c r="M18" s="33">
        <v>2.6574603174687472</v>
      </c>
      <c r="N18" s="20">
        <f>K18*$K$31</f>
        <v>3838.3</v>
      </c>
      <c r="O18" s="20">
        <f>N18/M18</f>
        <v>1444.348942774059</v>
      </c>
      <c r="R18" s="43" t="e">
        <f>AVERAGE(#REF!)</f>
        <v>#REF!</v>
      </c>
      <c r="S18" s="43" t="e">
        <f>AVERAGE(#REF!)</f>
        <v>#REF!</v>
      </c>
    </row>
    <row r="19" spans="1:19" x14ac:dyDescent="0.55000000000000004">
      <c r="A19" s="6">
        <f>IF(ISBLANK(B19),"",MAX($A$9:A18)+1)</f>
        <v>8</v>
      </c>
      <c r="B19" s="17" t="s">
        <v>17</v>
      </c>
      <c r="C19" s="18">
        <v>530.1180955141532</v>
      </c>
      <c r="D19" s="11">
        <f t="shared" si="3"/>
        <v>44.701530532356472</v>
      </c>
      <c r="E19" s="11">
        <f t="shared" si="0"/>
        <v>34.701530532356472</v>
      </c>
      <c r="F19" s="11">
        <f t="shared" si="1"/>
        <v>10</v>
      </c>
      <c r="G19" s="19">
        <f t="shared" si="2"/>
        <v>1718.5152727125678</v>
      </c>
      <c r="J19" s="20">
        <v>133</v>
      </c>
      <c r="K19" s="19">
        <f>J19-$K$30</f>
        <v>115</v>
      </c>
      <c r="L19" s="21">
        <v>37.09606182795698</v>
      </c>
      <c r="M19" s="33">
        <v>2.8353315412137072</v>
      </c>
      <c r="N19" s="20">
        <f>K19*$K$31</f>
        <v>3369.5</v>
      </c>
      <c r="O19" s="20">
        <f>N19/M19</f>
        <v>1188.3971771984145</v>
      </c>
      <c r="R19" s="43" t="e">
        <f>AVERAGE(#REF!)</f>
        <v>#REF!</v>
      </c>
      <c r="S19" s="43" t="e">
        <f>AVERAGE(#REF!)</f>
        <v>#REF!</v>
      </c>
    </row>
    <row r="20" spans="1:19" x14ac:dyDescent="0.55000000000000004">
      <c r="A20" s="6">
        <f>IF(ISBLANK(B20),"",MAX($A$9:A19)+1)</f>
        <v>9</v>
      </c>
      <c r="B20" s="17" t="s">
        <v>18</v>
      </c>
      <c r="C20" s="18">
        <v>454.90082336761122</v>
      </c>
      <c r="D20" s="11">
        <f t="shared" si="3"/>
        <v>39.777807897643832</v>
      </c>
      <c r="E20" s="11">
        <f t="shared" si="0"/>
        <v>29.777807897643832</v>
      </c>
      <c r="F20" s="11">
        <f t="shared" si="1"/>
        <v>10</v>
      </c>
      <c r="G20" s="19">
        <f t="shared" si="2"/>
        <v>1133.4469796885778</v>
      </c>
      <c r="J20" s="20">
        <v>90</v>
      </c>
      <c r="K20" s="19">
        <f>J20-$K$30</f>
        <v>72</v>
      </c>
      <c r="L20" s="21">
        <v>47.34055555555554</v>
      </c>
      <c r="M20" s="33">
        <v>3.1089999999972222</v>
      </c>
      <c r="N20" s="20">
        <f>K20*$K$31</f>
        <v>2109.6</v>
      </c>
      <c r="O20" s="20">
        <f>N20/M20</f>
        <v>678.54615632096647</v>
      </c>
      <c r="R20" s="43" t="e">
        <f>AVERAGE(#REF!)</f>
        <v>#REF!</v>
      </c>
      <c r="S20" s="43" t="e">
        <f>AVERAGE(#REF!)</f>
        <v>#REF!</v>
      </c>
    </row>
    <row r="21" spans="1:19" x14ac:dyDescent="0.55000000000000004">
      <c r="A21" s="6">
        <f>IF(ISBLANK(B21),"",MAX($A$9:A20)+1)</f>
        <v>10</v>
      </c>
      <c r="B21" s="17" t="s">
        <v>19</v>
      </c>
      <c r="C21" s="18">
        <v>484.52770209028228</v>
      </c>
      <c r="D21" s="11">
        <f t="shared" si="3"/>
        <v>41.71718337882988</v>
      </c>
      <c r="E21" s="11">
        <f t="shared" si="0"/>
        <v>31.71718337882988</v>
      </c>
      <c r="F21" s="11">
        <f t="shared" si="1"/>
        <v>10</v>
      </c>
      <c r="G21" s="19">
        <f t="shared" si="2"/>
        <v>484.52770209028228</v>
      </c>
      <c r="J21" s="20">
        <v>46</v>
      </c>
      <c r="K21" s="19"/>
      <c r="L21" s="21"/>
      <c r="M21" s="33"/>
      <c r="N21" s="20"/>
      <c r="O21" s="20"/>
      <c r="R21" s="43"/>
      <c r="S21" s="43"/>
    </row>
    <row r="22" spans="1:19" x14ac:dyDescent="0.55000000000000004">
      <c r="A22" s="6">
        <f>IF(ISBLANK(B22),"",MAX($A$9:A21)+1)</f>
        <v>11</v>
      </c>
      <c r="B22" s="17" t="s">
        <v>20</v>
      </c>
      <c r="C22" s="18">
        <v>586.91619412867135</v>
      </c>
      <c r="D22" s="11">
        <f t="shared" si="3"/>
        <v>48.419534067662831</v>
      </c>
      <c r="E22" s="11">
        <f t="shared" si="0"/>
        <v>38.419534067662831</v>
      </c>
      <c r="F22" s="11">
        <f t="shared" si="1"/>
        <v>10</v>
      </c>
      <c r="G22" s="19">
        <f t="shared" si="2"/>
        <v>586.91619412867135</v>
      </c>
      <c r="J22" s="20">
        <v>23</v>
      </c>
      <c r="K22" s="19"/>
      <c r="L22" s="21"/>
      <c r="M22" s="33"/>
      <c r="N22" s="20"/>
      <c r="O22" s="20"/>
      <c r="R22" s="43"/>
      <c r="S22" s="43"/>
    </row>
    <row r="23" spans="1:19" x14ac:dyDescent="0.55000000000000004">
      <c r="A23" s="6">
        <f>IF(ISBLANK(B23),"",MAX($A$9:A22)+1)</f>
        <v>12</v>
      </c>
      <c r="B23" s="17" t="s">
        <v>21</v>
      </c>
      <c r="C23" s="18">
        <v>770.4636315739715</v>
      </c>
      <c r="D23" s="11">
        <f t="shared" si="3"/>
        <v>60.434549322832176</v>
      </c>
      <c r="E23" s="11">
        <f t="shared" si="0"/>
        <v>50.434549322832176</v>
      </c>
      <c r="F23" s="11">
        <f t="shared" si="1"/>
        <v>10</v>
      </c>
      <c r="G23" s="19">
        <f t="shared" si="2"/>
        <v>770.4636315739715</v>
      </c>
      <c r="J23" s="20">
        <v>18</v>
      </c>
      <c r="K23" s="19"/>
      <c r="L23" s="21"/>
      <c r="M23" s="33"/>
      <c r="N23" s="20"/>
      <c r="O23" s="20"/>
      <c r="R23" s="43"/>
      <c r="S23" s="43"/>
    </row>
    <row r="24" spans="1:19" x14ac:dyDescent="0.55000000000000004">
      <c r="A24" s="6">
        <f>IF(ISBLANK(B24),"",MAX($A$9:A23)+1)</f>
        <v>13</v>
      </c>
      <c r="B24" s="17" t="s">
        <v>22</v>
      </c>
      <c r="C24" s="18">
        <v>762.80176543434391</v>
      </c>
      <c r="D24" s="11">
        <f t="shared" si="3"/>
        <v>59.933003565332157</v>
      </c>
      <c r="E24" s="11">
        <f t="shared" si="0"/>
        <v>49.933003565332157</v>
      </c>
      <c r="F24" s="11">
        <f t="shared" si="1"/>
        <v>10</v>
      </c>
      <c r="G24" s="19">
        <f t="shared" si="2"/>
        <v>762.80176543434391</v>
      </c>
      <c r="J24" s="20">
        <v>15</v>
      </c>
      <c r="K24" s="19"/>
      <c r="L24" s="21"/>
      <c r="M24" s="33"/>
      <c r="N24" s="20"/>
      <c r="O24" s="20"/>
      <c r="R24" s="43"/>
      <c r="S24" s="43"/>
    </row>
    <row r="25" spans="1:19" x14ac:dyDescent="0.55000000000000004">
      <c r="A25" s="6">
        <f>IF(ISBLANK(B25),"",MAX($A$9:A24)+1)</f>
        <v>14</v>
      </c>
      <c r="B25" s="17" t="s">
        <v>23</v>
      </c>
      <c r="C25" s="18">
        <v>536.15882292668857</v>
      </c>
      <c r="D25" s="11">
        <f t="shared" si="3"/>
        <v>45.096956548781037</v>
      </c>
      <c r="E25" s="11">
        <f t="shared" si="0"/>
        <v>35.096956548781037</v>
      </c>
      <c r="F25" s="11">
        <f t="shared" si="1"/>
        <v>10</v>
      </c>
      <c r="G25" s="19">
        <f t="shared" si="2"/>
        <v>536.15882292668857</v>
      </c>
      <c r="J25" s="20">
        <v>16</v>
      </c>
      <c r="K25" s="19"/>
      <c r="L25" s="21"/>
      <c r="M25" s="33"/>
      <c r="N25" s="20"/>
      <c r="O25" s="20"/>
      <c r="R25" s="43"/>
      <c r="S25" s="43"/>
    </row>
    <row r="26" spans="1:19" x14ac:dyDescent="0.55000000000000004">
      <c r="A26" s="6">
        <f>IF(ISBLANK(B26),"",MAX($A$9:A25)+1)</f>
        <v>15</v>
      </c>
      <c r="B26" s="17" t="s">
        <v>24</v>
      </c>
      <c r="C26" s="18">
        <v>457.55933222335221</v>
      </c>
      <c r="D26" s="11">
        <f t="shared" si="3"/>
        <v>39.951833887340641</v>
      </c>
      <c r="E26" s="11">
        <f t="shared" si="0"/>
        <v>29.951833887340637</v>
      </c>
      <c r="F26" s="11">
        <f t="shared" si="1"/>
        <v>10</v>
      </c>
      <c r="G26" s="19">
        <f t="shared" si="2"/>
        <v>457.55933222335221</v>
      </c>
      <c r="J26" s="20">
        <v>20</v>
      </c>
      <c r="K26" s="19"/>
      <c r="L26" s="21"/>
      <c r="M26" s="33"/>
      <c r="N26" s="20"/>
      <c r="O26" s="20"/>
      <c r="R26" s="43"/>
      <c r="S26" s="43"/>
    </row>
    <row r="27" spans="1:19" x14ac:dyDescent="0.55000000000000004">
      <c r="A27" s="6">
        <f>IF(ISBLANK(B27),"",MAX($A$9:A26)+1)</f>
        <v>16</v>
      </c>
      <c r="B27" s="17" t="s">
        <v>25</v>
      </c>
      <c r="C27" s="18">
        <v>494.26229777958986</v>
      </c>
      <c r="D27" s="11">
        <f t="shared" si="3"/>
        <v>42.354410012651954</v>
      </c>
      <c r="E27" s="11">
        <f t="shared" si="0"/>
        <v>32.354410012651954</v>
      </c>
      <c r="F27" s="11">
        <f t="shared" si="1"/>
        <v>10</v>
      </c>
      <c r="G27" s="19">
        <f t="shared" si="2"/>
        <v>777.68107796773904</v>
      </c>
      <c r="J27" s="20">
        <v>47</v>
      </c>
      <c r="K27" s="19">
        <f>J27-$K$30</f>
        <v>29</v>
      </c>
      <c r="L27" s="21">
        <v>43.187180555555543</v>
      </c>
      <c r="M27" s="33">
        <v>2.9980370370513976</v>
      </c>
      <c r="N27" s="20">
        <f>K27*$K$31</f>
        <v>849.7</v>
      </c>
      <c r="O27" s="20">
        <f>N27/M27</f>
        <v>283.41878018814919</v>
      </c>
      <c r="R27" s="43" t="e">
        <f>AVERAGE(#REF!)</f>
        <v>#REF!</v>
      </c>
      <c r="S27" s="43" t="e">
        <f>AVERAGE(#REF!)</f>
        <v>#REF!</v>
      </c>
    </row>
    <row r="28" spans="1:19" x14ac:dyDescent="0.55000000000000004">
      <c r="A28" s="6">
        <f>IF(ISBLANK(B28),"",MAX($A$9:A27)+1)</f>
        <v>17</v>
      </c>
      <c r="B28" s="17" t="s">
        <v>26</v>
      </c>
      <c r="C28" s="42">
        <v>641.4787355928089</v>
      </c>
      <c r="D28" s="22">
        <f t="shared" si="3"/>
        <v>51.99119803190527</v>
      </c>
      <c r="E28" s="22">
        <f t="shared" si="0"/>
        <v>41.99119803190527</v>
      </c>
      <c r="F28" s="22">
        <f t="shared" si="1"/>
        <v>10</v>
      </c>
      <c r="G28" s="23">
        <f t="shared" si="2"/>
        <v>1437.5167390823092</v>
      </c>
      <c r="J28" s="20">
        <v>93</v>
      </c>
      <c r="K28" s="19">
        <f>J28-$K$30</f>
        <v>75</v>
      </c>
      <c r="L28" s="21">
        <v>34.282298387096809</v>
      </c>
      <c r="M28" s="33">
        <v>2.7605465949704309</v>
      </c>
      <c r="N28" s="20">
        <f>K28*$K$31</f>
        <v>2197.5</v>
      </c>
      <c r="O28" s="24">
        <f>N28/M28</f>
        <v>796.03800348950028</v>
      </c>
      <c r="R28" s="43" t="e">
        <f>AVERAGE(#REF!)</f>
        <v>#REF!</v>
      </c>
      <c r="S28" s="43" t="e">
        <f>AVERAGE(#REF!)</f>
        <v>#REF!</v>
      </c>
    </row>
    <row r="29" spans="1:19" x14ac:dyDescent="0.55000000000000004">
      <c r="A29" s="6">
        <f>IF(ISBLANK(C29),"",MAX($A$9:A28)+1)</f>
        <v>18</v>
      </c>
      <c r="C29" s="19">
        <f>SUM(C17:C28)</f>
        <v>6860.5162870124414</v>
      </c>
      <c r="D29" s="11">
        <f>SUM(D17:D28)</f>
        <v>569.08939614783435</v>
      </c>
      <c r="E29" s="11">
        <f t="shared" ref="E29:F29" si="4">SUM(E17:E28)</f>
        <v>449.08939614783446</v>
      </c>
      <c r="F29" s="11">
        <f t="shared" si="4"/>
        <v>120</v>
      </c>
      <c r="G29" s="19">
        <f>SUM(G17:G28)</f>
        <v>12537.243810410042</v>
      </c>
      <c r="N29" s="19"/>
      <c r="O29" s="19">
        <f>SUM(O17:O28)</f>
        <v>5676.7275233975988</v>
      </c>
    </row>
    <row r="30" spans="1:19" x14ac:dyDescent="0.55000000000000004">
      <c r="A30" s="6">
        <f>IF(ISBLANK(K30),"",MAX($A$9:A29)+1)</f>
        <v>19</v>
      </c>
      <c r="J30" s="25" t="s">
        <v>27</v>
      </c>
      <c r="K30" s="19">
        <f>AVERAGE(J22:J25)</f>
        <v>18</v>
      </c>
      <c r="L30" s="43">
        <f>AVERAGE(L17:L28)</f>
        <v>36.786916591995229</v>
      </c>
      <c r="M30" s="43">
        <f>AVERAGE(M17:M28)</f>
        <v>2.8262958553823747</v>
      </c>
      <c r="R30" s="43" t="e">
        <f>AVERAGE(R17:R28)</f>
        <v>#REF!</v>
      </c>
      <c r="S30" s="43" t="e">
        <f>AVERAGE(S17:S28)</f>
        <v>#REF!</v>
      </c>
    </row>
    <row r="31" spans="1:19" x14ac:dyDescent="0.55000000000000004">
      <c r="A31" s="6">
        <f>IF(ISBLANK(B31),"",MAX($A$9:A30)+1)</f>
        <v>20</v>
      </c>
      <c r="B31" s="9" t="s">
        <v>28</v>
      </c>
      <c r="J31" s="25" t="s">
        <v>29</v>
      </c>
      <c r="K31" s="19">
        <v>29.3</v>
      </c>
    </row>
    <row r="32" spans="1:19" x14ac:dyDescent="0.55000000000000004">
      <c r="A32" s="6">
        <f>IF(ISBLANK(B32),"",MAX($A$9:A31)+1)</f>
        <v>21</v>
      </c>
      <c r="B32" s="26" t="s">
        <v>5</v>
      </c>
      <c r="C32" s="11">
        <f>C13</f>
        <v>10</v>
      </c>
    </row>
    <row r="33" spans="1:7" x14ac:dyDescent="0.55000000000000004">
      <c r="A33" s="6">
        <f>IF(ISBLANK(B33),"",MAX($A$9:A32)+1)</f>
        <v>22</v>
      </c>
      <c r="B33" s="26" t="s">
        <v>30</v>
      </c>
      <c r="C33" s="27">
        <f>C32*12</f>
        <v>120</v>
      </c>
    </row>
    <row r="34" spans="1:7" x14ac:dyDescent="0.55000000000000004">
      <c r="A34" s="6" t="str">
        <f>IF(ISBLANK(B34),"",MAX($A$9:A33)+1)</f>
        <v/>
      </c>
      <c r="B34" s="26"/>
    </row>
    <row r="35" spans="1:7" x14ac:dyDescent="0.55000000000000004">
      <c r="A35" s="6">
        <f>IF(ISBLANK(B35),"",MAX($A$9:A34)+1)</f>
        <v>23</v>
      </c>
      <c r="B35" s="26" t="s">
        <v>31</v>
      </c>
      <c r="C35" s="11">
        <f>SUM(E17:E20,E27:E28)</f>
        <v>213.53633537705568</v>
      </c>
      <c r="D35" s="2" t="s">
        <v>32</v>
      </c>
    </row>
    <row r="36" spans="1:7" x14ac:dyDescent="0.55000000000000004">
      <c r="A36" s="6">
        <f>IF(ISBLANK(B36),"",MAX($A$9:A35)+1)</f>
        <v>24</v>
      </c>
      <c r="B36" s="26" t="s">
        <v>33</v>
      </c>
      <c r="C36" s="28">
        <f>TRUNC(C35/SUM(G17:G20,G27:G28),5)</f>
        <v>2.3879999999999998E-2</v>
      </c>
      <c r="D36" s="2" t="s">
        <v>34</v>
      </c>
    </row>
    <row r="37" spans="1:7" x14ac:dyDescent="0.55000000000000004">
      <c r="A37" s="6" t="str">
        <f>IF(ISBLANK(B37),"",MAX($A$9:A36)+1)</f>
        <v/>
      </c>
    </row>
    <row r="38" spans="1:7" x14ac:dyDescent="0.55000000000000004">
      <c r="A38" s="6">
        <f>IF(ISBLANK(B38),"",MAX($A$9:A37)+1)</f>
        <v>25</v>
      </c>
      <c r="B38" s="9" t="s">
        <v>35</v>
      </c>
    </row>
    <row r="39" spans="1:7" x14ac:dyDescent="0.55000000000000004">
      <c r="A39" s="6">
        <f>IF(ISBLANK(B39),"",MAX($A$9:A38)+1)</f>
        <v>26</v>
      </c>
      <c r="B39" s="9" t="s">
        <v>87</v>
      </c>
      <c r="C39" s="29" t="s">
        <v>4</v>
      </c>
      <c r="F39" s="25"/>
    </row>
    <row r="40" spans="1:7" x14ac:dyDescent="0.55000000000000004">
      <c r="A40" s="6">
        <f>IF(ISBLANK(B40),"",MAX($A$9:A39)+1)</f>
        <v>27</v>
      </c>
      <c r="B40" s="10" t="s">
        <v>5</v>
      </c>
      <c r="C40" s="11">
        <f>C32</f>
        <v>10</v>
      </c>
    </row>
    <row r="41" spans="1:7" x14ac:dyDescent="0.55000000000000004">
      <c r="A41" s="6">
        <f>IF(ISBLANK(B41),"",MAX($A$9:A40)+1)</f>
        <v>28</v>
      </c>
      <c r="B41" s="10" t="s">
        <v>37</v>
      </c>
      <c r="C41" s="13">
        <f>C36</f>
        <v>2.3879999999999998E-2</v>
      </c>
    </row>
    <row r="42" spans="1:7" x14ac:dyDescent="0.55000000000000004">
      <c r="A42" s="6">
        <f>IF(ISBLANK(B42),"",MAX($A$9:A41)+1)</f>
        <v>29</v>
      </c>
      <c r="B42" s="10" t="s">
        <v>38</v>
      </c>
      <c r="C42" s="13">
        <f>C14</f>
        <v>6.5460000000000004E-2</v>
      </c>
    </row>
    <row r="43" spans="1:7" x14ac:dyDescent="0.55000000000000004">
      <c r="A43" s="6">
        <f>IF(ISBLANK(C43),"",MAX($A$9:A42)+1)</f>
        <v>30</v>
      </c>
      <c r="B43" s="2" t="s">
        <v>74</v>
      </c>
      <c r="C43" s="41">
        <f>C42/C41</f>
        <v>2.7412060301507539</v>
      </c>
    </row>
    <row r="45" spans="1:7" x14ac:dyDescent="0.55000000000000004">
      <c r="B45" s="2" t="s">
        <v>66</v>
      </c>
    </row>
    <row r="46" spans="1:7" x14ac:dyDescent="0.55000000000000004">
      <c r="B46" s="2" t="s">
        <v>67</v>
      </c>
      <c r="C46" s="36"/>
      <c r="E46" s="34"/>
      <c r="F46" s="34"/>
      <c r="G46" s="34"/>
    </row>
    <row r="47" spans="1:7" x14ac:dyDescent="0.55000000000000004">
      <c r="B47" s="2" t="s">
        <v>73</v>
      </c>
      <c r="C47" s="37"/>
      <c r="E47" s="11"/>
      <c r="F47" s="11"/>
      <c r="G47" s="30"/>
    </row>
    <row r="48" spans="1:7" x14ac:dyDescent="0.55000000000000004">
      <c r="B48" s="2" t="s">
        <v>68</v>
      </c>
      <c r="C48" s="37"/>
      <c r="E48" s="11"/>
      <c r="F48" s="11"/>
      <c r="G48" s="30"/>
    </row>
    <row r="49" spans="2:7" x14ac:dyDescent="0.55000000000000004">
      <c r="B49" s="2" t="s">
        <v>69</v>
      </c>
      <c r="C49" s="37"/>
      <c r="E49" s="11"/>
      <c r="F49" s="11"/>
      <c r="G49" s="30"/>
    </row>
    <row r="50" spans="2:7" x14ac:dyDescent="0.55000000000000004">
      <c r="B50" s="2" t="s">
        <v>76</v>
      </c>
      <c r="E50" s="11"/>
      <c r="F50" s="11"/>
      <c r="G50" s="30"/>
    </row>
    <row r="51" spans="2:7" x14ac:dyDescent="0.55000000000000004">
      <c r="B51" s="2" t="s">
        <v>77</v>
      </c>
      <c r="C51" s="35"/>
      <c r="E51" s="11"/>
      <c r="F51" s="11"/>
      <c r="G51" s="30"/>
    </row>
    <row r="52" spans="2:7" x14ac:dyDescent="0.55000000000000004">
      <c r="B52" s="26" t="s">
        <v>70</v>
      </c>
      <c r="E52" s="11"/>
      <c r="F52" s="11"/>
      <c r="G52" s="30"/>
    </row>
    <row r="53" spans="2:7" x14ac:dyDescent="0.55000000000000004">
      <c r="B53" s="26" t="s">
        <v>78</v>
      </c>
      <c r="E53" s="11"/>
      <c r="F53" s="11"/>
      <c r="G53" s="30"/>
    </row>
    <row r="54" spans="2:7" x14ac:dyDescent="0.55000000000000004">
      <c r="B54" s="2" t="s">
        <v>85</v>
      </c>
      <c r="E54" s="11"/>
      <c r="F54" s="11"/>
      <c r="G54" s="30"/>
    </row>
    <row r="55" spans="2:7" x14ac:dyDescent="0.55000000000000004">
      <c r="B55" s="26" t="s">
        <v>79</v>
      </c>
      <c r="E55" s="11"/>
      <c r="F55" s="11"/>
      <c r="G55" s="30"/>
    </row>
    <row r="56" spans="2:7" x14ac:dyDescent="0.55000000000000004">
      <c r="B56" s="26" t="s">
        <v>80</v>
      </c>
      <c r="E56" s="11"/>
      <c r="F56" s="11"/>
      <c r="G56" s="30"/>
    </row>
    <row r="57" spans="2:7" x14ac:dyDescent="0.55000000000000004">
      <c r="B57" s="40" t="s">
        <v>71</v>
      </c>
      <c r="E57" s="11"/>
      <c r="F57" s="11"/>
      <c r="G57" s="30"/>
    </row>
    <row r="58" spans="2:7" x14ac:dyDescent="0.55000000000000004">
      <c r="B58" s="40" t="s">
        <v>72</v>
      </c>
      <c r="E58" s="11"/>
      <c r="F58" s="11"/>
      <c r="G58" s="30"/>
    </row>
    <row r="59" spans="2:7" x14ac:dyDescent="0.55000000000000004">
      <c r="B59" s="2" t="s">
        <v>81</v>
      </c>
      <c r="E59" s="11"/>
      <c r="F59" s="11"/>
      <c r="G59" s="30"/>
    </row>
    <row r="60" spans="2:7" x14ac:dyDescent="0.55000000000000004">
      <c r="B60" s="2" t="s">
        <v>82</v>
      </c>
    </row>
    <row r="61" spans="2:7" x14ac:dyDescent="0.55000000000000004">
      <c r="B61" s="2" t="s">
        <v>83</v>
      </c>
    </row>
    <row r="62" spans="2:7" x14ac:dyDescent="0.55000000000000004">
      <c r="B62" s="2" t="s">
        <v>75</v>
      </c>
    </row>
    <row r="63" spans="2:7" x14ac:dyDescent="0.55000000000000004">
      <c r="B63" s="2" t="s">
        <v>84</v>
      </c>
    </row>
    <row r="64" spans="2:7" x14ac:dyDescent="0.55000000000000004">
      <c r="B64" s="2" t="s">
        <v>86</v>
      </c>
    </row>
    <row r="65" spans="2:2" x14ac:dyDescent="0.55000000000000004">
      <c r="B65" s="2" t="s">
        <v>88</v>
      </c>
    </row>
    <row r="66" spans="2:2" x14ac:dyDescent="0.55000000000000004">
      <c r="B66" s="2" t="s">
        <v>89</v>
      </c>
    </row>
    <row r="67" spans="2:2" x14ac:dyDescent="0.55000000000000004">
      <c r="B67" s="2" t="s">
        <v>91</v>
      </c>
    </row>
    <row r="68" spans="2:2" x14ac:dyDescent="0.55000000000000004">
      <c r="B68" s="2" t="s">
        <v>90</v>
      </c>
    </row>
  </sheetData>
  <pageMargins left="0.7" right="0.7" top="0.75" bottom="0.75" header="0.3" footer="0.3"/>
  <pageSetup scale="85" orientation="portrait" horizontalDpi="1200" verticalDpi="1200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DBDA-17A1-4519-A289-983B4BBD1702}">
  <dimension ref="A1:O65"/>
  <sheetViews>
    <sheetView zoomScale="70" zoomScaleNormal="70" workbookViewId="0">
      <selection activeCell="L16" sqref="L16:M27"/>
    </sheetView>
  </sheetViews>
  <sheetFormatPr defaultColWidth="9.1171875" defaultRowHeight="14.4" x14ac:dyDescent="0.55000000000000004"/>
  <cols>
    <col min="1" max="1" width="32.703125" style="2" bestFit="1" customWidth="1"/>
    <col min="2" max="2" width="36.29296875" style="2" bestFit="1" customWidth="1"/>
    <col min="3" max="3" width="13.703125" style="2" bestFit="1" customWidth="1"/>
    <col min="4" max="4" width="14" style="2" bestFit="1" customWidth="1"/>
    <col min="5" max="5" width="15.29296875" style="2" bestFit="1" customWidth="1"/>
    <col min="6" max="6" width="14.703125" style="2" customWidth="1"/>
    <col min="7" max="7" width="15.41015625" style="2" customWidth="1"/>
    <col min="8" max="8" width="10.703125" style="2" bestFit="1" customWidth="1"/>
    <col min="9" max="9" width="10.41015625" style="2" bestFit="1" customWidth="1"/>
    <col min="10" max="15" width="12.1171875" style="2" customWidth="1"/>
    <col min="16" max="16384" width="9.1171875" style="2"/>
  </cols>
  <sheetData>
    <row r="1" spans="1:15" x14ac:dyDescent="0.55000000000000004">
      <c r="A1" s="1"/>
    </row>
    <row r="2" spans="1:15" x14ac:dyDescent="0.55000000000000004">
      <c r="A2" s="1"/>
    </row>
    <row r="3" spans="1:15" x14ac:dyDescent="0.55000000000000004">
      <c r="A3" s="1"/>
    </row>
    <row r="4" spans="1:15" x14ac:dyDescent="0.55000000000000004">
      <c r="A4" s="3"/>
    </row>
    <row r="5" spans="1:15" x14ac:dyDescent="0.55000000000000004">
      <c r="A5" s="4"/>
    </row>
    <row r="8" spans="1:15" ht="15.3" x14ac:dyDescent="0.7">
      <c r="A8" s="5" t="s">
        <v>1</v>
      </c>
    </row>
    <row r="9" spans="1:15" x14ac:dyDescent="0.55000000000000004">
      <c r="A9" s="6">
        <v>1</v>
      </c>
      <c r="B9" s="7" t="s">
        <v>2</v>
      </c>
    </row>
    <row r="10" spans="1:15" x14ac:dyDescent="0.55000000000000004">
      <c r="A10" s="6" t="str">
        <f>IF(ISBLANK(B10),"",MAX($A$8:A9)+1)</f>
        <v/>
      </c>
      <c r="E10" s="8"/>
    </row>
    <row r="11" spans="1:15" ht="15.3" x14ac:dyDescent="0.7">
      <c r="A11" s="6">
        <f>IF(ISBLANK(B11),"",MAX($A$8:A10)+1)</f>
        <v>2</v>
      </c>
      <c r="B11" s="9" t="s">
        <v>3</v>
      </c>
      <c r="C11" s="5" t="s">
        <v>4</v>
      </c>
    </row>
    <row r="12" spans="1:15" x14ac:dyDescent="0.55000000000000004">
      <c r="A12" s="6">
        <f>IF(ISBLANK(B12),"",MAX($A$8:A11)+1)</f>
        <v>3</v>
      </c>
      <c r="B12" s="10" t="s">
        <v>5</v>
      </c>
      <c r="C12" s="11">
        <v>10</v>
      </c>
      <c r="E12" s="12"/>
    </row>
    <row r="13" spans="1:15" x14ac:dyDescent="0.55000000000000004">
      <c r="A13" s="6">
        <f>IF(ISBLANK(B13),"",MAX($A$8:A12)+1)</f>
        <v>4</v>
      </c>
      <c r="B13" s="10" t="s">
        <v>6</v>
      </c>
      <c r="C13" s="13">
        <v>6.5460000000000004E-2</v>
      </c>
      <c r="E13" s="12"/>
    </row>
    <row r="14" spans="1:15" x14ac:dyDescent="0.55000000000000004">
      <c r="A14" s="6" t="str">
        <f>IF(ISBLANK(B14),"",MAX($A$8:A13)+1)</f>
        <v/>
      </c>
      <c r="E14" s="14"/>
    </row>
    <row r="15" spans="1:15" ht="43.2" x14ac:dyDescent="0.55000000000000004">
      <c r="A15" s="6">
        <f>IF(ISBLANK(B15),"",MAX($A$8:A14)+1)</f>
        <v>5</v>
      </c>
      <c r="B15" s="15" t="s">
        <v>7</v>
      </c>
      <c r="C15" s="16" t="s">
        <v>44</v>
      </c>
      <c r="D15" s="16" t="s">
        <v>8</v>
      </c>
      <c r="E15" s="16" t="s">
        <v>9</v>
      </c>
      <c r="F15" s="16" t="s">
        <v>10</v>
      </c>
      <c r="G15" s="16" t="s">
        <v>11</v>
      </c>
      <c r="H15" s="2" t="s">
        <v>43</v>
      </c>
      <c r="J15" s="16" t="s">
        <v>48</v>
      </c>
      <c r="K15" s="16" t="s">
        <v>12</v>
      </c>
      <c r="L15" s="16" t="s">
        <v>49</v>
      </c>
      <c r="M15" s="16" t="s">
        <v>50</v>
      </c>
      <c r="N15" s="16" t="s">
        <v>13</v>
      </c>
      <c r="O15" s="16" t="s">
        <v>14</v>
      </c>
    </row>
    <row r="16" spans="1:15" x14ac:dyDescent="0.55000000000000004">
      <c r="A16" s="6">
        <f>IF(ISBLANK(B16),"",MAX($A$8:A15)+1)</f>
        <v>6</v>
      </c>
      <c r="B16" s="17" t="s">
        <v>15</v>
      </c>
      <c r="C16" s="18">
        <v>610.63540923487062</v>
      </c>
      <c r="D16" s="11">
        <f t="shared" ref="D16:D27" si="0">$C$12+$C$13*C16</f>
        <v>49.972193888514632</v>
      </c>
      <c r="E16" s="11">
        <f t="shared" ref="E16:E27" si="1">($C$13-$C$45)*C16</f>
        <v>39.972193888514632</v>
      </c>
      <c r="F16" s="11">
        <f t="shared" ref="F16:F27" si="2">$C$12</f>
        <v>10</v>
      </c>
      <c r="G16" s="19">
        <f t="shared" ref="G16:G27" si="3">C16+O16</f>
        <v>1891.8051183775135</v>
      </c>
      <c r="H16" s="2">
        <f>G16/C16</f>
        <v>3.0980927240167015</v>
      </c>
      <c r="I16" s="2">
        <v>1</v>
      </c>
      <c r="J16" s="20">
        <v>132</v>
      </c>
      <c r="K16" s="19">
        <f>J16-$K$29</f>
        <v>114</v>
      </c>
      <c r="N16" s="20">
        <f>K16*$K$30</f>
        <v>3340.2000000000003</v>
      </c>
      <c r="O16" s="20">
        <f>N16/'NG-4 Page 1'!M17</f>
        <v>1281.1697091426429</v>
      </c>
    </row>
    <row r="17" spans="1:15" x14ac:dyDescent="0.55000000000000004">
      <c r="A17" s="6">
        <f>IF(ISBLANK(B17),"",MAX($A$8:A16)+1)</f>
        <v>7</v>
      </c>
      <c r="B17" s="17" t="s">
        <v>16</v>
      </c>
      <c r="C17" s="18">
        <v>530.69347714609728</v>
      </c>
      <c r="D17" s="11">
        <f t="shared" si="0"/>
        <v>44.739195013983533</v>
      </c>
      <c r="E17" s="11">
        <f t="shared" si="1"/>
        <v>34.739195013983533</v>
      </c>
      <c r="F17" s="11">
        <f t="shared" si="2"/>
        <v>10</v>
      </c>
      <c r="G17" s="19">
        <f t="shared" si="3"/>
        <v>1972.9963863433468</v>
      </c>
      <c r="H17" s="2">
        <f t="shared" ref="H17:H19" si="4">G17/C17</f>
        <v>3.7177701843133653</v>
      </c>
      <c r="I17" s="2">
        <v>2</v>
      </c>
      <c r="J17" s="20">
        <v>149</v>
      </c>
      <c r="K17" s="19">
        <f>J17-$K$29</f>
        <v>131</v>
      </c>
      <c r="N17" s="20">
        <f>K17*$K$30</f>
        <v>3838.3</v>
      </c>
      <c r="O17" s="20">
        <f>N17/'NG-4 Page 1'!M18</f>
        <v>1442.3029091972494</v>
      </c>
    </row>
    <row r="18" spans="1:15" x14ac:dyDescent="0.55000000000000004">
      <c r="A18" s="6">
        <f>IF(ISBLANK(B18),"",MAX($A$8:A17)+1)</f>
        <v>8</v>
      </c>
      <c r="B18" s="17" t="s">
        <v>17</v>
      </c>
      <c r="C18" s="18">
        <v>530.1180955141532</v>
      </c>
      <c r="D18" s="11">
        <f t="shared" si="0"/>
        <v>44.701530532356472</v>
      </c>
      <c r="E18" s="11">
        <f t="shared" si="1"/>
        <v>34.701530532356472</v>
      </c>
      <c r="F18" s="11">
        <f t="shared" si="2"/>
        <v>10</v>
      </c>
      <c r="G18" s="19">
        <f t="shared" si="3"/>
        <v>1712.1460842478759</v>
      </c>
      <c r="H18" s="2">
        <f t="shared" si="4"/>
        <v>3.2297446526274345</v>
      </c>
      <c r="I18" s="2">
        <v>3</v>
      </c>
      <c r="J18" s="20">
        <v>133</v>
      </c>
      <c r="K18" s="19">
        <f>J18-$K$29</f>
        <v>115</v>
      </c>
      <c r="N18" s="20">
        <f>K18*$K$30</f>
        <v>3369.5</v>
      </c>
      <c r="O18" s="20">
        <f>N18/'NG-4 Page 1'!M19</f>
        <v>1182.0279887337226</v>
      </c>
    </row>
    <row r="19" spans="1:15" x14ac:dyDescent="0.55000000000000004">
      <c r="A19" s="6">
        <f>IF(ISBLANK(B19),"",MAX($A$8:A18)+1)</f>
        <v>9</v>
      </c>
      <c r="B19" s="17" t="s">
        <v>18</v>
      </c>
      <c r="C19" s="18">
        <v>454.90082336761122</v>
      </c>
      <c r="D19" s="11">
        <f t="shared" si="0"/>
        <v>39.777807897643832</v>
      </c>
      <c r="E19" s="11">
        <f t="shared" si="1"/>
        <v>29.777807897643832</v>
      </c>
      <c r="F19" s="11">
        <f t="shared" si="2"/>
        <v>10</v>
      </c>
      <c r="G19" s="19">
        <f t="shared" si="3"/>
        <v>1131.2312990407056</v>
      </c>
      <c r="H19" s="2">
        <f t="shared" si="4"/>
        <v>2.486764676894293</v>
      </c>
      <c r="I19" s="2">
        <v>4</v>
      </c>
      <c r="J19" s="20">
        <v>90</v>
      </c>
      <c r="K19" s="19">
        <f>J19-$K$29</f>
        <v>72</v>
      </c>
      <c r="N19" s="20">
        <f>K19*$K$30</f>
        <v>2109.6</v>
      </c>
      <c r="O19" s="20">
        <f>N19/'NG-4 Page 1'!M20</f>
        <v>676.33047567309438</v>
      </c>
    </row>
    <row r="20" spans="1:15" x14ac:dyDescent="0.55000000000000004">
      <c r="A20" s="6">
        <f>IF(ISBLANK(B20),"",MAX($A$8:A19)+1)</f>
        <v>10</v>
      </c>
      <c r="B20" s="17" t="s">
        <v>19</v>
      </c>
      <c r="C20" s="18">
        <v>484.52770209028228</v>
      </c>
      <c r="D20" s="11">
        <f t="shared" si="0"/>
        <v>41.71718337882988</v>
      </c>
      <c r="E20" s="11">
        <f t="shared" si="1"/>
        <v>31.71718337882988</v>
      </c>
      <c r="F20" s="11">
        <f t="shared" si="2"/>
        <v>10</v>
      </c>
      <c r="G20" s="19">
        <f t="shared" si="3"/>
        <v>484.52770209028228</v>
      </c>
      <c r="I20" s="2">
        <v>5</v>
      </c>
      <c r="J20" s="20">
        <v>46</v>
      </c>
      <c r="K20" s="19"/>
      <c r="N20" s="20"/>
      <c r="O20" s="20"/>
    </row>
    <row r="21" spans="1:15" x14ac:dyDescent="0.55000000000000004">
      <c r="A21" s="6">
        <f>IF(ISBLANK(B21),"",MAX($A$8:A20)+1)</f>
        <v>11</v>
      </c>
      <c r="B21" s="17" t="s">
        <v>20</v>
      </c>
      <c r="C21" s="18">
        <v>586.91619412867135</v>
      </c>
      <c r="D21" s="11">
        <f t="shared" si="0"/>
        <v>48.419534067662831</v>
      </c>
      <c r="E21" s="11">
        <f t="shared" si="1"/>
        <v>38.419534067662831</v>
      </c>
      <c r="F21" s="11">
        <f t="shared" si="2"/>
        <v>10</v>
      </c>
      <c r="G21" s="19">
        <f t="shared" si="3"/>
        <v>586.91619412867135</v>
      </c>
      <c r="I21" s="2">
        <v>6</v>
      </c>
      <c r="J21" s="20">
        <v>23</v>
      </c>
      <c r="K21" s="19"/>
      <c r="N21" s="20"/>
      <c r="O21" s="20"/>
    </row>
    <row r="22" spans="1:15" x14ac:dyDescent="0.55000000000000004">
      <c r="A22" s="6">
        <f>IF(ISBLANK(B22),"",MAX($A$8:A21)+1)</f>
        <v>12</v>
      </c>
      <c r="B22" s="17" t="s">
        <v>21</v>
      </c>
      <c r="C22" s="18">
        <v>770.4636315739715</v>
      </c>
      <c r="D22" s="11">
        <f t="shared" si="0"/>
        <v>60.434549322832176</v>
      </c>
      <c r="E22" s="11">
        <f t="shared" si="1"/>
        <v>50.434549322832176</v>
      </c>
      <c r="F22" s="11">
        <f t="shared" si="2"/>
        <v>10</v>
      </c>
      <c r="G22" s="19">
        <f t="shared" si="3"/>
        <v>770.4636315739715</v>
      </c>
      <c r="I22" s="2">
        <v>7</v>
      </c>
      <c r="J22" s="20">
        <v>18</v>
      </c>
      <c r="K22" s="19"/>
      <c r="N22" s="20"/>
      <c r="O22" s="20"/>
    </row>
    <row r="23" spans="1:15" x14ac:dyDescent="0.55000000000000004">
      <c r="A23" s="6">
        <f>IF(ISBLANK(B23),"",MAX($A$8:A22)+1)</f>
        <v>13</v>
      </c>
      <c r="B23" s="17" t="s">
        <v>22</v>
      </c>
      <c r="C23" s="18">
        <v>762.80176543434391</v>
      </c>
      <c r="D23" s="11">
        <f t="shared" si="0"/>
        <v>59.933003565332157</v>
      </c>
      <c r="E23" s="11">
        <f t="shared" si="1"/>
        <v>49.933003565332157</v>
      </c>
      <c r="F23" s="11">
        <f t="shared" si="2"/>
        <v>10</v>
      </c>
      <c r="G23" s="19">
        <f t="shared" si="3"/>
        <v>762.80176543434391</v>
      </c>
      <c r="I23" s="2">
        <v>8</v>
      </c>
      <c r="J23" s="20">
        <v>15</v>
      </c>
      <c r="K23" s="19"/>
      <c r="N23" s="20"/>
      <c r="O23" s="20"/>
    </row>
    <row r="24" spans="1:15" x14ac:dyDescent="0.55000000000000004">
      <c r="A24" s="6">
        <f>IF(ISBLANK(B24),"",MAX($A$8:A23)+1)</f>
        <v>14</v>
      </c>
      <c r="B24" s="17" t="s">
        <v>23</v>
      </c>
      <c r="C24" s="18">
        <v>536.15882292668857</v>
      </c>
      <c r="D24" s="11">
        <f t="shared" si="0"/>
        <v>45.096956548781037</v>
      </c>
      <c r="E24" s="11">
        <f t="shared" si="1"/>
        <v>35.096956548781037</v>
      </c>
      <c r="F24" s="11">
        <f t="shared" si="2"/>
        <v>10</v>
      </c>
      <c r="G24" s="19">
        <f t="shared" si="3"/>
        <v>536.15882292668857</v>
      </c>
      <c r="I24" s="2">
        <v>9</v>
      </c>
      <c r="J24" s="20">
        <v>16</v>
      </c>
      <c r="K24" s="19"/>
      <c r="N24" s="20"/>
      <c r="O24" s="20"/>
    </row>
    <row r="25" spans="1:15" x14ac:dyDescent="0.55000000000000004">
      <c r="A25" s="6">
        <f>IF(ISBLANK(B25),"",MAX($A$8:A24)+1)</f>
        <v>15</v>
      </c>
      <c r="B25" s="17" t="s">
        <v>24</v>
      </c>
      <c r="C25" s="18">
        <v>457.55933222335221</v>
      </c>
      <c r="D25" s="11">
        <f t="shared" si="0"/>
        <v>39.951833887340641</v>
      </c>
      <c r="E25" s="11">
        <f t="shared" si="1"/>
        <v>29.951833887340637</v>
      </c>
      <c r="F25" s="11">
        <f t="shared" si="2"/>
        <v>10</v>
      </c>
      <c r="G25" s="19">
        <f t="shared" si="3"/>
        <v>457.55933222335221</v>
      </c>
      <c r="I25" s="2">
        <v>10</v>
      </c>
      <c r="J25" s="20">
        <v>20</v>
      </c>
      <c r="K25" s="19"/>
      <c r="N25" s="20"/>
      <c r="O25" s="20"/>
    </row>
    <row r="26" spans="1:15" x14ac:dyDescent="0.55000000000000004">
      <c r="A26" s="6">
        <f>IF(ISBLANK(B26),"",MAX($A$8:A25)+1)</f>
        <v>16</v>
      </c>
      <c r="B26" s="17" t="s">
        <v>25</v>
      </c>
      <c r="C26" s="18">
        <v>494.26229777958986</v>
      </c>
      <c r="D26" s="11">
        <f t="shared" si="0"/>
        <v>42.354410012651954</v>
      </c>
      <c r="E26" s="11">
        <f t="shared" si="1"/>
        <v>32.354410012651954</v>
      </c>
      <c r="F26" s="11">
        <f t="shared" si="2"/>
        <v>10</v>
      </c>
      <c r="G26" s="19">
        <f t="shared" si="3"/>
        <v>777.5900737056852</v>
      </c>
      <c r="H26" s="2">
        <f>G26/C26</f>
        <v>1.5732336397069109</v>
      </c>
      <c r="I26" s="2">
        <v>11</v>
      </c>
      <c r="J26" s="20">
        <v>47</v>
      </c>
      <c r="K26" s="19">
        <f>J26-$K$29</f>
        <v>29</v>
      </c>
      <c r="N26" s="20">
        <f>K26*$K$30</f>
        <v>849.7</v>
      </c>
      <c r="O26" s="20">
        <f>N26/'NG-4 Page 1'!M27</f>
        <v>283.32777592609528</v>
      </c>
    </row>
    <row r="27" spans="1:15" x14ac:dyDescent="0.55000000000000004">
      <c r="A27" s="6">
        <f>IF(ISBLANK(B27),"",MAX($A$8:A26)+1)</f>
        <v>17</v>
      </c>
      <c r="B27" s="17" t="s">
        <v>26</v>
      </c>
      <c r="C27" s="18">
        <v>641.4787355928089</v>
      </c>
      <c r="D27" s="22">
        <f t="shared" si="0"/>
        <v>51.99119803190527</v>
      </c>
      <c r="E27" s="22">
        <f t="shared" si="1"/>
        <v>41.99119803190527</v>
      </c>
      <c r="F27" s="22">
        <f t="shared" si="2"/>
        <v>10</v>
      </c>
      <c r="G27" s="23">
        <f t="shared" si="3"/>
        <v>1436.484522084002</v>
      </c>
      <c r="H27" s="2">
        <f>G27/C27</f>
        <v>2.2393330322267122</v>
      </c>
      <c r="I27" s="2">
        <v>12</v>
      </c>
      <c r="J27" s="20">
        <v>93</v>
      </c>
      <c r="K27" s="19">
        <f>J27-$K$29</f>
        <v>75</v>
      </c>
      <c r="N27" s="20">
        <f>K27*$K$30</f>
        <v>2197.5</v>
      </c>
      <c r="O27" s="24">
        <f>N27/'NG-4 Page 1'!M28</f>
        <v>795.00578649119302</v>
      </c>
    </row>
    <row r="28" spans="1:15" x14ac:dyDescent="0.55000000000000004">
      <c r="A28" s="6" t="str">
        <f>IF(ISBLANK(B28),"",MAX($A$8:A27)+1)</f>
        <v/>
      </c>
      <c r="C28" s="19">
        <f>SUM(C16:C27)</f>
        <v>6860.5162870124414</v>
      </c>
      <c r="D28" s="11">
        <f>SUM(D16:D27)</f>
        <v>569.08939614783435</v>
      </c>
      <c r="E28" s="11">
        <f t="shared" ref="E28:F28" si="5">SUM(E16:E27)</f>
        <v>449.08939614783446</v>
      </c>
      <c r="F28" s="11">
        <f t="shared" si="5"/>
        <v>120</v>
      </c>
      <c r="G28" s="19">
        <f>SUM(G16:G27)</f>
        <v>12520.680932176439</v>
      </c>
      <c r="H28" s="2">
        <f>AVERAGE(H16,H17,H18,H19,H26,H27)</f>
        <v>2.7241564849642366</v>
      </c>
      <c r="N28" s="19"/>
      <c r="O28" s="19">
        <f>SUM(O16:O27)</f>
        <v>5660.1646451639981</v>
      </c>
    </row>
    <row r="29" spans="1:15" x14ac:dyDescent="0.55000000000000004">
      <c r="A29" s="6" t="str">
        <f>IF(ISBLANK(B29),"",MAX($A$8:A28)+1)</f>
        <v/>
      </c>
      <c r="J29" s="25" t="s">
        <v>27</v>
      </c>
      <c r="K29" s="19">
        <f>AVERAGE(J21:J24)</f>
        <v>18</v>
      </c>
      <c r="L29" s="32">
        <f>AVERAGE('NG-4 Page 1'!L17:L20,'NG-4 Page 1'!L27:L28)</f>
        <v>37.096438966760552</v>
      </c>
      <c r="M29" s="19">
        <f>AVERAGE('NG-4 Page 1'!M17:M20,'NG-4 Page 1'!M27:M28)</f>
        <v>2.8335507054687521</v>
      </c>
    </row>
    <row r="30" spans="1:15" x14ac:dyDescent="0.55000000000000004">
      <c r="A30" s="6">
        <f>IF(ISBLANK(B30),"",MAX($A$8:A29)+1)</f>
        <v>18</v>
      </c>
      <c r="B30" s="9" t="s">
        <v>28</v>
      </c>
      <c r="J30" s="25" t="s">
        <v>29</v>
      </c>
      <c r="K30" s="19">
        <v>29.3</v>
      </c>
    </row>
    <row r="31" spans="1:15" x14ac:dyDescent="0.55000000000000004">
      <c r="A31" s="6">
        <f>IF(ISBLANK(B31),"",MAX($A$8:A30)+1)</f>
        <v>19</v>
      </c>
      <c r="B31" s="26" t="s">
        <v>5</v>
      </c>
      <c r="C31" s="11">
        <f>C12</f>
        <v>10</v>
      </c>
    </row>
    <row r="32" spans="1:15" x14ac:dyDescent="0.55000000000000004">
      <c r="A32" s="6">
        <f>IF(ISBLANK(B32),"",MAX($A$8:A31)+1)</f>
        <v>20</v>
      </c>
      <c r="B32" s="26" t="s">
        <v>30</v>
      </c>
      <c r="C32" s="27">
        <f>C31*12</f>
        <v>120</v>
      </c>
    </row>
    <row r="33" spans="1:7" x14ac:dyDescent="0.55000000000000004">
      <c r="A33" s="6" t="str">
        <f>IF(ISBLANK(B33),"",MAX($A$8:A32)+1)</f>
        <v/>
      </c>
      <c r="B33" s="26"/>
    </row>
    <row r="34" spans="1:7" x14ac:dyDescent="0.55000000000000004">
      <c r="A34" s="6">
        <f>IF(ISBLANK(B34),"",MAX($A$8:A33)+1)</f>
        <v>21</v>
      </c>
      <c r="B34" s="26" t="s">
        <v>31</v>
      </c>
      <c r="C34" s="11">
        <f>SUM(E16:E19,E26:E27)</f>
        <v>213.53633537705568</v>
      </c>
      <c r="D34" s="2" t="s">
        <v>32</v>
      </c>
    </row>
    <row r="35" spans="1:7" x14ac:dyDescent="0.55000000000000004">
      <c r="A35" s="6">
        <f>IF(ISBLANK(B35),"",MAX($A$8:A34)+1)</f>
        <v>22</v>
      </c>
      <c r="B35" s="26" t="s">
        <v>33</v>
      </c>
      <c r="C35" s="28">
        <f>TRUNC(C34/SUM(G16:G19,G26:G27),5)</f>
        <v>2.393E-2</v>
      </c>
      <c r="D35" s="2" t="s">
        <v>34</v>
      </c>
    </row>
    <row r="36" spans="1:7" x14ac:dyDescent="0.55000000000000004">
      <c r="A36" s="6" t="str">
        <f>IF(ISBLANK(B36),"",MAX($A$8:A35)+1)</f>
        <v/>
      </c>
    </row>
    <row r="37" spans="1:7" x14ac:dyDescent="0.55000000000000004">
      <c r="A37" s="6">
        <f>IF(ISBLANK(B37),"",MAX($A$8:A36)+1)</f>
        <v>23</v>
      </c>
      <c r="B37" s="9" t="s">
        <v>35</v>
      </c>
    </row>
    <row r="38" spans="1:7" x14ac:dyDescent="0.55000000000000004">
      <c r="A38" s="6">
        <f>IF(ISBLANK(B38),"",MAX($A$8:A37)+1)</f>
        <v>24</v>
      </c>
      <c r="B38" s="9" t="s">
        <v>36</v>
      </c>
      <c r="C38" s="29" t="s">
        <v>4</v>
      </c>
      <c r="F38" s="25"/>
    </row>
    <row r="39" spans="1:7" x14ac:dyDescent="0.55000000000000004">
      <c r="A39" s="6">
        <f>IF(ISBLANK(B39),"",MAX($A$8:A38)+1)</f>
        <v>25</v>
      </c>
      <c r="B39" s="10" t="s">
        <v>5</v>
      </c>
      <c r="C39" s="11">
        <f>C31</f>
        <v>10</v>
      </c>
    </row>
    <row r="40" spans="1:7" x14ac:dyDescent="0.55000000000000004">
      <c r="A40" s="6">
        <f>IF(ISBLANK(B40),"",MAX($A$8:A39)+1)</f>
        <v>26</v>
      </c>
      <c r="B40" s="10" t="s">
        <v>37</v>
      </c>
      <c r="C40" s="13">
        <f>C35</f>
        <v>2.393E-2</v>
      </c>
    </row>
    <row r="41" spans="1:7" x14ac:dyDescent="0.55000000000000004">
      <c r="A41" s="6">
        <f>IF(ISBLANK(B41),"",MAX($A$8:A40)+1)</f>
        <v>27</v>
      </c>
      <c r="B41" s="10" t="s">
        <v>38</v>
      </c>
      <c r="C41" s="13">
        <f>C13</f>
        <v>6.5460000000000004E-2</v>
      </c>
    </row>
    <row r="42" spans="1:7" x14ac:dyDescent="0.55000000000000004">
      <c r="A42" s="6" t="str">
        <f>IF(ISBLANK(B42),"",MAX($A$8:A41)+1)</f>
        <v/>
      </c>
      <c r="C42" s="2">
        <f>C41/C40</f>
        <v>2.7354784788967823</v>
      </c>
    </row>
    <row r="43" spans="1:7" x14ac:dyDescent="0.55000000000000004">
      <c r="A43" s="6" t="str">
        <f>IF(ISBLANK(B43),"",MAX($A$8:A42)+1)</f>
        <v/>
      </c>
    </row>
    <row r="44" spans="1:7" x14ac:dyDescent="0.55000000000000004">
      <c r="B44" s="2" t="s">
        <v>42</v>
      </c>
    </row>
    <row r="45" spans="1:7" x14ac:dyDescent="0.55000000000000004">
      <c r="B45" s="26" t="s">
        <v>46</v>
      </c>
      <c r="C45" s="38"/>
      <c r="E45" s="34"/>
      <c r="F45" s="34"/>
      <c r="G45" s="34"/>
    </row>
    <row r="46" spans="1:7" x14ac:dyDescent="0.55000000000000004">
      <c r="B46" s="2" t="s">
        <v>47</v>
      </c>
      <c r="C46" s="39"/>
      <c r="E46" s="11"/>
      <c r="F46" s="11"/>
      <c r="G46" s="30"/>
    </row>
    <row r="47" spans="1:7" x14ac:dyDescent="0.55000000000000004">
      <c r="B47" s="2" t="s">
        <v>51</v>
      </c>
      <c r="C47" s="39"/>
      <c r="E47" s="11"/>
      <c r="F47" s="11"/>
      <c r="G47" s="30"/>
    </row>
    <row r="48" spans="1:7" x14ac:dyDescent="0.55000000000000004">
      <c r="C48" s="39"/>
      <c r="E48" s="11"/>
      <c r="F48" s="11"/>
      <c r="G48" s="30"/>
    </row>
    <row r="49" spans="3:7" x14ac:dyDescent="0.55000000000000004">
      <c r="E49" s="11"/>
      <c r="F49" s="11"/>
      <c r="G49" s="30"/>
    </row>
    <row r="50" spans="3:7" x14ac:dyDescent="0.55000000000000004">
      <c r="C50" s="11"/>
      <c r="E50" s="11"/>
      <c r="F50" s="11"/>
      <c r="G50" s="30"/>
    </row>
    <row r="51" spans="3:7" x14ac:dyDescent="0.55000000000000004">
      <c r="E51" s="11"/>
      <c r="F51" s="11"/>
      <c r="G51" s="30"/>
    </row>
    <row r="52" spans="3:7" x14ac:dyDescent="0.55000000000000004">
      <c r="E52" s="11"/>
      <c r="F52" s="11"/>
      <c r="G52" s="30"/>
    </row>
    <row r="53" spans="3:7" x14ac:dyDescent="0.55000000000000004">
      <c r="E53" s="11"/>
      <c r="F53" s="11"/>
      <c r="G53" s="30"/>
    </row>
    <row r="54" spans="3:7" x14ac:dyDescent="0.55000000000000004">
      <c r="E54" s="11"/>
      <c r="F54" s="11"/>
      <c r="G54" s="30"/>
    </row>
    <row r="55" spans="3:7" x14ac:dyDescent="0.55000000000000004">
      <c r="E55" s="11"/>
      <c r="F55" s="11"/>
      <c r="G55" s="30"/>
    </row>
    <row r="56" spans="3:7" x14ac:dyDescent="0.55000000000000004">
      <c r="E56" s="11"/>
      <c r="F56" s="11"/>
      <c r="G56" s="30"/>
    </row>
    <row r="57" spans="3:7" x14ac:dyDescent="0.55000000000000004">
      <c r="E57" s="11"/>
      <c r="F57" s="11"/>
      <c r="G57" s="30"/>
    </row>
    <row r="58" spans="3:7" x14ac:dyDescent="0.55000000000000004">
      <c r="E58" s="11"/>
      <c r="F58" s="11"/>
      <c r="G58" s="30"/>
    </row>
    <row r="65" spans="2:2" x14ac:dyDescent="0.55000000000000004">
      <c r="B65" s="31"/>
    </row>
  </sheetData>
  <pageMargins left="0.7" right="0.7" top="0.75" bottom="0.75" header="0.3" footer="0.3"/>
  <pageSetup scale="85" orientation="portrait" horizontalDpi="1200" verticalDpi="1200" r:id="rId1"/>
  <headerFooter scaleWithDoc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C72C-350B-4AAB-A6C4-F58137D57783}">
  <dimension ref="A1:O65"/>
  <sheetViews>
    <sheetView zoomScale="70" zoomScaleNormal="70" workbookViewId="0"/>
  </sheetViews>
  <sheetFormatPr defaultColWidth="9.1171875" defaultRowHeight="14.4" x14ac:dyDescent="0.55000000000000004"/>
  <cols>
    <col min="1" max="1" width="32.703125" style="2" bestFit="1" customWidth="1"/>
    <col min="2" max="2" width="36.29296875" style="2" bestFit="1" customWidth="1"/>
    <col min="3" max="3" width="13.703125" style="2" bestFit="1" customWidth="1"/>
    <col min="4" max="4" width="14" style="2" bestFit="1" customWidth="1"/>
    <col min="5" max="5" width="15.29296875" style="2" bestFit="1" customWidth="1"/>
    <col min="6" max="6" width="14.703125" style="2" customWidth="1"/>
    <col min="7" max="7" width="15.41015625" style="2" customWidth="1"/>
    <col min="8" max="8" width="15.1171875" style="2" bestFit="1" customWidth="1"/>
    <col min="9" max="9" width="10.41015625" style="2" bestFit="1" customWidth="1"/>
    <col min="10" max="15" width="12.1171875" style="2" customWidth="1"/>
    <col min="16" max="16384" width="9.1171875" style="2"/>
  </cols>
  <sheetData>
    <row r="1" spans="1:15" x14ac:dyDescent="0.55000000000000004">
      <c r="A1" s="1"/>
    </row>
    <row r="2" spans="1:15" x14ac:dyDescent="0.55000000000000004">
      <c r="A2" s="1"/>
    </row>
    <row r="3" spans="1:15" x14ac:dyDescent="0.55000000000000004">
      <c r="A3" s="1"/>
    </row>
    <row r="4" spans="1:15" x14ac:dyDescent="0.55000000000000004">
      <c r="A4" s="3"/>
    </row>
    <row r="5" spans="1:15" x14ac:dyDescent="0.55000000000000004">
      <c r="A5" s="4"/>
    </row>
    <row r="8" spans="1:15" ht="15.3" x14ac:dyDescent="0.7">
      <c r="A8" s="5" t="s">
        <v>1</v>
      </c>
    </row>
    <row r="9" spans="1:15" x14ac:dyDescent="0.55000000000000004">
      <c r="A9" s="6">
        <v>1</v>
      </c>
      <c r="B9" s="7" t="s">
        <v>2</v>
      </c>
    </row>
    <row r="10" spans="1:15" x14ac:dyDescent="0.55000000000000004">
      <c r="A10" s="6" t="str">
        <f>IF(ISBLANK(B10),"",MAX($A$8:A9)+1)</f>
        <v/>
      </c>
      <c r="E10" s="8"/>
    </row>
    <row r="11" spans="1:15" ht="15.3" x14ac:dyDescent="0.7">
      <c r="A11" s="6">
        <f>IF(ISBLANK(B11),"",MAX($A$8:A10)+1)</f>
        <v>2</v>
      </c>
      <c r="B11" s="9" t="s">
        <v>3</v>
      </c>
      <c r="C11" s="5" t="s">
        <v>4</v>
      </c>
    </row>
    <row r="12" spans="1:15" x14ac:dyDescent="0.55000000000000004">
      <c r="A12" s="6">
        <f>IF(ISBLANK(B12),"",MAX($A$8:A11)+1)</f>
        <v>3</v>
      </c>
      <c r="B12" s="10" t="s">
        <v>5</v>
      </c>
      <c r="C12" s="11">
        <v>10</v>
      </c>
      <c r="E12" s="12"/>
    </row>
    <row r="13" spans="1:15" x14ac:dyDescent="0.55000000000000004">
      <c r="A13" s="6">
        <f>IF(ISBLANK(B13),"",MAX($A$8:A12)+1)</f>
        <v>4</v>
      </c>
      <c r="B13" s="10" t="s">
        <v>6</v>
      </c>
      <c r="C13" s="13">
        <v>6.5460000000000004E-2</v>
      </c>
      <c r="E13" s="12"/>
    </row>
    <row r="14" spans="1:15" x14ac:dyDescent="0.55000000000000004">
      <c r="A14" s="6" t="str">
        <f>IF(ISBLANK(B14),"",MAX($A$8:A13)+1)</f>
        <v/>
      </c>
      <c r="E14" s="14"/>
    </row>
    <row r="15" spans="1:15" ht="57.6" x14ac:dyDescent="0.55000000000000004">
      <c r="A15" s="6">
        <f>IF(ISBLANK(B15),"",MAX($A$8:A14)+1)</f>
        <v>5</v>
      </c>
      <c r="B15" s="15" t="s">
        <v>7</v>
      </c>
      <c r="C15" s="16" t="s">
        <v>45</v>
      </c>
      <c r="D15" s="16" t="s">
        <v>8</v>
      </c>
      <c r="E15" s="16" t="s">
        <v>9</v>
      </c>
      <c r="F15" s="16" t="s">
        <v>10</v>
      </c>
      <c r="G15" s="16" t="s">
        <v>11</v>
      </c>
      <c r="H15" s="2" t="s">
        <v>43</v>
      </c>
      <c r="J15" s="16" t="s">
        <v>48</v>
      </c>
      <c r="K15" s="16" t="s">
        <v>12</v>
      </c>
      <c r="L15" s="16" t="s">
        <v>49</v>
      </c>
      <c r="M15" s="16" t="s">
        <v>50</v>
      </c>
      <c r="N15" s="16" t="s">
        <v>13</v>
      </c>
      <c r="O15" s="16" t="s">
        <v>14</v>
      </c>
    </row>
    <row r="16" spans="1:15" x14ac:dyDescent="0.55000000000000004">
      <c r="A16" s="6">
        <f>IF(ISBLANK(B16),"",MAX($A$8:A15)+1)</f>
        <v>6</v>
      </c>
      <c r="B16" s="17" t="s">
        <v>15</v>
      </c>
      <c r="C16" s="18">
        <v>459.79925948163407</v>
      </c>
      <c r="D16" s="11">
        <f t="shared" ref="D16:D27" si="0">$C$12+$C$13*C16</f>
        <v>40.098459525667764</v>
      </c>
      <c r="E16" s="11">
        <f t="shared" ref="E16:E27" si="1">($C$13-$C$45)*C16</f>
        <v>30.098459525667767</v>
      </c>
      <c r="F16" s="11">
        <f t="shared" ref="F16:F27" si="2">$C$12</f>
        <v>10</v>
      </c>
      <c r="G16" s="19">
        <f>C16+O16</f>
        <v>1745.7777229081435</v>
      </c>
      <c r="H16" s="2">
        <f>G16/C16</f>
        <v>3.7968258689156844</v>
      </c>
      <c r="J16" s="20">
        <v>132</v>
      </c>
      <c r="K16" s="19">
        <f>J16-$K$29</f>
        <v>114</v>
      </c>
      <c r="L16" s="21">
        <v>28.3870698924732</v>
      </c>
      <c r="M16" s="33">
        <v>2.5973996415927414</v>
      </c>
      <c r="N16" s="20">
        <f>K16*$K$30</f>
        <v>3340.2000000000003</v>
      </c>
      <c r="O16" s="20">
        <f>N16/M16</f>
        <v>1285.9784634265095</v>
      </c>
    </row>
    <row r="17" spans="1:15" x14ac:dyDescent="0.55000000000000004">
      <c r="A17" s="6">
        <f>IF(ISBLANK(B17),"",MAX($A$8:A16)+1)</f>
        <v>7</v>
      </c>
      <c r="B17" s="17" t="s">
        <v>16</v>
      </c>
      <c r="C17" s="18">
        <v>485.03323251548301</v>
      </c>
      <c r="D17" s="11">
        <f t="shared" si="0"/>
        <v>41.750275400463522</v>
      </c>
      <c r="E17" s="11">
        <f t="shared" si="1"/>
        <v>31.750275400463519</v>
      </c>
      <c r="F17" s="11">
        <f t="shared" si="2"/>
        <v>10</v>
      </c>
      <c r="G17" s="19">
        <f>C17+O17</f>
        <v>1929.3821752895419</v>
      </c>
      <c r="H17" s="2">
        <f t="shared" ref="H17:H19" si="3">G17/C17</f>
        <v>3.9778350140739129</v>
      </c>
      <c r="J17" s="20">
        <v>149</v>
      </c>
      <c r="K17" s="19">
        <f>J17-$K$29</f>
        <v>131</v>
      </c>
      <c r="L17" s="21">
        <v>30.428333333333338</v>
      </c>
      <c r="M17" s="33">
        <v>2.6574603174687472</v>
      </c>
      <c r="N17" s="20">
        <f>K17*$K$30</f>
        <v>3838.3</v>
      </c>
      <c r="O17" s="20">
        <f>N17/M17</f>
        <v>1444.348942774059</v>
      </c>
    </row>
    <row r="18" spans="1:15" x14ac:dyDescent="0.55000000000000004">
      <c r="A18" s="6">
        <f>IF(ISBLANK(B18),"",MAX($A$8:A17)+1)</f>
        <v>8</v>
      </c>
      <c r="B18" s="17" t="s">
        <v>17</v>
      </c>
      <c r="C18" s="18">
        <v>583.53511800745957</v>
      </c>
      <c r="D18" s="11">
        <f t="shared" si="0"/>
        <v>48.198208824768308</v>
      </c>
      <c r="E18" s="11">
        <f t="shared" si="1"/>
        <v>38.198208824768308</v>
      </c>
      <c r="F18" s="11">
        <f t="shared" si="2"/>
        <v>10</v>
      </c>
      <c r="G18" s="19">
        <f t="shared" ref="G18:G27" si="4">C18+O18</f>
        <v>1771.9322952058742</v>
      </c>
      <c r="H18" s="2">
        <f t="shared" si="3"/>
        <v>3.0365478281004208</v>
      </c>
      <c r="J18" s="20">
        <v>133</v>
      </c>
      <c r="K18" s="19">
        <f>J18-$K$29</f>
        <v>115</v>
      </c>
      <c r="L18" s="21">
        <v>37.09606182795698</v>
      </c>
      <c r="M18" s="33">
        <v>2.8353315412137072</v>
      </c>
      <c r="N18" s="20">
        <f>K18*$K$30</f>
        <v>3369.5</v>
      </c>
      <c r="O18" s="20">
        <f>N18/M18</f>
        <v>1188.3971771984145</v>
      </c>
    </row>
    <row r="19" spans="1:15" x14ac:dyDescent="0.55000000000000004">
      <c r="A19" s="6">
        <f>IF(ISBLANK(B19),"",MAX($A$8:A18)+1)</f>
        <v>9</v>
      </c>
      <c r="B19" s="17" t="s">
        <v>18</v>
      </c>
      <c r="C19" s="18">
        <v>763.09178929331529</v>
      </c>
      <c r="D19" s="11">
        <f t="shared" si="0"/>
        <v>59.951988527140422</v>
      </c>
      <c r="E19" s="11">
        <f t="shared" si="1"/>
        <v>49.951988527140422</v>
      </c>
      <c r="F19" s="11">
        <f t="shared" si="2"/>
        <v>10</v>
      </c>
      <c r="G19" s="19">
        <f>C19+O19</f>
        <v>1441.6379456142818</v>
      </c>
      <c r="H19" s="2">
        <f t="shared" si="3"/>
        <v>1.8892064701015261</v>
      </c>
      <c r="J19" s="20">
        <v>90</v>
      </c>
      <c r="K19" s="19">
        <f>J19-$K$29</f>
        <v>72</v>
      </c>
      <c r="L19" s="21">
        <v>47.34055555555554</v>
      </c>
      <c r="M19" s="33">
        <v>3.1089999999972222</v>
      </c>
      <c r="N19" s="20">
        <f>K19*$K$30</f>
        <v>2109.6</v>
      </c>
      <c r="O19" s="20">
        <f>N19/M19</f>
        <v>678.54615632096647</v>
      </c>
    </row>
    <row r="20" spans="1:15" x14ac:dyDescent="0.55000000000000004">
      <c r="A20" s="6">
        <f>IF(ISBLANK(B20),"",MAX($A$8:A19)+1)</f>
        <v>10</v>
      </c>
      <c r="B20" s="17" t="s">
        <v>19</v>
      </c>
      <c r="C20" s="18">
        <v>754.92941807563966</v>
      </c>
      <c r="D20" s="11">
        <f t="shared" si="0"/>
        <v>59.417679707231379</v>
      </c>
      <c r="E20" s="11">
        <f t="shared" si="1"/>
        <v>49.417679707231379</v>
      </c>
      <c r="F20" s="11">
        <f t="shared" si="2"/>
        <v>10</v>
      </c>
      <c r="G20" s="19">
        <f t="shared" si="4"/>
        <v>754.92941807563966</v>
      </c>
      <c r="J20" s="20">
        <v>46</v>
      </c>
      <c r="K20" s="19"/>
      <c r="L20" s="21"/>
      <c r="M20" s="33"/>
      <c r="N20" s="20"/>
      <c r="O20" s="20"/>
    </row>
    <row r="21" spans="1:15" x14ac:dyDescent="0.55000000000000004">
      <c r="A21" s="6">
        <f>IF(ISBLANK(B21),"",MAX($A$8:A20)+1)</f>
        <v>11</v>
      </c>
      <c r="B21" s="17" t="s">
        <v>20</v>
      </c>
      <c r="C21" s="18">
        <v>533.69262673066066</v>
      </c>
      <c r="D21" s="11">
        <f t="shared" si="0"/>
        <v>44.935519345789046</v>
      </c>
      <c r="E21" s="11">
        <f t="shared" si="1"/>
        <v>34.935519345789046</v>
      </c>
      <c r="F21" s="11">
        <f t="shared" si="2"/>
        <v>10</v>
      </c>
      <c r="G21" s="19">
        <f t="shared" si="4"/>
        <v>533.69262673066066</v>
      </c>
      <c r="J21" s="20">
        <v>23</v>
      </c>
      <c r="K21" s="19"/>
      <c r="L21" s="21"/>
      <c r="M21" s="33"/>
      <c r="N21" s="20"/>
      <c r="O21" s="20"/>
    </row>
    <row r="22" spans="1:15" x14ac:dyDescent="0.55000000000000004">
      <c r="A22" s="6">
        <f>IF(ISBLANK(B22),"",MAX($A$8:A21)+1)</f>
        <v>12</v>
      </c>
      <c r="B22" s="17" t="s">
        <v>21</v>
      </c>
      <c r="C22" s="18">
        <v>459.49901852261206</v>
      </c>
      <c r="D22" s="11">
        <f t="shared" si="0"/>
        <v>40.078805752490183</v>
      </c>
      <c r="E22" s="11">
        <f t="shared" si="1"/>
        <v>30.078805752490187</v>
      </c>
      <c r="F22" s="11">
        <f t="shared" si="2"/>
        <v>10</v>
      </c>
      <c r="G22" s="19">
        <f t="shared" si="4"/>
        <v>459.49901852261206</v>
      </c>
      <c r="J22" s="20">
        <v>18</v>
      </c>
      <c r="K22" s="19"/>
      <c r="L22" s="21"/>
      <c r="M22" s="33"/>
      <c r="N22" s="20"/>
      <c r="O22" s="20"/>
    </row>
    <row r="23" spans="1:15" x14ac:dyDescent="0.55000000000000004">
      <c r="A23" s="6">
        <f>IF(ISBLANK(B23),"",MAX($A$8:A22)+1)</f>
        <v>13</v>
      </c>
      <c r="B23" s="17" t="s">
        <v>22</v>
      </c>
      <c r="C23" s="18">
        <v>497.04200042463856</v>
      </c>
      <c r="D23" s="11">
        <f t="shared" si="0"/>
        <v>42.536369347796843</v>
      </c>
      <c r="E23" s="11">
        <f t="shared" si="1"/>
        <v>32.536369347796843</v>
      </c>
      <c r="F23" s="11">
        <f t="shared" si="2"/>
        <v>10</v>
      </c>
      <c r="G23" s="19">
        <f t="shared" si="4"/>
        <v>497.04200042463856</v>
      </c>
      <c r="J23" s="20">
        <v>15</v>
      </c>
      <c r="K23" s="19"/>
      <c r="L23" s="21"/>
      <c r="M23" s="33"/>
      <c r="N23" s="20"/>
      <c r="O23" s="20"/>
    </row>
    <row r="24" spans="1:15" x14ac:dyDescent="0.55000000000000004">
      <c r="A24" s="6">
        <f>IF(ISBLANK(B24),"",MAX($A$8:A23)+1)</f>
        <v>14</v>
      </c>
      <c r="B24" s="17" t="s">
        <v>23</v>
      </c>
      <c r="C24" s="18">
        <v>642.6560550787417</v>
      </c>
      <c r="D24" s="11">
        <f t="shared" si="0"/>
        <v>52.068265365454437</v>
      </c>
      <c r="E24" s="11">
        <f t="shared" si="1"/>
        <v>42.068265365454437</v>
      </c>
      <c r="F24" s="11">
        <f t="shared" si="2"/>
        <v>10</v>
      </c>
      <c r="G24" s="19">
        <f t="shared" si="4"/>
        <v>642.6560550787417</v>
      </c>
      <c r="J24" s="20">
        <v>16</v>
      </c>
      <c r="K24" s="19"/>
      <c r="L24" s="21"/>
      <c r="M24" s="33"/>
      <c r="N24" s="20"/>
      <c r="O24" s="20"/>
    </row>
    <row r="25" spans="1:15" x14ac:dyDescent="0.55000000000000004">
      <c r="A25" s="6">
        <f>IF(ISBLANK(B25),"",MAX($A$8:A24)+1)</f>
        <v>15</v>
      </c>
      <c r="B25" s="17" t="s">
        <v>24</v>
      </c>
      <c r="C25" s="18">
        <v>616.38162670491886</v>
      </c>
      <c r="D25" s="11">
        <f t="shared" si="0"/>
        <v>50.348341284103988</v>
      </c>
      <c r="E25" s="11">
        <f t="shared" si="1"/>
        <v>40.348341284103988</v>
      </c>
      <c r="F25" s="11">
        <f t="shared" si="2"/>
        <v>10</v>
      </c>
      <c r="G25" s="19">
        <f t="shared" si="4"/>
        <v>616.38162670491886</v>
      </c>
      <c r="J25" s="20">
        <v>20</v>
      </c>
      <c r="K25" s="19"/>
      <c r="L25" s="21"/>
      <c r="M25" s="33"/>
      <c r="N25" s="20"/>
      <c r="O25" s="20"/>
    </row>
    <row r="26" spans="1:15" x14ac:dyDescent="0.55000000000000004">
      <c r="A26" s="6">
        <f>IF(ISBLANK(B26),"",MAX($A$8:A25)+1)</f>
        <v>16</v>
      </c>
      <c r="B26" s="17" t="s">
        <v>25</v>
      </c>
      <c r="C26" s="18">
        <v>535.15231136296279</v>
      </c>
      <c r="D26" s="11">
        <f t="shared" si="0"/>
        <v>45.031070301819547</v>
      </c>
      <c r="E26" s="11">
        <f t="shared" si="1"/>
        <v>35.031070301819547</v>
      </c>
      <c r="F26" s="11">
        <f t="shared" si="2"/>
        <v>10</v>
      </c>
      <c r="G26" s="19">
        <f t="shared" si="4"/>
        <v>818.57109155111198</v>
      </c>
      <c r="H26" s="19">
        <f>G26/C26</f>
        <v>1.5296039541832842</v>
      </c>
      <c r="J26" s="20">
        <v>47</v>
      </c>
      <c r="K26" s="19">
        <f>J26-$K$29</f>
        <v>29</v>
      </c>
      <c r="L26" s="21">
        <v>43.187180555555543</v>
      </c>
      <c r="M26" s="33">
        <v>2.9980370370513976</v>
      </c>
      <c r="N26" s="20">
        <f>K26*$K$30</f>
        <v>849.7</v>
      </c>
      <c r="O26" s="20">
        <f>N26/M26</f>
        <v>283.41878018814919</v>
      </c>
    </row>
    <row r="27" spans="1:15" x14ac:dyDescent="0.55000000000000004">
      <c r="A27" s="6">
        <f>IF(ISBLANK(B27),"",MAX($A$8:A26)+1)</f>
        <v>17</v>
      </c>
      <c r="B27" s="17" t="s">
        <v>26</v>
      </c>
      <c r="C27" s="18">
        <v>535.36688764762891</v>
      </c>
      <c r="D27" s="22">
        <f t="shared" si="0"/>
        <v>45.045116465413791</v>
      </c>
      <c r="E27" s="22">
        <f t="shared" si="1"/>
        <v>35.045116465413791</v>
      </c>
      <c r="F27" s="22">
        <f t="shared" si="2"/>
        <v>10</v>
      </c>
      <c r="G27" s="23">
        <f t="shared" si="4"/>
        <v>1331.4048911371292</v>
      </c>
      <c r="H27" s="2">
        <f>G27/C27</f>
        <v>2.4869018272445746</v>
      </c>
      <c r="J27" s="20">
        <v>93</v>
      </c>
      <c r="K27" s="19">
        <f>J27-$K$29</f>
        <v>75</v>
      </c>
      <c r="L27" s="21">
        <v>34.282298387096809</v>
      </c>
      <c r="M27" s="33">
        <v>2.7605465949704309</v>
      </c>
      <c r="N27" s="20">
        <f>K27*$K$30</f>
        <v>2197.5</v>
      </c>
      <c r="O27" s="24">
        <f>N27/M27</f>
        <v>796.03800348950028</v>
      </c>
    </row>
    <row r="28" spans="1:15" x14ac:dyDescent="0.55000000000000004">
      <c r="A28" s="6" t="str">
        <f>IF(ISBLANK(B28),"",MAX($A$8:A27)+1)</f>
        <v/>
      </c>
      <c r="C28" s="19">
        <f>SUM(C16:C27)</f>
        <v>6866.1793438456953</v>
      </c>
      <c r="D28" s="11">
        <f>SUM(D16:D27)</f>
        <v>569.46009984813918</v>
      </c>
      <c r="E28" s="11">
        <f t="shared" ref="E28:F28" si="5">SUM(E16:E27)</f>
        <v>449.46009984813929</v>
      </c>
      <c r="F28" s="11">
        <f t="shared" si="5"/>
        <v>120</v>
      </c>
      <c r="G28" s="19">
        <f>SUM(G16:G27)</f>
        <v>12542.906867243295</v>
      </c>
      <c r="H28" s="19">
        <f>AVERAGE(H16,H17,H18,H19,H26,H27)</f>
        <v>2.7861534937699006</v>
      </c>
      <c r="N28" s="19"/>
      <c r="O28" s="19">
        <f>SUM(O16:O27)</f>
        <v>5676.7275233975988</v>
      </c>
    </row>
    <row r="29" spans="1:15" x14ac:dyDescent="0.55000000000000004">
      <c r="A29" s="6" t="str">
        <f>IF(ISBLANK(B29),"",MAX($A$8:A28)+1)</f>
        <v/>
      </c>
      <c r="J29" s="25" t="s">
        <v>27</v>
      </c>
      <c r="K29" s="19">
        <f>AVERAGE(J21:J24)</f>
        <v>18</v>
      </c>
    </row>
    <row r="30" spans="1:15" x14ac:dyDescent="0.55000000000000004">
      <c r="A30" s="6">
        <f>IF(ISBLANK(B30),"",MAX($A$8:A29)+1)</f>
        <v>18</v>
      </c>
      <c r="B30" s="9" t="s">
        <v>28</v>
      </c>
      <c r="J30" s="25" t="s">
        <v>29</v>
      </c>
      <c r="K30" s="19">
        <v>29.3</v>
      </c>
    </row>
    <row r="31" spans="1:15" x14ac:dyDescent="0.55000000000000004">
      <c r="A31" s="6">
        <f>IF(ISBLANK(B31),"",MAX($A$8:A30)+1)</f>
        <v>19</v>
      </c>
      <c r="B31" s="26" t="s">
        <v>5</v>
      </c>
      <c r="C31" s="11">
        <f>C12</f>
        <v>10</v>
      </c>
    </row>
    <row r="32" spans="1:15" x14ac:dyDescent="0.55000000000000004">
      <c r="A32" s="6">
        <f>IF(ISBLANK(B32),"",MAX($A$8:A31)+1)</f>
        <v>20</v>
      </c>
      <c r="B32" s="26" t="s">
        <v>30</v>
      </c>
      <c r="C32" s="27">
        <f>C31*12</f>
        <v>120</v>
      </c>
    </row>
    <row r="33" spans="1:7" x14ac:dyDescent="0.55000000000000004">
      <c r="A33" s="6" t="str">
        <f>IF(ISBLANK(B33),"",MAX($A$8:A32)+1)</f>
        <v/>
      </c>
      <c r="B33" s="26"/>
    </row>
    <row r="34" spans="1:7" x14ac:dyDescent="0.55000000000000004">
      <c r="A34" s="6">
        <f>IF(ISBLANK(B34),"",MAX($A$8:A33)+1)</f>
        <v>21</v>
      </c>
      <c r="B34" s="26" t="s">
        <v>31</v>
      </c>
      <c r="C34" s="11">
        <f>SUM(E16:E19,E26:E27)</f>
        <v>220.07511904527337</v>
      </c>
      <c r="D34" s="2" t="s">
        <v>32</v>
      </c>
    </row>
    <row r="35" spans="1:7" x14ac:dyDescent="0.55000000000000004">
      <c r="A35" s="6">
        <f>IF(ISBLANK(B35),"",MAX($A$8:A34)+1)</f>
        <v>22</v>
      </c>
      <c r="B35" s="26" t="s">
        <v>33</v>
      </c>
      <c r="C35" s="28">
        <f>TRUNC(C34/SUM(G16:G19,G26:G27),5)</f>
        <v>2.4340000000000001E-2</v>
      </c>
      <c r="D35" s="2" t="s">
        <v>34</v>
      </c>
    </row>
    <row r="36" spans="1:7" x14ac:dyDescent="0.55000000000000004">
      <c r="A36" s="6" t="str">
        <f>IF(ISBLANK(B36),"",MAX($A$8:A35)+1)</f>
        <v/>
      </c>
    </row>
    <row r="37" spans="1:7" x14ac:dyDescent="0.55000000000000004">
      <c r="A37" s="6">
        <f>IF(ISBLANK(B37),"",MAX($A$8:A36)+1)</f>
        <v>23</v>
      </c>
      <c r="B37" s="9" t="s">
        <v>35</v>
      </c>
    </row>
    <row r="38" spans="1:7" x14ac:dyDescent="0.55000000000000004">
      <c r="A38" s="6">
        <f>IF(ISBLANK(B38),"",MAX($A$8:A37)+1)</f>
        <v>24</v>
      </c>
      <c r="B38" s="9" t="s">
        <v>36</v>
      </c>
      <c r="C38" s="29" t="s">
        <v>4</v>
      </c>
      <c r="F38" s="25"/>
    </row>
    <row r="39" spans="1:7" x14ac:dyDescent="0.55000000000000004">
      <c r="A39" s="6">
        <f>IF(ISBLANK(B39),"",MAX($A$8:A38)+1)</f>
        <v>25</v>
      </c>
      <c r="B39" s="10" t="s">
        <v>5</v>
      </c>
      <c r="C39" s="11">
        <f>C31</f>
        <v>10</v>
      </c>
    </row>
    <row r="40" spans="1:7" x14ac:dyDescent="0.55000000000000004">
      <c r="A40" s="6">
        <f>IF(ISBLANK(B40),"",MAX($A$8:A39)+1)</f>
        <v>26</v>
      </c>
      <c r="B40" s="10" t="s">
        <v>37</v>
      </c>
      <c r="C40" s="13">
        <f>C35</f>
        <v>2.4340000000000001E-2</v>
      </c>
    </row>
    <row r="41" spans="1:7" x14ac:dyDescent="0.55000000000000004">
      <c r="A41" s="6">
        <f>IF(ISBLANK(B41),"",MAX($A$8:A40)+1)</f>
        <v>27</v>
      </c>
      <c r="B41" s="10" t="s">
        <v>38</v>
      </c>
      <c r="C41" s="13">
        <f>C13</f>
        <v>6.5460000000000004E-2</v>
      </c>
    </row>
    <row r="42" spans="1:7" x14ac:dyDescent="0.55000000000000004">
      <c r="A42" s="6" t="str">
        <f>IF(ISBLANK(B42),"",MAX($A$8:A41)+1)</f>
        <v/>
      </c>
      <c r="C42" s="2">
        <f>C41/C40</f>
        <v>2.6894001643385375</v>
      </c>
    </row>
    <row r="43" spans="1:7" x14ac:dyDescent="0.55000000000000004">
      <c r="A43" s="6" t="str">
        <f>IF(ISBLANK(B43),"",MAX($A$8:A42)+1)</f>
        <v/>
      </c>
    </row>
    <row r="44" spans="1:7" x14ac:dyDescent="0.55000000000000004">
      <c r="B44" s="2" t="s">
        <v>42</v>
      </c>
    </row>
    <row r="45" spans="1:7" x14ac:dyDescent="0.55000000000000004">
      <c r="B45" s="26" t="s">
        <v>46</v>
      </c>
      <c r="C45" s="36"/>
      <c r="E45" s="34"/>
      <c r="F45" s="34"/>
      <c r="G45" s="34"/>
    </row>
    <row r="46" spans="1:7" x14ac:dyDescent="0.55000000000000004">
      <c r="B46" s="2" t="s">
        <v>47</v>
      </c>
      <c r="C46" s="37"/>
      <c r="E46" s="11"/>
      <c r="F46" s="11"/>
      <c r="G46" s="30"/>
    </row>
    <row r="47" spans="1:7" x14ac:dyDescent="0.55000000000000004">
      <c r="B47" s="2" t="s">
        <v>51</v>
      </c>
      <c r="C47" s="37"/>
      <c r="E47" s="11"/>
      <c r="F47" s="11"/>
      <c r="G47" s="30"/>
    </row>
    <row r="48" spans="1:7" x14ac:dyDescent="0.55000000000000004">
      <c r="C48" s="37"/>
      <c r="E48" s="11"/>
      <c r="F48" s="11"/>
      <c r="G48" s="30"/>
    </row>
    <row r="49" spans="3:7" x14ac:dyDescent="0.55000000000000004">
      <c r="E49" s="11"/>
      <c r="F49" s="11"/>
      <c r="G49" s="30"/>
    </row>
    <row r="50" spans="3:7" x14ac:dyDescent="0.55000000000000004">
      <c r="C50" s="11"/>
      <c r="E50" s="11"/>
      <c r="F50" s="11"/>
      <c r="G50" s="30"/>
    </row>
    <row r="51" spans="3:7" x14ac:dyDescent="0.55000000000000004">
      <c r="E51" s="11"/>
      <c r="F51" s="11"/>
      <c r="G51" s="30"/>
    </row>
    <row r="52" spans="3:7" x14ac:dyDescent="0.55000000000000004">
      <c r="E52" s="11"/>
      <c r="F52" s="11"/>
      <c r="G52" s="30"/>
    </row>
    <row r="53" spans="3:7" x14ac:dyDescent="0.55000000000000004">
      <c r="E53" s="11"/>
      <c r="F53" s="11"/>
      <c r="G53" s="30"/>
    </row>
    <row r="54" spans="3:7" x14ac:dyDescent="0.55000000000000004">
      <c r="E54" s="11"/>
      <c r="F54" s="11"/>
      <c r="G54" s="30"/>
    </row>
    <row r="55" spans="3:7" x14ac:dyDescent="0.55000000000000004">
      <c r="E55" s="11"/>
      <c r="F55" s="11"/>
      <c r="G55" s="30"/>
    </row>
    <row r="56" spans="3:7" x14ac:dyDescent="0.55000000000000004">
      <c r="E56" s="11"/>
      <c r="F56" s="11"/>
      <c r="G56" s="30"/>
    </row>
    <row r="57" spans="3:7" x14ac:dyDescent="0.55000000000000004">
      <c r="E57" s="11"/>
      <c r="F57" s="11"/>
      <c r="G57" s="30"/>
    </row>
    <row r="58" spans="3:7" x14ac:dyDescent="0.55000000000000004">
      <c r="E58" s="11"/>
      <c r="F58" s="11"/>
      <c r="G58" s="30"/>
    </row>
    <row r="65" spans="2:2" x14ac:dyDescent="0.55000000000000004">
      <c r="B65" s="31"/>
    </row>
  </sheetData>
  <pageMargins left="0.7" right="0.7" top="0.75" bottom="0.75" header="0.3" footer="0.3"/>
  <pageSetup scale="85" orientation="portrait" horizontalDpi="1200" verticalDpi="1200" r:id="rId1"/>
  <headerFooter scaleWithDoc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1829-64A4-4CAA-AD33-673F04C82886}">
  <dimension ref="A1:O65"/>
  <sheetViews>
    <sheetView workbookViewId="0"/>
  </sheetViews>
  <sheetFormatPr defaultColWidth="9.1171875" defaultRowHeight="14.4" x14ac:dyDescent="0.55000000000000004"/>
  <cols>
    <col min="1" max="1" width="32.703125" style="2" bestFit="1" customWidth="1"/>
    <col min="2" max="2" width="36.29296875" style="2" bestFit="1" customWidth="1"/>
    <col min="3" max="3" width="13.703125" style="2" bestFit="1" customWidth="1"/>
    <col min="4" max="4" width="14" style="2" bestFit="1" customWidth="1"/>
    <col min="5" max="5" width="15.29296875" style="2" bestFit="1" customWidth="1"/>
    <col min="6" max="6" width="14.703125" style="2" customWidth="1"/>
    <col min="7" max="7" width="15.41015625" style="2" customWidth="1"/>
    <col min="8" max="8" width="15.1171875" style="2" bestFit="1" customWidth="1"/>
    <col min="9" max="9" width="10.41015625" style="2" bestFit="1" customWidth="1"/>
    <col min="10" max="15" width="12.1171875" style="2" customWidth="1"/>
    <col min="16" max="16384" width="9.1171875" style="2"/>
  </cols>
  <sheetData>
    <row r="1" spans="1:15" x14ac:dyDescent="0.55000000000000004">
      <c r="A1" s="1"/>
    </row>
    <row r="2" spans="1:15" x14ac:dyDescent="0.55000000000000004">
      <c r="A2" s="1"/>
    </row>
    <row r="3" spans="1:15" x14ac:dyDescent="0.55000000000000004">
      <c r="A3" s="1"/>
    </row>
    <row r="4" spans="1:15" x14ac:dyDescent="0.55000000000000004">
      <c r="A4" s="3"/>
    </row>
    <row r="5" spans="1:15" x14ac:dyDescent="0.55000000000000004">
      <c r="A5" s="4"/>
    </row>
    <row r="8" spans="1:15" ht="15.3" x14ac:dyDescent="0.7">
      <c r="A8" s="5" t="s">
        <v>1</v>
      </c>
    </row>
    <row r="9" spans="1:15" x14ac:dyDescent="0.55000000000000004">
      <c r="A9" s="6">
        <v>1</v>
      </c>
      <c r="B9" s="7" t="s">
        <v>2</v>
      </c>
    </row>
    <row r="10" spans="1:15" x14ac:dyDescent="0.55000000000000004">
      <c r="A10" s="6" t="str">
        <f>IF(ISBLANK(B10),"",MAX($A$8:A9)+1)</f>
        <v/>
      </c>
      <c r="E10" s="8"/>
    </row>
    <row r="11" spans="1:15" ht="15.3" x14ac:dyDescent="0.7">
      <c r="A11" s="6">
        <f>IF(ISBLANK(B11),"",MAX($A$8:A10)+1)</f>
        <v>2</v>
      </c>
      <c r="B11" s="9" t="s">
        <v>3</v>
      </c>
      <c r="C11" s="5" t="s">
        <v>4</v>
      </c>
    </row>
    <row r="12" spans="1:15" x14ac:dyDescent="0.55000000000000004">
      <c r="A12" s="6">
        <f>IF(ISBLANK(B12),"",MAX($A$8:A11)+1)</f>
        <v>3</v>
      </c>
      <c r="B12" s="10" t="s">
        <v>5</v>
      </c>
      <c r="C12" s="11">
        <v>10</v>
      </c>
      <c r="E12" s="12"/>
    </row>
    <row r="13" spans="1:15" x14ac:dyDescent="0.55000000000000004">
      <c r="A13" s="6">
        <f>IF(ISBLANK(B13),"",MAX($A$8:A12)+1)</f>
        <v>4</v>
      </c>
      <c r="B13" s="10" t="s">
        <v>6</v>
      </c>
      <c r="C13" s="13">
        <v>6.5460000000000004E-2</v>
      </c>
      <c r="E13" s="12"/>
    </row>
    <row r="14" spans="1:15" x14ac:dyDescent="0.55000000000000004">
      <c r="A14" s="6" t="str">
        <f>IF(ISBLANK(B14),"",MAX($A$8:A13)+1)</f>
        <v/>
      </c>
      <c r="E14" s="14"/>
    </row>
    <row r="15" spans="1:15" ht="57.6" x14ac:dyDescent="0.55000000000000004">
      <c r="A15" s="6">
        <f>IF(ISBLANK(B15),"",MAX($A$8:A14)+1)</f>
        <v>5</v>
      </c>
      <c r="B15" s="15" t="s">
        <v>7</v>
      </c>
      <c r="C15" s="16" t="s">
        <v>45</v>
      </c>
      <c r="D15" s="16" t="s">
        <v>8</v>
      </c>
      <c r="E15" s="16" t="s">
        <v>9</v>
      </c>
      <c r="F15" s="16" t="s">
        <v>10</v>
      </c>
      <c r="G15" s="16" t="s">
        <v>11</v>
      </c>
      <c r="H15" s="2" t="s">
        <v>43</v>
      </c>
      <c r="J15" s="16" t="s">
        <v>48</v>
      </c>
      <c r="K15" s="16" t="s">
        <v>12</v>
      </c>
      <c r="L15" s="16" t="s">
        <v>49</v>
      </c>
      <c r="M15" s="16" t="s">
        <v>50</v>
      </c>
      <c r="N15" s="16" t="s">
        <v>13</v>
      </c>
      <c r="O15" s="16" t="s">
        <v>14</v>
      </c>
    </row>
    <row r="16" spans="1:15" x14ac:dyDescent="0.55000000000000004">
      <c r="A16" s="6">
        <f>IF(ISBLANK(B16),"",MAX($A$8:A15)+1)</f>
        <v>6</v>
      </c>
      <c r="B16" s="17" t="s">
        <v>15</v>
      </c>
      <c r="C16" s="18">
        <v>459.79925948163407</v>
      </c>
      <c r="D16" s="11">
        <f t="shared" ref="D16:D27" si="0">$C$12+$C$13*C16</f>
        <v>40.098459525667764</v>
      </c>
      <c r="E16" s="11">
        <f t="shared" ref="E16:E27" si="1">($C$13-$C$45)*C16</f>
        <v>30.098459525667767</v>
      </c>
      <c r="F16" s="11">
        <f t="shared" ref="F16:F27" si="2">$C$12</f>
        <v>10</v>
      </c>
      <c r="G16" s="19">
        <f t="shared" ref="G16:G27" si="3">C16+O16</f>
        <v>1745.7777229081435</v>
      </c>
      <c r="H16" s="2">
        <f>G16/C16</f>
        <v>3.7968258689156844</v>
      </c>
      <c r="J16" s="20">
        <v>132</v>
      </c>
      <c r="K16" s="19">
        <f>J16-$K$29</f>
        <v>114</v>
      </c>
      <c r="L16" s="21">
        <v>28.3870698924732</v>
      </c>
      <c r="M16" s="20">
        <v>2.5973996415927414</v>
      </c>
      <c r="N16" s="20">
        <f>K16*$K$30</f>
        <v>3340.2000000000003</v>
      </c>
      <c r="O16" s="20">
        <f>N16/M16</f>
        <v>1285.9784634265095</v>
      </c>
    </row>
    <row r="17" spans="1:15" x14ac:dyDescent="0.55000000000000004">
      <c r="A17" s="6">
        <f>IF(ISBLANK(B17),"",MAX($A$8:A16)+1)</f>
        <v>7</v>
      </c>
      <c r="B17" s="17" t="s">
        <v>16</v>
      </c>
      <c r="C17" s="18">
        <v>485.03323251548301</v>
      </c>
      <c r="D17" s="11">
        <f t="shared" si="0"/>
        <v>41.750275400463522</v>
      </c>
      <c r="E17" s="11">
        <f t="shared" si="1"/>
        <v>31.750275400463519</v>
      </c>
      <c r="F17" s="11">
        <f t="shared" si="2"/>
        <v>10</v>
      </c>
      <c r="G17" s="19">
        <f t="shared" si="3"/>
        <v>1929.3821752895419</v>
      </c>
      <c r="H17" s="2">
        <f t="shared" ref="H17:H19" si="4">G17/C17</f>
        <v>3.9778350140739129</v>
      </c>
      <c r="J17" s="20">
        <v>149</v>
      </c>
      <c r="K17" s="19">
        <f>J17-$K$29</f>
        <v>131</v>
      </c>
      <c r="L17" s="21">
        <v>30.428333333333338</v>
      </c>
      <c r="M17" s="20">
        <v>2.6574603174687472</v>
      </c>
      <c r="N17" s="20">
        <f>K17*$K$30</f>
        <v>3838.3</v>
      </c>
      <c r="O17" s="20">
        <f>N17/M17</f>
        <v>1444.348942774059</v>
      </c>
    </row>
    <row r="18" spans="1:15" x14ac:dyDescent="0.55000000000000004">
      <c r="A18" s="6">
        <f>IF(ISBLANK(B18),"",MAX($A$8:A17)+1)</f>
        <v>8</v>
      </c>
      <c r="B18" s="17" t="s">
        <v>17</v>
      </c>
      <c r="C18" s="18">
        <v>583.53511800745957</v>
      </c>
      <c r="D18" s="11">
        <f t="shared" si="0"/>
        <v>48.198208824768308</v>
      </c>
      <c r="E18" s="11">
        <f t="shared" si="1"/>
        <v>38.198208824768308</v>
      </c>
      <c r="F18" s="11">
        <f t="shared" si="2"/>
        <v>10</v>
      </c>
      <c r="G18" s="19">
        <f t="shared" si="3"/>
        <v>1771.9322952058742</v>
      </c>
      <c r="H18" s="2">
        <f t="shared" si="4"/>
        <v>3.0365478281004208</v>
      </c>
      <c r="J18" s="20">
        <v>133</v>
      </c>
      <c r="K18" s="19">
        <f>J18-$K$29</f>
        <v>115</v>
      </c>
      <c r="L18" s="21">
        <v>37.09606182795698</v>
      </c>
      <c r="M18" s="20">
        <v>2.8353315412137072</v>
      </c>
      <c r="N18" s="20">
        <f>K18*$K$30</f>
        <v>3369.5</v>
      </c>
      <c r="O18" s="20">
        <f>N18/M18</f>
        <v>1188.3971771984145</v>
      </c>
    </row>
    <row r="19" spans="1:15" x14ac:dyDescent="0.55000000000000004">
      <c r="A19" s="6">
        <f>IF(ISBLANK(B19),"",MAX($A$8:A18)+1)</f>
        <v>9</v>
      </c>
      <c r="B19" s="17" t="s">
        <v>18</v>
      </c>
      <c r="C19" s="18">
        <v>763.09178929331529</v>
      </c>
      <c r="D19" s="11">
        <f t="shared" si="0"/>
        <v>59.951988527140422</v>
      </c>
      <c r="E19" s="11">
        <f t="shared" si="1"/>
        <v>49.951988527140422</v>
      </c>
      <c r="F19" s="11">
        <f t="shared" si="2"/>
        <v>10</v>
      </c>
      <c r="G19" s="19">
        <f t="shared" si="3"/>
        <v>1441.6379456142818</v>
      </c>
      <c r="H19" s="2">
        <f t="shared" si="4"/>
        <v>1.8892064701015261</v>
      </c>
      <c r="J19" s="20">
        <v>90</v>
      </c>
      <c r="K19" s="19">
        <f>J19-$K$29</f>
        <v>72</v>
      </c>
      <c r="L19" s="21">
        <v>47.34055555555554</v>
      </c>
      <c r="M19" s="20">
        <v>3.1089999999972222</v>
      </c>
      <c r="N19" s="20">
        <f>K19*$K$30</f>
        <v>2109.6</v>
      </c>
      <c r="O19" s="20">
        <f>N19/M19</f>
        <v>678.54615632096647</v>
      </c>
    </row>
    <row r="20" spans="1:15" x14ac:dyDescent="0.55000000000000004">
      <c r="A20" s="6">
        <f>IF(ISBLANK(B20),"",MAX($A$8:A19)+1)</f>
        <v>10</v>
      </c>
      <c r="B20" s="17" t="s">
        <v>19</v>
      </c>
      <c r="C20" s="18">
        <v>754.92941807563966</v>
      </c>
      <c r="D20" s="11">
        <f t="shared" si="0"/>
        <v>59.417679707231379</v>
      </c>
      <c r="E20" s="11">
        <f t="shared" si="1"/>
        <v>49.417679707231379</v>
      </c>
      <c r="F20" s="11">
        <f t="shared" si="2"/>
        <v>10</v>
      </c>
      <c r="G20" s="19">
        <f t="shared" si="3"/>
        <v>754.92941807563966</v>
      </c>
      <c r="J20" s="20">
        <v>46</v>
      </c>
      <c r="K20" s="19"/>
      <c r="L20" s="21"/>
      <c r="M20" s="20"/>
      <c r="N20" s="20"/>
      <c r="O20" s="20"/>
    </row>
    <row r="21" spans="1:15" x14ac:dyDescent="0.55000000000000004">
      <c r="A21" s="6">
        <f>IF(ISBLANK(B21),"",MAX($A$8:A20)+1)</f>
        <v>11</v>
      </c>
      <c r="B21" s="17" t="s">
        <v>20</v>
      </c>
      <c r="C21" s="18">
        <v>533.69262673066066</v>
      </c>
      <c r="D21" s="11">
        <f t="shared" si="0"/>
        <v>44.935519345789046</v>
      </c>
      <c r="E21" s="11">
        <f t="shared" si="1"/>
        <v>34.935519345789046</v>
      </c>
      <c r="F21" s="11">
        <f t="shared" si="2"/>
        <v>10</v>
      </c>
      <c r="G21" s="19">
        <f t="shared" si="3"/>
        <v>533.69262673066066</v>
      </c>
      <c r="J21" s="20">
        <v>23</v>
      </c>
      <c r="K21" s="19"/>
      <c r="L21" s="21"/>
      <c r="M21" s="20"/>
      <c r="N21" s="20"/>
      <c r="O21" s="20"/>
    </row>
    <row r="22" spans="1:15" x14ac:dyDescent="0.55000000000000004">
      <c r="A22" s="6">
        <f>IF(ISBLANK(B22),"",MAX($A$8:A21)+1)</f>
        <v>12</v>
      </c>
      <c r="B22" s="17" t="s">
        <v>21</v>
      </c>
      <c r="C22" s="18">
        <v>459.49901852261206</v>
      </c>
      <c r="D22" s="11">
        <f t="shared" si="0"/>
        <v>40.078805752490183</v>
      </c>
      <c r="E22" s="11">
        <f t="shared" si="1"/>
        <v>30.078805752490187</v>
      </c>
      <c r="F22" s="11">
        <f t="shared" si="2"/>
        <v>10</v>
      </c>
      <c r="G22" s="19">
        <f t="shared" si="3"/>
        <v>459.49901852261206</v>
      </c>
      <c r="J22" s="20">
        <v>18</v>
      </c>
      <c r="K22" s="19"/>
      <c r="L22" s="21"/>
      <c r="M22" s="20"/>
      <c r="N22" s="20"/>
      <c r="O22" s="20"/>
    </row>
    <row r="23" spans="1:15" x14ac:dyDescent="0.55000000000000004">
      <c r="A23" s="6">
        <f>IF(ISBLANK(B23),"",MAX($A$8:A22)+1)</f>
        <v>13</v>
      </c>
      <c r="B23" s="17" t="s">
        <v>22</v>
      </c>
      <c r="C23" s="18">
        <v>497.04200042463856</v>
      </c>
      <c r="D23" s="11">
        <f t="shared" si="0"/>
        <v>42.536369347796843</v>
      </c>
      <c r="E23" s="11">
        <f t="shared" si="1"/>
        <v>32.536369347796843</v>
      </c>
      <c r="F23" s="11">
        <f t="shared" si="2"/>
        <v>10</v>
      </c>
      <c r="G23" s="19">
        <f t="shared" si="3"/>
        <v>497.04200042463856</v>
      </c>
      <c r="J23" s="20">
        <v>15</v>
      </c>
      <c r="K23" s="19"/>
      <c r="L23" s="21"/>
      <c r="M23" s="20"/>
      <c r="N23" s="20"/>
      <c r="O23" s="20"/>
    </row>
    <row r="24" spans="1:15" x14ac:dyDescent="0.55000000000000004">
      <c r="A24" s="6">
        <f>IF(ISBLANK(B24),"",MAX($A$8:A23)+1)</f>
        <v>14</v>
      </c>
      <c r="B24" s="17" t="s">
        <v>23</v>
      </c>
      <c r="C24" s="18">
        <v>642.6560550787417</v>
      </c>
      <c r="D24" s="11">
        <f t="shared" si="0"/>
        <v>52.068265365454437</v>
      </c>
      <c r="E24" s="11">
        <f t="shared" si="1"/>
        <v>42.068265365454437</v>
      </c>
      <c r="F24" s="11">
        <f t="shared" si="2"/>
        <v>10</v>
      </c>
      <c r="G24" s="19">
        <f t="shared" si="3"/>
        <v>642.6560550787417</v>
      </c>
      <c r="J24" s="20">
        <v>16</v>
      </c>
      <c r="K24" s="19"/>
      <c r="L24" s="21"/>
      <c r="M24" s="20"/>
      <c r="N24" s="20"/>
      <c r="O24" s="20"/>
    </row>
    <row r="25" spans="1:15" x14ac:dyDescent="0.55000000000000004">
      <c r="A25" s="6">
        <f>IF(ISBLANK(B25),"",MAX($A$8:A24)+1)</f>
        <v>15</v>
      </c>
      <c r="B25" s="17" t="s">
        <v>24</v>
      </c>
      <c r="C25" s="18">
        <v>616.38162670491886</v>
      </c>
      <c r="D25" s="11">
        <f t="shared" si="0"/>
        <v>50.348341284103988</v>
      </c>
      <c r="E25" s="11">
        <f t="shared" si="1"/>
        <v>40.348341284103988</v>
      </c>
      <c r="F25" s="11">
        <f t="shared" si="2"/>
        <v>10</v>
      </c>
      <c r="G25" s="19">
        <f t="shared" si="3"/>
        <v>616.38162670491886</v>
      </c>
      <c r="J25" s="20">
        <v>20</v>
      </c>
      <c r="K25" s="19"/>
      <c r="L25" s="21"/>
      <c r="M25" s="20"/>
      <c r="N25" s="20"/>
      <c r="O25" s="20"/>
    </row>
    <row r="26" spans="1:15" x14ac:dyDescent="0.55000000000000004">
      <c r="A26" s="6">
        <f>IF(ISBLANK(B26),"",MAX($A$8:A25)+1)</f>
        <v>16</v>
      </c>
      <c r="B26" s="17" t="s">
        <v>25</v>
      </c>
      <c r="C26" s="18">
        <v>535.15231136296279</v>
      </c>
      <c r="D26" s="11">
        <f t="shared" si="0"/>
        <v>45.031070301819547</v>
      </c>
      <c r="E26" s="11">
        <f t="shared" si="1"/>
        <v>35.031070301819547</v>
      </c>
      <c r="F26" s="11">
        <f t="shared" si="2"/>
        <v>10</v>
      </c>
      <c r="G26" s="19">
        <f t="shared" si="3"/>
        <v>818.57109155111198</v>
      </c>
      <c r="H26" s="19">
        <f>G26/C26</f>
        <v>1.5296039541832842</v>
      </c>
      <c r="J26" s="20">
        <v>47</v>
      </c>
      <c r="K26" s="19">
        <f>J26-$K$29</f>
        <v>29</v>
      </c>
      <c r="L26" s="21">
        <v>43.187180555555543</v>
      </c>
      <c r="M26" s="20">
        <v>2.9980370370513976</v>
      </c>
      <c r="N26" s="20">
        <f>K26*$K$30</f>
        <v>849.7</v>
      </c>
      <c r="O26" s="20">
        <f>N26/M26</f>
        <v>283.41878018814919</v>
      </c>
    </row>
    <row r="27" spans="1:15" x14ac:dyDescent="0.55000000000000004">
      <c r="A27" s="6">
        <f>IF(ISBLANK(B27),"",MAX($A$8:A26)+1)</f>
        <v>17</v>
      </c>
      <c r="B27" s="17" t="s">
        <v>26</v>
      </c>
      <c r="C27" s="18">
        <v>535.36688764762891</v>
      </c>
      <c r="D27" s="22">
        <f t="shared" si="0"/>
        <v>45.045116465413791</v>
      </c>
      <c r="E27" s="22">
        <f t="shared" si="1"/>
        <v>35.045116465413791</v>
      </c>
      <c r="F27" s="22">
        <f t="shared" si="2"/>
        <v>10</v>
      </c>
      <c r="G27" s="23">
        <f t="shared" si="3"/>
        <v>1331.4048911371292</v>
      </c>
      <c r="H27" s="2">
        <f>G27/C27</f>
        <v>2.4869018272445746</v>
      </c>
      <c r="J27" s="20">
        <v>93</v>
      </c>
      <c r="K27" s="19">
        <f>J27-$K$29</f>
        <v>75</v>
      </c>
      <c r="L27" s="21">
        <v>34.282298387096809</v>
      </c>
      <c r="M27" s="20">
        <v>2.7605465949704309</v>
      </c>
      <c r="N27" s="20">
        <f>K27*$K$30</f>
        <v>2197.5</v>
      </c>
      <c r="O27" s="24">
        <f>N27/M27</f>
        <v>796.03800348950028</v>
      </c>
    </row>
    <row r="28" spans="1:15" x14ac:dyDescent="0.55000000000000004">
      <c r="A28" s="6" t="str">
        <f>IF(ISBLANK(B28),"",MAX($A$8:A27)+1)</f>
        <v/>
      </c>
      <c r="C28" s="19">
        <f>SUM(C16:C27)</f>
        <v>6866.1793438456953</v>
      </c>
      <c r="D28" s="11">
        <f>SUM(D16:D27)</f>
        <v>569.46009984813918</v>
      </c>
      <c r="E28" s="11">
        <f t="shared" ref="E28:F28" si="5">SUM(E16:E27)</f>
        <v>449.46009984813929</v>
      </c>
      <c r="F28" s="11">
        <f t="shared" si="5"/>
        <v>120</v>
      </c>
      <c r="G28" s="19">
        <f>SUM(G16:G27)</f>
        <v>12542.906867243295</v>
      </c>
      <c r="H28" s="19">
        <f>AVERAGE(H16,H17,H18,H19,H26,H27)</f>
        <v>2.7861534937699006</v>
      </c>
      <c r="N28" s="19"/>
      <c r="O28" s="19">
        <f>SUM(O16:O27)</f>
        <v>5676.7275233975988</v>
      </c>
    </row>
    <row r="29" spans="1:15" x14ac:dyDescent="0.55000000000000004">
      <c r="A29" s="6" t="str">
        <f>IF(ISBLANK(B29),"",MAX($A$8:A28)+1)</f>
        <v/>
      </c>
      <c r="J29" s="25" t="s">
        <v>27</v>
      </c>
      <c r="K29" s="19">
        <f>AVERAGE(J21:J24)</f>
        <v>18</v>
      </c>
    </row>
    <row r="30" spans="1:15" x14ac:dyDescent="0.55000000000000004">
      <c r="A30" s="6">
        <f>IF(ISBLANK(B30),"",MAX($A$8:A29)+1)</f>
        <v>18</v>
      </c>
      <c r="B30" s="9" t="s">
        <v>28</v>
      </c>
      <c r="J30" s="25" t="s">
        <v>29</v>
      </c>
      <c r="K30" s="19">
        <v>29.3</v>
      </c>
    </row>
    <row r="31" spans="1:15" x14ac:dyDescent="0.55000000000000004">
      <c r="A31" s="6">
        <f>IF(ISBLANK(B31),"",MAX($A$8:A30)+1)</f>
        <v>19</v>
      </c>
      <c r="B31" s="26" t="s">
        <v>5</v>
      </c>
      <c r="C31" s="11">
        <f>C12</f>
        <v>10</v>
      </c>
    </row>
    <row r="32" spans="1:15" x14ac:dyDescent="0.55000000000000004">
      <c r="A32" s="6">
        <f>IF(ISBLANK(B32),"",MAX($A$8:A31)+1)</f>
        <v>20</v>
      </c>
      <c r="B32" s="26" t="s">
        <v>30</v>
      </c>
      <c r="C32" s="27">
        <f>C31*12</f>
        <v>120</v>
      </c>
    </row>
    <row r="33" spans="1:7" x14ac:dyDescent="0.55000000000000004">
      <c r="A33" s="6" t="str">
        <f>IF(ISBLANK(B33),"",MAX($A$8:A32)+1)</f>
        <v/>
      </c>
      <c r="B33" s="26"/>
    </row>
    <row r="34" spans="1:7" x14ac:dyDescent="0.55000000000000004">
      <c r="A34" s="6">
        <f>IF(ISBLANK(B34),"",MAX($A$8:A33)+1)</f>
        <v>21</v>
      </c>
      <c r="B34" s="26" t="s">
        <v>31</v>
      </c>
      <c r="C34" s="11">
        <f>SUM(E16:E19,E26:E27)</f>
        <v>220.07511904527337</v>
      </c>
      <c r="D34" s="2" t="s">
        <v>32</v>
      </c>
    </row>
    <row r="35" spans="1:7" x14ac:dyDescent="0.55000000000000004">
      <c r="A35" s="6">
        <f>IF(ISBLANK(B35),"",MAX($A$8:A34)+1)</f>
        <v>22</v>
      </c>
      <c r="B35" s="26" t="s">
        <v>33</v>
      </c>
      <c r="C35" s="28">
        <f>TRUNC(C34/SUM(G16:G19,G26:G27),5)</f>
        <v>2.4340000000000001E-2</v>
      </c>
      <c r="D35" s="2" t="s">
        <v>34</v>
      </c>
    </row>
    <row r="36" spans="1:7" x14ac:dyDescent="0.55000000000000004">
      <c r="A36" s="6" t="str">
        <f>IF(ISBLANK(B36),"",MAX($A$8:A35)+1)</f>
        <v/>
      </c>
    </row>
    <row r="37" spans="1:7" x14ac:dyDescent="0.55000000000000004">
      <c r="A37" s="6">
        <f>IF(ISBLANK(B37),"",MAX($A$8:A36)+1)</f>
        <v>23</v>
      </c>
      <c r="B37" s="9" t="s">
        <v>35</v>
      </c>
    </row>
    <row r="38" spans="1:7" x14ac:dyDescent="0.55000000000000004">
      <c r="A38" s="6">
        <f>IF(ISBLANK(B38),"",MAX($A$8:A37)+1)</f>
        <v>24</v>
      </c>
      <c r="B38" s="9" t="s">
        <v>36</v>
      </c>
      <c r="C38" s="29" t="s">
        <v>4</v>
      </c>
      <c r="F38" s="25"/>
    </row>
    <row r="39" spans="1:7" x14ac:dyDescent="0.55000000000000004">
      <c r="A39" s="6">
        <f>IF(ISBLANK(B39),"",MAX($A$8:A38)+1)</f>
        <v>25</v>
      </c>
      <c r="B39" s="10" t="s">
        <v>5</v>
      </c>
      <c r="C39" s="11">
        <f>C31</f>
        <v>10</v>
      </c>
    </row>
    <row r="40" spans="1:7" x14ac:dyDescent="0.55000000000000004">
      <c r="A40" s="6">
        <f>IF(ISBLANK(B40),"",MAX($A$8:A39)+1)</f>
        <v>26</v>
      </c>
      <c r="B40" s="10" t="s">
        <v>37</v>
      </c>
      <c r="C40" s="13">
        <f>C35</f>
        <v>2.4340000000000001E-2</v>
      </c>
    </row>
    <row r="41" spans="1:7" x14ac:dyDescent="0.55000000000000004">
      <c r="A41" s="6">
        <f>IF(ISBLANK(B41),"",MAX($A$8:A40)+1)</f>
        <v>27</v>
      </c>
      <c r="B41" s="10" t="s">
        <v>38</v>
      </c>
      <c r="C41" s="13">
        <f>C13</f>
        <v>6.5460000000000004E-2</v>
      </c>
    </row>
    <row r="42" spans="1:7" x14ac:dyDescent="0.55000000000000004">
      <c r="A42" s="6"/>
    </row>
    <row r="43" spans="1:7" x14ac:dyDescent="0.55000000000000004">
      <c r="A43" s="6"/>
    </row>
    <row r="44" spans="1:7" x14ac:dyDescent="0.55000000000000004">
      <c r="B44" s="2" t="s">
        <v>42</v>
      </c>
    </row>
    <row r="45" spans="1:7" x14ac:dyDescent="0.55000000000000004">
      <c r="B45" s="26" t="s">
        <v>46</v>
      </c>
      <c r="C45" s="38"/>
      <c r="E45" s="34"/>
      <c r="F45" s="34"/>
      <c r="G45" s="34"/>
    </row>
    <row r="46" spans="1:7" x14ac:dyDescent="0.55000000000000004">
      <c r="B46" s="2" t="s">
        <v>47</v>
      </c>
      <c r="C46" s="39"/>
      <c r="E46" s="11"/>
      <c r="F46" s="11"/>
      <c r="G46" s="30"/>
    </row>
    <row r="47" spans="1:7" x14ac:dyDescent="0.55000000000000004">
      <c r="B47" s="2" t="s">
        <v>51</v>
      </c>
      <c r="C47" s="39"/>
      <c r="E47" s="11"/>
      <c r="F47" s="11"/>
      <c r="G47" s="30"/>
    </row>
    <row r="48" spans="1:7" x14ac:dyDescent="0.55000000000000004">
      <c r="C48" s="39"/>
      <c r="E48" s="11"/>
      <c r="F48" s="11"/>
      <c r="G48" s="30"/>
    </row>
    <row r="49" spans="3:7" x14ac:dyDescent="0.55000000000000004">
      <c r="E49" s="11"/>
      <c r="F49" s="11"/>
      <c r="G49" s="30"/>
    </row>
    <row r="50" spans="3:7" x14ac:dyDescent="0.55000000000000004">
      <c r="C50" s="11"/>
      <c r="E50" s="11"/>
      <c r="F50" s="11"/>
      <c r="G50" s="30"/>
    </row>
    <row r="51" spans="3:7" x14ac:dyDescent="0.55000000000000004">
      <c r="E51" s="11"/>
      <c r="F51" s="11"/>
      <c r="G51" s="30"/>
    </row>
    <row r="52" spans="3:7" x14ac:dyDescent="0.55000000000000004">
      <c r="E52" s="11"/>
      <c r="F52" s="11"/>
      <c r="G52" s="30"/>
    </row>
    <row r="53" spans="3:7" x14ac:dyDescent="0.55000000000000004">
      <c r="E53" s="11"/>
      <c r="F53" s="11"/>
      <c r="G53" s="30"/>
    </row>
    <row r="54" spans="3:7" x14ac:dyDescent="0.55000000000000004">
      <c r="E54" s="11"/>
      <c r="F54" s="11"/>
      <c r="G54" s="30"/>
    </row>
    <row r="55" spans="3:7" x14ac:dyDescent="0.55000000000000004">
      <c r="E55" s="11"/>
      <c r="F55" s="11"/>
      <c r="G55" s="30"/>
    </row>
    <row r="56" spans="3:7" x14ac:dyDescent="0.55000000000000004">
      <c r="E56" s="11"/>
      <c r="F56" s="11"/>
      <c r="G56" s="30"/>
    </row>
    <row r="57" spans="3:7" x14ac:dyDescent="0.55000000000000004">
      <c r="E57" s="11"/>
      <c r="F57" s="11"/>
      <c r="G57" s="30"/>
    </row>
    <row r="58" spans="3:7" x14ac:dyDescent="0.55000000000000004">
      <c r="E58" s="11"/>
      <c r="F58" s="11"/>
      <c r="G58" s="30"/>
    </row>
    <row r="65" spans="2:2" x14ac:dyDescent="0.55000000000000004">
      <c r="B65" s="31"/>
    </row>
  </sheetData>
  <pageMargins left="0.7" right="0.7" top="0.75" bottom="0.75" header="0.3" footer="0.3"/>
  <pageSetup scale="85" orientation="portrait" horizontalDpi="1200" verticalDpi="1200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NG-4 Page 1</vt:lpstr>
      <vt:lpstr>NG-4 Page 2</vt:lpstr>
      <vt:lpstr>Heat Pump Rate Design R1</vt:lpstr>
      <vt:lpstr>Heat Pump Rate Design R1 (2)</vt:lpstr>
      <vt:lpstr>Heat Pump Rate Design R1+R2</vt:lpstr>
      <vt:lpstr>Heat Pump Rate Design R1+R2 (2)</vt:lpstr>
      <vt:lpstr>'Heat Pump Rate Design R1'!Print_Area</vt:lpstr>
      <vt:lpstr>'Heat Pump Rate Design R1 (2)'!Print_Area</vt:lpstr>
      <vt:lpstr>'Heat Pump Rate Design R1+R2'!Print_Area</vt:lpstr>
      <vt:lpstr>'Heat Pump Rate Design R1+R2 (2)'!Print_Area</vt:lpstr>
      <vt:lpstr>'NG-4 Page 1'!Print_Area</vt:lpstr>
      <vt:lpstr>'NG-4 Page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Isaksen</dc:creator>
  <cp:lastModifiedBy>Polina Demers</cp:lastModifiedBy>
  <dcterms:created xsi:type="dcterms:W3CDTF">2025-01-14T16:21:21Z</dcterms:created>
  <dcterms:modified xsi:type="dcterms:W3CDTF">2025-01-17T22:20:45Z</dcterms:modified>
</cp:coreProperties>
</file>